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E8812468-ACEC-4809-BEEA-69D42A64DD7B}" xr6:coauthVersionLast="47" xr6:coauthVersionMax="47" xr10:uidLastSave="{00000000-0000-0000-0000-000000000000}"/>
  <bookViews>
    <workbookView xWindow="-120" yWindow="-120" windowWidth="38640" windowHeight="21240" activeTab="3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9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4" i="6" l="1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N56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191" i="5"/>
  <c r="A192" i="5"/>
  <c r="A193" i="5"/>
  <c r="A194" i="5"/>
  <c r="A195" i="5"/>
  <c r="A196" i="5"/>
  <c r="A197" i="5"/>
  <c r="A198" i="5"/>
  <c r="A199" i="5"/>
  <c r="A200" i="5"/>
  <c r="M58" i="6" l="1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" i="6"/>
  <c r="D35" i="6"/>
  <c r="A2" i="3" a="1"/>
  <c r="N23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7" i="5"/>
  <c r="N58" i="5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Q567" i="4" s="1"/>
  <c r="O568" i="4"/>
  <c r="Q568" i="4" s="1"/>
  <c r="O569" i="4"/>
  <c r="Q569" i="4" s="1"/>
  <c r="O570" i="4"/>
  <c r="O571" i="4"/>
  <c r="O572" i="4"/>
  <c r="K100" i="4"/>
  <c r="N100" i="4" s="1"/>
  <c r="K101" i="4"/>
  <c r="N101" i="4" s="1"/>
  <c r="K102" i="4"/>
  <c r="N102" i="4" s="1"/>
  <c r="K103" i="4"/>
  <c r="N103" i="4" s="1"/>
  <c r="K104" i="4"/>
  <c r="N104" i="4" s="1"/>
  <c r="K105" i="4"/>
  <c r="N105" i="4" s="1"/>
  <c r="K106" i="4"/>
  <c r="N106" i="4" s="1"/>
  <c r="K107" i="4"/>
  <c r="N107" i="4" s="1"/>
  <c r="K108" i="4"/>
  <c r="N108" i="4" s="1"/>
  <c r="K109" i="4"/>
  <c r="N109" i="4" s="1"/>
  <c r="K110" i="4"/>
  <c r="N110" i="4" s="1"/>
  <c r="K111" i="4"/>
  <c r="N111" i="4" s="1"/>
  <c r="K112" i="4"/>
  <c r="N112" i="4" s="1"/>
  <c r="K113" i="4"/>
  <c r="N113" i="4" s="1"/>
  <c r="K114" i="4"/>
  <c r="N114" i="4" s="1"/>
  <c r="K115" i="4"/>
  <c r="N115" i="4" s="1"/>
  <c r="K116" i="4"/>
  <c r="N116" i="4" s="1"/>
  <c r="K117" i="4"/>
  <c r="N117" i="4" s="1"/>
  <c r="K118" i="4"/>
  <c r="N118" i="4" s="1"/>
  <c r="K119" i="4"/>
  <c r="N119" i="4" s="1"/>
  <c r="K120" i="4"/>
  <c r="N120" i="4" s="1"/>
  <c r="K121" i="4"/>
  <c r="N121" i="4" s="1"/>
  <c r="K122" i="4"/>
  <c r="N122" i="4" s="1"/>
  <c r="K123" i="4"/>
  <c r="N123" i="4" s="1"/>
  <c r="K124" i="4"/>
  <c r="N124" i="4" s="1"/>
  <c r="K125" i="4"/>
  <c r="N125" i="4" s="1"/>
  <c r="K126" i="4"/>
  <c r="N126" i="4" s="1"/>
  <c r="K127" i="4"/>
  <c r="N127" i="4" s="1"/>
  <c r="K128" i="4"/>
  <c r="N128" i="4" s="1"/>
  <c r="K129" i="4"/>
  <c r="N129" i="4" s="1"/>
  <c r="K130" i="4"/>
  <c r="N130" i="4" s="1"/>
  <c r="K131" i="4"/>
  <c r="N131" i="4" s="1"/>
  <c r="K132" i="4"/>
  <c r="N132" i="4" s="1"/>
  <c r="K133" i="4"/>
  <c r="N133" i="4" s="1"/>
  <c r="K134" i="4"/>
  <c r="N134" i="4" s="1"/>
  <c r="K135" i="4"/>
  <c r="N135" i="4" s="1"/>
  <c r="K136" i="4"/>
  <c r="N136" i="4" s="1"/>
  <c r="K137" i="4"/>
  <c r="N137" i="4" s="1"/>
  <c r="K138" i="4"/>
  <c r="N138" i="4" s="1"/>
  <c r="K139" i="4"/>
  <c r="N139" i="4" s="1"/>
  <c r="K140" i="4"/>
  <c r="N140" i="4" s="1"/>
  <c r="K141" i="4"/>
  <c r="N141" i="4" s="1"/>
  <c r="K142" i="4"/>
  <c r="N142" i="4" s="1"/>
  <c r="K143" i="4"/>
  <c r="N143" i="4" s="1"/>
  <c r="K144" i="4"/>
  <c r="N144" i="4" s="1"/>
  <c r="K145" i="4"/>
  <c r="N145" i="4" s="1"/>
  <c r="K146" i="4"/>
  <c r="N146" i="4" s="1"/>
  <c r="K147" i="4"/>
  <c r="N147" i="4" s="1"/>
  <c r="K148" i="4"/>
  <c r="N148" i="4" s="1"/>
  <c r="K149" i="4"/>
  <c r="N149" i="4" s="1"/>
  <c r="K150" i="4"/>
  <c r="N150" i="4" s="1"/>
  <c r="K151" i="4"/>
  <c r="N151" i="4" s="1"/>
  <c r="K152" i="4"/>
  <c r="N152" i="4" s="1"/>
  <c r="K153" i="4"/>
  <c r="N153" i="4" s="1"/>
  <c r="K154" i="4"/>
  <c r="N154" i="4" s="1"/>
  <c r="K155" i="4"/>
  <c r="N155" i="4" s="1"/>
  <c r="K156" i="4"/>
  <c r="N156" i="4" s="1"/>
  <c r="K157" i="4"/>
  <c r="N157" i="4" s="1"/>
  <c r="K158" i="4"/>
  <c r="N158" i="4" s="1"/>
  <c r="K159" i="4"/>
  <c r="N159" i="4" s="1"/>
  <c r="K160" i="4"/>
  <c r="N160" i="4" s="1"/>
  <c r="K161" i="4"/>
  <c r="N161" i="4" s="1"/>
  <c r="K162" i="4"/>
  <c r="N162" i="4" s="1"/>
  <c r="K163" i="4"/>
  <c r="N163" i="4" s="1"/>
  <c r="K164" i="4"/>
  <c r="N164" i="4" s="1"/>
  <c r="K165" i="4"/>
  <c r="N165" i="4" s="1"/>
  <c r="K166" i="4"/>
  <c r="N166" i="4" s="1"/>
  <c r="K167" i="4"/>
  <c r="N167" i="4" s="1"/>
  <c r="K168" i="4"/>
  <c r="N168" i="4" s="1"/>
  <c r="K169" i="4"/>
  <c r="N169" i="4" s="1"/>
  <c r="K170" i="4"/>
  <c r="N170" i="4" s="1"/>
  <c r="K171" i="4"/>
  <c r="N171" i="4" s="1"/>
  <c r="K172" i="4"/>
  <c r="N172" i="4" s="1"/>
  <c r="K173" i="4"/>
  <c r="N173" i="4" s="1"/>
  <c r="K174" i="4"/>
  <c r="N174" i="4" s="1"/>
  <c r="K175" i="4"/>
  <c r="N175" i="4" s="1"/>
  <c r="K176" i="4"/>
  <c r="N176" i="4" s="1"/>
  <c r="K177" i="4"/>
  <c r="N177" i="4" s="1"/>
  <c r="K178" i="4"/>
  <c r="N178" i="4" s="1"/>
  <c r="K179" i="4"/>
  <c r="N179" i="4" s="1"/>
  <c r="K180" i="4"/>
  <c r="N180" i="4" s="1"/>
  <c r="K181" i="4"/>
  <c r="N181" i="4" s="1"/>
  <c r="K182" i="4"/>
  <c r="N182" i="4" s="1"/>
  <c r="K183" i="4"/>
  <c r="N183" i="4" s="1"/>
  <c r="K184" i="4"/>
  <c r="N184" i="4" s="1"/>
  <c r="K185" i="4"/>
  <c r="N185" i="4" s="1"/>
  <c r="K186" i="4"/>
  <c r="N186" i="4" s="1"/>
  <c r="K187" i="4"/>
  <c r="N187" i="4" s="1"/>
  <c r="K188" i="4"/>
  <c r="N188" i="4" s="1"/>
  <c r="K189" i="4"/>
  <c r="N189" i="4" s="1"/>
  <c r="K190" i="4"/>
  <c r="N190" i="4" s="1"/>
  <c r="K191" i="4"/>
  <c r="N191" i="4" s="1"/>
  <c r="K192" i="4"/>
  <c r="N192" i="4" s="1"/>
  <c r="K193" i="4"/>
  <c r="N193" i="4" s="1"/>
  <c r="K194" i="4"/>
  <c r="N194" i="4" s="1"/>
  <c r="K195" i="4"/>
  <c r="N195" i="4" s="1"/>
  <c r="K196" i="4"/>
  <c r="N196" i="4" s="1"/>
  <c r="K197" i="4"/>
  <c r="N197" i="4" s="1"/>
  <c r="K198" i="4"/>
  <c r="N198" i="4" s="1"/>
  <c r="K199" i="4"/>
  <c r="N199" i="4" s="1"/>
  <c r="K200" i="4"/>
  <c r="N200" i="4" s="1"/>
  <c r="K201" i="4"/>
  <c r="N201" i="4" s="1"/>
  <c r="K202" i="4"/>
  <c r="N202" i="4" s="1"/>
  <c r="K203" i="4"/>
  <c r="N203" i="4" s="1"/>
  <c r="K204" i="4"/>
  <c r="N204" i="4" s="1"/>
  <c r="K205" i="4"/>
  <c r="N205" i="4" s="1"/>
  <c r="K206" i="4"/>
  <c r="N206" i="4" s="1"/>
  <c r="K207" i="4"/>
  <c r="N207" i="4" s="1"/>
  <c r="K208" i="4"/>
  <c r="N208" i="4" s="1"/>
  <c r="K209" i="4"/>
  <c r="N209" i="4" s="1"/>
  <c r="K210" i="4"/>
  <c r="N210" i="4" s="1"/>
  <c r="K211" i="4"/>
  <c r="N211" i="4" s="1"/>
  <c r="K212" i="4"/>
  <c r="N212" i="4" s="1"/>
  <c r="K213" i="4"/>
  <c r="N213" i="4" s="1"/>
  <c r="K214" i="4"/>
  <c r="N214" i="4" s="1"/>
  <c r="K215" i="4"/>
  <c r="N215" i="4" s="1"/>
  <c r="K216" i="4"/>
  <c r="N216" i="4" s="1"/>
  <c r="K217" i="4"/>
  <c r="N217" i="4" s="1"/>
  <c r="K218" i="4"/>
  <c r="N218" i="4" s="1"/>
  <c r="K219" i="4"/>
  <c r="N219" i="4" s="1"/>
  <c r="K220" i="4"/>
  <c r="N220" i="4" s="1"/>
  <c r="K221" i="4"/>
  <c r="N221" i="4" s="1"/>
  <c r="K222" i="4"/>
  <c r="N222" i="4" s="1"/>
  <c r="K223" i="4"/>
  <c r="N223" i="4" s="1"/>
  <c r="K224" i="4"/>
  <c r="N224" i="4" s="1"/>
  <c r="K225" i="4"/>
  <c r="N225" i="4" s="1"/>
  <c r="K226" i="4"/>
  <c r="N226" i="4" s="1"/>
  <c r="K227" i="4"/>
  <c r="N227" i="4" s="1"/>
  <c r="K228" i="4"/>
  <c r="N228" i="4" s="1"/>
  <c r="K229" i="4"/>
  <c r="N229" i="4" s="1"/>
  <c r="K230" i="4"/>
  <c r="N230" i="4" s="1"/>
  <c r="K231" i="4"/>
  <c r="N231" i="4" s="1"/>
  <c r="K232" i="4"/>
  <c r="N232" i="4" s="1"/>
  <c r="K233" i="4"/>
  <c r="N233" i="4" s="1"/>
  <c r="K234" i="4"/>
  <c r="N234" i="4" s="1"/>
  <c r="K235" i="4"/>
  <c r="N235" i="4" s="1"/>
  <c r="K236" i="4"/>
  <c r="N236" i="4" s="1"/>
  <c r="K237" i="4"/>
  <c r="N237" i="4" s="1"/>
  <c r="K238" i="4"/>
  <c r="N238" i="4" s="1"/>
  <c r="K239" i="4"/>
  <c r="N239" i="4" s="1"/>
  <c r="K240" i="4"/>
  <c r="N240" i="4" s="1"/>
  <c r="K241" i="4"/>
  <c r="N241" i="4" s="1"/>
  <c r="K242" i="4"/>
  <c r="N242" i="4" s="1"/>
  <c r="K243" i="4"/>
  <c r="N243" i="4" s="1"/>
  <c r="K244" i="4"/>
  <c r="N244" i="4" s="1"/>
  <c r="K245" i="4"/>
  <c r="N245" i="4" s="1"/>
  <c r="K246" i="4"/>
  <c r="N246" i="4" s="1"/>
  <c r="K247" i="4"/>
  <c r="N247" i="4" s="1"/>
  <c r="K248" i="4"/>
  <c r="N248" i="4" s="1"/>
  <c r="K249" i="4"/>
  <c r="N249" i="4" s="1"/>
  <c r="K250" i="4"/>
  <c r="N250" i="4" s="1"/>
  <c r="K251" i="4"/>
  <c r="N251" i="4" s="1"/>
  <c r="K252" i="4"/>
  <c r="N252" i="4" s="1"/>
  <c r="K253" i="4"/>
  <c r="N253" i="4" s="1"/>
  <c r="K254" i="4"/>
  <c r="N254" i="4" s="1"/>
  <c r="K255" i="4"/>
  <c r="N255" i="4" s="1"/>
  <c r="K256" i="4"/>
  <c r="N256" i="4" s="1"/>
  <c r="K257" i="4"/>
  <c r="N257" i="4" s="1"/>
  <c r="K258" i="4"/>
  <c r="N258" i="4" s="1"/>
  <c r="K259" i="4"/>
  <c r="N259" i="4" s="1"/>
  <c r="K260" i="4"/>
  <c r="N260" i="4" s="1"/>
  <c r="K261" i="4"/>
  <c r="N261" i="4" s="1"/>
  <c r="K262" i="4"/>
  <c r="N262" i="4" s="1"/>
  <c r="K263" i="4"/>
  <c r="N263" i="4" s="1"/>
  <c r="K264" i="4"/>
  <c r="N264" i="4" s="1"/>
  <c r="K265" i="4"/>
  <c r="N265" i="4" s="1"/>
  <c r="K266" i="4"/>
  <c r="N266" i="4" s="1"/>
  <c r="K267" i="4"/>
  <c r="N267" i="4" s="1"/>
  <c r="K268" i="4"/>
  <c r="N268" i="4" s="1"/>
  <c r="K269" i="4"/>
  <c r="N269" i="4" s="1"/>
  <c r="K270" i="4"/>
  <c r="N270" i="4" s="1"/>
  <c r="K271" i="4"/>
  <c r="N271" i="4" s="1"/>
  <c r="K272" i="4"/>
  <c r="N272" i="4" s="1"/>
  <c r="K273" i="4"/>
  <c r="N273" i="4" s="1"/>
  <c r="K274" i="4"/>
  <c r="N274" i="4" s="1"/>
  <c r="K275" i="4"/>
  <c r="N275" i="4" s="1"/>
  <c r="K276" i="4"/>
  <c r="N276" i="4" s="1"/>
  <c r="K277" i="4"/>
  <c r="N277" i="4" s="1"/>
  <c r="K278" i="4"/>
  <c r="N278" i="4" s="1"/>
  <c r="K279" i="4"/>
  <c r="N279" i="4" s="1"/>
  <c r="K280" i="4"/>
  <c r="N280" i="4" s="1"/>
  <c r="K281" i="4"/>
  <c r="N281" i="4" s="1"/>
  <c r="K282" i="4"/>
  <c r="N282" i="4" s="1"/>
  <c r="K283" i="4"/>
  <c r="N283" i="4" s="1"/>
  <c r="K284" i="4"/>
  <c r="N284" i="4" s="1"/>
  <c r="K285" i="4"/>
  <c r="N285" i="4" s="1"/>
  <c r="K286" i="4"/>
  <c r="N286" i="4" s="1"/>
  <c r="K287" i="4"/>
  <c r="N287" i="4" s="1"/>
  <c r="K288" i="4"/>
  <c r="N288" i="4" s="1"/>
  <c r="K289" i="4"/>
  <c r="N289" i="4" s="1"/>
  <c r="K290" i="4"/>
  <c r="N290" i="4" s="1"/>
  <c r="K291" i="4"/>
  <c r="N291" i="4" s="1"/>
  <c r="K292" i="4"/>
  <c r="N292" i="4" s="1"/>
  <c r="K293" i="4"/>
  <c r="N293" i="4" s="1"/>
  <c r="K294" i="4"/>
  <c r="N294" i="4" s="1"/>
  <c r="K295" i="4"/>
  <c r="N295" i="4" s="1"/>
  <c r="K296" i="4"/>
  <c r="N296" i="4" s="1"/>
  <c r="K297" i="4"/>
  <c r="N297" i="4" s="1"/>
  <c r="K298" i="4"/>
  <c r="N298" i="4" s="1"/>
  <c r="K299" i="4"/>
  <c r="N299" i="4" s="1"/>
  <c r="K300" i="4"/>
  <c r="N300" i="4" s="1"/>
  <c r="K301" i="4"/>
  <c r="N301" i="4" s="1"/>
  <c r="K302" i="4"/>
  <c r="N302" i="4" s="1"/>
  <c r="K303" i="4"/>
  <c r="N303" i="4" s="1"/>
  <c r="K304" i="4"/>
  <c r="N304" i="4" s="1"/>
  <c r="K305" i="4"/>
  <c r="N305" i="4" s="1"/>
  <c r="K306" i="4"/>
  <c r="N306" i="4" s="1"/>
  <c r="K307" i="4"/>
  <c r="N307" i="4" s="1"/>
  <c r="K308" i="4"/>
  <c r="N308" i="4" s="1"/>
  <c r="K309" i="4"/>
  <c r="N309" i="4" s="1"/>
  <c r="K310" i="4"/>
  <c r="N310" i="4" s="1"/>
  <c r="K311" i="4"/>
  <c r="N311" i="4" s="1"/>
  <c r="K312" i="4"/>
  <c r="N312" i="4" s="1"/>
  <c r="K313" i="4"/>
  <c r="N313" i="4" s="1"/>
  <c r="K314" i="4"/>
  <c r="N314" i="4" s="1"/>
  <c r="K315" i="4"/>
  <c r="N315" i="4" s="1"/>
  <c r="K316" i="4"/>
  <c r="N316" i="4" s="1"/>
  <c r="K317" i="4"/>
  <c r="N317" i="4" s="1"/>
  <c r="K318" i="4"/>
  <c r="N318" i="4" s="1"/>
  <c r="K319" i="4"/>
  <c r="N319" i="4" s="1"/>
  <c r="K320" i="4"/>
  <c r="N320" i="4" s="1"/>
  <c r="K321" i="4"/>
  <c r="N321" i="4" s="1"/>
  <c r="K322" i="4"/>
  <c r="N322" i="4" s="1"/>
  <c r="K323" i="4"/>
  <c r="N323" i="4" s="1"/>
  <c r="K324" i="4"/>
  <c r="N324" i="4" s="1"/>
  <c r="K325" i="4"/>
  <c r="N325" i="4" s="1"/>
  <c r="K326" i="4"/>
  <c r="N326" i="4" s="1"/>
  <c r="K327" i="4"/>
  <c r="N327" i="4" s="1"/>
  <c r="K328" i="4"/>
  <c r="N328" i="4" s="1"/>
  <c r="K329" i="4"/>
  <c r="N329" i="4" s="1"/>
  <c r="K330" i="4"/>
  <c r="N330" i="4" s="1"/>
  <c r="K331" i="4"/>
  <c r="N331" i="4" s="1"/>
  <c r="K332" i="4"/>
  <c r="N332" i="4" s="1"/>
  <c r="K333" i="4"/>
  <c r="N333" i="4" s="1"/>
  <c r="K334" i="4"/>
  <c r="N334" i="4" s="1"/>
  <c r="K335" i="4"/>
  <c r="N335" i="4" s="1"/>
  <c r="K336" i="4"/>
  <c r="N336" i="4" s="1"/>
  <c r="K337" i="4"/>
  <c r="N337" i="4" s="1"/>
  <c r="K338" i="4"/>
  <c r="N338" i="4" s="1"/>
  <c r="K339" i="4"/>
  <c r="N339" i="4" s="1"/>
  <c r="K340" i="4"/>
  <c r="N340" i="4" s="1"/>
  <c r="K341" i="4"/>
  <c r="N341" i="4" s="1"/>
  <c r="K342" i="4"/>
  <c r="N342" i="4" s="1"/>
  <c r="K343" i="4"/>
  <c r="N343" i="4" s="1"/>
  <c r="K344" i="4"/>
  <c r="N344" i="4" s="1"/>
  <c r="K345" i="4"/>
  <c r="N345" i="4" s="1"/>
  <c r="K346" i="4"/>
  <c r="N346" i="4" s="1"/>
  <c r="K347" i="4"/>
  <c r="N347" i="4" s="1"/>
  <c r="K348" i="4"/>
  <c r="N348" i="4" s="1"/>
  <c r="K349" i="4"/>
  <c r="N349" i="4" s="1"/>
  <c r="K350" i="4"/>
  <c r="N350" i="4" s="1"/>
  <c r="K351" i="4"/>
  <c r="N351" i="4" s="1"/>
  <c r="K352" i="4"/>
  <c r="N352" i="4" s="1"/>
  <c r="K353" i="4"/>
  <c r="N353" i="4" s="1"/>
  <c r="K354" i="4"/>
  <c r="N354" i="4" s="1"/>
  <c r="K355" i="4"/>
  <c r="N355" i="4" s="1"/>
  <c r="K356" i="4"/>
  <c r="N356" i="4" s="1"/>
  <c r="K357" i="4"/>
  <c r="N357" i="4" s="1"/>
  <c r="K358" i="4"/>
  <c r="N358" i="4" s="1"/>
  <c r="K359" i="4"/>
  <c r="N359" i="4" s="1"/>
  <c r="K360" i="4"/>
  <c r="N360" i="4" s="1"/>
  <c r="K361" i="4"/>
  <c r="N361" i="4" s="1"/>
  <c r="K362" i="4"/>
  <c r="N362" i="4" s="1"/>
  <c r="K363" i="4"/>
  <c r="N363" i="4" s="1"/>
  <c r="K364" i="4"/>
  <c r="N364" i="4" s="1"/>
  <c r="K365" i="4"/>
  <c r="N365" i="4" s="1"/>
  <c r="K366" i="4"/>
  <c r="N366" i="4" s="1"/>
  <c r="K367" i="4"/>
  <c r="N367" i="4" s="1"/>
  <c r="K368" i="4"/>
  <c r="N368" i="4" s="1"/>
  <c r="K369" i="4"/>
  <c r="N369" i="4" s="1"/>
  <c r="K370" i="4"/>
  <c r="N370" i="4" s="1"/>
  <c r="K371" i="4"/>
  <c r="N371" i="4" s="1"/>
  <c r="K372" i="4"/>
  <c r="N372" i="4" s="1"/>
  <c r="K373" i="4"/>
  <c r="N373" i="4" s="1"/>
  <c r="K374" i="4"/>
  <c r="N374" i="4" s="1"/>
  <c r="K375" i="4"/>
  <c r="N375" i="4" s="1"/>
  <c r="K376" i="4"/>
  <c r="N376" i="4" s="1"/>
  <c r="K377" i="4"/>
  <c r="N377" i="4" s="1"/>
  <c r="K378" i="4"/>
  <c r="N378" i="4" s="1"/>
  <c r="K379" i="4"/>
  <c r="N379" i="4" s="1"/>
  <c r="K380" i="4"/>
  <c r="N380" i="4" s="1"/>
  <c r="K381" i="4"/>
  <c r="N381" i="4" s="1"/>
  <c r="K382" i="4"/>
  <c r="N382" i="4" s="1"/>
  <c r="K383" i="4"/>
  <c r="N383" i="4" s="1"/>
  <c r="K384" i="4"/>
  <c r="N384" i="4" s="1"/>
  <c r="K385" i="4"/>
  <c r="N385" i="4" s="1"/>
  <c r="K386" i="4"/>
  <c r="N386" i="4" s="1"/>
  <c r="K387" i="4"/>
  <c r="N387" i="4" s="1"/>
  <c r="K388" i="4"/>
  <c r="N388" i="4" s="1"/>
  <c r="K389" i="4"/>
  <c r="N389" i="4" s="1"/>
  <c r="K390" i="4"/>
  <c r="N390" i="4" s="1"/>
  <c r="K391" i="4"/>
  <c r="N391" i="4" s="1"/>
  <c r="K392" i="4"/>
  <c r="N392" i="4" s="1"/>
  <c r="K393" i="4"/>
  <c r="N393" i="4" s="1"/>
  <c r="K394" i="4"/>
  <c r="N394" i="4" s="1"/>
  <c r="K395" i="4"/>
  <c r="N395" i="4" s="1"/>
  <c r="K396" i="4"/>
  <c r="N396" i="4" s="1"/>
  <c r="K397" i="4"/>
  <c r="N397" i="4" s="1"/>
  <c r="K398" i="4"/>
  <c r="N398" i="4" s="1"/>
  <c r="K399" i="4"/>
  <c r="N399" i="4" s="1"/>
  <c r="K400" i="4"/>
  <c r="N400" i="4" s="1"/>
  <c r="K401" i="4"/>
  <c r="N401" i="4" s="1"/>
  <c r="K402" i="4"/>
  <c r="N402" i="4" s="1"/>
  <c r="K403" i="4"/>
  <c r="N403" i="4" s="1"/>
  <c r="K404" i="4"/>
  <c r="N404" i="4" s="1"/>
  <c r="K405" i="4"/>
  <c r="N405" i="4" s="1"/>
  <c r="K406" i="4"/>
  <c r="N406" i="4" s="1"/>
  <c r="K407" i="4"/>
  <c r="N407" i="4" s="1"/>
  <c r="K408" i="4"/>
  <c r="N408" i="4" s="1"/>
  <c r="K409" i="4"/>
  <c r="N409" i="4" s="1"/>
  <c r="K410" i="4"/>
  <c r="N410" i="4" s="1"/>
  <c r="K411" i="4"/>
  <c r="N411" i="4" s="1"/>
  <c r="K412" i="4"/>
  <c r="N412" i="4" s="1"/>
  <c r="K413" i="4"/>
  <c r="N413" i="4" s="1"/>
  <c r="K414" i="4"/>
  <c r="N414" i="4" s="1"/>
  <c r="K415" i="4"/>
  <c r="N415" i="4" s="1"/>
  <c r="K416" i="4"/>
  <c r="N416" i="4" s="1"/>
  <c r="K417" i="4"/>
  <c r="N417" i="4" s="1"/>
  <c r="K418" i="4"/>
  <c r="N418" i="4" s="1"/>
  <c r="K419" i="4"/>
  <c r="N419" i="4" s="1"/>
  <c r="K420" i="4"/>
  <c r="N420" i="4" s="1"/>
  <c r="K421" i="4"/>
  <c r="N421" i="4" s="1"/>
  <c r="K422" i="4"/>
  <c r="N422" i="4" s="1"/>
  <c r="K423" i="4"/>
  <c r="N423" i="4" s="1"/>
  <c r="K424" i="4"/>
  <c r="N424" i="4" s="1"/>
  <c r="K425" i="4"/>
  <c r="N425" i="4" s="1"/>
  <c r="K426" i="4"/>
  <c r="N426" i="4" s="1"/>
  <c r="K427" i="4"/>
  <c r="N427" i="4" s="1"/>
  <c r="K428" i="4"/>
  <c r="N428" i="4" s="1"/>
  <c r="K429" i="4"/>
  <c r="N429" i="4" s="1"/>
  <c r="K430" i="4"/>
  <c r="N430" i="4" s="1"/>
  <c r="K431" i="4"/>
  <c r="N431" i="4" s="1"/>
  <c r="K432" i="4"/>
  <c r="N432" i="4" s="1"/>
  <c r="K433" i="4"/>
  <c r="N433" i="4" s="1"/>
  <c r="K434" i="4"/>
  <c r="N434" i="4" s="1"/>
  <c r="K435" i="4"/>
  <c r="N435" i="4" s="1"/>
  <c r="K436" i="4"/>
  <c r="N436" i="4" s="1"/>
  <c r="K437" i="4"/>
  <c r="N437" i="4" s="1"/>
  <c r="K438" i="4"/>
  <c r="N438" i="4" s="1"/>
  <c r="K439" i="4"/>
  <c r="N439" i="4" s="1"/>
  <c r="K440" i="4"/>
  <c r="N440" i="4" s="1"/>
  <c r="K441" i="4"/>
  <c r="N441" i="4" s="1"/>
  <c r="K442" i="4"/>
  <c r="N442" i="4" s="1"/>
  <c r="K443" i="4"/>
  <c r="N443" i="4" s="1"/>
  <c r="K444" i="4"/>
  <c r="N444" i="4" s="1"/>
  <c r="K445" i="4"/>
  <c r="N445" i="4" s="1"/>
  <c r="K446" i="4"/>
  <c r="N446" i="4" s="1"/>
  <c r="K447" i="4"/>
  <c r="N447" i="4" s="1"/>
  <c r="K448" i="4"/>
  <c r="N448" i="4" s="1"/>
  <c r="K449" i="4"/>
  <c r="N449" i="4" s="1"/>
  <c r="K450" i="4"/>
  <c r="N450" i="4" s="1"/>
  <c r="K451" i="4"/>
  <c r="N451" i="4" s="1"/>
  <c r="K452" i="4"/>
  <c r="N452" i="4" s="1"/>
  <c r="K453" i="4"/>
  <c r="N453" i="4" s="1"/>
  <c r="K454" i="4"/>
  <c r="N454" i="4" s="1"/>
  <c r="K455" i="4"/>
  <c r="N455" i="4" s="1"/>
  <c r="K456" i="4"/>
  <c r="N456" i="4" s="1"/>
  <c r="K457" i="4"/>
  <c r="N457" i="4" s="1"/>
  <c r="K458" i="4"/>
  <c r="N458" i="4" s="1"/>
  <c r="K459" i="4"/>
  <c r="N459" i="4" s="1"/>
  <c r="K460" i="4"/>
  <c r="N460" i="4" s="1"/>
  <c r="K461" i="4"/>
  <c r="N461" i="4" s="1"/>
  <c r="K462" i="4"/>
  <c r="N462" i="4" s="1"/>
  <c r="K463" i="4"/>
  <c r="N463" i="4" s="1"/>
  <c r="K464" i="4"/>
  <c r="N464" i="4" s="1"/>
  <c r="K465" i="4"/>
  <c r="N465" i="4" s="1"/>
  <c r="K466" i="4"/>
  <c r="N466" i="4" s="1"/>
  <c r="K467" i="4"/>
  <c r="N467" i="4" s="1"/>
  <c r="K468" i="4"/>
  <c r="N468" i="4" s="1"/>
  <c r="K469" i="4"/>
  <c r="N469" i="4" s="1"/>
  <c r="K470" i="4"/>
  <c r="N470" i="4" s="1"/>
  <c r="K471" i="4"/>
  <c r="N471" i="4" s="1"/>
  <c r="K472" i="4"/>
  <c r="N472" i="4" s="1"/>
  <c r="K473" i="4"/>
  <c r="N473" i="4" s="1"/>
  <c r="K474" i="4"/>
  <c r="N474" i="4" s="1"/>
  <c r="K475" i="4"/>
  <c r="N475" i="4" s="1"/>
  <c r="K476" i="4"/>
  <c r="N476" i="4" s="1"/>
  <c r="K477" i="4"/>
  <c r="N477" i="4" s="1"/>
  <c r="K478" i="4"/>
  <c r="N478" i="4" s="1"/>
  <c r="K479" i="4"/>
  <c r="N479" i="4" s="1"/>
  <c r="K480" i="4"/>
  <c r="N480" i="4" s="1"/>
  <c r="K481" i="4"/>
  <c r="N481" i="4" s="1"/>
  <c r="K482" i="4"/>
  <c r="N482" i="4" s="1"/>
  <c r="K483" i="4"/>
  <c r="N483" i="4" s="1"/>
  <c r="K484" i="4"/>
  <c r="N484" i="4" s="1"/>
  <c r="K485" i="4"/>
  <c r="N485" i="4" s="1"/>
  <c r="K486" i="4"/>
  <c r="N486" i="4" s="1"/>
  <c r="K487" i="4"/>
  <c r="N487" i="4" s="1"/>
  <c r="K488" i="4"/>
  <c r="N488" i="4" s="1"/>
  <c r="K489" i="4"/>
  <c r="N489" i="4" s="1"/>
  <c r="K490" i="4"/>
  <c r="N490" i="4" s="1"/>
  <c r="K491" i="4"/>
  <c r="N491" i="4" s="1"/>
  <c r="K492" i="4"/>
  <c r="N492" i="4" s="1"/>
  <c r="K493" i="4"/>
  <c r="N493" i="4" s="1"/>
  <c r="K494" i="4"/>
  <c r="N494" i="4" s="1"/>
  <c r="K495" i="4"/>
  <c r="N495" i="4" s="1"/>
  <c r="K496" i="4"/>
  <c r="N496" i="4" s="1"/>
  <c r="K497" i="4"/>
  <c r="N497" i="4" s="1"/>
  <c r="K498" i="4"/>
  <c r="N498" i="4" s="1"/>
  <c r="K499" i="4"/>
  <c r="N499" i="4" s="1"/>
  <c r="K500" i="4"/>
  <c r="N500" i="4" s="1"/>
  <c r="K501" i="4"/>
  <c r="N501" i="4" s="1"/>
  <c r="K502" i="4"/>
  <c r="N502" i="4" s="1"/>
  <c r="K503" i="4"/>
  <c r="N503" i="4" s="1"/>
  <c r="K504" i="4"/>
  <c r="N504" i="4" s="1"/>
  <c r="K505" i="4"/>
  <c r="N505" i="4" s="1"/>
  <c r="K506" i="4"/>
  <c r="N506" i="4" s="1"/>
  <c r="K507" i="4"/>
  <c r="N507" i="4" s="1"/>
  <c r="K508" i="4"/>
  <c r="N508" i="4" s="1"/>
  <c r="K509" i="4"/>
  <c r="N509" i="4" s="1"/>
  <c r="K510" i="4"/>
  <c r="N510" i="4" s="1"/>
  <c r="K511" i="4"/>
  <c r="N511" i="4" s="1"/>
  <c r="K512" i="4"/>
  <c r="N512" i="4" s="1"/>
  <c r="K513" i="4"/>
  <c r="N513" i="4" s="1"/>
  <c r="K514" i="4"/>
  <c r="N514" i="4" s="1"/>
  <c r="K515" i="4"/>
  <c r="N515" i="4" s="1"/>
  <c r="K516" i="4"/>
  <c r="N516" i="4" s="1"/>
  <c r="K517" i="4"/>
  <c r="N517" i="4" s="1"/>
  <c r="K518" i="4"/>
  <c r="N518" i="4" s="1"/>
  <c r="K519" i="4"/>
  <c r="N519" i="4" s="1"/>
  <c r="K520" i="4"/>
  <c r="N520" i="4" s="1"/>
  <c r="K521" i="4"/>
  <c r="N521" i="4" s="1"/>
  <c r="K522" i="4"/>
  <c r="N522" i="4" s="1"/>
  <c r="K523" i="4"/>
  <c r="N523" i="4" s="1"/>
  <c r="K524" i="4"/>
  <c r="N524" i="4" s="1"/>
  <c r="K525" i="4"/>
  <c r="N525" i="4" s="1"/>
  <c r="K526" i="4"/>
  <c r="N526" i="4" s="1"/>
  <c r="K527" i="4"/>
  <c r="N527" i="4" s="1"/>
  <c r="K528" i="4"/>
  <c r="N528" i="4" s="1"/>
  <c r="K529" i="4"/>
  <c r="N529" i="4" s="1"/>
  <c r="K530" i="4"/>
  <c r="N530" i="4" s="1"/>
  <c r="K531" i="4"/>
  <c r="N531" i="4" s="1"/>
  <c r="K532" i="4"/>
  <c r="N532" i="4" s="1"/>
  <c r="K533" i="4"/>
  <c r="N533" i="4" s="1"/>
  <c r="K534" i="4"/>
  <c r="N534" i="4" s="1"/>
  <c r="K535" i="4"/>
  <c r="N535" i="4" s="1"/>
  <c r="K536" i="4"/>
  <c r="N536" i="4" s="1"/>
  <c r="K537" i="4"/>
  <c r="N537" i="4" s="1"/>
  <c r="K538" i="4"/>
  <c r="N538" i="4" s="1"/>
  <c r="K539" i="4"/>
  <c r="N539" i="4" s="1"/>
  <c r="K540" i="4"/>
  <c r="N540" i="4" s="1"/>
  <c r="K541" i="4"/>
  <c r="N541" i="4" s="1"/>
  <c r="K542" i="4"/>
  <c r="N542" i="4" s="1"/>
  <c r="K543" i="4"/>
  <c r="N543" i="4" s="1"/>
  <c r="K544" i="4"/>
  <c r="N544" i="4" s="1"/>
  <c r="K545" i="4"/>
  <c r="N545" i="4" s="1"/>
  <c r="K546" i="4"/>
  <c r="N546" i="4" s="1"/>
  <c r="K547" i="4"/>
  <c r="N547" i="4" s="1"/>
  <c r="K548" i="4"/>
  <c r="N548" i="4" s="1"/>
  <c r="K549" i="4"/>
  <c r="N549" i="4" s="1"/>
  <c r="K550" i="4"/>
  <c r="N550" i="4" s="1"/>
  <c r="K551" i="4"/>
  <c r="N551" i="4" s="1"/>
  <c r="K552" i="4"/>
  <c r="N552" i="4" s="1"/>
  <c r="K553" i="4"/>
  <c r="N553" i="4" s="1"/>
  <c r="K554" i="4"/>
  <c r="N554" i="4" s="1"/>
  <c r="K555" i="4"/>
  <c r="N555" i="4" s="1"/>
  <c r="K556" i="4"/>
  <c r="N556" i="4" s="1"/>
  <c r="P159" i="4" a="1"/>
  <c r="P160" i="4" a="1"/>
  <c r="P161" i="4" a="1"/>
  <c r="P162" i="4" a="1"/>
  <c r="P163" i="4" a="1"/>
  <c r="P164" i="4" a="1"/>
  <c r="P165" i="4" a="1"/>
  <c r="P166" i="4" a="1"/>
  <c r="P167" i="4" a="1"/>
  <c r="P168" i="4" a="1"/>
  <c r="P169" i="4" a="1"/>
  <c r="P170" i="4" a="1"/>
  <c r="P171" i="4" a="1"/>
  <c r="P172" i="4" a="1"/>
  <c r="P173" i="4" a="1"/>
  <c r="P174" i="4" a="1"/>
  <c r="P175" i="4" a="1"/>
  <c r="P176" i="4" a="1"/>
  <c r="P177" i="4" a="1"/>
  <c r="P178" i="4" a="1"/>
  <c r="P179" i="4" a="1"/>
  <c r="P180" i="4" a="1"/>
  <c r="P181" i="4" a="1"/>
  <c r="P182" i="4" a="1"/>
  <c r="P183" i="4" a="1"/>
  <c r="P184" i="4" a="1"/>
  <c r="P185" i="4" a="1"/>
  <c r="P186" i="4" a="1"/>
  <c r="P187" i="4" a="1"/>
  <c r="P188" i="4" a="1"/>
  <c r="P189" i="4" a="1"/>
  <c r="P190" i="4" a="1"/>
  <c r="P191" i="4" a="1"/>
  <c r="P192" i="4" a="1"/>
  <c r="P193" i="4" a="1"/>
  <c r="P194" i="4" a="1"/>
  <c r="P195" i="4" a="1"/>
  <c r="P196" i="4" a="1"/>
  <c r="Q196" i="4" s="1"/>
  <c r="P197" i="4" a="1"/>
  <c r="Q197" i="4" s="1"/>
  <c r="P198" i="4" a="1"/>
  <c r="Q198" i="4" s="1"/>
  <c r="P199" i="4" a="1"/>
  <c r="Q199" i="4" s="1"/>
  <c r="P200" i="4" a="1"/>
  <c r="Q200" i="4" s="1"/>
  <c r="P201" i="4" a="1"/>
  <c r="Q201" i="4" s="1"/>
  <c r="P202" i="4" a="1"/>
  <c r="Q202" i="4" s="1"/>
  <c r="P203" i="4" a="1"/>
  <c r="Q203" i="4" s="1"/>
  <c r="P204" i="4" a="1"/>
  <c r="Q204" i="4" s="1"/>
  <c r="P205" i="4" a="1"/>
  <c r="Q205" i="4" s="1"/>
  <c r="P206" i="4" a="1"/>
  <c r="Q206" i="4" s="1"/>
  <c r="P207" i="4" a="1"/>
  <c r="Q207" i="4" s="1"/>
  <c r="P208" i="4" a="1"/>
  <c r="Q208" i="4" s="1"/>
  <c r="P209" i="4" a="1"/>
  <c r="Q209" i="4" s="1"/>
  <c r="P210" i="4" a="1"/>
  <c r="Q210" i="4" s="1"/>
  <c r="P211" i="4" a="1"/>
  <c r="Q211" i="4" s="1"/>
  <c r="P212" i="4" a="1"/>
  <c r="Q212" i="4" s="1"/>
  <c r="P213" i="4" a="1"/>
  <c r="Q213" i="4" s="1"/>
  <c r="P214" i="4" a="1"/>
  <c r="Q214" i="4" s="1"/>
  <c r="P215" i="4" a="1"/>
  <c r="Q215" i="4" s="1"/>
  <c r="P216" i="4" a="1"/>
  <c r="Q216" i="4" s="1"/>
  <c r="P217" i="4" a="1"/>
  <c r="Q217" i="4" s="1"/>
  <c r="P218" i="4" a="1"/>
  <c r="Q218" i="4" s="1"/>
  <c r="P219" i="4" a="1"/>
  <c r="Q219" i="4" s="1"/>
  <c r="P220" i="4" a="1"/>
  <c r="Q220" i="4" s="1"/>
  <c r="P221" i="4" a="1"/>
  <c r="Q221" i="4" s="1"/>
  <c r="P222" i="4" a="1"/>
  <c r="Q222" i="4" s="1"/>
  <c r="P223" i="4" a="1"/>
  <c r="Q223" i="4" s="1"/>
  <c r="P224" i="4" a="1"/>
  <c r="Q224" i="4" s="1"/>
  <c r="P225" i="4" a="1"/>
  <c r="Q225" i="4" s="1"/>
  <c r="P226" i="4" a="1"/>
  <c r="Q226" i="4" s="1"/>
  <c r="P227" i="4" a="1"/>
  <c r="Q227" i="4" s="1"/>
  <c r="P228" i="4" a="1"/>
  <c r="Q228" i="4" s="1"/>
  <c r="P229" i="4" a="1"/>
  <c r="Q229" i="4" s="1"/>
  <c r="P230" i="4" a="1"/>
  <c r="Q230" i="4" s="1"/>
  <c r="P231" i="4" a="1"/>
  <c r="Q231" i="4" s="1"/>
  <c r="P232" i="4" a="1"/>
  <c r="Q232" i="4" s="1"/>
  <c r="P233" i="4" a="1"/>
  <c r="Q233" i="4" s="1"/>
  <c r="P234" i="4" a="1"/>
  <c r="Q234" i="4" s="1"/>
  <c r="P235" i="4" a="1"/>
  <c r="Q235" i="4" s="1"/>
  <c r="P236" i="4" a="1"/>
  <c r="Q236" i="4" s="1"/>
  <c r="P237" i="4" a="1"/>
  <c r="Q237" i="4" s="1"/>
  <c r="P238" i="4" a="1"/>
  <c r="Q238" i="4" s="1"/>
  <c r="P239" i="4" a="1"/>
  <c r="P240" i="4" a="1"/>
  <c r="P241" i="4" a="1"/>
  <c r="P242" i="4" a="1"/>
  <c r="P243" i="4" a="1"/>
  <c r="P244" i="4" a="1"/>
  <c r="P245" i="4" a="1"/>
  <c r="P246" i="4" a="1"/>
  <c r="P247" i="4" a="1"/>
  <c r="P248" i="4" a="1"/>
  <c r="P249" i="4" a="1"/>
  <c r="P250" i="4" a="1"/>
  <c r="P251" i="4" a="1"/>
  <c r="P252" i="4" a="1"/>
  <c r="P253" i="4" a="1"/>
  <c r="P254" i="4" a="1"/>
  <c r="P255" i="4" a="1"/>
  <c r="P256" i="4" a="1"/>
  <c r="P257" i="4" a="1"/>
  <c r="P258" i="4" a="1"/>
  <c r="P259" i="4" a="1"/>
  <c r="P260" i="4" a="1"/>
  <c r="P261" i="4" a="1"/>
  <c r="P262" i="4" a="1"/>
  <c r="P263" i="4" a="1"/>
  <c r="P264" i="4" a="1"/>
  <c r="P265" i="4" a="1"/>
  <c r="P266" i="4" a="1"/>
  <c r="P267" i="4" a="1"/>
  <c r="P268" i="4" a="1"/>
  <c r="P269" i="4" a="1"/>
  <c r="P270" i="4" a="1"/>
  <c r="P271" i="4" a="1"/>
  <c r="P272" i="4" a="1"/>
  <c r="P273" i="4" a="1"/>
  <c r="P274" i="4" a="1"/>
  <c r="P275" i="4" a="1"/>
  <c r="P276" i="4" a="1"/>
  <c r="P277" i="4" a="1"/>
  <c r="P278" i="4" a="1"/>
  <c r="P279" i="4" a="1"/>
  <c r="P280" i="4" a="1"/>
  <c r="P281" i="4" a="1"/>
  <c r="P282" i="4" a="1"/>
  <c r="P283" i="4" a="1"/>
  <c r="P284" i="4" a="1"/>
  <c r="P285" i="4" a="1"/>
  <c r="P286" i="4" a="1"/>
  <c r="P287" i="4" a="1"/>
  <c r="P288" i="4" a="1"/>
  <c r="P289" i="4" a="1"/>
  <c r="P290" i="4" a="1"/>
  <c r="P291" i="4" a="1"/>
  <c r="P292" i="4" a="1"/>
  <c r="P293" i="4" a="1"/>
  <c r="P294" i="4" a="1"/>
  <c r="P295" i="4" a="1"/>
  <c r="P296" i="4" a="1"/>
  <c r="P297" i="4" a="1"/>
  <c r="P298" i="4" a="1"/>
  <c r="P299" i="4" a="1"/>
  <c r="P300" i="4" a="1"/>
  <c r="P301" i="4" a="1"/>
  <c r="P302" i="4" a="1"/>
  <c r="P303" i="4" a="1"/>
  <c r="P304" i="4" a="1"/>
  <c r="P305" i="4" a="1"/>
  <c r="P306" i="4" a="1"/>
  <c r="P307" i="4" a="1"/>
  <c r="P308" i="4" a="1"/>
  <c r="P309" i="4" a="1"/>
  <c r="P310" i="4" a="1"/>
  <c r="P311" i="4" a="1"/>
  <c r="P312" i="4" a="1"/>
  <c r="P313" i="4" a="1"/>
  <c r="P314" i="4" a="1"/>
  <c r="P315" i="4" a="1"/>
  <c r="P316" i="4" a="1"/>
  <c r="P317" i="4" a="1"/>
  <c r="P318" i="4" a="1"/>
  <c r="P319" i="4" a="1"/>
  <c r="P320" i="4" a="1"/>
  <c r="P321" i="4" a="1"/>
  <c r="P322" i="4" a="1"/>
  <c r="P323" i="4" a="1"/>
  <c r="P324" i="4" a="1"/>
  <c r="P325" i="4" a="1"/>
  <c r="P326" i="4" a="1"/>
  <c r="P327" i="4" a="1"/>
  <c r="P328" i="4" a="1"/>
  <c r="P329" i="4" a="1"/>
  <c r="P330" i="4" a="1"/>
  <c r="P331" i="4" a="1"/>
  <c r="P332" i="4" a="1"/>
  <c r="P333" i="4" a="1"/>
  <c r="P334" i="4" a="1"/>
  <c r="P335" i="4" a="1"/>
  <c r="P336" i="4" a="1"/>
  <c r="P337" i="4" a="1"/>
  <c r="P338" i="4" a="1"/>
  <c r="P339" i="4" a="1"/>
  <c r="P340" i="4" a="1"/>
  <c r="P341" i="4" a="1"/>
  <c r="P342" i="4" a="1"/>
  <c r="P343" i="4" a="1"/>
  <c r="P344" i="4" a="1"/>
  <c r="P345" i="4" a="1"/>
  <c r="P346" i="4" a="1"/>
  <c r="P347" i="4" a="1"/>
  <c r="P348" i="4" a="1"/>
  <c r="P349" i="4" a="1"/>
  <c r="P350" i="4" a="1"/>
  <c r="P351" i="4" a="1"/>
  <c r="P352" i="4" a="1"/>
  <c r="P353" i="4" a="1"/>
  <c r="P354" i="4" a="1"/>
  <c r="P355" i="4" a="1"/>
  <c r="Q355" i="4" s="1"/>
  <c r="P356" i="4" a="1"/>
  <c r="Q356" i="4" s="1"/>
  <c r="P357" i="4" a="1"/>
  <c r="Q357" i="4" s="1"/>
  <c r="P358" i="4" a="1"/>
  <c r="Q358" i="4" s="1"/>
  <c r="P359" i="4" a="1"/>
  <c r="Q359" i="4" s="1"/>
  <c r="P360" i="4" a="1"/>
  <c r="Q360" i="4" s="1"/>
  <c r="P361" i="4" a="1"/>
  <c r="Q361" i="4" s="1"/>
  <c r="P362" i="4" a="1"/>
  <c r="Q362" i="4" s="1"/>
  <c r="P363" i="4" a="1"/>
  <c r="Q363" i="4" s="1"/>
  <c r="P364" i="4" a="1"/>
  <c r="Q364" i="4" s="1"/>
  <c r="P365" i="4" a="1"/>
  <c r="Q365" i="4" s="1"/>
  <c r="P366" i="4" a="1"/>
  <c r="Q366" i="4" s="1"/>
  <c r="P367" i="4" a="1"/>
  <c r="Q367" i="4" s="1"/>
  <c r="P368" i="4" a="1"/>
  <c r="Q368" i="4" s="1"/>
  <c r="P369" i="4" a="1"/>
  <c r="Q369" i="4" s="1"/>
  <c r="P370" i="4" a="1"/>
  <c r="Q370" i="4" s="1"/>
  <c r="P371" i="4" a="1"/>
  <c r="Q371" i="4" s="1"/>
  <c r="P372" i="4" a="1"/>
  <c r="Q372" i="4" s="1"/>
  <c r="P373" i="4" a="1"/>
  <c r="Q373" i="4" s="1"/>
  <c r="P374" i="4" a="1"/>
  <c r="Q374" i="4" s="1"/>
  <c r="P375" i="4" a="1"/>
  <c r="Q375" i="4" s="1"/>
  <c r="P376" i="4" a="1"/>
  <c r="Q376" i="4" s="1"/>
  <c r="P377" i="4" a="1"/>
  <c r="Q377" i="4" s="1"/>
  <c r="P378" i="4" a="1"/>
  <c r="Q378" i="4" s="1"/>
  <c r="P379" i="4" a="1"/>
  <c r="Q379" i="4" s="1"/>
  <c r="P380" i="4" a="1"/>
  <c r="Q380" i="4" s="1"/>
  <c r="P381" i="4" a="1"/>
  <c r="Q381" i="4" s="1"/>
  <c r="P382" i="4" a="1"/>
  <c r="Q382" i="4" s="1"/>
  <c r="P383" i="4" a="1"/>
  <c r="Q383" i="4" s="1"/>
  <c r="P384" i="4" a="1"/>
  <c r="Q384" i="4" s="1"/>
  <c r="P385" i="4" a="1"/>
  <c r="Q385" i="4" s="1"/>
  <c r="P386" i="4" a="1"/>
  <c r="Q386" i="4" s="1"/>
  <c r="P387" i="4" a="1"/>
  <c r="Q387" i="4" s="1"/>
  <c r="P388" i="4" a="1"/>
  <c r="Q388" i="4" s="1"/>
  <c r="P389" i="4" a="1"/>
  <c r="Q389" i="4" s="1"/>
  <c r="P390" i="4" a="1"/>
  <c r="Q390" i="4" s="1"/>
  <c r="P391" i="4" a="1"/>
  <c r="Q391" i="4" s="1"/>
  <c r="P392" i="4" a="1"/>
  <c r="Q392" i="4" s="1"/>
  <c r="P393" i="4" a="1"/>
  <c r="Q393" i="4" s="1"/>
  <c r="P394" i="4" a="1"/>
  <c r="Q394" i="4" s="1"/>
  <c r="P395" i="4" a="1"/>
  <c r="Q395" i="4" s="1"/>
  <c r="P396" i="4" a="1"/>
  <c r="Q396" i="4" s="1"/>
  <c r="P397" i="4" a="1"/>
  <c r="Q397" i="4" s="1"/>
  <c r="P398" i="4" a="1"/>
  <c r="Q398" i="4" s="1"/>
  <c r="P399" i="4" a="1"/>
  <c r="Q399" i="4" s="1"/>
  <c r="P400" i="4" a="1"/>
  <c r="Q400" i="4" s="1"/>
  <c r="P401" i="4" a="1"/>
  <c r="Q401" i="4" s="1"/>
  <c r="P402" i="4" a="1"/>
  <c r="Q402" i="4" s="1"/>
  <c r="P403" i="4" a="1"/>
  <c r="Q403" i="4" s="1"/>
  <c r="P404" i="4" a="1"/>
  <c r="Q404" i="4" s="1"/>
  <c r="P405" i="4" a="1"/>
  <c r="Q405" i="4" s="1"/>
  <c r="P406" i="4" a="1"/>
  <c r="Q406" i="4" s="1"/>
  <c r="P407" i="4" a="1"/>
  <c r="Q407" i="4" s="1"/>
  <c r="P408" i="4" a="1"/>
  <c r="Q408" i="4" s="1"/>
  <c r="P409" i="4" a="1"/>
  <c r="Q409" i="4" s="1"/>
  <c r="P410" i="4" a="1"/>
  <c r="Q410" i="4" s="1"/>
  <c r="P411" i="4" a="1"/>
  <c r="Q411" i="4" s="1"/>
  <c r="P412" i="4" a="1"/>
  <c r="Q412" i="4" s="1"/>
  <c r="P413" i="4" a="1"/>
  <c r="Q413" i="4" s="1"/>
  <c r="P414" i="4" a="1"/>
  <c r="Q414" i="4" s="1"/>
  <c r="P415" i="4" a="1"/>
  <c r="Q415" i="4" s="1"/>
  <c r="P416" i="4" a="1"/>
  <c r="Q416" i="4" s="1"/>
  <c r="P417" i="4" a="1"/>
  <c r="Q417" i="4" s="1"/>
  <c r="P418" i="4" a="1"/>
  <c r="Q418" i="4" s="1"/>
  <c r="P419" i="4" a="1"/>
  <c r="Q419" i="4" s="1"/>
  <c r="P420" i="4" a="1"/>
  <c r="Q420" i="4" s="1"/>
  <c r="P421" i="4" a="1"/>
  <c r="Q421" i="4" s="1"/>
  <c r="P422" i="4" a="1"/>
  <c r="Q422" i="4" s="1"/>
  <c r="P423" i="4" a="1"/>
  <c r="Q423" i="4" s="1"/>
  <c r="P424" i="4" a="1"/>
  <c r="Q424" i="4" s="1"/>
  <c r="P425" i="4" a="1"/>
  <c r="Q425" i="4" s="1"/>
  <c r="P426" i="4" a="1"/>
  <c r="Q426" i="4" s="1"/>
  <c r="P427" i="4" a="1"/>
  <c r="Q427" i="4" s="1"/>
  <c r="P428" i="4" a="1"/>
  <c r="Q428" i="4" s="1"/>
  <c r="P429" i="4" a="1"/>
  <c r="Q429" i="4" s="1"/>
  <c r="P430" i="4" a="1"/>
  <c r="Q430" i="4" s="1"/>
  <c r="P431" i="4" a="1"/>
  <c r="Q431" i="4" s="1"/>
  <c r="P432" i="4" a="1"/>
  <c r="Q432" i="4" s="1"/>
  <c r="P433" i="4" a="1"/>
  <c r="Q433" i="4" s="1"/>
  <c r="P434" i="4" a="1"/>
  <c r="Q434" i="4" s="1"/>
  <c r="P435" i="4" a="1"/>
  <c r="Q435" i="4" s="1"/>
  <c r="P436" i="4" a="1"/>
  <c r="Q436" i="4" s="1"/>
  <c r="P437" i="4" a="1"/>
  <c r="Q437" i="4" s="1"/>
  <c r="P438" i="4" a="1"/>
  <c r="Q438" i="4" s="1"/>
  <c r="P439" i="4" a="1"/>
  <c r="Q439" i="4" s="1"/>
  <c r="P440" i="4" a="1"/>
  <c r="Q440" i="4" s="1"/>
  <c r="P441" i="4" a="1"/>
  <c r="Q441" i="4" s="1"/>
  <c r="P442" i="4" a="1"/>
  <c r="Q442" i="4" s="1"/>
  <c r="P443" i="4" a="1"/>
  <c r="Q443" i="4" s="1"/>
  <c r="P444" i="4" a="1"/>
  <c r="Q444" i="4" s="1"/>
  <c r="P445" i="4" a="1"/>
  <c r="Q445" i="4" s="1"/>
  <c r="P446" i="4" a="1"/>
  <c r="Q446" i="4" s="1"/>
  <c r="P447" i="4" a="1"/>
  <c r="Q447" i="4" s="1"/>
  <c r="P448" i="4" a="1"/>
  <c r="Q448" i="4" s="1"/>
  <c r="P449" i="4" a="1"/>
  <c r="Q449" i="4" s="1"/>
  <c r="P450" i="4" a="1"/>
  <c r="Q450" i="4" s="1"/>
  <c r="P451" i="4" a="1"/>
  <c r="Q451" i="4" s="1"/>
  <c r="P452" i="4" a="1"/>
  <c r="Q452" i="4" s="1"/>
  <c r="P453" i="4" a="1"/>
  <c r="Q453" i="4" s="1"/>
  <c r="P454" i="4" a="1"/>
  <c r="Q454" i="4" s="1"/>
  <c r="P455" i="4" a="1"/>
  <c r="Q455" i="4" s="1"/>
  <c r="P456" i="4" a="1"/>
  <c r="Q456" i="4" s="1"/>
  <c r="P457" i="4" a="1"/>
  <c r="Q457" i="4" s="1"/>
  <c r="P458" i="4" a="1"/>
  <c r="Q458" i="4" s="1"/>
  <c r="P459" i="4" a="1"/>
  <c r="Q459" i="4" s="1"/>
  <c r="P460" i="4" a="1"/>
  <c r="Q460" i="4" s="1"/>
  <c r="P461" i="4" a="1"/>
  <c r="Q461" i="4" s="1"/>
  <c r="P462" i="4" a="1"/>
  <c r="Q462" i="4" s="1"/>
  <c r="P463" i="4" a="1"/>
  <c r="Q463" i="4" s="1"/>
  <c r="P464" i="4" a="1"/>
  <c r="Q464" i="4" s="1"/>
  <c r="P465" i="4" a="1"/>
  <c r="Q465" i="4" s="1"/>
  <c r="P466" i="4" a="1"/>
  <c r="Q466" i="4" s="1"/>
  <c r="P467" i="4" a="1"/>
  <c r="Q467" i="4" s="1"/>
  <c r="P468" i="4" a="1"/>
  <c r="Q468" i="4" s="1"/>
  <c r="P469" i="4" a="1"/>
  <c r="Q469" i="4" s="1"/>
  <c r="P470" i="4" a="1"/>
  <c r="Q470" i="4" s="1"/>
  <c r="P471" i="4" a="1"/>
  <c r="Q471" i="4" s="1"/>
  <c r="P472" i="4" a="1"/>
  <c r="Q472" i="4" s="1"/>
  <c r="P473" i="4" a="1"/>
  <c r="Q473" i="4" s="1"/>
  <c r="P474" i="4" a="1"/>
  <c r="Q474" i="4" s="1"/>
  <c r="P475" i="4" a="1"/>
  <c r="Q475" i="4" s="1"/>
  <c r="P476" i="4" a="1"/>
  <c r="Q476" i="4" s="1"/>
  <c r="P477" i="4" a="1"/>
  <c r="Q477" i="4" s="1"/>
  <c r="P478" i="4" a="1"/>
  <c r="Q478" i="4" s="1"/>
  <c r="P479" i="4" a="1"/>
  <c r="Q479" i="4" s="1"/>
  <c r="P480" i="4" a="1"/>
  <c r="Q480" i="4" s="1"/>
  <c r="P481" i="4" a="1"/>
  <c r="Q481" i="4" s="1"/>
  <c r="P482" i="4" a="1"/>
  <c r="Q482" i="4" s="1"/>
  <c r="P483" i="4" a="1"/>
  <c r="Q483" i="4" s="1"/>
  <c r="P484" i="4" a="1"/>
  <c r="Q484" i="4" s="1"/>
  <c r="P485" i="4" a="1"/>
  <c r="Q485" i="4" s="1"/>
  <c r="P486" i="4" a="1"/>
  <c r="Q486" i="4" s="1"/>
  <c r="P487" i="4" a="1"/>
  <c r="Q487" i="4" s="1"/>
  <c r="P488" i="4" a="1"/>
  <c r="Q488" i="4" s="1"/>
  <c r="P489" i="4" a="1"/>
  <c r="Q489" i="4" s="1"/>
  <c r="P490" i="4" a="1"/>
  <c r="Q490" i="4" s="1"/>
  <c r="P491" i="4" a="1"/>
  <c r="Q491" i="4" s="1"/>
  <c r="P492" i="4" a="1"/>
  <c r="Q492" i="4" s="1"/>
  <c r="P493" i="4" a="1"/>
  <c r="Q493" i="4" s="1"/>
  <c r="P494" i="4" a="1"/>
  <c r="Q494" i="4" s="1"/>
  <c r="P495" i="4" a="1"/>
  <c r="Q495" i="4" s="1"/>
  <c r="P496" i="4" a="1"/>
  <c r="Q496" i="4" s="1"/>
  <c r="P497" i="4" a="1"/>
  <c r="Q497" i="4" s="1"/>
  <c r="P498" i="4" a="1"/>
  <c r="Q498" i="4" s="1"/>
  <c r="P499" i="4" a="1"/>
  <c r="Q499" i="4" s="1"/>
  <c r="P500" i="4" a="1"/>
  <c r="Q500" i="4" s="1"/>
  <c r="P501" i="4" a="1"/>
  <c r="Q501" i="4" s="1"/>
  <c r="P502" i="4" a="1"/>
  <c r="Q502" i="4" s="1"/>
  <c r="P503" i="4" a="1"/>
  <c r="Q503" i="4" s="1"/>
  <c r="P504" i="4" a="1"/>
  <c r="Q504" i="4" s="1"/>
  <c r="P505" i="4" a="1"/>
  <c r="Q505" i="4" s="1"/>
  <c r="P506" i="4" a="1"/>
  <c r="Q506" i="4" s="1"/>
  <c r="P507" i="4" a="1"/>
  <c r="Q507" i="4" s="1"/>
  <c r="P508" i="4" a="1"/>
  <c r="Q508" i="4" s="1"/>
  <c r="P509" i="4" a="1"/>
  <c r="Q509" i="4" s="1"/>
  <c r="P510" i="4" a="1"/>
  <c r="Q510" i="4" s="1"/>
  <c r="P511" i="4" a="1"/>
  <c r="Q511" i="4" s="1"/>
  <c r="P512" i="4" a="1"/>
  <c r="Q512" i="4" s="1"/>
  <c r="P513" i="4" a="1"/>
  <c r="Q513" i="4" s="1"/>
  <c r="P514" i="4" a="1"/>
  <c r="Q514" i="4" s="1"/>
  <c r="P515" i="4" a="1"/>
  <c r="Q515" i="4" s="1"/>
  <c r="P516" i="4" a="1"/>
  <c r="Q516" i="4" s="1"/>
  <c r="P517" i="4" a="1"/>
  <c r="Q517" i="4" s="1"/>
  <c r="P518" i="4" a="1"/>
  <c r="Q518" i="4" s="1"/>
  <c r="P519" i="4" a="1"/>
  <c r="Q519" i="4" s="1"/>
  <c r="P520" i="4" a="1"/>
  <c r="Q520" i="4" s="1"/>
  <c r="P521" i="4" a="1"/>
  <c r="Q521" i="4" s="1"/>
  <c r="P522" i="4" a="1"/>
  <c r="Q522" i="4" s="1"/>
  <c r="P523" i="4" a="1"/>
  <c r="Q523" i="4" s="1"/>
  <c r="P524" i="4" a="1"/>
  <c r="Q524" i="4" s="1"/>
  <c r="P525" i="4" a="1"/>
  <c r="Q525" i="4" s="1"/>
  <c r="P526" i="4" a="1"/>
  <c r="Q526" i="4" s="1"/>
  <c r="P527" i="4" a="1"/>
  <c r="Q527" i="4" s="1"/>
  <c r="P528" i="4" a="1"/>
  <c r="Q528" i="4" s="1"/>
  <c r="P529" i="4" a="1"/>
  <c r="Q529" i="4" s="1"/>
  <c r="P530" i="4" a="1"/>
  <c r="Q530" i="4" s="1"/>
  <c r="P531" i="4" a="1"/>
  <c r="Q531" i="4" s="1"/>
  <c r="P532" i="4" a="1"/>
  <c r="Q532" i="4" s="1"/>
  <c r="P533" i="4" a="1"/>
  <c r="Q533" i="4" s="1"/>
  <c r="P534" i="4" a="1"/>
  <c r="Q534" i="4" s="1"/>
  <c r="P535" i="4" a="1"/>
  <c r="Q535" i="4" s="1"/>
  <c r="P536" i="4" a="1"/>
  <c r="Q536" i="4" s="1"/>
  <c r="P537" i="4" a="1"/>
  <c r="Q537" i="4" s="1"/>
  <c r="P538" i="4" a="1"/>
  <c r="Q538" i="4" s="1"/>
  <c r="P539" i="4" a="1"/>
  <c r="Q539" i="4" s="1"/>
  <c r="P540" i="4" a="1"/>
  <c r="Q540" i="4" s="1"/>
  <c r="P541" i="4" a="1"/>
  <c r="Q541" i="4" s="1"/>
  <c r="P542" i="4" a="1"/>
  <c r="Q542" i="4" s="1"/>
  <c r="P543" i="4" a="1"/>
  <c r="Q543" i="4" s="1"/>
  <c r="P544" i="4" a="1"/>
  <c r="Q544" i="4" s="1"/>
  <c r="P545" i="4" a="1"/>
  <c r="Q545" i="4" s="1"/>
  <c r="P546" i="4" a="1"/>
  <c r="Q546" i="4" s="1"/>
  <c r="P547" i="4" a="1"/>
  <c r="Q547" i="4" s="1"/>
  <c r="P548" i="4" a="1"/>
  <c r="Q548" i="4" s="1"/>
  <c r="P549" i="4" a="1"/>
  <c r="Q549" i="4" s="1"/>
  <c r="P550" i="4" a="1"/>
  <c r="Q550" i="4" s="1"/>
  <c r="P551" i="4" a="1"/>
  <c r="Q551" i="4" s="1"/>
  <c r="P552" i="4" a="1"/>
  <c r="Q552" i="4" s="1"/>
  <c r="P553" i="4" a="1"/>
  <c r="Q553" i="4" s="1"/>
  <c r="P554" i="4" a="1"/>
  <c r="Q554" i="4" s="1"/>
  <c r="P555" i="4" a="1"/>
  <c r="Q555" i="4" s="1"/>
  <c r="P556" i="4" a="1"/>
  <c r="Q556" i="4" s="1"/>
  <c r="P557" i="4" a="1"/>
  <c r="Q557" i="4" s="1"/>
  <c r="P558" i="4" a="1"/>
  <c r="Q558" i="4" s="1"/>
  <c r="P559" i="4" a="1"/>
  <c r="Q559" i="4" s="1"/>
  <c r="P560" i="4" a="1"/>
  <c r="Q560" i="4" s="1"/>
  <c r="P561" i="4" a="1"/>
  <c r="Q561" i="4" s="1"/>
  <c r="P562" i="4" a="1"/>
  <c r="Q562" i="4" s="1"/>
  <c r="P563" i="4" a="1"/>
  <c r="Q563" i="4" s="1"/>
  <c r="P564" i="4" a="1"/>
  <c r="Q564" i="4" s="1"/>
  <c r="P565" i="4" a="1"/>
  <c r="Q565" i="4" s="1"/>
  <c r="P566" i="4" a="1"/>
  <c r="Q566" i="4" s="1"/>
  <c r="P100" i="4" a="1"/>
  <c r="Q100" i="4" s="1"/>
  <c r="P101" i="4" a="1"/>
  <c r="Q101" i="4" s="1"/>
  <c r="P102" i="4" a="1"/>
  <c r="Q102" i="4" s="1"/>
  <c r="P103" i="4" a="1"/>
  <c r="Q103" i="4" s="1"/>
  <c r="P104" i="4" a="1"/>
  <c r="Q104" i="4" s="1"/>
  <c r="P105" i="4" a="1"/>
  <c r="Q105" i="4" s="1"/>
  <c r="P106" i="4" a="1"/>
  <c r="Q106" i="4" s="1"/>
  <c r="P107" i="4" a="1"/>
  <c r="Q107" i="4" s="1"/>
  <c r="P108" i="4" a="1"/>
  <c r="Q108" i="4" s="1"/>
  <c r="P109" i="4" a="1"/>
  <c r="Q109" i="4" s="1"/>
  <c r="P110" i="4" a="1"/>
  <c r="Q110" i="4" s="1"/>
  <c r="P111" i="4" a="1"/>
  <c r="Q111" i="4" s="1"/>
  <c r="P112" i="4" a="1"/>
  <c r="Q112" i="4" s="1"/>
  <c r="P113" i="4" a="1"/>
  <c r="Q113" i="4" s="1"/>
  <c r="P114" i="4" a="1"/>
  <c r="Q114" i="4" s="1"/>
  <c r="P115" i="4" a="1"/>
  <c r="Q115" i="4" s="1"/>
  <c r="P116" i="4" a="1"/>
  <c r="Q116" i="4" s="1"/>
  <c r="P117" i="4" a="1"/>
  <c r="Q117" i="4" s="1"/>
  <c r="P118" i="4" a="1"/>
  <c r="Q118" i="4" s="1"/>
  <c r="P119" i="4" a="1"/>
  <c r="Q119" i="4" s="1"/>
  <c r="P120" i="4" a="1"/>
  <c r="Q120" i="4" s="1"/>
  <c r="P121" i="4" a="1"/>
  <c r="Q121" i="4" s="1"/>
  <c r="P122" i="4" a="1"/>
  <c r="Q122" i="4" s="1"/>
  <c r="P123" i="4" a="1"/>
  <c r="Q123" i="4" s="1"/>
  <c r="P124" i="4" a="1"/>
  <c r="Q124" i="4" s="1"/>
  <c r="P125" i="4" a="1"/>
  <c r="Q125" i="4" s="1"/>
  <c r="P126" i="4" a="1"/>
  <c r="Q126" i="4" s="1"/>
  <c r="P127" i="4" a="1"/>
  <c r="Q127" i="4" s="1"/>
  <c r="P128" i="4" a="1"/>
  <c r="Q128" i="4" s="1"/>
  <c r="P129" i="4" a="1"/>
  <c r="Q129" i="4" s="1"/>
  <c r="P130" i="4" a="1"/>
  <c r="Q130" i="4" s="1"/>
  <c r="P131" i="4" a="1"/>
  <c r="Q131" i="4" s="1"/>
  <c r="P132" i="4" a="1"/>
  <c r="Q132" i="4" s="1"/>
  <c r="P133" i="4" a="1"/>
  <c r="Q133" i="4" s="1"/>
  <c r="P134" i="4" a="1"/>
  <c r="Q134" i="4" s="1"/>
  <c r="P135" i="4" a="1"/>
  <c r="Q135" i="4" s="1"/>
  <c r="P136" i="4" a="1"/>
  <c r="Q136" i="4" s="1"/>
  <c r="P137" i="4" a="1"/>
  <c r="Q137" i="4" s="1"/>
  <c r="P138" i="4" a="1"/>
  <c r="Q138" i="4" s="1"/>
  <c r="P139" i="4" a="1"/>
  <c r="Q139" i="4" s="1"/>
  <c r="P140" i="4" a="1"/>
  <c r="Q140" i="4" s="1"/>
  <c r="P141" i="4" a="1"/>
  <c r="Q141" i="4" s="1"/>
  <c r="P142" i="4" a="1"/>
  <c r="Q142" i="4" s="1"/>
  <c r="P143" i="4" a="1"/>
  <c r="Q143" i="4" s="1"/>
  <c r="P144" i="4" a="1"/>
  <c r="Q144" i="4" s="1"/>
  <c r="P145" i="4" a="1"/>
  <c r="Q145" i="4" s="1"/>
  <c r="P146" i="4" a="1"/>
  <c r="Q146" i="4" s="1"/>
  <c r="P147" i="4" a="1"/>
  <c r="Q147" i="4" s="1"/>
  <c r="P148" i="4" a="1"/>
  <c r="Q148" i="4" s="1"/>
  <c r="P149" i="4" a="1"/>
  <c r="Q149" i="4" s="1"/>
  <c r="P150" i="4" a="1"/>
  <c r="Q150" i="4" s="1"/>
  <c r="P151" i="4" a="1"/>
  <c r="Q151" i="4" s="1"/>
  <c r="P152" i="4" a="1"/>
  <c r="Q152" i="4" s="1"/>
  <c r="P153" i="4" a="1"/>
  <c r="Q153" i="4" s="1"/>
  <c r="P154" i="4" a="1"/>
  <c r="Q154" i="4" s="1"/>
  <c r="P155" i="4" a="1"/>
  <c r="Q155" i="4" s="1"/>
  <c r="P156" i="4" a="1"/>
  <c r="Q156" i="4" s="1"/>
  <c r="P157" i="4" a="1"/>
  <c r="Q157" i="4" s="1"/>
  <c r="P158" i="4" a="1"/>
  <c r="Q158" i="4" s="1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V3" i="4" a="1"/>
  <c r="V4" i="4" a="1"/>
  <c r="V5" i="4" a="1"/>
  <c r="V7" i="4" a="1"/>
  <c r="V9" i="4" a="1"/>
  <c r="V10" i="4" a="1"/>
  <c r="V11" i="4" a="1"/>
  <c r="V12" i="4" a="1"/>
  <c r="V13" i="4" a="1"/>
  <c r="V14" i="4" a="1"/>
  <c r="V15" i="4" a="1"/>
  <c r="V16" i="4" a="1"/>
  <c r="V17" i="4" a="1"/>
  <c r="V19" i="4" a="1"/>
  <c r="V20" i="4" a="1"/>
  <c r="V22" i="4" a="1"/>
  <c r="V23" i="4" a="1"/>
  <c r="V24" i="4" a="1"/>
  <c r="V25" i="4" a="1"/>
  <c r="V26" i="4" a="1"/>
  <c r="V27" i="4" a="1"/>
  <c r="V28" i="4" a="1"/>
  <c r="V30" i="4" a="1"/>
  <c r="V31" i="4" a="1"/>
  <c r="V32" i="4" a="1"/>
  <c r="V34" i="4" a="1"/>
  <c r="V35" i="4" a="1"/>
  <c r="V36" i="4" a="1"/>
  <c r="V37" i="4" a="1"/>
  <c r="V38" i="4" a="1"/>
  <c r="V39" i="4" a="1"/>
  <c r="V40" i="4" a="1"/>
  <c r="V41" i="4" a="1"/>
  <c r="V42" i="4" a="1"/>
  <c r="V43" i="4" a="1"/>
  <c r="V44" i="4" a="1"/>
  <c r="V45" i="4" a="1"/>
  <c r="V46" i="4" a="1"/>
  <c r="V47" i="4" a="1"/>
  <c r="V48" i="4" a="1"/>
  <c r="V51" i="4" a="1"/>
  <c r="V53" i="4" a="1"/>
  <c r="V54" i="4" a="1"/>
  <c r="V55" i="4" a="1"/>
  <c r="V56" i="4" a="1"/>
  <c r="V58" i="4" a="1"/>
  <c r="V59" i="4" a="1"/>
  <c r="V61" i="4" a="1"/>
  <c r="V62" i="4" a="1"/>
  <c r="V63" i="4" a="1"/>
  <c r="V64" i="4" a="1"/>
  <c r="V65" i="4" a="1"/>
  <c r="V66" i="4" a="1"/>
  <c r="V67" i="4" a="1"/>
  <c r="V70" i="4" a="1"/>
  <c r="V71" i="4" a="1"/>
  <c r="V72" i="4" a="1"/>
  <c r="V73" i="4" a="1"/>
  <c r="V74" i="4" a="1"/>
  <c r="V75" i="4" a="1"/>
  <c r="V76" i="4" a="1"/>
  <c r="V77" i="4" a="1"/>
  <c r="V79" i="4" a="1"/>
  <c r="V80" i="4" a="1"/>
  <c r="V81" i="4" a="1"/>
  <c r="V83" i="4" a="1"/>
  <c r="V84" i="4" a="1"/>
  <c r="V85" i="4" a="1"/>
  <c r="V86" i="4" a="1"/>
  <c r="V87" i="4" a="1"/>
  <c r="V88" i="4" a="1"/>
  <c r="V90" i="4" a="1"/>
  <c r="V91" i="4" a="1"/>
  <c r="V92" i="4" a="1"/>
  <c r="V93" i="4" a="1"/>
  <c r="V94" i="4" a="1"/>
  <c r="V96" i="4" a="1"/>
  <c r="V97" i="4" a="1"/>
  <c r="V98" i="4" a="1"/>
  <c r="V99" i="4" a="1"/>
  <c r="V100" i="4" a="1"/>
  <c r="V101" i="4" a="1"/>
  <c r="V102" i="4" a="1"/>
  <c r="V103" i="4" a="1"/>
  <c r="V104" i="4" a="1"/>
  <c r="V106" i="4" a="1"/>
  <c r="V107" i="4" a="1"/>
  <c r="V108" i="4" a="1"/>
  <c r="V109" i="4" a="1"/>
  <c r="V110" i="4" a="1"/>
  <c r="V111" i="4" a="1"/>
  <c r="V112" i="4" a="1"/>
  <c r="V113" i="4" a="1"/>
  <c r="V114" i="4" a="1"/>
  <c r="V115" i="4" a="1"/>
  <c r="V116" i="4" a="1"/>
  <c r="V117" i="4" a="1"/>
  <c r="V120" i="4" a="1"/>
  <c r="V121" i="4" a="1"/>
  <c r="V122" i="4" a="1"/>
  <c r="V123" i="4" a="1"/>
  <c r="V124" i="4" a="1"/>
  <c r="V126" i="4" a="1"/>
  <c r="V127" i="4" a="1"/>
  <c r="V128" i="4" a="1"/>
  <c r="V131" i="4" a="1"/>
  <c r="V132" i="4" a="1"/>
  <c r="V133" i="4" a="1"/>
  <c r="V134" i="4" a="1"/>
  <c r="V135" i="4" a="1"/>
  <c r="V136" i="4" a="1"/>
  <c r="V137" i="4" a="1"/>
  <c r="V138" i="4" a="1"/>
  <c r="V139" i="4" a="1"/>
  <c r="V140" i="4" a="1"/>
  <c r="V142" i="4" a="1"/>
  <c r="V143" i="4" a="1"/>
  <c r="V144" i="4" a="1"/>
  <c r="V145" i="4" a="1"/>
  <c r="V146" i="4" a="1"/>
  <c r="V148" i="4" a="1"/>
  <c r="V149" i="4" a="1"/>
  <c r="V151" i="4" a="1"/>
  <c r="V152" i="4" a="1"/>
  <c r="V153" i="4" a="1"/>
  <c r="V154" i="4" a="1"/>
  <c r="V155" i="4" a="1"/>
  <c r="V156" i="4" a="1"/>
  <c r="V157" i="4" a="1"/>
  <c r="V158" i="4" a="1"/>
  <c r="V159" i="4" a="1"/>
  <c r="V160" i="4" a="1"/>
  <c r="V161" i="4" a="1"/>
  <c r="V162" i="4" a="1"/>
  <c r="V163" i="4" a="1"/>
  <c r="V164" i="4" a="1"/>
  <c r="V165" i="4" a="1"/>
  <c r="V166" i="4" a="1"/>
  <c r="V167" i="4" a="1"/>
  <c r="V168" i="4" a="1"/>
  <c r="V169" i="4" a="1"/>
  <c r="V170" i="4" a="1"/>
  <c r="V171" i="4" a="1"/>
  <c r="V172" i="4" a="1"/>
  <c r="V173" i="4" a="1"/>
  <c r="V174" i="4" a="1"/>
  <c r="V175" i="4" a="1"/>
  <c r="V176" i="4" a="1"/>
  <c r="V177" i="4" a="1"/>
  <c r="V178" i="4" a="1"/>
  <c r="V179" i="4" a="1"/>
  <c r="V180" i="4" a="1"/>
  <c r="V181" i="4" a="1"/>
  <c r="V182" i="4" a="1"/>
  <c r="V183" i="4" a="1"/>
  <c r="V184" i="4" a="1"/>
  <c r="V185" i="4" a="1"/>
  <c r="V186" i="4" a="1"/>
  <c r="V187" i="4" a="1"/>
  <c r="V188" i="4" a="1"/>
  <c r="V189" i="4" a="1"/>
  <c r="V190" i="4" a="1"/>
  <c r="V191" i="4" a="1"/>
  <c r="V192" i="4" a="1"/>
  <c r="V193" i="4" a="1"/>
  <c r="V194" i="4" a="1"/>
  <c r="V195" i="4" a="1"/>
  <c r="V196" i="4" a="1"/>
  <c r="V197" i="4" a="1"/>
  <c r="V198" i="4" a="1"/>
  <c r="V199" i="4" a="1"/>
  <c r="V200" i="4" a="1"/>
  <c r="V201" i="4" a="1"/>
  <c r="V202" i="4" a="1"/>
  <c r="V203" i="4" a="1"/>
  <c r="V204" i="4" a="1"/>
  <c r="V205" i="4" a="1"/>
  <c r="V206" i="4" a="1"/>
  <c r="V207" i="4" a="1"/>
  <c r="V208" i="4" a="1"/>
  <c r="V209" i="4" a="1"/>
  <c r="V210" i="4" a="1"/>
  <c r="V211" i="4" a="1"/>
  <c r="V212" i="4" a="1"/>
  <c r="V213" i="4" a="1"/>
  <c r="V214" i="4" a="1"/>
  <c r="V215" i="4" a="1"/>
  <c r="V216" i="4" a="1"/>
  <c r="V217" i="4" a="1"/>
  <c r="V218" i="4" a="1"/>
  <c r="V219" i="4" a="1"/>
  <c r="V220" i="4" a="1"/>
  <c r="V221" i="4" a="1"/>
  <c r="V222" i="4" a="1"/>
  <c r="V223" i="4" a="1"/>
  <c r="V224" i="4" a="1"/>
  <c r="V225" i="4" a="1"/>
  <c r="V226" i="4" a="1"/>
  <c r="V227" i="4" a="1"/>
  <c r="V228" i="4" a="1"/>
  <c r="V229" i="4" a="1"/>
  <c r="V230" i="4" a="1"/>
  <c r="V231" i="4" a="1"/>
  <c r="V232" i="4" a="1"/>
  <c r="V233" i="4" a="1"/>
  <c r="V234" i="4" a="1"/>
  <c r="V235" i="4" a="1"/>
  <c r="V236" i="4" a="1"/>
  <c r="V237" i="4" a="1"/>
  <c r="V238" i="4" a="1"/>
  <c r="V239" i="4" a="1"/>
  <c r="V240" i="4" a="1"/>
  <c r="V241" i="4" a="1"/>
  <c r="V242" i="4" a="1"/>
  <c r="V243" i="4" a="1"/>
  <c r="V244" i="4" a="1"/>
  <c r="V245" i="4" a="1"/>
  <c r="V246" i="4" a="1"/>
  <c r="V247" i="4" a="1"/>
  <c r="V248" i="4" a="1"/>
  <c r="V249" i="4" a="1"/>
  <c r="V250" i="4" a="1"/>
  <c r="V251" i="4" a="1"/>
  <c r="V252" i="4" a="1"/>
  <c r="V253" i="4" a="1"/>
  <c r="V254" i="4" a="1"/>
  <c r="V255" i="4" a="1"/>
  <c r="V256" i="4" a="1"/>
  <c r="V257" i="4" a="1"/>
  <c r="V258" i="4" a="1"/>
  <c r="V259" i="4" a="1"/>
  <c r="V260" i="4" a="1"/>
  <c r="V261" i="4" a="1"/>
  <c r="V262" i="4" a="1"/>
  <c r="V263" i="4" a="1"/>
  <c r="V264" i="4" a="1"/>
  <c r="V265" i="4" a="1"/>
  <c r="V266" i="4" a="1"/>
  <c r="V267" i="4" a="1"/>
  <c r="V268" i="4" a="1"/>
  <c r="V269" i="4" a="1"/>
  <c r="V270" i="4" a="1"/>
  <c r="V271" i="4" a="1"/>
  <c r="V272" i="4" a="1"/>
  <c r="V273" i="4" a="1"/>
  <c r="V274" i="4" a="1"/>
  <c r="V275" i="4" a="1"/>
  <c r="V276" i="4" a="1"/>
  <c r="V277" i="4" a="1"/>
  <c r="V278" i="4" a="1"/>
  <c r="V279" i="4" a="1"/>
  <c r="V280" i="4" a="1"/>
  <c r="V281" i="4" a="1"/>
  <c r="V282" i="4" a="1"/>
  <c r="V283" i="4" a="1"/>
  <c r="V284" i="4" a="1"/>
  <c r="V285" i="4" a="1"/>
  <c r="V286" i="4" a="1"/>
  <c r="V287" i="4" a="1"/>
  <c r="V288" i="4" a="1"/>
  <c r="V289" i="4" a="1"/>
  <c r="V290" i="4" a="1"/>
  <c r="V291" i="4" a="1"/>
  <c r="V292" i="4" a="1"/>
  <c r="V293" i="4" a="1"/>
  <c r="V294" i="4" a="1"/>
  <c r="V295" i="4" a="1"/>
  <c r="V296" i="4" a="1"/>
  <c r="V297" i="4" a="1"/>
  <c r="V298" i="4" a="1"/>
  <c r="V299" i="4" a="1"/>
  <c r="V300" i="4" a="1"/>
  <c r="V301" i="4" a="1"/>
  <c r="V302" i="4" a="1"/>
  <c r="V303" i="4" a="1"/>
  <c r="V304" i="4" a="1"/>
  <c r="V305" i="4" a="1"/>
  <c r="V306" i="4" a="1"/>
  <c r="V307" i="4" a="1"/>
  <c r="V308" i="4" a="1"/>
  <c r="V309" i="4" a="1"/>
  <c r="V310" i="4" a="1"/>
  <c r="V311" i="4" a="1"/>
  <c r="V312" i="4" a="1"/>
  <c r="V313" i="4" a="1"/>
  <c r="V314" i="4" a="1"/>
  <c r="V315" i="4" a="1"/>
  <c r="V316" i="4" a="1"/>
  <c r="V317" i="4" a="1"/>
  <c r="V318" i="4" a="1"/>
  <c r="V319" i="4" a="1"/>
  <c r="V320" i="4" a="1"/>
  <c r="V321" i="4" a="1"/>
  <c r="V322" i="4" a="1"/>
  <c r="V323" i="4" a="1"/>
  <c r="V324" i="4" a="1"/>
  <c r="V325" i="4" a="1"/>
  <c r="V326" i="4" a="1"/>
  <c r="V327" i="4" a="1"/>
  <c r="V328" i="4" a="1"/>
  <c r="V329" i="4" a="1"/>
  <c r="V330" i="4" a="1"/>
  <c r="V331" i="4" a="1"/>
  <c r="V332" i="4" a="1"/>
  <c r="V333" i="4" a="1"/>
  <c r="V334" i="4" a="1"/>
  <c r="V335" i="4" a="1"/>
  <c r="V336" i="4" a="1"/>
  <c r="V337" i="4" a="1"/>
  <c r="V338" i="4" a="1"/>
  <c r="V339" i="4" a="1"/>
  <c r="V340" i="4" a="1"/>
  <c r="V341" i="4" a="1"/>
  <c r="V342" i="4" a="1"/>
  <c r="V343" i="4" a="1"/>
  <c r="V344" i="4" a="1"/>
  <c r="V345" i="4" a="1"/>
  <c r="V346" i="4" a="1"/>
  <c r="V347" i="4" a="1"/>
  <c r="V348" i="4" a="1"/>
  <c r="V349" i="4" a="1"/>
  <c r="V350" i="4" a="1"/>
  <c r="V351" i="4" a="1"/>
  <c r="V352" i="4" a="1"/>
  <c r="V353" i="4" a="1"/>
  <c r="V354" i="4" a="1"/>
  <c r="V355" i="4" a="1"/>
  <c r="V356" i="4" a="1"/>
  <c r="V357" i="4" a="1"/>
  <c r="V358" i="4" a="1"/>
  <c r="V359" i="4" a="1"/>
  <c r="V360" i="4" a="1"/>
  <c r="V361" i="4" a="1"/>
  <c r="V362" i="4" a="1"/>
  <c r="V363" i="4" a="1"/>
  <c r="V364" i="4" a="1"/>
  <c r="V365" i="4" a="1"/>
  <c r="V366" i="4" a="1"/>
  <c r="V367" i="4" a="1"/>
  <c r="V368" i="4" a="1"/>
  <c r="V369" i="4" a="1"/>
  <c r="V370" i="4" a="1"/>
  <c r="V371" i="4" a="1"/>
  <c r="V372" i="4" a="1"/>
  <c r="V373" i="4" a="1"/>
  <c r="V374" i="4" a="1"/>
  <c r="V375" i="4" a="1"/>
  <c r="V376" i="4" a="1"/>
  <c r="V377" i="4" a="1"/>
  <c r="V378" i="4" a="1"/>
  <c r="V379" i="4" a="1"/>
  <c r="V380" i="4" a="1"/>
  <c r="V381" i="4" a="1"/>
  <c r="V382" i="4" a="1"/>
  <c r="V383" i="4" a="1"/>
  <c r="V384" i="4" a="1"/>
  <c r="V385" i="4" a="1"/>
  <c r="V386" i="4" a="1"/>
  <c r="V387" i="4" a="1"/>
  <c r="V388" i="4" a="1"/>
  <c r="V389" i="4" a="1"/>
  <c r="V390" i="4" a="1"/>
  <c r="V391" i="4" a="1"/>
  <c r="V392" i="4" a="1"/>
  <c r="V393" i="4" a="1"/>
  <c r="V394" i="4" a="1"/>
  <c r="V395" i="4" a="1"/>
  <c r="V396" i="4" a="1"/>
  <c r="V397" i="4" a="1"/>
  <c r="V398" i="4" a="1"/>
  <c r="V399" i="4" a="1"/>
  <c r="V400" i="4" a="1"/>
  <c r="V401" i="4" a="1"/>
  <c r="V402" i="4" a="1"/>
  <c r="V403" i="4" a="1"/>
  <c r="V404" i="4" a="1"/>
  <c r="V405" i="4" a="1"/>
  <c r="V406" i="4" a="1"/>
  <c r="V407" i="4" a="1"/>
  <c r="V408" i="4" a="1"/>
  <c r="V409" i="4" a="1"/>
  <c r="V410" i="4" a="1"/>
  <c r="V411" i="4" a="1"/>
  <c r="V412" i="4" a="1"/>
  <c r="V413" i="4" a="1"/>
  <c r="V414" i="4" a="1"/>
  <c r="V415" i="4" a="1"/>
  <c r="V416" i="4" a="1"/>
  <c r="V417" i="4" a="1"/>
  <c r="V418" i="4" a="1"/>
  <c r="V419" i="4" a="1"/>
  <c r="V420" i="4" a="1"/>
  <c r="V421" i="4" a="1"/>
  <c r="V422" i="4" a="1"/>
  <c r="V423" i="4" a="1"/>
  <c r="V424" i="4" a="1"/>
  <c r="V425" i="4" a="1"/>
  <c r="V426" i="4" a="1"/>
  <c r="V427" i="4" a="1"/>
  <c r="V428" i="4" a="1"/>
  <c r="V429" i="4" a="1"/>
  <c r="V430" i="4" a="1"/>
  <c r="V431" i="4" a="1"/>
  <c r="V432" i="4" a="1"/>
  <c r="V433" i="4" a="1"/>
  <c r="V434" i="4" a="1"/>
  <c r="U435" i="4" a="1"/>
  <c r="V435" i="4" a="1"/>
  <c r="U436" i="4" a="1"/>
  <c r="V436" i="4" a="1"/>
  <c r="U437" i="4" a="1"/>
  <c r="V437" i="4" a="1"/>
  <c r="U438" i="4" a="1"/>
  <c r="V438" i="4" a="1"/>
  <c r="U439" i="4" a="1"/>
  <c r="V439" i="4" a="1"/>
  <c r="U440" i="4" a="1"/>
  <c r="V440" i="4" a="1"/>
  <c r="U441" i="4" a="1"/>
  <c r="V441" i="4" a="1"/>
  <c r="U442" i="4" a="1"/>
  <c r="V442" i="4" a="1"/>
  <c r="U443" i="4" a="1"/>
  <c r="V443" i="4" a="1"/>
  <c r="U444" i="4" a="1"/>
  <c r="V444" i="4" a="1"/>
  <c r="U445" i="4" a="1"/>
  <c r="V445" i="4" a="1"/>
  <c r="U446" i="4" a="1"/>
  <c r="V446" i="4" a="1"/>
  <c r="U447" i="4" a="1"/>
  <c r="V447" i="4" a="1"/>
  <c r="U448" i="4" a="1"/>
  <c r="V448" i="4" a="1"/>
  <c r="U449" i="4" a="1"/>
  <c r="V449" i="4" a="1"/>
  <c r="U450" i="4" a="1"/>
  <c r="V450" i="4" a="1"/>
  <c r="U451" i="4" a="1"/>
  <c r="V451" i="4" a="1"/>
  <c r="U452" i="4" a="1"/>
  <c r="V452" i="4" a="1"/>
  <c r="U453" i="4" a="1"/>
  <c r="V453" i="4" a="1"/>
  <c r="U454" i="4" a="1"/>
  <c r="V454" i="4" a="1"/>
  <c r="U455" i="4" a="1"/>
  <c r="V455" i="4" a="1"/>
  <c r="U456" i="4" a="1"/>
  <c r="V456" i="4" a="1"/>
  <c r="U457" i="4" a="1"/>
  <c r="V457" i="4" a="1"/>
  <c r="U458" i="4" a="1"/>
  <c r="V458" i="4" a="1"/>
  <c r="U459" i="4" a="1"/>
  <c r="V459" i="4" a="1"/>
  <c r="U460" i="4" a="1"/>
  <c r="V460" i="4" a="1"/>
  <c r="U461" i="4" a="1"/>
  <c r="V461" i="4" a="1"/>
  <c r="U462" i="4" a="1"/>
  <c r="V462" i="4" a="1"/>
  <c r="U463" i="4" a="1"/>
  <c r="V463" i="4" a="1"/>
  <c r="U464" i="4" a="1"/>
  <c r="V464" i="4" a="1"/>
  <c r="U465" i="4" a="1"/>
  <c r="V465" i="4" a="1"/>
  <c r="U466" i="4" a="1"/>
  <c r="V466" i="4" a="1"/>
  <c r="U467" i="4" a="1"/>
  <c r="V467" i="4" a="1"/>
  <c r="U468" i="4" a="1"/>
  <c r="V468" i="4" a="1"/>
  <c r="U469" i="4" a="1"/>
  <c r="V469" i="4" a="1"/>
  <c r="U470" i="4" a="1"/>
  <c r="V470" i="4" a="1"/>
  <c r="U471" i="4" a="1"/>
  <c r="V471" i="4" a="1"/>
  <c r="U472" i="4" a="1"/>
  <c r="V472" i="4" a="1"/>
  <c r="U473" i="4" a="1"/>
  <c r="V473" i="4" a="1"/>
  <c r="U474" i="4" a="1"/>
  <c r="V474" i="4" a="1"/>
  <c r="U475" i="4" a="1"/>
  <c r="V475" i="4" a="1"/>
  <c r="U476" i="4" a="1"/>
  <c r="V476" i="4" a="1"/>
  <c r="U477" i="4" a="1"/>
  <c r="V477" i="4" a="1"/>
  <c r="U478" i="4" a="1"/>
  <c r="V478" i="4" a="1"/>
  <c r="U479" i="4" a="1"/>
  <c r="V479" i="4" a="1"/>
  <c r="U480" i="4" a="1"/>
  <c r="V480" i="4" a="1"/>
  <c r="U481" i="4" a="1"/>
  <c r="V481" i="4" a="1"/>
  <c r="U482" i="4" a="1"/>
  <c r="V482" i="4" a="1"/>
  <c r="U483" i="4" a="1"/>
  <c r="V483" i="4" a="1"/>
  <c r="U484" i="4" a="1"/>
  <c r="V484" i="4" a="1"/>
  <c r="U485" i="4" a="1"/>
  <c r="V485" i="4" a="1"/>
  <c r="U486" i="4" a="1"/>
  <c r="V486" i="4" a="1"/>
  <c r="U487" i="4" a="1"/>
  <c r="V487" i="4" a="1"/>
  <c r="U488" i="4" a="1"/>
  <c r="V488" i="4" a="1"/>
  <c r="U489" i="4" a="1"/>
  <c r="V489" i="4" a="1"/>
  <c r="U490" i="4" a="1"/>
  <c r="V490" i="4" a="1"/>
  <c r="U491" i="4" a="1"/>
  <c r="V491" i="4" a="1"/>
  <c r="U492" i="4" a="1"/>
  <c r="V492" i="4" a="1"/>
  <c r="U493" i="4" a="1"/>
  <c r="V493" i="4" a="1"/>
  <c r="U494" i="4" a="1"/>
  <c r="V494" i="4" a="1"/>
  <c r="U495" i="4" a="1"/>
  <c r="V495" i="4" a="1"/>
  <c r="U496" i="4" a="1"/>
  <c r="V496" i="4" a="1"/>
  <c r="U497" i="4" a="1"/>
  <c r="V497" i="4" a="1"/>
  <c r="U498" i="4" a="1"/>
  <c r="V498" i="4" a="1"/>
  <c r="U499" i="4" a="1"/>
  <c r="V499" i="4" a="1"/>
  <c r="U500" i="4" a="1"/>
  <c r="V500" i="4" a="1"/>
  <c r="U501" i="4" a="1"/>
  <c r="V501" i="4" a="1"/>
  <c r="U502" i="4" a="1"/>
  <c r="V502" i="4" a="1"/>
  <c r="U503" i="4" a="1"/>
  <c r="V503" i="4" a="1"/>
  <c r="U504" i="4" a="1"/>
  <c r="V504" i="4" a="1"/>
  <c r="U505" i="4" a="1"/>
  <c r="V505" i="4" a="1"/>
  <c r="U506" i="4" a="1"/>
  <c r="V506" i="4" a="1"/>
  <c r="U507" i="4" a="1"/>
  <c r="V507" i="4" a="1"/>
  <c r="U508" i="4" a="1"/>
  <c r="V508" i="4" a="1"/>
  <c r="U509" i="4" a="1"/>
  <c r="V509" i="4" a="1"/>
  <c r="U510" i="4" a="1"/>
  <c r="V510" i="4" a="1"/>
  <c r="U511" i="4" a="1"/>
  <c r="V511" i="4" a="1"/>
  <c r="U512" i="4" a="1"/>
  <c r="V512" i="4" a="1"/>
  <c r="U513" i="4" a="1"/>
  <c r="V513" i="4" a="1"/>
  <c r="U514" i="4" a="1"/>
  <c r="V514" i="4" a="1"/>
  <c r="U515" i="4" a="1"/>
  <c r="V515" i="4" a="1"/>
  <c r="U516" i="4" a="1"/>
  <c r="V516" i="4" a="1"/>
  <c r="U517" i="4" a="1"/>
  <c r="V517" i="4" a="1"/>
  <c r="U518" i="4" a="1"/>
  <c r="V518" i="4" a="1"/>
  <c r="U519" i="4" a="1"/>
  <c r="V519" i="4" a="1"/>
  <c r="U520" i="4" a="1"/>
  <c r="V520" i="4" a="1"/>
  <c r="U521" i="4" a="1"/>
  <c r="V521" i="4" a="1"/>
  <c r="U522" i="4" a="1"/>
  <c r="V522" i="4" a="1"/>
  <c r="U523" i="4" a="1"/>
  <c r="V523" i="4" a="1"/>
  <c r="U524" i="4" a="1"/>
  <c r="V524" i="4" a="1"/>
  <c r="U525" i="4" a="1"/>
  <c r="V525" i="4" a="1"/>
  <c r="U526" i="4" a="1"/>
  <c r="V526" i="4" a="1"/>
  <c r="U527" i="4" a="1"/>
  <c r="V527" i="4" a="1"/>
  <c r="U528" i="4" a="1"/>
  <c r="V528" i="4" a="1"/>
  <c r="U529" i="4" a="1"/>
  <c r="V529" i="4" a="1"/>
  <c r="U530" i="4" a="1"/>
  <c r="V530" i="4" a="1"/>
  <c r="U531" i="4" a="1"/>
  <c r="V531" i="4" a="1"/>
  <c r="U532" i="4" a="1"/>
  <c r="V532" i="4" a="1"/>
  <c r="U533" i="4" a="1"/>
  <c r="V533" i="4" a="1"/>
  <c r="U534" i="4" a="1"/>
  <c r="V534" i="4" a="1"/>
  <c r="U535" i="4" a="1"/>
  <c r="V535" i="4" a="1"/>
  <c r="U536" i="4" a="1"/>
  <c r="V536" i="4" a="1"/>
  <c r="U537" i="4" a="1"/>
  <c r="V537" i="4" a="1"/>
  <c r="U538" i="4" a="1"/>
  <c r="V538" i="4" a="1"/>
  <c r="U539" i="4" a="1"/>
  <c r="V539" i="4" a="1"/>
  <c r="U540" i="4" a="1"/>
  <c r="V540" i="4" a="1"/>
  <c r="U541" i="4" a="1"/>
  <c r="V541" i="4" a="1"/>
  <c r="U542" i="4" a="1"/>
  <c r="V542" i="4" a="1"/>
  <c r="U543" i="4" a="1"/>
  <c r="V543" i="4" a="1"/>
  <c r="U544" i="4" a="1"/>
  <c r="V544" i="4" a="1"/>
  <c r="U545" i="4" a="1"/>
  <c r="V545" i="4" a="1"/>
  <c r="U546" i="4" a="1"/>
  <c r="V546" i="4" a="1"/>
  <c r="U547" i="4" a="1"/>
  <c r="V547" i="4" a="1"/>
  <c r="U548" i="4" a="1"/>
  <c r="V548" i="4" a="1"/>
  <c r="U549" i="4" a="1"/>
  <c r="V549" i="4" a="1"/>
  <c r="U550" i="4" a="1"/>
  <c r="V550" i="4" a="1"/>
  <c r="U551" i="4" a="1"/>
  <c r="V551" i="4" a="1"/>
  <c r="U552" i="4" a="1"/>
  <c r="V552" i="4" a="1"/>
  <c r="U553" i="4" a="1"/>
  <c r="V553" i="4" a="1"/>
  <c r="U554" i="4" a="1"/>
  <c r="V554" i="4" a="1"/>
  <c r="U555" i="4" a="1"/>
  <c r="V555" i="4" a="1"/>
  <c r="U556" i="4" a="1"/>
  <c r="V556" i="4" a="1"/>
  <c r="U557" i="4" a="1"/>
  <c r="V557" i="4" a="1"/>
  <c r="U558" i="4" a="1"/>
  <c r="V558" i="4" a="1"/>
  <c r="U559" i="4" a="1"/>
  <c r="V559" i="4" a="1"/>
  <c r="U560" i="4" a="1"/>
  <c r="V560" i="4" a="1"/>
  <c r="U561" i="4" a="1"/>
  <c r="V561" i="4" a="1"/>
  <c r="U562" i="4" a="1"/>
  <c r="V562" i="4" a="1"/>
  <c r="U563" i="4" a="1"/>
  <c r="V563" i="4" a="1"/>
  <c r="U564" i="4" a="1"/>
  <c r="V564" i="4" a="1"/>
  <c r="U565" i="4" a="1"/>
  <c r="V565" i="4" a="1"/>
  <c r="U566" i="4" a="1"/>
  <c r="V566" i="4" a="1"/>
  <c r="U567" i="4" a="1"/>
  <c r="V567" i="4" a="1"/>
  <c r="U568" i="4" a="1"/>
  <c r="V568" i="4" a="1"/>
  <c r="U569" i="4" a="1"/>
  <c r="V569" i="4" a="1"/>
  <c r="U570" i="4" a="1"/>
  <c r="V570" i="4" a="1"/>
  <c r="U571" i="4" a="1"/>
  <c r="V571" i="4" a="1"/>
  <c r="U572" i="4" a="1"/>
  <c r="V572" i="4" a="1"/>
  <c r="U573" i="4" a="1"/>
  <c r="V573" i="4" a="1"/>
  <c r="U574" i="4" a="1"/>
  <c r="V574" i="4" a="1"/>
  <c r="V2" i="4" a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M255" i="4" a="1"/>
  <c r="M256" i="4" a="1"/>
  <c r="M257" i="4" a="1"/>
  <c r="M258" i="4" a="1"/>
  <c r="M259" i="4" a="1"/>
  <c r="M260" i="4" a="1"/>
  <c r="M261" i="4" a="1"/>
  <c r="M262" i="4" a="1"/>
  <c r="M263" i="4" a="1"/>
  <c r="M264" i="4" a="1"/>
  <c r="M265" i="4" a="1"/>
  <c r="M266" i="4" a="1"/>
  <c r="M267" i="4" a="1"/>
  <c r="M268" i="4" a="1"/>
  <c r="M269" i="4" a="1"/>
  <c r="M270" i="4" a="1"/>
  <c r="M271" i="4" a="1"/>
  <c r="M272" i="4" a="1"/>
  <c r="M273" i="4" a="1"/>
  <c r="M274" i="4" a="1"/>
  <c r="M275" i="4" a="1"/>
  <c r="M276" i="4" a="1"/>
  <c r="M277" i="4" a="1"/>
  <c r="M278" i="4" a="1"/>
  <c r="M279" i="4" a="1"/>
  <c r="M280" i="4" a="1"/>
  <c r="M281" i="4" a="1"/>
  <c r="M282" i="4" a="1"/>
  <c r="M283" i="4" a="1"/>
  <c r="M284" i="4" a="1"/>
  <c r="M285" i="4" a="1"/>
  <c r="M286" i="4" a="1"/>
  <c r="M287" i="4" a="1"/>
  <c r="M288" i="4" a="1"/>
  <c r="M289" i="4" a="1"/>
  <c r="M290" i="4" a="1"/>
  <c r="M291" i="4" a="1"/>
  <c r="M292" i="4" a="1"/>
  <c r="M293" i="4" a="1"/>
  <c r="M294" i="4" a="1"/>
  <c r="M295" i="4" a="1"/>
  <c r="M296" i="4" a="1"/>
  <c r="M297" i="4" a="1"/>
  <c r="M298" i="4" a="1"/>
  <c r="M299" i="4" a="1"/>
  <c r="M300" i="4" a="1"/>
  <c r="M301" i="4" a="1"/>
  <c r="M302" i="4" a="1"/>
  <c r="M303" i="4" a="1"/>
  <c r="M304" i="4" a="1"/>
  <c r="M305" i="4" a="1"/>
  <c r="M306" i="4" a="1"/>
  <c r="M307" i="4" a="1"/>
  <c r="M308" i="4" a="1"/>
  <c r="M309" i="4" a="1"/>
  <c r="M310" i="4" a="1"/>
  <c r="M311" i="4" a="1"/>
  <c r="M312" i="4" a="1"/>
  <c r="M313" i="4" a="1"/>
  <c r="M314" i="4" a="1"/>
  <c r="M315" i="4" a="1"/>
  <c r="M316" i="4" a="1"/>
  <c r="M317" i="4" a="1"/>
  <c r="M318" i="4" a="1"/>
  <c r="M319" i="4" a="1"/>
  <c r="M320" i="4" a="1"/>
  <c r="M321" i="4" a="1"/>
  <c r="M322" i="4" a="1"/>
  <c r="M323" i="4" a="1"/>
  <c r="M324" i="4" a="1"/>
  <c r="M325" i="4" a="1"/>
  <c r="M326" i="4" a="1"/>
  <c r="M327" i="4" a="1"/>
  <c r="M328" i="4" a="1"/>
  <c r="M329" i="4" a="1"/>
  <c r="M330" i="4" a="1"/>
  <c r="M331" i="4" a="1"/>
  <c r="M332" i="4" a="1"/>
  <c r="M333" i="4" a="1"/>
  <c r="M334" i="4" a="1"/>
  <c r="M335" i="4" a="1"/>
  <c r="M336" i="4" a="1"/>
  <c r="M337" i="4" a="1"/>
  <c r="M338" i="4" a="1"/>
  <c r="M339" i="4" a="1"/>
  <c r="M340" i="4" a="1"/>
  <c r="M341" i="4" a="1"/>
  <c r="M342" i="4" a="1"/>
  <c r="M343" i="4" a="1"/>
  <c r="M344" i="4" a="1"/>
  <c r="M345" i="4" a="1"/>
  <c r="M346" i="4" a="1"/>
  <c r="M347" i="4" a="1"/>
  <c r="M348" i="4" a="1"/>
  <c r="M349" i="4" a="1"/>
  <c r="M350" i="4" a="1"/>
  <c r="M351" i="4" a="1"/>
  <c r="M352" i="4" a="1"/>
  <c r="M353" i="4" a="1"/>
  <c r="M354" i="4" a="1"/>
  <c r="M355" i="4" a="1"/>
  <c r="M356" i="4" a="1"/>
  <c r="M357" i="4" a="1"/>
  <c r="M358" i="4" a="1"/>
  <c r="M359" i="4" a="1"/>
  <c r="M360" i="4" a="1"/>
  <c r="M361" i="4" a="1"/>
  <c r="M362" i="4" a="1"/>
  <c r="M363" i="4" a="1"/>
  <c r="M364" i="4" a="1"/>
  <c r="M365" i="4" a="1"/>
  <c r="M366" i="4" a="1"/>
  <c r="M367" i="4" a="1"/>
  <c r="M368" i="4" a="1"/>
  <c r="M369" i="4" a="1"/>
  <c r="M370" i="4" a="1"/>
  <c r="M371" i="4" a="1"/>
  <c r="M372" i="4" a="1"/>
  <c r="M373" i="4" a="1"/>
  <c r="M374" i="4" a="1"/>
  <c r="M375" i="4" a="1"/>
  <c r="M376" i="4" a="1"/>
  <c r="M377" i="4" a="1"/>
  <c r="M378" i="4" a="1"/>
  <c r="M379" i="4" a="1"/>
  <c r="M380" i="4" a="1"/>
  <c r="M381" i="4" a="1"/>
  <c r="M382" i="4" a="1"/>
  <c r="M383" i="4" a="1"/>
  <c r="M384" i="4" a="1"/>
  <c r="M385" i="4" a="1"/>
  <c r="M386" i="4" a="1"/>
  <c r="M387" i="4" a="1"/>
  <c r="M388" i="4" a="1"/>
  <c r="M389" i="4" a="1"/>
  <c r="M390" i="4" a="1"/>
  <c r="M391" i="4" a="1"/>
  <c r="M392" i="4" a="1"/>
  <c r="M393" i="4" a="1"/>
  <c r="M394" i="4" a="1"/>
  <c r="M395" i="4" a="1"/>
  <c r="M396" i="4" a="1"/>
  <c r="M397" i="4" a="1"/>
  <c r="M398" i="4" a="1"/>
  <c r="M399" i="4" a="1"/>
  <c r="M400" i="4" a="1"/>
  <c r="M401" i="4" a="1"/>
  <c r="M402" i="4" a="1"/>
  <c r="M403" i="4" a="1"/>
  <c r="M404" i="4" a="1"/>
  <c r="M405" i="4" a="1"/>
  <c r="M406" i="4" a="1"/>
  <c r="M407" i="4" a="1"/>
  <c r="M408" i="4" a="1"/>
  <c r="M409" i="4" a="1"/>
  <c r="M410" i="4" a="1"/>
  <c r="M411" i="4" a="1"/>
  <c r="M412" i="4" a="1"/>
  <c r="M413" i="4" a="1"/>
  <c r="M414" i="4" a="1"/>
  <c r="M415" i="4" a="1"/>
  <c r="M416" i="4" a="1"/>
  <c r="M417" i="4" a="1"/>
  <c r="M418" i="4" a="1"/>
  <c r="M419" i="4" a="1"/>
  <c r="M420" i="4" a="1"/>
  <c r="M421" i="4" a="1"/>
  <c r="M422" i="4" a="1"/>
  <c r="M423" i="4" a="1"/>
  <c r="M424" i="4" a="1"/>
  <c r="M425" i="4" a="1"/>
  <c r="M426" i="4" a="1"/>
  <c r="M427" i="4" a="1"/>
  <c r="M428" i="4" a="1"/>
  <c r="M429" i="4" a="1"/>
  <c r="M430" i="4" a="1"/>
  <c r="M431" i="4" a="1"/>
  <c r="M432" i="4" a="1"/>
  <c r="M433" i="4" a="1"/>
  <c r="M434" i="4" a="1"/>
  <c r="M435" i="4" a="1"/>
  <c r="M436" i="4" a="1"/>
  <c r="M437" i="4" a="1"/>
  <c r="M438" i="4" a="1"/>
  <c r="M439" i="4" a="1"/>
  <c r="M440" i="4" a="1"/>
  <c r="M441" i="4" a="1"/>
  <c r="M442" i="4" a="1"/>
  <c r="M443" i="4" a="1"/>
  <c r="M444" i="4" a="1"/>
  <c r="M445" i="4" a="1"/>
  <c r="M446" i="4" a="1"/>
  <c r="M447" i="4" a="1"/>
  <c r="M448" i="4" a="1"/>
  <c r="M449" i="4" a="1"/>
  <c r="M450" i="4" a="1"/>
  <c r="M451" i="4" a="1"/>
  <c r="M452" i="4" a="1"/>
  <c r="M453" i="4" a="1"/>
  <c r="M454" i="4" a="1"/>
  <c r="M455" i="4" a="1"/>
  <c r="M456" i="4" a="1"/>
  <c r="M457" i="4" a="1"/>
  <c r="M458" i="4" a="1"/>
  <c r="M459" i="4" a="1"/>
  <c r="M460" i="4" a="1"/>
  <c r="M461" i="4" a="1"/>
  <c r="M462" i="4" a="1"/>
  <c r="M463" i="4" a="1"/>
  <c r="M464" i="4" a="1"/>
  <c r="M465" i="4" a="1"/>
  <c r="M466" i="4" a="1"/>
  <c r="M467" i="4" a="1"/>
  <c r="M468" i="4" a="1"/>
  <c r="M469" i="4" a="1"/>
  <c r="M470" i="4" a="1"/>
  <c r="M471" i="4" a="1"/>
  <c r="M472" i="4" a="1"/>
  <c r="M473" i="4" a="1"/>
  <c r="M474" i="4" a="1"/>
  <c r="M475" i="4" a="1"/>
  <c r="M476" i="4" a="1"/>
  <c r="M477" i="4" a="1"/>
  <c r="M478" i="4" a="1"/>
  <c r="M479" i="4" a="1"/>
  <c r="M480" i="4" a="1"/>
  <c r="M481" i="4" a="1"/>
  <c r="M482" i="4" a="1"/>
  <c r="M483" i="4" a="1"/>
  <c r="M484" i="4" a="1"/>
  <c r="M485" i="4" a="1"/>
  <c r="M486" i="4" a="1"/>
  <c r="M487" i="4" a="1"/>
  <c r="M488" i="4" a="1"/>
  <c r="M489" i="4" a="1"/>
  <c r="M490" i="4" a="1"/>
  <c r="M491" i="4" a="1"/>
  <c r="M492" i="4" a="1"/>
  <c r="M493" i="4" a="1"/>
  <c r="M494" i="4" a="1"/>
  <c r="M495" i="4" a="1"/>
  <c r="M496" i="4" a="1"/>
  <c r="M497" i="4" a="1"/>
  <c r="M498" i="4" a="1"/>
  <c r="M499" i="4" a="1"/>
  <c r="M500" i="4" a="1"/>
  <c r="M501" i="4" a="1"/>
  <c r="M502" i="4" a="1"/>
  <c r="M503" i="4" a="1"/>
  <c r="M504" i="4" a="1"/>
  <c r="M505" i="4" a="1"/>
  <c r="M506" i="4" a="1"/>
  <c r="M507" i="4" a="1"/>
  <c r="M508" i="4" a="1"/>
  <c r="M509" i="4" a="1"/>
  <c r="M510" i="4" a="1"/>
  <c r="M511" i="4" a="1"/>
  <c r="M512" i="4" a="1"/>
  <c r="M513" i="4" a="1"/>
  <c r="M514" i="4" a="1"/>
  <c r="M515" i="4" a="1"/>
  <c r="M516" i="4" a="1"/>
  <c r="M517" i="4" a="1"/>
  <c r="M518" i="4" a="1"/>
  <c r="M519" i="4" a="1"/>
  <c r="M520" i="4" a="1"/>
  <c r="M521" i="4" a="1"/>
  <c r="M522" i="4" a="1"/>
  <c r="M523" i="4" a="1"/>
  <c r="M524" i="4" a="1"/>
  <c r="M525" i="4" a="1"/>
  <c r="M526" i="4" a="1"/>
  <c r="M527" i="4" a="1"/>
  <c r="M528" i="4" a="1"/>
  <c r="M529" i="4" a="1"/>
  <c r="M530" i="4" a="1"/>
  <c r="M531" i="4" a="1"/>
  <c r="M532" i="4" a="1"/>
  <c r="M533" i="4" a="1"/>
  <c r="M534" i="4" a="1"/>
  <c r="M535" i="4" a="1"/>
  <c r="M536" i="4" a="1"/>
  <c r="M537" i="4" a="1"/>
  <c r="M538" i="4" a="1"/>
  <c r="M539" i="4" a="1"/>
  <c r="M540" i="4" a="1"/>
  <c r="M541" i="4" a="1"/>
  <c r="M542" i="4" a="1"/>
  <c r="M543" i="4" a="1"/>
  <c r="M544" i="4" a="1"/>
  <c r="M545" i="4" a="1"/>
  <c r="M546" i="4" a="1"/>
  <c r="M547" i="4" a="1"/>
  <c r="M548" i="4" a="1"/>
  <c r="M549" i="4" a="1"/>
  <c r="M550" i="4" a="1"/>
  <c r="M551" i="4" a="1"/>
  <c r="M552" i="4" a="1"/>
  <c r="M553" i="4" a="1"/>
  <c r="M554" i="4" a="1"/>
  <c r="M555" i="4" a="1"/>
  <c r="M556" i="4" a="1"/>
  <c r="M557" i="4" a="1"/>
  <c r="N557" i="4" s="1"/>
  <c r="M558" i="4" a="1"/>
  <c r="N558" i="4" s="1"/>
  <c r="M559" i="4" a="1"/>
  <c r="N559" i="4" s="1"/>
  <c r="M560" i="4" a="1"/>
  <c r="N560" i="4" s="1"/>
  <c r="M561" i="4" a="1"/>
  <c r="N561" i="4" s="1"/>
  <c r="M562" i="4" a="1"/>
  <c r="N562" i="4" s="1"/>
  <c r="M563" i="4" a="1"/>
  <c r="N563" i="4" s="1"/>
  <c r="M564" i="4" a="1"/>
  <c r="N564" i="4" s="1"/>
  <c r="M565" i="4" a="1"/>
  <c r="N565" i="4" s="1"/>
  <c r="M566" i="4" a="1"/>
  <c r="N566" i="4" s="1"/>
  <c r="M567" i="4" a="1"/>
  <c r="N567" i="4" s="1"/>
  <c r="M568" i="4" a="1"/>
  <c r="N568" i="4" s="1"/>
  <c r="R152" i="4"/>
  <c r="S152" i="4" s="1" a="1"/>
  <c r="U152" i="4" s="1" a="1"/>
  <c r="R153" i="4"/>
  <c r="S153" i="4" s="1" a="1"/>
  <c r="U153" i="4" s="1" a="1"/>
  <c r="R154" i="4"/>
  <c r="S154" i="4" s="1" a="1"/>
  <c r="U154" i="4" s="1" a="1"/>
  <c r="R155" i="4"/>
  <c r="S155" i="4" s="1" a="1"/>
  <c r="U155" i="4" s="1" a="1"/>
  <c r="R156" i="4"/>
  <c r="S156" i="4" s="1" a="1"/>
  <c r="U156" i="4" s="1" a="1"/>
  <c r="R157" i="4"/>
  <c r="S157" i="4" s="1" a="1"/>
  <c r="U157" i="4" s="1" a="1"/>
  <c r="R158" i="4"/>
  <c r="S158" i="4" s="1" a="1"/>
  <c r="U158" i="4" s="1" a="1"/>
  <c r="R159" i="4"/>
  <c r="S159" i="4" s="1" a="1"/>
  <c r="U159" i="4" s="1" a="1"/>
  <c r="R160" i="4"/>
  <c r="S160" i="4" s="1" a="1"/>
  <c r="U160" i="4" s="1" a="1"/>
  <c r="R161" i="4"/>
  <c r="S161" i="4" s="1" a="1"/>
  <c r="U161" i="4" s="1" a="1"/>
  <c r="R162" i="4"/>
  <c r="S162" i="4" s="1" a="1"/>
  <c r="U162" i="4" s="1" a="1"/>
  <c r="R163" i="4"/>
  <c r="S163" i="4" s="1" a="1"/>
  <c r="U163" i="4" s="1" a="1"/>
  <c r="R164" i="4"/>
  <c r="S164" i="4" s="1" a="1"/>
  <c r="U164" i="4" s="1" a="1"/>
  <c r="R165" i="4"/>
  <c r="S165" i="4" s="1" a="1"/>
  <c r="U165" i="4" s="1" a="1"/>
  <c r="R166" i="4"/>
  <c r="S166" i="4" s="1" a="1"/>
  <c r="U166" i="4" s="1" a="1"/>
  <c r="R167" i="4"/>
  <c r="S167" i="4" s="1" a="1"/>
  <c r="U167" i="4" s="1" a="1"/>
  <c r="R168" i="4"/>
  <c r="S168" i="4" s="1" a="1"/>
  <c r="U168" i="4" s="1" a="1"/>
  <c r="R169" i="4"/>
  <c r="S169" i="4" s="1" a="1"/>
  <c r="U169" i="4" s="1" a="1"/>
  <c r="R170" i="4"/>
  <c r="S170" i="4" s="1" a="1"/>
  <c r="U170" i="4" s="1" a="1"/>
  <c r="R171" i="4"/>
  <c r="S171" i="4" s="1" a="1"/>
  <c r="U171" i="4" s="1" a="1"/>
  <c r="R172" i="4"/>
  <c r="S172" i="4" s="1" a="1"/>
  <c r="U172" i="4" s="1" a="1"/>
  <c r="R173" i="4"/>
  <c r="S173" i="4" s="1" a="1"/>
  <c r="U173" i="4" s="1" a="1"/>
  <c r="R174" i="4"/>
  <c r="S174" i="4" s="1" a="1"/>
  <c r="U174" i="4" s="1" a="1"/>
  <c r="R175" i="4"/>
  <c r="S175" i="4" s="1" a="1"/>
  <c r="U175" i="4" s="1" a="1"/>
  <c r="R176" i="4"/>
  <c r="S176" i="4" s="1" a="1"/>
  <c r="U176" i="4" s="1" a="1"/>
  <c r="R177" i="4"/>
  <c r="S177" i="4" s="1" a="1"/>
  <c r="U177" i="4" s="1" a="1"/>
  <c r="R178" i="4"/>
  <c r="S178" i="4" s="1" a="1"/>
  <c r="U178" i="4" s="1" a="1"/>
  <c r="R179" i="4"/>
  <c r="S179" i="4" s="1" a="1"/>
  <c r="U179" i="4" s="1" a="1"/>
  <c r="R180" i="4"/>
  <c r="S180" i="4" s="1" a="1"/>
  <c r="U180" i="4" s="1" a="1"/>
  <c r="R181" i="4"/>
  <c r="S181" i="4" s="1" a="1"/>
  <c r="U181" i="4" s="1" a="1"/>
  <c r="R182" i="4"/>
  <c r="S182" i="4" s="1" a="1"/>
  <c r="U182" i="4" s="1" a="1"/>
  <c r="R183" i="4"/>
  <c r="S183" i="4" s="1" a="1"/>
  <c r="U183" i="4" s="1" a="1"/>
  <c r="R184" i="4"/>
  <c r="S184" i="4" s="1" a="1"/>
  <c r="U184" i="4" s="1" a="1"/>
  <c r="R185" i="4"/>
  <c r="S185" i="4" s="1" a="1"/>
  <c r="U185" i="4" s="1" a="1"/>
  <c r="R186" i="4"/>
  <c r="S186" i="4" s="1" a="1"/>
  <c r="U186" i="4" s="1" a="1"/>
  <c r="R187" i="4"/>
  <c r="S187" i="4" s="1" a="1"/>
  <c r="U187" i="4" s="1" a="1"/>
  <c r="R188" i="4"/>
  <c r="S188" i="4" s="1" a="1"/>
  <c r="U188" i="4" s="1" a="1"/>
  <c r="R189" i="4"/>
  <c r="S189" i="4" s="1" a="1"/>
  <c r="U189" i="4" s="1" a="1"/>
  <c r="R190" i="4"/>
  <c r="S190" i="4" s="1" a="1"/>
  <c r="U190" i="4" s="1" a="1"/>
  <c r="R191" i="4"/>
  <c r="S191" i="4" s="1" a="1"/>
  <c r="U191" i="4" s="1" a="1"/>
  <c r="R192" i="4"/>
  <c r="S192" i="4" s="1" a="1"/>
  <c r="U192" i="4" s="1" a="1"/>
  <c r="R193" i="4"/>
  <c r="S193" i="4" s="1" a="1"/>
  <c r="U193" i="4" s="1" a="1"/>
  <c r="R194" i="4"/>
  <c r="S194" i="4" s="1" a="1"/>
  <c r="U194" i="4" s="1" a="1"/>
  <c r="R195" i="4"/>
  <c r="S195" i="4" s="1" a="1"/>
  <c r="U195" i="4" s="1" a="1"/>
  <c r="R196" i="4"/>
  <c r="S196" i="4" s="1" a="1"/>
  <c r="U196" i="4" s="1" a="1"/>
  <c r="R197" i="4"/>
  <c r="S197" i="4" s="1" a="1"/>
  <c r="U197" i="4" s="1" a="1"/>
  <c r="R198" i="4"/>
  <c r="S198" i="4" s="1" a="1"/>
  <c r="U198" i="4" s="1" a="1"/>
  <c r="R199" i="4"/>
  <c r="S199" i="4" s="1" a="1"/>
  <c r="U199" i="4" s="1" a="1"/>
  <c r="R200" i="4"/>
  <c r="S200" i="4" s="1" a="1"/>
  <c r="U200" i="4" s="1" a="1"/>
  <c r="R201" i="4"/>
  <c r="S201" i="4" s="1" a="1"/>
  <c r="U201" i="4" s="1" a="1"/>
  <c r="R202" i="4"/>
  <c r="S202" i="4" s="1" a="1"/>
  <c r="U202" i="4" s="1" a="1"/>
  <c r="R203" i="4"/>
  <c r="S203" i="4" s="1" a="1"/>
  <c r="U203" i="4" s="1" a="1"/>
  <c r="R204" i="4"/>
  <c r="S204" i="4" s="1" a="1"/>
  <c r="U204" i="4" s="1" a="1"/>
  <c r="R205" i="4"/>
  <c r="S205" i="4" s="1" a="1"/>
  <c r="U205" i="4" s="1" a="1"/>
  <c r="R206" i="4"/>
  <c r="S206" i="4" s="1" a="1"/>
  <c r="U206" i="4" s="1" a="1"/>
  <c r="R207" i="4"/>
  <c r="S207" i="4" s="1" a="1"/>
  <c r="U207" i="4" s="1" a="1"/>
  <c r="R208" i="4"/>
  <c r="S208" i="4" s="1" a="1"/>
  <c r="U208" i="4" s="1" a="1"/>
  <c r="R209" i="4"/>
  <c r="S209" i="4" s="1" a="1"/>
  <c r="U209" i="4" s="1" a="1"/>
  <c r="R210" i="4"/>
  <c r="S210" i="4" s="1" a="1"/>
  <c r="U210" i="4" s="1" a="1"/>
  <c r="R211" i="4"/>
  <c r="S211" i="4" s="1" a="1"/>
  <c r="U211" i="4" s="1" a="1"/>
  <c r="R212" i="4"/>
  <c r="S212" i="4" s="1" a="1"/>
  <c r="U212" i="4" s="1" a="1"/>
  <c r="R213" i="4"/>
  <c r="S213" i="4" s="1" a="1"/>
  <c r="U213" i="4" s="1" a="1"/>
  <c r="R214" i="4"/>
  <c r="S214" i="4" s="1" a="1"/>
  <c r="U214" i="4" s="1" a="1"/>
  <c r="R215" i="4"/>
  <c r="S215" i="4" s="1" a="1"/>
  <c r="U215" i="4" s="1" a="1"/>
  <c r="R216" i="4"/>
  <c r="S216" i="4" s="1" a="1"/>
  <c r="U216" i="4" s="1" a="1"/>
  <c r="R217" i="4"/>
  <c r="S217" i="4" s="1" a="1"/>
  <c r="U217" i="4" s="1" a="1"/>
  <c r="R218" i="4"/>
  <c r="S218" i="4" s="1" a="1"/>
  <c r="U218" i="4" s="1" a="1"/>
  <c r="R219" i="4"/>
  <c r="S219" i="4" s="1" a="1"/>
  <c r="U219" i="4" s="1" a="1"/>
  <c r="R220" i="4"/>
  <c r="S220" i="4" s="1" a="1"/>
  <c r="U220" i="4" s="1" a="1"/>
  <c r="R221" i="4"/>
  <c r="S221" i="4" s="1" a="1"/>
  <c r="U221" i="4" s="1" a="1"/>
  <c r="R222" i="4"/>
  <c r="S222" i="4" s="1" a="1"/>
  <c r="U222" i="4" s="1" a="1"/>
  <c r="R223" i="4"/>
  <c r="S223" i="4" s="1" a="1"/>
  <c r="U223" i="4" s="1" a="1"/>
  <c r="R224" i="4"/>
  <c r="S224" i="4" s="1" a="1"/>
  <c r="U224" i="4" s="1" a="1"/>
  <c r="R225" i="4"/>
  <c r="S225" i="4" s="1" a="1"/>
  <c r="U225" i="4" s="1" a="1"/>
  <c r="R226" i="4"/>
  <c r="S226" i="4" s="1" a="1"/>
  <c r="U226" i="4" s="1" a="1"/>
  <c r="R227" i="4"/>
  <c r="S227" i="4" s="1" a="1"/>
  <c r="U227" i="4" s="1" a="1"/>
  <c r="R228" i="4"/>
  <c r="S228" i="4" s="1" a="1"/>
  <c r="U228" i="4" s="1" a="1"/>
  <c r="R229" i="4"/>
  <c r="S229" i="4" s="1" a="1"/>
  <c r="U229" i="4" s="1" a="1"/>
  <c r="R230" i="4"/>
  <c r="S230" i="4" s="1" a="1"/>
  <c r="U230" i="4" s="1" a="1"/>
  <c r="R231" i="4"/>
  <c r="S231" i="4" s="1" a="1"/>
  <c r="U231" i="4" s="1" a="1"/>
  <c r="R232" i="4"/>
  <c r="S232" i="4" s="1" a="1"/>
  <c r="U232" i="4" s="1" a="1"/>
  <c r="R233" i="4"/>
  <c r="S233" i="4" s="1" a="1"/>
  <c r="U233" i="4" s="1" a="1"/>
  <c r="R234" i="4"/>
  <c r="S234" i="4" s="1" a="1"/>
  <c r="U234" i="4" s="1" a="1"/>
  <c r="R235" i="4"/>
  <c r="S235" i="4" s="1" a="1"/>
  <c r="U235" i="4" s="1" a="1"/>
  <c r="R236" i="4"/>
  <c r="S236" i="4" s="1" a="1"/>
  <c r="U236" i="4" s="1" a="1"/>
  <c r="R237" i="4"/>
  <c r="S237" i="4" s="1" a="1"/>
  <c r="U237" i="4" s="1" a="1"/>
  <c r="R238" i="4"/>
  <c r="S238" i="4" s="1" a="1"/>
  <c r="U238" i="4" s="1" a="1"/>
  <c r="R239" i="4"/>
  <c r="S239" i="4" s="1" a="1"/>
  <c r="U239" i="4" s="1" a="1"/>
  <c r="R240" i="4"/>
  <c r="S240" i="4" s="1" a="1"/>
  <c r="U240" i="4" s="1" a="1"/>
  <c r="R241" i="4"/>
  <c r="S241" i="4" s="1" a="1"/>
  <c r="U241" i="4" s="1" a="1"/>
  <c r="R242" i="4"/>
  <c r="S242" i="4" s="1" a="1"/>
  <c r="U242" i="4" s="1" a="1"/>
  <c r="R243" i="4"/>
  <c r="S243" i="4" s="1" a="1"/>
  <c r="U243" i="4" s="1" a="1"/>
  <c r="R244" i="4"/>
  <c r="S244" i="4" s="1" a="1"/>
  <c r="U244" i="4" s="1" a="1"/>
  <c r="R245" i="4"/>
  <c r="S245" i="4" s="1" a="1"/>
  <c r="U245" i="4" s="1" a="1"/>
  <c r="R246" i="4"/>
  <c r="S246" i="4" s="1" a="1"/>
  <c r="U246" i="4" s="1" a="1"/>
  <c r="R247" i="4"/>
  <c r="S247" i="4" s="1" a="1"/>
  <c r="U247" i="4" s="1" a="1"/>
  <c r="R248" i="4"/>
  <c r="S248" i="4" s="1" a="1"/>
  <c r="U248" i="4" s="1" a="1"/>
  <c r="R249" i="4"/>
  <c r="S249" i="4" s="1" a="1"/>
  <c r="U249" i="4" s="1" a="1"/>
  <c r="R250" i="4"/>
  <c r="S250" i="4" s="1" a="1"/>
  <c r="U250" i="4" s="1" a="1"/>
  <c r="R251" i="4"/>
  <c r="S251" i="4" s="1" a="1"/>
  <c r="U251" i="4" s="1" a="1"/>
  <c r="R252" i="4"/>
  <c r="S252" i="4" s="1" a="1"/>
  <c r="U252" i="4" s="1" a="1"/>
  <c r="R253" i="4"/>
  <c r="S253" i="4" s="1" a="1"/>
  <c r="U253" i="4" s="1" a="1"/>
  <c r="R254" i="4"/>
  <c r="S254" i="4" s="1" a="1"/>
  <c r="U254" i="4" s="1" a="1"/>
  <c r="R255" i="4"/>
  <c r="S255" i="4" s="1" a="1"/>
  <c r="U255" i="4" s="1" a="1"/>
  <c r="R256" i="4"/>
  <c r="S256" i="4" s="1" a="1"/>
  <c r="U256" i="4" s="1" a="1"/>
  <c r="R257" i="4"/>
  <c r="S257" i="4" s="1" a="1"/>
  <c r="U257" i="4" s="1" a="1"/>
  <c r="R258" i="4"/>
  <c r="S258" i="4" s="1" a="1"/>
  <c r="U258" i="4" s="1" a="1"/>
  <c r="R259" i="4"/>
  <c r="S259" i="4" s="1" a="1"/>
  <c r="U259" i="4" s="1" a="1"/>
  <c r="R260" i="4"/>
  <c r="S260" i="4" s="1" a="1"/>
  <c r="U260" i="4" s="1" a="1"/>
  <c r="R261" i="4"/>
  <c r="S261" i="4" s="1" a="1"/>
  <c r="U261" i="4" s="1" a="1"/>
  <c r="R262" i="4"/>
  <c r="S262" i="4" s="1" a="1"/>
  <c r="U262" i="4" s="1" a="1"/>
  <c r="R263" i="4"/>
  <c r="S263" i="4" s="1" a="1"/>
  <c r="U263" i="4" s="1" a="1"/>
  <c r="R264" i="4"/>
  <c r="S264" i="4" s="1" a="1"/>
  <c r="U264" i="4" s="1" a="1"/>
  <c r="R265" i="4"/>
  <c r="S265" i="4" s="1" a="1"/>
  <c r="U265" i="4" s="1" a="1"/>
  <c r="R266" i="4"/>
  <c r="S266" i="4" s="1" a="1"/>
  <c r="U266" i="4" s="1" a="1"/>
  <c r="R267" i="4"/>
  <c r="S267" i="4" s="1" a="1"/>
  <c r="U267" i="4" s="1" a="1"/>
  <c r="R268" i="4"/>
  <c r="S268" i="4" s="1" a="1"/>
  <c r="U268" i="4" s="1" a="1"/>
  <c r="R269" i="4"/>
  <c r="S269" i="4" s="1" a="1"/>
  <c r="U269" i="4" s="1" a="1"/>
  <c r="R270" i="4"/>
  <c r="S270" i="4" s="1" a="1"/>
  <c r="U270" i="4" s="1" a="1"/>
  <c r="R271" i="4"/>
  <c r="S271" i="4" s="1" a="1"/>
  <c r="U271" i="4" s="1" a="1"/>
  <c r="R272" i="4"/>
  <c r="S272" i="4" s="1" a="1"/>
  <c r="U272" i="4" s="1" a="1"/>
  <c r="R273" i="4"/>
  <c r="S273" i="4" s="1" a="1"/>
  <c r="U273" i="4" s="1" a="1"/>
  <c r="R274" i="4"/>
  <c r="S274" i="4" s="1" a="1"/>
  <c r="U274" i="4" s="1" a="1"/>
  <c r="R275" i="4"/>
  <c r="S275" i="4" s="1" a="1"/>
  <c r="U275" i="4" s="1" a="1"/>
  <c r="R276" i="4"/>
  <c r="S276" i="4" s="1" a="1"/>
  <c r="U276" i="4" s="1" a="1"/>
  <c r="R277" i="4"/>
  <c r="S277" i="4" s="1" a="1"/>
  <c r="U277" i="4" s="1" a="1"/>
  <c r="R278" i="4"/>
  <c r="S278" i="4" s="1" a="1"/>
  <c r="U278" i="4" s="1" a="1"/>
  <c r="R279" i="4"/>
  <c r="S279" i="4" s="1" a="1"/>
  <c r="U279" i="4" s="1" a="1"/>
  <c r="R280" i="4"/>
  <c r="S280" i="4" s="1" a="1"/>
  <c r="U280" i="4" s="1" a="1"/>
  <c r="R281" i="4"/>
  <c r="S281" i="4" s="1" a="1"/>
  <c r="U281" i="4" s="1" a="1"/>
  <c r="R282" i="4"/>
  <c r="S282" i="4" s="1" a="1"/>
  <c r="U282" i="4" s="1" a="1"/>
  <c r="R283" i="4"/>
  <c r="S283" i="4" s="1" a="1"/>
  <c r="U283" i="4" s="1" a="1"/>
  <c r="R284" i="4"/>
  <c r="S284" i="4" s="1" a="1"/>
  <c r="U284" i="4" s="1" a="1"/>
  <c r="R285" i="4"/>
  <c r="S285" i="4" s="1" a="1"/>
  <c r="U285" i="4" s="1" a="1"/>
  <c r="R286" i="4"/>
  <c r="S286" i="4" s="1" a="1"/>
  <c r="U286" i="4" s="1" a="1"/>
  <c r="R287" i="4"/>
  <c r="S287" i="4" s="1" a="1"/>
  <c r="U287" i="4" s="1" a="1"/>
  <c r="R288" i="4"/>
  <c r="S288" i="4" s="1" a="1"/>
  <c r="U288" i="4" s="1" a="1"/>
  <c r="R289" i="4"/>
  <c r="S289" i="4" s="1" a="1"/>
  <c r="U289" i="4" s="1" a="1"/>
  <c r="R290" i="4"/>
  <c r="S290" i="4" s="1" a="1"/>
  <c r="U290" i="4" s="1" a="1"/>
  <c r="R291" i="4"/>
  <c r="S291" i="4" s="1" a="1"/>
  <c r="U291" i="4" s="1" a="1"/>
  <c r="R292" i="4"/>
  <c r="S292" i="4" s="1" a="1"/>
  <c r="U292" i="4" s="1" a="1"/>
  <c r="R293" i="4"/>
  <c r="S293" i="4" s="1" a="1"/>
  <c r="U293" i="4" s="1" a="1"/>
  <c r="R294" i="4"/>
  <c r="S294" i="4" s="1" a="1"/>
  <c r="U294" i="4" s="1" a="1"/>
  <c r="R295" i="4"/>
  <c r="S295" i="4" s="1" a="1"/>
  <c r="U295" i="4" s="1" a="1"/>
  <c r="R296" i="4"/>
  <c r="S296" i="4" s="1" a="1"/>
  <c r="U296" i="4" s="1" a="1"/>
  <c r="R297" i="4"/>
  <c r="S297" i="4" s="1" a="1"/>
  <c r="U297" i="4" s="1" a="1"/>
  <c r="R298" i="4"/>
  <c r="S298" i="4" s="1" a="1"/>
  <c r="U298" i="4" s="1" a="1"/>
  <c r="R299" i="4"/>
  <c r="S299" i="4" s="1" a="1"/>
  <c r="U299" i="4" s="1" a="1"/>
  <c r="R300" i="4"/>
  <c r="S300" i="4" s="1" a="1"/>
  <c r="U300" i="4" s="1" a="1"/>
  <c r="R301" i="4"/>
  <c r="S301" i="4" s="1" a="1"/>
  <c r="U301" i="4" s="1" a="1"/>
  <c r="R302" i="4"/>
  <c r="S302" i="4" s="1" a="1"/>
  <c r="U302" i="4" s="1" a="1"/>
  <c r="R303" i="4"/>
  <c r="S303" i="4" s="1" a="1"/>
  <c r="U303" i="4" s="1" a="1"/>
  <c r="R304" i="4"/>
  <c r="S304" i="4" s="1" a="1"/>
  <c r="U304" i="4" s="1" a="1"/>
  <c r="R305" i="4"/>
  <c r="S305" i="4" s="1" a="1"/>
  <c r="U305" i="4" s="1" a="1"/>
  <c r="R306" i="4"/>
  <c r="S306" i="4" s="1" a="1"/>
  <c r="U306" i="4" s="1" a="1"/>
  <c r="R307" i="4"/>
  <c r="S307" i="4" s="1" a="1"/>
  <c r="U307" i="4" s="1" a="1"/>
  <c r="R308" i="4"/>
  <c r="S308" i="4" s="1" a="1"/>
  <c r="U308" i="4" s="1" a="1"/>
  <c r="R309" i="4"/>
  <c r="S309" i="4" s="1" a="1"/>
  <c r="U309" i="4" s="1" a="1"/>
  <c r="R310" i="4"/>
  <c r="S310" i="4" s="1" a="1"/>
  <c r="U310" i="4" s="1" a="1"/>
  <c r="R311" i="4"/>
  <c r="S311" i="4" s="1" a="1"/>
  <c r="U311" i="4" s="1" a="1"/>
  <c r="R312" i="4"/>
  <c r="S312" i="4" s="1" a="1"/>
  <c r="U312" i="4" s="1" a="1"/>
  <c r="R313" i="4"/>
  <c r="S313" i="4" s="1" a="1"/>
  <c r="U313" i="4" s="1" a="1"/>
  <c r="R314" i="4"/>
  <c r="S314" i="4" s="1" a="1"/>
  <c r="U314" i="4" s="1" a="1"/>
  <c r="R315" i="4"/>
  <c r="S315" i="4" s="1" a="1"/>
  <c r="U315" i="4" s="1" a="1"/>
  <c r="R316" i="4"/>
  <c r="S316" i="4" s="1" a="1"/>
  <c r="U316" i="4" s="1" a="1"/>
  <c r="R317" i="4"/>
  <c r="S317" i="4" s="1" a="1"/>
  <c r="U317" i="4" s="1" a="1"/>
  <c r="R318" i="4"/>
  <c r="S318" i="4" s="1" a="1"/>
  <c r="U318" i="4" s="1" a="1"/>
  <c r="R319" i="4"/>
  <c r="S319" i="4" s="1" a="1"/>
  <c r="U319" i="4" s="1" a="1"/>
  <c r="R320" i="4"/>
  <c r="S320" i="4" s="1" a="1"/>
  <c r="U320" i="4" s="1" a="1"/>
  <c r="R321" i="4"/>
  <c r="S321" i="4" s="1" a="1"/>
  <c r="U321" i="4" s="1" a="1"/>
  <c r="R322" i="4"/>
  <c r="S322" i="4" s="1" a="1"/>
  <c r="U322" i="4" s="1" a="1"/>
  <c r="R323" i="4"/>
  <c r="S323" i="4" s="1" a="1"/>
  <c r="U323" i="4" s="1" a="1"/>
  <c r="R324" i="4"/>
  <c r="S324" i="4" s="1" a="1"/>
  <c r="U324" i="4" s="1" a="1"/>
  <c r="R325" i="4"/>
  <c r="S325" i="4" s="1" a="1"/>
  <c r="U325" i="4" s="1" a="1"/>
  <c r="R326" i="4"/>
  <c r="S326" i="4" s="1" a="1"/>
  <c r="U326" i="4" s="1" a="1"/>
  <c r="R327" i="4"/>
  <c r="S327" i="4" s="1" a="1"/>
  <c r="U327" i="4" s="1" a="1"/>
  <c r="R328" i="4"/>
  <c r="S328" i="4" s="1" a="1"/>
  <c r="U328" i="4" s="1" a="1"/>
  <c r="R329" i="4"/>
  <c r="S329" i="4" s="1" a="1"/>
  <c r="U329" i="4" s="1" a="1"/>
  <c r="R330" i="4"/>
  <c r="S330" i="4" s="1" a="1"/>
  <c r="U330" i="4" s="1" a="1"/>
  <c r="R331" i="4"/>
  <c r="S331" i="4" s="1" a="1"/>
  <c r="U331" i="4" s="1" a="1"/>
  <c r="R332" i="4"/>
  <c r="S332" i="4" s="1" a="1"/>
  <c r="U332" i="4" s="1" a="1"/>
  <c r="R333" i="4"/>
  <c r="S333" i="4" s="1" a="1"/>
  <c r="U333" i="4" s="1" a="1"/>
  <c r="R334" i="4"/>
  <c r="S334" i="4" s="1" a="1"/>
  <c r="U334" i="4" s="1" a="1"/>
  <c r="R335" i="4"/>
  <c r="S335" i="4" s="1" a="1"/>
  <c r="U335" i="4" s="1" a="1"/>
  <c r="R336" i="4"/>
  <c r="S336" i="4" s="1" a="1"/>
  <c r="U336" i="4" s="1" a="1"/>
  <c r="R337" i="4"/>
  <c r="S337" i="4" s="1" a="1"/>
  <c r="U337" i="4" s="1" a="1"/>
  <c r="R338" i="4"/>
  <c r="S338" i="4" s="1" a="1"/>
  <c r="U338" i="4" s="1" a="1"/>
  <c r="R339" i="4"/>
  <c r="S339" i="4" s="1" a="1"/>
  <c r="U339" i="4" s="1" a="1"/>
  <c r="R340" i="4"/>
  <c r="S340" i="4" s="1" a="1"/>
  <c r="U340" i="4" s="1" a="1"/>
  <c r="R341" i="4"/>
  <c r="S341" i="4" s="1" a="1"/>
  <c r="U341" i="4" s="1" a="1"/>
  <c r="R342" i="4"/>
  <c r="S342" i="4" s="1" a="1"/>
  <c r="U342" i="4" s="1" a="1"/>
  <c r="R343" i="4"/>
  <c r="S343" i="4" s="1" a="1"/>
  <c r="U343" i="4" s="1" a="1"/>
  <c r="R344" i="4"/>
  <c r="S344" i="4" s="1" a="1"/>
  <c r="U344" i="4" s="1" a="1"/>
  <c r="R345" i="4"/>
  <c r="S345" i="4" s="1" a="1"/>
  <c r="U345" i="4" s="1" a="1"/>
  <c r="R346" i="4"/>
  <c r="S346" i="4" s="1" a="1"/>
  <c r="U346" i="4" s="1" a="1"/>
  <c r="R347" i="4"/>
  <c r="S347" i="4" s="1" a="1"/>
  <c r="U347" i="4" s="1" a="1"/>
  <c r="R348" i="4"/>
  <c r="S348" i="4" s="1" a="1"/>
  <c r="U348" i="4" s="1" a="1"/>
  <c r="R349" i="4"/>
  <c r="S349" i="4" s="1" a="1"/>
  <c r="U349" i="4" s="1" a="1"/>
  <c r="R350" i="4"/>
  <c r="S350" i="4" s="1" a="1"/>
  <c r="U350" i="4" s="1" a="1"/>
  <c r="R351" i="4"/>
  <c r="S351" i="4" s="1" a="1"/>
  <c r="U351" i="4" s="1" a="1"/>
  <c r="R352" i="4"/>
  <c r="S352" i="4" s="1" a="1"/>
  <c r="U352" i="4" s="1" a="1"/>
  <c r="R353" i="4"/>
  <c r="S353" i="4" s="1" a="1"/>
  <c r="U353" i="4" s="1" a="1"/>
  <c r="R354" i="4"/>
  <c r="S354" i="4" s="1" a="1"/>
  <c r="U354" i="4" s="1" a="1"/>
  <c r="R355" i="4"/>
  <c r="S355" i="4" s="1" a="1"/>
  <c r="U355" i="4" s="1" a="1"/>
  <c r="R356" i="4"/>
  <c r="S356" i="4" s="1" a="1"/>
  <c r="U356" i="4" s="1" a="1"/>
  <c r="R357" i="4"/>
  <c r="S357" i="4" s="1" a="1"/>
  <c r="U357" i="4" s="1" a="1"/>
  <c r="R358" i="4"/>
  <c r="S358" i="4" s="1" a="1"/>
  <c r="U358" i="4" s="1" a="1"/>
  <c r="R359" i="4"/>
  <c r="S359" i="4" s="1" a="1"/>
  <c r="U359" i="4" s="1" a="1"/>
  <c r="R360" i="4"/>
  <c r="S360" i="4" s="1" a="1"/>
  <c r="U360" i="4" s="1" a="1"/>
  <c r="R361" i="4"/>
  <c r="S361" i="4" s="1" a="1"/>
  <c r="U361" i="4" s="1" a="1"/>
  <c r="R362" i="4"/>
  <c r="S362" i="4" s="1" a="1"/>
  <c r="U362" i="4" s="1" a="1"/>
  <c r="R363" i="4"/>
  <c r="S363" i="4" s="1" a="1"/>
  <c r="U363" i="4" s="1" a="1"/>
  <c r="R364" i="4"/>
  <c r="S364" i="4" s="1" a="1"/>
  <c r="U364" i="4" s="1" a="1"/>
  <c r="R365" i="4"/>
  <c r="S365" i="4" s="1" a="1"/>
  <c r="U365" i="4" s="1" a="1"/>
  <c r="R366" i="4"/>
  <c r="S366" i="4" s="1" a="1"/>
  <c r="U366" i="4" s="1" a="1"/>
  <c r="R367" i="4"/>
  <c r="S367" i="4" s="1" a="1"/>
  <c r="U367" i="4" s="1" a="1"/>
  <c r="R368" i="4"/>
  <c r="S368" i="4" s="1" a="1"/>
  <c r="U368" i="4" s="1" a="1"/>
  <c r="R369" i="4"/>
  <c r="S369" i="4" s="1" a="1"/>
  <c r="U369" i="4" s="1" a="1"/>
  <c r="R370" i="4"/>
  <c r="S370" i="4" s="1" a="1"/>
  <c r="U370" i="4" s="1" a="1"/>
  <c r="R371" i="4"/>
  <c r="S371" i="4" s="1" a="1"/>
  <c r="U371" i="4" s="1" a="1"/>
  <c r="R372" i="4"/>
  <c r="S372" i="4" s="1" a="1"/>
  <c r="U372" i="4" s="1" a="1"/>
  <c r="R373" i="4"/>
  <c r="S373" i="4" s="1" a="1"/>
  <c r="U373" i="4" s="1" a="1"/>
  <c r="R374" i="4"/>
  <c r="S374" i="4" s="1" a="1"/>
  <c r="U374" i="4" s="1" a="1"/>
  <c r="R375" i="4"/>
  <c r="S375" i="4" s="1" a="1"/>
  <c r="U375" i="4" s="1" a="1"/>
  <c r="R376" i="4"/>
  <c r="S376" i="4" s="1" a="1"/>
  <c r="U376" i="4" s="1" a="1"/>
  <c r="R377" i="4"/>
  <c r="S377" i="4" s="1" a="1"/>
  <c r="U377" i="4" s="1" a="1"/>
  <c r="R378" i="4"/>
  <c r="S378" i="4" s="1" a="1"/>
  <c r="U378" i="4" s="1" a="1"/>
  <c r="R379" i="4"/>
  <c r="S379" i="4" s="1" a="1"/>
  <c r="U379" i="4" s="1" a="1"/>
  <c r="R380" i="4"/>
  <c r="S380" i="4" s="1" a="1"/>
  <c r="U380" i="4" s="1" a="1"/>
  <c r="R381" i="4"/>
  <c r="S381" i="4" s="1" a="1"/>
  <c r="U381" i="4" s="1" a="1"/>
  <c r="R382" i="4"/>
  <c r="S382" i="4" s="1" a="1"/>
  <c r="U382" i="4" s="1" a="1"/>
  <c r="R383" i="4"/>
  <c r="S383" i="4" s="1" a="1"/>
  <c r="U383" i="4" s="1" a="1"/>
  <c r="R384" i="4"/>
  <c r="S384" i="4" s="1" a="1"/>
  <c r="U384" i="4" s="1" a="1"/>
  <c r="R385" i="4"/>
  <c r="S385" i="4" s="1" a="1"/>
  <c r="U385" i="4" s="1" a="1"/>
  <c r="R386" i="4"/>
  <c r="S386" i="4" s="1" a="1"/>
  <c r="U386" i="4" s="1" a="1"/>
  <c r="R387" i="4"/>
  <c r="S387" i="4" s="1" a="1"/>
  <c r="U387" i="4" s="1" a="1"/>
  <c r="R388" i="4"/>
  <c r="S388" i="4" s="1" a="1"/>
  <c r="U388" i="4" s="1" a="1"/>
  <c r="R389" i="4"/>
  <c r="S389" i="4" s="1" a="1"/>
  <c r="U389" i="4" s="1" a="1"/>
  <c r="R390" i="4"/>
  <c r="S390" i="4" s="1" a="1"/>
  <c r="U390" i="4" s="1" a="1"/>
  <c r="R391" i="4"/>
  <c r="S391" i="4" s="1" a="1"/>
  <c r="U391" i="4" s="1" a="1"/>
  <c r="R392" i="4"/>
  <c r="S392" i="4" s="1" a="1"/>
  <c r="U392" i="4" s="1" a="1"/>
  <c r="R393" i="4"/>
  <c r="S393" i="4" s="1" a="1"/>
  <c r="U393" i="4" s="1" a="1"/>
  <c r="R394" i="4"/>
  <c r="S394" i="4" s="1" a="1"/>
  <c r="U394" i="4" s="1" a="1"/>
  <c r="R395" i="4"/>
  <c r="S395" i="4" s="1" a="1"/>
  <c r="U395" i="4" s="1" a="1"/>
  <c r="R396" i="4"/>
  <c r="S396" i="4" s="1" a="1"/>
  <c r="U396" i="4" s="1" a="1"/>
  <c r="R397" i="4"/>
  <c r="S397" i="4" s="1" a="1"/>
  <c r="U397" i="4" s="1" a="1"/>
  <c r="R398" i="4"/>
  <c r="S398" i="4" s="1" a="1"/>
  <c r="U398" i="4" s="1" a="1"/>
  <c r="R399" i="4"/>
  <c r="S399" i="4" s="1" a="1"/>
  <c r="U399" i="4" s="1" a="1"/>
  <c r="R400" i="4"/>
  <c r="S400" i="4" s="1" a="1"/>
  <c r="U400" i="4" s="1" a="1"/>
  <c r="R401" i="4"/>
  <c r="S401" i="4" s="1" a="1"/>
  <c r="U401" i="4" s="1" a="1"/>
  <c r="R402" i="4"/>
  <c r="S402" i="4" s="1" a="1"/>
  <c r="U402" i="4" s="1" a="1"/>
  <c r="R403" i="4"/>
  <c r="S403" i="4" s="1" a="1"/>
  <c r="U403" i="4" s="1" a="1"/>
  <c r="R404" i="4"/>
  <c r="S404" i="4" s="1" a="1"/>
  <c r="U404" i="4" s="1" a="1"/>
  <c r="R405" i="4"/>
  <c r="S405" i="4" s="1" a="1"/>
  <c r="U405" i="4" s="1" a="1"/>
  <c r="R406" i="4"/>
  <c r="S406" i="4" s="1" a="1"/>
  <c r="U406" i="4" s="1" a="1"/>
  <c r="R407" i="4"/>
  <c r="S407" i="4" s="1" a="1"/>
  <c r="U407" i="4" s="1" a="1"/>
  <c r="R408" i="4"/>
  <c r="S408" i="4" s="1" a="1"/>
  <c r="U408" i="4" s="1" a="1"/>
  <c r="R409" i="4"/>
  <c r="S409" i="4" s="1" a="1"/>
  <c r="U409" i="4" s="1" a="1"/>
  <c r="R410" i="4"/>
  <c r="S410" i="4" s="1" a="1"/>
  <c r="U410" i="4" s="1" a="1"/>
  <c r="R411" i="4"/>
  <c r="S411" i="4" s="1" a="1"/>
  <c r="U411" i="4" s="1" a="1"/>
  <c r="R412" i="4"/>
  <c r="S412" i="4" s="1" a="1"/>
  <c r="U412" i="4" s="1" a="1"/>
  <c r="R413" i="4"/>
  <c r="S413" i="4" s="1" a="1"/>
  <c r="U413" i="4" s="1" a="1"/>
  <c r="R414" i="4"/>
  <c r="S414" i="4" s="1" a="1"/>
  <c r="U414" i="4" s="1" a="1"/>
  <c r="R415" i="4"/>
  <c r="S415" i="4" s="1" a="1"/>
  <c r="U415" i="4" s="1" a="1"/>
  <c r="R416" i="4"/>
  <c r="S416" i="4" s="1" a="1"/>
  <c r="U416" i="4" s="1" a="1"/>
  <c r="R417" i="4"/>
  <c r="S417" i="4" s="1" a="1"/>
  <c r="U417" i="4" s="1" a="1"/>
  <c r="R418" i="4"/>
  <c r="S418" i="4" s="1" a="1"/>
  <c r="U418" i="4" s="1" a="1"/>
  <c r="R419" i="4"/>
  <c r="S419" i="4" s="1" a="1"/>
  <c r="U419" i="4" s="1" a="1"/>
  <c r="R420" i="4"/>
  <c r="S420" i="4" s="1" a="1"/>
  <c r="U420" i="4" s="1" a="1"/>
  <c r="R421" i="4"/>
  <c r="S421" i="4" s="1" a="1"/>
  <c r="U421" i="4" s="1" a="1"/>
  <c r="R422" i="4"/>
  <c r="S422" i="4" s="1" a="1"/>
  <c r="U422" i="4" s="1" a="1"/>
  <c r="R423" i="4"/>
  <c r="S423" i="4" s="1" a="1"/>
  <c r="U423" i="4" s="1" a="1"/>
  <c r="R424" i="4"/>
  <c r="S424" i="4" s="1" a="1"/>
  <c r="U424" i="4" s="1" a="1"/>
  <c r="R425" i="4"/>
  <c r="S425" i="4" s="1" a="1"/>
  <c r="U425" i="4" s="1" a="1"/>
  <c r="R426" i="4"/>
  <c r="S426" i="4" s="1" a="1"/>
  <c r="U426" i="4" s="1" a="1"/>
  <c r="R427" i="4"/>
  <c r="S427" i="4" s="1" a="1"/>
  <c r="U427" i="4" s="1" a="1"/>
  <c r="R428" i="4"/>
  <c r="S428" i="4" s="1" a="1"/>
  <c r="U428" i="4" s="1" a="1"/>
  <c r="R429" i="4"/>
  <c r="S429" i="4" s="1" a="1"/>
  <c r="U429" i="4" s="1" a="1"/>
  <c r="R430" i="4"/>
  <c r="S430" i="4" s="1" a="1"/>
  <c r="U430" i="4" s="1" a="1"/>
  <c r="R431" i="4"/>
  <c r="S431" i="4" s="1" a="1"/>
  <c r="U431" i="4" s="1" a="1"/>
  <c r="R432" i="4"/>
  <c r="S432" i="4" s="1" a="1"/>
  <c r="U432" i="4" s="1" a="1"/>
  <c r="R433" i="4"/>
  <c r="S433" i="4" s="1" a="1"/>
  <c r="U433" i="4" s="1" a="1"/>
  <c r="R434" i="4"/>
  <c r="S434" i="4" s="1" a="1"/>
  <c r="U434" i="4" s="1" a="1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D152" i="4"/>
  <c r="E152" i="4" s="1"/>
  <c r="AE152" i="4" s="1"/>
  <c r="D153" i="4"/>
  <c r="E153" i="4" s="1"/>
  <c r="AE153" i="4" s="1"/>
  <c r="D154" i="4"/>
  <c r="E154" i="4" s="1"/>
  <c r="AE154" i="4" s="1"/>
  <c r="D155" i="4"/>
  <c r="E155" i="4" s="1"/>
  <c r="AE155" i="4" s="1"/>
  <c r="D156" i="4"/>
  <c r="E156" i="4" s="1"/>
  <c r="AE156" i="4" s="1"/>
  <c r="D157" i="4"/>
  <c r="E157" i="4" s="1"/>
  <c r="AE157" i="4" s="1"/>
  <c r="D158" i="4"/>
  <c r="E158" i="4" s="1"/>
  <c r="AE158" i="4" s="1"/>
  <c r="D159" i="4"/>
  <c r="E159" i="4" s="1"/>
  <c r="AE159" i="4" s="1"/>
  <c r="D160" i="4"/>
  <c r="E160" i="4" s="1"/>
  <c r="AE160" i="4" s="1"/>
  <c r="D161" i="4"/>
  <c r="E161" i="4" s="1"/>
  <c r="AE161" i="4" s="1"/>
  <c r="D162" i="4"/>
  <c r="E162" i="4" s="1"/>
  <c r="AE162" i="4" s="1"/>
  <c r="D163" i="4"/>
  <c r="E163" i="4" s="1"/>
  <c r="AE163" i="4" s="1"/>
  <c r="D164" i="4"/>
  <c r="E164" i="4" s="1"/>
  <c r="AE164" i="4" s="1"/>
  <c r="D165" i="4"/>
  <c r="E165" i="4" s="1"/>
  <c r="AE165" i="4" s="1"/>
  <c r="D166" i="4"/>
  <c r="E166" i="4" s="1"/>
  <c r="AE166" i="4" s="1"/>
  <c r="D167" i="4"/>
  <c r="E167" i="4" s="1"/>
  <c r="AE167" i="4" s="1"/>
  <c r="D168" i="4"/>
  <c r="E168" i="4" s="1"/>
  <c r="AE168" i="4" s="1"/>
  <c r="D169" i="4"/>
  <c r="E169" i="4" s="1"/>
  <c r="AE169" i="4" s="1"/>
  <c r="D170" i="4"/>
  <c r="E170" i="4" s="1"/>
  <c r="AE170" i="4" s="1"/>
  <c r="D171" i="4"/>
  <c r="E171" i="4" s="1"/>
  <c r="AE171" i="4" s="1"/>
  <c r="D172" i="4"/>
  <c r="E172" i="4" s="1"/>
  <c r="AE172" i="4" s="1"/>
  <c r="D173" i="4"/>
  <c r="E173" i="4" s="1"/>
  <c r="AE173" i="4" s="1"/>
  <c r="D174" i="4"/>
  <c r="E174" i="4" s="1"/>
  <c r="AE174" i="4" s="1"/>
  <c r="D175" i="4"/>
  <c r="E175" i="4" s="1"/>
  <c r="AE175" i="4" s="1"/>
  <c r="D176" i="4"/>
  <c r="E176" i="4" s="1"/>
  <c r="AE176" i="4" s="1"/>
  <c r="D177" i="4"/>
  <c r="E177" i="4" s="1"/>
  <c r="AE177" i="4" s="1"/>
  <c r="D178" i="4"/>
  <c r="E178" i="4" s="1"/>
  <c r="AE178" i="4" s="1"/>
  <c r="D179" i="4"/>
  <c r="E179" i="4" s="1"/>
  <c r="AE179" i="4" s="1"/>
  <c r="D180" i="4"/>
  <c r="E180" i="4" s="1"/>
  <c r="AE180" i="4" s="1"/>
  <c r="D181" i="4"/>
  <c r="E181" i="4" s="1"/>
  <c r="AE181" i="4" s="1"/>
  <c r="D182" i="4"/>
  <c r="E182" i="4" s="1"/>
  <c r="AE182" i="4" s="1"/>
  <c r="D183" i="4"/>
  <c r="E183" i="4" s="1"/>
  <c r="AE183" i="4" s="1"/>
  <c r="D184" i="4"/>
  <c r="E184" i="4" s="1"/>
  <c r="AE184" i="4" s="1"/>
  <c r="D185" i="4"/>
  <c r="E185" i="4" s="1"/>
  <c r="AE185" i="4" s="1"/>
  <c r="D186" i="4"/>
  <c r="E186" i="4" s="1"/>
  <c r="AE186" i="4" s="1"/>
  <c r="D187" i="4"/>
  <c r="E187" i="4" s="1"/>
  <c r="AE187" i="4" s="1"/>
  <c r="D188" i="4"/>
  <c r="E188" i="4" s="1"/>
  <c r="AE188" i="4" s="1"/>
  <c r="D189" i="4"/>
  <c r="E189" i="4" s="1"/>
  <c r="AE189" i="4" s="1"/>
  <c r="D190" i="4"/>
  <c r="E190" i="4" s="1"/>
  <c r="AE190" i="4" s="1"/>
  <c r="D191" i="4"/>
  <c r="E191" i="4" s="1"/>
  <c r="AE191" i="4" s="1"/>
  <c r="D192" i="4"/>
  <c r="E192" i="4" s="1"/>
  <c r="AE192" i="4" s="1"/>
  <c r="D193" i="4"/>
  <c r="E193" i="4" s="1"/>
  <c r="AE193" i="4" s="1"/>
  <c r="D194" i="4"/>
  <c r="E194" i="4" s="1"/>
  <c r="AE194" i="4" s="1"/>
  <c r="D195" i="4"/>
  <c r="E195" i="4" s="1"/>
  <c r="AE195" i="4" s="1"/>
  <c r="D196" i="4"/>
  <c r="E196" i="4" s="1"/>
  <c r="AE196" i="4" s="1"/>
  <c r="D197" i="4"/>
  <c r="E197" i="4" s="1"/>
  <c r="AE197" i="4" s="1"/>
  <c r="D198" i="4"/>
  <c r="E198" i="4" s="1"/>
  <c r="AE198" i="4" s="1"/>
  <c r="D199" i="4"/>
  <c r="E199" i="4" s="1"/>
  <c r="AE199" i="4" s="1"/>
  <c r="D200" i="4"/>
  <c r="E200" i="4" s="1"/>
  <c r="AE200" i="4" s="1"/>
  <c r="D201" i="4"/>
  <c r="E201" i="4" s="1"/>
  <c r="AE201" i="4" s="1"/>
  <c r="D202" i="4"/>
  <c r="E202" i="4" s="1"/>
  <c r="AE202" i="4" s="1"/>
  <c r="D203" i="4"/>
  <c r="E203" i="4" s="1"/>
  <c r="AE203" i="4" s="1"/>
  <c r="D204" i="4"/>
  <c r="E204" i="4" s="1"/>
  <c r="AE204" i="4" s="1"/>
  <c r="D205" i="4"/>
  <c r="E205" i="4" s="1"/>
  <c r="AE205" i="4" s="1"/>
  <c r="D206" i="4"/>
  <c r="E206" i="4" s="1"/>
  <c r="AE206" i="4" s="1"/>
  <c r="D207" i="4"/>
  <c r="E207" i="4" s="1"/>
  <c r="AE207" i="4" s="1"/>
  <c r="D208" i="4"/>
  <c r="E208" i="4" s="1"/>
  <c r="AE208" i="4" s="1"/>
  <c r="D209" i="4"/>
  <c r="E209" i="4" s="1"/>
  <c r="AE209" i="4" s="1"/>
  <c r="D210" i="4"/>
  <c r="E210" i="4" s="1"/>
  <c r="AE210" i="4" s="1"/>
  <c r="D211" i="4"/>
  <c r="E211" i="4" s="1"/>
  <c r="AE211" i="4" s="1"/>
  <c r="D212" i="4"/>
  <c r="E212" i="4" s="1"/>
  <c r="AE212" i="4" s="1"/>
  <c r="D213" i="4"/>
  <c r="E213" i="4" s="1"/>
  <c r="AE213" i="4" s="1"/>
  <c r="D214" i="4"/>
  <c r="E214" i="4" s="1"/>
  <c r="AE214" i="4" s="1"/>
  <c r="D215" i="4"/>
  <c r="E215" i="4" s="1"/>
  <c r="AE215" i="4" s="1"/>
  <c r="D216" i="4"/>
  <c r="E216" i="4" s="1"/>
  <c r="AE216" i="4" s="1"/>
  <c r="D217" i="4"/>
  <c r="E217" i="4" s="1"/>
  <c r="AE217" i="4" s="1"/>
  <c r="D218" i="4"/>
  <c r="E218" i="4" s="1"/>
  <c r="AE218" i="4" s="1"/>
  <c r="D219" i="4"/>
  <c r="E219" i="4" s="1"/>
  <c r="AE219" i="4" s="1"/>
  <c r="D220" i="4"/>
  <c r="E220" i="4" s="1"/>
  <c r="AE220" i="4" s="1"/>
  <c r="D221" i="4"/>
  <c r="E221" i="4" s="1"/>
  <c r="AE221" i="4" s="1"/>
  <c r="D222" i="4"/>
  <c r="E222" i="4" s="1"/>
  <c r="AE222" i="4" s="1"/>
  <c r="D223" i="4"/>
  <c r="E223" i="4" s="1"/>
  <c r="AE223" i="4" s="1"/>
  <c r="D224" i="4"/>
  <c r="E224" i="4" s="1"/>
  <c r="AE224" i="4" s="1"/>
  <c r="D225" i="4"/>
  <c r="E225" i="4" s="1"/>
  <c r="AE225" i="4" s="1"/>
  <c r="D226" i="4"/>
  <c r="E226" i="4" s="1"/>
  <c r="AE226" i="4" s="1"/>
  <c r="D227" i="4"/>
  <c r="E227" i="4" s="1"/>
  <c r="AE227" i="4" s="1"/>
  <c r="D228" i="4"/>
  <c r="E228" i="4" s="1"/>
  <c r="AE228" i="4" s="1"/>
  <c r="D229" i="4"/>
  <c r="E229" i="4" s="1"/>
  <c r="AE229" i="4" s="1"/>
  <c r="D230" i="4"/>
  <c r="E230" i="4" s="1"/>
  <c r="AE230" i="4" s="1"/>
  <c r="D231" i="4"/>
  <c r="E231" i="4" s="1"/>
  <c r="AE231" i="4" s="1"/>
  <c r="D232" i="4"/>
  <c r="E232" i="4" s="1"/>
  <c r="AE232" i="4" s="1"/>
  <c r="D233" i="4"/>
  <c r="E233" i="4" s="1"/>
  <c r="AE233" i="4" s="1"/>
  <c r="D234" i="4"/>
  <c r="E234" i="4" s="1"/>
  <c r="AE234" i="4" s="1"/>
  <c r="D235" i="4"/>
  <c r="E235" i="4" s="1"/>
  <c r="AE235" i="4" s="1"/>
  <c r="D236" i="4"/>
  <c r="E236" i="4" s="1"/>
  <c r="AE236" i="4" s="1"/>
  <c r="D237" i="4"/>
  <c r="E237" i="4" s="1"/>
  <c r="AE237" i="4" s="1"/>
  <c r="D238" i="4"/>
  <c r="E238" i="4" s="1"/>
  <c r="AE238" i="4" s="1"/>
  <c r="D239" i="4"/>
  <c r="E239" i="4" s="1"/>
  <c r="AE239" i="4" s="1"/>
  <c r="D240" i="4"/>
  <c r="E240" i="4" s="1"/>
  <c r="AE240" i="4" s="1"/>
  <c r="D241" i="4"/>
  <c r="E241" i="4" s="1"/>
  <c r="AE241" i="4" s="1"/>
  <c r="D242" i="4"/>
  <c r="E242" i="4" s="1"/>
  <c r="AE242" i="4" s="1"/>
  <c r="D243" i="4"/>
  <c r="E243" i="4" s="1"/>
  <c r="AE243" i="4" s="1"/>
  <c r="D244" i="4"/>
  <c r="E244" i="4" s="1"/>
  <c r="AE244" i="4" s="1"/>
  <c r="D245" i="4"/>
  <c r="E245" i="4" s="1"/>
  <c r="AE245" i="4" s="1"/>
  <c r="D246" i="4"/>
  <c r="E246" i="4" s="1"/>
  <c r="AE246" i="4" s="1"/>
  <c r="D247" i="4"/>
  <c r="E247" i="4" s="1"/>
  <c r="AE247" i="4" s="1"/>
  <c r="D248" i="4"/>
  <c r="E248" i="4" s="1"/>
  <c r="AE248" i="4" s="1"/>
  <c r="D249" i="4"/>
  <c r="E249" i="4" s="1"/>
  <c r="AE249" i="4" s="1"/>
  <c r="D250" i="4"/>
  <c r="E250" i="4" s="1"/>
  <c r="AE250" i="4" s="1"/>
  <c r="D251" i="4"/>
  <c r="E251" i="4" s="1"/>
  <c r="AE251" i="4" s="1"/>
  <c r="D252" i="4"/>
  <c r="E252" i="4" s="1"/>
  <c r="AE252" i="4" s="1"/>
  <c r="D253" i="4"/>
  <c r="E253" i="4" s="1"/>
  <c r="AE253" i="4" s="1"/>
  <c r="D254" i="4"/>
  <c r="E254" i="4" s="1"/>
  <c r="AE254" i="4" s="1"/>
  <c r="D255" i="4"/>
  <c r="E255" i="4" s="1"/>
  <c r="AE255" i="4" s="1"/>
  <c r="D256" i="4"/>
  <c r="E256" i="4" s="1"/>
  <c r="AE256" i="4" s="1"/>
  <c r="D257" i="4"/>
  <c r="E257" i="4" s="1"/>
  <c r="AE257" i="4" s="1"/>
  <c r="D258" i="4"/>
  <c r="E258" i="4" s="1"/>
  <c r="AE258" i="4" s="1"/>
  <c r="D259" i="4"/>
  <c r="E259" i="4" s="1"/>
  <c r="AE259" i="4" s="1"/>
  <c r="D260" i="4"/>
  <c r="E260" i="4" s="1"/>
  <c r="AE260" i="4" s="1"/>
  <c r="D261" i="4"/>
  <c r="E261" i="4" s="1"/>
  <c r="AE261" i="4" s="1"/>
  <c r="D262" i="4"/>
  <c r="E262" i="4" s="1"/>
  <c r="AE262" i="4" s="1"/>
  <c r="D263" i="4"/>
  <c r="E263" i="4" s="1"/>
  <c r="AE263" i="4" s="1"/>
  <c r="D264" i="4"/>
  <c r="E264" i="4" s="1"/>
  <c r="AE264" i="4" s="1"/>
  <c r="D265" i="4"/>
  <c r="E265" i="4" s="1"/>
  <c r="AE265" i="4" s="1"/>
  <c r="D266" i="4"/>
  <c r="E266" i="4" s="1"/>
  <c r="AE266" i="4" s="1"/>
  <c r="D267" i="4"/>
  <c r="E267" i="4" s="1"/>
  <c r="AE267" i="4" s="1"/>
  <c r="D268" i="4"/>
  <c r="E268" i="4" s="1"/>
  <c r="AE268" i="4" s="1"/>
  <c r="D269" i="4"/>
  <c r="E269" i="4" s="1"/>
  <c r="AE269" i="4" s="1"/>
  <c r="D270" i="4"/>
  <c r="E270" i="4" s="1"/>
  <c r="AE270" i="4" s="1"/>
  <c r="D271" i="4"/>
  <c r="E271" i="4" s="1"/>
  <c r="AE271" i="4" s="1"/>
  <c r="D272" i="4"/>
  <c r="E272" i="4" s="1"/>
  <c r="AE272" i="4" s="1"/>
  <c r="D273" i="4"/>
  <c r="E273" i="4" s="1"/>
  <c r="AE273" i="4" s="1"/>
  <c r="D274" i="4"/>
  <c r="E274" i="4" s="1"/>
  <c r="AE274" i="4" s="1"/>
  <c r="D275" i="4"/>
  <c r="E275" i="4" s="1"/>
  <c r="AE275" i="4" s="1"/>
  <c r="D276" i="4"/>
  <c r="E276" i="4" s="1"/>
  <c r="AE276" i="4" s="1"/>
  <c r="D277" i="4"/>
  <c r="E277" i="4" s="1"/>
  <c r="AE277" i="4" s="1"/>
  <c r="D278" i="4"/>
  <c r="E278" i="4" s="1"/>
  <c r="AE278" i="4" s="1"/>
  <c r="D279" i="4"/>
  <c r="E279" i="4" s="1"/>
  <c r="AE279" i="4" s="1"/>
  <c r="D280" i="4"/>
  <c r="E280" i="4" s="1"/>
  <c r="AE280" i="4" s="1"/>
  <c r="D281" i="4"/>
  <c r="E281" i="4" s="1"/>
  <c r="AE281" i="4" s="1"/>
  <c r="D282" i="4"/>
  <c r="E282" i="4" s="1"/>
  <c r="AE282" i="4" s="1"/>
  <c r="D283" i="4"/>
  <c r="E283" i="4" s="1"/>
  <c r="AE283" i="4" s="1"/>
  <c r="D284" i="4"/>
  <c r="E284" i="4" s="1"/>
  <c r="AE284" i="4" s="1"/>
  <c r="D285" i="4"/>
  <c r="E285" i="4" s="1"/>
  <c r="AE285" i="4" s="1"/>
  <c r="D286" i="4"/>
  <c r="E286" i="4" s="1"/>
  <c r="AE286" i="4" s="1"/>
  <c r="D287" i="4"/>
  <c r="E287" i="4" s="1"/>
  <c r="AE287" i="4" s="1"/>
  <c r="D288" i="4"/>
  <c r="E288" i="4" s="1"/>
  <c r="AE288" i="4" s="1"/>
  <c r="D289" i="4"/>
  <c r="E289" i="4" s="1"/>
  <c r="AE289" i="4" s="1"/>
  <c r="D290" i="4"/>
  <c r="E290" i="4" s="1"/>
  <c r="AE290" i="4" s="1"/>
  <c r="D291" i="4"/>
  <c r="E291" i="4" s="1"/>
  <c r="AE291" i="4" s="1"/>
  <c r="D292" i="4"/>
  <c r="E292" i="4" s="1"/>
  <c r="AE292" i="4" s="1"/>
  <c r="D293" i="4"/>
  <c r="E293" i="4" s="1"/>
  <c r="AE293" i="4" s="1"/>
  <c r="D294" i="4"/>
  <c r="E294" i="4" s="1"/>
  <c r="AE294" i="4" s="1"/>
  <c r="D295" i="4"/>
  <c r="E295" i="4" s="1"/>
  <c r="AE295" i="4" s="1"/>
  <c r="D296" i="4"/>
  <c r="E296" i="4" s="1"/>
  <c r="AE296" i="4" s="1"/>
  <c r="D297" i="4"/>
  <c r="E297" i="4" s="1"/>
  <c r="AE297" i="4" s="1"/>
  <c r="D298" i="4"/>
  <c r="E298" i="4" s="1"/>
  <c r="AE298" i="4" s="1"/>
  <c r="D299" i="4"/>
  <c r="E299" i="4" s="1"/>
  <c r="AE299" i="4" s="1"/>
  <c r="D300" i="4"/>
  <c r="E300" i="4" s="1"/>
  <c r="AE300" i="4" s="1"/>
  <c r="D301" i="4"/>
  <c r="E301" i="4" s="1"/>
  <c r="AE301" i="4" s="1"/>
  <c r="D302" i="4"/>
  <c r="E302" i="4" s="1"/>
  <c r="AE302" i="4" s="1"/>
  <c r="D303" i="4"/>
  <c r="E303" i="4" s="1"/>
  <c r="AE303" i="4" s="1"/>
  <c r="D304" i="4"/>
  <c r="E304" i="4" s="1"/>
  <c r="AE304" i="4" s="1"/>
  <c r="D305" i="4"/>
  <c r="E305" i="4" s="1"/>
  <c r="AE305" i="4" s="1"/>
  <c r="D306" i="4"/>
  <c r="E306" i="4" s="1"/>
  <c r="AE306" i="4" s="1"/>
  <c r="D307" i="4"/>
  <c r="E307" i="4" s="1"/>
  <c r="AE307" i="4" s="1"/>
  <c r="D308" i="4"/>
  <c r="E308" i="4" s="1"/>
  <c r="AE308" i="4" s="1"/>
  <c r="D309" i="4"/>
  <c r="E309" i="4" s="1"/>
  <c r="AE309" i="4" s="1"/>
  <c r="D310" i="4"/>
  <c r="E310" i="4" s="1"/>
  <c r="AE310" i="4" s="1"/>
  <c r="D311" i="4"/>
  <c r="E311" i="4" s="1"/>
  <c r="AE311" i="4" s="1"/>
  <c r="D312" i="4"/>
  <c r="E312" i="4" s="1"/>
  <c r="AE312" i="4" s="1"/>
  <c r="D313" i="4"/>
  <c r="E313" i="4" s="1"/>
  <c r="AE313" i="4" s="1"/>
  <c r="D314" i="4"/>
  <c r="E314" i="4" s="1"/>
  <c r="AE314" i="4" s="1"/>
  <c r="D315" i="4"/>
  <c r="E315" i="4" s="1"/>
  <c r="AE315" i="4" s="1"/>
  <c r="D316" i="4"/>
  <c r="E316" i="4" s="1"/>
  <c r="AE316" i="4" s="1"/>
  <c r="D317" i="4"/>
  <c r="E317" i="4" s="1"/>
  <c r="AE317" i="4" s="1"/>
  <c r="D318" i="4"/>
  <c r="E318" i="4" s="1"/>
  <c r="AE318" i="4" s="1"/>
  <c r="D319" i="4"/>
  <c r="E319" i="4" s="1"/>
  <c r="AE319" i="4" s="1"/>
  <c r="D320" i="4"/>
  <c r="E320" i="4" s="1"/>
  <c r="AE320" i="4" s="1"/>
  <c r="D321" i="4"/>
  <c r="E321" i="4" s="1"/>
  <c r="AE321" i="4" s="1"/>
  <c r="D322" i="4"/>
  <c r="E322" i="4" s="1"/>
  <c r="AE322" i="4" s="1"/>
  <c r="D323" i="4"/>
  <c r="E323" i="4" s="1"/>
  <c r="AE323" i="4" s="1"/>
  <c r="D324" i="4"/>
  <c r="E324" i="4" s="1"/>
  <c r="AE324" i="4" s="1"/>
  <c r="D325" i="4"/>
  <c r="E325" i="4" s="1"/>
  <c r="AE325" i="4" s="1"/>
  <c r="D326" i="4"/>
  <c r="E326" i="4" s="1"/>
  <c r="AE326" i="4" s="1"/>
  <c r="D327" i="4"/>
  <c r="E327" i="4" s="1"/>
  <c r="AE327" i="4" s="1"/>
  <c r="D328" i="4"/>
  <c r="E328" i="4" s="1"/>
  <c r="AE328" i="4" s="1"/>
  <c r="D329" i="4"/>
  <c r="E329" i="4" s="1"/>
  <c r="AE329" i="4" s="1"/>
  <c r="D330" i="4"/>
  <c r="E330" i="4" s="1"/>
  <c r="AE330" i="4" s="1"/>
  <c r="D331" i="4"/>
  <c r="E331" i="4" s="1"/>
  <c r="AE331" i="4" s="1"/>
  <c r="D332" i="4"/>
  <c r="E332" i="4" s="1"/>
  <c r="AE332" i="4" s="1"/>
  <c r="D333" i="4"/>
  <c r="E333" i="4" s="1"/>
  <c r="AE333" i="4" s="1"/>
  <c r="D334" i="4"/>
  <c r="E334" i="4" s="1"/>
  <c r="AE334" i="4" s="1"/>
  <c r="D335" i="4"/>
  <c r="E335" i="4" s="1"/>
  <c r="AE335" i="4" s="1"/>
  <c r="D336" i="4"/>
  <c r="E336" i="4" s="1"/>
  <c r="AE336" i="4" s="1"/>
  <c r="D337" i="4"/>
  <c r="E337" i="4" s="1"/>
  <c r="AE337" i="4" s="1"/>
  <c r="D338" i="4"/>
  <c r="E338" i="4" s="1"/>
  <c r="AE338" i="4" s="1"/>
  <c r="D339" i="4"/>
  <c r="E339" i="4" s="1"/>
  <c r="AE339" i="4" s="1"/>
  <c r="D340" i="4"/>
  <c r="E340" i="4" s="1"/>
  <c r="AE340" i="4" s="1"/>
  <c r="D341" i="4"/>
  <c r="E341" i="4" s="1"/>
  <c r="AE341" i="4" s="1"/>
  <c r="D342" i="4"/>
  <c r="E342" i="4" s="1"/>
  <c r="AE342" i="4" s="1"/>
  <c r="D343" i="4"/>
  <c r="E343" i="4" s="1"/>
  <c r="AE343" i="4" s="1"/>
  <c r="D344" i="4"/>
  <c r="E344" i="4" s="1"/>
  <c r="AE344" i="4" s="1"/>
  <c r="D345" i="4"/>
  <c r="E345" i="4" s="1"/>
  <c r="AE345" i="4" s="1"/>
  <c r="D346" i="4"/>
  <c r="E346" i="4" s="1"/>
  <c r="AE346" i="4" s="1"/>
  <c r="D347" i="4"/>
  <c r="E347" i="4" s="1"/>
  <c r="AE347" i="4" s="1"/>
  <c r="D348" i="4"/>
  <c r="E348" i="4" s="1"/>
  <c r="AE348" i="4" s="1"/>
  <c r="D349" i="4"/>
  <c r="E349" i="4" s="1"/>
  <c r="AE349" i="4" s="1"/>
  <c r="D350" i="4"/>
  <c r="E350" i="4" s="1"/>
  <c r="AE350" i="4" s="1"/>
  <c r="D351" i="4"/>
  <c r="E351" i="4" s="1"/>
  <c r="AE351" i="4" s="1"/>
  <c r="D352" i="4"/>
  <c r="E352" i="4" s="1"/>
  <c r="AE352" i="4" s="1"/>
  <c r="D353" i="4"/>
  <c r="E353" i="4" s="1"/>
  <c r="AE353" i="4" s="1"/>
  <c r="D354" i="4"/>
  <c r="E354" i="4" s="1"/>
  <c r="AE354" i="4" s="1"/>
  <c r="D355" i="4"/>
  <c r="E355" i="4" s="1"/>
  <c r="AE355" i="4" s="1"/>
  <c r="D356" i="4"/>
  <c r="E356" i="4" s="1"/>
  <c r="AE356" i="4" s="1"/>
  <c r="D357" i="4"/>
  <c r="E357" i="4" s="1"/>
  <c r="AE357" i="4" s="1"/>
  <c r="D358" i="4"/>
  <c r="E358" i="4" s="1"/>
  <c r="AE358" i="4" s="1"/>
  <c r="D359" i="4"/>
  <c r="E359" i="4" s="1"/>
  <c r="AE359" i="4" s="1"/>
  <c r="D360" i="4"/>
  <c r="E360" i="4" s="1"/>
  <c r="AE360" i="4" s="1"/>
  <c r="D361" i="4"/>
  <c r="E361" i="4" s="1"/>
  <c r="AE361" i="4" s="1"/>
  <c r="D362" i="4"/>
  <c r="E362" i="4" s="1"/>
  <c r="AE362" i="4" s="1"/>
  <c r="D363" i="4"/>
  <c r="E363" i="4" s="1"/>
  <c r="AE363" i="4" s="1"/>
  <c r="D364" i="4"/>
  <c r="E364" i="4" s="1"/>
  <c r="AE364" i="4" s="1"/>
  <c r="D365" i="4"/>
  <c r="E365" i="4" s="1"/>
  <c r="AE365" i="4" s="1"/>
  <c r="D366" i="4"/>
  <c r="E366" i="4" s="1"/>
  <c r="AE366" i="4" s="1"/>
  <c r="D367" i="4"/>
  <c r="E367" i="4" s="1"/>
  <c r="AE367" i="4" s="1"/>
  <c r="D368" i="4"/>
  <c r="E368" i="4" s="1"/>
  <c r="AE368" i="4" s="1"/>
  <c r="D369" i="4"/>
  <c r="E369" i="4" s="1"/>
  <c r="AE369" i="4" s="1"/>
  <c r="D370" i="4"/>
  <c r="E370" i="4" s="1"/>
  <c r="AE370" i="4" s="1"/>
  <c r="D371" i="4"/>
  <c r="E371" i="4" s="1"/>
  <c r="AE371" i="4" s="1"/>
  <c r="D372" i="4"/>
  <c r="E372" i="4" s="1"/>
  <c r="AE372" i="4" s="1"/>
  <c r="D373" i="4"/>
  <c r="E373" i="4" s="1"/>
  <c r="AE373" i="4" s="1"/>
  <c r="D374" i="4"/>
  <c r="E374" i="4" s="1"/>
  <c r="AE374" i="4" s="1"/>
  <c r="D375" i="4"/>
  <c r="E375" i="4" s="1"/>
  <c r="AE375" i="4" s="1"/>
  <c r="D376" i="4"/>
  <c r="E376" i="4" s="1"/>
  <c r="AE376" i="4" s="1"/>
  <c r="D377" i="4"/>
  <c r="E377" i="4" s="1"/>
  <c r="AE377" i="4" s="1"/>
  <c r="D378" i="4"/>
  <c r="E378" i="4" s="1"/>
  <c r="AE378" i="4" s="1"/>
  <c r="D379" i="4"/>
  <c r="E379" i="4" s="1"/>
  <c r="AE379" i="4" s="1"/>
  <c r="D380" i="4"/>
  <c r="E380" i="4" s="1"/>
  <c r="AE380" i="4" s="1"/>
  <c r="D381" i="4"/>
  <c r="E381" i="4" s="1"/>
  <c r="AE381" i="4" s="1"/>
  <c r="D382" i="4"/>
  <c r="E382" i="4" s="1"/>
  <c r="AE382" i="4" s="1"/>
  <c r="D383" i="4"/>
  <c r="E383" i="4" s="1"/>
  <c r="AE383" i="4" s="1"/>
  <c r="D384" i="4"/>
  <c r="E384" i="4" s="1"/>
  <c r="AE384" i="4" s="1"/>
  <c r="D385" i="4"/>
  <c r="E385" i="4" s="1"/>
  <c r="AE385" i="4" s="1"/>
  <c r="D386" i="4"/>
  <c r="E386" i="4" s="1"/>
  <c r="AE386" i="4" s="1"/>
  <c r="D387" i="4"/>
  <c r="E387" i="4" s="1"/>
  <c r="AE387" i="4" s="1"/>
  <c r="D388" i="4"/>
  <c r="E388" i="4" s="1"/>
  <c r="AE388" i="4" s="1"/>
  <c r="D389" i="4"/>
  <c r="E389" i="4" s="1"/>
  <c r="AE389" i="4" s="1"/>
  <c r="D390" i="4"/>
  <c r="E390" i="4" s="1"/>
  <c r="AE390" i="4" s="1"/>
  <c r="D391" i="4"/>
  <c r="E391" i="4" s="1"/>
  <c r="AE391" i="4" s="1"/>
  <c r="D392" i="4"/>
  <c r="E392" i="4" s="1"/>
  <c r="AE392" i="4" s="1"/>
  <c r="D393" i="4"/>
  <c r="E393" i="4" s="1"/>
  <c r="AE393" i="4" s="1"/>
  <c r="D394" i="4"/>
  <c r="E394" i="4" s="1"/>
  <c r="AE394" i="4" s="1"/>
  <c r="D395" i="4"/>
  <c r="E395" i="4" s="1"/>
  <c r="AE395" i="4" s="1"/>
  <c r="D396" i="4"/>
  <c r="E396" i="4" s="1"/>
  <c r="AE396" i="4" s="1"/>
  <c r="D397" i="4"/>
  <c r="E397" i="4" s="1"/>
  <c r="AE397" i="4" s="1"/>
  <c r="D398" i="4"/>
  <c r="E398" i="4" s="1"/>
  <c r="AE398" i="4" s="1"/>
  <c r="D399" i="4"/>
  <c r="E399" i="4" s="1"/>
  <c r="AE399" i="4" s="1"/>
  <c r="D400" i="4"/>
  <c r="E400" i="4" s="1"/>
  <c r="AE400" i="4" s="1"/>
  <c r="D401" i="4"/>
  <c r="E401" i="4" s="1"/>
  <c r="AE401" i="4" s="1"/>
  <c r="D402" i="4"/>
  <c r="E402" i="4" s="1"/>
  <c r="AE402" i="4" s="1"/>
  <c r="D403" i="4"/>
  <c r="E403" i="4" s="1"/>
  <c r="AE403" i="4" s="1"/>
  <c r="D404" i="4"/>
  <c r="E404" i="4" s="1"/>
  <c r="AE404" i="4" s="1"/>
  <c r="D405" i="4"/>
  <c r="E405" i="4" s="1"/>
  <c r="AE405" i="4" s="1"/>
  <c r="D406" i="4"/>
  <c r="E406" i="4" s="1"/>
  <c r="AE406" i="4" s="1"/>
  <c r="D407" i="4"/>
  <c r="E407" i="4" s="1"/>
  <c r="AE407" i="4" s="1"/>
  <c r="D408" i="4"/>
  <c r="E408" i="4" s="1"/>
  <c r="AE408" i="4" s="1"/>
  <c r="D409" i="4"/>
  <c r="E409" i="4" s="1"/>
  <c r="AE409" i="4" s="1"/>
  <c r="D410" i="4"/>
  <c r="E410" i="4" s="1"/>
  <c r="AE410" i="4" s="1"/>
  <c r="D411" i="4"/>
  <c r="E411" i="4" s="1"/>
  <c r="AE411" i="4" s="1"/>
  <c r="D412" i="4"/>
  <c r="E412" i="4" s="1"/>
  <c r="AE412" i="4" s="1"/>
  <c r="D413" i="4"/>
  <c r="E413" i="4" s="1"/>
  <c r="AE413" i="4" s="1"/>
  <c r="D414" i="4"/>
  <c r="E414" i="4" s="1"/>
  <c r="AE414" i="4" s="1"/>
  <c r="D415" i="4"/>
  <c r="E415" i="4" s="1"/>
  <c r="AE415" i="4" s="1"/>
  <c r="D416" i="4"/>
  <c r="E416" i="4" s="1"/>
  <c r="AE416" i="4" s="1"/>
  <c r="D417" i="4"/>
  <c r="E417" i="4" s="1"/>
  <c r="AE417" i="4" s="1"/>
  <c r="D418" i="4"/>
  <c r="E418" i="4" s="1"/>
  <c r="AE418" i="4" s="1"/>
  <c r="D419" i="4"/>
  <c r="E419" i="4" s="1"/>
  <c r="AE419" i="4" s="1"/>
  <c r="D420" i="4"/>
  <c r="E420" i="4" s="1"/>
  <c r="AE420" i="4" s="1"/>
  <c r="D421" i="4"/>
  <c r="E421" i="4" s="1"/>
  <c r="AE421" i="4" s="1"/>
  <c r="D422" i="4"/>
  <c r="E422" i="4" s="1"/>
  <c r="AE422" i="4" s="1"/>
  <c r="D423" i="4"/>
  <c r="E423" i="4" s="1"/>
  <c r="AE423" i="4" s="1"/>
  <c r="D424" i="4"/>
  <c r="E424" i="4" s="1"/>
  <c r="AE424" i="4" s="1"/>
  <c r="D425" i="4"/>
  <c r="E425" i="4" s="1"/>
  <c r="AE425" i="4" s="1"/>
  <c r="D426" i="4"/>
  <c r="E426" i="4" s="1"/>
  <c r="AE426" i="4" s="1"/>
  <c r="D427" i="4"/>
  <c r="E427" i="4" s="1"/>
  <c r="AE427" i="4" s="1"/>
  <c r="D428" i="4"/>
  <c r="E428" i="4" s="1"/>
  <c r="AE428" i="4" s="1"/>
  <c r="D429" i="4"/>
  <c r="E429" i="4" s="1"/>
  <c r="AE429" i="4" s="1"/>
  <c r="D430" i="4"/>
  <c r="E430" i="4" s="1"/>
  <c r="AE430" i="4" s="1"/>
  <c r="D431" i="4"/>
  <c r="E431" i="4" s="1"/>
  <c r="AE431" i="4" s="1"/>
  <c r="D432" i="4"/>
  <c r="E432" i="4" s="1"/>
  <c r="AE432" i="4" s="1"/>
  <c r="D433" i="4"/>
  <c r="E433" i="4" s="1"/>
  <c r="AE433" i="4" s="1"/>
  <c r="D434" i="4"/>
  <c r="E434" i="4" s="1"/>
  <c r="AE434" i="4" s="1"/>
  <c r="D435" i="4"/>
  <c r="E435" i="4" s="1"/>
  <c r="AE435" i="4" s="1"/>
  <c r="D436" i="4"/>
  <c r="E436" i="4" s="1"/>
  <c r="AE436" i="4" s="1"/>
  <c r="D437" i="4"/>
  <c r="E437" i="4" s="1"/>
  <c r="AE437" i="4" s="1"/>
  <c r="D438" i="4"/>
  <c r="E438" i="4" s="1"/>
  <c r="AE438" i="4" s="1"/>
  <c r="D439" i="4"/>
  <c r="E439" i="4" s="1"/>
  <c r="AE439" i="4" s="1"/>
  <c r="D440" i="4"/>
  <c r="E440" i="4" s="1"/>
  <c r="AE440" i="4" s="1"/>
  <c r="D441" i="4"/>
  <c r="E441" i="4" s="1"/>
  <c r="AE441" i="4" s="1"/>
  <c r="D442" i="4"/>
  <c r="E442" i="4" s="1"/>
  <c r="AE442" i="4" s="1"/>
  <c r="D443" i="4"/>
  <c r="E443" i="4" s="1"/>
  <c r="AE443" i="4" s="1"/>
  <c r="D444" i="4"/>
  <c r="E444" i="4" s="1"/>
  <c r="AE444" i="4" s="1"/>
  <c r="D445" i="4"/>
  <c r="E445" i="4" s="1"/>
  <c r="AE445" i="4" s="1"/>
  <c r="D446" i="4"/>
  <c r="E446" i="4" s="1"/>
  <c r="AE446" i="4" s="1"/>
  <c r="D447" i="4"/>
  <c r="E447" i="4" s="1"/>
  <c r="AE447" i="4" s="1"/>
  <c r="D448" i="4"/>
  <c r="E448" i="4" s="1"/>
  <c r="AE448" i="4" s="1"/>
  <c r="D449" i="4"/>
  <c r="E449" i="4" s="1"/>
  <c r="AE449" i="4" s="1"/>
  <c r="D450" i="4"/>
  <c r="E450" i="4" s="1"/>
  <c r="AE450" i="4" s="1"/>
  <c r="D451" i="4"/>
  <c r="E451" i="4" s="1"/>
  <c r="AE451" i="4" s="1"/>
  <c r="D452" i="4"/>
  <c r="E452" i="4" s="1"/>
  <c r="AE452" i="4" s="1"/>
  <c r="D453" i="4"/>
  <c r="E453" i="4" s="1"/>
  <c r="AE453" i="4" s="1"/>
  <c r="D454" i="4"/>
  <c r="E454" i="4" s="1"/>
  <c r="AE454" i="4" s="1"/>
  <c r="D455" i="4"/>
  <c r="E455" i="4" s="1"/>
  <c r="AE455" i="4" s="1"/>
  <c r="D456" i="4"/>
  <c r="E456" i="4" s="1"/>
  <c r="AE456" i="4" s="1"/>
  <c r="D457" i="4"/>
  <c r="E457" i="4" s="1"/>
  <c r="AE457" i="4" s="1"/>
  <c r="D458" i="4"/>
  <c r="E458" i="4" s="1"/>
  <c r="AE458" i="4" s="1"/>
  <c r="D459" i="4"/>
  <c r="E459" i="4" s="1"/>
  <c r="AE459" i="4" s="1"/>
  <c r="D460" i="4"/>
  <c r="E460" i="4" s="1"/>
  <c r="AE460" i="4" s="1"/>
  <c r="D461" i="4"/>
  <c r="E461" i="4" s="1"/>
  <c r="AE461" i="4" s="1"/>
  <c r="D462" i="4"/>
  <c r="E462" i="4" s="1"/>
  <c r="AE462" i="4" s="1"/>
  <c r="D463" i="4"/>
  <c r="E463" i="4" s="1"/>
  <c r="AE463" i="4" s="1"/>
  <c r="D464" i="4"/>
  <c r="E464" i="4" s="1"/>
  <c r="AE464" i="4" s="1"/>
  <c r="D465" i="4"/>
  <c r="E465" i="4" s="1"/>
  <c r="AE465" i="4" s="1"/>
  <c r="D466" i="4"/>
  <c r="E466" i="4" s="1"/>
  <c r="AE466" i="4" s="1"/>
  <c r="D467" i="4"/>
  <c r="E467" i="4" s="1"/>
  <c r="AE467" i="4" s="1"/>
  <c r="D468" i="4"/>
  <c r="E468" i="4" s="1"/>
  <c r="AE468" i="4" s="1"/>
  <c r="D469" i="4"/>
  <c r="E469" i="4" s="1"/>
  <c r="AE469" i="4" s="1"/>
  <c r="D470" i="4"/>
  <c r="E470" i="4" s="1"/>
  <c r="AE470" i="4" s="1"/>
  <c r="D471" i="4"/>
  <c r="E471" i="4" s="1"/>
  <c r="AE471" i="4" s="1"/>
  <c r="D472" i="4"/>
  <c r="E472" i="4" s="1"/>
  <c r="AE472" i="4" s="1"/>
  <c r="D473" i="4"/>
  <c r="E473" i="4" s="1"/>
  <c r="AE473" i="4" s="1"/>
  <c r="D474" i="4"/>
  <c r="E474" i="4" s="1"/>
  <c r="AE474" i="4" s="1"/>
  <c r="D475" i="4"/>
  <c r="E475" i="4" s="1"/>
  <c r="AE475" i="4" s="1"/>
  <c r="D476" i="4"/>
  <c r="E476" i="4" s="1"/>
  <c r="AE476" i="4" s="1"/>
  <c r="D477" i="4"/>
  <c r="E477" i="4" s="1"/>
  <c r="AE477" i="4" s="1"/>
  <c r="D478" i="4"/>
  <c r="E478" i="4" s="1"/>
  <c r="AE478" i="4" s="1"/>
  <c r="D479" i="4"/>
  <c r="E479" i="4" s="1"/>
  <c r="AE479" i="4" s="1"/>
  <c r="D480" i="4"/>
  <c r="E480" i="4" s="1"/>
  <c r="AE480" i="4" s="1"/>
  <c r="D481" i="4"/>
  <c r="E481" i="4" s="1"/>
  <c r="AE481" i="4" s="1"/>
  <c r="D482" i="4"/>
  <c r="E482" i="4" s="1"/>
  <c r="AE482" i="4" s="1"/>
  <c r="D483" i="4"/>
  <c r="E483" i="4" s="1"/>
  <c r="AE483" i="4" s="1"/>
  <c r="D484" i="4"/>
  <c r="E484" i="4" s="1"/>
  <c r="AE484" i="4" s="1"/>
  <c r="D485" i="4"/>
  <c r="E485" i="4" s="1"/>
  <c r="AE485" i="4" s="1"/>
  <c r="D486" i="4"/>
  <c r="E486" i="4" s="1"/>
  <c r="AE486" i="4" s="1"/>
  <c r="D487" i="4"/>
  <c r="E487" i="4" s="1"/>
  <c r="AE487" i="4" s="1"/>
  <c r="D488" i="4"/>
  <c r="E488" i="4" s="1"/>
  <c r="AE488" i="4" s="1"/>
  <c r="D489" i="4"/>
  <c r="E489" i="4" s="1"/>
  <c r="AE489" i="4" s="1"/>
  <c r="D490" i="4"/>
  <c r="E490" i="4" s="1"/>
  <c r="AE490" i="4" s="1"/>
  <c r="D491" i="4"/>
  <c r="E491" i="4" s="1"/>
  <c r="AE491" i="4" s="1"/>
  <c r="D492" i="4"/>
  <c r="E492" i="4" s="1"/>
  <c r="AE492" i="4" s="1"/>
  <c r="D493" i="4"/>
  <c r="E493" i="4" s="1"/>
  <c r="AE493" i="4" s="1"/>
  <c r="D494" i="4"/>
  <c r="E494" i="4" s="1"/>
  <c r="AE494" i="4" s="1"/>
  <c r="D495" i="4"/>
  <c r="E495" i="4" s="1"/>
  <c r="AE495" i="4" s="1"/>
  <c r="D496" i="4"/>
  <c r="E496" i="4" s="1"/>
  <c r="AE496" i="4" s="1"/>
  <c r="D497" i="4"/>
  <c r="E497" i="4" s="1"/>
  <c r="AE497" i="4" s="1"/>
  <c r="D498" i="4"/>
  <c r="E498" i="4" s="1"/>
  <c r="AE498" i="4" s="1"/>
  <c r="D499" i="4"/>
  <c r="E499" i="4" s="1"/>
  <c r="AE499" i="4" s="1"/>
  <c r="D500" i="4"/>
  <c r="E500" i="4" s="1"/>
  <c r="AE500" i="4" s="1"/>
  <c r="D501" i="4"/>
  <c r="E501" i="4" s="1"/>
  <c r="AE501" i="4" s="1"/>
  <c r="D502" i="4"/>
  <c r="E502" i="4" s="1"/>
  <c r="AE502" i="4" s="1"/>
  <c r="D503" i="4"/>
  <c r="E503" i="4" s="1"/>
  <c r="AE503" i="4" s="1"/>
  <c r="D504" i="4"/>
  <c r="E504" i="4" s="1"/>
  <c r="AE504" i="4" s="1"/>
  <c r="D505" i="4"/>
  <c r="E505" i="4" s="1"/>
  <c r="AE505" i="4" s="1"/>
  <c r="D506" i="4"/>
  <c r="E506" i="4" s="1"/>
  <c r="AE506" i="4" s="1"/>
  <c r="D507" i="4"/>
  <c r="E507" i="4" s="1"/>
  <c r="AE507" i="4" s="1"/>
  <c r="D508" i="4"/>
  <c r="E508" i="4" s="1"/>
  <c r="AE508" i="4" s="1"/>
  <c r="D509" i="4"/>
  <c r="E509" i="4" s="1"/>
  <c r="AE509" i="4" s="1"/>
  <c r="D510" i="4"/>
  <c r="E510" i="4" s="1"/>
  <c r="AE510" i="4" s="1"/>
  <c r="D511" i="4"/>
  <c r="E511" i="4" s="1"/>
  <c r="AE511" i="4" s="1"/>
  <c r="D512" i="4"/>
  <c r="E512" i="4" s="1"/>
  <c r="AE512" i="4" s="1"/>
  <c r="D513" i="4"/>
  <c r="E513" i="4" s="1"/>
  <c r="AE513" i="4" s="1"/>
  <c r="D514" i="4"/>
  <c r="E514" i="4" s="1"/>
  <c r="AE514" i="4" s="1"/>
  <c r="D515" i="4"/>
  <c r="E515" i="4" s="1"/>
  <c r="AE515" i="4" s="1"/>
  <c r="D516" i="4"/>
  <c r="E516" i="4" s="1"/>
  <c r="AE516" i="4" s="1"/>
  <c r="D517" i="4"/>
  <c r="E517" i="4" s="1"/>
  <c r="AE517" i="4" s="1"/>
  <c r="D518" i="4"/>
  <c r="E518" i="4" s="1"/>
  <c r="AE518" i="4" s="1"/>
  <c r="D519" i="4"/>
  <c r="E519" i="4" s="1"/>
  <c r="AE519" i="4" s="1"/>
  <c r="D520" i="4"/>
  <c r="E520" i="4" s="1"/>
  <c r="AE520" i="4" s="1"/>
  <c r="D521" i="4"/>
  <c r="E521" i="4" s="1"/>
  <c r="AE521" i="4" s="1"/>
  <c r="D522" i="4"/>
  <c r="E522" i="4" s="1"/>
  <c r="AE522" i="4" s="1"/>
  <c r="D523" i="4"/>
  <c r="E523" i="4" s="1"/>
  <c r="AE523" i="4" s="1"/>
  <c r="D524" i="4"/>
  <c r="E524" i="4" s="1"/>
  <c r="AE524" i="4" s="1"/>
  <c r="D525" i="4"/>
  <c r="E525" i="4" s="1"/>
  <c r="AE525" i="4" s="1"/>
  <c r="D526" i="4"/>
  <c r="E526" i="4" s="1"/>
  <c r="AE526" i="4" s="1"/>
  <c r="D527" i="4"/>
  <c r="E527" i="4" s="1"/>
  <c r="AE527" i="4" s="1"/>
  <c r="D528" i="4"/>
  <c r="E528" i="4" s="1"/>
  <c r="AE528" i="4" s="1"/>
  <c r="D529" i="4"/>
  <c r="E529" i="4" s="1"/>
  <c r="AE529" i="4" s="1"/>
  <c r="D530" i="4"/>
  <c r="E530" i="4" s="1"/>
  <c r="AE530" i="4" s="1"/>
  <c r="D531" i="4"/>
  <c r="E531" i="4" s="1"/>
  <c r="AE531" i="4" s="1"/>
  <c r="D532" i="4"/>
  <c r="E532" i="4" s="1"/>
  <c r="AE532" i="4" s="1"/>
  <c r="D533" i="4"/>
  <c r="E533" i="4" s="1"/>
  <c r="AE533" i="4" s="1"/>
  <c r="D534" i="4"/>
  <c r="E534" i="4" s="1"/>
  <c r="AE534" i="4" s="1"/>
  <c r="D535" i="4"/>
  <c r="E535" i="4" s="1"/>
  <c r="AE535" i="4" s="1"/>
  <c r="D536" i="4"/>
  <c r="E536" i="4" s="1"/>
  <c r="AE536" i="4" s="1"/>
  <c r="D537" i="4"/>
  <c r="E537" i="4" s="1"/>
  <c r="AE537" i="4" s="1"/>
  <c r="D538" i="4"/>
  <c r="E538" i="4" s="1"/>
  <c r="AE538" i="4" s="1"/>
  <c r="D539" i="4"/>
  <c r="E539" i="4" s="1"/>
  <c r="AE539" i="4" s="1"/>
  <c r="D540" i="4"/>
  <c r="E540" i="4" s="1"/>
  <c r="AE540" i="4" s="1"/>
  <c r="D541" i="4"/>
  <c r="E541" i="4" s="1"/>
  <c r="AE541" i="4" s="1"/>
  <c r="D542" i="4"/>
  <c r="E542" i="4" s="1"/>
  <c r="AE542" i="4" s="1"/>
  <c r="D543" i="4"/>
  <c r="E543" i="4" s="1"/>
  <c r="AE543" i="4" s="1"/>
  <c r="D544" i="4"/>
  <c r="E544" i="4" s="1"/>
  <c r="AE544" i="4" s="1"/>
  <c r="D545" i="4"/>
  <c r="E545" i="4" s="1"/>
  <c r="AE545" i="4" s="1"/>
  <c r="D546" i="4"/>
  <c r="E546" i="4" s="1"/>
  <c r="AE546" i="4" s="1"/>
  <c r="D547" i="4"/>
  <c r="E547" i="4" s="1"/>
  <c r="AE547" i="4" s="1"/>
  <c r="D548" i="4"/>
  <c r="E548" i="4" s="1"/>
  <c r="AE548" i="4" s="1"/>
  <c r="D549" i="4"/>
  <c r="E549" i="4" s="1"/>
  <c r="AE549" i="4" s="1"/>
  <c r="D550" i="4"/>
  <c r="E550" i="4" s="1"/>
  <c r="AE550" i="4" s="1"/>
  <c r="D551" i="4"/>
  <c r="E551" i="4" s="1"/>
  <c r="AE551" i="4" s="1"/>
  <c r="D552" i="4"/>
  <c r="E552" i="4" s="1"/>
  <c r="AE552" i="4" s="1"/>
  <c r="D553" i="4"/>
  <c r="E553" i="4" s="1"/>
  <c r="AE553" i="4" s="1"/>
  <c r="D554" i="4"/>
  <c r="E554" i="4" s="1"/>
  <c r="AE554" i="4" s="1"/>
  <c r="D555" i="4"/>
  <c r="E555" i="4" s="1"/>
  <c r="AE555" i="4" s="1"/>
  <c r="D556" i="4"/>
  <c r="E556" i="4" s="1"/>
  <c r="AE556" i="4" s="1"/>
  <c r="D557" i="4"/>
  <c r="D558" i="4"/>
  <c r="A152" i="8"/>
  <c r="B152" i="8" s="1"/>
  <c r="A153" i="8"/>
  <c r="B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A160" i="8"/>
  <c r="B160" i="8" s="1"/>
  <c r="A161" i="8"/>
  <c r="B161" i="8" s="1"/>
  <c r="A162" i="8"/>
  <c r="B162" i="8" s="1"/>
  <c r="A163" i="8"/>
  <c r="B163" i="8" s="1"/>
  <c r="A164" i="8"/>
  <c r="B164" i="8" s="1"/>
  <c r="A165" i="8"/>
  <c r="B165" i="8" s="1"/>
  <c r="A166" i="8"/>
  <c r="B166" i="8" s="1"/>
  <c r="A167" i="8"/>
  <c r="B167" i="8" s="1"/>
  <c r="A168" i="8"/>
  <c r="B168" i="8" s="1"/>
  <c r="A169" i="8"/>
  <c r="B169" i="8" s="1"/>
  <c r="A170" i="8"/>
  <c r="B170" i="8" s="1"/>
  <c r="A171" i="8"/>
  <c r="B171" i="8" s="1"/>
  <c r="A172" i="8"/>
  <c r="B172" i="8" s="1"/>
  <c r="A173" i="8"/>
  <c r="B173" i="8" s="1"/>
  <c r="A174" i="8"/>
  <c r="B174" i="8" s="1"/>
  <c r="A175" i="8"/>
  <c r="B175" i="8" s="1"/>
  <c r="A176" i="8"/>
  <c r="B176" i="8"/>
  <c r="A177" i="8"/>
  <c r="B177" i="8" s="1"/>
  <c r="A178" i="8"/>
  <c r="B178" i="8" s="1"/>
  <c r="A179" i="8"/>
  <c r="B179" i="8"/>
  <c r="A180" i="8"/>
  <c r="B180" i="8" s="1"/>
  <c r="A181" i="8"/>
  <c r="B181" i="8" s="1"/>
  <c r="A182" i="8"/>
  <c r="B182" i="8" s="1"/>
  <c r="A183" i="8"/>
  <c r="B183" i="8" s="1"/>
  <c r="A184" i="8"/>
  <c r="B184" i="8" s="1"/>
  <c r="A185" i="8"/>
  <c r="B185" i="8" s="1"/>
  <c r="A186" i="8"/>
  <c r="B186" i="8" s="1"/>
  <c r="A187" i="8"/>
  <c r="B187" i="8" s="1"/>
  <c r="A188" i="8"/>
  <c r="B188" i="8" s="1"/>
  <c r="A189" i="8"/>
  <c r="B189" i="8" s="1"/>
  <c r="A190" i="8"/>
  <c r="B190" i="8" s="1"/>
  <c r="A191" i="8"/>
  <c r="B191" i="8" s="1"/>
  <c r="A192" i="8"/>
  <c r="B192" i="8" s="1"/>
  <c r="A193" i="8"/>
  <c r="B193" i="8" s="1"/>
  <c r="A194" i="8"/>
  <c r="B194" i="8" s="1"/>
  <c r="A195" i="8"/>
  <c r="B195" i="8" s="1"/>
  <c r="A196" i="8"/>
  <c r="B196" i="8" s="1"/>
  <c r="A197" i="8"/>
  <c r="B197" i="8" s="1"/>
  <c r="A198" i="8"/>
  <c r="B198" i="8" s="1"/>
  <c r="A199" i="8"/>
  <c r="B199" i="8" s="1"/>
  <c r="A200" i="8"/>
  <c r="B200" i="8" s="1"/>
  <c r="A201" i="8"/>
  <c r="B201" i="8" s="1"/>
  <c r="A202" i="8"/>
  <c r="B202" i="8" s="1"/>
  <c r="A203" i="8"/>
  <c r="B203" i="8" s="1"/>
  <c r="A204" i="8"/>
  <c r="B204" i="8" s="1"/>
  <c r="A205" i="8"/>
  <c r="B205" i="8" s="1"/>
  <c r="A206" i="8"/>
  <c r="B206" i="8" s="1"/>
  <c r="A207" i="8"/>
  <c r="B207" i="8" s="1"/>
  <c r="A208" i="8"/>
  <c r="B208" i="8" s="1"/>
  <c r="A209" i="8"/>
  <c r="B209" i="8" s="1"/>
  <c r="A210" i="8"/>
  <c r="B210" i="8" s="1"/>
  <c r="A211" i="8"/>
  <c r="B211" i="8" s="1"/>
  <c r="A212" i="8"/>
  <c r="B212" i="8" s="1"/>
  <c r="A213" i="8"/>
  <c r="B213" i="8" s="1"/>
  <c r="A214" i="8"/>
  <c r="B214" i="8" s="1"/>
  <c r="A215" i="8"/>
  <c r="B215" i="8" s="1"/>
  <c r="A216" i="8"/>
  <c r="B216" i="8" s="1"/>
  <c r="A217" i="8"/>
  <c r="B217" i="8" s="1"/>
  <c r="A218" i="8"/>
  <c r="B218" i="8" s="1"/>
  <c r="A219" i="8"/>
  <c r="B219" i="8" s="1"/>
  <c r="A220" i="8"/>
  <c r="B220" i="8" s="1"/>
  <c r="A221" i="8"/>
  <c r="B221" i="8" s="1"/>
  <c r="A222" i="8"/>
  <c r="B222" i="8" s="1"/>
  <c r="A223" i="8"/>
  <c r="B223" i="8" s="1"/>
  <c r="A224" i="8"/>
  <c r="B224" i="8" s="1"/>
  <c r="A225" i="8"/>
  <c r="B225" i="8" s="1"/>
  <c r="A226" i="8"/>
  <c r="B226" i="8" s="1"/>
  <c r="A227" i="8"/>
  <c r="B227" i="8" s="1"/>
  <c r="A228" i="8"/>
  <c r="B228" i="8" s="1"/>
  <c r="A229" i="8"/>
  <c r="B229" i="8" s="1"/>
  <c r="A230" i="8"/>
  <c r="B230" i="8" s="1"/>
  <c r="A231" i="8"/>
  <c r="B231" i="8" s="1"/>
  <c r="A232" i="8"/>
  <c r="B232" i="8" s="1"/>
  <c r="A233" i="8"/>
  <c r="B233" i="8" s="1"/>
  <c r="A234" i="8"/>
  <c r="B234" i="8" s="1"/>
  <c r="A235" i="8"/>
  <c r="B235" i="8" s="1"/>
  <c r="A236" i="8"/>
  <c r="B236" i="8" s="1"/>
  <c r="A237" i="8"/>
  <c r="B237" i="8" s="1"/>
  <c r="A238" i="8"/>
  <c r="B238" i="8" s="1"/>
  <c r="A239" i="8"/>
  <c r="B239" i="8" s="1"/>
  <c r="A240" i="8"/>
  <c r="B240" i="8" s="1"/>
  <c r="A241" i="8"/>
  <c r="B241" i="8" s="1"/>
  <c r="A242" i="8"/>
  <c r="B242" i="8" s="1"/>
  <c r="A243" i="8"/>
  <c r="B243" i="8" s="1"/>
  <c r="A244" i="8"/>
  <c r="B244" i="8" s="1"/>
  <c r="A245" i="8"/>
  <c r="B245" i="8" s="1"/>
  <c r="A246" i="8"/>
  <c r="B246" i="8" s="1"/>
  <c r="A247" i="8"/>
  <c r="B247" i="8" s="1"/>
  <c r="A248" i="8"/>
  <c r="B248" i="8" s="1"/>
  <c r="A249" i="8"/>
  <c r="B249" i="8" s="1"/>
  <c r="A250" i="8"/>
  <c r="B250" i="8" s="1"/>
  <c r="A251" i="8"/>
  <c r="B251" i="8" s="1"/>
  <c r="A252" i="8"/>
  <c r="B252" i="8" s="1"/>
  <c r="A253" i="8"/>
  <c r="B253" i="8" s="1"/>
  <c r="A254" i="8"/>
  <c r="B254" i="8" s="1"/>
  <c r="A255" i="8"/>
  <c r="B255" i="8" s="1"/>
  <c r="A256" i="8"/>
  <c r="B256" i="8" s="1"/>
  <c r="A257" i="8"/>
  <c r="B257" i="8" s="1"/>
  <c r="A258" i="8"/>
  <c r="B258" i="8" s="1"/>
  <c r="A259" i="8"/>
  <c r="B259" i="8" s="1"/>
  <c r="A260" i="8"/>
  <c r="B260" i="8" s="1"/>
  <c r="A261" i="8"/>
  <c r="B261" i="8" s="1"/>
  <c r="A262" i="8"/>
  <c r="B262" i="8" s="1"/>
  <c r="A263" i="8"/>
  <c r="B263" i="8" s="1"/>
  <c r="A264" i="8"/>
  <c r="B264" i="8" s="1"/>
  <c r="A265" i="8"/>
  <c r="B265" i="8" s="1"/>
  <c r="A266" i="8"/>
  <c r="B266" i="8" s="1"/>
  <c r="A267" i="8"/>
  <c r="B267" i="8" s="1"/>
  <c r="A268" i="8"/>
  <c r="B268" i="8" s="1"/>
  <c r="A269" i="8"/>
  <c r="B269" i="8" s="1"/>
  <c r="A270" i="8"/>
  <c r="B270" i="8" s="1"/>
  <c r="A271" i="8"/>
  <c r="B271" i="8" s="1"/>
  <c r="A272" i="8"/>
  <c r="B272" i="8" s="1"/>
  <c r="A273" i="8"/>
  <c r="B273" i="8" s="1"/>
  <c r="A274" i="8"/>
  <c r="B274" i="8" s="1"/>
  <c r="A275" i="8"/>
  <c r="B275" i="8" s="1"/>
  <c r="A276" i="8"/>
  <c r="B276" i="8" s="1"/>
  <c r="A277" i="8"/>
  <c r="B277" i="8" s="1"/>
  <c r="A278" i="8"/>
  <c r="B278" i="8" s="1"/>
  <c r="A279" i="8"/>
  <c r="B279" i="8" s="1"/>
  <c r="A280" i="8"/>
  <c r="B280" i="8" s="1"/>
  <c r="A281" i="8"/>
  <c r="B281" i="8" s="1"/>
  <c r="A282" i="8"/>
  <c r="B282" i="8" s="1"/>
  <c r="A283" i="8"/>
  <c r="B283" i="8" s="1"/>
  <c r="A284" i="8"/>
  <c r="B284" i="8" s="1"/>
  <c r="A285" i="8"/>
  <c r="B285" i="8" s="1"/>
  <c r="A286" i="8"/>
  <c r="B286" i="8" s="1"/>
  <c r="A287" i="8"/>
  <c r="B287" i="8" s="1"/>
  <c r="A288" i="8"/>
  <c r="B288" i="8" s="1"/>
  <c r="A289" i="8"/>
  <c r="B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A298" i="8"/>
  <c r="B298" i="8" s="1"/>
  <c r="A299" i="8"/>
  <c r="B299" i="8" s="1"/>
  <c r="A300" i="8"/>
  <c r="B300" i="8" s="1"/>
  <c r="A301" i="8"/>
  <c r="B301" i="8" s="1"/>
  <c r="A302" i="8"/>
  <c r="B302" i="8" s="1"/>
  <c r="A303" i="8"/>
  <c r="B303" i="8" s="1"/>
  <c r="A304" i="8"/>
  <c r="B304" i="8" s="1"/>
  <c r="A305" i="8"/>
  <c r="B305" i="8" s="1"/>
  <c r="A306" i="8"/>
  <c r="B306" i="8" s="1"/>
  <c r="A307" i="8"/>
  <c r="B307" i="8" s="1"/>
  <c r="A308" i="8"/>
  <c r="B308" i="8" s="1"/>
  <c r="A309" i="8"/>
  <c r="B309" i="8" s="1"/>
  <c r="A310" i="8"/>
  <c r="B310" i="8" s="1"/>
  <c r="A311" i="8"/>
  <c r="B311" i="8" s="1"/>
  <c r="A312" i="8"/>
  <c r="B312" i="8" s="1"/>
  <c r="A313" i="8"/>
  <c r="B313" i="8" s="1"/>
  <c r="A314" i="8"/>
  <c r="B314" i="8" s="1"/>
  <c r="A315" i="8"/>
  <c r="B315" i="8" s="1"/>
  <c r="A316" i="8"/>
  <c r="B316" i="8" s="1"/>
  <c r="A317" i="8"/>
  <c r="B317" i="8" s="1"/>
  <c r="A318" i="8"/>
  <c r="B318" i="8" s="1"/>
  <c r="A319" i="8"/>
  <c r="B319" i="8" s="1"/>
  <c r="A320" i="8"/>
  <c r="B320" i="8" s="1"/>
  <c r="A321" i="8"/>
  <c r="B321" i="8" s="1"/>
  <c r="A322" i="8"/>
  <c r="B322" i="8" s="1"/>
  <c r="A323" i="8"/>
  <c r="B323" i="8" s="1"/>
  <c r="A324" i="8"/>
  <c r="B324" i="8" s="1"/>
  <c r="A325" i="8"/>
  <c r="B325" i="8" s="1"/>
  <c r="A326" i="8"/>
  <c r="B326" i="8" s="1"/>
  <c r="A327" i="8"/>
  <c r="B327" i="8" s="1"/>
  <c r="A328" i="8"/>
  <c r="B328" i="8" s="1"/>
  <c r="A329" i="8"/>
  <c r="B329" i="8" s="1"/>
  <c r="A330" i="8"/>
  <c r="B330" i="8" s="1"/>
  <c r="A331" i="8"/>
  <c r="B331" i="8" s="1"/>
  <c r="A332" i="8"/>
  <c r="B332" i="8" s="1"/>
  <c r="A333" i="8"/>
  <c r="B333" i="8" s="1"/>
  <c r="A334" i="8"/>
  <c r="B334" i="8" s="1"/>
  <c r="A335" i="8"/>
  <c r="B335" i="8" s="1"/>
  <c r="A336" i="8"/>
  <c r="B336" i="8" s="1"/>
  <c r="A337" i="8"/>
  <c r="B337" i="8" s="1"/>
  <c r="A338" i="8"/>
  <c r="B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A346" i="8"/>
  <c r="B346" i="8" s="1"/>
  <c r="A347" i="8"/>
  <c r="B347" i="8" s="1"/>
  <c r="A348" i="8"/>
  <c r="B348" i="8" s="1"/>
  <c r="A349" i="8"/>
  <c r="B349" i="8" s="1"/>
  <c r="A350" i="8"/>
  <c r="B350" i="8" s="1"/>
  <c r="A351" i="8"/>
  <c r="B351" i="8" s="1"/>
  <c r="A352" i="8"/>
  <c r="B352" i="8" s="1"/>
  <c r="A353" i="8"/>
  <c r="B353" i="8" s="1"/>
  <c r="A354" i="8"/>
  <c r="B354" i="8" s="1"/>
  <c r="A355" i="8"/>
  <c r="B355" i="8" s="1"/>
  <c r="A356" i="8"/>
  <c r="B356" i="8" s="1"/>
  <c r="A357" i="8"/>
  <c r="B357" i="8" s="1"/>
  <c r="A358" i="8"/>
  <c r="B358" i="8" s="1"/>
  <c r="A359" i="8"/>
  <c r="B359" i="8" s="1"/>
  <c r="A360" i="8"/>
  <c r="B360" i="8" s="1"/>
  <c r="A361" i="8"/>
  <c r="B361" i="8" s="1"/>
  <c r="A362" i="8"/>
  <c r="B362" i="8" s="1"/>
  <c r="A363" i="8"/>
  <c r="B363" i="8" s="1"/>
  <c r="A364" i="8"/>
  <c r="B364" i="8" s="1"/>
  <c r="A365" i="8"/>
  <c r="B365" i="8" s="1"/>
  <c r="A366" i="8"/>
  <c r="B366" i="8" s="1"/>
  <c r="A367" i="8"/>
  <c r="B367" i="8" s="1"/>
  <c r="A368" i="8"/>
  <c r="B368" i="8" s="1"/>
  <c r="A369" i="8"/>
  <c r="B369" i="8" s="1"/>
  <c r="A370" i="8"/>
  <c r="B370" i="8" s="1"/>
  <c r="A371" i="8"/>
  <c r="B371" i="8" s="1"/>
  <c r="A372" i="8"/>
  <c r="B372" i="8" s="1"/>
  <c r="A373" i="8"/>
  <c r="B373" i="8" s="1"/>
  <c r="A374" i="8"/>
  <c r="B374" i="8" s="1"/>
  <c r="A375" i="8"/>
  <c r="B375" i="8" s="1"/>
  <c r="A376" i="8"/>
  <c r="B376" i="8" s="1"/>
  <c r="A377" i="8"/>
  <c r="B377" i="8" s="1"/>
  <c r="A378" i="8"/>
  <c r="B378" i="8" s="1"/>
  <c r="A379" i="8"/>
  <c r="B379" i="8" s="1"/>
  <c r="A380" i="8"/>
  <c r="B380" i="8" s="1"/>
  <c r="A381" i="8"/>
  <c r="B381" i="8" s="1"/>
  <c r="A382" i="8"/>
  <c r="B382" i="8" s="1"/>
  <c r="A383" i="8"/>
  <c r="B383" i="8" s="1"/>
  <c r="A384" i="8"/>
  <c r="B384" i="8" s="1"/>
  <c r="A385" i="8"/>
  <c r="B385" i="8" s="1"/>
  <c r="A386" i="8"/>
  <c r="B386" i="8" s="1"/>
  <c r="A387" i="8"/>
  <c r="B387" i="8" s="1"/>
  <c r="A388" i="8"/>
  <c r="B388" i="8" s="1"/>
  <c r="A389" i="8"/>
  <c r="B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A396" i="8"/>
  <c r="B396" i="8" s="1"/>
  <c r="A397" i="8"/>
  <c r="B397" i="8" s="1"/>
  <c r="A398" i="8"/>
  <c r="B398" i="8" s="1"/>
  <c r="A399" i="8"/>
  <c r="B399" i="8" s="1"/>
  <c r="A400" i="8"/>
  <c r="B400" i="8" s="1"/>
  <c r="A401" i="8"/>
  <c r="B401" i="8" s="1"/>
  <c r="A402" i="8"/>
  <c r="B402" i="8" s="1"/>
  <c r="A403" i="8"/>
  <c r="B403" i="8" s="1"/>
  <c r="A404" i="8"/>
  <c r="B404" i="8" s="1"/>
  <c r="A405" i="8"/>
  <c r="B405" i="8" s="1"/>
  <c r="A406" i="8"/>
  <c r="B406" i="8" s="1"/>
  <c r="A407" i="8"/>
  <c r="B407" i="8" s="1"/>
  <c r="A408" i="8"/>
  <c r="B408" i="8" s="1"/>
  <c r="A409" i="8"/>
  <c r="B409" i="8" s="1"/>
  <c r="A410" i="8"/>
  <c r="B410" i="8" s="1"/>
  <c r="A411" i="8"/>
  <c r="B411" i="8" s="1"/>
  <c r="A412" i="8"/>
  <c r="B412" i="8" s="1"/>
  <c r="A413" i="8"/>
  <c r="B413" i="8" s="1"/>
  <c r="A414" i="8"/>
  <c r="B414" i="8" s="1"/>
  <c r="A415" i="8"/>
  <c r="B415" i="8" s="1"/>
  <c r="A416" i="8"/>
  <c r="B416" i="8" s="1"/>
  <c r="A417" i="8"/>
  <c r="B417" i="8" s="1"/>
  <c r="A418" i="8"/>
  <c r="B418" i="8" s="1"/>
  <c r="A419" i="8"/>
  <c r="B419" i="8" s="1"/>
  <c r="A420" i="8"/>
  <c r="B420" i="8" s="1"/>
  <c r="A421" i="8"/>
  <c r="B421" i="8" s="1"/>
  <c r="A422" i="8"/>
  <c r="B422" i="8" s="1"/>
  <c r="A423" i="8"/>
  <c r="B423" i="8" s="1"/>
  <c r="A424" i="8"/>
  <c r="B424" i="8" s="1"/>
  <c r="A425" i="8"/>
  <c r="B425" i="8" s="1"/>
  <c r="A426" i="8"/>
  <c r="B426" i="8" s="1"/>
  <c r="A427" i="8"/>
  <c r="B427" i="8" s="1"/>
  <c r="A428" i="8"/>
  <c r="B428" i="8" s="1"/>
  <c r="A429" i="8"/>
  <c r="B429" i="8" s="1"/>
  <c r="A430" i="8"/>
  <c r="B430" i="8" s="1"/>
  <c r="A431" i="8"/>
  <c r="B431" i="8" s="1"/>
  <c r="A432" i="8"/>
  <c r="B432" i="8" s="1"/>
  <c r="A433" i="8"/>
  <c r="B433" i="8" s="1"/>
  <c r="A434" i="8"/>
  <c r="B434" i="8" s="1"/>
  <c r="A435" i="8"/>
  <c r="B435" i="8" s="1"/>
  <c r="A436" i="8"/>
  <c r="B436" i="8" s="1"/>
  <c r="A437" i="8"/>
  <c r="B437" i="8" s="1"/>
  <c r="A438" i="8"/>
  <c r="B438" i="8" s="1"/>
  <c r="A439" i="8"/>
  <c r="B439" i="8" s="1"/>
  <c r="A440" i="8"/>
  <c r="B440" i="8" s="1"/>
  <c r="A441" i="8"/>
  <c r="B441" i="8" s="1"/>
  <c r="A442" i="8"/>
  <c r="B442" i="8" s="1"/>
  <c r="A443" i="8"/>
  <c r="B443" i="8" s="1"/>
  <c r="A444" i="8"/>
  <c r="B444" i="8" s="1"/>
  <c r="A445" i="8"/>
  <c r="B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A452" i="8"/>
  <c r="B452" i="8" s="1"/>
  <c r="A453" i="8"/>
  <c r="B453" i="8" s="1"/>
  <c r="A454" i="8"/>
  <c r="B454" i="8" s="1"/>
  <c r="A455" i="8"/>
  <c r="B455" i="8" s="1"/>
  <c r="A456" i="8"/>
  <c r="B456" i="8" s="1"/>
  <c r="A457" i="8"/>
  <c r="B457" i="8" s="1"/>
  <c r="A458" i="8"/>
  <c r="B458" i="8" s="1"/>
  <c r="A459" i="8"/>
  <c r="B459" i="8" s="1"/>
  <c r="A460" i="8"/>
  <c r="B460" i="8" s="1"/>
  <c r="A461" i="8"/>
  <c r="B461" i="8" s="1"/>
  <c r="A462" i="8"/>
  <c r="B462" i="8" s="1"/>
  <c r="A463" i="8"/>
  <c r="B463" i="8" s="1"/>
  <c r="A464" i="8"/>
  <c r="B464" i="8" s="1"/>
  <c r="A465" i="8"/>
  <c r="B465" i="8" s="1"/>
  <c r="A466" i="8"/>
  <c r="B466" i="8" s="1"/>
  <c r="A467" i="8"/>
  <c r="B467" i="8" s="1"/>
  <c r="A468" i="8"/>
  <c r="B468" i="8" s="1"/>
  <c r="A469" i="8"/>
  <c r="B469" i="8" s="1"/>
  <c r="A470" i="8"/>
  <c r="B470" i="8" s="1"/>
  <c r="A471" i="8"/>
  <c r="B471" i="8" s="1"/>
  <c r="A472" i="8"/>
  <c r="B472" i="8" s="1"/>
  <c r="A473" i="8"/>
  <c r="B473" i="8" s="1"/>
  <c r="A474" i="8"/>
  <c r="B474" i="8" s="1"/>
  <c r="A475" i="8"/>
  <c r="B475" i="8" s="1"/>
  <c r="A476" i="8"/>
  <c r="B476" i="8" s="1"/>
  <c r="A477" i="8"/>
  <c r="B477" i="8" s="1"/>
  <c r="A478" i="8"/>
  <c r="B478" i="8" s="1"/>
  <c r="A479" i="8"/>
  <c r="B479" i="8" s="1"/>
  <c r="A480" i="8"/>
  <c r="B480" i="8" s="1"/>
  <c r="A481" i="8"/>
  <c r="B481" i="8" s="1"/>
  <c r="A482" i="8"/>
  <c r="B482" i="8" s="1"/>
  <c r="A483" i="8"/>
  <c r="B483" i="8" s="1"/>
  <c r="A484" i="8"/>
  <c r="B484" i="8" s="1"/>
  <c r="A485" i="8"/>
  <c r="B485" i="8" s="1"/>
  <c r="A486" i="8"/>
  <c r="B486" i="8" s="1"/>
  <c r="A487" i="8"/>
  <c r="B487" i="8" s="1"/>
  <c r="A488" i="8"/>
  <c r="B488" i="8" s="1"/>
  <c r="A489" i="8"/>
  <c r="B489" i="8" s="1"/>
  <c r="A490" i="8"/>
  <c r="B490" i="8" s="1"/>
  <c r="A491" i="8"/>
  <c r="B491" i="8" s="1"/>
  <c r="A492" i="8"/>
  <c r="B492" i="8" s="1"/>
  <c r="A493" i="8"/>
  <c r="B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A500" i="8"/>
  <c r="B500" i="8" s="1"/>
  <c r="A501" i="8"/>
  <c r="B501" i="8" s="1"/>
  <c r="A502" i="8"/>
  <c r="B502" i="8" s="1"/>
  <c r="A503" i="8"/>
  <c r="B503" i="8" s="1"/>
  <c r="A504" i="8"/>
  <c r="B504" i="8" s="1"/>
  <c r="A505" i="8"/>
  <c r="B505" i="8" s="1"/>
  <c r="A506" i="8"/>
  <c r="B506" i="8" s="1"/>
  <c r="A507" i="8"/>
  <c r="B507" i="8" s="1"/>
  <c r="A508" i="8"/>
  <c r="B508" i="8" s="1"/>
  <c r="A509" i="8"/>
  <c r="B509" i="8" s="1"/>
  <c r="A510" i="8"/>
  <c r="B510" i="8" s="1"/>
  <c r="A511" i="8"/>
  <c r="B511" i="8" s="1"/>
  <c r="A512" i="8"/>
  <c r="B512" i="8" s="1"/>
  <c r="A513" i="8"/>
  <c r="B513" i="8" s="1"/>
  <c r="A514" i="8"/>
  <c r="B514" i="8" s="1"/>
  <c r="A515" i="8"/>
  <c r="B515" i="8" s="1"/>
  <c r="A516" i="8"/>
  <c r="B516" i="8" s="1"/>
  <c r="A517" i="8"/>
  <c r="B517" i="8" s="1"/>
  <c r="A518" i="8"/>
  <c r="B518" i="8" s="1"/>
  <c r="A519" i="8"/>
  <c r="B519" i="8" s="1"/>
  <c r="A520" i="8"/>
  <c r="B520" i="8" s="1"/>
  <c r="A521" i="8"/>
  <c r="B521" i="8" s="1"/>
  <c r="A522" i="8"/>
  <c r="B522" i="8" s="1"/>
  <c r="A523" i="8"/>
  <c r="B523" i="8" s="1"/>
  <c r="A524" i="8"/>
  <c r="B524" i="8" s="1"/>
  <c r="A525" i="8"/>
  <c r="B525" i="8" s="1"/>
  <c r="A526" i="8"/>
  <c r="B526" i="8" s="1"/>
  <c r="A527" i="8"/>
  <c r="B527" i="8" s="1"/>
  <c r="A528" i="8"/>
  <c r="B528" i="8" s="1"/>
  <c r="A529" i="8"/>
  <c r="B529" i="8" s="1"/>
  <c r="A530" i="8"/>
  <c r="B530" i="8" s="1"/>
  <c r="A531" i="8"/>
  <c r="B531" i="8" s="1"/>
  <c r="A532" i="8"/>
  <c r="B532" i="8" s="1"/>
  <c r="A533" i="8"/>
  <c r="B533" i="8" s="1"/>
  <c r="A534" i="8"/>
  <c r="B534" i="8" s="1"/>
  <c r="A535" i="8"/>
  <c r="B535" i="8" s="1"/>
  <c r="A536" i="8"/>
  <c r="B536" i="8" s="1"/>
  <c r="A537" i="8"/>
  <c r="B537" i="8" s="1"/>
  <c r="A538" i="8"/>
  <c r="B538" i="8" s="1"/>
  <c r="A539" i="8"/>
  <c r="B539" i="8" s="1"/>
  <c r="A540" i="8"/>
  <c r="B540" i="8" s="1"/>
  <c r="A541" i="8"/>
  <c r="B541" i="8" s="1"/>
  <c r="A542" i="8"/>
  <c r="B542" i="8" s="1"/>
  <c r="A543" i="8"/>
  <c r="B543" i="8" s="1"/>
  <c r="A544" i="8"/>
  <c r="B544" i="8" s="1"/>
  <c r="A545" i="8"/>
  <c r="B545" i="8" s="1"/>
  <c r="A546" i="8"/>
  <c r="B546" i="8" s="1"/>
  <c r="A547" i="8"/>
  <c r="B547" i="8" s="1"/>
  <c r="A548" i="8"/>
  <c r="B548" i="8" s="1"/>
  <c r="A549" i="8"/>
  <c r="B549" i="8" s="1"/>
  <c r="A550" i="8"/>
  <c r="B550" i="8" s="1"/>
  <c r="A551" i="8"/>
  <c r="B551" i="8" s="1"/>
  <c r="A552" i="8"/>
  <c r="B552" i="8" s="1"/>
  <c r="A553" i="8"/>
  <c r="B553" i="8" s="1"/>
  <c r="A554" i="8"/>
  <c r="B554" i="8" s="1"/>
  <c r="A555" i="8"/>
  <c r="B555" i="8" s="1"/>
  <c r="A556" i="8"/>
  <c r="B556" i="8" s="1"/>
  <c r="A557" i="8"/>
  <c r="B557" i="8" s="1"/>
  <c r="A558" i="8"/>
  <c r="B558" i="8" s="1"/>
  <c r="A559" i="8"/>
  <c r="B559" i="8" s="1"/>
  <c r="A560" i="8"/>
  <c r="B560" i="8" s="1"/>
  <c r="A561" i="8"/>
  <c r="B561" i="8" s="1"/>
  <c r="A562" i="8"/>
  <c r="B562" i="8" s="1"/>
  <c r="A563" i="8"/>
  <c r="B563" i="8" s="1"/>
  <c r="A564" i="8"/>
  <c r="B564" i="8" s="1"/>
  <c r="A565" i="8"/>
  <c r="B565" i="8" s="1"/>
  <c r="A566" i="8"/>
  <c r="B566" i="8" s="1"/>
  <c r="A567" i="8"/>
  <c r="B567" i="8" s="1"/>
  <c r="A568" i="8"/>
  <c r="B568" i="8" s="1"/>
  <c r="A569" i="8"/>
  <c r="B569" i="8" s="1"/>
  <c r="A570" i="8"/>
  <c r="B570" i="8" s="1"/>
  <c r="A571" i="8"/>
  <c r="B571" i="8" s="1"/>
  <c r="A572" i="8"/>
  <c r="B572" i="8" s="1"/>
  <c r="A573" i="8"/>
  <c r="B573" i="8" s="1"/>
  <c r="A574" i="8"/>
  <c r="B574" i="8" s="1"/>
  <c r="A575" i="8"/>
  <c r="B575" i="8" s="1"/>
  <c r="A576" i="8"/>
  <c r="B576" i="8" s="1"/>
  <c r="A577" i="8"/>
  <c r="B577" i="8" s="1"/>
  <c r="A578" i="8"/>
  <c r="B578" i="8" s="1"/>
  <c r="A579" i="8"/>
  <c r="B579" i="8" s="1"/>
  <c r="A580" i="8"/>
  <c r="B580" i="8" s="1"/>
  <c r="A581" i="8"/>
  <c r="B581" i="8" s="1"/>
  <c r="A582" i="8"/>
  <c r="B582" i="8" s="1"/>
  <c r="A583" i="8"/>
  <c r="B583" i="8" s="1"/>
  <c r="A584" i="8"/>
  <c r="B584" i="8" s="1"/>
  <c r="A585" i="8"/>
  <c r="B585" i="8" s="1"/>
  <c r="A586" i="8"/>
  <c r="B586" i="8" s="1"/>
  <c r="A587" i="8"/>
  <c r="B587" i="8" s="1"/>
  <c r="A588" i="8"/>
  <c r="B588" i="8" s="1"/>
  <c r="A589" i="8"/>
  <c r="B589" i="8" s="1"/>
  <c r="A590" i="8"/>
  <c r="B590" i="8" s="1"/>
  <c r="A591" i="8"/>
  <c r="B591" i="8" s="1"/>
  <c r="A592" i="8"/>
  <c r="B592" i="8" s="1"/>
  <c r="A593" i="8"/>
  <c r="B593" i="8" s="1"/>
  <c r="A594" i="8"/>
  <c r="B594" i="8" s="1"/>
  <c r="A595" i="8"/>
  <c r="B595" i="8" s="1"/>
  <c r="A596" i="8"/>
  <c r="B596" i="8" s="1"/>
  <c r="A597" i="8"/>
  <c r="B597" i="8" s="1"/>
  <c r="A598" i="8"/>
  <c r="B598" i="8" s="1"/>
  <c r="A599" i="8"/>
  <c r="B599" i="8" s="1"/>
  <c r="A600" i="8"/>
  <c r="B600" i="8" s="1"/>
  <c r="A601" i="8"/>
  <c r="B601" i="8" s="1"/>
  <c r="A602" i="8"/>
  <c r="B602" i="8" s="1"/>
  <c r="A603" i="8"/>
  <c r="B603" i="8" s="1"/>
  <c r="A604" i="8"/>
  <c r="B604" i="8" s="1"/>
  <c r="A605" i="8"/>
  <c r="B605" i="8" s="1"/>
  <c r="A606" i="8"/>
  <c r="B606" i="8" s="1"/>
  <c r="A607" i="8"/>
  <c r="B607" i="8" s="1"/>
  <c r="A608" i="8"/>
  <c r="B608" i="8" s="1"/>
  <c r="A609" i="8"/>
  <c r="B609" i="8" s="1"/>
  <c r="A610" i="8"/>
  <c r="B610" i="8" s="1"/>
  <c r="A611" i="8"/>
  <c r="B611" i="8" s="1"/>
  <c r="A612" i="8"/>
  <c r="B612" i="8" s="1"/>
  <c r="A613" i="8"/>
  <c r="B613" i="8" s="1"/>
  <c r="A614" i="8"/>
  <c r="B614" i="8" s="1"/>
  <c r="A615" i="8"/>
  <c r="B615" i="8" s="1"/>
  <c r="A616" i="8"/>
  <c r="B616" i="8" s="1"/>
  <c r="A617" i="8"/>
  <c r="B617" i="8" s="1"/>
  <c r="A618" i="8"/>
  <c r="B618" i="8" s="1"/>
  <c r="A619" i="8"/>
  <c r="B619" i="8" s="1"/>
  <c r="A620" i="8"/>
  <c r="B620" i="8" s="1"/>
  <c r="A621" i="8"/>
  <c r="B621" i="8" s="1"/>
  <c r="A622" i="8"/>
  <c r="B622" i="8" s="1"/>
  <c r="A623" i="8"/>
  <c r="B623" i="8" s="1"/>
  <c r="A624" i="8"/>
  <c r="B624" i="8" s="1"/>
  <c r="A625" i="8"/>
  <c r="B625" i="8" s="1"/>
  <c r="A626" i="8"/>
  <c r="B626" i="8" s="1"/>
  <c r="A627" i="8"/>
  <c r="B627" i="8" s="1"/>
  <c r="A628" i="8"/>
  <c r="B628" i="8" s="1"/>
  <c r="A629" i="8"/>
  <c r="B629" i="8" s="1"/>
  <c r="A630" i="8"/>
  <c r="B630" i="8" s="1"/>
  <c r="A631" i="8"/>
  <c r="B631" i="8" s="1"/>
  <c r="A632" i="8"/>
  <c r="B632" i="8" s="1"/>
  <c r="A633" i="8"/>
  <c r="B633" i="8" s="1"/>
  <c r="A634" i="8"/>
  <c r="B634" i="8" s="1"/>
  <c r="A635" i="8"/>
  <c r="B635" i="8" s="1"/>
  <c r="A636" i="8"/>
  <c r="B636" i="8" s="1"/>
  <c r="A637" i="8"/>
  <c r="B637" i="8" s="1"/>
  <c r="A638" i="8"/>
  <c r="B638" i="8" s="1"/>
  <c r="A639" i="8"/>
  <c r="B639" i="8" s="1"/>
  <c r="A640" i="8"/>
  <c r="B640" i="8" s="1"/>
  <c r="A641" i="8"/>
  <c r="B641" i="8" s="1"/>
  <c r="A642" i="8"/>
  <c r="B642" i="8" s="1"/>
  <c r="A643" i="8"/>
  <c r="B643" i="8" s="1"/>
  <c r="A644" i="8"/>
  <c r="B644" i="8" s="1"/>
  <c r="A645" i="8"/>
  <c r="B645" i="8" s="1"/>
  <c r="A646" i="8"/>
  <c r="B646" i="8" s="1"/>
  <c r="A647" i="8"/>
  <c r="B647" i="8" s="1"/>
  <c r="A648" i="8"/>
  <c r="B648" i="8" s="1"/>
  <c r="A649" i="8"/>
  <c r="B649" i="8" s="1"/>
  <c r="A650" i="8"/>
  <c r="B650" i="8" s="1"/>
  <c r="A651" i="8"/>
  <c r="B651" i="8" s="1"/>
  <c r="A652" i="8"/>
  <c r="B652" i="8" s="1"/>
  <c r="A653" i="8"/>
  <c r="B653" i="8" s="1"/>
  <c r="A654" i="8"/>
  <c r="B654" i="8" s="1"/>
  <c r="A655" i="8"/>
  <c r="B655" i="8" s="1"/>
  <c r="A656" i="8"/>
  <c r="B656" i="8" s="1"/>
  <c r="A657" i="8"/>
  <c r="B657" i="8" s="1"/>
  <c r="A658" i="8"/>
  <c r="B658" i="8" s="1"/>
  <c r="A659" i="8"/>
  <c r="B659" i="8" s="1"/>
  <c r="A660" i="8"/>
  <c r="B660" i="8" s="1"/>
  <c r="A661" i="8"/>
  <c r="B661" i="8" s="1"/>
  <c r="A662" i="8"/>
  <c r="B662" i="8" s="1"/>
  <c r="A663" i="8"/>
  <c r="B663" i="8" s="1"/>
  <c r="A664" i="8"/>
  <c r="B664" i="8" s="1"/>
  <c r="A665" i="8"/>
  <c r="B665" i="8" s="1"/>
  <c r="A666" i="8"/>
  <c r="B666" i="8" s="1"/>
  <c r="A667" i="8"/>
  <c r="B667" i="8" s="1"/>
  <c r="A668" i="8"/>
  <c r="B668" i="8" s="1"/>
  <c r="A669" i="8"/>
  <c r="B669" i="8" s="1"/>
  <c r="A670" i="8"/>
  <c r="B670" i="8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 s="1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F544" i="4"/>
  <c r="G544" i="4" s="1"/>
  <c r="F545" i="4"/>
  <c r="G545" i="4" s="1"/>
  <c r="F546" i="4"/>
  <c r="G546" i="4" s="1"/>
  <c r="F547" i="4"/>
  <c r="G547" i="4" s="1"/>
  <c r="F548" i="4"/>
  <c r="G548" i="4" s="1"/>
  <c r="F549" i="4"/>
  <c r="G549" i="4" s="1"/>
  <c r="F550" i="4"/>
  <c r="G550" i="4" s="1"/>
  <c r="F551" i="4"/>
  <c r="G551" i="4" s="1"/>
  <c r="F552" i="4"/>
  <c r="G552" i="4" s="1"/>
  <c r="F553" i="4"/>
  <c r="G553" i="4" s="1"/>
  <c r="F554" i="4"/>
  <c r="G554" i="4" s="1"/>
  <c r="F555" i="4"/>
  <c r="G555" i="4" s="1"/>
  <c r="F556" i="4"/>
  <c r="G556" i="4" s="1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F47" i="6"/>
  <c r="J47" i="6"/>
  <c r="K47" i="6"/>
  <c r="N47" i="6" a="1"/>
  <c r="O47" i="6"/>
  <c r="P47" i="6"/>
  <c r="Q47" i="6"/>
  <c r="B48" i="6"/>
  <c r="C48" i="6"/>
  <c r="F48" i="6"/>
  <c r="J48" i="6"/>
  <c r="K48" i="6"/>
  <c r="N48" i="6" a="1"/>
  <c r="O48" i="6"/>
  <c r="P48" i="6"/>
  <c r="Q48" i="6"/>
  <c r="B49" i="6"/>
  <c r="C49" i="6"/>
  <c r="F49" i="6"/>
  <c r="G49" i="6" s="1"/>
  <c r="J49" i="6"/>
  <c r="K49" i="6"/>
  <c r="N49" i="6" a="1"/>
  <c r="O49" i="6"/>
  <c r="P49" i="6"/>
  <c r="Q49" i="6"/>
  <c r="AA49" i="6" s="1"/>
  <c r="B50" i="6"/>
  <c r="C50" i="6"/>
  <c r="F50" i="6"/>
  <c r="G50" i="6" s="1"/>
  <c r="J50" i="6"/>
  <c r="K50" i="6"/>
  <c r="N50" i="6" a="1"/>
  <c r="O50" i="6"/>
  <c r="P50" i="6"/>
  <c r="Q50" i="6"/>
  <c r="AA50" i="6" s="1"/>
  <c r="B51" i="6"/>
  <c r="C51" i="6"/>
  <c r="F51" i="6"/>
  <c r="G51" i="6" s="1"/>
  <c r="J51" i="6"/>
  <c r="K51" i="6"/>
  <c r="N51" i="6" a="1"/>
  <c r="O51" i="6"/>
  <c r="P51" i="6"/>
  <c r="Q51" i="6"/>
  <c r="B52" i="6"/>
  <c r="C52" i="6"/>
  <c r="F52" i="6"/>
  <c r="J52" i="6"/>
  <c r="K52" i="6"/>
  <c r="N52" i="6" a="1"/>
  <c r="O52" i="6"/>
  <c r="P52" i="6"/>
  <c r="Q52" i="6"/>
  <c r="B53" i="6"/>
  <c r="C53" i="6"/>
  <c r="F53" i="6"/>
  <c r="J53" i="6"/>
  <c r="K53" i="6"/>
  <c r="N53" i="6" a="1"/>
  <c r="O53" i="6"/>
  <c r="P53" i="6"/>
  <c r="Q53" i="6"/>
  <c r="B54" i="6"/>
  <c r="C54" i="6"/>
  <c r="F54" i="6"/>
  <c r="G54" i="6" s="1"/>
  <c r="J54" i="6"/>
  <c r="K54" i="6"/>
  <c r="N54" i="6" a="1"/>
  <c r="O54" i="6"/>
  <c r="P54" i="6"/>
  <c r="Q54" i="6"/>
  <c r="B55" i="6"/>
  <c r="C55" i="6"/>
  <c r="F55" i="6"/>
  <c r="J55" i="6"/>
  <c r="K55" i="6"/>
  <c r="N55" i="6" a="1"/>
  <c r="O55" i="6"/>
  <c r="P55" i="6"/>
  <c r="Q55" i="6"/>
  <c r="AA55" i="6" s="1"/>
  <c r="B56" i="6"/>
  <c r="C56" i="6"/>
  <c r="F56" i="6"/>
  <c r="J56" i="6"/>
  <c r="K56" i="6"/>
  <c r="N56" i="6" a="1"/>
  <c r="O56" i="6"/>
  <c r="P56" i="6"/>
  <c r="Q56" i="6"/>
  <c r="AA56" i="6" s="1"/>
  <c r="B57" i="6"/>
  <c r="C57" i="6"/>
  <c r="F57" i="6"/>
  <c r="G57" i="6" s="1"/>
  <c r="J57" i="6"/>
  <c r="K57" i="6"/>
  <c r="N57" i="6" a="1"/>
  <c r="O57" i="6"/>
  <c r="P57" i="6"/>
  <c r="Q57" i="6"/>
  <c r="B58" i="6"/>
  <c r="C58" i="6"/>
  <c r="F58" i="6"/>
  <c r="H58" i="6" s="1"/>
  <c r="J58" i="6"/>
  <c r="K58" i="6"/>
  <c r="N58" i="6" a="1"/>
  <c r="O58" i="6"/>
  <c r="P58" i="6"/>
  <c r="Q58" i="6"/>
  <c r="AA58" i="6" s="1"/>
  <c r="B59" i="6"/>
  <c r="C59" i="6"/>
  <c r="F59" i="6"/>
  <c r="G59" i="6" s="1"/>
  <c r="J59" i="6"/>
  <c r="K59" i="6"/>
  <c r="N59" i="6" a="1"/>
  <c r="O59" i="6"/>
  <c r="P59" i="6"/>
  <c r="Q59" i="6"/>
  <c r="B60" i="6"/>
  <c r="C60" i="6"/>
  <c r="F60" i="6"/>
  <c r="G60" i="6" s="1"/>
  <c r="J60" i="6"/>
  <c r="K60" i="6"/>
  <c r="N60" i="6" a="1"/>
  <c r="O60" i="6"/>
  <c r="P60" i="6"/>
  <c r="Q60" i="6"/>
  <c r="B61" i="6"/>
  <c r="C61" i="6"/>
  <c r="F61" i="6"/>
  <c r="H61" i="6" s="1"/>
  <c r="J61" i="6"/>
  <c r="K61" i="6"/>
  <c r="N61" i="6" a="1"/>
  <c r="O61" i="6"/>
  <c r="P61" i="6"/>
  <c r="Q61" i="6"/>
  <c r="B62" i="6"/>
  <c r="C62" i="6"/>
  <c r="F62" i="6"/>
  <c r="J62" i="6"/>
  <c r="K62" i="6"/>
  <c r="N62" i="6" a="1"/>
  <c r="O62" i="6"/>
  <c r="P62" i="6"/>
  <c r="Q62" i="6"/>
  <c r="B63" i="6"/>
  <c r="C63" i="6"/>
  <c r="F63" i="6"/>
  <c r="G63" i="6" s="1"/>
  <c r="J63" i="6"/>
  <c r="K63" i="6"/>
  <c r="N63" i="6" a="1"/>
  <c r="O63" i="6"/>
  <c r="P63" i="6"/>
  <c r="Q63" i="6"/>
  <c r="B64" i="6"/>
  <c r="C64" i="6"/>
  <c r="F64" i="6"/>
  <c r="H64" i="6" s="1"/>
  <c r="J64" i="6"/>
  <c r="K64" i="6"/>
  <c r="N64" i="6" a="1"/>
  <c r="O64" i="6"/>
  <c r="P64" i="6"/>
  <c r="Q64" i="6"/>
  <c r="B65" i="6"/>
  <c r="C65" i="6"/>
  <c r="F65" i="6"/>
  <c r="H65" i="6" s="1"/>
  <c r="J65" i="6"/>
  <c r="K65" i="6"/>
  <c r="N65" i="6" a="1"/>
  <c r="O65" i="6"/>
  <c r="P65" i="6"/>
  <c r="Q65" i="6"/>
  <c r="B66" i="6"/>
  <c r="C66" i="6"/>
  <c r="F66" i="6"/>
  <c r="J66" i="6"/>
  <c r="K66" i="6"/>
  <c r="N66" i="6" a="1"/>
  <c r="O66" i="6"/>
  <c r="P66" i="6"/>
  <c r="Q66" i="6"/>
  <c r="B67" i="6"/>
  <c r="C67" i="6"/>
  <c r="F67" i="6"/>
  <c r="H67" i="6" s="1"/>
  <c r="J67" i="6"/>
  <c r="K67" i="6"/>
  <c r="N67" i="6" a="1"/>
  <c r="O67" i="6"/>
  <c r="P67" i="6"/>
  <c r="Q67" i="6"/>
  <c r="B68" i="6"/>
  <c r="C68" i="6"/>
  <c r="F68" i="6"/>
  <c r="H68" i="6" s="1"/>
  <c r="J68" i="6"/>
  <c r="K68" i="6"/>
  <c r="N68" i="6" a="1"/>
  <c r="O68" i="6"/>
  <c r="P68" i="6"/>
  <c r="Q68" i="6"/>
  <c r="B69" i="6"/>
  <c r="C69" i="6"/>
  <c r="F69" i="6"/>
  <c r="J69" i="6"/>
  <c r="K69" i="6"/>
  <c r="N69" i="6" a="1"/>
  <c r="O69" i="6"/>
  <c r="P69" i="6"/>
  <c r="Q69" i="6"/>
  <c r="B70" i="6"/>
  <c r="C70" i="6"/>
  <c r="F70" i="6"/>
  <c r="H70" i="6" s="1"/>
  <c r="J70" i="6"/>
  <c r="K70" i="6"/>
  <c r="N70" i="6" a="1"/>
  <c r="O70" i="6"/>
  <c r="P70" i="6"/>
  <c r="Q70" i="6"/>
  <c r="B71" i="6"/>
  <c r="C71" i="6"/>
  <c r="F71" i="6"/>
  <c r="J71" i="6"/>
  <c r="K71" i="6"/>
  <c r="N71" i="6" a="1"/>
  <c r="O71" i="6"/>
  <c r="P71" i="6"/>
  <c r="Q71" i="6"/>
  <c r="B72" i="6"/>
  <c r="C72" i="6"/>
  <c r="F72" i="6"/>
  <c r="G72" i="6" s="1"/>
  <c r="J72" i="6"/>
  <c r="K72" i="6"/>
  <c r="N72" i="6" a="1"/>
  <c r="O72" i="6"/>
  <c r="P72" i="6"/>
  <c r="Q72" i="6"/>
  <c r="AA72" i="6" s="1"/>
  <c r="B73" i="6"/>
  <c r="C73" i="6"/>
  <c r="F73" i="6"/>
  <c r="H73" i="6" s="1"/>
  <c r="J73" i="6"/>
  <c r="K73" i="6"/>
  <c r="N73" i="6" a="1"/>
  <c r="O73" i="6"/>
  <c r="P73" i="6"/>
  <c r="Q73" i="6"/>
  <c r="AA73" i="6" s="1"/>
  <c r="B74" i="6"/>
  <c r="C74" i="6"/>
  <c r="F74" i="6"/>
  <c r="H74" i="6" s="1"/>
  <c r="J74" i="6"/>
  <c r="K74" i="6"/>
  <c r="N74" i="6" a="1"/>
  <c r="O74" i="6"/>
  <c r="P74" i="6"/>
  <c r="Q74" i="6"/>
  <c r="AA74" i="6" s="1"/>
  <c r="B75" i="6"/>
  <c r="C75" i="6"/>
  <c r="F75" i="6"/>
  <c r="J75" i="6"/>
  <c r="K75" i="6"/>
  <c r="N75" i="6" a="1"/>
  <c r="O75" i="6"/>
  <c r="P75" i="6"/>
  <c r="Q75" i="6"/>
  <c r="B76" i="6"/>
  <c r="C76" i="6"/>
  <c r="F76" i="6"/>
  <c r="H76" i="6" s="1"/>
  <c r="J76" i="6"/>
  <c r="K76" i="6"/>
  <c r="N76" i="6" a="1"/>
  <c r="O76" i="6"/>
  <c r="P76" i="6"/>
  <c r="Q76" i="6"/>
  <c r="AA76" i="6" s="1"/>
  <c r="B77" i="6"/>
  <c r="C77" i="6"/>
  <c r="F77" i="6"/>
  <c r="I77" i="6" s="1"/>
  <c r="J77" i="6"/>
  <c r="K77" i="6"/>
  <c r="N77" i="6" a="1"/>
  <c r="O77" i="6"/>
  <c r="P77" i="6"/>
  <c r="Q77" i="6"/>
  <c r="B78" i="6"/>
  <c r="C78" i="6"/>
  <c r="F78" i="6"/>
  <c r="J78" i="6"/>
  <c r="K78" i="6"/>
  <c r="N78" i="6" a="1"/>
  <c r="O78" i="6"/>
  <c r="P78" i="6"/>
  <c r="Q78" i="6"/>
  <c r="B79" i="6"/>
  <c r="C79" i="6"/>
  <c r="F79" i="6"/>
  <c r="J79" i="6"/>
  <c r="K79" i="6"/>
  <c r="N79" i="6" a="1"/>
  <c r="O79" i="6"/>
  <c r="P79" i="6"/>
  <c r="Q79" i="6"/>
  <c r="B80" i="6"/>
  <c r="C80" i="6"/>
  <c r="F80" i="6"/>
  <c r="J80" i="6"/>
  <c r="K80" i="6"/>
  <c r="N80" i="6" a="1"/>
  <c r="O80" i="6"/>
  <c r="P80" i="6"/>
  <c r="Q80" i="6"/>
  <c r="B81" i="6"/>
  <c r="C81" i="6"/>
  <c r="F81" i="6"/>
  <c r="J81" i="6"/>
  <c r="K81" i="6"/>
  <c r="N81" i="6" a="1"/>
  <c r="O81" i="6"/>
  <c r="P81" i="6"/>
  <c r="Q81" i="6"/>
  <c r="B82" i="6"/>
  <c r="C82" i="6"/>
  <c r="F82" i="6"/>
  <c r="I82" i="6" s="1"/>
  <c r="J82" i="6"/>
  <c r="K82" i="6"/>
  <c r="N82" i="6" a="1"/>
  <c r="O82" i="6"/>
  <c r="P82" i="6"/>
  <c r="Q82" i="6"/>
  <c r="B83" i="6"/>
  <c r="C83" i="6"/>
  <c r="F83" i="6"/>
  <c r="G83" i="6" s="1"/>
  <c r="J83" i="6"/>
  <c r="K83" i="6"/>
  <c r="N83" i="6" a="1"/>
  <c r="O83" i="6"/>
  <c r="P83" i="6"/>
  <c r="Q83" i="6"/>
  <c r="B84" i="6"/>
  <c r="C84" i="6"/>
  <c r="F84" i="6"/>
  <c r="I84" i="6" s="1"/>
  <c r="J84" i="6"/>
  <c r="K84" i="6"/>
  <c r="N84" i="6" a="1"/>
  <c r="O84" i="6"/>
  <c r="P84" i="6"/>
  <c r="Q84" i="6"/>
  <c r="B85" i="6"/>
  <c r="C85" i="6"/>
  <c r="F85" i="6"/>
  <c r="I85" i="6" s="1"/>
  <c r="J85" i="6"/>
  <c r="K85" i="6"/>
  <c r="N85" i="6" a="1"/>
  <c r="O85" i="6"/>
  <c r="P85" i="6"/>
  <c r="Q85" i="6"/>
  <c r="B86" i="6"/>
  <c r="C86" i="6"/>
  <c r="F86" i="6"/>
  <c r="G86" i="6" s="1"/>
  <c r="J86" i="6"/>
  <c r="K86" i="6"/>
  <c r="N86" i="6" a="1"/>
  <c r="O86" i="6"/>
  <c r="P86" i="6"/>
  <c r="Q86" i="6"/>
  <c r="B87" i="6"/>
  <c r="C87" i="6"/>
  <c r="F87" i="6"/>
  <c r="J87" i="6"/>
  <c r="K87" i="6"/>
  <c r="N87" i="6" a="1"/>
  <c r="O87" i="6"/>
  <c r="P87" i="6"/>
  <c r="Q87" i="6"/>
  <c r="B88" i="6"/>
  <c r="C88" i="6"/>
  <c r="F88" i="6"/>
  <c r="G88" i="6" s="1"/>
  <c r="J88" i="6"/>
  <c r="K88" i="6"/>
  <c r="N88" i="6" a="1"/>
  <c r="O88" i="6"/>
  <c r="P88" i="6"/>
  <c r="Q88" i="6"/>
  <c r="B89" i="6"/>
  <c r="C89" i="6"/>
  <c r="F89" i="6"/>
  <c r="J89" i="6"/>
  <c r="K89" i="6"/>
  <c r="N89" i="6" a="1"/>
  <c r="O89" i="6"/>
  <c r="P89" i="6"/>
  <c r="Q89" i="6"/>
  <c r="B90" i="6"/>
  <c r="C90" i="6"/>
  <c r="F90" i="6"/>
  <c r="G90" i="6" s="1"/>
  <c r="J90" i="6"/>
  <c r="K90" i="6"/>
  <c r="N90" i="6" a="1"/>
  <c r="O90" i="6"/>
  <c r="P90" i="6"/>
  <c r="Q90" i="6"/>
  <c r="B91" i="6"/>
  <c r="C91" i="6"/>
  <c r="F91" i="6"/>
  <c r="G91" i="6" s="1"/>
  <c r="J91" i="6"/>
  <c r="K91" i="6"/>
  <c r="N91" i="6" a="1"/>
  <c r="O91" i="6"/>
  <c r="P91" i="6"/>
  <c r="Q91" i="6"/>
  <c r="B92" i="6"/>
  <c r="C92" i="6"/>
  <c r="F92" i="6"/>
  <c r="J92" i="6"/>
  <c r="K92" i="6"/>
  <c r="N92" i="6" a="1"/>
  <c r="O92" i="6"/>
  <c r="P92" i="6"/>
  <c r="Q92" i="6"/>
  <c r="AA92" i="6" s="1"/>
  <c r="B93" i="6"/>
  <c r="C93" i="6"/>
  <c r="F93" i="6"/>
  <c r="G93" i="6" s="1"/>
  <c r="J93" i="6"/>
  <c r="K93" i="6"/>
  <c r="N93" i="6" a="1"/>
  <c r="O93" i="6"/>
  <c r="P93" i="6"/>
  <c r="Q93" i="6"/>
  <c r="B94" i="6"/>
  <c r="C94" i="6"/>
  <c r="F94" i="6"/>
  <c r="J94" i="6"/>
  <c r="K94" i="6"/>
  <c r="N94" i="6" a="1"/>
  <c r="O94" i="6"/>
  <c r="P94" i="6"/>
  <c r="Q94" i="6"/>
  <c r="B95" i="6"/>
  <c r="C95" i="6"/>
  <c r="F95" i="6"/>
  <c r="J95" i="6"/>
  <c r="K95" i="6"/>
  <c r="N95" i="6" a="1"/>
  <c r="O95" i="6"/>
  <c r="P95" i="6"/>
  <c r="Q95" i="6"/>
  <c r="B96" i="6"/>
  <c r="C96" i="6"/>
  <c r="F96" i="6"/>
  <c r="J96" i="6"/>
  <c r="K96" i="6"/>
  <c r="N96" i="6" a="1"/>
  <c r="O96" i="6"/>
  <c r="P96" i="6"/>
  <c r="Q96" i="6"/>
  <c r="AA96" i="6" s="1"/>
  <c r="B97" i="6"/>
  <c r="C97" i="6"/>
  <c r="F97" i="6"/>
  <c r="J97" i="6"/>
  <c r="K97" i="6"/>
  <c r="N97" i="6" a="1"/>
  <c r="O97" i="6"/>
  <c r="P97" i="6"/>
  <c r="Q97" i="6"/>
  <c r="B98" i="6"/>
  <c r="C98" i="6"/>
  <c r="F98" i="6"/>
  <c r="G98" i="6" s="1"/>
  <c r="J98" i="6"/>
  <c r="K98" i="6"/>
  <c r="N98" i="6" a="1"/>
  <c r="O98" i="6"/>
  <c r="P98" i="6"/>
  <c r="Q98" i="6"/>
  <c r="B99" i="6"/>
  <c r="C99" i="6"/>
  <c r="F99" i="6"/>
  <c r="J99" i="6"/>
  <c r="K99" i="6"/>
  <c r="N99" i="6" a="1"/>
  <c r="O99" i="6"/>
  <c r="P99" i="6"/>
  <c r="Q99" i="6"/>
  <c r="B100" i="6"/>
  <c r="C100" i="6"/>
  <c r="F100" i="6"/>
  <c r="J100" i="6"/>
  <c r="K100" i="6"/>
  <c r="N100" i="6" a="1"/>
  <c r="O100" i="6"/>
  <c r="P100" i="6"/>
  <c r="Q100" i="6"/>
  <c r="B101" i="6"/>
  <c r="C101" i="6"/>
  <c r="F101" i="6"/>
  <c r="J101" i="6"/>
  <c r="K101" i="6"/>
  <c r="N101" i="6" a="1"/>
  <c r="O101" i="6"/>
  <c r="P101" i="6"/>
  <c r="Q101" i="6"/>
  <c r="B102" i="6"/>
  <c r="C102" i="6"/>
  <c r="F102" i="6"/>
  <c r="J102" i="6"/>
  <c r="K102" i="6"/>
  <c r="N102" i="6" a="1"/>
  <c r="O102" i="6"/>
  <c r="P102" i="6"/>
  <c r="Q102" i="6"/>
  <c r="B103" i="6"/>
  <c r="C103" i="6"/>
  <c r="F103" i="6"/>
  <c r="J103" i="6"/>
  <c r="K103" i="6"/>
  <c r="N103" i="6" a="1"/>
  <c r="O103" i="6"/>
  <c r="P103" i="6"/>
  <c r="Q103" i="6"/>
  <c r="B104" i="6"/>
  <c r="C104" i="6"/>
  <c r="F104" i="6"/>
  <c r="J104" i="6"/>
  <c r="K104" i="6"/>
  <c r="N104" i="6" a="1"/>
  <c r="O104" i="6"/>
  <c r="P104" i="6"/>
  <c r="Q104" i="6"/>
  <c r="B105" i="6"/>
  <c r="C105" i="6"/>
  <c r="F105" i="6"/>
  <c r="J105" i="6"/>
  <c r="K105" i="6"/>
  <c r="N105" i="6" a="1"/>
  <c r="O105" i="6"/>
  <c r="P105" i="6"/>
  <c r="Q105" i="6"/>
  <c r="B106" i="6"/>
  <c r="C106" i="6"/>
  <c r="F106" i="6"/>
  <c r="J106" i="6"/>
  <c r="K106" i="6"/>
  <c r="N106" i="6" a="1"/>
  <c r="O106" i="6"/>
  <c r="P106" i="6"/>
  <c r="Q106" i="6"/>
  <c r="B107" i="6"/>
  <c r="C107" i="6"/>
  <c r="F107" i="6"/>
  <c r="J107" i="6"/>
  <c r="K107" i="6"/>
  <c r="N107" i="6" a="1"/>
  <c r="O107" i="6"/>
  <c r="P107" i="6"/>
  <c r="Q107" i="6"/>
  <c r="B108" i="6"/>
  <c r="C108" i="6"/>
  <c r="F108" i="6"/>
  <c r="J108" i="6"/>
  <c r="K108" i="6"/>
  <c r="N108" i="6" a="1"/>
  <c r="O108" i="6"/>
  <c r="P108" i="6"/>
  <c r="Q108" i="6"/>
  <c r="B109" i="6"/>
  <c r="C109" i="6"/>
  <c r="F109" i="6"/>
  <c r="J109" i="6"/>
  <c r="K109" i="6"/>
  <c r="N109" i="6" a="1"/>
  <c r="O109" i="6"/>
  <c r="P109" i="6"/>
  <c r="Q109" i="6"/>
  <c r="B110" i="6"/>
  <c r="C110" i="6"/>
  <c r="F110" i="6"/>
  <c r="J110" i="6"/>
  <c r="K110" i="6"/>
  <c r="N110" i="6" a="1"/>
  <c r="O110" i="6"/>
  <c r="P110" i="6"/>
  <c r="Q110" i="6"/>
  <c r="B111" i="6"/>
  <c r="C111" i="6"/>
  <c r="F111" i="6"/>
  <c r="J111" i="6"/>
  <c r="K111" i="6"/>
  <c r="N111" i="6" a="1"/>
  <c r="O111" i="6"/>
  <c r="P111" i="6"/>
  <c r="Q111" i="6"/>
  <c r="B112" i="6"/>
  <c r="C112" i="6"/>
  <c r="F112" i="6"/>
  <c r="J112" i="6"/>
  <c r="K112" i="6"/>
  <c r="N112" i="6" a="1"/>
  <c r="O112" i="6"/>
  <c r="P112" i="6"/>
  <c r="Q112" i="6"/>
  <c r="B113" i="6"/>
  <c r="C113" i="6"/>
  <c r="F113" i="6"/>
  <c r="J113" i="6"/>
  <c r="K113" i="6"/>
  <c r="N113" i="6" a="1"/>
  <c r="O113" i="6"/>
  <c r="P113" i="6"/>
  <c r="Q113" i="6"/>
  <c r="B114" i="6"/>
  <c r="C114" i="6"/>
  <c r="F114" i="6"/>
  <c r="J114" i="6"/>
  <c r="K114" i="6"/>
  <c r="N114" i="6" a="1"/>
  <c r="O114" i="6"/>
  <c r="P114" i="6"/>
  <c r="Q114" i="6"/>
  <c r="AA114" i="6" s="1"/>
  <c r="B115" i="6"/>
  <c r="C115" i="6"/>
  <c r="F115" i="6"/>
  <c r="J115" i="6"/>
  <c r="K115" i="6"/>
  <c r="N115" i="6" a="1"/>
  <c r="O115" i="6"/>
  <c r="P115" i="6"/>
  <c r="Q115" i="6"/>
  <c r="AA115" i="6" s="1"/>
  <c r="B116" i="6"/>
  <c r="C116" i="6"/>
  <c r="F116" i="6"/>
  <c r="J116" i="6"/>
  <c r="K116" i="6"/>
  <c r="N116" i="6" a="1"/>
  <c r="O116" i="6"/>
  <c r="P116" i="6"/>
  <c r="Q116" i="6"/>
  <c r="B117" i="6"/>
  <c r="C117" i="6"/>
  <c r="F117" i="6"/>
  <c r="J117" i="6"/>
  <c r="K117" i="6"/>
  <c r="N117" i="6" a="1"/>
  <c r="O117" i="6"/>
  <c r="P117" i="6"/>
  <c r="Q117" i="6"/>
  <c r="AA117" i="6" s="1"/>
  <c r="B118" i="6"/>
  <c r="C118" i="6"/>
  <c r="F118" i="6"/>
  <c r="J118" i="6"/>
  <c r="K118" i="6"/>
  <c r="N118" i="6" a="1"/>
  <c r="O118" i="6"/>
  <c r="P118" i="6"/>
  <c r="Q118" i="6"/>
  <c r="B119" i="6"/>
  <c r="C119" i="6"/>
  <c r="F119" i="6"/>
  <c r="J119" i="6"/>
  <c r="K119" i="6"/>
  <c r="N119" i="6" a="1"/>
  <c r="O119" i="6"/>
  <c r="P119" i="6"/>
  <c r="Q119" i="6"/>
  <c r="B120" i="6"/>
  <c r="C120" i="6"/>
  <c r="F120" i="6"/>
  <c r="H120" i="6"/>
  <c r="J120" i="6"/>
  <c r="K120" i="6"/>
  <c r="N120" i="6" a="1"/>
  <c r="O120" i="6"/>
  <c r="P120" i="6"/>
  <c r="Q120" i="6"/>
  <c r="B121" i="6"/>
  <c r="C121" i="6"/>
  <c r="F121" i="6"/>
  <c r="J121" i="6"/>
  <c r="K121" i="6"/>
  <c r="N121" i="6" a="1"/>
  <c r="O121" i="6"/>
  <c r="P121" i="6"/>
  <c r="Q121" i="6"/>
  <c r="B122" i="6"/>
  <c r="C122" i="6"/>
  <c r="F122" i="6"/>
  <c r="J122" i="6"/>
  <c r="K122" i="6"/>
  <c r="N122" i="6" a="1"/>
  <c r="O122" i="6"/>
  <c r="P122" i="6"/>
  <c r="Q122" i="6"/>
  <c r="B123" i="6"/>
  <c r="C123" i="6"/>
  <c r="F123" i="6"/>
  <c r="J123" i="6"/>
  <c r="K123" i="6"/>
  <c r="N123" i="6" a="1"/>
  <c r="O123" i="6"/>
  <c r="P123" i="6"/>
  <c r="Q123" i="6"/>
  <c r="AA123" i="6" s="1"/>
  <c r="B124" i="6"/>
  <c r="C124" i="6"/>
  <c r="F124" i="6"/>
  <c r="J124" i="6"/>
  <c r="K124" i="6"/>
  <c r="N124" i="6" a="1"/>
  <c r="O124" i="6"/>
  <c r="P124" i="6"/>
  <c r="Q124" i="6"/>
  <c r="B125" i="6"/>
  <c r="C125" i="6"/>
  <c r="F125" i="6"/>
  <c r="J125" i="6"/>
  <c r="K125" i="6"/>
  <c r="N125" i="6" a="1"/>
  <c r="O125" i="6"/>
  <c r="P125" i="6"/>
  <c r="Q125" i="6"/>
  <c r="B126" i="6"/>
  <c r="C126" i="6"/>
  <c r="F126" i="6"/>
  <c r="J126" i="6"/>
  <c r="K126" i="6"/>
  <c r="N126" i="6" a="1"/>
  <c r="O126" i="6"/>
  <c r="P126" i="6"/>
  <c r="Q126" i="6"/>
  <c r="B127" i="6"/>
  <c r="C127" i="6"/>
  <c r="F127" i="6"/>
  <c r="J127" i="6"/>
  <c r="K127" i="6"/>
  <c r="N127" i="6" a="1"/>
  <c r="O127" i="6"/>
  <c r="P127" i="6"/>
  <c r="Q127" i="6"/>
  <c r="B128" i="6"/>
  <c r="C128" i="6"/>
  <c r="F128" i="6"/>
  <c r="J128" i="6"/>
  <c r="K128" i="6"/>
  <c r="N128" i="6" a="1"/>
  <c r="O128" i="6"/>
  <c r="P128" i="6"/>
  <c r="Q128" i="6"/>
  <c r="B129" i="6"/>
  <c r="C129" i="6"/>
  <c r="F129" i="6"/>
  <c r="J129" i="6"/>
  <c r="K129" i="6"/>
  <c r="N129" i="6" a="1"/>
  <c r="O129" i="6"/>
  <c r="P129" i="6"/>
  <c r="Q129" i="6"/>
  <c r="B130" i="6"/>
  <c r="C130" i="6"/>
  <c r="F130" i="6"/>
  <c r="J130" i="6"/>
  <c r="K130" i="6"/>
  <c r="N130" i="6" a="1"/>
  <c r="O130" i="6"/>
  <c r="P130" i="6"/>
  <c r="Q130" i="6"/>
  <c r="B131" i="6"/>
  <c r="C131" i="6"/>
  <c r="F131" i="6"/>
  <c r="J131" i="6"/>
  <c r="K131" i="6"/>
  <c r="N131" i="6" a="1"/>
  <c r="O131" i="6"/>
  <c r="P131" i="6"/>
  <c r="Q131" i="6"/>
  <c r="B132" i="6"/>
  <c r="C132" i="6"/>
  <c r="F132" i="6"/>
  <c r="J132" i="6"/>
  <c r="K132" i="6"/>
  <c r="N132" i="6" a="1"/>
  <c r="O132" i="6"/>
  <c r="P132" i="6"/>
  <c r="Q132" i="6"/>
  <c r="B133" i="6"/>
  <c r="C133" i="6"/>
  <c r="F133" i="6"/>
  <c r="J133" i="6"/>
  <c r="K133" i="6"/>
  <c r="N133" i="6" a="1"/>
  <c r="O133" i="6"/>
  <c r="P133" i="6"/>
  <c r="Q133" i="6"/>
  <c r="B134" i="6"/>
  <c r="C134" i="6"/>
  <c r="F134" i="6"/>
  <c r="J134" i="6"/>
  <c r="K134" i="6"/>
  <c r="N134" i="6" a="1"/>
  <c r="O134" i="6"/>
  <c r="P134" i="6"/>
  <c r="Q134" i="6"/>
  <c r="B135" i="6"/>
  <c r="C135" i="6"/>
  <c r="F135" i="6"/>
  <c r="J135" i="6"/>
  <c r="K135" i="6"/>
  <c r="N135" i="6" a="1"/>
  <c r="O135" i="6"/>
  <c r="P135" i="6"/>
  <c r="Q135" i="6"/>
  <c r="B136" i="6"/>
  <c r="C136" i="6"/>
  <c r="F136" i="6"/>
  <c r="G136" i="6" s="1"/>
  <c r="J136" i="6"/>
  <c r="K136" i="6"/>
  <c r="N136" i="6" a="1"/>
  <c r="O136" i="6"/>
  <c r="P136" i="6"/>
  <c r="Q136" i="6"/>
  <c r="B137" i="6"/>
  <c r="C137" i="6"/>
  <c r="F137" i="6"/>
  <c r="I137" i="6" s="1"/>
  <c r="J137" i="6"/>
  <c r="K137" i="6"/>
  <c r="N137" i="6" a="1"/>
  <c r="O137" i="6"/>
  <c r="P137" i="6"/>
  <c r="Q137" i="6"/>
  <c r="B138" i="6"/>
  <c r="C138" i="6"/>
  <c r="F138" i="6"/>
  <c r="G138" i="6" s="1"/>
  <c r="J138" i="6"/>
  <c r="K138" i="6"/>
  <c r="N138" i="6" a="1"/>
  <c r="O138" i="6"/>
  <c r="P138" i="6"/>
  <c r="Q138" i="6"/>
  <c r="B139" i="6"/>
  <c r="C139" i="6"/>
  <c r="F139" i="6"/>
  <c r="I139" i="6" s="1"/>
  <c r="J139" i="6"/>
  <c r="K139" i="6"/>
  <c r="N139" i="6" a="1"/>
  <c r="O139" i="6"/>
  <c r="P139" i="6"/>
  <c r="Q139" i="6"/>
  <c r="B140" i="6"/>
  <c r="C140" i="6"/>
  <c r="F140" i="6"/>
  <c r="J140" i="6"/>
  <c r="K140" i="6"/>
  <c r="N140" i="6" a="1"/>
  <c r="O140" i="6"/>
  <c r="P140" i="6"/>
  <c r="Q140" i="6"/>
  <c r="B141" i="6"/>
  <c r="C141" i="6"/>
  <c r="F141" i="6"/>
  <c r="H141" i="6" s="1"/>
  <c r="J141" i="6"/>
  <c r="K141" i="6"/>
  <c r="N141" i="6" a="1"/>
  <c r="O141" i="6"/>
  <c r="P141" i="6"/>
  <c r="Q141" i="6"/>
  <c r="B142" i="6"/>
  <c r="C142" i="6"/>
  <c r="F142" i="6"/>
  <c r="J142" i="6"/>
  <c r="K142" i="6"/>
  <c r="N142" i="6" a="1"/>
  <c r="O142" i="6"/>
  <c r="P142" i="6"/>
  <c r="Q142" i="6"/>
  <c r="AA142" i="6" s="1"/>
  <c r="B143" i="6"/>
  <c r="C143" i="6"/>
  <c r="F143" i="6"/>
  <c r="J143" i="6"/>
  <c r="K143" i="6"/>
  <c r="N143" i="6" a="1"/>
  <c r="O143" i="6"/>
  <c r="P143" i="6"/>
  <c r="Q143" i="6"/>
  <c r="B144" i="6"/>
  <c r="C144" i="6"/>
  <c r="F144" i="6"/>
  <c r="J144" i="6"/>
  <c r="K144" i="6"/>
  <c r="N144" i="6" a="1"/>
  <c r="O144" i="6"/>
  <c r="P144" i="6"/>
  <c r="Q144" i="6"/>
  <c r="AA144" i="6" s="1"/>
  <c r="B145" i="6"/>
  <c r="C145" i="6"/>
  <c r="F145" i="6"/>
  <c r="J145" i="6"/>
  <c r="K145" i="6"/>
  <c r="N145" i="6" a="1"/>
  <c r="O145" i="6"/>
  <c r="P145" i="6"/>
  <c r="Q145" i="6"/>
  <c r="B146" i="6"/>
  <c r="C146" i="6"/>
  <c r="F146" i="6"/>
  <c r="J146" i="6"/>
  <c r="K146" i="6"/>
  <c r="N146" i="6" a="1"/>
  <c r="O146" i="6"/>
  <c r="P146" i="6"/>
  <c r="Q146" i="6"/>
  <c r="B147" i="6"/>
  <c r="C147" i="6"/>
  <c r="F147" i="6"/>
  <c r="G147" i="6" s="1"/>
  <c r="J147" i="6"/>
  <c r="K147" i="6"/>
  <c r="N147" i="6" a="1"/>
  <c r="O147" i="6"/>
  <c r="P147" i="6"/>
  <c r="Q147" i="6"/>
  <c r="B148" i="6"/>
  <c r="C148" i="6"/>
  <c r="F148" i="6"/>
  <c r="H148" i="6" s="1"/>
  <c r="J148" i="6"/>
  <c r="K148" i="6"/>
  <c r="N148" i="6" a="1"/>
  <c r="O148" i="6"/>
  <c r="P148" i="6"/>
  <c r="Q148" i="6"/>
  <c r="B149" i="6"/>
  <c r="C149" i="6"/>
  <c r="F149" i="6"/>
  <c r="H149" i="6" s="1"/>
  <c r="J149" i="6"/>
  <c r="K149" i="6"/>
  <c r="N149" i="6" a="1"/>
  <c r="O149" i="6"/>
  <c r="P149" i="6"/>
  <c r="Q149" i="6"/>
  <c r="B150" i="6"/>
  <c r="C150" i="6"/>
  <c r="F150" i="6"/>
  <c r="G150" i="6" s="1"/>
  <c r="J150" i="6"/>
  <c r="K150" i="6"/>
  <c r="N150" i="6" a="1"/>
  <c r="O150" i="6"/>
  <c r="P150" i="6"/>
  <c r="Q150" i="6"/>
  <c r="B151" i="6"/>
  <c r="C151" i="6"/>
  <c r="F151" i="6"/>
  <c r="J151" i="6"/>
  <c r="K151" i="6"/>
  <c r="N151" i="6" a="1"/>
  <c r="O151" i="6"/>
  <c r="P151" i="6"/>
  <c r="Q151" i="6"/>
  <c r="B152" i="6"/>
  <c r="C152" i="6"/>
  <c r="F152" i="6"/>
  <c r="J152" i="6"/>
  <c r="K152" i="6"/>
  <c r="N152" i="6" a="1"/>
  <c r="O152" i="6"/>
  <c r="P152" i="6"/>
  <c r="Q152" i="6"/>
  <c r="B153" i="6"/>
  <c r="C153" i="6"/>
  <c r="F153" i="6"/>
  <c r="J153" i="6"/>
  <c r="K153" i="6"/>
  <c r="N153" i="6" a="1"/>
  <c r="O153" i="6"/>
  <c r="P153" i="6"/>
  <c r="Q153" i="6"/>
  <c r="AA153" i="6" s="1"/>
  <c r="B154" i="6"/>
  <c r="C154" i="6"/>
  <c r="F154" i="6"/>
  <c r="J154" i="6"/>
  <c r="K154" i="6"/>
  <c r="N154" i="6" a="1"/>
  <c r="O154" i="6"/>
  <c r="P154" i="6"/>
  <c r="Q154" i="6"/>
  <c r="AA154" i="6" s="1"/>
  <c r="B155" i="6"/>
  <c r="C155" i="6"/>
  <c r="F155" i="6"/>
  <c r="H155" i="6" s="1"/>
  <c r="J155" i="6"/>
  <c r="K155" i="6"/>
  <c r="N155" i="6" a="1"/>
  <c r="O155" i="6"/>
  <c r="P155" i="6"/>
  <c r="Q155" i="6"/>
  <c r="B156" i="6"/>
  <c r="C156" i="6"/>
  <c r="F156" i="6"/>
  <c r="G156" i="6" s="1"/>
  <c r="J156" i="6"/>
  <c r="K156" i="6"/>
  <c r="N156" i="6" a="1"/>
  <c r="O156" i="6"/>
  <c r="P156" i="6"/>
  <c r="Q156" i="6"/>
  <c r="S156" i="6"/>
  <c r="B157" i="6"/>
  <c r="C157" i="6"/>
  <c r="F157" i="6"/>
  <c r="I157" i="6" s="1"/>
  <c r="J157" i="6"/>
  <c r="K157" i="6"/>
  <c r="N157" i="6" a="1"/>
  <c r="O157" i="6"/>
  <c r="P157" i="6"/>
  <c r="Q157" i="6"/>
  <c r="AA157" i="6" s="1"/>
  <c r="B158" i="6"/>
  <c r="C158" i="6"/>
  <c r="F158" i="6"/>
  <c r="I158" i="6" s="1"/>
  <c r="J158" i="6"/>
  <c r="K158" i="6"/>
  <c r="N158" i="6" a="1"/>
  <c r="O158" i="6"/>
  <c r="P158" i="6"/>
  <c r="Q158" i="6"/>
  <c r="B159" i="6"/>
  <c r="C159" i="6"/>
  <c r="F159" i="6"/>
  <c r="J159" i="6"/>
  <c r="K159" i="6"/>
  <c r="N159" i="6" a="1"/>
  <c r="O159" i="6"/>
  <c r="P159" i="6"/>
  <c r="Q159" i="6"/>
  <c r="AA159" i="6" s="1"/>
  <c r="B160" i="6"/>
  <c r="C160" i="6"/>
  <c r="F160" i="6"/>
  <c r="H160" i="6" s="1"/>
  <c r="J160" i="6"/>
  <c r="K160" i="6"/>
  <c r="N160" i="6" a="1"/>
  <c r="O160" i="6"/>
  <c r="P160" i="6"/>
  <c r="Q160" i="6"/>
  <c r="AA160" i="6" s="1"/>
  <c r="B161" i="6"/>
  <c r="C161" i="6"/>
  <c r="F161" i="6"/>
  <c r="J161" i="6"/>
  <c r="K161" i="6"/>
  <c r="N161" i="6" a="1"/>
  <c r="O161" i="6"/>
  <c r="P161" i="6"/>
  <c r="Q161" i="6"/>
  <c r="B162" i="6"/>
  <c r="C162" i="6"/>
  <c r="F162" i="6"/>
  <c r="J162" i="6"/>
  <c r="K162" i="6"/>
  <c r="N162" i="6" a="1"/>
  <c r="O162" i="6"/>
  <c r="P162" i="6"/>
  <c r="Q162" i="6"/>
  <c r="B163" i="6"/>
  <c r="C163" i="6"/>
  <c r="F163" i="6"/>
  <c r="J163" i="6"/>
  <c r="K163" i="6"/>
  <c r="N163" i="6" a="1"/>
  <c r="O163" i="6"/>
  <c r="P163" i="6"/>
  <c r="Q163" i="6"/>
  <c r="B164" i="6"/>
  <c r="C164" i="6"/>
  <c r="F164" i="6"/>
  <c r="H164" i="6" s="1"/>
  <c r="J164" i="6"/>
  <c r="K164" i="6"/>
  <c r="N164" i="6" a="1"/>
  <c r="O164" i="6"/>
  <c r="P164" i="6"/>
  <c r="Q164" i="6"/>
  <c r="B165" i="6"/>
  <c r="C165" i="6"/>
  <c r="F165" i="6"/>
  <c r="G165" i="6" s="1"/>
  <c r="J165" i="6"/>
  <c r="K165" i="6"/>
  <c r="N165" i="6" a="1"/>
  <c r="O165" i="6"/>
  <c r="P165" i="6"/>
  <c r="Q165" i="6"/>
  <c r="AA165" i="6" s="1"/>
  <c r="B166" i="6"/>
  <c r="C166" i="6"/>
  <c r="F166" i="6"/>
  <c r="I166" i="6" s="1"/>
  <c r="J166" i="6"/>
  <c r="K166" i="6"/>
  <c r="N166" i="6" a="1"/>
  <c r="O166" i="6"/>
  <c r="P166" i="6"/>
  <c r="Q166" i="6"/>
  <c r="AA166" i="6" s="1"/>
  <c r="B167" i="6"/>
  <c r="C167" i="6"/>
  <c r="F167" i="6"/>
  <c r="J167" i="6"/>
  <c r="K167" i="6"/>
  <c r="N167" i="6" a="1"/>
  <c r="O167" i="6"/>
  <c r="P167" i="6"/>
  <c r="Q167" i="6"/>
  <c r="B168" i="6"/>
  <c r="C168" i="6"/>
  <c r="F168" i="6"/>
  <c r="J168" i="6"/>
  <c r="K168" i="6"/>
  <c r="N168" i="6" a="1"/>
  <c r="O168" i="6"/>
  <c r="P168" i="6"/>
  <c r="Q168" i="6"/>
  <c r="B169" i="6"/>
  <c r="C169" i="6"/>
  <c r="F169" i="6"/>
  <c r="J169" i="6"/>
  <c r="K169" i="6"/>
  <c r="N169" i="6" a="1"/>
  <c r="O169" i="6"/>
  <c r="P169" i="6"/>
  <c r="Q169" i="6"/>
  <c r="B170" i="6"/>
  <c r="C170" i="6"/>
  <c r="F170" i="6"/>
  <c r="J170" i="6"/>
  <c r="K170" i="6"/>
  <c r="N170" i="6" a="1"/>
  <c r="O170" i="6"/>
  <c r="P170" i="6"/>
  <c r="Q170" i="6"/>
  <c r="B171" i="6"/>
  <c r="C171" i="6"/>
  <c r="F171" i="6"/>
  <c r="G171" i="6" s="1"/>
  <c r="J171" i="6"/>
  <c r="K171" i="6"/>
  <c r="N171" i="6" a="1"/>
  <c r="O171" i="6"/>
  <c r="P171" i="6"/>
  <c r="Q171" i="6"/>
  <c r="AA171" i="6"/>
  <c r="B172" i="6"/>
  <c r="C172" i="6"/>
  <c r="F172" i="6"/>
  <c r="J172" i="6"/>
  <c r="K172" i="6"/>
  <c r="N172" i="6" a="1"/>
  <c r="O172" i="6"/>
  <c r="P172" i="6"/>
  <c r="Q172" i="6"/>
  <c r="B173" i="6"/>
  <c r="C173" i="6"/>
  <c r="F173" i="6"/>
  <c r="J173" i="6"/>
  <c r="K173" i="6"/>
  <c r="N173" i="6" a="1"/>
  <c r="O173" i="6"/>
  <c r="P173" i="6"/>
  <c r="Q173" i="6"/>
  <c r="B174" i="6"/>
  <c r="C174" i="6"/>
  <c r="F174" i="6"/>
  <c r="J174" i="6"/>
  <c r="K174" i="6"/>
  <c r="N174" i="6" a="1"/>
  <c r="O174" i="6"/>
  <c r="P174" i="6"/>
  <c r="Q174" i="6"/>
  <c r="B175" i="6"/>
  <c r="C175" i="6"/>
  <c r="F175" i="6"/>
  <c r="H175" i="6" s="1"/>
  <c r="J175" i="6"/>
  <c r="K175" i="6"/>
  <c r="N175" i="6" a="1"/>
  <c r="O175" i="6"/>
  <c r="P175" i="6"/>
  <c r="Q175" i="6"/>
  <c r="B176" i="6"/>
  <c r="C176" i="6"/>
  <c r="F176" i="6"/>
  <c r="J176" i="6"/>
  <c r="K176" i="6"/>
  <c r="N176" i="6" a="1"/>
  <c r="O176" i="6"/>
  <c r="P176" i="6"/>
  <c r="Q176" i="6"/>
  <c r="B177" i="6"/>
  <c r="C177" i="6"/>
  <c r="F177" i="6"/>
  <c r="H177" i="6" s="1"/>
  <c r="J177" i="6"/>
  <c r="K177" i="6"/>
  <c r="N177" i="6" a="1"/>
  <c r="O177" i="6"/>
  <c r="P177" i="6"/>
  <c r="Q177" i="6"/>
  <c r="B178" i="6"/>
  <c r="C178" i="6"/>
  <c r="F178" i="6"/>
  <c r="J178" i="6"/>
  <c r="K178" i="6"/>
  <c r="N178" i="6" a="1"/>
  <c r="O178" i="6"/>
  <c r="P178" i="6"/>
  <c r="Q178" i="6"/>
  <c r="B179" i="6"/>
  <c r="C179" i="6"/>
  <c r="F179" i="6"/>
  <c r="H179" i="6" s="1"/>
  <c r="J179" i="6"/>
  <c r="K179" i="6"/>
  <c r="N179" i="6" a="1"/>
  <c r="O179" i="6"/>
  <c r="P179" i="6"/>
  <c r="Q179" i="6"/>
  <c r="B180" i="6"/>
  <c r="C180" i="6"/>
  <c r="F180" i="6"/>
  <c r="I180" i="6" s="1"/>
  <c r="J180" i="6"/>
  <c r="K180" i="6"/>
  <c r="N180" i="6" a="1"/>
  <c r="O180" i="6"/>
  <c r="P180" i="6"/>
  <c r="Q180" i="6"/>
  <c r="AA180" i="6" s="1"/>
  <c r="B181" i="6"/>
  <c r="C181" i="6"/>
  <c r="F181" i="6"/>
  <c r="J181" i="6"/>
  <c r="K181" i="6"/>
  <c r="N181" i="6" a="1"/>
  <c r="O181" i="6"/>
  <c r="P181" i="6"/>
  <c r="Q181" i="6"/>
  <c r="B182" i="6"/>
  <c r="C182" i="6"/>
  <c r="F182" i="6"/>
  <c r="J182" i="6"/>
  <c r="K182" i="6"/>
  <c r="N182" i="6" a="1"/>
  <c r="O182" i="6"/>
  <c r="P182" i="6"/>
  <c r="Q182" i="6"/>
  <c r="B183" i="6"/>
  <c r="C183" i="6"/>
  <c r="F183" i="6"/>
  <c r="J183" i="6"/>
  <c r="K183" i="6"/>
  <c r="N183" i="6" a="1"/>
  <c r="O183" i="6"/>
  <c r="P183" i="6"/>
  <c r="Q183" i="6"/>
  <c r="B184" i="6"/>
  <c r="C184" i="6"/>
  <c r="F184" i="6"/>
  <c r="G184" i="6" s="1"/>
  <c r="J184" i="6"/>
  <c r="K184" i="6"/>
  <c r="N184" i="6" a="1"/>
  <c r="O184" i="6"/>
  <c r="P184" i="6"/>
  <c r="Q184" i="6"/>
  <c r="B185" i="6"/>
  <c r="C185" i="6"/>
  <c r="F185" i="6"/>
  <c r="J185" i="6"/>
  <c r="K185" i="6"/>
  <c r="N185" i="6" a="1"/>
  <c r="O185" i="6"/>
  <c r="P185" i="6"/>
  <c r="Q185" i="6"/>
  <c r="B186" i="6"/>
  <c r="C186" i="6"/>
  <c r="F186" i="6"/>
  <c r="J186" i="6"/>
  <c r="K186" i="6"/>
  <c r="N186" i="6" a="1"/>
  <c r="O186" i="6"/>
  <c r="P186" i="6"/>
  <c r="Q186" i="6"/>
  <c r="B187" i="6"/>
  <c r="C187" i="6"/>
  <c r="F187" i="6"/>
  <c r="H187" i="6" s="1"/>
  <c r="J187" i="6"/>
  <c r="K187" i="6"/>
  <c r="N187" i="6" a="1"/>
  <c r="O187" i="6"/>
  <c r="P187" i="6"/>
  <c r="Q187" i="6"/>
  <c r="B188" i="6"/>
  <c r="C188" i="6"/>
  <c r="F188" i="6"/>
  <c r="J188" i="6"/>
  <c r="K188" i="6"/>
  <c r="N188" i="6" a="1"/>
  <c r="O188" i="6"/>
  <c r="P188" i="6"/>
  <c r="Q188" i="6"/>
  <c r="B189" i="6"/>
  <c r="C189" i="6"/>
  <c r="F189" i="6"/>
  <c r="J189" i="6"/>
  <c r="K189" i="6"/>
  <c r="N189" i="6" a="1"/>
  <c r="O189" i="6"/>
  <c r="P189" i="6"/>
  <c r="Q189" i="6"/>
  <c r="B190" i="6"/>
  <c r="C190" i="6"/>
  <c r="F190" i="6"/>
  <c r="J190" i="6"/>
  <c r="K190" i="6"/>
  <c r="N190" i="6" a="1"/>
  <c r="O190" i="6"/>
  <c r="P190" i="6"/>
  <c r="Q190" i="6"/>
  <c r="AA190" i="6"/>
  <c r="B191" i="6"/>
  <c r="C191" i="6"/>
  <c r="F191" i="6"/>
  <c r="J191" i="6"/>
  <c r="K191" i="6"/>
  <c r="N191" i="6" a="1"/>
  <c r="O191" i="6"/>
  <c r="P191" i="6"/>
  <c r="Q191" i="6"/>
  <c r="B192" i="6"/>
  <c r="C192" i="6"/>
  <c r="F192" i="6"/>
  <c r="J192" i="6"/>
  <c r="K192" i="6"/>
  <c r="N192" i="6" a="1"/>
  <c r="O192" i="6"/>
  <c r="P192" i="6"/>
  <c r="Q192" i="6"/>
  <c r="B193" i="6"/>
  <c r="C193" i="6"/>
  <c r="F193" i="6"/>
  <c r="H193" i="6" s="1"/>
  <c r="J193" i="6"/>
  <c r="K193" i="6"/>
  <c r="N193" i="6" a="1"/>
  <c r="O193" i="6"/>
  <c r="P193" i="6"/>
  <c r="Q193" i="6"/>
  <c r="B194" i="6"/>
  <c r="C194" i="6"/>
  <c r="F194" i="6"/>
  <c r="J194" i="6"/>
  <c r="K194" i="6"/>
  <c r="N194" i="6" a="1"/>
  <c r="O194" i="6"/>
  <c r="P194" i="6"/>
  <c r="Q194" i="6"/>
  <c r="B195" i="6"/>
  <c r="C195" i="6"/>
  <c r="F195" i="6"/>
  <c r="J195" i="6"/>
  <c r="K195" i="6"/>
  <c r="N195" i="6" a="1"/>
  <c r="O195" i="6"/>
  <c r="P195" i="6"/>
  <c r="Q195" i="6"/>
  <c r="B196" i="6"/>
  <c r="C196" i="6"/>
  <c r="F196" i="6"/>
  <c r="H196" i="6" s="1"/>
  <c r="J196" i="6"/>
  <c r="K196" i="6"/>
  <c r="N196" i="6" a="1"/>
  <c r="O196" i="6"/>
  <c r="P196" i="6"/>
  <c r="Q196" i="6"/>
  <c r="B197" i="6"/>
  <c r="C197" i="6"/>
  <c r="F197" i="6"/>
  <c r="H197" i="6" s="1"/>
  <c r="J197" i="6"/>
  <c r="K197" i="6"/>
  <c r="N197" i="6" a="1"/>
  <c r="O197" i="6"/>
  <c r="P197" i="6"/>
  <c r="Q197" i="6"/>
  <c r="B198" i="6"/>
  <c r="C198" i="6"/>
  <c r="F198" i="6"/>
  <c r="J198" i="6"/>
  <c r="K198" i="6"/>
  <c r="N198" i="6" a="1"/>
  <c r="O198" i="6"/>
  <c r="P198" i="6"/>
  <c r="Q198" i="6"/>
  <c r="B199" i="6"/>
  <c r="C199" i="6"/>
  <c r="F199" i="6"/>
  <c r="G199" i="6" s="1"/>
  <c r="J199" i="6"/>
  <c r="K199" i="6"/>
  <c r="N199" i="6" a="1"/>
  <c r="O199" i="6"/>
  <c r="P199" i="6"/>
  <c r="Q199" i="6"/>
  <c r="B200" i="6"/>
  <c r="C200" i="6"/>
  <c r="F200" i="6"/>
  <c r="H200" i="6" s="1"/>
  <c r="J200" i="6"/>
  <c r="K200" i="6"/>
  <c r="N200" i="6" a="1"/>
  <c r="O200" i="6"/>
  <c r="P200" i="6"/>
  <c r="Q200" i="6"/>
  <c r="B201" i="6"/>
  <c r="C201" i="6"/>
  <c r="F201" i="6"/>
  <c r="H201" i="6" s="1"/>
  <c r="J201" i="6"/>
  <c r="K201" i="6"/>
  <c r="N201" i="6" a="1"/>
  <c r="O201" i="6"/>
  <c r="P201" i="6"/>
  <c r="Q201" i="6"/>
  <c r="B202" i="6"/>
  <c r="C202" i="6"/>
  <c r="F202" i="6"/>
  <c r="G202" i="6" s="1"/>
  <c r="J202" i="6"/>
  <c r="K202" i="6"/>
  <c r="N202" i="6" a="1"/>
  <c r="O202" i="6"/>
  <c r="P202" i="6"/>
  <c r="Q202" i="6"/>
  <c r="B203" i="6"/>
  <c r="C203" i="6"/>
  <c r="F203" i="6"/>
  <c r="J203" i="6"/>
  <c r="K203" i="6"/>
  <c r="N203" i="6" a="1"/>
  <c r="O203" i="6"/>
  <c r="P203" i="6"/>
  <c r="Q203" i="6"/>
  <c r="B204" i="6"/>
  <c r="C204" i="6"/>
  <c r="F204" i="6"/>
  <c r="J204" i="6"/>
  <c r="K204" i="6"/>
  <c r="N204" i="6" a="1"/>
  <c r="O204" i="6"/>
  <c r="P204" i="6"/>
  <c r="Q204" i="6"/>
  <c r="B205" i="6"/>
  <c r="C205" i="6"/>
  <c r="F205" i="6"/>
  <c r="J205" i="6"/>
  <c r="K205" i="6"/>
  <c r="N205" i="6" a="1"/>
  <c r="O205" i="6"/>
  <c r="P205" i="6"/>
  <c r="Q205" i="6"/>
  <c r="AA205" i="6" s="1"/>
  <c r="B206" i="6"/>
  <c r="C206" i="6"/>
  <c r="F206" i="6"/>
  <c r="J206" i="6"/>
  <c r="K206" i="6"/>
  <c r="N206" i="6" a="1"/>
  <c r="O206" i="6"/>
  <c r="P206" i="6"/>
  <c r="Q206" i="6"/>
  <c r="B207" i="6"/>
  <c r="C207" i="6"/>
  <c r="F207" i="6"/>
  <c r="J207" i="6"/>
  <c r="K207" i="6"/>
  <c r="N207" i="6" a="1"/>
  <c r="O207" i="6"/>
  <c r="P207" i="6"/>
  <c r="Q207" i="6"/>
  <c r="B208" i="6"/>
  <c r="C208" i="6"/>
  <c r="F208" i="6"/>
  <c r="J208" i="6"/>
  <c r="K208" i="6"/>
  <c r="N208" i="6" a="1"/>
  <c r="O208" i="6"/>
  <c r="P208" i="6"/>
  <c r="Q208" i="6"/>
  <c r="B209" i="6"/>
  <c r="C209" i="6"/>
  <c r="F209" i="6"/>
  <c r="G209" i="6" s="1"/>
  <c r="J209" i="6"/>
  <c r="K209" i="6"/>
  <c r="N209" i="6" a="1"/>
  <c r="O209" i="6"/>
  <c r="P209" i="6"/>
  <c r="Q209" i="6"/>
  <c r="B210" i="6"/>
  <c r="C210" i="6"/>
  <c r="F210" i="6"/>
  <c r="H210" i="6" s="1"/>
  <c r="J210" i="6"/>
  <c r="K210" i="6"/>
  <c r="N210" i="6" a="1"/>
  <c r="O210" i="6"/>
  <c r="P210" i="6"/>
  <c r="Q210" i="6"/>
  <c r="AA210" i="6" s="1"/>
  <c r="B211" i="6"/>
  <c r="C211" i="6"/>
  <c r="F211" i="6"/>
  <c r="J211" i="6"/>
  <c r="K211" i="6"/>
  <c r="N211" i="6" a="1"/>
  <c r="O211" i="6"/>
  <c r="P211" i="6"/>
  <c r="Q211" i="6"/>
  <c r="B212" i="6"/>
  <c r="C212" i="6"/>
  <c r="F212" i="6"/>
  <c r="J212" i="6"/>
  <c r="K212" i="6"/>
  <c r="N212" i="6" a="1"/>
  <c r="O212" i="6"/>
  <c r="P212" i="6"/>
  <c r="Q212" i="6"/>
  <c r="B213" i="6"/>
  <c r="C213" i="6"/>
  <c r="F213" i="6"/>
  <c r="J213" i="6"/>
  <c r="K213" i="6"/>
  <c r="N213" i="6" a="1"/>
  <c r="O213" i="6"/>
  <c r="P213" i="6"/>
  <c r="Q213" i="6"/>
  <c r="B214" i="6"/>
  <c r="C214" i="6"/>
  <c r="F214" i="6"/>
  <c r="J214" i="6"/>
  <c r="K214" i="6"/>
  <c r="N214" i="6" a="1"/>
  <c r="O214" i="6"/>
  <c r="P214" i="6"/>
  <c r="Q214" i="6"/>
  <c r="AA214" i="6"/>
  <c r="B215" i="6"/>
  <c r="C215" i="6"/>
  <c r="F215" i="6"/>
  <c r="J215" i="6"/>
  <c r="K215" i="6"/>
  <c r="N215" i="6" a="1"/>
  <c r="O215" i="6"/>
  <c r="P215" i="6"/>
  <c r="Q215" i="6"/>
  <c r="B216" i="6"/>
  <c r="C216" i="6"/>
  <c r="F216" i="6"/>
  <c r="J216" i="6"/>
  <c r="K216" i="6"/>
  <c r="N216" i="6" a="1"/>
  <c r="O216" i="6"/>
  <c r="P216" i="6"/>
  <c r="Q216" i="6"/>
  <c r="B217" i="6"/>
  <c r="C217" i="6"/>
  <c r="F217" i="6"/>
  <c r="J217" i="6"/>
  <c r="K217" i="6"/>
  <c r="N217" i="6" a="1"/>
  <c r="O217" i="6"/>
  <c r="P217" i="6"/>
  <c r="Q217" i="6"/>
  <c r="B218" i="6"/>
  <c r="C218" i="6"/>
  <c r="F218" i="6"/>
  <c r="J218" i="6"/>
  <c r="K218" i="6"/>
  <c r="N218" i="6" a="1"/>
  <c r="O218" i="6"/>
  <c r="P218" i="6"/>
  <c r="Q218" i="6"/>
  <c r="B219" i="6"/>
  <c r="C219" i="6"/>
  <c r="F219" i="6"/>
  <c r="J219" i="6"/>
  <c r="K219" i="6"/>
  <c r="N219" i="6" a="1"/>
  <c r="O219" i="6"/>
  <c r="P219" i="6"/>
  <c r="Q219" i="6"/>
  <c r="B220" i="6"/>
  <c r="C220" i="6"/>
  <c r="F220" i="6"/>
  <c r="H220" i="6" s="1"/>
  <c r="J220" i="6"/>
  <c r="K220" i="6"/>
  <c r="N220" i="6" a="1"/>
  <c r="O220" i="6"/>
  <c r="P220" i="6"/>
  <c r="Q220" i="6"/>
  <c r="B221" i="6"/>
  <c r="C221" i="6"/>
  <c r="F221" i="6"/>
  <c r="I221" i="6" s="1"/>
  <c r="J221" i="6"/>
  <c r="K221" i="6"/>
  <c r="N221" i="6" a="1"/>
  <c r="O221" i="6"/>
  <c r="P221" i="6"/>
  <c r="Q221" i="6"/>
  <c r="B222" i="6"/>
  <c r="C222" i="6"/>
  <c r="F222" i="6"/>
  <c r="H222" i="6" s="1"/>
  <c r="J222" i="6"/>
  <c r="K222" i="6"/>
  <c r="N222" i="6" a="1"/>
  <c r="O222" i="6"/>
  <c r="P222" i="6"/>
  <c r="Q222" i="6"/>
  <c r="B223" i="6"/>
  <c r="C223" i="6"/>
  <c r="F223" i="6"/>
  <c r="I223" i="6" s="1"/>
  <c r="J223" i="6"/>
  <c r="K223" i="6"/>
  <c r="N223" i="6" a="1"/>
  <c r="O223" i="6"/>
  <c r="P223" i="6"/>
  <c r="Q223" i="6"/>
  <c r="B224" i="6"/>
  <c r="C224" i="6"/>
  <c r="F224" i="6"/>
  <c r="I224" i="6" s="1"/>
  <c r="J224" i="6"/>
  <c r="K224" i="6"/>
  <c r="N224" i="6" a="1"/>
  <c r="O224" i="6"/>
  <c r="P224" i="6"/>
  <c r="Q224" i="6"/>
  <c r="B225" i="6"/>
  <c r="C225" i="6"/>
  <c r="F225" i="6"/>
  <c r="H225" i="6" s="1"/>
  <c r="J225" i="6"/>
  <c r="K225" i="6"/>
  <c r="N225" i="6" a="1"/>
  <c r="O225" i="6"/>
  <c r="P225" i="6"/>
  <c r="Q225" i="6"/>
  <c r="B226" i="6"/>
  <c r="C226" i="6"/>
  <c r="F226" i="6"/>
  <c r="G226" i="6" s="1"/>
  <c r="J226" i="6"/>
  <c r="K226" i="6"/>
  <c r="N226" i="6" a="1"/>
  <c r="O226" i="6"/>
  <c r="P226" i="6"/>
  <c r="Q226" i="6"/>
  <c r="B227" i="6"/>
  <c r="C227" i="6"/>
  <c r="F227" i="6"/>
  <c r="G227" i="6" s="1"/>
  <c r="J227" i="6"/>
  <c r="K227" i="6"/>
  <c r="N227" i="6" a="1"/>
  <c r="O227" i="6"/>
  <c r="P227" i="6"/>
  <c r="Q227" i="6"/>
  <c r="B228" i="6"/>
  <c r="C228" i="6"/>
  <c r="F228" i="6"/>
  <c r="J228" i="6"/>
  <c r="K228" i="6"/>
  <c r="N228" i="6" a="1"/>
  <c r="O228" i="6"/>
  <c r="P228" i="6"/>
  <c r="Q228" i="6"/>
  <c r="B229" i="6"/>
  <c r="C229" i="6"/>
  <c r="F229" i="6"/>
  <c r="I229" i="6" s="1"/>
  <c r="J229" i="6"/>
  <c r="K229" i="6"/>
  <c r="N229" i="6" a="1"/>
  <c r="O229" i="6"/>
  <c r="P229" i="6"/>
  <c r="Q229" i="6"/>
  <c r="B230" i="6"/>
  <c r="C230" i="6"/>
  <c r="F230" i="6"/>
  <c r="G230" i="6" s="1"/>
  <c r="J230" i="6"/>
  <c r="K230" i="6"/>
  <c r="N230" i="6" a="1"/>
  <c r="O230" i="6"/>
  <c r="P230" i="6"/>
  <c r="Q230" i="6"/>
  <c r="B231" i="6"/>
  <c r="C231" i="6"/>
  <c r="F231" i="6"/>
  <c r="G231" i="6" s="1"/>
  <c r="J231" i="6"/>
  <c r="K231" i="6"/>
  <c r="N231" i="6" a="1"/>
  <c r="O231" i="6"/>
  <c r="P231" i="6"/>
  <c r="Q231" i="6"/>
  <c r="AA231" i="6" s="1"/>
  <c r="B232" i="6"/>
  <c r="C232" i="6"/>
  <c r="F232" i="6"/>
  <c r="J232" i="6"/>
  <c r="K232" i="6"/>
  <c r="N232" i="6" a="1"/>
  <c r="O232" i="6"/>
  <c r="P232" i="6"/>
  <c r="Q232" i="6"/>
  <c r="B233" i="6"/>
  <c r="C233" i="6"/>
  <c r="F233" i="6"/>
  <c r="I233" i="6" s="1"/>
  <c r="J233" i="6"/>
  <c r="K233" i="6"/>
  <c r="N233" i="6" a="1"/>
  <c r="O233" i="6"/>
  <c r="P233" i="6"/>
  <c r="Q233" i="6"/>
  <c r="B234" i="6"/>
  <c r="C234" i="6"/>
  <c r="F234" i="6"/>
  <c r="J234" i="6"/>
  <c r="K234" i="6"/>
  <c r="N234" i="6" a="1"/>
  <c r="O234" i="6"/>
  <c r="P234" i="6"/>
  <c r="Q234" i="6"/>
  <c r="B235" i="6"/>
  <c r="C235" i="6"/>
  <c r="F235" i="6"/>
  <c r="J235" i="6"/>
  <c r="K235" i="6"/>
  <c r="N235" i="6" a="1"/>
  <c r="O235" i="6"/>
  <c r="P235" i="6"/>
  <c r="Q235" i="6"/>
  <c r="AA235" i="6"/>
  <c r="B236" i="6"/>
  <c r="C236" i="6"/>
  <c r="F236" i="6"/>
  <c r="I236" i="6" s="1"/>
  <c r="J236" i="6"/>
  <c r="K236" i="6"/>
  <c r="N236" i="6" a="1"/>
  <c r="O236" i="6"/>
  <c r="P236" i="6"/>
  <c r="Q236" i="6"/>
  <c r="B237" i="6"/>
  <c r="C237" i="6"/>
  <c r="F237" i="6"/>
  <c r="J237" i="6"/>
  <c r="K237" i="6"/>
  <c r="N237" i="6" a="1"/>
  <c r="O237" i="6"/>
  <c r="P237" i="6"/>
  <c r="Q237" i="6"/>
  <c r="AA237" i="6"/>
  <c r="B238" i="6"/>
  <c r="C238" i="6"/>
  <c r="F238" i="6"/>
  <c r="J238" i="6"/>
  <c r="K238" i="6"/>
  <c r="N238" i="6" a="1"/>
  <c r="O238" i="6"/>
  <c r="P238" i="6"/>
  <c r="Q238" i="6"/>
  <c r="B239" i="6"/>
  <c r="C239" i="6"/>
  <c r="F239" i="6"/>
  <c r="J239" i="6"/>
  <c r="K239" i="6"/>
  <c r="N239" i="6" a="1"/>
  <c r="O239" i="6"/>
  <c r="P239" i="6"/>
  <c r="Q239" i="6"/>
  <c r="B240" i="6"/>
  <c r="C240" i="6"/>
  <c r="F240" i="6"/>
  <c r="J240" i="6"/>
  <c r="K240" i="6"/>
  <c r="N240" i="6" a="1"/>
  <c r="O240" i="6"/>
  <c r="P240" i="6"/>
  <c r="Q240" i="6"/>
  <c r="AA240" i="6" s="1"/>
  <c r="B241" i="6"/>
  <c r="C241" i="6"/>
  <c r="F241" i="6"/>
  <c r="J241" i="6"/>
  <c r="K241" i="6"/>
  <c r="N241" i="6" a="1"/>
  <c r="O241" i="6"/>
  <c r="P241" i="6"/>
  <c r="Q241" i="6"/>
  <c r="B242" i="6"/>
  <c r="C242" i="6"/>
  <c r="F242" i="6"/>
  <c r="I242" i="6" s="1"/>
  <c r="J242" i="6"/>
  <c r="K242" i="6"/>
  <c r="N242" i="6" a="1"/>
  <c r="O242" i="6"/>
  <c r="P242" i="6"/>
  <c r="Q242" i="6"/>
  <c r="B243" i="6"/>
  <c r="C243" i="6"/>
  <c r="F243" i="6"/>
  <c r="H243" i="6" s="1"/>
  <c r="J243" i="6"/>
  <c r="K243" i="6"/>
  <c r="N243" i="6" a="1"/>
  <c r="O243" i="6"/>
  <c r="P243" i="6"/>
  <c r="Q243" i="6"/>
  <c r="A244" i="6"/>
  <c r="B244" i="6"/>
  <c r="C244" i="6"/>
  <c r="F244" i="6"/>
  <c r="H244" i="6"/>
  <c r="J244" i="6"/>
  <c r="K244" i="6"/>
  <c r="N244" i="6" a="1"/>
  <c r="O244" i="6"/>
  <c r="P244" i="6"/>
  <c r="Q244" i="6"/>
  <c r="A245" i="6"/>
  <c r="B245" i="6"/>
  <c r="C245" i="6"/>
  <c r="F245" i="6"/>
  <c r="J245" i="6"/>
  <c r="K245" i="6"/>
  <c r="N245" i="6" a="1"/>
  <c r="O245" i="6"/>
  <c r="P245" i="6"/>
  <c r="Q245" i="6"/>
  <c r="A246" i="6"/>
  <c r="B246" i="6"/>
  <c r="C246" i="6"/>
  <c r="F246" i="6"/>
  <c r="J246" i="6"/>
  <c r="K246" i="6"/>
  <c r="N246" i="6" a="1"/>
  <c r="O246" i="6"/>
  <c r="P246" i="6"/>
  <c r="Q246" i="6"/>
  <c r="A247" i="6"/>
  <c r="B247" i="6"/>
  <c r="C247" i="6"/>
  <c r="F247" i="6"/>
  <c r="J247" i="6"/>
  <c r="K247" i="6"/>
  <c r="N247" i="6" a="1"/>
  <c r="O247" i="6"/>
  <c r="P247" i="6"/>
  <c r="Q247" i="6"/>
  <c r="AA247" i="6" s="1"/>
  <c r="A248" i="6"/>
  <c r="B248" i="6"/>
  <c r="C248" i="6"/>
  <c r="F248" i="6"/>
  <c r="I248" i="6" s="1"/>
  <c r="J248" i="6"/>
  <c r="K248" i="6"/>
  <c r="N248" i="6" a="1"/>
  <c r="O248" i="6"/>
  <c r="P248" i="6"/>
  <c r="Q248" i="6"/>
  <c r="A249" i="6"/>
  <c r="B249" i="6"/>
  <c r="C249" i="6"/>
  <c r="F249" i="6"/>
  <c r="J249" i="6"/>
  <c r="K249" i="6"/>
  <c r="N249" i="6" a="1"/>
  <c r="O249" i="6"/>
  <c r="P249" i="6"/>
  <c r="Q249" i="6"/>
  <c r="A250" i="6"/>
  <c r="B250" i="6"/>
  <c r="C250" i="6"/>
  <c r="F250" i="6"/>
  <c r="J250" i="6"/>
  <c r="K250" i="6"/>
  <c r="N250" i="6" a="1"/>
  <c r="O250" i="6"/>
  <c r="P250" i="6"/>
  <c r="Q250" i="6"/>
  <c r="A251" i="6"/>
  <c r="B251" i="6"/>
  <c r="C251" i="6"/>
  <c r="F251" i="6"/>
  <c r="J251" i="6"/>
  <c r="K251" i="6"/>
  <c r="N251" i="6" a="1"/>
  <c r="O251" i="6"/>
  <c r="P251" i="6"/>
  <c r="Q251" i="6"/>
  <c r="A252" i="6"/>
  <c r="B252" i="6"/>
  <c r="C252" i="6"/>
  <c r="F252" i="6"/>
  <c r="I252" i="6" s="1"/>
  <c r="J252" i="6"/>
  <c r="K252" i="6"/>
  <c r="N252" i="6" a="1"/>
  <c r="O252" i="6"/>
  <c r="P252" i="6"/>
  <c r="Q252" i="6"/>
  <c r="A253" i="6"/>
  <c r="B253" i="6"/>
  <c r="C253" i="6"/>
  <c r="F253" i="6"/>
  <c r="J253" i="6"/>
  <c r="K253" i="6"/>
  <c r="N253" i="6" a="1"/>
  <c r="O253" i="6"/>
  <c r="P253" i="6"/>
  <c r="Q253" i="6"/>
  <c r="A254" i="6"/>
  <c r="B254" i="6"/>
  <c r="C254" i="6"/>
  <c r="F254" i="6"/>
  <c r="G254" i="6" s="1"/>
  <c r="J254" i="6"/>
  <c r="K254" i="6"/>
  <c r="N254" i="6" a="1"/>
  <c r="O254" i="6"/>
  <c r="P254" i="6"/>
  <c r="Q254" i="6"/>
  <c r="A255" i="6"/>
  <c r="B255" i="6"/>
  <c r="C255" i="6"/>
  <c r="F255" i="6"/>
  <c r="J255" i="6"/>
  <c r="K255" i="6"/>
  <c r="N255" i="6" a="1"/>
  <c r="O255" i="6"/>
  <c r="P255" i="6"/>
  <c r="Q255" i="6"/>
  <c r="A256" i="6"/>
  <c r="B256" i="6"/>
  <c r="C256" i="6"/>
  <c r="F256" i="6"/>
  <c r="J256" i="6"/>
  <c r="K256" i="6"/>
  <c r="N256" i="6" a="1"/>
  <c r="O256" i="6"/>
  <c r="P256" i="6"/>
  <c r="Q256" i="6"/>
  <c r="A257" i="6"/>
  <c r="B257" i="6"/>
  <c r="C257" i="6"/>
  <c r="F257" i="6"/>
  <c r="I257" i="6" s="1"/>
  <c r="J257" i="6"/>
  <c r="K257" i="6"/>
  <c r="N257" i="6" a="1"/>
  <c r="O257" i="6"/>
  <c r="P257" i="6"/>
  <c r="Q257" i="6"/>
  <c r="A258" i="6"/>
  <c r="B258" i="6"/>
  <c r="C258" i="6"/>
  <c r="F258" i="6"/>
  <c r="J258" i="6"/>
  <c r="K258" i="6"/>
  <c r="N258" i="6" a="1"/>
  <c r="O258" i="6"/>
  <c r="P258" i="6"/>
  <c r="Q258" i="6"/>
  <c r="AA258" i="6"/>
  <c r="A259" i="6"/>
  <c r="B259" i="6"/>
  <c r="C259" i="6"/>
  <c r="F259" i="6"/>
  <c r="J259" i="6"/>
  <c r="K259" i="6"/>
  <c r="N259" i="6" a="1"/>
  <c r="O259" i="6"/>
  <c r="P259" i="6"/>
  <c r="Q259" i="6"/>
  <c r="A260" i="6"/>
  <c r="B260" i="6"/>
  <c r="C260" i="6"/>
  <c r="F260" i="6"/>
  <c r="G260" i="6" s="1"/>
  <c r="J260" i="6"/>
  <c r="K260" i="6"/>
  <c r="N260" i="6" a="1"/>
  <c r="O260" i="6"/>
  <c r="P260" i="6"/>
  <c r="Q260" i="6"/>
  <c r="A261" i="6"/>
  <c r="B261" i="6"/>
  <c r="C261" i="6"/>
  <c r="F261" i="6"/>
  <c r="J261" i="6"/>
  <c r="K261" i="6"/>
  <c r="N261" i="6" a="1"/>
  <c r="O261" i="6"/>
  <c r="P261" i="6"/>
  <c r="Q261" i="6"/>
  <c r="A262" i="6"/>
  <c r="B262" i="6"/>
  <c r="C262" i="6"/>
  <c r="F262" i="6"/>
  <c r="I262" i="6" s="1"/>
  <c r="J262" i="6"/>
  <c r="K262" i="6"/>
  <c r="N262" i="6" a="1"/>
  <c r="O262" i="6"/>
  <c r="P262" i="6"/>
  <c r="Q262" i="6"/>
  <c r="AA262" i="6"/>
  <c r="A263" i="6"/>
  <c r="B263" i="6"/>
  <c r="C263" i="6"/>
  <c r="F263" i="6"/>
  <c r="J263" i="6"/>
  <c r="K263" i="6"/>
  <c r="N263" i="6" a="1"/>
  <c r="O263" i="6"/>
  <c r="P263" i="6"/>
  <c r="Q263" i="6"/>
  <c r="A264" i="6"/>
  <c r="B264" i="6"/>
  <c r="C264" i="6"/>
  <c r="F264" i="6"/>
  <c r="I264" i="6" s="1"/>
  <c r="J264" i="6"/>
  <c r="K264" i="6"/>
  <c r="N264" i="6" a="1"/>
  <c r="O264" i="6"/>
  <c r="P264" i="6"/>
  <c r="Q264" i="6"/>
  <c r="A265" i="6"/>
  <c r="B265" i="6"/>
  <c r="C265" i="6"/>
  <c r="F265" i="6"/>
  <c r="J265" i="6"/>
  <c r="K265" i="6"/>
  <c r="N265" i="6" a="1"/>
  <c r="O265" i="6"/>
  <c r="P265" i="6"/>
  <c r="Q265" i="6"/>
  <c r="A266" i="6"/>
  <c r="B266" i="6"/>
  <c r="C266" i="6"/>
  <c r="F266" i="6"/>
  <c r="G266" i="6" s="1"/>
  <c r="I266" i="6"/>
  <c r="J266" i="6"/>
  <c r="K266" i="6"/>
  <c r="N266" i="6" a="1"/>
  <c r="O266" i="6"/>
  <c r="P266" i="6"/>
  <c r="Q266" i="6"/>
  <c r="AA266" i="6"/>
  <c r="A267" i="6"/>
  <c r="B267" i="6"/>
  <c r="C267" i="6"/>
  <c r="F267" i="6"/>
  <c r="J267" i="6"/>
  <c r="K267" i="6"/>
  <c r="N267" i="6" a="1"/>
  <c r="O267" i="6"/>
  <c r="P267" i="6"/>
  <c r="Q267" i="6"/>
  <c r="A268" i="6"/>
  <c r="B268" i="6"/>
  <c r="C268" i="6"/>
  <c r="F268" i="6"/>
  <c r="J268" i="6"/>
  <c r="K268" i="6"/>
  <c r="N268" i="6" a="1"/>
  <c r="O268" i="6"/>
  <c r="P268" i="6"/>
  <c r="Q268" i="6"/>
  <c r="A269" i="6"/>
  <c r="B269" i="6"/>
  <c r="C269" i="6"/>
  <c r="F269" i="6"/>
  <c r="I269" i="6" s="1"/>
  <c r="J269" i="6"/>
  <c r="K269" i="6"/>
  <c r="N269" i="6" a="1"/>
  <c r="O269" i="6"/>
  <c r="P269" i="6"/>
  <c r="Q269" i="6"/>
  <c r="A270" i="6"/>
  <c r="B270" i="6"/>
  <c r="C270" i="6"/>
  <c r="F270" i="6"/>
  <c r="J270" i="6"/>
  <c r="K270" i="6"/>
  <c r="N270" i="6" a="1"/>
  <c r="O270" i="6"/>
  <c r="P270" i="6"/>
  <c r="Q270" i="6"/>
  <c r="A271" i="6"/>
  <c r="B271" i="6"/>
  <c r="C271" i="6"/>
  <c r="F271" i="6"/>
  <c r="J271" i="6"/>
  <c r="K271" i="6"/>
  <c r="N271" i="6" a="1"/>
  <c r="O271" i="6"/>
  <c r="P271" i="6"/>
  <c r="Q271" i="6"/>
  <c r="AA271" i="6" s="1"/>
  <c r="A272" i="6"/>
  <c r="B272" i="6"/>
  <c r="C272" i="6"/>
  <c r="F272" i="6"/>
  <c r="J272" i="6"/>
  <c r="K272" i="6"/>
  <c r="N272" i="6" a="1"/>
  <c r="O272" i="6"/>
  <c r="P272" i="6"/>
  <c r="Q272" i="6"/>
  <c r="A273" i="6"/>
  <c r="B273" i="6"/>
  <c r="C273" i="6"/>
  <c r="F273" i="6"/>
  <c r="J273" i="6"/>
  <c r="K273" i="6"/>
  <c r="N273" i="6" a="1"/>
  <c r="O273" i="6"/>
  <c r="P273" i="6"/>
  <c r="Q273" i="6"/>
  <c r="A274" i="6"/>
  <c r="B274" i="6"/>
  <c r="C274" i="6"/>
  <c r="F274" i="6"/>
  <c r="H274" i="6"/>
  <c r="J274" i="6"/>
  <c r="K274" i="6"/>
  <c r="N274" i="6" a="1"/>
  <c r="O274" i="6"/>
  <c r="P274" i="6"/>
  <c r="Q274" i="6"/>
  <c r="A275" i="6"/>
  <c r="B275" i="6"/>
  <c r="C275" i="6"/>
  <c r="F275" i="6"/>
  <c r="I275" i="6" s="1"/>
  <c r="J275" i="6"/>
  <c r="K275" i="6"/>
  <c r="N275" i="6" a="1"/>
  <c r="O275" i="6"/>
  <c r="P275" i="6"/>
  <c r="Q275" i="6"/>
  <c r="A276" i="6"/>
  <c r="B276" i="6"/>
  <c r="C276" i="6"/>
  <c r="F276" i="6"/>
  <c r="I276" i="6" s="1"/>
  <c r="J276" i="6"/>
  <c r="K276" i="6"/>
  <c r="N276" i="6" a="1"/>
  <c r="O276" i="6"/>
  <c r="P276" i="6"/>
  <c r="Q276" i="6"/>
  <c r="A277" i="6"/>
  <c r="B277" i="6"/>
  <c r="C277" i="6"/>
  <c r="F277" i="6"/>
  <c r="J277" i="6"/>
  <c r="K277" i="6"/>
  <c r="N277" i="6" a="1"/>
  <c r="O277" i="6"/>
  <c r="P277" i="6"/>
  <c r="Q277" i="6"/>
  <c r="A278" i="6"/>
  <c r="B278" i="6"/>
  <c r="C278" i="6"/>
  <c r="F278" i="6"/>
  <c r="G278" i="6" s="1"/>
  <c r="J278" i="6"/>
  <c r="K278" i="6"/>
  <c r="N278" i="6" a="1"/>
  <c r="O278" i="6"/>
  <c r="P278" i="6"/>
  <c r="Q278" i="6"/>
  <c r="AA278" i="6" s="1"/>
  <c r="A279" i="6"/>
  <c r="B279" i="6"/>
  <c r="C279" i="6"/>
  <c r="F279" i="6"/>
  <c r="H279" i="6" s="1"/>
  <c r="J279" i="6"/>
  <c r="K279" i="6"/>
  <c r="N279" i="6" a="1"/>
  <c r="O279" i="6"/>
  <c r="P279" i="6"/>
  <c r="Q279" i="6"/>
  <c r="A280" i="6"/>
  <c r="B280" i="6"/>
  <c r="C280" i="6"/>
  <c r="F280" i="6"/>
  <c r="J280" i="6"/>
  <c r="K280" i="6"/>
  <c r="N280" i="6" a="1"/>
  <c r="O280" i="6"/>
  <c r="P280" i="6"/>
  <c r="Q280" i="6"/>
  <c r="A281" i="6"/>
  <c r="B281" i="6"/>
  <c r="C281" i="6"/>
  <c r="F281" i="6"/>
  <c r="I281" i="6" s="1"/>
  <c r="J281" i="6"/>
  <c r="K281" i="6"/>
  <c r="N281" i="6" a="1"/>
  <c r="O281" i="6"/>
  <c r="P281" i="6"/>
  <c r="Q281" i="6"/>
  <c r="A282" i="6"/>
  <c r="B282" i="6"/>
  <c r="C282" i="6"/>
  <c r="F282" i="6"/>
  <c r="J282" i="6"/>
  <c r="K282" i="6"/>
  <c r="N282" i="6" a="1"/>
  <c r="O282" i="6"/>
  <c r="P282" i="6"/>
  <c r="Q282" i="6"/>
  <c r="A283" i="6"/>
  <c r="B283" i="6"/>
  <c r="C283" i="6"/>
  <c r="F283" i="6"/>
  <c r="J283" i="6"/>
  <c r="K283" i="6"/>
  <c r="N283" i="6" a="1"/>
  <c r="O283" i="6"/>
  <c r="P283" i="6"/>
  <c r="Q283" i="6"/>
  <c r="A284" i="6"/>
  <c r="B284" i="6"/>
  <c r="C284" i="6"/>
  <c r="F284" i="6"/>
  <c r="J284" i="6"/>
  <c r="K284" i="6"/>
  <c r="N284" i="6" a="1"/>
  <c r="O284" i="6"/>
  <c r="P284" i="6"/>
  <c r="Q284" i="6"/>
  <c r="A285" i="6"/>
  <c r="B285" i="6"/>
  <c r="C285" i="6"/>
  <c r="F285" i="6"/>
  <c r="G285" i="6" s="1"/>
  <c r="I285" i="6"/>
  <c r="J285" i="6"/>
  <c r="K285" i="6"/>
  <c r="N285" i="6" a="1"/>
  <c r="O285" i="6"/>
  <c r="P285" i="6"/>
  <c r="Q285" i="6"/>
  <c r="A286" i="6"/>
  <c r="B286" i="6"/>
  <c r="C286" i="6"/>
  <c r="F286" i="6"/>
  <c r="J286" i="6"/>
  <c r="K286" i="6"/>
  <c r="N286" i="6" a="1"/>
  <c r="O286" i="6"/>
  <c r="P286" i="6"/>
  <c r="Q286" i="6"/>
  <c r="AA286" i="6" s="1"/>
  <c r="A287" i="6"/>
  <c r="B287" i="6"/>
  <c r="C287" i="6"/>
  <c r="F287" i="6"/>
  <c r="J287" i="6"/>
  <c r="K287" i="6"/>
  <c r="N287" i="6" a="1"/>
  <c r="O287" i="6"/>
  <c r="P287" i="6"/>
  <c r="Q287" i="6"/>
  <c r="A288" i="6"/>
  <c r="B288" i="6"/>
  <c r="C288" i="6"/>
  <c r="F288" i="6"/>
  <c r="I288" i="6" s="1"/>
  <c r="J288" i="6"/>
  <c r="K288" i="6"/>
  <c r="N288" i="6" a="1"/>
  <c r="O288" i="6"/>
  <c r="P288" i="6"/>
  <c r="Q288" i="6"/>
  <c r="A289" i="6"/>
  <c r="B289" i="6"/>
  <c r="C289" i="6"/>
  <c r="F289" i="6"/>
  <c r="H289" i="6" s="1"/>
  <c r="J289" i="6"/>
  <c r="K289" i="6"/>
  <c r="N289" i="6" a="1"/>
  <c r="O289" i="6"/>
  <c r="P289" i="6"/>
  <c r="Q289" i="6"/>
  <c r="A290" i="6"/>
  <c r="B290" i="6"/>
  <c r="C290" i="6"/>
  <c r="F290" i="6"/>
  <c r="I290" i="6" s="1"/>
  <c r="G290" i="6"/>
  <c r="J290" i="6"/>
  <c r="K290" i="6"/>
  <c r="N290" i="6" a="1"/>
  <c r="O290" i="6"/>
  <c r="P290" i="6"/>
  <c r="Q290" i="6"/>
  <c r="A291" i="6"/>
  <c r="B291" i="6"/>
  <c r="C291" i="6"/>
  <c r="F291" i="6"/>
  <c r="J291" i="6"/>
  <c r="K291" i="6"/>
  <c r="N291" i="6" a="1"/>
  <c r="O291" i="6"/>
  <c r="P291" i="6"/>
  <c r="Q291" i="6"/>
  <c r="A292" i="6"/>
  <c r="B292" i="6"/>
  <c r="C292" i="6"/>
  <c r="F292" i="6"/>
  <c r="J292" i="6"/>
  <c r="K292" i="6"/>
  <c r="N292" i="6" a="1"/>
  <c r="O292" i="6"/>
  <c r="P292" i="6"/>
  <c r="Q292" i="6"/>
  <c r="A293" i="6"/>
  <c r="B293" i="6"/>
  <c r="C293" i="6"/>
  <c r="F293" i="6"/>
  <c r="J293" i="6"/>
  <c r="K293" i="6"/>
  <c r="N293" i="6" a="1"/>
  <c r="O293" i="6"/>
  <c r="P293" i="6"/>
  <c r="Q293" i="6"/>
  <c r="A294" i="6"/>
  <c r="B294" i="6"/>
  <c r="C294" i="6"/>
  <c r="F294" i="6"/>
  <c r="J294" i="6"/>
  <c r="K294" i="6"/>
  <c r="N294" i="6" a="1"/>
  <c r="O294" i="6"/>
  <c r="P294" i="6"/>
  <c r="Q294" i="6"/>
  <c r="AA294" i="6" s="1"/>
  <c r="A295" i="6"/>
  <c r="B295" i="6"/>
  <c r="C295" i="6"/>
  <c r="F295" i="6"/>
  <c r="H295" i="6" s="1"/>
  <c r="J295" i="6"/>
  <c r="K295" i="6"/>
  <c r="N295" i="6" a="1"/>
  <c r="O295" i="6"/>
  <c r="P295" i="6"/>
  <c r="Q295" i="6"/>
  <c r="A296" i="6"/>
  <c r="B296" i="6"/>
  <c r="C296" i="6"/>
  <c r="F296" i="6"/>
  <c r="G296" i="6" s="1"/>
  <c r="J296" i="6"/>
  <c r="K296" i="6"/>
  <c r="N296" i="6" a="1"/>
  <c r="O296" i="6"/>
  <c r="P296" i="6"/>
  <c r="Q296" i="6"/>
  <c r="A297" i="6"/>
  <c r="B297" i="6"/>
  <c r="C297" i="6"/>
  <c r="F297" i="6"/>
  <c r="J297" i="6"/>
  <c r="K297" i="6"/>
  <c r="N297" i="6" a="1"/>
  <c r="O297" i="6"/>
  <c r="P297" i="6"/>
  <c r="Q297" i="6"/>
  <c r="A298" i="6"/>
  <c r="B298" i="6"/>
  <c r="C298" i="6"/>
  <c r="F298" i="6"/>
  <c r="G298" i="6" s="1"/>
  <c r="J298" i="6"/>
  <c r="K298" i="6"/>
  <c r="N298" i="6" a="1"/>
  <c r="O298" i="6"/>
  <c r="P298" i="6"/>
  <c r="Q298" i="6"/>
  <c r="A299" i="6"/>
  <c r="B299" i="6"/>
  <c r="C299" i="6"/>
  <c r="F299" i="6"/>
  <c r="J299" i="6"/>
  <c r="K299" i="6"/>
  <c r="N299" i="6" a="1"/>
  <c r="O299" i="6"/>
  <c r="P299" i="6"/>
  <c r="Q299" i="6"/>
  <c r="A300" i="6"/>
  <c r="B300" i="6"/>
  <c r="C300" i="6"/>
  <c r="F300" i="6"/>
  <c r="I300" i="6" s="1"/>
  <c r="J300" i="6"/>
  <c r="K300" i="6"/>
  <c r="N300" i="6" a="1"/>
  <c r="O300" i="6"/>
  <c r="P300" i="6"/>
  <c r="Q300" i="6"/>
  <c r="A301" i="6"/>
  <c r="B301" i="6"/>
  <c r="C301" i="6"/>
  <c r="F301" i="6"/>
  <c r="J301" i="6"/>
  <c r="K301" i="6"/>
  <c r="N301" i="6" a="1"/>
  <c r="O301" i="6"/>
  <c r="P301" i="6"/>
  <c r="Q301" i="6"/>
  <c r="A302" i="6"/>
  <c r="B302" i="6"/>
  <c r="C302" i="6"/>
  <c r="F302" i="6"/>
  <c r="J302" i="6"/>
  <c r="K302" i="6"/>
  <c r="N302" i="6" a="1"/>
  <c r="O302" i="6"/>
  <c r="P302" i="6"/>
  <c r="Q302" i="6"/>
  <c r="AA302" i="6" s="1"/>
  <c r="A303" i="6"/>
  <c r="B303" i="6"/>
  <c r="C303" i="6"/>
  <c r="F303" i="6"/>
  <c r="J303" i="6"/>
  <c r="K303" i="6"/>
  <c r="N303" i="6" a="1"/>
  <c r="O303" i="6"/>
  <c r="P303" i="6"/>
  <c r="Q303" i="6"/>
  <c r="A304" i="6"/>
  <c r="B304" i="6"/>
  <c r="C304" i="6"/>
  <c r="F304" i="6"/>
  <c r="J304" i="6"/>
  <c r="K304" i="6"/>
  <c r="N304" i="6" a="1"/>
  <c r="O304" i="6"/>
  <c r="P304" i="6"/>
  <c r="Q304" i="6"/>
  <c r="AA304" i="6"/>
  <c r="A305" i="6"/>
  <c r="B305" i="6"/>
  <c r="C305" i="6"/>
  <c r="F305" i="6"/>
  <c r="G305" i="6" s="1"/>
  <c r="J305" i="6"/>
  <c r="K305" i="6"/>
  <c r="N305" i="6" a="1"/>
  <c r="O305" i="6"/>
  <c r="P305" i="6"/>
  <c r="Q305" i="6"/>
  <c r="A306" i="6"/>
  <c r="B306" i="6"/>
  <c r="C306" i="6"/>
  <c r="F306" i="6"/>
  <c r="J306" i="6"/>
  <c r="K306" i="6"/>
  <c r="N306" i="6" a="1"/>
  <c r="O306" i="6"/>
  <c r="P306" i="6"/>
  <c r="Q306" i="6"/>
  <c r="A307" i="6"/>
  <c r="B307" i="6"/>
  <c r="C307" i="6"/>
  <c r="F307" i="6"/>
  <c r="J307" i="6"/>
  <c r="K307" i="6"/>
  <c r="N307" i="6" a="1"/>
  <c r="O307" i="6"/>
  <c r="P307" i="6"/>
  <c r="Q307" i="6"/>
  <c r="A308" i="6"/>
  <c r="B308" i="6"/>
  <c r="C308" i="6"/>
  <c r="F308" i="6"/>
  <c r="J308" i="6"/>
  <c r="K308" i="6"/>
  <c r="N308" i="6" a="1"/>
  <c r="O308" i="6"/>
  <c r="P308" i="6"/>
  <c r="Q308" i="6"/>
  <c r="A309" i="6"/>
  <c r="B309" i="6"/>
  <c r="C309" i="6"/>
  <c r="F309" i="6"/>
  <c r="J309" i="6"/>
  <c r="K309" i="6"/>
  <c r="N309" i="6" a="1"/>
  <c r="O309" i="6"/>
  <c r="P309" i="6"/>
  <c r="Q309" i="6"/>
  <c r="A310" i="6"/>
  <c r="B310" i="6"/>
  <c r="C310" i="6"/>
  <c r="F310" i="6"/>
  <c r="I310" i="6" s="1"/>
  <c r="J310" i="6"/>
  <c r="K310" i="6"/>
  <c r="N310" i="6" a="1"/>
  <c r="O310" i="6"/>
  <c r="P310" i="6"/>
  <c r="Q310" i="6"/>
  <c r="A311" i="6"/>
  <c r="B311" i="6"/>
  <c r="C311" i="6"/>
  <c r="F311" i="6"/>
  <c r="I311" i="6" s="1"/>
  <c r="J311" i="6"/>
  <c r="K311" i="6"/>
  <c r="N311" i="6" a="1"/>
  <c r="O311" i="6"/>
  <c r="P311" i="6"/>
  <c r="Q311" i="6"/>
  <c r="A312" i="6"/>
  <c r="B312" i="6"/>
  <c r="C312" i="6"/>
  <c r="F312" i="6"/>
  <c r="H312" i="6" s="1"/>
  <c r="J312" i="6"/>
  <c r="K312" i="6"/>
  <c r="N312" i="6" a="1"/>
  <c r="O312" i="6"/>
  <c r="P312" i="6"/>
  <c r="Q312" i="6"/>
  <c r="A313" i="6"/>
  <c r="B313" i="6"/>
  <c r="C313" i="6"/>
  <c r="F313" i="6"/>
  <c r="G313" i="6" s="1"/>
  <c r="J313" i="6"/>
  <c r="K313" i="6"/>
  <c r="N313" i="6" a="1"/>
  <c r="O313" i="6"/>
  <c r="P313" i="6"/>
  <c r="Q313" i="6"/>
  <c r="A314" i="6"/>
  <c r="B314" i="6"/>
  <c r="C314" i="6"/>
  <c r="F314" i="6"/>
  <c r="J314" i="6"/>
  <c r="K314" i="6"/>
  <c r="N314" i="6" a="1"/>
  <c r="O314" i="6"/>
  <c r="P314" i="6"/>
  <c r="Q314" i="6"/>
  <c r="AA314" i="6" s="1"/>
  <c r="A315" i="6"/>
  <c r="B315" i="6"/>
  <c r="C315" i="6"/>
  <c r="F315" i="6"/>
  <c r="H315" i="6" s="1"/>
  <c r="J315" i="6"/>
  <c r="K315" i="6"/>
  <c r="N315" i="6" a="1"/>
  <c r="O315" i="6"/>
  <c r="P315" i="6"/>
  <c r="Q315" i="6"/>
  <c r="A316" i="6"/>
  <c r="B316" i="6"/>
  <c r="C316" i="6"/>
  <c r="F316" i="6"/>
  <c r="J316" i="6"/>
  <c r="K316" i="6"/>
  <c r="N316" i="6" a="1"/>
  <c r="O316" i="6"/>
  <c r="P316" i="6"/>
  <c r="Q316" i="6"/>
  <c r="A317" i="6"/>
  <c r="B317" i="6"/>
  <c r="C317" i="6"/>
  <c r="F317" i="6"/>
  <c r="J317" i="6"/>
  <c r="K317" i="6"/>
  <c r="N317" i="6" a="1"/>
  <c r="O317" i="6"/>
  <c r="P317" i="6"/>
  <c r="Q317" i="6"/>
  <c r="A318" i="6"/>
  <c r="B318" i="6"/>
  <c r="C318" i="6"/>
  <c r="F318" i="6"/>
  <c r="H318" i="6" s="1"/>
  <c r="J318" i="6"/>
  <c r="K318" i="6"/>
  <c r="N318" i="6" a="1"/>
  <c r="O318" i="6"/>
  <c r="P318" i="6"/>
  <c r="Q318" i="6"/>
  <c r="A319" i="6"/>
  <c r="B319" i="6"/>
  <c r="C319" i="6"/>
  <c r="F319" i="6"/>
  <c r="G319" i="6" s="1"/>
  <c r="J319" i="6"/>
  <c r="K319" i="6"/>
  <c r="N319" i="6" a="1"/>
  <c r="O319" i="6"/>
  <c r="P319" i="6"/>
  <c r="Q319" i="6"/>
  <c r="A320" i="6"/>
  <c r="B320" i="6"/>
  <c r="C320" i="6"/>
  <c r="F320" i="6"/>
  <c r="J320" i="6"/>
  <c r="K320" i="6"/>
  <c r="N320" i="6" a="1"/>
  <c r="O320" i="6"/>
  <c r="P320" i="6"/>
  <c r="Q320" i="6"/>
  <c r="AA320" i="6" s="1"/>
  <c r="A321" i="6"/>
  <c r="B321" i="6"/>
  <c r="C321" i="6"/>
  <c r="F321" i="6"/>
  <c r="J321" i="6"/>
  <c r="K321" i="6"/>
  <c r="N321" i="6" a="1"/>
  <c r="O321" i="6"/>
  <c r="P321" i="6"/>
  <c r="Q321" i="6"/>
  <c r="A322" i="6"/>
  <c r="B322" i="6"/>
  <c r="C322" i="6"/>
  <c r="F322" i="6"/>
  <c r="J322" i="6"/>
  <c r="K322" i="6"/>
  <c r="N322" i="6" a="1"/>
  <c r="O322" i="6"/>
  <c r="P322" i="6"/>
  <c r="Q322" i="6"/>
  <c r="A323" i="6"/>
  <c r="B323" i="6"/>
  <c r="C323" i="6"/>
  <c r="F323" i="6"/>
  <c r="J323" i="6"/>
  <c r="K323" i="6"/>
  <c r="N323" i="6" a="1"/>
  <c r="O323" i="6"/>
  <c r="P323" i="6"/>
  <c r="Q323" i="6"/>
  <c r="A324" i="6"/>
  <c r="B324" i="6"/>
  <c r="C324" i="6"/>
  <c r="F324" i="6"/>
  <c r="H324" i="6" s="1"/>
  <c r="J324" i="6"/>
  <c r="K324" i="6"/>
  <c r="N324" i="6" a="1"/>
  <c r="O324" i="6"/>
  <c r="P324" i="6"/>
  <c r="Q324" i="6"/>
  <c r="A325" i="6"/>
  <c r="B325" i="6"/>
  <c r="C325" i="6"/>
  <c r="F325" i="6"/>
  <c r="J325" i="6"/>
  <c r="K325" i="6"/>
  <c r="N325" i="6" a="1"/>
  <c r="O325" i="6"/>
  <c r="P325" i="6"/>
  <c r="Q325" i="6"/>
  <c r="A326" i="6"/>
  <c r="B326" i="6"/>
  <c r="C326" i="6"/>
  <c r="F326" i="6"/>
  <c r="J326" i="6"/>
  <c r="K326" i="6"/>
  <c r="N326" i="6" a="1"/>
  <c r="O326" i="6"/>
  <c r="P326" i="6"/>
  <c r="Q326" i="6"/>
  <c r="AA326" i="6" s="1"/>
  <c r="A327" i="6"/>
  <c r="B327" i="6"/>
  <c r="C327" i="6"/>
  <c r="F327" i="6"/>
  <c r="J327" i="6"/>
  <c r="K327" i="6"/>
  <c r="N327" i="6" a="1"/>
  <c r="O327" i="6"/>
  <c r="P327" i="6"/>
  <c r="Q327" i="6"/>
  <c r="A328" i="6"/>
  <c r="B328" i="6"/>
  <c r="C328" i="6"/>
  <c r="F328" i="6"/>
  <c r="G328" i="6" s="1"/>
  <c r="H328" i="6"/>
  <c r="J328" i="6"/>
  <c r="K328" i="6"/>
  <c r="N328" i="6" a="1"/>
  <c r="O328" i="6"/>
  <c r="P328" i="6"/>
  <c r="Q328" i="6"/>
  <c r="AA328" i="6" s="1"/>
  <c r="A329" i="6"/>
  <c r="B329" i="6"/>
  <c r="C329" i="6"/>
  <c r="F329" i="6"/>
  <c r="I329" i="6" s="1"/>
  <c r="J329" i="6"/>
  <c r="K329" i="6"/>
  <c r="N329" i="6" a="1"/>
  <c r="O329" i="6"/>
  <c r="P329" i="6"/>
  <c r="Q329" i="6"/>
  <c r="A330" i="6"/>
  <c r="B330" i="6"/>
  <c r="C330" i="6"/>
  <c r="F330" i="6"/>
  <c r="H330" i="6" s="1"/>
  <c r="J330" i="6"/>
  <c r="K330" i="6"/>
  <c r="N330" i="6" a="1"/>
  <c r="O330" i="6"/>
  <c r="P330" i="6"/>
  <c r="Q330" i="6"/>
  <c r="A331" i="6"/>
  <c r="B331" i="6"/>
  <c r="C331" i="6"/>
  <c r="F331" i="6"/>
  <c r="I331" i="6" s="1"/>
  <c r="J331" i="6"/>
  <c r="K331" i="6"/>
  <c r="N331" i="6" a="1"/>
  <c r="O331" i="6"/>
  <c r="P331" i="6"/>
  <c r="Q331" i="6"/>
  <c r="AA331" i="6"/>
  <c r="A332" i="6"/>
  <c r="B332" i="6"/>
  <c r="C332" i="6"/>
  <c r="F332" i="6"/>
  <c r="G332" i="6"/>
  <c r="J332" i="6"/>
  <c r="K332" i="6"/>
  <c r="N332" i="6" a="1"/>
  <c r="O332" i="6"/>
  <c r="P332" i="6"/>
  <c r="Q332" i="6"/>
  <c r="A333" i="6"/>
  <c r="B333" i="6"/>
  <c r="C333" i="6"/>
  <c r="F333" i="6"/>
  <c r="G333" i="6" s="1"/>
  <c r="J333" i="6"/>
  <c r="K333" i="6"/>
  <c r="N333" i="6" a="1"/>
  <c r="O333" i="6"/>
  <c r="P333" i="6"/>
  <c r="Q333" i="6"/>
  <c r="AA333" i="6"/>
  <c r="A334" i="6"/>
  <c r="B334" i="6"/>
  <c r="C334" i="6"/>
  <c r="F334" i="6"/>
  <c r="H334" i="6" s="1"/>
  <c r="J334" i="6"/>
  <c r="K334" i="6"/>
  <c r="N334" i="6" a="1"/>
  <c r="O334" i="6"/>
  <c r="P334" i="6"/>
  <c r="Q334" i="6"/>
  <c r="A335" i="6"/>
  <c r="B335" i="6"/>
  <c r="C335" i="6"/>
  <c r="F335" i="6"/>
  <c r="I335" i="6" s="1"/>
  <c r="J335" i="6"/>
  <c r="K335" i="6"/>
  <c r="N335" i="6" a="1"/>
  <c r="O335" i="6"/>
  <c r="P335" i="6"/>
  <c r="Q335" i="6"/>
  <c r="A336" i="6"/>
  <c r="B336" i="6"/>
  <c r="C336" i="6"/>
  <c r="F336" i="6"/>
  <c r="J336" i="6"/>
  <c r="K336" i="6"/>
  <c r="N336" i="6" a="1"/>
  <c r="O336" i="6"/>
  <c r="P336" i="6"/>
  <c r="Q336" i="6"/>
  <c r="A337" i="6"/>
  <c r="B337" i="6"/>
  <c r="C337" i="6"/>
  <c r="F337" i="6"/>
  <c r="H337" i="6" s="1"/>
  <c r="G337" i="6"/>
  <c r="J337" i="6"/>
  <c r="K337" i="6"/>
  <c r="N337" i="6" a="1"/>
  <c r="O337" i="6"/>
  <c r="P337" i="6"/>
  <c r="Q337" i="6"/>
  <c r="A338" i="6"/>
  <c r="B338" i="6"/>
  <c r="C338" i="6"/>
  <c r="F338" i="6"/>
  <c r="J338" i="6"/>
  <c r="K338" i="6"/>
  <c r="N338" i="6" a="1"/>
  <c r="O338" i="6"/>
  <c r="P338" i="6"/>
  <c r="Q338" i="6"/>
  <c r="AA338" i="6" s="1"/>
  <c r="A339" i="6"/>
  <c r="B339" i="6"/>
  <c r="C339" i="6"/>
  <c r="F339" i="6"/>
  <c r="I339" i="6" s="1"/>
  <c r="J339" i="6"/>
  <c r="K339" i="6"/>
  <c r="N339" i="6" a="1"/>
  <c r="O339" i="6"/>
  <c r="P339" i="6"/>
  <c r="Q339" i="6"/>
  <c r="A340" i="6"/>
  <c r="B340" i="6"/>
  <c r="C340" i="6"/>
  <c r="F340" i="6"/>
  <c r="J340" i="6"/>
  <c r="K340" i="6"/>
  <c r="N340" i="6" a="1"/>
  <c r="O340" i="6"/>
  <c r="P340" i="6"/>
  <c r="Q340" i="6"/>
  <c r="A341" i="6"/>
  <c r="B341" i="6"/>
  <c r="C341" i="6"/>
  <c r="F341" i="6"/>
  <c r="I341" i="6" s="1"/>
  <c r="J341" i="6"/>
  <c r="K341" i="6"/>
  <c r="N341" i="6" a="1"/>
  <c r="O341" i="6"/>
  <c r="P341" i="6"/>
  <c r="Q341" i="6"/>
  <c r="A342" i="6"/>
  <c r="B342" i="6"/>
  <c r="C342" i="6"/>
  <c r="F342" i="6"/>
  <c r="J342" i="6"/>
  <c r="K342" i="6"/>
  <c r="N342" i="6" a="1"/>
  <c r="O342" i="6"/>
  <c r="P342" i="6"/>
  <c r="Q342" i="6"/>
  <c r="AA342" i="6"/>
  <c r="A343" i="6"/>
  <c r="B343" i="6"/>
  <c r="C343" i="6"/>
  <c r="F343" i="6"/>
  <c r="G343" i="6" s="1"/>
  <c r="J343" i="6"/>
  <c r="K343" i="6"/>
  <c r="N343" i="6" a="1"/>
  <c r="O343" i="6"/>
  <c r="P343" i="6"/>
  <c r="Q343" i="6"/>
  <c r="A344" i="6"/>
  <c r="B344" i="6"/>
  <c r="C344" i="6"/>
  <c r="F344" i="6"/>
  <c r="I344" i="6" s="1"/>
  <c r="J344" i="6"/>
  <c r="K344" i="6"/>
  <c r="N344" i="6" a="1"/>
  <c r="O344" i="6"/>
  <c r="P344" i="6"/>
  <c r="Q344" i="6"/>
  <c r="A345" i="6"/>
  <c r="B345" i="6"/>
  <c r="C345" i="6"/>
  <c r="F345" i="6"/>
  <c r="I345" i="6" s="1"/>
  <c r="H345" i="6"/>
  <c r="J345" i="6"/>
  <c r="K345" i="6"/>
  <c r="N345" i="6" a="1"/>
  <c r="O345" i="6"/>
  <c r="P345" i="6"/>
  <c r="Q345" i="6"/>
  <c r="A346" i="6"/>
  <c r="B346" i="6"/>
  <c r="C346" i="6"/>
  <c r="F346" i="6"/>
  <c r="J346" i="6"/>
  <c r="K346" i="6"/>
  <c r="N346" i="6" a="1"/>
  <c r="O346" i="6"/>
  <c r="P346" i="6"/>
  <c r="Q346" i="6"/>
  <c r="A347" i="6"/>
  <c r="B347" i="6"/>
  <c r="C347" i="6"/>
  <c r="F347" i="6"/>
  <c r="J347" i="6"/>
  <c r="K347" i="6"/>
  <c r="N347" i="6" a="1"/>
  <c r="O347" i="6"/>
  <c r="P347" i="6"/>
  <c r="Q347" i="6"/>
  <c r="AA347" i="6"/>
  <c r="A348" i="6"/>
  <c r="B348" i="6"/>
  <c r="C348" i="6"/>
  <c r="F348" i="6"/>
  <c r="I348" i="6" s="1"/>
  <c r="J348" i="6"/>
  <c r="K348" i="6"/>
  <c r="N348" i="6" a="1"/>
  <c r="O348" i="6"/>
  <c r="P348" i="6"/>
  <c r="Q348" i="6"/>
  <c r="A349" i="6"/>
  <c r="B349" i="6"/>
  <c r="C349" i="6"/>
  <c r="F349" i="6"/>
  <c r="G349" i="6"/>
  <c r="J349" i="6"/>
  <c r="K349" i="6"/>
  <c r="N349" i="6" a="1"/>
  <c r="O349" i="6"/>
  <c r="P349" i="6"/>
  <c r="Q349" i="6"/>
  <c r="A350" i="6"/>
  <c r="B350" i="6"/>
  <c r="C350" i="6"/>
  <c r="F350" i="6"/>
  <c r="I350" i="6" s="1"/>
  <c r="J350" i="6"/>
  <c r="K350" i="6"/>
  <c r="N350" i="6" a="1"/>
  <c r="O350" i="6"/>
  <c r="P350" i="6"/>
  <c r="Q350" i="6"/>
  <c r="A351" i="6"/>
  <c r="B351" i="6"/>
  <c r="C351" i="6"/>
  <c r="F351" i="6"/>
  <c r="J351" i="6"/>
  <c r="K351" i="6"/>
  <c r="N351" i="6" a="1"/>
  <c r="O351" i="6"/>
  <c r="P351" i="6"/>
  <c r="Q351" i="6"/>
  <c r="AA351" i="6"/>
  <c r="A352" i="6"/>
  <c r="B352" i="6"/>
  <c r="C352" i="6"/>
  <c r="F352" i="6"/>
  <c r="J352" i="6"/>
  <c r="K352" i="6"/>
  <c r="N352" i="6" a="1"/>
  <c r="O352" i="6"/>
  <c r="P352" i="6"/>
  <c r="Q352" i="6"/>
  <c r="A353" i="6"/>
  <c r="B353" i="6"/>
  <c r="C353" i="6"/>
  <c r="F353" i="6"/>
  <c r="I353" i="6" s="1"/>
  <c r="J353" i="6"/>
  <c r="K353" i="6"/>
  <c r="N353" i="6" a="1"/>
  <c r="O353" i="6"/>
  <c r="P353" i="6"/>
  <c r="Q353" i="6"/>
  <c r="A354" i="6"/>
  <c r="B354" i="6"/>
  <c r="C354" i="6"/>
  <c r="F354" i="6"/>
  <c r="J354" i="6"/>
  <c r="K354" i="6"/>
  <c r="N354" i="6" a="1"/>
  <c r="O354" i="6"/>
  <c r="P354" i="6"/>
  <c r="Q354" i="6"/>
  <c r="A355" i="6"/>
  <c r="B355" i="6"/>
  <c r="C355" i="6"/>
  <c r="F355" i="6"/>
  <c r="J355" i="6"/>
  <c r="K355" i="6"/>
  <c r="N355" i="6" a="1"/>
  <c r="O355" i="6"/>
  <c r="P355" i="6"/>
  <c r="Q355" i="6"/>
  <c r="AA355" i="6"/>
  <c r="A356" i="6"/>
  <c r="B356" i="6"/>
  <c r="C356" i="6"/>
  <c r="F356" i="6"/>
  <c r="J356" i="6"/>
  <c r="K356" i="6"/>
  <c r="N356" i="6" a="1"/>
  <c r="O356" i="6"/>
  <c r="P356" i="6"/>
  <c r="Q356" i="6"/>
  <c r="A357" i="6"/>
  <c r="B357" i="6"/>
  <c r="C357" i="6"/>
  <c r="F357" i="6"/>
  <c r="I357" i="6" s="1"/>
  <c r="J357" i="6"/>
  <c r="K357" i="6"/>
  <c r="N357" i="6" a="1"/>
  <c r="O357" i="6"/>
  <c r="P357" i="6"/>
  <c r="Q357" i="6"/>
  <c r="A358" i="6"/>
  <c r="B358" i="6"/>
  <c r="C358" i="6"/>
  <c r="F358" i="6"/>
  <c r="J358" i="6"/>
  <c r="K358" i="6"/>
  <c r="N358" i="6" a="1"/>
  <c r="O358" i="6"/>
  <c r="P358" i="6"/>
  <c r="Q358" i="6"/>
  <c r="A359" i="6"/>
  <c r="B359" i="6"/>
  <c r="C359" i="6"/>
  <c r="F359" i="6"/>
  <c r="I359" i="6" s="1"/>
  <c r="J359" i="6"/>
  <c r="K359" i="6"/>
  <c r="N359" i="6" a="1"/>
  <c r="O359" i="6"/>
  <c r="P359" i="6"/>
  <c r="Q359" i="6"/>
  <c r="A360" i="6"/>
  <c r="B360" i="6"/>
  <c r="C360" i="6"/>
  <c r="F360" i="6"/>
  <c r="J360" i="6"/>
  <c r="K360" i="6"/>
  <c r="N360" i="6" a="1"/>
  <c r="O360" i="6"/>
  <c r="P360" i="6"/>
  <c r="Q360" i="6"/>
  <c r="AA360" i="6" s="1"/>
  <c r="A361" i="6"/>
  <c r="B361" i="6"/>
  <c r="C361" i="6"/>
  <c r="F361" i="6"/>
  <c r="J361" i="6"/>
  <c r="K361" i="6"/>
  <c r="N361" i="6" a="1"/>
  <c r="O361" i="6"/>
  <c r="P361" i="6"/>
  <c r="Q361" i="6"/>
  <c r="A362" i="6"/>
  <c r="B362" i="6"/>
  <c r="C362" i="6"/>
  <c r="F362" i="6"/>
  <c r="I362" i="6" s="1"/>
  <c r="J362" i="6"/>
  <c r="K362" i="6"/>
  <c r="N362" i="6" a="1"/>
  <c r="O362" i="6"/>
  <c r="P362" i="6"/>
  <c r="Q362" i="6"/>
  <c r="A363" i="6"/>
  <c r="B363" i="6"/>
  <c r="C363" i="6"/>
  <c r="F363" i="6"/>
  <c r="J363" i="6"/>
  <c r="K363" i="6"/>
  <c r="N363" i="6" a="1"/>
  <c r="O363" i="6"/>
  <c r="P363" i="6"/>
  <c r="Q363" i="6"/>
  <c r="A364" i="6"/>
  <c r="B364" i="6"/>
  <c r="C364" i="6"/>
  <c r="F364" i="6"/>
  <c r="G364" i="6" s="1"/>
  <c r="J364" i="6"/>
  <c r="K364" i="6"/>
  <c r="N364" i="6" a="1"/>
  <c r="O364" i="6"/>
  <c r="P364" i="6"/>
  <c r="Q364" i="6"/>
  <c r="A365" i="6"/>
  <c r="B365" i="6"/>
  <c r="C365" i="6"/>
  <c r="F365" i="6"/>
  <c r="G365" i="6" s="1"/>
  <c r="J365" i="6"/>
  <c r="K365" i="6"/>
  <c r="N365" i="6" a="1"/>
  <c r="O365" i="6"/>
  <c r="P365" i="6"/>
  <c r="Q365" i="6"/>
  <c r="A366" i="6"/>
  <c r="B366" i="6"/>
  <c r="C366" i="6"/>
  <c r="F366" i="6"/>
  <c r="J366" i="6"/>
  <c r="K366" i="6"/>
  <c r="N366" i="6" a="1"/>
  <c r="O366" i="6"/>
  <c r="P366" i="6"/>
  <c r="Q366" i="6"/>
  <c r="A367" i="6"/>
  <c r="B367" i="6"/>
  <c r="C367" i="6"/>
  <c r="F367" i="6"/>
  <c r="J367" i="6"/>
  <c r="K367" i="6"/>
  <c r="N367" i="6" a="1"/>
  <c r="O367" i="6"/>
  <c r="P367" i="6"/>
  <c r="Q367" i="6"/>
  <c r="A368" i="6"/>
  <c r="B368" i="6"/>
  <c r="C368" i="6"/>
  <c r="F368" i="6"/>
  <c r="G368" i="6" s="1"/>
  <c r="J368" i="6"/>
  <c r="K368" i="6"/>
  <c r="N368" i="6" a="1"/>
  <c r="O368" i="6"/>
  <c r="P368" i="6"/>
  <c r="Q368" i="6"/>
  <c r="A369" i="6"/>
  <c r="B369" i="6"/>
  <c r="C369" i="6"/>
  <c r="F369" i="6"/>
  <c r="H369" i="6" s="1"/>
  <c r="G369" i="6"/>
  <c r="J369" i="6"/>
  <c r="K369" i="6"/>
  <c r="N369" i="6" a="1"/>
  <c r="O369" i="6"/>
  <c r="P369" i="6"/>
  <c r="Q369" i="6"/>
  <c r="AA369" i="6"/>
  <c r="A370" i="6"/>
  <c r="B370" i="6"/>
  <c r="C370" i="6"/>
  <c r="F370" i="6"/>
  <c r="H370" i="6" s="1"/>
  <c r="J370" i="6"/>
  <c r="K370" i="6"/>
  <c r="N370" i="6" a="1"/>
  <c r="O370" i="6"/>
  <c r="P370" i="6"/>
  <c r="Q370" i="6"/>
  <c r="A371" i="6"/>
  <c r="B371" i="6"/>
  <c r="C371" i="6"/>
  <c r="F371" i="6"/>
  <c r="J371" i="6"/>
  <c r="K371" i="6"/>
  <c r="N371" i="6" a="1"/>
  <c r="O371" i="6"/>
  <c r="P371" i="6"/>
  <c r="Q371" i="6"/>
  <c r="A372" i="6"/>
  <c r="B372" i="6"/>
  <c r="C372" i="6"/>
  <c r="F372" i="6"/>
  <c r="J372" i="6"/>
  <c r="K372" i="6"/>
  <c r="N372" i="6" a="1"/>
  <c r="O372" i="6"/>
  <c r="P372" i="6"/>
  <c r="Q372" i="6"/>
  <c r="A373" i="6"/>
  <c r="B373" i="6"/>
  <c r="C373" i="6"/>
  <c r="F373" i="6"/>
  <c r="H373" i="6" s="1"/>
  <c r="J373" i="6"/>
  <c r="K373" i="6"/>
  <c r="N373" i="6" a="1"/>
  <c r="O373" i="6"/>
  <c r="P373" i="6"/>
  <c r="Q373" i="6"/>
  <c r="A374" i="6"/>
  <c r="B374" i="6"/>
  <c r="C374" i="6"/>
  <c r="F374" i="6"/>
  <c r="J374" i="6"/>
  <c r="K374" i="6"/>
  <c r="N374" i="6" a="1"/>
  <c r="O374" i="6"/>
  <c r="P374" i="6"/>
  <c r="Q374" i="6"/>
  <c r="A375" i="6"/>
  <c r="B375" i="6"/>
  <c r="C375" i="6"/>
  <c r="F375" i="6"/>
  <c r="G375" i="6" s="1"/>
  <c r="J375" i="6"/>
  <c r="K375" i="6"/>
  <c r="N375" i="6" a="1"/>
  <c r="O375" i="6"/>
  <c r="P375" i="6"/>
  <c r="Q375" i="6"/>
  <c r="AA375" i="6" s="1"/>
  <c r="A376" i="6"/>
  <c r="B376" i="6"/>
  <c r="C376" i="6"/>
  <c r="F376" i="6"/>
  <c r="H376" i="6" s="1"/>
  <c r="J376" i="6"/>
  <c r="K376" i="6"/>
  <c r="N376" i="6" a="1"/>
  <c r="O376" i="6"/>
  <c r="P376" i="6"/>
  <c r="Q376" i="6"/>
  <c r="A377" i="6"/>
  <c r="B377" i="6"/>
  <c r="C377" i="6"/>
  <c r="F377" i="6"/>
  <c r="G377" i="6" s="1"/>
  <c r="J377" i="6"/>
  <c r="K377" i="6"/>
  <c r="N377" i="6" a="1"/>
  <c r="O377" i="6"/>
  <c r="P377" i="6"/>
  <c r="Q377" i="6"/>
  <c r="A378" i="6"/>
  <c r="B378" i="6"/>
  <c r="C378" i="6"/>
  <c r="F378" i="6"/>
  <c r="J378" i="6"/>
  <c r="K378" i="6"/>
  <c r="N378" i="6" a="1"/>
  <c r="O378" i="6"/>
  <c r="P378" i="6"/>
  <c r="Q378" i="6"/>
  <c r="AA378" i="6" s="1"/>
  <c r="A379" i="6"/>
  <c r="B379" i="6"/>
  <c r="C379" i="6"/>
  <c r="F379" i="6"/>
  <c r="H379" i="6" s="1"/>
  <c r="J379" i="6"/>
  <c r="K379" i="6"/>
  <c r="N379" i="6" a="1"/>
  <c r="O379" i="6"/>
  <c r="P379" i="6"/>
  <c r="Q379" i="6"/>
  <c r="A380" i="6"/>
  <c r="B380" i="6"/>
  <c r="C380" i="6"/>
  <c r="F380" i="6"/>
  <c r="J380" i="6"/>
  <c r="K380" i="6"/>
  <c r="N380" i="6" a="1"/>
  <c r="O380" i="6"/>
  <c r="P380" i="6"/>
  <c r="Q380" i="6"/>
  <c r="A381" i="6"/>
  <c r="B381" i="6"/>
  <c r="C381" i="6"/>
  <c r="F381" i="6"/>
  <c r="H381" i="6"/>
  <c r="J381" i="6"/>
  <c r="K381" i="6"/>
  <c r="N381" i="6" a="1"/>
  <c r="O381" i="6"/>
  <c r="P381" i="6"/>
  <c r="Q381" i="6"/>
  <c r="A382" i="6"/>
  <c r="B382" i="6"/>
  <c r="C382" i="6"/>
  <c r="F382" i="6"/>
  <c r="H382" i="6" s="1"/>
  <c r="J382" i="6"/>
  <c r="K382" i="6"/>
  <c r="N382" i="6" a="1"/>
  <c r="O382" i="6"/>
  <c r="P382" i="6"/>
  <c r="Q382" i="6"/>
  <c r="A383" i="6"/>
  <c r="B383" i="6"/>
  <c r="C383" i="6"/>
  <c r="F383" i="6"/>
  <c r="G383" i="6" s="1"/>
  <c r="J383" i="6"/>
  <c r="K383" i="6"/>
  <c r="N383" i="6" a="1"/>
  <c r="O383" i="6"/>
  <c r="P383" i="6"/>
  <c r="Q383" i="6"/>
  <c r="A384" i="6"/>
  <c r="B384" i="6"/>
  <c r="C384" i="6"/>
  <c r="F384" i="6"/>
  <c r="H384" i="6"/>
  <c r="J384" i="6"/>
  <c r="K384" i="6"/>
  <c r="N384" i="6" a="1"/>
  <c r="O384" i="6"/>
  <c r="P384" i="6"/>
  <c r="Q384" i="6"/>
  <c r="AA384" i="6" s="1"/>
  <c r="A385" i="6"/>
  <c r="B385" i="6"/>
  <c r="C385" i="6"/>
  <c r="F385" i="6"/>
  <c r="H385" i="6" s="1"/>
  <c r="J385" i="6"/>
  <c r="K385" i="6"/>
  <c r="N385" i="6" a="1"/>
  <c r="O385" i="6"/>
  <c r="P385" i="6"/>
  <c r="Q385" i="6"/>
  <c r="A386" i="6"/>
  <c r="B386" i="6"/>
  <c r="C386" i="6"/>
  <c r="F386" i="6"/>
  <c r="J386" i="6"/>
  <c r="K386" i="6"/>
  <c r="N386" i="6" a="1"/>
  <c r="O386" i="6"/>
  <c r="P386" i="6"/>
  <c r="Q386" i="6"/>
  <c r="A387" i="6"/>
  <c r="B387" i="6"/>
  <c r="C387" i="6"/>
  <c r="F387" i="6"/>
  <c r="J387" i="6"/>
  <c r="K387" i="6"/>
  <c r="N387" i="6" a="1"/>
  <c r="O387" i="6"/>
  <c r="P387" i="6"/>
  <c r="Q387" i="6"/>
  <c r="AA387" i="6"/>
  <c r="A35" i="3" a="1"/>
  <c r="A36" i="3" a="1"/>
  <c r="A37" i="3" a="1"/>
  <c r="A37" i="6" s="1"/>
  <c r="A38" i="3" a="1"/>
  <c r="A38" i="6" s="1"/>
  <c r="A39" i="3" a="1"/>
  <c r="A40" i="3" a="1"/>
  <c r="A41" i="3" a="1"/>
  <c r="A42" i="3" a="1"/>
  <c r="A43" i="3" a="1"/>
  <c r="A43" i="6" s="1"/>
  <c r="A44" i="3" a="1"/>
  <c r="A45" i="3" a="1"/>
  <c r="A46" i="3" a="1"/>
  <c r="A47" i="3" a="1"/>
  <c r="A47" i="6" s="1"/>
  <c r="A48" i="3" a="1"/>
  <c r="A48" i="6" s="1"/>
  <c r="A49" i="3" a="1"/>
  <c r="A49" i="6" s="1"/>
  <c r="A50" i="3" a="1"/>
  <c r="A50" i="6" s="1"/>
  <c r="A51" i="3" a="1"/>
  <c r="A51" i="6" s="1"/>
  <c r="A52" i="3" a="1"/>
  <c r="A52" i="6" s="1"/>
  <c r="A53" i="3" a="1"/>
  <c r="A53" i="6" s="1"/>
  <c r="A54" i="3" a="1"/>
  <c r="A54" i="6" s="1"/>
  <c r="A55" i="3" a="1"/>
  <c r="A55" i="6" s="1"/>
  <c r="A56" i="3" a="1"/>
  <c r="A56" i="6" s="1"/>
  <c r="A57" i="3" a="1"/>
  <c r="A57" i="6" s="1"/>
  <c r="A58" i="3" a="1"/>
  <c r="A58" i="6" s="1"/>
  <c r="A59" i="3" a="1"/>
  <c r="A59" i="6" s="1"/>
  <c r="A60" i="3" a="1"/>
  <c r="A60" i="6" s="1"/>
  <c r="A61" i="3" a="1"/>
  <c r="A61" i="6" s="1"/>
  <c r="A62" i="3" a="1"/>
  <c r="A62" i="6" s="1"/>
  <c r="A63" i="3" a="1"/>
  <c r="A63" i="6" s="1"/>
  <c r="A64" i="3" a="1"/>
  <c r="A64" i="6" s="1"/>
  <c r="A65" i="3" a="1"/>
  <c r="A65" i="6" s="1"/>
  <c r="A66" i="3" a="1"/>
  <c r="A66" i="6" s="1"/>
  <c r="A67" i="3" a="1"/>
  <c r="A67" i="6" s="1"/>
  <c r="A68" i="3" a="1"/>
  <c r="A68" i="6" s="1"/>
  <c r="A69" i="3" a="1"/>
  <c r="A69" i="6" s="1"/>
  <c r="A70" i="3" a="1"/>
  <c r="A70" i="6" s="1"/>
  <c r="A71" i="3" a="1"/>
  <c r="A71" i="6" s="1"/>
  <c r="A72" i="3" a="1"/>
  <c r="A72" i="6" s="1"/>
  <c r="A73" i="3" a="1"/>
  <c r="A73" i="6" s="1"/>
  <c r="A74" i="3" a="1"/>
  <c r="A74" i="6" s="1"/>
  <c r="A75" i="3" a="1"/>
  <c r="A75" i="6" s="1"/>
  <c r="A76" i="3" a="1"/>
  <c r="A76" i="6" s="1"/>
  <c r="A77" i="3" a="1"/>
  <c r="A77" i="6" s="1"/>
  <c r="A78" i="3" a="1"/>
  <c r="A78" i="6" s="1"/>
  <c r="A79" i="3" a="1"/>
  <c r="A79" i="6" s="1"/>
  <c r="A80" i="3" a="1"/>
  <c r="A80" i="6" s="1"/>
  <c r="A81" i="3" a="1"/>
  <c r="A81" i="6" s="1"/>
  <c r="A82" i="3" a="1"/>
  <c r="A82" i="6" s="1"/>
  <c r="A83" i="3" a="1"/>
  <c r="A83" i="6" s="1"/>
  <c r="A84" i="3" a="1"/>
  <c r="A84" i="6" s="1"/>
  <c r="A85" i="3" a="1"/>
  <c r="A85" i="6" s="1"/>
  <c r="A86" i="3" a="1"/>
  <c r="A86" i="6" s="1"/>
  <c r="A87" i="3" a="1"/>
  <c r="A87" i="6" s="1"/>
  <c r="A88" i="3" a="1"/>
  <c r="A88" i="6" s="1"/>
  <c r="A89" i="3" a="1"/>
  <c r="A89" i="6" s="1"/>
  <c r="A90" i="3" a="1"/>
  <c r="A90" i="6" s="1"/>
  <c r="A91" i="3" a="1"/>
  <c r="A91" i="6" s="1"/>
  <c r="A92" i="3" a="1"/>
  <c r="A92" i="6" s="1"/>
  <c r="A93" i="3" a="1"/>
  <c r="A93" i="6" s="1"/>
  <c r="A94" i="3" a="1"/>
  <c r="A94" i="6" s="1"/>
  <c r="A95" i="3" a="1"/>
  <c r="A95" i="6" s="1"/>
  <c r="A96" i="3" a="1"/>
  <c r="A96" i="6" s="1"/>
  <c r="A97" i="3" a="1"/>
  <c r="A97" i="6" s="1"/>
  <c r="A98" i="3" a="1"/>
  <c r="A98" i="6" s="1"/>
  <c r="A99" i="3" a="1"/>
  <c r="A99" i="6" s="1"/>
  <c r="A100" i="3" a="1"/>
  <c r="A100" i="6" s="1"/>
  <c r="A101" i="3" a="1"/>
  <c r="A101" i="6" s="1"/>
  <c r="A102" i="3" a="1"/>
  <c r="A102" i="6" s="1"/>
  <c r="A103" i="3" a="1"/>
  <c r="A103" i="6" s="1"/>
  <c r="A104" i="3" a="1"/>
  <c r="A104" i="6" s="1"/>
  <c r="A105" i="3" a="1"/>
  <c r="A105" i="6" s="1"/>
  <c r="A106" i="3" a="1"/>
  <c r="A106" i="6" s="1"/>
  <c r="A107" i="3" a="1"/>
  <c r="A107" i="6" s="1"/>
  <c r="A108" i="3" a="1"/>
  <c r="A108" i="6" s="1"/>
  <c r="A109" i="3" a="1"/>
  <c r="A109" i="6" s="1"/>
  <c r="A110" i="3" a="1"/>
  <c r="A110" i="6" s="1"/>
  <c r="A111" i="3" a="1"/>
  <c r="A111" i="6" s="1"/>
  <c r="A112" i="3" a="1"/>
  <c r="A112" i="6" s="1"/>
  <c r="A113" i="3" a="1"/>
  <c r="A113" i="6" s="1"/>
  <c r="A114" i="3" a="1"/>
  <c r="A114" i="6" s="1"/>
  <c r="A115" i="3" a="1"/>
  <c r="A115" i="6" s="1"/>
  <c r="A116" i="3" a="1"/>
  <c r="A116" i="6" s="1"/>
  <c r="A117" i="3" a="1"/>
  <c r="A117" i="6" s="1"/>
  <c r="A118" i="3" a="1"/>
  <c r="A118" i="6" s="1"/>
  <c r="A119" i="3" a="1"/>
  <c r="A119" i="6" s="1"/>
  <c r="A120" i="3" a="1"/>
  <c r="A120" i="6" s="1"/>
  <c r="A121" i="3" a="1"/>
  <c r="A121" i="6" s="1"/>
  <c r="A122" i="3" a="1"/>
  <c r="A122" i="6" s="1"/>
  <c r="A123" i="3" a="1"/>
  <c r="A123" i="6" s="1"/>
  <c r="A124" i="3" a="1"/>
  <c r="A124" i="6" s="1"/>
  <c r="A125" i="3" a="1"/>
  <c r="A125" i="6" s="1"/>
  <c r="A126" i="3" a="1"/>
  <c r="A126" i="6" s="1"/>
  <c r="A127" i="3" a="1"/>
  <c r="A127" i="6" s="1"/>
  <c r="A128" i="3" a="1"/>
  <c r="A128" i="6" s="1"/>
  <c r="A129" i="3" a="1"/>
  <c r="A129" i="6" s="1"/>
  <c r="A130" i="3" a="1"/>
  <c r="A130" i="6" s="1"/>
  <c r="A131" i="3" a="1"/>
  <c r="A131" i="6" s="1"/>
  <c r="A132" i="3" a="1"/>
  <c r="A132" i="6" s="1"/>
  <c r="A133" i="3" a="1"/>
  <c r="A133" i="6" s="1"/>
  <c r="A134" i="3" a="1"/>
  <c r="A134" i="6" s="1"/>
  <c r="A135" i="3" a="1"/>
  <c r="A135" i="6" s="1"/>
  <c r="A136" i="3" a="1"/>
  <c r="A136" i="6" s="1"/>
  <c r="A137" i="3" a="1"/>
  <c r="A137" i="6" s="1"/>
  <c r="A138" i="3" a="1"/>
  <c r="A138" i="6" s="1"/>
  <c r="A139" i="3" a="1"/>
  <c r="A139" i="6" s="1"/>
  <c r="A140" i="3" a="1"/>
  <c r="A140" i="6" s="1"/>
  <c r="A141" i="3" a="1"/>
  <c r="A141" i="6" s="1"/>
  <c r="A142" i="3" a="1"/>
  <c r="A142" i="6" s="1"/>
  <c r="A143" i="3" a="1"/>
  <c r="A143" i="6" s="1"/>
  <c r="A144" i="3" a="1"/>
  <c r="A144" i="6" s="1"/>
  <c r="A145" i="3" a="1"/>
  <c r="A145" i="6" s="1"/>
  <c r="A146" i="3" a="1"/>
  <c r="A146" i="6" s="1"/>
  <c r="A147" i="3" a="1"/>
  <c r="A147" i="6" s="1"/>
  <c r="A148" i="3" a="1"/>
  <c r="A148" i="6" s="1"/>
  <c r="A149" i="3" a="1"/>
  <c r="A149" i="6" s="1"/>
  <c r="A150" i="3" a="1"/>
  <c r="A150" i="6" s="1"/>
  <c r="A151" i="3" a="1"/>
  <c r="A151" i="6" s="1"/>
  <c r="A152" i="3" a="1"/>
  <c r="A152" i="6" s="1"/>
  <c r="A153" i="3" a="1"/>
  <c r="A153" i="6" s="1"/>
  <c r="A154" i="3" a="1"/>
  <c r="A154" i="6" s="1"/>
  <c r="A155" i="3" a="1"/>
  <c r="A155" i="6" s="1"/>
  <c r="A156" i="3" a="1"/>
  <c r="A156" i="6" s="1"/>
  <c r="A157" i="3" a="1"/>
  <c r="A157" i="6" s="1"/>
  <c r="A158" i="3" a="1"/>
  <c r="A158" i="6" s="1"/>
  <c r="A159" i="3" a="1"/>
  <c r="A159" i="6" s="1"/>
  <c r="A160" i="3" a="1"/>
  <c r="A160" i="6" s="1"/>
  <c r="A161" i="3" a="1"/>
  <c r="A161" i="6" s="1"/>
  <c r="A162" i="3" a="1"/>
  <c r="A162" i="6" s="1"/>
  <c r="A163" i="3" a="1"/>
  <c r="A163" i="6" s="1"/>
  <c r="A164" i="3" a="1"/>
  <c r="A164" i="6" s="1"/>
  <c r="A165" i="3" a="1"/>
  <c r="A165" i="6" s="1"/>
  <c r="A166" i="3" a="1"/>
  <c r="A166" i="6" s="1"/>
  <c r="A167" i="3" a="1"/>
  <c r="A167" i="6" s="1"/>
  <c r="A168" i="3" a="1"/>
  <c r="A168" i="6" s="1"/>
  <c r="A169" i="3" a="1"/>
  <c r="A169" i="6" s="1"/>
  <c r="A170" i="3" a="1"/>
  <c r="A170" i="6" s="1"/>
  <c r="A171" i="3" a="1"/>
  <c r="A171" i="6" s="1"/>
  <c r="A172" i="3" a="1"/>
  <c r="A172" i="6" s="1"/>
  <c r="A173" i="3" a="1"/>
  <c r="A173" i="6" s="1"/>
  <c r="A174" i="3" a="1"/>
  <c r="A174" i="6" s="1"/>
  <c r="A175" i="3" a="1"/>
  <c r="A175" i="6" s="1"/>
  <c r="A176" i="3" a="1"/>
  <c r="A176" i="6" s="1"/>
  <c r="A177" i="3" a="1"/>
  <c r="A177" i="6" s="1"/>
  <c r="A178" i="3" a="1"/>
  <c r="A178" i="6" s="1"/>
  <c r="A179" i="3" a="1"/>
  <c r="A179" i="6" s="1"/>
  <c r="A180" i="3" a="1"/>
  <c r="A180" i="6" s="1"/>
  <c r="A181" i="3" a="1"/>
  <c r="A181" i="6" s="1"/>
  <c r="A182" i="3" a="1"/>
  <c r="A182" i="6" s="1"/>
  <c r="A183" i="3" a="1"/>
  <c r="A183" i="6" s="1"/>
  <c r="A184" i="3" a="1"/>
  <c r="A184" i="6" s="1"/>
  <c r="A185" i="3" a="1"/>
  <c r="A185" i="6" s="1"/>
  <c r="A186" i="3" a="1"/>
  <c r="A186" i="6" s="1"/>
  <c r="A187" i="3" a="1"/>
  <c r="A187" i="6" s="1"/>
  <c r="A188" i="3" a="1"/>
  <c r="A188" i="6" s="1"/>
  <c r="A189" i="3" a="1"/>
  <c r="A189" i="6" s="1"/>
  <c r="A190" i="3" a="1"/>
  <c r="A190" i="6" s="1"/>
  <c r="A191" i="3" a="1"/>
  <c r="A191" i="6" s="1"/>
  <c r="A192" i="3" a="1"/>
  <c r="A192" i="6" s="1"/>
  <c r="A193" i="3" a="1"/>
  <c r="A193" i="6" s="1"/>
  <c r="A194" i="3" a="1"/>
  <c r="A194" i="6" s="1"/>
  <c r="A195" i="3" a="1"/>
  <c r="A195" i="6" s="1"/>
  <c r="A196" i="3" a="1"/>
  <c r="A196" i="6" s="1"/>
  <c r="A197" i="3" a="1"/>
  <c r="A197" i="6" s="1"/>
  <c r="A198" i="3" a="1"/>
  <c r="A198" i="6" s="1"/>
  <c r="A199" i="3" a="1"/>
  <c r="A199" i="6" s="1"/>
  <c r="A200" i="3" a="1"/>
  <c r="A200" i="6" s="1"/>
  <c r="A201" i="3" a="1"/>
  <c r="A201" i="6" s="1"/>
  <c r="A202" i="3" a="1"/>
  <c r="A202" i="6" s="1"/>
  <c r="A203" i="3" a="1"/>
  <c r="A203" i="6" s="1"/>
  <c r="A204" i="3" a="1"/>
  <c r="A204" i="6" s="1"/>
  <c r="A205" i="3" a="1"/>
  <c r="A205" i="6" s="1"/>
  <c r="A206" i="3" a="1"/>
  <c r="A206" i="6" s="1"/>
  <c r="A207" i="3" a="1"/>
  <c r="A207" i="6" s="1"/>
  <c r="A208" i="3" a="1"/>
  <c r="A208" i="6" s="1"/>
  <c r="A209" i="3" a="1"/>
  <c r="A209" i="6" s="1"/>
  <c r="A210" i="3" a="1"/>
  <c r="A210" i="6" s="1"/>
  <c r="A211" i="3" a="1"/>
  <c r="A211" i="6" s="1"/>
  <c r="A212" i="3" a="1"/>
  <c r="A212" i="6" s="1"/>
  <c r="A213" i="3" a="1"/>
  <c r="A213" i="6" s="1"/>
  <c r="A214" i="3" a="1"/>
  <c r="A214" i="6" s="1"/>
  <c r="A215" i="3" a="1"/>
  <c r="A215" i="6" s="1"/>
  <c r="A216" i="3" a="1"/>
  <c r="A216" i="6" s="1"/>
  <c r="A217" i="3" a="1"/>
  <c r="A217" i="6" s="1"/>
  <c r="A218" i="3" a="1"/>
  <c r="A218" i="6" s="1"/>
  <c r="A219" i="3" a="1"/>
  <c r="A219" i="6" s="1"/>
  <c r="A220" i="3" a="1"/>
  <c r="A220" i="6" s="1"/>
  <c r="A221" i="3" a="1"/>
  <c r="A221" i="6" s="1"/>
  <c r="A222" i="3" a="1"/>
  <c r="A222" i="6" s="1"/>
  <c r="A223" i="3" a="1"/>
  <c r="A223" i="6" s="1"/>
  <c r="A224" i="3" a="1"/>
  <c r="A224" i="6" s="1"/>
  <c r="A225" i="3" a="1"/>
  <c r="A225" i="6" s="1"/>
  <c r="A226" i="3" a="1"/>
  <c r="A226" i="6" s="1"/>
  <c r="A227" i="3" a="1"/>
  <c r="A227" i="6" s="1"/>
  <c r="A228" i="3" a="1"/>
  <c r="A228" i="6" s="1"/>
  <c r="A229" i="3" a="1"/>
  <c r="A229" i="6" s="1"/>
  <c r="A230" i="3" a="1"/>
  <c r="A230" i="6" s="1"/>
  <c r="A231" i="3" a="1"/>
  <c r="A231" i="6" s="1"/>
  <c r="A232" i="3" a="1"/>
  <c r="A232" i="6" s="1"/>
  <c r="A233" i="3" a="1"/>
  <c r="A233" i="6" s="1"/>
  <c r="A234" i="3" a="1"/>
  <c r="A234" i="6" s="1"/>
  <c r="A235" i="3" a="1"/>
  <c r="A235" i="6" s="1"/>
  <c r="A236" i="3" a="1"/>
  <c r="A236" i="6" s="1"/>
  <c r="A237" i="3" a="1"/>
  <c r="A237" i="6" s="1"/>
  <c r="A238" i="3" a="1"/>
  <c r="A238" i="6" s="1"/>
  <c r="A239" i="3" a="1"/>
  <c r="A239" i="6" s="1"/>
  <c r="A240" i="3" a="1"/>
  <c r="A240" i="6" s="1"/>
  <c r="A241" i="3" a="1"/>
  <c r="A241" i="6" s="1"/>
  <c r="A242" i="3" a="1"/>
  <c r="A242" i="6" s="1"/>
  <c r="A243" i="3" a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B219" i="1" s="1"/>
  <c r="A220" i="1"/>
  <c r="A221" i="1"/>
  <c r="A222" i="1"/>
  <c r="A223" i="1"/>
  <c r="B223" i="1" s="1"/>
  <c r="A224" i="1"/>
  <c r="A225" i="1"/>
  <c r="A226" i="1"/>
  <c r="A227" i="1"/>
  <c r="B227" i="1" s="1"/>
  <c r="A228" i="1"/>
  <c r="A229" i="1"/>
  <c r="A230" i="1"/>
  <c r="A231" i="1"/>
  <c r="B231" i="1" s="1"/>
  <c r="A232" i="1"/>
  <c r="A233" i="1"/>
  <c r="A234" i="1"/>
  <c r="A235" i="1"/>
  <c r="B235" i="1" s="1"/>
  <c r="A236" i="1"/>
  <c r="A237" i="1"/>
  <c r="A238" i="1"/>
  <c r="A239" i="1"/>
  <c r="B239" i="1" s="1"/>
  <c r="A240" i="1"/>
  <c r="A241" i="1"/>
  <c r="A242" i="1"/>
  <c r="A243" i="1"/>
  <c r="B243" i="1" s="1"/>
  <c r="A244" i="1"/>
  <c r="A245" i="1"/>
  <c r="A246" i="1"/>
  <c r="A247" i="1"/>
  <c r="B247" i="1" s="1"/>
  <c r="A248" i="1"/>
  <c r="A249" i="1"/>
  <c r="A250" i="1"/>
  <c r="A251" i="1"/>
  <c r="B251" i="1" s="1"/>
  <c r="A252" i="1"/>
  <c r="A253" i="1"/>
  <c r="A254" i="1"/>
  <c r="A255" i="1"/>
  <c r="B255" i="1" s="1"/>
  <c r="A256" i="1"/>
  <c r="A257" i="1"/>
  <c r="A258" i="1"/>
  <c r="A259" i="1"/>
  <c r="B259" i="1" s="1"/>
  <c r="A260" i="1"/>
  <c r="A261" i="1"/>
  <c r="A262" i="1"/>
  <c r="A263" i="1"/>
  <c r="B263" i="1" s="1"/>
  <c r="A264" i="1"/>
  <c r="A265" i="1"/>
  <c r="A266" i="1"/>
  <c r="A267" i="1"/>
  <c r="B267" i="1" s="1"/>
  <c r="A268" i="1"/>
  <c r="A269" i="1"/>
  <c r="A270" i="1"/>
  <c r="A271" i="1"/>
  <c r="B271" i="1" s="1"/>
  <c r="A272" i="1"/>
  <c r="A273" i="1"/>
  <c r="A274" i="1"/>
  <c r="A275" i="1"/>
  <c r="B275" i="1" s="1"/>
  <c r="A276" i="1"/>
  <c r="A277" i="1"/>
  <c r="A278" i="1"/>
  <c r="A279" i="1"/>
  <c r="B279" i="1" s="1"/>
  <c r="A280" i="1"/>
  <c r="A281" i="1"/>
  <c r="A282" i="1"/>
  <c r="A283" i="1"/>
  <c r="B283" i="1" s="1"/>
  <c r="A284" i="1"/>
  <c r="A285" i="1"/>
  <c r="A286" i="1"/>
  <c r="A287" i="1"/>
  <c r="B287" i="1" s="1"/>
  <c r="A288" i="1"/>
  <c r="A289" i="1"/>
  <c r="A290" i="1"/>
  <c r="A291" i="1"/>
  <c r="B291" i="1" s="1"/>
  <c r="A292" i="1"/>
  <c r="A293" i="1"/>
  <c r="A294" i="1"/>
  <c r="A295" i="1"/>
  <c r="B295" i="1" s="1"/>
  <c r="A296" i="1"/>
  <c r="A297" i="1"/>
  <c r="A298" i="1"/>
  <c r="A299" i="1"/>
  <c r="B299" i="1" s="1"/>
  <c r="A300" i="1"/>
  <c r="A301" i="1"/>
  <c r="A302" i="1"/>
  <c r="A303" i="1"/>
  <c r="B303" i="1" s="1"/>
  <c r="A304" i="1"/>
  <c r="A305" i="1"/>
  <c r="A306" i="1"/>
  <c r="A307" i="1"/>
  <c r="B307" i="1" s="1"/>
  <c r="A308" i="1"/>
  <c r="A309" i="1"/>
  <c r="A310" i="1"/>
  <c r="A311" i="1"/>
  <c r="B311" i="1" s="1"/>
  <c r="A312" i="1"/>
  <c r="A313" i="1"/>
  <c r="A314" i="1"/>
  <c r="A315" i="1"/>
  <c r="B315" i="1" s="1"/>
  <c r="A316" i="1"/>
  <c r="A317" i="1"/>
  <c r="A318" i="1"/>
  <c r="A319" i="1"/>
  <c r="B319" i="1" s="1"/>
  <c r="A320" i="1"/>
  <c r="A321" i="1"/>
  <c r="A322" i="1"/>
  <c r="A323" i="1"/>
  <c r="B323" i="1" s="1"/>
  <c r="A324" i="1"/>
  <c r="A325" i="1"/>
  <c r="A326" i="1"/>
  <c r="A327" i="1"/>
  <c r="B327" i="1" s="1"/>
  <c r="A328" i="1"/>
  <c r="A329" i="1"/>
  <c r="A330" i="1"/>
  <c r="A331" i="1"/>
  <c r="B331" i="1" s="1"/>
  <c r="A332" i="1"/>
  <c r="A333" i="1"/>
  <c r="A334" i="1"/>
  <c r="A335" i="1"/>
  <c r="B335" i="1" s="1"/>
  <c r="A336" i="1"/>
  <c r="A337" i="1"/>
  <c r="A338" i="1"/>
  <c r="A339" i="1"/>
  <c r="B339" i="1" s="1"/>
  <c r="A340" i="1"/>
  <c r="A341" i="1"/>
  <c r="A342" i="1"/>
  <c r="A343" i="1"/>
  <c r="B343" i="1" s="1"/>
  <c r="A344" i="1"/>
  <c r="A345" i="1"/>
  <c r="A346" i="1"/>
  <c r="A347" i="1"/>
  <c r="B347" i="1" s="1"/>
  <c r="A348" i="1"/>
  <c r="A349" i="1"/>
  <c r="A350" i="1"/>
  <c r="A351" i="1"/>
  <c r="B351" i="1" s="1"/>
  <c r="A352" i="1"/>
  <c r="A353" i="1"/>
  <c r="A354" i="1"/>
  <c r="A355" i="1"/>
  <c r="B355" i="1" s="1"/>
  <c r="A356" i="1"/>
  <c r="A357" i="1"/>
  <c r="A358" i="1"/>
  <c r="A359" i="1"/>
  <c r="B359" i="1" s="1"/>
  <c r="A360" i="1"/>
  <c r="A361" i="1"/>
  <c r="A362" i="1"/>
  <c r="A363" i="1"/>
  <c r="B363" i="1" s="1"/>
  <c r="A364" i="1"/>
  <c r="A365" i="1"/>
  <c r="A366" i="1"/>
  <c r="A367" i="1"/>
  <c r="B367" i="1" s="1"/>
  <c r="A368" i="1"/>
  <c r="A369" i="1"/>
  <c r="A370" i="1"/>
  <c r="A371" i="1"/>
  <c r="B371" i="1" s="1"/>
  <c r="A372" i="1"/>
  <c r="A373" i="1"/>
  <c r="A374" i="1"/>
  <c r="A375" i="1"/>
  <c r="B375" i="1" s="1"/>
  <c r="A376" i="1"/>
  <c r="A377" i="1"/>
  <c r="A378" i="1"/>
  <c r="A379" i="1"/>
  <c r="B379" i="1" s="1"/>
  <c r="A380" i="1"/>
  <c r="A381" i="1"/>
  <c r="A382" i="1"/>
  <c r="A383" i="1"/>
  <c r="B383" i="1" s="1"/>
  <c r="A384" i="1"/>
  <c r="A385" i="1"/>
  <c r="A386" i="1"/>
  <c r="A387" i="1"/>
  <c r="B387" i="1" s="1"/>
  <c r="A388" i="1"/>
  <c r="A389" i="1"/>
  <c r="A390" i="1"/>
  <c r="A391" i="1"/>
  <c r="B391" i="1" s="1"/>
  <c r="A392" i="1"/>
  <c r="A393" i="1"/>
  <c r="A394" i="1"/>
  <c r="B394" i="1" s="1"/>
  <c r="A395" i="1"/>
  <c r="B395" i="1" s="1"/>
  <c r="A396" i="1"/>
  <c r="A397" i="1"/>
  <c r="A398" i="1"/>
  <c r="B398" i="1" s="1"/>
  <c r="A399" i="1"/>
  <c r="B399" i="1" s="1"/>
  <c r="A400" i="1"/>
  <c r="A401" i="1"/>
  <c r="A402" i="1"/>
  <c r="B402" i="1" s="1"/>
  <c r="A403" i="1"/>
  <c r="B403" i="1" s="1"/>
  <c r="A404" i="1"/>
  <c r="A405" i="1"/>
  <c r="A406" i="1"/>
  <c r="B406" i="1" s="1"/>
  <c r="A407" i="1"/>
  <c r="B407" i="1" s="1"/>
  <c r="A408" i="1"/>
  <c r="A409" i="1"/>
  <c r="A410" i="1"/>
  <c r="B410" i="1" s="1"/>
  <c r="A411" i="1"/>
  <c r="B411" i="1" s="1"/>
  <c r="A412" i="1"/>
  <c r="A413" i="1"/>
  <c r="A414" i="1"/>
  <c r="B414" i="1" s="1"/>
  <c r="A415" i="1"/>
  <c r="B415" i="1" s="1"/>
  <c r="A416" i="1"/>
  <c r="A417" i="1"/>
  <c r="A418" i="1"/>
  <c r="B418" i="1" s="1"/>
  <c r="A419" i="1"/>
  <c r="B419" i="1" s="1"/>
  <c r="A420" i="1"/>
  <c r="A421" i="1"/>
  <c r="A422" i="1"/>
  <c r="B422" i="1" s="1"/>
  <c r="A423" i="1"/>
  <c r="B423" i="1" s="1"/>
  <c r="A424" i="1"/>
  <c r="A425" i="1"/>
  <c r="A426" i="1"/>
  <c r="B426" i="1" s="1"/>
  <c r="A427" i="1"/>
  <c r="B427" i="1" s="1"/>
  <c r="A428" i="1"/>
  <c r="A429" i="1"/>
  <c r="A430" i="1"/>
  <c r="B430" i="1" s="1"/>
  <c r="A431" i="1"/>
  <c r="B431" i="1" s="1"/>
  <c r="A432" i="1"/>
  <c r="A433" i="1"/>
  <c r="A434" i="1"/>
  <c r="B434" i="1" s="1"/>
  <c r="A435" i="1"/>
  <c r="B435" i="1" s="1"/>
  <c r="A436" i="1"/>
  <c r="A437" i="1"/>
  <c r="A438" i="1"/>
  <c r="B438" i="1" s="1"/>
  <c r="A439" i="1"/>
  <c r="B439" i="1" s="1"/>
  <c r="A440" i="1"/>
  <c r="A441" i="1"/>
  <c r="A442" i="1"/>
  <c r="B442" i="1" s="1"/>
  <c r="A443" i="1"/>
  <c r="A444" i="1"/>
  <c r="A445" i="1"/>
  <c r="A446" i="1"/>
  <c r="B446" i="1" s="1"/>
  <c r="A447" i="1"/>
  <c r="A448" i="1"/>
  <c r="A449" i="1"/>
  <c r="A450" i="1"/>
  <c r="B450" i="1" s="1"/>
  <c r="A451" i="1"/>
  <c r="A452" i="1"/>
  <c r="A453" i="1"/>
  <c r="A454" i="1"/>
  <c r="B454" i="1" s="1"/>
  <c r="A455" i="1"/>
  <c r="A456" i="1"/>
  <c r="A457" i="1"/>
  <c r="A458" i="1"/>
  <c r="B458" i="1" s="1"/>
  <c r="A459" i="1"/>
  <c r="A460" i="1"/>
  <c r="A461" i="1"/>
  <c r="A462" i="1"/>
  <c r="B462" i="1" s="1"/>
  <c r="A463" i="1"/>
  <c r="A464" i="1"/>
  <c r="A465" i="1"/>
  <c r="A466" i="1"/>
  <c r="B466" i="1" s="1"/>
  <c r="A467" i="1"/>
  <c r="A468" i="1"/>
  <c r="A469" i="1"/>
  <c r="A470" i="1"/>
  <c r="B470" i="1" s="1"/>
  <c r="A471" i="1"/>
  <c r="A472" i="1"/>
  <c r="A473" i="1"/>
  <c r="A474" i="1"/>
  <c r="B474" i="1" s="1"/>
  <c r="A475" i="1"/>
  <c r="A476" i="1"/>
  <c r="A477" i="1"/>
  <c r="A478" i="1"/>
  <c r="B478" i="1" s="1"/>
  <c r="A479" i="1"/>
  <c r="A480" i="1"/>
  <c r="A481" i="1"/>
  <c r="A482" i="1"/>
  <c r="B482" i="1" s="1"/>
  <c r="A483" i="1"/>
  <c r="A484" i="1"/>
  <c r="A485" i="1"/>
  <c r="A486" i="1"/>
  <c r="B486" i="1" s="1"/>
  <c r="A487" i="1"/>
  <c r="A488" i="1"/>
  <c r="A489" i="1"/>
  <c r="A490" i="1"/>
  <c r="B490" i="1" s="1"/>
  <c r="A491" i="1"/>
  <c r="A492" i="1"/>
  <c r="A493" i="1"/>
  <c r="A494" i="1"/>
  <c r="B494" i="1" s="1"/>
  <c r="A495" i="1"/>
  <c r="A496" i="1"/>
  <c r="A497" i="1"/>
  <c r="A498" i="1"/>
  <c r="B498" i="1" s="1"/>
  <c r="A499" i="1"/>
  <c r="A500" i="1"/>
  <c r="A501" i="1"/>
  <c r="A502" i="1"/>
  <c r="B502" i="1" s="1"/>
  <c r="A503" i="1"/>
  <c r="A504" i="1"/>
  <c r="A505" i="1"/>
  <c r="A506" i="1"/>
  <c r="B506" i="1" s="1"/>
  <c r="A507" i="1"/>
  <c r="A508" i="1"/>
  <c r="A509" i="1"/>
  <c r="A510" i="1"/>
  <c r="B510" i="1" s="1"/>
  <c r="A511" i="1"/>
  <c r="A512" i="1"/>
  <c r="A513" i="1"/>
  <c r="A514" i="1"/>
  <c r="B514" i="1" s="1"/>
  <c r="A515" i="1"/>
  <c r="A516" i="1"/>
  <c r="A517" i="1"/>
  <c r="A518" i="1"/>
  <c r="B518" i="1" s="1"/>
  <c r="A519" i="1"/>
  <c r="A520" i="1"/>
  <c r="A521" i="1"/>
  <c r="A522" i="1"/>
  <c r="B522" i="1" s="1"/>
  <c r="A523" i="1"/>
  <c r="A524" i="1"/>
  <c r="A525" i="1"/>
  <c r="A526" i="1"/>
  <c r="B526" i="1" s="1"/>
  <c r="A527" i="1"/>
  <c r="A528" i="1"/>
  <c r="A529" i="1"/>
  <c r="A530" i="1"/>
  <c r="B530" i="1" s="1"/>
  <c r="A531" i="1"/>
  <c r="A532" i="1"/>
  <c r="A533" i="1"/>
  <c r="A534" i="1"/>
  <c r="B534" i="1" s="1"/>
  <c r="A535" i="1"/>
  <c r="A536" i="1"/>
  <c r="A537" i="1"/>
  <c r="A538" i="1"/>
  <c r="B538" i="1" s="1"/>
  <c r="A539" i="1"/>
  <c r="A540" i="1"/>
  <c r="A541" i="1"/>
  <c r="A542" i="1"/>
  <c r="B542" i="1" s="1"/>
  <c r="A543" i="1"/>
  <c r="A544" i="1"/>
  <c r="A545" i="1"/>
  <c r="A546" i="1"/>
  <c r="B546" i="1" s="1"/>
  <c r="A547" i="1"/>
  <c r="A548" i="1"/>
  <c r="A549" i="1"/>
  <c r="A550" i="1"/>
  <c r="B550" i="1" s="1"/>
  <c r="A551" i="1"/>
  <c r="A552" i="1"/>
  <c r="A553" i="1"/>
  <c r="A554" i="1"/>
  <c r="B554" i="1" s="1"/>
  <c r="A555" i="1"/>
  <c r="A556" i="1"/>
  <c r="A557" i="1"/>
  <c r="A558" i="1"/>
  <c r="B558" i="1" s="1"/>
  <c r="A559" i="1"/>
  <c r="A560" i="1"/>
  <c r="A561" i="1"/>
  <c r="A562" i="1"/>
  <c r="B562" i="1" s="1"/>
  <c r="A563" i="1"/>
  <c r="A564" i="1"/>
  <c r="A565" i="1"/>
  <c r="A566" i="1"/>
  <c r="B566" i="1" s="1"/>
  <c r="A567" i="1"/>
  <c r="A568" i="1"/>
  <c r="A569" i="1"/>
  <c r="A570" i="1"/>
  <c r="B570" i="1" s="1"/>
  <c r="A571" i="1"/>
  <c r="A572" i="1"/>
  <c r="A573" i="1"/>
  <c r="A574" i="1"/>
  <c r="B574" i="1" s="1"/>
  <c r="A575" i="1"/>
  <c r="A576" i="1"/>
  <c r="A577" i="1"/>
  <c r="A578" i="1"/>
  <c r="B578" i="1" s="1"/>
  <c r="A579" i="1"/>
  <c r="A580" i="1"/>
  <c r="A581" i="1"/>
  <c r="A582" i="1"/>
  <c r="B582" i="1" s="1"/>
  <c r="A583" i="1"/>
  <c r="A584" i="1"/>
  <c r="A585" i="1"/>
  <c r="B585" i="1" s="1"/>
  <c r="A586" i="1"/>
  <c r="B586" i="1" s="1"/>
  <c r="A587" i="1"/>
  <c r="A588" i="1"/>
  <c r="A589" i="1"/>
  <c r="B589" i="1" s="1"/>
  <c r="A590" i="1"/>
  <c r="B590" i="1" s="1"/>
  <c r="A591" i="1"/>
  <c r="A592" i="1"/>
  <c r="A593" i="1"/>
  <c r="B593" i="1" s="1"/>
  <c r="A594" i="1"/>
  <c r="B594" i="1" s="1"/>
  <c r="A595" i="1"/>
  <c r="A596" i="1"/>
  <c r="A597" i="1"/>
  <c r="B597" i="1" s="1"/>
  <c r="A598" i="1"/>
  <c r="B598" i="1" s="1"/>
  <c r="A599" i="1"/>
  <c r="A600" i="1"/>
  <c r="A601" i="1"/>
  <c r="B601" i="1" s="1"/>
  <c r="A602" i="1"/>
  <c r="B602" i="1" s="1"/>
  <c r="A603" i="1"/>
  <c r="A604" i="1"/>
  <c r="A605" i="1"/>
  <c r="B605" i="1" s="1"/>
  <c r="A606" i="1"/>
  <c r="B606" i="1" s="1"/>
  <c r="A607" i="1"/>
  <c r="A608" i="1"/>
  <c r="A609" i="1"/>
  <c r="B609" i="1" s="1"/>
  <c r="A610" i="1"/>
  <c r="B610" i="1" s="1"/>
  <c r="A611" i="1"/>
  <c r="A612" i="1"/>
  <c r="A613" i="1"/>
  <c r="B613" i="1" s="1"/>
  <c r="A614" i="1"/>
  <c r="B614" i="1" s="1"/>
  <c r="A615" i="1"/>
  <c r="A616" i="1"/>
  <c r="A617" i="1"/>
  <c r="B617" i="1" s="1"/>
  <c r="A618" i="1"/>
  <c r="B618" i="1" s="1"/>
  <c r="A619" i="1"/>
  <c r="A620" i="1"/>
  <c r="A621" i="1"/>
  <c r="B621" i="1" s="1"/>
  <c r="A622" i="1"/>
  <c r="B622" i="1" s="1"/>
  <c r="A623" i="1"/>
  <c r="A624" i="1"/>
  <c r="A625" i="1"/>
  <c r="B625" i="1" s="1"/>
  <c r="A626" i="1"/>
  <c r="B626" i="1" s="1"/>
  <c r="A627" i="1"/>
  <c r="A628" i="1"/>
  <c r="A629" i="1"/>
  <c r="B629" i="1" s="1"/>
  <c r="A630" i="1"/>
  <c r="B630" i="1" s="1"/>
  <c r="A631" i="1"/>
  <c r="A632" i="1"/>
  <c r="A633" i="1"/>
  <c r="B633" i="1" s="1"/>
  <c r="A634" i="1"/>
  <c r="B634" i="1" s="1"/>
  <c r="A635" i="1"/>
  <c r="A636" i="1"/>
  <c r="A637" i="1"/>
  <c r="B637" i="1" s="1"/>
  <c r="A638" i="1"/>
  <c r="B638" i="1" s="1"/>
  <c r="A639" i="1"/>
  <c r="A640" i="1"/>
  <c r="A641" i="1"/>
  <c r="B641" i="1" s="1"/>
  <c r="A642" i="1"/>
  <c r="B642" i="1" s="1"/>
  <c r="A643" i="1"/>
  <c r="A644" i="1"/>
  <c r="A645" i="1"/>
  <c r="B645" i="1" s="1"/>
  <c r="A646" i="1"/>
  <c r="B646" i="1" s="1"/>
  <c r="A647" i="1"/>
  <c r="A648" i="1"/>
  <c r="A649" i="1"/>
  <c r="B649" i="1" s="1"/>
  <c r="A650" i="1"/>
  <c r="B650" i="1" s="1"/>
  <c r="A651" i="1"/>
  <c r="A652" i="1"/>
  <c r="A653" i="1"/>
  <c r="B653" i="1" s="1"/>
  <c r="A654" i="1"/>
  <c r="B654" i="1" s="1"/>
  <c r="A655" i="1"/>
  <c r="A656" i="1"/>
  <c r="A657" i="1"/>
  <c r="B657" i="1" s="1"/>
  <c r="A658" i="1"/>
  <c r="B658" i="1" s="1"/>
  <c r="A659" i="1"/>
  <c r="A660" i="1"/>
  <c r="A661" i="1"/>
  <c r="B661" i="1" s="1"/>
  <c r="A662" i="1"/>
  <c r="B662" i="1" s="1"/>
  <c r="A663" i="1"/>
  <c r="A664" i="1"/>
  <c r="A665" i="1"/>
  <c r="B665" i="1" s="1"/>
  <c r="A666" i="1"/>
  <c r="B666" i="1" s="1"/>
  <c r="A667" i="1"/>
  <c r="A668" i="1"/>
  <c r="A669" i="1"/>
  <c r="B669" i="1" s="1"/>
  <c r="A670" i="1"/>
  <c r="B670" i="1" s="1"/>
  <c r="A671" i="1"/>
  <c r="A672" i="1"/>
  <c r="A673" i="1"/>
  <c r="B673" i="1" s="1"/>
  <c r="A674" i="1"/>
  <c r="B674" i="1" s="1"/>
  <c r="A675" i="1"/>
  <c r="A676" i="1"/>
  <c r="A677" i="1"/>
  <c r="B677" i="1" s="1"/>
  <c r="A678" i="1"/>
  <c r="B678" i="1" s="1"/>
  <c r="A679" i="1"/>
  <c r="A680" i="1"/>
  <c r="A681" i="1"/>
  <c r="B681" i="1" s="1"/>
  <c r="A682" i="1"/>
  <c r="B682" i="1" s="1"/>
  <c r="A683" i="1"/>
  <c r="A684" i="1"/>
  <c r="A685" i="1"/>
  <c r="B685" i="1" s="1"/>
  <c r="A686" i="1"/>
  <c r="B686" i="1" s="1"/>
  <c r="A687" i="1"/>
  <c r="A688" i="1"/>
  <c r="A689" i="1"/>
  <c r="B689" i="1" s="1"/>
  <c r="A690" i="1"/>
  <c r="B690" i="1" s="1"/>
  <c r="A691" i="1"/>
  <c r="A692" i="1"/>
  <c r="A693" i="1"/>
  <c r="B693" i="1" s="1"/>
  <c r="A694" i="1"/>
  <c r="B694" i="1" s="1"/>
  <c r="A695" i="1"/>
  <c r="A696" i="1"/>
  <c r="A697" i="1"/>
  <c r="B697" i="1" s="1"/>
  <c r="A698" i="1"/>
  <c r="B698" i="1" s="1"/>
  <c r="A699" i="1"/>
  <c r="A700" i="1"/>
  <c r="A701" i="1"/>
  <c r="B701" i="1" s="1"/>
  <c r="A702" i="1"/>
  <c r="B702" i="1" s="1"/>
  <c r="A703" i="1"/>
  <c r="A704" i="1"/>
  <c r="A705" i="1"/>
  <c r="B705" i="1" s="1"/>
  <c r="A706" i="1"/>
  <c r="B706" i="1" s="1"/>
  <c r="A707" i="1"/>
  <c r="A708" i="1"/>
  <c r="A709" i="1"/>
  <c r="B709" i="1" s="1"/>
  <c r="A710" i="1"/>
  <c r="B710" i="1" s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B12" i="1" s="1"/>
  <c r="A13" i="1"/>
  <c r="A14" i="1"/>
  <c r="A15" i="1"/>
  <c r="A16" i="1"/>
  <c r="B16" i="1" s="1"/>
  <c r="A17" i="1"/>
  <c r="A18" i="1"/>
  <c r="A19" i="1"/>
  <c r="A20" i="1"/>
  <c r="B20" i="1" s="1"/>
  <c r="A21" i="1"/>
  <c r="A22" i="1"/>
  <c r="A23" i="1"/>
  <c r="A24" i="1"/>
  <c r="B24" i="1" s="1"/>
  <c r="A25" i="1"/>
  <c r="A26" i="1"/>
  <c r="A27" i="1"/>
  <c r="A28" i="1"/>
  <c r="B28" i="1" s="1"/>
  <c r="A29" i="1"/>
  <c r="A30" i="1"/>
  <c r="A31" i="1"/>
  <c r="A32" i="1"/>
  <c r="B32" i="1" s="1"/>
  <c r="A33" i="1"/>
  <c r="A34" i="1"/>
  <c r="A35" i="1"/>
  <c r="A36" i="1"/>
  <c r="B36" i="1" s="1"/>
  <c r="A37" i="1"/>
  <c r="A38" i="1"/>
  <c r="A39" i="1"/>
  <c r="A40" i="1"/>
  <c r="B40" i="1" s="1"/>
  <c r="A41" i="1"/>
  <c r="A42" i="1"/>
  <c r="A43" i="1"/>
  <c r="A44" i="1"/>
  <c r="B44" i="1" s="1"/>
  <c r="A45" i="1"/>
  <c r="A46" i="1"/>
  <c r="A47" i="1"/>
  <c r="A48" i="1"/>
  <c r="B48" i="1" s="1"/>
  <c r="A49" i="1"/>
  <c r="A50" i="1"/>
  <c r="A51" i="1"/>
  <c r="A52" i="1"/>
  <c r="B52" i="1" s="1"/>
  <c r="A53" i="1"/>
  <c r="A54" i="1"/>
  <c r="A55" i="1"/>
  <c r="A56" i="1"/>
  <c r="B56" i="1" s="1"/>
  <c r="A57" i="1"/>
  <c r="A58" i="1"/>
  <c r="A59" i="1"/>
  <c r="A60" i="1"/>
  <c r="A61" i="1"/>
  <c r="A62" i="1"/>
  <c r="A63" i="1"/>
  <c r="A64" i="1"/>
  <c r="B64" i="1" s="1"/>
  <c r="A65" i="1"/>
  <c r="A66" i="1"/>
  <c r="A67" i="1"/>
  <c r="A68" i="1"/>
  <c r="B68" i="1" s="1"/>
  <c r="A69" i="1"/>
  <c r="A70" i="1"/>
  <c r="A71" i="1"/>
  <c r="A72" i="1"/>
  <c r="B72" i="1" s="1"/>
  <c r="A73" i="1"/>
  <c r="A74" i="1"/>
  <c r="A75" i="1"/>
  <c r="A76" i="1"/>
  <c r="B76" i="1" s="1"/>
  <c r="A77" i="1"/>
  <c r="A78" i="1"/>
  <c r="A79" i="1"/>
  <c r="A80" i="1"/>
  <c r="B80" i="1" s="1"/>
  <c r="A81" i="1"/>
  <c r="A82" i="1"/>
  <c r="A83" i="1"/>
  <c r="A84" i="1"/>
  <c r="B84" i="1" s="1"/>
  <c r="A85" i="1"/>
  <c r="A86" i="1"/>
  <c r="A87" i="1"/>
  <c r="A88" i="1"/>
  <c r="B88" i="1" s="1"/>
  <c r="A89" i="1"/>
  <c r="A90" i="1"/>
  <c r="A91" i="1"/>
  <c r="A92" i="1"/>
  <c r="B92" i="1" s="1"/>
  <c r="A93" i="1"/>
  <c r="A94" i="1"/>
  <c r="A95" i="1"/>
  <c r="A96" i="1"/>
  <c r="B96" i="1" s="1"/>
  <c r="A97" i="1"/>
  <c r="A98" i="1"/>
  <c r="A99" i="1"/>
  <c r="A100" i="1"/>
  <c r="B100" i="1" s="1"/>
  <c r="A101" i="1"/>
  <c r="A102" i="1"/>
  <c r="A103" i="1"/>
  <c r="A104" i="1"/>
  <c r="B104" i="1" s="1"/>
  <c r="A105" i="1"/>
  <c r="A106" i="1"/>
  <c r="A107" i="1"/>
  <c r="A108" i="1"/>
  <c r="B108" i="1" s="1"/>
  <c r="A109" i="1"/>
  <c r="A110" i="1"/>
  <c r="A111" i="1"/>
  <c r="A112" i="1"/>
  <c r="B112" i="1" s="1"/>
  <c r="A113" i="1"/>
  <c r="B113" i="1" s="1"/>
  <c r="A114" i="1"/>
  <c r="A115" i="1"/>
  <c r="A116" i="1"/>
  <c r="B116" i="1" s="1"/>
  <c r="A117" i="1"/>
  <c r="A118" i="1"/>
  <c r="A119" i="1"/>
  <c r="A120" i="1"/>
  <c r="B120" i="1" s="1"/>
  <c r="A121" i="1"/>
  <c r="A122" i="1"/>
  <c r="A123" i="1"/>
  <c r="A124" i="1"/>
  <c r="B124" i="1" s="1"/>
  <c r="A125" i="1"/>
  <c r="A126" i="1"/>
  <c r="A127" i="1"/>
  <c r="A128" i="1"/>
  <c r="B128" i="1" s="1"/>
  <c r="A129" i="1"/>
  <c r="A130" i="1"/>
  <c r="A131" i="1"/>
  <c r="A132" i="1"/>
  <c r="B132" i="1" s="1"/>
  <c r="A133" i="1"/>
  <c r="A134" i="1"/>
  <c r="A135" i="1"/>
  <c r="A136" i="1"/>
  <c r="B136" i="1" s="1"/>
  <c r="A137" i="1"/>
  <c r="A138" i="1"/>
  <c r="A139" i="1"/>
  <c r="A140" i="1"/>
  <c r="B140" i="1" s="1"/>
  <c r="A141" i="1"/>
  <c r="A142" i="1"/>
  <c r="A143" i="1"/>
  <c r="A144" i="1"/>
  <c r="B144" i="1" s="1"/>
  <c r="A145" i="1"/>
  <c r="A146" i="1"/>
  <c r="A147" i="1"/>
  <c r="A148" i="1"/>
  <c r="B148" i="1" s="1"/>
  <c r="A149" i="1"/>
  <c r="A150" i="1"/>
  <c r="A151" i="1"/>
  <c r="A152" i="1"/>
  <c r="B152" i="1" s="1"/>
  <c r="A153" i="1"/>
  <c r="A154" i="1"/>
  <c r="A155" i="1"/>
  <c r="A156" i="1"/>
  <c r="B156" i="1" s="1"/>
  <c r="A157" i="1"/>
  <c r="A158" i="1"/>
  <c r="A159" i="1"/>
  <c r="A160" i="1"/>
  <c r="B160" i="1" s="1"/>
  <c r="A161" i="1"/>
  <c r="A162" i="1"/>
  <c r="A163" i="1"/>
  <c r="B163" i="1" s="1"/>
  <c r="A164" i="1"/>
  <c r="B164" i="1" s="1"/>
  <c r="A165" i="1"/>
  <c r="A166" i="1"/>
  <c r="B166" i="1" s="1"/>
  <c r="A167" i="1"/>
  <c r="A168" i="1"/>
  <c r="A169" i="1"/>
  <c r="A11" i="1"/>
  <c r="B11" i="1" s="1"/>
  <c r="A10" i="1"/>
  <c r="A3" i="1"/>
  <c r="B3" i="1" s="1"/>
  <c r="A4" i="1"/>
  <c r="A5" i="1"/>
  <c r="A6" i="1"/>
  <c r="A7" i="1"/>
  <c r="B7" i="1" s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W152" i="4" a="1"/>
  <c r="W153" i="4" a="1"/>
  <c r="W154" i="4" a="1"/>
  <c r="W155" i="4" a="1"/>
  <c r="W156" i="4" a="1"/>
  <c r="W157" i="4" a="1"/>
  <c r="W158" i="4" a="1"/>
  <c r="W159" i="4" a="1"/>
  <c r="W160" i="4" a="1"/>
  <c r="W161" i="4" a="1"/>
  <c r="W162" i="4" a="1"/>
  <c r="W163" i="4" a="1"/>
  <c r="W164" i="4" a="1"/>
  <c r="W165" i="4" a="1"/>
  <c r="W166" i="4" a="1"/>
  <c r="W167" i="4" a="1"/>
  <c r="W168" i="4" a="1"/>
  <c r="W169" i="4" a="1"/>
  <c r="W170" i="4" a="1"/>
  <c r="W171" i="4" a="1"/>
  <c r="W172" i="4" a="1"/>
  <c r="W173" i="4" a="1"/>
  <c r="W174" i="4" a="1"/>
  <c r="W175" i="4" a="1"/>
  <c r="W176" i="4" a="1"/>
  <c r="W177" i="4" a="1"/>
  <c r="W178" i="4" a="1"/>
  <c r="W179" i="4" a="1"/>
  <c r="W180" i="4" a="1"/>
  <c r="W181" i="4" a="1"/>
  <c r="W182" i="4" a="1"/>
  <c r="W183" i="4" a="1"/>
  <c r="W184" i="4" a="1"/>
  <c r="W185" i="4" a="1"/>
  <c r="W186" i="4" a="1"/>
  <c r="W187" i="4" a="1"/>
  <c r="W188" i="4" a="1"/>
  <c r="W189" i="4" a="1"/>
  <c r="W190" i="4" a="1"/>
  <c r="W191" i="4" a="1"/>
  <c r="W192" i="4" a="1"/>
  <c r="W193" i="4" a="1"/>
  <c r="W194" i="4" a="1"/>
  <c r="W195" i="4" a="1"/>
  <c r="W196" i="4" a="1"/>
  <c r="W197" i="4" a="1"/>
  <c r="W198" i="4" a="1"/>
  <c r="W199" i="4" a="1"/>
  <c r="W200" i="4" a="1"/>
  <c r="W201" i="4" a="1"/>
  <c r="W202" i="4" a="1"/>
  <c r="W203" i="4" a="1"/>
  <c r="W204" i="4" a="1"/>
  <c r="W205" i="4" a="1"/>
  <c r="W206" i="4" a="1"/>
  <c r="W207" i="4" a="1"/>
  <c r="W208" i="4" a="1"/>
  <c r="W209" i="4" a="1"/>
  <c r="W210" i="4" a="1"/>
  <c r="W211" i="4" a="1"/>
  <c r="W212" i="4" a="1"/>
  <c r="W213" i="4" a="1"/>
  <c r="W214" i="4" a="1"/>
  <c r="W215" i="4" a="1"/>
  <c r="W216" i="4" a="1"/>
  <c r="W217" i="4" a="1"/>
  <c r="W218" i="4" a="1"/>
  <c r="W219" i="4" a="1"/>
  <c r="W220" i="4" a="1"/>
  <c r="W221" i="4" a="1"/>
  <c r="W222" i="4" a="1"/>
  <c r="W223" i="4" a="1"/>
  <c r="W224" i="4" a="1"/>
  <c r="W225" i="4" a="1"/>
  <c r="W226" i="4" a="1"/>
  <c r="W227" i="4" a="1"/>
  <c r="W228" i="4" a="1"/>
  <c r="W229" i="4" a="1"/>
  <c r="W230" i="4" a="1"/>
  <c r="W231" i="4" a="1"/>
  <c r="W232" i="4" a="1"/>
  <c r="W233" i="4" a="1"/>
  <c r="W234" i="4" a="1"/>
  <c r="W235" i="4" a="1"/>
  <c r="W236" i="4" a="1"/>
  <c r="W237" i="4" a="1"/>
  <c r="W238" i="4" a="1"/>
  <c r="W239" i="4" a="1"/>
  <c r="W240" i="4" a="1"/>
  <c r="W241" i="4" a="1"/>
  <c r="W242" i="4" a="1"/>
  <c r="W243" i="4" a="1"/>
  <c r="W244" i="4" a="1"/>
  <c r="W245" i="4" a="1"/>
  <c r="W246" i="4" a="1"/>
  <c r="W247" i="4" a="1"/>
  <c r="W248" i="4" a="1"/>
  <c r="W249" i="4" a="1"/>
  <c r="W250" i="4" a="1"/>
  <c r="W251" i="4" a="1"/>
  <c r="W252" i="4" a="1"/>
  <c r="B6" i="1"/>
  <c r="L152" i="4"/>
  <c r="M152" i="4" s="1" a="1"/>
  <c r="L153" i="4"/>
  <c r="M153" i="4" s="1" a="1"/>
  <c r="L154" i="4"/>
  <c r="M154" i="4" s="1" a="1"/>
  <c r="L155" i="4"/>
  <c r="M155" i="4" s="1" a="1"/>
  <c r="L156" i="4"/>
  <c r="M156" i="4" s="1" a="1"/>
  <c r="L157" i="4"/>
  <c r="M157" i="4" s="1" a="1"/>
  <c r="L158" i="4"/>
  <c r="M158" i="4" s="1" a="1"/>
  <c r="L159" i="4"/>
  <c r="M159" i="4" s="1" a="1"/>
  <c r="L160" i="4"/>
  <c r="M160" i="4" s="1" a="1"/>
  <c r="L161" i="4"/>
  <c r="M161" i="4" s="1" a="1"/>
  <c r="L162" i="4"/>
  <c r="M162" i="4" s="1" a="1"/>
  <c r="L163" i="4"/>
  <c r="M163" i="4" s="1" a="1"/>
  <c r="L164" i="4"/>
  <c r="M164" i="4" s="1" a="1"/>
  <c r="L165" i="4"/>
  <c r="M165" i="4" s="1" a="1"/>
  <c r="L166" i="4"/>
  <c r="M166" i="4" s="1" a="1"/>
  <c r="L167" i="4"/>
  <c r="M167" i="4" s="1" a="1"/>
  <c r="L168" i="4"/>
  <c r="M168" i="4" s="1" a="1"/>
  <c r="L169" i="4"/>
  <c r="M169" i="4" s="1" a="1"/>
  <c r="L170" i="4"/>
  <c r="M170" i="4" s="1" a="1"/>
  <c r="L171" i="4"/>
  <c r="M171" i="4" s="1" a="1"/>
  <c r="L172" i="4"/>
  <c r="M172" i="4" s="1" a="1"/>
  <c r="L173" i="4"/>
  <c r="M173" i="4" s="1" a="1"/>
  <c r="L174" i="4"/>
  <c r="M174" i="4" s="1" a="1"/>
  <c r="L175" i="4"/>
  <c r="M175" i="4" s="1" a="1"/>
  <c r="L176" i="4"/>
  <c r="M176" i="4" s="1" a="1"/>
  <c r="L177" i="4"/>
  <c r="M177" i="4" s="1" a="1"/>
  <c r="L178" i="4"/>
  <c r="M178" i="4" s="1" a="1"/>
  <c r="L179" i="4"/>
  <c r="M179" i="4" s="1" a="1"/>
  <c r="L180" i="4"/>
  <c r="M180" i="4" s="1" a="1"/>
  <c r="L181" i="4"/>
  <c r="M181" i="4" s="1" a="1"/>
  <c r="L182" i="4"/>
  <c r="M182" i="4" s="1" a="1"/>
  <c r="L183" i="4"/>
  <c r="M183" i="4" s="1" a="1"/>
  <c r="L184" i="4"/>
  <c r="M184" i="4" s="1" a="1"/>
  <c r="L185" i="4"/>
  <c r="M185" i="4" s="1" a="1"/>
  <c r="L186" i="4"/>
  <c r="M186" i="4" s="1" a="1"/>
  <c r="L187" i="4"/>
  <c r="M187" i="4" s="1" a="1"/>
  <c r="L188" i="4"/>
  <c r="M188" i="4" s="1" a="1"/>
  <c r="L189" i="4"/>
  <c r="M189" i="4" s="1" a="1"/>
  <c r="L190" i="4"/>
  <c r="M190" i="4" s="1" a="1"/>
  <c r="L191" i="4"/>
  <c r="M191" i="4" s="1" a="1"/>
  <c r="L192" i="4"/>
  <c r="M192" i="4" s="1" a="1"/>
  <c r="L193" i="4"/>
  <c r="M193" i="4" s="1" a="1"/>
  <c r="L194" i="4"/>
  <c r="M194" i="4" s="1" a="1"/>
  <c r="L195" i="4"/>
  <c r="M195" i="4" s="1" a="1"/>
  <c r="L196" i="4"/>
  <c r="M196" i="4" s="1" a="1"/>
  <c r="L197" i="4"/>
  <c r="M197" i="4" s="1" a="1"/>
  <c r="L198" i="4"/>
  <c r="M198" i="4" s="1" a="1"/>
  <c r="L199" i="4"/>
  <c r="M199" i="4" s="1" a="1"/>
  <c r="L200" i="4"/>
  <c r="M200" i="4" s="1" a="1"/>
  <c r="L201" i="4"/>
  <c r="M201" i="4" s="1" a="1"/>
  <c r="L202" i="4"/>
  <c r="M202" i="4" s="1" a="1"/>
  <c r="L203" i="4"/>
  <c r="M203" i="4" s="1" a="1"/>
  <c r="L204" i="4"/>
  <c r="M204" i="4" s="1" a="1"/>
  <c r="L205" i="4"/>
  <c r="M205" i="4" s="1" a="1"/>
  <c r="L206" i="4"/>
  <c r="M206" i="4" s="1" a="1"/>
  <c r="L207" i="4"/>
  <c r="M207" i="4" s="1" a="1"/>
  <c r="L208" i="4"/>
  <c r="M208" i="4" s="1" a="1"/>
  <c r="L209" i="4"/>
  <c r="M209" i="4" s="1" a="1"/>
  <c r="L210" i="4"/>
  <c r="M210" i="4" s="1" a="1"/>
  <c r="L211" i="4"/>
  <c r="M211" i="4" s="1" a="1"/>
  <c r="L212" i="4"/>
  <c r="M212" i="4" s="1" a="1"/>
  <c r="L213" i="4"/>
  <c r="M213" i="4" s="1" a="1"/>
  <c r="L214" i="4"/>
  <c r="M214" i="4" s="1" a="1"/>
  <c r="L215" i="4"/>
  <c r="M215" i="4" s="1" a="1"/>
  <c r="L216" i="4"/>
  <c r="M216" i="4" s="1" a="1"/>
  <c r="L217" i="4"/>
  <c r="M217" i="4" s="1" a="1"/>
  <c r="L218" i="4"/>
  <c r="M218" i="4" s="1" a="1"/>
  <c r="L219" i="4"/>
  <c r="M219" i="4" s="1" a="1"/>
  <c r="L220" i="4"/>
  <c r="M220" i="4" s="1" a="1"/>
  <c r="L221" i="4"/>
  <c r="M221" i="4" s="1" a="1"/>
  <c r="L222" i="4"/>
  <c r="M222" i="4" s="1" a="1"/>
  <c r="L223" i="4"/>
  <c r="M223" i="4" s="1" a="1"/>
  <c r="L224" i="4"/>
  <c r="M224" i="4" s="1" a="1"/>
  <c r="L225" i="4"/>
  <c r="M225" i="4" s="1" a="1"/>
  <c r="L226" i="4"/>
  <c r="M226" i="4" s="1" a="1"/>
  <c r="L227" i="4"/>
  <c r="M227" i="4" s="1" a="1"/>
  <c r="L228" i="4"/>
  <c r="M228" i="4" s="1" a="1"/>
  <c r="L229" i="4"/>
  <c r="M229" i="4" s="1" a="1"/>
  <c r="L230" i="4"/>
  <c r="M230" i="4" s="1" a="1"/>
  <c r="L231" i="4"/>
  <c r="M231" i="4" s="1" a="1"/>
  <c r="L232" i="4"/>
  <c r="M232" i="4" s="1" a="1"/>
  <c r="L233" i="4"/>
  <c r="M233" i="4" s="1" a="1"/>
  <c r="L234" i="4"/>
  <c r="M234" i="4" s="1" a="1"/>
  <c r="L235" i="4"/>
  <c r="M235" i="4" s="1" a="1"/>
  <c r="L236" i="4"/>
  <c r="M236" i="4" s="1" a="1"/>
  <c r="L237" i="4"/>
  <c r="M237" i="4" s="1" a="1"/>
  <c r="L238" i="4"/>
  <c r="M238" i="4" s="1" a="1"/>
  <c r="L239" i="4"/>
  <c r="M239" i="4" s="1" a="1"/>
  <c r="L240" i="4"/>
  <c r="M240" i="4" s="1" a="1"/>
  <c r="L241" i="4"/>
  <c r="M241" i="4" s="1" a="1"/>
  <c r="L242" i="4"/>
  <c r="M242" i="4" s="1" a="1"/>
  <c r="L243" i="4"/>
  <c r="M243" i="4" s="1" a="1"/>
  <c r="L244" i="4"/>
  <c r="M244" i="4" s="1" a="1"/>
  <c r="L245" i="4"/>
  <c r="M245" i="4" s="1" a="1"/>
  <c r="L246" i="4"/>
  <c r="M246" i="4" s="1" a="1"/>
  <c r="L247" i="4"/>
  <c r="M247" i="4" s="1" a="1"/>
  <c r="L248" i="4"/>
  <c r="M248" i="4" s="1" a="1"/>
  <c r="L249" i="4"/>
  <c r="M249" i="4" s="1" a="1"/>
  <c r="L250" i="4"/>
  <c r="M250" i="4" s="1" a="1"/>
  <c r="L251" i="4"/>
  <c r="M251" i="4" s="1" a="1"/>
  <c r="L252" i="4"/>
  <c r="M252" i="4" s="1" a="1"/>
  <c r="L253" i="4"/>
  <c r="M253" i="4" s="1" a="1"/>
  <c r="L254" i="4"/>
  <c r="M254" i="4" s="1" a="1"/>
  <c r="A1" i="10" a="1"/>
  <c r="W253" i="4" a="1"/>
  <c r="W254" i="4" a="1"/>
  <c r="W255" i="4" a="1"/>
  <c r="W256" i="4" a="1"/>
  <c r="W257" i="4" a="1"/>
  <c r="W258" i="4" a="1"/>
  <c r="W259" i="4" a="1"/>
  <c r="A3" i="3" a="1"/>
  <c r="A4" i="3" a="1"/>
  <c r="A5" i="3" a="1"/>
  <c r="A6" i="3" a="1"/>
  <c r="A7" i="3" a="1"/>
  <c r="A8" i="3" a="1"/>
  <c r="A9" i="3" a="1"/>
  <c r="A10" i="3" a="1"/>
  <c r="A11" i="3" a="1"/>
  <c r="A12" i="3" a="1"/>
  <c r="A13" i="3" a="1"/>
  <c r="A14" i="3" a="1"/>
  <c r="A15" i="3" a="1"/>
  <c r="A16" i="3" a="1"/>
  <c r="A17" i="3" a="1"/>
  <c r="A18" i="3" a="1"/>
  <c r="A19" i="3" a="1"/>
  <c r="A20" i="3" a="1"/>
  <c r="A21" i="3" a="1"/>
  <c r="A22" i="3" a="1"/>
  <c r="A23" i="3" a="1"/>
  <c r="A24" i="3" a="1"/>
  <c r="A25" i="3" a="1"/>
  <c r="A26" i="3" a="1"/>
  <c r="A27" i="3" a="1"/>
  <c r="A28" i="3" a="1"/>
  <c r="A29" i="3" a="1"/>
  <c r="A30" i="3" a="1"/>
  <c r="A31" i="3" a="1"/>
  <c r="A32" i="3" a="1"/>
  <c r="A33" i="3" a="1"/>
  <c r="A34" i="3" a="1"/>
  <c r="S303" i="6"/>
  <c r="G196" i="6"/>
  <c r="I225" i="6"/>
  <c r="I153" i="6"/>
  <c r="S377" i="6"/>
  <c r="S240" i="6"/>
  <c r="S348" i="6"/>
  <c r="S322" i="6"/>
  <c r="S199" i="6"/>
  <c r="S295" i="6"/>
  <c r="H259" i="6"/>
  <c r="AA84" i="6"/>
  <c r="S171" i="6"/>
  <c r="AA79" i="6"/>
  <c r="AA78" i="6"/>
  <c r="AA70" i="6"/>
  <c r="AA57" i="6"/>
  <c r="AA51" i="6"/>
  <c r="S142" i="6"/>
  <c r="AA65" i="6"/>
  <c r="AA59" i="6"/>
  <c r="AA53" i="6"/>
  <c r="S50" i="6"/>
  <c r="AA383" i="6"/>
  <c r="S382" i="6"/>
  <c r="AA306" i="6"/>
  <c r="AA292" i="6"/>
  <c r="S279" i="6"/>
  <c r="AA274" i="6"/>
  <c r="S259" i="6"/>
  <c r="S238" i="6"/>
  <c r="AA380" i="6"/>
  <c r="S375" i="6"/>
  <c r="S321" i="6"/>
  <c r="S204" i="6"/>
  <c r="S202" i="6"/>
  <c r="S384" i="6"/>
  <c r="AA282" i="6"/>
  <c r="S208" i="6"/>
  <c r="AA356" i="6"/>
  <c r="AA341" i="6"/>
  <c r="S228" i="6"/>
  <c r="S166" i="6"/>
  <c r="G386" i="6"/>
  <c r="AA349" i="6"/>
  <c r="AA337" i="6"/>
  <c r="AA307" i="6"/>
  <c r="H261" i="6"/>
  <c r="S243" i="6"/>
  <c r="I239" i="6"/>
  <c r="S226" i="6"/>
  <c r="AA138" i="6"/>
  <c r="H135" i="6"/>
  <c r="AA61" i="6"/>
  <c r="I342" i="6"/>
  <c r="G342" i="6"/>
  <c r="H342" i="6"/>
  <c r="I326" i="6"/>
  <c r="G326" i="6"/>
  <c r="H298" i="6"/>
  <c r="I298" i="6"/>
  <c r="H209" i="6"/>
  <c r="I209" i="6"/>
  <c r="I204" i="6"/>
  <c r="H204" i="6"/>
  <c r="I148" i="6"/>
  <c r="G148" i="6"/>
  <c r="G155" i="6"/>
  <c r="S136" i="6"/>
  <c r="AA68" i="6"/>
  <c r="S193" i="6"/>
  <c r="S184" i="6"/>
  <c r="AA386" i="6"/>
  <c r="S381" i="6"/>
  <c r="AA377" i="6"/>
  <c r="AA322" i="6"/>
  <c r="AA316" i="6"/>
  <c r="AA298" i="6"/>
  <c r="S283" i="6"/>
  <c r="AA280" i="6"/>
  <c r="AA279" i="6"/>
  <c r="AA250" i="6"/>
  <c r="S223" i="6"/>
  <c r="S201" i="6"/>
  <c r="S380" i="6"/>
  <c r="AA368" i="6"/>
  <c r="AA359" i="6"/>
  <c r="S355" i="6"/>
  <c r="AA350" i="6"/>
  <c r="S318" i="6"/>
  <c r="AA256" i="6"/>
  <c r="AA254" i="6"/>
  <c r="AA246" i="6"/>
  <c r="AA381" i="6"/>
  <c r="AA374" i="6"/>
  <c r="S345" i="6"/>
  <c r="AA343" i="6"/>
  <c r="AA340" i="6"/>
  <c r="AA325" i="6"/>
  <c r="AA319" i="6"/>
  <c r="AA313" i="6"/>
  <c r="AA312" i="6"/>
  <c r="AA310" i="6"/>
  <c r="AA283" i="6"/>
  <c r="AA270" i="6"/>
  <c r="AA268" i="6"/>
  <c r="S255" i="6"/>
  <c r="AA244" i="6"/>
  <c r="AA242" i="6"/>
  <c r="AA232" i="6"/>
  <c r="AA223" i="6"/>
  <c r="S154" i="6"/>
  <c r="S71" i="6"/>
  <c r="S62" i="6"/>
  <c r="S53" i="6"/>
  <c r="S49" i="6"/>
  <c r="AA139" i="6"/>
  <c r="S65" i="6"/>
  <c r="S55" i="6"/>
  <c r="AA52" i="6"/>
  <c r="S87" i="6"/>
  <c r="AA66" i="6"/>
  <c r="AA62" i="6"/>
  <c r="AA54" i="6"/>
  <c r="I171" i="6"/>
  <c r="S165" i="6"/>
  <c r="H157" i="6"/>
  <c r="H134" i="6"/>
  <c r="AA85" i="6"/>
  <c r="AA81" i="6"/>
  <c r="S78" i="6"/>
  <c r="S76" i="6"/>
  <c r="AA67" i="6"/>
  <c r="I60" i="6"/>
  <c r="S372" i="6"/>
  <c r="S328" i="6"/>
  <c r="S325" i="6"/>
  <c r="S316" i="6"/>
  <c r="S378" i="6"/>
  <c r="S331" i="6"/>
  <c r="I302" i="6"/>
  <c r="G302" i="6"/>
  <c r="G367" i="6"/>
  <c r="S280" i="6"/>
  <c r="AA357" i="6"/>
  <c r="S357" i="6"/>
  <c r="S346" i="6"/>
  <c r="I295" i="6"/>
  <c r="G295" i="6"/>
  <c r="G381" i="6"/>
  <c r="I381" i="6"/>
  <c r="H374" i="6"/>
  <c r="S373" i="6"/>
  <c r="AA372" i="6"/>
  <c r="AA339" i="6"/>
  <c r="S339" i="6"/>
  <c r="AA267" i="6"/>
  <c r="S267" i="6"/>
  <c r="S387" i="6"/>
  <c r="S386" i="6"/>
  <c r="S374" i="6"/>
  <c r="S367" i="6"/>
  <c r="S365" i="6"/>
  <c r="S364" i="6"/>
  <c r="G293" i="6"/>
  <c r="I293" i="6"/>
  <c r="AA291" i="6"/>
  <c r="S291" i="6"/>
  <c r="AA290" i="6"/>
  <c r="S220" i="6"/>
  <c r="G190" i="6"/>
  <c r="G178" i="6"/>
  <c r="H178" i="6"/>
  <c r="S172" i="6"/>
  <c r="S333" i="6"/>
  <c r="G307" i="6"/>
  <c r="AA303" i="6"/>
  <c r="S271" i="6"/>
  <c r="G248" i="6"/>
  <c r="S232" i="6"/>
  <c r="AA228" i="6"/>
  <c r="AA222" i="6"/>
  <c r="S210" i="6"/>
  <c r="AA208" i="6"/>
  <c r="AA178" i="6"/>
  <c r="G166" i="6"/>
  <c r="H166" i="6"/>
  <c r="S148" i="6"/>
  <c r="S337" i="6"/>
  <c r="S336" i="6"/>
  <c r="S335" i="6"/>
  <c r="AA327" i="6"/>
  <c r="AA324" i="6"/>
  <c r="AA318" i="6"/>
  <c r="S310" i="6"/>
  <c r="S385" i="6"/>
  <c r="S383" i="6"/>
  <c r="S376" i="6"/>
  <c r="AA371" i="6"/>
  <c r="S369" i="6"/>
  <c r="S344" i="6"/>
  <c r="S342" i="6"/>
  <c r="S368" i="6"/>
  <c r="S366" i="6"/>
  <c r="AA365" i="6"/>
  <c r="AA358" i="6"/>
  <c r="AA348" i="6"/>
  <c r="S307" i="6"/>
  <c r="AA295" i="6"/>
  <c r="H262" i="6"/>
  <c r="G257" i="6"/>
  <c r="S244" i="6"/>
  <c r="S235" i="6"/>
  <c r="G225" i="6"/>
  <c r="S222" i="6"/>
  <c r="AA220" i="6"/>
  <c r="H216" i="6"/>
  <c r="AA204" i="6"/>
  <c r="S195" i="6"/>
  <c r="AA192" i="6"/>
  <c r="S190" i="6"/>
  <c r="AA174" i="6"/>
  <c r="AA172" i="6"/>
  <c r="S169" i="6"/>
  <c r="S229" i="6"/>
  <c r="I201" i="6"/>
  <c r="G201" i="6"/>
  <c r="S192" i="6"/>
  <c r="AA177" i="6"/>
  <c r="S177" i="6"/>
  <c r="H159" i="6"/>
  <c r="I159" i="6"/>
  <c r="S371" i="6"/>
  <c r="S363" i="6"/>
  <c r="S362" i="6"/>
  <c r="AA361" i="6"/>
  <c r="S360" i="6"/>
  <c r="I328" i="6"/>
  <c r="S327" i="6"/>
  <c r="G259" i="6"/>
  <c r="AA238" i="6"/>
  <c r="H228" i="6"/>
  <c r="G228" i="6"/>
  <c r="S214" i="6"/>
  <c r="S205" i="6"/>
  <c r="H198" i="6"/>
  <c r="AA195" i="6"/>
  <c r="G193" i="6"/>
  <c r="S180" i="6"/>
  <c r="H180" i="6"/>
  <c r="AA169" i="6"/>
  <c r="I272" i="6"/>
  <c r="G272" i="6"/>
  <c r="G249" i="6"/>
  <c r="G242" i="6"/>
  <c r="S237" i="6"/>
  <c r="AA229" i="6"/>
  <c r="G221" i="6"/>
  <c r="H221" i="6"/>
  <c r="I205" i="6"/>
  <c r="H186" i="6"/>
  <c r="S178" i="6"/>
  <c r="I178" i="6"/>
  <c r="S157" i="6"/>
  <c r="S151" i="6"/>
  <c r="AA201" i="6"/>
  <c r="AA196" i="6"/>
  <c r="AA163" i="6"/>
  <c r="I155" i="6"/>
  <c r="AA148" i="6"/>
  <c r="AA141" i="6"/>
  <c r="S73" i="6"/>
  <c r="S61" i="6"/>
  <c r="S57" i="6"/>
  <c r="S51" i="6"/>
  <c r="S144" i="6"/>
  <c r="S84" i="6"/>
  <c r="S79" i="6"/>
  <c r="S64" i="6"/>
  <c r="S63" i="6"/>
  <c r="AA156" i="6"/>
  <c r="AA151" i="6"/>
  <c r="AA136" i="6"/>
  <c r="AA133" i="6"/>
  <c r="S82" i="6"/>
  <c r="S81" i="6"/>
  <c r="AA71" i="6"/>
  <c r="S68" i="6"/>
  <c r="S67" i="6"/>
  <c r="S60" i="6"/>
  <c r="S52" i="6"/>
  <c r="S48" i="6"/>
  <c r="S138" i="6"/>
  <c r="AA135" i="6"/>
  <c r="AA87" i="6"/>
  <c r="I74" i="6"/>
  <c r="S58" i="6"/>
  <c r="S54" i="6"/>
  <c r="S354" i="6"/>
  <c r="S353" i="6"/>
  <c r="AA352" i="6"/>
  <c r="S351" i="6"/>
  <c r="AA346" i="6"/>
  <c r="AA321" i="6"/>
  <c r="S319" i="6"/>
  <c r="AA315" i="6"/>
  <c r="S313" i="6"/>
  <c r="AA259" i="6"/>
  <c r="AA255" i="6"/>
  <c r="S247" i="6"/>
  <c r="AA243" i="6"/>
  <c r="AA226" i="6"/>
  <c r="AA225" i="6"/>
  <c r="AA202" i="6"/>
  <c r="AA199" i="6"/>
  <c r="S196" i="6"/>
  <c r="AA193" i="6"/>
  <c r="AA184" i="6"/>
  <c r="S174" i="6"/>
  <c r="S163" i="6"/>
  <c r="S141" i="6"/>
  <c r="S160" i="6"/>
  <c r="S139" i="6"/>
  <c r="S70" i="6"/>
  <c r="AA64" i="6"/>
  <c r="G204" i="6"/>
  <c r="G180" i="6"/>
  <c r="G175" i="6"/>
  <c r="G159" i="6"/>
  <c r="G157" i="6"/>
  <c r="I135" i="6"/>
  <c r="I134" i="6"/>
  <c r="H72" i="6"/>
  <c r="H265" i="6"/>
  <c r="H224" i="6"/>
  <c r="H218" i="6"/>
  <c r="I349" i="6"/>
  <c r="G322" i="6"/>
  <c r="I319" i="6"/>
  <c r="I289" i="6"/>
  <c r="G265" i="6"/>
  <c r="I237" i="6"/>
  <c r="H232" i="6"/>
  <c r="H229" i="6"/>
  <c r="G224" i="6"/>
  <c r="G218" i="6"/>
  <c r="H212" i="6"/>
  <c r="G200" i="6"/>
  <c r="G185" i="6"/>
  <c r="I177" i="6"/>
  <c r="G164" i="6"/>
  <c r="H386" i="6"/>
  <c r="H383" i="6"/>
  <c r="H380" i="6"/>
  <c r="H375" i="6"/>
  <c r="I371" i="6"/>
  <c r="G361" i="6"/>
  <c r="H351" i="6"/>
  <c r="H349" i="6"/>
  <c r="H319" i="6"/>
  <c r="I296" i="6"/>
  <c r="G283" i="6"/>
  <c r="G269" i="6"/>
  <c r="I260" i="6"/>
  <c r="G241" i="6"/>
  <c r="G232" i="6"/>
  <c r="G229" i="6"/>
  <c r="G220" i="6"/>
  <c r="I191" i="6"/>
  <c r="I188" i="6"/>
  <c r="G179" i="6"/>
  <c r="G177" i="6"/>
  <c r="H158" i="6"/>
  <c r="G135" i="6"/>
  <c r="G134" i="6"/>
  <c r="H85" i="6"/>
  <c r="H181" i="6"/>
  <c r="H176" i="6"/>
  <c r="I88" i="6"/>
  <c r="I152" i="6"/>
  <c r="G146" i="6"/>
  <c r="I141" i="6"/>
  <c r="H82" i="6"/>
  <c r="I68" i="6"/>
  <c r="I54" i="6"/>
  <c r="I304" i="6"/>
  <c r="I280" i="6"/>
  <c r="I226" i="6"/>
  <c r="I217" i="6"/>
  <c r="I377" i="6"/>
  <c r="I333" i="6"/>
  <c r="I322" i="6"/>
  <c r="I316" i="6"/>
  <c r="I313" i="6"/>
  <c r="I307" i="6"/>
  <c r="I305" i="6"/>
  <c r="H304" i="6"/>
  <c r="H280" i="6"/>
  <c r="I278" i="6"/>
  <c r="H256" i="6"/>
  <c r="H226" i="6"/>
  <c r="I222" i="6"/>
  <c r="I220" i="6"/>
  <c r="H217" i="6"/>
  <c r="H203" i="6"/>
  <c r="I197" i="6"/>
  <c r="H152" i="6"/>
  <c r="H377" i="6"/>
  <c r="H333" i="6"/>
  <c r="H331" i="6"/>
  <c r="H322" i="6"/>
  <c r="H307" i="6"/>
  <c r="G304" i="6"/>
  <c r="G281" i="6"/>
  <c r="G280" i="6"/>
  <c r="I265" i="6"/>
  <c r="I259" i="6"/>
  <c r="G256" i="6"/>
  <c r="I250" i="6"/>
  <c r="I235" i="6"/>
  <c r="I228" i="6"/>
  <c r="G222" i="6"/>
  <c r="I218" i="6"/>
  <c r="G217" i="6"/>
  <c r="G203" i="6"/>
  <c r="I200" i="6"/>
  <c r="I193" i="6"/>
  <c r="I176" i="6"/>
  <c r="G173" i="6"/>
  <c r="I170" i="6"/>
  <c r="G152" i="6"/>
  <c r="H136" i="6"/>
  <c r="G187" i="6"/>
  <c r="G176" i="6"/>
  <c r="H167" i="6"/>
  <c r="H151" i="6"/>
  <c r="H143" i="6"/>
  <c r="H51" i="6"/>
  <c r="H297" i="6"/>
  <c r="I165" i="6"/>
  <c r="H165" i="6"/>
  <c r="H137" i="6"/>
  <c r="G137" i="6"/>
  <c r="H313" i="6"/>
  <c r="G289" i="6"/>
  <c r="I150" i="6"/>
  <c r="H150" i="6"/>
  <c r="I352" i="6"/>
  <c r="I369" i="6"/>
  <c r="I367" i="6"/>
  <c r="I364" i="6"/>
  <c r="H352" i="6"/>
  <c r="I343" i="6"/>
  <c r="I337" i="6"/>
  <c r="I325" i="6"/>
  <c r="I297" i="6"/>
  <c r="G233" i="6"/>
  <c r="H233" i="6"/>
  <c r="H231" i="6"/>
  <c r="H230" i="6"/>
  <c r="I227" i="6"/>
  <c r="H223" i="6"/>
  <c r="H219" i="6"/>
  <c r="G211" i="6"/>
  <c r="H202" i="6"/>
  <c r="I199" i="6"/>
  <c r="I175" i="6"/>
  <c r="I164" i="6"/>
  <c r="G139" i="6"/>
  <c r="H139" i="6"/>
  <c r="G310" i="6"/>
  <c r="H238" i="6"/>
  <c r="G238" i="6"/>
  <c r="I167" i="6"/>
  <c r="G167" i="6"/>
  <c r="I156" i="6"/>
  <c r="I184" i="6"/>
  <c r="H184" i="6"/>
  <c r="G160" i="6"/>
  <c r="I160" i="6"/>
  <c r="I231" i="6"/>
  <c r="I230" i="6"/>
  <c r="I219" i="6"/>
  <c r="I202" i="6"/>
  <c r="I186" i="6"/>
  <c r="G186" i="6"/>
  <c r="H171" i="6"/>
  <c r="I147" i="6"/>
  <c r="H147" i="6"/>
  <c r="I143" i="6"/>
  <c r="G143" i="6"/>
  <c r="I375" i="6"/>
  <c r="H367" i="6"/>
  <c r="H364" i="6"/>
  <c r="H358" i="6"/>
  <c r="G352" i="6"/>
  <c r="H346" i="6"/>
  <c r="H343" i="6"/>
  <c r="H310" i="6"/>
  <c r="G297" i="6"/>
  <c r="I268" i="6"/>
  <c r="G262" i="6"/>
  <c r="I256" i="6"/>
  <c r="I254" i="6"/>
  <c r="I249" i="6"/>
  <c r="I238" i="6"/>
  <c r="H236" i="6"/>
  <c r="G236" i="6"/>
  <c r="I232" i="6"/>
  <c r="H227" i="6"/>
  <c r="G223" i="6"/>
  <c r="G219" i="6"/>
  <c r="G210" i="6"/>
  <c r="I210" i="6"/>
  <c r="I207" i="6"/>
  <c r="I203" i="6"/>
  <c r="H199" i="6"/>
  <c r="G197" i="6"/>
  <c r="I196" i="6"/>
  <c r="I194" i="6"/>
  <c r="H190" i="6"/>
  <c r="I190" i="6"/>
  <c r="I187" i="6"/>
  <c r="I179" i="6"/>
  <c r="I172" i="6"/>
  <c r="I162" i="6"/>
  <c r="G158" i="6"/>
  <c r="H156" i="6"/>
  <c r="I149" i="6"/>
  <c r="G149" i="6"/>
  <c r="I146" i="6"/>
  <c r="H146" i="6"/>
  <c r="H142" i="6"/>
  <c r="I138" i="6"/>
  <c r="H138" i="6"/>
  <c r="H63" i="6"/>
  <c r="H57" i="6"/>
  <c r="I47" i="6"/>
  <c r="I83" i="6"/>
  <c r="I59" i="6"/>
  <c r="I136" i="6"/>
  <c r="I72" i="6"/>
  <c r="I62" i="6"/>
  <c r="H59" i="6"/>
  <c r="I51" i="6"/>
  <c r="G141" i="6"/>
  <c r="H88" i="6"/>
  <c r="G85" i="6"/>
  <c r="G82" i="6"/>
  <c r="I63" i="6"/>
  <c r="H60" i="6"/>
  <c r="I57" i="6"/>
  <c r="H54" i="6"/>
  <c r="B158" i="1"/>
  <c r="B98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B122" i="1"/>
  <c r="B62" i="1"/>
  <c r="B14" i="1"/>
  <c r="D1218" i="1"/>
  <c r="D1182" i="1"/>
  <c r="D1074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B146" i="1"/>
  <c r="B26" i="1"/>
  <c r="D1224" i="1"/>
  <c r="D1206" i="1"/>
  <c r="D1170" i="1"/>
  <c r="D1134" i="1"/>
  <c r="D1104" i="1"/>
  <c r="D1050" i="1"/>
  <c r="D1154" i="1"/>
  <c r="B134" i="1"/>
  <c r="B86" i="1"/>
  <c r="B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B110" i="1"/>
  <c r="B74" i="1"/>
  <c r="B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B168" i="1"/>
  <c r="B138" i="1"/>
  <c r="B126" i="1"/>
  <c r="B114" i="1"/>
  <c r="B66" i="1"/>
  <c r="B54" i="1"/>
  <c r="B4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B145" i="1"/>
  <c r="B5" i="1"/>
  <c r="B162" i="1"/>
  <c r="B150" i="1"/>
  <c r="B102" i="1"/>
  <c r="B90" i="1"/>
  <c r="B78" i="1"/>
  <c r="B60" i="1"/>
  <c r="B30" i="1"/>
  <c r="B18" i="1"/>
  <c r="D1216" i="1"/>
  <c r="B2" i="1"/>
  <c r="B4" i="1"/>
  <c r="B167" i="1"/>
  <c r="B161" i="1"/>
  <c r="B155" i="1"/>
  <c r="B149" i="1"/>
  <c r="B143" i="1"/>
  <c r="B137" i="1"/>
  <c r="B131" i="1"/>
  <c r="B125" i="1"/>
  <c r="B119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B8" i="1"/>
  <c r="B10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B169" i="1"/>
  <c r="B157" i="1"/>
  <c r="B151" i="1"/>
  <c r="B139" i="1"/>
  <c r="B13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B184" i="1"/>
  <c r="B178" i="1"/>
  <c r="D969" i="1"/>
  <c r="D963" i="1"/>
  <c r="D957" i="1"/>
  <c r="D945" i="1"/>
  <c r="D939" i="1"/>
  <c r="D927" i="1"/>
  <c r="D921" i="1"/>
  <c r="D909" i="1"/>
  <c r="D903" i="1"/>
  <c r="D891" i="1"/>
  <c r="D885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B9" i="1"/>
  <c r="B154" i="1"/>
  <c r="B142" i="1"/>
  <c r="B130" i="1"/>
  <c r="B118" i="1"/>
  <c r="B106" i="1"/>
  <c r="B94" i="1"/>
  <c r="B82" i="1"/>
  <c r="B70" i="1"/>
  <c r="B58" i="1"/>
  <c r="B46" i="1"/>
  <c r="B34" i="1"/>
  <c r="B22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B186" i="1"/>
  <c r="B180" i="1"/>
  <c r="B174" i="1"/>
  <c r="B185" i="1"/>
  <c r="B179" i="1"/>
  <c r="B173" i="1"/>
  <c r="B183" i="1"/>
  <c r="B177" i="1"/>
  <c r="B182" i="1"/>
  <c r="B176" i="1"/>
  <c r="B170" i="1"/>
  <c r="B181" i="1"/>
  <c r="B175" i="1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215" i="1"/>
  <c r="B211" i="1"/>
  <c r="B207" i="1"/>
  <c r="B203" i="1"/>
  <c r="B199" i="1"/>
  <c r="B195" i="1"/>
  <c r="B191" i="1"/>
  <c r="B187" i="1"/>
  <c r="B171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B172" i="1"/>
  <c r="H50" i="6"/>
  <c r="H49" i="6"/>
  <c r="I50" i="6"/>
  <c r="I48" i="6"/>
  <c r="A46" i="6" s="1"/>
  <c r="B46" i="6"/>
  <c r="C46" i="6"/>
  <c r="N46" i="6" a="1"/>
  <c r="K46" i="6"/>
  <c r="P46" i="6"/>
  <c r="J46" i="6"/>
  <c r="Q46" i="6"/>
  <c r="O46" i="6"/>
  <c r="F46" i="6"/>
  <c r="I46" i="6" s="1"/>
  <c r="A44" i="6" s="1"/>
  <c r="A42" i="6" s="1"/>
  <c r="C42" i="6"/>
  <c r="N42" i="6" a="1"/>
  <c r="A36" i="6" s="1"/>
  <c r="Q36" i="6"/>
  <c r="C41" i="6"/>
  <c r="A35" i="6" s="1"/>
  <c r="J35" i="6"/>
  <c r="A40" i="6" s="1"/>
  <c r="B34" i="6"/>
  <c r="R34" i="3"/>
  <c r="J34" i="6"/>
  <c r="C45" i="6"/>
  <c r="A39" i="6" s="1"/>
  <c r="Q39" i="6"/>
  <c r="B39" i="6"/>
  <c r="N45" i="6" a="1"/>
  <c r="K39" i="6"/>
  <c r="Q34" i="6"/>
  <c r="B42" i="6"/>
  <c r="C39" i="6"/>
  <c r="C36" i="6"/>
  <c r="K36" i="6"/>
  <c r="O34" i="6"/>
  <c r="Q45" i="6"/>
  <c r="K45" i="6"/>
  <c r="Q41" i="6"/>
  <c r="C40" i="6"/>
  <c r="B36" i="6"/>
  <c r="B45" i="6"/>
  <c r="K34" i="6"/>
  <c r="P45" i="6"/>
  <c r="J45" i="6"/>
  <c r="K41" i="6"/>
  <c r="P35" i="6"/>
  <c r="N40" i="6" a="1"/>
  <c r="O45" i="6"/>
  <c r="F45" i="6"/>
  <c r="I45" i="6" s="1"/>
  <c r="P34" i="6"/>
  <c r="F34" i="6"/>
  <c r="G34" i="6" s="1"/>
  <c r="Q44" i="6"/>
  <c r="AA44" i="6" s="1"/>
  <c r="K44" i="6"/>
  <c r="C44" i="6"/>
  <c r="C43" i="6"/>
  <c r="Q42" i="6"/>
  <c r="K42" i="6"/>
  <c r="P41" i="6"/>
  <c r="J41" i="6"/>
  <c r="B41" i="6"/>
  <c r="Q40" i="6"/>
  <c r="K40" i="6"/>
  <c r="B40" i="6"/>
  <c r="P39" i="6"/>
  <c r="J39" i="6"/>
  <c r="P37" i="6"/>
  <c r="J37" i="6"/>
  <c r="B37" i="6"/>
  <c r="P36" i="6"/>
  <c r="J36" i="6"/>
  <c r="O35" i="6"/>
  <c r="N43" i="6" a="1"/>
  <c r="Q37" i="6"/>
  <c r="K37" i="6"/>
  <c r="C37" i="6"/>
  <c r="P44" i="6"/>
  <c r="J44" i="6"/>
  <c r="B44" i="6"/>
  <c r="Q43" i="6"/>
  <c r="K43" i="6"/>
  <c r="B43" i="6"/>
  <c r="P42" i="6"/>
  <c r="J42" i="6"/>
  <c r="O41" i="6"/>
  <c r="P40" i="6"/>
  <c r="J40" i="6"/>
  <c r="O39" i="6"/>
  <c r="F38" i="6"/>
  <c r="I38" i="6" s="1"/>
  <c r="O37" i="6"/>
  <c r="O36" i="6"/>
  <c r="F35" i="6"/>
  <c r="I35" i="6" s="1"/>
  <c r="C34" i="6"/>
  <c r="N34" i="6" a="1"/>
  <c r="S34" i="6" s="1"/>
  <c r="O44" i="6"/>
  <c r="P43" i="6"/>
  <c r="J43" i="6"/>
  <c r="O42" i="6"/>
  <c r="F42" i="6"/>
  <c r="I42" i="6" s="1"/>
  <c r="F41" i="6"/>
  <c r="O40" i="6"/>
  <c r="F39" i="6"/>
  <c r="F37" i="6"/>
  <c r="F36" i="6"/>
  <c r="N35" i="6" a="1"/>
  <c r="F44" i="6"/>
  <c r="O43" i="6"/>
  <c r="N41" i="6" a="1"/>
  <c r="F40" i="6"/>
  <c r="N39" i="6" a="1"/>
  <c r="N37" i="6" a="1"/>
  <c r="N36" i="6" a="1"/>
  <c r="C35" i="6"/>
  <c r="N44" i="6" a="1"/>
  <c r="F43" i="6"/>
  <c r="AA41" i="6"/>
  <c r="Q35" i="6"/>
  <c r="K35" i="6"/>
  <c r="B35" i="6"/>
  <c r="N38" i="6" a="1"/>
  <c r="Q38" i="6"/>
  <c r="K38" i="6"/>
  <c r="C38" i="6"/>
  <c r="P38" i="6"/>
  <c r="J38" i="6"/>
  <c r="B38" i="6"/>
  <c r="O38" i="6"/>
  <c r="S379" i="6"/>
  <c r="S370" i="6"/>
  <c r="I386" i="6"/>
  <c r="G385" i="6"/>
  <c r="I383" i="6"/>
  <c r="G382" i="6"/>
  <c r="G379" i="6"/>
  <c r="G376" i="6"/>
  <c r="G373" i="6"/>
  <c r="G370" i="6"/>
  <c r="H368" i="6"/>
  <c r="H365" i="6"/>
  <c r="S361" i="6"/>
  <c r="S359" i="6"/>
  <c r="G357" i="6"/>
  <c r="I356" i="6"/>
  <c r="S352" i="6"/>
  <c r="S350" i="6"/>
  <c r="G348" i="6"/>
  <c r="I347" i="6"/>
  <c r="S343" i="6"/>
  <c r="S341" i="6"/>
  <c r="G339" i="6"/>
  <c r="I338" i="6"/>
  <c r="G294" i="6"/>
  <c r="H294" i="6"/>
  <c r="I294" i="6"/>
  <c r="S269" i="6"/>
  <c r="AA269" i="6"/>
  <c r="S257" i="6"/>
  <c r="AA257" i="6"/>
  <c r="I321" i="6"/>
  <c r="G321" i="6"/>
  <c r="H321" i="6"/>
  <c r="AA309" i="6"/>
  <c r="S309" i="6"/>
  <c r="S305" i="6"/>
  <c r="AA305" i="6"/>
  <c r="AA385" i="6"/>
  <c r="AA382" i="6"/>
  <c r="AA379" i="6"/>
  <c r="AA376" i="6"/>
  <c r="AA373" i="6"/>
  <c r="AA370" i="6"/>
  <c r="AA366" i="6"/>
  <c r="AA363" i="6"/>
  <c r="H332" i="6"/>
  <c r="I332" i="6"/>
  <c r="H323" i="6"/>
  <c r="G323" i="6"/>
  <c r="I323" i="6"/>
  <c r="I309" i="6"/>
  <c r="G309" i="6"/>
  <c r="H309" i="6"/>
  <c r="S308" i="6"/>
  <c r="AA308" i="6"/>
  <c r="S293" i="6"/>
  <c r="AA293" i="6"/>
  <c r="H263" i="6"/>
  <c r="G263" i="6"/>
  <c r="I263" i="6"/>
  <c r="G347" i="6"/>
  <c r="H347" i="6"/>
  <c r="S334" i="6"/>
  <c r="AA334" i="6"/>
  <c r="G359" i="6"/>
  <c r="H359" i="6"/>
  <c r="AA354" i="6"/>
  <c r="G350" i="6"/>
  <c r="H350" i="6"/>
  <c r="AA345" i="6"/>
  <c r="G341" i="6"/>
  <c r="H341" i="6"/>
  <c r="AA336" i="6"/>
  <c r="G331" i="6"/>
  <c r="AA330" i="6"/>
  <c r="S330" i="6"/>
  <c r="I327" i="6"/>
  <c r="G327" i="6"/>
  <c r="H327" i="6"/>
  <c r="H299" i="6"/>
  <c r="G299" i="6"/>
  <c r="I299" i="6"/>
  <c r="S276" i="6"/>
  <c r="AA276" i="6"/>
  <c r="I267" i="6"/>
  <c r="G267" i="6"/>
  <c r="H267" i="6"/>
  <c r="H251" i="6"/>
  <c r="G251" i="6"/>
  <c r="I251" i="6"/>
  <c r="I385" i="6"/>
  <c r="I382" i="6"/>
  <c r="I379" i="6"/>
  <c r="I376" i="6"/>
  <c r="I373" i="6"/>
  <c r="I370" i="6"/>
  <c r="AA367" i="6"/>
  <c r="G366" i="6"/>
  <c r="AA364" i="6"/>
  <c r="G363" i="6"/>
  <c r="AA362" i="6"/>
  <c r="S358" i="6"/>
  <c r="S356" i="6"/>
  <c r="G354" i="6"/>
  <c r="AA353" i="6"/>
  <c r="S349" i="6"/>
  <c r="S347" i="6"/>
  <c r="G345" i="6"/>
  <c r="AA344" i="6"/>
  <c r="S340" i="6"/>
  <c r="S338" i="6"/>
  <c r="G336" i="6"/>
  <c r="AA335" i="6"/>
  <c r="I334" i="6"/>
  <c r="S332" i="6"/>
  <c r="AA332" i="6"/>
  <c r="I303" i="6"/>
  <c r="G303" i="6"/>
  <c r="H303" i="6"/>
  <c r="H287" i="6"/>
  <c r="G287" i="6"/>
  <c r="I287" i="6"/>
  <c r="G255" i="6"/>
  <c r="I255" i="6"/>
  <c r="H255" i="6"/>
  <c r="G356" i="6"/>
  <c r="H356" i="6"/>
  <c r="G338" i="6"/>
  <c r="H338" i="6"/>
  <c r="S272" i="6"/>
  <c r="AA272" i="6"/>
  <c r="I368" i="6"/>
  <c r="I365" i="6"/>
  <c r="G362" i="6"/>
  <c r="H362" i="6"/>
  <c r="H357" i="6"/>
  <c r="G353" i="6"/>
  <c r="H353" i="6"/>
  <c r="H348" i="6"/>
  <c r="G344" i="6"/>
  <c r="H344" i="6"/>
  <c r="H339" i="6"/>
  <c r="G335" i="6"/>
  <c r="H335" i="6"/>
  <c r="G334" i="6"/>
  <c r="H317" i="6"/>
  <c r="G317" i="6"/>
  <c r="I317" i="6"/>
  <c r="G291" i="6"/>
  <c r="I291" i="6"/>
  <c r="H291" i="6"/>
  <c r="G258" i="6"/>
  <c r="H258" i="6"/>
  <c r="I258" i="6"/>
  <c r="S329" i="6"/>
  <c r="AA329" i="6"/>
  <c r="I315" i="6"/>
  <c r="G315" i="6"/>
  <c r="S312" i="6"/>
  <c r="H311" i="6"/>
  <c r="G311" i="6"/>
  <c r="G306" i="6"/>
  <c r="H306" i="6"/>
  <c r="I306" i="6"/>
  <c r="S298" i="6"/>
  <c r="S286" i="6"/>
  <c r="S281" i="6"/>
  <c r="AA281" i="6"/>
  <c r="AA277" i="6"/>
  <c r="S277" i="6"/>
  <c r="S273" i="6"/>
  <c r="G270" i="6"/>
  <c r="H270" i="6"/>
  <c r="I270" i="6"/>
  <c r="S262" i="6"/>
  <c r="S250" i="6"/>
  <c r="S245" i="6"/>
  <c r="AA245" i="6"/>
  <c r="AA241" i="6"/>
  <c r="S241" i="6"/>
  <c r="AA175" i="6"/>
  <c r="S175" i="6"/>
  <c r="AA219" i="6"/>
  <c r="S219" i="6"/>
  <c r="AA216" i="6"/>
  <c r="S216" i="6"/>
  <c r="AA213" i="6"/>
  <c r="S213" i="6"/>
  <c r="AA186" i="6"/>
  <c r="S186" i="6"/>
  <c r="S315" i="6"/>
  <c r="G279" i="6"/>
  <c r="I279" i="6"/>
  <c r="G243" i="6"/>
  <c r="I243" i="6"/>
  <c r="AA211" i="6"/>
  <c r="S211" i="6"/>
  <c r="AA183" i="6"/>
  <c r="S183" i="6"/>
  <c r="AA181" i="6"/>
  <c r="S181" i="6"/>
  <c r="AA301" i="6"/>
  <c r="S301" i="6"/>
  <c r="S297" i="6"/>
  <c r="AA289" i="6"/>
  <c r="S289" i="6"/>
  <c r="S284" i="6"/>
  <c r="AA284" i="6"/>
  <c r="S274" i="6"/>
  <c r="AA265" i="6"/>
  <c r="S265" i="6"/>
  <c r="S261" i="6"/>
  <c r="AA253" i="6"/>
  <c r="S253" i="6"/>
  <c r="S248" i="6"/>
  <c r="AA248" i="6"/>
  <c r="AA236" i="6"/>
  <c r="S236" i="6"/>
  <c r="AA233" i="6"/>
  <c r="S233" i="6"/>
  <c r="AA224" i="6"/>
  <c r="S224" i="6"/>
  <c r="AA207" i="6"/>
  <c r="S207" i="6"/>
  <c r="AA200" i="6"/>
  <c r="S200" i="6"/>
  <c r="AA197" i="6"/>
  <c r="S197" i="6"/>
  <c r="H329" i="6"/>
  <c r="G329" i="6"/>
  <c r="S300" i="6"/>
  <c r="AA300" i="6"/>
  <c r="S296" i="6"/>
  <c r="AA296" i="6"/>
  <c r="S288" i="6"/>
  <c r="AA288" i="6"/>
  <c r="S285" i="6"/>
  <c r="G282" i="6"/>
  <c r="H282" i="6"/>
  <c r="I282" i="6"/>
  <c r="H275" i="6"/>
  <c r="G275" i="6"/>
  <c r="S264" i="6"/>
  <c r="AA264" i="6"/>
  <c r="S260" i="6"/>
  <c r="AA260" i="6"/>
  <c r="S252" i="6"/>
  <c r="AA252" i="6"/>
  <c r="S249" i="6"/>
  <c r="G246" i="6"/>
  <c r="H246" i="6"/>
  <c r="I246" i="6"/>
  <c r="S231" i="6"/>
  <c r="AA188" i="6"/>
  <c r="S188" i="6"/>
  <c r="AA170" i="6"/>
  <c r="S170" i="6"/>
  <c r="AA167" i="6"/>
  <c r="S167" i="6"/>
  <c r="AA164" i="6"/>
  <c r="S164" i="6"/>
  <c r="AA187" i="6"/>
  <c r="S187" i="6"/>
  <c r="G330" i="6"/>
  <c r="S324" i="6"/>
  <c r="G324" i="6"/>
  <c r="G318" i="6"/>
  <c r="G312" i="6"/>
  <c r="G300" i="6"/>
  <c r="H300" i="6"/>
  <c r="AA297" i="6"/>
  <c r="H293" i="6"/>
  <c r="S292" i="6"/>
  <c r="S290" i="6"/>
  <c r="S287" i="6"/>
  <c r="AA287" i="6"/>
  <c r="S282" i="6"/>
  <c r="G264" i="6"/>
  <c r="H264" i="6"/>
  <c r="AA261" i="6"/>
  <c r="H257" i="6"/>
  <c r="S256" i="6"/>
  <c r="S254" i="6"/>
  <c r="S251" i="6"/>
  <c r="AA251" i="6"/>
  <c r="S246" i="6"/>
  <c r="AA239" i="6"/>
  <c r="S239" i="6"/>
  <c r="AA234" i="6"/>
  <c r="S234" i="6"/>
  <c r="AA230" i="6"/>
  <c r="S230" i="6"/>
  <c r="S225" i="6"/>
  <c r="AA217" i="6"/>
  <c r="S217" i="6"/>
  <c r="AA215" i="6"/>
  <c r="S215" i="6"/>
  <c r="AA162" i="6"/>
  <c r="S162" i="6"/>
  <c r="S153" i="6"/>
  <c r="AA128" i="6"/>
  <c r="S128" i="6"/>
  <c r="S323" i="6"/>
  <c r="AA323" i="6"/>
  <c r="S317" i="6"/>
  <c r="AA317" i="6"/>
  <c r="S311" i="6"/>
  <c r="AA311" i="6"/>
  <c r="H305" i="6"/>
  <c r="S304" i="6"/>
  <c r="S302" i="6"/>
  <c r="S299" i="6"/>
  <c r="AA299" i="6"/>
  <c r="S294" i="6"/>
  <c r="H285" i="6"/>
  <c r="G276" i="6"/>
  <c r="H276" i="6"/>
  <c r="AA273" i="6"/>
  <c r="H269" i="6"/>
  <c r="S268" i="6"/>
  <c r="S266" i="6"/>
  <c r="S263" i="6"/>
  <c r="AA263" i="6"/>
  <c r="S258" i="6"/>
  <c r="H249" i="6"/>
  <c r="AA209" i="6"/>
  <c r="S209" i="6"/>
  <c r="AA203" i="6"/>
  <c r="S203" i="6"/>
  <c r="AA198" i="6"/>
  <c r="S198" i="6"/>
  <c r="AA194" i="6"/>
  <c r="S194" i="6"/>
  <c r="AA185" i="6"/>
  <c r="S185" i="6"/>
  <c r="AA179" i="6"/>
  <c r="S179" i="6"/>
  <c r="AA168" i="6"/>
  <c r="S168" i="6"/>
  <c r="AA150" i="6"/>
  <c r="S150" i="6"/>
  <c r="AA145" i="6"/>
  <c r="S145" i="6"/>
  <c r="AA143" i="6"/>
  <c r="S143" i="6"/>
  <c r="I330" i="6"/>
  <c r="S326" i="6"/>
  <c r="I324" i="6"/>
  <c r="S320" i="6"/>
  <c r="I318" i="6"/>
  <c r="S314" i="6"/>
  <c r="I312" i="6"/>
  <c r="S306" i="6"/>
  <c r="G288" i="6"/>
  <c r="H288" i="6"/>
  <c r="AA285" i="6"/>
  <c r="H281" i="6"/>
  <c r="S278" i="6"/>
  <c r="S275" i="6"/>
  <c r="AA275" i="6"/>
  <c r="S270" i="6"/>
  <c r="G252" i="6"/>
  <c r="H252" i="6"/>
  <c r="AA249" i="6"/>
  <c r="H245" i="6"/>
  <c r="S242" i="6"/>
  <c r="AA218" i="6"/>
  <c r="S218" i="6"/>
  <c r="AA152" i="6"/>
  <c r="S152" i="6"/>
  <c r="AA147" i="6"/>
  <c r="S147" i="6"/>
  <c r="AA227" i="6"/>
  <c r="S227" i="6"/>
  <c r="AA212" i="6"/>
  <c r="S212" i="6"/>
  <c r="AA191" i="6"/>
  <c r="S191" i="6"/>
  <c r="AA189" i="6"/>
  <c r="S189" i="6"/>
  <c r="AA158" i="6"/>
  <c r="S158" i="6"/>
  <c r="AA126" i="6"/>
  <c r="S126" i="6"/>
  <c r="H326" i="6"/>
  <c r="H320" i="6"/>
  <c r="H314" i="6"/>
  <c r="H308" i="6"/>
  <c r="H302" i="6"/>
  <c r="H296" i="6"/>
  <c r="H290" i="6"/>
  <c r="H284" i="6"/>
  <c r="H278" i="6"/>
  <c r="H272" i="6"/>
  <c r="H266" i="6"/>
  <c r="H260" i="6"/>
  <c r="H254" i="6"/>
  <c r="H248" i="6"/>
  <c r="H242" i="6"/>
  <c r="AA221" i="6"/>
  <c r="S221" i="6"/>
  <c r="AA206" i="6"/>
  <c r="S206" i="6"/>
  <c r="AA182" i="6"/>
  <c r="S182" i="6"/>
  <c r="AA173" i="6"/>
  <c r="S173" i="6"/>
  <c r="S159" i="6"/>
  <c r="AA111" i="6"/>
  <c r="S111" i="6"/>
  <c r="AA107" i="6"/>
  <c r="S107" i="6"/>
  <c r="AA109" i="6"/>
  <c r="S109" i="6"/>
  <c r="S123" i="6"/>
  <c r="S97" i="6"/>
  <c r="G99" i="6"/>
  <c r="H99" i="6"/>
  <c r="I99" i="6"/>
  <c r="AA176" i="6"/>
  <c r="S176" i="6"/>
  <c r="AA155" i="6"/>
  <c r="S155" i="6"/>
  <c r="AA140" i="6"/>
  <c r="S140" i="6"/>
  <c r="AA119" i="6"/>
  <c r="S119" i="6"/>
  <c r="S117" i="6"/>
  <c r="S115" i="6"/>
  <c r="AA104" i="6"/>
  <c r="S104" i="6"/>
  <c r="S96" i="6"/>
  <c r="AA93" i="6"/>
  <c r="S93" i="6"/>
  <c r="S86" i="6"/>
  <c r="AA86" i="6"/>
  <c r="AA149" i="6"/>
  <c r="S149" i="6"/>
  <c r="AA134" i="6"/>
  <c r="S134" i="6"/>
  <c r="AA113" i="6"/>
  <c r="S113" i="6"/>
  <c r="AA97" i="6"/>
  <c r="H95" i="6"/>
  <c r="I95" i="6"/>
  <c r="G95" i="6"/>
  <c r="AA137" i="6"/>
  <c r="S137" i="6"/>
  <c r="S135" i="6"/>
  <c r="S133" i="6"/>
  <c r="AA122" i="6"/>
  <c r="S122" i="6"/>
  <c r="S114" i="6"/>
  <c r="AA101" i="6"/>
  <c r="S101" i="6"/>
  <c r="S89" i="6"/>
  <c r="AA89" i="6"/>
  <c r="AA131" i="6"/>
  <c r="S131" i="6"/>
  <c r="AA116" i="6"/>
  <c r="S116" i="6"/>
  <c r="S98" i="6"/>
  <c r="AA98" i="6"/>
  <c r="S95" i="6"/>
  <c r="AA95" i="6"/>
  <c r="AA161" i="6"/>
  <c r="S161" i="6"/>
  <c r="AA146" i="6"/>
  <c r="S146" i="6"/>
  <c r="AA125" i="6"/>
  <c r="S125" i="6"/>
  <c r="AA110" i="6"/>
  <c r="S110" i="6"/>
  <c r="H89" i="6"/>
  <c r="I89" i="6"/>
  <c r="G87" i="6"/>
  <c r="I87" i="6"/>
  <c r="H87" i="6"/>
  <c r="G84" i="6"/>
  <c r="H80" i="6"/>
  <c r="I80" i="6"/>
  <c r="G81" i="6"/>
  <c r="I81" i="6"/>
  <c r="H81" i="6"/>
  <c r="S80" i="6"/>
  <c r="AA80" i="6"/>
  <c r="AA82" i="6"/>
  <c r="H96" i="6"/>
  <c r="G89" i="6"/>
  <c r="H86" i="6"/>
  <c r="I86" i="6"/>
  <c r="S85" i="6"/>
  <c r="H84" i="6"/>
  <c r="G80" i="6"/>
  <c r="S92" i="6"/>
  <c r="S83" i="6"/>
  <c r="AA83" i="6"/>
  <c r="S77" i="6"/>
  <c r="AA77" i="6"/>
  <c r="G71" i="6"/>
  <c r="H71" i="6"/>
  <c r="I71" i="6"/>
  <c r="S74" i="6"/>
  <c r="H78" i="6"/>
  <c r="S75" i="6"/>
  <c r="AA75" i="6"/>
  <c r="G77" i="6"/>
  <c r="H77" i="6"/>
  <c r="S69" i="6"/>
  <c r="AA69" i="6"/>
  <c r="H83" i="6"/>
  <c r="G65" i="6"/>
  <c r="S59" i="6"/>
  <c r="G64" i="6"/>
  <c r="I64" i="6"/>
  <c r="AA63" i="6"/>
  <c r="AA60" i="6"/>
  <c r="G76" i="6"/>
  <c r="I76" i="6"/>
  <c r="G70" i="6"/>
  <c r="I70" i="6"/>
  <c r="G61" i="6"/>
  <c r="I61" i="6"/>
  <c r="G58" i="6"/>
  <c r="I58" i="6"/>
  <c r="G74" i="6"/>
  <c r="G68" i="6"/>
  <c r="S72" i="6"/>
  <c r="S66" i="6"/>
  <c r="I65" i="6"/>
  <c r="G73" i="6"/>
  <c r="I73" i="6"/>
  <c r="G67" i="6"/>
  <c r="I67" i="6"/>
  <c r="S56" i="6"/>
  <c r="S46" i="6"/>
  <c r="S43" i="6"/>
  <c r="S40" i="6"/>
  <c r="S37" i="6"/>
  <c r="I55" i="6"/>
  <c r="I52" i="6"/>
  <c r="I49" i="6"/>
  <c r="G47" i="6"/>
  <c r="H47" i="6"/>
  <c r="AA46" i="6"/>
  <c r="G44" i="6"/>
  <c r="H44" i="6"/>
  <c r="AA43" i="6"/>
  <c r="G41" i="6"/>
  <c r="H41" i="6"/>
  <c r="AA40" i="6"/>
  <c r="G38" i="6"/>
  <c r="H38" i="6"/>
  <c r="AA37" i="6"/>
  <c r="G35" i="6"/>
  <c r="H35" i="6"/>
  <c r="AA48" i="6"/>
  <c r="G46" i="6"/>
  <c r="H46" i="6"/>
  <c r="AA45" i="6"/>
  <c r="G43" i="6"/>
  <c r="H43" i="6"/>
  <c r="AA42" i="6"/>
  <c r="G40" i="6"/>
  <c r="H40" i="6"/>
  <c r="AA39" i="6"/>
  <c r="G37" i="6"/>
  <c r="H37" i="6"/>
  <c r="AA36" i="6"/>
  <c r="S47" i="6"/>
  <c r="S44" i="6"/>
  <c r="S41" i="6"/>
  <c r="G48" i="6"/>
  <c r="H48" i="6"/>
  <c r="AA47" i="6"/>
  <c r="G45" i="6"/>
  <c r="H45" i="6"/>
  <c r="G42" i="6"/>
  <c r="H42" i="6"/>
  <c r="G39" i="6"/>
  <c r="H39" i="6"/>
  <c r="G36" i="6"/>
  <c r="H36" i="6"/>
  <c r="AA35" i="6"/>
  <c r="I34" i="6"/>
  <c r="H34" i="6"/>
  <c r="Q159" i="4" l="1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E76" i="6"/>
  <c r="E100" i="6"/>
  <c r="E107" i="6"/>
  <c r="E112" i="6"/>
  <c r="E120" i="6"/>
  <c r="E123" i="6"/>
  <c r="E124" i="6"/>
  <c r="E128" i="6"/>
  <c r="E173" i="6"/>
  <c r="E189" i="6"/>
  <c r="E195" i="6"/>
  <c r="E198" i="6"/>
  <c r="E200" i="6"/>
  <c r="E219" i="6"/>
  <c r="E228" i="6"/>
  <c r="E230" i="6"/>
  <c r="E239" i="6"/>
  <c r="E246" i="6"/>
  <c r="E250" i="6"/>
  <c r="E251" i="6"/>
  <c r="E262" i="6"/>
  <c r="E263" i="6"/>
  <c r="E278" i="6"/>
  <c r="E286" i="6"/>
  <c r="E293" i="6"/>
  <c r="E294" i="6"/>
  <c r="E298" i="6"/>
  <c r="E305" i="6"/>
  <c r="E311" i="6"/>
  <c r="E312" i="6"/>
  <c r="E314" i="6"/>
  <c r="E316" i="6"/>
  <c r="E319" i="6"/>
  <c r="E321" i="6"/>
  <c r="E323" i="6"/>
  <c r="E333" i="6"/>
  <c r="E337" i="6"/>
  <c r="E339" i="6"/>
  <c r="E343" i="6"/>
  <c r="E344" i="6"/>
  <c r="E346" i="6"/>
  <c r="E347" i="6"/>
  <c r="E351" i="6"/>
  <c r="E352" i="6"/>
  <c r="E353" i="6"/>
  <c r="E358" i="6"/>
  <c r="E360" i="6"/>
  <c r="E363" i="6"/>
  <c r="E365" i="6"/>
  <c r="E367" i="6"/>
  <c r="E368" i="6"/>
  <c r="E371" i="6"/>
  <c r="E373" i="6"/>
  <c r="E375" i="6"/>
  <c r="E380" i="6"/>
  <c r="E382" i="6"/>
  <c r="E384" i="6"/>
  <c r="E387" i="6"/>
  <c r="C3" i="6"/>
  <c r="C6" i="6"/>
  <c r="C8" i="6"/>
  <c r="C9" i="6"/>
  <c r="M17" i="6"/>
  <c r="M22" i="6"/>
  <c r="R26" i="6"/>
  <c r="E356" i="6"/>
  <c r="E385" i="6"/>
  <c r="C7" i="6"/>
  <c r="M12" i="6"/>
  <c r="M18" i="6"/>
  <c r="M23" i="6"/>
  <c r="E36" i="6"/>
  <c r="E50" i="6"/>
  <c r="E83" i="6"/>
  <c r="E57" i="6"/>
  <c r="E291" i="6"/>
  <c r="E212" i="6"/>
  <c r="E271" i="6"/>
  <c r="E171" i="6"/>
  <c r="E300" i="6"/>
  <c r="E252" i="6"/>
  <c r="E193" i="6"/>
  <c r="E283" i="6"/>
  <c r="E295" i="6"/>
  <c r="E243" i="6"/>
  <c r="E172" i="6"/>
  <c r="E322" i="6"/>
  <c r="E241" i="6"/>
  <c r="E190" i="6"/>
  <c r="E309" i="6"/>
  <c r="E280" i="6"/>
  <c r="E253" i="6"/>
  <c r="E235" i="6"/>
  <c r="E165" i="6"/>
  <c r="E301" i="6"/>
  <c r="E237" i="6"/>
  <c r="E183" i="6"/>
  <c r="E154" i="6"/>
  <c r="E157" i="6"/>
  <c r="E105" i="6"/>
  <c r="E181" i="6"/>
  <c r="E109" i="6"/>
  <c r="E129" i="6"/>
  <c r="E127" i="6"/>
  <c r="E115" i="6"/>
  <c r="E86" i="6"/>
  <c r="E84" i="6"/>
  <c r="E87" i="6"/>
  <c r="E68" i="6"/>
  <c r="E56" i="6"/>
  <c r="E811" i="6"/>
  <c r="E775" i="6"/>
  <c r="E631" i="6"/>
  <c r="E788" i="6"/>
  <c r="E734" i="6"/>
  <c r="E680" i="6"/>
  <c r="E626" i="6"/>
  <c r="D2" i="6"/>
  <c r="E572" i="6"/>
  <c r="E518" i="6"/>
  <c r="E61" i="6"/>
  <c r="E47" i="6"/>
  <c r="E136" i="6"/>
  <c r="E166" i="6"/>
  <c r="E52" i="6"/>
  <c r="E234" i="6"/>
  <c r="E225" i="6"/>
  <c r="E196" i="6"/>
  <c r="E184" i="6"/>
  <c r="E158" i="6"/>
  <c r="E152" i="6"/>
  <c r="E143" i="6"/>
  <c r="E117" i="6"/>
  <c r="E98" i="6"/>
  <c r="E75" i="6"/>
  <c r="E60" i="6"/>
  <c r="E53" i="6"/>
  <c r="E43" i="6"/>
  <c r="E39" i="6"/>
  <c r="E372" i="6"/>
  <c r="E362" i="6"/>
  <c r="E355" i="6"/>
  <c r="E341" i="6"/>
  <c r="E324" i="6"/>
  <c r="E313" i="6"/>
  <c r="E258" i="6"/>
  <c r="E242" i="6"/>
  <c r="E232" i="6"/>
  <c r="E204" i="6"/>
  <c r="E185" i="6"/>
  <c r="E160" i="6"/>
  <c r="E153" i="6"/>
  <c r="E108" i="6"/>
  <c r="E62" i="6"/>
  <c r="E379" i="6"/>
  <c r="E370" i="6"/>
  <c r="E350" i="6"/>
  <c r="E334" i="6"/>
  <c r="E317" i="6"/>
  <c r="E310" i="6"/>
  <c r="E284" i="6"/>
  <c r="E227" i="6"/>
  <c r="E209" i="6"/>
  <c r="E179" i="6"/>
  <c r="E174" i="6"/>
  <c r="E146" i="6"/>
  <c r="E138" i="6"/>
  <c r="E132" i="6"/>
  <c r="E119" i="6"/>
  <c r="E95" i="6"/>
  <c r="E79" i="6"/>
  <c r="E70" i="6"/>
  <c r="E378" i="6"/>
  <c r="E345" i="6"/>
  <c r="E329" i="6"/>
  <c r="E304" i="6"/>
  <c r="E296" i="6"/>
  <c r="E290" i="6"/>
  <c r="E275" i="6"/>
  <c r="E248" i="6"/>
  <c r="E202" i="6"/>
  <c r="E177" i="6"/>
  <c r="E148" i="6"/>
  <c r="E147" i="6"/>
  <c r="E130" i="6"/>
  <c r="E111" i="6"/>
  <c r="E102" i="6"/>
  <c r="E65" i="6"/>
  <c r="E376" i="6"/>
  <c r="E369" i="6"/>
  <c r="E354" i="6"/>
  <c r="E342" i="6"/>
  <c r="E335" i="6"/>
  <c r="E320" i="6"/>
  <c r="E287" i="6"/>
  <c r="E276" i="6"/>
  <c r="E268" i="6"/>
  <c r="E260" i="6"/>
  <c r="E254" i="6"/>
  <c r="E238" i="6"/>
  <c r="E216" i="6"/>
  <c r="E203" i="6"/>
  <c r="E192" i="6"/>
  <c r="E180" i="6"/>
  <c r="E155" i="6"/>
  <c r="E126" i="6"/>
  <c r="E104" i="6"/>
  <c r="E91" i="6"/>
  <c r="E85" i="6"/>
  <c r="E82" i="6"/>
  <c r="E69" i="6"/>
  <c r="E745" i="6"/>
  <c r="E303" i="6"/>
  <c r="E267" i="6"/>
  <c r="E208" i="6"/>
  <c r="E224" i="6"/>
  <c r="E288" i="6"/>
  <c r="E229" i="6"/>
  <c r="E332" i="6"/>
  <c r="E247" i="6"/>
  <c r="E328" i="6"/>
  <c r="E259" i="6"/>
  <c r="E182" i="6"/>
  <c r="E285" i="6"/>
  <c r="E277" i="6"/>
  <c r="E206" i="6"/>
  <c r="E315" i="6"/>
  <c r="E297" i="6"/>
  <c r="E270" i="6"/>
  <c r="E244" i="6"/>
  <c r="E163" i="6"/>
  <c r="E142" i="6"/>
  <c r="E265" i="6"/>
  <c r="E199" i="6"/>
  <c r="E169" i="6"/>
  <c r="E217" i="6"/>
  <c r="E116" i="6"/>
  <c r="E133" i="6"/>
  <c r="E135" i="6"/>
  <c r="E81" i="6"/>
  <c r="E103" i="6"/>
  <c r="E121" i="6"/>
  <c r="E99" i="6"/>
  <c r="E78" i="6"/>
  <c r="E80" i="6"/>
  <c r="E93" i="6"/>
  <c r="E72" i="6"/>
  <c r="E398" i="6"/>
  <c r="E541" i="6"/>
  <c r="E787" i="6"/>
  <c r="E733" i="6"/>
  <c r="E679" i="6"/>
  <c r="E607" i="6"/>
  <c r="E553" i="6"/>
  <c r="E517" i="6"/>
  <c r="E470" i="6"/>
  <c r="E782" i="6"/>
  <c r="E746" i="6"/>
  <c r="E692" i="6"/>
  <c r="E638" i="6"/>
  <c r="E584" i="6"/>
  <c r="E530" i="6"/>
  <c r="E460" i="6"/>
  <c r="E595" i="6"/>
  <c r="E781" i="6"/>
  <c r="E727" i="6"/>
  <c r="E673" i="6"/>
  <c r="E619" i="6"/>
  <c r="E565" i="6"/>
  <c r="E510" i="6"/>
  <c r="E667" i="6"/>
  <c r="E523" i="6"/>
  <c r="E794" i="6"/>
  <c r="E740" i="6"/>
  <c r="E686" i="6"/>
  <c r="E632" i="6"/>
  <c r="E578" i="6"/>
  <c r="E524" i="6"/>
  <c r="E434" i="6"/>
  <c r="E798" i="6"/>
  <c r="E780" i="6"/>
  <c r="E762" i="6"/>
  <c r="E744" i="6"/>
  <c r="E726" i="6"/>
  <c r="E702" i="6"/>
  <c r="E690" i="6"/>
  <c r="E666" i="6"/>
  <c r="E654" i="6"/>
  <c r="E636" i="6"/>
  <c r="E618" i="6"/>
  <c r="E600" i="6"/>
  <c r="E582" i="6"/>
  <c r="E564" i="6"/>
  <c r="E546" i="6"/>
  <c r="E528" i="6"/>
  <c r="E509" i="6"/>
  <c r="E485" i="6"/>
  <c r="E446" i="6"/>
  <c r="E392" i="6"/>
  <c r="E400" i="6"/>
  <c r="E436" i="6"/>
  <c r="E34" i="6"/>
  <c r="E401" i="6"/>
  <c r="E419" i="6"/>
  <c r="E437" i="6"/>
  <c r="E455" i="6"/>
  <c r="E396" i="6"/>
  <c r="E414" i="6"/>
  <c r="E432" i="6"/>
  <c r="E450" i="6"/>
  <c r="E468" i="6"/>
  <c r="E486" i="6"/>
  <c r="E397" i="6"/>
  <c r="E409" i="6"/>
  <c r="E421" i="6"/>
  <c r="E433" i="6"/>
  <c r="E445" i="6"/>
  <c r="E457" i="6"/>
  <c r="E475" i="6"/>
  <c r="E493" i="6"/>
  <c r="E511" i="6"/>
  <c r="E797" i="6"/>
  <c r="E779" i="6"/>
  <c r="E761" i="6"/>
  <c r="E743" i="6"/>
  <c r="E725" i="6"/>
  <c r="E707" i="6"/>
  <c r="E689" i="6"/>
  <c r="E793" i="6"/>
  <c r="E757" i="6"/>
  <c r="E577" i="6"/>
  <c r="E752" i="6"/>
  <c r="E698" i="6"/>
  <c r="E644" i="6"/>
  <c r="E590" i="6"/>
  <c r="E554" i="6"/>
  <c r="E497" i="6"/>
  <c r="E685" i="6"/>
  <c r="E416" i="6"/>
  <c r="E769" i="6"/>
  <c r="E715" i="6"/>
  <c r="E661" i="6"/>
  <c r="E589" i="6"/>
  <c r="E728" i="6"/>
  <c r="E656" i="6"/>
  <c r="E602" i="6"/>
  <c r="E548" i="6"/>
  <c r="E489" i="6"/>
  <c r="E649" i="6"/>
  <c r="E799" i="6"/>
  <c r="E671" i="6"/>
  <c r="E691" i="6"/>
  <c r="E637" i="6"/>
  <c r="E583" i="6"/>
  <c r="E547" i="6"/>
  <c r="E488" i="6"/>
  <c r="E613" i="6"/>
  <c r="E812" i="6"/>
  <c r="E758" i="6"/>
  <c r="E704" i="6"/>
  <c r="E650" i="6"/>
  <c r="E596" i="6"/>
  <c r="E542" i="6"/>
  <c r="E479" i="6"/>
  <c r="E804" i="6"/>
  <c r="E786" i="6"/>
  <c r="E768" i="6"/>
  <c r="E750" i="6"/>
  <c r="E732" i="6"/>
  <c r="E714" i="6"/>
  <c r="E696" i="6"/>
  <c r="E678" i="6"/>
  <c r="E660" i="6"/>
  <c r="E642" i="6"/>
  <c r="E630" i="6"/>
  <c r="E612" i="6"/>
  <c r="E594" i="6"/>
  <c r="E576" i="6"/>
  <c r="E558" i="6"/>
  <c r="E540" i="6"/>
  <c r="E522" i="6"/>
  <c r="E502" i="6"/>
  <c r="E477" i="6"/>
  <c r="E458" i="6"/>
  <c r="E410" i="6"/>
  <c r="E394" i="6"/>
  <c r="E412" i="6"/>
  <c r="E424" i="6"/>
  <c r="E442" i="6"/>
  <c r="E395" i="6"/>
  <c r="E413" i="6"/>
  <c r="E431" i="6"/>
  <c r="E449" i="6"/>
  <c r="E390" i="6"/>
  <c r="E408" i="6"/>
  <c r="E426" i="6"/>
  <c r="E444" i="6"/>
  <c r="E462" i="6"/>
  <c r="E480" i="6"/>
  <c r="E391" i="6"/>
  <c r="E403" i="6"/>
  <c r="E415" i="6"/>
  <c r="E427" i="6"/>
  <c r="E439" i="6"/>
  <c r="E451" i="6"/>
  <c r="E469" i="6"/>
  <c r="E487" i="6"/>
  <c r="E505" i="6"/>
  <c r="E803" i="6"/>
  <c r="E785" i="6"/>
  <c r="E767" i="6"/>
  <c r="E749" i="6"/>
  <c r="E731" i="6"/>
  <c r="E713" i="6"/>
  <c r="E695" i="6"/>
  <c r="E677" i="6"/>
  <c r="E659" i="6"/>
  <c r="E641" i="6"/>
  <c r="E623" i="6"/>
  <c r="E611" i="6"/>
  <c r="E593" i="6"/>
  <c r="E575" i="6"/>
  <c r="E557" i="6"/>
  <c r="E539" i="6"/>
  <c r="E521" i="6"/>
  <c r="E501" i="6"/>
  <c r="E476" i="6"/>
  <c r="E441" i="6"/>
  <c r="E459" i="6"/>
  <c r="E808" i="6"/>
  <c r="E790" i="6"/>
  <c r="E772" i="6"/>
  <c r="E754" i="6"/>
  <c r="E736" i="6"/>
  <c r="E718" i="6"/>
  <c r="E700" i="6"/>
  <c r="E682" i="6"/>
  <c r="E664" i="6"/>
  <c r="E646" i="6"/>
  <c r="E628" i="6"/>
  <c r="E610" i="6"/>
  <c r="E592" i="6"/>
  <c r="E574" i="6"/>
  <c r="E556" i="6"/>
  <c r="E538" i="6"/>
  <c r="E520" i="6"/>
  <c r="E500" i="6"/>
  <c r="E473" i="6"/>
  <c r="E440" i="6"/>
  <c r="E447" i="6"/>
  <c r="E801" i="6"/>
  <c r="E783" i="6"/>
  <c r="E765" i="6"/>
  <c r="E747" i="6"/>
  <c r="E729" i="6"/>
  <c r="E711" i="6"/>
  <c r="E693" i="6"/>
  <c r="E675" i="6"/>
  <c r="E657" i="6"/>
  <c r="E639" i="6"/>
  <c r="E621" i="6"/>
  <c r="E603" i="6"/>
  <c r="E585" i="6"/>
  <c r="E567" i="6"/>
  <c r="E549" i="6"/>
  <c r="E531" i="6"/>
  <c r="E513" i="6"/>
  <c r="E490" i="6"/>
  <c r="E464" i="6"/>
  <c r="E417" i="6"/>
  <c r="E653" i="6"/>
  <c r="E635" i="6"/>
  <c r="E617" i="6"/>
  <c r="E599" i="6"/>
  <c r="E581" i="6"/>
  <c r="E563" i="6"/>
  <c r="N2" i="6" a="1"/>
  <c r="E545" i="6"/>
  <c r="E527" i="6"/>
  <c r="E508" i="6"/>
  <c r="B2" i="4" a="1"/>
  <c r="E484" i="6"/>
  <c r="E454" i="6"/>
  <c r="E405" i="6"/>
  <c r="E393" i="6"/>
  <c r="E796" i="6"/>
  <c r="E778" i="6"/>
  <c r="E760" i="6"/>
  <c r="E742" i="6"/>
  <c r="E724" i="6"/>
  <c r="E706" i="6"/>
  <c r="E688" i="6"/>
  <c r="E325" i="6"/>
  <c r="E670" i="6"/>
  <c r="E652" i="6"/>
  <c r="E634" i="6"/>
  <c r="E616" i="6"/>
  <c r="E598" i="6"/>
  <c r="E580" i="6"/>
  <c r="E562" i="6"/>
  <c r="E544" i="6"/>
  <c r="E526" i="6"/>
  <c r="E507" i="6"/>
  <c r="E483" i="6"/>
  <c r="E453" i="6"/>
  <c r="E404" i="6"/>
  <c r="E807" i="6"/>
  <c r="E789" i="6"/>
  <c r="E771" i="6"/>
  <c r="E753" i="6"/>
  <c r="E735" i="6"/>
  <c r="E717" i="6"/>
  <c r="E699" i="6"/>
  <c r="E681" i="6"/>
  <c r="E663" i="6"/>
  <c r="E645" i="6"/>
  <c r="E627" i="6"/>
  <c r="E609" i="6"/>
  <c r="E591" i="6"/>
  <c r="E573" i="6"/>
  <c r="E555" i="6"/>
  <c r="E537" i="6"/>
  <c r="E519" i="6"/>
  <c r="E498" i="6"/>
  <c r="R2" i="6"/>
  <c r="C2" i="6"/>
  <c r="E472" i="6"/>
  <c r="E435" i="6"/>
  <c r="F2" i="6"/>
  <c r="G2" i="6" s="1"/>
  <c r="E49" i="6"/>
  <c r="B2" i="6"/>
  <c r="E2" i="6" s="1"/>
  <c r="E48" i="6"/>
  <c r="Q2" i="6"/>
  <c r="E42" i="6"/>
  <c r="E131" i="6"/>
  <c r="E236" i="6"/>
  <c r="E231" i="6"/>
  <c r="E214" i="6"/>
  <c r="E167" i="6"/>
  <c r="E156" i="6"/>
  <c r="E150" i="6"/>
  <c r="E137" i="6"/>
  <c r="E101" i="6"/>
  <c r="E88" i="6"/>
  <c r="E67" i="6"/>
  <c r="E55" i="6"/>
  <c r="E46" i="6"/>
  <c r="E40" i="6"/>
  <c r="E381" i="6"/>
  <c r="E364" i="6"/>
  <c r="E361" i="6"/>
  <c r="E348" i="6"/>
  <c r="E327" i="6"/>
  <c r="E269" i="6"/>
  <c r="E257" i="6"/>
  <c r="E221" i="6"/>
  <c r="E191" i="6"/>
  <c r="E162" i="6"/>
  <c r="E159" i="6"/>
  <c r="E113" i="6"/>
  <c r="E64" i="6"/>
  <c r="E51" i="6"/>
  <c r="E377" i="6"/>
  <c r="E357" i="6"/>
  <c r="E336" i="6"/>
  <c r="E326" i="6"/>
  <c r="E308" i="6"/>
  <c r="E240" i="6"/>
  <c r="E215" i="6"/>
  <c r="E197" i="6"/>
  <c r="E176" i="6"/>
  <c r="E164" i="6"/>
  <c r="E144" i="6"/>
  <c r="E134" i="6"/>
  <c r="E125" i="6"/>
  <c r="E110" i="6"/>
  <c r="E92" i="6"/>
  <c r="E71" i="6"/>
  <c r="E58" i="6"/>
  <c r="E54" i="6"/>
  <c r="E386" i="6"/>
  <c r="E359" i="6"/>
  <c r="E340" i="6"/>
  <c r="E318" i="6"/>
  <c r="E302" i="6"/>
  <c r="E292" i="6"/>
  <c r="E281" i="6"/>
  <c r="E272" i="6"/>
  <c r="E233" i="6"/>
  <c r="E186" i="6"/>
  <c r="E168" i="6"/>
  <c r="E140" i="6"/>
  <c r="E114" i="6"/>
  <c r="E106" i="6"/>
  <c r="E66" i="6"/>
  <c r="E383" i="6"/>
  <c r="E374" i="6"/>
  <c r="E366" i="6"/>
  <c r="E349" i="6"/>
  <c r="E338" i="6"/>
  <c r="E330" i="6"/>
  <c r="E299" i="6"/>
  <c r="E282" i="6"/>
  <c r="E274" i="6"/>
  <c r="E266" i="6"/>
  <c r="E256" i="6"/>
  <c r="E245" i="6"/>
  <c r="E218" i="6"/>
  <c r="E210" i="6"/>
  <c r="E194" i="6"/>
  <c r="E188" i="6"/>
  <c r="E170" i="6"/>
  <c r="E161" i="6"/>
  <c r="E149" i="6"/>
  <c r="E122" i="6"/>
  <c r="E94" i="6"/>
  <c r="E89" i="6"/>
  <c r="E73" i="6"/>
  <c r="E59" i="6"/>
  <c r="E45" i="6"/>
  <c r="E255" i="6"/>
  <c r="E307" i="6"/>
  <c r="E178" i="6"/>
  <c r="E207" i="6"/>
  <c r="E264" i="6"/>
  <c r="E223" i="6"/>
  <c r="E331" i="6"/>
  <c r="E220" i="6"/>
  <c r="E187" i="6"/>
  <c r="E279" i="6"/>
  <c r="E213" i="6"/>
  <c r="E722" i="6"/>
  <c r="E249" i="6"/>
  <c r="E201" i="6"/>
  <c r="E306" i="6"/>
  <c r="E289" i="6"/>
  <c r="E261" i="6"/>
  <c r="E205" i="6"/>
  <c r="E141" i="6"/>
  <c r="E273" i="6"/>
  <c r="E226" i="6"/>
  <c r="E175" i="6"/>
  <c r="E211" i="6"/>
  <c r="E118" i="6"/>
  <c r="E145" i="6"/>
  <c r="E139" i="6"/>
  <c r="E97" i="6"/>
  <c r="E151" i="6"/>
  <c r="E96" i="6"/>
  <c r="E77" i="6"/>
  <c r="E90" i="6"/>
  <c r="E74" i="6"/>
  <c r="E63" i="6"/>
  <c r="E739" i="6"/>
  <c r="E703" i="6"/>
  <c r="E806" i="6"/>
  <c r="E770" i="6"/>
  <c r="E716" i="6"/>
  <c r="E662" i="6"/>
  <c r="E608" i="6"/>
  <c r="E536" i="6"/>
  <c r="E471" i="6"/>
  <c r="E559" i="6"/>
  <c r="E805" i="6"/>
  <c r="E751" i="6"/>
  <c r="E697" i="6"/>
  <c r="E643" i="6"/>
  <c r="E625" i="6"/>
  <c r="E571" i="6"/>
  <c r="E535" i="6"/>
  <c r="E496" i="6"/>
  <c r="E800" i="6"/>
  <c r="E764" i="6"/>
  <c r="E710" i="6"/>
  <c r="E674" i="6"/>
  <c r="E620" i="6"/>
  <c r="E566" i="6"/>
  <c r="E512" i="6"/>
  <c r="E721" i="6"/>
  <c r="E503" i="6"/>
  <c r="E763" i="6"/>
  <c r="E709" i="6"/>
  <c r="E655" i="6"/>
  <c r="E601" i="6"/>
  <c r="E529" i="6"/>
  <c r="E448" i="6"/>
  <c r="E478" i="6"/>
  <c r="E776" i="6"/>
  <c r="E668" i="6"/>
  <c r="E614" i="6"/>
  <c r="E560" i="6"/>
  <c r="E504" i="6"/>
  <c r="E810" i="6"/>
  <c r="E792" i="6"/>
  <c r="E774" i="6"/>
  <c r="E756" i="6"/>
  <c r="E738" i="6"/>
  <c r="E720" i="6"/>
  <c r="E708" i="6"/>
  <c r="E684" i="6"/>
  <c r="E672" i="6"/>
  <c r="E648" i="6"/>
  <c r="E624" i="6"/>
  <c r="E606" i="6"/>
  <c r="E588" i="6"/>
  <c r="E570" i="6"/>
  <c r="E552" i="6"/>
  <c r="E534" i="6"/>
  <c r="E516" i="6"/>
  <c r="E495" i="6"/>
  <c r="E467" i="6"/>
  <c r="E428" i="6"/>
  <c r="E388" i="6"/>
  <c r="E406" i="6"/>
  <c r="E418" i="6"/>
  <c r="E430" i="6"/>
  <c r="E389" i="6"/>
  <c r="E407" i="6"/>
  <c r="E425" i="6"/>
  <c r="E443" i="6"/>
  <c r="E461" i="6"/>
  <c r="E402" i="6"/>
  <c r="E420" i="6"/>
  <c r="E438" i="6"/>
  <c r="E456" i="6"/>
  <c r="E474" i="6"/>
  <c r="E492" i="6"/>
  <c r="E463" i="6"/>
  <c r="E481" i="6"/>
  <c r="E499" i="6"/>
  <c r="E809" i="6"/>
  <c r="E791" i="6"/>
  <c r="E773" i="6"/>
  <c r="E755" i="6"/>
  <c r="E737" i="6"/>
  <c r="E719" i="6"/>
  <c r="E701" i="6"/>
  <c r="E683" i="6"/>
  <c r="E665" i="6"/>
  <c r="E647" i="6"/>
  <c r="E629" i="6"/>
  <c r="E605" i="6"/>
  <c r="E587" i="6"/>
  <c r="E569" i="6"/>
  <c r="E551" i="6"/>
  <c r="E533" i="6"/>
  <c r="E515" i="6"/>
  <c r="E494" i="6"/>
  <c r="E466" i="6"/>
  <c r="E423" i="6"/>
  <c r="E429" i="6"/>
  <c r="E802" i="6"/>
  <c r="E784" i="6"/>
  <c r="E766" i="6"/>
  <c r="E748" i="6"/>
  <c r="E730" i="6"/>
  <c r="E712" i="6"/>
  <c r="E694" i="6"/>
  <c r="E676" i="6"/>
  <c r="E658" i="6"/>
  <c r="E640" i="6"/>
  <c r="E622" i="6"/>
  <c r="E604" i="6"/>
  <c r="E586" i="6"/>
  <c r="E568" i="6"/>
  <c r="E550" i="6"/>
  <c r="E532" i="6"/>
  <c r="E514" i="6"/>
  <c r="E491" i="6"/>
  <c r="E465" i="6"/>
  <c r="E422" i="6"/>
  <c r="E411" i="6"/>
  <c r="E795" i="6"/>
  <c r="E777" i="6"/>
  <c r="E759" i="6"/>
  <c r="E741" i="6"/>
  <c r="E723" i="6"/>
  <c r="E705" i="6"/>
  <c r="E687" i="6"/>
  <c r="E669" i="6"/>
  <c r="E651" i="6"/>
  <c r="E633" i="6"/>
  <c r="E615" i="6"/>
  <c r="E597" i="6"/>
  <c r="E579" i="6"/>
  <c r="E561" i="6"/>
  <c r="E543" i="6"/>
  <c r="E525" i="6"/>
  <c r="E506" i="6"/>
  <c r="E482" i="6"/>
  <c r="E452" i="6"/>
  <c r="E399" i="6"/>
  <c r="R2" i="3"/>
  <c r="K2" i="6"/>
  <c r="L2" i="6" s="1"/>
  <c r="J2" i="6"/>
  <c r="O2" i="6"/>
  <c r="P2" i="6"/>
  <c r="E222" i="6"/>
  <c r="O3" i="6"/>
  <c r="D3" i="6"/>
  <c r="M3" i="6"/>
  <c r="R3" i="6"/>
  <c r="K3" i="6"/>
  <c r="L3" i="6" s="1"/>
  <c r="P3" i="6"/>
  <c r="R3" i="3"/>
  <c r="Q3" i="6"/>
  <c r="N3" i="6" a="1"/>
  <c r="J3" i="6"/>
  <c r="B3" i="6"/>
  <c r="E3" i="6" s="1"/>
  <c r="F3" i="6"/>
  <c r="J4" i="6"/>
  <c r="O4" i="6"/>
  <c r="R4" i="3"/>
  <c r="R4" i="6"/>
  <c r="D4" i="6"/>
  <c r="P4" i="6"/>
  <c r="B4" i="6"/>
  <c r="E4" i="6" s="1"/>
  <c r="C4" i="6"/>
  <c r="Q4" i="6"/>
  <c r="N4" i="6" a="1"/>
  <c r="F4" i="6"/>
  <c r="H4" i="6" s="1"/>
  <c r="M4" i="6"/>
  <c r="K4" i="6"/>
  <c r="L4" i="6" s="1"/>
  <c r="D5" i="6"/>
  <c r="M5" i="6"/>
  <c r="R5" i="6"/>
  <c r="C5" i="6"/>
  <c r="J5" i="6"/>
  <c r="F5" i="6"/>
  <c r="G5" i="6" s="1"/>
  <c r="N5" i="6" a="1"/>
  <c r="K5" i="6"/>
  <c r="L5" i="6" s="1"/>
  <c r="Q5" i="6"/>
  <c r="R5" i="3"/>
  <c r="P5" i="6"/>
  <c r="O5" i="6"/>
  <c r="B5" i="6"/>
  <c r="E5" i="6" s="1"/>
  <c r="M6" i="6"/>
  <c r="O6" i="6"/>
  <c r="F6" i="6"/>
  <c r="J6" i="6"/>
  <c r="D6" i="6"/>
  <c r="B6" i="6"/>
  <c r="E6" i="6" s="1"/>
  <c r="K6" i="6"/>
  <c r="L6" i="6" s="1"/>
  <c r="P6" i="6"/>
  <c r="Q6" i="6"/>
  <c r="R6" i="6"/>
  <c r="R6" i="3"/>
  <c r="N6" i="6" a="1"/>
  <c r="N7" i="6" a="1"/>
  <c r="J7" i="6"/>
  <c r="R7" i="6"/>
  <c r="O7" i="6"/>
  <c r="D7" i="6"/>
  <c r="M7" i="6"/>
  <c r="B7" i="6"/>
  <c r="E7" i="6" s="1"/>
  <c r="R7" i="3"/>
  <c r="F7" i="6"/>
  <c r="I7" i="6" s="1"/>
  <c r="Q7" i="6"/>
  <c r="P7" i="6"/>
  <c r="K7" i="6"/>
  <c r="L7" i="6" s="1"/>
  <c r="O8" i="6"/>
  <c r="R8" i="6"/>
  <c r="K8" i="6"/>
  <c r="L8" i="6" s="1"/>
  <c r="D8" i="6"/>
  <c r="Q8" i="6"/>
  <c r="N8" i="6" a="1"/>
  <c r="B8" i="6"/>
  <c r="E8" i="6" s="1"/>
  <c r="J8" i="6"/>
  <c r="P8" i="6"/>
  <c r="M8" i="6"/>
  <c r="F8" i="6"/>
  <c r="G8" i="6" s="1"/>
  <c r="R8" i="3"/>
  <c r="K9" i="6"/>
  <c r="L9" i="6" s="1"/>
  <c r="M9" i="6"/>
  <c r="R9" i="6"/>
  <c r="D9" i="6"/>
  <c r="J9" i="6"/>
  <c r="O9" i="6"/>
  <c r="B9" i="6"/>
  <c r="E9" i="6" s="1"/>
  <c r="Q9" i="6"/>
  <c r="AA9" i="6" s="1"/>
  <c r="F9" i="6"/>
  <c r="R9" i="3"/>
  <c r="N9" i="6" a="1"/>
  <c r="P9" i="6"/>
  <c r="Q10" i="6"/>
  <c r="R10" i="3"/>
  <c r="K10" i="6"/>
  <c r="L10" i="6" s="1"/>
  <c r="F10" i="6"/>
  <c r="I10" i="6" s="1"/>
  <c r="B10" i="6"/>
  <c r="E10" i="6" s="1"/>
  <c r="J10" i="6"/>
  <c r="D10" i="6"/>
  <c r="C10" i="6"/>
  <c r="N10" i="6" a="1"/>
  <c r="P10" i="6"/>
  <c r="O10" i="6"/>
  <c r="M10" i="6"/>
  <c r="R10" i="6"/>
  <c r="R11" i="3"/>
  <c r="K11" i="6"/>
  <c r="L11" i="6" s="1"/>
  <c r="P11" i="6"/>
  <c r="O11" i="6"/>
  <c r="C11" i="6"/>
  <c r="J11" i="6"/>
  <c r="M11" i="6"/>
  <c r="D11" i="6"/>
  <c r="R11" i="6"/>
  <c r="F11" i="6"/>
  <c r="H11" i="6" s="1"/>
  <c r="Q11" i="6"/>
  <c r="N11" i="6" a="1"/>
  <c r="B11" i="6"/>
  <c r="E11" i="6" s="1"/>
  <c r="F12" i="6"/>
  <c r="H12" i="6" s="1"/>
  <c r="Q12" i="6"/>
  <c r="C12" i="6"/>
  <c r="N12" i="6" a="1"/>
  <c r="R12" i="6"/>
  <c r="R12" i="3"/>
  <c r="D12" i="6"/>
  <c r="B12" i="6"/>
  <c r="J12" i="6"/>
  <c r="K12" i="6"/>
  <c r="L12" i="6" s="1"/>
  <c r="O12" i="6"/>
  <c r="P12" i="6"/>
  <c r="M13" i="6"/>
  <c r="R13" i="3"/>
  <c r="N13" i="6" a="1"/>
  <c r="D13" i="6"/>
  <c r="K13" i="6"/>
  <c r="L13" i="6" s="1"/>
  <c r="B13" i="6"/>
  <c r="Q13" i="6"/>
  <c r="J13" i="6"/>
  <c r="P13" i="6"/>
  <c r="C13" i="6"/>
  <c r="R13" i="6"/>
  <c r="F13" i="6"/>
  <c r="H13" i="6" s="1"/>
  <c r="O13" i="6"/>
  <c r="N14" i="6" a="1"/>
  <c r="R14" i="6"/>
  <c r="D14" i="6"/>
  <c r="K14" i="6"/>
  <c r="L14" i="6" s="1"/>
  <c r="C14" i="6"/>
  <c r="B14" i="6"/>
  <c r="Q14" i="6"/>
  <c r="AA14" i="6" s="1"/>
  <c r="J14" i="6"/>
  <c r="P14" i="6"/>
  <c r="M14" i="6"/>
  <c r="F14" i="6"/>
  <c r="R14" i="3"/>
  <c r="O14" i="6"/>
  <c r="C15" i="6"/>
  <c r="N15" i="6" a="1"/>
  <c r="R15" i="3"/>
  <c r="Q15" i="6"/>
  <c r="O15" i="6"/>
  <c r="P15" i="6"/>
  <c r="D15" i="6"/>
  <c r="F15" i="6"/>
  <c r="B15" i="6"/>
  <c r="E15" i="6" s="1"/>
  <c r="R15" i="6"/>
  <c r="M15" i="6"/>
  <c r="J15" i="6"/>
  <c r="K15" i="6"/>
  <c r="L15" i="6" s="1"/>
  <c r="J16" i="6"/>
  <c r="C16" i="6"/>
  <c r="D16" i="6"/>
  <c r="F16" i="6"/>
  <c r="H16" i="6" s="1"/>
  <c r="R16" i="6"/>
  <c r="O16" i="6"/>
  <c r="Q16" i="6"/>
  <c r="AA16" i="6" s="1"/>
  <c r="R16" i="3"/>
  <c r="B16" i="6"/>
  <c r="E16" i="6" s="1"/>
  <c r="N16" i="6" a="1"/>
  <c r="K16" i="6"/>
  <c r="L16" i="6" s="1"/>
  <c r="P16" i="6"/>
  <c r="M16" i="6"/>
  <c r="C17" i="6"/>
  <c r="K17" i="6"/>
  <c r="L17" i="6" s="1"/>
  <c r="Q17" i="6"/>
  <c r="B17" i="6"/>
  <c r="E17" i="6" s="1"/>
  <c r="N17" i="6" a="1"/>
  <c r="P17" i="6"/>
  <c r="R17" i="3"/>
  <c r="O17" i="6"/>
  <c r="R17" i="6"/>
  <c r="J17" i="6"/>
  <c r="D17" i="6"/>
  <c r="F17" i="6"/>
  <c r="C18" i="6"/>
  <c r="P18" i="6"/>
  <c r="F18" i="6"/>
  <c r="B18" i="6"/>
  <c r="E18" i="6" s="1"/>
  <c r="R18" i="6"/>
  <c r="K18" i="6"/>
  <c r="L18" i="6" s="1"/>
  <c r="J18" i="6"/>
  <c r="D18" i="6"/>
  <c r="O18" i="6"/>
  <c r="R18" i="3"/>
  <c r="Q18" i="6"/>
  <c r="N18" i="6" a="1"/>
  <c r="K19" i="6"/>
  <c r="L19" i="6" s="1"/>
  <c r="Q19" i="6"/>
  <c r="B19" i="6"/>
  <c r="E19" i="6" s="1"/>
  <c r="R19" i="6"/>
  <c r="J19" i="6"/>
  <c r="M19" i="6"/>
  <c r="P19" i="6"/>
  <c r="R19" i="3"/>
  <c r="D19" i="6"/>
  <c r="N19" i="6" a="1"/>
  <c r="F19" i="6"/>
  <c r="C19" i="6"/>
  <c r="O19" i="6"/>
  <c r="M20" i="6"/>
  <c r="Q20" i="6"/>
  <c r="O20" i="6"/>
  <c r="K20" i="6"/>
  <c r="L20" i="6" s="1"/>
  <c r="N20" i="6" a="1"/>
  <c r="D20" i="6"/>
  <c r="R20" i="3"/>
  <c r="C20" i="6"/>
  <c r="B20" i="6"/>
  <c r="E20" i="6" s="1"/>
  <c r="J20" i="6"/>
  <c r="R20" i="6"/>
  <c r="P20" i="6"/>
  <c r="F20" i="6"/>
  <c r="M21" i="6"/>
  <c r="B21" i="6"/>
  <c r="E21" i="6" s="1"/>
  <c r="K21" i="6"/>
  <c r="L21" i="6" s="1"/>
  <c r="P21" i="6"/>
  <c r="O21" i="6"/>
  <c r="D21" i="6"/>
  <c r="R21" i="6"/>
  <c r="C21" i="6"/>
  <c r="Q21" i="6"/>
  <c r="R21" i="3"/>
  <c r="N21" i="6" a="1"/>
  <c r="J21" i="6"/>
  <c r="F21" i="6"/>
  <c r="O22" i="6"/>
  <c r="R22" i="6"/>
  <c r="N22" i="6" a="1"/>
  <c r="F22" i="6"/>
  <c r="P22" i="6"/>
  <c r="B22" i="6"/>
  <c r="E22" i="6" s="1"/>
  <c r="Q22" i="6"/>
  <c r="K22" i="6"/>
  <c r="L22" i="6" s="1"/>
  <c r="J22" i="6"/>
  <c r="C22" i="6"/>
  <c r="D22" i="6"/>
  <c r="R22" i="3"/>
  <c r="J23" i="6"/>
  <c r="K23" i="6"/>
  <c r="L23" i="6" s="1"/>
  <c r="Q23" i="6"/>
  <c r="R23" i="3"/>
  <c r="N23" i="6" a="1"/>
  <c r="C23" i="6"/>
  <c r="P23" i="6"/>
  <c r="B23" i="6"/>
  <c r="E23" i="6" s="1"/>
  <c r="D23" i="6"/>
  <c r="O23" i="6"/>
  <c r="F23" i="6"/>
  <c r="R23" i="6"/>
  <c r="K24" i="6"/>
  <c r="L24" i="6" s="1"/>
  <c r="N24" i="6" a="1"/>
  <c r="R24" i="3"/>
  <c r="B24" i="6"/>
  <c r="E24" i="6" s="1"/>
  <c r="R24" i="6"/>
  <c r="F24" i="6"/>
  <c r="D24" i="6"/>
  <c r="P24" i="6"/>
  <c r="C24" i="6"/>
  <c r="M24" i="6"/>
  <c r="O24" i="6"/>
  <c r="Q24" i="6"/>
  <c r="J24" i="6"/>
  <c r="F25" i="6"/>
  <c r="Q25" i="6"/>
  <c r="P25" i="6"/>
  <c r="C25" i="6"/>
  <c r="N25" i="6" a="1"/>
  <c r="D25" i="6"/>
  <c r="B25" i="6"/>
  <c r="E25" i="6" s="1"/>
  <c r="J25" i="6"/>
  <c r="R25" i="6"/>
  <c r="R25" i="3"/>
  <c r="O25" i="6"/>
  <c r="K25" i="6"/>
  <c r="L25" i="6" s="1"/>
  <c r="M25" i="6"/>
  <c r="K26" i="6"/>
  <c r="L26" i="6" s="1"/>
  <c r="M26" i="6"/>
  <c r="B26" i="6"/>
  <c r="E26" i="6" s="1"/>
  <c r="F26" i="6"/>
  <c r="Q26" i="6"/>
  <c r="N26" i="6" a="1"/>
  <c r="O26" i="6"/>
  <c r="C26" i="6"/>
  <c r="J26" i="6"/>
  <c r="P26" i="6"/>
  <c r="D26" i="6"/>
  <c r="R26" i="3"/>
  <c r="A45" i="6" s="1"/>
  <c r="K27" i="6"/>
  <c r="L27" i="6" s="1"/>
  <c r="D27" i="6"/>
  <c r="F27" i="6"/>
  <c r="M27" i="6"/>
  <c r="P27" i="6"/>
  <c r="R27" i="3"/>
  <c r="R27" i="6"/>
  <c r="O27" i="6"/>
  <c r="J27" i="6"/>
  <c r="B27" i="6"/>
  <c r="E27" i="6" s="1"/>
  <c r="N27" i="6" a="1"/>
  <c r="C27" i="6"/>
  <c r="Q27" i="6"/>
  <c r="J28" i="6"/>
  <c r="B28" i="6"/>
  <c r="E28" i="6" s="1"/>
  <c r="O28" i="6"/>
  <c r="N28" i="6" a="1"/>
  <c r="R28" i="3"/>
  <c r="D28" i="6"/>
  <c r="R28" i="6"/>
  <c r="Q28" i="6"/>
  <c r="K28" i="6"/>
  <c r="L28" i="6" s="1"/>
  <c r="C28" i="6"/>
  <c r="P28" i="6"/>
  <c r="F28" i="6"/>
  <c r="M28" i="6"/>
  <c r="N29" i="6" a="1"/>
  <c r="M29" i="6"/>
  <c r="J29" i="6"/>
  <c r="P29" i="6"/>
  <c r="R29" i="3"/>
  <c r="K29" i="6"/>
  <c r="L29" i="6" s="1"/>
  <c r="Q29" i="6"/>
  <c r="O29" i="6"/>
  <c r="C29" i="6"/>
  <c r="B29" i="6"/>
  <c r="E29" i="6" s="1"/>
  <c r="D29" i="6"/>
  <c r="R29" i="6"/>
  <c r="F29" i="6"/>
  <c r="O30" i="6"/>
  <c r="J30" i="6"/>
  <c r="Q30" i="6"/>
  <c r="S30" i="6" s="1"/>
  <c r="B30" i="6"/>
  <c r="E30" i="6" s="1"/>
  <c r="R30" i="6"/>
  <c r="D30" i="6"/>
  <c r="F30" i="6"/>
  <c r="R30" i="3"/>
  <c r="C30" i="6"/>
  <c r="N30" i="6" a="1"/>
  <c r="K30" i="6"/>
  <c r="L30" i="6" s="1"/>
  <c r="P30" i="6"/>
  <c r="M30" i="6"/>
  <c r="N31" i="6" a="1"/>
  <c r="J31" i="6"/>
  <c r="O31" i="6"/>
  <c r="R31" i="3"/>
  <c r="A41" i="6" s="1"/>
  <c r="D31" i="6"/>
  <c r="P31" i="6"/>
  <c r="K31" i="6"/>
  <c r="L31" i="6" s="1"/>
  <c r="C31" i="6"/>
  <c r="R31" i="6"/>
  <c r="Q31" i="6"/>
  <c r="B31" i="6"/>
  <c r="E31" i="6" s="1"/>
  <c r="F31" i="6"/>
  <c r="M31" i="6"/>
  <c r="Q32" i="6"/>
  <c r="P32" i="6"/>
  <c r="J32" i="6"/>
  <c r="K32" i="6"/>
  <c r="L32" i="6" s="1"/>
  <c r="B32" i="6"/>
  <c r="E32" i="6" s="1"/>
  <c r="C32" i="6"/>
  <c r="F32" i="6"/>
  <c r="N32" i="6" a="1"/>
  <c r="R32" i="3"/>
  <c r="M32" i="6"/>
  <c r="O32" i="6"/>
  <c r="R32" i="6"/>
  <c r="D32" i="6"/>
  <c r="J33" i="6"/>
  <c r="R33" i="3"/>
  <c r="D33" i="6"/>
  <c r="O33" i="6"/>
  <c r="M33" i="6"/>
  <c r="R33" i="6"/>
  <c r="F33" i="6"/>
  <c r="K33" i="6"/>
  <c r="L33" i="6" s="1"/>
  <c r="Q33" i="6"/>
  <c r="P33" i="6"/>
  <c r="C33" i="6"/>
  <c r="N33" i="6" a="1"/>
  <c r="B33" i="6"/>
  <c r="E33" i="6" s="1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C65" i="4"/>
  <c r="C66" i="4"/>
  <c r="C67" i="4"/>
  <c r="C68" i="4"/>
  <c r="C69" i="4"/>
  <c r="C70" i="4"/>
  <c r="A73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A65" i="4"/>
  <c r="C90" i="4"/>
  <c r="C91" i="4"/>
  <c r="C92" i="4"/>
  <c r="C93" i="4"/>
  <c r="A66" i="4"/>
  <c r="A67" i="4"/>
  <c r="A68" i="4"/>
  <c r="C71" i="4"/>
  <c r="A69" i="4"/>
  <c r="A70" i="4"/>
  <c r="A71" i="4"/>
  <c r="A72" i="4"/>
  <c r="A74" i="4"/>
  <c r="A75" i="4"/>
  <c r="A76" i="4"/>
  <c r="C89" i="4"/>
  <c r="Q239" i="4"/>
  <c r="Q240" i="4"/>
  <c r="Q241" i="4"/>
  <c r="Q242" i="4"/>
  <c r="Q243" i="4"/>
  <c r="Q244" i="4"/>
  <c r="Q245" i="4"/>
  <c r="Q246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C55" i="4"/>
  <c r="C53" i="4"/>
  <c r="C52" i="4"/>
  <c r="C50" i="4"/>
  <c r="C48" i="4"/>
  <c r="C46" i="4"/>
  <c r="C44" i="4"/>
  <c r="C42" i="4"/>
  <c r="C40" i="4"/>
  <c r="C39" i="4"/>
  <c r="C37" i="4"/>
  <c r="C35" i="4"/>
  <c r="C33" i="4"/>
  <c r="C32" i="4"/>
  <c r="C31" i="4"/>
  <c r="C29" i="4"/>
  <c r="C28" i="4"/>
  <c r="C64" i="4"/>
  <c r="C27" i="4"/>
  <c r="C26" i="4"/>
  <c r="C2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46" i="4"/>
  <c r="A25" i="4"/>
  <c r="A26" i="4"/>
  <c r="C62" i="4"/>
  <c r="C59" i="4"/>
  <c r="C57" i="4"/>
  <c r="C30" i="4"/>
  <c r="C34" i="4"/>
  <c r="C36" i="4"/>
  <c r="C38" i="4"/>
  <c r="C41" i="4"/>
  <c r="C43" i="4"/>
  <c r="C45" i="4"/>
  <c r="C47" i="4"/>
  <c r="C49" i="4"/>
  <c r="C51" i="4"/>
  <c r="C54" i="4"/>
  <c r="C56" i="4"/>
  <c r="C58" i="4"/>
  <c r="C60" i="4"/>
  <c r="C61" i="4"/>
  <c r="C63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C152" i="8"/>
  <c r="F152" i="8" s="1"/>
  <c r="D152" i="8"/>
  <c r="G152" i="8" s="1"/>
  <c r="E152" i="8"/>
  <c r="H152" i="8" s="1"/>
  <c r="D153" i="8"/>
  <c r="G153" i="8" s="1"/>
  <c r="C153" i="8"/>
  <c r="F153" i="8" s="1"/>
  <c r="E153" i="8"/>
  <c r="H153" i="8" s="1"/>
  <c r="I153" i="8" s="1"/>
  <c r="E154" i="8"/>
  <c r="H154" i="8" s="1"/>
  <c r="D154" i="8"/>
  <c r="G154" i="8" s="1"/>
  <c r="C154" i="8"/>
  <c r="F154" i="8" s="1"/>
  <c r="D155" i="8"/>
  <c r="G155" i="8" s="1"/>
  <c r="C155" i="8"/>
  <c r="F155" i="8" s="1"/>
  <c r="E155" i="8"/>
  <c r="H155" i="8" s="1"/>
  <c r="C156" i="8"/>
  <c r="F156" i="8" s="1"/>
  <c r="D156" i="8"/>
  <c r="G156" i="8" s="1"/>
  <c r="E156" i="8"/>
  <c r="H156" i="8" s="1"/>
  <c r="E157" i="8"/>
  <c r="H157" i="8" s="1"/>
  <c r="D157" i="8"/>
  <c r="G157" i="8" s="1"/>
  <c r="C157" i="8"/>
  <c r="F157" i="8" s="1"/>
  <c r="C158" i="8"/>
  <c r="F158" i="8" s="1"/>
  <c r="D158" i="8"/>
  <c r="G158" i="8" s="1"/>
  <c r="E158" i="8"/>
  <c r="H158" i="8" s="1"/>
  <c r="D159" i="8"/>
  <c r="G159" i="8" s="1"/>
  <c r="E159" i="8"/>
  <c r="H159" i="8" s="1"/>
  <c r="C159" i="8"/>
  <c r="F159" i="8" s="1"/>
  <c r="E160" i="8"/>
  <c r="H160" i="8" s="1"/>
  <c r="D160" i="8"/>
  <c r="G160" i="8" s="1"/>
  <c r="C160" i="8"/>
  <c r="F160" i="8" s="1"/>
  <c r="C161" i="8"/>
  <c r="F161" i="8" s="1"/>
  <c r="D161" i="8"/>
  <c r="G161" i="8" s="1"/>
  <c r="E161" i="8"/>
  <c r="H161" i="8" s="1"/>
  <c r="I161" i="8" s="1"/>
  <c r="E162" i="8"/>
  <c r="H162" i="8" s="1"/>
  <c r="D162" i="8"/>
  <c r="G162" i="8" s="1"/>
  <c r="C162" i="8"/>
  <c r="F162" i="8" s="1"/>
  <c r="E163" i="8"/>
  <c r="H163" i="8" s="1"/>
  <c r="D163" i="8"/>
  <c r="G163" i="8" s="1"/>
  <c r="C163" i="8"/>
  <c r="F163" i="8" s="1"/>
  <c r="C164" i="8"/>
  <c r="F164" i="8" s="1"/>
  <c r="D164" i="8"/>
  <c r="G164" i="8" s="1"/>
  <c r="E164" i="8"/>
  <c r="H164" i="8" s="1"/>
  <c r="I164" i="8" s="1"/>
  <c r="D165" i="8"/>
  <c r="G165" i="8" s="1"/>
  <c r="E165" i="8"/>
  <c r="H165" i="8" s="1"/>
  <c r="C165" i="8"/>
  <c r="F165" i="8" s="1"/>
  <c r="E166" i="8"/>
  <c r="H166" i="8" s="1"/>
  <c r="C166" i="8"/>
  <c r="F166" i="8" s="1"/>
  <c r="D166" i="8"/>
  <c r="G166" i="8" s="1"/>
  <c r="D167" i="8"/>
  <c r="G167" i="8" s="1"/>
  <c r="E167" i="8"/>
  <c r="H167" i="8" s="1"/>
  <c r="C167" i="8"/>
  <c r="F167" i="8" s="1"/>
  <c r="D168" i="8"/>
  <c r="G168" i="8" s="1"/>
  <c r="E168" i="8"/>
  <c r="H168" i="8" s="1"/>
  <c r="C168" i="8"/>
  <c r="F168" i="8" s="1"/>
  <c r="D169" i="8"/>
  <c r="G169" i="8" s="1"/>
  <c r="E169" i="8"/>
  <c r="H169" i="8" s="1"/>
  <c r="C169" i="8"/>
  <c r="F169" i="8" s="1"/>
  <c r="I169" i="8" s="1"/>
  <c r="C170" i="8"/>
  <c r="F170" i="8" s="1"/>
  <c r="D170" i="8"/>
  <c r="G170" i="8" s="1"/>
  <c r="E170" i="8"/>
  <c r="H170" i="8" s="1"/>
  <c r="D171" i="8"/>
  <c r="G171" i="8" s="1"/>
  <c r="C171" i="8"/>
  <c r="F171" i="8" s="1"/>
  <c r="E171" i="8"/>
  <c r="H171" i="8" s="1"/>
  <c r="C172" i="8"/>
  <c r="F172" i="8" s="1"/>
  <c r="D172" i="8"/>
  <c r="G172" i="8" s="1"/>
  <c r="E172" i="8"/>
  <c r="H172" i="8" s="1"/>
  <c r="D173" i="8"/>
  <c r="G173" i="8" s="1"/>
  <c r="E173" i="8"/>
  <c r="H173" i="8" s="1"/>
  <c r="C173" i="8"/>
  <c r="F173" i="8" s="1"/>
  <c r="E174" i="8"/>
  <c r="H174" i="8" s="1"/>
  <c r="C174" i="8"/>
  <c r="F174" i="8" s="1"/>
  <c r="D174" i="8"/>
  <c r="G174" i="8" s="1"/>
  <c r="C175" i="8"/>
  <c r="F175" i="8" s="1"/>
  <c r="E175" i="8"/>
  <c r="H175" i="8" s="1"/>
  <c r="D175" i="8"/>
  <c r="G175" i="8" s="1"/>
  <c r="C176" i="8"/>
  <c r="F176" i="8" s="1"/>
  <c r="D176" i="8"/>
  <c r="G176" i="8" s="1"/>
  <c r="E176" i="8"/>
  <c r="H176" i="8" s="1"/>
  <c r="C177" i="8"/>
  <c r="F177" i="8" s="1"/>
  <c r="E177" i="8"/>
  <c r="H177" i="8" s="1"/>
  <c r="D177" i="8"/>
  <c r="G177" i="8" s="1"/>
  <c r="D178" i="8"/>
  <c r="G178" i="8" s="1"/>
  <c r="C178" i="8"/>
  <c r="F178" i="8" s="1"/>
  <c r="E178" i="8"/>
  <c r="H178" i="8" s="1"/>
  <c r="D179" i="8"/>
  <c r="G179" i="8" s="1"/>
  <c r="C179" i="8"/>
  <c r="F179" i="8" s="1"/>
  <c r="E179" i="8"/>
  <c r="H179" i="8" s="1"/>
  <c r="C180" i="8"/>
  <c r="F180" i="8" s="1"/>
  <c r="D180" i="8"/>
  <c r="G180" i="8" s="1"/>
  <c r="E180" i="8"/>
  <c r="H180" i="8" s="1"/>
  <c r="D181" i="8"/>
  <c r="G181" i="8" s="1"/>
  <c r="E181" i="8"/>
  <c r="H181" i="8" s="1"/>
  <c r="C181" i="8"/>
  <c r="F181" i="8" s="1"/>
  <c r="E182" i="8"/>
  <c r="H182" i="8" s="1"/>
  <c r="C182" i="8"/>
  <c r="F182" i="8" s="1"/>
  <c r="D182" i="8"/>
  <c r="G182" i="8" s="1"/>
  <c r="D183" i="8"/>
  <c r="G183" i="8" s="1"/>
  <c r="C183" i="8"/>
  <c r="F183" i="8" s="1"/>
  <c r="E183" i="8"/>
  <c r="H183" i="8" s="1"/>
  <c r="C184" i="8"/>
  <c r="F184" i="8" s="1"/>
  <c r="E184" i="8"/>
  <c r="H184" i="8" s="1"/>
  <c r="D184" i="8"/>
  <c r="G184" i="8" s="1"/>
  <c r="I184" i="8" s="1"/>
  <c r="D185" i="8"/>
  <c r="G185" i="8" s="1"/>
  <c r="C185" i="8"/>
  <c r="F185" i="8" s="1"/>
  <c r="E185" i="8"/>
  <c r="H185" i="8" s="1"/>
  <c r="I185" i="8" s="1"/>
  <c r="D186" i="8"/>
  <c r="G186" i="8" s="1"/>
  <c r="E186" i="8"/>
  <c r="H186" i="8" s="1"/>
  <c r="C186" i="8"/>
  <c r="F186" i="8" s="1"/>
  <c r="C187" i="8"/>
  <c r="F187" i="8" s="1"/>
  <c r="E187" i="8"/>
  <c r="H187" i="8" s="1"/>
  <c r="D187" i="8"/>
  <c r="G187" i="8" s="1"/>
  <c r="C188" i="8"/>
  <c r="F188" i="8" s="1"/>
  <c r="E188" i="8"/>
  <c r="H188" i="8" s="1"/>
  <c r="D188" i="8"/>
  <c r="G188" i="8" s="1"/>
  <c r="C189" i="8"/>
  <c r="F189" i="8" s="1"/>
  <c r="E189" i="8"/>
  <c r="H189" i="8" s="1"/>
  <c r="D189" i="8"/>
  <c r="G189" i="8" s="1"/>
  <c r="C190" i="8"/>
  <c r="F190" i="8" s="1"/>
  <c r="D190" i="8"/>
  <c r="G190" i="8" s="1"/>
  <c r="E190" i="8"/>
  <c r="H190" i="8" s="1"/>
  <c r="D191" i="8"/>
  <c r="G191" i="8" s="1"/>
  <c r="C191" i="8"/>
  <c r="F191" i="8" s="1"/>
  <c r="E191" i="8"/>
  <c r="H191" i="8" s="1"/>
  <c r="D192" i="8"/>
  <c r="G192" i="8" s="1"/>
  <c r="E192" i="8"/>
  <c r="H192" i="8" s="1"/>
  <c r="C192" i="8"/>
  <c r="F192" i="8" s="1"/>
  <c r="D193" i="8"/>
  <c r="G193" i="8" s="1"/>
  <c r="E193" i="8"/>
  <c r="H193" i="8" s="1"/>
  <c r="C193" i="8"/>
  <c r="F193" i="8" s="1"/>
  <c r="C194" i="8"/>
  <c r="F194" i="8" s="1"/>
  <c r="D194" i="8"/>
  <c r="G194" i="8" s="1"/>
  <c r="E194" i="8"/>
  <c r="H194" i="8" s="1"/>
  <c r="I194" i="8" s="1"/>
  <c r="D195" i="8"/>
  <c r="G195" i="8" s="1"/>
  <c r="C195" i="8"/>
  <c r="F195" i="8" s="1"/>
  <c r="E195" i="8"/>
  <c r="H195" i="8" s="1"/>
  <c r="C196" i="8"/>
  <c r="F196" i="8" s="1"/>
  <c r="E196" i="8"/>
  <c r="H196" i="8" s="1"/>
  <c r="D196" i="8"/>
  <c r="G196" i="8" s="1"/>
  <c r="D197" i="8"/>
  <c r="G197" i="8" s="1"/>
  <c r="E197" i="8"/>
  <c r="H197" i="8" s="1"/>
  <c r="C197" i="8"/>
  <c r="F197" i="8" s="1"/>
  <c r="E198" i="8"/>
  <c r="H198" i="8" s="1"/>
  <c r="D198" i="8"/>
  <c r="G198" i="8" s="1"/>
  <c r="C198" i="8"/>
  <c r="F198" i="8" s="1"/>
  <c r="D199" i="8"/>
  <c r="G199" i="8" s="1"/>
  <c r="C199" i="8"/>
  <c r="F199" i="8" s="1"/>
  <c r="E199" i="8"/>
  <c r="H199" i="8" s="1"/>
  <c r="D200" i="8"/>
  <c r="G200" i="8" s="1"/>
  <c r="C200" i="8"/>
  <c r="F200" i="8" s="1"/>
  <c r="E200" i="8"/>
  <c r="H200" i="8" s="1"/>
  <c r="C201" i="8"/>
  <c r="F201" i="8" s="1"/>
  <c r="D201" i="8"/>
  <c r="G201" i="8" s="1"/>
  <c r="E201" i="8"/>
  <c r="H201" i="8" s="1"/>
  <c r="I201" i="8" s="1"/>
  <c r="C202" i="8"/>
  <c r="F202" i="8" s="1"/>
  <c r="E202" i="8"/>
  <c r="H202" i="8" s="1"/>
  <c r="D202" i="8"/>
  <c r="G202" i="8" s="1"/>
  <c r="E203" i="8"/>
  <c r="H203" i="8" s="1"/>
  <c r="C203" i="8"/>
  <c r="F203" i="8" s="1"/>
  <c r="D203" i="8"/>
  <c r="G203" i="8" s="1"/>
  <c r="C204" i="8"/>
  <c r="F204" i="8" s="1"/>
  <c r="E204" i="8"/>
  <c r="H204" i="8" s="1"/>
  <c r="D204" i="8"/>
  <c r="G204" i="8" s="1"/>
  <c r="D205" i="8"/>
  <c r="G205" i="8" s="1"/>
  <c r="E205" i="8"/>
  <c r="H205" i="8" s="1"/>
  <c r="C205" i="8"/>
  <c r="F205" i="8" s="1"/>
  <c r="E206" i="8"/>
  <c r="H206" i="8" s="1"/>
  <c r="D206" i="8"/>
  <c r="G206" i="8" s="1"/>
  <c r="C206" i="8"/>
  <c r="F206" i="8" s="1"/>
  <c r="D207" i="8"/>
  <c r="G207" i="8" s="1"/>
  <c r="E207" i="8"/>
  <c r="H207" i="8" s="1"/>
  <c r="C207" i="8"/>
  <c r="F207" i="8" s="1"/>
  <c r="E208" i="8"/>
  <c r="H208" i="8" s="1"/>
  <c r="D208" i="8"/>
  <c r="G208" i="8" s="1"/>
  <c r="C208" i="8"/>
  <c r="F208" i="8" s="1"/>
  <c r="E209" i="8"/>
  <c r="H209" i="8" s="1"/>
  <c r="D209" i="8"/>
  <c r="G209" i="8" s="1"/>
  <c r="C209" i="8"/>
  <c r="F209" i="8" s="1"/>
  <c r="E210" i="8"/>
  <c r="H210" i="8" s="1"/>
  <c r="C210" i="8"/>
  <c r="F210" i="8" s="1"/>
  <c r="D210" i="8"/>
  <c r="G210" i="8" s="1"/>
  <c r="I210" i="8" s="1"/>
  <c r="C211" i="8"/>
  <c r="F211" i="8" s="1"/>
  <c r="D211" i="8"/>
  <c r="G211" i="8" s="1"/>
  <c r="E211" i="8"/>
  <c r="H211" i="8" s="1"/>
  <c r="D212" i="8"/>
  <c r="G212" i="8" s="1"/>
  <c r="E212" i="8"/>
  <c r="H212" i="8" s="1"/>
  <c r="C212" i="8"/>
  <c r="F212" i="8" s="1"/>
  <c r="E213" i="8"/>
  <c r="H213" i="8" s="1"/>
  <c r="D213" i="8"/>
  <c r="G213" i="8" s="1"/>
  <c r="C213" i="8"/>
  <c r="F213" i="8" s="1"/>
  <c r="C214" i="8"/>
  <c r="F214" i="8" s="1"/>
  <c r="E214" i="8"/>
  <c r="H214" i="8" s="1"/>
  <c r="D214" i="8"/>
  <c r="G214" i="8" s="1"/>
  <c r="E215" i="8"/>
  <c r="H215" i="8" s="1"/>
  <c r="C215" i="8"/>
  <c r="F215" i="8" s="1"/>
  <c r="D215" i="8"/>
  <c r="G215" i="8" s="1"/>
  <c r="D216" i="8"/>
  <c r="G216" i="8" s="1"/>
  <c r="E216" i="8"/>
  <c r="H216" i="8" s="1"/>
  <c r="C216" i="8"/>
  <c r="F216" i="8" s="1"/>
  <c r="C217" i="8"/>
  <c r="F217" i="8" s="1"/>
  <c r="D217" i="8"/>
  <c r="G217" i="8" s="1"/>
  <c r="E217" i="8"/>
  <c r="H217" i="8" s="1"/>
  <c r="I217" i="8" s="1"/>
  <c r="D218" i="8"/>
  <c r="G218" i="8" s="1"/>
  <c r="E218" i="8"/>
  <c r="H218" i="8" s="1"/>
  <c r="C218" i="8"/>
  <c r="F218" i="8" s="1"/>
  <c r="E219" i="8"/>
  <c r="H219" i="8" s="1"/>
  <c r="C219" i="8"/>
  <c r="F219" i="8" s="1"/>
  <c r="D219" i="8"/>
  <c r="G219" i="8" s="1"/>
  <c r="I219" i="8" s="1"/>
  <c r="D220" i="8"/>
  <c r="G220" i="8" s="1"/>
  <c r="E220" i="8"/>
  <c r="H220" i="8" s="1"/>
  <c r="C220" i="8"/>
  <c r="F220" i="8" s="1"/>
  <c r="C221" i="8"/>
  <c r="F221" i="8" s="1"/>
  <c r="E221" i="8"/>
  <c r="H221" i="8" s="1"/>
  <c r="D221" i="8"/>
  <c r="G221" i="8" s="1"/>
  <c r="E222" i="8"/>
  <c r="H222" i="8" s="1"/>
  <c r="C222" i="8"/>
  <c r="F222" i="8" s="1"/>
  <c r="D222" i="8"/>
  <c r="G222" i="8" s="1"/>
  <c r="E223" i="8"/>
  <c r="H223" i="8" s="1"/>
  <c r="C223" i="8"/>
  <c r="F223" i="8" s="1"/>
  <c r="D223" i="8"/>
  <c r="G223" i="8" s="1"/>
  <c r="D224" i="8"/>
  <c r="G224" i="8" s="1"/>
  <c r="C224" i="8"/>
  <c r="F224" i="8" s="1"/>
  <c r="E224" i="8"/>
  <c r="H224" i="8" s="1"/>
  <c r="I224" i="8" s="1"/>
  <c r="D225" i="8"/>
  <c r="G225" i="8" s="1"/>
  <c r="E225" i="8"/>
  <c r="H225" i="8" s="1"/>
  <c r="C225" i="8"/>
  <c r="F225" i="8" s="1"/>
  <c r="D226" i="8"/>
  <c r="G226" i="8" s="1"/>
  <c r="E226" i="8"/>
  <c r="H226" i="8" s="1"/>
  <c r="C226" i="8"/>
  <c r="F226" i="8" s="1"/>
  <c r="I226" i="8" s="1"/>
  <c r="C227" i="8"/>
  <c r="F227" i="8" s="1"/>
  <c r="D227" i="8"/>
  <c r="G227" i="8" s="1"/>
  <c r="E227" i="8"/>
  <c r="H227" i="8" s="1"/>
  <c r="I227" i="8" s="1"/>
  <c r="D228" i="8"/>
  <c r="G228" i="8" s="1"/>
  <c r="E228" i="8"/>
  <c r="H228" i="8" s="1"/>
  <c r="C228" i="8"/>
  <c r="F228" i="8" s="1"/>
  <c r="C229" i="8"/>
  <c r="F229" i="8" s="1"/>
  <c r="E229" i="8"/>
  <c r="H229" i="8" s="1"/>
  <c r="D229" i="8"/>
  <c r="G229" i="8" s="1"/>
  <c r="I229" i="8" s="1"/>
  <c r="E230" i="8"/>
  <c r="H230" i="8" s="1"/>
  <c r="D230" i="8"/>
  <c r="G230" i="8" s="1"/>
  <c r="C230" i="8"/>
  <c r="F230" i="8" s="1"/>
  <c r="C231" i="8"/>
  <c r="F231" i="8" s="1"/>
  <c r="E231" i="8"/>
  <c r="H231" i="8" s="1"/>
  <c r="D231" i="8"/>
  <c r="G231" i="8" s="1"/>
  <c r="D232" i="8"/>
  <c r="G232" i="8" s="1"/>
  <c r="C232" i="8"/>
  <c r="F232" i="8" s="1"/>
  <c r="E232" i="8"/>
  <c r="H232" i="8" s="1"/>
  <c r="D233" i="8"/>
  <c r="G233" i="8" s="1"/>
  <c r="E233" i="8"/>
  <c r="H233" i="8" s="1"/>
  <c r="C233" i="8"/>
  <c r="F233" i="8" s="1"/>
  <c r="C234" i="8"/>
  <c r="F234" i="8" s="1"/>
  <c r="E234" i="8"/>
  <c r="H234" i="8" s="1"/>
  <c r="D234" i="8"/>
  <c r="G234" i="8" s="1"/>
  <c r="E235" i="8"/>
  <c r="H235" i="8" s="1"/>
  <c r="D235" i="8"/>
  <c r="G235" i="8" s="1"/>
  <c r="C235" i="8"/>
  <c r="F235" i="8" s="1"/>
  <c r="D236" i="8"/>
  <c r="G236" i="8" s="1"/>
  <c r="C236" i="8"/>
  <c r="F236" i="8" s="1"/>
  <c r="E236" i="8"/>
  <c r="H236" i="8" s="1"/>
  <c r="E237" i="8"/>
  <c r="H237" i="8" s="1"/>
  <c r="D237" i="8"/>
  <c r="G237" i="8" s="1"/>
  <c r="C237" i="8"/>
  <c r="F237" i="8" s="1"/>
  <c r="E238" i="8"/>
  <c r="H238" i="8" s="1"/>
  <c r="C238" i="8"/>
  <c r="F238" i="8" s="1"/>
  <c r="D238" i="8"/>
  <c r="G238" i="8" s="1"/>
  <c r="D239" i="8"/>
  <c r="G239" i="8" s="1"/>
  <c r="E239" i="8"/>
  <c r="H239" i="8" s="1"/>
  <c r="C239" i="8"/>
  <c r="F239" i="8" s="1"/>
  <c r="D240" i="8"/>
  <c r="G240" i="8" s="1"/>
  <c r="E240" i="8"/>
  <c r="H240" i="8" s="1"/>
  <c r="C240" i="8"/>
  <c r="F240" i="8" s="1"/>
  <c r="C241" i="8"/>
  <c r="F241" i="8" s="1"/>
  <c r="E241" i="8"/>
  <c r="H241" i="8" s="1"/>
  <c r="D241" i="8"/>
  <c r="G241" i="8" s="1"/>
  <c r="E242" i="8"/>
  <c r="H242" i="8" s="1"/>
  <c r="D242" i="8"/>
  <c r="G242" i="8" s="1"/>
  <c r="C242" i="8"/>
  <c r="F242" i="8" s="1"/>
  <c r="C243" i="8"/>
  <c r="F243" i="8" s="1"/>
  <c r="D243" i="8"/>
  <c r="G243" i="8" s="1"/>
  <c r="E243" i="8"/>
  <c r="H243" i="8" s="1"/>
  <c r="I243" i="8" s="1"/>
  <c r="D244" i="8"/>
  <c r="G244" i="8" s="1"/>
  <c r="C244" i="8"/>
  <c r="F244" i="8" s="1"/>
  <c r="E244" i="8"/>
  <c r="H244" i="8" s="1"/>
  <c r="E245" i="8"/>
  <c r="H245" i="8" s="1"/>
  <c r="C245" i="8"/>
  <c r="F245" i="8" s="1"/>
  <c r="D245" i="8"/>
  <c r="G245" i="8" s="1"/>
  <c r="D246" i="8"/>
  <c r="G246" i="8" s="1"/>
  <c r="C246" i="8"/>
  <c r="F246" i="8" s="1"/>
  <c r="E246" i="8"/>
  <c r="H246" i="8" s="1"/>
  <c r="C247" i="8"/>
  <c r="F247" i="8" s="1"/>
  <c r="E247" i="8"/>
  <c r="H247" i="8" s="1"/>
  <c r="D247" i="8"/>
  <c r="G247" i="8" s="1"/>
  <c r="E248" i="8"/>
  <c r="H248" i="8" s="1"/>
  <c r="C248" i="8"/>
  <c r="F248" i="8" s="1"/>
  <c r="D248" i="8"/>
  <c r="G248" i="8" s="1"/>
  <c r="E249" i="8"/>
  <c r="H249" i="8" s="1"/>
  <c r="D249" i="8"/>
  <c r="G249" i="8" s="1"/>
  <c r="C249" i="8"/>
  <c r="F249" i="8" s="1"/>
  <c r="C250" i="8"/>
  <c r="F250" i="8" s="1"/>
  <c r="D250" i="8"/>
  <c r="G250" i="8" s="1"/>
  <c r="E250" i="8"/>
  <c r="H250" i="8" s="1"/>
  <c r="I250" i="8" s="1"/>
  <c r="C251" i="8"/>
  <c r="F251" i="8" s="1"/>
  <c r="E251" i="8"/>
  <c r="H251" i="8" s="1"/>
  <c r="D251" i="8"/>
  <c r="G251" i="8" s="1"/>
  <c r="D252" i="8"/>
  <c r="G252" i="8" s="1"/>
  <c r="C252" i="8"/>
  <c r="F252" i="8" s="1"/>
  <c r="E252" i="8"/>
  <c r="H252" i="8" s="1"/>
  <c r="I252" i="8" s="1"/>
  <c r="C253" i="8"/>
  <c r="F253" i="8" s="1"/>
  <c r="E253" i="8"/>
  <c r="H253" i="8" s="1"/>
  <c r="D253" i="8"/>
  <c r="G253" i="8" s="1"/>
  <c r="E254" i="8"/>
  <c r="H254" i="8" s="1"/>
  <c r="C254" i="8"/>
  <c r="F254" i="8" s="1"/>
  <c r="D254" i="8"/>
  <c r="G254" i="8" s="1"/>
  <c r="C255" i="8"/>
  <c r="F255" i="8" s="1"/>
  <c r="E255" i="8"/>
  <c r="H255" i="8" s="1"/>
  <c r="D255" i="8"/>
  <c r="G255" i="8" s="1"/>
  <c r="C256" i="8"/>
  <c r="F256" i="8" s="1"/>
  <c r="E256" i="8"/>
  <c r="H256" i="8" s="1"/>
  <c r="D256" i="8"/>
  <c r="G256" i="8" s="1"/>
  <c r="E257" i="8"/>
  <c r="H257" i="8" s="1"/>
  <c r="C257" i="8"/>
  <c r="F257" i="8" s="1"/>
  <c r="D257" i="8"/>
  <c r="G257" i="8" s="1"/>
  <c r="E258" i="8"/>
  <c r="H258" i="8" s="1"/>
  <c r="C258" i="8"/>
  <c r="F258" i="8" s="1"/>
  <c r="D258" i="8"/>
  <c r="G258" i="8" s="1"/>
  <c r="C259" i="8"/>
  <c r="F259" i="8" s="1"/>
  <c r="E259" i="8"/>
  <c r="H259" i="8" s="1"/>
  <c r="D259" i="8"/>
  <c r="G259" i="8" s="1"/>
  <c r="C260" i="8"/>
  <c r="F260" i="8" s="1"/>
  <c r="D260" i="8"/>
  <c r="G260" i="8" s="1"/>
  <c r="E260" i="8"/>
  <c r="H260" i="8" s="1"/>
  <c r="I260" i="8" s="1"/>
  <c r="E261" i="8"/>
  <c r="H261" i="8" s="1"/>
  <c r="D261" i="8"/>
  <c r="G261" i="8" s="1"/>
  <c r="C261" i="8"/>
  <c r="F261" i="8" s="1"/>
  <c r="E262" i="8"/>
  <c r="H262" i="8" s="1"/>
  <c r="C262" i="8"/>
  <c r="F262" i="8" s="1"/>
  <c r="D262" i="8"/>
  <c r="G262" i="8" s="1"/>
  <c r="E263" i="8"/>
  <c r="H263" i="8" s="1"/>
  <c r="D263" i="8"/>
  <c r="G263" i="8" s="1"/>
  <c r="C263" i="8"/>
  <c r="F263" i="8" s="1"/>
  <c r="D264" i="8"/>
  <c r="G264" i="8" s="1"/>
  <c r="C264" i="8"/>
  <c r="F264" i="8" s="1"/>
  <c r="E264" i="8"/>
  <c r="H264" i="8" s="1"/>
  <c r="E265" i="8"/>
  <c r="H265" i="8" s="1"/>
  <c r="D265" i="8"/>
  <c r="G265" i="8" s="1"/>
  <c r="C265" i="8"/>
  <c r="F265" i="8" s="1"/>
  <c r="D266" i="8"/>
  <c r="G266" i="8" s="1"/>
  <c r="E266" i="8"/>
  <c r="H266" i="8" s="1"/>
  <c r="C266" i="8"/>
  <c r="F266" i="8" s="1"/>
  <c r="C267" i="8"/>
  <c r="F267" i="8" s="1"/>
  <c r="E267" i="8"/>
  <c r="H267" i="8" s="1"/>
  <c r="D267" i="8"/>
  <c r="G267" i="8" s="1"/>
  <c r="I267" i="8" s="1"/>
  <c r="D268" i="8"/>
  <c r="G268" i="8" s="1"/>
  <c r="C268" i="8"/>
  <c r="F268" i="8" s="1"/>
  <c r="E268" i="8"/>
  <c r="H268" i="8" s="1"/>
  <c r="I268" i="8" s="1"/>
  <c r="E269" i="8"/>
  <c r="H269" i="8" s="1"/>
  <c r="C269" i="8"/>
  <c r="F269" i="8" s="1"/>
  <c r="D269" i="8"/>
  <c r="G269" i="8" s="1"/>
  <c r="E270" i="8"/>
  <c r="H270" i="8" s="1"/>
  <c r="D270" i="8"/>
  <c r="G270" i="8" s="1"/>
  <c r="C270" i="8"/>
  <c r="F270" i="8" s="1"/>
  <c r="C271" i="8"/>
  <c r="F271" i="8" s="1"/>
  <c r="E271" i="8"/>
  <c r="H271" i="8" s="1"/>
  <c r="D271" i="8"/>
  <c r="G271" i="8" s="1"/>
  <c r="D272" i="8"/>
  <c r="G272" i="8" s="1"/>
  <c r="C272" i="8"/>
  <c r="F272" i="8" s="1"/>
  <c r="E272" i="8"/>
  <c r="H272" i="8" s="1"/>
  <c r="E273" i="8"/>
  <c r="H273" i="8" s="1"/>
  <c r="C273" i="8"/>
  <c r="F273" i="8" s="1"/>
  <c r="D273" i="8"/>
  <c r="G273" i="8" s="1"/>
  <c r="E274" i="8"/>
  <c r="H274" i="8" s="1"/>
  <c r="D274" i="8"/>
  <c r="G274" i="8" s="1"/>
  <c r="C274" i="8"/>
  <c r="F274" i="8" s="1"/>
  <c r="E275" i="8"/>
  <c r="H275" i="8" s="1"/>
  <c r="D275" i="8"/>
  <c r="G275" i="8" s="1"/>
  <c r="I275" i="8" s="1"/>
  <c r="C275" i="8"/>
  <c r="F275" i="8" s="1"/>
  <c r="D276" i="8"/>
  <c r="G276" i="8" s="1"/>
  <c r="E276" i="8"/>
  <c r="H276" i="8" s="1"/>
  <c r="C276" i="8"/>
  <c r="F276" i="8" s="1"/>
  <c r="D277" i="8"/>
  <c r="G277" i="8" s="1"/>
  <c r="E277" i="8"/>
  <c r="H277" i="8" s="1"/>
  <c r="C277" i="8"/>
  <c r="F277" i="8" s="1"/>
  <c r="C278" i="8"/>
  <c r="F278" i="8" s="1"/>
  <c r="D278" i="8"/>
  <c r="G278" i="8" s="1"/>
  <c r="E278" i="8"/>
  <c r="H278" i="8" s="1"/>
  <c r="C279" i="8"/>
  <c r="F279" i="8" s="1"/>
  <c r="E279" i="8"/>
  <c r="H279" i="8" s="1"/>
  <c r="D279" i="8"/>
  <c r="G279" i="8" s="1"/>
  <c r="E280" i="8"/>
  <c r="H280" i="8" s="1"/>
  <c r="C280" i="8"/>
  <c r="F280" i="8" s="1"/>
  <c r="D280" i="8"/>
  <c r="G280" i="8" s="1"/>
  <c r="E281" i="8"/>
  <c r="H281" i="8" s="1"/>
  <c r="C281" i="8"/>
  <c r="F281" i="8" s="1"/>
  <c r="D281" i="8"/>
  <c r="G281" i="8" s="1"/>
  <c r="E282" i="8"/>
  <c r="H282" i="8" s="1"/>
  <c r="D282" i="8"/>
  <c r="G282" i="8" s="1"/>
  <c r="C282" i="8"/>
  <c r="F282" i="8" s="1"/>
  <c r="E283" i="8"/>
  <c r="H283" i="8" s="1"/>
  <c r="D283" i="8"/>
  <c r="G283" i="8" s="1"/>
  <c r="C283" i="8"/>
  <c r="F283" i="8" s="1"/>
  <c r="D284" i="8"/>
  <c r="G284" i="8" s="1"/>
  <c r="C284" i="8"/>
  <c r="F284" i="8" s="1"/>
  <c r="E284" i="8"/>
  <c r="H284" i="8" s="1"/>
  <c r="D285" i="8"/>
  <c r="G285" i="8" s="1"/>
  <c r="C285" i="8"/>
  <c r="F285" i="8" s="1"/>
  <c r="E285" i="8"/>
  <c r="H285" i="8" s="1"/>
  <c r="E286" i="8"/>
  <c r="H286" i="8" s="1"/>
  <c r="C286" i="8"/>
  <c r="F286" i="8" s="1"/>
  <c r="D286" i="8"/>
  <c r="G286" i="8" s="1"/>
  <c r="C287" i="8"/>
  <c r="F287" i="8" s="1"/>
  <c r="D287" i="8"/>
  <c r="G287" i="8" s="1"/>
  <c r="E287" i="8"/>
  <c r="H287" i="8" s="1"/>
  <c r="I287" i="8" s="1"/>
  <c r="C288" i="8"/>
  <c r="F288" i="8" s="1"/>
  <c r="D288" i="8"/>
  <c r="G288" i="8" s="1"/>
  <c r="E288" i="8"/>
  <c r="H288" i="8" s="1"/>
  <c r="I288" i="8" s="1"/>
  <c r="E289" i="8"/>
  <c r="H289" i="8" s="1"/>
  <c r="D289" i="8"/>
  <c r="G289" i="8" s="1"/>
  <c r="C289" i="8"/>
  <c r="F289" i="8" s="1"/>
  <c r="E290" i="8"/>
  <c r="H290" i="8" s="1"/>
  <c r="C290" i="8"/>
  <c r="F290" i="8" s="1"/>
  <c r="D290" i="8"/>
  <c r="G290" i="8" s="1"/>
  <c r="E291" i="8"/>
  <c r="H291" i="8" s="1"/>
  <c r="D291" i="8"/>
  <c r="G291" i="8" s="1"/>
  <c r="C291" i="8"/>
  <c r="F291" i="8" s="1"/>
  <c r="C292" i="8"/>
  <c r="F292" i="8" s="1"/>
  <c r="E292" i="8"/>
  <c r="H292" i="8" s="1"/>
  <c r="D292" i="8"/>
  <c r="G292" i="8" s="1"/>
  <c r="E293" i="8"/>
  <c r="H293" i="8" s="1"/>
  <c r="D293" i="8"/>
  <c r="G293" i="8" s="1"/>
  <c r="C293" i="8"/>
  <c r="F293" i="8" s="1"/>
  <c r="E294" i="8"/>
  <c r="H294" i="8" s="1"/>
  <c r="C294" i="8"/>
  <c r="F294" i="8" s="1"/>
  <c r="D294" i="8"/>
  <c r="G294" i="8" s="1"/>
  <c r="C295" i="8"/>
  <c r="F295" i="8" s="1"/>
  <c r="D295" i="8"/>
  <c r="G295" i="8" s="1"/>
  <c r="E295" i="8"/>
  <c r="H295" i="8" s="1"/>
  <c r="E296" i="8"/>
  <c r="H296" i="8" s="1"/>
  <c r="C296" i="8"/>
  <c r="F296" i="8" s="1"/>
  <c r="D296" i="8"/>
  <c r="G296" i="8" s="1"/>
  <c r="E297" i="8"/>
  <c r="H297" i="8" s="1"/>
  <c r="D297" i="8"/>
  <c r="G297" i="8" s="1"/>
  <c r="C297" i="8"/>
  <c r="F297" i="8" s="1"/>
  <c r="E298" i="8"/>
  <c r="H298" i="8" s="1"/>
  <c r="C298" i="8"/>
  <c r="F298" i="8" s="1"/>
  <c r="D298" i="8"/>
  <c r="G298" i="8" s="1"/>
  <c r="E299" i="8"/>
  <c r="H299" i="8" s="1"/>
  <c r="D299" i="8"/>
  <c r="G299" i="8" s="1"/>
  <c r="C299" i="8"/>
  <c r="F299" i="8" s="1"/>
  <c r="D300" i="8"/>
  <c r="G300" i="8" s="1"/>
  <c r="E300" i="8"/>
  <c r="H300" i="8" s="1"/>
  <c r="C300" i="8"/>
  <c r="F300" i="8" s="1"/>
  <c r="E301" i="8"/>
  <c r="H301" i="8" s="1"/>
  <c r="D301" i="8"/>
  <c r="G301" i="8" s="1"/>
  <c r="C301" i="8"/>
  <c r="F301" i="8" s="1"/>
  <c r="E302" i="8"/>
  <c r="H302" i="8" s="1"/>
  <c r="C302" i="8"/>
  <c r="F302" i="8" s="1"/>
  <c r="D302" i="8"/>
  <c r="G302" i="8" s="1"/>
  <c r="C303" i="8"/>
  <c r="F303" i="8" s="1"/>
  <c r="E303" i="8"/>
  <c r="H303" i="8" s="1"/>
  <c r="D303" i="8"/>
  <c r="G303" i="8" s="1"/>
  <c r="E304" i="8"/>
  <c r="H304" i="8" s="1"/>
  <c r="C304" i="8"/>
  <c r="F304" i="8" s="1"/>
  <c r="D304" i="8"/>
  <c r="G304" i="8" s="1"/>
  <c r="E305" i="8"/>
  <c r="H305" i="8" s="1"/>
  <c r="D305" i="8"/>
  <c r="G305" i="8" s="1"/>
  <c r="C305" i="8"/>
  <c r="F305" i="8" s="1"/>
  <c r="C306" i="8"/>
  <c r="F306" i="8" s="1"/>
  <c r="D306" i="8"/>
  <c r="G306" i="8" s="1"/>
  <c r="E306" i="8"/>
  <c r="H306" i="8" s="1"/>
  <c r="D307" i="8"/>
  <c r="G307" i="8" s="1"/>
  <c r="C307" i="8"/>
  <c r="F307" i="8" s="1"/>
  <c r="E307" i="8"/>
  <c r="H307" i="8" s="1"/>
  <c r="D308" i="8"/>
  <c r="G308" i="8" s="1"/>
  <c r="C308" i="8"/>
  <c r="F308" i="8" s="1"/>
  <c r="E308" i="8"/>
  <c r="H308" i="8" s="1"/>
  <c r="I308" i="8" s="1"/>
  <c r="C309" i="8"/>
  <c r="F309" i="8" s="1"/>
  <c r="D309" i="8"/>
  <c r="G309" i="8" s="1"/>
  <c r="E309" i="8"/>
  <c r="H309" i="8" s="1"/>
  <c r="E310" i="8"/>
  <c r="H310" i="8" s="1"/>
  <c r="C310" i="8"/>
  <c r="F310" i="8" s="1"/>
  <c r="D310" i="8"/>
  <c r="G310" i="8" s="1"/>
  <c r="C311" i="8"/>
  <c r="F311" i="8" s="1"/>
  <c r="E311" i="8"/>
  <c r="H311" i="8" s="1"/>
  <c r="D311" i="8"/>
  <c r="G311" i="8" s="1"/>
  <c r="E312" i="8"/>
  <c r="H312" i="8" s="1"/>
  <c r="C312" i="8"/>
  <c r="F312" i="8" s="1"/>
  <c r="D312" i="8"/>
  <c r="G312" i="8" s="1"/>
  <c r="E313" i="8"/>
  <c r="H313" i="8" s="1"/>
  <c r="D313" i="8"/>
  <c r="G313" i="8" s="1"/>
  <c r="C313" i="8"/>
  <c r="F313" i="8" s="1"/>
  <c r="E314" i="8"/>
  <c r="H314" i="8" s="1"/>
  <c r="D314" i="8"/>
  <c r="G314" i="8" s="1"/>
  <c r="C314" i="8"/>
  <c r="F314" i="8" s="1"/>
  <c r="C315" i="8"/>
  <c r="F315" i="8" s="1"/>
  <c r="D315" i="8"/>
  <c r="G315" i="8" s="1"/>
  <c r="E315" i="8"/>
  <c r="H315" i="8" s="1"/>
  <c r="E316" i="8"/>
  <c r="H316" i="8" s="1"/>
  <c r="C316" i="8"/>
  <c r="F316" i="8" s="1"/>
  <c r="D316" i="8"/>
  <c r="G316" i="8" s="1"/>
  <c r="C317" i="8"/>
  <c r="F317" i="8" s="1"/>
  <c r="D317" i="8"/>
  <c r="G317" i="8" s="1"/>
  <c r="E317" i="8"/>
  <c r="H317" i="8" s="1"/>
  <c r="E318" i="8"/>
  <c r="H318" i="8" s="1"/>
  <c r="D318" i="8"/>
  <c r="G318" i="8" s="1"/>
  <c r="C318" i="8"/>
  <c r="F318" i="8" s="1"/>
  <c r="C319" i="8"/>
  <c r="F319" i="8" s="1"/>
  <c r="D319" i="8"/>
  <c r="G319" i="8" s="1"/>
  <c r="E319" i="8"/>
  <c r="H319" i="8" s="1"/>
  <c r="C320" i="8"/>
  <c r="F320" i="8" s="1"/>
  <c r="D320" i="8"/>
  <c r="G320" i="8" s="1"/>
  <c r="E320" i="8"/>
  <c r="H320" i="8" s="1"/>
  <c r="E321" i="8"/>
  <c r="H321" i="8" s="1"/>
  <c r="C321" i="8"/>
  <c r="F321" i="8" s="1"/>
  <c r="D321" i="8"/>
  <c r="G321" i="8" s="1"/>
  <c r="C322" i="8"/>
  <c r="F322" i="8" s="1"/>
  <c r="D322" i="8"/>
  <c r="G322" i="8" s="1"/>
  <c r="E322" i="8"/>
  <c r="H322" i="8" s="1"/>
  <c r="I322" i="8" s="1"/>
  <c r="E323" i="8"/>
  <c r="H323" i="8" s="1"/>
  <c r="C323" i="8"/>
  <c r="F323" i="8" s="1"/>
  <c r="D323" i="8"/>
  <c r="G323" i="8" s="1"/>
  <c r="D324" i="8"/>
  <c r="G324" i="8" s="1"/>
  <c r="E324" i="8"/>
  <c r="H324" i="8" s="1"/>
  <c r="C324" i="8"/>
  <c r="F324" i="8" s="1"/>
  <c r="C325" i="8"/>
  <c r="F325" i="8" s="1"/>
  <c r="E325" i="8"/>
  <c r="H325" i="8" s="1"/>
  <c r="D325" i="8"/>
  <c r="G325" i="8" s="1"/>
  <c r="D326" i="8"/>
  <c r="G326" i="8" s="1"/>
  <c r="E326" i="8"/>
  <c r="H326" i="8" s="1"/>
  <c r="C326" i="8"/>
  <c r="F326" i="8" s="1"/>
  <c r="C327" i="8"/>
  <c r="F327" i="8" s="1"/>
  <c r="D327" i="8"/>
  <c r="G327" i="8" s="1"/>
  <c r="E327" i="8"/>
  <c r="H327" i="8" s="1"/>
  <c r="E328" i="8"/>
  <c r="H328" i="8" s="1"/>
  <c r="C328" i="8"/>
  <c r="F328" i="8" s="1"/>
  <c r="D328" i="8"/>
  <c r="G328" i="8" s="1"/>
  <c r="I328" i="8" s="1"/>
  <c r="C329" i="8"/>
  <c r="F329" i="8" s="1"/>
  <c r="D329" i="8"/>
  <c r="G329" i="8" s="1"/>
  <c r="E329" i="8"/>
  <c r="H329" i="8" s="1"/>
  <c r="I329" i="8" s="1"/>
  <c r="C330" i="8"/>
  <c r="F330" i="8" s="1"/>
  <c r="D330" i="8"/>
  <c r="G330" i="8" s="1"/>
  <c r="E330" i="8"/>
  <c r="H330" i="8" s="1"/>
  <c r="I330" i="8" s="1"/>
  <c r="C331" i="8"/>
  <c r="F331" i="8" s="1"/>
  <c r="E331" i="8"/>
  <c r="H331" i="8" s="1"/>
  <c r="D331" i="8"/>
  <c r="G331" i="8" s="1"/>
  <c r="I331" i="8" s="1"/>
  <c r="D332" i="8"/>
  <c r="G332" i="8" s="1"/>
  <c r="C332" i="8"/>
  <c r="F332" i="8" s="1"/>
  <c r="E332" i="8"/>
  <c r="H332" i="8" s="1"/>
  <c r="I332" i="8" s="1"/>
  <c r="E333" i="8"/>
  <c r="H333" i="8" s="1"/>
  <c r="D333" i="8"/>
  <c r="G333" i="8" s="1"/>
  <c r="C333" i="8"/>
  <c r="F333" i="8" s="1"/>
  <c r="D334" i="8"/>
  <c r="G334" i="8" s="1"/>
  <c r="E334" i="8"/>
  <c r="H334" i="8" s="1"/>
  <c r="C334" i="8"/>
  <c r="F334" i="8" s="1"/>
  <c r="C335" i="8"/>
  <c r="F335" i="8" s="1"/>
  <c r="D335" i="8"/>
  <c r="G335" i="8" s="1"/>
  <c r="E335" i="8"/>
  <c r="H335" i="8" s="1"/>
  <c r="E336" i="8"/>
  <c r="H336" i="8" s="1"/>
  <c r="C336" i="8"/>
  <c r="F336" i="8" s="1"/>
  <c r="D336" i="8"/>
  <c r="G336" i="8" s="1"/>
  <c r="C337" i="8"/>
  <c r="F337" i="8" s="1"/>
  <c r="D337" i="8"/>
  <c r="G337" i="8" s="1"/>
  <c r="E337" i="8"/>
  <c r="H337" i="8" s="1"/>
  <c r="E338" i="8"/>
  <c r="H338" i="8" s="1"/>
  <c r="C338" i="8"/>
  <c r="F338" i="8" s="1"/>
  <c r="D338" i="8"/>
  <c r="G338" i="8" s="1"/>
  <c r="I338" i="8" s="1"/>
  <c r="C339" i="8"/>
  <c r="F339" i="8" s="1"/>
  <c r="E339" i="8"/>
  <c r="H339" i="8" s="1"/>
  <c r="D339" i="8"/>
  <c r="G339" i="8" s="1"/>
  <c r="E340" i="8"/>
  <c r="H340" i="8" s="1"/>
  <c r="D340" i="8"/>
  <c r="G340" i="8" s="1"/>
  <c r="C340" i="8"/>
  <c r="F340" i="8" s="1"/>
  <c r="C341" i="8"/>
  <c r="F341" i="8" s="1"/>
  <c r="D341" i="8"/>
  <c r="G341" i="8" s="1"/>
  <c r="E341" i="8"/>
  <c r="H341" i="8" s="1"/>
  <c r="I341" i="8" s="1"/>
  <c r="E342" i="8"/>
  <c r="H342" i="8" s="1"/>
  <c r="C342" i="8"/>
  <c r="F342" i="8" s="1"/>
  <c r="D342" i="8"/>
  <c r="G342" i="8" s="1"/>
  <c r="D343" i="8"/>
  <c r="G343" i="8" s="1"/>
  <c r="C343" i="8"/>
  <c r="F343" i="8" s="1"/>
  <c r="E343" i="8"/>
  <c r="H343" i="8" s="1"/>
  <c r="I343" i="8" s="1"/>
  <c r="D344" i="8"/>
  <c r="G344" i="8" s="1"/>
  <c r="C344" i="8"/>
  <c r="F344" i="8" s="1"/>
  <c r="E344" i="8"/>
  <c r="H344" i="8" s="1"/>
  <c r="I344" i="8" s="1"/>
  <c r="E345" i="8"/>
  <c r="H345" i="8" s="1"/>
  <c r="C345" i="8"/>
  <c r="F345" i="8" s="1"/>
  <c r="D345" i="8"/>
  <c r="G345" i="8" s="1"/>
  <c r="E346" i="8"/>
  <c r="H346" i="8" s="1"/>
  <c r="C346" i="8"/>
  <c r="F346" i="8" s="1"/>
  <c r="D346" i="8"/>
  <c r="G346" i="8" s="1"/>
  <c r="E347" i="8"/>
  <c r="H347" i="8" s="1"/>
  <c r="D347" i="8"/>
  <c r="G347" i="8" s="1"/>
  <c r="C347" i="8"/>
  <c r="F347" i="8" s="1"/>
  <c r="D348" i="8"/>
  <c r="G348" i="8" s="1"/>
  <c r="E348" i="8"/>
  <c r="H348" i="8" s="1"/>
  <c r="C348" i="8"/>
  <c r="F348" i="8" s="1"/>
  <c r="C349" i="8"/>
  <c r="F349" i="8" s="1"/>
  <c r="D349" i="8"/>
  <c r="G349" i="8" s="1"/>
  <c r="E349" i="8"/>
  <c r="H349" i="8" s="1"/>
  <c r="E350" i="8"/>
  <c r="H350" i="8" s="1"/>
  <c r="C350" i="8"/>
  <c r="F350" i="8" s="1"/>
  <c r="D350" i="8"/>
  <c r="G350" i="8" s="1"/>
  <c r="I350" i="8" s="1"/>
  <c r="E351" i="8"/>
  <c r="H351" i="8" s="1"/>
  <c r="D351" i="8"/>
  <c r="G351" i="8" s="1"/>
  <c r="C351" i="8"/>
  <c r="F351" i="8" s="1"/>
  <c r="E352" i="8"/>
  <c r="H352" i="8" s="1"/>
  <c r="C352" i="8"/>
  <c r="F352" i="8" s="1"/>
  <c r="D352" i="8"/>
  <c r="G352" i="8" s="1"/>
  <c r="E353" i="8"/>
  <c r="H353" i="8" s="1"/>
  <c r="D353" i="8"/>
  <c r="G353" i="8" s="1"/>
  <c r="C353" i="8"/>
  <c r="F353" i="8" s="1"/>
  <c r="D354" i="8"/>
  <c r="G354" i="8" s="1"/>
  <c r="E354" i="8"/>
  <c r="H354" i="8" s="1"/>
  <c r="C354" i="8"/>
  <c r="F354" i="8" s="1"/>
  <c r="E355" i="8"/>
  <c r="H355" i="8" s="1"/>
  <c r="C355" i="8"/>
  <c r="F355" i="8" s="1"/>
  <c r="D355" i="8"/>
  <c r="G355" i="8" s="1"/>
  <c r="E356" i="8"/>
  <c r="H356" i="8" s="1"/>
  <c r="D356" i="8"/>
  <c r="G356" i="8" s="1"/>
  <c r="C356" i="8"/>
  <c r="F356" i="8" s="1"/>
  <c r="I356" i="8" s="1"/>
  <c r="C357" i="8"/>
  <c r="F357" i="8" s="1"/>
  <c r="D357" i="8"/>
  <c r="G357" i="8" s="1"/>
  <c r="E357" i="8"/>
  <c r="H357" i="8" s="1"/>
  <c r="I357" i="8" s="1"/>
  <c r="E358" i="8"/>
  <c r="H358" i="8" s="1"/>
  <c r="C358" i="8"/>
  <c r="F358" i="8" s="1"/>
  <c r="D358" i="8"/>
  <c r="G358" i="8" s="1"/>
  <c r="D359" i="8"/>
  <c r="G359" i="8" s="1"/>
  <c r="C359" i="8"/>
  <c r="F359" i="8" s="1"/>
  <c r="E359" i="8"/>
  <c r="H359" i="8" s="1"/>
  <c r="I359" i="8" s="1"/>
  <c r="C360" i="8"/>
  <c r="F360" i="8" s="1"/>
  <c r="E360" i="8"/>
  <c r="H360" i="8" s="1"/>
  <c r="D360" i="8"/>
  <c r="G360" i="8" s="1"/>
  <c r="E361" i="8"/>
  <c r="H361" i="8" s="1"/>
  <c r="C361" i="8"/>
  <c r="F361" i="8" s="1"/>
  <c r="D361" i="8"/>
  <c r="G361" i="8" s="1"/>
  <c r="E362" i="8"/>
  <c r="H362" i="8" s="1"/>
  <c r="C362" i="8"/>
  <c r="F362" i="8" s="1"/>
  <c r="D362" i="8"/>
  <c r="G362" i="8" s="1"/>
  <c r="E363" i="8"/>
  <c r="H363" i="8" s="1"/>
  <c r="D363" i="8"/>
  <c r="G363" i="8" s="1"/>
  <c r="C363" i="8"/>
  <c r="F363" i="8" s="1"/>
  <c r="E364" i="8"/>
  <c r="H364" i="8" s="1"/>
  <c r="C364" i="8"/>
  <c r="F364" i="8" s="1"/>
  <c r="D364" i="8"/>
  <c r="G364" i="8" s="1"/>
  <c r="C365" i="8"/>
  <c r="F365" i="8" s="1"/>
  <c r="D365" i="8"/>
  <c r="G365" i="8" s="1"/>
  <c r="E365" i="8"/>
  <c r="H365" i="8" s="1"/>
  <c r="I365" i="8" s="1"/>
  <c r="E366" i="8"/>
  <c r="H366" i="8" s="1"/>
  <c r="C366" i="8"/>
  <c r="F366" i="8" s="1"/>
  <c r="D366" i="8"/>
  <c r="G366" i="8" s="1"/>
  <c r="I366" i="8" s="1"/>
  <c r="E367" i="8"/>
  <c r="H367" i="8" s="1"/>
  <c r="D367" i="8"/>
  <c r="G367" i="8" s="1"/>
  <c r="C367" i="8"/>
  <c r="F367" i="8" s="1"/>
  <c r="D368" i="8"/>
  <c r="G368" i="8" s="1"/>
  <c r="C368" i="8"/>
  <c r="F368" i="8" s="1"/>
  <c r="E368" i="8"/>
  <c r="H368" i="8" s="1"/>
  <c r="E369" i="8"/>
  <c r="H369" i="8" s="1"/>
  <c r="C369" i="8"/>
  <c r="F369" i="8" s="1"/>
  <c r="D369" i="8"/>
  <c r="G369" i="8" s="1"/>
  <c r="I369" i="8" s="1"/>
  <c r="E370" i="8"/>
  <c r="H370" i="8" s="1"/>
  <c r="C370" i="8"/>
  <c r="F370" i="8" s="1"/>
  <c r="D370" i="8"/>
  <c r="G370" i="8" s="1"/>
  <c r="E371" i="8"/>
  <c r="H371" i="8" s="1"/>
  <c r="C371" i="8"/>
  <c r="F371" i="8" s="1"/>
  <c r="D371" i="8"/>
  <c r="G371" i="8" s="1"/>
  <c r="E372" i="8"/>
  <c r="H372" i="8" s="1"/>
  <c r="D372" i="8"/>
  <c r="G372" i="8" s="1"/>
  <c r="C372" i="8"/>
  <c r="F372" i="8" s="1"/>
  <c r="D373" i="8"/>
  <c r="G373" i="8" s="1"/>
  <c r="E373" i="8"/>
  <c r="H373" i="8" s="1"/>
  <c r="C373" i="8"/>
  <c r="F373" i="8" s="1"/>
  <c r="I373" i="8" s="1"/>
  <c r="E374" i="8"/>
  <c r="H374" i="8" s="1"/>
  <c r="C374" i="8"/>
  <c r="F374" i="8" s="1"/>
  <c r="D374" i="8"/>
  <c r="G374" i="8" s="1"/>
  <c r="E375" i="8"/>
  <c r="H375" i="8" s="1"/>
  <c r="D375" i="8"/>
  <c r="G375" i="8" s="1"/>
  <c r="C375" i="8"/>
  <c r="F375" i="8" s="1"/>
  <c r="C376" i="8"/>
  <c r="F376" i="8" s="1"/>
  <c r="E376" i="8"/>
  <c r="H376" i="8" s="1"/>
  <c r="D376" i="8"/>
  <c r="G376" i="8" s="1"/>
  <c r="E377" i="8"/>
  <c r="H377" i="8" s="1"/>
  <c r="D377" i="8"/>
  <c r="G377" i="8" s="1"/>
  <c r="C377" i="8"/>
  <c r="F377" i="8" s="1"/>
  <c r="D378" i="8"/>
  <c r="G378" i="8" s="1"/>
  <c r="C378" i="8"/>
  <c r="F378" i="8" s="1"/>
  <c r="E378" i="8"/>
  <c r="H378" i="8" s="1"/>
  <c r="E379" i="8"/>
  <c r="H379" i="8" s="1"/>
  <c r="D379" i="8"/>
  <c r="G379" i="8" s="1"/>
  <c r="C379" i="8"/>
  <c r="F379" i="8" s="1"/>
  <c r="E380" i="8"/>
  <c r="H380" i="8" s="1"/>
  <c r="C380" i="8"/>
  <c r="F380" i="8" s="1"/>
  <c r="D380" i="8"/>
  <c r="G380" i="8" s="1"/>
  <c r="C381" i="8"/>
  <c r="F381" i="8" s="1"/>
  <c r="E381" i="8"/>
  <c r="H381" i="8" s="1"/>
  <c r="D381" i="8"/>
  <c r="G381" i="8" s="1"/>
  <c r="E382" i="8"/>
  <c r="H382" i="8" s="1"/>
  <c r="D382" i="8"/>
  <c r="G382" i="8" s="1"/>
  <c r="C382" i="8"/>
  <c r="F382" i="8" s="1"/>
  <c r="D383" i="8"/>
  <c r="G383" i="8" s="1"/>
  <c r="C383" i="8"/>
  <c r="F383" i="8" s="1"/>
  <c r="E383" i="8"/>
  <c r="H383" i="8" s="1"/>
  <c r="C384" i="8"/>
  <c r="F384" i="8" s="1"/>
  <c r="D384" i="8"/>
  <c r="G384" i="8" s="1"/>
  <c r="E384" i="8"/>
  <c r="H384" i="8" s="1"/>
  <c r="I384" i="8" s="1"/>
  <c r="E385" i="8"/>
  <c r="H385" i="8" s="1"/>
  <c r="D385" i="8"/>
  <c r="G385" i="8" s="1"/>
  <c r="C385" i="8"/>
  <c r="F385" i="8" s="1"/>
  <c r="E386" i="8"/>
  <c r="H386" i="8" s="1"/>
  <c r="C386" i="8"/>
  <c r="F386" i="8" s="1"/>
  <c r="D386" i="8"/>
  <c r="G386" i="8" s="1"/>
  <c r="E387" i="8"/>
  <c r="H387" i="8" s="1"/>
  <c r="D387" i="8"/>
  <c r="G387" i="8" s="1"/>
  <c r="C387" i="8"/>
  <c r="F387" i="8" s="1"/>
  <c r="E388" i="8"/>
  <c r="H388" i="8" s="1"/>
  <c r="C388" i="8"/>
  <c r="F388" i="8" s="1"/>
  <c r="D388" i="8"/>
  <c r="G388" i="8" s="1"/>
  <c r="I388" i="8" s="1"/>
  <c r="C389" i="8"/>
  <c r="F389" i="8" s="1"/>
  <c r="E389" i="8"/>
  <c r="H389" i="8" s="1"/>
  <c r="D389" i="8"/>
  <c r="G389" i="8" s="1"/>
  <c r="I389" i="8" s="1"/>
  <c r="D390" i="8"/>
  <c r="G390" i="8" s="1"/>
  <c r="C390" i="8"/>
  <c r="F390" i="8" s="1"/>
  <c r="E390" i="8"/>
  <c r="H390" i="8" s="1"/>
  <c r="I390" i="8" s="1"/>
  <c r="D391" i="8"/>
  <c r="G391" i="8" s="1"/>
  <c r="E391" i="8"/>
  <c r="H391" i="8" s="1"/>
  <c r="C391" i="8"/>
  <c r="F391" i="8" s="1"/>
  <c r="D392" i="8"/>
  <c r="G392" i="8" s="1"/>
  <c r="C392" i="8"/>
  <c r="F392" i="8" s="1"/>
  <c r="E392" i="8"/>
  <c r="H392" i="8" s="1"/>
  <c r="D393" i="8"/>
  <c r="G393" i="8" s="1"/>
  <c r="C393" i="8"/>
  <c r="F393" i="8" s="1"/>
  <c r="E393" i="8"/>
  <c r="H393" i="8" s="1"/>
  <c r="E394" i="8"/>
  <c r="H394" i="8" s="1"/>
  <c r="C394" i="8"/>
  <c r="F394" i="8" s="1"/>
  <c r="D394" i="8"/>
  <c r="G394" i="8" s="1"/>
  <c r="C395" i="8"/>
  <c r="F395" i="8" s="1"/>
  <c r="E395" i="8"/>
  <c r="H395" i="8" s="1"/>
  <c r="D395" i="8"/>
  <c r="G395" i="8" s="1"/>
  <c r="I395" i="8" s="1"/>
  <c r="E396" i="8"/>
  <c r="H396" i="8" s="1"/>
  <c r="C396" i="8"/>
  <c r="F396" i="8" s="1"/>
  <c r="D396" i="8"/>
  <c r="G396" i="8" s="1"/>
  <c r="I396" i="8" s="1"/>
  <c r="C397" i="8"/>
  <c r="F397" i="8" s="1"/>
  <c r="D397" i="8"/>
  <c r="G397" i="8" s="1"/>
  <c r="E397" i="8"/>
  <c r="H397" i="8" s="1"/>
  <c r="E398" i="8"/>
  <c r="H398" i="8" s="1"/>
  <c r="D398" i="8"/>
  <c r="G398" i="8" s="1"/>
  <c r="C398" i="8"/>
  <c r="F398" i="8" s="1"/>
  <c r="C399" i="8"/>
  <c r="F399" i="8" s="1"/>
  <c r="E399" i="8"/>
  <c r="H399" i="8" s="1"/>
  <c r="D399" i="8"/>
  <c r="G399" i="8" s="1"/>
  <c r="E400" i="8"/>
  <c r="H400" i="8" s="1"/>
  <c r="D400" i="8"/>
  <c r="G400" i="8" s="1"/>
  <c r="C400" i="8"/>
  <c r="F400" i="8" s="1"/>
  <c r="E401" i="8"/>
  <c r="H401" i="8" s="1"/>
  <c r="C401" i="8"/>
  <c r="F401" i="8" s="1"/>
  <c r="D401" i="8"/>
  <c r="G401" i="8" s="1"/>
  <c r="E402" i="8"/>
  <c r="H402" i="8" s="1"/>
  <c r="D402" i="8"/>
  <c r="G402" i="8" s="1"/>
  <c r="C402" i="8"/>
  <c r="F402" i="8" s="1"/>
  <c r="D403" i="8"/>
  <c r="G403" i="8" s="1"/>
  <c r="E403" i="8"/>
  <c r="H403" i="8" s="1"/>
  <c r="C403" i="8"/>
  <c r="F403" i="8" s="1"/>
  <c r="E404" i="8"/>
  <c r="H404" i="8" s="1"/>
  <c r="D404" i="8"/>
  <c r="G404" i="8" s="1"/>
  <c r="C404" i="8"/>
  <c r="F404" i="8" s="1"/>
  <c r="E405" i="8"/>
  <c r="H405" i="8" s="1"/>
  <c r="D405" i="8"/>
  <c r="G405" i="8" s="1"/>
  <c r="C405" i="8"/>
  <c r="F405" i="8" s="1"/>
  <c r="D406" i="8"/>
  <c r="G406" i="8" s="1"/>
  <c r="E406" i="8"/>
  <c r="H406" i="8" s="1"/>
  <c r="C406" i="8"/>
  <c r="F406" i="8" s="1"/>
  <c r="E407" i="8"/>
  <c r="H407" i="8" s="1"/>
  <c r="C407" i="8"/>
  <c r="F407" i="8" s="1"/>
  <c r="D407" i="8"/>
  <c r="G407" i="8" s="1"/>
  <c r="I407" i="8" s="1"/>
  <c r="E408" i="8"/>
  <c r="H408" i="8" s="1"/>
  <c r="C408" i="8"/>
  <c r="F408" i="8" s="1"/>
  <c r="D408" i="8"/>
  <c r="G408" i="8" s="1"/>
  <c r="I408" i="8" s="1"/>
  <c r="E409" i="8"/>
  <c r="H409" i="8" s="1"/>
  <c r="D409" i="8"/>
  <c r="G409" i="8" s="1"/>
  <c r="C409" i="8"/>
  <c r="F409" i="8" s="1"/>
  <c r="E410" i="8"/>
  <c r="H410" i="8" s="1"/>
  <c r="D410" i="8"/>
  <c r="G410" i="8" s="1"/>
  <c r="C410" i="8"/>
  <c r="F410" i="8" s="1"/>
  <c r="C411" i="8"/>
  <c r="F411" i="8" s="1"/>
  <c r="E411" i="8"/>
  <c r="H411" i="8" s="1"/>
  <c r="D411" i="8"/>
  <c r="G411" i="8" s="1"/>
  <c r="D412" i="8"/>
  <c r="G412" i="8" s="1"/>
  <c r="E412" i="8"/>
  <c r="H412" i="8" s="1"/>
  <c r="C412" i="8"/>
  <c r="F412" i="8" s="1"/>
  <c r="E413" i="8"/>
  <c r="H413" i="8" s="1"/>
  <c r="C413" i="8"/>
  <c r="F413" i="8" s="1"/>
  <c r="D413" i="8"/>
  <c r="G413" i="8" s="1"/>
  <c r="C414" i="8"/>
  <c r="F414" i="8" s="1"/>
  <c r="D414" i="8"/>
  <c r="G414" i="8" s="1"/>
  <c r="E414" i="8"/>
  <c r="H414" i="8" s="1"/>
  <c r="I414" i="8" s="1"/>
  <c r="C415" i="8"/>
  <c r="F415" i="8" s="1"/>
  <c r="E415" i="8"/>
  <c r="H415" i="8" s="1"/>
  <c r="D415" i="8"/>
  <c r="G415" i="8" s="1"/>
  <c r="I415" i="8" s="1"/>
  <c r="C416" i="8"/>
  <c r="F416" i="8" s="1"/>
  <c r="D416" i="8"/>
  <c r="G416" i="8" s="1"/>
  <c r="E416" i="8"/>
  <c r="H416" i="8" s="1"/>
  <c r="I416" i="8" s="1"/>
  <c r="D417" i="8"/>
  <c r="G417" i="8" s="1"/>
  <c r="C417" i="8"/>
  <c r="F417" i="8" s="1"/>
  <c r="E417" i="8"/>
  <c r="H417" i="8" s="1"/>
  <c r="I417" i="8" s="1"/>
  <c r="D418" i="8"/>
  <c r="G418" i="8" s="1"/>
  <c r="E418" i="8"/>
  <c r="H418" i="8" s="1"/>
  <c r="C418" i="8"/>
  <c r="F418" i="8" s="1"/>
  <c r="E419" i="8"/>
  <c r="H419" i="8" s="1"/>
  <c r="C419" i="8"/>
  <c r="F419" i="8" s="1"/>
  <c r="D419" i="8"/>
  <c r="G419" i="8" s="1"/>
  <c r="I419" i="8" s="1"/>
  <c r="C420" i="8"/>
  <c r="F420" i="8" s="1"/>
  <c r="D420" i="8"/>
  <c r="G420" i="8" s="1"/>
  <c r="E420" i="8"/>
  <c r="H420" i="8" s="1"/>
  <c r="I420" i="8" s="1"/>
  <c r="E421" i="8"/>
  <c r="H421" i="8" s="1"/>
  <c r="D421" i="8"/>
  <c r="G421" i="8" s="1"/>
  <c r="C421" i="8"/>
  <c r="F421" i="8" s="1"/>
  <c r="C422" i="8"/>
  <c r="F422" i="8" s="1"/>
  <c r="E422" i="8"/>
  <c r="H422" i="8" s="1"/>
  <c r="D422" i="8"/>
  <c r="G422" i="8" s="1"/>
  <c r="E423" i="8"/>
  <c r="H423" i="8" s="1"/>
  <c r="C423" i="8"/>
  <c r="F423" i="8" s="1"/>
  <c r="D423" i="8"/>
  <c r="G423" i="8" s="1"/>
  <c r="I423" i="8" s="1"/>
  <c r="C424" i="8"/>
  <c r="F424" i="8" s="1"/>
  <c r="E424" i="8"/>
  <c r="H424" i="8" s="1"/>
  <c r="D424" i="8"/>
  <c r="G424" i="8" s="1"/>
  <c r="I424" i="8" s="1"/>
  <c r="E425" i="8"/>
  <c r="H425" i="8" s="1"/>
  <c r="D425" i="8"/>
  <c r="G425" i="8" s="1"/>
  <c r="C425" i="8"/>
  <c r="F425" i="8" s="1"/>
  <c r="C426" i="8"/>
  <c r="F426" i="8" s="1"/>
  <c r="D426" i="8"/>
  <c r="G426" i="8" s="1"/>
  <c r="E426" i="8"/>
  <c r="H426" i="8" s="1"/>
  <c r="C427" i="8"/>
  <c r="F427" i="8" s="1"/>
  <c r="E427" i="8"/>
  <c r="H427" i="8" s="1"/>
  <c r="D427" i="8"/>
  <c r="G427" i="8" s="1"/>
  <c r="I427" i="8" s="1"/>
  <c r="E428" i="8"/>
  <c r="H428" i="8" s="1"/>
  <c r="D428" i="8"/>
  <c r="G428" i="8" s="1"/>
  <c r="C428" i="8"/>
  <c r="F428" i="8" s="1"/>
  <c r="E429" i="8"/>
  <c r="H429" i="8" s="1"/>
  <c r="C429" i="8"/>
  <c r="F429" i="8" s="1"/>
  <c r="D429" i="8"/>
  <c r="G429" i="8" s="1"/>
  <c r="I429" i="8" s="1"/>
  <c r="D430" i="8"/>
  <c r="G430" i="8" s="1"/>
  <c r="C430" i="8"/>
  <c r="F430" i="8" s="1"/>
  <c r="E430" i="8"/>
  <c r="H430" i="8" s="1"/>
  <c r="I430" i="8" s="1"/>
  <c r="E431" i="8"/>
  <c r="H431" i="8" s="1"/>
  <c r="C431" i="8"/>
  <c r="F431" i="8" s="1"/>
  <c r="D431" i="8"/>
  <c r="G431" i="8" s="1"/>
  <c r="I431" i="8" s="1"/>
  <c r="E432" i="8"/>
  <c r="H432" i="8" s="1"/>
  <c r="C432" i="8"/>
  <c r="F432" i="8" s="1"/>
  <c r="D432" i="8"/>
  <c r="G432" i="8" s="1"/>
  <c r="E433" i="8"/>
  <c r="H433" i="8" s="1"/>
  <c r="C433" i="8"/>
  <c r="F433" i="8" s="1"/>
  <c r="D433" i="8"/>
  <c r="G433" i="8" s="1"/>
  <c r="E434" i="8"/>
  <c r="H434" i="8" s="1"/>
  <c r="D434" i="8"/>
  <c r="G434" i="8" s="1"/>
  <c r="C434" i="8"/>
  <c r="F434" i="8" s="1"/>
  <c r="E435" i="8"/>
  <c r="H435" i="8" s="1"/>
  <c r="C435" i="8"/>
  <c r="F435" i="8" s="1"/>
  <c r="D435" i="8"/>
  <c r="G435" i="8" s="1"/>
  <c r="E436" i="8"/>
  <c r="H436" i="8" s="1"/>
  <c r="C436" i="8"/>
  <c r="F436" i="8" s="1"/>
  <c r="D436" i="8"/>
  <c r="G436" i="8" s="1"/>
  <c r="E437" i="8"/>
  <c r="H437" i="8" s="1"/>
  <c r="D437" i="8"/>
  <c r="G437" i="8" s="1"/>
  <c r="C437" i="8"/>
  <c r="F437" i="8" s="1"/>
  <c r="D438" i="8"/>
  <c r="G438" i="8" s="1"/>
  <c r="C438" i="8"/>
  <c r="F438" i="8" s="1"/>
  <c r="E438" i="8"/>
  <c r="H438" i="8" s="1"/>
  <c r="E439" i="8"/>
  <c r="H439" i="8" s="1"/>
  <c r="D439" i="8"/>
  <c r="G439" i="8" s="1"/>
  <c r="C439" i="8"/>
  <c r="F439" i="8" s="1"/>
  <c r="E440" i="8"/>
  <c r="H440" i="8" s="1"/>
  <c r="D440" i="8"/>
  <c r="G440" i="8" s="1"/>
  <c r="C440" i="8"/>
  <c r="F440" i="8" s="1"/>
  <c r="E441" i="8"/>
  <c r="H441" i="8" s="1"/>
  <c r="D441" i="8"/>
  <c r="G441" i="8" s="1"/>
  <c r="C441" i="8"/>
  <c r="F441" i="8" s="1"/>
  <c r="E442" i="8"/>
  <c r="H442" i="8" s="1"/>
  <c r="D442" i="8"/>
  <c r="G442" i="8" s="1"/>
  <c r="C442" i="8"/>
  <c r="F442" i="8" s="1"/>
  <c r="D443" i="8"/>
  <c r="G443" i="8" s="1"/>
  <c r="C443" i="8"/>
  <c r="F443" i="8" s="1"/>
  <c r="E443" i="8"/>
  <c r="H443" i="8" s="1"/>
  <c r="I443" i="8" s="1"/>
  <c r="E444" i="8"/>
  <c r="H444" i="8" s="1"/>
  <c r="C444" i="8"/>
  <c r="F444" i="8" s="1"/>
  <c r="D444" i="8"/>
  <c r="G444" i="8" s="1"/>
  <c r="E445" i="8"/>
  <c r="H445" i="8" s="1"/>
  <c r="C445" i="8"/>
  <c r="F445" i="8" s="1"/>
  <c r="D445" i="8"/>
  <c r="G445" i="8" s="1"/>
  <c r="E446" i="8"/>
  <c r="H446" i="8" s="1"/>
  <c r="D446" i="8"/>
  <c r="G446" i="8" s="1"/>
  <c r="C446" i="8"/>
  <c r="F446" i="8" s="1"/>
  <c r="D447" i="8"/>
  <c r="G447" i="8" s="1"/>
  <c r="C447" i="8"/>
  <c r="F447" i="8" s="1"/>
  <c r="E447" i="8"/>
  <c r="H447" i="8" s="1"/>
  <c r="D448" i="8"/>
  <c r="G448" i="8" s="1"/>
  <c r="C448" i="8"/>
  <c r="F448" i="8" s="1"/>
  <c r="E448" i="8"/>
  <c r="H448" i="8" s="1"/>
  <c r="E449" i="8"/>
  <c r="H449" i="8" s="1"/>
  <c r="D449" i="8"/>
  <c r="G449" i="8" s="1"/>
  <c r="C449" i="8"/>
  <c r="F449" i="8" s="1"/>
  <c r="E450" i="8"/>
  <c r="H450" i="8" s="1"/>
  <c r="D450" i="8"/>
  <c r="G450" i="8" s="1"/>
  <c r="C450" i="8"/>
  <c r="F450" i="8" s="1"/>
  <c r="C451" i="8"/>
  <c r="F451" i="8" s="1"/>
  <c r="E451" i="8"/>
  <c r="H451" i="8" s="1"/>
  <c r="D451" i="8"/>
  <c r="G451" i="8" s="1"/>
  <c r="D452" i="8"/>
  <c r="G452" i="8" s="1"/>
  <c r="C452" i="8"/>
  <c r="F452" i="8" s="1"/>
  <c r="E452" i="8"/>
  <c r="H452" i="8" s="1"/>
  <c r="E453" i="8"/>
  <c r="H453" i="8" s="1"/>
  <c r="D453" i="8"/>
  <c r="G453" i="8" s="1"/>
  <c r="C453" i="8"/>
  <c r="F453" i="8" s="1"/>
  <c r="E454" i="8"/>
  <c r="H454" i="8" s="1"/>
  <c r="C454" i="8"/>
  <c r="F454" i="8" s="1"/>
  <c r="D454" i="8"/>
  <c r="G454" i="8" s="1"/>
  <c r="C455" i="8"/>
  <c r="F455" i="8" s="1"/>
  <c r="E455" i="8"/>
  <c r="H455" i="8" s="1"/>
  <c r="D455" i="8"/>
  <c r="G455" i="8" s="1"/>
  <c r="I455" i="8" s="1"/>
  <c r="C456" i="8"/>
  <c r="F456" i="8" s="1"/>
  <c r="E456" i="8"/>
  <c r="H456" i="8" s="1"/>
  <c r="D456" i="8"/>
  <c r="G456" i="8" s="1"/>
  <c r="E457" i="8"/>
  <c r="H457" i="8" s="1"/>
  <c r="C457" i="8"/>
  <c r="F457" i="8" s="1"/>
  <c r="D457" i="8"/>
  <c r="G457" i="8" s="1"/>
  <c r="D458" i="8"/>
  <c r="G458" i="8" s="1"/>
  <c r="C458" i="8"/>
  <c r="F458" i="8" s="1"/>
  <c r="E458" i="8"/>
  <c r="H458" i="8" s="1"/>
  <c r="I458" i="8" s="1"/>
  <c r="C459" i="8"/>
  <c r="F459" i="8" s="1"/>
  <c r="D459" i="8"/>
  <c r="G459" i="8" s="1"/>
  <c r="E459" i="8"/>
  <c r="H459" i="8" s="1"/>
  <c r="I459" i="8" s="1"/>
  <c r="E460" i="8"/>
  <c r="H460" i="8" s="1"/>
  <c r="C460" i="8"/>
  <c r="F460" i="8" s="1"/>
  <c r="D460" i="8"/>
  <c r="G460" i="8" s="1"/>
  <c r="I460" i="8" s="1"/>
  <c r="E461" i="8"/>
  <c r="H461" i="8" s="1"/>
  <c r="C461" i="8"/>
  <c r="F461" i="8" s="1"/>
  <c r="D461" i="8"/>
  <c r="G461" i="8" s="1"/>
  <c r="I461" i="8" s="1"/>
  <c r="C462" i="8"/>
  <c r="F462" i="8" s="1"/>
  <c r="D462" i="8"/>
  <c r="G462" i="8" s="1"/>
  <c r="E462" i="8"/>
  <c r="H462" i="8" s="1"/>
  <c r="D463" i="8"/>
  <c r="G463" i="8" s="1"/>
  <c r="E463" i="8"/>
  <c r="H463" i="8" s="1"/>
  <c r="C463" i="8"/>
  <c r="F463" i="8" s="1"/>
  <c r="C464" i="8"/>
  <c r="F464" i="8" s="1"/>
  <c r="E464" i="8"/>
  <c r="H464" i="8" s="1"/>
  <c r="D464" i="8"/>
  <c r="G464" i="8" s="1"/>
  <c r="E465" i="8"/>
  <c r="H465" i="8" s="1"/>
  <c r="C465" i="8"/>
  <c r="F465" i="8" s="1"/>
  <c r="D465" i="8"/>
  <c r="G465" i="8" s="1"/>
  <c r="C466" i="8"/>
  <c r="F466" i="8" s="1"/>
  <c r="E466" i="8"/>
  <c r="H466" i="8" s="1"/>
  <c r="D466" i="8"/>
  <c r="G466" i="8" s="1"/>
  <c r="E467" i="8"/>
  <c r="H467" i="8" s="1"/>
  <c r="C467" i="8"/>
  <c r="F467" i="8" s="1"/>
  <c r="D467" i="8"/>
  <c r="G467" i="8" s="1"/>
  <c r="I467" i="8" s="1"/>
  <c r="C468" i="8"/>
  <c r="F468" i="8" s="1"/>
  <c r="D468" i="8"/>
  <c r="G468" i="8" s="1"/>
  <c r="E468" i="8"/>
  <c r="H468" i="8" s="1"/>
  <c r="I468" i="8" s="1"/>
  <c r="E469" i="8"/>
  <c r="H469" i="8" s="1"/>
  <c r="D469" i="8"/>
  <c r="G469" i="8" s="1"/>
  <c r="C469" i="8"/>
  <c r="F469" i="8" s="1"/>
  <c r="D470" i="8"/>
  <c r="G470" i="8" s="1"/>
  <c r="E470" i="8"/>
  <c r="H470" i="8" s="1"/>
  <c r="C470" i="8"/>
  <c r="F470" i="8" s="1"/>
  <c r="E471" i="8"/>
  <c r="H471" i="8" s="1"/>
  <c r="C471" i="8"/>
  <c r="F471" i="8" s="1"/>
  <c r="D471" i="8"/>
  <c r="G471" i="8" s="1"/>
  <c r="I471" i="8" s="1"/>
  <c r="C472" i="8"/>
  <c r="F472" i="8" s="1"/>
  <c r="E472" i="8"/>
  <c r="H472" i="8" s="1"/>
  <c r="D472" i="8"/>
  <c r="G472" i="8" s="1"/>
  <c r="I472" i="8" s="1"/>
  <c r="E473" i="8"/>
  <c r="H473" i="8" s="1"/>
  <c r="C473" i="8"/>
  <c r="F473" i="8" s="1"/>
  <c r="D473" i="8"/>
  <c r="G473" i="8" s="1"/>
  <c r="C474" i="8"/>
  <c r="F474" i="8" s="1"/>
  <c r="E474" i="8"/>
  <c r="H474" i="8" s="1"/>
  <c r="D474" i="8"/>
  <c r="G474" i="8" s="1"/>
  <c r="E475" i="8"/>
  <c r="H475" i="8" s="1"/>
  <c r="C475" i="8"/>
  <c r="F475" i="8" s="1"/>
  <c r="D475" i="8"/>
  <c r="G475" i="8" s="1"/>
  <c r="C476" i="8"/>
  <c r="F476" i="8" s="1"/>
  <c r="E476" i="8"/>
  <c r="H476" i="8" s="1"/>
  <c r="D476" i="8"/>
  <c r="G476" i="8" s="1"/>
  <c r="I476" i="8" s="1"/>
  <c r="E477" i="8"/>
  <c r="H477" i="8" s="1"/>
  <c r="C477" i="8"/>
  <c r="F477" i="8" s="1"/>
  <c r="D477" i="8"/>
  <c r="G477" i="8" s="1"/>
  <c r="E478" i="8"/>
  <c r="H478" i="8" s="1"/>
  <c r="D478" i="8"/>
  <c r="G478" i="8" s="1"/>
  <c r="C478" i="8"/>
  <c r="F478" i="8" s="1"/>
  <c r="E479" i="8"/>
  <c r="H479" i="8" s="1"/>
  <c r="C479" i="8"/>
  <c r="F479" i="8" s="1"/>
  <c r="D479" i="8"/>
  <c r="G479" i="8" s="1"/>
  <c r="I479" i="8" s="1"/>
  <c r="E480" i="8"/>
  <c r="H480" i="8" s="1"/>
  <c r="C480" i="8"/>
  <c r="F480" i="8" s="1"/>
  <c r="D480" i="8"/>
  <c r="G480" i="8" s="1"/>
  <c r="C481" i="8"/>
  <c r="F481" i="8" s="1"/>
  <c r="E481" i="8"/>
  <c r="H481" i="8" s="1"/>
  <c r="D481" i="8"/>
  <c r="G481" i="8" s="1"/>
  <c r="E482" i="8"/>
  <c r="H482" i="8" s="1"/>
  <c r="C482" i="8"/>
  <c r="F482" i="8" s="1"/>
  <c r="D482" i="8"/>
  <c r="G482" i="8" s="1"/>
  <c r="E483" i="8"/>
  <c r="H483" i="8" s="1"/>
  <c r="C483" i="8"/>
  <c r="F483" i="8" s="1"/>
  <c r="D483" i="8"/>
  <c r="G483" i="8" s="1"/>
  <c r="D484" i="8"/>
  <c r="G484" i="8" s="1"/>
  <c r="E484" i="8"/>
  <c r="H484" i="8" s="1"/>
  <c r="C484" i="8"/>
  <c r="F484" i="8" s="1"/>
  <c r="E485" i="8"/>
  <c r="H485" i="8" s="1"/>
  <c r="D485" i="8"/>
  <c r="G485" i="8" s="1"/>
  <c r="C485" i="8"/>
  <c r="F485" i="8" s="1"/>
  <c r="C486" i="8"/>
  <c r="F486" i="8" s="1"/>
  <c r="D486" i="8"/>
  <c r="G486" i="8" s="1"/>
  <c r="E486" i="8"/>
  <c r="H486" i="8" s="1"/>
  <c r="E487" i="8"/>
  <c r="H487" i="8" s="1"/>
  <c r="D487" i="8"/>
  <c r="G487" i="8" s="1"/>
  <c r="C487" i="8"/>
  <c r="F487" i="8" s="1"/>
  <c r="E488" i="8"/>
  <c r="H488" i="8" s="1"/>
  <c r="D488" i="8"/>
  <c r="G488" i="8" s="1"/>
  <c r="C488" i="8"/>
  <c r="F488" i="8" s="1"/>
  <c r="I488" i="8" s="1"/>
  <c r="E489" i="8"/>
  <c r="H489" i="8" s="1"/>
  <c r="D489" i="8"/>
  <c r="G489" i="8" s="1"/>
  <c r="C489" i="8"/>
  <c r="F489" i="8" s="1"/>
  <c r="D490" i="8"/>
  <c r="G490" i="8" s="1"/>
  <c r="C490" i="8"/>
  <c r="F490" i="8" s="1"/>
  <c r="E490" i="8"/>
  <c r="H490" i="8" s="1"/>
  <c r="E491" i="8"/>
  <c r="H491" i="8" s="1"/>
  <c r="D491" i="8"/>
  <c r="G491" i="8" s="1"/>
  <c r="C491" i="8"/>
  <c r="F491" i="8" s="1"/>
  <c r="E492" i="8"/>
  <c r="H492" i="8" s="1"/>
  <c r="C492" i="8"/>
  <c r="F492" i="8" s="1"/>
  <c r="D492" i="8"/>
  <c r="G492" i="8" s="1"/>
  <c r="I492" i="8" s="1"/>
  <c r="E493" i="8"/>
  <c r="H493" i="8" s="1"/>
  <c r="C493" i="8"/>
  <c r="F493" i="8" s="1"/>
  <c r="D493" i="8"/>
  <c r="G493" i="8" s="1"/>
  <c r="I493" i="8" s="1"/>
  <c r="C494" i="8"/>
  <c r="F494" i="8" s="1"/>
  <c r="D494" i="8"/>
  <c r="G494" i="8" s="1"/>
  <c r="E494" i="8"/>
  <c r="H494" i="8" s="1"/>
  <c r="E495" i="8"/>
  <c r="H495" i="8" s="1"/>
  <c r="C495" i="8"/>
  <c r="F495" i="8" s="1"/>
  <c r="D495" i="8"/>
  <c r="G495" i="8" s="1"/>
  <c r="I495" i="8" s="1"/>
  <c r="C496" i="8"/>
  <c r="F496" i="8" s="1"/>
  <c r="D496" i="8"/>
  <c r="G496" i="8" s="1"/>
  <c r="E496" i="8"/>
  <c r="H496" i="8" s="1"/>
  <c r="E497" i="8"/>
  <c r="H497" i="8" s="1"/>
  <c r="C497" i="8"/>
  <c r="F497" i="8" s="1"/>
  <c r="D497" i="8"/>
  <c r="G497" i="8" s="1"/>
  <c r="E498" i="8"/>
  <c r="H498" i="8" s="1"/>
  <c r="C498" i="8"/>
  <c r="F498" i="8" s="1"/>
  <c r="D498" i="8"/>
  <c r="G498" i="8" s="1"/>
  <c r="E499" i="8"/>
  <c r="H499" i="8" s="1"/>
  <c r="C499" i="8"/>
  <c r="F499" i="8" s="1"/>
  <c r="D499" i="8"/>
  <c r="G499" i="8" s="1"/>
  <c r="E500" i="8"/>
  <c r="H500" i="8" s="1"/>
  <c r="C500" i="8"/>
  <c r="F500" i="8" s="1"/>
  <c r="D500" i="8"/>
  <c r="G500" i="8" s="1"/>
  <c r="E501" i="8"/>
  <c r="H501" i="8" s="1"/>
  <c r="C501" i="8"/>
  <c r="F501" i="8" s="1"/>
  <c r="D501" i="8"/>
  <c r="G501" i="8" s="1"/>
  <c r="E502" i="8"/>
  <c r="H502" i="8" s="1"/>
  <c r="D502" i="8"/>
  <c r="G502" i="8" s="1"/>
  <c r="C502" i="8"/>
  <c r="F502" i="8" s="1"/>
  <c r="E503" i="8"/>
  <c r="H503" i="8" s="1"/>
  <c r="C503" i="8"/>
  <c r="F503" i="8" s="1"/>
  <c r="D503" i="8"/>
  <c r="G503" i="8" s="1"/>
  <c r="C504" i="8"/>
  <c r="F504" i="8" s="1"/>
  <c r="E504" i="8"/>
  <c r="H504" i="8" s="1"/>
  <c r="D504" i="8"/>
  <c r="G504" i="8" s="1"/>
  <c r="E505" i="8"/>
  <c r="H505" i="8" s="1"/>
  <c r="D505" i="8"/>
  <c r="G505" i="8" s="1"/>
  <c r="C505" i="8"/>
  <c r="F505" i="8" s="1"/>
  <c r="D506" i="8"/>
  <c r="G506" i="8" s="1"/>
  <c r="C506" i="8"/>
  <c r="F506" i="8" s="1"/>
  <c r="E506" i="8"/>
  <c r="H506" i="8" s="1"/>
  <c r="I506" i="8" s="1"/>
  <c r="E507" i="8"/>
  <c r="H507" i="8" s="1"/>
  <c r="D507" i="8"/>
  <c r="G507" i="8" s="1"/>
  <c r="C507" i="8"/>
  <c r="F507" i="8" s="1"/>
  <c r="E508" i="8"/>
  <c r="H508" i="8" s="1"/>
  <c r="C508" i="8"/>
  <c r="F508" i="8" s="1"/>
  <c r="D508" i="8"/>
  <c r="G508" i="8" s="1"/>
  <c r="I508" i="8" s="1"/>
  <c r="E509" i="8"/>
  <c r="H509" i="8" s="1"/>
  <c r="C509" i="8"/>
  <c r="F509" i="8" s="1"/>
  <c r="D509" i="8"/>
  <c r="G509" i="8" s="1"/>
  <c r="E510" i="8"/>
  <c r="H510" i="8" s="1"/>
  <c r="D510" i="8"/>
  <c r="G510" i="8" s="1"/>
  <c r="C510" i="8"/>
  <c r="F510" i="8" s="1"/>
  <c r="E511" i="8"/>
  <c r="H511" i="8" s="1"/>
  <c r="D511" i="8"/>
  <c r="G511" i="8" s="1"/>
  <c r="C511" i="8"/>
  <c r="F511" i="8" s="1"/>
  <c r="E512" i="8"/>
  <c r="H512" i="8" s="1"/>
  <c r="C512" i="8"/>
  <c r="F512" i="8" s="1"/>
  <c r="D512" i="8"/>
  <c r="G512" i="8" s="1"/>
  <c r="D513" i="8"/>
  <c r="G513" i="8" s="1"/>
  <c r="E513" i="8"/>
  <c r="H513" i="8" s="1"/>
  <c r="C513" i="8"/>
  <c r="F513" i="8" s="1"/>
  <c r="E514" i="8"/>
  <c r="H514" i="8" s="1"/>
  <c r="C514" i="8"/>
  <c r="F514" i="8" s="1"/>
  <c r="D514" i="8"/>
  <c r="G514" i="8" s="1"/>
  <c r="I514" i="8" s="1"/>
  <c r="E515" i="8"/>
  <c r="H515" i="8" s="1"/>
  <c r="D515" i="8"/>
  <c r="G515" i="8" s="1"/>
  <c r="C515" i="8"/>
  <c r="F515" i="8" s="1"/>
  <c r="E516" i="8"/>
  <c r="H516" i="8" s="1"/>
  <c r="C516" i="8"/>
  <c r="F516" i="8" s="1"/>
  <c r="D516" i="8"/>
  <c r="G516" i="8" s="1"/>
  <c r="D517" i="8"/>
  <c r="G517" i="8" s="1"/>
  <c r="E517" i="8"/>
  <c r="H517" i="8" s="1"/>
  <c r="C517" i="8"/>
  <c r="F517" i="8" s="1"/>
  <c r="C518" i="8"/>
  <c r="F518" i="8" s="1"/>
  <c r="E518" i="8"/>
  <c r="H518" i="8" s="1"/>
  <c r="D518" i="8"/>
  <c r="G518" i="8" s="1"/>
  <c r="E519" i="8"/>
  <c r="H519" i="8" s="1"/>
  <c r="D519" i="8"/>
  <c r="G519" i="8" s="1"/>
  <c r="C519" i="8"/>
  <c r="F519" i="8" s="1"/>
  <c r="D520" i="8"/>
  <c r="G520" i="8" s="1"/>
  <c r="C520" i="8"/>
  <c r="F520" i="8" s="1"/>
  <c r="E520" i="8"/>
  <c r="H520" i="8" s="1"/>
  <c r="D521" i="8"/>
  <c r="G521" i="8" s="1"/>
  <c r="E521" i="8"/>
  <c r="H521" i="8" s="1"/>
  <c r="C521" i="8"/>
  <c r="F521" i="8" s="1"/>
  <c r="E522" i="8"/>
  <c r="H522" i="8" s="1"/>
  <c r="D522" i="8"/>
  <c r="G522" i="8" s="1"/>
  <c r="C522" i="8"/>
  <c r="F522" i="8" s="1"/>
  <c r="E523" i="8"/>
  <c r="H523" i="8" s="1"/>
  <c r="C523" i="8"/>
  <c r="F523" i="8" s="1"/>
  <c r="D523" i="8"/>
  <c r="G523" i="8" s="1"/>
  <c r="E524" i="8"/>
  <c r="H524" i="8" s="1"/>
  <c r="D524" i="8"/>
  <c r="G524" i="8" s="1"/>
  <c r="C524" i="8"/>
  <c r="F524" i="8" s="1"/>
  <c r="D525" i="8"/>
  <c r="G525" i="8" s="1"/>
  <c r="E525" i="8"/>
  <c r="H525" i="8" s="1"/>
  <c r="C525" i="8"/>
  <c r="F525" i="8" s="1"/>
  <c r="C526" i="8"/>
  <c r="F526" i="8" s="1"/>
  <c r="D526" i="8"/>
  <c r="G526" i="8" s="1"/>
  <c r="E526" i="8"/>
  <c r="H526" i="8" s="1"/>
  <c r="I526" i="8" s="1"/>
  <c r="E527" i="8"/>
  <c r="H527" i="8" s="1"/>
  <c r="D527" i="8"/>
  <c r="G527" i="8" s="1"/>
  <c r="C527" i="8"/>
  <c r="F527" i="8" s="1"/>
  <c r="D528" i="8"/>
  <c r="G528" i="8" s="1"/>
  <c r="E528" i="8"/>
  <c r="H528" i="8" s="1"/>
  <c r="C528" i="8"/>
  <c r="F528" i="8" s="1"/>
  <c r="D529" i="8"/>
  <c r="G529" i="8" s="1"/>
  <c r="E529" i="8"/>
  <c r="H529" i="8" s="1"/>
  <c r="C529" i="8"/>
  <c r="F529" i="8" s="1"/>
  <c r="I529" i="8" s="1"/>
  <c r="E530" i="8"/>
  <c r="H530" i="8" s="1"/>
  <c r="C530" i="8"/>
  <c r="F530" i="8" s="1"/>
  <c r="D530" i="8"/>
  <c r="G530" i="8" s="1"/>
  <c r="I530" i="8" s="1"/>
  <c r="C531" i="8"/>
  <c r="F531" i="8" s="1"/>
  <c r="E531" i="8"/>
  <c r="H531" i="8" s="1"/>
  <c r="D531" i="8"/>
  <c r="G531" i="8" s="1"/>
  <c r="I531" i="8" s="1"/>
  <c r="E532" i="8"/>
  <c r="H532" i="8" s="1"/>
  <c r="C532" i="8"/>
  <c r="F532" i="8" s="1"/>
  <c r="D532" i="8"/>
  <c r="G532" i="8" s="1"/>
  <c r="D533" i="8"/>
  <c r="G533" i="8" s="1"/>
  <c r="C533" i="8"/>
  <c r="F533" i="8" s="1"/>
  <c r="E533" i="8"/>
  <c r="H533" i="8" s="1"/>
  <c r="I533" i="8" s="1"/>
  <c r="D534" i="8"/>
  <c r="G534" i="8" s="1"/>
  <c r="C534" i="8"/>
  <c r="F534" i="8" s="1"/>
  <c r="E534" i="8"/>
  <c r="H534" i="8" s="1"/>
  <c r="E535" i="8"/>
  <c r="H535" i="8" s="1"/>
  <c r="D535" i="8"/>
  <c r="G535" i="8" s="1"/>
  <c r="C535" i="8"/>
  <c r="F535" i="8" s="1"/>
  <c r="E536" i="8"/>
  <c r="H536" i="8" s="1"/>
  <c r="C536" i="8"/>
  <c r="F536" i="8" s="1"/>
  <c r="D536" i="8"/>
  <c r="G536" i="8" s="1"/>
  <c r="I536" i="8" s="1"/>
  <c r="D537" i="8"/>
  <c r="G537" i="8" s="1"/>
  <c r="C537" i="8"/>
  <c r="F537" i="8" s="1"/>
  <c r="E537" i="8"/>
  <c r="H537" i="8" s="1"/>
  <c r="I537" i="8" s="1"/>
  <c r="E538" i="8"/>
  <c r="H538" i="8" s="1"/>
  <c r="D538" i="8"/>
  <c r="G538" i="8" s="1"/>
  <c r="C538" i="8"/>
  <c r="F538" i="8" s="1"/>
  <c r="E539" i="8"/>
  <c r="H539" i="8" s="1"/>
  <c r="C539" i="8"/>
  <c r="F539" i="8" s="1"/>
  <c r="D539" i="8"/>
  <c r="G539" i="8" s="1"/>
  <c r="E540" i="8"/>
  <c r="H540" i="8" s="1"/>
  <c r="C540" i="8"/>
  <c r="F540" i="8" s="1"/>
  <c r="D540" i="8"/>
  <c r="G540" i="8" s="1"/>
  <c r="I540" i="8" s="1"/>
  <c r="D541" i="8"/>
  <c r="G541" i="8" s="1"/>
  <c r="E541" i="8"/>
  <c r="H541" i="8" s="1"/>
  <c r="C541" i="8"/>
  <c r="F541" i="8" s="1"/>
  <c r="D542" i="8"/>
  <c r="G542" i="8" s="1"/>
  <c r="C542" i="8"/>
  <c r="F542" i="8" s="1"/>
  <c r="E542" i="8"/>
  <c r="H542" i="8" s="1"/>
  <c r="I542" i="8" s="1"/>
  <c r="E543" i="8"/>
  <c r="H543" i="8" s="1"/>
  <c r="D543" i="8"/>
  <c r="G543" i="8" s="1"/>
  <c r="C543" i="8"/>
  <c r="F543" i="8" s="1"/>
  <c r="D544" i="8"/>
  <c r="G544" i="8" s="1"/>
  <c r="C544" i="8"/>
  <c r="F544" i="8" s="1"/>
  <c r="E544" i="8"/>
  <c r="H544" i="8" s="1"/>
  <c r="I544" i="8" s="1"/>
  <c r="D545" i="8"/>
  <c r="G545" i="8" s="1"/>
  <c r="E545" i="8"/>
  <c r="H545" i="8" s="1"/>
  <c r="C545" i="8"/>
  <c r="F545" i="8" s="1"/>
  <c r="D546" i="8"/>
  <c r="G546" i="8" s="1"/>
  <c r="C546" i="8"/>
  <c r="F546" i="8" s="1"/>
  <c r="E546" i="8"/>
  <c r="H546" i="8" s="1"/>
  <c r="E547" i="8"/>
  <c r="H547" i="8" s="1"/>
  <c r="C547" i="8"/>
  <c r="F547" i="8" s="1"/>
  <c r="D547" i="8"/>
  <c r="G547" i="8" s="1"/>
  <c r="E548" i="8"/>
  <c r="H548" i="8" s="1"/>
  <c r="D548" i="8"/>
  <c r="G548" i="8" s="1"/>
  <c r="C548" i="8"/>
  <c r="F548" i="8" s="1"/>
  <c r="I548" i="8" s="1"/>
  <c r="D549" i="8"/>
  <c r="G549" i="8" s="1"/>
  <c r="C549" i="8"/>
  <c r="F549" i="8" s="1"/>
  <c r="E549" i="8"/>
  <c r="H549" i="8" s="1"/>
  <c r="D550" i="8"/>
  <c r="G550" i="8" s="1"/>
  <c r="C550" i="8"/>
  <c r="F550" i="8" s="1"/>
  <c r="E550" i="8"/>
  <c r="H550" i="8" s="1"/>
  <c r="I550" i="8" s="1"/>
  <c r="E551" i="8"/>
  <c r="H551" i="8" s="1"/>
  <c r="C551" i="8"/>
  <c r="F551" i="8" s="1"/>
  <c r="D551" i="8"/>
  <c r="G551" i="8" s="1"/>
  <c r="D552" i="8"/>
  <c r="G552" i="8" s="1"/>
  <c r="C552" i="8"/>
  <c r="F552" i="8" s="1"/>
  <c r="E552" i="8"/>
  <c r="H552" i="8" s="1"/>
  <c r="D553" i="8"/>
  <c r="G553" i="8" s="1"/>
  <c r="C553" i="8"/>
  <c r="F553" i="8" s="1"/>
  <c r="E553" i="8"/>
  <c r="H553" i="8" s="1"/>
  <c r="E554" i="8"/>
  <c r="H554" i="8" s="1"/>
  <c r="D554" i="8"/>
  <c r="G554" i="8" s="1"/>
  <c r="C554" i="8"/>
  <c r="F554" i="8" s="1"/>
  <c r="E555" i="8"/>
  <c r="H555" i="8" s="1"/>
  <c r="D555" i="8"/>
  <c r="G555" i="8" s="1"/>
  <c r="C555" i="8"/>
  <c r="F555" i="8" s="1"/>
  <c r="E556" i="8"/>
  <c r="H556" i="8" s="1"/>
  <c r="D556" i="8"/>
  <c r="G556" i="8" s="1"/>
  <c r="C556" i="8"/>
  <c r="F556" i="8" s="1"/>
  <c r="E557" i="8"/>
  <c r="H557" i="8" s="1"/>
  <c r="C557" i="8"/>
  <c r="F557" i="8" s="1"/>
  <c r="D557" i="8"/>
  <c r="G557" i="8" s="1"/>
  <c r="D558" i="8"/>
  <c r="G558" i="8" s="1"/>
  <c r="E558" i="8"/>
  <c r="H558" i="8" s="1"/>
  <c r="C558" i="8"/>
  <c r="F558" i="8" s="1"/>
  <c r="E559" i="8"/>
  <c r="H559" i="8" s="1"/>
  <c r="D559" i="8"/>
  <c r="G559" i="8" s="1"/>
  <c r="C559" i="8"/>
  <c r="F559" i="8" s="1"/>
  <c r="E560" i="8"/>
  <c r="H560" i="8" s="1"/>
  <c r="C560" i="8"/>
  <c r="F560" i="8" s="1"/>
  <c r="D560" i="8"/>
  <c r="G560" i="8" s="1"/>
  <c r="D561" i="8"/>
  <c r="G561" i="8" s="1"/>
  <c r="C561" i="8"/>
  <c r="F561" i="8" s="1"/>
  <c r="E561" i="8"/>
  <c r="H561" i="8" s="1"/>
  <c r="I561" i="8" s="1"/>
  <c r="E562" i="8"/>
  <c r="H562" i="8" s="1"/>
  <c r="C562" i="8"/>
  <c r="F562" i="8" s="1"/>
  <c r="D562" i="8"/>
  <c r="G562" i="8" s="1"/>
  <c r="E563" i="8"/>
  <c r="H563" i="8" s="1"/>
  <c r="D563" i="8"/>
  <c r="G563" i="8" s="1"/>
  <c r="C563" i="8"/>
  <c r="F563" i="8" s="1"/>
  <c r="E564" i="8"/>
  <c r="H564" i="8" s="1"/>
  <c r="C564" i="8"/>
  <c r="F564" i="8" s="1"/>
  <c r="D564" i="8"/>
  <c r="G564" i="8" s="1"/>
  <c r="D565" i="8"/>
  <c r="G565" i="8" s="1"/>
  <c r="C565" i="8"/>
  <c r="F565" i="8" s="1"/>
  <c r="E565" i="8"/>
  <c r="H565" i="8" s="1"/>
  <c r="I565" i="8" s="1"/>
  <c r="E566" i="8"/>
  <c r="H566" i="8" s="1"/>
  <c r="C566" i="8"/>
  <c r="F566" i="8" s="1"/>
  <c r="D566" i="8"/>
  <c r="G566" i="8" s="1"/>
  <c r="E567" i="8"/>
  <c r="H567" i="8" s="1"/>
  <c r="D567" i="8"/>
  <c r="G567" i="8" s="1"/>
  <c r="C567" i="8"/>
  <c r="F567" i="8" s="1"/>
  <c r="D568" i="8"/>
  <c r="G568" i="8" s="1"/>
  <c r="C568" i="8"/>
  <c r="F568" i="8" s="1"/>
  <c r="E568" i="8"/>
  <c r="H568" i="8" s="1"/>
  <c r="I568" i="8" s="1"/>
  <c r="D569" i="8"/>
  <c r="G569" i="8" s="1"/>
  <c r="E569" i="8"/>
  <c r="H569" i="8" s="1"/>
  <c r="C569" i="8"/>
  <c r="F569" i="8" s="1"/>
  <c r="E570" i="8"/>
  <c r="H570" i="8" s="1"/>
  <c r="C570" i="8"/>
  <c r="F570" i="8" s="1"/>
  <c r="D570" i="8"/>
  <c r="G570" i="8" s="1"/>
  <c r="E571" i="8"/>
  <c r="H571" i="8" s="1"/>
  <c r="D571" i="8"/>
  <c r="G571" i="8" s="1"/>
  <c r="C571" i="8"/>
  <c r="F571" i="8" s="1"/>
  <c r="D572" i="8"/>
  <c r="G572" i="8" s="1"/>
  <c r="C572" i="8"/>
  <c r="F572" i="8" s="1"/>
  <c r="E572" i="8"/>
  <c r="H572" i="8" s="1"/>
  <c r="D573" i="8"/>
  <c r="G573" i="8" s="1"/>
  <c r="E573" i="8"/>
  <c r="H573" i="8" s="1"/>
  <c r="C573" i="8"/>
  <c r="F573" i="8" s="1"/>
  <c r="C574" i="8"/>
  <c r="F574" i="8" s="1"/>
  <c r="E574" i="8"/>
  <c r="H574" i="8" s="1"/>
  <c r="D574" i="8"/>
  <c r="G574" i="8" s="1"/>
  <c r="C575" i="8"/>
  <c r="F575" i="8" s="1"/>
  <c r="D575" i="8"/>
  <c r="G575" i="8" s="1"/>
  <c r="E575" i="8"/>
  <c r="H575" i="8" s="1"/>
  <c r="I575" i="8" s="1"/>
  <c r="C576" i="8"/>
  <c r="F576" i="8" s="1"/>
  <c r="E576" i="8"/>
  <c r="H576" i="8" s="1"/>
  <c r="D576" i="8"/>
  <c r="G576" i="8" s="1"/>
  <c r="D577" i="8"/>
  <c r="G577" i="8" s="1"/>
  <c r="E577" i="8"/>
  <c r="H577" i="8" s="1"/>
  <c r="C577" i="8"/>
  <c r="F577" i="8" s="1"/>
  <c r="E578" i="8"/>
  <c r="H578" i="8" s="1"/>
  <c r="D578" i="8"/>
  <c r="G578" i="8" s="1"/>
  <c r="C578" i="8"/>
  <c r="F578" i="8" s="1"/>
  <c r="E579" i="8"/>
  <c r="H579" i="8" s="1"/>
  <c r="C579" i="8"/>
  <c r="F579" i="8" s="1"/>
  <c r="D579" i="8"/>
  <c r="G579" i="8" s="1"/>
  <c r="E580" i="8"/>
  <c r="H580" i="8" s="1"/>
  <c r="D580" i="8"/>
  <c r="G580" i="8" s="1"/>
  <c r="C580" i="8"/>
  <c r="F580" i="8" s="1"/>
  <c r="D581" i="8"/>
  <c r="G581" i="8" s="1"/>
  <c r="C581" i="8"/>
  <c r="F581" i="8" s="1"/>
  <c r="E581" i="8"/>
  <c r="H581" i="8" s="1"/>
  <c r="I581" i="8" s="1"/>
  <c r="E582" i="8"/>
  <c r="H582" i="8" s="1"/>
  <c r="C582" i="8"/>
  <c r="F582" i="8" s="1"/>
  <c r="D582" i="8"/>
  <c r="G582" i="8" s="1"/>
  <c r="E583" i="8"/>
  <c r="H583" i="8" s="1"/>
  <c r="D583" i="8"/>
  <c r="G583" i="8" s="1"/>
  <c r="C583" i="8"/>
  <c r="F583" i="8" s="1"/>
  <c r="C584" i="8"/>
  <c r="F584" i="8" s="1"/>
  <c r="D584" i="8"/>
  <c r="G584" i="8" s="1"/>
  <c r="E584" i="8"/>
  <c r="H584" i="8" s="1"/>
  <c r="I584" i="8" s="1"/>
  <c r="D585" i="8"/>
  <c r="G585" i="8" s="1"/>
  <c r="C585" i="8"/>
  <c r="F585" i="8" s="1"/>
  <c r="E585" i="8"/>
  <c r="H585" i="8" s="1"/>
  <c r="E586" i="8"/>
  <c r="H586" i="8" s="1"/>
  <c r="C586" i="8"/>
  <c r="F586" i="8" s="1"/>
  <c r="D586" i="8"/>
  <c r="G586" i="8" s="1"/>
  <c r="E587" i="8"/>
  <c r="H587" i="8" s="1"/>
  <c r="C587" i="8"/>
  <c r="F587" i="8" s="1"/>
  <c r="D587" i="8"/>
  <c r="G587" i="8" s="1"/>
  <c r="I587" i="8" s="1"/>
  <c r="C588" i="8"/>
  <c r="F588" i="8" s="1"/>
  <c r="E588" i="8"/>
  <c r="H588" i="8" s="1"/>
  <c r="D588" i="8"/>
  <c r="G588" i="8" s="1"/>
  <c r="D589" i="8"/>
  <c r="G589" i="8" s="1"/>
  <c r="C589" i="8"/>
  <c r="F589" i="8" s="1"/>
  <c r="E589" i="8"/>
  <c r="H589" i="8" s="1"/>
  <c r="I589" i="8" s="1"/>
  <c r="C590" i="8"/>
  <c r="F590" i="8" s="1"/>
  <c r="E590" i="8"/>
  <c r="H590" i="8" s="1"/>
  <c r="D590" i="8"/>
  <c r="G590" i="8" s="1"/>
  <c r="I590" i="8" s="1"/>
  <c r="E591" i="8"/>
  <c r="H591" i="8" s="1"/>
  <c r="C591" i="8"/>
  <c r="F591" i="8" s="1"/>
  <c r="D591" i="8"/>
  <c r="G591" i="8" s="1"/>
  <c r="I591" i="8" s="1"/>
  <c r="E592" i="8"/>
  <c r="H592" i="8" s="1"/>
  <c r="C592" i="8"/>
  <c r="F592" i="8" s="1"/>
  <c r="D592" i="8"/>
  <c r="G592" i="8" s="1"/>
  <c r="D593" i="8"/>
  <c r="G593" i="8" s="1"/>
  <c r="C593" i="8"/>
  <c r="F593" i="8" s="1"/>
  <c r="E593" i="8"/>
  <c r="H593" i="8" s="1"/>
  <c r="I593" i="8" s="1"/>
  <c r="E594" i="8"/>
  <c r="H594" i="8" s="1"/>
  <c r="C594" i="8"/>
  <c r="F594" i="8" s="1"/>
  <c r="D594" i="8"/>
  <c r="G594" i="8" s="1"/>
  <c r="E595" i="8"/>
  <c r="H595" i="8" s="1"/>
  <c r="D595" i="8"/>
  <c r="G595" i="8" s="1"/>
  <c r="C595" i="8"/>
  <c r="F595" i="8" s="1"/>
  <c r="E596" i="8"/>
  <c r="H596" i="8" s="1"/>
  <c r="C596" i="8"/>
  <c r="F596" i="8" s="1"/>
  <c r="D596" i="8"/>
  <c r="G596" i="8" s="1"/>
  <c r="D597" i="8"/>
  <c r="G597" i="8" s="1"/>
  <c r="E597" i="8"/>
  <c r="H597" i="8" s="1"/>
  <c r="C597" i="8"/>
  <c r="F597" i="8" s="1"/>
  <c r="E598" i="8"/>
  <c r="H598" i="8" s="1"/>
  <c r="D598" i="8"/>
  <c r="G598" i="8" s="1"/>
  <c r="C598" i="8"/>
  <c r="F598" i="8" s="1"/>
  <c r="E599" i="8"/>
  <c r="H599" i="8" s="1"/>
  <c r="C599" i="8"/>
  <c r="F599" i="8" s="1"/>
  <c r="D599" i="8"/>
  <c r="G599" i="8" s="1"/>
  <c r="E600" i="8"/>
  <c r="H600" i="8" s="1"/>
  <c r="C600" i="8"/>
  <c r="F600" i="8" s="1"/>
  <c r="D600" i="8"/>
  <c r="G600" i="8" s="1"/>
  <c r="D601" i="8"/>
  <c r="G601" i="8" s="1"/>
  <c r="C601" i="8"/>
  <c r="F601" i="8" s="1"/>
  <c r="E601" i="8"/>
  <c r="H601" i="8" s="1"/>
  <c r="E602" i="8"/>
  <c r="H602" i="8" s="1"/>
  <c r="C602" i="8"/>
  <c r="F602" i="8" s="1"/>
  <c r="D602" i="8"/>
  <c r="G602" i="8" s="1"/>
  <c r="E603" i="8"/>
  <c r="H603" i="8" s="1"/>
  <c r="C603" i="8"/>
  <c r="F603" i="8" s="1"/>
  <c r="D603" i="8"/>
  <c r="G603" i="8" s="1"/>
  <c r="C604" i="8"/>
  <c r="F604" i="8" s="1"/>
  <c r="D604" i="8"/>
  <c r="G604" i="8" s="1"/>
  <c r="E604" i="8"/>
  <c r="H604" i="8" s="1"/>
  <c r="D605" i="8"/>
  <c r="G605" i="8" s="1"/>
  <c r="E605" i="8"/>
  <c r="H605" i="8" s="1"/>
  <c r="C605" i="8"/>
  <c r="F605" i="8" s="1"/>
  <c r="E606" i="8"/>
  <c r="H606" i="8" s="1"/>
  <c r="D606" i="8"/>
  <c r="G606" i="8" s="1"/>
  <c r="C606" i="8"/>
  <c r="F606" i="8" s="1"/>
  <c r="E607" i="8"/>
  <c r="H607" i="8" s="1"/>
  <c r="C607" i="8"/>
  <c r="F607" i="8" s="1"/>
  <c r="D607" i="8"/>
  <c r="G607" i="8" s="1"/>
  <c r="E608" i="8"/>
  <c r="H608" i="8" s="1"/>
  <c r="C608" i="8"/>
  <c r="F608" i="8" s="1"/>
  <c r="D608" i="8"/>
  <c r="G608" i="8" s="1"/>
  <c r="D609" i="8"/>
  <c r="G609" i="8" s="1"/>
  <c r="E609" i="8"/>
  <c r="H609" i="8" s="1"/>
  <c r="C609" i="8"/>
  <c r="F609" i="8" s="1"/>
  <c r="E610" i="8"/>
  <c r="H610" i="8" s="1"/>
  <c r="C610" i="8"/>
  <c r="F610" i="8" s="1"/>
  <c r="D610" i="8"/>
  <c r="G610" i="8" s="1"/>
  <c r="E611" i="8"/>
  <c r="H611" i="8" s="1"/>
  <c r="C611" i="8"/>
  <c r="F611" i="8" s="1"/>
  <c r="D611" i="8"/>
  <c r="G611" i="8" s="1"/>
  <c r="E612" i="8"/>
  <c r="H612" i="8" s="1"/>
  <c r="D612" i="8"/>
  <c r="G612" i="8" s="1"/>
  <c r="C612" i="8"/>
  <c r="F612" i="8" s="1"/>
  <c r="D613" i="8"/>
  <c r="G613" i="8" s="1"/>
  <c r="C613" i="8"/>
  <c r="F613" i="8" s="1"/>
  <c r="E613" i="8"/>
  <c r="H613" i="8" s="1"/>
  <c r="I613" i="8" s="1"/>
  <c r="C614" i="8"/>
  <c r="F614" i="8" s="1"/>
  <c r="E614" i="8"/>
  <c r="H614" i="8" s="1"/>
  <c r="D614" i="8"/>
  <c r="G614" i="8" s="1"/>
  <c r="E615" i="8"/>
  <c r="H615" i="8" s="1"/>
  <c r="C615" i="8"/>
  <c r="F615" i="8" s="1"/>
  <c r="D615" i="8"/>
  <c r="G615" i="8" s="1"/>
  <c r="E616" i="8"/>
  <c r="H616" i="8" s="1"/>
  <c r="D616" i="8"/>
  <c r="G616" i="8" s="1"/>
  <c r="C616" i="8"/>
  <c r="F616" i="8" s="1"/>
  <c r="D617" i="8"/>
  <c r="G617" i="8" s="1"/>
  <c r="C617" i="8"/>
  <c r="F617" i="8" s="1"/>
  <c r="E617" i="8"/>
  <c r="H617" i="8" s="1"/>
  <c r="E618" i="8"/>
  <c r="H618" i="8" s="1"/>
  <c r="D618" i="8"/>
  <c r="G618" i="8" s="1"/>
  <c r="C618" i="8"/>
  <c r="F618" i="8" s="1"/>
  <c r="E619" i="8"/>
  <c r="H619" i="8" s="1"/>
  <c r="D619" i="8"/>
  <c r="G619" i="8" s="1"/>
  <c r="C619" i="8"/>
  <c r="F619" i="8" s="1"/>
  <c r="D620" i="8"/>
  <c r="G620" i="8" s="1"/>
  <c r="E620" i="8"/>
  <c r="H620" i="8" s="1"/>
  <c r="C620" i="8"/>
  <c r="F620" i="8" s="1"/>
  <c r="E621" i="8"/>
  <c r="H621" i="8" s="1"/>
  <c r="C621" i="8"/>
  <c r="F621" i="8" s="1"/>
  <c r="D621" i="8"/>
  <c r="G621" i="8" s="1"/>
  <c r="E622" i="8"/>
  <c r="H622" i="8" s="1"/>
  <c r="C622" i="8"/>
  <c r="F622" i="8" s="1"/>
  <c r="D622" i="8"/>
  <c r="G622" i="8" s="1"/>
  <c r="D623" i="8"/>
  <c r="G623" i="8" s="1"/>
  <c r="C623" i="8"/>
  <c r="F623" i="8" s="1"/>
  <c r="E623" i="8"/>
  <c r="H623" i="8" s="1"/>
  <c r="D624" i="8"/>
  <c r="G624" i="8" s="1"/>
  <c r="C624" i="8"/>
  <c r="F624" i="8" s="1"/>
  <c r="E624" i="8"/>
  <c r="H624" i="8" s="1"/>
  <c r="E625" i="8"/>
  <c r="H625" i="8" s="1"/>
  <c r="D625" i="8"/>
  <c r="G625" i="8" s="1"/>
  <c r="C625" i="8"/>
  <c r="F625" i="8" s="1"/>
  <c r="D626" i="8"/>
  <c r="G626" i="8" s="1"/>
  <c r="E626" i="8"/>
  <c r="H626" i="8" s="1"/>
  <c r="C626" i="8"/>
  <c r="F626" i="8" s="1"/>
  <c r="I626" i="8" s="1"/>
  <c r="C627" i="8"/>
  <c r="F627" i="8" s="1"/>
  <c r="D627" i="8"/>
  <c r="G627" i="8" s="1"/>
  <c r="E627" i="8"/>
  <c r="H627" i="8" s="1"/>
  <c r="I627" i="8" s="1"/>
  <c r="D628" i="8"/>
  <c r="G628" i="8" s="1"/>
  <c r="E628" i="8"/>
  <c r="H628" i="8" s="1"/>
  <c r="C628" i="8"/>
  <c r="F628" i="8" s="1"/>
  <c r="I628" i="8" s="1"/>
  <c r="E629" i="8"/>
  <c r="H629" i="8" s="1"/>
  <c r="C629" i="8"/>
  <c r="F629" i="8" s="1"/>
  <c r="D629" i="8"/>
  <c r="G629" i="8" s="1"/>
  <c r="E630" i="8"/>
  <c r="H630" i="8" s="1"/>
  <c r="D630" i="8"/>
  <c r="G630" i="8" s="1"/>
  <c r="C630" i="8"/>
  <c r="F630" i="8" s="1"/>
  <c r="D631" i="8"/>
  <c r="G631" i="8" s="1"/>
  <c r="C631" i="8"/>
  <c r="F631" i="8" s="1"/>
  <c r="E631" i="8"/>
  <c r="H631" i="8" s="1"/>
  <c r="D632" i="8"/>
  <c r="G632" i="8" s="1"/>
  <c r="E632" i="8"/>
  <c r="H632" i="8" s="1"/>
  <c r="C632" i="8"/>
  <c r="F632" i="8" s="1"/>
  <c r="E633" i="8"/>
  <c r="H633" i="8" s="1"/>
  <c r="C633" i="8"/>
  <c r="F633" i="8" s="1"/>
  <c r="D633" i="8"/>
  <c r="G633" i="8" s="1"/>
  <c r="E634" i="8"/>
  <c r="H634" i="8" s="1"/>
  <c r="D634" i="8"/>
  <c r="G634" i="8" s="1"/>
  <c r="C634" i="8"/>
  <c r="F634" i="8" s="1"/>
  <c r="E635" i="8"/>
  <c r="H635" i="8" s="1"/>
  <c r="D635" i="8"/>
  <c r="G635" i="8" s="1"/>
  <c r="C635" i="8"/>
  <c r="F635" i="8" s="1"/>
  <c r="D636" i="8"/>
  <c r="G636" i="8" s="1"/>
  <c r="E636" i="8"/>
  <c r="H636" i="8" s="1"/>
  <c r="C636" i="8"/>
  <c r="F636" i="8" s="1"/>
  <c r="E637" i="8"/>
  <c r="H637" i="8" s="1"/>
  <c r="C637" i="8"/>
  <c r="F637" i="8" s="1"/>
  <c r="D637" i="8"/>
  <c r="G637" i="8" s="1"/>
  <c r="E638" i="8"/>
  <c r="H638" i="8" s="1"/>
  <c r="C638" i="8"/>
  <c r="F638" i="8" s="1"/>
  <c r="D638" i="8"/>
  <c r="G638" i="8" s="1"/>
  <c r="I638" i="8" s="1"/>
  <c r="C639" i="8"/>
  <c r="F639" i="8" s="1"/>
  <c r="D639" i="8"/>
  <c r="G639" i="8" s="1"/>
  <c r="E639" i="8"/>
  <c r="H639" i="8" s="1"/>
  <c r="I639" i="8" s="1"/>
  <c r="D640" i="8"/>
  <c r="G640" i="8" s="1"/>
  <c r="E640" i="8"/>
  <c r="H640" i="8" s="1"/>
  <c r="C640" i="8"/>
  <c r="F640" i="8" s="1"/>
  <c r="C641" i="8"/>
  <c r="F641" i="8" s="1"/>
  <c r="E641" i="8"/>
  <c r="H641" i="8" s="1"/>
  <c r="D641" i="8"/>
  <c r="G641" i="8" s="1"/>
  <c r="D642" i="8"/>
  <c r="G642" i="8" s="1"/>
  <c r="C642" i="8"/>
  <c r="F642" i="8" s="1"/>
  <c r="E642" i="8"/>
  <c r="H642" i="8" s="1"/>
  <c r="E643" i="8"/>
  <c r="H643" i="8" s="1"/>
  <c r="D643" i="8"/>
  <c r="G643" i="8" s="1"/>
  <c r="C643" i="8"/>
  <c r="F643" i="8" s="1"/>
  <c r="D644" i="8"/>
  <c r="G644" i="8" s="1"/>
  <c r="E644" i="8"/>
  <c r="H644" i="8" s="1"/>
  <c r="C644" i="8"/>
  <c r="F644" i="8" s="1"/>
  <c r="C645" i="8"/>
  <c r="F645" i="8" s="1"/>
  <c r="E645" i="8"/>
  <c r="H645" i="8" s="1"/>
  <c r="D645" i="8"/>
  <c r="G645" i="8" s="1"/>
  <c r="D646" i="8"/>
  <c r="G646" i="8" s="1"/>
  <c r="I646" i="8" s="1"/>
  <c r="C646" i="8"/>
  <c r="F646" i="8" s="1"/>
  <c r="E646" i="8"/>
  <c r="H646" i="8" s="1"/>
  <c r="E647" i="8"/>
  <c r="H647" i="8" s="1"/>
  <c r="D647" i="8"/>
  <c r="G647" i="8" s="1"/>
  <c r="C647" i="8"/>
  <c r="F647" i="8" s="1"/>
  <c r="E648" i="8"/>
  <c r="H648" i="8" s="1"/>
  <c r="D648" i="8"/>
  <c r="G648" i="8" s="1"/>
  <c r="C648" i="8"/>
  <c r="F648" i="8" s="1"/>
  <c r="C649" i="8"/>
  <c r="F649" i="8" s="1"/>
  <c r="E649" i="8"/>
  <c r="H649" i="8" s="1"/>
  <c r="D649" i="8"/>
  <c r="G649" i="8" s="1"/>
  <c r="D650" i="8"/>
  <c r="G650" i="8" s="1"/>
  <c r="E650" i="8"/>
  <c r="H650" i="8" s="1"/>
  <c r="C650" i="8"/>
  <c r="F650" i="8" s="1"/>
  <c r="E651" i="8"/>
  <c r="H651" i="8" s="1"/>
  <c r="C651" i="8"/>
  <c r="F651" i="8" s="1"/>
  <c r="D651" i="8"/>
  <c r="G651" i="8" s="1"/>
  <c r="C652" i="8"/>
  <c r="F652" i="8" s="1"/>
  <c r="E652" i="8"/>
  <c r="H652" i="8" s="1"/>
  <c r="D652" i="8"/>
  <c r="G652" i="8" s="1"/>
  <c r="C653" i="8"/>
  <c r="F653" i="8" s="1"/>
  <c r="E653" i="8"/>
  <c r="H653" i="8" s="1"/>
  <c r="D653" i="8"/>
  <c r="G653" i="8" s="1"/>
  <c r="D654" i="8"/>
  <c r="G654" i="8" s="1"/>
  <c r="E654" i="8"/>
  <c r="H654" i="8" s="1"/>
  <c r="C654" i="8"/>
  <c r="F654" i="8" s="1"/>
  <c r="E655" i="8"/>
  <c r="H655" i="8" s="1"/>
  <c r="C655" i="8"/>
  <c r="F655" i="8" s="1"/>
  <c r="D655" i="8"/>
  <c r="G655" i="8" s="1"/>
  <c r="C656" i="8"/>
  <c r="F656" i="8" s="1"/>
  <c r="D656" i="8"/>
  <c r="G656" i="8" s="1"/>
  <c r="E656" i="8"/>
  <c r="H656" i="8" s="1"/>
  <c r="C657" i="8"/>
  <c r="F657" i="8" s="1"/>
  <c r="E657" i="8"/>
  <c r="H657" i="8" s="1"/>
  <c r="D657" i="8"/>
  <c r="G657" i="8" s="1"/>
  <c r="D658" i="8"/>
  <c r="G658" i="8" s="1"/>
  <c r="E658" i="8"/>
  <c r="H658" i="8" s="1"/>
  <c r="C658" i="8"/>
  <c r="F658" i="8" s="1"/>
  <c r="E659" i="8"/>
  <c r="H659" i="8" s="1"/>
  <c r="C659" i="8"/>
  <c r="F659" i="8" s="1"/>
  <c r="D659" i="8"/>
  <c r="G659" i="8" s="1"/>
  <c r="C660" i="8"/>
  <c r="F660" i="8" s="1"/>
  <c r="D660" i="8"/>
  <c r="G660" i="8" s="1"/>
  <c r="E660" i="8"/>
  <c r="H660" i="8" s="1"/>
  <c r="C661" i="8"/>
  <c r="F661" i="8" s="1"/>
  <c r="D661" i="8"/>
  <c r="G661" i="8" s="1"/>
  <c r="E661" i="8"/>
  <c r="H661" i="8" s="1"/>
  <c r="D662" i="8"/>
  <c r="G662" i="8" s="1"/>
  <c r="E662" i="8"/>
  <c r="H662" i="8" s="1"/>
  <c r="C662" i="8"/>
  <c r="F662" i="8" s="1"/>
  <c r="E663" i="8"/>
  <c r="H663" i="8" s="1"/>
  <c r="C663" i="8"/>
  <c r="F663" i="8" s="1"/>
  <c r="D663" i="8"/>
  <c r="G663" i="8" s="1"/>
  <c r="I663" i="8" s="1"/>
  <c r="D664" i="8"/>
  <c r="G664" i="8" s="1"/>
  <c r="E664" i="8"/>
  <c r="H664" i="8" s="1"/>
  <c r="C664" i="8"/>
  <c r="F664" i="8" s="1"/>
  <c r="C665" i="8"/>
  <c r="F665" i="8" s="1"/>
  <c r="E665" i="8"/>
  <c r="H665" i="8" s="1"/>
  <c r="D665" i="8"/>
  <c r="G665" i="8" s="1"/>
  <c r="D666" i="8"/>
  <c r="G666" i="8" s="1"/>
  <c r="E666" i="8"/>
  <c r="H666" i="8" s="1"/>
  <c r="C666" i="8"/>
  <c r="F666" i="8" s="1"/>
  <c r="I666" i="8" s="1"/>
  <c r="E667" i="8"/>
  <c r="H667" i="8" s="1"/>
  <c r="D667" i="8"/>
  <c r="G667" i="8" s="1"/>
  <c r="C667" i="8"/>
  <c r="F667" i="8" s="1"/>
  <c r="E668" i="8"/>
  <c r="H668" i="8" s="1"/>
  <c r="C668" i="8"/>
  <c r="F668" i="8" s="1"/>
  <c r="D668" i="8"/>
  <c r="G668" i="8" s="1"/>
  <c r="C669" i="8"/>
  <c r="F669" i="8" s="1"/>
  <c r="D669" i="8"/>
  <c r="G669" i="8" s="1"/>
  <c r="E669" i="8"/>
  <c r="H669" i="8" s="1"/>
  <c r="I669" i="8" s="1"/>
  <c r="D670" i="8"/>
  <c r="G670" i="8" s="1"/>
  <c r="E670" i="8"/>
  <c r="H670" i="8" s="1"/>
  <c r="C670" i="8"/>
  <c r="F670" i="8" s="1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A27" i="6"/>
  <c r="A33" i="6"/>
  <c r="A29" i="6"/>
  <c r="A30" i="6"/>
  <c r="A28" i="6"/>
  <c r="A31" i="6"/>
  <c r="A34" i="6"/>
  <c r="A32" i="6"/>
  <c r="G52" i="6"/>
  <c r="H52" i="6"/>
  <c r="G53" i="6"/>
  <c r="H53" i="6"/>
  <c r="I53" i="6"/>
  <c r="G55" i="6"/>
  <c r="H55" i="6"/>
  <c r="H56" i="6"/>
  <c r="I56" i="6"/>
  <c r="G56" i="6"/>
  <c r="G62" i="6"/>
  <c r="H62" i="6"/>
  <c r="H66" i="6"/>
  <c r="G66" i="6"/>
  <c r="I66" i="6"/>
  <c r="I69" i="6"/>
  <c r="G69" i="6"/>
  <c r="H69" i="6"/>
  <c r="I75" i="6"/>
  <c r="G75" i="6"/>
  <c r="H75" i="6"/>
  <c r="G78" i="6"/>
  <c r="I78" i="6"/>
  <c r="H79" i="6"/>
  <c r="I79" i="6"/>
  <c r="G79" i="6"/>
  <c r="AA88" i="6"/>
  <c r="S88" i="6"/>
  <c r="AA90" i="6"/>
  <c r="S90" i="6"/>
  <c r="AA91" i="6"/>
  <c r="S91" i="6"/>
  <c r="I92" i="6"/>
  <c r="G92" i="6"/>
  <c r="H92" i="6"/>
  <c r="AA94" i="6"/>
  <c r="S94" i="6"/>
  <c r="I96" i="6"/>
  <c r="G96" i="6"/>
  <c r="H97" i="6"/>
  <c r="I97" i="6"/>
  <c r="G97" i="6"/>
  <c r="S99" i="6"/>
  <c r="AA99" i="6"/>
  <c r="AA100" i="6"/>
  <c r="S100" i="6"/>
  <c r="AA102" i="6"/>
  <c r="S102" i="6"/>
  <c r="AA103" i="6"/>
  <c r="S103" i="6"/>
  <c r="G104" i="6"/>
  <c r="H104" i="6"/>
  <c r="I104" i="6"/>
  <c r="G105" i="6"/>
  <c r="H105" i="6"/>
  <c r="I105" i="6"/>
  <c r="AA105" i="6"/>
  <c r="S105" i="6"/>
  <c r="H106" i="6"/>
  <c r="G106" i="6"/>
  <c r="I106" i="6"/>
  <c r="S106" i="6"/>
  <c r="AA106" i="6"/>
  <c r="H107" i="6"/>
  <c r="G107" i="6"/>
  <c r="I107" i="6"/>
  <c r="AA108" i="6"/>
  <c r="S108" i="6"/>
  <c r="I111" i="6"/>
  <c r="H111" i="6"/>
  <c r="G111" i="6"/>
  <c r="H112" i="6"/>
  <c r="G112" i="6"/>
  <c r="I112" i="6"/>
  <c r="S112" i="6"/>
  <c r="AA112" i="6"/>
  <c r="I113" i="6"/>
  <c r="H113" i="6"/>
  <c r="G113" i="6"/>
  <c r="I115" i="6"/>
  <c r="H115" i="6"/>
  <c r="G115" i="6"/>
  <c r="I116" i="6"/>
  <c r="G116" i="6"/>
  <c r="H116" i="6"/>
  <c r="H117" i="6"/>
  <c r="G117" i="6"/>
  <c r="I117" i="6"/>
  <c r="I118" i="6"/>
  <c r="H118" i="6"/>
  <c r="G118" i="6"/>
  <c r="AA118" i="6"/>
  <c r="S118" i="6"/>
  <c r="I119" i="6"/>
  <c r="H119" i="6"/>
  <c r="G119" i="6"/>
  <c r="G120" i="6"/>
  <c r="I120" i="6"/>
  <c r="AA120" i="6"/>
  <c r="S120" i="6"/>
  <c r="I121" i="6"/>
  <c r="H121" i="6"/>
  <c r="G121" i="6"/>
  <c r="AA121" i="6"/>
  <c r="S121" i="6"/>
  <c r="I122" i="6"/>
  <c r="G122" i="6"/>
  <c r="H122" i="6"/>
  <c r="H123" i="6"/>
  <c r="I123" i="6"/>
  <c r="G123" i="6"/>
  <c r="I124" i="6"/>
  <c r="G124" i="6"/>
  <c r="H124" i="6"/>
  <c r="AA124" i="6"/>
  <c r="S124" i="6"/>
  <c r="H126" i="6"/>
  <c r="G126" i="6"/>
  <c r="I126" i="6"/>
  <c r="S127" i="6"/>
  <c r="AA127" i="6"/>
  <c r="I128" i="6"/>
  <c r="G128" i="6"/>
  <c r="H128" i="6"/>
  <c r="S129" i="6"/>
  <c r="AA129" i="6"/>
  <c r="S130" i="6"/>
  <c r="AA130" i="6"/>
  <c r="I131" i="6"/>
  <c r="G131" i="6"/>
  <c r="H131" i="6"/>
  <c r="G132" i="6"/>
  <c r="I132" i="6"/>
  <c r="H132" i="6"/>
  <c r="AA132" i="6"/>
  <c r="S132" i="6"/>
  <c r="H133" i="6"/>
  <c r="G133" i="6"/>
  <c r="I133" i="6"/>
  <c r="I145" i="6"/>
  <c r="H145" i="6"/>
  <c r="G145" i="6"/>
  <c r="G151" i="6"/>
  <c r="I151" i="6"/>
  <c r="H153" i="6"/>
  <c r="G153" i="6"/>
  <c r="H154" i="6"/>
  <c r="G154" i="6"/>
  <c r="I154" i="6"/>
  <c r="H90" i="6"/>
  <c r="I90" i="6"/>
  <c r="H91" i="6"/>
  <c r="I91" i="6"/>
  <c r="H93" i="6"/>
  <c r="I93" i="6"/>
  <c r="I94" i="6"/>
  <c r="G94" i="6"/>
  <c r="H94" i="6"/>
  <c r="I98" i="6"/>
  <c r="H98" i="6"/>
  <c r="I100" i="6"/>
  <c r="H100" i="6"/>
  <c r="G100" i="6"/>
  <c r="G101" i="6"/>
  <c r="H101" i="6"/>
  <c r="I101" i="6"/>
  <c r="I102" i="6"/>
  <c r="H102" i="6"/>
  <c r="G102" i="6"/>
  <c r="H103" i="6"/>
  <c r="I103" i="6"/>
  <c r="G103" i="6"/>
  <c r="I108" i="6"/>
  <c r="G108" i="6"/>
  <c r="H108" i="6"/>
  <c r="I109" i="6"/>
  <c r="H109" i="6"/>
  <c r="G109" i="6"/>
  <c r="H110" i="6"/>
  <c r="I110" i="6"/>
  <c r="G110" i="6"/>
  <c r="H114" i="6"/>
  <c r="I114" i="6"/>
  <c r="G114" i="6"/>
  <c r="I125" i="6"/>
  <c r="G125" i="6"/>
  <c r="H125" i="6"/>
  <c r="G127" i="6"/>
  <c r="H127" i="6"/>
  <c r="I127" i="6"/>
  <c r="H129" i="6"/>
  <c r="G129" i="6"/>
  <c r="I129" i="6"/>
  <c r="H130" i="6"/>
  <c r="I130" i="6"/>
  <c r="G130" i="6"/>
  <c r="G140" i="6"/>
  <c r="H140" i="6"/>
  <c r="I140" i="6"/>
  <c r="G142" i="6"/>
  <c r="I142" i="6"/>
  <c r="H144" i="6"/>
  <c r="G144" i="6"/>
  <c r="I144" i="6"/>
  <c r="G161" i="6"/>
  <c r="I161" i="6"/>
  <c r="H161" i="6"/>
  <c r="H162" i="6"/>
  <c r="G162" i="6"/>
  <c r="I163" i="6"/>
  <c r="H163" i="6"/>
  <c r="G163" i="6"/>
  <c r="H168" i="6"/>
  <c r="G168" i="6"/>
  <c r="I168" i="6"/>
  <c r="I169" i="6"/>
  <c r="H169" i="6"/>
  <c r="G169" i="6"/>
  <c r="G170" i="6"/>
  <c r="H170" i="6"/>
  <c r="H172" i="6"/>
  <c r="G172" i="6"/>
  <c r="I173" i="6"/>
  <c r="H173" i="6"/>
  <c r="G174" i="6"/>
  <c r="I174" i="6"/>
  <c r="H174" i="6"/>
  <c r="I181" i="6"/>
  <c r="G181" i="6"/>
  <c r="I182" i="6"/>
  <c r="H182" i="6"/>
  <c r="G182" i="6"/>
  <c r="G183" i="6"/>
  <c r="H183" i="6"/>
  <c r="I183" i="6"/>
  <c r="H185" i="6"/>
  <c r="I185" i="6"/>
  <c r="H188" i="6"/>
  <c r="G188" i="6"/>
  <c r="H189" i="6"/>
  <c r="G189" i="6"/>
  <c r="I189" i="6"/>
  <c r="H191" i="6"/>
  <c r="G191" i="6"/>
  <c r="H192" i="6"/>
  <c r="G192" i="6"/>
  <c r="I192" i="6"/>
  <c r="H194" i="6"/>
  <c r="G194" i="6"/>
  <c r="H195" i="6"/>
  <c r="G195" i="6"/>
  <c r="I195" i="6"/>
  <c r="I198" i="6"/>
  <c r="G198" i="6"/>
  <c r="G205" i="6"/>
  <c r="H205" i="6"/>
  <c r="G206" i="6"/>
  <c r="I206" i="6"/>
  <c r="H206" i="6"/>
  <c r="G207" i="6"/>
  <c r="H207" i="6"/>
  <c r="G208" i="6"/>
  <c r="I208" i="6"/>
  <c r="H208" i="6"/>
  <c r="H211" i="6"/>
  <c r="I211" i="6"/>
  <c r="I212" i="6"/>
  <c r="G212" i="6"/>
  <c r="G213" i="6"/>
  <c r="I213" i="6"/>
  <c r="H213" i="6"/>
  <c r="G214" i="6"/>
  <c r="I214" i="6"/>
  <c r="H214" i="6"/>
  <c r="G215" i="6"/>
  <c r="H215" i="6"/>
  <c r="I215" i="6"/>
  <c r="I216" i="6"/>
  <c r="G216" i="6"/>
  <c r="I234" i="6"/>
  <c r="H234" i="6"/>
  <c r="G234" i="6"/>
  <c r="H235" i="6"/>
  <c r="G235" i="6"/>
  <c r="G237" i="6"/>
  <c r="H237" i="6"/>
  <c r="H239" i="6"/>
  <c r="G239" i="6"/>
  <c r="G240" i="6"/>
  <c r="I240" i="6"/>
  <c r="H240" i="6"/>
  <c r="I241" i="6"/>
  <c r="H241" i="6"/>
  <c r="I244" i="6"/>
  <c r="G244" i="6"/>
  <c r="G245" i="6"/>
  <c r="I245" i="6"/>
  <c r="H247" i="6"/>
  <c r="I247" i="6"/>
  <c r="G247" i="6"/>
  <c r="G250" i="6"/>
  <c r="H250" i="6"/>
  <c r="G253" i="6"/>
  <c r="I253" i="6"/>
  <c r="H253" i="6"/>
  <c r="G261" i="6"/>
  <c r="I261" i="6"/>
  <c r="G268" i="6"/>
  <c r="H268" i="6"/>
  <c r="H271" i="6"/>
  <c r="G271" i="6"/>
  <c r="I271" i="6"/>
  <c r="I273" i="6"/>
  <c r="G273" i="6"/>
  <c r="H273" i="6"/>
  <c r="G274" i="6"/>
  <c r="I274" i="6"/>
  <c r="I277" i="6"/>
  <c r="G277" i="6"/>
  <c r="H277" i="6"/>
  <c r="I283" i="6"/>
  <c r="H283" i="6"/>
  <c r="G284" i="6"/>
  <c r="I284" i="6"/>
  <c r="G286" i="6"/>
  <c r="H286" i="6"/>
  <c r="I286" i="6"/>
  <c r="H292" i="6"/>
  <c r="G292" i="6"/>
  <c r="I292" i="6"/>
  <c r="I301" i="6"/>
  <c r="H301" i="6"/>
  <c r="G301" i="6"/>
  <c r="I308" i="6"/>
  <c r="G308" i="6"/>
  <c r="G314" i="6"/>
  <c r="I314" i="6"/>
  <c r="G316" i="6"/>
  <c r="H316" i="6"/>
  <c r="G320" i="6"/>
  <c r="I320" i="6"/>
  <c r="G325" i="6"/>
  <c r="H325" i="6"/>
  <c r="I336" i="6"/>
  <c r="H336" i="6"/>
  <c r="G340" i="6"/>
  <c r="I340" i="6"/>
  <c r="H340" i="6"/>
  <c r="I346" i="6"/>
  <c r="G346" i="6"/>
  <c r="I351" i="6"/>
  <c r="G351" i="6"/>
  <c r="I354" i="6"/>
  <c r="H354" i="6"/>
  <c r="G355" i="6"/>
  <c r="H355" i="6"/>
  <c r="I355" i="6"/>
  <c r="I358" i="6"/>
  <c r="G358" i="6"/>
  <c r="I360" i="6"/>
  <c r="G360" i="6"/>
  <c r="H360" i="6"/>
  <c r="H361" i="6"/>
  <c r="I361" i="6"/>
  <c r="I363" i="6"/>
  <c r="H363" i="6"/>
  <c r="I366" i="6"/>
  <c r="H366" i="6"/>
  <c r="H371" i="6"/>
  <c r="G371" i="6"/>
  <c r="G372" i="6"/>
  <c r="I372" i="6"/>
  <c r="H372" i="6"/>
  <c r="G374" i="6"/>
  <c r="I374" i="6"/>
  <c r="G378" i="6"/>
  <c r="I378" i="6"/>
  <c r="H378" i="6"/>
  <c r="I380" i="6"/>
  <c r="G380" i="6"/>
  <c r="G384" i="6"/>
  <c r="I384" i="6"/>
  <c r="G387" i="6"/>
  <c r="I387" i="6"/>
  <c r="H387" i="6"/>
  <c r="A15" i="6"/>
  <c r="A16" i="6"/>
  <c r="A19" i="6"/>
  <c r="A25" i="6"/>
  <c r="A14" i="6"/>
  <c r="A21" i="6"/>
  <c r="A24" i="6"/>
  <c r="A26" i="6"/>
  <c r="A22" i="6"/>
  <c r="A10" i="6"/>
  <c r="A18" i="6"/>
  <c r="A12" i="6"/>
  <c r="A23" i="6"/>
  <c r="A17" i="6"/>
  <c r="A11" i="6"/>
  <c r="A3" i="6"/>
  <c r="A7" i="6"/>
  <c r="A6" i="6"/>
  <c r="A5" i="6"/>
  <c r="A9" i="6"/>
  <c r="A8" i="6"/>
  <c r="A13" i="6"/>
  <c r="A20" i="6"/>
  <c r="A4" i="6"/>
  <c r="M2" i="6"/>
  <c r="A2" i="6"/>
  <c r="W126" i="1"/>
  <c r="W132" i="1"/>
  <c r="W138" i="1"/>
  <c r="W144" i="1"/>
  <c r="W150" i="1"/>
  <c r="W156" i="1"/>
  <c r="W162" i="1"/>
  <c r="W168" i="1"/>
  <c r="W174" i="1"/>
  <c r="W198" i="1"/>
  <c r="W216" i="1"/>
  <c r="W222" i="1"/>
  <c r="W228" i="1"/>
  <c r="W234" i="1"/>
  <c r="W240" i="1"/>
  <c r="W246" i="1"/>
  <c r="W252" i="1"/>
  <c r="W258" i="1"/>
  <c r="W264" i="1"/>
  <c r="W270" i="1"/>
  <c r="W276" i="1"/>
  <c r="W282" i="1"/>
  <c r="W288" i="1"/>
  <c r="W294" i="1"/>
  <c r="W300" i="1"/>
  <c r="W306" i="1"/>
  <c r="W312" i="1"/>
  <c r="W318" i="1"/>
  <c r="W324" i="1"/>
  <c r="W330" i="1"/>
  <c r="W336" i="1"/>
  <c r="W342" i="1"/>
  <c r="W348" i="1"/>
  <c r="W354" i="1"/>
  <c r="W360" i="1"/>
  <c r="W366" i="1"/>
  <c r="W372" i="1"/>
  <c r="W378" i="1"/>
  <c r="W384" i="1"/>
  <c r="W390" i="1"/>
  <c r="W396" i="1"/>
  <c r="W402" i="1"/>
  <c r="W408" i="1"/>
  <c r="W414" i="1"/>
  <c r="W420" i="1"/>
  <c r="W426" i="1"/>
  <c r="W432" i="1"/>
  <c r="W438" i="1"/>
  <c r="W444" i="1"/>
  <c r="W450" i="1"/>
  <c r="W456" i="1"/>
  <c r="W462" i="1"/>
  <c r="W468" i="1"/>
  <c r="W474" i="1"/>
  <c r="W480" i="1"/>
  <c r="W486" i="1"/>
  <c r="W492" i="1"/>
  <c r="W498" i="1"/>
  <c r="W504" i="1"/>
  <c r="W510" i="1"/>
  <c r="W516" i="1"/>
  <c r="W522" i="1"/>
  <c r="W528" i="1"/>
  <c r="W534" i="1"/>
  <c r="W540" i="1"/>
  <c r="W546" i="1"/>
  <c r="W552" i="1"/>
  <c r="W558" i="1"/>
  <c r="W564" i="1"/>
  <c r="W570" i="1"/>
  <c r="W576" i="1"/>
  <c r="W582" i="1"/>
  <c r="W588" i="1"/>
  <c r="W594" i="1"/>
  <c r="W600" i="1"/>
  <c r="W606" i="1"/>
  <c r="W612" i="1"/>
  <c r="W618" i="1"/>
  <c r="W127" i="1"/>
  <c r="W133" i="1"/>
  <c r="W139" i="1"/>
  <c r="W145" i="1"/>
  <c r="W151" i="1"/>
  <c r="W157" i="1"/>
  <c r="W163" i="1"/>
  <c r="W169" i="1"/>
  <c r="W175" i="1"/>
  <c r="W187" i="1"/>
  <c r="W193" i="1"/>
  <c r="W199" i="1"/>
  <c r="W217" i="1"/>
  <c r="W223" i="1"/>
  <c r="W229" i="1"/>
  <c r="W235" i="1"/>
  <c r="W241" i="1"/>
  <c r="W247" i="1"/>
  <c r="W253" i="1"/>
  <c r="W259" i="1"/>
  <c r="W265" i="1"/>
  <c r="W271" i="1"/>
  <c r="W277" i="1"/>
  <c r="W283" i="1"/>
  <c r="W289" i="1"/>
  <c r="W295" i="1"/>
  <c r="W301" i="1"/>
  <c r="W307" i="1"/>
  <c r="W313" i="1"/>
  <c r="W319" i="1"/>
  <c r="W325" i="1"/>
  <c r="W331" i="1"/>
  <c r="W337" i="1"/>
  <c r="W343" i="1"/>
  <c r="W349" i="1"/>
  <c r="W355" i="1"/>
  <c r="W361" i="1"/>
  <c r="W367" i="1"/>
  <c r="W373" i="1"/>
  <c r="W379" i="1"/>
  <c r="W385" i="1"/>
  <c r="W391" i="1"/>
  <c r="W397" i="1"/>
  <c r="W403" i="1"/>
  <c r="W409" i="1"/>
  <c r="W415" i="1"/>
  <c r="W421" i="1"/>
  <c r="W427" i="1"/>
  <c r="W433" i="1"/>
  <c r="W439" i="1"/>
  <c r="W445" i="1"/>
  <c r="W451" i="1"/>
  <c r="W457" i="1"/>
  <c r="W463" i="1"/>
  <c r="W469" i="1"/>
  <c r="W475" i="1"/>
  <c r="W481" i="1"/>
  <c r="W487" i="1"/>
  <c r="W493" i="1"/>
  <c r="W499" i="1"/>
  <c r="W505" i="1"/>
  <c r="W511" i="1"/>
  <c r="W517" i="1"/>
  <c r="W523" i="1"/>
  <c r="W529" i="1"/>
  <c r="W535" i="1"/>
  <c r="W541" i="1"/>
  <c r="W547" i="1"/>
  <c r="W553" i="1"/>
  <c r="W559" i="1"/>
  <c r="W565" i="1"/>
  <c r="W571" i="1"/>
  <c r="W577" i="1"/>
  <c r="W583" i="1"/>
  <c r="W589" i="1"/>
  <c r="W595" i="1"/>
  <c r="W601" i="1"/>
  <c r="W607" i="1"/>
  <c r="W613" i="1"/>
  <c r="W619" i="1"/>
  <c r="W625" i="1"/>
  <c r="W631" i="1"/>
  <c r="W128" i="1"/>
  <c r="W134" i="1"/>
  <c r="W140" i="1"/>
  <c r="W146" i="1"/>
  <c r="W152" i="1"/>
  <c r="W158" i="1"/>
  <c r="W164" i="1"/>
  <c r="W170" i="1"/>
  <c r="W176" i="1"/>
  <c r="W188" i="1"/>
  <c r="W194" i="1"/>
  <c r="W200" i="1"/>
  <c r="W224" i="1"/>
  <c r="W230" i="1"/>
  <c r="W236" i="1"/>
  <c r="W242" i="1"/>
  <c r="W248" i="1"/>
  <c r="W254" i="1"/>
  <c r="W260" i="1"/>
  <c r="W266" i="1"/>
  <c r="W272" i="1"/>
  <c r="W278" i="1"/>
  <c r="W284" i="1"/>
  <c r="W290" i="1"/>
  <c r="W296" i="1"/>
  <c r="W302" i="1"/>
  <c r="W308" i="1"/>
  <c r="W314" i="1"/>
  <c r="W320" i="1"/>
  <c r="W326" i="1"/>
  <c r="W332" i="1"/>
  <c r="W338" i="1"/>
  <c r="W344" i="1"/>
  <c r="W350" i="1"/>
  <c r="W356" i="1"/>
  <c r="W362" i="1"/>
  <c r="W368" i="1"/>
  <c r="W374" i="1"/>
  <c r="W380" i="1"/>
  <c r="W386" i="1"/>
  <c r="W392" i="1"/>
  <c r="W398" i="1"/>
  <c r="W404" i="1"/>
  <c r="W410" i="1"/>
  <c r="W416" i="1"/>
  <c r="W422" i="1"/>
  <c r="W428" i="1"/>
  <c r="W434" i="1"/>
  <c r="W440" i="1"/>
  <c r="W446" i="1"/>
  <c r="W452" i="1"/>
  <c r="W458" i="1"/>
  <c r="W464" i="1"/>
  <c r="W470" i="1"/>
  <c r="W476" i="1"/>
  <c r="W482" i="1"/>
  <c r="W488" i="1"/>
  <c r="W494" i="1"/>
  <c r="W500" i="1"/>
  <c r="W506" i="1"/>
  <c r="W512" i="1"/>
  <c r="W518" i="1"/>
  <c r="W524" i="1"/>
  <c r="W530" i="1"/>
  <c r="W536" i="1"/>
  <c r="W542" i="1"/>
  <c r="W548" i="1"/>
  <c r="W554" i="1"/>
  <c r="W560" i="1"/>
  <c r="W566" i="1"/>
  <c r="W572" i="1"/>
  <c r="W578" i="1"/>
  <c r="W584" i="1"/>
  <c r="W590" i="1"/>
  <c r="W596" i="1"/>
  <c r="W602" i="1"/>
  <c r="W608" i="1"/>
  <c r="W614" i="1"/>
  <c r="W620" i="1"/>
  <c r="W626" i="1"/>
  <c r="W632" i="1"/>
  <c r="W129" i="1"/>
  <c r="W135" i="1"/>
  <c r="W141" i="1"/>
  <c r="W147" i="1"/>
  <c r="W153" i="1"/>
  <c r="W159" i="1"/>
  <c r="W165" i="1"/>
  <c r="W171" i="1"/>
  <c r="W177" i="1"/>
  <c r="W195" i="1"/>
  <c r="W201" i="1"/>
  <c r="W213" i="1"/>
  <c r="W225" i="1"/>
  <c r="W231" i="1"/>
  <c r="W237" i="1"/>
  <c r="W243" i="1"/>
  <c r="W249" i="1"/>
  <c r="W255" i="1"/>
  <c r="W261" i="1"/>
  <c r="W267" i="1"/>
  <c r="W273" i="1"/>
  <c r="W279" i="1"/>
  <c r="W285" i="1"/>
  <c r="W291" i="1"/>
  <c r="W297" i="1"/>
  <c r="W303" i="1"/>
  <c r="W309" i="1"/>
  <c r="W315" i="1"/>
  <c r="W321" i="1"/>
  <c r="W327" i="1"/>
  <c r="W333" i="1"/>
  <c r="W339" i="1"/>
  <c r="W345" i="1"/>
  <c r="W351" i="1"/>
  <c r="W357" i="1"/>
  <c r="W363" i="1"/>
  <c r="W369" i="1"/>
  <c r="W375" i="1"/>
  <c r="W381" i="1"/>
  <c r="W387" i="1"/>
  <c r="W393" i="1"/>
  <c r="W399" i="1"/>
  <c r="W405" i="1"/>
  <c r="W411" i="1"/>
  <c r="W417" i="1"/>
  <c r="W423" i="1"/>
  <c r="W429" i="1"/>
  <c r="W435" i="1"/>
  <c r="W441" i="1"/>
  <c r="W447" i="1"/>
  <c r="W453" i="1"/>
  <c r="W459" i="1"/>
  <c r="W465" i="1"/>
  <c r="W471" i="1"/>
  <c r="W477" i="1"/>
  <c r="W483" i="1"/>
  <c r="W489" i="1"/>
  <c r="W495" i="1"/>
  <c r="W501" i="1"/>
  <c r="W507" i="1"/>
  <c r="W513" i="1"/>
  <c r="W519" i="1"/>
  <c r="W525" i="1"/>
  <c r="W531" i="1"/>
  <c r="W537" i="1"/>
  <c r="W543" i="1"/>
  <c r="W549" i="1"/>
  <c r="W555" i="1"/>
  <c r="W561" i="1"/>
  <c r="W567" i="1"/>
  <c r="W573" i="1"/>
  <c r="W579" i="1"/>
  <c r="W585" i="1"/>
  <c r="W591" i="1"/>
  <c r="W597" i="1"/>
  <c r="W603" i="1"/>
  <c r="W609" i="1"/>
  <c r="W615" i="1"/>
  <c r="W621" i="1"/>
  <c r="W627" i="1"/>
  <c r="W633" i="1"/>
  <c r="W130" i="1"/>
  <c r="W148" i="1"/>
  <c r="W166" i="1"/>
  <c r="W202" i="1"/>
  <c r="W220" i="1"/>
  <c r="W238" i="1"/>
  <c r="W256" i="1"/>
  <c r="W274" i="1"/>
  <c r="W292" i="1"/>
  <c r="W310" i="1"/>
  <c r="W328" i="1"/>
  <c r="W346" i="1"/>
  <c r="W364" i="1"/>
  <c r="W382" i="1"/>
  <c r="W400" i="1"/>
  <c r="W418" i="1"/>
  <c r="W436" i="1"/>
  <c r="W454" i="1"/>
  <c r="W472" i="1"/>
  <c r="W490" i="1"/>
  <c r="W508" i="1"/>
  <c r="W526" i="1"/>
  <c r="W544" i="1"/>
  <c r="W562" i="1"/>
  <c r="W580" i="1"/>
  <c r="W598" i="1"/>
  <c r="W616" i="1"/>
  <c r="W629" i="1"/>
  <c r="W638" i="1"/>
  <c r="W644" i="1"/>
  <c r="W650" i="1"/>
  <c r="W656" i="1"/>
  <c r="W662" i="1"/>
  <c r="W668" i="1"/>
  <c r="W674" i="1"/>
  <c r="W680" i="1"/>
  <c r="W686" i="1"/>
  <c r="W692" i="1"/>
  <c r="W698" i="1"/>
  <c r="W704" i="1"/>
  <c r="W710" i="1"/>
  <c r="W716" i="1"/>
  <c r="W722" i="1"/>
  <c r="W728" i="1"/>
  <c r="W734" i="1"/>
  <c r="W740" i="1"/>
  <c r="W746" i="1"/>
  <c r="W752" i="1"/>
  <c r="W758" i="1"/>
  <c r="W764" i="1"/>
  <c r="W770" i="1"/>
  <c r="W776" i="1"/>
  <c r="W782" i="1"/>
  <c r="W788" i="1"/>
  <c r="W794" i="1"/>
  <c r="W800" i="1"/>
  <c r="W806" i="1"/>
  <c r="W812" i="1"/>
  <c r="W818" i="1"/>
  <c r="W824" i="1"/>
  <c r="W830" i="1"/>
  <c r="W836" i="1"/>
  <c r="W842" i="1"/>
  <c r="W848" i="1"/>
  <c r="W854" i="1"/>
  <c r="W813" i="1"/>
  <c r="W831" i="1"/>
  <c r="W843" i="1"/>
  <c r="W855" i="1"/>
  <c r="W161" i="1"/>
  <c r="W269" i="1"/>
  <c r="W359" i="1"/>
  <c r="W431" i="1"/>
  <c r="W503" i="1"/>
  <c r="W593" i="1"/>
  <c r="W643" i="1"/>
  <c r="W661" i="1"/>
  <c r="W697" i="1"/>
  <c r="W727" i="1"/>
  <c r="W769" i="1"/>
  <c r="W793" i="1"/>
  <c r="W823" i="1"/>
  <c r="W131" i="1"/>
  <c r="W149" i="1"/>
  <c r="W167" i="1"/>
  <c r="W221" i="1"/>
  <c r="W239" i="1"/>
  <c r="W257" i="1"/>
  <c r="W275" i="1"/>
  <c r="W293" i="1"/>
  <c r="W311" i="1"/>
  <c r="W329" i="1"/>
  <c r="W347" i="1"/>
  <c r="W365" i="1"/>
  <c r="W383" i="1"/>
  <c r="W401" i="1"/>
  <c r="W419" i="1"/>
  <c r="W437" i="1"/>
  <c r="W455" i="1"/>
  <c r="W473" i="1"/>
  <c r="W491" i="1"/>
  <c r="W509" i="1"/>
  <c r="W527" i="1"/>
  <c r="W545" i="1"/>
  <c r="W563" i="1"/>
  <c r="W581" i="1"/>
  <c r="W599" i="1"/>
  <c r="W617" i="1"/>
  <c r="W630" i="1"/>
  <c r="W639" i="1"/>
  <c r="W645" i="1"/>
  <c r="W651" i="1"/>
  <c r="W657" i="1"/>
  <c r="W663" i="1"/>
  <c r="W669" i="1"/>
  <c r="W675" i="1"/>
  <c r="W681" i="1"/>
  <c r="W687" i="1"/>
  <c r="W693" i="1"/>
  <c r="W699" i="1"/>
  <c r="W705" i="1"/>
  <c r="W711" i="1"/>
  <c r="W717" i="1"/>
  <c r="W723" i="1"/>
  <c r="W729" i="1"/>
  <c r="W735" i="1"/>
  <c r="W741" i="1"/>
  <c r="W747" i="1"/>
  <c r="W753" i="1"/>
  <c r="W759" i="1"/>
  <c r="W765" i="1"/>
  <c r="W771" i="1"/>
  <c r="W777" i="1"/>
  <c r="W783" i="1"/>
  <c r="W789" i="1"/>
  <c r="W795" i="1"/>
  <c r="W801" i="1"/>
  <c r="W807" i="1"/>
  <c r="W819" i="1"/>
  <c r="W825" i="1"/>
  <c r="W837" i="1"/>
  <c r="W849" i="1"/>
  <c r="W179" i="1"/>
  <c r="W215" i="1"/>
  <c r="W251" i="1"/>
  <c r="W323" i="1"/>
  <c r="W395" i="1"/>
  <c r="W467" i="1"/>
  <c r="W539" i="1"/>
  <c r="W611" i="1"/>
  <c r="W649" i="1"/>
  <c r="W679" i="1"/>
  <c r="W709" i="1"/>
  <c r="W739" i="1"/>
  <c r="W763" i="1"/>
  <c r="W799" i="1"/>
  <c r="W829" i="1"/>
  <c r="W853" i="1"/>
  <c r="W136" i="1"/>
  <c r="W154" i="1"/>
  <c r="W172" i="1"/>
  <c r="W226" i="1"/>
  <c r="W244" i="1"/>
  <c r="W262" i="1"/>
  <c r="W280" i="1"/>
  <c r="W298" i="1"/>
  <c r="W316" i="1"/>
  <c r="W334" i="1"/>
  <c r="W352" i="1"/>
  <c r="W370" i="1"/>
  <c r="W388" i="1"/>
  <c r="W406" i="1"/>
  <c r="W424" i="1"/>
  <c r="W442" i="1"/>
  <c r="W460" i="1"/>
  <c r="W478" i="1"/>
  <c r="W496" i="1"/>
  <c r="W514" i="1"/>
  <c r="W532" i="1"/>
  <c r="W550" i="1"/>
  <c r="W568" i="1"/>
  <c r="W586" i="1"/>
  <c r="W604" i="1"/>
  <c r="W622" i="1"/>
  <c r="W634" i="1"/>
  <c r="W640" i="1"/>
  <c r="W646" i="1"/>
  <c r="W652" i="1"/>
  <c r="W658" i="1"/>
  <c r="W664" i="1"/>
  <c r="W670" i="1"/>
  <c r="W676" i="1"/>
  <c r="W682" i="1"/>
  <c r="W688" i="1"/>
  <c r="W694" i="1"/>
  <c r="W700" i="1"/>
  <c r="W706" i="1"/>
  <c r="W712" i="1"/>
  <c r="W718" i="1"/>
  <c r="W724" i="1"/>
  <c r="W730" i="1"/>
  <c r="W736" i="1"/>
  <c r="W742" i="1"/>
  <c r="W748" i="1"/>
  <c r="W754" i="1"/>
  <c r="W760" i="1"/>
  <c r="W766" i="1"/>
  <c r="W772" i="1"/>
  <c r="W778" i="1"/>
  <c r="W784" i="1"/>
  <c r="W790" i="1"/>
  <c r="W796" i="1"/>
  <c r="W802" i="1"/>
  <c r="W808" i="1"/>
  <c r="W814" i="1"/>
  <c r="W820" i="1"/>
  <c r="W826" i="1"/>
  <c r="W832" i="1"/>
  <c r="W838" i="1"/>
  <c r="W844" i="1"/>
  <c r="W850" i="1"/>
  <c r="W856" i="1"/>
  <c r="W575" i="1"/>
  <c r="W667" i="1"/>
  <c r="W703" i="1"/>
  <c r="W733" i="1"/>
  <c r="W757" i="1"/>
  <c r="W787" i="1"/>
  <c r="W817" i="1"/>
  <c r="W847" i="1"/>
  <c r="W137" i="1"/>
  <c r="W155" i="1"/>
  <c r="W173" i="1"/>
  <c r="W209" i="1"/>
  <c r="W227" i="1"/>
  <c r="W245" i="1"/>
  <c r="W263" i="1"/>
  <c r="W281" i="1"/>
  <c r="W317" i="1"/>
  <c r="W335" i="1"/>
  <c r="W353" i="1"/>
  <c r="W371" i="1"/>
  <c r="W389" i="1"/>
  <c r="W407" i="1"/>
  <c r="W425" i="1"/>
  <c r="W443" i="1"/>
  <c r="W461" i="1"/>
  <c r="W479" i="1"/>
  <c r="W497" i="1"/>
  <c r="W515" i="1"/>
  <c r="W533" i="1"/>
  <c r="W551" i="1"/>
  <c r="W569" i="1"/>
  <c r="W587" i="1"/>
  <c r="W605" i="1"/>
  <c r="W623" i="1"/>
  <c r="W635" i="1"/>
  <c r="W641" i="1"/>
  <c r="W647" i="1"/>
  <c r="W653" i="1"/>
  <c r="W659" i="1"/>
  <c r="W665" i="1"/>
  <c r="W671" i="1"/>
  <c r="W677" i="1"/>
  <c r="W683" i="1"/>
  <c r="W689" i="1"/>
  <c r="W695" i="1"/>
  <c r="W701" i="1"/>
  <c r="W707" i="1"/>
  <c r="W713" i="1"/>
  <c r="W719" i="1"/>
  <c r="A12" i="4"/>
  <c r="A18" i="4"/>
  <c r="A24" i="4"/>
  <c r="C15" i="4"/>
  <c r="C21" i="4"/>
  <c r="A13" i="4"/>
  <c r="A19" i="4"/>
  <c r="C16" i="4"/>
  <c r="C22" i="4"/>
  <c r="A14" i="4"/>
  <c r="A20" i="4"/>
  <c r="C17" i="4"/>
  <c r="C23" i="4"/>
  <c r="A15" i="4"/>
  <c r="A21" i="4"/>
  <c r="C12" i="4"/>
  <c r="C18" i="4"/>
  <c r="C24" i="4"/>
  <c r="A16" i="4"/>
  <c r="A22" i="4"/>
  <c r="C13" i="4"/>
  <c r="C19" i="4"/>
  <c r="A17" i="4"/>
  <c r="A23" i="4"/>
  <c r="C14" i="4"/>
  <c r="C20" i="4"/>
  <c r="A9" i="4"/>
  <c r="C9" i="4"/>
  <c r="A10" i="4"/>
  <c r="C10" i="4"/>
  <c r="A11" i="4"/>
  <c r="C11" i="4"/>
  <c r="E12" i="6"/>
  <c r="S39" i="6"/>
  <c r="E13" i="6"/>
  <c r="E14" i="6"/>
  <c r="S36" i="6"/>
  <c r="I556" i="8"/>
  <c r="I535" i="8"/>
  <c r="I499" i="8"/>
  <c r="S45" i="6"/>
  <c r="S35" i="6"/>
  <c r="G16" i="6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12" i="4"/>
  <c r="Q12" i="4" s="1"/>
  <c r="O18" i="4"/>
  <c r="Q18" i="4" s="1"/>
  <c r="O24" i="4"/>
  <c r="O30" i="4"/>
  <c r="Q30" i="4" s="1"/>
  <c r="O36" i="4"/>
  <c r="O42" i="4"/>
  <c r="O48" i="4"/>
  <c r="Q48" i="4" s="1"/>
  <c r="O54" i="4"/>
  <c r="Q54" i="4" s="1"/>
  <c r="O60" i="4"/>
  <c r="O66" i="4"/>
  <c r="Q66" i="4" s="1"/>
  <c r="O72" i="4"/>
  <c r="O78" i="4"/>
  <c r="O84" i="4"/>
  <c r="Q84" i="4" s="1"/>
  <c r="O90" i="4"/>
  <c r="Q90" i="4" s="1"/>
  <c r="O96" i="4"/>
  <c r="O13" i="4"/>
  <c r="O19" i="4"/>
  <c r="O25" i="4"/>
  <c r="Q25" i="4" s="1"/>
  <c r="O31" i="4"/>
  <c r="Q31" i="4" s="1"/>
  <c r="O37" i="4"/>
  <c r="O43" i="4"/>
  <c r="O49" i="4"/>
  <c r="O55" i="4"/>
  <c r="O61" i="4"/>
  <c r="Q61" i="4" s="1"/>
  <c r="O67" i="4"/>
  <c r="Q67" i="4" s="1"/>
  <c r="O73" i="4"/>
  <c r="O79" i="4"/>
  <c r="O85" i="4"/>
  <c r="O91" i="4"/>
  <c r="O97" i="4"/>
  <c r="Q97" i="4" s="1"/>
  <c r="O14" i="4"/>
  <c r="O20" i="4"/>
  <c r="Q20" i="4" s="1"/>
  <c r="O26" i="4"/>
  <c r="O32" i="4"/>
  <c r="O38" i="4"/>
  <c r="Q38" i="4" s="1"/>
  <c r="O44" i="4"/>
  <c r="Q44" i="4" s="1"/>
  <c r="O50" i="4"/>
  <c r="O56" i="4"/>
  <c r="Q56" i="4" s="1"/>
  <c r="O62" i="4"/>
  <c r="O68" i="4"/>
  <c r="O74" i="4"/>
  <c r="Q74" i="4" s="1"/>
  <c r="O80" i="4"/>
  <c r="Q80" i="4" s="1"/>
  <c r="O86" i="4"/>
  <c r="O92" i="4"/>
  <c r="Q92" i="4" s="1"/>
  <c r="O98" i="4"/>
  <c r="O9" i="4"/>
  <c r="O15" i="4"/>
  <c r="Q15" i="4" s="1"/>
  <c r="O21" i="4"/>
  <c r="O27" i="4"/>
  <c r="O33" i="4"/>
  <c r="O39" i="4"/>
  <c r="O45" i="4"/>
  <c r="Q45" i="4" s="1"/>
  <c r="O51" i="4"/>
  <c r="Q51" i="4" s="1"/>
  <c r="O57" i="4"/>
  <c r="O63" i="4"/>
  <c r="O69" i="4"/>
  <c r="O75" i="4"/>
  <c r="O81" i="4"/>
  <c r="Q81" i="4" s="1"/>
  <c r="O87" i="4"/>
  <c r="Q87" i="4" s="1"/>
  <c r="O93" i="4"/>
  <c r="O99" i="4"/>
  <c r="O10" i="4"/>
  <c r="Q10" i="4" s="1"/>
  <c r="O16" i="4"/>
  <c r="O22" i="4"/>
  <c r="O28" i="4"/>
  <c r="O34" i="4"/>
  <c r="O40" i="4"/>
  <c r="O46" i="4"/>
  <c r="O52" i="4"/>
  <c r="O58" i="4"/>
  <c r="O64" i="4"/>
  <c r="O70" i="4"/>
  <c r="O76" i="4"/>
  <c r="O82" i="4"/>
  <c r="O88" i="4"/>
  <c r="O94" i="4"/>
  <c r="I475" i="8"/>
  <c r="K10" i="4"/>
  <c r="K16" i="4"/>
  <c r="K22" i="4"/>
  <c r="K28" i="4"/>
  <c r="K34" i="4"/>
  <c r="K40" i="4"/>
  <c r="K46" i="4"/>
  <c r="K52" i="4"/>
  <c r="K58" i="4"/>
  <c r="K64" i="4"/>
  <c r="K70" i="4"/>
  <c r="K76" i="4"/>
  <c r="K82" i="4"/>
  <c r="K88" i="4"/>
  <c r="K94" i="4"/>
  <c r="N94" i="4" s="1"/>
  <c r="P16" i="4" a="1"/>
  <c r="P22" i="4" a="1"/>
  <c r="P28" i="4" a="1"/>
  <c r="P34" i="4" a="1"/>
  <c r="P40" i="4" a="1"/>
  <c r="P46" i="4" a="1"/>
  <c r="P52" i="4" a="1"/>
  <c r="P58" i="4" a="1"/>
  <c r="P64" i="4" a="1"/>
  <c r="P70" i="4" a="1"/>
  <c r="P76" i="4" a="1"/>
  <c r="P82" i="4" a="1"/>
  <c r="P88" i="4" a="1"/>
  <c r="P94" i="4" a="1"/>
  <c r="K11" i="4"/>
  <c r="K17" i="4"/>
  <c r="K23" i="4"/>
  <c r="K29" i="4"/>
  <c r="K35" i="4"/>
  <c r="K41" i="4"/>
  <c r="K47" i="4"/>
  <c r="K53" i="4"/>
  <c r="K59" i="4"/>
  <c r="K65" i="4"/>
  <c r="K71" i="4"/>
  <c r="K77" i="4"/>
  <c r="K83" i="4"/>
  <c r="K89" i="4"/>
  <c r="K95" i="4"/>
  <c r="N95" i="4" s="1"/>
  <c r="P11" i="4" a="1"/>
  <c r="P17" i="4" a="1"/>
  <c r="P23" i="4" a="1"/>
  <c r="P29" i="4" a="1"/>
  <c r="P35" i="4" a="1"/>
  <c r="P41" i="4" a="1"/>
  <c r="P47" i="4" a="1"/>
  <c r="P53" i="4" a="1"/>
  <c r="P59" i="4" a="1"/>
  <c r="P65" i="4" a="1"/>
  <c r="P71" i="4" a="1"/>
  <c r="P77" i="4" a="1"/>
  <c r="P83" i="4" a="1"/>
  <c r="P89" i="4" a="1"/>
  <c r="P95" i="4" a="1"/>
  <c r="K12" i="4"/>
  <c r="K18" i="4"/>
  <c r="K24" i="4"/>
  <c r="K30" i="4"/>
  <c r="K36" i="4"/>
  <c r="K42" i="4"/>
  <c r="K48" i="4"/>
  <c r="K54" i="4"/>
  <c r="K60" i="4"/>
  <c r="K66" i="4"/>
  <c r="K72" i="4"/>
  <c r="K78" i="4"/>
  <c r="K84" i="4"/>
  <c r="K90" i="4"/>
  <c r="K96" i="4"/>
  <c r="N96" i="4" s="1"/>
  <c r="P12" i="4" a="1"/>
  <c r="P18" i="4" a="1"/>
  <c r="P24" i="4" a="1"/>
  <c r="P30" i="4" a="1"/>
  <c r="P36" i="4" a="1"/>
  <c r="P42" i="4" a="1"/>
  <c r="P48" i="4" a="1"/>
  <c r="P54" i="4" a="1"/>
  <c r="P60" i="4" a="1"/>
  <c r="P66" i="4" a="1"/>
  <c r="P72" i="4" a="1"/>
  <c r="P78" i="4" a="1"/>
  <c r="P84" i="4" a="1"/>
  <c r="P90" i="4" a="1"/>
  <c r="P96" i="4" a="1"/>
  <c r="K13" i="4"/>
  <c r="K19" i="4"/>
  <c r="K25" i="4"/>
  <c r="K31" i="4"/>
  <c r="K37" i="4"/>
  <c r="K43" i="4"/>
  <c r="K49" i="4"/>
  <c r="K55" i="4"/>
  <c r="K61" i="4"/>
  <c r="K67" i="4"/>
  <c r="K73" i="4"/>
  <c r="K79" i="4"/>
  <c r="K85" i="4"/>
  <c r="K91" i="4"/>
  <c r="K97" i="4"/>
  <c r="N97" i="4" s="1"/>
  <c r="P13" i="4" a="1"/>
  <c r="P19" i="4" a="1"/>
  <c r="P25" i="4" a="1"/>
  <c r="P31" i="4" a="1"/>
  <c r="P37" i="4" a="1"/>
  <c r="P43" i="4" a="1"/>
  <c r="P49" i="4" a="1"/>
  <c r="P55" i="4" a="1"/>
  <c r="P61" i="4" a="1"/>
  <c r="P67" i="4" a="1"/>
  <c r="P73" i="4" a="1"/>
  <c r="P79" i="4" a="1"/>
  <c r="P85" i="4" a="1"/>
  <c r="P91" i="4" a="1"/>
  <c r="P97" i="4" a="1"/>
  <c r="K14" i="4"/>
  <c r="K20" i="4"/>
  <c r="K26" i="4"/>
  <c r="K32" i="4"/>
  <c r="K38" i="4"/>
  <c r="K44" i="4"/>
  <c r="K50" i="4"/>
  <c r="K56" i="4"/>
  <c r="K62" i="4"/>
  <c r="K68" i="4"/>
  <c r="K74" i="4"/>
  <c r="K80" i="4"/>
  <c r="K86" i="4"/>
  <c r="K92" i="4"/>
  <c r="K98" i="4"/>
  <c r="N98" i="4" s="1"/>
  <c r="P14" i="4" a="1"/>
  <c r="P20" i="4" a="1"/>
  <c r="P26" i="4" a="1"/>
  <c r="P32" i="4" a="1"/>
  <c r="P38" i="4" a="1"/>
  <c r="P44" i="4" a="1"/>
  <c r="P50" i="4" a="1"/>
  <c r="P56" i="4" a="1"/>
  <c r="P62" i="4" a="1"/>
  <c r="P68" i="4" a="1"/>
  <c r="P74" i="4" a="1"/>
  <c r="P80" i="4" a="1"/>
  <c r="P86" i="4" a="1"/>
  <c r="P92" i="4" a="1"/>
  <c r="P98" i="4" a="1"/>
  <c r="K9" i="4"/>
  <c r="K15" i="4"/>
  <c r="K21" i="4"/>
  <c r="K27" i="4"/>
  <c r="K33" i="4"/>
  <c r="K39" i="4"/>
  <c r="K45" i="4"/>
  <c r="K51" i="4"/>
  <c r="K57" i="4"/>
  <c r="K63" i="4"/>
  <c r="K69" i="4"/>
  <c r="K75" i="4"/>
  <c r="K81" i="4"/>
  <c r="K87" i="4"/>
  <c r="K93" i="4"/>
  <c r="N93" i="4" s="1"/>
  <c r="K99" i="4"/>
  <c r="N99" i="4" s="1"/>
  <c r="P15" i="4" a="1"/>
  <c r="P21" i="4" a="1"/>
  <c r="P27" i="4" a="1"/>
  <c r="P33" i="4" a="1"/>
  <c r="P39" i="4" a="1"/>
  <c r="P45" i="4" a="1"/>
  <c r="P51" i="4" a="1"/>
  <c r="P57" i="4" a="1"/>
  <c r="P63" i="4" a="1"/>
  <c r="P69" i="4" a="1"/>
  <c r="P75" i="4" a="1"/>
  <c r="P81" i="4" a="1"/>
  <c r="P87" i="4" a="1"/>
  <c r="P93" i="4" a="1"/>
  <c r="P99" i="4" a="1"/>
  <c r="I630" i="8"/>
  <c r="I380" i="8"/>
  <c r="I291" i="8"/>
  <c r="I456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307" i="8"/>
  <c r="I516" i="8"/>
  <c r="I382" i="8"/>
  <c r="I284" i="8"/>
  <c r="I403" i="8"/>
  <c r="I596" i="8"/>
  <c r="I464" i="8"/>
  <c r="I412" i="8"/>
  <c r="I315" i="8"/>
  <c r="I448" i="8"/>
  <c r="I428" i="8"/>
  <c r="I605" i="8"/>
  <c r="I549" i="8"/>
  <c r="P9" i="4" a="1"/>
  <c r="P10" i="4" a="1"/>
  <c r="I299" i="8"/>
  <c r="I504" i="8"/>
  <c r="I496" i="8"/>
  <c r="I480" i="8"/>
  <c r="I435" i="8"/>
  <c r="I339" i="8"/>
  <c r="I604" i="8"/>
  <c r="I588" i="8"/>
  <c r="I399" i="8"/>
  <c r="I511" i="8"/>
  <c r="I447" i="8"/>
  <c r="I349" i="8"/>
  <c r="I381" i="8"/>
  <c r="I314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539" i="8"/>
  <c r="I573" i="8"/>
  <c r="I569" i="8"/>
  <c r="I583" i="8"/>
  <c r="I615" i="8"/>
  <c r="I442" i="8"/>
  <c r="R35" i="4"/>
  <c r="S35" i="4" s="1" a="1"/>
  <c r="U35" i="4" s="1" a="1"/>
  <c r="R39" i="4"/>
  <c r="S39" i="4" s="1" a="1"/>
  <c r="U39" i="4" s="1" a="1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36" i="4"/>
  <c r="S36" i="4" s="1" a="1"/>
  <c r="U36" i="4" s="1" a="1"/>
  <c r="R40" i="4"/>
  <c r="S40" i="4" s="1" a="1"/>
  <c r="U40" i="4" s="1" a="1"/>
  <c r="R44" i="4"/>
  <c r="R48" i="4"/>
  <c r="R52" i="4"/>
  <c r="R56" i="4"/>
  <c r="R60" i="4"/>
  <c r="R64" i="4"/>
  <c r="R68" i="4"/>
  <c r="R72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R144" i="4"/>
  <c r="R148" i="4"/>
  <c r="R38" i="4"/>
  <c r="S38" i="4" s="1" a="1"/>
  <c r="U38" i="4" s="1" a="1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49" i="4"/>
  <c r="D89" i="4"/>
  <c r="E89" i="4" s="1"/>
  <c r="D93" i="4"/>
  <c r="E93" i="4" s="1"/>
  <c r="D97" i="4"/>
  <c r="E97" i="4" s="1"/>
  <c r="D101" i="4"/>
  <c r="E101" i="4" s="1"/>
  <c r="D105" i="4"/>
  <c r="E105" i="4" s="1"/>
  <c r="D109" i="4"/>
  <c r="E109" i="4" s="1"/>
  <c r="D113" i="4"/>
  <c r="E113" i="4" s="1"/>
  <c r="D117" i="4"/>
  <c r="E117" i="4" s="1"/>
  <c r="D121" i="4"/>
  <c r="E121" i="4" s="1"/>
  <c r="D125" i="4"/>
  <c r="E125" i="4" s="1"/>
  <c r="D129" i="4"/>
  <c r="E129" i="4" s="1"/>
  <c r="D133" i="4"/>
  <c r="E133" i="4" s="1"/>
  <c r="D137" i="4"/>
  <c r="E137" i="4" s="1"/>
  <c r="D141" i="4"/>
  <c r="E141" i="4" s="1"/>
  <c r="D145" i="4"/>
  <c r="E145" i="4" s="1"/>
  <c r="D149" i="4"/>
  <c r="E149" i="4" s="1"/>
  <c r="R41" i="4"/>
  <c r="S41" i="4" s="1" a="1"/>
  <c r="U41" i="4" s="1" a="1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0" i="4"/>
  <c r="D90" i="4"/>
  <c r="E90" i="4" s="1"/>
  <c r="D94" i="4"/>
  <c r="E94" i="4" s="1"/>
  <c r="D98" i="4"/>
  <c r="E98" i="4" s="1"/>
  <c r="D102" i="4"/>
  <c r="E102" i="4" s="1"/>
  <c r="D106" i="4"/>
  <c r="E106" i="4" s="1"/>
  <c r="D110" i="4"/>
  <c r="E110" i="4" s="1"/>
  <c r="D114" i="4"/>
  <c r="E114" i="4" s="1"/>
  <c r="D118" i="4"/>
  <c r="E118" i="4" s="1"/>
  <c r="D122" i="4"/>
  <c r="E122" i="4" s="1"/>
  <c r="D126" i="4"/>
  <c r="E126" i="4" s="1"/>
  <c r="D130" i="4"/>
  <c r="E130" i="4" s="1"/>
  <c r="D134" i="4"/>
  <c r="E134" i="4" s="1"/>
  <c r="D138" i="4"/>
  <c r="E138" i="4" s="1"/>
  <c r="D142" i="4"/>
  <c r="E142" i="4" s="1"/>
  <c r="D146" i="4"/>
  <c r="E146" i="4" s="1"/>
  <c r="D150" i="4"/>
  <c r="E150" i="4" s="1"/>
  <c r="R34" i="4"/>
  <c r="S34" i="4" s="1" a="1"/>
  <c r="U34" i="4" s="1" a="1"/>
  <c r="R42" i="4"/>
  <c r="S42" i="4" s="1" a="1"/>
  <c r="U42" i="4" s="1" a="1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1" i="4"/>
  <c r="D91" i="4"/>
  <c r="E91" i="4" s="1"/>
  <c r="D95" i="4"/>
  <c r="E95" i="4" s="1"/>
  <c r="D99" i="4"/>
  <c r="E99" i="4" s="1"/>
  <c r="D103" i="4"/>
  <c r="E103" i="4" s="1"/>
  <c r="D107" i="4"/>
  <c r="E107" i="4" s="1"/>
  <c r="D111" i="4"/>
  <c r="E111" i="4" s="1"/>
  <c r="D115" i="4"/>
  <c r="E115" i="4" s="1"/>
  <c r="D119" i="4"/>
  <c r="E119" i="4" s="1"/>
  <c r="D123" i="4"/>
  <c r="E123" i="4" s="1"/>
  <c r="D127" i="4"/>
  <c r="E127" i="4" s="1"/>
  <c r="D131" i="4"/>
  <c r="E131" i="4" s="1"/>
  <c r="D135" i="4"/>
  <c r="E135" i="4" s="1"/>
  <c r="D139" i="4"/>
  <c r="E139" i="4" s="1"/>
  <c r="D143" i="4"/>
  <c r="E143" i="4" s="1"/>
  <c r="D147" i="4"/>
  <c r="E147" i="4" s="1"/>
  <c r="D151" i="4"/>
  <c r="E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R37" i="4"/>
  <c r="S37" i="4" s="1" a="1"/>
  <c r="U37" i="4" s="1" a="1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7" i="4"/>
  <c r="D92" i="4"/>
  <c r="E92" i="4" s="1"/>
  <c r="D96" i="4"/>
  <c r="E96" i="4" s="1"/>
  <c r="D100" i="4"/>
  <c r="E100" i="4" s="1"/>
  <c r="D104" i="4"/>
  <c r="E104" i="4" s="1"/>
  <c r="D108" i="4"/>
  <c r="E108" i="4" s="1"/>
  <c r="D112" i="4"/>
  <c r="E112" i="4" s="1"/>
  <c r="D116" i="4"/>
  <c r="E116" i="4" s="1"/>
  <c r="D120" i="4"/>
  <c r="E120" i="4" s="1"/>
  <c r="D124" i="4"/>
  <c r="E124" i="4" s="1"/>
  <c r="D128" i="4"/>
  <c r="E128" i="4" s="1"/>
  <c r="D132" i="4"/>
  <c r="E132" i="4" s="1"/>
  <c r="D136" i="4"/>
  <c r="E136" i="4" s="1"/>
  <c r="D140" i="4"/>
  <c r="E140" i="4" s="1"/>
  <c r="D144" i="4"/>
  <c r="E144" i="4" s="1"/>
  <c r="D148" i="4"/>
  <c r="E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F91" i="4"/>
  <c r="G91" i="4" s="1"/>
  <c r="F94" i="4"/>
  <c r="G94" i="4" s="1"/>
  <c r="F97" i="4"/>
  <c r="G97" i="4" s="1"/>
  <c r="F102" i="4"/>
  <c r="G102" i="4" s="1"/>
  <c r="F105" i="4"/>
  <c r="G105" i="4" s="1"/>
  <c r="F108" i="4"/>
  <c r="G108" i="4" s="1"/>
  <c r="F111" i="4"/>
  <c r="G111" i="4" s="1"/>
  <c r="F116" i="4"/>
  <c r="G116" i="4" s="1"/>
  <c r="F119" i="4"/>
  <c r="G119" i="4" s="1"/>
  <c r="F124" i="4"/>
  <c r="G124" i="4" s="1"/>
  <c r="F127" i="4"/>
  <c r="G127" i="4" s="1"/>
  <c r="F132" i="4"/>
  <c r="G132" i="4" s="1"/>
  <c r="F135" i="4"/>
  <c r="G135" i="4" s="1"/>
  <c r="F140" i="4"/>
  <c r="G140" i="4" s="1"/>
  <c r="F143" i="4"/>
  <c r="G143" i="4" s="1"/>
  <c r="F148" i="4"/>
  <c r="G148" i="4" s="1"/>
  <c r="F151" i="4"/>
  <c r="G151" i="4" s="1"/>
  <c r="A127" i="8"/>
  <c r="B127" i="8" s="1"/>
  <c r="A149" i="8"/>
  <c r="B149" i="8" s="1"/>
  <c r="F89" i="4"/>
  <c r="G89" i="4" s="1"/>
  <c r="F92" i="4"/>
  <c r="G92" i="4" s="1"/>
  <c r="F95" i="4"/>
  <c r="G95" i="4" s="1"/>
  <c r="F99" i="4"/>
  <c r="G99" i="4" s="1"/>
  <c r="F101" i="4"/>
  <c r="G101" i="4" s="1"/>
  <c r="F104" i="4"/>
  <c r="G104" i="4" s="1"/>
  <c r="F110" i="4"/>
  <c r="G110" i="4" s="1"/>
  <c r="F113" i="4"/>
  <c r="G113" i="4" s="1"/>
  <c r="F118" i="4"/>
  <c r="G118" i="4" s="1"/>
  <c r="F121" i="4"/>
  <c r="G121" i="4" s="1"/>
  <c r="F126" i="4"/>
  <c r="G126" i="4" s="1"/>
  <c r="F129" i="4"/>
  <c r="G129" i="4" s="1"/>
  <c r="F134" i="4"/>
  <c r="G134" i="4" s="1"/>
  <c r="F137" i="4"/>
  <c r="G137" i="4" s="1"/>
  <c r="F142" i="4"/>
  <c r="G142" i="4" s="1"/>
  <c r="F145" i="4"/>
  <c r="G145" i="4" s="1"/>
  <c r="F150" i="4"/>
  <c r="G150" i="4" s="1"/>
  <c r="A130" i="8"/>
  <c r="B130" i="8" s="1"/>
  <c r="A142" i="8"/>
  <c r="B142" i="8" s="1"/>
  <c r="A146" i="8"/>
  <c r="B146" i="8" s="1"/>
  <c r="A151" i="8"/>
  <c r="B151" i="8" s="1"/>
  <c r="F93" i="4"/>
  <c r="G93" i="4" s="1"/>
  <c r="F96" i="4"/>
  <c r="G96" i="4" s="1"/>
  <c r="F107" i="4"/>
  <c r="G107" i="4" s="1"/>
  <c r="F109" i="4"/>
  <c r="G109" i="4" s="1"/>
  <c r="F112" i="4"/>
  <c r="G112" i="4" s="1"/>
  <c r="F115" i="4"/>
  <c r="G115" i="4" s="1"/>
  <c r="F117" i="4"/>
  <c r="G117" i="4" s="1"/>
  <c r="F120" i="4"/>
  <c r="G120" i="4" s="1"/>
  <c r="F123" i="4"/>
  <c r="G123" i="4" s="1"/>
  <c r="F125" i="4"/>
  <c r="G125" i="4" s="1"/>
  <c r="F128" i="4"/>
  <c r="G128" i="4" s="1"/>
  <c r="F131" i="4"/>
  <c r="G131" i="4" s="1"/>
  <c r="F133" i="4"/>
  <c r="G133" i="4" s="1"/>
  <c r="F136" i="4"/>
  <c r="G136" i="4" s="1"/>
  <c r="F139" i="4"/>
  <c r="G139" i="4" s="1"/>
  <c r="F141" i="4"/>
  <c r="G141" i="4" s="1"/>
  <c r="F144" i="4"/>
  <c r="G144" i="4" s="1"/>
  <c r="F147" i="4"/>
  <c r="G147" i="4" s="1"/>
  <c r="F149" i="4"/>
  <c r="G149" i="4" s="1"/>
  <c r="R26" i="4"/>
  <c r="S26" i="4" s="1" a="1"/>
  <c r="U26" i="4" s="1" a="1"/>
  <c r="R30" i="4"/>
  <c r="S30" i="4" s="1" a="1"/>
  <c r="U30" i="4" s="1" a="1"/>
  <c r="W29" i="4" a="1"/>
  <c r="W33" i="4" a="1"/>
  <c r="W37" i="4" a="1"/>
  <c r="W41" i="4" a="1"/>
  <c r="W45" i="4" a="1"/>
  <c r="W49" i="4" a="1"/>
  <c r="W53" i="4" a="1"/>
  <c r="W57" i="4" a="1"/>
  <c r="W61" i="4" a="1"/>
  <c r="W65" i="4" a="1"/>
  <c r="W69" i="4" a="1"/>
  <c r="W73" i="4" a="1"/>
  <c r="W77" i="4" a="1"/>
  <c r="W81" i="4" a="1"/>
  <c r="W85" i="4" a="1"/>
  <c r="W89" i="4" a="1"/>
  <c r="W93" i="4" a="1"/>
  <c r="W97" i="4" a="1"/>
  <c r="W101" i="4" a="1"/>
  <c r="W105" i="4" a="1"/>
  <c r="W109" i="4" a="1"/>
  <c r="W113" i="4" a="1"/>
  <c r="W117" i="4" a="1"/>
  <c r="W121" i="4" a="1"/>
  <c r="W125" i="4" a="1"/>
  <c r="W129" i="4" a="1"/>
  <c r="W133" i="4" a="1"/>
  <c r="W137" i="4" a="1"/>
  <c r="A111" i="8"/>
  <c r="B111" i="8" s="1"/>
  <c r="A124" i="8"/>
  <c r="B124" i="8" s="1"/>
  <c r="F90" i="4"/>
  <c r="G90" i="4" s="1"/>
  <c r="F98" i="4"/>
  <c r="G98" i="4" s="1"/>
  <c r="F100" i="4"/>
  <c r="G100" i="4" s="1"/>
  <c r="F103" i="4"/>
  <c r="G103" i="4" s="1"/>
  <c r="F106" i="4"/>
  <c r="G106" i="4" s="1"/>
  <c r="F114" i="4"/>
  <c r="G114" i="4" s="1"/>
  <c r="F122" i="4"/>
  <c r="G122" i="4" s="1"/>
  <c r="F130" i="4"/>
  <c r="G130" i="4" s="1"/>
  <c r="F138" i="4"/>
  <c r="G138" i="4" s="1"/>
  <c r="F146" i="4"/>
  <c r="G146" i="4" s="1"/>
  <c r="R31" i="4"/>
  <c r="S31" i="4" s="1" a="1"/>
  <c r="U31" i="4" s="1" a="1"/>
  <c r="W26" i="4" a="1"/>
  <c r="W31" i="4" a="1"/>
  <c r="W36" i="4" a="1"/>
  <c r="W42" i="4" a="1"/>
  <c r="W47" i="4" a="1"/>
  <c r="W52" i="4" a="1"/>
  <c r="W58" i="4" a="1"/>
  <c r="W63" i="4" a="1"/>
  <c r="W68" i="4" a="1"/>
  <c r="W74" i="4" a="1"/>
  <c r="W79" i="4" a="1"/>
  <c r="W84" i="4" a="1"/>
  <c r="W90" i="4" a="1"/>
  <c r="W95" i="4" a="1"/>
  <c r="W100" i="4" a="1"/>
  <c r="W106" i="4" a="1"/>
  <c r="W111" i="4" a="1"/>
  <c r="W116" i="4" a="1"/>
  <c r="W122" i="4" a="1"/>
  <c r="W127" i="4" a="1"/>
  <c r="W132" i="4" a="1"/>
  <c r="W138" i="4" a="1"/>
  <c r="W142" i="4" a="1"/>
  <c r="W146" i="4" a="1"/>
  <c r="W150" i="4" a="1"/>
  <c r="D43" i="4"/>
  <c r="E43" i="4" s="1"/>
  <c r="L44" i="4"/>
  <c r="M44" i="4" s="1" a="1"/>
  <c r="D46" i="4"/>
  <c r="E46" i="4" s="1"/>
  <c r="L47" i="4"/>
  <c r="M47" i="4" s="1" a="1"/>
  <c r="F48" i="4"/>
  <c r="G48" i="4" s="1"/>
  <c r="L49" i="4"/>
  <c r="M49" i="4" s="1" a="1"/>
  <c r="F50" i="4"/>
  <c r="G50" i="4" s="1"/>
  <c r="L51" i="4"/>
  <c r="M51" i="4" s="1" a="1"/>
  <c r="F52" i="4"/>
  <c r="G52" i="4" s="1"/>
  <c r="L53" i="4"/>
  <c r="M53" i="4" s="1" a="1"/>
  <c r="F54" i="4"/>
  <c r="G54" i="4" s="1"/>
  <c r="L55" i="4"/>
  <c r="M55" i="4" s="1" a="1"/>
  <c r="F56" i="4"/>
  <c r="G56" i="4" s="1"/>
  <c r="L57" i="4"/>
  <c r="M57" i="4" s="1" a="1"/>
  <c r="F58" i="4"/>
  <c r="G58" i="4" s="1"/>
  <c r="L59" i="4"/>
  <c r="M59" i="4" s="1" a="1"/>
  <c r="F60" i="4"/>
  <c r="G60" i="4" s="1"/>
  <c r="L61" i="4"/>
  <c r="M61" i="4" s="1" a="1"/>
  <c r="F62" i="4"/>
  <c r="G62" i="4" s="1"/>
  <c r="L63" i="4"/>
  <c r="M63" i="4" s="1" a="1"/>
  <c r="F64" i="4"/>
  <c r="G64" i="4" s="1"/>
  <c r="L65" i="4"/>
  <c r="M65" i="4" s="1" a="1"/>
  <c r="F66" i="4"/>
  <c r="G66" i="4" s="1"/>
  <c r="L67" i="4"/>
  <c r="M67" i="4" s="1" a="1"/>
  <c r="F68" i="4"/>
  <c r="G68" i="4" s="1"/>
  <c r="L69" i="4"/>
  <c r="M69" i="4" s="1" a="1"/>
  <c r="F70" i="4"/>
  <c r="G70" i="4" s="1"/>
  <c r="L71" i="4"/>
  <c r="M71" i="4" s="1" a="1"/>
  <c r="F72" i="4"/>
  <c r="G72" i="4" s="1"/>
  <c r="L73" i="4"/>
  <c r="M73" i="4" s="1" a="1"/>
  <c r="F74" i="4"/>
  <c r="G74" i="4" s="1"/>
  <c r="L75" i="4"/>
  <c r="M75" i="4" s="1" a="1"/>
  <c r="F76" i="4"/>
  <c r="G76" i="4" s="1"/>
  <c r="L77" i="4"/>
  <c r="M77" i="4" s="1" a="1"/>
  <c r="F78" i="4"/>
  <c r="G78" i="4" s="1"/>
  <c r="L79" i="4"/>
  <c r="M79" i="4" s="1" a="1"/>
  <c r="F80" i="4"/>
  <c r="G80" i="4" s="1"/>
  <c r="L81" i="4"/>
  <c r="M81" i="4" s="1" a="1"/>
  <c r="F82" i="4"/>
  <c r="G82" i="4" s="1"/>
  <c r="L83" i="4"/>
  <c r="M83" i="4" s="1" a="1"/>
  <c r="F84" i="4"/>
  <c r="G84" i="4" s="1"/>
  <c r="L85" i="4"/>
  <c r="M85" i="4" s="1" a="1"/>
  <c r="F86" i="4"/>
  <c r="G86" i="4" s="1"/>
  <c r="L87" i="4"/>
  <c r="M87" i="4" s="1" a="1"/>
  <c r="F88" i="4"/>
  <c r="G88" i="4" s="1"/>
  <c r="L91" i="4"/>
  <c r="M91" i="4" s="1" a="1"/>
  <c r="L95" i="4"/>
  <c r="M95" i="4" s="1" a="1"/>
  <c r="L99" i="4"/>
  <c r="M99" i="4" s="1" a="1"/>
  <c r="L103" i="4"/>
  <c r="M103" i="4" s="1" a="1"/>
  <c r="L107" i="4"/>
  <c r="M107" i="4" s="1" a="1"/>
  <c r="L111" i="4"/>
  <c r="M111" i="4" s="1" a="1"/>
  <c r="L115" i="4"/>
  <c r="M115" i="4" s="1" a="1"/>
  <c r="L119" i="4"/>
  <c r="M119" i="4" s="1" a="1"/>
  <c r="L123" i="4"/>
  <c r="M123" i="4" s="1" a="1"/>
  <c r="L127" i="4"/>
  <c r="M127" i="4" s="1" a="1"/>
  <c r="L131" i="4"/>
  <c r="M131" i="4" s="1" a="1"/>
  <c r="L135" i="4"/>
  <c r="M135" i="4" s="1" a="1"/>
  <c r="R27" i="4"/>
  <c r="S27" i="4" s="1" a="1"/>
  <c r="U27" i="4" s="1" a="1"/>
  <c r="R33" i="4"/>
  <c r="S33" i="4" s="1" a="1"/>
  <c r="W30" i="4" a="1"/>
  <c r="W38" i="4" a="1"/>
  <c r="W44" i="4" a="1"/>
  <c r="W51" i="4" a="1"/>
  <c r="W59" i="4" a="1"/>
  <c r="W66" i="4" a="1"/>
  <c r="W72" i="4" a="1"/>
  <c r="W80" i="4" a="1"/>
  <c r="W87" i="4" a="1"/>
  <c r="W94" i="4" a="1"/>
  <c r="W102" i="4" a="1"/>
  <c r="W108" i="4" a="1"/>
  <c r="W115" i="4" a="1"/>
  <c r="W123" i="4" a="1"/>
  <c r="W130" i="4" a="1"/>
  <c r="W136" i="4" a="1"/>
  <c r="W143" i="4" a="1"/>
  <c r="W148" i="4" a="1"/>
  <c r="R28" i="4"/>
  <c r="W28" i="4" a="1"/>
  <c r="W39" i="4" a="1"/>
  <c r="W48" i="4" a="1"/>
  <c r="W56" i="4" a="1"/>
  <c r="W67" i="4" a="1"/>
  <c r="W76" i="4" a="1"/>
  <c r="W86" i="4" a="1"/>
  <c r="W96" i="4" a="1"/>
  <c r="W104" i="4" a="1"/>
  <c r="W114" i="4" a="1"/>
  <c r="W124" i="4" a="1"/>
  <c r="W134" i="4" a="1"/>
  <c r="W141" i="4" a="1"/>
  <c r="W149" i="4" a="1"/>
  <c r="F43" i="4"/>
  <c r="G43" i="4" s="1"/>
  <c r="F44" i="4"/>
  <c r="G44" i="4" s="1"/>
  <c r="F45" i="4"/>
  <c r="G45" i="4" s="1"/>
  <c r="F46" i="4"/>
  <c r="G46" i="4" s="1"/>
  <c r="F47" i="4"/>
  <c r="G47" i="4" s="1"/>
  <c r="D48" i="4"/>
  <c r="E48" i="4" s="1"/>
  <c r="D49" i="4"/>
  <c r="E49" i="4" s="1"/>
  <c r="L52" i="4"/>
  <c r="M52" i="4" s="1" a="1"/>
  <c r="F55" i="4"/>
  <c r="G55" i="4" s="1"/>
  <c r="D56" i="4"/>
  <c r="E56" i="4" s="1"/>
  <c r="D57" i="4"/>
  <c r="E57" i="4" s="1"/>
  <c r="L60" i="4"/>
  <c r="M60" i="4" s="1" a="1"/>
  <c r="F63" i="4"/>
  <c r="G63" i="4" s="1"/>
  <c r="D64" i="4"/>
  <c r="E64" i="4" s="1"/>
  <c r="D65" i="4"/>
  <c r="E65" i="4" s="1"/>
  <c r="R29" i="4"/>
  <c r="W34" i="4" a="1"/>
  <c r="W46" i="4" a="1"/>
  <c r="W60" i="4" a="1"/>
  <c r="W71" i="4" a="1"/>
  <c r="W83" i="4" a="1"/>
  <c r="W98" i="4" a="1"/>
  <c r="W110" i="4" a="1"/>
  <c r="W120" i="4" a="1"/>
  <c r="W135" i="4" a="1"/>
  <c r="W145" i="4" a="1"/>
  <c r="D66" i="4"/>
  <c r="E66" i="4" s="1"/>
  <c r="D85" i="4"/>
  <c r="E85" i="4" s="1"/>
  <c r="L116" i="4"/>
  <c r="M116" i="4" s="1" a="1"/>
  <c r="L125" i="4"/>
  <c r="M125" i="4" s="1" a="1"/>
  <c r="L134" i="4"/>
  <c r="M134" i="4" s="1" a="1"/>
  <c r="L140" i="4"/>
  <c r="M140" i="4" s="1" a="1"/>
  <c r="R32" i="4"/>
  <c r="S32" i="4" s="1" a="1"/>
  <c r="U32" i="4" s="1" a="1"/>
  <c r="W35" i="4" a="1"/>
  <c r="W50" i="4" a="1"/>
  <c r="W62" i="4" a="1"/>
  <c r="W75" i="4" a="1"/>
  <c r="W88" i="4" a="1"/>
  <c r="W99" i="4" a="1"/>
  <c r="W112" i="4" a="1"/>
  <c r="W126" i="4" a="1"/>
  <c r="W139" i="4" a="1"/>
  <c r="W147" i="4" a="1"/>
  <c r="L48" i="4"/>
  <c r="M48" i="4" s="1" a="1"/>
  <c r="D51" i="4"/>
  <c r="E51" i="4" s="1"/>
  <c r="D52" i="4"/>
  <c r="E52" i="4" s="1"/>
  <c r="F53" i="4"/>
  <c r="G53" i="4" s="1"/>
  <c r="L54" i="4"/>
  <c r="M54" i="4" s="1" a="1"/>
  <c r="D58" i="4"/>
  <c r="E58" i="4" s="1"/>
  <c r="F59" i="4"/>
  <c r="G59" i="4" s="1"/>
  <c r="F65" i="4"/>
  <c r="G65" i="4" s="1"/>
  <c r="F69" i="4"/>
  <c r="G69" i="4" s="1"/>
  <c r="D70" i="4"/>
  <c r="E70" i="4" s="1"/>
  <c r="D71" i="4"/>
  <c r="E71" i="4" s="1"/>
  <c r="L74" i="4"/>
  <c r="M74" i="4" s="1" a="1"/>
  <c r="F77" i="4"/>
  <c r="G77" i="4" s="1"/>
  <c r="D78" i="4"/>
  <c r="E78" i="4" s="1"/>
  <c r="D79" i="4"/>
  <c r="E79" i="4" s="1"/>
  <c r="L82" i="4"/>
  <c r="M82" i="4" s="1" a="1"/>
  <c r="F85" i="4"/>
  <c r="G85" i="4" s="1"/>
  <c r="D86" i="4"/>
  <c r="E86" i="4" s="1"/>
  <c r="D87" i="4"/>
  <c r="E87" i="4" s="1"/>
  <c r="L90" i="4"/>
  <c r="M90" i="4" s="1" a="1"/>
  <c r="L97" i="4"/>
  <c r="M97" i="4" s="1" a="1"/>
  <c r="L104" i="4"/>
  <c r="M104" i="4" s="1" a="1"/>
  <c r="L106" i="4"/>
  <c r="M106" i="4" s="1" a="1"/>
  <c r="L113" i="4"/>
  <c r="M113" i="4" s="1" a="1"/>
  <c r="L120" i="4"/>
  <c r="M120" i="4" s="1" a="1"/>
  <c r="L122" i="4"/>
  <c r="M122" i="4" s="1" a="1"/>
  <c r="L129" i="4"/>
  <c r="M129" i="4" s="1" a="1"/>
  <c r="L136" i="4"/>
  <c r="M136" i="4" s="1" a="1"/>
  <c r="L139" i="4"/>
  <c r="M139" i="4" s="1" a="1"/>
  <c r="L143" i="4"/>
  <c r="M143" i="4" s="1" a="1"/>
  <c r="L147" i="4"/>
  <c r="M147" i="4" s="1" a="1"/>
  <c r="L151" i="4"/>
  <c r="M151" i="4" s="1" a="1"/>
  <c r="W27" i="4" a="1"/>
  <c r="W40" i="4" a="1"/>
  <c r="W54" i="4" a="1"/>
  <c r="W64" i="4" a="1"/>
  <c r="W78" i="4" a="1"/>
  <c r="W91" i="4" a="1"/>
  <c r="W103" i="4" a="1"/>
  <c r="W118" i="4" a="1"/>
  <c r="W128" i="4" a="1"/>
  <c r="W140" i="4" a="1"/>
  <c r="W151" i="4" a="1"/>
  <c r="L43" i="4"/>
  <c r="M43" i="4" s="1" a="1"/>
  <c r="D45" i="4"/>
  <c r="E45" i="4" s="1"/>
  <c r="D50" i="4"/>
  <c r="E50" i="4" s="1"/>
  <c r="F51" i="4"/>
  <c r="G51" i="4" s="1"/>
  <c r="F57" i="4"/>
  <c r="G57" i="4" s="1"/>
  <c r="D63" i="4"/>
  <c r="E63" i="4" s="1"/>
  <c r="L66" i="4"/>
  <c r="M66" i="4" s="1" a="1"/>
  <c r="L68" i="4"/>
  <c r="M68" i="4" s="1" a="1"/>
  <c r="F71" i="4"/>
  <c r="G71" i="4" s="1"/>
  <c r="D72" i="4"/>
  <c r="E72" i="4" s="1"/>
  <c r="D73" i="4"/>
  <c r="E73" i="4" s="1"/>
  <c r="L76" i="4"/>
  <c r="M76" i="4" s="1" a="1"/>
  <c r="F79" i="4"/>
  <c r="G79" i="4" s="1"/>
  <c r="D80" i="4"/>
  <c r="E80" i="4" s="1"/>
  <c r="D81" i="4"/>
  <c r="E81" i="4" s="1"/>
  <c r="L84" i="4"/>
  <c r="M84" i="4" s="1" a="1"/>
  <c r="F87" i="4"/>
  <c r="G87" i="4" s="1"/>
  <c r="D88" i="4"/>
  <c r="E88" i="4" s="1"/>
  <c r="L92" i="4"/>
  <c r="M92" i="4" s="1" a="1"/>
  <c r="L94" i="4"/>
  <c r="M94" i="4" s="1" a="1"/>
  <c r="L101" i="4"/>
  <c r="M101" i="4" s="1" a="1"/>
  <c r="L108" i="4"/>
  <c r="M108" i="4" s="1" a="1"/>
  <c r="L110" i="4"/>
  <c r="M110" i="4" s="1" a="1"/>
  <c r="L117" i="4"/>
  <c r="M117" i="4" s="1" a="1"/>
  <c r="L124" i="4"/>
  <c r="M124" i="4" s="1" a="1"/>
  <c r="L126" i="4"/>
  <c r="M126" i="4" s="1" a="1"/>
  <c r="L133" i="4"/>
  <c r="M133" i="4" s="1" a="1"/>
  <c r="L138" i="4"/>
  <c r="M138" i="4" s="1" a="1"/>
  <c r="L142" i="4"/>
  <c r="M142" i="4" s="1" a="1"/>
  <c r="L146" i="4"/>
  <c r="M146" i="4" s="1" a="1"/>
  <c r="L150" i="4"/>
  <c r="M150" i="4" s="1" a="1"/>
  <c r="W43" i="4" a="1"/>
  <c r="W55" i="4" a="1"/>
  <c r="W82" i="4" a="1"/>
  <c r="W107" i="4" a="1"/>
  <c r="W131" i="4" a="1"/>
  <c r="W144" i="4" a="1"/>
  <c r="D44" i="4"/>
  <c r="E44" i="4" s="1"/>
  <c r="L46" i="4"/>
  <c r="M46" i="4" s="1" a="1"/>
  <c r="L58" i="4"/>
  <c r="M58" i="4" s="1" a="1"/>
  <c r="D61" i="4"/>
  <c r="E61" i="4" s="1"/>
  <c r="D62" i="4"/>
  <c r="E62" i="4" s="1"/>
  <c r="L64" i="4"/>
  <c r="M64" i="4" s="1" a="1"/>
  <c r="L70" i="4"/>
  <c r="M70" i="4" s="1" a="1"/>
  <c r="D74" i="4"/>
  <c r="E74" i="4" s="1"/>
  <c r="F81" i="4"/>
  <c r="G81" i="4" s="1"/>
  <c r="D83" i="4"/>
  <c r="E83" i="4" s="1"/>
  <c r="L86" i="4"/>
  <c r="M86" i="4" s="1" a="1"/>
  <c r="L98" i="4"/>
  <c r="M98" i="4" s="1" a="1"/>
  <c r="L141" i="4"/>
  <c r="M141" i="4" s="1" a="1"/>
  <c r="L145" i="4"/>
  <c r="M145" i="4" s="1" a="1"/>
  <c r="D47" i="4"/>
  <c r="E47" i="4" s="1"/>
  <c r="L50" i="4"/>
  <c r="M50" i="4" s="1" a="1"/>
  <c r="D53" i="4"/>
  <c r="E53" i="4" s="1"/>
  <c r="D60" i="4"/>
  <c r="E60" i="4" s="1"/>
  <c r="L62" i="4"/>
  <c r="M62" i="4" s="1" a="1"/>
  <c r="D68" i="4"/>
  <c r="E68" i="4" s="1"/>
  <c r="L72" i="4"/>
  <c r="M72" i="4" s="1" a="1"/>
  <c r="D76" i="4"/>
  <c r="E76" i="4" s="1"/>
  <c r="L80" i="4"/>
  <c r="M80" i="4" s="1" a="1"/>
  <c r="F83" i="4"/>
  <c r="G83" i="4" s="1"/>
  <c r="L88" i="4"/>
  <c r="M88" i="4" s="1" a="1"/>
  <c r="L93" i="4"/>
  <c r="M93" i="4" s="1" a="1"/>
  <c r="L102" i="4"/>
  <c r="M102" i="4" s="1" a="1"/>
  <c r="L118" i="4"/>
  <c r="M118" i="4" s="1" a="1"/>
  <c r="W32" i="4" a="1"/>
  <c r="W70" i="4" a="1"/>
  <c r="W92" i="4" a="1"/>
  <c r="W119" i="4" a="1"/>
  <c r="L45" i="4"/>
  <c r="M45" i="4" s="1" a="1"/>
  <c r="F49" i="4"/>
  <c r="G49" i="4" s="1"/>
  <c r="D55" i="4"/>
  <c r="E55" i="4" s="1"/>
  <c r="D67" i="4"/>
  <c r="E67" i="4" s="1"/>
  <c r="F73" i="4"/>
  <c r="G73" i="4" s="1"/>
  <c r="D75" i="4"/>
  <c r="E75" i="4" s="1"/>
  <c r="L78" i="4"/>
  <c r="M78" i="4" s="1" a="1"/>
  <c r="D82" i="4"/>
  <c r="E82" i="4" s="1"/>
  <c r="L89" i="4"/>
  <c r="M89" i="4" s="1" a="1"/>
  <c r="L96" i="4"/>
  <c r="M96" i="4" s="1" a="1"/>
  <c r="L105" i="4"/>
  <c r="M105" i="4" s="1" a="1"/>
  <c r="L112" i="4"/>
  <c r="M112" i="4" s="1" a="1"/>
  <c r="L114" i="4"/>
  <c r="M114" i="4" s="1" a="1"/>
  <c r="L121" i="4"/>
  <c r="M121" i="4" s="1" a="1"/>
  <c r="L128" i="4"/>
  <c r="M128" i="4" s="1" a="1"/>
  <c r="L130" i="4"/>
  <c r="M130" i="4" s="1" a="1"/>
  <c r="L137" i="4"/>
  <c r="M137" i="4" s="1" a="1"/>
  <c r="L149" i="4"/>
  <c r="M149" i="4" s="1" a="1"/>
  <c r="D54" i="4"/>
  <c r="E54" i="4" s="1"/>
  <c r="L56" i="4"/>
  <c r="M56" i="4" s="1" a="1"/>
  <c r="D59" i="4"/>
  <c r="E59" i="4" s="1"/>
  <c r="F61" i="4"/>
  <c r="G61" i="4" s="1"/>
  <c r="F67" i="4"/>
  <c r="G67" i="4" s="1"/>
  <c r="D69" i="4"/>
  <c r="E69" i="4" s="1"/>
  <c r="F75" i="4"/>
  <c r="G75" i="4" s="1"/>
  <c r="D77" i="4"/>
  <c r="E77" i="4" s="1"/>
  <c r="D84" i="4"/>
  <c r="E84" i="4" s="1"/>
  <c r="L100" i="4"/>
  <c r="M100" i="4" s="1" a="1"/>
  <c r="L109" i="4"/>
  <c r="M109" i="4" s="1" a="1"/>
  <c r="L132" i="4"/>
  <c r="M132" i="4" s="1" a="1"/>
  <c r="L144" i="4"/>
  <c r="M144" i="4" s="1" a="1"/>
  <c r="L148" i="4"/>
  <c r="M148" i="4" s="1" a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AA34" i="6"/>
  <c r="E35" i="6"/>
  <c r="I39" i="6"/>
  <c r="E41" i="6"/>
  <c r="I43" i="6"/>
  <c r="E44" i="6"/>
  <c r="I44" i="6"/>
  <c r="I36" i="6"/>
  <c r="I41" i="6"/>
  <c r="I40" i="6"/>
  <c r="E37" i="6"/>
  <c r="S42" i="6"/>
  <c r="S38" i="6"/>
  <c r="I37" i="6"/>
  <c r="E38" i="6"/>
  <c r="AA38" i="6"/>
  <c r="R13" i="4"/>
  <c r="S13" i="4" s="1" a="1"/>
  <c r="U13" i="4" s="1" a="1"/>
  <c r="R19" i="4"/>
  <c r="R25" i="4"/>
  <c r="W12" i="4" a="1"/>
  <c r="W18" i="4" a="1"/>
  <c r="W24" i="4" a="1"/>
  <c r="R14" i="4"/>
  <c r="R20" i="4"/>
  <c r="W13" i="4" a="1"/>
  <c r="W19" i="4" a="1"/>
  <c r="W25" i="4" a="1"/>
  <c r="R9" i="4"/>
  <c r="S9" i="4" s="1" a="1"/>
  <c r="U9" i="4" s="1" a="1"/>
  <c r="R15" i="4"/>
  <c r="S15" i="4" s="1" a="1"/>
  <c r="U15" i="4" s="1" a="1"/>
  <c r="R21" i="4"/>
  <c r="S21" i="4" s="1" a="1"/>
  <c r="W14" i="4" a="1"/>
  <c r="W20" i="4" a="1"/>
  <c r="R10" i="4"/>
  <c r="R16" i="4"/>
  <c r="R22" i="4"/>
  <c r="S22" i="4" s="1" a="1"/>
  <c r="U22" i="4" s="1" a="1"/>
  <c r="W9" i="4" a="1"/>
  <c r="W15" i="4" a="1"/>
  <c r="W21" i="4" a="1"/>
  <c r="R11" i="4"/>
  <c r="R17" i="4"/>
  <c r="S17" i="4" s="1" a="1"/>
  <c r="U17" i="4" s="1" a="1"/>
  <c r="R23" i="4"/>
  <c r="W10" i="4" a="1"/>
  <c r="W16" i="4" a="1"/>
  <c r="W22" i="4" a="1"/>
  <c r="R12" i="4"/>
  <c r="S12" i="4" s="1" a="1"/>
  <c r="U12" i="4" s="1" a="1"/>
  <c r="R18" i="4"/>
  <c r="R24" i="4"/>
  <c r="W11" i="4" a="1"/>
  <c r="W17" i="4" a="1"/>
  <c r="W23" i="4" a="1"/>
  <c r="AA6" i="6"/>
  <c r="AA7" i="6"/>
  <c r="AA5" i="6"/>
  <c r="AA2" i="6"/>
  <c r="AA8" i="6"/>
  <c r="AA3" i="6"/>
  <c r="AA4" i="6"/>
  <c r="I8" i="6"/>
  <c r="G7" i="6"/>
  <c r="S7" i="6"/>
  <c r="S10" i="6"/>
  <c r="H5" i="6"/>
  <c r="I5" i="6"/>
  <c r="G12" i="6"/>
  <c r="I12" i="6"/>
  <c r="H10" i="6"/>
  <c r="G10" i="6"/>
  <c r="S16" i="6"/>
  <c r="S14" i="6"/>
  <c r="G13" i="6"/>
  <c r="I13" i="6"/>
  <c r="G11" i="6"/>
  <c r="I11" i="6"/>
  <c r="I16" i="6"/>
  <c r="H8" i="6"/>
  <c r="H7" i="6"/>
  <c r="G4" i="6"/>
  <c r="S3" i="6"/>
  <c r="S8" i="6"/>
  <c r="S5" i="6"/>
  <c r="L9" i="4"/>
  <c r="M9" i="4" s="1" a="1"/>
  <c r="F11" i="4"/>
  <c r="G11" i="4" s="1"/>
  <c r="D10" i="4"/>
  <c r="E10" i="4" s="1"/>
  <c r="L12" i="4"/>
  <c r="M12" i="4" s="1" a="1"/>
  <c r="F13" i="4"/>
  <c r="G13" i="4" s="1"/>
  <c r="D16" i="4"/>
  <c r="E16" i="4" s="1"/>
  <c r="L19" i="4"/>
  <c r="M19" i="4" s="1" a="1"/>
  <c r="L22" i="4"/>
  <c r="M22" i="4" s="1" a="1"/>
  <c r="L25" i="4"/>
  <c r="M25" i="4" s="1" a="1"/>
  <c r="L26" i="4"/>
  <c r="M26" i="4" s="1" a="1"/>
  <c r="D28" i="4"/>
  <c r="E28" i="4" s="1"/>
  <c r="F10" i="4"/>
  <c r="G10" i="4" s="1"/>
  <c r="L11" i="4"/>
  <c r="M11" i="4" s="1" a="1"/>
  <c r="F14" i="4"/>
  <c r="G14" i="4" s="1"/>
  <c r="D9" i="4"/>
  <c r="E9" i="4" s="1"/>
  <c r="L13" i="4"/>
  <c r="M13" i="4" s="1" a="1"/>
  <c r="F15" i="4"/>
  <c r="G15" i="4" s="1"/>
  <c r="F16" i="4"/>
  <c r="G16" i="4" s="1"/>
  <c r="D17" i="4"/>
  <c r="E17" i="4" s="1"/>
  <c r="F24" i="4"/>
  <c r="G24" i="4" s="1"/>
  <c r="D25" i="4"/>
  <c r="E25" i="4" s="1"/>
  <c r="F27" i="4"/>
  <c r="G27" i="4" s="1"/>
  <c r="F28" i="4"/>
  <c r="G28" i="4" s="1"/>
  <c r="D29" i="4"/>
  <c r="E29" i="4" s="1"/>
  <c r="F9" i="4"/>
  <c r="G9" i="4" s="1"/>
  <c r="L10" i="4"/>
  <c r="M10" i="4" s="1" a="1"/>
  <c r="D11" i="4"/>
  <c r="E11" i="4" s="1"/>
  <c r="D12" i="4"/>
  <c r="E12" i="4" s="1"/>
  <c r="D18" i="4"/>
  <c r="E18" i="4" s="1"/>
  <c r="D19" i="4"/>
  <c r="E19" i="4" s="1"/>
  <c r="F12" i="4"/>
  <c r="G12" i="4" s="1"/>
  <c r="D13" i="4"/>
  <c r="E13" i="4" s="1"/>
  <c r="L14" i="4"/>
  <c r="M14" i="4" s="1" a="1"/>
  <c r="L15" i="4"/>
  <c r="M15" i="4" s="1" a="1"/>
  <c r="F17" i="4"/>
  <c r="G17" i="4" s="1"/>
  <c r="F19" i="4"/>
  <c r="G19" i="4" s="1"/>
  <c r="D20" i="4"/>
  <c r="E20" i="4" s="1"/>
  <c r="D21" i="4"/>
  <c r="E21" i="4" s="1"/>
  <c r="F22" i="4"/>
  <c r="G22" i="4" s="1"/>
  <c r="L24" i="4"/>
  <c r="M24" i="4" s="1" a="1"/>
  <c r="F25" i="4"/>
  <c r="G25" i="4" s="1"/>
  <c r="L27" i="4"/>
  <c r="M27" i="4" s="1" a="1"/>
  <c r="F29" i="4"/>
  <c r="G29" i="4" s="1"/>
  <c r="F31" i="4"/>
  <c r="G31" i="4" s="1"/>
  <c r="D32" i="4"/>
  <c r="E32" i="4" s="1"/>
  <c r="D33" i="4"/>
  <c r="E33" i="4" s="1"/>
  <c r="F34" i="4"/>
  <c r="G34" i="4" s="1"/>
  <c r="L39" i="4"/>
  <c r="M39" i="4" s="1" a="1"/>
  <c r="D42" i="4"/>
  <c r="E42" i="4" s="1"/>
  <c r="D14" i="4"/>
  <c r="E14" i="4" s="1"/>
  <c r="F20" i="4"/>
  <c r="G20" i="4" s="1"/>
  <c r="L21" i="4"/>
  <c r="M21" i="4" s="1" a="1"/>
  <c r="F35" i="4"/>
  <c r="G35" i="4" s="1"/>
  <c r="D37" i="4"/>
  <c r="E37" i="4" s="1"/>
  <c r="F38" i="4"/>
  <c r="G38" i="4" s="1"/>
  <c r="D40" i="4"/>
  <c r="E40" i="4" s="1"/>
  <c r="D41" i="4"/>
  <c r="E41" i="4" s="1"/>
  <c r="F42" i="4"/>
  <c r="G42" i="4" s="1"/>
  <c r="L17" i="4"/>
  <c r="M17" i="4" s="1" a="1"/>
  <c r="L20" i="4"/>
  <c r="M20" i="4" s="1" a="1"/>
  <c r="D30" i="4"/>
  <c r="E30" i="4" s="1"/>
  <c r="F32" i="4"/>
  <c r="G32" i="4" s="1"/>
  <c r="L33" i="4"/>
  <c r="M33" i="4" s="1" a="1"/>
  <c r="L35" i="4"/>
  <c r="M35" i="4" s="1" a="1"/>
  <c r="D36" i="4"/>
  <c r="E36" i="4" s="1"/>
  <c r="F41" i="4"/>
  <c r="G41" i="4" s="1"/>
  <c r="L16" i="4"/>
  <c r="M16" i="4" s="1" a="1"/>
  <c r="L29" i="4"/>
  <c r="M29" i="4" s="1" a="1"/>
  <c r="F30" i="4"/>
  <c r="G30" i="4" s="1"/>
  <c r="D34" i="4"/>
  <c r="E34" i="4" s="1"/>
  <c r="F36" i="4"/>
  <c r="G36" i="4" s="1"/>
  <c r="F37" i="4"/>
  <c r="G37" i="4" s="1"/>
  <c r="L38" i="4"/>
  <c r="M38" i="4" s="1" a="1"/>
  <c r="D39" i="4"/>
  <c r="E39" i="4" s="1"/>
  <c r="F40" i="4"/>
  <c r="G40" i="4" s="1"/>
  <c r="L42" i="4"/>
  <c r="M42" i="4" s="1" a="1"/>
  <c r="D15" i="4"/>
  <c r="E15" i="4" s="1"/>
  <c r="D23" i="4"/>
  <c r="E23" i="4" s="1"/>
  <c r="D24" i="4"/>
  <c r="E24" i="4" s="1"/>
  <c r="D26" i="4"/>
  <c r="E26" i="4" s="1"/>
  <c r="D27" i="4"/>
  <c r="E27" i="4" s="1"/>
  <c r="D31" i="4"/>
  <c r="E31" i="4" s="1"/>
  <c r="L32" i="4"/>
  <c r="M32" i="4" s="1" a="1"/>
  <c r="F39" i="4"/>
  <c r="G39" i="4" s="1"/>
  <c r="F18" i="4"/>
  <c r="G18" i="4" s="1"/>
  <c r="D22" i="4"/>
  <c r="E22" i="4" s="1"/>
  <c r="F23" i="4"/>
  <c r="G23" i="4" s="1"/>
  <c r="F26" i="4"/>
  <c r="G26" i="4" s="1"/>
  <c r="L30" i="4"/>
  <c r="M30" i="4" s="1" a="1"/>
  <c r="L34" i="4"/>
  <c r="M34" i="4" s="1" a="1"/>
  <c r="D35" i="4"/>
  <c r="E35" i="4" s="1"/>
  <c r="L36" i="4"/>
  <c r="M36" i="4" s="1" a="1"/>
  <c r="L37" i="4"/>
  <c r="M37" i="4" s="1" a="1"/>
  <c r="D38" i="4"/>
  <c r="E38" i="4" s="1"/>
  <c r="L40" i="4"/>
  <c r="M40" i="4" s="1" a="1"/>
  <c r="L41" i="4"/>
  <c r="M41" i="4" s="1" a="1"/>
  <c r="L18" i="4"/>
  <c r="M18" i="4" s="1" a="1"/>
  <c r="F21" i="4"/>
  <c r="G21" i="4" s="1"/>
  <c r="L23" i="4"/>
  <c r="M23" i="4" s="1" a="1"/>
  <c r="L28" i="4"/>
  <c r="M28" i="4" s="1" a="1"/>
  <c r="L31" i="4"/>
  <c r="M31" i="4" s="1" a="1"/>
  <c r="F33" i="4"/>
  <c r="G33" i="4" s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H3" i="6"/>
  <c r="G3" i="6"/>
  <c r="I3" i="6"/>
  <c r="S6" i="6"/>
  <c r="H6" i="6"/>
  <c r="H9" i="6"/>
  <c r="I4" i="6"/>
  <c r="H2" i="6"/>
  <c r="S2" i="6"/>
  <c r="I2" i="6"/>
  <c r="I9" i="6"/>
  <c r="G9" i="6"/>
  <c r="G6" i="6"/>
  <c r="I6" i="6"/>
  <c r="O5" i="4" l="1"/>
  <c r="O6" i="4"/>
  <c r="O7" i="4"/>
  <c r="O8" i="4"/>
  <c r="O3" i="4"/>
  <c r="R7" i="4"/>
  <c r="S7" i="4" s="1" a="1"/>
  <c r="U7" i="4" s="1" a="1"/>
  <c r="W3" i="4" a="1"/>
  <c r="R8" i="4"/>
  <c r="S8" i="4" s="1" a="1"/>
  <c r="W4" i="4" a="1"/>
  <c r="R3" i="4"/>
  <c r="S3" i="4" s="1" a="1"/>
  <c r="U3" i="4" s="1" a="1"/>
  <c r="W5" i="4" a="1"/>
  <c r="R6" i="4"/>
  <c r="S6" i="4" s="1" a="1"/>
  <c r="W8" i="4" a="1"/>
  <c r="R4" i="4"/>
  <c r="S4" i="4" s="1" a="1"/>
  <c r="U4" i="4" s="1" a="1"/>
  <c r="W6" i="4" a="1"/>
  <c r="R5" i="4"/>
  <c r="W7" i="4" a="1"/>
  <c r="A7" i="4"/>
  <c r="C7" i="4"/>
  <c r="A8" i="4"/>
  <c r="C8" i="4"/>
  <c r="A3" i="4"/>
  <c r="C3" i="4"/>
  <c r="A4" i="4"/>
  <c r="C4" i="4"/>
  <c r="C6" i="4"/>
  <c r="A5" i="4"/>
  <c r="C5" i="4"/>
  <c r="A6" i="4"/>
  <c r="L6" i="4"/>
  <c r="M6" i="4" s="1" a="1"/>
  <c r="L3" i="4"/>
  <c r="M3" i="4" s="1" a="1"/>
  <c r="D4" i="4"/>
  <c r="E4" i="4" s="1"/>
  <c r="L5" i="4"/>
  <c r="M5" i="4" s="1" a="1"/>
  <c r="D7" i="4"/>
  <c r="E7" i="4" s="1"/>
  <c r="F8" i="4"/>
  <c r="G8" i="4" s="1"/>
  <c r="F4" i="4"/>
  <c r="G4" i="4" s="1"/>
  <c r="D6" i="4"/>
  <c r="E6" i="4" s="1"/>
  <c r="F7" i="4"/>
  <c r="G7" i="4" s="1"/>
  <c r="L8" i="4"/>
  <c r="M8" i="4" s="1" a="1"/>
  <c r="D3" i="4"/>
  <c r="E3" i="4" s="1"/>
  <c r="L4" i="4"/>
  <c r="M4" i="4" s="1" a="1"/>
  <c r="D5" i="4"/>
  <c r="E5" i="4" s="1"/>
  <c r="F6" i="4"/>
  <c r="G6" i="4" s="1"/>
  <c r="L7" i="4"/>
  <c r="M7" i="4" s="1" a="1"/>
  <c r="F3" i="4"/>
  <c r="G3" i="4" s="1"/>
  <c r="F5" i="4"/>
  <c r="G5" i="4" s="1"/>
  <c r="D8" i="4"/>
  <c r="E8" i="4" s="1"/>
  <c r="A4" i="8"/>
  <c r="B4" i="8" s="1"/>
  <c r="C4" i="8" s="1"/>
  <c r="A7" i="8"/>
  <c r="B7" i="8" s="1"/>
  <c r="C7" i="8" s="1"/>
  <c r="A8" i="8"/>
  <c r="B8" i="8" s="1"/>
  <c r="C8" i="8" s="1"/>
  <c r="A3" i="8"/>
  <c r="B3" i="8" s="1"/>
  <c r="C3" i="8" s="1"/>
  <c r="A5" i="8"/>
  <c r="B5" i="8" s="1"/>
  <c r="C5" i="8" s="1"/>
  <c r="A6" i="8"/>
  <c r="B6" i="8" s="1"/>
  <c r="C6" i="8" s="1"/>
  <c r="O4" i="4"/>
  <c r="K4" i="4"/>
  <c r="N4" i="4" s="1"/>
  <c r="K5" i="4"/>
  <c r="N5" i="4" s="1"/>
  <c r="K6" i="4"/>
  <c r="K7" i="4"/>
  <c r="N7" i="4" s="1"/>
  <c r="U6" i="4" s="1" a="1"/>
  <c r="K8" i="4"/>
  <c r="N8" i="4" s="1"/>
  <c r="K3" i="4"/>
  <c r="N3" i="4" s="1"/>
  <c r="P3" i="4" a="1"/>
  <c r="Q3" i="4" s="1"/>
  <c r="P4" i="4" a="1"/>
  <c r="Q4" i="4" s="1"/>
  <c r="P7" i="4" a="1"/>
  <c r="Q7" i="4" s="1"/>
  <c r="P6" i="4" a="1"/>
  <c r="Q6" i="4" s="1"/>
  <c r="P5" i="4" a="1"/>
  <c r="Q5" i="4" s="1"/>
  <c r="P8" i="4" a="1"/>
  <c r="Q8" i="4" s="1"/>
  <c r="I202" i="8"/>
  <c r="I251" i="8"/>
  <c r="I259" i="8"/>
  <c r="Q35" i="4"/>
  <c r="Q41" i="4"/>
  <c r="Q71" i="4"/>
  <c r="Q77" i="4"/>
  <c r="I154" i="8"/>
  <c r="I162" i="8"/>
  <c r="I174" i="8"/>
  <c r="I177" i="8"/>
  <c r="I181" i="8"/>
  <c r="I193" i="8"/>
  <c r="I196" i="8"/>
  <c r="I197" i="8"/>
  <c r="I206" i="8"/>
  <c r="I213" i="8"/>
  <c r="I222" i="8"/>
  <c r="I235" i="8"/>
  <c r="I242" i="8"/>
  <c r="I249" i="8"/>
  <c r="I263" i="8"/>
  <c r="I265" i="8"/>
  <c r="I266" i="8"/>
  <c r="I281" i="8"/>
  <c r="I283" i="8"/>
  <c r="I292" i="8"/>
  <c r="I297" i="8"/>
  <c r="I298" i="8"/>
  <c r="I313" i="8"/>
  <c r="I316" i="8"/>
  <c r="I324" i="8"/>
  <c r="I348" i="8"/>
  <c r="I361" i="8"/>
  <c r="I364" i="8"/>
  <c r="I379" i="8"/>
  <c r="I385" i="8"/>
  <c r="I404" i="8"/>
  <c r="I436" i="8"/>
  <c r="I437" i="8"/>
  <c r="I477" i="8"/>
  <c r="I483" i="8"/>
  <c r="I491" i="8"/>
  <c r="I501" i="8"/>
  <c r="I502" i="8"/>
  <c r="I503" i="8"/>
  <c r="I507" i="8"/>
  <c r="I519" i="8"/>
  <c r="I521" i="8"/>
  <c r="I522" i="8"/>
  <c r="I525" i="8"/>
  <c r="I532" i="8"/>
  <c r="I543" i="8"/>
  <c r="I551" i="8"/>
  <c r="I562" i="8"/>
  <c r="I564" i="8"/>
  <c r="I571" i="8"/>
  <c r="I577" i="8"/>
  <c r="I578" i="8"/>
  <c r="I580" i="8"/>
  <c r="I594" i="8"/>
  <c r="I599" i="8"/>
  <c r="I603" i="8"/>
  <c r="I609" i="8"/>
  <c r="I610" i="8"/>
  <c r="I621" i="8"/>
  <c r="I633" i="8"/>
  <c r="I636" i="8"/>
  <c r="I637" i="8"/>
  <c r="I640" i="8"/>
  <c r="I643" i="8"/>
  <c r="I659" i="8"/>
  <c r="Q22" i="4"/>
  <c r="Q52" i="4"/>
  <c r="Q58" i="4"/>
  <c r="Q88" i="4"/>
  <c r="Q94" i="4"/>
  <c r="AA10" i="6"/>
  <c r="AA30" i="6"/>
  <c r="S11" i="6"/>
  <c r="AA11" i="6"/>
  <c r="AA12" i="6"/>
  <c r="S12" i="6"/>
  <c r="AA13" i="6"/>
  <c r="S13" i="6"/>
  <c r="H14" i="6"/>
  <c r="G14" i="6"/>
  <c r="I14" i="6"/>
  <c r="AA15" i="6"/>
  <c r="S15" i="6"/>
  <c r="H15" i="6"/>
  <c r="G15" i="6"/>
  <c r="I15" i="6"/>
  <c r="AA17" i="6"/>
  <c r="S17" i="6"/>
  <c r="G17" i="6"/>
  <c r="I17" i="6"/>
  <c r="H17" i="6"/>
  <c r="G18" i="6"/>
  <c r="H18" i="6"/>
  <c r="I18" i="6"/>
  <c r="S18" i="6"/>
  <c r="AA18" i="6"/>
  <c r="S19" i="6"/>
  <c r="AA19" i="6"/>
  <c r="G19" i="6"/>
  <c r="H19" i="6"/>
  <c r="I19" i="6"/>
  <c r="AA20" i="6"/>
  <c r="S20" i="6"/>
  <c r="G20" i="6"/>
  <c r="H20" i="6"/>
  <c r="I20" i="6"/>
  <c r="AA21" i="6"/>
  <c r="S21" i="6"/>
  <c r="H21" i="6"/>
  <c r="I21" i="6"/>
  <c r="G21" i="6"/>
  <c r="H22" i="6"/>
  <c r="G22" i="6"/>
  <c r="I22" i="6"/>
  <c r="AA22" i="6"/>
  <c r="S22" i="6"/>
  <c r="S23" i="6"/>
  <c r="AA23" i="6"/>
  <c r="H23" i="6"/>
  <c r="G23" i="6"/>
  <c r="I23" i="6"/>
  <c r="G24" i="6"/>
  <c r="H24" i="6"/>
  <c r="I24" i="6"/>
  <c r="S24" i="6"/>
  <c r="AA24" i="6"/>
  <c r="G25" i="6"/>
  <c r="H25" i="6"/>
  <c r="I25" i="6"/>
  <c r="S25" i="6"/>
  <c r="AA25" i="6"/>
  <c r="G26" i="6"/>
  <c r="H26" i="6"/>
  <c r="I26" i="6"/>
  <c r="S26" i="6"/>
  <c r="AA26" i="6"/>
  <c r="I27" i="6"/>
  <c r="G27" i="6"/>
  <c r="H27" i="6"/>
  <c r="AA27" i="6"/>
  <c r="S27" i="6"/>
  <c r="AA28" i="6"/>
  <c r="S28" i="6"/>
  <c r="G28" i="6"/>
  <c r="H28" i="6"/>
  <c r="I28" i="6"/>
  <c r="S29" i="6"/>
  <c r="AA29" i="6"/>
  <c r="H29" i="6"/>
  <c r="I29" i="6"/>
  <c r="G29" i="6"/>
  <c r="H30" i="6"/>
  <c r="I30" i="6"/>
  <c r="G30" i="6"/>
  <c r="S31" i="6"/>
  <c r="AA31" i="6"/>
  <c r="G31" i="6"/>
  <c r="I31" i="6"/>
  <c r="H31" i="6"/>
  <c r="S32" i="6"/>
  <c r="AA32" i="6"/>
  <c r="G32" i="6"/>
  <c r="H32" i="6"/>
  <c r="I32" i="6"/>
  <c r="I33" i="6"/>
  <c r="H33" i="6"/>
  <c r="G33" i="6"/>
  <c r="S33" i="6"/>
  <c r="AA33" i="6"/>
  <c r="I160" i="8"/>
  <c r="I182" i="8"/>
  <c r="I188" i="8"/>
  <c r="I198" i="8"/>
  <c r="I240" i="8"/>
  <c r="I257" i="8"/>
  <c r="I258" i="8"/>
  <c r="I262" i="8"/>
  <c r="I273" i="8"/>
  <c r="I289" i="8"/>
  <c r="I300" i="8"/>
  <c r="I305" i="8"/>
  <c r="I318" i="8"/>
  <c r="I321" i="8"/>
  <c r="I334" i="8"/>
  <c r="I336" i="8"/>
  <c r="I347" i="8"/>
  <c r="I363" i="8"/>
  <c r="I405" i="8"/>
  <c r="I411" i="8"/>
  <c r="I421" i="8"/>
  <c r="I425" i="8"/>
  <c r="I445" i="8"/>
  <c r="N76" i="4"/>
  <c r="N71" i="4"/>
  <c r="N89" i="4"/>
  <c r="N78" i="4"/>
  <c r="N73" i="4"/>
  <c r="N91" i="4"/>
  <c r="N68" i="4"/>
  <c r="N86" i="4"/>
  <c r="N81" i="4"/>
  <c r="I452" i="8"/>
  <c r="I457" i="8"/>
  <c r="I469" i="8"/>
  <c r="I485" i="8"/>
  <c r="I489" i="8"/>
  <c r="I509" i="8"/>
  <c r="I523" i="8"/>
  <c r="I527" i="8"/>
  <c r="I554" i="8"/>
  <c r="I566" i="8"/>
  <c r="I570" i="8"/>
  <c r="I586" i="8"/>
  <c r="I602" i="8"/>
  <c r="I611" i="8"/>
  <c r="I618" i="8"/>
  <c r="I634" i="8"/>
  <c r="I651" i="8"/>
  <c r="I653" i="8"/>
  <c r="I667" i="8"/>
  <c r="N64" i="4"/>
  <c r="N82" i="4"/>
  <c r="N65" i="4"/>
  <c r="N83" i="4"/>
  <c r="N72" i="4"/>
  <c r="N90" i="4"/>
  <c r="N79" i="4"/>
  <c r="N74" i="4"/>
  <c r="N92" i="4"/>
  <c r="N75" i="4"/>
  <c r="N70" i="4"/>
  <c r="N88" i="4"/>
  <c r="N77" i="4"/>
  <c r="N66" i="4"/>
  <c r="N84" i="4"/>
  <c r="N67" i="4"/>
  <c r="N85" i="4"/>
  <c r="N80" i="4"/>
  <c r="N69" i="4"/>
  <c r="N87" i="4"/>
  <c r="I163" i="8"/>
  <c r="I209" i="8"/>
  <c r="I230" i="8"/>
  <c r="I238" i="8"/>
  <c r="I274" i="8"/>
  <c r="I277" i="8"/>
  <c r="I280" i="8"/>
  <c r="I293" i="8"/>
  <c r="I302" i="8"/>
  <c r="I340" i="8"/>
  <c r="I352" i="8"/>
  <c r="I358" i="8"/>
  <c r="I374" i="8"/>
  <c r="I377" i="8"/>
  <c r="I398" i="8"/>
  <c r="I406" i="8"/>
  <c r="I439" i="8"/>
  <c r="I451" i="8"/>
  <c r="I463" i="8"/>
  <c r="I465" i="8"/>
  <c r="I545" i="8"/>
  <c r="I600" i="8"/>
  <c r="I619" i="8"/>
  <c r="I635" i="8"/>
  <c r="I647" i="8"/>
  <c r="I170" i="8"/>
  <c r="I211" i="8"/>
  <c r="I276" i="8"/>
  <c r="I393" i="8"/>
  <c r="I444" i="8"/>
  <c r="N28" i="4"/>
  <c r="N46" i="4"/>
  <c r="N35" i="4"/>
  <c r="N53" i="4"/>
  <c r="N36" i="4"/>
  <c r="N54" i="4"/>
  <c r="N31" i="4"/>
  <c r="N49" i="4"/>
  <c r="N26" i="4"/>
  <c r="N44" i="4"/>
  <c r="N62" i="4"/>
  <c r="N15" i="4"/>
  <c r="N33" i="4"/>
  <c r="N51" i="4"/>
  <c r="I555" i="8"/>
  <c r="I557" i="8"/>
  <c r="I601" i="8"/>
  <c r="N34" i="4"/>
  <c r="N52" i="4"/>
  <c r="N17" i="4"/>
  <c r="N23" i="4"/>
  <c r="N41" i="4"/>
  <c r="N59" i="4"/>
  <c r="N12" i="4"/>
  <c r="N30" i="4"/>
  <c r="N48" i="4"/>
  <c r="N13" i="4"/>
  <c r="N37" i="4"/>
  <c r="N55" i="4"/>
  <c r="N14" i="4"/>
  <c r="N32" i="4"/>
  <c r="N50" i="4"/>
  <c r="N21" i="4"/>
  <c r="N39" i="4"/>
  <c r="N57" i="4"/>
  <c r="N22" i="4"/>
  <c r="N40" i="4"/>
  <c r="N58" i="4"/>
  <c r="N29" i="4"/>
  <c r="N47" i="4"/>
  <c r="N24" i="4"/>
  <c r="N42" i="4"/>
  <c r="N60" i="4"/>
  <c r="N25" i="4"/>
  <c r="N43" i="4"/>
  <c r="N61" i="4"/>
  <c r="N20" i="4"/>
  <c r="N38" i="4"/>
  <c r="N56" i="4"/>
  <c r="N27" i="4"/>
  <c r="N45" i="4"/>
  <c r="N63" i="4"/>
  <c r="W299" i="1"/>
  <c r="W725" i="1"/>
  <c r="W731" i="1"/>
  <c r="W737" i="1"/>
  <c r="W743" i="1"/>
  <c r="W749" i="1"/>
  <c r="W755" i="1"/>
  <c r="W761" i="1"/>
  <c r="W767" i="1"/>
  <c r="W773" i="1"/>
  <c r="W779" i="1"/>
  <c r="W785" i="1"/>
  <c r="W791" i="1"/>
  <c r="W797" i="1"/>
  <c r="W803" i="1"/>
  <c r="W809" i="1"/>
  <c r="W815" i="1"/>
  <c r="W821" i="1"/>
  <c r="W827" i="1"/>
  <c r="W833" i="1"/>
  <c r="W839" i="1"/>
  <c r="W845" i="1"/>
  <c r="W851" i="1"/>
  <c r="W857" i="1"/>
  <c r="W786" i="1"/>
  <c r="W804" i="1"/>
  <c r="W816" i="1"/>
  <c r="W828" i="1"/>
  <c r="W840" i="1"/>
  <c r="W852" i="1"/>
  <c r="W143" i="1"/>
  <c r="W305" i="1"/>
  <c r="W377" i="1"/>
  <c r="W449" i="1"/>
  <c r="W521" i="1"/>
  <c r="W628" i="1"/>
  <c r="W655" i="1"/>
  <c r="W685" i="1"/>
  <c r="W715" i="1"/>
  <c r="W745" i="1"/>
  <c r="W775" i="1"/>
  <c r="W805" i="1"/>
  <c r="W835" i="1"/>
  <c r="W142" i="1"/>
  <c r="W160" i="1"/>
  <c r="W178" i="1"/>
  <c r="W196" i="1"/>
  <c r="W214" i="1"/>
  <c r="W232" i="1"/>
  <c r="W250" i="1"/>
  <c r="W268" i="1"/>
  <c r="W286" i="1"/>
  <c r="W304" i="1"/>
  <c r="W322" i="1"/>
  <c r="W340" i="1"/>
  <c r="W358" i="1"/>
  <c r="W376" i="1"/>
  <c r="W394" i="1"/>
  <c r="W412" i="1"/>
  <c r="W430" i="1"/>
  <c r="W448" i="1"/>
  <c r="W466" i="1"/>
  <c r="W484" i="1"/>
  <c r="W502" i="1"/>
  <c r="W520" i="1"/>
  <c r="W538" i="1"/>
  <c r="W556" i="1"/>
  <c r="W574" i="1"/>
  <c r="W592" i="1"/>
  <c r="W610" i="1"/>
  <c r="W624" i="1"/>
  <c r="W636" i="1"/>
  <c r="W642" i="1"/>
  <c r="W648" i="1"/>
  <c r="W654" i="1"/>
  <c r="W660" i="1"/>
  <c r="W666" i="1"/>
  <c r="W672" i="1"/>
  <c r="W678" i="1"/>
  <c r="W684" i="1"/>
  <c r="W690" i="1"/>
  <c r="W696" i="1"/>
  <c r="W702" i="1"/>
  <c r="W708" i="1"/>
  <c r="W714" i="1"/>
  <c r="W720" i="1"/>
  <c r="W726" i="1"/>
  <c r="W732" i="1"/>
  <c r="W738" i="1"/>
  <c r="W744" i="1"/>
  <c r="W750" i="1"/>
  <c r="W756" i="1"/>
  <c r="W762" i="1"/>
  <c r="W768" i="1"/>
  <c r="W774" i="1"/>
  <c r="W780" i="1"/>
  <c r="W792" i="1"/>
  <c r="W798" i="1"/>
  <c r="W810" i="1"/>
  <c r="W822" i="1"/>
  <c r="W834" i="1"/>
  <c r="W846" i="1"/>
  <c r="W858" i="1"/>
  <c r="W197" i="1"/>
  <c r="W233" i="1"/>
  <c r="W287" i="1"/>
  <c r="W341" i="1"/>
  <c r="W413" i="1"/>
  <c r="W485" i="1"/>
  <c r="W557" i="1"/>
  <c r="W637" i="1"/>
  <c r="W673" i="1"/>
  <c r="H394" i="1"/>
  <c r="W61" i="1"/>
  <c r="H61" i="1"/>
  <c r="W212" i="1"/>
  <c r="H24" i="1"/>
  <c r="H29" i="1"/>
  <c r="H26" i="1"/>
  <c r="H184" i="1"/>
  <c r="W5" i="1"/>
  <c r="W51" i="1"/>
  <c r="W12" i="1"/>
  <c r="W55" i="1"/>
  <c r="H186" i="1"/>
  <c r="H4" i="1"/>
  <c r="H11" i="1"/>
  <c r="H2" i="1"/>
  <c r="W691" i="1"/>
  <c r="W721" i="1"/>
  <c r="W751" i="1"/>
  <c r="W781" i="1"/>
  <c r="W811" i="1"/>
  <c r="W84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W97" i="1"/>
  <c r="W71" i="1"/>
  <c r="W84" i="1"/>
  <c r="W67" i="1"/>
  <c r="W50" i="1"/>
  <c r="W106" i="1"/>
  <c r="W16" i="1"/>
  <c r="W41" i="1"/>
  <c r="W113" i="1"/>
  <c r="W37" i="1"/>
  <c r="W109" i="1"/>
  <c r="W124" i="1"/>
  <c r="W56" i="1"/>
  <c r="W10" i="1"/>
  <c r="W116" i="1"/>
  <c r="W74" i="1"/>
  <c r="W28" i="1"/>
  <c r="W104" i="1"/>
  <c r="W90" i="1"/>
  <c r="W100" i="1"/>
  <c r="W88" i="1"/>
  <c r="W83" i="1"/>
  <c r="W112" i="1"/>
  <c r="W60" i="1"/>
  <c r="W79" i="1"/>
  <c r="W76" i="1"/>
  <c r="W39" i="1"/>
  <c r="W111" i="1"/>
  <c r="W15" i="1"/>
  <c r="W9" i="1"/>
  <c r="W17" i="1"/>
  <c r="W89" i="1"/>
  <c r="W30" i="1"/>
  <c r="W102" i="1"/>
  <c r="W85" i="1"/>
  <c r="W26" i="1"/>
  <c r="W117" i="1"/>
  <c r="W70" i="1"/>
  <c r="W23" i="1"/>
  <c r="W95" i="1"/>
  <c r="W72" i="1"/>
  <c r="W19" i="1"/>
  <c r="W118" i="1"/>
  <c r="W86" i="1"/>
  <c r="W123" i="1"/>
  <c r="H23" i="1"/>
  <c r="H41" i="1"/>
  <c r="H53" i="1"/>
  <c r="H65" i="1"/>
  <c r="H77" i="1"/>
  <c r="H89" i="1"/>
  <c r="H101" i="1"/>
  <c r="H113" i="1"/>
  <c r="H125" i="1"/>
  <c r="H137" i="1"/>
  <c r="H149" i="1"/>
  <c r="H161" i="1"/>
  <c r="H64" i="1"/>
  <c r="H100" i="1"/>
  <c r="H142" i="1"/>
  <c r="H12" i="1"/>
  <c r="H30" i="1"/>
  <c r="H42" i="1"/>
  <c r="H54" i="1"/>
  <c r="H66" i="1"/>
  <c r="H78" i="1"/>
  <c r="H90" i="1"/>
  <c r="H102" i="1"/>
  <c r="H114" i="1"/>
  <c r="H126" i="1"/>
  <c r="H138" i="1"/>
  <c r="H150" i="1"/>
  <c r="H162" i="1"/>
  <c r="H52" i="1"/>
  <c r="H88" i="1"/>
  <c r="H130" i="1"/>
  <c r="H13" i="1"/>
  <c r="H31" i="1"/>
  <c r="H43" i="1"/>
  <c r="H55" i="1"/>
  <c r="H73" i="1"/>
  <c r="H79" i="1"/>
  <c r="H91" i="1"/>
  <c r="H103" i="1"/>
  <c r="H115" i="1"/>
  <c r="H127" i="1"/>
  <c r="H139" i="1"/>
  <c r="H151" i="1"/>
  <c r="H58" i="1"/>
  <c r="H94" i="1"/>
  <c r="H136" i="1"/>
  <c r="H14" i="1"/>
  <c r="H32" i="1"/>
  <c r="H44" i="1"/>
  <c r="H56" i="1"/>
  <c r="H68" i="1"/>
  <c r="H80" i="1"/>
  <c r="H92" i="1"/>
  <c r="H104" i="1"/>
  <c r="H116" i="1"/>
  <c r="H128" i="1"/>
  <c r="H140" i="1"/>
  <c r="H152" i="1"/>
  <c r="H112" i="1"/>
  <c r="H33" i="1"/>
  <c r="H51" i="1"/>
  <c r="H63" i="1"/>
  <c r="H87" i="1"/>
  <c r="H99" i="1"/>
  <c r="H111" i="1"/>
  <c r="H123" i="1"/>
  <c r="H135" i="1"/>
  <c r="H147" i="1"/>
  <c r="H159" i="1"/>
  <c r="W94" i="1"/>
  <c r="W35" i="1"/>
  <c r="W107" i="1"/>
  <c r="W48" i="1"/>
  <c r="W120" i="1"/>
  <c r="W103" i="1"/>
  <c r="W98" i="1"/>
  <c r="W93" i="1"/>
  <c r="W81" i="1"/>
  <c r="W77" i="1"/>
  <c r="W18" i="1"/>
  <c r="W73" i="1"/>
  <c r="W62" i="1"/>
  <c r="W105" i="1"/>
  <c r="W110" i="1"/>
  <c r="W64" i="1"/>
  <c r="W20" i="1"/>
  <c r="W122" i="1"/>
  <c r="W82" i="1"/>
  <c r="W38" i="1"/>
  <c r="W46" i="1"/>
  <c r="W34" i="1"/>
  <c r="W47" i="1"/>
  <c r="W119" i="1"/>
  <c r="W24" i="1"/>
  <c r="W43" i="1"/>
  <c r="W115" i="1"/>
  <c r="W68" i="1"/>
  <c r="W75" i="1"/>
  <c r="W52" i="1"/>
  <c r="W96" i="1"/>
  <c r="W53" i="1"/>
  <c r="W125" i="1"/>
  <c r="W66" i="1"/>
  <c r="W49" i="1"/>
  <c r="W121" i="1"/>
  <c r="W80" i="1"/>
  <c r="W33" i="1"/>
  <c r="W27" i="1"/>
  <c r="W59" i="1"/>
  <c r="W36" i="1"/>
  <c r="W108" i="1"/>
  <c r="W91" i="1"/>
  <c r="W32" i="1"/>
  <c r="W58" i="1"/>
  <c r="H17" i="1"/>
  <c r="H35" i="1"/>
  <c r="H47" i="1"/>
  <c r="H59" i="1"/>
  <c r="H71" i="1"/>
  <c r="H83" i="1"/>
  <c r="H95" i="1"/>
  <c r="H107" i="1"/>
  <c r="H119" i="1"/>
  <c r="H131" i="1"/>
  <c r="H143" i="1"/>
  <c r="H155" i="1"/>
  <c r="H46" i="1"/>
  <c r="H82" i="1"/>
  <c r="H124" i="1"/>
  <c r="H160" i="1"/>
  <c r="H18" i="1"/>
  <c r="H36" i="1"/>
  <c r="H48" i="1"/>
  <c r="H60" i="1"/>
  <c r="H72" i="1"/>
  <c r="H84" i="1"/>
  <c r="H96" i="1"/>
  <c r="H108" i="1"/>
  <c r="H120" i="1"/>
  <c r="H132" i="1"/>
  <c r="H144" i="1"/>
  <c r="H156" i="1"/>
  <c r="H16" i="1"/>
  <c r="H70" i="1"/>
  <c r="H106" i="1"/>
  <c r="H148" i="1"/>
  <c r="H19" i="1"/>
  <c r="H37" i="1"/>
  <c r="H49" i="1"/>
  <c r="H67" i="1"/>
  <c r="H85" i="1"/>
  <c r="H97" i="1"/>
  <c r="H109" i="1"/>
  <c r="H121" i="1"/>
  <c r="H133" i="1"/>
  <c r="H145" i="1"/>
  <c r="H157" i="1"/>
  <c r="H76" i="1"/>
  <c r="H118" i="1"/>
  <c r="H154" i="1"/>
  <c r="H20" i="1"/>
  <c r="H38" i="1"/>
  <c r="H50" i="1"/>
  <c r="H62" i="1"/>
  <c r="H74" i="1"/>
  <c r="H86" i="1"/>
  <c r="H98" i="1"/>
  <c r="H110" i="1"/>
  <c r="H122" i="1"/>
  <c r="H134" i="1"/>
  <c r="H146" i="1"/>
  <c r="H158" i="1"/>
  <c r="H15" i="1"/>
  <c r="H45" i="1"/>
  <c r="H57" i="1"/>
  <c r="H69" i="1"/>
  <c r="H75" i="1"/>
  <c r="H93" i="1"/>
  <c r="H105" i="1"/>
  <c r="H117" i="1"/>
  <c r="H129" i="1"/>
  <c r="H141" i="1"/>
  <c r="H153" i="1"/>
  <c r="W11" i="1"/>
  <c r="W14" i="1"/>
  <c r="H219" i="1"/>
  <c r="W210" i="1"/>
  <c r="H208" i="1"/>
  <c r="H40" i="1"/>
  <c r="W219" i="1"/>
  <c r="W65" i="1"/>
  <c r="W63" i="1"/>
  <c r="H39" i="1"/>
  <c r="H34" i="1"/>
  <c r="W205" i="1"/>
  <c r="W6" i="1"/>
  <c r="W7" i="1"/>
  <c r="H205" i="1"/>
  <c r="W3" i="1"/>
  <c r="W21" i="1"/>
  <c r="W8" i="1"/>
  <c r="W211" i="1"/>
  <c r="W206" i="1"/>
  <c r="W208" i="1"/>
  <c r="W13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03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W40" i="1"/>
  <c r="W99" i="1"/>
  <c r="W87" i="1"/>
  <c r="W45" i="1"/>
  <c r="W29" i="1"/>
  <c r="W101" i="1"/>
  <c r="W42" i="1"/>
  <c r="W78" i="1"/>
  <c r="W114" i="1"/>
  <c r="W25" i="1"/>
  <c r="W44" i="1"/>
  <c r="W92" i="1"/>
  <c r="W57" i="1"/>
  <c r="H172" i="1"/>
  <c r="H181" i="1"/>
  <c r="H169" i="1"/>
  <c r="H176" i="1"/>
  <c r="H179" i="1"/>
  <c r="H175" i="1"/>
  <c r="H182" i="1"/>
  <c r="H183" i="1"/>
  <c r="W204" i="1"/>
  <c r="W69" i="1"/>
  <c r="W4" i="1"/>
  <c r="W54" i="1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165" i="1"/>
  <c r="H178" i="1"/>
  <c r="H163" i="1"/>
  <c r="H167" i="1"/>
  <c r="H174" i="1"/>
  <c r="H177" i="1"/>
  <c r="H168" i="1"/>
  <c r="H170" i="1"/>
  <c r="H164" i="1"/>
  <c r="H166" i="1"/>
  <c r="H173" i="1"/>
  <c r="H171" i="1"/>
  <c r="Q75" i="4"/>
  <c r="Q39" i="4"/>
  <c r="Q91" i="4"/>
  <c r="Q55" i="4"/>
  <c r="Q19" i="4"/>
  <c r="Q65" i="4"/>
  <c r="Q29" i="4"/>
  <c r="Q70" i="4"/>
  <c r="Q34" i="4"/>
  <c r="Q99" i="4"/>
  <c r="Q63" i="4"/>
  <c r="Q27" i="4"/>
  <c r="Q79" i="4"/>
  <c r="Q43" i="4"/>
  <c r="Q89" i="4"/>
  <c r="Q53" i="4"/>
  <c r="Q17" i="4"/>
  <c r="Q68" i="4"/>
  <c r="Q32" i="4"/>
  <c r="Q78" i="4"/>
  <c r="Q42" i="4"/>
  <c r="Q82" i="4"/>
  <c r="Q46" i="4"/>
  <c r="V6" i="4" a="1"/>
  <c r="Q69" i="4"/>
  <c r="Q33" i="4"/>
  <c r="Q85" i="4"/>
  <c r="Q49" i="4"/>
  <c r="Q13" i="4"/>
  <c r="Q95" i="4"/>
  <c r="Q59" i="4"/>
  <c r="Q23" i="4"/>
  <c r="Q98" i="4"/>
  <c r="Q62" i="4"/>
  <c r="Q26" i="4"/>
  <c r="Q72" i="4"/>
  <c r="Q36" i="4"/>
  <c r="Q76" i="4"/>
  <c r="Q40" i="4"/>
  <c r="W207" i="1"/>
  <c r="H180" i="1"/>
  <c r="W190" i="1"/>
  <c r="N9" i="4"/>
  <c r="H218" i="1"/>
  <c r="W218" i="1"/>
  <c r="H187" i="1"/>
  <c r="Q9" i="4"/>
  <c r="N11" i="4"/>
  <c r="N10" i="4"/>
  <c r="W192" i="1"/>
  <c r="W191" i="1"/>
  <c r="W184" i="1"/>
  <c r="W189" i="1"/>
  <c r="H188" i="1"/>
  <c r="W203" i="1"/>
  <c r="W183" i="1"/>
  <c r="W186" i="1"/>
  <c r="W180" i="1"/>
  <c r="H185" i="1"/>
  <c r="W185" i="1"/>
  <c r="W182" i="1"/>
  <c r="W181" i="1"/>
  <c r="N19" i="4"/>
  <c r="N18" i="4"/>
  <c r="N16" i="4"/>
  <c r="N6" i="4"/>
  <c r="A2" i="4"/>
  <c r="C2" i="4"/>
  <c r="Q86" i="4"/>
  <c r="Q50" i="4"/>
  <c r="Q14" i="4"/>
  <c r="Q96" i="4"/>
  <c r="Q60" i="4"/>
  <c r="Q24" i="4"/>
  <c r="Q64" i="4"/>
  <c r="Q28" i="4"/>
  <c r="Q93" i="4"/>
  <c r="Q57" i="4"/>
  <c r="Q21" i="4"/>
  <c r="Q73" i="4"/>
  <c r="Q37" i="4"/>
  <c r="Q83" i="4"/>
  <c r="Q47" i="4"/>
  <c r="Q11" i="4"/>
  <c r="Q16" i="4"/>
  <c r="W2" i="1"/>
  <c r="W22" i="1"/>
  <c r="H27" i="1"/>
  <c r="H8" i="1"/>
  <c r="H5" i="1"/>
  <c r="H7" i="1"/>
  <c r="K2" i="4"/>
  <c r="N2" i="4" s="1"/>
  <c r="O2" i="4"/>
  <c r="AE27" i="4"/>
  <c r="AE40" i="4"/>
  <c r="R2" i="4"/>
  <c r="S2" i="4" s="1" a="1"/>
  <c r="U2" i="4" s="1" a="1"/>
  <c r="P2" i="4" a="1"/>
  <c r="AE4" i="4"/>
  <c r="AE7" i="4"/>
  <c r="AE6" i="4"/>
  <c r="AE9" i="4"/>
  <c r="AE3" i="4"/>
  <c r="AE37" i="4" s="1"/>
  <c r="AE41" i="4" s="1"/>
  <c r="AE101" i="4" s="1"/>
  <c r="AE105" i="4" s="1"/>
  <c r="AE109" i="4" s="1"/>
  <c r="AE113" i="4" s="1"/>
  <c r="AE117" i="4" s="1"/>
  <c r="AE121" i="4" s="1"/>
  <c r="AE125" i="4" s="1"/>
  <c r="AE129" i="4" s="1"/>
  <c r="AE133" i="4" s="1"/>
  <c r="AE137" i="4" s="1"/>
  <c r="AE26" i="4" s="1"/>
  <c r="AE31" i="4" s="1"/>
  <c r="AE36" i="4" s="1"/>
  <c r="AE42" i="4" s="1"/>
  <c r="AE100" i="4" s="1"/>
  <c r="AE106" i="4" s="1"/>
  <c r="AE111" i="4" s="1"/>
  <c r="AE116" i="4" s="1"/>
  <c r="AE122" i="4" s="1"/>
  <c r="AE127" i="4" s="1"/>
  <c r="AE132" i="4" s="1"/>
  <c r="AE138" i="4" s="1"/>
  <c r="AE142" i="4" s="1"/>
  <c r="AE146" i="4" s="1"/>
  <c r="AE150" i="4" s="1"/>
  <c r="AE30" i="4" s="1"/>
  <c r="AE38" i="4" s="1"/>
  <c r="AE102" i="4" s="1"/>
  <c r="AE108" i="4" s="1"/>
  <c r="AE115" i="4" s="1"/>
  <c r="AE123" i="4" s="1"/>
  <c r="AE130" i="4" s="1"/>
  <c r="AE143" i="4" s="1"/>
  <c r="AE148" i="4" s="1"/>
  <c r="AE39" i="4" s="1"/>
  <c r="AE104" i="4" s="1"/>
  <c r="AE114" i="4" s="1"/>
  <c r="AE124" i="4" s="1"/>
  <c r="AE134" i="4" s="1"/>
  <c r="AE141" i="4" s="1"/>
  <c r="AE149" i="4" s="1"/>
  <c r="AE34" i="4" s="1"/>
  <c r="AE110" i="4" s="1"/>
  <c r="AE120" i="4" s="1"/>
  <c r="AE135" i="4" s="1"/>
  <c r="AE145" i="4" s="1"/>
  <c r="AE35" i="4" s="1"/>
  <c r="AE112" i="4" s="1"/>
  <c r="AE126" i="4" s="1"/>
  <c r="AE139" i="4" s="1"/>
  <c r="AE147" i="4" s="1"/>
  <c r="AE107" i="4" s="1"/>
  <c r="AE131" i="4" s="1"/>
  <c r="AE32" i="4" s="1"/>
  <c r="AE119" i="4" s="1"/>
  <c r="AE12" i="4" s="1"/>
  <c r="AE13" i="4" s="1"/>
  <c r="AE15" i="4" s="1"/>
  <c r="AE22" i="4" s="1"/>
  <c r="AE17" i="4" s="1"/>
  <c r="AE144" i="4"/>
  <c r="AE128" i="4"/>
  <c r="AE140" i="4"/>
  <c r="AE136" i="4"/>
  <c r="AE151" i="4"/>
  <c r="AE103" i="4"/>
  <c r="AE118" i="4"/>
  <c r="U8" i="4" s="1" a="1"/>
  <c r="V8" i="4" a="1"/>
  <c r="U21" i="4" s="1" a="1"/>
  <c r="V21" i="4" a="1"/>
  <c r="U33" i="4" s="1" a="1"/>
  <c r="V33" i="4" a="1"/>
  <c r="S24" i="4" a="1"/>
  <c r="U24" i="4" s="1" a="1"/>
  <c r="S10" i="4" a="1"/>
  <c r="U10" i="4" s="1" a="1"/>
  <c r="S14" i="4" a="1"/>
  <c r="U14" i="4" s="1" a="1"/>
  <c r="S19" i="4" a="1"/>
  <c r="U19" i="4" s="1" a="1"/>
  <c r="S125" i="4" a="1"/>
  <c r="S93" i="4" a="1"/>
  <c r="U93" i="4" s="1" a="1"/>
  <c r="S61" i="4" a="1"/>
  <c r="U61" i="4" s="1" a="1"/>
  <c r="S130" i="4" a="1"/>
  <c r="S98" i="4" a="1"/>
  <c r="U98" i="4" s="1" a="1"/>
  <c r="S66" i="4" a="1"/>
  <c r="U66" i="4" s="1" a="1"/>
  <c r="S129" i="4" a="1"/>
  <c r="S97" i="4" a="1"/>
  <c r="U97" i="4" s="1" a="1"/>
  <c r="S65" i="4" a="1"/>
  <c r="U65" i="4" s="1" a="1"/>
  <c r="S149" i="4" a="1"/>
  <c r="U149" i="4" s="1" a="1"/>
  <c r="S118" i="4" a="1"/>
  <c r="S86" i="4" a="1"/>
  <c r="U86" i="4" s="1" a="1"/>
  <c r="S54" i="4" a="1"/>
  <c r="U54" i="4" s="1" a="1"/>
  <c r="AE54" i="4" s="1"/>
  <c r="S144" i="4" a="1"/>
  <c r="U144" i="4" s="1" a="1"/>
  <c r="S128" i="4" a="1"/>
  <c r="U128" i="4" s="1" a="1"/>
  <c r="S112" i="4" a="1"/>
  <c r="U112" i="4" s="1" a="1"/>
  <c r="S96" i="4" a="1"/>
  <c r="U96" i="4" s="1" a="1"/>
  <c r="S80" i="4" a="1"/>
  <c r="U80" i="4" s="1" a="1"/>
  <c r="S64" i="4" a="1"/>
  <c r="U64" i="4" s="1" a="1"/>
  <c r="AE64" i="4" s="1"/>
  <c r="S48" i="4" a="1"/>
  <c r="U48" i="4" s="1" a="1"/>
  <c r="S143" i="4" a="1"/>
  <c r="U143" i="4" s="1" a="1"/>
  <c r="S127" i="4" a="1"/>
  <c r="U127" i="4" s="1" a="1"/>
  <c r="S111" i="4" a="1"/>
  <c r="U111" i="4" s="1" a="1"/>
  <c r="S95" i="4" a="1"/>
  <c r="S79" i="4" a="1"/>
  <c r="U79" i="4" s="1" a="1"/>
  <c r="AE79" i="4" s="1"/>
  <c r="S63" i="4" a="1"/>
  <c r="U63" i="4" s="1" a="1"/>
  <c r="S47" i="4" a="1"/>
  <c r="U47" i="4" s="1" a="1"/>
  <c r="S5" i="4" a="1"/>
  <c r="U5" i="4" s="1" a="1"/>
  <c r="AE5" i="4" s="1"/>
  <c r="S11" i="4" a="1"/>
  <c r="U11" i="4" s="1" a="1"/>
  <c r="S16" i="4" a="1"/>
  <c r="U16" i="4" s="1" a="1"/>
  <c r="S20" i="4" a="1"/>
  <c r="U20" i="4" s="1" a="1"/>
  <c r="S25" i="4" a="1"/>
  <c r="U25" i="4" s="1" a="1"/>
  <c r="S147" i="4" a="1"/>
  <c r="S117" i="4" a="1"/>
  <c r="U117" i="4" s="1" a="1"/>
  <c r="S85" i="4" a="1"/>
  <c r="U85" i="4" s="1" a="1"/>
  <c r="S53" i="4" a="1"/>
  <c r="U53" i="4" s="1" a="1"/>
  <c r="S151" i="4" a="1"/>
  <c r="U151" i="4" s="1" a="1"/>
  <c r="S122" i="4" a="1"/>
  <c r="U122" i="4" s="1" a="1"/>
  <c r="S90" i="4" a="1"/>
  <c r="U90" i="4" s="1" a="1"/>
  <c r="S58" i="4" a="1"/>
  <c r="U58" i="4" s="1" a="1"/>
  <c r="S150" i="4" a="1"/>
  <c r="S121" i="4" a="1"/>
  <c r="U121" i="4" s="1" a="1"/>
  <c r="S89" i="4" a="1"/>
  <c r="S57" i="4" a="1"/>
  <c r="S142" i="4" a="1"/>
  <c r="U142" i="4" s="1" a="1"/>
  <c r="S110" i="4" a="1"/>
  <c r="U110" i="4" s="1" a="1"/>
  <c r="S78" i="4" a="1"/>
  <c r="S46" i="4" a="1"/>
  <c r="U46" i="4" s="1" a="1"/>
  <c r="AE46" i="4" s="1"/>
  <c r="S140" i="4" a="1"/>
  <c r="U140" i="4" s="1" a="1"/>
  <c r="S124" i="4" a="1"/>
  <c r="U124" i="4" s="1" a="1"/>
  <c r="S108" i="4" a="1"/>
  <c r="U108" i="4" s="1" a="1"/>
  <c r="S92" i="4" a="1"/>
  <c r="U92" i="4" s="1" a="1"/>
  <c r="S76" i="4" a="1"/>
  <c r="U76" i="4" s="1" a="1"/>
  <c r="S60" i="4" a="1"/>
  <c r="S44" i="4" a="1"/>
  <c r="U44" i="4" s="1" a="1"/>
  <c r="S139" i="4" a="1"/>
  <c r="U139" i="4" s="1" a="1"/>
  <c r="S123" i="4" a="1"/>
  <c r="U123" i="4" s="1" a="1"/>
  <c r="S107" i="4" a="1"/>
  <c r="U107" i="4" s="1" a="1"/>
  <c r="S91" i="4" a="1"/>
  <c r="U91" i="4" s="1" a="1"/>
  <c r="AE91" i="4" s="1"/>
  <c r="S75" i="4" a="1"/>
  <c r="U75" i="4" s="1" a="1"/>
  <c r="S59" i="4" a="1"/>
  <c r="U59" i="4" s="1" a="1"/>
  <c r="AE59" i="4" s="1"/>
  <c r="S43" i="4" a="1"/>
  <c r="U43" i="4" s="1" a="1"/>
  <c r="S141" i="4" a="1"/>
  <c r="S109" i="4" a="1"/>
  <c r="U109" i="4" s="1" a="1"/>
  <c r="S77" i="4" a="1"/>
  <c r="U77" i="4" s="1" a="1"/>
  <c r="S45" i="4" a="1"/>
  <c r="U45" i="4" s="1" a="1"/>
  <c r="S146" i="4" a="1"/>
  <c r="U146" i="4" s="1" a="1"/>
  <c r="S114" i="4" a="1"/>
  <c r="U114" i="4" s="1" a="1"/>
  <c r="S82" i="4" a="1"/>
  <c r="S50" i="4" a="1"/>
  <c r="S145" i="4" a="1"/>
  <c r="U145" i="4" s="1" a="1"/>
  <c r="S113" i="4" a="1"/>
  <c r="U113" i="4" s="1" a="1"/>
  <c r="S81" i="4" a="1"/>
  <c r="U81" i="4" s="1" a="1"/>
  <c r="S49" i="4" a="1"/>
  <c r="S134" i="4" a="1"/>
  <c r="U134" i="4" s="1" a="1"/>
  <c r="S102" i="4" a="1"/>
  <c r="U102" i="4" s="1" a="1"/>
  <c r="S70" i="4" a="1"/>
  <c r="U70" i="4" s="1" a="1"/>
  <c r="S136" i="4" a="1"/>
  <c r="U136" i="4" s="1" a="1"/>
  <c r="S120" i="4" a="1"/>
  <c r="U120" i="4" s="1" a="1"/>
  <c r="S104" i="4" a="1"/>
  <c r="U104" i="4" s="1" a="1"/>
  <c r="S88" i="4" a="1"/>
  <c r="U88" i="4" s="1" a="1"/>
  <c r="S72" i="4" a="1"/>
  <c r="U72" i="4" s="1" a="1"/>
  <c r="S56" i="4" a="1"/>
  <c r="U56" i="4" s="1" a="1"/>
  <c r="S135" i="4" a="1"/>
  <c r="U135" i="4" s="1" a="1"/>
  <c r="S119" i="4" a="1"/>
  <c r="S103" i="4" a="1"/>
  <c r="U103" i="4" s="1" a="1"/>
  <c r="S87" i="4" a="1"/>
  <c r="U87" i="4" s="1" a="1"/>
  <c r="S71" i="4" a="1"/>
  <c r="U71" i="4" s="1" a="1"/>
  <c r="S55" i="4" a="1"/>
  <c r="U55" i="4" s="1" a="1"/>
  <c r="S18" i="4" a="1"/>
  <c r="S23" i="4" a="1"/>
  <c r="U23" i="4" s="1" a="1"/>
  <c r="S29" i="4" a="1"/>
  <c r="S28" i="4" a="1"/>
  <c r="U28" i="4" s="1" a="1"/>
  <c r="S133" i="4" a="1"/>
  <c r="U133" i="4" s="1" a="1"/>
  <c r="S101" i="4" a="1"/>
  <c r="U101" i="4" s="1" a="1"/>
  <c r="S69" i="4" a="1"/>
  <c r="S138" i="4" a="1"/>
  <c r="U138" i="4" s="1" a="1"/>
  <c r="S106" i="4" a="1"/>
  <c r="U106" i="4" s="1" a="1"/>
  <c r="S74" i="4" a="1"/>
  <c r="U74" i="4" s="1" a="1"/>
  <c r="S137" i="4" a="1"/>
  <c r="U137" i="4" s="1" a="1"/>
  <c r="S105" i="4" a="1"/>
  <c r="S73" i="4" a="1"/>
  <c r="U73" i="4" s="1" a="1"/>
  <c r="S126" i="4" a="1"/>
  <c r="U126" i="4" s="1" a="1"/>
  <c r="S94" i="4" a="1"/>
  <c r="U94" i="4" s="1" a="1"/>
  <c r="S62" i="4" a="1"/>
  <c r="U62" i="4" s="1" a="1"/>
  <c r="S148" i="4" a="1"/>
  <c r="U148" i="4" s="1" a="1"/>
  <c r="S132" i="4" a="1"/>
  <c r="U132" i="4" s="1" a="1"/>
  <c r="S116" i="4" a="1"/>
  <c r="U116" i="4" s="1" a="1"/>
  <c r="S100" i="4" a="1"/>
  <c r="U100" i="4" s="1" a="1"/>
  <c r="S84" i="4" a="1"/>
  <c r="U84" i="4" s="1" a="1"/>
  <c r="S68" i="4" a="1"/>
  <c r="S52" i="4" a="1"/>
  <c r="S131" i="4" a="1"/>
  <c r="U131" i="4" s="1" a="1"/>
  <c r="S115" i="4" a="1"/>
  <c r="U115" i="4" s="1" a="1"/>
  <c r="S99" i="4" a="1"/>
  <c r="U99" i="4" s="1" a="1"/>
  <c r="AE99" i="4" s="1"/>
  <c r="S83" i="4" a="1"/>
  <c r="U83" i="4" s="1" a="1"/>
  <c r="S67" i="4" a="1"/>
  <c r="U67" i="4" s="1" a="1"/>
  <c r="S51" i="4" a="1"/>
  <c r="U51" i="4" s="1" a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W31" i="1"/>
  <c r="H25" i="1"/>
  <c r="H22" i="1"/>
  <c r="H21" i="1"/>
  <c r="H28" i="1"/>
  <c r="W2" i="4" a="1"/>
  <c r="H9" i="1"/>
  <c r="H6" i="1"/>
  <c r="H3" i="1"/>
  <c r="H10" i="1"/>
  <c r="H81" i="1"/>
  <c r="L2" i="4"/>
  <c r="M2" i="4" s="1" a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F2" i="4"/>
  <c r="G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D2" i="4"/>
  <c r="E2" i="4" s="1"/>
  <c r="K15" i="1" l="1" a="1"/>
  <c r="K17" i="1" a="1"/>
  <c r="K19" i="1" a="1"/>
  <c r="K21" i="1" a="1"/>
  <c r="K23" i="1" a="1"/>
  <c r="K25" i="1" a="1"/>
  <c r="K27" i="1" a="1"/>
  <c r="K29" i="1" a="1"/>
  <c r="K31" i="1" a="1"/>
  <c r="K33" i="1" a="1"/>
  <c r="K35" i="1" a="1"/>
  <c r="K36" i="1" a="1"/>
  <c r="K37" i="1" a="1"/>
  <c r="K38" i="1" a="1"/>
  <c r="K39" i="1" a="1"/>
  <c r="K40" i="1" a="1"/>
  <c r="K41" i="1" a="1"/>
  <c r="K42" i="1" a="1"/>
  <c r="K43" i="1" a="1"/>
  <c r="K44" i="1" a="1"/>
  <c r="K45" i="1" a="1"/>
  <c r="K46" i="1" a="1"/>
  <c r="K47" i="1" a="1"/>
  <c r="K48" i="1" a="1"/>
  <c r="K49" i="1" a="1"/>
  <c r="K50" i="1" a="1"/>
  <c r="K51" i="1" a="1"/>
  <c r="K53" i="1" a="1"/>
  <c r="K55" i="1" a="1"/>
  <c r="K56" i="1" a="1"/>
  <c r="K72" i="1" a="1"/>
  <c r="K73" i="1" a="1"/>
  <c r="K74" i="1" a="1"/>
  <c r="K75" i="1" a="1"/>
  <c r="K76" i="1" a="1"/>
  <c r="K77" i="1" a="1"/>
  <c r="K78" i="1" a="1"/>
  <c r="K79" i="1" a="1"/>
  <c r="K80" i="1" a="1"/>
  <c r="K81" i="1" a="1"/>
  <c r="K82" i="1" a="1"/>
  <c r="K83" i="1" a="1"/>
  <c r="K84" i="1" a="1"/>
  <c r="K85" i="1" a="1"/>
  <c r="K86" i="1" a="1"/>
  <c r="K87" i="1" a="1"/>
  <c r="K88" i="1" a="1"/>
  <c r="K89" i="1" a="1"/>
  <c r="K90" i="1" a="1"/>
  <c r="K91" i="1" a="1"/>
  <c r="K92" i="1" a="1"/>
  <c r="K93" i="1" a="1"/>
  <c r="K94" i="1" a="1"/>
  <c r="K95" i="1" a="1"/>
  <c r="K96" i="1" a="1"/>
  <c r="K97" i="1" a="1"/>
  <c r="K98" i="1" a="1"/>
  <c r="K106" i="1" a="1"/>
  <c r="K107" i="1" a="1"/>
  <c r="K108" i="1" a="1"/>
  <c r="K109" i="1" a="1"/>
  <c r="K110" i="1" a="1"/>
  <c r="K111" i="1" a="1"/>
  <c r="K112" i="1" a="1"/>
  <c r="K113" i="1" a="1"/>
  <c r="K114" i="1" a="1"/>
  <c r="K115" i="1" a="1"/>
  <c r="K116" i="1" a="1"/>
  <c r="K117" i="1" a="1"/>
  <c r="K118" i="1" a="1"/>
  <c r="K119" i="1" a="1"/>
  <c r="K120" i="1" a="1"/>
  <c r="K121" i="1" a="1"/>
  <c r="K122" i="1" a="1"/>
  <c r="K123" i="1" a="1"/>
  <c r="K125" i="1" a="1"/>
  <c r="K126" i="1" a="1"/>
  <c r="K127" i="1" a="1"/>
  <c r="K128" i="1" a="1"/>
  <c r="K129" i="1" a="1"/>
  <c r="K130" i="1" a="1"/>
  <c r="K131" i="1" a="1"/>
  <c r="K132" i="1" a="1"/>
  <c r="K133" i="1" a="1"/>
  <c r="K134" i="1" a="1"/>
  <c r="K135" i="1" a="1"/>
  <c r="K136" i="1" a="1"/>
  <c r="K137" i="1" a="1"/>
  <c r="K138" i="1" a="1"/>
  <c r="K139" i="1" a="1"/>
  <c r="K140" i="1" a="1"/>
  <c r="K141" i="1" a="1"/>
  <c r="K142" i="1" a="1"/>
  <c r="K143" i="1" a="1"/>
  <c r="K144" i="1" a="1"/>
  <c r="K145" i="1" a="1"/>
  <c r="K146" i="1" a="1"/>
  <c r="K147" i="1" a="1"/>
  <c r="K148" i="1" a="1"/>
  <c r="K149" i="1" a="1"/>
  <c r="K150" i="1" a="1"/>
  <c r="K151" i="1" a="1"/>
  <c r="K152" i="1" a="1"/>
  <c r="K153" i="1" a="1"/>
  <c r="K154" i="1" a="1"/>
  <c r="K155" i="1" a="1"/>
  <c r="K156" i="1" a="1"/>
  <c r="K157" i="1" a="1"/>
  <c r="K158" i="1" a="1"/>
  <c r="K159" i="1" a="1"/>
  <c r="K160" i="1" a="1"/>
  <c r="K161" i="1" a="1"/>
  <c r="K162" i="1" a="1"/>
  <c r="K163" i="1" a="1"/>
  <c r="K164" i="1" a="1"/>
  <c r="K165" i="1" a="1"/>
  <c r="K166" i="1" a="1"/>
  <c r="K167" i="1" a="1"/>
  <c r="K168" i="1" a="1"/>
  <c r="K169" i="1" a="1"/>
  <c r="K170" i="1" a="1"/>
  <c r="K171" i="1" a="1"/>
  <c r="K172" i="1" a="1"/>
  <c r="K173" i="1" a="1"/>
  <c r="K174" i="1" a="1"/>
  <c r="K175" i="1" a="1"/>
  <c r="K176" i="1" a="1"/>
  <c r="K177" i="1" a="1"/>
  <c r="K178" i="1" a="1"/>
  <c r="K179" i="1" a="1"/>
  <c r="K180" i="1" a="1"/>
  <c r="K181" i="1" a="1"/>
  <c r="K182" i="1" a="1"/>
  <c r="K183" i="1" a="1"/>
  <c r="K184" i="1" a="1"/>
  <c r="K185" i="1" a="1"/>
  <c r="K186" i="1" a="1"/>
  <c r="K187" i="1" a="1"/>
  <c r="K188" i="1" a="1"/>
  <c r="K189" i="1" a="1"/>
  <c r="K190" i="1" a="1"/>
  <c r="K191" i="1" a="1"/>
  <c r="K192" i="1" a="1"/>
  <c r="K193" i="1" a="1"/>
  <c r="K194" i="1" a="1"/>
  <c r="K195" i="1" a="1"/>
  <c r="K196" i="1" a="1"/>
  <c r="K197" i="1" a="1"/>
  <c r="K198" i="1" a="1"/>
  <c r="K199" i="1" a="1"/>
  <c r="K200" i="1" a="1"/>
  <c r="K201" i="1" a="1"/>
  <c r="K202" i="1" a="1"/>
  <c r="K203" i="1" a="1"/>
  <c r="K204" i="1" a="1"/>
  <c r="K205" i="1" a="1"/>
  <c r="K206" i="1" a="1"/>
  <c r="K207" i="1" a="1"/>
  <c r="K208" i="1" a="1"/>
  <c r="K209" i="1" a="1"/>
  <c r="K210" i="1" a="1"/>
  <c r="K211" i="1" a="1"/>
  <c r="K212" i="1" a="1"/>
  <c r="K213" i="1" a="1"/>
  <c r="K214" i="1" a="1"/>
  <c r="K215" i="1" a="1"/>
  <c r="K216" i="1" a="1"/>
  <c r="K217" i="1" a="1"/>
  <c r="K218" i="1" a="1"/>
  <c r="K219" i="1" a="1"/>
  <c r="K220" i="1" a="1"/>
  <c r="K221" i="1" a="1"/>
  <c r="K222" i="1" a="1"/>
  <c r="K223" i="1" a="1"/>
  <c r="K224" i="1" a="1"/>
  <c r="K225" i="1" a="1"/>
  <c r="K226" i="1" a="1"/>
  <c r="K227" i="1" a="1"/>
  <c r="K228" i="1" a="1"/>
  <c r="K229" i="1" a="1"/>
  <c r="K230" i="1" a="1"/>
  <c r="K231" i="1" a="1"/>
  <c r="K232" i="1" a="1"/>
  <c r="K233" i="1" a="1"/>
  <c r="K234" i="1" a="1"/>
  <c r="K235" i="1" a="1"/>
  <c r="K236" i="1" a="1"/>
  <c r="K237" i="1" a="1"/>
  <c r="K238" i="1" a="1"/>
  <c r="K239" i="1" a="1"/>
  <c r="K240" i="1" a="1"/>
  <c r="K241" i="1" a="1"/>
  <c r="K242" i="1" a="1"/>
  <c r="K243" i="1" a="1"/>
  <c r="K244" i="1" a="1"/>
  <c r="K245" i="1" a="1"/>
  <c r="K246" i="1" a="1"/>
  <c r="K247" i="1" a="1"/>
  <c r="K248" i="1" a="1"/>
  <c r="K249" i="1" a="1"/>
  <c r="K250" i="1" a="1"/>
  <c r="K251" i="1" a="1"/>
  <c r="K252" i="1" a="1"/>
  <c r="K253" i="1" a="1"/>
  <c r="K254" i="1" a="1"/>
  <c r="K255" i="1" a="1"/>
  <c r="K256" i="1" a="1"/>
  <c r="K257" i="1" a="1"/>
  <c r="K258" i="1" a="1"/>
  <c r="K259" i="1" a="1"/>
  <c r="K260" i="1" a="1"/>
  <c r="K261" i="1" a="1"/>
  <c r="K262" i="1" a="1"/>
  <c r="K263" i="1" a="1"/>
  <c r="K264" i="1" a="1"/>
  <c r="K265" i="1" a="1"/>
  <c r="K266" i="1" a="1"/>
  <c r="K267" i="1" a="1"/>
  <c r="K268" i="1" a="1"/>
  <c r="K269" i="1" a="1"/>
  <c r="K270" i="1" a="1"/>
  <c r="K271" i="1" a="1"/>
  <c r="K272" i="1" a="1"/>
  <c r="K273" i="1" a="1"/>
  <c r="K274" i="1" a="1"/>
  <c r="K275" i="1" a="1"/>
  <c r="K276" i="1" a="1"/>
  <c r="K277" i="1" a="1"/>
  <c r="K278" i="1" a="1"/>
  <c r="K279" i="1" a="1"/>
  <c r="K280" i="1" a="1"/>
  <c r="K281" i="1" a="1"/>
  <c r="K282" i="1" a="1"/>
  <c r="K283" i="1" a="1"/>
  <c r="K284" i="1" a="1"/>
  <c r="K285" i="1" a="1"/>
  <c r="K286" i="1" a="1"/>
  <c r="K287" i="1" a="1"/>
  <c r="K288" i="1" a="1"/>
  <c r="K289" i="1" a="1"/>
  <c r="K290" i="1" a="1"/>
  <c r="K291" i="1" a="1"/>
  <c r="K292" i="1" a="1"/>
  <c r="K293" i="1" a="1"/>
  <c r="K294" i="1" a="1"/>
  <c r="K295" i="1" a="1"/>
  <c r="K296" i="1" a="1"/>
  <c r="K297" i="1" a="1"/>
  <c r="K298" i="1" a="1"/>
  <c r="K299" i="1" a="1"/>
  <c r="K300" i="1" a="1"/>
  <c r="K301" i="1" a="1"/>
  <c r="K302" i="1" a="1"/>
  <c r="K303" i="1" a="1"/>
  <c r="K304" i="1" a="1"/>
  <c r="K305" i="1" a="1"/>
  <c r="K306" i="1" a="1"/>
  <c r="K307" i="1" a="1"/>
  <c r="K308" i="1" a="1"/>
  <c r="K309" i="1" a="1"/>
  <c r="K310" i="1" a="1"/>
  <c r="K311" i="1" a="1"/>
  <c r="K312" i="1" a="1"/>
  <c r="K313" i="1" a="1"/>
  <c r="K314" i="1" a="1"/>
  <c r="K315" i="1" a="1"/>
  <c r="K316" i="1" a="1"/>
  <c r="K317" i="1" a="1"/>
  <c r="K318" i="1" a="1"/>
  <c r="K319" i="1" a="1"/>
  <c r="K320" i="1" a="1"/>
  <c r="K321" i="1" a="1"/>
  <c r="K322" i="1" a="1"/>
  <c r="K323" i="1" a="1"/>
  <c r="K324" i="1" a="1"/>
  <c r="K325" i="1" a="1"/>
  <c r="K326" i="1" a="1"/>
  <c r="K327" i="1" a="1"/>
  <c r="K328" i="1" a="1"/>
  <c r="K329" i="1" a="1"/>
  <c r="K330" i="1" a="1"/>
  <c r="K331" i="1" a="1"/>
  <c r="K332" i="1" a="1"/>
  <c r="K333" i="1" a="1"/>
  <c r="K334" i="1" a="1"/>
  <c r="K335" i="1" a="1"/>
  <c r="K336" i="1" a="1"/>
  <c r="K337" i="1" a="1"/>
  <c r="K338" i="1" a="1"/>
  <c r="K339" i="1" a="1"/>
  <c r="K340" i="1" a="1"/>
  <c r="K341" i="1" a="1"/>
  <c r="K342" i="1" a="1"/>
  <c r="K343" i="1" a="1"/>
  <c r="K344" i="1" a="1"/>
  <c r="K345" i="1" a="1"/>
  <c r="K346" i="1" a="1"/>
  <c r="K347" i="1" a="1"/>
  <c r="K348" i="1" a="1"/>
  <c r="K349" i="1" a="1"/>
  <c r="K350" i="1" a="1"/>
  <c r="K351" i="1" a="1"/>
  <c r="K352" i="1" a="1"/>
  <c r="K353" i="1" a="1"/>
  <c r="K354" i="1" a="1"/>
  <c r="K355" i="1" a="1"/>
  <c r="K356" i="1" a="1"/>
  <c r="K357" i="1" a="1"/>
  <c r="K358" i="1" a="1"/>
  <c r="K359" i="1" a="1"/>
  <c r="K360" i="1" a="1"/>
  <c r="K361" i="1" a="1"/>
  <c r="K362" i="1" a="1"/>
  <c r="K363" i="1" a="1"/>
  <c r="K364" i="1" a="1"/>
  <c r="K365" i="1" a="1"/>
  <c r="K366" i="1" a="1"/>
  <c r="K367" i="1" a="1"/>
  <c r="K368" i="1" a="1"/>
  <c r="K369" i="1" a="1"/>
  <c r="K370" i="1" a="1"/>
  <c r="K371" i="1" a="1"/>
  <c r="K372" i="1" a="1"/>
  <c r="K373" i="1" a="1"/>
  <c r="K374" i="1" a="1"/>
  <c r="K375" i="1" a="1"/>
  <c r="K376" i="1" a="1"/>
  <c r="K377" i="1" a="1"/>
  <c r="K378" i="1" a="1"/>
  <c r="K379" i="1" a="1"/>
  <c r="K380" i="1" a="1"/>
  <c r="K381" i="1" a="1"/>
  <c r="K382" i="1" a="1"/>
  <c r="K383" i="1" a="1"/>
  <c r="K384" i="1" a="1"/>
  <c r="K385" i="1" a="1"/>
  <c r="K386" i="1" a="1"/>
  <c r="K387" i="1" a="1"/>
  <c r="K388" i="1" a="1"/>
  <c r="K389" i="1" a="1"/>
  <c r="K390" i="1" a="1"/>
  <c r="K391" i="1" a="1"/>
  <c r="K392" i="1" a="1"/>
  <c r="K393" i="1" a="1"/>
  <c r="K394" i="1" a="1"/>
  <c r="K395" i="1" a="1"/>
  <c r="K396" i="1" a="1"/>
  <c r="K397" i="1" a="1"/>
  <c r="K398" i="1" a="1"/>
  <c r="K399" i="1" a="1"/>
  <c r="K400" i="1" a="1"/>
  <c r="K401" i="1" a="1"/>
  <c r="K402" i="1" a="1"/>
  <c r="K403" i="1" a="1"/>
  <c r="K404" i="1" a="1"/>
  <c r="K405" i="1" a="1"/>
  <c r="K406" i="1" a="1"/>
  <c r="K407" i="1" a="1"/>
  <c r="K408" i="1" a="1"/>
  <c r="K409" i="1" a="1"/>
  <c r="K410" i="1" a="1"/>
  <c r="K411" i="1" a="1"/>
  <c r="K412" i="1" a="1"/>
  <c r="K413" i="1" a="1"/>
  <c r="K414" i="1" a="1"/>
  <c r="K415" i="1" a="1"/>
  <c r="K416" i="1" a="1"/>
  <c r="K417" i="1" a="1"/>
  <c r="K418" i="1" a="1"/>
  <c r="K419" i="1" a="1"/>
  <c r="K420" i="1" a="1"/>
  <c r="K421" i="1" a="1"/>
  <c r="K422" i="1" a="1"/>
  <c r="K423" i="1" a="1"/>
  <c r="K424" i="1" a="1"/>
  <c r="K425" i="1" a="1"/>
  <c r="K426" i="1" a="1"/>
  <c r="K427" i="1" a="1"/>
  <c r="K428" i="1" a="1"/>
  <c r="K429" i="1" a="1"/>
  <c r="K430" i="1" a="1"/>
  <c r="K431" i="1" a="1"/>
  <c r="K432" i="1" a="1"/>
  <c r="K433" i="1" a="1"/>
  <c r="K434" i="1" a="1"/>
  <c r="K435" i="1" a="1"/>
  <c r="K436" i="1" a="1"/>
  <c r="K437" i="1" a="1"/>
  <c r="K438" i="1" a="1"/>
  <c r="K439" i="1" a="1"/>
  <c r="K440" i="1" a="1"/>
  <c r="K441" i="1" a="1"/>
  <c r="K442" i="1" a="1"/>
  <c r="K443" i="1" a="1"/>
  <c r="K444" i="1" a="1"/>
  <c r="K445" i="1" a="1"/>
  <c r="K446" i="1" a="1"/>
  <c r="K447" i="1" a="1"/>
  <c r="K448" i="1" a="1"/>
  <c r="K449" i="1" a="1"/>
  <c r="K450" i="1" a="1"/>
  <c r="K451" i="1" a="1"/>
  <c r="K452" i="1" a="1"/>
  <c r="K453" i="1" a="1"/>
  <c r="K454" i="1" a="1"/>
  <c r="K455" i="1" a="1"/>
  <c r="K456" i="1" a="1"/>
  <c r="K457" i="1" a="1"/>
  <c r="K458" i="1" a="1"/>
  <c r="K459" i="1" a="1"/>
  <c r="K460" i="1" a="1"/>
  <c r="K461" i="1" a="1"/>
  <c r="K462" i="1" a="1"/>
  <c r="K463" i="1" a="1"/>
  <c r="K464" i="1" a="1"/>
  <c r="K465" i="1" a="1"/>
  <c r="K466" i="1" a="1"/>
  <c r="K467" i="1" a="1"/>
  <c r="K468" i="1" a="1"/>
  <c r="K469" i="1" a="1"/>
  <c r="K470" i="1" a="1"/>
  <c r="K471" i="1" a="1"/>
  <c r="K472" i="1" a="1"/>
  <c r="K473" i="1" a="1"/>
  <c r="K474" i="1" a="1"/>
  <c r="K475" i="1" a="1"/>
  <c r="K476" i="1" a="1"/>
  <c r="K477" i="1" a="1"/>
  <c r="K478" i="1" a="1"/>
  <c r="K479" i="1" a="1"/>
  <c r="K480" i="1" a="1"/>
  <c r="K481" i="1" a="1"/>
  <c r="K482" i="1" a="1"/>
  <c r="K483" i="1" a="1"/>
  <c r="K484" i="1" a="1"/>
  <c r="K485" i="1" a="1"/>
  <c r="K486" i="1" a="1"/>
  <c r="K487" i="1" a="1"/>
  <c r="K488" i="1" a="1"/>
  <c r="K489" i="1" a="1"/>
  <c r="K490" i="1" a="1"/>
  <c r="K491" i="1" a="1"/>
  <c r="K492" i="1" a="1"/>
  <c r="K493" i="1" a="1"/>
  <c r="K494" i="1" a="1"/>
  <c r="K495" i="1" a="1"/>
  <c r="K496" i="1" a="1"/>
  <c r="K497" i="1" a="1"/>
  <c r="K498" i="1" a="1"/>
  <c r="K499" i="1" a="1"/>
  <c r="K500" i="1" a="1"/>
  <c r="K501" i="1" a="1"/>
  <c r="K502" i="1" a="1"/>
  <c r="K503" i="1" a="1"/>
  <c r="K504" i="1" a="1"/>
  <c r="K505" i="1" a="1"/>
  <c r="K506" i="1" a="1"/>
  <c r="K507" i="1" a="1"/>
  <c r="K510" i="1" a="1"/>
  <c r="K513" i="1" a="1"/>
  <c r="K516" i="1" a="1"/>
  <c r="K519" i="1" a="1"/>
  <c r="K522" i="1" a="1"/>
  <c r="K525" i="1" a="1"/>
  <c r="K528" i="1" a="1"/>
  <c r="K531" i="1" a="1"/>
  <c r="K534" i="1" a="1"/>
  <c r="K537" i="1" a="1"/>
  <c r="K540" i="1" a="1"/>
  <c r="K543" i="1" a="1"/>
  <c r="K546" i="1" a="1"/>
  <c r="K549" i="1" a="1"/>
  <c r="K551" i="1" a="1"/>
  <c r="K552" i="1" a="1"/>
  <c r="K553" i="1" a="1"/>
  <c r="K554" i="1" a="1"/>
  <c r="K555" i="1" a="1"/>
  <c r="K556" i="1" a="1"/>
  <c r="K557" i="1" a="1"/>
  <c r="K558" i="1" a="1"/>
  <c r="K559" i="1" a="1"/>
  <c r="K560" i="1" a="1"/>
  <c r="K561" i="1" a="1"/>
  <c r="K562" i="1" a="1"/>
  <c r="K563" i="1" a="1"/>
  <c r="K564" i="1" a="1"/>
  <c r="K565" i="1" a="1"/>
  <c r="K566" i="1" a="1"/>
  <c r="K567" i="1" a="1"/>
  <c r="K568" i="1" a="1"/>
  <c r="K569" i="1" a="1"/>
  <c r="K570" i="1" a="1"/>
  <c r="K571" i="1" a="1"/>
  <c r="K572" i="1" a="1"/>
  <c r="K573" i="1" a="1"/>
  <c r="K574" i="1" a="1"/>
  <c r="K575" i="1" a="1"/>
  <c r="K576" i="1" a="1"/>
  <c r="K577" i="1" a="1"/>
  <c r="K578" i="1" a="1"/>
  <c r="K579" i="1" a="1"/>
  <c r="K580" i="1" a="1"/>
  <c r="K581" i="1" a="1"/>
  <c r="K582" i="1" a="1"/>
  <c r="K583" i="1" a="1"/>
  <c r="K584" i="1" a="1"/>
  <c r="K585" i="1" a="1"/>
  <c r="K586" i="1" a="1"/>
  <c r="K587" i="1" a="1"/>
  <c r="K588" i="1" a="1"/>
  <c r="K589" i="1" a="1"/>
  <c r="K590" i="1" a="1"/>
  <c r="K591" i="1" a="1"/>
  <c r="K592" i="1" a="1"/>
  <c r="K593" i="1" a="1"/>
  <c r="K594" i="1" a="1"/>
  <c r="K595" i="1" a="1"/>
  <c r="K596" i="1" a="1"/>
  <c r="K597" i="1" a="1"/>
  <c r="K598" i="1" a="1"/>
  <c r="K599" i="1" a="1"/>
  <c r="K600" i="1" a="1"/>
  <c r="K601" i="1" a="1"/>
  <c r="K602" i="1" a="1"/>
  <c r="K603" i="1" a="1"/>
  <c r="K604" i="1" a="1"/>
  <c r="K605" i="1" a="1"/>
  <c r="K606" i="1" a="1"/>
  <c r="K607" i="1" a="1"/>
  <c r="K608" i="1" a="1"/>
  <c r="K609" i="1" a="1"/>
  <c r="K610" i="1" a="1"/>
  <c r="K611" i="1" a="1"/>
  <c r="K612" i="1" a="1"/>
  <c r="K613" i="1" a="1"/>
  <c r="K614" i="1" a="1"/>
  <c r="K615" i="1" a="1"/>
  <c r="K616" i="1" a="1"/>
  <c r="K617" i="1" a="1"/>
  <c r="K618" i="1" a="1"/>
  <c r="K619" i="1" a="1"/>
  <c r="K620" i="1" a="1"/>
  <c r="K621" i="1" a="1"/>
  <c r="K622" i="1" a="1"/>
  <c r="K623" i="1" a="1"/>
  <c r="K624" i="1" a="1"/>
  <c r="K625" i="1" a="1"/>
  <c r="K626" i="1" a="1"/>
  <c r="K627" i="1" a="1"/>
  <c r="K628" i="1" a="1"/>
  <c r="K629" i="1" a="1"/>
  <c r="K630" i="1" a="1"/>
  <c r="K631" i="1" a="1"/>
  <c r="K632" i="1" a="1"/>
  <c r="K633" i="1" a="1"/>
  <c r="K634" i="1" a="1"/>
  <c r="K635" i="1" a="1"/>
  <c r="K636" i="1" a="1"/>
  <c r="K637" i="1" a="1"/>
  <c r="K638" i="1" a="1"/>
  <c r="K639" i="1" a="1"/>
  <c r="K640" i="1" a="1"/>
  <c r="K641" i="1" a="1"/>
  <c r="K642" i="1" a="1"/>
  <c r="K643" i="1" a="1"/>
  <c r="K644" i="1" a="1"/>
  <c r="K645" i="1" a="1"/>
  <c r="K646" i="1" a="1"/>
  <c r="K647" i="1" a="1"/>
  <c r="K648" i="1" a="1"/>
  <c r="K649" i="1" a="1"/>
  <c r="K650" i="1" a="1"/>
  <c r="K651" i="1" a="1"/>
  <c r="K652" i="1" a="1"/>
  <c r="K653" i="1" a="1"/>
  <c r="K654" i="1" a="1"/>
  <c r="K655" i="1" a="1"/>
  <c r="K656" i="1" a="1"/>
  <c r="K657" i="1" a="1"/>
  <c r="K658" i="1" a="1"/>
  <c r="K659" i="1" a="1"/>
  <c r="K660" i="1" a="1"/>
  <c r="K661" i="1" a="1"/>
  <c r="K662" i="1" a="1"/>
  <c r="K663" i="1" a="1"/>
  <c r="K664" i="1" a="1"/>
  <c r="K665" i="1" a="1"/>
  <c r="K666" i="1" a="1"/>
  <c r="K667" i="1" a="1"/>
  <c r="K668" i="1" a="1"/>
  <c r="K669" i="1" a="1"/>
  <c r="K670" i="1" a="1"/>
  <c r="K671" i="1" a="1"/>
  <c r="K672" i="1" a="1"/>
  <c r="K673" i="1" a="1"/>
  <c r="K674" i="1" a="1"/>
  <c r="K675" i="1" a="1"/>
  <c r="K676" i="1" a="1"/>
  <c r="K677" i="1" a="1"/>
  <c r="K678" i="1" a="1"/>
  <c r="K679" i="1" a="1"/>
  <c r="K680" i="1" a="1"/>
  <c r="K681" i="1" a="1"/>
  <c r="K682" i="1" a="1"/>
  <c r="K683" i="1" a="1"/>
  <c r="K684" i="1" a="1"/>
  <c r="K685" i="1" a="1"/>
  <c r="K686" i="1" a="1"/>
  <c r="K687" i="1" a="1"/>
  <c r="K688" i="1" a="1"/>
  <c r="K689" i="1" a="1"/>
  <c r="K690" i="1" a="1"/>
  <c r="K691" i="1" a="1"/>
  <c r="K692" i="1" a="1"/>
  <c r="K693" i="1" a="1"/>
  <c r="K694" i="1" a="1"/>
  <c r="K695" i="1" a="1"/>
  <c r="K696" i="1" a="1"/>
  <c r="K697" i="1" a="1"/>
  <c r="K698" i="1" a="1"/>
  <c r="K699" i="1" a="1"/>
  <c r="K700" i="1" a="1"/>
  <c r="K701" i="1" a="1"/>
  <c r="K702" i="1" a="1"/>
  <c r="K703" i="1" a="1"/>
  <c r="K704" i="1" a="1"/>
  <c r="K705" i="1" a="1"/>
  <c r="K706" i="1" a="1"/>
  <c r="K707" i="1" a="1"/>
  <c r="K708" i="1" a="1"/>
  <c r="K709" i="1" a="1"/>
  <c r="K710" i="1" a="1"/>
  <c r="K711" i="1" a="1"/>
  <c r="K712" i="1" a="1"/>
  <c r="K713" i="1" a="1"/>
  <c r="K714" i="1" a="1"/>
  <c r="K715" i="1" a="1"/>
  <c r="K716" i="1" a="1"/>
  <c r="K717" i="1" a="1"/>
  <c r="K718" i="1" a="1"/>
  <c r="K719" i="1" a="1"/>
  <c r="K720" i="1" a="1"/>
  <c r="K721" i="1" a="1"/>
  <c r="K722" i="1" a="1"/>
  <c r="K723" i="1" a="1"/>
  <c r="K724" i="1" a="1"/>
  <c r="K725" i="1" a="1"/>
  <c r="K726" i="1" a="1"/>
  <c r="K727" i="1" a="1"/>
  <c r="K728" i="1" a="1"/>
  <c r="K729" i="1" a="1"/>
  <c r="K730" i="1" a="1"/>
  <c r="K731" i="1" a="1"/>
  <c r="K732" i="1" a="1"/>
  <c r="K733" i="1" a="1"/>
  <c r="K734" i="1" a="1"/>
  <c r="K735" i="1" a="1"/>
  <c r="K736" i="1" a="1"/>
  <c r="K931" i="1" a="1"/>
  <c r="K932" i="1" a="1"/>
  <c r="K933" i="1" a="1"/>
  <c r="K934" i="1" a="1"/>
  <c r="K935" i="1" a="1"/>
  <c r="K936" i="1" a="1"/>
  <c r="K937" i="1" a="1"/>
  <c r="K938" i="1" a="1"/>
  <c r="K939" i="1" a="1"/>
  <c r="K940" i="1" a="1"/>
  <c r="K941" i="1" a="1"/>
  <c r="K942" i="1" a="1"/>
  <c r="K943" i="1" a="1"/>
  <c r="K944" i="1" a="1"/>
  <c r="K945" i="1" a="1"/>
  <c r="K946" i="1" a="1"/>
  <c r="K947" i="1" a="1"/>
  <c r="K948" i="1" a="1"/>
  <c r="K949" i="1" a="1"/>
  <c r="K950" i="1" a="1"/>
  <c r="K951" i="1" a="1"/>
  <c r="K952" i="1" a="1"/>
  <c r="K953" i="1" a="1"/>
  <c r="K954" i="1" a="1"/>
  <c r="K955" i="1" a="1"/>
  <c r="K956" i="1" a="1"/>
  <c r="K957" i="1" a="1"/>
  <c r="K958" i="1" a="1"/>
  <c r="K959" i="1" a="1"/>
  <c r="K960" i="1" a="1"/>
  <c r="K961" i="1" a="1"/>
  <c r="K962" i="1" a="1"/>
  <c r="K963" i="1" a="1"/>
  <c r="K964" i="1" a="1"/>
  <c r="K965" i="1" a="1"/>
  <c r="K966" i="1" a="1"/>
  <c r="K967" i="1" a="1"/>
  <c r="K968" i="1" a="1"/>
  <c r="K969" i="1" a="1"/>
  <c r="K970" i="1" a="1"/>
  <c r="K971" i="1" a="1"/>
  <c r="K972" i="1" a="1"/>
  <c r="K973" i="1" a="1"/>
  <c r="K974" i="1" a="1"/>
  <c r="K975" i="1" a="1"/>
  <c r="K976" i="1" a="1"/>
  <c r="K977" i="1" a="1"/>
  <c r="K978" i="1" a="1"/>
  <c r="K979" i="1" a="1"/>
  <c r="K980" i="1" a="1"/>
  <c r="K981" i="1" a="1"/>
  <c r="K982" i="1" a="1"/>
  <c r="K983" i="1" a="1"/>
  <c r="K984" i="1" a="1"/>
  <c r="K985" i="1" a="1"/>
  <c r="K986" i="1" a="1"/>
  <c r="K987" i="1" a="1"/>
  <c r="K988" i="1" a="1"/>
  <c r="K989" i="1" a="1"/>
  <c r="K990" i="1" a="1"/>
  <c r="K991" i="1" a="1"/>
  <c r="K992" i="1" a="1"/>
  <c r="K993" i="1" a="1"/>
  <c r="K994" i="1" a="1"/>
  <c r="K995" i="1" a="1"/>
  <c r="K996" i="1" a="1"/>
  <c r="K997" i="1" a="1"/>
  <c r="K998" i="1" a="1"/>
  <c r="K999" i="1" a="1"/>
  <c r="K1000" i="1" a="1"/>
  <c r="K1001" i="1" a="1"/>
  <c r="K1002" i="1" a="1"/>
  <c r="K1003" i="1" a="1"/>
  <c r="K1004" i="1" a="1"/>
  <c r="K1005" i="1" a="1"/>
  <c r="K1006" i="1" a="1"/>
  <c r="K1007" i="1" a="1"/>
  <c r="K1008" i="1" a="1"/>
  <c r="K1009" i="1" a="1"/>
  <c r="K1010" i="1" a="1"/>
  <c r="K1011" i="1" a="1"/>
  <c r="K1012" i="1" a="1"/>
  <c r="K1013" i="1" a="1"/>
  <c r="K1014" i="1" a="1"/>
  <c r="K1015" i="1" a="1"/>
  <c r="K1016" i="1" a="1"/>
  <c r="K1017" i="1" a="1"/>
  <c r="K1018" i="1" a="1"/>
  <c r="K1019" i="1" a="1"/>
  <c r="K1020" i="1" a="1"/>
  <c r="K1021" i="1" a="1"/>
  <c r="K1022" i="1" a="1"/>
  <c r="K1023" i="1" a="1"/>
  <c r="K1024" i="1" a="1"/>
  <c r="K1025" i="1" a="1"/>
  <c r="K1026" i="1" a="1"/>
  <c r="K1027" i="1" a="1"/>
  <c r="K1028" i="1" a="1"/>
  <c r="K1029" i="1" a="1"/>
  <c r="K1030" i="1" a="1"/>
  <c r="K1031" i="1" a="1"/>
  <c r="K1032" i="1" a="1"/>
  <c r="K1033" i="1" a="1"/>
  <c r="K1034" i="1" a="1"/>
  <c r="K1035" i="1" a="1"/>
  <c r="K1036" i="1" a="1"/>
  <c r="K1037" i="1" a="1"/>
  <c r="K1038" i="1" a="1"/>
  <c r="K1039" i="1" a="1"/>
  <c r="K1040" i="1" a="1"/>
  <c r="K1041" i="1" a="1"/>
  <c r="K1042" i="1" a="1"/>
  <c r="K1043" i="1" a="1"/>
  <c r="K1044" i="1" a="1"/>
  <c r="K1045" i="1" a="1"/>
  <c r="K1046" i="1" a="1"/>
  <c r="K1047" i="1" a="1"/>
  <c r="K1048" i="1" a="1"/>
  <c r="K1049" i="1" a="1"/>
  <c r="K1050" i="1" a="1"/>
  <c r="K1051" i="1" a="1"/>
  <c r="K1052" i="1" a="1"/>
  <c r="K1053" i="1" a="1"/>
  <c r="K1054" i="1" a="1"/>
  <c r="K1055" i="1" a="1"/>
  <c r="K1056" i="1" a="1"/>
  <c r="K1057" i="1" a="1"/>
  <c r="K1058" i="1" a="1"/>
  <c r="K1059" i="1" a="1"/>
  <c r="K1060" i="1" a="1"/>
  <c r="K1061" i="1" a="1"/>
  <c r="K1062" i="1" a="1"/>
  <c r="K1063" i="1" a="1"/>
  <c r="K1064" i="1" a="1"/>
  <c r="K1065" i="1" a="1"/>
  <c r="K1066" i="1" a="1"/>
  <c r="K1067" i="1" a="1"/>
  <c r="K1068" i="1" a="1"/>
  <c r="K1069" i="1" a="1"/>
  <c r="K1070" i="1" a="1"/>
  <c r="K1071" i="1" a="1"/>
  <c r="K1072" i="1" a="1"/>
  <c r="K1073" i="1" a="1"/>
  <c r="K1074" i="1" a="1"/>
  <c r="K1075" i="1" a="1"/>
  <c r="K1076" i="1" a="1"/>
  <c r="K1077" i="1" a="1"/>
  <c r="K1078" i="1" a="1"/>
  <c r="K1079" i="1" a="1"/>
  <c r="K1080" i="1" a="1"/>
  <c r="K1081" i="1" a="1"/>
  <c r="K1082" i="1" a="1"/>
  <c r="K1083" i="1" a="1"/>
  <c r="K1084" i="1" a="1"/>
  <c r="K1085" i="1" a="1"/>
  <c r="K1086" i="1" a="1"/>
  <c r="K1087" i="1" a="1"/>
  <c r="K1088" i="1" a="1"/>
  <c r="K1089" i="1" a="1"/>
  <c r="K1090" i="1" a="1"/>
  <c r="K1091" i="1" a="1"/>
  <c r="K1092" i="1" a="1"/>
  <c r="K1093" i="1" a="1"/>
  <c r="K1094" i="1" a="1"/>
  <c r="K1095" i="1" a="1"/>
  <c r="K1096" i="1" a="1"/>
  <c r="K1097" i="1" a="1"/>
  <c r="K1098" i="1" a="1"/>
  <c r="K1099" i="1" a="1"/>
  <c r="K1177" i="1" a="1"/>
  <c r="K1179" i="1" a="1"/>
  <c r="K1181" i="1" a="1"/>
  <c r="K1183" i="1" a="1"/>
  <c r="K1185" i="1" a="1"/>
  <c r="K1187" i="1" a="1"/>
  <c r="K1189" i="1" a="1"/>
  <c r="K1191" i="1" a="1"/>
  <c r="K1193" i="1" a="1"/>
  <c r="K1195" i="1" a="1"/>
  <c r="K1197" i="1" a="1"/>
  <c r="K1199" i="1" a="1"/>
  <c r="K1201" i="1" a="1"/>
  <c r="K1203" i="1" a="1"/>
  <c r="K1205" i="1" a="1"/>
  <c r="K1207" i="1" a="1"/>
  <c r="K1209" i="1" a="1"/>
  <c r="K1211" i="1" a="1"/>
  <c r="K1213" i="1" a="1"/>
  <c r="K1215" i="1" a="1"/>
  <c r="K1217" i="1" a="1"/>
  <c r="K1219" i="1" a="1"/>
  <c r="K1221" i="1" a="1"/>
  <c r="K1223" i="1" a="1"/>
  <c r="K1225" i="1" a="1"/>
  <c r="K1227" i="1" a="1"/>
  <c r="K1229" i="1" a="1"/>
  <c r="K1231" i="1" a="1"/>
  <c r="K1233" i="1" a="1"/>
  <c r="K1235" i="1" a="1"/>
  <c r="K508" i="1" a="1"/>
  <c r="K511" i="1" a="1"/>
  <c r="K514" i="1" a="1"/>
  <c r="K517" i="1" a="1"/>
  <c r="K520" i="1" a="1"/>
  <c r="K523" i="1" a="1"/>
  <c r="K526" i="1" a="1"/>
  <c r="K529" i="1" a="1"/>
  <c r="K532" i="1" a="1"/>
  <c r="K535" i="1" a="1"/>
  <c r="K538" i="1" a="1"/>
  <c r="K541" i="1" a="1"/>
  <c r="K544" i="1" a="1"/>
  <c r="K547" i="1" a="1"/>
  <c r="K550" i="1" a="1"/>
  <c r="K1100" i="1" a="1"/>
  <c r="K1101" i="1" a="1"/>
  <c r="K1102" i="1" a="1"/>
  <c r="K1103" i="1" a="1"/>
  <c r="K1104" i="1" a="1"/>
  <c r="K1105" i="1" a="1"/>
  <c r="K1106" i="1" a="1"/>
  <c r="K1107" i="1" a="1"/>
  <c r="K1108" i="1" a="1"/>
  <c r="K1109" i="1" a="1"/>
  <c r="K1110" i="1" a="1"/>
  <c r="K1111" i="1" a="1"/>
  <c r="K1112" i="1" a="1"/>
  <c r="K1113" i="1" a="1"/>
  <c r="K1114" i="1" a="1"/>
  <c r="K1115" i="1" a="1"/>
  <c r="K1116" i="1" a="1"/>
  <c r="K1117" i="1" a="1"/>
  <c r="K1118" i="1" a="1"/>
  <c r="K1119" i="1" a="1"/>
  <c r="K1120" i="1" a="1"/>
  <c r="K1121" i="1" a="1"/>
  <c r="K1122" i="1" a="1"/>
  <c r="K1123" i="1" a="1"/>
  <c r="K1124" i="1" a="1"/>
  <c r="K1125" i="1" a="1"/>
  <c r="K1126" i="1" a="1"/>
  <c r="K1127" i="1" a="1"/>
  <c r="K1128" i="1" a="1"/>
  <c r="K1129" i="1" a="1"/>
  <c r="K1130" i="1" a="1"/>
  <c r="K1131" i="1" a="1"/>
  <c r="K1132" i="1" a="1"/>
  <c r="K1133" i="1" a="1"/>
  <c r="K1134" i="1" a="1"/>
  <c r="K1135" i="1" a="1"/>
  <c r="K1136" i="1" a="1"/>
  <c r="K1137" i="1" a="1"/>
  <c r="K1138" i="1" a="1"/>
  <c r="K1139" i="1" a="1"/>
  <c r="K1140" i="1" a="1"/>
  <c r="K1141" i="1" a="1"/>
  <c r="K1142" i="1" a="1"/>
  <c r="K1143" i="1" a="1"/>
  <c r="K1144" i="1" a="1"/>
  <c r="K1145" i="1" a="1"/>
  <c r="K1146" i="1" a="1"/>
  <c r="K1147" i="1" a="1"/>
  <c r="K1148" i="1" a="1"/>
  <c r="K1149" i="1" a="1"/>
  <c r="K1150" i="1" a="1"/>
  <c r="K1151" i="1" a="1"/>
  <c r="K1152" i="1" a="1"/>
  <c r="K1153" i="1" a="1"/>
  <c r="K1154" i="1" a="1"/>
  <c r="K1155" i="1" a="1"/>
  <c r="K1156" i="1" a="1"/>
  <c r="K1157" i="1" a="1"/>
  <c r="K1158" i="1" a="1"/>
  <c r="K1159" i="1" a="1"/>
  <c r="K1160" i="1" a="1"/>
  <c r="K1161" i="1" a="1"/>
  <c r="K1162" i="1" a="1"/>
  <c r="K1163" i="1" a="1"/>
  <c r="K1164" i="1" a="1"/>
  <c r="K1165" i="1" a="1"/>
  <c r="K1166" i="1" a="1"/>
  <c r="K1167" i="1" a="1"/>
  <c r="K1168" i="1" a="1"/>
  <c r="K1169" i="1" a="1"/>
  <c r="K1170" i="1" a="1"/>
  <c r="K1171" i="1" a="1"/>
  <c r="K1172" i="1" a="1"/>
  <c r="K1173" i="1" a="1"/>
  <c r="K1174" i="1" a="1"/>
  <c r="K1175" i="1" a="1"/>
  <c r="K1176" i="1" a="1"/>
  <c r="K1178" i="1" a="1"/>
  <c r="K1180" i="1" a="1"/>
  <c r="K1182" i="1" a="1"/>
  <c r="K1184" i="1" a="1"/>
  <c r="K1186" i="1" a="1"/>
  <c r="K1188" i="1" a="1"/>
  <c r="K1190" i="1" a="1"/>
  <c r="K1192" i="1" a="1"/>
  <c r="K1194" i="1" a="1"/>
  <c r="K1196" i="1" a="1"/>
  <c r="K1198" i="1" a="1"/>
  <c r="K1200" i="1" a="1"/>
  <c r="K1202" i="1" a="1"/>
  <c r="K1204" i="1" a="1"/>
  <c r="K1206" i="1" a="1"/>
  <c r="K1208" i="1" a="1"/>
  <c r="K1210" i="1" a="1"/>
  <c r="K1212" i="1" a="1"/>
  <c r="K1214" i="1" a="1"/>
  <c r="K1216" i="1" a="1"/>
  <c r="K1218" i="1" a="1"/>
  <c r="K1220" i="1" a="1"/>
  <c r="K1222" i="1" a="1"/>
  <c r="K1224" i="1" a="1"/>
  <c r="K1226" i="1" a="1"/>
  <c r="K1228" i="1" a="1"/>
  <c r="K1230" i="1" a="1"/>
  <c r="K1232" i="1" a="1"/>
  <c r="K1234" i="1" a="1"/>
  <c r="K2" i="1" a="1"/>
  <c r="K509" i="1" a="1"/>
  <c r="K512" i="1" a="1"/>
  <c r="K515" i="1" a="1"/>
  <c r="K518" i="1" a="1"/>
  <c r="K521" i="1" a="1"/>
  <c r="K524" i="1" a="1"/>
  <c r="K527" i="1" a="1"/>
  <c r="K530" i="1" a="1"/>
  <c r="K533" i="1" a="1"/>
  <c r="K536" i="1" a="1"/>
  <c r="K539" i="1" a="1"/>
  <c r="K542" i="1" a="1"/>
  <c r="K545" i="1" a="1"/>
  <c r="K548" i="1" a="1"/>
  <c r="K3" i="1" a="1"/>
  <c r="K8" i="1" a="1"/>
  <c r="K10" i="1" a="1"/>
  <c r="K12" i="1" a="1"/>
  <c r="K14" i="1" a="1"/>
  <c r="K16" i="1" a="1"/>
  <c r="K18" i="1" a="1"/>
  <c r="K20" i="1" a="1"/>
  <c r="K22" i="1" a="1"/>
  <c r="K24" i="1" a="1"/>
  <c r="K26" i="1" a="1"/>
  <c r="K28" i="1" a="1"/>
  <c r="K30" i="1" a="1"/>
  <c r="K32" i="1" a="1"/>
  <c r="K34" i="1" a="1"/>
  <c r="K737" i="1" a="1"/>
  <c r="K738" i="1" a="1"/>
  <c r="K739" i="1" a="1"/>
  <c r="K740" i="1" a="1"/>
  <c r="K741" i="1" a="1"/>
  <c r="K742" i="1" a="1"/>
  <c r="K743" i="1" a="1"/>
  <c r="K744" i="1" a="1"/>
  <c r="K745" i="1" a="1"/>
  <c r="K746" i="1" a="1"/>
  <c r="K747" i="1" a="1"/>
  <c r="K748" i="1" a="1"/>
  <c r="K749" i="1" a="1"/>
  <c r="K750" i="1" a="1"/>
  <c r="K751" i="1" a="1"/>
  <c r="K752" i="1" a="1"/>
  <c r="K753" i="1" a="1"/>
  <c r="K754" i="1" a="1"/>
  <c r="K755" i="1" a="1"/>
  <c r="K756" i="1" a="1"/>
  <c r="K757" i="1" a="1"/>
  <c r="K758" i="1" a="1"/>
  <c r="K759" i="1" a="1"/>
  <c r="K760" i="1" a="1"/>
  <c r="K761" i="1" a="1"/>
  <c r="K762" i="1" a="1"/>
  <c r="K763" i="1" a="1"/>
  <c r="K764" i="1" a="1"/>
  <c r="K765" i="1" a="1"/>
  <c r="K766" i="1" a="1"/>
  <c r="K767" i="1" a="1"/>
  <c r="K768" i="1" a="1"/>
  <c r="K769" i="1" a="1"/>
  <c r="K770" i="1" a="1"/>
  <c r="K771" i="1" a="1"/>
  <c r="K772" i="1" a="1"/>
  <c r="K773" i="1" a="1"/>
  <c r="K774" i="1" a="1"/>
  <c r="K775" i="1" a="1"/>
  <c r="K776" i="1" a="1"/>
  <c r="K777" i="1" a="1"/>
  <c r="K778" i="1" a="1"/>
  <c r="K779" i="1" a="1"/>
  <c r="K780" i="1" a="1"/>
  <c r="K781" i="1" a="1"/>
  <c r="K782" i="1" a="1"/>
  <c r="K783" i="1" a="1"/>
  <c r="K784" i="1" a="1"/>
  <c r="K785" i="1" a="1"/>
  <c r="K786" i="1" a="1"/>
  <c r="K787" i="1" a="1"/>
  <c r="K788" i="1" a="1"/>
  <c r="K789" i="1" a="1"/>
  <c r="K790" i="1" a="1"/>
  <c r="K791" i="1" a="1"/>
  <c r="K792" i="1" a="1"/>
  <c r="K793" i="1" a="1"/>
  <c r="K794" i="1" a="1"/>
  <c r="K795" i="1" a="1"/>
  <c r="K796" i="1" a="1"/>
  <c r="K797" i="1" a="1"/>
  <c r="K798" i="1" a="1"/>
  <c r="K799" i="1" a="1"/>
  <c r="K800" i="1" a="1"/>
  <c r="K801" i="1" a="1"/>
  <c r="K802" i="1" a="1"/>
  <c r="K803" i="1" a="1"/>
  <c r="K804" i="1" a="1"/>
  <c r="K805" i="1" a="1"/>
  <c r="K806" i="1" a="1"/>
  <c r="K807" i="1" a="1"/>
  <c r="K808" i="1" a="1"/>
  <c r="K809" i="1" a="1"/>
  <c r="K810" i="1" a="1"/>
  <c r="K811" i="1" a="1"/>
  <c r="K812" i="1" a="1"/>
  <c r="K813" i="1" a="1"/>
  <c r="K814" i="1" a="1"/>
  <c r="K815" i="1" a="1"/>
  <c r="K816" i="1" a="1"/>
  <c r="K817" i="1" a="1"/>
  <c r="K818" i="1" a="1"/>
  <c r="K819" i="1" a="1"/>
  <c r="K820" i="1" a="1"/>
  <c r="K821" i="1" a="1"/>
  <c r="K822" i="1" a="1"/>
  <c r="K823" i="1" a="1"/>
  <c r="K824" i="1" a="1"/>
  <c r="K825" i="1" a="1"/>
  <c r="K826" i="1" a="1"/>
  <c r="K827" i="1" a="1"/>
  <c r="K828" i="1" a="1"/>
  <c r="K829" i="1" a="1"/>
  <c r="K830" i="1" a="1"/>
  <c r="K831" i="1" a="1"/>
  <c r="K832" i="1" a="1"/>
  <c r="K833" i="1" a="1"/>
  <c r="K834" i="1" a="1"/>
  <c r="K909" i="1" a="1"/>
  <c r="K910" i="1" a="1"/>
  <c r="K911" i="1" a="1"/>
  <c r="K912" i="1" a="1"/>
  <c r="K913" i="1" a="1"/>
  <c r="K914" i="1" a="1"/>
  <c r="K915" i="1" a="1"/>
  <c r="K916" i="1" a="1"/>
  <c r="K917" i="1" a="1"/>
  <c r="K918" i="1" a="1"/>
  <c r="K919" i="1" a="1"/>
  <c r="K920" i="1" a="1"/>
  <c r="K921" i="1" a="1"/>
  <c r="K922" i="1" a="1"/>
  <c r="K923" i="1" a="1"/>
  <c r="K924" i="1" a="1"/>
  <c r="K925" i="1" a="1"/>
  <c r="K926" i="1" a="1"/>
  <c r="K927" i="1" a="1"/>
  <c r="K928" i="1" a="1"/>
  <c r="K929" i="1" a="1"/>
  <c r="K930" i="1" a="1"/>
  <c r="K4" i="1" a="1"/>
  <c r="K5" i="1" a="1"/>
  <c r="K7" i="1" a="1"/>
  <c r="K9" i="1" a="1"/>
  <c r="K11" i="1" a="1"/>
  <c r="K13" i="1" a="1"/>
  <c r="K835" i="1" a="1"/>
  <c r="K836" i="1" a="1"/>
  <c r="K837" i="1" a="1"/>
  <c r="K838" i="1" a="1"/>
  <c r="K839" i="1" a="1"/>
  <c r="K840" i="1" a="1"/>
  <c r="K841" i="1" a="1"/>
  <c r="K842" i="1" a="1"/>
  <c r="K843" i="1" a="1"/>
  <c r="K844" i="1" a="1"/>
  <c r="K845" i="1" a="1"/>
  <c r="K846" i="1" a="1"/>
  <c r="K847" i="1" a="1"/>
  <c r="K848" i="1" a="1"/>
  <c r="K849" i="1" a="1"/>
  <c r="K850" i="1" a="1"/>
  <c r="K851" i="1" a="1"/>
  <c r="K852" i="1" a="1"/>
  <c r="K853" i="1" a="1"/>
  <c r="K854" i="1" a="1"/>
  <c r="K855" i="1" a="1"/>
  <c r="K856" i="1" a="1"/>
  <c r="K857" i="1" a="1"/>
  <c r="K858" i="1" a="1"/>
  <c r="K859" i="1" a="1"/>
  <c r="K860" i="1" a="1"/>
  <c r="K861" i="1" a="1"/>
  <c r="K862" i="1" a="1"/>
  <c r="K863" i="1" a="1"/>
  <c r="K864" i="1" a="1"/>
  <c r="K865" i="1" a="1"/>
  <c r="K866" i="1" a="1"/>
  <c r="K867" i="1" a="1"/>
  <c r="K868" i="1" a="1"/>
  <c r="K869" i="1" a="1"/>
  <c r="K870" i="1" a="1"/>
  <c r="K871" i="1" a="1"/>
  <c r="K872" i="1" a="1"/>
  <c r="K873" i="1" a="1"/>
  <c r="K874" i="1" a="1"/>
  <c r="K875" i="1" a="1"/>
  <c r="K876" i="1" a="1"/>
  <c r="K877" i="1" a="1"/>
  <c r="K878" i="1" a="1"/>
  <c r="K879" i="1" a="1"/>
  <c r="K880" i="1" a="1"/>
  <c r="K881" i="1" a="1"/>
  <c r="K882" i="1" a="1"/>
  <c r="K883" i="1" a="1"/>
  <c r="K884" i="1" a="1"/>
  <c r="K885" i="1" a="1"/>
  <c r="K886" i="1" a="1"/>
  <c r="K887" i="1" a="1"/>
  <c r="K888" i="1" a="1"/>
  <c r="K889" i="1" a="1"/>
  <c r="K890" i="1" a="1"/>
  <c r="K891" i="1" a="1"/>
  <c r="K892" i="1" a="1"/>
  <c r="K893" i="1" a="1"/>
  <c r="K894" i="1" a="1"/>
  <c r="K895" i="1" a="1"/>
  <c r="K896" i="1" a="1"/>
  <c r="K897" i="1" a="1"/>
  <c r="K898" i="1" a="1"/>
  <c r="K899" i="1" a="1"/>
  <c r="K900" i="1" a="1"/>
  <c r="K901" i="1" a="1"/>
  <c r="K902" i="1" a="1"/>
  <c r="K903" i="1" a="1"/>
  <c r="K904" i="1" a="1"/>
  <c r="K905" i="1" a="1"/>
  <c r="K906" i="1" a="1"/>
  <c r="K907" i="1" a="1"/>
  <c r="K908" i="1" a="1"/>
  <c r="K57" i="1" a="1"/>
  <c r="K58" i="1" a="1"/>
  <c r="K63" i="1" a="1"/>
  <c r="K66" i="1" a="1"/>
  <c r="K69" i="1" a="1"/>
  <c r="K99" i="1" a="1"/>
  <c r="K102" i="1" a="1"/>
  <c r="K105" i="1" a="1"/>
  <c r="K54" i="1" a="1"/>
  <c r="K59" i="1" a="1"/>
  <c r="K62" i="1" a="1"/>
  <c r="K64" i="1" a="1"/>
  <c r="K67" i="1" a="1"/>
  <c r="K70" i="1" a="1"/>
  <c r="K100" i="1" a="1"/>
  <c r="K103" i="1" a="1"/>
  <c r="K52" i="1" a="1"/>
  <c r="K60" i="1" a="1"/>
  <c r="K61" i="1" a="1"/>
  <c r="K65" i="1" a="1"/>
  <c r="K68" i="1" a="1"/>
  <c r="K71" i="1" a="1"/>
  <c r="K101" i="1" a="1"/>
  <c r="K104" i="1" a="1"/>
  <c r="AE94" i="4"/>
  <c r="AE86" i="4"/>
  <c r="C195" i="1" a="1"/>
  <c r="C196" i="1" a="1"/>
  <c r="C202" i="1" a="1"/>
  <c r="C208" i="1" a="1"/>
  <c r="O208" i="1" s="1"/>
  <c r="C214" i="1" a="1"/>
  <c r="C220" i="1" a="1"/>
  <c r="F198" i="1" a="1"/>
  <c r="C212" i="1" a="1"/>
  <c r="C207" i="1" a="1"/>
  <c r="C197" i="1" a="1"/>
  <c r="C203" i="1" a="1"/>
  <c r="C209" i="1" a="1"/>
  <c r="C215" i="1" a="1"/>
  <c r="C221" i="1" a="1"/>
  <c r="C206" i="1" a="1"/>
  <c r="F196" i="1" a="1"/>
  <c r="C213" i="1" a="1"/>
  <c r="O213" i="1" s="1"/>
  <c r="C198" i="1" a="1"/>
  <c r="O198" i="1" s="1"/>
  <c r="C204" i="1" a="1"/>
  <c r="O204" i="1" s="1"/>
  <c r="C210" i="1" a="1"/>
  <c r="O210" i="1" s="1"/>
  <c r="C216" i="1" a="1"/>
  <c r="O216" i="1" s="1"/>
  <c r="F194" i="1" a="1"/>
  <c r="C194" i="1" a="1"/>
  <c r="O194" i="1" s="1"/>
  <c r="C218" i="1" a="1"/>
  <c r="O218" i="1" s="1"/>
  <c r="C219" i="1" a="1"/>
  <c r="O219" i="1" s="1"/>
  <c r="C199" i="1" a="1"/>
  <c r="O199" i="1" s="1"/>
  <c r="C205" i="1" a="1"/>
  <c r="O205" i="1" s="1"/>
  <c r="C211" i="1" a="1"/>
  <c r="O211" i="1" s="1"/>
  <c r="C217" i="1" a="1"/>
  <c r="O217" i="1" s="1"/>
  <c r="F195" i="1" a="1"/>
  <c r="C200" i="1" a="1"/>
  <c r="O200" i="1" s="1"/>
  <c r="C201" i="1" a="1"/>
  <c r="O201" i="1" s="1"/>
  <c r="F197" i="1" a="1"/>
  <c r="AE74" i="4"/>
  <c r="AE87" i="4"/>
  <c r="C37" i="1" a="1"/>
  <c r="O37" i="1" s="1"/>
  <c r="C32" i="1" a="1"/>
  <c r="O32" i="1" s="1"/>
  <c r="C27" i="1" a="1"/>
  <c r="O27" i="1" s="1"/>
  <c r="C22" i="1" a="1"/>
  <c r="O22" i="1" s="1"/>
  <c r="C23" i="1" a="1"/>
  <c r="O23" i="1" s="1"/>
  <c r="C24" i="1" a="1"/>
  <c r="O24" i="1" s="1"/>
  <c r="C38" i="1" a="1"/>
  <c r="O38" i="1" s="1"/>
  <c r="C33" i="1" a="1"/>
  <c r="O33" i="1" s="1"/>
  <c r="C28" i="1" a="1"/>
  <c r="O28" i="1" s="1"/>
  <c r="C29" i="1" a="1"/>
  <c r="O29" i="1" s="1"/>
  <c r="C30" i="1" a="1"/>
  <c r="O30" i="1" s="1"/>
  <c r="N30" i="1" a="1"/>
  <c r="C39" i="1" a="1"/>
  <c r="O39" i="1" s="1"/>
  <c r="C34" i="1" a="1"/>
  <c r="O34" i="1" s="1"/>
  <c r="C35" i="1" a="1"/>
  <c r="O35" i="1" s="1"/>
  <c r="C36" i="1" a="1"/>
  <c r="O36" i="1" s="1"/>
  <c r="C19" i="1" a="1"/>
  <c r="O19" i="1" s="1"/>
  <c r="C25" i="1" a="1"/>
  <c r="O25" i="1" s="1"/>
  <c r="C20" i="1" a="1"/>
  <c r="O20" i="1" s="1"/>
  <c r="C31" i="1" a="1"/>
  <c r="O31" i="1" s="1"/>
  <c r="C26" i="1" a="1"/>
  <c r="O26" i="1" s="1"/>
  <c r="C21" i="1" a="1"/>
  <c r="O21" i="1" s="1"/>
  <c r="C16" i="1" a="1"/>
  <c r="O16" i="1" s="1"/>
  <c r="C17" i="1" a="1"/>
  <c r="O17" i="1" s="1"/>
  <c r="C18" i="1" a="1"/>
  <c r="O18" i="1" s="1"/>
  <c r="D4" i="1" a="1"/>
  <c r="D5" i="1" a="1"/>
  <c r="D6" i="1" a="1"/>
  <c r="D7" i="1" a="1"/>
  <c r="D3" i="1" a="1"/>
  <c r="D13" i="1" a="1"/>
  <c r="D19" i="1" a="1"/>
  <c r="D25" i="1" a="1"/>
  <c r="D31" i="1" a="1"/>
  <c r="D37" i="1" a="1"/>
  <c r="D43" i="1" a="1"/>
  <c r="D49" i="1" a="1"/>
  <c r="D55" i="1" a="1"/>
  <c r="D61" i="1" a="1"/>
  <c r="D67" i="1" a="1"/>
  <c r="D73" i="1" a="1"/>
  <c r="D79" i="1" a="1"/>
  <c r="D85" i="1" a="1"/>
  <c r="D91" i="1" a="1"/>
  <c r="D97" i="1" a="1"/>
  <c r="D103" i="1" a="1"/>
  <c r="D109" i="1" a="1"/>
  <c r="D115" i="1" a="1"/>
  <c r="D121" i="1" a="1"/>
  <c r="D127" i="1" a="1"/>
  <c r="D133" i="1" a="1"/>
  <c r="D139" i="1" a="1"/>
  <c r="D145" i="1" a="1"/>
  <c r="D154" i="1" a="1"/>
  <c r="D163" i="1" a="1"/>
  <c r="D172" i="1" a="1"/>
  <c r="D181" i="1" a="1"/>
  <c r="D190" i="1" a="1"/>
  <c r="D199" i="1" a="1"/>
  <c r="D208" i="1" a="1"/>
  <c r="D217" i="1" a="1"/>
  <c r="D226" i="1" a="1"/>
  <c r="D233" i="1" a="1"/>
  <c r="D237" i="1" a="1"/>
  <c r="D241" i="1" a="1"/>
  <c r="D245" i="1" a="1"/>
  <c r="D252" i="1" a="1"/>
  <c r="D8" i="1" a="1"/>
  <c r="D14" i="1" a="1"/>
  <c r="D20" i="1" a="1"/>
  <c r="D26" i="1" a="1"/>
  <c r="D32" i="1" a="1"/>
  <c r="D38" i="1" a="1"/>
  <c r="D44" i="1" a="1"/>
  <c r="D50" i="1" a="1"/>
  <c r="D56" i="1" a="1"/>
  <c r="D62" i="1" a="1"/>
  <c r="D68" i="1" a="1"/>
  <c r="D74" i="1" a="1"/>
  <c r="D80" i="1" a="1"/>
  <c r="D86" i="1" a="1"/>
  <c r="D92" i="1" a="1"/>
  <c r="D98" i="1" a="1"/>
  <c r="D104" i="1" a="1"/>
  <c r="D110" i="1" a="1"/>
  <c r="D116" i="1" a="1"/>
  <c r="D122" i="1" a="1"/>
  <c r="D128" i="1" a="1"/>
  <c r="D134" i="1" a="1"/>
  <c r="D140" i="1" a="1"/>
  <c r="D146" i="1" a="1"/>
  <c r="D150" i="1" a="1"/>
  <c r="D155" i="1" a="1"/>
  <c r="D159" i="1" a="1"/>
  <c r="D164" i="1" a="1"/>
  <c r="D168" i="1" a="1"/>
  <c r="D173" i="1" a="1"/>
  <c r="D177" i="1" a="1"/>
  <c r="D182" i="1" a="1"/>
  <c r="D186" i="1" a="1"/>
  <c r="D191" i="1" a="1"/>
  <c r="D195" i="1" a="1"/>
  <c r="D200" i="1" a="1"/>
  <c r="D204" i="1" a="1"/>
  <c r="D209" i="1" a="1"/>
  <c r="D9" i="1" a="1"/>
  <c r="D15" i="1" a="1"/>
  <c r="D21" i="1" a="1"/>
  <c r="D27" i="1" a="1"/>
  <c r="D33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99" i="1" a="1"/>
  <c r="D105" i="1" a="1"/>
  <c r="D111" i="1" a="1"/>
  <c r="D117" i="1" a="1"/>
  <c r="D123" i="1" a="1"/>
  <c r="D129" i="1" a="1"/>
  <c r="D135" i="1" a="1"/>
  <c r="D141" i="1" a="1"/>
  <c r="D151" i="1" a="1"/>
  <c r="D160" i="1" a="1"/>
  <c r="D169" i="1" a="1"/>
  <c r="D178" i="1" a="1"/>
  <c r="D187" i="1" a="1"/>
  <c r="D196" i="1" a="1"/>
  <c r="D205" i="1" a="1"/>
  <c r="D214" i="1" a="1"/>
  <c r="D223" i="1" a="1"/>
  <c r="D227" i="1" a="1"/>
  <c r="D234" i="1" a="1"/>
  <c r="D242" i="1" a="1"/>
  <c r="D10" i="1" a="1"/>
  <c r="D16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88" i="1" a="1"/>
  <c r="D94" i="1" a="1"/>
  <c r="D100" i="1" a="1"/>
  <c r="D106" i="1" a="1"/>
  <c r="D112" i="1" a="1"/>
  <c r="D118" i="1" a="1"/>
  <c r="D124" i="1" a="1"/>
  <c r="D130" i="1" a="1"/>
  <c r="D136" i="1" a="1"/>
  <c r="D142" i="1" a="1"/>
  <c r="D147" i="1" a="1"/>
  <c r="D152" i="1" a="1"/>
  <c r="D156" i="1" a="1"/>
  <c r="D161" i="1" a="1"/>
  <c r="D165" i="1" a="1"/>
  <c r="D170" i="1" a="1"/>
  <c r="D174" i="1" a="1"/>
  <c r="D179" i="1" a="1"/>
  <c r="D183" i="1" a="1"/>
  <c r="D188" i="1" a="1"/>
  <c r="D192" i="1" a="1"/>
  <c r="D197" i="1" a="1"/>
  <c r="D201" i="1" a="1"/>
  <c r="D11" i="1" a="1"/>
  <c r="D17" i="1" a="1"/>
  <c r="D23" i="1" a="1"/>
  <c r="D29" i="1" a="1"/>
  <c r="D35" i="1" a="1"/>
  <c r="D41" i="1" a="1"/>
  <c r="D47" i="1" a="1"/>
  <c r="D53" i="1" a="1"/>
  <c r="D59" i="1" a="1"/>
  <c r="D65" i="1" a="1"/>
  <c r="D71" i="1" a="1"/>
  <c r="D77" i="1" a="1"/>
  <c r="D83" i="1" a="1"/>
  <c r="D89" i="1" a="1"/>
  <c r="D95" i="1" a="1"/>
  <c r="D101" i="1" a="1"/>
  <c r="D107" i="1" a="1"/>
  <c r="D113" i="1" a="1"/>
  <c r="D119" i="1" a="1"/>
  <c r="D125" i="1" a="1"/>
  <c r="D131" i="1" a="1"/>
  <c r="D137" i="1" a="1"/>
  <c r="D143" i="1" a="1"/>
  <c r="D148" i="1" a="1"/>
  <c r="D157" i="1" a="1"/>
  <c r="D166" i="1" a="1"/>
  <c r="D175" i="1" a="1"/>
  <c r="D184" i="1" a="1"/>
  <c r="D193" i="1" a="1"/>
  <c r="D202" i="1" a="1"/>
  <c r="D211" i="1" a="1"/>
  <c r="D220" i="1" a="1"/>
  <c r="D224" i="1" a="1"/>
  <c r="D228" i="1" a="1"/>
  <c r="D232" i="1" a="1"/>
  <c r="D12" i="1" a="1"/>
  <c r="D18" i="1" a="1"/>
  <c r="D24" i="1" a="1"/>
  <c r="D30" i="1" a="1"/>
  <c r="D36" i="1" a="1"/>
  <c r="D42" i="1" a="1"/>
  <c r="D48" i="1" a="1"/>
  <c r="D54" i="1" a="1"/>
  <c r="D60" i="1" a="1"/>
  <c r="D66" i="1" a="1"/>
  <c r="D72" i="1" a="1"/>
  <c r="D78" i="1" a="1"/>
  <c r="D84" i="1" a="1"/>
  <c r="D90" i="1" a="1"/>
  <c r="D96" i="1" a="1"/>
  <c r="D102" i="1" a="1"/>
  <c r="D108" i="1" a="1"/>
  <c r="D114" i="1" a="1"/>
  <c r="D120" i="1" a="1"/>
  <c r="D126" i="1" a="1"/>
  <c r="D132" i="1" a="1"/>
  <c r="D138" i="1" a="1"/>
  <c r="D144" i="1" a="1"/>
  <c r="D149" i="1" a="1"/>
  <c r="D153" i="1" a="1"/>
  <c r="D158" i="1" a="1"/>
  <c r="D162" i="1" a="1"/>
  <c r="D167" i="1" a="1"/>
  <c r="D171" i="1" a="1"/>
  <c r="D176" i="1" a="1"/>
  <c r="D180" i="1" a="1"/>
  <c r="D185" i="1" a="1"/>
  <c r="D189" i="1" a="1"/>
  <c r="D194" i="1" a="1"/>
  <c r="D198" i="1" a="1"/>
  <c r="D203" i="1" a="1"/>
  <c r="D207" i="1" a="1"/>
  <c r="D212" i="1" a="1"/>
  <c r="D216" i="1" a="1"/>
  <c r="D221" i="1" a="1"/>
  <c r="D225" i="1" a="1"/>
  <c r="D229" i="1" a="1"/>
  <c r="D240" i="1" a="1"/>
  <c r="D248" i="1" a="1"/>
  <c r="D256" i="1" a="1"/>
  <c r="D259" i="1" a="1"/>
  <c r="D262" i="1" a="1"/>
  <c r="D265" i="1" a="1"/>
  <c r="D268" i="1" a="1"/>
  <c r="D271" i="1" a="1"/>
  <c r="D274" i="1" a="1"/>
  <c r="D277" i="1" a="1"/>
  <c r="D280" i="1" a="1"/>
  <c r="D283" i="1" a="1"/>
  <c r="D286" i="1" a="1"/>
  <c r="D289" i="1" a="1"/>
  <c r="D292" i="1" a="1"/>
  <c r="D295" i="1" a="1"/>
  <c r="D298" i="1" a="1"/>
  <c r="D301" i="1" a="1"/>
  <c r="D304" i="1" a="1"/>
  <c r="D307" i="1" a="1"/>
  <c r="D310" i="1" a="1"/>
  <c r="D313" i="1" a="1"/>
  <c r="D316" i="1" a="1"/>
  <c r="D319" i="1" a="1"/>
  <c r="D322" i="1" a="1"/>
  <c r="D325" i="1" a="1"/>
  <c r="D328" i="1" a="1"/>
  <c r="D331" i="1" a="1"/>
  <c r="D210" i="1" a="1"/>
  <c r="D235" i="1" a="1"/>
  <c r="D243" i="1" a="1"/>
  <c r="D249" i="1" a="1"/>
  <c r="D260" i="1" a="1"/>
  <c r="D264" i="1" a="1"/>
  <c r="D269" i="1" a="1"/>
  <c r="D273" i="1" a="1"/>
  <c r="D278" i="1" a="1"/>
  <c r="D282" i="1" a="1"/>
  <c r="D290" i="1" a="1"/>
  <c r="D297" i="1" a="1"/>
  <c r="D308" i="1" a="1"/>
  <c r="D315" i="1" a="1"/>
  <c r="D326" i="1" a="1"/>
  <c r="D333" i="1" a="1"/>
  <c r="D336" i="1" a="1"/>
  <c r="D339" i="1" a="1"/>
  <c r="D342" i="1" a="1"/>
  <c r="D345" i="1" a="1"/>
  <c r="D348" i="1" a="1"/>
  <c r="D351" i="1" a="1"/>
  <c r="D354" i="1" a="1"/>
  <c r="D357" i="1" a="1"/>
  <c r="D360" i="1" a="1"/>
  <c r="D363" i="1" a="1"/>
  <c r="D366" i="1" a="1"/>
  <c r="D369" i="1" a="1"/>
  <c r="D372" i="1" a="1"/>
  <c r="D375" i="1" a="1"/>
  <c r="D378" i="1" a="1"/>
  <c r="D381" i="1" a="1"/>
  <c r="D384" i="1" a="1"/>
  <c r="D387" i="1" a="1"/>
  <c r="D390" i="1" a="1"/>
  <c r="D393" i="1" a="1"/>
  <c r="D396" i="1" a="1"/>
  <c r="D399" i="1" a="1"/>
  <c r="D402" i="1" a="1"/>
  <c r="D213" i="1" a="1"/>
  <c r="D236" i="1" a="1"/>
  <c r="D244" i="1" a="1"/>
  <c r="D250" i="1" a="1"/>
  <c r="D255" i="1" a="1"/>
  <c r="D287" i="1" a="1"/>
  <c r="D294" i="1" a="1"/>
  <c r="D305" i="1" a="1"/>
  <c r="D312" i="1" a="1"/>
  <c r="D323" i="1" a="1"/>
  <c r="D330" i="1" a="1"/>
  <c r="D406" i="1" a="1"/>
  <c r="D409" i="1" a="1"/>
  <c r="D412" i="1" a="1"/>
  <c r="D415" i="1" a="1"/>
  <c r="D418" i="1" a="1"/>
  <c r="D421" i="1" a="1"/>
  <c r="D424" i="1" a="1"/>
  <c r="D427" i="1" a="1"/>
  <c r="D430" i="1" a="1"/>
  <c r="D433" i="1" a="1"/>
  <c r="D436" i="1" a="1"/>
  <c r="D439" i="1" a="1"/>
  <c r="D442" i="1" a="1"/>
  <c r="D445" i="1" a="1"/>
  <c r="D448" i="1" a="1"/>
  <c r="D451" i="1" a="1"/>
  <c r="D454" i="1" a="1"/>
  <c r="D457" i="1" a="1"/>
  <c r="D460" i="1" a="1"/>
  <c r="D463" i="1" a="1"/>
  <c r="D466" i="1" a="1"/>
  <c r="D469" i="1" a="1"/>
  <c r="D472" i="1" a="1"/>
  <c r="D475" i="1" a="1"/>
  <c r="D478" i="1" a="1"/>
  <c r="D481" i="1" a="1"/>
  <c r="D484" i="1" a="1"/>
  <c r="D215" i="1" a="1"/>
  <c r="D238" i="1" a="1"/>
  <c r="D257" i="1" a="1"/>
  <c r="D261" i="1" a="1"/>
  <c r="D266" i="1" a="1"/>
  <c r="D270" i="1" a="1"/>
  <c r="D275" i="1" a="1"/>
  <c r="D279" i="1" a="1"/>
  <c r="D284" i="1" a="1"/>
  <c r="D291" i="1" a="1"/>
  <c r="D302" i="1" a="1"/>
  <c r="D309" i="1" a="1"/>
  <c r="D320" i="1" a="1"/>
  <c r="D327" i="1" a="1"/>
  <c r="D334" i="1" a="1"/>
  <c r="D337" i="1" a="1"/>
  <c r="D340" i="1" a="1"/>
  <c r="D343" i="1" a="1"/>
  <c r="D346" i="1" a="1"/>
  <c r="D349" i="1" a="1"/>
  <c r="D352" i="1" a="1"/>
  <c r="D355" i="1" a="1"/>
  <c r="D358" i="1" a="1"/>
  <c r="D361" i="1" a="1"/>
  <c r="D364" i="1" a="1"/>
  <c r="D367" i="1" a="1"/>
  <c r="D370" i="1" a="1"/>
  <c r="D373" i="1" a="1"/>
  <c r="D376" i="1" a="1"/>
  <c r="D379" i="1" a="1"/>
  <c r="D382" i="1" a="1"/>
  <c r="D385" i="1" a="1"/>
  <c r="D388" i="1" a="1"/>
  <c r="D391" i="1" a="1"/>
  <c r="D394" i="1" a="1"/>
  <c r="D397" i="1" a="1"/>
  <c r="D400" i="1" a="1"/>
  <c r="D403" i="1" a="1"/>
  <c r="D218" i="1" a="1"/>
  <c r="D230" i="1" a="1"/>
  <c r="D239" i="1" a="1"/>
  <c r="D246" i="1" a="1"/>
  <c r="D251" i="1" a="1"/>
  <c r="D288" i="1" a="1"/>
  <c r="D299" i="1" a="1"/>
  <c r="D306" i="1" a="1"/>
  <c r="D317" i="1" a="1"/>
  <c r="D324" i="1" a="1"/>
  <c r="D404" i="1" a="1"/>
  <c r="D407" i="1" a="1"/>
  <c r="D410" i="1" a="1"/>
  <c r="D413" i="1" a="1"/>
  <c r="D416" i="1" a="1"/>
  <c r="D419" i="1" a="1"/>
  <c r="D422" i="1" a="1"/>
  <c r="D425" i="1" a="1"/>
  <c r="D428" i="1" a="1"/>
  <c r="D431" i="1" a="1"/>
  <c r="D434" i="1" a="1"/>
  <c r="D437" i="1" a="1"/>
  <c r="D440" i="1" a="1"/>
  <c r="D443" i="1" a="1"/>
  <c r="D446" i="1" a="1"/>
  <c r="D449" i="1" a="1"/>
  <c r="D452" i="1" a="1"/>
  <c r="D455" i="1" a="1"/>
  <c r="D458" i="1" a="1"/>
  <c r="D461" i="1" a="1"/>
  <c r="D464" i="1" a="1"/>
  <c r="D467" i="1" a="1"/>
  <c r="D470" i="1" a="1"/>
  <c r="D473" i="1" a="1"/>
  <c r="D476" i="1" a="1"/>
  <c r="D479" i="1" a="1"/>
  <c r="D482" i="1" a="1"/>
  <c r="D485" i="1" a="1"/>
  <c r="D219" i="1" a="1"/>
  <c r="D231" i="1" a="1"/>
  <c r="D247" i="1" a="1"/>
  <c r="D253" i="1" a="1"/>
  <c r="D258" i="1" a="1"/>
  <c r="D263" i="1" a="1"/>
  <c r="D267" i="1" a="1"/>
  <c r="D272" i="1" a="1"/>
  <c r="D276" i="1" a="1"/>
  <c r="D281" i="1" a="1"/>
  <c r="D285" i="1" a="1"/>
  <c r="D296" i="1" a="1"/>
  <c r="D303" i="1" a="1"/>
  <c r="D314" i="1" a="1"/>
  <c r="D321" i="1" a="1"/>
  <c r="D332" i="1" a="1"/>
  <c r="D335" i="1" a="1"/>
  <c r="D338" i="1" a="1"/>
  <c r="D341" i="1" a="1"/>
  <c r="D344" i="1" a="1"/>
  <c r="D347" i="1" a="1"/>
  <c r="D350" i="1" a="1"/>
  <c r="D353" i="1" a="1"/>
  <c r="D356" i="1" a="1"/>
  <c r="D359" i="1" a="1"/>
  <c r="D362" i="1" a="1"/>
  <c r="D365" i="1" a="1"/>
  <c r="D368" i="1" a="1"/>
  <c r="D371" i="1" a="1"/>
  <c r="D374" i="1" a="1"/>
  <c r="D377" i="1" a="1"/>
  <c r="D380" i="1" a="1"/>
  <c r="D383" i="1" a="1"/>
  <c r="D386" i="1" a="1"/>
  <c r="D389" i="1" a="1"/>
  <c r="D392" i="1" a="1"/>
  <c r="D395" i="1" a="1"/>
  <c r="D398" i="1" a="1"/>
  <c r="D401" i="1" a="1"/>
  <c r="D206" i="1" a="1"/>
  <c r="D222" i="1" a="1"/>
  <c r="D254" i="1" a="1"/>
  <c r="D293" i="1" a="1"/>
  <c r="D300" i="1" a="1"/>
  <c r="D311" i="1" a="1"/>
  <c r="D318" i="1" a="1"/>
  <c r="D329" i="1" a="1"/>
  <c r="D405" i="1" a="1"/>
  <c r="D408" i="1" a="1"/>
  <c r="D411" i="1" a="1"/>
  <c r="D414" i="1" a="1"/>
  <c r="D417" i="1" a="1"/>
  <c r="D420" i="1" a="1"/>
  <c r="D423" i="1" a="1"/>
  <c r="D426" i="1" a="1"/>
  <c r="D429" i="1" a="1"/>
  <c r="D432" i="1" a="1"/>
  <c r="D435" i="1" a="1"/>
  <c r="D438" i="1" a="1"/>
  <c r="D441" i="1" a="1"/>
  <c r="D444" i="1" a="1"/>
  <c r="D447" i="1" a="1"/>
  <c r="D450" i="1" a="1"/>
  <c r="D453" i="1" a="1"/>
  <c r="D456" i="1" a="1"/>
  <c r="D459" i="1" a="1"/>
  <c r="D462" i="1" a="1"/>
  <c r="D465" i="1" a="1"/>
  <c r="D468" i="1" a="1"/>
  <c r="D471" i="1" a="1"/>
  <c r="D474" i="1" a="1"/>
  <c r="D477" i="1" a="1"/>
  <c r="D480" i="1" a="1"/>
  <c r="D483" i="1" a="1"/>
  <c r="D486" i="1" a="1"/>
  <c r="D489" i="1" a="1"/>
  <c r="D492" i="1" a="1"/>
  <c r="D495" i="1" a="1"/>
  <c r="D498" i="1" a="1"/>
  <c r="D501" i="1" a="1"/>
  <c r="D504" i="1" a="1"/>
  <c r="D507" i="1" a="1"/>
  <c r="D510" i="1" a="1"/>
  <c r="D513" i="1" a="1"/>
  <c r="D516" i="1" a="1"/>
  <c r="D519" i="1" a="1"/>
  <c r="D522" i="1" a="1"/>
  <c r="D525" i="1" a="1"/>
  <c r="D528" i="1" a="1"/>
  <c r="D531" i="1" a="1"/>
  <c r="D534" i="1" a="1"/>
  <c r="D537" i="1" a="1"/>
  <c r="D540" i="1" a="1"/>
  <c r="D543" i="1" a="1"/>
  <c r="D546" i="1" a="1"/>
  <c r="D549" i="1" a="1"/>
  <c r="D552" i="1" a="1"/>
  <c r="D555" i="1" a="1"/>
  <c r="D558" i="1" a="1"/>
  <c r="D561" i="1" a="1"/>
  <c r="D564" i="1" a="1"/>
  <c r="D567" i="1" a="1"/>
  <c r="D570" i="1" a="1"/>
  <c r="D573" i="1" a="1"/>
  <c r="D576" i="1" a="1"/>
  <c r="D579" i="1" a="1"/>
  <c r="D582" i="1" a="1"/>
  <c r="D585" i="1" a="1"/>
  <c r="D588" i="1" a="1"/>
  <c r="D591" i="1" a="1"/>
  <c r="D594" i="1" a="1"/>
  <c r="D597" i="1" a="1"/>
  <c r="D600" i="1" a="1"/>
  <c r="D603" i="1" a="1"/>
  <c r="D606" i="1" a="1"/>
  <c r="D609" i="1" a="1"/>
  <c r="D612" i="1" a="1"/>
  <c r="D615" i="1" a="1"/>
  <c r="D618" i="1" a="1"/>
  <c r="D518" i="1" a="1"/>
  <c r="D529" i="1" a="1"/>
  <c r="D536" i="1" a="1"/>
  <c r="D547" i="1" a="1"/>
  <c r="D554" i="1" a="1"/>
  <c r="D565" i="1" a="1"/>
  <c r="D572" i="1" a="1"/>
  <c r="D583" i="1" a="1"/>
  <c r="D590" i="1" a="1"/>
  <c r="D601" i="1" a="1"/>
  <c r="D608" i="1" a="1"/>
  <c r="D619" i="1" a="1"/>
  <c r="D622" i="1" a="1"/>
  <c r="D625" i="1" a="1"/>
  <c r="D628" i="1" a="1"/>
  <c r="D631" i="1" a="1"/>
  <c r="D634" i="1" a="1"/>
  <c r="D637" i="1" a="1"/>
  <c r="D640" i="1" a="1"/>
  <c r="D643" i="1" a="1"/>
  <c r="D646" i="1" a="1"/>
  <c r="D649" i="1" a="1"/>
  <c r="D652" i="1" a="1"/>
  <c r="D655" i="1" a="1"/>
  <c r="D658" i="1" a="1"/>
  <c r="D661" i="1" a="1"/>
  <c r="D664" i="1" a="1"/>
  <c r="D667" i="1" a="1"/>
  <c r="D670" i="1" a="1"/>
  <c r="D673" i="1" a="1"/>
  <c r="D676" i="1" a="1"/>
  <c r="D679" i="1" a="1"/>
  <c r="D682" i="1" a="1"/>
  <c r="D685" i="1" a="1"/>
  <c r="D688" i="1" a="1"/>
  <c r="D735" i="1" a="1"/>
  <c r="D741" i="1" a="1"/>
  <c r="D747" i="1" a="1"/>
  <c r="D487" i="1" a="1"/>
  <c r="D493" i="1" a="1"/>
  <c r="D499" i="1" a="1"/>
  <c r="D505" i="1" a="1"/>
  <c r="D511" i="1" a="1"/>
  <c r="D515" i="1" a="1"/>
  <c r="D526" i="1" a="1"/>
  <c r="D533" i="1" a="1"/>
  <c r="D544" i="1" a="1"/>
  <c r="D551" i="1" a="1"/>
  <c r="D562" i="1" a="1"/>
  <c r="D569" i="1" a="1"/>
  <c r="D580" i="1" a="1"/>
  <c r="D587" i="1" a="1"/>
  <c r="D598" i="1" a="1"/>
  <c r="D605" i="1" a="1"/>
  <c r="D616" i="1" a="1"/>
  <c r="D689" i="1" a="1"/>
  <c r="D692" i="1" a="1"/>
  <c r="D695" i="1" a="1"/>
  <c r="D698" i="1" a="1"/>
  <c r="D701" i="1" a="1"/>
  <c r="D704" i="1" a="1"/>
  <c r="D707" i="1" a="1"/>
  <c r="D710" i="1" a="1"/>
  <c r="D713" i="1" a="1"/>
  <c r="D716" i="1" a="1"/>
  <c r="D719" i="1" a="1"/>
  <c r="D722" i="1" a="1"/>
  <c r="D725" i="1" a="1"/>
  <c r="D728" i="1" a="1"/>
  <c r="D731" i="1" a="1"/>
  <c r="D734" i="1" a="1"/>
  <c r="D737" i="1" a="1"/>
  <c r="D740" i="1" a="1"/>
  <c r="D743" i="1" a="1"/>
  <c r="D746" i="1" a="1"/>
  <c r="D749" i="1" a="1"/>
  <c r="D752" i="1" a="1"/>
  <c r="D2" i="1" a="1"/>
  <c r="D729" i="1" a="1"/>
  <c r="D744" i="1" a="1"/>
  <c r="D488" i="1" a="1"/>
  <c r="D494" i="1" a="1"/>
  <c r="D500" i="1" a="1"/>
  <c r="D506" i="1" a="1"/>
  <c r="D512" i="1" a="1"/>
  <c r="D523" i="1" a="1"/>
  <c r="D530" i="1" a="1"/>
  <c r="D541" i="1" a="1"/>
  <c r="D548" i="1" a="1"/>
  <c r="D559" i="1" a="1"/>
  <c r="D566" i="1" a="1"/>
  <c r="D577" i="1" a="1"/>
  <c r="D584" i="1" a="1"/>
  <c r="D595" i="1" a="1"/>
  <c r="D602" i="1" a="1"/>
  <c r="D613" i="1" a="1"/>
  <c r="D620" i="1" a="1"/>
  <c r="D623" i="1" a="1"/>
  <c r="D626" i="1" a="1"/>
  <c r="D629" i="1" a="1"/>
  <c r="D632" i="1" a="1"/>
  <c r="D635" i="1" a="1"/>
  <c r="D638" i="1" a="1"/>
  <c r="D641" i="1" a="1"/>
  <c r="D644" i="1" a="1"/>
  <c r="D647" i="1" a="1"/>
  <c r="D650" i="1" a="1"/>
  <c r="D653" i="1" a="1"/>
  <c r="D656" i="1" a="1"/>
  <c r="D659" i="1" a="1"/>
  <c r="D662" i="1" a="1"/>
  <c r="D665" i="1" a="1"/>
  <c r="D668" i="1" a="1"/>
  <c r="D671" i="1" a="1"/>
  <c r="D674" i="1" a="1"/>
  <c r="D677" i="1" a="1"/>
  <c r="D680" i="1" a="1"/>
  <c r="D683" i="1" a="1"/>
  <c r="D686" i="1" a="1"/>
  <c r="D726" i="1" a="1"/>
  <c r="D750" i="1" a="1"/>
  <c r="D520" i="1" a="1"/>
  <c r="D527" i="1" a="1"/>
  <c r="D538" i="1" a="1"/>
  <c r="D545" i="1" a="1"/>
  <c r="D556" i="1" a="1"/>
  <c r="D563" i="1" a="1"/>
  <c r="D574" i="1" a="1"/>
  <c r="D581" i="1" a="1"/>
  <c r="D592" i="1" a="1"/>
  <c r="D599" i="1" a="1"/>
  <c r="D610" i="1" a="1"/>
  <c r="D617" i="1" a="1"/>
  <c r="D690" i="1" a="1"/>
  <c r="D693" i="1" a="1"/>
  <c r="D696" i="1" a="1"/>
  <c r="D699" i="1" a="1"/>
  <c r="D702" i="1" a="1"/>
  <c r="D705" i="1" a="1"/>
  <c r="D708" i="1" a="1"/>
  <c r="D711" i="1" a="1"/>
  <c r="D714" i="1" a="1"/>
  <c r="D717" i="1" a="1"/>
  <c r="D720" i="1" a="1"/>
  <c r="D723" i="1" a="1"/>
  <c r="D490" i="1" a="1"/>
  <c r="D496" i="1" a="1"/>
  <c r="D502" i="1" a="1"/>
  <c r="D508" i="1" a="1"/>
  <c r="D517" i="1" a="1"/>
  <c r="D524" i="1" a="1"/>
  <c r="D535" i="1" a="1"/>
  <c r="D542" i="1" a="1"/>
  <c r="D553" i="1" a="1"/>
  <c r="D560" i="1" a="1"/>
  <c r="D571" i="1" a="1"/>
  <c r="D578" i="1" a="1"/>
  <c r="D589" i="1" a="1"/>
  <c r="D596" i="1" a="1"/>
  <c r="D607" i="1" a="1"/>
  <c r="D614" i="1" a="1"/>
  <c r="D621" i="1" a="1"/>
  <c r="D624" i="1" a="1"/>
  <c r="D627" i="1" a="1"/>
  <c r="D630" i="1" a="1"/>
  <c r="D633" i="1" a="1"/>
  <c r="D636" i="1" a="1"/>
  <c r="D639" i="1" a="1"/>
  <c r="D642" i="1" a="1"/>
  <c r="D645" i="1" a="1"/>
  <c r="D648" i="1" a="1"/>
  <c r="D651" i="1" a="1"/>
  <c r="D654" i="1" a="1"/>
  <c r="D657" i="1" a="1"/>
  <c r="D660" i="1" a="1"/>
  <c r="D663" i="1" a="1"/>
  <c r="D666" i="1" a="1"/>
  <c r="D669" i="1" a="1"/>
  <c r="D672" i="1" a="1"/>
  <c r="D675" i="1" a="1"/>
  <c r="D678" i="1" a="1"/>
  <c r="D681" i="1" a="1"/>
  <c r="D684" i="1" a="1"/>
  <c r="D687" i="1" a="1"/>
  <c r="D738" i="1" a="1"/>
  <c r="D491" i="1" a="1"/>
  <c r="D497" i="1" a="1"/>
  <c r="D503" i="1" a="1"/>
  <c r="D509" i="1" a="1"/>
  <c r="D514" i="1" a="1"/>
  <c r="D521" i="1" a="1"/>
  <c r="D532" i="1" a="1"/>
  <c r="D539" i="1" a="1"/>
  <c r="D550" i="1" a="1"/>
  <c r="D557" i="1" a="1"/>
  <c r="D568" i="1" a="1"/>
  <c r="D575" i="1" a="1"/>
  <c r="D586" i="1" a="1"/>
  <c r="D593" i="1" a="1"/>
  <c r="D604" i="1" a="1"/>
  <c r="D611" i="1" a="1"/>
  <c r="D691" i="1" a="1"/>
  <c r="D694" i="1" a="1"/>
  <c r="D697" i="1" a="1"/>
  <c r="D700" i="1" a="1"/>
  <c r="D703" i="1" a="1"/>
  <c r="D706" i="1" a="1"/>
  <c r="D709" i="1" a="1"/>
  <c r="D712" i="1" a="1"/>
  <c r="D715" i="1" a="1"/>
  <c r="D718" i="1" a="1"/>
  <c r="D721" i="1" a="1"/>
  <c r="D724" i="1" a="1"/>
  <c r="D727" i="1" a="1"/>
  <c r="D730" i="1" a="1"/>
  <c r="D733" i="1" a="1"/>
  <c r="D736" i="1" a="1"/>
  <c r="D739" i="1" a="1"/>
  <c r="D742" i="1" a="1"/>
  <c r="D745" i="1" a="1"/>
  <c r="D748" i="1" a="1"/>
  <c r="D751" i="1" a="1"/>
  <c r="D754" i="1" a="1"/>
  <c r="D732" i="1" a="1"/>
  <c r="D753" i="1" a="1"/>
  <c r="C2" i="1" a="1"/>
  <c r="C54" i="1" a="1"/>
  <c r="O54" i="1" s="1"/>
  <c r="C50" i="1" a="1"/>
  <c r="O50" i="1" s="1"/>
  <c r="C56" i="1" a="1"/>
  <c r="O56" i="1" s="1"/>
  <c r="C55" i="1" a="1"/>
  <c r="O55" i="1" s="1"/>
  <c r="C53" i="1" a="1"/>
  <c r="O53" i="1" s="1"/>
  <c r="C52" i="1" a="1"/>
  <c r="O52" i="1" s="1"/>
  <c r="C57" i="1" a="1"/>
  <c r="O57" i="1" s="1"/>
  <c r="C51" i="1" a="1"/>
  <c r="O51" i="1" s="1"/>
  <c r="M50" i="1"/>
  <c r="Q2" i="4"/>
  <c r="L6" i="1" a="1"/>
  <c r="L226" i="1" a="1"/>
  <c r="L298" i="1" a="1"/>
  <c r="L343" i="1" a="1"/>
  <c r="L33" i="1" a="1"/>
  <c r="L325" i="1" a="1"/>
  <c r="L65" i="1" a="1"/>
  <c r="L269" i="1" a="1"/>
  <c r="L307" i="1" a="1"/>
  <c r="L350" i="1" a="1"/>
  <c r="L118" i="1" a="1"/>
  <c r="L278" i="1" a="1"/>
  <c r="L332" i="1" a="1"/>
  <c r="L354" i="1" a="1"/>
  <c r="L154" i="1" a="1"/>
  <c r="L286" i="1" a="1"/>
  <c r="L314" i="1" a="1"/>
  <c r="L336" i="1" a="1"/>
  <c r="L190" i="1" a="1"/>
  <c r="L292" i="1" a="1"/>
  <c r="L318" i="1" a="1"/>
  <c r="L88" i="1" a="1"/>
  <c r="L94" i="1" a="1"/>
  <c r="L100" i="1" a="1"/>
  <c r="L7" i="1" a="1"/>
  <c r="L16" i="1" a="1"/>
  <c r="L25" i="1" a="1"/>
  <c r="L34" i="1" a="1"/>
  <c r="L43" i="1" a="1"/>
  <c r="L48" i="1" a="1"/>
  <c r="L54" i="1" a="1"/>
  <c r="L60" i="1" a="1"/>
  <c r="L66" i="1" a="1"/>
  <c r="L72" i="1" a="1"/>
  <c r="L78" i="1" a="1"/>
  <c r="L101" i="1" a="1"/>
  <c r="L107" i="1" a="1"/>
  <c r="L113" i="1" a="1"/>
  <c r="L119" i="1" a="1"/>
  <c r="L125" i="1" a="1"/>
  <c r="L131" i="1" a="1"/>
  <c r="L137" i="1" a="1"/>
  <c r="L143" i="1" a="1"/>
  <c r="L149" i="1" a="1"/>
  <c r="L155" i="1" a="1"/>
  <c r="L161" i="1" a="1"/>
  <c r="L167" i="1" a="1"/>
  <c r="L173" i="1" a="1"/>
  <c r="L179" i="1" a="1"/>
  <c r="L185" i="1" a="1"/>
  <c r="L191" i="1" a="1"/>
  <c r="L197" i="1" a="1"/>
  <c r="L203" i="1" a="1"/>
  <c r="L209" i="1" a="1"/>
  <c r="L215" i="1" a="1"/>
  <c r="L221" i="1" a="1"/>
  <c r="L227" i="1" a="1"/>
  <c r="L233" i="1" a="1"/>
  <c r="L237" i="1" a="1"/>
  <c r="L242" i="1" a="1"/>
  <c r="L246" i="1" a="1"/>
  <c r="L251" i="1" a="1"/>
  <c r="L255" i="1" a="1"/>
  <c r="L259" i="1" a="1"/>
  <c r="L262" i="1" a="1"/>
  <c r="L265" i="1" a="1"/>
  <c r="L268" i="1" a="1"/>
  <c r="L271" i="1" a="1"/>
  <c r="L274" i="1" a="1"/>
  <c r="L277" i="1" a="1"/>
  <c r="L280" i="1" a="1"/>
  <c r="L283" i="1" a="1"/>
  <c r="L89" i="1" a="1"/>
  <c r="L95" i="1" a="1"/>
  <c r="L3" i="1" a="1"/>
  <c r="L8" i="1" a="1"/>
  <c r="L12" i="1" a="1"/>
  <c r="L17" i="1" a="1"/>
  <c r="L21" i="1" a="1"/>
  <c r="L26" i="1" a="1"/>
  <c r="L30" i="1" a="1"/>
  <c r="L35" i="1" a="1"/>
  <c r="L39" i="1" a="1"/>
  <c r="L44" i="1" a="1"/>
  <c r="L49" i="1" a="1"/>
  <c r="L55" i="1" a="1"/>
  <c r="L61" i="1" a="1"/>
  <c r="L67" i="1" a="1"/>
  <c r="L73" i="1" a="1"/>
  <c r="L79" i="1" a="1"/>
  <c r="L102" i="1" a="1"/>
  <c r="L108" i="1" a="1"/>
  <c r="L114" i="1" a="1"/>
  <c r="L120" i="1" a="1"/>
  <c r="L126" i="1" a="1"/>
  <c r="L132" i="1" a="1"/>
  <c r="L138" i="1" a="1"/>
  <c r="L144" i="1" a="1"/>
  <c r="L150" i="1" a="1"/>
  <c r="L156" i="1" a="1"/>
  <c r="L162" i="1" a="1"/>
  <c r="L168" i="1" a="1"/>
  <c r="L174" i="1" a="1"/>
  <c r="L180" i="1" a="1"/>
  <c r="L186" i="1" a="1"/>
  <c r="L192" i="1" a="1"/>
  <c r="L198" i="1" a="1"/>
  <c r="L204" i="1" a="1"/>
  <c r="L210" i="1" a="1"/>
  <c r="L216" i="1" a="1"/>
  <c r="L222" i="1" a="1"/>
  <c r="L228" i="1" a="1"/>
  <c r="L238" i="1" a="1"/>
  <c r="L247" i="1" a="1"/>
  <c r="L256" i="1" a="1"/>
  <c r="L84" i="1" a="1"/>
  <c r="L90" i="1" a="1"/>
  <c r="L96" i="1" a="1"/>
  <c r="L4" i="1" a="1"/>
  <c r="L13" i="1" a="1"/>
  <c r="L22" i="1" a="1"/>
  <c r="L31" i="1" a="1"/>
  <c r="L40" i="1" a="1"/>
  <c r="L50" i="1" a="1"/>
  <c r="L56" i="1" a="1"/>
  <c r="L62" i="1" a="1"/>
  <c r="L68" i="1" a="1"/>
  <c r="L74" i="1" a="1"/>
  <c r="L80" i="1" a="1"/>
  <c r="L103" i="1" a="1"/>
  <c r="L109" i="1" a="1"/>
  <c r="L115" i="1" a="1"/>
  <c r="L121" i="1" a="1"/>
  <c r="L127" i="1" a="1"/>
  <c r="L133" i="1" a="1"/>
  <c r="L139" i="1" a="1"/>
  <c r="L145" i="1" a="1"/>
  <c r="L151" i="1" a="1"/>
  <c r="L157" i="1" a="1"/>
  <c r="L163" i="1" a="1"/>
  <c r="L169" i="1" a="1"/>
  <c r="L175" i="1" a="1"/>
  <c r="L181" i="1" a="1"/>
  <c r="L187" i="1" a="1"/>
  <c r="L193" i="1" a="1"/>
  <c r="L199" i="1" a="1"/>
  <c r="L205" i="1" a="1"/>
  <c r="L211" i="1" a="1"/>
  <c r="L217" i="1" a="1"/>
  <c r="L223" i="1" a="1"/>
  <c r="L229" i="1" a="1"/>
  <c r="L234" i="1" a="1"/>
  <c r="L239" i="1" a="1"/>
  <c r="L243" i="1" a="1"/>
  <c r="L248" i="1" a="1"/>
  <c r="L252" i="1" a="1"/>
  <c r="L257" i="1" a="1"/>
  <c r="L260" i="1" a="1"/>
  <c r="L263" i="1" a="1"/>
  <c r="L85" i="1" a="1"/>
  <c r="L91" i="1" a="1"/>
  <c r="L97" i="1" a="1"/>
  <c r="L5" i="1" a="1"/>
  <c r="L9" i="1" a="1"/>
  <c r="L14" i="1" a="1"/>
  <c r="L18" i="1" a="1"/>
  <c r="L23" i="1" a="1"/>
  <c r="L27" i="1" a="1"/>
  <c r="L32" i="1" a="1"/>
  <c r="L36" i="1" a="1"/>
  <c r="L41" i="1" a="1"/>
  <c r="L45" i="1" a="1"/>
  <c r="L51" i="1" a="1"/>
  <c r="L57" i="1" a="1"/>
  <c r="L63" i="1" a="1"/>
  <c r="L69" i="1" a="1"/>
  <c r="L75" i="1" a="1"/>
  <c r="L81" i="1" a="1"/>
  <c r="L104" i="1" a="1"/>
  <c r="L110" i="1" a="1"/>
  <c r="L116" i="1" a="1"/>
  <c r="L122" i="1" a="1"/>
  <c r="L128" i="1" a="1"/>
  <c r="L134" i="1" a="1"/>
  <c r="L140" i="1" a="1"/>
  <c r="L146" i="1" a="1"/>
  <c r="L152" i="1" a="1"/>
  <c r="L158" i="1" a="1"/>
  <c r="L164" i="1" a="1"/>
  <c r="L170" i="1" a="1"/>
  <c r="L176" i="1" a="1"/>
  <c r="L182" i="1" a="1"/>
  <c r="L188" i="1" a="1"/>
  <c r="L194" i="1" a="1"/>
  <c r="L200" i="1" a="1"/>
  <c r="L206" i="1" a="1"/>
  <c r="L212" i="1" a="1"/>
  <c r="L218" i="1" a="1"/>
  <c r="L224" i="1" a="1"/>
  <c r="L230" i="1" a="1"/>
  <c r="L235" i="1" a="1"/>
  <c r="L244" i="1" a="1"/>
  <c r="L253" i="1" a="1"/>
  <c r="L86" i="1" a="1"/>
  <c r="L92" i="1" a="1"/>
  <c r="L98" i="1" a="1"/>
  <c r="L10" i="1" a="1"/>
  <c r="L19" i="1" a="1"/>
  <c r="L28" i="1" a="1"/>
  <c r="L37" i="1" a="1"/>
  <c r="L46" i="1" a="1"/>
  <c r="L52" i="1" a="1"/>
  <c r="L58" i="1" a="1"/>
  <c r="L64" i="1" a="1"/>
  <c r="L70" i="1" a="1"/>
  <c r="L76" i="1" a="1"/>
  <c r="L82" i="1" a="1"/>
  <c r="L105" i="1" a="1"/>
  <c r="L111" i="1" a="1"/>
  <c r="L117" i="1" a="1"/>
  <c r="L123" i="1" a="1"/>
  <c r="L129" i="1" a="1"/>
  <c r="L135" i="1" a="1"/>
  <c r="L141" i="1" a="1"/>
  <c r="L147" i="1" a="1"/>
  <c r="L153" i="1" a="1"/>
  <c r="L159" i="1" a="1"/>
  <c r="L165" i="1" a="1"/>
  <c r="L171" i="1" a="1"/>
  <c r="L177" i="1" a="1"/>
  <c r="L183" i="1" a="1"/>
  <c r="L189" i="1" a="1"/>
  <c r="L195" i="1" a="1"/>
  <c r="L201" i="1" a="1"/>
  <c r="L207" i="1" a="1"/>
  <c r="L213" i="1" a="1"/>
  <c r="L219" i="1" a="1"/>
  <c r="L225" i="1" a="1"/>
  <c r="L231" i="1" a="1"/>
  <c r="L236" i="1" a="1"/>
  <c r="L240" i="1" a="1"/>
  <c r="L245" i="1" a="1"/>
  <c r="L249" i="1" a="1"/>
  <c r="L254" i="1" a="1"/>
  <c r="L258" i="1" a="1"/>
  <c r="L261" i="1" a="1"/>
  <c r="L264" i="1" a="1"/>
  <c r="L267" i="1" a="1"/>
  <c r="L270" i="1" a="1"/>
  <c r="L273" i="1" a="1"/>
  <c r="L276" i="1" a="1"/>
  <c r="L279" i="1" a="1"/>
  <c r="L282" i="1" a="1"/>
  <c r="L285" i="1" a="1"/>
  <c r="L288" i="1" a="1"/>
  <c r="L291" i="1" a="1"/>
  <c r="L294" i="1" a="1"/>
  <c r="L297" i="1" a="1"/>
  <c r="L300" i="1" a="1"/>
  <c r="L303" i="1" a="1"/>
  <c r="L11" i="1" a="1"/>
  <c r="L38" i="1" a="1"/>
  <c r="L71" i="1" a="1"/>
  <c r="L124" i="1" a="1"/>
  <c r="L160" i="1" a="1"/>
  <c r="L196" i="1" a="1"/>
  <c r="L232" i="1" a="1"/>
  <c r="L287" i="1" a="1"/>
  <c r="L293" i="1" a="1"/>
  <c r="L299" i="1" a="1"/>
  <c r="L304" i="1" a="1"/>
  <c r="L311" i="1" a="1"/>
  <c r="L315" i="1" a="1"/>
  <c r="L322" i="1" a="1"/>
  <c r="L329" i="1" a="1"/>
  <c r="L333" i="1" a="1"/>
  <c r="L340" i="1" a="1"/>
  <c r="L347" i="1" a="1"/>
  <c r="L351" i="1" a="1"/>
  <c r="L358" i="1" a="1"/>
  <c r="L361" i="1" a="1"/>
  <c r="L364" i="1" a="1"/>
  <c r="L367" i="1" a="1"/>
  <c r="L370" i="1" a="1"/>
  <c r="L373" i="1" a="1"/>
  <c r="L376" i="1" a="1"/>
  <c r="L379" i="1" a="1"/>
  <c r="L382" i="1" a="1"/>
  <c r="L385" i="1" a="1"/>
  <c r="L15" i="1" a="1"/>
  <c r="L42" i="1" a="1"/>
  <c r="L77" i="1" a="1"/>
  <c r="L130" i="1" a="1"/>
  <c r="L166" i="1" a="1"/>
  <c r="L202" i="1" a="1"/>
  <c r="L272" i="1" a="1"/>
  <c r="L281" i="1" a="1"/>
  <c r="L308" i="1" a="1"/>
  <c r="L312" i="1" a="1"/>
  <c r="L319" i="1" a="1"/>
  <c r="L326" i="1" a="1"/>
  <c r="L330" i="1" a="1"/>
  <c r="L337" i="1" a="1"/>
  <c r="L344" i="1" a="1"/>
  <c r="L348" i="1" a="1"/>
  <c r="L355" i="1" a="1"/>
  <c r="L87" i="1" a="1"/>
  <c r="L20" i="1" a="1"/>
  <c r="L47" i="1" a="1"/>
  <c r="L83" i="1" a="1"/>
  <c r="L136" i="1" a="1"/>
  <c r="L172" i="1" a="1"/>
  <c r="L208" i="1" a="1"/>
  <c r="L241" i="1" a="1"/>
  <c r="L289" i="1" a="1"/>
  <c r="L295" i="1" a="1"/>
  <c r="L301" i="1" a="1"/>
  <c r="L305" i="1" a="1"/>
  <c r="L309" i="1" a="1"/>
  <c r="L316" i="1" a="1"/>
  <c r="L323" i="1" a="1"/>
  <c r="L327" i="1" a="1"/>
  <c r="L334" i="1" a="1"/>
  <c r="L341" i="1" a="1"/>
  <c r="L345" i="1" a="1"/>
  <c r="L352" i="1" a="1"/>
  <c r="L359" i="1" a="1"/>
  <c r="L362" i="1" a="1"/>
  <c r="L365" i="1" a="1"/>
  <c r="L368" i="1" a="1"/>
  <c r="L371" i="1" a="1"/>
  <c r="L374" i="1" a="1"/>
  <c r="L377" i="1" a="1"/>
  <c r="L380" i="1" a="1"/>
  <c r="L383" i="1" a="1"/>
  <c r="L2" i="1" a="1"/>
  <c r="L93" i="1" a="1"/>
  <c r="L24" i="1" a="1"/>
  <c r="L53" i="1" a="1"/>
  <c r="L106" i="1" a="1"/>
  <c r="L142" i="1" a="1"/>
  <c r="L178" i="1" a="1"/>
  <c r="L214" i="1" a="1"/>
  <c r="L266" i="1" a="1"/>
  <c r="L275" i="1" a="1"/>
  <c r="L284" i="1" a="1"/>
  <c r="L290" i="1" a="1"/>
  <c r="L296" i="1" a="1"/>
  <c r="L306" i="1" a="1"/>
  <c r="L313" i="1" a="1"/>
  <c r="L320" i="1" a="1"/>
  <c r="L324" i="1" a="1"/>
  <c r="L331" i="1" a="1"/>
  <c r="L338" i="1" a="1"/>
  <c r="L342" i="1" a="1"/>
  <c r="L349" i="1" a="1"/>
  <c r="L356" i="1" a="1"/>
  <c r="L99" i="1" a="1"/>
  <c r="L29" i="1" a="1"/>
  <c r="L59" i="1" a="1"/>
  <c r="L112" i="1" a="1"/>
  <c r="L148" i="1" a="1"/>
  <c r="L184" i="1" a="1"/>
  <c r="L220" i="1" a="1"/>
  <c r="L250" i="1" a="1"/>
  <c r="L302" i="1" a="1"/>
  <c r="L310" i="1" a="1"/>
  <c r="L317" i="1" a="1"/>
  <c r="L321" i="1" a="1"/>
  <c r="L328" i="1" a="1"/>
  <c r="L335" i="1" a="1"/>
  <c r="L339" i="1" a="1"/>
  <c r="L346" i="1" a="1"/>
  <c r="L353" i="1" a="1"/>
  <c r="L357" i="1" a="1"/>
  <c r="L360" i="1" a="1"/>
  <c r="L363" i="1" a="1"/>
  <c r="L366" i="1" a="1"/>
  <c r="L369" i="1" a="1"/>
  <c r="L372" i="1" a="1"/>
  <c r="L375" i="1" a="1"/>
  <c r="L378" i="1" a="1"/>
  <c r="L381" i="1" a="1"/>
  <c r="L384" i="1" a="1"/>
  <c r="AE98" i="4"/>
  <c r="AE8" i="4"/>
  <c r="AE21" i="4"/>
  <c r="AE66" i="4"/>
  <c r="AE24" i="4"/>
  <c r="M49" i="1" s="1"/>
  <c r="AE43" i="4"/>
  <c r="AE88" i="4"/>
  <c r="AE67" i="4"/>
  <c r="AE84" i="4"/>
  <c r="AE65" i="4"/>
  <c r="AE11" i="4"/>
  <c r="M88" i="1" s="1"/>
  <c r="AE20" i="4"/>
  <c r="AE75" i="4"/>
  <c r="AE56" i="4"/>
  <c r="AE51" i="4"/>
  <c r="AE47" i="4"/>
  <c r="M13" i="1" s="1"/>
  <c r="AE85" i="4"/>
  <c r="AE61" i="4"/>
  <c r="AE14" i="4"/>
  <c r="M80" i="1" s="1"/>
  <c r="AE62" i="4"/>
  <c r="AE48" i="4"/>
  <c r="M89" i="1" s="1"/>
  <c r="AE44" i="4"/>
  <c r="M11" i="1" s="1"/>
  <c r="AE81" i="4"/>
  <c r="AE33" i="4"/>
  <c r="AE16" i="4"/>
  <c r="M12" i="1" s="1"/>
  <c r="AE25" i="4"/>
  <c r="AE96" i="4"/>
  <c r="AE80" i="4"/>
  <c r="AE77" i="4"/>
  <c r="AE53" i="4"/>
  <c r="M87" i="1" s="1"/>
  <c r="AE10" i="4"/>
  <c r="M81" i="1" s="1"/>
  <c r="AE19" i="4"/>
  <c r="M75" i="1" s="1"/>
  <c r="AE92" i="4"/>
  <c r="AE83" i="4"/>
  <c r="AE28" i="4"/>
  <c r="M122" i="1" s="1"/>
  <c r="AE72" i="4"/>
  <c r="AE63" i="4"/>
  <c r="M77" i="1" s="1"/>
  <c r="AE97" i="4"/>
  <c r="AE73" i="4"/>
  <c r="M51" i="1" s="1"/>
  <c r="AE23" i="4"/>
  <c r="AE70" i="4"/>
  <c r="AE55" i="4"/>
  <c r="M126" i="1" s="1"/>
  <c r="AE71" i="4"/>
  <c r="AE76" i="4"/>
  <c r="AE90" i="4"/>
  <c r="AE58" i="4"/>
  <c r="M120" i="1" s="1"/>
  <c r="AE93" i="4"/>
  <c r="AE45" i="4"/>
  <c r="M142" i="1" s="1"/>
  <c r="E696" i="1" a="1"/>
  <c r="T696" i="1" s="1"/>
  <c r="E44" i="1" a="1"/>
  <c r="T44" i="1" s="1"/>
  <c r="E828" i="1" a="1"/>
  <c r="T828" i="1" s="1"/>
  <c r="E774" i="1" a="1"/>
  <c r="T774" i="1" s="1"/>
  <c r="E726" i="1" a="1"/>
  <c r="T726" i="1" s="1"/>
  <c r="E62" i="1" a="1"/>
  <c r="T62" i="1" s="1"/>
  <c r="E26" i="1" a="1"/>
  <c r="T26" i="1" s="1"/>
  <c r="E134" i="1" a="1"/>
  <c r="T134" i="1" s="1"/>
  <c r="E50" i="1" a="1"/>
  <c r="T50" i="1" s="1"/>
  <c r="E714" i="1" a="1"/>
  <c r="T714" i="1" s="1"/>
  <c r="E110" i="1" a="1"/>
  <c r="T110" i="1" s="1"/>
  <c r="E38" i="1" a="1"/>
  <c r="T38" i="1" s="1"/>
  <c r="E834" i="1" a="1"/>
  <c r="T834" i="1" s="1"/>
  <c r="E780" i="1" a="1"/>
  <c r="T780" i="1" s="1"/>
  <c r="E678" i="1" a="1"/>
  <c r="T678" i="1" s="1"/>
  <c r="E624" i="1" a="1"/>
  <c r="T624" i="1" s="1"/>
  <c r="E570" i="1" a="1"/>
  <c r="T570" i="1" s="1"/>
  <c r="E114" i="1" a="1"/>
  <c r="T114" i="1" s="1"/>
  <c r="E880" i="1" a="1"/>
  <c r="T880" i="1" s="1"/>
  <c r="E808" i="1" a="1"/>
  <c r="T808" i="1" s="1"/>
  <c r="E790" i="1" a="1"/>
  <c r="T790" i="1" s="1"/>
  <c r="E5" i="1" a="1"/>
  <c r="T5" i="1" s="1"/>
  <c r="E150" i="1" a="1"/>
  <c r="T150" i="1" s="1"/>
  <c r="E120" i="1" a="1"/>
  <c r="T120" i="1" s="1"/>
  <c r="E78" i="1" a="1"/>
  <c r="T78" i="1" s="1"/>
  <c r="E2" i="1" a="1"/>
  <c r="T2" i="1" s="1"/>
  <c r="E167" i="1" a="1"/>
  <c r="T167" i="1" s="1"/>
  <c r="E155" i="1" a="1"/>
  <c r="T155" i="1" s="1"/>
  <c r="E143" i="1" a="1"/>
  <c r="T143" i="1" s="1"/>
  <c r="E131" i="1" a="1"/>
  <c r="T131" i="1" s="1"/>
  <c r="E119" i="1" a="1"/>
  <c r="T119" i="1" s="1"/>
  <c r="E871" i="1" a="1"/>
  <c r="T871" i="1" s="1"/>
  <c r="E853" i="1" a="1"/>
  <c r="T853" i="1" s="1"/>
  <c r="E835" i="1" a="1"/>
  <c r="T835" i="1" s="1"/>
  <c r="E817" i="1" a="1"/>
  <c r="T817" i="1" s="1"/>
  <c r="E799" i="1" a="1"/>
  <c r="T799" i="1" s="1"/>
  <c r="E781" i="1" a="1"/>
  <c r="T781" i="1" s="1"/>
  <c r="E763" i="1" a="1"/>
  <c r="T763" i="1" s="1"/>
  <c r="E745" i="1" a="1"/>
  <c r="T745" i="1" s="1"/>
  <c r="E727" i="1" a="1"/>
  <c r="T727" i="1" s="1"/>
  <c r="E709" i="1" a="1"/>
  <c r="T709" i="1" s="1"/>
  <c r="E691" i="1" a="1"/>
  <c r="T691" i="1" s="1"/>
  <c r="E673" i="1" a="1"/>
  <c r="T673" i="1" s="1"/>
  <c r="E655" i="1" a="1"/>
  <c r="T655" i="1" s="1"/>
  <c r="E637" i="1" a="1"/>
  <c r="T637" i="1" s="1"/>
  <c r="E619" i="1" a="1"/>
  <c r="T619" i="1" s="1"/>
  <c r="E601" i="1" a="1"/>
  <c r="T601" i="1" s="1"/>
  <c r="E583" i="1" a="1"/>
  <c r="T583" i="1" s="1"/>
  <c r="E565" i="1" a="1"/>
  <c r="T565" i="1" s="1"/>
  <c r="E547" i="1" a="1"/>
  <c r="T547" i="1" s="1"/>
  <c r="E529" i="1" a="1"/>
  <c r="T529" i="1" s="1"/>
  <c r="E486" i="1" a="1"/>
  <c r="T486" i="1" s="1"/>
  <c r="E169" i="1" a="1"/>
  <c r="T169" i="1" s="1"/>
  <c r="E151" i="1" a="1"/>
  <c r="T151" i="1" s="1"/>
  <c r="E133" i="1" a="1"/>
  <c r="T133" i="1" s="1"/>
  <c r="E121" i="1" a="1"/>
  <c r="T121" i="1" s="1"/>
  <c r="E109" i="1" a="1"/>
  <c r="T109" i="1" s="1"/>
  <c r="E97" i="1" a="1"/>
  <c r="T97" i="1" s="1"/>
  <c r="E85" i="1" a="1"/>
  <c r="T85" i="1" s="1"/>
  <c r="E73" i="1" a="1"/>
  <c r="T73" i="1" s="1"/>
  <c r="E61" i="1" a="1"/>
  <c r="T61" i="1" s="1"/>
  <c r="E49" i="1" a="1"/>
  <c r="T49" i="1" s="1"/>
  <c r="E37" i="1" a="1"/>
  <c r="T37" i="1" s="1"/>
  <c r="E25" i="1" a="1"/>
  <c r="T25" i="1" s="1"/>
  <c r="E13" i="1" a="1"/>
  <c r="T13" i="1" s="1"/>
  <c r="E815" i="1" a="1"/>
  <c r="T815" i="1" s="1"/>
  <c r="E797" i="1" a="1"/>
  <c r="T797" i="1" s="1"/>
  <c r="E743" i="1" a="1"/>
  <c r="T743" i="1" s="1"/>
  <c r="E478" i="1" a="1"/>
  <c r="T478" i="1" s="1"/>
  <c r="E460" i="1" a="1"/>
  <c r="T460" i="1" s="1"/>
  <c r="E442" i="1" a="1"/>
  <c r="T442" i="1" s="1"/>
  <c r="E418" i="1" a="1"/>
  <c r="T418" i="1" s="1"/>
  <c r="E400" i="1" a="1"/>
  <c r="T400" i="1" s="1"/>
  <c r="E382" i="1" a="1"/>
  <c r="T382" i="1" s="1"/>
  <c r="E340" i="1" a="1"/>
  <c r="T340" i="1" s="1"/>
  <c r="E322" i="1" a="1"/>
  <c r="T322" i="1" s="1"/>
  <c r="E262" i="1" a="1"/>
  <c r="T262" i="1" s="1"/>
  <c r="E244" i="1" a="1"/>
  <c r="T244" i="1" s="1"/>
  <c r="E122" i="1" a="1"/>
  <c r="T122" i="1" s="1"/>
  <c r="E146" i="1" a="1"/>
  <c r="T146" i="1" s="1"/>
  <c r="E80" i="1" a="1"/>
  <c r="T80" i="1" s="1"/>
  <c r="E876" i="1" a="1"/>
  <c r="T876" i="1" s="1"/>
  <c r="E822" i="1" a="1"/>
  <c r="T822" i="1" s="1"/>
  <c r="E768" i="1" a="1"/>
  <c r="T768" i="1" s="1"/>
  <c r="E11" i="1" a="1"/>
  <c r="T11" i="1" s="1"/>
  <c r="E168" i="1" a="1"/>
  <c r="T168" i="1" s="1"/>
  <c r="E138" i="1" a="1"/>
  <c r="T138" i="1" s="1"/>
  <c r="E66" i="1" a="1"/>
  <c r="T66" i="1" s="1"/>
  <c r="E42" i="1" a="1"/>
  <c r="T42" i="1" s="1"/>
  <c r="E856" i="1" a="1"/>
  <c r="T856" i="1" s="1"/>
  <c r="E838" i="1" a="1"/>
  <c r="T838" i="1" s="1"/>
  <c r="E820" i="1" a="1"/>
  <c r="T820" i="1" s="1"/>
  <c r="E784" i="1" a="1"/>
  <c r="T784" i="1" s="1"/>
  <c r="E748" i="1" a="1"/>
  <c r="T748" i="1" s="1"/>
  <c r="E730" i="1" a="1"/>
  <c r="T730" i="1" s="1"/>
  <c r="E712" i="1" a="1"/>
  <c r="T712" i="1" s="1"/>
  <c r="E694" i="1" a="1"/>
  <c r="T694" i="1" s="1"/>
  <c r="E676" i="1" a="1"/>
  <c r="T676" i="1" s="1"/>
  <c r="E658" i="1" a="1"/>
  <c r="T658" i="1" s="1"/>
  <c r="E640" i="1" a="1"/>
  <c r="T640" i="1" s="1"/>
  <c r="E622" i="1" a="1"/>
  <c r="T622" i="1" s="1"/>
  <c r="E604" i="1" a="1"/>
  <c r="T604" i="1" s="1"/>
  <c r="E586" i="1" a="1"/>
  <c r="T586" i="1" s="1"/>
  <c r="E568" i="1" a="1"/>
  <c r="T568" i="1" s="1"/>
  <c r="E550" i="1" a="1"/>
  <c r="T550" i="1" s="1"/>
  <c r="E532" i="1" a="1"/>
  <c r="T532" i="1" s="1"/>
  <c r="E648" i="1" a="1"/>
  <c r="T648" i="1" s="1"/>
  <c r="E594" i="1" a="1"/>
  <c r="T594" i="1" s="1"/>
  <c r="E72" i="1" a="1"/>
  <c r="T72" i="1" s="1"/>
  <c r="E48" i="1" a="1"/>
  <c r="T48" i="1" s="1"/>
  <c r="E690" i="1" a="1"/>
  <c r="T690" i="1" s="1"/>
  <c r="E636" i="1" a="1"/>
  <c r="T636" i="1" s="1"/>
  <c r="E582" i="1" a="1"/>
  <c r="T582" i="1" s="1"/>
  <c r="E881" i="1" a="1"/>
  <c r="T881" i="1" s="1"/>
  <c r="E863" i="1" a="1"/>
  <c r="T863" i="1" s="1"/>
  <c r="E845" i="1" a="1"/>
  <c r="T845" i="1" s="1"/>
  <c r="E827" i="1" a="1"/>
  <c r="T827" i="1" s="1"/>
  <c r="E809" i="1" a="1"/>
  <c r="T809" i="1" s="1"/>
  <c r="E791" i="1" a="1"/>
  <c r="T791" i="1" s="1"/>
  <c r="E773" i="1" a="1"/>
  <c r="T773" i="1" s="1"/>
  <c r="E755" i="1" a="1"/>
  <c r="T755" i="1" s="1"/>
  <c r="E737" i="1" a="1"/>
  <c r="T737" i="1" s="1"/>
  <c r="E719" i="1" a="1"/>
  <c r="T719" i="1" s="1"/>
  <c r="E701" i="1" a="1"/>
  <c r="T701" i="1" s="1"/>
  <c r="E683" i="1" a="1"/>
  <c r="T683" i="1" s="1"/>
  <c r="E665" i="1" a="1"/>
  <c r="T665" i="1" s="1"/>
  <c r="E647" i="1" a="1"/>
  <c r="T647" i="1" s="1"/>
  <c r="E629" i="1" a="1"/>
  <c r="T629" i="1" s="1"/>
  <c r="E611" i="1" a="1"/>
  <c r="T611" i="1" s="1"/>
  <c r="E593" i="1" a="1"/>
  <c r="T593" i="1" s="1"/>
  <c r="E575" i="1" a="1"/>
  <c r="T575" i="1" s="1"/>
  <c r="E557" i="1" a="1"/>
  <c r="T557" i="1" s="1"/>
  <c r="E496" i="1" a="1"/>
  <c r="T496" i="1" s="1"/>
  <c r="E436" i="1" a="1"/>
  <c r="T436" i="1" s="1"/>
  <c r="E376" i="1" a="1"/>
  <c r="T376" i="1" s="1"/>
  <c r="E358" i="1" a="1"/>
  <c r="T358" i="1" s="1"/>
  <c r="E298" i="1" a="1"/>
  <c r="T298" i="1" s="1"/>
  <c r="E280" i="1" a="1"/>
  <c r="T280" i="1" s="1"/>
  <c r="E220" i="1" a="1"/>
  <c r="T220" i="1" s="1"/>
  <c r="E184" i="1" a="1"/>
  <c r="T184" i="1" s="1"/>
  <c r="E699" i="1" a="1"/>
  <c r="T699" i="1" s="1"/>
  <c r="E615" i="1" a="1"/>
  <c r="T615" i="1" s="1"/>
  <c r="E555" i="1" a="1"/>
  <c r="T555" i="1" s="1"/>
  <c r="E471" i="1" a="1"/>
  <c r="T471" i="1" s="1"/>
  <c r="E411" i="1" a="1"/>
  <c r="T411" i="1" s="1"/>
  <c r="E369" i="1" a="1"/>
  <c r="T369" i="1" s="1"/>
  <c r="E351" i="1" a="1"/>
  <c r="T351" i="1" s="1"/>
  <c r="E291" i="1" a="1"/>
  <c r="T291" i="1" s="1"/>
  <c r="E273" i="1" a="1"/>
  <c r="T273" i="1" s="1"/>
  <c r="E255" i="1" a="1"/>
  <c r="T255" i="1" s="1"/>
  <c r="E98" i="1" a="1"/>
  <c r="T98" i="1" s="1"/>
  <c r="E20" i="1" a="1"/>
  <c r="T20" i="1" s="1"/>
  <c r="E864" i="1" a="1"/>
  <c r="T864" i="1" s="1"/>
  <c r="E810" i="1" a="1"/>
  <c r="T810" i="1" s="1"/>
  <c r="E762" i="1" a="1"/>
  <c r="T762" i="1" s="1"/>
  <c r="E702" i="1" a="1"/>
  <c r="T702" i="1" s="1"/>
  <c r="E32" i="1" a="1"/>
  <c r="T32" i="1" s="1"/>
  <c r="E732" i="1" a="1"/>
  <c r="T732" i="1" s="1"/>
  <c r="E870" i="1" a="1"/>
  <c r="T870" i="1" s="1"/>
  <c r="E816" i="1" a="1"/>
  <c r="T816" i="1" s="1"/>
  <c r="E750" i="1" a="1"/>
  <c r="T750" i="1" s="1"/>
  <c r="E660" i="1" a="1"/>
  <c r="T660" i="1" s="1"/>
  <c r="E606" i="1" a="1"/>
  <c r="T606" i="1" s="1"/>
  <c r="E552" i="1" a="1"/>
  <c r="T552" i="1" s="1"/>
  <c r="E96" i="1" a="1"/>
  <c r="T96" i="1" s="1"/>
  <c r="E874" i="1" a="1"/>
  <c r="T874" i="1" s="1"/>
  <c r="E802" i="1" a="1"/>
  <c r="T802" i="1" s="1"/>
  <c r="E766" i="1" a="1"/>
  <c r="T766" i="1" s="1"/>
  <c r="E144" i="1" a="1"/>
  <c r="T144" i="1" s="1"/>
  <c r="E108" i="1" a="1"/>
  <c r="T108" i="1" s="1"/>
  <c r="E90" i="1" a="1"/>
  <c r="T90" i="1" s="1"/>
  <c r="E36" i="1" a="1"/>
  <c r="T36" i="1" s="1"/>
  <c r="E18" i="1" a="1"/>
  <c r="T18" i="1" s="1"/>
  <c r="E113" i="1" a="1"/>
  <c r="T113" i="1" s="1"/>
  <c r="E101" i="1" a="1"/>
  <c r="T101" i="1" s="1"/>
  <c r="E89" i="1" a="1"/>
  <c r="T89" i="1" s="1"/>
  <c r="E77" i="1" a="1"/>
  <c r="T77" i="1" s="1"/>
  <c r="E65" i="1" a="1"/>
  <c r="T65" i="1" s="1"/>
  <c r="E53" i="1" a="1"/>
  <c r="T53" i="1" s="1"/>
  <c r="E41" i="1" a="1"/>
  <c r="T41" i="1" s="1"/>
  <c r="E29" i="1" a="1"/>
  <c r="T29" i="1" s="1"/>
  <c r="E17" i="1" a="1"/>
  <c r="T17" i="1" s="1"/>
  <c r="E10" i="1" a="1"/>
  <c r="T10" i="1" s="1"/>
  <c r="E159" i="1" a="1"/>
  <c r="T159" i="1" s="1"/>
  <c r="E147" i="1" a="1"/>
  <c r="T147" i="1" s="1"/>
  <c r="E135" i="1" a="1"/>
  <c r="T135" i="1" s="1"/>
  <c r="E123" i="1" a="1"/>
  <c r="T123" i="1" s="1"/>
  <c r="E111" i="1" a="1"/>
  <c r="T111" i="1" s="1"/>
  <c r="E99" i="1" a="1"/>
  <c r="T99" i="1" s="1"/>
  <c r="E87" i="1" a="1"/>
  <c r="T87" i="1" s="1"/>
  <c r="E75" i="1" a="1"/>
  <c r="T75" i="1" s="1"/>
  <c r="E63" i="1" a="1"/>
  <c r="T63" i="1" s="1"/>
  <c r="E51" i="1" a="1"/>
  <c r="T51" i="1" s="1"/>
  <c r="E39" i="1" a="1"/>
  <c r="T39" i="1" s="1"/>
  <c r="E27" i="1" a="1"/>
  <c r="T27" i="1" s="1"/>
  <c r="E15" i="1" a="1"/>
  <c r="T15" i="1" s="1"/>
  <c r="E865" i="1" a="1"/>
  <c r="T865" i="1" s="1"/>
  <c r="E847" i="1" a="1"/>
  <c r="T847" i="1" s="1"/>
  <c r="E829" i="1" a="1"/>
  <c r="T829" i="1" s="1"/>
  <c r="E811" i="1" a="1"/>
  <c r="T811" i="1" s="1"/>
  <c r="E775" i="1" a="1"/>
  <c r="T775" i="1" s="1"/>
  <c r="E757" i="1" a="1"/>
  <c r="T757" i="1" s="1"/>
  <c r="E739" i="1" a="1"/>
  <c r="T739" i="1" s="1"/>
  <c r="E703" i="1" a="1"/>
  <c r="T703" i="1" s="1"/>
  <c r="E685" i="1" a="1"/>
  <c r="T685" i="1" s="1"/>
  <c r="E667" i="1" a="1"/>
  <c r="T667" i="1" s="1"/>
  <c r="E649" i="1" a="1"/>
  <c r="T649" i="1" s="1"/>
  <c r="E631" i="1" a="1"/>
  <c r="T631" i="1" s="1"/>
  <c r="E613" i="1" a="1"/>
  <c r="T613" i="1" s="1"/>
  <c r="E595" i="1" a="1"/>
  <c r="T595" i="1" s="1"/>
  <c r="E577" i="1" a="1"/>
  <c r="T577" i="1" s="1"/>
  <c r="E559" i="1" a="1"/>
  <c r="T559" i="1" s="1"/>
  <c r="E541" i="1" a="1"/>
  <c r="T541" i="1" s="1"/>
  <c r="E523" i="1" a="1"/>
  <c r="T523" i="1" s="1"/>
  <c r="E514" i="1" a="1"/>
  <c r="T514" i="1" s="1"/>
  <c r="E490" i="1" a="1"/>
  <c r="T490" i="1" s="1"/>
  <c r="E472" i="1" a="1"/>
  <c r="T472" i="1" s="1"/>
  <c r="E454" i="1" a="1"/>
  <c r="T454" i="1" s="1"/>
  <c r="E412" i="1" a="1"/>
  <c r="T412" i="1" s="1"/>
  <c r="E394" i="1" a="1"/>
  <c r="T394" i="1" s="1"/>
  <c r="E334" i="1" a="1"/>
  <c r="T334" i="1" s="1"/>
  <c r="E316" i="1" a="1"/>
  <c r="T316" i="1" s="1"/>
  <c r="E274" i="1" a="1"/>
  <c r="T274" i="1" s="1"/>
  <c r="E256" i="1" a="1"/>
  <c r="T256" i="1" s="1"/>
  <c r="E238" i="1" a="1"/>
  <c r="T238" i="1" s="1"/>
  <c r="E196" i="1" a="1"/>
  <c r="T196" i="1" s="1"/>
  <c r="E693" i="1" a="1"/>
  <c r="T693" i="1" s="1"/>
  <c r="E675" i="1" a="1"/>
  <c r="T675" i="1" s="1"/>
  <c r="E549" i="1" a="1"/>
  <c r="T549" i="1" s="1"/>
  <c r="E531" i="1" a="1"/>
  <c r="T531" i="1" s="1"/>
  <c r="E405" i="1" a="1"/>
  <c r="T405" i="1" s="1"/>
  <c r="E387" i="1" a="1"/>
  <c r="T387" i="1" s="1"/>
  <c r="E327" i="1" a="1"/>
  <c r="T327" i="1" s="1"/>
  <c r="E309" i="1" a="1"/>
  <c r="T309" i="1" s="1"/>
  <c r="E249" i="1" a="1"/>
  <c r="T249" i="1" s="1"/>
  <c r="E158" i="1" a="1"/>
  <c r="T158" i="1" s="1"/>
  <c r="E116" i="1" a="1"/>
  <c r="T116" i="1" s="1"/>
  <c r="E56" i="1" a="1"/>
  <c r="T56" i="1" s="1"/>
  <c r="E7" i="1" a="1"/>
  <c r="T7" i="1" s="1"/>
  <c r="E86" i="1" a="1"/>
  <c r="T86" i="1" s="1"/>
  <c r="E858" i="1" a="1"/>
  <c r="T858" i="1" s="1"/>
  <c r="E804" i="1" a="1"/>
  <c r="T804" i="1" s="1"/>
  <c r="E756" i="1" a="1"/>
  <c r="T756" i="1" s="1"/>
  <c r="E720" i="1" a="1"/>
  <c r="T720" i="1" s="1"/>
  <c r="E140" i="1" a="1"/>
  <c r="T140" i="1" s="1"/>
  <c r="E74" i="1" a="1"/>
  <c r="T74" i="1" s="1"/>
  <c r="E156" i="1" a="1"/>
  <c r="T156" i="1" s="1"/>
  <c r="E126" i="1" a="1"/>
  <c r="T126" i="1" s="1"/>
  <c r="E24" i="1" a="1"/>
  <c r="T24" i="1" s="1"/>
  <c r="E868" i="1" a="1"/>
  <c r="T868" i="1" s="1"/>
  <c r="E850" i="1" a="1"/>
  <c r="T850" i="1" s="1"/>
  <c r="E832" i="1" a="1"/>
  <c r="T832" i="1" s="1"/>
  <c r="E814" i="1" a="1"/>
  <c r="T814" i="1" s="1"/>
  <c r="E778" i="1" a="1"/>
  <c r="T778" i="1" s="1"/>
  <c r="E760" i="1" a="1"/>
  <c r="T760" i="1" s="1"/>
  <c r="E742" i="1" a="1"/>
  <c r="T742" i="1" s="1"/>
  <c r="E724" i="1" a="1"/>
  <c r="T724" i="1" s="1"/>
  <c r="E706" i="1" a="1"/>
  <c r="T706" i="1" s="1"/>
  <c r="E688" i="1" a="1"/>
  <c r="T688" i="1" s="1"/>
  <c r="E670" i="1" a="1"/>
  <c r="T670" i="1" s="1"/>
  <c r="E652" i="1" a="1"/>
  <c r="T652" i="1" s="1"/>
  <c r="E616" i="1" a="1"/>
  <c r="T616" i="1" s="1"/>
  <c r="E598" i="1" a="1"/>
  <c r="T598" i="1" s="1"/>
  <c r="E580" i="1" a="1"/>
  <c r="T580" i="1" s="1"/>
  <c r="E562" i="1" a="1"/>
  <c r="T562" i="1" s="1"/>
  <c r="E684" i="1" a="1"/>
  <c r="T684" i="1" s="1"/>
  <c r="E630" i="1" a="1"/>
  <c r="T630" i="1" s="1"/>
  <c r="E576" i="1" a="1"/>
  <c r="T576" i="1" s="1"/>
  <c r="E145" i="1" a="1"/>
  <c r="T145" i="1" s="1"/>
  <c r="E162" i="1" a="1"/>
  <c r="T162" i="1" s="1"/>
  <c r="E4" i="1" a="1"/>
  <c r="T4" i="1" s="1"/>
  <c r="E161" i="1" a="1"/>
  <c r="T161" i="1" s="1"/>
  <c r="E149" i="1" a="1"/>
  <c r="T149" i="1" s="1"/>
  <c r="E137" i="1" a="1"/>
  <c r="T137" i="1" s="1"/>
  <c r="E125" i="1" a="1"/>
  <c r="T125" i="1" s="1"/>
  <c r="E848" i="1" a="1"/>
  <c r="T848" i="1" s="1"/>
  <c r="E793" i="1" a="1"/>
  <c r="T793" i="1" s="1"/>
  <c r="E721" i="1" a="1"/>
  <c r="T721" i="1" s="1"/>
  <c r="E672" i="1" a="1"/>
  <c r="T672" i="1" s="1"/>
  <c r="E618" i="1" a="1"/>
  <c r="T618" i="1" s="1"/>
  <c r="E564" i="1" a="1"/>
  <c r="T564" i="1" s="1"/>
  <c r="E6" i="1" a="1"/>
  <c r="T6" i="1" s="1"/>
  <c r="E157" i="1" a="1"/>
  <c r="T157" i="1" s="1"/>
  <c r="E139" i="1" a="1"/>
  <c r="T139" i="1" s="1"/>
  <c r="E127" i="1" a="1"/>
  <c r="T127" i="1" s="1"/>
  <c r="E115" i="1" a="1"/>
  <c r="T115" i="1" s="1"/>
  <c r="E103" i="1" a="1"/>
  <c r="T103" i="1" s="1"/>
  <c r="E91" i="1" a="1"/>
  <c r="T91" i="1" s="1"/>
  <c r="E79" i="1" a="1"/>
  <c r="T79" i="1" s="1"/>
  <c r="E67" i="1" a="1"/>
  <c r="T67" i="1" s="1"/>
  <c r="E55" i="1" a="1"/>
  <c r="T55" i="1" s="1"/>
  <c r="E43" i="1" a="1"/>
  <c r="T43" i="1" s="1"/>
  <c r="E31" i="1" a="1"/>
  <c r="T31" i="1" s="1"/>
  <c r="E19" i="1" a="1"/>
  <c r="T19" i="1" s="1"/>
  <c r="E68" i="1" a="1"/>
  <c r="T68" i="1" s="1"/>
  <c r="E846" i="1" a="1"/>
  <c r="T846" i="1" s="1"/>
  <c r="E792" i="1" a="1"/>
  <c r="T792" i="1" s="1"/>
  <c r="E744" i="1" a="1"/>
  <c r="T744" i="1" s="1"/>
  <c r="E152" i="1" a="1"/>
  <c r="T152" i="1" s="1"/>
  <c r="E92" i="1" a="1"/>
  <c r="T92" i="1" s="1"/>
  <c r="E164" i="1" a="1"/>
  <c r="T164" i="1" s="1"/>
  <c r="E852" i="1" a="1"/>
  <c r="T852" i="1" s="1"/>
  <c r="E798" i="1" a="1"/>
  <c r="T798" i="1" s="1"/>
  <c r="E708" i="1" a="1"/>
  <c r="T708" i="1" s="1"/>
  <c r="E642" i="1" a="1"/>
  <c r="T642" i="1" s="1"/>
  <c r="E588" i="1" a="1"/>
  <c r="T588" i="1" s="1"/>
  <c r="E163" i="1" a="1"/>
  <c r="T163" i="1" s="1"/>
  <c r="E84" i="1" a="1"/>
  <c r="T84" i="1" s="1"/>
  <c r="E54" i="1" a="1"/>
  <c r="T54" i="1" s="1"/>
  <c r="E796" i="1" a="1"/>
  <c r="T796" i="1" s="1"/>
  <c r="E634" i="1" a="1"/>
  <c r="T634" i="1" s="1"/>
  <c r="E544" i="1" a="1"/>
  <c r="T544" i="1" s="1"/>
  <c r="E132" i="1" a="1"/>
  <c r="T132" i="1" s="1"/>
  <c r="E60" i="1" a="1"/>
  <c r="T60" i="1" s="1"/>
  <c r="E877" i="1" a="1"/>
  <c r="T877" i="1" s="1"/>
  <c r="E859" i="1" a="1"/>
  <c r="T859" i="1" s="1"/>
  <c r="E841" i="1" a="1"/>
  <c r="T841" i="1" s="1"/>
  <c r="E823" i="1" a="1"/>
  <c r="T823" i="1" s="1"/>
  <c r="E805" i="1" a="1"/>
  <c r="T805" i="1" s="1"/>
  <c r="E787" i="1" a="1"/>
  <c r="T787" i="1" s="1"/>
  <c r="E769" i="1" a="1"/>
  <c r="T769" i="1" s="1"/>
  <c r="E751" i="1" a="1"/>
  <c r="T751" i="1" s="1"/>
  <c r="E733" i="1" a="1"/>
  <c r="T733" i="1" s="1"/>
  <c r="E715" i="1" a="1"/>
  <c r="T715" i="1" s="1"/>
  <c r="E697" i="1" a="1"/>
  <c r="T697" i="1" s="1"/>
  <c r="E679" i="1" a="1"/>
  <c r="T679" i="1" s="1"/>
  <c r="E661" i="1" a="1"/>
  <c r="T661" i="1" s="1"/>
  <c r="E643" i="1" a="1"/>
  <c r="T643" i="1" s="1"/>
  <c r="E625" i="1" a="1"/>
  <c r="T625" i="1" s="1"/>
  <c r="E607" i="1" a="1"/>
  <c r="T607" i="1" s="1"/>
  <c r="E589" i="1" a="1"/>
  <c r="T589" i="1" s="1"/>
  <c r="E571" i="1" a="1"/>
  <c r="T571" i="1" s="1"/>
  <c r="E553" i="1" a="1"/>
  <c r="T553" i="1" s="1"/>
  <c r="E535" i="1" a="1"/>
  <c r="T535" i="1" s="1"/>
  <c r="E517" i="1" a="1"/>
  <c r="T517" i="1" s="1"/>
  <c r="E526" i="1" a="1"/>
  <c r="T526" i="1" s="1"/>
  <c r="E484" i="1" a="1"/>
  <c r="T484" i="1" s="1"/>
  <c r="E466" i="1" a="1"/>
  <c r="T466" i="1" s="1"/>
  <c r="E406" i="1" a="1"/>
  <c r="T406" i="1" s="1"/>
  <c r="E388" i="1" a="1"/>
  <c r="T388" i="1" s="1"/>
  <c r="E128" i="1" a="1"/>
  <c r="T128" i="1" s="1"/>
  <c r="E14" i="1" a="1"/>
  <c r="T14" i="1" s="1"/>
  <c r="E104" i="1" a="1"/>
  <c r="T104" i="1" s="1"/>
  <c r="E840" i="1" a="1"/>
  <c r="T840" i="1" s="1"/>
  <c r="E786" i="1" a="1"/>
  <c r="T786" i="1" s="1"/>
  <c r="E738" i="1" a="1"/>
  <c r="T738" i="1" s="1"/>
  <c r="E12" i="1" a="1"/>
  <c r="T12" i="1" s="1"/>
  <c r="E862" i="1" a="1"/>
  <c r="T862" i="1" s="1"/>
  <c r="E844" i="1" a="1"/>
  <c r="T844" i="1" s="1"/>
  <c r="E826" i="1" a="1"/>
  <c r="T826" i="1" s="1"/>
  <c r="E772" i="1" a="1"/>
  <c r="T772" i="1" s="1"/>
  <c r="E754" i="1" a="1"/>
  <c r="T754" i="1" s="1"/>
  <c r="E736" i="1" a="1"/>
  <c r="T736" i="1" s="1"/>
  <c r="E718" i="1" a="1"/>
  <c r="T718" i="1" s="1"/>
  <c r="E700" i="1" a="1"/>
  <c r="T700" i="1" s="1"/>
  <c r="E682" i="1" a="1"/>
  <c r="T682" i="1" s="1"/>
  <c r="E664" i="1" a="1"/>
  <c r="T664" i="1" s="1"/>
  <c r="E646" i="1" a="1"/>
  <c r="T646" i="1" s="1"/>
  <c r="E628" i="1" a="1"/>
  <c r="T628" i="1" s="1"/>
  <c r="E610" i="1" a="1"/>
  <c r="T610" i="1" s="1"/>
  <c r="E592" i="1" a="1"/>
  <c r="T592" i="1" s="1"/>
  <c r="E574" i="1" a="1"/>
  <c r="T574" i="1" s="1"/>
  <c r="E556" i="1" a="1"/>
  <c r="T556" i="1" s="1"/>
  <c r="E538" i="1" a="1"/>
  <c r="T538" i="1" s="1"/>
  <c r="E666" i="1" a="1"/>
  <c r="T666" i="1" s="1"/>
  <c r="E612" i="1" a="1"/>
  <c r="T612" i="1" s="1"/>
  <c r="E558" i="1" a="1"/>
  <c r="T558" i="1" s="1"/>
  <c r="E102" i="1" a="1"/>
  <c r="T102" i="1" s="1"/>
  <c r="E30" i="1" a="1"/>
  <c r="T30" i="1" s="1"/>
  <c r="E107" i="1" a="1"/>
  <c r="T107" i="1" s="1"/>
  <c r="E95" i="1" a="1"/>
  <c r="T95" i="1" s="1"/>
  <c r="E83" i="1" a="1"/>
  <c r="T83" i="1" s="1"/>
  <c r="E71" i="1" a="1"/>
  <c r="T71" i="1" s="1"/>
  <c r="E59" i="1" a="1"/>
  <c r="T59" i="1" s="1"/>
  <c r="E47" i="1" a="1"/>
  <c r="T47" i="1" s="1"/>
  <c r="E35" i="1" a="1"/>
  <c r="T35" i="1" s="1"/>
  <c r="E23" i="1" a="1"/>
  <c r="T23" i="1" s="1"/>
  <c r="E8" i="1" a="1"/>
  <c r="T8" i="1" s="1"/>
  <c r="E165" i="1" a="1"/>
  <c r="T165" i="1" s="1"/>
  <c r="E153" i="1" a="1"/>
  <c r="T153" i="1" s="1"/>
  <c r="E81" i="1" a="1"/>
  <c r="T81" i="1" s="1"/>
  <c r="E600" i="1" a="1"/>
  <c r="T600" i="1" s="1"/>
  <c r="E851" i="1" a="1"/>
  <c r="T851" i="1" s="1"/>
  <c r="E803" i="1" a="1"/>
  <c r="T803" i="1" s="1"/>
  <c r="E779" i="1" a="1"/>
  <c r="T779" i="1" s="1"/>
  <c r="E731" i="1" a="1"/>
  <c r="T731" i="1" s="1"/>
  <c r="E689" i="1" a="1"/>
  <c r="T689" i="1" s="1"/>
  <c r="E623" i="1" a="1"/>
  <c r="T623" i="1" s="1"/>
  <c r="E581" i="1" a="1"/>
  <c r="T581" i="1" s="1"/>
  <c r="E508" i="1" a="1"/>
  <c r="T508" i="1" s="1"/>
  <c r="E370" i="1" a="1"/>
  <c r="T370" i="1" s="1"/>
  <c r="E346" i="1" a="1"/>
  <c r="T346" i="1" s="1"/>
  <c r="E292" i="1" a="1"/>
  <c r="T292" i="1" s="1"/>
  <c r="E232" i="1" a="1"/>
  <c r="T232" i="1" s="1"/>
  <c r="E537" i="1" a="1"/>
  <c r="T537" i="1" s="1"/>
  <c r="E399" i="1" a="1"/>
  <c r="T399" i="1" s="1"/>
  <c r="E375" i="1" a="1"/>
  <c r="T375" i="1" s="1"/>
  <c r="E303" i="1" a="1"/>
  <c r="T303" i="1" s="1"/>
  <c r="E231" i="1" a="1"/>
  <c r="T231" i="1" s="1"/>
  <c r="E213" i="1" a="1"/>
  <c r="T213" i="1" s="1"/>
  <c r="E843" i="1" a="1"/>
  <c r="T843" i="1" s="1"/>
  <c r="E825" i="1" a="1"/>
  <c r="T825" i="1" s="1"/>
  <c r="E753" i="1" a="1"/>
  <c r="T753" i="1" s="1"/>
  <c r="E711" i="1" a="1"/>
  <c r="T711" i="1" s="1"/>
  <c r="E519" i="1" a="1"/>
  <c r="T519" i="1" s="1"/>
  <c r="E501" i="1" a="1"/>
  <c r="T501" i="1" s="1"/>
  <c r="E453" i="1" a="1"/>
  <c r="T453" i="1" s="1"/>
  <c r="E160" i="1" a="1"/>
  <c r="T160" i="1" s="1"/>
  <c r="E130" i="1" a="1"/>
  <c r="T130" i="1" s="1"/>
  <c r="E100" i="1" a="1"/>
  <c r="T100" i="1" s="1"/>
  <c r="E70" i="1" a="1"/>
  <c r="T70" i="1" s="1"/>
  <c r="E860" i="1" a="1"/>
  <c r="T860" i="1" s="1"/>
  <c r="E842" i="1" a="1"/>
  <c r="T842" i="1" s="1"/>
  <c r="E818" i="1" a="1"/>
  <c r="T818" i="1" s="1"/>
  <c r="E764" i="1" a="1"/>
  <c r="T764" i="1" s="1"/>
  <c r="E746" i="1" a="1"/>
  <c r="T746" i="1" s="1"/>
  <c r="E728" i="1" a="1"/>
  <c r="T728" i="1" s="1"/>
  <c r="E692" i="1" a="1"/>
  <c r="T692" i="1" s="1"/>
  <c r="E620" i="1" a="1"/>
  <c r="T620" i="1" s="1"/>
  <c r="E511" i="1" a="1"/>
  <c r="T511" i="1" s="1"/>
  <c r="E469" i="1" a="1"/>
  <c r="T469" i="1" s="1"/>
  <c r="E451" i="1" a="1"/>
  <c r="T451" i="1" s="1"/>
  <c r="E391" i="1" a="1"/>
  <c r="T391" i="1" s="1"/>
  <c r="E373" i="1" a="1"/>
  <c r="T373" i="1" s="1"/>
  <c r="E331" i="1" a="1"/>
  <c r="T331" i="1" s="1"/>
  <c r="E313" i="1" a="1"/>
  <c r="T313" i="1" s="1"/>
  <c r="E295" i="1" a="1"/>
  <c r="T295" i="1" s="1"/>
  <c r="E253" i="1" a="1"/>
  <c r="T253" i="1" s="1"/>
  <c r="E235" i="1" a="1"/>
  <c r="T235" i="1" s="1"/>
  <c r="E492" i="1" a="1"/>
  <c r="T492" i="1" s="1"/>
  <c r="E450" i="1" a="1"/>
  <c r="T450" i="1" s="1"/>
  <c r="E390" i="1" a="1"/>
  <c r="T390" i="1" s="1"/>
  <c r="E372" i="1" a="1"/>
  <c r="T372" i="1" s="1"/>
  <c r="E312" i="1" a="1"/>
  <c r="T312" i="1" s="1"/>
  <c r="E294" i="1" a="1"/>
  <c r="T294" i="1" s="1"/>
  <c r="E234" i="1" a="1"/>
  <c r="T234" i="1" s="1"/>
  <c r="E783" i="1" a="1"/>
  <c r="T783" i="1" s="1"/>
  <c r="E521" i="1" a="1"/>
  <c r="T521" i="1" s="1"/>
  <c r="E503" i="1" a="1"/>
  <c r="T503" i="1" s="1"/>
  <c r="E461" i="1" a="1"/>
  <c r="T461" i="1" s="1"/>
  <c r="E443" i="1" a="1"/>
  <c r="T443" i="1" s="1"/>
  <c r="E425" i="1" a="1"/>
  <c r="T425" i="1" s="1"/>
  <c r="E383" i="1" a="1"/>
  <c r="T383" i="1" s="1"/>
  <c r="E365" i="1" a="1"/>
  <c r="T365" i="1" s="1"/>
  <c r="E287" i="1" a="1"/>
  <c r="T287" i="1" s="1"/>
  <c r="E245" i="1" a="1"/>
  <c r="T245" i="1" s="1"/>
  <c r="E227" i="1" a="1"/>
  <c r="T227" i="1" s="1"/>
  <c r="E209" i="1" a="1"/>
  <c r="T209" i="1" s="1"/>
  <c r="E189" i="1" a="1"/>
  <c r="T189" i="1" s="1"/>
  <c r="E177" i="1" a="1"/>
  <c r="T177" i="1" s="1"/>
  <c r="E644" i="1" a="1"/>
  <c r="T644" i="1" s="1"/>
  <c r="E626" i="1" a="1"/>
  <c r="T626" i="1" s="1"/>
  <c r="E548" i="1" a="1"/>
  <c r="T548" i="1" s="1"/>
  <c r="E530" i="1" a="1"/>
  <c r="T530" i="1" s="1"/>
  <c r="E512" i="1" a="1"/>
  <c r="T512" i="1" s="1"/>
  <c r="E494" i="1" a="1"/>
  <c r="T494" i="1" s="1"/>
  <c r="E476" i="1" a="1"/>
  <c r="T476" i="1" s="1"/>
  <c r="E458" i="1" a="1"/>
  <c r="T458" i="1" s="1"/>
  <c r="E440" i="1" a="1"/>
  <c r="T440" i="1" s="1"/>
  <c r="E422" i="1" a="1"/>
  <c r="T422" i="1" s="1"/>
  <c r="E404" i="1" a="1"/>
  <c r="T404" i="1" s="1"/>
  <c r="E386" i="1" a="1"/>
  <c r="T386" i="1" s="1"/>
  <c r="E368" i="1" a="1"/>
  <c r="T368" i="1" s="1"/>
  <c r="E350" i="1" a="1"/>
  <c r="T350" i="1" s="1"/>
  <c r="E93" i="1" a="1"/>
  <c r="T93" i="1" s="1"/>
  <c r="E21" i="1" a="1"/>
  <c r="T21" i="1" s="1"/>
  <c r="E869" i="1" a="1"/>
  <c r="T869" i="1" s="1"/>
  <c r="E707" i="1" a="1"/>
  <c r="T707" i="1" s="1"/>
  <c r="E641" i="1" a="1"/>
  <c r="T641" i="1" s="1"/>
  <c r="E599" i="1" a="1"/>
  <c r="T599" i="1" s="1"/>
  <c r="E208" i="1" a="1"/>
  <c r="T208" i="1" s="1"/>
  <c r="E627" i="1" a="1"/>
  <c r="T627" i="1" s="1"/>
  <c r="E603" i="1" a="1"/>
  <c r="T603" i="1" s="1"/>
  <c r="E465" i="1" a="1"/>
  <c r="T465" i="1" s="1"/>
  <c r="E279" i="1" a="1"/>
  <c r="T279" i="1" s="1"/>
  <c r="E807" i="1" a="1"/>
  <c r="T807" i="1" s="1"/>
  <c r="E789" i="1" a="1"/>
  <c r="T789" i="1" s="1"/>
  <c r="E765" i="1" a="1"/>
  <c r="T765" i="1" s="1"/>
  <c r="E747" i="1" a="1"/>
  <c r="T747" i="1" s="1"/>
  <c r="E729" i="1" a="1"/>
  <c r="T729" i="1" s="1"/>
  <c r="E657" i="1" a="1"/>
  <c r="T657" i="1" s="1"/>
  <c r="E639" i="1" a="1"/>
  <c r="T639" i="1" s="1"/>
  <c r="E585" i="1" a="1"/>
  <c r="T585" i="1" s="1"/>
  <c r="E567" i="1" a="1"/>
  <c r="T567" i="1" s="1"/>
  <c r="E447" i="1" a="1"/>
  <c r="T447" i="1" s="1"/>
  <c r="E429" i="1" a="1"/>
  <c r="T429" i="1" s="1"/>
  <c r="E112" i="1" a="1"/>
  <c r="T112" i="1" s="1"/>
  <c r="E52" i="1" a="1"/>
  <c r="T52" i="1" s="1"/>
  <c r="E22" i="1" a="1"/>
  <c r="T22" i="1" s="1"/>
  <c r="E878" i="1" a="1"/>
  <c r="T878" i="1" s="1"/>
  <c r="E800" i="1" a="1"/>
  <c r="T800" i="1" s="1"/>
  <c r="E782" i="1" a="1"/>
  <c r="T782" i="1" s="1"/>
  <c r="E710" i="1" a="1"/>
  <c r="T710" i="1" s="1"/>
  <c r="E674" i="1" a="1"/>
  <c r="T674" i="1" s="1"/>
  <c r="E505" i="1" a="1"/>
  <c r="T505" i="1" s="1"/>
  <c r="E487" i="1" a="1"/>
  <c r="T487" i="1" s="1"/>
  <c r="E427" i="1" a="1"/>
  <c r="T427" i="1" s="1"/>
  <c r="E409" i="1" a="1"/>
  <c r="T409" i="1" s="1"/>
  <c r="E349" i="1" a="1"/>
  <c r="T349" i="1" s="1"/>
  <c r="E289" i="1" a="1"/>
  <c r="T289" i="1" s="1"/>
  <c r="E271" i="1" a="1"/>
  <c r="T271" i="1" s="1"/>
  <c r="E211" i="1" a="1"/>
  <c r="T211" i="1" s="1"/>
  <c r="E193" i="1" a="1"/>
  <c r="T193" i="1" s="1"/>
  <c r="E528" i="1" a="1"/>
  <c r="T528" i="1" s="1"/>
  <c r="E510" i="1" a="1"/>
  <c r="T510" i="1" s="1"/>
  <c r="E468" i="1" a="1"/>
  <c r="T468" i="1" s="1"/>
  <c r="E426" i="1" a="1"/>
  <c r="T426" i="1" s="1"/>
  <c r="E408" i="1" a="1"/>
  <c r="T408" i="1" s="1"/>
  <c r="E348" i="1" a="1"/>
  <c r="T348" i="1" s="1"/>
  <c r="E330" i="1" a="1"/>
  <c r="T330" i="1" s="1"/>
  <c r="E288" i="1" a="1"/>
  <c r="T288" i="1" s="1"/>
  <c r="E270" i="1" a="1"/>
  <c r="T270" i="1" s="1"/>
  <c r="E252" i="1" a="1"/>
  <c r="T252" i="1" s="1"/>
  <c r="E210" i="1" a="1"/>
  <c r="T210" i="1" s="1"/>
  <c r="E192" i="1" a="1"/>
  <c r="T192" i="1" s="1"/>
  <c r="E180" i="1" a="1"/>
  <c r="T180" i="1" s="1"/>
  <c r="E539" i="1" a="1"/>
  <c r="T539" i="1" s="1"/>
  <c r="E479" i="1" a="1"/>
  <c r="T479" i="1" s="1"/>
  <c r="E419" i="1" a="1"/>
  <c r="T419" i="1" s="1"/>
  <c r="E401" i="1" a="1"/>
  <c r="T401" i="1" s="1"/>
  <c r="E341" i="1" a="1"/>
  <c r="T341" i="1" s="1"/>
  <c r="E323" i="1" a="1"/>
  <c r="T323" i="1" s="1"/>
  <c r="E305" i="1" a="1"/>
  <c r="T305" i="1" s="1"/>
  <c r="E263" i="1" a="1"/>
  <c r="T263" i="1" s="1"/>
  <c r="E203" i="1" a="1"/>
  <c r="T203" i="1" s="1"/>
  <c r="E173" i="1" a="1"/>
  <c r="T173" i="1" s="1"/>
  <c r="E861" i="1" a="1"/>
  <c r="T861" i="1" s="1"/>
  <c r="E171" i="1" a="1"/>
  <c r="T171" i="1" s="1"/>
  <c r="E584" i="1" a="1"/>
  <c r="T584" i="1" s="1"/>
  <c r="E187" i="1" a="1"/>
  <c r="T187" i="1" s="1"/>
  <c r="E105" i="1" a="1"/>
  <c r="T105" i="1" s="1"/>
  <c r="E33" i="1" a="1"/>
  <c r="T33" i="1" s="1"/>
  <c r="E654" i="1" a="1"/>
  <c r="T654" i="1" s="1"/>
  <c r="E821" i="1" a="1"/>
  <c r="T821" i="1" s="1"/>
  <c r="E749" i="1" a="1"/>
  <c r="T749" i="1" s="1"/>
  <c r="E725" i="1" a="1"/>
  <c r="T725" i="1" s="1"/>
  <c r="E659" i="1" a="1"/>
  <c r="T659" i="1" s="1"/>
  <c r="E617" i="1" a="1"/>
  <c r="T617" i="1" s="1"/>
  <c r="E551" i="1" a="1"/>
  <c r="T551" i="1" s="1"/>
  <c r="E502" i="1" a="1"/>
  <c r="T502" i="1" s="1"/>
  <c r="E430" i="1" a="1"/>
  <c r="T430" i="1" s="1"/>
  <c r="E364" i="1" a="1"/>
  <c r="T364" i="1" s="1"/>
  <c r="E310" i="1" a="1"/>
  <c r="T310" i="1" s="1"/>
  <c r="E286" i="1" a="1"/>
  <c r="T286" i="1" s="1"/>
  <c r="E226" i="1" a="1"/>
  <c r="T226" i="1" s="1"/>
  <c r="E202" i="1" a="1"/>
  <c r="T202" i="1" s="1"/>
  <c r="E687" i="1" a="1"/>
  <c r="T687" i="1" s="1"/>
  <c r="E621" i="1" a="1"/>
  <c r="T621" i="1" s="1"/>
  <c r="E393" i="1" a="1"/>
  <c r="T393" i="1" s="1"/>
  <c r="E345" i="1" a="1"/>
  <c r="T345" i="1" s="1"/>
  <c r="E321" i="1" a="1"/>
  <c r="T321" i="1" s="1"/>
  <c r="E297" i="1" a="1"/>
  <c r="T297" i="1" s="1"/>
  <c r="E225" i="1" a="1"/>
  <c r="T225" i="1" s="1"/>
  <c r="E207" i="1" a="1"/>
  <c r="T207" i="1" s="1"/>
  <c r="E837" i="1" a="1"/>
  <c r="T837" i="1" s="1"/>
  <c r="E705" i="1" a="1"/>
  <c r="T705" i="1" s="1"/>
  <c r="E513" i="1" a="1"/>
  <c r="T513" i="1" s="1"/>
  <c r="E495" i="1" a="1"/>
  <c r="T495" i="1" s="1"/>
  <c r="E9" i="1" a="1"/>
  <c r="T9" i="1" s="1"/>
  <c r="E142" i="1" a="1"/>
  <c r="T142" i="1" s="1"/>
  <c r="E124" i="1" a="1"/>
  <c r="T124" i="1" s="1"/>
  <c r="E82" i="1" a="1"/>
  <c r="T82" i="1" s="1"/>
  <c r="E64" i="1" a="1"/>
  <c r="T64" i="1" s="1"/>
  <c r="E34" i="1" a="1"/>
  <c r="T34" i="1" s="1"/>
  <c r="E830" i="1" a="1"/>
  <c r="T830" i="1" s="1"/>
  <c r="E776" i="1" a="1"/>
  <c r="T776" i="1" s="1"/>
  <c r="E758" i="1" a="1"/>
  <c r="T758" i="1" s="1"/>
  <c r="E740" i="1" a="1"/>
  <c r="T740" i="1" s="1"/>
  <c r="E722" i="1" a="1"/>
  <c r="T722" i="1" s="1"/>
  <c r="E704" i="1" a="1"/>
  <c r="T704" i="1" s="1"/>
  <c r="E686" i="1" a="1"/>
  <c r="T686" i="1" s="1"/>
  <c r="E668" i="1" a="1"/>
  <c r="T668" i="1" s="1"/>
  <c r="E463" i="1" a="1"/>
  <c r="T463" i="1" s="1"/>
  <c r="E445" i="1" a="1"/>
  <c r="T445" i="1" s="1"/>
  <c r="E403" i="1" a="1"/>
  <c r="T403" i="1" s="1"/>
  <c r="E385" i="1" a="1"/>
  <c r="T385" i="1" s="1"/>
  <c r="E367" i="1" a="1"/>
  <c r="T367" i="1" s="1"/>
  <c r="E325" i="1" a="1"/>
  <c r="T325" i="1" s="1"/>
  <c r="E307" i="1" a="1"/>
  <c r="T307" i="1" s="1"/>
  <c r="E247" i="1" a="1"/>
  <c r="T247" i="1" s="1"/>
  <c r="E117" i="1" a="1"/>
  <c r="T117" i="1" s="1"/>
  <c r="E45" i="1" a="1"/>
  <c r="T45" i="1" s="1"/>
  <c r="E839" i="1" a="1"/>
  <c r="T839" i="1" s="1"/>
  <c r="E767" i="1" a="1"/>
  <c r="T767" i="1" s="1"/>
  <c r="E677" i="1" a="1"/>
  <c r="T677" i="1" s="1"/>
  <c r="E635" i="1" a="1"/>
  <c r="T635" i="1" s="1"/>
  <c r="E569" i="1" a="1"/>
  <c r="T569" i="1" s="1"/>
  <c r="E520" i="1" a="1"/>
  <c r="T520" i="1" s="1"/>
  <c r="E304" i="1" a="1"/>
  <c r="T304" i="1" s="1"/>
  <c r="E250" i="1" a="1"/>
  <c r="T250" i="1" s="1"/>
  <c r="E483" i="1" a="1"/>
  <c r="T483" i="1" s="1"/>
  <c r="E459" i="1" a="1"/>
  <c r="T459" i="1" s="1"/>
  <c r="E363" i="1" a="1"/>
  <c r="T363" i="1" s="1"/>
  <c r="E243" i="1" a="1"/>
  <c r="T243" i="1" s="1"/>
  <c r="E879" i="1" a="1"/>
  <c r="T879" i="1" s="1"/>
  <c r="E855" i="1" a="1"/>
  <c r="T855" i="1" s="1"/>
  <c r="E819" i="1" a="1"/>
  <c r="T819" i="1" s="1"/>
  <c r="E801" i="1" a="1"/>
  <c r="T801" i="1" s="1"/>
  <c r="E777" i="1" a="1"/>
  <c r="T777" i="1" s="1"/>
  <c r="E759" i="1" a="1"/>
  <c r="T759" i="1" s="1"/>
  <c r="E741" i="1" a="1"/>
  <c r="T741" i="1" s="1"/>
  <c r="E723" i="1" a="1"/>
  <c r="T723" i="1" s="1"/>
  <c r="E651" i="1" a="1"/>
  <c r="T651" i="1" s="1"/>
  <c r="E633" i="1" a="1"/>
  <c r="T633" i="1" s="1"/>
  <c r="E579" i="1" a="1"/>
  <c r="T579" i="1" s="1"/>
  <c r="E561" i="1" a="1"/>
  <c r="T561" i="1" s="1"/>
  <c r="E441" i="1" a="1"/>
  <c r="T441" i="1" s="1"/>
  <c r="E423" i="1" a="1"/>
  <c r="T423" i="1" s="1"/>
  <c r="E3" i="1" a="1"/>
  <c r="T3" i="1" s="1"/>
  <c r="E154" i="1" a="1"/>
  <c r="T154" i="1" s="1"/>
  <c r="E94" i="1" a="1"/>
  <c r="T94" i="1" s="1"/>
  <c r="E46" i="1" a="1"/>
  <c r="T46" i="1" s="1"/>
  <c r="E16" i="1" a="1"/>
  <c r="T16" i="1" s="1"/>
  <c r="E872" i="1" a="1"/>
  <c r="T872" i="1" s="1"/>
  <c r="E854" i="1" a="1"/>
  <c r="T854" i="1" s="1"/>
  <c r="E812" i="1" a="1"/>
  <c r="T812" i="1" s="1"/>
  <c r="E794" i="1" a="1"/>
  <c r="T794" i="1" s="1"/>
  <c r="E499" i="1" a="1"/>
  <c r="T499" i="1" s="1"/>
  <c r="E481" i="1" a="1"/>
  <c r="T481" i="1" s="1"/>
  <c r="E421" i="1" a="1"/>
  <c r="T421" i="1" s="1"/>
  <c r="E361" i="1" a="1"/>
  <c r="T361" i="1" s="1"/>
  <c r="E343" i="1" a="1"/>
  <c r="T343" i="1" s="1"/>
  <c r="E283" i="1" a="1"/>
  <c r="T283" i="1" s="1"/>
  <c r="E265" i="1" a="1"/>
  <c r="T265" i="1" s="1"/>
  <c r="E205" i="1" a="1"/>
  <c r="T205" i="1" s="1"/>
  <c r="E873" i="1" a="1"/>
  <c r="T873" i="1" s="1"/>
  <c r="E522" i="1" a="1"/>
  <c r="T522" i="1" s="1"/>
  <c r="E480" i="1" a="1"/>
  <c r="T480" i="1" s="1"/>
  <c r="E420" i="1" a="1"/>
  <c r="T420" i="1" s="1"/>
  <c r="E402" i="1" a="1"/>
  <c r="T402" i="1" s="1"/>
  <c r="E360" i="1" a="1"/>
  <c r="T360" i="1" s="1"/>
  <c r="E342" i="1" a="1"/>
  <c r="T342" i="1" s="1"/>
  <c r="E324" i="1" a="1"/>
  <c r="T324" i="1" s="1"/>
  <c r="E282" i="1" a="1"/>
  <c r="T282" i="1" s="1"/>
  <c r="E264" i="1" a="1"/>
  <c r="T264" i="1" s="1"/>
  <c r="E204" i="1" a="1"/>
  <c r="T204" i="1" s="1"/>
  <c r="E174" i="1" a="1"/>
  <c r="T174" i="1" s="1"/>
  <c r="E491" i="1" a="1"/>
  <c r="T491" i="1" s="1"/>
  <c r="E473" i="1" a="1"/>
  <c r="T473" i="1" s="1"/>
  <c r="E413" i="1" a="1"/>
  <c r="T413" i="1" s="1"/>
  <c r="E395" i="1" a="1"/>
  <c r="T395" i="1" s="1"/>
  <c r="E335" i="1" a="1"/>
  <c r="T335" i="1" s="1"/>
  <c r="E275" i="1" a="1"/>
  <c r="T275" i="1" s="1"/>
  <c r="E257" i="1" a="1"/>
  <c r="T257" i="1" s="1"/>
  <c r="E197" i="1" a="1"/>
  <c r="T197" i="1" s="1"/>
  <c r="E591" i="1" a="1"/>
  <c r="T591" i="1" s="1"/>
  <c r="E183" i="1" a="1"/>
  <c r="T183" i="1" s="1"/>
  <c r="E614" i="1" a="1"/>
  <c r="T614" i="1" s="1"/>
  <c r="E596" i="1" a="1"/>
  <c r="T596" i="1" s="1"/>
  <c r="E578" i="1" a="1"/>
  <c r="T578" i="1" s="1"/>
  <c r="E182" i="1" a="1"/>
  <c r="T182" i="1" s="1"/>
  <c r="E170" i="1" a="1"/>
  <c r="T170" i="1" s="1"/>
  <c r="E181" i="1" a="1"/>
  <c r="T181" i="1" s="1"/>
  <c r="E129" i="1" a="1"/>
  <c r="T129" i="1" s="1"/>
  <c r="E57" i="1" a="1"/>
  <c r="T57" i="1" s="1"/>
  <c r="E546" i="1" a="1"/>
  <c r="T546" i="1" s="1"/>
  <c r="E857" i="1" a="1"/>
  <c r="T857" i="1" s="1"/>
  <c r="E785" i="1" a="1"/>
  <c r="T785" i="1" s="1"/>
  <c r="E695" i="1" a="1"/>
  <c r="T695" i="1" s="1"/>
  <c r="E653" i="1" a="1"/>
  <c r="T653" i="1" s="1"/>
  <c r="E587" i="1" a="1"/>
  <c r="T587" i="1" s="1"/>
  <c r="E545" i="1" a="1"/>
  <c r="T545" i="1" s="1"/>
  <c r="E448" i="1" a="1"/>
  <c r="T448" i="1" s="1"/>
  <c r="E424" i="1" a="1"/>
  <c r="T424" i="1" s="1"/>
  <c r="E328" i="1" a="1"/>
  <c r="T328" i="1" s="1"/>
  <c r="E178" i="1" a="1"/>
  <c r="T178" i="1" s="1"/>
  <c r="E681" i="1" a="1"/>
  <c r="T681" i="1" s="1"/>
  <c r="E543" i="1" a="1"/>
  <c r="T543" i="1" s="1"/>
  <c r="E477" i="1" a="1"/>
  <c r="T477" i="1" s="1"/>
  <c r="E339" i="1" a="1"/>
  <c r="T339" i="1" s="1"/>
  <c r="E315" i="1" a="1"/>
  <c r="T315" i="1" s="1"/>
  <c r="E267" i="1" a="1"/>
  <c r="T267" i="1" s="1"/>
  <c r="E219" i="1" a="1"/>
  <c r="T219" i="1" s="1"/>
  <c r="E201" i="1" a="1"/>
  <c r="T201" i="1" s="1"/>
  <c r="E849" i="1" a="1"/>
  <c r="T849" i="1" s="1"/>
  <c r="E831" i="1" a="1"/>
  <c r="T831" i="1" s="1"/>
  <c r="E795" i="1" a="1"/>
  <c r="T795" i="1" s="1"/>
  <c r="E669" i="1" a="1"/>
  <c r="T669" i="1" s="1"/>
  <c r="E507" i="1" a="1"/>
  <c r="T507" i="1" s="1"/>
  <c r="E489" i="1" a="1"/>
  <c r="T489" i="1" s="1"/>
  <c r="E136" i="1" a="1"/>
  <c r="T136" i="1" s="1"/>
  <c r="E106" i="1" a="1"/>
  <c r="T106" i="1" s="1"/>
  <c r="E76" i="1" a="1"/>
  <c r="T76" i="1" s="1"/>
  <c r="E28" i="1" a="1"/>
  <c r="T28" i="1" s="1"/>
  <c r="E824" i="1" a="1"/>
  <c r="T824" i="1" s="1"/>
  <c r="E806" i="1" a="1"/>
  <c r="T806" i="1" s="1"/>
  <c r="E770" i="1" a="1"/>
  <c r="T770" i="1" s="1"/>
  <c r="E734" i="1" a="1"/>
  <c r="T734" i="1" s="1"/>
  <c r="E698" i="1" a="1"/>
  <c r="T698" i="1" s="1"/>
  <c r="E680" i="1" a="1"/>
  <c r="T680" i="1" s="1"/>
  <c r="E662" i="1" a="1"/>
  <c r="T662" i="1" s="1"/>
  <c r="E475" i="1" a="1"/>
  <c r="T475" i="1" s="1"/>
  <c r="E439" i="1" a="1"/>
  <c r="T439" i="1" s="1"/>
  <c r="E397" i="1" a="1"/>
  <c r="T397" i="1" s="1"/>
  <c r="E379" i="1" a="1"/>
  <c r="T379" i="1" s="1"/>
  <c r="E319" i="1" a="1"/>
  <c r="T319" i="1" s="1"/>
  <c r="E301" i="1" a="1"/>
  <c r="T301" i="1" s="1"/>
  <c r="E259" i="1" a="1"/>
  <c r="T259" i="1" s="1"/>
  <c r="E241" i="1" a="1"/>
  <c r="T241" i="1" s="1"/>
  <c r="E223" i="1" a="1"/>
  <c r="T223" i="1" s="1"/>
  <c r="E540" i="1" a="1"/>
  <c r="T540" i="1" s="1"/>
  <c r="E498" i="1" a="1"/>
  <c r="T498" i="1" s="1"/>
  <c r="E456" i="1" a="1"/>
  <c r="T456" i="1" s="1"/>
  <c r="E438" i="1" a="1"/>
  <c r="T438" i="1" s="1"/>
  <c r="E378" i="1" a="1"/>
  <c r="T378" i="1" s="1"/>
  <c r="E318" i="1" a="1"/>
  <c r="T318" i="1" s="1"/>
  <c r="E300" i="1" a="1"/>
  <c r="T300" i="1" s="1"/>
  <c r="E240" i="1" a="1"/>
  <c r="T240" i="1" s="1"/>
  <c r="E222" i="1" a="1"/>
  <c r="T222" i="1" s="1"/>
  <c r="E186" i="1" a="1"/>
  <c r="T186" i="1" s="1"/>
  <c r="E509" i="1" a="1"/>
  <c r="T509" i="1" s="1"/>
  <c r="E449" i="1" a="1"/>
  <c r="T449" i="1" s="1"/>
  <c r="E431" i="1" a="1"/>
  <c r="T431" i="1" s="1"/>
  <c r="E389" i="1" a="1"/>
  <c r="T389" i="1" s="1"/>
  <c r="E371" i="1" a="1"/>
  <c r="T371" i="1" s="1"/>
  <c r="E353" i="1" a="1"/>
  <c r="T353" i="1" s="1"/>
  <c r="E311" i="1" a="1"/>
  <c r="T311" i="1" s="1"/>
  <c r="E293" i="1" a="1"/>
  <c r="T293" i="1" s="1"/>
  <c r="E233" i="1" a="1"/>
  <c r="T233" i="1" s="1"/>
  <c r="E215" i="1" a="1"/>
  <c r="T215" i="1" s="1"/>
  <c r="E172" i="1" a="1"/>
  <c r="T172" i="1" s="1"/>
  <c r="E650" i="1" a="1"/>
  <c r="T650" i="1" s="1"/>
  <c r="E632" i="1" a="1"/>
  <c r="T632" i="1" s="1"/>
  <c r="E536" i="1" a="1"/>
  <c r="T536" i="1" s="1"/>
  <c r="E518" i="1" a="1"/>
  <c r="T518" i="1" s="1"/>
  <c r="E482" i="1" a="1"/>
  <c r="T482" i="1" s="1"/>
  <c r="E464" i="1" a="1"/>
  <c r="T464" i="1" s="1"/>
  <c r="E141" i="1" a="1"/>
  <c r="T141" i="1" s="1"/>
  <c r="E69" i="1" a="1"/>
  <c r="T69" i="1" s="1"/>
  <c r="E875" i="1" a="1"/>
  <c r="T875" i="1" s="1"/>
  <c r="E833" i="1" a="1"/>
  <c r="T833" i="1" s="1"/>
  <c r="E761" i="1" a="1"/>
  <c r="T761" i="1" s="1"/>
  <c r="E713" i="1" a="1"/>
  <c r="T713" i="1" s="1"/>
  <c r="E671" i="1" a="1"/>
  <c r="T671" i="1" s="1"/>
  <c r="E605" i="1" a="1"/>
  <c r="T605" i="1" s="1"/>
  <c r="E563" i="1" a="1"/>
  <c r="T563" i="1" s="1"/>
  <c r="E352" i="1" a="1"/>
  <c r="T352" i="1" s="1"/>
  <c r="E268" i="1" a="1"/>
  <c r="T268" i="1" s="1"/>
  <c r="E214" i="1" a="1"/>
  <c r="T214" i="1" s="1"/>
  <c r="E190" i="1" a="1"/>
  <c r="T190" i="1" s="1"/>
  <c r="E609" i="1" a="1"/>
  <c r="T609" i="1" s="1"/>
  <c r="E381" i="1" a="1"/>
  <c r="T381" i="1" s="1"/>
  <c r="E357" i="1" a="1"/>
  <c r="T357" i="1" s="1"/>
  <c r="E333" i="1" a="1"/>
  <c r="T333" i="1" s="1"/>
  <c r="E285" i="1" a="1"/>
  <c r="T285" i="1" s="1"/>
  <c r="E261" i="1" a="1"/>
  <c r="T261" i="1" s="1"/>
  <c r="E237" i="1" a="1"/>
  <c r="T237" i="1" s="1"/>
  <c r="E867" i="1" a="1"/>
  <c r="T867" i="1" s="1"/>
  <c r="E813" i="1" a="1"/>
  <c r="T813" i="1" s="1"/>
  <c r="E771" i="1" a="1"/>
  <c r="T771" i="1" s="1"/>
  <c r="E735" i="1" a="1"/>
  <c r="T735" i="1" s="1"/>
  <c r="E663" i="1" a="1"/>
  <c r="T663" i="1" s="1"/>
  <c r="E645" i="1" a="1"/>
  <c r="T645" i="1" s="1"/>
  <c r="E597" i="1" a="1"/>
  <c r="T597" i="1" s="1"/>
  <c r="E573" i="1" a="1"/>
  <c r="T573" i="1" s="1"/>
  <c r="E525" i="1" a="1"/>
  <c r="T525" i="1" s="1"/>
  <c r="E435" i="1" a="1"/>
  <c r="T435" i="1" s="1"/>
  <c r="E417" i="1" a="1"/>
  <c r="T417" i="1" s="1"/>
  <c r="E166" i="1" a="1"/>
  <c r="T166" i="1" s="1"/>
  <c r="E148" i="1" a="1"/>
  <c r="T148" i="1" s="1"/>
  <c r="E118" i="1" a="1"/>
  <c r="T118" i="1" s="1"/>
  <c r="E88" i="1" a="1"/>
  <c r="T88" i="1" s="1"/>
  <c r="E58" i="1" a="1"/>
  <c r="T58" i="1" s="1"/>
  <c r="E40" i="1" a="1"/>
  <c r="T40" i="1" s="1"/>
  <c r="E866" i="1" a="1"/>
  <c r="T866" i="1" s="1"/>
  <c r="E788" i="1" a="1"/>
  <c r="T788" i="1" s="1"/>
  <c r="E752" i="1" a="1"/>
  <c r="T752" i="1" s="1"/>
  <c r="E716" i="1" a="1"/>
  <c r="T716" i="1" s="1"/>
  <c r="E836" i="1" a="1"/>
  <c r="T836" i="1" s="1"/>
  <c r="E493" i="1" a="1"/>
  <c r="T493" i="1" s="1"/>
  <c r="E457" i="1" a="1"/>
  <c r="T457" i="1" s="1"/>
  <c r="E433" i="1" a="1"/>
  <c r="T433" i="1" s="1"/>
  <c r="E415" i="1" a="1"/>
  <c r="T415" i="1" s="1"/>
  <c r="E355" i="1" a="1"/>
  <c r="T355" i="1" s="1"/>
  <c r="E337" i="1" a="1"/>
  <c r="T337" i="1" s="1"/>
  <c r="E277" i="1" a="1"/>
  <c r="T277" i="1" s="1"/>
  <c r="E217" i="1" a="1"/>
  <c r="T217" i="1" s="1"/>
  <c r="E199" i="1" a="1"/>
  <c r="T199" i="1" s="1"/>
  <c r="E534" i="1" a="1"/>
  <c r="T534" i="1" s="1"/>
  <c r="E516" i="1" a="1"/>
  <c r="T516" i="1" s="1"/>
  <c r="E396" i="1" a="1"/>
  <c r="T396" i="1" s="1"/>
  <c r="E366" i="1" a="1"/>
  <c r="T366" i="1" s="1"/>
  <c r="E336" i="1" a="1"/>
  <c r="T336" i="1" s="1"/>
  <c r="E377" i="1" a="1"/>
  <c r="T377" i="1" s="1"/>
  <c r="E347" i="1" a="1"/>
  <c r="T347" i="1" s="1"/>
  <c r="E317" i="1" a="1"/>
  <c r="T317" i="1" s="1"/>
  <c r="E638" i="1" a="1"/>
  <c r="T638" i="1" s="1"/>
  <c r="E608" i="1" a="1"/>
  <c r="T608" i="1" s="1"/>
  <c r="E560" i="1" a="1"/>
  <c r="T560" i="1" s="1"/>
  <c r="E488" i="1" a="1"/>
  <c r="T488" i="1" s="1"/>
  <c r="E416" i="1" a="1"/>
  <c r="T416" i="1" s="1"/>
  <c r="E332" i="1" a="1"/>
  <c r="T332" i="1" s="1"/>
  <c r="E314" i="1" a="1"/>
  <c r="T314" i="1" s="1"/>
  <c r="E296" i="1" a="1"/>
  <c r="T296" i="1" s="1"/>
  <c r="E278" i="1" a="1"/>
  <c r="T278" i="1" s="1"/>
  <c r="E260" i="1" a="1"/>
  <c r="T260" i="1" s="1"/>
  <c r="E242" i="1" a="1"/>
  <c r="T242" i="1" s="1"/>
  <c r="E224" i="1" a="1"/>
  <c r="T224" i="1" s="1"/>
  <c r="E206" i="1" a="1"/>
  <c r="T206" i="1" s="1"/>
  <c r="E188" i="1" a="1"/>
  <c r="T188" i="1" s="1"/>
  <c r="E407" i="1" a="1"/>
  <c r="T407" i="1" s="1"/>
  <c r="E191" i="1" a="1"/>
  <c r="T191" i="1" s="1"/>
  <c r="E179" i="1" a="1"/>
  <c r="T179" i="1" s="1"/>
  <c r="E506" i="1" a="1"/>
  <c r="T506" i="1" s="1"/>
  <c r="E434" i="1" a="1"/>
  <c r="T434" i="1" s="1"/>
  <c r="E392" i="1" a="1"/>
  <c r="T392" i="1" s="1"/>
  <c r="E374" i="1" a="1"/>
  <c r="T374" i="1" s="1"/>
  <c r="E229" i="1" a="1"/>
  <c r="T229" i="1" s="1"/>
  <c r="E504" i="1" a="1"/>
  <c r="T504" i="1" s="1"/>
  <c r="E474" i="1" a="1"/>
  <c r="T474" i="1" s="1"/>
  <c r="E444" i="1" a="1"/>
  <c r="T444" i="1" s="1"/>
  <c r="E414" i="1" a="1"/>
  <c r="T414" i="1" s="1"/>
  <c r="E384" i="1" a="1"/>
  <c r="T384" i="1" s="1"/>
  <c r="E354" i="1" a="1"/>
  <c r="T354" i="1" s="1"/>
  <c r="E258" i="1" a="1"/>
  <c r="T258" i="1" s="1"/>
  <c r="E228" i="1" a="1"/>
  <c r="T228" i="1" s="1"/>
  <c r="E198" i="1" a="1"/>
  <c r="T198" i="1" s="1"/>
  <c r="E527" i="1" a="1"/>
  <c r="T527" i="1" s="1"/>
  <c r="E497" i="1" a="1"/>
  <c r="T497" i="1" s="1"/>
  <c r="E467" i="1" a="1"/>
  <c r="T467" i="1" s="1"/>
  <c r="E437" i="1" a="1"/>
  <c r="T437" i="1" s="1"/>
  <c r="E281" i="1" a="1"/>
  <c r="T281" i="1" s="1"/>
  <c r="E251" i="1" a="1"/>
  <c r="T251" i="1" s="1"/>
  <c r="E221" i="1" a="1"/>
  <c r="T221" i="1" s="1"/>
  <c r="E717" i="1" a="1"/>
  <c r="T717" i="1" s="1"/>
  <c r="E452" i="1" a="1"/>
  <c r="T452" i="1" s="1"/>
  <c r="E344" i="1" a="1"/>
  <c r="T344" i="1" s="1"/>
  <c r="E326" i="1" a="1"/>
  <c r="T326" i="1" s="1"/>
  <c r="E308" i="1" a="1"/>
  <c r="T308" i="1" s="1"/>
  <c r="E290" i="1" a="1"/>
  <c r="T290" i="1" s="1"/>
  <c r="E272" i="1" a="1"/>
  <c r="T272" i="1" s="1"/>
  <c r="E254" i="1" a="1"/>
  <c r="T254" i="1" s="1"/>
  <c r="E236" i="1" a="1"/>
  <c r="T236" i="1" s="1"/>
  <c r="E218" i="1" a="1"/>
  <c r="T218" i="1" s="1"/>
  <c r="E200" i="1" a="1"/>
  <c r="T200" i="1" s="1"/>
  <c r="E175" i="1" a="1"/>
  <c r="T175" i="1" s="1"/>
  <c r="E195" i="1" a="1"/>
  <c r="T195" i="1" s="1"/>
  <c r="E602" i="1" a="1"/>
  <c r="T602" i="1" s="1"/>
  <c r="E572" i="1" a="1"/>
  <c r="T572" i="1" s="1"/>
  <c r="E554" i="1" a="1"/>
  <c r="T554" i="1" s="1"/>
  <c r="E524" i="1" a="1"/>
  <c r="T524" i="1" s="1"/>
  <c r="E428" i="1" a="1"/>
  <c r="T428" i="1" s="1"/>
  <c r="E410" i="1" a="1"/>
  <c r="T410" i="1" s="1"/>
  <c r="E362" i="1" a="1"/>
  <c r="T362" i="1" s="1"/>
  <c r="E462" i="1" a="1"/>
  <c r="T462" i="1" s="1"/>
  <c r="E432" i="1" a="1"/>
  <c r="T432" i="1" s="1"/>
  <c r="E276" i="1" a="1"/>
  <c r="T276" i="1" s="1"/>
  <c r="E246" i="1" a="1"/>
  <c r="T246" i="1" s="1"/>
  <c r="E216" i="1" a="1"/>
  <c r="T216" i="1" s="1"/>
  <c r="E515" i="1" a="1"/>
  <c r="T515" i="1" s="1"/>
  <c r="E485" i="1" a="1"/>
  <c r="T485" i="1" s="1"/>
  <c r="E455" i="1" a="1"/>
  <c r="T455" i="1" s="1"/>
  <c r="E359" i="1" a="1"/>
  <c r="T359" i="1" s="1"/>
  <c r="E329" i="1" a="1"/>
  <c r="T329" i="1" s="1"/>
  <c r="E299" i="1" a="1"/>
  <c r="T299" i="1" s="1"/>
  <c r="E269" i="1" a="1"/>
  <c r="T269" i="1" s="1"/>
  <c r="E239" i="1" a="1"/>
  <c r="T239" i="1" s="1"/>
  <c r="E185" i="1" a="1"/>
  <c r="T185" i="1" s="1"/>
  <c r="E500" i="1" a="1"/>
  <c r="T500" i="1" s="1"/>
  <c r="E470" i="1" a="1"/>
  <c r="T470" i="1" s="1"/>
  <c r="E446" i="1" a="1"/>
  <c r="T446" i="1" s="1"/>
  <c r="E380" i="1" a="1"/>
  <c r="T380" i="1" s="1"/>
  <c r="E338" i="1" a="1"/>
  <c r="T338" i="1" s="1"/>
  <c r="E320" i="1" a="1"/>
  <c r="T320" i="1" s="1"/>
  <c r="E302" i="1" a="1"/>
  <c r="T302" i="1" s="1"/>
  <c r="E284" i="1" a="1"/>
  <c r="T284" i="1" s="1"/>
  <c r="E266" i="1" a="1"/>
  <c r="T266" i="1" s="1"/>
  <c r="E248" i="1" a="1"/>
  <c r="T248" i="1" s="1"/>
  <c r="E230" i="1" a="1"/>
  <c r="T230" i="1" s="1"/>
  <c r="E212" i="1" a="1"/>
  <c r="T212" i="1" s="1"/>
  <c r="E194" i="1" a="1"/>
  <c r="T194" i="1" s="1"/>
  <c r="E656" i="1" a="1"/>
  <c r="T656" i="1" s="1"/>
  <c r="E566" i="1" a="1"/>
  <c r="T566" i="1" s="1"/>
  <c r="E306" i="1" a="1"/>
  <c r="T306" i="1" s="1"/>
  <c r="E533" i="1" a="1"/>
  <c r="T533" i="1" s="1"/>
  <c r="E590" i="1" a="1"/>
  <c r="T590" i="1" s="1"/>
  <c r="E542" i="1" a="1"/>
  <c r="T542" i="1" s="1"/>
  <c r="E398" i="1" a="1"/>
  <c r="T398" i="1" s="1"/>
  <c r="E356" i="1" a="1"/>
  <c r="T356" i="1" s="1"/>
  <c r="E176" i="1" a="1"/>
  <c r="T176" i="1" s="1"/>
  <c r="AE2" i="4" s="1"/>
  <c r="V141" i="4" a="1"/>
  <c r="U147" i="4" s="1" a="1"/>
  <c r="V147" i="4" a="1"/>
  <c r="U105" i="4" s="1" a="1"/>
  <c r="V105" i="4" a="1"/>
  <c r="U69" i="4" s="1" a="1"/>
  <c r="V69" i="4" a="1"/>
  <c r="U29" i="4" s="1" a="1"/>
  <c r="V29" i="4" a="1"/>
  <c r="U18" i="4" s="1" a="1"/>
  <c r="AE18" i="4" s="1"/>
  <c r="V18" i="4" a="1"/>
  <c r="U49" i="4" s="1" a="1"/>
  <c r="V49" i="4" a="1"/>
  <c r="U50" i="4" s="1" a="1"/>
  <c r="V50" i="4" a="1"/>
  <c r="U82" i="4" s="1" a="1"/>
  <c r="AE82" i="4" s="1"/>
  <c r="M157" i="1" s="1"/>
  <c r="V82" i="4" a="1"/>
  <c r="U78" i="4" s="1" a="1"/>
  <c r="V78" i="4" a="1"/>
  <c r="U57" i="4" s="1" a="1"/>
  <c r="V57" i="4" a="1"/>
  <c r="U89" i="4" s="1" a="1"/>
  <c r="AE89" i="4" s="1"/>
  <c r="M141" i="1" s="1"/>
  <c r="V89" i="4" a="1"/>
  <c r="U150" i="4" s="1" a="1"/>
  <c r="V150" i="4" a="1"/>
  <c r="U118" i="4" s="1" a="1"/>
  <c r="V118" i="4" a="1"/>
  <c r="U129" i="4" s="1" a="1"/>
  <c r="V129" i="4" a="1"/>
  <c r="U130" i="4" s="1" a="1"/>
  <c r="V130" i="4" a="1"/>
  <c r="U125" i="4" s="1" a="1"/>
  <c r="V125" i="4" a="1"/>
  <c r="I189" i="1" a="1"/>
  <c r="M189" i="1"/>
  <c r="I190" i="1" a="1"/>
  <c r="M190" i="1"/>
  <c r="I191" i="1" a="1"/>
  <c r="M191" i="1"/>
  <c r="C192" i="1" a="1"/>
  <c r="O192" i="1" s="1"/>
  <c r="F192" i="1" a="1"/>
  <c r="I192" i="1" a="1"/>
  <c r="M192" i="1"/>
  <c r="C193" i="1" a="1"/>
  <c r="O193" i="1" s="1"/>
  <c r="I195" i="1" a="1"/>
  <c r="G196" i="1" a="1"/>
  <c r="I198" i="1" a="1"/>
  <c r="I199" i="1" a="1"/>
  <c r="I203" i="1" a="1"/>
  <c r="G204" i="1" a="1"/>
  <c r="J204" i="1" a="1"/>
  <c r="F205" i="1" a="1"/>
  <c r="I205" i="1" a="1"/>
  <c r="G206" i="1" a="1"/>
  <c r="F207" i="1" a="1"/>
  <c r="J207" i="1" a="1"/>
  <c r="M207" i="1"/>
  <c r="G209" i="1" a="1"/>
  <c r="J209" i="1" a="1"/>
  <c r="M209" i="1"/>
  <c r="C187" i="1" a="1"/>
  <c r="O187" i="1" s="1"/>
  <c r="I187" i="1" a="1"/>
  <c r="I188" i="1" a="1"/>
  <c r="M188" i="1"/>
  <c r="C189" i="1" a="1"/>
  <c r="O189" i="1" s="1"/>
  <c r="F189" i="1" a="1"/>
  <c r="J189" i="1" a="1"/>
  <c r="G190" i="1" a="1"/>
  <c r="J190" i="1" a="1"/>
  <c r="C191" i="1" a="1"/>
  <c r="O191" i="1" s="1"/>
  <c r="F191" i="1" a="1"/>
  <c r="J191" i="1" a="1"/>
  <c r="G192" i="1" a="1"/>
  <c r="J192" i="1" a="1"/>
  <c r="F193" i="1" a="1"/>
  <c r="I193" i="1" a="1"/>
  <c r="M193" i="1"/>
  <c r="I194" i="1" a="1"/>
  <c r="M194" i="1"/>
  <c r="O195" i="1"/>
  <c r="J195" i="1" a="1"/>
  <c r="M195" i="1"/>
  <c r="O196" i="1"/>
  <c r="I197" i="1" a="1"/>
  <c r="M198" i="1"/>
  <c r="F199" i="1" a="1"/>
  <c r="M199" i="1"/>
  <c r="F200" i="1" a="1"/>
  <c r="I200" i="1" a="1"/>
  <c r="N200" i="1" a="1"/>
  <c r="Q200" i="1" s="1"/>
  <c r="F201" i="1" a="1"/>
  <c r="I201" i="1" a="1"/>
  <c r="M201" i="1"/>
  <c r="I202" i="1" a="1"/>
  <c r="F187" i="1" a="1"/>
  <c r="M187" i="1"/>
  <c r="C188" i="1" a="1"/>
  <c r="O188" i="1" s="1"/>
  <c r="F188" i="1" a="1"/>
  <c r="J188" i="1" a="1"/>
  <c r="G189" i="1" a="1"/>
  <c r="C190" i="1" a="1"/>
  <c r="O190" i="1" s="1"/>
  <c r="G191" i="1" a="1"/>
  <c r="G195" i="1" a="1"/>
  <c r="I196" i="1" a="1"/>
  <c r="M196" i="1"/>
  <c r="O197" i="1"/>
  <c r="M197" i="1"/>
  <c r="G198" i="1" a="1"/>
  <c r="G199" i="1" a="1"/>
  <c r="G200" i="1" a="1"/>
  <c r="J200" i="1" a="1"/>
  <c r="M200" i="1"/>
  <c r="O202" i="1"/>
  <c r="F202" i="1" a="1"/>
  <c r="G203" i="1" a="1"/>
  <c r="I204" i="1" a="1"/>
  <c r="G205" i="1" a="1"/>
  <c r="J205" i="1" a="1"/>
  <c r="I206" i="1" a="1"/>
  <c r="J187" i="1" a="1"/>
  <c r="G193" i="1" a="1"/>
  <c r="G194" i="1" a="1"/>
  <c r="G197" i="1" a="1"/>
  <c r="O203" i="1"/>
  <c r="J203" i="1" a="1"/>
  <c r="F204" i="1" a="1"/>
  <c r="M204" i="1"/>
  <c r="J206" i="1" a="1"/>
  <c r="I210" i="1" a="1"/>
  <c r="I211" i="1" a="1"/>
  <c r="M211" i="1"/>
  <c r="O212" i="1"/>
  <c r="I212" i="1" a="1"/>
  <c r="I213" i="1" a="1"/>
  <c r="G214" i="1" a="1"/>
  <c r="F215" i="1" a="1"/>
  <c r="J215" i="1" a="1"/>
  <c r="M215" i="1"/>
  <c r="F217" i="1" a="1"/>
  <c r="J217" i="1" a="1"/>
  <c r="G218" i="1" a="1"/>
  <c r="F219" i="1" a="1"/>
  <c r="J219" i="1" a="1"/>
  <c r="M219" i="1"/>
  <c r="O220" i="1"/>
  <c r="F220" i="1" a="1"/>
  <c r="G188" i="1" a="1"/>
  <c r="F190" i="1" a="1"/>
  <c r="N195" i="1" a="1"/>
  <c r="Q195" i="1" s="1"/>
  <c r="G201" i="1" a="1"/>
  <c r="N201" i="1" a="1"/>
  <c r="Q201" i="1" s="1"/>
  <c r="G202" i="1" a="1"/>
  <c r="M202" i="1"/>
  <c r="O207" i="1"/>
  <c r="G207" i="1" a="1"/>
  <c r="M208" i="1"/>
  <c r="O209" i="1"/>
  <c r="I209" i="1" a="1"/>
  <c r="F210" i="1" a="1"/>
  <c r="J210" i="1" a="1"/>
  <c r="M210" i="1"/>
  <c r="F211" i="1" a="1"/>
  <c r="J211" i="1" a="1"/>
  <c r="F212" i="1" a="1"/>
  <c r="M212" i="1"/>
  <c r="F213" i="1" a="1"/>
  <c r="M213" i="1"/>
  <c r="O214" i="1"/>
  <c r="G215" i="1" a="1"/>
  <c r="I216" i="1" a="1"/>
  <c r="N216" i="1" a="1"/>
  <c r="Q216" i="1" s="1"/>
  <c r="G217" i="1" a="1"/>
  <c r="M217" i="1"/>
  <c r="G219" i="1" a="1"/>
  <c r="G220" i="1" a="1"/>
  <c r="J220" i="1" a="1"/>
  <c r="M220" i="1"/>
  <c r="G187" i="1" a="1"/>
  <c r="F203" i="1" a="1"/>
  <c r="M203" i="1"/>
  <c r="O206" i="1"/>
  <c r="F206" i="1" a="1"/>
  <c r="M206" i="1"/>
  <c r="F208" i="1" a="1"/>
  <c r="I208" i="1" a="1"/>
  <c r="F209" i="1" a="1"/>
  <c r="G210" i="1" a="1"/>
  <c r="G211" i="1" a="1"/>
  <c r="G212" i="1" a="1"/>
  <c r="J212" i="1" a="1"/>
  <c r="G213" i="1" a="1"/>
  <c r="I214" i="1" a="1"/>
  <c r="F216" i="1" a="1"/>
  <c r="J216" i="1" a="1"/>
  <c r="I218" i="1" a="1"/>
  <c r="O221" i="1"/>
  <c r="I221" i="1" a="1"/>
  <c r="J201" i="1" a="1"/>
  <c r="M205" i="1"/>
  <c r="I207" i="1" a="1"/>
  <c r="G208" i="1" a="1"/>
  <c r="J208" i="1" a="1"/>
  <c r="F214" i="1" a="1"/>
  <c r="M214" i="1"/>
  <c r="O215" i="1"/>
  <c r="I215" i="1" a="1"/>
  <c r="G216" i="1" a="1"/>
  <c r="M216" i="1"/>
  <c r="I217" i="1" a="1"/>
  <c r="N217" i="1" a="1"/>
  <c r="Q217" i="1" s="1"/>
  <c r="F218" i="1" a="1"/>
  <c r="J218" i="1" a="1"/>
  <c r="M218" i="1"/>
  <c r="I219" i="1" a="1"/>
  <c r="I220" i="1" a="1"/>
  <c r="F221" i="1" a="1"/>
  <c r="J221" i="1" a="1"/>
  <c r="N222" i="1" a="1"/>
  <c r="Q222" i="1" s="1"/>
  <c r="G223" i="1" a="1"/>
  <c r="M223" i="1"/>
  <c r="C224" i="1" a="1"/>
  <c r="O224" i="1" s="1"/>
  <c r="I224" i="1" a="1"/>
  <c r="I225" i="1" a="1"/>
  <c r="M225" i="1"/>
  <c r="I222" i="1" a="1"/>
  <c r="M222" i="1"/>
  <c r="F224" i="1" a="1"/>
  <c r="J224" i="1" a="1"/>
  <c r="N224" i="1" a="1"/>
  <c r="Q224" i="1" s="1"/>
  <c r="J225" i="1" a="1"/>
  <c r="G226" i="1" a="1"/>
  <c r="J226" i="1" a="1"/>
  <c r="C227" i="1" a="1"/>
  <c r="O227" i="1" s="1"/>
  <c r="F227" i="1" a="1"/>
  <c r="I227" i="1" a="1"/>
  <c r="M227" i="1"/>
  <c r="N228" i="1" a="1"/>
  <c r="Q228" i="1" s="1"/>
  <c r="C230" i="1" a="1"/>
  <c r="O230" i="1" s="1"/>
  <c r="F230" i="1" a="1"/>
  <c r="J230" i="1" a="1"/>
  <c r="C231" i="1" a="1"/>
  <c r="O231" i="1" s="1"/>
  <c r="C232" i="1" a="1"/>
  <c r="O232" i="1" s="1"/>
  <c r="F232" i="1" a="1"/>
  <c r="I232" i="1" a="1"/>
  <c r="N233" i="1" a="1"/>
  <c r="Q233" i="1" s="1"/>
  <c r="G234" i="1" a="1"/>
  <c r="J234" i="1" a="1"/>
  <c r="C235" i="1" a="1"/>
  <c r="O235" i="1" s="1"/>
  <c r="F235" i="1" a="1"/>
  <c r="I235" i="1" a="1"/>
  <c r="M235" i="1"/>
  <c r="C236" i="1" a="1"/>
  <c r="O236" i="1" s="1"/>
  <c r="F236" i="1" a="1"/>
  <c r="I236" i="1" a="1"/>
  <c r="N237" i="1" a="1"/>
  <c r="Q237" i="1" s="1"/>
  <c r="G238" i="1" a="1"/>
  <c r="N238" i="1" a="1"/>
  <c r="Q238" i="1" s="1"/>
  <c r="F239" i="1" a="1"/>
  <c r="J239" i="1" a="1"/>
  <c r="M239" i="1"/>
  <c r="C240" i="1" a="1"/>
  <c r="O240" i="1" s="1"/>
  <c r="F240" i="1" a="1"/>
  <c r="J240" i="1" a="1"/>
  <c r="F243" i="1" a="1"/>
  <c r="I244" i="1" a="1"/>
  <c r="N244" i="1" a="1"/>
  <c r="Q244" i="1" s="1"/>
  <c r="G245" i="1" a="1"/>
  <c r="M245" i="1"/>
  <c r="C246" i="1" a="1"/>
  <c r="O246" i="1" s="1"/>
  <c r="F246" i="1" a="1"/>
  <c r="M221" i="1"/>
  <c r="C222" i="1" a="1"/>
  <c r="O222" i="1" s="1"/>
  <c r="F222" i="1" a="1"/>
  <c r="I223" i="1" a="1"/>
  <c r="G224" i="1" a="1"/>
  <c r="F225" i="1" a="1"/>
  <c r="N225" i="1" a="1"/>
  <c r="Q225" i="1" s="1"/>
  <c r="N226" i="1" a="1"/>
  <c r="Q226" i="1" s="1"/>
  <c r="J227" i="1" a="1"/>
  <c r="C228" i="1" a="1"/>
  <c r="O228" i="1" s="1"/>
  <c r="F228" i="1" a="1"/>
  <c r="I228" i="1" a="1"/>
  <c r="N229" i="1" a="1"/>
  <c r="Q229" i="1" s="1"/>
  <c r="G230" i="1" a="1"/>
  <c r="N230" i="1" a="1"/>
  <c r="Q230" i="1" s="1"/>
  <c r="F231" i="1" a="1"/>
  <c r="M232" i="1"/>
  <c r="C233" i="1" a="1"/>
  <c r="O233" i="1" s="1"/>
  <c r="F233" i="1" a="1"/>
  <c r="I233" i="1" a="1"/>
  <c r="M233" i="1"/>
  <c r="N234" i="1" a="1"/>
  <c r="Q234" i="1" s="1"/>
  <c r="J235" i="1" a="1"/>
  <c r="M236" i="1"/>
  <c r="C237" i="1" a="1"/>
  <c r="O237" i="1" s="1"/>
  <c r="F237" i="1" a="1"/>
  <c r="I237" i="1" a="1"/>
  <c r="G239" i="1" a="1"/>
  <c r="G240" i="1" a="1"/>
  <c r="M240" i="1"/>
  <c r="C241" i="1" a="1"/>
  <c r="O241" i="1" s="1"/>
  <c r="I241" i="1" a="1"/>
  <c r="M241" i="1"/>
  <c r="C242" i="1" a="1"/>
  <c r="O242" i="1" s="1"/>
  <c r="I242" i="1" a="1"/>
  <c r="N242" i="1" a="1"/>
  <c r="Q242" i="1" s="1"/>
  <c r="N220" i="1" a="1"/>
  <c r="Q220" i="1" s="1"/>
  <c r="G221" i="1" a="1"/>
  <c r="G222" i="1" a="1"/>
  <c r="J222" i="1" a="1"/>
  <c r="J223" i="1" a="1"/>
  <c r="M224" i="1"/>
  <c r="C225" i="1" a="1"/>
  <c r="O225" i="1" s="1"/>
  <c r="G225" i="1" a="1"/>
  <c r="F226" i="1" a="1"/>
  <c r="I226" i="1" a="1"/>
  <c r="G227" i="1" a="1"/>
  <c r="N227" i="1" a="1"/>
  <c r="Q227" i="1" s="1"/>
  <c r="M228" i="1"/>
  <c r="C229" i="1" a="1"/>
  <c r="O229" i="1" s="1"/>
  <c r="F229" i="1" a="1"/>
  <c r="I229" i="1" a="1"/>
  <c r="I231" i="1" a="1"/>
  <c r="N231" i="1" a="1"/>
  <c r="Q231" i="1" s="1"/>
  <c r="G232" i="1" a="1"/>
  <c r="J232" i="1" a="1"/>
  <c r="J233" i="1" a="1"/>
  <c r="C234" i="1" a="1"/>
  <c r="O234" i="1" s="1"/>
  <c r="F234" i="1" a="1"/>
  <c r="I234" i="1" a="1"/>
  <c r="G235" i="1" a="1"/>
  <c r="N235" i="1" a="1"/>
  <c r="Q235" i="1" s="1"/>
  <c r="G236" i="1" a="1"/>
  <c r="J236" i="1" a="1"/>
  <c r="G237" i="1" a="1"/>
  <c r="J237" i="1" a="1"/>
  <c r="M237" i="1"/>
  <c r="I238" i="1" a="1"/>
  <c r="M238" i="1"/>
  <c r="C239" i="1" a="1"/>
  <c r="O239" i="1" s="1"/>
  <c r="N239" i="1" a="1"/>
  <c r="Q239" i="1" s="1"/>
  <c r="F241" i="1" a="1"/>
  <c r="J241" i="1" a="1"/>
  <c r="F242" i="1" a="1"/>
  <c r="G244" i="1" a="1"/>
  <c r="M244" i="1"/>
  <c r="C245" i="1" a="1"/>
  <c r="O245" i="1" s="1"/>
  <c r="I245" i="1" a="1"/>
  <c r="N245" i="1" a="1"/>
  <c r="Q245" i="1" s="1"/>
  <c r="G247" i="1" a="1"/>
  <c r="N247" i="1" a="1"/>
  <c r="Q247" i="1" s="1"/>
  <c r="N221" i="1" a="1"/>
  <c r="Q221" i="1" s="1"/>
  <c r="C223" i="1" a="1"/>
  <c r="O223" i="1" s="1"/>
  <c r="F223" i="1" a="1"/>
  <c r="N223" i="1" a="1"/>
  <c r="Q223" i="1" s="1"/>
  <c r="C226" i="1" a="1"/>
  <c r="O226" i="1" s="1"/>
  <c r="M226" i="1"/>
  <c r="G228" i="1" a="1"/>
  <c r="J228" i="1" a="1"/>
  <c r="G229" i="1" a="1"/>
  <c r="J229" i="1" a="1"/>
  <c r="M229" i="1"/>
  <c r="I230" i="1" a="1"/>
  <c r="M230" i="1"/>
  <c r="G231" i="1" a="1"/>
  <c r="J231" i="1" a="1"/>
  <c r="M231" i="1"/>
  <c r="N232" i="1" a="1"/>
  <c r="Q232" i="1" s="1"/>
  <c r="G233" i="1" a="1"/>
  <c r="M234" i="1"/>
  <c r="N236" i="1" a="1"/>
  <c r="Q236" i="1" s="1"/>
  <c r="C238" i="1" a="1"/>
  <c r="O238" i="1" s="1"/>
  <c r="F238" i="1" a="1"/>
  <c r="J238" i="1" a="1"/>
  <c r="I239" i="1" a="1"/>
  <c r="I240" i="1" a="1"/>
  <c r="N240" i="1" a="1"/>
  <c r="Q240" i="1" s="1"/>
  <c r="G241" i="1" a="1"/>
  <c r="N241" i="1" a="1"/>
  <c r="Q241" i="1" s="1"/>
  <c r="G242" i="1" a="1"/>
  <c r="J242" i="1" a="1"/>
  <c r="M242" i="1"/>
  <c r="C243" i="1" a="1"/>
  <c r="O243" i="1" s="1"/>
  <c r="I243" i="1" a="1"/>
  <c r="N243" i="1" a="1"/>
  <c r="Q243" i="1" s="1"/>
  <c r="F245" i="1" a="1"/>
  <c r="J245" i="1" a="1"/>
  <c r="I246" i="1" a="1"/>
  <c r="M246" i="1"/>
  <c r="C247" i="1" a="1"/>
  <c r="O247" i="1" s="1"/>
  <c r="G249" i="1" a="1"/>
  <c r="G250" i="1" a="1"/>
  <c r="J250" i="1" a="1"/>
  <c r="N250" i="1" a="1"/>
  <c r="Q250" i="1" s="1"/>
  <c r="F251" i="1" a="1"/>
  <c r="J251" i="1" a="1"/>
  <c r="M251" i="1"/>
  <c r="C252" i="1" a="1"/>
  <c r="O252" i="1" s="1"/>
  <c r="I252" i="1" a="1"/>
  <c r="N252" i="1" a="1"/>
  <c r="Q252" i="1" s="1"/>
  <c r="G253" i="1" a="1"/>
  <c r="J253" i="1" a="1"/>
  <c r="F254" i="1" a="1"/>
  <c r="I255" i="1" a="1"/>
  <c r="C244" i="1" a="1"/>
  <c r="O244" i="1" s="1"/>
  <c r="J244" i="1" a="1"/>
  <c r="F249" i="1" a="1"/>
  <c r="F250" i="1" a="1"/>
  <c r="M250" i="1"/>
  <c r="G251" i="1" a="1"/>
  <c r="F252" i="1" a="1"/>
  <c r="J252" i="1" a="1"/>
  <c r="I253" i="1" a="1"/>
  <c r="M253" i="1"/>
  <c r="N254" i="1" a="1"/>
  <c r="Q254" i="1" s="1"/>
  <c r="M255" i="1"/>
  <c r="C256" i="1" a="1"/>
  <c r="O256" i="1" s="1"/>
  <c r="I256" i="1" a="1"/>
  <c r="N256" i="1" a="1"/>
  <c r="Q256" i="1" s="1"/>
  <c r="G257" i="1" a="1"/>
  <c r="J257" i="1" a="1"/>
  <c r="F258" i="1" a="1"/>
  <c r="I259" i="1" a="1"/>
  <c r="F261" i="1" a="1"/>
  <c r="M261" i="1"/>
  <c r="C262" i="1" a="1"/>
  <c r="O262" i="1" s="1"/>
  <c r="I262" i="1" a="1"/>
  <c r="M262" i="1"/>
  <c r="C263" i="1" a="1"/>
  <c r="O263" i="1" s="1"/>
  <c r="N263" i="1" a="1"/>
  <c r="Q263" i="1" s="1"/>
  <c r="G264" i="1" a="1"/>
  <c r="J264" i="1" a="1"/>
  <c r="M264" i="1"/>
  <c r="C265" i="1" a="1"/>
  <c r="O265" i="1" s="1"/>
  <c r="I265" i="1" a="1"/>
  <c r="G267" i="1" a="1"/>
  <c r="F268" i="1" a="1"/>
  <c r="J243" i="1" a="1"/>
  <c r="J246" i="1" a="1"/>
  <c r="N246" i="1" a="1"/>
  <c r="Q246" i="1" s="1"/>
  <c r="I247" i="1" a="1"/>
  <c r="I248" i="1" a="1"/>
  <c r="N248" i="1" a="1"/>
  <c r="Q248" i="1" s="1"/>
  <c r="C250" i="1" a="1"/>
  <c r="O250" i="1" s="1"/>
  <c r="G252" i="1" a="1"/>
  <c r="N253" i="1" a="1"/>
  <c r="Q253" i="1" s="1"/>
  <c r="I254" i="1" a="1"/>
  <c r="J255" i="1" a="1"/>
  <c r="F256" i="1" a="1"/>
  <c r="N257" i="1" a="1"/>
  <c r="Q257" i="1" s="1"/>
  <c r="G258" i="1" a="1"/>
  <c r="J258" i="1" a="1"/>
  <c r="N258" i="1" a="1"/>
  <c r="Q258" i="1" s="1"/>
  <c r="F259" i="1" a="1"/>
  <c r="J259" i="1" a="1"/>
  <c r="M259" i="1"/>
  <c r="C260" i="1" a="1"/>
  <c r="O260" i="1" s="1"/>
  <c r="I260" i="1" a="1"/>
  <c r="N260" i="1" a="1"/>
  <c r="Q260" i="1" s="1"/>
  <c r="G261" i="1" a="1"/>
  <c r="J261" i="1" a="1"/>
  <c r="F262" i="1" a="1"/>
  <c r="I263" i="1" a="1"/>
  <c r="F265" i="1" a="1"/>
  <c r="M265" i="1"/>
  <c r="C266" i="1" a="1"/>
  <c r="O266" i="1" s="1"/>
  <c r="I266" i="1" a="1"/>
  <c r="M266" i="1"/>
  <c r="C267" i="1" a="1"/>
  <c r="O267" i="1" s="1"/>
  <c r="N267" i="1" a="1"/>
  <c r="Q267" i="1" s="1"/>
  <c r="G268" i="1" a="1"/>
  <c r="J268" i="1" a="1"/>
  <c r="M268" i="1"/>
  <c r="C269" i="1" a="1"/>
  <c r="O269" i="1" s="1"/>
  <c r="I269" i="1" a="1"/>
  <c r="M243" i="1"/>
  <c r="F244" i="1" a="1"/>
  <c r="G246" i="1" a="1"/>
  <c r="J247" i="1" a="1"/>
  <c r="C248" i="1" a="1"/>
  <c r="O248" i="1" s="1"/>
  <c r="F248" i="1" a="1"/>
  <c r="I249" i="1" a="1"/>
  <c r="M249" i="1"/>
  <c r="I250" i="1" a="1"/>
  <c r="I251" i="1" a="1"/>
  <c r="C253" i="1" a="1"/>
  <c r="O253" i="1" s="1"/>
  <c r="F253" i="1" a="1"/>
  <c r="J254" i="1" a="1"/>
  <c r="C255" i="1" a="1"/>
  <c r="O255" i="1" s="1"/>
  <c r="F255" i="1" a="1"/>
  <c r="N255" i="1" a="1"/>
  <c r="Q255" i="1" s="1"/>
  <c r="G256" i="1" a="1"/>
  <c r="J256" i="1" a="1"/>
  <c r="M256" i="1"/>
  <c r="C257" i="1" a="1"/>
  <c r="O257" i="1" s="1"/>
  <c r="I257" i="1" a="1"/>
  <c r="G259" i="1" a="1"/>
  <c r="F260" i="1" a="1"/>
  <c r="N261" i="1" a="1"/>
  <c r="Q261" i="1" s="1"/>
  <c r="G262" i="1" a="1"/>
  <c r="J262" i="1" a="1"/>
  <c r="N262" i="1" a="1"/>
  <c r="Q262" i="1" s="1"/>
  <c r="F263" i="1" a="1"/>
  <c r="J263" i="1" a="1"/>
  <c r="M263" i="1"/>
  <c r="C264" i="1" a="1"/>
  <c r="O264" i="1" s="1"/>
  <c r="I264" i="1" a="1"/>
  <c r="N264" i="1" a="1"/>
  <c r="Q264" i="1" s="1"/>
  <c r="G265" i="1" a="1"/>
  <c r="J265" i="1" a="1"/>
  <c r="F266" i="1" a="1"/>
  <c r="I267" i="1" a="1"/>
  <c r="F269" i="1" a="1"/>
  <c r="M269" i="1"/>
  <c r="C270" i="1" a="1"/>
  <c r="O270" i="1" s="1"/>
  <c r="I270" i="1" a="1"/>
  <c r="M270" i="1"/>
  <c r="C271" i="1" a="1"/>
  <c r="O271" i="1" s="1"/>
  <c r="N271" i="1" a="1"/>
  <c r="Q271" i="1" s="1"/>
  <c r="G243" i="1" a="1"/>
  <c r="F247" i="1" a="1"/>
  <c r="M247" i="1"/>
  <c r="G248" i="1" a="1"/>
  <c r="J248" i="1" a="1"/>
  <c r="M248" i="1"/>
  <c r="C249" i="1" a="1"/>
  <c r="O249" i="1" s="1"/>
  <c r="J249" i="1" a="1"/>
  <c r="N249" i="1" a="1"/>
  <c r="Q249" i="1" s="1"/>
  <c r="C251" i="1" a="1"/>
  <c r="O251" i="1" s="1"/>
  <c r="N251" i="1" a="1"/>
  <c r="Q251" i="1" s="1"/>
  <c r="M252" i="1"/>
  <c r="C254" i="1" a="1"/>
  <c r="O254" i="1" s="1"/>
  <c r="G254" i="1" a="1"/>
  <c r="M254" i="1"/>
  <c r="G255" i="1" a="1"/>
  <c r="F257" i="1" a="1"/>
  <c r="M257" i="1"/>
  <c r="C258" i="1" a="1"/>
  <c r="O258" i="1" s="1"/>
  <c r="I258" i="1" a="1"/>
  <c r="M258" i="1"/>
  <c r="C259" i="1" a="1"/>
  <c r="O259" i="1" s="1"/>
  <c r="N259" i="1" a="1"/>
  <c r="Q259" i="1" s="1"/>
  <c r="G260" i="1" a="1"/>
  <c r="J260" i="1" a="1"/>
  <c r="M260" i="1"/>
  <c r="C261" i="1" a="1"/>
  <c r="O261" i="1" s="1"/>
  <c r="I261" i="1" a="1"/>
  <c r="G263" i="1" a="1"/>
  <c r="F264" i="1" a="1"/>
  <c r="N265" i="1" a="1"/>
  <c r="Q265" i="1" s="1"/>
  <c r="G266" i="1" a="1"/>
  <c r="J266" i="1" a="1"/>
  <c r="N266" i="1" a="1"/>
  <c r="Q266" i="1" s="1"/>
  <c r="F267" i="1" a="1"/>
  <c r="J267" i="1" a="1"/>
  <c r="M267" i="1"/>
  <c r="C268" i="1" a="1"/>
  <c r="O268" i="1" s="1"/>
  <c r="I268" i="1" a="1"/>
  <c r="N268" i="1" a="1"/>
  <c r="Q268" i="1" s="1"/>
  <c r="G269" i="1" a="1"/>
  <c r="J269" i="1" a="1"/>
  <c r="F270" i="1" a="1"/>
  <c r="I271" i="1" a="1"/>
  <c r="F273" i="1" a="1"/>
  <c r="M273" i="1"/>
  <c r="C274" i="1" a="1"/>
  <c r="O274" i="1" s="1"/>
  <c r="I274" i="1" a="1"/>
  <c r="M274" i="1"/>
  <c r="C275" i="1" a="1"/>
  <c r="O275" i="1" s="1"/>
  <c r="N275" i="1" a="1"/>
  <c r="Q275" i="1" s="1"/>
  <c r="G276" i="1" a="1"/>
  <c r="J276" i="1" a="1"/>
  <c r="M276" i="1"/>
  <c r="C277" i="1" a="1"/>
  <c r="O277" i="1" s="1"/>
  <c r="I277" i="1" a="1"/>
  <c r="G279" i="1" a="1"/>
  <c r="F280" i="1" a="1"/>
  <c r="G272" i="1" a="1"/>
  <c r="J272" i="1" a="1"/>
  <c r="N272" i="1" a="1"/>
  <c r="Q272" i="1" s="1"/>
  <c r="I273" i="1" a="1"/>
  <c r="N274" i="1" a="1"/>
  <c r="Q274" i="1" s="1"/>
  <c r="G275" i="1" a="1"/>
  <c r="M277" i="1"/>
  <c r="C278" i="1" a="1"/>
  <c r="O278" i="1" s="1"/>
  <c r="I278" i="1" a="1"/>
  <c r="N278" i="1" a="1"/>
  <c r="Q278" i="1" s="1"/>
  <c r="C280" i="1" a="1"/>
  <c r="O280" i="1" s="1"/>
  <c r="G280" i="1" a="1"/>
  <c r="N280" i="1" a="1"/>
  <c r="Q280" i="1" s="1"/>
  <c r="G281" i="1" a="1"/>
  <c r="J281" i="1" a="1"/>
  <c r="N281" i="1" a="1"/>
  <c r="Q281" i="1" s="1"/>
  <c r="G282" i="1" a="1"/>
  <c r="J282" i="1" a="1"/>
  <c r="N282" i="1" a="1"/>
  <c r="Q282" i="1" s="1"/>
  <c r="F283" i="1" a="1"/>
  <c r="J283" i="1" a="1"/>
  <c r="M283" i="1"/>
  <c r="C284" i="1" a="1"/>
  <c r="O284" i="1" s="1"/>
  <c r="I284" i="1" a="1"/>
  <c r="N284" i="1" a="1"/>
  <c r="Q284" i="1" s="1"/>
  <c r="G285" i="1" a="1"/>
  <c r="J285" i="1" a="1"/>
  <c r="F286" i="1" a="1"/>
  <c r="I287" i="1" a="1"/>
  <c r="F289" i="1" a="1"/>
  <c r="M289" i="1"/>
  <c r="C290" i="1" a="1"/>
  <c r="O290" i="1" s="1"/>
  <c r="I290" i="1" a="1"/>
  <c r="M290" i="1"/>
  <c r="C291" i="1" a="1"/>
  <c r="O291" i="1" s="1"/>
  <c r="N291" i="1" a="1"/>
  <c r="Q291" i="1" s="1"/>
  <c r="G292" i="1" a="1"/>
  <c r="J292" i="1" a="1"/>
  <c r="M292" i="1"/>
  <c r="C294" i="1" a="1"/>
  <c r="O294" i="1" s="1"/>
  <c r="F294" i="1" a="1"/>
  <c r="F296" i="1" a="1"/>
  <c r="M296" i="1"/>
  <c r="C297" i="1" a="1"/>
  <c r="O297" i="1" s="1"/>
  <c r="I297" i="1" a="1"/>
  <c r="M297" i="1"/>
  <c r="C298" i="1" a="1"/>
  <c r="O298" i="1" s="1"/>
  <c r="N298" i="1" a="1"/>
  <c r="Q298" i="1" s="1"/>
  <c r="G299" i="1" a="1"/>
  <c r="J299" i="1" a="1"/>
  <c r="M299" i="1"/>
  <c r="C300" i="1" a="1"/>
  <c r="O300" i="1" s="1"/>
  <c r="I300" i="1" a="1"/>
  <c r="G302" i="1" a="1"/>
  <c r="F303" i="1" a="1"/>
  <c r="N304" i="1" a="1"/>
  <c r="Q304" i="1" s="1"/>
  <c r="G305" i="1" a="1"/>
  <c r="J305" i="1" a="1"/>
  <c r="N269" i="1" a="1"/>
  <c r="Q269" i="1" s="1"/>
  <c r="G270" i="1" a="1"/>
  <c r="N270" i="1" a="1"/>
  <c r="Q270" i="1" s="1"/>
  <c r="J271" i="1" a="1"/>
  <c r="J273" i="1" a="1"/>
  <c r="N273" i="1" a="1"/>
  <c r="Q273" i="1" s="1"/>
  <c r="C276" i="1" a="1"/>
  <c r="O276" i="1" s="1"/>
  <c r="F276" i="1" a="1"/>
  <c r="N276" i="1" a="1"/>
  <c r="Q276" i="1" s="1"/>
  <c r="F278" i="1" a="1"/>
  <c r="I279" i="1" a="1"/>
  <c r="M279" i="1"/>
  <c r="G283" i="1" a="1"/>
  <c r="F284" i="1" a="1"/>
  <c r="N285" i="1" a="1"/>
  <c r="Q285" i="1" s="1"/>
  <c r="G286" i="1" a="1"/>
  <c r="J286" i="1" a="1"/>
  <c r="N286" i="1" a="1"/>
  <c r="Q286" i="1" s="1"/>
  <c r="F287" i="1" a="1"/>
  <c r="J287" i="1" a="1"/>
  <c r="M287" i="1"/>
  <c r="C288" i="1" a="1"/>
  <c r="O288" i="1" s="1"/>
  <c r="I288" i="1" a="1"/>
  <c r="N288" i="1" a="1"/>
  <c r="Q288" i="1" s="1"/>
  <c r="G289" i="1" a="1"/>
  <c r="J289" i="1" a="1"/>
  <c r="F290" i="1" a="1"/>
  <c r="I291" i="1" a="1"/>
  <c r="C293" i="1" a="1"/>
  <c r="O293" i="1" s="1"/>
  <c r="I293" i="1" a="1"/>
  <c r="N293" i="1" a="1"/>
  <c r="Q293" i="1" s="1"/>
  <c r="G294" i="1" a="1"/>
  <c r="J294" i="1" a="1"/>
  <c r="M294" i="1"/>
  <c r="C295" i="1" a="1"/>
  <c r="O295" i="1" s="1"/>
  <c r="I295" i="1" a="1"/>
  <c r="N295" i="1" a="1"/>
  <c r="Q295" i="1" s="1"/>
  <c r="G296" i="1" a="1"/>
  <c r="J296" i="1" a="1"/>
  <c r="F297" i="1" a="1"/>
  <c r="I298" i="1" a="1"/>
  <c r="F300" i="1" a="1"/>
  <c r="M300" i="1"/>
  <c r="C301" i="1" a="1"/>
  <c r="O301" i="1" s="1"/>
  <c r="I301" i="1" a="1"/>
  <c r="M301" i="1"/>
  <c r="C302" i="1" a="1"/>
  <c r="O302" i="1" s="1"/>
  <c r="N302" i="1" a="1"/>
  <c r="Q302" i="1" s="1"/>
  <c r="G303" i="1" a="1"/>
  <c r="J303" i="1" a="1"/>
  <c r="M303" i="1"/>
  <c r="C304" i="1" a="1"/>
  <c r="O304" i="1" s="1"/>
  <c r="I304" i="1" a="1"/>
  <c r="G306" i="1" a="1"/>
  <c r="F307" i="1" a="1"/>
  <c r="N308" i="1" a="1"/>
  <c r="Q308" i="1" s="1"/>
  <c r="F309" i="1" a="1"/>
  <c r="J309" i="1" a="1"/>
  <c r="M309" i="1"/>
  <c r="C310" i="1" a="1"/>
  <c r="O310" i="1" s="1"/>
  <c r="F310" i="1" a="1"/>
  <c r="J310" i="1" a="1"/>
  <c r="F271" i="1" a="1"/>
  <c r="C272" i="1" a="1"/>
  <c r="O272" i="1" s="1"/>
  <c r="I272" i="1" a="1"/>
  <c r="C273" i="1" a="1"/>
  <c r="O273" i="1" s="1"/>
  <c r="G273" i="1" a="1"/>
  <c r="F274" i="1" a="1"/>
  <c r="J274" i="1" a="1"/>
  <c r="I275" i="1" a="1"/>
  <c r="M275" i="1"/>
  <c r="F277" i="1" a="1"/>
  <c r="J277" i="1" a="1"/>
  <c r="N277" i="1" a="1"/>
  <c r="Q277" i="1" s="1"/>
  <c r="G278" i="1" a="1"/>
  <c r="J278" i="1" a="1"/>
  <c r="M278" i="1"/>
  <c r="C279" i="1" a="1"/>
  <c r="O279" i="1" s="1"/>
  <c r="J279" i="1" a="1"/>
  <c r="N279" i="1" a="1"/>
  <c r="Q279" i="1" s="1"/>
  <c r="I280" i="1" a="1"/>
  <c r="M280" i="1"/>
  <c r="C281" i="1" a="1"/>
  <c r="O281" i="1" s="1"/>
  <c r="I281" i="1" a="1"/>
  <c r="M281" i="1"/>
  <c r="C282" i="1" a="1"/>
  <c r="O282" i="1" s="1"/>
  <c r="I282" i="1" a="1"/>
  <c r="M282" i="1"/>
  <c r="C283" i="1" a="1"/>
  <c r="O283" i="1" s="1"/>
  <c r="N283" i="1" a="1"/>
  <c r="Q283" i="1" s="1"/>
  <c r="G284" i="1" a="1"/>
  <c r="J284" i="1" a="1"/>
  <c r="M284" i="1"/>
  <c r="C285" i="1" a="1"/>
  <c r="O285" i="1" s="1"/>
  <c r="I285" i="1" a="1"/>
  <c r="G287" i="1" a="1"/>
  <c r="F288" i="1" a="1"/>
  <c r="N289" i="1" a="1"/>
  <c r="Q289" i="1" s="1"/>
  <c r="G290" i="1" a="1"/>
  <c r="J290" i="1" a="1"/>
  <c r="N290" i="1" a="1"/>
  <c r="Q290" i="1" s="1"/>
  <c r="F291" i="1" a="1"/>
  <c r="J291" i="1" a="1"/>
  <c r="M291" i="1"/>
  <c r="C292" i="1" a="1"/>
  <c r="O292" i="1" s="1"/>
  <c r="I292" i="1" a="1"/>
  <c r="F293" i="1" a="1"/>
  <c r="J293" i="1" a="1"/>
  <c r="F295" i="1" a="1"/>
  <c r="N296" i="1" a="1"/>
  <c r="Q296" i="1" s="1"/>
  <c r="G297" i="1" a="1"/>
  <c r="J297" i="1" a="1"/>
  <c r="N297" i="1" a="1"/>
  <c r="Q297" i="1" s="1"/>
  <c r="F298" i="1" a="1"/>
  <c r="J298" i="1" a="1"/>
  <c r="M298" i="1"/>
  <c r="C299" i="1" a="1"/>
  <c r="O299" i="1" s="1"/>
  <c r="I299" i="1" a="1"/>
  <c r="N299" i="1" a="1"/>
  <c r="Q299" i="1" s="1"/>
  <c r="G300" i="1" a="1"/>
  <c r="J300" i="1" a="1"/>
  <c r="F301" i="1" a="1"/>
  <c r="I302" i="1" a="1"/>
  <c r="F304" i="1" a="1"/>
  <c r="M304" i="1"/>
  <c r="C305" i="1" a="1"/>
  <c r="O305" i="1" s="1"/>
  <c r="I305" i="1" a="1"/>
  <c r="M305" i="1"/>
  <c r="C306" i="1" a="1"/>
  <c r="O306" i="1" s="1"/>
  <c r="J270" i="1" a="1"/>
  <c r="G271" i="1" a="1"/>
  <c r="M271" i="1"/>
  <c r="F272" i="1" a="1"/>
  <c r="M272" i="1"/>
  <c r="G274" i="1" a="1"/>
  <c r="F275" i="1" a="1"/>
  <c r="J275" i="1" a="1"/>
  <c r="I276" i="1" a="1"/>
  <c r="G277" i="1" a="1"/>
  <c r="F279" i="1" a="1"/>
  <c r="J280" i="1" a="1"/>
  <c r="F281" i="1" a="1"/>
  <c r="F282" i="1" a="1"/>
  <c r="I283" i="1" a="1"/>
  <c r="F285" i="1" a="1"/>
  <c r="M285" i="1"/>
  <c r="C286" i="1" a="1"/>
  <c r="O286" i="1" s="1"/>
  <c r="I286" i="1" a="1"/>
  <c r="M286" i="1"/>
  <c r="C287" i="1" a="1"/>
  <c r="O287" i="1" s="1"/>
  <c r="N287" i="1" a="1"/>
  <c r="Q287" i="1" s="1"/>
  <c r="G288" i="1" a="1"/>
  <c r="J288" i="1" a="1"/>
  <c r="M288" i="1"/>
  <c r="C289" i="1" a="1"/>
  <c r="O289" i="1" s="1"/>
  <c r="I289" i="1" a="1"/>
  <c r="G291" i="1" a="1"/>
  <c r="F292" i="1" a="1"/>
  <c r="N292" i="1" a="1"/>
  <c r="Q292" i="1" s="1"/>
  <c r="G293" i="1" a="1"/>
  <c r="M293" i="1"/>
  <c r="I294" i="1" a="1"/>
  <c r="N294" i="1" a="1"/>
  <c r="Q294" i="1" s="1"/>
  <c r="G295" i="1" a="1"/>
  <c r="J295" i="1" a="1"/>
  <c r="M295" i="1"/>
  <c r="C296" i="1" a="1"/>
  <c r="O296" i="1" s="1"/>
  <c r="I296" i="1" a="1"/>
  <c r="G298" i="1" a="1"/>
  <c r="F299" i="1" a="1"/>
  <c r="N300" i="1" a="1"/>
  <c r="Q300" i="1" s="1"/>
  <c r="G301" i="1" a="1"/>
  <c r="J301" i="1" a="1"/>
  <c r="N301" i="1" a="1"/>
  <c r="Q301" i="1" s="1"/>
  <c r="F302" i="1" a="1"/>
  <c r="J302" i="1" a="1"/>
  <c r="M302" i="1"/>
  <c r="C303" i="1" a="1"/>
  <c r="O303" i="1" s="1"/>
  <c r="I303" i="1" a="1"/>
  <c r="N303" i="1" a="1"/>
  <c r="Q303" i="1" s="1"/>
  <c r="G304" i="1" a="1"/>
  <c r="J304" i="1" a="1"/>
  <c r="F305" i="1" a="1"/>
  <c r="I306" i="1" a="1"/>
  <c r="F308" i="1" a="1"/>
  <c r="M308" i="1"/>
  <c r="C309" i="1" a="1"/>
  <c r="O309" i="1" s="1"/>
  <c r="N309" i="1" a="1"/>
  <c r="Q309" i="1" s="1"/>
  <c r="G311" i="1" a="1"/>
  <c r="J311" i="1" a="1"/>
  <c r="M311" i="1"/>
  <c r="N312" i="1" a="1"/>
  <c r="Q312" i="1" s="1"/>
  <c r="G313" i="1" a="1"/>
  <c r="M314" i="1"/>
  <c r="G316" i="1" a="1"/>
  <c r="N316" i="1" a="1"/>
  <c r="Q316" i="1" s="1"/>
  <c r="G317" i="1" a="1"/>
  <c r="N317" i="1" a="1"/>
  <c r="Q317" i="1" s="1"/>
  <c r="I319" i="1" a="1"/>
  <c r="J306" i="1" a="1"/>
  <c r="C307" i="1" a="1"/>
  <c r="O307" i="1" s="1"/>
  <c r="G307" i="1" a="1"/>
  <c r="C308" i="1" a="1"/>
  <c r="O308" i="1" s="1"/>
  <c r="G308" i="1" a="1"/>
  <c r="C311" i="1" a="1"/>
  <c r="O311" i="1" s="1"/>
  <c r="F311" i="1" a="1"/>
  <c r="F312" i="1" a="1"/>
  <c r="J312" i="1" a="1"/>
  <c r="C314" i="1" a="1"/>
  <c r="O314" i="1" s="1"/>
  <c r="G314" i="1" a="1"/>
  <c r="G315" i="1" a="1"/>
  <c r="F316" i="1" a="1"/>
  <c r="C317" i="1" a="1"/>
  <c r="O317" i="1" s="1"/>
  <c r="J317" i="1" a="1"/>
  <c r="I318" i="1" a="1"/>
  <c r="M319" i="1"/>
  <c r="N320" i="1" a="1"/>
  <c r="Q320" i="1" s="1"/>
  <c r="F321" i="1" a="1"/>
  <c r="J321" i="1" a="1"/>
  <c r="M321" i="1"/>
  <c r="G322" i="1" a="1"/>
  <c r="J322" i="1" a="1"/>
  <c r="M322" i="1"/>
  <c r="G323" i="1" a="1"/>
  <c r="F324" i="1" a="1"/>
  <c r="J324" i="1" a="1"/>
  <c r="M324" i="1"/>
  <c r="C325" i="1" a="1"/>
  <c r="O325" i="1" s="1"/>
  <c r="F326" i="1" a="1"/>
  <c r="J326" i="1" a="1"/>
  <c r="M326" i="1"/>
  <c r="C327" i="1" a="1"/>
  <c r="O327" i="1" s="1"/>
  <c r="I327" i="1" a="1"/>
  <c r="N328" i="1" a="1"/>
  <c r="Q328" i="1" s="1"/>
  <c r="F329" i="1" a="1"/>
  <c r="I329" i="1" a="1"/>
  <c r="I330" i="1" a="1"/>
  <c r="M330" i="1"/>
  <c r="C331" i="1" a="1"/>
  <c r="O331" i="1" s="1"/>
  <c r="I331" i="1" a="1"/>
  <c r="M331" i="1"/>
  <c r="N333" i="1" a="1"/>
  <c r="Q333" i="1" s="1"/>
  <c r="G334" i="1" a="1"/>
  <c r="J334" i="1" a="1"/>
  <c r="C335" i="1" a="1"/>
  <c r="O335" i="1" s="1"/>
  <c r="F335" i="1" a="1"/>
  <c r="I335" i="1" a="1"/>
  <c r="I338" i="1" a="1"/>
  <c r="M338" i="1"/>
  <c r="I339" i="1" a="1"/>
  <c r="M339" i="1"/>
  <c r="F341" i="1" a="1"/>
  <c r="I341" i="1" a="1"/>
  <c r="M341" i="1"/>
  <c r="F343" i="1" a="1"/>
  <c r="I343" i="1" a="1"/>
  <c r="M343" i="1"/>
  <c r="F345" i="1" a="1"/>
  <c r="I345" i="1" a="1"/>
  <c r="M345" i="1"/>
  <c r="F347" i="1" a="1"/>
  <c r="I347" i="1" a="1"/>
  <c r="M347" i="1"/>
  <c r="F349" i="1" a="1"/>
  <c r="I349" i="1" a="1"/>
  <c r="M349" i="1"/>
  <c r="M306" i="1"/>
  <c r="M307" i="1"/>
  <c r="I309" i="1" a="1"/>
  <c r="G310" i="1" a="1"/>
  <c r="M310" i="1"/>
  <c r="N311" i="1" a="1"/>
  <c r="Q311" i="1" s="1"/>
  <c r="G312" i="1" a="1"/>
  <c r="I313" i="1" a="1"/>
  <c r="M313" i="1"/>
  <c r="C316" i="1" a="1"/>
  <c r="O316" i="1" s="1"/>
  <c r="M316" i="1"/>
  <c r="F317" i="1" a="1"/>
  <c r="C318" i="1" a="1"/>
  <c r="O318" i="1" s="1"/>
  <c r="F318" i="1" a="1"/>
  <c r="J318" i="1" a="1"/>
  <c r="N318" i="1" a="1"/>
  <c r="Q318" i="1" s="1"/>
  <c r="J319" i="1" a="1"/>
  <c r="C320" i="1" a="1"/>
  <c r="O320" i="1" s="1"/>
  <c r="F320" i="1" a="1"/>
  <c r="I320" i="1" a="1"/>
  <c r="G321" i="1" a="1"/>
  <c r="C322" i="1" a="1"/>
  <c r="O322" i="1" s="1"/>
  <c r="C323" i="1" a="1"/>
  <c r="O323" i="1" s="1"/>
  <c r="N323" i="1" a="1"/>
  <c r="Q323" i="1" s="1"/>
  <c r="G324" i="1" a="1"/>
  <c r="F325" i="1" a="1"/>
  <c r="I325" i="1" a="1"/>
  <c r="N325" i="1" a="1"/>
  <c r="Q325" i="1" s="1"/>
  <c r="G326" i="1" a="1"/>
  <c r="F327" i="1" a="1"/>
  <c r="J327" i="1" a="1"/>
  <c r="M327" i="1"/>
  <c r="C328" i="1" a="1"/>
  <c r="O328" i="1" s="1"/>
  <c r="F328" i="1" a="1"/>
  <c r="I328" i="1" a="1"/>
  <c r="G329" i="1" a="1"/>
  <c r="J329" i="1" a="1"/>
  <c r="M329" i="1"/>
  <c r="C330" i="1" a="1"/>
  <c r="O330" i="1" s="1"/>
  <c r="F330" i="1" a="1"/>
  <c r="J330" i="1" a="1"/>
  <c r="F331" i="1" a="1"/>
  <c r="J331" i="1" a="1"/>
  <c r="C332" i="1" a="1"/>
  <c r="O332" i="1" s="1"/>
  <c r="F332" i="1" a="1"/>
  <c r="I332" i="1" a="1"/>
  <c r="M332" i="1"/>
  <c r="C333" i="1" a="1"/>
  <c r="O333" i="1" s="1"/>
  <c r="F333" i="1" a="1"/>
  <c r="I333" i="1" a="1"/>
  <c r="M333" i="1"/>
  <c r="N334" i="1" a="1"/>
  <c r="Q334" i="1" s="1"/>
  <c r="G335" i="1" a="1"/>
  <c r="J335" i="1" a="1"/>
  <c r="M335" i="1"/>
  <c r="I336" i="1" a="1"/>
  <c r="M336" i="1"/>
  <c r="C337" i="1" a="1"/>
  <c r="O337" i="1" s="1"/>
  <c r="F337" i="1" a="1"/>
  <c r="I337" i="1" a="1"/>
  <c r="M337" i="1"/>
  <c r="C338" i="1" a="1"/>
  <c r="O338" i="1" s="1"/>
  <c r="F338" i="1" a="1"/>
  <c r="J338" i="1" a="1"/>
  <c r="C339" i="1" a="1"/>
  <c r="O339" i="1" s="1"/>
  <c r="F339" i="1" a="1"/>
  <c r="J339" i="1" a="1"/>
  <c r="C340" i="1" a="1"/>
  <c r="O340" i="1" s="1"/>
  <c r="N340" i="1" a="1"/>
  <c r="Q340" i="1" s="1"/>
  <c r="G341" i="1" a="1"/>
  <c r="J341" i="1" a="1"/>
  <c r="C342" i="1" a="1"/>
  <c r="O342" i="1" s="1"/>
  <c r="N342" i="1" a="1"/>
  <c r="Q342" i="1" s="1"/>
  <c r="G343" i="1" a="1"/>
  <c r="J343" i="1" a="1"/>
  <c r="C344" i="1" a="1"/>
  <c r="O344" i="1" s="1"/>
  <c r="N305" i="1" a="1"/>
  <c r="Q305" i="1" s="1"/>
  <c r="F306" i="1" a="1"/>
  <c r="N306" i="1" a="1"/>
  <c r="Q306" i="1" s="1"/>
  <c r="I307" i="1" a="1"/>
  <c r="N307" i="1" a="1"/>
  <c r="Q307" i="1" s="1"/>
  <c r="I308" i="1" a="1"/>
  <c r="N310" i="1" a="1"/>
  <c r="Q310" i="1" s="1"/>
  <c r="C313" i="1" a="1"/>
  <c r="O313" i="1" s="1"/>
  <c r="J313" i="1" a="1"/>
  <c r="N313" i="1" a="1"/>
  <c r="Q313" i="1" s="1"/>
  <c r="I314" i="1" a="1"/>
  <c r="C315" i="1" a="1"/>
  <c r="O315" i="1" s="1"/>
  <c r="I315" i="1" a="1"/>
  <c r="M315" i="1"/>
  <c r="I316" i="1" a="1"/>
  <c r="M317" i="1"/>
  <c r="G318" i="1" a="1"/>
  <c r="F319" i="1" a="1"/>
  <c r="N319" i="1" a="1"/>
  <c r="Q319" i="1" s="1"/>
  <c r="M320" i="1"/>
  <c r="F322" i="1" a="1"/>
  <c r="I322" i="1" a="1"/>
  <c r="N322" i="1" a="1"/>
  <c r="Q322" i="1" s="1"/>
  <c r="I323" i="1" a="1"/>
  <c r="M323" i="1"/>
  <c r="N324" i="1" a="1"/>
  <c r="Q324" i="1" s="1"/>
  <c r="G325" i="1" a="1"/>
  <c r="J325" i="1" a="1"/>
  <c r="M325" i="1"/>
  <c r="N326" i="1" a="1"/>
  <c r="Q326" i="1" s="1"/>
  <c r="G327" i="1" a="1"/>
  <c r="M328" i="1"/>
  <c r="G330" i="1" a="1"/>
  <c r="N330" i="1" a="1"/>
  <c r="Q330" i="1" s="1"/>
  <c r="G331" i="1" a="1"/>
  <c r="J332" i="1" a="1"/>
  <c r="G333" i="1" a="1"/>
  <c r="J333" i="1" a="1"/>
  <c r="C334" i="1" a="1"/>
  <c r="O334" i="1" s="1"/>
  <c r="F334" i="1" a="1"/>
  <c r="I334" i="1" a="1"/>
  <c r="C336" i="1" a="1"/>
  <c r="O336" i="1" s="1"/>
  <c r="F336" i="1" a="1"/>
  <c r="J336" i="1" a="1"/>
  <c r="J337" i="1" a="1"/>
  <c r="G338" i="1" a="1"/>
  <c r="G339" i="1" a="1"/>
  <c r="F340" i="1" a="1"/>
  <c r="I340" i="1" a="1"/>
  <c r="M340" i="1"/>
  <c r="F342" i="1" a="1"/>
  <c r="I342" i="1" a="1"/>
  <c r="M342" i="1"/>
  <c r="F344" i="1" a="1"/>
  <c r="I344" i="1" a="1"/>
  <c r="M344" i="1"/>
  <c r="F346" i="1" a="1"/>
  <c r="I346" i="1" a="1"/>
  <c r="M346" i="1"/>
  <c r="F348" i="1" a="1"/>
  <c r="I348" i="1" a="1"/>
  <c r="M348" i="1"/>
  <c r="F350" i="1" a="1"/>
  <c r="I350" i="1" a="1"/>
  <c r="M350" i="1"/>
  <c r="F352" i="1" a="1"/>
  <c r="I352" i="1" a="1"/>
  <c r="M352" i="1"/>
  <c r="F354" i="1" a="1"/>
  <c r="I354" i="1" a="1"/>
  <c r="M354" i="1"/>
  <c r="F356" i="1" a="1"/>
  <c r="I356" i="1" a="1"/>
  <c r="J307" i="1" a="1"/>
  <c r="J308" i="1" a="1"/>
  <c r="G309" i="1" a="1"/>
  <c r="I310" i="1" a="1"/>
  <c r="I311" i="1" a="1"/>
  <c r="C312" i="1" a="1"/>
  <c r="O312" i="1" s="1"/>
  <c r="I312" i="1" a="1"/>
  <c r="M312" i="1"/>
  <c r="F313" i="1" a="1"/>
  <c r="F314" i="1" a="1"/>
  <c r="J314" i="1" a="1"/>
  <c r="N314" i="1" a="1"/>
  <c r="Q314" i="1" s="1"/>
  <c r="F315" i="1" a="1"/>
  <c r="J315" i="1" a="1"/>
  <c r="N315" i="1" a="1"/>
  <c r="Q315" i="1" s="1"/>
  <c r="J316" i="1" a="1"/>
  <c r="I317" i="1" a="1"/>
  <c r="M318" i="1"/>
  <c r="C319" i="1" a="1"/>
  <c r="O319" i="1" s="1"/>
  <c r="G319" i="1" a="1"/>
  <c r="G320" i="1" a="1"/>
  <c r="J320" i="1" a="1"/>
  <c r="C321" i="1" a="1"/>
  <c r="O321" i="1" s="1"/>
  <c r="I321" i="1" a="1"/>
  <c r="N321" i="1" a="1"/>
  <c r="Q321" i="1" s="1"/>
  <c r="F323" i="1" a="1"/>
  <c r="J323" i="1" a="1"/>
  <c r="C324" i="1" a="1"/>
  <c r="O324" i="1" s="1"/>
  <c r="I324" i="1" a="1"/>
  <c r="C326" i="1" a="1"/>
  <c r="O326" i="1" s="1"/>
  <c r="I326" i="1" a="1"/>
  <c r="N327" i="1" a="1"/>
  <c r="Q327" i="1" s="1"/>
  <c r="G328" i="1" a="1"/>
  <c r="J328" i="1" a="1"/>
  <c r="C329" i="1" a="1"/>
  <c r="O329" i="1" s="1"/>
  <c r="N329" i="1" a="1"/>
  <c r="Q329" i="1" s="1"/>
  <c r="N331" i="1" a="1"/>
  <c r="Q331" i="1" s="1"/>
  <c r="G332" i="1" a="1"/>
  <c r="N332" i="1" a="1"/>
  <c r="Q332" i="1" s="1"/>
  <c r="M334" i="1"/>
  <c r="N335" i="1" a="1"/>
  <c r="Q335" i="1" s="1"/>
  <c r="G336" i="1" a="1"/>
  <c r="N336" i="1" a="1"/>
  <c r="Q336" i="1" s="1"/>
  <c r="G337" i="1" a="1"/>
  <c r="N337" i="1" a="1"/>
  <c r="Q337" i="1" s="1"/>
  <c r="N338" i="1" a="1"/>
  <c r="Q338" i="1" s="1"/>
  <c r="N339" i="1" a="1"/>
  <c r="Q339" i="1" s="1"/>
  <c r="G340" i="1" a="1"/>
  <c r="J340" i="1" a="1"/>
  <c r="C341" i="1" a="1"/>
  <c r="O341" i="1" s="1"/>
  <c r="N341" i="1" a="1"/>
  <c r="Q341" i="1" s="1"/>
  <c r="G342" i="1" a="1"/>
  <c r="J342" i="1" a="1"/>
  <c r="C343" i="1" a="1"/>
  <c r="O343" i="1" s="1"/>
  <c r="N343" i="1" a="1"/>
  <c r="Q343" i="1" s="1"/>
  <c r="G344" i="1" a="1"/>
  <c r="J344" i="1" a="1"/>
  <c r="C345" i="1" a="1"/>
  <c r="O345" i="1" s="1"/>
  <c r="N345" i="1" a="1"/>
  <c r="Q345" i="1" s="1"/>
  <c r="G346" i="1" a="1"/>
  <c r="J346" i="1" a="1"/>
  <c r="C347" i="1" a="1"/>
  <c r="O347" i="1" s="1"/>
  <c r="N347" i="1" a="1"/>
  <c r="Q347" i="1" s="1"/>
  <c r="G348" i="1" a="1"/>
  <c r="J348" i="1" a="1"/>
  <c r="C349" i="1" a="1"/>
  <c r="O349" i="1" s="1"/>
  <c r="N349" i="1" a="1"/>
  <c r="Q349" i="1" s="1"/>
  <c r="G350" i="1" a="1"/>
  <c r="J350" i="1" a="1"/>
  <c r="C351" i="1" a="1"/>
  <c r="O351" i="1" s="1"/>
  <c r="N351" i="1" a="1"/>
  <c r="Q351" i="1" s="1"/>
  <c r="G352" i="1" a="1"/>
  <c r="J352" i="1" a="1"/>
  <c r="C353" i="1" a="1"/>
  <c r="O353" i="1" s="1"/>
  <c r="N353" i="1" a="1"/>
  <c r="Q353" i="1" s="1"/>
  <c r="G354" i="1" a="1"/>
  <c r="J354" i="1" a="1"/>
  <c r="J347" i="1" a="1"/>
  <c r="N348" i="1" a="1"/>
  <c r="Q348" i="1" s="1"/>
  <c r="C350" i="1" a="1"/>
  <c r="O350" i="1" s="1"/>
  <c r="I351" i="1" a="1"/>
  <c r="I355" i="1" a="1"/>
  <c r="N356" i="1" a="1"/>
  <c r="Q356" i="1" s="1"/>
  <c r="G357" i="1" a="1"/>
  <c r="J357" i="1" a="1"/>
  <c r="C358" i="1" a="1"/>
  <c r="O358" i="1" s="1"/>
  <c r="N358" i="1" a="1"/>
  <c r="Q358" i="1" s="1"/>
  <c r="G359" i="1" a="1"/>
  <c r="J359" i="1" a="1"/>
  <c r="C360" i="1" a="1"/>
  <c r="O360" i="1" s="1"/>
  <c r="N360" i="1" a="1"/>
  <c r="Q360" i="1" s="1"/>
  <c r="G361" i="1" a="1"/>
  <c r="J361" i="1" a="1"/>
  <c r="C362" i="1" a="1"/>
  <c r="O362" i="1" s="1"/>
  <c r="N362" i="1" a="1"/>
  <c r="Q362" i="1" s="1"/>
  <c r="G363" i="1" a="1"/>
  <c r="J363" i="1" a="1"/>
  <c r="C364" i="1" a="1"/>
  <c r="O364" i="1" s="1"/>
  <c r="N364" i="1" a="1"/>
  <c r="Q364" i="1" s="1"/>
  <c r="G365" i="1" a="1"/>
  <c r="J365" i="1" a="1"/>
  <c r="C366" i="1" a="1"/>
  <c r="O366" i="1" s="1"/>
  <c r="N366" i="1" a="1"/>
  <c r="Q366" i="1" s="1"/>
  <c r="G367" i="1" a="1"/>
  <c r="J367" i="1" a="1"/>
  <c r="C368" i="1" a="1"/>
  <c r="O368" i="1" s="1"/>
  <c r="N368" i="1" a="1"/>
  <c r="Q368" i="1" s="1"/>
  <c r="G369" i="1" a="1"/>
  <c r="J369" i="1" a="1"/>
  <c r="C370" i="1" a="1"/>
  <c r="O370" i="1" s="1"/>
  <c r="N370" i="1" a="1"/>
  <c r="Q370" i="1" s="1"/>
  <c r="G371" i="1" a="1"/>
  <c r="J371" i="1" a="1"/>
  <c r="C372" i="1" a="1"/>
  <c r="O372" i="1" s="1"/>
  <c r="N372" i="1" a="1"/>
  <c r="Q372" i="1" s="1"/>
  <c r="G373" i="1" a="1"/>
  <c r="J373" i="1" a="1"/>
  <c r="C374" i="1" a="1"/>
  <c r="O374" i="1" s="1"/>
  <c r="N374" i="1" a="1"/>
  <c r="Q374" i="1" s="1"/>
  <c r="G375" i="1" a="1"/>
  <c r="J375" i="1" a="1"/>
  <c r="C376" i="1" a="1"/>
  <c r="O376" i="1" s="1"/>
  <c r="N376" i="1" a="1"/>
  <c r="Q376" i="1" s="1"/>
  <c r="G377" i="1" a="1"/>
  <c r="J377" i="1" a="1"/>
  <c r="C378" i="1" a="1"/>
  <c r="O378" i="1" s="1"/>
  <c r="N378" i="1" a="1"/>
  <c r="Q378" i="1" s="1"/>
  <c r="G379" i="1" a="1"/>
  <c r="J379" i="1" a="1"/>
  <c r="C380" i="1" a="1"/>
  <c r="O380" i="1" s="1"/>
  <c r="N380" i="1" a="1"/>
  <c r="Q380" i="1" s="1"/>
  <c r="G381" i="1" a="1"/>
  <c r="J381" i="1" a="1"/>
  <c r="C382" i="1" a="1"/>
  <c r="O382" i="1" s="1"/>
  <c r="N382" i="1" a="1"/>
  <c r="Q382" i="1" s="1"/>
  <c r="G383" i="1" a="1"/>
  <c r="J383" i="1" a="1"/>
  <c r="C384" i="1" a="1"/>
  <c r="O384" i="1" s="1"/>
  <c r="N384" i="1" a="1"/>
  <c r="Q384" i="1" s="1"/>
  <c r="G385" i="1" a="1"/>
  <c r="J385" i="1" a="1"/>
  <c r="C386" i="1" a="1"/>
  <c r="O386" i="1" s="1"/>
  <c r="L386" i="1" a="1"/>
  <c r="N386" i="1" a="1"/>
  <c r="Q386" i="1" s="1"/>
  <c r="G387" i="1" a="1"/>
  <c r="J387" i="1" a="1"/>
  <c r="C388" i="1" a="1"/>
  <c r="O388" i="1" s="1"/>
  <c r="L388" i="1" a="1"/>
  <c r="N388" i="1" a="1"/>
  <c r="Q388" i="1" s="1"/>
  <c r="F389" i="1" a="1"/>
  <c r="M389" i="1"/>
  <c r="C390" i="1" a="1"/>
  <c r="O390" i="1" s="1"/>
  <c r="I390" i="1" a="1"/>
  <c r="C392" i="1" a="1"/>
  <c r="O392" i="1" s="1"/>
  <c r="F392" i="1" a="1"/>
  <c r="J392" i="1" a="1"/>
  <c r="G345" i="1" a="1"/>
  <c r="J349" i="1" a="1"/>
  <c r="N350" i="1" a="1"/>
  <c r="Q350" i="1" s="1"/>
  <c r="F351" i="1" a="1"/>
  <c r="J351" i="1" a="1"/>
  <c r="C352" i="1" a="1"/>
  <c r="O352" i="1" s="1"/>
  <c r="I353" i="1" a="1"/>
  <c r="C355" i="1" a="1"/>
  <c r="O355" i="1" s="1"/>
  <c r="F355" i="1" a="1"/>
  <c r="J355" i="1" a="1"/>
  <c r="N355" i="1" a="1"/>
  <c r="Q355" i="1" s="1"/>
  <c r="M356" i="1"/>
  <c r="F358" i="1" a="1"/>
  <c r="I358" i="1" a="1"/>
  <c r="M358" i="1"/>
  <c r="F360" i="1" a="1"/>
  <c r="I360" i="1" a="1"/>
  <c r="M360" i="1"/>
  <c r="F362" i="1" a="1"/>
  <c r="I362" i="1" a="1"/>
  <c r="M362" i="1"/>
  <c r="F364" i="1" a="1"/>
  <c r="I364" i="1" a="1"/>
  <c r="M364" i="1"/>
  <c r="F366" i="1" a="1"/>
  <c r="I366" i="1" a="1"/>
  <c r="M366" i="1"/>
  <c r="F368" i="1" a="1"/>
  <c r="I368" i="1" a="1"/>
  <c r="M368" i="1"/>
  <c r="F370" i="1" a="1"/>
  <c r="I370" i="1" a="1"/>
  <c r="M370" i="1"/>
  <c r="F372" i="1" a="1"/>
  <c r="I372" i="1" a="1"/>
  <c r="M372" i="1"/>
  <c r="F374" i="1" a="1"/>
  <c r="I374" i="1" a="1"/>
  <c r="M374" i="1"/>
  <c r="F376" i="1" a="1"/>
  <c r="I376" i="1" a="1"/>
  <c r="M376" i="1"/>
  <c r="F378" i="1" a="1"/>
  <c r="I378" i="1" a="1"/>
  <c r="M378" i="1"/>
  <c r="F380" i="1" a="1"/>
  <c r="I380" i="1" a="1"/>
  <c r="M380" i="1"/>
  <c r="F382" i="1" a="1"/>
  <c r="I382" i="1" a="1"/>
  <c r="M382" i="1"/>
  <c r="F384" i="1" a="1"/>
  <c r="I384" i="1" a="1"/>
  <c r="M384" i="1"/>
  <c r="F386" i="1" a="1"/>
  <c r="I386" i="1" a="1"/>
  <c r="M386" i="1"/>
  <c r="F388" i="1" a="1"/>
  <c r="I388" i="1" a="1"/>
  <c r="M388" i="1"/>
  <c r="G389" i="1" a="1"/>
  <c r="J389" i="1" a="1"/>
  <c r="F390" i="1" a="1"/>
  <c r="J390" i="1" a="1"/>
  <c r="M390" i="1"/>
  <c r="G392" i="1" a="1"/>
  <c r="I393" i="1" a="1"/>
  <c r="L393" i="1" a="1"/>
  <c r="G394" i="1" a="1"/>
  <c r="C395" i="1" a="1"/>
  <c r="O395" i="1" s="1"/>
  <c r="F395" i="1" a="1"/>
  <c r="N344" i="1" a="1"/>
  <c r="Q344" i="1" s="1"/>
  <c r="C346" i="1" a="1"/>
  <c r="O346" i="1" s="1"/>
  <c r="G347" i="1" a="1"/>
  <c r="G351" i="1" a="1"/>
  <c r="M351" i="1"/>
  <c r="N352" i="1" a="1"/>
  <c r="Q352" i="1" s="1"/>
  <c r="F353" i="1" a="1"/>
  <c r="J353" i="1" a="1"/>
  <c r="C354" i="1" a="1"/>
  <c r="O354" i="1" s="1"/>
  <c r="G355" i="1" a="1"/>
  <c r="J356" i="1" a="1"/>
  <c r="C357" i="1" a="1"/>
  <c r="O357" i="1" s="1"/>
  <c r="N357" i="1" a="1"/>
  <c r="Q357" i="1" s="1"/>
  <c r="G358" i="1" a="1"/>
  <c r="J358" i="1" a="1"/>
  <c r="C359" i="1" a="1"/>
  <c r="O359" i="1" s="1"/>
  <c r="N359" i="1" a="1"/>
  <c r="Q359" i="1" s="1"/>
  <c r="G360" i="1" a="1"/>
  <c r="J360" i="1" a="1"/>
  <c r="C361" i="1" a="1"/>
  <c r="O361" i="1" s="1"/>
  <c r="N361" i="1" a="1"/>
  <c r="Q361" i="1" s="1"/>
  <c r="G362" i="1" a="1"/>
  <c r="J362" i="1" a="1"/>
  <c r="C363" i="1" a="1"/>
  <c r="O363" i="1" s="1"/>
  <c r="N363" i="1" a="1"/>
  <c r="Q363" i="1" s="1"/>
  <c r="G364" i="1" a="1"/>
  <c r="J364" i="1" a="1"/>
  <c r="C365" i="1" a="1"/>
  <c r="O365" i="1" s="1"/>
  <c r="N365" i="1" a="1"/>
  <c r="Q365" i="1" s="1"/>
  <c r="G366" i="1" a="1"/>
  <c r="J366" i="1" a="1"/>
  <c r="C367" i="1" a="1"/>
  <c r="O367" i="1" s="1"/>
  <c r="N367" i="1" a="1"/>
  <c r="Q367" i="1" s="1"/>
  <c r="G368" i="1" a="1"/>
  <c r="J368" i="1" a="1"/>
  <c r="C369" i="1" a="1"/>
  <c r="O369" i="1" s="1"/>
  <c r="N369" i="1" a="1"/>
  <c r="Q369" i="1" s="1"/>
  <c r="G370" i="1" a="1"/>
  <c r="J370" i="1" a="1"/>
  <c r="C371" i="1" a="1"/>
  <c r="O371" i="1" s="1"/>
  <c r="N371" i="1" a="1"/>
  <c r="Q371" i="1" s="1"/>
  <c r="G372" i="1" a="1"/>
  <c r="J372" i="1" a="1"/>
  <c r="C373" i="1" a="1"/>
  <c r="O373" i="1" s="1"/>
  <c r="N373" i="1" a="1"/>
  <c r="Q373" i="1" s="1"/>
  <c r="G374" i="1" a="1"/>
  <c r="J374" i="1" a="1"/>
  <c r="C375" i="1" a="1"/>
  <c r="O375" i="1" s="1"/>
  <c r="N375" i="1" a="1"/>
  <c r="Q375" i="1" s="1"/>
  <c r="G376" i="1" a="1"/>
  <c r="J376" i="1" a="1"/>
  <c r="C377" i="1" a="1"/>
  <c r="O377" i="1" s="1"/>
  <c r="N377" i="1" a="1"/>
  <c r="Q377" i="1" s="1"/>
  <c r="G378" i="1" a="1"/>
  <c r="J378" i="1" a="1"/>
  <c r="C379" i="1" a="1"/>
  <c r="O379" i="1" s="1"/>
  <c r="N379" i="1" a="1"/>
  <c r="Q379" i="1" s="1"/>
  <c r="G380" i="1" a="1"/>
  <c r="J380" i="1" a="1"/>
  <c r="C381" i="1" a="1"/>
  <c r="O381" i="1" s="1"/>
  <c r="N381" i="1" a="1"/>
  <c r="Q381" i="1" s="1"/>
  <c r="G382" i="1" a="1"/>
  <c r="J382" i="1" a="1"/>
  <c r="C383" i="1" a="1"/>
  <c r="O383" i="1" s="1"/>
  <c r="N383" i="1" a="1"/>
  <c r="Q383" i="1" s="1"/>
  <c r="G384" i="1" a="1"/>
  <c r="J384" i="1" a="1"/>
  <c r="C385" i="1" a="1"/>
  <c r="O385" i="1" s="1"/>
  <c r="N385" i="1" a="1"/>
  <c r="Q385" i="1" s="1"/>
  <c r="J345" i="1" a="1"/>
  <c r="N346" i="1" a="1"/>
  <c r="Q346" i="1" s="1"/>
  <c r="C348" i="1" a="1"/>
  <c r="O348" i="1" s="1"/>
  <c r="G349" i="1" a="1"/>
  <c r="G353" i="1" a="1"/>
  <c r="M353" i="1"/>
  <c r="N354" i="1" a="1"/>
  <c r="Q354" i="1" s="1"/>
  <c r="M355" i="1"/>
  <c r="C356" i="1" a="1"/>
  <c r="O356" i="1" s="1"/>
  <c r="G356" i="1" a="1"/>
  <c r="F357" i="1" a="1"/>
  <c r="I357" i="1" a="1"/>
  <c r="M357" i="1"/>
  <c r="F359" i="1" a="1"/>
  <c r="I359" i="1" a="1"/>
  <c r="M359" i="1"/>
  <c r="F361" i="1" a="1"/>
  <c r="I361" i="1" a="1"/>
  <c r="M361" i="1"/>
  <c r="F363" i="1" a="1"/>
  <c r="I363" i="1" a="1"/>
  <c r="M363" i="1"/>
  <c r="F365" i="1" a="1"/>
  <c r="I365" i="1" a="1"/>
  <c r="M365" i="1"/>
  <c r="F367" i="1" a="1"/>
  <c r="I367" i="1" a="1"/>
  <c r="M367" i="1"/>
  <c r="F369" i="1" a="1"/>
  <c r="I369" i="1" a="1"/>
  <c r="M369" i="1"/>
  <c r="F371" i="1" a="1"/>
  <c r="I371" i="1" a="1"/>
  <c r="M371" i="1"/>
  <c r="F373" i="1" a="1"/>
  <c r="I373" i="1" a="1"/>
  <c r="M373" i="1"/>
  <c r="F375" i="1" a="1"/>
  <c r="I375" i="1" a="1"/>
  <c r="M375" i="1"/>
  <c r="F377" i="1" a="1"/>
  <c r="I377" i="1" a="1"/>
  <c r="M377" i="1"/>
  <c r="F379" i="1" a="1"/>
  <c r="I379" i="1" a="1"/>
  <c r="M379" i="1"/>
  <c r="F381" i="1" a="1"/>
  <c r="I381" i="1" a="1"/>
  <c r="M381" i="1"/>
  <c r="F383" i="1" a="1"/>
  <c r="I383" i="1" a="1"/>
  <c r="M383" i="1"/>
  <c r="F385" i="1" a="1"/>
  <c r="I385" i="1" a="1"/>
  <c r="M385" i="1"/>
  <c r="F387" i="1" a="1"/>
  <c r="I387" i="1" a="1"/>
  <c r="M387" i="1"/>
  <c r="I389" i="1" a="1"/>
  <c r="L389" i="1" a="1"/>
  <c r="L390" i="1" a="1"/>
  <c r="N390" i="1" a="1"/>
  <c r="Q390" i="1" s="1"/>
  <c r="G391" i="1" a="1"/>
  <c r="J391" i="1" a="1"/>
  <c r="M391" i="1"/>
  <c r="I392" i="1" a="1"/>
  <c r="L392" i="1" a="1"/>
  <c r="G393" i="1" a="1"/>
  <c r="J393" i="1" a="1"/>
  <c r="F394" i="1" a="1"/>
  <c r="I394" i="1" a="1"/>
  <c r="C396" i="1" a="1"/>
  <c r="O396" i="1" s="1"/>
  <c r="F396" i="1" a="1"/>
  <c r="J396" i="1" a="1"/>
  <c r="I397" i="1" a="1"/>
  <c r="L397" i="1" a="1"/>
  <c r="N397" i="1" a="1"/>
  <c r="Q397" i="1" s="1"/>
  <c r="L398" i="1" a="1"/>
  <c r="N398" i="1" a="1"/>
  <c r="Q398" i="1" s="1"/>
  <c r="G400" i="1" a="1"/>
  <c r="C387" i="1" a="1"/>
  <c r="O387" i="1" s="1"/>
  <c r="L387" i="1" a="1"/>
  <c r="G388" i="1" a="1"/>
  <c r="F391" i="1" a="1"/>
  <c r="N391" i="1" a="1"/>
  <c r="Q391" i="1" s="1"/>
  <c r="C393" i="1" a="1"/>
  <c r="O393" i="1" s="1"/>
  <c r="F393" i="1" a="1"/>
  <c r="M393" i="1"/>
  <c r="N394" i="1" a="1"/>
  <c r="Q394" i="1" s="1"/>
  <c r="J395" i="1" a="1"/>
  <c r="I396" i="1" a="1"/>
  <c r="N396" i="1" a="1"/>
  <c r="Q396" i="1" s="1"/>
  <c r="M397" i="1"/>
  <c r="C398" i="1" a="1"/>
  <c r="O398" i="1" s="1"/>
  <c r="F398" i="1" a="1"/>
  <c r="J398" i="1" a="1"/>
  <c r="G399" i="1" a="1"/>
  <c r="J399" i="1" a="1"/>
  <c r="I400" i="1" a="1"/>
  <c r="M400" i="1"/>
  <c r="I401" i="1" a="1"/>
  <c r="L401" i="1" a="1"/>
  <c r="N401" i="1" a="1"/>
  <c r="Q401" i="1" s="1"/>
  <c r="L402" i="1" a="1"/>
  <c r="G403" i="1" a="1"/>
  <c r="J403" i="1" a="1"/>
  <c r="G404" i="1" a="1"/>
  <c r="G405" i="1" a="1"/>
  <c r="M405" i="1"/>
  <c r="C406" i="1" a="1"/>
  <c r="O406" i="1" s="1"/>
  <c r="C407" i="1" a="1"/>
  <c r="O407" i="1" s="1"/>
  <c r="F407" i="1" a="1"/>
  <c r="L407" i="1" a="1"/>
  <c r="N407" i="1" a="1"/>
  <c r="Q407" i="1" s="1"/>
  <c r="G408" i="1" a="1"/>
  <c r="N408" i="1" a="1"/>
  <c r="Q408" i="1" s="1"/>
  <c r="G409" i="1" a="1"/>
  <c r="N409" i="1" a="1"/>
  <c r="Q409" i="1" s="1"/>
  <c r="J410" i="1" a="1"/>
  <c r="C411" i="1" a="1"/>
  <c r="O411" i="1" s="1"/>
  <c r="F411" i="1" a="1"/>
  <c r="I411" i="1" a="1"/>
  <c r="M411" i="1"/>
  <c r="L412" i="1" a="1"/>
  <c r="G413" i="1" a="1"/>
  <c r="N413" i="1" a="1"/>
  <c r="Q413" i="1" s="1"/>
  <c r="J414" i="1" a="1"/>
  <c r="C415" i="1" a="1"/>
  <c r="O415" i="1" s="1"/>
  <c r="F415" i="1" a="1"/>
  <c r="I415" i="1" a="1"/>
  <c r="M415" i="1"/>
  <c r="L416" i="1" a="1"/>
  <c r="G417" i="1" a="1"/>
  <c r="N417" i="1" a="1"/>
  <c r="Q417" i="1" s="1"/>
  <c r="J418" i="1" a="1"/>
  <c r="C419" i="1" a="1"/>
  <c r="O419" i="1" s="1"/>
  <c r="F419" i="1" a="1"/>
  <c r="I419" i="1" a="1"/>
  <c r="M419" i="1"/>
  <c r="L420" i="1" a="1"/>
  <c r="L421" i="1" a="1"/>
  <c r="I422" i="1" a="1"/>
  <c r="M422" i="1"/>
  <c r="C423" i="1" a="1"/>
  <c r="O423" i="1" s="1"/>
  <c r="F423" i="1" a="1"/>
  <c r="J423" i="1" a="1"/>
  <c r="G424" i="1" a="1"/>
  <c r="N424" i="1" a="1"/>
  <c r="Q424" i="1" s="1"/>
  <c r="L425" i="1" a="1"/>
  <c r="I426" i="1" a="1"/>
  <c r="M426" i="1"/>
  <c r="C427" i="1" a="1"/>
  <c r="O427" i="1" s="1"/>
  <c r="F427" i="1" a="1"/>
  <c r="J427" i="1" a="1"/>
  <c r="G428" i="1" a="1"/>
  <c r="N428" i="1" a="1"/>
  <c r="Q428" i="1" s="1"/>
  <c r="L429" i="1" a="1"/>
  <c r="L430" i="1" a="1"/>
  <c r="L431" i="1" a="1"/>
  <c r="L432" i="1" a="1"/>
  <c r="L433" i="1" a="1"/>
  <c r="I434" i="1" a="1"/>
  <c r="M434" i="1"/>
  <c r="C435" i="1" a="1"/>
  <c r="O435" i="1" s="1"/>
  <c r="F435" i="1" a="1"/>
  <c r="J435" i="1" a="1"/>
  <c r="G436" i="1" a="1"/>
  <c r="G438" i="1" a="1"/>
  <c r="J438" i="1" a="1"/>
  <c r="G439" i="1" a="1"/>
  <c r="J439" i="1" a="1"/>
  <c r="G440" i="1" a="1"/>
  <c r="J440" i="1" a="1"/>
  <c r="N441" i="1" a="1"/>
  <c r="Q441" i="1" s="1"/>
  <c r="G442" i="1" a="1"/>
  <c r="N442" i="1" a="1"/>
  <c r="Q442" i="1" s="1"/>
  <c r="L443" i="1" a="1"/>
  <c r="J386" i="1" a="1"/>
  <c r="N387" i="1" a="1"/>
  <c r="Q387" i="1" s="1"/>
  <c r="C389" i="1" a="1"/>
  <c r="O389" i="1" s="1"/>
  <c r="G390" i="1" a="1"/>
  <c r="M392" i="1"/>
  <c r="N393" i="1" a="1"/>
  <c r="Q393" i="1" s="1"/>
  <c r="J394" i="1" a="1"/>
  <c r="G395" i="1" a="1"/>
  <c r="N395" i="1" a="1"/>
  <c r="Q395" i="1" s="1"/>
  <c r="J397" i="1" a="1"/>
  <c r="G398" i="1" a="1"/>
  <c r="N399" i="1" a="1"/>
  <c r="Q399" i="1" s="1"/>
  <c r="J400" i="1" a="1"/>
  <c r="N400" i="1" a="1"/>
  <c r="Q400" i="1" s="1"/>
  <c r="F401" i="1" a="1"/>
  <c r="J401" i="1" a="1"/>
  <c r="M401" i="1"/>
  <c r="I402" i="1" a="1"/>
  <c r="M402" i="1"/>
  <c r="C403" i="1" a="1"/>
  <c r="O403" i="1" s="1"/>
  <c r="N403" i="1" a="1"/>
  <c r="Q403" i="1" s="1"/>
  <c r="N404" i="1" a="1"/>
  <c r="Q404" i="1" s="1"/>
  <c r="J405" i="1" a="1"/>
  <c r="F406" i="1" a="1"/>
  <c r="I406" i="1" a="1"/>
  <c r="L406" i="1" a="1"/>
  <c r="N406" i="1" a="1"/>
  <c r="Q406" i="1" s="1"/>
  <c r="G407" i="1" a="1"/>
  <c r="J407" i="1" a="1"/>
  <c r="M407" i="1"/>
  <c r="L408" i="1" a="1"/>
  <c r="L409" i="1" a="1"/>
  <c r="G410" i="1" a="1"/>
  <c r="N410" i="1" a="1"/>
  <c r="Q410" i="1" s="1"/>
  <c r="J411" i="1" a="1"/>
  <c r="C412" i="1" a="1"/>
  <c r="O412" i="1" s="1"/>
  <c r="F412" i="1" a="1"/>
  <c r="I412" i="1" a="1"/>
  <c r="M412" i="1"/>
  <c r="L413" i="1" a="1"/>
  <c r="G414" i="1" a="1"/>
  <c r="N414" i="1" a="1"/>
  <c r="Q414" i="1" s="1"/>
  <c r="J415" i="1" a="1"/>
  <c r="C416" i="1" a="1"/>
  <c r="O416" i="1" s="1"/>
  <c r="F416" i="1" a="1"/>
  <c r="I416" i="1" a="1"/>
  <c r="M416" i="1"/>
  <c r="L417" i="1" a="1"/>
  <c r="G418" i="1" a="1"/>
  <c r="N418" i="1" a="1"/>
  <c r="Q418" i="1" s="1"/>
  <c r="J419" i="1" a="1"/>
  <c r="C420" i="1" a="1"/>
  <c r="O420" i="1" s="1"/>
  <c r="F420" i="1" a="1"/>
  <c r="I420" i="1" a="1"/>
  <c r="M420" i="1"/>
  <c r="I421" i="1" a="1"/>
  <c r="M421" i="1"/>
  <c r="C422" i="1" a="1"/>
  <c r="O422" i="1" s="1"/>
  <c r="F422" i="1" a="1"/>
  <c r="J422" i="1" a="1"/>
  <c r="G423" i="1" a="1"/>
  <c r="N423" i="1" a="1"/>
  <c r="Q423" i="1" s="1"/>
  <c r="L424" i="1" a="1"/>
  <c r="I425" i="1" a="1"/>
  <c r="M425" i="1"/>
  <c r="C426" i="1" a="1"/>
  <c r="O426" i="1" s="1"/>
  <c r="F426" i="1" a="1"/>
  <c r="J426" i="1" a="1"/>
  <c r="G427" i="1" a="1"/>
  <c r="N427" i="1" a="1"/>
  <c r="Q427" i="1" s="1"/>
  <c r="L428" i="1" a="1"/>
  <c r="I429" i="1" a="1"/>
  <c r="M429" i="1"/>
  <c r="I430" i="1" a="1"/>
  <c r="M430" i="1"/>
  <c r="C431" i="1" a="1"/>
  <c r="O431" i="1" s="1"/>
  <c r="F431" i="1" a="1"/>
  <c r="I431" i="1" a="1"/>
  <c r="M431" i="1"/>
  <c r="I432" i="1" a="1"/>
  <c r="M432" i="1"/>
  <c r="C433" i="1" a="1"/>
  <c r="O433" i="1" s="1"/>
  <c r="F433" i="1" a="1"/>
  <c r="I433" i="1" a="1"/>
  <c r="M433" i="1"/>
  <c r="C434" i="1" a="1"/>
  <c r="O434" i="1" s="1"/>
  <c r="F434" i="1" a="1"/>
  <c r="J434" i="1" a="1"/>
  <c r="G435" i="1" a="1"/>
  <c r="N435" i="1" a="1"/>
  <c r="Q435" i="1" s="1"/>
  <c r="L436" i="1" a="1"/>
  <c r="N436" i="1" a="1"/>
  <c r="Q436" i="1" s="1"/>
  <c r="F437" i="1" a="1"/>
  <c r="C438" i="1" a="1"/>
  <c r="O438" i="1" s="1"/>
  <c r="C439" i="1" a="1"/>
  <c r="O439" i="1" s="1"/>
  <c r="C440" i="1" a="1"/>
  <c r="O440" i="1" s="1"/>
  <c r="C441" i="1" a="1"/>
  <c r="O441" i="1" s="1"/>
  <c r="L441" i="1" a="1"/>
  <c r="L442" i="1" a="1"/>
  <c r="I443" i="1" a="1"/>
  <c r="M443" i="1"/>
  <c r="C444" i="1" a="1"/>
  <c r="O444" i="1" s="1"/>
  <c r="F444" i="1" a="1"/>
  <c r="J444" i="1" a="1"/>
  <c r="G445" i="1" a="1"/>
  <c r="N445" i="1" a="1"/>
  <c r="Q445" i="1" s="1"/>
  <c r="L446" i="1" a="1"/>
  <c r="I447" i="1" a="1"/>
  <c r="M447" i="1"/>
  <c r="C448" i="1" a="1"/>
  <c r="O448" i="1" s="1"/>
  <c r="F448" i="1" a="1"/>
  <c r="J448" i="1" a="1"/>
  <c r="G449" i="1" a="1"/>
  <c r="N449" i="1" a="1"/>
  <c r="Q449" i="1" s="1"/>
  <c r="L450" i="1" a="1"/>
  <c r="J388" i="1" a="1"/>
  <c r="N389" i="1" a="1"/>
  <c r="Q389" i="1" s="1"/>
  <c r="C391" i="1" a="1"/>
  <c r="O391" i="1" s="1"/>
  <c r="I391" i="1" a="1"/>
  <c r="N392" i="1" a="1"/>
  <c r="Q392" i="1" s="1"/>
  <c r="L394" i="1" a="1"/>
  <c r="L395" i="1" a="1"/>
  <c r="G396" i="1" a="1"/>
  <c r="L396" i="1" a="1"/>
  <c r="C397" i="1" a="1"/>
  <c r="O397" i="1" s="1"/>
  <c r="F397" i="1" a="1"/>
  <c r="L399" i="1" a="1"/>
  <c r="F400" i="1" a="1"/>
  <c r="G401" i="1" a="1"/>
  <c r="C402" i="1" a="1"/>
  <c r="O402" i="1" s="1"/>
  <c r="F402" i="1" a="1"/>
  <c r="J402" i="1" a="1"/>
  <c r="L403" i="1" a="1"/>
  <c r="I404" i="1" a="1"/>
  <c r="L404" i="1" a="1"/>
  <c r="N405" i="1" a="1"/>
  <c r="Q405" i="1" s="1"/>
  <c r="J406" i="1" a="1"/>
  <c r="C408" i="1" a="1"/>
  <c r="O408" i="1" s="1"/>
  <c r="F408" i="1" a="1"/>
  <c r="I408" i="1" a="1"/>
  <c r="M408" i="1"/>
  <c r="C409" i="1" a="1"/>
  <c r="O409" i="1" s="1"/>
  <c r="I409" i="1" a="1"/>
  <c r="M409" i="1"/>
  <c r="L410" i="1" a="1"/>
  <c r="G411" i="1" a="1"/>
  <c r="N411" i="1" a="1"/>
  <c r="Q411" i="1" s="1"/>
  <c r="J412" i="1" a="1"/>
  <c r="C413" i="1" a="1"/>
  <c r="O413" i="1" s="1"/>
  <c r="F413" i="1" a="1"/>
  <c r="I413" i="1" a="1"/>
  <c r="M413" i="1"/>
  <c r="L414" i="1" a="1"/>
  <c r="G415" i="1" a="1"/>
  <c r="N415" i="1" a="1"/>
  <c r="Q415" i="1" s="1"/>
  <c r="J416" i="1" a="1"/>
  <c r="C417" i="1" a="1"/>
  <c r="O417" i="1" s="1"/>
  <c r="F417" i="1" a="1"/>
  <c r="I417" i="1" a="1"/>
  <c r="M417" i="1"/>
  <c r="L418" i="1" a="1"/>
  <c r="G419" i="1" a="1"/>
  <c r="N419" i="1" a="1"/>
  <c r="Q419" i="1" s="1"/>
  <c r="J420" i="1" a="1"/>
  <c r="C421" i="1" a="1"/>
  <c r="O421" i="1" s="1"/>
  <c r="F421" i="1" a="1"/>
  <c r="J421" i="1" a="1"/>
  <c r="G422" i="1" a="1"/>
  <c r="N422" i="1" a="1"/>
  <c r="Q422" i="1" s="1"/>
  <c r="L423" i="1" a="1"/>
  <c r="I424" i="1" a="1"/>
  <c r="M424" i="1"/>
  <c r="C425" i="1" a="1"/>
  <c r="O425" i="1" s="1"/>
  <c r="F425" i="1" a="1"/>
  <c r="J425" i="1" a="1"/>
  <c r="G426" i="1" a="1"/>
  <c r="N426" i="1" a="1"/>
  <c r="Q426" i="1" s="1"/>
  <c r="L427" i="1" a="1"/>
  <c r="I428" i="1" a="1"/>
  <c r="M428" i="1"/>
  <c r="C429" i="1" a="1"/>
  <c r="O429" i="1" s="1"/>
  <c r="F429" i="1" a="1"/>
  <c r="J429" i="1" a="1"/>
  <c r="C430" i="1" a="1"/>
  <c r="O430" i="1" s="1"/>
  <c r="F430" i="1" a="1"/>
  <c r="J430" i="1" a="1"/>
  <c r="J431" i="1" a="1"/>
  <c r="C432" i="1" a="1"/>
  <c r="O432" i="1" s="1"/>
  <c r="F432" i="1" a="1"/>
  <c r="J432" i="1" a="1"/>
  <c r="J433" i="1" a="1"/>
  <c r="G434" i="1" a="1"/>
  <c r="N434" i="1" a="1"/>
  <c r="Q434" i="1" s="1"/>
  <c r="L435" i="1" a="1"/>
  <c r="I436" i="1" a="1"/>
  <c r="I437" i="1" a="1"/>
  <c r="L437" i="1" a="1"/>
  <c r="N437" i="1" a="1"/>
  <c r="Q437" i="1" s="1"/>
  <c r="F438" i="1" a="1"/>
  <c r="L438" i="1" a="1"/>
  <c r="N438" i="1" a="1"/>
  <c r="Q438" i="1" s="1"/>
  <c r="F439" i="1" a="1"/>
  <c r="L439" i="1" a="1"/>
  <c r="N439" i="1" a="1"/>
  <c r="Q439" i="1" s="1"/>
  <c r="F440" i="1" a="1"/>
  <c r="L440" i="1" a="1"/>
  <c r="N440" i="1" a="1"/>
  <c r="Q440" i="1" s="1"/>
  <c r="F441" i="1" a="1"/>
  <c r="I441" i="1" a="1"/>
  <c r="M441" i="1"/>
  <c r="I442" i="1" a="1"/>
  <c r="M442" i="1"/>
  <c r="C443" i="1" a="1"/>
  <c r="O443" i="1" s="1"/>
  <c r="F443" i="1" a="1"/>
  <c r="J443" i="1" a="1"/>
  <c r="G444" i="1" a="1"/>
  <c r="N444" i="1" a="1"/>
  <c r="Q444" i="1" s="1"/>
  <c r="G386" i="1" a="1"/>
  <c r="L391" i="1" a="1"/>
  <c r="C394" i="1" a="1"/>
  <c r="O394" i="1" s="1"/>
  <c r="M394" i="1"/>
  <c r="I395" i="1" a="1"/>
  <c r="M395" i="1"/>
  <c r="M396" i="1"/>
  <c r="G397" i="1" a="1"/>
  <c r="I398" i="1" a="1"/>
  <c r="M398" i="1"/>
  <c r="C399" i="1" a="1"/>
  <c r="O399" i="1" s="1"/>
  <c r="F399" i="1" a="1"/>
  <c r="I399" i="1" a="1"/>
  <c r="M399" i="1"/>
  <c r="C400" i="1" a="1"/>
  <c r="O400" i="1" s="1"/>
  <c r="L400" i="1" a="1"/>
  <c r="C401" i="1" a="1"/>
  <c r="O401" i="1" s="1"/>
  <c r="G402" i="1" a="1"/>
  <c r="N402" i="1" a="1"/>
  <c r="Q402" i="1" s="1"/>
  <c r="F403" i="1" a="1"/>
  <c r="I403" i="1" a="1"/>
  <c r="M403" i="1"/>
  <c r="C404" i="1" a="1"/>
  <c r="O404" i="1" s="1"/>
  <c r="F404" i="1" a="1"/>
  <c r="J404" i="1" a="1"/>
  <c r="M404" i="1"/>
  <c r="C405" i="1" a="1"/>
  <c r="O405" i="1" s="1"/>
  <c r="F405" i="1" a="1"/>
  <c r="I405" i="1" a="1"/>
  <c r="L405" i="1" a="1"/>
  <c r="G406" i="1" a="1"/>
  <c r="M406" i="1"/>
  <c r="I407" i="1" a="1"/>
  <c r="J408" i="1" a="1"/>
  <c r="F409" i="1" a="1"/>
  <c r="J409" i="1" a="1"/>
  <c r="C410" i="1" a="1"/>
  <c r="O410" i="1" s="1"/>
  <c r="F410" i="1" a="1"/>
  <c r="I410" i="1" a="1"/>
  <c r="M410" i="1"/>
  <c r="L411" i="1" a="1"/>
  <c r="G412" i="1" a="1"/>
  <c r="N412" i="1" a="1"/>
  <c r="Q412" i="1" s="1"/>
  <c r="J413" i="1" a="1"/>
  <c r="C414" i="1" a="1"/>
  <c r="O414" i="1" s="1"/>
  <c r="F414" i="1" a="1"/>
  <c r="I414" i="1" a="1"/>
  <c r="M414" i="1"/>
  <c r="L415" i="1" a="1"/>
  <c r="G416" i="1" a="1"/>
  <c r="N416" i="1" a="1"/>
  <c r="Q416" i="1" s="1"/>
  <c r="J417" i="1" a="1"/>
  <c r="C418" i="1" a="1"/>
  <c r="O418" i="1" s="1"/>
  <c r="F418" i="1" a="1"/>
  <c r="I418" i="1" a="1"/>
  <c r="M418" i="1"/>
  <c r="L419" i="1" a="1"/>
  <c r="G420" i="1" a="1"/>
  <c r="N420" i="1" a="1"/>
  <c r="Q420" i="1" s="1"/>
  <c r="G421" i="1" a="1"/>
  <c r="N421" i="1" a="1"/>
  <c r="Q421" i="1" s="1"/>
  <c r="L422" i="1" a="1"/>
  <c r="I423" i="1" a="1"/>
  <c r="M423" i="1"/>
  <c r="C424" i="1" a="1"/>
  <c r="O424" i="1" s="1"/>
  <c r="F424" i="1" a="1"/>
  <c r="J424" i="1" a="1"/>
  <c r="G425" i="1" a="1"/>
  <c r="N425" i="1" a="1"/>
  <c r="Q425" i="1" s="1"/>
  <c r="L426" i="1" a="1"/>
  <c r="I427" i="1" a="1"/>
  <c r="M427" i="1"/>
  <c r="C428" i="1" a="1"/>
  <c r="O428" i="1" s="1"/>
  <c r="F428" i="1" a="1"/>
  <c r="J428" i="1" a="1"/>
  <c r="G429" i="1" a="1"/>
  <c r="N429" i="1" a="1"/>
  <c r="Q429" i="1" s="1"/>
  <c r="G430" i="1" a="1"/>
  <c r="N430" i="1" a="1"/>
  <c r="Q430" i="1" s="1"/>
  <c r="G431" i="1" a="1"/>
  <c r="N431" i="1" a="1"/>
  <c r="Q431" i="1" s="1"/>
  <c r="G432" i="1" a="1"/>
  <c r="N432" i="1" a="1"/>
  <c r="Q432" i="1" s="1"/>
  <c r="G433" i="1" a="1"/>
  <c r="N433" i="1" a="1"/>
  <c r="Q433" i="1" s="1"/>
  <c r="L434" i="1" a="1"/>
  <c r="I435" i="1" a="1"/>
  <c r="M435" i="1"/>
  <c r="C436" i="1" a="1"/>
  <c r="O436" i="1" s="1"/>
  <c r="F436" i="1" a="1"/>
  <c r="J436" i="1" a="1"/>
  <c r="M436" i="1"/>
  <c r="C437" i="1" a="1"/>
  <c r="O437" i="1" s="1"/>
  <c r="G437" i="1" a="1"/>
  <c r="J437" i="1" a="1"/>
  <c r="M437" i="1"/>
  <c r="I438" i="1" a="1"/>
  <c r="M438" i="1"/>
  <c r="I439" i="1" a="1"/>
  <c r="M439" i="1"/>
  <c r="I440" i="1" a="1"/>
  <c r="M440" i="1"/>
  <c r="G441" i="1" a="1"/>
  <c r="J441" i="1" a="1"/>
  <c r="C442" i="1" a="1"/>
  <c r="O442" i="1" s="1"/>
  <c r="F442" i="1" a="1"/>
  <c r="J442" i="1" a="1"/>
  <c r="G443" i="1" a="1"/>
  <c r="N443" i="1" a="1"/>
  <c r="Q443" i="1" s="1"/>
  <c r="L444" i="1" a="1"/>
  <c r="I445" i="1" a="1"/>
  <c r="M445" i="1"/>
  <c r="C446" i="1" a="1"/>
  <c r="O446" i="1" s="1"/>
  <c r="F446" i="1" a="1"/>
  <c r="J446" i="1" a="1"/>
  <c r="G447" i="1" a="1"/>
  <c r="N447" i="1" a="1"/>
  <c r="Q447" i="1" s="1"/>
  <c r="L448" i="1" a="1"/>
  <c r="G446" i="1" a="1"/>
  <c r="M446" i="1"/>
  <c r="L447" i="1" a="1"/>
  <c r="I448" i="1" a="1"/>
  <c r="M449" i="1"/>
  <c r="G450" i="1" a="1"/>
  <c r="I451" i="1" a="1"/>
  <c r="M451" i="1"/>
  <c r="C452" i="1" a="1"/>
  <c r="O452" i="1" s="1"/>
  <c r="F452" i="1" a="1"/>
  <c r="J452" i="1" a="1"/>
  <c r="G453" i="1" a="1"/>
  <c r="N453" i="1" a="1"/>
  <c r="Q453" i="1" s="1"/>
  <c r="L454" i="1" a="1"/>
  <c r="I455" i="1" a="1"/>
  <c r="M455" i="1"/>
  <c r="C456" i="1" a="1"/>
  <c r="O456" i="1" s="1"/>
  <c r="F456" i="1" a="1"/>
  <c r="J456" i="1" a="1"/>
  <c r="G457" i="1" a="1"/>
  <c r="N457" i="1" a="1"/>
  <c r="Q457" i="1" s="1"/>
  <c r="L458" i="1" a="1"/>
  <c r="I459" i="1" a="1"/>
  <c r="M459" i="1"/>
  <c r="C460" i="1" a="1"/>
  <c r="O460" i="1" s="1"/>
  <c r="F460" i="1" a="1"/>
  <c r="J460" i="1" a="1"/>
  <c r="G461" i="1" a="1"/>
  <c r="N461" i="1" a="1"/>
  <c r="Q461" i="1" s="1"/>
  <c r="L462" i="1" a="1"/>
  <c r="I463" i="1" a="1"/>
  <c r="M463" i="1"/>
  <c r="C464" i="1" a="1"/>
  <c r="F464" i="1" a="1"/>
  <c r="J464" i="1" a="1"/>
  <c r="G465" i="1" a="1"/>
  <c r="N465" i="1" a="1"/>
  <c r="Q465" i="1" s="1"/>
  <c r="L466" i="1" a="1"/>
  <c r="I467" i="1" a="1"/>
  <c r="M467" i="1"/>
  <c r="C468" i="1" a="1"/>
  <c r="F468" i="1" a="1"/>
  <c r="J468" i="1" a="1"/>
  <c r="G469" i="1" a="1"/>
  <c r="N469" i="1" a="1"/>
  <c r="Q469" i="1" s="1"/>
  <c r="L470" i="1" a="1"/>
  <c r="I471" i="1" a="1"/>
  <c r="M471" i="1"/>
  <c r="C472" i="1" a="1"/>
  <c r="F472" i="1" a="1"/>
  <c r="J472" i="1" a="1"/>
  <c r="G473" i="1" a="1"/>
  <c r="N473" i="1" a="1"/>
  <c r="Q473" i="1" s="1"/>
  <c r="L474" i="1" a="1"/>
  <c r="I475" i="1" a="1"/>
  <c r="M475" i="1"/>
  <c r="C476" i="1" a="1"/>
  <c r="F476" i="1" a="1"/>
  <c r="J476" i="1" a="1"/>
  <c r="G477" i="1" a="1"/>
  <c r="N477" i="1" a="1"/>
  <c r="Q477" i="1" s="1"/>
  <c r="L478" i="1" a="1"/>
  <c r="I479" i="1" a="1"/>
  <c r="M479" i="1"/>
  <c r="C480" i="1" a="1"/>
  <c r="F480" i="1" a="1"/>
  <c r="J480" i="1" a="1"/>
  <c r="G481" i="1" a="1"/>
  <c r="N481" i="1" a="1"/>
  <c r="Q481" i="1" s="1"/>
  <c r="L482" i="1" a="1"/>
  <c r="I483" i="1" a="1"/>
  <c r="M483" i="1"/>
  <c r="C484" i="1" a="1"/>
  <c r="F484" i="1" a="1"/>
  <c r="I484" i="1" a="1"/>
  <c r="M484" i="1"/>
  <c r="I485" i="1" a="1"/>
  <c r="M485" i="1"/>
  <c r="C486" i="1" a="1"/>
  <c r="F486" i="1" a="1"/>
  <c r="I486" i="1" a="1"/>
  <c r="M486" i="1"/>
  <c r="I487" i="1" a="1"/>
  <c r="M487" i="1"/>
  <c r="C488" i="1" a="1"/>
  <c r="F488" i="1" a="1"/>
  <c r="I488" i="1" a="1"/>
  <c r="M488" i="1"/>
  <c r="I489" i="1" a="1"/>
  <c r="M489" i="1"/>
  <c r="L490" i="1" a="1"/>
  <c r="G491" i="1" a="1"/>
  <c r="N491" i="1" a="1"/>
  <c r="Q491" i="1" s="1"/>
  <c r="G492" i="1" a="1"/>
  <c r="N492" i="1" a="1"/>
  <c r="Q492" i="1" s="1"/>
  <c r="L493" i="1" a="1"/>
  <c r="I494" i="1" a="1"/>
  <c r="M494" i="1"/>
  <c r="C495" i="1" a="1"/>
  <c r="F495" i="1" a="1"/>
  <c r="J495" i="1" a="1"/>
  <c r="G496" i="1" a="1"/>
  <c r="N496" i="1" a="1"/>
  <c r="Q496" i="1" s="1"/>
  <c r="L497" i="1" a="1"/>
  <c r="I498" i="1" a="1"/>
  <c r="M498" i="1"/>
  <c r="C499" i="1" a="1"/>
  <c r="F499" i="1" a="1"/>
  <c r="J499" i="1" a="1"/>
  <c r="G500" i="1" a="1"/>
  <c r="N500" i="1" a="1"/>
  <c r="Q500" i="1" s="1"/>
  <c r="L501" i="1" a="1"/>
  <c r="I502" i="1" a="1"/>
  <c r="M502" i="1"/>
  <c r="C503" i="1" a="1"/>
  <c r="F503" i="1" a="1"/>
  <c r="J503" i="1" a="1"/>
  <c r="G504" i="1" a="1"/>
  <c r="N504" i="1" a="1"/>
  <c r="Q504" i="1" s="1"/>
  <c r="L505" i="1" a="1"/>
  <c r="I506" i="1" a="1"/>
  <c r="M506" i="1"/>
  <c r="C507" i="1" a="1"/>
  <c r="F507" i="1" a="1"/>
  <c r="J507" i="1" a="1"/>
  <c r="G508" i="1" a="1"/>
  <c r="N508" i="1" a="1"/>
  <c r="Q508" i="1" s="1"/>
  <c r="L509" i="1" a="1"/>
  <c r="I510" i="1" a="1"/>
  <c r="M510" i="1"/>
  <c r="C511" i="1" a="1"/>
  <c r="F511" i="1" a="1"/>
  <c r="J511" i="1" a="1"/>
  <c r="G512" i="1" a="1"/>
  <c r="N512" i="1" a="1"/>
  <c r="Q512" i="1" s="1"/>
  <c r="L513" i="1" a="1"/>
  <c r="I514" i="1" a="1"/>
  <c r="M514" i="1"/>
  <c r="C515" i="1" a="1"/>
  <c r="F515" i="1" a="1"/>
  <c r="J515" i="1" a="1"/>
  <c r="G516" i="1" a="1"/>
  <c r="N516" i="1" a="1"/>
  <c r="Q516" i="1" s="1"/>
  <c r="L517" i="1" a="1"/>
  <c r="I518" i="1" a="1"/>
  <c r="M518" i="1"/>
  <c r="C519" i="1" a="1"/>
  <c r="F519" i="1" a="1"/>
  <c r="J519" i="1" a="1"/>
  <c r="G520" i="1" a="1"/>
  <c r="N520" i="1" a="1"/>
  <c r="Q520" i="1" s="1"/>
  <c r="L521" i="1" a="1"/>
  <c r="I522" i="1" a="1"/>
  <c r="M522" i="1"/>
  <c r="C523" i="1" a="1"/>
  <c r="F523" i="1" a="1"/>
  <c r="J523" i="1" a="1"/>
  <c r="G524" i="1" a="1"/>
  <c r="N524" i="1" a="1"/>
  <c r="Q524" i="1" s="1"/>
  <c r="L525" i="1" a="1"/>
  <c r="I526" i="1" a="1"/>
  <c r="M526" i="1"/>
  <c r="C527" i="1" a="1"/>
  <c r="F527" i="1" a="1"/>
  <c r="J527" i="1" a="1"/>
  <c r="G528" i="1" a="1"/>
  <c r="N528" i="1" a="1"/>
  <c r="Q528" i="1" s="1"/>
  <c r="L529" i="1" a="1"/>
  <c r="I530" i="1" a="1"/>
  <c r="M530" i="1"/>
  <c r="C531" i="1" a="1"/>
  <c r="F531" i="1" a="1"/>
  <c r="J531" i="1" a="1"/>
  <c r="G532" i="1" a="1"/>
  <c r="N532" i="1" a="1"/>
  <c r="Q532" i="1" s="1"/>
  <c r="L533" i="1" a="1"/>
  <c r="I534" i="1" a="1"/>
  <c r="M534" i="1"/>
  <c r="C535" i="1" a="1"/>
  <c r="F535" i="1" a="1"/>
  <c r="J535" i="1" a="1"/>
  <c r="G536" i="1" a="1"/>
  <c r="N536" i="1" a="1"/>
  <c r="Q536" i="1" s="1"/>
  <c r="L537" i="1" a="1"/>
  <c r="I538" i="1" a="1"/>
  <c r="M538" i="1"/>
  <c r="C539" i="1" a="1"/>
  <c r="F539" i="1" a="1"/>
  <c r="J539" i="1" a="1"/>
  <c r="G540" i="1" a="1"/>
  <c r="N540" i="1" a="1"/>
  <c r="Q540" i="1" s="1"/>
  <c r="L541" i="1" a="1"/>
  <c r="I542" i="1" a="1"/>
  <c r="M542" i="1"/>
  <c r="C445" i="1" a="1"/>
  <c r="O445" i="1" s="1"/>
  <c r="J445" i="1" a="1"/>
  <c r="N446" i="1" a="1"/>
  <c r="Q446" i="1" s="1"/>
  <c r="F447" i="1" a="1"/>
  <c r="C449" i="1" a="1"/>
  <c r="O449" i="1" s="1"/>
  <c r="I449" i="1" a="1"/>
  <c r="M450" i="1"/>
  <c r="C451" i="1" a="1"/>
  <c r="O451" i="1" s="1"/>
  <c r="F451" i="1" a="1"/>
  <c r="J451" i="1" a="1"/>
  <c r="G452" i="1" a="1"/>
  <c r="N452" i="1" a="1"/>
  <c r="Q452" i="1" s="1"/>
  <c r="L453" i="1" a="1"/>
  <c r="I454" i="1" a="1"/>
  <c r="M454" i="1"/>
  <c r="C455" i="1" a="1"/>
  <c r="O455" i="1" s="1"/>
  <c r="F455" i="1" a="1"/>
  <c r="J455" i="1" a="1"/>
  <c r="G456" i="1" a="1"/>
  <c r="N456" i="1" a="1"/>
  <c r="Q456" i="1" s="1"/>
  <c r="L457" i="1" a="1"/>
  <c r="I458" i="1" a="1"/>
  <c r="M458" i="1"/>
  <c r="C459" i="1" a="1"/>
  <c r="O459" i="1" s="1"/>
  <c r="F459" i="1" a="1"/>
  <c r="J459" i="1" a="1"/>
  <c r="G460" i="1" a="1"/>
  <c r="N460" i="1" a="1"/>
  <c r="Q460" i="1" s="1"/>
  <c r="L461" i="1" a="1"/>
  <c r="I462" i="1" a="1"/>
  <c r="M462" i="1"/>
  <c r="C463" i="1" a="1"/>
  <c r="F463" i="1" a="1"/>
  <c r="J463" i="1" a="1"/>
  <c r="G464" i="1" a="1"/>
  <c r="N464" i="1" a="1"/>
  <c r="Q464" i="1" s="1"/>
  <c r="L465" i="1" a="1"/>
  <c r="I466" i="1" a="1"/>
  <c r="M466" i="1"/>
  <c r="C467" i="1" a="1"/>
  <c r="F467" i="1" a="1"/>
  <c r="J467" i="1" a="1"/>
  <c r="G468" i="1" a="1"/>
  <c r="N468" i="1" a="1"/>
  <c r="Q468" i="1" s="1"/>
  <c r="L469" i="1" a="1"/>
  <c r="I470" i="1" a="1"/>
  <c r="M470" i="1"/>
  <c r="C471" i="1" a="1"/>
  <c r="F471" i="1" a="1"/>
  <c r="J471" i="1" a="1"/>
  <c r="G472" i="1" a="1"/>
  <c r="N472" i="1" a="1"/>
  <c r="Q472" i="1" s="1"/>
  <c r="L473" i="1" a="1"/>
  <c r="I474" i="1" a="1"/>
  <c r="M474" i="1"/>
  <c r="C475" i="1" a="1"/>
  <c r="F475" i="1" a="1"/>
  <c r="J475" i="1" a="1"/>
  <c r="G476" i="1" a="1"/>
  <c r="N476" i="1" a="1"/>
  <c r="Q476" i="1" s="1"/>
  <c r="L477" i="1" a="1"/>
  <c r="I478" i="1" a="1"/>
  <c r="M478" i="1"/>
  <c r="C479" i="1" a="1"/>
  <c r="F479" i="1" a="1"/>
  <c r="J479" i="1" a="1"/>
  <c r="G480" i="1" a="1"/>
  <c r="N480" i="1" a="1"/>
  <c r="Q480" i="1" s="1"/>
  <c r="L481" i="1" a="1"/>
  <c r="I482" i="1" a="1"/>
  <c r="M482" i="1"/>
  <c r="C483" i="1" a="1"/>
  <c r="F483" i="1" a="1"/>
  <c r="J483" i="1" a="1"/>
  <c r="J484" i="1" a="1"/>
  <c r="C485" i="1" a="1"/>
  <c r="F485" i="1" a="1"/>
  <c r="J485" i="1" a="1"/>
  <c r="J486" i="1" a="1"/>
  <c r="C487" i="1" a="1"/>
  <c r="F487" i="1" a="1"/>
  <c r="J487" i="1" a="1"/>
  <c r="J488" i="1" a="1"/>
  <c r="C489" i="1" a="1"/>
  <c r="F489" i="1" a="1"/>
  <c r="J489" i="1" a="1"/>
  <c r="C490" i="1" a="1"/>
  <c r="F490" i="1" a="1"/>
  <c r="I490" i="1" a="1"/>
  <c r="M490" i="1"/>
  <c r="L491" i="1" a="1"/>
  <c r="L492" i="1" a="1"/>
  <c r="I493" i="1" a="1"/>
  <c r="M493" i="1"/>
  <c r="C494" i="1" a="1"/>
  <c r="F494" i="1" a="1"/>
  <c r="J494" i="1" a="1"/>
  <c r="G495" i="1" a="1"/>
  <c r="N495" i="1" a="1"/>
  <c r="Q495" i="1" s="1"/>
  <c r="L496" i="1" a="1"/>
  <c r="I497" i="1" a="1"/>
  <c r="M497" i="1"/>
  <c r="C498" i="1" a="1"/>
  <c r="F498" i="1" a="1"/>
  <c r="J498" i="1" a="1"/>
  <c r="G499" i="1" a="1"/>
  <c r="N499" i="1" a="1"/>
  <c r="Q499" i="1" s="1"/>
  <c r="L500" i="1" a="1"/>
  <c r="I501" i="1" a="1"/>
  <c r="M501" i="1"/>
  <c r="C502" i="1" a="1"/>
  <c r="F502" i="1" a="1"/>
  <c r="J502" i="1" a="1"/>
  <c r="G503" i="1" a="1"/>
  <c r="N503" i="1" a="1"/>
  <c r="Q503" i="1" s="1"/>
  <c r="L504" i="1" a="1"/>
  <c r="I505" i="1" a="1"/>
  <c r="M505" i="1"/>
  <c r="C506" i="1" a="1"/>
  <c r="F506" i="1" a="1"/>
  <c r="J506" i="1" a="1"/>
  <c r="G507" i="1" a="1"/>
  <c r="N507" i="1" a="1"/>
  <c r="Q507" i="1" s="1"/>
  <c r="L508" i="1" a="1"/>
  <c r="I509" i="1" a="1"/>
  <c r="M509" i="1"/>
  <c r="C510" i="1" a="1"/>
  <c r="F510" i="1" a="1"/>
  <c r="J510" i="1" a="1"/>
  <c r="G511" i="1" a="1"/>
  <c r="N511" i="1" a="1"/>
  <c r="Q511" i="1" s="1"/>
  <c r="L512" i="1" a="1"/>
  <c r="I513" i="1" a="1"/>
  <c r="M513" i="1"/>
  <c r="C514" i="1" a="1"/>
  <c r="F514" i="1" a="1"/>
  <c r="J514" i="1" a="1"/>
  <c r="G515" i="1" a="1"/>
  <c r="N515" i="1" a="1"/>
  <c r="Q515" i="1" s="1"/>
  <c r="L516" i="1" a="1"/>
  <c r="I517" i="1" a="1"/>
  <c r="M517" i="1"/>
  <c r="C518" i="1" a="1"/>
  <c r="F518" i="1" a="1"/>
  <c r="J518" i="1" a="1"/>
  <c r="G519" i="1" a="1"/>
  <c r="N519" i="1" a="1"/>
  <c r="Q519" i="1" s="1"/>
  <c r="L520" i="1" a="1"/>
  <c r="I521" i="1" a="1"/>
  <c r="M521" i="1"/>
  <c r="C522" i="1" a="1"/>
  <c r="F522" i="1" a="1"/>
  <c r="J522" i="1" a="1"/>
  <c r="G523" i="1" a="1"/>
  <c r="N523" i="1" a="1"/>
  <c r="Q523" i="1" s="1"/>
  <c r="L524" i="1" a="1"/>
  <c r="I525" i="1" a="1"/>
  <c r="M525" i="1"/>
  <c r="C526" i="1" a="1"/>
  <c r="F526" i="1" a="1"/>
  <c r="J526" i="1" a="1"/>
  <c r="G527" i="1" a="1"/>
  <c r="N527" i="1" a="1"/>
  <c r="Q527" i="1" s="1"/>
  <c r="L528" i="1" a="1"/>
  <c r="I529" i="1" a="1"/>
  <c r="M529" i="1"/>
  <c r="C530" i="1" a="1"/>
  <c r="F530" i="1" a="1"/>
  <c r="J530" i="1" a="1"/>
  <c r="G531" i="1" a="1"/>
  <c r="N531" i="1" a="1"/>
  <c r="Q531" i="1" s="1"/>
  <c r="L532" i="1" a="1"/>
  <c r="I533" i="1" a="1"/>
  <c r="M533" i="1"/>
  <c r="C534" i="1" a="1"/>
  <c r="F534" i="1" a="1"/>
  <c r="J534" i="1" a="1"/>
  <c r="G535" i="1" a="1"/>
  <c r="N535" i="1" a="1"/>
  <c r="Q535" i="1" s="1"/>
  <c r="L536" i="1" a="1"/>
  <c r="I537" i="1" a="1"/>
  <c r="M537" i="1"/>
  <c r="C538" i="1" a="1"/>
  <c r="F538" i="1" a="1"/>
  <c r="J538" i="1" a="1"/>
  <c r="G539" i="1" a="1"/>
  <c r="N539" i="1" a="1"/>
  <c r="Q539" i="1" s="1"/>
  <c r="L540" i="1" a="1"/>
  <c r="I541" i="1" a="1"/>
  <c r="M541" i="1"/>
  <c r="C542" i="1" a="1"/>
  <c r="F542" i="1" a="1"/>
  <c r="J542" i="1" a="1"/>
  <c r="C543" i="1" a="1"/>
  <c r="F543" i="1" a="1"/>
  <c r="J543" i="1" a="1"/>
  <c r="J544" i="1" a="1"/>
  <c r="I444" i="1" a="1"/>
  <c r="L445" i="1" a="1"/>
  <c r="I446" i="1" a="1"/>
  <c r="G448" i="1" a="1"/>
  <c r="M448" i="1"/>
  <c r="J449" i="1" a="1"/>
  <c r="I450" i="1" a="1"/>
  <c r="G451" i="1" a="1"/>
  <c r="N451" i="1" a="1"/>
  <c r="Q451" i="1" s="1"/>
  <c r="L452" i="1" a="1"/>
  <c r="I453" i="1" a="1"/>
  <c r="M453" i="1"/>
  <c r="C454" i="1" a="1"/>
  <c r="O454" i="1" s="1"/>
  <c r="F454" i="1" a="1"/>
  <c r="J454" i="1" a="1"/>
  <c r="G455" i="1" a="1"/>
  <c r="N455" i="1" a="1"/>
  <c r="Q455" i="1" s="1"/>
  <c r="L456" i="1" a="1"/>
  <c r="I457" i="1" a="1"/>
  <c r="M457" i="1"/>
  <c r="C458" i="1" a="1"/>
  <c r="O458" i="1" s="1"/>
  <c r="F458" i="1" a="1"/>
  <c r="J458" i="1" a="1"/>
  <c r="G459" i="1" a="1"/>
  <c r="N459" i="1" a="1"/>
  <c r="Q459" i="1" s="1"/>
  <c r="L460" i="1" a="1"/>
  <c r="I461" i="1" a="1"/>
  <c r="M461" i="1"/>
  <c r="C462" i="1" a="1"/>
  <c r="F462" i="1" a="1"/>
  <c r="J462" i="1" a="1"/>
  <c r="G463" i="1" a="1"/>
  <c r="N463" i="1" a="1"/>
  <c r="Q463" i="1" s="1"/>
  <c r="L464" i="1" a="1"/>
  <c r="I465" i="1" a="1"/>
  <c r="M465" i="1"/>
  <c r="C466" i="1" a="1"/>
  <c r="F466" i="1" a="1"/>
  <c r="J466" i="1" a="1"/>
  <c r="G467" i="1" a="1"/>
  <c r="N467" i="1" a="1"/>
  <c r="Q467" i="1" s="1"/>
  <c r="L468" i="1" a="1"/>
  <c r="I469" i="1" a="1"/>
  <c r="M469" i="1"/>
  <c r="C470" i="1" a="1"/>
  <c r="F470" i="1" a="1"/>
  <c r="J470" i="1" a="1"/>
  <c r="G471" i="1" a="1"/>
  <c r="N471" i="1" a="1"/>
  <c r="Q471" i="1" s="1"/>
  <c r="L472" i="1" a="1"/>
  <c r="I473" i="1" a="1"/>
  <c r="M473" i="1"/>
  <c r="C474" i="1" a="1"/>
  <c r="F474" i="1" a="1"/>
  <c r="J474" i="1" a="1"/>
  <c r="G475" i="1" a="1"/>
  <c r="N475" i="1" a="1"/>
  <c r="Q475" i="1" s="1"/>
  <c r="L476" i="1" a="1"/>
  <c r="I477" i="1" a="1"/>
  <c r="M477" i="1"/>
  <c r="C478" i="1" a="1"/>
  <c r="F478" i="1" a="1"/>
  <c r="J478" i="1" a="1"/>
  <c r="G479" i="1" a="1"/>
  <c r="N479" i="1" a="1"/>
  <c r="Q479" i="1" s="1"/>
  <c r="L480" i="1" a="1"/>
  <c r="I481" i="1" a="1"/>
  <c r="M481" i="1"/>
  <c r="C482" i="1" a="1"/>
  <c r="F482" i="1" a="1"/>
  <c r="J482" i="1" a="1"/>
  <c r="G483" i="1" a="1"/>
  <c r="N483" i="1" a="1"/>
  <c r="Q483" i="1" s="1"/>
  <c r="G484" i="1" a="1"/>
  <c r="N484" i="1" a="1"/>
  <c r="Q484" i="1" s="1"/>
  <c r="G485" i="1" a="1"/>
  <c r="N485" i="1" a="1"/>
  <c r="Q485" i="1" s="1"/>
  <c r="G486" i="1" a="1"/>
  <c r="N486" i="1" a="1"/>
  <c r="Q486" i="1" s="1"/>
  <c r="G487" i="1" a="1"/>
  <c r="N487" i="1" a="1"/>
  <c r="Q487" i="1" s="1"/>
  <c r="G488" i="1" a="1"/>
  <c r="N488" i="1" a="1"/>
  <c r="Q488" i="1" s="1"/>
  <c r="G489" i="1" a="1"/>
  <c r="N489" i="1" a="1"/>
  <c r="Q489" i="1" s="1"/>
  <c r="J490" i="1" a="1"/>
  <c r="C491" i="1" a="1"/>
  <c r="F491" i="1" a="1"/>
  <c r="I491" i="1" a="1"/>
  <c r="M491" i="1"/>
  <c r="I492" i="1" a="1"/>
  <c r="M492" i="1"/>
  <c r="C493" i="1" a="1"/>
  <c r="F493" i="1" a="1"/>
  <c r="J493" i="1" a="1"/>
  <c r="G494" i="1" a="1"/>
  <c r="N494" i="1" a="1"/>
  <c r="Q494" i="1" s="1"/>
  <c r="L495" i="1" a="1"/>
  <c r="I496" i="1" a="1"/>
  <c r="M496" i="1"/>
  <c r="C497" i="1" a="1"/>
  <c r="F497" i="1" a="1"/>
  <c r="J497" i="1" a="1"/>
  <c r="G498" i="1" a="1"/>
  <c r="N498" i="1" a="1"/>
  <c r="Q498" i="1" s="1"/>
  <c r="L499" i="1" a="1"/>
  <c r="I500" i="1" a="1"/>
  <c r="M500" i="1"/>
  <c r="C501" i="1" a="1"/>
  <c r="F501" i="1" a="1"/>
  <c r="J501" i="1" a="1"/>
  <c r="G502" i="1" a="1"/>
  <c r="N502" i="1" a="1"/>
  <c r="Q502" i="1" s="1"/>
  <c r="L503" i="1" a="1"/>
  <c r="I504" i="1" a="1"/>
  <c r="M504" i="1"/>
  <c r="C505" i="1" a="1"/>
  <c r="F505" i="1" a="1"/>
  <c r="J505" i="1" a="1"/>
  <c r="G506" i="1" a="1"/>
  <c r="N506" i="1" a="1"/>
  <c r="Q506" i="1" s="1"/>
  <c r="L507" i="1" a="1"/>
  <c r="I508" i="1" a="1"/>
  <c r="M508" i="1"/>
  <c r="C509" i="1" a="1"/>
  <c r="F509" i="1" a="1"/>
  <c r="J509" i="1" a="1"/>
  <c r="G510" i="1" a="1"/>
  <c r="N510" i="1" a="1"/>
  <c r="Q510" i="1" s="1"/>
  <c r="L511" i="1" a="1"/>
  <c r="I512" i="1" a="1"/>
  <c r="M512" i="1"/>
  <c r="C513" i="1" a="1"/>
  <c r="F513" i="1" a="1"/>
  <c r="J513" i="1" a="1"/>
  <c r="G514" i="1" a="1"/>
  <c r="N514" i="1" a="1"/>
  <c r="Q514" i="1" s="1"/>
  <c r="L515" i="1" a="1"/>
  <c r="I516" i="1" a="1"/>
  <c r="M516" i="1"/>
  <c r="C517" i="1" a="1"/>
  <c r="F517" i="1" a="1"/>
  <c r="J517" i="1" a="1"/>
  <c r="G518" i="1" a="1"/>
  <c r="N518" i="1" a="1"/>
  <c r="Q518" i="1" s="1"/>
  <c r="L519" i="1" a="1"/>
  <c r="I520" i="1" a="1"/>
  <c r="M520" i="1"/>
  <c r="C521" i="1" a="1"/>
  <c r="F521" i="1" a="1"/>
  <c r="J521" i="1" a="1"/>
  <c r="G522" i="1" a="1"/>
  <c r="N522" i="1" a="1"/>
  <c r="Q522" i="1" s="1"/>
  <c r="L523" i="1" a="1"/>
  <c r="I524" i="1" a="1"/>
  <c r="M524" i="1"/>
  <c r="C525" i="1" a="1"/>
  <c r="F525" i="1" a="1"/>
  <c r="J525" i="1" a="1"/>
  <c r="G526" i="1" a="1"/>
  <c r="N526" i="1" a="1"/>
  <c r="Q526" i="1" s="1"/>
  <c r="L527" i="1" a="1"/>
  <c r="I528" i="1" a="1"/>
  <c r="M528" i="1"/>
  <c r="C529" i="1" a="1"/>
  <c r="F529" i="1" a="1"/>
  <c r="J529" i="1" a="1"/>
  <c r="G530" i="1" a="1"/>
  <c r="N530" i="1" a="1"/>
  <c r="Q530" i="1" s="1"/>
  <c r="L531" i="1" a="1"/>
  <c r="I532" i="1" a="1"/>
  <c r="M532" i="1"/>
  <c r="C533" i="1" a="1"/>
  <c r="F533" i="1" a="1"/>
  <c r="J533" i="1" a="1"/>
  <c r="G534" i="1" a="1"/>
  <c r="N534" i="1" a="1"/>
  <c r="Q534" i="1" s="1"/>
  <c r="L535" i="1" a="1"/>
  <c r="I536" i="1" a="1"/>
  <c r="M536" i="1"/>
  <c r="C537" i="1" a="1"/>
  <c r="F537" i="1" a="1"/>
  <c r="J537" i="1" a="1"/>
  <c r="G538" i="1" a="1"/>
  <c r="N538" i="1" a="1"/>
  <c r="Q538" i="1" s="1"/>
  <c r="L539" i="1" a="1"/>
  <c r="I540" i="1" a="1"/>
  <c r="M540" i="1"/>
  <c r="C541" i="1" a="1"/>
  <c r="F541" i="1" a="1"/>
  <c r="J541" i="1" a="1"/>
  <c r="G542" i="1" a="1"/>
  <c r="N542" i="1" a="1"/>
  <c r="Q542" i="1" s="1"/>
  <c r="G543" i="1" a="1"/>
  <c r="N543" i="1" a="1"/>
  <c r="Q543" i="1" s="1"/>
  <c r="G544" i="1" a="1"/>
  <c r="N544" i="1" a="1"/>
  <c r="Q544" i="1" s="1"/>
  <c r="G545" i="1" a="1"/>
  <c r="N545" i="1" a="1"/>
  <c r="Q545" i="1" s="1"/>
  <c r="G546" i="1" a="1"/>
  <c r="J546" i="1" a="1"/>
  <c r="G547" i="1" a="1"/>
  <c r="J547" i="1" a="1"/>
  <c r="G548" i="1" a="1"/>
  <c r="N548" i="1" a="1"/>
  <c r="Q548" i="1" s="1"/>
  <c r="G549" i="1" a="1"/>
  <c r="N549" i="1" a="1"/>
  <c r="Q549" i="1" s="1"/>
  <c r="L550" i="1" a="1"/>
  <c r="J552" i="1" a="1"/>
  <c r="M552" i="1"/>
  <c r="G553" i="1" a="1"/>
  <c r="M553" i="1"/>
  <c r="C555" i="1" a="1"/>
  <c r="F555" i="1" a="1"/>
  <c r="M444" i="1"/>
  <c r="F445" i="1" a="1"/>
  <c r="C447" i="1" a="1"/>
  <c r="O447" i="1" s="1"/>
  <c r="J447" i="1" a="1"/>
  <c r="N448" i="1" a="1"/>
  <c r="Q448" i="1" s="1"/>
  <c r="F449" i="1" a="1"/>
  <c r="L449" i="1" a="1"/>
  <c r="C450" i="1" a="1"/>
  <c r="O450" i="1" s="1"/>
  <c r="F450" i="1" a="1"/>
  <c r="J450" i="1" a="1"/>
  <c r="N450" i="1" a="1"/>
  <c r="Q450" i="1" s="1"/>
  <c r="L451" i="1" a="1"/>
  <c r="I452" i="1" a="1"/>
  <c r="M452" i="1"/>
  <c r="C453" i="1" a="1"/>
  <c r="O453" i="1" s="1"/>
  <c r="F453" i="1" a="1"/>
  <c r="J453" i="1" a="1"/>
  <c r="G454" i="1" a="1"/>
  <c r="N454" i="1" a="1"/>
  <c r="Q454" i="1" s="1"/>
  <c r="L455" i="1" a="1"/>
  <c r="I456" i="1" a="1"/>
  <c r="M456" i="1"/>
  <c r="C457" i="1" a="1"/>
  <c r="O457" i="1" s="1"/>
  <c r="F457" i="1" a="1"/>
  <c r="J457" i="1" a="1"/>
  <c r="G458" i="1" a="1"/>
  <c r="N458" i="1" a="1"/>
  <c r="Q458" i="1" s="1"/>
  <c r="L459" i="1" a="1"/>
  <c r="I460" i="1" a="1"/>
  <c r="M460" i="1"/>
  <c r="C461" i="1" a="1"/>
  <c r="O461" i="1" s="1"/>
  <c r="F461" i="1" a="1"/>
  <c r="J461" i="1" a="1"/>
  <c r="G462" i="1" a="1"/>
  <c r="N462" i="1" a="1"/>
  <c r="Q462" i="1" s="1"/>
  <c r="L463" i="1" a="1"/>
  <c r="I464" i="1" a="1"/>
  <c r="M464" i="1"/>
  <c r="C465" i="1" a="1"/>
  <c r="F465" i="1" a="1"/>
  <c r="J465" i="1" a="1"/>
  <c r="G466" i="1" a="1"/>
  <c r="N466" i="1" a="1"/>
  <c r="Q466" i="1" s="1"/>
  <c r="L467" i="1" a="1"/>
  <c r="I468" i="1" a="1"/>
  <c r="M468" i="1"/>
  <c r="C469" i="1" a="1"/>
  <c r="F469" i="1" a="1"/>
  <c r="J469" i="1" a="1"/>
  <c r="G470" i="1" a="1"/>
  <c r="N470" i="1" a="1"/>
  <c r="Q470" i="1" s="1"/>
  <c r="L471" i="1" a="1"/>
  <c r="I472" i="1" a="1"/>
  <c r="M472" i="1"/>
  <c r="C473" i="1" a="1"/>
  <c r="F473" i="1" a="1"/>
  <c r="J473" i="1" a="1"/>
  <c r="G474" i="1" a="1"/>
  <c r="N474" i="1" a="1"/>
  <c r="Q474" i="1" s="1"/>
  <c r="L475" i="1" a="1"/>
  <c r="I476" i="1" a="1"/>
  <c r="M476" i="1"/>
  <c r="C477" i="1" a="1"/>
  <c r="F477" i="1" a="1"/>
  <c r="J477" i="1" a="1"/>
  <c r="G478" i="1" a="1"/>
  <c r="N478" i="1" a="1"/>
  <c r="Q478" i="1" s="1"/>
  <c r="L479" i="1" a="1"/>
  <c r="I480" i="1" a="1"/>
  <c r="M480" i="1"/>
  <c r="C481" i="1" a="1"/>
  <c r="F481" i="1" a="1"/>
  <c r="J481" i="1" a="1"/>
  <c r="G482" i="1" a="1"/>
  <c r="N482" i="1" a="1"/>
  <c r="Q482" i="1" s="1"/>
  <c r="L483" i="1" a="1"/>
  <c r="L484" i="1" a="1"/>
  <c r="L485" i="1" a="1"/>
  <c r="L486" i="1" a="1"/>
  <c r="L487" i="1" a="1"/>
  <c r="L488" i="1" a="1"/>
  <c r="L489" i="1" a="1"/>
  <c r="G490" i="1" a="1"/>
  <c r="N490" i="1" a="1"/>
  <c r="Q490" i="1" s="1"/>
  <c r="J491" i="1" a="1"/>
  <c r="C492" i="1" a="1"/>
  <c r="F492" i="1" a="1"/>
  <c r="J492" i="1" a="1"/>
  <c r="G493" i="1" a="1"/>
  <c r="N493" i="1" a="1"/>
  <c r="Q493" i="1" s="1"/>
  <c r="L494" i="1" a="1"/>
  <c r="I495" i="1" a="1"/>
  <c r="M495" i="1"/>
  <c r="C496" i="1" a="1"/>
  <c r="F496" i="1" a="1"/>
  <c r="J496" i="1" a="1"/>
  <c r="G497" i="1" a="1"/>
  <c r="N497" i="1" a="1"/>
  <c r="Q497" i="1" s="1"/>
  <c r="L498" i="1" a="1"/>
  <c r="I499" i="1" a="1"/>
  <c r="M499" i="1"/>
  <c r="C500" i="1" a="1"/>
  <c r="F500" i="1" a="1"/>
  <c r="J500" i="1" a="1"/>
  <c r="G501" i="1" a="1"/>
  <c r="N501" i="1" a="1"/>
  <c r="Q501" i="1" s="1"/>
  <c r="L502" i="1" a="1"/>
  <c r="I503" i="1" a="1"/>
  <c r="M503" i="1"/>
  <c r="C504" i="1" a="1"/>
  <c r="F504" i="1" a="1"/>
  <c r="J504" i="1" a="1"/>
  <c r="G505" i="1" a="1"/>
  <c r="N505" i="1" a="1"/>
  <c r="Q505" i="1" s="1"/>
  <c r="L506" i="1" a="1"/>
  <c r="I507" i="1" a="1"/>
  <c r="M507" i="1"/>
  <c r="C508" i="1" a="1"/>
  <c r="F508" i="1" a="1"/>
  <c r="J508" i="1" a="1"/>
  <c r="G509" i="1" a="1"/>
  <c r="N509" i="1" a="1"/>
  <c r="Q509" i="1" s="1"/>
  <c r="L510" i="1" a="1"/>
  <c r="I511" i="1" a="1"/>
  <c r="M511" i="1"/>
  <c r="C512" i="1" a="1"/>
  <c r="F512" i="1" a="1"/>
  <c r="J512" i="1" a="1"/>
  <c r="G513" i="1" a="1"/>
  <c r="N513" i="1" a="1"/>
  <c r="Q513" i="1" s="1"/>
  <c r="L514" i="1" a="1"/>
  <c r="I515" i="1" a="1"/>
  <c r="M515" i="1"/>
  <c r="C516" i="1" a="1"/>
  <c r="F516" i="1" a="1"/>
  <c r="J516" i="1" a="1"/>
  <c r="G517" i="1" a="1"/>
  <c r="N517" i="1" a="1"/>
  <c r="Q517" i="1" s="1"/>
  <c r="L518" i="1" a="1"/>
  <c r="I519" i="1" a="1"/>
  <c r="M519" i="1"/>
  <c r="C520" i="1" a="1"/>
  <c r="F520" i="1" a="1"/>
  <c r="J520" i="1" a="1"/>
  <c r="G521" i="1" a="1"/>
  <c r="N521" i="1" a="1"/>
  <c r="Q521" i="1" s="1"/>
  <c r="L522" i="1" a="1"/>
  <c r="I523" i="1" a="1"/>
  <c r="M523" i="1"/>
  <c r="C524" i="1" a="1"/>
  <c r="F524" i="1" a="1"/>
  <c r="J524" i="1" a="1"/>
  <c r="G525" i="1" a="1"/>
  <c r="N525" i="1" a="1"/>
  <c r="Q525" i="1" s="1"/>
  <c r="L526" i="1" a="1"/>
  <c r="I527" i="1" a="1"/>
  <c r="M527" i="1"/>
  <c r="C528" i="1" a="1"/>
  <c r="F528" i="1" a="1"/>
  <c r="J528" i="1" a="1"/>
  <c r="G529" i="1" a="1"/>
  <c r="N529" i="1" a="1"/>
  <c r="Q529" i="1" s="1"/>
  <c r="L530" i="1" a="1"/>
  <c r="I531" i="1" a="1"/>
  <c r="M531" i="1"/>
  <c r="C532" i="1" a="1"/>
  <c r="F532" i="1" a="1"/>
  <c r="J532" i="1" a="1"/>
  <c r="G533" i="1" a="1"/>
  <c r="N533" i="1" a="1"/>
  <c r="Q533" i="1" s="1"/>
  <c r="L534" i="1" a="1"/>
  <c r="I535" i="1" a="1"/>
  <c r="M535" i="1"/>
  <c r="C536" i="1" a="1"/>
  <c r="F536" i="1" a="1"/>
  <c r="J536" i="1" a="1"/>
  <c r="G537" i="1" a="1"/>
  <c r="N537" i="1" a="1"/>
  <c r="Q537" i="1" s="1"/>
  <c r="L538" i="1" a="1"/>
  <c r="I539" i="1" a="1"/>
  <c r="M539" i="1"/>
  <c r="C540" i="1" a="1"/>
  <c r="F540" i="1" a="1"/>
  <c r="J540" i="1" a="1"/>
  <c r="G541" i="1" a="1"/>
  <c r="N541" i="1" a="1"/>
  <c r="Q541" i="1" s="1"/>
  <c r="L542" i="1" a="1"/>
  <c r="L543" i="1" a="1"/>
  <c r="L544" i="1" a="1"/>
  <c r="L545" i="1" a="1"/>
  <c r="C547" i="1" a="1"/>
  <c r="C548" i="1" a="1"/>
  <c r="L548" i="1" a="1"/>
  <c r="L549" i="1" a="1"/>
  <c r="F550" i="1" a="1"/>
  <c r="I550" i="1" a="1"/>
  <c r="M550" i="1"/>
  <c r="C551" i="1" a="1"/>
  <c r="F551" i="1" a="1"/>
  <c r="I551" i="1" a="1"/>
  <c r="L551" i="1" a="1"/>
  <c r="N551" i="1" a="1"/>
  <c r="Q551" i="1" s="1"/>
  <c r="G552" i="1" a="1"/>
  <c r="C553" i="1" a="1"/>
  <c r="J553" i="1" a="1"/>
  <c r="C554" i="1" a="1"/>
  <c r="N554" i="1" a="1"/>
  <c r="Q554" i="1" s="1"/>
  <c r="G555" i="1" a="1"/>
  <c r="J555" i="1" a="1"/>
  <c r="G556" i="1" a="1"/>
  <c r="N556" i="1" a="1"/>
  <c r="Q556" i="1" s="1"/>
  <c r="L557" i="1" a="1"/>
  <c r="I558" i="1" a="1"/>
  <c r="M558" i="1"/>
  <c r="C559" i="1" a="1"/>
  <c r="F559" i="1" a="1"/>
  <c r="I543" i="1" a="1"/>
  <c r="M544" i="1"/>
  <c r="J545" i="1" a="1"/>
  <c r="C546" i="1" a="1"/>
  <c r="M546" i="1"/>
  <c r="N547" i="1" a="1"/>
  <c r="Q547" i="1" s="1"/>
  <c r="I548" i="1" a="1"/>
  <c r="F549" i="1" a="1"/>
  <c r="M549" i="1"/>
  <c r="N550" i="1" a="1"/>
  <c r="Q550" i="1" s="1"/>
  <c r="C552" i="1" a="1"/>
  <c r="N553" i="1" a="1"/>
  <c r="Q553" i="1" s="1"/>
  <c r="I554" i="1" a="1"/>
  <c r="L555" i="1" a="1"/>
  <c r="C556" i="1" a="1"/>
  <c r="M556" i="1"/>
  <c r="G557" i="1" a="1"/>
  <c r="F558" i="1" a="1"/>
  <c r="G559" i="1" a="1"/>
  <c r="N559" i="1" a="1"/>
  <c r="Q559" i="1" s="1"/>
  <c r="L560" i="1" a="1"/>
  <c r="I561" i="1" a="1"/>
  <c r="M561" i="1"/>
  <c r="C562" i="1" a="1"/>
  <c r="F562" i="1" a="1"/>
  <c r="J562" i="1" a="1"/>
  <c r="G563" i="1" a="1"/>
  <c r="N563" i="1" a="1"/>
  <c r="Q563" i="1" s="1"/>
  <c r="L564" i="1" a="1"/>
  <c r="I565" i="1" a="1"/>
  <c r="M565" i="1"/>
  <c r="C566" i="1" a="1"/>
  <c r="F566" i="1" a="1"/>
  <c r="J566" i="1" a="1"/>
  <c r="G567" i="1" a="1"/>
  <c r="N567" i="1" a="1"/>
  <c r="Q567" i="1" s="1"/>
  <c r="L568" i="1" a="1"/>
  <c r="I569" i="1" a="1"/>
  <c r="M569" i="1"/>
  <c r="C570" i="1" a="1"/>
  <c r="F570" i="1" a="1"/>
  <c r="J570" i="1" a="1"/>
  <c r="G571" i="1" a="1"/>
  <c r="N571" i="1" a="1"/>
  <c r="Q571" i="1" s="1"/>
  <c r="L572" i="1" a="1"/>
  <c r="I573" i="1" a="1"/>
  <c r="M573" i="1"/>
  <c r="C574" i="1" a="1"/>
  <c r="F574" i="1" a="1"/>
  <c r="J574" i="1" a="1"/>
  <c r="G575" i="1" a="1"/>
  <c r="N575" i="1" a="1"/>
  <c r="Q575" i="1" s="1"/>
  <c r="L576" i="1" a="1"/>
  <c r="I577" i="1" a="1"/>
  <c r="M577" i="1"/>
  <c r="C578" i="1" a="1"/>
  <c r="F578" i="1" a="1"/>
  <c r="J578" i="1" a="1"/>
  <c r="G579" i="1" a="1"/>
  <c r="N579" i="1" a="1"/>
  <c r="Q579" i="1" s="1"/>
  <c r="L580" i="1" a="1"/>
  <c r="I581" i="1" a="1"/>
  <c r="M581" i="1"/>
  <c r="C582" i="1" a="1"/>
  <c r="F582" i="1" a="1"/>
  <c r="J582" i="1" a="1"/>
  <c r="G583" i="1" a="1"/>
  <c r="N583" i="1" a="1"/>
  <c r="Q583" i="1" s="1"/>
  <c r="L584" i="1" a="1"/>
  <c r="I585" i="1" a="1"/>
  <c r="M585" i="1"/>
  <c r="C586" i="1" a="1"/>
  <c r="F586" i="1" a="1"/>
  <c r="J586" i="1" a="1"/>
  <c r="G587" i="1" a="1"/>
  <c r="N587" i="1" a="1"/>
  <c r="Q587" i="1" s="1"/>
  <c r="L588" i="1" a="1"/>
  <c r="I589" i="1" a="1"/>
  <c r="M589" i="1"/>
  <c r="C590" i="1" a="1"/>
  <c r="F590" i="1" a="1"/>
  <c r="J590" i="1" a="1"/>
  <c r="G591" i="1" a="1"/>
  <c r="N591" i="1" a="1"/>
  <c r="Q591" i="1" s="1"/>
  <c r="L592" i="1" a="1"/>
  <c r="I593" i="1" a="1"/>
  <c r="M593" i="1"/>
  <c r="L594" i="1" a="1"/>
  <c r="I595" i="1" a="1"/>
  <c r="L595" i="1" a="1"/>
  <c r="N595" i="1" a="1"/>
  <c r="Q595" i="1" s="1"/>
  <c r="F596" i="1" a="1"/>
  <c r="J596" i="1" a="1"/>
  <c r="M596" i="1"/>
  <c r="C597" i="1" a="1"/>
  <c r="G597" i="1" a="1"/>
  <c r="J597" i="1" a="1"/>
  <c r="F598" i="1" a="1"/>
  <c r="L598" i="1" a="1"/>
  <c r="N598" i="1" a="1"/>
  <c r="Q598" i="1" s="1"/>
  <c r="G599" i="1" a="1"/>
  <c r="J599" i="1" a="1"/>
  <c r="G600" i="1" a="1"/>
  <c r="J600" i="1" a="1"/>
  <c r="M600" i="1"/>
  <c r="L601" i="1" a="1"/>
  <c r="G602" i="1" a="1"/>
  <c r="N602" i="1" a="1"/>
  <c r="Q602" i="1" s="1"/>
  <c r="C604" i="1" a="1"/>
  <c r="I604" i="1" a="1"/>
  <c r="J605" i="1" a="1"/>
  <c r="C606" i="1" a="1"/>
  <c r="F606" i="1" a="1"/>
  <c r="J606" i="1" a="1"/>
  <c r="G607" i="1" a="1"/>
  <c r="J607" i="1" a="1"/>
  <c r="C608" i="1" a="1"/>
  <c r="F608" i="1" a="1"/>
  <c r="I608" i="1" a="1"/>
  <c r="M608" i="1"/>
  <c r="L609" i="1" a="1"/>
  <c r="I610" i="1" a="1"/>
  <c r="M610" i="1"/>
  <c r="I611" i="1" a="1"/>
  <c r="M611" i="1"/>
  <c r="I612" i="1" a="1"/>
  <c r="M612" i="1"/>
  <c r="I613" i="1" a="1"/>
  <c r="M613" i="1"/>
  <c r="I614" i="1" a="1"/>
  <c r="M614" i="1"/>
  <c r="I615" i="1" a="1"/>
  <c r="M615" i="1"/>
  <c r="I616" i="1" a="1"/>
  <c r="M616" i="1"/>
  <c r="I617" i="1" a="1"/>
  <c r="M617" i="1"/>
  <c r="I618" i="1" a="1"/>
  <c r="M618" i="1"/>
  <c r="I619" i="1" a="1"/>
  <c r="M619" i="1"/>
  <c r="I620" i="1" a="1"/>
  <c r="M620" i="1"/>
  <c r="I621" i="1" a="1"/>
  <c r="M621" i="1"/>
  <c r="I622" i="1" a="1"/>
  <c r="M622" i="1"/>
  <c r="I623" i="1" a="1"/>
  <c r="M623" i="1"/>
  <c r="I624" i="1" a="1"/>
  <c r="M624" i="1"/>
  <c r="I625" i="1" a="1"/>
  <c r="M625" i="1"/>
  <c r="I626" i="1" a="1"/>
  <c r="M626" i="1"/>
  <c r="I627" i="1" a="1"/>
  <c r="M627" i="1"/>
  <c r="I628" i="1" a="1"/>
  <c r="M628" i="1"/>
  <c r="I629" i="1" a="1"/>
  <c r="M629" i="1"/>
  <c r="I630" i="1" a="1"/>
  <c r="M630" i="1"/>
  <c r="I631" i="1" a="1"/>
  <c r="M631" i="1"/>
  <c r="I632" i="1" a="1"/>
  <c r="M632" i="1"/>
  <c r="I633" i="1" a="1"/>
  <c r="M633" i="1"/>
  <c r="I634" i="1" a="1"/>
  <c r="M634" i="1"/>
  <c r="I635" i="1" a="1"/>
  <c r="M635" i="1"/>
  <c r="I636" i="1" a="1"/>
  <c r="M636" i="1"/>
  <c r="I637" i="1" a="1"/>
  <c r="M637" i="1"/>
  <c r="I638" i="1" a="1"/>
  <c r="M638" i="1"/>
  <c r="I639" i="1" a="1"/>
  <c r="M639" i="1"/>
  <c r="I640" i="1" a="1"/>
  <c r="M640" i="1"/>
  <c r="I641" i="1" a="1"/>
  <c r="M641" i="1"/>
  <c r="I642" i="1" a="1"/>
  <c r="M642" i="1"/>
  <c r="I643" i="1" a="1"/>
  <c r="M643" i="1"/>
  <c r="I644" i="1" a="1"/>
  <c r="M543" i="1"/>
  <c r="F544" i="1" a="1"/>
  <c r="F545" i="1" a="1"/>
  <c r="M545" i="1"/>
  <c r="N546" i="1" a="1"/>
  <c r="Q546" i="1" s="1"/>
  <c r="I547" i="1" a="1"/>
  <c r="F548" i="1" a="1"/>
  <c r="J548" i="1" a="1"/>
  <c r="C549" i="1" a="1"/>
  <c r="J550" i="1" a="1"/>
  <c r="G551" i="1" a="1"/>
  <c r="M551" i="1"/>
  <c r="I552" i="1" a="1"/>
  <c r="N552" i="1" a="1"/>
  <c r="Q552" i="1" s="1"/>
  <c r="I553" i="1" a="1"/>
  <c r="F554" i="1" a="1"/>
  <c r="J554" i="1" a="1"/>
  <c r="I555" i="1" a="1"/>
  <c r="M555" i="1"/>
  <c r="I556" i="1" a="1"/>
  <c r="M557" i="1"/>
  <c r="C558" i="1" a="1"/>
  <c r="G558" i="1" a="1"/>
  <c r="L558" i="1" a="1"/>
  <c r="L559" i="1" a="1"/>
  <c r="I560" i="1" a="1"/>
  <c r="M560" i="1"/>
  <c r="C561" i="1" a="1"/>
  <c r="F561" i="1" a="1"/>
  <c r="J561" i="1" a="1"/>
  <c r="G562" i="1" a="1"/>
  <c r="N562" i="1" a="1"/>
  <c r="Q562" i="1" s="1"/>
  <c r="L563" i="1" a="1"/>
  <c r="I564" i="1" a="1"/>
  <c r="M564" i="1"/>
  <c r="C565" i="1" a="1"/>
  <c r="F565" i="1" a="1"/>
  <c r="J565" i="1" a="1"/>
  <c r="G566" i="1" a="1"/>
  <c r="N566" i="1" a="1"/>
  <c r="Q566" i="1" s="1"/>
  <c r="L567" i="1" a="1"/>
  <c r="I568" i="1" a="1"/>
  <c r="M568" i="1"/>
  <c r="C569" i="1" a="1"/>
  <c r="F569" i="1" a="1"/>
  <c r="J569" i="1" a="1"/>
  <c r="G570" i="1" a="1"/>
  <c r="N570" i="1" a="1"/>
  <c r="Q570" i="1" s="1"/>
  <c r="L571" i="1" a="1"/>
  <c r="I572" i="1" a="1"/>
  <c r="M572" i="1"/>
  <c r="C573" i="1" a="1"/>
  <c r="F573" i="1" a="1"/>
  <c r="J573" i="1" a="1"/>
  <c r="G574" i="1" a="1"/>
  <c r="N574" i="1" a="1"/>
  <c r="Q574" i="1" s="1"/>
  <c r="L575" i="1" a="1"/>
  <c r="I576" i="1" a="1"/>
  <c r="M576" i="1"/>
  <c r="C577" i="1" a="1"/>
  <c r="F577" i="1" a="1"/>
  <c r="J577" i="1" a="1"/>
  <c r="G578" i="1" a="1"/>
  <c r="N578" i="1" a="1"/>
  <c r="Q578" i="1" s="1"/>
  <c r="L579" i="1" a="1"/>
  <c r="I580" i="1" a="1"/>
  <c r="M580" i="1"/>
  <c r="C581" i="1" a="1"/>
  <c r="F581" i="1" a="1"/>
  <c r="J581" i="1" a="1"/>
  <c r="G582" i="1" a="1"/>
  <c r="N582" i="1" a="1"/>
  <c r="Q582" i="1" s="1"/>
  <c r="L583" i="1" a="1"/>
  <c r="I584" i="1" a="1"/>
  <c r="M584" i="1"/>
  <c r="C585" i="1" a="1"/>
  <c r="F585" i="1" a="1"/>
  <c r="J585" i="1" a="1"/>
  <c r="G586" i="1" a="1"/>
  <c r="N586" i="1" a="1"/>
  <c r="Q586" i="1" s="1"/>
  <c r="L587" i="1" a="1"/>
  <c r="I588" i="1" a="1"/>
  <c r="M588" i="1"/>
  <c r="C589" i="1" a="1"/>
  <c r="F589" i="1" a="1"/>
  <c r="J589" i="1" a="1"/>
  <c r="G590" i="1" a="1"/>
  <c r="N590" i="1" a="1"/>
  <c r="Q590" i="1" s="1"/>
  <c r="L591" i="1" a="1"/>
  <c r="I592" i="1" a="1"/>
  <c r="M592" i="1"/>
  <c r="C593" i="1" a="1"/>
  <c r="F593" i="1" a="1"/>
  <c r="J593" i="1" a="1"/>
  <c r="C594" i="1" a="1"/>
  <c r="I594" i="1" a="1"/>
  <c r="M594" i="1"/>
  <c r="C595" i="1" a="1"/>
  <c r="F595" i="1" a="1"/>
  <c r="J595" i="1" a="1"/>
  <c r="M595" i="1"/>
  <c r="G596" i="1" a="1"/>
  <c r="N597" i="1" a="1"/>
  <c r="Q597" i="1" s="1"/>
  <c r="I598" i="1" a="1"/>
  <c r="M598" i="1"/>
  <c r="N599" i="1" a="1"/>
  <c r="Q599" i="1" s="1"/>
  <c r="I601" i="1" a="1"/>
  <c r="M601" i="1"/>
  <c r="L602" i="1" a="1"/>
  <c r="I603" i="1" a="1"/>
  <c r="L603" i="1" a="1"/>
  <c r="N603" i="1" a="1"/>
  <c r="Q603" i="1" s="1"/>
  <c r="F604" i="1" a="1"/>
  <c r="J604" i="1" a="1"/>
  <c r="M604" i="1"/>
  <c r="C605" i="1" a="1"/>
  <c r="G605" i="1" a="1"/>
  <c r="N605" i="1" a="1"/>
  <c r="Q605" i="1" s="1"/>
  <c r="G606" i="1" a="1"/>
  <c r="N606" i="1" a="1"/>
  <c r="Q606" i="1" s="1"/>
  <c r="J608" i="1" a="1"/>
  <c r="C609" i="1" a="1"/>
  <c r="I609" i="1" a="1"/>
  <c r="M609" i="1"/>
  <c r="C610" i="1" a="1"/>
  <c r="F610" i="1" a="1"/>
  <c r="J610" i="1" a="1"/>
  <c r="G611" i="1" a="1"/>
  <c r="J611" i="1" a="1"/>
  <c r="G612" i="1" a="1"/>
  <c r="J612" i="1" a="1"/>
  <c r="G613" i="1" a="1"/>
  <c r="J613" i="1" a="1"/>
  <c r="G614" i="1" a="1"/>
  <c r="J614" i="1" a="1"/>
  <c r="G615" i="1" a="1"/>
  <c r="J615" i="1" a="1"/>
  <c r="G616" i="1" a="1"/>
  <c r="J616" i="1" a="1"/>
  <c r="G617" i="1" a="1"/>
  <c r="J617" i="1" a="1"/>
  <c r="G618" i="1" a="1"/>
  <c r="J618" i="1" a="1"/>
  <c r="G619" i="1" a="1"/>
  <c r="J619" i="1" a="1"/>
  <c r="G620" i="1" a="1"/>
  <c r="J620" i="1" a="1"/>
  <c r="G621" i="1" a="1"/>
  <c r="J621" i="1" a="1"/>
  <c r="G622" i="1" a="1"/>
  <c r="J622" i="1" a="1"/>
  <c r="G623" i="1" a="1"/>
  <c r="J623" i="1" a="1"/>
  <c r="G624" i="1" a="1"/>
  <c r="J624" i="1" a="1"/>
  <c r="G625" i="1" a="1"/>
  <c r="J625" i="1" a="1"/>
  <c r="G626" i="1" a="1"/>
  <c r="J626" i="1" a="1"/>
  <c r="C545" i="1" a="1"/>
  <c r="I546" i="1" a="1"/>
  <c r="F547" i="1" a="1"/>
  <c r="L547" i="1" a="1"/>
  <c r="M548" i="1"/>
  <c r="I549" i="1" a="1"/>
  <c r="G550" i="1" a="1"/>
  <c r="L552" i="1" a="1"/>
  <c r="G554" i="1" a="1"/>
  <c r="L554" i="1" a="1"/>
  <c r="N555" i="1" a="1"/>
  <c r="Q555" i="1" s="1"/>
  <c r="J556" i="1" a="1"/>
  <c r="I557" i="1" a="1"/>
  <c r="I559" i="1" a="1"/>
  <c r="M559" i="1"/>
  <c r="C560" i="1" a="1"/>
  <c r="F560" i="1" a="1"/>
  <c r="J560" i="1" a="1"/>
  <c r="G561" i="1" a="1"/>
  <c r="N561" i="1" a="1"/>
  <c r="Q561" i="1" s="1"/>
  <c r="L562" i="1" a="1"/>
  <c r="I563" i="1" a="1"/>
  <c r="M563" i="1"/>
  <c r="C564" i="1" a="1"/>
  <c r="F564" i="1" a="1"/>
  <c r="J564" i="1" a="1"/>
  <c r="G565" i="1" a="1"/>
  <c r="N565" i="1" a="1"/>
  <c r="Q565" i="1" s="1"/>
  <c r="L566" i="1" a="1"/>
  <c r="I567" i="1" a="1"/>
  <c r="M567" i="1"/>
  <c r="C568" i="1" a="1"/>
  <c r="F568" i="1" a="1"/>
  <c r="J568" i="1" a="1"/>
  <c r="G569" i="1" a="1"/>
  <c r="N569" i="1" a="1"/>
  <c r="Q569" i="1" s="1"/>
  <c r="L570" i="1" a="1"/>
  <c r="I571" i="1" a="1"/>
  <c r="M571" i="1"/>
  <c r="C572" i="1" a="1"/>
  <c r="F572" i="1" a="1"/>
  <c r="J572" i="1" a="1"/>
  <c r="G573" i="1" a="1"/>
  <c r="N573" i="1" a="1"/>
  <c r="Q573" i="1" s="1"/>
  <c r="L574" i="1" a="1"/>
  <c r="I575" i="1" a="1"/>
  <c r="M575" i="1"/>
  <c r="C576" i="1" a="1"/>
  <c r="F576" i="1" a="1"/>
  <c r="J576" i="1" a="1"/>
  <c r="G577" i="1" a="1"/>
  <c r="N577" i="1" a="1"/>
  <c r="Q577" i="1" s="1"/>
  <c r="L578" i="1" a="1"/>
  <c r="I579" i="1" a="1"/>
  <c r="M579" i="1"/>
  <c r="C580" i="1" a="1"/>
  <c r="F580" i="1" a="1"/>
  <c r="J580" i="1" a="1"/>
  <c r="G581" i="1" a="1"/>
  <c r="N581" i="1" a="1"/>
  <c r="Q581" i="1" s="1"/>
  <c r="L582" i="1" a="1"/>
  <c r="I583" i="1" a="1"/>
  <c r="M583" i="1"/>
  <c r="C584" i="1" a="1"/>
  <c r="F584" i="1" a="1"/>
  <c r="J584" i="1" a="1"/>
  <c r="G585" i="1" a="1"/>
  <c r="N585" i="1" a="1"/>
  <c r="Q585" i="1" s="1"/>
  <c r="L586" i="1" a="1"/>
  <c r="I587" i="1" a="1"/>
  <c r="M587" i="1"/>
  <c r="C588" i="1" a="1"/>
  <c r="F588" i="1" a="1"/>
  <c r="J588" i="1" a="1"/>
  <c r="G589" i="1" a="1"/>
  <c r="N589" i="1" a="1"/>
  <c r="Q589" i="1" s="1"/>
  <c r="L590" i="1" a="1"/>
  <c r="I591" i="1" a="1"/>
  <c r="M591" i="1"/>
  <c r="C592" i="1" a="1"/>
  <c r="F592" i="1" a="1"/>
  <c r="J592" i="1" a="1"/>
  <c r="G593" i="1" a="1"/>
  <c r="N593" i="1" a="1"/>
  <c r="Q593" i="1" s="1"/>
  <c r="F594" i="1" a="1"/>
  <c r="J594" i="1" a="1"/>
  <c r="G595" i="1" a="1"/>
  <c r="L596" i="1" a="1"/>
  <c r="N596" i="1" a="1"/>
  <c r="Q596" i="1" s="1"/>
  <c r="F597" i="1" a="1"/>
  <c r="L597" i="1" a="1"/>
  <c r="G598" i="1" a="1"/>
  <c r="J598" i="1" a="1"/>
  <c r="C599" i="1" a="1"/>
  <c r="F599" i="1" a="1"/>
  <c r="I599" i="1" a="1"/>
  <c r="L599" i="1" a="1"/>
  <c r="C601" i="1" a="1"/>
  <c r="F601" i="1" a="1"/>
  <c r="J601" i="1" a="1"/>
  <c r="C602" i="1" a="1"/>
  <c r="I602" i="1" a="1"/>
  <c r="M602" i="1"/>
  <c r="C603" i="1" a="1"/>
  <c r="F603" i="1" a="1"/>
  <c r="J603" i="1" a="1"/>
  <c r="M603" i="1"/>
  <c r="G604" i="1" a="1"/>
  <c r="L605" i="1" a="1"/>
  <c r="L606" i="1" a="1"/>
  <c r="L607" i="1" a="1"/>
  <c r="N607" i="1" a="1"/>
  <c r="Q607" i="1" s="1"/>
  <c r="G608" i="1" a="1"/>
  <c r="N608" i="1" a="1"/>
  <c r="Q608" i="1" s="1"/>
  <c r="F609" i="1" a="1"/>
  <c r="J609" i="1" a="1"/>
  <c r="G610" i="1" a="1"/>
  <c r="C611" i="1" a="1"/>
  <c r="C612" i="1" a="1"/>
  <c r="C613" i="1" a="1"/>
  <c r="C614" i="1" a="1"/>
  <c r="C615" i="1" a="1"/>
  <c r="C616" i="1" a="1"/>
  <c r="C617" i="1" a="1"/>
  <c r="C618" i="1" a="1"/>
  <c r="C619" i="1" a="1"/>
  <c r="C620" i="1" a="1"/>
  <c r="C621" i="1" a="1"/>
  <c r="C622" i="1" a="1"/>
  <c r="C623" i="1" a="1"/>
  <c r="C624" i="1" a="1"/>
  <c r="C625" i="1" a="1"/>
  <c r="C626" i="1" a="1"/>
  <c r="C627" i="1" a="1"/>
  <c r="C628" i="1" a="1"/>
  <c r="C629" i="1" a="1"/>
  <c r="C630" i="1" a="1"/>
  <c r="C631" i="1" a="1"/>
  <c r="C632" i="1" a="1"/>
  <c r="C633" i="1" a="1"/>
  <c r="C634" i="1" a="1"/>
  <c r="C635" i="1" a="1"/>
  <c r="C636" i="1" a="1"/>
  <c r="C637" i="1" a="1"/>
  <c r="C638" i="1" a="1"/>
  <c r="C639" i="1" a="1"/>
  <c r="C640" i="1" a="1"/>
  <c r="C544" i="1" a="1"/>
  <c r="I544" i="1" a="1"/>
  <c r="I545" i="1" a="1"/>
  <c r="F546" i="1" a="1"/>
  <c r="L546" i="1" a="1"/>
  <c r="M547" i="1"/>
  <c r="J549" i="1" a="1"/>
  <c r="C550" i="1" a="1"/>
  <c r="J551" i="1" a="1"/>
  <c r="F552" i="1" a="1"/>
  <c r="F553" i="1" a="1"/>
  <c r="L553" i="1" a="1"/>
  <c r="M554" i="1"/>
  <c r="F556" i="1" a="1"/>
  <c r="L556" i="1" a="1"/>
  <c r="C557" i="1" a="1"/>
  <c r="F557" i="1" a="1"/>
  <c r="J557" i="1" a="1"/>
  <c r="N557" i="1" a="1"/>
  <c r="Q557" i="1" s="1"/>
  <c r="J558" i="1" a="1"/>
  <c r="N558" i="1" a="1"/>
  <c r="Q558" i="1" s="1"/>
  <c r="J559" i="1" a="1"/>
  <c r="G560" i="1" a="1"/>
  <c r="N560" i="1" a="1"/>
  <c r="Q560" i="1" s="1"/>
  <c r="L561" i="1" a="1"/>
  <c r="I562" i="1" a="1"/>
  <c r="M562" i="1"/>
  <c r="C563" i="1" a="1"/>
  <c r="F563" i="1" a="1"/>
  <c r="J563" i="1" a="1"/>
  <c r="G564" i="1" a="1"/>
  <c r="N564" i="1" a="1"/>
  <c r="Q564" i="1" s="1"/>
  <c r="L565" i="1" a="1"/>
  <c r="I566" i="1" a="1"/>
  <c r="M566" i="1"/>
  <c r="C567" i="1" a="1"/>
  <c r="F567" i="1" a="1"/>
  <c r="J567" i="1" a="1"/>
  <c r="G568" i="1" a="1"/>
  <c r="N568" i="1" a="1"/>
  <c r="Q568" i="1" s="1"/>
  <c r="L569" i="1" a="1"/>
  <c r="I570" i="1" a="1"/>
  <c r="M570" i="1"/>
  <c r="C571" i="1" a="1"/>
  <c r="F571" i="1" a="1"/>
  <c r="J571" i="1" a="1"/>
  <c r="G572" i="1" a="1"/>
  <c r="N572" i="1" a="1"/>
  <c r="Q572" i="1" s="1"/>
  <c r="L573" i="1" a="1"/>
  <c r="I574" i="1" a="1"/>
  <c r="M574" i="1"/>
  <c r="C575" i="1" a="1"/>
  <c r="F575" i="1" a="1"/>
  <c r="J575" i="1" a="1"/>
  <c r="G576" i="1" a="1"/>
  <c r="N576" i="1" a="1"/>
  <c r="Q576" i="1" s="1"/>
  <c r="L577" i="1" a="1"/>
  <c r="I578" i="1" a="1"/>
  <c r="M578" i="1"/>
  <c r="C579" i="1" a="1"/>
  <c r="F579" i="1" a="1"/>
  <c r="J579" i="1" a="1"/>
  <c r="G580" i="1" a="1"/>
  <c r="N580" i="1" a="1"/>
  <c r="Q580" i="1" s="1"/>
  <c r="L581" i="1" a="1"/>
  <c r="I582" i="1" a="1"/>
  <c r="M582" i="1"/>
  <c r="C583" i="1" a="1"/>
  <c r="F583" i="1" a="1"/>
  <c r="J583" i="1" a="1"/>
  <c r="G584" i="1" a="1"/>
  <c r="N584" i="1" a="1"/>
  <c r="Q584" i="1" s="1"/>
  <c r="L585" i="1" a="1"/>
  <c r="I586" i="1" a="1"/>
  <c r="M586" i="1"/>
  <c r="C587" i="1" a="1"/>
  <c r="F587" i="1" a="1"/>
  <c r="J587" i="1" a="1"/>
  <c r="G588" i="1" a="1"/>
  <c r="N588" i="1" a="1"/>
  <c r="Q588" i="1" s="1"/>
  <c r="L589" i="1" a="1"/>
  <c r="I590" i="1" a="1"/>
  <c r="M590" i="1"/>
  <c r="C591" i="1" a="1"/>
  <c r="F591" i="1" a="1"/>
  <c r="J591" i="1" a="1"/>
  <c r="G592" i="1" a="1"/>
  <c r="N592" i="1" a="1"/>
  <c r="Q592" i="1" s="1"/>
  <c r="L593" i="1" a="1"/>
  <c r="G594" i="1" a="1"/>
  <c r="N594" i="1" a="1"/>
  <c r="Q594" i="1" s="1"/>
  <c r="C596" i="1" a="1"/>
  <c r="I596" i="1" a="1"/>
  <c r="I597" i="1" a="1"/>
  <c r="M597" i="1"/>
  <c r="C598" i="1" a="1"/>
  <c r="M599" i="1"/>
  <c r="C600" i="1" a="1"/>
  <c r="F600" i="1" a="1"/>
  <c r="I600" i="1" a="1"/>
  <c r="L600" i="1" a="1"/>
  <c r="N600" i="1" a="1"/>
  <c r="Q600" i="1" s="1"/>
  <c r="G601" i="1" a="1"/>
  <c r="N601" i="1" a="1"/>
  <c r="Q601" i="1" s="1"/>
  <c r="F602" i="1" a="1"/>
  <c r="J602" i="1" a="1"/>
  <c r="G603" i="1" a="1"/>
  <c r="L604" i="1" a="1"/>
  <c r="N604" i="1" a="1"/>
  <c r="Q604" i="1" s="1"/>
  <c r="F605" i="1" a="1"/>
  <c r="I605" i="1" a="1"/>
  <c r="M605" i="1"/>
  <c r="I606" i="1" a="1"/>
  <c r="M606" i="1"/>
  <c r="C607" i="1" a="1"/>
  <c r="F607" i="1" a="1"/>
  <c r="I607" i="1" a="1"/>
  <c r="M607" i="1"/>
  <c r="L608" i="1" a="1"/>
  <c r="G609" i="1" a="1"/>
  <c r="N609" i="1" a="1"/>
  <c r="Q609" i="1" s="1"/>
  <c r="L610" i="1" a="1"/>
  <c r="N610" i="1" a="1"/>
  <c r="Q610" i="1" s="1"/>
  <c r="F611" i="1" a="1"/>
  <c r="L611" i="1" a="1"/>
  <c r="N611" i="1" a="1"/>
  <c r="Q611" i="1" s="1"/>
  <c r="F612" i="1" a="1"/>
  <c r="L612" i="1" a="1"/>
  <c r="N612" i="1" a="1"/>
  <c r="Q612" i="1" s="1"/>
  <c r="F613" i="1" a="1"/>
  <c r="L613" i="1" a="1"/>
  <c r="N613" i="1" a="1"/>
  <c r="Q613" i="1" s="1"/>
  <c r="F614" i="1" a="1"/>
  <c r="L614" i="1" a="1"/>
  <c r="N614" i="1" a="1"/>
  <c r="Q614" i="1" s="1"/>
  <c r="F615" i="1" a="1"/>
  <c r="L615" i="1" a="1"/>
  <c r="N615" i="1" a="1"/>
  <c r="Q615" i="1" s="1"/>
  <c r="F616" i="1" a="1"/>
  <c r="L616" i="1" a="1"/>
  <c r="N616" i="1" a="1"/>
  <c r="Q616" i="1" s="1"/>
  <c r="F617" i="1" a="1"/>
  <c r="L617" i="1" a="1"/>
  <c r="N617" i="1" a="1"/>
  <c r="Q617" i="1" s="1"/>
  <c r="F618" i="1" a="1"/>
  <c r="L618" i="1" a="1"/>
  <c r="N618" i="1" a="1"/>
  <c r="Q618" i="1" s="1"/>
  <c r="F619" i="1" a="1"/>
  <c r="L619" i="1" a="1"/>
  <c r="N619" i="1" a="1"/>
  <c r="Q619" i="1" s="1"/>
  <c r="F620" i="1" a="1"/>
  <c r="L620" i="1" a="1"/>
  <c r="N620" i="1" a="1"/>
  <c r="Q620" i="1" s="1"/>
  <c r="F621" i="1" a="1"/>
  <c r="L621" i="1" a="1"/>
  <c r="N621" i="1" a="1"/>
  <c r="Q621" i="1" s="1"/>
  <c r="F622" i="1" a="1"/>
  <c r="L622" i="1" a="1"/>
  <c r="N622" i="1" a="1"/>
  <c r="Q622" i="1" s="1"/>
  <c r="F623" i="1" a="1"/>
  <c r="L623" i="1" a="1"/>
  <c r="N623" i="1" a="1"/>
  <c r="Q623" i="1" s="1"/>
  <c r="F624" i="1" a="1"/>
  <c r="L624" i="1" a="1"/>
  <c r="N624" i="1" a="1"/>
  <c r="Q624" i="1" s="1"/>
  <c r="F625" i="1" a="1"/>
  <c r="L625" i="1" a="1"/>
  <c r="N625" i="1" a="1"/>
  <c r="Q625" i="1" s="1"/>
  <c r="F626" i="1" a="1"/>
  <c r="L626" i="1" a="1"/>
  <c r="N626" i="1" a="1"/>
  <c r="Q626" i="1" s="1"/>
  <c r="F627" i="1" a="1"/>
  <c r="L627" i="1" a="1"/>
  <c r="N627" i="1" a="1"/>
  <c r="Q627" i="1" s="1"/>
  <c r="F628" i="1" a="1"/>
  <c r="L628" i="1" a="1"/>
  <c r="N628" i="1" a="1"/>
  <c r="Q628" i="1" s="1"/>
  <c r="F629" i="1" a="1"/>
  <c r="L629" i="1" a="1"/>
  <c r="N629" i="1" a="1"/>
  <c r="Q629" i="1" s="1"/>
  <c r="F630" i="1" a="1"/>
  <c r="L630" i="1" a="1"/>
  <c r="N630" i="1" a="1"/>
  <c r="Q630" i="1" s="1"/>
  <c r="F631" i="1" a="1"/>
  <c r="L631" i="1" a="1"/>
  <c r="N631" i="1" a="1"/>
  <c r="Q631" i="1" s="1"/>
  <c r="F632" i="1" a="1"/>
  <c r="L632" i="1" a="1"/>
  <c r="N632" i="1" a="1"/>
  <c r="Q632" i="1" s="1"/>
  <c r="F633" i="1" a="1"/>
  <c r="L633" i="1" a="1"/>
  <c r="N633" i="1" a="1"/>
  <c r="Q633" i="1" s="1"/>
  <c r="F634" i="1" a="1"/>
  <c r="G627" i="1" a="1"/>
  <c r="J629" i="1" a="1"/>
  <c r="G631" i="1" a="1"/>
  <c r="J633" i="1" a="1"/>
  <c r="L634" i="1" a="1"/>
  <c r="G635" i="1" a="1"/>
  <c r="N636" i="1" a="1"/>
  <c r="Q636" i="1" s="1"/>
  <c r="J637" i="1" a="1"/>
  <c r="F638" i="1" a="1"/>
  <c r="L638" i="1" a="1"/>
  <c r="G639" i="1" a="1"/>
  <c r="G640" i="1" a="1"/>
  <c r="N640" i="1" a="1"/>
  <c r="Q640" i="1" s="1"/>
  <c r="G641" i="1" a="1"/>
  <c r="N641" i="1" a="1"/>
  <c r="Q641" i="1" s="1"/>
  <c r="G642" i="1" a="1"/>
  <c r="N642" i="1" a="1"/>
  <c r="Q642" i="1" s="1"/>
  <c r="G643" i="1" a="1"/>
  <c r="N643" i="1" a="1"/>
  <c r="Q643" i="1" s="1"/>
  <c r="G644" i="1" a="1"/>
  <c r="N644" i="1" a="1"/>
  <c r="Q644" i="1" s="1"/>
  <c r="J645" i="1" a="1"/>
  <c r="C646" i="1" a="1"/>
  <c r="F646" i="1" a="1"/>
  <c r="I646" i="1" a="1"/>
  <c r="M646" i="1"/>
  <c r="L647" i="1" a="1"/>
  <c r="G648" i="1" a="1"/>
  <c r="N648" i="1" a="1"/>
  <c r="Q648" i="1" s="1"/>
  <c r="J649" i="1" a="1"/>
  <c r="C650" i="1" a="1"/>
  <c r="F650" i="1" a="1"/>
  <c r="I650" i="1" a="1"/>
  <c r="M650" i="1"/>
  <c r="L651" i="1" a="1"/>
  <c r="G652" i="1" a="1"/>
  <c r="N652" i="1" a="1"/>
  <c r="Q652" i="1" s="1"/>
  <c r="J653" i="1" a="1"/>
  <c r="C654" i="1" a="1"/>
  <c r="F654" i="1" a="1"/>
  <c r="I654" i="1" a="1"/>
  <c r="M654" i="1"/>
  <c r="L655" i="1" a="1"/>
  <c r="N655" i="1" a="1"/>
  <c r="Q655" i="1" s="1"/>
  <c r="L656" i="1" a="1"/>
  <c r="I657" i="1" a="1"/>
  <c r="M657" i="1"/>
  <c r="C658" i="1" a="1"/>
  <c r="F659" i="1" a="1"/>
  <c r="J659" i="1" a="1"/>
  <c r="C660" i="1" a="1"/>
  <c r="G660" i="1" a="1"/>
  <c r="J660" i="1" a="1"/>
  <c r="L660" i="1" a="1"/>
  <c r="N660" i="1" a="1"/>
  <c r="Q660" i="1" s="1"/>
  <c r="N661" i="1" a="1"/>
  <c r="Q661" i="1" s="1"/>
  <c r="G662" i="1" a="1"/>
  <c r="M662" i="1"/>
  <c r="C664" i="1" a="1"/>
  <c r="N664" i="1" a="1"/>
  <c r="Q664" i="1" s="1"/>
  <c r="F665" i="1" a="1"/>
  <c r="L665" i="1" a="1"/>
  <c r="G666" i="1" a="1"/>
  <c r="C667" i="1" a="1"/>
  <c r="F667" i="1" a="1"/>
  <c r="I667" i="1" a="1"/>
  <c r="L667" i="1" a="1"/>
  <c r="N667" i="1" a="1"/>
  <c r="Q667" i="1" s="1"/>
  <c r="N668" i="1" a="1"/>
  <c r="Q668" i="1" s="1"/>
  <c r="F669" i="1" a="1"/>
  <c r="I669" i="1" a="1"/>
  <c r="L669" i="1" a="1"/>
  <c r="G670" i="1" a="1"/>
  <c r="M670" i="1"/>
  <c r="C672" i="1" a="1"/>
  <c r="I673" i="1" a="1"/>
  <c r="G674" i="1" a="1"/>
  <c r="N674" i="1" a="1"/>
  <c r="Q674" i="1" s="1"/>
  <c r="C676" i="1" a="1"/>
  <c r="L676" i="1" a="1"/>
  <c r="L677" i="1" a="1"/>
  <c r="I678" i="1" a="1"/>
  <c r="M678" i="1"/>
  <c r="C679" i="1" a="1"/>
  <c r="F679" i="1" a="1"/>
  <c r="J679" i="1" a="1"/>
  <c r="G680" i="1" a="1"/>
  <c r="N680" i="1" a="1"/>
  <c r="Q680" i="1" s="1"/>
  <c r="L681" i="1" a="1"/>
  <c r="I682" i="1" a="1"/>
  <c r="M682" i="1"/>
  <c r="C683" i="1" a="1"/>
  <c r="F683" i="1" a="1"/>
  <c r="J683" i="1" a="1"/>
  <c r="G684" i="1" a="1"/>
  <c r="N684" i="1" a="1"/>
  <c r="Q684" i="1" s="1"/>
  <c r="L685" i="1" a="1"/>
  <c r="I686" i="1" a="1"/>
  <c r="M686" i="1"/>
  <c r="C687" i="1" a="1"/>
  <c r="F687" i="1" a="1"/>
  <c r="J687" i="1" a="1"/>
  <c r="G688" i="1" a="1"/>
  <c r="N688" i="1" a="1"/>
  <c r="Q688" i="1" s="1"/>
  <c r="L689" i="1" a="1"/>
  <c r="I690" i="1" a="1"/>
  <c r="M690" i="1"/>
  <c r="C691" i="1" a="1"/>
  <c r="F691" i="1" a="1"/>
  <c r="J691" i="1" a="1"/>
  <c r="G692" i="1" a="1"/>
  <c r="N692" i="1" a="1"/>
  <c r="Q692" i="1" s="1"/>
  <c r="L693" i="1" a="1"/>
  <c r="I694" i="1" a="1"/>
  <c r="M694" i="1"/>
  <c r="C695" i="1" a="1"/>
  <c r="F695" i="1" a="1"/>
  <c r="J695" i="1" a="1"/>
  <c r="G696" i="1" a="1"/>
  <c r="N696" i="1" a="1"/>
  <c r="Q696" i="1" s="1"/>
  <c r="L697" i="1" a="1"/>
  <c r="I698" i="1" a="1"/>
  <c r="M698" i="1"/>
  <c r="C699" i="1" a="1"/>
  <c r="F699" i="1" a="1"/>
  <c r="J699" i="1" a="1"/>
  <c r="G700" i="1" a="1"/>
  <c r="N700" i="1" a="1"/>
  <c r="Q700" i="1" s="1"/>
  <c r="L701" i="1" a="1"/>
  <c r="I702" i="1" a="1"/>
  <c r="M702" i="1"/>
  <c r="C703" i="1" a="1"/>
  <c r="F703" i="1" a="1"/>
  <c r="J703" i="1" a="1"/>
  <c r="G704" i="1" a="1"/>
  <c r="N704" i="1" a="1"/>
  <c r="Q704" i="1" s="1"/>
  <c r="L705" i="1" a="1"/>
  <c r="I706" i="1" a="1"/>
  <c r="M706" i="1"/>
  <c r="I707" i="1" a="1"/>
  <c r="M707" i="1"/>
  <c r="C708" i="1" a="1"/>
  <c r="F708" i="1" a="1"/>
  <c r="I708" i="1" a="1"/>
  <c r="M708" i="1"/>
  <c r="I709" i="1" a="1"/>
  <c r="M709" i="1"/>
  <c r="C710" i="1" a="1"/>
  <c r="F710" i="1" a="1"/>
  <c r="I710" i="1" a="1"/>
  <c r="M710" i="1"/>
  <c r="I711" i="1" a="1"/>
  <c r="M711" i="1"/>
  <c r="J628" i="1" a="1"/>
  <c r="G630" i="1" a="1"/>
  <c r="J632" i="1" a="1"/>
  <c r="G634" i="1" a="1"/>
  <c r="N635" i="1" a="1"/>
  <c r="Q635" i="1" s="1"/>
  <c r="J636" i="1" a="1"/>
  <c r="F637" i="1" a="1"/>
  <c r="L637" i="1" a="1"/>
  <c r="G638" i="1" a="1"/>
  <c r="N639" i="1" a="1"/>
  <c r="Q639" i="1" s="1"/>
  <c r="L640" i="1" a="1"/>
  <c r="L641" i="1" a="1"/>
  <c r="L642" i="1" a="1"/>
  <c r="L643" i="1" a="1"/>
  <c r="L644" i="1" a="1"/>
  <c r="G645" i="1" a="1"/>
  <c r="N645" i="1" a="1"/>
  <c r="Q645" i="1" s="1"/>
  <c r="J646" i="1" a="1"/>
  <c r="C647" i="1" a="1"/>
  <c r="F647" i="1" a="1"/>
  <c r="I647" i="1" a="1"/>
  <c r="M647" i="1"/>
  <c r="L648" i="1" a="1"/>
  <c r="G649" i="1" a="1"/>
  <c r="N649" i="1" a="1"/>
  <c r="Q649" i="1" s="1"/>
  <c r="J650" i="1" a="1"/>
  <c r="C651" i="1" a="1"/>
  <c r="F651" i="1" a="1"/>
  <c r="I651" i="1" a="1"/>
  <c r="M651" i="1"/>
  <c r="L652" i="1" a="1"/>
  <c r="G653" i="1" a="1"/>
  <c r="N653" i="1" a="1"/>
  <c r="Q653" i="1" s="1"/>
  <c r="J654" i="1" a="1"/>
  <c r="C655" i="1" a="1"/>
  <c r="F655" i="1" a="1"/>
  <c r="I655" i="1" a="1"/>
  <c r="M655" i="1"/>
  <c r="G656" i="1" a="1"/>
  <c r="J656" i="1" a="1"/>
  <c r="M656" i="1"/>
  <c r="C657" i="1" a="1"/>
  <c r="F657" i="1" a="1"/>
  <c r="I658" i="1" a="1"/>
  <c r="L658" i="1" a="1"/>
  <c r="N658" i="1" a="1"/>
  <c r="Q658" i="1" s="1"/>
  <c r="G659" i="1" a="1"/>
  <c r="F661" i="1" a="1"/>
  <c r="I661" i="1" a="1"/>
  <c r="M661" i="1"/>
  <c r="C663" i="1" a="1"/>
  <c r="F663" i="1" a="1"/>
  <c r="I663" i="1" a="1"/>
  <c r="F664" i="1" a="1"/>
  <c r="I664" i="1" a="1"/>
  <c r="L664" i="1" a="1"/>
  <c r="G665" i="1" a="1"/>
  <c r="J665" i="1" a="1"/>
  <c r="M665" i="1"/>
  <c r="C666" i="1" a="1"/>
  <c r="L666" i="1" a="1"/>
  <c r="N666" i="1" a="1"/>
  <c r="Q666" i="1" s="1"/>
  <c r="G667" i="1" a="1"/>
  <c r="J667" i="1" a="1"/>
  <c r="M667" i="1"/>
  <c r="I668" i="1" a="1"/>
  <c r="L668" i="1" a="1"/>
  <c r="G669" i="1" a="1"/>
  <c r="M669" i="1"/>
  <c r="C670" i="1" a="1"/>
  <c r="C671" i="1" a="1"/>
  <c r="F671" i="1" a="1"/>
  <c r="I671" i="1" a="1"/>
  <c r="F672" i="1" a="1"/>
  <c r="I672" i="1" a="1"/>
  <c r="L672" i="1" a="1"/>
  <c r="N672" i="1" a="1"/>
  <c r="Q672" i="1" s="1"/>
  <c r="F673" i="1" a="1"/>
  <c r="L673" i="1" a="1"/>
  <c r="N673" i="1" a="1"/>
  <c r="Q673" i="1" s="1"/>
  <c r="L674" i="1" a="1"/>
  <c r="L675" i="1" a="1"/>
  <c r="N675" i="1" a="1"/>
  <c r="Q675" i="1" s="1"/>
  <c r="F676" i="1" a="1"/>
  <c r="I676" i="1" a="1"/>
  <c r="M676" i="1"/>
  <c r="I677" i="1" a="1"/>
  <c r="M677" i="1"/>
  <c r="C678" i="1" a="1"/>
  <c r="F678" i="1" a="1"/>
  <c r="J678" i="1" a="1"/>
  <c r="G679" i="1" a="1"/>
  <c r="N679" i="1" a="1"/>
  <c r="Q679" i="1" s="1"/>
  <c r="L680" i="1" a="1"/>
  <c r="I681" i="1" a="1"/>
  <c r="M681" i="1"/>
  <c r="C682" i="1" a="1"/>
  <c r="F682" i="1" a="1"/>
  <c r="J682" i="1" a="1"/>
  <c r="G683" i="1" a="1"/>
  <c r="N683" i="1" a="1"/>
  <c r="Q683" i="1" s="1"/>
  <c r="L684" i="1" a="1"/>
  <c r="I685" i="1" a="1"/>
  <c r="M685" i="1"/>
  <c r="C686" i="1" a="1"/>
  <c r="F686" i="1" a="1"/>
  <c r="J686" i="1" a="1"/>
  <c r="G687" i="1" a="1"/>
  <c r="N687" i="1" a="1"/>
  <c r="Q687" i="1" s="1"/>
  <c r="L688" i="1" a="1"/>
  <c r="I689" i="1" a="1"/>
  <c r="M689" i="1"/>
  <c r="C690" i="1" a="1"/>
  <c r="F690" i="1" a="1"/>
  <c r="J690" i="1" a="1"/>
  <c r="G691" i="1" a="1"/>
  <c r="N691" i="1" a="1"/>
  <c r="Q691" i="1" s="1"/>
  <c r="L692" i="1" a="1"/>
  <c r="I693" i="1" a="1"/>
  <c r="M693" i="1"/>
  <c r="C694" i="1" a="1"/>
  <c r="F694" i="1" a="1"/>
  <c r="J694" i="1" a="1"/>
  <c r="G695" i="1" a="1"/>
  <c r="N695" i="1" a="1"/>
  <c r="Q695" i="1" s="1"/>
  <c r="L696" i="1" a="1"/>
  <c r="I697" i="1" a="1"/>
  <c r="M697" i="1"/>
  <c r="C698" i="1" a="1"/>
  <c r="F698" i="1" a="1"/>
  <c r="J698" i="1" a="1"/>
  <c r="G699" i="1" a="1"/>
  <c r="N699" i="1" a="1"/>
  <c r="Q699" i="1" s="1"/>
  <c r="L700" i="1" a="1"/>
  <c r="I701" i="1" a="1"/>
  <c r="M701" i="1"/>
  <c r="C702" i="1" a="1"/>
  <c r="F702" i="1" a="1"/>
  <c r="J702" i="1" a="1"/>
  <c r="G703" i="1" a="1"/>
  <c r="N703" i="1" a="1"/>
  <c r="Q703" i="1" s="1"/>
  <c r="L704" i="1" a="1"/>
  <c r="I705" i="1" a="1"/>
  <c r="M705" i="1"/>
  <c r="C706" i="1" a="1"/>
  <c r="F706" i="1" a="1"/>
  <c r="J706" i="1" a="1"/>
  <c r="C707" i="1" a="1"/>
  <c r="F707" i="1" a="1"/>
  <c r="J707" i="1" a="1"/>
  <c r="J708" i="1" a="1"/>
  <c r="C709" i="1" a="1"/>
  <c r="F709" i="1" a="1"/>
  <c r="J709" i="1" a="1"/>
  <c r="J710" i="1" a="1"/>
  <c r="C711" i="1" a="1"/>
  <c r="F711" i="1" a="1"/>
  <c r="J711" i="1" a="1"/>
  <c r="J627" i="1" a="1"/>
  <c r="G629" i="1" a="1"/>
  <c r="J631" i="1" a="1"/>
  <c r="G633" i="1" a="1"/>
  <c r="N634" i="1" a="1"/>
  <c r="Q634" i="1" s="1"/>
  <c r="J635" i="1" a="1"/>
  <c r="F636" i="1" a="1"/>
  <c r="L636" i="1" a="1"/>
  <c r="G637" i="1" a="1"/>
  <c r="N638" i="1" a="1"/>
  <c r="Q638" i="1" s="1"/>
  <c r="J639" i="1" a="1"/>
  <c r="C641" i="1" a="1"/>
  <c r="C642" i="1" a="1"/>
  <c r="C643" i="1" a="1"/>
  <c r="C644" i="1" a="1"/>
  <c r="M644" i="1"/>
  <c r="L645" i="1" a="1"/>
  <c r="G646" i="1" a="1"/>
  <c r="N646" i="1" a="1"/>
  <c r="Q646" i="1" s="1"/>
  <c r="J647" i="1" a="1"/>
  <c r="C648" i="1" a="1"/>
  <c r="F648" i="1" a="1"/>
  <c r="I648" i="1" a="1"/>
  <c r="M648" i="1"/>
  <c r="L649" i="1" a="1"/>
  <c r="G650" i="1" a="1"/>
  <c r="N650" i="1" a="1"/>
  <c r="Q650" i="1" s="1"/>
  <c r="J651" i="1" a="1"/>
  <c r="C652" i="1" a="1"/>
  <c r="F652" i="1" a="1"/>
  <c r="I652" i="1" a="1"/>
  <c r="M652" i="1"/>
  <c r="L653" i="1" a="1"/>
  <c r="G654" i="1" a="1"/>
  <c r="N654" i="1" a="1"/>
  <c r="Q654" i="1" s="1"/>
  <c r="J655" i="1" a="1"/>
  <c r="G657" i="1" a="1"/>
  <c r="J657" i="1" a="1"/>
  <c r="L657" i="1" a="1"/>
  <c r="N657" i="1" a="1"/>
  <c r="Q657" i="1" s="1"/>
  <c r="F658" i="1" a="1"/>
  <c r="J658" i="1" a="1"/>
  <c r="L659" i="1" a="1"/>
  <c r="N659" i="1" a="1"/>
  <c r="Q659" i="1" s="1"/>
  <c r="F660" i="1" a="1"/>
  <c r="I660" i="1" a="1"/>
  <c r="M660" i="1"/>
  <c r="G661" i="1" a="1"/>
  <c r="C662" i="1" a="1"/>
  <c r="I662" i="1" a="1"/>
  <c r="L662" i="1" a="1"/>
  <c r="N662" i="1" a="1"/>
  <c r="Q662" i="1" s="1"/>
  <c r="G663" i="1" a="1"/>
  <c r="L663" i="1" a="1"/>
  <c r="N663" i="1" a="1"/>
  <c r="Q663" i="1" s="1"/>
  <c r="J664" i="1" a="1"/>
  <c r="M664" i="1"/>
  <c r="C665" i="1" a="1"/>
  <c r="F666" i="1" a="1"/>
  <c r="I666" i="1" a="1"/>
  <c r="C668" i="1" a="1"/>
  <c r="F668" i="1" a="1"/>
  <c r="J668" i="1" a="1"/>
  <c r="M668" i="1"/>
  <c r="C669" i="1" a="1"/>
  <c r="J669" i="1" a="1"/>
  <c r="F670" i="1" a="1"/>
  <c r="I670" i="1" a="1"/>
  <c r="L670" i="1" a="1"/>
  <c r="N670" i="1" a="1"/>
  <c r="Q670" i="1" s="1"/>
  <c r="G671" i="1" a="1"/>
  <c r="L671" i="1" a="1"/>
  <c r="N671" i="1" a="1"/>
  <c r="Q671" i="1" s="1"/>
  <c r="J672" i="1" a="1"/>
  <c r="G673" i="1" a="1"/>
  <c r="J673" i="1" a="1"/>
  <c r="M673" i="1"/>
  <c r="I674" i="1" a="1"/>
  <c r="M674" i="1"/>
  <c r="C675" i="1" a="1"/>
  <c r="F675" i="1" a="1"/>
  <c r="I675" i="1" a="1"/>
  <c r="M675" i="1"/>
  <c r="J676" i="1" a="1"/>
  <c r="C677" i="1" a="1"/>
  <c r="F677" i="1" a="1"/>
  <c r="J677" i="1" a="1"/>
  <c r="G678" i="1" a="1"/>
  <c r="N678" i="1" a="1"/>
  <c r="Q678" i="1" s="1"/>
  <c r="L679" i="1" a="1"/>
  <c r="I680" i="1" a="1"/>
  <c r="M680" i="1"/>
  <c r="C681" i="1" a="1"/>
  <c r="F681" i="1" a="1"/>
  <c r="J681" i="1" a="1"/>
  <c r="G682" i="1" a="1"/>
  <c r="N682" i="1" a="1"/>
  <c r="Q682" i="1" s="1"/>
  <c r="L683" i="1" a="1"/>
  <c r="I684" i="1" a="1"/>
  <c r="M684" i="1"/>
  <c r="C685" i="1" a="1"/>
  <c r="F685" i="1" a="1"/>
  <c r="J685" i="1" a="1"/>
  <c r="G686" i="1" a="1"/>
  <c r="N686" i="1" a="1"/>
  <c r="Q686" i="1" s="1"/>
  <c r="L687" i="1" a="1"/>
  <c r="I688" i="1" a="1"/>
  <c r="M688" i="1"/>
  <c r="C689" i="1" a="1"/>
  <c r="F689" i="1" a="1"/>
  <c r="J689" i="1" a="1"/>
  <c r="G690" i="1" a="1"/>
  <c r="N690" i="1" a="1"/>
  <c r="Q690" i="1" s="1"/>
  <c r="L691" i="1" a="1"/>
  <c r="I692" i="1" a="1"/>
  <c r="M692" i="1"/>
  <c r="C693" i="1" a="1"/>
  <c r="F693" i="1" a="1"/>
  <c r="J693" i="1" a="1"/>
  <c r="G694" i="1" a="1"/>
  <c r="N694" i="1" a="1"/>
  <c r="Q694" i="1" s="1"/>
  <c r="L695" i="1" a="1"/>
  <c r="I696" i="1" a="1"/>
  <c r="M696" i="1"/>
  <c r="C697" i="1" a="1"/>
  <c r="F697" i="1" a="1"/>
  <c r="J697" i="1" a="1"/>
  <c r="G698" i="1" a="1"/>
  <c r="N698" i="1" a="1"/>
  <c r="Q698" i="1" s="1"/>
  <c r="L699" i="1" a="1"/>
  <c r="I700" i="1" a="1"/>
  <c r="M700" i="1"/>
  <c r="C701" i="1" a="1"/>
  <c r="F701" i="1" a="1"/>
  <c r="J701" i="1" a="1"/>
  <c r="G702" i="1" a="1"/>
  <c r="N702" i="1" a="1"/>
  <c r="Q702" i="1" s="1"/>
  <c r="L703" i="1" a="1"/>
  <c r="I704" i="1" a="1"/>
  <c r="M704" i="1"/>
  <c r="C705" i="1" a="1"/>
  <c r="F705" i="1" a="1"/>
  <c r="J705" i="1" a="1"/>
  <c r="G706" i="1" a="1"/>
  <c r="N706" i="1" a="1"/>
  <c r="Q706" i="1" s="1"/>
  <c r="G707" i="1" a="1"/>
  <c r="N707" i="1" a="1"/>
  <c r="Q707" i="1" s="1"/>
  <c r="G708" i="1" a="1"/>
  <c r="N708" i="1" a="1"/>
  <c r="Q708" i="1" s="1"/>
  <c r="G709" i="1" a="1"/>
  <c r="N709" i="1" a="1"/>
  <c r="Q709" i="1" s="1"/>
  <c r="G710" i="1" a="1"/>
  <c r="N710" i="1" a="1"/>
  <c r="Q710" i="1" s="1"/>
  <c r="G711" i="1" a="1"/>
  <c r="N711" i="1" a="1"/>
  <c r="Q711" i="1" s="1"/>
  <c r="G628" i="1" a="1"/>
  <c r="J630" i="1" a="1"/>
  <c r="G632" i="1" a="1"/>
  <c r="J634" i="1" a="1"/>
  <c r="F635" i="1" a="1"/>
  <c r="L635" i="1" a="1"/>
  <c r="G636" i="1" a="1"/>
  <c r="N637" i="1" a="1"/>
  <c r="Q637" i="1" s="1"/>
  <c r="J638" i="1" a="1"/>
  <c r="F639" i="1" a="1"/>
  <c r="L639" i="1" a="1"/>
  <c r="F640" i="1" a="1"/>
  <c r="J640" i="1" a="1"/>
  <c r="F641" i="1" a="1"/>
  <c r="J641" i="1" a="1"/>
  <c r="F642" i="1" a="1"/>
  <c r="J642" i="1" a="1"/>
  <c r="F643" i="1" a="1"/>
  <c r="J643" i="1" a="1"/>
  <c r="F644" i="1" a="1"/>
  <c r="J644" i="1" a="1"/>
  <c r="C645" i="1" a="1"/>
  <c r="F645" i="1" a="1"/>
  <c r="I645" i="1" a="1"/>
  <c r="M645" i="1"/>
  <c r="L646" i="1" a="1"/>
  <c r="G647" i="1" a="1"/>
  <c r="N647" i="1" a="1"/>
  <c r="Q647" i="1" s="1"/>
  <c r="J648" i="1" a="1"/>
  <c r="C649" i="1" a="1"/>
  <c r="F649" i="1" a="1"/>
  <c r="I649" i="1" a="1"/>
  <c r="M649" i="1"/>
  <c r="L650" i="1" a="1"/>
  <c r="G651" i="1" a="1"/>
  <c r="N651" i="1" a="1"/>
  <c r="Q651" i="1" s="1"/>
  <c r="J652" i="1" a="1"/>
  <c r="C653" i="1" a="1"/>
  <c r="F653" i="1" a="1"/>
  <c r="I653" i="1" a="1"/>
  <c r="M653" i="1"/>
  <c r="L654" i="1" a="1"/>
  <c r="G655" i="1" a="1"/>
  <c r="C656" i="1" a="1"/>
  <c r="F656" i="1" a="1"/>
  <c r="I656" i="1" a="1"/>
  <c r="N656" i="1" a="1"/>
  <c r="Q656" i="1" s="1"/>
  <c r="G658" i="1" a="1"/>
  <c r="M658" i="1"/>
  <c r="C659" i="1" a="1"/>
  <c r="I659" i="1" a="1"/>
  <c r="M659" i="1"/>
  <c r="C661" i="1" a="1"/>
  <c r="J661" i="1" a="1"/>
  <c r="L661" i="1" a="1"/>
  <c r="F662" i="1" a="1"/>
  <c r="J662" i="1" a="1"/>
  <c r="J663" i="1" a="1"/>
  <c r="M663" i="1"/>
  <c r="G664" i="1" a="1"/>
  <c r="I665" i="1" a="1"/>
  <c r="N665" i="1" a="1"/>
  <c r="Q665" i="1" s="1"/>
  <c r="J666" i="1" a="1"/>
  <c r="M666" i="1"/>
  <c r="G668" i="1" a="1"/>
  <c r="N669" i="1" a="1"/>
  <c r="Q669" i="1" s="1"/>
  <c r="J670" i="1" a="1"/>
  <c r="J671" i="1" a="1"/>
  <c r="M671" i="1"/>
  <c r="G672" i="1" a="1"/>
  <c r="M672" i="1"/>
  <c r="C673" i="1" a="1"/>
  <c r="C674" i="1" a="1"/>
  <c r="F674" i="1" a="1"/>
  <c r="J674" i="1" a="1"/>
  <c r="G675" i="1" a="1"/>
  <c r="J675" i="1" a="1"/>
  <c r="G676" i="1" a="1"/>
  <c r="N676" i="1" a="1"/>
  <c r="Q676" i="1" s="1"/>
  <c r="G677" i="1" a="1"/>
  <c r="N677" i="1" a="1"/>
  <c r="Q677" i="1" s="1"/>
  <c r="L678" i="1" a="1"/>
  <c r="I679" i="1" a="1"/>
  <c r="M679" i="1"/>
  <c r="C680" i="1" a="1"/>
  <c r="F680" i="1" a="1"/>
  <c r="J680" i="1" a="1"/>
  <c r="G681" i="1" a="1"/>
  <c r="N681" i="1" a="1"/>
  <c r="Q681" i="1" s="1"/>
  <c r="L682" i="1" a="1"/>
  <c r="I683" i="1" a="1"/>
  <c r="M683" i="1"/>
  <c r="C684" i="1" a="1"/>
  <c r="F684" i="1" a="1"/>
  <c r="J684" i="1" a="1"/>
  <c r="G685" i="1" a="1"/>
  <c r="N685" i="1" a="1"/>
  <c r="Q685" i="1" s="1"/>
  <c r="L686" i="1" a="1"/>
  <c r="I687" i="1" a="1"/>
  <c r="M687" i="1"/>
  <c r="C688" i="1" a="1"/>
  <c r="F688" i="1" a="1"/>
  <c r="J688" i="1" a="1"/>
  <c r="G689" i="1" a="1"/>
  <c r="N689" i="1" a="1"/>
  <c r="Q689" i="1" s="1"/>
  <c r="L690" i="1" a="1"/>
  <c r="I691" i="1" a="1"/>
  <c r="M691" i="1"/>
  <c r="C692" i="1" a="1"/>
  <c r="F692" i="1" a="1"/>
  <c r="J692" i="1" a="1"/>
  <c r="G693" i="1" a="1"/>
  <c r="N693" i="1" a="1"/>
  <c r="Q693" i="1" s="1"/>
  <c r="L694" i="1" a="1"/>
  <c r="I695" i="1" a="1"/>
  <c r="M695" i="1"/>
  <c r="C696" i="1" a="1"/>
  <c r="F696" i="1" a="1"/>
  <c r="J696" i="1" a="1"/>
  <c r="G697" i="1" a="1"/>
  <c r="N697" i="1" a="1"/>
  <c r="Q697" i="1" s="1"/>
  <c r="L698" i="1" a="1"/>
  <c r="I699" i="1" a="1"/>
  <c r="M699" i="1"/>
  <c r="C700" i="1" a="1"/>
  <c r="F700" i="1" a="1"/>
  <c r="J700" i="1" a="1"/>
  <c r="G701" i="1" a="1"/>
  <c r="N701" i="1" a="1"/>
  <c r="Q701" i="1" s="1"/>
  <c r="L702" i="1" a="1"/>
  <c r="I703" i="1" a="1"/>
  <c r="M703" i="1"/>
  <c r="C704" i="1" a="1"/>
  <c r="F704" i="1" a="1"/>
  <c r="J704" i="1" a="1"/>
  <c r="G705" i="1" a="1"/>
  <c r="N705" i="1" a="1"/>
  <c r="Q705" i="1" s="1"/>
  <c r="L706" i="1" a="1"/>
  <c r="L707" i="1" a="1"/>
  <c r="L708" i="1" a="1"/>
  <c r="L709" i="1" a="1"/>
  <c r="L710" i="1" a="1"/>
  <c r="L711" i="1" a="1"/>
  <c r="U52" i="4" s="1" a="1"/>
  <c r="V52" i="4" a="1"/>
  <c r="U68" i="4" s="1" a="1"/>
  <c r="V68" i="4" a="1"/>
  <c r="U119" i="4" s="1" a="1"/>
  <c r="V119" i="4" a="1"/>
  <c r="U60" i="4" s="1" a="1"/>
  <c r="V60" i="4" a="1"/>
  <c r="U95" i="4" s="1" a="1"/>
  <c r="V95" i="4" a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O177" i="1" s="1"/>
  <c r="F177" i="1" a="1"/>
  <c r="J180" i="1" a="1"/>
  <c r="G184" i="1" a="1"/>
  <c r="M184" i="1"/>
  <c r="I186" i="1" a="1"/>
  <c r="G174" i="1" a="1"/>
  <c r="F175" i="1" a="1"/>
  <c r="F176" i="1" a="1"/>
  <c r="G177" i="1" a="1"/>
  <c r="M177" i="1"/>
  <c r="F182" i="1" a="1"/>
  <c r="M182" i="1"/>
  <c r="C184" i="1" a="1"/>
  <c r="O184" i="1" s="1"/>
  <c r="I184" i="1" a="1"/>
  <c r="I174" i="1" a="1"/>
  <c r="J175" i="1" a="1"/>
  <c r="C176" i="1" a="1"/>
  <c r="O176" i="1" s="1"/>
  <c r="G176" i="1" a="1"/>
  <c r="M176" i="1"/>
  <c r="I177" i="1" a="1"/>
  <c r="G178" i="1" a="1"/>
  <c r="M178" i="1"/>
  <c r="C180" i="1" a="1"/>
  <c r="O180" i="1" s="1"/>
  <c r="F180" i="1" a="1"/>
  <c r="M180" i="1"/>
  <c r="C182" i="1" a="1"/>
  <c r="O182" i="1" s="1"/>
  <c r="I182" i="1" a="1"/>
  <c r="I176" i="1" a="1"/>
  <c r="I178" i="1" a="1"/>
  <c r="I180" i="1" a="1"/>
  <c r="J182" i="1" a="1"/>
  <c r="G186" i="1" a="1"/>
  <c r="M186" i="1"/>
  <c r="M173" i="1"/>
  <c r="M179" i="1"/>
  <c r="C170" i="1" a="1"/>
  <c r="O170" i="1" s="1"/>
  <c r="G181" i="1" a="1"/>
  <c r="F168" i="1" a="1"/>
  <c r="F181" i="1" a="1"/>
  <c r="C179" i="1" a="1"/>
  <c r="O179" i="1" s="1"/>
  <c r="F171" i="1" a="1"/>
  <c r="F166" i="1" a="1"/>
  <c r="I165" i="1" a="1"/>
  <c r="I169" i="1" a="1"/>
  <c r="C178" i="1" a="1"/>
  <c r="O178" i="1" s="1"/>
  <c r="I179" i="1" a="1"/>
  <c r="G182" i="1" a="1"/>
  <c r="M183" i="1"/>
  <c r="J186" i="1" a="1"/>
  <c r="C169" i="1" a="1"/>
  <c r="O169" i="1" s="1"/>
  <c r="G173" i="1" a="1"/>
  <c r="C165" i="1" a="1"/>
  <c r="O165" i="1" s="1"/>
  <c r="G163" i="1" a="1"/>
  <c r="M164" i="1"/>
  <c r="G167" i="1" a="1"/>
  <c r="M168" i="1"/>
  <c r="C174" i="1" a="1"/>
  <c r="O174" i="1" s="1"/>
  <c r="F179" i="1" a="1"/>
  <c r="J181" i="1" a="1"/>
  <c r="C185" i="1" a="1"/>
  <c r="O185" i="1" s="1"/>
  <c r="G185" i="1" a="1"/>
  <c r="F170" i="1" a="1"/>
  <c r="I173" i="1" a="1"/>
  <c r="C164" i="1" a="1"/>
  <c r="O164" i="1" s="1"/>
  <c r="C168" i="1" a="1"/>
  <c r="O168" i="1" s="1"/>
  <c r="G164" i="1" a="1"/>
  <c r="G168" i="1" a="1"/>
  <c r="G172" i="1" a="1"/>
  <c r="C175" i="1" a="1"/>
  <c r="O175" i="1" s="1"/>
  <c r="F178" i="1" a="1"/>
  <c r="I181" i="1" a="1"/>
  <c r="F169" i="1" a="1"/>
  <c r="F165" i="1" a="1"/>
  <c r="I166" i="1" a="1"/>
  <c r="I170" i="1" a="1"/>
  <c r="F174" i="1" a="1"/>
  <c r="J171" i="1" a="1"/>
  <c r="J183" i="1" a="1"/>
  <c r="F185" i="1" a="1"/>
  <c r="C183" i="1" a="1"/>
  <c r="O183" i="1" s="1"/>
  <c r="M185" i="1"/>
  <c r="F164" i="1" a="1"/>
  <c r="C173" i="1" a="1"/>
  <c r="O173" i="1" s="1"/>
  <c r="I163" i="1" a="1"/>
  <c r="I167" i="1" a="1"/>
  <c r="I171" i="1" a="1"/>
  <c r="I175" i="1" a="1"/>
  <c r="G180" i="1" a="1"/>
  <c r="M181" i="1"/>
  <c r="F184" i="1" a="1"/>
  <c r="C186" i="1" a="1"/>
  <c r="O186" i="1" s="1"/>
  <c r="C171" i="1" a="1"/>
  <c r="O171" i="1" s="1"/>
  <c r="C163" i="1" a="1"/>
  <c r="O163" i="1" s="1"/>
  <c r="C167" i="1" a="1"/>
  <c r="O167" i="1" s="1"/>
  <c r="G165" i="1" a="1"/>
  <c r="M166" i="1"/>
  <c r="G169" i="1" a="1"/>
  <c r="I172" i="1" a="1"/>
  <c r="J174" i="1" a="1"/>
  <c r="C172" i="1" a="1"/>
  <c r="O172" i="1" s="1"/>
  <c r="C181" i="1" a="1"/>
  <c r="O181" i="1" s="1"/>
  <c r="I185" i="1" a="1"/>
  <c r="J185" i="1" a="1"/>
  <c r="G179" i="1" a="1"/>
  <c r="F183" i="1" a="1"/>
  <c r="G183" i="1" a="1"/>
  <c r="F172" i="1" a="1"/>
  <c r="C166" i="1" a="1"/>
  <c r="O166" i="1" s="1"/>
  <c r="F173" i="1" a="1"/>
  <c r="M163" i="1"/>
  <c r="G166" i="1" a="1"/>
  <c r="G170" i="1" a="1"/>
  <c r="M175" i="1"/>
  <c r="I183" i="1" a="1"/>
  <c r="J184" i="1" a="1"/>
  <c r="F186" i="1" a="1"/>
  <c r="F163" i="1" a="1"/>
  <c r="F167" i="1" a="1"/>
  <c r="I164" i="1" a="1"/>
  <c r="I168" i="1" a="1"/>
  <c r="G171" i="1" a="1"/>
  <c r="G175" i="1" a="1"/>
  <c r="I26" i="1" a="1"/>
  <c r="I27" i="1" a="1"/>
  <c r="I28" i="1" a="1"/>
  <c r="C49" i="1" a="1"/>
  <c r="O49" i="1" s="1"/>
  <c r="M158" i="1"/>
  <c r="M32" i="1"/>
  <c r="M116" i="1"/>
  <c r="M56" i="1"/>
  <c r="M92" i="1"/>
  <c r="M128" i="1"/>
  <c r="M62" i="1"/>
  <c r="M98" i="1"/>
  <c r="M134" i="1"/>
  <c r="M68" i="1"/>
  <c r="M104" i="1"/>
  <c r="M14" i="1"/>
  <c r="M152" i="1"/>
  <c r="M38" i="1"/>
  <c r="M110" i="1"/>
  <c r="M146" i="1"/>
  <c r="M20" i="1"/>
  <c r="M26" i="1"/>
  <c r="M15" i="1"/>
  <c r="M70" i="1"/>
  <c r="M25" i="1"/>
  <c r="M151" i="1"/>
  <c r="M73" i="1"/>
  <c r="M37" i="1"/>
  <c r="M138" i="1"/>
  <c r="M54" i="1"/>
  <c r="M23" i="1"/>
  <c r="M149" i="1"/>
  <c r="M41" i="1"/>
  <c r="M148" i="1"/>
  <c r="M21" i="1"/>
  <c r="M135" i="1"/>
  <c r="M45" i="1"/>
  <c r="M9" i="1"/>
  <c r="M100" i="1"/>
  <c r="M52" i="1"/>
  <c r="M19" i="1"/>
  <c r="M145" i="1"/>
  <c r="M109" i="1"/>
  <c r="M67" i="1"/>
  <c r="M6" i="1"/>
  <c r="M132" i="1"/>
  <c r="M17" i="1"/>
  <c r="M143" i="1"/>
  <c r="M107" i="1"/>
  <c r="M71" i="1"/>
  <c r="M57" i="1"/>
  <c r="M28" i="1"/>
  <c r="M139" i="1"/>
  <c r="M103" i="1"/>
  <c r="M61" i="1"/>
  <c r="M162" i="1"/>
  <c r="M42" i="1"/>
  <c r="M137" i="1"/>
  <c r="M101" i="1"/>
  <c r="M65" i="1"/>
  <c r="M136" i="1"/>
  <c r="M76" i="1"/>
  <c r="M159" i="1"/>
  <c r="M39" i="1"/>
  <c r="M69" i="1"/>
  <c r="M33" i="1"/>
  <c r="M46" i="1"/>
  <c r="M7" i="1"/>
  <c r="M133" i="1"/>
  <c r="M55" i="1"/>
  <c r="M30" i="1"/>
  <c r="M156" i="1"/>
  <c r="M72" i="1"/>
  <c r="M36" i="1"/>
  <c r="M5" i="1"/>
  <c r="M131" i="1"/>
  <c r="M95" i="1"/>
  <c r="M59" i="1"/>
  <c r="M58" i="1"/>
  <c r="M153" i="1"/>
  <c r="M117" i="1"/>
  <c r="M16" i="1"/>
  <c r="M99" i="1"/>
  <c r="M63" i="1"/>
  <c r="M27" i="1"/>
  <c r="M10" i="1"/>
  <c r="M64" i="1"/>
  <c r="M24" i="1"/>
  <c r="M150" i="1"/>
  <c r="M66" i="1"/>
  <c r="M35" i="1"/>
  <c r="M161" i="1"/>
  <c r="M125" i="1"/>
  <c r="M53" i="1"/>
  <c r="M40" i="1"/>
  <c r="M147" i="1"/>
  <c r="M111" i="1"/>
  <c r="M97" i="1"/>
  <c r="M94" i="1"/>
  <c r="M31" i="1"/>
  <c r="M121" i="1"/>
  <c r="M79" i="1"/>
  <c r="M18" i="1"/>
  <c r="M144" i="1"/>
  <c r="M108" i="1"/>
  <c r="M60" i="1"/>
  <c r="M29" i="1"/>
  <c r="M155" i="1"/>
  <c r="M119" i="1"/>
  <c r="M83" i="1"/>
  <c r="M154" i="1"/>
  <c r="M118" i="1"/>
  <c r="M105" i="1"/>
  <c r="M22" i="1"/>
  <c r="J108" i="4"/>
  <c r="J114" i="4"/>
  <c r="J119" i="4"/>
  <c r="J125" i="4"/>
  <c r="J131" i="4"/>
  <c r="J137" i="4"/>
  <c r="J143" i="4"/>
  <c r="J149" i="4"/>
  <c r="J155" i="4"/>
  <c r="J161" i="4"/>
  <c r="J167" i="4"/>
  <c r="J173" i="4"/>
  <c r="J179" i="4"/>
  <c r="J185" i="4"/>
  <c r="J191" i="4"/>
  <c r="J197" i="4"/>
  <c r="J203" i="4"/>
  <c r="J209" i="4"/>
  <c r="J215" i="4"/>
  <c r="J221" i="4"/>
  <c r="J227" i="4"/>
  <c r="J233" i="4"/>
  <c r="J239" i="4"/>
  <c r="J245" i="4"/>
  <c r="J251" i="4"/>
  <c r="J109" i="4"/>
  <c r="J111" i="4"/>
  <c r="J104" i="4"/>
  <c r="J115" i="4"/>
  <c r="J117" i="4"/>
  <c r="J120" i="4"/>
  <c r="J167" i="1" s="1" a="1"/>
  <c r="J121" i="4"/>
  <c r="J59" i="1" s="1" a="1"/>
  <c r="J123" i="4"/>
  <c r="J126" i="4"/>
  <c r="J127" i="4"/>
  <c r="J129" i="4"/>
  <c r="J132" i="4"/>
  <c r="J133" i="4"/>
  <c r="J135" i="4"/>
  <c r="J138" i="4"/>
  <c r="J139" i="4"/>
  <c r="J141" i="4"/>
  <c r="J144" i="4"/>
  <c r="J145" i="4"/>
  <c r="J147" i="4"/>
  <c r="J150" i="4"/>
  <c r="J151" i="4"/>
  <c r="J153" i="4"/>
  <c r="J156" i="4"/>
  <c r="J157" i="4"/>
  <c r="J159" i="4"/>
  <c r="J162" i="4"/>
  <c r="J163" i="4"/>
  <c r="J165" i="4"/>
  <c r="J168" i="4"/>
  <c r="J169" i="4"/>
  <c r="J171" i="4"/>
  <c r="J174" i="4"/>
  <c r="J175" i="4"/>
  <c r="J177" i="4"/>
  <c r="J180" i="4"/>
  <c r="J181" i="4"/>
  <c r="J183" i="4"/>
  <c r="J186" i="4"/>
  <c r="J187" i="4"/>
  <c r="J189" i="4"/>
  <c r="J192" i="4"/>
  <c r="J193" i="4"/>
  <c r="J195" i="4"/>
  <c r="J198" i="4"/>
  <c r="J199" i="4"/>
  <c r="J201" i="4"/>
  <c r="J204" i="4"/>
  <c r="J205" i="4"/>
  <c r="J207" i="4"/>
  <c r="J210" i="4"/>
  <c r="J211" i="4"/>
  <c r="J213" i="4"/>
  <c r="J216" i="4"/>
  <c r="J217" i="4"/>
  <c r="J219" i="4"/>
  <c r="J222" i="4"/>
  <c r="J223" i="4"/>
  <c r="J225" i="4"/>
  <c r="J228" i="4"/>
  <c r="J229" i="4"/>
  <c r="J231" i="4"/>
  <c r="J234" i="4"/>
  <c r="J235" i="4"/>
  <c r="J237" i="4"/>
  <c r="J240" i="4"/>
  <c r="J241" i="4"/>
  <c r="J243" i="4"/>
  <c r="J246" i="4"/>
  <c r="J247" i="4"/>
  <c r="J249" i="4"/>
  <c r="J252" i="4"/>
  <c r="J105" i="4"/>
  <c r="J112" i="4"/>
  <c r="J113" i="4"/>
  <c r="J116" i="4"/>
  <c r="J118" i="4"/>
  <c r="J122" i="4"/>
  <c r="J124" i="4"/>
  <c r="J128" i="4"/>
  <c r="J106" i="1" s="1" a="1"/>
  <c r="J130" i="4"/>
  <c r="J134" i="4"/>
  <c r="J136" i="4"/>
  <c r="J140" i="4"/>
  <c r="J141" i="1" s="1" a="1"/>
  <c r="J142" i="4"/>
  <c r="J146" i="4"/>
  <c r="J148" i="4"/>
  <c r="J152" i="4"/>
  <c r="J154" i="4"/>
  <c r="J158" i="4"/>
  <c r="J160" i="4"/>
  <c r="J164" i="4"/>
  <c r="J166" i="4"/>
  <c r="J170" i="4"/>
  <c r="J172" i="4"/>
  <c r="J176" i="4"/>
  <c r="J178" i="4"/>
  <c r="J182" i="4"/>
  <c r="J184" i="4"/>
  <c r="J188" i="4"/>
  <c r="J190" i="4"/>
  <c r="J194" i="4"/>
  <c r="J196" i="4"/>
  <c r="J200" i="4"/>
  <c r="J202" i="4"/>
  <c r="J206" i="4"/>
  <c r="J208" i="4"/>
  <c r="J212" i="4"/>
  <c r="J214" i="4"/>
  <c r="J218" i="4"/>
  <c r="J220" i="4"/>
  <c r="J224" i="4"/>
  <c r="J226" i="4"/>
  <c r="J230" i="4"/>
  <c r="J232" i="4"/>
  <c r="J236" i="4"/>
  <c r="J238" i="4"/>
  <c r="J242" i="4"/>
  <c r="J244" i="4"/>
  <c r="J248" i="4"/>
  <c r="J250" i="4"/>
  <c r="J107" i="4"/>
  <c r="J106" i="4"/>
  <c r="J110" i="4"/>
  <c r="B2" i="8"/>
  <c r="I87" i="8"/>
  <c r="J87" i="4" s="1"/>
  <c r="I2" i="1" a="1"/>
  <c r="G11" i="1" a="1"/>
  <c r="I8" i="1" a="1"/>
  <c r="G4" i="1" a="1"/>
  <c r="G17" i="1" a="1"/>
  <c r="G23" i="1" a="1"/>
  <c r="G29" i="1" a="1"/>
  <c r="G35" i="1" a="1"/>
  <c r="G41" i="1" a="1"/>
  <c r="G47" i="1" a="1"/>
  <c r="G53" i="1" a="1"/>
  <c r="G59" i="1" a="1"/>
  <c r="G65" i="1" a="1"/>
  <c r="G71" i="1" a="1"/>
  <c r="G77" i="1" a="1"/>
  <c r="G83" i="1" a="1"/>
  <c r="G89" i="1" a="1"/>
  <c r="G95" i="1" a="1"/>
  <c r="G101" i="1" a="1"/>
  <c r="G12" i="1" a="1"/>
  <c r="G18" i="1" a="1"/>
  <c r="G24" i="1" a="1"/>
  <c r="G30" i="1" a="1"/>
  <c r="G36" i="1" a="1"/>
  <c r="G42" i="1" a="1"/>
  <c r="G48" i="1" a="1"/>
  <c r="G54" i="1" a="1"/>
  <c r="G60" i="1" a="1"/>
  <c r="G66" i="1" a="1"/>
  <c r="G72" i="1" a="1"/>
  <c r="G78" i="1" a="1"/>
  <c r="G84" i="1" a="1"/>
  <c r="G90" i="1" a="1"/>
  <c r="G96" i="1" a="1"/>
  <c r="G1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15" i="1" a="1"/>
  <c r="G21" i="1" a="1"/>
  <c r="G27" i="1" a="1"/>
  <c r="G33" i="1" a="1"/>
  <c r="G39" i="1" a="1"/>
  <c r="G45" i="1" a="1"/>
  <c r="G51" i="1" a="1"/>
  <c r="G57" i="1" a="1"/>
  <c r="G63" i="1" a="1"/>
  <c r="G69" i="1" a="1"/>
  <c r="G75" i="1" a="1"/>
  <c r="G81" i="1" a="1"/>
  <c r="G87" i="1" a="1"/>
  <c r="G93" i="1" a="1"/>
  <c r="G99" i="1" a="1"/>
  <c r="G105" i="1" a="1"/>
  <c r="G111" i="1" a="1"/>
  <c r="G117" i="1" a="1"/>
  <c r="G123" i="1" a="1"/>
  <c r="G129" i="1" a="1"/>
  <c r="G135" i="1" a="1"/>
  <c r="G141" i="1" a="1"/>
  <c r="G147" i="1" a="1"/>
  <c r="G153" i="1" a="1"/>
  <c r="G159" i="1" a="1"/>
  <c r="G16" i="1" a="1"/>
  <c r="G34" i="1" a="1"/>
  <c r="G52" i="1" a="1"/>
  <c r="G70" i="1" a="1"/>
  <c r="G86" i="1" a="1"/>
  <c r="G98" i="1" a="1"/>
  <c r="G107" i="1" a="1"/>
  <c r="G114" i="1" a="1"/>
  <c r="G121" i="1" a="1"/>
  <c r="G128" i="1" a="1"/>
  <c r="G136" i="1" a="1"/>
  <c r="G143" i="1" a="1"/>
  <c r="G150" i="1" a="1"/>
  <c r="G157" i="1" a="1"/>
  <c r="F8" i="1" a="1"/>
  <c r="F14" i="1" a="1"/>
  <c r="F20" i="1" a="1"/>
  <c r="F26" i="1" a="1"/>
  <c r="F32" i="1" a="1"/>
  <c r="F38" i="1" a="1"/>
  <c r="F44" i="1" a="1"/>
  <c r="F50" i="1" a="1"/>
  <c r="F56" i="1" a="1"/>
  <c r="F62" i="1" a="1"/>
  <c r="F68" i="1" a="1"/>
  <c r="F74" i="1" a="1"/>
  <c r="F80" i="1" a="1"/>
  <c r="F86" i="1" a="1"/>
  <c r="F92" i="1" a="1"/>
  <c r="F98" i="1" a="1"/>
  <c r="F104" i="1" a="1"/>
  <c r="F110" i="1" a="1"/>
  <c r="F116" i="1" a="1"/>
  <c r="F122" i="1" a="1"/>
  <c r="F128" i="1" a="1"/>
  <c r="F134" i="1" a="1"/>
  <c r="F140" i="1" a="1"/>
  <c r="F146" i="1" a="1"/>
  <c r="F152" i="1" a="1"/>
  <c r="F158" i="1" a="1"/>
  <c r="G19" i="1" a="1"/>
  <c r="G37" i="1" a="1"/>
  <c r="G55" i="1" a="1"/>
  <c r="G73" i="1" a="1"/>
  <c r="G88" i="1" a="1"/>
  <c r="G100" i="1" a="1"/>
  <c r="G108" i="1" a="1"/>
  <c r="G115" i="1" a="1"/>
  <c r="G122" i="1" a="1"/>
  <c r="G130" i="1" a="1"/>
  <c r="G137" i="1" a="1"/>
  <c r="G144" i="1" a="1"/>
  <c r="G151" i="1" a="1"/>
  <c r="G158" i="1" a="1"/>
  <c r="F3" i="1" a="1"/>
  <c r="F9" i="1" a="1"/>
  <c r="F15" i="1" a="1"/>
  <c r="F21" i="1" a="1"/>
  <c r="F27" i="1" a="1"/>
  <c r="F33" i="1" a="1"/>
  <c r="F39" i="1" a="1"/>
  <c r="F45" i="1" a="1"/>
  <c r="F51" i="1" a="1"/>
  <c r="F57" i="1" a="1"/>
  <c r="F63" i="1" a="1"/>
  <c r="F69" i="1" a="1"/>
  <c r="F75" i="1" a="1"/>
  <c r="F81" i="1" a="1"/>
  <c r="F87" i="1" a="1"/>
  <c r="F93" i="1" a="1"/>
  <c r="F99" i="1" a="1"/>
  <c r="F105" i="1" a="1"/>
  <c r="F111" i="1" a="1"/>
  <c r="F117" i="1" a="1"/>
  <c r="F123" i="1" a="1"/>
  <c r="F129" i="1" a="1"/>
  <c r="F135" i="1" a="1"/>
  <c r="F141" i="1" a="1"/>
  <c r="F147" i="1" a="1"/>
  <c r="F153" i="1" a="1"/>
  <c r="F159" i="1" a="1"/>
  <c r="F2" i="1" a="1"/>
  <c r="G22" i="1" a="1"/>
  <c r="G40" i="1" a="1"/>
  <c r="G58" i="1" a="1"/>
  <c r="G76" i="1" a="1"/>
  <c r="G91" i="1" a="1"/>
  <c r="G102" i="1" a="1"/>
  <c r="G109" i="1" a="1"/>
  <c r="G116" i="1" a="1"/>
  <c r="G124" i="1" a="1"/>
  <c r="G131" i="1" a="1"/>
  <c r="G138" i="1" a="1"/>
  <c r="G145" i="1" a="1"/>
  <c r="G152" i="1" a="1"/>
  <c r="G160" i="1" a="1"/>
  <c r="G25" i="1" a="1"/>
  <c r="G43" i="1" a="1"/>
  <c r="G61" i="1" a="1"/>
  <c r="G79" i="1" a="1"/>
  <c r="G92" i="1" a="1"/>
  <c r="G103" i="1" a="1"/>
  <c r="G110" i="1" a="1"/>
  <c r="G118" i="1" a="1"/>
  <c r="G125" i="1" a="1"/>
  <c r="G132" i="1" a="1"/>
  <c r="G139" i="1" a="1"/>
  <c r="G146" i="1" a="1"/>
  <c r="G154" i="1" a="1"/>
  <c r="G161" i="1" a="1"/>
  <c r="F5" i="1" a="1"/>
  <c r="F11" i="1" a="1"/>
  <c r="F17" i="1" a="1"/>
  <c r="F23" i="1" a="1"/>
  <c r="F29" i="1" a="1"/>
  <c r="F35" i="1" a="1"/>
  <c r="F41" i="1" a="1"/>
  <c r="F47" i="1" a="1"/>
  <c r="F53" i="1" a="1"/>
  <c r="F59" i="1" a="1"/>
  <c r="F65" i="1" a="1"/>
  <c r="F71" i="1" a="1"/>
  <c r="F77" i="1" a="1"/>
  <c r="F83" i="1" a="1"/>
  <c r="F89" i="1" a="1"/>
  <c r="F95" i="1" a="1"/>
  <c r="F101" i="1" a="1"/>
  <c r="F107" i="1" a="1"/>
  <c r="F113" i="1" a="1"/>
  <c r="F119" i="1" a="1"/>
  <c r="F125" i="1" a="1"/>
  <c r="F131" i="1" a="1"/>
  <c r="F137" i="1" a="1"/>
  <c r="F143" i="1" a="1"/>
  <c r="F149" i="1" a="1"/>
  <c r="F155" i="1" a="1"/>
  <c r="F161" i="1" a="1"/>
  <c r="C6" i="1" a="1"/>
  <c r="O6" i="1" s="1"/>
  <c r="G28" i="1" a="1"/>
  <c r="G46" i="1" a="1"/>
  <c r="G64" i="1" a="1"/>
  <c r="G82" i="1" a="1"/>
  <c r="G94" i="1" a="1"/>
  <c r="G104" i="1" a="1"/>
  <c r="G112" i="1" a="1"/>
  <c r="G119" i="1" a="1"/>
  <c r="G126" i="1" a="1"/>
  <c r="G133" i="1" a="1"/>
  <c r="G140" i="1" a="1"/>
  <c r="G148" i="1" a="1"/>
  <c r="G155" i="1" a="1"/>
  <c r="G162" i="1" a="1"/>
  <c r="F6" i="1" a="1"/>
  <c r="F12" i="1" a="1"/>
  <c r="F18" i="1" a="1"/>
  <c r="F24" i="1" a="1"/>
  <c r="F30" i="1" a="1"/>
  <c r="F36" i="1" a="1"/>
  <c r="F42" i="1" a="1"/>
  <c r="F48" i="1" a="1"/>
  <c r="F54" i="1" a="1"/>
  <c r="F60" i="1" a="1"/>
  <c r="F66" i="1" a="1"/>
  <c r="F72" i="1" a="1"/>
  <c r="F78" i="1" a="1"/>
  <c r="F84" i="1" a="1"/>
  <c r="F90" i="1" a="1"/>
  <c r="F96" i="1" a="1"/>
  <c r="F102" i="1" a="1"/>
  <c r="F108" i="1" a="1"/>
  <c r="F114" i="1" a="1"/>
  <c r="F120" i="1" a="1"/>
  <c r="F126" i="1" a="1"/>
  <c r="F132" i="1" a="1"/>
  <c r="F138" i="1" a="1"/>
  <c r="F144" i="1" a="1"/>
  <c r="F150" i="1" a="1"/>
  <c r="F156" i="1" a="1"/>
  <c r="F162" i="1" a="1"/>
  <c r="G67" i="1" a="1"/>
  <c r="G127" i="1" a="1"/>
  <c r="F4" i="1" a="1"/>
  <c r="F22" i="1" a="1"/>
  <c r="F40" i="1" a="1"/>
  <c r="F58" i="1" a="1"/>
  <c r="F76" i="1" a="1"/>
  <c r="F94" i="1" a="1"/>
  <c r="F112" i="1" a="1"/>
  <c r="F130" i="1" a="1"/>
  <c r="F148" i="1" a="1"/>
  <c r="C48" i="1" a="1"/>
  <c r="O48" i="1" s="1"/>
  <c r="C70" i="1" a="1"/>
  <c r="O70" i="1" s="1"/>
  <c r="C88" i="1" a="1"/>
  <c r="O88" i="1" s="1"/>
  <c r="C103" i="1" a="1"/>
  <c r="O103" i="1" s="1"/>
  <c r="C120" i="1" a="1"/>
  <c r="O120" i="1" s="1"/>
  <c r="C133" i="1" a="1"/>
  <c r="O133" i="1" s="1"/>
  <c r="C148" i="1" a="1"/>
  <c r="O148" i="1" s="1"/>
  <c r="G85" i="1" a="1"/>
  <c r="G134" i="1" a="1"/>
  <c r="F7" i="1" a="1"/>
  <c r="F25" i="1" a="1"/>
  <c r="F43" i="1" a="1"/>
  <c r="F61" i="1" a="1"/>
  <c r="F79" i="1" a="1"/>
  <c r="F97" i="1" a="1"/>
  <c r="F115" i="1" a="1"/>
  <c r="F133" i="1" a="1"/>
  <c r="F151" i="1" a="1"/>
  <c r="C72" i="1" a="1"/>
  <c r="O72" i="1" s="1"/>
  <c r="C90" i="1" a="1"/>
  <c r="O90" i="1" s="1"/>
  <c r="C106" i="1" a="1"/>
  <c r="O106" i="1" s="1"/>
  <c r="C121" i="1" a="1"/>
  <c r="O121" i="1" s="1"/>
  <c r="C136" i="1" a="1"/>
  <c r="O136" i="1" s="1"/>
  <c r="C150" i="1" a="1"/>
  <c r="O150" i="1" s="1"/>
  <c r="C160" i="1" a="1"/>
  <c r="O160" i="1" s="1"/>
  <c r="G97" i="1" a="1"/>
  <c r="G142" i="1" a="1"/>
  <c r="F10" i="1" a="1"/>
  <c r="F28" i="1" a="1"/>
  <c r="F46" i="1" a="1"/>
  <c r="F64" i="1" a="1"/>
  <c r="F82" i="1" a="1"/>
  <c r="F100" i="1" a="1"/>
  <c r="F118" i="1" a="1"/>
  <c r="F136" i="1" a="1"/>
  <c r="F154" i="1" a="1"/>
  <c r="C76" i="1" a="1"/>
  <c r="O76" i="1" s="1"/>
  <c r="C94" i="1" a="1"/>
  <c r="O94" i="1" s="1"/>
  <c r="C108" i="1" a="1"/>
  <c r="O108" i="1" s="1"/>
  <c r="C124" i="1" a="1"/>
  <c r="O124" i="1" s="1"/>
  <c r="C138" i="1" a="1"/>
  <c r="O138" i="1" s="1"/>
  <c r="C151" i="1" a="1"/>
  <c r="O151" i="1" s="1"/>
  <c r="C162" i="1" a="1"/>
  <c r="O162" i="1" s="1"/>
  <c r="G3" i="1" a="1"/>
  <c r="G106" i="1" a="1"/>
  <c r="G149" i="1" a="1"/>
  <c r="F13" i="1" a="1"/>
  <c r="F31" i="1" a="1"/>
  <c r="F49" i="1" a="1"/>
  <c r="F67" i="1" a="1"/>
  <c r="F85" i="1" a="1"/>
  <c r="F103" i="1" a="1"/>
  <c r="F121" i="1" a="1"/>
  <c r="F139" i="1" a="1"/>
  <c r="F157" i="1" a="1"/>
  <c r="C12" i="1" a="1"/>
  <c r="O12" i="1" s="1"/>
  <c r="C58" i="1" a="1"/>
  <c r="O58" i="1" s="1"/>
  <c r="C78" i="1" a="1"/>
  <c r="O78" i="1" s="1"/>
  <c r="C96" i="1" a="1"/>
  <c r="O96" i="1" s="1"/>
  <c r="C112" i="1" a="1"/>
  <c r="O112" i="1" s="1"/>
  <c r="C126" i="1" a="1"/>
  <c r="O126" i="1" s="1"/>
  <c r="C139" i="1" a="1"/>
  <c r="O139" i="1" s="1"/>
  <c r="C153" i="1" a="1"/>
  <c r="O153" i="1" s="1"/>
  <c r="G31" i="1" a="1"/>
  <c r="G113" i="1" a="1"/>
  <c r="G156" i="1" a="1"/>
  <c r="F16" i="1" a="1"/>
  <c r="F34" i="1" a="1"/>
  <c r="F52" i="1" a="1"/>
  <c r="F70" i="1" a="1"/>
  <c r="F88" i="1" a="1"/>
  <c r="F106" i="1" a="1"/>
  <c r="F124" i="1" a="1"/>
  <c r="F142" i="1" a="1"/>
  <c r="F160" i="1" a="1"/>
  <c r="C15" i="1" a="1"/>
  <c r="O15" i="1" s="1"/>
  <c r="C40" i="1" a="1"/>
  <c r="O40" i="1" s="1"/>
  <c r="C60" i="1" a="1"/>
  <c r="O60" i="1" s="1"/>
  <c r="C79" i="1" a="1"/>
  <c r="O79" i="1" s="1"/>
  <c r="C97" i="1" a="1"/>
  <c r="O97" i="1" s="1"/>
  <c r="C114" i="1" a="1"/>
  <c r="O114" i="1" s="1"/>
  <c r="C130" i="1" a="1"/>
  <c r="O130" i="1" s="1"/>
  <c r="C142" i="1" a="1"/>
  <c r="O142" i="1" s="1"/>
  <c r="C154" i="1" a="1"/>
  <c r="O154" i="1" s="1"/>
  <c r="C42" i="1" a="1"/>
  <c r="O42" i="1" s="1"/>
  <c r="C84" i="1" a="1"/>
  <c r="O84" i="1" s="1"/>
  <c r="C102" i="1" a="1"/>
  <c r="O102" i="1" s="1"/>
  <c r="C132" i="1" a="1"/>
  <c r="O132" i="1" s="1"/>
  <c r="C156" i="1" a="1"/>
  <c r="O156" i="1" s="1"/>
  <c r="G49" i="1" a="1"/>
  <c r="G120" i="1" a="1"/>
  <c r="F19" i="1" a="1"/>
  <c r="F37" i="1" a="1"/>
  <c r="F55" i="1" a="1"/>
  <c r="F73" i="1" a="1"/>
  <c r="F91" i="1" a="1"/>
  <c r="F109" i="1" a="1"/>
  <c r="F127" i="1" a="1"/>
  <c r="F145" i="1" a="1"/>
  <c r="C66" i="1" a="1"/>
  <c r="O66" i="1" s="1"/>
  <c r="C115" i="1" a="1"/>
  <c r="O115" i="1" s="1"/>
  <c r="C144" i="1" a="1"/>
  <c r="O144" i="1" s="1"/>
  <c r="G7" i="1" a="1"/>
  <c r="C87" i="1" a="1"/>
  <c r="O87" i="1" s="1"/>
  <c r="I150" i="1" a="1"/>
  <c r="I132" i="1" a="1"/>
  <c r="I114" i="1" a="1"/>
  <c r="I96" i="1" a="1"/>
  <c r="I78" i="1" a="1"/>
  <c r="I60" i="1" a="1"/>
  <c r="I42" i="1" a="1"/>
  <c r="I24" i="1" a="1"/>
  <c r="C157" i="1" a="1"/>
  <c r="O157" i="1" s="1"/>
  <c r="C5" i="1" a="1"/>
  <c r="O5" i="1" s="1"/>
  <c r="C161" i="1" a="1"/>
  <c r="O161" i="1" s="1"/>
  <c r="C149" i="1" a="1"/>
  <c r="O149" i="1" s="1"/>
  <c r="C137" i="1" a="1"/>
  <c r="O137" i="1" s="1"/>
  <c r="C125" i="1" a="1"/>
  <c r="O125" i="1" s="1"/>
  <c r="C113" i="1" a="1"/>
  <c r="O113" i="1" s="1"/>
  <c r="C101" i="1" a="1"/>
  <c r="O101" i="1" s="1"/>
  <c r="C89" i="1" a="1"/>
  <c r="O89" i="1" s="1"/>
  <c r="C77" i="1" a="1"/>
  <c r="O77" i="1" s="1"/>
  <c r="C65" i="1" a="1"/>
  <c r="O65" i="1" s="1"/>
  <c r="C41" i="1" a="1"/>
  <c r="O41" i="1" s="1"/>
  <c r="C67" i="1" a="1"/>
  <c r="O67" i="1" s="1"/>
  <c r="I148" i="1" a="1"/>
  <c r="I130" i="1" a="1"/>
  <c r="I112" i="1" a="1"/>
  <c r="I94" i="1" a="1"/>
  <c r="I76" i="1" a="1"/>
  <c r="I58" i="1" a="1"/>
  <c r="I40" i="1" a="1"/>
  <c r="C129" i="1" a="1"/>
  <c r="O129" i="1" s="1"/>
  <c r="C111" i="1" a="1"/>
  <c r="O111" i="1" s="1"/>
  <c r="I158" i="1" a="1"/>
  <c r="I146" i="1" a="1"/>
  <c r="I134" i="1" a="1"/>
  <c r="I122" i="1" a="1"/>
  <c r="I110" i="1" a="1"/>
  <c r="I98" i="1" a="1"/>
  <c r="I86" i="1" a="1"/>
  <c r="I74" i="1" a="1"/>
  <c r="I62" i="1" a="1"/>
  <c r="I50" i="1" a="1"/>
  <c r="I38" i="1" a="1"/>
  <c r="I14" i="1" a="1"/>
  <c r="C147" i="1" a="1"/>
  <c r="O147" i="1" s="1"/>
  <c r="C64" i="1" a="1"/>
  <c r="O64" i="1" s="1"/>
  <c r="G10" i="1" a="1"/>
  <c r="I147" i="1" a="1"/>
  <c r="I129" i="1" a="1"/>
  <c r="I111" i="1" a="1"/>
  <c r="I93" i="1" a="1"/>
  <c r="I75" i="1" a="1"/>
  <c r="I57" i="1" a="1"/>
  <c r="I39" i="1" a="1"/>
  <c r="I151" i="1" a="1"/>
  <c r="I133" i="1" a="1"/>
  <c r="I115" i="1" a="1"/>
  <c r="I97" i="1" a="1"/>
  <c r="I79" i="1" a="1"/>
  <c r="I61" i="1" a="1"/>
  <c r="I43" i="1" a="1"/>
  <c r="I25" i="1" a="1"/>
  <c r="C145" i="1" a="1"/>
  <c r="O145" i="1" s="1"/>
  <c r="C9" i="1" a="1"/>
  <c r="O9" i="1" s="1"/>
  <c r="C13" i="1" a="1"/>
  <c r="O13" i="1" s="1"/>
  <c r="C63" i="1" a="1"/>
  <c r="O63" i="1" s="1"/>
  <c r="C61" i="1" a="1"/>
  <c r="O61" i="1" s="1"/>
  <c r="C75" i="1" a="1"/>
  <c r="O75" i="1" s="1"/>
  <c r="C11" i="1" a="1"/>
  <c r="O11" i="1" s="1"/>
  <c r="C158" i="1" a="1"/>
  <c r="O158" i="1" s="1"/>
  <c r="C146" i="1" a="1"/>
  <c r="O146" i="1" s="1"/>
  <c r="C134" i="1" a="1"/>
  <c r="O134" i="1" s="1"/>
  <c r="C122" i="1" a="1"/>
  <c r="O122" i="1" s="1"/>
  <c r="C110" i="1" a="1"/>
  <c r="O110" i="1" s="1"/>
  <c r="C98" i="1" a="1"/>
  <c r="O98" i="1" s="1"/>
  <c r="C86" i="1" a="1"/>
  <c r="O86" i="1" s="1"/>
  <c r="C74" i="1" a="1"/>
  <c r="O74" i="1" s="1"/>
  <c r="C62" i="1" a="1"/>
  <c r="O62" i="1" s="1"/>
  <c r="C14" i="1" a="1"/>
  <c r="O14" i="1" s="1"/>
  <c r="C109" i="1" a="1"/>
  <c r="O109" i="1" s="1"/>
  <c r="I21" i="1" a="1"/>
  <c r="I9" i="1" a="1"/>
  <c r="C93" i="1" a="1"/>
  <c r="O93" i="1" s="1"/>
  <c r="C141" i="1" a="1"/>
  <c r="O141" i="1" s="1"/>
  <c r="I162" i="1" a="1"/>
  <c r="I144" i="1" a="1"/>
  <c r="I126" i="1" a="1"/>
  <c r="I108" i="1" a="1"/>
  <c r="I90" i="1" a="1"/>
  <c r="I72" i="1" a="1"/>
  <c r="I54" i="1" a="1"/>
  <c r="I36" i="1" a="1"/>
  <c r="I18" i="1" a="1"/>
  <c r="C3" i="1" a="1"/>
  <c r="O3" i="1" s="1"/>
  <c r="C7" i="1" a="1"/>
  <c r="O7" i="1" s="1"/>
  <c r="I155" i="1" a="1"/>
  <c r="I143" i="1" a="1"/>
  <c r="I131" i="1" a="1"/>
  <c r="I119" i="1" a="1"/>
  <c r="I107" i="1" a="1"/>
  <c r="I95" i="1" a="1"/>
  <c r="I83" i="1" a="1"/>
  <c r="I71" i="1" a="1"/>
  <c r="I59" i="1" a="1"/>
  <c r="I47" i="1" a="1"/>
  <c r="I35" i="1" a="1"/>
  <c r="I23" i="1" a="1"/>
  <c r="C135" i="1" a="1"/>
  <c r="O135" i="1" s="1"/>
  <c r="I160" i="1" a="1"/>
  <c r="I142" i="1" a="1"/>
  <c r="I124" i="1" a="1"/>
  <c r="I106" i="1" a="1"/>
  <c r="I88" i="1" a="1"/>
  <c r="I70" i="1" a="1"/>
  <c r="I52" i="1" a="1"/>
  <c r="I34" i="1" a="1"/>
  <c r="I16" i="1" a="1"/>
  <c r="C105" i="1" a="1"/>
  <c r="O105" i="1" s="1"/>
  <c r="C118" i="1" a="1"/>
  <c r="O118" i="1" s="1"/>
  <c r="I159" i="1" a="1"/>
  <c r="I141" i="1" a="1"/>
  <c r="I123" i="1" a="1"/>
  <c r="I105" i="1" a="1"/>
  <c r="I87" i="1" a="1"/>
  <c r="I69" i="1" a="1"/>
  <c r="I51" i="1" a="1"/>
  <c r="I145" i="1" a="1"/>
  <c r="I127" i="1" a="1"/>
  <c r="I109" i="1" a="1"/>
  <c r="I91" i="1" a="1"/>
  <c r="I73" i="1" a="1"/>
  <c r="I55" i="1" a="1"/>
  <c r="I37" i="1" a="1"/>
  <c r="I19" i="1" a="1"/>
  <c r="C127" i="1" a="1"/>
  <c r="O127" i="1" s="1"/>
  <c r="C117" i="1" a="1"/>
  <c r="O117" i="1" s="1"/>
  <c r="C155" i="1" a="1"/>
  <c r="O155" i="1" s="1"/>
  <c r="C143" i="1" a="1"/>
  <c r="O143" i="1" s="1"/>
  <c r="C131" i="1" a="1"/>
  <c r="O131" i="1" s="1"/>
  <c r="C119" i="1" a="1"/>
  <c r="O119" i="1" s="1"/>
  <c r="C107" i="1" a="1"/>
  <c r="O107" i="1" s="1"/>
  <c r="C95" i="1" a="1"/>
  <c r="O95" i="1" s="1"/>
  <c r="C83" i="1" a="1"/>
  <c r="O83" i="1" s="1"/>
  <c r="C71" i="1" a="1"/>
  <c r="O71" i="1" s="1"/>
  <c r="C59" i="1" a="1"/>
  <c r="O59" i="1" s="1"/>
  <c r="C47" i="1" a="1"/>
  <c r="O47" i="1" s="1"/>
  <c r="C99" i="1" a="1"/>
  <c r="O99" i="1" s="1"/>
  <c r="I4" i="1" a="1"/>
  <c r="C43" i="1" a="1"/>
  <c r="O43" i="1" s="1"/>
  <c r="I152" i="1" a="1"/>
  <c r="I140" i="1" a="1"/>
  <c r="I128" i="1" a="1"/>
  <c r="I116" i="1" a="1"/>
  <c r="I104" i="1" a="1"/>
  <c r="I92" i="1" a="1"/>
  <c r="I80" i="1" a="1"/>
  <c r="I68" i="1" a="1"/>
  <c r="I56" i="1" a="1"/>
  <c r="I44" i="1" a="1"/>
  <c r="I32" i="1" a="1"/>
  <c r="I20" i="1" a="1"/>
  <c r="C10" i="1" a="1"/>
  <c r="O10" i="1" s="1"/>
  <c r="C100" i="1" a="1"/>
  <c r="O100" i="1" s="1"/>
  <c r="I33" i="1" a="1"/>
  <c r="I15" i="1" a="1"/>
  <c r="C82" i="1" a="1"/>
  <c r="O82" i="1" s="1"/>
  <c r="I3" i="1" a="1"/>
  <c r="C123" i="1" a="1"/>
  <c r="O123" i="1" s="1"/>
  <c r="I156" i="1" a="1"/>
  <c r="I138" i="1" a="1"/>
  <c r="I120" i="1" a="1"/>
  <c r="I102" i="1" a="1"/>
  <c r="I84" i="1" a="1"/>
  <c r="I66" i="1" a="1"/>
  <c r="I48" i="1" a="1"/>
  <c r="I30" i="1" a="1"/>
  <c r="I12" i="1" a="1"/>
  <c r="C85" i="1" a="1"/>
  <c r="O85" i="1" s="1"/>
  <c r="I154" i="1" a="1"/>
  <c r="I136" i="1" a="1"/>
  <c r="I118" i="1" a="1"/>
  <c r="I100" i="1" a="1"/>
  <c r="I82" i="1" a="1"/>
  <c r="I64" i="1" a="1"/>
  <c r="I46" i="1" a="1"/>
  <c r="C152" i="1" a="1"/>
  <c r="O152" i="1" s="1"/>
  <c r="C140" i="1" a="1"/>
  <c r="O140" i="1" s="1"/>
  <c r="C128" i="1" a="1"/>
  <c r="O128" i="1" s="1"/>
  <c r="C116" i="1" a="1"/>
  <c r="O116" i="1" s="1"/>
  <c r="C104" i="1" a="1"/>
  <c r="O104" i="1" s="1"/>
  <c r="C92" i="1" a="1"/>
  <c r="O92" i="1" s="1"/>
  <c r="C80" i="1" a="1"/>
  <c r="O80" i="1" s="1"/>
  <c r="C68" i="1" a="1"/>
  <c r="O68" i="1" s="1"/>
  <c r="C44" i="1" a="1"/>
  <c r="O44" i="1" s="1"/>
  <c r="C4" i="1" a="1"/>
  <c r="O4" i="1" s="1"/>
  <c r="C73" i="1" a="1"/>
  <c r="O73" i="1" s="1"/>
  <c r="C46" i="1" a="1"/>
  <c r="O46" i="1" s="1"/>
  <c r="I153" i="1" a="1"/>
  <c r="I135" i="1" a="1"/>
  <c r="I117" i="1" a="1"/>
  <c r="I99" i="1" a="1"/>
  <c r="I81" i="1" a="1"/>
  <c r="I63" i="1" a="1"/>
  <c r="I45" i="1" a="1"/>
  <c r="I157" i="1" a="1"/>
  <c r="I139" i="1" a="1"/>
  <c r="I121" i="1" a="1"/>
  <c r="I103" i="1" a="1"/>
  <c r="I85" i="1" a="1"/>
  <c r="I67" i="1" a="1"/>
  <c r="I49" i="1" a="1"/>
  <c r="I31" i="1" a="1"/>
  <c r="I13" i="1" a="1"/>
  <c r="C91" i="1" a="1"/>
  <c r="O91" i="1" s="1"/>
  <c r="C45" i="1" a="1"/>
  <c r="O45" i="1" s="1"/>
  <c r="I161" i="1" a="1"/>
  <c r="I149" i="1" a="1"/>
  <c r="I137" i="1" a="1"/>
  <c r="I125" i="1" a="1"/>
  <c r="I113" i="1" a="1"/>
  <c r="I101" i="1" a="1"/>
  <c r="I89" i="1" a="1"/>
  <c r="I77" i="1" a="1"/>
  <c r="I65" i="1" a="1"/>
  <c r="I53" i="1" a="1"/>
  <c r="I41" i="1" a="1"/>
  <c r="I29" i="1" a="1"/>
  <c r="I17" i="1" a="1"/>
  <c r="C81" i="1" a="1"/>
  <c r="O81" i="1" s="1"/>
  <c r="I22" i="1" a="1"/>
  <c r="C159" i="1" a="1"/>
  <c r="O159" i="1" s="1"/>
  <c r="C8" i="1" a="1"/>
  <c r="O8" i="1" s="1"/>
  <c r="C69" i="1" a="1"/>
  <c r="O69" i="1" s="1"/>
  <c r="I10" i="1" a="1"/>
  <c r="I7" i="1" a="1"/>
  <c r="G9" i="1" a="1"/>
  <c r="G6" i="1" a="1"/>
  <c r="G5" i="1" a="1"/>
  <c r="I5" i="1" a="1"/>
  <c r="G2" i="1" a="1"/>
  <c r="G8" i="1" a="1"/>
  <c r="I11" i="1" a="1"/>
  <c r="I6" i="1" a="1"/>
  <c r="I44" i="8"/>
  <c r="J44" i="4" s="1"/>
  <c r="I84" i="8"/>
  <c r="J84" i="4" s="1"/>
  <c r="I56" i="8"/>
  <c r="J56" i="4" s="1"/>
  <c r="I58" i="8"/>
  <c r="J58" i="4" s="1"/>
  <c r="J172" i="1" s="1" a="1"/>
  <c r="I21" i="8"/>
  <c r="I4" i="8"/>
  <c r="I27" i="8"/>
  <c r="J27" i="4" s="1"/>
  <c r="I74" i="8"/>
  <c r="J74" i="4" s="1"/>
  <c r="I22" i="8"/>
  <c r="I60" i="8"/>
  <c r="J60" i="4" s="1"/>
  <c r="I90" i="8"/>
  <c r="J90" i="4" s="1"/>
  <c r="J111" i="1" s="1" a="1"/>
  <c r="I57" i="8"/>
  <c r="J57" i="4" s="1"/>
  <c r="I97" i="8"/>
  <c r="J97" i="4" s="1"/>
  <c r="I86" i="8"/>
  <c r="J86" i="4" s="1"/>
  <c r="I12" i="8"/>
  <c r="J12" i="4" s="1"/>
  <c r="I72" i="8"/>
  <c r="J72" i="4" s="1"/>
  <c r="I45" i="8"/>
  <c r="J45" i="4" s="1"/>
  <c r="I33" i="8"/>
  <c r="J33" i="4" s="1"/>
  <c r="I54" i="8"/>
  <c r="J54" i="4" s="1"/>
  <c r="I20" i="8"/>
  <c r="I18" i="8"/>
  <c r="J256" i="4"/>
  <c r="J255" i="4"/>
  <c r="J258" i="4"/>
  <c r="J253" i="4"/>
  <c r="J254" i="4"/>
  <c r="J257" i="4"/>
  <c r="J259" i="4"/>
  <c r="J260" i="4"/>
  <c r="I89" i="8"/>
  <c r="I73" i="8"/>
  <c r="J73" i="4" s="1"/>
  <c r="I103" i="8"/>
  <c r="J103" i="4" s="1"/>
  <c r="I100" i="8"/>
  <c r="J100" i="4" s="1"/>
  <c r="I53" i="8"/>
  <c r="J53" i="4" s="1"/>
  <c r="I7" i="8"/>
  <c r="I75" i="8"/>
  <c r="J75" i="4" s="1"/>
  <c r="I79" i="8"/>
  <c r="J79" i="4" s="1"/>
  <c r="I19" i="8"/>
  <c r="J19" i="4" s="1"/>
  <c r="J162" i="1" s="1" a="1"/>
  <c r="I93" i="8"/>
  <c r="J93" i="4" s="1"/>
  <c r="I61" i="8"/>
  <c r="J61" i="4" s="1"/>
  <c r="I13" i="8"/>
  <c r="I83" i="8"/>
  <c r="J83" i="4" s="1"/>
  <c r="I8" i="8"/>
  <c r="I23" i="8"/>
  <c r="I11" i="8"/>
  <c r="J11" i="4" s="1"/>
  <c r="I96" i="8"/>
  <c r="J96" i="4" s="1"/>
  <c r="I91" i="8"/>
  <c r="J91" i="4" s="1"/>
  <c r="J101" i="1" s="1" a="1"/>
  <c r="I29" i="8"/>
  <c r="I25" i="8"/>
  <c r="J25" i="4" s="1"/>
  <c r="I31" i="8"/>
  <c r="I52" i="8"/>
  <c r="J52" i="4" s="1"/>
  <c r="I39" i="8"/>
  <c r="J39" i="4" s="1"/>
  <c r="I34" i="8"/>
  <c r="I37" i="8"/>
  <c r="I65" i="8"/>
  <c r="J65" i="4" s="1"/>
  <c r="I63" i="8"/>
  <c r="J63" i="4" s="1"/>
  <c r="I66" i="8"/>
  <c r="J66" i="4" s="1"/>
  <c r="I99" i="8"/>
  <c r="J99" i="4" s="1"/>
  <c r="I64" i="8"/>
  <c r="J64" i="4" s="1"/>
  <c r="J27" i="1" s="1" a="1"/>
  <c r="I98" i="8"/>
  <c r="J98" i="4" s="1"/>
  <c r="I69" i="8"/>
  <c r="J69" i="4" s="1"/>
  <c r="I15" i="8"/>
  <c r="I78" i="8"/>
  <c r="J78" i="4" s="1"/>
  <c r="I10" i="8"/>
  <c r="J10" i="4" s="1"/>
  <c r="J214" i="1" s="1" a="1"/>
  <c r="I16" i="8"/>
  <c r="I46" i="8"/>
  <c r="J46" i="4" s="1"/>
  <c r="I26" i="8"/>
  <c r="I30" i="8"/>
  <c r="I95" i="8"/>
  <c r="J95" i="4" s="1"/>
  <c r="I88" i="8"/>
  <c r="J88" i="4" s="1"/>
  <c r="I70" i="8"/>
  <c r="J70" i="4" s="1"/>
  <c r="I82" i="8"/>
  <c r="J82" i="4" s="1"/>
  <c r="I9" i="8"/>
  <c r="I49" i="8"/>
  <c r="J49" i="4" s="1"/>
  <c r="I71" i="8"/>
  <c r="J71" i="4" s="1"/>
  <c r="I43" i="8"/>
  <c r="J43" i="4" s="1"/>
  <c r="J149" i="1" s="1" a="1"/>
  <c r="I77" i="8"/>
  <c r="J77" i="4" s="1"/>
  <c r="J176" i="1" s="1" a="1"/>
  <c r="I51" i="8"/>
  <c r="J51" i="4" s="1"/>
  <c r="J152" i="1" s="1" a="1"/>
  <c r="I35" i="8"/>
  <c r="I81" i="8"/>
  <c r="J81" i="4" s="1"/>
  <c r="I55" i="8"/>
  <c r="J55" i="4" s="1"/>
  <c r="J140" i="1" s="1" a="1"/>
  <c r="I50" i="8"/>
  <c r="J50" i="4" s="1"/>
  <c r="I38" i="8"/>
  <c r="I68" i="8"/>
  <c r="J68" i="4" s="1"/>
  <c r="I6" i="8"/>
  <c r="I101" i="8"/>
  <c r="J101" i="4" s="1"/>
  <c r="I59" i="8"/>
  <c r="J59" i="4" s="1"/>
  <c r="I42" i="8"/>
  <c r="J42" i="4" s="1"/>
  <c r="I41" i="8"/>
  <c r="I76" i="8"/>
  <c r="J76" i="4" s="1"/>
  <c r="I17" i="8"/>
  <c r="I24" i="8"/>
  <c r="I67" i="8"/>
  <c r="J67" i="4" s="1"/>
  <c r="J108" i="1" s="1" a="1"/>
  <c r="I3" i="8"/>
  <c r="I47" i="8"/>
  <c r="J47" i="4" s="1"/>
  <c r="I92" i="8"/>
  <c r="J92" i="4" s="1"/>
  <c r="I80" i="8"/>
  <c r="J80" i="4" s="1"/>
  <c r="J133" i="1" s="1" a="1"/>
  <c r="I40" i="8"/>
  <c r="J40" i="4" s="1"/>
  <c r="I28" i="8"/>
  <c r="I14" i="8"/>
  <c r="I62" i="8"/>
  <c r="J62" i="4" s="1"/>
  <c r="I102" i="8"/>
  <c r="J102" i="4" s="1"/>
  <c r="I5" i="8"/>
  <c r="I94" i="8"/>
  <c r="J94" i="4" s="1"/>
  <c r="I36" i="8"/>
  <c r="I85" i="8"/>
  <c r="J85" i="4" s="1"/>
  <c r="I48" i="8"/>
  <c r="J48" i="4" s="1"/>
  <c r="I32" i="8"/>
  <c r="K124" i="1" l="1" a="1"/>
  <c r="K6" i="1" a="1"/>
  <c r="M86" i="1"/>
  <c r="M96" i="1"/>
  <c r="M114" i="1"/>
  <c r="M85" i="1"/>
  <c r="M8" i="1"/>
  <c r="M2" i="1"/>
  <c r="M43" i="1"/>
  <c r="M4" i="1"/>
  <c r="J38" i="1" a="1"/>
  <c r="J119" i="1" a="1"/>
  <c r="J177" i="1" a="1"/>
  <c r="J40" i="1" a="1"/>
  <c r="U141" i="4" a="1"/>
  <c r="M124" i="1"/>
  <c r="J79" i="1" a="1"/>
  <c r="J75" i="1" a="1"/>
  <c r="J47" i="1" a="1"/>
  <c r="J126" i="1" a="1"/>
  <c r="M91" i="1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92" i="13"/>
  <c r="D39" i="13"/>
  <c r="D42" i="13"/>
  <c r="D45" i="13"/>
  <c r="D48" i="13"/>
  <c r="D51" i="13"/>
  <c r="D54" i="13"/>
  <c r="D57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D37" i="13"/>
  <c r="D40" i="13"/>
  <c r="D44" i="13"/>
  <c r="D47" i="13"/>
  <c r="D50" i="13"/>
  <c r="D53" i="13"/>
  <c r="D56" i="13"/>
  <c r="C93" i="13"/>
  <c r="C94" i="13"/>
  <c r="C95" i="13"/>
  <c r="C11" i="13"/>
  <c r="C12" i="13"/>
  <c r="C13" i="13"/>
  <c r="C14" i="13"/>
  <c r="C15" i="13"/>
  <c r="C16" i="13"/>
  <c r="C17" i="13"/>
  <c r="C18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8" i="13"/>
  <c r="D41" i="13"/>
  <c r="D43" i="13"/>
  <c r="D46" i="13"/>
  <c r="D49" i="13"/>
  <c r="D52" i="13"/>
  <c r="D55" i="13"/>
  <c r="O2" i="1"/>
  <c r="F39" i="13"/>
  <c r="F45" i="13"/>
  <c r="F51" i="13"/>
  <c r="F57" i="13"/>
  <c r="F63" i="13"/>
  <c r="F69" i="13"/>
  <c r="F75" i="13"/>
  <c r="F81" i="13"/>
  <c r="F87" i="13"/>
  <c r="F93" i="13"/>
  <c r="F70" i="13"/>
  <c r="F88" i="13"/>
  <c r="F89" i="13"/>
  <c r="F90" i="13"/>
  <c r="F34" i="13"/>
  <c r="F40" i="13"/>
  <c r="F46" i="13"/>
  <c r="F52" i="13"/>
  <c r="F58" i="13"/>
  <c r="F64" i="13"/>
  <c r="F76" i="13"/>
  <c r="F82" i="13"/>
  <c r="F94" i="13"/>
  <c r="F84" i="13"/>
  <c r="F35" i="13"/>
  <c r="F41" i="13"/>
  <c r="F47" i="13"/>
  <c r="F53" i="13"/>
  <c r="F59" i="13"/>
  <c r="F65" i="13"/>
  <c r="F71" i="13"/>
  <c r="F77" i="13"/>
  <c r="F83" i="13"/>
  <c r="F95" i="13"/>
  <c r="F36" i="13"/>
  <c r="F42" i="13"/>
  <c r="F48" i="13"/>
  <c r="F54" i="13"/>
  <c r="F60" i="13"/>
  <c r="F66" i="13"/>
  <c r="F72" i="13"/>
  <c r="F78" i="13"/>
  <c r="F37" i="13"/>
  <c r="F43" i="13"/>
  <c r="F49" i="13"/>
  <c r="F55" i="13"/>
  <c r="F61" i="13"/>
  <c r="F67" i="13"/>
  <c r="F73" i="13"/>
  <c r="F79" i="13"/>
  <c r="F85" i="13"/>
  <c r="F91" i="13"/>
  <c r="F38" i="13"/>
  <c r="F44" i="13"/>
  <c r="F50" i="13"/>
  <c r="F56" i="13"/>
  <c r="F62" i="13"/>
  <c r="F68" i="13"/>
  <c r="F74" i="13"/>
  <c r="F80" i="13"/>
  <c r="F86" i="13"/>
  <c r="F92" i="13"/>
  <c r="A2" i="13" a="1"/>
  <c r="J88" i="1" a="1"/>
  <c r="J103" i="1" a="1"/>
  <c r="J135" i="1" a="1"/>
  <c r="J146" i="1" a="1"/>
  <c r="J127" i="1" a="1"/>
  <c r="J102" i="1" a="1"/>
  <c r="J143" i="1" a="1"/>
  <c r="AE60" i="4"/>
  <c r="M82" i="1" s="1"/>
  <c r="AE52" i="4"/>
  <c r="M34" i="1" s="1"/>
  <c r="AE57" i="4"/>
  <c r="M78" i="1" s="1"/>
  <c r="AE50" i="4"/>
  <c r="M48" i="1" s="1"/>
  <c r="AE29" i="4"/>
  <c r="M129" i="1" s="1"/>
  <c r="J173" i="1" a="1"/>
  <c r="J165" i="1" a="1"/>
  <c r="J137" i="1" a="1"/>
  <c r="J156" i="1" a="1"/>
  <c r="J161" i="1" a="1"/>
  <c r="J157" i="1" a="1"/>
  <c r="J147" i="1" a="1"/>
  <c r="J150" i="1" a="1"/>
  <c r="J179" i="1" a="1"/>
  <c r="J41" i="1" a="1"/>
  <c r="J131" i="1" a="1"/>
  <c r="J120" i="1" a="1"/>
  <c r="J82" i="1" a="1"/>
  <c r="J168" i="1" a="1"/>
  <c r="J160" i="1" a="1"/>
  <c r="J155" i="1" a="1"/>
  <c r="J138" i="1" a="1"/>
  <c r="J112" i="1" a="1"/>
  <c r="J107" i="1" a="1"/>
  <c r="AE95" i="4"/>
  <c r="M140" i="1" s="1"/>
  <c r="AE68" i="4"/>
  <c r="M106" i="1" s="1"/>
  <c r="AE78" i="4"/>
  <c r="M93" i="1" s="1"/>
  <c r="AE49" i="4"/>
  <c r="M84" i="1" s="1"/>
  <c r="AE69" i="4"/>
  <c r="J170" i="1" a="1"/>
  <c r="J114" i="1" a="1"/>
  <c r="J142" i="1" a="1"/>
  <c r="J132" i="1" a="1"/>
  <c r="J145" i="1" a="1"/>
  <c r="J53" i="1" a="1"/>
  <c r="J69" i="1" a="1"/>
  <c r="J139" i="1" a="1"/>
  <c r="J110" i="1" a="1"/>
  <c r="M123" i="1"/>
  <c r="C2" i="8"/>
  <c r="F2" i="8" s="1"/>
  <c r="E42" i="13"/>
  <c r="B45" i="13"/>
  <c r="E48" i="13"/>
  <c r="B51" i="13"/>
  <c r="E54" i="13"/>
  <c r="B57" i="13"/>
  <c r="E60" i="13"/>
  <c r="B63" i="13"/>
  <c r="E66" i="13"/>
  <c r="B69" i="13"/>
  <c r="E72" i="13"/>
  <c r="B75" i="13"/>
  <c r="E78" i="13"/>
  <c r="B81" i="13"/>
  <c r="B44" i="13"/>
  <c r="E47" i="13"/>
  <c r="B50" i="13"/>
  <c r="E53" i="13"/>
  <c r="B56" i="13"/>
  <c r="E59" i="13"/>
  <c r="B62" i="13"/>
  <c r="E65" i="13"/>
  <c r="B68" i="13"/>
  <c r="E71" i="13"/>
  <c r="B74" i="13"/>
  <c r="E77" i="13"/>
  <c r="B80" i="13"/>
  <c r="B43" i="13"/>
  <c r="E46" i="13"/>
  <c r="B49" i="13"/>
  <c r="E52" i="13"/>
  <c r="B55" i="13"/>
  <c r="E58" i="13"/>
  <c r="B61" i="13"/>
  <c r="E64" i="13"/>
  <c r="B67" i="13"/>
  <c r="E70" i="13"/>
  <c r="B42" i="13"/>
  <c r="E45" i="13"/>
  <c r="B48" i="13"/>
  <c r="E51" i="13"/>
  <c r="B54" i="13"/>
  <c r="E57" i="13"/>
  <c r="B60" i="13"/>
  <c r="E63" i="13"/>
  <c r="B66" i="13"/>
  <c r="E69" i="13"/>
  <c r="B72" i="13"/>
  <c r="E75" i="13"/>
  <c r="B78" i="13"/>
  <c r="E81" i="13"/>
  <c r="B47" i="13"/>
  <c r="E50" i="13"/>
  <c r="B65" i="13"/>
  <c r="E68" i="13"/>
  <c r="E74" i="13"/>
  <c r="B77" i="13"/>
  <c r="E43" i="13"/>
  <c r="B58" i="13"/>
  <c r="E61" i="13"/>
  <c r="E79" i="13"/>
  <c r="B82" i="13"/>
  <c r="E44" i="13"/>
  <c r="B59" i="13"/>
  <c r="E62" i="13"/>
  <c r="B73" i="13"/>
  <c r="E82" i="13"/>
  <c r="B52" i="13"/>
  <c r="E55" i="13"/>
  <c r="B70" i="13"/>
  <c r="E80" i="13"/>
  <c r="B53" i="13"/>
  <c r="E56" i="13"/>
  <c r="B71" i="13"/>
  <c r="E73" i="13"/>
  <c r="B76" i="13"/>
  <c r="B46" i="13"/>
  <c r="E49" i="13"/>
  <c r="B64" i="13"/>
  <c r="E67" i="13"/>
  <c r="E76" i="13"/>
  <c r="B79" i="13"/>
  <c r="J29" i="4"/>
  <c r="J44" i="1" s="1" a="1"/>
  <c r="J13" i="4"/>
  <c r="J20" i="4"/>
  <c r="J4" i="4"/>
  <c r="J76" i="1" s="1" a="1"/>
  <c r="J23" i="4"/>
  <c r="J6" i="4"/>
  <c r="J7" i="4"/>
  <c r="J14" i="4"/>
  <c r="J34" i="4"/>
  <c r="J115" i="1" s="1" a="1"/>
  <c r="J17" i="4"/>
  <c r="J36" i="4"/>
  <c r="J72" i="1" s="1" a="1"/>
  <c r="J37" i="4"/>
  <c r="J8" i="4"/>
  <c r="J86" i="1" s="1" a="1"/>
  <c r="J21" i="4"/>
  <c r="J28" i="4"/>
  <c r="J26" i="1" s="1" a="1"/>
  <c r="J30" i="4"/>
  <c r="J31" i="4"/>
  <c r="J83" i="1" s="1" a="1"/>
  <c r="J38" i="4"/>
  <c r="J87" i="1" s="1" a="1"/>
  <c r="J15" i="4"/>
  <c r="J84" i="1" s="1" a="1"/>
  <c r="J22" i="4"/>
  <c r="J41" i="4"/>
  <c r="J77" i="1" s="1" a="1"/>
  <c r="J5" i="4"/>
  <c r="J24" i="4"/>
  <c r="J32" i="4"/>
  <c r="J9" i="4"/>
  <c r="J117" i="1" s="1" a="1"/>
  <c r="J16" i="4"/>
  <c r="J21" i="1" s="1" a="1"/>
  <c r="J35" i="4"/>
  <c r="J129" i="1" s="1" a="1"/>
  <c r="J18" i="4"/>
  <c r="J26" i="4"/>
  <c r="J3" i="4"/>
  <c r="J3" i="1" a="1"/>
  <c r="J11" i="1" a="1"/>
  <c r="D2" i="8"/>
  <c r="G2" i="8" s="1"/>
  <c r="E2" i="8"/>
  <c r="H2" i="8" s="1"/>
  <c r="J270" i="12"/>
  <c r="L270" i="12" s="1" a="1"/>
  <c r="H99" i="12"/>
  <c r="H147" i="12"/>
  <c r="I147" i="12" s="1" a="1"/>
  <c r="J235" i="12"/>
  <c r="L235" i="12" s="1" a="1"/>
  <c r="H393" i="12"/>
  <c r="I393" i="12" s="1" a="1"/>
  <c r="H397" i="12"/>
  <c r="I397" i="12" s="1" a="1"/>
  <c r="K337" i="12"/>
  <c r="M337" i="12" s="1" a="1"/>
  <c r="K395" i="12"/>
  <c r="M395" i="12" s="1" a="1"/>
  <c r="J192" i="12"/>
  <c r="L192" i="12" s="1" a="1"/>
  <c r="J197" i="12"/>
  <c r="L197" i="12" s="1" a="1"/>
  <c r="K240" i="12"/>
  <c r="M240" i="12" s="1" a="1"/>
  <c r="H278" i="12"/>
  <c r="I278" i="12" s="1" a="1"/>
  <c r="J260" i="12"/>
  <c r="L260" i="12" s="1" a="1"/>
  <c r="H334" i="12"/>
  <c r="I334" i="12" s="1" a="1"/>
  <c r="H366" i="12"/>
  <c r="I366" i="12" s="1" a="1"/>
  <c r="K322" i="12"/>
  <c r="M322" i="12" s="1" a="1"/>
  <c r="K339" i="12"/>
  <c r="M339" i="12" s="1" a="1"/>
  <c r="J247" i="12"/>
  <c r="L247" i="12" s="1" a="1"/>
  <c r="K425" i="12"/>
  <c r="H408" i="12"/>
  <c r="I408" i="12" s="1" a="1"/>
  <c r="K355" i="12"/>
  <c r="M355" i="12" s="1" a="1"/>
  <c r="K422" i="12"/>
  <c r="M422" i="12" s="1" a="1"/>
  <c r="H175" i="12"/>
  <c r="I175" i="12" s="1" a="1"/>
  <c r="H228" i="12"/>
  <c r="I228" i="12" s="1" a="1"/>
  <c r="J358" i="12"/>
  <c r="L358" i="12" s="1" a="1"/>
  <c r="K158" i="12"/>
  <c r="M158" i="12" s="1" a="1"/>
  <c r="H167" i="12"/>
  <c r="I167" i="12" s="1" a="1"/>
  <c r="K147" i="12"/>
  <c r="M147" i="12" s="1" a="1"/>
  <c r="K165" i="12"/>
  <c r="M165" i="12" s="1" a="1"/>
  <c r="J236" i="12"/>
  <c r="L236" i="12" s="1" a="1"/>
  <c r="K123" i="12"/>
  <c r="M123" i="12" s="1" a="1"/>
  <c r="K234" i="12"/>
  <c r="M234" i="12" s="1" a="1"/>
  <c r="J290" i="12"/>
  <c r="L290" i="12" s="1" a="1"/>
  <c r="H114" i="12"/>
  <c r="I114" i="12" s="1" a="1"/>
  <c r="J158" i="12"/>
  <c r="L158" i="12" s="1" a="1"/>
  <c r="J300" i="12"/>
  <c r="L300" i="12" s="1" a="1"/>
  <c r="H346" i="12"/>
  <c r="I346" i="12" s="1" a="1"/>
  <c r="H143" i="12"/>
  <c r="I143" i="12" s="1" a="1"/>
  <c r="K327" i="12"/>
  <c r="M327" i="12" s="1" a="1"/>
  <c r="H182" i="12"/>
  <c r="I182" i="12" s="1" a="1"/>
  <c r="H162" i="12"/>
  <c r="I162" i="12" s="1" a="1"/>
  <c r="H359" i="12"/>
  <c r="I359" i="12" s="1" a="1"/>
  <c r="J366" i="12"/>
  <c r="L366" i="12" s="1" a="1"/>
  <c r="K168" i="12"/>
  <c r="M168" i="12" s="1" a="1"/>
  <c r="H222" i="12"/>
  <c r="I222" i="12" s="1" a="1"/>
  <c r="J182" i="12"/>
  <c r="L182" i="12" s="1" a="1"/>
  <c r="H314" i="12"/>
  <c r="I314" i="12" s="1" a="1"/>
  <c r="J315" i="12"/>
  <c r="L315" i="12" s="1" a="1"/>
  <c r="H302" i="12"/>
  <c r="I302" i="12" s="1" a="1"/>
  <c r="K143" i="12"/>
  <c r="M143" i="12" s="1" a="1"/>
  <c r="J296" i="12"/>
  <c r="L296" i="12" s="1" a="1"/>
  <c r="H362" i="12"/>
  <c r="I362" i="12" s="1" a="1"/>
  <c r="J228" i="12"/>
  <c r="L228" i="12" s="1" a="1"/>
  <c r="H204" i="12"/>
  <c r="I204" i="12" s="1" a="1"/>
  <c r="H338" i="12"/>
  <c r="I338" i="12" s="1" a="1"/>
  <c r="K220" i="12"/>
  <c r="M220" i="12" s="1" a="1"/>
  <c r="J199" i="12"/>
  <c r="L199" i="12" s="1" a="1"/>
  <c r="K161" i="12"/>
  <c r="M161" i="12" s="1" a="1"/>
  <c r="K300" i="12"/>
  <c r="M300" i="12" s="1" a="1"/>
  <c r="H235" i="12"/>
  <c r="I235" i="12" s="1" a="1"/>
  <c r="J283" i="12"/>
  <c r="L283" i="12" s="1" a="1"/>
  <c r="K323" i="12"/>
  <c r="M323" i="12" s="1" a="1"/>
  <c r="H108" i="12"/>
  <c r="I108" i="12" s="1" a="1"/>
  <c r="K430" i="12"/>
  <c r="K297" i="12"/>
  <c r="M297" i="12" s="1" a="1"/>
  <c r="J276" i="12"/>
  <c r="L276" i="12" s="1" a="1"/>
  <c r="J280" i="12"/>
  <c r="L280" i="12" s="1" a="1"/>
  <c r="J410" i="12"/>
  <c r="L410" i="12" s="1" a="1"/>
  <c r="H398" i="12"/>
  <c r="I398" i="12" s="1" a="1"/>
  <c r="H367" i="12"/>
  <c r="I367" i="12" s="1" a="1"/>
  <c r="H110" i="12"/>
  <c r="I110" i="12" s="1" a="1"/>
  <c r="J347" i="12"/>
  <c r="L347" i="12" s="1" a="1"/>
  <c r="H315" i="12"/>
  <c r="I315" i="12" s="1" a="1"/>
  <c r="K111" i="12"/>
  <c r="M111" i="12" s="1" a="1"/>
  <c r="H101" i="12"/>
  <c r="I101" i="12" s="1" a="1"/>
  <c r="K169" i="12"/>
  <c r="M169" i="12" s="1" a="1"/>
  <c r="H157" i="12"/>
  <c r="I157" i="12" s="1" a="1"/>
  <c r="J364" i="12"/>
  <c r="L364" i="12" s="1" a="1"/>
  <c r="K360" i="12"/>
  <c r="M360" i="12" s="1" a="1"/>
  <c r="H165" i="12"/>
  <c r="I165" i="12" s="1" a="1"/>
  <c r="K211" i="12"/>
  <c r="M211" i="12" s="1" a="1"/>
  <c r="J140" i="12"/>
  <c r="L140" i="12" s="1" a="1"/>
  <c r="H413" i="12"/>
  <c r="I413" i="12" s="1" a="1"/>
  <c r="H382" i="12"/>
  <c r="I382" i="12" s="1" a="1"/>
  <c r="J402" i="12"/>
  <c r="L402" i="12" s="1" a="1"/>
  <c r="K252" i="12"/>
  <c r="M252" i="12" s="1" a="1"/>
  <c r="H121" i="12"/>
  <c r="I121" i="12" s="1" a="1"/>
  <c r="K177" i="12"/>
  <c r="M177" i="12" s="1" a="1"/>
  <c r="K423" i="12"/>
  <c r="M423" i="12" s="1" a="1"/>
  <c r="K128" i="12"/>
  <c r="M128" i="12" s="1" a="1"/>
  <c r="K99" i="12"/>
  <c r="H422" i="12"/>
  <c r="I422" i="12" s="1" a="1"/>
  <c r="K432" i="12"/>
  <c r="K470" i="12"/>
  <c r="J183" i="12"/>
  <c r="L183" i="12" s="1" a="1"/>
  <c r="K186" i="12"/>
  <c r="M186" i="12" s="1" a="1"/>
  <c r="H209" i="12"/>
  <c r="I209" i="12" s="1" a="1"/>
  <c r="K403" i="12"/>
  <c r="M403" i="12" s="1" a="1"/>
  <c r="H324" i="12"/>
  <c r="I324" i="12" s="1" a="1"/>
  <c r="J341" i="12"/>
  <c r="L341" i="12" s="1" a="1"/>
  <c r="K353" i="12"/>
  <c r="M353" i="12" s="1" a="1"/>
  <c r="H138" i="12"/>
  <c r="I138" i="12" s="1" a="1"/>
  <c r="H290" i="12"/>
  <c r="I290" i="12" s="1" a="1"/>
  <c r="K304" i="12"/>
  <c r="M304" i="12" s="1" a="1"/>
  <c r="H373" i="12"/>
  <c r="I373" i="12" s="1" a="1"/>
  <c r="J392" i="12"/>
  <c r="L392" i="12" s="1" a="1"/>
  <c r="H115" i="12"/>
  <c r="I115" i="12" s="1" a="1"/>
  <c r="K286" i="12"/>
  <c r="M286" i="12" s="1" a="1"/>
  <c r="K250" i="12"/>
  <c r="M250" i="12" s="1" a="1"/>
  <c r="H136" i="12"/>
  <c r="I136" i="12" s="1" a="1"/>
  <c r="J405" i="12"/>
  <c r="L405" i="12" s="1" a="1"/>
  <c r="K217" i="12"/>
  <c r="M217" i="12" s="1" a="1"/>
  <c r="K268" i="12"/>
  <c r="M268" i="12" s="1" a="1"/>
  <c r="K382" i="12"/>
  <c r="M382" i="12" s="1" a="1"/>
  <c r="K293" i="12"/>
  <c r="M293" i="12" s="1" a="1"/>
  <c r="K343" i="12"/>
  <c r="M343" i="12" s="1" a="1"/>
  <c r="J137" i="12"/>
  <c r="L137" i="12" s="1" a="1"/>
  <c r="K336" i="12"/>
  <c r="M336" i="12" s="1" a="1"/>
  <c r="K110" i="12"/>
  <c r="M110" i="12" s="1" a="1"/>
  <c r="K315" i="12"/>
  <c r="M315" i="12" s="1" a="1"/>
  <c r="K384" i="12"/>
  <c r="M384" i="12" s="1" a="1"/>
  <c r="H318" i="12"/>
  <c r="I318" i="12" s="1" a="1"/>
  <c r="K471" i="12"/>
  <c r="J208" i="12"/>
  <c r="L208" i="12" s="1" a="1"/>
  <c r="H145" i="12"/>
  <c r="I145" i="12" s="1" a="1"/>
  <c r="K349" i="12"/>
  <c r="M349" i="12" s="1" a="1"/>
  <c r="J106" i="12"/>
  <c r="L106" i="12" s="1" a="1"/>
  <c r="H308" i="12"/>
  <c r="I308" i="12" s="1" a="1"/>
  <c r="J198" i="12"/>
  <c r="L198" i="12" s="1" a="1"/>
  <c r="J380" i="12"/>
  <c r="L380" i="12" s="1" a="1"/>
  <c r="J250" i="12"/>
  <c r="L250" i="12" s="1" a="1"/>
  <c r="H336" i="12"/>
  <c r="I336" i="12" s="1" a="1"/>
  <c r="K346" i="12"/>
  <c r="M346" i="12" s="1" a="1"/>
  <c r="K375" i="12"/>
  <c r="M375" i="12" s="1" a="1"/>
  <c r="J147" i="12"/>
  <c r="L147" i="12" s="1" a="1"/>
  <c r="H323" i="12"/>
  <c r="I323" i="12" s="1" a="1"/>
  <c r="H383" i="12"/>
  <c r="I383" i="12" s="1" a="1"/>
  <c r="H112" i="12"/>
  <c r="I112" i="12" s="1" a="1"/>
  <c r="H410" i="12"/>
  <c r="I410" i="12" s="1" a="1"/>
  <c r="K263" i="12"/>
  <c r="M263" i="12" s="1" a="1"/>
  <c r="H404" i="12"/>
  <c r="I404" i="12" s="1" a="1"/>
  <c r="K381" i="12"/>
  <c r="M381" i="12" s="1" a="1"/>
  <c r="H412" i="12"/>
  <c r="I412" i="12" s="1" a="1"/>
  <c r="K202" i="12"/>
  <c r="M202" i="12" s="1" a="1"/>
  <c r="K288" i="12"/>
  <c r="M288" i="12" s="1" a="1"/>
  <c r="J362" i="12"/>
  <c r="L362" i="12" s="1" a="1"/>
  <c r="H107" i="12"/>
  <c r="I107" i="12" s="1" a="1"/>
  <c r="H237" i="12"/>
  <c r="I237" i="12" s="1" a="1"/>
  <c r="K275" i="12"/>
  <c r="M275" i="12" s="1" a="1"/>
  <c r="J213" i="12"/>
  <c r="L213" i="12" s="1" a="1"/>
  <c r="H198" i="12"/>
  <c r="I198" i="12" s="1" a="1"/>
  <c r="K317" i="12"/>
  <c r="M317" i="12" s="1" a="1"/>
  <c r="K270" i="12"/>
  <c r="M270" i="12" s="1" a="1"/>
  <c r="H322" i="12"/>
  <c r="I322" i="12" s="1" a="1"/>
  <c r="J389" i="12"/>
  <c r="L389" i="12" s="1" a="1"/>
  <c r="H364" i="12"/>
  <c r="I364" i="12" s="1" a="1"/>
  <c r="J384" i="12"/>
  <c r="L384" i="12" s="1" a="1"/>
  <c r="J348" i="12"/>
  <c r="L348" i="12" s="1" a="1"/>
  <c r="K124" i="12"/>
  <c r="M124" i="12" s="1" a="1"/>
  <c r="K335" i="12"/>
  <c r="M335" i="12" s="1" a="1"/>
  <c r="K303" i="12"/>
  <c r="M303" i="12" s="1" a="1"/>
  <c r="J252" i="12"/>
  <c r="L252" i="12" s="1" a="1"/>
  <c r="H146" i="12"/>
  <c r="I146" i="12" s="1" a="1"/>
  <c r="H337" i="12"/>
  <c r="I337" i="12" s="1" a="1"/>
  <c r="H224" i="12"/>
  <c r="I224" i="12" s="1" a="1"/>
  <c r="K438" i="12"/>
  <c r="H298" i="12"/>
  <c r="I298" i="12" s="1" a="1"/>
  <c r="J174" i="12"/>
  <c r="L174" i="12" s="1" a="1"/>
  <c r="J234" i="12"/>
  <c r="L234" i="12" s="1" a="1"/>
  <c r="J160" i="12"/>
  <c r="L160" i="12" s="1" a="1"/>
  <c r="J155" i="12"/>
  <c r="L155" i="12" s="1" a="1"/>
  <c r="H109" i="12"/>
  <c r="I109" i="12" s="1" a="1"/>
  <c r="K245" i="12"/>
  <c r="M245" i="12" s="1" a="1"/>
  <c r="H379" i="12"/>
  <c r="I379" i="12" s="1" a="1"/>
  <c r="J261" i="12"/>
  <c r="L261" i="12" s="1" a="1"/>
  <c r="K105" i="12"/>
  <c r="M105" i="12" s="1" a="1"/>
  <c r="H193" i="12"/>
  <c r="I193" i="12" s="1" a="1"/>
  <c r="K88" i="12"/>
  <c r="K452" i="12"/>
  <c r="K473" i="12"/>
  <c r="K445" i="12"/>
  <c r="H187" i="12"/>
  <c r="I187" i="12" s="1" a="1"/>
  <c r="K464" i="12"/>
  <c r="H105" i="12"/>
  <c r="I105" i="12" s="1" a="1"/>
  <c r="K225" i="12"/>
  <c r="M225" i="12" s="1" a="1"/>
  <c r="J398" i="12"/>
  <c r="L398" i="12" s="1" a="1"/>
  <c r="K366" i="12"/>
  <c r="M366" i="12" s="1" a="1"/>
  <c r="K461" i="12"/>
  <c r="K469" i="12"/>
  <c r="H417" i="12"/>
  <c r="I417" i="12" s="1" a="1"/>
  <c r="H125" i="12"/>
  <c r="I125" i="12" s="1" a="1"/>
  <c r="H285" i="12"/>
  <c r="I285" i="12" s="1" a="1"/>
  <c r="J217" i="12"/>
  <c r="L217" i="12" s="1" a="1"/>
  <c r="K167" i="12"/>
  <c r="M167" i="12" s="1" a="1"/>
  <c r="J334" i="12"/>
  <c r="L334" i="12" s="1" a="1"/>
  <c r="J307" i="12"/>
  <c r="L307" i="12" s="1" a="1"/>
  <c r="H415" i="12"/>
  <c r="I415" i="12" s="1" a="1"/>
  <c r="K435" i="12"/>
  <c r="K142" i="12"/>
  <c r="M142" i="12" s="1" a="1"/>
  <c r="H360" i="12"/>
  <c r="I360" i="12" s="1" a="1"/>
  <c r="K277" i="12"/>
  <c r="M277" i="12" s="1" a="1"/>
  <c r="K354" i="12"/>
  <c r="M354" i="12" s="1" a="1"/>
  <c r="H191" i="12"/>
  <c r="I191" i="12" s="1" a="1"/>
  <c r="J248" i="12"/>
  <c r="L248" i="12" s="1" a="1"/>
  <c r="J201" i="12"/>
  <c r="L201" i="12" s="1" a="1"/>
  <c r="H236" i="12"/>
  <c r="I236" i="12" s="1" a="1"/>
  <c r="H166" i="12"/>
  <c r="I166" i="12" s="1" a="1"/>
  <c r="H233" i="12"/>
  <c r="I233" i="12" s="1" a="1"/>
  <c r="H327" i="12"/>
  <c r="I327" i="12" s="1" a="1"/>
  <c r="H406" i="12"/>
  <c r="I406" i="12" s="1" a="1"/>
  <c r="H275" i="12"/>
  <c r="I275" i="12" s="1" a="1"/>
  <c r="J212" i="12"/>
  <c r="L212" i="12" s="1" a="1"/>
  <c r="K232" i="12"/>
  <c r="M232" i="12" s="1" a="1"/>
  <c r="K96" i="12"/>
  <c r="J331" i="12"/>
  <c r="L331" i="12" s="1" a="1"/>
  <c r="J414" i="12"/>
  <c r="L414" i="12" s="1" a="1"/>
  <c r="K326" i="12"/>
  <c r="M326" i="12" s="1" a="1"/>
  <c r="K377" i="12"/>
  <c r="M377" i="12" s="1" a="1"/>
  <c r="H333" i="12"/>
  <c r="I333" i="12" s="1" a="1"/>
  <c r="H294" i="12"/>
  <c r="I294" i="12" s="1" a="1"/>
  <c r="K443" i="12"/>
  <c r="J152" i="12"/>
  <c r="L152" i="12" s="1" a="1"/>
  <c r="K306" i="12"/>
  <c r="M306" i="12" s="1" a="1"/>
  <c r="J393" i="12"/>
  <c r="L393" i="12" s="1" a="1"/>
  <c r="K257" i="12"/>
  <c r="M257" i="12" s="1" a="1"/>
  <c r="K259" i="12"/>
  <c r="M259" i="12" s="1" a="1"/>
  <c r="K190" i="12"/>
  <c r="M190" i="12" s="1" a="1"/>
  <c r="J286" i="12"/>
  <c r="L286" i="12" s="1" a="1"/>
  <c r="H380" i="12"/>
  <c r="I380" i="12" s="1" a="1"/>
  <c r="K226" i="12"/>
  <c r="M226" i="12" s="1" a="1"/>
  <c r="J381" i="12"/>
  <c r="L381" i="12" s="1" a="1"/>
  <c r="H372" i="12"/>
  <c r="I372" i="12" s="1" a="1"/>
  <c r="K272" i="12"/>
  <c r="M272" i="12" s="1" a="1"/>
  <c r="K210" i="12"/>
  <c r="M210" i="12" s="1" a="1"/>
  <c r="J325" i="12"/>
  <c r="L325" i="12" s="1" a="1"/>
  <c r="H391" i="12"/>
  <c r="I391" i="12" s="1" a="1"/>
  <c r="K157" i="12"/>
  <c r="M157" i="12" s="1" a="1"/>
  <c r="J360" i="12"/>
  <c r="L360" i="12" s="1" a="1"/>
  <c r="H215" i="12"/>
  <c r="I215" i="12" s="1" a="1"/>
  <c r="K249" i="12"/>
  <c r="M249" i="12" s="1" a="1"/>
  <c r="H179" i="12"/>
  <c r="I179" i="12" s="1" a="1"/>
  <c r="J312" i="12"/>
  <c r="L312" i="12" s="1" a="1"/>
  <c r="H272" i="12"/>
  <c r="I272" i="12" s="1" a="1"/>
  <c r="K409" i="12"/>
  <c r="M409" i="12" s="1" a="1"/>
  <c r="J359" i="12"/>
  <c r="L359" i="12" s="1" a="1"/>
  <c r="N359" i="12" s="1"/>
  <c r="H253" i="12"/>
  <c r="I253" i="12" s="1" a="1"/>
  <c r="K333" i="12"/>
  <c r="M333" i="12" s="1" a="1"/>
  <c r="K393" i="12"/>
  <c r="M393" i="12" s="1" a="1"/>
  <c r="K434" i="12"/>
  <c r="K376" i="12"/>
  <c r="M376" i="12" s="1" a="1"/>
  <c r="K455" i="12"/>
  <c r="J409" i="12"/>
  <c r="L409" i="12" s="1" a="1"/>
  <c r="H122" i="12"/>
  <c r="I122" i="12" s="1" a="1"/>
  <c r="J165" i="12"/>
  <c r="L165" i="12" s="1" a="1"/>
  <c r="K428" i="12"/>
  <c r="J316" i="12"/>
  <c r="L316" i="12" s="1" a="1"/>
  <c r="K131" i="12"/>
  <c r="M131" i="12" s="1" a="1"/>
  <c r="J324" i="12"/>
  <c r="L324" i="12" s="1" a="1"/>
  <c r="K221" i="12"/>
  <c r="M221" i="12" s="1" a="1"/>
  <c r="K281" i="12"/>
  <c r="M281" i="12" s="1" a="1"/>
  <c r="J305" i="12"/>
  <c r="L305" i="12" s="1" a="1"/>
  <c r="H351" i="12"/>
  <c r="I351" i="12" s="1" a="1"/>
  <c r="K215" i="12"/>
  <c r="M215" i="12" s="1" a="1"/>
  <c r="K216" i="12"/>
  <c r="M216" i="12" s="1" a="1"/>
  <c r="K229" i="12"/>
  <c r="M229" i="12" s="1" a="1"/>
  <c r="K113" i="12"/>
  <c r="M113" i="12" s="1" a="1"/>
  <c r="J172" i="12"/>
  <c r="L172" i="12" s="1" a="1"/>
  <c r="H231" i="12"/>
  <c r="I231" i="12" s="1" a="1"/>
  <c r="H300" i="12"/>
  <c r="I300" i="12" s="1" a="1"/>
  <c r="H369" i="12"/>
  <c r="I369" i="12" s="1" a="1"/>
  <c r="K357" i="12"/>
  <c r="M357" i="12" s="1" a="1"/>
  <c r="J273" i="12"/>
  <c r="L273" i="12" s="1" a="1"/>
  <c r="H266" i="12"/>
  <c r="I266" i="12" s="1" a="1"/>
  <c r="K407" i="12"/>
  <c r="M407" i="12" s="1" a="1"/>
  <c r="J370" i="12"/>
  <c r="L370" i="12" s="1" a="1"/>
  <c r="J179" i="12"/>
  <c r="L179" i="12" s="1" a="1"/>
  <c r="J363" i="12"/>
  <c r="L363" i="12" s="1" a="1"/>
  <c r="H213" i="12"/>
  <c r="I213" i="12" s="1" a="1"/>
  <c r="J124" i="12"/>
  <c r="L124" i="12" s="1" a="1"/>
  <c r="K192" i="12"/>
  <c r="M192" i="12" s="1" a="1"/>
  <c r="H172" i="12"/>
  <c r="I172" i="12" s="1" a="1"/>
  <c r="H254" i="12"/>
  <c r="I254" i="12" s="1" a="1"/>
  <c r="J211" i="12"/>
  <c r="L211" i="12" s="1" a="1"/>
  <c r="J133" i="12"/>
  <c r="L133" i="12" s="1" a="1"/>
  <c r="K148" i="12"/>
  <c r="M148" i="12" s="1" a="1"/>
  <c r="J374" i="12"/>
  <c r="L374" i="12" s="1" a="1"/>
  <c r="K282" i="12"/>
  <c r="M282" i="12" s="1" a="1"/>
  <c r="K456" i="12"/>
  <c r="H234" i="12"/>
  <c r="I234" i="12" s="1" a="1"/>
  <c r="K178" i="12"/>
  <c r="M178" i="12" s="1" a="1"/>
  <c r="J157" i="12"/>
  <c r="L157" i="12" s="1" a="1"/>
  <c r="J220" i="12"/>
  <c r="L220" i="12" s="1" a="1"/>
  <c r="K475" i="12"/>
  <c r="H207" i="12"/>
  <c r="I207" i="12" s="1" a="1"/>
  <c r="J127" i="12"/>
  <c r="L127" i="12" s="1" a="1"/>
  <c r="J191" i="12"/>
  <c r="L191" i="12" s="1" a="1"/>
  <c r="J376" i="12"/>
  <c r="L376" i="12" s="1" a="1"/>
  <c r="K429" i="12"/>
  <c r="J229" i="12"/>
  <c r="L229" i="12" s="1" a="1"/>
  <c r="J209" i="12"/>
  <c r="L209" i="12" s="1" a="1"/>
  <c r="K437" i="12"/>
  <c r="K140" i="12"/>
  <c r="M140" i="12" s="1" a="1"/>
  <c r="J224" i="12"/>
  <c r="L224" i="12" s="1" a="1"/>
  <c r="K83" i="12"/>
  <c r="J329" i="12"/>
  <c r="L329" i="12" s="1" a="1"/>
  <c r="H163" i="12"/>
  <c r="I163" i="12" s="1" a="1"/>
  <c r="J194" i="12"/>
  <c r="L194" i="12" s="1" a="1"/>
  <c r="H153" i="12"/>
  <c r="I153" i="12" s="1" a="1"/>
  <c r="K439" i="12"/>
  <c r="J335" i="12"/>
  <c r="L335" i="12" s="1" a="1"/>
  <c r="K295" i="12"/>
  <c r="M295" i="12" s="1" a="1"/>
  <c r="H190" i="12"/>
  <c r="I190" i="12" s="1" a="1"/>
  <c r="H255" i="12"/>
  <c r="I255" i="12" s="1" a="1"/>
  <c r="K125" i="12"/>
  <c r="M125" i="12" s="1" a="1"/>
  <c r="J294" i="12"/>
  <c r="L294" i="12" s="1" a="1"/>
  <c r="H111" i="12"/>
  <c r="I111" i="12" s="1" a="1"/>
  <c r="K389" i="12"/>
  <c r="M389" i="12" s="1" a="1"/>
  <c r="K283" i="12"/>
  <c r="M283" i="12" s="1" a="1"/>
  <c r="K233" i="12"/>
  <c r="M233" i="12" s="1" a="1"/>
  <c r="K135" i="12"/>
  <c r="M135" i="12" s="1" a="1"/>
  <c r="H230" i="12"/>
  <c r="I230" i="12" s="1" a="1"/>
  <c r="H148" i="12"/>
  <c r="I148" i="12" s="1" a="1"/>
  <c r="J274" i="12"/>
  <c r="L274" i="12" s="1" a="1"/>
  <c r="K294" i="12"/>
  <c r="M294" i="12" s="1" a="1"/>
  <c r="J397" i="12"/>
  <c r="L397" i="12" s="1" a="1"/>
  <c r="K374" i="12"/>
  <c r="M374" i="12" s="1" a="1"/>
  <c r="K207" i="12"/>
  <c r="M207" i="12" s="1" a="1"/>
  <c r="J129" i="12"/>
  <c r="L129" i="12" s="1" a="1"/>
  <c r="K86" i="12"/>
  <c r="H282" i="12"/>
  <c r="I282" i="12" s="1" a="1"/>
  <c r="K457" i="12"/>
  <c r="H409" i="12"/>
  <c r="I409" i="12" s="1" a="1"/>
  <c r="K318" i="12"/>
  <c r="M318" i="12" s="1" a="1"/>
  <c r="J125" i="12"/>
  <c r="L125" i="12" s="1" a="1"/>
  <c r="N125" i="12" s="1"/>
  <c r="K103" i="12"/>
  <c r="M103" i="12" s="1" a="1"/>
  <c r="H309" i="12"/>
  <c r="I309" i="12" s="1" a="1"/>
  <c r="H357" i="12"/>
  <c r="I357" i="12" s="1" a="1"/>
  <c r="J130" i="12"/>
  <c r="L130" i="12" s="1" a="1"/>
  <c r="H267" i="12"/>
  <c r="I267" i="12" s="1" a="1"/>
  <c r="J354" i="12"/>
  <c r="L354" i="12" s="1" a="1"/>
  <c r="K352" i="12"/>
  <c r="M352" i="12" s="1" a="1"/>
  <c r="J323" i="12"/>
  <c r="L323" i="12" s="1" a="1"/>
  <c r="H265" i="12"/>
  <c r="I265" i="12" s="1" a="1"/>
  <c r="K160" i="12"/>
  <c r="M160" i="12" s="1" a="1"/>
  <c r="H243" i="12"/>
  <c r="I243" i="12" s="1" a="1"/>
  <c r="H152" i="12"/>
  <c r="I152" i="12" s="1" a="1"/>
  <c r="J167" i="12"/>
  <c r="L167" i="12" s="1" a="1"/>
  <c r="J244" i="12"/>
  <c r="L244" i="12" s="1" a="1"/>
  <c r="J151" i="12"/>
  <c r="L151" i="12" s="1" a="1"/>
  <c r="J338" i="12"/>
  <c r="L338" i="12" s="1" a="1"/>
  <c r="H217" i="12"/>
  <c r="I217" i="12" s="1" a="1"/>
  <c r="H106" i="12"/>
  <c r="I106" i="12" s="1" a="1"/>
  <c r="J419" i="12"/>
  <c r="L419" i="12" s="1" a="1"/>
  <c r="K289" i="12"/>
  <c r="M289" i="12" s="1" a="1"/>
  <c r="K102" i="12"/>
  <c r="M102" i="12" s="1" a="1"/>
  <c r="J344" i="12"/>
  <c r="L344" i="12" s="1" a="1"/>
  <c r="H227" i="12"/>
  <c r="I227" i="12" s="1" a="1"/>
  <c r="H421" i="12"/>
  <c r="I421" i="12" s="1" a="1"/>
  <c r="K242" i="12"/>
  <c r="M242" i="12" s="1" a="1"/>
  <c r="J319" i="12"/>
  <c r="L319" i="12" s="1" a="1"/>
  <c r="J291" i="12"/>
  <c r="L291" i="12" s="1" a="1"/>
  <c r="H260" i="12"/>
  <c r="I260" i="12" s="1" a="1"/>
  <c r="K331" i="12"/>
  <c r="M331" i="12" s="1" a="1"/>
  <c r="J154" i="12"/>
  <c r="L154" i="12" s="1" a="1"/>
  <c r="K176" i="12"/>
  <c r="M176" i="12" s="1" a="1"/>
  <c r="K261" i="12"/>
  <c r="M261" i="12" s="1" a="1"/>
  <c r="K302" i="12"/>
  <c r="M302" i="12" s="1" a="1"/>
  <c r="J108" i="12"/>
  <c r="L108" i="12" s="1" a="1"/>
  <c r="J275" i="12"/>
  <c r="L275" i="12" s="1" a="1"/>
  <c r="H286" i="12"/>
  <c r="I286" i="12" s="1" a="1"/>
  <c r="J195" i="12"/>
  <c r="L195" i="12" s="1" a="1"/>
  <c r="K368" i="12"/>
  <c r="M368" i="12" s="1" a="1"/>
  <c r="N368" i="12" s="1"/>
  <c r="K406" i="12"/>
  <c r="M406" i="12" s="1" a="1"/>
  <c r="H423" i="12"/>
  <c r="I423" i="12" s="1" a="1"/>
  <c r="H156" i="12"/>
  <c r="I156" i="12" s="1" a="1"/>
  <c r="K237" i="12"/>
  <c r="M237" i="12" s="1" a="1"/>
  <c r="K342" i="12"/>
  <c r="M342" i="12" s="1" a="1"/>
  <c r="J268" i="12"/>
  <c r="L268" i="12" s="1" a="1"/>
  <c r="K227" i="12"/>
  <c r="M227" i="12" s="1" a="1"/>
  <c r="J395" i="12"/>
  <c r="L395" i="12" s="1" a="1"/>
  <c r="H244" i="12"/>
  <c r="I244" i="12" s="1" a="1"/>
  <c r="K285" i="12"/>
  <c r="M285" i="12" s="1" a="1"/>
  <c r="K209" i="12"/>
  <c r="M209" i="12" s="1" a="1"/>
  <c r="K454" i="12"/>
  <c r="H259" i="12"/>
  <c r="I259" i="12" s="1" a="1"/>
  <c r="K271" i="12"/>
  <c r="M271" i="12" s="1" a="1"/>
  <c r="H301" i="12"/>
  <c r="I301" i="12" s="1" a="1"/>
  <c r="J277" i="12"/>
  <c r="L277" i="12" s="1" a="1"/>
  <c r="H293" i="12"/>
  <c r="I293" i="12" s="1" a="1"/>
  <c r="J386" i="12"/>
  <c r="L386" i="12" s="1" a="1"/>
  <c r="J306" i="12"/>
  <c r="L306" i="12" s="1" a="1"/>
  <c r="H263" i="12"/>
  <c r="I263" i="12" s="1" a="1"/>
  <c r="H306" i="12"/>
  <c r="I306" i="12" s="1" a="1"/>
  <c r="K182" i="12"/>
  <c r="M182" i="12" s="1" a="1"/>
  <c r="J388" i="12"/>
  <c r="L388" i="12" s="1" a="1"/>
  <c r="K224" i="12"/>
  <c r="M224" i="12" s="1" a="1"/>
  <c r="J223" i="12"/>
  <c r="L223" i="12" s="1" a="1"/>
  <c r="H317" i="12"/>
  <c r="I317" i="12" s="1" a="1"/>
  <c r="K451" i="12"/>
  <c r="J281" i="12"/>
  <c r="L281" i="12" s="1" a="1"/>
  <c r="N281" i="12" s="1"/>
  <c r="H403" i="12"/>
  <c r="I403" i="12" s="1" a="1"/>
  <c r="K280" i="12"/>
  <c r="M280" i="12" s="1" a="1"/>
  <c r="K203" i="12"/>
  <c r="M203" i="12" s="1" a="1"/>
  <c r="K405" i="12"/>
  <c r="M405" i="12" s="1" a="1"/>
  <c r="J159" i="12"/>
  <c r="L159" i="12" s="1" a="1"/>
  <c r="J232" i="12"/>
  <c r="L232" i="12" s="1" a="1"/>
  <c r="H232" i="12"/>
  <c r="I232" i="12" s="1" a="1"/>
  <c r="J145" i="12"/>
  <c r="L145" i="12" s="1" a="1"/>
  <c r="J298" i="12"/>
  <c r="L298" i="12" s="1" a="1"/>
  <c r="J265" i="12"/>
  <c r="L265" i="12" s="1" a="1"/>
  <c r="J206" i="12"/>
  <c r="L206" i="12" s="1" a="1"/>
  <c r="H229" i="12"/>
  <c r="I229" i="12" s="1" a="1"/>
  <c r="H123" i="12"/>
  <c r="I123" i="12" s="1" a="1"/>
  <c r="K244" i="12"/>
  <c r="M244" i="12" s="1" a="1"/>
  <c r="K433" i="12"/>
  <c r="K208" i="12"/>
  <c r="M208" i="12" s="1" a="1"/>
  <c r="K248" i="12"/>
  <c r="M248" i="12" s="1" a="1"/>
  <c r="K162" i="12"/>
  <c r="M162" i="12" s="1" a="1"/>
  <c r="H288" i="12"/>
  <c r="I288" i="12" s="1" a="1"/>
  <c r="J146" i="12"/>
  <c r="L146" i="12" s="1" a="1"/>
  <c r="H214" i="12"/>
  <c r="I214" i="12" s="1" a="1"/>
  <c r="J255" i="12"/>
  <c r="L255" i="12" s="1" a="1"/>
  <c r="J326" i="12"/>
  <c r="L326" i="12" s="1" a="1"/>
  <c r="K390" i="12"/>
  <c r="M390" i="12" s="1" a="1"/>
  <c r="H414" i="12"/>
  <c r="I414" i="12" s="1" a="1"/>
  <c r="H347" i="12"/>
  <c r="I347" i="12" s="1" a="1"/>
  <c r="J184" i="12"/>
  <c r="L184" i="12" s="1" a="1"/>
  <c r="H329" i="12"/>
  <c r="I329" i="12" s="1" a="1"/>
  <c r="K274" i="12"/>
  <c r="M274" i="12" s="1" a="1"/>
  <c r="H127" i="12"/>
  <c r="I127" i="12" s="1" a="1"/>
  <c r="J258" i="12"/>
  <c r="L258" i="12" s="1" a="1"/>
  <c r="J186" i="12"/>
  <c r="L186" i="12" s="1" a="1"/>
  <c r="J417" i="12"/>
  <c r="L417" i="12" s="1" a="1"/>
  <c r="J219" i="12"/>
  <c r="L219" i="12" s="1" a="1"/>
  <c r="J320" i="12"/>
  <c r="L320" i="12" s="1" a="1"/>
  <c r="K447" i="12"/>
  <c r="H134" i="12"/>
  <c r="I134" i="12" s="1" a="1"/>
  <c r="K310" i="12"/>
  <c r="M310" i="12" s="1" a="1"/>
  <c r="K206" i="12"/>
  <c r="M206" i="12" s="1" a="1"/>
  <c r="H249" i="12"/>
  <c r="I249" i="12" s="1" a="1"/>
  <c r="J421" i="12"/>
  <c r="L421" i="12" s="1" a="1"/>
  <c r="K163" i="12"/>
  <c r="M163" i="12" s="1" a="1"/>
  <c r="H289" i="12"/>
  <c r="I289" i="12" s="1" a="1"/>
  <c r="J138" i="12"/>
  <c r="L138" i="12" s="1" a="1"/>
  <c r="H169" i="12"/>
  <c r="I169" i="12" s="1" a="1"/>
  <c r="K387" i="12"/>
  <c r="M387" i="12" s="1" a="1"/>
  <c r="H118" i="12"/>
  <c r="I118" i="12" s="1" a="1"/>
  <c r="K284" i="12"/>
  <c r="M284" i="12" s="1" a="1"/>
  <c r="J149" i="12"/>
  <c r="L149" i="12" s="1" a="1"/>
  <c r="J337" i="12"/>
  <c r="L337" i="12" s="1" a="1"/>
  <c r="H321" i="12"/>
  <c r="I321" i="12" s="1" a="1"/>
  <c r="K459" i="12"/>
  <c r="J303" i="12"/>
  <c r="L303" i="12" s="1" a="1"/>
  <c r="H384" i="12"/>
  <c r="I384" i="12" s="1" a="1"/>
  <c r="K463" i="12"/>
  <c r="H395" i="12"/>
  <c r="I395" i="12" s="1" a="1"/>
  <c r="J162" i="12"/>
  <c r="L162" i="12" s="1" a="1"/>
  <c r="J218" i="12"/>
  <c r="L218" i="12" s="1" a="1"/>
  <c r="K312" i="12"/>
  <c r="M312" i="12" s="1" a="1"/>
  <c r="J123" i="12"/>
  <c r="L123" i="12" s="1" a="1"/>
  <c r="J112" i="12"/>
  <c r="L112" i="12" s="1" a="1"/>
  <c r="K201" i="12"/>
  <c r="M201" i="12" s="1" a="1"/>
  <c r="J128" i="12"/>
  <c r="L128" i="12" s="1" a="1"/>
  <c r="J422" i="12"/>
  <c r="L422" i="12" s="1" a="1"/>
  <c r="J126" i="12"/>
  <c r="L126" i="12" s="1" a="1"/>
  <c r="J304" i="12"/>
  <c r="L304" i="12" s="1" a="1"/>
  <c r="K219" i="12"/>
  <c r="M219" i="12" s="1" a="1"/>
  <c r="J264" i="12"/>
  <c r="L264" i="12" s="1" a="1"/>
  <c r="J169" i="12"/>
  <c r="L169" i="12" s="1" a="1"/>
  <c r="K421" i="12"/>
  <c r="M421" i="12" s="1" a="1"/>
  <c r="K344" i="12"/>
  <c r="M344" i="12" s="1" a="1"/>
  <c r="J216" i="12"/>
  <c r="L216" i="12" s="1" a="1"/>
  <c r="H358" i="12"/>
  <c r="I358" i="12" s="1" a="1"/>
  <c r="K466" i="12"/>
  <c r="J254" i="12"/>
  <c r="L254" i="12" s="1" a="1"/>
  <c r="H168" i="12"/>
  <c r="I168" i="12" s="1" a="1"/>
  <c r="H117" i="12"/>
  <c r="I117" i="12" s="1" a="1"/>
  <c r="K365" i="12"/>
  <c r="M365" i="12" s="1" a="1"/>
  <c r="J349" i="12"/>
  <c r="L349" i="12" s="1" a="1"/>
  <c r="H349" i="12"/>
  <c r="I349" i="12" s="1" a="1"/>
  <c r="K122" i="12"/>
  <c r="M122" i="12" s="1" a="1"/>
  <c r="H405" i="12"/>
  <c r="I405" i="12" s="1" a="1"/>
  <c r="K347" i="12"/>
  <c r="M347" i="12" s="1" a="1"/>
  <c r="K351" i="12"/>
  <c r="M351" i="12" s="1" a="1"/>
  <c r="K101" i="12"/>
  <c r="M101" i="12" s="1" a="1"/>
  <c r="K324" i="12"/>
  <c r="M324" i="12" s="1" a="1"/>
  <c r="K401" i="12"/>
  <c r="M401" i="12" s="1" a="1"/>
  <c r="K462" i="12"/>
  <c r="K397" i="12"/>
  <c r="M397" i="12" s="1" a="1"/>
  <c r="H205" i="12"/>
  <c r="I205" i="12" s="1" a="1"/>
  <c r="J377" i="12"/>
  <c r="L377" i="12" s="1" a="1"/>
  <c r="H390" i="12"/>
  <c r="I390" i="12" s="1" a="1"/>
  <c r="K164" i="12"/>
  <c r="M164" i="12" s="1" a="1"/>
  <c r="K474" i="12"/>
  <c r="H201" i="12"/>
  <c r="I201" i="12" s="1" a="1"/>
  <c r="K85" i="12"/>
  <c r="K132" i="12"/>
  <c r="M132" i="12" s="1" a="1"/>
  <c r="K126" i="12"/>
  <c r="M126" i="12" s="1" a="1"/>
  <c r="K175" i="12"/>
  <c r="M175" i="12" s="1" a="1"/>
  <c r="J222" i="12"/>
  <c r="L222" i="12" s="1" a="1"/>
  <c r="J269" i="12"/>
  <c r="L269" i="12" s="1" a="1"/>
  <c r="H310" i="12"/>
  <c r="I310" i="12" s="1" a="1"/>
  <c r="H126" i="12"/>
  <c r="I126" i="12" s="1" a="1"/>
  <c r="K184" i="12"/>
  <c r="M184" i="12" s="1" a="1"/>
  <c r="K218" i="12"/>
  <c r="M218" i="12" s="1" a="1"/>
  <c r="H419" i="12"/>
  <c r="I419" i="12" s="1" a="1"/>
  <c r="K316" i="12"/>
  <c r="M316" i="12" s="1" a="1"/>
  <c r="H135" i="12"/>
  <c r="I135" i="12" s="1" a="1"/>
  <c r="J394" i="12"/>
  <c r="L394" i="12" s="1" a="1"/>
  <c r="K183" i="12"/>
  <c r="M183" i="12" s="1" a="1"/>
  <c r="H212" i="12"/>
  <c r="I212" i="12" s="1" a="1"/>
  <c r="K200" i="12"/>
  <c r="M200" i="12" s="1" a="1"/>
  <c r="J196" i="12"/>
  <c r="L196" i="12" s="1" a="1"/>
  <c r="K231" i="12"/>
  <c r="M231" i="12" s="1" a="1"/>
  <c r="J301" i="12"/>
  <c r="L301" i="12" s="1" a="1"/>
  <c r="K399" i="12"/>
  <c r="M399" i="12" s="1" a="1"/>
  <c r="K356" i="12"/>
  <c r="M356" i="12" s="1" a="1"/>
  <c r="H177" i="12"/>
  <c r="I177" i="12" s="1" a="1"/>
  <c r="H303" i="12"/>
  <c r="I303" i="12" s="1" a="1"/>
  <c r="J240" i="12"/>
  <c r="L240" i="12" s="1" a="1"/>
  <c r="H218" i="12"/>
  <c r="I218" i="12" s="1" a="1"/>
  <c r="K359" i="12"/>
  <c r="M359" i="12" s="1" a="1"/>
  <c r="J245" i="12"/>
  <c r="L245" i="12" s="1" a="1"/>
  <c r="K120" i="12"/>
  <c r="M120" i="12" s="1" a="1"/>
  <c r="H104" i="12"/>
  <c r="I104" i="12" s="1" a="1"/>
  <c r="K291" i="12"/>
  <c r="M291" i="12" s="1" a="1"/>
  <c r="H356" i="12"/>
  <c r="I356" i="12" s="1" a="1"/>
  <c r="H407" i="12"/>
  <c r="I407" i="12" s="1" a="1"/>
  <c r="H311" i="12"/>
  <c r="I311" i="12" s="1" a="1"/>
  <c r="H342" i="12"/>
  <c r="I342" i="12" s="1" a="1"/>
  <c r="J346" i="12"/>
  <c r="L346" i="12" s="1" a="1"/>
  <c r="H189" i="12"/>
  <c r="I189" i="12" s="1" a="1"/>
  <c r="J282" i="12"/>
  <c r="L282" i="12" s="1" a="1"/>
  <c r="K154" i="12"/>
  <c r="M154" i="12" s="1" a="1"/>
  <c r="H226" i="12"/>
  <c r="I226" i="12" s="1" a="1"/>
  <c r="J368" i="12"/>
  <c r="L368" i="12" s="1" a="1"/>
  <c r="J205" i="12"/>
  <c r="L205" i="12" s="1" a="1"/>
  <c r="K84" i="12"/>
  <c r="K361" i="12"/>
  <c r="M361" i="12" s="1" a="1"/>
  <c r="J226" i="12"/>
  <c r="L226" i="12" s="1" a="1"/>
  <c r="K287" i="12"/>
  <c r="M287" i="12" s="1" a="1"/>
  <c r="K441" i="12"/>
  <c r="H202" i="12"/>
  <c r="I202" i="12" s="1" a="1"/>
  <c r="J150" i="12"/>
  <c r="L150" i="12" s="1" a="1"/>
  <c r="J391" i="12"/>
  <c r="L391" i="12" s="1" a="1"/>
  <c r="K241" i="12"/>
  <c r="M241" i="12" s="1" a="1"/>
  <c r="K448" i="12"/>
  <c r="K119" i="12"/>
  <c r="M119" i="12" s="1" a="1"/>
  <c r="J188" i="12"/>
  <c r="L188" i="12" s="1" a="1"/>
  <c r="J399" i="12"/>
  <c r="L399" i="12" s="1" a="1"/>
  <c r="H154" i="12"/>
  <c r="I154" i="12" s="1" a="1"/>
  <c r="J221" i="12"/>
  <c r="L221" i="12" s="1" a="1"/>
  <c r="H113" i="12"/>
  <c r="I113" i="12" s="1" a="1"/>
  <c r="H374" i="12"/>
  <c r="I374" i="12" s="1" a="1"/>
  <c r="J103" i="12"/>
  <c r="L103" i="12" s="1" a="1"/>
  <c r="J100" i="12"/>
  <c r="L100" i="12" s="1" a="1"/>
  <c r="K191" i="12"/>
  <c r="M191" i="12" s="1" a="1"/>
  <c r="J119" i="12"/>
  <c r="L119" i="12" s="1" a="1"/>
  <c r="J134" i="12"/>
  <c r="L134" i="12" s="1" a="1"/>
  <c r="H257" i="12"/>
  <c r="I257" i="12" s="1" a="1"/>
  <c r="K144" i="12"/>
  <c r="M144" i="12" s="1" a="1"/>
  <c r="K238" i="12"/>
  <c r="M238" i="12" s="1" a="1"/>
  <c r="J314" i="12"/>
  <c r="L314" i="12" s="1" a="1"/>
  <c r="J251" i="12"/>
  <c r="L251" i="12" s="1" a="1"/>
  <c r="K171" i="12"/>
  <c r="M171" i="12" s="1" a="1"/>
  <c r="J170" i="12"/>
  <c r="L170" i="12" s="1" a="1"/>
  <c r="H401" i="12"/>
  <c r="I401" i="12" s="1" a="1"/>
  <c r="K89" i="12"/>
  <c r="K214" i="12"/>
  <c r="M214" i="12" s="1" a="1"/>
  <c r="H206" i="12"/>
  <c r="I206" i="12" s="1" a="1"/>
  <c r="K198" i="12"/>
  <c r="M198" i="12" s="1" a="1"/>
  <c r="K412" i="12"/>
  <c r="M412" i="12" s="1" a="1"/>
  <c r="K309" i="12"/>
  <c r="M309" i="12" s="1" a="1"/>
  <c r="H386" i="12"/>
  <c r="I386" i="12" s="1" a="1"/>
  <c r="H330" i="12"/>
  <c r="I330" i="12" s="1" a="1"/>
  <c r="H348" i="12"/>
  <c r="I348" i="12" s="1" a="1"/>
  <c r="H139" i="12"/>
  <c r="I139" i="12" s="1" a="1"/>
  <c r="K188" i="12"/>
  <c r="M188" i="12" s="1" a="1"/>
  <c r="J332" i="12"/>
  <c r="L332" i="12" s="1" a="1"/>
  <c r="H164" i="12"/>
  <c r="I164" i="12" s="1" a="1"/>
  <c r="H273" i="12"/>
  <c r="I273" i="12" s="1" a="1"/>
  <c r="J193" i="12"/>
  <c r="L193" i="12" s="1" a="1"/>
  <c r="J131" i="12"/>
  <c r="L131" i="12" s="1" a="1"/>
  <c r="J343" i="12"/>
  <c r="L343" i="12" s="1" a="1"/>
  <c r="K118" i="12"/>
  <c r="M118" i="12" s="1" a="1"/>
  <c r="J355" i="12"/>
  <c r="L355" i="12" s="1" a="1"/>
  <c r="K396" i="12"/>
  <c r="M396" i="12" s="1" a="1"/>
  <c r="K305" i="12"/>
  <c r="M305" i="12" s="1" a="1"/>
  <c r="J177" i="12"/>
  <c r="L177" i="12" s="1" a="1"/>
  <c r="J136" i="12"/>
  <c r="L136" i="12" s="1" a="1"/>
  <c r="J142" i="12"/>
  <c r="L142" i="12" s="1" a="1"/>
  <c r="J400" i="12"/>
  <c r="L400" i="12" s="1" a="1"/>
  <c r="K260" i="12"/>
  <c r="M260" i="12" s="1" a="1"/>
  <c r="H284" i="12"/>
  <c r="I284" i="12" s="1" a="1"/>
  <c r="K172" i="12"/>
  <c r="M172" i="12" s="1" a="1"/>
  <c r="H194" i="12"/>
  <c r="I194" i="12" s="1" a="1"/>
  <c r="K460" i="12"/>
  <c r="H341" i="12"/>
  <c r="I341" i="12" s="1" a="1"/>
  <c r="H246" i="12"/>
  <c r="I246" i="12" s="1" a="1"/>
  <c r="H350" i="12"/>
  <c r="I350" i="12" s="1" a="1"/>
  <c r="J287" i="12"/>
  <c r="L287" i="12" s="1" a="1"/>
  <c r="J272" i="12"/>
  <c r="L272" i="12" s="1" a="1"/>
  <c r="K345" i="12"/>
  <c r="M345" i="12" s="1" a="1"/>
  <c r="J214" i="12"/>
  <c r="L214" i="12" s="1" a="1"/>
  <c r="J367" i="12"/>
  <c r="L367" i="12" s="1" a="1"/>
  <c r="J101" i="12"/>
  <c r="L101" i="12" s="1" a="1"/>
  <c r="H411" i="12"/>
  <c r="I411" i="12" s="1" a="1"/>
  <c r="H124" i="12"/>
  <c r="I124" i="12" s="1" a="1"/>
  <c r="J308" i="12"/>
  <c r="L308" i="12" s="1" a="1"/>
  <c r="J418" i="12"/>
  <c r="L418" i="12" s="1" a="1"/>
  <c r="H291" i="12"/>
  <c r="I291" i="12" s="1" a="1"/>
  <c r="J390" i="12"/>
  <c r="L390" i="12" s="1" a="1"/>
  <c r="K334" i="12"/>
  <c r="M334" i="12" s="1" a="1"/>
  <c r="K150" i="12"/>
  <c r="M150" i="12" s="1" a="1"/>
  <c r="H211" i="12"/>
  <c r="I211" i="12" s="1" a="1"/>
  <c r="K139" i="12"/>
  <c r="M139" i="12" s="1" a="1"/>
  <c r="K442" i="12"/>
  <c r="J411" i="12"/>
  <c r="L411" i="12" s="1" a="1"/>
  <c r="K415" i="12"/>
  <c r="M415" i="12" s="1" a="1"/>
  <c r="H280" i="12"/>
  <c r="I280" i="12" s="1" a="1"/>
  <c r="J317" i="12"/>
  <c r="L317" i="12" s="1" a="1"/>
  <c r="J356" i="12"/>
  <c r="L356" i="12" s="1" a="1"/>
  <c r="K426" i="12"/>
  <c r="H133" i="12"/>
  <c r="I133" i="12" s="1" a="1"/>
  <c r="H418" i="12"/>
  <c r="I418" i="12" s="1" a="1"/>
  <c r="K417" i="12"/>
  <c r="M417" i="12" s="1" a="1"/>
  <c r="H400" i="12"/>
  <c r="I400" i="12" s="1" a="1"/>
  <c r="K363" i="12"/>
  <c r="M363" i="12" s="1" a="1"/>
  <c r="K332" i="12"/>
  <c r="M332" i="12" s="1" a="1"/>
  <c r="J375" i="12"/>
  <c r="L375" i="12" s="1" a="1"/>
  <c r="H261" i="12"/>
  <c r="I261" i="12" s="1" a="1"/>
  <c r="J401" i="12"/>
  <c r="L401" i="12" s="1" a="1"/>
  <c r="K174" i="12"/>
  <c r="M174" i="12" s="1" a="1"/>
  <c r="K408" i="12"/>
  <c r="M408" i="12" s="1" a="1"/>
  <c r="H100" i="12"/>
  <c r="I100" i="12" s="1" a="1"/>
  <c r="H332" i="12"/>
  <c r="I332" i="12" s="1" a="1"/>
  <c r="K411" i="12"/>
  <c r="M411" i="12" s="1" a="1"/>
  <c r="K181" i="12"/>
  <c r="M181" i="12" s="1" a="1"/>
  <c r="H241" i="12"/>
  <c r="I241" i="12" s="1" a="1"/>
  <c r="K170" i="12"/>
  <c r="M170" i="12" s="1" a="1"/>
  <c r="K108" i="12"/>
  <c r="M108" i="12" s="1" a="1"/>
  <c r="K413" i="12"/>
  <c r="M413" i="12" s="1" a="1"/>
  <c r="K239" i="12"/>
  <c r="M239" i="12" s="1" a="1"/>
  <c r="H102" i="12"/>
  <c r="I102" i="12" s="1" a="1"/>
  <c r="K367" i="12"/>
  <c r="M367" i="12" s="1" a="1"/>
  <c r="K222" i="12"/>
  <c r="M222" i="12" s="1" a="1"/>
  <c r="H247" i="12"/>
  <c r="I247" i="12" s="1" a="1"/>
  <c r="K446" i="12"/>
  <c r="J372" i="12"/>
  <c r="L372" i="12" s="1" a="1"/>
  <c r="K321" i="12"/>
  <c r="M321" i="12" s="1" a="1"/>
  <c r="K223" i="12"/>
  <c r="M223" i="12" s="1" a="1"/>
  <c r="K369" i="12"/>
  <c r="M369" i="12" s="1" a="1"/>
  <c r="K400" i="12"/>
  <c r="M400" i="12" s="1" a="1"/>
  <c r="K265" i="12"/>
  <c r="M265" i="12" s="1" a="1"/>
  <c r="H340" i="12"/>
  <c r="I340" i="12" s="1" a="1"/>
  <c r="K453" i="12"/>
  <c r="K340" i="12"/>
  <c r="M340" i="12" s="1" a="1"/>
  <c r="J173" i="12"/>
  <c r="L173" i="12" s="1" a="1"/>
  <c r="H277" i="12"/>
  <c r="I277" i="12" s="1" a="1"/>
  <c r="J135" i="12"/>
  <c r="L135" i="12" s="1" a="1"/>
  <c r="J202" i="12"/>
  <c r="L202" i="12" s="1" a="1"/>
  <c r="J350" i="12"/>
  <c r="L350" i="12" s="1" a="1"/>
  <c r="H251" i="12"/>
  <c r="I251" i="12" s="1" a="1"/>
  <c r="J102" i="12"/>
  <c r="L102" i="12" s="1" a="1"/>
  <c r="K121" i="12"/>
  <c r="M121" i="12" s="1" a="1"/>
  <c r="H183" i="12"/>
  <c r="I183" i="12" s="1" a="1"/>
  <c r="J249" i="12"/>
  <c r="L249" i="12" s="1" a="1"/>
  <c r="H203" i="12"/>
  <c r="I203" i="12" s="1" a="1"/>
  <c r="J293" i="12"/>
  <c r="L293" i="12" s="1" a="1"/>
  <c r="K410" i="12"/>
  <c r="M410" i="12" s="1" a="1"/>
  <c r="H269" i="12"/>
  <c r="I269" i="12" s="1" a="1"/>
  <c r="K364" i="12"/>
  <c r="M364" i="12" s="1" a="1"/>
  <c r="H335" i="12"/>
  <c r="I335" i="12" s="1" a="1"/>
  <c r="K194" i="12"/>
  <c r="M194" i="12" s="1" a="1"/>
  <c r="K251" i="12"/>
  <c r="M251" i="12" s="1" a="1"/>
  <c r="H185" i="12"/>
  <c r="I185" i="12" s="1" a="1"/>
  <c r="J203" i="12"/>
  <c r="L203" i="12" s="1" a="1"/>
  <c r="K187" i="12"/>
  <c r="M187" i="12" s="1" a="1"/>
  <c r="H151" i="12"/>
  <c r="I151" i="12" s="1" a="1"/>
  <c r="K92" i="12"/>
  <c r="H160" i="12"/>
  <c r="I160" i="12" s="1" a="1"/>
  <c r="H389" i="12"/>
  <c r="I389" i="12" s="1" a="1"/>
  <c r="K95" i="12"/>
  <c r="J423" i="12"/>
  <c r="L423" i="12" s="1" a="1"/>
  <c r="K350" i="12"/>
  <c r="M350" i="12" s="1" a="1"/>
  <c r="K378" i="12"/>
  <c r="M378" i="12" s="1" a="1"/>
  <c r="K112" i="12"/>
  <c r="M112" i="12" s="1" a="1"/>
  <c r="K394" i="12"/>
  <c r="M394" i="12" s="1" a="1"/>
  <c r="K424" i="12"/>
  <c r="K199" i="12"/>
  <c r="M199" i="12" s="1" a="1"/>
  <c r="K414" i="12"/>
  <c r="M414" i="12" s="1" a="1"/>
  <c r="J176" i="12"/>
  <c r="L176" i="12" s="1" a="1"/>
  <c r="K419" i="12"/>
  <c r="M419" i="12" s="1" a="1"/>
  <c r="J404" i="12"/>
  <c r="L404" i="12" s="1" a="1"/>
  <c r="J311" i="12"/>
  <c r="L311" i="12" s="1" a="1"/>
  <c r="J383" i="12"/>
  <c r="L383" i="12" s="1" a="1"/>
  <c r="K379" i="12"/>
  <c r="M379" i="12" s="1" a="1"/>
  <c r="K141" i="12"/>
  <c r="M141" i="12" s="1" a="1"/>
  <c r="J271" i="12"/>
  <c r="L271" i="12" s="1" a="1"/>
  <c r="H137" i="12"/>
  <c r="I137" i="12" s="1" a="1"/>
  <c r="K467" i="12"/>
  <c r="K299" i="12"/>
  <c r="M299" i="12" s="1" a="1"/>
  <c r="H150" i="12"/>
  <c r="I150" i="12" s="1" a="1"/>
  <c r="J278" i="12"/>
  <c r="L278" i="12" s="1" a="1"/>
  <c r="K388" i="12"/>
  <c r="M388" i="12" s="1" a="1"/>
  <c r="J105" i="12"/>
  <c r="L105" i="12" s="1" a="1"/>
  <c r="K138" i="12"/>
  <c r="M138" i="12" s="1" a="1"/>
  <c r="H331" i="12"/>
  <c r="I331" i="12" s="1" a="1"/>
  <c r="J118" i="12"/>
  <c r="L118" i="12" s="1" a="1"/>
  <c r="K436" i="12"/>
  <c r="H297" i="12"/>
  <c r="I297" i="12" s="1" a="1"/>
  <c r="K255" i="12"/>
  <c r="M255" i="12" s="1" a="1"/>
  <c r="K197" i="12"/>
  <c r="M197" i="12" s="1" a="1"/>
  <c r="H355" i="12"/>
  <c r="I355" i="12" s="1" a="1"/>
  <c r="H242" i="12"/>
  <c r="I242" i="12" s="1" a="1"/>
  <c r="H252" i="12"/>
  <c r="I252" i="12" s="1" a="1"/>
  <c r="K308" i="12"/>
  <c r="M308" i="12" s="1" a="1"/>
  <c r="H248" i="12"/>
  <c r="I248" i="12" s="1" a="1"/>
  <c r="H268" i="12"/>
  <c r="I268" i="12" s="1" a="1"/>
  <c r="K195" i="12"/>
  <c r="M195" i="12" s="1" a="1"/>
  <c r="K416" i="12"/>
  <c r="M416" i="12" s="1" a="1"/>
  <c r="H387" i="12"/>
  <c r="I387" i="12" s="1" a="1"/>
  <c r="K380" i="12"/>
  <c r="M380" i="12" s="1" a="1"/>
  <c r="H365" i="12"/>
  <c r="I365" i="12" s="1" a="1"/>
  <c r="K258" i="12"/>
  <c r="M258" i="12" s="1" a="1"/>
  <c r="K153" i="12"/>
  <c r="M153" i="12" s="1" a="1"/>
  <c r="H200" i="12"/>
  <c r="I200" i="12" s="1" a="1"/>
  <c r="H195" i="12"/>
  <c r="I195" i="12" s="1" a="1"/>
  <c r="K212" i="12"/>
  <c r="M212" i="12" s="1" a="1"/>
  <c r="K133" i="12"/>
  <c r="M133" i="12" s="1" a="1"/>
  <c r="H184" i="12"/>
  <c r="I184" i="12" s="1" a="1"/>
  <c r="H274" i="12"/>
  <c r="I274" i="12" s="1" a="1"/>
  <c r="K458" i="12"/>
  <c r="K247" i="12"/>
  <c r="M247" i="12" s="1" a="1"/>
  <c r="H197" i="12"/>
  <c r="I197" i="12" s="1" a="1"/>
  <c r="J99" i="12"/>
  <c r="K450" i="12"/>
  <c r="H225" i="12"/>
  <c r="I225" i="12" s="1" a="1"/>
  <c r="K236" i="12"/>
  <c r="M236" i="12" s="1" a="1"/>
  <c r="J309" i="12"/>
  <c r="L309" i="12" s="1" a="1"/>
  <c r="J190" i="12"/>
  <c r="L190" i="12" s="1" a="1"/>
  <c r="H345" i="12"/>
  <c r="I345" i="12" s="1" a="1"/>
  <c r="H141" i="12"/>
  <c r="I141" i="12" s="1" a="1"/>
  <c r="J104" i="12"/>
  <c r="L104" i="12" s="1" a="1"/>
  <c r="H119" i="12"/>
  <c r="I119" i="12" s="1" a="1"/>
  <c r="H103" i="12"/>
  <c r="I103" i="12" s="1" a="1"/>
  <c r="H320" i="12"/>
  <c r="I320" i="12" s="1" a="1"/>
  <c r="H140" i="12"/>
  <c r="I140" i="12" s="1" a="1"/>
  <c r="K348" i="12"/>
  <c r="M348" i="12" s="1" a="1"/>
  <c r="K115" i="12"/>
  <c r="M115" i="12" s="1" a="1"/>
  <c r="K155" i="12"/>
  <c r="M155" i="12" s="1" a="1"/>
  <c r="H142" i="12"/>
  <c r="I142" i="12" s="1" a="1"/>
  <c r="J353" i="12"/>
  <c r="L353" i="12" s="1" a="1"/>
  <c r="J166" i="12"/>
  <c r="L166" i="12" s="1" a="1"/>
  <c r="J336" i="12"/>
  <c r="L336" i="12" s="1" a="1"/>
  <c r="H176" i="12"/>
  <c r="I176" i="12" s="1" a="1"/>
  <c r="J327" i="12"/>
  <c r="L327" i="12" s="1" a="1"/>
  <c r="H368" i="12"/>
  <c r="I368" i="12" s="1" a="1"/>
  <c r="K93" i="12"/>
  <c r="K273" i="12"/>
  <c r="M273" i="12" s="1" a="1"/>
  <c r="J181" i="12"/>
  <c r="L181" i="12" s="1" a="1"/>
  <c r="J113" i="12"/>
  <c r="L113" i="12" s="1" a="1"/>
  <c r="J115" i="12"/>
  <c r="L115" i="12" s="1" a="1"/>
  <c r="J178" i="12"/>
  <c r="L178" i="12" s="1" a="1"/>
  <c r="H371" i="12"/>
  <c r="I371" i="12" s="1" a="1"/>
  <c r="J164" i="12"/>
  <c r="L164" i="12" s="1" a="1"/>
  <c r="K193" i="12"/>
  <c r="M193" i="12" s="1" a="1"/>
  <c r="N193" i="12" s="1"/>
  <c r="K330" i="12"/>
  <c r="M330" i="12" s="1" a="1"/>
  <c r="H377" i="12"/>
  <c r="I377" i="12" s="1" a="1"/>
  <c r="K152" i="12"/>
  <c r="M152" i="12" s="1" a="1"/>
  <c r="K180" i="12"/>
  <c r="M180" i="12" s="1" a="1"/>
  <c r="H281" i="12"/>
  <c r="I281" i="12" s="1" a="1"/>
  <c r="K320" i="12"/>
  <c r="M320" i="12" s="1" a="1"/>
  <c r="J156" i="12"/>
  <c r="L156" i="12" s="1" a="1"/>
  <c r="H208" i="12"/>
  <c r="I208" i="12" s="1" a="1"/>
  <c r="H120" i="12"/>
  <c r="I120" i="12" s="1" a="1"/>
  <c r="H326" i="12"/>
  <c r="I326" i="12" s="1" a="1"/>
  <c r="K276" i="12"/>
  <c r="M276" i="12" s="1" a="1"/>
  <c r="J289" i="12"/>
  <c r="L289" i="12" s="1" a="1"/>
  <c r="K362" i="12"/>
  <c r="M362" i="12" s="1" a="1"/>
  <c r="H174" i="12"/>
  <c r="I174" i="12" s="1" a="1"/>
  <c r="K149" i="12"/>
  <c r="M149" i="12" s="1" a="1"/>
  <c r="H240" i="12"/>
  <c r="I240" i="12" s="1" a="1"/>
  <c r="K314" i="12"/>
  <c r="M314" i="12" s="1" a="1"/>
  <c r="H271" i="12"/>
  <c r="I271" i="12" s="1" a="1"/>
  <c r="K146" i="12"/>
  <c r="M146" i="12" s="1" a="1"/>
  <c r="H186" i="12"/>
  <c r="I186" i="12" s="1" a="1"/>
  <c r="K370" i="12"/>
  <c r="M370" i="12" s="1" a="1"/>
  <c r="H370" i="12"/>
  <c r="I370" i="12" s="1" a="1"/>
  <c r="H216" i="12"/>
  <c r="I216" i="12" s="1" a="1"/>
  <c r="J318" i="12"/>
  <c r="L318" i="12" s="1" a="1"/>
  <c r="J262" i="12"/>
  <c r="L262" i="12" s="1" a="1"/>
  <c r="J227" i="12"/>
  <c r="L227" i="12" s="1" a="1"/>
  <c r="J396" i="12"/>
  <c r="L396" i="12" s="1" a="1"/>
  <c r="K329" i="12"/>
  <c r="M329" i="12" s="1" a="1"/>
  <c r="H180" i="12"/>
  <c r="I180" i="12" s="1" a="1"/>
  <c r="H339" i="12"/>
  <c r="I339" i="12" s="1" a="1"/>
  <c r="K253" i="12"/>
  <c r="M253" i="12" s="1" a="1"/>
  <c r="J328" i="12"/>
  <c r="L328" i="12" s="1" a="1"/>
  <c r="H375" i="12"/>
  <c r="I375" i="12" s="1" a="1"/>
  <c r="H129" i="12"/>
  <c r="I129" i="12" s="1" a="1"/>
  <c r="K269" i="12"/>
  <c r="M269" i="12" s="1" a="1"/>
  <c r="K254" i="12"/>
  <c r="M254" i="12" s="1" a="1"/>
  <c r="J241" i="12"/>
  <c r="L241" i="12" s="1" a="1"/>
  <c r="J297" i="12"/>
  <c r="L297" i="12" s="1" a="1"/>
  <c r="H178" i="12"/>
  <c r="I178" i="12" s="1" a="1"/>
  <c r="K94" i="12"/>
  <c r="J200" i="12"/>
  <c r="L200" i="12" s="1" a="1"/>
  <c r="K129" i="12"/>
  <c r="M129" i="12" s="1" a="1"/>
  <c r="J373" i="12"/>
  <c r="L373" i="12" s="1" a="1"/>
  <c r="J187" i="12"/>
  <c r="L187" i="12" s="1" a="1"/>
  <c r="K402" i="12"/>
  <c r="M402" i="12" s="1" a="1"/>
  <c r="J121" i="12"/>
  <c r="L121" i="12" s="1" a="1"/>
  <c r="J284" i="12"/>
  <c r="L284" i="12" s="1" a="1"/>
  <c r="H210" i="12"/>
  <c r="I210" i="12" s="1" a="1"/>
  <c r="K98" i="12"/>
  <c r="J257" i="12"/>
  <c r="L257" i="12" s="1" a="1"/>
  <c r="K440" i="12"/>
  <c r="J295" i="12"/>
  <c r="L295" i="12" s="1" a="1"/>
  <c r="J330" i="12"/>
  <c r="L330" i="12" s="1" a="1"/>
  <c r="K427" i="12"/>
  <c r="J238" i="12"/>
  <c r="L238" i="12" s="1" a="1"/>
  <c r="H161" i="12"/>
  <c r="I161" i="12" s="1" a="1"/>
  <c r="J378" i="12"/>
  <c r="L378" i="12" s="1" a="1"/>
  <c r="H256" i="12"/>
  <c r="I256" i="12" s="1" a="1"/>
  <c r="K114" i="12"/>
  <c r="M114" i="12" s="1" a="1"/>
  <c r="K418" i="12"/>
  <c r="M418" i="12" s="1" a="1"/>
  <c r="K145" i="12"/>
  <c r="M145" i="12" s="1" a="1"/>
  <c r="H132" i="12"/>
  <c r="I132" i="12" s="1" a="1"/>
  <c r="H262" i="12"/>
  <c r="I262" i="12" s="1" a="1"/>
  <c r="K311" i="12"/>
  <c r="M311" i="12" s="1" a="1"/>
  <c r="J408" i="12"/>
  <c r="L408" i="12" s="1" a="1"/>
  <c r="J266" i="12"/>
  <c r="L266" i="12" s="1" a="1"/>
  <c r="H394" i="12"/>
  <c r="I394" i="12" s="1" a="1"/>
  <c r="H128" i="12"/>
  <c r="I128" i="12" s="1" a="1"/>
  <c r="J413" i="12"/>
  <c r="L413" i="12" s="1" a="1"/>
  <c r="J114" i="12"/>
  <c r="L114" i="12" s="1" a="1"/>
  <c r="N114" i="12" s="1"/>
  <c r="J407" i="12"/>
  <c r="L407" i="12" s="1" a="1"/>
  <c r="J385" i="12"/>
  <c r="L385" i="12" s="1" a="1"/>
  <c r="K296" i="12"/>
  <c r="M296" i="12" s="1" a="1"/>
  <c r="K319" i="12"/>
  <c r="M319" i="12" s="1" a="1"/>
  <c r="H170" i="12"/>
  <c r="I170" i="12" s="1" a="1"/>
  <c r="H307" i="12"/>
  <c r="I307" i="12" s="1" a="1"/>
  <c r="H378" i="12"/>
  <c r="I378" i="12" s="1" a="1"/>
  <c r="J120" i="12"/>
  <c r="L120" i="12" s="1" a="1"/>
  <c r="K278" i="12"/>
  <c r="M278" i="12" s="1" a="1"/>
  <c r="J382" i="12"/>
  <c r="L382" i="12" s="1" a="1"/>
  <c r="K90" i="12"/>
  <c r="K246" i="12"/>
  <c r="M246" i="12" s="1" a="1"/>
  <c r="H238" i="12"/>
  <c r="I238" i="12" s="1" a="1"/>
  <c r="J299" i="12"/>
  <c r="L299" i="12" s="1" a="1"/>
  <c r="J371" i="12"/>
  <c r="L371" i="12" s="1" a="1"/>
  <c r="J406" i="12"/>
  <c r="L406" i="12" s="1" a="1"/>
  <c r="H149" i="12"/>
  <c r="I149" i="12" s="1" a="1"/>
  <c r="H196" i="12"/>
  <c r="I196" i="12" s="1" a="1"/>
  <c r="K116" i="12"/>
  <c r="M116" i="12" s="1" a="1"/>
  <c r="J175" i="12"/>
  <c r="L175" i="12" s="1" a="1"/>
  <c r="K196" i="12"/>
  <c r="M196" i="12" s="1" a="1"/>
  <c r="K104" i="12"/>
  <c r="M104" i="12" s="1" a="1"/>
  <c r="J233" i="12"/>
  <c r="L233" i="12" s="1" a="1"/>
  <c r="H292" i="12"/>
  <c r="I292" i="12" s="1" a="1"/>
  <c r="H388" i="12"/>
  <c r="I388" i="12" s="1" a="1"/>
  <c r="J231" i="12"/>
  <c r="L231" i="12" s="1" a="1"/>
  <c r="H116" i="12"/>
  <c r="I116" i="12" s="1" a="1"/>
  <c r="J148" i="12"/>
  <c r="L148" i="12" s="1" a="1"/>
  <c r="J345" i="12"/>
  <c r="L345" i="12" s="1" a="1"/>
  <c r="J288" i="12"/>
  <c r="L288" i="12" s="1" a="1"/>
  <c r="K444" i="12"/>
  <c r="H159" i="12"/>
  <c r="I159" i="12" s="1" a="1"/>
  <c r="K468" i="12"/>
  <c r="H299" i="12"/>
  <c r="I299" i="12" s="1" a="1"/>
  <c r="K117" i="12"/>
  <c r="M117" i="12" s="1" a="1"/>
  <c r="H396" i="12"/>
  <c r="I396" i="12" s="1" a="1"/>
  <c r="J132" i="12"/>
  <c r="L132" i="12" s="1" a="1"/>
  <c r="K136" i="12"/>
  <c r="M136" i="12" s="1" a="1"/>
  <c r="H392" i="12"/>
  <c r="I392" i="12" s="1" a="1"/>
  <c r="J263" i="12"/>
  <c r="L263" i="12" s="1" a="1"/>
  <c r="K130" i="12"/>
  <c r="M130" i="12" s="1" a="1"/>
  <c r="K166" i="12"/>
  <c r="M166" i="12" s="1" a="1"/>
  <c r="J322" i="12"/>
  <c r="L322" i="12" s="1" a="1"/>
  <c r="J242" i="12"/>
  <c r="L242" i="12" s="1" a="1"/>
  <c r="K106" i="12"/>
  <c r="M106" i="12" s="1" a="1"/>
  <c r="H304" i="12"/>
  <c r="I304" i="12" s="1" a="1"/>
  <c r="J230" i="12"/>
  <c r="L230" i="12" s="1" a="1"/>
  <c r="J107" i="12"/>
  <c r="L107" i="12" s="1" a="1"/>
  <c r="H376" i="12"/>
  <c r="I376" i="12" s="1" a="1"/>
  <c r="J285" i="12"/>
  <c r="L285" i="12" s="1" a="1"/>
  <c r="K213" i="12"/>
  <c r="M213" i="12" s="1" a="1"/>
  <c r="J207" i="12"/>
  <c r="L207" i="12" s="1" a="1"/>
  <c r="H245" i="12"/>
  <c r="I245" i="12" s="1" a="1"/>
  <c r="H223" i="12"/>
  <c r="I223" i="12" s="1" a="1"/>
  <c r="J110" i="12"/>
  <c r="L110" i="12" s="1" a="1"/>
  <c r="J139" i="12"/>
  <c r="L139" i="12" s="1" a="1"/>
  <c r="H130" i="12"/>
  <c r="I130" i="12" s="1" a="1"/>
  <c r="J259" i="12"/>
  <c r="L259" i="12" s="1" a="1"/>
  <c r="J310" i="12"/>
  <c r="L310" i="12" s="1" a="1"/>
  <c r="K159" i="12"/>
  <c r="M159" i="12" s="1" a="1"/>
  <c r="J109" i="12"/>
  <c r="L109" i="12" s="1" a="1"/>
  <c r="H171" i="12"/>
  <c r="I171" i="12" s="1" a="1"/>
  <c r="K292" i="12"/>
  <c r="M292" i="12" s="1" a="1"/>
  <c r="H270" i="12"/>
  <c r="I270" i="12" s="1" a="1"/>
  <c r="K465" i="12"/>
  <c r="H276" i="12"/>
  <c r="I276" i="12" s="1" a="1"/>
  <c r="J253" i="12"/>
  <c r="L253" i="12" s="1" a="1"/>
  <c r="H155" i="12"/>
  <c r="I155" i="12" s="1" a="1"/>
  <c r="J313" i="12"/>
  <c r="L313" i="12" s="1" a="1"/>
  <c r="K313" i="12"/>
  <c r="M313" i="12" s="1" a="1"/>
  <c r="J352" i="12"/>
  <c r="L352" i="12" s="1" a="1"/>
  <c r="J403" i="12"/>
  <c r="L403" i="12" s="1" a="1"/>
  <c r="K328" i="12"/>
  <c r="M328" i="12" s="1" a="1"/>
  <c r="K472" i="12"/>
  <c r="J357" i="12"/>
  <c r="L357" i="12" s="1" a="1"/>
  <c r="J143" i="12"/>
  <c r="L143" i="12" s="1" a="1"/>
  <c r="H258" i="12"/>
  <c r="I258" i="12" s="1" a="1"/>
  <c r="K298" i="12"/>
  <c r="M298" i="12" s="1" a="1"/>
  <c r="H305" i="12"/>
  <c r="I305" i="12" s="1" a="1"/>
  <c r="H399" i="12"/>
  <c r="I399" i="12" s="1" a="1"/>
  <c r="K262" i="12"/>
  <c r="M262" i="12" s="1" a="1"/>
  <c r="J387" i="12"/>
  <c r="L387" i="12" s="1" a="1"/>
  <c r="K301" i="12"/>
  <c r="M301" i="12" s="1" a="1"/>
  <c r="J180" i="12"/>
  <c r="L180" i="12" s="1" a="1"/>
  <c r="H363" i="12"/>
  <c r="I363" i="12" s="1" a="1"/>
  <c r="K204" i="12"/>
  <c r="M204" i="12" s="1" a="1"/>
  <c r="K109" i="12"/>
  <c r="M109" i="12" s="1" a="1"/>
  <c r="H312" i="12"/>
  <c r="I312" i="12" s="1" a="1"/>
  <c r="J256" i="12"/>
  <c r="L256" i="12" s="1" a="1"/>
  <c r="J225" i="12"/>
  <c r="L225" i="12" s="1" a="1"/>
  <c r="K243" i="12"/>
  <c r="M243" i="12" s="1" a="1"/>
  <c r="K372" i="12"/>
  <c r="M372" i="12" s="1" a="1"/>
  <c r="H328" i="12"/>
  <c r="I328" i="12" s="1" a="1"/>
  <c r="H381" i="12"/>
  <c r="I381" i="12" s="1" a="1"/>
  <c r="K279" i="12"/>
  <c r="M279" i="12" s="1" a="1"/>
  <c r="K398" i="12"/>
  <c r="M398" i="12" s="1" a="1"/>
  <c r="K179" i="12"/>
  <c r="M179" i="12" s="1" a="1"/>
  <c r="H279" i="12"/>
  <c r="I279" i="12" s="1" a="1"/>
  <c r="J415" i="12"/>
  <c r="L415" i="12" s="1" a="1"/>
  <c r="J412" i="12"/>
  <c r="L412" i="12" s="1" a="1"/>
  <c r="K307" i="12"/>
  <c r="M307" i="12" s="1" a="1"/>
  <c r="K386" i="12"/>
  <c r="M386" i="12" s="1" a="1"/>
  <c r="J122" i="12"/>
  <c r="L122" i="12" s="1" a="1"/>
  <c r="J111" i="12"/>
  <c r="L111" i="12" s="1" a="1"/>
  <c r="K151" i="12"/>
  <c r="M151" i="12" s="1" a="1"/>
  <c r="H158" i="12"/>
  <c r="I158" i="12" s="1" a="1"/>
  <c r="J420" i="12"/>
  <c r="L420" i="12" s="1" a="1"/>
  <c r="K404" i="12"/>
  <c r="M404" i="12" s="1" a="1"/>
  <c r="H420" i="12"/>
  <c r="I420" i="12" s="1" a="1"/>
  <c r="K97" i="12"/>
  <c r="J340" i="12"/>
  <c r="L340" i="12" s="1" a="1"/>
  <c r="J321" i="12"/>
  <c r="L321" i="12" s="1" a="1"/>
  <c r="K431" i="12"/>
  <c r="J168" i="12"/>
  <c r="L168" i="12" s="1" a="1"/>
  <c r="J379" i="12"/>
  <c r="L379" i="12" s="1" a="1"/>
  <c r="J210" i="12"/>
  <c r="L210" i="12" s="1" a="1"/>
  <c r="K173" i="12"/>
  <c r="M173" i="12" s="1" a="1"/>
  <c r="H283" i="12"/>
  <c r="I283" i="12" s="1" a="1"/>
  <c r="K134" i="12"/>
  <c r="M134" i="12" s="1" a="1"/>
  <c r="J339" i="12"/>
  <c r="L339" i="12" s="1" a="1"/>
  <c r="H173" i="12"/>
  <c r="I173" i="12" s="1" a="1"/>
  <c r="K189" i="12"/>
  <c r="M189" i="12" s="1" a="1"/>
  <c r="H220" i="12"/>
  <c r="I220" i="12" s="1" a="1"/>
  <c r="K358" i="12"/>
  <c r="M358" i="12" s="1" a="1"/>
  <c r="J161" i="12"/>
  <c r="L161" i="12" s="1" a="1"/>
  <c r="K230" i="12"/>
  <c r="M230" i="12" s="1" a="1"/>
  <c r="J171" i="12"/>
  <c r="L171" i="12" s="1" a="1"/>
  <c r="K325" i="12"/>
  <c r="M325" i="12" s="1" a="1"/>
  <c r="K391" i="12"/>
  <c r="M391" i="12" s="1" a="1"/>
  <c r="K137" i="12"/>
  <c r="M137" i="12" s="1" a="1"/>
  <c r="J342" i="12"/>
  <c r="L342" i="12" s="1" a="1"/>
  <c r="H361" i="12"/>
  <c r="I361" i="12" s="1" a="1"/>
  <c r="H250" i="12"/>
  <c r="I250" i="12" s="1" a="1"/>
  <c r="H264" i="12"/>
  <c r="I264" i="12" s="1" a="1"/>
  <c r="K420" i="12"/>
  <c r="M420" i="12" s="1" a="1"/>
  <c r="J239" i="12"/>
  <c r="L239" i="12" s="1" a="1"/>
  <c r="K185" i="12"/>
  <c r="M185" i="12" s="1" a="1"/>
  <c r="H385" i="12"/>
  <c r="I385" i="12" s="1" a="1"/>
  <c r="H287" i="12"/>
  <c r="I287" i="12" s="1" a="1"/>
  <c r="K91" i="12"/>
  <c r="H144" i="12"/>
  <c r="I144" i="12" s="1" a="1"/>
  <c r="J333" i="12"/>
  <c r="L333" i="12" s="1" a="1"/>
  <c r="H343" i="12"/>
  <c r="I343" i="12" s="1" a="1"/>
  <c r="H219" i="12"/>
  <c r="I219" i="12" s="1" a="1"/>
  <c r="K341" i="12"/>
  <c r="M341" i="12" s="1" a="1"/>
  <c r="H352" i="12"/>
  <c r="I352" i="12" s="1" a="1"/>
  <c r="J302" i="12"/>
  <c r="L302" i="12" s="1" a="1"/>
  <c r="K267" i="12"/>
  <c r="M267" i="12" s="1" a="1"/>
  <c r="K256" i="12"/>
  <c r="M256" i="12" s="1" a="1"/>
  <c r="J215" i="12"/>
  <c r="L215" i="12" s="1" a="1"/>
  <c r="H344" i="12"/>
  <c r="I344" i="12" s="1" a="1"/>
  <c r="J163" i="12"/>
  <c r="L163" i="12" s="1" a="1"/>
  <c r="K205" i="12"/>
  <c r="M205" i="12" s="1" a="1"/>
  <c r="J361" i="12"/>
  <c r="L361" i="12" s="1" a="1"/>
  <c r="H295" i="12"/>
  <c r="I295" i="12" s="1" a="1"/>
  <c r="H199" i="12"/>
  <c r="I199" i="12" s="1" a="1"/>
  <c r="H181" i="12"/>
  <c r="I181" i="12" s="1" a="1"/>
  <c r="J351" i="12"/>
  <c r="L351" i="12" s="1" a="1"/>
  <c r="H325" i="12"/>
  <c r="I325" i="12" s="1" a="1"/>
  <c r="J204" i="12"/>
  <c r="L204" i="12" s="1" a="1"/>
  <c r="H296" i="12"/>
  <c r="I296" i="12" s="1" a="1"/>
  <c r="K373" i="12"/>
  <c r="M373" i="12" s="1" a="1"/>
  <c r="K449" i="12"/>
  <c r="H131" i="12"/>
  <c r="I131" i="12" s="1" a="1"/>
  <c r="H416" i="12"/>
  <c r="I416" i="12" s="1" a="1"/>
  <c r="K385" i="12"/>
  <c r="M385" i="12" s="1" a="1"/>
  <c r="K87" i="12"/>
  <c r="K228" i="12"/>
  <c r="M228" i="12" s="1" a="1"/>
  <c r="J144" i="12"/>
  <c r="L144" i="12" s="1" a="1"/>
  <c r="J185" i="12"/>
  <c r="L185" i="12" s="1" a="1"/>
  <c r="J369" i="12"/>
  <c r="L369" i="12" s="1" a="1"/>
  <c r="H316" i="12"/>
  <c r="I316" i="12" s="1" a="1"/>
  <c r="J189" i="12"/>
  <c r="L189" i="12" s="1" a="1"/>
  <c r="N189" i="12" s="1"/>
  <c r="J279" i="12"/>
  <c r="L279" i="12" s="1" a="1"/>
  <c r="H353" i="12"/>
  <c r="I353" i="12" s="1" a="1"/>
  <c r="J246" i="12"/>
  <c r="L246" i="12" s="1" a="1"/>
  <c r="H319" i="12"/>
  <c r="I319" i="12" s="1" a="1"/>
  <c r="J267" i="12"/>
  <c r="L267" i="12" s="1" a="1"/>
  <c r="K338" i="12"/>
  <c r="M338" i="12" s="1" a="1"/>
  <c r="K264" i="12"/>
  <c r="M264" i="12" s="1" a="1"/>
  <c r="J116" i="12"/>
  <c r="L116" i="12" s="1" a="1"/>
  <c r="N116" i="12" s="1"/>
  <c r="J416" i="12"/>
  <c r="L416" i="12" s="1" a="1"/>
  <c r="H192" i="12"/>
  <c r="I192" i="12" s="1" a="1"/>
  <c r="J365" i="12"/>
  <c r="L365" i="12" s="1" a="1"/>
  <c r="J141" i="12"/>
  <c r="L141" i="12" s="1" a="1"/>
  <c r="J243" i="12"/>
  <c r="L243" i="12" s="1" a="1"/>
  <c r="K107" i="12"/>
  <c r="M107" i="12" s="1" a="1"/>
  <c r="J292" i="12"/>
  <c r="L292" i="12" s="1" a="1"/>
  <c r="J153" i="12"/>
  <c r="L153" i="12" s="1" a="1"/>
  <c r="H239" i="12"/>
  <c r="I239" i="12" s="1" a="1"/>
  <c r="K392" i="12"/>
  <c r="M392" i="12" s="1" a="1"/>
  <c r="H354" i="12"/>
  <c r="I354" i="12" s="1" a="1"/>
  <c r="H402" i="12"/>
  <c r="I402" i="12" s="1" a="1"/>
  <c r="J117" i="12"/>
  <c r="L117" i="12" s="1" a="1"/>
  <c r="K100" i="12"/>
  <c r="M100" i="12" s="1" a="1"/>
  <c r="K290" i="12"/>
  <c r="M290" i="12" s="1" a="1"/>
  <c r="J237" i="12"/>
  <c r="L237" i="12" s="1" a="1"/>
  <c r="H221" i="12"/>
  <c r="I221" i="12" s="1" a="1"/>
  <c r="K235" i="12"/>
  <c r="M235" i="12" s="1" a="1"/>
  <c r="K371" i="12"/>
  <c r="M371" i="12" s="1" a="1"/>
  <c r="K156" i="12"/>
  <c r="M156" i="12" s="1" a="1"/>
  <c r="K383" i="12"/>
  <c r="M383" i="12" s="1" a="1"/>
  <c r="K266" i="12"/>
  <c r="M266" i="12" s="1" a="1"/>
  <c r="H188" i="12"/>
  <c r="I188" i="12" s="1" a="1"/>
  <c r="K127" i="12"/>
  <c r="M127" i="12" s="1" a="1"/>
  <c r="H313" i="12"/>
  <c r="F15" i="13"/>
  <c r="F21" i="13"/>
  <c r="F27" i="13"/>
  <c r="F33" i="13"/>
  <c r="F16" i="13"/>
  <c r="F22" i="13"/>
  <c r="F28" i="13"/>
  <c r="F11" i="13"/>
  <c r="F17" i="13"/>
  <c r="F23" i="13"/>
  <c r="F29" i="13"/>
  <c r="F12" i="13"/>
  <c r="F18" i="13"/>
  <c r="F24" i="13"/>
  <c r="F30" i="13"/>
  <c r="F13" i="13"/>
  <c r="F19" i="13"/>
  <c r="F25" i="13"/>
  <c r="F31" i="13"/>
  <c r="F14" i="13"/>
  <c r="F20" i="13"/>
  <c r="F26" i="13"/>
  <c r="F32" i="13"/>
  <c r="J198" i="1" a="1"/>
  <c r="J193" i="1" a="1"/>
  <c r="J194" i="1" a="1"/>
  <c r="J197" i="1" a="1"/>
  <c r="J164" i="1" a="1"/>
  <c r="J199" i="1" a="1"/>
  <c r="J46" i="1" a="1"/>
  <c r="J178" i="1" a="1"/>
  <c r="J105" i="1" a="1"/>
  <c r="J64" i="1" a="1"/>
  <c r="J109" i="1" a="1"/>
  <c r="J98" i="1" a="1"/>
  <c r="J134" i="1" a="1"/>
  <c r="J154" i="1" a="1"/>
  <c r="J153" i="1" a="1"/>
  <c r="J68" i="1" a="1"/>
  <c r="J14" i="1" a="1"/>
  <c r="J28" i="1" a="1"/>
  <c r="J61" i="1" a="1"/>
  <c r="J169" i="1" a="1"/>
  <c r="J56" i="1" a="1"/>
  <c r="J39" i="1" a="1"/>
  <c r="J16" i="1" a="1"/>
  <c r="J166" i="1" a="1"/>
  <c r="J93" i="1" a="1"/>
  <c r="J104" i="1" a="1"/>
  <c r="J13" i="1" a="1"/>
  <c r="J50" i="1" a="1"/>
  <c r="J71" i="1" a="1"/>
  <c r="J163" i="1" a="1"/>
  <c r="J63" i="1" a="1"/>
  <c r="J90" i="1" a="1"/>
  <c r="J65" i="1" a="1"/>
  <c r="J95" i="1" a="1"/>
  <c r="J42" i="1" a="1"/>
  <c r="J100" i="1" a="1"/>
  <c r="J52" i="1" a="1"/>
  <c r="J99" i="1" a="1"/>
  <c r="E41" i="13"/>
  <c r="E40" i="13"/>
  <c r="E39" i="13"/>
  <c r="B41" i="13"/>
  <c r="E37" i="13"/>
  <c r="B35" i="13"/>
  <c r="E31" i="13"/>
  <c r="B32" i="13"/>
  <c r="B25" i="13"/>
  <c r="B22" i="13"/>
  <c r="E38" i="13"/>
  <c r="B34" i="13"/>
  <c r="E35" i="13"/>
  <c r="E34" i="13"/>
  <c r="E33" i="13"/>
  <c r="B29" i="13"/>
  <c r="E25" i="13"/>
  <c r="B23" i="13"/>
  <c r="E19" i="13"/>
  <c r="B17" i="13"/>
  <c r="B30" i="13"/>
  <c r="B40" i="13"/>
  <c r="E29" i="13"/>
  <c r="B28" i="13"/>
  <c r="E20" i="13"/>
  <c r="E26" i="13"/>
  <c r="E32" i="13"/>
  <c r="B36" i="13"/>
  <c r="E21" i="13"/>
  <c r="B37" i="13"/>
  <c r="B38" i="13"/>
  <c r="B33" i="13"/>
  <c r="B39" i="13"/>
  <c r="E36" i="13"/>
  <c r="E18" i="13"/>
  <c r="E23" i="13"/>
  <c r="B19" i="13"/>
  <c r="B26" i="13"/>
  <c r="E28" i="13"/>
  <c r="B18" i="13"/>
  <c r="E17" i="13"/>
  <c r="B31" i="13"/>
  <c r="E27" i="13"/>
  <c r="B20" i="13"/>
  <c r="E22" i="13"/>
  <c r="B24" i="13"/>
  <c r="B21" i="13"/>
  <c r="B27" i="13"/>
  <c r="E24" i="13"/>
  <c r="E30" i="13"/>
  <c r="J8" i="1" a="1"/>
  <c r="J19" i="1" a="1"/>
  <c r="J20" i="1" a="1"/>
  <c r="J54" i="1" a="1"/>
  <c r="J58" i="1" a="1"/>
  <c r="J66" i="1" a="1"/>
  <c r="J17" i="1" a="1"/>
  <c r="J67" i="1" a="1"/>
  <c r="J18" i="1" a="1"/>
  <c r="E12" i="13"/>
  <c r="B15" i="13"/>
  <c r="E11" i="13"/>
  <c r="B14" i="13"/>
  <c r="B13" i="13"/>
  <c r="E16" i="13"/>
  <c r="B12" i="13"/>
  <c r="E15" i="13"/>
  <c r="B11" i="13"/>
  <c r="E14" i="13"/>
  <c r="B16" i="13"/>
  <c r="E13" i="13"/>
  <c r="J34" i="1" a="1"/>
  <c r="J29" i="1" a="1"/>
  <c r="J81" i="1" a="1"/>
  <c r="J31" i="1" a="1"/>
  <c r="J60" i="1" a="1"/>
  <c r="J35" i="1" a="1"/>
  <c r="J70" i="1" a="1"/>
  <c r="J32" i="1" a="1"/>
  <c r="J43" i="1" a="1"/>
  <c r="J30" i="1" a="1"/>
  <c r="J62" i="1" a="1"/>
  <c r="J36" i="1" a="1"/>
  <c r="N265" i="12" l="1"/>
  <c r="J73" i="1" a="1"/>
  <c r="I2" i="8"/>
  <c r="J2" i="4" s="1"/>
  <c r="J124" i="1" s="1" a="1"/>
  <c r="J91" i="1" a="1"/>
  <c r="M160" i="1"/>
  <c r="M115" i="1"/>
  <c r="J116" i="1" a="1"/>
  <c r="J89" i="1" a="1"/>
  <c r="J96" i="1" a="1"/>
  <c r="J136" i="1" a="1"/>
  <c r="J6" i="1" a="1"/>
  <c r="J25" i="1" a="1"/>
  <c r="J196" i="1" a="1"/>
  <c r="J23" i="1" a="1"/>
  <c r="J15" i="1" a="1"/>
  <c r="J9" i="1" a="1"/>
  <c r="J48" i="1" a="1"/>
  <c r="J24" i="1" a="1"/>
  <c r="J144" i="1" a="1"/>
  <c r="J37" i="1" a="1"/>
  <c r="N130" i="12"/>
  <c r="N406" i="12"/>
  <c r="N386" i="12"/>
  <c r="N159" i="12"/>
  <c r="N166" i="12"/>
  <c r="N136" i="12"/>
  <c r="N372" i="12"/>
  <c r="N173" i="12"/>
  <c r="N179" i="12"/>
  <c r="J130" i="1" a="1"/>
  <c r="J10" i="1" a="1"/>
  <c r="C10" i="13"/>
  <c r="D10" i="13"/>
  <c r="B10" i="13"/>
  <c r="E10" i="13"/>
  <c r="M167" i="1"/>
  <c r="M74" i="1"/>
  <c r="M113" i="1"/>
  <c r="M47" i="1"/>
  <c r="M112" i="1"/>
  <c r="M90" i="1"/>
  <c r="M102" i="1"/>
  <c r="M127" i="1"/>
  <c r="M130" i="1"/>
  <c r="M44" i="1"/>
  <c r="M165" i="1"/>
  <c r="M3" i="1"/>
  <c r="J158" i="1" a="1"/>
  <c r="J125" i="1" a="1"/>
  <c r="J74" i="1" a="1"/>
  <c r="J85" i="1" a="1"/>
  <c r="J159" i="1" a="1"/>
  <c r="J78" i="1" a="1"/>
  <c r="J202" i="1" a="1"/>
  <c r="J121" i="1" a="1"/>
  <c r="J2" i="1" a="1"/>
  <c r="J80" i="1" a="1"/>
  <c r="J92" i="1" a="1"/>
  <c r="J113" i="1" a="1"/>
  <c r="J55" i="1" a="1"/>
  <c r="J122" i="1" a="1"/>
  <c r="J94" i="1" a="1"/>
  <c r="J118" i="1" a="1"/>
  <c r="J97" i="1" a="1"/>
  <c r="J5" i="1" a="1"/>
  <c r="J148" i="1" a="1"/>
  <c r="J51" i="1" a="1"/>
  <c r="J128" i="1" a="1"/>
  <c r="J49" i="1" a="1"/>
  <c r="J151" i="1" a="1"/>
  <c r="J12" i="1" a="1"/>
  <c r="J213" i="1" a="1"/>
  <c r="J45" i="1" a="1"/>
  <c r="C5" i="13"/>
  <c r="C6" i="13"/>
  <c r="C7" i="13"/>
  <c r="C8" i="13"/>
  <c r="C9" i="13"/>
  <c r="D5" i="13"/>
  <c r="D6" i="13"/>
  <c r="D7" i="13"/>
  <c r="D8" i="13"/>
  <c r="D9" i="13"/>
  <c r="B6" i="13"/>
  <c r="E8" i="13"/>
  <c r="E6" i="13"/>
  <c r="B9" i="13"/>
  <c r="E5" i="13"/>
  <c r="B8" i="13"/>
  <c r="B7" i="13"/>
  <c r="E9" i="13"/>
  <c r="E7" i="13"/>
  <c r="B5" i="13"/>
  <c r="N217" i="12"/>
  <c r="N213" i="12"/>
  <c r="N121" i="12"/>
  <c r="N238" i="12"/>
  <c r="C4" i="13"/>
  <c r="D4" i="13"/>
  <c r="E4" i="13"/>
  <c r="B4" i="13"/>
  <c r="C3" i="13"/>
  <c r="D3" i="13"/>
  <c r="B3" i="13"/>
  <c r="E3" i="13"/>
  <c r="D2" i="13"/>
  <c r="C2" i="13"/>
  <c r="N296" i="12"/>
  <c r="N338" i="12"/>
  <c r="I313" i="12" a="1"/>
  <c r="N358" i="12"/>
  <c r="N147" i="12"/>
  <c r="N123" i="12"/>
  <c r="N327" i="12"/>
  <c r="N228" i="12"/>
  <c r="N220" i="12"/>
  <c r="N347" i="12"/>
  <c r="N140" i="12"/>
  <c r="N402" i="12"/>
  <c r="N304" i="12"/>
  <c r="N349" i="12"/>
  <c r="N380" i="12"/>
  <c r="N252" i="12"/>
  <c r="N155" i="12"/>
  <c r="N105" i="12"/>
  <c r="N398" i="12"/>
  <c r="N381" i="12"/>
  <c r="N370" i="12"/>
  <c r="N133" i="12"/>
  <c r="N127" i="12"/>
  <c r="N209" i="12"/>
  <c r="N295" i="12"/>
  <c r="N388" i="12"/>
  <c r="N394" i="12"/>
  <c r="N301" i="12"/>
  <c r="N399" i="12"/>
  <c r="N391" i="12"/>
  <c r="N411" i="12"/>
  <c r="N350" i="12"/>
  <c r="N311" i="12"/>
  <c r="N107" i="12"/>
  <c r="N109" i="12"/>
  <c r="N256" i="12"/>
  <c r="N385" i="12"/>
  <c r="N266" i="12"/>
  <c r="N129" i="12"/>
  <c r="N419" i="12"/>
  <c r="N145" i="12"/>
  <c r="N255" i="12"/>
  <c r="N219" i="12"/>
  <c r="N149" i="12"/>
  <c r="N392" i="12"/>
  <c r="N225" i="12"/>
  <c r="N259" i="12"/>
  <c r="N146" i="12"/>
  <c r="N175" i="12"/>
  <c r="N354" i="12"/>
  <c r="N152" i="12"/>
  <c r="N148" i="12"/>
  <c r="N167" i="12"/>
  <c r="N176" i="12"/>
  <c r="N203" i="12"/>
  <c r="N119" i="12"/>
  <c r="N150" i="12"/>
  <c r="N408" i="12"/>
  <c r="N132" i="12"/>
  <c r="N110" i="12"/>
  <c r="N292" i="12"/>
  <c r="N290" i="12"/>
  <c r="N131" i="12"/>
  <c r="N151" i="12"/>
  <c r="N271" i="12"/>
  <c r="N162" i="12"/>
  <c r="N282" i="12"/>
  <c r="N134" i="12"/>
  <c r="N198" i="12"/>
  <c r="N319" i="12"/>
  <c r="N284" i="12"/>
  <c r="N106" i="12"/>
  <c r="N135" i="12"/>
  <c r="N215" i="12"/>
  <c r="N169" i="12"/>
  <c r="N375" i="12"/>
  <c r="N307" i="12"/>
  <c r="N163" i="12"/>
  <c r="N171" i="12"/>
  <c r="N226" i="12"/>
  <c r="N235" i="12"/>
  <c r="N197" i="12"/>
  <c r="N322" i="12"/>
  <c r="N364" i="12"/>
  <c r="N128" i="12"/>
  <c r="N137" i="12"/>
  <c r="N208" i="12"/>
  <c r="N142" i="12"/>
  <c r="N257" i="12"/>
  <c r="N324" i="12"/>
  <c r="N287" i="12"/>
  <c r="N400" i="12"/>
  <c r="N383" i="12"/>
  <c r="N389" i="12"/>
  <c r="N303" i="12"/>
  <c r="N174" i="12"/>
  <c r="N357" i="12"/>
  <c r="N363" i="12"/>
  <c r="N178" i="12"/>
  <c r="N233" i="12"/>
  <c r="N397" i="12"/>
  <c r="N318" i="12"/>
  <c r="N365" i="12"/>
  <c r="N351" i="12"/>
  <c r="N214" i="12"/>
  <c r="N396" i="12"/>
  <c r="N415" i="12"/>
  <c r="N379" i="12"/>
  <c r="N371" i="12"/>
  <c r="N117" i="12"/>
  <c r="N247" i="12"/>
  <c r="N366" i="12"/>
  <c r="N194" i="12"/>
  <c r="N270" i="12"/>
  <c r="N274" i="12"/>
  <c r="N254" i="12"/>
  <c r="N232" i="12"/>
  <c r="N184" i="12"/>
  <c r="N183" i="12"/>
  <c r="N118" i="12"/>
  <c r="N113" i="12"/>
  <c r="N187" i="12"/>
  <c r="N299" i="12"/>
  <c r="N126" i="12"/>
  <c r="N417" i="12"/>
  <c r="N115" i="12"/>
  <c r="N310" i="12"/>
  <c r="N420" i="12"/>
  <c r="N204" i="12"/>
  <c r="N243" i="12"/>
  <c r="N283" i="12"/>
  <c r="N154" i="12"/>
  <c r="N260" i="12"/>
  <c r="N210" i="12"/>
  <c r="N352" i="12"/>
  <c r="N421" i="12"/>
  <c r="N205" i="12"/>
  <c r="N251" i="12"/>
  <c r="N395" i="12"/>
  <c r="N355" i="12"/>
  <c r="N199" i="12"/>
  <c r="N293" i="12"/>
  <c r="N263" i="12"/>
  <c r="N362" i="12"/>
  <c r="N348" i="12"/>
  <c r="N414" i="12"/>
  <c r="N325" i="12"/>
  <c r="N333" i="12"/>
  <c r="N407" i="12"/>
  <c r="N264" i="12"/>
  <c r="N122" i="12"/>
  <c r="N231" i="12"/>
  <c r="N188" i="12"/>
  <c r="N404" i="12"/>
  <c r="N422" i="12"/>
  <c r="N157" i="12"/>
  <c r="N367" i="12"/>
  <c r="N229" i="12"/>
  <c r="N326" i="12"/>
  <c r="N195" i="12"/>
  <c r="N139" i="12"/>
  <c r="N153" i="12"/>
  <c r="N158" i="12"/>
  <c r="N206" i="12"/>
  <c r="N384" i="12"/>
  <c r="N374" i="12"/>
  <c r="N201" i="12"/>
  <c r="N308" i="12"/>
  <c r="N332" i="12"/>
  <c r="N138" i="12"/>
  <c r="N314" i="12"/>
  <c r="N285" i="12"/>
  <c r="N313" i="12"/>
  <c r="N143" i="12"/>
  <c r="N387" i="12"/>
  <c r="N412" i="12"/>
  <c r="N369" i="12"/>
  <c r="N376" i="12"/>
  <c r="N192" i="12"/>
  <c r="N248" i="12"/>
  <c r="N291" i="12"/>
  <c r="N405" i="12"/>
  <c r="N108" i="12"/>
  <c r="N156" i="12"/>
  <c r="N341" i="12"/>
  <c r="N250" i="12"/>
  <c r="N360" i="12"/>
  <c r="N275" i="12"/>
  <c r="N277" i="12"/>
  <c r="N186" i="12"/>
  <c r="N344" i="12"/>
  <c r="N356" i="12"/>
  <c r="N100" i="12"/>
  <c r="N390" i="12"/>
  <c r="N401" i="12"/>
  <c r="N227" i="12"/>
  <c r="N330" i="12"/>
  <c r="N418" i="12"/>
  <c r="N230" i="12"/>
  <c r="N353" i="12"/>
  <c r="N273" i="12"/>
  <c r="N168" i="12"/>
  <c r="N323" i="12"/>
  <c r="N242" i="12"/>
  <c r="N224" i="12"/>
  <c r="N112" i="12"/>
  <c r="N331" i="12"/>
  <c r="N223" i="12"/>
  <c r="N182" i="12"/>
  <c r="N297" i="12"/>
  <c r="N312" i="12"/>
  <c r="N170" i="12"/>
  <c r="N416" i="12"/>
  <c r="N373" i="12"/>
  <c r="N165" i="12"/>
  <c r="N245" i="12"/>
  <c r="N258" i="12"/>
  <c r="N218" i="12"/>
  <c r="N321" i="12"/>
  <c r="N262" i="12"/>
  <c r="N410" i="12"/>
  <c r="N272" i="12"/>
  <c r="N222" i="12"/>
  <c r="N211" i="12"/>
  <c r="N300" i="12"/>
  <c r="N181" i="12"/>
  <c r="N267" i="12"/>
  <c r="N278" i="12"/>
  <c r="N104" i="12"/>
  <c r="N328" i="12"/>
  <c r="N315" i="12"/>
  <c r="N335" i="12"/>
  <c r="N244" i="12"/>
  <c r="N261" i="12"/>
  <c r="N268" i="12"/>
  <c r="N306" i="12"/>
  <c r="N240" i="12"/>
  <c r="N343" i="12"/>
  <c r="N202" i="12"/>
  <c r="N249" i="12"/>
  <c r="N190" i="12"/>
  <c r="N164" i="12"/>
  <c r="N276" i="12"/>
  <c r="N269" i="12"/>
  <c r="N378" i="12"/>
  <c r="N413" i="12"/>
  <c r="N288" i="12"/>
  <c r="N339" i="12"/>
  <c r="N393" i="12"/>
  <c r="N320" i="12"/>
  <c r="N289" i="12"/>
  <c r="N160" i="12"/>
  <c r="N337" i="12"/>
  <c r="N103" i="12"/>
  <c r="N336" i="12"/>
  <c r="N241" i="12"/>
  <c r="N207" i="12"/>
  <c r="N298" i="12"/>
  <c r="N180" i="12"/>
  <c r="N302" i="12"/>
  <c r="N141" i="12"/>
  <c r="N237" i="12"/>
  <c r="N409" i="12"/>
  <c r="N377" i="12"/>
  <c r="N101" i="12"/>
  <c r="N102" i="12"/>
  <c r="N423" i="12"/>
  <c r="N212" i="12"/>
  <c r="N120" i="12"/>
  <c r="N196" i="12"/>
  <c r="N403" i="12"/>
  <c r="N361" i="12"/>
  <c r="N279" i="12"/>
  <c r="N234" i="12"/>
  <c r="N280" i="12"/>
  <c r="N216" i="12"/>
  <c r="N191" i="12"/>
  <c r="N305" i="12"/>
  <c r="N334" i="12"/>
  <c r="N236" i="12"/>
  <c r="N253" i="12"/>
  <c r="N111" i="12"/>
  <c r="N340" i="12"/>
  <c r="N239" i="12"/>
  <c r="N144" i="12"/>
  <c r="N286" i="12"/>
  <c r="N124" i="12"/>
  <c r="N294" i="12"/>
  <c r="N316" i="12"/>
  <c r="N346" i="12"/>
  <c r="N221" i="12"/>
  <c r="N177" i="12"/>
  <c r="N172" i="12"/>
  <c r="N317" i="12"/>
  <c r="N309" i="12"/>
  <c r="N329" i="12"/>
  <c r="N200" i="12"/>
  <c r="N382" i="12"/>
  <c r="N345" i="12"/>
  <c r="N161" i="12"/>
  <c r="N342" i="12"/>
  <c r="N185" i="12"/>
  <c r="N246" i="12"/>
  <c r="J7" i="1" a="1"/>
  <c r="J123" i="1" a="1"/>
  <c r="J33" i="1" a="1"/>
  <c r="J22" i="1" a="1"/>
  <c r="E2" i="13"/>
  <c r="B2" i="13"/>
  <c r="J4" i="1" a="1"/>
  <c r="J57" i="1" a="1"/>
  <c r="H8" i="12"/>
  <c r="H75" i="12"/>
  <c r="K13" i="12"/>
  <c r="H86" i="12"/>
  <c r="J82" i="12"/>
  <c r="H72" i="12"/>
  <c r="J431" i="12"/>
  <c r="H73" i="12"/>
  <c r="K40" i="12"/>
  <c r="J96" i="12"/>
  <c r="J6" i="12"/>
  <c r="J36" i="12"/>
  <c r="K78" i="12"/>
  <c r="K32" i="12"/>
  <c r="J30" i="12"/>
  <c r="J39" i="12"/>
  <c r="H54" i="12"/>
  <c r="K31" i="12"/>
  <c r="H12" i="12"/>
  <c r="H48" i="12"/>
  <c r="J17" i="12"/>
  <c r="J51" i="12"/>
  <c r="J92" i="12"/>
  <c r="J52" i="12"/>
  <c r="J13" i="12"/>
  <c r="J33" i="12"/>
  <c r="J426" i="12"/>
  <c r="H55" i="12"/>
  <c r="H59" i="12"/>
  <c r="H431" i="12"/>
  <c r="K61" i="12"/>
  <c r="K48" i="12"/>
  <c r="H84" i="12"/>
  <c r="H39" i="12"/>
  <c r="J9" i="12"/>
  <c r="K18" i="12"/>
  <c r="K82" i="12"/>
  <c r="H60" i="12"/>
  <c r="J97" i="12"/>
  <c r="J38" i="12"/>
  <c r="J438" i="12"/>
  <c r="J62" i="12"/>
  <c r="K81" i="12"/>
  <c r="J41" i="12"/>
  <c r="K51" i="12"/>
  <c r="J46" i="12"/>
  <c r="H31" i="12"/>
  <c r="H10" i="12"/>
  <c r="K64" i="12"/>
  <c r="J89" i="12"/>
  <c r="H18" i="12"/>
  <c r="H67" i="12"/>
  <c r="J15" i="12"/>
  <c r="K68" i="12"/>
  <c r="K58" i="12"/>
  <c r="H52" i="12"/>
  <c r="K56" i="12"/>
  <c r="H85" i="12"/>
  <c r="J434" i="12"/>
  <c r="K72" i="12"/>
  <c r="J57" i="12"/>
  <c r="J44" i="12"/>
  <c r="J2" i="12"/>
  <c r="H90" i="12"/>
  <c r="J40" i="12"/>
  <c r="H28" i="12"/>
  <c r="J56" i="12"/>
  <c r="H428" i="12"/>
  <c r="K24" i="12"/>
  <c r="J25" i="12"/>
  <c r="J5" i="12"/>
  <c r="K39" i="12"/>
  <c r="J424" i="12"/>
  <c r="J428" i="12"/>
  <c r="J67" i="12"/>
  <c r="K12" i="12"/>
  <c r="H57" i="12"/>
  <c r="H66" i="12"/>
  <c r="K45" i="12"/>
  <c r="K28" i="12"/>
  <c r="J55" i="12"/>
  <c r="J430" i="12"/>
  <c r="H69" i="12"/>
  <c r="J80" i="12"/>
  <c r="K55" i="12"/>
  <c r="K57" i="12"/>
  <c r="H95" i="12"/>
  <c r="H16" i="12"/>
  <c r="K54" i="12"/>
  <c r="K60" i="12"/>
  <c r="K77" i="12"/>
  <c r="H97" i="12"/>
  <c r="J8" i="12"/>
  <c r="J445" i="12"/>
  <c r="K21" i="12"/>
  <c r="H64" i="12"/>
  <c r="J66" i="12"/>
  <c r="J79" i="12"/>
  <c r="J23" i="12"/>
  <c r="H47" i="12"/>
  <c r="H29" i="12"/>
  <c r="K73" i="12"/>
  <c r="J3" i="12"/>
  <c r="H56" i="12"/>
  <c r="H45" i="12"/>
  <c r="H35" i="12"/>
  <c r="H40" i="12"/>
  <c r="K30" i="12"/>
  <c r="H19" i="12"/>
  <c r="J63" i="12"/>
  <c r="J21" i="12"/>
  <c r="K19" i="12"/>
  <c r="H93" i="12"/>
  <c r="J4" i="12"/>
  <c r="H88" i="12"/>
  <c r="J35" i="12"/>
  <c r="J440" i="12"/>
  <c r="K42" i="12"/>
  <c r="H433" i="12"/>
  <c r="J61" i="12"/>
  <c r="H426" i="12"/>
  <c r="J65" i="12"/>
  <c r="K74" i="12"/>
  <c r="J444" i="12"/>
  <c r="J441" i="12"/>
  <c r="H20" i="12"/>
  <c r="J48" i="12"/>
  <c r="J49" i="12"/>
  <c r="K14" i="12"/>
  <c r="J42" i="12"/>
  <c r="J64" i="12"/>
  <c r="H33" i="12"/>
  <c r="H89" i="12"/>
  <c r="H432" i="12"/>
  <c r="J37" i="12"/>
  <c r="H65" i="12"/>
  <c r="K41" i="12"/>
  <c r="K17" i="12"/>
  <c r="H25" i="12"/>
  <c r="K35" i="12"/>
  <c r="J86" i="12"/>
  <c r="H71" i="12"/>
  <c r="K25" i="12"/>
  <c r="K75" i="12"/>
  <c r="H82" i="12"/>
  <c r="K4" i="12"/>
  <c r="K2" i="12"/>
  <c r="L8" i="12" l="1" a="1"/>
  <c r="L13" i="12" a="1"/>
  <c r="L17" i="12" a="1"/>
  <c r="L9" i="12" a="1"/>
  <c r="L15" i="12" a="1"/>
  <c r="I428" i="12" a="1"/>
  <c r="I426" i="12" a="1"/>
  <c r="H61" i="12"/>
  <c r="J31" i="12"/>
  <c r="J11" i="12"/>
  <c r="K80" i="12"/>
  <c r="J24" i="12"/>
  <c r="H424" i="12"/>
  <c r="K36" i="12"/>
  <c r="H3" i="12"/>
  <c r="H42" i="12"/>
  <c r="H94" i="12"/>
  <c r="H24" i="12"/>
  <c r="K34" i="12"/>
  <c r="K11" i="12"/>
  <c r="K44" i="12"/>
  <c r="J43" i="12"/>
  <c r="J90" i="12"/>
  <c r="H34" i="12"/>
  <c r="J81" i="12"/>
  <c r="H13" i="12"/>
  <c r="J29" i="12"/>
  <c r="J77" i="12"/>
  <c r="H425" i="12"/>
  <c r="H15" i="12"/>
  <c r="J437" i="12"/>
  <c r="H26" i="12"/>
  <c r="H53" i="12"/>
  <c r="K9" i="12"/>
  <c r="H32" i="12"/>
  <c r="H5" i="12"/>
  <c r="J87" i="12"/>
  <c r="J442" i="12"/>
  <c r="H79" i="12"/>
  <c r="J76" i="12"/>
  <c r="H21" i="12"/>
  <c r="J439" i="12"/>
  <c r="H49" i="12"/>
  <c r="K76" i="12"/>
  <c r="H87" i="12"/>
  <c r="K5" i="12"/>
  <c r="J446" i="12"/>
  <c r="H37" i="12"/>
  <c r="H27" i="12"/>
  <c r="K79" i="12"/>
  <c r="J28" i="12"/>
  <c r="H436" i="12"/>
  <c r="K66" i="12"/>
  <c r="J91" i="12"/>
  <c r="J78" i="12"/>
  <c r="J73" i="12"/>
  <c r="H70" i="12"/>
  <c r="K53" i="12"/>
  <c r="K70" i="12"/>
  <c r="J32" i="12"/>
  <c r="H429" i="12"/>
  <c r="J70" i="12"/>
  <c r="H92" i="12"/>
  <c r="H81" i="12"/>
  <c r="H430" i="12"/>
  <c r="H6" i="12"/>
  <c r="J432" i="12"/>
  <c r="K62" i="12"/>
  <c r="H74" i="12"/>
  <c r="J427" i="12"/>
  <c r="H51" i="12"/>
  <c r="J71" i="12"/>
  <c r="H435" i="12"/>
  <c r="K15" i="12"/>
  <c r="K22" i="12"/>
  <c r="H30" i="12"/>
  <c r="J7" i="12"/>
  <c r="H76" i="12"/>
  <c r="J45" i="12"/>
  <c r="J83" i="12"/>
  <c r="J69" i="12"/>
  <c r="H91" i="12"/>
  <c r="H41" i="12"/>
  <c r="J72" i="12"/>
  <c r="J68" i="12"/>
  <c r="H68" i="12"/>
  <c r="J34" i="12"/>
  <c r="K47" i="12"/>
  <c r="H427" i="12"/>
  <c r="H63" i="12"/>
  <c r="J88" i="12"/>
  <c r="J94" i="12"/>
  <c r="H98" i="12"/>
  <c r="J429" i="12"/>
  <c r="J95" i="12"/>
  <c r="K3" i="12"/>
  <c r="J60" i="12"/>
  <c r="K49" i="12"/>
  <c r="K29" i="12"/>
  <c r="H78" i="12"/>
  <c r="K6" i="12"/>
  <c r="K63" i="12"/>
  <c r="K16" i="12"/>
  <c r="J10" i="12"/>
  <c r="H62" i="12"/>
  <c r="J93" i="12"/>
  <c r="K37" i="12"/>
  <c r="J26" i="12"/>
  <c r="J18" i="12"/>
  <c r="J435" i="12"/>
  <c r="K46" i="12"/>
  <c r="K27" i="12"/>
  <c r="J74" i="12"/>
  <c r="J14" i="12"/>
  <c r="K65" i="12"/>
  <c r="K26" i="12"/>
  <c r="K38" i="12"/>
  <c r="K50" i="12"/>
  <c r="H77" i="12"/>
  <c r="J20" i="12"/>
  <c r="H23" i="12"/>
  <c r="J84" i="12"/>
  <c r="K43" i="12"/>
  <c r="J27" i="12"/>
  <c r="H43" i="12"/>
  <c r="J75" i="12"/>
  <c r="J53" i="12"/>
  <c r="J58" i="12"/>
  <c r="J85" i="12"/>
  <c r="J16" i="12"/>
  <c r="H7" i="12"/>
  <c r="H434" i="12"/>
  <c r="J19" i="12"/>
  <c r="K7" i="12"/>
  <c r="K59" i="12"/>
  <c r="H22" i="12"/>
  <c r="K67" i="12"/>
  <c r="J425" i="12"/>
  <c r="K71" i="12"/>
  <c r="K8" i="12"/>
  <c r="H4" i="12"/>
  <c r="J433" i="12"/>
  <c r="H9" i="12"/>
  <c r="J50" i="12"/>
  <c r="H14" i="12"/>
  <c r="H2" i="12"/>
  <c r="H58" i="12"/>
  <c r="H17" i="12"/>
  <c r="K20" i="12"/>
  <c r="H50" i="12"/>
  <c r="J98" i="12"/>
  <c r="K52" i="12"/>
  <c r="J47" i="12"/>
  <c r="K10" i="12"/>
  <c r="J54" i="12"/>
  <c r="H46" i="12"/>
  <c r="K69" i="12"/>
  <c r="H83" i="12"/>
  <c r="H96" i="12"/>
  <c r="J22" i="12"/>
  <c r="J12" i="12"/>
  <c r="H44" i="12"/>
  <c r="J436" i="12"/>
  <c r="J59" i="12"/>
  <c r="K23" i="12"/>
  <c r="K33" i="12"/>
  <c r="L11" i="12" l="1" a="1"/>
  <c r="L14" i="12" a="1"/>
  <c r="L12" i="12" a="1"/>
  <c r="L7" i="12" a="1"/>
  <c r="L16" i="12" a="1"/>
  <c r="L10" i="12" a="1"/>
  <c r="I424" i="12" a="1"/>
  <c r="I430" i="12" a="1"/>
  <c r="I429" i="12" a="1"/>
  <c r="I425" i="12" a="1"/>
  <c r="I427" i="12" a="1"/>
  <c r="H11" i="12"/>
  <c r="H80" i="12"/>
  <c r="J443" i="12"/>
  <c r="H36" i="12"/>
  <c r="H38" i="12"/>
  <c r="I38" i="12" l="1" a="1"/>
  <c r="I36" i="12" a="1"/>
  <c r="I80" i="12" a="1"/>
  <c r="I11" i="12" a="1"/>
  <c r="M22" i="12" a="1"/>
  <c r="M66" i="12" a="1"/>
  <c r="M27" i="12" a="1"/>
  <c r="I14" i="12" a="1"/>
  <c r="I51" i="12" a="1"/>
  <c r="M62" i="12" a="1"/>
  <c r="M70" i="12" a="1"/>
  <c r="M89" i="12" a="1"/>
  <c r="L19" i="12" a="1"/>
  <c r="L59" i="12" a="1"/>
  <c r="L71" i="12" a="1"/>
  <c r="I17" i="12" a="1"/>
  <c r="I9" i="12" a="1"/>
  <c r="I21" i="12" a="1"/>
  <c r="M76" i="12" a="1"/>
  <c r="I46" i="12" a="1"/>
  <c r="M91" i="12" a="1"/>
  <c r="I91" i="12" a="1"/>
  <c r="I37" i="12" a="1"/>
  <c r="L74" i="12" a="1"/>
  <c r="L87" i="12" a="1"/>
  <c r="I98" i="12" a="1"/>
  <c r="I81" i="12" a="1"/>
  <c r="M26" i="12" a="1"/>
  <c r="L53" i="12" a="1"/>
  <c r="I83" i="12" a="1"/>
  <c r="L93" i="12" a="1"/>
  <c r="I26" i="12" a="1"/>
  <c r="M8" i="12" a="1"/>
  <c r="I43" i="12" a="1"/>
  <c r="I79" i="12" a="1"/>
  <c r="M5" i="12" a="1"/>
  <c r="L43" i="12" a="1"/>
  <c r="I96" i="12" a="1"/>
  <c r="I42" i="12" a="1"/>
  <c r="I70" i="12" a="1"/>
  <c r="I5" i="12" a="1"/>
  <c r="L76" i="12" a="1"/>
  <c r="M85" i="12" a="1"/>
  <c r="I74" i="12" a="1"/>
  <c r="L45" i="12" a="1"/>
  <c r="I53" i="12" a="1"/>
  <c r="L91" i="12" a="1"/>
  <c r="I6" i="12" a="1"/>
  <c r="I62" i="12" a="1"/>
  <c r="I13" i="12" a="1"/>
  <c r="I4" i="12" a="1"/>
  <c r="L90" i="12" a="1"/>
  <c r="L83" i="12" a="1"/>
  <c r="M69" i="12" a="1"/>
  <c r="M79" i="12" a="1"/>
  <c r="L72" i="12" a="1"/>
  <c r="L73" i="12" a="1"/>
  <c r="I87" i="12" a="1"/>
  <c r="L18" i="12" a="1"/>
  <c r="N18" i="12" s="1"/>
  <c r="I22" i="12" a="1"/>
  <c r="M86" i="12" a="1"/>
  <c r="I27" i="12" a="1"/>
  <c r="L94" i="12" a="1"/>
  <c r="M6" i="12" a="1"/>
  <c r="L32" i="12" a="1"/>
  <c r="M87" i="12" a="1"/>
  <c r="M29" i="12" a="1"/>
  <c r="M15" i="12" a="1"/>
  <c r="I78" i="12" a="1"/>
  <c r="M33" i="12" a="1"/>
  <c r="L54" i="12" a="1"/>
  <c r="M88" i="12" a="1"/>
  <c r="I7" i="12" a="1"/>
  <c r="M67" i="12" a="1"/>
  <c r="M49" i="12" a="1"/>
  <c r="M99" i="12" a="1"/>
  <c r="I30" i="12" a="1"/>
  <c r="I3" i="12" a="1"/>
  <c r="L31" i="12" a="1"/>
  <c r="I24" i="12" a="1"/>
  <c r="M9" i="12" a="1"/>
  <c r="M16" i="12" a="1"/>
  <c r="M53" i="12" a="1"/>
  <c r="L85" i="12" a="1"/>
  <c r="I50" i="12" a="1"/>
  <c r="L78" i="12" a="1"/>
  <c r="I92" i="12" a="1"/>
  <c r="I41" i="12" a="1"/>
  <c r="M63" i="12" a="1"/>
  <c r="M37" i="12" a="1"/>
  <c r="I68" i="12" a="1"/>
  <c r="L84" i="12" a="1"/>
  <c r="M10" i="12" a="1"/>
  <c r="L81" i="12" a="1"/>
  <c r="L50" i="12" a="1"/>
  <c r="L60" i="12" a="1"/>
  <c r="M7" i="12" a="1"/>
  <c r="L95" i="12" a="1"/>
  <c r="I49" i="12" a="1"/>
  <c r="L70" i="12" a="1"/>
  <c r="I77" i="12" a="1"/>
  <c r="L58" i="12" a="1"/>
  <c r="I63" i="12" a="1"/>
  <c r="I32" i="12" a="1"/>
  <c r="L22" i="12" a="1"/>
  <c r="I61" i="12" a="1"/>
  <c r="I34" i="12" a="1"/>
  <c r="M59" i="12" a="1"/>
  <c r="M3" i="12" a="1"/>
  <c r="L20" i="12" a="1"/>
  <c r="M98" i="12" a="1"/>
  <c r="L98" i="12" a="1"/>
  <c r="I15" i="12" a="1"/>
  <c r="M47" i="12" a="1"/>
  <c r="L77" i="12" a="1"/>
  <c r="L88" i="12" a="1"/>
  <c r="M44" i="12" a="1"/>
  <c r="M71" i="12" a="1"/>
  <c r="N71" i="12" s="1"/>
  <c r="L68" i="12" a="1"/>
  <c r="M50" i="12" a="1"/>
  <c r="L29" i="12" a="1"/>
  <c r="M34" i="12" a="1"/>
  <c r="L69" i="12" a="1"/>
  <c r="L24" i="12" a="1"/>
  <c r="M23" i="12" a="1"/>
  <c r="M80" i="12" a="1"/>
  <c r="I94" i="12" a="1"/>
  <c r="M43" i="12" a="1"/>
  <c r="I2" i="12" a="1"/>
  <c r="M36" i="12" a="1"/>
  <c r="M11" i="12" a="1"/>
  <c r="L26" i="12" a="1"/>
  <c r="I23" i="12" a="1"/>
  <c r="M52" i="12" a="1"/>
  <c r="L75" i="12" a="1"/>
  <c r="M90" i="12" a="1"/>
  <c r="L47" i="12" a="1"/>
  <c r="I76" i="12" a="1"/>
  <c r="L34" i="12" a="1"/>
  <c r="M20" i="12" a="1"/>
  <c r="L27" i="12" a="1"/>
  <c r="N27" i="12" s="1"/>
  <c r="L28" i="12" a="1"/>
  <c r="I58" i="12" a="1"/>
  <c r="M46" i="12" a="1"/>
  <c r="I44" i="12" a="1"/>
  <c r="M38" i="12" a="1"/>
  <c r="M65" i="12" a="1"/>
  <c r="L99" i="12" a="1"/>
  <c r="M72" i="12" a="1"/>
  <c r="L3" i="12" a="1"/>
  <c r="M93" i="12" a="1"/>
  <c r="I12" i="12" a="1"/>
  <c r="M83" i="12" a="1"/>
  <c r="M28" i="12" a="1"/>
  <c r="L51" i="12" a="1"/>
  <c r="L40" i="12" a="1"/>
  <c r="I31" i="12" a="1"/>
  <c r="I28" i="12" a="1"/>
  <c r="L33" i="12" a="1"/>
  <c r="L61" i="12" a="1"/>
  <c r="I10" i="12" a="1"/>
  <c r="L35" i="12" a="1"/>
  <c r="I64" i="12" a="1"/>
  <c r="M95" i="12" a="1"/>
  <c r="M12" i="12" a="1"/>
  <c r="L96" i="12" a="1"/>
  <c r="M60" i="12" a="1"/>
  <c r="L48" i="12" a="1"/>
  <c r="M18" i="12" a="1"/>
  <c r="I88" i="12" a="1"/>
  <c r="L62" i="12" a="1"/>
  <c r="N62" i="12" s="1"/>
  <c r="I56" i="12" a="1"/>
  <c r="L79" i="12" a="1"/>
  <c r="I25" i="12" a="1"/>
  <c r="M64" i="12" a="1"/>
  <c r="L49" i="12" a="1"/>
  <c r="M4" i="12" a="1"/>
  <c r="M30" i="12" a="1"/>
  <c r="I40" i="12" a="1"/>
  <c r="L65" i="12" a="1"/>
  <c r="M82" i="12" a="1"/>
  <c r="L97" i="12" a="1"/>
  <c r="I93" i="12" a="1"/>
  <c r="L55" i="12" a="1"/>
  <c r="L80" i="12" a="1"/>
  <c r="M96" i="12" a="1"/>
  <c r="L6" i="12" a="1"/>
  <c r="L66" i="12" a="1"/>
  <c r="M97" i="12" a="1"/>
  <c r="I39" i="12" a="1"/>
  <c r="M48" i="12" a="1"/>
  <c r="I89" i="12" a="1"/>
  <c r="M92" i="12" a="1"/>
  <c r="M55" i="12" a="1"/>
  <c r="M25" i="12" a="1"/>
  <c r="I69" i="12" a="1"/>
  <c r="M40" i="12" a="1"/>
  <c r="M41" i="12" a="1"/>
  <c r="M81" i="12" a="1"/>
  <c r="M57" i="12" a="1"/>
  <c r="M68" i="12" a="1"/>
  <c r="M75" i="12" a="1"/>
  <c r="I19" i="12" a="1"/>
  <c r="I97" i="12" a="1"/>
  <c r="L67" i="12" a="1"/>
  <c r="M61" i="12" a="1"/>
  <c r="I82" i="12" a="1"/>
  <c r="I18" i="12" a="1"/>
  <c r="I8" i="12" a="1"/>
  <c r="I86" i="12" a="1"/>
  <c r="I55" i="12" a="1"/>
  <c r="I75" i="12" a="1"/>
  <c r="L57" i="12" a="1"/>
  <c r="M77" i="12" a="1"/>
  <c r="M94" i="12" a="1"/>
  <c r="L38" i="12" a="1"/>
  <c r="M39" i="12" a="1"/>
  <c r="L86" i="12" a="1"/>
  <c r="I66" i="12" a="1"/>
  <c r="I95" i="12" a="1"/>
  <c r="M74" i="12" a="1"/>
  <c r="M78" i="12" a="1"/>
  <c r="M54" i="12" a="1"/>
  <c r="I29" i="12" a="1"/>
  <c r="I99" i="12" a="1"/>
  <c r="L4" i="12" a="1"/>
  <c r="L89" i="12" a="1"/>
  <c r="I59" i="12" a="1"/>
  <c r="M42" i="12" a="1"/>
  <c r="M19" i="12" a="1"/>
  <c r="I54" i="12" a="1"/>
  <c r="M17" i="12" a="1"/>
  <c r="L25" i="12" a="1"/>
  <c r="I16" i="12" a="1"/>
  <c r="L2" i="12" a="1"/>
  <c r="I52" i="12" a="1"/>
  <c r="I20" i="12" a="1"/>
  <c r="M84" i="12" a="1"/>
  <c r="M51" i="12" a="1"/>
  <c r="L37" i="12" a="1"/>
  <c r="I65" i="12" a="1"/>
  <c r="I57" i="12" a="1"/>
  <c r="M21" i="12" a="1"/>
  <c r="M2" i="12" a="1"/>
  <c r="L41" i="12" a="1"/>
  <c r="L30" i="12" a="1"/>
  <c r="L5" i="12" a="1"/>
  <c r="M58" i="12" a="1"/>
  <c r="M32" i="12" a="1"/>
  <c r="L23" i="12" a="1"/>
  <c r="I60" i="12" a="1"/>
  <c r="L46" i="12" a="1"/>
  <c r="M56" i="12" a="1"/>
  <c r="I84" i="12" a="1"/>
  <c r="L63" i="12" a="1"/>
  <c r="I35" i="12" a="1"/>
  <c r="I67" i="12" a="1"/>
  <c r="L44" i="12" a="1"/>
  <c r="I71" i="12" a="1"/>
  <c r="I48" i="12" a="1"/>
  <c r="I90" i="12" a="1"/>
  <c r="L92" i="12" a="1"/>
  <c r="L82" i="12" a="1"/>
  <c r="I45" i="12" a="1"/>
  <c r="L42" i="12" a="1"/>
  <c r="I47" i="12" a="1"/>
  <c r="M73" i="12" a="1"/>
  <c r="M35" i="12" a="1"/>
  <c r="L21" i="12" a="1"/>
  <c r="I33" i="12" a="1"/>
  <c r="L36" i="12" a="1"/>
  <c r="I73" i="12" a="1"/>
  <c r="M14" i="12" a="1"/>
  <c r="M31" i="12" a="1"/>
  <c r="L52" i="12" a="1"/>
  <c r="M24" i="12" a="1"/>
  <c r="M13" i="12" a="1"/>
  <c r="I72" i="12" a="1"/>
  <c r="I85" i="12" a="1"/>
  <c r="M45" i="12" a="1"/>
  <c r="N45" i="12" s="1"/>
  <c r="L56" i="12" a="1"/>
  <c r="L64" i="12" a="1"/>
  <c r="L39" i="12" a="1"/>
  <c r="N83" i="12" l="1"/>
  <c r="N38" i="12"/>
  <c r="AF7" i="4"/>
  <c r="N66" i="12"/>
  <c r="AF87" i="4"/>
  <c r="AF89" i="4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F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F4" i="4"/>
  <c r="N33" i="12"/>
  <c r="AF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F90" i="4"/>
  <c r="AF92" i="4"/>
  <c r="AF91" i="4"/>
  <c r="AF93" i="4"/>
  <c r="N40" i="12"/>
  <c r="N53" i="12"/>
  <c r="N51" i="12"/>
  <c r="N50" i="12"/>
  <c r="N88" i="12"/>
  <c r="N91" i="12"/>
  <c r="N21" i="12"/>
  <c r="N55" i="1" a="1"/>
  <c r="N163" i="1" a="1"/>
  <c r="Q163" i="1" s="1"/>
  <c r="N17" i="12"/>
  <c r="N57" i="12"/>
  <c r="N76" i="12"/>
  <c r="N65" i="12"/>
  <c r="N61" i="12"/>
  <c r="N47" i="12"/>
  <c r="N11" i="12"/>
  <c r="N7" i="12"/>
  <c r="N10" i="12"/>
  <c r="N81" i="12"/>
  <c r="AF192" i="4"/>
  <c r="AF205" i="4"/>
  <c r="AF70" i="4"/>
  <c r="AF37" i="4"/>
  <c r="AF144" i="4"/>
  <c r="AF218" i="4"/>
  <c r="AF24" i="4"/>
  <c r="AF229" i="4"/>
  <c r="AF62" i="4"/>
  <c r="AF184" i="4"/>
  <c r="AF51" i="4"/>
  <c r="AF217" i="4"/>
  <c r="AF247" i="4"/>
  <c r="AF197" i="4"/>
  <c r="AF136" i="4"/>
  <c r="AF223" i="4"/>
  <c r="AF129" i="4"/>
  <c r="AF249" i="4"/>
  <c r="AF29" i="4"/>
  <c r="AF183" i="4"/>
  <c r="AF141" i="4"/>
  <c r="AF57" i="4"/>
  <c r="AF204" i="4"/>
  <c r="AF66" i="4"/>
  <c r="AF156" i="4"/>
  <c r="AF9" i="4"/>
  <c r="AF130" i="4"/>
  <c r="AF177" i="4"/>
  <c r="AF19" i="4"/>
  <c r="AF86" i="4"/>
  <c r="AF185" i="4"/>
  <c r="AF116" i="4"/>
  <c r="AF115" i="4"/>
  <c r="AF191" i="4"/>
  <c r="AF174" i="4"/>
  <c r="AF38" i="4"/>
  <c r="AF142" i="4"/>
  <c r="AF147" i="4"/>
  <c r="AF64" i="4"/>
  <c r="AF43" i="4"/>
  <c r="AF250" i="4"/>
  <c r="AF225" i="4"/>
  <c r="AF228" i="4"/>
  <c r="AF96" i="4"/>
  <c r="AF46" i="4"/>
  <c r="AF60" i="4"/>
  <c r="AF128" i="4"/>
  <c r="AF198" i="4"/>
  <c r="AF81" i="4"/>
  <c r="AF238" i="4"/>
  <c r="AF22" i="4"/>
  <c r="AF11" i="4"/>
  <c r="AF150" i="4"/>
  <c r="AF152" i="4"/>
  <c r="AF16" i="4"/>
  <c r="AF161" i="4"/>
  <c r="AF27" i="4"/>
  <c r="AF31" i="4"/>
  <c r="AF44" i="4"/>
  <c r="AF63" i="4"/>
  <c r="AF167" i="4"/>
  <c r="AF111" i="4"/>
  <c r="AF33" i="4"/>
  <c r="AF13" i="4"/>
  <c r="AF95" i="4"/>
  <c r="AF170" i="4"/>
  <c r="AF246" i="4"/>
  <c r="AF52" i="4"/>
  <c r="AF175" i="4"/>
  <c r="AF166" i="4"/>
  <c r="AF40" i="4"/>
  <c r="AF233" i="4"/>
  <c r="AF159" i="4"/>
  <c r="AF200" i="4"/>
  <c r="AF178" i="4"/>
  <c r="AF208" i="4"/>
  <c r="AF215" i="4"/>
  <c r="AF77" i="4"/>
  <c r="AF97" i="4"/>
  <c r="AF39" i="4"/>
  <c r="AF75" i="4"/>
  <c r="AF227" i="4"/>
  <c r="AF54" i="4"/>
  <c r="AF14" i="4"/>
  <c r="AF78" i="4"/>
  <c r="AF32" i="4"/>
  <c r="AF122" i="4"/>
  <c r="AF58" i="4"/>
  <c r="AF244" i="4"/>
  <c r="AF202" i="4"/>
  <c r="AF160" i="4"/>
  <c r="AF123" i="4"/>
  <c r="AF195" i="4"/>
  <c r="AF155" i="4"/>
  <c r="AF98" i="4"/>
  <c r="AF252" i="4"/>
  <c r="AF121" i="4"/>
  <c r="AF203" i="4"/>
  <c r="AF220" i="4"/>
  <c r="AF67" i="4"/>
  <c r="AF237" i="4"/>
  <c r="AF55" i="4"/>
  <c r="AF137" i="4"/>
  <c r="AF190" i="4"/>
  <c r="AF149" i="4"/>
  <c r="AF120" i="4"/>
  <c r="AF76" i="4"/>
  <c r="AF138" i="4"/>
  <c r="AF226" i="4"/>
  <c r="AF187" i="4"/>
  <c r="AF34" i="4"/>
  <c r="AF180" i="4"/>
  <c r="AF165" i="4"/>
  <c r="AF48" i="4"/>
  <c r="AF245" i="4"/>
  <c r="AF219" i="4"/>
  <c r="AF214" i="4"/>
  <c r="AF231" i="4"/>
  <c r="AF61" i="4"/>
  <c r="AF243" i="4"/>
  <c r="AF73" i="4"/>
  <c r="AF30" i="4"/>
  <c r="AF224" i="4"/>
  <c r="AF84" i="4"/>
  <c r="AF126" i="4"/>
  <c r="AF164" i="4"/>
  <c r="AF45" i="4"/>
  <c r="AF65" i="4"/>
  <c r="AF117" i="4"/>
  <c r="AF28" i="4"/>
  <c r="AF221" i="4"/>
  <c r="AF157" i="4"/>
  <c r="AF251" i="4"/>
  <c r="AF41" i="4"/>
  <c r="AF169" i="4"/>
  <c r="AF35" i="4"/>
  <c r="AF119" i="4"/>
  <c r="AF196" i="4"/>
  <c r="AF69" i="4"/>
  <c r="AF102" i="4"/>
  <c r="AF74" i="4"/>
  <c r="AF134" i="4"/>
  <c r="AF216" i="4"/>
  <c r="AF145" i="4"/>
  <c r="AF206" i="4"/>
  <c r="AF235" i="4"/>
  <c r="AF103" i="4"/>
  <c r="AF146" i="4"/>
  <c r="AF112" i="4"/>
  <c r="AF114" i="4"/>
  <c r="AF210" i="4"/>
  <c r="AF168" i="4"/>
  <c r="AF68" i="4"/>
  <c r="AF158" i="4"/>
  <c r="AF26" i="4"/>
  <c r="AF12" i="4"/>
  <c r="AF239" i="4"/>
  <c r="AF80" i="4"/>
  <c r="AF85" i="4"/>
  <c r="AF5" i="4"/>
  <c r="AF188" i="4"/>
  <c r="AF72" i="4"/>
  <c r="AF209" i="4"/>
  <c r="AF234" i="4"/>
  <c r="AF110" i="4"/>
  <c r="AF15" i="4"/>
  <c r="AF153" i="4"/>
  <c r="AF194" i="4"/>
  <c r="AF240" i="4"/>
  <c r="AF101" i="4"/>
  <c r="AF105" i="4"/>
  <c r="AF154" i="4"/>
  <c r="AF171" i="4"/>
  <c r="AF79" i="4"/>
  <c r="AF20" i="4"/>
  <c r="AF236" i="4"/>
  <c r="AF213" i="4"/>
  <c r="AF242" i="4"/>
  <c r="AF59" i="4"/>
  <c r="AF232" i="4"/>
  <c r="AF189" i="4"/>
  <c r="AF99" i="4"/>
  <c r="AF131" i="4"/>
  <c r="AF212" i="4"/>
  <c r="AF132" i="4"/>
  <c r="AF207" i="4"/>
  <c r="AF127" i="4"/>
  <c r="AF199" i="4"/>
  <c r="AF10" i="4"/>
  <c r="AF125" i="4"/>
  <c r="AF82" i="4"/>
  <c r="AF17" i="4"/>
  <c r="AF18" i="4"/>
  <c r="AF118" i="4"/>
  <c r="AF109" i="4"/>
  <c r="AF181" i="4"/>
  <c r="AF140" i="4"/>
  <c r="AF106" i="4"/>
  <c r="AF6" i="4"/>
  <c r="AF176" i="4"/>
  <c r="AF163" i="4"/>
  <c r="AF25" i="4"/>
  <c r="AF100" i="4"/>
  <c r="AF71" i="4"/>
  <c r="AF42" i="4"/>
  <c r="AF201" i="4"/>
  <c r="AF222" i="4"/>
  <c r="AF56" i="4"/>
  <c r="AF104" i="4"/>
  <c r="AF135" i="4"/>
  <c r="AF124" i="4"/>
  <c r="AF139" i="4"/>
  <c r="AF133" i="4"/>
  <c r="AF182" i="4"/>
  <c r="AF113" i="4"/>
  <c r="AF151" i="4"/>
  <c r="AF162" i="4"/>
  <c r="AF173" i="4"/>
  <c r="AF23" i="4"/>
  <c r="AF49" i="4"/>
  <c r="AF179" i="4"/>
  <c r="AF53" i="4"/>
  <c r="AF50" i="4"/>
  <c r="AF248" i="4"/>
  <c r="AF143" i="4"/>
  <c r="AF148" i="4"/>
  <c r="AF36" i="4"/>
  <c r="AF193" i="4"/>
  <c r="AF94" i="4"/>
  <c r="AF107" i="4"/>
  <c r="AF241" i="4"/>
  <c r="AF47" i="4"/>
  <c r="AF21" i="4"/>
  <c r="AF230" i="4"/>
  <c r="AF172" i="4"/>
  <c r="AF8" i="4"/>
  <c r="AF108" i="4"/>
  <c r="AF211" i="4"/>
  <c r="AF83" i="4"/>
  <c r="AF186" i="4"/>
  <c r="N54" i="12"/>
  <c r="N43" i="12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AF2" i="4"/>
  <c r="N68" i="12"/>
  <c r="N72" i="12"/>
  <c r="N14" i="12"/>
  <c r="N55" i="12"/>
  <c r="AG22" i="4"/>
  <c r="N25" i="1" s="1" a="1"/>
  <c r="N28" i="12"/>
  <c r="N75" i="12"/>
  <c r="N98" i="12"/>
  <c r="N20" i="12"/>
  <c r="N58" i="12"/>
  <c r="AG51" i="4" s="1"/>
  <c r="N78" i="12"/>
  <c r="N31" i="12"/>
  <c r="N90" i="12"/>
  <c r="N59" i="12"/>
  <c r="Q55" i="1" l="1"/>
  <c r="AG151" i="4"/>
  <c r="T16" i="6"/>
  <c r="N204" i="1" s="1" a="1"/>
  <c r="Q204" i="1" s="1"/>
  <c r="T13" i="6"/>
  <c r="T14" i="6"/>
  <c r="T15" i="6"/>
  <c r="T12" i="6"/>
  <c r="AG80" i="4"/>
  <c r="AG66" i="4"/>
  <c r="AG27" i="4"/>
  <c r="N36" i="1" s="1" a="1"/>
  <c r="AG69" i="4"/>
  <c r="AG43" i="4"/>
  <c r="AG47" i="4"/>
  <c r="AG91" i="4"/>
  <c r="AG24" i="4"/>
  <c r="N56" i="1" a="1"/>
  <c r="N152" i="1" a="1"/>
  <c r="Q152" i="1" s="1"/>
  <c r="AG48" i="4"/>
  <c r="N149" i="1" a="1"/>
  <c r="Q149" i="1" s="1"/>
  <c r="AG63" i="4"/>
  <c r="AG59" i="4"/>
  <c r="AG11" i="4"/>
  <c r="AG97" i="4"/>
  <c r="AG52" i="4"/>
  <c r="N34" i="1" s="1" a="1"/>
  <c r="AG16" i="4"/>
  <c r="AG44" i="4"/>
  <c r="N160" i="1" s="1" a="1"/>
  <c r="Q160" i="1" s="1"/>
  <c r="AG85" i="4"/>
  <c r="AG10" i="4"/>
  <c r="N81" i="1" s="1" a="1"/>
  <c r="Q81" i="1" s="1"/>
  <c r="AG65" i="4"/>
  <c r="AG68" i="4"/>
  <c r="AG83" i="4"/>
  <c r="AG30" i="4"/>
  <c r="AG77" i="4"/>
  <c r="AG71" i="4"/>
  <c r="N31" i="1" s="1" a="1"/>
  <c r="AG84" i="4"/>
  <c r="AG87" i="4"/>
  <c r="AG102" i="4"/>
  <c r="AG8" i="4"/>
  <c r="AG86" i="4"/>
  <c r="AG36" i="4"/>
  <c r="AG7" i="4"/>
  <c r="AG32" i="4"/>
  <c r="AG35" i="4"/>
  <c r="AG78" i="4"/>
  <c r="AG81" i="4"/>
  <c r="AG17" i="4"/>
  <c r="N33" i="1" s="1" a="1"/>
  <c r="AG14" i="4"/>
  <c r="N80" i="1" s="1" a="1"/>
  <c r="Q80" i="1" s="1"/>
  <c r="AG50" i="4"/>
  <c r="AG67" i="4"/>
  <c r="AG56" i="4"/>
  <c r="AG53" i="4"/>
  <c r="AG40" i="4"/>
  <c r="N139" i="1" s="1" a="1"/>
  <c r="Q139" i="1" s="1"/>
  <c r="AG9" i="4"/>
  <c r="N193" i="1" s="1" a="1"/>
  <c r="Q193" i="1" s="1"/>
  <c r="AG100" i="4"/>
  <c r="AG31" i="4"/>
  <c r="AG150" i="4"/>
  <c r="AG169" i="4"/>
  <c r="AG239" i="4"/>
  <c r="AG186" i="4"/>
  <c r="AG164" i="4"/>
  <c r="AG224" i="4"/>
  <c r="AG203" i="4"/>
  <c r="AG181" i="4"/>
  <c r="AG190" i="4"/>
  <c r="AG223" i="4"/>
  <c r="AG15" i="4"/>
  <c r="AG28" i="4"/>
  <c r="N26" i="1" s="1" a="1"/>
  <c r="AG115" i="4"/>
  <c r="AG105" i="4"/>
  <c r="AG175" i="4"/>
  <c r="AG215" i="4"/>
  <c r="AG189" i="4"/>
  <c r="AG75" i="4"/>
  <c r="AG41" i="4"/>
  <c r="N77" i="1" s="1" a="1"/>
  <c r="Q77" i="1" s="1"/>
  <c r="AG117" i="4"/>
  <c r="AG132" i="4"/>
  <c r="AG120" i="4"/>
  <c r="AG126" i="4"/>
  <c r="AG232" i="4"/>
  <c r="AG135" i="4"/>
  <c r="AG171" i="4"/>
  <c r="AG213" i="4"/>
  <c r="AG144" i="4"/>
  <c r="AG174" i="4"/>
  <c r="AG110" i="4"/>
  <c r="AG188" i="4"/>
  <c r="AG235" i="4"/>
  <c r="AG128" i="4"/>
  <c r="AG218" i="4"/>
  <c r="AG191" i="4"/>
  <c r="AG116" i="4"/>
  <c r="N97" i="1" s="1" a="1"/>
  <c r="Q97" i="1" s="1"/>
  <c r="AG74" i="4"/>
  <c r="AG210" i="4"/>
  <c r="AG161" i="4"/>
  <c r="AG118" i="4"/>
  <c r="AG46" i="4"/>
  <c r="N72" i="1" s="1" a="1"/>
  <c r="Q72" i="1" s="1"/>
  <c r="AG241" i="4"/>
  <c r="AG251" i="4"/>
  <c r="AG143" i="4"/>
  <c r="AG12" i="4"/>
  <c r="N95" i="1" s="1" a="1"/>
  <c r="Q95" i="1" s="1"/>
  <c r="AG157" i="4"/>
  <c r="AG168" i="4"/>
  <c r="AG154" i="4"/>
  <c r="AG33" i="4"/>
  <c r="AG226" i="4"/>
  <c r="AG149" i="4"/>
  <c r="AG248" i="4"/>
  <c r="AG216" i="4"/>
  <c r="AG220" i="4"/>
  <c r="AG73" i="4"/>
  <c r="N146" i="1" s="1" a="1"/>
  <c r="Q146" i="1" s="1"/>
  <c r="AG109" i="4"/>
  <c r="AG211" i="4"/>
  <c r="AG114" i="4"/>
  <c r="AG217" i="4"/>
  <c r="AG64" i="4"/>
  <c r="N27" i="1" s="1" a="1"/>
  <c r="AG21" i="4"/>
  <c r="AG111" i="4"/>
  <c r="AG173" i="4"/>
  <c r="AG89" i="4"/>
  <c r="AG72" i="4"/>
  <c r="AG146" i="4"/>
  <c r="AG240" i="4"/>
  <c r="AG178" i="4"/>
  <c r="AG176" i="4"/>
  <c r="AG3" i="4"/>
  <c r="AG165" i="4"/>
  <c r="AG245" i="4"/>
  <c r="AG194" i="4"/>
  <c r="AG88" i="4"/>
  <c r="AG204" i="4"/>
  <c r="AG166" i="4"/>
  <c r="AG177" i="4"/>
  <c r="AG142" i="4"/>
  <c r="AG103" i="4"/>
  <c r="N135" i="1" s="1" a="1"/>
  <c r="Q135" i="1" s="1"/>
  <c r="AG162" i="4"/>
  <c r="AG130" i="4"/>
  <c r="AG39" i="4"/>
  <c r="AG247" i="4"/>
  <c r="AG163" i="4"/>
  <c r="AG29" i="4"/>
  <c r="AG26" i="4"/>
  <c r="AG145" i="4"/>
  <c r="N143" i="1" s="1" a="1"/>
  <c r="Q143" i="1" s="1"/>
  <c r="AG221" i="4"/>
  <c r="AG49" i="4"/>
  <c r="AG160" i="4"/>
  <c r="AG148" i="4"/>
  <c r="AG13" i="4"/>
  <c r="AG206" i="4"/>
  <c r="AG209" i="4"/>
  <c r="AG37" i="4"/>
  <c r="AG234" i="4"/>
  <c r="AG124" i="4"/>
  <c r="AG6" i="4"/>
  <c r="AG82" i="4"/>
  <c r="N157" i="1" s="1" a="1"/>
  <c r="Q157" i="1" s="1"/>
  <c r="AG208" i="4"/>
  <c r="AG113" i="4"/>
  <c r="AG112" i="4"/>
  <c r="N137" i="1" s="1" a="1"/>
  <c r="Q137" i="1" s="1"/>
  <c r="AG246" i="4"/>
  <c r="AG212" i="4"/>
  <c r="AG98" i="4"/>
  <c r="AG38" i="4"/>
  <c r="AG34" i="4"/>
  <c r="AG205" i="4"/>
  <c r="AG62" i="4"/>
  <c r="AG94" i="4"/>
  <c r="AG158" i="4"/>
  <c r="AG167" i="4"/>
  <c r="AG252" i="4"/>
  <c r="AG121" i="4"/>
  <c r="AG58" i="4"/>
  <c r="N35" i="1" s="1" a="1"/>
  <c r="AG79" i="4"/>
  <c r="AG119" i="4"/>
  <c r="AG201" i="4"/>
  <c r="AG140" i="4"/>
  <c r="AG244" i="4"/>
  <c r="AG19" i="4"/>
  <c r="AG219" i="4"/>
  <c r="AG147" i="4"/>
  <c r="AG197" i="4"/>
  <c r="AG199" i="4"/>
  <c r="AG225" i="4"/>
  <c r="AG172" i="4"/>
  <c r="AG125" i="4"/>
  <c r="AG92" i="4"/>
  <c r="AG236" i="4"/>
  <c r="AG42" i="4"/>
  <c r="AG76" i="4"/>
  <c r="AG195" i="4"/>
  <c r="AG136" i="4"/>
  <c r="AG18" i="4"/>
  <c r="AG25" i="4"/>
  <c r="AG54" i="4"/>
  <c r="AG159" i="4"/>
  <c r="AG193" i="4"/>
  <c r="AG229" i="4"/>
  <c r="AG227" i="4"/>
  <c r="AG57" i="4"/>
  <c r="AG138" i="4"/>
  <c r="AG141" i="4"/>
  <c r="AG196" i="4"/>
  <c r="AG179" i="4"/>
  <c r="AG127" i="4"/>
  <c r="AG108" i="4"/>
  <c r="AG185" i="4"/>
  <c r="AG183" i="4"/>
  <c r="AG182" i="4"/>
  <c r="AG93" i="4"/>
  <c r="AG156" i="4"/>
  <c r="AG243" i="4"/>
  <c r="AG152" i="4"/>
  <c r="AG242" i="4"/>
  <c r="AG184" i="4"/>
  <c r="AG129" i="4"/>
  <c r="AG231" i="4"/>
  <c r="AG170" i="4"/>
  <c r="AG214" i="4"/>
  <c r="AG90" i="4"/>
  <c r="AG45" i="4"/>
  <c r="AG101" i="4"/>
  <c r="AG230" i="4"/>
  <c r="AG153" i="4"/>
  <c r="AG155" i="4"/>
  <c r="AG237" i="4"/>
  <c r="AG104" i="4"/>
  <c r="AG20" i="4"/>
  <c r="AG133" i="4"/>
  <c r="AG250" i="4"/>
  <c r="AG137" i="4"/>
  <c r="AG202" i="4"/>
  <c r="AG187" i="4"/>
  <c r="AG95" i="4"/>
  <c r="AG139" i="4"/>
  <c r="AG122" i="4"/>
  <c r="AG134" i="4"/>
  <c r="AG4" i="4"/>
  <c r="AG107" i="4"/>
  <c r="N153" i="1" s="1" a="1"/>
  <c r="Q153" i="1" s="1"/>
  <c r="AG249" i="4"/>
  <c r="AG96" i="4"/>
  <c r="N114" i="1" s="1" a="1"/>
  <c r="Q114" i="1" s="1"/>
  <c r="AG60" i="4"/>
  <c r="N167" i="1" s="1" a="1"/>
  <c r="Q167" i="1" s="1"/>
  <c r="AG61" i="4"/>
  <c r="AG55" i="4"/>
  <c r="AG23" i="4"/>
  <c r="N78" i="1" s="1" a="1"/>
  <c r="Q78" i="1" s="1"/>
  <c r="AG192" i="4"/>
  <c r="AG106" i="4"/>
  <c r="AG5" i="4"/>
  <c r="AG180" i="4"/>
  <c r="AG70" i="4"/>
  <c r="N126" i="1" s="1" a="1"/>
  <c r="Q126" i="1" s="1"/>
  <c r="AG222" i="4"/>
  <c r="AG233" i="4"/>
  <c r="AG207" i="4"/>
  <c r="AG198" i="4"/>
  <c r="AG131" i="4"/>
  <c r="AG228" i="4"/>
  <c r="AG123" i="4"/>
  <c r="AG200" i="4"/>
  <c r="AG238" i="4"/>
  <c r="AG99" i="4"/>
  <c r="N164" i="1" a="1"/>
  <c r="Q164" i="1" s="1"/>
  <c r="N165" i="1" a="1"/>
  <c r="Q165" i="1" s="1"/>
  <c r="T43" i="6"/>
  <c r="U43" i="6" s="1"/>
  <c r="T40" i="6"/>
  <c r="U40" i="6" s="1"/>
  <c r="T33" i="6"/>
  <c r="T18" i="6"/>
  <c r="T26" i="6"/>
  <c r="T8" i="6"/>
  <c r="T32" i="6"/>
  <c r="T22" i="6"/>
  <c r="T2" i="6"/>
  <c r="T64" i="6"/>
  <c r="U64" i="6" s="1"/>
  <c r="T194" i="6"/>
  <c r="U194" i="6" s="1"/>
  <c r="T224" i="6"/>
  <c r="U224" i="6" s="1"/>
  <c r="T74" i="6"/>
  <c r="U74" i="6" s="1"/>
  <c r="T209" i="6"/>
  <c r="U209" i="6" s="1"/>
  <c r="T122" i="6"/>
  <c r="U122" i="6" s="1"/>
  <c r="T379" i="6"/>
  <c r="U379" i="6" s="1"/>
  <c r="T188" i="6"/>
  <c r="U188" i="6" s="1"/>
  <c r="T65" i="6"/>
  <c r="U65" i="6" s="1"/>
  <c r="T367" i="6"/>
  <c r="U367" i="6" s="1"/>
  <c r="T200" i="6"/>
  <c r="U200" i="6" s="1"/>
  <c r="T83" i="6"/>
  <c r="U83" i="6" s="1"/>
  <c r="T333" i="6"/>
  <c r="U333" i="6" s="1"/>
  <c r="T282" i="6"/>
  <c r="U282" i="6" s="1"/>
  <c r="T310" i="6"/>
  <c r="U310" i="6" s="1"/>
  <c r="T304" i="6"/>
  <c r="U304" i="6" s="1"/>
  <c r="T380" i="6"/>
  <c r="U380" i="6" s="1"/>
  <c r="T207" i="6"/>
  <c r="U207" i="6" s="1"/>
  <c r="T247" i="6"/>
  <c r="U247" i="6" s="1"/>
  <c r="T163" i="6"/>
  <c r="U163" i="6" s="1"/>
  <c r="T124" i="6"/>
  <c r="U124" i="6" s="1"/>
  <c r="T68" i="6"/>
  <c r="U68" i="6" s="1"/>
  <c r="T92" i="6"/>
  <c r="U92" i="6" s="1"/>
  <c r="T324" i="6"/>
  <c r="U324" i="6" s="1"/>
  <c r="T292" i="6"/>
  <c r="U292" i="6" s="1"/>
  <c r="T346" i="6"/>
  <c r="U346" i="6" s="1"/>
  <c r="T377" i="6"/>
  <c r="U377" i="6" s="1"/>
  <c r="T262" i="6"/>
  <c r="U262" i="6" s="1"/>
  <c r="T331" i="6"/>
  <c r="U331" i="6" s="1"/>
  <c r="T145" i="6"/>
  <c r="U145" i="6" s="1"/>
  <c r="T313" i="6"/>
  <c r="U313" i="6" s="1"/>
  <c r="T147" i="6"/>
  <c r="U147" i="6" s="1"/>
  <c r="T359" i="6"/>
  <c r="U359" i="6" s="1"/>
  <c r="T298" i="6"/>
  <c r="U298" i="6" s="1"/>
  <c r="T336" i="6"/>
  <c r="U336" i="6" s="1"/>
  <c r="T187" i="6"/>
  <c r="U187" i="6" s="1"/>
  <c r="T277" i="6"/>
  <c r="U277" i="6" s="1"/>
  <c r="T211" i="6"/>
  <c r="U211" i="6" s="1"/>
  <c r="T99" i="6"/>
  <c r="U99" i="6" s="1"/>
  <c r="T322" i="6"/>
  <c r="U322" i="6" s="1"/>
  <c r="T323" i="6"/>
  <c r="U323" i="6" s="1"/>
  <c r="T189" i="6"/>
  <c r="U189" i="6" s="1"/>
  <c r="T266" i="6"/>
  <c r="U266" i="6" s="1"/>
  <c r="T270" i="6"/>
  <c r="U270" i="6" s="1"/>
  <c r="T290" i="6"/>
  <c r="U290" i="6" s="1"/>
  <c r="T116" i="6"/>
  <c r="U116" i="6" s="1"/>
  <c r="T260" i="6"/>
  <c r="U260" i="6" s="1"/>
  <c r="T208" i="6"/>
  <c r="U208" i="6" s="1"/>
  <c r="T237" i="6"/>
  <c r="U237" i="6" s="1"/>
  <c r="T294" i="6"/>
  <c r="U294" i="6" s="1"/>
  <c r="T248" i="6"/>
  <c r="U248" i="6" s="1"/>
  <c r="T63" i="6"/>
  <c r="U63" i="6" s="1"/>
  <c r="T296" i="6"/>
  <c r="U296" i="6" s="1"/>
  <c r="T115" i="6"/>
  <c r="U115" i="6" s="1"/>
  <c r="T314" i="6"/>
  <c r="U314" i="6" s="1"/>
  <c r="T117" i="6"/>
  <c r="U117" i="6" s="1"/>
  <c r="T353" i="6"/>
  <c r="U353" i="6" s="1"/>
  <c r="T190" i="6"/>
  <c r="U190" i="6" s="1"/>
  <c r="T77" i="6"/>
  <c r="U77" i="6" s="1"/>
  <c r="T123" i="6"/>
  <c r="U123" i="6" s="1"/>
  <c r="T285" i="6"/>
  <c r="U285" i="6" s="1"/>
  <c r="T133" i="6"/>
  <c r="U133" i="6" s="1"/>
  <c r="T327" i="6"/>
  <c r="U327" i="6" s="1"/>
  <c r="T52" i="6"/>
  <c r="U52" i="6" s="1"/>
  <c r="T75" i="6"/>
  <c r="U75" i="6" s="1"/>
  <c r="T112" i="6"/>
  <c r="U112" i="6" s="1"/>
  <c r="T150" i="6"/>
  <c r="U150" i="6" s="1"/>
  <c r="T234" i="6"/>
  <c r="U234" i="6" s="1"/>
  <c r="T60" i="6"/>
  <c r="U60" i="6" s="1"/>
  <c r="T107" i="6"/>
  <c r="U107" i="6" s="1"/>
  <c r="T167" i="6"/>
  <c r="U167" i="6" s="1"/>
  <c r="T179" i="6"/>
  <c r="U179" i="6" s="1"/>
  <c r="T218" i="6"/>
  <c r="U218" i="6" s="1"/>
  <c r="T98" i="6"/>
  <c r="U98" i="6" s="1"/>
  <c r="T149" i="6"/>
  <c r="U149" i="6" s="1"/>
  <c r="T340" i="6"/>
  <c r="U340" i="6" s="1"/>
  <c r="T387" i="6"/>
  <c r="U387" i="6" s="1"/>
  <c r="T85" i="6"/>
  <c r="U85" i="6" s="1"/>
  <c r="T162" i="6"/>
  <c r="U162" i="6" s="1"/>
  <c r="T210" i="6"/>
  <c r="U210" i="6" s="1"/>
  <c r="T240" i="6"/>
  <c r="U240" i="6" s="1"/>
  <c r="T378" i="6"/>
  <c r="U378" i="6" s="1"/>
  <c r="T198" i="6"/>
  <c r="U198" i="6" s="1"/>
  <c r="T236" i="6"/>
  <c r="U236" i="6" s="1"/>
  <c r="T113" i="6"/>
  <c r="U113" i="6" s="1"/>
  <c r="T140" i="6"/>
  <c r="U140" i="6" s="1"/>
  <c r="T36" i="6"/>
  <c r="U36" i="6" s="1"/>
  <c r="T44" i="6"/>
  <c r="U44" i="6" s="1"/>
  <c r="T37" i="6"/>
  <c r="T10" i="6"/>
  <c r="N63" i="1" s="1" a="1"/>
  <c r="Q63" i="1" s="1"/>
  <c r="T30" i="6"/>
  <c r="U30" i="6" s="1"/>
  <c r="T5" i="6"/>
  <c r="T3" i="6"/>
  <c r="T29" i="6"/>
  <c r="U29" i="6" s="1"/>
  <c r="T11" i="6"/>
  <c r="N64" i="1" s="1" a="1"/>
  <c r="Q64" i="1" s="1"/>
  <c r="T6" i="6"/>
  <c r="N6" i="1" s="1" a="1"/>
  <c r="T66" i="6"/>
  <c r="U66" i="6" s="1"/>
  <c r="T230" i="6"/>
  <c r="U230" i="6" s="1"/>
  <c r="T373" i="6"/>
  <c r="U373" i="6" s="1"/>
  <c r="T100" i="6"/>
  <c r="U100" i="6" s="1"/>
  <c r="T365" i="6"/>
  <c r="U365" i="6" s="1"/>
  <c r="T180" i="6"/>
  <c r="U180" i="6" s="1"/>
  <c r="T56" i="6"/>
  <c r="U56" i="6" s="1"/>
  <c r="T376" i="6"/>
  <c r="U376" i="6" s="1"/>
  <c r="T88" i="6"/>
  <c r="U88" i="6" s="1"/>
  <c r="T49" i="6"/>
  <c r="U49" i="6" s="1"/>
  <c r="T349" i="6"/>
  <c r="U349" i="6" s="1"/>
  <c r="T89" i="6"/>
  <c r="U89" i="6" s="1"/>
  <c r="T347" i="6"/>
  <c r="U347" i="6" s="1"/>
  <c r="T281" i="6"/>
  <c r="U281" i="6" s="1"/>
  <c r="T326" i="6"/>
  <c r="U326" i="6" s="1"/>
  <c r="T244" i="6"/>
  <c r="U244" i="6" s="1"/>
  <c r="T302" i="6"/>
  <c r="U302" i="6" s="1"/>
  <c r="T229" i="6"/>
  <c r="U229" i="6" s="1"/>
  <c r="T284" i="6"/>
  <c r="U284" i="6" s="1"/>
  <c r="T273" i="6"/>
  <c r="U273" i="6" s="1"/>
  <c r="T109" i="6"/>
  <c r="U109" i="6" s="1"/>
  <c r="T213" i="6"/>
  <c r="U213" i="6" s="1"/>
  <c r="T135" i="6"/>
  <c r="U135" i="6" s="1"/>
  <c r="T293" i="6"/>
  <c r="U293" i="6" s="1"/>
  <c r="T225" i="6"/>
  <c r="U225" i="6" s="1"/>
  <c r="T337" i="6"/>
  <c r="U337" i="6" s="1"/>
  <c r="T362" i="6"/>
  <c r="U362" i="6" s="1"/>
  <c r="T193" i="6"/>
  <c r="U193" i="6" s="1"/>
  <c r="T220" i="6"/>
  <c r="U220" i="6" s="1"/>
  <c r="T90" i="6"/>
  <c r="U90" i="6" s="1"/>
  <c r="T256" i="6"/>
  <c r="U256" i="6" s="1"/>
  <c r="T321" i="6"/>
  <c r="U321" i="6" s="1"/>
  <c r="T352" i="6"/>
  <c r="U352" i="6" s="1"/>
  <c r="T271" i="6"/>
  <c r="U271" i="6" s="1"/>
  <c r="T283" i="6"/>
  <c r="U283" i="6" s="1"/>
  <c r="T328" i="6"/>
  <c r="U328" i="6" s="1"/>
  <c r="T249" i="6"/>
  <c r="U249" i="6" s="1"/>
  <c r="T103" i="6"/>
  <c r="U103" i="6" s="1"/>
  <c r="T78" i="6"/>
  <c r="U78" i="6" s="1"/>
  <c r="T231" i="6"/>
  <c r="U231" i="6" s="1"/>
  <c r="T299" i="6"/>
  <c r="U299" i="6" s="1"/>
  <c r="T72" i="6"/>
  <c r="U72" i="6" s="1"/>
  <c r="T178" i="6"/>
  <c r="U178" i="6" s="1"/>
  <c r="T251" i="6"/>
  <c r="U251" i="6" s="1"/>
  <c r="T223" i="6"/>
  <c r="U223" i="6" s="1"/>
  <c r="T81" i="6"/>
  <c r="U81" i="6" s="1"/>
  <c r="T142" i="6"/>
  <c r="U142" i="6" s="1"/>
  <c r="T339" i="6"/>
  <c r="U339" i="6" s="1"/>
  <c r="T121" i="6"/>
  <c r="U121" i="6" s="1"/>
  <c r="T246" i="6"/>
  <c r="U246" i="6" s="1"/>
  <c r="T183" i="6"/>
  <c r="U183" i="6" s="1"/>
  <c r="T316" i="6"/>
  <c r="U316" i="6" s="1"/>
  <c r="T141" i="6"/>
  <c r="U141" i="6" s="1"/>
  <c r="T264" i="6"/>
  <c r="U264" i="6" s="1"/>
  <c r="T97" i="6"/>
  <c r="U97" i="6" s="1"/>
  <c r="T172" i="6"/>
  <c r="U172" i="6" s="1"/>
  <c r="T320" i="6"/>
  <c r="U320" i="6" s="1"/>
  <c r="T175" i="6"/>
  <c r="U175" i="6" s="1"/>
  <c r="T80" i="6"/>
  <c r="U80" i="6" s="1"/>
  <c r="T343" i="6"/>
  <c r="U343" i="6" s="1"/>
  <c r="T289" i="6"/>
  <c r="U289" i="6" s="1"/>
  <c r="T139" i="6"/>
  <c r="U139" i="6" s="1"/>
  <c r="T205" i="6"/>
  <c r="U205" i="6" s="1"/>
  <c r="T61" i="6"/>
  <c r="U61" i="6" s="1"/>
  <c r="T76" i="6"/>
  <c r="U76" i="6" s="1"/>
  <c r="T120" i="6"/>
  <c r="U120" i="6" s="1"/>
  <c r="T185" i="6"/>
  <c r="U185" i="6" s="1"/>
  <c r="T238" i="6"/>
  <c r="U238" i="6" s="1"/>
  <c r="T62" i="6"/>
  <c r="U62" i="6" s="1"/>
  <c r="T128" i="6"/>
  <c r="U128" i="6" s="1"/>
  <c r="T168" i="6"/>
  <c r="U168" i="6" s="1"/>
  <c r="T186" i="6"/>
  <c r="U186" i="6" s="1"/>
  <c r="T221" i="6"/>
  <c r="U221" i="6" s="1"/>
  <c r="T114" i="6"/>
  <c r="U114" i="6" s="1"/>
  <c r="T192" i="6"/>
  <c r="U192" i="6" s="1"/>
  <c r="T363" i="6"/>
  <c r="U363" i="6" s="1"/>
  <c r="T51" i="6"/>
  <c r="U51" i="6" s="1"/>
  <c r="T110" i="6"/>
  <c r="U110" i="6" s="1"/>
  <c r="T164" i="6"/>
  <c r="U164" i="6" s="1"/>
  <c r="T216" i="6"/>
  <c r="U216" i="6" s="1"/>
  <c r="T356" i="6"/>
  <c r="U356" i="6" s="1"/>
  <c r="T385" i="6"/>
  <c r="U385" i="6" s="1"/>
  <c r="T203" i="6"/>
  <c r="U203" i="6" s="1"/>
  <c r="T57" i="6"/>
  <c r="U57" i="6" s="1"/>
  <c r="T119" i="6"/>
  <c r="U119" i="6" s="1"/>
  <c r="T46" i="6"/>
  <c r="T334" i="6"/>
  <c r="U334" i="6" s="1"/>
  <c r="T228" i="6"/>
  <c r="U228" i="6" s="1"/>
  <c r="T372" i="6"/>
  <c r="U372" i="6" s="1"/>
  <c r="T148" i="6"/>
  <c r="U148" i="6" s="1"/>
  <c r="T227" i="6"/>
  <c r="U227" i="6" s="1"/>
  <c r="T358" i="6"/>
  <c r="U358" i="6" s="1"/>
  <c r="T204" i="6"/>
  <c r="U204" i="6" s="1"/>
  <c r="T67" i="6"/>
  <c r="U67" i="6" s="1"/>
  <c r="AG2" i="4"/>
  <c r="T39" i="6"/>
  <c r="T35" i="6"/>
  <c r="T38" i="6"/>
  <c r="U38" i="6" s="1"/>
  <c r="T19" i="6"/>
  <c r="T31" i="6"/>
  <c r="U31" i="6" s="1"/>
  <c r="T25" i="6"/>
  <c r="T17" i="6"/>
  <c r="N205" i="1" s="1" a="1"/>
  <c r="Q205" i="1" s="1"/>
  <c r="T23" i="6"/>
  <c r="N211" i="1" s="1" a="1"/>
  <c r="Q211" i="1" s="1"/>
  <c r="T28" i="6"/>
  <c r="T45" i="6"/>
  <c r="U45" i="6" s="1"/>
  <c r="T138" i="6"/>
  <c r="U138" i="6" s="1"/>
  <c r="T108" i="6"/>
  <c r="U108" i="6" s="1"/>
  <c r="T382" i="6"/>
  <c r="U382" i="6" s="1"/>
  <c r="T152" i="6"/>
  <c r="U152" i="6" s="1"/>
  <c r="T375" i="6"/>
  <c r="U375" i="6" s="1"/>
  <c r="T232" i="6"/>
  <c r="U232" i="6" s="1"/>
  <c r="T131" i="6"/>
  <c r="U131" i="6" s="1"/>
  <c r="T50" i="6"/>
  <c r="U50" i="6" s="1"/>
  <c r="T137" i="6"/>
  <c r="U137" i="6" s="1"/>
  <c r="T55" i="6"/>
  <c r="U55" i="6" s="1"/>
  <c r="T366" i="6"/>
  <c r="U366" i="6" s="1"/>
  <c r="T146" i="6"/>
  <c r="U146" i="6" s="1"/>
  <c r="T364" i="6"/>
  <c r="U364" i="6" s="1"/>
  <c r="T219" i="6"/>
  <c r="U219" i="6" s="1"/>
  <c r="T287" i="6"/>
  <c r="U287" i="6" s="1"/>
  <c r="T153" i="6"/>
  <c r="U153" i="6" s="1"/>
  <c r="T250" i="6"/>
  <c r="U250" i="6" s="1"/>
  <c r="T345" i="6"/>
  <c r="U345" i="6" s="1"/>
  <c r="T297" i="6"/>
  <c r="U297" i="6" s="1"/>
  <c r="T154" i="6"/>
  <c r="U154" i="6" s="1"/>
  <c r="T84" i="6"/>
  <c r="U84" i="6" s="1"/>
  <c r="T301" i="6"/>
  <c r="U301" i="6" s="1"/>
  <c r="T275" i="6"/>
  <c r="U275" i="6" s="1"/>
  <c r="T300" i="6"/>
  <c r="U300" i="6" s="1"/>
  <c r="T291" i="6"/>
  <c r="U291" i="6" s="1"/>
  <c r="T350" i="6"/>
  <c r="U350" i="6" s="1"/>
  <c r="T335" i="6"/>
  <c r="U335" i="6" s="1"/>
  <c r="T360" i="6"/>
  <c r="U360" i="6" s="1"/>
  <c r="T279" i="6"/>
  <c r="U279" i="6" s="1"/>
  <c r="T245" i="6"/>
  <c r="U245" i="6" s="1"/>
  <c r="T305" i="6"/>
  <c r="U305" i="6" s="1"/>
  <c r="T269" i="6"/>
  <c r="U269" i="6" s="1"/>
  <c r="T371" i="6"/>
  <c r="U371" i="6" s="1"/>
  <c r="T254" i="6"/>
  <c r="U254" i="6" s="1"/>
  <c r="T274" i="6"/>
  <c r="U274" i="6" s="1"/>
  <c r="T295" i="6"/>
  <c r="U295" i="6" s="1"/>
  <c r="T261" i="6"/>
  <c r="U261" i="6" s="1"/>
  <c r="T94" i="6"/>
  <c r="U94" i="6" s="1"/>
  <c r="T87" i="6"/>
  <c r="U87" i="6" s="1"/>
  <c r="T195" i="6"/>
  <c r="U195" i="6" s="1"/>
  <c r="T317" i="6"/>
  <c r="U317" i="6" s="1"/>
  <c r="T386" i="6"/>
  <c r="U386" i="6" s="1"/>
  <c r="T351" i="6"/>
  <c r="U351" i="6" s="1"/>
  <c r="T315" i="6"/>
  <c r="U315" i="6" s="1"/>
  <c r="T201" i="6"/>
  <c r="U201" i="6" s="1"/>
  <c r="T329" i="6"/>
  <c r="U329" i="6" s="1"/>
  <c r="T96" i="6"/>
  <c r="U96" i="6" s="1"/>
  <c r="T182" i="6"/>
  <c r="U182" i="6" s="1"/>
  <c r="T129" i="6"/>
  <c r="U129" i="6" s="1"/>
  <c r="T341" i="6"/>
  <c r="U341" i="6" s="1"/>
  <c r="T217" i="6"/>
  <c r="U217" i="6" s="1"/>
  <c r="T268" i="6"/>
  <c r="U268" i="6" s="1"/>
  <c r="T265" i="6"/>
  <c r="U265" i="6" s="1"/>
  <c r="T311" i="6"/>
  <c r="U311" i="6" s="1"/>
  <c r="T288" i="6"/>
  <c r="U288" i="6" s="1"/>
  <c r="T212" i="6"/>
  <c r="U212" i="6" s="1"/>
  <c r="T357" i="6"/>
  <c r="U357" i="6" s="1"/>
  <c r="T105" i="6"/>
  <c r="U105" i="6" s="1"/>
  <c r="T71" i="6"/>
  <c r="U71" i="6" s="1"/>
  <c r="T348" i="6"/>
  <c r="U348" i="6" s="1"/>
  <c r="T253" i="6"/>
  <c r="U253" i="6" s="1"/>
  <c r="T106" i="6"/>
  <c r="U106" i="6" s="1"/>
  <c r="T199" i="6"/>
  <c r="U199" i="6" s="1"/>
  <c r="T69" i="6"/>
  <c r="U69" i="6" s="1"/>
  <c r="T79" i="6"/>
  <c r="U79" i="6" s="1"/>
  <c r="T136" i="6"/>
  <c r="U136" i="6" s="1"/>
  <c r="T214" i="6"/>
  <c r="U214" i="6" s="1"/>
  <c r="T101" i="6"/>
  <c r="U101" i="6" s="1"/>
  <c r="T144" i="6"/>
  <c r="U144" i="6" s="1"/>
  <c r="T173" i="6"/>
  <c r="U173" i="6" s="1"/>
  <c r="T197" i="6"/>
  <c r="U197" i="6" s="1"/>
  <c r="T126" i="6"/>
  <c r="U126" i="6" s="1"/>
  <c r="T59" i="6"/>
  <c r="U59" i="6" s="1"/>
  <c r="T184" i="6"/>
  <c r="U184" i="6" s="1"/>
  <c r="T156" i="6"/>
  <c r="U156" i="6" s="1"/>
  <c r="T125" i="6"/>
  <c r="U125" i="6" s="1"/>
  <c r="T42" i="6"/>
  <c r="U42" i="6" s="1"/>
  <c r="T41" i="6"/>
  <c r="T24" i="6"/>
  <c r="N212" i="1" s="1" a="1"/>
  <c r="Q212" i="1" s="1"/>
  <c r="T4" i="6"/>
  <c r="T20" i="6"/>
  <c r="N100" i="1" s="1" a="1"/>
  <c r="Q100" i="1" s="1"/>
  <c r="T27" i="6"/>
  <c r="T7" i="6"/>
  <c r="T9" i="6"/>
  <c r="T21" i="6"/>
  <c r="T58" i="6"/>
  <c r="U58" i="6" s="1"/>
  <c r="T170" i="6"/>
  <c r="U170" i="6" s="1"/>
  <c r="T155" i="6"/>
  <c r="U155" i="6" s="1"/>
  <c r="T47" i="6"/>
  <c r="U47" i="6" s="1"/>
  <c r="T176" i="6"/>
  <c r="U176" i="6" s="1"/>
  <c r="T95" i="6"/>
  <c r="U95" i="6" s="1"/>
  <c r="T370" i="6"/>
  <c r="U370" i="6" s="1"/>
  <c r="T132" i="6"/>
  <c r="U132" i="6" s="1"/>
  <c r="T54" i="6"/>
  <c r="U54" i="6" s="1"/>
  <c r="T202" i="6"/>
  <c r="U202" i="6" s="1"/>
  <c r="T166" i="6"/>
  <c r="U166" i="6" s="1"/>
  <c r="T48" i="6"/>
  <c r="U48" i="6" s="1"/>
  <c r="T215" i="6"/>
  <c r="U215" i="6" s="1"/>
  <c r="T384" i="6"/>
  <c r="U384" i="6" s="1"/>
  <c r="T330" i="6"/>
  <c r="U330" i="6" s="1"/>
  <c r="T111" i="6"/>
  <c r="U111" i="6" s="1"/>
  <c r="T255" i="6"/>
  <c r="U255" i="6" s="1"/>
  <c r="T171" i="6"/>
  <c r="U171" i="6" s="1"/>
  <c r="T278" i="6"/>
  <c r="U278" i="6" s="1"/>
  <c r="T235" i="6"/>
  <c r="U235" i="6" s="1"/>
  <c r="T181" i="6"/>
  <c r="U181" i="6" s="1"/>
  <c r="T93" i="6"/>
  <c r="U93" i="6" s="1"/>
  <c r="T118" i="6"/>
  <c r="U118" i="6" s="1"/>
  <c r="T280" i="6"/>
  <c r="U280" i="6" s="1"/>
  <c r="T319" i="6"/>
  <c r="U319" i="6" s="1"/>
  <c r="T355" i="6"/>
  <c r="U355" i="6" s="1"/>
  <c r="T361" i="6"/>
  <c r="U361" i="6" s="1"/>
  <c r="T267" i="6"/>
  <c r="U267" i="6" s="1"/>
  <c r="T342" i="6"/>
  <c r="U342" i="6" s="1"/>
  <c r="T177" i="6"/>
  <c r="U177" i="6" s="1"/>
  <c r="T318" i="6"/>
  <c r="U318" i="6" s="1"/>
  <c r="T306" i="6"/>
  <c r="U306" i="6" s="1"/>
  <c r="T303" i="6"/>
  <c r="U303" i="6" s="1"/>
  <c r="T344" i="6"/>
  <c r="U344" i="6" s="1"/>
  <c r="T354" i="6"/>
  <c r="U354" i="6" s="1"/>
  <c r="T242" i="6"/>
  <c r="U242" i="6" s="1"/>
  <c r="T243" i="6"/>
  <c r="U243" i="6" s="1"/>
  <c r="T169" i="6"/>
  <c r="U169" i="6" s="1"/>
  <c r="T151" i="6"/>
  <c r="U151" i="6" s="1"/>
  <c r="T159" i="6"/>
  <c r="U159" i="6" s="1"/>
  <c r="T258" i="6"/>
  <c r="U258" i="6" s="1"/>
  <c r="T257" i="6"/>
  <c r="U257" i="6" s="1"/>
  <c r="T368" i="6"/>
  <c r="U368" i="6" s="1"/>
  <c r="T263" i="6"/>
  <c r="U263" i="6" s="1"/>
  <c r="T276" i="6"/>
  <c r="U276" i="6" s="1"/>
  <c r="T272" i="6"/>
  <c r="U272" i="6" s="1"/>
  <c r="T383" i="6"/>
  <c r="U383" i="6" s="1"/>
  <c r="T309" i="6"/>
  <c r="U309" i="6" s="1"/>
  <c r="T165" i="6"/>
  <c r="U165" i="6" s="1"/>
  <c r="T312" i="6"/>
  <c r="U312" i="6" s="1"/>
  <c r="T332" i="6"/>
  <c r="U332" i="6" s="1"/>
  <c r="T157" i="6"/>
  <c r="U157" i="6" s="1"/>
  <c r="T286" i="6"/>
  <c r="U286" i="6" s="1"/>
  <c r="T226" i="6"/>
  <c r="U226" i="6" s="1"/>
  <c r="T307" i="6"/>
  <c r="U307" i="6" s="1"/>
  <c r="T252" i="6"/>
  <c r="U252" i="6" s="1"/>
  <c r="T374" i="6"/>
  <c r="U374" i="6" s="1"/>
  <c r="T241" i="6"/>
  <c r="U241" i="6" s="1"/>
  <c r="T160" i="6"/>
  <c r="U160" i="6" s="1"/>
  <c r="T325" i="6"/>
  <c r="U325" i="6" s="1"/>
  <c r="T259" i="6"/>
  <c r="U259" i="6" s="1"/>
  <c r="T308" i="6"/>
  <c r="U308" i="6" s="1"/>
  <c r="T86" i="6"/>
  <c r="U86" i="6" s="1"/>
  <c r="T127" i="6"/>
  <c r="U127" i="6" s="1"/>
  <c r="T73" i="6"/>
  <c r="U73" i="6" s="1"/>
  <c r="T91" i="6"/>
  <c r="U91" i="6" s="1"/>
  <c r="T143" i="6"/>
  <c r="U143" i="6" s="1"/>
  <c r="T233" i="6"/>
  <c r="U233" i="6" s="1"/>
  <c r="T53" i="6"/>
  <c r="U53" i="6" s="1"/>
  <c r="T102" i="6"/>
  <c r="U102" i="6" s="1"/>
  <c r="T158" i="6"/>
  <c r="U158" i="6" s="1"/>
  <c r="T174" i="6"/>
  <c r="U174" i="6" s="1"/>
  <c r="T206" i="6"/>
  <c r="U206" i="6" s="1"/>
  <c r="T70" i="6"/>
  <c r="U70" i="6" s="1"/>
  <c r="T130" i="6"/>
  <c r="U130" i="6" s="1"/>
  <c r="T338" i="6"/>
  <c r="U338" i="6" s="1"/>
  <c r="T381" i="6"/>
  <c r="U381" i="6" s="1"/>
  <c r="T82" i="6"/>
  <c r="U82" i="6" s="1"/>
  <c r="T161" i="6"/>
  <c r="U161" i="6" s="1"/>
  <c r="T196" i="6"/>
  <c r="U196" i="6" s="1"/>
  <c r="T239" i="6"/>
  <c r="U239" i="6" s="1"/>
  <c r="T369" i="6"/>
  <c r="U369" i="6" s="1"/>
  <c r="T191" i="6"/>
  <c r="U191" i="6" s="1"/>
  <c r="T222" i="6"/>
  <c r="U222" i="6" s="1"/>
  <c r="T104" i="6"/>
  <c r="U104" i="6" s="1"/>
  <c r="T134" i="6"/>
  <c r="U134" i="6" s="1"/>
  <c r="T34" i="6"/>
  <c r="U34" i="6" s="1"/>
  <c r="N5" i="1" l="1" a="1"/>
  <c r="N13" i="1" a="1"/>
  <c r="N73" i="1" a="1"/>
  <c r="Q73" i="1" s="1"/>
  <c r="N15" i="1" a="1"/>
  <c r="N113" i="1" a="1"/>
  <c r="Q113" i="1" s="1"/>
  <c r="N127" i="1" a="1"/>
  <c r="Q127" i="1" s="1"/>
  <c r="N132" i="1" a="1"/>
  <c r="Q132" i="1" s="1"/>
  <c r="N32" i="1" a="1"/>
  <c r="Q32" i="1" s="1"/>
  <c r="N170" i="1" a="1"/>
  <c r="Q170" i="1" s="1"/>
  <c r="N29" i="1" a="1"/>
  <c r="N144" i="1" a="1"/>
  <c r="Q144" i="1" s="1"/>
  <c r="N37" i="1" a="1"/>
  <c r="Q37" i="1" s="1"/>
  <c r="N91" i="1" a="1"/>
  <c r="Q91" i="1" s="1"/>
  <c r="N24" i="1" a="1"/>
  <c r="Q24" i="1" s="1"/>
  <c r="N112" i="1" a="1"/>
  <c r="Q112" i="1" s="1"/>
  <c r="N28" i="1" a="1"/>
  <c r="Q28" i="1" s="1"/>
  <c r="N85" i="1" a="1"/>
  <c r="Q85" i="1" s="1"/>
  <c r="N57" i="1" a="1"/>
  <c r="Q57" i="1" s="1"/>
  <c r="N8" i="1" a="1"/>
  <c r="N4" i="1" a="1"/>
  <c r="Q4" i="1" s="1"/>
  <c r="N120" i="1" a="1"/>
  <c r="Q120" i="1" s="1"/>
  <c r="N119" i="1" a="1"/>
  <c r="Q119" i="1" s="1"/>
  <c r="N162" i="1" a="1"/>
  <c r="Q162" i="1" s="1"/>
  <c r="N75" i="1" a="1"/>
  <c r="Q75" i="1" s="1"/>
  <c r="N171" i="1" a="1"/>
  <c r="Q171" i="1" s="1"/>
  <c r="N79" i="1" a="1"/>
  <c r="Q79" i="1" s="1"/>
  <c r="N198" i="1" a="1"/>
  <c r="Q198" i="1" s="1"/>
  <c r="N76" i="1" a="1"/>
  <c r="Q76" i="1" s="1"/>
  <c r="N69" i="1" a="1"/>
  <c r="N108" i="1" a="1"/>
  <c r="Q108" i="1" s="1"/>
  <c r="N106" i="1" a="1"/>
  <c r="Q106" i="1" s="1"/>
  <c r="N133" i="1" a="1"/>
  <c r="Q133" i="1" s="1"/>
  <c r="N109" i="1" a="1"/>
  <c r="Q109" i="1"/>
  <c r="F10" i="13"/>
  <c r="N54" i="1" a="1"/>
  <c r="Q54" i="1" s="1"/>
  <c r="N59" i="1" a="1"/>
  <c r="Q59" i="1" s="1"/>
  <c r="N61" i="1" a="1"/>
  <c r="Q61" i="1" s="1"/>
  <c r="N70" i="1" a="1"/>
  <c r="Q70" i="1" s="1"/>
  <c r="N102" i="1" a="1"/>
  <c r="Q102" i="1" s="1"/>
  <c r="N60" i="1" a="1"/>
  <c r="Q60" i="1" s="1"/>
  <c r="N62" i="1" a="1"/>
  <c r="Q62" i="1" s="1"/>
  <c r="N191" i="1" a="1"/>
  <c r="Q191" i="1" s="1"/>
  <c r="N65" i="1" a="1"/>
  <c r="N192" i="1" a="1"/>
  <c r="Q192" i="1" s="1"/>
  <c r="N67" i="1" a="1"/>
  <c r="Q67" i="1" s="1"/>
  <c r="N203" i="1" a="1"/>
  <c r="Q203" i="1" s="1"/>
  <c r="N68" i="1" a="1"/>
  <c r="Q68" i="1" s="1"/>
  <c r="N190" i="1" a="1"/>
  <c r="Q190" i="1" s="1"/>
  <c r="N66" i="1" a="1"/>
  <c r="Q66" i="1" s="1"/>
  <c r="Q69" i="1"/>
  <c r="F7" i="13"/>
  <c r="N206" i="1" a="1"/>
  <c r="Q206" i="1" s="1"/>
  <c r="N71" i="1" a="1"/>
  <c r="Q71" i="1" s="1"/>
  <c r="N3" i="1" a="1"/>
  <c r="Q3" i="1" s="1"/>
  <c r="N58" i="1" a="1"/>
  <c r="Q58" i="1" s="1"/>
  <c r="F8" i="13"/>
  <c r="N99" i="1" a="1"/>
  <c r="Q99" i="1" s="1"/>
  <c r="Q56" i="1"/>
  <c r="N214" i="1" a="1"/>
  <c r="Q214" i="1" s="1"/>
  <c r="N197" i="1" a="1"/>
  <c r="Q197" i="1" s="1"/>
  <c r="N194" i="1" a="1"/>
  <c r="Q194" i="1" s="1"/>
  <c r="U27" i="6"/>
  <c r="N215" i="1" a="1"/>
  <c r="Q215" i="1" s="1"/>
  <c r="N16" i="1" a="1"/>
  <c r="Q16" i="1" s="1"/>
  <c r="N196" i="1" a="1"/>
  <c r="Q196" i="1" s="1"/>
  <c r="N18" i="1" a="1"/>
  <c r="Q18" i="1" s="1"/>
  <c r="N213" i="1" a="1"/>
  <c r="Q213" i="1" s="1"/>
  <c r="N17" i="1" a="1"/>
  <c r="Q17" i="1" s="1"/>
  <c r="N199" i="1" a="1"/>
  <c r="Q199" i="1" s="1"/>
  <c r="N21" i="1" a="1"/>
  <c r="Q21" i="1" s="1"/>
  <c r="N202" i="1" a="1"/>
  <c r="Q202" i="1" s="1"/>
  <c r="U21" i="6"/>
  <c r="N209" i="1" a="1"/>
  <c r="Q209" i="1" s="1"/>
  <c r="U25" i="6"/>
  <c r="N218" i="1" a="1"/>
  <c r="Q218" i="1" s="1"/>
  <c r="U22" i="6"/>
  <c r="N210" i="1" a="1"/>
  <c r="Q210" i="1" s="1"/>
  <c r="U26" i="6"/>
  <c r="N219" i="1" a="1"/>
  <c r="Q219" i="1" s="1"/>
  <c r="U19" i="6"/>
  <c r="N207" i="1" a="1"/>
  <c r="Q207" i="1" s="1"/>
  <c r="U20" i="6"/>
  <c r="N208" i="1" a="1"/>
  <c r="Q208" i="1" s="1"/>
  <c r="N10" i="1" a="1"/>
  <c r="Q10" i="1" s="1"/>
  <c r="N188" i="1" a="1"/>
  <c r="Q188" i="1" s="1"/>
  <c r="N11" i="1" a="1"/>
  <c r="N189" i="1" a="1"/>
  <c r="Q189" i="1" s="1"/>
  <c r="N9" i="1" a="1"/>
  <c r="Q9" i="1" s="1"/>
  <c r="N187" i="1" a="1"/>
  <c r="Q187" i="1" s="1"/>
  <c r="N7" i="1" a="1"/>
  <c r="Q7" i="1" s="1"/>
  <c r="N185" i="1" a="1"/>
  <c r="Q185" i="1" s="1"/>
  <c r="N23" i="1" a="1"/>
  <c r="Q23" i="1" s="1"/>
  <c r="N12" i="1" a="1"/>
  <c r="N19" i="1" a="1"/>
  <c r="Q19" i="1" s="1"/>
  <c r="N14" i="1" a="1"/>
  <c r="N22" i="1" a="1"/>
  <c r="Q22" i="1" s="1"/>
  <c r="N20" i="1" a="1"/>
  <c r="Q20" i="1" s="1"/>
  <c r="U14" i="6"/>
  <c r="U11" i="6"/>
  <c r="N74" i="1" a="1"/>
  <c r="Q74" i="1" s="1"/>
  <c r="U15" i="6"/>
  <c r="Q15" i="1"/>
  <c r="Q5" i="1"/>
  <c r="N43" i="1" a="1"/>
  <c r="Q43" i="1" s="1"/>
  <c r="U41" i="6"/>
  <c r="N48" i="1" a="1"/>
  <c r="Q48" i="1" s="1"/>
  <c r="U37" i="6"/>
  <c r="N45" i="1" a="1"/>
  <c r="Q45" i="1" s="1"/>
  <c r="U33" i="6"/>
  <c r="N40" i="1" a="1"/>
  <c r="Q40" i="1" s="1"/>
  <c r="N38" i="1" a="1"/>
  <c r="Q38" i="1" s="1"/>
  <c r="Q36" i="1"/>
  <c r="U28" i="6"/>
  <c r="Q35" i="1"/>
  <c r="U46" i="6"/>
  <c r="N53" i="1" a="1"/>
  <c r="U32" i="6"/>
  <c r="N39" i="1" a="1"/>
  <c r="Q39" i="1" s="1"/>
  <c r="N2" i="1" a="1"/>
  <c r="Q2" i="1" s="1"/>
  <c r="Q33" i="1"/>
  <c r="U23" i="6"/>
  <c r="Q30" i="1"/>
  <c r="U35" i="6"/>
  <c r="N42" i="1" a="1"/>
  <c r="Q42" i="1" s="1"/>
  <c r="U24" i="6"/>
  <c r="Q31" i="1"/>
  <c r="U39" i="6"/>
  <c r="N44" i="1" a="1"/>
  <c r="Q44" i="1" s="1"/>
  <c r="N51" i="1" a="1"/>
  <c r="Q51" i="1" s="1"/>
  <c r="Q34" i="1"/>
  <c r="N49" i="1" a="1"/>
  <c r="Q49" i="1" s="1"/>
  <c r="N46" i="1" a="1"/>
  <c r="Q46" i="1" s="1"/>
  <c r="N52" i="1" a="1"/>
  <c r="Q52" i="1" s="1"/>
  <c r="U16" i="6"/>
  <c r="Q26" i="1"/>
  <c r="U18" i="6"/>
  <c r="Q6" i="1"/>
  <c r="Q25" i="1"/>
  <c r="U17" i="6"/>
  <c r="Q27" i="1"/>
  <c r="Q29" i="1"/>
  <c r="N121" i="1" a="1"/>
  <c r="Q121" i="1" s="1"/>
  <c r="N141" i="1" a="1"/>
  <c r="Q141" i="1" s="1"/>
  <c r="N142" i="1" a="1"/>
  <c r="Q142" i="1" s="1"/>
  <c r="N93" i="1" a="1"/>
  <c r="Q93" i="1" s="1"/>
  <c r="N94" i="1" a="1"/>
  <c r="Q94" i="1" s="1"/>
  <c r="N129" i="1" a="1"/>
  <c r="Q129" i="1" s="1"/>
  <c r="N105" i="1" a="1"/>
  <c r="N169" i="1" a="1"/>
  <c r="Q169" i="1" s="1"/>
  <c r="N161" i="1" a="1"/>
  <c r="Q161" i="1" s="1"/>
  <c r="N88" i="1" a="1"/>
  <c r="Q88" i="1" s="1"/>
  <c r="N147" i="1" a="1"/>
  <c r="Q147" i="1" s="1"/>
  <c r="N150" i="1" a="1"/>
  <c r="Q150" i="1" s="1"/>
  <c r="N156" i="1" a="1"/>
  <c r="Q156" i="1" s="1"/>
  <c r="N87" i="1" a="1"/>
  <c r="Q87" i="1" s="1"/>
  <c r="N172" i="1" a="1"/>
  <c r="Q172" i="1" s="1"/>
  <c r="N159" i="1" a="1"/>
  <c r="Q159" i="1" s="1"/>
  <c r="N92" i="1" a="1"/>
  <c r="Q92" i="1" s="1"/>
  <c r="N148" i="1" a="1"/>
  <c r="Q148" i="1" s="1"/>
  <c r="N173" i="1" a="1"/>
  <c r="Q173" i="1" s="1"/>
  <c r="N116" i="1" a="1"/>
  <c r="Q116" i="1" s="1"/>
  <c r="N140" i="1" a="1"/>
  <c r="Q140" i="1" s="1"/>
  <c r="Q13" i="1"/>
  <c r="N111" i="1" a="1"/>
  <c r="Q111" i="1" s="1"/>
  <c r="N138" i="1" a="1"/>
  <c r="Q138" i="1" s="1"/>
  <c r="N84" i="1" a="1"/>
  <c r="Q84" i="1" s="1"/>
  <c r="N103" i="1" a="1"/>
  <c r="Q103" i="1" s="1"/>
  <c r="N89" i="1" a="1"/>
  <c r="Q89" i="1" s="1"/>
  <c r="N166" i="1" a="1"/>
  <c r="Q166" i="1" s="1"/>
  <c r="N90" i="1" a="1"/>
  <c r="Q90" i="1" s="1"/>
  <c r="N41" i="1" a="1"/>
  <c r="Q41" i="1" s="1"/>
  <c r="N118" i="1" a="1"/>
  <c r="Q118" i="1" s="1"/>
  <c r="N117" i="1" a="1"/>
  <c r="Q117" i="1" s="1"/>
  <c r="N110" i="1" a="1"/>
  <c r="Q110" i="1" s="1"/>
  <c r="N134" i="1" a="1"/>
  <c r="Q134" i="1" s="1"/>
  <c r="N128" i="1" a="1"/>
  <c r="Q128" i="1" s="1"/>
  <c r="N82" i="1" a="1"/>
  <c r="Q82" i="1" s="1"/>
  <c r="N86" i="1" a="1"/>
  <c r="Q86" i="1" s="1"/>
  <c r="N151" i="1" a="1"/>
  <c r="Q151" i="1" s="1"/>
  <c r="N47" i="1" a="1"/>
  <c r="Q47" i="1" s="1"/>
  <c r="N168" i="1" a="1"/>
  <c r="Q168" i="1" s="1"/>
  <c r="N125" i="1" a="1"/>
  <c r="Q125" i="1" s="1"/>
  <c r="N158" i="1" a="1"/>
  <c r="Q158" i="1" s="1"/>
  <c r="N154" i="1" a="1"/>
  <c r="Q154" i="1" s="1"/>
  <c r="N96" i="1" a="1"/>
  <c r="Q96" i="1" s="1"/>
  <c r="N136" i="1" a="1"/>
  <c r="Q136" i="1" s="1"/>
  <c r="N124" i="1" a="1"/>
  <c r="Q124" i="1" s="1"/>
  <c r="N179" i="1" a="1"/>
  <c r="Q179" i="1" s="1"/>
  <c r="N145" i="1" a="1"/>
  <c r="Q145" i="1" s="1"/>
  <c r="N107" i="1" a="1"/>
  <c r="Q107" i="1" s="1"/>
  <c r="N131" i="1" a="1"/>
  <c r="Q131" i="1" s="1"/>
  <c r="N130" i="1" a="1"/>
  <c r="Q130" i="1" s="1"/>
  <c r="N98" i="1" a="1"/>
  <c r="Q98" i="1" s="1"/>
  <c r="N122" i="1" a="1"/>
  <c r="Q122" i="1" s="1"/>
  <c r="N115" i="1" a="1"/>
  <c r="Q115" i="1" s="1"/>
  <c r="N83" i="1" a="1"/>
  <c r="Q83" i="1" s="1"/>
  <c r="N50" i="1" a="1"/>
  <c r="Q50" i="1" s="1"/>
  <c r="N104" i="1" a="1"/>
  <c r="Q104" i="1" s="1"/>
  <c r="N155" i="1" a="1"/>
  <c r="Q155" i="1" s="1"/>
  <c r="N101" i="1" a="1"/>
  <c r="Q101" i="1" s="1"/>
  <c r="N123" i="1" a="1"/>
  <c r="Q123" i="1" s="1"/>
  <c r="Q8" i="1"/>
  <c r="U2" i="6"/>
  <c r="N174" i="1" a="1"/>
  <c r="Q174" i="1" s="1"/>
  <c r="U3" i="6"/>
  <c r="N175" i="1" a="1"/>
  <c r="Q175" i="1" s="1"/>
  <c r="U10" i="6"/>
  <c r="N184" i="1" a="1"/>
  <c r="Q184" i="1" s="1"/>
  <c r="U9" i="6"/>
  <c r="N186" i="1" a="1"/>
  <c r="Q186" i="1" s="1"/>
  <c r="U13" i="6"/>
  <c r="N183" i="1" a="1"/>
  <c r="Q183" i="1" s="1"/>
  <c r="U6" i="6"/>
  <c r="N178" i="1" a="1"/>
  <c r="Q178" i="1" s="1"/>
  <c r="U5" i="6"/>
  <c r="N177" i="1" a="1"/>
  <c r="Q177" i="1" s="1"/>
  <c r="U7" i="6"/>
  <c r="N180" i="1" a="1"/>
  <c r="Q180" i="1" s="1"/>
  <c r="U4" i="6"/>
  <c r="N176" i="1" a="1"/>
  <c r="Q176" i="1" s="1"/>
  <c r="U12" i="6"/>
  <c r="N181" i="1" a="1"/>
  <c r="Q181" i="1" s="1"/>
  <c r="U8" i="6"/>
  <c r="N182" i="1" a="1"/>
  <c r="Q182" i="1" s="1"/>
  <c r="F2" i="13" l="1"/>
  <c r="Q11" i="1"/>
  <c r="F3" i="13"/>
  <c r="Q12" i="1"/>
  <c r="F4" i="13"/>
  <c r="Q14" i="1"/>
  <c r="F5" i="13"/>
  <c r="F6" i="13"/>
  <c r="Q65" i="1"/>
  <c r="Q105" i="1"/>
  <c r="F9" i="13"/>
  <c r="Q5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<sst xmlns="http://schemas.openxmlformats.org/spreadsheetml/2006/main" count="1005" uniqueCount="587">
  <si>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</si>
  <si>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</si>
  <si>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</si>
  <si>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</si>
  <si>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</si>
  <si>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</si>
  <si>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</si>
  <si>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</si>
  <si>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</si>
  <si>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</si>
  <si>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</si>
  <si>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</si>
  <si>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</si>
  <si>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</si>
  <si>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</si>
  <si>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</si>
  <si>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</si>
  <si>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</si>
  <si>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</si>
  <si>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</si>
  <si>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</si>
  <si>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</si>
  <si>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</si>
  <si>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</si>
  <si>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</si>
  <si>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</si>
  <si>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</si>
  <si>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</si>
  <si>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</si>
  <si>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</si>
  <si>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</si>
  <si>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</si>
  <si>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</si>
  <si>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</si>
  <si>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</si>
  <si>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</si>
  <si>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</si>
  <si>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</si>
  <si>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</si>
  <si>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</si>
  <si>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</si>
  <si>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</si>
  <si>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</si>
  <si>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</si>
  <si>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</si>
  <si>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</si>
  <si>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</si>
  <si>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</si>
  <si>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</si>
  <si>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</si>
  <si>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</si>
  <si>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</si>
  <si>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</si>
  <si>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</si>
  <si>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</si>
  <si>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</si>
  <si>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</si>
  <si>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</si>
  <si>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</si>
  <si>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</si>
  <si>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</si>
  <si>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</si>
  <si>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</si>
  <si>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</si>
  <si>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</si>
  <si>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</si>
  <si>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</si>
  <si>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</si>
  <si>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</si>
  <si>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</si>
  <si>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</si>
  <si>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</si>
  <si>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</si>
  <si>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</si>
  <si>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</si>
  <si>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</si>
  <si>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</si>
  <si>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</si>
  <si>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</si>
  <si>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</si>
  <si>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</si>
  <si>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</si>
  <si>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</si>
  <si>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</si>
  <si>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</si>
  <si>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</si>
  <si>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</si>
  <si>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</si>
  <si>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</si>
  <si>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</si>
  <si>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</si>
  <si>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</si>
  <si>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</si>
  <si>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</si>
  <si>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</si>
  <si>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</si>
  <si>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</si>
  <si>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</si>
  <si>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</si>
  <si>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</si>
  <si>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</si>
  <si>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</si>
  <si>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</si>
  <si>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</si>
  <si>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</si>
  <si>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</si>
  <si>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</si>
  <si>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</si>
  <si>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</si>
  <si>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</si>
  <si>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</si>
  <si>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</si>
  <si>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</si>
  <si>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</si>
  <si>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</si>
  <si>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</si>
  <si>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</si>
  <si>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</si>
  <si>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</si>
  <si>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</si>
  <si>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</si>
  <si>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</si>
  <si>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</si>
  <si>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</si>
  <si>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</si>
  <si>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</si>
  <si>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</si>
  <si>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</si>
  <si>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</si>
  <si>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</si>
  <si>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</si>
  <si>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</si>
  <si>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</si>
  <si>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</si>
  <si>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</si>
  <si>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</si>
  <si>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</si>
  <si>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</si>
  <si>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</si>
  <si>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</si>
  <si>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</si>
  <si>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</si>
  <si>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</si>
  <si>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</si>
  <si>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</si>
  <si>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</si>
  <si>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</si>
  <si>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</si>
  <si>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</si>
  <si>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</si>
  <si>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</si>
  <si>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</si>
  <si>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</si>
  <si>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</si>
  <si>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</si>
  <si>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</si>
  <si>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</si>
  <si>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</si>
  <si>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</si>
  <si>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</si>
  <si>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</si>
  <si>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</si>
  <si>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</si>
  <si>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</si>
  <si>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</si>
  <si>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</si>
  <si>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</si>
  <si>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</si>
  <si>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</si>
  <si>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</si>
  <si>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</si>
  <si>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</si>
  <si>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</si>
  <si>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</si>
  <si>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</si>
  <si>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</si>
  <si>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</si>
  <si>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</si>
  <si>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</si>
  <si>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</si>
  <si>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</si>
  <si>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</si>
  <si>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</si>
  <si>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</si>
  <si>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</si>
  <si>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</si>
  <si>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</si>
  <si>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</si>
  <si>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</si>
  <si>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</si>
  <si>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</si>
  <si>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</si>
  <si>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</si>
  <si>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</si>
  <si>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</si>
  <si>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</si>
  <si>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</si>
  <si>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</si>
  <si>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</si>
  <si>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</si>
  <si>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</si>
  <si>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</si>
  <si>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</si>
  <si>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</si>
  <si>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</si>
  <si>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</si>
  <si>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</si>
  <si>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</si>
  <si>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</si>
  <si>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</si>
  <si>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</si>
  <si>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</si>
  <si>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</si>
  <si>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</si>
  <si>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</si>
  <si>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</si>
  <si>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</si>
  <si>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</si>
  <si>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</si>
  <si>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</si>
  <si>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</si>
  <si>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</si>
  <si>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</si>
  <si>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</si>
  <si>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</si>
  <si>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</si>
  <si>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</si>
  <si>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</si>
  <si>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</si>
  <si>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</si>
  <si>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</si>
  <si>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</si>
  <si>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</si>
  <si>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</si>
  <si>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</si>
  <si>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</si>
  <si>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</si>
  <si>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</si>
  <si>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</si>
  <si>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</si>
  <si>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</si>
  <si>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</si>
  <si>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</si>
  <si>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</si>
  <si>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</si>
  <si>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</si>
  <si>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</si>
  <si>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</si>
  <si>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</si>
  <si>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</si>
  <si>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</si>
  <si>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</si>
  <si>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</si>
  <si>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</si>
  <si>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</si>
  <si>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</si>
  <si>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</si>
  <si>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</si>
  <si>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</si>
  <si>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</si>
  <si>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</si>
  <si>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</si>
  <si>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</si>
  <si>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</si>
  <si>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</si>
  <si>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</si>
  <si>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</si>
  <si>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</si>
  <si>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</si>
  <si>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</si>
  <si>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</si>
  <si>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</si>
  <si>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</si>
  <si>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</si>
  <si>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</si>
  <si>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</si>
  <si>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</si>
  <si>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</si>
  <si>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</si>
  <si>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</si>
  <si>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</si>
  <si>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</si>
  <si>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</si>
  <si>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</si>
  <si>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</si>
  <si>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</si>
  <si>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</si>
  <si>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</si>
  <si>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</si>
  <si>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</si>
  <si>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</si>
  <si>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</si>
  <si>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</si>
  <si>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</si>
  <si>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</si>
  <si>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</si>
  <si>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</si>
  <si>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</si>
  <si>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</si>
  <si>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</si>
  <si>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</si>
  <si>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</si>
  <si>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</si>
  <si>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</si>
  <si>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</si>
  <si>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</si>
  <si>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</si>
  <si>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</si>
  <si>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</si>
  <si>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</si>
  <si>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</si>
  <si>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</si>
  <si>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</si>
  <si>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</si>
  <si>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</si>
  <si>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</si>
  <si>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</si>
  <si>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</si>
  <si>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</si>
  <si>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</si>
  <si>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</si>
  <si>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</si>
  <si>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</si>
  <si>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</si>
  <si>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</si>
  <si>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</si>
  <si>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</si>
  <si>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</si>
  <si>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</si>
  <si>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</si>
  <si>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</si>
  <si>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</si>
  <si>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</si>
  <si>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</si>
  <si>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</si>
  <si>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</si>
  <si>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</si>
  <si>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</si>
  <si>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</si>
  <si>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</si>
  <si>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</si>
  <si>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</si>
  <si>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</si>
  <si>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</si>
  <si>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</si>
  <si>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</si>
  <si>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</si>
  <si>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</si>
  <si>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</si>
  <si>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</si>
  <si>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</si>
  <si>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</si>
  <si>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</si>
  <si>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</si>
  <si>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</si>
  <si>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</si>
  <si>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</si>
  <si>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</si>
  <si>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</si>
  <si>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</si>
  <si>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</si>
  <si>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</si>
  <si>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</si>
  <si>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</si>
  <si>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</si>
  <si>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</si>
  <si>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</si>
  <si>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</si>
  <si>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</si>
  <si>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</si>
  <si>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</si>
  <si>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</si>
  <si>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</si>
  <si>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</si>
  <si>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</si>
  <si>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</si>
  <si>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</si>
  <si>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</si>
  <si>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</si>
  <si>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</si>
  <si>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</si>
  <si>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</si>
  <si>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</si>
  <si>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</si>
  <si>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</si>
  <si>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</si>
  <si>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</si>
  <si>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</si>
  <si>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</si>
  <si>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</si>
  <si>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</si>
  <si>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</si>
  <si>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</si>
  <si>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</si>
  <si>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</si>
  <si>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</si>
  <si>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</si>
  <si>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</si>
  <si>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</si>
  <si>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</si>
  <si>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</si>
  <si>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</si>
  <si>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</si>
  <si>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</si>
  <si>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</si>
  <si>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</si>
  <si>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</si>
  <si>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</si>
  <si>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</si>
  <si>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</si>
  <si>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</si>
  <si>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</si>
  <si>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</si>
  <si>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</si>
  <si>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</si>
  <si>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</si>
  <si>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</si>
  <si>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</si>
  <si>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</si>
  <si>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</si>
  <si>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</si>
  <si>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</si>
  <si>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</si>
  <si>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</si>
  <si>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</si>
  <si>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</si>
  <si>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</si>
  <si>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</si>
  <si>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</si>
  <si>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</si>
  <si>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</si>
  <si>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</si>
  <si>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</si>
  <si>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</si>
  <si>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</si>
  <si>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</si>
  <si>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</si>
  <si>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</si>
  <si>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</si>
  <si>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</si>
  <si>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</si>
  <si>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</si>
  <si>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</si>
  <si>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</si>
  <si>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</si>
  <si>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</si>
  <si>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</si>
  <si>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</si>
  <si>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</si>
  <si>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</si>
  <si>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</si>
  <si>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</si>
  <si>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</si>
  <si>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</si>
  <si>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</si>
  <si>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</si>
  <si>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</si>
  <si>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</si>
  <si>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</si>
  <si>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</si>
  <si>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</si>
  <si>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</si>
  <si>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</si>
  <si>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</si>
  <si>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</si>
  <si>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</si>
  <si>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</si>
  <si>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</si>
  <si>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</si>
  <si>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</si>
  <si>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</si>
  <si>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</si>
  <si>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</si>
  <si>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</si>
  <si>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</si>
  <si>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</si>
  <si>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</si>
  <si>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</si>
  <si>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</si>
  <si>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</si>
  <si>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</si>
  <si>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</si>
  <si>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</si>
  <si>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</si>
  <si>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</si>
  <si>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</si>
  <si>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</si>
  <si>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</si>
  <si>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</si>
  <si>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</si>
  <si>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</si>
  <si>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</si>
  <si>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</si>
  <si>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</si>
  <si>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</si>
  <si>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</si>
  <si>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</si>
  <si>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</si>
  <si>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</si>
  <si>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</si>
  <si>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</si>
  <si>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</si>
  <si>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</si>
  <si>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</si>
  <si>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</si>
  <si>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</si>
  <si>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</si>
  <si>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</si>
  <si>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</si>
  <si>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</si>
  <si>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</si>
  <si>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</si>
  <si>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</si>
  <si>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</si>
  <si>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</si>
  <si>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</si>
  <si>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</si>
  <si>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</si>
  <si>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</si>
  <si>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</si>
  <si>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</si>
  <si>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</si>
  <si>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</si>
  <si>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</si>
  <si>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</si>
  <si>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</si>
  <si>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</si>
  <si>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</si>
  <si>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</si>
  <si>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</si>
  <si>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</si>
  <si>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</si>
  <si>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</si>
  <si>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</si>
  <si>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</si>
  <si>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</si>
  <si>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</si>
  <si>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</si>
  <si>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</si>
  <si>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</si>
  <si>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</si>
  <si>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</si>
  <si>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</si>
  <si>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</si>
  <si>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</si>
  <si>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</si>
  <si>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</si>
  <si>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</si>
  <si>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</si>
  <si>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</si>
  <si>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</si>
  <si>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</si>
  <si>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</si>
  <si>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</si>
  <si>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</si>
  <si>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</si>
  <si>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</si>
  <si>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</si>
  <si>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</si>
  <si>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</si>
  <si>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</si>
  <si>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</si>
  <si>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</si>
  <si>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</si>
  <si>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</si>
  <si>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</si>
  <si>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</si>
  <si>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</si>
  <si>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</si>
  <si>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</si>
  <si>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</si>
  <si>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</si>
  <si>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</si>
  <si>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</si>
  <si>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</si>
  <si>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</si>
  <si>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</si>
  <si>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</si>
  <si>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-</t>
  </si>
  <si>
    <t>Initial RAM</t>
  </si>
  <si>
    <t/>
  </si>
  <si>
    <t>ITD-SHR11630-WI71</t>
  </si>
  <si>
    <t>Sum</t>
  </si>
  <si>
    <t>Average</t>
  </si>
  <si>
    <t>Running Total</t>
  </si>
  <si>
    <t>Count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</si>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</sst>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1" fillId="10" borderId="1" xfId="1" applyFill="1" applyAlignment="1">
      <alignment horizontal="center" vertical="center"/>
    </xf>
    <xf numFmtId="0" fontId="0" fillId="10" borderId="0" xfId="0" applyFill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245.568743981479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W1245"/>
  <sheetViews>
    <sheetView topLeftCell="B1" workbookViewId="0">
      <pane ySplit="1" topLeftCell="A2" activePane="bottomLeft" state="frozen"/>
      <selection pane="bottomLeft" activeCell="K6" sqref="K6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</cols>
  <sheetData>
    <row r="1" spans="1:23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547</v>
      </c>
      <c r="T1" s="49" t="s">
        <v>4</v>
      </c>
      <c r="U1" s="49" t="s">
        <v>19</v>
      </c>
      <c r="V1" s="49" t="s">
        <v>20</v>
      </c>
      <c r="W1" s="49" t="s">
        <v>488</v>
      </c>
    </row>
    <row r="2" spans="1:23">
      <c r="A2" s="46" t="str">
        <f>_xlfn.TEXTJOIN("",TRUE,Input!$B$2,"0",ROW(My_Audit!A1))</f>
        <v>CC01</v>
      </c>
      <c r="B2" s="46" t="str">
        <f>_xlfn.TEXTJOIN("-",TRUE,"ITD",Input!$A$2,A2)</f>
        <v>ITD-XXX-CC01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_xlpm.CSVVal,_xlfn.XLOOKUP($A2,CSV!$A:$A,CSV!C:C,""),
_xlpm.MacVal,_xlfn.XLOOKUP($A2,Output_Mac!$A:$A,Output_Mac!D:D,""),
_xlpm.MyAuditVal,_xlfn.XLOOKUP($A2,My_Audit!$A:$A,My_Audit!C:C,""),
_xlfn.IFS(_xlpm.MyAuditVal&lt;&gt;"",UPPER(_xlpm.MyAuditVal),_xlpm.MacVal&lt;&gt;"",_xlpm.MacVal,_xlpm.CSVVal&lt;&gt;"",_xlpm.CSVVal
)),"")</f>
        <v/>
      </c>
      <c r="E2" s="46" t="str" cm="1">
        <f t="array" ref="E2">IFERROR(_xlfn.LET(
_xlpm.CSVVal,_xlfn.XLOOKUP($A2,CSV!$A:$A,CSV!E:E,""),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_xlpm.CSVVal,_xlfn.XLOOKUP($A2,CSV!$A:$A,CSV!G:G,""),
_xlpm.MacVal,_xlfn.XLOOKUP($A2,Output_Mac!$A:$A,Output_Mac!G:G,""),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_xlfn.XLOOKUP(A2,Output_Mac!A:A,Output_Mac!H:H,"")</f>
        <v/>
      </c>
      <c r="I2" s="46" t="str" cm="1">
        <f t="array" ref="I2">IFERROR(_xlfn.LET(
_xlpm.CSVVal,_xlfn.XLOOKUP($A2,CSV!$A:$A,CSV!H:H,""),
_xlpm.MacVal,_xlfn.XLOOKUP($A2,Output_Mac!$A:$A,Output_Mac!I:I,""),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_xlpm.CSVVal,_xlfn.XLOOKUP($A2,CSV!$A:$A,CSV!J:J,""),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_xlpm.CSVVal,_xlfn.XLOOKUP($A2,CSV!$A:$A,CSV!N:N,""),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_xlpm.CSVVal,_xlfn.XLOOKUP($A2,CSV!$A:$A,CSV!Q:Q,""),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CSV!AE:AE,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_xlpm.CSVVal,_xlfn.XLOOKUP($A2,CSV!$A:$A,CSV!AG:AG,""),
_xlpm.MacVal,_xlfn.XLOOKUP($A2,Output_Mac!$A:$A,Output_Mac!T:T,""),
_xlpm.MyAuditVal,_xlfn.XLOOKUP($A2,My_Audit!$A:$A,My_Audit!O:O,""),
_xlfn.IFS(_xlpm.MyAuditVal&lt;&gt;"",UPPER(_xlpm.MyAuditVal),_xlpm.MacVal&lt;&gt;"",_xlpm.MacVal,_xlpm.CSVVal&lt;&gt;"",_xlpm.CSVVal
)),"")</f>
        <v/>
      </c>
      <c r="O2" s="46" t="str">
        <f>_xlfn.XLOOKUP(C2,My_Audit!B:B,My_Audit!P:P,"")&amp;""</f>
        <v/>
      </c>
      <c r="P2" s="46"/>
      <c r="Q2" s="46" t="str">
        <f>IF(LEFT(N2,4)="Pass","Nist SP 800-88",My_Audit!R2)&amp;""</f>
        <v/>
      </c>
      <c r="R2" s="46"/>
      <c r="S2" s="46"/>
      <c r="T2" s="46" t="str">
        <f>_xlfn.XLOOKUP(E2,Models!I:I,Models!J:J,"")</f>
        <v/>
      </c>
      <c r="U2" s="46"/>
      <c r="V2" s="46"/>
      <c r="W2" s="47" t="str">
        <f>_xlfn.LET(
    _xlpm.MacVal, _xlfn.XLOOKUP($A2, Output_Mac!$A:$A, Output_Mac!AA:AA, ""),
    _xlpm.MyAuditVal, _xlfn.XLOOKUP($A2, My_Audit!$A:$A, My_Audit!L:L, ""),
    _xlfn.TEXTJOIN(", ", TRUE, _xlpm.MyAuditVal, _xlpm.MacVal)
)</f>
        <v/>
      </c>
    </row>
    <row r="3" spans="1:23">
      <c r="A3" s="45" t="str">
        <f>_xlfn.TEXTJOIN("",TRUE,Input!$B$2,"0",ROW(My_Audit!A2))</f>
        <v>CC02</v>
      </c>
      <c r="B3" s="45" t="str">
        <f>_xlfn.TEXTJOIN("-",TRUE,"ITD",Input!$A$2,A3)</f>
        <v>ITD-XXX-CC02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_xlpm.CSVVal,_xlfn.XLOOKUP($A3,CSV!$A:$A,CSV!C:C,""),
_xlpm.MacVal,_xlfn.XLOOKUP($A3,Output_Mac!$A:$A,Output_Mac!D:D,""),
_xlpm.MyAuditVal,_xlfn.XLOOKUP($A3,My_Audit!$A:$A,My_Audit!C:C,""),
_xlfn.IFS(_xlpm.MyAuditVal&lt;&gt;"",UPPER(_xlpm.MyAuditVal),_xlpm.MacVal&lt;&gt;"",_xlpm.MacVal,_xlpm.CSVVal&lt;&gt;"",_xlpm.CSVVal
)),"")</f>
        <v/>
      </c>
      <c r="E3" s="46" t="str" cm="1">
        <f t="array" ref="E3">IFERROR(_xlfn.LET(
_xlpm.CSVVal,_xlfn.XLOOKUP($A3,CSV!$A:$A,CSV!E:E,""),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_xlpm.CSVVal,_xlfn.XLOOKUP($A3,CSV!$A:$A,CSV!G:G,""),
_xlpm.MacVal,_xlfn.XLOOKUP($A3,Output_Mac!$A:$A,Output_Mac!G:G,""),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_xlfn.XLOOKUP(A3,Output_Mac!A:A,Output_Mac!H:H,"")</f>
        <v/>
      </c>
      <c r="I3" s="45" t="str" cm="1">
        <f t="array" ref="I3">IFERROR(_xlfn.LET(
_xlpm.CSVVal,_xlfn.XLOOKUP($A3,CSV!$A:$A,CSV!H:H,""),
_xlpm.MacVal,_xlfn.XLOOKUP($A3,Output_Mac!$A:$A,Output_Mac!I:I,""),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_xlpm.CSVVal,_xlfn.XLOOKUP($A3,CSV!$A:$A,CSV!J:J,""),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6" t="str" cm="1">
        <f t="array" ref="K3">IFERROR(_xlfn.LET(
_xlpm.CSVVal,_xlfn.XLOOKUP($A3,CSV!$A:$A,CSV!N:N,""),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_xlpm.CSVVal,_xlfn.XLOOKUP($A3,CSV!$A:$A,CSV!Q:Q,""),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CSV!AE:AE,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46" t="str" cm="1">
        <f t="array" ref="N3">IFERROR(_xlfn.LET(
_xlpm.CSVVal,_xlfn.XLOOKUP($A3,CSV!$A:$A,CSV!AG:AG,""),
_xlpm.MacVal,_xlfn.XLOOKUP($A3,Output_Mac!$A:$A,Output_Mac!T:T,""),
_xlpm.MyAuditVal,_xlfn.XLOOKUP($A3,My_Audit!$A:$A,My_Audit!O:O,""),
_xlfn.IFS(_xlpm.MyAuditVal&lt;&gt;"",UPPER(_xlpm.MyAuditVal),_xlpm.MacVal&lt;&gt;"",_xlpm.MacVal,_xlpm.CSVVal&lt;&gt;"",_xlpm.CSVVal
)),"")</f>
        <v/>
      </c>
      <c r="O3" s="46" t="str">
        <f>_xlfn.XLOOKUP(C3,My_Audit!B:B,My_Audit!P:P,"")&amp;""</f>
        <v/>
      </c>
      <c r="P3" s="45"/>
      <c r="Q3" s="46" t="str">
        <f>IF(LEFT(N3,4)="Pass","Nist SP 800-88",My_Audit!R3)&amp;""</f>
        <v/>
      </c>
      <c r="R3" s="45"/>
      <c r="S3" s="45"/>
      <c r="T3" s="46" t="str">
        <f>_xlfn.XLOOKUP(E3,Models!I:I,Models!J:J,"")</f>
        <v/>
      </c>
      <c r="U3" s="45"/>
      <c r="V3" s="45"/>
      <c r="W3" s="38" t="str">
        <f>_xlfn.LET(
    _xlpm.MacVal, _xlfn.XLOOKUP($A3, Output_Mac!$A:$A, Output_Mac!AA:AA, ""),
    _xlpm.MyAuditVal, _xlfn.XLOOKUP($A3, My_Audit!$A:$A, My_Audit!L:L, ""),
    _xlfn.TEXTJOIN(", ", TRUE, _xlpm.MyAuditVal, _xlpm.MacVal)
)</f>
        <v/>
      </c>
    </row>
    <row r="4" spans="1:23">
      <c r="A4" s="45" t="str">
        <f>_xlfn.TEXTJOIN("",TRUE,Input!$B$2,"0",ROW(My_Audit!A3))</f>
        <v>CC03</v>
      </c>
      <c r="B4" s="45" t="str">
        <f>_xlfn.TEXTJOIN("-",TRUE,"ITD",Input!$A$2,A4)</f>
        <v>ITD-XXX-CC03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_xlpm.CSVVal,_xlfn.XLOOKUP($A4,CSV!$A:$A,CSV!C:C,""),
_xlpm.MacVal,_xlfn.XLOOKUP($A4,Output_Mac!$A:$A,Output_Mac!D:D,""),
_xlpm.MyAuditVal,_xlfn.XLOOKUP($A4,My_Audit!$A:$A,My_Audit!C:C,""),
_xlfn.IFS(_xlpm.MyAuditVal&lt;&gt;"",UPPER(_xlpm.MyAuditVal),_xlpm.MacVal&lt;&gt;"",_xlpm.MacVal,_xlpm.CSVVal&lt;&gt;"",_xlpm.CSVVal
)),"")</f>
        <v/>
      </c>
      <c r="E4" s="46" t="str" cm="1">
        <f t="array" ref="E4">IFERROR(_xlfn.LET(
_xlpm.CSVVal,_xlfn.XLOOKUP($A4,CSV!$A:$A,CSV!E:E,""),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_xlpm.CSVVal,_xlfn.XLOOKUP($A4,CSV!$A:$A,CSV!G:G,""),
_xlpm.MacVal,_xlfn.XLOOKUP($A4,Output_Mac!$A:$A,Output_Mac!G:G,""),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_xlfn.XLOOKUP(A4,Output_Mac!A:A,Output_Mac!H:H,"")</f>
        <v/>
      </c>
      <c r="I4" s="45" t="str" cm="1">
        <f t="array" ref="I4">IFERROR(_xlfn.LET(
_xlpm.CSVVal,_xlfn.XLOOKUP($A4,CSV!$A:$A,CSV!H:H,""),
_xlpm.MacVal,_xlfn.XLOOKUP($A4,Output_Mac!$A:$A,Output_Mac!I:I,""),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_xlpm.CSVVal,_xlfn.XLOOKUP($A4,CSV!$A:$A,CSV!J:J,""),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6" t="str" cm="1">
        <f t="array" ref="K4">IFERROR(_xlfn.LET(
_xlpm.CSVVal,_xlfn.XLOOKUP($A4,CSV!$A:$A,CSV!N:N,""),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_xlpm.CSVVal,_xlfn.XLOOKUP($A4,CSV!$A:$A,CSV!Q:Q,""),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CSV!AE:AE,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46" t="str" cm="1">
        <f t="array" ref="N4">IFERROR(_xlfn.LET(
_xlpm.CSVVal,_xlfn.XLOOKUP($A4,CSV!$A:$A,CSV!AG:AG,""),
_xlpm.MacVal,_xlfn.XLOOKUP($A4,Output_Mac!$A:$A,Output_Mac!T:T,""),
_xlpm.MyAuditVal,_xlfn.XLOOKUP($A4,My_Audit!$A:$A,My_Audit!O:O,""),
_xlfn.IFS(_xlpm.MyAuditVal&lt;&gt;"",UPPER(_xlpm.MyAuditVal),_xlpm.MacVal&lt;&gt;"",_xlpm.MacVal,_xlpm.CSVVal&lt;&gt;"",_xlpm.CSVVal
)),"")</f>
        <v/>
      </c>
      <c r="O4" s="46" t="str">
        <f>_xlfn.XLOOKUP(C4,My_Audit!B:B,My_Audit!P:P,"")&amp;""</f>
        <v/>
      </c>
      <c r="P4" s="45"/>
      <c r="Q4" s="46" t="str">
        <f>IF(LEFT(N4,4)="Pass","Nist SP 800-88",My_Audit!R4)&amp;""</f>
        <v/>
      </c>
      <c r="R4" s="45"/>
      <c r="S4" s="45"/>
      <c r="T4" s="46" t="str">
        <f>_xlfn.XLOOKUP(E4,Models!I:I,Models!J:J,"")</f>
        <v/>
      </c>
      <c r="U4" s="45"/>
      <c r="V4" s="45"/>
      <c r="W4" s="38" t="str">
        <f>_xlfn.LET(
    _xlpm.MacVal, _xlfn.XLOOKUP($A4, Output_Mac!$A:$A, Output_Mac!AA:AA, ""),
    _xlpm.MyAuditVal, _xlfn.XLOOKUP($A4, My_Audit!$A:$A, My_Audit!L:L, ""),
    _xlfn.TEXTJOIN(", ", TRUE, _xlpm.MyAuditVal, _xlpm.MacVal)
)</f>
        <v/>
      </c>
    </row>
    <row r="5" spans="1:23">
      <c r="A5" s="45" t="str">
        <f>_xlfn.TEXTJOIN("",TRUE,Input!$B$2,"0",ROW(My_Audit!A4))</f>
        <v>CC04</v>
      </c>
      <c r="B5" s="45" t="str">
        <f>_xlfn.TEXTJOIN("-",TRUE,"ITD",Input!$A$2,A5)</f>
        <v>ITD-XXX-CC04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_xlpm.CSVVal,_xlfn.XLOOKUP($A5,CSV!$A:$A,CSV!C:C,""),
_xlpm.MacVal,_xlfn.XLOOKUP($A5,Output_Mac!$A:$A,Output_Mac!D:D,""),
_xlpm.MyAuditVal,_xlfn.XLOOKUP($A5,My_Audit!$A:$A,My_Audit!C:C,""),
_xlfn.IFS(_xlpm.MyAuditVal&lt;&gt;"",UPPER(_xlpm.MyAuditVal),_xlpm.MacVal&lt;&gt;"",_xlpm.MacVal,_xlpm.CSVVal&lt;&gt;"",_xlpm.CSVVal
)),"")</f>
        <v/>
      </c>
      <c r="E5" s="46" t="str" cm="1">
        <f t="array" ref="E5">IFERROR(_xlfn.LET(
_xlpm.CSVVal,_xlfn.XLOOKUP($A5,CSV!$A:$A,CSV!E:E,""),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_xlpm.CSVVal,_xlfn.XLOOKUP($A5,CSV!$A:$A,CSV!G:G,""),
_xlpm.MacVal,_xlfn.XLOOKUP($A5,Output_Mac!$A:$A,Output_Mac!G:G,""),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_xlfn.XLOOKUP(A5,Output_Mac!A:A,Output_Mac!H:H,"")</f>
        <v/>
      </c>
      <c r="I5" s="45" t="str" cm="1">
        <f t="array" ref="I5">IFERROR(_xlfn.LET(
_xlpm.CSVVal,_xlfn.XLOOKUP($A5,CSV!$A:$A,CSV!H:H,""),
_xlpm.MacVal,_xlfn.XLOOKUP($A5,Output_Mac!$A:$A,Output_Mac!I:I,""),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_xlpm.CSVVal,_xlfn.XLOOKUP($A5,CSV!$A:$A,CSV!J:J,""),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6" t="str" cm="1">
        <f t="array" ref="K5">IFERROR(_xlfn.LET(
_xlpm.CSVVal,_xlfn.XLOOKUP($A5,CSV!$A:$A,CSV!N:N,""),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_xlpm.CSVVal,_xlfn.XLOOKUP($A5,CSV!$A:$A,CSV!Q:Q,""),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CSV!AE:AE,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46" t="str" cm="1">
        <f t="array" ref="N5">IFERROR(_xlfn.LET(
_xlpm.CSVVal,_xlfn.XLOOKUP($A5,CSV!$A:$A,CSV!AG:AG,""),
_xlpm.MacVal,_xlfn.XLOOKUP($A5,Output_Mac!$A:$A,Output_Mac!T:T,""),
_xlpm.MyAuditVal,_xlfn.XLOOKUP($A5,My_Audit!$A:$A,My_Audit!O:O,""),
_xlfn.IFS(_xlpm.MyAuditVal&lt;&gt;"",UPPER(_xlpm.MyAuditVal),_xlpm.MacVal&lt;&gt;"",_xlpm.MacVal,_xlpm.CSVVal&lt;&gt;"",_xlpm.CSVVal
)),"")</f>
        <v/>
      </c>
      <c r="O5" s="46" t="str">
        <f>_xlfn.XLOOKUP(C5,My_Audit!B:B,My_Audit!P:P,"")&amp;""</f>
        <v/>
      </c>
      <c r="P5" s="45"/>
      <c r="Q5" s="46" t="str">
        <f>IF(LEFT(N5,4)="Pass","Nist SP 800-88",My_Audit!R5)&amp;""</f>
        <v/>
      </c>
      <c r="R5" s="45"/>
      <c r="S5" s="45"/>
      <c r="T5" s="46" t="str">
        <f>_xlfn.XLOOKUP(E5,Models!I:I,Models!J:J,"")</f>
        <v/>
      </c>
      <c r="U5" s="45"/>
      <c r="V5" s="45"/>
      <c r="W5" s="38" t="str">
        <f>_xlfn.LET(
    _xlpm.MacVal, _xlfn.XLOOKUP($A5, Output_Mac!$A:$A, Output_Mac!AA:AA, ""),
    _xlpm.MyAuditVal, _xlfn.XLOOKUP($A5, My_Audit!$A:$A, My_Audit!L:L, ""),
    _xlfn.TEXTJOIN(", ", TRUE, _xlpm.MyAuditVal, _xlpm.MacVal)
)</f>
        <v/>
      </c>
    </row>
    <row r="6" spans="1:23">
      <c r="A6" s="45" t="str">
        <f>_xlfn.TEXTJOIN("",TRUE,Input!$B$2,"0",ROW(My_Audit!A5))</f>
        <v>CC05</v>
      </c>
      <c r="B6" s="45" t="str">
        <f>_xlfn.TEXTJOIN("-",TRUE,"ITD",Input!$A$2,A6)</f>
        <v>ITD-XXX-CC05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_xlpm.CSVVal,_xlfn.XLOOKUP($A6,CSV!$A:$A,CSV!C:C,""),
_xlpm.MacVal,_xlfn.XLOOKUP($A6,Output_Mac!$A:$A,Output_Mac!D:D,""),
_xlpm.MyAuditVal,_xlfn.XLOOKUP($A6,My_Audit!$A:$A,My_Audit!C:C,""),
_xlfn.IFS(_xlpm.MyAuditVal&lt;&gt;"",UPPER(_xlpm.MyAuditVal),_xlpm.MacVal&lt;&gt;"",_xlpm.MacVal,_xlpm.CSVVal&lt;&gt;"",_xlpm.CSVVal
)),"")</f>
        <v/>
      </c>
      <c r="E6" s="46" t="str" cm="1">
        <f t="array" ref="E6">IFERROR(_xlfn.LET(
_xlpm.CSVVal,_xlfn.XLOOKUP($A6,CSV!$A:$A,CSV!E:E,""),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_xlpm.CSVVal,_xlfn.XLOOKUP($A6,CSV!$A:$A,CSV!G:G,""),
_xlpm.MacVal,_xlfn.XLOOKUP($A6,Output_Mac!$A:$A,Output_Mac!G:G,""),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_xlfn.XLOOKUP(A6,Output_Mac!A:A,Output_Mac!H:H,"")</f>
        <v/>
      </c>
      <c r="I6" s="45" t="str" cm="1">
        <f t="array" ref="I6">IFERROR(_xlfn.LET(
_xlpm.CSVVal,_xlfn.XLOOKUP($A6,CSV!$A:$A,CSV!H:H,""),
_xlpm.MacVal,_xlfn.XLOOKUP($A6,Output_Mac!$A:$A,Output_Mac!I:I,""),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_xlpm.CSVVal,_xlfn.XLOOKUP($A6,CSV!$A:$A,CSV!J:J,""),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6" t="str" cm="1">
        <f t="array" ref="K6">IFERROR(_xlfn.LET(
_xlpm.CSVVal,_xlfn.XLOOKUP($A6,CSV!$A:$A,CSV!N:N,""),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_xlpm.CSVVal,_xlfn.XLOOKUP($A6,CSV!$A:$A,CSV!Q:Q,""),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CSV!AE:AE,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46" t="str" cm="1">
        <f t="array" ref="N6">IFERROR(_xlfn.LET(
_xlpm.CSVVal,_xlfn.XLOOKUP($A6,CSV!$A:$A,CSV!AG:AG,""),
_xlpm.MacVal,_xlfn.XLOOKUP($A6,Output_Mac!$A:$A,Output_Mac!T:T,""),
_xlpm.MyAuditVal,_xlfn.XLOOKUP($A6,My_Audit!$A:$A,My_Audit!O:O,""),
_xlfn.IFS(_xlpm.MyAuditVal&lt;&gt;"",UPPER(_xlpm.MyAuditVal),_xlpm.MacVal&lt;&gt;"",_xlpm.MacVal,_xlpm.CSVVal&lt;&gt;"",_xlpm.CSVVal
)),"")</f>
        <v/>
      </c>
      <c r="O6" s="46" t="str">
        <f>_xlfn.XLOOKUP(C6,My_Audit!B:B,My_Audit!P:P,"")&amp;""</f>
        <v/>
      </c>
      <c r="P6" s="45"/>
      <c r="Q6" s="46" t="str">
        <f>IF(LEFT(N6,4)="Pass","Nist SP 800-88",My_Audit!R6)&amp;""</f>
        <v/>
      </c>
      <c r="R6" s="45"/>
      <c r="S6" s="45"/>
      <c r="T6" s="46" t="str">
        <f>_xlfn.XLOOKUP(E6,Models!I:I,Models!J:J,"")</f>
        <v/>
      </c>
      <c r="U6" s="45"/>
      <c r="V6" s="45"/>
      <c r="W6" s="38" t="str">
        <f>_xlfn.LET(
    _xlpm.MacVal, _xlfn.XLOOKUP($A6, Output_Mac!$A:$A, Output_Mac!AA:AA, ""),
    _xlpm.MyAuditVal, _xlfn.XLOOKUP($A6, My_Audit!$A:$A, My_Audit!L:L, ""),
    _xlfn.TEXTJOIN(", ", TRUE, _xlpm.MyAuditVal, _xlpm.MacVal)
)</f>
        <v/>
      </c>
    </row>
    <row r="7" spans="1:23">
      <c r="A7" s="45" t="str">
        <f>_xlfn.TEXTJOIN("",TRUE,Input!$B$2,"0",ROW(My_Audit!A6))</f>
        <v>CC06</v>
      </c>
      <c r="B7" s="45" t="str">
        <f>_xlfn.TEXTJOIN("-",TRUE,"ITD",Input!$A$2,A7)</f>
        <v>ITD-XXX-CC06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_xlpm.CSVVal,_xlfn.XLOOKUP($A7,CSV!$A:$A,CSV!C:C,""),
_xlpm.MacVal,_xlfn.XLOOKUP($A7,Output_Mac!$A:$A,Output_Mac!D:D,""),
_xlpm.MyAuditVal,_xlfn.XLOOKUP($A7,My_Audit!$A:$A,My_Audit!C:C,""),
_xlfn.IFS(_xlpm.MyAuditVal&lt;&gt;"",UPPER(_xlpm.MyAuditVal),_xlpm.MacVal&lt;&gt;"",_xlpm.MacVal,_xlpm.CSVVal&lt;&gt;"",_xlpm.CSVVal
)),"")</f>
        <v/>
      </c>
      <c r="E7" s="46" t="str" cm="1">
        <f t="array" ref="E7">IFERROR(_xlfn.LET(
_xlpm.CSVVal,_xlfn.XLOOKUP($A7,CSV!$A:$A,CSV!E:E,""),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_xlpm.CSVVal,_xlfn.XLOOKUP($A7,CSV!$A:$A,CSV!G:G,""),
_xlpm.MacVal,_xlfn.XLOOKUP($A7,Output_Mac!$A:$A,Output_Mac!G:G,""),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_xlfn.XLOOKUP(A7,Output_Mac!A:A,Output_Mac!H:H,"")</f>
        <v/>
      </c>
      <c r="I7" s="45" t="str" cm="1">
        <f t="array" ref="I7">IFERROR(_xlfn.LET(
_xlpm.CSVVal,_xlfn.XLOOKUP($A7,CSV!$A:$A,CSV!H:H,""),
_xlpm.MacVal,_xlfn.XLOOKUP($A7,Output_Mac!$A:$A,Output_Mac!I:I,""),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_xlpm.CSVVal,_xlfn.XLOOKUP($A7,CSV!$A:$A,CSV!J:J,""),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6" t="str" cm="1">
        <f t="array" ref="K7">IFERROR(_xlfn.LET(
_xlpm.CSVVal,_xlfn.XLOOKUP($A7,CSV!$A:$A,CSV!N:N,""),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_xlpm.CSVVal,_xlfn.XLOOKUP($A7,CSV!$A:$A,CSV!Q:Q,""),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CSV!AE:AE,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46" t="str" cm="1">
        <f t="array" ref="N7">IFERROR(_xlfn.LET(
_xlpm.CSVVal,_xlfn.XLOOKUP($A7,CSV!$A:$A,CSV!AG:AG,""),
_xlpm.MacVal,_xlfn.XLOOKUP($A7,Output_Mac!$A:$A,Output_Mac!T:T,""),
_xlpm.MyAuditVal,_xlfn.XLOOKUP($A7,My_Audit!$A:$A,My_Audit!O:O,""),
_xlfn.IFS(_xlpm.MyAuditVal&lt;&gt;"",UPPER(_xlpm.MyAuditVal),_xlpm.MacVal&lt;&gt;"",_xlpm.MacVal,_xlpm.CSVVal&lt;&gt;"",_xlpm.CSVVal
)),"")</f>
        <v/>
      </c>
      <c r="O7" s="46" t="str">
        <f>_xlfn.XLOOKUP(C7,My_Audit!B:B,My_Audit!P:P,"")&amp;""</f>
        <v/>
      </c>
      <c r="P7" s="45"/>
      <c r="Q7" s="46" t="str">
        <f>IF(LEFT(N7,4)="Pass","Nist SP 800-88",My_Audit!R7)&amp;""</f>
        <v/>
      </c>
      <c r="R7" s="45"/>
      <c r="S7" s="45"/>
      <c r="T7" s="46" t="str">
        <f>_xlfn.XLOOKUP(E7,Models!I:I,Models!J:J,"")</f>
        <v/>
      </c>
      <c r="U7" s="45"/>
      <c r="V7" s="45"/>
      <c r="W7" s="38" t="str">
        <f>_xlfn.LET(
    _xlpm.MacVal, _xlfn.XLOOKUP($A7, Output_Mac!$A:$A, Output_Mac!AA:AA, ""),
    _xlpm.MyAuditVal, _xlfn.XLOOKUP($A7, My_Audit!$A:$A, My_Audit!L:L, ""),
    _xlfn.TEXTJOIN(", ", TRUE, _xlpm.MyAuditVal, _xlpm.MacVal)
)</f>
        <v/>
      </c>
    </row>
    <row r="8" spans="1:23">
      <c r="A8" s="45" t="str">
        <f>_xlfn.TEXTJOIN("",TRUE,Input!$B$2,"0",ROW(My_Audit!A7))</f>
        <v>CC07</v>
      </c>
      <c r="B8" s="45" t="str">
        <f>_xlfn.TEXTJOIN("-",TRUE,"ITD",Input!$A$2,A8)</f>
        <v>ITD-XXX-CC07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_xlpm.CSVVal,_xlfn.XLOOKUP($A8,CSV!$A:$A,CSV!C:C,""),
_xlpm.MacVal,_xlfn.XLOOKUP($A8,Output_Mac!$A:$A,Output_Mac!D:D,""),
_xlpm.MyAuditVal,_xlfn.XLOOKUP($A8,My_Audit!$A:$A,My_Audit!C:C,""),
_xlfn.IFS(_xlpm.MyAuditVal&lt;&gt;"",UPPER(_xlpm.MyAuditVal),_xlpm.MacVal&lt;&gt;"",_xlpm.MacVal,_xlpm.CSVVal&lt;&gt;"",_xlpm.CSVVal
)),"")</f>
        <v/>
      </c>
      <c r="E8" s="46" t="str" cm="1">
        <f t="array" ref="E8">IFERROR(_xlfn.LET(
_xlpm.CSVVal,_xlfn.XLOOKUP($A8,CSV!$A:$A,CSV!E:E,""),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_xlpm.CSVVal,_xlfn.XLOOKUP($A8,CSV!$A:$A,CSV!G:G,""),
_xlpm.MacVal,_xlfn.XLOOKUP($A8,Output_Mac!$A:$A,Output_Mac!G:G,""),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_xlfn.XLOOKUP(A8,Output_Mac!A:A,Output_Mac!H:H,"")</f>
        <v/>
      </c>
      <c r="I8" s="45" t="str" cm="1">
        <f t="array" ref="I8">IFERROR(_xlfn.LET(
_xlpm.CSVVal,_xlfn.XLOOKUP($A8,CSV!$A:$A,CSV!H:H,""),
_xlpm.MacVal,_xlfn.XLOOKUP($A8,Output_Mac!$A:$A,Output_Mac!I:I,""),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_xlpm.CSVVal,_xlfn.XLOOKUP($A8,CSV!$A:$A,CSV!J:J,""),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6" t="str" cm="1">
        <f t="array" ref="K8">IFERROR(_xlfn.LET(
_xlpm.CSVVal,_xlfn.XLOOKUP($A8,CSV!$A:$A,CSV!N:N,""),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_xlpm.CSVVal,_xlfn.XLOOKUP($A8,CSV!$A:$A,CSV!Q:Q,""),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CSV!AE:AE,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46" t="str" cm="1">
        <f t="array" ref="N8">IFERROR(_xlfn.LET(
_xlpm.CSVVal,_xlfn.XLOOKUP($A8,CSV!$A:$A,CSV!AG:AG,""),
_xlpm.MacVal,_xlfn.XLOOKUP($A8,Output_Mac!$A:$A,Output_Mac!T:T,""),
_xlpm.MyAuditVal,_xlfn.XLOOKUP($A8,My_Audit!$A:$A,My_Audit!O:O,""),
_xlfn.IFS(_xlpm.MyAuditVal&lt;&gt;"",UPPER(_xlpm.MyAuditVal),_xlpm.MacVal&lt;&gt;"",_xlpm.MacVal,_xlpm.CSVVal&lt;&gt;"",_xlpm.CSVVal
)),"")</f>
        <v/>
      </c>
      <c r="O8" s="46" t="str">
        <f>_xlfn.XLOOKUP(C8,My_Audit!B:B,My_Audit!P:P,"")&amp;""</f>
        <v/>
      </c>
      <c r="P8" s="45"/>
      <c r="Q8" s="46" t="str">
        <f>IF(LEFT(N8,4)="Pass","Nist SP 800-88",My_Audit!R8)&amp;""</f>
        <v/>
      </c>
      <c r="R8" s="45"/>
      <c r="S8" s="45"/>
      <c r="T8" s="46" t="str">
        <f>_xlfn.XLOOKUP(E8,Models!I:I,Models!J:J,"")</f>
        <v/>
      </c>
      <c r="U8" s="45"/>
      <c r="V8" s="45"/>
      <c r="W8" s="38" t="str">
        <f>_xlfn.LET(
    _xlpm.MacVal, _xlfn.XLOOKUP($A8, Output_Mac!$A:$A, Output_Mac!AA:AA, ""),
    _xlpm.MyAuditVal, _xlfn.XLOOKUP($A8, My_Audit!$A:$A, My_Audit!L:L, ""),
    _xlfn.TEXTJOIN(", ", TRUE, _xlpm.MyAuditVal, _xlpm.MacVal)
)</f>
        <v/>
      </c>
    </row>
    <row r="9" spans="1:23">
      <c r="A9" s="45" t="str">
        <f>_xlfn.TEXTJOIN("",TRUE,Input!$B$2,"0",ROW(My_Audit!A8))</f>
        <v>CC08</v>
      </c>
      <c r="B9" s="45" t="str">
        <f>_xlfn.TEXTJOIN("-",TRUE,"ITD",Input!$A$2,A9)</f>
        <v>ITD-XXX-CC08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_xlpm.CSVVal,_xlfn.XLOOKUP($A9,CSV!$A:$A,CSV!C:C,""),
_xlpm.MacVal,_xlfn.XLOOKUP($A9,Output_Mac!$A:$A,Output_Mac!D:D,""),
_xlpm.MyAuditVal,_xlfn.XLOOKUP($A9,My_Audit!$A:$A,My_Audit!C:C,""),
_xlfn.IFS(_xlpm.MyAuditVal&lt;&gt;"",UPPER(_xlpm.MyAuditVal),_xlpm.MacVal&lt;&gt;"",_xlpm.MacVal,_xlpm.CSVVal&lt;&gt;"",_xlpm.CSVVal
)),"")</f>
        <v/>
      </c>
      <c r="E9" s="46" t="str" cm="1">
        <f t="array" ref="E9">IFERROR(_xlfn.LET(
_xlpm.CSVVal,_xlfn.XLOOKUP($A9,CSV!$A:$A,CSV!E:E,""),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_xlpm.CSVVal,_xlfn.XLOOKUP($A9,CSV!$A:$A,CSV!G:G,""),
_xlpm.MacVal,_xlfn.XLOOKUP($A9,Output_Mac!$A:$A,Output_Mac!G:G,""),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_xlfn.XLOOKUP(A9,Output_Mac!A:A,Output_Mac!H:H,"")</f>
        <v/>
      </c>
      <c r="I9" s="45" t="str" cm="1">
        <f t="array" ref="I9">IFERROR(_xlfn.LET(
_xlpm.CSVVal,_xlfn.XLOOKUP($A9,CSV!$A:$A,CSV!H:H,""),
_xlpm.MacVal,_xlfn.XLOOKUP($A9,Output_Mac!$A:$A,Output_Mac!I:I,""),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_xlpm.CSVVal,_xlfn.XLOOKUP($A9,CSV!$A:$A,CSV!J:J,""),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6" t="str" cm="1">
        <f t="array" ref="K9">IFERROR(_xlfn.LET(
_xlpm.CSVVal,_xlfn.XLOOKUP($A9,CSV!$A:$A,CSV!N:N,""),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_xlpm.CSVVal,_xlfn.XLOOKUP($A9,CSV!$A:$A,CSV!Q:Q,""),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CSV!AE:AE,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46" t="str" cm="1">
        <f t="array" ref="N9">IFERROR(_xlfn.LET(
_xlpm.CSVVal,_xlfn.XLOOKUP($A9,CSV!$A:$A,CSV!AG:AG,""),
_xlpm.MacVal,_xlfn.XLOOKUP($A9,Output_Mac!$A:$A,Output_Mac!T:T,""),
_xlpm.MyAuditVal,_xlfn.XLOOKUP($A9,My_Audit!$A:$A,My_Audit!O:O,""),
_xlfn.IFS(_xlpm.MyAuditVal&lt;&gt;"",UPPER(_xlpm.MyAuditVal),_xlpm.MacVal&lt;&gt;"",_xlpm.MacVal,_xlpm.CSVVal&lt;&gt;"",_xlpm.CSVVal
)),"")</f>
        <v/>
      </c>
      <c r="O9" s="46" t="str">
        <f>_xlfn.XLOOKUP(C9,My_Audit!B:B,My_Audit!P:P,"")&amp;""</f>
        <v/>
      </c>
      <c r="P9" s="45"/>
      <c r="Q9" s="46" t="str">
        <f>IF(LEFT(N9,4)="Pass","Nist SP 800-88",My_Audit!R9)&amp;""</f>
        <v/>
      </c>
      <c r="R9" s="45"/>
      <c r="S9" s="45"/>
      <c r="T9" s="46" t="str">
        <f>_xlfn.XLOOKUP(E9,Models!I:I,Models!J:J,"")</f>
        <v/>
      </c>
      <c r="U9" s="45"/>
      <c r="V9" s="45"/>
      <c r="W9" s="38" t="str">
        <f>_xlfn.LET(
    _xlpm.MacVal, _xlfn.XLOOKUP($A9, Output_Mac!$A:$A, Output_Mac!AA:AA, ""),
    _xlpm.MyAuditVal, _xlfn.XLOOKUP($A9, My_Audit!$A:$A, My_Audit!L:L, ""),
    _xlfn.TEXTJOIN(", ", TRUE, _xlpm.MyAuditVal, _xlpm.MacVal)
)</f>
        <v/>
      </c>
    </row>
    <row r="10" spans="1:23">
      <c r="A10" s="45" t="str">
        <f>_xlfn.TEXTJOIN("",TRUE,Input!$B$2,"0",ROW(My_Audit!A9))</f>
        <v>CC09</v>
      </c>
      <c r="B10" s="45" t="str">
        <f>_xlfn.TEXTJOIN("-",TRUE,"ITD",Input!$A$2,A10)</f>
        <v>ITD-XXX-CC09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_xlpm.CSVVal,_xlfn.XLOOKUP($A10,CSV!$A:$A,CSV!C:C,""),
_xlpm.MacVal,_xlfn.XLOOKUP($A10,Output_Mac!$A:$A,Output_Mac!D:D,""),
_xlpm.MyAuditVal,_xlfn.XLOOKUP($A10,My_Audit!$A:$A,My_Audit!C:C,""),
_xlfn.IFS(_xlpm.MyAuditVal&lt;&gt;"",UPPER(_xlpm.MyAuditVal),_xlpm.MacVal&lt;&gt;"",_xlpm.MacVal,_xlpm.CSVVal&lt;&gt;"",_xlpm.CSVVal
)),"")</f>
        <v/>
      </c>
      <c r="E10" s="46" t="str" cm="1">
        <f t="array" ref="E10">IFERROR(_xlfn.LET(
_xlpm.CSVVal,_xlfn.XLOOKUP($A10,CSV!$A:$A,CSV!E:E,""),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_xlpm.CSVVal,_xlfn.XLOOKUP($A10,CSV!$A:$A,CSV!G:G,""),
_xlpm.MacVal,_xlfn.XLOOKUP($A10,Output_Mac!$A:$A,Output_Mac!G:G,""),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_xlfn.XLOOKUP(A10,Output_Mac!A:A,Output_Mac!H:H,"")</f>
        <v/>
      </c>
      <c r="I10" s="45" t="str" cm="1">
        <f t="array" ref="I10">IFERROR(_xlfn.LET(
_xlpm.CSVVal,_xlfn.XLOOKUP($A10,CSV!$A:$A,CSV!H:H,""),
_xlpm.MacVal,_xlfn.XLOOKUP($A10,Output_Mac!$A:$A,Output_Mac!I:I,""),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_xlpm.CSVVal,_xlfn.XLOOKUP($A10,CSV!$A:$A,CSV!J:J,""),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6" t="str" cm="1">
        <f t="array" ref="K10">IFERROR(_xlfn.LET(
_xlpm.CSVVal,_xlfn.XLOOKUP($A10,CSV!$A:$A,CSV!N:N,""),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_xlpm.CSVVal,_xlfn.XLOOKUP($A10,CSV!$A:$A,CSV!Q:Q,""),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CSV!AE:AE,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46" t="str" cm="1">
        <f t="array" ref="N10">IFERROR(_xlfn.LET(
_xlpm.CSVVal,_xlfn.XLOOKUP($A10,CSV!$A:$A,CSV!AG:AG,""),
_xlpm.MacVal,_xlfn.XLOOKUP($A10,Output_Mac!$A:$A,Output_Mac!T:T,""),
_xlpm.MyAuditVal,_xlfn.XLOOKUP($A10,My_Audit!$A:$A,My_Audit!O:O,""),
_xlfn.IFS(_xlpm.MyAuditVal&lt;&gt;"",UPPER(_xlpm.MyAuditVal),_xlpm.MacVal&lt;&gt;"",_xlpm.MacVal,_xlpm.CSVVal&lt;&gt;"",_xlpm.CSVVal
)),"")</f>
        <v/>
      </c>
      <c r="O10" s="46" t="str">
        <f>_xlfn.XLOOKUP(C10,My_Audit!B:B,My_Audit!P:P,"")&amp;""</f>
        <v/>
      </c>
      <c r="P10" s="45"/>
      <c r="Q10" s="46" t="str">
        <f>IF(LEFT(N10,4)="Pass","Nist SP 800-88",My_Audit!R10)&amp;""</f>
        <v/>
      </c>
      <c r="R10" s="45"/>
      <c r="S10" s="45"/>
      <c r="T10" s="46" t="str">
        <f>_xlfn.XLOOKUP(E10,Models!I:I,Models!J:J,"")</f>
        <v/>
      </c>
      <c r="U10" s="45"/>
      <c r="V10" s="45"/>
      <c r="W10" s="38" t="str">
        <f>_xlfn.LET(
    _xlpm.MacVal, _xlfn.XLOOKUP($A10, Output_Mac!$A:$A, Output_Mac!AA:AA, ""),
    _xlpm.MyAuditVal, _xlfn.XLOOKUP($A10, My_Audit!$A:$A, My_Audit!L:L, ""),
    _xlfn.TEXTJOIN(", ", TRUE, _xlpm.MyAuditVal, _xlpm.MacVal)
)</f>
        <v/>
      </c>
    </row>
    <row r="11" spans="1:23">
      <c r="A11" s="45" t="str">
        <f>_xlfn.TEXTJOIN("",TRUE,Input!$B$2,ROW(My_Audit!A10))</f>
        <v>CC10</v>
      </c>
      <c r="B11" s="45" t="str">
        <f>_xlfn.TEXTJOIN("-",TRUE,"ITD",Input!$A$2,A11)</f>
        <v>ITD-XXX-CC10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_xlpm.CSVVal,_xlfn.XLOOKUP($A11,CSV!$A:$A,CSV!C:C,""),
_xlpm.MacVal,_xlfn.XLOOKUP($A11,Output_Mac!$A:$A,Output_Mac!D:D,""),
_xlpm.MyAuditVal,_xlfn.XLOOKUP($A11,My_Audit!$A:$A,My_Audit!C:C,""),
_xlfn.IFS(_xlpm.MyAuditVal&lt;&gt;"",UPPER(_xlpm.MyAuditVal),_xlpm.MacVal&lt;&gt;"",_xlpm.MacVal,_xlpm.CSVVal&lt;&gt;"",_xlpm.CSVVal
)),"")</f>
        <v/>
      </c>
      <c r="E11" s="46" t="str" cm="1">
        <f t="array" ref="E11">IFERROR(_xlfn.LET(
_xlpm.CSVVal,_xlfn.XLOOKUP($A11,CSV!$A:$A,CSV!E:E,""),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_xlpm.CSVVal,_xlfn.XLOOKUP($A11,CSV!$A:$A,CSV!G:G,""),
_xlpm.MacVal,_xlfn.XLOOKUP($A11,Output_Mac!$A:$A,Output_Mac!G:G,""),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_xlfn.XLOOKUP(A11,Output_Mac!A:A,Output_Mac!H:H,"")</f>
        <v/>
      </c>
      <c r="I11" s="45" t="str" cm="1">
        <f t="array" ref="I11">IFERROR(_xlfn.LET(
_xlpm.CSVVal,_xlfn.XLOOKUP($A11,CSV!$A:$A,CSV!H:H,""),
_xlpm.MacVal,_xlfn.XLOOKUP($A11,Output_Mac!$A:$A,Output_Mac!I:I,""),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_xlpm.CSVVal,_xlfn.XLOOKUP($A11,CSV!$A:$A,CSV!J:J,""),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6" t="str" cm="1">
        <f t="array" ref="K11">IFERROR(_xlfn.LET(
_xlpm.CSVVal,_xlfn.XLOOKUP($A11,CSV!$A:$A,CSV!N:N,""),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_xlpm.CSVVal,_xlfn.XLOOKUP($A11,CSV!$A:$A,CSV!Q:Q,""),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CSV!AE:AE,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46" t="str" cm="1">
        <f t="array" ref="N11">IFERROR(_xlfn.LET(
_xlpm.CSVVal,_xlfn.XLOOKUP($A11,CSV!$A:$A,CSV!AG:AG,""),
_xlpm.MacVal,_xlfn.XLOOKUP($A11,Output_Mac!$A:$A,Output_Mac!T:T,""),
_xlpm.MyAuditVal,_xlfn.XLOOKUP($A11,My_Audit!$A:$A,My_Audit!O:O,""),
_xlfn.IFS(_xlpm.MyAuditVal&lt;&gt;"",UPPER(_xlpm.MyAuditVal),_xlpm.MacVal&lt;&gt;"",_xlpm.MacVal,_xlpm.CSVVal&lt;&gt;"",_xlpm.CSVVal
)),"")</f>
        <v/>
      </c>
      <c r="O11" s="46" t="str">
        <f>_xlfn.XLOOKUP(C11,My_Audit!B:B,My_Audit!P:P,"")&amp;""</f>
        <v/>
      </c>
      <c r="P11" s="45"/>
      <c r="Q11" s="46" t="str">
        <f>IF(LEFT(N11,4)="Pass","Nist SP 800-88",My_Audit!R11)&amp;""</f>
        <v/>
      </c>
      <c r="R11" s="45"/>
      <c r="S11" s="45"/>
      <c r="T11" s="46" t="str">
        <f>_xlfn.XLOOKUP(E11,Models!I:I,Models!J:J,"")</f>
        <v/>
      </c>
      <c r="U11" s="45"/>
      <c r="V11" s="45"/>
      <c r="W11" s="38" t="str">
        <f>_xlfn.LET(
    _xlpm.MacVal, _xlfn.XLOOKUP($A11, Output_Mac!$A:$A, Output_Mac!AA:AA, ""),
    _xlpm.MyAuditVal, _xlfn.XLOOKUP($A11, My_Audit!$A:$A, My_Audit!L:L, ""),
    _xlfn.TEXTJOIN(", ", TRUE, _xlpm.MyAuditVal, _xlpm.MacVal)
)</f>
        <v/>
      </c>
    </row>
    <row r="12" spans="1:23">
      <c r="A12" s="45" t="str">
        <f>_xlfn.TEXTJOIN("",TRUE,Input!$B$2,ROW(My_Audit!A11))</f>
        <v>CC11</v>
      </c>
      <c r="B12" s="45" t="str">
        <f>_xlfn.TEXTJOIN("-",TRUE,"ITD",Input!$A$2,A12)</f>
        <v>ITD-XXX-CC11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_xlpm.CSVVal,_xlfn.XLOOKUP($A12,CSV!$A:$A,CSV!C:C,""),
_xlpm.MacVal,_xlfn.XLOOKUP($A12,Output_Mac!$A:$A,Output_Mac!D:D,""),
_xlpm.MyAuditVal,_xlfn.XLOOKUP($A12,My_Audit!$A:$A,My_Audit!C:C,""),
_xlfn.IFS(_xlpm.MyAuditVal&lt;&gt;"",UPPER(_xlpm.MyAuditVal),_xlpm.MacVal&lt;&gt;"",_xlpm.MacVal,_xlpm.CSVVal&lt;&gt;"",_xlpm.CSVVal
)),"")</f>
        <v/>
      </c>
      <c r="E12" s="46" t="str" cm="1">
        <f t="array" ref="E12">IFERROR(_xlfn.LET(
_xlpm.CSVVal,_xlfn.XLOOKUP($A12,CSV!$A:$A,CSV!E:E,""),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_xlpm.CSVVal,_xlfn.XLOOKUP($A12,CSV!$A:$A,CSV!G:G,""),
_xlpm.MacVal,_xlfn.XLOOKUP($A12,Output_Mac!$A:$A,Output_Mac!G:G,""),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_xlfn.XLOOKUP(A12,Output_Mac!A:A,Output_Mac!H:H,"")</f>
        <v/>
      </c>
      <c r="I12" s="45" t="str" cm="1">
        <f t="array" ref="I12">IFERROR(_xlfn.LET(
_xlpm.CSVVal,_xlfn.XLOOKUP($A12,CSV!$A:$A,CSV!H:H,""),
_xlpm.MacVal,_xlfn.XLOOKUP($A12,Output_Mac!$A:$A,Output_Mac!I:I,""),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_xlpm.CSVVal,_xlfn.XLOOKUP($A12,CSV!$A:$A,CSV!J:J,""),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6" t="str" cm="1">
        <f t="array" ref="K12">IFERROR(_xlfn.LET(
_xlpm.CSVVal,_xlfn.XLOOKUP($A12,CSV!$A:$A,CSV!N:N,""),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_xlpm.CSVVal,_xlfn.XLOOKUP($A12,CSV!$A:$A,CSV!Q:Q,""),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CSV!AE:AE,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46" t="str" cm="1">
        <f t="array" ref="N12">IFERROR(_xlfn.LET(
_xlpm.CSVVal,_xlfn.XLOOKUP($A12,CSV!$A:$A,CSV!AG:AG,""),
_xlpm.MacVal,_xlfn.XLOOKUP($A12,Output_Mac!$A:$A,Output_Mac!T:T,""),
_xlpm.MyAuditVal,_xlfn.XLOOKUP($A12,My_Audit!$A:$A,My_Audit!O:O,""),
_xlfn.IFS(_xlpm.MyAuditVal&lt;&gt;"",UPPER(_xlpm.MyAuditVal),_xlpm.MacVal&lt;&gt;"",_xlpm.MacVal,_xlpm.CSVVal&lt;&gt;"",_xlpm.CSVVal
)),"")</f>
        <v/>
      </c>
      <c r="O12" s="46" t="str">
        <f>_xlfn.XLOOKUP(C12,My_Audit!B:B,My_Audit!P:P,"")&amp;""</f>
        <v/>
      </c>
      <c r="P12" s="45"/>
      <c r="Q12" s="46" t="str">
        <f>IF(LEFT(N12,4)="Pass","Nist SP 800-88",My_Audit!R12)&amp;""</f>
        <v/>
      </c>
      <c r="R12" s="45"/>
      <c r="S12" s="45"/>
      <c r="T12" s="46" t="str">
        <f>_xlfn.XLOOKUP(E12,Models!I:I,Models!J:J,"")</f>
        <v/>
      </c>
      <c r="U12" s="45"/>
      <c r="V12" s="45"/>
      <c r="W12" s="38" t="str">
        <f>_xlfn.LET(
    _xlpm.MacVal, _xlfn.XLOOKUP($A12, Output_Mac!$A:$A, Output_Mac!AA:AA, ""),
    _xlpm.MyAuditVal, _xlfn.XLOOKUP($A12, My_Audit!$A:$A, My_Audit!L:L, ""),
    _xlfn.TEXTJOIN(", ", TRUE, _xlpm.MyAuditVal, _xlpm.MacVal)
)</f>
        <v/>
      </c>
    </row>
    <row r="13" spans="1:23">
      <c r="A13" s="45" t="str">
        <f>_xlfn.TEXTJOIN("",TRUE,Input!$B$2,ROW(My_Audit!A12))</f>
        <v>CC12</v>
      </c>
      <c r="B13" s="45" t="str">
        <f>_xlfn.TEXTJOIN("-",TRUE,"ITD",Input!$A$2,A13)</f>
        <v>ITD-XXX-CC12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_xlpm.CSVVal,_xlfn.XLOOKUP($A13,CSV!$A:$A,CSV!C:C,""),
_xlpm.MacVal,_xlfn.XLOOKUP($A13,Output_Mac!$A:$A,Output_Mac!D:D,""),
_xlpm.MyAuditVal,_xlfn.XLOOKUP($A13,My_Audit!$A:$A,My_Audit!C:C,""),
_xlfn.IFS(_xlpm.MyAuditVal&lt;&gt;"",UPPER(_xlpm.MyAuditVal),_xlpm.MacVal&lt;&gt;"",_xlpm.MacVal,_xlpm.CSVVal&lt;&gt;"",_xlpm.CSVVal
)),"")</f>
        <v/>
      </c>
      <c r="E13" s="46" t="str" cm="1">
        <f t="array" ref="E13">IFERROR(_xlfn.LET(
_xlpm.CSVVal,_xlfn.XLOOKUP($A13,CSV!$A:$A,CSV!E:E,""),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_xlpm.CSVVal,_xlfn.XLOOKUP($A13,CSV!$A:$A,CSV!G:G,""),
_xlpm.MacVal,_xlfn.XLOOKUP($A13,Output_Mac!$A:$A,Output_Mac!G:G,""),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_xlfn.XLOOKUP(A13,Output_Mac!A:A,Output_Mac!H:H,"")</f>
        <v/>
      </c>
      <c r="I13" s="45" t="str" cm="1">
        <f t="array" ref="I13">IFERROR(_xlfn.LET(
_xlpm.CSVVal,_xlfn.XLOOKUP($A13,CSV!$A:$A,CSV!H:H,""),
_xlpm.MacVal,_xlfn.XLOOKUP($A13,Output_Mac!$A:$A,Output_Mac!I:I,""),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_xlpm.CSVVal,_xlfn.XLOOKUP($A13,CSV!$A:$A,CSV!J:J,""),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6" t="str" cm="1">
        <f t="array" ref="K13">IFERROR(_xlfn.LET(
_xlpm.CSVVal,_xlfn.XLOOKUP($A13,CSV!$A:$A,CSV!N:N,""),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_xlpm.CSVVal,_xlfn.XLOOKUP($A13,CSV!$A:$A,CSV!Q:Q,""),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CSV!AE:AE,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46" t="str" cm="1">
        <f t="array" ref="N13">IFERROR(_xlfn.LET(
_xlpm.CSVVal,_xlfn.XLOOKUP($A13,CSV!$A:$A,CSV!AG:AG,""),
_xlpm.MacVal,_xlfn.XLOOKUP($A13,Output_Mac!$A:$A,Output_Mac!T:T,""),
_xlpm.MyAuditVal,_xlfn.XLOOKUP($A13,My_Audit!$A:$A,My_Audit!O:O,""),
_xlfn.IFS(_xlpm.MyAuditVal&lt;&gt;"",UPPER(_xlpm.MyAuditVal),_xlpm.MacVal&lt;&gt;"",_xlpm.MacVal,_xlpm.CSVVal&lt;&gt;"",_xlpm.CSVVal
)),"")</f>
        <v/>
      </c>
      <c r="O13" s="46" t="str">
        <f>_xlfn.XLOOKUP(C13,My_Audit!B:B,My_Audit!P:P,"")&amp;""</f>
        <v/>
      </c>
      <c r="P13" s="45"/>
      <c r="Q13" s="46" t="str">
        <f>IF(LEFT(N13,4)="Pass","Nist SP 800-88",My_Audit!R13)&amp;""</f>
        <v/>
      </c>
      <c r="R13" s="45"/>
      <c r="S13" s="45"/>
      <c r="T13" s="46" t="str">
        <f>_xlfn.XLOOKUP(E13,Models!I:I,Models!J:J,"")</f>
        <v/>
      </c>
      <c r="U13" s="45"/>
      <c r="V13" s="45"/>
      <c r="W13" s="38" t="str">
        <f>_xlfn.LET(
    _xlpm.MacVal, _xlfn.XLOOKUP($A13, Output_Mac!$A:$A, Output_Mac!AA:AA, ""),
    _xlpm.MyAuditVal, _xlfn.XLOOKUP($A13, My_Audit!$A:$A, My_Audit!L:L, ""),
    _xlfn.TEXTJOIN(", ", TRUE, _xlpm.MyAuditVal, _xlpm.MacVal)
)</f>
        <v/>
      </c>
    </row>
    <row r="14" spans="1:23">
      <c r="A14" s="45" t="str">
        <f>_xlfn.TEXTJOIN("",TRUE,Input!$B$2,ROW(My_Audit!A13))</f>
        <v>CC13</v>
      </c>
      <c r="B14" s="45" t="str">
        <f>_xlfn.TEXTJOIN("-",TRUE,"ITD",Input!$A$2,A14)</f>
        <v>ITD-XXX-CC13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_xlpm.CSVVal,_xlfn.XLOOKUP($A14,CSV!$A:$A,CSV!C:C,""),
_xlpm.MacVal,_xlfn.XLOOKUP($A14,Output_Mac!$A:$A,Output_Mac!D:D,""),
_xlpm.MyAuditVal,_xlfn.XLOOKUP($A14,My_Audit!$A:$A,My_Audit!C:C,""),
_xlfn.IFS(_xlpm.MyAuditVal&lt;&gt;"",UPPER(_xlpm.MyAuditVal),_xlpm.MacVal&lt;&gt;"",_xlpm.MacVal,_xlpm.CSVVal&lt;&gt;"",_xlpm.CSVVal
)),"")</f>
        <v/>
      </c>
      <c r="E14" s="46" t="str" cm="1">
        <f t="array" ref="E14">IFERROR(_xlfn.LET(
_xlpm.CSVVal,_xlfn.XLOOKUP($A14,CSV!$A:$A,CSV!E:E,""),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_xlpm.CSVVal,_xlfn.XLOOKUP($A14,CSV!$A:$A,CSV!G:G,""),
_xlpm.MacVal,_xlfn.XLOOKUP($A14,Output_Mac!$A:$A,Output_Mac!G:G,""),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_xlfn.XLOOKUP(A14,Output_Mac!A:A,Output_Mac!H:H,"")</f>
        <v/>
      </c>
      <c r="I14" s="45" t="str" cm="1">
        <f t="array" ref="I14">IFERROR(_xlfn.LET(
_xlpm.CSVVal,_xlfn.XLOOKUP($A14,CSV!$A:$A,CSV!H:H,""),
_xlpm.MacVal,_xlfn.XLOOKUP($A14,Output_Mac!$A:$A,Output_Mac!I:I,""),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_xlpm.CSVVal,_xlfn.XLOOKUP($A14,CSV!$A:$A,CSV!J:J,""),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6" t="str" cm="1">
        <f t="array" ref="K14">IFERROR(_xlfn.LET(
_xlpm.CSVVal,_xlfn.XLOOKUP($A14,CSV!$A:$A,CSV!N:N,""),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_xlpm.CSVVal,_xlfn.XLOOKUP($A14,CSV!$A:$A,CSV!Q:Q,""),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CSV!AE:AE,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46" t="str" cm="1">
        <f t="array" ref="N14">IFERROR(_xlfn.LET(
_xlpm.CSVVal,_xlfn.XLOOKUP($A14,CSV!$A:$A,CSV!AG:AG,""),
_xlpm.MacVal,_xlfn.XLOOKUP($A14,Output_Mac!$A:$A,Output_Mac!T:T,""),
_xlpm.MyAuditVal,_xlfn.XLOOKUP($A14,My_Audit!$A:$A,My_Audit!O:O,""),
_xlfn.IFS(_xlpm.MyAuditVal&lt;&gt;"",UPPER(_xlpm.MyAuditVal),_xlpm.MacVal&lt;&gt;"",_xlpm.MacVal,_xlpm.CSVVal&lt;&gt;"",_xlpm.CSVVal
)),"")</f>
        <v/>
      </c>
      <c r="O14" s="46" t="str">
        <f>_xlfn.XLOOKUP(C14,My_Audit!B:B,My_Audit!P:P,"")&amp;""</f>
        <v/>
      </c>
      <c r="P14" s="45"/>
      <c r="Q14" s="46" t="str">
        <f>IF(LEFT(N14,4)="Pass","Nist SP 800-88",My_Audit!R14)&amp;""</f>
        <v/>
      </c>
      <c r="R14" s="45"/>
      <c r="S14" s="45"/>
      <c r="T14" s="46" t="str">
        <f>_xlfn.XLOOKUP(E14,Models!I:I,Models!J:J,"")</f>
        <v/>
      </c>
      <c r="U14" s="45"/>
      <c r="V14" s="45"/>
      <c r="W14" s="38" t="str">
        <f>_xlfn.LET(
    _xlpm.MacVal, _xlfn.XLOOKUP($A14, Output_Mac!$A:$A, Output_Mac!AA:AA, ""),
    _xlpm.MyAuditVal, _xlfn.XLOOKUP($A14, My_Audit!$A:$A, My_Audit!L:L, ""),
    _xlfn.TEXTJOIN(", ", TRUE, _xlpm.MyAuditVal, _xlpm.MacVal)
)</f>
        <v/>
      </c>
    </row>
    <row r="15" spans="1:23">
      <c r="A15" s="45" t="str">
        <f>_xlfn.TEXTJOIN("",TRUE,Input!$B$2,ROW(My_Audit!A14))</f>
        <v>CC14</v>
      </c>
      <c r="B15" s="45" t="str">
        <f>_xlfn.TEXTJOIN("-",TRUE,"ITD",Input!$A$2,A15)</f>
        <v>ITD-XXX-CC14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_xlpm.CSVVal,_xlfn.XLOOKUP($A15,CSV!$A:$A,CSV!C:C,""),
_xlpm.MacVal,_xlfn.XLOOKUP($A15,Output_Mac!$A:$A,Output_Mac!D:D,""),
_xlpm.MyAuditVal,_xlfn.XLOOKUP($A15,My_Audit!$A:$A,My_Audit!C:C,""),
_xlfn.IFS(_xlpm.MyAuditVal&lt;&gt;"",UPPER(_xlpm.MyAuditVal),_xlpm.MacVal&lt;&gt;"",_xlpm.MacVal,_xlpm.CSVVal&lt;&gt;"",_xlpm.CSVVal
)),"")</f>
        <v/>
      </c>
      <c r="E15" s="46" t="str" cm="1">
        <f t="array" ref="E15">IFERROR(_xlfn.LET(
_xlpm.CSVVal,_xlfn.XLOOKUP($A15,CSV!$A:$A,CSV!E:E,""),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_xlpm.CSVVal,_xlfn.XLOOKUP($A15,CSV!$A:$A,CSV!G:G,""),
_xlpm.MacVal,_xlfn.XLOOKUP($A15,Output_Mac!$A:$A,Output_Mac!G:G,""),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_xlfn.XLOOKUP(A15,Output_Mac!A:A,Output_Mac!H:H,"")</f>
        <v/>
      </c>
      <c r="I15" s="45" t="str" cm="1">
        <f t="array" ref="I15">IFERROR(_xlfn.LET(
_xlpm.CSVVal,_xlfn.XLOOKUP($A15,CSV!$A:$A,CSV!H:H,""),
_xlpm.MacVal,_xlfn.XLOOKUP($A15,Output_Mac!$A:$A,Output_Mac!I:I,""),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_xlpm.CSVVal,_xlfn.XLOOKUP($A15,CSV!$A:$A,CSV!J:J,""),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6" t="str" cm="1">
        <f t="array" ref="K15">IFERROR(_xlfn.LET(
_xlpm.CSVVal,_xlfn.XLOOKUP($A15,CSV!$A:$A,CSV!N:N,""),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_xlpm.CSVVal,_xlfn.XLOOKUP($A15,CSV!$A:$A,CSV!Q:Q,""),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CSV!AE:AE,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46" t="str" cm="1">
        <f t="array" ref="N15">IFERROR(_xlfn.LET(
_xlpm.CSVVal,_xlfn.XLOOKUP($A15,CSV!$A:$A,CSV!AG:AG,""),
_xlpm.MacVal,_xlfn.XLOOKUP($A15,Output_Mac!$A:$A,Output_Mac!T:T,""),
_xlpm.MyAuditVal,_xlfn.XLOOKUP($A15,My_Audit!$A:$A,My_Audit!O:O,""),
_xlfn.IFS(_xlpm.MyAuditVal&lt;&gt;"",UPPER(_xlpm.MyAuditVal),_xlpm.MacVal&lt;&gt;"",_xlpm.MacVal,_xlpm.CSVVal&lt;&gt;"",_xlpm.CSVVal
)),"")</f>
        <v/>
      </c>
      <c r="O15" s="46" t="str">
        <f>_xlfn.XLOOKUP(C15,My_Audit!B:B,My_Audit!P:P,"")&amp;""</f>
        <v/>
      </c>
      <c r="P15" s="45"/>
      <c r="Q15" s="46" t="str">
        <f>IF(LEFT(N15,4)="Pass","Nist SP 800-88",My_Audit!R15)&amp;""</f>
        <v/>
      </c>
      <c r="R15" s="45"/>
      <c r="S15" s="45"/>
      <c r="T15" s="46" t="str">
        <f>_xlfn.XLOOKUP(E15,Models!I:I,Models!J:J,"")</f>
        <v/>
      </c>
      <c r="U15" s="45"/>
      <c r="V15" s="45"/>
      <c r="W15" s="38" t="str">
        <f>_xlfn.LET(
    _xlpm.MacVal, _xlfn.XLOOKUP($A15, Output_Mac!$A:$A, Output_Mac!AA:AA, ""),
    _xlpm.MyAuditVal, _xlfn.XLOOKUP($A15, My_Audit!$A:$A, My_Audit!L:L, ""),
    _xlfn.TEXTJOIN(", ", TRUE, _xlpm.MyAuditVal, _xlpm.MacVal)
)</f>
        <v/>
      </c>
    </row>
    <row r="16" spans="1:23">
      <c r="A16" s="45" t="str">
        <f>_xlfn.TEXTJOIN("",TRUE,Input!$B$2,ROW(My_Audit!A15))</f>
        <v>CC15</v>
      </c>
      <c r="B16" s="45" t="str">
        <f>_xlfn.TEXTJOIN("-",TRUE,"ITD",Input!$A$2,A16)</f>
        <v>ITD-XXX-CC15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_xlpm.CSVVal,_xlfn.XLOOKUP($A16,CSV!$A:$A,CSV!C:C,""),
_xlpm.MacVal,_xlfn.XLOOKUP($A16,Output_Mac!$A:$A,Output_Mac!D:D,""),
_xlpm.MyAuditVal,_xlfn.XLOOKUP($A16,My_Audit!$A:$A,My_Audit!C:C,""),
_xlfn.IFS(_xlpm.MyAuditVal&lt;&gt;"",UPPER(_xlpm.MyAuditVal),_xlpm.MacVal&lt;&gt;"",_xlpm.MacVal,_xlpm.CSVVal&lt;&gt;"",_xlpm.CSVVal
)),"")</f>
        <v/>
      </c>
      <c r="E16" s="46" t="str" cm="1">
        <f t="array" ref="E16">IFERROR(_xlfn.LET(
_xlpm.CSVVal,_xlfn.XLOOKUP($A16,CSV!$A:$A,CSV!E:E,""),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_xlpm.CSVVal,_xlfn.XLOOKUP($A16,CSV!$A:$A,CSV!G:G,""),
_xlpm.MacVal,_xlfn.XLOOKUP($A16,Output_Mac!$A:$A,Output_Mac!G:G,""),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_xlfn.XLOOKUP(A16,Output_Mac!A:A,Output_Mac!H:H,"")</f>
        <v/>
      </c>
      <c r="I16" s="45" t="str" cm="1">
        <f t="array" ref="I16">IFERROR(_xlfn.LET(
_xlpm.CSVVal,_xlfn.XLOOKUP($A16,CSV!$A:$A,CSV!H:H,""),
_xlpm.MacVal,_xlfn.XLOOKUP($A16,Output_Mac!$A:$A,Output_Mac!I:I,""),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_xlpm.CSVVal,_xlfn.XLOOKUP($A16,CSV!$A:$A,CSV!J:J,""),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6" t="str" cm="1">
        <f t="array" ref="K16">IFERROR(_xlfn.LET(
_xlpm.CSVVal,_xlfn.XLOOKUP($A16,CSV!$A:$A,CSV!N:N,""),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_xlpm.CSVVal,_xlfn.XLOOKUP($A16,CSV!$A:$A,CSV!Q:Q,""),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CSV!AE:AE,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46" t="str" cm="1">
        <f t="array" ref="N16">IFERROR(_xlfn.LET(
_xlpm.CSVVal,_xlfn.XLOOKUP($A16,CSV!$A:$A,CSV!AG:AG,""),
_xlpm.MacVal,_xlfn.XLOOKUP($A16,Output_Mac!$A:$A,Output_Mac!T:T,""),
_xlpm.MyAuditVal,_xlfn.XLOOKUP($A16,My_Audit!$A:$A,My_Audit!O:O,""),
_xlfn.IFS(_xlpm.MyAuditVal&lt;&gt;"",UPPER(_xlpm.MyAuditVal),_xlpm.MacVal&lt;&gt;"",_xlpm.MacVal,_xlpm.CSVVal&lt;&gt;"",_xlpm.CSVVal
)),"")</f>
        <v/>
      </c>
      <c r="O16" s="46" t="str">
        <f>_xlfn.XLOOKUP(C16,My_Audit!B:B,My_Audit!P:P,"")&amp;""</f>
        <v/>
      </c>
      <c r="P16" s="45"/>
      <c r="Q16" s="46" t="str">
        <f>IF(LEFT(N16,4)="Pass","Nist SP 800-88",My_Audit!R16)&amp;""</f>
        <v/>
      </c>
      <c r="R16" s="45"/>
      <c r="S16" s="45"/>
      <c r="T16" s="46" t="str">
        <f>_xlfn.XLOOKUP(E16,Models!I:I,Models!J:J,"")</f>
        <v/>
      </c>
      <c r="U16" s="45"/>
      <c r="V16" s="45"/>
      <c r="W16" s="38" t="str">
        <f>_xlfn.LET(
    _xlpm.MacVal, _xlfn.XLOOKUP($A16, Output_Mac!$A:$A, Output_Mac!AA:AA, ""),
    _xlpm.MyAuditVal, _xlfn.XLOOKUP($A16, My_Audit!$A:$A, My_Audit!L:L, ""),
    _xlfn.TEXTJOIN(", ", TRUE, _xlpm.MyAuditVal, _xlpm.MacVal)
)</f>
        <v/>
      </c>
    </row>
    <row r="17" spans="1:23">
      <c r="A17" s="45" t="str">
        <f>_xlfn.TEXTJOIN("",TRUE,Input!$B$2,ROW(My_Audit!A16))</f>
        <v>CC16</v>
      </c>
      <c r="B17" s="45" t="str">
        <f>_xlfn.TEXTJOIN("-",TRUE,"ITD",Input!$A$2,A17)</f>
        <v>ITD-XXX-CC16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_xlpm.CSVVal,_xlfn.XLOOKUP($A17,CSV!$A:$A,CSV!C:C,""),
_xlpm.MacVal,_xlfn.XLOOKUP($A17,Output_Mac!$A:$A,Output_Mac!D:D,""),
_xlpm.MyAuditVal,_xlfn.XLOOKUP($A17,My_Audit!$A:$A,My_Audit!C:C,""),
_xlfn.IFS(_xlpm.MyAuditVal&lt;&gt;"",UPPER(_xlpm.MyAuditVal),_xlpm.MacVal&lt;&gt;"",_xlpm.MacVal,_xlpm.CSVVal&lt;&gt;"",_xlpm.CSVVal
)),"")</f>
        <v/>
      </c>
      <c r="E17" s="46" t="str" cm="1">
        <f t="array" ref="E17">IFERROR(_xlfn.LET(
_xlpm.CSVVal,_xlfn.XLOOKUP($A17,CSV!$A:$A,CSV!E:E,""),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_xlpm.CSVVal,_xlfn.XLOOKUP($A17,CSV!$A:$A,CSV!G:G,""),
_xlpm.MacVal,_xlfn.XLOOKUP($A17,Output_Mac!$A:$A,Output_Mac!G:G,""),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_xlfn.XLOOKUP(A17,Output_Mac!A:A,Output_Mac!H:H,"")</f>
        <v/>
      </c>
      <c r="I17" s="45" t="str" cm="1">
        <f t="array" ref="I17">IFERROR(_xlfn.LET(
_xlpm.CSVVal,_xlfn.XLOOKUP($A17,CSV!$A:$A,CSV!H:H,""),
_xlpm.MacVal,_xlfn.XLOOKUP($A17,Output_Mac!$A:$A,Output_Mac!I:I,""),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_xlpm.CSVVal,_xlfn.XLOOKUP($A17,CSV!$A:$A,CSV!J:J,""),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6" t="str" cm="1">
        <f t="array" ref="K17">IFERROR(_xlfn.LET(
_xlpm.CSVVal,_xlfn.XLOOKUP($A17,CSV!$A:$A,CSV!N:N,""),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_xlpm.CSVVal,_xlfn.XLOOKUP($A17,CSV!$A:$A,CSV!Q:Q,""),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CSV!AE:AE,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46" t="str" cm="1">
        <f t="array" ref="N17">IFERROR(_xlfn.LET(
_xlpm.CSVVal,_xlfn.XLOOKUP($A17,CSV!$A:$A,CSV!AG:AG,""),
_xlpm.MacVal,_xlfn.XLOOKUP($A17,Output_Mac!$A:$A,Output_Mac!T:T,""),
_xlpm.MyAuditVal,_xlfn.XLOOKUP($A17,My_Audit!$A:$A,My_Audit!O:O,""),
_xlfn.IFS(_xlpm.MyAuditVal&lt;&gt;"",UPPER(_xlpm.MyAuditVal),_xlpm.MacVal&lt;&gt;"",_xlpm.MacVal,_xlpm.CSVVal&lt;&gt;"",_xlpm.CSVVal
)),"")</f>
        <v/>
      </c>
      <c r="O17" s="46" t="str">
        <f>_xlfn.XLOOKUP(C17,My_Audit!B:B,My_Audit!P:P,"")&amp;""</f>
        <v/>
      </c>
      <c r="P17" s="45"/>
      <c r="Q17" s="46" t="str">
        <f>IF(LEFT(N17,4)="Pass","Nist SP 800-88",My_Audit!R17)&amp;""</f>
        <v/>
      </c>
      <c r="R17" s="45"/>
      <c r="S17" s="45"/>
      <c r="T17" s="46" t="str">
        <f>_xlfn.XLOOKUP(E17,Models!I:I,Models!J:J,"")</f>
        <v/>
      </c>
      <c r="U17" s="45"/>
      <c r="V17" s="45"/>
      <c r="W17" s="38" t="str">
        <f>_xlfn.LET(
    _xlpm.MacVal, _xlfn.XLOOKUP($A17, Output_Mac!$A:$A, Output_Mac!AA:AA, ""),
    _xlpm.MyAuditVal, _xlfn.XLOOKUP($A17, My_Audit!$A:$A, My_Audit!L:L, ""),
    _xlfn.TEXTJOIN(", ", TRUE, _xlpm.MyAuditVal, _xlpm.MacVal)
)</f>
        <v/>
      </c>
    </row>
    <row r="18" spans="1:23">
      <c r="A18" s="45" t="str">
        <f>_xlfn.TEXTJOIN("",TRUE,Input!$B$2,ROW(My_Audit!A17))</f>
        <v>CC17</v>
      </c>
      <c r="B18" s="45" t="str">
        <f>_xlfn.TEXTJOIN("-",TRUE,"ITD",Input!$A$2,A18)</f>
        <v>ITD-XXX-CC17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_xlpm.CSVVal,_xlfn.XLOOKUP($A18,CSV!$A:$A,CSV!C:C,""),
_xlpm.MacVal,_xlfn.XLOOKUP($A18,Output_Mac!$A:$A,Output_Mac!D:D,""),
_xlpm.MyAuditVal,_xlfn.XLOOKUP($A18,My_Audit!$A:$A,My_Audit!C:C,""),
_xlfn.IFS(_xlpm.MyAuditVal&lt;&gt;"",UPPER(_xlpm.MyAuditVal),_xlpm.MacVal&lt;&gt;"",_xlpm.MacVal,_xlpm.CSVVal&lt;&gt;"",_xlpm.CSVVal
)),"")</f>
        <v/>
      </c>
      <c r="E18" s="46" t="str" cm="1">
        <f t="array" ref="E18">IFERROR(_xlfn.LET(
_xlpm.CSVVal,_xlfn.XLOOKUP($A18,CSV!$A:$A,CSV!E:E,""),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_xlpm.CSVVal,_xlfn.XLOOKUP($A18,CSV!$A:$A,CSV!G:G,""),
_xlpm.MacVal,_xlfn.XLOOKUP($A18,Output_Mac!$A:$A,Output_Mac!G:G,""),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_xlfn.XLOOKUP(A18,Output_Mac!A:A,Output_Mac!H:H,"")</f>
        <v/>
      </c>
      <c r="I18" s="45" t="str" cm="1">
        <f t="array" ref="I18">IFERROR(_xlfn.LET(
_xlpm.CSVVal,_xlfn.XLOOKUP($A18,CSV!$A:$A,CSV!H:H,""),
_xlpm.MacVal,_xlfn.XLOOKUP($A18,Output_Mac!$A:$A,Output_Mac!I:I,""),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_xlpm.CSVVal,_xlfn.XLOOKUP($A18,CSV!$A:$A,CSV!J:J,""),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6" t="str" cm="1">
        <f t="array" ref="K18">IFERROR(_xlfn.LET(
_xlpm.CSVVal,_xlfn.XLOOKUP($A18,CSV!$A:$A,CSV!N:N,""),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_xlpm.CSVVal,_xlfn.XLOOKUP($A18,CSV!$A:$A,CSV!Q:Q,""),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CSV!AE:AE,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46" t="str" cm="1">
        <f t="array" ref="N18">IFERROR(_xlfn.LET(
_xlpm.CSVVal,_xlfn.XLOOKUP($A18,CSV!$A:$A,CSV!AG:AG,""),
_xlpm.MacVal,_xlfn.XLOOKUP($A18,Output_Mac!$A:$A,Output_Mac!T:T,""),
_xlpm.MyAuditVal,_xlfn.XLOOKUP($A18,My_Audit!$A:$A,My_Audit!O:O,""),
_xlfn.IFS(_xlpm.MyAuditVal&lt;&gt;"",UPPER(_xlpm.MyAuditVal),_xlpm.MacVal&lt;&gt;"",_xlpm.MacVal,_xlpm.CSVVal&lt;&gt;"",_xlpm.CSVVal
)),"")</f>
        <v/>
      </c>
      <c r="O18" s="46" t="str">
        <f>_xlfn.XLOOKUP(C18,My_Audit!B:B,My_Audit!P:P,"")&amp;""</f>
        <v/>
      </c>
      <c r="P18" s="45"/>
      <c r="Q18" s="46" t="str">
        <f>IF(LEFT(N18,4)="Pass","Nist SP 800-88",My_Audit!R18)&amp;""</f>
        <v/>
      </c>
      <c r="R18" s="45"/>
      <c r="S18" s="45"/>
      <c r="T18" s="46" t="str">
        <f>_xlfn.XLOOKUP(E18,Models!I:I,Models!J:J,"")</f>
        <v/>
      </c>
      <c r="U18" s="45"/>
      <c r="V18" s="45"/>
      <c r="W18" s="38" t="str">
        <f>_xlfn.LET(
    _xlpm.MacVal, _xlfn.XLOOKUP($A18, Output_Mac!$A:$A, Output_Mac!AA:AA, ""),
    _xlpm.MyAuditVal, _xlfn.XLOOKUP($A18, My_Audit!$A:$A, My_Audit!L:L, ""),
    _xlfn.TEXTJOIN(", ", TRUE, _xlpm.MyAuditVal, _xlpm.MacVal)
)</f>
        <v/>
      </c>
    </row>
    <row r="19" spans="1:23">
      <c r="A19" s="45" t="str">
        <f>_xlfn.TEXTJOIN("",TRUE,Input!$B$2,ROW(My_Audit!A18))</f>
        <v>CC18</v>
      </c>
      <c r="B19" s="45" t="str">
        <f>_xlfn.TEXTJOIN("-",TRUE,"ITD",Input!$A$2,A19)</f>
        <v>ITD-XXX-CC18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_xlpm.CSVVal,_xlfn.XLOOKUP($A19,CSV!$A:$A,CSV!C:C,""),
_xlpm.MacVal,_xlfn.XLOOKUP($A19,Output_Mac!$A:$A,Output_Mac!D:D,""),
_xlpm.MyAuditVal,_xlfn.XLOOKUP($A19,My_Audit!$A:$A,My_Audit!C:C,""),
_xlfn.IFS(_xlpm.MyAuditVal&lt;&gt;"",UPPER(_xlpm.MyAuditVal),_xlpm.MacVal&lt;&gt;"",_xlpm.MacVal,_xlpm.CSVVal&lt;&gt;"",_xlpm.CSVVal
)),"")</f>
        <v/>
      </c>
      <c r="E19" s="46" t="str" cm="1">
        <f t="array" ref="E19">IFERROR(_xlfn.LET(
_xlpm.CSVVal,_xlfn.XLOOKUP($A19,CSV!$A:$A,CSV!E:E,""),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_xlpm.CSVVal,_xlfn.XLOOKUP($A19,CSV!$A:$A,CSV!G:G,""),
_xlpm.MacVal,_xlfn.XLOOKUP($A19,Output_Mac!$A:$A,Output_Mac!G:G,""),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_xlfn.XLOOKUP(A19,Output_Mac!A:A,Output_Mac!H:H,"")</f>
        <v/>
      </c>
      <c r="I19" s="45" t="str" cm="1">
        <f t="array" ref="I19">IFERROR(_xlfn.LET(
_xlpm.CSVVal,_xlfn.XLOOKUP($A19,CSV!$A:$A,CSV!H:H,""),
_xlpm.MacVal,_xlfn.XLOOKUP($A19,Output_Mac!$A:$A,Output_Mac!I:I,""),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_xlpm.CSVVal,_xlfn.XLOOKUP($A19,CSV!$A:$A,CSV!J:J,""),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6" t="str" cm="1">
        <f t="array" ref="K19">IFERROR(_xlfn.LET(
_xlpm.CSVVal,_xlfn.XLOOKUP($A19,CSV!$A:$A,CSV!N:N,""),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_xlpm.CSVVal,_xlfn.XLOOKUP($A19,CSV!$A:$A,CSV!Q:Q,""),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CSV!AE:AE,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46" t="str" cm="1">
        <f t="array" ref="N19">IFERROR(_xlfn.LET(
_xlpm.CSVVal,_xlfn.XLOOKUP($A19,CSV!$A:$A,CSV!AG:AG,""),
_xlpm.MacVal,_xlfn.XLOOKUP($A19,Output_Mac!$A:$A,Output_Mac!T:T,""),
_xlpm.MyAuditVal,_xlfn.XLOOKUP($A19,My_Audit!$A:$A,My_Audit!O:O,""),
_xlfn.IFS(_xlpm.MyAuditVal&lt;&gt;"",UPPER(_xlpm.MyAuditVal),_xlpm.MacVal&lt;&gt;"",_xlpm.MacVal,_xlpm.CSVVal&lt;&gt;"",_xlpm.CSVVal
)),"")</f>
        <v/>
      </c>
      <c r="O19" s="46" t="str">
        <f>_xlfn.XLOOKUP(C19,My_Audit!B:B,My_Audit!P:P,"")&amp;""</f>
        <v/>
      </c>
      <c r="P19" s="45"/>
      <c r="Q19" s="46" t="str">
        <f>IF(LEFT(N19,4)="Pass","Nist SP 800-88",My_Audit!R19)&amp;""</f>
        <v/>
      </c>
      <c r="R19" s="45"/>
      <c r="S19" s="45"/>
      <c r="T19" s="46" t="str">
        <f>_xlfn.XLOOKUP(E19,Models!I:I,Models!J:J,"")</f>
        <v/>
      </c>
      <c r="U19" s="45"/>
      <c r="V19" s="45"/>
      <c r="W19" s="38" t="str">
        <f>_xlfn.LET(
    _xlpm.MacVal, _xlfn.XLOOKUP($A19, Output_Mac!$A:$A, Output_Mac!AA:AA, ""),
    _xlpm.MyAuditVal, _xlfn.XLOOKUP($A19, My_Audit!$A:$A, My_Audit!L:L, ""),
    _xlfn.TEXTJOIN(", ", TRUE, _xlpm.MyAuditVal, _xlpm.MacVal)
)</f>
        <v/>
      </c>
    </row>
    <row r="20" spans="1:23">
      <c r="A20" s="45" t="str">
        <f>_xlfn.TEXTJOIN("",TRUE,Input!$B$2,ROW(My_Audit!A19))</f>
        <v>CC19</v>
      </c>
      <c r="B20" s="45" t="str">
        <f>_xlfn.TEXTJOIN("-",TRUE,"ITD",Input!$A$2,A20)</f>
        <v>ITD-XXX-CC19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_xlpm.CSVVal,_xlfn.XLOOKUP($A20,CSV!$A:$A,CSV!C:C,""),
_xlpm.MacVal,_xlfn.XLOOKUP($A20,Output_Mac!$A:$A,Output_Mac!D:D,""),
_xlpm.MyAuditVal,_xlfn.XLOOKUP($A20,My_Audit!$A:$A,My_Audit!C:C,""),
_xlfn.IFS(_xlpm.MyAuditVal&lt;&gt;"",UPPER(_xlpm.MyAuditVal),_xlpm.MacVal&lt;&gt;"",_xlpm.MacVal,_xlpm.CSVVal&lt;&gt;"",_xlpm.CSVVal
)),"")</f>
        <v/>
      </c>
      <c r="E20" s="46" t="str" cm="1">
        <f t="array" ref="E20">IFERROR(_xlfn.LET(
_xlpm.CSVVal,_xlfn.XLOOKUP($A20,CSV!$A:$A,CSV!E:E,""),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_xlpm.CSVVal,_xlfn.XLOOKUP($A20,CSV!$A:$A,CSV!G:G,""),
_xlpm.MacVal,_xlfn.XLOOKUP($A20,Output_Mac!$A:$A,Output_Mac!G:G,""),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_xlfn.XLOOKUP(A20,Output_Mac!A:A,Output_Mac!H:H,"")</f>
        <v/>
      </c>
      <c r="I20" s="45" t="str" cm="1">
        <f t="array" ref="I20">IFERROR(_xlfn.LET(
_xlpm.CSVVal,_xlfn.XLOOKUP($A20,CSV!$A:$A,CSV!H:H,""),
_xlpm.MacVal,_xlfn.XLOOKUP($A20,Output_Mac!$A:$A,Output_Mac!I:I,""),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_xlpm.CSVVal,_xlfn.XLOOKUP($A20,CSV!$A:$A,CSV!J:J,""),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6" t="str" cm="1">
        <f t="array" ref="K20">IFERROR(_xlfn.LET(
_xlpm.CSVVal,_xlfn.XLOOKUP($A20,CSV!$A:$A,CSV!N:N,""),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_xlpm.CSVVal,_xlfn.XLOOKUP($A20,CSV!$A:$A,CSV!Q:Q,""),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CSV!AE:AE,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46" t="str" cm="1">
        <f t="array" ref="N20">IFERROR(_xlfn.LET(
_xlpm.CSVVal,_xlfn.XLOOKUP($A20,CSV!$A:$A,CSV!AG:AG,""),
_xlpm.MacVal,_xlfn.XLOOKUP($A20,Output_Mac!$A:$A,Output_Mac!T:T,""),
_xlpm.MyAuditVal,_xlfn.XLOOKUP($A20,My_Audit!$A:$A,My_Audit!O:O,""),
_xlfn.IFS(_xlpm.MyAuditVal&lt;&gt;"",UPPER(_xlpm.MyAuditVal),_xlpm.MacVal&lt;&gt;"",_xlpm.MacVal,_xlpm.CSVVal&lt;&gt;"",_xlpm.CSVVal
)),"")</f>
        <v/>
      </c>
      <c r="O20" s="46" t="str">
        <f>_xlfn.XLOOKUP(C20,My_Audit!B:B,My_Audit!P:P,"")&amp;""</f>
        <v/>
      </c>
      <c r="P20" s="45"/>
      <c r="Q20" s="46" t="str">
        <f>IF(LEFT(N20,4)="Pass","Nist SP 800-88",My_Audit!R20)&amp;""</f>
        <v/>
      </c>
      <c r="R20" s="45"/>
      <c r="S20" s="45"/>
      <c r="T20" s="46" t="str">
        <f>_xlfn.XLOOKUP(E20,Models!I:I,Models!J:J,"")</f>
        <v/>
      </c>
      <c r="U20" s="45"/>
      <c r="V20" s="45"/>
      <c r="W20" s="38" t="str">
        <f>_xlfn.LET(
    _xlpm.MacVal, _xlfn.XLOOKUP($A20, Output_Mac!$A:$A, Output_Mac!AA:AA, ""),
    _xlpm.MyAuditVal, _xlfn.XLOOKUP($A20, My_Audit!$A:$A, My_Audit!L:L, ""),
    _xlfn.TEXTJOIN(", ", TRUE, _xlpm.MyAuditVal, _xlpm.MacVal)
)</f>
        <v/>
      </c>
    </row>
    <row r="21" spans="1:23">
      <c r="A21" s="45" t="str">
        <f>_xlfn.TEXTJOIN("",TRUE,Input!$B$2,ROW(My_Audit!A20))</f>
        <v>CC20</v>
      </c>
      <c r="B21" s="45" t="str">
        <f>_xlfn.TEXTJOIN("-",TRUE,"ITD",Input!$A$2,A21)</f>
        <v>ITD-XXX-CC20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_xlpm.CSVVal,_xlfn.XLOOKUP($A21,CSV!$A:$A,CSV!C:C,""),
_xlpm.MacVal,_xlfn.XLOOKUP($A21,Output_Mac!$A:$A,Output_Mac!D:D,""),
_xlpm.MyAuditVal,_xlfn.XLOOKUP($A21,My_Audit!$A:$A,My_Audit!C:C,""),
_xlfn.IFS(_xlpm.MyAuditVal&lt;&gt;"",UPPER(_xlpm.MyAuditVal),_xlpm.MacVal&lt;&gt;"",_xlpm.MacVal,_xlpm.CSVVal&lt;&gt;"",_xlpm.CSVVal
)),"")</f>
        <v/>
      </c>
      <c r="E21" s="46" t="str" cm="1">
        <f t="array" ref="E21">IFERROR(_xlfn.LET(
_xlpm.CSVVal,_xlfn.XLOOKUP($A21,CSV!$A:$A,CSV!E:E,""),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_xlpm.CSVVal,_xlfn.XLOOKUP($A21,CSV!$A:$A,CSV!G:G,""),
_xlpm.MacVal,_xlfn.XLOOKUP($A21,Output_Mac!$A:$A,Output_Mac!G:G,""),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_xlfn.XLOOKUP(A21,Output_Mac!A:A,Output_Mac!H:H,"")</f>
        <v/>
      </c>
      <c r="I21" s="45" t="str" cm="1">
        <f t="array" ref="I21">IFERROR(_xlfn.LET(
_xlpm.CSVVal,_xlfn.XLOOKUP($A21,CSV!$A:$A,CSV!H:H,""),
_xlpm.MacVal,_xlfn.XLOOKUP($A21,Output_Mac!$A:$A,Output_Mac!I:I,""),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_xlpm.CSVVal,_xlfn.XLOOKUP($A21,CSV!$A:$A,CSV!J:J,""),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6" t="str" cm="1">
        <f t="array" ref="K21">IFERROR(_xlfn.LET(
_xlpm.CSVVal,_xlfn.XLOOKUP($A21,CSV!$A:$A,CSV!N:N,""),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_xlpm.CSVVal,_xlfn.XLOOKUP($A21,CSV!$A:$A,CSV!Q:Q,""),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CSV!AE:AE,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46" t="str" cm="1">
        <f t="array" ref="N21">IFERROR(_xlfn.LET(
_xlpm.CSVVal,_xlfn.XLOOKUP($A21,CSV!$A:$A,CSV!AG:AG,""),
_xlpm.MacVal,_xlfn.XLOOKUP($A21,Output_Mac!$A:$A,Output_Mac!T:T,""),
_xlpm.MyAuditVal,_xlfn.XLOOKUP($A21,My_Audit!$A:$A,My_Audit!O:O,""),
_xlfn.IFS(_xlpm.MyAuditVal&lt;&gt;"",UPPER(_xlpm.MyAuditVal),_xlpm.MacVal&lt;&gt;"",_xlpm.MacVal,_xlpm.CSVVal&lt;&gt;"",_xlpm.CSVVal
)),"")</f>
        <v/>
      </c>
      <c r="O21" s="46" t="str">
        <f>_xlfn.XLOOKUP(C21,My_Audit!B:B,My_Audit!P:P,"")&amp;""</f>
        <v/>
      </c>
      <c r="P21" s="45"/>
      <c r="Q21" s="46" t="str">
        <f>IF(LEFT(N21,4)="Pass","Nist SP 800-88",My_Audit!R21)&amp;""</f>
        <v/>
      </c>
      <c r="R21" s="45"/>
      <c r="S21" s="45"/>
      <c r="T21" s="46" t="str">
        <f>_xlfn.XLOOKUP(E21,Models!I:I,Models!J:J,"")</f>
        <v/>
      </c>
      <c r="U21" s="45"/>
      <c r="V21" s="45"/>
      <c r="W21" s="38" t="str">
        <f>_xlfn.LET(
    _xlpm.MacVal, _xlfn.XLOOKUP($A21, Output_Mac!$A:$A, Output_Mac!AA:AA, ""),
    _xlpm.MyAuditVal, _xlfn.XLOOKUP($A21, My_Audit!$A:$A, My_Audit!L:L, ""),
    _xlfn.TEXTJOIN(", ", TRUE, _xlpm.MyAuditVal, _xlpm.MacVal)
)</f>
        <v/>
      </c>
    </row>
    <row r="22" spans="1:23">
      <c r="A22" s="45" t="str">
        <f>_xlfn.TEXTJOIN("",TRUE,Input!$B$2,ROW(My_Audit!A21))</f>
        <v>CC21</v>
      </c>
      <c r="B22" s="45" t="str">
        <f>_xlfn.TEXTJOIN("-",TRUE,"ITD",Input!$A$2,A22)</f>
        <v>ITD-XXX-CC21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_xlpm.CSVVal,_xlfn.XLOOKUP($A22,CSV!$A:$A,CSV!C:C,""),
_xlpm.MacVal,_xlfn.XLOOKUP($A22,Output_Mac!$A:$A,Output_Mac!D:D,""),
_xlpm.MyAuditVal,_xlfn.XLOOKUP($A22,My_Audit!$A:$A,My_Audit!C:C,""),
_xlfn.IFS(_xlpm.MyAuditVal&lt;&gt;"",UPPER(_xlpm.MyAuditVal),_xlpm.MacVal&lt;&gt;"",_xlpm.MacVal,_xlpm.CSVVal&lt;&gt;"",_xlpm.CSVVal
)),"")</f>
        <v/>
      </c>
      <c r="E22" s="46" t="str" cm="1">
        <f t="array" ref="E22">IFERROR(_xlfn.LET(
_xlpm.CSVVal,_xlfn.XLOOKUP($A22,CSV!$A:$A,CSV!E:E,""),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_xlpm.CSVVal,_xlfn.XLOOKUP($A22,CSV!$A:$A,CSV!G:G,""),
_xlpm.MacVal,_xlfn.XLOOKUP($A22,Output_Mac!$A:$A,Output_Mac!G:G,""),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_xlfn.XLOOKUP(A22,Output_Mac!A:A,Output_Mac!H:H,"")</f>
        <v/>
      </c>
      <c r="I22" s="45" t="str" cm="1">
        <f t="array" ref="I22">IFERROR(_xlfn.LET(
_xlpm.CSVVal,_xlfn.XLOOKUP($A22,CSV!$A:$A,CSV!H:H,""),
_xlpm.MacVal,_xlfn.XLOOKUP($A22,Output_Mac!$A:$A,Output_Mac!I:I,""),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_xlpm.CSVVal,_xlfn.XLOOKUP($A22,CSV!$A:$A,CSV!J:J,""),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6" t="str" cm="1">
        <f t="array" ref="K22">IFERROR(_xlfn.LET(
_xlpm.CSVVal,_xlfn.XLOOKUP($A22,CSV!$A:$A,CSV!N:N,""),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_xlpm.CSVVal,_xlfn.XLOOKUP($A22,CSV!$A:$A,CSV!Q:Q,""),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CSV!AE:AE,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46" t="str" cm="1">
        <f t="array" ref="N22">IFERROR(_xlfn.LET(
_xlpm.CSVVal,_xlfn.XLOOKUP($A22,CSV!$A:$A,CSV!AG:AG,""),
_xlpm.MacVal,_xlfn.XLOOKUP($A22,Output_Mac!$A:$A,Output_Mac!T:T,""),
_xlpm.MyAuditVal,_xlfn.XLOOKUP($A22,My_Audit!$A:$A,My_Audit!O:O,""),
_xlfn.IFS(_xlpm.MyAuditVal&lt;&gt;"",UPPER(_xlpm.MyAuditVal),_xlpm.MacVal&lt;&gt;"",_xlpm.MacVal,_xlpm.CSVVal&lt;&gt;"",_xlpm.CSVVal
)),"")</f>
        <v/>
      </c>
      <c r="O22" s="46" t="str">
        <f>_xlfn.XLOOKUP(C22,My_Audit!B:B,My_Audit!P:P,"")&amp;""</f>
        <v/>
      </c>
      <c r="P22" s="45"/>
      <c r="Q22" s="46" t="str">
        <f>IF(LEFT(N22,4)="Pass","Nist SP 800-88",My_Audit!R22)&amp;""</f>
        <v/>
      </c>
      <c r="R22" s="45"/>
      <c r="S22" s="45"/>
      <c r="T22" s="46" t="str">
        <f>_xlfn.XLOOKUP(E22,Models!I:I,Models!J:J,"")</f>
        <v/>
      </c>
      <c r="U22" s="45"/>
      <c r="V22" s="45"/>
      <c r="W22" s="38" t="str">
        <f>_xlfn.LET(
    _xlpm.MacVal, _xlfn.XLOOKUP($A22, Output_Mac!$A:$A, Output_Mac!AA:AA, ""),
    _xlpm.MyAuditVal, _xlfn.XLOOKUP($A22, My_Audit!$A:$A, My_Audit!L:L, ""),
    _xlfn.TEXTJOIN(", ", TRUE, _xlpm.MyAuditVal, _xlpm.MacVal)
)</f>
        <v/>
      </c>
    </row>
    <row r="23" spans="1:23">
      <c r="A23" s="45" t="str">
        <f>_xlfn.TEXTJOIN("",TRUE,Input!$B$2,ROW(My_Audit!A22))</f>
        <v>CC22</v>
      </c>
      <c r="B23" s="45" t="str">
        <f>_xlfn.TEXTJOIN("-",TRUE,"ITD",Input!$A$2,A23)</f>
        <v>ITD-XXX-CC22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_xlpm.CSVVal,_xlfn.XLOOKUP($A23,CSV!$A:$A,CSV!C:C,""),
_xlpm.MacVal,_xlfn.XLOOKUP($A23,Output_Mac!$A:$A,Output_Mac!D:D,""),
_xlpm.MyAuditVal,_xlfn.XLOOKUP($A23,My_Audit!$A:$A,My_Audit!C:C,""),
_xlfn.IFS(_xlpm.MyAuditVal&lt;&gt;"",UPPER(_xlpm.MyAuditVal),_xlpm.MacVal&lt;&gt;"",_xlpm.MacVal,_xlpm.CSVVal&lt;&gt;"",_xlpm.CSVVal
)),"")</f>
        <v/>
      </c>
      <c r="E23" s="46" t="str" cm="1">
        <f t="array" ref="E23">IFERROR(_xlfn.LET(
_xlpm.CSVVal,_xlfn.XLOOKUP($A23,CSV!$A:$A,CSV!E:E,""),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_xlpm.CSVVal,_xlfn.XLOOKUP($A23,CSV!$A:$A,CSV!G:G,""),
_xlpm.MacVal,_xlfn.XLOOKUP($A23,Output_Mac!$A:$A,Output_Mac!G:G,""),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_xlfn.XLOOKUP(A23,Output_Mac!A:A,Output_Mac!H:H,"")</f>
        <v/>
      </c>
      <c r="I23" s="45" t="str" cm="1">
        <f t="array" ref="I23">IFERROR(_xlfn.LET(
_xlpm.CSVVal,_xlfn.XLOOKUP($A23,CSV!$A:$A,CSV!H:H,""),
_xlpm.MacVal,_xlfn.XLOOKUP($A23,Output_Mac!$A:$A,Output_Mac!I:I,""),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_xlpm.CSVVal,_xlfn.XLOOKUP($A23,CSV!$A:$A,CSV!J:J,""),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6" t="str" cm="1">
        <f t="array" ref="K23">IFERROR(_xlfn.LET(
_xlpm.CSVVal,_xlfn.XLOOKUP($A23,CSV!$A:$A,CSV!N:N,""),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_xlpm.CSVVal,_xlfn.XLOOKUP($A23,CSV!$A:$A,CSV!Q:Q,""),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CSV!AE:AE,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46" t="str" cm="1">
        <f t="array" ref="N23">IFERROR(_xlfn.LET(
_xlpm.CSVVal,_xlfn.XLOOKUP($A23,CSV!$A:$A,CSV!AG:AG,""),
_xlpm.MacVal,_xlfn.XLOOKUP($A23,Output_Mac!$A:$A,Output_Mac!T:T,""),
_xlpm.MyAuditVal,_xlfn.XLOOKUP($A23,My_Audit!$A:$A,My_Audit!O:O,""),
_xlfn.IFS(_xlpm.MyAuditVal&lt;&gt;"",UPPER(_xlpm.MyAuditVal),_xlpm.MacVal&lt;&gt;"",_xlpm.MacVal,_xlpm.CSVVal&lt;&gt;"",_xlpm.CSVVal
)),"")</f>
        <v/>
      </c>
      <c r="O23" s="46" t="str">
        <f>_xlfn.XLOOKUP(C23,My_Audit!B:B,My_Audit!P:P,"")&amp;""</f>
        <v/>
      </c>
      <c r="P23" s="45"/>
      <c r="Q23" s="46" t="str">
        <f>IF(LEFT(N23,4)="Pass","Nist SP 800-88",My_Audit!R23)&amp;""</f>
        <v/>
      </c>
      <c r="R23" s="45"/>
      <c r="S23" s="45"/>
      <c r="T23" s="46" t="str">
        <f>_xlfn.XLOOKUP(E23,Models!I:I,Models!J:J,"")</f>
        <v/>
      </c>
      <c r="U23" s="45"/>
      <c r="V23" s="45"/>
      <c r="W23" s="38" t="str">
        <f>_xlfn.LET(
    _xlpm.MacVal, _xlfn.XLOOKUP($A23, Output_Mac!$A:$A, Output_Mac!AA:AA, ""),
    _xlpm.MyAuditVal, _xlfn.XLOOKUP($A23, My_Audit!$A:$A, My_Audit!L:L, ""),
    _xlfn.TEXTJOIN(", ", TRUE, _xlpm.MyAuditVal, _xlpm.MacVal)
)</f>
        <v/>
      </c>
    </row>
    <row r="24" spans="1:23">
      <c r="A24" s="45" t="str">
        <f>_xlfn.TEXTJOIN("",TRUE,Input!$B$2,ROW(My_Audit!A23))</f>
        <v>CC23</v>
      </c>
      <c r="B24" s="45" t="str">
        <f>_xlfn.TEXTJOIN("-",TRUE,"ITD",Input!$A$2,A24)</f>
        <v>ITD-XXX-CC23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 cm="1">
        <f t="array" ref="D24">IFERROR(_xlfn.LET(
_xlpm.CSVVal,_xlfn.XLOOKUP($A24,CSV!$A:$A,CSV!C:C,""),
_xlpm.MacVal,_xlfn.XLOOKUP($A24,Output_Mac!$A:$A,Output_Mac!D:D,""),
_xlpm.MyAuditVal,_xlfn.XLOOKUP($A24,My_Audit!$A:$A,My_Audit!C:C,""),
_xlfn.IFS(_xlpm.MyAuditVal&lt;&gt;"",UPPER(_xlpm.MyAuditVal),_xlpm.MacVal&lt;&gt;"",_xlpm.MacVal,_xlpm.CSVVal&lt;&gt;"",_xlpm.CSVVal
)),"")</f>
        <v/>
      </c>
      <c r="E24" s="46" t="str" cm="1">
        <f t="array" ref="E24">IFERROR(_xlfn.LET(
_xlpm.CSVVal,_xlfn.XLOOKUP($A24,CSV!$A:$A,CSV!E:E,""),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45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_xlfn.IFS(_xlpm.MyAuditVal&lt;&gt;"",_xlpm.MyAuditVal,_xlpm.MacVal&lt;&gt;"",_xlpm.MacVal,_xlpm.CSVVal&lt;&gt;"",PROPER(_xlpm.CSVVal)
)),"")</f>
        <v/>
      </c>
      <c r="G24" s="45" t="str" cm="1">
        <f t="array" ref="G24">IFERROR(_xlfn.LET(
_xlpm.CSVVal,_xlfn.XLOOKUP($A24,CSV!$A:$A,CSV!G:G,""),
_xlpm.MacVal,_xlfn.XLOOKUP($A24,Output_Mac!$A:$A,Output_Mac!G:G,""),
_xlpm.MyAuditVal,_xlfn.XLOOKUP($A24,My_Audit!$A:$A,My_Audit!F:F,""),
_xlfn.IFS(_xlpm.MyAuditVal&lt;&gt;"",_xlpm.MyAuditVal,_xlpm.MacVal&lt;&gt;"",_xlpm.MacVal,_xlpm.CSVVal&lt;&gt;"",_xlpm.CSVVal
)),"")</f>
        <v/>
      </c>
      <c r="H24" s="45" t="str">
        <f>_xlfn.XLOOKUP(A24,Output_Mac!A:A,Output_Mac!H:H,"")</f>
        <v/>
      </c>
      <c r="I24" s="45" t="str" cm="1">
        <f t="array" ref="I24">IFERROR(_xlfn.LET(
_xlpm.CSVVal,_xlfn.XLOOKUP($A24,CSV!$A:$A,CSV!H:H,""),
_xlpm.MacVal,_xlfn.XLOOKUP($A24,Output_Mac!$A:$A,Output_Mac!I:I,""),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_xlpm.CSVVal,_xlfn.XLOOKUP($A24,CSV!$A:$A,CSV!J:J,""),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6" t="str" cm="1">
        <f t="array" ref="K24">IFERROR(_xlfn.LET(
_xlpm.CSVVal,_xlfn.XLOOKUP($A24,CSV!$A:$A,CSV!N:N,""),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_xlpm.CSVVal,_xlfn.XLOOKUP($A24,CSV!$A:$A,CSV!Q:Q,""),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CSV!AE:AE,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46" t="str" cm="1">
        <f t="array" ref="N24">IFERROR(_xlfn.LET(
_xlpm.CSVVal,_xlfn.XLOOKUP($A24,CSV!$A:$A,CSV!AG:AG,""),
_xlpm.MacVal,_xlfn.XLOOKUP($A24,Output_Mac!$A:$A,Output_Mac!T:T,""),
_xlpm.MyAuditVal,_xlfn.XLOOKUP($A24,My_Audit!$A:$A,My_Audit!O:O,""),
_xlfn.IFS(_xlpm.MyAuditVal&lt;&gt;"",UPPER(_xlpm.MyAuditVal),_xlpm.MacVal&lt;&gt;"",_xlpm.MacVal,_xlpm.CSVVal&lt;&gt;"",_xlpm.CSVVal
)),"")</f>
        <v/>
      </c>
      <c r="O24" s="46" t="str">
        <f>_xlfn.XLOOKUP(C24,My_Audit!B:B,My_Audit!P:P,"")&amp;""</f>
        <v/>
      </c>
      <c r="P24" s="45"/>
      <c r="Q24" s="46" t="str">
        <f>IF(LEFT(N24,4)="Pass","Nist SP 800-88",My_Audit!R24)&amp;""</f>
        <v/>
      </c>
      <c r="R24" s="45"/>
      <c r="S24" s="45"/>
      <c r="T24" s="46" t="str">
        <f>_xlfn.XLOOKUP(E24,Models!I:I,Models!J:J,"")</f>
        <v/>
      </c>
      <c r="U24" s="45"/>
      <c r="V24" s="45"/>
      <c r="W24" s="38" t="str">
        <f>_xlfn.LET(
    _xlpm.MacVal, _xlfn.XLOOKUP($A24, Output_Mac!$A:$A, Output_Mac!AA:AA, ""),
    _xlpm.MyAuditVal, _xlfn.XLOOKUP($A24, My_Audit!$A:$A, My_Audit!L:L, ""),
    _xlfn.TEXTJOIN(", ", TRUE, _xlpm.MyAuditVal, _xlpm.MacVal)
)</f>
        <v/>
      </c>
    </row>
    <row r="25" spans="1:23">
      <c r="A25" s="45" t="str">
        <f>_xlfn.TEXTJOIN("",TRUE,Input!$B$2,ROW(My_Audit!A24))</f>
        <v>CC24</v>
      </c>
      <c r="B25" s="45" t="str">
        <f>_xlfn.TEXTJOIN("-",TRUE,"ITD",Input!$A$2,A25)</f>
        <v>ITD-XXX-CC24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_xlpm.CSVVal,_xlfn.XLOOKUP($A25,CSV!$A:$A,CSV!C:C,""),
_xlpm.MacVal,_xlfn.XLOOKUP($A25,Output_Mac!$A:$A,Output_Mac!D:D,""),
_xlpm.MyAuditVal,_xlfn.XLOOKUP($A25,My_Audit!$A:$A,My_Audit!C:C,""),
_xlfn.IFS(_xlpm.MyAuditVal&lt;&gt;"",UPPER(_xlpm.MyAuditVal),_xlpm.MacVal&lt;&gt;"",_xlpm.MacVal,_xlpm.CSVVal&lt;&gt;"",_xlpm.CSVVal
)),"")</f>
        <v/>
      </c>
      <c r="E25" s="46" t="str" cm="1">
        <f t="array" ref="E25">IFERROR(_xlfn.LET(
_xlpm.CSVVal,_xlfn.XLOOKUP($A25,CSV!$A:$A,CSV!E:E,""),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_xlpm.CSVVal,_xlfn.XLOOKUP($A25,CSV!$A:$A,CSV!G:G,""),
_xlpm.MacVal,_xlfn.XLOOKUP($A25,Output_Mac!$A:$A,Output_Mac!G:G,""),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_xlfn.XLOOKUP(A25,Output_Mac!A:A,Output_Mac!H:H,"")</f>
        <v/>
      </c>
      <c r="I25" s="45" t="str" cm="1">
        <f t="array" ref="I25">IFERROR(_xlfn.LET(
_xlpm.CSVVal,_xlfn.XLOOKUP($A25,CSV!$A:$A,CSV!H:H,""),
_xlpm.MacVal,_xlfn.XLOOKUP($A25,Output_Mac!$A:$A,Output_Mac!I:I,""),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_xlpm.CSVVal,_xlfn.XLOOKUP($A25,CSV!$A:$A,CSV!J:J,""),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6" t="str" cm="1">
        <f t="array" ref="K25">IFERROR(_xlfn.LET(
_xlpm.CSVVal,_xlfn.XLOOKUP($A25,CSV!$A:$A,CSV!N:N,""),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_xlpm.CSVVal,_xlfn.XLOOKUP($A25,CSV!$A:$A,CSV!Q:Q,""),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CSV!AE:AE,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46" t="str" cm="1">
        <f t="array" ref="N25">IFERROR(_xlfn.LET(
_xlpm.CSVVal,_xlfn.XLOOKUP($A25,CSV!$A:$A,CSV!AG:AG,""),
_xlpm.MacVal,_xlfn.XLOOKUP($A25,Output_Mac!$A:$A,Output_Mac!T:T,""),
_xlpm.MyAuditVal,_xlfn.XLOOKUP($A25,My_Audit!$A:$A,My_Audit!O:O,""),
_xlfn.IFS(_xlpm.MyAuditVal&lt;&gt;"",UPPER(_xlpm.MyAuditVal),_xlpm.MacVal&lt;&gt;"",_xlpm.MacVal,_xlpm.CSVVal&lt;&gt;"",_xlpm.CSVVal
)),"")</f>
        <v/>
      </c>
      <c r="O25" s="46" t="str">
        <f>_xlfn.XLOOKUP(C25,My_Audit!B:B,My_Audit!P:P,"")&amp;""</f>
        <v/>
      </c>
      <c r="P25" s="45"/>
      <c r="Q25" s="46" t="str">
        <f>IF(LEFT(N25,4)="Pass","Nist SP 800-88",My_Audit!R25)&amp;""</f>
        <v/>
      </c>
      <c r="R25" s="45"/>
      <c r="S25" s="45"/>
      <c r="T25" s="46" t="str">
        <f>_xlfn.XLOOKUP(E25,Models!I:I,Models!J:J,"")</f>
        <v/>
      </c>
      <c r="U25" s="45"/>
      <c r="V25" s="45"/>
      <c r="W25" s="38" t="str">
        <f>_xlfn.LET(
    _xlpm.MacVal, _xlfn.XLOOKUP($A25, Output_Mac!$A:$A, Output_Mac!AA:AA, ""),
    _xlpm.MyAuditVal, _xlfn.XLOOKUP($A25, My_Audit!$A:$A, My_Audit!L:L, ""),
    _xlfn.TEXTJOIN(", ", TRUE, _xlpm.MyAuditVal, _xlpm.MacVal)
)</f>
        <v/>
      </c>
    </row>
    <row r="26" spans="1:23">
      <c r="A26" s="45" t="str">
        <f>_xlfn.TEXTJOIN("",TRUE,Input!$B$2,ROW(My_Audit!A25))</f>
        <v>CC25</v>
      </c>
      <c r="B26" s="45" t="str">
        <f>_xlfn.TEXTJOIN("-",TRUE,"ITD",Input!$A$2,A26)</f>
        <v>ITD-XXX-CC25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_xlpm.CSVVal,_xlfn.XLOOKUP($A26,CSV!$A:$A,CSV!C:C,""),
_xlpm.MacVal,_xlfn.XLOOKUP($A26,Output_Mac!$A:$A,Output_Mac!D:D,""),
_xlpm.MyAuditVal,_xlfn.XLOOKUP($A26,My_Audit!$A:$A,My_Audit!C:C,""),
_xlfn.IFS(_xlpm.MyAuditVal&lt;&gt;"",UPPER(_xlpm.MyAuditVal),_xlpm.MacVal&lt;&gt;"",_xlpm.MacVal,_xlpm.CSVVal&lt;&gt;"",_xlpm.CSVVal
)),"")</f>
        <v/>
      </c>
      <c r="E26" s="46" t="str" cm="1">
        <f t="array" ref="E26">IFERROR(_xlfn.LET(
_xlpm.CSVVal,_xlfn.XLOOKUP($A26,CSV!$A:$A,CSV!E:E,""),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_xlpm.CSVVal,_xlfn.XLOOKUP($A26,CSV!$A:$A,CSV!G:G,""),
_xlpm.MacVal,_xlfn.XLOOKUP($A26,Output_Mac!$A:$A,Output_Mac!G:G,""),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_xlfn.XLOOKUP(A26,Output_Mac!A:A,Output_Mac!H:H,"")</f>
        <v/>
      </c>
      <c r="I26" s="45" t="str" cm="1">
        <f t="array" ref="I26">IFERROR(_xlfn.LET(
_xlpm.CSVVal,_xlfn.XLOOKUP($A26,CSV!$A:$A,CSV!H:H,""),
_xlpm.MacVal,_xlfn.XLOOKUP($A26,Output_Mac!$A:$A,Output_Mac!I:I,""),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_xlpm.CSVVal,_xlfn.XLOOKUP($A26,CSV!$A:$A,CSV!J:J,""),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6" t="str" cm="1">
        <f t="array" ref="K26">IFERROR(_xlfn.LET(
_xlpm.CSVVal,_xlfn.XLOOKUP($A26,CSV!$A:$A,CSV!N:N,""),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_xlpm.CSVVal,_xlfn.XLOOKUP($A26,CSV!$A:$A,CSV!Q:Q,""),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CSV!AE:AE,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46" t="str" cm="1">
        <f t="array" ref="N26">IFERROR(_xlfn.LET(
_xlpm.CSVVal,_xlfn.XLOOKUP($A26,CSV!$A:$A,CSV!AG:AG,""),
_xlpm.MacVal,_xlfn.XLOOKUP($A26,Output_Mac!$A:$A,Output_Mac!T:T,""),
_xlpm.MyAuditVal,_xlfn.XLOOKUP($A26,My_Audit!$A:$A,My_Audit!O:O,""),
_xlfn.IFS(_xlpm.MyAuditVal&lt;&gt;"",UPPER(_xlpm.MyAuditVal),_xlpm.MacVal&lt;&gt;"",_xlpm.MacVal,_xlpm.CSVVal&lt;&gt;"",_xlpm.CSVVal
)),"")</f>
        <v/>
      </c>
      <c r="O26" s="46" t="str">
        <f>_xlfn.XLOOKUP(C26,My_Audit!B:B,My_Audit!P:P,"")&amp;""</f>
        <v/>
      </c>
      <c r="P26" s="45"/>
      <c r="Q26" s="46" t="str">
        <f>IF(LEFT(N26,4)="Pass","Nist SP 800-88",My_Audit!R26)&amp;""</f>
        <v/>
      </c>
      <c r="R26" s="45"/>
      <c r="S26" s="45"/>
      <c r="T26" s="46" t="str">
        <f>_xlfn.XLOOKUP(E26,Models!I:I,Models!J:J,"")</f>
        <v/>
      </c>
      <c r="U26" s="45"/>
      <c r="V26" s="45"/>
      <c r="W26" s="38" t="str">
        <f>_xlfn.LET(
    _xlpm.MacVal, _xlfn.XLOOKUP($A26, Output_Mac!$A:$A, Output_Mac!AA:AA, ""),
    _xlpm.MyAuditVal, _xlfn.XLOOKUP($A26, My_Audit!$A:$A, My_Audit!L:L, ""),
    _xlfn.TEXTJOIN(", ", TRUE, _xlpm.MyAuditVal, _xlpm.MacVal)
)</f>
        <v/>
      </c>
    </row>
    <row r="27" spans="1:23">
      <c r="A27" s="45" t="str">
        <f>_xlfn.TEXTJOIN("",TRUE,Input!$B$2,ROW(My_Audit!A26))</f>
        <v>CC26</v>
      </c>
      <c r="B27" s="45" t="str">
        <f>_xlfn.TEXTJOIN("-",TRUE,"ITD",Input!$A$2,A27)</f>
        <v>ITD-XXX-CC26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_xlpm.CSVVal,_xlfn.XLOOKUP($A27,CSV!$A:$A,CSV!C:C,""),
_xlpm.MacVal,_xlfn.XLOOKUP($A27,Output_Mac!$A:$A,Output_Mac!D:D,""),
_xlpm.MyAuditVal,_xlfn.XLOOKUP($A27,My_Audit!$A:$A,My_Audit!C:C,""),
_xlfn.IFS(_xlpm.MyAuditVal&lt;&gt;"",UPPER(_xlpm.MyAuditVal),_xlpm.MacVal&lt;&gt;"",_xlpm.MacVal,_xlpm.CSVVal&lt;&gt;"",_xlpm.CSVVal
)),"")</f>
        <v/>
      </c>
      <c r="E27" s="46" t="str" cm="1">
        <f t="array" ref="E27">IFERROR(_xlfn.LET(
_xlpm.CSVVal,_xlfn.XLOOKUP($A27,CSV!$A:$A,CSV!E:E,""),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_xlpm.CSVVal,_xlfn.XLOOKUP($A27,CSV!$A:$A,CSV!G:G,""),
_xlpm.MacVal,_xlfn.XLOOKUP($A27,Output_Mac!$A:$A,Output_Mac!G:G,""),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_xlfn.XLOOKUP(A27,Output_Mac!A:A,Output_Mac!H:H,"")</f>
        <v/>
      </c>
      <c r="I27" s="45" t="str" cm="1">
        <f t="array" ref="I27">IFERROR(_xlfn.LET(
_xlpm.CSVVal,_xlfn.XLOOKUP($A27,CSV!$A:$A,CSV!H:H,""),
_xlpm.MacVal,_xlfn.XLOOKUP($A27,Output_Mac!$A:$A,Output_Mac!I:I,""),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_xlpm.CSVVal,_xlfn.XLOOKUP($A27,CSV!$A:$A,CSV!J:J,""),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6" t="str" cm="1">
        <f t="array" ref="K27">IFERROR(_xlfn.LET(
_xlpm.CSVVal,_xlfn.XLOOKUP($A27,CSV!$A:$A,CSV!N:N,""),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_xlpm.CSVVal,_xlfn.XLOOKUP($A27,CSV!$A:$A,CSV!Q:Q,""),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CSV!AE:AE,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46" t="str" cm="1">
        <f t="array" ref="N27">IFERROR(_xlfn.LET(
_xlpm.CSVVal,_xlfn.XLOOKUP($A27,CSV!$A:$A,CSV!AG:AG,""),
_xlpm.MacVal,_xlfn.XLOOKUP($A27,Output_Mac!$A:$A,Output_Mac!T:T,""),
_xlpm.MyAuditVal,_xlfn.XLOOKUP($A27,My_Audit!$A:$A,My_Audit!O:O,""),
_xlfn.IFS(_xlpm.MyAuditVal&lt;&gt;"",UPPER(_xlpm.MyAuditVal),_xlpm.MacVal&lt;&gt;"",_xlpm.MacVal,_xlpm.CSVVal&lt;&gt;"",_xlpm.CSVVal
)),"")</f>
        <v/>
      </c>
      <c r="O27" s="46" t="str">
        <f>_xlfn.XLOOKUP(C27,My_Audit!B:B,My_Audit!P:P,"")&amp;""</f>
        <v/>
      </c>
      <c r="P27" s="45"/>
      <c r="Q27" s="46" t="str">
        <f>IF(LEFT(N27,4)="Pass","Nist SP 800-88",My_Audit!R27)&amp;""</f>
        <v/>
      </c>
      <c r="R27" s="45"/>
      <c r="S27" s="45"/>
      <c r="T27" s="46" t="str">
        <f>_xlfn.XLOOKUP(E27,Models!I:I,Models!J:J,"")</f>
        <v/>
      </c>
      <c r="U27" s="45"/>
      <c r="V27" s="45"/>
      <c r="W27" s="38" t="str">
        <f>_xlfn.LET(
    _xlpm.MacVal, _xlfn.XLOOKUP($A27, Output_Mac!$A:$A, Output_Mac!AA:AA, ""),
    _xlpm.MyAuditVal, _xlfn.XLOOKUP($A27, My_Audit!$A:$A, My_Audit!L:L, ""),
    _xlfn.TEXTJOIN(", ", TRUE, _xlpm.MyAuditVal, _xlpm.MacVal)
)</f>
        <v/>
      </c>
    </row>
    <row r="28" spans="1:23">
      <c r="A28" s="45" t="str">
        <f>_xlfn.TEXTJOIN("",TRUE,Input!$B$2,ROW(My_Audit!A27))</f>
        <v>CC27</v>
      </c>
      <c r="B28" s="45" t="str">
        <f>_xlfn.TEXTJOIN("-",TRUE,"ITD",Input!$A$2,A28)</f>
        <v>ITD-XXX-CC27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_xlpm.CSVVal,_xlfn.XLOOKUP($A28,CSV!$A:$A,CSV!C:C,""),
_xlpm.MacVal,_xlfn.XLOOKUP($A28,Output_Mac!$A:$A,Output_Mac!D:D,""),
_xlpm.MyAuditVal,_xlfn.XLOOKUP($A28,My_Audit!$A:$A,My_Audit!C:C,""),
_xlfn.IFS(_xlpm.MyAuditVal&lt;&gt;"",UPPER(_xlpm.MyAuditVal),_xlpm.MacVal&lt;&gt;"",_xlpm.MacVal,_xlpm.CSVVal&lt;&gt;"",_xlpm.CSVVal
)),"")</f>
        <v/>
      </c>
      <c r="E28" s="46" t="str" cm="1">
        <f t="array" ref="E28">IFERROR(_xlfn.LET(
_xlpm.CSVVal,_xlfn.XLOOKUP($A28,CSV!$A:$A,CSV!E:E,""),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_xlpm.CSVVal,_xlfn.XLOOKUP($A28,CSV!$A:$A,CSV!G:G,""),
_xlpm.MacVal,_xlfn.XLOOKUP($A28,Output_Mac!$A:$A,Output_Mac!G:G,""),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_xlfn.XLOOKUP(A28,Output_Mac!A:A,Output_Mac!H:H,"")</f>
        <v/>
      </c>
      <c r="I28" s="45" t="str" cm="1">
        <f t="array" ref="I28">IFERROR(_xlfn.LET(
_xlpm.CSVVal,_xlfn.XLOOKUP($A28,CSV!$A:$A,CSV!H:H,""),
_xlpm.MacVal,_xlfn.XLOOKUP($A28,Output_Mac!$A:$A,Output_Mac!I:I,""),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_xlpm.CSVVal,_xlfn.XLOOKUP($A28,CSV!$A:$A,CSV!J:J,""),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6" t="str" cm="1">
        <f t="array" ref="K28">IFERROR(_xlfn.LET(
_xlpm.CSVVal,_xlfn.XLOOKUP($A28,CSV!$A:$A,CSV!N:N,""),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_xlpm.CSVVal,_xlfn.XLOOKUP($A28,CSV!$A:$A,CSV!Q:Q,""),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CSV!AE:AE,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46" t="str" cm="1">
        <f t="array" ref="N28">IFERROR(_xlfn.LET(
_xlpm.CSVVal,_xlfn.XLOOKUP($A28,CSV!$A:$A,CSV!AG:AG,""),
_xlpm.MacVal,_xlfn.XLOOKUP($A28,Output_Mac!$A:$A,Output_Mac!T:T,""),
_xlpm.MyAuditVal,_xlfn.XLOOKUP($A28,My_Audit!$A:$A,My_Audit!O:O,""),
_xlfn.IFS(_xlpm.MyAuditVal&lt;&gt;"",UPPER(_xlpm.MyAuditVal),_xlpm.MacVal&lt;&gt;"",_xlpm.MacVal,_xlpm.CSVVal&lt;&gt;"",_xlpm.CSVVal
)),"")</f>
        <v/>
      </c>
      <c r="O28" s="46" t="str">
        <f>_xlfn.XLOOKUP(C28,My_Audit!B:B,My_Audit!P:P,"")&amp;""</f>
        <v/>
      </c>
      <c r="P28" s="45"/>
      <c r="Q28" s="46" t="str">
        <f>IF(LEFT(N28,4)="Pass","Nist SP 800-88",My_Audit!R28)&amp;""</f>
        <v/>
      </c>
      <c r="R28" s="45"/>
      <c r="S28" s="45"/>
      <c r="T28" s="46" t="str">
        <f>_xlfn.XLOOKUP(E28,Models!I:I,Models!J:J,"")</f>
        <v/>
      </c>
      <c r="U28" s="45"/>
      <c r="V28" s="45"/>
      <c r="W28" s="38" t="str">
        <f>_xlfn.LET(
    _xlpm.MacVal, _xlfn.XLOOKUP($A28, Output_Mac!$A:$A, Output_Mac!AA:AA, ""),
    _xlpm.MyAuditVal, _xlfn.XLOOKUP($A28, My_Audit!$A:$A, My_Audit!L:L, ""),
    _xlfn.TEXTJOIN(", ", TRUE, _xlpm.MyAuditVal, _xlpm.MacVal)
)</f>
        <v/>
      </c>
    </row>
    <row r="29" spans="1:23">
      <c r="A29" s="45" t="str">
        <f>_xlfn.TEXTJOIN("",TRUE,Input!$B$2,ROW(My_Audit!A28))</f>
        <v>CC28</v>
      </c>
      <c r="B29" s="45" t="str">
        <f>_xlfn.TEXTJOIN("-",TRUE,"ITD",Input!$A$2,A29)</f>
        <v>ITD-XXX-CC28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_xlpm.CSVVal,_xlfn.XLOOKUP($A29,CSV!$A:$A,CSV!C:C,""),
_xlpm.MacVal,_xlfn.XLOOKUP($A29,Output_Mac!$A:$A,Output_Mac!D:D,""),
_xlpm.MyAuditVal,_xlfn.XLOOKUP($A29,My_Audit!$A:$A,My_Audit!C:C,""),
_xlfn.IFS(_xlpm.MyAuditVal&lt;&gt;"",UPPER(_xlpm.MyAuditVal),_xlpm.MacVal&lt;&gt;"",_xlpm.MacVal,_xlpm.CSVVal&lt;&gt;"",_xlpm.CSVVal
)),"")</f>
        <v/>
      </c>
      <c r="E29" s="46" t="str" cm="1">
        <f t="array" ref="E29">IFERROR(_xlfn.LET(
_xlpm.CSVVal,_xlfn.XLOOKUP($A29,CSV!$A:$A,CSV!E:E,""),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_xlpm.CSVVal,_xlfn.XLOOKUP($A29,CSV!$A:$A,CSV!G:G,""),
_xlpm.MacVal,_xlfn.XLOOKUP($A29,Output_Mac!$A:$A,Output_Mac!G:G,""),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_xlfn.XLOOKUP(A29,Output_Mac!A:A,Output_Mac!H:H,"")</f>
        <v/>
      </c>
      <c r="I29" s="45" t="str" cm="1">
        <f t="array" ref="I29">IFERROR(_xlfn.LET(
_xlpm.CSVVal,_xlfn.XLOOKUP($A29,CSV!$A:$A,CSV!H:H,""),
_xlpm.MacVal,_xlfn.XLOOKUP($A29,Output_Mac!$A:$A,Output_Mac!I:I,""),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_xlpm.CSVVal,_xlfn.XLOOKUP($A29,CSV!$A:$A,CSV!J:J,""),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6" t="str" cm="1">
        <f t="array" ref="K29">IFERROR(_xlfn.LET(
_xlpm.CSVVal,_xlfn.XLOOKUP($A29,CSV!$A:$A,CSV!N:N,""),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_xlpm.CSVVal,_xlfn.XLOOKUP($A29,CSV!$A:$A,CSV!Q:Q,""),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CSV!AE:AE,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46" t="str" cm="1">
        <f t="array" ref="N29">IFERROR(_xlfn.LET(
_xlpm.CSVVal,_xlfn.XLOOKUP($A29,CSV!$A:$A,CSV!AG:AG,""),
_xlpm.MacVal,_xlfn.XLOOKUP($A29,Output_Mac!$A:$A,Output_Mac!T:T,""),
_xlpm.MyAuditVal,_xlfn.XLOOKUP($A29,My_Audit!$A:$A,My_Audit!O:O,""),
_xlfn.IFS(_xlpm.MyAuditVal&lt;&gt;"",UPPER(_xlpm.MyAuditVal),_xlpm.MacVal&lt;&gt;"",_xlpm.MacVal,_xlpm.CSVVal&lt;&gt;"",_xlpm.CSVVal
)),"")</f>
        <v/>
      </c>
      <c r="O29" s="46" t="str">
        <f>_xlfn.XLOOKUP(C29,My_Audit!B:B,My_Audit!P:P,"")&amp;""</f>
        <v/>
      </c>
      <c r="P29" s="45"/>
      <c r="Q29" s="46" t="str">
        <f>IF(LEFT(N29,4)="Pass","Nist SP 800-88",My_Audit!R29)&amp;""</f>
        <v/>
      </c>
      <c r="R29" s="45"/>
      <c r="S29" s="45"/>
      <c r="T29" s="46" t="str">
        <f>_xlfn.XLOOKUP(E29,Models!I:I,Models!J:J,"")</f>
        <v/>
      </c>
      <c r="U29" s="45"/>
      <c r="V29" s="45"/>
      <c r="W29" s="38" t="str">
        <f>_xlfn.LET(
    _xlpm.MacVal, _xlfn.XLOOKUP($A29, Output_Mac!$A:$A, Output_Mac!AA:AA, ""),
    _xlpm.MyAuditVal, _xlfn.XLOOKUP($A29, My_Audit!$A:$A, My_Audit!L:L, ""),
    _xlfn.TEXTJOIN(", ", TRUE, _xlpm.MyAuditVal, _xlpm.MacVal)
)</f>
        <v/>
      </c>
    </row>
    <row r="30" spans="1:23">
      <c r="A30" s="45" t="str">
        <f>_xlfn.TEXTJOIN("",TRUE,Input!$B$2,ROW(My_Audit!A29))</f>
        <v>CC29</v>
      </c>
      <c r="B30" s="45" t="str">
        <f>_xlfn.TEXTJOIN("-",TRUE,"ITD",Input!$A$2,A30)</f>
        <v>ITD-XXX-CC29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_xlpm.CSVVal,_xlfn.XLOOKUP($A30,CSV!$A:$A,CSV!C:C,""),
_xlpm.MacVal,_xlfn.XLOOKUP($A30,Output_Mac!$A:$A,Output_Mac!D:D,""),
_xlpm.MyAuditVal,_xlfn.XLOOKUP($A30,My_Audit!$A:$A,My_Audit!C:C,""),
_xlfn.IFS(_xlpm.MyAuditVal&lt;&gt;"",UPPER(_xlpm.MyAuditVal),_xlpm.MacVal&lt;&gt;"",_xlpm.MacVal,_xlpm.CSVVal&lt;&gt;"",_xlpm.CSVVal
)),"")</f>
        <v/>
      </c>
      <c r="E30" s="46" t="str" cm="1">
        <f t="array" ref="E30">IFERROR(_xlfn.LET(
_xlpm.CSVVal,_xlfn.XLOOKUP($A30,CSV!$A:$A,CSV!E:E,""),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_xlpm.CSVVal,_xlfn.XLOOKUP($A30,CSV!$A:$A,CSV!G:G,""),
_xlpm.MacVal,_xlfn.XLOOKUP($A30,Output_Mac!$A:$A,Output_Mac!G:G,""),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_xlfn.XLOOKUP(A30,Output_Mac!A:A,Output_Mac!H:H,"")</f>
        <v/>
      </c>
      <c r="I30" s="45" t="str" cm="1">
        <f t="array" ref="I30">IFERROR(_xlfn.LET(
_xlpm.CSVVal,_xlfn.XLOOKUP($A30,CSV!$A:$A,CSV!H:H,""),
_xlpm.MacVal,_xlfn.XLOOKUP($A30,Output_Mac!$A:$A,Output_Mac!I:I,""),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_xlpm.CSVVal,_xlfn.XLOOKUP($A30,CSV!$A:$A,CSV!J:J,""),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6" t="str" cm="1">
        <f t="array" ref="K30">IFERROR(_xlfn.LET(
_xlpm.CSVVal,_xlfn.XLOOKUP($A30,CSV!$A:$A,CSV!N:N,""),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_xlpm.CSVVal,_xlfn.XLOOKUP($A30,CSV!$A:$A,CSV!Q:Q,""),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CSV!AE:AE,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46" t="str" cm="1">
        <f t="array" ref="N30">IFERROR(_xlfn.LET(
_xlpm.CSVVal,_xlfn.XLOOKUP($A30,CSV!$A:$A,CSV!AG:AG,""),
_xlpm.MacVal,_xlfn.XLOOKUP($A30,Output_Mac!$A:$A,Output_Mac!T:T,""),
_xlpm.MyAuditVal,_xlfn.XLOOKUP($A30,My_Audit!$A:$A,My_Audit!O:O,""),
_xlfn.IFS(_xlpm.MyAuditVal&lt;&gt;"",UPPER(_xlpm.MyAuditVal),_xlpm.MacVal&lt;&gt;"",_xlpm.MacVal,_xlpm.CSVVal&lt;&gt;"",_xlpm.CSVVal
)),"")</f>
        <v/>
      </c>
      <c r="O30" s="46" t="str">
        <f>_xlfn.XLOOKUP(C30,My_Audit!B:B,My_Audit!P:P,"")&amp;""</f>
        <v/>
      </c>
      <c r="P30" s="45"/>
      <c r="Q30" s="46" t="str">
        <f>IF(LEFT(N30,4)="Pass","Nist SP 800-88",My_Audit!R30)&amp;""</f>
        <v/>
      </c>
      <c r="R30" s="45"/>
      <c r="S30" s="45"/>
      <c r="T30" s="46" t="str">
        <f>_xlfn.XLOOKUP(E30,Models!I:I,Models!J:J,"")</f>
        <v/>
      </c>
      <c r="U30" s="45"/>
      <c r="V30" s="45"/>
      <c r="W30" s="38" t="str">
        <f>_xlfn.LET(
    _xlpm.MacVal, _xlfn.XLOOKUP($A30, Output_Mac!$A:$A, Output_Mac!AA:AA, ""),
    _xlpm.MyAuditVal, _xlfn.XLOOKUP($A30, My_Audit!$A:$A, My_Audit!L:L, ""),
    _xlfn.TEXTJOIN(", ", TRUE, _xlpm.MyAuditVal, _xlpm.MacVal)
)</f>
        <v/>
      </c>
    </row>
    <row r="31" spans="1:23">
      <c r="A31" s="45" t="str">
        <f>_xlfn.TEXTJOIN("",TRUE,Input!$B$2,ROW(My_Audit!A30))</f>
        <v>CC30</v>
      </c>
      <c r="B31" s="45" t="str">
        <f>_xlfn.TEXTJOIN("-",TRUE,"ITD",Input!$A$2,A31)</f>
        <v>ITD-XXX-CC30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_xlpm.CSVVal,_xlfn.XLOOKUP($A31,CSV!$A:$A,CSV!C:C,""),
_xlpm.MacVal,_xlfn.XLOOKUP($A31,Output_Mac!$A:$A,Output_Mac!D:D,""),
_xlpm.MyAuditVal,_xlfn.XLOOKUP($A31,My_Audit!$A:$A,My_Audit!C:C,""),
_xlfn.IFS(_xlpm.MyAuditVal&lt;&gt;"",UPPER(_xlpm.MyAuditVal),_xlpm.MacVal&lt;&gt;"",_xlpm.MacVal,_xlpm.CSVVal&lt;&gt;"",_xlpm.CSVVal
)),"")</f>
        <v/>
      </c>
      <c r="E31" s="46" t="str" cm="1">
        <f t="array" ref="E31">IFERROR(_xlfn.LET(
_xlpm.CSVVal,_xlfn.XLOOKUP($A31,CSV!$A:$A,CSV!E:E,""),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_xlpm.CSVVal,_xlfn.XLOOKUP($A31,CSV!$A:$A,CSV!G:G,""),
_xlpm.MacVal,_xlfn.XLOOKUP($A31,Output_Mac!$A:$A,Output_Mac!G:G,""),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_xlfn.XLOOKUP(A31,Output_Mac!A:A,Output_Mac!H:H,"")</f>
        <v/>
      </c>
      <c r="I31" s="45" t="str" cm="1">
        <f t="array" ref="I31">IFERROR(_xlfn.LET(
_xlpm.CSVVal,_xlfn.XLOOKUP($A31,CSV!$A:$A,CSV!H:H,""),
_xlpm.MacVal,_xlfn.XLOOKUP($A31,Output_Mac!$A:$A,Output_Mac!I:I,""),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_xlpm.CSVVal,_xlfn.XLOOKUP($A31,CSV!$A:$A,CSV!J:J,""),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6" t="str" cm="1">
        <f t="array" ref="K31">IFERROR(_xlfn.LET(
_xlpm.CSVVal,_xlfn.XLOOKUP($A31,CSV!$A:$A,CSV!N:N,""),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_xlpm.CSVVal,_xlfn.XLOOKUP($A31,CSV!$A:$A,CSV!Q:Q,""),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CSV!AE:AE,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46" t="str" cm="1">
        <f t="array" ref="N31">IFERROR(_xlfn.LET(
_xlpm.CSVVal,_xlfn.XLOOKUP($A31,CSV!$A:$A,CSV!AG:AG,""),
_xlpm.MacVal,_xlfn.XLOOKUP($A31,Output_Mac!$A:$A,Output_Mac!T:T,""),
_xlpm.MyAuditVal,_xlfn.XLOOKUP($A31,My_Audit!$A:$A,My_Audit!O:O,""),
_xlfn.IFS(_xlpm.MyAuditVal&lt;&gt;"",UPPER(_xlpm.MyAuditVal),_xlpm.MacVal&lt;&gt;"",_xlpm.MacVal,_xlpm.CSVVal&lt;&gt;"",_xlpm.CSVVal
)),"")</f>
        <v/>
      </c>
      <c r="O31" s="46" t="str">
        <f>_xlfn.XLOOKUP(C31,My_Audit!B:B,My_Audit!P:P,"")&amp;""</f>
        <v/>
      </c>
      <c r="P31" s="45"/>
      <c r="Q31" s="46" t="str">
        <f>IF(LEFT(N31,4)="Pass","Nist SP 800-88",My_Audit!R31)&amp;""</f>
        <v/>
      </c>
      <c r="R31" s="45"/>
      <c r="S31" s="45"/>
      <c r="T31" s="46" t="str">
        <f>_xlfn.XLOOKUP(E31,Models!I:I,Models!J:J,"")</f>
        <v/>
      </c>
      <c r="U31" s="45"/>
      <c r="V31" s="45"/>
      <c r="W31" s="38" t="str">
        <f>_xlfn.LET(
    _xlpm.MacVal, _xlfn.XLOOKUP($A31, Output_Mac!$A:$A, Output_Mac!AA:AA, ""),
    _xlpm.MyAuditVal, _xlfn.XLOOKUP($A31, My_Audit!$A:$A, My_Audit!L:L, ""),
    _xlfn.TEXTJOIN(", ", TRUE, _xlpm.MyAuditVal, _xlpm.MacVal)
)</f>
        <v/>
      </c>
    </row>
    <row r="32" spans="1:23">
      <c r="A32" s="45" t="str">
        <f>_xlfn.TEXTJOIN("",TRUE,Input!$B$2,ROW(My_Audit!A31))</f>
        <v>CC31</v>
      </c>
      <c r="B32" s="45" t="str">
        <f>_xlfn.TEXTJOIN("-",TRUE,"ITD",Input!$A$2,A32)</f>
        <v>ITD-XXX-CC31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_xlpm.CSVVal,_xlfn.XLOOKUP($A32,CSV!$A:$A,CSV!C:C,""),
_xlpm.MacVal,_xlfn.XLOOKUP($A32,Output_Mac!$A:$A,Output_Mac!D:D,""),
_xlpm.MyAuditVal,_xlfn.XLOOKUP($A32,My_Audit!$A:$A,My_Audit!C:C,""),
_xlfn.IFS(_xlpm.MyAuditVal&lt;&gt;"",UPPER(_xlpm.MyAuditVal),_xlpm.MacVal&lt;&gt;"",_xlpm.MacVal,_xlpm.CSVVal&lt;&gt;"",_xlpm.CSVVal
)),"")</f>
        <v/>
      </c>
      <c r="E32" s="46" t="str" cm="1">
        <f t="array" ref="E32">IFERROR(_xlfn.LET(
_xlpm.CSVVal,_xlfn.XLOOKUP($A32,CSV!$A:$A,CSV!E:E,""),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_xlpm.CSVVal,_xlfn.XLOOKUP($A32,CSV!$A:$A,CSV!G:G,""),
_xlpm.MacVal,_xlfn.XLOOKUP($A32,Output_Mac!$A:$A,Output_Mac!G:G,""),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_xlfn.XLOOKUP(A32,Output_Mac!A:A,Output_Mac!H:H,"")</f>
        <v/>
      </c>
      <c r="I32" s="45" t="str" cm="1">
        <f t="array" ref="I32">IFERROR(_xlfn.LET(
_xlpm.CSVVal,_xlfn.XLOOKUP($A32,CSV!$A:$A,CSV!H:H,""),
_xlpm.MacVal,_xlfn.XLOOKUP($A32,Output_Mac!$A:$A,Output_Mac!I:I,""),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_xlpm.CSVVal,_xlfn.XLOOKUP($A32,CSV!$A:$A,CSV!J:J,""),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6" t="str" cm="1">
        <f t="array" ref="K32">IFERROR(_xlfn.LET(
_xlpm.CSVVal,_xlfn.XLOOKUP($A32,CSV!$A:$A,CSV!N:N,""),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_xlpm.CSVVal,_xlfn.XLOOKUP($A32,CSV!$A:$A,CSV!Q:Q,""),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CSV!AE:AE,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46" t="str" cm="1">
        <f t="array" ref="N32">IFERROR(_xlfn.LET(
_xlpm.CSVVal,_xlfn.XLOOKUP($A32,CSV!$A:$A,CSV!AG:AG,""),
_xlpm.MacVal,_xlfn.XLOOKUP($A32,Output_Mac!$A:$A,Output_Mac!T:T,""),
_xlpm.MyAuditVal,_xlfn.XLOOKUP($A32,My_Audit!$A:$A,My_Audit!O:O,""),
_xlfn.IFS(_xlpm.MyAuditVal&lt;&gt;"",UPPER(_xlpm.MyAuditVal),_xlpm.MacVal&lt;&gt;"",_xlpm.MacVal,_xlpm.CSVVal&lt;&gt;"",_xlpm.CSVVal
)),"")</f>
        <v/>
      </c>
      <c r="O32" s="46" t="str">
        <f>_xlfn.XLOOKUP(C32,My_Audit!B:B,My_Audit!P:P,"")&amp;""</f>
        <v/>
      </c>
      <c r="P32" s="45"/>
      <c r="Q32" s="46" t="str">
        <f>IF(LEFT(N32,4)="Pass","Nist SP 800-88",My_Audit!R32)&amp;""</f>
        <v/>
      </c>
      <c r="R32" s="45"/>
      <c r="S32" s="45"/>
      <c r="T32" s="46" t="str">
        <f>_xlfn.XLOOKUP(E32,Models!I:I,Models!J:J,"")</f>
        <v/>
      </c>
      <c r="U32" s="45"/>
      <c r="V32" s="45"/>
      <c r="W32" s="38" t="str">
        <f>_xlfn.LET(
    _xlpm.MacVal, _xlfn.XLOOKUP($A32, Output_Mac!$A:$A, Output_Mac!AA:AA, ""),
    _xlpm.MyAuditVal, _xlfn.XLOOKUP($A32, My_Audit!$A:$A, My_Audit!L:L, ""),
    _xlfn.TEXTJOIN(", ", TRUE, _xlpm.MyAuditVal, _xlpm.MacVal)
)</f>
        <v/>
      </c>
    </row>
    <row r="33" spans="1:23">
      <c r="A33" s="45" t="str">
        <f>_xlfn.TEXTJOIN("",TRUE,Input!$B$2,ROW(My_Audit!A32))</f>
        <v>CC32</v>
      </c>
      <c r="B33" s="45" t="str">
        <f>_xlfn.TEXTJOIN("-",TRUE,"ITD",Input!$A$2,A33)</f>
        <v>ITD-XXX-CC32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_xlpm.CSVVal,_xlfn.XLOOKUP($A33,CSV!$A:$A,CSV!C:C,""),
_xlpm.MacVal,_xlfn.XLOOKUP($A33,Output_Mac!$A:$A,Output_Mac!D:D,""),
_xlpm.MyAuditVal,_xlfn.XLOOKUP($A33,My_Audit!$A:$A,My_Audit!C:C,""),
_xlfn.IFS(_xlpm.MyAuditVal&lt;&gt;"",UPPER(_xlpm.MyAuditVal),_xlpm.MacVal&lt;&gt;"",_xlpm.MacVal,_xlpm.CSVVal&lt;&gt;"",_xlpm.CSVVal
)),"")</f>
        <v/>
      </c>
      <c r="E33" s="46" t="str" cm="1">
        <f t="array" ref="E33">IFERROR(_xlfn.LET(
_xlpm.CSVVal,_xlfn.XLOOKUP($A33,CSV!$A:$A,CSV!E:E,""),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_xlpm.CSVVal,_xlfn.XLOOKUP($A33,CSV!$A:$A,CSV!G:G,""),
_xlpm.MacVal,_xlfn.XLOOKUP($A33,Output_Mac!$A:$A,Output_Mac!G:G,""),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_xlfn.XLOOKUP(A33,Output_Mac!A:A,Output_Mac!H:H,"")</f>
        <v/>
      </c>
      <c r="I33" s="45" t="str" cm="1">
        <f t="array" ref="I33">IFERROR(_xlfn.LET(
_xlpm.CSVVal,_xlfn.XLOOKUP($A33,CSV!$A:$A,CSV!H:H,""),
_xlpm.MacVal,_xlfn.XLOOKUP($A33,Output_Mac!$A:$A,Output_Mac!I:I,""),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_xlpm.CSVVal,_xlfn.XLOOKUP($A33,CSV!$A:$A,CSV!J:J,""),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6" t="str" cm="1">
        <f t="array" ref="K33">IFERROR(_xlfn.LET(
_xlpm.CSVVal,_xlfn.XLOOKUP($A33,CSV!$A:$A,CSV!N:N,""),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_xlpm.CSVVal,_xlfn.XLOOKUP($A33,CSV!$A:$A,CSV!Q:Q,""),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CSV!AE:AE,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46" t="str" cm="1">
        <f t="array" ref="N33">IFERROR(_xlfn.LET(
_xlpm.CSVVal,_xlfn.XLOOKUP($A33,CSV!$A:$A,CSV!AG:AG,""),
_xlpm.MacVal,_xlfn.XLOOKUP($A33,Output_Mac!$A:$A,Output_Mac!T:T,""),
_xlpm.MyAuditVal,_xlfn.XLOOKUP($A33,My_Audit!$A:$A,My_Audit!O:O,""),
_xlfn.IFS(_xlpm.MyAuditVal&lt;&gt;"",UPPER(_xlpm.MyAuditVal),_xlpm.MacVal&lt;&gt;"",_xlpm.MacVal,_xlpm.CSVVal&lt;&gt;"",_xlpm.CSVVal
)),"")</f>
        <v/>
      </c>
      <c r="O33" s="46" t="str">
        <f>_xlfn.XLOOKUP(C33,My_Audit!B:B,My_Audit!P:P,"")&amp;""</f>
        <v/>
      </c>
      <c r="P33" s="45"/>
      <c r="Q33" s="46" t="str">
        <f>IF(LEFT(N33,4)="Pass","Nist SP 800-88",My_Audit!R33)&amp;""</f>
        <v/>
      </c>
      <c r="R33" s="45"/>
      <c r="S33" s="45"/>
      <c r="T33" s="46" t="str">
        <f>_xlfn.XLOOKUP(E33,Models!I:I,Models!J:J,"")</f>
        <v/>
      </c>
      <c r="U33" s="45"/>
      <c r="V33" s="45"/>
      <c r="W33" s="38" t="str">
        <f>_xlfn.LET(
    _xlpm.MacVal, _xlfn.XLOOKUP($A33, Output_Mac!$A:$A, Output_Mac!AA:AA, ""),
    _xlpm.MyAuditVal, _xlfn.XLOOKUP($A33, My_Audit!$A:$A, My_Audit!L:L, ""),
    _xlfn.TEXTJOIN(", ", TRUE, _xlpm.MyAuditVal, _xlpm.MacVal)
)</f>
        <v/>
      </c>
    </row>
    <row r="34" spans="1:23">
      <c r="A34" s="45" t="str">
        <f>_xlfn.TEXTJOIN("",TRUE,Input!$B$2,ROW(My_Audit!A33))</f>
        <v>CC33</v>
      </c>
      <c r="B34" s="45" t="str">
        <f>_xlfn.TEXTJOIN("-",TRUE,"ITD",Input!$A$2,A34)</f>
        <v>ITD-XXX-CC33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_xlpm.CSVVal,_xlfn.XLOOKUP($A34,CSV!$A:$A,CSV!C:C,""),
_xlpm.MacVal,_xlfn.XLOOKUP($A34,Output_Mac!$A:$A,Output_Mac!D:D,""),
_xlpm.MyAuditVal,_xlfn.XLOOKUP($A34,My_Audit!$A:$A,My_Audit!C:C,""),
_xlfn.IFS(_xlpm.MyAuditVal&lt;&gt;"",UPPER(_xlpm.MyAuditVal),_xlpm.MacVal&lt;&gt;"",_xlpm.MacVal,_xlpm.CSVVal&lt;&gt;"",_xlpm.CSVVal
)),"")</f>
        <v/>
      </c>
      <c r="E34" s="46" t="str" cm="1">
        <f t="array" ref="E34">IFERROR(_xlfn.LET(
_xlpm.CSVVal,_xlfn.XLOOKUP($A34,CSV!$A:$A,CSV!E:E,""),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_xlpm.CSVVal,_xlfn.XLOOKUP($A34,CSV!$A:$A,CSV!G:G,""),
_xlpm.MacVal,_xlfn.XLOOKUP($A34,Output_Mac!$A:$A,Output_Mac!G:G,""),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_xlfn.XLOOKUP(A34,Output_Mac!A:A,Output_Mac!H:H,"")</f>
        <v/>
      </c>
      <c r="I34" s="45" t="str" cm="1">
        <f t="array" ref="I34">IFERROR(_xlfn.LET(
_xlpm.CSVVal,_xlfn.XLOOKUP($A34,CSV!$A:$A,CSV!H:H,""),
_xlpm.MacVal,_xlfn.XLOOKUP($A34,Output_Mac!$A:$A,Output_Mac!I:I,""),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_xlpm.CSVVal,_xlfn.XLOOKUP($A34,CSV!$A:$A,CSV!J:J,""),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6" t="str" cm="1">
        <f t="array" ref="K34">IFERROR(_xlfn.LET(
_xlpm.CSVVal,_xlfn.XLOOKUP($A34,CSV!$A:$A,CSV!N:N,""),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_xlpm.CSVVal,_xlfn.XLOOKUP($A34,CSV!$A:$A,CSV!Q:Q,""),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CSV!AE:AE,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46" t="str" cm="1">
        <f t="array" ref="N34">IFERROR(_xlfn.LET(
_xlpm.CSVVal,_xlfn.XLOOKUP($A34,CSV!$A:$A,CSV!AG:AG,""),
_xlpm.MacVal,_xlfn.XLOOKUP($A34,Output_Mac!$A:$A,Output_Mac!T:T,""),
_xlpm.MyAuditVal,_xlfn.XLOOKUP($A34,My_Audit!$A:$A,My_Audit!O:O,""),
_xlfn.IFS(_xlpm.MyAuditVal&lt;&gt;"",UPPER(_xlpm.MyAuditVal),_xlpm.MacVal&lt;&gt;"",_xlpm.MacVal,_xlpm.CSVVal&lt;&gt;"",_xlpm.CSVVal
)),"")</f>
        <v/>
      </c>
      <c r="O34" s="46" t="str">
        <f>_xlfn.XLOOKUP(C34,My_Audit!B:B,My_Audit!P:P,"")&amp;""</f>
        <v/>
      </c>
      <c r="P34" s="45"/>
      <c r="Q34" s="46" t="str">
        <f>IF(LEFT(N34,4)="Pass","Nist SP 800-88",My_Audit!R34)&amp;""</f>
        <v/>
      </c>
      <c r="R34" s="45"/>
      <c r="S34" s="45"/>
      <c r="T34" s="46" t="str">
        <f>_xlfn.XLOOKUP(E34,Models!I:I,Models!J:J,"")</f>
        <v/>
      </c>
      <c r="U34" s="45"/>
      <c r="V34" s="45"/>
      <c r="W34" s="38" t="str">
        <f>_xlfn.LET(
    _xlpm.MacVal, _xlfn.XLOOKUP($A34, Output_Mac!$A:$A, Output_Mac!AA:AA, ""),
    _xlpm.MyAuditVal, _xlfn.XLOOKUP($A34, My_Audit!$A:$A, My_Audit!L:L, ""),
    _xlfn.TEXTJOIN(", ", TRUE, _xlpm.MyAuditVal, _xlpm.MacVal)
)</f>
        <v/>
      </c>
    </row>
    <row r="35" spans="1:23">
      <c r="A35" s="45" t="str">
        <f>_xlfn.TEXTJOIN("",TRUE,Input!$B$2,ROW(My_Audit!A34))</f>
        <v>CC34</v>
      </c>
      <c r="B35" s="45" t="str">
        <f>_xlfn.TEXTJOIN("-",TRUE,"ITD",Input!$A$2,A35)</f>
        <v>ITD-XXX-CC34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_xlpm.CSVVal,_xlfn.XLOOKUP($A35,CSV!$A:$A,CSV!C:C,""),
_xlpm.MacVal,_xlfn.XLOOKUP($A35,Output_Mac!$A:$A,Output_Mac!D:D,""),
_xlpm.MyAuditVal,_xlfn.XLOOKUP($A35,My_Audit!$A:$A,My_Audit!C:C,""),
_xlfn.IFS(_xlpm.MyAuditVal&lt;&gt;"",UPPER(_xlpm.MyAuditVal),_xlpm.MacVal&lt;&gt;"",_xlpm.MacVal,_xlpm.CSVVal&lt;&gt;"",_xlpm.CSVVal
)),"")</f>
        <v/>
      </c>
      <c r="E35" s="46" t="str" cm="1">
        <f t="array" ref="E35">IFERROR(_xlfn.LET(
_xlpm.CSVVal,_xlfn.XLOOKUP($A35,CSV!$A:$A,CSV!E:E,""),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_xlpm.CSVVal,_xlfn.XLOOKUP($A35,CSV!$A:$A,CSV!G:G,""),
_xlpm.MacVal,_xlfn.XLOOKUP($A35,Output_Mac!$A:$A,Output_Mac!G:G,""),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_xlfn.XLOOKUP(A35,Output_Mac!A:A,Output_Mac!H:H,"")</f>
        <v/>
      </c>
      <c r="I35" s="45" t="str" cm="1">
        <f t="array" ref="I35">IFERROR(_xlfn.LET(
_xlpm.CSVVal,_xlfn.XLOOKUP($A35,CSV!$A:$A,CSV!H:H,""),
_xlpm.MacVal,_xlfn.XLOOKUP($A35,Output_Mac!$A:$A,Output_Mac!I:I,""),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_xlpm.CSVVal,_xlfn.XLOOKUP($A35,CSV!$A:$A,CSV!J:J,""),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6" t="str" cm="1">
        <f t="array" ref="K35">IFERROR(_xlfn.LET(
_xlpm.CSVVal,_xlfn.XLOOKUP($A35,CSV!$A:$A,CSV!N:N,""),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_xlpm.CSVVal,_xlfn.XLOOKUP($A35,CSV!$A:$A,CSV!Q:Q,""),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CSV!AE:AE,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46" t="str" cm="1">
        <f t="array" ref="N35">IFERROR(_xlfn.LET(
_xlpm.CSVVal,_xlfn.XLOOKUP($A35,CSV!$A:$A,CSV!AG:AG,""),
_xlpm.MacVal,_xlfn.XLOOKUP($A35,Output_Mac!$A:$A,Output_Mac!T:T,""),
_xlpm.MyAuditVal,_xlfn.XLOOKUP($A35,My_Audit!$A:$A,My_Audit!O:O,""),
_xlfn.IFS(_xlpm.MyAuditVal&lt;&gt;"",UPPER(_xlpm.MyAuditVal),_xlpm.MacVal&lt;&gt;"",_xlpm.MacVal,_xlpm.CSVVal&lt;&gt;"",_xlpm.CSVVal
)),"")</f>
        <v/>
      </c>
      <c r="O35" s="46" t="str">
        <f>_xlfn.XLOOKUP(C35,My_Audit!B:B,My_Audit!P:P,"")&amp;""</f>
        <v/>
      </c>
      <c r="P35" s="45"/>
      <c r="Q35" s="46" t="str">
        <f>IF(LEFT(N35,4)="Pass","Nist SP 800-88",My_Audit!R35)&amp;""</f>
        <v/>
      </c>
      <c r="R35" s="45"/>
      <c r="S35" s="45"/>
      <c r="T35" s="46" t="str">
        <f>_xlfn.XLOOKUP(E35,Models!I:I,Models!J:J,"")</f>
        <v/>
      </c>
      <c r="U35" s="45"/>
      <c r="V35" s="45"/>
      <c r="W35" s="38" t="str">
        <f>_xlfn.LET(
    _xlpm.MacVal, _xlfn.XLOOKUP($A35, Output_Mac!$A:$A, Output_Mac!AA:AA, ""),
    _xlpm.MyAuditVal, _xlfn.XLOOKUP($A35, My_Audit!$A:$A, My_Audit!L:L, ""),
    _xlfn.TEXTJOIN(", ", TRUE, _xlpm.MyAuditVal, _xlpm.MacVal)
)</f>
        <v/>
      </c>
    </row>
    <row r="36" spans="1:23">
      <c r="A36" s="45" t="str">
        <f>_xlfn.TEXTJOIN("",TRUE,Input!$B$2,ROW(My_Audit!A35))</f>
        <v>CC35</v>
      </c>
      <c r="B36" s="45" t="str">
        <f>_xlfn.TEXTJOIN("-",TRUE,"ITD",Input!$A$2,A36)</f>
        <v>ITD-XXX-CC35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_xlpm.CSVVal,_xlfn.XLOOKUP($A36,CSV!$A:$A,CSV!C:C,""),
_xlpm.MacVal,_xlfn.XLOOKUP($A36,Output_Mac!$A:$A,Output_Mac!D:D,""),
_xlpm.MyAuditVal,_xlfn.XLOOKUP($A36,My_Audit!$A:$A,My_Audit!C:C,""),
_xlfn.IFS(_xlpm.MyAuditVal&lt;&gt;"",UPPER(_xlpm.MyAuditVal),_xlpm.MacVal&lt;&gt;"",_xlpm.MacVal,_xlpm.CSVVal&lt;&gt;"",_xlpm.CSVVal
)),"")</f>
        <v/>
      </c>
      <c r="E36" s="46" t="str" cm="1">
        <f t="array" ref="E36">IFERROR(_xlfn.LET(
_xlpm.CSVVal,_xlfn.XLOOKUP($A36,CSV!$A:$A,CSV!E:E,""),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_xlpm.CSVVal,_xlfn.XLOOKUP($A36,CSV!$A:$A,CSV!G:G,""),
_xlpm.MacVal,_xlfn.XLOOKUP($A36,Output_Mac!$A:$A,Output_Mac!G:G,""),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_xlfn.XLOOKUP(A36,Output_Mac!A:A,Output_Mac!H:H,"")</f>
        <v/>
      </c>
      <c r="I36" s="45" t="str" cm="1">
        <f t="array" ref="I36">IFERROR(_xlfn.LET(
_xlpm.CSVVal,_xlfn.XLOOKUP($A36,CSV!$A:$A,CSV!H:H,""),
_xlpm.MacVal,_xlfn.XLOOKUP($A36,Output_Mac!$A:$A,Output_Mac!I:I,""),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_xlpm.CSVVal,_xlfn.XLOOKUP($A36,CSV!$A:$A,CSV!J:J,""),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6" t="str" cm="1">
        <f t="array" ref="K36">IFERROR(_xlfn.LET(
_xlpm.CSVVal,_xlfn.XLOOKUP($A36,CSV!$A:$A,CSV!N:N,""),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_xlpm.CSVVal,_xlfn.XLOOKUP($A36,CSV!$A:$A,CSV!Q:Q,""),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CSV!AE:AE,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46" t="str" cm="1">
        <f t="array" ref="N36">IFERROR(_xlfn.LET(
_xlpm.CSVVal,_xlfn.XLOOKUP($A36,CSV!$A:$A,CSV!AG:AG,""),
_xlpm.MacVal,_xlfn.XLOOKUP($A36,Output_Mac!$A:$A,Output_Mac!T:T,""),
_xlpm.MyAuditVal,_xlfn.XLOOKUP($A36,My_Audit!$A:$A,My_Audit!O:O,""),
_xlfn.IFS(_xlpm.MyAuditVal&lt;&gt;"",UPPER(_xlpm.MyAuditVal),_xlpm.MacVal&lt;&gt;"",_xlpm.MacVal,_xlpm.CSVVal&lt;&gt;"",_xlpm.CSVVal
)),"")</f>
        <v/>
      </c>
      <c r="O36" s="46" t="str">
        <f>_xlfn.XLOOKUP(C36,My_Audit!B:B,My_Audit!P:P,"")&amp;""</f>
        <v/>
      </c>
      <c r="P36" s="45"/>
      <c r="Q36" s="46" t="str">
        <f>IF(LEFT(N36,4)="Pass","Nist SP 800-88",My_Audit!R36)&amp;""</f>
        <v/>
      </c>
      <c r="R36" s="45"/>
      <c r="S36" s="45"/>
      <c r="T36" s="46" t="str">
        <f>_xlfn.XLOOKUP(E36,Models!I:I,Models!J:J,"")</f>
        <v/>
      </c>
      <c r="U36" s="45"/>
      <c r="V36" s="45"/>
      <c r="W36" s="38" t="str">
        <f>_xlfn.LET(
    _xlpm.MacVal, _xlfn.XLOOKUP($A36, Output_Mac!$A:$A, Output_Mac!AA:AA, ""),
    _xlpm.MyAuditVal, _xlfn.XLOOKUP($A36, My_Audit!$A:$A, My_Audit!L:L, ""),
    _xlfn.TEXTJOIN(", ", TRUE, _xlpm.MyAuditVal, _xlpm.MacVal)
)</f>
        <v/>
      </c>
    </row>
    <row r="37" spans="1:23">
      <c r="A37" s="45" t="str">
        <f>_xlfn.TEXTJOIN("",TRUE,Input!$B$2,ROW(My_Audit!A36))</f>
        <v>CC36</v>
      </c>
      <c r="B37" s="45" t="str">
        <f>_xlfn.TEXTJOIN("-",TRUE,"ITD",Input!$A$2,A37)</f>
        <v>ITD-XXX-CC36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_xlpm.CSVVal,_xlfn.XLOOKUP($A37,CSV!$A:$A,CSV!C:C,""),
_xlpm.MacVal,_xlfn.XLOOKUP($A37,Output_Mac!$A:$A,Output_Mac!D:D,""),
_xlpm.MyAuditVal,_xlfn.XLOOKUP($A37,My_Audit!$A:$A,My_Audit!C:C,""),
_xlfn.IFS(_xlpm.MyAuditVal&lt;&gt;"",UPPER(_xlpm.MyAuditVal),_xlpm.MacVal&lt;&gt;"",_xlpm.MacVal,_xlpm.CSVVal&lt;&gt;"",_xlpm.CSVVal
)),"")</f>
        <v/>
      </c>
      <c r="E37" s="46" t="str" cm="1">
        <f t="array" ref="E37">IFERROR(_xlfn.LET(
_xlpm.CSVVal,_xlfn.XLOOKUP($A37,CSV!$A:$A,CSV!E:E,""),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_xlpm.CSVVal,_xlfn.XLOOKUP($A37,CSV!$A:$A,CSV!G:G,""),
_xlpm.MacVal,_xlfn.XLOOKUP($A37,Output_Mac!$A:$A,Output_Mac!G:G,""),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_xlfn.XLOOKUP(A37,Output_Mac!A:A,Output_Mac!H:H,"")</f>
        <v/>
      </c>
      <c r="I37" s="45" t="str" cm="1">
        <f t="array" ref="I37">IFERROR(_xlfn.LET(
_xlpm.CSVVal,_xlfn.XLOOKUP($A37,CSV!$A:$A,CSV!H:H,""),
_xlpm.MacVal,_xlfn.XLOOKUP($A37,Output_Mac!$A:$A,Output_Mac!I:I,""),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_xlpm.CSVVal,_xlfn.XLOOKUP($A37,CSV!$A:$A,CSV!J:J,""),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6" t="str" cm="1">
        <f t="array" ref="K37">IFERROR(_xlfn.LET(
_xlpm.CSVVal,_xlfn.XLOOKUP($A37,CSV!$A:$A,CSV!N:N,""),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_xlpm.CSVVal,_xlfn.XLOOKUP($A37,CSV!$A:$A,CSV!Q:Q,""),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CSV!AE:AE,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46" t="str" cm="1">
        <f t="array" ref="N37">IFERROR(_xlfn.LET(
_xlpm.CSVVal,_xlfn.XLOOKUP($A37,CSV!$A:$A,CSV!AG:AG,""),
_xlpm.MacVal,_xlfn.XLOOKUP($A37,Output_Mac!$A:$A,Output_Mac!T:T,""),
_xlpm.MyAuditVal,_xlfn.XLOOKUP($A37,My_Audit!$A:$A,My_Audit!O:O,""),
_xlfn.IFS(_xlpm.MyAuditVal&lt;&gt;"",UPPER(_xlpm.MyAuditVal),_xlpm.MacVal&lt;&gt;"",_xlpm.MacVal,_xlpm.CSVVal&lt;&gt;"",_xlpm.CSVVal
)),"")</f>
        <v/>
      </c>
      <c r="O37" s="46" t="str">
        <f>_xlfn.XLOOKUP(C37,My_Audit!B:B,My_Audit!P:P,"")&amp;""</f>
        <v/>
      </c>
      <c r="P37" s="45"/>
      <c r="Q37" s="46" t="str">
        <f>IF(LEFT(N37,4)="Pass","Nist SP 800-88",My_Audit!R37)&amp;""</f>
        <v/>
      </c>
      <c r="R37" s="45"/>
      <c r="S37" s="45"/>
      <c r="T37" s="46" t="str">
        <f>_xlfn.XLOOKUP(E37,Models!I:I,Models!J:J,"")</f>
        <v/>
      </c>
      <c r="U37" s="45"/>
      <c r="V37" s="45"/>
      <c r="W37" s="38" t="str">
        <f>_xlfn.LET(
    _xlpm.MacVal, _xlfn.XLOOKUP($A37, Output_Mac!$A:$A, Output_Mac!AA:AA, ""),
    _xlpm.MyAuditVal, _xlfn.XLOOKUP($A37, My_Audit!$A:$A, My_Audit!L:L, ""),
    _xlfn.TEXTJOIN(", ", TRUE, _xlpm.MyAuditVal, _xlpm.MacVal)
)</f>
        <v/>
      </c>
    </row>
    <row r="38" spans="1:23">
      <c r="A38" s="45" t="str">
        <f>_xlfn.TEXTJOIN("",TRUE,Input!$B$2,ROW(My_Audit!A37))</f>
        <v>CC37</v>
      </c>
      <c r="B38" s="45" t="str">
        <f>_xlfn.TEXTJOIN("-",TRUE,"ITD",Input!$A$2,A38)</f>
        <v>ITD-XXX-CC37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_xlpm.CSVVal,_xlfn.XLOOKUP($A38,CSV!$A:$A,CSV!C:C,""),
_xlpm.MacVal,_xlfn.XLOOKUP($A38,Output_Mac!$A:$A,Output_Mac!D:D,""),
_xlpm.MyAuditVal,_xlfn.XLOOKUP($A38,My_Audit!$A:$A,My_Audit!C:C,""),
_xlfn.IFS(_xlpm.MyAuditVal&lt;&gt;"",UPPER(_xlpm.MyAuditVal),_xlpm.MacVal&lt;&gt;"",_xlpm.MacVal,_xlpm.CSVVal&lt;&gt;"",_xlpm.CSVVal
)),"")</f>
        <v/>
      </c>
      <c r="E38" s="46" t="str" cm="1">
        <f t="array" ref="E38">IFERROR(_xlfn.LET(
_xlpm.CSVVal,_xlfn.XLOOKUP($A38,CSV!$A:$A,CSV!E:E,""),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_xlpm.CSVVal,_xlfn.XLOOKUP($A38,CSV!$A:$A,CSV!G:G,""),
_xlpm.MacVal,_xlfn.XLOOKUP($A38,Output_Mac!$A:$A,Output_Mac!G:G,""),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_xlfn.XLOOKUP(A38,Output_Mac!A:A,Output_Mac!H:H,"")</f>
        <v/>
      </c>
      <c r="I38" s="45" t="str" cm="1">
        <f t="array" ref="I38">IFERROR(_xlfn.LET(
_xlpm.CSVVal,_xlfn.XLOOKUP($A38,CSV!$A:$A,CSV!H:H,""),
_xlpm.MacVal,_xlfn.XLOOKUP($A38,Output_Mac!$A:$A,Output_Mac!I:I,""),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_xlpm.CSVVal,_xlfn.XLOOKUP($A38,CSV!$A:$A,CSV!J:J,""),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6" t="str" cm="1">
        <f t="array" ref="K38">IFERROR(_xlfn.LET(
_xlpm.CSVVal,_xlfn.XLOOKUP($A38,CSV!$A:$A,CSV!N:N,""),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_xlpm.CSVVal,_xlfn.XLOOKUP($A38,CSV!$A:$A,CSV!Q:Q,""),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CSV!AE:AE,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_xlpm.CSVVal,_xlfn.XLOOKUP($A38,CSV!$A:$A,CSV!AG:AG,""),
_xlpm.MacVal,_xlfn.XLOOKUP($A38,Output_Mac!$A:$A,Output_Mac!T:T,""),
_xlpm.MyAuditVal,_xlfn.XLOOKUP($A38,My_Audit!$A:$A,My_Audit!O:O,""),
_xlfn.IFS(_xlpm.MyAuditVal&lt;&gt;"",UPPER(_xlpm.MyAuditVal),_xlpm.MacVal&lt;&gt;"",_xlpm.MacVal,_xlpm.CSVVal&lt;&gt;"",_xlpm.CSVVal
)),"")</f>
        <v/>
      </c>
      <c r="O38" s="46" t="str">
        <f>_xlfn.XLOOKUP(C38,My_Audit!B:B,My_Audit!P:P,"")&amp;""</f>
        <v/>
      </c>
      <c r="P38" s="45"/>
      <c r="Q38" s="46" t="str">
        <f>IF(LEFT(N38,4)="Pass","Nist SP 800-88",My_Audit!R38)&amp;""</f>
        <v/>
      </c>
      <c r="R38" s="45"/>
      <c r="S38" s="45"/>
      <c r="T38" s="46" t="str">
        <f>_xlfn.XLOOKUP(E38,Models!I:I,Models!J:J,"")</f>
        <v/>
      </c>
      <c r="U38" s="45"/>
      <c r="V38" s="45"/>
      <c r="W38" s="38" t="str">
        <f>_xlfn.LET(
    _xlpm.MacVal, _xlfn.XLOOKUP($A38, Output_Mac!$A:$A, Output_Mac!AA:AA, ""),
    _xlpm.MyAuditVal, _xlfn.XLOOKUP($A38, My_Audit!$A:$A, My_Audit!L:L, ""),
    _xlfn.TEXTJOIN(", ", TRUE, _xlpm.MyAuditVal, _xlpm.MacVal)
)</f>
        <v/>
      </c>
    </row>
    <row r="39" spans="1:23">
      <c r="A39" s="45" t="str">
        <f>_xlfn.TEXTJOIN("",TRUE,Input!$B$2,ROW(My_Audit!A38))</f>
        <v>CC38</v>
      </c>
      <c r="B39" s="45" t="str">
        <f>_xlfn.TEXTJOIN("-",TRUE,"ITD",Input!$A$2,A39)</f>
        <v>ITD-XXX-CC38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_xlpm.CSVVal,_xlfn.XLOOKUP($A39,CSV!$A:$A,CSV!C:C,""),
_xlpm.MacVal,_xlfn.XLOOKUP($A39,Output_Mac!$A:$A,Output_Mac!D:D,""),
_xlpm.MyAuditVal,_xlfn.XLOOKUP($A39,My_Audit!$A:$A,My_Audit!C:C,""),
_xlfn.IFS(_xlpm.MyAuditVal&lt;&gt;"",UPPER(_xlpm.MyAuditVal),_xlpm.MacVal&lt;&gt;"",_xlpm.MacVal,_xlpm.CSVVal&lt;&gt;"",_xlpm.CSVVal
)),"")</f>
        <v/>
      </c>
      <c r="E39" s="46" t="str" cm="1">
        <f t="array" ref="E39">IFERROR(_xlfn.LET(
_xlpm.CSVVal,_xlfn.XLOOKUP($A39,CSV!$A:$A,CSV!E:E,""),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_xlpm.CSVVal,_xlfn.XLOOKUP($A39,CSV!$A:$A,CSV!G:G,""),
_xlpm.MacVal,_xlfn.XLOOKUP($A39,Output_Mac!$A:$A,Output_Mac!G:G,""),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_xlfn.XLOOKUP(A39,Output_Mac!A:A,Output_Mac!H:H,"")</f>
        <v/>
      </c>
      <c r="I39" s="45" t="str" cm="1">
        <f t="array" ref="I39">IFERROR(_xlfn.LET(
_xlpm.CSVVal,_xlfn.XLOOKUP($A39,CSV!$A:$A,CSV!H:H,""),
_xlpm.MacVal,_xlfn.XLOOKUP($A39,Output_Mac!$A:$A,Output_Mac!I:I,""),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_xlpm.CSVVal,_xlfn.XLOOKUP($A39,CSV!$A:$A,CSV!J:J,""),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6" t="str" cm="1">
        <f t="array" ref="K39">IFERROR(_xlfn.LET(
_xlpm.CSVVal,_xlfn.XLOOKUP($A39,CSV!$A:$A,CSV!N:N,""),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_xlpm.CSVVal,_xlfn.XLOOKUP($A39,CSV!$A:$A,CSV!Q:Q,""),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CSV!AE:AE,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_xlpm.CSVVal,_xlfn.XLOOKUP($A39,CSV!$A:$A,CSV!AG:AG,""),
_xlpm.MacVal,_xlfn.XLOOKUP($A39,Output_Mac!$A:$A,Output_Mac!T:T,""),
_xlpm.MyAuditVal,_xlfn.XLOOKUP($A39,My_Audit!$A:$A,My_Audit!O:O,""),
_xlfn.IFS(_xlpm.MyAuditVal&lt;&gt;"",UPPER(_xlpm.MyAuditVal),_xlpm.MacVal&lt;&gt;"",_xlpm.MacVal,_xlpm.CSVVal&lt;&gt;"",_xlpm.CSVVal
)),"")</f>
        <v/>
      </c>
      <c r="O39" s="46" t="str">
        <f>_xlfn.XLOOKUP(C39,My_Audit!B:B,My_Audit!P:P,"")&amp;""</f>
        <v/>
      </c>
      <c r="P39" s="45"/>
      <c r="Q39" s="46" t="str">
        <f>IF(LEFT(N39,4)="Pass","Nist SP 800-88",My_Audit!R39)&amp;""</f>
        <v/>
      </c>
      <c r="R39" s="45"/>
      <c r="S39" s="45"/>
      <c r="T39" s="46" t="str">
        <f>_xlfn.XLOOKUP(E39,Models!I:I,Models!J:J,"")</f>
        <v/>
      </c>
      <c r="U39" s="45"/>
      <c r="V39" s="45"/>
      <c r="W39" s="38" t="str">
        <f>_xlfn.LET(
    _xlpm.MacVal, _xlfn.XLOOKUP($A39, Output_Mac!$A:$A, Output_Mac!AA:AA, ""),
    _xlpm.MyAuditVal, _xlfn.XLOOKUP($A39, My_Audit!$A:$A, My_Audit!L:L, ""),
    _xlfn.TEXTJOIN(", ", TRUE, _xlpm.MyAuditVal, _xlpm.MacVal)
)</f>
        <v/>
      </c>
    </row>
    <row r="40" spans="1:23">
      <c r="A40" s="45" t="str">
        <f>_xlfn.TEXTJOIN("",TRUE,Input!$B$2,ROW(My_Audit!A39))</f>
        <v>CC39</v>
      </c>
      <c r="B40" s="45" t="str">
        <f>_xlfn.TEXTJOIN("-",TRUE,"ITD",Input!$A$2,A40)</f>
        <v>ITD-XXX-CC39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_xlpm.CSVVal,_xlfn.XLOOKUP($A40,CSV!$A:$A,CSV!C:C,""),
_xlpm.MacVal,_xlfn.XLOOKUP($A40,Output_Mac!$A:$A,Output_Mac!D:D,""),
_xlpm.MyAuditVal,_xlfn.XLOOKUP($A40,My_Audit!$A:$A,My_Audit!C:C,""),
_xlfn.IFS(_xlpm.MyAuditVal&lt;&gt;"",UPPER(_xlpm.MyAuditVal),_xlpm.MacVal&lt;&gt;"",_xlpm.MacVal,_xlpm.CSVVal&lt;&gt;"",_xlpm.CSVVal
)),"")</f>
        <v/>
      </c>
      <c r="E40" s="46" t="str" cm="1">
        <f t="array" ref="E40">IFERROR(_xlfn.LET(
_xlpm.CSVVal,_xlfn.XLOOKUP($A40,CSV!$A:$A,CSV!E:E,""),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_xlpm.CSVVal,_xlfn.XLOOKUP($A40,CSV!$A:$A,CSV!G:G,""),
_xlpm.MacVal,_xlfn.XLOOKUP($A40,Output_Mac!$A:$A,Output_Mac!G:G,""),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_xlfn.XLOOKUP(A40,Output_Mac!A:A,Output_Mac!H:H,"")</f>
        <v/>
      </c>
      <c r="I40" s="45" t="str" cm="1">
        <f t="array" ref="I40">IFERROR(_xlfn.LET(
_xlpm.CSVVal,_xlfn.XLOOKUP($A40,CSV!$A:$A,CSV!H:H,""),
_xlpm.MacVal,_xlfn.XLOOKUP($A40,Output_Mac!$A:$A,Output_Mac!I:I,""),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_xlpm.CSVVal,_xlfn.XLOOKUP($A40,CSV!$A:$A,CSV!J:J,""),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6" t="str" cm="1">
        <f t="array" ref="K40">IFERROR(_xlfn.LET(
_xlpm.CSVVal,_xlfn.XLOOKUP($A40,CSV!$A:$A,CSV!N:N,""),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_xlpm.CSVVal,_xlfn.XLOOKUP($A40,CSV!$A:$A,CSV!Q:Q,""),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CSV!AE:AE,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_xlpm.CSVVal,_xlfn.XLOOKUP($A40,CSV!$A:$A,CSV!AG:AG,""),
_xlpm.MacVal,_xlfn.XLOOKUP($A40,Output_Mac!$A:$A,Output_Mac!T:T,""),
_xlpm.MyAuditVal,_xlfn.XLOOKUP($A40,My_Audit!$A:$A,My_Audit!O:O,""),
_xlfn.IFS(_xlpm.MyAuditVal&lt;&gt;"",UPPER(_xlpm.MyAuditVal),_xlpm.MacVal&lt;&gt;"",_xlpm.MacVal,_xlpm.CSVVal&lt;&gt;"",_xlpm.CSVVal
)),"")</f>
        <v/>
      </c>
      <c r="O40" s="46" t="str">
        <f>_xlfn.XLOOKUP(C40,My_Audit!B:B,My_Audit!P:P,"")&amp;""</f>
        <v/>
      </c>
      <c r="P40" s="45"/>
      <c r="Q40" s="46" t="str">
        <f>IF(LEFT(N40,4)="Pass","Nist SP 800-88",My_Audit!R40)&amp;""</f>
        <v/>
      </c>
      <c r="R40" s="45"/>
      <c r="S40" s="45"/>
      <c r="T40" s="46" t="str">
        <f>_xlfn.XLOOKUP(E40,Models!I:I,Models!J:J,"")</f>
        <v/>
      </c>
      <c r="U40" s="45"/>
      <c r="V40" s="45"/>
      <c r="W40" s="38" t="str">
        <f>_xlfn.LET(
    _xlpm.MacVal, _xlfn.XLOOKUP($A40, Output_Mac!$A:$A, Output_Mac!AA:AA, ""),
    _xlpm.MyAuditVal, _xlfn.XLOOKUP($A40, My_Audit!$A:$A, My_Audit!L:L, ""),
    _xlfn.TEXTJOIN(", ", TRUE, _xlpm.MyAuditVal, _xlpm.MacVal)
)</f>
        <v/>
      </c>
    </row>
    <row r="41" spans="1:23">
      <c r="A41" s="45" t="str">
        <f>_xlfn.TEXTJOIN("",TRUE,Input!$B$2,ROW(My_Audit!A40))</f>
        <v>CC40</v>
      </c>
      <c r="B41" s="45" t="str">
        <f>_xlfn.TEXTJOIN("-",TRUE,"ITD",Input!$A$2,A41)</f>
        <v>ITD-XXX-CC40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_xlpm.CSVVal,_xlfn.XLOOKUP($A41,CSV!$A:$A,CSV!C:C,""),
_xlpm.MacVal,_xlfn.XLOOKUP($A41,Output_Mac!$A:$A,Output_Mac!D:D,""),
_xlpm.MyAuditVal,_xlfn.XLOOKUP($A41,My_Audit!$A:$A,My_Audit!C:C,""),
_xlfn.IFS(_xlpm.MyAuditVal&lt;&gt;"",UPPER(_xlpm.MyAuditVal),_xlpm.MacVal&lt;&gt;"",_xlpm.MacVal,_xlpm.CSVVal&lt;&gt;"",_xlpm.CSVVal
)),"")</f>
        <v/>
      </c>
      <c r="E41" s="46" t="str" cm="1">
        <f t="array" ref="E41">IFERROR(_xlfn.LET(
_xlpm.CSVVal,_xlfn.XLOOKUP($A41,CSV!$A:$A,CSV!E:E,""),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_xlpm.CSVVal,_xlfn.XLOOKUP($A41,CSV!$A:$A,CSV!G:G,""),
_xlpm.MacVal,_xlfn.XLOOKUP($A41,Output_Mac!$A:$A,Output_Mac!G:G,""),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_xlfn.XLOOKUP(A41,Output_Mac!A:A,Output_Mac!H:H,"")</f>
        <v/>
      </c>
      <c r="I41" s="45" t="str" cm="1">
        <f t="array" ref="I41">IFERROR(_xlfn.LET(
_xlpm.CSVVal,_xlfn.XLOOKUP($A41,CSV!$A:$A,CSV!H:H,""),
_xlpm.MacVal,_xlfn.XLOOKUP($A41,Output_Mac!$A:$A,Output_Mac!I:I,""),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_xlpm.CSVVal,_xlfn.XLOOKUP($A41,CSV!$A:$A,CSV!J:J,""),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6" t="str" cm="1">
        <f t="array" ref="K41">IFERROR(_xlfn.LET(
_xlpm.CSVVal,_xlfn.XLOOKUP($A41,CSV!$A:$A,CSV!N:N,""),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_xlpm.CSVVal,_xlfn.XLOOKUP($A41,CSV!$A:$A,CSV!Q:Q,""),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CSV!AE:AE,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_xlpm.CSVVal,_xlfn.XLOOKUP($A41,CSV!$A:$A,CSV!AG:AG,""),
_xlpm.MacVal,_xlfn.XLOOKUP($A41,Output_Mac!$A:$A,Output_Mac!T:T,""),
_xlpm.MyAuditVal,_xlfn.XLOOKUP($A41,My_Audit!$A:$A,My_Audit!O:O,""),
_xlfn.IFS(_xlpm.MyAuditVal&lt;&gt;"",UPPER(_xlpm.MyAuditVal),_xlpm.MacVal&lt;&gt;"",_xlpm.MacVal,_xlpm.CSVVal&lt;&gt;"",_xlpm.CSVVal
)),"")</f>
        <v/>
      </c>
      <c r="O41" s="46" t="str">
        <f>_xlfn.XLOOKUP(C41,My_Audit!B:B,My_Audit!P:P,"")&amp;""</f>
        <v/>
      </c>
      <c r="P41" s="45"/>
      <c r="Q41" s="46" t="str">
        <f>IF(LEFT(N41,4)="Pass","Nist SP 800-88",My_Audit!R41)&amp;""</f>
        <v/>
      </c>
      <c r="R41" s="45"/>
      <c r="S41" s="45"/>
      <c r="T41" s="46" t="str">
        <f>_xlfn.XLOOKUP(E41,Models!I:I,Models!J:J,"")</f>
        <v/>
      </c>
      <c r="U41" s="45"/>
      <c r="V41" s="45"/>
      <c r="W41" s="38" t="str">
        <f>_xlfn.LET(
    _xlpm.MacVal, _xlfn.XLOOKUP($A41, Output_Mac!$A:$A, Output_Mac!AA:AA, ""),
    _xlpm.MyAuditVal, _xlfn.XLOOKUP($A41, My_Audit!$A:$A, My_Audit!L:L, ""),
    _xlfn.TEXTJOIN(", ", TRUE, _xlpm.MyAuditVal, _xlpm.MacVal)
)</f>
        <v/>
      </c>
    </row>
    <row r="42" spans="1:23">
      <c r="A42" s="45" t="str">
        <f>_xlfn.TEXTJOIN("",TRUE,Input!$B$2,ROW(My_Audit!A41))</f>
        <v>CC41</v>
      </c>
      <c r="B42" s="45" t="str">
        <f>_xlfn.TEXTJOIN("-",TRUE,"ITD",Input!$A$2,A42)</f>
        <v>ITD-XXX-CC41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_xlpm.CSVVal,_xlfn.XLOOKUP($A42,CSV!$A:$A,CSV!C:C,""),
_xlpm.MacVal,_xlfn.XLOOKUP($A42,Output_Mac!$A:$A,Output_Mac!D:D,""),
_xlpm.MyAuditVal,_xlfn.XLOOKUP($A42,My_Audit!$A:$A,My_Audit!C:C,""),
_xlfn.IFS(_xlpm.MyAuditVal&lt;&gt;"",UPPER(_xlpm.MyAuditVal),_xlpm.MacVal&lt;&gt;"",_xlpm.MacVal,_xlpm.CSVVal&lt;&gt;"",_xlpm.CSVVal
)),"")</f>
        <v/>
      </c>
      <c r="E42" s="46" t="str" cm="1">
        <f t="array" ref="E42">IFERROR(_xlfn.LET(
_xlpm.CSVVal,_xlfn.XLOOKUP($A42,CSV!$A:$A,CSV!E:E,""),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_xlpm.CSVVal,_xlfn.XLOOKUP($A42,CSV!$A:$A,CSV!G:G,""),
_xlpm.MacVal,_xlfn.XLOOKUP($A42,Output_Mac!$A:$A,Output_Mac!G:G,""),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_xlfn.XLOOKUP(A42,Output_Mac!A:A,Output_Mac!H:H,"")</f>
        <v/>
      </c>
      <c r="I42" s="45" t="str" cm="1">
        <f t="array" ref="I42">IFERROR(_xlfn.LET(
_xlpm.CSVVal,_xlfn.XLOOKUP($A42,CSV!$A:$A,CSV!H:H,""),
_xlpm.MacVal,_xlfn.XLOOKUP($A42,Output_Mac!$A:$A,Output_Mac!I:I,""),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_xlpm.CSVVal,_xlfn.XLOOKUP($A42,CSV!$A:$A,CSV!J:J,""),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6" t="str" cm="1">
        <f t="array" ref="K42">IFERROR(_xlfn.LET(
_xlpm.CSVVal,_xlfn.XLOOKUP($A42,CSV!$A:$A,CSV!N:N,""),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_xlpm.CSVVal,_xlfn.XLOOKUP($A42,CSV!$A:$A,CSV!Q:Q,""),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CSV!AE:AE,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_xlpm.CSVVal,_xlfn.XLOOKUP($A42,CSV!$A:$A,CSV!AG:AG,""),
_xlpm.MacVal,_xlfn.XLOOKUP($A42,Output_Mac!$A:$A,Output_Mac!T:T,""),
_xlpm.MyAuditVal,_xlfn.XLOOKUP($A42,My_Audit!$A:$A,My_Audit!O:O,""),
_xlfn.IFS(_xlpm.MyAuditVal&lt;&gt;"",UPPER(_xlpm.MyAuditVal),_xlpm.MacVal&lt;&gt;"",_xlpm.MacVal,_xlpm.CSVVal&lt;&gt;"",_xlpm.CSVVal
)),"")</f>
        <v/>
      </c>
      <c r="O42" s="46" t="str">
        <f>_xlfn.XLOOKUP(C42,My_Audit!B:B,My_Audit!P:P,"")&amp;""</f>
        <v/>
      </c>
      <c r="P42" s="45"/>
      <c r="Q42" s="46" t="str">
        <f>IF(LEFT(N42,4)="Pass","Nist SP 800-88",My_Audit!R42)&amp;""</f>
        <v/>
      </c>
      <c r="R42" s="45"/>
      <c r="S42" s="45"/>
      <c r="T42" s="46" t="str">
        <f>_xlfn.XLOOKUP(E42,Models!I:I,Models!J:J,"")</f>
        <v/>
      </c>
      <c r="U42" s="45"/>
      <c r="V42" s="45"/>
      <c r="W42" s="38" t="str">
        <f>_xlfn.LET(
    _xlpm.MacVal, _xlfn.XLOOKUP($A42, Output_Mac!$A:$A, Output_Mac!AA:AA, ""),
    _xlpm.MyAuditVal, _xlfn.XLOOKUP($A42, My_Audit!$A:$A, My_Audit!L:L, ""),
    _xlfn.TEXTJOIN(", ", TRUE, _xlpm.MyAuditVal, _xlpm.MacVal)
)</f>
        <v/>
      </c>
    </row>
    <row r="43" spans="1:23">
      <c r="A43" s="45" t="str">
        <f>_xlfn.TEXTJOIN("",TRUE,Input!$B$2,ROW(My_Audit!A42))</f>
        <v>CC42</v>
      </c>
      <c r="B43" s="45" t="str">
        <f>_xlfn.TEXTJOIN("-",TRUE,"ITD",Input!$A$2,A43)</f>
        <v>ITD-XXX-CC42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_xlpm.CSVVal,_xlfn.XLOOKUP($A43,CSV!$A:$A,CSV!C:C,""),
_xlpm.MacVal,_xlfn.XLOOKUP($A43,Output_Mac!$A:$A,Output_Mac!D:D,""),
_xlpm.MyAuditVal,_xlfn.XLOOKUP($A43,My_Audit!$A:$A,My_Audit!C:C,""),
_xlfn.IFS(_xlpm.MyAuditVal&lt;&gt;"",UPPER(_xlpm.MyAuditVal),_xlpm.MacVal&lt;&gt;"",_xlpm.MacVal,_xlpm.CSVVal&lt;&gt;"",_xlpm.CSVVal
)),"")</f>
        <v/>
      </c>
      <c r="E43" s="46" t="str" cm="1">
        <f t="array" ref="E43">IFERROR(_xlfn.LET(
_xlpm.CSVVal,_xlfn.XLOOKUP($A43,CSV!$A:$A,CSV!E:E,""),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_xlpm.CSVVal,_xlfn.XLOOKUP($A43,CSV!$A:$A,CSV!G:G,""),
_xlpm.MacVal,_xlfn.XLOOKUP($A43,Output_Mac!$A:$A,Output_Mac!G:G,""),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_xlfn.XLOOKUP(A43,Output_Mac!A:A,Output_Mac!H:H,"")</f>
        <v/>
      </c>
      <c r="I43" s="45" t="str" cm="1">
        <f t="array" ref="I43">IFERROR(_xlfn.LET(
_xlpm.CSVVal,_xlfn.XLOOKUP($A43,CSV!$A:$A,CSV!H:H,""),
_xlpm.MacVal,_xlfn.XLOOKUP($A43,Output_Mac!$A:$A,Output_Mac!I:I,""),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_xlpm.CSVVal,_xlfn.XLOOKUP($A43,CSV!$A:$A,CSV!J:J,""),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6" t="str" cm="1">
        <f t="array" ref="K43">IFERROR(_xlfn.LET(
_xlpm.CSVVal,_xlfn.XLOOKUP($A43,CSV!$A:$A,CSV!N:N,""),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_xlpm.CSVVal,_xlfn.XLOOKUP($A43,CSV!$A:$A,CSV!Q:Q,""),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CSV!AE:AE,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_xlpm.CSVVal,_xlfn.XLOOKUP($A43,CSV!$A:$A,CSV!AG:AG,""),
_xlpm.MacVal,_xlfn.XLOOKUP($A43,Output_Mac!$A:$A,Output_Mac!T:T,""),
_xlpm.MyAuditVal,_xlfn.XLOOKUP($A43,My_Audit!$A:$A,My_Audit!O:O,""),
_xlfn.IFS(_xlpm.MyAuditVal&lt;&gt;"",UPPER(_xlpm.MyAuditVal),_xlpm.MacVal&lt;&gt;"",_xlpm.MacVal,_xlpm.CSVVal&lt;&gt;"",_xlpm.CSVVal
)),"")</f>
        <v/>
      </c>
      <c r="O43" s="46" t="str">
        <f>_xlfn.XLOOKUP(C43,My_Audit!B:B,My_Audit!P:P,"")&amp;""</f>
        <v/>
      </c>
      <c r="P43" s="45"/>
      <c r="Q43" s="46" t="str">
        <f>IF(LEFT(N43,4)="Pass","Nist SP 800-88",My_Audit!R43)&amp;""</f>
        <v/>
      </c>
      <c r="R43" s="45"/>
      <c r="S43" s="45"/>
      <c r="T43" s="46" t="str">
        <f>_xlfn.XLOOKUP(E43,Models!I:I,Models!J:J,"")</f>
        <v/>
      </c>
      <c r="U43" s="45"/>
      <c r="V43" s="45"/>
      <c r="W43" s="38" t="str">
        <f>_xlfn.LET(
    _xlpm.MacVal, _xlfn.XLOOKUP($A43, Output_Mac!$A:$A, Output_Mac!AA:AA, ""),
    _xlpm.MyAuditVal, _xlfn.XLOOKUP($A43, My_Audit!$A:$A, My_Audit!L:L, ""),
    _xlfn.TEXTJOIN(", ", TRUE, _xlpm.MyAuditVal, _xlpm.MacVal)
)</f>
        <v/>
      </c>
    </row>
    <row r="44" spans="1:23">
      <c r="A44" s="45" t="str">
        <f>_xlfn.TEXTJOIN("",TRUE,Input!$B$2,ROW(My_Audit!A43))</f>
        <v>CC43</v>
      </c>
      <c r="B44" s="45" t="str">
        <f>_xlfn.TEXTJOIN("-",TRUE,"ITD",Input!$A$2,A44)</f>
        <v>ITD-XXX-CC43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_xlpm.CSVVal,_xlfn.XLOOKUP($A44,CSV!$A:$A,CSV!C:C,""),
_xlpm.MacVal,_xlfn.XLOOKUP($A44,Output_Mac!$A:$A,Output_Mac!D:D,""),
_xlpm.MyAuditVal,_xlfn.XLOOKUP($A44,My_Audit!$A:$A,My_Audit!C:C,""),
_xlfn.IFS(_xlpm.MyAuditVal&lt;&gt;"",UPPER(_xlpm.MyAuditVal),_xlpm.MacVal&lt;&gt;"",_xlpm.MacVal,_xlpm.CSVVal&lt;&gt;"",_xlpm.CSVVal
)),"")</f>
        <v/>
      </c>
      <c r="E44" s="46" t="str" cm="1">
        <f t="array" ref="E44">IFERROR(_xlfn.LET(
_xlpm.CSVVal,_xlfn.XLOOKUP($A44,CSV!$A:$A,CSV!E:E,""),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_xlpm.CSVVal,_xlfn.XLOOKUP($A44,CSV!$A:$A,CSV!G:G,""),
_xlpm.MacVal,_xlfn.XLOOKUP($A44,Output_Mac!$A:$A,Output_Mac!G:G,""),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_xlfn.XLOOKUP(A44,Output_Mac!A:A,Output_Mac!H:H,"")</f>
        <v/>
      </c>
      <c r="I44" s="45" t="str" cm="1">
        <f t="array" ref="I44">IFERROR(_xlfn.LET(
_xlpm.CSVVal,_xlfn.XLOOKUP($A44,CSV!$A:$A,CSV!H:H,""),
_xlpm.MacVal,_xlfn.XLOOKUP($A44,Output_Mac!$A:$A,Output_Mac!I:I,""),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_xlpm.CSVVal,_xlfn.XLOOKUP($A44,CSV!$A:$A,CSV!J:J,""),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6" t="str" cm="1">
        <f t="array" ref="K44">IFERROR(_xlfn.LET(
_xlpm.CSVVal,_xlfn.XLOOKUP($A44,CSV!$A:$A,CSV!N:N,""),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_xlpm.CSVVal,_xlfn.XLOOKUP($A44,CSV!$A:$A,CSV!Q:Q,""),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CSV!AE:AE,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_xlpm.CSVVal,_xlfn.XLOOKUP($A44,CSV!$A:$A,CSV!AG:AG,""),
_xlpm.MacVal,_xlfn.XLOOKUP($A44,Output_Mac!$A:$A,Output_Mac!T:T,""),
_xlpm.MyAuditVal,_xlfn.XLOOKUP($A44,My_Audit!$A:$A,My_Audit!O:O,""),
_xlfn.IFS(_xlpm.MyAuditVal&lt;&gt;"",UPPER(_xlpm.MyAuditVal),_xlpm.MacVal&lt;&gt;"",_xlpm.MacVal,_xlpm.CSVVal&lt;&gt;"",_xlpm.CSVVal
)),"")</f>
        <v/>
      </c>
      <c r="O44" s="46" t="str">
        <f>_xlfn.XLOOKUP(C44,My_Audit!B:B,My_Audit!P:P,"")&amp;""</f>
        <v/>
      </c>
      <c r="P44" s="45"/>
      <c r="Q44" s="46" t="str">
        <f>IF(LEFT(N44,4)="Pass","Nist SP 800-88",My_Audit!R44)&amp;""</f>
        <v/>
      </c>
      <c r="R44" s="45"/>
      <c r="S44" s="45"/>
      <c r="T44" s="46" t="str">
        <f>_xlfn.XLOOKUP(E44,Models!I:I,Models!J:J,"")</f>
        <v/>
      </c>
      <c r="U44" s="45"/>
      <c r="V44" s="45"/>
      <c r="W44" s="38" t="str">
        <f>_xlfn.LET(
    _xlpm.MacVal, _xlfn.XLOOKUP($A44, Output_Mac!$A:$A, Output_Mac!AA:AA, ""),
    _xlpm.MyAuditVal, _xlfn.XLOOKUP($A44, My_Audit!$A:$A, My_Audit!L:L, ""),
    _xlfn.TEXTJOIN(", ", TRUE, _xlpm.MyAuditVal, _xlpm.MacVal)
)</f>
        <v/>
      </c>
    </row>
    <row r="45" spans="1:23">
      <c r="A45" s="45" t="str">
        <f>_xlfn.TEXTJOIN("",TRUE,Input!$B$2,ROW(My_Audit!A44))</f>
        <v>CC44</v>
      </c>
      <c r="B45" s="45" t="str">
        <f>_xlfn.TEXTJOIN("-",TRUE,"ITD",Input!$A$2,A45)</f>
        <v>ITD-XXX-CC44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_xlpm.CSVVal,_xlfn.XLOOKUP($A45,CSV!$A:$A,CSV!C:C,""),
_xlpm.MacVal,_xlfn.XLOOKUP($A45,Output_Mac!$A:$A,Output_Mac!D:D,""),
_xlpm.MyAuditVal,_xlfn.XLOOKUP($A45,My_Audit!$A:$A,My_Audit!C:C,""),
_xlfn.IFS(_xlpm.MyAuditVal&lt;&gt;"",UPPER(_xlpm.MyAuditVal),_xlpm.MacVal&lt;&gt;"",_xlpm.MacVal,_xlpm.CSVVal&lt;&gt;"",_xlpm.CSVVal
)),"")</f>
        <v/>
      </c>
      <c r="E45" s="46" t="str" cm="1">
        <f t="array" ref="E45">IFERROR(_xlfn.LET(
_xlpm.CSVVal,_xlfn.XLOOKUP($A45,CSV!$A:$A,CSV!E:E,""),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_xlpm.CSVVal,_xlfn.XLOOKUP($A45,CSV!$A:$A,CSV!G:G,""),
_xlpm.MacVal,_xlfn.XLOOKUP($A45,Output_Mac!$A:$A,Output_Mac!G:G,""),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_xlfn.XLOOKUP(A45,Output_Mac!A:A,Output_Mac!H:H,"")</f>
        <v/>
      </c>
      <c r="I45" s="45" t="str" cm="1">
        <f t="array" ref="I45">IFERROR(_xlfn.LET(
_xlpm.CSVVal,_xlfn.XLOOKUP($A45,CSV!$A:$A,CSV!H:H,""),
_xlpm.MacVal,_xlfn.XLOOKUP($A45,Output_Mac!$A:$A,Output_Mac!I:I,""),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_xlpm.CSVVal,_xlfn.XLOOKUP($A45,CSV!$A:$A,CSV!J:J,""),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6" t="str" cm="1">
        <f t="array" ref="K45">IFERROR(_xlfn.LET(
_xlpm.CSVVal,_xlfn.XLOOKUP($A45,CSV!$A:$A,CSV!N:N,""),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_xlpm.CSVVal,_xlfn.XLOOKUP($A45,CSV!$A:$A,CSV!Q:Q,""),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CSV!AE:AE,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_xlpm.CSVVal,_xlfn.XLOOKUP($A45,CSV!$A:$A,CSV!AG:AG,""),
_xlpm.MacVal,_xlfn.XLOOKUP($A45,Output_Mac!$A:$A,Output_Mac!T:T,""),
_xlpm.MyAuditVal,_xlfn.XLOOKUP($A45,My_Audit!$A:$A,My_Audit!O:O,""),
_xlfn.IFS(_xlpm.MyAuditVal&lt;&gt;"",UPPER(_xlpm.MyAuditVal),_xlpm.MacVal&lt;&gt;"",_xlpm.MacVal,_xlpm.CSVVal&lt;&gt;"",_xlpm.CSVVal
)),"")</f>
        <v/>
      </c>
      <c r="O45" s="46" t="str">
        <f>_xlfn.XLOOKUP(C45,My_Audit!B:B,My_Audit!P:P,"")&amp;""</f>
        <v/>
      </c>
      <c r="P45" s="45"/>
      <c r="Q45" s="46" t="str">
        <f>IF(LEFT(N45,4)="Pass","Nist SP 800-88",My_Audit!R45)&amp;""</f>
        <v/>
      </c>
      <c r="R45" s="45"/>
      <c r="S45" s="45"/>
      <c r="T45" s="46" t="str">
        <f>_xlfn.XLOOKUP(E45,Models!I:I,Models!J:J,"")</f>
        <v/>
      </c>
      <c r="U45" s="45"/>
      <c r="V45" s="45"/>
      <c r="W45" s="38" t="str">
        <f>_xlfn.LET(
    _xlpm.MacVal, _xlfn.XLOOKUP($A45, Output_Mac!$A:$A, Output_Mac!AA:AA, ""),
    _xlpm.MyAuditVal, _xlfn.XLOOKUP($A45, My_Audit!$A:$A, My_Audit!L:L, ""),
    _xlfn.TEXTJOIN(", ", TRUE, _xlpm.MyAuditVal, _xlpm.MacVal)
)</f>
        <v/>
      </c>
    </row>
    <row r="46" spans="1:23">
      <c r="A46" s="45" t="str">
        <f>_xlfn.TEXTJOIN("",TRUE,Input!$B$2,ROW(My_Audit!A45))</f>
        <v>CC45</v>
      </c>
      <c r="B46" s="45" t="str">
        <f>_xlfn.TEXTJOIN("-",TRUE,"ITD",Input!$A$2,A46)</f>
        <v>ITD-XXX-CC45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_xlpm.CSVVal,_xlfn.XLOOKUP($A46,CSV!$A:$A,CSV!C:C,""),
_xlpm.MacVal,_xlfn.XLOOKUP($A46,Output_Mac!$A:$A,Output_Mac!D:D,""),
_xlpm.MyAuditVal,_xlfn.XLOOKUP($A46,My_Audit!$A:$A,My_Audit!C:C,""),
_xlfn.IFS(_xlpm.MyAuditVal&lt;&gt;"",UPPER(_xlpm.MyAuditVal),_xlpm.MacVal&lt;&gt;"",_xlpm.MacVal,_xlpm.CSVVal&lt;&gt;"",_xlpm.CSVVal
)),"")</f>
        <v/>
      </c>
      <c r="E46" s="46" t="str" cm="1">
        <f t="array" ref="E46">IFERROR(_xlfn.LET(
_xlpm.CSVVal,_xlfn.XLOOKUP($A46,CSV!$A:$A,CSV!E:E,""),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_xlpm.CSVVal,_xlfn.XLOOKUP($A46,CSV!$A:$A,CSV!G:G,""),
_xlpm.MacVal,_xlfn.XLOOKUP($A46,Output_Mac!$A:$A,Output_Mac!G:G,""),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_xlfn.XLOOKUP(A46,Output_Mac!A:A,Output_Mac!H:H,"")</f>
        <v/>
      </c>
      <c r="I46" s="45" t="str" cm="1">
        <f t="array" ref="I46">IFERROR(_xlfn.LET(
_xlpm.CSVVal,_xlfn.XLOOKUP($A46,CSV!$A:$A,CSV!H:H,""),
_xlpm.MacVal,_xlfn.XLOOKUP($A46,Output_Mac!$A:$A,Output_Mac!I:I,""),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_xlpm.CSVVal,_xlfn.XLOOKUP($A46,CSV!$A:$A,CSV!J:J,""),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6" t="str" cm="1">
        <f t="array" ref="K46">IFERROR(_xlfn.LET(
_xlpm.CSVVal,_xlfn.XLOOKUP($A46,CSV!$A:$A,CSV!N:N,""),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_xlpm.CSVVal,_xlfn.XLOOKUP($A46,CSV!$A:$A,CSV!Q:Q,""),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CSV!AE:AE,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_xlpm.CSVVal,_xlfn.XLOOKUP($A46,CSV!$A:$A,CSV!AG:AG,""),
_xlpm.MacVal,_xlfn.XLOOKUP($A46,Output_Mac!$A:$A,Output_Mac!T:T,""),
_xlpm.MyAuditVal,_xlfn.XLOOKUP($A46,My_Audit!$A:$A,My_Audit!O:O,""),
_xlfn.IFS(_xlpm.MyAuditVal&lt;&gt;"",UPPER(_xlpm.MyAuditVal),_xlpm.MacVal&lt;&gt;"",_xlpm.MacVal,_xlpm.CSVVal&lt;&gt;"",_xlpm.CSVVal
)),"")</f>
        <v/>
      </c>
      <c r="O46" s="46" t="str">
        <f>_xlfn.XLOOKUP(C46,My_Audit!B:B,My_Audit!P:P,"")&amp;""</f>
        <v/>
      </c>
      <c r="P46" s="45"/>
      <c r="Q46" s="46" t="str">
        <f>IF(LEFT(N46,4)="Pass","Nist SP 800-88",My_Audit!R46)&amp;""</f>
        <v/>
      </c>
      <c r="R46" s="45"/>
      <c r="S46" s="45"/>
      <c r="T46" s="46" t="str">
        <f>_xlfn.XLOOKUP(E46,Models!I:I,Models!J:J,"")</f>
        <v/>
      </c>
      <c r="U46" s="45"/>
      <c r="V46" s="45"/>
      <c r="W46" s="38" t="str">
        <f>_xlfn.LET(
    _xlpm.MacVal, _xlfn.XLOOKUP($A46, Output_Mac!$A:$A, Output_Mac!AA:AA, ""),
    _xlpm.MyAuditVal, _xlfn.XLOOKUP($A46, My_Audit!$A:$A, My_Audit!L:L, ""),
    _xlfn.TEXTJOIN(", ", TRUE, _xlpm.MyAuditVal, _xlpm.MacVal)
)</f>
        <v/>
      </c>
    </row>
    <row r="47" spans="1:23">
      <c r="A47" s="45" t="str">
        <f>_xlfn.TEXTJOIN("",TRUE,Input!$B$2,ROW(My_Audit!A46))</f>
        <v>CC46</v>
      </c>
      <c r="B47" s="45" t="str">
        <f>_xlfn.TEXTJOIN("-",TRUE,"ITD",Input!$A$2,A47)</f>
        <v>ITD-XXX-CC46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_xlpm.CSVVal,_xlfn.XLOOKUP($A47,CSV!$A:$A,CSV!C:C,""),
_xlpm.MacVal,_xlfn.XLOOKUP($A47,Output_Mac!$A:$A,Output_Mac!D:D,""),
_xlpm.MyAuditVal,_xlfn.XLOOKUP($A47,My_Audit!$A:$A,My_Audit!C:C,""),
_xlfn.IFS(_xlpm.MyAuditVal&lt;&gt;"",UPPER(_xlpm.MyAuditVal),_xlpm.MacVal&lt;&gt;"",_xlpm.MacVal,_xlpm.CSVVal&lt;&gt;"",_xlpm.CSVVal
)),"")</f>
        <v/>
      </c>
      <c r="E47" s="46" t="str" cm="1">
        <f t="array" ref="E47">IFERROR(_xlfn.LET(
_xlpm.CSVVal,_xlfn.XLOOKUP($A47,CSV!$A:$A,CSV!E:E,""),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_xlpm.CSVVal,_xlfn.XLOOKUP($A47,CSV!$A:$A,CSV!G:G,""),
_xlpm.MacVal,_xlfn.XLOOKUP($A47,Output_Mac!$A:$A,Output_Mac!G:G,""),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_xlfn.XLOOKUP(A47,Output_Mac!A:A,Output_Mac!H:H,"")</f>
        <v/>
      </c>
      <c r="I47" s="45" t="str" cm="1">
        <f t="array" ref="I47">IFERROR(_xlfn.LET(
_xlpm.CSVVal,_xlfn.XLOOKUP($A47,CSV!$A:$A,CSV!H:H,""),
_xlpm.MacVal,_xlfn.XLOOKUP($A47,Output_Mac!$A:$A,Output_Mac!I:I,""),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_xlpm.CSVVal,_xlfn.XLOOKUP($A47,CSV!$A:$A,CSV!J:J,""),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6" t="str" cm="1">
        <f t="array" ref="K47">IFERROR(_xlfn.LET(
_xlpm.CSVVal,_xlfn.XLOOKUP($A47,CSV!$A:$A,CSV!N:N,""),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_xlpm.CSVVal,_xlfn.XLOOKUP($A47,CSV!$A:$A,CSV!Q:Q,""),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CSV!AE:AE,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_xlpm.CSVVal,_xlfn.XLOOKUP($A47,CSV!$A:$A,CSV!AG:AG,""),
_xlpm.MacVal,_xlfn.XLOOKUP($A47,Output_Mac!$A:$A,Output_Mac!T:T,""),
_xlpm.MyAuditVal,_xlfn.XLOOKUP($A47,My_Audit!$A:$A,My_Audit!O:O,""),
_xlfn.IFS(_xlpm.MyAuditVal&lt;&gt;"",UPPER(_xlpm.MyAuditVal),_xlpm.MacVal&lt;&gt;"",_xlpm.MacVal,_xlpm.CSVVal&lt;&gt;"",_xlpm.CSVVal
)),"")</f>
        <v/>
      </c>
      <c r="O47" s="46" t="str">
        <f>_xlfn.XLOOKUP(C47,My_Audit!B:B,My_Audit!P:P,"")&amp;""</f>
        <v/>
      </c>
      <c r="P47" s="45"/>
      <c r="Q47" s="46" t="str">
        <f>IF(LEFT(N47,4)="Pass","Nist SP 800-88",My_Audit!R47)&amp;""</f>
        <v/>
      </c>
      <c r="R47" s="45"/>
      <c r="S47" s="45"/>
      <c r="T47" s="46" t="str">
        <f>_xlfn.XLOOKUP(E47,Models!I:I,Models!J:J,"")</f>
        <v/>
      </c>
      <c r="U47" s="45"/>
      <c r="V47" s="45"/>
      <c r="W47" s="38" t="str">
        <f>_xlfn.LET(
    _xlpm.MacVal, _xlfn.XLOOKUP($A47, Output_Mac!$A:$A, Output_Mac!AA:AA, ""),
    _xlpm.MyAuditVal, _xlfn.XLOOKUP($A47, My_Audit!$A:$A, My_Audit!L:L, ""),
    _xlfn.TEXTJOIN(", ", TRUE, _xlpm.MyAuditVal, _xlpm.MacVal)
)</f>
        <v/>
      </c>
    </row>
    <row r="48" spans="1:23">
      <c r="A48" s="45" t="str">
        <f>_xlfn.TEXTJOIN("",TRUE,Input!$B$2,ROW(My_Audit!A47))</f>
        <v>CC47</v>
      </c>
      <c r="B48" s="45" t="str">
        <f>_xlfn.TEXTJOIN("-",TRUE,"ITD",Input!$A$2,A48)</f>
        <v>ITD-XXX-CC47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_xlpm.CSVVal,_xlfn.XLOOKUP($A48,CSV!$A:$A,CSV!C:C,""),
_xlpm.MacVal,_xlfn.XLOOKUP($A48,Output_Mac!$A:$A,Output_Mac!D:D,""),
_xlpm.MyAuditVal,_xlfn.XLOOKUP($A48,My_Audit!$A:$A,My_Audit!C:C,""),
_xlfn.IFS(_xlpm.MyAuditVal&lt;&gt;"",UPPER(_xlpm.MyAuditVal),_xlpm.MacVal&lt;&gt;"",_xlpm.MacVal,_xlpm.CSVVal&lt;&gt;"",_xlpm.CSVVal
)),"")</f>
        <v/>
      </c>
      <c r="E48" s="46" t="str" cm="1">
        <f t="array" ref="E48">IFERROR(_xlfn.LET(
_xlpm.CSVVal,_xlfn.XLOOKUP($A48,CSV!$A:$A,CSV!E:E,""),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_xlpm.CSVVal,_xlfn.XLOOKUP($A48,CSV!$A:$A,CSV!G:G,""),
_xlpm.MacVal,_xlfn.XLOOKUP($A48,Output_Mac!$A:$A,Output_Mac!G:G,""),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_xlfn.XLOOKUP(A48,Output_Mac!A:A,Output_Mac!H:H,"")</f>
        <v/>
      </c>
      <c r="I48" s="45" t="str" cm="1">
        <f t="array" ref="I48">IFERROR(_xlfn.LET(
_xlpm.CSVVal,_xlfn.XLOOKUP($A48,CSV!$A:$A,CSV!H:H,""),
_xlpm.MacVal,_xlfn.XLOOKUP($A48,Output_Mac!$A:$A,Output_Mac!I:I,""),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_xlpm.CSVVal,_xlfn.XLOOKUP($A48,CSV!$A:$A,CSV!J:J,""),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6" t="str" cm="1">
        <f t="array" ref="K48">IFERROR(_xlfn.LET(
_xlpm.CSVVal,_xlfn.XLOOKUP($A48,CSV!$A:$A,CSV!N:N,""),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_xlpm.CSVVal,_xlfn.XLOOKUP($A48,CSV!$A:$A,CSV!Q:Q,""),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CSV!AE:AE,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_xlpm.CSVVal,_xlfn.XLOOKUP($A48,CSV!$A:$A,CSV!AG:AG,""),
_xlpm.MacVal,_xlfn.XLOOKUP($A48,Output_Mac!$A:$A,Output_Mac!T:T,""),
_xlpm.MyAuditVal,_xlfn.XLOOKUP($A48,My_Audit!$A:$A,My_Audit!O:O,""),
_xlfn.IFS(_xlpm.MyAuditVal&lt;&gt;"",UPPER(_xlpm.MyAuditVal),_xlpm.MacVal&lt;&gt;"",_xlpm.MacVal,_xlpm.CSVVal&lt;&gt;"",_xlpm.CSVVal
)),"")</f>
        <v/>
      </c>
      <c r="O48" s="46" t="str">
        <f>_xlfn.XLOOKUP(C48,My_Audit!B:B,My_Audit!P:P,"")&amp;""</f>
        <v/>
      </c>
      <c r="P48" s="45"/>
      <c r="Q48" s="46" t="str">
        <f>IF(LEFT(N48,4)="Pass","Nist SP 800-88",My_Audit!R48)&amp;""</f>
        <v/>
      </c>
      <c r="R48" s="45"/>
      <c r="S48" s="45"/>
      <c r="T48" s="46" t="str">
        <f>_xlfn.XLOOKUP(E48,Models!I:I,Models!J:J,"")</f>
        <v/>
      </c>
      <c r="U48" s="45"/>
      <c r="V48" s="45"/>
      <c r="W48" s="38" t="str">
        <f>_xlfn.LET(
    _xlpm.MacVal, _xlfn.XLOOKUP($A48, Output_Mac!$A:$A, Output_Mac!AA:AA, ""),
    _xlpm.MyAuditVal, _xlfn.XLOOKUP($A48, My_Audit!$A:$A, My_Audit!L:L, ""),
    _xlfn.TEXTJOIN(", ", TRUE, _xlpm.MyAuditVal, _xlpm.MacVal)
)</f>
        <v/>
      </c>
    </row>
    <row r="49" spans="1:23">
      <c r="A49" s="45" t="str">
        <f>_xlfn.TEXTJOIN("",TRUE,Input!$B$2,ROW(My_Audit!A48))</f>
        <v>CC48</v>
      </c>
      <c r="B49" s="45" t="str">
        <f>_xlfn.TEXTJOIN("-",TRUE,"ITD",Input!$A$2,A49)</f>
        <v>ITD-XXX-CC48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_xlpm.CSVVal,_xlfn.XLOOKUP($A49,CSV!$A:$A,CSV!C:C,""),
_xlpm.MacVal,_xlfn.XLOOKUP($A49,Output_Mac!$A:$A,Output_Mac!D:D,""),
_xlpm.MyAuditVal,_xlfn.XLOOKUP($A49,My_Audit!$A:$A,My_Audit!C:C,""),
_xlfn.IFS(_xlpm.MyAuditVal&lt;&gt;"",UPPER(_xlpm.MyAuditVal),_xlpm.MacVal&lt;&gt;"",_xlpm.MacVal,_xlpm.CSVVal&lt;&gt;"",_xlpm.CSVVal
)),"")</f>
        <v/>
      </c>
      <c r="E49" s="46" t="str" cm="1">
        <f t="array" ref="E49">IFERROR(_xlfn.LET(
_xlpm.CSVVal,_xlfn.XLOOKUP($A49,CSV!$A:$A,CSV!E:E,""),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_xlpm.CSVVal,_xlfn.XLOOKUP($A49,CSV!$A:$A,CSV!G:G,""),
_xlpm.MacVal,_xlfn.XLOOKUP($A49,Output_Mac!$A:$A,Output_Mac!G:G,""),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_xlfn.XLOOKUP(A49,Output_Mac!A:A,Output_Mac!H:H,"")</f>
        <v/>
      </c>
      <c r="I49" s="45" t="str" cm="1">
        <f t="array" ref="I49">IFERROR(_xlfn.LET(
_xlpm.CSVVal,_xlfn.XLOOKUP($A49,CSV!$A:$A,CSV!H:H,""),
_xlpm.MacVal,_xlfn.XLOOKUP($A49,Output_Mac!$A:$A,Output_Mac!I:I,""),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_xlpm.CSVVal,_xlfn.XLOOKUP($A49,CSV!$A:$A,CSV!J:J,""),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6" t="str" cm="1">
        <f t="array" ref="K49">IFERROR(_xlfn.LET(
_xlpm.CSVVal,_xlfn.XLOOKUP($A49,CSV!$A:$A,CSV!N:N,""),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_xlpm.CSVVal,_xlfn.XLOOKUP($A49,CSV!$A:$A,CSV!Q:Q,""),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CSV!AE:AE,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_xlpm.CSVVal,_xlfn.XLOOKUP($A49,CSV!$A:$A,CSV!AG:AG,""),
_xlpm.MacVal,_xlfn.XLOOKUP($A49,Output_Mac!$A:$A,Output_Mac!T:T,""),
_xlpm.MyAuditVal,_xlfn.XLOOKUP($A49,My_Audit!$A:$A,My_Audit!O:O,""),
_xlfn.IFS(_xlpm.MyAuditVal&lt;&gt;"",UPPER(_xlpm.MyAuditVal),_xlpm.MacVal&lt;&gt;"",_xlpm.MacVal,_xlpm.CSVVal&lt;&gt;"",_xlpm.CSVVal
)),"")</f>
        <v/>
      </c>
      <c r="O49" s="46" t="str">
        <f>_xlfn.XLOOKUP(C49,My_Audit!B:B,My_Audit!P:P,"")&amp;""</f>
        <v/>
      </c>
      <c r="P49" s="45"/>
      <c r="Q49" s="46" t="str">
        <f>IF(LEFT(N49,4)="Pass","Nist SP 800-88",My_Audit!R49)&amp;""</f>
        <v/>
      </c>
      <c r="R49" s="45"/>
      <c r="S49" s="45"/>
      <c r="T49" s="46" t="str">
        <f>_xlfn.XLOOKUP(E49,Models!I:I,Models!J:J,"")</f>
        <v/>
      </c>
      <c r="U49" s="45"/>
      <c r="V49" s="45"/>
      <c r="W49" s="38" t="str">
        <f>_xlfn.LET(
    _xlpm.MacVal, _xlfn.XLOOKUP($A49, Output_Mac!$A:$A, Output_Mac!AA:AA, ""),
    _xlpm.MyAuditVal, _xlfn.XLOOKUP($A49, My_Audit!$A:$A, My_Audit!L:L, ""),
    _xlfn.TEXTJOIN(", ", TRUE, _xlpm.MyAuditVal, _xlpm.MacVal)
)</f>
        <v/>
      </c>
    </row>
    <row r="50" spans="1:23">
      <c r="A50" s="45" t="str">
        <f>_xlfn.TEXTJOIN("",TRUE,Input!$B$2,ROW(My_Audit!A49))</f>
        <v>CC49</v>
      </c>
      <c r="B50" s="45" t="str">
        <f>_xlfn.TEXTJOIN("-",TRUE,"ITD",Input!$A$2,A50)</f>
        <v>ITD-XXX-CC49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_xlpm.CSVVal,_xlfn.XLOOKUP($A50,CSV!$A:$A,CSV!C:C,""),
_xlpm.MacVal,_xlfn.XLOOKUP($A50,Output_Mac!$A:$A,Output_Mac!D:D,""),
_xlpm.MyAuditVal,_xlfn.XLOOKUP($A50,My_Audit!$A:$A,My_Audit!C:C,""),
_xlfn.IFS(_xlpm.MyAuditVal&lt;&gt;"",UPPER(_xlpm.MyAuditVal),_xlpm.MacVal&lt;&gt;"",_xlpm.MacVal,_xlpm.CSVVal&lt;&gt;"",_xlpm.CSVVal
)),"")</f>
        <v/>
      </c>
      <c r="E50" s="46" t="str" cm="1">
        <f t="array" ref="E50">IFERROR(_xlfn.LET(
_xlpm.CSVVal,_xlfn.XLOOKUP($A50,CSV!$A:$A,CSV!E:E,""),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_xlpm.CSVVal,_xlfn.XLOOKUP($A50,CSV!$A:$A,CSV!G:G,""),
_xlpm.MacVal,_xlfn.XLOOKUP($A50,Output_Mac!$A:$A,Output_Mac!G:G,""),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_xlfn.XLOOKUP(A50,Output_Mac!A:A,Output_Mac!H:H,"")</f>
        <v/>
      </c>
      <c r="I50" s="45" t="str" cm="1">
        <f t="array" ref="I50">IFERROR(_xlfn.LET(
_xlpm.CSVVal,_xlfn.XLOOKUP($A50,CSV!$A:$A,CSV!H:H,""),
_xlpm.MacVal,_xlfn.XLOOKUP($A50,Output_Mac!$A:$A,Output_Mac!I:I,""),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_xlpm.CSVVal,_xlfn.XLOOKUP($A50,CSV!$A:$A,CSV!J:J,""),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6" t="str" cm="1">
        <f t="array" ref="K50">IFERROR(_xlfn.LET(
_xlpm.CSVVal,_xlfn.XLOOKUP($A50,CSV!$A:$A,CSV!N:N,""),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_xlpm.CSVVal,_xlfn.XLOOKUP($A50,CSV!$A:$A,CSV!Q:Q,""),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CSV!AE:AE,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_xlpm.CSVVal,_xlfn.XLOOKUP($A50,CSV!$A:$A,CSV!AG:AG,""),
_xlpm.MacVal,_xlfn.XLOOKUP($A50,Output_Mac!$A:$A,Output_Mac!T:T,""),
_xlpm.MyAuditVal,_xlfn.XLOOKUP($A50,My_Audit!$A:$A,My_Audit!O:O,""),
_xlfn.IFS(_xlpm.MyAuditVal&lt;&gt;"",UPPER(_xlpm.MyAuditVal),_xlpm.MacVal&lt;&gt;"",_xlpm.MacVal,_xlpm.CSVVal&lt;&gt;"",_xlpm.CSVVal
)),"")</f>
        <v/>
      </c>
      <c r="O50" s="46" t="str">
        <f>_xlfn.XLOOKUP(C50,My_Audit!B:B,My_Audit!P:P,"")&amp;""</f>
        <v/>
      </c>
      <c r="P50" s="45"/>
      <c r="Q50" s="46" t="str">
        <f>IF(LEFT(N50,4)="Pass","Nist SP 800-88",My_Audit!R50)&amp;""</f>
        <v/>
      </c>
      <c r="R50" s="45"/>
      <c r="S50" s="45"/>
      <c r="T50" s="46" t="str">
        <f>_xlfn.XLOOKUP(E50,Models!I:I,Models!J:J,"")</f>
        <v/>
      </c>
      <c r="U50" s="45"/>
      <c r="V50" s="45"/>
      <c r="W50" s="38" t="str">
        <f>_xlfn.LET(
    _xlpm.MacVal, _xlfn.XLOOKUP($A50, Output_Mac!$A:$A, Output_Mac!AA:AA, ""),
    _xlpm.MyAuditVal, _xlfn.XLOOKUP($A50, My_Audit!$A:$A, My_Audit!L:L, ""),
    _xlfn.TEXTJOIN(", ", TRUE, _xlpm.MyAuditVal, _xlpm.MacVal)
)</f>
        <v/>
      </c>
    </row>
    <row r="51" spans="1:23">
      <c r="A51" s="45" t="str">
        <f>_xlfn.TEXTJOIN("",TRUE,Input!$B$2,ROW(My_Audit!A50))</f>
        <v>CC50</v>
      </c>
      <c r="B51" s="45" t="str">
        <f>_xlfn.TEXTJOIN("-",TRUE,"ITD",Input!$A$2,A51)</f>
        <v>ITD-XXX-CC50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_xlpm.CSVVal,_xlfn.XLOOKUP($A51,CSV!$A:$A,CSV!C:C,""),
_xlpm.MacVal,_xlfn.XLOOKUP($A51,Output_Mac!$A:$A,Output_Mac!D:D,""),
_xlpm.MyAuditVal,_xlfn.XLOOKUP($A51,My_Audit!$A:$A,My_Audit!C:C,""),
_xlfn.IFS(_xlpm.MyAuditVal&lt;&gt;"",UPPER(_xlpm.MyAuditVal),_xlpm.MacVal&lt;&gt;"",_xlpm.MacVal,_xlpm.CSVVal&lt;&gt;"",_xlpm.CSVVal
)),"")</f>
        <v/>
      </c>
      <c r="E51" s="46" t="str" cm="1">
        <f t="array" ref="E51">IFERROR(_xlfn.LET(
_xlpm.CSVVal,_xlfn.XLOOKUP($A51,CSV!$A:$A,CSV!E:E,""),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_xlpm.CSVVal,_xlfn.XLOOKUP($A51,CSV!$A:$A,CSV!G:G,""),
_xlpm.MacVal,_xlfn.XLOOKUP($A51,Output_Mac!$A:$A,Output_Mac!G:G,""),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_xlfn.XLOOKUP(A51,Output_Mac!A:A,Output_Mac!H:H,"")</f>
        <v/>
      </c>
      <c r="I51" s="45" t="str" cm="1">
        <f t="array" ref="I51">IFERROR(_xlfn.LET(
_xlpm.CSVVal,_xlfn.XLOOKUP($A51,CSV!$A:$A,CSV!H:H,""),
_xlpm.MacVal,_xlfn.XLOOKUP($A51,Output_Mac!$A:$A,Output_Mac!I:I,""),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_xlpm.CSVVal,_xlfn.XLOOKUP($A51,CSV!$A:$A,CSV!J:J,""),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6" t="str" cm="1">
        <f t="array" ref="K51">IFERROR(_xlfn.LET(
_xlpm.CSVVal,_xlfn.XLOOKUP($A51,CSV!$A:$A,CSV!N:N,""),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_xlpm.CSVVal,_xlfn.XLOOKUP($A51,CSV!$A:$A,CSV!Q:Q,""),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CSV!AE:AE,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_xlpm.CSVVal,_xlfn.XLOOKUP($A51,CSV!$A:$A,CSV!AG:AG,""),
_xlpm.MacVal,_xlfn.XLOOKUP($A51,Output_Mac!$A:$A,Output_Mac!T:T,""),
_xlpm.MyAuditVal,_xlfn.XLOOKUP($A51,My_Audit!$A:$A,My_Audit!O:O,""),
_xlfn.IFS(_xlpm.MyAuditVal&lt;&gt;"",UPPER(_xlpm.MyAuditVal),_xlpm.MacVal&lt;&gt;"",_xlpm.MacVal,_xlpm.CSVVal&lt;&gt;"",_xlpm.CSVVal
)),"")</f>
        <v/>
      </c>
      <c r="O51" s="46" t="str">
        <f>_xlfn.XLOOKUP(C51,My_Audit!B:B,My_Audit!P:P,"")&amp;""</f>
        <v/>
      </c>
      <c r="P51" s="45"/>
      <c r="Q51" s="46" t="str">
        <f>IF(LEFT(N51,4)="Pass","Nist SP 800-88",My_Audit!R51)&amp;""</f>
        <v/>
      </c>
      <c r="R51" s="45"/>
      <c r="S51" s="45"/>
      <c r="T51" s="46" t="str">
        <f>_xlfn.XLOOKUP(E51,Models!I:I,Models!J:J,"")</f>
        <v/>
      </c>
      <c r="U51" s="45"/>
      <c r="V51" s="45"/>
      <c r="W51" s="38" t="str">
        <f>_xlfn.LET(
    _xlpm.MacVal, _xlfn.XLOOKUP($A51, Output_Mac!$A:$A, Output_Mac!AA:AA, ""),
    _xlpm.MyAuditVal, _xlfn.XLOOKUP($A51, My_Audit!$A:$A, My_Audit!L:L, ""),
    _xlfn.TEXTJOIN(", ", TRUE, _xlpm.MyAuditVal, _xlpm.MacVal)
)</f>
        <v/>
      </c>
    </row>
    <row r="52" spans="1:23">
      <c r="A52" s="45" t="str">
        <f>_xlfn.TEXTJOIN("",TRUE,Input!$B$2,ROW(My_Audit!A51))</f>
        <v>CC51</v>
      </c>
      <c r="B52" s="45" t="str">
        <f>_xlfn.TEXTJOIN("-",TRUE,"ITD",Input!$A$2,A52)</f>
        <v>ITD-XXX-CC51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_xlpm.CSVVal,_xlfn.XLOOKUP($A52,CSV!$A:$A,CSV!C:C,""),
_xlpm.MacVal,_xlfn.XLOOKUP($A52,Output_Mac!$A:$A,Output_Mac!D:D,""),
_xlpm.MyAuditVal,_xlfn.XLOOKUP($A52,My_Audit!$A:$A,My_Audit!C:C,""),
_xlfn.IFS(_xlpm.MyAuditVal&lt;&gt;"",UPPER(_xlpm.MyAuditVal),_xlpm.MacVal&lt;&gt;"",_xlpm.MacVal,_xlpm.CSVVal&lt;&gt;"",_xlpm.CSVVal
)),"")</f>
        <v/>
      </c>
      <c r="E52" s="46" t="str" cm="1">
        <f t="array" ref="E52">IFERROR(_xlfn.LET(
_xlpm.CSVVal,_xlfn.XLOOKUP($A52,CSV!$A:$A,CSV!E:E,""),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_xlpm.CSVVal,_xlfn.XLOOKUP($A52,CSV!$A:$A,CSV!G:G,""),
_xlpm.MacVal,_xlfn.XLOOKUP($A52,Output_Mac!$A:$A,Output_Mac!G:G,""),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_xlfn.XLOOKUP(A52,Output_Mac!A:A,Output_Mac!H:H,"")</f>
        <v/>
      </c>
      <c r="I52" s="45" t="str" cm="1">
        <f t="array" ref="I52">IFERROR(_xlfn.LET(
_xlpm.CSVVal,_xlfn.XLOOKUP($A52,CSV!$A:$A,CSV!H:H,""),
_xlpm.MacVal,_xlfn.XLOOKUP($A52,Output_Mac!$A:$A,Output_Mac!I:I,""),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_xlpm.CSVVal,_xlfn.XLOOKUP($A52,CSV!$A:$A,CSV!J:J,""),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6" t="str" cm="1">
        <f t="array" ref="K52">IFERROR(_xlfn.LET(
_xlpm.CSVVal,_xlfn.XLOOKUP($A52,CSV!$A:$A,CSV!N:N,""),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_xlpm.CSVVal,_xlfn.XLOOKUP($A52,CSV!$A:$A,CSV!Q:Q,""),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CSV!AE:AE,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_xlpm.CSVVal,_xlfn.XLOOKUP($A52,CSV!$A:$A,CSV!AG:AG,""),
_xlpm.MacVal,_xlfn.XLOOKUP($A52,Output_Mac!$A:$A,Output_Mac!T:T,""),
_xlpm.MyAuditVal,_xlfn.XLOOKUP($A52,My_Audit!$A:$A,My_Audit!O:O,""),
_xlfn.IFS(_xlpm.MyAuditVal&lt;&gt;"",UPPER(_xlpm.MyAuditVal),_xlpm.MacVal&lt;&gt;"",_xlpm.MacVal,_xlpm.CSVVal&lt;&gt;"",_xlpm.CSVVal
)),"")</f>
        <v/>
      </c>
      <c r="O52" s="46" t="str">
        <f>_xlfn.XLOOKUP(C52,My_Audit!B:B,My_Audit!P:P,"")&amp;""</f>
        <v/>
      </c>
      <c r="P52" s="45"/>
      <c r="Q52" s="46" t="str">
        <f>IF(LEFT(N52,4)="Pass","Nist SP 800-88",My_Audit!R52)&amp;""</f>
        <v/>
      </c>
      <c r="R52" s="45"/>
      <c r="S52" s="45"/>
      <c r="T52" s="46" t="str">
        <f>_xlfn.XLOOKUP(E52,Models!I:I,Models!J:J,"")</f>
        <v/>
      </c>
      <c r="U52" s="45"/>
      <c r="V52" s="45"/>
      <c r="W52" s="38" t="str">
        <f>_xlfn.LET(
    _xlpm.MacVal, _xlfn.XLOOKUP($A52, Output_Mac!$A:$A, Output_Mac!AA:AA, ""),
    _xlpm.MyAuditVal, _xlfn.XLOOKUP($A52, My_Audit!$A:$A, My_Audit!L:L, ""),
    _xlfn.TEXTJOIN(", ", TRUE, _xlpm.MyAuditVal, _xlpm.MacVal)
)</f>
        <v/>
      </c>
    </row>
    <row r="53" spans="1:23">
      <c r="A53" s="45" t="str">
        <f>_xlfn.TEXTJOIN("",TRUE,Input!$B$2,ROW(My_Audit!A52))</f>
        <v>CC52</v>
      </c>
      <c r="B53" s="45" t="str">
        <f>_xlfn.TEXTJOIN("-",TRUE,"ITD",Input!$A$2,A53)</f>
        <v>ITD-XXX-CC52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_xlpm.CSVVal,_xlfn.XLOOKUP($A53,CSV!$A:$A,CSV!C:C,""),
_xlpm.MacVal,_xlfn.XLOOKUP($A53,Output_Mac!$A:$A,Output_Mac!D:D,""),
_xlpm.MyAuditVal,_xlfn.XLOOKUP($A53,My_Audit!$A:$A,My_Audit!C:C,""),
_xlfn.IFS(_xlpm.MyAuditVal&lt;&gt;"",UPPER(_xlpm.MyAuditVal),_xlpm.MacVal&lt;&gt;"",_xlpm.MacVal,_xlpm.CSVVal&lt;&gt;"",_xlpm.CSVVal
)),"")</f>
        <v/>
      </c>
      <c r="E53" s="46" t="str" cm="1">
        <f t="array" ref="E53">IFERROR(_xlfn.LET(
_xlpm.CSVVal,_xlfn.XLOOKUP($A53,CSV!$A:$A,CSV!E:E,""),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_xlpm.CSVVal,_xlfn.XLOOKUP($A53,CSV!$A:$A,CSV!G:G,""),
_xlpm.MacVal,_xlfn.XLOOKUP($A53,Output_Mac!$A:$A,Output_Mac!G:G,""),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_xlfn.XLOOKUP(A53,Output_Mac!A:A,Output_Mac!H:H,"")</f>
        <v/>
      </c>
      <c r="I53" s="45" t="str" cm="1">
        <f t="array" ref="I53">IFERROR(_xlfn.LET(
_xlpm.CSVVal,_xlfn.XLOOKUP($A53,CSV!$A:$A,CSV!H:H,""),
_xlpm.MacVal,_xlfn.XLOOKUP($A53,Output_Mac!$A:$A,Output_Mac!I:I,""),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_xlpm.CSVVal,_xlfn.XLOOKUP($A53,CSV!$A:$A,CSV!J:J,""),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6" t="str" cm="1">
        <f t="array" ref="K53">IFERROR(_xlfn.LET(
_xlpm.CSVVal,_xlfn.XLOOKUP($A53,CSV!$A:$A,CSV!N:N,""),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_xlpm.CSVVal,_xlfn.XLOOKUP($A53,CSV!$A:$A,CSV!Q:Q,""),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CSV!AE:AE,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_xlpm.CSVVal,_xlfn.XLOOKUP($A53,CSV!$A:$A,CSV!AG:AG,""),
_xlpm.MacVal,_xlfn.XLOOKUP($A53,Output_Mac!$A:$A,Output_Mac!T:T,""),
_xlpm.MyAuditVal,_xlfn.XLOOKUP($A53,My_Audit!$A:$A,My_Audit!O:O,""),
_xlfn.IFS(_xlpm.MyAuditVal&lt;&gt;"",UPPER(_xlpm.MyAuditVal),_xlpm.MacVal&lt;&gt;"",_xlpm.MacVal,_xlpm.CSVVal&lt;&gt;"",_xlpm.CSVVal
)),"")</f>
        <v>-</v>
      </c>
      <c r="O53" s="46" t="str">
        <f>_xlfn.XLOOKUP(C53,My_Audit!B:B,My_Audit!P:P,"")&amp;""</f>
        <v/>
      </c>
      <c r="P53" s="45"/>
      <c r="Q53" s="46" t="str">
        <f>IF(LEFT(N53,4)="Pass","Nist SP 800-88",My_Audit!R53)&amp;""</f>
        <v/>
      </c>
      <c r="R53" s="45"/>
      <c r="S53" s="45"/>
      <c r="T53" s="46" t="str">
        <f>_xlfn.XLOOKUP(E53,Models!I:I,Models!J:J,"")</f>
        <v/>
      </c>
      <c r="U53" s="45"/>
      <c r="V53" s="45"/>
      <c r="W53" s="38" t="str">
        <f>_xlfn.LET(
    _xlpm.MacVal, _xlfn.XLOOKUP($A53, Output_Mac!$A:$A, Output_Mac!AA:AA, ""),
    _xlpm.MyAuditVal, _xlfn.XLOOKUP($A53, My_Audit!$A:$A, My_Audit!L:L, ""),
    _xlfn.TEXTJOIN(", ", TRUE, _xlpm.MyAuditVal, _xlpm.MacVal)
)</f>
        <v/>
      </c>
    </row>
    <row r="54" spans="1:23">
      <c r="A54" s="45" t="str">
        <f>_xlfn.TEXTJOIN("",TRUE,Input!$B$2,ROW(My_Audit!A53))</f>
        <v>CC53</v>
      </c>
      <c r="B54" s="45" t="str">
        <f>_xlfn.TEXTJOIN("-",TRUE,"ITD",Input!$A$2,A54)</f>
        <v>ITD-XXX-CC53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_xlpm.CSVVal,_xlfn.XLOOKUP($A54,CSV!$A:$A,CSV!C:C,""),
_xlpm.MacVal,_xlfn.XLOOKUP($A54,Output_Mac!$A:$A,Output_Mac!D:D,""),
_xlpm.MyAuditVal,_xlfn.XLOOKUP($A54,My_Audit!$A:$A,My_Audit!C:C,""),
_xlfn.IFS(_xlpm.MyAuditVal&lt;&gt;"",UPPER(_xlpm.MyAuditVal),_xlpm.MacVal&lt;&gt;"",_xlpm.MacVal,_xlpm.CSVVal&lt;&gt;"",_xlpm.CSVVal
)),"")</f>
        <v/>
      </c>
      <c r="E54" s="46" t="str" cm="1">
        <f t="array" ref="E54">IFERROR(_xlfn.LET(
_xlpm.CSVVal,_xlfn.XLOOKUP($A54,CSV!$A:$A,CSV!E:E,""),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_xlpm.CSVVal,_xlfn.XLOOKUP($A54,CSV!$A:$A,CSV!G:G,""),
_xlpm.MacVal,_xlfn.XLOOKUP($A54,Output_Mac!$A:$A,Output_Mac!G:G,""),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_xlfn.XLOOKUP(A54,Output_Mac!A:A,Output_Mac!H:H,"")</f>
        <v/>
      </c>
      <c r="I54" s="45" t="str" cm="1">
        <f t="array" ref="I54">IFERROR(_xlfn.LET(
_xlpm.CSVVal,_xlfn.XLOOKUP($A54,CSV!$A:$A,CSV!H:H,""),
_xlpm.MacVal,_xlfn.XLOOKUP($A54,Output_Mac!$A:$A,Output_Mac!I:I,""),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_xlpm.CSVVal,_xlfn.XLOOKUP($A54,CSV!$A:$A,CSV!J:J,""),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6" t="str" cm="1">
        <f t="array" ref="K54">IFERROR(_xlfn.LET(
_xlpm.CSVVal,_xlfn.XLOOKUP($A54,CSV!$A:$A,CSV!N:N,""),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_xlpm.CSVVal,_xlfn.XLOOKUP($A54,CSV!$A:$A,CSV!Q:Q,""),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CSV!AE:AE,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_xlpm.CSVVal,_xlfn.XLOOKUP($A54,CSV!$A:$A,CSV!AG:AG,""),
_xlpm.MacVal,_xlfn.XLOOKUP($A54,Output_Mac!$A:$A,Output_Mac!T:T,""),
_xlpm.MyAuditVal,_xlfn.XLOOKUP($A54,My_Audit!$A:$A,My_Audit!O:O,""),
_xlfn.IFS(_xlpm.MyAuditVal&lt;&gt;"",UPPER(_xlpm.MyAuditVal),_xlpm.MacVal&lt;&gt;"",_xlpm.MacVal,_xlpm.CSVVal&lt;&gt;"",_xlpm.CSVVal
)),"")</f>
        <v/>
      </c>
      <c r="O54" s="46" t="str">
        <f>_xlfn.XLOOKUP(C54,My_Audit!B:B,My_Audit!P:P,"")&amp;""</f>
        <v/>
      </c>
      <c r="P54" s="45"/>
      <c r="Q54" s="46" t="str">
        <f>IF(LEFT(N54,4)="Pass","Nist SP 800-88",My_Audit!R54)&amp;""</f>
        <v/>
      </c>
      <c r="R54" s="45"/>
      <c r="S54" s="45"/>
      <c r="T54" s="46" t="str">
        <f>_xlfn.XLOOKUP(E54,Models!I:I,Models!J:J,"")</f>
        <v/>
      </c>
      <c r="U54" s="45"/>
      <c r="V54" s="45"/>
      <c r="W54" s="38" t="str">
        <f>_xlfn.LET(
    _xlpm.MacVal, _xlfn.XLOOKUP($A54, Output_Mac!$A:$A, Output_Mac!AA:AA, ""),
    _xlpm.MyAuditVal, _xlfn.XLOOKUP($A54, My_Audit!$A:$A, My_Audit!L:L, ""),
    _xlfn.TEXTJOIN(", ", TRUE, _xlpm.MyAuditVal, _xlpm.MacVal)
)</f>
        <v/>
      </c>
    </row>
    <row r="55" spans="1:23">
      <c r="A55" s="45" t="str">
        <f>_xlfn.TEXTJOIN("",TRUE,Input!$B$2,ROW(My_Audit!A54))</f>
        <v>CC54</v>
      </c>
      <c r="B55" s="45" t="str">
        <f>_xlfn.TEXTJOIN("-",TRUE,"ITD",Input!$A$2,A55)</f>
        <v>ITD-XXX-CC54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_xlpm.CSVVal,_xlfn.XLOOKUP($A55,CSV!$A:$A,CSV!C:C,""),
_xlpm.MacVal,_xlfn.XLOOKUP($A55,Output_Mac!$A:$A,Output_Mac!D:D,""),
_xlpm.MyAuditVal,_xlfn.XLOOKUP($A55,My_Audit!$A:$A,My_Audit!C:C,""),
_xlfn.IFS(_xlpm.MyAuditVal&lt;&gt;"",UPPER(_xlpm.MyAuditVal),_xlpm.MacVal&lt;&gt;"",_xlpm.MacVal,_xlpm.CSVVal&lt;&gt;"",_xlpm.CSVVal
)),"")</f>
        <v/>
      </c>
      <c r="E55" s="46" t="str" cm="1">
        <f t="array" ref="E55">IFERROR(_xlfn.LET(
_xlpm.CSVVal,_xlfn.XLOOKUP($A55,CSV!$A:$A,CSV!E:E,""),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_xlpm.CSVVal,_xlfn.XLOOKUP($A55,CSV!$A:$A,CSV!G:G,""),
_xlpm.MacVal,_xlfn.XLOOKUP($A55,Output_Mac!$A:$A,Output_Mac!G:G,""),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_xlfn.XLOOKUP(A55,Output_Mac!A:A,Output_Mac!H:H,"")</f>
        <v/>
      </c>
      <c r="I55" s="45" t="str" cm="1">
        <f t="array" ref="I55">IFERROR(_xlfn.LET(
_xlpm.CSVVal,_xlfn.XLOOKUP($A55,CSV!$A:$A,CSV!H:H,""),
_xlpm.MacVal,_xlfn.XLOOKUP($A55,Output_Mac!$A:$A,Output_Mac!I:I,""),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_xlpm.CSVVal,_xlfn.XLOOKUP($A55,CSV!$A:$A,CSV!J:J,""),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6" t="str" cm="1">
        <f t="array" ref="K55">IFERROR(_xlfn.LET(
_xlpm.CSVVal,_xlfn.XLOOKUP($A55,CSV!$A:$A,CSV!N:N,""),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_xlpm.CSVVal,_xlfn.XLOOKUP($A55,CSV!$A:$A,CSV!Q:Q,""),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CSV!AE:AE,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_xlpm.CSVVal,_xlfn.XLOOKUP($A55,CSV!$A:$A,CSV!AG:AG,""),
_xlpm.MacVal,_xlfn.XLOOKUP($A55,Output_Mac!$A:$A,Output_Mac!T:T,""),
_xlpm.MyAuditVal,_xlfn.XLOOKUP($A55,My_Audit!$A:$A,My_Audit!O:O,""),
_xlfn.IFS(_xlpm.MyAuditVal&lt;&gt;"",UPPER(_xlpm.MyAuditVal),_xlpm.MacVal&lt;&gt;"",_xlpm.MacVal,_xlpm.CSVVal&lt;&gt;"",_xlpm.CSVVal
)),"")</f>
        <v/>
      </c>
      <c r="O55" s="46" t="str">
        <f>_xlfn.XLOOKUP(C55,My_Audit!B:B,My_Audit!P:P,"")&amp;""</f>
        <v/>
      </c>
      <c r="P55" s="45"/>
      <c r="Q55" s="46" t="str">
        <f>IF(LEFT(N55,4)="Pass","Nist SP 800-88",My_Audit!R55)&amp;""</f>
        <v/>
      </c>
      <c r="R55" s="45"/>
      <c r="S55" s="45"/>
      <c r="T55" s="46" t="str">
        <f>_xlfn.XLOOKUP(E55,Models!I:I,Models!J:J,"")</f>
        <v/>
      </c>
      <c r="U55" s="45"/>
      <c r="V55" s="45"/>
      <c r="W55" s="38" t="str">
        <f>_xlfn.LET(
    _xlpm.MacVal, _xlfn.XLOOKUP($A55, Output_Mac!$A:$A, Output_Mac!AA:AA, ""),
    _xlpm.MyAuditVal, _xlfn.XLOOKUP($A55, My_Audit!$A:$A, My_Audit!L:L, ""),
    _xlfn.TEXTJOIN(", ", TRUE, _xlpm.MyAuditVal, _xlpm.MacVal)
)</f>
        <v/>
      </c>
    </row>
    <row r="56" spans="1:23">
      <c r="A56" s="45" t="str">
        <f>_xlfn.TEXTJOIN("",TRUE,Input!$B$2,ROW(My_Audit!A55))</f>
        <v>CC55</v>
      </c>
      <c r="B56" s="45" t="str">
        <f>_xlfn.TEXTJOIN("-",TRUE,"ITD",Input!$A$2,A56)</f>
        <v>ITD-XXX-CC55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_xlpm.CSVVal,_xlfn.XLOOKUP($A56,CSV!$A:$A,CSV!C:C,""),
_xlpm.MacVal,_xlfn.XLOOKUP($A56,Output_Mac!$A:$A,Output_Mac!D:D,""),
_xlpm.MyAuditVal,_xlfn.XLOOKUP($A56,My_Audit!$A:$A,My_Audit!C:C,""),
_xlfn.IFS(_xlpm.MyAuditVal&lt;&gt;"",UPPER(_xlpm.MyAuditVal),_xlpm.MacVal&lt;&gt;"",_xlpm.MacVal,_xlpm.CSVVal&lt;&gt;"",_xlpm.CSVVal
)),"")</f>
        <v/>
      </c>
      <c r="E56" s="46" t="str" cm="1">
        <f t="array" ref="E56">IFERROR(_xlfn.LET(
_xlpm.CSVVal,_xlfn.XLOOKUP($A56,CSV!$A:$A,CSV!E:E,""),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_xlpm.CSVVal,_xlfn.XLOOKUP($A56,CSV!$A:$A,CSV!G:G,""),
_xlpm.MacVal,_xlfn.XLOOKUP($A56,Output_Mac!$A:$A,Output_Mac!G:G,""),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_xlfn.XLOOKUP(A56,Output_Mac!A:A,Output_Mac!H:H,"")</f>
        <v/>
      </c>
      <c r="I56" s="45" t="str" cm="1">
        <f t="array" ref="I56">IFERROR(_xlfn.LET(
_xlpm.CSVVal,_xlfn.XLOOKUP($A56,CSV!$A:$A,CSV!H:H,""),
_xlpm.MacVal,_xlfn.XLOOKUP($A56,Output_Mac!$A:$A,Output_Mac!I:I,""),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_xlpm.CSVVal,_xlfn.XLOOKUP($A56,CSV!$A:$A,CSV!J:J,""),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6" t="str" cm="1">
        <f t="array" ref="K56">IFERROR(_xlfn.LET(
_xlpm.CSVVal,_xlfn.XLOOKUP($A56,CSV!$A:$A,CSV!N:N,""),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_xlpm.CSVVal,_xlfn.XLOOKUP($A56,CSV!$A:$A,CSV!Q:Q,""),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CSV!AE:AE,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_xlpm.CSVVal,_xlfn.XLOOKUP($A56,CSV!$A:$A,CSV!AG:AG,""),
_xlpm.MacVal,_xlfn.XLOOKUP($A56,Output_Mac!$A:$A,Output_Mac!T:T,""),
_xlpm.MyAuditVal,_xlfn.XLOOKUP($A56,My_Audit!$A:$A,My_Audit!O:O,""),
_xlfn.IFS(_xlpm.MyAuditVal&lt;&gt;"",UPPER(_xlpm.MyAuditVal),_xlpm.MacVal&lt;&gt;"",_xlpm.MacVal,_xlpm.CSVVal&lt;&gt;"",_xlpm.CSVVal
)),"")</f>
        <v/>
      </c>
      <c r="O56" s="46" t="str">
        <f>_xlfn.XLOOKUP(C56,My_Audit!B:B,My_Audit!P:P,"")&amp;""</f>
        <v/>
      </c>
      <c r="P56" s="45"/>
      <c r="Q56" s="46" t="str">
        <f>IF(LEFT(N56,4)="Pass","Nist SP 800-88",My_Audit!R56)&amp;""</f>
        <v/>
      </c>
      <c r="R56" s="45"/>
      <c r="S56" s="45"/>
      <c r="T56" s="46" t="str">
        <f>_xlfn.XLOOKUP(E56,Models!I:I,Models!J:J,"")</f>
        <v/>
      </c>
      <c r="U56" s="45"/>
      <c r="V56" s="45"/>
      <c r="W56" s="38" t="str">
        <f>_xlfn.LET(
    _xlpm.MacVal, _xlfn.XLOOKUP($A56, Output_Mac!$A:$A, Output_Mac!AA:AA, ""),
    _xlpm.MyAuditVal, _xlfn.XLOOKUP($A56, My_Audit!$A:$A, My_Audit!L:L, ""),
    _xlfn.TEXTJOIN(", ", TRUE, _xlpm.MyAuditVal, _xlpm.MacVal)
)</f>
        <v/>
      </c>
    </row>
    <row r="57" spans="1:23">
      <c r="A57" s="45" t="str">
        <f>_xlfn.TEXTJOIN("",TRUE,Input!$B$2,ROW(My_Audit!A56))</f>
        <v>CC56</v>
      </c>
      <c r="B57" s="45" t="str">
        <f>_xlfn.TEXTJOIN("-",TRUE,"ITD",Input!$A$2,A57)</f>
        <v>ITD-XXX-CC56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_xlpm.CSVVal,_xlfn.XLOOKUP($A57,CSV!$A:$A,CSV!C:C,""),
_xlpm.MacVal,_xlfn.XLOOKUP($A57,Output_Mac!$A:$A,Output_Mac!D:D,""),
_xlpm.MyAuditVal,_xlfn.XLOOKUP($A57,My_Audit!$A:$A,My_Audit!C:C,""),
_xlfn.IFS(_xlpm.MyAuditVal&lt;&gt;"",UPPER(_xlpm.MyAuditVal),_xlpm.MacVal&lt;&gt;"",_xlpm.MacVal,_xlpm.CSVVal&lt;&gt;"",_xlpm.CSVVal
)),"")</f>
        <v/>
      </c>
      <c r="E57" s="46" t="str" cm="1">
        <f t="array" ref="E57">IFERROR(_xlfn.LET(
_xlpm.CSVVal,_xlfn.XLOOKUP($A57,CSV!$A:$A,CSV!E:E,""),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_xlpm.CSVVal,_xlfn.XLOOKUP($A57,CSV!$A:$A,CSV!G:G,""),
_xlpm.MacVal,_xlfn.XLOOKUP($A57,Output_Mac!$A:$A,Output_Mac!G:G,""),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_xlfn.XLOOKUP(A57,Output_Mac!A:A,Output_Mac!H:H,"")</f>
        <v/>
      </c>
      <c r="I57" s="45" t="str" cm="1">
        <f t="array" ref="I57">IFERROR(_xlfn.LET(
_xlpm.CSVVal,_xlfn.XLOOKUP($A57,CSV!$A:$A,CSV!H:H,""),
_xlpm.MacVal,_xlfn.XLOOKUP($A57,Output_Mac!$A:$A,Output_Mac!I:I,""),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_xlpm.CSVVal,_xlfn.XLOOKUP($A57,CSV!$A:$A,CSV!J:J,""),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6" t="str" cm="1">
        <f t="array" ref="K57">IFERROR(_xlfn.LET(
_xlpm.CSVVal,_xlfn.XLOOKUP($A57,CSV!$A:$A,CSV!N:N,""),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_xlpm.CSVVal,_xlfn.XLOOKUP($A57,CSV!$A:$A,CSV!Q:Q,""),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CSV!AE:AE,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_xlpm.CSVVal,_xlfn.XLOOKUP($A57,CSV!$A:$A,CSV!AG:AG,""),
_xlpm.MacVal,_xlfn.XLOOKUP($A57,Output_Mac!$A:$A,Output_Mac!T:T,""),
_xlpm.MyAuditVal,_xlfn.XLOOKUP($A57,My_Audit!$A:$A,My_Audit!O:O,""),
_xlfn.IFS(_xlpm.MyAuditVal&lt;&gt;"",UPPER(_xlpm.MyAuditVal),_xlpm.MacVal&lt;&gt;"",_xlpm.MacVal,_xlpm.CSVVal&lt;&gt;"",_xlpm.CSVVal
)),"")</f>
        <v/>
      </c>
      <c r="O57" s="46" t="str">
        <f>_xlfn.XLOOKUP(C57,My_Audit!B:B,My_Audit!P:P,"")&amp;""</f>
        <v/>
      </c>
      <c r="P57" s="45"/>
      <c r="Q57" s="46" t="str">
        <f>IF(LEFT(N57,4)="Pass","Nist SP 800-88",My_Audit!R57)&amp;""</f>
        <v/>
      </c>
      <c r="R57" s="45"/>
      <c r="S57" s="45"/>
      <c r="T57" s="46" t="str">
        <f>_xlfn.XLOOKUP(E57,Models!I:I,Models!J:J,"")</f>
        <v/>
      </c>
      <c r="U57" s="45"/>
      <c r="V57" s="45"/>
      <c r="W57" s="38" t="str">
        <f>_xlfn.LET(
    _xlpm.MacVal, _xlfn.XLOOKUP($A57, Output_Mac!$A:$A, Output_Mac!AA:AA, ""),
    _xlpm.MyAuditVal, _xlfn.XLOOKUP($A57, My_Audit!$A:$A, My_Audit!L:L, ""),
    _xlfn.TEXTJOIN(", ", TRUE, _xlpm.MyAuditVal, _xlpm.MacVal)
)</f>
        <v/>
      </c>
    </row>
    <row r="58" spans="1:23">
      <c r="A58" s="45" t="str">
        <f>_xlfn.TEXTJOIN("",TRUE,Input!$B$2,ROW(My_Audit!A57))</f>
        <v>CC57</v>
      </c>
      <c r="B58" s="45" t="str">
        <f>_xlfn.TEXTJOIN("-",TRUE,"ITD",Input!$A$2,A58)</f>
        <v>ITD-XXX-CC57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_xlpm.CSVVal,_xlfn.XLOOKUP($A58,CSV!$A:$A,CSV!C:C,""),
_xlpm.MacVal,_xlfn.XLOOKUP($A58,Output_Mac!$A:$A,Output_Mac!D:D,""),
_xlpm.MyAuditVal,_xlfn.XLOOKUP($A58,My_Audit!$A:$A,My_Audit!C:C,""),
_xlfn.IFS(_xlpm.MyAuditVal&lt;&gt;"",UPPER(_xlpm.MyAuditVal),_xlpm.MacVal&lt;&gt;"",_xlpm.MacVal,_xlpm.CSVVal&lt;&gt;"",_xlpm.CSVVal
)),"")</f>
        <v/>
      </c>
      <c r="E58" s="46" t="str" cm="1">
        <f t="array" ref="E58">IFERROR(_xlfn.LET(
_xlpm.CSVVal,_xlfn.XLOOKUP($A58,CSV!$A:$A,CSV!E:E,""),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_xlpm.CSVVal,_xlfn.XLOOKUP($A58,CSV!$A:$A,CSV!G:G,""),
_xlpm.MacVal,_xlfn.XLOOKUP($A58,Output_Mac!$A:$A,Output_Mac!G:G,""),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_xlfn.XLOOKUP(A58,Output_Mac!A:A,Output_Mac!H:H,"")</f>
        <v/>
      </c>
      <c r="I58" s="45" t="str" cm="1">
        <f t="array" ref="I58">IFERROR(_xlfn.LET(
_xlpm.CSVVal,_xlfn.XLOOKUP($A58,CSV!$A:$A,CSV!H:H,""),
_xlpm.MacVal,_xlfn.XLOOKUP($A58,Output_Mac!$A:$A,Output_Mac!I:I,""),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_xlpm.CSVVal,_xlfn.XLOOKUP($A58,CSV!$A:$A,CSV!J:J,""),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6" t="str" cm="1">
        <f t="array" ref="K58">IFERROR(_xlfn.LET(
_xlpm.CSVVal,_xlfn.XLOOKUP($A58,CSV!$A:$A,CSV!N:N,""),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_xlpm.CSVVal,_xlfn.XLOOKUP($A58,CSV!$A:$A,CSV!Q:Q,""),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CSV!AE:AE,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_xlpm.CSVVal,_xlfn.XLOOKUP($A58,CSV!$A:$A,CSV!AG:AG,""),
_xlpm.MacVal,_xlfn.XLOOKUP($A58,Output_Mac!$A:$A,Output_Mac!T:T,""),
_xlpm.MyAuditVal,_xlfn.XLOOKUP($A58,My_Audit!$A:$A,My_Audit!O:O,""),
_xlfn.IFS(_xlpm.MyAuditVal&lt;&gt;"",UPPER(_xlpm.MyAuditVal),_xlpm.MacVal&lt;&gt;"",_xlpm.MacVal,_xlpm.CSVVal&lt;&gt;"",_xlpm.CSVVal
)),"")</f>
        <v/>
      </c>
      <c r="O58" s="46" t="str">
        <f>_xlfn.XLOOKUP(C58,My_Audit!B:B,My_Audit!P:P,"")&amp;""</f>
        <v/>
      </c>
      <c r="P58" s="45"/>
      <c r="Q58" s="46" t="str">
        <f>IF(LEFT(N58,4)="Pass","Nist SP 800-88",My_Audit!R58)&amp;""</f>
        <v/>
      </c>
      <c r="R58" s="45"/>
      <c r="S58" s="45"/>
      <c r="T58" s="46" t="str">
        <f>_xlfn.XLOOKUP(E58,Models!I:I,Models!J:J,"")</f>
        <v/>
      </c>
      <c r="U58" s="45"/>
      <c r="V58" s="45"/>
      <c r="W58" s="38" t="str">
        <f>_xlfn.LET(
    _xlpm.MacVal, _xlfn.XLOOKUP($A58, Output_Mac!$A:$A, Output_Mac!AA:AA, ""),
    _xlpm.MyAuditVal, _xlfn.XLOOKUP($A58, My_Audit!$A:$A, My_Audit!L:L, ""),
    _xlfn.TEXTJOIN(", ", TRUE, _xlpm.MyAuditVal, _xlpm.MacVal)
)</f>
        <v/>
      </c>
    </row>
    <row r="59" spans="1:23">
      <c r="A59" s="45" t="str">
        <f>_xlfn.TEXTJOIN("",TRUE,Input!$B$2,ROW(My_Audit!A58))</f>
        <v>CC58</v>
      </c>
      <c r="B59" s="45" t="str">
        <f>_xlfn.TEXTJOIN("-",TRUE,"ITD",Input!$A$2,A59)</f>
        <v>ITD-XXX-CC58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_xlpm.CSVVal,_xlfn.XLOOKUP($A59,CSV!$A:$A,CSV!C:C,""),
_xlpm.MacVal,_xlfn.XLOOKUP($A59,Output_Mac!$A:$A,Output_Mac!D:D,""),
_xlpm.MyAuditVal,_xlfn.XLOOKUP($A59,My_Audit!$A:$A,My_Audit!C:C,""),
_xlfn.IFS(_xlpm.MyAuditVal&lt;&gt;"",UPPER(_xlpm.MyAuditVal),_xlpm.MacVal&lt;&gt;"",_xlpm.MacVal,_xlpm.CSVVal&lt;&gt;"",_xlpm.CSVVal
)),"")</f>
        <v/>
      </c>
      <c r="E59" s="46" t="str" cm="1">
        <f t="array" ref="E59">IFERROR(_xlfn.LET(
_xlpm.CSVVal,_xlfn.XLOOKUP($A59,CSV!$A:$A,CSV!E:E,""),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_xlpm.CSVVal,_xlfn.XLOOKUP($A59,CSV!$A:$A,CSV!G:G,""),
_xlpm.MacVal,_xlfn.XLOOKUP($A59,Output_Mac!$A:$A,Output_Mac!G:G,""),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_xlfn.XLOOKUP(A59,Output_Mac!A:A,Output_Mac!H:H,"")</f>
        <v/>
      </c>
      <c r="I59" s="45" t="str" cm="1">
        <f t="array" ref="I59">IFERROR(_xlfn.LET(
_xlpm.CSVVal,_xlfn.XLOOKUP($A59,CSV!$A:$A,CSV!H:H,""),
_xlpm.MacVal,_xlfn.XLOOKUP($A59,Output_Mac!$A:$A,Output_Mac!I:I,""),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_xlpm.CSVVal,_xlfn.XLOOKUP($A59,CSV!$A:$A,CSV!J:J,""),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6" t="str" cm="1">
        <f t="array" ref="K59">IFERROR(_xlfn.LET(
_xlpm.CSVVal,_xlfn.XLOOKUP($A59,CSV!$A:$A,CSV!N:N,""),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_xlpm.CSVVal,_xlfn.XLOOKUP($A59,CSV!$A:$A,CSV!Q:Q,""),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CSV!AE:AE,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_xlpm.CSVVal,_xlfn.XLOOKUP($A59,CSV!$A:$A,CSV!AG:AG,""),
_xlpm.MacVal,_xlfn.XLOOKUP($A59,Output_Mac!$A:$A,Output_Mac!T:T,""),
_xlpm.MyAuditVal,_xlfn.XLOOKUP($A59,My_Audit!$A:$A,My_Audit!O:O,""),
_xlfn.IFS(_xlpm.MyAuditVal&lt;&gt;"",UPPER(_xlpm.MyAuditVal),_xlpm.MacVal&lt;&gt;"",_xlpm.MacVal,_xlpm.CSVVal&lt;&gt;"",_xlpm.CSVVal
)),"")</f>
        <v/>
      </c>
      <c r="O59" s="46" t="str">
        <f>_xlfn.XLOOKUP(C59,My_Audit!B:B,My_Audit!P:P,"")&amp;""</f>
        <v/>
      </c>
      <c r="P59" s="45"/>
      <c r="Q59" s="46" t="str">
        <f>IF(LEFT(N59,4)="Pass","Nist SP 800-88",My_Audit!R59)&amp;""</f>
        <v/>
      </c>
      <c r="R59" s="45"/>
      <c r="S59" s="45"/>
      <c r="T59" s="46" t="str">
        <f>_xlfn.XLOOKUP(E59,Models!I:I,Models!J:J,"")</f>
        <v/>
      </c>
      <c r="U59" s="45"/>
      <c r="V59" s="45"/>
      <c r="W59" s="38" t="str">
        <f>_xlfn.LET(
    _xlpm.MacVal, _xlfn.XLOOKUP($A59, Output_Mac!$A:$A, Output_Mac!AA:AA, ""),
    _xlpm.MyAuditVal, _xlfn.XLOOKUP($A59, My_Audit!$A:$A, My_Audit!L:L, ""),
    _xlfn.TEXTJOIN(", ", TRUE, _xlpm.MyAuditVal, _xlpm.MacVal)
)</f>
        <v/>
      </c>
    </row>
    <row r="60" spans="1:23">
      <c r="A60" s="45" t="str">
        <f>_xlfn.TEXTJOIN("",TRUE,Input!$B$2,ROW(My_Audit!A59))</f>
        <v>CC59</v>
      </c>
      <c r="B60" s="45" t="str">
        <f>_xlfn.TEXTJOIN("-",TRUE,"ITD",Input!$A$2,A60)</f>
        <v>ITD-XXX-CC59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_xlpm.CSVVal,_xlfn.XLOOKUP($A60,CSV!$A:$A,CSV!C:C,""),
_xlpm.MacVal,_xlfn.XLOOKUP($A60,Output_Mac!$A:$A,Output_Mac!D:D,""),
_xlpm.MyAuditVal,_xlfn.XLOOKUP($A60,My_Audit!$A:$A,My_Audit!C:C,""),
_xlfn.IFS(_xlpm.MyAuditVal&lt;&gt;"",UPPER(_xlpm.MyAuditVal),_xlpm.MacVal&lt;&gt;"",_xlpm.MacVal,_xlpm.CSVVal&lt;&gt;"",_xlpm.CSVVal
)),"")</f>
        <v/>
      </c>
      <c r="E60" s="46" t="str" cm="1">
        <f t="array" ref="E60">IFERROR(_xlfn.LET(
_xlpm.CSVVal,_xlfn.XLOOKUP($A60,CSV!$A:$A,CSV!E:E,""),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_xlpm.CSVVal,_xlfn.XLOOKUP($A60,CSV!$A:$A,CSV!G:G,""),
_xlpm.MacVal,_xlfn.XLOOKUP($A60,Output_Mac!$A:$A,Output_Mac!G:G,""),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_xlfn.XLOOKUP(A60,Output_Mac!A:A,Output_Mac!H:H,"")</f>
        <v/>
      </c>
      <c r="I60" s="45" t="str" cm="1">
        <f t="array" ref="I60">IFERROR(_xlfn.LET(
_xlpm.CSVVal,_xlfn.XLOOKUP($A60,CSV!$A:$A,CSV!H:H,""),
_xlpm.MacVal,_xlfn.XLOOKUP($A60,Output_Mac!$A:$A,Output_Mac!I:I,""),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_xlpm.CSVVal,_xlfn.XLOOKUP($A60,CSV!$A:$A,CSV!J:J,""),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6" t="str" cm="1">
        <f t="array" ref="K60">IFERROR(_xlfn.LET(
_xlpm.CSVVal,_xlfn.XLOOKUP($A60,CSV!$A:$A,CSV!N:N,""),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_xlpm.CSVVal,_xlfn.XLOOKUP($A60,CSV!$A:$A,CSV!Q:Q,""),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CSV!AE:AE,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_xlpm.CSVVal,_xlfn.XLOOKUP($A60,CSV!$A:$A,CSV!AG:AG,""),
_xlpm.MacVal,_xlfn.XLOOKUP($A60,Output_Mac!$A:$A,Output_Mac!T:T,""),
_xlpm.MyAuditVal,_xlfn.XLOOKUP($A60,My_Audit!$A:$A,My_Audit!O:O,""),
_xlfn.IFS(_xlpm.MyAuditVal&lt;&gt;"",UPPER(_xlpm.MyAuditVal),_xlpm.MacVal&lt;&gt;"",_xlpm.MacVal,_xlpm.CSVVal&lt;&gt;"",_xlpm.CSVVal
)),"")</f>
        <v/>
      </c>
      <c r="O60" s="46" t="str">
        <f>_xlfn.XLOOKUP(C60,My_Audit!B:B,My_Audit!P:P,"")&amp;""</f>
        <v/>
      </c>
      <c r="P60" s="45"/>
      <c r="Q60" s="46" t="str">
        <f>IF(LEFT(N60,4)="Pass","Nist SP 800-88",My_Audit!R60)&amp;""</f>
        <v/>
      </c>
      <c r="R60" s="45"/>
      <c r="S60" s="45"/>
      <c r="T60" s="46" t="str">
        <f>_xlfn.XLOOKUP(E60,Models!I:I,Models!J:J,"")</f>
        <v/>
      </c>
      <c r="U60" s="45"/>
      <c r="V60" s="45"/>
      <c r="W60" s="38" t="str">
        <f>_xlfn.LET(
    _xlpm.MacVal, _xlfn.XLOOKUP($A60, Output_Mac!$A:$A, Output_Mac!AA:AA, ""),
    _xlpm.MyAuditVal, _xlfn.XLOOKUP($A60, My_Audit!$A:$A, My_Audit!L:L, ""),
    _xlfn.TEXTJOIN(", ", TRUE, _xlpm.MyAuditVal, _xlpm.MacVal)
)</f>
        <v/>
      </c>
    </row>
    <row r="61" spans="1:23">
      <c r="A61" s="45" t="str">
        <f>_xlfn.TEXTJOIN("",TRUE,Input!$B$2,ROW(My_Audit!A60))</f>
        <v>CC60</v>
      </c>
      <c r="B61" s="45" t="str">
        <f>_xlfn.TEXTJOIN("-",TRUE,"ITD",Input!$A$2,A61)</f>
        <v>ITD-XXX-CC60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_xlpm.CSVVal,_xlfn.XLOOKUP($A61,CSV!$A:$A,CSV!C:C,""),
_xlpm.MacVal,_xlfn.XLOOKUP($A61,Output_Mac!$A:$A,Output_Mac!D:D,""),
_xlpm.MyAuditVal,_xlfn.XLOOKUP($A61,My_Audit!$A:$A,My_Audit!C:C,""),
_xlfn.IFS(_xlpm.MyAuditVal&lt;&gt;"",UPPER(_xlpm.MyAuditVal),_xlpm.MacVal&lt;&gt;"",_xlpm.MacVal,_xlpm.CSVVal&lt;&gt;"",_xlpm.CSVVal
)),"")</f>
        <v/>
      </c>
      <c r="E61" s="46" t="str" cm="1">
        <f t="array" ref="E61">IFERROR(_xlfn.LET(
_xlpm.CSVVal,_xlfn.XLOOKUP($A61,CSV!$A:$A,CSV!E:E,""),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_xlpm.CSVVal,_xlfn.XLOOKUP($A61,CSV!$A:$A,CSV!G:G,""),
_xlpm.MacVal,_xlfn.XLOOKUP($A61,Output_Mac!$A:$A,Output_Mac!G:G,""),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_xlfn.XLOOKUP(A61,Output_Mac!A:A,Output_Mac!H:H,"")</f>
        <v/>
      </c>
      <c r="I61" s="45" t="str" cm="1">
        <f t="array" ref="I61">IFERROR(_xlfn.LET(
_xlpm.CSVVal,_xlfn.XLOOKUP($A61,CSV!$A:$A,CSV!H:H,""),
_xlpm.MacVal,_xlfn.XLOOKUP($A61,Output_Mac!$A:$A,Output_Mac!I:I,""),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_xlpm.CSVVal,_xlfn.XLOOKUP($A61,CSV!$A:$A,CSV!J:J,""),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6" t="str" cm="1">
        <f t="array" ref="K61">IFERROR(_xlfn.LET(
_xlpm.CSVVal,_xlfn.XLOOKUP($A61,CSV!$A:$A,CSV!N:N,""),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_xlpm.CSVVal,_xlfn.XLOOKUP($A61,CSV!$A:$A,CSV!Q:Q,""),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CSV!AE:AE,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_xlpm.CSVVal,_xlfn.XLOOKUP($A61,CSV!$A:$A,CSV!AG:AG,""),
_xlpm.MacVal,_xlfn.XLOOKUP($A61,Output_Mac!$A:$A,Output_Mac!T:T,""),
_xlpm.MyAuditVal,_xlfn.XLOOKUP($A61,My_Audit!$A:$A,My_Audit!O:O,""),
_xlfn.IFS(_xlpm.MyAuditVal&lt;&gt;"",UPPER(_xlpm.MyAuditVal),_xlpm.MacVal&lt;&gt;"",_xlpm.MacVal,_xlpm.CSVVal&lt;&gt;"",_xlpm.CSVVal
)),"")</f>
        <v/>
      </c>
      <c r="O61" s="46" t="str">
        <f>_xlfn.XLOOKUP(C61,My_Audit!B:B,My_Audit!P:P,"")&amp;""</f>
        <v/>
      </c>
      <c r="P61" s="45"/>
      <c r="Q61" s="46" t="str">
        <f>IF(LEFT(N61,4)="Pass","Nist SP 800-88",My_Audit!R61)&amp;""</f>
        <v/>
      </c>
      <c r="R61" s="45"/>
      <c r="S61" s="45"/>
      <c r="T61" s="46" t="str">
        <f>_xlfn.XLOOKUP(E61,Models!I:I,Models!J:J,"")</f>
        <v/>
      </c>
      <c r="U61" s="45"/>
      <c r="V61" s="45"/>
      <c r="W61" s="38" t="str">
        <f>_xlfn.LET(
    _xlpm.MacVal, _xlfn.XLOOKUP($A61, Output_Mac!$A:$A, Output_Mac!AA:AA, ""),
    _xlpm.MyAuditVal, _xlfn.XLOOKUP($A61, My_Audit!$A:$A, My_Audit!L:L, ""),
    _xlfn.TEXTJOIN(", ", TRUE, _xlpm.MyAuditVal, _xlpm.MacVal)
)</f>
        <v/>
      </c>
    </row>
    <row r="62" spans="1:23">
      <c r="A62" s="45" t="str">
        <f>_xlfn.TEXTJOIN("",TRUE,Input!$B$2,ROW(My_Audit!A61))</f>
        <v>CC61</v>
      </c>
      <c r="B62" s="45" t="str">
        <f>_xlfn.TEXTJOIN("-",TRUE,"ITD",Input!$A$2,A62)</f>
        <v>ITD-XXX-CC61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_xlpm.CSVVal,_xlfn.XLOOKUP($A62,CSV!$A:$A,CSV!C:C,""),
_xlpm.MacVal,_xlfn.XLOOKUP($A62,Output_Mac!$A:$A,Output_Mac!D:D,""),
_xlpm.MyAuditVal,_xlfn.XLOOKUP($A62,My_Audit!$A:$A,My_Audit!C:C,""),
_xlfn.IFS(_xlpm.MyAuditVal&lt;&gt;"",UPPER(_xlpm.MyAuditVal),_xlpm.MacVal&lt;&gt;"",_xlpm.MacVal,_xlpm.CSVVal&lt;&gt;"",_xlpm.CSVVal
)),"")</f>
        <v/>
      </c>
      <c r="E62" s="46" t="str" cm="1">
        <f t="array" ref="E62">IFERROR(_xlfn.LET(
_xlpm.CSVVal,_xlfn.XLOOKUP($A62,CSV!$A:$A,CSV!E:E,""),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_xlpm.CSVVal,_xlfn.XLOOKUP($A62,CSV!$A:$A,CSV!G:G,""),
_xlpm.MacVal,_xlfn.XLOOKUP($A62,Output_Mac!$A:$A,Output_Mac!G:G,""),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_xlfn.XLOOKUP(A62,Output_Mac!A:A,Output_Mac!H:H,"")</f>
        <v/>
      </c>
      <c r="I62" s="45" t="str" cm="1">
        <f t="array" ref="I62">IFERROR(_xlfn.LET(
_xlpm.CSVVal,_xlfn.XLOOKUP($A62,CSV!$A:$A,CSV!H:H,""),
_xlpm.MacVal,_xlfn.XLOOKUP($A62,Output_Mac!$A:$A,Output_Mac!I:I,""),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_xlpm.CSVVal,_xlfn.XLOOKUP($A62,CSV!$A:$A,CSV!J:J,""),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6" t="str" cm="1">
        <f t="array" ref="K62">IFERROR(_xlfn.LET(
_xlpm.CSVVal,_xlfn.XLOOKUP($A62,CSV!$A:$A,CSV!N:N,""),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_xlpm.CSVVal,_xlfn.XLOOKUP($A62,CSV!$A:$A,CSV!Q:Q,""),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CSV!AE:AE,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_xlpm.CSVVal,_xlfn.XLOOKUP($A62,CSV!$A:$A,CSV!AG:AG,""),
_xlpm.MacVal,_xlfn.XLOOKUP($A62,Output_Mac!$A:$A,Output_Mac!T:T,""),
_xlpm.MyAuditVal,_xlfn.XLOOKUP($A62,My_Audit!$A:$A,My_Audit!O:O,""),
_xlfn.IFS(_xlpm.MyAuditVal&lt;&gt;"",UPPER(_xlpm.MyAuditVal),_xlpm.MacVal&lt;&gt;"",_xlpm.MacVal,_xlpm.CSVVal&lt;&gt;"",_xlpm.CSVVal
)),"")</f>
        <v/>
      </c>
      <c r="O62" s="46" t="str">
        <f>_xlfn.XLOOKUP(C62,My_Audit!B:B,My_Audit!P:P,"")&amp;""</f>
        <v/>
      </c>
      <c r="P62" s="45"/>
      <c r="Q62" s="46" t="str">
        <f>IF(LEFT(N62,4)="Pass","Nist SP 800-88",My_Audit!R62)&amp;""</f>
        <v/>
      </c>
      <c r="R62" s="45"/>
      <c r="S62" s="45"/>
      <c r="T62" s="46" t="str">
        <f>_xlfn.XLOOKUP(E62,Models!I:I,Models!J:J,"")</f>
        <v/>
      </c>
      <c r="U62" s="45"/>
      <c r="V62" s="45"/>
      <c r="W62" s="38" t="str">
        <f>_xlfn.LET(
    _xlpm.MacVal, _xlfn.XLOOKUP($A62, Output_Mac!$A:$A, Output_Mac!AA:AA, ""),
    _xlpm.MyAuditVal, _xlfn.XLOOKUP($A62, My_Audit!$A:$A, My_Audit!L:L, ""),
    _xlfn.TEXTJOIN(", ", TRUE, _xlpm.MyAuditVal, _xlpm.MacVal)
)</f>
        <v/>
      </c>
    </row>
    <row r="63" spans="1:23">
      <c r="A63" s="45" t="str">
        <f>_xlfn.TEXTJOIN("",TRUE,Input!$B$2,ROW(My_Audit!A62))</f>
        <v>CC62</v>
      </c>
      <c r="B63" s="45" t="str">
        <f>_xlfn.TEXTJOIN("-",TRUE,"ITD",Input!$A$2,A63)</f>
        <v>ITD-XXX-CC62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_xlpm.CSVVal,_xlfn.XLOOKUP($A63,CSV!$A:$A,CSV!C:C,""),
_xlpm.MacVal,_xlfn.XLOOKUP($A63,Output_Mac!$A:$A,Output_Mac!D:D,""),
_xlpm.MyAuditVal,_xlfn.XLOOKUP($A63,My_Audit!$A:$A,My_Audit!C:C,""),
_xlfn.IFS(_xlpm.MyAuditVal&lt;&gt;"",UPPER(_xlpm.MyAuditVal),_xlpm.MacVal&lt;&gt;"",_xlpm.MacVal,_xlpm.CSVVal&lt;&gt;"",_xlpm.CSVVal
)),"")</f>
        <v/>
      </c>
      <c r="E63" s="46" t="str" cm="1">
        <f t="array" ref="E63">IFERROR(_xlfn.LET(
_xlpm.CSVVal,_xlfn.XLOOKUP($A63,CSV!$A:$A,CSV!E:E,""),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_xlpm.CSVVal,_xlfn.XLOOKUP($A63,CSV!$A:$A,CSV!G:G,""),
_xlpm.MacVal,_xlfn.XLOOKUP($A63,Output_Mac!$A:$A,Output_Mac!G:G,""),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_xlfn.XLOOKUP(A63,Output_Mac!A:A,Output_Mac!H:H,"")</f>
        <v/>
      </c>
      <c r="I63" s="45" t="str" cm="1">
        <f t="array" ref="I63">IFERROR(_xlfn.LET(
_xlpm.CSVVal,_xlfn.XLOOKUP($A63,CSV!$A:$A,CSV!H:H,""),
_xlpm.MacVal,_xlfn.XLOOKUP($A63,Output_Mac!$A:$A,Output_Mac!I:I,""),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_xlpm.CSVVal,_xlfn.XLOOKUP($A63,CSV!$A:$A,CSV!J:J,""),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6" t="str" cm="1">
        <f t="array" ref="K63">IFERROR(_xlfn.LET(
_xlpm.CSVVal,_xlfn.XLOOKUP($A63,CSV!$A:$A,CSV!N:N,""),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_xlpm.CSVVal,_xlfn.XLOOKUP($A63,CSV!$A:$A,CSV!Q:Q,""),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CSV!AE:AE,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_xlpm.CSVVal,_xlfn.XLOOKUP($A63,CSV!$A:$A,CSV!AG:AG,""),
_xlpm.MacVal,_xlfn.XLOOKUP($A63,Output_Mac!$A:$A,Output_Mac!T:T,""),
_xlpm.MyAuditVal,_xlfn.XLOOKUP($A63,My_Audit!$A:$A,My_Audit!O:O,""),
_xlfn.IFS(_xlpm.MyAuditVal&lt;&gt;"",UPPER(_xlpm.MyAuditVal),_xlpm.MacVal&lt;&gt;"",_xlpm.MacVal,_xlpm.CSVVal&lt;&gt;"",_xlpm.CSVVal
)),"")</f>
        <v/>
      </c>
      <c r="O63" s="46" t="str">
        <f>_xlfn.XLOOKUP(C63,My_Audit!B:B,My_Audit!P:P,"")&amp;""</f>
        <v/>
      </c>
      <c r="P63" s="45"/>
      <c r="Q63" s="46" t="str">
        <f>IF(LEFT(N63,4)="Pass","Nist SP 800-88",My_Audit!R63)&amp;""</f>
        <v/>
      </c>
      <c r="R63" s="45"/>
      <c r="S63" s="45"/>
      <c r="T63" s="46" t="str">
        <f>_xlfn.XLOOKUP(E63,Models!I:I,Models!J:J,"")</f>
        <v/>
      </c>
      <c r="U63" s="45"/>
      <c r="V63" s="45"/>
      <c r="W63" s="38" t="str">
        <f>_xlfn.LET(
    _xlpm.MacVal, _xlfn.XLOOKUP($A63, Output_Mac!$A:$A, Output_Mac!AA:AA, ""),
    _xlpm.MyAuditVal, _xlfn.XLOOKUP($A63, My_Audit!$A:$A, My_Audit!L:L, ""),
    _xlfn.TEXTJOIN(", ", TRUE, _xlpm.MyAuditVal, _xlpm.MacVal)
)</f>
        <v/>
      </c>
    </row>
    <row r="64" spans="1:23">
      <c r="A64" s="45" t="str">
        <f>_xlfn.TEXTJOIN("",TRUE,Input!$B$2,ROW(My_Audit!A63))</f>
        <v>CC63</v>
      </c>
      <c r="B64" s="45" t="str">
        <f>_xlfn.TEXTJOIN("-",TRUE,"ITD",Input!$A$2,A64)</f>
        <v>ITD-XXX-CC63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_xlpm.CSVVal,_xlfn.XLOOKUP($A64,CSV!$A:$A,CSV!C:C,""),
_xlpm.MacVal,_xlfn.XLOOKUP($A64,Output_Mac!$A:$A,Output_Mac!D:D,""),
_xlpm.MyAuditVal,_xlfn.XLOOKUP($A64,My_Audit!$A:$A,My_Audit!C:C,""),
_xlfn.IFS(_xlpm.MyAuditVal&lt;&gt;"",UPPER(_xlpm.MyAuditVal),_xlpm.MacVal&lt;&gt;"",_xlpm.MacVal,_xlpm.CSVVal&lt;&gt;"",_xlpm.CSVVal
)),"")</f>
        <v/>
      </c>
      <c r="E64" s="46" t="str" cm="1">
        <f t="array" ref="E64">IFERROR(_xlfn.LET(
_xlpm.CSVVal,_xlfn.XLOOKUP($A64,CSV!$A:$A,CSV!E:E,""),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_xlpm.CSVVal,_xlfn.XLOOKUP($A64,CSV!$A:$A,CSV!G:G,""),
_xlpm.MacVal,_xlfn.XLOOKUP($A64,Output_Mac!$A:$A,Output_Mac!G:G,""),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_xlfn.XLOOKUP(A64,Output_Mac!A:A,Output_Mac!H:H,"")</f>
        <v/>
      </c>
      <c r="I64" s="45" t="str" cm="1">
        <f t="array" ref="I64">IFERROR(_xlfn.LET(
_xlpm.CSVVal,_xlfn.XLOOKUP($A64,CSV!$A:$A,CSV!H:H,""),
_xlpm.MacVal,_xlfn.XLOOKUP($A64,Output_Mac!$A:$A,Output_Mac!I:I,""),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_xlpm.CSVVal,_xlfn.XLOOKUP($A64,CSV!$A:$A,CSV!J:J,""),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6" t="str" cm="1">
        <f t="array" ref="K64">IFERROR(_xlfn.LET(
_xlpm.CSVVal,_xlfn.XLOOKUP($A64,CSV!$A:$A,CSV!N:N,""),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_xlpm.CSVVal,_xlfn.XLOOKUP($A64,CSV!$A:$A,CSV!Q:Q,""),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CSV!AE:AE,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_xlpm.CSVVal,_xlfn.XLOOKUP($A64,CSV!$A:$A,CSV!AG:AG,""),
_xlpm.MacVal,_xlfn.XLOOKUP($A64,Output_Mac!$A:$A,Output_Mac!T:T,""),
_xlpm.MyAuditVal,_xlfn.XLOOKUP($A64,My_Audit!$A:$A,My_Audit!O:O,""),
_xlfn.IFS(_xlpm.MyAuditVal&lt;&gt;"",UPPER(_xlpm.MyAuditVal),_xlpm.MacVal&lt;&gt;"",_xlpm.MacVal,_xlpm.CSVVal&lt;&gt;"",_xlpm.CSVVal
)),"")</f>
        <v/>
      </c>
      <c r="O64" s="46" t="str">
        <f>_xlfn.XLOOKUP(C64,My_Audit!B:B,My_Audit!P:P,"")&amp;""</f>
        <v/>
      </c>
      <c r="P64" s="45"/>
      <c r="Q64" s="46" t="str">
        <f>IF(LEFT(N64,4)="Pass","Nist SP 800-88",My_Audit!R64)&amp;""</f>
        <v/>
      </c>
      <c r="R64" s="45"/>
      <c r="S64" s="45"/>
      <c r="T64" s="46" t="str">
        <f>_xlfn.XLOOKUP(E64,Models!I:I,Models!J:J,"")</f>
        <v/>
      </c>
      <c r="U64" s="45"/>
      <c r="V64" s="45"/>
      <c r="W64" s="38" t="str">
        <f>_xlfn.LET(
    _xlpm.MacVal, _xlfn.XLOOKUP($A64, Output_Mac!$A:$A, Output_Mac!AA:AA, ""),
    _xlpm.MyAuditVal, _xlfn.XLOOKUP($A64, My_Audit!$A:$A, My_Audit!L:L, ""),
    _xlfn.TEXTJOIN(", ", TRUE, _xlpm.MyAuditVal, _xlpm.MacVal)
)</f>
        <v/>
      </c>
    </row>
    <row r="65" spans="1:23">
      <c r="A65" s="45" t="str">
        <f>_xlfn.TEXTJOIN("",TRUE,Input!$B$2,ROW(My_Audit!A64))</f>
        <v>CC64</v>
      </c>
      <c r="B65" s="45" t="str">
        <f>_xlfn.TEXTJOIN("-",TRUE,"ITD",Input!$A$2,A65)</f>
        <v>ITD-XXX-CC64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_xlpm.CSVVal,_xlfn.XLOOKUP($A65,CSV!$A:$A,CSV!C:C,""),
_xlpm.MacVal,_xlfn.XLOOKUP($A65,Output_Mac!$A:$A,Output_Mac!D:D,""),
_xlpm.MyAuditVal,_xlfn.XLOOKUP($A65,My_Audit!$A:$A,My_Audit!C:C,""),
_xlfn.IFS(_xlpm.MyAuditVal&lt;&gt;"",UPPER(_xlpm.MyAuditVal),_xlpm.MacVal&lt;&gt;"",_xlpm.MacVal,_xlpm.CSVVal&lt;&gt;"",_xlpm.CSVVal
)),"")</f>
        <v/>
      </c>
      <c r="E65" s="46" t="str" cm="1">
        <f t="array" ref="E65">IFERROR(_xlfn.LET(
_xlpm.CSVVal,_xlfn.XLOOKUP($A65,CSV!$A:$A,CSV!E:E,""),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_xlpm.CSVVal,_xlfn.XLOOKUP($A65,CSV!$A:$A,CSV!G:G,""),
_xlpm.MacVal,_xlfn.XLOOKUP($A65,Output_Mac!$A:$A,Output_Mac!G:G,""),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_xlfn.XLOOKUP(A65,Output_Mac!A:A,Output_Mac!H:H,"")</f>
        <v/>
      </c>
      <c r="I65" s="45" t="str" cm="1">
        <f t="array" ref="I65">IFERROR(_xlfn.LET(
_xlpm.CSVVal,_xlfn.XLOOKUP($A65,CSV!$A:$A,CSV!H:H,""),
_xlpm.MacVal,_xlfn.XLOOKUP($A65,Output_Mac!$A:$A,Output_Mac!I:I,""),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_xlpm.CSVVal,_xlfn.XLOOKUP($A65,CSV!$A:$A,CSV!J:J,""),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6" t="str" cm="1">
        <f t="array" ref="K65">IFERROR(_xlfn.LET(
_xlpm.CSVVal,_xlfn.XLOOKUP($A65,CSV!$A:$A,CSV!N:N,""),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_xlpm.CSVVal,_xlfn.XLOOKUP($A65,CSV!$A:$A,CSV!Q:Q,""),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CSV!AE:AE,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_xlpm.CSVVal,_xlfn.XLOOKUP($A65,CSV!$A:$A,CSV!AG:AG,""),
_xlpm.MacVal,_xlfn.XLOOKUP($A65,Output_Mac!$A:$A,Output_Mac!T:T,""),
_xlpm.MyAuditVal,_xlfn.XLOOKUP($A65,My_Audit!$A:$A,My_Audit!O:O,""),
_xlfn.IFS(_xlpm.MyAuditVal&lt;&gt;"",UPPER(_xlpm.MyAuditVal),_xlpm.MacVal&lt;&gt;"",_xlpm.MacVal,_xlpm.CSVVal&lt;&gt;"",_xlpm.CSVVal
)),"")</f>
        <v/>
      </c>
      <c r="O65" s="46" t="str">
        <f>_xlfn.XLOOKUP(C65,My_Audit!B:B,My_Audit!P:P,"")&amp;""</f>
        <v/>
      </c>
      <c r="P65" s="45"/>
      <c r="Q65" s="46" t="str">
        <f>IF(LEFT(N65,4)="Pass","Nist SP 800-88",My_Audit!R65)&amp;""</f>
        <v/>
      </c>
      <c r="R65" s="45"/>
      <c r="S65" s="45"/>
      <c r="T65" s="46" t="str">
        <f>_xlfn.XLOOKUP(E65,Models!I:I,Models!J:J,"")</f>
        <v/>
      </c>
      <c r="U65" s="45"/>
      <c r="V65" s="45"/>
      <c r="W65" s="38" t="str">
        <f>_xlfn.LET(
    _xlpm.MacVal, _xlfn.XLOOKUP($A65, Output_Mac!$A:$A, Output_Mac!AA:AA, ""),
    _xlpm.MyAuditVal, _xlfn.XLOOKUP($A65, My_Audit!$A:$A, My_Audit!L:L, ""),
    _xlfn.TEXTJOIN(", ", TRUE, _xlpm.MyAuditVal, _xlpm.MacVal)
)</f>
        <v/>
      </c>
    </row>
    <row r="66" spans="1:23">
      <c r="A66" s="45" t="str">
        <f>_xlfn.TEXTJOIN("",TRUE,Input!$B$2,ROW(My_Audit!A65))</f>
        <v>CC65</v>
      </c>
      <c r="B66" s="45" t="str">
        <f>_xlfn.TEXTJOIN("-",TRUE,"ITD",Input!$A$2,A66)</f>
        <v>ITD-XXX-CC65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_xlpm.CSVVal,_xlfn.XLOOKUP($A66,CSV!$A:$A,CSV!C:C,""),
_xlpm.MacVal,_xlfn.XLOOKUP($A66,Output_Mac!$A:$A,Output_Mac!D:D,""),
_xlpm.MyAuditVal,_xlfn.XLOOKUP($A66,My_Audit!$A:$A,My_Audit!C:C,""),
_xlfn.IFS(_xlpm.MyAuditVal&lt;&gt;"",UPPER(_xlpm.MyAuditVal),_xlpm.MacVal&lt;&gt;"",_xlpm.MacVal,_xlpm.CSVVal&lt;&gt;"",_xlpm.CSVVal
)),"")</f>
        <v/>
      </c>
      <c r="E66" s="46" t="str" cm="1">
        <f t="array" ref="E66">IFERROR(_xlfn.LET(
_xlpm.CSVVal,_xlfn.XLOOKUP($A66,CSV!$A:$A,CSV!E:E,""),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_xlpm.CSVVal,_xlfn.XLOOKUP($A66,CSV!$A:$A,CSV!G:G,""),
_xlpm.MacVal,_xlfn.XLOOKUP($A66,Output_Mac!$A:$A,Output_Mac!G:G,""),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_xlfn.XLOOKUP(A66,Output_Mac!A:A,Output_Mac!H:H,"")</f>
        <v/>
      </c>
      <c r="I66" s="45" t="str" cm="1">
        <f t="array" ref="I66">IFERROR(_xlfn.LET(
_xlpm.CSVVal,_xlfn.XLOOKUP($A66,CSV!$A:$A,CSV!H:H,""),
_xlpm.MacVal,_xlfn.XLOOKUP($A66,Output_Mac!$A:$A,Output_Mac!I:I,""),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_xlpm.CSVVal,_xlfn.XLOOKUP($A66,CSV!$A:$A,CSV!J:J,""),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6" t="str" cm="1">
        <f t="array" ref="K66">IFERROR(_xlfn.LET(
_xlpm.CSVVal,_xlfn.XLOOKUP($A66,CSV!$A:$A,CSV!N:N,""),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_xlpm.CSVVal,_xlfn.XLOOKUP($A66,CSV!$A:$A,CSV!Q:Q,""),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CSV!AE:AE,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_xlpm.CSVVal,_xlfn.XLOOKUP($A66,CSV!$A:$A,CSV!AG:AG,""),
_xlpm.MacVal,_xlfn.XLOOKUP($A66,Output_Mac!$A:$A,Output_Mac!T:T,""),
_xlpm.MyAuditVal,_xlfn.XLOOKUP($A66,My_Audit!$A:$A,My_Audit!O:O,""),
_xlfn.IFS(_xlpm.MyAuditVal&lt;&gt;"",UPPER(_xlpm.MyAuditVal),_xlpm.MacVal&lt;&gt;"",_xlpm.MacVal,_xlpm.CSVVal&lt;&gt;"",_xlpm.CSVVal
)),"")</f>
        <v/>
      </c>
      <c r="O66" s="46" t="str">
        <f>_xlfn.XLOOKUP(C66,My_Audit!B:B,My_Audit!P:P,"")&amp;""</f>
        <v/>
      </c>
      <c r="P66" s="45"/>
      <c r="Q66" s="46" t="str">
        <f>IF(LEFT(N66,4)="Pass","Nist SP 800-88",My_Audit!R66)&amp;""</f>
        <v/>
      </c>
      <c r="R66" s="45"/>
      <c r="S66" s="45"/>
      <c r="T66" s="46" t="str">
        <f>_xlfn.XLOOKUP(E66,Models!I:I,Models!J:J,"")</f>
        <v/>
      </c>
      <c r="U66" s="45"/>
      <c r="V66" s="45"/>
      <c r="W66" s="38" t="str">
        <f>_xlfn.LET(
    _xlpm.MacVal, _xlfn.XLOOKUP($A66, Output_Mac!$A:$A, Output_Mac!AA:AA, ""),
    _xlpm.MyAuditVal, _xlfn.XLOOKUP($A66, My_Audit!$A:$A, My_Audit!L:L, ""),
    _xlfn.TEXTJOIN(", ", TRUE, _xlpm.MyAuditVal, _xlpm.MacVal)
)</f>
        <v/>
      </c>
    </row>
    <row r="67" spans="1:23">
      <c r="A67" s="45" t="str">
        <f>_xlfn.TEXTJOIN("",TRUE,Input!$B$2,ROW(My_Audit!A66))</f>
        <v>CC66</v>
      </c>
      <c r="B67" s="45" t="str">
        <f>_xlfn.TEXTJOIN("-",TRUE,"ITD",Input!$A$2,A67)</f>
        <v>ITD-XXX-CC66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_xlpm.CSVVal,_xlfn.XLOOKUP($A67,CSV!$A:$A,CSV!C:C,""),
_xlpm.MacVal,_xlfn.XLOOKUP($A67,Output_Mac!$A:$A,Output_Mac!D:D,""),
_xlpm.MyAuditVal,_xlfn.XLOOKUP($A67,My_Audit!$A:$A,My_Audit!C:C,""),
_xlfn.IFS(_xlpm.MyAuditVal&lt;&gt;"",UPPER(_xlpm.MyAuditVal),_xlpm.MacVal&lt;&gt;"",_xlpm.MacVal,_xlpm.CSVVal&lt;&gt;"",_xlpm.CSVVal
)),"")</f>
        <v/>
      </c>
      <c r="E67" s="46" t="str" cm="1">
        <f t="array" ref="E67">IFERROR(_xlfn.LET(
_xlpm.CSVVal,_xlfn.XLOOKUP($A67,CSV!$A:$A,CSV!E:E,""),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_xlpm.CSVVal,_xlfn.XLOOKUP($A67,CSV!$A:$A,CSV!G:G,""),
_xlpm.MacVal,_xlfn.XLOOKUP($A67,Output_Mac!$A:$A,Output_Mac!G:G,""),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_xlfn.XLOOKUP(A67,Output_Mac!A:A,Output_Mac!H:H,"")</f>
        <v/>
      </c>
      <c r="I67" s="45" t="str" cm="1">
        <f t="array" ref="I67">IFERROR(_xlfn.LET(
_xlpm.CSVVal,_xlfn.XLOOKUP($A67,CSV!$A:$A,CSV!H:H,""),
_xlpm.MacVal,_xlfn.XLOOKUP($A67,Output_Mac!$A:$A,Output_Mac!I:I,""),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_xlpm.CSVVal,_xlfn.XLOOKUP($A67,CSV!$A:$A,CSV!J:J,""),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6" t="str" cm="1">
        <f t="array" ref="K67">IFERROR(_xlfn.LET(
_xlpm.CSVVal,_xlfn.XLOOKUP($A67,CSV!$A:$A,CSV!N:N,""),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_xlpm.CSVVal,_xlfn.XLOOKUP($A67,CSV!$A:$A,CSV!Q:Q,""),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CSV!AE:AE,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_xlpm.CSVVal,_xlfn.XLOOKUP($A67,CSV!$A:$A,CSV!AG:AG,""),
_xlpm.MacVal,_xlfn.XLOOKUP($A67,Output_Mac!$A:$A,Output_Mac!T:T,""),
_xlpm.MyAuditVal,_xlfn.XLOOKUP($A67,My_Audit!$A:$A,My_Audit!O:O,""),
_xlfn.IFS(_xlpm.MyAuditVal&lt;&gt;"",UPPER(_xlpm.MyAuditVal),_xlpm.MacVal&lt;&gt;"",_xlpm.MacVal,_xlpm.CSVVal&lt;&gt;"",_xlpm.CSVVal
)),"")</f>
        <v/>
      </c>
      <c r="O67" s="46" t="str">
        <f>_xlfn.XLOOKUP(C67,My_Audit!B:B,My_Audit!P:P,"")&amp;""</f>
        <v/>
      </c>
      <c r="P67" s="45"/>
      <c r="Q67" s="46" t="str">
        <f>IF(LEFT(N67,4)="Pass","Nist SP 800-88",My_Audit!R67)&amp;""</f>
        <v/>
      </c>
      <c r="R67" s="45"/>
      <c r="S67" s="45"/>
      <c r="T67" s="46" t="str">
        <f>_xlfn.XLOOKUP(E67,Models!I:I,Models!J:J,"")</f>
        <v/>
      </c>
      <c r="U67" s="45"/>
      <c r="V67" s="45"/>
      <c r="W67" s="38" t="str">
        <f>_xlfn.LET(
    _xlpm.MacVal, _xlfn.XLOOKUP($A67, Output_Mac!$A:$A, Output_Mac!AA:AA, ""),
    _xlpm.MyAuditVal, _xlfn.XLOOKUP($A67, My_Audit!$A:$A, My_Audit!L:L, ""),
    _xlfn.TEXTJOIN(", ", TRUE, _xlpm.MyAuditVal, _xlpm.MacVal)
)</f>
        <v/>
      </c>
    </row>
    <row r="68" spans="1:23">
      <c r="A68" s="45" t="str">
        <f>_xlfn.TEXTJOIN("",TRUE,Input!$B$2,ROW(My_Audit!A67))</f>
        <v>CC67</v>
      </c>
      <c r="B68" s="45" t="str">
        <f>_xlfn.TEXTJOIN("-",TRUE,"ITD",Input!$A$2,A68)</f>
        <v>ITD-XXX-CC67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_xlpm.CSVVal,_xlfn.XLOOKUP($A68,CSV!$A:$A,CSV!C:C,""),
_xlpm.MacVal,_xlfn.XLOOKUP($A68,Output_Mac!$A:$A,Output_Mac!D:D,""),
_xlpm.MyAuditVal,_xlfn.XLOOKUP($A68,My_Audit!$A:$A,My_Audit!C:C,""),
_xlfn.IFS(_xlpm.MyAuditVal&lt;&gt;"",UPPER(_xlpm.MyAuditVal),_xlpm.MacVal&lt;&gt;"",_xlpm.MacVal,_xlpm.CSVVal&lt;&gt;"",_xlpm.CSVVal
)),"")</f>
        <v/>
      </c>
      <c r="E68" s="46" t="str" cm="1">
        <f t="array" ref="E68">IFERROR(_xlfn.LET(
_xlpm.CSVVal,_xlfn.XLOOKUP($A68,CSV!$A:$A,CSV!E:E,""),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_xlpm.CSVVal,_xlfn.XLOOKUP($A68,CSV!$A:$A,CSV!G:G,""),
_xlpm.MacVal,_xlfn.XLOOKUP($A68,Output_Mac!$A:$A,Output_Mac!G:G,""),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_xlfn.XLOOKUP(A68,Output_Mac!A:A,Output_Mac!H:H,"")</f>
        <v/>
      </c>
      <c r="I68" s="45" t="str" cm="1">
        <f t="array" ref="I68">IFERROR(_xlfn.LET(
_xlpm.CSVVal,_xlfn.XLOOKUP($A68,CSV!$A:$A,CSV!H:H,""),
_xlpm.MacVal,_xlfn.XLOOKUP($A68,Output_Mac!$A:$A,Output_Mac!I:I,""),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_xlpm.CSVVal,_xlfn.XLOOKUP($A68,CSV!$A:$A,CSV!J:J,""),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6" t="str" cm="1">
        <f t="array" ref="K68">IFERROR(_xlfn.LET(
_xlpm.CSVVal,_xlfn.XLOOKUP($A68,CSV!$A:$A,CSV!N:N,""),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_xlpm.CSVVal,_xlfn.XLOOKUP($A68,CSV!$A:$A,CSV!Q:Q,""),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CSV!AE:AE,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_xlpm.CSVVal,_xlfn.XLOOKUP($A68,CSV!$A:$A,CSV!AG:AG,""),
_xlpm.MacVal,_xlfn.XLOOKUP($A68,Output_Mac!$A:$A,Output_Mac!T:T,""),
_xlpm.MyAuditVal,_xlfn.XLOOKUP($A68,My_Audit!$A:$A,My_Audit!O:O,""),
_xlfn.IFS(_xlpm.MyAuditVal&lt;&gt;"",UPPER(_xlpm.MyAuditVal),_xlpm.MacVal&lt;&gt;"",_xlpm.MacVal,_xlpm.CSVVal&lt;&gt;"",_xlpm.CSVVal
)),"")</f>
        <v/>
      </c>
      <c r="O68" s="46" t="str">
        <f>_xlfn.XLOOKUP(C68,My_Audit!B:B,My_Audit!P:P,"")&amp;""</f>
        <v/>
      </c>
      <c r="P68" s="45"/>
      <c r="Q68" s="46" t="str">
        <f>IF(LEFT(N68,4)="Pass","Nist SP 800-88",My_Audit!R68)&amp;""</f>
        <v/>
      </c>
      <c r="R68" s="45"/>
      <c r="S68" s="45"/>
      <c r="T68" s="46" t="str">
        <f>_xlfn.XLOOKUP(E68,Models!I:I,Models!J:J,"")</f>
        <v/>
      </c>
      <c r="U68" s="45"/>
      <c r="V68" s="45"/>
      <c r="W68" s="38" t="str">
        <f>_xlfn.LET(
    _xlpm.MacVal, _xlfn.XLOOKUP($A68, Output_Mac!$A:$A, Output_Mac!AA:AA, ""),
    _xlpm.MyAuditVal, _xlfn.XLOOKUP($A68, My_Audit!$A:$A, My_Audit!L:L, ""),
    _xlfn.TEXTJOIN(", ", TRUE, _xlpm.MyAuditVal, _xlpm.MacVal)
)</f>
        <v/>
      </c>
    </row>
    <row r="69" spans="1:23">
      <c r="A69" s="45" t="str">
        <f>_xlfn.TEXTJOIN("",TRUE,Input!$B$2,ROW(My_Audit!A68))</f>
        <v>CC68</v>
      </c>
      <c r="B69" s="45" t="str">
        <f>_xlfn.TEXTJOIN("-",TRUE,"ITD",Input!$A$2,A69)</f>
        <v>ITD-XXX-CC68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_xlpm.CSVVal,_xlfn.XLOOKUP($A69,CSV!$A:$A,CSV!C:C,""),
_xlpm.MacVal,_xlfn.XLOOKUP($A69,Output_Mac!$A:$A,Output_Mac!D:D,""),
_xlpm.MyAuditVal,_xlfn.XLOOKUP($A69,My_Audit!$A:$A,My_Audit!C:C,""),
_xlfn.IFS(_xlpm.MyAuditVal&lt;&gt;"",UPPER(_xlpm.MyAuditVal),_xlpm.MacVal&lt;&gt;"",_xlpm.MacVal,_xlpm.CSVVal&lt;&gt;"",_xlpm.CSVVal
)),"")</f>
        <v/>
      </c>
      <c r="E69" s="46" t="str" cm="1">
        <f t="array" ref="E69">IFERROR(_xlfn.LET(
_xlpm.CSVVal,_xlfn.XLOOKUP($A69,CSV!$A:$A,CSV!E:E,""),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_xlpm.CSVVal,_xlfn.XLOOKUP($A69,CSV!$A:$A,CSV!G:G,""),
_xlpm.MacVal,_xlfn.XLOOKUP($A69,Output_Mac!$A:$A,Output_Mac!G:G,""),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_xlfn.XLOOKUP(A69,Output_Mac!A:A,Output_Mac!H:H,"")</f>
        <v/>
      </c>
      <c r="I69" s="45" t="str" cm="1">
        <f t="array" ref="I69">IFERROR(_xlfn.LET(
_xlpm.CSVVal,_xlfn.XLOOKUP($A69,CSV!$A:$A,CSV!H:H,""),
_xlpm.MacVal,_xlfn.XLOOKUP($A69,Output_Mac!$A:$A,Output_Mac!I:I,""),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_xlpm.CSVVal,_xlfn.XLOOKUP($A69,CSV!$A:$A,CSV!J:J,""),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6" t="str" cm="1">
        <f t="array" ref="K69">IFERROR(_xlfn.LET(
_xlpm.CSVVal,_xlfn.XLOOKUP($A69,CSV!$A:$A,CSV!N:N,""),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_xlpm.CSVVal,_xlfn.XLOOKUP($A69,CSV!$A:$A,CSV!Q:Q,""),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CSV!AE:AE,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_xlpm.CSVVal,_xlfn.XLOOKUP($A69,CSV!$A:$A,CSV!AG:AG,""),
_xlpm.MacVal,_xlfn.XLOOKUP($A69,Output_Mac!$A:$A,Output_Mac!T:T,""),
_xlpm.MyAuditVal,_xlfn.XLOOKUP($A69,My_Audit!$A:$A,My_Audit!O:O,""),
_xlfn.IFS(_xlpm.MyAuditVal&lt;&gt;"",UPPER(_xlpm.MyAuditVal),_xlpm.MacVal&lt;&gt;"",_xlpm.MacVal,_xlpm.CSVVal&lt;&gt;"",_xlpm.CSVVal
)),"")</f>
        <v/>
      </c>
      <c r="O69" s="46" t="str">
        <f>_xlfn.XLOOKUP(C69,My_Audit!B:B,My_Audit!P:P,"")&amp;""</f>
        <v/>
      </c>
      <c r="P69" s="45"/>
      <c r="Q69" s="46" t="str">
        <f>IF(LEFT(N69,4)="Pass","Nist SP 800-88",My_Audit!R69)&amp;""</f>
        <v/>
      </c>
      <c r="R69" s="45"/>
      <c r="S69" s="45"/>
      <c r="T69" s="46" t="str">
        <f>_xlfn.XLOOKUP(E69,Models!I:I,Models!J:J,"")</f>
        <v/>
      </c>
      <c r="U69" s="45"/>
      <c r="V69" s="45"/>
      <c r="W69" s="38" t="str">
        <f>_xlfn.LET(
    _xlpm.MacVal, _xlfn.XLOOKUP($A69, Output_Mac!$A:$A, Output_Mac!AA:AA, ""),
    _xlpm.MyAuditVal, _xlfn.XLOOKUP($A69, My_Audit!$A:$A, My_Audit!L:L, ""),
    _xlfn.TEXTJOIN(", ", TRUE, _xlpm.MyAuditVal, _xlpm.MacVal)
)</f>
        <v/>
      </c>
    </row>
    <row r="70" spans="1:23">
      <c r="A70" s="45" t="str">
        <f>_xlfn.TEXTJOIN("",TRUE,Input!$B$2,ROW(My_Audit!A69))</f>
        <v>CC69</v>
      </c>
      <c r="B70" s="45" t="str">
        <f>_xlfn.TEXTJOIN("-",TRUE,"ITD",Input!$A$2,A70)</f>
        <v>ITD-XXX-CC69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_xlpm.CSVVal,_xlfn.XLOOKUP($A70,CSV!$A:$A,CSV!C:C,""),
_xlpm.MacVal,_xlfn.XLOOKUP($A70,Output_Mac!$A:$A,Output_Mac!D:D,""),
_xlpm.MyAuditVal,_xlfn.XLOOKUP($A70,My_Audit!$A:$A,My_Audit!C:C,""),
_xlfn.IFS(_xlpm.MyAuditVal&lt;&gt;"",UPPER(_xlpm.MyAuditVal),_xlpm.MacVal&lt;&gt;"",_xlpm.MacVal,_xlpm.CSVVal&lt;&gt;"",_xlpm.CSVVal
)),"")</f>
        <v/>
      </c>
      <c r="E70" s="46" t="str" cm="1">
        <f t="array" ref="E70">IFERROR(_xlfn.LET(
_xlpm.CSVVal,_xlfn.XLOOKUP($A70,CSV!$A:$A,CSV!E:E,""),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_xlpm.CSVVal,_xlfn.XLOOKUP($A70,CSV!$A:$A,CSV!G:G,""),
_xlpm.MacVal,_xlfn.XLOOKUP($A70,Output_Mac!$A:$A,Output_Mac!G:G,""),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_xlfn.XLOOKUP(A70,Output_Mac!A:A,Output_Mac!H:H,"")</f>
        <v/>
      </c>
      <c r="I70" s="45" t="str" cm="1">
        <f t="array" ref="I70">IFERROR(_xlfn.LET(
_xlpm.CSVVal,_xlfn.XLOOKUP($A70,CSV!$A:$A,CSV!H:H,""),
_xlpm.MacVal,_xlfn.XLOOKUP($A70,Output_Mac!$A:$A,Output_Mac!I:I,""),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_xlpm.CSVVal,_xlfn.XLOOKUP($A70,CSV!$A:$A,CSV!J:J,""),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6" t="str" cm="1">
        <f t="array" ref="K70">IFERROR(_xlfn.LET(
_xlpm.CSVVal,_xlfn.XLOOKUP($A70,CSV!$A:$A,CSV!N:N,""),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_xlpm.CSVVal,_xlfn.XLOOKUP($A70,CSV!$A:$A,CSV!Q:Q,""),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CSV!AE:AE,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_xlpm.CSVVal,_xlfn.XLOOKUP($A70,CSV!$A:$A,CSV!AG:AG,""),
_xlpm.MacVal,_xlfn.XLOOKUP($A70,Output_Mac!$A:$A,Output_Mac!T:T,""),
_xlpm.MyAuditVal,_xlfn.XLOOKUP($A70,My_Audit!$A:$A,My_Audit!O:O,""),
_xlfn.IFS(_xlpm.MyAuditVal&lt;&gt;"",UPPER(_xlpm.MyAuditVal),_xlpm.MacVal&lt;&gt;"",_xlpm.MacVal,_xlpm.CSVVal&lt;&gt;"",_xlpm.CSVVal
)),"")</f>
        <v/>
      </c>
      <c r="O70" s="46" t="str">
        <f>_xlfn.XLOOKUP(C70,My_Audit!B:B,My_Audit!P:P,"")&amp;""</f>
        <v/>
      </c>
      <c r="P70" s="45"/>
      <c r="Q70" s="46" t="str">
        <f>IF(LEFT(N70,4)="Pass","Nist SP 800-88",My_Audit!R70)&amp;""</f>
        <v/>
      </c>
      <c r="R70" s="45"/>
      <c r="S70" s="45"/>
      <c r="T70" s="46" t="str">
        <f>_xlfn.XLOOKUP(E70,Models!I:I,Models!J:J,"")</f>
        <v/>
      </c>
      <c r="U70" s="45"/>
      <c r="V70" s="45"/>
      <c r="W70" s="38" t="str">
        <f>_xlfn.LET(
    _xlpm.MacVal, _xlfn.XLOOKUP($A70, Output_Mac!$A:$A, Output_Mac!AA:AA, ""),
    _xlpm.MyAuditVal, _xlfn.XLOOKUP($A70, My_Audit!$A:$A, My_Audit!L:L, ""),
    _xlfn.TEXTJOIN(", ", TRUE, _xlpm.MyAuditVal, _xlpm.MacVal)
)</f>
        <v/>
      </c>
    </row>
    <row r="71" spans="1:23">
      <c r="A71" s="45" t="str">
        <f>_xlfn.TEXTJOIN("",TRUE,Input!$B$2,ROW(My_Audit!A70))</f>
        <v>CC70</v>
      </c>
      <c r="B71" s="45" t="str">
        <f>_xlfn.TEXTJOIN("-",TRUE,"ITD",Input!$A$2,A71)</f>
        <v>ITD-XXX-CC70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_xlpm.CSVVal,_xlfn.XLOOKUP($A71,CSV!$A:$A,CSV!C:C,""),
_xlpm.MacVal,_xlfn.XLOOKUP($A71,Output_Mac!$A:$A,Output_Mac!D:D,""),
_xlpm.MyAuditVal,_xlfn.XLOOKUP($A71,My_Audit!$A:$A,My_Audit!C:C,""),
_xlfn.IFS(_xlpm.MyAuditVal&lt;&gt;"",UPPER(_xlpm.MyAuditVal),_xlpm.MacVal&lt;&gt;"",_xlpm.MacVal,_xlpm.CSVVal&lt;&gt;"",_xlpm.CSVVal
)),"")</f>
        <v/>
      </c>
      <c r="E71" s="46" t="str" cm="1">
        <f t="array" ref="E71">IFERROR(_xlfn.LET(
_xlpm.CSVVal,_xlfn.XLOOKUP($A71,CSV!$A:$A,CSV!E:E,""),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_xlpm.CSVVal,_xlfn.XLOOKUP($A71,CSV!$A:$A,CSV!G:G,""),
_xlpm.MacVal,_xlfn.XLOOKUP($A71,Output_Mac!$A:$A,Output_Mac!G:G,""),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_xlfn.XLOOKUP(A71,Output_Mac!A:A,Output_Mac!H:H,"")</f>
        <v/>
      </c>
      <c r="I71" s="45" t="str" cm="1">
        <f t="array" ref="I71">IFERROR(_xlfn.LET(
_xlpm.CSVVal,_xlfn.XLOOKUP($A71,CSV!$A:$A,CSV!H:H,""),
_xlpm.MacVal,_xlfn.XLOOKUP($A71,Output_Mac!$A:$A,Output_Mac!I:I,""),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_xlpm.CSVVal,_xlfn.XLOOKUP($A71,CSV!$A:$A,CSV!J:J,""),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6" t="str" cm="1">
        <f t="array" ref="K71">IFERROR(_xlfn.LET(
_xlpm.CSVVal,_xlfn.XLOOKUP($A71,CSV!$A:$A,CSV!N:N,""),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_xlpm.CSVVal,_xlfn.XLOOKUP($A71,CSV!$A:$A,CSV!Q:Q,""),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CSV!AE:AE,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_xlpm.CSVVal,_xlfn.XLOOKUP($A71,CSV!$A:$A,CSV!AG:AG,""),
_xlpm.MacVal,_xlfn.XLOOKUP($A71,Output_Mac!$A:$A,Output_Mac!T:T,""),
_xlpm.MyAuditVal,_xlfn.XLOOKUP($A71,My_Audit!$A:$A,My_Audit!O:O,""),
_xlfn.IFS(_xlpm.MyAuditVal&lt;&gt;"",UPPER(_xlpm.MyAuditVal),_xlpm.MacVal&lt;&gt;"",_xlpm.MacVal,_xlpm.CSVVal&lt;&gt;"",_xlpm.CSVVal
)),"")</f>
        <v/>
      </c>
      <c r="O71" s="46" t="str">
        <f>_xlfn.XLOOKUP(C71,My_Audit!B:B,My_Audit!P:P,"")&amp;""</f>
        <v/>
      </c>
      <c r="P71" s="45"/>
      <c r="Q71" s="46" t="str">
        <f>IF(LEFT(N71,4)="Pass","Nist SP 800-88",My_Audit!R71)&amp;""</f>
        <v/>
      </c>
      <c r="R71" s="45"/>
      <c r="S71" s="45"/>
      <c r="T71" s="46" t="str">
        <f>_xlfn.XLOOKUP(E71,Models!I:I,Models!J:J,"")</f>
        <v/>
      </c>
      <c r="U71" s="45"/>
      <c r="V71" s="45"/>
      <c r="W71" s="38" t="str">
        <f>_xlfn.LET(
    _xlpm.MacVal, _xlfn.XLOOKUP($A71, Output_Mac!$A:$A, Output_Mac!AA:AA, ""),
    _xlpm.MyAuditVal, _xlfn.XLOOKUP($A71, My_Audit!$A:$A, My_Audit!L:L, ""),
    _xlfn.TEXTJOIN(", ", TRUE, _xlpm.MyAuditVal, _xlpm.MacVal)
)</f>
        <v/>
      </c>
    </row>
    <row r="72" spans="1:23">
      <c r="A72" s="45" t="str">
        <f>_xlfn.TEXTJOIN("",TRUE,Input!$B$2,ROW(My_Audit!A71))</f>
        <v>CC71</v>
      </c>
      <c r="B72" s="45" t="str">
        <f>_xlfn.TEXTJOIN("-",TRUE,"ITD",Input!$A$2,A72)</f>
        <v>ITD-XXX-CC71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_xlpm.CSVVal,_xlfn.XLOOKUP($A72,CSV!$A:$A,CSV!C:C,""),
_xlpm.MacVal,_xlfn.XLOOKUP($A72,Output_Mac!$A:$A,Output_Mac!D:D,""),
_xlpm.MyAuditVal,_xlfn.XLOOKUP($A72,My_Audit!$A:$A,My_Audit!C:C,""),
_xlfn.IFS(_xlpm.MyAuditVal&lt;&gt;"",UPPER(_xlpm.MyAuditVal),_xlpm.MacVal&lt;&gt;"",_xlpm.MacVal,_xlpm.CSVVal&lt;&gt;"",_xlpm.CSVVal
)),"")</f>
        <v/>
      </c>
      <c r="E72" s="46" t="str" cm="1">
        <f t="array" ref="E72">IFERROR(_xlfn.LET(
_xlpm.CSVVal,_xlfn.XLOOKUP($A72,CSV!$A:$A,CSV!E:E,""),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_xlpm.CSVVal,_xlfn.XLOOKUP($A72,CSV!$A:$A,CSV!G:G,""),
_xlpm.MacVal,_xlfn.XLOOKUP($A72,Output_Mac!$A:$A,Output_Mac!G:G,""),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_xlfn.XLOOKUP(A72,Output_Mac!A:A,Output_Mac!H:H,"")</f>
        <v/>
      </c>
      <c r="I72" s="45" t="str" cm="1">
        <f t="array" ref="I72">IFERROR(_xlfn.LET(
_xlpm.CSVVal,_xlfn.XLOOKUP($A72,CSV!$A:$A,CSV!H:H,""),
_xlpm.MacVal,_xlfn.XLOOKUP($A72,Output_Mac!$A:$A,Output_Mac!I:I,""),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_xlpm.CSVVal,_xlfn.XLOOKUP($A72,CSV!$A:$A,CSV!J:J,""),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6" t="str" cm="1">
        <f t="array" ref="K72">IFERROR(_xlfn.LET(
_xlpm.CSVVal,_xlfn.XLOOKUP($A72,CSV!$A:$A,CSV!N:N,""),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_xlpm.CSVVal,_xlfn.XLOOKUP($A72,CSV!$A:$A,CSV!Q:Q,""),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CSV!AE:AE,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_xlpm.CSVVal,_xlfn.XLOOKUP($A72,CSV!$A:$A,CSV!AG:AG,""),
_xlpm.MacVal,_xlfn.XLOOKUP($A72,Output_Mac!$A:$A,Output_Mac!T:T,""),
_xlpm.MyAuditVal,_xlfn.XLOOKUP($A72,My_Audit!$A:$A,My_Audit!O:O,""),
_xlfn.IFS(_xlpm.MyAuditVal&lt;&gt;"",UPPER(_xlpm.MyAuditVal),_xlpm.MacVal&lt;&gt;"",_xlpm.MacVal,_xlpm.CSVVal&lt;&gt;"",_xlpm.CSVVal
)),"")</f>
        <v/>
      </c>
      <c r="O72" s="46" t="str">
        <f>_xlfn.XLOOKUP(C72,My_Audit!B:B,My_Audit!P:P,"")&amp;""</f>
        <v/>
      </c>
      <c r="P72" s="45"/>
      <c r="Q72" s="46" t="str">
        <f>IF(LEFT(N72,4)="Pass","Nist SP 800-88",My_Audit!R72)&amp;""</f>
        <v/>
      </c>
      <c r="R72" s="45"/>
      <c r="S72" s="45"/>
      <c r="T72" s="46" t="str">
        <f>_xlfn.XLOOKUP(E72,Models!I:I,Models!J:J,"")</f>
        <v/>
      </c>
      <c r="U72" s="45"/>
      <c r="V72" s="45"/>
      <c r="W72" s="38" t="str">
        <f>_xlfn.LET(
    _xlpm.MacVal, _xlfn.XLOOKUP($A72, Output_Mac!$A:$A, Output_Mac!AA:AA, ""),
    _xlpm.MyAuditVal, _xlfn.XLOOKUP($A72, My_Audit!$A:$A, My_Audit!L:L, ""),
    _xlfn.TEXTJOIN(", ", TRUE, _xlpm.MyAuditVal, _xlpm.MacVal)
)</f>
        <v/>
      </c>
    </row>
    <row r="73" spans="1:23">
      <c r="A73" s="45" t="str">
        <f>_xlfn.TEXTJOIN("",TRUE,Input!$B$2,ROW(My_Audit!A72))</f>
        <v>CC72</v>
      </c>
      <c r="B73" s="45" t="str">
        <f>_xlfn.TEXTJOIN("-",TRUE,"ITD",Input!$A$2,A73)</f>
        <v>ITD-XXX-CC72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_xlpm.CSVVal,_xlfn.XLOOKUP($A73,CSV!$A:$A,CSV!C:C,""),
_xlpm.MacVal,_xlfn.XLOOKUP($A73,Output_Mac!$A:$A,Output_Mac!D:D,""),
_xlpm.MyAuditVal,_xlfn.XLOOKUP($A73,My_Audit!$A:$A,My_Audit!C:C,""),
_xlfn.IFS(_xlpm.MyAuditVal&lt;&gt;"",UPPER(_xlpm.MyAuditVal),_xlpm.MacVal&lt;&gt;"",_xlpm.MacVal,_xlpm.CSVVal&lt;&gt;"",_xlpm.CSVVal
)),"")</f>
        <v/>
      </c>
      <c r="E73" s="46" t="str" cm="1">
        <f t="array" ref="E73">IFERROR(_xlfn.LET(
_xlpm.CSVVal,_xlfn.XLOOKUP($A73,CSV!$A:$A,CSV!E:E,""),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_xlpm.CSVVal,_xlfn.XLOOKUP($A73,CSV!$A:$A,CSV!G:G,""),
_xlpm.MacVal,_xlfn.XLOOKUP($A73,Output_Mac!$A:$A,Output_Mac!G:G,""),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_xlfn.XLOOKUP(A73,Output_Mac!A:A,Output_Mac!H:H,"")</f>
        <v/>
      </c>
      <c r="I73" s="45" t="str" cm="1">
        <f t="array" ref="I73">IFERROR(_xlfn.LET(
_xlpm.CSVVal,_xlfn.XLOOKUP($A73,CSV!$A:$A,CSV!H:H,""),
_xlpm.MacVal,_xlfn.XLOOKUP($A73,Output_Mac!$A:$A,Output_Mac!I:I,""),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_xlpm.CSVVal,_xlfn.XLOOKUP($A73,CSV!$A:$A,CSV!J:J,""),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6" t="str" cm="1">
        <f t="array" ref="K73">IFERROR(_xlfn.LET(
_xlpm.CSVVal,_xlfn.XLOOKUP($A73,CSV!$A:$A,CSV!N:N,""),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_xlpm.CSVVal,_xlfn.XLOOKUP($A73,CSV!$A:$A,CSV!Q:Q,""),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CSV!AE:AE,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_xlpm.CSVVal,_xlfn.XLOOKUP($A73,CSV!$A:$A,CSV!AG:AG,""),
_xlpm.MacVal,_xlfn.XLOOKUP($A73,Output_Mac!$A:$A,Output_Mac!T:T,""),
_xlpm.MyAuditVal,_xlfn.XLOOKUP($A73,My_Audit!$A:$A,My_Audit!O:O,""),
_xlfn.IFS(_xlpm.MyAuditVal&lt;&gt;"",UPPER(_xlpm.MyAuditVal),_xlpm.MacVal&lt;&gt;"",_xlpm.MacVal,_xlpm.CSVVal&lt;&gt;"",_xlpm.CSVVal
)),"")</f>
        <v/>
      </c>
      <c r="O73" s="46" t="str">
        <f>_xlfn.XLOOKUP(C73,My_Audit!B:B,My_Audit!P:P,"")&amp;""</f>
        <v/>
      </c>
      <c r="P73" s="45"/>
      <c r="Q73" s="46" t="str">
        <f>IF(LEFT(N73,4)="Pass","Nist SP 800-88",My_Audit!R73)&amp;""</f>
        <v/>
      </c>
      <c r="R73" s="45"/>
      <c r="S73" s="45"/>
      <c r="T73" s="46" t="str">
        <f>_xlfn.XLOOKUP(E73,Models!I:I,Models!J:J,"")</f>
        <v/>
      </c>
      <c r="U73" s="45"/>
      <c r="V73" s="45"/>
      <c r="W73" s="38" t="str">
        <f>_xlfn.LET(
    _xlpm.MacVal, _xlfn.XLOOKUP($A73, Output_Mac!$A:$A, Output_Mac!AA:AA, ""),
    _xlpm.MyAuditVal, _xlfn.XLOOKUP($A73, My_Audit!$A:$A, My_Audit!L:L, ""),
    _xlfn.TEXTJOIN(", ", TRUE, _xlpm.MyAuditVal, _xlpm.MacVal)
)</f>
        <v/>
      </c>
    </row>
    <row r="74" spans="1:23">
      <c r="A74" s="45" t="str">
        <f>_xlfn.TEXTJOIN("",TRUE,Input!$B$2,ROW(My_Audit!A73))</f>
        <v>CC73</v>
      </c>
      <c r="B74" s="45" t="str">
        <f>_xlfn.TEXTJOIN("-",TRUE,"ITD",Input!$A$2,A74)</f>
        <v>ITD-XXX-CC73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_xlpm.CSVVal,_xlfn.XLOOKUP($A74,CSV!$A:$A,CSV!C:C,""),
_xlpm.MacVal,_xlfn.XLOOKUP($A74,Output_Mac!$A:$A,Output_Mac!D:D,""),
_xlpm.MyAuditVal,_xlfn.XLOOKUP($A74,My_Audit!$A:$A,My_Audit!C:C,""),
_xlfn.IFS(_xlpm.MyAuditVal&lt;&gt;"",UPPER(_xlpm.MyAuditVal),_xlpm.MacVal&lt;&gt;"",_xlpm.MacVal,_xlpm.CSVVal&lt;&gt;"",_xlpm.CSVVal
)),"")</f>
        <v/>
      </c>
      <c r="E74" s="46" t="str" cm="1">
        <f t="array" ref="E74">IFERROR(_xlfn.LET(
_xlpm.CSVVal,_xlfn.XLOOKUP($A74,CSV!$A:$A,CSV!E:E,""),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_xlpm.CSVVal,_xlfn.XLOOKUP($A74,CSV!$A:$A,CSV!G:G,""),
_xlpm.MacVal,_xlfn.XLOOKUP($A74,Output_Mac!$A:$A,Output_Mac!G:G,""),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_xlfn.XLOOKUP(A74,Output_Mac!A:A,Output_Mac!H:H,"")</f>
        <v/>
      </c>
      <c r="I74" s="45" t="str" cm="1">
        <f t="array" ref="I74">IFERROR(_xlfn.LET(
_xlpm.CSVVal,_xlfn.XLOOKUP($A74,CSV!$A:$A,CSV!H:H,""),
_xlpm.MacVal,_xlfn.XLOOKUP($A74,Output_Mac!$A:$A,Output_Mac!I:I,""),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_xlpm.CSVVal,_xlfn.XLOOKUP($A74,CSV!$A:$A,CSV!J:J,""),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6" t="str" cm="1">
        <f t="array" ref="K74">IFERROR(_xlfn.LET(
_xlpm.CSVVal,_xlfn.XLOOKUP($A74,CSV!$A:$A,CSV!N:N,""),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_xlpm.CSVVal,_xlfn.XLOOKUP($A74,CSV!$A:$A,CSV!Q:Q,""),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CSV!AE:AE,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_xlpm.CSVVal,_xlfn.XLOOKUP($A74,CSV!$A:$A,CSV!AG:AG,""),
_xlpm.MacVal,_xlfn.XLOOKUP($A74,Output_Mac!$A:$A,Output_Mac!T:T,""),
_xlpm.MyAuditVal,_xlfn.XLOOKUP($A74,My_Audit!$A:$A,My_Audit!O:O,""),
_xlfn.IFS(_xlpm.MyAuditVal&lt;&gt;"",UPPER(_xlpm.MyAuditVal),_xlpm.MacVal&lt;&gt;"",_xlpm.MacVal,_xlpm.CSVVal&lt;&gt;"",_xlpm.CSVVal
)),"")</f>
        <v/>
      </c>
      <c r="O74" s="46" t="str">
        <f>_xlfn.XLOOKUP(C74,My_Audit!B:B,My_Audit!P:P,"")&amp;""</f>
        <v/>
      </c>
      <c r="P74" s="45"/>
      <c r="Q74" s="46" t="str">
        <f>IF(LEFT(N74,4)="Pass","Nist SP 800-88",My_Audit!R74)&amp;""</f>
        <v/>
      </c>
      <c r="R74" s="45"/>
      <c r="S74" s="45"/>
      <c r="T74" s="46" t="str">
        <f>_xlfn.XLOOKUP(E74,Models!I:I,Models!J:J,"")</f>
        <v/>
      </c>
      <c r="U74" s="45"/>
      <c r="V74" s="45"/>
      <c r="W74" s="38" t="str">
        <f>_xlfn.LET(
    _xlpm.MacVal, _xlfn.XLOOKUP($A74, Output_Mac!$A:$A, Output_Mac!AA:AA, ""),
    _xlpm.MyAuditVal, _xlfn.XLOOKUP($A74, My_Audit!$A:$A, My_Audit!L:L, ""),
    _xlfn.TEXTJOIN(", ", TRUE, _xlpm.MyAuditVal, _xlpm.MacVal)
)</f>
        <v/>
      </c>
    </row>
    <row r="75" spans="1:23">
      <c r="A75" s="45" t="str">
        <f>_xlfn.TEXTJOIN("",TRUE,Input!$B$2,ROW(My_Audit!A74))</f>
        <v>CC74</v>
      </c>
      <c r="B75" s="45" t="str">
        <f>_xlfn.TEXTJOIN("-",TRUE,"ITD",Input!$A$2,A75)</f>
        <v>ITD-XXX-CC74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_xlpm.CSVVal,_xlfn.XLOOKUP($A75,CSV!$A:$A,CSV!C:C,""),
_xlpm.MacVal,_xlfn.XLOOKUP($A75,Output_Mac!$A:$A,Output_Mac!D:D,""),
_xlpm.MyAuditVal,_xlfn.XLOOKUP($A75,My_Audit!$A:$A,My_Audit!C:C,""),
_xlfn.IFS(_xlpm.MyAuditVal&lt;&gt;"",UPPER(_xlpm.MyAuditVal),_xlpm.MacVal&lt;&gt;"",_xlpm.MacVal,_xlpm.CSVVal&lt;&gt;"",_xlpm.CSVVal
)),"")</f>
        <v/>
      </c>
      <c r="E75" s="46" t="str" cm="1">
        <f t="array" ref="E75">IFERROR(_xlfn.LET(
_xlpm.CSVVal,_xlfn.XLOOKUP($A75,CSV!$A:$A,CSV!E:E,""),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_xlpm.CSVVal,_xlfn.XLOOKUP($A75,CSV!$A:$A,CSV!G:G,""),
_xlpm.MacVal,_xlfn.XLOOKUP($A75,Output_Mac!$A:$A,Output_Mac!G:G,""),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_xlfn.XLOOKUP(A75,Output_Mac!A:A,Output_Mac!H:H,"")</f>
        <v/>
      </c>
      <c r="I75" s="45" t="str" cm="1">
        <f t="array" ref="I75">IFERROR(_xlfn.LET(
_xlpm.CSVVal,_xlfn.XLOOKUP($A75,CSV!$A:$A,CSV!H:H,""),
_xlpm.MacVal,_xlfn.XLOOKUP($A75,Output_Mac!$A:$A,Output_Mac!I:I,""),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_xlpm.CSVVal,_xlfn.XLOOKUP($A75,CSV!$A:$A,CSV!J:J,""),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6" t="str" cm="1">
        <f t="array" ref="K75">IFERROR(_xlfn.LET(
_xlpm.CSVVal,_xlfn.XLOOKUP($A75,CSV!$A:$A,CSV!N:N,""),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_xlpm.CSVVal,_xlfn.XLOOKUP($A75,CSV!$A:$A,CSV!Q:Q,""),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CSV!AE:AE,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_xlpm.CSVVal,_xlfn.XLOOKUP($A75,CSV!$A:$A,CSV!AG:AG,""),
_xlpm.MacVal,_xlfn.XLOOKUP($A75,Output_Mac!$A:$A,Output_Mac!T:T,""),
_xlpm.MyAuditVal,_xlfn.XLOOKUP($A75,My_Audit!$A:$A,My_Audit!O:O,""),
_xlfn.IFS(_xlpm.MyAuditVal&lt;&gt;"",UPPER(_xlpm.MyAuditVal),_xlpm.MacVal&lt;&gt;"",_xlpm.MacVal,_xlpm.CSVVal&lt;&gt;"",_xlpm.CSVVal
)),"")</f>
        <v/>
      </c>
      <c r="O75" s="46" t="str">
        <f>_xlfn.XLOOKUP(C75,My_Audit!B:B,My_Audit!P:P,"")&amp;""</f>
        <v/>
      </c>
      <c r="P75" s="45"/>
      <c r="Q75" s="46" t="str">
        <f>IF(LEFT(N75,4)="Pass","Nist SP 800-88",My_Audit!R75)&amp;""</f>
        <v/>
      </c>
      <c r="R75" s="45"/>
      <c r="S75" s="45"/>
      <c r="T75" s="46" t="str">
        <f>_xlfn.XLOOKUP(E75,Models!I:I,Models!J:J,"")</f>
        <v/>
      </c>
      <c r="U75" s="45"/>
      <c r="V75" s="45"/>
      <c r="W75" s="38" t="str">
        <f>_xlfn.LET(
    _xlpm.MacVal, _xlfn.XLOOKUP($A75, Output_Mac!$A:$A, Output_Mac!AA:AA, ""),
    _xlpm.MyAuditVal, _xlfn.XLOOKUP($A75, My_Audit!$A:$A, My_Audit!L:L, ""),
    _xlfn.TEXTJOIN(", ", TRUE, _xlpm.MyAuditVal, _xlpm.MacVal)
)</f>
        <v/>
      </c>
    </row>
    <row r="76" spans="1:23">
      <c r="A76" s="45" t="str">
        <f>_xlfn.TEXTJOIN("",TRUE,Input!$B$2,ROW(My_Audit!A75))</f>
        <v>CC75</v>
      </c>
      <c r="B76" s="45" t="str">
        <f>_xlfn.TEXTJOIN("-",TRUE,"ITD",Input!$A$2,A76)</f>
        <v>ITD-XXX-CC75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_xlpm.CSVVal,_xlfn.XLOOKUP($A76,CSV!$A:$A,CSV!C:C,""),
_xlpm.MacVal,_xlfn.XLOOKUP($A76,Output_Mac!$A:$A,Output_Mac!D:D,""),
_xlpm.MyAuditVal,_xlfn.XLOOKUP($A76,My_Audit!$A:$A,My_Audit!C:C,""),
_xlfn.IFS(_xlpm.MyAuditVal&lt;&gt;"",UPPER(_xlpm.MyAuditVal),_xlpm.MacVal&lt;&gt;"",_xlpm.MacVal,_xlpm.CSVVal&lt;&gt;"",_xlpm.CSVVal
)),"")</f>
        <v/>
      </c>
      <c r="E76" s="46" t="str" cm="1">
        <f t="array" ref="E76">IFERROR(_xlfn.LET(
_xlpm.CSVVal,_xlfn.XLOOKUP($A76,CSV!$A:$A,CSV!E:E,""),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_xlpm.CSVVal,_xlfn.XLOOKUP($A76,CSV!$A:$A,CSV!G:G,""),
_xlpm.MacVal,_xlfn.XLOOKUP($A76,Output_Mac!$A:$A,Output_Mac!G:G,""),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_xlfn.XLOOKUP(A76,Output_Mac!A:A,Output_Mac!H:H,"")</f>
        <v/>
      </c>
      <c r="I76" s="45" t="str" cm="1">
        <f t="array" ref="I76">IFERROR(_xlfn.LET(
_xlpm.CSVVal,_xlfn.XLOOKUP($A76,CSV!$A:$A,CSV!H:H,""),
_xlpm.MacVal,_xlfn.XLOOKUP($A76,Output_Mac!$A:$A,Output_Mac!I:I,""),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_xlpm.CSVVal,_xlfn.XLOOKUP($A76,CSV!$A:$A,CSV!J:J,""),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6" t="str" cm="1">
        <f t="array" ref="K76">IFERROR(_xlfn.LET(
_xlpm.CSVVal,_xlfn.XLOOKUP($A76,CSV!$A:$A,CSV!N:N,""),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_xlpm.CSVVal,_xlfn.XLOOKUP($A76,CSV!$A:$A,CSV!Q:Q,""),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CSV!AE:AE,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_xlpm.CSVVal,_xlfn.XLOOKUP($A76,CSV!$A:$A,CSV!AG:AG,""),
_xlpm.MacVal,_xlfn.XLOOKUP($A76,Output_Mac!$A:$A,Output_Mac!T:T,""),
_xlpm.MyAuditVal,_xlfn.XLOOKUP($A76,My_Audit!$A:$A,My_Audit!O:O,""),
_xlfn.IFS(_xlpm.MyAuditVal&lt;&gt;"",UPPER(_xlpm.MyAuditVal),_xlpm.MacVal&lt;&gt;"",_xlpm.MacVal,_xlpm.CSVVal&lt;&gt;"",_xlpm.CSVVal
)),"")</f>
        <v/>
      </c>
      <c r="O76" s="46" t="str">
        <f>_xlfn.XLOOKUP(C76,My_Audit!B:B,My_Audit!P:P,"")&amp;""</f>
        <v/>
      </c>
      <c r="P76" s="45"/>
      <c r="Q76" s="46" t="str">
        <f>IF(LEFT(N76,4)="Pass","Nist SP 800-88",My_Audit!R76)&amp;""</f>
        <v/>
      </c>
      <c r="R76" s="45"/>
      <c r="S76" s="45"/>
      <c r="T76" s="46" t="str">
        <f>_xlfn.XLOOKUP(E76,Models!I:I,Models!J:J,"")</f>
        <v/>
      </c>
      <c r="U76" s="45"/>
      <c r="V76" s="45"/>
      <c r="W76" s="38" t="str">
        <f>_xlfn.LET(
    _xlpm.MacVal, _xlfn.XLOOKUP($A76, Output_Mac!$A:$A, Output_Mac!AA:AA, ""),
    _xlpm.MyAuditVal, _xlfn.XLOOKUP($A76, My_Audit!$A:$A, My_Audit!L:L, ""),
    _xlfn.TEXTJOIN(", ", TRUE, _xlpm.MyAuditVal, _xlpm.MacVal)
)</f>
        <v/>
      </c>
    </row>
    <row r="77" spans="1:23">
      <c r="A77" s="45" t="str">
        <f>_xlfn.TEXTJOIN("",TRUE,Input!$B$2,ROW(My_Audit!A76))</f>
        <v>CC76</v>
      </c>
      <c r="B77" s="45" t="str">
        <f>_xlfn.TEXTJOIN("-",TRUE,"ITD",Input!$A$2,A77)</f>
        <v>ITD-XXX-CC76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_xlpm.CSVVal,_xlfn.XLOOKUP($A77,CSV!$A:$A,CSV!C:C,""),
_xlpm.MacVal,_xlfn.XLOOKUP($A77,Output_Mac!$A:$A,Output_Mac!D:D,""),
_xlpm.MyAuditVal,_xlfn.XLOOKUP($A77,My_Audit!$A:$A,My_Audit!C:C,""),
_xlfn.IFS(_xlpm.MyAuditVal&lt;&gt;"",UPPER(_xlpm.MyAuditVal),_xlpm.MacVal&lt;&gt;"",_xlpm.MacVal,_xlpm.CSVVal&lt;&gt;"",_xlpm.CSVVal
)),"")</f>
        <v/>
      </c>
      <c r="E77" s="46" t="str" cm="1">
        <f t="array" ref="E77">IFERROR(_xlfn.LET(
_xlpm.CSVVal,_xlfn.XLOOKUP($A77,CSV!$A:$A,CSV!E:E,""),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_xlpm.CSVVal,_xlfn.XLOOKUP($A77,CSV!$A:$A,CSV!G:G,""),
_xlpm.MacVal,_xlfn.XLOOKUP($A77,Output_Mac!$A:$A,Output_Mac!G:G,""),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_xlfn.XLOOKUP(A77,Output_Mac!A:A,Output_Mac!H:H,"")</f>
        <v/>
      </c>
      <c r="I77" s="45" t="str" cm="1">
        <f t="array" ref="I77">IFERROR(_xlfn.LET(
_xlpm.CSVVal,_xlfn.XLOOKUP($A77,CSV!$A:$A,CSV!H:H,""),
_xlpm.MacVal,_xlfn.XLOOKUP($A77,Output_Mac!$A:$A,Output_Mac!I:I,""),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_xlpm.CSVVal,_xlfn.XLOOKUP($A77,CSV!$A:$A,CSV!J:J,""),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6" t="str" cm="1">
        <f t="array" ref="K77">IFERROR(_xlfn.LET(
_xlpm.CSVVal,_xlfn.XLOOKUP($A77,CSV!$A:$A,CSV!N:N,""),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_xlpm.CSVVal,_xlfn.XLOOKUP($A77,CSV!$A:$A,CSV!Q:Q,""),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CSV!AE:AE,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_xlpm.CSVVal,_xlfn.XLOOKUP($A77,CSV!$A:$A,CSV!AG:AG,""),
_xlpm.MacVal,_xlfn.XLOOKUP($A77,Output_Mac!$A:$A,Output_Mac!T:T,""),
_xlpm.MyAuditVal,_xlfn.XLOOKUP($A77,My_Audit!$A:$A,My_Audit!O:O,""),
_xlfn.IFS(_xlpm.MyAuditVal&lt;&gt;"",UPPER(_xlpm.MyAuditVal),_xlpm.MacVal&lt;&gt;"",_xlpm.MacVal,_xlpm.CSVVal&lt;&gt;"",_xlpm.CSVVal
)),"")</f>
        <v/>
      </c>
      <c r="O77" s="46" t="str">
        <f>_xlfn.XLOOKUP(C77,My_Audit!B:B,My_Audit!P:P,"")&amp;""</f>
        <v/>
      </c>
      <c r="P77" s="45"/>
      <c r="Q77" s="46" t="str">
        <f>IF(LEFT(N77,4)="Pass","Nist SP 800-88",My_Audit!R77)&amp;""</f>
        <v/>
      </c>
      <c r="R77" s="45"/>
      <c r="S77" s="45"/>
      <c r="T77" s="46" t="str">
        <f>_xlfn.XLOOKUP(E77,Models!I:I,Models!J:J,"")</f>
        <v/>
      </c>
      <c r="U77" s="45"/>
      <c r="V77" s="45"/>
      <c r="W77" s="38" t="str">
        <f>_xlfn.LET(
    _xlpm.MacVal, _xlfn.XLOOKUP($A77, Output_Mac!$A:$A, Output_Mac!AA:AA, ""),
    _xlpm.MyAuditVal, _xlfn.XLOOKUP($A77, My_Audit!$A:$A, My_Audit!L:L, ""),
    _xlfn.TEXTJOIN(", ", TRUE, _xlpm.MyAuditVal, _xlpm.MacVal)
)</f>
        <v/>
      </c>
    </row>
    <row r="78" spans="1:23">
      <c r="A78" s="45" t="str">
        <f>_xlfn.TEXTJOIN("",TRUE,Input!$B$2,ROW(My_Audit!A77))</f>
        <v>CC77</v>
      </c>
      <c r="B78" s="45" t="str">
        <f>_xlfn.TEXTJOIN("-",TRUE,"ITD",Input!$A$2,A78)</f>
        <v>ITD-XXX-CC77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_xlpm.CSVVal,_xlfn.XLOOKUP($A78,CSV!$A:$A,CSV!C:C,""),
_xlpm.MacVal,_xlfn.XLOOKUP($A78,Output_Mac!$A:$A,Output_Mac!D:D,""),
_xlpm.MyAuditVal,_xlfn.XLOOKUP($A78,My_Audit!$A:$A,My_Audit!C:C,""),
_xlfn.IFS(_xlpm.MyAuditVal&lt;&gt;"",UPPER(_xlpm.MyAuditVal),_xlpm.MacVal&lt;&gt;"",_xlpm.MacVal,_xlpm.CSVVal&lt;&gt;"",_xlpm.CSVVal
)),"")</f>
        <v/>
      </c>
      <c r="E78" s="46" t="str" cm="1">
        <f t="array" ref="E78">IFERROR(_xlfn.LET(
_xlpm.CSVVal,_xlfn.XLOOKUP($A78,CSV!$A:$A,CSV!E:E,""),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_xlpm.CSVVal,_xlfn.XLOOKUP($A78,CSV!$A:$A,CSV!G:G,""),
_xlpm.MacVal,_xlfn.XLOOKUP($A78,Output_Mac!$A:$A,Output_Mac!G:G,""),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_xlfn.XLOOKUP(A78,Output_Mac!A:A,Output_Mac!H:H,"")</f>
        <v/>
      </c>
      <c r="I78" s="45" t="str" cm="1">
        <f t="array" ref="I78">IFERROR(_xlfn.LET(
_xlpm.CSVVal,_xlfn.XLOOKUP($A78,CSV!$A:$A,CSV!H:H,""),
_xlpm.MacVal,_xlfn.XLOOKUP($A78,Output_Mac!$A:$A,Output_Mac!I:I,""),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_xlpm.CSVVal,_xlfn.XLOOKUP($A78,CSV!$A:$A,CSV!J:J,""),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6" t="str" cm="1">
        <f t="array" ref="K78">IFERROR(_xlfn.LET(
_xlpm.CSVVal,_xlfn.XLOOKUP($A78,CSV!$A:$A,CSV!N:N,""),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_xlpm.CSVVal,_xlfn.XLOOKUP($A78,CSV!$A:$A,CSV!Q:Q,""),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CSV!AE:AE,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_xlpm.CSVVal,_xlfn.XLOOKUP($A78,CSV!$A:$A,CSV!AG:AG,""),
_xlpm.MacVal,_xlfn.XLOOKUP($A78,Output_Mac!$A:$A,Output_Mac!T:T,""),
_xlpm.MyAuditVal,_xlfn.XLOOKUP($A78,My_Audit!$A:$A,My_Audit!O:O,""),
_xlfn.IFS(_xlpm.MyAuditVal&lt;&gt;"",UPPER(_xlpm.MyAuditVal),_xlpm.MacVal&lt;&gt;"",_xlpm.MacVal,_xlpm.CSVVal&lt;&gt;"",_xlpm.CSVVal
)),"")</f>
        <v/>
      </c>
      <c r="O78" s="46" t="str">
        <f>_xlfn.XLOOKUP(C78,My_Audit!B:B,My_Audit!P:P,"")&amp;""</f>
        <v/>
      </c>
      <c r="P78" s="45"/>
      <c r="Q78" s="46" t="str">
        <f>IF(LEFT(N78,4)="Pass","Nist SP 800-88",My_Audit!R78)&amp;""</f>
        <v/>
      </c>
      <c r="R78" s="45"/>
      <c r="S78" s="45"/>
      <c r="T78" s="46" t="str">
        <f>_xlfn.XLOOKUP(E78,Models!I:I,Models!J:J,"")</f>
        <v/>
      </c>
      <c r="U78" s="45"/>
      <c r="V78" s="45"/>
      <c r="W78" s="38" t="str">
        <f>_xlfn.LET(
    _xlpm.MacVal, _xlfn.XLOOKUP($A78, Output_Mac!$A:$A, Output_Mac!AA:AA, ""),
    _xlpm.MyAuditVal, _xlfn.XLOOKUP($A78, My_Audit!$A:$A, My_Audit!L:L, ""),
    _xlfn.TEXTJOIN(", ", TRUE, _xlpm.MyAuditVal, _xlpm.MacVal)
)</f>
        <v/>
      </c>
    </row>
    <row r="79" spans="1:23">
      <c r="A79" s="45" t="str">
        <f>_xlfn.TEXTJOIN("",TRUE,Input!$B$2,ROW(My_Audit!A78))</f>
        <v>CC78</v>
      </c>
      <c r="B79" s="45" t="str">
        <f>_xlfn.TEXTJOIN("-",TRUE,"ITD",Input!$A$2,A79)</f>
        <v>ITD-XXX-CC78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_xlpm.CSVVal,_xlfn.XLOOKUP($A79,CSV!$A:$A,CSV!C:C,""),
_xlpm.MacVal,_xlfn.XLOOKUP($A79,Output_Mac!$A:$A,Output_Mac!D:D,""),
_xlpm.MyAuditVal,_xlfn.XLOOKUP($A79,My_Audit!$A:$A,My_Audit!C:C,""),
_xlfn.IFS(_xlpm.MyAuditVal&lt;&gt;"",UPPER(_xlpm.MyAuditVal),_xlpm.MacVal&lt;&gt;"",_xlpm.MacVal,_xlpm.CSVVal&lt;&gt;"",_xlpm.CSVVal
)),"")</f>
        <v/>
      </c>
      <c r="E79" s="46" t="str" cm="1">
        <f t="array" ref="E79">IFERROR(_xlfn.LET(
_xlpm.CSVVal,_xlfn.XLOOKUP($A79,CSV!$A:$A,CSV!E:E,""),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_xlpm.CSVVal,_xlfn.XLOOKUP($A79,CSV!$A:$A,CSV!G:G,""),
_xlpm.MacVal,_xlfn.XLOOKUP($A79,Output_Mac!$A:$A,Output_Mac!G:G,""),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_xlfn.XLOOKUP(A79,Output_Mac!A:A,Output_Mac!H:H,"")</f>
        <v/>
      </c>
      <c r="I79" s="45" t="str" cm="1">
        <f t="array" ref="I79">IFERROR(_xlfn.LET(
_xlpm.CSVVal,_xlfn.XLOOKUP($A79,CSV!$A:$A,CSV!H:H,""),
_xlpm.MacVal,_xlfn.XLOOKUP($A79,Output_Mac!$A:$A,Output_Mac!I:I,""),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_xlpm.CSVVal,_xlfn.XLOOKUP($A79,CSV!$A:$A,CSV!J:J,""),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6" t="str" cm="1">
        <f t="array" ref="K79">IFERROR(_xlfn.LET(
_xlpm.CSVVal,_xlfn.XLOOKUP($A79,CSV!$A:$A,CSV!N:N,""),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_xlpm.CSVVal,_xlfn.XLOOKUP($A79,CSV!$A:$A,CSV!Q:Q,""),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CSV!AE:AE,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_xlpm.CSVVal,_xlfn.XLOOKUP($A79,CSV!$A:$A,CSV!AG:AG,""),
_xlpm.MacVal,_xlfn.XLOOKUP($A79,Output_Mac!$A:$A,Output_Mac!T:T,""),
_xlpm.MyAuditVal,_xlfn.XLOOKUP($A79,My_Audit!$A:$A,My_Audit!O:O,""),
_xlfn.IFS(_xlpm.MyAuditVal&lt;&gt;"",UPPER(_xlpm.MyAuditVal),_xlpm.MacVal&lt;&gt;"",_xlpm.MacVal,_xlpm.CSVVal&lt;&gt;"",_xlpm.CSVVal
)),"")</f>
        <v/>
      </c>
      <c r="O79" s="46" t="str">
        <f>_xlfn.XLOOKUP(C79,My_Audit!B:B,My_Audit!P:P,"")&amp;""</f>
        <v/>
      </c>
      <c r="P79" s="45"/>
      <c r="Q79" s="46" t="str">
        <f>IF(LEFT(N79,4)="Pass","Nist SP 800-88",My_Audit!R79)&amp;""</f>
        <v/>
      </c>
      <c r="R79" s="45"/>
      <c r="S79" s="45"/>
      <c r="T79" s="46" t="str">
        <f>_xlfn.XLOOKUP(E79,Models!I:I,Models!J:J,"")</f>
        <v/>
      </c>
      <c r="U79" s="45"/>
      <c r="V79" s="45"/>
      <c r="W79" s="38" t="str">
        <f>_xlfn.LET(
    _xlpm.MacVal, _xlfn.XLOOKUP($A79, Output_Mac!$A:$A, Output_Mac!AA:AA, ""),
    _xlpm.MyAuditVal, _xlfn.XLOOKUP($A79, My_Audit!$A:$A, My_Audit!L:L, ""),
    _xlfn.TEXTJOIN(", ", TRUE, _xlpm.MyAuditVal, _xlpm.MacVal)
)</f>
        <v/>
      </c>
    </row>
    <row r="80" spans="1:23">
      <c r="A80" s="45" t="str">
        <f>_xlfn.TEXTJOIN("",TRUE,Input!$B$2,ROW(My_Audit!A79))</f>
        <v>CC79</v>
      </c>
      <c r="B80" s="45" t="str">
        <f>_xlfn.TEXTJOIN("-",TRUE,"ITD",Input!$A$2,A80)</f>
        <v>ITD-XXX-CC79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_xlpm.CSVVal,_xlfn.XLOOKUP($A80,CSV!$A:$A,CSV!C:C,""),
_xlpm.MacVal,_xlfn.XLOOKUP($A80,Output_Mac!$A:$A,Output_Mac!D:D,""),
_xlpm.MyAuditVal,_xlfn.XLOOKUP($A80,My_Audit!$A:$A,My_Audit!C:C,""),
_xlfn.IFS(_xlpm.MyAuditVal&lt;&gt;"",UPPER(_xlpm.MyAuditVal),_xlpm.MacVal&lt;&gt;"",_xlpm.MacVal,_xlpm.CSVVal&lt;&gt;"",_xlpm.CSVVal
)),"")</f>
        <v/>
      </c>
      <c r="E80" s="46" t="str" cm="1">
        <f t="array" ref="E80">IFERROR(_xlfn.LET(
_xlpm.CSVVal,_xlfn.XLOOKUP($A80,CSV!$A:$A,CSV!E:E,""),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_xlpm.CSVVal,_xlfn.XLOOKUP($A80,CSV!$A:$A,CSV!G:G,""),
_xlpm.MacVal,_xlfn.XLOOKUP($A80,Output_Mac!$A:$A,Output_Mac!G:G,""),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_xlfn.XLOOKUP(A80,Output_Mac!A:A,Output_Mac!H:H,"")</f>
        <v/>
      </c>
      <c r="I80" s="45" t="str" cm="1">
        <f t="array" ref="I80">IFERROR(_xlfn.LET(
_xlpm.CSVVal,_xlfn.XLOOKUP($A80,CSV!$A:$A,CSV!H:H,""),
_xlpm.MacVal,_xlfn.XLOOKUP($A80,Output_Mac!$A:$A,Output_Mac!I:I,""),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_xlpm.CSVVal,_xlfn.XLOOKUP($A80,CSV!$A:$A,CSV!J:J,""),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6" t="str" cm="1">
        <f t="array" ref="K80">IFERROR(_xlfn.LET(
_xlpm.CSVVal,_xlfn.XLOOKUP($A80,CSV!$A:$A,CSV!N:N,""),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_xlpm.CSVVal,_xlfn.XLOOKUP($A80,CSV!$A:$A,CSV!Q:Q,""),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CSV!AE:AE,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_xlpm.CSVVal,_xlfn.XLOOKUP($A80,CSV!$A:$A,CSV!AG:AG,""),
_xlpm.MacVal,_xlfn.XLOOKUP($A80,Output_Mac!$A:$A,Output_Mac!T:T,""),
_xlpm.MyAuditVal,_xlfn.XLOOKUP($A80,My_Audit!$A:$A,My_Audit!O:O,""),
_xlfn.IFS(_xlpm.MyAuditVal&lt;&gt;"",UPPER(_xlpm.MyAuditVal),_xlpm.MacVal&lt;&gt;"",_xlpm.MacVal,_xlpm.CSVVal&lt;&gt;"",_xlpm.CSVVal
)),"")</f>
        <v/>
      </c>
      <c r="O80" s="46" t="str">
        <f>_xlfn.XLOOKUP(C80,My_Audit!B:B,My_Audit!P:P,"")&amp;""</f>
        <v/>
      </c>
      <c r="P80" s="45"/>
      <c r="Q80" s="46" t="str">
        <f>IF(LEFT(N80,4)="Pass","Nist SP 800-88",My_Audit!R80)&amp;""</f>
        <v/>
      </c>
      <c r="R80" s="45"/>
      <c r="S80" s="45"/>
      <c r="T80" s="46" t="str">
        <f>_xlfn.XLOOKUP(E80,Models!I:I,Models!J:J,"")</f>
        <v/>
      </c>
      <c r="U80" s="45"/>
      <c r="V80" s="45"/>
      <c r="W80" s="38" t="str">
        <f>_xlfn.LET(
    _xlpm.MacVal, _xlfn.XLOOKUP($A80, Output_Mac!$A:$A, Output_Mac!AA:AA, ""),
    _xlpm.MyAuditVal, _xlfn.XLOOKUP($A80, My_Audit!$A:$A, My_Audit!L:L, ""),
    _xlfn.TEXTJOIN(", ", TRUE, _xlpm.MyAuditVal, _xlpm.MacVal)
)</f>
        <v/>
      </c>
    </row>
    <row r="81" spans="1:23">
      <c r="A81" s="45" t="str">
        <f>_xlfn.TEXTJOIN("",TRUE,Input!$B$2,ROW(My_Audit!A80))</f>
        <v>CC80</v>
      </c>
      <c r="B81" s="45" t="str">
        <f>_xlfn.TEXTJOIN("-",TRUE,"ITD",Input!$A$2,A81)</f>
        <v>ITD-XXX-CC80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_xlpm.CSVVal,_xlfn.XLOOKUP($A81,CSV!$A:$A,CSV!C:C,""),
_xlpm.MacVal,_xlfn.XLOOKUP($A81,Output_Mac!$A:$A,Output_Mac!D:D,""),
_xlpm.MyAuditVal,_xlfn.XLOOKUP($A81,My_Audit!$A:$A,My_Audit!C:C,""),
_xlfn.IFS(_xlpm.MyAuditVal&lt;&gt;"",UPPER(_xlpm.MyAuditVal),_xlpm.MacVal&lt;&gt;"",_xlpm.MacVal,_xlpm.CSVVal&lt;&gt;"",_xlpm.CSVVal
)),"")</f>
        <v/>
      </c>
      <c r="E81" s="46" t="str" cm="1">
        <f t="array" ref="E81">IFERROR(_xlfn.LET(
_xlpm.CSVVal,_xlfn.XLOOKUP($A81,CSV!$A:$A,CSV!E:E,""),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_xlpm.CSVVal,_xlfn.XLOOKUP($A81,CSV!$A:$A,CSV!G:G,""),
_xlpm.MacVal,_xlfn.XLOOKUP($A81,Output_Mac!$A:$A,Output_Mac!G:G,""),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_xlfn.XLOOKUP(A81,Output_Mac!A:A,Output_Mac!H:H,"")</f>
        <v/>
      </c>
      <c r="I81" s="45" t="str" cm="1">
        <f t="array" ref="I81">IFERROR(_xlfn.LET(
_xlpm.CSVVal,_xlfn.XLOOKUP($A81,CSV!$A:$A,CSV!H:H,""),
_xlpm.MacVal,_xlfn.XLOOKUP($A81,Output_Mac!$A:$A,Output_Mac!I:I,""),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_xlpm.CSVVal,_xlfn.XLOOKUP($A81,CSV!$A:$A,CSV!J:J,""),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6" t="str" cm="1">
        <f t="array" ref="K81">IFERROR(_xlfn.LET(
_xlpm.CSVVal,_xlfn.XLOOKUP($A81,CSV!$A:$A,CSV!N:N,""),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_xlpm.CSVVal,_xlfn.XLOOKUP($A81,CSV!$A:$A,CSV!Q:Q,""),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CSV!AE:AE,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_xlpm.CSVVal,_xlfn.XLOOKUP($A81,CSV!$A:$A,CSV!AG:AG,""),
_xlpm.MacVal,_xlfn.XLOOKUP($A81,Output_Mac!$A:$A,Output_Mac!T:T,""),
_xlpm.MyAuditVal,_xlfn.XLOOKUP($A81,My_Audit!$A:$A,My_Audit!O:O,""),
_xlfn.IFS(_xlpm.MyAuditVal&lt;&gt;"",UPPER(_xlpm.MyAuditVal),_xlpm.MacVal&lt;&gt;"",_xlpm.MacVal,_xlpm.CSVVal&lt;&gt;"",_xlpm.CSVVal
)),"")</f>
        <v/>
      </c>
      <c r="O81" s="46" t="str">
        <f>_xlfn.XLOOKUP(C81,My_Audit!B:B,My_Audit!P:P,"")&amp;""</f>
        <v/>
      </c>
      <c r="P81" s="45"/>
      <c r="Q81" s="46" t="str">
        <f>IF(LEFT(N81,4)="Pass","Nist SP 800-88",My_Audit!R81)&amp;""</f>
        <v/>
      </c>
      <c r="R81" s="45"/>
      <c r="S81" s="45"/>
      <c r="T81" s="46" t="str">
        <f>_xlfn.XLOOKUP(E81,Models!I:I,Models!J:J,"")</f>
        <v/>
      </c>
      <c r="U81" s="45"/>
      <c r="V81" s="45"/>
      <c r="W81" s="38" t="str">
        <f>_xlfn.LET(
    _xlpm.MacVal, _xlfn.XLOOKUP($A81, Output_Mac!$A:$A, Output_Mac!AA:AA, ""),
    _xlpm.MyAuditVal, _xlfn.XLOOKUP($A81, My_Audit!$A:$A, My_Audit!L:L, ""),
    _xlfn.TEXTJOIN(", ", TRUE, _xlpm.MyAuditVal, _xlpm.MacVal)
)</f>
        <v/>
      </c>
    </row>
    <row r="82" spans="1:23">
      <c r="A82" s="45" t="str">
        <f>_xlfn.TEXTJOIN("",TRUE,Input!$B$2,ROW(My_Audit!A81))</f>
        <v>CC81</v>
      </c>
      <c r="B82" s="45" t="str">
        <f>_xlfn.TEXTJOIN("-",TRUE,"ITD",Input!$A$2,A82)</f>
        <v>ITD-XXX-CC81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_xlpm.CSVVal,_xlfn.XLOOKUP($A82,CSV!$A:$A,CSV!C:C,""),
_xlpm.MacVal,_xlfn.XLOOKUP($A82,Output_Mac!$A:$A,Output_Mac!D:D,""),
_xlpm.MyAuditVal,_xlfn.XLOOKUP($A82,My_Audit!$A:$A,My_Audit!C:C,""),
_xlfn.IFS(_xlpm.MyAuditVal&lt;&gt;"",UPPER(_xlpm.MyAuditVal),_xlpm.MacVal&lt;&gt;"",_xlpm.MacVal,_xlpm.CSVVal&lt;&gt;"",_xlpm.CSVVal
)),"")</f>
        <v/>
      </c>
      <c r="E82" s="46" t="str" cm="1">
        <f t="array" ref="E82">IFERROR(_xlfn.LET(
_xlpm.CSVVal,_xlfn.XLOOKUP($A82,CSV!$A:$A,CSV!E:E,""),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_xlpm.CSVVal,_xlfn.XLOOKUP($A82,CSV!$A:$A,CSV!G:G,""),
_xlpm.MacVal,_xlfn.XLOOKUP($A82,Output_Mac!$A:$A,Output_Mac!G:G,""),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_xlfn.XLOOKUP(A82,Output_Mac!A:A,Output_Mac!H:H,"")</f>
        <v/>
      </c>
      <c r="I82" s="45" t="str" cm="1">
        <f t="array" ref="I82">IFERROR(_xlfn.LET(
_xlpm.CSVVal,_xlfn.XLOOKUP($A82,CSV!$A:$A,CSV!H:H,""),
_xlpm.MacVal,_xlfn.XLOOKUP($A82,Output_Mac!$A:$A,Output_Mac!I:I,""),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_xlpm.CSVVal,_xlfn.XLOOKUP($A82,CSV!$A:$A,CSV!J:J,""),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6" t="str" cm="1">
        <f t="array" ref="K82">IFERROR(_xlfn.LET(
_xlpm.CSVVal,_xlfn.XLOOKUP($A82,CSV!$A:$A,CSV!N:N,""),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_xlpm.CSVVal,_xlfn.XLOOKUP($A82,CSV!$A:$A,CSV!Q:Q,""),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CSV!AE:AE,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_xlpm.CSVVal,_xlfn.XLOOKUP($A82,CSV!$A:$A,CSV!AG:AG,""),
_xlpm.MacVal,_xlfn.XLOOKUP($A82,Output_Mac!$A:$A,Output_Mac!T:T,""),
_xlpm.MyAuditVal,_xlfn.XLOOKUP($A82,My_Audit!$A:$A,My_Audit!O:O,""),
_xlfn.IFS(_xlpm.MyAuditVal&lt;&gt;"",UPPER(_xlpm.MyAuditVal),_xlpm.MacVal&lt;&gt;"",_xlpm.MacVal,_xlpm.CSVVal&lt;&gt;"",_xlpm.CSVVal
)),"")</f>
        <v/>
      </c>
      <c r="O82" s="46" t="str">
        <f>_xlfn.XLOOKUP(C82,My_Audit!B:B,My_Audit!P:P,"")&amp;""</f>
        <v/>
      </c>
      <c r="P82" s="45"/>
      <c r="Q82" s="46" t="str">
        <f>IF(LEFT(N82,4)="Pass","Nist SP 800-88",My_Audit!R82)&amp;""</f>
        <v/>
      </c>
      <c r="R82" s="45"/>
      <c r="S82" s="45"/>
      <c r="T82" s="46" t="str">
        <f>_xlfn.XLOOKUP(E82,Models!I:I,Models!J:J,"")</f>
        <v/>
      </c>
      <c r="U82" s="45"/>
      <c r="V82" s="45"/>
      <c r="W82" s="38" t="str">
        <f>_xlfn.LET(
    _xlpm.MacVal, _xlfn.XLOOKUP($A82, Output_Mac!$A:$A, Output_Mac!AA:AA, ""),
    _xlpm.MyAuditVal, _xlfn.XLOOKUP($A82, My_Audit!$A:$A, My_Audit!L:L, ""),
    _xlfn.TEXTJOIN(", ", TRUE, _xlpm.MyAuditVal, _xlpm.MacVal)
)</f>
        <v/>
      </c>
    </row>
    <row r="83" spans="1:23">
      <c r="A83" s="45" t="str">
        <f>_xlfn.TEXTJOIN("",TRUE,Input!$B$2,ROW(My_Audit!A82))</f>
        <v>CC82</v>
      </c>
      <c r="B83" s="45" t="str">
        <f>_xlfn.TEXTJOIN("-",TRUE,"ITD",Input!$A$2,A83)</f>
        <v>ITD-XXX-CC82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_xlpm.CSVVal,_xlfn.XLOOKUP($A83,CSV!$A:$A,CSV!C:C,""),
_xlpm.MacVal,_xlfn.XLOOKUP($A83,Output_Mac!$A:$A,Output_Mac!D:D,""),
_xlpm.MyAuditVal,_xlfn.XLOOKUP($A83,My_Audit!$A:$A,My_Audit!C:C,""),
_xlfn.IFS(_xlpm.MyAuditVal&lt;&gt;"",UPPER(_xlpm.MyAuditVal),_xlpm.MacVal&lt;&gt;"",_xlpm.MacVal,_xlpm.CSVVal&lt;&gt;"",_xlpm.CSVVal
)),"")</f>
        <v/>
      </c>
      <c r="E83" s="46" t="str" cm="1">
        <f t="array" ref="E83">IFERROR(_xlfn.LET(
_xlpm.CSVVal,_xlfn.XLOOKUP($A83,CSV!$A:$A,CSV!E:E,""),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_xlpm.CSVVal,_xlfn.XLOOKUP($A83,CSV!$A:$A,CSV!G:G,""),
_xlpm.MacVal,_xlfn.XLOOKUP($A83,Output_Mac!$A:$A,Output_Mac!G:G,""),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_xlfn.XLOOKUP(A83,Output_Mac!A:A,Output_Mac!H:H,"")</f>
        <v/>
      </c>
      <c r="I83" s="45" t="str" cm="1">
        <f t="array" ref="I83">IFERROR(_xlfn.LET(
_xlpm.CSVVal,_xlfn.XLOOKUP($A83,CSV!$A:$A,CSV!H:H,""),
_xlpm.MacVal,_xlfn.XLOOKUP($A83,Output_Mac!$A:$A,Output_Mac!I:I,""),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_xlpm.CSVVal,_xlfn.XLOOKUP($A83,CSV!$A:$A,CSV!J:J,""),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6" t="str" cm="1">
        <f t="array" ref="K83">IFERROR(_xlfn.LET(
_xlpm.CSVVal,_xlfn.XLOOKUP($A83,CSV!$A:$A,CSV!N:N,""),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_xlpm.CSVVal,_xlfn.XLOOKUP($A83,CSV!$A:$A,CSV!Q:Q,""),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CSV!AE:AE,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_xlpm.CSVVal,_xlfn.XLOOKUP($A83,CSV!$A:$A,CSV!AG:AG,""),
_xlpm.MacVal,_xlfn.XLOOKUP($A83,Output_Mac!$A:$A,Output_Mac!T:T,""),
_xlpm.MyAuditVal,_xlfn.XLOOKUP($A83,My_Audit!$A:$A,My_Audit!O:O,""),
_xlfn.IFS(_xlpm.MyAuditVal&lt;&gt;"",UPPER(_xlpm.MyAuditVal),_xlpm.MacVal&lt;&gt;"",_xlpm.MacVal,_xlpm.CSVVal&lt;&gt;"",_xlpm.CSVVal
)),"")</f>
        <v/>
      </c>
      <c r="O83" s="46" t="str">
        <f>_xlfn.XLOOKUP(C83,My_Audit!B:B,My_Audit!P:P,"")&amp;""</f>
        <v/>
      </c>
      <c r="P83" s="45"/>
      <c r="Q83" s="46" t="str">
        <f>IF(LEFT(N83,4)="Pass","Nist SP 800-88",My_Audit!R83)&amp;""</f>
        <v/>
      </c>
      <c r="R83" s="45"/>
      <c r="S83" s="45"/>
      <c r="T83" s="46" t="str">
        <f>_xlfn.XLOOKUP(E83,Models!I:I,Models!J:J,"")</f>
        <v/>
      </c>
      <c r="U83" s="45"/>
      <c r="V83" s="45"/>
      <c r="W83" s="38" t="str">
        <f>_xlfn.LET(
    _xlpm.MacVal, _xlfn.XLOOKUP($A83, Output_Mac!$A:$A, Output_Mac!AA:AA, ""),
    _xlpm.MyAuditVal, _xlfn.XLOOKUP($A83, My_Audit!$A:$A, My_Audit!L:L, ""),
    _xlfn.TEXTJOIN(", ", TRUE, _xlpm.MyAuditVal, _xlpm.MacVal)
)</f>
        <v/>
      </c>
    </row>
    <row r="84" spans="1:23">
      <c r="A84" s="45" t="str">
        <f>_xlfn.TEXTJOIN("",TRUE,Input!$B$2,ROW(My_Audit!A83))</f>
        <v>CC83</v>
      </c>
      <c r="B84" s="45" t="str">
        <f>_xlfn.TEXTJOIN("-",TRUE,"ITD",Input!$A$2,A84)</f>
        <v>ITD-XXX-CC83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_xlpm.CSVVal,_xlfn.XLOOKUP($A84,CSV!$A:$A,CSV!C:C,""),
_xlpm.MacVal,_xlfn.XLOOKUP($A84,Output_Mac!$A:$A,Output_Mac!D:D,""),
_xlpm.MyAuditVal,_xlfn.XLOOKUP($A84,My_Audit!$A:$A,My_Audit!C:C,""),
_xlfn.IFS(_xlpm.MyAuditVal&lt;&gt;"",UPPER(_xlpm.MyAuditVal),_xlpm.MacVal&lt;&gt;"",_xlpm.MacVal,_xlpm.CSVVal&lt;&gt;"",_xlpm.CSVVal
)),"")</f>
        <v/>
      </c>
      <c r="E84" s="46" t="str" cm="1">
        <f t="array" ref="E84">IFERROR(_xlfn.LET(
_xlpm.CSVVal,_xlfn.XLOOKUP($A84,CSV!$A:$A,CSV!E:E,""),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_xlpm.CSVVal,_xlfn.XLOOKUP($A84,CSV!$A:$A,CSV!G:G,""),
_xlpm.MacVal,_xlfn.XLOOKUP($A84,Output_Mac!$A:$A,Output_Mac!G:G,""),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_xlfn.XLOOKUP(A84,Output_Mac!A:A,Output_Mac!H:H,"")</f>
        <v/>
      </c>
      <c r="I84" s="45" t="str" cm="1">
        <f t="array" ref="I84">IFERROR(_xlfn.LET(
_xlpm.CSVVal,_xlfn.XLOOKUP($A84,CSV!$A:$A,CSV!H:H,""),
_xlpm.MacVal,_xlfn.XLOOKUP($A84,Output_Mac!$A:$A,Output_Mac!I:I,""),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_xlpm.CSVVal,_xlfn.XLOOKUP($A84,CSV!$A:$A,CSV!J:J,""),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6" t="str" cm="1">
        <f t="array" ref="K84">IFERROR(_xlfn.LET(
_xlpm.CSVVal,_xlfn.XLOOKUP($A84,CSV!$A:$A,CSV!N:N,""),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_xlpm.CSVVal,_xlfn.XLOOKUP($A84,CSV!$A:$A,CSV!Q:Q,""),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CSV!AE:AE,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_xlpm.CSVVal,_xlfn.XLOOKUP($A84,CSV!$A:$A,CSV!AG:AG,""),
_xlpm.MacVal,_xlfn.XLOOKUP($A84,Output_Mac!$A:$A,Output_Mac!T:T,""),
_xlpm.MyAuditVal,_xlfn.XLOOKUP($A84,My_Audit!$A:$A,My_Audit!O:O,""),
_xlfn.IFS(_xlpm.MyAuditVal&lt;&gt;"",UPPER(_xlpm.MyAuditVal),_xlpm.MacVal&lt;&gt;"",_xlpm.MacVal,_xlpm.CSVVal&lt;&gt;"",_xlpm.CSVVal
)),"")</f>
        <v/>
      </c>
      <c r="O84" s="46" t="str">
        <f>_xlfn.XLOOKUP(C84,My_Audit!B:B,My_Audit!P:P,"")&amp;""</f>
        <v/>
      </c>
      <c r="P84" s="45"/>
      <c r="Q84" s="46" t="str">
        <f>IF(LEFT(N84,4)="Pass","Nist SP 800-88",My_Audit!R84)&amp;""</f>
        <v/>
      </c>
      <c r="R84" s="45"/>
      <c r="S84" s="45"/>
      <c r="T84" s="46" t="str">
        <f>_xlfn.XLOOKUP(E84,Models!I:I,Models!J:J,"")</f>
        <v/>
      </c>
      <c r="U84" s="45"/>
      <c r="V84" s="45"/>
      <c r="W84" s="38" t="str">
        <f>_xlfn.LET(
    _xlpm.MacVal, _xlfn.XLOOKUP($A84, Output_Mac!$A:$A, Output_Mac!AA:AA, ""),
    _xlpm.MyAuditVal, _xlfn.XLOOKUP($A84, My_Audit!$A:$A, My_Audit!L:L, ""),
    _xlfn.TEXTJOIN(", ", TRUE, _xlpm.MyAuditVal, _xlpm.MacVal)
)</f>
        <v/>
      </c>
    </row>
    <row r="85" spans="1:23">
      <c r="A85" s="45" t="str">
        <f>_xlfn.TEXTJOIN("",TRUE,Input!$B$2,ROW(My_Audit!A84))</f>
        <v>CC84</v>
      </c>
      <c r="B85" s="45" t="str">
        <f>_xlfn.TEXTJOIN("-",TRUE,"ITD",Input!$A$2,A85)</f>
        <v>ITD-XXX-CC84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_xlpm.CSVVal,_xlfn.XLOOKUP($A85,CSV!$A:$A,CSV!C:C,""),
_xlpm.MacVal,_xlfn.XLOOKUP($A85,Output_Mac!$A:$A,Output_Mac!D:D,""),
_xlpm.MyAuditVal,_xlfn.XLOOKUP($A85,My_Audit!$A:$A,My_Audit!C:C,""),
_xlfn.IFS(_xlpm.MyAuditVal&lt;&gt;"",UPPER(_xlpm.MyAuditVal),_xlpm.MacVal&lt;&gt;"",_xlpm.MacVal,_xlpm.CSVVal&lt;&gt;"",_xlpm.CSVVal
)),"")</f>
        <v/>
      </c>
      <c r="E85" s="46" t="str" cm="1">
        <f t="array" ref="E85">IFERROR(_xlfn.LET(
_xlpm.CSVVal,_xlfn.XLOOKUP($A85,CSV!$A:$A,CSV!E:E,""),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_xlpm.CSVVal,_xlfn.XLOOKUP($A85,CSV!$A:$A,CSV!G:G,""),
_xlpm.MacVal,_xlfn.XLOOKUP($A85,Output_Mac!$A:$A,Output_Mac!G:G,""),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_xlfn.XLOOKUP(A85,Output_Mac!A:A,Output_Mac!H:H,"")</f>
        <v/>
      </c>
      <c r="I85" s="45" t="str" cm="1">
        <f t="array" ref="I85">IFERROR(_xlfn.LET(
_xlpm.CSVVal,_xlfn.XLOOKUP($A85,CSV!$A:$A,CSV!H:H,""),
_xlpm.MacVal,_xlfn.XLOOKUP($A85,Output_Mac!$A:$A,Output_Mac!I:I,""),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_xlpm.CSVVal,_xlfn.XLOOKUP($A85,CSV!$A:$A,CSV!J:J,""),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6" t="str" cm="1">
        <f t="array" ref="K85">IFERROR(_xlfn.LET(
_xlpm.CSVVal,_xlfn.XLOOKUP($A85,CSV!$A:$A,CSV!N:N,""),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_xlpm.CSVVal,_xlfn.XLOOKUP($A85,CSV!$A:$A,CSV!Q:Q,""),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CSV!AE:AE,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_xlpm.CSVVal,_xlfn.XLOOKUP($A85,CSV!$A:$A,CSV!AG:AG,""),
_xlpm.MacVal,_xlfn.XLOOKUP($A85,Output_Mac!$A:$A,Output_Mac!T:T,""),
_xlpm.MyAuditVal,_xlfn.XLOOKUP($A85,My_Audit!$A:$A,My_Audit!O:O,""),
_xlfn.IFS(_xlpm.MyAuditVal&lt;&gt;"",UPPER(_xlpm.MyAuditVal),_xlpm.MacVal&lt;&gt;"",_xlpm.MacVal,_xlpm.CSVVal&lt;&gt;"",_xlpm.CSVVal
)),"")</f>
        <v/>
      </c>
      <c r="O85" s="46" t="str">
        <f>_xlfn.XLOOKUP(C85,My_Audit!B:B,My_Audit!P:P,"")&amp;""</f>
        <v/>
      </c>
      <c r="P85" s="45"/>
      <c r="Q85" s="46" t="str">
        <f>IF(LEFT(N85,4)="Pass","Nist SP 800-88",My_Audit!R85)&amp;""</f>
        <v/>
      </c>
      <c r="R85" s="45"/>
      <c r="S85" s="45"/>
      <c r="T85" s="46" t="str">
        <f>_xlfn.XLOOKUP(E85,Models!I:I,Models!J:J,"")</f>
        <v/>
      </c>
      <c r="U85" s="45"/>
      <c r="V85" s="45"/>
      <c r="W85" s="38" t="str">
        <f>_xlfn.LET(
    _xlpm.MacVal, _xlfn.XLOOKUP($A85, Output_Mac!$A:$A, Output_Mac!AA:AA, ""),
    _xlpm.MyAuditVal, _xlfn.XLOOKUP($A85, My_Audit!$A:$A, My_Audit!L:L, ""),
    _xlfn.TEXTJOIN(", ", TRUE, _xlpm.MyAuditVal, _xlpm.MacVal)
)</f>
        <v/>
      </c>
    </row>
    <row r="86" spans="1:23">
      <c r="A86" s="45" t="str">
        <f>_xlfn.TEXTJOIN("",TRUE,Input!$B$2,ROW(My_Audit!A85))</f>
        <v>CC85</v>
      </c>
      <c r="B86" s="45" t="str">
        <f>_xlfn.TEXTJOIN("-",TRUE,"ITD",Input!$A$2,A86)</f>
        <v>ITD-XXX-CC85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_xlpm.CSVVal,_xlfn.XLOOKUP($A86,CSV!$A:$A,CSV!C:C,""),
_xlpm.MacVal,_xlfn.XLOOKUP($A86,Output_Mac!$A:$A,Output_Mac!D:D,""),
_xlpm.MyAuditVal,_xlfn.XLOOKUP($A86,My_Audit!$A:$A,My_Audit!C:C,""),
_xlfn.IFS(_xlpm.MyAuditVal&lt;&gt;"",UPPER(_xlpm.MyAuditVal),_xlpm.MacVal&lt;&gt;"",_xlpm.MacVal,_xlpm.CSVVal&lt;&gt;"",_xlpm.CSVVal
)),"")</f>
        <v/>
      </c>
      <c r="E86" s="46" t="str" cm="1">
        <f t="array" ref="E86">IFERROR(_xlfn.LET(
_xlpm.CSVVal,_xlfn.XLOOKUP($A86,CSV!$A:$A,CSV!E:E,""),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_xlpm.CSVVal,_xlfn.XLOOKUP($A86,CSV!$A:$A,CSV!G:G,""),
_xlpm.MacVal,_xlfn.XLOOKUP($A86,Output_Mac!$A:$A,Output_Mac!G:G,""),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_xlfn.XLOOKUP(A86,Output_Mac!A:A,Output_Mac!H:H,"")</f>
        <v/>
      </c>
      <c r="I86" s="45" t="str" cm="1">
        <f t="array" ref="I86">IFERROR(_xlfn.LET(
_xlpm.CSVVal,_xlfn.XLOOKUP($A86,CSV!$A:$A,CSV!H:H,""),
_xlpm.MacVal,_xlfn.XLOOKUP($A86,Output_Mac!$A:$A,Output_Mac!I:I,""),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_xlpm.CSVVal,_xlfn.XLOOKUP($A86,CSV!$A:$A,CSV!J:J,""),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6" t="str" cm="1">
        <f t="array" ref="K86">IFERROR(_xlfn.LET(
_xlpm.CSVVal,_xlfn.XLOOKUP($A86,CSV!$A:$A,CSV!N:N,""),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_xlpm.CSVVal,_xlfn.XLOOKUP($A86,CSV!$A:$A,CSV!Q:Q,""),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CSV!AE:AE,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_xlpm.CSVVal,_xlfn.XLOOKUP($A86,CSV!$A:$A,CSV!AG:AG,""),
_xlpm.MacVal,_xlfn.XLOOKUP($A86,Output_Mac!$A:$A,Output_Mac!T:T,""),
_xlpm.MyAuditVal,_xlfn.XLOOKUP($A86,My_Audit!$A:$A,My_Audit!O:O,""),
_xlfn.IFS(_xlpm.MyAuditVal&lt;&gt;"",UPPER(_xlpm.MyAuditVal),_xlpm.MacVal&lt;&gt;"",_xlpm.MacVal,_xlpm.CSVVal&lt;&gt;"",_xlpm.CSVVal
)),"")</f>
        <v/>
      </c>
      <c r="O86" s="46" t="str">
        <f>_xlfn.XLOOKUP(C86,My_Audit!B:B,My_Audit!P:P,"")&amp;""</f>
        <v/>
      </c>
      <c r="P86" s="45"/>
      <c r="Q86" s="46" t="str">
        <f>IF(LEFT(N86,4)="Pass","Nist SP 800-88",My_Audit!R86)&amp;""</f>
        <v/>
      </c>
      <c r="R86" s="45"/>
      <c r="S86" s="45"/>
      <c r="T86" s="46" t="str">
        <f>_xlfn.XLOOKUP(E86,Models!I:I,Models!J:J,"")</f>
        <v/>
      </c>
      <c r="U86" s="45"/>
      <c r="V86" s="45"/>
      <c r="W86" s="38" t="str">
        <f>_xlfn.LET(
    _xlpm.MacVal, _xlfn.XLOOKUP($A86, Output_Mac!$A:$A, Output_Mac!AA:AA, ""),
    _xlpm.MyAuditVal, _xlfn.XLOOKUP($A86, My_Audit!$A:$A, My_Audit!L:L, ""),
    _xlfn.TEXTJOIN(", ", TRUE, _xlpm.MyAuditVal, _xlpm.MacVal)
)</f>
        <v/>
      </c>
    </row>
    <row r="87" spans="1:23">
      <c r="A87" s="45" t="str">
        <f>_xlfn.TEXTJOIN("",TRUE,Input!$B$2,ROW(My_Audit!A86))</f>
        <v>CC86</v>
      </c>
      <c r="B87" s="45" t="str">
        <f>_xlfn.TEXTJOIN("-",TRUE,"ITD",Input!$A$2,A87)</f>
        <v>ITD-XXX-CC86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_xlpm.CSVVal,_xlfn.XLOOKUP($A87,CSV!$A:$A,CSV!C:C,""),
_xlpm.MacVal,_xlfn.XLOOKUP($A87,Output_Mac!$A:$A,Output_Mac!D:D,""),
_xlpm.MyAuditVal,_xlfn.XLOOKUP($A87,My_Audit!$A:$A,My_Audit!C:C,""),
_xlfn.IFS(_xlpm.MyAuditVal&lt;&gt;"",UPPER(_xlpm.MyAuditVal),_xlpm.MacVal&lt;&gt;"",_xlpm.MacVal,_xlpm.CSVVal&lt;&gt;"",_xlpm.CSVVal
)),"")</f>
        <v/>
      </c>
      <c r="E87" s="46" t="str" cm="1">
        <f t="array" ref="E87">IFERROR(_xlfn.LET(
_xlpm.CSVVal,_xlfn.XLOOKUP($A87,CSV!$A:$A,CSV!E:E,""),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_xlpm.CSVVal,_xlfn.XLOOKUP($A87,CSV!$A:$A,CSV!G:G,""),
_xlpm.MacVal,_xlfn.XLOOKUP($A87,Output_Mac!$A:$A,Output_Mac!G:G,""),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_xlfn.XLOOKUP(A87,Output_Mac!A:A,Output_Mac!H:H,"")</f>
        <v/>
      </c>
      <c r="I87" s="45" t="str" cm="1">
        <f t="array" ref="I87">IFERROR(_xlfn.LET(
_xlpm.CSVVal,_xlfn.XLOOKUP($A87,CSV!$A:$A,CSV!H:H,""),
_xlpm.MacVal,_xlfn.XLOOKUP($A87,Output_Mac!$A:$A,Output_Mac!I:I,""),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_xlpm.CSVVal,_xlfn.XLOOKUP($A87,CSV!$A:$A,CSV!J:J,""),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6" t="str" cm="1">
        <f t="array" ref="K87">IFERROR(_xlfn.LET(
_xlpm.CSVVal,_xlfn.XLOOKUP($A87,CSV!$A:$A,CSV!N:N,""),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_xlpm.CSVVal,_xlfn.XLOOKUP($A87,CSV!$A:$A,CSV!Q:Q,""),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CSV!AE:AE,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_xlpm.CSVVal,_xlfn.XLOOKUP($A87,CSV!$A:$A,CSV!AG:AG,""),
_xlpm.MacVal,_xlfn.XLOOKUP($A87,Output_Mac!$A:$A,Output_Mac!T:T,""),
_xlpm.MyAuditVal,_xlfn.XLOOKUP($A87,My_Audit!$A:$A,My_Audit!O:O,""),
_xlfn.IFS(_xlpm.MyAuditVal&lt;&gt;"",UPPER(_xlpm.MyAuditVal),_xlpm.MacVal&lt;&gt;"",_xlpm.MacVal,_xlpm.CSVVal&lt;&gt;"",_xlpm.CSVVal
)),"")</f>
        <v/>
      </c>
      <c r="O87" s="46" t="str">
        <f>_xlfn.XLOOKUP(C87,My_Audit!B:B,My_Audit!P:P,"")&amp;""</f>
        <v/>
      </c>
      <c r="P87" s="45"/>
      <c r="Q87" s="46" t="str">
        <f>IF(LEFT(N87,4)="Pass","Nist SP 800-88",My_Audit!R87)&amp;""</f>
        <v/>
      </c>
      <c r="R87" s="45"/>
      <c r="S87" s="45"/>
      <c r="T87" s="46" t="str">
        <f>_xlfn.XLOOKUP(E87,Models!I:I,Models!J:J,"")</f>
        <v/>
      </c>
      <c r="U87" s="45"/>
      <c r="V87" s="45"/>
      <c r="W87" s="38" t="str">
        <f>_xlfn.LET(
    _xlpm.MacVal, _xlfn.XLOOKUP($A87, Output_Mac!$A:$A, Output_Mac!AA:AA, ""),
    _xlpm.MyAuditVal, _xlfn.XLOOKUP($A87, My_Audit!$A:$A, My_Audit!L:L, ""),
    _xlfn.TEXTJOIN(", ", TRUE, _xlpm.MyAuditVal, _xlpm.MacVal)
)</f>
        <v/>
      </c>
    </row>
    <row r="88" spans="1:23">
      <c r="A88" s="45" t="str">
        <f>_xlfn.TEXTJOIN("",TRUE,Input!$B$2,ROW(My_Audit!A87))</f>
        <v>CC87</v>
      </c>
      <c r="B88" s="45" t="str">
        <f>_xlfn.TEXTJOIN("-",TRUE,"ITD",Input!$A$2,A88)</f>
        <v>ITD-XXX-CC87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_xlpm.CSVVal,_xlfn.XLOOKUP($A88,CSV!$A:$A,CSV!C:C,""),
_xlpm.MacVal,_xlfn.XLOOKUP($A88,Output_Mac!$A:$A,Output_Mac!D:D,""),
_xlpm.MyAuditVal,_xlfn.XLOOKUP($A88,My_Audit!$A:$A,My_Audit!C:C,""),
_xlfn.IFS(_xlpm.MyAuditVal&lt;&gt;"",UPPER(_xlpm.MyAuditVal),_xlpm.MacVal&lt;&gt;"",_xlpm.MacVal,_xlpm.CSVVal&lt;&gt;"",_xlpm.CSVVal
)),"")</f>
        <v/>
      </c>
      <c r="E88" s="46" t="str" cm="1">
        <f t="array" ref="E88">IFERROR(_xlfn.LET(
_xlpm.CSVVal,_xlfn.XLOOKUP($A88,CSV!$A:$A,CSV!E:E,""),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_xlpm.CSVVal,_xlfn.XLOOKUP($A88,CSV!$A:$A,CSV!G:G,""),
_xlpm.MacVal,_xlfn.XLOOKUP($A88,Output_Mac!$A:$A,Output_Mac!G:G,""),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_xlfn.XLOOKUP(A88,Output_Mac!A:A,Output_Mac!H:H,"")</f>
        <v/>
      </c>
      <c r="I88" s="45" t="str" cm="1">
        <f t="array" ref="I88">IFERROR(_xlfn.LET(
_xlpm.CSVVal,_xlfn.XLOOKUP($A88,CSV!$A:$A,CSV!H:H,""),
_xlpm.MacVal,_xlfn.XLOOKUP($A88,Output_Mac!$A:$A,Output_Mac!I:I,""),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_xlpm.CSVVal,_xlfn.XLOOKUP($A88,CSV!$A:$A,CSV!J:J,""),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6" t="str" cm="1">
        <f t="array" ref="K88">IFERROR(_xlfn.LET(
_xlpm.CSVVal,_xlfn.XLOOKUP($A88,CSV!$A:$A,CSV!N:N,""),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_xlpm.CSVVal,_xlfn.XLOOKUP($A88,CSV!$A:$A,CSV!Q:Q,""),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CSV!AE:AE,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_xlpm.CSVVal,_xlfn.XLOOKUP($A88,CSV!$A:$A,CSV!AG:AG,""),
_xlpm.MacVal,_xlfn.XLOOKUP($A88,Output_Mac!$A:$A,Output_Mac!T:T,""),
_xlpm.MyAuditVal,_xlfn.XLOOKUP($A88,My_Audit!$A:$A,My_Audit!O:O,""),
_xlfn.IFS(_xlpm.MyAuditVal&lt;&gt;"",UPPER(_xlpm.MyAuditVal),_xlpm.MacVal&lt;&gt;"",_xlpm.MacVal,_xlpm.CSVVal&lt;&gt;"",_xlpm.CSVVal
)),"")</f>
        <v/>
      </c>
      <c r="O88" s="46" t="str">
        <f>_xlfn.XLOOKUP(C88,My_Audit!B:B,My_Audit!P:P,"")&amp;""</f>
        <v/>
      </c>
      <c r="P88" s="45"/>
      <c r="Q88" s="46" t="str">
        <f>IF(LEFT(N88,4)="Pass","Nist SP 800-88",My_Audit!R88)&amp;""</f>
        <v/>
      </c>
      <c r="R88" s="45"/>
      <c r="S88" s="45"/>
      <c r="T88" s="46" t="str">
        <f>_xlfn.XLOOKUP(E88,Models!I:I,Models!J:J,"")</f>
        <v/>
      </c>
      <c r="U88" s="45"/>
      <c r="V88" s="45"/>
      <c r="W88" s="38" t="str">
        <f>_xlfn.LET(
    _xlpm.MacVal, _xlfn.XLOOKUP($A88, Output_Mac!$A:$A, Output_Mac!AA:AA, ""),
    _xlpm.MyAuditVal, _xlfn.XLOOKUP($A88, My_Audit!$A:$A, My_Audit!L:L, ""),
    _xlfn.TEXTJOIN(", ", TRUE, _xlpm.MyAuditVal, _xlpm.MacVal)
)</f>
        <v/>
      </c>
    </row>
    <row r="89" spans="1:23">
      <c r="A89" s="45" t="str">
        <f>_xlfn.TEXTJOIN("",TRUE,Input!$B$2,ROW(My_Audit!A88))</f>
        <v>CC88</v>
      </c>
      <c r="B89" s="45" t="str">
        <f>_xlfn.TEXTJOIN("-",TRUE,"ITD",Input!$A$2,A89)</f>
        <v>ITD-XXX-CC88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_xlpm.CSVVal,_xlfn.XLOOKUP($A89,CSV!$A:$A,CSV!C:C,""),
_xlpm.MacVal,_xlfn.XLOOKUP($A89,Output_Mac!$A:$A,Output_Mac!D:D,""),
_xlpm.MyAuditVal,_xlfn.XLOOKUP($A89,My_Audit!$A:$A,My_Audit!C:C,""),
_xlfn.IFS(_xlpm.MyAuditVal&lt;&gt;"",UPPER(_xlpm.MyAuditVal),_xlpm.MacVal&lt;&gt;"",_xlpm.MacVal,_xlpm.CSVVal&lt;&gt;"",_xlpm.CSVVal
)),"")</f>
        <v/>
      </c>
      <c r="E89" s="46" t="str" cm="1">
        <f t="array" ref="E89">IFERROR(_xlfn.LET(
_xlpm.CSVVal,_xlfn.XLOOKUP($A89,CSV!$A:$A,CSV!E:E,""),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_xlpm.CSVVal,_xlfn.XLOOKUP($A89,CSV!$A:$A,CSV!G:G,""),
_xlpm.MacVal,_xlfn.XLOOKUP($A89,Output_Mac!$A:$A,Output_Mac!G:G,""),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_xlfn.XLOOKUP(A89,Output_Mac!A:A,Output_Mac!H:H,"")</f>
        <v/>
      </c>
      <c r="I89" s="45" t="str" cm="1">
        <f t="array" ref="I89">IFERROR(_xlfn.LET(
_xlpm.CSVVal,_xlfn.XLOOKUP($A89,CSV!$A:$A,CSV!H:H,""),
_xlpm.MacVal,_xlfn.XLOOKUP($A89,Output_Mac!$A:$A,Output_Mac!I:I,""),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_xlpm.CSVVal,_xlfn.XLOOKUP($A89,CSV!$A:$A,CSV!J:J,""),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6" t="str" cm="1">
        <f t="array" ref="K89">IFERROR(_xlfn.LET(
_xlpm.CSVVal,_xlfn.XLOOKUP($A89,CSV!$A:$A,CSV!N:N,""),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_xlpm.CSVVal,_xlfn.XLOOKUP($A89,CSV!$A:$A,CSV!Q:Q,""),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CSV!AE:AE,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_xlpm.CSVVal,_xlfn.XLOOKUP($A89,CSV!$A:$A,CSV!AG:AG,""),
_xlpm.MacVal,_xlfn.XLOOKUP($A89,Output_Mac!$A:$A,Output_Mac!T:T,""),
_xlpm.MyAuditVal,_xlfn.XLOOKUP($A89,My_Audit!$A:$A,My_Audit!O:O,""),
_xlfn.IFS(_xlpm.MyAuditVal&lt;&gt;"",UPPER(_xlpm.MyAuditVal),_xlpm.MacVal&lt;&gt;"",_xlpm.MacVal,_xlpm.CSVVal&lt;&gt;"",_xlpm.CSVVal
)),"")</f>
        <v/>
      </c>
      <c r="O89" s="46" t="str">
        <f>_xlfn.XLOOKUP(C89,My_Audit!B:B,My_Audit!P:P,"")&amp;""</f>
        <v/>
      </c>
      <c r="P89" s="45"/>
      <c r="Q89" s="46" t="str">
        <f>IF(LEFT(N89,4)="Pass","Nist SP 800-88",My_Audit!R89)&amp;""</f>
        <v/>
      </c>
      <c r="R89" s="45"/>
      <c r="S89" s="45"/>
      <c r="T89" s="46" t="str">
        <f>_xlfn.XLOOKUP(E89,Models!I:I,Models!J:J,"")</f>
        <v/>
      </c>
      <c r="U89" s="45"/>
      <c r="V89" s="45"/>
      <c r="W89" s="38" t="str">
        <f>_xlfn.LET(
    _xlpm.MacVal, _xlfn.XLOOKUP($A89, Output_Mac!$A:$A, Output_Mac!AA:AA, ""),
    _xlpm.MyAuditVal, _xlfn.XLOOKUP($A89, My_Audit!$A:$A, My_Audit!L:L, ""),
    _xlfn.TEXTJOIN(", ", TRUE, _xlpm.MyAuditVal, _xlpm.MacVal)
)</f>
        <v/>
      </c>
    </row>
    <row r="90" spans="1:23">
      <c r="A90" s="45" t="str">
        <f>_xlfn.TEXTJOIN("",TRUE,Input!$B$2,ROW(My_Audit!A89))</f>
        <v>CC89</v>
      </c>
      <c r="B90" s="45" t="str">
        <f>_xlfn.TEXTJOIN("-",TRUE,"ITD",Input!$A$2,A90)</f>
        <v>ITD-XXX-CC89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_xlpm.CSVVal,_xlfn.XLOOKUP($A90,CSV!$A:$A,CSV!C:C,""),
_xlpm.MacVal,_xlfn.XLOOKUP($A90,Output_Mac!$A:$A,Output_Mac!D:D,""),
_xlpm.MyAuditVal,_xlfn.XLOOKUP($A90,My_Audit!$A:$A,My_Audit!C:C,""),
_xlfn.IFS(_xlpm.MyAuditVal&lt;&gt;"",UPPER(_xlpm.MyAuditVal),_xlpm.MacVal&lt;&gt;"",_xlpm.MacVal,_xlpm.CSVVal&lt;&gt;"",_xlpm.CSVVal
)),"")</f>
        <v/>
      </c>
      <c r="E90" s="46" t="str" cm="1">
        <f t="array" ref="E90">IFERROR(_xlfn.LET(
_xlpm.CSVVal,_xlfn.XLOOKUP($A90,CSV!$A:$A,CSV!E:E,""),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_xlpm.CSVVal,_xlfn.XLOOKUP($A90,CSV!$A:$A,CSV!G:G,""),
_xlpm.MacVal,_xlfn.XLOOKUP($A90,Output_Mac!$A:$A,Output_Mac!G:G,""),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_xlfn.XLOOKUP(A90,Output_Mac!A:A,Output_Mac!H:H,"")</f>
        <v/>
      </c>
      <c r="I90" s="45" t="str" cm="1">
        <f t="array" ref="I90">IFERROR(_xlfn.LET(
_xlpm.CSVVal,_xlfn.XLOOKUP($A90,CSV!$A:$A,CSV!H:H,""),
_xlpm.MacVal,_xlfn.XLOOKUP($A90,Output_Mac!$A:$A,Output_Mac!I:I,""),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_xlpm.CSVVal,_xlfn.XLOOKUP($A90,CSV!$A:$A,CSV!J:J,""),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6" t="str" cm="1">
        <f t="array" ref="K90">IFERROR(_xlfn.LET(
_xlpm.CSVVal,_xlfn.XLOOKUP($A90,CSV!$A:$A,CSV!N:N,""),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_xlpm.CSVVal,_xlfn.XLOOKUP($A90,CSV!$A:$A,CSV!Q:Q,""),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CSV!AE:AE,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_xlpm.CSVVal,_xlfn.XLOOKUP($A90,CSV!$A:$A,CSV!AG:AG,""),
_xlpm.MacVal,_xlfn.XLOOKUP($A90,Output_Mac!$A:$A,Output_Mac!T:T,""),
_xlpm.MyAuditVal,_xlfn.XLOOKUP($A90,My_Audit!$A:$A,My_Audit!O:O,""),
_xlfn.IFS(_xlpm.MyAuditVal&lt;&gt;"",UPPER(_xlpm.MyAuditVal),_xlpm.MacVal&lt;&gt;"",_xlpm.MacVal,_xlpm.CSVVal&lt;&gt;"",_xlpm.CSVVal
)),"")</f>
        <v/>
      </c>
      <c r="O90" s="46" t="str">
        <f>_xlfn.XLOOKUP(C90,My_Audit!B:B,My_Audit!P:P,"")&amp;""</f>
        <v/>
      </c>
      <c r="P90" s="45"/>
      <c r="Q90" s="46" t="str">
        <f>IF(LEFT(N90,4)="Pass","Nist SP 800-88",My_Audit!R90)&amp;""</f>
        <v/>
      </c>
      <c r="R90" s="45"/>
      <c r="S90" s="45"/>
      <c r="T90" s="46" t="str">
        <f>_xlfn.XLOOKUP(E90,Models!I:I,Models!J:J,"")</f>
        <v/>
      </c>
      <c r="U90" s="45"/>
      <c r="V90" s="45"/>
      <c r="W90" s="38" t="str">
        <f>_xlfn.LET(
    _xlpm.MacVal, _xlfn.XLOOKUP($A90, Output_Mac!$A:$A, Output_Mac!AA:AA, ""),
    _xlpm.MyAuditVal, _xlfn.XLOOKUP($A90, My_Audit!$A:$A, My_Audit!L:L, ""),
    _xlfn.TEXTJOIN(", ", TRUE, _xlpm.MyAuditVal, _xlpm.MacVal)
)</f>
        <v/>
      </c>
    </row>
    <row r="91" spans="1:23">
      <c r="A91" s="45" t="str">
        <f>_xlfn.TEXTJOIN("",TRUE,Input!$B$2,ROW(My_Audit!A90))</f>
        <v>CC90</v>
      </c>
      <c r="B91" s="45" t="str">
        <f>_xlfn.TEXTJOIN("-",TRUE,"ITD",Input!$A$2,A91)</f>
        <v>ITD-XXX-CC90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_xlpm.CSVVal,_xlfn.XLOOKUP($A91,CSV!$A:$A,CSV!C:C,""),
_xlpm.MacVal,_xlfn.XLOOKUP($A91,Output_Mac!$A:$A,Output_Mac!D:D,""),
_xlpm.MyAuditVal,_xlfn.XLOOKUP($A91,My_Audit!$A:$A,My_Audit!C:C,""),
_xlfn.IFS(_xlpm.MyAuditVal&lt;&gt;"",UPPER(_xlpm.MyAuditVal),_xlpm.MacVal&lt;&gt;"",_xlpm.MacVal,_xlpm.CSVVal&lt;&gt;"",_xlpm.CSVVal
)),"")</f>
        <v/>
      </c>
      <c r="E91" s="46" t="str" cm="1">
        <f t="array" ref="E91">IFERROR(_xlfn.LET(
_xlpm.CSVVal,_xlfn.XLOOKUP($A91,CSV!$A:$A,CSV!E:E,""),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_xlpm.CSVVal,_xlfn.XLOOKUP($A91,CSV!$A:$A,CSV!G:G,""),
_xlpm.MacVal,_xlfn.XLOOKUP($A91,Output_Mac!$A:$A,Output_Mac!G:G,""),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_xlfn.XLOOKUP(A91,Output_Mac!A:A,Output_Mac!H:H,"")</f>
        <v/>
      </c>
      <c r="I91" s="45" t="str" cm="1">
        <f t="array" ref="I91">IFERROR(_xlfn.LET(
_xlpm.CSVVal,_xlfn.XLOOKUP($A91,CSV!$A:$A,CSV!H:H,""),
_xlpm.MacVal,_xlfn.XLOOKUP($A91,Output_Mac!$A:$A,Output_Mac!I:I,""),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_xlpm.CSVVal,_xlfn.XLOOKUP($A91,CSV!$A:$A,CSV!J:J,""),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6" t="str" cm="1">
        <f t="array" ref="K91">IFERROR(_xlfn.LET(
_xlpm.CSVVal,_xlfn.XLOOKUP($A91,CSV!$A:$A,CSV!N:N,""),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_xlpm.CSVVal,_xlfn.XLOOKUP($A91,CSV!$A:$A,CSV!Q:Q,""),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CSV!AE:AE,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_xlpm.CSVVal,_xlfn.XLOOKUP($A91,CSV!$A:$A,CSV!AG:AG,""),
_xlpm.MacVal,_xlfn.XLOOKUP($A91,Output_Mac!$A:$A,Output_Mac!T:T,""),
_xlpm.MyAuditVal,_xlfn.XLOOKUP($A91,My_Audit!$A:$A,My_Audit!O:O,""),
_xlfn.IFS(_xlpm.MyAuditVal&lt;&gt;"",UPPER(_xlpm.MyAuditVal),_xlpm.MacVal&lt;&gt;"",_xlpm.MacVal,_xlpm.CSVVal&lt;&gt;"",_xlpm.CSVVal
)),"")</f>
        <v/>
      </c>
      <c r="O91" s="46" t="str">
        <f>_xlfn.XLOOKUP(C91,My_Audit!B:B,My_Audit!P:P,"")&amp;""</f>
        <v/>
      </c>
      <c r="P91" s="45"/>
      <c r="Q91" s="46" t="str">
        <f>IF(LEFT(N91,4)="Pass","Nist SP 800-88",My_Audit!R91)&amp;""</f>
        <v/>
      </c>
      <c r="R91" s="45"/>
      <c r="S91" s="45"/>
      <c r="T91" s="46" t="str">
        <f>_xlfn.XLOOKUP(E91,Models!I:I,Models!J:J,"")</f>
        <v/>
      </c>
      <c r="U91" s="45"/>
      <c r="V91" s="45"/>
      <c r="W91" s="38" t="str">
        <f>_xlfn.LET(
    _xlpm.MacVal, _xlfn.XLOOKUP($A91, Output_Mac!$A:$A, Output_Mac!AA:AA, ""),
    _xlpm.MyAuditVal, _xlfn.XLOOKUP($A91, My_Audit!$A:$A, My_Audit!L:L, ""),
    _xlfn.TEXTJOIN(", ", TRUE, _xlpm.MyAuditVal, _xlpm.MacVal)
)</f>
        <v/>
      </c>
    </row>
    <row r="92" spans="1:23">
      <c r="A92" s="45" t="str">
        <f>_xlfn.TEXTJOIN("",TRUE,Input!$B$2,ROW(My_Audit!A91))</f>
        <v>CC91</v>
      </c>
      <c r="B92" s="45" t="str">
        <f>_xlfn.TEXTJOIN("-",TRUE,"ITD",Input!$A$2,A92)</f>
        <v>ITD-XXX-CC91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_xlpm.CSVVal,_xlfn.XLOOKUP($A92,CSV!$A:$A,CSV!C:C,""),
_xlpm.MacVal,_xlfn.XLOOKUP($A92,Output_Mac!$A:$A,Output_Mac!D:D,""),
_xlpm.MyAuditVal,_xlfn.XLOOKUP($A92,My_Audit!$A:$A,My_Audit!C:C,""),
_xlfn.IFS(_xlpm.MyAuditVal&lt;&gt;"",UPPER(_xlpm.MyAuditVal),_xlpm.MacVal&lt;&gt;"",_xlpm.MacVal,_xlpm.CSVVal&lt;&gt;"",_xlpm.CSVVal
)),"")</f>
        <v/>
      </c>
      <c r="E92" s="46" t="str" cm="1">
        <f t="array" ref="E92">IFERROR(_xlfn.LET(
_xlpm.CSVVal,_xlfn.XLOOKUP($A92,CSV!$A:$A,CSV!E:E,""),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_xlpm.CSVVal,_xlfn.XLOOKUP($A92,CSV!$A:$A,CSV!G:G,""),
_xlpm.MacVal,_xlfn.XLOOKUP($A92,Output_Mac!$A:$A,Output_Mac!G:G,""),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_xlfn.XLOOKUP(A92,Output_Mac!A:A,Output_Mac!H:H,"")</f>
        <v/>
      </c>
      <c r="I92" s="45" t="str" cm="1">
        <f t="array" ref="I92">IFERROR(_xlfn.LET(
_xlpm.CSVVal,_xlfn.XLOOKUP($A92,CSV!$A:$A,CSV!H:H,""),
_xlpm.MacVal,_xlfn.XLOOKUP($A92,Output_Mac!$A:$A,Output_Mac!I:I,""),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_xlpm.CSVVal,_xlfn.XLOOKUP($A92,CSV!$A:$A,CSV!J:J,""),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6" t="str" cm="1">
        <f t="array" ref="K92">IFERROR(_xlfn.LET(
_xlpm.CSVVal,_xlfn.XLOOKUP($A92,CSV!$A:$A,CSV!N:N,""),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_xlpm.CSVVal,_xlfn.XLOOKUP($A92,CSV!$A:$A,CSV!Q:Q,""),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CSV!AE:AE,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_xlpm.CSVVal,_xlfn.XLOOKUP($A92,CSV!$A:$A,CSV!AG:AG,""),
_xlpm.MacVal,_xlfn.XLOOKUP($A92,Output_Mac!$A:$A,Output_Mac!T:T,""),
_xlpm.MyAuditVal,_xlfn.XLOOKUP($A92,My_Audit!$A:$A,My_Audit!O:O,""),
_xlfn.IFS(_xlpm.MyAuditVal&lt;&gt;"",UPPER(_xlpm.MyAuditVal),_xlpm.MacVal&lt;&gt;"",_xlpm.MacVal,_xlpm.CSVVal&lt;&gt;"",_xlpm.CSVVal
)),"")</f>
        <v/>
      </c>
      <c r="O92" s="46" t="str">
        <f>_xlfn.XLOOKUP(C92,My_Audit!B:B,My_Audit!P:P,"")&amp;""</f>
        <v/>
      </c>
      <c r="P92" s="45"/>
      <c r="Q92" s="46" t="str">
        <f>IF(LEFT(N92,4)="Pass","Nist SP 800-88",My_Audit!R92)&amp;""</f>
        <v/>
      </c>
      <c r="R92" s="45"/>
      <c r="S92" s="45"/>
      <c r="T92" s="46" t="str">
        <f>_xlfn.XLOOKUP(E92,Models!I:I,Models!J:J,"")</f>
        <v/>
      </c>
      <c r="U92" s="45"/>
      <c r="V92" s="45"/>
      <c r="W92" s="38" t="str">
        <f>_xlfn.LET(
    _xlpm.MacVal, _xlfn.XLOOKUP($A92, Output_Mac!$A:$A, Output_Mac!AA:AA, ""),
    _xlpm.MyAuditVal, _xlfn.XLOOKUP($A92, My_Audit!$A:$A, My_Audit!L:L, ""),
    _xlfn.TEXTJOIN(", ", TRUE, _xlpm.MyAuditVal, _xlpm.MacVal)
)</f>
        <v/>
      </c>
    </row>
    <row r="93" spans="1:23">
      <c r="A93" s="45" t="str">
        <f>_xlfn.TEXTJOIN("",TRUE,Input!$B$2,ROW(My_Audit!A92))</f>
        <v>CC92</v>
      </c>
      <c r="B93" s="45" t="str">
        <f>_xlfn.TEXTJOIN("-",TRUE,"ITD",Input!$A$2,A93)</f>
        <v>ITD-XXX-CC92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_xlpm.CSVVal,_xlfn.XLOOKUP($A93,CSV!$A:$A,CSV!C:C,""),
_xlpm.MacVal,_xlfn.XLOOKUP($A93,Output_Mac!$A:$A,Output_Mac!D:D,""),
_xlpm.MyAuditVal,_xlfn.XLOOKUP($A93,My_Audit!$A:$A,My_Audit!C:C,""),
_xlfn.IFS(_xlpm.MyAuditVal&lt;&gt;"",UPPER(_xlpm.MyAuditVal),_xlpm.MacVal&lt;&gt;"",_xlpm.MacVal,_xlpm.CSVVal&lt;&gt;"",_xlpm.CSVVal
)),"")</f>
        <v/>
      </c>
      <c r="E93" s="46" t="str" cm="1">
        <f t="array" ref="E93">IFERROR(_xlfn.LET(
_xlpm.CSVVal,_xlfn.XLOOKUP($A93,CSV!$A:$A,CSV!E:E,""),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_xlpm.CSVVal,_xlfn.XLOOKUP($A93,CSV!$A:$A,CSV!G:G,""),
_xlpm.MacVal,_xlfn.XLOOKUP($A93,Output_Mac!$A:$A,Output_Mac!G:G,""),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_xlfn.XLOOKUP(A93,Output_Mac!A:A,Output_Mac!H:H,"")</f>
        <v/>
      </c>
      <c r="I93" s="45" t="str" cm="1">
        <f t="array" ref="I93">IFERROR(_xlfn.LET(
_xlpm.CSVVal,_xlfn.XLOOKUP($A93,CSV!$A:$A,CSV!H:H,""),
_xlpm.MacVal,_xlfn.XLOOKUP($A93,Output_Mac!$A:$A,Output_Mac!I:I,""),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_xlpm.CSVVal,_xlfn.XLOOKUP($A93,CSV!$A:$A,CSV!J:J,""),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6" t="str" cm="1">
        <f t="array" ref="K93">IFERROR(_xlfn.LET(
_xlpm.CSVVal,_xlfn.XLOOKUP($A93,CSV!$A:$A,CSV!N:N,""),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_xlpm.CSVVal,_xlfn.XLOOKUP($A93,CSV!$A:$A,CSV!Q:Q,""),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CSV!AE:AE,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_xlpm.CSVVal,_xlfn.XLOOKUP($A93,CSV!$A:$A,CSV!AG:AG,""),
_xlpm.MacVal,_xlfn.XLOOKUP($A93,Output_Mac!$A:$A,Output_Mac!T:T,""),
_xlpm.MyAuditVal,_xlfn.XLOOKUP($A93,My_Audit!$A:$A,My_Audit!O:O,""),
_xlfn.IFS(_xlpm.MyAuditVal&lt;&gt;"",UPPER(_xlpm.MyAuditVal),_xlpm.MacVal&lt;&gt;"",_xlpm.MacVal,_xlpm.CSVVal&lt;&gt;"",_xlpm.CSVVal
)),"")</f>
        <v/>
      </c>
      <c r="O93" s="46" t="str">
        <f>_xlfn.XLOOKUP(C93,My_Audit!B:B,My_Audit!P:P,"")&amp;""</f>
        <v/>
      </c>
      <c r="P93" s="45"/>
      <c r="Q93" s="46" t="str">
        <f>IF(LEFT(N93,4)="Pass","Nist SP 800-88",My_Audit!R93)&amp;""</f>
        <v/>
      </c>
      <c r="R93" s="45"/>
      <c r="S93" s="45"/>
      <c r="T93" s="46" t="str">
        <f>_xlfn.XLOOKUP(E93,Models!I:I,Models!J:J,"")</f>
        <v/>
      </c>
      <c r="U93" s="45"/>
      <c r="V93" s="45"/>
      <c r="W93" s="38" t="str">
        <f>_xlfn.LET(
    _xlpm.MacVal, _xlfn.XLOOKUP($A93, Output_Mac!$A:$A, Output_Mac!AA:AA, ""),
    _xlpm.MyAuditVal, _xlfn.XLOOKUP($A93, My_Audit!$A:$A, My_Audit!L:L, ""),
    _xlfn.TEXTJOIN(", ", TRUE, _xlpm.MyAuditVal, _xlpm.MacVal)
)</f>
        <v/>
      </c>
    </row>
    <row r="94" spans="1:23">
      <c r="A94" s="45" t="str">
        <f>_xlfn.TEXTJOIN("",TRUE,Input!$B$2,ROW(My_Audit!A93))</f>
        <v>CC93</v>
      </c>
      <c r="B94" s="45" t="str">
        <f>_xlfn.TEXTJOIN("-",TRUE,"ITD",Input!$A$2,A94)</f>
        <v>ITD-XXX-CC93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_xlpm.CSVVal,_xlfn.XLOOKUP($A94,CSV!$A:$A,CSV!C:C,""),
_xlpm.MacVal,_xlfn.XLOOKUP($A94,Output_Mac!$A:$A,Output_Mac!D:D,""),
_xlpm.MyAuditVal,_xlfn.XLOOKUP($A94,My_Audit!$A:$A,My_Audit!C:C,""),
_xlfn.IFS(_xlpm.MyAuditVal&lt;&gt;"",UPPER(_xlpm.MyAuditVal),_xlpm.MacVal&lt;&gt;"",_xlpm.MacVal,_xlpm.CSVVal&lt;&gt;"",_xlpm.CSVVal
)),"")</f>
        <v/>
      </c>
      <c r="E94" s="46" t="str" cm="1">
        <f t="array" ref="E94">IFERROR(_xlfn.LET(
_xlpm.CSVVal,_xlfn.XLOOKUP($A94,CSV!$A:$A,CSV!E:E,""),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_xlpm.CSVVal,_xlfn.XLOOKUP($A94,CSV!$A:$A,CSV!G:G,""),
_xlpm.MacVal,_xlfn.XLOOKUP($A94,Output_Mac!$A:$A,Output_Mac!G:G,""),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_xlfn.XLOOKUP(A94,Output_Mac!A:A,Output_Mac!H:H,"")</f>
        <v/>
      </c>
      <c r="I94" s="45" t="str" cm="1">
        <f t="array" ref="I94">IFERROR(_xlfn.LET(
_xlpm.CSVVal,_xlfn.XLOOKUP($A94,CSV!$A:$A,CSV!H:H,""),
_xlpm.MacVal,_xlfn.XLOOKUP($A94,Output_Mac!$A:$A,Output_Mac!I:I,""),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_xlpm.CSVVal,_xlfn.XLOOKUP($A94,CSV!$A:$A,CSV!J:J,""),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6" t="str" cm="1">
        <f t="array" ref="K94">IFERROR(_xlfn.LET(
_xlpm.CSVVal,_xlfn.XLOOKUP($A94,CSV!$A:$A,CSV!N:N,""),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_xlpm.CSVVal,_xlfn.XLOOKUP($A94,CSV!$A:$A,CSV!Q:Q,""),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CSV!AE:AE,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_xlpm.CSVVal,_xlfn.XLOOKUP($A94,CSV!$A:$A,CSV!AG:AG,""),
_xlpm.MacVal,_xlfn.XLOOKUP($A94,Output_Mac!$A:$A,Output_Mac!T:T,""),
_xlpm.MyAuditVal,_xlfn.XLOOKUP($A94,My_Audit!$A:$A,My_Audit!O:O,""),
_xlfn.IFS(_xlpm.MyAuditVal&lt;&gt;"",UPPER(_xlpm.MyAuditVal),_xlpm.MacVal&lt;&gt;"",_xlpm.MacVal,_xlpm.CSVVal&lt;&gt;"",_xlpm.CSVVal
)),"")</f>
        <v/>
      </c>
      <c r="O94" s="46" t="str">
        <f>_xlfn.XLOOKUP(C94,My_Audit!B:B,My_Audit!P:P,"")&amp;""</f>
        <v/>
      </c>
      <c r="P94" s="45"/>
      <c r="Q94" s="46" t="str">
        <f>IF(LEFT(N94,4)="Pass","Nist SP 800-88",My_Audit!R94)&amp;""</f>
        <v/>
      </c>
      <c r="R94" s="45"/>
      <c r="S94" s="45"/>
      <c r="T94" s="46" t="str">
        <f>_xlfn.XLOOKUP(E94,Models!I:I,Models!J:J,"")</f>
        <v/>
      </c>
      <c r="U94" s="45"/>
      <c r="V94" s="45"/>
      <c r="W94" s="38" t="str">
        <f>_xlfn.LET(
    _xlpm.MacVal, _xlfn.XLOOKUP($A94, Output_Mac!$A:$A, Output_Mac!AA:AA, ""),
    _xlpm.MyAuditVal, _xlfn.XLOOKUP($A94, My_Audit!$A:$A, My_Audit!L:L, ""),
    _xlfn.TEXTJOIN(", ", TRUE, _xlpm.MyAuditVal, _xlpm.MacVal)
)</f>
        <v/>
      </c>
    </row>
    <row r="95" spans="1:23">
      <c r="A95" s="45" t="str">
        <f>_xlfn.TEXTJOIN("",TRUE,Input!$B$2,ROW(My_Audit!A94))</f>
        <v>CC94</v>
      </c>
      <c r="B95" s="45" t="str">
        <f>_xlfn.TEXTJOIN("-",TRUE,"ITD",Input!$A$2,A95)</f>
        <v>ITD-XXX-CC94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_xlpm.CSVVal,_xlfn.XLOOKUP($A95,CSV!$A:$A,CSV!C:C,""),
_xlpm.MacVal,_xlfn.XLOOKUP($A95,Output_Mac!$A:$A,Output_Mac!D:D,""),
_xlpm.MyAuditVal,_xlfn.XLOOKUP($A95,My_Audit!$A:$A,My_Audit!C:C,""),
_xlfn.IFS(_xlpm.MyAuditVal&lt;&gt;"",UPPER(_xlpm.MyAuditVal),_xlpm.MacVal&lt;&gt;"",_xlpm.MacVal,_xlpm.CSVVal&lt;&gt;"",_xlpm.CSVVal
)),"")</f>
        <v/>
      </c>
      <c r="E95" s="46" t="str" cm="1">
        <f t="array" ref="E95">IFERROR(_xlfn.LET(
_xlpm.CSVVal,_xlfn.XLOOKUP($A95,CSV!$A:$A,CSV!E:E,""),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_xlpm.CSVVal,_xlfn.XLOOKUP($A95,CSV!$A:$A,CSV!G:G,""),
_xlpm.MacVal,_xlfn.XLOOKUP($A95,Output_Mac!$A:$A,Output_Mac!G:G,""),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_xlfn.XLOOKUP(A95,Output_Mac!A:A,Output_Mac!H:H,"")</f>
        <v/>
      </c>
      <c r="I95" s="45" t="str" cm="1">
        <f t="array" ref="I95">IFERROR(_xlfn.LET(
_xlpm.CSVVal,_xlfn.XLOOKUP($A95,CSV!$A:$A,CSV!H:H,""),
_xlpm.MacVal,_xlfn.XLOOKUP($A95,Output_Mac!$A:$A,Output_Mac!I:I,""),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_xlpm.CSVVal,_xlfn.XLOOKUP($A95,CSV!$A:$A,CSV!J:J,""),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6" t="str" cm="1">
        <f t="array" ref="K95">IFERROR(_xlfn.LET(
_xlpm.CSVVal,_xlfn.XLOOKUP($A95,CSV!$A:$A,CSV!N:N,""),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_xlpm.CSVVal,_xlfn.XLOOKUP($A95,CSV!$A:$A,CSV!Q:Q,""),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CSV!AE:AE,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_xlpm.CSVVal,_xlfn.XLOOKUP($A95,CSV!$A:$A,CSV!AG:AG,""),
_xlpm.MacVal,_xlfn.XLOOKUP($A95,Output_Mac!$A:$A,Output_Mac!T:T,""),
_xlpm.MyAuditVal,_xlfn.XLOOKUP($A95,My_Audit!$A:$A,My_Audit!O:O,""),
_xlfn.IFS(_xlpm.MyAuditVal&lt;&gt;"",UPPER(_xlpm.MyAuditVal),_xlpm.MacVal&lt;&gt;"",_xlpm.MacVal,_xlpm.CSVVal&lt;&gt;"",_xlpm.CSVVal
)),"")</f>
        <v/>
      </c>
      <c r="O95" s="46" t="str">
        <f>_xlfn.XLOOKUP(C95,My_Audit!B:B,My_Audit!P:P,"")&amp;""</f>
        <v/>
      </c>
      <c r="P95" s="45"/>
      <c r="Q95" s="46" t="str">
        <f>IF(LEFT(N95,4)="Pass","Nist SP 800-88",My_Audit!R95)&amp;""</f>
        <v/>
      </c>
      <c r="R95" s="45"/>
      <c r="S95" s="45"/>
      <c r="T95" s="46" t="str">
        <f>_xlfn.XLOOKUP(E95,Models!I:I,Models!J:J,"")</f>
        <v/>
      </c>
      <c r="U95" s="45"/>
      <c r="V95" s="45"/>
      <c r="W95" s="38" t="str">
        <f>_xlfn.LET(
    _xlpm.MacVal, _xlfn.XLOOKUP($A95, Output_Mac!$A:$A, Output_Mac!AA:AA, ""),
    _xlpm.MyAuditVal, _xlfn.XLOOKUP($A95, My_Audit!$A:$A, My_Audit!L:L, ""),
    _xlfn.TEXTJOIN(", ", TRUE, _xlpm.MyAuditVal, _xlpm.MacVal)
)</f>
        <v/>
      </c>
    </row>
    <row r="96" spans="1:23">
      <c r="A96" s="45" t="str">
        <f>_xlfn.TEXTJOIN("",TRUE,Input!$B$2,ROW(My_Audit!A95))</f>
        <v>CC95</v>
      </c>
      <c r="B96" s="45" t="str">
        <f>_xlfn.TEXTJOIN("-",TRUE,"ITD",Input!$A$2,A96)</f>
        <v>ITD-XXX-CC95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_xlpm.CSVVal,_xlfn.XLOOKUP($A96,CSV!$A:$A,CSV!C:C,""),
_xlpm.MacVal,_xlfn.XLOOKUP($A96,Output_Mac!$A:$A,Output_Mac!D:D,""),
_xlpm.MyAuditVal,_xlfn.XLOOKUP($A96,My_Audit!$A:$A,My_Audit!C:C,""),
_xlfn.IFS(_xlpm.MyAuditVal&lt;&gt;"",UPPER(_xlpm.MyAuditVal),_xlpm.MacVal&lt;&gt;"",_xlpm.MacVal,_xlpm.CSVVal&lt;&gt;"",_xlpm.CSVVal
)),"")</f>
        <v/>
      </c>
      <c r="E96" s="46" t="str" cm="1">
        <f t="array" ref="E96">IFERROR(_xlfn.LET(
_xlpm.CSVVal,_xlfn.XLOOKUP($A96,CSV!$A:$A,CSV!E:E,""),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_xlpm.CSVVal,_xlfn.XLOOKUP($A96,CSV!$A:$A,CSV!G:G,""),
_xlpm.MacVal,_xlfn.XLOOKUP($A96,Output_Mac!$A:$A,Output_Mac!G:G,""),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_xlfn.XLOOKUP(A96,Output_Mac!A:A,Output_Mac!H:H,"")</f>
        <v/>
      </c>
      <c r="I96" s="45" t="str" cm="1">
        <f t="array" ref="I96">IFERROR(_xlfn.LET(
_xlpm.CSVVal,_xlfn.XLOOKUP($A96,CSV!$A:$A,CSV!H:H,""),
_xlpm.MacVal,_xlfn.XLOOKUP($A96,Output_Mac!$A:$A,Output_Mac!I:I,""),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_xlpm.CSVVal,_xlfn.XLOOKUP($A96,CSV!$A:$A,CSV!J:J,""),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6" t="str" cm="1">
        <f t="array" ref="K96">IFERROR(_xlfn.LET(
_xlpm.CSVVal,_xlfn.XLOOKUP($A96,CSV!$A:$A,CSV!N:N,""),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_xlpm.CSVVal,_xlfn.XLOOKUP($A96,CSV!$A:$A,CSV!Q:Q,""),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CSV!AE:AE,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_xlpm.CSVVal,_xlfn.XLOOKUP($A96,CSV!$A:$A,CSV!AG:AG,""),
_xlpm.MacVal,_xlfn.XLOOKUP($A96,Output_Mac!$A:$A,Output_Mac!T:T,""),
_xlpm.MyAuditVal,_xlfn.XLOOKUP($A96,My_Audit!$A:$A,My_Audit!O:O,""),
_xlfn.IFS(_xlpm.MyAuditVal&lt;&gt;"",UPPER(_xlpm.MyAuditVal),_xlpm.MacVal&lt;&gt;"",_xlpm.MacVal,_xlpm.CSVVal&lt;&gt;"",_xlpm.CSVVal
)),"")</f>
        <v/>
      </c>
      <c r="O96" s="46" t="str">
        <f>_xlfn.XLOOKUP(C96,My_Audit!B:B,My_Audit!P:P,"")&amp;""</f>
        <v/>
      </c>
      <c r="P96" s="45"/>
      <c r="Q96" s="46" t="str">
        <f>IF(LEFT(N96,4)="Pass","Nist SP 800-88",My_Audit!R96)&amp;""</f>
        <v/>
      </c>
      <c r="R96" s="45"/>
      <c r="S96" s="45"/>
      <c r="T96" s="46" t="str">
        <f>_xlfn.XLOOKUP(E96,Models!I:I,Models!J:J,"")</f>
        <v/>
      </c>
      <c r="U96" s="45"/>
      <c r="V96" s="45"/>
      <c r="W96" s="38" t="str">
        <f>_xlfn.LET(
    _xlpm.MacVal, _xlfn.XLOOKUP($A96, Output_Mac!$A:$A, Output_Mac!AA:AA, ""),
    _xlpm.MyAuditVal, _xlfn.XLOOKUP($A96, My_Audit!$A:$A, My_Audit!L:L, ""),
    _xlfn.TEXTJOIN(", ", TRUE, _xlpm.MyAuditVal, _xlpm.MacVal)
)</f>
        <v/>
      </c>
    </row>
    <row r="97" spans="1:23">
      <c r="A97" s="45" t="str">
        <f>_xlfn.TEXTJOIN("",TRUE,Input!$B$2,ROW(My_Audit!A96))</f>
        <v>CC96</v>
      </c>
      <c r="B97" s="45" t="str">
        <f>_xlfn.TEXTJOIN("-",TRUE,"ITD",Input!$A$2,A97)</f>
        <v>ITD-XXX-CC96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_xlpm.CSVVal,_xlfn.XLOOKUP($A97,CSV!$A:$A,CSV!C:C,""),
_xlpm.MacVal,_xlfn.XLOOKUP($A97,Output_Mac!$A:$A,Output_Mac!D:D,""),
_xlpm.MyAuditVal,_xlfn.XLOOKUP($A97,My_Audit!$A:$A,My_Audit!C:C,""),
_xlfn.IFS(_xlpm.MyAuditVal&lt;&gt;"",UPPER(_xlpm.MyAuditVal),_xlpm.MacVal&lt;&gt;"",_xlpm.MacVal,_xlpm.CSVVal&lt;&gt;"",_xlpm.CSVVal
)),"")</f>
        <v/>
      </c>
      <c r="E97" s="46" t="str" cm="1">
        <f t="array" ref="E97">IFERROR(_xlfn.LET(
_xlpm.CSVVal,_xlfn.XLOOKUP($A97,CSV!$A:$A,CSV!E:E,""),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_xlpm.CSVVal,_xlfn.XLOOKUP($A97,CSV!$A:$A,CSV!G:G,""),
_xlpm.MacVal,_xlfn.XLOOKUP($A97,Output_Mac!$A:$A,Output_Mac!G:G,""),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_xlfn.XLOOKUP(A97,Output_Mac!A:A,Output_Mac!H:H,"")</f>
        <v/>
      </c>
      <c r="I97" s="45" t="str" cm="1">
        <f t="array" ref="I97">IFERROR(_xlfn.LET(
_xlpm.CSVVal,_xlfn.XLOOKUP($A97,CSV!$A:$A,CSV!H:H,""),
_xlpm.MacVal,_xlfn.XLOOKUP($A97,Output_Mac!$A:$A,Output_Mac!I:I,""),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_xlpm.CSVVal,_xlfn.XLOOKUP($A97,CSV!$A:$A,CSV!J:J,""),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6" t="str" cm="1">
        <f t="array" ref="K97">IFERROR(_xlfn.LET(
_xlpm.CSVVal,_xlfn.XLOOKUP($A97,CSV!$A:$A,CSV!N:N,""),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_xlpm.CSVVal,_xlfn.XLOOKUP($A97,CSV!$A:$A,CSV!Q:Q,""),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CSV!AE:AE,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_xlpm.CSVVal,_xlfn.XLOOKUP($A97,CSV!$A:$A,CSV!AG:AG,""),
_xlpm.MacVal,_xlfn.XLOOKUP($A97,Output_Mac!$A:$A,Output_Mac!T:T,""),
_xlpm.MyAuditVal,_xlfn.XLOOKUP($A97,My_Audit!$A:$A,My_Audit!O:O,""),
_xlfn.IFS(_xlpm.MyAuditVal&lt;&gt;"",UPPER(_xlpm.MyAuditVal),_xlpm.MacVal&lt;&gt;"",_xlpm.MacVal,_xlpm.CSVVal&lt;&gt;"",_xlpm.CSVVal
)),"")</f>
        <v/>
      </c>
      <c r="O97" s="46" t="str">
        <f>_xlfn.XLOOKUP(C97,My_Audit!B:B,My_Audit!P:P,"")&amp;""</f>
        <v/>
      </c>
      <c r="P97" s="45"/>
      <c r="Q97" s="46" t="str">
        <f>IF(LEFT(N97,4)="Pass","Nist SP 800-88",My_Audit!R97)&amp;""</f>
        <v/>
      </c>
      <c r="R97" s="45"/>
      <c r="S97" s="45"/>
      <c r="T97" s="46" t="str">
        <f>_xlfn.XLOOKUP(E97,Models!I:I,Models!J:J,"")</f>
        <v/>
      </c>
      <c r="U97" s="45"/>
      <c r="V97" s="45"/>
      <c r="W97" s="38" t="str">
        <f>_xlfn.LET(
    _xlpm.MacVal, _xlfn.XLOOKUP($A97, Output_Mac!$A:$A, Output_Mac!AA:AA, ""),
    _xlpm.MyAuditVal, _xlfn.XLOOKUP($A97, My_Audit!$A:$A, My_Audit!L:L, ""),
    _xlfn.TEXTJOIN(", ", TRUE, _xlpm.MyAuditVal, _xlpm.MacVal)
)</f>
        <v/>
      </c>
    </row>
    <row r="98" spans="1:23">
      <c r="A98" s="45" t="str">
        <f>_xlfn.TEXTJOIN("",TRUE,Input!$B$2,ROW(My_Audit!A97))</f>
        <v>CC97</v>
      </c>
      <c r="B98" s="45" t="str">
        <f>_xlfn.TEXTJOIN("-",TRUE,"ITD",Input!$A$2,A98)</f>
        <v>ITD-XXX-CC97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_xlpm.CSVVal,_xlfn.XLOOKUP($A98,CSV!$A:$A,CSV!C:C,""),
_xlpm.MacVal,_xlfn.XLOOKUP($A98,Output_Mac!$A:$A,Output_Mac!D:D,""),
_xlpm.MyAuditVal,_xlfn.XLOOKUP($A98,My_Audit!$A:$A,My_Audit!C:C,""),
_xlfn.IFS(_xlpm.MyAuditVal&lt;&gt;"",UPPER(_xlpm.MyAuditVal),_xlpm.MacVal&lt;&gt;"",_xlpm.MacVal,_xlpm.CSVVal&lt;&gt;"",_xlpm.CSVVal
)),"")</f>
        <v/>
      </c>
      <c r="E98" s="46" t="str" cm="1">
        <f t="array" ref="E98">IFERROR(_xlfn.LET(
_xlpm.CSVVal,_xlfn.XLOOKUP($A98,CSV!$A:$A,CSV!E:E,""),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_xlpm.CSVVal,_xlfn.XLOOKUP($A98,CSV!$A:$A,CSV!G:G,""),
_xlpm.MacVal,_xlfn.XLOOKUP($A98,Output_Mac!$A:$A,Output_Mac!G:G,""),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_xlfn.XLOOKUP(A98,Output_Mac!A:A,Output_Mac!H:H,"")</f>
        <v/>
      </c>
      <c r="I98" s="45" t="str" cm="1">
        <f t="array" ref="I98">IFERROR(_xlfn.LET(
_xlpm.CSVVal,_xlfn.XLOOKUP($A98,CSV!$A:$A,CSV!H:H,""),
_xlpm.MacVal,_xlfn.XLOOKUP($A98,Output_Mac!$A:$A,Output_Mac!I:I,""),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_xlpm.CSVVal,_xlfn.XLOOKUP($A98,CSV!$A:$A,CSV!J:J,""),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6" t="str" cm="1">
        <f t="array" ref="K98">IFERROR(_xlfn.LET(
_xlpm.CSVVal,_xlfn.XLOOKUP($A98,CSV!$A:$A,CSV!N:N,""),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_xlpm.CSVVal,_xlfn.XLOOKUP($A98,CSV!$A:$A,CSV!Q:Q,""),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CSV!AE:AE,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_xlpm.CSVVal,_xlfn.XLOOKUP($A98,CSV!$A:$A,CSV!AG:AG,""),
_xlpm.MacVal,_xlfn.XLOOKUP($A98,Output_Mac!$A:$A,Output_Mac!T:T,""),
_xlpm.MyAuditVal,_xlfn.XLOOKUP($A98,My_Audit!$A:$A,My_Audit!O:O,""),
_xlfn.IFS(_xlpm.MyAuditVal&lt;&gt;"",UPPER(_xlpm.MyAuditVal),_xlpm.MacVal&lt;&gt;"",_xlpm.MacVal,_xlpm.CSVVal&lt;&gt;"",_xlpm.CSVVal
)),"")</f>
        <v/>
      </c>
      <c r="O98" s="46" t="str">
        <f>_xlfn.XLOOKUP(C98,My_Audit!B:B,My_Audit!P:P,"")&amp;""</f>
        <v/>
      </c>
      <c r="P98" s="45"/>
      <c r="Q98" s="46" t="str">
        <f>IF(LEFT(N98,4)="Pass","Nist SP 800-88",My_Audit!R98)&amp;""</f>
        <v/>
      </c>
      <c r="R98" s="45"/>
      <c r="S98" s="45"/>
      <c r="T98" s="46" t="str">
        <f>_xlfn.XLOOKUP(E98,Models!I:I,Models!J:J,"")</f>
        <v/>
      </c>
      <c r="U98" s="45"/>
      <c r="V98" s="45"/>
      <c r="W98" s="38" t="str">
        <f>_xlfn.LET(
    _xlpm.MacVal, _xlfn.XLOOKUP($A98, Output_Mac!$A:$A, Output_Mac!AA:AA, ""),
    _xlpm.MyAuditVal, _xlfn.XLOOKUP($A98, My_Audit!$A:$A, My_Audit!L:L, ""),
    _xlfn.TEXTJOIN(", ", TRUE, _xlpm.MyAuditVal, _xlpm.MacVal)
)</f>
        <v/>
      </c>
    </row>
    <row r="99" spans="1:23">
      <c r="A99" s="45" t="str">
        <f>_xlfn.TEXTJOIN("",TRUE,Input!$B$2,ROW(My_Audit!A98))</f>
        <v>CC98</v>
      </c>
      <c r="B99" s="45" t="str">
        <f>_xlfn.TEXTJOIN("-",TRUE,"ITD",Input!$A$2,A99)</f>
        <v>ITD-XXX-CC98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_xlpm.CSVVal,_xlfn.XLOOKUP($A99,CSV!$A:$A,CSV!C:C,""),
_xlpm.MacVal,_xlfn.XLOOKUP($A99,Output_Mac!$A:$A,Output_Mac!D:D,""),
_xlpm.MyAuditVal,_xlfn.XLOOKUP($A99,My_Audit!$A:$A,My_Audit!C:C,""),
_xlfn.IFS(_xlpm.MyAuditVal&lt;&gt;"",UPPER(_xlpm.MyAuditVal),_xlpm.MacVal&lt;&gt;"",_xlpm.MacVal,_xlpm.CSVVal&lt;&gt;"",_xlpm.CSVVal
)),"")</f>
        <v/>
      </c>
      <c r="E99" s="46" t="str" cm="1">
        <f t="array" ref="E99">IFERROR(_xlfn.LET(
_xlpm.CSVVal,_xlfn.XLOOKUP($A99,CSV!$A:$A,CSV!E:E,""),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_xlpm.CSVVal,_xlfn.XLOOKUP($A99,CSV!$A:$A,CSV!G:G,""),
_xlpm.MacVal,_xlfn.XLOOKUP($A99,Output_Mac!$A:$A,Output_Mac!G:G,""),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_xlfn.XLOOKUP(A99,Output_Mac!A:A,Output_Mac!H:H,"")</f>
        <v/>
      </c>
      <c r="I99" s="45" t="str" cm="1">
        <f t="array" ref="I99">IFERROR(_xlfn.LET(
_xlpm.CSVVal,_xlfn.XLOOKUP($A99,CSV!$A:$A,CSV!H:H,""),
_xlpm.MacVal,_xlfn.XLOOKUP($A99,Output_Mac!$A:$A,Output_Mac!I:I,""),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_xlpm.CSVVal,_xlfn.XLOOKUP($A99,CSV!$A:$A,CSV!J:J,""),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6" t="str" cm="1">
        <f t="array" ref="K99">IFERROR(_xlfn.LET(
_xlpm.CSVVal,_xlfn.XLOOKUP($A99,CSV!$A:$A,CSV!N:N,""),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_xlpm.CSVVal,_xlfn.XLOOKUP($A99,CSV!$A:$A,CSV!Q:Q,""),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CSV!AE:AE,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_xlpm.CSVVal,_xlfn.XLOOKUP($A99,CSV!$A:$A,CSV!AG:AG,""),
_xlpm.MacVal,_xlfn.XLOOKUP($A99,Output_Mac!$A:$A,Output_Mac!T:T,""),
_xlpm.MyAuditVal,_xlfn.XLOOKUP($A99,My_Audit!$A:$A,My_Audit!O:O,""),
_xlfn.IFS(_xlpm.MyAuditVal&lt;&gt;"",UPPER(_xlpm.MyAuditVal),_xlpm.MacVal&lt;&gt;"",_xlpm.MacVal,_xlpm.CSVVal&lt;&gt;"",_xlpm.CSVVal
)),"")</f>
        <v/>
      </c>
      <c r="O99" s="46" t="str">
        <f>_xlfn.XLOOKUP(C99,My_Audit!B:B,My_Audit!P:P,"")&amp;""</f>
        <v/>
      </c>
      <c r="P99" s="45"/>
      <c r="Q99" s="46" t="str">
        <f>IF(LEFT(N99,4)="Pass","Nist SP 800-88",My_Audit!R99)&amp;""</f>
        <v/>
      </c>
      <c r="R99" s="45"/>
      <c r="S99" s="45"/>
      <c r="T99" s="46" t="str">
        <f>_xlfn.XLOOKUP(E99,Models!I:I,Models!J:J,"")</f>
        <v/>
      </c>
      <c r="U99" s="45"/>
      <c r="V99" s="45"/>
      <c r="W99" s="38" t="str">
        <f>_xlfn.LET(
    _xlpm.MacVal, _xlfn.XLOOKUP($A99, Output_Mac!$A:$A, Output_Mac!AA:AA, ""),
    _xlpm.MyAuditVal, _xlfn.XLOOKUP($A99, My_Audit!$A:$A, My_Audit!L:L, ""),
    _xlfn.TEXTJOIN(", ", TRUE, _xlpm.MyAuditVal, _xlpm.MacVal)
)</f>
        <v/>
      </c>
    </row>
    <row r="100" spans="1:23">
      <c r="A100" s="45" t="str">
        <f>_xlfn.TEXTJOIN("",TRUE,Input!$B$2,ROW(My_Audit!A99))</f>
        <v>CC99</v>
      </c>
      <c r="B100" s="45" t="str">
        <f>_xlfn.TEXTJOIN("-",TRUE,"ITD",Input!$A$2,A100)</f>
        <v>ITD-XXX-CC99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_xlpm.CSVVal,_xlfn.XLOOKUP($A100,CSV!$A:$A,CSV!C:C,""),
_xlpm.MacVal,_xlfn.XLOOKUP($A100,Output_Mac!$A:$A,Output_Mac!D:D,""),
_xlpm.MyAuditVal,_xlfn.XLOOKUP($A100,My_Audit!$A:$A,My_Audit!C:C,""),
_xlfn.IFS(_xlpm.MyAuditVal&lt;&gt;"",UPPER(_xlpm.MyAuditVal),_xlpm.MacVal&lt;&gt;"",_xlpm.MacVal,_xlpm.CSVVal&lt;&gt;"",_xlpm.CSVVal
)),"")</f>
        <v/>
      </c>
      <c r="E100" s="46" t="str" cm="1">
        <f t="array" ref="E100">IFERROR(_xlfn.LET(
_xlpm.CSVVal,_xlfn.XLOOKUP($A100,CSV!$A:$A,CSV!E:E,""),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_xlpm.CSVVal,_xlfn.XLOOKUP($A100,CSV!$A:$A,CSV!G:G,""),
_xlpm.MacVal,_xlfn.XLOOKUP($A100,Output_Mac!$A:$A,Output_Mac!G:G,""),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_xlfn.XLOOKUP(A100,Output_Mac!A:A,Output_Mac!H:H,"")</f>
        <v/>
      </c>
      <c r="I100" s="45" t="str" cm="1">
        <f t="array" ref="I100">IFERROR(_xlfn.LET(
_xlpm.CSVVal,_xlfn.XLOOKUP($A100,CSV!$A:$A,CSV!H:H,""),
_xlpm.MacVal,_xlfn.XLOOKUP($A100,Output_Mac!$A:$A,Output_Mac!I:I,""),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_xlpm.CSVVal,_xlfn.XLOOKUP($A100,CSV!$A:$A,CSV!J:J,""),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6" t="str" cm="1">
        <f t="array" ref="K100">IFERROR(_xlfn.LET(
_xlpm.CSVVal,_xlfn.XLOOKUP($A100,CSV!$A:$A,CSV!N:N,""),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_xlpm.CSVVal,_xlfn.XLOOKUP($A100,CSV!$A:$A,CSV!Q:Q,""),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CSV!AE:AE,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_xlpm.CSVVal,_xlfn.XLOOKUP($A100,CSV!$A:$A,CSV!AG:AG,""),
_xlpm.MacVal,_xlfn.XLOOKUP($A100,Output_Mac!$A:$A,Output_Mac!T:T,""),
_xlpm.MyAuditVal,_xlfn.XLOOKUP($A100,My_Audit!$A:$A,My_Audit!O:O,""),
_xlfn.IFS(_xlpm.MyAuditVal&lt;&gt;"",UPPER(_xlpm.MyAuditVal),_xlpm.MacVal&lt;&gt;"",_xlpm.MacVal,_xlpm.CSVVal&lt;&gt;"",_xlpm.CSVVal
)),"")</f>
        <v/>
      </c>
      <c r="O100" s="46" t="str">
        <f>_xlfn.XLOOKUP(C100,My_Audit!B:B,My_Audit!P:P,"")&amp;""</f>
        <v/>
      </c>
      <c r="P100" s="45"/>
      <c r="Q100" s="46" t="str">
        <f>IF(LEFT(N100,4)="Pass","Nist SP 800-88",My_Audit!R100)&amp;""</f>
        <v/>
      </c>
      <c r="R100" s="45"/>
      <c r="S100" s="45"/>
      <c r="T100" s="46" t="str">
        <f>_xlfn.XLOOKUP(E100,Models!I:I,Models!J:J,"")</f>
        <v/>
      </c>
      <c r="U100" s="45"/>
      <c r="V100" s="45"/>
      <c r="W100" s="38" t="str">
        <f>_xlfn.LET(
    _xlpm.MacVal, _xlfn.XLOOKUP($A100, Output_Mac!$A:$A, Output_Mac!AA:AA, ""),
    _xlpm.MyAuditVal, _xlfn.XLOOKUP($A100, My_Audit!$A:$A, My_Audit!L:L, ""),
    _xlfn.TEXTJOIN(", ", TRUE, _xlpm.MyAuditVal, _xlpm.MacVal)
)</f>
        <v/>
      </c>
    </row>
    <row r="101" spans="1:23">
      <c r="A101" s="45" t="str">
        <f>_xlfn.TEXTJOIN("",TRUE,Input!$B$2,ROW(My_Audit!A100))</f>
        <v>CC100</v>
      </c>
      <c r="B101" s="45" t="str">
        <f>_xlfn.TEXTJOIN("-",TRUE,"ITD",Input!$A$2,A101)</f>
        <v>ITD-XXX-CC100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_xlpm.CSVVal,_xlfn.XLOOKUP($A101,CSV!$A:$A,CSV!C:C,""),
_xlpm.MacVal,_xlfn.XLOOKUP($A101,Output_Mac!$A:$A,Output_Mac!D:D,""),
_xlpm.MyAuditVal,_xlfn.XLOOKUP($A101,My_Audit!$A:$A,My_Audit!C:C,""),
_xlfn.IFS(_xlpm.MyAuditVal&lt;&gt;"",UPPER(_xlpm.MyAuditVal),_xlpm.MacVal&lt;&gt;"",_xlpm.MacVal,_xlpm.CSVVal&lt;&gt;"",_xlpm.CSVVal
)),"")</f>
        <v/>
      </c>
      <c r="E101" s="46" t="str" cm="1">
        <f t="array" ref="E101">IFERROR(_xlfn.LET(
_xlpm.CSVVal,_xlfn.XLOOKUP($A101,CSV!$A:$A,CSV!E:E,""),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_xlpm.CSVVal,_xlfn.XLOOKUP($A101,CSV!$A:$A,CSV!G:G,""),
_xlpm.MacVal,_xlfn.XLOOKUP($A101,Output_Mac!$A:$A,Output_Mac!G:G,""),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_xlfn.XLOOKUP(A101,Output_Mac!A:A,Output_Mac!H:H,"")</f>
        <v/>
      </c>
      <c r="I101" s="45" t="str" cm="1">
        <f t="array" ref="I101">IFERROR(_xlfn.LET(
_xlpm.CSVVal,_xlfn.XLOOKUP($A101,CSV!$A:$A,CSV!H:H,""),
_xlpm.MacVal,_xlfn.XLOOKUP($A101,Output_Mac!$A:$A,Output_Mac!I:I,""),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_xlpm.CSVVal,_xlfn.XLOOKUP($A101,CSV!$A:$A,CSV!J:J,""),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6" t="str" cm="1">
        <f t="array" ref="K101">IFERROR(_xlfn.LET(
_xlpm.CSVVal,_xlfn.XLOOKUP($A101,CSV!$A:$A,CSV!N:N,""),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_xlpm.CSVVal,_xlfn.XLOOKUP($A101,CSV!$A:$A,CSV!Q:Q,""),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CSV!AE:AE,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_xlpm.CSVVal,_xlfn.XLOOKUP($A101,CSV!$A:$A,CSV!AG:AG,""),
_xlpm.MacVal,_xlfn.XLOOKUP($A101,Output_Mac!$A:$A,Output_Mac!T:T,""),
_xlpm.MyAuditVal,_xlfn.XLOOKUP($A101,My_Audit!$A:$A,My_Audit!O:O,""),
_xlfn.IFS(_xlpm.MyAuditVal&lt;&gt;"",UPPER(_xlpm.MyAuditVal),_xlpm.MacVal&lt;&gt;"",_xlpm.MacVal,_xlpm.CSVVal&lt;&gt;"",_xlpm.CSVVal
)),"")</f>
        <v/>
      </c>
      <c r="O101" s="46" t="str">
        <f>_xlfn.XLOOKUP(C101,My_Audit!B:B,My_Audit!P:P,"")&amp;""</f>
        <v/>
      </c>
      <c r="P101" s="45"/>
      <c r="Q101" s="46" t="str">
        <f>IF(LEFT(N101,4)="Pass","Nist SP 800-88",My_Audit!R101)&amp;""</f>
        <v/>
      </c>
      <c r="R101" s="45"/>
      <c r="S101" s="45"/>
      <c r="T101" s="46" t="str">
        <f>_xlfn.XLOOKUP(E101,Models!I:I,Models!J:J,"")</f>
        <v/>
      </c>
      <c r="U101" s="45"/>
      <c r="V101" s="45"/>
      <c r="W101" s="38" t="str">
        <f>_xlfn.LET(
    _xlpm.MacVal, _xlfn.XLOOKUP($A101, Output_Mac!$A:$A, Output_Mac!AA:AA, ""),
    _xlpm.MyAuditVal, _xlfn.XLOOKUP($A101, My_Audit!$A:$A, My_Audit!L:L, ""),
    _xlfn.TEXTJOIN(", ", TRUE, _xlpm.MyAuditVal, _xlpm.MacVal)
)</f>
        <v/>
      </c>
    </row>
    <row r="102" spans="1:23">
      <c r="A102" s="45" t="str">
        <f>_xlfn.TEXTJOIN("",TRUE,Input!$B$2,ROW(My_Audit!A101))</f>
        <v>CC101</v>
      </c>
      <c r="B102" s="45" t="str">
        <f>_xlfn.TEXTJOIN("-",TRUE,"ITD",Input!$A$2,A102)</f>
        <v>ITD-XXX-CC101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_xlpm.CSVVal,_xlfn.XLOOKUP($A102,CSV!$A:$A,CSV!C:C,""),
_xlpm.MacVal,_xlfn.XLOOKUP($A102,Output_Mac!$A:$A,Output_Mac!D:D,""),
_xlpm.MyAuditVal,_xlfn.XLOOKUP($A102,My_Audit!$A:$A,My_Audit!C:C,""),
_xlfn.IFS(_xlpm.MyAuditVal&lt;&gt;"",UPPER(_xlpm.MyAuditVal),_xlpm.MacVal&lt;&gt;"",_xlpm.MacVal,_xlpm.CSVVal&lt;&gt;"",_xlpm.CSVVal
)),"")</f>
        <v/>
      </c>
      <c r="E102" s="46" t="str" cm="1">
        <f t="array" ref="E102">IFERROR(_xlfn.LET(
_xlpm.CSVVal,_xlfn.XLOOKUP($A102,CSV!$A:$A,CSV!E:E,""),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_xlpm.CSVVal,_xlfn.XLOOKUP($A102,CSV!$A:$A,CSV!G:G,""),
_xlpm.MacVal,_xlfn.XLOOKUP($A102,Output_Mac!$A:$A,Output_Mac!G:G,""),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_xlfn.XLOOKUP(A102,Output_Mac!A:A,Output_Mac!H:H,"")</f>
        <v/>
      </c>
      <c r="I102" s="45" t="str" cm="1">
        <f t="array" ref="I102">IFERROR(_xlfn.LET(
_xlpm.CSVVal,_xlfn.XLOOKUP($A102,CSV!$A:$A,CSV!H:H,""),
_xlpm.MacVal,_xlfn.XLOOKUP($A102,Output_Mac!$A:$A,Output_Mac!I:I,""),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_xlpm.CSVVal,_xlfn.XLOOKUP($A102,CSV!$A:$A,CSV!J:J,""),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6" t="str" cm="1">
        <f t="array" ref="K102">IFERROR(_xlfn.LET(
_xlpm.CSVVal,_xlfn.XLOOKUP($A102,CSV!$A:$A,CSV!N:N,""),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_xlpm.CSVVal,_xlfn.XLOOKUP($A102,CSV!$A:$A,CSV!Q:Q,""),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CSV!AE:AE,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_xlpm.CSVVal,_xlfn.XLOOKUP($A102,CSV!$A:$A,CSV!AG:AG,""),
_xlpm.MacVal,_xlfn.XLOOKUP($A102,Output_Mac!$A:$A,Output_Mac!T:T,""),
_xlpm.MyAuditVal,_xlfn.XLOOKUP($A102,My_Audit!$A:$A,My_Audit!O:O,""),
_xlfn.IFS(_xlpm.MyAuditVal&lt;&gt;"",UPPER(_xlpm.MyAuditVal),_xlpm.MacVal&lt;&gt;"",_xlpm.MacVal,_xlpm.CSVVal&lt;&gt;"",_xlpm.CSVVal
)),"")</f>
        <v/>
      </c>
      <c r="O102" s="46" t="str">
        <f>_xlfn.XLOOKUP(C102,My_Audit!B:B,My_Audit!P:P,"")&amp;""</f>
        <v/>
      </c>
      <c r="P102" s="45"/>
      <c r="Q102" s="46" t="str">
        <f>IF(LEFT(N102,4)="Pass","Nist SP 800-88",My_Audit!R102)&amp;""</f>
        <v/>
      </c>
      <c r="R102" s="45"/>
      <c r="S102" s="45"/>
      <c r="T102" s="46" t="str">
        <f>_xlfn.XLOOKUP(E102,Models!I:I,Models!J:J,"")</f>
        <v/>
      </c>
      <c r="U102" s="45"/>
      <c r="V102" s="45"/>
      <c r="W102" s="38" t="str">
        <f>_xlfn.LET(
    _xlpm.MacVal, _xlfn.XLOOKUP($A102, Output_Mac!$A:$A, Output_Mac!AA:AA, ""),
    _xlpm.MyAuditVal, _xlfn.XLOOKUP($A102, My_Audit!$A:$A, My_Audit!L:L, ""),
    _xlfn.TEXTJOIN(", ", TRUE, _xlpm.MyAuditVal, _xlpm.MacVal)
)</f>
        <v/>
      </c>
    </row>
    <row r="103" spans="1:23">
      <c r="A103" s="45" t="str">
        <f>_xlfn.TEXTJOIN("",TRUE,Input!$B$2,ROW(My_Audit!A102))</f>
        <v>CC102</v>
      </c>
      <c r="B103" s="45" t="str">
        <f>_xlfn.TEXTJOIN("-",TRUE,"ITD",Input!$A$2,A103)</f>
        <v>ITD-XXX-CC102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_xlpm.CSVVal,_xlfn.XLOOKUP($A103,CSV!$A:$A,CSV!C:C,""),
_xlpm.MacVal,_xlfn.XLOOKUP($A103,Output_Mac!$A:$A,Output_Mac!D:D,""),
_xlpm.MyAuditVal,_xlfn.XLOOKUP($A103,My_Audit!$A:$A,My_Audit!C:C,""),
_xlfn.IFS(_xlpm.MyAuditVal&lt;&gt;"",UPPER(_xlpm.MyAuditVal),_xlpm.MacVal&lt;&gt;"",_xlpm.MacVal,_xlpm.CSVVal&lt;&gt;"",_xlpm.CSVVal
)),"")</f>
        <v/>
      </c>
      <c r="E103" s="46" t="str" cm="1">
        <f t="array" ref="E103">IFERROR(_xlfn.LET(
_xlpm.CSVVal,_xlfn.XLOOKUP($A103,CSV!$A:$A,CSV!E:E,""),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_xlpm.CSVVal,_xlfn.XLOOKUP($A103,CSV!$A:$A,CSV!G:G,""),
_xlpm.MacVal,_xlfn.XLOOKUP($A103,Output_Mac!$A:$A,Output_Mac!G:G,""),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_xlfn.XLOOKUP(A103,Output_Mac!A:A,Output_Mac!H:H,"")</f>
        <v/>
      </c>
      <c r="I103" s="45" t="str" cm="1">
        <f t="array" ref="I103">IFERROR(_xlfn.LET(
_xlpm.CSVVal,_xlfn.XLOOKUP($A103,CSV!$A:$A,CSV!H:H,""),
_xlpm.MacVal,_xlfn.XLOOKUP($A103,Output_Mac!$A:$A,Output_Mac!I:I,""),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_xlpm.CSVVal,_xlfn.XLOOKUP($A103,CSV!$A:$A,CSV!J:J,""),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6" t="str" cm="1">
        <f t="array" ref="K103">IFERROR(_xlfn.LET(
_xlpm.CSVVal,_xlfn.XLOOKUP($A103,CSV!$A:$A,CSV!N:N,""),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_xlpm.CSVVal,_xlfn.XLOOKUP($A103,CSV!$A:$A,CSV!Q:Q,""),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CSV!AE:AE,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_xlpm.CSVVal,_xlfn.XLOOKUP($A103,CSV!$A:$A,CSV!AG:AG,""),
_xlpm.MacVal,_xlfn.XLOOKUP($A103,Output_Mac!$A:$A,Output_Mac!T:T,""),
_xlpm.MyAuditVal,_xlfn.XLOOKUP($A103,My_Audit!$A:$A,My_Audit!O:O,""),
_xlfn.IFS(_xlpm.MyAuditVal&lt;&gt;"",UPPER(_xlpm.MyAuditVal),_xlpm.MacVal&lt;&gt;"",_xlpm.MacVal,_xlpm.CSVVal&lt;&gt;"",_xlpm.CSVVal
)),"")</f>
        <v/>
      </c>
      <c r="O103" s="46" t="str">
        <f>_xlfn.XLOOKUP(C103,My_Audit!B:B,My_Audit!P:P,"")&amp;""</f>
        <v/>
      </c>
      <c r="P103" s="45"/>
      <c r="Q103" s="46" t="str">
        <f>IF(LEFT(N103,4)="Pass","Nist SP 800-88",My_Audit!R103)&amp;""</f>
        <v/>
      </c>
      <c r="R103" s="45"/>
      <c r="S103" s="45"/>
      <c r="T103" s="46" t="str">
        <f>_xlfn.XLOOKUP(E103,Models!I:I,Models!J:J,"")</f>
        <v/>
      </c>
      <c r="U103" s="45"/>
      <c r="V103" s="45"/>
      <c r="W103" s="38" t="str">
        <f>_xlfn.LET(
    _xlpm.MacVal, _xlfn.XLOOKUP($A103, Output_Mac!$A:$A, Output_Mac!AA:AA, ""),
    _xlpm.MyAuditVal, _xlfn.XLOOKUP($A103, My_Audit!$A:$A, My_Audit!L:L, ""),
    _xlfn.TEXTJOIN(", ", TRUE, _xlpm.MyAuditVal, _xlpm.MacVal)
)</f>
        <v/>
      </c>
    </row>
    <row r="104" spans="1:23">
      <c r="A104" s="45" t="str">
        <f>_xlfn.TEXTJOIN("",TRUE,Input!$B$2,ROW(My_Audit!A103))</f>
        <v>CC103</v>
      </c>
      <c r="B104" s="45" t="str">
        <f>_xlfn.TEXTJOIN("-",TRUE,"ITD",Input!$A$2,A104)</f>
        <v>ITD-XXX-CC103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_xlpm.CSVVal,_xlfn.XLOOKUP($A104,CSV!$A:$A,CSV!C:C,""),
_xlpm.MacVal,_xlfn.XLOOKUP($A104,Output_Mac!$A:$A,Output_Mac!D:D,""),
_xlpm.MyAuditVal,_xlfn.XLOOKUP($A104,My_Audit!$A:$A,My_Audit!C:C,""),
_xlfn.IFS(_xlpm.MyAuditVal&lt;&gt;"",UPPER(_xlpm.MyAuditVal),_xlpm.MacVal&lt;&gt;"",_xlpm.MacVal,_xlpm.CSVVal&lt;&gt;"",_xlpm.CSVVal
)),"")</f>
        <v/>
      </c>
      <c r="E104" s="46" t="str" cm="1">
        <f t="array" ref="E104">IFERROR(_xlfn.LET(
_xlpm.CSVVal,_xlfn.XLOOKUP($A104,CSV!$A:$A,CSV!E:E,""),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_xlpm.CSVVal,_xlfn.XLOOKUP($A104,CSV!$A:$A,CSV!G:G,""),
_xlpm.MacVal,_xlfn.XLOOKUP($A104,Output_Mac!$A:$A,Output_Mac!G:G,""),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_xlfn.XLOOKUP(A104,Output_Mac!A:A,Output_Mac!H:H,"")</f>
        <v/>
      </c>
      <c r="I104" s="45" t="str" cm="1">
        <f t="array" ref="I104">IFERROR(_xlfn.LET(
_xlpm.CSVVal,_xlfn.XLOOKUP($A104,CSV!$A:$A,CSV!H:H,""),
_xlpm.MacVal,_xlfn.XLOOKUP($A104,Output_Mac!$A:$A,Output_Mac!I:I,""),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_xlpm.CSVVal,_xlfn.XLOOKUP($A104,CSV!$A:$A,CSV!J:J,""),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6" t="str" cm="1">
        <f t="array" ref="K104">IFERROR(_xlfn.LET(
_xlpm.CSVVal,_xlfn.XLOOKUP($A104,CSV!$A:$A,CSV!N:N,""),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_xlpm.CSVVal,_xlfn.XLOOKUP($A104,CSV!$A:$A,CSV!Q:Q,""),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CSV!AE:AE,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_xlpm.CSVVal,_xlfn.XLOOKUP($A104,CSV!$A:$A,CSV!AG:AG,""),
_xlpm.MacVal,_xlfn.XLOOKUP($A104,Output_Mac!$A:$A,Output_Mac!T:T,""),
_xlpm.MyAuditVal,_xlfn.XLOOKUP($A104,My_Audit!$A:$A,My_Audit!O:O,""),
_xlfn.IFS(_xlpm.MyAuditVal&lt;&gt;"",UPPER(_xlpm.MyAuditVal),_xlpm.MacVal&lt;&gt;"",_xlpm.MacVal,_xlpm.CSVVal&lt;&gt;"",_xlpm.CSVVal
)),"")</f>
        <v/>
      </c>
      <c r="O104" s="46" t="str">
        <f>_xlfn.XLOOKUP(C104,My_Audit!B:B,My_Audit!P:P,"")&amp;""</f>
        <v/>
      </c>
      <c r="P104" s="45"/>
      <c r="Q104" s="46" t="str">
        <f>IF(LEFT(N104,4)="Pass","Nist SP 800-88",My_Audit!R104)&amp;""</f>
        <v/>
      </c>
      <c r="R104" s="45"/>
      <c r="S104" s="45"/>
      <c r="T104" s="46" t="str">
        <f>_xlfn.XLOOKUP(E104,Models!I:I,Models!J:J,"")</f>
        <v/>
      </c>
      <c r="U104" s="45"/>
      <c r="V104" s="45"/>
      <c r="W104" s="38" t="str">
        <f>_xlfn.LET(
    _xlpm.MacVal, _xlfn.XLOOKUP($A104, Output_Mac!$A:$A, Output_Mac!AA:AA, ""),
    _xlpm.MyAuditVal, _xlfn.XLOOKUP($A104, My_Audit!$A:$A, My_Audit!L:L, ""),
    _xlfn.TEXTJOIN(", ", TRUE, _xlpm.MyAuditVal, _xlpm.MacVal)
)</f>
        <v/>
      </c>
    </row>
    <row r="105" spans="1:23">
      <c r="A105" s="45" t="str">
        <f>_xlfn.TEXTJOIN("",TRUE,Input!$B$2,ROW(My_Audit!A104))</f>
        <v>CC104</v>
      </c>
      <c r="B105" s="45" t="str">
        <f>_xlfn.TEXTJOIN("-",TRUE,"ITD",Input!$A$2,A105)</f>
        <v>ITD-XXX-CC104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_xlpm.CSVVal,_xlfn.XLOOKUP($A105,CSV!$A:$A,CSV!C:C,""),
_xlpm.MacVal,_xlfn.XLOOKUP($A105,Output_Mac!$A:$A,Output_Mac!D:D,""),
_xlpm.MyAuditVal,_xlfn.XLOOKUP($A105,My_Audit!$A:$A,My_Audit!C:C,""),
_xlfn.IFS(_xlpm.MyAuditVal&lt;&gt;"",UPPER(_xlpm.MyAuditVal),_xlpm.MacVal&lt;&gt;"",_xlpm.MacVal,_xlpm.CSVVal&lt;&gt;"",_xlpm.CSVVal
)),"")</f>
        <v/>
      </c>
      <c r="E105" s="46" t="str" cm="1">
        <f t="array" ref="E105">IFERROR(_xlfn.LET(
_xlpm.CSVVal,_xlfn.XLOOKUP($A105,CSV!$A:$A,CSV!E:E,""),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_xlpm.CSVVal,_xlfn.XLOOKUP($A105,CSV!$A:$A,CSV!G:G,""),
_xlpm.MacVal,_xlfn.XLOOKUP($A105,Output_Mac!$A:$A,Output_Mac!G:G,""),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_xlfn.XLOOKUP(A105,Output_Mac!A:A,Output_Mac!H:H,"")</f>
        <v/>
      </c>
      <c r="I105" s="45" t="str" cm="1">
        <f t="array" ref="I105">IFERROR(_xlfn.LET(
_xlpm.CSVVal,_xlfn.XLOOKUP($A105,CSV!$A:$A,CSV!H:H,""),
_xlpm.MacVal,_xlfn.XLOOKUP($A105,Output_Mac!$A:$A,Output_Mac!I:I,""),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_xlpm.CSVVal,_xlfn.XLOOKUP($A105,CSV!$A:$A,CSV!J:J,""),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6" t="str" cm="1">
        <f t="array" ref="K105">IFERROR(_xlfn.LET(
_xlpm.CSVVal,_xlfn.XLOOKUP($A105,CSV!$A:$A,CSV!N:N,""),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_xlpm.CSVVal,_xlfn.XLOOKUP($A105,CSV!$A:$A,CSV!Q:Q,""),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CSV!AE:AE,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_xlpm.CSVVal,_xlfn.XLOOKUP($A105,CSV!$A:$A,CSV!AG:AG,""),
_xlpm.MacVal,_xlfn.XLOOKUP($A105,Output_Mac!$A:$A,Output_Mac!T:T,""),
_xlpm.MyAuditVal,_xlfn.XLOOKUP($A105,My_Audit!$A:$A,My_Audit!O:O,""),
_xlfn.IFS(_xlpm.MyAuditVal&lt;&gt;"",UPPER(_xlpm.MyAuditVal),_xlpm.MacVal&lt;&gt;"",_xlpm.MacVal,_xlpm.CSVVal&lt;&gt;"",_xlpm.CSVVal
)),"")</f>
        <v/>
      </c>
      <c r="O105" s="46" t="str">
        <f>_xlfn.XLOOKUP(C105,My_Audit!B:B,My_Audit!P:P,"")&amp;""</f>
        <v/>
      </c>
      <c r="P105" s="45"/>
      <c r="Q105" s="46" t="str">
        <f>IF(LEFT(N105,4)="Pass","Nist SP 800-88",My_Audit!R105)&amp;""</f>
        <v/>
      </c>
      <c r="R105" s="45"/>
      <c r="S105" s="45"/>
      <c r="T105" s="46" t="str">
        <f>_xlfn.XLOOKUP(E105,Models!I:I,Models!J:J,"")</f>
        <v/>
      </c>
      <c r="U105" s="45"/>
      <c r="V105" s="45"/>
      <c r="W105" s="38" t="str">
        <f>_xlfn.LET(
    _xlpm.MacVal, _xlfn.XLOOKUP($A105, Output_Mac!$A:$A, Output_Mac!AA:AA, ""),
    _xlpm.MyAuditVal, _xlfn.XLOOKUP($A105, My_Audit!$A:$A, My_Audit!L:L, ""),
    _xlfn.TEXTJOIN(", ", TRUE, _xlpm.MyAuditVal, _xlpm.MacVal)
)</f>
        <v/>
      </c>
    </row>
    <row r="106" spans="1:23">
      <c r="A106" s="45" t="str">
        <f>_xlfn.TEXTJOIN("",TRUE,Input!$B$2,ROW(My_Audit!A105))</f>
        <v>CC105</v>
      </c>
      <c r="B106" s="45" t="str">
        <f>_xlfn.TEXTJOIN("-",TRUE,"ITD",Input!$A$2,A106)</f>
        <v>ITD-XXX-CC105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_xlpm.CSVVal,_xlfn.XLOOKUP($A106,CSV!$A:$A,CSV!C:C,""),
_xlpm.MacVal,_xlfn.XLOOKUP($A106,Output_Mac!$A:$A,Output_Mac!D:D,""),
_xlpm.MyAuditVal,_xlfn.XLOOKUP($A106,My_Audit!$A:$A,My_Audit!C:C,""),
_xlfn.IFS(_xlpm.MyAuditVal&lt;&gt;"",UPPER(_xlpm.MyAuditVal),_xlpm.MacVal&lt;&gt;"",_xlpm.MacVal,_xlpm.CSVVal&lt;&gt;"",_xlpm.CSVVal
)),"")</f>
        <v/>
      </c>
      <c r="E106" s="46" t="str" cm="1">
        <f t="array" ref="E106">IFERROR(_xlfn.LET(
_xlpm.CSVVal,_xlfn.XLOOKUP($A106,CSV!$A:$A,CSV!E:E,""),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_xlpm.CSVVal,_xlfn.XLOOKUP($A106,CSV!$A:$A,CSV!G:G,""),
_xlpm.MacVal,_xlfn.XLOOKUP($A106,Output_Mac!$A:$A,Output_Mac!G:G,""),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_xlfn.XLOOKUP(A106,Output_Mac!A:A,Output_Mac!H:H,"")</f>
        <v/>
      </c>
      <c r="I106" s="45" t="str" cm="1">
        <f t="array" ref="I106">IFERROR(_xlfn.LET(
_xlpm.CSVVal,_xlfn.XLOOKUP($A106,CSV!$A:$A,CSV!H:H,""),
_xlpm.MacVal,_xlfn.XLOOKUP($A106,Output_Mac!$A:$A,Output_Mac!I:I,""),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_xlpm.CSVVal,_xlfn.XLOOKUP($A106,CSV!$A:$A,CSV!J:J,""),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6" t="str" cm="1">
        <f t="array" ref="K106">IFERROR(_xlfn.LET(
_xlpm.CSVVal,_xlfn.XLOOKUP($A106,CSV!$A:$A,CSV!N:N,""),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_xlpm.CSVVal,_xlfn.XLOOKUP($A106,CSV!$A:$A,CSV!Q:Q,""),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CSV!AE:AE,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_xlpm.CSVVal,_xlfn.XLOOKUP($A106,CSV!$A:$A,CSV!AG:AG,""),
_xlpm.MacVal,_xlfn.XLOOKUP($A106,Output_Mac!$A:$A,Output_Mac!T:T,""),
_xlpm.MyAuditVal,_xlfn.XLOOKUP($A106,My_Audit!$A:$A,My_Audit!O:O,""),
_xlfn.IFS(_xlpm.MyAuditVal&lt;&gt;"",UPPER(_xlpm.MyAuditVal),_xlpm.MacVal&lt;&gt;"",_xlpm.MacVal,_xlpm.CSVVal&lt;&gt;"",_xlpm.CSVVal
)),"")</f>
        <v/>
      </c>
      <c r="O106" s="46" t="str">
        <f>_xlfn.XLOOKUP(C106,My_Audit!B:B,My_Audit!P:P,"")&amp;""</f>
        <v/>
      </c>
      <c r="P106" s="45"/>
      <c r="Q106" s="46" t="str">
        <f>IF(LEFT(N106,4)="Pass","Nist SP 800-88",My_Audit!R106)&amp;""</f>
        <v/>
      </c>
      <c r="R106" s="45"/>
      <c r="S106" s="45"/>
      <c r="T106" s="46" t="str">
        <f>_xlfn.XLOOKUP(E106,Models!I:I,Models!J:J,"")</f>
        <v/>
      </c>
      <c r="U106" s="45"/>
      <c r="V106" s="45"/>
      <c r="W106" s="38" t="str">
        <f>_xlfn.LET(
    _xlpm.MacVal, _xlfn.XLOOKUP($A106, Output_Mac!$A:$A, Output_Mac!AA:AA, ""),
    _xlpm.MyAuditVal, _xlfn.XLOOKUP($A106, My_Audit!$A:$A, My_Audit!L:L, ""),
    _xlfn.TEXTJOIN(", ", TRUE, _xlpm.MyAuditVal, _xlpm.MacVal)
)</f>
        <v/>
      </c>
    </row>
    <row r="107" spans="1:23">
      <c r="A107" s="45" t="str">
        <f>_xlfn.TEXTJOIN("",TRUE,Input!$B$2,ROW(My_Audit!A106))</f>
        <v>CC106</v>
      </c>
      <c r="B107" s="45" t="str">
        <f>_xlfn.TEXTJOIN("-",TRUE,"ITD",Input!$A$2,A107)</f>
        <v>ITD-XXX-CC106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_xlpm.CSVVal,_xlfn.XLOOKUP($A107,CSV!$A:$A,CSV!C:C,""),
_xlpm.MacVal,_xlfn.XLOOKUP($A107,Output_Mac!$A:$A,Output_Mac!D:D,""),
_xlpm.MyAuditVal,_xlfn.XLOOKUP($A107,My_Audit!$A:$A,My_Audit!C:C,""),
_xlfn.IFS(_xlpm.MyAuditVal&lt;&gt;"",UPPER(_xlpm.MyAuditVal),_xlpm.MacVal&lt;&gt;"",_xlpm.MacVal,_xlpm.CSVVal&lt;&gt;"",_xlpm.CSVVal
)),"")</f>
        <v/>
      </c>
      <c r="E107" s="46" t="str" cm="1">
        <f t="array" ref="E107">IFERROR(_xlfn.LET(
_xlpm.CSVVal,_xlfn.XLOOKUP($A107,CSV!$A:$A,CSV!E:E,""),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_xlpm.CSVVal,_xlfn.XLOOKUP($A107,CSV!$A:$A,CSV!G:G,""),
_xlpm.MacVal,_xlfn.XLOOKUP($A107,Output_Mac!$A:$A,Output_Mac!G:G,""),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_xlfn.XLOOKUP(A107,Output_Mac!A:A,Output_Mac!H:H,"")</f>
        <v/>
      </c>
      <c r="I107" s="45" t="str" cm="1">
        <f t="array" ref="I107">IFERROR(_xlfn.LET(
_xlpm.CSVVal,_xlfn.XLOOKUP($A107,CSV!$A:$A,CSV!H:H,""),
_xlpm.MacVal,_xlfn.XLOOKUP($A107,Output_Mac!$A:$A,Output_Mac!I:I,""),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_xlpm.CSVVal,_xlfn.XLOOKUP($A107,CSV!$A:$A,CSV!J:J,""),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6" t="str" cm="1">
        <f t="array" ref="K107">IFERROR(_xlfn.LET(
_xlpm.CSVVal,_xlfn.XLOOKUP($A107,CSV!$A:$A,CSV!N:N,""),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_xlpm.CSVVal,_xlfn.XLOOKUP($A107,CSV!$A:$A,CSV!Q:Q,""),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CSV!AE:AE,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_xlpm.CSVVal,_xlfn.XLOOKUP($A107,CSV!$A:$A,CSV!AG:AG,""),
_xlpm.MacVal,_xlfn.XLOOKUP($A107,Output_Mac!$A:$A,Output_Mac!T:T,""),
_xlpm.MyAuditVal,_xlfn.XLOOKUP($A107,My_Audit!$A:$A,My_Audit!O:O,""),
_xlfn.IFS(_xlpm.MyAuditVal&lt;&gt;"",UPPER(_xlpm.MyAuditVal),_xlpm.MacVal&lt;&gt;"",_xlpm.MacVal,_xlpm.CSVVal&lt;&gt;"",_xlpm.CSVVal
)),"")</f>
        <v/>
      </c>
      <c r="O107" s="46" t="str">
        <f>_xlfn.XLOOKUP(C107,My_Audit!B:B,My_Audit!P:P,"")&amp;""</f>
        <v/>
      </c>
      <c r="P107" s="45"/>
      <c r="Q107" s="46" t="str">
        <f>IF(LEFT(N107,4)="Pass","Nist SP 800-88",My_Audit!R107)&amp;""</f>
        <v/>
      </c>
      <c r="R107" s="45"/>
      <c r="S107" s="45"/>
      <c r="T107" s="46" t="str">
        <f>_xlfn.XLOOKUP(E107,Models!I:I,Models!J:J,"")</f>
        <v/>
      </c>
      <c r="U107" s="45"/>
      <c r="V107" s="45"/>
      <c r="W107" s="38" t="str">
        <f>_xlfn.LET(
    _xlpm.MacVal, _xlfn.XLOOKUP($A107, Output_Mac!$A:$A, Output_Mac!AA:AA, ""),
    _xlpm.MyAuditVal, _xlfn.XLOOKUP($A107, My_Audit!$A:$A, My_Audit!L:L, ""),
    _xlfn.TEXTJOIN(", ", TRUE, _xlpm.MyAuditVal, _xlpm.MacVal)
)</f>
        <v/>
      </c>
    </row>
    <row r="108" spans="1:23">
      <c r="A108" s="45" t="str">
        <f>_xlfn.TEXTJOIN("",TRUE,Input!$B$2,ROW(My_Audit!A107))</f>
        <v>CC107</v>
      </c>
      <c r="B108" s="45" t="str">
        <f>_xlfn.TEXTJOIN("-",TRUE,"ITD",Input!$A$2,A108)</f>
        <v>ITD-XXX-CC107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_xlpm.CSVVal,_xlfn.XLOOKUP($A108,CSV!$A:$A,CSV!C:C,""),
_xlpm.MacVal,_xlfn.XLOOKUP($A108,Output_Mac!$A:$A,Output_Mac!D:D,""),
_xlpm.MyAuditVal,_xlfn.XLOOKUP($A108,My_Audit!$A:$A,My_Audit!C:C,""),
_xlfn.IFS(_xlpm.MyAuditVal&lt;&gt;"",UPPER(_xlpm.MyAuditVal),_xlpm.MacVal&lt;&gt;"",_xlpm.MacVal,_xlpm.CSVVal&lt;&gt;"",_xlpm.CSVVal
)),"")</f>
        <v/>
      </c>
      <c r="E108" s="46" t="str" cm="1">
        <f t="array" ref="E108">IFERROR(_xlfn.LET(
_xlpm.CSVVal,_xlfn.XLOOKUP($A108,CSV!$A:$A,CSV!E:E,""),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_xlpm.CSVVal,_xlfn.XLOOKUP($A108,CSV!$A:$A,CSV!G:G,""),
_xlpm.MacVal,_xlfn.XLOOKUP($A108,Output_Mac!$A:$A,Output_Mac!G:G,""),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_xlfn.XLOOKUP(A108,Output_Mac!A:A,Output_Mac!H:H,"")</f>
        <v/>
      </c>
      <c r="I108" s="45" t="str" cm="1">
        <f t="array" ref="I108">IFERROR(_xlfn.LET(
_xlpm.CSVVal,_xlfn.XLOOKUP($A108,CSV!$A:$A,CSV!H:H,""),
_xlpm.MacVal,_xlfn.XLOOKUP($A108,Output_Mac!$A:$A,Output_Mac!I:I,""),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_xlpm.CSVVal,_xlfn.XLOOKUP($A108,CSV!$A:$A,CSV!J:J,""),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6" t="str" cm="1">
        <f t="array" ref="K108">IFERROR(_xlfn.LET(
_xlpm.CSVVal,_xlfn.XLOOKUP($A108,CSV!$A:$A,CSV!N:N,""),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_xlpm.CSVVal,_xlfn.XLOOKUP($A108,CSV!$A:$A,CSV!Q:Q,""),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CSV!AE:AE,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_xlpm.CSVVal,_xlfn.XLOOKUP($A108,CSV!$A:$A,CSV!AG:AG,""),
_xlpm.MacVal,_xlfn.XLOOKUP($A108,Output_Mac!$A:$A,Output_Mac!T:T,""),
_xlpm.MyAuditVal,_xlfn.XLOOKUP($A108,My_Audit!$A:$A,My_Audit!O:O,""),
_xlfn.IFS(_xlpm.MyAuditVal&lt;&gt;"",UPPER(_xlpm.MyAuditVal),_xlpm.MacVal&lt;&gt;"",_xlpm.MacVal,_xlpm.CSVVal&lt;&gt;"",_xlpm.CSVVal
)),"")</f>
        <v/>
      </c>
      <c r="O108" s="46" t="str">
        <f>_xlfn.XLOOKUP(C108,My_Audit!B:B,My_Audit!P:P,"")&amp;""</f>
        <v/>
      </c>
      <c r="P108" s="45"/>
      <c r="Q108" s="46" t="str">
        <f>IF(LEFT(N108,4)="Pass","Nist SP 800-88",My_Audit!R108)&amp;""</f>
        <v/>
      </c>
      <c r="R108" s="45"/>
      <c r="S108" s="45"/>
      <c r="T108" s="46" t="str">
        <f>_xlfn.XLOOKUP(E108,Models!I:I,Models!J:J,"")</f>
        <v/>
      </c>
      <c r="U108" s="45"/>
      <c r="V108" s="45"/>
      <c r="W108" s="38" t="str">
        <f>_xlfn.LET(
    _xlpm.MacVal, _xlfn.XLOOKUP($A108, Output_Mac!$A:$A, Output_Mac!AA:AA, ""),
    _xlpm.MyAuditVal, _xlfn.XLOOKUP($A108, My_Audit!$A:$A, My_Audit!L:L, ""),
    _xlfn.TEXTJOIN(", ", TRUE, _xlpm.MyAuditVal, _xlpm.MacVal)
)</f>
        <v/>
      </c>
    </row>
    <row r="109" spans="1:23">
      <c r="A109" s="45" t="str">
        <f>_xlfn.TEXTJOIN("",TRUE,Input!$B$2,ROW(My_Audit!A108))</f>
        <v>CC108</v>
      </c>
      <c r="B109" s="45" t="str">
        <f>_xlfn.TEXTJOIN("-",TRUE,"ITD",Input!$A$2,A109)</f>
        <v>ITD-XXX-CC108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_xlpm.CSVVal,_xlfn.XLOOKUP($A109,CSV!$A:$A,CSV!C:C,""),
_xlpm.MacVal,_xlfn.XLOOKUP($A109,Output_Mac!$A:$A,Output_Mac!D:D,""),
_xlpm.MyAuditVal,_xlfn.XLOOKUP($A109,My_Audit!$A:$A,My_Audit!C:C,""),
_xlfn.IFS(_xlpm.MyAuditVal&lt;&gt;"",UPPER(_xlpm.MyAuditVal),_xlpm.MacVal&lt;&gt;"",_xlpm.MacVal,_xlpm.CSVVal&lt;&gt;"",_xlpm.CSVVal
)),"")</f>
        <v/>
      </c>
      <c r="E109" s="46" t="str" cm="1">
        <f t="array" ref="E109">IFERROR(_xlfn.LET(
_xlpm.CSVVal,_xlfn.XLOOKUP($A109,CSV!$A:$A,CSV!E:E,""),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_xlpm.CSVVal,_xlfn.XLOOKUP($A109,CSV!$A:$A,CSV!G:G,""),
_xlpm.MacVal,_xlfn.XLOOKUP($A109,Output_Mac!$A:$A,Output_Mac!G:G,""),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_xlfn.XLOOKUP(A109,Output_Mac!A:A,Output_Mac!H:H,"")</f>
        <v/>
      </c>
      <c r="I109" s="45" t="str" cm="1">
        <f t="array" ref="I109">IFERROR(_xlfn.LET(
_xlpm.CSVVal,_xlfn.XLOOKUP($A109,CSV!$A:$A,CSV!H:H,""),
_xlpm.MacVal,_xlfn.XLOOKUP($A109,Output_Mac!$A:$A,Output_Mac!I:I,""),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_xlpm.CSVVal,_xlfn.XLOOKUP($A109,CSV!$A:$A,CSV!J:J,""),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6" t="str" cm="1">
        <f t="array" ref="K109">IFERROR(_xlfn.LET(
_xlpm.CSVVal,_xlfn.XLOOKUP($A109,CSV!$A:$A,CSV!N:N,""),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_xlpm.CSVVal,_xlfn.XLOOKUP($A109,CSV!$A:$A,CSV!Q:Q,""),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CSV!AE:AE,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_xlpm.CSVVal,_xlfn.XLOOKUP($A109,CSV!$A:$A,CSV!AG:AG,""),
_xlpm.MacVal,_xlfn.XLOOKUP($A109,Output_Mac!$A:$A,Output_Mac!T:T,""),
_xlpm.MyAuditVal,_xlfn.XLOOKUP($A109,My_Audit!$A:$A,My_Audit!O:O,""),
_xlfn.IFS(_xlpm.MyAuditVal&lt;&gt;"",UPPER(_xlpm.MyAuditVal),_xlpm.MacVal&lt;&gt;"",_xlpm.MacVal,_xlpm.CSVVal&lt;&gt;"",_xlpm.CSVVal
)),"")</f>
        <v/>
      </c>
      <c r="O109" s="46" t="str">
        <f>_xlfn.XLOOKUP(C109,My_Audit!B:B,My_Audit!P:P,"")&amp;""</f>
        <v/>
      </c>
      <c r="P109" s="45"/>
      <c r="Q109" s="46" t="str">
        <f>IF(LEFT(N109,4)="Pass","Nist SP 800-88",My_Audit!R109)&amp;""</f>
        <v/>
      </c>
      <c r="R109" s="45"/>
      <c r="S109" s="45"/>
      <c r="T109" s="46" t="str">
        <f>_xlfn.XLOOKUP(E109,Models!I:I,Models!J:J,"")</f>
        <v/>
      </c>
      <c r="U109" s="45"/>
      <c r="V109" s="45"/>
      <c r="W109" s="38" t="str">
        <f>_xlfn.LET(
    _xlpm.MacVal, _xlfn.XLOOKUP($A109, Output_Mac!$A:$A, Output_Mac!AA:AA, ""),
    _xlpm.MyAuditVal, _xlfn.XLOOKUP($A109, My_Audit!$A:$A, My_Audit!L:L, ""),
    _xlfn.TEXTJOIN(", ", TRUE, _xlpm.MyAuditVal, _xlpm.MacVal)
)</f>
        <v/>
      </c>
    </row>
    <row r="110" spans="1:23">
      <c r="A110" s="45" t="str">
        <f>_xlfn.TEXTJOIN("",TRUE,Input!$B$2,ROW(My_Audit!A109))</f>
        <v>CC109</v>
      </c>
      <c r="B110" s="45" t="str">
        <f>_xlfn.TEXTJOIN("-",TRUE,"ITD",Input!$A$2,A110)</f>
        <v>ITD-XXX-CC109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_xlpm.CSVVal,_xlfn.XLOOKUP($A110,CSV!$A:$A,CSV!C:C,""),
_xlpm.MacVal,_xlfn.XLOOKUP($A110,Output_Mac!$A:$A,Output_Mac!D:D,""),
_xlpm.MyAuditVal,_xlfn.XLOOKUP($A110,My_Audit!$A:$A,My_Audit!C:C,""),
_xlfn.IFS(_xlpm.MyAuditVal&lt;&gt;"",UPPER(_xlpm.MyAuditVal),_xlpm.MacVal&lt;&gt;"",_xlpm.MacVal,_xlpm.CSVVal&lt;&gt;"",_xlpm.CSVVal
)),"")</f>
        <v/>
      </c>
      <c r="E110" s="46" t="str" cm="1">
        <f t="array" ref="E110">IFERROR(_xlfn.LET(
_xlpm.CSVVal,_xlfn.XLOOKUP($A110,CSV!$A:$A,CSV!E:E,""),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_xlpm.CSVVal,_xlfn.XLOOKUP($A110,CSV!$A:$A,CSV!G:G,""),
_xlpm.MacVal,_xlfn.XLOOKUP($A110,Output_Mac!$A:$A,Output_Mac!G:G,""),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_xlfn.XLOOKUP(A110,Output_Mac!A:A,Output_Mac!H:H,"")</f>
        <v/>
      </c>
      <c r="I110" s="45" t="str" cm="1">
        <f t="array" ref="I110">IFERROR(_xlfn.LET(
_xlpm.CSVVal,_xlfn.XLOOKUP($A110,CSV!$A:$A,CSV!H:H,""),
_xlpm.MacVal,_xlfn.XLOOKUP($A110,Output_Mac!$A:$A,Output_Mac!I:I,""),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_xlpm.CSVVal,_xlfn.XLOOKUP($A110,CSV!$A:$A,CSV!J:J,""),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6" t="str" cm="1">
        <f t="array" ref="K110">IFERROR(_xlfn.LET(
_xlpm.CSVVal,_xlfn.XLOOKUP($A110,CSV!$A:$A,CSV!N:N,""),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_xlpm.CSVVal,_xlfn.XLOOKUP($A110,CSV!$A:$A,CSV!Q:Q,""),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CSV!AE:AE,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_xlpm.CSVVal,_xlfn.XLOOKUP($A110,CSV!$A:$A,CSV!AG:AG,""),
_xlpm.MacVal,_xlfn.XLOOKUP($A110,Output_Mac!$A:$A,Output_Mac!T:T,""),
_xlpm.MyAuditVal,_xlfn.XLOOKUP($A110,My_Audit!$A:$A,My_Audit!O:O,""),
_xlfn.IFS(_xlpm.MyAuditVal&lt;&gt;"",UPPER(_xlpm.MyAuditVal),_xlpm.MacVal&lt;&gt;"",_xlpm.MacVal,_xlpm.CSVVal&lt;&gt;"",_xlpm.CSVVal
)),"")</f>
        <v/>
      </c>
      <c r="O110" s="46" t="str">
        <f>_xlfn.XLOOKUP(C110,My_Audit!B:B,My_Audit!P:P,"")&amp;""</f>
        <v/>
      </c>
      <c r="P110" s="45"/>
      <c r="Q110" s="46" t="str">
        <f>IF(LEFT(N110,4)="Pass","Nist SP 800-88",My_Audit!R110)&amp;""</f>
        <v/>
      </c>
      <c r="R110" s="45"/>
      <c r="S110" s="45"/>
      <c r="T110" s="46" t="str">
        <f>_xlfn.XLOOKUP(E110,Models!I:I,Models!J:J,"")</f>
        <v/>
      </c>
      <c r="U110" s="45"/>
      <c r="V110" s="45"/>
      <c r="W110" s="38" t="str">
        <f>_xlfn.LET(
    _xlpm.MacVal, _xlfn.XLOOKUP($A110, Output_Mac!$A:$A, Output_Mac!AA:AA, ""),
    _xlpm.MyAuditVal, _xlfn.XLOOKUP($A110, My_Audit!$A:$A, My_Audit!L:L, ""),
    _xlfn.TEXTJOIN(", ", TRUE, _xlpm.MyAuditVal, _xlpm.MacVal)
)</f>
        <v/>
      </c>
    </row>
    <row r="111" spans="1:23">
      <c r="A111" s="45" t="str">
        <f>_xlfn.TEXTJOIN("",TRUE,Input!$B$2,ROW(My_Audit!A110))</f>
        <v>CC110</v>
      </c>
      <c r="B111" s="45" t="str">
        <f>_xlfn.TEXTJOIN("-",TRUE,"ITD",Input!$A$2,A111)</f>
        <v>ITD-XXX-CC110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_xlpm.CSVVal,_xlfn.XLOOKUP($A111,CSV!$A:$A,CSV!C:C,""),
_xlpm.MacVal,_xlfn.XLOOKUP($A111,Output_Mac!$A:$A,Output_Mac!D:D,""),
_xlpm.MyAuditVal,_xlfn.XLOOKUP($A111,My_Audit!$A:$A,My_Audit!C:C,""),
_xlfn.IFS(_xlpm.MyAuditVal&lt;&gt;"",UPPER(_xlpm.MyAuditVal),_xlpm.MacVal&lt;&gt;"",_xlpm.MacVal,_xlpm.CSVVal&lt;&gt;"",_xlpm.CSVVal
)),"")</f>
        <v/>
      </c>
      <c r="E111" s="46" t="str" cm="1">
        <f t="array" ref="E111">IFERROR(_xlfn.LET(
_xlpm.CSVVal,_xlfn.XLOOKUP($A111,CSV!$A:$A,CSV!E:E,""),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_xlpm.CSVVal,_xlfn.XLOOKUP($A111,CSV!$A:$A,CSV!G:G,""),
_xlpm.MacVal,_xlfn.XLOOKUP($A111,Output_Mac!$A:$A,Output_Mac!G:G,""),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_xlfn.XLOOKUP(A111,Output_Mac!A:A,Output_Mac!H:H,"")</f>
        <v/>
      </c>
      <c r="I111" s="45" t="str" cm="1">
        <f t="array" ref="I111">IFERROR(_xlfn.LET(
_xlpm.CSVVal,_xlfn.XLOOKUP($A111,CSV!$A:$A,CSV!H:H,""),
_xlpm.MacVal,_xlfn.XLOOKUP($A111,Output_Mac!$A:$A,Output_Mac!I:I,""),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_xlpm.CSVVal,_xlfn.XLOOKUP($A111,CSV!$A:$A,CSV!J:J,""),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6" t="str" cm="1">
        <f t="array" ref="K111">IFERROR(_xlfn.LET(
_xlpm.CSVVal,_xlfn.XLOOKUP($A111,CSV!$A:$A,CSV!N:N,""),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_xlpm.CSVVal,_xlfn.XLOOKUP($A111,CSV!$A:$A,CSV!Q:Q,""),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CSV!AE:AE,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_xlpm.CSVVal,_xlfn.XLOOKUP($A111,CSV!$A:$A,CSV!AG:AG,""),
_xlpm.MacVal,_xlfn.XLOOKUP($A111,Output_Mac!$A:$A,Output_Mac!T:T,""),
_xlpm.MyAuditVal,_xlfn.XLOOKUP($A111,My_Audit!$A:$A,My_Audit!O:O,""),
_xlfn.IFS(_xlpm.MyAuditVal&lt;&gt;"",UPPER(_xlpm.MyAuditVal),_xlpm.MacVal&lt;&gt;"",_xlpm.MacVal,_xlpm.CSVVal&lt;&gt;"",_xlpm.CSVVal
)),"")</f>
        <v/>
      </c>
      <c r="O111" s="46" t="str">
        <f>_xlfn.XLOOKUP(C111,My_Audit!B:B,My_Audit!P:P,"")&amp;""</f>
        <v/>
      </c>
      <c r="P111" s="45"/>
      <c r="Q111" s="46" t="str">
        <f>IF(LEFT(N111,4)="Pass","Nist SP 800-88",My_Audit!R111)&amp;""</f>
        <v/>
      </c>
      <c r="R111" s="45"/>
      <c r="S111" s="45"/>
      <c r="T111" s="46" t="str">
        <f>_xlfn.XLOOKUP(E111,Models!I:I,Models!J:J,"")</f>
        <v/>
      </c>
      <c r="U111" s="45"/>
      <c r="V111" s="45"/>
      <c r="W111" s="38" t="str">
        <f>_xlfn.LET(
    _xlpm.MacVal, _xlfn.XLOOKUP($A111, Output_Mac!$A:$A, Output_Mac!AA:AA, ""),
    _xlpm.MyAuditVal, _xlfn.XLOOKUP($A111, My_Audit!$A:$A, My_Audit!L:L, ""),
    _xlfn.TEXTJOIN(", ", TRUE, _xlpm.MyAuditVal, _xlpm.MacVal)
)</f>
        <v/>
      </c>
    </row>
    <row r="112" spans="1:23">
      <c r="A112" s="45" t="str">
        <f>_xlfn.TEXTJOIN("",TRUE,Input!$B$2,ROW(My_Audit!A111))</f>
        <v>CC111</v>
      </c>
      <c r="B112" s="45" t="str">
        <f>_xlfn.TEXTJOIN("-",TRUE,"ITD",Input!$A$2,A112)</f>
        <v>ITD-XXX-CC111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_xlpm.CSVVal,_xlfn.XLOOKUP($A112,CSV!$A:$A,CSV!C:C,""),
_xlpm.MacVal,_xlfn.XLOOKUP($A112,Output_Mac!$A:$A,Output_Mac!D:D,""),
_xlpm.MyAuditVal,_xlfn.XLOOKUP($A112,My_Audit!$A:$A,My_Audit!C:C,""),
_xlfn.IFS(_xlpm.MyAuditVal&lt;&gt;"",UPPER(_xlpm.MyAuditVal),_xlpm.MacVal&lt;&gt;"",_xlpm.MacVal,_xlpm.CSVVal&lt;&gt;"",_xlpm.CSVVal
)),"")</f>
        <v/>
      </c>
      <c r="E112" s="46" t="str" cm="1">
        <f t="array" ref="E112">IFERROR(_xlfn.LET(
_xlpm.CSVVal,_xlfn.XLOOKUP($A112,CSV!$A:$A,CSV!E:E,""),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_xlpm.CSVVal,_xlfn.XLOOKUP($A112,CSV!$A:$A,CSV!G:G,""),
_xlpm.MacVal,_xlfn.XLOOKUP($A112,Output_Mac!$A:$A,Output_Mac!G:G,""),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_xlfn.XLOOKUP(A112,Output_Mac!A:A,Output_Mac!H:H,"")</f>
        <v/>
      </c>
      <c r="I112" s="45" t="str" cm="1">
        <f t="array" ref="I112">IFERROR(_xlfn.LET(
_xlpm.CSVVal,_xlfn.XLOOKUP($A112,CSV!$A:$A,CSV!H:H,""),
_xlpm.MacVal,_xlfn.XLOOKUP($A112,Output_Mac!$A:$A,Output_Mac!I:I,""),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_xlpm.CSVVal,_xlfn.XLOOKUP($A112,CSV!$A:$A,CSV!J:J,""),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6" t="str" cm="1">
        <f t="array" ref="K112">IFERROR(_xlfn.LET(
_xlpm.CSVVal,_xlfn.XLOOKUP($A112,CSV!$A:$A,CSV!N:N,""),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_xlpm.CSVVal,_xlfn.XLOOKUP($A112,CSV!$A:$A,CSV!Q:Q,""),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CSV!AE:AE,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_xlpm.CSVVal,_xlfn.XLOOKUP($A112,CSV!$A:$A,CSV!AG:AG,""),
_xlpm.MacVal,_xlfn.XLOOKUP($A112,Output_Mac!$A:$A,Output_Mac!T:T,""),
_xlpm.MyAuditVal,_xlfn.XLOOKUP($A112,My_Audit!$A:$A,My_Audit!O:O,""),
_xlfn.IFS(_xlpm.MyAuditVal&lt;&gt;"",UPPER(_xlpm.MyAuditVal),_xlpm.MacVal&lt;&gt;"",_xlpm.MacVal,_xlpm.CSVVal&lt;&gt;"",_xlpm.CSVVal
)),"")</f>
        <v/>
      </c>
      <c r="O112" s="46" t="str">
        <f>_xlfn.XLOOKUP(C112,My_Audit!B:B,My_Audit!P:P,"")&amp;""</f>
        <v/>
      </c>
      <c r="P112" s="45"/>
      <c r="Q112" s="46" t="str">
        <f>IF(LEFT(N112,4)="Pass","Nist SP 800-88",My_Audit!R112)&amp;""</f>
        <v/>
      </c>
      <c r="R112" s="45"/>
      <c r="S112" s="45"/>
      <c r="T112" s="46" t="str">
        <f>_xlfn.XLOOKUP(E112,Models!I:I,Models!J:J,"")</f>
        <v/>
      </c>
      <c r="U112" s="45"/>
      <c r="V112" s="45"/>
      <c r="W112" s="38" t="str">
        <f>_xlfn.LET(
    _xlpm.MacVal, _xlfn.XLOOKUP($A112, Output_Mac!$A:$A, Output_Mac!AA:AA, ""),
    _xlpm.MyAuditVal, _xlfn.XLOOKUP($A112, My_Audit!$A:$A, My_Audit!L:L, ""),
    _xlfn.TEXTJOIN(", ", TRUE, _xlpm.MyAuditVal, _xlpm.MacVal)
)</f>
        <v/>
      </c>
    </row>
    <row r="113" spans="1:23">
      <c r="A113" s="45" t="str">
        <f>_xlfn.TEXTJOIN("",TRUE,Input!$B$2,ROW(My_Audit!A112))</f>
        <v>CC112</v>
      </c>
      <c r="B113" s="45" t="str">
        <f>_xlfn.TEXTJOIN("-",TRUE,"ITD",Input!$A$2,A113)</f>
        <v>ITD-XXX-CC112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_xlpm.CSVVal,_xlfn.XLOOKUP($A113,CSV!$A:$A,CSV!C:C,""),
_xlpm.MacVal,_xlfn.XLOOKUP($A113,Output_Mac!$A:$A,Output_Mac!D:D,""),
_xlpm.MyAuditVal,_xlfn.XLOOKUP($A113,My_Audit!$A:$A,My_Audit!C:C,""),
_xlfn.IFS(_xlpm.MyAuditVal&lt;&gt;"",UPPER(_xlpm.MyAuditVal),_xlpm.MacVal&lt;&gt;"",_xlpm.MacVal,_xlpm.CSVVal&lt;&gt;"",_xlpm.CSVVal
)),"")</f>
        <v/>
      </c>
      <c r="E113" s="46" t="str" cm="1">
        <f t="array" ref="E113">IFERROR(_xlfn.LET(
_xlpm.CSVVal,_xlfn.XLOOKUP($A113,CSV!$A:$A,CSV!E:E,""),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_xlpm.CSVVal,_xlfn.XLOOKUP($A113,CSV!$A:$A,CSV!G:G,""),
_xlpm.MacVal,_xlfn.XLOOKUP($A113,Output_Mac!$A:$A,Output_Mac!G:G,""),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_xlfn.XLOOKUP(A113,Output_Mac!A:A,Output_Mac!H:H,"")</f>
        <v/>
      </c>
      <c r="I113" s="45" t="str" cm="1">
        <f t="array" ref="I113">IFERROR(_xlfn.LET(
_xlpm.CSVVal,_xlfn.XLOOKUP($A113,CSV!$A:$A,CSV!H:H,""),
_xlpm.MacVal,_xlfn.XLOOKUP($A113,Output_Mac!$A:$A,Output_Mac!I:I,""),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_xlpm.CSVVal,_xlfn.XLOOKUP($A113,CSV!$A:$A,CSV!J:J,""),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6" t="str" cm="1">
        <f t="array" ref="K113">IFERROR(_xlfn.LET(
_xlpm.CSVVal,_xlfn.XLOOKUP($A113,CSV!$A:$A,CSV!N:N,""),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_xlpm.CSVVal,_xlfn.XLOOKUP($A113,CSV!$A:$A,CSV!Q:Q,""),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CSV!AE:AE,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_xlpm.CSVVal,_xlfn.XLOOKUP($A113,CSV!$A:$A,CSV!AG:AG,""),
_xlpm.MacVal,_xlfn.XLOOKUP($A113,Output_Mac!$A:$A,Output_Mac!T:T,""),
_xlpm.MyAuditVal,_xlfn.XLOOKUP($A113,My_Audit!$A:$A,My_Audit!O:O,""),
_xlfn.IFS(_xlpm.MyAuditVal&lt;&gt;"",UPPER(_xlpm.MyAuditVal),_xlpm.MacVal&lt;&gt;"",_xlpm.MacVal,_xlpm.CSVVal&lt;&gt;"",_xlpm.CSVVal
)),"")</f>
        <v/>
      </c>
      <c r="O113" s="46" t="str">
        <f>_xlfn.XLOOKUP(C113,My_Audit!B:B,My_Audit!P:P,"")&amp;""</f>
        <v/>
      </c>
      <c r="P113" s="45"/>
      <c r="Q113" s="46" t="str">
        <f>IF(LEFT(N113,4)="Pass","Nist SP 800-88",My_Audit!R113)&amp;""</f>
        <v/>
      </c>
      <c r="R113" s="45"/>
      <c r="S113" s="45"/>
      <c r="T113" s="46" t="str">
        <f>_xlfn.XLOOKUP(E113,Models!I:I,Models!J:J,"")</f>
        <v/>
      </c>
      <c r="U113" s="45"/>
      <c r="V113" s="45"/>
      <c r="W113" s="38" t="str">
        <f>_xlfn.LET(
    _xlpm.MacVal, _xlfn.XLOOKUP($A113, Output_Mac!$A:$A, Output_Mac!AA:AA, ""),
    _xlpm.MyAuditVal, _xlfn.XLOOKUP($A113, My_Audit!$A:$A, My_Audit!L:L, ""),
    _xlfn.TEXTJOIN(", ", TRUE, _xlpm.MyAuditVal, _xlpm.MacVal)
)</f>
        <v/>
      </c>
    </row>
    <row r="114" spans="1:23">
      <c r="A114" s="45" t="str">
        <f>_xlfn.TEXTJOIN("",TRUE,Input!$B$2,ROW(My_Audit!A113))</f>
        <v>CC113</v>
      </c>
      <c r="B114" s="45" t="str">
        <f>_xlfn.TEXTJOIN("-",TRUE,"ITD",Input!$A$2,A114)</f>
        <v>ITD-XXX-CC113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_xlpm.CSVVal,_xlfn.XLOOKUP($A114,CSV!$A:$A,CSV!C:C,""),
_xlpm.MacVal,_xlfn.XLOOKUP($A114,Output_Mac!$A:$A,Output_Mac!D:D,""),
_xlpm.MyAuditVal,_xlfn.XLOOKUP($A114,My_Audit!$A:$A,My_Audit!C:C,""),
_xlfn.IFS(_xlpm.MyAuditVal&lt;&gt;"",UPPER(_xlpm.MyAuditVal),_xlpm.MacVal&lt;&gt;"",_xlpm.MacVal,_xlpm.CSVVal&lt;&gt;"",_xlpm.CSVVal
)),"")</f>
        <v/>
      </c>
      <c r="E114" s="46" t="str" cm="1">
        <f t="array" ref="E114">IFERROR(_xlfn.LET(
_xlpm.CSVVal,_xlfn.XLOOKUP($A114,CSV!$A:$A,CSV!E:E,""),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_xlpm.CSVVal,_xlfn.XLOOKUP($A114,CSV!$A:$A,CSV!G:G,""),
_xlpm.MacVal,_xlfn.XLOOKUP($A114,Output_Mac!$A:$A,Output_Mac!G:G,""),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_xlfn.XLOOKUP(A114,Output_Mac!A:A,Output_Mac!H:H,"")</f>
        <v/>
      </c>
      <c r="I114" s="45" t="str" cm="1">
        <f t="array" ref="I114">IFERROR(_xlfn.LET(
_xlpm.CSVVal,_xlfn.XLOOKUP($A114,CSV!$A:$A,CSV!H:H,""),
_xlpm.MacVal,_xlfn.XLOOKUP($A114,Output_Mac!$A:$A,Output_Mac!I:I,""),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_xlpm.CSVVal,_xlfn.XLOOKUP($A114,CSV!$A:$A,CSV!J:J,""),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6" t="str" cm="1">
        <f t="array" ref="K114">IFERROR(_xlfn.LET(
_xlpm.CSVVal,_xlfn.XLOOKUP($A114,CSV!$A:$A,CSV!N:N,""),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_xlpm.CSVVal,_xlfn.XLOOKUP($A114,CSV!$A:$A,CSV!Q:Q,""),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CSV!AE:AE,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_xlpm.CSVVal,_xlfn.XLOOKUP($A114,CSV!$A:$A,CSV!AG:AG,""),
_xlpm.MacVal,_xlfn.XLOOKUP($A114,Output_Mac!$A:$A,Output_Mac!T:T,""),
_xlpm.MyAuditVal,_xlfn.XLOOKUP($A114,My_Audit!$A:$A,My_Audit!O:O,""),
_xlfn.IFS(_xlpm.MyAuditVal&lt;&gt;"",UPPER(_xlpm.MyAuditVal),_xlpm.MacVal&lt;&gt;"",_xlpm.MacVal,_xlpm.CSVVal&lt;&gt;"",_xlpm.CSVVal
)),"")</f>
        <v/>
      </c>
      <c r="O114" s="46" t="str">
        <f>_xlfn.XLOOKUP(C114,My_Audit!B:B,My_Audit!P:P,"")&amp;""</f>
        <v/>
      </c>
      <c r="P114" s="45"/>
      <c r="Q114" s="46" t="str">
        <f>IF(LEFT(N114,4)="Pass","Nist SP 800-88",My_Audit!R114)&amp;""</f>
        <v/>
      </c>
      <c r="R114" s="45"/>
      <c r="S114" s="45"/>
      <c r="T114" s="46" t="str">
        <f>_xlfn.XLOOKUP(E114,Models!I:I,Models!J:J,"")</f>
        <v/>
      </c>
      <c r="U114" s="45"/>
      <c r="V114" s="45"/>
      <c r="W114" s="38" t="str">
        <f>_xlfn.LET(
    _xlpm.MacVal, _xlfn.XLOOKUP($A114, Output_Mac!$A:$A, Output_Mac!AA:AA, ""),
    _xlpm.MyAuditVal, _xlfn.XLOOKUP($A114, My_Audit!$A:$A, My_Audit!L:L, ""),
    _xlfn.TEXTJOIN(", ", TRUE, _xlpm.MyAuditVal, _xlpm.MacVal)
)</f>
        <v/>
      </c>
    </row>
    <row r="115" spans="1:23">
      <c r="A115" s="45" t="str">
        <f>_xlfn.TEXTJOIN("",TRUE,Input!$B$2,ROW(My_Audit!A114))</f>
        <v>CC114</v>
      </c>
      <c r="B115" s="45" t="str">
        <f>_xlfn.TEXTJOIN("-",TRUE,"ITD",Input!$A$2,A115)</f>
        <v>ITD-XXX-CC114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_xlpm.CSVVal,_xlfn.XLOOKUP($A115,CSV!$A:$A,CSV!C:C,""),
_xlpm.MacVal,_xlfn.XLOOKUP($A115,Output_Mac!$A:$A,Output_Mac!D:D,""),
_xlpm.MyAuditVal,_xlfn.XLOOKUP($A115,My_Audit!$A:$A,My_Audit!C:C,""),
_xlfn.IFS(_xlpm.MyAuditVal&lt;&gt;"",UPPER(_xlpm.MyAuditVal),_xlpm.MacVal&lt;&gt;"",_xlpm.MacVal,_xlpm.CSVVal&lt;&gt;"",_xlpm.CSVVal
)),"")</f>
        <v/>
      </c>
      <c r="E115" s="46" t="str" cm="1">
        <f t="array" ref="E115">IFERROR(_xlfn.LET(
_xlpm.CSVVal,_xlfn.XLOOKUP($A115,CSV!$A:$A,CSV!E:E,""),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_xlpm.CSVVal,_xlfn.XLOOKUP($A115,CSV!$A:$A,CSV!G:G,""),
_xlpm.MacVal,_xlfn.XLOOKUP($A115,Output_Mac!$A:$A,Output_Mac!G:G,""),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_xlfn.XLOOKUP(A115,Output_Mac!A:A,Output_Mac!H:H,"")</f>
        <v/>
      </c>
      <c r="I115" s="45" t="str" cm="1">
        <f t="array" ref="I115">IFERROR(_xlfn.LET(
_xlpm.CSVVal,_xlfn.XLOOKUP($A115,CSV!$A:$A,CSV!H:H,""),
_xlpm.MacVal,_xlfn.XLOOKUP($A115,Output_Mac!$A:$A,Output_Mac!I:I,""),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_xlpm.CSVVal,_xlfn.XLOOKUP($A115,CSV!$A:$A,CSV!J:J,""),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6" t="str" cm="1">
        <f t="array" ref="K115">IFERROR(_xlfn.LET(
_xlpm.CSVVal,_xlfn.XLOOKUP($A115,CSV!$A:$A,CSV!N:N,""),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_xlpm.CSVVal,_xlfn.XLOOKUP($A115,CSV!$A:$A,CSV!Q:Q,""),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CSV!AE:AE,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_xlpm.CSVVal,_xlfn.XLOOKUP($A115,CSV!$A:$A,CSV!AG:AG,""),
_xlpm.MacVal,_xlfn.XLOOKUP($A115,Output_Mac!$A:$A,Output_Mac!T:T,""),
_xlpm.MyAuditVal,_xlfn.XLOOKUP($A115,My_Audit!$A:$A,My_Audit!O:O,""),
_xlfn.IFS(_xlpm.MyAuditVal&lt;&gt;"",UPPER(_xlpm.MyAuditVal),_xlpm.MacVal&lt;&gt;"",_xlpm.MacVal,_xlpm.CSVVal&lt;&gt;"",_xlpm.CSVVal
)),"")</f>
        <v/>
      </c>
      <c r="O115" s="46" t="str">
        <f>_xlfn.XLOOKUP(C115,My_Audit!B:B,My_Audit!P:P,"")&amp;""</f>
        <v/>
      </c>
      <c r="P115" s="45"/>
      <c r="Q115" s="46" t="str">
        <f>IF(LEFT(N115,4)="Pass","Nist SP 800-88",My_Audit!R115)&amp;""</f>
        <v/>
      </c>
      <c r="R115" s="45"/>
      <c r="S115" s="45"/>
      <c r="T115" s="46" t="str">
        <f>_xlfn.XLOOKUP(E115,Models!I:I,Models!J:J,"")</f>
        <v/>
      </c>
      <c r="U115" s="45"/>
      <c r="V115" s="45"/>
      <c r="W115" s="38" t="str">
        <f>_xlfn.LET(
    _xlpm.MacVal, _xlfn.XLOOKUP($A115, Output_Mac!$A:$A, Output_Mac!AA:AA, ""),
    _xlpm.MyAuditVal, _xlfn.XLOOKUP($A115, My_Audit!$A:$A, My_Audit!L:L, ""),
    _xlfn.TEXTJOIN(", ", TRUE, _xlpm.MyAuditVal, _xlpm.MacVal)
)</f>
        <v/>
      </c>
    </row>
    <row r="116" spans="1:23">
      <c r="A116" s="45" t="str">
        <f>_xlfn.TEXTJOIN("",TRUE,Input!$B$2,ROW(My_Audit!A115))</f>
        <v>CC115</v>
      </c>
      <c r="B116" s="45" t="str">
        <f>_xlfn.TEXTJOIN("-",TRUE,"ITD",Input!$A$2,A116)</f>
        <v>ITD-XXX-CC115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_xlpm.CSVVal,_xlfn.XLOOKUP($A116,CSV!$A:$A,CSV!C:C,""),
_xlpm.MacVal,_xlfn.XLOOKUP($A116,Output_Mac!$A:$A,Output_Mac!D:D,""),
_xlpm.MyAuditVal,_xlfn.XLOOKUP($A116,My_Audit!$A:$A,My_Audit!C:C,""),
_xlfn.IFS(_xlpm.MyAuditVal&lt;&gt;"",UPPER(_xlpm.MyAuditVal),_xlpm.MacVal&lt;&gt;"",_xlpm.MacVal,_xlpm.CSVVal&lt;&gt;"",_xlpm.CSVVal
)),"")</f>
        <v/>
      </c>
      <c r="E116" s="46" t="str" cm="1">
        <f t="array" ref="E116">IFERROR(_xlfn.LET(
_xlpm.CSVVal,_xlfn.XLOOKUP($A116,CSV!$A:$A,CSV!E:E,""),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_xlpm.CSVVal,_xlfn.XLOOKUP($A116,CSV!$A:$A,CSV!G:G,""),
_xlpm.MacVal,_xlfn.XLOOKUP($A116,Output_Mac!$A:$A,Output_Mac!G:G,""),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_xlfn.XLOOKUP(A116,Output_Mac!A:A,Output_Mac!H:H,"")</f>
        <v/>
      </c>
      <c r="I116" s="45" t="str" cm="1">
        <f t="array" ref="I116">IFERROR(_xlfn.LET(
_xlpm.CSVVal,_xlfn.XLOOKUP($A116,CSV!$A:$A,CSV!H:H,""),
_xlpm.MacVal,_xlfn.XLOOKUP($A116,Output_Mac!$A:$A,Output_Mac!I:I,""),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_xlpm.CSVVal,_xlfn.XLOOKUP($A116,CSV!$A:$A,CSV!J:J,""),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6" t="str" cm="1">
        <f t="array" ref="K116">IFERROR(_xlfn.LET(
_xlpm.CSVVal,_xlfn.XLOOKUP($A116,CSV!$A:$A,CSV!N:N,""),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_xlpm.CSVVal,_xlfn.XLOOKUP($A116,CSV!$A:$A,CSV!Q:Q,""),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CSV!AE:AE,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_xlpm.CSVVal,_xlfn.XLOOKUP($A116,CSV!$A:$A,CSV!AG:AG,""),
_xlpm.MacVal,_xlfn.XLOOKUP($A116,Output_Mac!$A:$A,Output_Mac!T:T,""),
_xlpm.MyAuditVal,_xlfn.XLOOKUP($A116,My_Audit!$A:$A,My_Audit!O:O,""),
_xlfn.IFS(_xlpm.MyAuditVal&lt;&gt;"",UPPER(_xlpm.MyAuditVal),_xlpm.MacVal&lt;&gt;"",_xlpm.MacVal,_xlpm.CSVVal&lt;&gt;"",_xlpm.CSVVal
)),"")</f>
        <v/>
      </c>
      <c r="O116" s="46" t="str">
        <f>_xlfn.XLOOKUP(C116,My_Audit!B:B,My_Audit!P:P,"")&amp;""</f>
        <v/>
      </c>
      <c r="P116" s="45"/>
      <c r="Q116" s="46" t="str">
        <f>IF(LEFT(N116,4)="Pass","Nist SP 800-88",My_Audit!R116)&amp;""</f>
        <v/>
      </c>
      <c r="R116" s="45"/>
      <c r="S116" s="45"/>
      <c r="T116" s="46" t="str">
        <f>_xlfn.XLOOKUP(E116,Models!I:I,Models!J:J,"")</f>
        <v/>
      </c>
      <c r="U116" s="45"/>
      <c r="V116" s="45"/>
      <c r="W116" s="38" t="str">
        <f>_xlfn.LET(
    _xlpm.MacVal, _xlfn.XLOOKUP($A116, Output_Mac!$A:$A, Output_Mac!AA:AA, ""),
    _xlpm.MyAuditVal, _xlfn.XLOOKUP($A116, My_Audit!$A:$A, My_Audit!L:L, ""),
    _xlfn.TEXTJOIN(", ", TRUE, _xlpm.MyAuditVal, _xlpm.MacVal)
)</f>
        <v/>
      </c>
    </row>
    <row r="117" spans="1:23">
      <c r="A117" s="45" t="str">
        <f>_xlfn.TEXTJOIN("",TRUE,Input!$B$2,ROW(My_Audit!A116))</f>
        <v>CC116</v>
      </c>
      <c r="B117" s="45" t="str">
        <f>_xlfn.TEXTJOIN("-",TRUE,"ITD",Input!$A$2,A117)</f>
        <v>ITD-XXX-CC116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_xlpm.CSVVal,_xlfn.XLOOKUP($A117,CSV!$A:$A,CSV!C:C,""),
_xlpm.MacVal,_xlfn.XLOOKUP($A117,Output_Mac!$A:$A,Output_Mac!D:D,""),
_xlpm.MyAuditVal,_xlfn.XLOOKUP($A117,My_Audit!$A:$A,My_Audit!C:C,""),
_xlfn.IFS(_xlpm.MyAuditVal&lt;&gt;"",UPPER(_xlpm.MyAuditVal),_xlpm.MacVal&lt;&gt;"",_xlpm.MacVal,_xlpm.CSVVal&lt;&gt;"",_xlpm.CSVVal
)),"")</f>
        <v/>
      </c>
      <c r="E117" s="46" t="str" cm="1">
        <f t="array" ref="E117">IFERROR(_xlfn.LET(
_xlpm.CSVVal,_xlfn.XLOOKUP($A117,CSV!$A:$A,CSV!E:E,""),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_xlpm.CSVVal,_xlfn.XLOOKUP($A117,CSV!$A:$A,CSV!G:G,""),
_xlpm.MacVal,_xlfn.XLOOKUP($A117,Output_Mac!$A:$A,Output_Mac!G:G,""),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_xlfn.XLOOKUP(A117,Output_Mac!A:A,Output_Mac!H:H,"")</f>
        <v/>
      </c>
      <c r="I117" s="45" t="str" cm="1">
        <f t="array" ref="I117">IFERROR(_xlfn.LET(
_xlpm.CSVVal,_xlfn.XLOOKUP($A117,CSV!$A:$A,CSV!H:H,""),
_xlpm.MacVal,_xlfn.XLOOKUP($A117,Output_Mac!$A:$A,Output_Mac!I:I,""),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_xlpm.CSVVal,_xlfn.XLOOKUP($A117,CSV!$A:$A,CSV!J:J,""),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6" t="str" cm="1">
        <f t="array" ref="K117">IFERROR(_xlfn.LET(
_xlpm.CSVVal,_xlfn.XLOOKUP($A117,CSV!$A:$A,CSV!N:N,""),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_xlpm.CSVVal,_xlfn.XLOOKUP($A117,CSV!$A:$A,CSV!Q:Q,""),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CSV!AE:AE,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_xlpm.CSVVal,_xlfn.XLOOKUP($A117,CSV!$A:$A,CSV!AG:AG,""),
_xlpm.MacVal,_xlfn.XLOOKUP($A117,Output_Mac!$A:$A,Output_Mac!T:T,""),
_xlpm.MyAuditVal,_xlfn.XLOOKUP($A117,My_Audit!$A:$A,My_Audit!O:O,""),
_xlfn.IFS(_xlpm.MyAuditVal&lt;&gt;"",UPPER(_xlpm.MyAuditVal),_xlpm.MacVal&lt;&gt;"",_xlpm.MacVal,_xlpm.CSVVal&lt;&gt;"",_xlpm.CSVVal
)),"")</f>
        <v/>
      </c>
      <c r="O117" s="46" t="str">
        <f>_xlfn.XLOOKUP(C117,My_Audit!B:B,My_Audit!P:P,"")&amp;""</f>
        <v/>
      </c>
      <c r="P117" s="45"/>
      <c r="Q117" s="46" t="str">
        <f>IF(LEFT(N117,4)="Pass","Nist SP 800-88",My_Audit!R117)&amp;""</f>
        <v/>
      </c>
      <c r="R117" s="45"/>
      <c r="S117" s="45"/>
      <c r="T117" s="46" t="str">
        <f>_xlfn.XLOOKUP(E117,Models!I:I,Models!J:J,"")</f>
        <v/>
      </c>
      <c r="U117" s="45"/>
      <c r="V117" s="45"/>
      <c r="W117" s="38" t="str">
        <f>_xlfn.LET(
    _xlpm.MacVal, _xlfn.XLOOKUP($A117, Output_Mac!$A:$A, Output_Mac!AA:AA, ""),
    _xlpm.MyAuditVal, _xlfn.XLOOKUP($A117, My_Audit!$A:$A, My_Audit!L:L, ""),
    _xlfn.TEXTJOIN(", ", TRUE, _xlpm.MyAuditVal, _xlpm.MacVal)
)</f>
        <v/>
      </c>
    </row>
    <row r="118" spans="1:23">
      <c r="A118" s="45" t="str">
        <f>_xlfn.TEXTJOIN("",TRUE,Input!$B$2,ROW(My_Audit!A117))</f>
        <v>CC117</v>
      </c>
      <c r="B118" s="45" t="str">
        <f>_xlfn.TEXTJOIN("-",TRUE,"ITD",Input!$A$2,A118)</f>
        <v>ITD-XXX-CC117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_xlpm.CSVVal,_xlfn.XLOOKUP($A118,CSV!$A:$A,CSV!C:C,""),
_xlpm.MacVal,_xlfn.XLOOKUP($A118,Output_Mac!$A:$A,Output_Mac!D:D,""),
_xlpm.MyAuditVal,_xlfn.XLOOKUP($A118,My_Audit!$A:$A,My_Audit!C:C,""),
_xlfn.IFS(_xlpm.MyAuditVal&lt;&gt;"",UPPER(_xlpm.MyAuditVal),_xlpm.MacVal&lt;&gt;"",_xlpm.MacVal,_xlpm.CSVVal&lt;&gt;"",_xlpm.CSVVal
)),"")</f>
        <v/>
      </c>
      <c r="E118" s="46" t="str" cm="1">
        <f t="array" ref="E118">IFERROR(_xlfn.LET(
_xlpm.CSVVal,_xlfn.XLOOKUP($A118,CSV!$A:$A,CSV!E:E,""),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_xlpm.CSVVal,_xlfn.XLOOKUP($A118,CSV!$A:$A,CSV!G:G,""),
_xlpm.MacVal,_xlfn.XLOOKUP($A118,Output_Mac!$A:$A,Output_Mac!G:G,""),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_xlfn.XLOOKUP(A118,Output_Mac!A:A,Output_Mac!H:H,"")</f>
        <v/>
      </c>
      <c r="I118" s="45" t="str" cm="1">
        <f t="array" ref="I118">IFERROR(_xlfn.LET(
_xlpm.CSVVal,_xlfn.XLOOKUP($A118,CSV!$A:$A,CSV!H:H,""),
_xlpm.MacVal,_xlfn.XLOOKUP($A118,Output_Mac!$A:$A,Output_Mac!I:I,""),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_xlpm.CSVVal,_xlfn.XLOOKUP($A118,CSV!$A:$A,CSV!J:J,""),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6" t="str" cm="1">
        <f t="array" ref="K118">IFERROR(_xlfn.LET(
_xlpm.CSVVal,_xlfn.XLOOKUP($A118,CSV!$A:$A,CSV!N:N,""),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_xlpm.CSVVal,_xlfn.XLOOKUP($A118,CSV!$A:$A,CSV!Q:Q,""),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CSV!AE:AE,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_xlpm.CSVVal,_xlfn.XLOOKUP($A118,CSV!$A:$A,CSV!AG:AG,""),
_xlpm.MacVal,_xlfn.XLOOKUP($A118,Output_Mac!$A:$A,Output_Mac!T:T,""),
_xlpm.MyAuditVal,_xlfn.XLOOKUP($A118,My_Audit!$A:$A,My_Audit!O:O,""),
_xlfn.IFS(_xlpm.MyAuditVal&lt;&gt;"",UPPER(_xlpm.MyAuditVal),_xlpm.MacVal&lt;&gt;"",_xlpm.MacVal,_xlpm.CSVVal&lt;&gt;"",_xlpm.CSVVal
)),"")</f>
        <v/>
      </c>
      <c r="O118" s="46" t="str">
        <f>_xlfn.XLOOKUP(C118,My_Audit!B:B,My_Audit!P:P,"")&amp;""</f>
        <v/>
      </c>
      <c r="P118" s="45"/>
      <c r="Q118" s="46" t="str">
        <f>IF(LEFT(N118,4)="Pass","Nist SP 800-88",My_Audit!R118)&amp;""</f>
        <v/>
      </c>
      <c r="R118" s="45"/>
      <c r="S118" s="45"/>
      <c r="T118" s="46" t="str">
        <f>_xlfn.XLOOKUP(E118,Models!I:I,Models!J:J,"")</f>
        <v/>
      </c>
      <c r="U118" s="45"/>
      <c r="V118" s="45"/>
      <c r="W118" s="38" t="str">
        <f>_xlfn.LET(
    _xlpm.MacVal, _xlfn.XLOOKUP($A118, Output_Mac!$A:$A, Output_Mac!AA:AA, ""),
    _xlpm.MyAuditVal, _xlfn.XLOOKUP($A118, My_Audit!$A:$A, My_Audit!L:L, ""),
    _xlfn.TEXTJOIN(", ", TRUE, _xlpm.MyAuditVal, _xlpm.MacVal)
)</f>
        <v/>
      </c>
    </row>
    <row r="119" spans="1:23">
      <c r="A119" s="45" t="str">
        <f>_xlfn.TEXTJOIN("",TRUE,Input!$B$2,ROW(My_Audit!A118))</f>
        <v>CC118</v>
      </c>
      <c r="B119" s="45" t="str">
        <f>_xlfn.TEXTJOIN("-",TRUE,"ITD",Input!$A$2,A119)</f>
        <v>ITD-XXX-CC118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_xlpm.CSVVal,_xlfn.XLOOKUP($A119,CSV!$A:$A,CSV!C:C,""),
_xlpm.MacVal,_xlfn.XLOOKUP($A119,Output_Mac!$A:$A,Output_Mac!D:D,""),
_xlpm.MyAuditVal,_xlfn.XLOOKUP($A119,My_Audit!$A:$A,My_Audit!C:C,""),
_xlfn.IFS(_xlpm.MyAuditVal&lt;&gt;"",UPPER(_xlpm.MyAuditVal),_xlpm.MacVal&lt;&gt;"",_xlpm.MacVal,_xlpm.CSVVal&lt;&gt;"",_xlpm.CSVVal
)),"")</f>
        <v/>
      </c>
      <c r="E119" s="46" t="str" cm="1">
        <f t="array" ref="E119">IFERROR(_xlfn.LET(
_xlpm.CSVVal,_xlfn.XLOOKUP($A119,CSV!$A:$A,CSV!E:E,""),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_xlpm.CSVVal,_xlfn.XLOOKUP($A119,CSV!$A:$A,CSV!G:G,""),
_xlpm.MacVal,_xlfn.XLOOKUP($A119,Output_Mac!$A:$A,Output_Mac!G:G,""),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_xlfn.XLOOKUP(A119,Output_Mac!A:A,Output_Mac!H:H,"")</f>
        <v/>
      </c>
      <c r="I119" s="45" t="str" cm="1">
        <f t="array" ref="I119">IFERROR(_xlfn.LET(
_xlpm.CSVVal,_xlfn.XLOOKUP($A119,CSV!$A:$A,CSV!H:H,""),
_xlpm.MacVal,_xlfn.XLOOKUP($A119,Output_Mac!$A:$A,Output_Mac!I:I,""),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_xlpm.CSVVal,_xlfn.XLOOKUP($A119,CSV!$A:$A,CSV!J:J,""),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6" t="str" cm="1">
        <f t="array" ref="K119">IFERROR(_xlfn.LET(
_xlpm.CSVVal,_xlfn.XLOOKUP($A119,CSV!$A:$A,CSV!N:N,""),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_xlpm.CSVVal,_xlfn.XLOOKUP($A119,CSV!$A:$A,CSV!Q:Q,""),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CSV!AE:AE,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_xlpm.CSVVal,_xlfn.XLOOKUP($A119,CSV!$A:$A,CSV!AG:AG,""),
_xlpm.MacVal,_xlfn.XLOOKUP($A119,Output_Mac!$A:$A,Output_Mac!T:T,""),
_xlpm.MyAuditVal,_xlfn.XLOOKUP($A119,My_Audit!$A:$A,My_Audit!O:O,""),
_xlfn.IFS(_xlpm.MyAuditVal&lt;&gt;"",UPPER(_xlpm.MyAuditVal),_xlpm.MacVal&lt;&gt;"",_xlpm.MacVal,_xlpm.CSVVal&lt;&gt;"",_xlpm.CSVVal
)),"")</f>
        <v/>
      </c>
      <c r="O119" s="46" t="str">
        <f>_xlfn.XLOOKUP(C119,My_Audit!B:B,My_Audit!P:P,"")&amp;""</f>
        <v/>
      </c>
      <c r="P119" s="45"/>
      <c r="Q119" s="46" t="str">
        <f>IF(LEFT(N119,4)="Pass","Nist SP 800-88",My_Audit!R119)&amp;""</f>
        <v/>
      </c>
      <c r="R119" s="45"/>
      <c r="S119" s="45"/>
      <c r="T119" s="46" t="str">
        <f>_xlfn.XLOOKUP(E119,Models!I:I,Models!J:J,"")</f>
        <v/>
      </c>
      <c r="U119" s="45"/>
      <c r="V119" s="45"/>
      <c r="W119" s="38" t="str">
        <f>_xlfn.LET(
    _xlpm.MacVal, _xlfn.XLOOKUP($A119, Output_Mac!$A:$A, Output_Mac!AA:AA, ""),
    _xlpm.MyAuditVal, _xlfn.XLOOKUP($A119, My_Audit!$A:$A, My_Audit!L:L, ""),
    _xlfn.TEXTJOIN(", ", TRUE, _xlpm.MyAuditVal, _xlpm.MacVal)
)</f>
        <v/>
      </c>
    </row>
    <row r="120" spans="1:23">
      <c r="A120" s="45" t="str">
        <f>_xlfn.TEXTJOIN("",TRUE,Input!$B$2,ROW(My_Audit!A119))</f>
        <v>CC119</v>
      </c>
      <c r="B120" s="45" t="str">
        <f>_xlfn.TEXTJOIN("-",TRUE,"ITD",Input!$A$2,A120)</f>
        <v>ITD-XXX-CC119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_xlpm.CSVVal,_xlfn.XLOOKUP($A120,CSV!$A:$A,CSV!C:C,""),
_xlpm.MacVal,_xlfn.XLOOKUP($A120,Output_Mac!$A:$A,Output_Mac!D:D,""),
_xlpm.MyAuditVal,_xlfn.XLOOKUP($A120,My_Audit!$A:$A,My_Audit!C:C,""),
_xlfn.IFS(_xlpm.MyAuditVal&lt;&gt;"",UPPER(_xlpm.MyAuditVal),_xlpm.MacVal&lt;&gt;"",_xlpm.MacVal,_xlpm.CSVVal&lt;&gt;"",_xlpm.CSVVal
)),"")</f>
        <v/>
      </c>
      <c r="E120" s="46" t="str" cm="1">
        <f t="array" ref="E120">IFERROR(_xlfn.LET(
_xlpm.CSVVal,_xlfn.XLOOKUP($A120,CSV!$A:$A,CSV!E:E,""),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_xlpm.CSVVal,_xlfn.XLOOKUP($A120,CSV!$A:$A,CSV!G:G,""),
_xlpm.MacVal,_xlfn.XLOOKUP($A120,Output_Mac!$A:$A,Output_Mac!G:G,""),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_xlfn.XLOOKUP(A120,Output_Mac!A:A,Output_Mac!H:H,"")</f>
        <v/>
      </c>
      <c r="I120" s="45" t="str" cm="1">
        <f t="array" ref="I120">IFERROR(_xlfn.LET(
_xlpm.CSVVal,_xlfn.XLOOKUP($A120,CSV!$A:$A,CSV!H:H,""),
_xlpm.MacVal,_xlfn.XLOOKUP($A120,Output_Mac!$A:$A,Output_Mac!I:I,""),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_xlpm.CSVVal,_xlfn.XLOOKUP($A120,CSV!$A:$A,CSV!J:J,""),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6" t="str" cm="1">
        <f t="array" ref="K120">IFERROR(_xlfn.LET(
_xlpm.CSVVal,_xlfn.XLOOKUP($A120,CSV!$A:$A,CSV!N:N,""),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_xlpm.CSVVal,_xlfn.XLOOKUP($A120,CSV!$A:$A,CSV!Q:Q,""),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CSV!AE:AE,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_xlpm.CSVVal,_xlfn.XLOOKUP($A120,CSV!$A:$A,CSV!AG:AG,""),
_xlpm.MacVal,_xlfn.XLOOKUP($A120,Output_Mac!$A:$A,Output_Mac!T:T,""),
_xlpm.MyAuditVal,_xlfn.XLOOKUP($A120,My_Audit!$A:$A,My_Audit!O:O,""),
_xlfn.IFS(_xlpm.MyAuditVal&lt;&gt;"",UPPER(_xlpm.MyAuditVal),_xlpm.MacVal&lt;&gt;"",_xlpm.MacVal,_xlpm.CSVVal&lt;&gt;"",_xlpm.CSVVal
)),"")</f>
        <v/>
      </c>
      <c r="O120" s="46" t="str">
        <f>_xlfn.XLOOKUP(C120,My_Audit!B:B,My_Audit!P:P,"")&amp;""</f>
        <v/>
      </c>
      <c r="P120" s="45"/>
      <c r="Q120" s="46" t="str">
        <f>IF(LEFT(N120,4)="Pass","Nist SP 800-88",My_Audit!R120)&amp;""</f>
        <v/>
      </c>
      <c r="R120" s="45"/>
      <c r="S120" s="45"/>
      <c r="T120" s="46" t="str">
        <f>_xlfn.XLOOKUP(E120,Models!I:I,Models!J:J,"")</f>
        <v/>
      </c>
      <c r="U120" s="45"/>
      <c r="V120" s="45"/>
      <c r="W120" s="38" t="str">
        <f>_xlfn.LET(
    _xlpm.MacVal, _xlfn.XLOOKUP($A120, Output_Mac!$A:$A, Output_Mac!AA:AA, ""),
    _xlpm.MyAuditVal, _xlfn.XLOOKUP($A120, My_Audit!$A:$A, My_Audit!L:L, ""),
    _xlfn.TEXTJOIN(", ", TRUE, _xlpm.MyAuditVal, _xlpm.MacVal)
)</f>
        <v/>
      </c>
    </row>
    <row r="121" spans="1:23">
      <c r="A121" s="45" t="str">
        <f>_xlfn.TEXTJOIN("",TRUE,Input!$B$2,ROW(My_Audit!A120))</f>
        <v>CC120</v>
      </c>
      <c r="B121" s="45" t="str">
        <f>_xlfn.TEXTJOIN("-",TRUE,"ITD",Input!$A$2,A121)</f>
        <v>ITD-XXX-CC120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_xlpm.CSVVal,_xlfn.XLOOKUP($A121,CSV!$A:$A,CSV!C:C,""),
_xlpm.MacVal,_xlfn.XLOOKUP($A121,Output_Mac!$A:$A,Output_Mac!D:D,""),
_xlpm.MyAuditVal,_xlfn.XLOOKUP($A121,My_Audit!$A:$A,My_Audit!C:C,""),
_xlfn.IFS(_xlpm.MyAuditVal&lt;&gt;"",UPPER(_xlpm.MyAuditVal),_xlpm.MacVal&lt;&gt;"",_xlpm.MacVal,_xlpm.CSVVal&lt;&gt;"",_xlpm.CSVVal
)),"")</f>
        <v/>
      </c>
      <c r="E121" s="46" t="str" cm="1">
        <f t="array" ref="E121">IFERROR(_xlfn.LET(
_xlpm.CSVVal,_xlfn.XLOOKUP($A121,CSV!$A:$A,CSV!E:E,""),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_xlpm.CSVVal,_xlfn.XLOOKUP($A121,CSV!$A:$A,CSV!G:G,""),
_xlpm.MacVal,_xlfn.XLOOKUP($A121,Output_Mac!$A:$A,Output_Mac!G:G,""),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_xlfn.XLOOKUP(A121,Output_Mac!A:A,Output_Mac!H:H,"")</f>
        <v/>
      </c>
      <c r="I121" s="45" t="str" cm="1">
        <f t="array" ref="I121">IFERROR(_xlfn.LET(
_xlpm.CSVVal,_xlfn.XLOOKUP($A121,CSV!$A:$A,CSV!H:H,""),
_xlpm.MacVal,_xlfn.XLOOKUP($A121,Output_Mac!$A:$A,Output_Mac!I:I,""),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_xlpm.CSVVal,_xlfn.XLOOKUP($A121,CSV!$A:$A,CSV!J:J,""),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6" t="str" cm="1">
        <f t="array" ref="K121">IFERROR(_xlfn.LET(
_xlpm.CSVVal,_xlfn.XLOOKUP($A121,CSV!$A:$A,CSV!N:N,""),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_xlpm.CSVVal,_xlfn.XLOOKUP($A121,CSV!$A:$A,CSV!Q:Q,""),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CSV!AE:AE,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_xlpm.CSVVal,_xlfn.XLOOKUP($A121,CSV!$A:$A,CSV!AG:AG,""),
_xlpm.MacVal,_xlfn.XLOOKUP($A121,Output_Mac!$A:$A,Output_Mac!T:T,""),
_xlpm.MyAuditVal,_xlfn.XLOOKUP($A121,My_Audit!$A:$A,My_Audit!O:O,""),
_xlfn.IFS(_xlpm.MyAuditVal&lt;&gt;"",UPPER(_xlpm.MyAuditVal),_xlpm.MacVal&lt;&gt;"",_xlpm.MacVal,_xlpm.CSVVal&lt;&gt;"",_xlpm.CSVVal
)),"")</f>
        <v/>
      </c>
      <c r="O121" s="46" t="str">
        <f>_xlfn.XLOOKUP(C121,My_Audit!B:B,My_Audit!P:P,"")&amp;""</f>
        <v/>
      </c>
      <c r="P121" s="45"/>
      <c r="Q121" s="46" t="str">
        <f>IF(LEFT(N121,4)="Pass","Nist SP 800-88",My_Audit!R121)&amp;""</f>
        <v/>
      </c>
      <c r="R121" s="45"/>
      <c r="S121" s="45"/>
      <c r="T121" s="46" t="str">
        <f>_xlfn.XLOOKUP(E121,Models!I:I,Models!J:J,"")</f>
        <v/>
      </c>
      <c r="U121" s="45"/>
      <c r="V121" s="45"/>
      <c r="W121" s="38" t="str">
        <f>_xlfn.LET(
    _xlpm.MacVal, _xlfn.XLOOKUP($A121, Output_Mac!$A:$A, Output_Mac!AA:AA, ""),
    _xlpm.MyAuditVal, _xlfn.XLOOKUP($A121, My_Audit!$A:$A, My_Audit!L:L, ""),
    _xlfn.TEXTJOIN(", ", TRUE, _xlpm.MyAuditVal, _xlpm.MacVal)
)</f>
        <v/>
      </c>
    </row>
    <row r="122" spans="1:23">
      <c r="A122" s="45" t="str">
        <f>_xlfn.TEXTJOIN("",TRUE,Input!$B$2,ROW(My_Audit!A121))</f>
        <v>CC121</v>
      </c>
      <c r="B122" s="45" t="str">
        <f>_xlfn.TEXTJOIN("-",TRUE,"ITD",Input!$A$2,A122)</f>
        <v>ITD-XXX-CC121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_xlpm.CSVVal,_xlfn.XLOOKUP($A122,CSV!$A:$A,CSV!C:C,""),
_xlpm.MacVal,_xlfn.XLOOKUP($A122,Output_Mac!$A:$A,Output_Mac!D:D,""),
_xlpm.MyAuditVal,_xlfn.XLOOKUP($A122,My_Audit!$A:$A,My_Audit!C:C,""),
_xlfn.IFS(_xlpm.MyAuditVal&lt;&gt;"",UPPER(_xlpm.MyAuditVal),_xlpm.MacVal&lt;&gt;"",_xlpm.MacVal,_xlpm.CSVVal&lt;&gt;"",_xlpm.CSVVal
)),"")</f>
        <v/>
      </c>
      <c r="E122" s="46" t="str" cm="1">
        <f t="array" ref="E122">IFERROR(_xlfn.LET(
_xlpm.CSVVal,_xlfn.XLOOKUP($A122,CSV!$A:$A,CSV!E:E,""),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_xlpm.CSVVal,_xlfn.XLOOKUP($A122,CSV!$A:$A,CSV!G:G,""),
_xlpm.MacVal,_xlfn.XLOOKUP($A122,Output_Mac!$A:$A,Output_Mac!G:G,""),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_xlfn.XLOOKUP(A122,Output_Mac!A:A,Output_Mac!H:H,"")</f>
        <v/>
      </c>
      <c r="I122" s="45" t="str" cm="1">
        <f t="array" ref="I122">IFERROR(_xlfn.LET(
_xlpm.CSVVal,_xlfn.XLOOKUP($A122,CSV!$A:$A,CSV!H:H,""),
_xlpm.MacVal,_xlfn.XLOOKUP($A122,Output_Mac!$A:$A,Output_Mac!I:I,""),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_xlpm.CSVVal,_xlfn.XLOOKUP($A122,CSV!$A:$A,CSV!J:J,""),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6" t="str" cm="1">
        <f t="array" ref="K122">IFERROR(_xlfn.LET(
_xlpm.CSVVal,_xlfn.XLOOKUP($A122,CSV!$A:$A,CSV!N:N,""),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_xlpm.CSVVal,_xlfn.XLOOKUP($A122,CSV!$A:$A,CSV!Q:Q,""),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CSV!AE:AE,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_xlpm.CSVVal,_xlfn.XLOOKUP($A122,CSV!$A:$A,CSV!AG:AG,""),
_xlpm.MacVal,_xlfn.XLOOKUP($A122,Output_Mac!$A:$A,Output_Mac!T:T,""),
_xlpm.MyAuditVal,_xlfn.XLOOKUP($A122,My_Audit!$A:$A,My_Audit!O:O,""),
_xlfn.IFS(_xlpm.MyAuditVal&lt;&gt;"",UPPER(_xlpm.MyAuditVal),_xlpm.MacVal&lt;&gt;"",_xlpm.MacVal,_xlpm.CSVVal&lt;&gt;"",_xlpm.CSVVal
)),"")</f>
        <v/>
      </c>
      <c r="O122" s="46" t="str">
        <f>_xlfn.XLOOKUP(C122,My_Audit!B:B,My_Audit!P:P,"")&amp;""</f>
        <v/>
      </c>
      <c r="P122" s="45"/>
      <c r="Q122" s="46" t="str">
        <f>IF(LEFT(N122,4)="Pass","Nist SP 800-88",My_Audit!R122)&amp;""</f>
        <v/>
      </c>
      <c r="R122" s="45"/>
      <c r="S122" s="45"/>
      <c r="T122" s="46" t="str">
        <f>_xlfn.XLOOKUP(E122,Models!I:I,Models!J:J,"")</f>
        <v/>
      </c>
      <c r="U122" s="45"/>
      <c r="V122" s="45"/>
      <c r="W122" s="38" t="str">
        <f>_xlfn.LET(
    _xlpm.MacVal, _xlfn.XLOOKUP($A122, Output_Mac!$A:$A, Output_Mac!AA:AA, ""),
    _xlpm.MyAuditVal, _xlfn.XLOOKUP($A122, My_Audit!$A:$A, My_Audit!L:L, ""),
    _xlfn.TEXTJOIN(", ", TRUE, _xlpm.MyAuditVal, _xlpm.MacVal)
)</f>
        <v/>
      </c>
    </row>
    <row r="123" spans="1:23">
      <c r="A123" s="45" t="str">
        <f>_xlfn.TEXTJOIN("",TRUE,Input!$B$2,ROW(My_Audit!A122))</f>
        <v>CC122</v>
      </c>
      <c r="B123" s="45" t="str">
        <f>_xlfn.TEXTJOIN("-",TRUE,"ITD",Input!$A$2,A123)</f>
        <v>ITD-XXX-CC122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_xlpm.CSVVal,_xlfn.XLOOKUP($A123,CSV!$A:$A,CSV!C:C,""),
_xlpm.MacVal,_xlfn.XLOOKUP($A123,Output_Mac!$A:$A,Output_Mac!D:D,""),
_xlpm.MyAuditVal,_xlfn.XLOOKUP($A123,My_Audit!$A:$A,My_Audit!C:C,""),
_xlfn.IFS(_xlpm.MyAuditVal&lt;&gt;"",UPPER(_xlpm.MyAuditVal),_xlpm.MacVal&lt;&gt;"",_xlpm.MacVal,_xlpm.CSVVal&lt;&gt;"",_xlpm.CSVVal
)),"")</f>
        <v/>
      </c>
      <c r="E123" s="46" t="str" cm="1">
        <f t="array" ref="E123">IFERROR(_xlfn.LET(
_xlpm.CSVVal,_xlfn.XLOOKUP($A123,CSV!$A:$A,CSV!E:E,""),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_xlpm.CSVVal,_xlfn.XLOOKUP($A123,CSV!$A:$A,CSV!G:G,""),
_xlpm.MacVal,_xlfn.XLOOKUP($A123,Output_Mac!$A:$A,Output_Mac!G:G,""),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_xlfn.XLOOKUP(A123,Output_Mac!A:A,Output_Mac!H:H,"")</f>
        <v/>
      </c>
      <c r="I123" s="45" t="str" cm="1">
        <f t="array" ref="I123">IFERROR(_xlfn.LET(
_xlpm.CSVVal,_xlfn.XLOOKUP($A123,CSV!$A:$A,CSV!H:H,""),
_xlpm.MacVal,_xlfn.XLOOKUP($A123,Output_Mac!$A:$A,Output_Mac!I:I,""),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_xlpm.CSVVal,_xlfn.XLOOKUP($A123,CSV!$A:$A,CSV!J:J,""),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6" t="str" cm="1">
        <f t="array" ref="K123">IFERROR(_xlfn.LET(
_xlpm.CSVVal,_xlfn.XLOOKUP($A123,CSV!$A:$A,CSV!N:N,""),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_xlpm.CSVVal,_xlfn.XLOOKUP($A123,CSV!$A:$A,CSV!Q:Q,""),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CSV!AE:AE,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_xlpm.CSVVal,_xlfn.XLOOKUP($A123,CSV!$A:$A,CSV!AG:AG,""),
_xlpm.MacVal,_xlfn.XLOOKUP($A123,Output_Mac!$A:$A,Output_Mac!T:T,""),
_xlpm.MyAuditVal,_xlfn.XLOOKUP($A123,My_Audit!$A:$A,My_Audit!O:O,""),
_xlfn.IFS(_xlpm.MyAuditVal&lt;&gt;"",UPPER(_xlpm.MyAuditVal),_xlpm.MacVal&lt;&gt;"",_xlpm.MacVal,_xlpm.CSVVal&lt;&gt;"",_xlpm.CSVVal
)),"")</f>
        <v/>
      </c>
      <c r="O123" s="46" t="str">
        <f>_xlfn.XLOOKUP(C123,My_Audit!B:B,My_Audit!P:P,"")&amp;""</f>
        <v/>
      </c>
      <c r="P123" s="45"/>
      <c r="Q123" s="46" t="str">
        <f>IF(LEFT(N123,4)="Pass","Nist SP 800-88",My_Audit!R123)&amp;""</f>
        <v/>
      </c>
      <c r="R123" s="45"/>
      <c r="S123" s="45"/>
      <c r="T123" s="46" t="str">
        <f>_xlfn.XLOOKUP(E123,Models!I:I,Models!J:J,"")</f>
        <v/>
      </c>
      <c r="U123" s="45"/>
      <c r="V123" s="45"/>
      <c r="W123" s="38" t="str">
        <f>_xlfn.LET(
    _xlpm.MacVal, _xlfn.XLOOKUP($A123, Output_Mac!$A:$A, Output_Mac!AA:AA, ""),
    _xlpm.MyAuditVal, _xlfn.XLOOKUP($A123, My_Audit!$A:$A, My_Audit!L:L, ""),
    _xlfn.TEXTJOIN(", ", TRUE, _xlpm.MyAuditVal, _xlpm.MacVal)
)</f>
        <v/>
      </c>
    </row>
    <row r="124" spans="1:23">
      <c r="A124" s="45" t="str">
        <f>_xlfn.TEXTJOIN("",TRUE,Input!$B$2,ROW(My_Audit!A123))</f>
        <v>CC123</v>
      </c>
      <c r="B124" s="45" t="str">
        <f>_xlfn.TEXTJOIN("-",TRUE,"ITD",Input!$A$2,A124)</f>
        <v>ITD-XXX-CC123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_xlpm.CSVVal,_xlfn.XLOOKUP($A124,CSV!$A:$A,CSV!C:C,""),
_xlpm.MacVal,_xlfn.XLOOKUP($A124,Output_Mac!$A:$A,Output_Mac!D:D,""),
_xlpm.MyAuditVal,_xlfn.XLOOKUP($A124,My_Audit!$A:$A,My_Audit!C:C,""),
_xlfn.IFS(_xlpm.MyAuditVal&lt;&gt;"",UPPER(_xlpm.MyAuditVal),_xlpm.MacVal&lt;&gt;"",_xlpm.MacVal,_xlpm.CSVVal&lt;&gt;"",_xlpm.CSVVal
)),"")</f>
        <v/>
      </c>
      <c r="E124" s="46" t="str" cm="1">
        <f t="array" ref="E124">IFERROR(_xlfn.LET(
_xlpm.CSVVal,_xlfn.XLOOKUP($A124,CSV!$A:$A,CSV!E:E,""),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_xlpm.CSVVal,_xlfn.XLOOKUP($A124,CSV!$A:$A,CSV!G:G,""),
_xlpm.MacVal,_xlfn.XLOOKUP($A124,Output_Mac!$A:$A,Output_Mac!G:G,""),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_xlfn.XLOOKUP(A124,Output_Mac!A:A,Output_Mac!H:H,"")</f>
        <v/>
      </c>
      <c r="I124" s="45" t="str" cm="1">
        <f t="array" ref="I124">IFERROR(_xlfn.LET(
_xlpm.CSVVal,_xlfn.XLOOKUP($A124,CSV!$A:$A,CSV!H:H,""),
_xlpm.MacVal,_xlfn.XLOOKUP($A124,Output_Mac!$A:$A,Output_Mac!I:I,""),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_xlpm.CSVVal,_xlfn.XLOOKUP($A124,CSV!$A:$A,CSV!J:J,""),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6" t="str" cm="1">
        <f t="array" ref="K124">IFERROR(_xlfn.LET(
_xlpm.CSVVal,_xlfn.XLOOKUP($A124,CSV!$A:$A,CSV!N:N,""),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_xlpm.CSVVal,_xlfn.XLOOKUP($A124,CSV!$A:$A,CSV!Q:Q,""),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CSV!AE:AE,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_xlpm.CSVVal,_xlfn.XLOOKUP($A124,CSV!$A:$A,CSV!AG:AG,""),
_xlpm.MacVal,_xlfn.XLOOKUP($A124,Output_Mac!$A:$A,Output_Mac!T:T,""),
_xlpm.MyAuditVal,_xlfn.XLOOKUP($A124,My_Audit!$A:$A,My_Audit!O:O,""),
_xlfn.IFS(_xlpm.MyAuditVal&lt;&gt;"",UPPER(_xlpm.MyAuditVal),_xlpm.MacVal&lt;&gt;"",_xlpm.MacVal,_xlpm.CSVVal&lt;&gt;"",_xlpm.CSVVal
)),"")</f>
        <v/>
      </c>
      <c r="O124" s="46" t="str">
        <f>_xlfn.XLOOKUP(C124,My_Audit!B:B,My_Audit!P:P,"")&amp;""</f>
        <v/>
      </c>
      <c r="P124" s="45"/>
      <c r="Q124" s="46" t="str">
        <f>IF(LEFT(N124,4)="Pass","Nist SP 800-88",My_Audit!R124)&amp;""</f>
        <v/>
      </c>
      <c r="R124" s="45"/>
      <c r="S124" s="45"/>
      <c r="T124" s="46" t="str">
        <f>_xlfn.XLOOKUP(E124,Models!I:I,Models!J:J,"")</f>
        <v/>
      </c>
      <c r="U124" s="45"/>
      <c r="V124" s="45"/>
      <c r="W124" s="38" t="str">
        <f>_xlfn.LET(
    _xlpm.MacVal, _xlfn.XLOOKUP($A124, Output_Mac!$A:$A, Output_Mac!AA:AA, ""),
    _xlpm.MyAuditVal, _xlfn.XLOOKUP($A124, My_Audit!$A:$A, My_Audit!L:L, ""),
    _xlfn.TEXTJOIN(", ", TRUE, _xlpm.MyAuditVal, _xlpm.MacVal)
)</f>
        <v/>
      </c>
    </row>
    <row r="125" spans="1:23">
      <c r="A125" s="45" t="str">
        <f>_xlfn.TEXTJOIN("",TRUE,Input!$B$2,ROW(My_Audit!A124))</f>
        <v>CC124</v>
      </c>
      <c r="B125" s="45" t="str">
        <f>_xlfn.TEXTJOIN("-",TRUE,"ITD",Input!$A$2,A125)</f>
        <v>ITD-XXX-CC124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_xlpm.CSVVal,_xlfn.XLOOKUP($A125,CSV!$A:$A,CSV!C:C,""),
_xlpm.MacVal,_xlfn.XLOOKUP($A125,Output_Mac!$A:$A,Output_Mac!D:D,""),
_xlpm.MyAuditVal,_xlfn.XLOOKUP($A125,My_Audit!$A:$A,My_Audit!C:C,""),
_xlfn.IFS(_xlpm.MyAuditVal&lt;&gt;"",UPPER(_xlpm.MyAuditVal),_xlpm.MacVal&lt;&gt;"",_xlpm.MacVal,_xlpm.CSVVal&lt;&gt;"",_xlpm.CSVVal
)),"")</f>
        <v/>
      </c>
      <c r="E125" s="46" t="str" cm="1">
        <f t="array" ref="E125">IFERROR(_xlfn.LET(
_xlpm.CSVVal,_xlfn.XLOOKUP($A125,CSV!$A:$A,CSV!E:E,""),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_xlpm.CSVVal,_xlfn.XLOOKUP($A125,CSV!$A:$A,CSV!G:G,""),
_xlpm.MacVal,_xlfn.XLOOKUP($A125,Output_Mac!$A:$A,Output_Mac!G:G,""),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_xlfn.XLOOKUP(A125,Output_Mac!A:A,Output_Mac!H:H,"")</f>
        <v/>
      </c>
      <c r="I125" s="45" t="str" cm="1">
        <f t="array" ref="I125">IFERROR(_xlfn.LET(
_xlpm.CSVVal,_xlfn.XLOOKUP($A125,CSV!$A:$A,CSV!H:H,""),
_xlpm.MacVal,_xlfn.XLOOKUP($A125,Output_Mac!$A:$A,Output_Mac!I:I,""),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_xlpm.CSVVal,_xlfn.XLOOKUP($A125,CSV!$A:$A,CSV!J:J,""),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6" t="str" cm="1">
        <f t="array" ref="K125">IFERROR(_xlfn.LET(
_xlpm.CSVVal,_xlfn.XLOOKUP($A125,CSV!$A:$A,CSV!N:N,""),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_xlpm.CSVVal,_xlfn.XLOOKUP($A125,CSV!$A:$A,CSV!Q:Q,""),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CSV!AE:AE,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_xlpm.CSVVal,_xlfn.XLOOKUP($A125,CSV!$A:$A,CSV!AG:AG,""),
_xlpm.MacVal,_xlfn.XLOOKUP($A125,Output_Mac!$A:$A,Output_Mac!T:T,""),
_xlpm.MyAuditVal,_xlfn.XLOOKUP($A125,My_Audit!$A:$A,My_Audit!O:O,""),
_xlfn.IFS(_xlpm.MyAuditVal&lt;&gt;"",UPPER(_xlpm.MyAuditVal),_xlpm.MacVal&lt;&gt;"",_xlpm.MacVal,_xlpm.CSVVal&lt;&gt;"",_xlpm.CSVVal
)),"")</f>
        <v/>
      </c>
      <c r="O125" s="46" t="str">
        <f>_xlfn.XLOOKUP(C125,My_Audit!B:B,My_Audit!P:P,"")&amp;""</f>
        <v/>
      </c>
      <c r="P125" s="45"/>
      <c r="Q125" s="46" t="str">
        <f>IF(LEFT(N125,4)="Pass","Nist SP 800-88",My_Audit!R125)&amp;""</f>
        <v/>
      </c>
      <c r="R125" s="45"/>
      <c r="S125" s="45"/>
      <c r="T125" s="46" t="str">
        <f>_xlfn.XLOOKUP(E125,Models!I:I,Models!J:J,"")</f>
        <v/>
      </c>
      <c r="U125" s="45"/>
      <c r="V125" s="45"/>
      <c r="W125" s="38" t="str">
        <f>_xlfn.LET(
    _xlpm.MacVal, _xlfn.XLOOKUP($A125, Output_Mac!$A:$A, Output_Mac!AA:AA, ""),
    _xlpm.MyAuditVal, _xlfn.XLOOKUP($A125, My_Audit!$A:$A, My_Audit!L:L, ""),
    _xlfn.TEXTJOIN(", ", TRUE, _xlpm.MyAuditVal, _xlpm.MacVal)
)</f>
        <v/>
      </c>
    </row>
    <row r="126" spans="1:23">
      <c r="A126" s="45" t="str">
        <f>_xlfn.TEXTJOIN("",TRUE,Input!$B$2,ROW(My_Audit!A125))</f>
        <v>CC125</v>
      </c>
      <c r="B126" s="45" t="str">
        <f>_xlfn.TEXTJOIN("-",TRUE,"ITD",Input!$A$2,A126)</f>
        <v>ITD-XXX-CC125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_xlpm.CSVVal,_xlfn.XLOOKUP($A126,CSV!$A:$A,CSV!C:C,""),
_xlpm.MacVal,_xlfn.XLOOKUP($A126,Output_Mac!$A:$A,Output_Mac!D:D,""),
_xlpm.MyAuditVal,_xlfn.XLOOKUP($A126,My_Audit!$A:$A,My_Audit!C:C,""),
_xlfn.IFS(_xlpm.MyAuditVal&lt;&gt;"",UPPER(_xlpm.MyAuditVal),_xlpm.MacVal&lt;&gt;"",_xlpm.MacVal,_xlpm.CSVVal&lt;&gt;"",_xlpm.CSVVal
)),"")</f>
        <v/>
      </c>
      <c r="E126" s="46" t="str" cm="1">
        <f t="array" ref="E126">IFERROR(_xlfn.LET(
_xlpm.CSVVal,_xlfn.XLOOKUP($A126,CSV!$A:$A,CSV!E:E,""),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_xlpm.CSVVal,_xlfn.XLOOKUP($A126,CSV!$A:$A,CSV!G:G,""),
_xlpm.MacVal,_xlfn.XLOOKUP($A126,Output_Mac!$A:$A,Output_Mac!G:G,""),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_xlfn.XLOOKUP(A126,Output_Mac!A:A,Output_Mac!H:H,"")</f>
        <v/>
      </c>
      <c r="I126" s="45" t="str" cm="1">
        <f t="array" ref="I126">IFERROR(_xlfn.LET(
_xlpm.CSVVal,_xlfn.XLOOKUP($A126,CSV!$A:$A,CSV!H:H,""),
_xlpm.MacVal,_xlfn.XLOOKUP($A126,Output_Mac!$A:$A,Output_Mac!I:I,""),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_xlpm.CSVVal,_xlfn.XLOOKUP($A126,CSV!$A:$A,CSV!J:J,""),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6" t="str" cm="1">
        <f t="array" ref="K126">IFERROR(_xlfn.LET(
_xlpm.CSVVal,_xlfn.XLOOKUP($A126,CSV!$A:$A,CSV!N:N,""),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_xlpm.CSVVal,_xlfn.XLOOKUP($A126,CSV!$A:$A,CSV!Q:Q,""),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CSV!AE:AE,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_xlpm.CSVVal,_xlfn.XLOOKUP($A126,CSV!$A:$A,CSV!AG:AG,""),
_xlpm.MacVal,_xlfn.XLOOKUP($A126,Output_Mac!$A:$A,Output_Mac!T:T,""),
_xlpm.MyAuditVal,_xlfn.XLOOKUP($A126,My_Audit!$A:$A,My_Audit!O:O,""),
_xlfn.IFS(_xlpm.MyAuditVal&lt;&gt;"",UPPER(_xlpm.MyAuditVal),_xlpm.MacVal&lt;&gt;"",_xlpm.MacVal,_xlpm.CSVVal&lt;&gt;"",_xlpm.CSVVal
)),"")</f>
        <v/>
      </c>
      <c r="O126" s="46" t="str">
        <f>_xlfn.XLOOKUP(C126,My_Audit!B:B,My_Audit!P:P,"")&amp;""</f>
        <v/>
      </c>
      <c r="P126" s="45"/>
      <c r="Q126" s="46" t="str">
        <f>IF(LEFT(N126,4)="Pass","Nist SP 800-88",My_Audit!R126)&amp;""</f>
        <v/>
      </c>
      <c r="R126" s="45"/>
      <c r="S126" s="45"/>
      <c r="T126" s="46" t="str">
        <f>_xlfn.XLOOKUP(E126,Models!I:I,Models!J:J,"")</f>
        <v/>
      </c>
      <c r="U126" s="45"/>
      <c r="V126" s="45"/>
      <c r="W126" s="38" t="str">
        <f>_xlfn.LET(
    _xlpm.MacVal, _xlfn.XLOOKUP($A126, Output_Mac!$A:$A, Output_Mac!AA:AA, ""),
    _xlpm.MyAuditVal, _xlfn.XLOOKUP($A126, My_Audit!$A:$A, My_Audit!L:L, ""),
    _xlfn.TEXTJOIN(", ", TRUE, _xlpm.MyAuditVal, _xlpm.MacVal)
)</f>
        <v/>
      </c>
    </row>
    <row r="127" spans="1:23">
      <c r="A127" s="45" t="str">
        <f>_xlfn.TEXTJOIN("",TRUE,Input!$B$2,ROW(My_Audit!A126))</f>
        <v>CC126</v>
      </c>
      <c r="B127" s="45" t="str">
        <f>_xlfn.TEXTJOIN("-",TRUE,"ITD",Input!$A$2,A127)</f>
        <v>ITD-XXX-CC126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_xlpm.CSVVal,_xlfn.XLOOKUP($A127,CSV!$A:$A,CSV!C:C,""),
_xlpm.MacVal,_xlfn.XLOOKUP($A127,Output_Mac!$A:$A,Output_Mac!D:D,""),
_xlpm.MyAuditVal,_xlfn.XLOOKUP($A127,My_Audit!$A:$A,My_Audit!C:C,""),
_xlfn.IFS(_xlpm.MyAuditVal&lt;&gt;"",UPPER(_xlpm.MyAuditVal),_xlpm.MacVal&lt;&gt;"",_xlpm.MacVal,_xlpm.CSVVal&lt;&gt;"",_xlpm.CSVVal
)),"")</f>
        <v/>
      </c>
      <c r="E127" s="46" t="str" cm="1">
        <f t="array" ref="E127">IFERROR(_xlfn.LET(
_xlpm.CSVVal,_xlfn.XLOOKUP($A127,CSV!$A:$A,CSV!E:E,""),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_xlpm.CSVVal,_xlfn.XLOOKUP($A127,CSV!$A:$A,CSV!G:G,""),
_xlpm.MacVal,_xlfn.XLOOKUP($A127,Output_Mac!$A:$A,Output_Mac!G:G,""),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_xlfn.XLOOKUP(A127,Output_Mac!A:A,Output_Mac!H:H,"")</f>
        <v/>
      </c>
      <c r="I127" s="45" t="str" cm="1">
        <f t="array" ref="I127">IFERROR(_xlfn.LET(
_xlpm.CSVVal,_xlfn.XLOOKUP($A127,CSV!$A:$A,CSV!H:H,""),
_xlpm.MacVal,_xlfn.XLOOKUP($A127,Output_Mac!$A:$A,Output_Mac!I:I,""),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_xlpm.CSVVal,_xlfn.XLOOKUP($A127,CSV!$A:$A,CSV!J:J,""),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6" t="str" cm="1">
        <f t="array" ref="K127">IFERROR(_xlfn.LET(
_xlpm.CSVVal,_xlfn.XLOOKUP($A127,CSV!$A:$A,CSV!N:N,""),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_xlpm.CSVVal,_xlfn.XLOOKUP($A127,CSV!$A:$A,CSV!Q:Q,""),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CSV!AE:AE,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_xlpm.CSVVal,_xlfn.XLOOKUP($A127,CSV!$A:$A,CSV!AG:AG,""),
_xlpm.MacVal,_xlfn.XLOOKUP($A127,Output_Mac!$A:$A,Output_Mac!T:T,""),
_xlpm.MyAuditVal,_xlfn.XLOOKUP($A127,My_Audit!$A:$A,My_Audit!O:O,""),
_xlfn.IFS(_xlpm.MyAuditVal&lt;&gt;"",UPPER(_xlpm.MyAuditVal),_xlpm.MacVal&lt;&gt;"",_xlpm.MacVal,_xlpm.CSVVal&lt;&gt;"",_xlpm.CSVVal
)),"")</f>
        <v/>
      </c>
      <c r="O127" s="46" t="str">
        <f>_xlfn.XLOOKUP(C127,My_Audit!B:B,My_Audit!P:P,"")&amp;""</f>
        <v/>
      </c>
      <c r="P127" s="45"/>
      <c r="Q127" s="46" t="str">
        <f>IF(LEFT(N127,4)="Pass","Nist SP 800-88",My_Audit!R127)&amp;""</f>
        <v/>
      </c>
      <c r="R127" s="45"/>
      <c r="S127" s="45"/>
      <c r="T127" s="46" t="str">
        <f>_xlfn.XLOOKUP(E127,Models!I:I,Models!J:J,"")</f>
        <v/>
      </c>
      <c r="U127" s="45"/>
      <c r="V127" s="45"/>
      <c r="W127" s="38" t="str">
        <f>_xlfn.LET(
    _xlpm.MacVal, _xlfn.XLOOKUP($A127, Output_Mac!$A:$A, Output_Mac!AA:AA, ""),
    _xlpm.MyAuditVal, _xlfn.XLOOKUP($A127, My_Audit!$A:$A, My_Audit!L:L, ""),
    _xlfn.TEXTJOIN(", ", TRUE, _xlpm.MyAuditVal, _xlpm.MacVal)
)</f>
        <v/>
      </c>
    </row>
    <row r="128" spans="1:23">
      <c r="A128" s="45" t="str">
        <f>_xlfn.TEXTJOIN("",TRUE,Input!$B$2,ROW(My_Audit!A127))</f>
        <v>CC127</v>
      </c>
      <c r="B128" s="45" t="str">
        <f>_xlfn.TEXTJOIN("-",TRUE,"ITD",Input!$A$2,A128)</f>
        <v>ITD-XXX-CC127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_xlpm.CSVVal,_xlfn.XLOOKUP($A128,CSV!$A:$A,CSV!C:C,""),
_xlpm.MacVal,_xlfn.XLOOKUP($A128,Output_Mac!$A:$A,Output_Mac!D:D,""),
_xlpm.MyAuditVal,_xlfn.XLOOKUP($A128,My_Audit!$A:$A,My_Audit!C:C,""),
_xlfn.IFS(_xlpm.MyAuditVal&lt;&gt;"",UPPER(_xlpm.MyAuditVal),_xlpm.MacVal&lt;&gt;"",_xlpm.MacVal,_xlpm.CSVVal&lt;&gt;"",_xlpm.CSVVal
)),"")</f>
        <v/>
      </c>
      <c r="E128" s="46" t="str" cm="1">
        <f t="array" ref="E128">IFERROR(_xlfn.LET(
_xlpm.CSVVal,_xlfn.XLOOKUP($A128,CSV!$A:$A,CSV!E:E,""),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_xlpm.CSVVal,_xlfn.XLOOKUP($A128,CSV!$A:$A,CSV!G:G,""),
_xlpm.MacVal,_xlfn.XLOOKUP($A128,Output_Mac!$A:$A,Output_Mac!G:G,""),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_xlfn.XLOOKUP(A128,Output_Mac!A:A,Output_Mac!H:H,"")</f>
        <v/>
      </c>
      <c r="I128" s="45" t="str" cm="1">
        <f t="array" ref="I128">IFERROR(_xlfn.LET(
_xlpm.CSVVal,_xlfn.XLOOKUP($A128,CSV!$A:$A,CSV!H:H,""),
_xlpm.MacVal,_xlfn.XLOOKUP($A128,Output_Mac!$A:$A,Output_Mac!I:I,""),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_xlpm.CSVVal,_xlfn.XLOOKUP($A128,CSV!$A:$A,CSV!J:J,""),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6" t="str" cm="1">
        <f t="array" ref="K128">IFERROR(_xlfn.LET(
_xlpm.CSVVal,_xlfn.XLOOKUP($A128,CSV!$A:$A,CSV!N:N,""),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_xlpm.CSVVal,_xlfn.XLOOKUP($A128,CSV!$A:$A,CSV!Q:Q,""),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CSV!AE:AE,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_xlpm.CSVVal,_xlfn.XLOOKUP($A128,CSV!$A:$A,CSV!AG:AG,""),
_xlpm.MacVal,_xlfn.XLOOKUP($A128,Output_Mac!$A:$A,Output_Mac!T:T,""),
_xlpm.MyAuditVal,_xlfn.XLOOKUP($A128,My_Audit!$A:$A,My_Audit!O:O,""),
_xlfn.IFS(_xlpm.MyAuditVal&lt;&gt;"",UPPER(_xlpm.MyAuditVal),_xlpm.MacVal&lt;&gt;"",_xlpm.MacVal,_xlpm.CSVVal&lt;&gt;"",_xlpm.CSVVal
)),"")</f>
        <v/>
      </c>
      <c r="O128" s="46" t="str">
        <f>_xlfn.XLOOKUP(C128,My_Audit!B:B,My_Audit!P:P,"")&amp;""</f>
        <v/>
      </c>
      <c r="P128" s="45"/>
      <c r="Q128" s="46" t="str">
        <f>IF(LEFT(N128,4)="Pass","Nist SP 800-88",My_Audit!R128)&amp;""</f>
        <v/>
      </c>
      <c r="R128" s="45"/>
      <c r="S128" s="45"/>
      <c r="T128" s="46" t="str">
        <f>_xlfn.XLOOKUP(E128,Models!I:I,Models!J:J,"")</f>
        <v/>
      </c>
      <c r="U128" s="45"/>
      <c r="V128" s="45"/>
      <c r="W128" s="38" t="str">
        <f>_xlfn.LET(
    _xlpm.MacVal, _xlfn.XLOOKUP($A128, Output_Mac!$A:$A, Output_Mac!AA:AA, ""),
    _xlpm.MyAuditVal, _xlfn.XLOOKUP($A128, My_Audit!$A:$A, My_Audit!L:L, ""),
    _xlfn.TEXTJOIN(", ", TRUE, _xlpm.MyAuditVal, _xlpm.MacVal)
)</f>
        <v/>
      </c>
    </row>
    <row r="129" spans="1:23">
      <c r="A129" s="45" t="str">
        <f>_xlfn.TEXTJOIN("",TRUE,Input!$B$2,ROW(My_Audit!A128))</f>
        <v>CC128</v>
      </c>
      <c r="B129" s="45" t="str">
        <f>_xlfn.TEXTJOIN("-",TRUE,"ITD",Input!$A$2,A129)</f>
        <v>ITD-XXX-CC128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_xlpm.CSVVal,_xlfn.XLOOKUP($A129,CSV!$A:$A,CSV!C:C,""),
_xlpm.MacVal,_xlfn.XLOOKUP($A129,Output_Mac!$A:$A,Output_Mac!D:D,""),
_xlpm.MyAuditVal,_xlfn.XLOOKUP($A129,My_Audit!$A:$A,My_Audit!C:C,""),
_xlfn.IFS(_xlpm.MyAuditVal&lt;&gt;"",UPPER(_xlpm.MyAuditVal),_xlpm.MacVal&lt;&gt;"",_xlpm.MacVal,_xlpm.CSVVal&lt;&gt;"",_xlpm.CSVVal
)),"")</f>
        <v/>
      </c>
      <c r="E129" s="46" t="str" cm="1">
        <f t="array" ref="E129">IFERROR(_xlfn.LET(
_xlpm.CSVVal,_xlfn.XLOOKUP($A129,CSV!$A:$A,CSV!E:E,""),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_xlpm.CSVVal,_xlfn.XLOOKUP($A129,CSV!$A:$A,CSV!G:G,""),
_xlpm.MacVal,_xlfn.XLOOKUP($A129,Output_Mac!$A:$A,Output_Mac!G:G,""),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_xlfn.XLOOKUP(A129,Output_Mac!A:A,Output_Mac!H:H,"")</f>
        <v/>
      </c>
      <c r="I129" s="45" t="str" cm="1">
        <f t="array" ref="I129">IFERROR(_xlfn.LET(
_xlpm.CSVVal,_xlfn.XLOOKUP($A129,CSV!$A:$A,CSV!H:H,""),
_xlpm.MacVal,_xlfn.XLOOKUP($A129,Output_Mac!$A:$A,Output_Mac!I:I,""),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_xlpm.CSVVal,_xlfn.XLOOKUP($A129,CSV!$A:$A,CSV!J:J,""),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6" t="str" cm="1">
        <f t="array" ref="K129">IFERROR(_xlfn.LET(
_xlpm.CSVVal,_xlfn.XLOOKUP($A129,CSV!$A:$A,CSV!N:N,""),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_xlpm.CSVVal,_xlfn.XLOOKUP($A129,CSV!$A:$A,CSV!Q:Q,""),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CSV!AE:AE,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_xlpm.CSVVal,_xlfn.XLOOKUP($A129,CSV!$A:$A,CSV!AG:AG,""),
_xlpm.MacVal,_xlfn.XLOOKUP($A129,Output_Mac!$A:$A,Output_Mac!T:T,""),
_xlpm.MyAuditVal,_xlfn.XLOOKUP($A129,My_Audit!$A:$A,My_Audit!O:O,""),
_xlfn.IFS(_xlpm.MyAuditVal&lt;&gt;"",UPPER(_xlpm.MyAuditVal),_xlpm.MacVal&lt;&gt;"",_xlpm.MacVal,_xlpm.CSVVal&lt;&gt;"",_xlpm.CSVVal
)),"")</f>
        <v/>
      </c>
      <c r="O129" s="46" t="str">
        <f>_xlfn.XLOOKUP(C129,My_Audit!B:B,My_Audit!P:P,"")&amp;""</f>
        <v/>
      </c>
      <c r="P129" s="45"/>
      <c r="Q129" s="46" t="str">
        <f>IF(LEFT(N129,4)="Pass","Nist SP 800-88",My_Audit!R129)&amp;""</f>
        <v/>
      </c>
      <c r="R129" s="45"/>
      <c r="S129" s="45"/>
      <c r="T129" s="46" t="str">
        <f>_xlfn.XLOOKUP(E129,Models!I:I,Models!J:J,"")</f>
        <v/>
      </c>
      <c r="U129" s="45"/>
      <c r="V129" s="45"/>
      <c r="W129" s="38" t="str">
        <f>_xlfn.LET(
    _xlpm.MacVal, _xlfn.XLOOKUP($A129, Output_Mac!$A:$A, Output_Mac!AA:AA, ""),
    _xlpm.MyAuditVal, _xlfn.XLOOKUP($A129, My_Audit!$A:$A, My_Audit!L:L, ""),
    _xlfn.TEXTJOIN(", ", TRUE, _xlpm.MyAuditVal, _xlpm.MacVal)
)</f>
        <v/>
      </c>
    </row>
    <row r="130" spans="1:23">
      <c r="A130" s="45" t="str">
        <f>_xlfn.TEXTJOIN("",TRUE,Input!$B$2,ROW(My_Audit!A129))</f>
        <v>CC129</v>
      </c>
      <c r="B130" s="45" t="str">
        <f>_xlfn.TEXTJOIN("-",TRUE,"ITD",Input!$A$2,A130)</f>
        <v>ITD-XXX-CC129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_xlpm.CSVVal,_xlfn.XLOOKUP($A130,CSV!$A:$A,CSV!C:C,""),
_xlpm.MacVal,_xlfn.XLOOKUP($A130,Output_Mac!$A:$A,Output_Mac!D:D,""),
_xlpm.MyAuditVal,_xlfn.XLOOKUP($A130,My_Audit!$A:$A,My_Audit!C:C,""),
_xlfn.IFS(_xlpm.MyAuditVal&lt;&gt;"",UPPER(_xlpm.MyAuditVal),_xlpm.MacVal&lt;&gt;"",_xlpm.MacVal,_xlpm.CSVVal&lt;&gt;"",_xlpm.CSVVal
)),"")</f>
        <v/>
      </c>
      <c r="E130" s="46" t="str" cm="1">
        <f t="array" ref="E130">IFERROR(_xlfn.LET(
_xlpm.CSVVal,_xlfn.XLOOKUP($A130,CSV!$A:$A,CSV!E:E,""),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_xlpm.CSVVal,_xlfn.XLOOKUP($A130,CSV!$A:$A,CSV!G:G,""),
_xlpm.MacVal,_xlfn.XLOOKUP($A130,Output_Mac!$A:$A,Output_Mac!G:G,""),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_xlfn.XLOOKUP(A130,Output_Mac!A:A,Output_Mac!H:H,"")</f>
        <v/>
      </c>
      <c r="I130" s="45" t="str" cm="1">
        <f t="array" ref="I130">IFERROR(_xlfn.LET(
_xlpm.CSVVal,_xlfn.XLOOKUP($A130,CSV!$A:$A,CSV!H:H,""),
_xlpm.MacVal,_xlfn.XLOOKUP($A130,Output_Mac!$A:$A,Output_Mac!I:I,""),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_xlpm.CSVVal,_xlfn.XLOOKUP($A130,CSV!$A:$A,CSV!J:J,""),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6" t="str" cm="1">
        <f t="array" ref="K130">IFERROR(_xlfn.LET(
_xlpm.CSVVal,_xlfn.XLOOKUP($A130,CSV!$A:$A,CSV!N:N,""),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_xlpm.CSVVal,_xlfn.XLOOKUP($A130,CSV!$A:$A,CSV!Q:Q,""),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CSV!AE:AE,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_xlpm.CSVVal,_xlfn.XLOOKUP($A130,CSV!$A:$A,CSV!AG:AG,""),
_xlpm.MacVal,_xlfn.XLOOKUP($A130,Output_Mac!$A:$A,Output_Mac!T:T,""),
_xlpm.MyAuditVal,_xlfn.XLOOKUP($A130,My_Audit!$A:$A,My_Audit!O:O,""),
_xlfn.IFS(_xlpm.MyAuditVal&lt;&gt;"",UPPER(_xlpm.MyAuditVal),_xlpm.MacVal&lt;&gt;"",_xlpm.MacVal,_xlpm.CSVVal&lt;&gt;"",_xlpm.CSVVal
)),"")</f>
        <v/>
      </c>
      <c r="O130" s="46" t="str">
        <f>_xlfn.XLOOKUP(C130,My_Audit!B:B,My_Audit!P:P,"")&amp;""</f>
        <v/>
      </c>
      <c r="P130" s="45"/>
      <c r="Q130" s="46" t="str">
        <f>IF(LEFT(N130,4)="Pass","Nist SP 800-88",My_Audit!R130)&amp;""</f>
        <v/>
      </c>
      <c r="R130" s="45"/>
      <c r="S130" s="45"/>
      <c r="T130" s="46" t="str">
        <f>_xlfn.XLOOKUP(E130,Models!I:I,Models!J:J,"")</f>
        <v/>
      </c>
      <c r="U130" s="45"/>
      <c r="V130" s="45"/>
      <c r="W130" s="38" t="str">
        <f>_xlfn.LET(
    _xlpm.MacVal, _xlfn.XLOOKUP($A130, Output_Mac!$A:$A, Output_Mac!AA:AA, ""),
    _xlpm.MyAuditVal, _xlfn.XLOOKUP($A130, My_Audit!$A:$A, My_Audit!L:L, ""),
    _xlfn.TEXTJOIN(", ", TRUE, _xlpm.MyAuditVal, _xlpm.MacVal)
)</f>
        <v/>
      </c>
    </row>
    <row r="131" spans="1:23">
      <c r="A131" s="45" t="str">
        <f>_xlfn.TEXTJOIN("",TRUE,Input!$B$2,ROW(My_Audit!A130))</f>
        <v>CC130</v>
      </c>
      <c r="B131" s="45" t="str">
        <f>_xlfn.TEXTJOIN("-",TRUE,"ITD",Input!$A$2,A131)</f>
        <v>ITD-XXX-CC130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_xlpm.CSVVal,_xlfn.XLOOKUP($A131,CSV!$A:$A,CSV!C:C,""),
_xlpm.MacVal,_xlfn.XLOOKUP($A131,Output_Mac!$A:$A,Output_Mac!D:D,""),
_xlpm.MyAuditVal,_xlfn.XLOOKUP($A131,My_Audit!$A:$A,My_Audit!C:C,""),
_xlfn.IFS(_xlpm.MyAuditVal&lt;&gt;"",UPPER(_xlpm.MyAuditVal),_xlpm.MacVal&lt;&gt;"",_xlpm.MacVal,_xlpm.CSVVal&lt;&gt;"",_xlpm.CSVVal
)),"")</f>
        <v/>
      </c>
      <c r="E131" s="46" t="str" cm="1">
        <f t="array" ref="E131">IFERROR(_xlfn.LET(
_xlpm.CSVVal,_xlfn.XLOOKUP($A131,CSV!$A:$A,CSV!E:E,""),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_xlpm.CSVVal,_xlfn.XLOOKUP($A131,CSV!$A:$A,CSV!G:G,""),
_xlpm.MacVal,_xlfn.XLOOKUP($A131,Output_Mac!$A:$A,Output_Mac!G:G,""),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_xlfn.XLOOKUP(A131,Output_Mac!A:A,Output_Mac!H:H,"")</f>
        <v/>
      </c>
      <c r="I131" s="45" t="str" cm="1">
        <f t="array" ref="I131">IFERROR(_xlfn.LET(
_xlpm.CSVVal,_xlfn.XLOOKUP($A131,CSV!$A:$A,CSV!H:H,""),
_xlpm.MacVal,_xlfn.XLOOKUP($A131,Output_Mac!$A:$A,Output_Mac!I:I,""),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_xlpm.CSVVal,_xlfn.XLOOKUP($A131,CSV!$A:$A,CSV!J:J,""),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6" t="str" cm="1">
        <f t="array" ref="K131">IFERROR(_xlfn.LET(
_xlpm.CSVVal,_xlfn.XLOOKUP($A131,CSV!$A:$A,CSV!N:N,""),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_xlpm.CSVVal,_xlfn.XLOOKUP($A131,CSV!$A:$A,CSV!Q:Q,""),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CSV!AE:AE,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_xlpm.CSVVal,_xlfn.XLOOKUP($A131,CSV!$A:$A,CSV!AG:AG,""),
_xlpm.MacVal,_xlfn.XLOOKUP($A131,Output_Mac!$A:$A,Output_Mac!T:T,""),
_xlpm.MyAuditVal,_xlfn.XLOOKUP($A131,My_Audit!$A:$A,My_Audit!O:O,""),
_xlfn.IFS(_xlpm.MyAuditVal&lt;&gt;"",UPPER(_xlpm.MyAuditVal),_xlpm.MacVal&lt;&gt;"",_xlpm.MacVal,_xlpm.CSVVal&lt;&gt;"",_xlpm.CSVVal
)),"")</f>
        <v/>
      </c>
      <c r="O131" s="46" t="str">
        <f>_xlfn.XLOOKUP(C131,My_Audit!B:B,My_Audit!P:P,"")&amp;""</f>
        <v/>
      </c>
      <c r="P131" s="45"/>
      <c r="Q131" s="46" t="str">
        <f>IF(LEFT(N131,4)="Pass","Nist SP 800-88",My_Audit!R131)&amp;""</f>
        <v/>
      </c>
      <c r="R131" s="45"/>
      <c r="S131" s="45"/>
      <c r="T131" s="46" t="str">
        <f>_xlfn.XLOOKUP(E131,Models!I:I,Models!J:J,"")</f>
        <v/>
      </c>
      <c r="U131" s="45"/>
      <c r="V131" s="45"/>
      <c r="W131" s="38" t="str">
        <f>_xlfn.LET(
    _xlpm.MacVal, _xlfn.XLOOKUP($A131, Output_Mac!$A:$A, Output_Mac!AA:AA, ""),
    _xlpm.MyAuditVal, _xlfn.XLOOKUP($A131, My_Audit!$A:$A, My_Audit!L:L, ""),
    _xlfn.TEXTJOIN(", ", TRUE, _xlpm.MyAuditVal, _xlpm.MacVal)
)</f>
        <v/>
      </c>
    </row>
    <row r="132" spans="1:23">
      <c r="A132" s="45" t="str">
        <f>_xlfn.TEXTJOIN("",TRUE,Input!$B$2,ROW(My_Audit!A131))</f>
        <v>CC131</v>
      </c>
      <c r="B132" s="45" t="str">
        <f>_xlfn.TEXTJOIN("-",TRUE,"ITD",Input!$A$2,A132)</f>
        <v>ITD-XXX-CC131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_xlpm.CSVVal,_xlfn.XLOOKUP($A132,CSV!$A:$A,CSV!C:C,""),
_xlpm.MacVal,_xlfn.XLOOKUP($A132,Output_Mac!$A:$A,Output_Mac!D:D,""),
_xlpm.MyAuditVal,_xlfn.XLOOKUP($A132,My_Audit!$A:$A,My_Audit!C:C,""),
_xlfn.IFS(_xlpm.MyAuditVal&lt;&gt;"",UPPER(_xlpm.MyAuditVal),_xlpm.MacVal&lt;&gt;"",_xlpm.MacVal,_xlpm.CSVVal&lt;&gt;"",_xlpm.CSVVal
)),"")</f>
        <v/>
      </c>
      <c r="E132" s="46" t="str" cm="1">
        <f t="array" ref="E132">IFERROR(_xlfn.LET(
_xlpm.CSVVal,_xlfn.XLOOKUP($A132,CSV!$A:$A,CSV!E:E,""),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_xlpm.CSVVal,_xlfn.XLOOKUP($A132,CSV!$A:$A,CSV!G:G,""),
_xlpm.MacVal,_xlfn.XLOOKUP($A132,Output_Mac!$A:$A,Output_Mac!G:G,""),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_xlfn.XLOOKUP(A132,Output_Mac!A:A,Output_Mac!H:H,"")</f>
        <v/>
      </c>
      <c r="I132" s="45" t="str" cm="1">
        <f t="array" ref="I132">IFERROR(_xlfn.LET(
_xlpm.CSVVal,_xlfn.XLOOKUP($A132,CSV!$A:$A,CSV!H:H,""),
_xlpm.MacVal,_xlfn.XLOOKUP($A132,Output_Mac!$A:$A,Output_Mac!I:I,""),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_xlpm.CSVVal,_xlfn.XLOOKUP($A132,CSV!$A:$A,CSV!J:J,""),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6" t="str" cm="1">
        <f t="array" ref="K132">IFERROR(_xlfn.LET(
_xlpm.CSVVal,_xlfn.XLOOKUP($A132,CSV!$A:$A,CSV!N:N,""),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_xlpm.CSVVal,_xlfn.XLOOKUP($A132,CSV!$A:$A,CSV!Q:Q,""),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CSV!AE:AE,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_xlpm.CSVVal,_xlfn.XLOOKUP($A132,CSV!$A:$A,CSV!AG:AG,""),
_xlpm.MacVal,_xlfn.XLOOKUP($A132,Output_Mac!$A:$A,Output_Mac!T:T,""),
_xlpm.MyAuditVal,_xlfn.XLOOKUP($A132,My_Audit!$A:$A,My_Audit!O:O,""),
_xlfn.IFS(_xlpm.MyAuditVal&lt;&gt;"",UPPER(_xlpm.MyAuditVal),_xlpm.MacVal&lt;&gt;"",_xlpm.MacVal,_xlpm.CSVVal&lt;&gt;"",_xlpm.CSVVal
)),"")</f>
        <v/>
      </c>
      <c r="O132" s="46" t="str">
        <f>_xlfn.XLOOKUP(C132,My_Audit!B:B,My_Audit!P:P,"")&amp;""</f>
        <v/>
      </c>
      <c r="P132" s="45"/>
      <c r="Q132" s="46" t="str">
        <f>IF(LEFT(N132,4)="Pass","Nist SP 800-88",My_Audit!R132)&amp;""</f>
        <v/>
      </c>
      <c r="R132" s="45"/>
      <c r="S132" s="45"/>
      <c r="T132" s="46" t="str">
        <f>_xlfn.XLOOKUP(E132,Models!I:I,Models!J:J,"")</f>
        <v/>
      </c>
      <c r="U132" s="45"/>
      <c r="V132" s="45"/>
      <c r="W132" s="38" t="str">
        <f>_xlfn.LET(
    _xlpm.MacVal, _xlfn.XLOOKUP($A132, Output_Mac!$A:$A, Output_Mac!AA:AA, ""),
    _xlpm.MyAuditVal, _xlfn.XLOOKUP($A132, My_Audit!$A:$A, My_Audit!L:L, ""),
    _xlfn.TEXTJOIN(", ", TRUE, _xlpm.MyAuditVal, _xlpm.MacVal)
)</f>
        <v/>
      </c>
    </row>
    <row r="133" spans="1:23">
      <c r="A133" s="45" t="str">
        <f>_xlfn.TEXTJOIN("",TRUE,Input!$B$2,ROW(My_Audit!A132))</f>
        <v>CC132</v>
      </c>
      <c r="B133" s="45" t="str">
        <f>_xlfn.TEXTJOIN("-",TRUE,"ITD",Input!$A$2,A133)</f>
        <v>ITD-XXX-CC132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_xlpm.CSVVal,_xlfn.XLOOKUP($A133,CSV!$A:$A,CSV!C:C,""),
_xlpm.MacVal,_xlfn.XLOOKUP($A133,Output_Mac!$A:$A,Output_Mac!D:D,""),
_xlpm.MyAuditVal,_xlfn.XLOOKUP($A133,My_Audit!$A:$A,My_Audit!C:C,""),
_xlfn.IFS(_xlpm.MyAuditVal&lt;&gt;"",UPPER(_xlpm.MyAuditVal),_xlpm.MacVal&lt;&gt;"",_xlpm.MacVal,_xlpm.CSVVal&lt;&gt;"",_xlpm.CSVVal
)),"")</f>
        <v/>
      </c>
      <c r="E133" s="46" t="str" cm="1">
        <f t="array" ref="E133">IFERROR(_xlfn.LET(
_xlpm.CSVVal,_xlfn.XLOOKUP($A133,CSV!$A:$A,CSV!E:E,""),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_xlpm.CSVVal,_xlfn.XLOOKUP($A133,CSV!$A:$A,CSV!G:G,""),
_xlpm.MacVal,_xlfn.XLOOKUP($A133,Output_Mac!$A:$A,Output_Mac!G:G,""),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_xlfn.XLOOKUP(A133,Output_Mac!A:A,Output_Mac!H:H,"")</f>
        <v/>
      </c>
      <c r="I133" s="45" t="str" cm="1">
        <f t="array" ref="I133">IFERROR(_xlfn.LET(
_xlpm.CSVVal,_xlfn.XLOOKUP($A133,CSV!$A:$A,CSV!H:H,""),
_xlpm.MacVal,_xlfn.XLOOKUP($A133,Output_Mac!$A:$A,Output_Mac!I:I,""),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_xlpm.CSVVal,_xlfn.XLOOKUP($A133,CSV!$A:$A,CSV!J:J,""),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6" t="str" cm="1">
        <f t="array" ref="K133">IFERROR(_xlfn.LET(
_xlpm.CSVVal,_xlfn.XLOOKUP($A133,CSV!$A:$A,CSV!N:N,""),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_xlpm.CSVVal,_xlfn.XLOOKUP($A133,CSV!$A:$A,CSV!Q:Q,""),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CSV!AE:AE,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_xlpm.CSVVal,_xlfn.XLOOKUP($A133,CSV!$A:$A,CSV!AG:AG,""),
_xlpm.MacVal,_xlfn.XLOOKUP($A133,Output_Mac!$A:$A,Output_Mac!T:T,""),
_xlpm.MyAuditVal,_xlfn.XLOOKUP($A133,My_Audit!$A:$A,My_Audit!O:O,""),
_xlfn.IFS(_xlpm.MyAuditVal&lt;&gt;"",UPPER(_xlpm.MyAuditVal),_xlpm.MacVal&lt;&gt;"",_xlpm.MacVal,_xlpm.CSVVal&lt;&gt;"",_xlpm.CSVVal
)),"")</f>
        <v/>
      </c>
      <c r="O133" s="46" t="str">
        <f>_xlfn.XLOOKUP(C133,My_Audit!B:B,My_Audit!P:P,"")&amp;""</f>
        <v/>
      </c>
      <c r="P133" s="45"/>
      <c r="Q133" s="46" t="str">
        <f>IF(LEFT(N133,4)="Pass","Nist SP 800-88",My_Audit!R133)&amp;""</f>
        <v/>
      </c>
      <c r="R133" s="45"/>
      <c r="S133" s="45"/>
      <c r="T133" s="46" t="str">
        <f>_xlfn.XLOOKUP(E133,Models!I:I,Models!J:J,"")</f>
        <v/>
      </c>
      <c r="U133" s="45"/>
      <c r="V133" s="45"/>
      <c r="W133" s="38" t="str">
        <f>_xlfn.LET(
    _xlpm.MacVal, _xlfn.XLOOKUP($A133, Output_Mac!$A:$A, Output_Mac!AA:AA, ""),
    _xlpm.MyAuditVal, _xlfn.XLOOKUP($A133, My_Audit!$A:$A, My_Audit!L:L, ""),
    _xlfn.TEXTJOIN(", ", TRUE, _xlpm.MyAuditVal, _xlpm.MacVal)
)</f>
        <v/>
      </c>
    </row>
    <row r="134" spans="1:23">
      <c r="A134" s="45" t="str">
        <f>_xlfn.TEXTJOIN("",TRUE,Input!$B$2,ROW(My_Audit!A133))</f>
        <v>CC133</v>
      </c>
      <c r="B134" s="45" t="str">
        <f>_xlfn.TEXTJOIN("-",TRUE,"ITD",Input!$A$2,A134)</f>
        <v>ITD-XXX-CC133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_xlpm.CSVVal,_xlfn.XLOOKUP($A134,CSV!$A:$A,CSV!C:C,""),
_xlpm.MacVal,_xlfn.XLOOKUP($A134,Output_Mac!$A:$A,Output_Mac!D:D,""),
_xlpm.MyAuditVal,_xlfn.XLOOKUP($A134,My_Audit!$A:$A,My_Audit!C:C,""),
_xlfn.IFS(_xlpm.MyAuditVal&lt;&gt;"",UPPER(_xlpm.MyAuditVal),_xlpm.MacVal&lt;&gt;"",_xlpm.MacVal,_xlpm.CSVVal&lt;&gt;"",_xlpm.CSVVal
)),"")</f>
        <v/>
      </c>
      <c r="E134" s="46" t="str" cm="1">
        <f t="array" ref="E134">IFERROR(_xlfn.LET(
_xlpm.CSVVal,_xlfn.XLOOKUP($A134,CSV!$A:$A,CSV!E:E,""),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_xlpm.CSVVal,_xlfn.XLOOKUP($A134,CSV!$A:$A,CSV!G:G,""),
_xlpm.MacVal,_xlfn.XLOOKUP($A134,Output_Mac!$A:$A,Output_Mac!G:G,""),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_xlfn.XLOOKUP(A134,Output_Mac!A:A,Output_Mac!H:H,"")</f>
        <v/>
      </c>
      <c r="I134" s="45" t="str" cm="1">
        <f t="array" ref="I134">IFERROR(_xlfn.LET(
_xlpm.CSVVal,_xlfn.XLOOKUP($A134,CSV!$A:$A,CSV!H:H,""),
_xlpm.MacVal,_xlfn.XLOOKUP($A134,Output_Mac!$A:$A,Output_Mac!I:I,""),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_xlpm.CSVVal,_xlfn.XLOOKUP($A134,CSV!$A:$A,CSV!J:J,""),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6" t="str" cm="1">
        <f t="array" ref="K134">IFERROR(_xlfn.LET(
_xlpm.CSVVal,_xlfn.XLOOKUP($A134,CSV!$A:$A,CSV!N:N,""),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_xlpm.CSVVal,_xlfn.XLOOKUP($A134,CSV!$A:$A,CSV!Q:Q,""),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CSV!AE:AE,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_xlpm.CSVVal,_xlfn.XLOOKUP($A134,CSV!$A:$A,CSV!AG:AG,""),
_xlpm.MacVal,_xlfn.XLOOKUP($A134,Output_Mac!$A:$A,Output_Mac!T:T,""),
_xlpm.MyAuditVal,_xlfn.XLOOKUP($A134,My_Audit!$A:$A,My_Audit!O:O,""),
_xlfn.IFS(_xlpm.MyAuditVal&lt;&gt;"",UPPER(_xlpm.MyAuditVal),_xlpm.MacVal&lt;&gt;"",_xlpm.MacVal,_xlpm.CSVVal&lt;&gt;"",_xlpm.CSVVal
)),"")</f>
        <v/>
      </c>
      <c r="O134" s="46" t="str">
        <f>_xlfn.XLOOKUP(C134,My_Audit!B:B,My_Audit!P:P,"")&amp;""</f>
        <v/>
      </c>
      <c r="P134" s="45"/>
      <c r="Q134" s="46" t="str">
        <f>IF(LEFT(N134,4)="Pass","Nist SP 800-88",My_Audit!R134)&amp;""</f>
        <v/>
      </c>
      <c r="R134" s="45"/>
      <c r="S134" s="45"/>
      <c r="T134" s="46" t="str">
        <f>_xlfn.XLOOKUP(E134,Models!I:I,Models!J:J,"")</f>
        <v/>
      </c>
      <c r="U134" s="45"/>
      <c r="V134" s="45"/>
      <c r="W134" s="38" t="str">
        <f>_xlfn.LET(
    _xlpm.MacVal, _xlfn.XLOOKUP($A134, Output_Mac!$A:$A, Output_Mac!AA:AA, ""),
    _xlpm.MyAuditVal, _xlfn.XLOOKUP($A134, My_Audit!$A:$A, My_Audit!L:L, ""),
    _xlfn.TEXTJOIN(", ", TRUE, _xlpm.MyAuditVal, _xlpm.MacVal)
)</f>
        <v/>
      </c>
    </row>
    <row r="135" spans="1:23">
      <c r="A135" s="45" t="str">
        <f>_xlfn.TEXTJOIN("",TRUE,Input!$B$2,ROW(My_Audit!A134))</f>
        <v>CC134</v>
      </c>
      <c r="B135" s="45" t="str">
        <f>_xlfn.TEXTJOIN("-",TRUE,"ITD",Input!$A$2,A135)</f>
        <v>ITD-XXX-CC134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_xlpm.CSVVal,_xlfn.XLOOKUP($A135,CSV!$A:$A,CSV!C:C,""),
_xlpm.MacVal,_xlfn.XLOOKUP($A135,Output_Mac!$A:$A,Output_Mac!D:D,""),
_xlpm.MyAuditVal,_xlfn.XLOOKUP($A135,My_Audit!$A:$A,My_Audit!C:C,""),
_xlfn.IFS(_xlpm.MyAuditVal&lt;&gt;"",UPPER(_xlpm.MyAuditVal),_xlpm.MacVal&lt;&gt;"",_xlpm.MacVal,_xlpm.CSVVal&lt;&gt;"",_xlpm.CSVVal
)),"")</f>
        <v/>
      </c>
      <c r="E135" s="46" t="str" cm="1">
        <f t="array" ref="E135">IFERROR(_xlfn.LET(
_xlpm.CSVVal,_xlfn.XLOOKUP($A135,CSV!$A:$A,CSV!E:E,""),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_xlpm.CSVVal,_xlfn.XLOOKUP($A135,CSV!$A:$A,CSV!G:G,""),
_xlpm.MacVal,_xlfn.XLOOKUP($A135,Output_Mac!$A:$A,Output_Mac!G:G,""),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_xlfn.XLOOKUP(A135,Output_Mac!A:A,Output_Mac!H:H,"")</f>
        <v/>
      </c>
      <c r="I135" s="45" t="str" cm="1">
        <f t="array" ref="I135">IFERROR(_xlfn.LET(
_xlpm.CSVVal,_xlfn.XLOOKUP($A135,CSV!$A:$A,CSV!H:H,""),
_xlpm.MacVal,_xlfn.XLOOKUP($A135,Output_Mac!$A:$A,Output_Mac!I:I,""),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_xlpm.CSVVal,_xlfn.XLOOKUP($A135,CSV!$A:$A,CSV!J:J,""),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6" t="str" cm="1">
        <f t="array" ref="K135">IFERROR(_xlfn.LET(
_xlpm.CSVVal,_xlfn.XLOOKUP($A135,CSV!$A:$A,CSV!N:N,""),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_xlpm.CSVVal,_xlfn.XLOOKUP($A135,CSV!$A:$A,CSV!Q:Q,""),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CSV!AE:AE,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_xlpm.CSVVal,_xlfn.XLOOKUP($A135,CSV!$A:$A,CSV!AG:AG,""),
_xlpm.MacVal,_xlfn.XLOOKUP($A135,Output_Mac!$A:$A,Output_Mac!T:T,""),
_xlpm.MyAuditVal,_xlfn.XLOOKUP($A135,My_Audit!$A:$A,My_Audit!O:O,""),
_xlfn.IFS(_xlpm.MyAuditVal&lt;&gt;"",UPPER(_xlpm.MyAuditVal),_xlpm.MacVal&lt;&gt;"",_xlpm.MacVal,_xlpm.CSVVal&lt;&gt;"",_xlpm.CSVVal
)),"")</f>
        <v/>
      </c>
      <c r="O135" s="46" t="str">
        <f>_xlfn.XLOOKUP(C135,My_Audit!B:B,My_Audit!P:P,"")&amp;""</f>
        <v/>
      </c>
      <c r="P135" s="45"/>
      <c r="Q135" s="46" t="str">
        <f>IF(LEFT(N135,4)="Pass","Nist SP 800-88",My_Audit!R135)&amp;""</f>
        <v/>
      </c>
      <c r="R135" s="45"/>
      <c r="S135" s="45"/>
      <c r="T135" s="46" t="str">
        <f>_xlfn.XLOOKUP(E135,Models!I:I,Models!J:J,"")</f>
        <v/>
      </c>
      <c r="U135" s="45"/>
      <c r="V135" s="45"/>
      <c r="W135" s="38" t="str">
        <f>_xlfn.LET(
    _xlpm.MacVal, _xlfn.XLOOKUP($A135, Output_Mac!$A:$A, Output_Mac!AA:AA, ""),
    _xlpm.MyAuditVal, _xlfn.XLOOKUP($A135, My_Audit!$A:$A, My_Audit!L:L, ""),
    _xlfn.TEXTJOIN(", ", TRUE, _xlpm.MyAuditVal, _xlpm.MacVal)
)</f>
        <v/>
      </c>
    </row>
    <row r="136" spans="1:23">
      <c r="A136" s="45" t="str">
        <f>_xlfn.TEXTJOIN("",TRUE,Input!$B$2,ROW(My_Audit!A135))</f>
        <v>CC135</v>
      </c>
      <c r="B136" s="45" t="str">
        <f>_xlfn.TEXTJOIN("-",TRUE,"ITD",Input!$A$2,A136)</f>
        <v>ITD-XXX-CC135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_xlpm.CSVVal,_xlfn.XLOOKUP($A136,CSV!$A:$A,CSV!C:C,""),
_xlpm.MacVal,_xlfn.XLOOKUP($A136,Output_Mac!$A:$A,Output_Mac!D:D,""),
_xlpm.MyAuditVal,_xlfn.XLOOKUP($A136,My_Audit!$A:$A,My_Audit!C:C,""),
_xlfn.IFS(_xlpm.MyAuditVal&lt;&gt;"",UPPER(_xlpm.MyAuditVal),_xlpm.MacVal&lt;&gt;"",_xlpm.MacVal,_xlpm.CSVVal&lt;&gt;"",_xlpm.CSVVal
)),"")</f>
        <v/>
      </c>
      <c r="E136" s="46" t="str" cm="1">
        <f t="array" ref="E136">IFERROR(_xlfn.LET(
_xlpm.CSVVal,_xlfn.XLOOKUP($A136,CSV!$A:$A,CSV!E:E,""),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_xlpm.CSVVal,_xlfn.XLOOKUP($A136,CSV!$A:$A,CSV!G:G,""),
_xlpm.MacVal,_xlfn.XLOOKUP($A136,Output_Mac!$A:$A,Output_Mac!G:G,""),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_xlfn.XLOOKUP(A136,Output_Mac!A:A,Output_Mac!H:H,"")</f>
        <v/>
      </c>
      <c r="I136" s="45" t="str" cm="1">
        <f t="array" ref="I136">IFERROR(_xlfn.LET(
_xlpm.CSVVal,_xlfn.XLOOKUP($A136,CSV!$A:$A,CSV!H:H,""),
_xlpm.MacVal,_xlfn.XLOOKUP($A136,Output_Mac!$A:$A,Output_Mac!I:I,""),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_xlpm.CSVVal,_xlfn.XLOOKUP($A136,CSV!$A:$A,CSV!J:J,""),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6" t="str" cm="1">
        <f t="array" ref="K136">IFERROR(_xlfn.LET(
_xlpm.CSVVal,_xlfn.XLOOKUP($A136,CSV!$A:$A,CSV!N:N,""),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_xlpm.CSVVal,_xlfn.XLOOKUP($A136,CSV!$A:$A,CSV!Q:Q,""),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CSV!AE:AE,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_xlpm.CSVVal,_xlfn.XLOOKUP($A136,CSV!$A:$A,CSV!AG:AG,""),
_xlpm.MacVal,_xlfn.XLOOKUP($A136,Output_Mac!$A:$A,Output_Mac!T:T,""),
_xlpm.MyAuditVal,_xlfn.XLOOKUP($A136,My_Audit!$A:$A,My_Audit!O:O,""),
_xlfn.IFS(_xlpm.MyAuditVal&lt;&gt;"",UPPER(_xlpm.MyAuditVal),_xlpm.MacVal&lt;&gt;"",_xlpm.MacVal,_xlpm.CSVVal&lt;&gt;"",_xlpm.CSVVal
)),"")</f>
        <v/>
      </c>
      <c r="O136" s="46" t="str">
        <f>_xlfn.XLOOKUP(C136,My_Audit!B:B,My_Audit!P:P,"")&amp;""</f>
        <v/>
      </c>
      <c r="P136" s="45"/>
      <c r="Q136" s="46" t="str">
        <f>IF(LEFT(N136,4)="Pass","Nist SP 800-88",My_Audit!R136)&amp;""</f>
        <v/>
      </c>
      <c r="R136" s="45"/>
      <c r="S136" s="45"/>
      <c r="T136" s="46" t="str">
        <f>_xlfn.XLOOKUP(E136,Models!I:I,Models!J:J,"")</f>
        <v/>
      </c>
      <c r="U136" s="45"/>
      <c r="V136" s="45"/>
      <c r="W136" s="38" t="str">
        <f>_xlfn.LET(
    _xlpm.MacVal, _xlfn.XLOOKUP($A136, Output_Mac!$A:$A, Output_Mac!AA:AA, ""),
    _xlpm.MyAuditVal, _xlfn.XLOOKUP($A136, My_Audit!$A:$A, My_Audit!L:L, ""),
    _xlfn.TEXTJOIN(", ", TRUE, _xlpm.MyAuditVal, _xlpm.MacVal)
)</f>
        <v/>
      </c>
    </row>
    <row r="137" spans="1:23">
      <c r="A137" s="45" t="str">
        <f>_xlfn.TEXTJOIN("",TRUE,Input!$B$2,ROW(My_Audit!A136))</f>
        <v>CC136</v>
      </c>
      <c r="B137" s="45" t="str">
        <f>_xlfn.TEXTJOIN("-",TRUE,"ITD",Input!$A$2,A137)</f>
        <v>ITD-XXX-CC136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_xlpm.CSVVal,_xlfn.XLOOKUP($A137,CSV!$A:$A,CSV!C:C,""),
_xlpm.MacVal,_xlfn.XLOOKUP($A137,Output_Mac!$A:$A,Output_Mac!D:D,""),
_xlpm.MyAuditVal,_xlfn.XLOOKUP($A137,My_Audit!$A:$A,My_Audit!C:C,""),
_xlfn.IFS(_xlpm.MyAuditVal&lt;&gt;"",UPPER(_xlpm.MyAuditVal),_xlpm.MacVal&lt;&gt;"",_xlpm.MacVal,_xlpm.CSVVal&lt;&gt;"",_xlpm.CSVVal
)),"")</f>
        <v/>
      </c>
      <c r="E137" s="46" t="str" cm="1">
        <f t="array" ref="E137">IFERROR(_xlfn.LET(
_xlpm.CSVVal,_xlfn.XLOOKUP($A137,CSV!$A:$A,CSV!E:E,""),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_xlpm.CSVVal,_xlfn.XLOOKUP($A137,CSV!$A:$A,CSV!G:G,""),
_xlpm.MacVal,_xlfn.XLOOKUP($A137,Output_Mac!$A:$A,Output_Mac!G:G,""),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_xlfn.XLOOKUP(A137,Output_Mac!A:A,Output_Mac!H:H,"")</f>
        <v/>
      </c>
      <c r="I137" s="45" t="str" cm="1">
        <f t="array" ref="I137">IFERROR(_xlfn.LET(
_xlpm.CSVVal,_xlfn.XLOOKUP($A137,CSV!$A:$A,CSV!H:H,""),
_xlpm.MacVal,_xlfn.XLOOKUP($A137,Output_Mac!$A:$A,Output_Mac!I:I,""),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_xlpm.CSVVal,_xlfn.XLOOKUP($A137,CSV!$A:$A,CSV!J:J,""),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6" t="str" cm="1">
        <f t="array" ref="K137">IFERROR(_xlfn.LET(
_xlpm.CSVVal,_xlfn.XLOOKUP($A137,CSV!$A:$A,CSV!N:N,""),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_xlpm.CSVVal,_xlfn.XLOOKUP($A137,CSV!$A:$A,CSV!Q:Q,""),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CSV!AE:AE,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_xlpm.CSVVal,_xlfn.XLOOKUP($A137,CSV!$A:$A,CSV!AG:AG,""),
_xlpm.MacVal,_xlfn.XLOOKUP($A137,Output_Mac!$A:$A,Output_Mac!T:T,""),
_xlpm.MyAuditVal,_xlfn.XLOOKUP($A137,My_Audit!$A:$A,My_Audit!O:O,""),
_xlfn.IFS(_xlpm.MyAuditVal&lt;&gt;"",UPPER(_xlpm.MyAuditVal),_xlpm.MacVal&lt;&gt;"",_xlpm.MacVal,_xlpm.CSVVal&lt;&gt;"",_xlpm.CSVVal
)),"")</f>
        <v/>
      </c>
      <c r="O137" s="46" t="str">
        <f>_xlfn.XLOOKUP(C137,My_Audit!B:B,My_Audit!P:P,"")&amp;""</f>
        <v/>
      </c>
      <c r="P137" s="45"/>
      <c r="Q137" s="46" t="str">
        <f>IF(LEFT(N137,4)="Pass","Nist SP 800-88",My_Audit!R137)&amp;""</f>
        <v/>
      </c>
      <c r="R137" s="45"/>
      <c r="S137" s="45"/>
      <c r="T137" s="46" t="str">
        <f>_xlfn.XLOOKUP(E137,Models!I:I,Models!J:J,"")</f>
        <v/>
      </c>
      <c r="U137" s="45"/>
      <c r="V137" s="45"/>
      <c r="W137" s="38" t="str">
        <f>_xlfn.LET(
    _xlpm.MacVal, _xlfn.XLOOKUP($A137, Output_Mac!$A:$A, Output_Mac!AA:AA, ""),
    _xlpm.MyAuditVal, _xlfn.XLOOKUP($A137, My_Audit!$A:$A, My_Audit!L:L, ""),
    _xlfn.TEXTJOIN(", ", TRUE, _xlpm.MyAuditVal, _xlpm.MacVal)
)</f>
        <v/>
      </c>
    </row>
    <row r="138" spans="1:23">
      <c r="A138" s="45" t="str">
        <f>_xlfn.TEXTJOIN("",TRUE,Input!$B$2,ROW(My_Audit!A137))</f>
        <v>CC137</v>
      </c>
      <c r="B138" s="45" t="str">
        <f>_xlfn.TEXTJOIN("-",TRUE,"ITD",Input!$A$2,A138)</f>
        <v>ITD-XXX-CC137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_xlpm.CSVVal,_xlfn.XLOOKUP($A138,CSV!$A:$A,CSV!C:C,""),
_xlpm.MacVal,_xlfn.XLOOKUP($A138,Output_Mac!$A:$A,Output_Mac!D:D,""),
_xlpm.MyAuditVal,_xlfn.XLOOKUP($A138,My_Audit!$A:$A,My_Audit!C:C,""),
_xlfn.IFS(_xlpm.MyAuditVal&lt;&gt;"",UPPER(_xlpm.MyAuditVal),_xlpm.MacVal&lt;&gt;"",_xlpm.MacVal,_xlpm.CSVVal&lt;&gt;"",_xlpm.CSVVal
)),"")</f>
        <v/>
      </c>
      <c r="E138" s="46" t="str" cm="1">
        <f t="array" ref="E138">IFERROR(_xlfn.LET(
_xlpm.CSVVal,_xlfn.XLOOKUP($A138,CSV!$A:$A,CSV!E:E,""),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_xlpm.CSVVal,_xlfn.XLOOKUP($A138,CSV!$A:$A,CSV!G:G,""),
_xlpm.MacVal,_xlfn.XLOOKUP($A138,Output_Mac!$A:$A,Output_Mac!G:G,""),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_xlfn.XLOOKUP(A138,Output_Mac!A:A,Output_Mac!H:H,"")</f>
        <v/>
      </c>
      <c r="I138" s="45" t="str" cm="1">
        <f t="array" ref="I138">IFERROR(_xlfn.LET(
_xlpm.CSVVal,_xlfn.XLOOKUP($A138,CSV!$A:$A,CSV!H:H,""),
_xlpm.MacVal,_xlfn.XLOOKUP($A138,Output_Mac!$A:$A,Output_Mac!I:I,""),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_xlpm.CSVVal,_xlfn.XLOOKUP($A138,CSV!$A:$A,CSV!J:J,""),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6" t="str" cm="1">
        <f t="array" ref="K138">IFERROR(_xlfn.LET(
_xlpm.CSVVal,_xlfn.XLOOKUP($A138,CSV!$A:$A,CSV!N:N,""),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_xlpm.CSVVal,_xlfn.XLOOKUP($A138,CSV!$A:$A,CSV!Q:Q,""),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CSV!AE:AE,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_xlpm.CSVVal,_xlfn.XLOOKUP($A138,CSV!$A:$A,CSV!AG:AG,""),
_xlpm.MacVal,_xlfn.XLOOKUP($A138,Output_Mac!$A:$A,Output_Mac!T:T,""),
_xlpm.MyAuditVal,_xlfn.XLOOKUP($A138,My_Audit!$A:$A,My_Audit!O:O,""),
_xlfn.IFS(_xlpm.MyAuditVal&lt;&gt;"",UPPER(_xlpm.MyAuditVal),_xlpm.MacVal&lt;&gt;"",_xlpm.MacVal,_xlpm.CSVVal&lt;&gt;"",_xlpm.CSVVal
)),"")</f>
        <v/>
      </c>
      <c r="O138" s="46" t="str">
        <f>_xlfn.XLOOKUP(C138,My_Audit!B:B,My_Audit!P:P,"")&amp;""</f>
        <v/>
      </c>
      <c r="P138" s="45"/>
      <c r="Q138" s="46" t="str">
        <f>IF(LEFT(N138,4)="Pass","Nist SP 800-88",My_Audit!R138)&amp;""</f>
        <v/>
      </c>
      <c r="R138" s="45"/>
      <c r="S138" s="45"/>
      <c r="T138" s="46" t="str">
        <f>_xlfn.XLOOKUP(E138,Models!I:I,Models!J:J,"")</f>
        <v/>
      </c>
      <c r="U138" s="45"/>
      <c r="V138" s="45"/>
      <c r="W138" s="38" t="str">
        <f>_xlfn.LET(
    _xlpm.MacVal, _xlfn.XLOOKUP($A138, Output_Mac!$A:$A, Output_Mac!AA:AA, ""),
    _xlpm.MyAuditVal, _xlfn.XLOOKUP($A138, My_Audit!$A:$A, My_Audit!L:L, ""),
    _xlfn.TEXTJOIN(", ", TRUE, _xlpm.MyAuditVal, _xlpm.MacVal)
)</f>
        <v/>
      </c>
    </row>
    <row r="139" spans="1:23">
      <c r="A139" s="45" t="str">
        <f>_xlfn.TEXTJOIN("",TRUE,Input!$B$2,ROW(My_Audit!A138))</f>
        <v>CC138</v>
      </c>
      <c r="B139" s="45" t="str">
        <f>_xlfn.TEXTJOIN("-",TRUE,"ITD",Input!$A$2,A139)</f>
        <v>ITD-XXX-CC138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_xlpm.CSVVal,_xlfn.XLOOKUP($A139,CSV!$A:$A,CSV!C:C,""),
_xlpm.MacVal,_xlfn.XLOOKUP($A139,Output_Mac!$A:$A,Output_Mac!D:D,""),
_xlpm.MyAuditVal,_xlfn.XLOOKUP($A139,My_Audit!$A:$A,My_Audit!C:C,""),
_xlfn.IFS(_xlpm.MyAuditVal&lt;&gt;"",UPPER(_xlpm.MyAuditVal),_xlpm.MacVal&lt;&gt;"",_xlpm.MacVal,_xlpm.CSVVal&lt;&gt;"",_xlpm.CSVVal
)),"")</f>
        <v/>
      </c>
      <c r="E139" s="46" t="str" cm="1">
        <f t="array" ref="E139">IFERROR(_xlfn.LET(
_xlpm.CSVVal,_xlfn.XLOOKUP($A139,CSV!$A:$A,CSV!E:E,""),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_xlpm.CSVVal,_xlfn.XLOOKUP($A139,CSV!$A:$A,CSV!G:G,""),
_xlpm.MacVal,_xlfn.XLOOKUP($A139,Output_Mac!$A:$A,Output_Mac!G:G,""),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_xlfn.XLOOKUP(A139,Output_Mac!A:A,Output_Mac!H:H,"")</f>
        <v/>
      </c>
      <c r="I139" s="45" t="str" cm="1">
        <f t="array" ref="I139">IFERROR(_xlfn.LET(
_xlpm.CSVVal,_xlfn.XLOOKUP($A139,CSV!$A:$A,CSV!H:H,""),
_xlpm.MacVal,_xlfn.XLOOKUP($A139,Output_Mac!$A:$A,Output_Mac!I:I,""),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_xlpm.CSVVal,_xlfn.XLOOKUP($A139,CSV!$A:$A,CSV!J:J,""),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6" t="str" cm="1">
        <f t="array" ref="K139">IFERROR(_xlfn.LET(
_xlpm.CSVVal,_xlfn.XLOOKUP($A139,CSV!$A:$A,CSV!N:N,""),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_xlpm.CSVVal,_xlfn.XLOOKUP($A139,CSV!$A:$A,CSV!Q:Q,""),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CSV!AE:AE,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_xlpm.CSVVal,_xlfn.XLOOKUP($A139,CSV!$A:$A,CSV!AG:AG,""),
_xlpm.MacVal,_xlfn.XLOOKUP($A139,Output_Mac!$A:$A,Output_Mac!T:T,""),
_xlpm.MyAuditVal,_xlfn.XLOOKUP($A139,My_Audit!$A:$A,My_Audit!O:O,""),
_xlfn.IFS(_xlpm.MyAuditVal&lt;&gt;"",UPPER(_xlpm.MyAuditVal),_xlpm.MacVal&lt;&gt;"",_xlpm.MacVal,_xlpm.CSVVal&lt;&gt;"",_xlpm.CSVVal
)),"")</f>
        <v/>
      </c>
      <c r="O139" s="46" t="str">
        <f>_xlfn.XLOOKUP(C139,My_Audit!B:B,My_Audit!P:P,"")&amp;""</f>
        <v/>
      </c>
      <c r="P139" s="45"/>
      <c r="Q139" s="46" t="str">
        <f>IF(LEFT(N139,4)="Pass","Nist SP 800-88",My_Audit!R139)&amp;""</f>
        <v/>
      </c>
      <c r="R139" s="45"/>
      <c r="S139" s="45"/>
      <c r="T139" s="46" t="str">
        <f>_xlfn.XLOOKUP(E139,Models!I:I,Models!J:J,"")</f>
        <v/>
      </c>
      <c r="U139" s="45"/>
      <c r="V139" s="45"/>
      <c r="W139" s="38" t="str">
        <f>_xlfn.LET(
    _xlpm.MacVal, _xlfn.XLOOKUP($A139, Output_Mac!$A:$A, Output_Mac!AA:AA, ""),
    _xlpm.MyAuditVal, _xlfn.XLOOKUP($A139, My_Audit!$A:$A, My_Audit!L:L, ""),
    _xlfn.TEXTJOIN(", ", TRUE, _xlpm.MyAuditVal, _xlpm.MacVal)
)</f>
        <v/>
      </c>
    </row>
    <row r="140" spans="1:23">
      <c r="A140" s="45" t="str">
        <f>_xlfn.TEXTJOIN("",TRUE,Input!$B$2,ROW(My_Audit!A139))</f>
        <v>CC139</v>
      </c>
      <c r="B140" s="45" t="str">
        <f>_xlfn.TEXTJOIN("-",TRUE,"ITD",Input!$A$2,A140)</f>
        <v>ITD-XXX-CC139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_xlpm.CSVVal,_xlfn.XLOOKUP($A140,CSV!$A:$A,CSV!C:C,""),
_xlpm.MacVal,_xlfn.XLOOKUP($A140,Output_Mac!$A:$A,Output_Mac!D:D,""),
_xlpm.MyAuditVal,_xlfn.XLOOKUP($A140,My_Audit!$A:$A,My_Audit!C:C,""),
_xlfn.IFS(_xlpm.MyAuditVal&lt;&gt;"",UPPER(_xlpm.MyAuditVal),_xlpm.MacVal&lt;&gt;"",_xlpm.MacVal,_xlpm.CSVVal&lt;&gt;"",_xlpm.CSVVal
)),"")</f>
        <v/>
      </c>
      <c r="E140" s="46" t="str" cm="1">
        <f t="array" ref="E140">IFERROR(_xlfn.LET(
_xlpm.CSVVal,_xlfn.XLOOKUP($A140,CSV!$A:$A,CSV!E:E,""),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_xlpm.CSVVal,_xlfn.XLOOKUP($A140,CSV!$A:$A,CSV!G:G,""),
_xlpm.MacVal,_xlfn.XLOOKUP($A140,Output_Mac!$A:$A,Output_Mac!G:G,""),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_xlfn.XLOOKUP(A140,Output_Mac!A:A,Output_Mac!H:H,"")</f>
        <v/>
      </c>
      <c r="I140" s="45" t="str" cm="1">
        <f t="array" ref="I140">IFERROR(_xlfn.LET(
_xlpm.CSVVal,_xlfn.XLOOKUP($A140,CSV!$A:$A,CSV!H:H,""),
_xlpm.MacVal,_xlfn.XLOOKUP($A140,Output_Mac!$A:$A,Output_Mac!I:I,""),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_xlpm.CSVVal,_xlfn.XLOOKUP($A140,CSV!$A:$A,CSV!J:J,""),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6" t="str" cm="1">
        <f t="array" ref="K140">IFERROR(_xlfn.LET(
_xlpm.CSVVal,_xlfn.XLOOKUP($A140,CSV!$A:$A,CSV!N:N,""),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_xlpm.CSVVal,_xlfn.XLOOKUP($A140,CSV!$A:$A,CSV!Q:Q,""),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CSV!AE:AE,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_xlpm.CSVVal,_xlfn.XLOOKUP($A140,CSV!$A:$A,CSV!AG:AG,""),
_xlpm.MacVal,_xlfn.XLOOKUP($A140,Output_Mac!$A:$A,Output_Mac!T:T,""),
_xlpm.MyAuditVal,_xlfn.XLOOKUP($A140,My_Audit!$A:$A,My_Audit!O:O,""),
_xlfn.IFS(_xlpm.MyAuditVal&lt;&gt;"",UPPER(_xlpm.MyAuditVal),_xlpm.MacVal&lt;&gt;"",_xlpm.MacVal,_xlpm.CSVVal&lt;&gt;"",_xlpm.CSVVal
)),"")</f>
        <v/>
      </c>
      <c r="O140" s="46" t="str">
        <f>_xlfn.XLOOKUP(C140,My_Audit!B:B,My_Audit!P:P,"")&amp;""</f>
        <v/>
      </c>
      <c r="P140" s="45"/>
      <c r="Q140" s="46" t="str">
        <f>IF(LEFT(N140,4)="Pass","Nist SP 800-88",My_Audit!R140)&amp;""</f>
        <v/>
      </c>
      <c r="R140" s="45"/>
      <c r="S140" s="45"/>
      <c r="T140" s="46" t="str">
        <f>_xlfn.XLOOKUP(E140,Models!I:I,Models!J:J,"")</f>
        <v/>
      </c>
      <c r="U140" s="45"/>
      <c r="V140" s="45"/>
      <c r="W140" s="38" t="str">
        <f>_xlfn.LET(
    _xlpm.MacVal, _xlfn.XLOOKUP($A140, Output_Mac!$A:$A, Output_Mac!AA:AA, ""),
    _xlpm.MyAuditVal, _xlfn.XLOOKUP($A140, My_Audit!$A:$A, My_Audit!L:L, ""),
    _xlfn.TEXTJOIN(", ", TRUE, _xlpm.MyAuditVal, _xlpm.MacVal)
)</f>
        <v/>
      </c>
    </row>
    <row r="141" spans="1:23">
      <c r="A141" s="45" t="str">
        <f>_xlfn.TEXTJOIN("",TRUE,Input!$B$2,ROW(My_Audit!A140))</f>
        <v>CC140</v>
      </c>
      <c r="B141" s="45" t="str">
        <f>_xlfn.TEXTJOIN("-",TRUE,"ITD",Input!$A$2,A141)</f>
        <v>ITD-XXX-CC140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_xlpm.CSVVal,_xlfn.XLOOKUP($A141,CSV!$A:$A,CSV!C:C,""),
_xlpm.MacVal,_xlfn.XLOOKUP($A141,Output_Mac!$A:$A,Output_Mac!D:D,""),
_xlpm.MyAuditVal,_xlfn.XLOOKUP($A141,My_Audit!$A:$A,My_Audit!C:C,""),
_xlfn.IFS(_xlpm.MyAuditVal&lt;&gt;"",UPPER(_xlpm.MyAuditVal),_xlpm.MacVal&lt;&gt;"",_xlpm.MacVal,_xlpm.CSVVal&lt;&gt;"",_xlpm.CSVVal
)),"")</f>
        <v/>
      </c>
      <c r="E141" s="46" t="str" cm="1">
        <f t="array" ref="E141">IFERROR(_xlfn.LET(
_xlpm.CSVVal,_xlfn.XLOOKUP($A141,CSV!$A:$A,CSV!E:E,""),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_xlpm.CSVVal,_xlfn.XLOOKUP($A141,CSV!$A:$A,CSV!G:G,""),
_xlpm.MacVal,_xlfn.XLOOKUP($A141,Output_Mac!$A:$A,Output_Mac!G:G,""),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_xlfn.XLOOKUP(A141,Output_Mac!A:A,Output_Mac!H:H,"")</f>
        <v/>
      </c>
      <c r="I141" s="45" t="str" cm="1">
        <f t="array" ref="I141">IFERROR(_xlfn.LET(
_xlpm.CSVVal,_xlfn.XLOOKUP($A141,CSV!$A:$A,CSV!H:H,""),
_xlpm.MacVal,_xlfn.XLOOKUP($A141,Output_Mac!$A:$A,Output_Mac!I:I,""),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_xlpm.CSVVal,_xlfn.XLOOKUP($A141,CSV!$A:$A,CSV!J:J,""),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6" t="str" cm="1">
        <f t="array" ref="K141">IFERROR(_xlfn.LET(
_xlpm.CSVVal,_xlfn.XLOOKUP($A141,CSV!$A:$A,CSV!N:N,""),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_xlpm.CSVVal,_xlfn.XLOOKUP($A141,CSV!$A:$A,CSV!Q:Q,""),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CSV!AE:AE,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_xlpm.CSVVal,_xlfn.XLOOKUP($A141,CSV!$A:$A,CSV!AG:AG,""),
_xlpm.MacVal,_xlfn.XLOOKUP($A141,Output_Mac!$A:$A,Output_Mac!T:T,""),
_xlpm.MyAuditVal,_xlfn.XLOOKUP($A141,My_Audit!$A:$A,My_Audit!O:O,""),
_xlfn.IFS(_xlpm.MyAuditVal&lt;&gt;"",UPPER(_xlpm.MyAuditVal),_xlpm.MacVal&lt;&gt;"",_xlpm.MacVal,_xlpm.CSVVal&lt;&gt;"",_xlpm.CSVVal
)),"")</f>
        <v/>
      </c>
      <c r="O141" s="46" t="str">
        <f>_xlfn.XLOOKUP(C141,My_Audit!B:B,My_Audit!P:P,"")&amp;""</f>
        <v/>
      </c>
      <c r="P141" s="45"/>
      <c r="Q141" s="46" t="str">
        <f>IF(LEFT(N141,4)="Pass","Nist SP 800-88",My_Audit!R141)&amp;""</f>
        <v/>
      </c>
      <c r="R141" s="45"/>
      <c r="S141" s="45"/>
      <c r="T141" s="46" t="str">
        <f>_xlfn.XLOOKUP(E141,Models!I:I,Models!J:J,"")</f>
        <v/>
      </c>
      <c r="U141" s="45"/>
      <c r="V141" s="45"/>
      <c r="W141" s="38" t="str">
        <f>_xlfn.LET(
    _xlpm.MacVal, _xlfn.XLOOKUP($A141, Output_Mac!$A:$A, Output_Mac!AA:AA, ""),
    _xlpm.MyAuditVal, _xlfn.XLOOKUP($A141, My_Audit!$A:$A, My_Audit!L:L, ""),
    _xlfn.TEXTJOIN(", ", TRUE, _xlpm.MyAuditVal, _xlpm.MacVal)
)</f>
        <v/>
      </c>
    </row>
    <row r="142" spans="1:23">
      <c r="A142" s="45" t="str">
        <f>_xlfn.TEXTJOIN("",TRUE,Input!$B$2,ROW(My_Audit!A141))</f>
        <v>CC141</v>
      </c>
      <c r="B142" s="45" t="str">
        <f>_xlfn.TEXTJOIN("-",TRUE,"ITD",Input!$A$2,A142)</f>
        <v>ITD-XXX-CC141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_xlpm.CSVVal,_xlfn.XLOOKUP($A142,CSV!$A:$A,CSV!C:C,""),
_xlpm.MacVal,_xlfn.XLOOKUP($A142,Output_Mac!$A:$A,Output_Mac!D:D,""),
_xlpm.MyAuditVal,_xlfn.XLOOKUP($A142,My_Audit!$A:$A,My_Audit!C:C,""),
_xlfn.IFS(_xlpm.MyAuditVal&lt;&gt;"",UPPER(_xlpm.MyAuditVal),_xlpm.MacVal&lt;&gt;"",_xlpm.MacVal,_xlpm.CSVVal&lt;&gt;"",_xlpm.CSVVal
)),"")</f>
        <v/>
      </c>
      <c r="E142" s="46" t="str" cm="1">
        <f t="array" ref="E142">IFERROR(_xlfn.LET(
_xlpm.CSVVal,_xlfn.XLOOKUP($A142,CSV!$A:$A,CSV!E:E,""),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_xlpm.CSVVal,_xlfn.XLOOKUP($A142,CSV!$A:$A,CSV!G:G,""),
_xlpm.MacVal,_xlfn.XLOOKUP($A142,Output_Mac!$A:$A,Output_Mac!G:G,""),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_xlfn.XLOOKUP(A142,Output_Mac!A:A,Output_Mac!H:H,"")</f>
        <v/>
      </c>
      <c r="I142" s="45" t="str" cm="1">
        <f t="array" ref="I142">IFERROR(_xlfn.LET(
_xlpm.CSVVal,_xlfn.XLOOKUP($A142,CSV!$A:$A,CSV!H:H,""),
_xlpm.MacVal,_xlfn.XLOOKUP($A142,Output_Mac!$A:$A,Output_Mac!I:I,""),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_xlpm.CSVVal,_xlfn.XLOOKUP($A142,CSV!$A:$A,CSV!J:J,""),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6" t="str" cm="1">
        <f t="array" ref="K142">IFERROR(_xlfn.LET(
_xlpm.CSVVal,_xlfn.XLOOKUP($A142,CSV!$A:$A,CSV!N:N,""),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_xlpm.CSVVal,_xlfn.XLOOKUP($A142,CSV!$A:$A,CSV!Q:Q,""),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CSV!AE:AE,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_xlpm.CSVVal,_xlfn.XLOOKUP($A142,CSV!$A:$A,CSV!AG:AG,""),
_xlpm.MacVal,_xlfn.XLOOKUP($A142,Output_Mac!$A:$A,Output_Mac!T:T,""),
_xlpm.MyAuditVal,_xlfn.XLOOKUP($A142,My_Audit!$A:$A,My_Audit!O:O,""),
_xlfn.IFS(_xlpm.MyAuditVal&lt;&gt;"",UPPER(_xlpm.MyAuditVal),_xlpm.MacVal&lt;&gt;"",_xlpm.MacVal,_xlpm.CSVVal&lt;&gt;"",_xlpm.CSVVal
)),"")</f>
        <v/>
      </c>
      <c r="O142" s="46" t="str">
        <f>_xlfn.XLOOKUP(C142,My_Audit!B:B,My_Audit!P:P,"")&amp;""</f>
        <v/>
      </c>
      <c r="P142" s="45"/>
      <c r="Q142" s="46" t="str">
        <f>IF(LEFT(N142,4)="Pass","Nist SP 800-88",My_Audit!R142)&amp;""</f>
        <v/>
      </c>
      <c r="R142" s="45"/>
      <c r="S142" s="45"/>
      <c r="T142" s="46" t="str">
        <f>_xlfn.XLOOKUP(E142,Models!I:I,Models!J:J,"")</f>
        <v/>
      </c>
      <c r="U142" s="45"/>
      <c r="V142" s="45"/>
      <c r="W142" s="38" t="str">
        <f>_xlfn.LET(
    _xlpm.MacVal, _xlfn.XLOOKUP($A142, Output_Mac!$A:$A, Output_Mac!AA:AA, ""),
    _xlpm.MyAuditVal, _xlfn.XLOOKUP($A142, My_Audit!$A:$A, My_Audit!L:L, ""),
    _xlfn.TEXTJOIN(", ", TRUE, _xlpm.MyAuditVal, _xlpm.MacVal)
)</f>
        <v/>
      </c>
    </row>
    <row r="143" spans="1:23">
      <c r="A143" s="45" t="str">
        <f>_xlfn.TEXTJOIN("",TRUE,Input!$B$2,ROW(My_Audit!A142))</f>
        <v>CC142</v>
      </c>
      <c r="B143" s="45" t="str">
        <f>_xlfn.TEXTJOIN("-",TRUE,"ITD",Input!$A$2,A143)</f>
        <v>ITD-XXX-CC142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_xlpm.CSVVal,_xlfn.XLOOKUP($A143,CSV!$A:$A,CSV!C:C,""),
_xlpm.MacVal,_xlfn.XLOOKUP($A143,Output_Mac!$A:$A,Output_Mac!D:D,""),
_xlpm.MyAuditVal,_xlfn.XLOOKUP($A143,My_Audit!$A:$A,My_Audit!C:C,""),
_xlfn.IFS(_xlpm.MyAuditVal&lt;&gt;"",UPPER(_xlpm.MyAuditVal),_xlpm.MacVal&lt;&gt;"",_xlpm.MacVal,_xlpm.CSVVal&lt;&gt;"",_xlpm.CSVVal
)),"")</f>
        <v/>
      </c>
      <c r="E143" s="46" t="str" cm="1">
        <f t="array" ref="E143">IFERROR(_xlfn.LET(
_xlpm.CSVVal,_xlfn.XLOOKUP($A143,CSV!$A:$A,CSV!E:E,""),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_xlpm.CSVVal,_xlfn.XLOOKUP($A143,CSV!$A:$A,CSV!G:G,""),
_xlpm.MacVal,_xlfn.XLOOKUP($A143,Output_Mac!$A:$A,Output_Mac!G:G,""),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_xlfn.XLOOKUP(A143,Output_Mac!A:A,Output_Mac!H:H,"")</f>
        <v/>
      </c>
      <c r="I143" s="45" t="str" cm="1">
        <f t="array" ref="I143">IFERROR(_xlfn.LET(
_xlpm.CSVVal,_xlfn.XLOOKUP($A143,CSV!$A:$A,CSV!H:H,""),
_xlpm.MacVal,_xlfn.XLOOKUP($A143,Output_Mac!$A:$A,Output_Mac!I:I,""),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_xlpm.CSVVal,_xlfn.XLOOKUP($A143,CSV!$A:$A,CSV!J:J,""),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6" t="str" cm="1">
        <f t="array" ref="K143">IFERROR(_xlfn.LET(
_xlpm.CSVVal,_xlfn.XLOOKUP($A143,CSV!$A:$A,CSV!N:N,""),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_xlpm.CSVVal,_xlfn.XLOOKUP($A143,CSV!$A:$A,CSV!Q:Q,""),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CSV!AE:AE,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_xlpm.CSVVal,_xlfn.XLOOKUP($A143,CSV!$A:$A,CSV!AG:AG,""),
_xlpm.MacVal,_xlfn.XLOOKUP($A143,Output_Mac!$A:$A,Output_Mac!T:T,""),
_xlpm.MyAuditVal,_xlfn.XLOOKUP($A143,My_Audit!$A:$A,My_Audit!O:O,""),
_xlfn.IFS(_xlpm.MyAuditVal&lt;&gt;"",UPPER(_xlpm.MyAuditVal),_xlpm.MacVal&lt;&gt;"",_xlpm.MacVal,_xlpm.CSVVal&lt;&gt;"",_xlpm.CSVVal
)),"")</f>
        <v/>
      </c>
      <c r="O143" s="46" t="str">
        <f>_xlfn.XLOOKUP(C143,My_Audit!B:B,My_Audit!P:P,"")&amp;""</f>
        <v/>
      </c>
      <c r="P143" s="45"/>
      <c r="Q143" s="46" t="str">
        <f>IF(LEFT(N143,4)="Pass","Nist SP 800-88",My_Audit!R143)&amp;""</f>
        <v/>
      </c>
      <c r="R143" s="45"/>
      <c r="S143" s="45"/>
      <c r="T143" s="46" t="str">
        <f>_xlfn.XLOOKUP(E143,Models!I:I,Models!J:J,"")</f>
        <v/>
      </c>
      <c r="U143" s="45"/>
      <c r="V143" s="45"/>
      <c r="W143" s="38" t="str">
        <f>_xlfn.LET(
    _xlpm.MacVal, _xlfn.XLOOKUP($A143, Output_Mac!$A:$A, Output_Mac!AA:AA, ""),
    _xlpm.MyAuditVal, _xlfn.XLOOKUP($A143, My_Audit!$A:$A, My_Audit!L:L, ""),
    _xlfn.TEXTJOIN(", ", TRUE, _xlpm.MyAuditVal, _xlpm.MacVal)
)</f>
        <v/>
      </c>
    </row>
    <row r="144" spans="1:23">
      <c r="A144" s="45" t="str">
        <f>_xlfn.TEXTJOIN("",TRUE,Input!$B$2,ROW(My_Audit!A143))</f>
        <v>CC143</v>
      </c>
      <c r="B144" s="45" t="str">
        <f>_xlfn.TEXTJOIN("-",TRUE,"ITD",Input!$A$2,A144)</f>
        <v>ITD-XXX-CC143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_xlpm.CSVVal,_xlfn.XLOOKUP($A144,CSV!$A:$A,CSV!C:C,""),
_xlpm.MacVal,_xlfn.XLOOKUP($A144,Output_Mac!$A:$A,Output_Mac!D:D,""),
_xlpm.MyAuditVal,_xlfn.XLOOKUP($A144,My_Audit!$A:$A,My_Audit!C:C,""),
_xlfn.IFS(_xlpm.MyAuditVal&lt;&gt;"",UPPER(_xlpm.MyAuditVal),_xlpm.MacVal&lt;&gt;"",_xlpm.MacVal,_xlpm.CSVVal&lt;&gt;"",_xlpm.CSVVal
)),"")</f>
        <v/>
      </c>
      <c r="E144" s="46" t="str" cm="1">
        <f t="array" ref="E144">IFERROR(_xlfn.LET(
_xlpm.CSVVal,_xlfn.XLOOKUP($A144,CSV!$A:$A,CSV!E:E,""),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_xlpm.CSVVal,_xlfn.XLOOKUP($A144,CSV!$A:$A,CSV!G:G,""),
_xlpm.MacVal,_xlfn.XLOOKUP($A144,Output_Mac!$A:$A,Output_Mac!G:G,""),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_xlfn.XLOOKUP(A144,Output_Mac!A:A,Output_Mac!H:H,"")</f>
        <v/>
      </c>
      <c r="I144" s="45" t="str" cm="1">
        <f t="array" ref="I144">IFERROR(_xlfn.LET(
_xlpm.CSVVal,_xlfn.XLOOKUP($A144,CSV!$A:$A,CSV!H:H,""),
_xlpm.MacVal,_xlfn.XLOOKUP($A144,Output_Mac!$A:$A,Output_Mac!I:I,""),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_xlpm.CSVVal,_xlfn.XLOOKUP($A144,CSV!$A:$A,CSV!J:J,""),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6" t="str" cm="1">
        <f t="array" ref="K144">IFERROR(_xlfn.LET(
_xlpm.CSVVal,_xlfn.XLOOKUP($A144,CSV!$A:$A,CSV!N:N,""),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_xlpm.CSVVal,_xlfn.XLOOKUP($A144,CSV!$A:$A,CSV!Q:Q,""),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CSV!AE:AE,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_xlpm.CSVVal,_xlfn.XLOOKUP($A144,CSV!$A:$A,CSV!AG:AG,""),
_xlpm.MacVal,_xlfn.XLOOKUP($A144,Output_Mac!$A:$A,Output_Mac!T:T,""),
_xlpm.MyAuditVal,_xlfn.XLOOKUP($A144,My_Audit!$A:$A,My_Audit!O:O,""),
_xlfn.IFS(_xlpm.MyAuditVal&lt;&gt;"",UPPER(_xlpm.MyAuditVal),_xlpm.MacVal&lt;&gt;"",_xlpm.MacVal,_xlpm.CSVVal&lt;&gt;"",_xlpm.CSVVal
)),"")</f>
        <v/>
      </c>
      <c r="O144" s="46" t="str">
        <f>_xlfn.XLOOKUP(C144,My_Audit!B:B,My_Audit!P:P,"")&amp;""</f>
        <v/>
      </c>
      <c r="P144" s="45"/>
      <c r="Q144" s="46" t="str">
        <f>IF(LEFT(N144,4)="Pass","Nist SP 800-88",My_Audit!R144)&amp;""</f>
        <v/>
      </c>
      <c r="R144" s="45"/>
      <c r="S144" s="45"/>
      <c r="T144" s="46" t="str">
        <f>_xlfn.XLOOKUP(E144,Models!I:I,Models!J:J,"")</f>
        <v/>
      </c>
      <c r="U144" s="45"/>
      <c r="V144" s="45"/>
      <c r="W144" s="38" t="str">
        <f>_xlfn.LET(
    _xlpm.MacVal, _xlfn.XLOOKUP($A144, Output_Mac!$A:$A, Output_Mac!AA:AA, ""),
    _xlpm.MyAuditVal, _xlfn.XLOOKUP($A144, My_Audit!$A:$A, My_Audit!L:L, ""),
    _xlfn.TEXTJOIN(", ", TRUE, _xlpm.MyAuditVal, _xlpm.MacVal)
)</f>
        <v/>
      </c>
    </row>
    <row r="145" spans="1:23">
      <c r="A145" s="45" t="str">
        <f>_xlfn.TEXTJOIN("",TRUE,Input!$B$2,ROW(My_Audit!A144))</f>
        <v>CC144</v>
      </c>
      <c r="B145" s="45" t="str">
        <f>_xlfn.TEXTJOIN("-",TRUE,"ITD",Input!$A$2,A145)</f>
        <v>ITD-XXX-CC144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_xlpm.CSVVal,_xlfn.XLOOKUP($A145,CSV!$A:$A,CSV!C:C,""),
_xlpm.MacVal,_xlfn.XLOOKUP($A145,Output_Mac!$A:$A,Output_Mac!D:D,""),
_xlpm.MyAuditVal,_xlfn.XLOOKUP($A145,My_Audit!$A:$A,My_Audit!C:C,""),
_xlfn.IFS(_xlpm.MyAuditVal&lt;&gt;"",UPPER(_xlpm.MyAuditVal),_xlpm.MacVal&lt;&gt;"",_xlpm.MacVal,_xlpm.CSVVal&lt;&gt;"",_xlpm.CSVVal
)),"")</f>
        <v/>
      </c>
      <c r="E145" s="46" t="str" cm="1">
        <f t="array" ref="E145">IFERROR(_xlfn.LET(
_xlpm.CSVVal,_xlfn.XLOOKUP($A145,CSV!$A:$A,CSV!E:E,""),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_xlpm.CSVVal,_xlfn.XLOOKUP($A145,CSV!$A:$A,CSV!G:G,""),
_xlpm.MacVal,_xlfn.XLOOKUP($A145,Output_Mac!$A:$A,Output_Mac!G:G,""),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_xlfn.XLOOKUP(A145,Output_Mac!A:A,Output_Mac!H:H,"")</f>
        <v/>
      </c>
      <c r="I145" s="45" t="str" cm="1">
        <f t="array" ref="I145">IFERROR(_xlfn.LET(
_xlpm.CSVVal,_xlfn.XLOOKUP($A145,CSV!$A:$A,CSV!H:H,""),
_xlpm.MacVal,_xlfn.XLOOKUP($A145,Output_Mac!$A:$A,Output_Mac!I:I,""),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_xlpm.CSVVal,_xlfn.XLOOKUP($A145,CSV!$A:$A,CSV!J:J,""),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6" t="str" cm="1">
        <f t="array" ref="K145">IFERROR(_xlfn.LET(
_xlpm.CSVVal,_xlfn.XLOOKUP($A145,CSV!$A:$A,CSV!N:N,""),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_xlpm.CSVVal,_xlfn.XLOOKUP($A145,CSV!$A:$A,CSV!Q:Q,""),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CSV!AE:AE,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_xlpm.CSVVal,_xlfn.XLOOKUP($A145,CSV!$A:$A,CSV!AG:AG,""),
_xlpm.MacVal,_xlfn.XLOOKUP($A145,Output_Mac!$A:$A,Output_Mac!T:T,""),
_xlpm.MyAuditVal,_xlfn.XLOOKUP($A145,My_Audit!$A:$A,My_Audit!O:O,""),
_xlfn.IFS(_xlpm.MyAuditVal&lt;&gt;"",UPPER(_xlpm.MyAuditVal),_xlpm.MacVal&lt;&gt;"",_xlpm.MacVal,_xlpm.CSVVal&lt;&gt;"",_xlpm.CSVVal
)),"")</f>
        <v/>
      </c>
      <c r="O145" s="46" t="str">
        <f>_xlfn.XLOOKUP(C145,My_Audit!B:B,My_Audit!P:P,"")&amp;""</f>
        <v/>
      </c>
      <c r="P145" s="45"/>
      <c r="Q145" s="46" t="str">
        <f>IF(LEFT(N145,4)="Pass","Nist SP 800-88",My_Audit!R145)&amp;""</f>
        <v/>
      </c>
      <c r="R145" s="45"/>
      <c r="S145" s="45"/>
      <c r="T145" s="46" t="str">
        <f>_xlfn.XLOOKUP(E145,Models!I:I,Models!J:J,"")</f>
        <v/>
      </c>
      <c r="U145" s="45"/>
      <c r="V145" s="45"/>
      <c r="W145" s="38" t="str">
        <f>_xlfn.LET(
    _xlpm.MacVal, _xlfn.XLOOKUP($A145, Output_Mac!$A:$A, Output_Mac!AA:AA, ""),
    _xlpm.MyAuditVal, _xlfn.XLOOKUP($A145, My_Audit!$A:$A, My_Audit!L:L, ""),
    _xlfn.TEXTJOIN(", ", TRUE, _xlpm.MyAuditVal, _xlpm.MacVal)
)</f>
        <v/>
      </c>
    </row>
    <row r="146" spans="1:23">
      <c r="A146" s="45" t="str">
        <f>_xlfn.TEXTJOIN("",TRUE,Input!$B$2,ROW(My_Audit!A145))</f>
        <v>CC145</v>
      </c>
      <c r="B146" s="45" t="str">
        <f>_xlfn.TEXTJOIN("-",TRUE,"ITD",Input!$A$2,A146)</f>
        <v>ITD-XXX-CC145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_xlpm.CSVVal,_xlfn.XLOOKUP($A146,CSV!$A:$A,CSV!C:C,""),
_xlpm.MacVal,_xlfn.XLOOKUP($A146,Output_Mac!$A:$A,Output_Mac!D:D,""),
_xlpm.MyAuditVal,_xlfn.XLOOKUP($A146,My_Audit!$A:$A,My_Audit!C:C,""),
_xlfn.IFS(_xlpm.MyAuditVal&lt;&gt;"",UPPER(_xlpm.MyAuditVal),_xlpm.MacVal&lt;&gt;"",_xlpm.MacVal,_xlpm.CSVVal&lt;&gt;"",_xlpm.CSVVal
)),"")</f>
        <v/>
      </c>
      <c r="E146" s="46" t="str" cm="1">
        <f t="array" ref="E146">IFERROR(_xlfn.LET(
_xlpm.CSVVal,_xlfn.XLOOKUP($A146,CSV!$A:$A,CSV!E:E,""),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_xlpm.CSVVal,_xlfn.XLOOKUP($A146,CSV!$A:$A,CSV!G:G,""),
_xlpm.MacVal,_xlfn.XLOOKUP($A146,Output_Mac!$A:$A,Output_Mac!G:G,""),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_xlfn.XLOOKUP(A146,Output_Mac!A:A,Output_Mac!H:H,"")</f>
        <v/>
      </c>
      <c r="I146" s="45" t="str" cm="1">
        <f t="array" ref="I146">IFERROR(_xlfn.LET(
_xlpm.CSVVal,_xlfn.XLOOKUP($A146,CSV!$A:$A,CSV!H:H,""),
_xlpm.MacVal,_xlfn.XLOOKUP($A146,Output_Mac!$A:$A,Output_Mac!I:I,""),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_xlpm.CSVVal,_xlfn.XLOOKUP($A146,CSV!$A:$A,CSV!J:J,""),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6" t="str" cm="1">
        <f t="array" ref="K146">IFERROR(_xlfn.LET(
_xlpm.CSVVal,_xlfn.XLOOKUP($A146,CSV!$A:$A,CSV!N:N,""),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_xlpm.CSVVal,_xlfn.XLOOKUP($A146,CSV!$A:$A,CSV!Q:Q,""),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CSV!AE:AE,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_xlpm.CSVVal,_xlfn.XLOOKUP($A146,CSV!$A:$A,CSV!AG:AG,""),
_xlpm.MacVal,_xlfn.XLOOKUP($A146,Output_Mac!$A:$A,Output_Mac!T:T,""),
_xlpm.MyAuditVal,_xlfn.XLOOKUP($A146,My_Audit!$A:$A,My_Audit!O:O,""),
_xlfn.IFS(_xlpm.MyAuditVal&lt;&gt;"",UPPER(_xlpm.MyAuditVal),_xlpm.MacVal&lt;&gt;"",_xlpm.MacVal,_xlpm.CSVVal&lt;&gt;"",_xlpm.CSVVal
)),"")</f>
        <v/>
      </c>
      <c r="O146" s="46" t="str">
        <f>_xlfn.XLOOKUP(C146,My_Audit!B:B,My_Audit!P:P,"")&amp;""</f>
        <v/>
      </c>
      <c r="P146" s="45"/>
      <c r="Q146" s="46" t="str">
        <f>IF(LEFT(N146,4)="Pass","Nist SP 800-88",My_Audit!R146)&amp;""</f>
        <v/>
      </c>
      <c r="R146" s="45"/>
      <c r="S146" s="45"/>
      <c r="T146" s="46" t="str">
        <f>_xlfn.XLOOKUP(E146,Models!I:I,Models!J:J,"")</f>
        <v/>
      </c>
      <c r="U146" s="45"/>
      <c r="V146" s="45"/>
      <c r="W146" s="38" t="str">
        <f>_xlfn.LET(
    _xlpm.MacVal, _xlfn.XLOOKUP($A146, Output_Mac!$A:$A, Output_Mac!AA:AA, ""),
    _xlpm.MyAuditVal, _xlfn.XLOOKUP($A146, My_Audit!$A:$A, My_Audit!L:L, ""),
    _xlfn.TEXTJOIN(", ", TRUE, _xlpm.MyAuditVal, _xlpm.MacVal)
)</f>
        <v/>
      </c>
    </row>
    <row r="147" spans="1:23">
      <c r="A147" s="45" t="str">
        <f>_xlfn.TEXTJOIN("",TRUE,Input!$B$2,ROW(My_Audit!A146))</f>
        <v>CC146</v>
      </c>
      <c r="B147" s="45" t="str">
        <f>_xlfn.TEXTJOIN("-",TRUE,"ITD",Input!$A$2,A147)</f>
        <v>ITD-XXX-CC146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_xlpm.CSVVal,_xlfn.XLOOKUP($A147,CSV!$A:$A,CSV!C:C,""),
_xlpm.MacVal,_xlfn.XLOOKUP($A147,Output_Mac!$A:$A,Output_Mac!D:D,""),
_xlpm.MyAuditVal,_xlfn.XLOOKUP($A147,My_Audit!$A:$A,My_Audit!C:C,""),
_xlfn.IFS(_xlpm.MyAuditVal&lt;&gt;"",UPPER(_xlpm.MyAuditVal),_xlpm.MacVal&lt;&gt;"",_xlpm.MacVal,_xlpm.CSVVal&lt;&gt;"",_xlpm.CSVVal
)),"")</f>
        <v/>
      </c>
      <c r="E147" s="46" t="str" cm="1">
        <f t="array" ref="E147">IFERROR(_xlfn.LET(
_xlpm.CSVVal,_xlfn.XLOOKUP($A147,CSV!$A:$A,CSV!E:E,""),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_xlpm.CSVVal,_xlfn.XLOOKUP($A147,CSV!$A:$A,CSV!G:G,""),
_xlpm.MacVal,_xlfn.XLOOKUP($A147,Output_Mac!$A:$A,Output_Mac!G:G,""),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_xlfn.XLOOKUP(A147,Output_Mac!A:A,Output_Mac!H:H,"")</f>
        <v/>
      </c>
      <c r="I147" s="45" t="str" cm="1">
        <f t="array" ref="I147">IFERROR(_xlfn.LET(
_xlpm.CSVVal,_xlfn.XLOOKUP($A147,CSV!$A:$A,CSV!H:H,""),
_xlpm.MacVal,_xlfn.XLOOKUP($A147,Output_Mac!$A:$A,Output_Mac!I:I,""),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_xlpm.CSVVal,_xlfn.XLOOKUP($A147,CSV!$A:$A,CSV!J:J,""),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6" t="str" cm="1">
        <f t="array" ref="K147">IFERROR(_xlfn.LET(
_xlpm.CSVVal,_xlfn.XLOOKUP($A147,CSV!$A:$A,CSV!N:N,""),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_xlpm.CSVVal,_xlfn.XLOOKUP($A147,CSV!$A:$A,CSV!Q:Q,""),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CSV!AE:AE,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_xlpm.CSVVal,_xlfn.XLOOKUP($A147,CSV!$A:$A,CSV!AG:AG,""),
_xlpm.MacVal,_xlfn.XLOOKUP($A147,Output_Mac!$A:$A,Output_Mac!T:T,""),
_xlpm.MyAuditVal,_xlfn.XLOOKUP($A147,My_Audit!$A:$A,My_Audit!O:O,""),
_xlfn.IFS(_xlpm.MyAuditVal&lt;&gt;"",UPPER(_xlpm.MyAuditVal),_xlpm.MacVal&lt;&gt;"",_xlpm.MacVal,_xlpm.CSVVal&lt;&gt;"",_xlpm.CSVVal
)),"")</f>
        <v/>
      </c>
      <c r="O147" s="46" t="str">
        <f>_xlfn.XLOOKUP(C147,My_Audit!B:B,My_Audit!P:P,"")&amp;""</f>
        <v/>
      </c>
      <c r="P147" s="45"/>
      <c r="Q147" s="46" t="str">
        <f>IF(LEFT(N147,4)="Pass","Nist SP 800-88",My_Audit!R147)&amp;""</f>
        <v/>
      </c>
      <c r="R147" s="45"/>
      <c r="S147" s="45"/>
      <c r="T147" s="46" t="str">
        <f>_xlfn.XLOOKUP(E147,Models!I:I,Models!J:J,"")</f>
        <v/>
      </c>
      <c r="U147" s="45"/>
      <c r="V147" s="45"/>
      <c r="W147" s="38" t="str">
        <f>_xlfn.LET(
    _xlpm.MacVal, _xlfn.XLOOKUP($A147, Output_Mac!$A:$A, Output_Mac!AA:AA, ""),
    _xlpm.MyAuditVal, _xlfn.XLOOKUP($A147, My_Audit!$A:$A, My_Audit!L:L, ""),
    _xlfn.TEXTJOIN(", ", TRUE, _xlpm.MyAuditVal, _xlpm.MacVal)
)</f>
        <v/>
      </c>
    </row>
    <row r="148" spans="1:23">
      <c r="A148" s="45" t="str">
        <f>_xlfn.TEXTJOIN("",TRUE,Input!$B$2,ROW(My_Audit!A147))</f>
        <v>CC147</v>
      </c>
      <c r="B148" s="45" t="str">
        <f>_xlfn.TEXTJOIN("-",TRUE,"ITD",Input!$A$2,A148)</f>
        <v>ITD-XXX-CC147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_xlpm.CSVVal,_xlfn.XLOOKUP($A148,CSV!$A:$A,CSV!C:C,""),
_xlpm.MacVal,_xlfn.XLOOKUP($A148,Output_Mac!$A:$A,Output_Mac!D:D,""),
_xlpm.MyAuditVal,_xlfn.XLOOKUP($A148,My_Audit!$A:$A,My_Audit!C:C,""),
_xlfn.IFS(_xlpm.MyAuditVal&lt;&gt;"",UPPER(_xlpm.MyAuditVal),_xlpm.MacVal&lt;&gt;"",_xlpm.MacVal,_xlpm.CSVVal&lt;&gt;"",_xlpm.CSVVal
)),"")</f>
        <v/>
      </c>
      <c r="E148" s="46" t="str" cm="1">
        <f t="array" ref="E148">IFERROR(_xlfn.LET(
_xlpm.CSVVal,_xlfn.XLOOKUP($A148,CSV!$A:$A,CSV!E:E,""),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_xlpm.CSVVal,_xlfn.XLOOKUP($A148,CSV!$A:$A,CSV!G:G,""),
_xlpm.MacVal,_xlfn.XLOOKUP($A148,Output_Mac!$A:$A,Output_Mac!G:G,""),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_xlfn.XLOOKUP(A148,Output_Mac!A:A,Output_Mac!H:H,"")</f>
        <v/>
      </c>
      <c r="I148" s="45" t="str" cm="1">
        <f t="array" ref="I148">IFERROR(_xlfn.LET(
_xlpm.CSVVal,_xlfn.XLOOKUP($A148,CSV!$A:$A,CSV!H:H,""),
_xlpm.MacVal,_xlfn.XLOOKUP($A148,Output_Mac!$A:$A,Output_Mac!I:I,""),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_xlpm.CSVVal,_xlfn.XLOOKUP($A148,CSV!$A:$A,CSV!J:J,""),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6" t="str" cm="1">
        <f t="array" ref="K148">IFERROR(_xlfn.LET(
_xlpm.CSVVal,_xlfn.XLOOKUP($A148,CSV!$A:$A,CSV!N:N,""),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_xlpm.CSVVal,_xlfn.XLOOKUP($A148,CSV!$A:$A,CSV!Q:Q,""),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CSV!AE:AE,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_xlpm.CSVVal,_xlfn.XLOOKUP($A148,CSV!$A:$A,CSV!AG:AG,""),
_xlpm.MacVal,_xlfn.XLOOKUP($A148,Output_Mac!$A:$A,Output_Mac!T:T,""),
_xlpm.MyAuditVal,_xlfn.XLOOKUP($A148,My_Audit!$A:$A,My_Audit!O:O,""),
_xlfn.IFS(_xlpm.MyAuditVal&lt;&gt;"",UPPER(_xlpm.MyAuditVal),_xlpm.MacVal&lt;&gt;"",_xlpm.MacVal,_xlpm.CSVVal&lt;&gt;"",_xlpm.CSVVal
)),"")</f>
        <v/>
      </c>
      <c r="O148" s="46" t="str">
        <f>_xlfn.XLOOKUP(C148,My_Audit!B:B,My_Audit!P:P,"")&amp;""</f>
        <v/>
      </c>
      <c r="P148" s="45"/>
      <c r="Q148" s="46" t="str">
        <f>IF(LEFT(N148,4)="Pass","Nist SP 800-88",My_Audit!R148)&amp;""</f>
        <v/>
      </c>
      <c r="R148" s="45"/>
      <c r="S148" s="45"/>
      <c r="T148" s="46" t="str">
        <f>_xlfn.XLOOKUP(E148,Models!I:I,Models!J:J,"")</f>
        <v/>
      </c>
      <c r="U148" s="45"/>
      <c r="V148" s="45"/>
      <c r="W148" s="38" t="str">
        <f>_xlfn.LET(
    _xlpm.MacVal, _xlfn.XLOOKUP($A148, Output_Mac!$A:$A, Output_Mac!AA:AA, ""),
    _xlpm.MyAuditVal, _xlfn.XLOOKUP($A148, My_Audit!$A:$A, My_Audit!L:L, ""),
    _xlfn.TEXTJOIN(", ", TRUE, _xlpm.MyAuditVal, _xlpm.MacVal)
)</f>
        <v/>
      </c>
    </row>
    <row r="149" spans="1:23">
      <c r="A149" s="45" t="str">
        <f>_xlfn.TEXTJOIN("",TRUE,Input!$B$2,ROW(My_Audit!A148))</f>
        <v>CC148</v>
      </c>
      <c r="B149" s="45" t="str">
        <f>_xlfn.TEXTJOIN("-",TRUE,"ITD",Input!$A$2,A149)</f>
        <v>ITD-XXX-CC148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_xlpm.CSVVal,_xlfn.XLOOKUP($A149,CSV!$A:$A,CSV!C:C,""),
_xlpm.MacVal,_xlfn.XLOOKUP($A149,Output_Mac!$A:$A,Output_Mac!D:D,""),
_xlpm.MyAuditVal,_xlfn.XLOOKUP($A149,My_Audit!$A:$A,My_Audit!C:C,""),
_xlfn.IFS(_xlpm.MyAuditVal&lt;&gt;"",UPPER(_xlpm.MyAuditVal),_xlpm.MacVal&lt;&gt;"",_xlpm.MacVal,_xlpm.CSVVal&lt;&gt;"",_xlpm.CSVVal
)),"")</f>
        <v/>
      </c>
      <c r="E149" s="46" t="str" cm="1">
        <f t="array" ref="E149">IFERROR(_xlfn.LET(
_xlpm.CSVVal,_xlfn.XLOOKUP($A149,CSV!$A:$A,CSV!E:E,""),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_xlpm.CSVVal,_xlfn.XLOOKUP($A149,CSV!$A:$A,CSV!G:G,""),
_xlpm.MacVal,_xlfn.XLOOKUP($A149,Output_Mac!$A:$A,Output_Mac!G:G,""),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_xlfn.XLOOKUP(A149,Output_Mac!A:A,Output_Mac!H:H,"")</f>
        <v/>
      </c>
      <c r="I149" s="45" t="str" cm="1">
        <f t="array" ref="I149">IFERROR(_xlfn.LET(
_xlpm.CSVVal,_xlfn.XLOOKUP($A149,CSV!$A:$A,CSV!H:H,""),
_xlpm.MacVal,_xlfn.XLOOKUP($A149,Output_Mac!$A:$A,Output_Mac!I:I,""),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_xlpm.CSVVal,_xlfn.XLOOKUP($A149,CSV!$A:$A,CSV!J:J,""),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6" t="str" cm="1">
        <f t="array" ref="K149">IFERROR(_xlfn.LET(
_xlpm.CSVVal,_xlfn.XLOOKUP($A149,CSV!$A:$A,CSV!N:N,""),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_xlpm.CSVVal,_xlfn.XLOOKUP($A149,CSV!$A:$A,CSV!Q:Q,""),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CSV!AE:AE,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_xlpm.CSVVal,_xlfn.XLOOKUP($A149,CSV!$A:$A,CSV!AG:AG,""),
_xlpm.MacVal,_xlfn.XLOOKUP($A149,Output_Mac!$A:$A,Output_Mac!T:T,""),
_xlpm.MyAuditVal,_xlfn.XLOOKUP($A149,My_Audit!$A:$A,My_Audit!O:O,""),
_xlfn.IFS(_xlpm.MyAuditVal&lt;&gt;"",UPPER(_xlpm.MyAuditVal),_xlpm.MacVal&lt;&gt;"",_xlpm.MacVal,_xlpm.CSVVal&lt;&gt;"",_xlpm.CSVVal
)),"")</f>
        <v/>
      </c>
      <c r="O149" s="46" t="str">
        <f>_xlfn.XLOOKUP(C149,My_Audit!B:B,My_Audit!P:P,"")&amp;""</f>
        <v/>
      </c>
      <c r="P149" s="45"/>
      <c r="Q149" s="46" t="str">
        <f>IF(LEFT(N149,4)="Pass","Nist SP 800-88",My_Audit!R149)&amp;""</f>
        <v/>
      </c>
      <c r="R149" s="45"/>
      <c r="S149" s="45"/>
      <c r="T149" s="46" t="str">
        <f>_xlfn.XLOOKUP(E149,Models!I:I,Models!J:J,"")</f>
        <v/>
      </c>
      <c r="U149" s="45"/>
      <c r="V149" s="45"/>
      <c r="W149" s="38" t="str">
        <f>_xlfn.LET(
    _xlpm.MacVal, _xlfn.XLOOKUP($A149, Output_Mac!$A:$A, Output_Mac!AA:AA, ""),
    _xlpm.MyAuditVal, _xlfn.XLOOKUP($A149, My_Audit!$A:$A, My_Audit!L:L, ""),
    _xlfn.TEXTJOIN(", ", TRUE, _xlpm.MyAuditVal, _xlpm.MacVal)
)</f>
        <v/>
      </c>
    </row>
    <row r="150" spans="1:23">
      <c r="A150" s="45" t="str">
        <f>_xlfn.TEXTJOIN("",TRUE,Input!$B$2,ROW(My_Audit!A149))</f>
        <v>CC149</v>
      </c>
      <c r="B150" s="45" t="str">
        <f>_xlfn.TEXTJOIN("-",TRUE,"ITD",Input!$A$2,A150)</f>
        <v>ITD-XXX-CC149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_xlpm.CSVVal,_xlfn.XLOOKUP($A150,CSV!$A:$A,CSV!C:C,""),
_xlpm.MacVal,_xlfn.XLOOKUP($A150,Output_Mac!$A:$A,Output_Mac!D:D,""),
_xlpm.MyAuditVal,_xlfn.XLOOKUP($A150,My_Audit!$A:$A,My_Audit!C:C,""),
_xlfn.IFS(_xlpm.MyAuditVal&lt;&gt;"",UPPER(_xlpm.MyAuditVal),_xlpm.MacVal&lt;&gt;"",_xlpm.MacVal,_xlpm.CSVVal&lt;&gt;"",_xlpm.CSVVal
)),"")</f>
        <v/>
      </c>
      <c r="E150" s="46" t="str" cm="1">
        <f t="array" ref="E150">IFERROR(_xlfn.LET(
_xlpm.CSVVal,_xlfn.XLOOKUP($A150,CSV!$A:$A,CSV!E:E,""),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_xlpm.CSVVal,_xlfn.XLOOKUP($A150,CSV!$A:$A,CSV!G:G,""),
_xlpm.MacVal,_xlfn.XLOOKUP($A150,Output_Mac!$A:$A,Output_Mac!G:G,""),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_xlfn.XLOOKUP(A150,Output_Mac!A:A,Output_Mac!H:H,"")</f>
        <v/>
      </c>
      <c r="I150" s="45" t="str" cm="1">
        <f t="array" ref="I150">IFERROR(_xlfn.LET(
_xlpm.CSVVal,_xlfn.XLOOKUP($A150,CSV!$A:$A,CSV!H:H,""),
_xlpm.MacVal,_xlfn.XLOOKUP($A150,Output_Mac!$A:$A,Output_Mac!I:I,""),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_xlpm.CSVVal,_xlfn.XLOOKUP($A150,CSV!$A:$A,CSV!J:J,""),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6" t="str" cm="1">
        <f t="array" ref="K150">IFERROR(_xlfn.LET(
_xlpm.CSVVal,_xlfn.XLOOKUP($A150,CSV!$A:$A,CSV!N:N,""),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_xlpm.CSVVal,_xlfn.XLOOKUP($A150,CSV!$A:$A,CSV!Q:Q,""),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CSV!AE:AE,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_xlpm.CSVVal,_xlfn.XLOOKUP($A150,CSV!$A:$A,CSV!AG:AG,""),
_xlpm.MacVal,_xlfn.XLOOKUP($A150,Output_Mac!$A:$A,Output_Mac!T:T,""),
_xlpm.MyAuditVal,_xlfn.XLOOKUP($A150,My_Audit!$A:$A,My_Audit!O:O,""),
_xlfn.IFS(_xlpm.MyAuditVal&lt;&gt;"",UPPER(_xlpm.MyAuditVal),_xlpm.MacVal&lt;&gt;"",_xlpm.MacVal,_xlpm.CSVVal&lt;&gt;"",_xlpm.CSVVal
)),"")</f>
        <v/>
      </c>
      <c r="O150" s="46" t="str">
        <f>_xlfn.XLOOKUP(C150,My_Audit!B:B,My_Audit!P:P,"")&amp;""</f>
        <v/>
      </c>
      <c r="P150" s="45"/>
      <c r="Q150" s="46" t="str">
        <f>IF(LEFT(N150,4)="Pass","Nist SP 800-88",My_Audit!R150)&amp;""</f>
        <v/>
      </c>
      <c r="R150" s="45"/>
      <c r="S150" s="45"/>
      <c r="T150" s="46" t="str">
        <f>_xlfn.XLOOKUP(E150,Models!I:I,Models!J:J,"")</f>
        <v/>
      </c>
      <c r="U150" s="45"/>
      <c r="V150" s="45"/>
      <c r="W150" s="38" t="str">
        <f>_xlfn.LET(
    _xlpm.MacVal, _xlfn.XLOOKUP($A150, Output_Mac!$A:$A, Output_Mac!AA:AA, ""),
    _xlpm.MyAuditVal, _xlfn.XLOOKUP($A150, My_Audit!$A:$A, My_Audit!L:L, ""),
    _xlfn.TEXTJOIN(", ", TRUE, _xlpm.MyAuditVal, _xlpm.MacVal)
)</f>
        <v/>
      </c>
    </row>
    <row r="151" spans="1:23">
      <c r="A151" s="45" t="str">
        <f>_xlfn.TEXTJOIN("",TRUE,Input!$B$2,ROW(My_Audit!A150))</f>
        <v>CC150</v>
      </c>
      <c r="B151" s="45" t="str">
        <f>_xlfn.TEXTJOIN("-",TRUE,"ITD",Input!$A$2,A151)</f>
        <v>ITD-XXX-CC150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_xlpm.CSVVal,_xlfn.XLOOKUP($A151,CSV!$A:$A,CSV!C:C,""),
_xlpm.MacVal,_xlfn.XLOOKUP($A151,Output_Mac!$A:$A,Output_Mac!D:D,""),
_xlpm.MyAuditVal,_xlfn.XLOOKUP($A151,My_Audit!$A:$A,My_Audit!C:C,""),
_xlfn.IFS(_xlpm.MyAuditVal&lt;&gt;"",UPPER(_xlpm.MyAuditVal),_xlpm.MacVal&lt;&gt;"",_xlpm.MacVal,_xlpm.CSVVal&lt;&gt;"",_xlpm.CSVVal
)),"")</f>
        <v/>
      </c>
      <c r="E151" s="46" t="str" cm="1">
        <f t="array" ref="E151">IFERROR(_xlfn.LET(
_xlpm.CSVVal,_xlfn.XLOOKUP($A151,CSV!$A:$A,CSV!E:E,""),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_xlpm.CSVVal,_xlfn.XLOOKUP($A151,CSV!$A:$A,CSV!G:G,""),
_xlpm.MacVal,_xlfn.XLOOKUP($A151,Output_Mac!$A:$A,Output_Mac!G:G,""),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_xlfn.XLOOKUP(A151,Output_Mac!A:A,Output_Mac!H:H,"")</f>
        <v/>
      </c>
      <c r="I151" s="45" t="str" cm="1">
        <f t="array" ref="I151">IFERROR(_xlfn.LET(
_xlpm.CSVVal,_xlfn.XLOOKUP($A151,CSV!$A:$A,CSV!H:H,""),
_xlpm.MacVal,_xlfn.XLOOKUP($A151,Output_Mac!$A:$A,Output_Mac!I:I,""),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_xlpm.CSVVal,_xlfn.XLOOKUP($A151,CSV!$A:$A,CSV!J:J,""),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6" t="str" cm="1">
        <f t="array" ref="K151">IFERROR(_xlfn.LET(
_xlpm.CSVVal,_xlfn.XLOOKUP($A151,CSV!$A:$A,CSV!N:N,""),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_xlpm.CSVVal,_xlfn.XLOOKUP($A151,CSV!$A:$A,CSV!Q:Q,""),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CSV!AE:AE,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_xlpm.CSVVal,_xlfn.XLOOKUP($A151,CSV!$A:$A,CSV!AG:AG,""),
_xlpm.MacVal,_xlfn.XLOOKUP($A151,Output_Mac!$A:$A,Output_Mac!T:T,""),
_xlpm.MyAuditVal,_xlfn.XLOOKUP($A151,My_Audit!$A:$A,My_Audit!O:O,""),
_xlfn.IFS(_xlpm.MyAuditVal&lt;&gt;"",UPPER(_xlpm.MyAuditVal),_xlpm.MacVal&lt;&gt;"",_xlpm.MacVal,_xlpm.CSVVal&lt;&gt;"",_xlpm.CSVVal
)),"")</f>
        <v/>
      </c>
      <c r="O151" s="46" t="str">
        <f>_xlfn.XLOOKUP(C151,My_Audit!B:B,My_Audit!P:P,"")&amp;""</f>
        <v/>
      </c>
      <c r="P151" s="45"/>
      <c r="Q151" s="46" t="str">
        <f>IF(LEFT(N151,4)="Pass","Nist SP 800-88",My_Audit!R151)&amp;""</f>
        <v/>
      </c>
      <c r="R151" s="45"/>
      <c r="S151" s="45"/>
      <c r="T151" s="46" t="str">
        <f>_xlfn.XLOOKUP(E151,Models!I:I,Models!J:J,"")</f>
        <v/>
      </c>
      <c r="U151" s="45"/>
      <c r="V151" s="45"/>
      <c r="W151" s="38" t="str">
        <f>_xlfn.LET(
    _xlpm.MacVal, _xlfn.XLOOKUP($A151, Output_Mac!$A:$A, Output_Mac!AA:AA, ""),
    _xlpm.MyAuditVal, _xlfn.XLOOKUP($A151, My_Audit!$A:$A, My_Audit!L:L, ""),
    _xlfn.TEXTJOIN(", ", TRUE, _xlpm.MyAuditVal, _xlpm.MacVal)
)</f>
        <v/>
      </c>
    </row>
    <row r="152" spans="1:23">
      <c r="A152" s="45" t="str">
        <f>_xlfn.TEXTJOIN("",TRUE,Input!$B$2,ROW(My_Audit!A151))</f>
        <v>CC151</v>
      </c>
      <c r="B152" s="45" t="str">
        <f>_xlfn.TEXTJOIN("-",TRUE,"ITD",Input!$A$2,A152)</f>
        <v>ITD-XXX-CC151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_xlpm.CSVVal,_xlfn.XLOOKUP($A152,CSV!$A:$A,CSV!C:C,""),
_xlpm.MacVal,_xlfn.XLOOKUP($A152,Output_Mac!$A:$A,Output_Mac!D:D,""),
_xlpm.MyAuditVal,_xlfn.XLOOKUP($A152,My_Audit!$A:$A,My_Audit!C:C,""),
_xlfn.IFS(_xlpm.MyAuditVal&lt;&gt;"",UPPER(_xlpm.MyAuditVal),_xlpm.MacVal&lt;&gt;"",_xlpm.MacVal,_xlpm.CSVVal&lt;&gt;"",_xlpm.CSVVal
)),"")</f>
        <v/>
      </c>
      <c r="E152" s="46" t="str" cm="1">
        <f t="array" ref="E152">IFERROR(_xlfn.LET(
_xlpm.CSVVal,_xlfn.XLOOKUP($A152,CSV!$A:$A,CSV!E:E,""),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_xlpm.CSVVal,_xlfn.XLOOKUP($A152,CSV!$A:$A,CSV!G:G,""),
_xlpm.MacVal,_xlfn.XLOOKUP($A152,Output_Mac!$A:$A,Output_Mac!G:G,""),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_xlfn.XLOOKUP(A152,Output_Mac!A:A,Output_Mac!H:H,"")</f>
        <v/>
      </c>
      <c r="I152" s="45" t="str" cm="1">
        <f t="array" ref="I152">IFERROR(_xlfn.LET(
_xlpm.CSVVal,_xlfn.XLOOKUP($A152,CSV!$A:$A,CSV!H:H,""),
_xlpm.MacVal,_xlfn.XLOOKUP($A152,Output_Mac!$A:$A,Output_Mac!I:I,""),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_xlpm.CSVVal,_xlfn.XLOOKUP($A152,CSV!$A:$A,CSV!J:J,""),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6" t="str" cm="1">
        <f t="array" ref="K152">IFERROR(_xlfn.LET(
_xlpm.CSVVal,_xlfn.XLOOKUP($A152,CSV!$A:$A,CSV!N:N,""),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_xlpm.CSVVal,_xlfn.XLOOKUP($A152,CSV!$A:$A,CSV!Q:Q,""),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CSV!AE:AE,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_xlpm.CSVVal,_xlfn.XLOOKUP($A152,CSV!$A:$A,CSV!AG:AG,""),
_xlpm.MacVal,_xlfn.XLOOKUP($A152,Output_Mac!$A:$A,Output_Mac!T:T,""),
_xlpm.MyAuditVal,_xlfn.XLOOKUP($A152,My_Audit!$A:$A,My_Audit!O:O,""),
_xlfn.IFS(_xlpm.MyAuditVal&lt;&gt;"",UPPER(_xlpm.MyAuditVal),_xlpm.MacVal&lt;&gt;"",_xlpm.MacVal,_xlpm.CSVVal&lt;&gt;"",_xlpm.CSVVal
)),"")</f>
        <v/>
      </c>
      <c r="O152" s="46" t="str">
        <f>_xlfn.XLOOKUP(C152,My_Audit!B:B,My_Audit!P:P,"")&amp;""</f>
        <v/>
      </c>
      <c r="P152" s="45"/>
      <c r="Q152" s="46" t="str">
        <f>IF(LEFT(N152,4)="Pass","Nist SP 800-88",My_Audit!R152)&amp;""</f>
        <v/>
      </c>
      <c r="R152" s="45"/>
      <c r="S152" s="45"/>
      <c r="T152" s="46" t="str">
        <f>_xlfn.XLOOKUP(E152,Models!I:I,Models!J:J,"")</f>
        <v/>
      </c>
      <c r="U152" s="45"/>
      <c r="V152" s="45"/>
      <c r="W152" s="38" t="str">
        <f>_xlfn.LET(
    _xlpm.MacVal, _xlfn.XLOOKUP($A152, Output_Mac!$A:$A, Output_Mac!AA:AA, ""),
    _xlpm.MyAuditVal, _xlfn.XLOOKUP($A152, My_Audit!$A:$A, My_Audit!L:L, ""),
    _xlfn.TEXTJOIN(", ", TRUE, _xlpm.MyAuditVal, _xlpm.MacVal)
)</f>
        <v/>
      </c>
    </row>
    <row r="153" spans="1:23">
      <c r="A153" s="45" t="str">
        <f>_xlfn.TEXTJOIN("",TRUE,Input!$B$2,ROW(My_Audit!A152))</f>
        <v>CC152</v>
      </c>
      <c r="B153" s="45" t="str">
        <f>_xlfn.TEXTJOIN("-",TRUE,"ITD",Input!$A$2,A153)</f>
        <v>ITD-XXX-CC152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_xlpm.CSVVal,_xlfn.XLOOKUP($A153,CSV!$A:$A,CSV!C:C,""),
_xlpm.MacVal,_xlfn.XLOOKUP($A153,Output_Mac!$A:$A,Output_Mac!D:D,""),
_xlpm.MyAuditVal,_xlfn.XLOOKUP($A153,My_Audit!$A:$A,My_Audit!C:C,""),
_xlfn.IFS(_xlpm.MyAuditVal&lt;&gt;"",UPPER(_xlpm.MyAuditVal),_xlpm.MacVal&lt;&gt;"",_xlpm.MacVal,_xlpm.CSVVal&lt;&gt;"",_xlpm.CSVVal
)),"")</f>
        <v/>
      </c>
      <c r="E153" s="46" t="str" cm="1">
        <f t="array" ref="E153">IFERROR(_xlfn.LET(
_xlpm.CSVVal,_xlfn.XLOOKUP($A153,CSV!$A:$A,CSV!E:E,""),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_xlpm.CSVVal,_xlfn.XLOOKUP($A153,CSV!$A:$A,CSV!G:G,""),
_xlpm.MacVal,_xlfn.XLOOKUP($A153,Output_Mac!$A:$A,Output_Mac!G:G,""),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_xlfn.XLOOKUP(A153,Output_Mac!A:A,Output_Mac!H:H,"")</f>
        <v/>
      </c>
      <c r="I153" s="45" t="str" cm="1">
        <f t="array" ref="I153">IFERROR(_xlfn.LET(
_xlpm.CSVVal,_xlfn.XLOOKUP($A153,CSV!$A:$A,CSV!H:H,""),
_xlpm.MacVal,_xlfn.XLOOKUP($A153,Output_Mac!$A:$A,Output_Mac!I:I,""),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_xlpm.CSVVal,_xlfn.XLOOKUP($A153,CSV!$A:$A,CSV!J:J,""),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6" t="str" cm="1">
        <f t="array" ref="K153">IFERROR(_xlfn.LET(
_xlpm.CSVVal,_xlfn.XLOOKUP($A153,CSV!$A:$A,CSV!N:N,""),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_xlpm.CSVVal,_xlfn.XLOOKUP($A153,CSV!$A:$A,CSV!Q:Q,""),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CSV!AE:AE,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_xlpm.CSVVal,_xlfn.XLOOKUP($A153,CSV!$A:$A,CSV!AG:AG,""),
_xlpm.MacVal,_xlfn.XLOOKUP($A153,Output_Mac!$A:$A,Output_Mac!T:T,""),
_xlpm.MyAuditVal,_xlfn.XLOOKUP($A153,My_Audit!$A:$A,My_Audit!O:O,""),
_xlfn.IFS(_xlpm.MyAuditVal&lt;&gt;"",UPPER(_xlpm.MyAuditVal),_xlpm.MacVal&lt;&gt;"",_xlpm.MacVal,_xlpm.CSVVal&lt;&gt;"",_xlpm.CSVVal
)),"")</f>
        <v/>
      </c>
      <c r="O153" s="46" t="str">
        <f>_xlfn.XLOOKUP(C153,My_Audit!B:B,My_Audit!P:P,"")&amp;""</f>
        <v/>
      </c>
      <c r="P153" s="45"/>
      <c r="Q153" s="46" t="str">
        <f>IF(LEFT(N153,4)="Pass","Nist SP 800-88",My_Audit!R153)&amp;""</f>
        <v/>
      </c>
      <c r="R153" s="45"/>
      <c r="S153" s="45"/>
      <c r="T153" s="46" t="str">
        <f>_xlfn.XLOOKUP(E153,Models!I:I,Models!J:J,"")</f>
        <v/>
      </c>
      <c r="U153" s="45"/>
      <c r="V153" s="45"/>
      <c r="W153" s="38" t="str">
        <f>_xlfn.LET(
    _xlpm.MacVal, _xlfn.XLOOKUP($A153, Output_Mac!$A:$A, Output_Mac!AA:AA, ""),
    _xlpm.MyAuditVal, _xlfn.XLOOKUP($A153, My_Audit!$A:$A, My_Audit!L:L, ""),
    _xlfn.TEXTJOIN(", ", TRUE, _xlpm.MyAuditVal, _xlpm.MacVal)
)</f>
        <v/>
      </c>
    </row>
    <row r="154" spans="1:23">
      <c r="A154" s="45" t="str">
        <f>_xlfn.TEXTJOIN("",TRUE,Input!$B$2,ROW(My_Audit!A153))</f>
        <v>CC153</v>
      </c>
      <c r="B154" s="45" t="str">
        <f>_xlfn.TEXTJOIN("-",TRUE,"ITD",Input!$A$2,A154)</f>
        <v>ITD-XXX-CC153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_xlpm.CSVVal,_xlfn.XLOOKUP($A154,CSV!$A:$A,CSV!C:C,""),
_xlpm.MacVal,_xlfn.XLOOKUP($A154,Output_Mac!$A:$A,Output_Mac!D:D,""),
_xlpm.MyAuditVal,_xlfn.XLOOKUP($A154,My_Audit!$A:$A,My_Audit!C:C,""),
_xlfn.IFS(_xlpm.MyAuditVal&lt;&gt;"",UPPER(_xlpm.MyAuditVal),_xlpm.MacVal&lt;&gt;"",_xlpm.MacVal,_xlpm.CSVVal&lt;&gt;"",_xlpm.CSVVal
)),"")</f>
        <v/>
      </c>
      <c r="E154" s="46" t="str" cm="1">
        <f t="array" ref="E154">IFERROR(_xlfn.LET(
_xlpm.CSVVal,_xlfn.XLOOKUP($A154,CSV!$A:$A,CSV!E:E,""),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_xlpm.CSVVal,_xlfn.XLOOKUP($A154,CSV!$A:$A,CSV!G:G,""),
_xlpm.MacVal,_xlfn.XLOOKUP($A154,Output_Mac!$A:$A,Output_Mac!G:G,""),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_xlfn.XLOOKUP(A154,Output_Mac!A:A,Output_Mac!H:H,"")</f>
        <v/>
      </c>
      <c r="I154" s="45" t="str" cm="1">
        <f t="array" ref="I154">IFERROR(_xlfn.LET(
_xlpm.CSVVal,_xlfn.XLOOKUP($A154,CSV!$A:$A,CSV!H:H,""),
_xlpm.MacVal,_xlfn.XLOOKUP($A154,Output_Mac!$A:$A,Output_Mac!I:I,""),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_xlpm.CSVVal,_xlfn.XLOOKUP($A154,CSV!$A:$A,CSV!J:J,""),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6" t="str" cm="1">
        <f t="array" ref="K154">IFERROR(_xlfn.LET(
_xlpm.CSVVal,_xlfn.XLOOKUP($A154,CSV!$A:$A,CSV!N:N,""),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_xlpm.CSVVal,_xlfn.XLOOKUP($A154,CSV!$A:$A,CSV!Q:Q,""),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CSV!AE:AE,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_xlpm.CSVVal,_xlfn.XLOOKUP($A154,CSV!$A:$A,CSV!AG:AG,""),
_xlpm.MacVal,_xlfn.XLOOKUP($A154,Output_Mac!$A:$A,Output_Mac!T:T,""),
_xlpm.MyAuditVal,_xlfn.XLOOKUP($A154,My_Audit!$A:$A,My_Audit!O:O,""),
_xlfn.IFS(_xlpm.MyAuditVal&lt;&gt;"",UPPER(_xlpm.MyAuditVal),_xlpm.MacVal&lt;&gt;"",_xlpm.MacVal,_xlpm.CSVVal&lt;&gt;"",_xlpm.CSVVal
)),"")</f>
        <v/>
      </c>
      <c r="O154" s="46" t="str">
        <f>_xlfn.XLOOKUP(C154,My_Audit!B:B,My_Audit!P:P,"")&amp;""</f>
        <v/>
      </c>
      <c r="P154" s="45"/>
      <c r="Q154" s="46" t="str">
        <f>IF(LEFT(N154,4)="Pass","Nist SP 800-88",My_Audit!R154)&amp;""</f>
        <v/>
      </c>
      <c r="R154" s="45"/>
      <c r="S154" s="45"/>
      <c r="T154" s="46" t="str">
        <f>_xlfn.XLOOKUP(E154,Models!I:I,Models!J:J,"")</f>
        <v/>
      </c>
      <c r="U154" s="45"/>
      <c r="V154" s="45"/>
      <c r="W154" s="38" t="str">
        <f>_xlfn.LET(
    _xlpm.MacVal, _xlfn.XLOOKUP($A154, Output_Mac!$A:$A, Output_Mac!AA:AA, ""),
    _xlpm.MyAuditVal, _xlfn.XLOOKUP($A154, My_Audit!$A:$A, My_Audit!L:L, ""),
    _xlfn.TEXTJOIN(", ", TRUE, _xlpm.MyAuditVal, _xlpm.MacVal)
)</f>
        <v/>
      </c>
    </row>
    <row r="155" spans="1:23">
      <c r="A155" s="45" t="str">
        <f>_xlfn.TEXTJOIN("",TRUE,Input!$B$2,ROW(My_Audit!A154))</f>
        <v>CC154</v>
      </c>
      <c r="B155" s="45" t="str">
        <f>_xlfn.TEXTJOIN("-",TRUE,"ITD",Input!$A$2,A155)</f>
        <v>ITD-XXX-CC154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_xlpm.CSVVal,_xlfn.XLOOKUP($A155,CSV!$A:$A,CSV!C:C,""),
_xlpm.MacVal,_xlfn.XLOOKUP($A155,Output_Mac!$A:$A,Output_Mac!D:D,""),
_xlpm.MyAuditVal,_xlfn.XLOOKUP($A155,My_Audit!$A:$A,My_Audit!C:C,""),
_xlfn.IFS(_xlpm.MyAuditVal&lt;&gt;"",UPPER(_xlpm.MyAuditVal),_xlpm.MacVal&lt;&gt;"",_xlpm.MacVal,_xlpm.CSVVal&lt;&gt;"",_xlpm.CSVVal
)),"")</f>
        <v/>
      </c>
      <c r="E155" s="46" t="str" cm="1">
        <f t="array" ref="E155">IFERROR(_xlfn.LET(
_xlpm.CSVVal,_xlfn.XLOOKUP($A155,CSV!$A:$A,CSV!E:E,""),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_xlpm.CSVVal,_xlfn.XLOOKUP($A155,CSV!$A:$A,CSV!G:G,""),
_xlpm.MacVal,_xlfn.XLOOKUP($A155,Output_Mac!$A:$A,Output_Mac!G:G,""),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_xlfn.XLOOKUP(A155,Output_Mac!A:A,Output_Mac!H:H,"")</f>
        <v/>
      </c>
      <c r="I155" s="45" t="str" cm="1">
        <f t="array" ref="I155">IFERROR(_xlfn.LET(
_xlpm.CSVVal,_xlfn.XLOOKUP($A155,CSV!$A:$A,CSV!H:H,""),
_xlpm.MacVal,_xlfn.XLOOKUP($A155,Output_Mac!$A:$A,Output_Mac!I:I,""),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_xlpm.CSVVal,_xlfn.XLOOKUP($A155,CSV!$A:$A,CSV!J:J,""),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6" t="str" cm="1">
        <f t="array" ref="K155">IFERROR(_xlfn.LET(
_xlpm.CSVVal,_xlfn.XLOOKUP($A155,CSV!$A:$A,CSV!N:N,""),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_xlpm.CSVVal,_xlfn.XLOOKUP($A155,CSV!$A:$A,CSV!Q:Q,""),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CSV!AE:AE,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_xlpm.CSVVal,_xlfn.XLOOKUP($A155,CSV!$A:$A,CSV!AG:AG,""),
_xlpm.MacVal,_xlfn.XLOOKUP($A155,Output_Mac!$A:$A,Output_Mac!T:T,""),
_xlpm.MyAuditVal,_xlfn.XLOOKUP($A155,My_Audit!$A:$A,My_Audit!O:O,""),
_xlfn.IFS(_xlpm.MyAuditVal&lt;&gt;"",UPPER(_xlpm.MyAuditVal),_xlpm.MacVal&lt;&gt;"",_xlpm.MacVal,_xlpm.CSVVal&lt;&gt;"",_xlpm.CSVVal
)),"")</f>
        <v/>
      </c>
      <c r="O155" s="46" t="str">
        <f>_xlfn.XLOOKUP(C155,My_Audit!B:B,My_Audit!P:P,"")&amp;""</f>
        <v/>
      </c>
      <c r="P155" s="45"/>
      <c r="Q155" s="46" t="str">
        <f>IF(LEFT(N155,4)="Pass","Nist SP 800-88",My_Audit!R155)&amp;""</f>
        <v/>
      </c>
      <c r="R155" s="45"/>
      <c r="S155" s="45"/>
      <c r="T155" s="46" t="str">
        <f>_xlfn.XLOOKUP(E155,Models!I:I,Models!J:J,"")</f>
        <v/>
      </c>
      <c r="U155" s="45"/>
      <c r="V155" s="45"/>
      <c r="W155" s="38" t="str">
        <f>_xlfn.LET(
    _xlpm.MacVal, _xlfn.XLOOKUP($A155, Output_Mac!$A:$A, Output_Mac!AA:AA, ""),
    _xlpm.MyAuditVal, _xlfn.XLOOKUP($A155, My_Audit!$A:$A, My_Audit!L:L, ""),
    _xlfn.TEXTJOIN(", ", TRUE, _xlpm.MyAuditVal, _xlpm.MacVal)
)</f>
        <v/>
      </c>
    </row>
    <row r="156" spans="1:23">
      <c r="A156" s="45" t="str">
        <f>_xlfn.TEXTJOIN("",TRUE,Input!$B$2,ROW(My_Audit!A155))</f>
        <v>CC155</v>
      </c>
      <c r="B156" s="45" t="str">
        <f>_xlfn.TEXTJOIN("-",TRUE,"ITD",Input!$A$2,A156)</f>
        <v>ITD-XXX-CC155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_xlpm.CSVVal,_xlfn.XLOOKUP($A156,CSV!$A:$A,CSV!C:C,""),
_xlpm.MacVal,_xlfn.XLOOKUP($A156,Output_Mac!$A:$A,Output_Mac!D:D,""),
_xlpm.MyAuditVal,_xlfn.XLOOKUP($A156,My_Audit!$A:$A,My_Audit!C:C,""),
_xlfn.IFS(_xlpm.MyAuditVal&lt;&gt;"",UPPER(_xlpm.MyAuditVal),_xlpm.MacVal&lt;&gt;"",_xlpm.MacVal,_xlpm.CSVVal&lt;&gt;"",_xlpm.CSVVal
)),"")</f>
        <v/>
      </c>
      <c r="E156" s="46" t="str" cm="1">
        <f t="array" ref="E156">IFERROR(_xlfn.LET(
_xlpm.CSVVal,_xlfn.XLOOKUP($A156,CSV!$A:$A,CSV!E:E,""),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_xlpm.CSVVal,_xlfn.XLOOKUP($A156,CSV!$A:$A,CSV!G:G,""),
_xlpm.MacVal,_xlfn.XLOOKUP($A156,Output_Mac!$A:$A,Output_Mac!G:G,""),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_xlfn.XLOOKUP(A156,Output_Mac!A:A,Output_Mac!H:H,"")</f>
        <v/>
      </c>
      <c r="I156" s="45" t="str" cm="1">
        <f t="array" ref="I156">IFERROR(_xlfn.LET(
_xlpm.CSVVal,_xlfn.XLOOKUP($A156,CSV!$A:$A,CSV!H:H,""),
_xlpm.MacVal,_xlfn.XLOOKUP($A156,Output_Mac!$A:$A,Output_Mac!I:I,""),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_xlpm.CSVVal,_xlfn.XLOOKUP($A156,CSV!$A:$A,CSV!J:J,""),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6" t="str" cm="1">
        <f t="array" ref="K156">IFERROR(_xlfn.LET(
_xlpm.CSVVal,_xlfn.XLOOKUP($A156,CSV!$A:$A,CSV!N:N,""),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_xlpm.CSVVal,_xlfn.XLOOKUP($A156,CSV!$A:$A,CSV!Q:Q,""),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CSV!AE:AE,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_xlpm.CSVVal,_xlfn.XLOOKUP($A156,CSV!$A:$A,CSV!AG:AG,""),
_xlpm.MacVal,_xlfn.XLOOKUP($A156,Output_Mac!$A:$A,Output_Mac!T:T,""),
_xlpm.MyAuditVal,_xlfn.XLOOKUP($A156,My_Audit!$A:$A,My_Audit!O:O,""),
_xlfn.IFS(_xlpm.MyAuditVal&lt;&gt;"",UPPER(_xlpm.MyAuditVal),_xlpm.MacVal&lt;&gt;"",_xlpm.MacVal,_xlpm.CSVVal&lt;&gt;"",_xlpm.CSVVal
)),"")</f>
        <v/>
      </c>
      <c r="O156" s="46" t="str">
        <f>_xlfn.XLOOKUP(C156,My_Audit!B:B,My_Audit!P:P,"")&amp;""</f>
        <v/>
      </c>
      <c r="P156" s="45"/>
      <c r="Q156" s="46" t="str">
        <f>IF(LEFT(N156,4)="Pass","Nist SP 800-88",My_Audit!R156)&amp;""</f>
        <v/>
      </c>
      <c r="R156" s="45"/>
      <c r="S156" s="45"/>
      <c r="T156" s="46" t="str">
        <f>_xlfn.XLOOKUP(E156,Models!I:I,Models!J:J,"")</f>
        <v/>
      </c>
      <c r="U156" s="45"/>
      <c r="V156" s="45"/>
      <c r="W156" s="38" t="str">
        <f>_xlfn.LET(
    _xlpm.MacVal, _xlfn.XLOOKUP($A156, Output_Mac!$A:$A, Output_Mac!AA:AA, ""),
    _xlpm.MyAuditVal, _xlfn.XLOOKUP($A156, My_Audit!$A:$A, My_Audit!L:L, ""),
    _xlfn.TEXTJOIN(", ", TRUE, _xlpm.MyAuditVal, _xlpm.MacVal)
)</f>
        <v/>
      </c>
    </row>
    <row r="157" spans="1:23">
      <c r="A157" s="45" t="str">
        <f>_xlfn.TEXTJOIN("",TRUE,Input!$B$2,ROW(My_Audit!A156))</f>
        <v>CC156</v>
      </c>
      <c r="B157" s="45" t="str">
        <f>_xlfn.TEXTJOIN("-",TRUE,"ITD",Input!$A$2,A157)</f>
        <v>ITD-XXX-CC156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_xlpm.CSVVal,_xlfn.XLOOKUP($A157,CSV!$A:$A,CSV!C:C,""),
_xlpm.MacVal,_xlfn.XLOOKUP($A157,Output_Mac!$A:$A,Output_Mac!D:D,""),
_xlpm.MyAuditVal,_xlfn.XLOOKUP($A157,My_Audit!$A:$A,My_Audit!C:C,""),
_xlfn.IFS(_xlpm.MyAuditVal&lt;&gt;"",UPPER(_xlpm.MyAuditVal),_xlpm.MacVal&lt;&gt;"",_xlpm.MacVal,_xlpm.CSVVal&lt;&gt;"",_xlpm.CSVVal
)),"")</f>
        <v/>
      </c>
      <c r="E157" s="46" t="str" cm="1">
        <f t="array" ref="E157">IFERROR(_xlfn.LET(
_xlpm.CSVVal,_xlfn.XLOOKUP($A157,CSV!$A:$A,CSV!E:E,""),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_xlpm.CSVVal,_xlfn.XLOOKUP($A157,CSV!$A:$A,CSV!G:G,""),
_xlpm.MacVal,_xlfn.XLOOKUP($A157,Output_Mac!$A:$A,Output_Mac!G:G,""),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_xlfn.XLOOKUP(A157,Output_Mac!A:A,Output_Mac!H:H,"")</f>
        <v/>
      </c>
      <c r="I157" s="45" t="str" cm="1">
        <f t="array" ref="I157">IFERROR(_xlfn.LET(
_xlpm.CSVVal,_xlfn.XLOOKUP($A157,CSV!$A:$A,CSV!H:H,""),
_xlpm.MacVal,_xlfn.XLOOKUP($A157,Output_Mac!$A:$A,Output_Mac!I:I,""),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_xlpm.CSVVal,_xlfn.XLOOKUP($A157,CSV!$A:$A,CSV!J:J,""),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6" t="str" cm="1">
        <f t="array" ref="K157">IFERROR(_xlfn.LET(
_xlpm.CSVVal,_xlfn.XLOOKUP($A157,CSV!$A:$A,CSV!N:N,""),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_xlpm.CSVVal,_xlfn.XLOOKUP($A157,CSV!$A:$A,CSV!Q:Q,""),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CSV!AE:AE,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_xlpm.CSVVal,_xlfn.XLOOKUP($A157,CSV!$A:$A,CSV!AG:AG,""),
_xlpm.MacVal,_xlfn.XLOOKUP($A157,Output_Mac!$A:$A,Output_Mac!T:T,""),
_xlpm.MyAuditVal,_xlfn.XLOOKUP($A157,My_Audit!$A:$A,My_Audit!O:O,""),
_xlfn.IFS(_xlpm.MyAuditVal&lt;&gt;"",UPPER(_xlpm.MyAuditVal),_xlpm.MacVal&lt;&gt;"",_xlpm.MacVal,_xlpm.CSVVal&lt;&gt;"",_xlpm.CSVVal
)),"")</f>
        <v/>
      </c>
      <c r="O157" s="46" t="str">
        <f>_xlfn.XLOOKUP(C157,My_Audit!B:B,My_Audit!P:P,"")&amp;""</f>
        <v/>
      </c>
      <c r="P157" s="45"/>
      <c r="Q157" s="46" t="str">
        <f>IF(LEFT(N157,4)="Pass","Nist SP 800-88",My_Audit!R157)&amp;""</f>
        <v/>
      </c>
      <c r="R157" s="45"/>
      <c r="S157" s="45"/>
      <c r="T157" s="46" t="str">
        <f>_xlfn.XLOOKUP(E157,Models!I:I,Models!J:J,"")</f>
        <v/>
      </c>
      <c r="U157" s="45"/>
      <c r="V157" s="45"/>
      <c r="W157" s="38" t="str">
        <f>_xlfn.LET(
    _xlpm.MacVal, _xlfn.XLOOKUP($A157, Output_Mac!$A:$A, Output_Mac!AA:AA, ""),
    _xlpm.MyAuditVal, _xlfn.XLOOKUP($A157, My_Audit!$A:$A, My_Audit!L:L, ""),
    _xlfn.TEXTJOIN(", ", TRUE, _xlpm.MyAuditVal, _xlpm.MacVal)
)</f>
        <v/>
      </c>
    </row>
    <row r="158" spans="1:23">
      <c r="A158" s="45" t="str">
        <f>_xlfn.TEXTJOIN("",TRUE,Input!$B$2,ROW(My_Audit!A157))</f>
        <v>CC157</v>
      </c>
      <c r="B158" s="45" t="str">
        <f>_xlfn.TEXTJOIN("-",TRUE,"ITD",Input!$A$2,A158)</f>
        <v>ITD-XXX-CC157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_xlpm.CSVVal,_xlfn.XLOOKUP($A158,CSV!$A:$A,CSV!C:C,""),
_xlpm.MacVal,_xlfn.XLOOKUP($A158,Output_Mac!$A:$A,Output_Mac!D:D,""),
_xlpm.MyAuditVal,_xlfn.XLOOKUP($A158,My_Audit!$A:$A,My_Audit!C:C,""),
_xlfn.IFS(_xlpm.MyAuditVal&lt;&gt;"",UPPER(_xlpm.MyAuditVal),_xlpm.MacVal&lt;&gt;"",_xlpm.MacVal,_xlpm.CSVVal&lt;&gt;"",_xlpm.CSVVal
)),"")</f>
        <v/>
      </c>
      <c r="E158" s="46" t="str" cm="1">
        <f t="array" ref="E158">IFERROR(_xlfn.LET(
_xlpm.CSVVal,_xlfn.XLOOKUP($A158,CSV!$A:$A,CSV!E:E,""),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_xlpm.CSVVal,_xlfn.XLOOKUP($A158,CSV!$A:$A,CSV!G:G,""),
_xlpm.MacVal,_xlfn.XLOOKUP($A158,Output_Mac!$A:$A,Output_Mac!G:G,""),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_xlfn.XLOOKUP(A158,Output_Mac!A:A,Output_Mac!H:H,"")</f>
        <v/>
      </c>
      <c r="I158" s="45" t="str" cm="1">
        <f t="array" ref="I158">IFERROR(_xlfn.LET(
_xlpm.CSVVal,_xlfn.XLOOKUP($A158,CSV!$A:$A,CSV!H:H,""),
_xlpm.MacVal,_xlfn.XLOOKUP($A158,Output_Mac!$A:$A,Output_Mac!I:I,""),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_xlpm.CSVVal,_xlfn.XLOOKUP($A158,CSV!$A:$A,CSV!J:J,""),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6" t="str" cm="1">
        <f t="array" ref="K158">IFERROR(_xlfn.LET(
_xlpm.CSVVal,_xlfn.XLOOKUP($A158,CSV!$A:$A,CSV!N:N,""),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_xlpm.CSVVal,_xlfn.XLOOKUP($A158,CSV!$A:$A,CSV!Q:Q,""),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CSV!AE:AE,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_xlpm.CSVVal,_xlfn.XLOOKUP($A158,CSV!$A:$A,CSV!AG:AG,""),
_xlpm.MacVal,_xlfn.XLOOKUP($A158,Output_Mac!$A:$A,Output_Mac!T:T,""),
_xlpm.MyAuditVal,_xlfn.XLOOKUP($A158,My_Audit!$A:$A,My_Audit!O:O,""),
_xlfn.IFS(_xlpm.MyAuditVal&lt;&gt;"",UPPER(_xlpm.MyAuditVal),_xlpm.MacVal&lt;&gt;"",_xlpm.MacVal,_xlpm.CSVVal&lt;&gt;"",_xlpm.CSVVal
)),"")</f>
        <v/>
      </c>
      <c r="O158" s="46" t="str">
        <f>_xlfn.XLOOKUP(C158,My_Audit!B:B,My_Audit!P:P,"")&amp;""</f>
        <v/>
      </c>
      <c r="P158" s="45"/>
      <c r="Q158" s="46" t="str">
        <f>IF(LEFT(N158,4)="Pass","Nist SP 800-88",My_Audit!R158)&amp;""</f>
        <v/>
      </c>
      <c r="R158" s="45"/>
      <c r="S158" s="45"/>
      <c r="T158" s="46" t="str">
        <f>_xlfn.XLOOKUP(E158,Models!I:I,Models!J:J,"")</f>
        <v/>
      </c>
      <c r="U158" s="45"/>
      <c r="V158" s="45"/>
      <c r="W158" s="38" t="str">
        <f>_xlfn.LET(
    _xlpm.MacVal, _xlfn.XLOOKUP($A158, Output_Mac!$A:$A, Output_Mac!AA:AA, ""),
    _xlpm.MyAuditVal, _xlfn.XLOOKUP($A158, My_Audit!$A:$A, My_Audit!L:L, ""),
    _xlfn.TEXTJOIN(", ", TRUE, _xlpm.MyAuditVal, _xlpm.MacVal)
)</f>
        <v/>
      </c>
    </row>
    <row r="159" spans="1:23">
      <c r="A159" s="45" t="str">
        <f>_xlfn.TEXTJOIN("",TRUE,Input!$B$2,ROW(My_Audit!A158))</f>
        <v>CC158</v>
      </c>
      <c r="B159" s="45" t="str">
        <f>_xlfn.TEXTJOIN("-",TRUE,"ITD",Input!$A$2,A159)</f>
        <v>ITD-XXX-CC158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_xlpm.CSVVal,_xlfn.XLOOKUP($A159,CSV!$A:$A,CSV!C:C,""),
_xlpm.MacVal,_xlfn.XLOOKUP($A159,Output_Mac!$A:$A,Output_Mac!D:D,""),
_xlpm.MyAuditVal,_xlfn.XLOOKUP($A159,My_Audit!$A:$A,My_Audit!C:C,""),
_xlfn.IFS(_xlpm.MyAuditVal&lt;&gt;"",UPPER(_xlpm.MyAuditVal),_xlpm.MacVal&lt;&gt;"",_xlpm.MacVal,_xlpm.CSVVal&lt;&gt;"",_xlpm.CSVVal
)),"")</f>
        <v/>
      </c>
      <c r="E159" s="46" t="str" cm="1">
        <f t="array" ref="E159">IFERROR(_xlfn.LET(
_xlpm.CSVVal,_xlfn.XLOOKUP($A159,CSV!$A:$A,CSV!E:E,""),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_xlpm.CSVVal,_xlfn.XLOOKUP($A159,CSV!$A:$A,CSV!G:G,""),
_xlpm.MacVal,_xlfn.XLOOKUP($A159,Output_Mac!$A:$A,Output_Mac!G:G,""),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_xlfn.XLOOKUP(A159,Output_Mac!A:A,Output_Mac!H:H,"")</f>
        <v/>
      </c>
      <c r="I159" s="45" t="str" cm="1">
        <f t="array" ref="I159">IFERROR(_xlfn.LET(
_xlpm.CSVVal,_xlfn.XLOOKUP($A159,CSV!$A:$A,CSV!H:H,""),
_xlpm.MacVal,_xlfn.XLOOKUP($A159,Output_Mac!$A:$A,Output_Mac!I:I,""),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_xlpm.CSVVal,_xlfn.XLOOKUP($A159,CSV!$A:$A,CSV!J:J,""),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6" t="str" cm="1">
        <f t="array" ref="K159">IFERROR(_xlfn.LET(
_xlpm.CSVVal,_xlfn.XLOOKUP($A159,CSV!$A:$A,CSV!N:N,""),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_xlpm.CSVVal,_xlfn.XLOOKUP($A159,CSV!$A:$A,CSV!Q:Q,""),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CSV!AE:AE,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_xlpm.CSVVal,_xlfn.XLOOKUP($A159,CSV!$A:$A,CSV!AG:AG,""),
_xlpm.MacVal,_xlfn.XLOOKUP($A159,Output_Mac!$A:$A,Output_Mac!T:T,""),
_xlpm.MyAuditVal,_xlfn.XLOOKUP($A159,My_Audit!$A:$A,My_Audit!O:O,""),
_xlfn.IFS(_xlpm.MyAuditVal&lt;&gt;"",UPPER(_xlpm.MyAuditVal),_xlpm.MacVal&lt;&gt;"",_xlpm.MacVal,_xlpm.CSVVal&lt;&gt;"",_xlpm.CSVVal
)),"")</f>
        <v/>
      </c>
      <c r="O159" s="46" t="str">
        <f>_xlfn.XLOOKUP(C159,My_Audit!B:B,My_Audit!P:P,"")&amp;""</f>
        <v/>
      </c>
      <c r="P159" s="45"/>
      <c r="Q159" s="46" t="str">
        <f>IF(LEFT(N159,4)="Pass","Nist SP 800-88",My_Audit!R159)&amp;""</f>
        <v/>
      </c>
      <c r="R159" s="45"/>
      <c r="S159" s="45"/>
      <c r="T159" s="46" t="str">
        <f>_xlfn.XLOOKUP(E159,Models!I:I,Models!J:J,"")</f>
        <v/>
      </c>
      <c r="U159" s="45"/>
      <c r="V159" s="45"/>
      <c r="W159" s="38" t="str">
        <f>_xlfn.LET(
    _xlpm.MacVal, _xlfn.XLOOKUP($A159, Output_Mac!$A:$A, Output_Mac!AA:AA, ""),
    _xlpm.MyAuditVal, _xlfn.XLOOKUP($A159, My_Audit!$A:$A, My_Audit!L:L, ""),
    _xlfn.TEXTJOIN(", ", TRUE, _xlpm.MyAuditVal, _xlpm.MacVal)
)</f>
        <v/>
      </c>
    </row>
    <row r="160" spans="1:23">
      <c r="A160" s="45" t="str">
        <f>_xlfn.TEXTJOIN("",TRUE,Input!$B$2,ROW(My_Audit!A159))</f>
        <v>CC159</v>
      </c>
      <c r="B160" s="45" t="str">
        <f>_xlfn.TEXTJOIN("-",TRUE,"ITD",Input!$A$2,A160)</f>
        <v>ITD-XXX-CC159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_xlpm.CSVVal,_xlfn.XLOOKUP($A160,CSV!$A:$A,CSV!C:C,""),
_xlpm.MacVal,_xlfn.XLOOKUP($A160,Output_Mac!$A:$A,Output_Mac!D:D,""),
_xlpm.MyAuditVal,_xlfn.XLOOKUP($A160,My_Audit!$A:$A,My_Audit!C:C,""),
_xlfn.IFS(_xlpm.MyAuditVal&lt;&gt;"",UPPER(_xlpm.MyAuditVal),_xlpm.MacVal&lt;&gt;"",_xlpm.MacVal,_xlpm.CSVVal&lt;&gt;"",_xlpm.CSVVal
)),"")</f>
        <v/>
      </c>
      <c r="E160" s="46" t="str" cm="1">
        <f t="array" ref="E160">IFERROR(_xlfn.LET(
_xlpm.CSVVal,_xlfn.XLOOKUP($A160,CSV!$A:$A,CSV!E:E,""),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_xlpm.CSVVal,_xlfn.XLOOKUP($A160,CSV!$A:$A,CSV!G:G,""),
_xlpm.MacVal,_xlfn.XLOOKUP($A160,Output_Mac!$A:$A,Output_Mac!G:G,""),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_xlfn.XLOOKUP(A160,Output_Mac!A:A,Output_Mac!H:H,"")</f>
        <v/>
      </c>
      <c r="I160" s="45" t="str" cm="1">
        <f t="array" ref="I160">IFERROR(_xlfn.LET(
_xlpm.CSVVal,_xlfn.XLOOKUP($A160,CSV!$A:$A,CSV!H:H,""),
_xlpm.MacVal,_xlfn.XLOOKUP($A160,Output_Mac!$A:$A,Output_Mac!I:I,""),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_xlpm.CSVVal,_xlfn.XLOOKUP($A160,CSV!$A:$A,CSV!J:J,""),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6" t="str" cm="1">
        <f t="array" ref="K160">IFERROR(_xlfn.LET(
_xlpm.CSVVal,_xlfn.XLOOKUP($A160,CSV!$A:$A,CSV!N:N,""),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_xlpm.CSVVal,_xlfn.XLOOKUP($A160,CSV!$A:$A,CSV!Q:Q,""),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CSV!AE:AE,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_xlpm.CSVVal,_xlfn.XLOOKUP($A160,CSV!$A:$A,CSV!AG:AG,""),
_xlpm.MacVal,_xlfn.XLOOKUP($A160,Output_Mac!$A:$A,Output_Mac!T:T,""),
_xlpm.MyAuditVal,_xlfn.XLOOKUP($A160,My_Audit!$A:$A,My_Audit!O:O,""),
_xlfn.IFS(_xlpm.MyAuditVal&lt;&gt;"",UPPER(_xlpm.MyAuditVal),_xlpm.MacVal&lt;&gt;"",_xlpm.MacVal,_xlpm.CSVVal&lt;&gt;"",_xlpm.CSVVal
)),"")</f>
        <v/>
      </c>
      <c r="O160" s="46" t="str">
        <f>_xlfn.XLOOKUP(C160,My_Audit!B:B,My_Audit!P:P,"")&amp;""</f>
        <v/>
      </c>
      <c r="P160" s="45"/>
      <c r="Q160" s="46" t="str">
        <f>IF(LEFT(N160,4)="Pass","Nist SP 800-88",My_Audit!R160)&amp;""</f>
        <v/>
      </c>
      <c r="R160" s="45"/>
      <c r="S160" s="45"/>
      <c r="T160" s="46" t="str">
        <f>_xlfn.XLOOKUP(E160,Models!I:I,Models!J:J,"")</f>
        <v/>
      </c>
      <c r="U160" s="45"/>
      <c r="V160" s="45"/>
      <c r="W160" s="38" t="str">
        <f>_xlfn.LET(
    _xlpm.MacVal, _xlfn.XLOOKUP($A160, Output_Mac!$A:$A, Output_Mac!AA:AA, ""),
    _xlpm.MyAuditVal, _xlfn.XLOOKUP($A160, My_Audit!$A:$A, My_Audit!L:L, ""),
    _xlfn.TEXTJOIN(", ", TRUE, _xlpm.MyAuditVal, _xlpm.MacVal)
)</f>
        <v/>
      </c>
    </row>
    <row r="161" spans="1:23">
      <c r="A161" s="45" t="str">
        <f>_xlfn.TEXTJOIN("",TRUE,Input!$B$2,ROW(My_Audit!A160))</f>
        <v>CC160</v>
      </c>
      <c r="B161" s="45" t="str">
        <f>_xlfn.TEXTJOIN("-",TRUE,"ITD",Input!$A$2,A161)</f>
        <v>ITD-XXX-CC160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_xlpm.CSVVal,_xlfn.XLOOKUP($A161,CSV!$A:$A,CSV!C:C,""),
_xlpm.MacVal,_xlfn.XLOOKUP($A161,Output_Mac!$A:$A,Output_Mac!D:D,""),
_xlpm.MyAuditVal,_xlfn.XLOOKUP($A161,My_Audit!$A:$A,My_Audit!C:C,""),
_xlfn.IFS(_xlpm.MyAuditVal&lt;&gt;"",UPPER(_xlpm.MyAuditVal),_xlpm.MacVal&lt;&gt;"",_xlpm.MacVal,_xlpm.CSVVal&lt;&gt;"",_xlpm.CSVVal
)),"")</f>
        <v/>
      </c>
      <c r="E161" s="46" t="str" cm="1">
        <f t="array" ref="E161">IFERROR(_xlfn.LET(
_xlpm.CSVVal,_xlfn.XLOOKUP($A161,CSV!$A:$A,CSV!E:E,""),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_xlpm.CSVVal,_xlfn.XLOOKUP($A161,CSV!$A:$A,CSV!G:G,""),
_xlpm.MacVal,_xlfn.XLOOKUP($A161,Output_Mac!$A:$A,Output_Mac!G:G,""),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_xlfn.XLOOKUP(A161,Output_Mac!A:A,Output_Mac!H:H,"")</f>
        <v/>
      </c>
      <c r="I161" s="45" t="str" cm="1">
        <f t="array" ref="I161">IFERROR(_xlfn.LET(
_xlpm.CSVVal,_xlfn.XLOOKUP($A161,CSV!$A:$A,CSV!H:H,""),
_xlpm.MacVal,_xlfn.XLOOKUP($A161,Output_Mac!$A:$A,Output_Mac!I:I,""),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_xlpm.CSVVal,_xlfn.XLOOKUP($A161,CSV!$A:$A,CSV!J:J,""),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6" t="str" cm="1">
        <f t="array" ref="K161">IFERROR(_xlfn.LET(
_xlpm.CSVVal,_xlfn.XLOOKUP($A161,CSV!$A:$A,CSV!N:N,""),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_xlpm.CSVVal,_xlfn.XLOOKUP($A161,CSV!$A:$A,CSV!Q:Q,""),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CSV!AE:AE,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_xlpm.CSVVal,_xlfn.XLOOKUP($A161,CSV!$A:$A,CSV!AG:AG,""),
_xlpm.MacVal,_xlfn.XLOOKUP($A161,Output_Mac!$A:$A,Output_Mac!T:T,""),
_xlpm.MyAuditVal,_xlfn.XLOOKUP($A161,My_Audit!$A:$A,My_Audit!O:O,""),
_xlfn.IFS(_xlpm.MyAuditVal&lt;&gt;"",UPPER(_xlpm.MyAuditVal),_xlpm.MacVal&lt;&gt;"",_xlpm.MacVal,_xlpm.CSVVal&lt;&gt;"",_xlpm.CSVVal
)),"")</f>
        <v/>
      </c>
      <c r="O161" s="46" t="str">
        <f>_xlfn.XLOOKUP(C161,My_Audit!B:B,My_Audit!P:P,"")&amp;""</f>
        <v/>
      </c>
      <c r="P161" s="45"/>
      <c r="Q161" s="46" t="str">
        <f>IF(LEFT(N161,4)="Pass","Nist SP 800-88",My_Audit!R161)&amp;""</f>
        <v/>
      </c>
      <c r="R161" s="45"/>
      <c r="S161" s="45"/>
      <c r="T161" s="46" t="str">
        <f>_xlfn.XLOOKUP(E161,Models!I:I,Models!J:J,"")</f>
        <v/>
      </c>
      <c r="U161" s="45"/>
      <c r="V161" s="45"/>
      <c r="W161" s="38" t="str">
        <f>_xlfn.LET(
    _xlpm.MacVal, _xlfn.XLOOKUP($A161, Output_Mac!$A:$A, Output_Mac!AA:AA, ""),
    _xlpm.MyAuditVal, _xlfn.XLOOKUP($A161, My_Audit!$A:$A, My_Audit!L:L, ""),
    _xlfn.TEXTJOIN(", ", TRUE, _xlpm.MyAuditVal, _xlpm.MacVal)
)</f>
        <v/>
      </c>
    </row>
    <row r="162" spans="1:23">
      <c r="A162" s="45" t="str">
        <f>_xlfn.TEXTJOIN("",TRUE,Input!$B$2,ROW(My_Audit!A161))</f>
        <v>CC161</v>
      </c>
      <c r="B162" s="45" t="str">
        <f>_xlfn.TEXTJOIN("-",TRUE,"ITD",Input!$A$2,A162)</f>
        <v>ITD-XXX-CC161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_xlpm.CSVVal,_xlfn.XLOOKUP($A162,CSV!$A:$A,CSV!C:C,""),
_xlpm.MacVal,_xlfn.XLOOKUP($A162,Output_Mac!$A:$A,Output_Mac!D:D,""),
_xlpm.MyAuditVal,_xlfn.XLOOKUP($A162,My_Audit!$A:$A,My_Audit!C:C,""),
_xlfn.IFS(_xlpm.MyAuditVal&lt;&gt;"",UPPER(_xlpm.MyAuditVal),_xlpm.MacVal&lt;&gt;"",_xlpm.MacVal,_xlpm.CSVVal&lt;&gt;"",_xlpm.CSVVal
)),"")</f>
        <v/>
      </c>
      <c r="E162" s="46" t="str" cm="1">
        <f t="array" ref="E162">IFERROR(_xlfn.LET(
_xlpm.CSVVal,_xlfn.XLOOKUP($A162,CSV!$A:$A,CSV!E:E,""),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_xlpm.CSVVal,_xlfn.XLOOKUP($A162,CSV!$A:$A,CSV!G:G,""),
_xlpm.MacVal,_xlfn.XLOOKUP($A162,Output_Mac!$A:$A,Output_Mac!G:G,""),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_xlfn.XLOOKUP(A162,Output_Mac!A:A,Output_Mac!H:H,"")</f>
        <v/>
      </c>
      <c r="I162" s="45" t="str" cm="1">
        <f t="array" ref="I162">IFERROR(_xlfn.LET(
_xlpm.CSVVal,_xlfn.XLOOKUP($A162,CSV!$A:$A,CSV!H:H,""),
_xlpm.MacVal,_xlfn.XLOOKUP($A162,Output_Mac!$A:$A,Output_Mac!I:I,""),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_xlpm.CSVVal,_xlfn.XLOOKUP($A162,CSV!$A:$A,CSV!J:J,""),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6" t="str" cm="1">
        <f t="array" ref="K162">IFERROR(_xlfn.LET(
_xlpm.CSVVal,_xlfn.XLOOKUP($A162,CSV!$A:$A,CSV!N:N,""),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_xlpm.CSVVal,_xlfn.XLOOKUP($A162,CSV!$A:$A,CSV!Q:Q,""),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CSV!AE:AE,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_xlpm.CSVVal,_xlfn.XLOOKUP($A162,CSV!$A:$A,CSV!AG:AG,""),
_xlpm.MacVal,_xlfn.XLOOKUP($A162,Output_Mac!$A:$A,Output_Mac!T:T,""),
_xlpm.MyAuditVal,_xlfn.XLOOKUP($A162,My_Audit!$A:$A,My_Audit!O:O,""),
_xlfn.IFS(_xlpm.MyAuditVal&lt;&gt;"",UPPER(_xlpm.MyAuditVal),_xlpm.MacVal&lt;&gt;"",_xlpm.MacVal,_xlpm.CSVVal&lt;&gt;"",_xlpm.CSVVal
)),"")</f>
        <v/>
      </c>
      <c r="O162" s="46" t="str">
        <f>_xlfn.XLOOKUP(C162,My_Audit!B:B,My_Audit!P:P,"")&amp;""</f>
        <v/>
      </c>
      <c r="P162" s="45"/>
      <c r="Q162" s="46" t="str">
        <f>IF(LEFT(N162,4)="Pass","Nist SP 800-88",My_Audit!R162)&amp;""</f>
        <v/>
      </c>
      <c r="R162" s="45"/>
      <c r="S162" s="45"/>
      <c r="T162" s="46" t="str">
        <f>_xlfn.XLOOKUP(E162,Models!I:I,Models!J:J,"")</f>
        <v/>
      </c>
      <c r="U162" s="45"/>
      <c r="V162" s="45"/>
      <c r="W162" s="38" t="str">
        <f>_xlfn.LET(
    _xlpm.MacVal, _xlfn.XLOOKUP($A162, Output_Mac!$A:$A, Output_Mac!AA:AA, ""),
    _xlpm.MyAuditVal, _xlfn.XLOOKUP($A162, My_Audit!$A:$A, My_Audit!L:L, ""),
    _xlfn.TEXTJOIN(", ", TRUE, _xlpm.MyAuditVal, _xlpm.MacVal)
)</f>
        <v/>
      </c>
    </row>
    <row r="163" spans="1:23">
      <c r="A163" s="45" t="str">
        <f>_xlfn.TEXTJOIN("",TRUE,Input!$B$2,ROW(My_Audit!A162))</f>
        <v>CC162</v>
      </c>
      <c r="B163" s="45" t="str">
        <f>_xlfn.TEXTJOIN("-",TRUE,"ITD",Input!$A$2,A163)</f>
        <v>ITD-XXX-CC162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_xlpm.CSVVal,_xlfn.XLOOKUP($A163,CSV!$A:$A,CSV!C:C,""),
_xlpm.MacVal,_xlfn.XLOOKUP($A163,Output_Mac!$A:$A,Output_Mac!D:D,""),
_xlpm.MyAuditVal,_xlfn.XLOOKUP($A163,My_Audit!$A:$A,My_Audit!C:C,""),
_xlfn.IFS(_xlpm.MyAuditVal&lt;&gt;"",UPPER(_xlpm.MyAuditVal),_xlpm.MacVal&lt;&gt;"",_xlpm.MacVal,_xlpm.CSVVal&lt;&gt;"",_xlpm.CSVVal
)),"")</f>
        <v/>
      </c>
      <c r="E163" s="46" t="str" cm="1">
        <f t="array" ref="E163">IFERROR(_xlfn.LET(
_xlpm.CSVVal,_xlfn.XLOOKUP($A163,CSV!$A:$A,CSV!E:E,""),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_xlpm.CSVVal,_xlfn.XLOOKUP($A163,CSV!$A:$A,CSV!G:G,""),
_xlpm.MacVal,_xlfn.XLOOKUP($A163,Output_Mac!$A:$A,Output_Mac!G:G,""),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_xlfn.XLOOKUP(A163,Output_Mac!A:A,Output_Mac!H:H,"")</f>
        <v/>
      </c>
      <c r="I163" s="45" t="str" cm="1">
        <f t="array" ref="I163">IFERROR(_xlfn.LET(
_xlpm.CSVVal,_xlfn.XLOOKUP($A163,CSV!$A:$A,CSV!H:H,""),
_xlpm.MacVal,_xlfn.XLOOKUP($A163,Output_Mac!$A:$A,Output_Mac!I:I,""),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_xlpm.CSVVal,_xlfn.XLOOKUP($A163,CSV!$A:$A,CSV!J:J,""),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6" t="str" cm="1">
        <f t="array" ref="K163">IFERROR(_xlfn.LET(
_xlpm.CSVVal,_xlfn.XLOOKUP($A163,CSV!$A:$A,CSV!N:N,""),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_xlpm.CSVVal,_xlfn.XLOOKUP($A163,CSV!$A:$A,CSV!Q:Q,""),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CSV!AE:AE,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_xlpm.CSVVal,_xlfn.XLOOKUP($A163,CSV!$A:$A,CSV!AG:AG,""),
_xlpm.MacVal,_xlfn.XLOOKUP($A163,Output_Mac!$A:$A,Output_Mac!T:T,""),
_xlpm.MyAuditVal,_xlfn.XLOOKUP($A163,My_Audit!$A:$A,My_Audit!O:O,""),
_xlfn.IFS(_xlpm.MyAuditVal&lt;&gt;"",UPPER(_xlpm.MyAuditVal),_xlpm.MacVal&lt;&gt;"",_xlpm.MacVal,_xlpm.CSVVal&lt;&gt;"",_xlpm.CSVVal
)),"")</f>
        <v/>
      </c>
      <c r="O163" s="46" t="str">
        <f>_xlfn.XLOOKUP(C163,My_Audit!B:B,My_Audit!P:P,"")&amp;""</f>
        <v/>
      </c>
      <c r="P163" s="45"/>
      <c r="Q163" s="46" t="str">
        <f>IF(LEFT(N163,4)="Pass","Nist SP 800-88",My_Audit!R163)&amp;""</f>
        <v/>
      </c>
      <c r="R163" s="45"/>
      <c r="S163" s="45"/>
      <c r="T163" s="46" t="str">
        <f>_xlfn.XLOOKUP(E163,Models!I:I,Models!J:J,"")</f>
        <v/>
      </c>
      <c r="U163" s="45"/>
      <c r="V163" s="45"/>
      <c r="W163" s="38" t="str">
        <f>_xlfn.LET(
    _xlpm.MacVal, _xlfn.XLOOKUP($A163, Output_Mac!$A:$A, Output_Mac!AA:AA, ""),
    _xlpm.MyAuditVal, _xlfn.XLOOKUP($A163, My_Audit!$A:$A, My_Audit!L:L, ""),
    _xlfn.TEXTJOIN(", ", TRUE, _xlpm.MyAuditVal, _xlpm.MacVal)
)</f>
        <v/>
      </c>
    </row>
    <row r="164" spans="1:23">
      <c r="A164" s="45" t="str">
        <f>_xlfn.TEXTJOIN("",TRUE,Input!$B$2,ROW(My_Audit!A163))</f>
        <v>CC163</v>
      </c>
      <c r="B164" s="45" t="str">
        <f>_xlfn.TEXTJOIN("-",TRUE,"ITD",Input!$A$2,A164)</f>
        <v>ITD-XXX-CC163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_xlpm.CSVVal,_xlfn.XLOOKUP($A164,CSV!$A:$A,CSV!C:C,""),
_xlpm.MacVal,_xlfn.XLOOKUP($A164,Output_Mac!$A:$A,Output_Mac!D:D,""),
_xlpm.MyAuditVal,_xlfn.XLOOKUP($A164,My_Audit!$A:$A,My_Audit!C:C,""),
_xlfn.IFS(_xlpm.MyAuditVal&lt;&gt;"",UPPER(_xlpm.MyAuditVal),_xlpm.MacVal&lt;&gt;"",_xlpm.MacVal,_xlpm.CSVVal&lt;&gt;"",_xlpm.CSVVal
)),"")</f>
        <v/>
      </c>
      <c r="E164" s="46" t="str" cm="1">
        <f t="array" ref="E164">IFERROR(_xlfn.LET(
_xlpm.CSVVal,_xlfn.XLOOKUP($A164,CSV!$A:$A,CSV!E:E,""),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_xlpm.CSVVal,_xlfn.XLOOKUP($A164,CSV!$A:$A,CSV!G:G,""),
_xlpm.MacVal,_xlfn.XLOOKUP($A164,Output_Mac!$A:$A,Output_Mac!G:G,""),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_xlfn.XLOOKUP(A164,Output_Mac!A:A,Output_Mac!H:H,"")</f>
        <v/>
      </c>
      <c r="I164" s="45" t="str" cm="1">
        <f t="array" ref="I164">IFERROR(_xlfn.LET(
_xlpm.CSVVal,_xlfn.XLOOKUP($A164,CSV!$A:$A,CSV!H:H,""),
_xlpm.MacVal,_xlfn.XLOOKUP($A164,Output_Mac!$A:$A,Output_Mac!I:I,""),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_xlpm.CSVVal,_xlfn.XLOOKUP($A164,CSV!$A:$A,CSV!J:J,""),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6" t="str" cm="1">
        <f t="array" ref="K164">IFERROR(_xlfn.LET(
_xlpm.CSVVal,_xlfn.XLOOKUP($A164,CSV!$A:$A,CSV!N:N,""),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_xlpm.CSVVal,_xlfn.XLOOKUP($A164,CSV!$A:$A,CSV!Q:Q,""),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CSV!AE:AE,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_xlpm.CSVVal,_xlfn.XLOOKUP($A164,CSV!$A:$A,CSV!AG:AG,""),
_xlpm.MacVal,_xlfn.XLOOKUP($A164,Output_Mac!$A:$A,Output_Mac!T:T,""),
_xlpm.MyAuditVal,_xlfn.XLOOKUP($A164,My_Audit!$A:$A,My_Audit!O:O,""),
_xlfn.IFS(_xlpm.MyAuditVal&lt;&gt;"",UPPER(_xlpm.MyAuditVal),_xlpm.MacVal&lt;&gt;"",_xlpm.MacVal,_xlpm.CSVVal&lt;&gt;"",_xlpm.CSVVal
)),"")</f>
        <v/>
      </c>
      <c r="O164" s="46" t="str">
        <f>_xlfn.XLOOKUP(C164,My_Audit!B:B,My_Audit!P:P,"")&amp;""</f>
        <v/>
      </c>
      <c r="P164" s="45"/>
      <c r="Q164" s="46" t="str">
        <f>IF(LEFT(N164,4)="Pass","Nist SP 800-88",My_Audit!R164)&amp;""</f>
        <v/>
      </c>
      <c r="R164" s="45"/>
      <c r="S164" s="45"/>
      <c r="T164" s="46" t="str">
        <f>_xlfn.XLOOKUP(E164,Models!I:I,Models!J:J,"")</f>
        <v/>
      </c>
      <c r="U164" s="45"/>
      <c r="V164" s="45"/>
      <c r="W164" s="38" t="str">
        <f>_xlfn.LET(
    _xlpm.MacVal, _xlfn.XLOOKUP($A164, Output_Mac!$A:$A, Output_Mac!AA:AA, ""),
    _xlpm.MyAuditVal, _xlfn.XLOOKUP($A164, My_Audit!$A:$A, My_Audit!L:L, ""),
    _xlfn.TEXTJOIN(", ", TRUE, _xlpm.MyAuditVal, _xlpm.MacVal)
)</f>
        <v/>
      </c>
    </row>
    <row r="165" spans="1:23">
      <c r="A165" s="45" t="str">
        <f>_xlfn.TEXTJOIN("",TRUE,Input!$B$2,ROW(My_Audit!A164))</f>
        <v>CC164</v>
      </c>
      <c r="B165" s="45" t="str">
        <f>_xlfn.TEXTJOIN("-",TRUE,"ITD",Input!$A$2,A165)</f>
        <v>ITD-XXX-CC164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_xlpm.CSVVal,_xlfn.XLOOKUP($A165,CSV!$A:$A,CSV!C:C,""),
_xlpm.MacVal,_xlfn.XLOOKUP($A165,Output_Mac!$A:$A,Output_Mac!D:D,""),
_xlpm.MyAuditVal,_xlfn.XLOOKUP($A165,My_Audit!$A:$A,My_Audit!C:C,""),
_xlfn.IFS(_xlpm.MyAuditVal&lt;&gt;"",UPPER(_xlpm.MyAuditVal),_xlpm.MacVal&lt;&gt;"",_xlpm.MacVal,_xlpm.CSVVal&lt;&gt;"",_xlpm.CSVVal
)),"")</f>
        <v/>
      </c>
      <c r="E165" s="46" t="str" cm="1">
        <f t="array" ref="E165">IFERROR(_xlfn.LET(
_xlpm.CSVVal,_xlfn.XLOOKUP($A165,CSV!$A:$A,CSV!E:E,""),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_xlpm.CSVVal,_xlfn.XLOOKUP($A165,CSV!$A:$A,CSV!G:G,""),
_xlpm.MacVal,_xlfn.XLOOKUP($A165,Output_Mac!$A:$A,Output_Mac!G:G,""),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_xlfn.XLOOKUP(A165,Output_Mac!A:A,Output_Mac!H:H,"")</f>
        <v/>
      </c>
      <c r="I165" s="45" t="str" cm="1">
        <f t="array" ref="I165">IFERROR(_xlfn.LET(
_xlpm.CSVVal,_xlfn.XLOOKUP($A165,CSV!$A:$A,CSV!H:H,""),
_xlpm.MacVal,_xlfn.XLOOKUP($A165,Output_Mac!$A:$A,Output_Mac!I:I,""),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_xlpm.CSVVal,_xlfn.XLOOKUP($A165,CSV!$A:$A,CSV!J:J,""),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6" t="str" cm="1">
        <f t="array" ref="K165">IFERROR(_xlfn.LET(
_xlpm.CSVVal,_xlfn.XLOOKUP($A165,CSV!$A:$A,CSV!N:N,""),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_xlpm.CSVVal,_xlfn.XLOOKUP($A165,CSV!$A:$A,CSV!Q:Q,""),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CSV!AE:AE,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_xlpm.CSVVal,_xlfn.XLOOKUP($A165,CSV!$A:$A,CSV!AG:AG,""),
_xlpm.MacVal,_xlfn.XLOOKUP($A165,Output_Mac!$A:$A,Output_Mac!T:T,""),
_xlpm.MyAuditVal,_xlfn.XLOOKUP($A165,My_Audit!$A:$A,My_Audit!O:O,""),
_xlfn.IFS(_xlpm.MyAuditVal&lt;&gt;"",UPPER(_xlpm.MyAuditVal),_xlpm.MacVal&lt;&gt;"",_xlpm.MacVal,_xlpm.CSVVal&lt;&gt;"",_xlpm.CSVVal
)),"")</f>
        <v/>
      </c>
      <c r="O165" s="46" t="str">
        <f>_xlfn.XLOOKUP(C165,My_Audit!B:B,My_Audit!P:P,"")&amp;""</f>
        <v/>
      </c>
      <c r="P165" s="45"/>
      <c r="Q165" s="46" t="str">
        <f>IF(LEFT(N165,4)="Pass","Nist SP 800-88",My_Audit!R165)&amp;""</f>
        <v/>
      </c>
      <c r="R165" s="45"/>
      <c r="S165" s="45"/>
      <c r="T165" s="46" t="str">
        <f>_xlfn.XLOOKUP(E165,Models!I:I,Models!J:J,"")</f>
        <v/>
      </c>
      <c r="U165" s="45"/>
      <c r="V165" s="45"/>
      <c r="W165" s="38" t="str">
        <f>_xlfn.LET(
    _xlpm.MacVal, _xlfn.XLOOKUP($A165, Output_Mac!$A:$A, Output_Mac!AA:AA, ""),
    _xlpm.MyAuditVal, _xlfn.XLOOKUP($A165, My_Audit!$A:$A, My_Audit!L:L, ""),
    _xlfn.TEXTJOIN(", ", TRUE, _xlpm.MyAuditVal, _xlpm.MacVal)
)</f>
        <v/>
      </c>
    </row>
    <row r="166" spans="1:23">
      <c r="A166" s="45" t="str">
        <f>_xlfn.TEXTJOIN("",TRUE,Input!$B$2,ROW(My_Audit!A165))</f>
        <v>CC165</v>
      </c>
      <c r="B166" s="45" t="str">
        <f>_xlfn.TEXTJOIN("-",TRUE,"ITD",Input!$A$2,A166)</f>
        <v>ITD-XXX-CC165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_xlpm.CSVVal,_xlfn.XLOOKUP($A166,CSV!$A:$A,CSV!C:C,""),
_xlpm.MacVal,_xlfn.XLOOKUP($A166,Output_Mac!$A:$A,Output_Mac!D:D,""),
_xlpm.MyAuditVal,_xlfn.XLOOKUP($A166,My_Audit!$A:$A,My_Audit!C:C,""),
_xlfn.IFS(_xlpm.MyAuditVal&lt;&gt;"",UPPER(_xlpm.MyAuditVal),_xlpm.MacVal&lt;&gt;"",_xlpm.MacVal,_xlpm.CSVVal&lt;&gt;"",_xlpm.CSVVal
)),"")</f>
        <v/>
      </c>
      <c r="E166" s="46" t="str" cm="1">
        <f t="array" ref="E166">IFERROR(_xlfn.LET(
_xlpm.CSVVal,_xlfn.XLOOKUP($A166,CSV!$A:$A,CSV!E:E,""),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_xlpm.CSVVal,_xlfn.XLOOKUP($A166,CSV!$A:$A,CSV!G:G,""),
_xlpm.MacVal,_xlfn.XLOOKUP($A166,Output_Mac!$A:$A,Output_Mac!G:G,""),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_xlfn.XLOOKUP(A166,Output_Mac!A:A,Output_Mac!H:H,"")</f>
        <v/>
      </c>
      <c r="I166" s="45" t="str" cm="1">
        <f t="array" ref="I166">IFERROR(_xlfn.LET(
_xlpm.CSVVal,_xlfn.XLOOKUP($A166,CSV!$A:$A,CSV!H:H,""),
_xlpm.MacVal,_xlfn.XLOOKUP($A166,Output_Mac!$A:$A,Output_Mac!I:I,""),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_xlpm.CSVVal,_xlfn.XLOOKUP($A166,CSV!$A:$A,CSV!J:J,""),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6" t="str" cm="1">
        <f t="array" ref="K166">IFERROR(_xlfn.LET(
_xlpm.CSVVal,_xlfn.XLOOKUP($A166,CSV!$A:$A,CSV!N:N,""),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_xlpm.CSVVal,_xlfn.XLOOKUP($A166,CSV!$A:$A,CSV!Q:Q,""),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CSV!AE:AE,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_xlpm.CSVVal,_xlfn.XLOOKUP($A166,CSV!$A:$A,CSV!AG:AG,""),
_xlpm.MacVal,_xlfn.XLOOKUP($A166,Output_Mac!$A:$A,Output_Mac!T:T,""),
_xlpm.MyAuditVal,_xlfn.XLOOKUP($A166,My_Audit!$A:$A,My_Audit!O:O,""),
_xlfn.IFS(_xlpm.MyAuditVal&lt;&gt;"",UPPER(_xlpm.MyAuditVal),_xlpm.MacVal&lt;&gt;"",_xlpm.MacVal,_xlpm.CSVVal&lt;&gt;"",_xlpm.CSVVal
)),"")</f>
        <v/>
      </c>
      <c r="O166" s="46" t="str">
        <f>_xlfn.XLOOKUP(C166,My_Audit!B:B,My_Audit!P:P,"")&amp;""</f>
        <v/>
      </c>
      <c r="P166" s="45"/>
      <c r="Q166" s="46" t="str">
        <f>IF(LEFT(N166,4)="Pass","Nist SP 800-88",My_Audit!R166)&amp;""</f>
        <v/>
      </c>
      <c r="R166" s="45"/>
      <c r="S166" s="45"/>
      <c r="T166" s="46" t="str">
        <f>_xlfn.XLOOKUP(E166,Models!I:I,Models!J:J,"")</f>
        <v/>
      </c>
      <c r="U166" s="45"/>
      <c r="V166" s="45"/>
      <c r="W166" s="38" t="str">
        <f>_xlfn.LET(
    _xlpm.MacVal, _xlfn.XLOOKUP($A166, Output_Mac!$A:$A, Output_Mac!AA:AA, ""),
    _xlpm.MyAuditVal, _xlfn.XLOOKUP($A166, My_Audit!$A:$A, My_Audit!L:L, ""),
    _xlfn.TEXTJOIN(", ", TRUE, _xlpm.MyAuditVal, _xlpm.MacVal)
)</f>
        <v/>
      </c>
    </row>
    <row r="167" spans="1:23">
      <c r="A167" s="45" t="str">
        <f>_xlfn.TEXTJOIN("",TRUE,Input!$B$2,ROW(My_Audit!A166))</f>
        <v>CC166</v>
      </c>
      <c r="B167" s="45" t="str">
        <f>_xlfn.TEXTJOIN("-",TRUE,"ITD",Input!$A$2,A167)</f>
        <v>ITD-XXX-CC166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_xlpm.CSVVal,_xlfn.XLOOKUP($A167,CSV!$A:$A,CSV!C:C,""),
_xlpm.MacVal,_xlfn.XLOOKUP($A167,Output_Mac!$A:$A,Output_Mac!D:D,""),
_xlpm.MyAuditVal,_xlfn.XLOOKUP($A167,My_Audit!$A:$A,My_Audit!C:C,""),
_xlfn.IFS(_xlpm.MyAuditVal&lt;&gt;"",UPPER(_xlpm.MyAuditVal),_xlpm.MacVal&lt;&gt;"",_xlpm.MacVal,_xlpm.CSVVal&lt;&gt;"",_xlpm.CSVVal
)),"")</f>
        <v/>
      </c>
      <c r="E167" s="46" t="str" cm="1">
        <f t="array" ref="E167">IFERROR(_xlfn.LET(
_xlpm.CSVVal,_xlfn.XLOOKUP($A167,CSV!$A:$A,CSV!E:E,""),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_xlpm.CSVVal,_xlfn.XLOOKUP($A167,CSV!$A:$A,CSV!G:G,""),
_xlpm.MacVal,_xlfn.XLOOKUP($A167,Output_Mac!$A:$A,Output_Mac!G:G,""),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_xlfn.XLOOKUP(A167,Output_Mac!A:A,Output_Mac!H:H,"")</f>
        <v/>
      </c>
      <c r="I167" s="45" t="str" cm="1">
        <f t="array" ref="I167">IFERROR(_xlfn.LET(
_xlpm.CSVVal,_xlfn.XLOOKUP($A167,CSV!$A:$A,CSV!H:H,""),
_xlpm.MacVal,_xlfn.XLOOKUP($A167,Output_Mac!$A:$A,Output_Mac!I:I,""),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_xlpm.CSVVal,_xlfn.XLOOKUP($A167,CSV!$A:$A,CSV!J:J,""),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6" t="str" cm="1">
        <f t="array" ref="K167">IFERROR(_xlfn.LET(
_xlpm.CSVVal,_xlfn.XLOOKUP($A167,CSV!$A:$A,CSV!N:N,""),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_xlpm.CSVVal,_xlfn.XLOOKUP($A167,CSV!$A:$A,CSV!Q:Q,""),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CSV!AE:AE,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_xlpm.CSVVal,_xlfn.XLOOKUP($A167,CSV!$A:$A,CSV!AG:AG,""),
_xlpm.MacVal,_xlfn.XLOOKUP($A167,Output_Mac!$A:$A,Output_Mac!T:T,""),
_xlpm.MyAuditVal,_xlfn.XLOOKUP($A167,My_Audit!$A:$A,My_Audit!O:O,""),
_xlfn.IFS(_xlpm.MyAuditVal&lt;&gt;"",UPPER(_xlpm.MyAuditVal),_xlpm.MacVal&lt;&gt;"",_xlpm.MacVal,_xlpm.CSVVal&lt;&gt;"",_xlpm.CSVVal
)),"")</f>
        <v/>
      </c>
      <c r="O167" s="46" t="str">
        <f>_xlfn.XLOOKUP(C167,My_Audit!B:B,My_Audit!P:P,"")&amp;""</f>
        <v/>
      </c>
      <c r="P167" s="45"/>
      <c r="Q167" s="46" t="str">
        <f>IF(LEFT(N167,4)="Pass","Nist SP 800-88",My_Audit!R167)&amp;""</f>
        <v/>
      </c>
      <c r="R167" s="45"/>
      <c r="S167" s="45"/>
      <c r="T167" s="46" t="str">
        <f>_xlfn.XLOOKUP(E167,Models!I:I,Models!J:J,"")</f>
        <v/>
      </c>
      <c r="U167" s="45"/>
      <c r="V167" s="45"/>
      <c r="W167" s="38" t="str">
        <f>_xlfn.LET(
    _xlpm.MacVal, _xlfn.XLOOKUP($A167, Output_Mac!$A:$A, Output_Mac!AA:AA, ""),
    _xlpm.MyAuditVal, _xlfn.XLOOKUP($A167, My_Audit!$A:$A, My_Audit!L:L, ""),
    _xlfn.TEXTJOIN(", ", TRUE, _xlpm.MyAuditVal, _xlpm.MacVal)
)</f>
        <v/>
      </c>
    </row>
    <row r="168" spans="1:23">
      <c r="A168" s="45" t="str">
        <f>_xlfn.TEXTJOIN("",TRUE,Input!$B$2,ROW(My_Audit!A167))</f>
        <v>CC167</v>
      </c>
      <c r="B168" s="45" t="str">
        <f>_xlfn.TEXTJOIN("-",TRUE,"ITD",Input!$A$2,A168)</f>
        <v>ITD-XXX-CC167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_xlpm.CSVVal,_xlfn.XLOOKUP($A168,CSV!$A:$A,CSV!C:C,""),
_xlpm.MacVal,_xlfn.XLOOKUP($A168,Output_Mac!$A:$A,Output_Mac!D:D,""),
_xlpm.MyAuditVal,_xlfn.XLOOKUP($A168,My_Audit!$A:$A,My_Audit!C:C,""),
_xlfn.IFS(_xlpm.MyAuditVal&lt;&gt;"",UPPER(_xlpm.MyAuditVal),_xlpm.MacVal&lt;&gt;"",_xlpm.MacVal,_xlpm.CSVVal&lt;&gt;"",_xlpm.CSVVal
)),"")</f>
        <v/>
      </c>
      <c r="E168" s="46" t="str" cm="1">
        <f t="array" ref="E168">IFERROR(_xlfn.LET(
_xlpm.CSVVal,_xlfn.XLOOKUP($A168,CSV!$A:$A,CSV!E:E,""),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_xlpm.CSVVal,_xlfn.XLOOKUP($A168,CSV!$A:$A,CSV!G:G,""),
_xlpm.MacVal,_xlfn.XLOOKUP($A168,Output_Mac!$A:$A,Output_Mac!G:G,""),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_xlfn.XLOOKUP(A168,Output_Mac!A:A,Output_Mac!H:H,"")</f>
        <v/>
      </c>
      <c r="I168" s="45" t="str" cm="1">
        <f t="array" ref="I168">IFERROR(_xlfn.LET(
_xlpm.CSVVal,_xlfn.XLOOKUP($A168,CSV!$A:$A,CSV!H:H,""),
_xlpm.MacVal,_xlfn.XLOOKUP($A168,Output_Mac!$A:$A,Output_Mac!I:I,""),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_xlpm.CSVVal,_xlfn.XLOOKUP($A168,CSV!$A:$A,CSV!J:J,""),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6" t="str" cm="1">
        <f t="array" ref="K168">IFERROR(_xlfn.LET(
_xlpm.CSVVal,_xlfn.XLOOKUP($A168,CSV!$A:$A,CSV!N:N,""),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_xlpm.CSVVal,_xlfn.XLOOKUP($A168,CSV!$A:$A,CSV!Q:Q,""),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CSV!AE:AE,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_xlpm.CSVVal,_xlfn.XLOOKUP($A168,CSV!$A:$A,CSV!AG:AG,""),
_xlpm.MacVal,_xlfn.XLOOKUP($A168,Output_Mac!$A:$A,Output_Mac!T:T,""),
_xlpm.MyAuditVal,_xlfn.XLOOKUP($A168,My_Audit!$A:$A,My_Audit!O:O,""),
_xlfn.IFS(_xlpm.MyAuditVal&lt;&gt;"",UPPER(_xlpm.MyAuditVal),_xlpm.MacVal&lt;&gt;"",_xlpm.MacVal,_xlpm.CSVVal&lt;&gt;"",_xlpm.CSVVal
)),"")</f>
        <v/>
      </c>
      <c r="O168" s="46" t="str">
        <f>_xlfn.XLOOKUP(C168,My_Audit!B:B,My_Audit!P:P,"")&amp;""</f>
        <v/>
      </c>
      <c r="P168" s="45"/>
      <c r="Q168" s="46" t="str">
        <f>IF(LEFT(N168,4)="Pass","Nist SP 800-88",My_Audit!R168)&amp;""</f>
        <v/>
      </c>
      <c r="R168" s="45"/>
      <c r="S168" s="45"/>
      <c r="T168" s="46" t="str">
        <f>_xlfn.XLOOKUP(E168,Models!I:I,Models!J:J,"")</f>
        <v/>
      </c>
      <c r="U168" s="45"/>
      <c r="V168" s="45"/>
      <c r="W168" s="38" t="str">
        <f>_xlfn.LET(
    _xlpm.MacVal, _xlfn.XLOOKUP($A168, Output_Mac!$A:$A, Output_Mac!AA:AA, ""),
    _xlpm.MyAuditVal, _xlfn.XLOOKUP($A168, My_Audit!$A:$A, My_Audit!L:L, ""),
    _xlfn.TEXTJOIN(", ", TRUE, _xlpm.MyAuditVal, _xlpm.MacVal)
)</f>
        <v/>
      </c>
    </row>
    <row r="169" spans="1:23">
      <c r="A169" s="45" t="str">
        <f>_xlfn.TEXTJOIN("",TRUE,Input!$B$2,ROW(My_Audit!A168))</f>
        <v>CC168</v>
      </c>
      <c r="B169" s="45" t="str">
        <f>_xlfn.TEXTJOIN("-",TRUE,"ITD",Input!$A$2,A169)</f>
        <v>ITD-XXX-CC168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_xlpm.CSVVal,_xlfn.XLOOKUP($A169,CSV!$A:$A,CSV!C:C,""),
_xlpm.MacVal,_xlfn.XLOOKUP($A169,Output_Mac!$A:$A,Output_Mac!D:D,""),
_xlpm.MyAuditVal,_xlfn.XLOOKUP($A169,My_Audit!$A:$A,My_Audit!C:C,""),
_xlfn.IFS(_xlpm.MyAuditVal&lt;&gt;"",UPPER(_xlpm.MyAuditVal),_xlpm.MacVal&lt;&gt;"",_xlpm.MacVal,_xlpm.CSVVal&lt;&gt;"",_xlpm.CSVVal
)),"")</f>
        <v/>
      </c>
      <c r="E169" s="46" t="str" cm="1">
        <f t="array" ref="E169">IFERROR(_xlfn.LET(
_xlpm.CSVVal,_xlfn.XLOOKUP($A169,CSV!$A:$A,CSV!E:E,""),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_xlpm.CSVVal,_xlfn.XLOOKUP($A169,CSV!$A:$A,CSV!G:G,""),
_xlpm.MacVal,_xlfn.XLOOKUP($A169,Output_Mac!$A:$A,Output_Mac!G:G,""),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_xlfn.XLOOKUP(A169,Output_Mac!A:A,Output_Mac!H:H,"")</f>
        <v/>
      </c>
      <c r="I169" s="45" t="str" cm="1">
        <f t="array" ref="I169">IFERROR(_xlfn.LET(
_xlpm.CSVVal,_xlfn.XLOOKUP($A169,CSV!$A:$A,CSV!H:H,""),
_xlpm.MacVal,_xlfn.XLOOKUP($A169,Output_Mac!$A:$A,Output_Mac!I:I,""),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_xlpm.CSVVal,_xlfn.XLOOKUP($A169,CSV!$A:$A,CSV!J:J,""),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6" t="str" cm="1">
        <f t="array" ref="K169">IFERROR(_xlfn.LET(
_xlpm.CSVVal,_xlfn.XLOOKUP($A169,CSV!$A:$A,CSV!N:N,""),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_xlpm.CSVVal,_xlfn.XLOOKUP($A169,CSV!$A:$A,CSV!Q:Q,""),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CSV!AE:AE,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_xlpm.CSVVal,_xlfn.XLOOKUP($A169,CSV!$A:$A,CSV!AG:AG,""),
_xlpm.MacVal,_xlfn.XLOOKUP($A169,Output_Mac!$A:$A,Output_Mac!T:T,""),
_xlpm.MyAuditVal,_xlfn.XLOOKUP($A169,My_Audit!$A:$A,My_Audit!O:O,""),
_xlfn.IFS(_xlpm.MyAuditVal&lt;&gt;"",UPPER(_xlpm.MyAuditVal),_xlpm.MacVal&lt;&gt;"",_xlpm.MacVal,_xlpm.CSVVal&lt;&gt;"",_xlpm.CSVVal
)),"")</f>
        <v/>
      </c>
      <c r="O169" s="46" t="str">
        <f>_xlfn.XLOOKUP(C169,My_Audit!B:B,My_Audit!P:P,"")&amp;""</f>
        <v/>
      </c>
      <c r="P169" s="45"/>
      <c r="Q169" s="46" t="str">
        <f>IF(LEFT(N169,4)="Pass","Nist SP 800-88",My_Audit!R169)&amp;""</f>
        <v/>
      </c>
      <c r="R169" s="45"/>
      <c r="S169" s="45"/>
      <c r="T169" s="46" t="str">
        <f>_xlfn.XLOOKUP(E169,Models!I:I,Models!J:J,"")</f>
        <v/>
      </c>
      <c r="U169" s="45"/>
      <c r="V169" s="45"/>
      <c r="W169" s="38" t="str">
        <f>_xlfn.LET(
    _xlpm.MacVal, _xlfn.XLOOKUP($A169, Output_Mac!$A:$A, Output_Mac!AA:AA, ""),
    _xlpm.MyAuditVal, _xlfn.XLOOKUP($A169, My_Audit!$A:$A, My_Audit!L:L, ""),
    _xlfn.TEXTJOIN(", ", TRUE, _xlpm.MyAuditVal, _xlpm.MacVal)
)</f>
        <v/>
      </c>
    </row>
    <row r="170" spans="1:23">
      <c r="A170" s="45" t="str">
        <f>_xlfn.TEXTJOIN("",TRUE,Input!$B$2,ROW(My_Audit!A169))</f>
        <v>CC169</v>
      </c>
      <c r="B170" s="45" t="str">
        <f>_xlfn.TEXTJOIN("-",TRUE,"ITD",Input!$A$2,A170)</f>
        <v>ITD-XXX-CC169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 cm="1">
        <f t="array" ref="D170">IFERROR(_xlfn.LET(
_xlpm.CSVVal,_xlfn.XLOOKUP($A170,CSV!$A:$A,CSV!C:C,""),
_xlpm.MacVal,_xlfn.XLOOKUP($A170,Output_Mac!$A:$A,Output_Mac!D:D,""),
_xlpm.MyAuditVal,_xlfn.XLOOKUP($A170,My_Audit!$A:$A,My_Audit!C:C,""),
_xlfn.IFS(_xlpm.MyAuditVal&lt;&gt;"",UPPER(_xlpm.MyAuditVal),_xlpm.MacVal&lt;&gt;"",_xlpm.MacVal,_xlpm.CSVVal&lt;&gt;"",_xlpm.CSVVal
)),"")</f>
        <v/>
      </c>
      <c r="E170" s="46" t="str" cm="1">
        <f t="array" ref="E170">IFERROR(_xlfn.LET(
_xlpm.CSVVal,_xlfn.XLOOKUP($A170,CSV!$A:$A,CSV!E:E,""),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_xlpm.CSVVal,_xlfn.XLOOKUP($A170,CSV!$A:$A,CSV!G:G,""),
_xlpm.MacVal,_xlfn.XLOOKUP($A170,Output_Mac!$A:$A,Output_Mac!G:G,""),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_xlfn.XLOOKUP(A170,Output_Mac!A:A,Output_Mac!H:H,"")</f>
        <v/>
      </c>
      <c r="I170" s="45" t="str" cm="1">
        <f t="array" ref="I170">IFERROR(_xlfn.LET(
_xlpm.CSVVal,_xlfn.XLOOKUP($A170,CSV!$A:$A,CSV!H:H,""),
_xlpm.MacVal,_xlfn.XLOOKUP($A170,Output_Mac!$A:$A,Output_Mac!I:I,""),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_xlpm.CSVVal,_xlfn.XLOOKUP($A170,CSV!$A:$A,CSV!J:J,""),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46" t="str" cm="1">
        <f t="array" ref="K170">IFERROR(_xlfn.LET(
_xlpm.CSVVal,_xlfn.XLOOKUP($A170,CSV!$A:$A,CSV!N:N,""),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_xlpm.CSVVal,_xlfn.XLOOKUP($A170,CSV!$A:$A,CSV!Q:Q,""),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CSV!AE:AE,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_xlpm.CSVVal,_xlfn.XLOOKUP($A170,CSV!$A:$A,CSV!AG:AG,""),
_xlpm.MacVal,_xlfn.XLOOKUP($A170,Output_Mac!$A:$A,Output_Mac!T:T,""),
_xlpm.MyAuditVal,_xlfn.XLOOKUP($A170,My_Audit!$A:$A,My_Audit!O:O,""),
_xlfn.IFS(_xlpm.MyAuditVal&lt;&gt;"",UPPER(_xlpm.MyAuditVal),_xlpm.MacVal&lt;&gt;"",_xlpm.MacVal,_xlpm.CSVVal&lt;&gt;"",_xlpm.CSVVal
)),"")</f>
        <v/>
      </c>
      <c r="O170" s="46" t="str">
        <f>_xlfn.XLOOKUP(C170,My_Audit!B:B,My_Audit!P:P,"")&amp;""</f>
        <v/>
      </c>
      <c r="P170" s="45"/>
      <c r="Q170" s="46" t="str">
        <f>IF(LEFT(N170,4)="Pass","Nist SP 800-88",My_Audit!R170)&amp;""</f>
        <v/>
      </c>
      <c r="R170" s="45"/>
      <c r="S170" s="45"/>
      <c r="T170" s="46" t="str">
        <f>_xlfn.XLOOKUP(E170,Models!I:I,Models!J:J,"")</f>
        <v/>
      </c>
      <c r="U170" s="45"/>
      <c r="V170" s="45"/>
      <c r="W170" s="38" t="str">
        <f>_xlfn.LET(
    _xlpm.MacVal, _xlfn.XLOOKUP($A170, Output_Mac!$A:$A, Output_Mac!AA:AA, ""),
    _xlpm.MyAuditVal, _xlfn.XLOOKUP($A170, My_Audit!$A:$A, My_Audit!L:L, ""),
    _xlfn.TEXTJOIN(", ", TRUE, _xlpm.MyAuditVal, _xlpm.MacVal)
)</f>
        <v/>
      </c>
    </row>
    <row r="171" spans="1:23">
      <c r="A171" s="45" t="str">
        <f>_xlfn.TEXTJOIN("",TRUE,Input!$B$2,ROW(My_Audit!A170))</f>
        <v>CC170</v>
      </c>
      <c r="B171" s="45" t="str">
        <f>_xlfn.TEXTJOIN("-",TRUE,"ITD",Input!$A$2,A171)</f>
        <v>ITD-XXX-CC170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 cm="1">
        <f t="array" ref="D171">IFERROR(_xlfn.LET(
_xlpm.CSVVal,_xlfn.XLOOKUP($A171,CSV!$A:$A,CSV!C:C,""),
_xlpm.MacVal,_xlfn.XLOOKUP($A171,Output_Mac!$A:$A,Output_Mac!D:D,""),
_xlpm.MyAuditVal,_xlfn.XLOOKUP($A171,My_Audit!$A:$A,My_Audit!C:C,""),
_xlfn.IFS(_xlpm.MyAuditVal&lt;&gt;"",UPPER(_xlpm.MyAuditVal),_xlpm.MacVal&lt;&gt;"",_xlpm.MacVal,_xlpm.CSVVal&lt;&gt;"",_xlpm.CSVVal
)),"")</f>
        <v/>
      </c>
      <c r="E171" s="46" t="str" cm="1">
        <f t="array" ref="E171">IFERROR(_xlfn.LET(
_xlpm.CSVVal,_xlfn.XLOOKUP($A171,CSV!$A:$A,CSV!E:E,""),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_xlpm.CSVVal,_xlfn.XLOOKUP($A171,CSV!$A:$A,CSV!G:G,""),
_xlpm.MacVal,_xlfn.XLOOKUP($A171,Output_Mac!$A:$A,Output_Mac!G:G,""),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_xlfn.XLOOKUP(A171,Output_Mac!A:A,Output_Mac!H:H,"")</f>
        <v/>
      </c>
      <c r="I171" s="45" t="str" cm="1">
        <f t="array" ref="I171">IFERROR(_xlfn.LET(
_xlpm.CSVVal,_xlfn.XLOOKUP($A171,CSV!$A:$A,CSV!H:H,""),
_xlpm.MacVal,_xlfn.XLOOKUP($A171,Output_Mac!$A:$A,Output_Mac!I:I,""),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_xlpm.CSVVal,_xlfn.XLOOKUP($A171,CSV!$A:$A,CSV!J:J,""),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46" t="str" cm="1">
        <f t="array" ref="K171">IFERROR(_xlfn.LET(
_xlpm.CSVVal,_xlfn.XLOOKUP($A171,CSV!$A:$A,CSV!N:N,""),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_xlpm.CSVVal,_xlfn.XLOOKUP($A171,CSV!$A:$A,CSV!Q:Q,""),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CSV!AE:AE,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_xlpm.CSVVal,_xlfn.XLOOKUP($A171,CSV!$A:$A,CSV!AG:AG,""),
_xlpm.MacVal,_xlfn.XLOOKUP($A171,Output_Mac!$A:$A,Output_Mac!T:T,""),
_xlpm.MyAuditVal,_xlfn.XLOOKUP($A171,My_Audit!$A:$A,My_Audit!O:O,""),
_xlfn.IFS(_xlpm.MyAuditVal&lt;&gt;"",UPPER(_xlpm.MyAuditVal),_xlpm.MacVal&lt;&gt;"",_xlpm.MacVal,_xlpm.CSVVal&lt;&gt;"",_xlpm.CSVVal
)),"")</f>
        <v/>
      </c>
      <c r="O171" s="46" t="str">
        <f>_xlfn.XLOOKUP(C171,My_Audit!B:B,My_Audit!P:P,"")&amp;""</f>
        <v/>
      </c>
      <c r="P171" s="45"/>
      <c r="Q171" s="46" t="str">
        <f>IF(LEFT(N171,4)="Pass","Nist SP 800-88",My_Audit!R171)&amp;""</f>
        <v/>
      </c>
      <c r="R171" s="45"/>
      <c r="S171" s="45"/>
      <c r="T171" s="46" t="str">
        <f>_xlfn.XLOOKUP(E171,Models!I:I,Models!J:J,"")</f>
        <v/>
      </c>
      <c r="U171" s="45"/>
      <c r="V171" s="45"/>
      <c r="W171" s="38" t="str">
        <f>_xlfn.LET(
    _xlpm.MacVal, _xlfn.XLOOKUP($A171, Output_Mac!$A:$A, Output_Mac!AA:AA, ""),
    _xlpm.MyAuditVal, _xlfn.XLOOKUP($A171, My_Audit!$A:$A, My_Audit!L:L, ""),
    _xlfn.TEXTJOIN(", ", TRUE, _xlpm.MyAuditVal, _xlpm.MacVal)
)</f>
        <v/>
      </c>
    </row>
    <row r="172" spans="1:23">
      <c r="A172" s="45" t="str">
        <f>_xlfn.TEXTJOIN("",TRUE,Input!$B$2,ROW(My_Audit!A171))</f>
        <v>CC171</v>
      </c>
      <c r="B172" s="45" t="str">
        <f>_xlfn.TEXTJOIN("-",TRUE,"ITD",Input!$A$2,A172)</f>
        <v>ITD-XXX-CC171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 cm="1">
        <f t="array" ref="D172">IFERROR(_xlfn.LET(
_xlpm.CSVVal,_xlfn.XLOOKUP($A172,CSV!$A:$A,CSV!C:C,""),
_xlpm.MacVal,_xlfn.XLOOKUP($A172,Output_Mac!$A:$A,Output_Mac!D:D,""),
_xlpm.MyAuditVal,_xlfn.XLOOKUP($A172,My_Audit!$A:$A,My_Audit!C:C,""),
_xlfn.IFS(_xlpm.MyAuditVal&lt;&gt;"",UPPER(_xlpm.MyAuditVal),_xlpm.MacVal&lt;&gt;"",_xlpm.MacVal,_xlpm.CSVVal&lt;&gt;"",_xlpm.CSVVal
)),"")</f>
        <v/>
      </c>
      <c r="E172" s="46" t="str" cm="1">
        <f t="array" ref="E172">IFERROR(_xlfn.LET(
_xlpm.CSVVal,_xlfn.XLOOKUP($A172,CSV!$A:$A,CSV!E:E,""),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_xlpm.CSVVal,_xlfn.XLOOKUP($A172,CSV!$A:$A,CSV!G:G,""),
_xlpm.MacVal,_xlfn.XLOOKUP($A172,Output_Mac!$A:$A,Output_Mac!G:G,""),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_xlfn.XLOOKUP(A172,Output_Mac!A:A,Output_Mac!H:H,"")</f>
        <v/>
      </c>
      <c r="I172" s="45" t="str" cm="1">
        <f t="array" ref="I172">IFERROR(_xlfn.LET(
_xlpm.CSVVal,_xlfn.XLOOKUP($A172,CSV!$A:$A,CSV!H:H,""),
_xlpm.MacVal,_xlfn.XLOOKUP($A172,Output_Mac!$A:$A,Output_Mac!I:I,""),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_xlpm.CSVVal,_xlfn.XLOOKUP($A172,CSV!$A:$A,CSV!J:J,""),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46" t="str" cm="1">
        <f t="array" ref="K172">IFERROR(_xlfn.LET(
_xlpm.CSVVal,_xlfn.XLOOKUP($A172,CSV!$A:$A,CSV!N:N,""),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_xlpm.CSVVal,_xlfn.XLOOKUP($A172,CSV!$A:$A,CSV!Q:Q,""),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CSV!AE:AE,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_xlpm.CSVVal,_xlfn.XLOOKUP($A172,CSV!$A:$A,CSV!AG:AG,""),
_xlpm.MacVal,_xlfn.XLOOKUP($A172,Output_Mac!$A:$A,Output_Mac!T:T,""),
_xlpm.MyAuditVal,_xlfn.XLOOKUP($A172,My_Audit!$A:$A,My_Audit!O:O,""),
_xlfn.IFS(_xlpm.MyAuditVal&lt;&gt;"",UPPER(_xlpm.MyAuditVal),_xlpm.MacVal&lt;&gt;"",_xlpm.MacVal,_xlpm.CSVVal&lt;&gt;"",_xlpm.CSVVal
)),"")</f>
        <v/>
      </c>
      <c r="O172" s="46" t="str">
        <f>_xlfn.XLOOKUP(C172,My_Audit!B:B,My_Audit!P:P,"")&amp;""</f>
        <v/>
      </c>
      <c r="P172" s="45"/>
      <c r="Q172" s="46" t="str">
        <f>IF(LEFT(N172,4)="Pass","Nist SP 800-88",My_Audit!R172)&amp;""</f>
        <v/>
      </c>
      <c r="R172" s="45"/>
      <c r="S172" s="45"/>
      <c r="T172" s="46" t="str">
        <f>_xlfn.XLOOKUP(E172,Models!I:I,Models!J:J,"")</f>
        <v/>
      </c>
      <c r="U172" s="45"/>
      <c r="V172" s="45"/>
      <c r="W172" s="38" t="str">
        <f>_xlfn.LET(
    _xlpm.MacVal, _xlfn.XLOOKUP($A172, Output_Mac!$A:$A, Output_Mac!AA:AA, ""),
    _xlpm.MyAuditVal, _xlfn.XLOOKUP($A172, My_Audit!$A:$A, My_Audit!L:L, ""),
    _xlfn.TEXTJOIN(", ", TRUE, _xlpm.MyAuditVal, _xlpm.MacVal)
)</f>
        <v/>
      </c>
    </row>
    <row r="173" spans="1:23">
      <c r="A173" s="45" t="str">
        <f>_xlfn.TEXTJOIN("",TRUE,Input!$B$2,ROW(My_Audit!A172))</f>
        <v>CC172</v>
      </c>
      <c r="B173" s="45" t="str">
        <f>_xlfn.TEXTJOIN("-",TRUE,"ITD",Input!$A$2,A173)</f>
        <v>ITD-XXX-CC172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 cm="1">
        <f t="array" ref="D173">IFERROR(_xlfn.LET(
_xlpm.CSVVal,_xlfn.XLOOKUP($A173,CSV!$A:$A,CSV!C:C,""),
_xlpm.MacVal,_xlfn.XLOOKUP($A173,Output_Mac!$A:$A,Output_Mac!D:D,""),
_xlpm.MyAuditVal,_xlfn.XLOOKUP($A173,My_Audit!$A:$A,My_Audit!C:C,""),
_xlfn.IFS(_xlpm.MyAuditVal&lt;&gt;"",UPPER(_xlpm.MyAuditVal),_xlpm.MacVal&lt;&gt;"",_xlpm.MacVal,_xlpm.CSVVal&lt;&gt;"",_xlpm.CSVVal
)),"")</f>
        <v/>
      </c>
      <c r="E173" s="46" t="str" cm="1">
        <f t="array" ref="E173">IFERROR(_xlfn.LET(
_xlpm.CSVVal,_xlfn.XLOOKUP($A173,CSV!$A:$A,CSV!E:E,""),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_xlpm.CSVVal,_xlfn.XLOOKUP($A173,CSV!$A:$A,CSV!G:G,""),
_xlpm.MacVal,_xlfn.XLOOKUP($A173,Output_Mac!$A:$A,Output_Mac!G:G,""),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_xlfn.XLOOKUP(A173,Output_Mac!A:A,Output_Mac!H:H,"")</f>
        <v/>
      </c>
      <c r="I173" s="45" t="str" cm="1">
        <f t="array" ref="I173">IFERROR(_xlfn.LET(
_xlpm.CSVVal,_xlfn.XLOOKUP($A173,CSV!$A:$A,CSV!H:H,""),
_xlpm.MacVal,_xlfn.XLOOKUP($A173,Output_Mac!$A:$A,Output_Mac!I:I,""),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_xlpm.CSVVal,_xlfn.XLOOKUP($A173,CSV!$A:$A,CSV!J:J,""),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46" t="str" cm="1">
        <f t="array" ref="K173">IFERROR(_xlfn.LET(
_xlpm.CSVVal,_xlfn.XLOOKUP($A173,CSV!$A:$A,CSV!N:N,""),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_xlpm.CSVVal,_xlfn.XLOOKUP($A173,CSV!$A:$A,CSV!Q:Q,""),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CSV!AE:AE,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_xlpm.CSVVal,_xlfn.XLOOKUP($A173,CSV!$A:$A,CSV!AG:AG,""),
_xlpm.MacVal,_xlfn.XLOOKUP($A173,Output_Mac!$A:$A,Output_Mac!T:T,""),
_xlpm.MyAuditVal,_xlfn.XLOOKUP($A173,My_Audit!$A:$A,My_Audit!O:O,""),
_xlfn.IFS(_xlpm.MyAuditVal&lt;&gt;"",UPPER(_xlpm.MyAuditVal),_xlpm.MacVal&lt;&gt;"",_xlpm.MacVal,_xlpm.CSVVal&lt;&gt;"",_xlpm.CSVVal
)),"")</f>
        <v/>
      </c>
      <c r="O173" s="46" t="str">
        <f>_xlfn.XLOOKUP(C173,My_Audit!B:B,My_Audit!P:P,"")&amp;""</f>
        <v/>
      </c>
      <c r="P173" s="45"/>
      <c r="Q173" s="46" t="str">
        <f>IF(LEFT(N173,4)="Pass","Nist SP 800-88",My_Audit!R173)&amp;""</f>
        <v/>
      </c>
      <c r="R173" s="45"/>
      <c r="S173" s="45"/>
      <c r="T173" s="46" t="str">
        <f>_xlfn.XLOOKUP(E173,Models!I:I,Models!J:J,"")</f>
        <v/>
      </c>
      <c r="U173" s="45"/>
      <c r="V173" s="45"/>
      <c r="W173" s="38" t="str">
        <f>_xlfn.LET(
    _xlpm.MacVal, _xlfn.XLOOKUP($A173, Output_Mac!$A:$A, Output_Mac!AA:AA, ""),
    _xlpm.MyAuditVal, _xlfn.XLOOKUP($A173, My_Audit!$A:$A, My_Audit!L:L, ""),
    _xlfn.TEXTJOIN(", ", TRUE, _xlpm.MyAuditVal, _xlpm.MacVal)
)</f>
        <v/>
      </c>
    </row>
    <row r="174" spans="1:23">
      <c r="A174" s="45" t="str">
        <f>_xlfn.TEXTJOIN("",TRUE,Input!$B$2,ROW(My_Audit!A173))</f>
        <v>CC173</v>
      </c>
      <c r="B174" s="45" t="str">
        <f>_xlfn.TEXTJOIN("-",TRUE,"ITD",Input!$A$2,A174)</f>
        <v>ITD-XXX-CC173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 cm="1">
        <f t="array" ref="D174">IFERROR(_xlfn.LET(
_xlpm.CSVVal,_xlfn.XLOOKUP($A174,CSV!$A:$A,CSV!C:C,""),
_xlpm.MacVal,_xlfn.XLOOKUP($A174,Output_Mac!$A:$A,Output_Mac!D:D,""),
_xlpm.MyAuditVal,_xlfn.XLOOKUP($A174,My_Audit!$A:$A,My_Audit!C:C,""),
_xlfn.IFS(_xlpm.MyAuditVal&lt;&gt;"",UPPER(_xlpm.MyAuditVal),_xlpm.MacVal&lt;&gt;"",_xlpm.MacVal,_xlpm.CSVVal&lt;&gt;"",_xlpm.CSVVal
)),"")</f>
        <v/>
      </c>
      <c r="E174" s="46" t="str" cm="1">
        <f t="array" ref="E174">IFERROR(_xlfn.LET(
_xlpm.CSVVal,_xlfn.XLOOKUP($A174,CSV!$A:$A,CSV!E:E,""),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_xlpm.CSVVal,_xlfn.XLOOKUP($A174,CSV!$A:$A,CSV!G:G,""),
_xlpm.MacVal,_xlfn.XLOOKUP($A174,Output_Mac!$A:$A,Output_Mac!G:G,""),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_xlfn.XLOOKUP(A174,Output_Mac!A:A,Output_Mac!H:H,"")</f>
        <v/>
      </c>
      <c r="I174" s="45" t="str" cm="1">
        <f t="array" ref="I174">IFERROR(_xlfn.LET(
_xlpm.CSVVal,_xlfn.XLOOKUP($A174,CSV!$A:$A,CSV!H:H,""),
_xlpm.MacVal,_xlfn.XLOOKUP($A174,Output_Mac!$A:$A,Output_Mac!I:I,""),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_xlpm.CSVVal,_xlfn.XLOOKUP($A174,CSV!$A:$A,CSV!J:J,""),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46" t="str" cm="1">
        <f t="array" ref="K174">IFERROR(_xlfn.LET(
_xlpm.CSVVal,_xlfn.XLOOKUP($A174,CSV!$A:$A,CSV!N:N,""),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_xlpm.CSVVal,_xlfn.XLOOKUP($A174,CSV!$A:$A,CSV!Q:Q,""),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CSV!AE:AE,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_xlpm.CSVVal,_xlfn.XLOOKUP($A174,CSV!$A:$A,CSV!AG:AG,""),
_xlpm.MacVal,_xlfn.XLOOKUP($A174,Output_Mac!$A:$A,Output_Mac!T:T,""),
_xlpm.MyAuditVal,_xlfn.XLOOKUP($A174,My_Audit!$A:$A,My_Audit!O:O,""),
_xlfn.IFS(_xlpm.MyAuditVal&lt;&gt;"",UPPER(_xlpm.MyAuditVal),_xlpm.MacVal&lt;&gt;"",_xlpm.MacVal,_xlpm.CSVVal&lt;&gt;"",_xlpm.CSVVal
)),"")</f>
        <v/>
      </c>
      <c r="O174" s="46" t="str">
        <f>_xlfn.XLOOKUP(C174,My_Audit!B:B,My_Audit!P:P,"")&amp;""</f>
        <v/>
      </c>
      <c r="P174" s="45"/>
      <c r="Q174" s="46" t="str">
        <f>IF(LEFT(N174,4)="Pass","Nist SP 800-88",My_Audit!R174)&amp;""</f>
        <v/>
      </c>
      <c r="R174" s="45"/>
      <c r="S174" s="45"/>
      <c r="T174" s="46" t="str">
        <f>_xlfn.XLOOKUP(E174,Models!I:I,Models!J:J,"")</f>
        <v/>
      </c>
      <c r="U174" s="45"/>
      <c r="V174" s="45"/>
      <c r="W174" s="38" t="str">
        <f>_xlfn.LET(
    _xlpm.MacVal, _xlfn.XLOOKUP($A174, Output_Mac!$A:$A, Output_Mac!AA:AA, ""),
    _xlpm.MyAuditVal, _xlfn.XLOOKUP($A174, My_Audit!$A:$A, My_Audit!L:L, ""),
    _xlfn.TEXTJOIN(", ", TRUE, _xlpm.MyAuditVal, _xlpm.MacVal)
)</f>
        <v/>
      </c>
    </row>
    <row r="175" spans="1:23">
      <c r="A175" s="45" t="str">
        <f>_xlfn.TEXTJOIN("",TRUE,Input!$B$2,ROW(My_Audit!A174))</f>
        <v>CC174</v>
      </c>
      <c r="B175" s="45" t="str">
        <f>_xlfn.TEXTJOIN("-",TRUE,"ITD",Input!$A$2,A175)</f>
        <v>ITD-XXX-CC174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 cm="1">
        <f t="array" ref="D175">IFERROR(_xlfn.LET(
_xlpm.CSVVal,_xlfn.XLOOKUP($A175,CSV!$A:$A,CSV!C:C,""),
_xlpm.MacVal,_xlfn.XLOOKUP($A175,Output_Mac!$A:$A,Output_Mac!D:D,""),
_xlpm.MyAuditVal,_xlfn.XLOOKUP($A175,My_Audit!$A:$A,My_Audit!C:C,""),
_xlfn.IFS(_xlpm.MyAuditVal&lt;&gt;"",UPPER(_xlpm.MyAuditVal),_xlpm.MacVal&lt;&gt;"",_xlpm.MacVal,_xlpm.CSVVal&lt;&gt;"",_xlpm.CSVVal
)),"")</f>
        <v/>
      </c>
      <c r="E175" s="46" t="str" cm="1">
        <f t="array" ref="E175">IFERROR(_xlfn.LET(
_xlpm.CSVVal,_xlfn.XLOOKUP($A175,CSV!$A:$A,CSV!E:E,""),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_xlpm.CSVVal,_xlfn.XLOOKUP($A175,CSV!$A:$A,CSV!G:G,""),
_xlpm.MacVal,_xlfn.XLOOKUP($A175,Output_Mac!$A:$A,Output_Mac!G:G,""),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_xlfn.XLOOKUP(A175,Output_Mac!A:A,Output_Mac!H:H,"")</f>
        <v/>
      </c>
      <c r="I175" s="45" t="str" cm="1">
        <f t="array" ref="I175">IFERROR(_xlfn.LET(
_xlpm.CSVVal,_xlfn.XLOOKUP($A175,CSV!$A:$A,CSV!H:H,""),
_xlpm.MacVal,_xlfn.XLOOKUP($A175,Output_Mac!$A:$A,Output_Mac!I:I,""),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_xlpm.CSVVal,_xlfn.XLOOKUP($A175,CSV!$A:$A,CSV!J:J,""),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46" t="str" cm="1">
        <f t="array" ref="K175">IFERROR(_xlfn.LET(
_xlpm.CSVVal,_xlfn.XLOOKUP($A175,CSV!$A:$A,CSV!N:N,""),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_xlpm.CSVVal,_xlfn.XLOOKUP($A175,CSV!$A:$A,CSV!Q:Q,""),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CSV!AE:AE,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_xlpm.CSVVal,_xlfn.XLOOKUP($A175,CSV!$A:$A,CSV!AG:AG,""),
_xlpm.MacVal,_xlfn.XLOOKUP($A175,Output_Mac!$A:$A,Output_Mac!T:T,""),
_xlpm.MyAuditVal,_xlfn.XLOOKUP($A175,My_Audit!$A:$A,My_Audit!O:O,""),
_xlfn.IFS(_xlpm.MyAuditVal&lt;&gt;"",UPPER(_xlpm.MyAuditVal),_xlpm.MacVal&lt;&gt;"",_xlpm.MacVal,_xlpm.CSVVal&lt;&gt;"",_xlpm.CSVVal
)),"")</f>
        <v/>
      </c>
      <c r="O175" s="46" t="str">
        <f>_xlfn.XLOOKUP(C175,My_Audit!B:B,My_Audit!P:P,"")&amp;""</f>
        <v/>
      </c>
      <c r="P175" s="45"/>
      <c r="Q175" s="46" t="str">
        <f>IF(LEFT(N175,4)="Pass","Nist SP 800-88",My_Audit!R175)&amp;""</f>
        <v/>
      </c>
      <c r="R175" s="45"/>
      <c r="S175" s="45"/>
      <c r="T175" s="46" t="str">
        <f>_xlfn.XLOOKUP(E175,Models!I:I,Models!J:J,"")</f>
        <v/>
      </c>
      <c r="U175" s="45"/>
      <c r="V175" s="45"/>
      <c r="W175" s="38" t="str">
        <f>_xlfn.LET(
    _xlpm.MacVal, _xlfn.XLOOKUP($A175, Output_Mac!$A:$A, Output_Mac!AA:AA, ""),
    _xlpm.MyAuditVal, _xlfn.XLOOKUP($A175, My_Audit!$A:$A, My_Audit!L:L, ""),
    _xlfn.TEXTJOIN(", ", TRUE, _xlpm.MyAuditVal, _xlpm.MacVal)
)</f>
        <v/>
      </c>
    </row>
    <row r="176" spans="1:23">
      <c r="A176" s="45" t="str">
        <f>_xlfn.TEXTJOIN("",TRUE,Input!$B$2,ROW(My_Audit!A175))</f>
        <v>CC175</v>
      </c>
      <c r="B176" s="45" t="str">
        <f>_xlfn.TEXTJOIN("-",TRUE,"ITD",Input!$A$2,A176)</f>
        <v>ITD-XXX-CC175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 cm="1">
        <f t="array" ref="D176">IFERROR(_xlfn.LET(
_xlpm.CSVVal,_xlfn.XLOOKUP($A176,CSV!$A:$A,CSV!C:C,""),
_xlpm.MacVal,_xlfn.XLOOKUP($A176,Output_Mac!$A:$A,Output_Mac!D:D,""),
_xlpm.MyAuditVal,_xlfn.XLOOKUP($A176,My_Audit!$A:$A,My_Audit!C:C,""),
_xlfn.IFS(_xlpm.MyAuditVal&lt;&gt;"",UPPER(_xlpm.MyAuditVal),_xlpm.MacVal&lt;&gt;"",_xlpm.MacVal,_xlpm.CSVVal&lt;&gt;"",_xlpm.CSVVal
)),"")</f>
        <v/>
      </c>
      <c r="E176" s="46" t="str" cm="1">
        <f t="array" ref="E176">IFERROR(_xlfn.LET(
_xlpm.CSVVal,_xlfn.XLOOKUP($A176,CSV!$A:$A,CSV!E:E,""),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_xlpm.CSVVal,_xlfn.XLOOKUP($A176,CSV!$A:$A,CSV!G:G,""),
_xlpm.MacVal,_xlfn.XLOOKUP($A176,Output_Mac!$A:$A,Output_Mac!G:G,""),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_xlfn.XLOOKUP(A176,Output_Mac!A:A,Output_Mac!H:H,"")</f>
        <v/>
      </c>
      <c r="I176" s="45" t="str" cm="1">
        <f t="array" ref="I176">IFERROR(_xlfn.LET(
_xlpm.CSVVal,_xlfn.XLOOKUP($A176,CSV!$A:$A,CSV!H:H,""),
_xlpm.MacVal,_xlfn.XLOOKUP($A176,Output_Mac!$A:$A,Output_Mac!I:I,""),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_xlpm.CSVVal,_xlfn.XLOOKUP($A176,CSV!$A:$A,CSV!J:J,""),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46" t="str" cm="1">
        <f t="array" ref="K176">IFERROR(_xlfn.LET(
_xlpm.CSVVal,_xlfn.XLOOKUP($A176,CSV!$A:$A,CSV!N:N,""),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_xlpm.CSVVal,_xlfn.XLOOKUP($A176,CSV!$A:$A,CSV!Q:Q,""),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CSV!AE:AE,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_xlpm.CSVVal,_xlfn.XLOOKUP($A176,CSV!$A:$A,CSV!AG:AG,""),
_xlpm.MacVal,_xlfn.XLOOKUP($A176,Output_Mac!$A:$A,Output_Mac!T:T,""),
_xlpm.MyAuditVal,_xlfn.XLOOKUP($A176,My_Audit!$A:$A,My_Audit!O:O,""),
_xlfn.IFS(_xlpm.MyAuditVal&lt;&gt;"",UPPER(_xlpm.MyAuditVal),_xlpm.MacVal&lt;&gt;"",_xlpm.MacVal,_xlpm.CSVVal&lt;&gt;"",_xlpm.CSVVal
)),"")</f>
        <v/>
      </c>
      <c r="O176" s="46" t="str">
        <f>_xlfn.XLOOKUP(C176,My_Audit!B:B,My_Audit!P:P,"")&amp;""</f>
        <v/>
      </c>
      <c r="P176" s="45"/>
      <c r="Q176" s="46" t="str">
        <f>IF(LEFT(N176,4)="Pass","Nist SP 800-88",My_Audit!R176)&amp;""</f>
        <v/>
      </c>
      <c r="R176" s="45"/>
      <c r="S176" s="45"/>
      <c r="T176" s="46" t="str">
        <f>_xlfn.XLOOKUP(E176,Models!I:I,Models!J:J,"")</f>
        <v/>
      </c>
      <c r="U176" s="45"/>
      <c r="V176" s="45"/>
      <c r="W176" s="38" t="str">
        <f>_xlfn.LET(
    _xlpm.MacVal, _xlfn.XLOOKUP($A176, Output_Mac!$A:$A, Output_Mac!AA:AA, ""),
    _xlpm.MyAuditVal, _xlfn.XLOOKUP($A176, My_Audit!$A:$A, My_Audit!L:L, ""),
    _xlfn.TEXTJOIN(", ", TRUE, _xlpm.MyAuditVal, _xlpm.MacVal)
)</f>
        <v/>
      </c>
    </row>
    <row r="177" spans="1:23">
      <c r="A177" s="45" t="str">
        <f>_xlfn.TEXTJOIN("",TRUE,Input!$B$2,ROW(My_Audit!A176))</f>
        <v>CC176</v>
      </c>
      <c r="B177" s="45" t="str">
        <f>_xlfn.TEXTJOIN("-",TRUE,"ITD",Input!$A$2,A177)</f>
        <v>ITD-XXX-CC176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 cm="1">
        <f t="array" ref="D177">IFERROR(_xlfn.LET(
_xlpm.CSVVal,_xlfn.XLOOKUP($A177,CSV!$A:$A,CSV!C:C,""),
_xlpm.MacVal,_xlfn.XLOOKUP($A177,Output_Mac!$A:$A,Output_Mac!D:D,""),
_xlpm.MyAuditVal,_xlfn.XLOOKUP($A177,My_Audit!$A:$A,My_Audit!C:C,""),
_xlfn.IFS(_xlpm.MyAuditVal&lt;&gt;"",UPPER(_xlpm.MyAuditVal),_xlpm.MacVal&lt;&gt;"",_xlpm.MacVal,_xlpm.CSVVal&lt;&gt;"",_xlpm.CSVVal
)),"")</f>
        <v/>
      </c>
      <c r="E177" s="46" t="str" cm="1">
        <f t="array" ref="E177">IFERROR(_xlfn.LET(
_xlpm.CSVVal,_xlfn.XLOOKUP($A177,CSV!$A:$A,CSV!E:E,""),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_xlpm.CSVVal,_xlfn.XLOOKUP($A177,CSV!$A:$A,CSV!G:G,""),
_xlpm.MacVal,_xlfn.XLOOKUP($A177,Output_Mac!$A:$A,Output_Mac!G:G,""),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_xlfn.XLOOKUP(A177,Output_Mac!A:A,Output_Mac!H:H,"")</f>
        <v/>
      </c>
      <c r="I177" s="45" t="str" cm="1">
        <f t="array" ref="I177">IFERROR(_xlfn.LET(
_xlpm.CSVVal,_xlfn.XLOOKUP($A177,CSV!$A:$A,CSV!H:H,""),
_xlpm.MacVal,_xlfn.XLOOKUP($A177,Output_Mac!$A:$A,Output_Mac!I:I,""),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_xlpm.CSVVal,_xlfn.XLOOKUP($A177,CSV!$A:$A,CSV!J:J,""),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46" t="str" cm="1">
        <f t="array" ref="K177">IFERROR(_xlfn.LET(
_xlpm.CSVVal,_xlfn.XLOOKUP($A177,CSV!$A:$A,CSV!N:N,""),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_xlpm.CSVVal,_xlfn.XLOOKUP($A177,CSV!$A:$A,CSV!Q:Q,""),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CSV!AE:AE,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_xlpm.CSVVal,_xlfn.XLOOKUP($A177,CSV!$A:$A,CSV!AG:AG,""),
_xlpm.MacVal,_xlfn.XLOOKUP($A177,Output_Mac!$A:$A,Output_Mac!T:T,""),
_xlpm.MyAuditVal,_xlfn.XLOOKUP($A177,My_Audit!$A:$A,My_Audit!O:O,""),
_xlfn.IFS(_xlpm.MyAuditVal&lt;&gt;"",UPPER(_xlpm.MyAuditVal),_xlpm.MacVal&lt;&gt;"",_xlpm.MacVal,_xlpm.CSVVal&lt;&gt;"",_xlpm.CSVVal
)),"")</f>
        <v/>
      </c>
      <c r="O177" s="46" t="str">
        <f>_xlfn.XLOOKUP(C177,My_Audit!B:B,My_Audit!P:P,"")&amp;""</f>
        <v/>
      </c>
      <c r="P177" s="45"/>
      <c r="Q177" s="46" t="str">
        <f>IF(LEFT(N177,4)="Pass","Nist SP 800-88",My_Audit!R177)&amp;""</f>
        <v/>
      </c>
      <c r="R177" s="45"/>
      <c r="S177" s="45"/>
      <c r="T177" s="46" t="str">
        <f>_xlfn.XLOOKUP(E177,Models!I:I,Models!J:J,"")</f>
        <v/>
      </c>
      <c r="U177" s="45"/>
      <c r="V177" s="45"/>
      <c r="W177" s="38" t="str">
        <f>_xlfn.LET(
    _xlpm.MacVal, _xlfn.XLOOKUP($A177, Output_Mac!$A:$A, Output_Mac!AA:AA, ""),
    _xlpm.MyAuditVal, _xlfn.XLOOKUP($A177, My_Audit!$A:$A, My_Audit!L:L, ""),
    _xlfn.TEXTJOIN(", ", TRUE, _xlpm.MyAuditVal, _xlpm.MacVal)
)</f>
        <v/>
      </c>
    </row>
    <row r="178" spans="1:23">
      <c r="A178" s="45" t="str">
        <f>_xlfn.TEXTJOIN("",TRUE,Input!$B$2,ROW(My_Audit!A177))</f>
        <v>CC177</v>
      </c>
      <c r="B178" s="45" t="str">
        <f>_xlfn.TEXTJOIN("-",TRUE,"ITD",Input!$A$2,A178)</f>
        <v>ITD-XXX-CC177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 cm="1">
        <f t="array" ref="D178">IFERROR(_xlfn.LET(
_xlpm.CSVVal,_xlfn.XLOOKUP($A178,CSV!$A:$A,CSV!C:C,""),
_xlpm.MacVal,_xlfn.XLOOKUP($A178,Output_Mac!$A:$A,Output_Mac!D:D,""),
_xlpm.MyAuditVal,_xlfn.XLOOKUP($A178,My_Audit!$A:$A,My_Audit!C:C,""),
_xlfn.IFS(_xlpm.MyAuditVal&lt;&gt;"",UPPER(_xlpm.MyAuditVal),_xlpm.MacVal&lt;&gt;"",_xlpm.MacVal,_xlpm.CSVVal&lt;&gt;"",_xlpm.CSVVal
)),"")</f>
        <v/>
      </c>
      <c r="E178" s="46" t="str" cm="1">
        <f t="array" ref="E178">IFERROR(_xlfn.LET(
_xlpm.CSVVal,_xlfn.XLOOKUP($A178,CSV!$A:$A,CSV!E:E,""),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_xlpm.CSVVal,_xlfn.XLOOKUP($A178,CSV!$A:$A,CSV!G:G,""),
_xlpm.MacVal,_xlfn.XLOOKUP($A178,Output_Mac!$A:$A,Output_Mac!G:G,""),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_xlfn.XLOOKUP(A178,Output_Mac!A:A,Output_Mac!H:H,"")</f>
        <v/>
      </c>
      <c r="I178" s="45" t="str" cm="1">
        <f t="array" ref="I178">IFERROR(_xlfn.LET(
_xlpm.CSVVal,_xlfn.XLOOKUP($A178,CSV!$A:$A,CSV!H:H,""),
_xlpm.MacVal,_xlfn.XLOOKUP($A178,Output_Mac!$A:$A,Output_Mac!I:I,""),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_xlpm.CSVVal,_xlfn.XLOOKUP($A178,CSV!$A:$A,CSV!J:J,""),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46" t="str" cm="1">
        <f t="array" ref="K178">IFERROR(_xlfn.LET(
_xlpm.CSVVal,_xlfn.XLOOKUP($A178,CSV!$A:$A,CSV!N:N,""),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_xlpm.CSVVal,_xlfn.XLOOKUP($A178,CSV!$A:$A,CSV!Q:Q,""),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CSV!AE:AE,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_xlpm.CSVVal,_xlfn.XLOOKUP($A178,CSV!$A:$A,CSV!AG:AG,""),
_xlpm.MacVal,_xlfn.XLOOKUP($A178,Output_Mac!$A:$A,Output_Mac!T:T,""),
_xlpm.MyAuditVal,_xlfn.XLOOKUP($A178,My_Audit!$A:$A,My_Audit!O:O,""),
_xlfn.IFS(_xlpm.MyAuditVal&lt;&gt;"",UPPER(_xlpm.MyAuditVal),_xlpm.MacVal&lt;&gt;"",_xlpm.MacVal,_xlpm.CSVVal&lt;&gt;"",_xlpm.CSVVal
)),"")</f>
        <v/>
      </c>
      <c r="O178" s="46" t="str">
        <f>_xlfn.XLOOKUP(C178,My_Audit!B:B,My_Audit!P:P,"")&amp;""</f>
        <v/>
      </c>
      <c r="P178" s="45"/>
      <c r="Q178" s="46" t="str">
        <f>IF(LEFT(N178,4)="Pass","Nist SP 800-88",My_Audit!R178)&amp;""</f>
        <v/>
      </c>
      <c r="R178" s="45"/>
      <c r="S178" s="45"/>
      <c r="T178" s="46" t="str">
        <f>_xlfn.XLOOKUP(E178,Models!I:I,Models!J:J,"")</f>
        <v/>
      </c>
      <c r="U178" s="45"/>
      <c r="V178" s="45"/>
      <c r="W178" s="38" t="str">
        <f>_xlfn.LET(
    _xlpm.MacVal, _xlfn.XLOOKUP($A178, Output_Mac!$A:$A, Output_Mac!AA:AA, ""),
    _xlpm.MyAuditVal, _xlfn.XLOOKUP($A178, My_Audit!$A:$A, My_Audit!L:L, ""),
    _xlfn.TEXTJOIN(", ", TRUE, _xlpm.MyAuditVal, _xlpm.MacVal)
)</f>
        <v/>
      </c>
    </row>
    <row r="179" spans="1:23">
      <c r="A179" s="45" t="str">
        <f>_xlfn.TEXTJOIN("",TRUE,Input!$B$2,ROW(My_Audit!A178))</f>
        <v>CC178</v>
      </c>
      <c r="B179" s="45" t="str">
        <f>_xlfn.TEXTJOIN("-",TRUE,"ITD",Input!$A$2,A179)</f>
        <v>ITD-XXX-CC178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 cm="1">
        <f t="array" ref="D179">IFERROR(_xlfn.LET(
_xlpm.CSVVal,_xlfn.XLOOKUP($A179,CSV!$A:$A,CSV!C:C,""),
_xlpm.MacVal,_xlfn.XLOOKUP($A179,Output_Mac!$A:$A,Output_Mac!D:D,""),
_xlpm.MyAuditVal,_xlfn.XLOOKUP($A179,My_Audit!$A:$A,My_Audit!C:C,""),
_xlfn.IFS(_xlpm.MyAuditVal&lt;&gt;"",UPPER(_xlpm.MyAuditVal),_xlpm.MacVal&lt;&gt;"",_xlpm.MacVal,_xlpm.CSVVal&lt;&gt;"",_xlpm.CSVVal
)),"")</f>
        <v/>
      </c>
      <c r="E179" s="46" t="str" cm="1">
        <f t="array" ref="E179">IFERROR(_xlfn.LET(
_xlpm.CSVVal,_xlfn.XLOOKUP($A179,CSV!$A:$A,CSV!E:E,""),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_xlpm.CSVVal,_xlfn.XLOOKUP($A179,CSV!$A:$A,CSV!G:G,""),
_xlpm.MacVal,_xlfn.XLOOKUP($A179,Output_Mac!$A:$A,Output_Mac!G:G,""),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_xlfn.XLOOKUP(A179,Output_Mac!A:A,Output_Mac!H:H,"")</f>
        <v/>
      </c>
      <c r="I179" s="45" t="str" cm="1">
        <f t="array" ref="I179">IFERROR(_xlfn.LET(
_xlpm.CSVVal,_xlfn.XLOOKUP($A179,CSV!$A:$A,CSV!H:H,""),
_xlpm.MacVal,_xlfn.XLOOKUP($A179,Output_Mac!$A:$A,Output_Mac!I:I,""),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_xlpm.CSVVal,_xlfn.XLOOKUP($A179,CSV!$A:$A,CSV!J:J,""),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46" t="str" cm="1">
        <f t="array" ref="K179">IFERROR(_xlfn.LET(
_xlpm.CSVVal,_xlfn.XLOOKUP($A179,CSV!$A:$A,CSV!N:N,""),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_xlpm.CSVVal,_xlfn.XLOOKUP($A179,CSV!$A:$A,CSV!Q:Q,""),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CSV!AE:AE,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_xlpm.CSVVal,_xlfn.XLOOKUP($A179,CSV!$A:$A,CSV!AG:AG,""),
_xlpm.MacVal,_xlfn.XLOOKUP($A179,Output_Mac!$A:$A,Output_Mac!T:T,""),
_xlpm.MyAuditVal,_xlfn.XLOOKUP($A179,My_Audit!$A:$A,My_Audit!O:O,""),
_xlfn.IFS(_xlpm.MyAuditVal&lt;&gt;"",UPPER(_xlpm.MyAuditVal),_xlpm.MacVal&lt;&gt;"",_xlpm.MacVal,_xlpm.CSVVal&lt;&gt;"",_xlpm.CSVVal
)),"")</f>
        <v/>
      </c>
      <c r="O179" s="46" t="str">
        <f>_xlfn.XLOOKUP(C179,My_Audit!B:B,My_Audit!P:P,"")&amp;""</f>
        <v/>
      </c>
      <c r="P179" s="45"/>
      <c r="Q179" s="46" t="str">
        <f>IF(LEFT(N179,4)="Pass","Nist SP 800-88",My_Audit!R179)&amp;""</f>
        <v/>
      </c>
      <c r="R179" s="45"/>
      <c r="S179" s="45"/>
      <c r="T179" s="46" t="str">
        <f>_xlfn.XLOOKUP(E179,Models!I:I,Models!J:J,"")</f>
        <v/>
      </c>
      <c r="U179" s="45"/>
      <c r="V179" s="45"/>
      <c r="W179" s="38" t="str">
        <f>_xlfn.LET(
    _xlpm.MacVal, _xlfn.XLOOKUP($A179, Output_Mac!$A:$A, Output_Mac!AA:AA, ""),
    _xlpm.MyAuditVal, _xlfn.XLOOKUP($A179, My_Audit!$A:$A, My_Audit!L:L, ""),
    _xlfn.TEXTJOIN(", ", TRUE, _xlpm.MyAuditVal, _xlpm.MacVal)
)</f>
        <v/>
      </c>
    </row>
    <row r="180" spans="1:23">
      <c r="A180" s="45" t="str">
        <f>_xlfn.TEXTJOIN("",TRUE,Input!$B$2,ROW(My_Audit!A179))</f>
        <v>CC179</v>
      </c>
      <c r="B180" s="45" t="str">
        <f>_xlfn.TEXTJOIN("-",TRUE,"ITD",Input!$A$2,A180)</f>
        <v>ITD-XXX-CC179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 cm="1">
        <f t="array" ref="D180">IFERROR(_xlfn.LET(
_xlpm.CSVVal,_xlfn.XLOOKUP($A180,CSV!$A:$A,CSV!C:C,""),
_xlpm.MacVal,_xlfn.XLOOKUP($A180,Output_Mac!$A:$A,Output_Mac!D:D,""),
_xlpm.MyAuditVal,_xlfn.XLOOKUP($A180,My_Audit!$A:$A,My_Audit!C:C,""),
_xlfn.IFS(_xlpm.MyAuditVal&lt;&gt;"",UPPER(_xlpm.MyAuditVal),_xlpm.MacVal&lt;&gt;"",_xlpm.MacVal,_xlpm.CSVVal&lt;&gt;"",_xlpm.CSVVal
)),"")</f>
        <v/>
      </c>
      <c r="E180" s="46" t="str" cm="1">
        <f t="array" ref="E180">IFERROR(_xlfn.LET(
_xlpm.CSVVal,_xlfn.XLOOKUP($A180,CSV!$A:$A,CSV!E:E,""),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_xlpm.CSVVal,_xlfn.XLOOKUP($A180,CSV!$A:$A,CSV!G:G,""),
_xlpm.MacVal,_xlfn.XLOOKUP($A180,Output_Mac!$A:$A,Output_Mac!G:G,""),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_xlfn.XLOOKUP(A180,Output_Mac!A:A,Output_Mac!H:H,"")</f>
        <v/>
      </c>
      <c r="I180" s="45" t="str" cm="1">
        <f t="array" ref="I180">IFERROR(_xlfn.LET(
_xlpm.CSVVal,_xlfn.XLOOKUP($A180,CSV!$A:$A,CSV!H:H,""),
_xlpm.MacVal,_xlfn.XLOOKUP($A180,Output_Mac!$A:$A,Output_Mac!I:I,""),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_xlpm.CSVVal,_xlfn.XLOOKUP($A180,CSV!$A:$A,CSV!J:J,""),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46" t="str" cm="1">
        <f t="array" ref="K180">IFERROR(_xlfn.LET(
_xlpm.CSVVal,_xlfn.XLOOKUP($A180,CSV!$A:$A,CSV!N:N,""),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_xlpm.CSVVal,_xlfn.XLOOKUP($A180,CSV!$A:$A,CSV!Q:Q,""),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CSV!AE:AE,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_xlpm.CSVVal,_xlfn.XLOOKUP($A180,CSV!$A:$A,CSV!AG:AG,""),
_xlpm.MacVal,_xlfn.XLOOKUP($A180,Output_Mac!$A:$A,Output_Mac!T:T,""),
_xlpm.MyAuditVal,_xlfn.XLOOKUP($A180,My_Audit!$A:$A,My_Audit!O:O,""),
_xlfn.IFS(_xlpm.MyAuditVal&lt;&gt;"",UPPER(_xlpm.MyAuditVal),_xlpm.MacVal&lt;&gt;"",_xlpm.MacVal,_xlpm.CSVVal&lt;&gt;"",_xlpm.CSVVal
)),"")</f>
        <v/>
      </c>
      <c r="O180" s="46" t="str">
        <f>_xlfn.XLOOKUP(C180,My_Audit!B:B,My_Audit!P:P,"")&amp;""</f>
        <v/>
      </c>
      <c r="P180" s="45"/>
      <c r="Q180" s="46" t="str">
        <f>IF(LEFT(N180,4)="Pass","Nist SP 800-88",My_Audit!R180)&amp;""</f>
        <v/>
      </c>
      <c r="R180" s="45"/>
      <c r="S180" s="45"/>
      <c r="T180" s="46" t="str">
        <f>_xlfn.XLOOKUP(E180,Models!I:I,Models!J:J,"")</f>
        <v/>
      </c>
      <c r="U180" s="45"/>
      <c r="V180" s="45"/>
      <c r="W180" s="38" t="str">
        <f>_xlfn.LET(
    _xlpm.MacVal, _xlfn.XLOOKUP($A180, Output_Mac!$A:$A, Output_Mac!AA:AA, ""),
    _xlpm.MyAuditVal, _xlfn.XLOOKUP($A180, My_Audit!$A:$A, My_Audit!L:L, ""),
    _xlfn.TEXTJOIN(", ", TRUE, _xlpm.MyAuditVal, _xlpm.MacVal)
)</f>
        <v/>
      </c>
    </row>
    <row r="181" spans="1:23">
      <c r="A181" s="45" t="str">
        <f>_xlfn.TEXTJOIN("",TRUE,Input!$B$2,ROW(My_Audit!A180))</f>
        <v>CC180</v>
      </c>
      <c r="B181" s="45" t="str">
        <f>_xlfn.TEXTJOIN("-",TRUE,"ITD",Input!$A$2,A181)</f>
        <v>ITD-XXX-CC180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 cm="1">
        <f t="array" ref="D181">IFERROR(_xlfn.LET(
_xlpm.CSVVal,_xlfn.XLOOKUP($A181,CSV!$A:$A,CSV!C:C,""),
_xlpm.MacVal,_xlfn.XLOOKUP($A181,Output_Mac!$A:$A,Output_Mac!D:D,""),
_xlpm.MyAuditVal,_xlfn.XLOOKUP($A181,My_Audit!$A:$A,My_Audit!C:C,""),
_xlfn.IFS(_xlpm.MyAuditVal&lt;&gt;"",UPPER(_xlpm.MyAuditVal),_xlpm.MacVal&lt;&gt;"",_xlpm.MacVal,_xlpm.CSVVal&lt;&gt;"",_xlpm.CSVVal
)),"")</f>
        <v/>
      </c>
      <c r="E181" s="46" t="str" cm="1">
        <f t="array" ref="E181">IFERROR(_xlfn.LET(
_xlpm.CSVVal,_xlfn.XLOOKUP($A181,CSV!$A:$A,CSV!E:E,""),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_xlpm.CSVVal,_xlfn.XLOOKUP($A181,CSV!$A:$A,CSV!G:G,""),
_xlpm.MacVal,_xlfn.XLOOKUP($A181,Output_Mac!$A:$A,Output_Mac!G:G,""),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_xlfn.XLOOKUP(A181,Output_Mac!A:A,Output_Mac!H:H,"")</f>
        <v/>
      </c>
      <c r="I181" s="45" t="str" cm="1">
        <f t="array" ref="I181">IFERROR(_xlfn.LET(
_xlpm.CSVVal,_xlfn.XLOOKUP($A181,CSV!$A:$A,CSV!H:H,""),
_xlpm.MacVal,_xlfn.XLOOKUP($A181,Output_Mac!$A:$A,Output_Mac!I:I,""),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_xlpm.CSVVal,_xlfn.XLOOKUP($A181,CSV!$A:$A,CSV!J:J,""),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46" t="str" cm="1">
        <f t="array" ref="K181">IFERROR(_xlfn.LET(
_xlpm.CSVVal,_xlfn.XLOOKUP($A181,CSV!$A:$A,CSV!N:N,""),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_xlpm.CSVVal,_xlfn.XLOOKUP($A181,CSV!$A:$A,CSV!Q:Q,""),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CSV!AE:AE,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_xlpm.CSVVal,_xlfn.XLOOKUP($A181,CSV!$A:$A,CSV!AG:AG,""),
_xlpm.MacVal,_xlfn.XLOOKUP($A181,Output_Mac!$A:$A,Output_Mac!T:T,""),
_xlpm.MyAuditVal,_xlfn.XLOOKUP($A181,My_Audit!$A:$A,My_Audit!O:O,""),
_xlfn.IFS(_xlpm.MyAuditVal&lt;&gt;"",UPPER(_xlpm.MyAuditVal),_xlpm.MacVal&lt;&gt;"",_xlpm.MacVal,_xlpm.CSVVal&lt;&gt;"",_xlpm.CSVVal
)),"")</f>
        <v/>
      </c>
      <c r="O181" s="46" t="str">
        <f>_xlfn.XLOOKUP(C181,My_Audit!B:B,My_Audit!P:P,"")&amp;""</f>
        <v/>
      </c>
      <c r="P181" s="45"/>
      <c r="Q181" s="46" t="str">
        <f>IF(LEFT(N181,4)="Pass","Nist SP 800-88",My_Audit!R181)&amp;""</f>
        <v/>
      </c>
      <c r="R181" s="45"/>
      <c r="S181" s="45"/>
      <c r="T181" s="46" t="str">
        <f>_xlfn.XLOOKUP(E181,Models!I:I,Models!J:J,"")</f>
        <v/>
      </c>
      <c r="U181" s="45"/>
      <c r="V181" s="45"/>
      <c r="W181" s="38" t="str">
        <f>_xlfn.LET(
    _xlpm.MacVal, _xlfn.XLOOKUP($A181, Output_Mac!$A:$A, Output_Mac!AA:AA, ""),
    _xlpm.MyAuditVal, _xlfn.XLOOKUP($A181, My_Audit!$A:$A, My_Audit!L:L, ""),
    _xlfn.TEXTJOIN(", ", TRUE, _xlpm.MyAuditVal, _xlpm.MacVal)
)</f>
        <v/>
      </c>
    </row>
    <row r="182" spans="1:23">
      <c r="A182" s="45" t="str">
        <f>_xlfn.TEXTJOIN("",TRUE,Input!$B$2,ROW(My_Audit!A181))</f>
        <v>CC181</v>
      </c>
      <c r="B182" s="45" t="str">
        <f>_xlfn.TEXTJOIN("-",TRUE,"ITD",Input!$A$2,A182)</f>
        <v>ITD-XXX-CC181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 cm="1">
        <f t="array" ref="D182">IFERROR(_xlfn.LET(
_xlpm.CSVVal,_xlfn.XLOOKUP($A182,CSV!$A:$A,CSV!C:C,""),
_xlpm.MacVal,_xlfn.XLOOKUP($A182,Output_Mac!$A:$A,Output_Mac!D:D,""),
_xlpm.MyAuditVal,_xlfn.XLOOKUP($A182,My_Audit!$A:$A,My_Audit!C:C,""),
_xlfn.IFS(_xlpm.MyAuditVal&lt;&gt;"",UPPER(_xlpm.MyAuditVal),_xlpm.MacVal&lt;&gt;"",_xlpm.MacVal,_xlpm.CSVVal&lt;&gt;"",_xlpm.CSVVal
)),"")</f>
        <v/>
      </c>
      <c r="E182" s="46" t="str" cm="1">
        <f t="array" ref="E182">IFERROR(_xlfn.LET(
_xlpm.CSVVal,_xlfn.XLOOKUP($A182,CSV!$A:$A,CSV!E:E,""),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_xlpm.CSVVal,_xlfn.XLOOKUP($A182,CSV!$A:$A,CSV!G:G,""),
_xlpm.MacVal,_xlfn.XLOOKUP($A182,Output_Mac!$A:$A,Output_Mac!G:G,""),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_xlfn.XLOOKUP(A182,Output_Mac!A:A,Output_Mac!H:H,"")</f>
        <v/>
      </c>
      <c r="I182" s="45" t="str" cm="1">
        <f t="array" ref="I182">IFERROR(_xlfn.LET(
_xlpm.CSVVal,_xlfn.XLOOKUP($A182,CSV!$A:$A,CSV!H:H,""),
_xlpm.MacVal,_xlfn.XLOOKUP($A182,Output_Mac!$A:$A,Output_Mac!I:I,""),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_xlpm.CSVVal,_xlfn.XLOOKUP($A182,CSV!$A:$A,CSV!J:J,""),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46" t="str" cm="1">
        <f t="array" ref="K182">IFERROR(_xlfn.LET(
_xlpm.CSVVal,_xlfn.XLOOKUP($A182,CSV!$A:$A,CSV!N:N,""),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_xlpm.CSVVal,_xlfn.XLOOKUP($A182,CSV!$A:$A,CSV!Q:Q,""),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CSV!AE:AE,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_xlpm.CSVVal,_xlfn.XLOOKUP($A182,CSV!$A:$A,CSV!AG:AG,""),
_xlpm.MacVal,_xlfn.XLOOKUP($A182,Output_Mac!$A:$A,Output_Mac!T:T,""),
_xlpm.MyAuditVal,_xlfn.XLOOKUP($A182,My_Audit!$A:$A,My_Audit!O:O,""),
_xlfn.IFS(_xlpm.MyAuditVal&lt;&gt;"",UPPER(_xlpm.MyAuditVal),_xlpm.MacVal&lt;&gt;"",_xlpm.MacVal,_xlpm.CSVVal&lt;&gt;"",_xlpm.CSVVal
)),"")</f>
        <v/>
      </c>
      <c r="O182" s="46" t="str">
        <f>_xlfn.XLOOKUP(C182,My_Audit!B:B,My_Audit!P:P,"")&amp;""</f>
        <v/>
      </c>
      <c r="P182" s="45"/>
      <c r="Q182" s="46" t="str">
        <f>IF(LEFT(N182,4)="Pass","Nist SP 800-88",My_Audit!R182)&amp;""</f>
        <v/>
      </c>
      <c r="R182" s="45"/>
      <c r="S182" s="45"/>
      <c r="T182" s="46" t="str">
        <f>_xlfn.XLOOKUP(E182,Models!I:I,Models!J:J,"")</f>
        <v/>
      </c>
      <c r="U182" s="45"/>
      <c r="V182" s="45"/>
      <c r="W182" s="38" t="str">
        <f>_xlfn.LET(
    _xlpm.MacVal, _xlfn.XLOOKUP($A182, Output_Mac!$A:$A, Output_Mac!AA:AA, ""),
    _xlpm.MyAuditVal, _xlfn.XLOOKUP($A182, My_Audit!$A:$A, My_Audit!L:L, ""),
    _xlfn.TEXTJOIN(", ", TRUE, _xlpm.MyAuditVal, _xlpm.MacVal)
)</f>
        <v/>
      </c>
    </row>
    <row r="183" spans="1:23">
      <c r="A183" s="45" t="str">
        <f>_xlfn.TEXTJOIN("",TRUE,Input!$B$2,ROW(My_Audit!A182))</f>
        <v>CC182</v>
      </c>
      <c r="B183" s="45" t="str">
        <f>_xlfn.TEXTJOIN("-",TRUE,"ITD",Input!$A$2,A183)</f>
        <v>ITD-XXX-CC182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 cm="1">
        <f t="array" ref="D183">IFERROR(_xlfn.LET(
_xlpm.CSVVal,_xlfn.XLOOKUP($A183,CSV!$A:$A,CSV!C:C,""),
_xlpm.MacVal,_xlfn.XLOOKUP($A183,Output_Mac!$A:$A,Output_Mac!D:D,""),
_xlpm.MyAuditVal,_xlfn.XLOOKUP($A183,My_Audit!$A:$A,My_Audit!C:C,""),
_xlfn.IFS(_xlpm.MyAuditVal&lt;&gt;"",UPPER(_xlpm.MyAuditVal),_xlpm.MacVal&lt;&gt;"",_xlpm.MacVal,_xlpm.CSVVal&lt;&gt;"",_xlpm.CSVVal
)),"")</f>
        <v/>
      </c>
      <c r="E183" s="46" t="str" cm="1">
        <f t="array" ref="E183">IFERROR(_xlfn.LET(
_xlpm.CSVVal,_xlfn.XLOOKUP($A183,CSV!$A:$A,CSV!E:E,""),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_xlpm.CSVVal,_xlfn.XLOOKUP($A183,CSV!$A:$A,CSV!G:G,""),
_xlpm.MacVal,_xlfn.XLOOKUP($A183,Output_Mac!$A:$A,Output_Mac!G:G,""),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_xlfn.XLOOKUP(A183,Output_Mac!A:A,Output_Mac!H:H,"")</f>
        <v/>
      </c>
      <c r="I183" s="45" t="str" cm="1">
        <f t="array" ref="I183">IFERROR(_xlfn.LET(
_xlpm.CSVVal,_xlfn.XLOOKUP($A183,CSV!$A:$A,CSV!H:H,""),
_xlpm.MacVal,_xlfn.XLOOKUP($A183,Output_Mac!$A:$A,Output_Mac!I:I,""),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_xlpm.CSVVal,_xlfn.XLOOKUP($A183,CSV!$A:$A,CSV!J:J,""),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46" t="str" cm="1">
        <f t="array" ref="K183">IFERROR(_xlfn.LET(
_xlpm.CSVVal,_xlfn.XLOOKUP($A183,CSV!$A:$A,CSV!N:N,""),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_xlpm.CSVVal,_xlfn.XLOOKUP($A183,CSV!$A:$A,CSV!Q:Q,""),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CSV!AE:AE,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_xlpm.CSVVal,_xlfn.XLOOKUP($A183,CSV!$A:$A,CSV!AG:AG,""),
_xlpm.MacVal,_xlfn.XLOOKUP($A183,Output_Mac!$A:$A,Output_Mac!T:T,""),
_xlpm.MyAuditVal,_xlfn.XLOOKUP($A183,My_Audit!$A:$A,My_Audit!O:O,""),
_xlfn.IFS(_xlpm.MyAuditVal&lt;&gt;"",UPPER(_xlpm.MyAuditVal),_xlpm.MacVal&lt;&gt;"",_xlpm.MacVal,_xlpm.CSVVal&lt;&gt;"",_xlpm.CSVVal
)),"")</f>
        <v/>
      </c>
      <c r="O183" s="46" t="str">
        <f>_xlfn.XLOOKUP(C183,My_Audit!B:B,My_Audit!P:P,"")&amp;""</f>
        <v/>
      </c>
      <c r="P183" s="45"/>
      <c r="Q183" s="46" t="str">
        <f>IF(LEFT(N183,4)="Pass","Nist SP 800-88",My_Audit!R183)&amp;""</f>
        <v/>
      </c>
      <c r="R183" s="45"/>
      <c r="S183" s="45"/>
      <c r="T183" s="46" t="str">
        <f>_xlfn.XLOOKUP(E183,Models!I:I,Models!J:J,"")</f>
        <v/>
      </c>
      <c r="U183" s="45"/>
      <c r="V183" s="45"/>
      <c r="W183" s="38" t="str">
        <f>_xlfn.LET(
    _xlpm.MacVal, _xlfn.XLOOKUP($A183, Output_Mac!$A:$A, Output_Mac!AA:AA, ""),
    _xlpm.MyAuditVal, _xlfn.XLOOKUP($A183, My_Audit!$A:$A, My_Audit!L:L, ""),
    _xlfn.TEXTJOIN(", ", TRUE, _xlpm.MyAuditVal, _xlpm.MacVal)
)</f>
        <v/>
      </c>
    </row>
    <row r="184" spans="1:23">
      <c r="A184" s="45" t="str">
        <f>_xlfn.TEXTJOIN("",TRUE,Input!$B$2,ROW(My_Audit!A183))</f>
        <v>CC183</v>
      </c>
      <c r="B184" s="45" t="str">
        <f>_xlfn.TEXTJOIN("-",TRUE,"ITD",Input!$A$2,A184)</f>
        <v>ITD-XXX-CC183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 cm="1">
        <f t="array" ref="D184">IFERROR(_xlfn.LET(
_xlpm.CSVVal,_xlfn.XLOOKUP($A184,CSV!$A:$A,CSV!C:C,""),
_xlpm.MacVal,_xlfn.XLOOKUP($A184,Output_Mac!$A:$A,Output_Mac!D:D,""),
_xlpm.MyAuditVal,_xlfn.XLOOKUP($A184,My_Audit!$A:$A,My_Audit!C:C,""),
_xlfn.IFS(_xlpm.MyAuditVal&lt;&gt;"",UPPER(_xlpm.MyAuditVal),_xlpm.MacVal&lt;&gt;"",_xlpm.MacVal,_xlpm.CSVVal&lt;&gt;"",_xlpm.CSVVal
)),"")</f>
        <v/>
      </c>
      <c r="E184" s="46" t="str" cm="1">
        <f t="array" ref="E184">IFERROR(_xlfn.LET(
_xlpm.CSVVal,_xlfn.XLOOKUP($A184,CSV!$A:$A,CSV!E:E,""),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_xlpm.CSVVal,_xlfn.XLOOKUP($A184,CSV!$A:$A,CSV!G:G,""),
_xlpm.MacVal,_xlfn.XLOOKUP($A184,Output_Mac!$A:$A,Output_Mac!G:G,""),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_xlfn.XLOOKUP(A184,Output_Mac!A:A,Output_Mac!H:H,"")</f>
        <v/>
      </c>
      <c r="I184" s="45" t="str" cm="1">
        <f t="array" ref="I184">IFERROR(_xlfn.LET(
_xlpm.CSVVal,_xlfn.XLOOKUP($A184,CSV!$A:$A,CSV!H:H,""),
_xlpm.MacVal,_xlfn.XLOOKUP($A184,Output_Mac!$A:$A,Output_Mac!I:I,""),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_xlpm.CSVVal,_xlfn.XLOOKUP($A184,CSV!$A:$A,CSV!J:J,""),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46" t="str" cm="1">
        <f t="array" ref="K184">IFERROR(_xlfn.LET(
_xlpm.CSVVal,_xlfn.XLOOKUP($A184,CSV!$A:$A,CSV!N:N,""),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_xlpm.CSVVal,_xlfn.XLOOKUP($A184,CSV!$A:$A,CSV!Q:Q,""),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CSV!AE:AE,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_xlpm.CSVVal,_xlfn.XLOOKUP($A184,CSV!$A:$A,CSV!AG:AG,""),
_xlpm.MacVal,_xlfn.XLOOKUP($A184,Output_Mac!$A:$A,Output_Mac!T:T,""),
_xlpm.MyAuditVal,_xlfn.XLOOKUP($A184,My_Audit!$A:$A,My_Audit!O:O,""),
_xlfn.IFS(_xlpm.MyAuditVal&lt;&gt;"",UPPER(_xlpm.MyAuditVal),_xlpm.MacVal&lt;&gt;"",_xlpm.MacVal,_xlpm.CSVVal&lt;&gt;"",_xlpm.CSVVal
)),"")</f>
        <v/>
      </c>
      <c r="O184" s="46" t="str">
        <f>_xlfn.XLOOKUP(C184,My_Audit!B:B,My_Audit!P:P,"")&amp;""</f>
        <v/>
      </c>
      <c r="P184" s="45"/>
      <c r="Q184" s="46" t="str">
        <f>IF(LEFT(N184,4)="Pass","Nist SP 800-88",My_Audit!R184)&amp;""</f>
        <v/>
      </c>
      <c r="R184" s="45"/>
      <c r="S184" s="45"/>
      <c r="T184" s="46" t="str">
        <f>_xlfn.XLOOKUP(E184,Models!I:I,Models!J:J,"")</f>
        <v/>
      </c>
      <c r="U184" s="45"/>
      <c r="V184" s="45"/>
      <c r="W184" s="38" t="str">
        <f>_xlfn.LET(
    _xlpm.MacVal, _xlfn.XLOOKUP($A184, Output_Mac!$A:$A, Output_Mac!AA:AA, ""),
    _xlpm.MyAuditVal, _xlfn.XLOOKUP($A184, My_Audit!$A:$A, My_Audit!L:L, ""),
    _xlfn.TEXTJOIN(", ", TRUE, _xlpm.MyAuditVal, _xlpm.MacVal)
)</f>
        <v/>
      </c>
    </row>
    <row r="185" spans="1:23">
      <c r="A185" s="45" t="str">
        <f>_xlfn.TEXTJOIN("",TRUE,Input!$B$2,ROW(My_Audit!A184))</f>
        <v>CC184</v>
      </c>
      <c r="B185" s="45" t="str">
        <f>_xlfn.TEXTJOIN("-",TRUE,"ITD",Input!$A$2,A185)</f>
        <v>ITD-XXX-CC184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 cm="1">
        <f t="array" ref="D185">IFERROR(_xlfn.LET(
_xlpm.CSVVal,_xlfn.XLOOKUP($A185,CSV!$A:$A,CSV!C:C,""),
_xlpm.MacVal,_xlfn.XLOOKUP($A185,Output_Mac!$A:$A,Output_Mac!D:D,""),
_xlpm.MyAuditVal,_xlfn.XLOOKUP($A185,My_Audit!$A:$A,My_Audit!C:C,""),
_xlfn.IFS(_xlpm.MyAuditVal&lt;&gt;"",UPPER(_xlpm.MyAuditVal),_xlpm.MacVal&lt;&gt;"",_xlpm.MacVal,_xlpm.CSVVal&lt;&gt;"",_xlpm.CSVVal
)),"")</f>
        <v/>
      </c>
      <c r="E185" s="46" t="str" cm="1">
        <f t="array" ref="E185">IFERROR(_xlfn.LET(
_xlpm.CSVVal,_xlfn.XLOOKUP($A185,CSV!$A:$A,CSV!E:E,""),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_xlpm.CSVVal,_xlfn.XLOOKUP($A185,CSV!$A:$A,CSV!G:G,""),
_xlpm.MacVal,_xlfn.XLOOKUP($A185,Output_Mac!$A:$A,Output_Mac!G:G,""),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_xlfn.XLOOKUP(A185,Output_Mac!A:A,Output_Mac!H:H,"")</f>
        <v/>
      </c>
      <c r="I185" s="45" t="str" cm="1">
        <f t="array" ref="I185">IFERROR(_xlfn.LET(
_xlpm.CSVVal,_xlfn.XLOOKUP($A185,CSV!$A:$A,CSV!H:H,""),
_xlpm.MacVal,_xlfn.XLOOKUP($A185,Output_Mac!$A:$A,Output_Mac!I:I,""),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_xlpm.CSVVal,_xlfn.XLOOKUP($A185,CSV!$A:$A,CSV!J:J,""),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46" t="str" cm="1">
        <f t="array" ref="K185">IFERROR(_xlfn.LET(
_xlpm.CSVVal,_xlfn.XLOOKUP($A185,CSV!$A:$A,CSV!N:N,""),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_xlpm.CSVVal,_xlfn.XLOOKUP($A185,CSV!$A:$A,CSV!Q:Q,""),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CSV!AE:AE,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_xlpm.CSVVal,_xlfn.XLOOKUP($A185,CSV!$A:$A,CSV!AG:AG,""),
_xlpm.MacVal,_xlfn.XLOOKUP($A185,Output_Mac!$A:$A,Output_Mac!T:T,""),
_xlpm.MyAuditVal,_xlfn.XLOOKUP($A185,My_Audit!$A:$A,My_Audit!O:O,""),
_xlfn.IFS(_xlpm.MyAuditVal&lt;&gt;"",UPPER(_xlpm.MyAuditVal),_xlpm.MacVal&lt;&gt;"",_xlpm.MacVal,_xlpm.CSVVal&lt;&gt;"",_xlpm.CSVVal
)),"")</f>
        <v/>
      </c>
      <c r="O185" s="46" t="str">
        <f>_xlfn.XLOOKUP(C185,My_Audit!B:B,My_Audit!P:P,"")&amp;""</f>
        <v/>
      </c>
      <c r="P185" s="45"/>
      <c r="Q185" s="46" t="str">
        <f>IF(LEFT(N185,4)="Pass","Nist SP 800-88",My_Audit!R185)&amp;""</f>
        <v/>
      </c>
      <c r="R185" s="45"/>
      <c r="S185" s="45"/>
      <c r="T185" s="46" t="str">
        <f>_xlfn.XLOOKUP(E185,Models!I:I,Models!J:J,"")</f>
        <v/>
      </c>
      <c r="U185" s="45"/>
      <c r="V185" s="45"/>
      <c r="W185" s="38" t="str">
        <f>_xlfn.LET(
    _xlpm.MacVal, _xlfn.XLOOKUP($A185, Output_Mac!$A:$A, Output_Mac!AA:AA, ""),
    _xlpm.MyAuditVal, _xlfn.XLOOKUP($A185, My_Audit!$A:$A, My_Audit!L:L, ""),
    _xlfn.TEXTJOIN(", ", TRUE, _xlpm.MyAuditVal, _xlpm.MacVal)
)</f>
        <v/>
      </c>
    </row>
    <row r="186" spans="1:23">
      <c r="A186" s="45" t="str">
        <f>_xlfn.TEXTJOIN("",TRUE,Input!$B$2,ROW(My_Audit!A185))</f>
        <v>CC185</v>
      </c>
      <c r="B186" s="45" t="str">
        <f>_xlfn.TEXTJOIN("-",TRUE,"ITD",Input!$A$2,A186)</f>
        <v>ITD-XXX-CC185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 cm="1">
        <f t="array" ref="D186">IFERROR(_xlfn.LET(
_xlpm.CSVVal,_xlfn.XLOOKUP($A186,CSV!$A:$A,CSV!C:C,""),
_xlpm.MacVal,_xlfn.XLOOKUP($A186,Output_Mac!$A:$A,Output_Mac!D:D,""),
_xlpm.MyAuditVal,_xlfn.XLOOKUP($A186,My_Audit!$A:$A,My_Audit!C:C,""),
_xlfn.IFS(_xlpm.MyAuditVal&lt;&gt;"",UPPER(_xlpm.MyAuditVal),_xlpm.MacVal&lt;&gt;"",_xlpm.MacVal,_xlpm.CSVVal&lt;&gt;"",_xlpm.CSVVal
)),"")</f>
        <v/>
      </c>
      <c r="E186" s="46" t="str" cm="1">
        <f t="array" ref="E186">IFERROR(_xlfn.LET(
_xlpm.CSVVal,_xlfn.XLOOKUP($A186,CSV!$A:$A,CSV!E:E,""),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_xlpm.CSVVal,_xlfn.XLOOKUP($A186,CSV!$A:$A,CSV!G:G,""),
_xlpm.MacVal,_xlfn.XLOOKUP($A186,Output_Mac!$A:$A,Output_Mac!G:G,""),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_xlfn.XLOOKUP(A186,Output_Mac!A:A,Output_Mac!H:H,"")</f>
        <v/>
      </c>
      <c r="I186" s="45" t="str" cm="1">
        <f t="array" ref="I186">IFERROR(_xlfn.LET(
_xlpm.CSVVal,_xlfn.XLOOKUP($A186,CSV!$A:$A,CSV!H:H,""),
_xlpm.MacVal,_xlfn.XLOOKUP($A186,Output_Mac!$A:$A,Output_Mac!I:I,""),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_xlpm.CSVVal,_xlfn.XLOOKUP($A186,CSV!$A:$A,CSV!J:J,""),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46" t="str" cm="1">
        <f t="array" ref="K186">IFERROR(_xlfn.LET(
_xlpm.CSVVal,_xlfn.XLOOKUP($A186,CSV!$A:$A,CSV!N:N,""),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_xlpm.CSVVal,_xlfn.XLOOKUP($A186,CSV!$A:$A,CSV!Q:Q,""),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CSV!AE:AE,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_xlpm.CSVVal,_xlfn.XLOOKUP($A186,CSV!$A:$A,CSV!AG:AG,""),
_xlpm.MacVal,_xlfn.XLOOKUP($A186,Output_Mac!$A:$A,Output_Mac!T:T,""),
_xlpm.MyAuditVal,_xlfn.XLOOKUP($A186,My_Audit!$A:$A,My_Audit!O:O,""),
_xlfn.IFS(_xlpm.MyAuditVal&lt;&gt;"",UPPER(_xlpm.MyAuditVal),_xlpm.MacVal&lt;&gt;"",_xlpm.MacVal,_xlpm.CSVVal&lt;&gt;"",_xlpm.CSVVal
)),"")</f>
        <v/>
      </c>
      <c r="O186" s="46" t="str">
        <f>_xlfn.XLOOKUP(C186,My_Audit!B:B,My_Audit!P:P,"")&amp;""</f>
        <v/>
      </c>
      <c r="P186" s="45"/>
      <c r="Q186" s="46" t="str">
        <f>IF(LEFT(N186,4)="Pass","Nist SP 800-88",My_Audit!R186)&amp;""</f>
        <v/>
      </c>
      <c r="R186" s="45"/>
      <c r="S186" s="45"/>
      <c r="T186" s="46" t="str">
        <f>_xlfn.XLOOKUP(E186,Models!I:I,Models!J:J,"")</f>
        <v/>
      </c>
      <c r="U186" s="45"/>
      <c r="V186" s="45"/>
      <c r="W186" s="38" t="str">
        <f>_xlfn.LET(
    _xlpm.MacVal, _xlfn.XLOOKUP($A186, Output_Mac!$A:$A, Output_Mac!AA:AA, ""),
    _xlpm.MyAuditVal, _xlfn.XLOOKUP($A186, My_Audit!$A:$A, My_Audit!L:L, ""),
    _xlfn.TEXTJOIN(", ", TRUE, _xlpm.MyAuditVal, _xlpm.MacVal)
)</f>
        <v/>
      </c>
    </row>
    <row r="187" spans="1:23">
      <c r="A187" s="45" t="str">
        <f>_xlfn.TEXTJOIN("",TRUE,Input!$B$2,ROW(My_Audit!A186))</f>
        <v>CC186</v>
      </c>
      <c r="B187" s="45" t="str">
        <f>_xlfn.TEXTJOIN("-",TRUE,"ITD",Input!$A$2,A187)</f>
        <v>ITD-XXX-CC186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 cm="1">
        <f t="array" ref="D187">IFERROR(_xlfn.LET(
_xlpm.CSVVal,_xlfn.XLOOKUP($A187,CSV!$A:$A,CSV!C:C,""),
_xlpm.MacVal,_xlfn.XLOOKUP($A187,Output_Mac!$A:$A,Output_Mac!D:D,""),
_xlpm.MyAuditVal,_xlfn.XLOOKUP($A187,My_Audit!$A:$A,My_Audit!C:C,""),
_xlfn.IFS(_xlpm.MyAuditVal&lt;&gt;"",UPPER(_xlpm.MyAuditVal),_xlpm.MacVal&lt;&gt;"",_xlpm.MacVal,_xlpm.CSVVal&lt;&gt;"",_xlpm.CSVVal
)),"")</f>
        <v/>
      </c>
      <c r="E187" s="46" t="str" cm="1">
        <f t="array" ref="E187">IFERROR(_xlfn.LET(
_xlpm.CSVVal,_xlfn.XLOOKUP($A187,CSV!$A:$A,CSV!E:E,""),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_xlpm.CSVVal,_xlfn.XLOOKUP($A187,CSV!$A:$A,CSV!G:G,""),
_xlpm.MacVal,_xlfn.XLOOKUP($A187,Output_Mac!$A:$A,Output_Mac!G:G,""),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_xlfn.XLOOKUP(A187,Output_Mac!A:A,Output_Mac!H:H,"")</f>
        <v/>
      </c>
      <c r="I187" s="45" t="str" cm="1">
        <f t="array" ref="I187">IFERROR(_xlfn.LET(
_xlpm.CSVVal,_xlfn.XLOOKUP($A187,CSV!$A:$A,CSV!H:H,""),
_xlpm.MacVal,_xlfn.XLOOKUP($A187,Output_Mac!$A:$A,Output_Mac!I:I,""),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_xlpm.CSVVal,_xlfn.XLOOKUP($A187,CSV!$A:$A,CSV!J:J,""),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46" t="str" cm="1">
        <f t="array" ref="K187">IFERROR(_xlfn.LET(
_xlpm.CSVVal,_xlfn.XLOOKUP($A187,CSV!$A:$A,CSV!N:N,""),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_xlpm.CSVVal,_xlfn.XLOOKUP($A187,CSV!$A:$A,CSV!Q:Q,""),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CSV!AE:AE,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_xlpm.CSVVal,_xlfn.XLOOKUP($A187,CSV!$A:$A,CSV!AG:AG,""),
_xlpm.MacVal,_xlfn.XLOOKUP($A187,Output_Mac!$A:$A,Output_Mac!T:T,""),
_xlpm.MyAuditVal,_xlfn.XLOOKUP($A187,My_Audit!$A:$A,My_Audit!O:O,""),
_xlfn.IFS(_xlpm.MyAuditVal&lt;&gt;"",UPPER(_xlpm.MyAuditVal),_xlpm.MacVal&lt;&gt;"",_xlpm.MacVal,_xlpm.CSVVal&lt;&gt;"",_xlpm.CSVVal
)),"")</f>
        <v/>
      </c>
      <c r="O187" s="46" t="str">
        <f>_xlfn.XLOOKUP(C187,My_Audit!B:B,My_Audit!P:P,"")&amp;""</f>
        <v/>
      </c>
      <c r="P187" s="45"/>
      <c r="Q187" s="46" t="str">
        <f>IF(LEFT(N187,4)="Pass","Nist SP 800-88",My_Audit!R187)&amp;""</f>
        <v/>
      </c>
      <c r="R187" s="45"/>
      <c r="S187" s="45"/>
      <c r="T187" s="46" t="str">
        <f>_xlfn.XLOOKUP(E187,Models!I:I,Models!J:J,"")</f>
        <v/>
      </c>
      <c r="U187" s="45"/>
      <c r="V187" s="45"/>
      <c r="W187" s="38" t="str">
        <f>_xlfn.LET(
    _xlpm.MacVal, _xlfn.XLOOKUP($A187, Output_Mac!$A:$A, Output_Mac!AA:AA, ""),
    _xlpm.MyAuditVal, _xlfn.XLOOKUP($A187, My_Audit!$A:$A, My_Audit!L:L, ""),
    _xlfn.TEXTJOIN(", ", TRUE, _xlpm.MyAuditVal, _xlpm.MacVal)
)</f>
        <v/>
      </c>
    </row>
    <row r="188" spans="1:23">
      <c r="A188" s="45" t="str">
        <f>_xlfn.TEXTJOIN("",TRUE,Input!$B$2,ROW(My_Audit!A187))</f>
        <v>CC187</v>
      </c>
      <c r="B188" s="45" t="str">
        <f>_xlfn.TEXTJOIN("-",TRUE,"ITD",Input!$A$2,A188)</f>
        <v>ITD-XXX-CC187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 cm="1">
        <f t="array" ref="D188">IFERROR(_xlfn.LET(
_xlpm.CSVVal,_xlfn.XLOOKUP($A188,CSV!$A:$A,CSV!C:C,""),
_xlpm.MacVal,_xlfn.XLOOKUP($A188,Output_Mac!$A:$A,Output_Mac!D:D,""),
_xlpm.MyAuditVal,_xlfn.XLOOKUP($A188,My_Audit!$A:$A,My_Audit!C:C,""),
_xlfn.IFS(_xlpm.MyAuditVal&lt;&gt;"",UPPER(_xlpm.MyAuditVal),_xlpm.MacVal&lt;&gt;"",_xlpm.MacVal,_xlpm.CSVVal&lt;&gt;"",_xlpm.CSVVal
)),"")</f>
        <v/>
      </c>
      <c r="E188" s="46" t="str" cm="1">
        <f t="array" ref="E188">IFERROR(_xlfn.LET(
_xlpm.CSVVal,_xlfn.XLOOKUP($A188,CSV!$A:$A,CSV!E:E,""),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_xlpm.CSVVal,_xlfn.XLOOKUP($A188,CSV!$A:$A,CSV!G:G,""),
_xlpm.MacVal,_xlfn.XLOOKUP($A188,Output_Mac!$A:$A,Output_Mac!G:G,""),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_xlfn.XLOOKUP(A188,Output_Mac!A:A,Output_Mac!H:H,"")</f>
        <v/>
      </c>
      <c r="I188" s="45" t="str" cm="1">
        <f t="array" ref="I188">IFERROR(_xlfn.LET(
_xlpm.CSVVal,_xlfn.XLOOKUP($A188,CSV!$A:$A,CSV!H:H,""),
_xlpm.MacVal,_xlfn.XLOOKUP($A188,Output_Mac!$A:$A,Output_Mac!I:I,""),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_xlpm.CSVVal,_xlfn.XLOOKUP($A188,CSV!$A:$A,CSV!J:J,""),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46" t="str" cm="1">
        <f t="array" ref="K188">IFERROR(_xlfn.LET(
_xlpm.CSVVal,_xlfn.XLOOKUP($A188,CSV!$A:$A,CSV!N:N,""),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_xlpm.CSVVal,_xlfn.XLOOKUP($A188,CSV!$A:$A,CSV!Q:Q,""),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CSV!AE:AE,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_xlpm.CSVVal,_xlfn.XLOOKUP($A188,CSV!$A:$A,CSV!AG:AG,""),
_xlpm.MacVal,_xlfn.XLOOKUP($A188,Output_Mac!$A:$A,Output_Mac!T:T,""),
_xlpm.MyAuditVal,_xlfn.XLOOKUP($A188,My_Audit!$A:$A,My_Audit!O:O,""),
_xlfn.IFS(_xlpm.MyAuditVal&lt;&gt;"",UPPER(_xlpm.MyAuditVal),_xlpm.MacVal&lt;&gt;"",_xlpm.MacVal,_xlpm.CSVVal&lt;&gt;"",_xlpm.CSVVal
)),"")</f>
        <v/>
      </c>
      <c r="O188" s="46" t="str">
        <f>_xlfn.XLOOKUP(C188,My_Audit!B:B,My_Audit!P:P,"")&amp;""</f>
        <v/>
      </c>
      <c r="P188" s="45"/>
      <c r="Q188" s="46" t="str">
        <f>IF(LEFT(N188,4)="Pass","Nist SP 800-88",My_Audit!R188)&amp;""</f>
        <v/>
      </c>
      <c r="R188" s="45"/>
      <c r="S188" s="45"/>
      <c r="T188" s="46" t="str">
        <f>_xlfn.XLOOKUP(E188,Models!I:I,Models!J:J,"")</f>
        <v/>
      </c>
      <c r="U188" s="45"/>
      <c r="V188" s="45"/>
      <c r="W188" s="38" t="str">
        <f>_xlfn.LET(
    _xlpm.MacVal, _xlfn.XLOOKUP($A188, Output_Mac!$A:$A, Output_Mac!AA:AA, ""),
    _xlpm.MyAuditVal, _xlfn.XLOOKUP($A188, My_Audit!$A:$A, My_Audit!L:L, ""),
    _xlfn.TEXTJOIN(", ", TRUE, _xlpm.MyAuditVal, _xlpm.MacVal)
)</f>
        <v/>
      </c>
    </row>
    <row r="189" spans="1:23">
      <c r="A189" s="45" t="str">
        <f>_xlfn.TEXTJOIN("",TRUE,Input!$B$2,ROW(My_Audit!A188))</f>
        <v>CC188</v>
      </c>
      <c r="B189" s="45" t="str">
        <f>_xlfn.TEXTJOIN("-",TRUE,"ITD",Input!$A$2,A189)</f>
        <v>ITD-XXX-CC188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 cm="1">
        <f t="array" ref="D189">IFERROR(_xlfn.LET(
_xlpm.CSVVal,_xlfn.XLOOKUP($A189,CSV!$A:$A,CSV!C:C,""),
_xlpm.MacVal,_xlfn.XLOOKUP($A189,Output_Mac!$A:$A,Output_Mac!D:D,""),
_xlpm.MyAuditVal,_xlfn.XLOOKUP($A189,My_Audit!$A:$A,My_Audit!C:C,""),
_xlfn.IFS(_xlpm.MyAuditVal&lt;&gt;"",UPPER(_xlpm.MyAuditVal),_xlpm.MacVal&lt;&gt;"",_xlpm.MacVal,_xlpm.CSVVal&lt;&gt;"",_xlpm.CSVVal
)),"")</f>
        <v/>
      </c>
      <c r="E189" s="46" t="str" cm="1">
        <f t="array" ref="E189">IFERROR(_xlfn.LET(
_xlpm.CSVVal,_xlfn.XLOOKUP($A189,CSV!$A:$A,CSV!E:E,""),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_xlpm.CSVVal,_xlfn.XLOOKUP($A189,CSV!$A:$A,CSV!G:G,""),
_xlpm.MacVal,_xlfn.XLOOKUP($A189,Output_Mac!$A:$A,Output_Mac!G:G,""),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_xlfn.XLOOKUP(A189,Output_Mac!A:A,Output_Mac!H:H,"")</f>
        <v/>
      </c>
      <c r="I189" s="45" t="str" cm="1">
        <f t="array" ref="I189">IFERROR(_xlfn.LET(
_xlpm.CSVVal,_xlfn.XLOOKUP($A189,CSV!$A:$A,CSV!H:H,""),
_xlpm.MacVal,_xlfn.XLOOKUP($A189,Output_Mac!$A:$A,Output_Mac!I:I,""),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_xlpm.CSVVal,_xlfn.XLOOKUP($A189,CSV!$A:$A,CSV!J:J,""),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46" t="str" cm="1">
        <f t="array" ref="K189">IFERROR(_xlfn.LET(
_xlpm.CSVVal,_xlfn.XLOOKUP($A189,CSV!$A:$A,CSV!N:N,""),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_xlpm.CSVVal,_xlfn.XLOOKUP($A189,CSV!$A:$A,CSV!Q:Q,""),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CSV!AE:AE,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_xlpm.CSVVal,_xlfn.XLOOKUP($A189,CSV!$A:$A,CSV!AG:AG,""),
_xlpm.MacVal,_xlfn.XLOOKUP($A189,Output_Mac!$A:$A,Output_Mac!T:T,""),
_xlpm.MyAuditVal,_xlfn.XLOOKUP($A189,My_Audit!$A:$A,My_Audit!O:O,""),
_xlfn.IFS(_xlpm.MyAuditVal&lt;&gt;"",UPPER(_xlpm.MyAuditVal),_xlpm.MacVal&lt;&gt;"",_xlpm.MacVal,_xlpm.CSVVal&lt;&gt;"",_xlpm.CSVVal
)),"")</f>
        <v/>
      </c>
      <c r="O189" s="46" t="str">
        <f>_xlfn.XLOOKUP(C189,My_Audit!B:B,My_Audit!P:P,"")&amp;""</f>
        <v/>
      </c>
      <c r="P189" s="45"/>
      <c r="Q189" s="46" t="str">
        <f>IF(LEFT(N189,4)="Pass","Nist SP 800-88",My_Audit!R189)&amp;""</f>
        <v/>
      </c>
      <c r="R189" s="45"/>
      <c r="S189" s="45"/>
      <c r="T189" s="46" t="str">
        <f>_xlfn.XLOOKUP(E189,Models!I:I,Models!J:J,"")</f>
        <v/>
      </c>
      <c r="U189" s="45"/>
      <c r="V189" s="45"/>
      <c r="W189" s="38" t="str">
        <f>_xlfn.LET(
    _xlpm.MacVal, _xlfn.XLOOKUP($A189, Output_Mac!$A:$A, Output_Mac!AA:AA, ""),
    _xlpm.MyAuditVal, _xlfn.XLOOKUP($A189, My_Audit!$A:$A, My_Audit!L:L, ""),
    _xlfn.TEXTJOIN(", ", TRUE, _xlpm.MyAuditVal, _xlpm.MacVal)
)</f>
        <v/>
      </c>
    </row>
    <row r="190" spans="1:23">
      <c r="A190" s="45" t="str">
        <f>_xlfn.TEXTJOIN("",TRUE,Input!$B$2,ROW(My_Audit!A189))</f>
        <v>CC189</v>
      </c>
      <c r="B190" s="45" t="str">
        <f>_xlfn.TEXTJOIN("-",TRUE,"ITD",Input!$A$2,A190)</f>
        <v>ITD-XXX-CC189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 cm="1">
        <f t="array" ref="D190">IFERROR(_xlfn.LET(
_xlpm.CSVVal,_xlfn.XLOOKUP($A190,CSV!$A:$A,CSV!C:C,""),
_xlpm.MacVal,_xlfn.XLOOKUP($A190,Output_Mac!$A:$A,Output_Mac!D:D,""),
_xlpm.MyAuditVal,_xlfn.XLOOKUP($A190,My_Audit!$A:$A,My_Audit!C:C,""),
_xlfn.IFS(_xlpm.MyAuditVal&lt;&gt;"",UPPER(_xlpm.MyAuditVal),_xlpm.MacVal&lt;&gt;"",_xlpm.MacVal,_xlpm.CSVVal&lt;&gt;"",_xlpm.CSVVal
)),"")</f>
        <v/>
      </c>
      <c r="E190" s="46" t="str" cm="1">
        <f t="array" ref="E190">IFERROR(_xlfn.LET(
_xlpm.CSVVal,_xlfn.XLOOKUP($A190,CSV!$A:$A,CSV!E:E,""),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_xlpm.CSVVal,_xlfn.XLOOKUP($A190,CSV!$A:$A,CSV!G:G,""),
_xlpm.MacVal,_xlfn.XLOOKUP($A190,Output_Mac!$A:$A,Output_Mac!G:G,""),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_xlfn.XLOOKUP(A190,Output_Mac!A:A,Output_Mac!H:H,"")</f>
        <v/>
      </c>
      <c r="I190" s="45" t="str" cm="1">
        <f t="array" ref="I190">IFERROR(_xlfn.LET(
_xlpm.CSVVal,_xlfn.XLOOKUP($A190,CSV!$A:$A,CSV!H:H,""),
_xlpm.MacVal,_xlfn.XLOOKUP($A190,Output_Mac!$A:$A,Output_Mac!I:I,""),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_xlpm.CSVVal,_xlfn.XLOOKUP($A190,CSV!$A:$A,CSV!J:J,""),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46" t="str" cm="1">
        <f t="array" ref="K190">IFERROR(_xlfn.LET(
_xlpm.CSVVal,_xlfn.XLOOKUP($A190,CSV!$A:$A,CSV!N:N,""),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_xlpm.CSVVal,_xlfn.XLOOKUP($A190,CSV!$A:$A,CSV!Q:Q,""),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CSV!AE:AE,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_xlpm.CSVVal,_xlfn.XLOOKUP($A190,CSV!$A:$A,CSV!AG:AG,""),
_xlpm.MacVal,_xlfn.XLOOKUP($A190,Output_Mac!$A:$A,Output_Mac!T:T,""),
_xlpm.MyAuditVal,_xlfn.XLOOKUP($A190,My_Audit!$A:$A,My_Audit!O:O,""),
_xlfn.IFS(_xlpm.MyAuditVal&lt;&gt;"",UPPER(_xlpm.MyAuditVal),_xlpm.MacVal&lt;&gt;"",_xlpm.MacVal,_xlpm.CSVVal&lt;&gt;"",_xlpm.CSVVal
)),"")</f>
        <v/>
      </c>
      <c r="O190" s="46" t="str">
        <f>_xlfn.XLOOKUP(C190,My_Audit!B:B,My_Audit!P:P,"")&amp;""</f>
        <v/>
      </c>
      <c r="P190" s="45"/>
      <c r="Q190" s="46" t="str">
        <f>IF(LEFT(N190,4)="Pass","Nist SP 800-88",My_Audit!R190)&amp;""</f>
        <v/>
      </c>
      <c r="R190" s="45"/>
      <c r="S190" s="45"/>
      <c r="T190" s="46" t="str">
        <f>_xlfn.XLOOKUP(E190,Models!I:I,Models!J:J,"")</f>
        <v/>
      </c>
      <c r="U190" s="45"/>
      <c r="V190" s="45"/>
      <c r="W190" s="38" t="str">
        <f>_xlfn.LET(
    _xlpm.MacVal, _xlfn.XLOOKUP($A190, Output_Mac!$A:$A, Output_Mac!AA:AA, ""),
    _xlpm.MyAuditVal, _xlfn.XLOOKUP($A190, My_Audit!$A:$A, My_Audit!L:L, ""),
    _xlfn.TEXTJOIN(", ", TRUE, _xlpm.MyAuditVal, _xlpm.MacVal)
)</f>
        <v/>
      </c>
    </row>
    <row r="191" spans="1:23">
      <c r="A191" s="45" t="str">
        <f>_xlfn.TEXTJOIN("",TRUE,Input!$B$2,ROW(My_Audit!A190))</f>
        <v>CC190</v>
      </c>
      <c r="B191" s="45" t="str">
        <f>_xlfn.TEXTJOIN("-",TRUE,"ITD",Input!$A$2,A191)</f>
        <v>ITD-XXX-CC190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 cm="1">
        <f t="array" ref="D191">IFERROR(_xlfn.LET(
_xlpm.CSVVal,_xlfn.XLOOKUP($A191,CSV!$A:$A,CSV!C:C,""),
_xlpm.MacVal,_xlfn.XLOOKUP($A191,Output_Mac!$A:$A,Output_Mac!D:D,""),
_xlpm.MyAuditVal,_xlfn.XLOOKUP($A191,My_Audit!$A:$A,My_Audit!C:C,""),
_xlfn.IFS(_xlpm.MyAuditVal&lt;&gt;"",UPPER(_xlpm.MyAuditVal),_xlpm.MacVal&lt;&gt;"",_xlpm.MacVal,_xlpm.CSVVal&lt;&gt;"",_xlpm.CSVVal
)),"")</f>
        <v/>
      </c>
      <c r="E191" s="46" t="str" cm="1">
        <f t="array" ref="E191">IFERROR(_xlfn.LET(
_xlpm.CSVVal,_xlfn.XLOOKUP($A191,CSV!$A:$A,CSV!E:E,""),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_xlpm.CSVVal,_xlfn.XLOOKUP($A191,CSV!$A:$A,CSV!G:G,""),
_xlpm.MacVal,_xlfn.XLOOKUP($A191,Output_Mac!$A:$A,Output_Mac!G:G,""),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_xlfn.XLOOKUP(A191,Output_Mac!A:A,Output_Mac!H:H,"")</f>
        <v/>
      </c>
      <c r="I191" s="45" t="str" cm="1">
        <f t="array" ref="I191">IFERROR(_xlfn.LET(
_xlpm.CSVVal,_xlfn.XLOOKUP($A191,CSV!$A:$A,CSV!H:H,""),
_xlpm.MacVal,_xlfn.XLOOKUP($A191,Output_Mac!$A:$A,Output_Mac!I:I,""),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_xlpm.CSVVal,_xlfn.XLOOKUP($A191,CSV!$A:$A,CSV!J:J,""),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46" t="str" cm="1">
        <f t="array" ref="K191">IFERROR(_xlfn.LET(
_xlpm.CSVVal,_xlfn.XLOOKUP($A191,CSV!$A:$A,CSV!N:N,""),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_xlpm.CSVVal,_xlfn.XLOOKUP($A191,CSV!$A:$A,CSV!Q:Q,""),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CSV!AE:AE,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_xlpm.CSVVal,_xlfn.XLOOKUP($A191,CSV!$A:$A,CSV!AG:AG,""),
_xlpm.MacVal,_xlfn.XLOOKUP($A191,Output_Mac!$A:$A,Output_Mac!T:T,""),
_xlpm.MyAuditVal,_xlfn.XLOOKUP($A191,My_Audit!$A:$A,My_Audit!O:O,""),
_xlfn.IFS(_xlpm.MyAuditVal&lt;&gt;"",UPPER(_xlpm.MyAuditVal),_xlpm.MacVal&lt;&gt;"",_xlpm.MacVal,_xlpm.CSVVal&lt;&gt;"",_xlpm.CSVVal
)),"")</f>
        <v/>
      </c>
      <c r="O191" s="46" t="str">
        <f>_xlfn.XLOOKUP(C191,My_Audit!B:B,My_Audit!P:P,"")&amp;""</f>
        <v/>
      </c>
      <c r="P191" s="45"/>
      <c r="Q191" s="46" t="str">
        <f>IF(LEFT(N191,4)="Pass","Nist SP 800-88",My_Audit!R191)&amp;""</f>
        <v/>
      </c>
      <c r="R191" s="45"/>
      <c r="S191" s="45"/>
      <c r="T191" s="46" t="str">
        <f>_xlfn.XLOOKUP(E191,Models!I:I,Models!J:J,"")</f>
        <v/>
      </c>
      <c r="U191" s="45"/>
      <c r="V191" s="45"/>
      <c r="W191" s="38" t="str">
        <f>_xlfn.LET(
    _xlpm.MacVal, _xlfn.XLOOKUP($A191, Output_Mac!$A:$A, Output_Mac!AA:AA, ""),
    _xlpm.MyAuditVal, _xlfn.XLOOKUP($A191, My_Audit!$A:$A, My_Audit!L:L, ""),
    _xlfn.TEXTJOIN(", ", TRUE, _xlpm.MyAuditVal, _xlpm.MacVal)
)</f>
        <v/>
      </c>
    </row>
    <row r="192" spans="1:23">
      <c r="A192" s="45" t="str">
        <f>_xlfn.TEXTJOIN("",TRUE,Input!$B$2,ROW(My_Audit!A191))</f>
        <v>CC191</v>
      </c>
      <c r="B192" s="45" t="str">
        <f>_xlfn.TEXTJOIN("-",TRUE,"ITD",Input!$A$2,A192)</f>
        <v>ITD-XXX-CC191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 cm="1">
        <f t="array" ref="D192">IFERROR(_xlfn.LET(
_xlpm.CSVVal,_xlfn.XLOOKUP($A192,CSV!$A:$A,CSV!C:C,""),
_xlpm.MacVal,_xlfn.XLOOKUP($A192,Output_Mac!$A:$A,Output_Mac!D:D,""),
_xlpm.MyAuditVal,_xlfn.XLOOKUP($A192,My_Audit!$A:$A,My_Audit!C:C,""),
_xlfn.IFS(_xlpm.MyAuditVal&lt;&gt;"",UPPER(_xlpm.MyAuditVal),_xlpm.MacVal&lt;&gt;"",_xlpm.MacVal,_xlpm.CSVVal&lt;&gt;"",_xlpm.CSVVal
)),"")</f>
        <v/>
      </c>
      <c r="E192" s="46" t="str" cm="1">
        <f t="array" ref="E192">IFERROR(_xlfn.LET(
_xlpm.CSVVal,_xlfn.XLOOKUP($A192,CSV!$A:$A,CSV!E:E,""),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_xlpm.CSVVal,_xlfn.XLOOKUP($A192,CSV!$A:$A,CSV!G:G,""),
_xlpm.MacVal,_xlfn.XLOOKUP($A192,Output_Mac!$A:$A,Output_Mac!G:G,""),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_xlfn.XLOOKUP(A192,Output_Mac!A:A,Output_Mac!H:H,"")</f>
        <v/>
      </c>
      <c r="I192" s="45" t="str" cm="1">
        <f t="array" ref="I192">IFERROR(_xlfn.LET(
_xlpm.CSVVal,_xlfn.XLOOKUP($A192,CSV!$A:$A,CSV!H:H,""),
_xlpm.MacVal,_xlfn.XLOOKUP($A192,Output_Mac!$A:$A,Output_Mac!I:I,""),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_xlpm.CSVVal,_xlfn.XLOOKUP($A192,CSV!$A:$A,CSV!J:J,""),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46" t="str" cm="1">
        <f t="array" ref="K192">IFERROR(_xlfn.LET(
_xlpm.CSVVal,_xlfn.XLOOKUP($A192,CSV!$A:$A,CSV!N:N,""),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_xlpm.CSVVal,_xlfn.XLOOKUP($A192,CSV!$A:$A,CSV!Q:Q,""),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CSV!AE:AE,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_xlpm.CSVVal,_xlfn.XLOOKUP($A192,CSV!$A:$A,CSV!AG:AG,""),
_xlpm.MacVal,_xlfn.XLOOKUP($A192,Output_Mac!$A:$A,Output_Mac!T:T,""),
_xlpm.MyAuditVal,_xlfn.XLOOKUP($A192,My_Audit!$A:$A,My_Audit!O:O,""),
_xlfn.IFS(_xlpm.MyAuditVal&lt;&gt;"",UPPER(_xlpm.MyAuditVal),_xlpm.MacVal&lt;&gt;"",_xlpm.MacVal,_xlpm.CSVVal&lt;&gt;"",_xlpm.CSVVal
)),"")</f>
        <v/>
      </c>
      <c r="O192" s="46" t="str">
        <f>_xlfn.XLOOKUP(C192,My_Audit!B:B,My_Audit!P:P,"")&amp;""</f>
        <v/>
      </c>
      <c r="P192" s="45"/>
      <c r="Q192" s="46" t="str">
        <f>IF(LEFT(N192,4)="Pass","Nist SP 800-88",My_Audit!R192)&amp;""</f>
        <v/>
      </c>
      <c r="R192" s="45"/>
      <c r="S192" s="45"/>
      <c r="T192" s="46" t="str">
        <f>_xlfn.XLOOKUP(E192,Models!I:I,Models!J:J,"")</f>
        <v/>
      </c>
      <c r="U192" s="45"/>
      <c r="V192" s="45"/>
      <c r="W192" s="38" t="str">
        <f>_xlfn.LET(
    _xlpm.MacVal, _xlfn.XLOOKUP($A192, Output_Mac!$A:$A, Output_Mac!AA:AA, ""),
    _xlpm.MyAuditVal, _xlfn.XLOOKUP($A192, My_Audit!$A:$A, My_Audit!L:L, ""),
    _xlfn.TEXTJOIN(", ", TRUE, _xlpm.MyAuditVal, _xlpm.MacVal)
)</f>
        <v/>
      </c>
    </row>
    <row r="193" spans="1:23">
      <c r="A193" s="45" t="str">
        <f>_xlfn.TEXTJOIN("",TRUE,Input!$B$2,ROW(My_Audit!A192))</f>
        <v>CC192</v>
      </c>
      <c r="B193" s="45" t="str">
        <f>_xlfn.TEXTJOIN("-",TRUE,"ITD",Input!$A$2,A193)</f>
        <v>ITD-XXX-CC192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 cm="1">
        <f t="array" ref="D193">IFERROR(_xlfn.LET(
_xlpm.CSVVal,_xlfn.XLOOKUP($A193,CSV!$A:$A,CSV!C:C,""),
_xlpm.MacVal,_xlfn.XLOOKUP($A193,Output_Mac!$A:$A,Output_Mac!D:D,""),
_xlpm.MyAuditVal,_xlfn.XLOOKUP($A193,My_Audit!$A:$A,My_Audit!C:C,""),
_xlfn.IFS(_xlpm.MyAuditVal&lt;&gt;"",UPPER(_xlpm.MyAuditVal),_xlpm.MacVal&lt;&gt;"",_xlpm.MacVal,_xlpm.CSVVal&lt;&gt;"",_xlpm.CSVVal
)),"")</f>
        <v/>
      </c>
      <c r="E193" s="46" t="str" cm="1">
        <f t="array" ref="E193">IFERROR(_xlfn.LET(
_xlpm.CSVVal,_xlfn.XLOOKUP($A193,CSV!$A:$A,CSV!E:E,""),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_xlpm.CSVVal,_xlfn.XLOOKUP($A193,CSV!$A:$A,CSV!G:G,""),
_xlpm.MacVal,_xlfn.XLOOKUP($A193,Output_Mac!$A:$A,Output_Mac!G:G,""),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_xlfn.XLOOKUP(A193,Output_Mac!A:A,Output_Mac!H:H,"")</f>
        <v/>
      </c>
      <c r="I193" s="45" t="str" cm="1">
        <f t="array" ref="I193">IFERROR(_xlfn.LET(
_xlpm.CSVVal,_xlfn.XLOOKUP($A193,CSV!$A:$A,CSV!H:H,""),
_xlpm.MacVal,_xlfn.XLOOKUP($A193,Output_Mac!$A:$A,Output_Mac!I:I,""),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_xlpm.CSVVal,_xlfn.XLOOKUP($A193,CSV!$A:$A,CSV!J:J,""),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46" t="str" cm="1">
        <f t="array" ref="K193">IFERROR(_xlfn.LET(
_xlpm.CSVVal,_xlfn.XLOOKUP($A193,CSV!$A:$A,CSV!N:N,""),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_xlpm.CSVVal,_xlfn.XLOOKUP($A193,CSV!$A:$A,CSV!Q:Q,""),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CSV!AE:AE,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_xlpm.CSVVal,_xlfn.XLOOKUP($A193,CSV!$A:$A,CSV!AG:AG,""),
_xlpm.MacVal,_xlfn.XLOOKUP($A193,Output_Mac!$A:$A,Output_Mac!T:T,""),
_xlpm.MyAuditVal,_xlfn.XLOOKUP($A193,My_Audit!$A:$A,My_Audit!O:O,""),
_xlfn.IFS(_xlpm.MyAuditVal&lt;&gt;"",UPPER(_xlpm.MyAuditVal),_xlpm.MacVal&lt;&gt;"",_xlpm.MacVal,_xlpm.CSVVal&lt;&gt;"",_xlpm.CSVVal
)),"")</f>
        <v/>
      </c>
      <c r="O193" s="46" t="str">
        <f>_xlfn.XLOOKUP(C193,My_Audit!B:B,My_Audit!P:P,"")&amp;""</f>
        <v/>
      </c>
      <c r="P193" s="45"/>
      <c r="Q193" s="46" t="str">
        <f>IF(LEFT(N193,4)="Pass","Nist SP 800-88",My_Audit!R193)&amp;""</f>
        <v/>
      </c>
      <c r="R193" s="45"/>
      <c r="S193" s="45"/>
      <c r="T193" s="46" t="str">
        <f>_xlfn.XLOOKUP(E193,Models!I:I,Models!J:J,"")</f>
        <v/>
      </c>
      <c r="U193" s="45"/>
      <c r="V193" s="45"/>
      <c r="W193" s="38" t="str">
        <f>_xlfn.LET(
    _xlpm.MacVal, _xlfn.XLOOKUP($A193, Output_Mac!$A:$A, Output_Mac!AA:AA, ""),
    _xlpm.MyAuditVal, _xlfn.XLOOKUP($A193, My_Audit!$A:$A, My_Audit!L:L, ""),
    _xlfn.TEXTJOIN(", ", TRUE, _xlpm.MyAuditVal, _xlpm.MacVal)
)</f>
        <v/>
      </c>
    </row>
    <row r="194" spans="1:23">
      <c r="A194" s="45" t="str">
        <f>_xlfn.TEXTJOIN("",TRUE,Input!$B$2,ROW(My_Audit!A193))</f>
        <v>CC193</v>
      </c>
      <c r="B194" s="45" t="str">
        <f>_xlfn.TEXTJOIN("-",TRUE,"ITD",Input!$A$2,A194)</f>
        <v>ITD-XXX-CC193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 cm="1">
        <f t="array" ref="D194">IFERROR(_xlfn.LET(
_xlpm.CSVVal,_xlfn.XLOOKUP($A194,CSV!$A:$A,CSV!C:C,""),
_xlpm.MacVal,_xlfn.XLOOKUP($A194,Output_Mac!$A:$A,Output_Mac!D:D,""),
_xlpm.MyAuditVal,_xlfn.XLOOKUP($A194,My_Audit!$A:$A,My_Audit!C:C,""),
_xlfn.IFS(_xlpm.MyAuditVal&lt;&gt;"",UPPER(_xlpm.MyAuditVal),_xlpm.MacVal&lt;&gt;"",_xlpm.MacVal,_xlpm.CSVVal&lt;&gt;"",_xlpm.CSVVal
)),"")</f>
        <v/>
      </c>
      <c r="E194" s="46" t="str" cm="1">
        <f t="array" ref="E194">IFERROR(_xlfn.LET(
_xlpm.CSVVal,_xlfn.XLOOKUP($A194,CSV!$A:$A,CSV!E:E,""),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_xlpm.CSVVal,_xlfn.XLOOKUP($A194,CSV!$A:$A,CSV!G:G,""),
_xlpm.MacVal,_xlfn.XLOOKUP($A194,Output_Mac!$A:$A,Output_Mac!G:G,""),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_xlfn.XLOOKUP(A194,Output_Mac!A:A,Output_Mac!H:H,"")</f>
        <v/>
      </c>
      <c r="I194" s="45" t="str" cm="1">
        <f t="array" ref="I194">IFERROR(_xlfn.LET(
_xlpm.CSVVal,_xlfn.XLOOKUP($A194,CSV!$A:$A,CSV!H:H,""),
_xlpm.MacVal,_xlfn.XLOOKUP($A194,Output_Mac!$A:$A,Output_Mac!I:I,""),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_xlpm.CSVVal,_xlfn.XLOOKUP($A194,CSV!$A:$A,CSV!J:J,""),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46" t="str" cm="1">
        <f t="array" ref="K194">IFERROR(_xlfn.LET(
_xlpm.CSVVal,_xlfn.XLOOKUP($A194,CSV!$A:$A,CSV!N:N,""),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_xlpm.CSVVal,_xlfn.XLOOKUP($A194,CSV!$A:$A,CSV!Q:Q,""),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CSV!AE:AE,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_xlpm.CSVVal,_xlfn.XLOOKUP($A194,CSV!$A:$A,CSV!AG:AG,""),
_xlpm.MacVal,_xlfn.XLOOKUP($A194,Output_Mac!$A:$A,Output_Mac!T:T,""),
_xlpm.MyAuditVal,_xlfn.XLOOKUP($A194,My_Audit!$A:$A,My_Audit!O:O,""),
_xlfn.IFS(_xlpm.MyAuditVal&lt;&gt;"",UPPER(_xlpm.MyAuditVal),_xlpm.MacVal&lt;&gt;"",_xlpm.MacVal,_xlpm.CSVVal&lt;&gt;"",_xlpm.CSVVal
)),"")</f>
        <v/>
      </c>
      <c r="O194" s="46" t="str">
        <f>_xlfn.XLOOKUP(C194,My_Audit!B:B,My_Audit!P:P,"")&amp;""</f>
        <v/>
      </c>
      <c r="P194" s="45"/>
      <c r="Q194" s="46" t="str">
        <f>IF(LEFT(N194,4)="Pass","Nist SP 800-88",My_Audit!R194)&amp;""</f>
        <v/>
      </c>
      <c r="R194" s="45"/>
      <c r="S194" s="45"/>
      <c r="T194" s="46" t="str">
        <f>_xlfn.XLOOKUP(E194,Models!I:I,Models!J:J,"")</f>
        <v/>
      </c>
      <c r="U194" s="45"/>
      <c r="V194" s="45"/>
      <c r="W194" s="38" t="str">
        <f>_xlfn.LET(
    _xlpm.MacVal, _xlfn.XLOOKUP($A194, Output_Mac!$A:$A, Output_Mac!AA:AA, ""),
    _xlpm.MyAuditVal, _xlfn.XLOOKUP($A194, My_Audit!$A:$A, My_Audit!L:L, ""),
    _xlfn.TEXTJOIN(", ", TRUE, _xlpm.MyAuditVal, _xlpm.MacVal)
)</f>
        <v/>
      </c>
    </row>
    <row r="195" spans="1:23">
      <c r="A195" s="45" t="str">
        <f>_xlfn.TEXTJOIN("",TRUE,Input!$B$2,ROW(My_Audit!A194))</f>
        <v>CC194</v>
      </c>
      <c r="B195" s="45" t="str">
        <f>_xlfn.TEXTJOIN("-",TRUE,"ITD",Input!$A$2,A195)</f>
        <v>ITD-XXX-CC194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 cm="1">
        <f t="array" ref="D195">IFERROR(_xlfn.LET(
_xlpm.CSVVal,_xlfn.XLOOKUP($A195,CSV!$A:$A,CSV!C:C,""),
_xlpm.MacVal,_xlfn.XLOOKUP($A195,Output_Mac!$A:$A,Output_Mac!D:D,""),
_xlpm.MyAuditVal,_xlfn.XLOOKUP($A195,My_Audit!$A:$A,My_Audit!C:C,""),
_xlfn.IFS(_xlpm.MyAuditVal&lt;&gt;"",UPPER(_xlpm.MyAuditVal),_xlpm.MacVal&lt;&gt;"",_xlpm.MacVal,_xlpm.CSVVal&lt;&gt;"",_xlpm.CSVVal
)),"")</f>
        <v/>
      </c>
      <c r="E195" s="46" t="str" cm="1">
        <f t="array" ref="E195">IFERROR(_xlfn.LET(
_xlpm.CSVVal,_xlfn.XLOOKUP($A195,CSV!$A:$A,CSV!E:E,""),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_xlpm.CSVVal,_xlfn.XLOOKUP($A195,CSV!$A:$A,CSV!G:G,""),
_xlpm.MacVal,_xlfn.XLOOKUP($A195,Output_Mac!$A:$A,Output_Mac!G:G,""),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_xlfn.XLOOKUP(A195,Output_Mac!A:A,Output_Mac!H:H,"")</f>
        <v/>
      </c>
      <c r="I195" s="45" t="str" cm="1">
        <f t="array" ref="I195">IFERROR(_xlfn.LET(
_xlpm.CSVVal,_xlfn.XLOOKUP($A195,CSV!$A:$A,CSV!H:H,""),
_xlpm.MacVal,_xlfn.XLOOKUP($A195,Output_Mac!$A:$A,Output_Mac!I:I,""),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_xlpm.CSVVal,_xlfn.XLOOKUP($A195,CSV!$A:$A,CSV!J:J,""),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46" t="str" cm="1">
        <f t="array" ref="K195">IFERROR(_xlfn.LET(
_xlpm.CSVVal,_xlfn.XLOOKUP($A195,CSV!$A:$A,CSV!N:N,""),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_xlpm.CSVVal,_xlfn.XLOOKUP($A195,CSV!$A:$A,CSV!Q:Q,""),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CSV!AE:AE,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_xlpm.CSVVal,_xlfn.XLOOKUP($A195,CSV!$A:$A,CSV!AG:AG,""),
_xlpm.MacVal,_xlfn.XLOOKUP($A195,Output_Mac!$A:$A,Output_Mac!T:T,""),
_xlpm.MyAuditVal,_xlfn.XLOOKUP($A195,My_Audit!$A:$A,My_Audit!O:O,""),
_xlfn.IFS(_xlpm.MyAuditVal&lt;&gt;"",UPPER(_xlpm.MyAuditVal),_xlpm.MacVal&lt;&gt;"",_xlpm.MacVal,_xlpm.CSVVal&lt;&gt;"",_xlpm.CSVVal
)),"")</f>
        <v/>
      </c>
      <c r="O195" s="46" t="str">
        <f>_xlfn.XLOOKUP(C195,My_Audit!B:B,My_Audit!P:P,"")&amp;""</f>
        <v/>
      </c>
      <c r="P195" s="45"/>
      <c r="Q195" s="46" t="str">
        <f>IF(LEFT(N195,4)="Pass","Nist SP 800-88",My_Audit!R195)&amp;""</f>
        <v/>
      </c>
      <c r="R195" s="45"/>
      <c r="S195" s="45"/>
      <c r="T195" s="46" t="str">
        <f>_xlfn.XLOOKUP(E195,Models!I:I,Models!J:J,"")</f>
        <v/>
      </c>
      <c r="U195" s="45"/>
      <c r="V195" s="45"/>
      <c r="W195" s="38" t="str">
        <f>_xlfn.LET(
    _xlpm.MacVal, _xlfn.XLOOKUP($A195, Output_Mac!$A:$A, Output_Mac!AA:AA, ""),
    _xlpm.MyAuditVal, _xlfn.XLOOKUP($A195, My_Audit!$A:$A, My_Audit!L:L, ""),
    _xlfn.TEXTJOIN(", ", TRUE, _xlpm.MyAuditVal, _xlpm.MacVal)
)</f>
        <v/>
      </c>
    </row>
    <row r="196" spans="1:23">
      <c r="A196" s="45" t="str">
        <f>_xlfn.TEXTJOIN("",TRUE,Input!$B$2,ROW(My_Audit!A195))</f>
        <v>CC195</v>
      </c>
      <c r="B196" s="45" t="str">
        <f>_xlfn.TEXTJOIN("-",TRUE,"ITD",Input!$A$2,A196)</f>
        <v>ITD-XXX-CC195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 cm="1">
        <f t="array" ref="D196">IFERROR(_xlfn.LET(
_xlpm.CSVVal,_xlfn.XLOOKUP($A196,CSV!$A:$A,CSV!C:C,""),
_xlpm.MacVal,_xlfn.XLOOKUP($A196,Output_Mac!$A:$A,Output_Mac!D:D,""),
_xlpm.MyAuditVal,_xlfn.XLOOKUP($A196,My_Audit!$A:$A,My_Audit!C:C,""),
_xlfn.IFS(_xlpm.MyAuditVal&lt;&gt;"",UPPER(_xlpm.MyAuditVal),_xlpm.MacVal&lt;&gt;"",_xlpm.MacVal,_xlpm.CSVVal&lt;&gt;"",_xlpm.CSVVal
)),"")</f>
        <v/>
      </c>
      <c r="E196" s="46" t="str" cm="1">
        <f t="array" ref="E196">IFERROR(_xlfn.LET(
_xlpm.CSVVal,_xlfn.XLOOKUP($A196,CSV!$A:$A,CSV!E:E,""),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_xlpm.CSVVal,_xlfn.XLOOKUP($A196,CSV!$A:$A,CSV!G:G,""),
_xlpm.MacVal,_xlfn.XLOOKUP($A196,Output_Mac!$A:$A,Output_Mac!G:G,""),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_xlfn.XLOOKUP(A196,Output_Mac!A:A,Output_Mac!H:H,"")</f>
        <v/>
      </c>
      <c r="I196" s="45" t="str" cm="1">
        <f t="array" ref="I196">IFERROR(_xlfn.LET(
_xlpm.CSVVal,_xlfn.XLOOKUP($A196,CSV!$A:$A,CSV!H:H,""),
_xlpm.MacVal,_xlfn.XLOOKUP($A196,Output_Mac!$A:$A,Output_Mac!I:I,""),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_xlpm.CSVVal,_xlfn.XLOOKUP($A196,CSV!$A:$A,CSV!J:J,""),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46" t="str" cm="1">
        <f t="array" ref="K196">IFERROR(_xlfn.LET(
_xlpm.CSVVal,_xlfn.XLOOKUP($A196,CSV!$A:$A,CSV!N:N,""),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_xlpm.CSVVal,_xlfn.XLOOKUP($A196,CSV!$A:$A,CSV!Q:Q,""),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CSV!AE:AE,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_xlpm.CSVVal,_xlfn.XLOOKUP($A196,CSV!$A:$A,CSV!AG:AG,""),
_xlpm.MacVal,_xlfn.XLOOKUP($A196,Output_Mac!$A:$A,Output_Mac!T:T,""),
_xlpm.MyAuditVal,_xlfn.XLOOKUP($A196,My_Audit!$A:$A,My_Audit!O:O,""),
_xlfn.IFS(_xlpm.MyAuditVal&lt;&gt;"",UPPER(_xlpm.MyAuditVal),_xlpm.MacVal&lt;&gt;"",_xlpm.MacVal,_xlpm.CSVVal&lt;&gt;"",_xlpm.CSVVal
)),"")</f>
        <v/>
      </c>
      <c r="O196" s="46" t="str">
        <f>_xlfn.XLOOKUP(C196,My_Audit!B:B,My_Audit!P:P,"")&amp;""</f>
        <v/>
      </c>
      <c r="P196" s="45"/>
      <c r="Q196" s="46" t="str">
        <f>IF(LEFT(N196,4)="Pass","Nist SP 800-88",My_Audit!R196)&amp;""</f>
        <v/>
      </c>
      <c r="R196" s="45"/>
      <c r="S196" s="45"/>
      <c r="T196" s="46" t="str">
        <f>_xlfn.XLOOKUP(E196,Models!I:I,Models!J:J,"")</f>
        <v/>
      </c>
      <c r="U196" s="45"/>
      <c r="V196" s="45"/>
      <c r="W196" s="38" t="str">
        <f>_xlfn.LET(
    _xlpm.MacVal, _xlfn.XLOOKUP($A196, Output_Mac!$A:$A, Output_Mac!AA:AA, ""),
    _xlpm.MyAuditVal, _xlfn.XLOOKUP($A196, My_Audit!$A:$A, My_Audit!L:L, ""),
    _xlfn.TEXTJOIN(", ", TRUE, _xlpm.MyAuditVal, _xlpm.MacVal)
)</f>
        <v/>
      </c>
    </row>
    <row r="197" spans="1:23">
      <c r="A197" s="45" t="str">
        <f>_xlfn.TEXTJOIN("",TRUE,Input!$B$2,ROW(My_Audit!A196))</f>
        <v>CC196</v>
      </c>
      <c r="B197" s="45" t="str">
        <f>_xlfn.TEXTJOIN("-",TRUE,"ITD",Input!$A$2,A197)</f>
        <v>ITD-XXX-CC196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 cm="1">
        <f t="array" ref="D197">IFERROR(_xlfn.LET(
_xlpm.CSVVal,_xlfn.XLOOKUP($A197,CSV!$A:$A,CSV!C:C,""),
_xlpm.MacVal,_xlfn.XLOOKUP($A197,Output_Mac!$A:$A,Output_Mac!D:D,""),
_xlpm.MyAuditVal,_xlfn.XLOOKUP($A197,My_Audit!$A:$A,My_Audit!C:C,""),
_xlfn.IFS(_xlpm.MyAuditVal&lt;&gt;"",UPPER(_xlpm.MyAuditVal),_xlpm.MacVal&lt;&gt;"",_xlpm.MacVal,_xlpm.CSVVal&lt;&gt;"",_xlpm.CSVVal
)),"")</f>
        <v/>
      </c>
      <c r="E197" s="46" t="str" cm="1">
        <f t="array" ref="E197">IFERROR(_xlfn.LET(
_xlpm.CSVVal,_xlfn.XLOOKUP($A197,CSV!$A:$A,CSV!E:E,""),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_xlpm.CSVVal,_xlfn.XLOOKUP($A197,CSV!$A:$A,CSV!G:G,""),
_xlpm.MacVal,_xlfn.XLOOKUP($A197,Output_Mac!$A:$A,Output_Mac!G:G,""),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_xlfn.XLOOKUP(A197,Output_Mac!A:A,Output_Mac!H:H,"")</f>
        <v/>
      </c>
      <c r="I197" s="45" t="str" cm="1">
        <f t="array" ref="I197">IFERROR(_xlfn.LET(
_xlpm.CSVVal,_xlfn.XLOOKUP($A197,CSV!$A:$A,CSV!H:H,""),
_xlpm.MacVal,_xlfn.XLOOKUP($A197,Output_Mac!$A:$A,Output_Mac!I:I,""),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_xlpm.CSVVal,_xlfn.XLOOKUP($A197,CSV!$A:$A,CSV!J:J,""),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46" t="str" cm="1">
        <f t="array" ref="K197">IFERROR(_xlfn.LET(
_xlpm.CSVVal,_xlfn.XLOOKUP($A197,CSV!$A:$A,CSV!N:N,""),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_xlpm.CSVVal,_xlfn.XLOOKUP($A197,CSV!$A:$A,CSV!Q:Q,""),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CSV!AE:AE,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_xlpm.CSVVal,_xlfn.XLOOKUP($A197,CSV!$A:$A,CSV!AG:AG,""),
_xlpm.MacVal,_xlfn.XLOOKUP($A197,Output_Mac!$A:$A,Output_Mac!T:T,""),
_xlpm.MyAuditVal,_xlfn.XLOOKUP($A197,My_Audit!$A:$A,My_Audit!O:O,""),
_xlfn.IFS(_xlpm.MyAuditVal&lt;&gt;"",UPPER(_xlpm.MyAuditVal),_xlpm.MacVal&lt;&gt;"",_xlpm.MacVal,_xlpm.CSVVal&lt;&gt;"",_xlpm.CSVVal
)),"")</f>
        <v/>
      </c>
      <c r="O197" s="46" t="str">
        <f>_xlfn.XLOOKUP(C197,My_Audit!B:B,My_Audit!P:P,"")&amp;""</f>
        <v/>
      </c>
      <c r="P197" s="45"/>
      <c r="Q197" s="46" t="str">
        <f>IF(LEFT(N197,4)="Pass","Nist SP 800-88",My_Audit!R197)&amp;""</f>
        <v/>
      </c>
      <c r="R197" s="45"/>
      <c r="S197" s="45"/>
      <c r="T197" s="46" t="str">
        <f>_xlfn.XLOOKUP(E197,Models!I:I,Models!J:J,"")</f>
        <v/>
      </c>
      <c r="U197" s="45"/>
      <c r="V197" s="45"/>
      <c r="W197" s="38" t="str">
        <f>_xlfn.LET(
    _xlpm.MacVal, _xlfn.XLOOKUP($A197, Output_Mac!$A:$A, Output_Mac!AA:AA, ""),
    _xlpm.MyAuditVal, _xlfn.XLOOKUP($A197, My_Audit!$A:$A, My_Audit!L:L, ""),
    _xlfn.TEXTJOIN(", ", TRUE, _xlpm.MyAuditVal, _xlpm.MacVal)
)</f>
        <v/>
      </c>
    </row>
    <row r="198" spans="1:23">
      <c r="A198" s="45" t="str">
        <f>_xlfn.TEXTJOIN("",TRUE,Input!$B$2,ROW(My_Audit!A197))</f>
        <v>CC197</v>
      </c>
      <c r="B198" s="45" t="str">
        <f>_xlfn.TEXTJOIN("-",TRUE,"ITD",Input!$A$2,A198)</f>
        <v>ITD-XXX-CC197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 cm="1">
        <f t="array" ref="D198">IFERROR(_xlfn.LET(
_xlpm.CSVVal,_xlfn.XLOOKUP($A198,CSV!$A:$A,CSV!C:C,""),
_xlpm.MacVal,_xlfn.XLOOKUP($A198,Output_Mac!$A:$A,Output_Mac!D:D,""),
_xlpm.MyAuditVal,_xlfn.XLOOKUP($A198,My_Audit!$A:$A,My_Audit!C:C,""),
_xlfn.IFS(_xlpm.MyAuditVal&lt;&gt;"",UPPER(_xlpm.MyAuditVal),_xlpm.MacVal&lt;&gt;"",_xlpm.MacVal,_xlpm.CSVVal&lt;&gt;"",_xlpm.CSVVal
)),"")</f>
        <v/>
      </c>
      <c r="E198" s="46" t="str" cm="1">
        <f t="array" ref="E198">IFERROR(_xlfn.LET(
_xlpm.CSVVal,_xlfn.XLOOKUP($A198,CSV!$A:$A,CSV!E:E,""),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_xlpm.CSVVal,_xlfn.XLOOKUP($A198,CSV!$A:$A,CSV!G:G,""),
_xlpm.MacVal,_xlfn.XLOOKUP($A198,Output_Mac!$A:$A,Output_Mac!G:G,""),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_xlfn.XLOOKUP(A198,Output_Mac!A:A,Output_Mac!H:H,"")</f>
        <v/>
      </c>
      <c r="I198" s="45" t="str" cm="1">
        <f t="array" ref="I198">IFERROR(_xlfn.LET(
_xlpm.CSVVal,_xlfn.XLOOKUP($A198,CSV!$A:$A,CSV!H:H,""),
_xlpm.MacVal,_xlfn.XLOOKUP($A198,Output_Mac!$A:$A,Output_Mac!I:I,""),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_xlpm.CSVVal,_xlfn.XLOOKUP($A198,CSV!$A:$A,CSV!J:J,""),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46" t="str" cm="1">
        <f t="array" ref="K198">IFERROR(_xlfn.LET(
_xlpm.CSVVal,_xlfn.XLOOKUP($A198,CSV!$A:$A,CSV!N:N,""),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_xlpm.CSVVal,_xlfn.XLOOKUP($A198,CSV!$A:$A,CSV!Q:Q,""),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CSV!AE:AE,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_xlpm.CSVVal,_xlfn.XLOOKUP($A198,CSV!$A:$A,CSV!AG:AG,""),
_xlpm.MacVal,_xlfn.XLOOKUP($A198,Output_Mac!$A:$A,Output_Mac!T:T,""),
_xlpm.MyAuditVal,_xlfn.XLOOKUP($A198,My_Audit!$A:$A,My_Audit!O:O,""),
_xlfn.IFS(_xlpm.MyAuditVal&lt;&gt;"",UPPER(_xlpm.MyAuditVal),_xlpm.MacVal&lt;&gt;"",_xlpm.MacVal,_xlpm.CSVVal&lt;&gt;"",_xlpm.CSVVal
)),"")</f>
        <v/>
      </c>
      <c r="O198" s="46" t="str">
        <f>_xlfn.XLOOKUP(C198,My_Audit!B:B,My_Audit!P:P,"")&amp;""</f>
        <v/>
      </c>
      <c r="P198" s="45"/>
      <c r="Q198" s="46" t="str">
        <f>IF(LEFT(N198,4)="Pass","Nist SP 800-88",My_Audit!R198)&amp;""</f>
        <v/>
      </c>
      <c r="R198" s="45"/>
      <c r="S198" s="45"/>
      <c r="T198" s="46" t="str">
        <f>_xlfn.XLOOKUP(E198,Models!I:I,Models!J:J,"")</f>
        <v/>
      </c>
      <c r="U198" s="45"/>
      <c r="V198" s="45"/>
      <c r="W198" s="38" t="str">
        <f>_xlfn.LET(
    _xlpm.MacVal, _xlfn.XLOOKUP($A198, Output_Mac!$A:$A, Output_Mac!AA:AA, ""),
    _xlpm.MyAuditVal, _xlfn.XLOOKUP($A198, My_Audit!$A:$A, My_Audit!L:L, ""),
    _xlfn.TEXTJOIN(", ", TRUE, _xlpm.MyAuditVal, _xlpm.MacVal)
)</f>
        <v/>
      </c>
    </row>
    <row r="199" spans="1:23">
      <c r="A199" s="45" t="str">
        <f>_xlfn.TEXTJOIN("",TRUE,Input!$B$2,ROW(My_Audit!A198))</f>
        <v>CC198</v>
      </c>
      <c r="B199" s="45" t="str">
        <f>_xlfn.TEXTJOIN("-",TRUE,"ITD",Input!$A$2,A199)</f>
        <v>ITD-XXX-CC198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 cm="1">
        <f t="array" ref="D199">IFERROR(_xlfn.LET(
_xlpm.CSVVal,_xlfn.XLOOKUP($A199,CSV!$A:$A,CSV!C:C,""),
_xlpm.MacVal,_xlfn.XLOOKUP($A199,Output_Mac!$A:$A,Output_Mac!D:D,""),
_xlpm.MyAuditVal,_xlfn.XLOOKUP($A199,My_Audit!$A:$A,My_Audit!C:C,""),
_xlfn.IFS(_xlpm.MyAuditVal&lt;&gt;"",UPPER(_xlpm.MyAuditVal),_xlpm.MacVal&lt;&gt;"",_xlpm.MacVal,_xlpm.CSVVal&lt;&gt;"",_xlpm.CSVVal
)),"")</f>
        <v/>
      </c>
      <c r="E199" s="46" t="str" cm="1">
        <f t="array" ref="E199">IFERROR(_xlfn.LET(
_xlpm.CSVVal,_xlfn.XLOOKUP($A199,CSV!$A:$A,CSV!E:E,""),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_xlpm.CSVVal,_xlfn.XLOOKUP($A199,CSV!$A:$A,CSV!G:G,""),
_xlpm.MacVal,_xlfn.XLOOKUP($A199,Output_Mac!$A:$A,Output_Mac!G:G,""),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_xlfn.XLOOKUP(A199,Output_Mac!A:A,Output_Mac!H:H,"")</f>
        <v/>
      </c>
      <c r="I199" s="45" t="str" cm="1">
        <f t="array" ref="I199">IFERROR(_xlfn.LET(
_xlpm.CSVVal,_xlfn.XLOOKUP($A199,CSV!$A:$A,CSV!H:H,""),
_xlpm.MacVal,_xlfn.XLOOKUP($A199,Output_Mac!$A:$A,Output_Mac!I:I,""),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_xlpm.CSVVal,_xlfn.XLOOKUP($A199,CSV!$A:$A,CSV!J:J,""),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46" t="str" cm="1">
        <f t="array" ref="K199">IFERROR(_xlfn.LET(
_xlpm.CSVVal,_xlfn.XLOOKUP($A199,CSV!$A:$A,CSV!N:N,""),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_xlpm.CSVVal,_xlfn.XLOOKUP($A199,CSV!$A:$A,CSV!Q:Q,""),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CSV!AE:AE,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_xlpm.CSVVal,_xlfn.XLOOKUP($A199,CSV!$A:$A,CSV!AG:AG,""),
_xlpm.MacVal,_xlfn.XLOOKUP($A199,Output_Mac!$A:$A,Output_Mac!T:T,""),
_xlpm.MyAuditVal,_xlfn.XLOOKUP($A199,My_Audit!$A:$A,My_Audit!O:O,""),
_xlfn.IFS(_xlpm.MyAuditVal&lt;&gt;"",UPPER(_xlpm.MyAuditVal),_xlpm.MacVal&lt;&gt;"",_xlpm.MacVal,_xlpm.CSVVal&lt;&gt;"",_xlpm.CSVVal
)),"")</f>
        <v/>
      </c>
      <c r="O199" s="46" t="str">
        <f>_xlfn.XLOOKUP(C199,My_Audit!B:B,My_Audit!P:P,"")&amp;""</f>
        <v/>
      </c>
      <c r="P199" s="45"/>
      <c r="Q199" s="46" t="str">
        <f>IF(LEFT(N199,4)="Pass","Nist SP 800-88",My_Audit!R199)&amp;""</f>
        <v/>
      </c>
      <c r="R199" s="45"/>
      <c r="S199" s="45"/>
      <c r="T199" s="46" t="str">
        <f>_xlfn.XLOOKUP(E199,Models!I:I,Models!J:J,"")</f>
        <v/>
      </c>
      <c r="U199" s="45"/>
      <c r="V199" s="45"/>
      <c r="W199" s="38" t="str">
        <f>_xlfn.LET(
    _xlpm.MacVal, _xlfn.XLOOKUP($A199, Output_Mac!$A:$A, Output_Mac!AA:AA, ""),
    _xlpm.MyAuditVal, _xlfn.XLOOKUP($A199, My_Audit!$A:$A, My_Audit!L:L, ""),
    _xlfn.TEXTJOIN(", ", TRUE, _xlpm.MyAuditVal, _xlpm.MacVal)
)</f>
        <v/>
      </c>
    </row>
    <row r="200" spans="1:23">
      <c r="A200" s="45" t="str">
        <f>_xlfn.TEXTJOIN("",TRUE,Input!$B$2,ROW(My_Audit!A199))</f>
        <v>CC199</v>
      </c>
      <c r="B200" s="45" t="str">
        <f>_xlfn.TEXTJOIN("-",TRUE,"ITD",Input!$A$2,A200)</f>
        <v>ITD-XXX-CC199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 cm="1">
        <f t="array" ref="D200">IFERROR(_xlfn.LET(
_xlpm.CSVVal,_xlfn.XLOOKUP($A200,CSV!$A:$A,CSV!C:C,""),
_xlpm.MacVal,_xlfn.XLOOKUP($A200,Output_Mac!$A:$A,Output_Mac!D:D,""),
_xlpm.MyAuditVal,_xlfn.XLOOKUP($A200,My_Audit!$A:$A,My_Audit!C:C,""),
_xlfn.IFS(_xlpm.MyAuditVal&lt;&gt;"",UPPER(_xlpm.MyAuditVal),_xlpm.MacVal&lt;&gt;"",_xlpm.MacVal,_xlpm.CSVVal&lt;&gt;"",_xlpm.CSVVal
)),"")</f>
        <v/>
      </c>
      <c r="E200" s="46" t="str" cm="1">
        <f t="array" ref="E200">IFERROR(_xlfn.LET(
_xlpm.CSVVal,_xlfn.XLOOKUP($A200,CSV!$A:$A,CSV!E:E,""),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_xlpm.CSVVal,_xlfn.XLOOKUP($A200,CSV!$A:$A,CSV!G:G,""),
_xlpm.MacVal,_xlfn.XLOOKUP($A200,Output_Mac!$A:$A,Output_Mac!G:G,""),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_xlfn.XLOOKUP(A200,Output_Mac!A:A,Output_Mac!H:H,"")</f>
        <v/>
      </c>
      <c r="I200" s="45" t="str" cm="1">
        <f t="array" ref="I200">IFERROR(_xlfn.LET(
_xlpm.CSVVal,_xlfn.XLOOKUP($A200,CSV!$A:$A,CSV!H:H,""),
_xlpm.MacVal,_xlfn.XLOOKUP($A200,Output_Mac!$A:$A,Output_Mac!I:I,""),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_xlpm.CSVVal,_xlfn.XLOOKUP($A200,CSV!$A:$A,CSV!J:J,""),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46" t="str" cm="1">
        <f t="array" ref="K200">IFERROR(_xlfn.LET(
_xlpm.CSVVal,_xlfn.XLOOKUP($A200,CSV!$A:$A,CSV!N:N,""),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_xlpm.CSVVal,_xlfn.XLOOKUP($A200,CSV!$A:$A,CSV!Q:Q,""),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CSV!AE:AE,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_xlpm.CSVVal,_xlfn.XLOOKUP($A200,CSV!$A:$A,CSV!AG:AG,""),
_xlpm.MacVal,_xlfn.XLOOKUP($A200,Output_Mac!$A:$A,Output_Mac!T:T,""),
_xlpm.MyAuditVal,_xlfn.XLOOKUP($A200,My_Audit!$A:$A,My_Audit!O:O,""),
_xlfn.IFS(_xlpm.MyAuditVal&lt;&gt;"",UPPER(_xlpm.MyAuditVal),_xlpm.MacVal&lt;&gt;"",_xlpm.MacVal,_xlpm.CSVVal&lt;&gt;"",_xlpm.CSVVal
)),"")</f>
        <v/>
      </c>
      <c r="O200" s="46" t="str">
        <f>_xlfn.XLOOKUP(C200,My_Audit!B:B,My_Audit!P:P,"")&amp;""</f>
        <v/>
      </c>
      <c r="P200" s="45"/>
      <c r="Q200" s="46" t="str">
        <f>IF(LEFT(N200,4)="Pass","Nist SP 800-88",My_Audit!R200)&amp;""</f>
        <v/>
      </c>
      <c r="R200" s="45"/>
      <c r="S200" s="45"/>
      <c r="T200" s="46" t="str">
        <f>_xlfn.XLOOKUP(E200,Models!I:I,Models!J:J,"")</f>
        <v/>
      </c>
      <c r="U200" s="45"/>
      <c r="V200" s="45"/>
      <c r="W200" s="38" t="str">
        <f>_xlfn.LET(
    _xlpm.MacVal, _xlfn.XLOOKUP($A200, Output_Mac!$A:$A, Output_Mac!AA:AA, ""),
    _xlpm.MyAuditVal, _xlfn.XLOOKUP($A200, My_Audit!$A:$A, My_Audit!L:L, ""),
    _xlfn.TEXTJOIN(", ", TRUE, _xlpm.MyAuditVal, _xlpm.MacVal)
)</f>
        <v/>
      </c>
    </row>
    <row r="201" spans="1:23">
      <c r="A201" s="45" t="str">
        <f>_xlfn.TEXTJOIN("",TRUE,Input!$B$2,ROW(My_Audit!A200))</f>
        <v>CC200</v>
      </c>
      <c r="B201" s="45" t="str">
        <f>_xlfn.TEXTJOIN("-",TRUE,"ITD",Input!$A$2,A201)</f>
        <v>ITD-XXX-CC200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 cm="1">
        <f t="array" ref="D201">IFERROR(_xlfn.LET(
_xlpm.CSVVal,_xlfn.XLOOKUP($A201,CSV!$A:$A,CSV!C:C,""),
_xlpm.MacVal,_xlfn.XLOOKUP($A201,Output_Mac!$A:$A,Output_Mac!D:D,""),
_xlpm.MyAuditVal,_xlfn.XLOOKUP($A201,My_Audit!$A:$A,My_Audit!C:C,""),
_xlfn.IFS(_xlpm.MyAuditVal&lt;&gt;"",UPPER(_xlpm.MyAuditVal),_xlpm.MacVal&lt;&gt;"",_xlpm.MacVal,_xlpm.CSVVal&lt;&gt;"",_xlpm.CSVVal
)),"")</f>
        <v/>
      </c>
      <c r="E201" s="46" t="str" cm="1">
        <f t="array" ref="E201">IFERROR(_xlfn.LET(
_xlpm.CSVVal,_xlfn.XLOOKUP($A201,CSV!$A:$A,CSV!E:E,""),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_xlpm.CSVVal,_xlfn.XLOOKUP($A201,CSV!$A:$A,CSV!G:G,""),
_xlpm.MacVal,_xlfn.XLOOKUP($A201,Output_Mac!$A:$A,Output_Mac!G:G,""),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_xlfn.XLOOKUP(A201,Output_Mac!A:A,Output_Mac!H:H,"")</f>
        <v/>
      </c>
      <c r="I201" s="45" t="str" cm="1">
        <f t="array" ref="I201">IFERROR(_xlfn.LET(
_xlpm.CSVVal,_xlfn.XLOOKUP($A201,CSV!$A:$A,CSV!H:H,""),
_xlpm.MacVal,_xlfn.XLOOKUP($A201,Output_Mac!$A:$A,Output_Mac!I:I,""),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_xlpm.CSVVal,_xlfn.XLOOKUP($A201,CSV!$A:$A,CSV!J:J,""),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46" t="str" cm="1">
        <f t="array" ref="K201">IFERROR(_xlfn.LET(
_xlpm.CSVVal,_xlfn.XLOOKUP($A201,CSV!$A:$A,CSV!N:N,""),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_xlpm.CSVVal,_xlfn.XLOOKUP($A201,CSV!$A:$A,CSV!Q:Q,""),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CSV!AE:AE,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_xlpm.CSVVal,_xlfn.XLOOKUP($A201,CSV!$A:$A,CSV!AG:AG,""),
_xlpm.MacVal,_xlfn.XLOOKUP($A201,Output_Mac!$A:$A,Output_Mac!T:T,""),
_xlpm.MyAuditVal,_xlfn.XLOOKUP($A201,My_Audit!$A:$A,My_Audit!O:O,""),
_xlfn.IFS(_xlpm.MyAuditVal&lt;&gt;"",UPPER(_xlpm.MyAuditVal),_xlpm.MacVal&lt;&gt;"",_xlpm.MacVal,_xlpm.CSVVal&lt;&gt;"",_xlpm.CSVVal
)),"")</f>
        <v/>
      </c>
      <c r="O201" s="46" t="str">
        <f>_xlfn.XLOOKUP(C201,My_Audit!B:B,My_Audit!P:P,"")&amp;""</f>
        <v/>
      </c>
      <c r="P201" s="45"/>
      <c r="Q201" s="46" t="str">
        <f>IF(LEFT(N201,4)="Pass","Nist SP 800-88",My_Audit!R201)&amp;""</f>
        <v/>
      </c>
      <c r="R201" s="45"/>
      <c r="S201" s="45"/>
      <c r="T201" s="46" t="str">
        <f>_xlfn.XLOOKUP(E201,Models!I:I,Models!J:J,"")</f>
        <v/>
      </c>
      <c r="U201" s="45"/>
      <c r="V201" s="45"/>
      <c r="W201" s="38" t="str">
        <f>_xlfn.LET(
    _xlpm.MacVal, _xlfn.XLOOKUP($A201, Output_Mac!$A:$A, Output_Mac!AA:AA, ""),
    _xlpm.MyAuditVal, _xlfn.XLOOKUP($A201, My_Audit!$A:$A, My_Audit!L:L, ""),
    _xlfn.TEXTJOIN(", ", TRUE, _xlpm.MyAuditVal, _xlpm.MacVal)
)</f>
        <v/>
      </c>
    </row>
    <row r="202" spans="1:23">
      <c r="A202" s="45" t="str">
        <f>_xlfn.TEXTJOIN("",TRUE,Input!$B$2,ROW(My_Audit!A201))</f>
        <v>CC201</v>
      </c>
      <c r="B202" s="45" t="str">
        <f>_xlfn.TEXTJOIN("-",TRUE,"ITD",Input!$A$2,A202)</f>
        <v>ITD-XXX-CC201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 cm="1">
        <f t="array" ref="D202">IFERROR(_xlfn.LET(
_xlpm.CSVVal,_xlfn.XLOOKUP($A202,CSV!$A:$A,CSV!C:C,""),
_xlpm.MacVal,_xlfn.XLOOKUP($A202,Output_Mac!$A:$A,Output_Mac!D:D,""),
_xlpm.MyAuditVal,_xlfn.XLOOKUP($A202,My_Audit!$A:$A,My_Audit!C:C,""),
_xlfn.IFS(_xlpm.MyAuditVal&lt;&gt;"",UPPER(_xlpm.MyAuditVal),_xlpm.MacVal&lt;&gt;"",_xlpm.MacVal,_xlpm.CSVVal&lt;&gt;"",_xlpm.CSVVal
)),"")</f>
        <v/>
      </c>
      <c r="E202" s="46" t="str" cm="1">
        <f t="array" ref="E202">IFERROR(_xlfn.LET(
_xlpm.CSVVal,_xlfn.XLOOKUP($A202,CSV!$A:$A,CSV!E:E,""),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_xlpm.CSVVal,_xlfn.XLOOKUP($A202,CSV!$A:$A,CSV!G:G,""),
_xlpm.MacVal,_xlfn.XLOOKUP($A202,Output_Mac!$A:$A,Output_Mac!G:G,""),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_xlfn.XLOOKUP(A202,Output_Mac!A:A,Output_Mac!H:H,"")</f>
        <v/>
      </c>
      <c r="I202" s="45" t="str" cm="1">
        <f t="array" ref="I202">IFERROR(_xlfn.LET(
_xlpm.CSVVal,_xlfn.XLOOKUP($A202,CSV!$A:$A,CSV!H:H,""),
_xlpm.MacVal,_xlfn.XLOOKUP($A202,Output_Mac!$A:$A,Output_Mac!I:I,""),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_xlpm.CSVVal,_xlfn.XLOOKUP($A202,CSV!$A:$A,CSV!J:J,""),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46" t="str" cm="1">
        <f t="array" ref="K202">IFERROR(_xlfn.LET(
_xlpm.CSVVal,_xlfn.XLOOKUP($A202,CSV!$A:$A,CSV!N:N,""),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_xlpm.CSVVal,_xlfn.XLOOKUP($A202,CSV!$A:$A,CSV!Q:Q,""),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CSV!AE:AE,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_xlpm.CSVVal,_xlfn.XLOOKUP($A202,CSV!$A:$A,CSV!AG:AG,""),
_xlpm.MacVal,_xlfn.XLOOKUP($A202,Output_Mac!$A:$A,Output_Mac!T:T,""),
_xlpm.MyAuditVal,_xlfn.XLOOKUP($A202,My_Audit!$A:$A,My_Audit!O:O,""),
_xlfn.IFS(_xlpm.MyAuditVal&lt;&gt;"",UPPER(_xlpm.MyAuditVal),_xlpm.MacVal&lt;&gt;"",_xlpm.MacVal,_xlpm.CSVVal&lt;&gt;"",_xlpm.CSVVal
)),"")</f>
        <v/>
      </c>
      <c r="O202" s="46" t="str">
        <f>_xlfn.XLOOKUP(C202,My_Audit!B:B,My_Audit!P:P,"")&amp;""</f>
        <v/>
      </c>
      <c r="P202" s="45"/>
      <c r="Q202" s="46" t="str">
        <f>IF(LEFT(N202,4)="Pass","Nist SP 800-88",My_Audit!R202)&amp;""</f>
        <v/>
      </c>
      <c r="R202" s="45"/>
      <c r="S202" s="45"/>
      <c r="T202" s="46" t="str">
        <f>_xlfn.XLOOKUP(E202,Models!I:I,Models!J:J,"")</f>
        <v/>
      </c>
      <c r="U202" s="45"/>
      <c r="V202" s="45"/>
      <c r="W202" s="38" t="str">
        <f>_xlfn.LET(
    _xlpm.MacVal, _xlfn.XLOOKUP($A202, Output_Mac!$A:$A, Output_Mac!AA:AA, ""),
    _xlpm.MyAuditVal, _xlfn.XLOOKUP($A202, My_Audit!$A:$A, My_Audit!L:L, ""),
    _xlfn.TEXTJOIN(", ", TRUE, _xlpm.MyAuditVal, _xlpm.MacVal)
)</f>
        <v/>
      </c>
    </row>
    <row r="203" spans="1:23">
      <c r="A203" s="45" t="str">
        <f>_xlfn.TEXTJOIN("",TRUE,Input!$B$2,ROW(My_Audit!A202))</f>
        <v>CC202</v>
      </c>
      <c r="B203" s="45" t="str">
        <f>_xlfn.TEXTJOIN("-",TRUE,"ITD",Input!$A$2,A203)</f>
        <v>ITD-XXX-CC202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 cm="1">
        <f t="array" ref="D203">IFERROR(_xlfn.LET(
_xlpm.CSVVal,_xlfn.XLOOKUP($A203,CSV!$A:$A,CSV!C:C,""),
_xlpm.MacVal,_xlfn.XLOOKUP($A203,Output_Mac!$A:$A,Output_Mac!D:D,""),
_xlpm.MyAuditVal,_xlfn.XLOOKUP($A203,My_Audit!$A:$A,My_Audit!C:C,""),
_xlfn.IFS(_xlpm.MyAuditVal&lt;&gt;"",UPPER(_xlpm.MyAuditVal),_xlpm.MacVal&lt;&gt;"",_xlpm.MacVal,_xlpm.CSVVal&lt;&gt;"",_xlpm.CSVVal
)),"")</f>
        <v/>
      </c>
      <c r="E203" s="46" t="str" cm="1">
        <f t="array" ref="E203">IFERROR(_xlfn.LET(
_xlpm.CSVVal,_xlfn.XLOOKUP($A203,CSV!$A:$A,CSV!E:E,""),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_xlpm.CSVVal,_xlfn.XLOOKUP($A203,CSV!$A:$A,CSV!G:G,""),
_xlpm.MacVal,_xlfn.XLOOKUP($A203,Output_Mac!$A:$A,Output_Mac!G:G,""),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_xlfn.XLOOKUP(A203,Output_Mac!A:A,Output_Mac!H:H,"")</f>
        <v/>
      </c>
      <c r="I203" s="45" t="str" cm="1">
        <f t="array" ref="I203">IFERROR(_xlfn.LET(
_xlpm.CSVVal,_xlfn.XLOOKUP($A203,CSV!$A:$A,CSV!H:H,""),
_xlpm.MacVal,_xlfn.XLOOKUP($A203,Output_Mac!$A:$A,Output_Mac!I:I,""),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_xlpm.CSVVal,_xlfn.XLOOKUP($A203,CSV!$A:$A,CSV!J:J,""),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46" t="str" cm="1">
        <f t="array" ref="K203">IFERROR(_xlfn.LET(
_xlpm.CSVVal,_xlfn.XLOOKUP($A203,CSV!$A:$A,CSV!N:N,""),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_xlpm.CSVVal,_xlfn.XLOOKUP($A203,CSV!$A:$A,CSV!Q:Q,""),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CSV!AE:AE,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_xlpm.CSVVal,_xlfn.XLOOKUP($A203,CSV!$A:$A,CSV!AG:AG,""),
_xlpm.MacVal,_xlfn.XLOOKUP($A203,Output_Mac!$A:$A,Output_Mac!T:T,""),
_xlpm.MyAuditVal,_xlfn.XLOOKUP($A203,My_Audit!$A:$A,My_Audit!O:O,""),
_xlfn.IFS(_xlpm.MyAuditVal&lt;&gt;"",UPPER(_xlpm.MyAuditVal),_xlpm.MacVal&lt;&gt;"",_xlpm.MacVal,_xlpm.CSVVal&lt;&gt;"",_xlpm.CSVVal
)),"")</f>
        <v/>
      </c>
      <c r="O203" s="46" t="str">
        <f>_xlfn.XLOOKUP(C203,My_Audit!B:B,My_Audit!P:P,"")&amp;""</f>
        <v/>
      </c>
      <c r="P203" s="45"/>
      <c r="Q203" s="46" t="str">
        <f>IF(LEFT(N203,4)="Pass","Nist SP 800-88",My_Audit!R203)&amp;""</f>
        <v/>
      </c>
      <c r="R203" s="45"/>
      <c r="S203" s="45"/>
      <c r="T203" s="46" t="str">
        <f>_xlfn.XLOOKUP(E203,Models!I:I,Models!J:J,"")</f>
        <v/>
      </c>
      <c r="U203" s="45"/>
      <c r="V203" s="45"/>
      <c r="W203" s="38" t="str">
        <f>_xlfn.LET(
    _xlpm.MacVal, _xlfn.XLOOKUP($A203, Output_Mac!$A:$A, Output_Mac!AA:AA, ""),
    _xlpm.MyAuditVal, _xlfn.XLOOKUP($A203, My_Audit!$A:$A, My_Audit!L:L, ""),
    _xlfn.TEXTJOIN(", ", TRUE, _xlpm.MyAuditVal, _xlpm.MacVal)
)</f>
        <v/>
      </c>
    </row>
    <row r="204" spans="1:23">
      <c r="A204" s="45" t="str">
        <f>_xlfn.TEXTJOIN("",TRUE,Input!$B$2,ROW(My_Audit!A203))</f>
        <v>CC203</v>
      </c>
      <c r="B204" s="45" t="str">
        <f>_xlfn.TEXTJOIN("-",TRUE,"ITD",Input!$A$2,A204)</f>
        <v>ITD-XXX-CC203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 cm="1">
        <f t="array" ref="D204">IFERROR(_xlfn.LET(
_xlpm.CSVVal,_xlfn.XLOOKUP($A204,CSV!$A:$A,CSV!C:C,""),
_xlpm.MacVal,_xlfn.XLOOKUP($A204,Output_Mac!$A:$A,Output_Mac!D:D,""),
_xlpm.MyAuditVal,_xlfn.XLOOKUP($A204,My_Audit!$A:$A,My_Audit!C:C,""),
_xlfn.IFS(_xlpm.MyAuditVal&lt;&gt;"",UPPER(_xlpm.MyAuditVal),_xlpm.MacVal&lt;&gt;"",_xlpm.MacVal,_xlpm.CSVVal&lt;&gt;"",_xlpm.CSVVal
)),"")</f>
        <v/>
      </c>
      <c r="E204" s="46" t="str" cm="1">
        <f t="array" ref="E204">IFERROR(_xlfn.LET(
_xlpm.CSVVal,_xlfn.XLOOKUP($A204,CSV!$A:$A,CSV!E:E,""),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_xlpm.CSVVal,_xlfn.XLOOKUP($A204,CSV!$A:$A,CSV!G:G,""),
_xlpm.MacVal,_xlfn.XLOOKUP($A204,Output_Mac!$A:$A,Output_Mac!G:G,""),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_xlfn.XLOOKUP(A204,Output_Mac!A:A,Output_Mac!H:H,"")</f>
        <v/>
      </c>
      <c r="I204" s="45" t="str" cm="1">
        <f t="array" ref="I204">IFERROR(_xlfn.LET(
_xlpm.CSVVal,_xlfn.XLOOKUP($A204,CSV!$A:$A,CSV!H:H,""),
_xlpm.MacVal,_xlfn.XLOOKUP($A204,Output_Mac!$A:$A,Output_Mac!I:I,""),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_xlpm.CSVVal,_xlfn.XLOOKUP($A204,CSV!$A:$A,CSV!J:J,""),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46" t="str" cm="1">
        <f t="array" ref="K204">IFERROR(_xlfn.LET(
_xlpm.CSVVal,_xlfn.XLOOKUP($A204,CSV!$A:$A,CSV!N:N,""),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_xlpm.CSVVal,_xlfn.XLOOKUP($A204,CSV!$A:$A,CSV!Q:Q,""),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CSV!AE:AE,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_xlpm.CSVVal,_xlfn.XLOOKUP($A204,CSV!$A:$A,CSV!AG:AG,""),
_xlpm.MacVal,_xlfn.XLOOKUP($A204,Output_Mac!$A:$A,Output_Mac!T:T,""),
_xlpm.MyAuditVal,_xlfn.XLOOKUP($A204,My_Audit!$A:$A,My_Audit!O:O,""),
_xlfn.IFS(_xlpm.MyAuditVal&lt;&gt;"",UPPER(_xlpm.MyAuditVal),_xlpm.MacVal&lt;&gt;"",_xlpm.MacVal,_xlpm.CSVVal&lt;&gt;"",_xlpm.CSVVal
)),"")</f>
        <v/>
      </c>
      <c r="O204" s="46" t="str">
        <f>_xlfn.XLOOKUP(C204,My_Audit!B:B,My_Audit!P:P,"")&amp;""</f>
        <v/>
      </c>
      <c r="P204" s="45"/>
      <c r="Q204" s="46" t="str">
        <f>IF(LEFT(N204,4)="Pass","Nist SP 800-88",My_Audit!R204)&amp;""</f>
        <v/>
      </c>
      <c r="R204" s="45"/>
      <c r="S204" s="45"/>
      <c r="T204" s="46" t="str">
        <f>_xlfn.XLOOKUP(E204,Models!I:I,Models!J:J,"")</f>
        <v/>
      </c>
      <c r="U204" s="45"/>
      <c r="V204" s="45"/>
      <c r="W204" s="38" t="str">
        <f>_xlfn.LET(
    _xlpm.MacVal, _xlfn.XLOOKUP($A204, Output_Mac!$A:$A, Output_Mac!AA:AA, ""),
    _xlpm.MyAuditVal, _xlfn.XLOOKUP($A204, My_Audit!$A:$A, My_Audit!L:L, ""),
    _xlfn.TEXTJOIN(", ", TRUE, _xlpm.MyAuditVal, _xlpm.MacVal)
)</f>
        <v/>
      </c>
    </row>
    <row r="205" spans="1:23">
      <c r="A205" s="45" t="str">
        <f>_xlfn.TEXTJOIN("",TRUE,Input!$B$2,ROW(My_Audit!A204))</f>
        <v>CC204</v>
      </c>
      <c r="B205" s="45" t="str">
        <f>_xlfn.TEXTJOIN("-",TRUE,"ITD",Input!$A$2,A205)</f>
        <v>ITD-XXX-CC204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 cm="1">
        <f t="array" ref="D205">IFERROR(_xlfn.LET(
_xlpm.CSVVal,_xlfn.XLOOKUP($A205,CSV!$A:$A,CSV!C:C,""),
_xlpm.MacVal,_xlfn.XLOOKUP($A205,Output_Mac!$A:$A,Output_Mac!D:D,""),
_xlpm.MyAuditVal,_xlfn.XLOOKUP($A205,My_Audit!$A:$A,My_Audit!C:C,""),
_xlfn.IFS(_xlpm.MyAuditVal&lt;&gt;"",UPPER(_xlpm.MyAuditVal),_xlpm.MacVal&lt;&gt;"",_xlpm.MacVal,_xlpm.CSVVal&lt;&gt;"",_xlpm.CSVVal
)),"")</f>
        <v/>
      </c>
      <c r="E205" s="46" t="str" cm="1">
        <f t="array" ref="E205">IFERROR(_xlfn.LET(
_xlpm.CSVVal,_xlfn.XLOOKUP($A205,CSV!$A:$A,CSV!E:E,""),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_xlpm.CSVVal,_xlfn.XLOOKUP($A205,CSV!$A:$A,CSV!G:G,""),
_xlpm.MacVal,_xlfn.XLOOKUP($A205,Output_Mac!$A:$A,Output_Mac!G:G,""),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_xlfn.XLOOKUP(A205,Output_Mac!A:A,Output_Mac!H:H,"")</f>
        <v/>
      </c>
      <c r="I205" s="45" t="str" cm="1">
        <f t="array" ref="I205">IFERROR(_xlfn.LET(
_xlpm.CSVVal,_xlfn.XLOOKUP($A205,CSV!$A:$A,CSV!H:H,""),
_xlpm.MacVal,_xlfn.XLOOKUP($A205,Output_Mac!$A:$A,Output_Mac!I:I,""),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_xlpm.CSVVal,_xlfn.XLOOKUP($A205,CSV!$A:$A,CSV!J:J,""),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46" t="str" cm="1">
        <f t="array" ref="K205">IFERROR(_xlfn.LET(
_xlpm.CSVVal,_xlfn.XLOOKUP($A205,CSV!$A:$A,CSV!N:N,""),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_xlpm.CSVVal,_xlfn.XLOOKUP($A205,CSV!$A:$A,CSV!Q:Q,""),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CSV!AE:AE,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_xlpm.CSVVal,_xlfn.XLOOKUP($A205,CSV!$A:$A,CSV!AG:AG,""),
_xlpm.MacVal,_xlfn.XLOOKUP($A205,Output_Mac!$A:$A,Output_Mac!T:T,""),
_xlpm.MyAuditVal,_xlfn.XLOOKUP($A205,My_Audit!$A:$A,My_Audit!O:O,""),
_xlfn.IFS(_xlpm.MyAuditVal&lt;&gt;"",UPPER(_xlpm.MyAuditVal),_xlpm.MacVal&lt;&gt;"",_xlpm.MacVal,_xlpm.CSVVal&lt;&gt;"",_xlpm.CSVVal
)),"")</f>
        <v/>
      </c>
      <c r="O205" s="46" t="str">
        <f>_xlfn.XLOOKUP(C205,My_Audit!B:B,My_Audit!P:P,"")&amp;""</f>
        <v/>
      </c>
      <c r="P205" s="45"/>
      <c r="Q205" s="46" t="str">
        <f>IF(LEFT(N205,4)="Pass","Nist SP 800-88",My_Audit!R205)&amp;""</f>
        <v/>
      </c>
      <c r="R205" s="45"/>
      <c r="S205" s="45"/>
      <c r="T205" s="46" t="str">
        <f>_xlfn.XLOOKUP(E205,Models!I:I,Models!J:J,"")</f>
        <v/>
      </c>
      <c r="U205" s="45"/>
      <c r="V205" s="45"/>
      <c r="W205" s="38" t="str">
        <f>_xlfn.LET(
    _xlpm.MacVal, _xlfn.XLOOKUP($A205, Output_Mac!$A:$A, Output_Mac!AA:AA, ""),
    _xlpm.MyAuditVal, _xlfn.XLOOKUP($A205, My_Audit!$A:$A, My_Audit!L:L, ""),
    _xlfn.TEXTJOIN(", ", TRUE, _xlpm.MyAuditVal, _xlpm.MacVal)
)</f>
        <v/>
      </c>
    </row>
    <row r="206" spans="1:23">
      <c r="A206" s="45" t="str">
        <f>_xlfn.TEXTJOIN("",TRUE,Input!$B$2,ROW(My_Audit!A205))</f>
        <v>CC205</v>
      </c>
      <c r="B206" s="45" t="str">
        <f>_xlfn.TEXTJOIN("-",TRUE,"ITD",Input!$A$2,A206)</f>
        <v>ITD-XXX-CC205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 cm="1">
        <f t="array" ref="D206">IFERROR(_xlfn.LET(
_xlpm.CSVVal,_xlfn.XLOOKUP($A206,CSV!$A:$A,CSV!C:C,""),
_xlpm.MacVal,_xlfn.XLOOKUP($A206,Output_Mac!$A:$A,Output_Mac!D:D,""),
_xlpm.MyAuditVal,_xlfn.XLOOKUP($A206,My_Audit!$A:$A,My_Audit!C:C,""),
_xlfn.IFS(_xlpm.MyAuditVal&lt;&gt;"",UPPER(_xlpm.MyAuditVal),_xlpm.MacVal&lt;&gt;"",_xlpm.MacVal,_xlpm.CSVVal&lt;&gt;"",_xlpm.CSVVal
)),"")</f>
        <v/>
      </c>
      <c r="E206" s="46" t="str" cm="1">
        <f t="array" ref="E206">IFERROR(_xlfn.LET(
_xlpm.CSVVal,_xlfn.XLOOKUP($A206,CSV!$A:$A,CSV!E:E,""),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_xlpm.CSVVal,_xlfn.XLOOKUP($A206,CSV!$A:$A,CSV!G:G,""),
_xlpm.MacVal,_xlfn.XLOOKUP($A206,Output_Mac!$A:$A,Output_Mac!G:G,""),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_xlfn.XLOOKUP(A206,Output_Mac!A:A,Output_Mac!H:H,"")</f>
        <v/>
      </c>
      <c r="I206" s="45" t="str" cm="1">
        <f t="array" ref="I206">IFERROR(_xlfn.LET(
_xlpm.CSVVal,_xlfn.XLOOKUP($A206,CSV!$A:$A,CSV!H:H,""),
_xlpm.MacVal,_xlfn.XLOOKUP($A206,Output_Mac!$A:$A,Output_Mac!I:I,""),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_xlpm.CSVVal,_xlfn.XLOOKUP($A206,CSV!$A:$A,CSV!J:J,""),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46" t="str" cm="1">
        <f t="array" ref="K206">IFERROR(_xlfn.LET(
_xlpm.CSVVal,_xlfn.XLOOKUP($A206,CSV!$A:$A,CSV!N:N,""),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_xlpm.CSVVal,_xlfn.XLOOKUP($A206,CSV!$A:$A,CSV!Q:Q,""),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CSV!AE:AE,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_xlpm.CSVVal,_xlfn.XLOOKUP($A206,CSV!$A:$A,CSV!AG:AG,""),
_xlpm.MacVal,_xlfn.XLOOKUP($A206,Output_Mac!$A:$A,Output_Mac!T:T,""),
_xlpm.MyAuditVal,_xlfn.XLOOKUP($A206,My_Audit!$A:$A,My_Audit!O:O,""),
_xlfn.IFS(_xlpm.MyAuditVal&lt;&gt;"",UPPER(_xlpm.MyAuditVal),_xlpm.MacVal&lt;&gt;"",_xlpm.MacVal,_xlpm.CSVVal&lt;&gt;"",_xlpm.CSVVal
)),"")</f>
        <v/>
      </c>
      <c r="O206" s="46" t="str">
        <f>_xlfn.XLOOKUP(C206,My_Audit!B:B,My_Audit!P:P,"")&amp;""</f>
        <v/>
      </c>
      <c r="P206" s="45"/>
      <c r="Q206" s="46" t="str">
        <f>IF(LEFT(N206,4)="Pass","Nist SP 800-88",My_Audit!R206)&amp;""</f>
        <v/>
      </c>
      <c r="R206" s="45"/>
      <c r="S206" s="45"/>
      <c r="T206" s="46" t="str">
        <f>_xlfn.XLOOKUP(E206,Models!I:I,Models!J:J,"")</f>
        <v/>
      </c>
      <c r="U206" s="45"/>
      <c r="V206" s="45"/>
      <c r="W206" s="38" t="str">
        <f>_xlfn.LET(
    _xlpm.MacVal, _xlfn.XLOOKUP($A206, Output_Mac!$A:$A, Output_Mac!AA:AA, ""),
    _xlpm.MyAuditVal, _xlfn.XLOOKUP($A206, My_Audit!$A:$A, My_Audit!L:L, ""),
    _xlfn.TEXTJOIN(", ", TRUE, _xlpm.MyAuditVal, _xlpm.MacVal)
)</f>
        <v/>
      </c>
    </row>
    <row r="207" spans="1:23">
      <c r="A207" s="45" t="str">
        <f>_xlfn.TEXTJOIN("",TRUE,Input!$B$2,ROW(My_Audit!A206))</f>
        <v>CC206</v>
      </c>
      <c r="B207" s="45" t="str">
        <f>_xlfn.TEXTJOIN("-",TRUE,"ITD",Input!$A$2,A207)</f>
        <v>ITD-XXX-CC206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 cm="1">
        <f t="array" ref="D207">IFERROR(_xlfn.LET(
_xlpm.CSVVal,_xlfn.XLOOKUP($A207,CSV!$A:$A,CSV!C:C,""),
_xlpm.MacVal,_xlfn.XLOOKUP($A207,Output_Mac!$A:$A,Output_Mac!D:D,""),
_xlpm.MyAuditVal,_xlfn.XLOOKUP($A207,My_Audit!$A:$A,My_Audit!C:C,""),
_xlfn.IFS(_xlpm.MyAuditVal&lt;&gt;"",UPPER(_xlpm.MyAuditVal),_xlpm.MacVal&lt;&gt;"",_xlpm.MacVal,_xlpm.CSVVal&lt;&gt;"",_xlpm.CSVVal
)),"")</f>
        <v/>
      </c>
      <c r="E207" s="46" t="str" cm="1">
        <f t="array" ref="E207">IFERROR(_xlfn.LET(
_xlpm.CSVVal,_xlfn.XLOOKUP($A207,CSV!$A:$A,CSV!E:E,""),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_xlpm.CSVVal,_xlfn.XLOOKUP($A207,CSV!$A:$A,CSV!G:G,""),
_xlpm.MacVal,_xlfn.XLOOKUP($A207,Output_Mac!$A:$A,Output_Mac!G:G,""),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_xlfn.XLOOKUP(A207,Output_Mac!A:A,Output_Mac!H:H,"")</f>
        <v/>
      </c>
      <c r="I207" s="45" t="str" cm="1">
        <f t="array" ref="I207">IFERROR(_xlfn.LET(
_xlpm.CSVVal,_xlfn.XLOOKUP($A207,CSV!$A:$A,CSV!H:H,""),
_xlpm.MacVal,_xlfn.XLOOKUP($A207,Output_Mac!$A:$A,Output_Mac!I:I,""),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_xlpm.CSVVal,_xlfn.XLOOKUP($A207,CSV!$A:$A,CSV!J:J,""),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46" t="str" cm="1">
        <f t="array" ref="K207">IFERROR(_xlfn.LET(
_xlpm.CSVVal,_xlfn.XLOOKUP($A207,CSV!$A:$A,CSV!N:N,""),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_xlpm.CSVVal,_xlfn.XLOOKUP($A207,CSV!$A:$A,CSV!Q:Q,""),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CSV!AE:AE,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_xlpm.CSVVal,_xlfn.XLOOKUP($A207,CSV!$A:$A,CSV!AG:AG,""),
_xlpm.MacVal,_xlfn.XLOOKUP($A207,Output_Mac!$A:$A,Output_Mac!T:T,""),
_xlpm.MyAuditVal,_xlfn.XLOOKUP($A207,My_Audit!$A:$A,My_Audit!O:O,""),
_xlfn.IFS(_xlpm.MyAuditVal&lt;&gt;"",UPPER(_xlpm.MyAuditVal),_xlpm.MacVal&lt;&gt;"",_xlpm.MacVal,_xlpm.CSVVal&lt;&gt;"",_xlpm.CSVVal
)),"")</f>
        <v/>
      </c>
      <c r="O207" s="46" t="str">
        <f>_xlfn.XLOOKUP(C207,My_Audit!B:B,My_Audit!P:P,"")&amp;""</f>
        <v/>
      </c>
      <c r="P207" s="45"/>
      <c r="Q207" s="46" t="str">
        <f>IF(LEFT(N207,4)="Pass","Nist SP 800-88",My_Audit!R207)&amp;""</f>
        <v/>
      </c>
      <c r="R207" s="45"/>
      <c r="S207" s="45"/>
      <c r="T207" s="46" t="str">
        <f>_xlfn.XLOOKUP(E207,Models!I:I,Models!J:J,"")</f>
        <v/>
      </c>
      <c r="U207" s="45"/>
      <c r="V207" s="45"/>
      <c r="W207" s="38" t="str">
        <f>_xlfn.LET(
    _xlpm.MacVal, _xlfn.XLOOKUP($A207, Output_Mac!$A:$A, Output_Mac!AA:AA, ""),
    _xlpm.MyAuditVal, _xlfn.XLOOKUP($A207, My_Audit!$A:$A, My_Audit!L:L, ""),
    _xlfn.TEXTJOIN(", ", TRUE, _xlpm.MyAuditVal, _xlpm.MacVal)
)</f>
        <v/>
      </c>
    </row>
    <row r="208" spans="1:23">
      <c r="A208" s="45" t="str">
        <f>_xlfn.TEXTJOIN("",TRUE,Input!$B$2,ROW(My_Audit!A207))</f>
        <v>CC207</v>
      </c>
      <c r="B208" s="45" t="str">
        <f>_xlfn.TEXTJOIN("-",TRUE,"ITD",Input!$A$2,A208)</f>
        <v>ITD-XXX-CC207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 cm="1">
        <f t="array" ref="D208">IFERROR(_xlfn.LET(
_xlpm.CSVVal,_xlfn.XLOOKUP($A208,CSV!$A:$A,CSV!C:C,""),
_xlpm.MacVal,_xlfn.XLOOKUP($A208,Output_Mac!$A:$A,Output_Mac!D:D,""),
_xlpm.MyAuditVal,_xlfn.XLOOKUP($A208,My_Audit!$A:$A,My_Audit!C:C,""),
_xlfn.IFS(_xlpm.MyAuditVal&lt;&gt;"",UPPER(_xlpm.MyAuditVal),_xlpm.MacVal&lt;&gt;"",_xlpm.MacVal,_xlpm.CSVVal&lt;&gt;"",_xlpm.CSVVal
)),"")</f>
        <v/>
      </c>
      <c r="E208" s="46" t="str" cm="1">
        <f t="array" ref="E208">IFERROR(_xlfn.LET(
_xlpm.CSVVal,_xlfn.XLOOKUP($A208,CSV!$A:$A,CSV!E:E,""),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_xlpm.CSVVal,_xlfn.XLOOKUP($A208,CSV!$A:$A,CSV!G:G,""),
_xlpm.MacVal,_xlfn.XLOOKUP($A208,Output_Mac!$A:$A,Output_Mac!G:G,""),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_xlfn.XLOOKUP(A208,Output_Mac!A:A,Output_Mac!H:H,"")</f>
        <v/>
      </c>
      <c r="I208" s="45" t="str" cm="1">
        <f t="array" ref="I208">IFERROR(_xlfn.LET(
_xlpm.CSVVal,_xlfn.XLOOKUP($A208,CSV!$A:$A,CSV!H:H,""),
_xlpm.MacVal,_xlfn.XLOOKUP($A208,Output_Mac!$A:$A,Output_Mac!I:I,""),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_xlpm.CSVVal,_xlfn.XLOOKUP($A208,CSV!$A:$A,CSV!J:J,""),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46" t="str" cm="1">
        <f t="array" ref="K208">IFERROR(_xlfn.LET(
_xlpm.CSVVal,_xlfn.XLOOKUP($A208,CSV!$A:$A,CSV!N:N,""),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_xlpm.CSVVal,_xlfn.XLOOKUP($A208,CSV!$A:$A,CSV!Q:Q,""),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CSV!AE:AE,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_xlpm.CSVVal,_xlfn.XLOOKUP($A208,CSV!$A:$A,CSV!AG:AG,""),
_xlpm.MacVal,_xlfn.XLOOKUP($A208,Output_Mac!$A:$A,Output_Mac!T:T,""),
_xlpm.MyAuditVal,_xlfn.XLOOKUP($A208,My_Audit!$A:$A,My_Audit!O:O,""),
_xlfn.IFS(_xlpm.MyAuditVal&lt;&gt;"",UPPER(_xlpm.MyAuditVal),_xlpm.MacVal&lt;&gt;"",_xlpm.MacVal,_xlpm.CSVVal&lt;&gt;"",_xlpm.CSVVal
)),"")</f>
        <v/>
      </c>
      <c r="O208" s="46" t="str">
        <f>_xlfn.XLOOKUP(C208,My_Audit!B:B,My_Audit!P:P,"")&amp;""</f>
        <v/>
      </c>
      <c r="P208" s="45"/>
      <c r="Q208" s="46" t="str">
        <f>IF(LEFT(N208,4)="Pass","Nist SP 800-88",My_Audit!R208)&amp;""</f>
        <v/>
      </c>
      <c r="R208" s="45"/>
      <c r="S208" s="45"/>
      <c r="T208" s="46" t="str">
        <f>_xlfn.XLOOKUP(E208,Models!I:I,Models!J:J,"")</f>
        <v/>
      </c>
      <c r="U208" s="45"/>
      <c r="V208" s="45"/>
      <c r="W208" s="38" t="str">
        <f>_xlfn.LET(
    _xlpm.MacVal, _xlfn.XLOOKUP($A208, Output_Mac!$A:$A, Output_Mac!AA:AA, ""),
    _xlpm.MyAuditVal, _xlfn.XLOOKUP($A208, My_Audit!$A:$A, My_Audit!L:L, ""),
    _xlfn.TEXTJOIN(", ", TRUE, _xlpm.MyAuditVal, _xlpm.MacVal)
)</f>
        <v/>
      </c>
    </row>
    <row r="209" spans="1:23">
      <c r="A209" s="45" t="str">
        <f>_xlfn.TEXTJOIN("",TRUE,Input!$B$2,ROW(My_Audit!A208))</f>
        <v>CC208</v>
      </c>
      <c r="B209" s="45" t="str">
        <f>_xlfn.TEXTJOIN("-",TRUE,"ITD",Input!$A$2,A209)</f>
        <v>ITD-XXX-CC208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 cm="1">
        <f t="array" ref="D209">IFERROR(_xlfn.LET(
_xlpm.CSVVal,_xlfn.XLOOKUP($A209,CSV!$A:$A,CSV!C:C,""),
_xlpm.MacVal,_xlfn.XLOOKUP($A209,Output_Mac!$A:$A,Output_Mac!D:D,""),
_xlpm.MyAuditVal,_xlfn.XLOOKUP($A209,My_Audit!$A:$A,My_Audit!C:C,""),
_xlfn.IFS(_xlpm.MyAuditVal&lt;&gt;"",UPPER(_xlpm.MyAuditVal),_xlpm.MacVal&lt;&gt;"",_xlpm.MacVal,_xlpm.CSVVal&lt;&gt;"",_xlpm.CSVVal
)),"")</f>
        <v/>
      </c>
      <c r="E209" s="46" t="str" cm="1">
        <f t="array" ref="E209">IFERROR(_xlfn.LET(
_xlpm.CSVVal,_xlfn.XLOOKUP($A209,CSV!$A:$A,CSV!E:E,""),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_xlpm.CSVVal,_xlfn.XLOOKUP($A209,CSV!$A:$A,CSV!G:G,""),
_xlpm.MacVal,_xlfn.XLOOKUP($A209,Output_Mac!$A:$A,Output_Mac!G:G,""),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_xlfn.XLOOKUP(A209,Output_Mac!A:A,Output_Mac!H:H,"")</f>
        <v/>
      </c>
      <c r="I209" s="45" t="str" cm="1">
        <f t="array" ref="I209">IFERROR(_xlfn.LET(
_xlpm.CSVVal,_xlfn.XLOOKUP($A209,CSV!$A:$A,CSV!H:H,""),
_xlpm.MacVal,_xlfn.XLOOKUP($A209,Output_Mac!$A:$A,Output_Mac!I:I,""),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_xlpm.CSVVal,_xlfn.XLOOKUP($A209,CSV!$A:$A,CSV!J:J,""),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46" t="str" cm="1">
        <f t="array" ref="K209">IFERROR(_xlfn.LET(
_xlpm.CSVVal,_xlfn.XLOOKUP($A209,CSV!$A:$A,CSV!N:N,""),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_xlpm.CSVVal,_xlfn.XLOOKUP($A209,CSV!$A:$A,CSV!Q:Q,""),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CSV!AE:AE,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_xlpm.CSVVal,_xlfn.XLOOKUP($A209,CSV!$A:$A,CSV!AG:AG,""),
_xlpm.MacVal,_xlfn.XLOOKUP($A209,Output_Mac!$A:$A,Output_Mac!T:T,""),
_xlpm.MyAuditVal,_xlfn.XLOOKUP($A209,My_Audit!$A:$A,My_Audit!O:O,""),
_xlfn.IFS(_xlpm.MyAuditVal&lt;&gt;"",UPPER(_xlpm.MyAuditVal),_xlpm.MacVal&lt;&gt;"",_xlpm.MacVal,_xlpm.CSVVal&lt;&gt;"",_xlpm.CSVVal
)),"")</f>
        <v/>
      </c>
      <c r="O209" s="46" t="str">
        <f>_xlfn.XLOOKUP(C209,My_Audit!B:B,My_Audit!P:P,"")&amp;""</f>
        <v/>
      </c>
      <c r="P209" s="45"/>
      <c r="Q209" s="46" t="str">
        <f>IF(LEFT(N209,4)="Pass","Nist SP 800-88",My_Audit!R209)&amp;""</f>
        <v/>
      </c>
      <c r="R209" s="45"/>
      <c r="S209" s="45"/>
      <c r="T209" s="46" t="str">
        <f>_xlfn.XLOOKUP(E209,Models!I:I,Models!J:J,"")</f>
        <v/>
      </c>
      <c r="U209" s="45"/>
      <c r="V209" s="45"/>
      <c r="W209" s="38" t="str">
        <f>_xlfn.LET(
    _xlpm.MacVal, _xlfn.XLOOKUP($A209, Output_Mac!$A:$A, Output_Mac!AA:AA, ""),
    _xlpm.MyAuditVal, _xlfn.XLOOKUP($A209, My_Audit!$A:$A, My_Audit!L:L, ""),
    _xlfn.TEXTJOIN(", ", TRUE, _xlpm.MyAuditVal, _xlpm.MacVal)
)</f>
        <v/>
      </c>
    </row>
    <row r="210" spans="1:23">
      <c r="A210" s="45" t="str">
        <f>_xlfn.TEXTJOIN("",TRUE,Input!$B$2,ROW(My_Audit!A209))</f>
        <v>CC209</v>
      </c>
      <c r="B210" s="45" t="str">
        <f>_xlfn.TEXTJOIN("-",TRUE,"ITD",Input!$A$2,A210)</f>
        <v>ITD-XXX-CC209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 cm="1">
        <f t="array" ref="D210">IFERROR(_xlfn.LET(
_xlpm.CSVVal,_xlfn.XLOOKUP($A210,CSV!$A:$A,CSV!C:C,""),
_xlpm.MacVal,_xlfn.XLOOKUP($A210,Output_Mac!$A:$A,Output_Mac!D:D,""),
_xlpm.MyAuditVal,_xlfn.XLOOKUP($A210,My_Audit!$A:$A,My_Audit!C:C,""),
_xlfn.IFS(_xlpm.MyAuditVal&lt;&gt;"",UPPER(_xlpm.MyAuditVal),_xlpm.MacVal&lt;&gt;"",_xlpm.MacVal,_xlpm.CSVVal&lt;&gt;"",_xlpm.CSVVal
)),"")</f>
        <v/>
      </c>
      <c r="E210" s="46" t="str" cm="1">
        <f t="array" ref="E210">IFERROR(_xlfn.LET(
_xlpm.CSVVal,_xlfn.XLOOKUP($A210,CSV!$A:$A,CSV!E:E,""),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_xlpm.CSVVal,_xlfn.XLOOKUP($A210,CSV!$A:$A,CSV!G:G,""),
_xlpm.MacVal,_xlfn.XLOOKUP($A210,Output_Mac!$A:$A,Output_Mac!G:G,""),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_xlfn.XLOOKUP(A210,Output_Mac!A:A,Output_Mac!H:H,"")</f>
        <v/>
      </c>
      <c r="I210" s="45" t="str" cm="1">
        <f t="array" ref="I210">IFERROR(_xlfn.LET(
_xlpm.CSVVal,_xlfn.XLOOKUP($A210,CSV!$A:$A,CSV!H:H,""),
_xlpm.MacVal,_xlfn.XLOOKUP($A210,Output_Mac!$A:$A,Output_Mac!I:I,""),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_xlpm.CSVVal,_xlfn.XLOOKUP($A210,CSV!$A:$A,CSV!J:J,""),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46" t="str" cm="1">
        <f t="array" ref="K210">IFERROR(_xlfn.LET(
_xlpm.CSVVal,_xlfn.XLOOKUP($A210,CSV!$A:$A,CSV!N:N,""),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_xlpm.CSVVal,_xlfn.XLOOKUP($A210,CSV!$A:$A,CSV!Q:Q,""),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CSV!AE:AE,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_xlpm.CSVVal,_xlfn.XLOOKUP($A210,CSV!$A:$A,CSV!AG:AG,""),
_xlpm.MacVal,_xlfn.XLOOKUP($A210,Output_Mac!$A:$A,Output_Mac!T:T,""),
_xlpm.MyAuditVal,_xlfn.XLOOKUP($A210,My_Audit!$A:$A,My_Audit!O:O,""),
_xlfn.IFS(_xlpm.MyAuditVal&lt;&gt;"",UPPER(_xlpm.MyAuditVal),_xlpm.MacVal&lt;&gt;"",_xlpm.MacVal,_xlpm.CSVVal&lt;&gt;"",_xlpm.CSVVal
)),"")</f>
        <v/>
      </c>
      <c r="O210" s="46" t="str">
        <f>_xlfn.XLOOKUP(C210,My_Audit!B:B,My_Audit!P:P,"")&amp;""</f>
        <v/>
      </c>
      <c r="P210" s="45"/>
      <c r="Q210" s="46" t="str">
        <f>IF(LEFT(N210,4)="Pass","Nist SP 800-88",My_Audit!R210)&amp;""</f>
        <v/>
      </c>
      <c r="R210" s="45"/>
      <c r="S210" s="45"/>
      <c r="T210" s="46" t="str">
        <f>_xlfn.XLOOKUP(E210,Models!I:I,Models!J:J,"")</f>
        <v/>
      </c>
      <c r="U210" s="45"/>
      <c r="V210" s="45"/>
      <c r="W210" s="38" t="str">
        <f>_xlfn.LET(
    _xlpm.MacVal, _xlfn.XLOOKUP($A210, Output_Mac!$A:$A, Output_Mac!AA:AA, ""),
    _xlpm.MyAuditVal, _xlfn.XLOOKUP($A210, My_Audit!$A:$A, My_Audit!L:L, ""),
    _xlfn.TEXTJOIN(", ", TRUE, _xlpm.MyAuditVal, _xlpm.MacVal)
)</f>
        <v/>
      </c>
    </row>
    <row r="211" spans="1:23">
      <c r="A211" s="45" t="str">
        <f>_xlfn.TEXTJOIN("",TRUE,Input!$B$2,ROW(My_Audit!A210))</f>
        <v>CC210</v>
      </c>
      <c r="B211" s="45" t="str">
        <f>_xlfn.TEXTJOIN("-",TRUE,"ITD",Input!$A$2,A211)</f>
        <v>ITD-XXX-CC210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 cm="1">
        <f t="array" ref="D211">IFERROR(_xlfn.LET(
_xlpm.CSVVal,_xlfn.XLOOKUP($A211,CSV!$A:$A,CSV!C:C,""),
_xlpm.MacVal,_xlfn.XLOOKUP($A211,Output_Mac!$A:$A,Output_Mac!D:D,""),
_xlpm.MyAuditVal,_xlfn.XLOOKUP($A211,My_Audit!$A:$A,My_Audit!C:C,""),
_xlfn.IFS(_xlpm.MyAuditVal&lt;&gt;"",UPPER(_xlpm.MyAuditVal),_xlpm.MacVal&lt;&gt;"",_xlpm.MacVal,_xlpm.CSVVal&lt;&gt;"",_xlpm.CSVVal
)),"")</f>
        <v/>
      </c>
      <c r="E211" s="46" t="str" cm="1">
        <f t="array" ref="E211">IFERROR(_xlfn.LET(
_xlpm.CSVVal,_xlfn.XLOOKUP($A211,CSV!$A:$A,CSV!E:E,""),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_xlpm.CSVVal,_xlfn.XLOOKUP($A211,CSV!$A:$A,CSV!G:G,""),
_xlpm.MacVal,_xlfn.XLOOKUP($A211,Output_Mac!$A:$A,Output_Mac!G:G,""),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_xlfn.XLOOKUP(A211,Output_Mac!A:A,Output_Mac!H:H,"")</f>
        <v/>
      </c>
      <c r="I211" s="45" t="str" cm="1">
        <f t="array" ref="I211">IFERROR(_xlfn.LET(
_xlpm.CSVVal,_xlfn.XLOOKUP($A211,CSV!$A:$A,CSV!H:H,""),
_xlpm.MacVal,_xlfn.XLOOKUP($A211,Output_Mac!$A:$A,Output_Mac!I:I,""),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_xlpm.CSVVal,_xlfn.XLOOKUP($A211,CSV!$A:$A,CSV!J:J,""),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46" t="str" cm="1">
        <f t="array" ref="K211">IFERROR(_xlfn.LET(
_xlpm.CSVVal,_xlfn.XLOOKUP($A211,CSV!$A:$A,CSV!N:N,""),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_xlpm.CSVVal,_xlfn.XLOOKUP($A211,CSV!$A:$A,CSV!Q:Q,""),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CSV!AE:AE,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_xlpm.CSVVal,_xlfn.XLOOKUP($A211,CSV!$A:$A,CSV!AG:AG,""),
_xlpm.MacVal,_xlfn.XLOOKUP($A211,Output_Mac!$A:$A,Output_Mac!T:T,""),
_xlpm.MyAuditVal,_xlfn.XLOOKUP($A211,My_Audit!$A:$A,My_Audit!O:O,""),
_xlfn.IFS(_xlpm.MyAuditVal&lt;&gt;"",UPPER(_xlpm.MyAuditVal),_xlpm.MacVal&lt;&gt;"",_xlpm.MacVal,_xlpm.CSVVal&lt;&gt;"",_xlpm.CSVVal
)),"")</f>
        <v/>
      </c>
      <c r="O211" s="46" t="str">
        <f>_xlfn.XLOOKUP(C211,My_Audit!B:B,My_Audit!P:P,"")&amp;""</f>
        <v/>
      </c>
      <c r="P211" s="45"/>
      <c r="Q211" s="46" t="str">
        <f>IF(LEFT(N211,4)="Pass","Nist SP 800-88",My_Audit!R211)&amp;""</f>
        <v/>
      </c>
      <c r="R211" s="45"/>
      <c r="S211" s="45"/>
      <c r="T211" s="46" t="str">
        <f>_xlfn.XLOOKUP(E211,Models!I:I,Models!J:J,"")</f>
        <v/>
      </c>
      <c r="U211" s="45"/>
      <c r="V211" s="45"/>
      <c r="W211" s="38" t="str">
        <f>_xlfn.LET(
    _xlpm.MacVal, _xlfn.XLOOKUP($A211, Output_Mac!$A:$A, Output_Mac!AA:AA, ""),
    _xlpm.MyAuditVal, _xlfn.XLOOKUP($A211, My_Audit!$A:$A, My_Audit!L:L, ""),
    _xlfn.TEXTJOIN(", ", TRUE, _xlpm.MyAuditVal, _xlpm.MacVal)
)</f>
        <v/>
      </c>
    </row>
    <row r="212" spans="1:23">
      <c r="A212" s="45" t="str">
        <f>_xlfn.TEXTJOIN("",TRUE,Input!$B$2,ROW(My_Audit!A211))</f>
        <v>CC211</v>
      </c>
      <c r="B212" s="45" t="str">
        <f>_xlfn.TEXTJOIN("-",TRUE,"ITD",Input!$A$2,A212)</f>
        <v>ITD-XXX-CC211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 cm="1">
        <f t="array" ref="D212">IFERROR(_xlfn.LET(
_xlpm.CSVVal,_xlfn.XLOOKUP($A212,CSV!$A:$A,CSV!C:C,""),
_xlpm.MacVal,_xlfn.XLOOKUP($A212,Output_Mac!$A:$A,Output_Mac!D:D,""),
_xlpm.MyAuditVal,_xlfn.XLOOKUP($A212,My_Audit!$A:$A,My_Audit!C:C,""),
_xlfn.IFS(_xlpm.MyAuditVal&lt;&gt;"",UPPER(_xlpm.MyAuditVal),_xlpm.MacVal&lt;&gt;"",_xlpm.MacVal,_xlpm.CSVVal&lt;&gt;"",_xlpm.CSVVal
)),"")</f>
        <v/>
      </c>
      <c r="E212" s="46" t="str" cm="1">
        <f t="array" ref="E212">IFERROR(_xlfn.LET(
_xlpm.CSVVal,_xlfn.XLOOKUP($A212,CSV!$A:$A,CSV!E:E,""),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_xlpm.CSVVal,_xlfn.XLOOKUP($A212,CSV!$A:$A,CSV!G:G,""),
_xlpm.MacVal,_xlfn.XLOOKUP($A212,Output_Mac!$A:$A,Output_Mac!G:G,""),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_xlfn.XLOOKUP(A212,Output_Mac!A:A,Output_Mac!H:H,"")</f>
        <v/>
      </c>
      <c r="I212" s="45" t="str" cm="1">
        <f t="array" ref="I212">IFERROR(_xlfn.LET(
_xlpm.CSVVal,_xlfn.XLOOKUP($A212,CSV!$A:$A,CSV!H:H,""),
_xlpm.MacVal,_xlfn.XLOOKUP($A212,Output_Mac!$A:$A,Output_Mac!I:I,""),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_xlpm.CSVVal,_xlfn.XLOOKUP($A212,CSV!$A:$A,CSV!J:J,""),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46" t="str" cm="1">
        <f t="array" ref="K212">IFERROR(_xlfn.LET(
_xlpm.CSVVal,_xlfn.XLOOKUP($A212,CSV!$A:$A,CSV!N:N,""),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_xlpm.CSVVal,_xlfn.XLOOKUP($A212,CSV!$A:$A,CSV!Q:Q,""),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CSV!AE:AE,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_xlpm.CSVVal,_xlfn.XLOOKUP($A212,CSV!$A:$A,CSV!AG:AG,""),
_xlpm.MacVal,_xlfn.XLOOKUP($A212,Output_Mac!$A:$A,Output_Mac!T:T,""),
_xlpm.MyAuditVal,_xlfn.XLOOKUP($A212,My_Audit!$A:$A,My_Audit!O:O,""),
_xlfn.IFS(_xlpm.MyAuditVal&lt;&gt;"",UPPER(_xlpm.MyAuditVal),_xlpm.MacVal&lt;&gt;"",_xlpm.MacVal,_xlpm.CSVVal&lt;&gt;"",_xlpm.CSVVal
)),"")</f>
        <v/>
      </c>
      <c r="O212" s="46" t="str">
        <f>_xlfn.XLOOKUP(C212,My_Audit!B:B,My_Audit!P:P,"")&amp;""</f>
        <v/>
      </c>
      <c r="P212" s="45"/>
      <c r="Q212" s="46" t="str">
        <f>IF(LEFT(N212,4)="Pass","Nist SP 800-88",My_Audit!R212)&amp;""</f>
        <v/>
      </c>
      <c r="R212" s="45"/>
      <c r="S212" s="45"/>
      <c r="T212" s="46" t="str">
        <f>_xlfn.XLOOKUP(E212,Models!I:I,Models!J:J,"")</f>
        <v/>
      </c>
      <c r="U212" s="45"/>
      <c r="V212" s="45"/>
      <c r="W212" s="38" t="str">
        <f>_xlfn.LET(
    _xlpm.MacVal, _xlfn.XLOOKUP($A212, Output_Mac!$A:$A, Output_Mac!AA:AA, ""),
    _xlpm.MyAuditVal, _xlfn.XLOOKUP($A212, My_Audit!$A:$A, My_Audit!L:L, ""),
    _xlfn.TEXTJOIN(", ", TRUE, _xlpm.MyAuditVal, _xlpm.MacVal)
)</f>
        <v/>
      </c>
    </row>
    <row r="213" spans="1:23">
      <c r="A213" s="45" t="str">
        <f>_xlfn.TEXTJOIN("",TRUE,Input!$B$2,ROW(My_Audit!A212))</f>
        <v>CC212</v>
      </c>
      <c r="B213" s="45" t="str">
        <f>_xlfn.TEXTJOIN("-",TRUE,"ITD",Input!$A$2,A213)</f>
        <v>ITD-XXX-CC212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 cm="1">
        <f t="array" ref="D213">IFERROR(_xlfn.LET(
_xlpm.CSVVal,_xlfn.XLOOKUP($A213,CSV!$A:$A,CSV!C:C,""),
_xlpm.MacVal,_xlfn.XLOOKUP($A213,Output_Mac!$A:$A,Output_Mac!D:D,""),
_xlpm.MyAuditVal,_xlfn.XLOOKUP($A213,My_Audit!$A:$A,My_Audit!C:C,""),
_xlfn.IFS(_xlpm.MyAuditVal&lt;&gt;"",UPPER(_xlpm.MyAuditVal),_xlpm.MacVal&lt;&gt;"",_xlpm.MacVal,_xlpm.CSVVal&lt;&gt;"",_xlpm.CSVVal
)),"")</f>
        <v/>
      </c>
      <c r="E213" s="46" t="str" cm="1">
        <f t="array" ref="E213">IFERROR(_xlfn.LET(
_xlpm.CSVVal,_xlfn.XLOOKUP($A213,CSV!$A:$A,CSV!E:E,""),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_xlpm.CSVVal,_xlfn.XLOOKUP($A213,CSV!$A:$A,CSV!G:G,""),
_xlpm.MacVal,_xlfn.XLOOKUP($A213,Output_Mac!$A:$A,Output_Mac!G:G,""),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_xlfn.XLOOKUP(A213,Output_Mac!A:A,Output_Mac!H:H,"")</f>
        <v/>
      </c>
      <c r="I213" s="45" t="str" cm="1">
        <f t="array" ref="I213">IFERROR(_xlfn.LET(
_xlpm.CSVVal,_xlfn.XLOOKUP($A213,CSV!$A:$A,CSV!H:H,""),
_xlpm.MacVal,_xlfn.XLOOKUP($A213,Output_Mac!$A:$A,Output_Mac!I:I,""),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_xlpm.CSVVal,_xlfn.XLOOKUP($A213,CSV!$A:$A,CSV!J:J,""),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46" t="str" cm="1">
        <f t="array" ref="K213">IFERROR(_xlfn.LET(
_xlpm.CSVVal,_xlfn.XLOOKUP($A213,CSV!$A:$A,CSV!N:N,""),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_xlpm.CSVVal,_xlfn.XLOOKUP($A213,CSV!$A:$A,CSV!Q:Q,""),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CSV!AE:AE,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_xlpm.CSVVal,_xlfn.XLOOKUP($A213,CSV!$A:$A,CSV!AG:AG,""),
_xlpm.MacVal,_xlfn.XLOOKUP($A213,Output_Mac!$A:$A,Output_Mac!T:T,""),
_xlpm.MyAuditVal,_xlfn.XLOOKUP($A213,My_Audit!$A:$A,My_Audit!O:O,""),
_xlfn.IFS(_xlpm.MyAuditVal&lt;&gt;"",UPPER(_xlpm.MyAuditVal),_xlpm.MacVal&lt;&gt;"",_xlpm.MacVal,_xlpm.CSVVal&lt;&gt;"",_xlpm.CSVVal
)),"")</f>
        <v/>
      </c>
      <c r="O213" s="46" t="str">
        <f>_xlfn.XLOOKUP(C213,My_Audit!B:B,My_Audit!P:P,"")&amp;""</f>
        <v/>
      </c>
      <c r="P213" s="45"/>
      <c r="Q213" s="46" t="str">
        <f>IF(LEFT(N213,4)="Pass","Nist SP 800-88",My_Audit!R213)&amp;""</f>
        <v/>
      </c>
      <c r="R213" s="45"/>
      <c r="S213" s="45"/>
      <c r="T213" s="46" t="str">
        <f>_xlfn.XLOOKUP(E213,Models!I:I,Models!J:J,"")</f>
        <v/>
      </c>
      <c r="U213" s="45"/>
      <c r="V213" s="45"/>
      <c r="W213" s="38" t="str">
        <f>_xlfn.LET(
    _xlpm.MacVal, _xlfn.XLOOKUP($A213, Output_Mac!$A:$A, Output_Mac!AA:AA, ""),
    _xlpm.MyAuditVal, _xlfn.XLOOKUP($A213, My_Audit!$A:$A, My_Audit!L:L, ""),
    _xlfn.TEXTJOIN(", ", TRUE, _xlpm.MyAuditVal, _xlpm.MacVal)
)</f>
        <v/>
      </c>
    </row>
    <row r="214" spans="1:23">
      <c r="A214" s="45" t="str">
        <f>_xlfn.TEXTJOIN("",TRUE,Input!$B$2,ROW(My_Audit!A213))</f>
        <v>CC213</v>
      </c>
      <c r="B214" s="45" t="str">
        <f>_xlfn.TEXTJOIN("-",TRUE,"ITD",Input!$A$2,A214)</f>
        <v>ITD-XXX-CC213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 cm="1">
        <f t="array" ref="D214">IFERROR(_xlfn.LET(
_xlpm.CSVVal,_xlfn.XLOOKUP($A214,CSV!$A:$A,CSV!C:C,""),
_xlpm.MacVal,_xlfn.XLOOKUP($A214,Output_Mac!$A:$A,Output_Mac!D:D,""),
_xlpm.MyAuditVal,_xlfn.XLOOKUP($A214,My_Audit!$A:$A,My_Audit!C:C,""),
_xlfn.IFS(_xlpm.MyAuditVal&lt;&gt;"",UPPER(_xlpm.MyAuditVal),_xlpm.MacVal&lt;&gt;"",_xlpm.MacVal,_xlpm.CSVVal&lt;&gt;"",_xlpm.CSVVal
)),"")</f>
        <v/>
      </c>
      <c r="E214" s="46" t="str" cm="1">
        <f t="array" ref="E214">IFERROR(_xlfn.LET(
_xlpm.CSVVal,_xlfn.XLOOKUP($A214,CSV!$A:$A,CSV!E:E,""),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_xlpm.CSVVal,_xlfn.XLOOKUP($A214,CSV!$A:$A,CSV!G:G,""),
_xlpm.MacVal,_xlfn.XLOOKUP($A214,Output_Mac!$A:$A,Output_Mac!G:G,""),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_xlfn.XLOOKUP(A214,Output_Mac!A:A,Output_Mac!H:H,"")</f>
        <v/>
      </c>
      <c r="I214" s="45" t="str" cm="1">
        <f t="array" ref="I214">IFERROR(_xlfn.LET(
_xlpm.CSVVal,_xlfn.XLOOKUP($A214,CSV!$A:$A,CSV!H:H,""),
_xlpm.MacVal,_xlfn.XLOOKUP($A214,Output_Mac!$A:$A,Output_Mac!I:I,""),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_xlpm.CSVVal,_xlfn.XLOOKUP($A214,CSV!$A:$A,CSV!J:J,""),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46" t="str" cm="1">
        <f t="array" ref="K214">IFERROR(_xlfn.LET(
_xlpm.CSVVal,_xlfn.XLOOKUP($A214,CSV!$A:$A,CSV!N:N,""),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_xlpm.CSVVal,_xlfn.XLOOKUP($A214,CSV!$A:$A,CSV!Q:Q,""),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CSV!AE:AE,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_xlpm.CSVVal,_xlfn.XLOOKUP($A214,CSV!$A:$A,CSV!AG:AG,""),
_xlpm.MacVal,_xlfn.XLOOKUP($A214,Output_Mac!$A:$A,Output_Mac!T:T,""),
_xlpm.MyAuditVal,_xlfn.XLOOKUP($A214,My_Audit!$A:$A,My_Audit!O:O,""),
_xlfn.IFS(_xlpm.MyAuditVal&lt;&gt;"",UPPER(_xlpm.MyAuditVal),_xlpm.MacVal&lt;&gt;"",_xlpm.MacVal,_xlpm.CSVVal&lt;&gt;"",_xlpm.CSVVal
)),"")</f>
        <v/>
      </c>
      <c r="O214" s="46" t="str">
        <f>_xlfn.XLOOKUP(C214,My_Audit!B:B,My_Audit!P:P,"")&amp;""</f>
        <v/>
      </c>
      <c r="P214" s="45"/>
      <c r="Q214" s="46" t="str">
        <f>IF(LEFT(N214,4)="Pass","Nist SP 800-88",My_Audit!R214)&amp;""</f>
        <v/>
      </c>
      <c r="R214" s="45"/>
      <c r="S214" s="45"/>
      <c r="T214" s="46" t="str">
        <f>_xlfn.XLOOKUP(E214,Models!I:I,Models!J:J,"")</f>
        <v/>
      </c>
      <c r="U214" s="45"/>
      <c r="V214" s="45"/>
      <c r="W214" s="38" t="str">
        <f>_xlfn.LET(
    _xlpm.MacVal, _xlfn.XLOOKUP($A214, Output_Mac!$A:$A, Output_Mac!AA:AA, ""),
    _xlpm.MyAuditVal, _xlfn.XLOOKUP($A214, My_Audit!$A:$A, My_Audit!L:L, ""),
    _xlfn.TEXTJOIN(", ", TRUE, _xlpm.MyAuditVal, _xlpm.MacVal)
)</f>
        <v/>
      </c>
    </row>
    <row r="215" spans="1:23">
      <c r="A215" s="45" t="str">
        <f>_xlfn.TEXTJOIN("",TRUE,Input!$B$2,ROW(My_Audit!A214))</f>
        <v>CC214</v>
      </c>
      <c r="B215" s="45" t="str">
        <f>_xlfn.TEXTJOIN("-",TRUE,"ITD",Input!$A$2,A215)</f>
        <v>ITD-XXX-CC214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 cm="1">
        <f t="array" ref="D215">IFERROR(_xlfn.LET(
_xlpm.CSVVal,_xlfn.XLOOKUP($A215,CSV!$A:$A,CSV!C:C,""),
_xlpm.MacVal,_xlfn.XLOOKUP($A215,Output_Mac!$A:$A,Output_Mac!D:D,""),
_xlpm.MyAuditVal,_xlfn.XLOOKUP($A215,My_Audit!$A:$A,My_Audit!C:C,""),
_xlfn.IFS(_xlpm.MyAuditVal&lt;&gt;"",UPPER(_xlpm.MyAuditVal),_xlpm.MacVal&lt;&gt;"",_xlpm.MacVal,_xlpm.CSVVal&lt;&gt;"",_xlpm.CSVVal
)),"")</f>
        <v/>
      </c>
      <c r="E215" s="46" t="str" cm="1">
        <f t="array" ref="E215">IFERROR(_xlfn.LET(
_xlpm.CSVVal,_xlfn.XLOOKUP($A215,CSV!$A:$A,CSV!E:E,""),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_xlpm.CSVVal,_xlfn.XLOOKUP($A215,CSV!$A:$A,CSV!G:G,""),
_xlpm.MacVal,_xlfn.XLOOKUP($A215,Output_Mac!$A:$A,Output_Mac!G:G,""),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_xlfn.XLOOKUP(A215,Output_Mac!A:A,Output_Mac!H:H,"")</f>
        <v/>
      </c>
      <c r="I215" s="45" t="str" cm="1">
        <f t="array" ref="I215">IFERROR(_xlfn.LET(
_xlpm.CSVVal,_xlfn.XLOOKUP($A215,CSV!$A:$A,CSV!H:H,""),
_xlpm.MacVal,_xlfn.XLOOKUP($A215,Output_Mac!$A:$A,Output_Mac!I:I,""),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_xlpm.CSVVal,_xlfn.XLOOKUP($A215,CSV!$A:$A,CSV!J:J,""),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46" t="str" cm="1">
        <f t="array" ref="K215">IFERROR(_xlfn.LET(
_xlpm.CSVVal,_xlfn.XLOOKUP($A215,CSV!$A:$A,CSV!N:N,""),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_xlpm.CSVVal,_xlfn.XLOOKUP($A215,CSV!$A:$A,CSV!Q:Q,""),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CSV!AE:AE,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_xlpm.CSVVal,_xlfn.XLOOKUP($A215,CSV!$A:$A,CSV!AG:AG,""),
_xlpm.MacVal,_xlfn.XLOOKUP($A215,Output_Mac!$A:$A,Output_Mac!T:T,""),
_xlpm.MyAuditVal,_xlfn.XLOOKUP($A215,My_Audit!$A:$A,My_Audit!O:O,""),
_xlfn.IFS(_xlpm.MyAuditVal&lt;&gt;"",UPPER(_xlpm.MyAuditVal),_xlpm.MacVal&lt;&gt;"",_xlpm.MacVal,_xlpm.CSVVal&lt;&gt;"",_xlpm.CSVVal
)),"")</f>
        <v/>
      </c>
      <c r="O215" s="46" t="str">
        <f>_xlfn.XLOOKUP(C215,My_Audit!B:B,My_Audit!P:P,"")&amp;""</f>
        <v/>
      </c>
      <c r="P215" s="45"/>
      <c r="Q215" s="46" t="str">
        <f>IF(LEFT(N215,4)="Pass","Nist SP 800-88",My_Audit!R215)&amp;""</f>
        <v/>
      </c>
      <c r="R215" s="45"/>
      <c r="S215" s="45"/>
      <c r="T215" s="46" t="str">
        <f>_xlfn.XLOOKUP(E215,Models!I:I,Models!J:J,"")</f>
        <v/>
      </c>
      <c r="U215" s="45"/>
      <c r="V215" s="45"/>
      <c r="W215" s="38" t="str">
        <f>_xlfn.LET(
    _xlpm.MacVal, _xlfn.XLOOKUP($A215, Output_Mac!$A:$A, Output_Mac!AA:AA, ""),
    _xlpm.MyAuditVal, _xlfn.XLOOKUP($A215, My_Audit!$A:$A, My_Audit!L:L, ""),
    _xlfn.TEXTJOIN(", ", TRUE, _xlpm.MyAuditVal, _xlpm.MacVal)
)</f>
        <v/>
      </c>
    </row>
    <row r="216" spans="1:23">
      <c r="A216" s="45" t="str">
        <f>_xlfn.TEXTJOIN("",TRUE,Input!$B$2,ROW(My_Audit!A215))</f>
        <v>CC215</v>
      </c>
      <c r="B216" s="45" t="str">
        <f>_xlfn.TEXTJOIN("-",TRUE,"ITD",Input!$A$2,A216)</f>
        <v>ITD-XXX-CC215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 cm="1">
        <f t="array" ref="D216">IFERROR(_xlfn.LET(
_xlpm.CSVVal,_xlfn.XLOOKUP($A216,CSV!$A:$A,CSV!C:C,""),
_xlpm.MacVal,_xlfn.XLOOKUP($A216,Output_Mac!$A:$A,Output_Mac!D:D,""),
_xlpm.MyAuditVal,_xlfn.XLOOKUP($A216,My_Audit!$A:$A,My_Audit!C:C,""),
_xlfn.IFS(_xlpm.MyAuditVal&lt;&gt;"",UPPER(_xlpm.MyAuditVal),_xlpm.MacVal&lt;&gt;"",_xlpm.MacVal,_xlpm.CSVVal&lt;&gt;"",_xlpm.CSVVal
)),"")</f>
        <v/>
      </c>
      <c r="E216" s="46" t="str" cm="1">
        <f t="array" ref="E216">IFERROR(_xlfn.LET(
_xlpm.CSVVal,_xlfn.XLOOKUP($A216,CSV!$A:$A,CSV!E:E,""),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_xlpm.CSVVal,_xlfn.XLOOKUP($A216,CSV!$A:$A,CSV!G:G,""),
_xlpm.MacVal,_xlfn.XLOOKUP($A216,Output_Mac!$A:$A,Output_Mac!G:G,""),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_xlfn.XLOOKUP(A216,Output_Mac!A:A,Output_Mac!H:H,"")</f>
        <v/>
      </c>
      <c r="I216" s="45" t="str" cm="1">
        <f t="array" ref="I216">IFERROR(_xlfn.LET(
_xlpm.CSVVal,_xlfn.XLOOKUP($A216,CSV!$A:$A,CSV!H:H,""),
_xlpm.MacVal,_xlfn.XLOOKUP($A216,Output_Mac!$A:$A,Output_Mac!I:I,""),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_xlpm.CSVVal,_xlfn.XLOOKUP($A216,CSV!$A:$A,CSV!J:J,""),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46" t="str" cm="1">
        <f t="array" ref="K216">IFERROR(_xlfn.LET(
_xlpm.CSVVal,_xlfn.XLOOKUP($A216,CSV!$A:$A,CSV!N:N,""),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_xlpm.CSVVal,_xlfn.XLOOKUP($A216,CSV!$A:$A,CSV!Q:Q,""),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CSV!AE:AE,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_xlpm.CSVVal,_xlfn.XLOOKUP($A216,CSV!$A:$A,CSV!AG:AG,""),
_xlpm.MacVal,_xlfn.XLOOKUP($A216,Output_Mac!$A:$A,Output_Mac!T:T,""),
_xlpm.MyAuditVal,_xlfn.XLOOKUP($A216,My_Audit!$A:$A,My_Audit!O:O,""),
_xlfn.IFS(_xlpm.MyAuditVal&lt;&gt;"",UPPER(_xlpm.MyAuditVal),_xlpm.MacVal&lt;&gt;"",_xlpm.MacVal,_xlpm.CSVVal&lt;&gt;"",_xlpm.CSVVal
)),"")</f>
        <v/>
      </c>
      <c r="O216" s="46" t="str">
        <f>_xlfn.XLOOKUP(C216,My_Audit!B:B,My_Audit!P:P,"")&amp;""</f>
        <v/>
      </c>
      <c r="P216" s="45"/>
      <c r="Q216" s="46" t="str">
        <f>IF(LEFT(N216,4)="Pass","Nist SP 800-88",My_Audit!R216)&amp;""</f>
        <v/>
      </c>
      <c r="R216" s="45"/>
      <c r="S216" s="45"/>
      <c r="T216" s="46" t="str">
        <f>_xlfn.XLOOKUP(E216,Models!I:I,Models!J:J,"")</f>
        <v/>
      </c>
      <c r="U216" s="45"/>
      <c r="V216" s="45"/>
      <c r="W216" s="38" t="str">
        <f>_xlfn.LET(
    _xlpm.MacVal, _xlfn.XLOOKUP($A216, Output_Mac!$A:$A, Output_Mac!AA:AA, ""),
    _xlpm.MyAuditVal, _xlfn.XLOOKUP($A216, My_Audit!$A:$A, My_Audit!L:L, ""),
    _xlfn.TEXTJOIN(", ", TRUE, _xlpm.MyAuditVal, _xlpm.MacVal)
)</f>
        <v/>
      </c>
    </row>
    <row r="217" spans="1:23">
      <c r="A217" s="45" t="str">
        <f>_xlfn.TEXTJOIN("",TRUE,Input!$B$2,ROW(My_Audit!A216))</f>
        <v>CC216</v>
      </c>
      <c r="B217" s="45" t="str">
        <f>_xlfn.TEXTJOIN("-",TRUE,"ITD",Input!$A$2,A217)</f>
        <v>ITD-XXX-CC216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 cm="1">
        <f t="array" ref="D217">IFERROR(_xlfn.LET(
_xlpm.CSVVal,_xlfn.XLOOKUP($A217,CSV!$A:$A,CSV!C:C,""),
_xlpm.MacVal,_xlfn.XLOOKUP($A217,Output_Mac!$A:$A,Output_Mac!D:D,""),
_xlpm.MyAuditVal,_xlfn.XLOOKUP($A217,My_Audit!$A:$A,My_Audit!C:C,""),
_xlfn.IFS(_xlpm.MyAuditVal&lt;&gt;"",UPPER(_xlpm.MyAuditVal),_xlpm.MacVal&lt;&gt;"",_xlpm.MacVal,_xlpm.CSVVal&lt;&gt;"",_xlpm.CSVVal
)),"")</f>
        <v/>
      </c>
      <c r="E217" s="46" t="str" cm="1">
        <f t="array" ref="E217">IFERROR(_xlfn.LET(
_xlpm.CSVVal,_xlfn.XLOOKUP($A217,CSV!$A:$A,CSV!E:E,""),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_xlpm.CSVVal,_xlfn.XLOOKUP($A217,CSV!$A:$A,CSV!G:G,""),
_xlpm.MacVal,_xlfn.XLOOKUP($A217,Output_Mac!$A:$A,Output_Mac!G:G,""),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_xlfn.XLOOKUP(A217,Output_Mac!A:A,Output_Mac!H:H,"")</f>
        <v/>
      </c>
      <c r="I217" s="45" t="str" cm="1">
        <f t="array" ref="I217">IFERROR(_xlfn.LET(
_xlpm.CSVVal,_xlfn.XLOOKUP($A217,CSV!$A:$A,CSV!H:H,""),
_xlpm.MacVal,_xlfn.XLOOKUP($A217,Output_Mac!$A:$A,Output_Mac!I:I,""),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_xlpm.CSVVal,_xlfn.XLOOKUP($A217,CSV!$A:$A,CSV!J:J,""),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46" t="str" cm="1">
        <f t="array" ref="K217">IFERROR(_xlfn.LET(
_xlpm.CSVVal,_xlfn.XLOOKUP($A217,CSV!$A:$A,CSV!N:N,""),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_xlpm.CSVVal,_xlfn.XLOOKUP($A217,CSV!$A:$A,CSV!Q:Q,""),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CSV!AE:AE,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_xlpm.CSVVal,_xlfn.XLOOKUP($A217,CSV!$A:$A,CSV!AG:AG,""),
_xlpm.MacVal,_xlfn.XLOOKUP($A217,Output_Mac!$A:$A,Output_Mac!T:T,""),
_xlpm.MyAuditVal,_xlfn.XLOOKUP($A217,My_Audit!$A:$A,My_Audit!O:O,""),
_xlfn.IFS(_xlpm.MyAuditVal&lt;&gt;"",UPPER(_xlpm.MyAuditVal),_xlpm.MacVal&lt;&gt;"",_xlpm.MacVal,_xlpm.CSVVal&lt;&gt;"",_xlpm.CSVVal
)),"")</f>
        <v/>
      </c>
      <c r="O217" s="46" t="str">
        <f>_xlfn.XLOOKUP(C217,My_Audit!B:B,My_Audit!P:P,"")&amp;""</f>
        <v/>
      </c>
      <c r="P217" s="45"/>
      <c r="Q217" s="46" t="str">
        <f>IF(LEFT(N217,4)="Pass","Nist SP 800-88",My_Audit!R217)&amp;""</f>
        <v/>
      </c>
      <c r="R217" s="45"/>
      <c r="S217" s="45"/>
      <c r="T217" s="46" t="str">
        <f>_xlfn.XLOOKUP(E217,Models!I:I,Models!J:J,"")</f>
        <v/>
      </c>
      <c r="U217" s="45"/>
      <c r="V217" s="45"/>
      <c r="W217" s="38" t="str">
        <f>_xlfn.LET(
    _xlpm.MacVal, _xlfn.XLOOKUP($A217, Output_Mac!$A:$A, Output_Mac!AA:AA, ""),
    _xlpm.MyAuditVal, _xlfn.XLOOKUP($A217, My_Audit!$A:$A, My_Audit!L:L, ""),
    _xlfn.TEXTJOIN(", ", TRUE, _xlpm.MyAuditVal, _xlpm.MacVal)
)</f>
        <v/>
      </c>
    </row>
    <row r="218" spans="1:23">
      <c r="A218" s="45" t="str">
        <f>_xlfn.TEXTJOIN("",TRUE,Input!$B$2,ROW(My_Audit!A217))</f>
        <v>CC217</v>
      </c>
      <c r="B218" s="45" t="str">
        <f>_xlfn.TEXTJOIN("-",TRUE,"ITD",Input!$A$2,A218)</f>
        <v>ITD-XXX-CC217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 cm="1">
        <f t="array" ref="D218">IFERROR(_xlfn.LET(
_xlpm.CSVVal,_xlfn.XLOOKUP($A218,CSV!$A:$A,CSV!C:C,""),
_xlpm.MacVal,_xlfn.XLOOKUP($A218,Output_Mac!$A:$A,Output_Mac!D:D,""),
_xlpm.MyAuditVal,_xlfn.XLOOKUP($A218,My_Audit!$A:$A,My_Audit!C:C,""),
_xlfn.IFS(_xlpm.MyAuditVal&lt;&gt;"",UPPER(_xlpm.MyAuditVal),_xlpm.MacVal&lt;&gt;"",_xlpm.MacVal,_xlpm.CSVVal&lt;&gt;"",_xlpm.CSVVal
)),"")</f>
        <v/>
      </c>
      <c r="E218" s="46" t="str" cm="1">
        <f t="array" ref="E218">IFERROR(_xlfn.LET(
_xlpm.CSVVal,_xlfn.XLOOKUP($A218,CSV!$A:$A,CSV!E:E,""),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_xlpm.CSVVal,_xlfn.XLOOKUP($A218,CSV!$A:$A,CSV!G:G,""),
_xlpm.MacVal,_xlfn.XLOOKUP($A218,Output_Mac!$A:$A,Output_Mac!G:G,""),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_xlfn.XLOOKUP(A218,Output_Mac!A:A,Output_Mac!H:H,"")</f>
        <v/>
      </c>
      <c r="I218" s="45" t="str" cm="1">
        <f t="array" ref="I218">IFERROR(_xlfn.LET(
_xlpm.CSVVal,_xlfn.XLOOKUP($A218,CSV!$A:$A,CSV!H:H,""),
_xlpm.MacVal,_xlfn.XLOOKUP($A218,Output_Mac!$A:$A,Output_Mac!I:I,""),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_xlpm.CSVVal,_xlfn.XLOOKUP($A218,CSV!$A:$A,CSV!J:J,""),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46" t="str" cm="1">
        <f t="array" ref="K218">IFERROR(_xlfn.LET(
_xlpm.CSVVal,_xlfn.XLOOKUP($A218,CSV!$A:$A,CSV!N:N,""),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_xlpm.CSVVal,_xlfn.XLOOKUP($A218,CSV!$A:$A,CSV!Q:Q,""),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CSV!AE:AE,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_xlpm.CSVVal,_xlfn.XLOOKUP($A218,CSV!$A:$A,CSV!AG:AG,""),
_xlpm.MacVal,_xlfn.XLOOKUP($A218,Output_Mac!$A:$A,Output_Mac!T:T,""),
_xlpm.MyAuditVal,_xlfn.XLOOKUP($A218,My_Audit!$A:$A,My_Audit!O:O,""),
_xlfn.IFS(_xlpm.MyAuditVal&lt;&gt;"",UPPER(_xlpm.MyAuditVal),_xlpm.MacVal&lt;&gt;"",_xlpm.MacVal,_xlpm.CSVVal&lt;&gt;"",_xlpm.CSVVal
)),"")</f>
        <v/>
      </c>
      <c r="O218" s="46" t="str">
        <f>_xlfn.XLOOKUP(C218,My_Audit!B:B,My_Audit!P:P,"")&amp;""</f>
        <v/>
      </c>
      <c r="P218" s="45"/>
      <c r="Q218" s="46" t="str">
        <f>IF(LEFT(N218,4)="Pass","Nist SP 800-88",My_Audit!R218)&amp;""</f>
        <v/>
      </c>
      <c r="R218" s="45"/>
      <c r="S218" s="45"/>
      <c r="T218" s="46" t="str">
        <f>_xlfn.XLOOKUP(E218,Models!I:I,Models!J:J,"")</f>
        <v/>
      </c>
      <c r="U218" s="45"/>
      <c r="V218" s="45"/>
      <c r="W218" s="38" t="str">
        <f>_xlfn.LET(
    _xlpm.MacVal, _xlfn.XLOOKUP($A218, Output_Mac!$A:$A, Output_Mac!AA:AA, ""),
    _xlpm.MyAuditVal, _xlfn.XLOOKUP($A218, My_Audit!$A:$A, My_Audit!L:L, ""),
    _xlfn.TEXTJOIN(", ", TRUE, _xlpm.MyAuditVal, _xlpm.MacVal)
)</f>
        <v/>
      </c>
    </row>
    <row r="219" spans="1:23">
      <c r="A219" s="45" t="str">
        <f>_xlfn.TEXTJOIN("",TRUE,Input!$B$2,ROW(My_Audit!A218))</f>
        <v>CC218</v>
      </c>
      <c r="B219" s="45" t="str">
        <f>_xlfn.TEXTJOIN("-",TRUE,"ITD",Input!$A$2,A219)</f>
        <v>ITD-XXX-CC218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 cm="1">
        <f t="array" ref="D219">IFERROR(_xlfn.LET(
_xlpm.CSVVal,_xlfn.XLOOKUP($A219,CSV!$A:$A,CSV!C:C,""),
_xlpm.MacVal,_xlfn.XLOOKUP($A219,Output_Mac!$A:$A,Output_Mac!D:D,""),
_xlpm.MyAuditVal,_xlfn.XLOOKUP($A219,My_Audit!$A:$A,My_Audit!C:C,""),
_xlfn.IFS(_xlpm.MyAuditVal&lt;&gt;"",UPPER(_xlpm.MyAuditVal),_xlpm.MacVal&lt;&gt;"",_xlpm.MacVal,_xlpm.CSVVal&lt;&gt;"",_xlpm.CSVVal
)),"")</f>
        <v/>
      </c>
      <c r="E219" s="46" t="str" cm="1">
        <f t="array" ref="E219">IFERROR(_xlfn.LET(
_xlpm.CSVVal,_xlfn.XLOOKUP($A219,CSV!$A:$A,CSV!E:E,""),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_xlpm.CSVVal,_xlfn.XLOOKUP($A219,CSV!$A:$A,CSV!G:G,""),
_xlpm.MacVal,_xlfn.XLOOKUP($A219,Output_Mac!$A:$A,Output_Mac!G:G,""),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_xlfn.XLOOKUP(A219,Output_Mac!A:A,Output_Mac!H:H,"")</f>
        <v/>
      </c>
      <c r="I219" s="45" t="str" cm="1">
        <f t="array" ref="I219">IFERROR(_xlfn.LET(
_xlpm.CSVVal,_xlfn.XLOOKUP($A219,CSV!$A:$A,CSV!H:H,""),
_xlpm.MacVal,_xlfn.XLOOKUP($A219,Output_Mac!$A:$A,Output_Mac!I:I,""),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_xlpm.CSVVal,_xlfn.XLOOKUP($A219,CSV!$A:$A,CSV!J:J,""),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46" t="str" cm="1">
        <f t="array" ref="K219">IFERROR(_xlfn.LET(
_xlpm.CSVVal,_xlfn.XLOOKUP($A219,CSV!$A:$A,CSV!N:N,""),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_xlpm.CSVVal,_xlfn.XLOOKUP($A219,CSV!$A:$A,CSV!Q:Q,""),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CSV!AE:AE,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_xlpm.CSVVal,_xlfn.XLOOKUP($A219,CSV!$A:$A,CSV!AG:AG,""),
_xlpm.MacVal,_xlfn.XLOOKUP($A219,Output_Mac!$A:$A,Output_Mac!T:T,""),
_xlpm.MyAuditVal,_xlfn.XLOOKUP($A219,My_Audit!$A:$A,My_Audit!O:O,""),
_xlfn.IFS(_xlpm.MyAuditVal&lt;&gt;"",UPPER(_xlpm.MyAuditVal),_xlpm.MacVal&lt;&gt;"",_xlpm.MacVal,_xlpm.CSVVal&lt;&gt;"",_xlpm.CSVVal
)),"")</f>
        <v/>
      </c>
      <c r="O219" s="46" t="str">
        <f>_xlfn.XLOOKUP(C219,My_Audit!B:B,My_Audit!P:P,"")&amp;""</f>
        <v/>
      </c>
      <c r="P219" s="45"/>
      <c r="Q219" s="46" t="str">
        <f>IF(LEFT(N219,4)="Pass","Nist SP 800-88",My_Audit!R219)&amp;""</f>
        <v/>
      </c>
      <c r="R219" s="45"/>
      <c r="S219" s="45"/>
      <c r="T219" s="46" t="str">
        <f>_xlfn.XLOOKUP(E219,Models!I:I,Models!J:J,"")</f>
        <v/>
      </c>
      <c r="U219" s="45"/>
      <c r="V219" s="45"/>
      <c r="W219" s="38" t="str">
        <f>_xlfn.LET(
    _xlpm.MacVal, _xlfn.XLOOKUP($A219, Output_Mac!$A:$A, Output_Mac!AA:AA, ""),
    _xlpm.MyAuditVal, _xlfn.XLOOKUP($A219, My_Audit!$A:$A, My_Audit!L:L, ""),
    _xlfn.TEXTJOIN(", ", TRUE, _xlpm.MyAuditVal, _xlpm.MacVal)
)</f>
        <v/>
      </c>
    </row>
    <row r="220" spans="1:23">
      <c r="A220" s="45" t="str">
        <f>_xlfn.TEXTJOIN("",TRUE,Input!$B$2,ROW(My_Audit!A219))</f>
        <v>CC219</v>
      </c>
      <c r="B220" s="45" t="str">
        <f>_xlfn.TEXTJOIN("-",TRUE,"ITD",Input!$A$2,A220)</f>
        <v>ITD-XXX-CC219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 cm="1">
        <f t="array" ref="D220">IFERROR(_xlfn.LET(
_xlpm.CSVVal,_xlfn.XLOOKUP($A220,CSV!$A:$A,CSV!C:C,""),
_xlpm.MacVal,_xlfn.XLOOKUP($A220,Output_Mac!$A:$A,Output_Mac!D:D,""),
_xlpm.MyAuditVal,_xlfn.XLOOKUP($A220,My_Audit!$A:$A,My_Audit!C:C,""),
_xlfn.IFS(_xlpm.MyAuditVal&lt;&gt;"",UPPER(_xlpm.MyAuditVal),_xlpm.MacVal&lt;&gt;"",_xlpm.MacVal,_xlpm.CSVVal&lt;&gt;"",_xlpm.CSVVal
)),"")</f>
        <v/>
      </c>
      <c r="E220" s="46" t="str" cm="1">
        <f t="array" ref="E220">IFERROR(_xlfn.LET(
_xlpm.CSVVal,_xlfn.XLOOKUP($A220,CSV!$A:$A,CSV!E:E,""),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_xlpm.CSVVal,_xlfn.XLOOKUP($A220,CSV!$A:$A,CSV!G:G,""),
_xlpm.MacVal,_xlfn.XLOOKUP($A220,Output_Mac!$A:$A,Output_Mac!G:G,""),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_xlfn.XLOOKUP(A220,Output_Mac!A:A,Output_Mac!H:H,"")</f>
        <v/>
      </c>
      <c r="I220" s="45" t="str" cm="1">
        <f t="array" ref="I220">IFERROR(_xlfn.LET(
_xlpm.CSVVal,_xlfn.XLOOKUP($A220,CSV!$A:$A,CSV!H:H,""),
_xlpm.MacVal,_xlfn.XLOOKUP($A220,Output_Mac!$A:$A,Output_Mac!I:I,""),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_xlpm.CSVVal,_xlfn.XLOOKUP($A220,CSV!$A:$A,CSV!J:J,""),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46" t="str" cm="1">
        <f t="array" ref="K220">IFERROR(_xlfn.LET(
_xlpm.CSVVal,_xlfn.XLOOKUP($A220,CSV!$A:$A,CSV!N:N,""),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_xlpm.CSVVal,_xlfn.XLOOKUP($A220,CSV!$A:$A,CSV!Q:Q,""),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CSV!AE:AE,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_xlpm.CSVVal,_xlfn.XLOOKUP($A220,CSV!$A:$A,CSV!AG:AG,""),
_xlpm.MacVal,_xlfn.XLOOKUP($A220,Output_Mac!$A:$A,Output_Mac!T:T,""),
_xlpm.MyAuditVal,_xlfn.XLOOKUP($A220,My_Audit!$A:$A,My_Audit!O:O,""),
_xlfn.IFS(_xlpm.MyAuditVal&lt;&gt;"",UPPER(_xlpm.MyAuditVal),_xlpm.MacVal&lt;&gt;"",_xlpm.MacVal,_xlpm.CSVVal&lt;&gt;"",_xlpm.CSVVal
)),"")</f>
        <v/>
      </c>
      <c r="O220" s="46" t="str">
        <f>_xlfn.XLOOKUP(C220,My_Audit!B:B,My_Audit!P:P,"")&amp;""</f>
        <v/>
      </c>
      <c r="P220" s="45"/>
      <c r="Q220" s="46" t="str">
        <f>IF(LEFT(N220,4)="Pass","Nist SP 800-88",My_Audit!R220)&amp;""</f>
        <v/>
      </c>
      <c r="R220" s="45"/>
      <c r="S220" s="45"/>
      <c r="T220" s="46" t="str">
        <f>_xlfn.XLOOKUP(E220,Models!I:I,Models!J:J,"")</f>
        <v/>
      </c>
      <c r="U220" s="45"/>
      <c r="V220" s="45"/>
      <c r="W220" s="38" t="str">
        <f>_xlfn.LET(
    _xlpm.MacVal, _xlfn.XLOOKUP($A220, Output_Mac!$A:$A, Output_Mac!AA:AA, ""),
    _xlpm.MyAuditVal, _xlfn.XLOOKUP($A220, My_Audit!$A:$A, My_Audit!L:L, ""),
    _xlfn.TEXTJOIN(", ", TRUE, _xlpm.MyAuditVal, _xlpm.MacVal)
)</f>
        <v/>
      </c>
    </row>
    <row r="221" spans="1:23">
      <c r="A221" s="45" t="str">
        <f>_xlfn.TEXTJOIN("",TRUE,Input!$B$2,ROW(My_Audit!A220))</f>
        <v>CC220</v>
      </c>
      <c r="B221" s="45" t="str">
        <f>_xlfn.TEXTJOIN("-",TRUE,"ITD",Input!$A$2,A221)</f>
        <v>ITD-XXX-CC220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 cm="1">
        <f t="array" ref="D221">IFERROR(_xlfn.LET(
_xlpm.CSVVal,_xlfn.XLOOKUP($A221,CSV!$A:$A,CSV!C:C,""),
_xlpm.MacVal,_xlfn.XLOOKUP($A221,Output_Mac!$A:$A,Output_Mac!D:D,""),
_xlpm.MyAuditVal,_xlfn.XLOOKUP($A221,My_Audit!$A:$A,My_Audit!C:C,""),
_xlfn.IFS(_xlpm.MyAuditVal&lt;&gt;"",UPPER(_xlpm.MyAuditVal),_xlpm.MacVal&lt;&gt;"",_xlpm.MacVal,_xlpm.CSVVal&lt;&gt;"",_xlpm.CSVVal
)),"")</f>
        <v/>
      </c>
      <c r="E221" s="46" t="str" cm="1">
        <f t="array" ref="E221">IFERROR(_xlfn.LET(
_xlpm.CSVVal,_xlfn.XLOOKUP($A221,CSV!$A:$A,CSV!E:E,""),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_xlpm.CSVVal,_xlfn.XLOOKUP($A221,CSV!$A:$A,CSV!G:G,""),
_xlpm.MacVal,_xlfn.XLOOKUP($A221,Output_Mac!$A:$A,Output_Mac!G:G,""),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_xlfn.XLOOKUP(A221,Output_Mac!A:A,Output_Mac!H:H,"")</f>
        <v/>
      </c>
      <c r="I221" s="45" t="str" cm="1">
        <f t="array" ref="I221">IFERROR(_xlfn.LET(
_xlpm.CSVVal,_xlfn.XLOOKUP($A221,CSV!$A:$A,CSV!H:H,""),
_xlpm.MacVal,_xlfn.XLOOKUP($A221,Output_Mac!$A:$A,Output_Mac!I:I,""),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_xlpm.CSVVal,_xlfn.XLOOKUP($A221,CSV!$A:$A,CSV!J:J,""),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46" t="str" cm="1">
        <f t="array" ref="K221">IFERROR(_xlfn.LET(
_xlpm.CSVVal,_xlfn.XLOOKUP($A221,CSV!$A:$A,CSV!N:N,""),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_xlpm.CSVVal,_xlfn.XLOOKUP($A221,CSV!$A:$A,CSV!Q:Q,""),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CSV!AE:AE,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_xlpm.CSVVal,_xlfn.XLOOKUP($A221,CSV!$A:$A,CSV!AG:AG,""),
_xlpm.MacVal,_xlfn.XLOOKUP($A221,Output_Mac!$A:$A,Output_Mac!T:T,""),
_xlpm.MyAuditVal,_xlfn.XLOOKUP($A221,My_Audit!$A:$A,My_Audit!O:O,""),
_xlfn.IFS(_xlpm.MyAuditVal&lt;&gt;"",UPPER(_xlpm.MyAuditVal),_xlpm.MacVal&lt;&gt;"",_xlpm.MacVal,_xlpm.CSVVal&lt;&gt;"",_xlpm.CSVVal
)),"")</f>
        <v/>
      </c>
      <c r="O221" s="46" t="str">
        <f>_xlfn.XLOOKUP(C221,My_Audit!B:B,My_Audit!P:P,"")&amp;""</f>
        <v/>
      </c>
      <c r="P221" s="45"/>
      <c r="Q221" s="46" t="str">
        <f>IF(LEFT(N221,4)="Pass","Nist SP 800-88",My_Audit!R221)&amp;""</f>
        <v/>
      </c>
      <c r="R221" s="45"/>
      <c r="S221" s="45"/>
      <c r="T221" s="46" t="str">
        <f>_xlfn.XLOOKUP(E221,Models!I:I,Models!J:J,"")</f>
        <v/>
      </c>
      <c r="U221" s="45"/>
      <c r="V221" s="45"/>
      <c r="W221" s="38" t="str">
        <f>_xlfn.LET(
    _xlpm.MacVal, _xlfn.XLOOKUP($A221, Output_Mac!$A:$A, Output_Mac!AA:AA, ""),
    _xlpm.MyAuditVal, _xlfn.XLOOKUP($A221, My_Audit!$A:$A, My_Audit!L:L, ""),
    _xlfn.TEXTJOIN(", ", TRUE, _xlpm.MyAuditVal, _xlpm.MacVal)
)</f>
        <v/>
      </c>
    </row>
    <row r="222" spans="1:23">
      <c r="A222" s="45" t="str">
        <f>_xlfn.TEXTJOIN("",TRUE,Input!$B$2,ROW(My_Audit!A221))</f>
        <v>CC221</v>
      </c>
      <c r="B222" s="45" t="str">
        <f>_xlfn.TEXTJOIN("-",TRUE,"ITD",Input!$A$2,A222)</f>
        <v>ITD-XXX-CC221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 cm="1">
        <f t="array" ref="D222">IFERROR(_xlfn.LET(
_xlpm.CSVVal,_xlfn.XLOOKUP($A222,CSV!$A:$A,CSV!C:C,""),
_xlpm.MacVal,_xlfn.XLOOKUP($A222,Output_Mac!$A:$A,Output_Mac!D:D,""),
_xlpm.MyAuditVal,_xlfn.XLOOKUP($A222,My_Audit!$A:$A,My_Audit!C:C,""),
_xlfn.IFS(_xlpm.MyAuditVal&lt;&gt;"",UPPER(_xlpm.MyAuditVal),_xlpm.MacVal&lt;&gt;"",_xlpm.MacVal,_xlpm.CSVVal&lt;&gt;"",_xlpm.CSVVal
)),"")</f>
        <v/>
      </c>
      <c r="E222" s="46" t="str" cm="1">
        <f t="array" ref="E222">IFERROR(_xlfn.LET(
_xlpm.CSVVal,_xlfn.XLOOKUP($A222,CSV!$A:$A,CSV!E:E,""),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_xlpm.CSVVal,_xlfn.XLOOKUP($A222,CSV!$A:$A,CSV!G:G,""),
_xlpm.MacVal,_xlfn.XLOOKUP($A222,Output_Mac!$A:$A,Output_Mac!G:G,""),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_xlfn.XLOOKUP(A222,Output_Mac!A:A,Output_Mac!H:H,"")</f>
        <v/>
      </c>
      <c r="I222" s="45" t="str" cm="1">
        <f t="array" ref="I222">IFERROR(_xlfn.LET(
_xlpm.CSVVal,_xlfn.XLOOKUP($A222,CSV!$A:$A,CSV!H:H,""),
_xlpm.MacVal,_xlfn.XLOOKUP($A222,Output_Mac!$A:$A,Output_Mac!I:I,""),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_xlpm.CSVVal,_xlfn.XLOOKUP($A222,CSV!$A:$A,CSV!J:J,""),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46" t="str" cm="1">
        <f t="array" ref="K222">IFERROR(_xlfn.LET(
_xlpm.CSVVal,_xlfn.XLOOKUP($A222,CSV!$A:$A,CSV!N:N,""),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_xlpm.CSVVal,_xlfn.XLOOKUP($A222,CSV!$A:$A,CSV!Q:Q,""),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CSV!AE:AE,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_xlpm.CSVVal,_xlfn.XLOOKUP($A222,CSV!$A:$A,CSV!AG:AG,""),
_xlpm.MacVal,_xlfn.XLOOKUP($A222,Output_Mac!$A:$A,Output_Mac!T:T,""),
_xlpm.MyAuditVal,_xlfn.XLOOKUP($A222,My_Audit!$A:$A,My_Audit!O:O,""),
_xlfn.IFS(_xlpm.MyAuditVal&lt;&gt;"",UPPER(_xlpm.MyAuditVal),_xlpm.MacVal&lt;&gt;"",_xlpm.MacVal,_xlpm.CSVVal&lt;&gt;"",_xlpm.CSVVal
)),"")</f>
        <v/>
      </c>
      <c r="O222" s="46" t="str">
        <f>_xlfn.XLOOKUP(C222,My_Audit!B:B,My_Audit!P:P,"")&amp;""</f>
        <v/>
      </c>
      <c r="P222" s="45"/>
      <c r="Q222" s="46" t="str">
        <f>IF(LEFT(N222,4)="Pass","Nist SP 800-88",My_Audit!R222)&amp;""</f>
        <v/>
      </c>
      <c r="R222" s="45"/>
      <c r="S222" s="45"/>
      <c r="T222" s="46" t="str">
        <f>_xlfn.XLOOKUP(E222,Models!I:I,Models!J:J,"")</f>
        <v/>
      </c>
      <c r="U222" s="45"/>
      <c r="V222" s="45"/>
      <c r="W222" s="38" t="str">
        <f>_xlfn.LET(
    _xlpm.MacVal, _xlfn.XLOOKUP($A222, Output_Mac!$A:$A, Output_Mac!AA:AA, ""),
    _xlpm.MyAuditVal, _xlfn.XLOOKUP($A222, My_Audit!$A:$A, My_Audit!L:L, ""),
    _xlfn.TEXTJOIN(", ", TRUE, _xlpm.MyAuditVal, _xlpm.MacVal)
)</f>
        <v/>
      </c>
    </row>
    <row r="223" spans="1:23">
      <c r="A223" s="45" t="str">
        <f>_xlfn.TEXTJOIN("",TRUE,Input!$B$2,ROW(My_Audit!A222))</f>
        <v>CC222</v>
      </c>
      <c r="B223" s="45" t="str">
        <f>_xlfn.TEXTJOIN("-",TRUE,"ITD",Input!$A$2,A223)</f>
        <v>ITD-XXX-CC222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 cm="1">
        <f t="array" ref="D223">IFERROR(_xlfn.LET(
_xlpm.CSVVal,_xlfn.XLOOKUP($A223,CSV!$A:$A,CSV!C:C,""),
_xlpm.MacVal,_xlfn.XLOOKUP($A223,Output_Mac!$A:$A,Output_Mac!D:D,""),
_xlpm.MyAuditVal,_xlfn.XLOOKUP($A223,My_Audit!$A:$A,My_Audit!C:C,""),
_xlfn.IFS(_xlpm.MyAuditVal&lt;&gt;"",UPPER(_xlpm.MyAuditVal),_xlpm.MacVal&lt;&gt;"",_xlpm.MacVal,_xlpm.CSVVal&lt;&gt;"",_xlpm.CSVVal
)),"")</f>
        <v/>
      </c>
      <c r="E223" s="46" t="str" cm="1">
        <f t="array" ref="E223">IFERROR(_xlfn.LET(
_xlpm.CSVVal,_xlfn.XLOOKUP($A223,CSV!$A:$A,CSV!E:E,""),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_xlpm.CSVVal,_xlfn.XLOOKUP($A223,CSV!$A:$A,CSV!G:G,""),
_xlpm.MacVal,_xlfn.XLOOKUP($A223,Output_Mac!$A:$A,Output_Mac!G:G,""),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_xlfn.XLOOKUP(A223,Output_Mac!A:A,Output_Mac!H:H,"")</f>
        <v/>
      </c>
      <c r="I223" s="45" t="str" cm="1">
        <f t="array" ref="I223">IFERROR(_xlfn.LET(
_xlpm.CSVVal,_xlfn.XLOOKUP($A223,CSV!$A:$A,CSV!H:H,""),
_xlpm.MacVal,_xlfn.XLOOKUP($A223,Output_Mac!$A:$A,Output_Mac!I:I,""),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_xlpm.CSVVal,_xlfn.XLOOKUP($A223,CSV!$A:$A,CSV!J:J,""),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46" t="str" cm="1">
        <f t="array" ref="K223">IFERROR(_xlfn.LET(
_xlpm.CSVVal,_xlfn.XLOOKUP($A223,CSV!$A:$A,CSV!N:N,""),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_xlpm.CSVVal,_xlfn.XLOOKUP($A223,CSV!$A:$A,CSV!Q:Q,""),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CSV!AE:AE,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_xlpm.CSVVal,_xlfn.XLOOKUP($A223,CSV!$A:$A,CSV!AG:AG,""),
_xlpm.MacVal,_xlfn.XLOOKUP($A223,Output_Mac!$A:$A,Output_Mac!T:T,""),
_xlpm.MyAuditVal,_xlfn.XLOOKUP($A223,My_Audit!$A:$A,My_Audit!O:O,""),
_xlfn.IFS(_xlpm.MyAuditVal&lt;&gt;"",UPPER(_xlpm.MyAuditVal),_xlpm.MacVal&lt;&gt;"",_xlpm.MacVal,_xlpm.CSVVal&lt;&gt;"",_xlpm.CSVVal
)),"")</f>
        <v/>
      </c>
      <c r="O223" s="46" t="str">
        <f>_xlfn.XLOOKUP(C223,My_Audit!B:B,My_Audit!P:P,"")&amp;""</f>
        <v/>
      </c>
      <c r="P223" s="45"/>
      <c r="Q223" s="46" t="str">
        <f>IF(LEFT(N223,4)="Pass","Nist SP 800-88",My_Audit!R223)&amp;""</f>
        <v/>
      </c>
      <c r="R223" s="45"/>
      <c r="S223" s="45"/>
      <c r="T223" s="46" t="str">
        <f>_xlfn.XLOOKUP(E223,Models!I:I,Models!J:J,"")</f>
        <v/>
      </c>
      <c r="U223" s="45"/>
      <c r="V223" s="45"/>
      <c r="W223" s="38" t="str">
        <f>_xlfn.LET(
    _xlpm.MacVal, _xlfn.XLOOKUP($A223, Output_Mac!$A:$A, Output_Mac!AA:AA, ""),
    _xlpm.MyAuditVal, _xlfn.XLOOKUP($A223, My_Audit!$A:$A, My_Audit!L:L, ""),
    _xlfn.TEXTJOIN(", ", TRUE, _xlpm.MyAuditVal, _xlpm.MacVal)
)</f>
        <v/>
      </c>
    </row>
    <row r="224" spans="1:23">
      <c r="A224" s="45" t="str">
        <f>_xlfn.TEXTJOIN("",TRUE,Input!$B$2,ROW(My_Audit!A223))</f>
        <v>CC223</v>
      </c>
      <c r="B224" s="45" t="str">
        <f>_xlfn.TEXTJOIN("-",TRUE,"ITD",Input!$A$2,A224)</f>
        <v>ITD-XXX-CC223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 cm="1">
        <f t="array" ref="D224">IFERROR(_xlfn.LET(
_xlpm.CSVVal,_xlfn.XLOOKUP($A224,CSV!$A:$A,CSV!C:C,""),
_xlpm.MacVal,_xlfn.XLOOKUP($A224,Output_Mac!$A:$A,Output_Mac!D:D,""),
_xlpm.MyAuditVal,_xlfn.XLOOKUP($A224,My_Audit!$A:$A,My_Audit!C:C,""),
_xlfn.IFS(_xlpm.MyAuditVal&lt;&gt;"",UPPER(_xlpm.MyAuditVal),_xlpm.MacVal&lt;&gt;"",_xlpm.MacVal,_xlpm.CSVVal&lt;&gt;"",_xlpm.CSVVal
)),"")</f>
        <v/>
      </c>
      <c r="E224" s="46" t="str" cm="1">
        <f t="array" ref="E224">IFERROR(_xlfn.LET(
_xlpm.CSVVal,_xlfn.XLOOKUP($A224,CSV!$A:$A,CSV!E:E,""),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_xlpm.CSVVal,_xlfn.XLOOKUP($A224,CSV!$A:$A,CSV!G:G,""),
_xlpm.MacVal,_xlfn.XLOOKUP($A224,Output_Mac!$A:$A,Output_Mac!G:G,""),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_xlfn.XLOOKUP(A224,Output_Mac!A:A,Output_Mac!H:H,"")</f>
        <v/>
      </c>
      <c r="I224" s="45" t="str" cm="1">
        <f t="array" ref="I224">IFERROR(_xlfn.LET(
_xlpm.CSVVal,_xlfn.XLOOKUP($A224,CSV!$A:$A,CSV!H:H,""),
_xlpm.MacVal,_xlfn.XLOOKUP($A224,Output_Mac!$A:$A,Output_Mac!I:I,""),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_xlpm.CSVVal,_xlfn.XLOOKUP($A224,CSV!$A:$A,CSV!J:J,""),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46" t="str" cm="1">
        <f t="array" ref="K224">IFERROR(_xlfn.LET(
_xlpm.CSVVal,_xlfn.XLOOKUP($A224,CSV!$A:$A,CSV!N:N,""),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_xlpm.CSVVal,_xlfn.XLOOKUP($A224,CSV!$A:$A,CSV!Q:Q,""),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CSV!AE:AE,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_xlpm.CSVVal,_xlfn.XLOOKUP($A224,CSV!$A:$A,CSV!AG:AG,""),
_xlpm.MacVal,_xlfn.XLOOKUP($A224,Output_Mac!$A:$A,Output_Mac!T:T,""),
_xlpm.MyAuditVal,_xlfn.XLOOKUP($A224,My_Audit!$A:$A,My_Audit!O:O,""),
_xlfn.IFS(_xlpm.MyAuditVal&lt;&gt;"",UPPER(_xlpm.MyAuditVal),_xlpm.MacVal&lt;&gt;"",_xlpm.MacVal,_xlpm.CSVVal&lt;&gt;"",_xlpm.CSVVal
)),"")</f>
        <v/>
      </c>
      <c r="O224" s="46" t="str">
        <f>_xlfn.XLOOKUP(C224,My_Audit!B:B,My_Audit!P:P,"")&amp;""</f>
        <v/>
      </c>
      <c r="P224" s="45"/>
      <c r="Q224" s="46" t="str">
        <f>IF(LEFT(N224,4)="Pass","Nist SP 800-88",My_Audit!R224)&amp;""</f>
        <v/>
      </c>
      <c r="R224" s="45"/>
      <c r="S224" s="45"/>
      <c r="T224" s="46" t="str">
        <f>_xlfn.XLOOKUP(E224,Models!I:I,Models!J:J,"")</f>
        <v/>
      </c>
      <c r="U224" s="45"/>
      <c r="V224" s="45"/>
      <c r="W224" s="38" t="str">
        <f>_xlfn.LET(
    _xlpm.MacVal, _xlfn.XLOOKUP($A224, Output_Mac!$A:$A, Output_Mac!AA:AA, ""),
    _xlpm.MyAuditVal, _xlfn.XLOOKUP($A224, My_Audit!$A:$A, My_Audit!L:L, ""),
    _xlfn.TEXTJOIN(", ", TRUE, _xlpm.MyAuditVal, _xlpm.MacVal)
)</f>
        <v/>
      </c>
    </row>
    <row r="225" spans="1:23">
      <c r="A225" s="45" t="str">
        <f>_xlfn.TEXTJOIN("",TRUE,Input!$B$2,ROW(My_Audit!A224))</f>
        <v>CC224</v>
      </c>
      <c r="B225" s="45" t="str">
        <f>_xlfn.TEXTJOIN("-",TRUE,"ITD",Input!$A$2,A225)</f>
        <v>ITD-XXX-CC224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 cm="1">
        <f t="array" ref="D225">IFERROR(_xlfn.LET(
_xlpm.CSVVal,_xlfn.XLOOKUP($A225,CSV!$A:$A,CSV!C:C,""),
_xlpm.MacVal,_xlfn.XLOOKUP($A225,Output_Mac!$A:$A,Output_Mac!D:D,""),
_xlpm.MyAuditVal,_xlfn.XLOOKUP($A225,My_Audit!$A:$A,My_Audit!C:C,""),
_xlfn.IFS(_xlpm.MyAuditVal&lt;&gt;"",UPPER(_xlpm.MyAuditVal),_xlpm.MacVal&lt;&gt;"",_xlpm.MacVal,_xlpm.CSVVal&lt;&gt;"",_xlpm.CSVVal
)),"")</f>
        <v/>
      </c>
      <c r="E225" s="46" t="str" cm="1">
        <f t="array" ref="E225">IFERROR(_xlfn.LET(
_xlpm.CSVVal,_xlfn.XLOOKUP($A225,CSV!$A:$A,CSV!E:E,""),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_xlpm.CSVVal,_xlfn.XLOOKUP($A225,CSV!$A:$A,CSV!G:G,""),
_xlpm.MacVal,_xlfn.XLOOKUP($A225,Output_Mac!$A:$A,Output_Mac!G:G,""),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_xlfn.XLOOKUP(A225,Output_Mac!A:A,Output_Mac!H:H,"")</f>
        <v/>
      </c>
      <c r="I225" s="45" t="str" cm="1">
        <f t="array" ref="I225">IFERROR(_xlfn.LET(
_xlpm.CSVVal,_xlfn.XLOOKUP($A225,CSV!$A:$A,CSV!H:H,""),
_xlpm.MacVal,_xlfn.XLOOKUP($A225,Output_Mac!$A:$A,Output_Mac!I:I,""),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_xlpm.CSVVal,_xlfn.XLOOKUP($A225,CSV!$A:$A,CSV!J:J,""),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46" t="str" cm="1">
        <f t="array" ref="K225">IFERROR(_xlfn.LET(
_xlpm.CSVVal,_xlfn.XLOOKUP($A225,CSV!$A:$A,CSV!N:N,""),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_xlpm.CSVVal,_xlfn.XLOOKUP($A225,CSV!$A:$A,CSV!Q:Q,""),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CSV!AE:AE,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_xlpm.CSVVal,_xlfn.XLOOKUP($A225,CSV!$A:$A,CSV!AG:AG,""),
_xlpm.MacVal,_xlfn.XLOOKUP($A225,Output_Mac!$A:$A,Output_Mac!T:T,""),
_xlpm.MyAuditVal,_xlfn.XLOOKUP($A225,My_Audit!$A:$A,My_Audit!O:O,""),
_xlfn.IFS(_xlpm.MyAuditVal&lt;&gt;"",UPPER(_xlpm.MyAuditVal),_xlpm.MacVal&lt;&gt;"",_xlpm.MacVal,_xlpm.CSVVal&lt;&gt;"",_xlpm.CSVVal
)),"")</f>
        <v/>
      </c>
      <c r="O225" s="46" t="str">
        <f>_xlfn.XLOOKUP(C225,My_Audit!B:B,My_Audit!P:P,"")&amp;""</f>
        <v/>
      </c>
      <c r="P225" s="45"/>
      <c r="Q225" s="46" t="str">
        <f>IF(LEFT(N225,4)="Pass","Nist SP 800-88",My_Audit!R225)&amp;""</f>
        <v/>
      </c>
      <c r="R225" s="45"/>
      <c r="S225" s="45"/>
      <c r="T225" s="46" t="str">
        <f>_xlfn.XLOOKUP(E225,Models!I:I,Models!J:J,"")</f>
        <v/>
      </c>
      <c r="U225" s="45"/>
      <c r="V225" s="45"/>
      <c r="W225" s="38" t="str">
        <f>_xlfn.LET(
    _xlpm.MacVal, _xlfn.XLOOKUP($A225, Output_Mac!$A:$A, Output_Mac!AA:AA, ""),
    _xlpm.MyAuditVal, _xlfn.XLOOKUP($A225, My_Audit!$A:$A, My_Audit!L:L, ""),
    _xlfn.TEXTJOIN(", ", TRUE, _xlpm.MyAuditVal, _xlpm.MacVal)
)</f>
        <v/>
      </c>
    </row>
    <row r="226" spans="1:23">
      <c r="A226" s="45" t="str">
        <f>_xlfn.TEXTJOIN("",TRUE,Input!$B$2,ROW(My_Audit!A225))</f>
        <v>CC225</v>
      </c>
      <c r="B226" s="45" t="str">
        <f>_xlfn.TEXTJOIN("-",TRUE,"ITD",Input!$A$2,A226)</f>
        <v>ITD-XXX-CC225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 cm="1">
        <f t="array" ref="D226">IFERROR(_xlfn.LET(
_xlpm.CSVVal,_xlfn.XLOOKUP($A226,CSV!$A:$A,CSV!C:C,""),
_xlpm.MacVal,_xlfn.XLOOKUP($A226,Output_Mac!$A:$A,Output_Mac!D:D,""),
_xlpm.MyAuditVal,_xlfn.XLOOKUP($A226,My_Audit!$A:$A,My_Audit!C:C,""),
_xlfn.IFS(_xlpm.MyAuditVal&lt;&gt;"",UPPER(_xlpm.MyAuditVal),_xlpm.MacVal&lt;&gt;"",_xlpm.MacVal,_xlpm.CSVVal&lt;&gt;"",_xlpm.CSVVal
)),"")</f>
        <v/>
      </c>
      <c r="E226" s="46" t="str" cm="1">
        <f t="array" ref="E226">IFERROR(_xlfn.LET(
_xlpm.CSVVal,_xlfn.XLOOKUP($A226,CSV!$A:$A,CSV!E:E,""),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_xlpm.CSVVal,_xlfn.XLOOKUP($A226,CSV!$A:$A,CSV!G:G,""),
_xlpm.MacVal,_xlfn.XLOOKUP($A226,Output_Mac!$A:$A,Output_Mac!G:G,""),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_xlfn.XLOOKUP(A226,Output_Mac!A:A,Output_Mac!H:H,"")</f>
        <v/>
      </c>
      <c r="I226" s="45" t="str" cm="1">
        <f t="array" ref="I226">IFERROR(_xlfn.LET(
_xlpm.CSVVal,_xlfn.XLOOKUP($A226,CSV!$A:$A,CSV!H:H,""),
_xlpm.MacVal,_xlfn.XLOOKUP($A226,Output_Mac!$A:$A,Output_Mac!I:I,""),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_xlpm.CSVVal,_xlfn.XLOOKUP($A226,CSV!$A:$A,CSV!J:J,""),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46" t="str" cm="1">
        <f t="array" ref="K226">IFERROR(_xlfn.LET(
_xlpm.CSVVal,_xlfn.XLOOKUP($A226,CSV!$A:$A,CSV!N:N,""),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_xlpm.CSVVal,_xlfn.XLOOKUP($A226,CSV!$A:$A,CSV!Q:Q,""),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CSV!AE:AE,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_xlpm.CSVVal,_xlfn.XLOOKUP($A226,CSV!$A:$A,CSV!AG:AG,""),
_xlpm.MacVal,_xlfn.XLOOKUP($A226,Output_Mac!$A:$A,Output_Mac!T:T,""),
_xlpm.MyAuditVal,_xlfn.XLOOKUP($A226,My_Audit!$A:$A,My_Audit!O:O,""),
_xlfn.IFS(_xlpm.MyAuditVal&lt;&gt;"",UPPER(_xlpm.MyAuditVal),_xlpm.MacVal&lt;&gt;"",_xlpm.MacVal,_xlpm.CSVVal&lt;&gt;"",_xlpm.CSVVal
)),"")</f>
        <v/>
      </c>
      <c r="O226" s="46" t="str">
        <f>_xlfn.XLOOKUP(C226,My_Audit!B:B,My_Audit!P:P,"")&amp;""</f>
        <v/>
      </c>
      <c r="P226" s="45"/>
      <c r="Q226" s="46" t="str">
        <f>IF(LEFT(N226,4)="Pass","Nist SP 800-88",My_Audit!R226)&amp;""</f>
        <v/>
      </c>
      <c r="R226" s="45"/>
      <c r="S226" s="45"/>
      <c r="T226" s="46" t="str">
        <f>_xlfn.XLOOKUP(E226,Models!I:I,Models!J:J,"")</f>
        <v/>
      </c>
      <c r="U226" s="45"/>
      <c r="V226" s="45"/>
      <c r="W226" s="38" t="str">
        <f>_xlfn.LET(
    _xlpm.MacVal, _xlfn.XLOOKUP($A226, Output_Mac!$A:$A, Output_Mac!AA:AA, ""),
    _xlpm.MyAuditVal, _xlfn.XLOOKUP($A226, My_Audit!$A:$A, My_Audit!L:L, ""),
    _xlfn.TEXTJOIN(", ", TRUE, _xlpm.MyAuditVal, _xlpm.MacVal)
)</f>
        <v/>
      </c>
    </row>
    <row r="227" spans="1:23">
      <c r="A227" s="45" t="str">
        <f>_xlfn.TEXTJOIN("",TRUE,Input!$B$2,ROW(My_Audit!A226))</f>
        <v>CC226</v>
      </c>
      <c r="B227" s="45" t="str">
        <f>_xlfn.TEXTJOIN("-",TRUE,"ITD",Input!$A$2,A227)</f>
        <v>ITD-XXX-CC226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 cm="1">
        <f t="array" ref="D227">IFERROR(_xlfn.LET(
_xlpm.CSVVal,_xlfn.XLOOKUP($A227,CSV!$A:$A,CSV!C:C,""),
_xlpm.MacVal,_xlfn.XLOOKUP($A227,Output_Mac!$A:$A,Output_Mac!D:D,""),
_xlpm.MyAuditVal,_xlfn.XLOOKUP($A227,My_Audit!$A:$A,My_Audit!C:C,""),
_xlfn.IFS(_xlpm.MyAuditVal&lt;&gt;"",UPPER(_xlpm.MyAuditVal),_xlpm.MacVal&lt;&gt;"",_xlpm.MacVal,_xlpm.CSVVal&lt;&gt;"",_xlpm.CSVVal
)),"")</f>
        <v/>
      </c>
      <c r="E227" s="46" t="str" cm="1">
        <f t="array" ref="E227">IFERROR(_xlfn.LET(
_xlpm.CSVVal,_xlfn.XLOOKUP($A227,CSV!$A:$A,CSV!E:E,""),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_xlpm.CSVVal,_xlfn.XLOOKUP($A227,CSV!$A:$A,CSV!G:G,""),
_xlpm.MacVal,_xlfn.XLOOKUP($A227,Output_Mac!$A:$A,Output_Mac!G:G,""),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_xlfn.XLOOKUP(A227,Output_Mac!A:A,Output_Mac!H:H,"")</f>
        <v/>
      </c>
      <c r="I227" s="45" t="str" cm="1">
        <f t="array" ref="I227">IFERROR(_xlfn.LET(
_xlpm.CSVVal,_xlfn.XLOOKUP($A227,CSV!$A:$A,CSV!H:H,""),
_xlpm.MacVal,_xlfn.XLOOKUP($A227,Output_Mac!$A:$A,Output_Mac!I:I,""),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_xlpm.CSVVal,_xlfn.XLOOKUP($A227,CSV!$A:$A,CSV!J:J,""),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46" t="str" cm="1">
        <f t="array" ref="K227">IFERROR(_xlfn.LET(
_xlpm.CSVVal,_xlfn.XLOOKUP($A227,CSV!$A:$A,CSV!N:N,""),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_xlpm.CSVVal,_xlfn.XLOOKUP($A227,CSV!$A:$A,CSV!Q:Q,""),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CSV!AE:AE,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_xlpm.CSVVal,_xlfn.XLOOKUP($A227,CSV!$A:$A,CSV!AG:AG,""),
_xlpm.MacVal,_xlfn.XLOOKUP($A227,Output_Mac!$A:$A,Output_Mac!T:T,""),
_xlpm.MyAuditVal,_xlfn.XLOOKUP($A227,My_Audit!$A:$A,My_Audit!O:O,""),
_xlfn.IFS(_xlpm.MyAuditVal&lt;&gt;"",UPPER(_xlpm.MyAuditVal),_xlpm.MacVal&lt;&gt;"",_xlpm.MacVal,_xlpm.CSVVal&lt;&gt;"",_xlpm.CSVVal
)),"")</f>
        <v/>
      </c>
      <c r="O227" s="46" t="str">
        <f>_xlfn.XLOOKUP(C227,My_Audit!B:B,My_Audit!P:P,"")&amp;""</f>
        <v/>
      </c>
      <c r="P227" s="45"/>
      <c r="Q227" s="46" t="str">
        <f>IF(LEFT(N227,4)="Pass","Nist SP 800-88",My_Audit!R227)&amp;""</f>
        <v/>
      </c>
      <c r="R227" s="45"/>
      <c r="S227" s="45"/>
      <c r="T227" s="46" t="str">
        <f>_xlfn.XLOOKUP(E227,Models!I:I,Models!J:J,"")</f>
        <v/>
      </c>
      <c r="U227" s="45"/>
      <c r="V227" s="45"/>
      <c r="W227" s="38" t="str">
        <f>_xlfn.LET(
    _xlpm.MacVal, _xlfn.XLOOKUP($A227, Output_Mac!$A:$A, Output_Mac!AA:AA, ""),
    _xlpm.MyAuditVal, _xlfn.XLOOKUP($A227, My_Audit!$A:$A, My_Audit!L:L, ""),
    _xlfn.TEXTJOIN(", ", TRUE, _xlpm.MyAuditVal, _xlpm.MacVal)
)</f>
        <v/>
      </c>
    </row>
    <row r="228" spans="1:23">
      <c r="A228" s="45" t="str">
        <f>_xlfn.TEXTJOIN("",TRUE,Input!$B$2,ROW(My_Audit!A227))</f>
        <v>CC227</v>
      </c>
      <c r="B228" s="45" t="str">
        <f>_xlfn.TEXTJOIN("-",TRUE,"ITD",Input!$A$2,A228)</f>
        <v>ITD-XXX-CC227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 cm="1">
        <f t="array" ref="D228">IFERROR(_xlfn.LET(
_xlpm.CSVVal,_xlfn.XLOOKUP($A228,CSV!$A:$A,CSV!C:C,""),
_xlpm.MacVal,_xlfn.XLOOKUP($A228,Output_Mac!$A:$A,Output_Mac!D:D,""),
_xlpm.MyAuditVal,_xlfn.XLOOKUP($A228,My_Audit!$A:$A,My_Audit!C:C,""),
_xlfn.IFS(_xlpm.MyAuditVal&lt;&gt;"",UPPER(_xlpm.MyAuditVal),_xlpm.MacVal&lt;&gt;"",_xlpm.MacVal,_xlpm.CSVVal&lt;&gt;"",_xlpm.CSVVal
)),"")</f>
        <v/>
      </c>
      <c r="E228" s="46" t="str" cm="1">
        <f t="array" ref="E228">IFERROR(_xlfn.LET(
_xlpm.CSVVal,_xlfn.XLOOKUP($A228,CSV!$A:$A,CSV!E:E,""),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_xlpm.CSVVal,_xlfn.XLOOKUP($A228,CSV!$A:$A,CSV!G:G,""),
_xlpm.MacVal,_xlfn.XLOOKUP($A228,Output_Mac!$A:$A,Output_Mac!G:G,""),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_xlfn.XLOOKUP(A228,Output_Mac!A:A,Output_Mac!H:H,"")</f>
        <v/>
      </c>
      <c r="I228" s="45" t="str" cm="1">
        <f t="array" ref="I228">IFERROR(_xlfn.LET(
_xlpm.CSVVal,_xlfn.XLOOKUP($A228,CSV!$A:$A,CSV!H:H,""),
_xlpm.MacVal,_xlfn.XLOOKUP($A228,Output_Mac!$A:$A,Output_Mac!I:I,""),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_xlpm.CSVVal,_xlfn.XLOOKUP($A228,CSV!$A:$A,CSV!J:J,""),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46" t="str" cm="1">
        <f t="array" ref="K228">IFERROR(_xlfn.LET(
_xlpm.CSVVal,_xlfn.XLOOKUP($A228,CSV!$A:$A,CSV!N:N,""),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_xlpm.CSVVal,_xlfn.XLOOKUP($A228,CSV!$A:$A,CSV!Q:Q,""),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CSV!AE:AE,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_xlpm.CSVVal,_xlfn.XLOOKUP($A228,CSV!$A:$A,CSV!AG:AG,""),
_xlpm.MacVal,_xlfn.XLOOKUP($A228,Output_Mac!$A:$A,Output_Mac!T:T,""),
_xlpm.MyAuditVal,_xlfn.XLOOKUP($A228,My_Audit!$A:$A,My_Audit!O:O,""),
_xlfn.IFS(_xlpm.MyAuditVal&lt;&gt;"",UPPER(_xlpm.MyAuditVal),_xlpm.MacVal&lt;&gt;"",_xlpm.MacVal,_xlpm.CSVVal&lt;&gt;"",_xlpm.CSVVal
)),"")</f>
        <v/>
      </c>
      <c r="O228" s="46" t="str">
        <f>_xlfn.XLOOKUP(C228,My_Audit!B:B,My_Audit!P:P,"")&amp;""</f>
        <v/>
      </c>
      <c r="P228" s="45"/>
      <c r="Q228" s="46" t="str">
        <f>IF(LEFT(N228,4)="Pass","Nist SP 800-88",My_Audit!R228)&amp;""</f>
        <v/>
      </c>
      <c r="R228" s="45"/>
      <c r="S228" s="45"/>
      <c r="T228" s="46" t="str">
        <f>_xlfn.XLOOKUP(E228,Models!I:I,Models!J:J,"")</f>
        <v/>
      </c>
      <c r="U228" s="45"/>
      <c r="V228" s="45"/>
      <c r="W228" s="38" t="str">
        <f>_xlfn.LET(
    _xlpm.MacVal, _xlfn.XLOOKUP($A228, Output_Mac!$A:$A, Output_Mac!AA:AA, ""),
    _xlpm.MyAuditVal, _xlfn.XLOOKUP($A228, My_Audit!$A:$A, My_Audit!L:L, ""),
    _xlfn.TEXTJOIN(", ", TRUE, _xlpm.MyAuditVal, _xlpm.MacVal)
)</f>
        <v/>
      </c>
    </row>
    <row r="229" spans="1:23">
      <c r="A229" s="45" t="str">
        <f>_xlfn.TEXTJOIN("",TRUE,Input!$B$2,ROW(My_Audit!A228))</f>
        <v>CC228</v>
      </c>
      <c r="B229" s="45" t="str">
        <f>_xlfn.TEXTJOIN("-",TRUE,"ITD",Input!$A$2,A229)</f>
        <v>ITD-XXX-CC228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 cm="1">
        <f t="array" ref="D229">IFERROR(_xlfn.LET(
_xlpm.CSVVal,_xlfn.XLOOKUP($A229,CSV!$A:$A,CSV!C:C,""),
_xlpm.MacVal,_xlfn.XLOOKUP($A229,Output_Mac!$A:$A,Output_Mac!D:D,""),
_xlpm.MyAuditVal,_xlfn.XLOOKUP($A229,My_Audit!$A:$A,My_Audit!C:C,""),
_xlfn.IFS(_xlpm.MyAuditVal&lt;&gt;"",UPPER(_xlpm.MyAuditVal),_xlpm.MacVal&lt;&gt;"",_xlpm.MacVal,_xlpm.CSVVal&lt;&gt;"",_xlpm.CSVVal
)),"")</f>
        <v/>
      </c>
      <c r="E229" s="46" t="str" cm="1">
        <f t="array" ref="E229">IFERROR(_xlfn.LET(
_xlpm.CSVVal,_xlfn.XLOOKUP($A229,CSV!$A:$A,CSV!E:E,""),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_xlpm.CSVVal,_xlfn.XLOOKUP($A229,CSV!$A:$A,CSV!G:G,""),
_xlpm.MacVal,_xlfn.XLOOKUP($A229,Output_Mac!$A:$A,Output_Mac!G:G,""),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_xlfn.XLOOKUP(A229,Output_Mac!A:A,Output_Mac!H:H,"")</f>
        <v/>
      </c>
      <c r="I229" s="45" t="str" cm="1">
        <f t="array" ref="I229">IFERROR(_xlfn.LET(
_xlpm.CSVVal,_xlfn.XLOOKUP($A229,CSV!$A:$A,CSV!H:H,""),
_xlpm.MacVal,_xlfn.XLOOKUP($A229,Output_Mac!$A:$A,Output_Mac!I:I,""),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_xlpm.CSVVal,_xlfn.XLOOKUP($A229,CSV!$A:$A,CSV!J:J,""),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46" t="str" cm="1">
        <f t="array" ref="K229">IFERROR(_xlfn.LET(
_xlpm.CSVVal,_xlfn.XLOOKUP($A229,CSV!$A:$A,CSV!N:N,""),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_xlpm.CSVVal,_xlfn.XLOOKUP($A229,CSV!$A:$A,CSV!Q:Q,""),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CSV!AE:AE,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_xlpm.CSVVal,_xlfn.XLOOKUP($A229,CSV!$A:$A,CSV!AG:AG,""),
_xlpm.MacVal,_xlfn.XLOOKUP($A229,Output_Mac!$A:$A,Output_Mac!T:T,""),
_xlpm.MyAuditVal,_xlfn.XLOOKUP($A229,My_Audit!$A:$A,My_Audit!O:O,""),
_xlfn.IFS(_xlpm.MyAuditVal&lt;&gt;"",UPPER(_xlpm.MyAuditVal),_xlpm.MacVal&lt;&gt;"",_xlpm.MacVal,_xlpm.CSVVal&lt;&gt;"",_xlpm.CSVVal
)),"")</f>
        <v/>
      </c>
      <c r="O229" s="46" t="str">
        <f>_xlfn.XLOOKUP(C229,My_Audit!B:B,My_Audit!P:P,"")&amp;""</f>
        <v/>
      </c>
      <c r="P229" s="45"/>
      <c r="Q229" s="46" t="str">
        <f>IF(LEFT(N229,4)="Pass","Nist SP 800-88",My_Audit!R229)&amp;""</f>
        <v/>
      </c>
      <c r="R229" s="45"/>
      <c r="S229" s="45"/>
      <c r="T229" s="46" t="str">
        <f>_xlfn.XLOOKUP(E229,Models!I:I,Models!J:J,"")</f>
        <v/>
      </c>
      <c r="U229" s="45"/>
      <c r="V229" s="45"/>
      <c r="W229" s="38" t="str">
        <f>_xlfn.LET(
    _xlpm.MacVal, _xlfn.XLOOKUP($A229, Output_Mac!$A:$A, Output_Mac!AA:AA, ""),
    _xlpm.MyAuditVal, _xlfn.XLOOKUP($A229, My_Audit!$A:$A, My_Audit!L:L, ""),
    _xlfn.TEXTJOIN(", ", TRUE, _xlpm.MyAuditVal, _xlpm.MacVal)
)</f>
        <v/>
      </c>
    </row>
    <row r="230" spans="1:23">
      <c r="A230" s="45" t="str">
        <f>_xlfn.TEXTJOIN("",TRUE,Input!$B$2,ROW(My_Audit!A229))</f>
        <v>CC229</v>
      </c>
      <c r="B230" s="45" t="str">
        <f>_xlfn.TEXTJOIN("-",TRUE,"ITD",Input!$A$2,A230)</f>
        <v>ITD-XXX-CC229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 cm="1">
        <f t="array" ref="D230">IFERROR(_xlfn.LET(
_xlpm.CSVVal,_xlfn.XLOOKUP($A230,CSV!$A:$A,CSV!C:C,""),
_xlpm.MacVal,_xlfn.XLOOKUP($A230,Output_Mac!$A:$A,Output_Mac!D:D,""),
_xlpm.MyAuditVal,_xlfn.XLOOKUP($A230,My_Audit!$A:$A,My_Audit!C:C,""),
_xlfn.IFS(_xlpm.MyAuditVal&lt;&gt;"",UPPER(_xlpm.MyAuditVal),_xlpm.MacVal&lt;&gt;"",_xlpm.MacVal,_xlpm.CSVVal&lt;&gt;"",_xlpm.CSVVal
)),"")</f>
        <v/>
      </c>
      <c r="E230" s="46" t="str" cm="1">
        <f t="array" ref="E230">IFERROR(_xlfn.LET(
_xlpm.CSVVal,_xlfn.XLOOKUP($A230,CSV!$A:$A,CSV!E:E,""),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_xlpm.CSVVal,_xlfn.XLOOKUP($A230,CSV!$A:$A,CSV!G:G,""),
_xlpm.MacVal,_xlfn.XLOOKUP($A230,Output_Mac!$A:$A,Output_Mac!G:G,""),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_xlfn.XLOOKUP(A230,Output_Mac!A:A,Output_Mac!H:H,"")</f>
        <v/>
      </c>
      <c r="I230" s="45" t="str" cm="1">
        <f t="array" ref="I230">IFERROR(_xlfn.LET(
_xlpm.CSVVal,_xlfn.XLOOKUP($A230,CSV!$A:$A,CSV!H:H,""),
_xlpm.MacVal,_xlfn.XLOOKUP($A230,Output_Mac!$A:$A,Output_Mac!I:I,""),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_xlpm.CSVVal,_xlfn.XLOOKUP($A230,CSV!$A:$A,CSV!J:J,""),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46" t="str" cm="1">
        <f t="array" ref="K230">IFERROR(_xlfn.LET(
_xlpm.CSVVal,_xlfn.XLOOKUP($A230,CSV!$A:$A,CSV!N:N,""),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_xlpm.CSVVal,_xlfn.XLOOKUP($A230,CSV!$A:$A,CSV!Q:Q,""),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CSV!AE:AE,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_xlpm.CSVVal,_xlfn.XLOOKUP($A230,CSV!$A:$A,CSV!AG:AG,""),
_xlpm.MacVal,_xlfn.XLOOKUP($A230,Output_Mac!$A:$A,Output_Mac!T:T,""),
_xlpm.MyAuditVal,_xlfn.XLOOKUP($A230,My_Audit!$A:$A,My_Audit!O:O,""),
_xlfn.IFS(_xlpm.MyAuditVal&lt;&gt;"",UPPER(_xlpm.MyAuditVal),_xlpm.MacVal&lt;&gt;"",_xlpm.MacVal,_xlpm.CSVVal&lt;&gt;"",_xlpm.CSVVal
)),"")</f>
        <v/>
      </c>
      <c r="O230" s="46" t="str">
        <f>_xlfn.XLOOKUP(C230,My_Audit!B:B,My_Audit!P:P,"")&amp;""</f>
        <v/>
      </c>
      <c r="P230" s="45"/>
      <c r="Q230" s="46" t="str">
        <f>IF(LEFT(N230,4)="Pass","Nist SP 800-88",My_Audit!R230)&amp;""</f>
        <v/>
      </c>
      <c r="R230" s="45"/>
      <c r="S230" s="45"/>
      <c r="T230" s="46" t="str">
        <f>_xlfn.XLOOKUP(E230,Models!I:I,Models!J:J,"")</f>
        <v/>
      </c>
      <c r="U230" s="45"/>
      <c r="V230" s="45"/>
      <c r="W230" s="38" t="str">
        <f>_xlfn.LET(
    _xlpm.MacVal, _xlfn.XLOOKUP($A230, Output_Mac!$A:$A, Output_Mac!AA:AA, ""),
    _xlpm.MyAuditVal, _xlfn.XLOOKUP($A230, My_Audit!$A:$A, My_Audit!L:L, ""),
    _xlfn.TEXTJOIN(", ", TRUE, _xlpm.MyAuditVal, _xlpm.MacVal)
)</f>
        <v/>
      </c>
    </row>
    <row r="231" spans="1:23">
      <c r="A231" s="45" t="str">
        <f>_xlfn.TEXTJOIN("",TRUE,Input!$B$2,ROW(My_Audit!A230))</f>
        <v>CC230</v>
      </c>
      <c r="B231" s="45" t="str">
        <f>_xlfn.TEXTJOIN("-",TRUE,"ITD",Input!$A$2,A231)</f>
        <v>ITD-XXX-CC230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 cm="1">
        <f t="array" ref="D231">IFERROR(_xlfn.LET(
_xlpm.CSVVal,_xlfn.XLOOKUP($A231,CSV!$A:$A,CSV!C:C,""),
_xlpm.MacVal,_xlfn.XLOOKUP($A231,Output_Mac!$A:$A,Output_Mac!D:D,""),
_xlpm.MyAuditVal,_xlfn.XLOOKUP($A231,My_Audit!$A:$A,My_Audit!C:C,""),
_xlfn.IFS(_xlpm.MyAuditVal&lt;&gt;"",UPPER(_xlpm.MyAuditVal),_xlpm.MacVal&lt;&gt;"",_xlpm.MacVal,_xlpm.CSVVal&lt;&gt;"",_xlpm.CSVVal
)),"")</f>
        <v/>
      </c>
      <c r="E231" s="46" t="str" cm="1">
        <f t="array" ref="E231">IFERROR(_xlfn.LET(
_xlpm.CSVVal,_xlfn.XLOOKUP($A231,CSV!$A:$A,CSV!E:E,""),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_xlpm.CSVVal,_xlfn.XLOOKUP($A231,CSV!$A:$A,CSV!G:G,""),
_xlpm.MacVal,_xlfn.XLOOKUP($A231,Output_Mac!$A:$A,Output_Mac!G:G,""),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_xlfn.XLOOKUP(A231,Output_Mac!A:A,Output_Mac!H:H,"")</f>
        <v/>
      </c>
      <c r="I231" s="45" t="str" cm="1">
        <f t="array" ref="I231">IFERROR(_xlfn.LET(
_xlpm.CSVVal,_xlfn.XLOOKUP($A231,CSV!$A:$A,CSV!H:H,""),
_xlpm.MacVal,_xlfn.XLOOKUP($A231,Output_Mac!$A:$A,Output_Mac!I:I,""),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_xlpm.CSVVal,_xlfn.XLOOKUP($A231,CSV!$A:$A,CSV!J:J,""),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46" t="str" cm="1">
        <f t="array" ref="K231">IFERROR(_xlfn.LET(
_xlpm.CSVVal,_xlfn.XLOOKUP($A231,CSV!$A:$A,CSV!N:N,""),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_xlpm.CSVVal,_xlfn.XLOOKUP($A231,CSV!$A:$A,CSV!Q:Q,""),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CSV!AE:AE,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_xlpm.CSVVal,_xlfn.XLOOKUP($A231,CSV!$A:$A,CSV!AG:AG,""),
_xlpm.MacVal,_xlfn.XLOOKUP($A231,Output_Mac!$A:$A,Output_Mac!T:T,""),
_xlpm.MyAuditVal,_xlfn.XLOOKUP($A231,My_Audit!$A:$A,My_Audit!O:O,""),
_xlfn.IFS(_xlpm.MyAuditVal&lt;&gt;"",UPPER(_xlpm.MyAuditVal),_xlpm.MacVal&lt;&gt;"",_xlpm.MacVal,_xlpm.CSVVal&lt;&gt;"",_xlpm.CSVVal
)),"")</f>
        <v/>
      </c>
      <c r="O231" s="46" t="str">
        <f>_xlfn.XLOOKUP(C231,My_Audit!B:B,My_Audit!P:P,"")&amp;""</f>
        <v/>
      </c>
      <c r="P231" s="45"/>
      <c r="Q231" s="46" t="str">
        <f>IF(LEFT(N231,4)="Pass","Nist SP 800-88",My_Audit!R231)&amp;""</f>
        <v/>
      </c>
      <c r="R231" s="45"/>
      <c r="S231" s="45"/>
      <c r="T231" s="46" t="str">
        <f>_xlfn.XLOOKUP(E231,Models!I:I,Models!J:J,"")</f>
        <v/>
      </c>
      <c r="U231" s="45"/>
      <c r="V231" s="45"/>
      <c r="W231" s="38" t="str">
        <f>_xlfn.LET(
    _xlpm.MacVal, _xlfn.XLOOKUP($A231, Output_Mac!$A:$A, Output_Mac!AA:AA, ""),
    _xlpm.MyAuditVal, _xlfn.XLOOKUP($A231, My_Audit!$A:$A, My_Audit!L:L, ""),
    _xlfn.TEXTJOIN(", ", TRUE, _xlpm.MyAuditVal, _xlpm.MacVal)
)</f>
        <v/>
      </c>
    </row>
    <row r="232" spans="1:23">
      <c r="A232" s="45" t="str">
        <f>_xlfn.TEXTJOIN("",TRUE,Input!$B$2,ROW(My_Audit!A231))</f>
        <v>CC231</v>
      </c>
      <c r="B232" s="45" t="str">
        <f>_xlfn.TEXTJOIN("-",TRUE,"ITD",Input!$A$2,A232)</f>
        <v>ITD-XXX-CC231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 cm="1">
        <f t="array" ref="D232">IFERROR(_xlfn.LET(
_xlpm.CSVVal,_xlfn.XLOOKUP($A232,CSV!$A:$A,CSV!C:C,""),
_xlpm.MacVal,_xlfn.XLOOKUP($A232,Output_Mac!$A:$A,Output_Mac!D:D,""),
_xlpm.MyAuditVal,_xlfn.XLOOKUP($A232,My_Audit!$A:$A,My_Audit!C:C,""),
_xlfn.IFS(_xlpm.MyAuditVal&lt;&gt;"",UPPER(_xlpm.MyAuditVal),_xlpm.MacVal&lt;&gt;"",_xlpm.MacVal,_xlpm.CSVVal&lt;&gt;"",_xlpm.CSVVal
)),"")</f>
        <v/>
      </c>
      <c r="E232" s="46" t="str" cm="1">
        <f t="array" ref="E232">IFERROR(_xlfn.LET(
_xlpm.CSVVal,_xlfn.XLOOKUP($A232,CSV!$A:$A,CSV!E:E,""),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_xlpm.CSVVal,_xlfn.XLOOKUP($A232,CSV!$A:$A,CSV!G:G,""),
_xlpm.MacVal,_xlfn.XLOOKUP($A232,Output_Mac!$A:$A,Output_Mac!G:G,""),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_xlfn.XLOOKUP(A232,Output_Mac!A:A,Output_Mac!H:H,"")</f>
        <v/>
      </c>
      <c r="I232" s="45" t="str" cm="1">
        <f t="array" ref="I232">IFERROR(_xlfn.LET(
_xlpm.CSVVal,_xlfn.XLOOKUP($A232,CSV!$A:$A,CSV!H:H,""),
_xlpm.MacVal,_xlfn.XLOOKUP($A232,Output_Mac!$A:$A,Output_Mac!I:I,""),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_xlpm.CSVVal,_xlfn.XLOOKUP($A232,CSV!$A:$A,CSV!J:J,""),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46" t="str" cm="1">
        <f t="array" ref="K232">IFERROR(_xlfn.LET(
_xlpm.CSVVal,_xlfn.XLOOKUP($A232,CSV!$A:$A,CSV!N:N,""),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_xlpm.CSVVal,_xlfn.XLOOKUP($A232,CSV!$A:$A,CSV!Q:Q,""),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CSV!AE:AE,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_xlpm.CSVVal,_xlfn.XLOOKUP($A232,CSV!$A:$A,CSV!AG:AG,""),
_xlpm.MacVal,_xlfn.XLOOKUP($A232,Output_Mac!$A:$A,Output_Mac!T:T,""),
_xlpm.MyAuditVal,_xlfn.XLOOKUP($A232,My_Audit!$A:$A,My_Audit!O:O,""),
_xlfn.IFS(_xlpm.MyAuditVal&lt;&gt;"",UPPER(_xlpm.MyAuditVal),_xlpm.MacVal&lt;&gt;"",_xlpm.MacVal,_xlpm.CSVVal&lt;&gt;"",_xlpm.CSVVal
)),"")</f>
        <v/>
      </c>
      <c r="O232" s="46" t="str">
        <f>_xlfn.XLOOKUP(C232,My_Audit!B:B,My_Audit!P:P,"")&amp;""</f>
        <v/>
      </c>
      <c r="P232" s="45"/>
      <c r="Q232" s="46" t="str">
        <f>IF(LEFT(N232,4)="Pass","Nist SP 800-88",My_Audit!R232)&amp;""</f>
        <v/>
      </c>
      <c r="R232" s="45"/>
      <c r="S232" s="45"/>
      <c r="T232" s="46" t="str">
        <f>_xlfn.XLOOKUP(E232,Models!I:I,Models!J:J,"")</f>
        <v/>
      </c>
      <c r="U232" s="45"/>
      <c r="V232" s="45"/>
      <c r="W232" s="38" t="str">
        <f>_xlfn.LET(
    _xlpm.MacVal, _xlfn.XLOOKUP($A232, Output_Mac!$A:$A, Output_Mac!AA:AA, ""),
    _xlpm.MyAuditVal, _xlfn.XLOOKUP($A232, My_Audit!$A:$A, My_Audit!L:L, ""),
    _xlfn.TEXTJOIN(", ", TRUE, _xlpm.MyAuditVal, _xlpm.MacVal)
)</f>
        <v/>
      </c>
    </row>
    <row r="233" spans="1:23">
      <c r="A233" s="45" t="str">
        <f>_xlfn.TEXTJOIN("",TRUE,Input!$B$2,ROW(My_Audit!A232))</f>
        <v>CC232</v>
      </c>
      <c r="B233" s="45" t="str">
        <f>_xlfn.TEXTJOIN("-",TRUE,"ITD",Input!$A$2,A233)</f>
        <v>ITD-XXX-CC232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 cm="1">
        <f t="array" ref="D233">IFERROR(_xlfn.LET(
_xlpm.CSVVal,_xlfn.XLOOKUP($A233,CSV!$A:$A,CSV!C:C,""),
_xlpm.MacVal,_xlfn.XLOOKUP($A233,Output_Mac!$A:$A,Output_Mac!D:D,""),
_xlpm.MyAuditVal,_xlfn.XLOOKUP($A233,My_Audit!$A:$A,My_Audit!C:C,""),
_xlfn.IFS(_xlpm.MyAuditVal&lt;&gt;"",UPPER(_xlpm.MyAuditVal),_xlpm.MacVal&lt;&gt;"",_xlpm.MacVal,_xlpm.CSVVal&lt;&gt;"",_xlpm.CSVVal
)),"")</f>
        <v/>
      </c>
      <c r="E233" s="46" t="str" cm="1">
        <f t="array" ref="E233">IFERROR(_xlfn.LET(
_xlpm.CSVVal,_xlfn.XLOOKUP($A233,CSV!$A:$A,CSV!E:E,""),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_xlpm.CSVVal,_xlfn.XLOOKUP($A233,CSV!$A:$A,CSV!G:G,""),
_xlpm.MacVal,_xlfn.XLOOKUP($A233,Output_Mac!$A:$A,Output_Mac!G:G,""),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_xlfn.XLOOKUP(A233,Output_Mac!A:A,Output_Mac!H:H,"")</f>
        <v/>
      </c>
      <c r="I233" s="45" t="str" cm="1">
        <f t="array" ref="I233">IFERROR(_xlfn.LET(
_xlpm.CSVVal,_xlfn.XLOOKUP($A233,CSV!$A:$A,CSV!H:H,""),
_xlpm.MacVal,_xlfn.XLOOKUP($A233,Output_Mac!$A:$A,Output_Mac!I:I,""),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_xlpm.CSVVal,_xlfn.XLOOKUP($A233,CSV!$A:$A,CSV!J:J,""),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46" t="str" cm="1">
        <f t="array" ref="K233">IFERROR(_xlfn.LET(
_xlpm.CSVVal,_xlfn.XLOOKUP($A233,CSV!$A:$A,CSV!N:N,""),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_xlpm.CSVVal,_xlfn.XLOOKUP($A233,CSV!$A:$A,CSV!Q:Q,""),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CSV!AE:AE,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_xlpm.CSVVal,_xlfn.XLOOKUP($A233,CSV!$A:$A,CSV!AG:AG,""),
_xlpm.MacVal,_xlfn.XLOOKUP($A233,Output_Mac!$A:$A,Output_Mac!T:T,""),
_xlpm.MyAuditVal,_xlfn.XLOOKUP($A233,My_Audit!$A:$A,My_Audit!O:O,""),
_xlfn.IFS(_xlpm.MyAuditVal&lt;&gt;"",UPPER(_xlpm.MyAuditVal),_xlpm.MacVal&lt;&gt;"",_xlpm.MacVal,_xlpm.CSVVal&lt;&gt;"",_xlpm.CSVVal
)),"")</f>
        <v/>
      </c>
      <c r="O233" s="46" t="str">
        <f>_xlfn.XLOOKUP(C233,My_Audit!B:B,My_Audit!P:P,"")&amp;""</f>
        <v/>
      </c>
      <c r="P233" s="45"/>
      <c r="Q233" s="46" t="str">
        <f>IF(LEFT(N233,4)="Pass","Nist SP 800-88",My_Audit!R233)&amp;""</f>
        <v/>
      </c>
      <c r="R233" s="45"/>
      <c r="S233" s="45"/>
      <c r="T233" s="46" t="str">
        <f>_xlfn.XLOOKUP(E233,Models!I:I,Models!J:J,"")</f>
        <v/>
      </c>
      <c r="U233" s="45"/>
      <c r="V233" s="45"/>
      <c r="W233" s="38" t="str">
        <f>_xlfn.LET(
    _xlpm.MacVal, _xlfn.XLOOKUP($A233, Output_Mac!$A:$A, Output_Mac!AA:AA, ""),
    _xlpm.MyAuditVal, _xlfn.XLOOKUP($A233, My_Audit!$A:$A, My_Audit!L:L, ""),
    _xlfn.TEXTJOIN(", ", TRUE, _xlpm.MyAuditVal, _xlpm.MacVal)
)</f>
        <v/>
      </c>
    </row>
    <row r="234" spans="1:23">
      <c r="A234" s="45" t="str">
        <f>_xlfn.TEXTJOIN("",TRUE,Input!$B$2,ROW(My_Audit!A233))</f>
        <v>CC233</v>
      </c>
      <c r="B234" s="45" t="str">
        <f>_xlfn.TEXTJOIN("-",TRUE,"ITD",Input!$A$2,A234)</f>
        <v>ITD-XXX-CC233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 cm="1">
        <f t="array" ref="D234">IFERROR(_xlfn.LET(
_xlpm.CSVVal,_xlfn.XLOOKUP($A234,CSV!$A:$A,CSV!C:C,""),
_xlpm.MacVal,_xlfn.XLOOKUP($A234,Output_Mac!$A:$A,Output_Mac!D:D,""),
_xlpm.MyAuditVal,_xlfn.XLOOKUP($A234,My_Audit!$A:$A,My_Audit!C:C,""),
_xlfn.IFS(_xlpm.MyAuditVal&lt;&gt;"",UPPER(_xlpm.MyAuditVal),_xlpm.MacVal&lt;&gt;"",_xlpm.MacVal,_xlpm.CSVVal&lt;&gt;"",_xlpm.CSVVal
)),"")</f>
        <v/>
      </c>
      <c r="E234" s="46" t="str" cm="1">
        <f t="array" ref="E234">IFERROR(_xlfn.LET(
_xlpm.CSVVal,_xlfn.XLOOKUP($A234,CSV!$A:$A,CSV!E:E,""),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_xlpm.CSVVal,_xlfn.XLOOKUP($A234,CSV!$A:$A,CSV!G:G,""),
_xlpm.MacVal,_xlfn.XLOOKUP($A234,Output_Mac!$A:$A,Output_Mac!G:G,""),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_xlfn.XLOOKUP(A234,Output_Mac!A:A,Output_Mac!H:H,"")</f>
        <v/>
      </c>
      <c r="I234" s="45" t="str" cm="1">
        <f t="array" ref="I234">IFERROR(_xlfn.LET(
_xlpm.CSVVal,_xlfn.XLOOKUP($A234,CSV!$A:$A,CSV!H:H,""),
_xlpm.MacVal,_xlfn.XLOOKUP($A234,Output_Mac!$A:$A,Output_Mac!I:I,""),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_xlpm.CSVVal,_xlfn.XLOOKUP($A234,CSV!$A:$A,CSV!J:J,""),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46" t="str" cm="1">
        <f t="array" ref="K234">IFERROR(_xlfn.LET(
_xlpm.CSVVal,_xlfn.XLOOKUP($A234,CSV!$A:$A,CSV!N:N,""),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_xlpm.CSVVal,_xlfn.XLOOKUP($A234,CSV!$A:$A,CSV!Q:Q,""),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CSV!AE:AE,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_xlpm.CSVVal,_xlfn.XLOOKUP($A234,CSV!$A:$A,CSV!AG:AG,""),
_xlpm.MacVal,_xlfn.XLOOKUP($A234,Output_Mac!$A:$A,Output_Mac!T:T,""),
_xlpm.MyAuditVal,_xlfn.XLOOKUP($A234,My_Audit!$A:$A,My_Audit!O:O,""),
_xlfn.IFS(_xlpm.MyAuditVal&lt;&gt;"",UPPER(_xlpm.MyAuditVal),_xlpm.MacVal&lt;&gt;"",_xlpm.MacVal,_xlpm.CSVVal&lt;&gt;"",_xlpm.CSVVal
)),"")</f>
        <v/>
      </c>
      <c r="O234" s="46" t="str">
        <f>_xlfn.XLOOKUP(C234,My_Audit!B:B,My_Audit!P:P,"")&amp;""</f>
        <v/>
      </c>
      <c r="P234" s="45"/>
      <c r="Q234" s="46" t="str">
        <f>IF(LEFT(N234,4)="Pass","Nist SP 800-88",My_Audit!R234)&amp;""</f>
        <v/>
      </c>
      <c r="R234" s="45"/>
      <c r="S234" s="45"/>
      <c r="T234" s="46" t="str">
        <f>_xlfn.XLOOKUP(E234,Models!I:I,Models!J:J,"")</f>
        <v/>
      </c>
      <c r="U234" s="45"/>
      <c r="V234" s="45"/>
      <c r="W234" s="38" t="str">
        <f>_xlfn.LET(
    _xlpm.MacVal, _xlfn.XLOOKUP($A234, Output_Mac!$A:$A, Output_Mac!AA:AA, ""),
    _xlpm.MyAuditVal, _xlfn.XLOOKUP($A234, My_Audit!$A:$A, My_Audit!L:L, ""),
    _xlfn.TEXTJOIN(", ", TRUE, _xlpm.MyAuditVal, _xlpm.MacVal)
)</f>
        <v/>
      </c>
    </row>
    <row r="235" spans="1:23">
      <c r="A235" s="45" t="str">
        <f>_xlfn.TEXTJOIN("",TRUE,Input!$B$2,ROW(My_Audit!A234))</f>
        <v>CC234</v>
      </c>
      <c r="B235" s="45" t="str">
        <f>_xlfn.TEXTJOIN("-",TRUE,"ITD",Input!$A$2,A235)</f>
        <v>ITD-XXX-CC234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 cm="1">
        <f t="array" ref="D235">IFERROR(_xlfn.LET(
_xlpm.CSVVal,_xlfn.XLOOKUP($A235,CSV!$A:$A,CSV!C:C,""),
_xlpm.MacVal,_xlfn.XLOOKUP($A235,Output_Mac!$A:$A,Output_Mac!D:D,""),
_xlpm.MyAuditVal,_xlfn.XLOOKUP($A235,My_Audit!$A:$A,My_Audit!C:C,""),
_xlfn.IFS(_xlpm.MyAuditVal&lt;&gt;"",UPPER(_xlpm.MyAuditVal),_xlpm.MacVal&lt;&gt;"",_xlpm.MacVal,_xlpm.CSVVal&lt;&gt;"",_xlpm.CSVVal
)),"")</f>
        <v/>
      </c>
      <c r="E235" s="46" t="str" cm="1">
        <f t="array" ref="E235">IFERROR(_xlfn.LET(
_xlpm.CSVVal,_xlfn.XLOOKUP($A235,CSV!$A:$A,CSV!E:E,""),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_xlpm.CSVVal,_xlfn.XLOOKUP($A235,CSV!$A:$A,CSV!G:G,""),
_xlpm.MacVal,_xlfn.XLOOKUP($A235,Output_Mac!$A:$A,Output_Mac!G:G,""),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_xlfn.XLOOKUP(A235,Output_Mac!A:A,Output_Mac!H:H,"")</f>
        <v/>
      </c>
      <c r="I235" s="45" t="str" cm="1">
        <f t="array" ref="I235">IFERROR(_xlfn.LET(
_xlpm.CSVVal,_xlfn.XLOOKUP($A235,CSV!$A:$A,CSV!H:H,""),
_xlpm.MacVal,_xlfn.XLOOKUP($A235,Output_Mac!$A:$A,Output_Mac!I:I,""),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_xlpm.CSVVal,_xlfn.XLOOKUP($A235,CSV!$A:$A,CSV!J:J,""),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46" t="str" cm="1">
        <f t="array" ref="K235">IFERROR(_xlfn.LET(
_xlpm.CSVVal,_xlfn.XLOOKUP($A235,CSV!$A:$A,CSV!N:N,""),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_xlpm.CSVVal,_xlfn.XLOOKUP($A235,CSV!$A:$A,CSV!Q:Q,""),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CSV!AE:AE,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_xlpm.CSVVal,_xlfn.XLOOKUP($A235,CSV!$A:$A,CSV!AG:AG,""),
_xlpm.MacVal,_xlfn.XLOOKUP($A235,Output_Mac!$A:$A,Output_Mac!T:T,""),
_xlpm.MyAuditVal,_xlfn.XLOOKUP($A235,My_Audit!$A:$A,My_Audit!O:O,""),
_xlfn.IFS(_xlpm.MyAuditVal&lt;&gt;"",UPPER(_xlpm.MyAuditVal),_xlpm.MacVal&lt;&gt;"",_xlpm.MacVal,_xlpm.CSVVal&lt;&gt;"",_xlpm.CSVVal
)),"")</f>
        <v/>
      </c>
      <c r="O235" s="46" t="str">
        <f>_xlfn.XLOOKUP(C235,My_Audit!B:B,My_Audit!P:P,"")&amp;""</f>
        <v/>
      </c>
      <c r="P235" s="45"/>
      <c r="Q235" s="46" t="str">
        <f>IF(LEFT(N235,4)="Pass","Nist SP 800-88",My_Audit!R235)&amp;""</f>
        <v/>
      </c>
      <c r="R235" s="45"/>
      <c r="S235" s="45"/>
      <c r="T235" s="46" t="str">
        <f>_xlfn.XLOOKUP(E235,Models!I:I,Models!J:J,"")</f>
        <v/>
      </c>
      <c r="U235" s="45"/>
      <c r="V235" s="45"/>
      <c r="W235" s="38" t="str">
        <f>_xlfn.LET(
    _xlpm.MacVal, _xlfn.XLOOKUP($A235, Output_Mac!$A:$A, Output_Mac!AA:AA, ""),
    _xlpm.MyAuditVal, _xlfn.XLOOKUP($A235, My_Audit!$A:$A, My_Audit!L:L, ""),
    _xlfn.TEXTJOIN(", ", TRUE, _xlpm.MyAuditVal, _xlpm.MacVal)
)</f>
        <v/>
      </c>
    </row>
    <row r="236" spans="1:23">
      <c r="A236" s="45" t="str">
        <f>_xlfn.TEXTJOIN("",TRUE,Input!$B$2,ROW(My_Audit!A235))</f>
        <v>CC235</v>
      </c>
      <c r="B236" s="45" t="str">
        <f>_xlfn.TEXTJOIN("-",TRUE,"ITD",Input!$A$2,A236)</f>
        <v>ITD-XXX-CC235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 cm="1">
        <f t="array" ref="D236">IFERROR(_xlfn.LET(
_xlpm.CSVVal,_xlfn.XLOOKUP($A236,CSV!$A:$A,CSV!C:C,""),
_xlpm.MacVal,_xlfn.XLOOKUP($A236,Output_Mac!$A:$A,Output_Mac!D:D,""),
_xlpm.MyAuditVal,_xlfn.XLOOKUP($A236,My_Audit!$A:$A,My_Audit!C:C,""),
_xlfn.IFS(_xlpm.MyAuditVal&lt;&gt;"",UPPER(_xlpm.MyAuditVal),_xlpm.MacVal&lt;&gt;"",_xlpm.MacVal,_xlpm.CSVVal&lt;&gt;"",_xlpm.CSVVal
)),"")</f>
        <v/>
      </c>
      <c r="E236" s="46" t="str" cm="1">
        <f t="array" ref="E236">IFERROR(_xlfn.LET(
_xlpm.CSVVal,_xlfn.XLOOKUP($A236,CSV!$A:$A,CSV!E:E,""),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_xlpm.CSVVal,_xlfn.XLOOKUP($A236,CSV!$A:$A,CSV!G:G,""),
_xlpm.MacVal,_xlfn.XLOOKUP($A236,Output_Mac!$A:$A,Output_Mac!G:G,""),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_xlfn.XLOOKUP(A236,Output_Mac!A:A,Output_Mac!H:H,"")</f>
        <v/>
      </c>
      <c r="I236" s="45" t="str" cm="1">
        <f t="array" ref="I236">IFERROR(_xlfn.LET(
_xlpm.CSVVal,_xlfn.XLOOKUP($A236,CSV!$A:$A,CSV!H:H,""),
_xlpm.MacVal,_xlfn.XLOOKUP($A236,Output_Mac!$A:$A,Output_Mac!I:I,""),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_xlpm.CSVVal,_xlfn.XLOOKUP($A236,CSV!$A:$A,CSV!J:J,""),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46" t="str" cm="1">
        <f t="array" ref="K236">IFERROR(_xlfn.LET(
_xlpm.CSVVal,_xlfn.XLOOKUP($A236,CSV!$A:$A,CSV!N:N,""),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_xlpm.CSVVal,_xlfn.XLOOKUP($A236,CSV!$A:$A,CSV!Q:Q,""),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CSV!AE:AE,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_xlpm.CSVVal,_xlfn.XLOOKUP($A236,CSV!$A:$A,CSV!AG:AG,""),
_xlpm.MacVal,_xlfn.XLOOKUP($A236,Output_Mac!$A:$A,Output_Mac!T:T,""),
_xlpm.MyAuditVal,_xlfn.XLOOKUP($A236,My_Audit!$A:$A,My_Audit!O:O,""),
_xlfn.IFS(_xlpm.MyAuditVal&lt;&gt;"",UPPER(_xlpm.MyAuditVal),_xlpm.MacVal&lt;&gt;"",_xlpm.MacVal,_xlpm.CSVVal&lt;&gt;"",_xlpm.CSVVal
)),"")</f>
        <v/>
      </c>
      <c r="O236" s="46" t="str">
        <f>_xlfn.XLOOKUP(C236,My_Audit!B:B,My_Audit!P:P,"")&amp;""</f>
        <v/>
      </c>
      <c r="P236" s="45"/>
      <c r="Q236" s="46" t="str">
        <f>IF(LEFT(N236,4)="Pass","Nist SP 800-88",My_Audit!R236)&amp;""</f>
        <v/>
      </c>
      <c r="R236" s="45"/>
      <c r="S236" s="45"/>
      <c r="T236" s="46" t="str">
        <f>_xlfn.XLOOKUP(E236,Models!I:I,Models!J:J,"")</f>
        <v/>
      </c>
      <c r="U236" s="45"/>
      <c r="V236" s="45"/>
      <c r="W236" s="38" t="str">
        <f>_xlfn.LET(
    _xlpm.MacVal, _xlfn.XLOOKUP($A236, Output_Mac!$A:$A, Output_Mac!AA:AA, ""),
    _xlpm.MyAuditVal, _xlfn.XLOOKUP($A236, My_Audit!$A:$A, My_Audit!L:L, ""),
    _xlfn.TEXTJOIN(", ", TRUE, _xlpm.MyAuditVal, _xlpm.MacVal)
)</f>
        <v/>
      </c>
    </row>
    <row r="237" spans="1:23">
      <c r="A237" s="45" t="str">
        <f>_xlfn.TEXTJOIN("",TRUE,Input!$B$2,ROW(My_Audit!A236))</f>
        <v>CC236</v>
      </c>
      <c r="B237" s="45" t="str">
        <f>_xlfn.TEXTJOIN("-",TRUE,"ITD",Input!$A$2,A237)</f>
        <v>ITD-XXX-CC236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 cm="1">
        <f t="array" ref="D237">IFERROR(_xlfn.LET(
_xlpm.CSVVal,_xlfn.XLOOKUP($A237,CSV!$A:$A,CSV!C:C,""),
_xlpm.MacVal,_xlfn.XLOOKUP($A237,Output_Mac!$A:$A,Output_Mac!D:D,""),
_xlpm.MyAuditVal,_xlfn.XLOOKUP($A237,My_Audit!$A:$A,My_Audit!C:C,""),
_xlfn.IFS(_xlpm.MyAuditVal&lt;&gt;"",UPPER(_xlpm.MyAuditVal),_xlpm.MacVal&lt;&gt;"",_xlpm.MacVal,_xlpm.CSVVal&lt;&gt;"",_xlpm.CSVVal
)),"")</f>
        <v/>
      </c>
      <c r="E237" s="46" t="str" cm="1">
        <f t="array" ref="E237">IFERROR(_xlfn.LET(
_xlpm.CSVVal,_xlfn.XLOOKUP($A237,CSV!$A:$A,CSV!E:E,""),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_xlpm.CSVVal,_xlfn.XLOOKUP($A237,CSV!$A:$A,CSV!G:G,""),
_xlpm.MacVal,_xlfn.XLOOKUP($A237,Output_Mac!$A:$A,Output_Mac!G:G,""),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_xlfn.XLOOKUP(A237,Output_Mac!A:A,Output_Mac!H:H,"")</f>
        <v/>
      </c>
      <c r="I237" s="45" t="str" cm="1">
        <f t="array" ref="I237">IFERROR(_xlfn.LET(
_xlpm.CSVVal,_xlfn.XLOOKUP($A237,CSV!$A:$A,CSV!H:H,""),
_xlpm.MacVal,_xlfn.XLOOKUP($A237,Output_Mac!$A:$A,Output_Mac!I:I,""),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_xlpm.CSVVal,_xlfn.XLOOKUP($A237,CSV!$A:$A,CSV!J:J,""),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46" t="str" cm="1">
        <f t="array" ref="K237">IFERROR(_xlfn.LET(
_xlpm.CSVVal,_xlfn.XLOOKUP($A237,CSV!$A:$A,CSV!N:N,""),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_xlpm.CSVVal,_xlfn.XLOOKUP($A237,CSV!$A:$A,CSV!Q:Q,""),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CSV!AE:AE,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_xlpm.CSVVal,_xlfn.XLOOKUP($A237,CSV!$A:$A,CSV!AG:AG,""),
_xlpm.MacVal,_xlfn.XLOOKUP($A237,Output_Mac!$A:$A,Output_Mac!T:T,""),
_xlpm.MyAuditVal,_xlfn.XLOOKUP($A237,My_Audit!$A:$A,My_Audit!O:O,""),
_xlfn.IFS(_xlpm.MyAuditVal&lt;&gt;"",UPPER(_xlpm.MyAuditVal),_xlpm.MacVal&lt;&gt;"",_xlpm.MacVal,_xlpm.CSVVal&lt;&gt;"",_xlpm.CSVVal
)),"")</f>
        <v/>
      </c>
      <c r="O237" s="46" t="str">
        <f>_xlfn.XLOOKUP(C237,My_Audit!B:B,My_Audit!P:P,"")&amp;""</f>
        <v/>
      </c>
      <c r="P237" s="45"/>
      <c r="Q237" s="46" t="str">
        <f>IF(LEFT(N237,4)="Pass","Nist SP 800-88",My_Audit!R237)&amp;""</f>
        <v/>
      </c>
      <c r="R237" s="45"/>
      <c r="S237" s="45"/>
      <c r="T237" s="46" t="str">
        <f>_xlfn.XLOOKUP(E237,Models!I:I,Models!J:J,"")</f>
        <v/>
      </c>
      <c r="U237" s="45"/>
      <c r="V237" s="45"/>
      <c r="W237" s="38" t="str">
        <f>_xlfn.LET(
    _xlpm.MacVal, _xlfn.XLOOKUP($A237, Output_Mac!$A:$A, Output_Mac!AA:AA, ""),
    _xlpm.MyAuditVal, _xlfn.XLOOKUP($A237, My_Audit!$A:$A, My_Audit!L:L, ""),
    _xlfn.TEXTJOIN(", ", TRUE, _xlpm.MyAuditVal, _xlpm.MacVal)
)</f>
        <v/>
      </c>
    </row>
    <row r="238" spans="1:23">
      <c r="A238" s="45" t="str">
        <f>_xlfn.TEXTJOIN("",TRUE,Input!$B$2,ROW(My_Audit!A237))</f>
        <v>CC237</v>
      </c>
      <c r="B238" s="45" t="str">
        <f>_xlfn.TEXTJOIN("-",TRUE,"ITD",Input!$A$2,A238)</f>
        <v>ITD-XXX-CC237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 cm="1">
        <f t="array" ref="D238">IFERROR(_xlfn.LET(
_xlpm.CSVVal,_xlfn.XLOOKUP($A238,CSV!$A:$A,CSV!C:C,""),
_xlpm.MacVal,_xlfn.XLOOKUP($A238,Output_Mac!$A:$A,Output_Mac!D:D,""),
_xlpm.MyAuditVal,_xlfn.XLOOKUP($A238,My_Audit!$A:$A,My_Audit!C:C,""),
_xlfn.IFS(_xlpm.MyAuditVal&lt;&gt;"",UPPER(_xlpm.MyAuditVal),_xlpm.MacVal&lt;&gt;"",_xlpm.MacVal,_xlpm.CSVVal&lt;&gt;"",_xlpm.CSVVal
)),"")</f>
        <v/>
      </c>
      <c r="E238" s="46" t="str" cm="1">
        <f t="array" ref="E238">IFERROR(_xlfn.LET(
_xlpm.CSVVal,_xlfn.XLOOKUP($A238,CSV!$A:$A,CSV!E:E,""),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_xlpm.CSVVal,_xlfn.XLOOKUP($A238,CSV!$A:$A,CSV!G:G,""),
_xlpm.MacVal,_xlfn.XLOOKUP($A238,Output_Mac!$A:$A,Output_Mac!G:G,""),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_xlfn.XLOOKUP(A238,Output_Mac!A:A,Output_Mac!H:H,"")</f>
        <v/>
      </c>
      <c r="I238" s="45" t="str" cm="1">
        <f t="array" ref="I238">IFERROR(_xlfn.LET(
_xlpm.CSVVal,_xlfn.XLOOKUP($A238,CSV!$A:$A,CSV!H:H,""),
_xlpm.MacVal,_xlfn.XLOOKUP($A238,Output_Mac!$A:$A,Output_Mac!I:I,""),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_xlpm.CSVVal,_xlfn.XLOOKUP($A238,CSV!$A:$A,CSV!J:J,""),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46" t="str" cm="1">
        <f t="array" ref="K238">IFERROR(_xlfn.LET(
_xlpm.CSVVal,_xlfn.XLOOKUP($A238,CSV!$A:$A,CSV!N:N,""),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_xlpm.CSVVal,_xlfn.XLOOKUP($A238,CSV!$A:$A,CSV!Q:Q,""),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CSV!AE:AE,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_xlpm.CSVVal,_xlfn.XLOOKUP($A238,CSV!$A:$A,CSV!AG:AG,""),
_xlpm.MacVal,_xlfn.XLOOKUP($A238,Output_Mac!$A:$A,Output_Mac!T:T,""),
_xlpm.MyAuditVal,_xlfn.XLOOKUP($A238,My_Audit!$A:$A,My_Audit!O:O,""),
_xlfn.IFS(_xlpm.MyAuditVal&lt;&gt;"",UPPER(_xlpm.MyAuditVal),_xlpm.MacVal&lt;&gt;"",_xlpm.MacVal,_xlpm.CSVVal&lt;&gt;"",_xlpm.CSVVal
)),"")</f>
        <v/>
      </c>
      <c r="O238" s="46" t="str">
        <f>_xlfn.XLOOKUP(C238,My_Audit!B:B,My_Audit!P:P,"")&amp;""</f>
        <v/>
      </c>
      <c r="P238" s="45"/>
      <c r="Q238" s="46" t="str">
        <f>IF(LEFT(N238,4)="Pass","Nist SP 800-88",My_Audit!R238)&amp;""</f>
        <v/>
      </c>
      <c r="R238" s="45"/>
      <c r="S238" s="45"/>
      <c r="T238" s="46" t="str">
        <f>_xlfn.XLOOKUP(E238,Models!I:I,Models!J:J,"")</f>
        <v/>
      </c>
      <c r="U238" s="45"/>
      <c r="V238" s="45"/>
      <c r="W238" s="38" t="str">
        <f>_xlfn.LET(
    _xlpm.MacVal, _xlfn.XLOOKUP($A238, Output_Mac!$A:$A, Output_Mac!AA:AA, ""),
    _xlpm.MyAuditVal, _xlfn.XLOOKUP($A238, My_Audit!$A:$A, My_Audit!L:L, ""),
    _xlfn.TEXTJOIN(", ", TRUE, _xlpm.MyAuditVal, _xlpm.MacVal)
)</f>
        <v/>
      </c>
    </row>
    <row r="239" spans="1:23">
      <c r="A239" s="45" t="str">
        <f>_xlfn.TEXTJOIN("",TRUE,Input!$B$2,ROW(My_Audit!A238))</f>
        <v>CC238</v>
      </c>
      <c r="B239" s="45" t="str">
        <f>_xlfn.TEXTJOIN("-",TRUE,"ITD",Input!$A$2,A239)</f>
        <v>ITD-XXX-CC238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 cm="1">
        <f t="array" ref="D239">IFERROR(_xlfn.LET(
_xlpm.CSVVal,_xlfn.XLOOKUP($A239,CSV!$A:$A,CSV!C:C,""),
_xlpm.MacVal,_xlfn.XLOOKUP($A239,Output_Mac!$A:$A,Output_Mac!D:D,""),
_xlpm.MyAuditVal,_xlfn.XLOOKUP($A239,My_Audit!$A:$A,My_Audit!C:C,""),
_xlfn.IFS(_xlpm.MyAuditVal&lt;&gt;"",UPPER(_xlpm.MyAuditVal),_xlpm.MacVal&lt;&gt;"",_xlpm.MacVal,_xlpm.CSVVal&lt;&gt;"",_xlpm.CSVVal
)),"")</f>
        <v/>
      </c>
      <c r="E239" s="46" t="str" cm="1">
        <f t="array" ref="E239">IFERROR(_xlfn.LET(
_xlpm.CSVVal,_xlfn.XLOOKUP($A239,CSV!$A:$A,CSV!E:E,""),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_xlpm.CSVVal,_xlfn.XLOOKUP($A239,CSV!$A:$A,CSV!G:G,""),
_xlpm.MacVal,_xlfn.XLOOKUP($A239,Output_Mac!$A:$A,Output_Mac!G:G,""),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_xlfn.XLOOKUP(A239,Output_Mac!A:A,Output_Mac!H:H,"")</f>
        <v/>
      </c>
      <c r="I239" s="45" t="str" cm="1">
        <f t="array" ref="I239">IFERROR(_xlfn.LET(
_xlpm.CSVVal,_xlfn.XLOOKUP($A239,CSV!$A:$A,CSV!H:H,""),
_xlpm.MacVal,_xlfn.XLOOKUP($A239,Output_Mac!$A:$A,Output_Mac!I:I,""),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_xlpm.CSVVal,_xlfn.XLOOKUP($A239,CSV!$A:$A,CSV!J:J,""),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46" t="str" cm="1">
        <f t="array" ref="K239">IFERROR(_xlfn.LET(
_xlpm.CSVVal,_xlfn.XLOOKUP($A239,CSV!$A:$A,CSV!N:N,""),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_xlpm.CSVVal,_xlfn.XLOOKUP($A239,CSV!$A:$A,CSV!Q:Q,""),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CSV!AE:AE,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_xlpm.CSVVal,_xlfn.XLOOKUP($A239,CSV!$A:$A,CSV!AG:AG,""),
_xlpm.MacVal,_xlfn.XLOOKUP($A239,Output_Mac!$A:$A,Output_Mac!T:T,""),
_xlpm.MyAuditVal,_xlfn.XLOOKUP($A239,My_Audit!$A:$A,My_Audit!O:O,""),
_xlfn.IFS(_xlpm.MyAuditVal&lt;&gt;"",UPPER(_xlpm.MyAuditVal),_xlpm.MacVal&lt;&gt;"",_xlpm.MacVal,_xlpm.CSVVal&lt;&gt;"",_xlpm.CSVVal
)),"")</f>
        <v/>
      </c>
      <c r="O239" s="46" t="str">
        <f>_xlfn.XLOOKUP(C239,My_Audit!B:B,My_Audit!P:P,"")&amp;""</f>
        <v/>
      </c>
      <c r="P239" s="45"/>
      <c r="Q239" s="46" t="str">
        <f>IF(LEFT(N239,4)="Pass","Nist SP 800-88",My_Audit!R239)&amp;""</f>
        <v/>
      </c>
      <c r="R239" s="45"/>
      <c r="S239" s="45"/>
      <c r="T239" s="46" t="str">
        <f>_xlfn.XLOOKUP(E239,Models!I:I,Models!J:J,"")</f>
        <v/>
      </c>
      <c r="U239" s="45"/>
      <c r="V239" s="45"/>
      <c r="W239" s="38" t="str">
        <f>_xlfn.LET(
    _xlpm.MacVal, _xlfn.XLOOKUP($A239, Output_Mac!$A:$A, Output_Mac!AA:AA, ""),
    _xlpm.MyAuditVal, _xlfn.XLOOKUP($A239, My_Audit!$A:$A, My_Audit!L:L, ""),
    _xlfn.TEXTJOIN(", ", TRUE, _xlpm.MyAuditVal, _xlpm.MacVal)
)</f>
        <v/>
      </c>
    </row>
    <row r="240" spans="1:23">
      <c r="A240" s="45" t="str">
        <f>_xlfn.TEXTJOIN("",TRUE,Input!$B$2,ROW(My_Audit!A239))</f>
        <v>CC239</v>
      </c>
      <c r="B240" s="45" t="str">
        <f>_xlfn.TEXTJOIN("-",TRUE,"ITD",Input!$A$2,A240)</f>
        <v>ITD-XXX-CC239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 cm="1">
        <f t="array" ref="D240">IFERROR(_xlfn.LET(
_xlpm.CSVVal,_xlfn.XLOOKUP($A240,CSV!$A:$A,CSV!C:C,""),
_xlpm.MacVal,_xlfn.XLOOKUP($A240,Output_Mac!$A:$A,Output_Mac!D:D,""),
_xlpm.MyAuditVal,_xlfn.XLOOKUP($A240,My_Audit!$A:$A,My_Audit!C:C,""),
_xlfn.IFS(_xlpm.MyAuditVal&lt;&gt;"",UPPER(_xlpm.MyAuditVal),_xlpm.MacVal&lt;&gt;"",_xlpm.MacVal,_xlpm.CSVVal&lt;&gt;"",_xlpm.CSVVal
)),"")</f>
        <v/>
      </c>
      <c r="E240" s="46" t="str" cm="1">
        <f t="array" ref="E240">IFERROR(_xlfn.LET(
_xlpm.CSVVal,_xlfn.XLOOKUP($A240,CSV!$A:$A,CSV!E:E,""),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_xlpm.CSVVal,_xlfn.XLOOKUP($A240,CSV!$A:$A,CSV!G:G,""),
_xlpm.MacVal,_xlfn.XLOOKUP($A240,Output_Mac!$A:$A,Output_Mac!G:G,""),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_xlfn.XLOOKUP(A240,Output_Mac!A:A,Output_Mac!H:H,"")</f>
        <v/>
      </c>
      <c r="I240" s="45" t="str" cm="1">
        <f t="array" ref="I240">IFERROR(_xlfn.LET(
_xlpm.CSVVal,_xlfn.XLOOKUP($A240,CSV!$A:$A,CSV!H:H,""),
_xlpm.MacVal,_xlfn.XLOOKUP($A240,Output_Mac!$A:$A,Output_Mac!I:I,""),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_xlpm.CSVVal,_xlfn.XLOOKUP($A240,CSV!$A:$A,CSV!J:J,""),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46" t="str" cm="1">
        <f t="array" ref="K240">IFERROR(_xlfn.LET(
_xlpm.CSVVal,_xlfn.XLOOKUP($A240,CSV!$A:$A,CSV!N:N,""),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_xlpm.CSVVal,_xlfn.XLOOKUP($A240,CSV!$A:$A,CSV!Q:Q,""),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CSV!AE:AE,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_xlpm.CSVVal,_xlfn.XLOOKUP($A240,CSV!$A:$A,CSV!AG:AG,""),
_xlpm.MacVal,_xlfn.XLOOKUP($A240,Output_Mac!$A:$A,Output_Mac!T:T,""),
_xlpm.MyAuditVal,_xlfn.XLOOKUP($A240,My_Audit!$A:$A,My_Audit!O:O,""),
_xlfn.IFS(_xlpm.MyAuditVal&lt;&gt;"",UPPER(_xlpm.MyAuditVal),_xlpm.MacVal&lt;&gt;"",_xlpm.MacVal,_xlpm.CSVVal&lt;&gt;"",_xlpm.CSVVal
)),"")</f>
        <v/>
      </c>
      <c r="O240" s="46" t="str">
        <f>_xlfn.XLOOKUP(C240,My_Audit!B:B,My_Audit!P:P,"")&amp;""</f>
        <v/>
      </c>
      <c r="P240" s="45"/>
      <c r="Q240" s="46" t="str">
        <f>IF(LEFT(N240,4)="Pass","Nist SP 800-88",My_Audit!R240)&amp;""</f>
        <v/>
      </c>
      <c r="R240" s="45"/>
      <c r="S240" s="45"/>
      <c r="T240" s="46" t="str">
        <f>_xlfn.XLOOKUP(E240,Models!I:I,Models!J:J,"")</f>
        <v/>
      </c>
      <c r="U240" s="45"/>
      <c r="V240" s="45"/>
      <c r="W240" s="38" t="str">
        <f>_xlfn.LET(
    _xlpm.MacVal, _xlfn.XLOOKUP($A240, Output_Mac!$A:$A, Output_Mac!AA:AA, ""),
    _xlpm.MyAuditVal, _xlfn.XLOOKUP($A240, My_Audit!$A:$A, My_Audit!L:L, ""),
    _xlfn.TEXTJOIN(", ", TRUE, _xlpm.MyAuditVal, _xlpm.MacVal)
)</f>
        <v/>
      </c>
    </row>
    <row r="241" spans="1:23">
      <c r="A241" s="45" t="str">
        <f>_xlfn.TEXTJOIN("",TRUE,Input!$B$2,ROW(My_Audit!A240))</f>
        <v>CC240</v>
      </c>
      <c r="B241" s="45" t="str">
        <f>_xlfn.TEXTJOIN("-",TRUE,"ITD",Input!$A$2,A241)</f>
        <v>ITD-XXX-CC240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 cm="1">
        <f t="array" ref="D241">IFERROR(_xlfn.LET(
_xlpm.CSVVal,_xlfn.XLOOKUP($A241,CSV!$A:$A,CSV!C:C,""),
_xlpm.MacVal,_xlfn.XLOOKUP($A241,Output_Mac!$A:$A,Output_Mac!D:D,""),
_xlpm.MyAuditVal,_xlfn.XLOOKUP($A241,My_Audit!$A:$A,My_Audit!C:C,""),
_xlfn.IFS(_xlpm.MyAuditVal&lt;&gt;"",UPPER(_xlpm.MyAuditVal),_xlpm.MacVal&lt;&gt;"",_xlpm.MacVal,_xlpm.CSVVal&lt;&gt;"",_xlpm.CSVVal
)),"")</f>
        <v/>
      </c>
      <c r="E241" s="46" t="str" cm="1">
        <f t="array" ref="E241">IFERROR(_xlfn.LET(
_xlpm.CSVVal,_xlfn.XLOOKUP($A241,CSV!$A:$A,CSV!E:E,""),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_xlpm.CSVVal,_xlfn.XLOOKUP($A241,CSV!$A:$A,CSV!G:G,""),
_xlpm.MacVal,_xlfn.XLOOKUP($A241,Output_Mac!$A:$A,Output_Mac!G:G,""),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_xlfn.XLOOKUP(A241,Output_Mac!A:A,Output_Mac!H:H,"")</f>
        <v/>
      </c>
      <c r="I241" s="45" t="str" cm="1">
        <f t="array" ref="I241">IFERROR(_xlfn.LET(
_xlpm.CSVVal,_xlfn.XLOOKUP($A241,CSV!$A:$A,CSV!H:H,""),
_xlpm.MacVal,_xlfn.XLOOKUP($A241,Output_Mac!$A:$A,Output_Mac!I:I,""),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_xlpm.CSVVal,_xlfn.XLOOKUP($A241,CSV!$A:$A,CSV!J:J,""),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46" t="str" cm="1">
        <f t="array" ref="K241">IFERROR(_xlfn.LET(
_xlpm.CSVVal,_xlfn.XLOOKUP($A241,CSV!$A:$A,CSV!N:N,""),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_xlpm.CSVVal,_xlfn.XLOOKUP($A241,CSV!$A:$A,CSV!Q:Q,""),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CSV!AE:AE,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_xlpm.CSVVal,_xlfn.XLOOKUP($A241,CSV!$A:$A,CSV!AG:AG,""),
_xlpm.MacVal,_xlfn.XLOOKUP($A241,Output_Mac!$A:$A,Output_Mac!T:T,""),
_xlpm.MyAuditVal,_xlfn.XLOOKUP($A241,My_Audit!$A:$A,My_Audit!O:O,""),
_xlfn.IFS(_xlpm.MyAuditVal&lt;&gt;"",UPPER(_xlpm.MyAuditVal),_xlpm.MacVal&lt;&gt;"",_xlpm.MacVal,_xlpm.CSVVal&lt;&gt;"",_xlpm.CSVVal
)),"")</f>
        <v/>
      </c>
      <c r="O241" s="46" t="str">
        <f>_xlfn.XLOOKUP(C241,My_Audit!B:B,My_Audit!P:P,"")&amp;""</f>
        <v/>
      </c>
      <c r="P241" s="45"/>
      <c r="Q241" s="46" t="str">
        <f>IF(LEFT(N241,4)="Pass","Nist SP 800-88",My_Audit!R241)&amp;""</f>
        <v/>
      </c>
      <c r="R241" s="45"/>
      <c r="S241" s="45"/>
      <c r="T241" s="46" t="str">
        <f>_xlfn.XLOOKUP(E241,Models!I:I,Models!J:J,"")</f>
        <v/>
      </c>
      <c r="U241" s="45"/>
      <c r="V241" s="45"/>
      <c r="W241" s="38" t="str">
        <f>_xlfn.LET(
    _xlpm.MacVal, _xlfn.XLOOKUP($A241, Output_Mac!$A:$A, Output_Mac!AA:AA, ""),
    _xlpm.MyAuditVal, _xlfn.XLOOKUP($A241, My_Audit!$A:$A, My_Audit!L:L, ""),
    _xlfn.TEXTJOIN(", ", TRUE, _xlpm.MyAuditVal, _xlpm.MacVal)
)</f>
        <v/>
      </c>
    </row>
    <row r="242" spans="1:23">
      <c r="A242" s="45" t="str">
        <f>_xlfn.TEXTJOIN("",TRUE,Input!$B$2,ROW(My_Audit!A241))</f>
        <v>CC241</v>
      </c>
      <c r="B242" s="45" t="str">
        <f>_xlfn.TEXTJOIN("-",TRUE,"ITD",Input!$A$2,A242)</f>
        <v>ITD-XXX-CC241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 cm="1">
        <f t="array" ref="D242">IFERROR(_xlfn.LET(
_xlpm.CSVVal,_xlfn.XLOOKUP($A242,CSV!$A:$A,CSV!C:C,""),
_xlpm.MacVal,_xlfn.XLOOKUP($A242,Output_Mac!$A:$A,Output_Mac!D:D,""),
_xlpm.MyAuditVal,_xlfn.XLOOKUP($A242,My_Audit!$A:$A,My_Audit!C:C,""),
_xlfn.IFS(_xlpm.MyAuditVal&lt;&gt;"",UPPER(_xlpm.MyAuditVal),_xlpm.MacVal&lt;&gt;"",_xlpm.MacVal,_xlpm.CSVVal&lt;&gt;"",_xlpm.CSVVal
)),"")</f>
        <v/>
      </c>
      <c r="E242" s="46" t="str" cm="1">
        <f t="array" ref="E242">IFERROR(_xlfn.LET(
_xlpm.CSVVal,_xlfn.XLOOKUP($A242,CSV!$A:$A,CSV!E:E,""),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_xlpm.CSVVal,_xlfn.XLOOKUP($A242,CSV!$A:$A,CSV!G:G,""),
_xlpm.MacVal,_xlfn.XLOOKUP($A242,Output_Mac!$A:$A,Output_Mac!G:G,""),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_xlfn.XLOOKUP(A242,Output_Mac!A:A,Output_Mac!H:H,"")</f>
        <v/>
      </c>
      <c r="I242" s="45" t="str" cm="1">
        <f t="array" ref="I242">IFERROR(_xlfn.LET(
_xlpm.CSVVal,_xlfn.XLOOKUP($A242,CSV!$A:$A,CSV!H:H,""),
_xlpm.MacVal,_xlfn.XLOOKUP($A242,Output_Mac!$A:$A,Output_Mac!I:I,""),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_xlpm.CSVVal,_xlfn.XLOOKUP($A242,CSV!$A:$A,CSV!J:J,""),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46" t="str" cm="1">
        <f t="array" ref="K242">IFERROR(_xlfn.LET(
_xlpm.CSVVal,_xlfn.XLOOKUP($A242,CSV!$A:$A,CSV!N:N,""),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_xlpm.CSVVal,_xlfn.XLOOKUP($A242,CSV!$A:$A,CSV!Q:Q,""),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CSV!AE:AE,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_xlpm.CSVVal,_xlfn.XLOOKUP($A242,CSV!$A:$A,CSV!AG:AG,""),
_xlpm.MacVal,_xlfn.XLOOKUP($A242,Output_Mac!$A:$A,Output_Mac!T:T,""),
_xlpm.MyAuditVal,_xlfn.XLOOKUP($A242,My_Audit!$A:$A,My_Audit!O:O,""),
_xlfn.IFS(_xlpm.MyAuditVal&lt;&gt;"",UPPER(_xlpm.MyAuditVal),_xlpm.MacVal&lt;&gt;"",_xlpm.MacVal,_xlpm.CSVVal&lt;&gt;"",_xlpm.CSVVal
)),"")</f>
        <v/>
      </c>
      <c r="O242" s="46" t="str">
        <f>_xlfn.XLOOKUP(C242,My_Audit!B:B,My_Audit!P:P,"")&amp;""</f>
        <v/>
      </c>
      <c r="P242" s="45"/>
      <c r="Q242" s="46" t="str">
        <f>IF(LEFT(N242,4)="Pass","Nist SP 800-88",My_Audit!R242)&amp;""</f>
        <v/>
      </c>
      <c r="R242" s="45"/>
      <c r="S242" s="45"/>
      <c r="T242" s="46" t="str">
        <f>_xlfn.XLOOKUP(E242,Models!I:I,Models!J:J,"")</f>
        <v/>
      </c>
      <c r="U242" s="45"/>
      <c r="V242" s="45"/>
      <c r="W242" s="38" t="str">
        <f>_xlfn.LET(
    _xlpm.MacVal, _xlfn.XLOOKUP($A242, Output_Mac!$A:$A, Output_Mac!AA:AA, ""),
    _xlpm.MyAuditVal, _xlfn.XLOOKUP($A242, My_Audit!$A:$A, My_Audit!L:L, ""),
    _xlfn.TEXTJOIN(", ", TRUE, _xlpm.MyAuditVal, _xlpm.MacVal)
)</f>
        <v/>
      </c>
    </row>
    <row r="243" spans="1:23">
      <c r="A243" s="45" t="str">
        <f>_xlfn.TEXTJOIN("",TRUE,Input!$B$2,ROW(My_Audit!A242))</f>
        <v>CC242</v>
      </c>
      <c r="B243" s="45" t="str">
        <f>_xlfn.TEXTJOIN("-",TRUE,"ITD",Input!$A$2,A243)</f>
        <v>ITD-XXX-CC242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 cm="1">
        <f t="array" ref="D243">IFERROR(_xlfn.LET(
_xlpm.CSVVal,_xlfn.XLOOKUP($A243,CSV!$A:$A,CSV!C:C,""),
_xlpm.MacVal,_xlfn.XLOOKUP($A243,Output_Mac!$A:$A,Output_Mac!D:D,""),
_xlpm.MyAuditVal,_xlfn.XLOOKUP($A243,My_Audit!$A:$A,My_Audit!C:C,""),
_xlfn.IFS(_xlpm.MyAuditVal&lt;&gt;"",UPPER(_xlpm.MyAuditVal),_xlpm.MacVal&lt;&gt;"",_xlpm.MacVal,_xlpm.CSVVal&lt;&gt;"",_xlpm.CSVVal
)),"")</f>
        <v/>
      </c>
      <c r="E243" s="46" t="str" cm="1">
        <f t="array" ref="E243">IFERROR(_xlfn.LET(
_xlpm.CSVVal,_xlfn.XLOOKUP($A243,CSV!$A:$A,CSV!E:E,""),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_xlpm.CSVVal,_xlfn.XLOOKUP($A243,CSV!$A:$A,CSV!G:G,""),
_xlpm.MacVal,_xlfn.XLOOKUP($A243,Output_Mac!$A:$A,Output_Mac!G:G,""),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_xlfn.XLOOKUP(A243,Output_Mac!A:A,Output_Mac!H:H,"")</f>
        <v/>
      </c>
      <c r="I243" s="45" t="str" cm="1">
        <f t="array" ref="I243">IFERROR(_xlfn.LET(
_xlpm.CSVVal,_xlfn.XLOOKUP($A243,CSV!$A:$A,CSV!H:H,""),
_xlpm.MacVal,_xlfn.XLOOKUP($A243,Output_Mac!$A:$A,Output_Mac!I:I,""),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_xlpm.CSVVal,_xlfn.XLOOKUP($A243,CSV!$A:$A,CSV!J:J,""),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46" t="str" cm="1">
        <f t="array" ref="K243">IFERROR(_xlfn.LET(
_xlpm.CSVVal,_xlfn.XLOOKUP($A243,CSV!$A:$A,CSV!N:N,""),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_xlpm.CSVVal,_xlfn.XLOOKUP($A243,CSV!$A:$A,CSV!Q:Q,""),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CSV!AE:AE,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_xlpm.CSVVal,_xlfn.XLOOKUP($A243,CSV!$A:$A,CSV!AG:AG,""),
_xlpm.MacVal,_xlfn.XLOOKUP($A243,Output_Mac!$A:$A,Output_Mac!T:T,""),
_xlpm.MyAuditVal,_xlfn.XLOOKUP($A243,My_Audit!$A:$A,My_Audit!O:O,""),
_xlfn.IFS(_xlpm.MyAuditVal&lt;&gt;"",UPPER(_xlpm.MyAuditVal),_xlpm.MacVal&lt;&gt;"",_xlpm.MacVal,_xlpm.CSVVal&lt;&gt;"",_xlpm.CSVVal
)),"")</f>
        <v/>
      </c>
      <c r="O243" s="46" t="str">
        <f>_xlfn.XLOOKUP(C243,My_Audit!B:B,My_Audit!P:P,"")&amp;""</f>
        <v/>
      </c>
      <c r="P243" s="45"/>
      <c r="Q243" s="46" t="str">
        <f>IF(LEFT(N243,4)="Pass","Nist SP 800-88",My_Audit!R243)&amp;""</f>
        <v/>
      </c>
      <c r="R243" s="45"/>
      <c r="S243" s="45"/>
      <c r="T243" s="46" t="str">
        <f>_xlfn.XLOOKUP(E243,Models!I:I,Models!J:J,"")</f>
        <v/>
      </c>
      <c r="U243" s="45"/>
      <c r="V243" s="45"/>
      <c r="W243" s="38" t="str">
        <f>_xlfn.LET(
    _xlpm.MacVal, _xlfn.XLOOKUP($A243, Output_Mac!$A:$A, Output_Mac!AA:AA, ""),
    _xlpm.MyAuditVal, _xlfn.XLOOKUP($A243, My_Audit!$A:$A, My_Audit!L:L, ""),
    _xlfn.TEXTJOIN(", ", TRUE, _xlpm.MyAuditVal, _xlpm.MacVal)
)</f>
        <v/>
      </c>
    </row>
    <row r="244" spans="1:23">
      <c r="A244" s="45" t="str">
        <f>_xlfn.TEXTJOIN("",TRUE,Input!$B$2,ROW(My_Audit!A243))</f>
        <v>CC243</v>
      </c>
      <c r="B244" s="45" t="str">
        <f>_xlfn.TEXTJOIN("-",TRUE,"ITD",Input!$A$2,A244)</f>
        <v>ITD-XXX-CC243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 cm="1">
        <f t="array" ref="D244">IFERROR(_xlfn.LET(
_xlpm.CSVVal,_xlfn.XLOOKUP($A244,CSV!$A:$A,CSV!C:C,""),
_xlpm.MacVal,_xlfn.XLOOKUP($A244,Output_Mac!$A:$A,Output_Mac!D:D,""),
_xlpm.MyAuditVal,_xlfn.XLOOKUP($A244,My_Audit!$A:$A,My_Audit!C:C,""),
_xlfn.IFS(_xlpm.MyAuditVal&lt;&gt;"",UPPER(_xlpm.MyAuditVal),_xlpm.MacVal&lt;&gt;"",_xlpm.MacVal,_xlpm.CSVVal&lt;&gt;"",_xlpm.CSVVal
)),"")</f>
        <v/>
      </c>
      <c r="E244" s="46" t="str" cm="1">
        <f t="array" ref="E244">IFERROR(_xlfn.LET(
_xlpm.CSVVal,_xlfn.XLOOKUP($A244,CSV!$A:$A,CSV!E:E,""),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_xlpm.CSVVal,_xlfn.XLOOKUP($A244,CSV!$A:$A,CSV!G:G,""),
_xlpm.MacVal,_xlfn.XLOOKUP($A244,Output_Mac!$A:$A,Output_Mac!G:G,""),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_xlfn.XLOOKUP(A244,Output_Mac!A:A,Output_Mac!H:H,"")</f>
        <v/>
      </c>
      <c r="I244" s="45" t="str" cm="1">
        <f t="array" ref="I244">IFERROR(_xlfn.LET(
_xlpm.CSVVal,_xlfn.XLOOKUP($A244,CSV!$A:$A,CSV!H:H,""),
_xlpm.MacVal,_xlfn.XLOOKUP($A244,Output_Mac!$A:$A,Output_Mac!I:I,""),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_xlpm.CSVVal,_xlfn.XLOOKUP($A244,CSV!$A:$A,CSV!J:J,""),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46" t="str" cm="1">
        <f t="array" ref="K244">IFERROR(_xlfn.LET(
_xlpm.CSVVal,_xlfn.XLOOKUP($A244,CSV!$A:$A,CSV!N:N,""),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_xlpm.CSVVal,_xlfn.XLOOKUP($A244,CSV!$A:$A,CSV!Q:Q,""),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CSV!AE:AE,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_xlpm.CSVVal,_xlfn.XLOOKUP($A244,CSV!$A:$A,CSV!AG:AG,""),
_xlpm.MacVal,_xlfn.XLOOKUP($A244,Output_Mac!$A:$A,Output_Mac!T:T,""),
_xlpm.MyAuditVal,_xlfn.XLOOKUP($A244,My_Audit!$A:$A,My_Audit!O:O,""),
_xlfn.IFS(_xlpm.MyAuditVal&lt;&gt;"",UPPER(_xlpm.MyAuditVal),_xlpm.MacVal&lt;&gt;"",_xlpm.MacVal,_xlpm.CSVVal&lt;&gt;"",_xlpm.CSVVal
)),"")</f>
        <v/>
      </c>
      <c r="O244" s="46" t="str">
        <f>_xlfn.XLOOKUP(C244,My_Audit!B:B,My_Audit!P:P,"")&amp;""</f>
        <v/>
      </c>
      <c r="P244" s="45"/>
      <c r="Q244" s="46" t="str">
        <f>IF(LEFT(N244,4)="Pass","Nist SP 800-88",My_Audit!R244)&amp;""</f>
        <v/>
      </c>
      <c r="R244" s="45"/>
      <c r="S244" s="45"/>
      <c r="T244" s="46" t="str">
        <f>_xlfn.XLOOKUP(E244,Models!I:I,Models!J:J,"")</f>
        <v/>
      </c>
      <c r="U244" s="45"/>
      <c r="V244" s="45"/>
      <c r="W244" s="38" t="str">
        <f>_xlfn.LET(
    _xlpm.MacVal, _xlfn.XLOOKUP($A244, Output_Mac!$A:$A, Output_Mac!AA:AA, ""),
    _xlpm.MyAuditVal, _xlfn.XLOOKUP($A244, My_Audit!$A:$A, My_Audit!L:L, ""),
    _xlfn.TEXTJOIN(", ", TRUE, _xlpm.MyAuditVal, _xlpm.MacVal)
)</f>
        <v/>
      </c>
    </row>
    <row r="245" spans="1:23">
      <c r="A245" s="45" t="str">
        <f>_xlfn.TEXTJOIN("",TRUE,Input!$B$2,ROW(My_Audit!A244))</f>
        <v>CC244</v>
      </c>
      <c r="B245" s="45" t="str">
        <f>_xlfn.TEXTJOIN("-",TRUE,"ITD",Input!$A$2,A245)</f>
        <v>ITD-XXX-CC244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 cm="1">
        <f t="array" ref="D245">IFERROR(_xlfn.LET(
_xlpm.CSVVal,_xlfn.XLOOKUP($A245,CSV!$A:$A,CSV!C:C,""),
_xlpm.MacVal,_xlfn.XLOOKUP($A245,Output_Mac!$A:$A,Output_Mac!D:D,""),
_xlpm.MyAuditVal,_xlfn.XLOOKUP($A245,My_Audit!$A:$A,My_Audit!C:C,""),
_xlfn.IFS(_xlpm.MyAuditVal&lt;&gt;"",UPPER(_xlpm.MyAuditVal),_xlpm.MacVal&lt;&gt;"",_xlpm.MacVal,_xlpm.CSVVal&lt;&gt;"",_xlpm.CSVVal
)),"")</f>
        <v/>
      </c>
      <c r="E245" s="46" t="str" cm="1">
        <f t="array" ref="E245">IFERROR(_xlfn.LET(
_xlpm.CSVVal,_xlfn.XLOOKUP($A245,CSV!$A:$A,CSV!E:E,""),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_xlpm.CSVVal,_xlfn.XLOOKUP($A245,CSV!$A:$A,CSV!G:G,""),
_xlpm.MacVal,_xlfn.XLOOKUP($A245,Output_Mac!$A:$A,Output_Mac!G:G,""),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_xlfn.XLOOKUP(A245,Output_Mac!A:A,Output_Mac!H:H,"")</f>
        <v/>
      </c>
      <c r="I245" s="45" t="str" cm="1">
        <f t="array" ref="I245">IFERROR(_xlfn.LET(
_xlpm.CSVVal,_xlfn.XLOOKUP($A245,CSV!$A:$A,CSV!H:H,""),
_xlpm.MacVal,_xlfn.XLOOKUP($A245,Output_Mac!$A:$A,Output_Mac!I:I,""),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_xlpm.CSVVal,_xlfn.XLOOKUP($A245,CSV!$A:$A,CSV!J:J,""),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46" t="str" cm="1">
        <f t="array" ref="K245">IFERROR(_xlfn.LET(
_xlpm.CSVVal,_xlfn.XLOOKUP($A245,CSV!$A:$A,CSV!N:N,""),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_xlpm.CSVVal,_xlfn.XLOOKUP($A245,CSV!$A:$A,CSV!Q:Q,""),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CSV!AE:AE,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_xlpm.CSVVal,_xlfn.XLOOKUP($A245,CSV!$A:$A,CSV!AG:AG,""),
_xlpm.MacVal,_xlfn.XLOOKUP($A245,Output_Mac!$A:$A,Output_Mac!T:T,""),
_xlpm.MyAuditVal,_xlfn.XLOOKUP($A245,My_Audit!$A:$A,My_Audit!O:O,""),
_xlfn.IFS(_xlpm.MyAuditVal&lt;&gt;"",UPPER(_xlpm.MyAuditVal),_xlpm.MacVal&lt;&gt;"",_xlpm.MacVal,_xlpm.CSVVal&lt;&gt;"",_xlpm.CSVVal
)),"")</f>
        <v/>
      </c>
      <c r="O245" s="46" t="str">
        <f>_xlfn.XLOOKUP(C245,My_Audit!B:B,My_Audit!P:P,"")&amp;""</f>
        <v/>
      </c>
      <c r="P245" s="45"/>
      <c r="Q245" s="46" t="str">
        <f>IF(LEFT(N245,4)="Pass","Nist SP 800-88",My_Audit!R245)&amp;""</f>
        <v/>
      </c>
      <c r="R245" s="45"/>
      <c r="S245" s="45"/>
      <c r="T245" s="46" t="str">
        <f>_xlfn.XLOOKUP(E245,Models!I:I,Models!J:J,"")</f>
        <v/>
      </c>
      <c r="U245" s="45"/>
      <c r="V245" s="45"/>
      <c r="W245" s="38" t="str">
        <f>_xlfn.LET(
    _xlpm.MacVal, _xlfn.XLOOKUP($A245, Output_Mac!$A:$A, Output_Mac!AA:AA, ""),
    _xlpm.MyAuditVal, _xlfn.XLOOKUP($A245, My_Audit!$A:$A, My_Audit!L:L, ""),
    _xlfn.TEXTJOIN(", ", TRUE, _xlpm.MyAuditVal, _xlpm.MacVal)
)</f>
        <v/>
      </c>
    </row>
    <row r="246" spans="1:23">
      <c r="A246" s="45" t="str">
        <f>_xlfn.TEXTJOIN("",TRUE,Input!$B$2,ROW(My_Audit!A245))</f>
        <v>CC245</v>
      </c>
      <c r="B246" s="45" t="str">
        <f>_xlfn.TEXTJOIN("-",TRUE,"ITD",Input!$A$2,A246)</f>
        <v>ITD-XXX-CC245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 cm="1">
        <f t="array" ref="D246">IFERROR(_xlfn.LET(
_xlpm.CSVVal,_xlfn.XLOOKUP($A246,CSV!$A:$A,CSV!C:C,""),
_xlpm.MacVal,_xlfn.XLOOKUP($A246,Output_Mac!$A:$A,Output_Mac!D:D,""),
_xlpm.MyAuditVal,_xlfn.XLOOKUP($A246,My_Audit!$A:$A,My_Audit!C:C,""),
_xlfn.IFS(_xlpm.MyAuditVal&lt;&gt;"",UPPER(_xlpm.MyAuditVal),_xlpm.MacVal&lt;&gt;"",_xlpm.MacVal,_xlpm.CSVVal&lt;&gt;"",_xlpm.CSVVal
)),"")</f>
        <v/>
      </c>
      <c r="E246" s="46" t="str" cm="1">
        <f t="array" ref="E246">IFERROR(_xlfn.LET(
_xlpm.CSVVal,_xlfn.XLOOKUP($A246,CSV!$A:$A,CSV!E:E,""),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_xlpm.CSVVal,_xlfn.XLOOKUP($A246,CSV!$A:$A,CSV!G:G,""),
_xlpm.MacVal,_xlfn.XLOOKUP($A246,Output_Mac!$A:$A,Output_Mac!G:G,""),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_xlfn.XLOOKUP(A246,Output_Mac!A:A,Output_Mac!H:H,"")</f>
        <v/>
      </c>
      <c r="I246" s="45" t="str" cm="1">
        <f t="array" ref="I246">IFERROR(_xlfn.LET(
_xlpm.CSVVal,_xlfn.XLOOKUP($A246,CSV!$A:$A,CSV!H:H,""),
_xlpm.MacVal,_xlfn.XLOOKUP($A246,Output_Mac!$A:$A,Output_Mac!I:I,""),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_xlpm.CSVVal,_xlfn.XLOOKUP($A246,CSV!$A:$A,CSV!J:J,""),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46" t="str" cm="1">
        <f t="array" ref="K246">IFERROR(_xlfn.LET(
_xlpm.CSVVal,_xlfn.XLOOKUP($A246,CSV!$A:$A,CSV!N:N,""),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_xlpm.CSVVal,_xlfn.XLOOKUP($A246,CSV!$A:$A,CSV!Q:Q,""),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CSV!AE:AE,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_xlpm.CSVVal,_xlfn.XLOOKUP($A246,CSV!$A:$A,CSV!AG:AG,""),
_xlpm.MacVal,_xlfn.XLOOKUP($A246,Output_Mac!$A:$A,Output_Mac!T:T,""),
_xlpm.MyAuditVal,_xlfn.XLOOKUP($A246,My_Audit!$A:$A,My_Audit!O:O,""),
_xlfn.IFS(_xlpm.MyAuditVal&lt;&gt;"",UPPER(_xlpm.MyAuditVal),_xlpm.MacVal&lt;&gt;"",_xlpm.MacVal,_xlpm.CSVVal&lt;&gt;"",_xlpm.CSVVal
)),"")</f>
        <v/>
      </c>
      <c r="O246" s="46" t="str">
        <f>_xlfn.XLOOKUP(C246,My_Audit!B:B,My_Audit!P:P,"")&amp;""</f>
        <v/>
      </c>
      <c r="P246" s="45"/>
      <c r="Q246" s="46" t="str">
        <f>IF(LEFT(N246,4)="Pass","Nist SP 800-88",My_Audit!R246)&amp;""</f>
        <v/>
      </c>
      <c r="R246" s="45"/>
      <c r="S246" s="45"/>
      <c r="T246" s="46" t="str">
        <f>_xlfn.XLOOKUP(E246,Models!I:I,Models!J:J,"")</f>
        <v/>
      </c>
      <c r="U246" s="45"/>
      <c r="V246" s="45"/>
      <c r="W246" s="38" t="str">
        <f>_xlfn.LET(
    _xlpm.MacVal, _xlfn.XLOOKUP($A246, Output_Mac!$A:$A, Output_Mac!AA:AA, ""),
    _xlpm.MyAuditVal, _xlfn.XLOOKUP($A246, My_Audit!$A:$A, My_Audit!L:L, ""),
    _xlfn.TEXTJOIN(", ", TRUE, _xlpm.MyAuditVal, _xlpm.MacVal)
)</f>
        <v/>
      </c>
    </row>
    <row r="247" spans="1:23">
      <c r="A247" s="45" t="str">
        <f>_xlfn.TEXTJOIN("",TRUE,Input!$B$2,ROW(My_Audit!A246))</f>
        <v>CC246</v>
      </c>
      <c r="B247" s="45" t="str">
        <f>_xlfn.TEXTJOIN("-",TRUE,"ITD",Input!$A$2,A247)</f>
        <v>ITD-XXX-CC246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 cm="1">
        <f t="array" ref="D247">IFERROR(_xlfn.LET(
_xlpm.CSVVal,_xlfn.XLOOKUP($A247,CSV!$A:$A,CSV!C:C,""),
_xlpm.MacVal,_xlfn.XLOOKUP($A247,Output_Mac!$A:$A,Output_Mac!D:D,""),
_xlpm.MyAuditVal,_xlfn.XLOOKUP($A247,My_Audit!$A:$A,My_Audit!C:C,""),
_xlfn.IFS(_xlpm.MyAuditVal&lt;&gt;"",UPPER(_xlpm.MyAuditVal),_xlpm.MacVal&lt;&gt;"",_xlpm.MacVal,_xlpm.CSVVal&lt;&gt;"",_xlpm.CSVVal
)),"")</f>
        <v/>
      </c>
      <c r="E247" s="46" t="str" cm="1">
        <f t="array" ref="E247">IFERROR(_xlfn.LET(
_xlpm.CSVVal,_xlfn.XLOOKUP($A247,CSV!$A:$A,CSV!E:E,""),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_xlpm.CSVVal,_xlfn.XLOOKUP($A247,CSV!$A:$A,CSV!G:G,""),
_xlpm.MacVal,_xlfn.XLOOKUP($A247,Output_Mac!$A:$A,Output_Mac!G:G,""),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_xlfn.XLOOKUP(A247,Output_Mac!A:A,Output_Mac!H:H,"")</f>
        <v/>
      </c>
      <c r="I247" s="45" t="str" cm="1">
        <f t="array" ref="I247">IFERROR(_xlfn.LET(
_xlpm.CSVVal,_xlfn.XLOOKUP($A247,CSV!$A:$A,CSV!H:H,""),
_xlpm.MacVal,_xlfn.XLOOKUP($A247,Output_Mac!$A:$A,Output_Mac!I:I,""),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_xlpm.CSVVal,_xlfn.XLOOKUP($A247,CSV!$A:$A,CSV!J:J,""),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46" t="str" cm="1">
        <f t="array" ref="K247">IFERROR(_xlfn.LET(
_xlpm.CSVVal,_xlfn.XLOOKUP($A247,CSV!$A:$A,CSV!N:N,""),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_xlpm.CSVVal,_xlfn.XLOOKUP($A247,CSV!$A:$A,CSV!Q:Q,""),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CSV!AE:AE,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_xlpm.CSVVal,_xlfn.XLOOKUP($A247,CSV!$A:$A,CSV!AG:AG,""),
_xlpm.MacVal,_xlfn.XLOOKUP($A247,Output_Mac!$A:$A,Output_Mac!T:T,""),
_xlpm.MyAuditVal,_xlfn.XLOOKUP($A247,My_Audit!$A:$A,My_Audit!O:O,""),
_xlfn.IFS(_xlpm.MyAuditVal&lt;&gt;"",UPPER(_xlpm.MyAuditVal),_xlpm.MacVal&lt;&gt;"",_xlpm.MacVal,_xlpm.CSVVal&lt;&gt;"",_xlpm.CSVVal
)),"")</f>
        <v/>
      </c>
      <c r="O247" s="46" t="str">
        <f>_xlfn.XLOOKUP(C247,My_Audit!B:B,My_Audit!P:P,"")&amp;""</f>
        <v/>
      </c>
      <c r="P247" s="45"/>
      <c r="Q247" s="46" t="str">
        <f>IF(LEFT(N247,4)="Pass","Nist SP 800-88",My_Audit!R247)&amp;""</f>
        <v/>
      </c>
      <c r="R247" s="45"/>
      <c r="S247" s="45"/>
      <c r="T247" s="46" t="str">
        <f>_xlfn.XLOOKUP(E247,Models!I:I,Models!J:J,"")</f>
        <v/>
      </c>
      <c r="U247" s="45"/>
      <c r="V247" s="45"/>
      <c r="W247" s="38" t="str">
        <f>_xlfn.LET(
    _xlpm.MacVal, _xlfn.XLOOKUP($A247, Output_Mac!$A:$A, Output_Mac!AA:AA, ""),
    _xlpm.MyAuditVal, _xlfn.XLOOKUP($A247, My_Audit!$A:$A, My_Audit!L:L, ""),
    _xlfn.TEXTJOIN(", ", TRUE, _xlpm.MyAuditVal, _xlpm.MacVal)
)</f>
        <v/>
      </c>
    </row>
    <row r="248" spans="1:23">
      <c r="A248" s="45" t="str">
        <f>_xlfn.TEXTJOIN("",TRUE,Input!$B$2,ROW(My_Audit!A247))</f>
        <v>CC247</v>
      </c>
      <c r="B248" s="45" t="str">
        <f>_xlfn.TEXTJOIN("-",TRUE,"ITD",Input!$A$2,A248)</f>
        <v>ITD-XXX-CC247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 cm="1">
        <f t="array" ref="D248">IFERROR(_xlfn.LET(
_xlpm.CSVVal,_xlfn.XLOOKUP($A248,CSV!$A:$A,CSV!C:C,""),
_xlpm.MacVal,_xlfn.XLOOKUP($A248,Output_Mac!$A:$A,Output_Mac!D:D,""),
_xlpm.MyAuditVal,_xlfn.XLOOKUP($A248,My_Audit!$A:$A,My_Audit!C:C,""),
_xlfn.IFS(_xlpm.MyAuditVal&lt;&gt;"",UPPER(_xlpm.MyAuditVal),_xlpm.MacVal&lt;&gt;"",_xlpm.MacVal,_xlpm.CSVVal&lt;&gt;"",_xlpm.CSVVal
)),"")</f>
        <v/>
      </c>
      <c r="E248" s="46" t="str" cm="1">
        <f t="array" ref="E248">IFERROR(_xlfn.LET(
_xlpm.CSVVal,_xlfn.XLOOKUP($A248,CSV!$A:$A,CSV!E:E,""),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_xlpm.CSVVal,_xlfn.XLOOKUP($A248,CSV!$A:$A,CSV!G:G,""),
_xlpm.MacVal,_xlfn.XLOOKUP($A248,Output_Mac!$A:$A,Output_Mac!G:G,""),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_xlfn.XLOOKUP(A248,Output_Mac!A:A,Output_Mac!H:H,"")</f>
        <v/>
      </c>
      <c r="I248" s="45" t="str" cm="1">
        <f t="array" ref="I248">IFERROR(_xlfn.LET(
_xlpm.CSVVal,_xlfn.XLOOKUP($A248,CSV!$A:$A,CSV!H:H,""),
_xlpm.MacVal,_xlfn.XLOOKUP($A248,Output_Mac!$A:$A,Output_Mac!I:I,""),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_xlpm.CSVVal,_xlfn.XLOOKUP($A248,CSV!$A:$A,CSV!J:J,""),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46" t="str" cm="1">
        <f t="array" ref="K248">IFERROR(_xlfn.LET(
_xlpm.CSVVal,_xlfn.XLOOKUP($A248,CSV!$A:$A,CSV!N:N,""),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_xlpm.CSVVal,_xlfn.XLOOKUP($A248,CSV!$A:$A,CSV!Q:Q,""),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CSV!AE:AE,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_xlpm.CSVVal,_xlfn.XLOOKUP($A248,CSV!$A:$A,CSV!AG:AG,""),
_xlpm.MacVal,_xlfn.XLOOKUP($A248,Output_Mac!$A:$A,Output_Mac!T:T,""),
_xlpm.MyAuditVal,_xlfn.XLOOKUP($A248,My_Audit!$A:$A,My_Audit!O:O,""),
_xlfn.IFS(_xlpm.MyAuditVal&lt;&gt;"",UPPER(_xlpm.MyAuditVal),_xlpm.MacVal&lt;&gt;"",_xlpm.MacVal,_xlpm.CSVVal&lt;&gt;"",_xlpm.CSVVal
)),"")</f>
        <v/>
      </c>
      <c r="O248" s="46" t="str">
        <f>_xlfn.XLOOKUP(C248,My_Audit!B:B,My_Audit!P:P,"")&amp;""</f>
        <v/>
      </c>
      <c r="P248" s="45"/>
      <c r="Q248" s="46" t="str">
        <f>IF(LEFT(N248,4)="Pass","Nist SP 800-88",My_Audit!R248)&amp;""</f>
        <v/>
      </c>
      <c r="R248" s="45"/>
      <c r="S248" s="45"/>
      <c r="T248" s="46" t="str">
        <f>_xlfn.XLOOKUP(E248,Models!I:I,Models!J:J,"")</f>
        <v/>
      </c>
      <c r="U248" s="45"/>
      <c r="V248" s="45"/>
      <c r="W248" s="38" t="str">
        <f>_xlfn.LET(
    _xlpm.MacVal, _xlfn.XLOOKUP($A248, Output_Mac!$A:$A, Output_Mac!AA:AA, ""),
    _xlpm.MyAuditVal, _xlfn.XLOOKUP($A248, My_Audit!$A:$A, My_Audit!L:L, ""),
    _xlfn.TEXTJOIN(", ", TRUE, _xlpm.MyAuditVal, _xlpm.MacVal)
)</f>
        <v/>
      </c>
    </row>
    <row r="249" spans="1:23">
      <c r="A249" s="45" t="str">
        <f>_xlfn.TEXTJOIN("",TRUE,Input!$B$2,ROW(My_Audit!A248))</f>
        <v>CC248</v>
      </c>
      <c r="B249" s="45" t="str">
        <f>_xlfn.TEXTJOIN("-",TRUE,"ITD",Input!$A$2,A249)</f>
        <v>ITD-XXX-CC248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 cm="1">
        <f t="array" ref="D249">IFERROR(_xlfn.LET(
_xlpm.CSVVal,_xlfn.XLOOKUP($A249,CSV!$A:$A,CSV!C:C,""),
_xlpm.MacVal,_xlfn.XLOOKUP($A249,Output_Mac!$A:$A,Output_Mac!D:D,""),
_xlpm.MyAuditVal,_xlfn.XLOOKUP($A249,My_Audit!$A:$A,My_Audit!C:C,""),
_xlfn.IFS(_xlpm.MyAuditVal&lt;&gt;"",UPPER(_xlpm.MyAuditVal),_xlpm.MacVal&lt;&gt;"",_xlpm.MacVal,_xlpm.CSVVal&lt;&gt;"",_xlpm.CSVVal
)),"")</f>
        <v/>
      </c>
      <c r="E249" s="46" t="str" cm="1">
        <f t="array" ref="E249">IFERROR(_xlfn.LET(
_xlpm.CSVVal,_xlfn.XLOOKUP($A249,CSV!$A:$A,CSV!E:E,""),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_xlpm.CSVVal,_xlfn.XLOOKUP($A249,CSV!$A:$A,CSV!G:G,""),
_xlpm.MacVal,_xlfn.XLOOKUP($A249,Output_Mac!$A:$A,Output_Mac!G:G,""),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_xlfn.XLOOKUP(A249,Output_Mac!A:A,Output_Mac!H:H,"")</f>
        <v/>
      </c>
      <c r="I249" s="45" t="str" cm="1">
        <f t="array" ref="I249">IFERROR(_xlfn.LET(
_xlpm.CSVVal,_xlfn.XLOOKUP($A249,CSV!$A:$A,CSV!H:H,""),
_xlpm.MacVal,_xlfn.XLOOKUP($A249,Output_Mac!$A:$A,Output_Mac!I:I,""),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_xlpm.CSVVal,_xlfn.XLOOKUP($A249,CSV!$A:$A,CSV!J:J,""),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46" t="str" cm="1">
        <f t="array" ref="K249">IFERROR(_xlfn.LET(
_xlpm.CSVVal,_xlfn.XLOOKUP($A249,CSV!$A:$A,CSV!N:N,""),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_xlpm.CSVVal,_xlfn.XLOOKUP($A249,CSV!$A:$A,CSV!Q:Q,""),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CSV!AE:AE,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_xlpm.CSVVal,_xlfn.XLOOKUP($A249,CSV!$A:$A,CSV!AG:AG,""),
_xlpm.MacVal,_xlfn.XLOOKUP($A249,Output_Mac!$A:$A,Output_Mac!T:T,""),
_xlpm.MyAuditVal,_xlfn.XLOOKUP($A249,My_Audit!$A:$A,My_Audit!O:O,""),
_xlfn.IFS(_xlpm.MyAuditVal&lt;&gt;"",UPPER(_xlpm.MyAuditVal),_xlpm.MacVal&lt;&gt;"",_xlpm.MacVal,_xlpm.CSVVal&lt;&gt;"",_xlpm.CSVVal
)),"")</f>
        <v/>
      </c>
      <c r="O249" s="46" t="str">
        <f>_xlfn.XLOOKUP(C249,My_Audit!B:B,My_Audit!P:P,"")&amp;""</f>
        <v/>
      </c>
      <c r="P249" s="45"/>
      <c r="Q249" s="46" t="str">
        <f>IF(LEFT(N249,4)="Pass","Nist SP 800-88",My_Audit!R249)&amp;""</f>
        <v/>
      </c>
      <c r="R249" s="45"/>
      <c r="S249" s="45"/>
      <c r="T249" s="46" t="str">
        <f>_xlfn.XLOOKUP(E249,Models!I:I,Models!J:J,"")</f>
        <v/>
      </c>
      <c r="U249" s="45"/>
      <c r="V249" s="45"/>
      <c r="W249" s="38" t="str">
        <f>_xlfn.LET(
    _xlpm.MacVal, _xlfn.XLOOKUP($A249, Output_Mac!$A:$A, Output_Mac!AA:AA, ""),
    _xlpm.MyAuditVal, _xlfn.XLOOKUP($A249, My_Audit!$A:$A, My_Audit!L:L, ""),
    _xlfn.TEXTJOIN(", ", TRUE, _xlpm.MyAuditVal, _xlpm.MacVal)
)</f>
        <v/>
      </c>
    </row>
    <row r="250" spans="1:23">
      <c r="A250" s="45" t="str">
        <f>_xlfn.TEXTJOIN("",TRUE,Input!$B$2,ROW(My_Audit!A249))</f>
        <v>CC249</v>
      </c>
      <c r="B250" s="45" t="str">
        <f>_xlfn.TEXTJOIN("-",TRUE,"ITD",Input!$A$2,A250)</f>
        <v>ITD-XXX-CC249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 cm="1">
        <f t="array" ref="D250">IFERROR(_xlfn.LET(
_xlpm.CSVVal,_xlfn.XLOOKUP($A250,CSV!$A:$A,CSV!C:C,""),
_xlpm.MacVal,_xlfn.XLOOKUP($A250,Output_Mac!$A:$A,Output_Mac!D:D,""),
_xlpm.MyAuditVal,_xlfn.XLOOKUP($A250,My_Audit!$A:$A,My_Audit!C:C,""),
_xlfn.IFS(_xlpm.MyAuditVal&lt;&gt;"",UPPER(_xlpm.MyAuditVal),_xlpm.MacVal&lt;&gt;"",_xlpm.MacVal,_xlpm.CSVVal&lt;&gt;"",_xlpm.CSVVal
)),"")</f>
        <v/>
      </c>
      <c r="E250" s="46" t="str" cm="1">
        <f t="array" ref="E250">IFERROR(_xlfn.LET(
_xlpm.CSVVal,_xlfn.XLOOKUP($A250,CSV!$A:$A,CSV!E:E,""),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_xlpm.CSVVal,_xlfn.XLOOKUP($A250,CSV!$A:$A,CSV!G:G,""),
_xlpm.MacVal,_xlfn.XLOOKUP($A250,Output_Mac!$A:$A,Output_Mac!G:G,""),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_xlfn.XLOOKUP(A250,Output_Mac!A:A,Output_Mac!H:H,"")</f>
        <v/>
      </c>
      <c r="I250" s="45" t="str" cm="1">
        <f t="array" ref="I250">IFERROR(_xlfn.LET(
_xlpm.CSVVal,_xlfn.XLOOKUP($A250,CSV!$A:$A,CSV!H:H,""),
_xlpm.MacVal,_xlfn.XLOOKUP($A250,Output_Mac!$A:$A,Output_Mac!I:I,""),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_xlpm.CSVVal,_xlfn.XLOOKUP($A250,CSV!$A:$A,CSV!J:J,""),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46" t="str" cm="1">
        <f t="array" ref="K250">IFERROR(_xlfn.LET(
_xlpm.CSVVal,_xlfn.XLOOKUP($A250,CSV!$A:$A,CSV!N:N,""),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_xlpm.CSVVal,_xlfn.XLOOKUP($A250,CSV!$A:$A,CSV!Q:Q,""),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CSV!AE:AE,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_xlpm.CSVVal,_xlfn.XLOOKUP($A250,CSV!$A:$A,CSV!AG:AG,""),
_xlpm.MacVal,_xlfn.XLOOKUP($A250,Output_Mac!$A:$A,Output_Mac!T:T,""),
_xlpm.MyAuditVal,_xlfn.XLOOKUP($A250,My_Audit!$A:$A,My_Audit!O:O,""),
_xlfn.IFS(_xlpm.MyAuditVal&lt;&gt;"",UPPER(_xlpm.MyAuditVal),_xlpm.MacVal&lt;&gt;"",_xlpm.MacVal,_xlpm.CSVVal&lt;&gt;"",_xlpm.CSVVal
)),"")</f>
        <v/>
      </c>
      <c r="O250" s="46" t="str">
        <f>_xlfn.XLOOKUP(C250,My_Audit!B:B,My_Audit!P:P,"")&amp;""</f>
        <v/>
      </c>
      <c r="P250" s="45"/>
      <c r="Q250" s="46" t="str">
        <f>IF(LEFT(N250,4)="Pass","Nist SP 800-88",My_Audit!R250)&amp;""</f>
        <v/>
      </c>
      <c r="R250" s="45"/>
      <c r="S250" s="45"/>
      <c r="T250" s="46" t="str">
        <f>_xlfn.XLOOKUP(E250,Models!I:I,Models!J:J,"")</f>
        <v/>
      </c>
      <c r="U250" s="45"/>
      <c r="V250" s="45"/>
      <c r="W250" s="38" t="str">
        <f>_xlfn.LET(
    _xlpm.MacVal, _xlfn.XLOOKUP($A250, Output_Mac!$A:$A, Output_Mac!AA:AA, ""),
    _xlpm.MyAuditVal, _xlfn.XLOOKUP($A250, My_Audit!$A:$A, My_Audit!L:L, ""),
    _xlfn.TEXTJOIN(", ", TRUE, _xlpm.MyAuditVal, _xlpm.MacVal)
)</f>
        <v/>
      </c>
    </row>
    <row r="251" spans="1:23">
      <c r="A251" s="45" t="str">
        <f>_xlfn.TEXTJOIN("",TRUE,Input!$B$2,ROW(My_Audit!A250))</f>
        <v>CC250</v>
      </c>
      <c r="B251" s="45" t="str">
        <f>_xlfn.TEXTJOIN("-",TRUE,"ITD",Input!$A$2,A251)</f>
        <v>ITD-XXX-CC250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 cm="1">
        <f t="array" ref="D251">IFERROR(_xlfn.LET(
_xlpm.CSVVal,_xlfn.XLOOKUP($A251,CSV!$A:$A,CSV!C:C,""),
_xlpm.MacVal,_xlfn.XLOOKUP($A251,Output_Mac!$A:$A,Output_Mac!D:D,""),
_xlpm.MyAuditVal,_xlfn.XLOOKUP($A251,My_Audit!$A:$A,My_Audit!C:C,""),
_xlfn.IFS(_xlpm.MyAuditVal&lt;&gt;"",UPPER(_xlpm.MyAuditVal),_xlpm.MacVal&lt;&gt;"",_xlpm.MacVal,_xlpm.CSVVal&lt;&gt;"",_xlpm.CSVVal
)),"")</f>
        <v/>
      </c>
      <c r="E251" s="46" t="str" cm="1">
        <f t="array" ref="E251">IFERROR(_xlfn.LET(
_xlpm.CSVVal,_xlfn.XLOOKUP($A251,CSV!$A:$A,CSV!E:E,""),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_xlpm.CSVVal,_xlfn.XLOOKUP($A251,CSV!$A:$A,CSV!G:G,""),
_xlpm.MacVal,_xlfn.XLOOKUP($A251,Output_Mac!$A:$A,Output_Mac!G:G,""),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_xlfn.XLOOKUP(A251,Output_Mac!A:A,Output_Mac!H:H,"")</f>
        <v/>
      </c>
      <c r="I251" s="45" t="str" cm="1">
        <f t="array" ref="I251">IFERROR(_xlfn.LET(
_xlpm.CSVVal,_xlfn.XLOOKUP($A251,CSV!$A:$A,CSV!H:H,""),
_xlpm.MacVal,_xlfn.XLOOKUP($A251,Output_Mac!$A:$A,Output_Mac!I:I,""),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_xlpm.CSVVal,_xlfn.XLOOKUP($A251,CSV!$A:$A,CSV!J:J,""),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46" t="str" cm="1">
        <f t="array" ref="K251">IFERROR(_xlfn.LET(
_xlpm.CSVVal,_xlfn.XLOOKUP($A251,CSV!$A:$A,CSV!N:N,""),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_xlpm.CSVVal,_xlfn.XLOOKUP($A251,CSV!$A:$A,CSV!Q:Q,""),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CSV!AE:AE,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_xlpm.CSVVal,_xlfn.XLOOKUP($A251,CSV!$A:$A,CSV!AG:AG,""),
_xlpm.MacVal,_xlfn.XLOOKUP($A251,Output_Mac!$A:$A,Output_Mac!T:T,""),
_xlpm.MyAuditVal,_xlfn.XLOOKUP($A251,My_Audit!$A:$A,My_Audit!O:O,""),
_xlfn.IFS(_xlpm.MyAuditVal&lt;&gt;"",UPPER(_xlpm.MyAuditVal),_xlpm.MacVal&lt;&gt;"",_xlpm.MacVal,_xlpm.CSVVal&lt;&gt;"",_xlpm.CSVVal
)),"")</f>
        <v/>
      </c>
      <c r="O251" s="46" t="str">
        <f>_xlfn.XLOOKUP(C251,My_Audit!B:B,My_Audit!P:P,"")&amp;""</f>
        <v/>
      </c>
      <c r="P251" s="45"/>
      <c r="Q251" s="46" t="str">
        <f>IF(LEFT(N251,4)="Pass","Nist SP 800-88",My_Audit!R251)&amp;""</f>
        <v/>
      </c>
      <c r="R251" s="45"/>
      <c r="S251" s="45"/>
      <c r="T251" s="46" t="str">
        <f>_xlfn.XLOOKUP(E251,Models!I:I,Models!J:J,"")</f>
        <v/>
      </c>
      <c r="U251" s="45"/>
      <c r="V251" s="45"/>
      <c r="W251" s="38" t="str">
        <f>_xlfn.LET(
    _xlpm.MacVal, _xlfn.XLOOKUP($A251, Output_Mac!$A:$A, Output_Mac!AA:AA, ""),
    _xlpm.MyAuditVal, _xlfn.XLOOKUP($A251, My_Audit!$A:$A, My_Audit!L:L, ""),
    _xlfn.TEXTJOIN(", ", TRUE, _xlpm.MyAuditVal, _xlpm.MacVal)
)</f>
        <v/>
      </c>
    </row>
    <row r="252" spans="1:23">
      <c r="A252" s="45" t="str">
        <f>_xlfn.TEXTJOIN("",TRUE,Input!$B$2,ROW(My_Audit!A251))</f>
        <v>CC251</v>
      </c>
      <c r="B252" s="45" t="str">
        <f>_xlfn.TEXTJOIN("-",TRUE,"ITD",Input!$A$2,A252)</f>
        <v>ITD-XXX-CC251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 cm="1">
        <f t="array" ref="D252">IFERROR(_xlfn.LET(
_xlpm.CSVVal,_xlfn.XLOOKUP($A252,CSV!$A:$A,CSV!C:C,""),
_xlpm.MacVal,_xlfn.XLOOKUP($A252,Output_Mac!$A:$A,Output_Mac!D:D,""),
_xlpm.MyAuditVal,_xlfn.XLOOKUP($A252,My_Audit!$A:$A,My_Audit!C:C,""),
_xlfn.IFS(_xlpm.MyAuditVal&lt;&gt;"",UPPER(_xlpm.MyAuditVal),_xlpm.MacVal&lt;&gt;"",_xlpm.MacVal,_xlpm.CSVVal&lt;&gt;"",_xlpm.CSVVal
)),"")</f>
        <v/>
      </c>
      <c r="E252" s="46" t="str" cm="1">
        <f t="array" ref="E252">IFERROR(_xlfn.LET(
_xlpm.CSVVal,_xlfn.XLOOKUP($A252,CSV!$A:$A,CSV!E:E,""),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_xlpm.CSVVal,_xlfn.XLOOKUP($A252,CSV!$A:$A,CSV!G:G,""),
_xlpm.MacVal,_xlfn.XLOOKUP($A252,Output_Mac!$A:$A,Output_Mac!G:G,""),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_xlfn.XLOOKUP(A252,Output_Mac!A:A,Output_Mac!H:H,"")</f>
        <v/>
      </c>
      <c r="I252" s="45" t="str" cm="1">
        <f t="array" ref="I252">IFERROR(_xlfn.LET(
_xlpm.CSVVal,_xlfn.XLOOKUP($A252,CSV!$A:$A,CSV!H:H,""),
_xlpm.MacVal,_xlfn.XLOOKUP($A252,Output_Mac!$A:$A,Output_Mac!I:I,""),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_xlpm.CSVVal,_xlfn.XLOOKUP($A252,CSV!$A:$A,CSV!J:J,""),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46" t="str" cm="1">
        <f t="array" ref="K252">IFERROR(_xlfn.LET(
_xlpm.CSVVal,_xlfn.XLOOKUP($A252,CSV!$A:$A,CSV!N:N,""),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_xlpm.CSVVal,_xlfn.XLOOKUP($A252,CSV!$A:$A,CSV!Q:Q,""),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CSV!AE:AE,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_xlpm.CSVVal,_xlfn.XLOOKUP($A252,CSV!$A:$A,CSV!AG:AG,""),
_xlpm.MacVal,_xlfn.XLOOKUP($A252,Output_Mac!$A:$A,Output_Mac!T:T,""),
_xlpm.MyAuditVal,_xlfn.XLOOKUP($A252,My_Audit!$A:$A,My_Audit!O:O,""),
_xlfn.IFS(_xlpm.MyAuditVal&lt;&gt;"",UPPER(_xlpm.MyAuditVal),_xlpm.MacVal&lt;&gt;"",_xlpm.MacVal,_xlpm.CSVVal&lt;&gt;"",_xlpm.CSVVal
)),"")</f>
        <v/>
      </c>
      <c r="O252" s="46" t="str">
        <f>_xlfn.XLOOKUP(C252,My_Audit!B:B,My_Audit!P:P,"")&amp;""</f>
        <v/>
      </c>
      <c r="P252" s="45"/>
      <c r="Q252" s="46" t="str">
        <f>IF(LEFT(N252,4)="Pass","Nist SP 800-88",My_Audit!R252)&amp;""</f>
        <v/>
      </c>
      <c r="R252" s="45"/>
      <c r="S252" s="45"/>
      <c r="T252" s="46" t="str">
        <f>_xlfn.XLOOKUP(E252,Models!I:I,Models!J:J,"")</f>
        <v/>
      </c>
      <c r="U252" s="45"/>
      <c r="V252" s="45"/>
      <c r="W252" s="38" t="str">
        <f>_xlfn.LET(
    _xlpm.MacVal, _xlfn.XLOOKUP($A252, Output_Mac!$A:$A, Output_Mac!AA:AA, ""),
    _xlpm.MyAuditVal, _xlfn.XLOOKUP($A252, My_Audit!$A:$A, My_Audit!L:L, ""),
    _xlfn.TEXTJOIN(", ", TRUE, _xlpm.MyAuditVal, _xlpm.MacVal)
)</f>
        <v/>
      </c>
    </row>
    <row r="253" spans="1:23">
      <c r="A253" s="45" t="str">
        <f>_xlfn.TEXTJOIN("",TRUE,Input!$B$2,ROW(My_Audit!A252))</f>
        <v>CC252</v>
      </c>
      <c r="B253" s="45" t="str">
        <f>_xlfn.TEXTJOIN("-",TRUE,"ITD",Input!$A$2,A253)</f>
        <v>ITD-XXX-CC252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 cm="1">
        <f t="array" ref="D253">IFERROR(_xlfn.LET(
_xlpm.CSVVal,_xlfn.XLOOKUP($A253,CSV!$A:$A,CSV!C:C,""),
_xlpm.MacVal,_xlfn.XLOOKUP($A253,Output_Mac!$A:$A,Output_Mac!D:D,""),
_xlpm.MyAuditVal,_xlfn.XLOOKUP($A253,My_Audit!$A:$A,My_Audit!C:C,""),
_xlfn.IFS(_xlpm.MyAuditVal&lt;&gt;"",UPPER(_xlpm.MyAuditVal),_xlpm.MacVal&lt;&gt;"",_xlpm.MacVal,_xlpm.CSVVal&lt;&gt;"",_xlpm.CSVVal
)),"")</f>
        <v/>
      </c>
      <c r="E253" s="46" t="str" cm="1">
        <f t="array" ref="E253">IFERROR(_xlfn.LET(
_xlpm.CSVVal,_xlfn.XLOOKUP($A253,CSV!$A:$A,CSV!E:E,""),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_xlpm.CSVVal,_xlfn.XLOOKUP($A253,CSV!$A:$A,CSV!G:G,""),
_xlpm.MacVal,_xlfn.XLOOKUP($A253,Output_Mac!$A:$A,Output_Mac!G:G,""),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_xlfn.XLOOKUP(A253,Output_Mac!A:A,Output_Mac!H:H,"")</f>
        <v/>
      </c>
      <c r="I253" s="45" t="str" cm="1">
        <f t="array" ref="I253">IFERROR(_xlfn.LET(
_xlpm.CSVVal,_xlfn.XLOOKUP($A253,CSV!$A:$A,CSV!H:H,""),
_xlpm.MacVal,_xlfn.XLOOKUP($A253,Output_Mac!$A:$A,Output_Mac!I:I,""),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_xlpm.CSVVal,_xlfn.XLOOKUP($A253,CSV!$A:$A,CSV!J:J,""),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46" t="str" cm="1">
        <f t="array" ref="K253">IFERROR(_xlfn.LET(
_xlpm.CSVVal,_xlfn.XLOOKUP($A253,CSV!$A:$A,CSV!N:N,""),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_xlpm.CSVVal,_xlfn.XLOOKUP($A253,CSV!$A:$A,CSV!Q:Q,""),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CSV!AE:AE,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_xlpm.CSVVal,_xlfn.XLOOKUP($A253,CSV!$A:$A,CSV!AG:AG,""),
_xlpm.MacVal,_xlfn.XLOOKUP($A253,Output_Mac!$A:$A,Output_Mac!T:T,""),
_xlpm.MyAuditVal,_xlfn.XLOOKUP($A253,My_Audit!$A:$A,My_Audit!O:O,""),
_xlfn.IFS(_xlpm.MyAuditVal&lt;&gt;"",UPPER(_xlpm.MyAuditVal),_xlpm.MacVal&lt;&gt;"",_xlpm.MacVal,_xlpm.CSVVal&lt;&gt;"",_xlpm.CSVVal
)),"")</f>
        <v/>
      </c>
      <c r="O253" s="46" t="str">
        <f>_xlfn.XLOOKUP(C253,My_Audit!B:B,My_Audit!P:P,"")&amp;""</f>
        <v/>
      </c>
      <c r="P253" s="45"/>
      <c r="Q253" s="46" t="str">
        <f>IF(LEFT(N253,4)="Pass","Nist SP 800-88",My_Audit!R253)&amp;""</f>
        <v/>
      </c>
      <c r="R253" s="45"/>
      <c r="S253" s="45"/>
      <c r="T253" s="46" t="str">
        <f>_xlfn.XLOOKUP(E253,Models!I:I,Models!J:J,"")</f>
        <v/>
      </c>
      <c r="U253" s="45"/>
      <c r="V253" s="45"/>
      <c r="W253" s="38" t="str">
        <f>_xlfn.LET(
    _xlpm.MacVal, _xlfn.XLOOKUP($A253, Output_Mac!$A:$A, Output_Mac!AA:AA, ""),
    _xlpm.MyAuditVal, _xlfn.XLOOKUP($A253, My_Audit!$A:$A, My_Audit!L:L, ""),
    _xlfn.TEXTJOIN(", ", TRUE, _xlpm.MyAuditVal, _xlpm.MacVal)
)</f>
        <v/>
      </c>
    </row>
    <row r="254" spans="1:23">
      <c r="A254" s="45" t="str">
        <f>_xlfn.TEXTJOIN("",TRUE,Input!$B$2,ROW(My_Audit!A253))</f>
        <v>CC253</v>
      </c>
      <c r="B254" s="45" t="str">
        <f>_xlfn.TEXTJOIN("-",TRUE,"ITD",Input!$A$2,A254)</f>
        <v>ITD-XXX-CC253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 cm="1">
        <f t="array" ref="D254">IFERROR(_xlfn.LET(
_xlpm.CSVVal,_xlfn.XLOOKUP($A254,CSV!$A:$A,CSV!C:C,""),
_xlpm.MacVal,_xlfn.XLOOKUP($A254,Output_Mac!$A:$A,Output_Mac!D:D,""),
_xlpm.MyAuditVal,_xlfn.XLOOKUP($A254,My_Audit!$A:$A,My_Audit!C:C,""),
_xlfn.IFS(_xlpm.MyAuditVal&lt;&gt;"",UPPER(_xlpm.MyAuditVal),_xlpm.MacVal&lt;&gt;"",_xlpm.MacVal,_xlpm.CSVVal&lt;&gt;"",_xlpm.CSVVal
)),"")</f>
        <v/>
      </c>
      <c r="E254" s="46" t="str" cm="1">
        <f t="array" ref="E254">IFERROR(_xlfn.LET(
_xlpm.CSVVal,_xlfn.XLOOKUP($A254,CSV!$A:$A,CSV!E:E,""),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_xlpm.CSVVal,_xlfn.XLOOKUP($A254,CSV!$A:$A,CSV!G:G,""),
_xlpm.MacVal,_xlfn.XLOOKUP($A254,Output_Mac!$A:$A,Output_Mac!G:G,""),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_xlfn.XLOOKUP(A254,Output_Mac!A:A,Output_Mac!H:H,"")</f>
        <v/>
      </c>
      <c r="I254" s="45" t="str" cm="1">
        <f t="array" ref="I254">IFERROR(_xlfn.LET(
_xlpm.CSVVal,_xlfn.XLOOKUP($A254,CSV!$A:$A,CSV!H:H,""),
_xlpm.MacVal,_xlfn.XLOOKUP($A254,Output_Mac!$A:$A,Output_Mac!I:I,""),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_xlpm.CSVVal,_xlfn.XLOOKUP($A254,CSV!$A:$A,CSV!J:J,""),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46" t="str" cm="1">
        <f t="array" ref="K254">IFERROR(_xlfn.LET(
_xlpm.CSVVal,_xlfn.XLOOKUP($A254,CSV!$A:$A,CSV!N:N,""),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_xlpm.CSVVal,_xlfn.XLOOKUP($A254,CSV!$A:$A,CSV!Q:Q,""),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CSV!AE:AE,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_xlpm.CSVVal,_xlfn.XLOOKUP($A254,CSV!$A:$A,CSV!AG:AG,""),
_xlpm.MacVal,_xlfn.XLOOKUP($A254,Output_Mac!$A:$A,Output_Mac!T:T,""),
_xlpm.MyAuditVal,_xlfn.XLOOKUP($A254,My_Audit!$A:$A,My_Audit!O:O,""),
_xlfn.IFS(_xlpm.MyAuditVal&lt;&gt;"",UPPER(_xlpm.MyAuditVal),_xlpm.MacVal&lt;&gt;"",_xlpm.MacVal,_xlpm.CSVVal&lt;&gt;"",_xlpm.CSVVal
)),"")</f>
        <v/>
      </c>
      <c r="O254" s="46" t="str">
        <f>_xlfn.XLOOKUP(C254,My_Audit!B:B,My_Audit!P:P,"")&amp;""</f>
        <v/>
      </c>
      <c r="P254" s="45"/>
      <c r="Q254" s="46" t="str">
        <f>IF(LEFT(N254,4)="Pass","Nist SP 800-88",My_Audit!R254)&amp;""</f>
        <v/>
      </c>
      <c r="R254" s="45"/>
      <c r="S254" s="45"/>
      <c r="T254" s="46" t="str">
        <f>_xlfn.XLOOKUP(E254,Models!I:I,Models!J:J,"")</f>
        <v/>
      </c>
      <c r="U254" s="45"/>
      <c r="V254" s="45"/>
      <c r="W254" s="38" t="str">
        <f>_xlfn.LET(
    _xlpm.MacVal, _xlfn.XLOOKUP($A254, Output_Mac!$A:$A, Output_Mac!AA:AA, ""),
    _xlpm.MyAuditVal, _xlfn.XLOOKUP($A254, My_Audit!$A:$A, My_Audit!L:L, ""),
    _xlfn.TEXTJOIN(", ", TRUE, _xlpm.MyAuditVal, _xlpm.MacVal)
)</f>
        <v/>
      </c>
    </row>
    <row r="255" spans="1:23">
      <c r="A255" s="45" t="str">
        <f>_xlfn.TEXTJOIN("",TRUE,Input!$B$2,ROW(My_Audit!A254))</f>
        <v>CC254</v>
      </c>
      <c r="B255" s="45" t="str">
        <f>_xlfn.TEXTJOIN("-",TRUE,"ITD",Input!$A$2,A255)</f>
        <v>ITD-XXX-CC254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 cm="1">
        <f t="array" ref="D255">IFERROR(_xlfn.LET(
_xlpm.CSVVal,_xlfn.XLOOKUP($A255,CSV!$A:$A,CSV!C:C,""),
_xlpm.MacVal,_xlfn.XLOOKUP($A255,Output_Mac!$A:$A,Output_Mac!D:D,""),
_xlpm.MyAuditVal,_xlfn.XLOOKUP($A255,My_Audit!$A:$A,My_Audit!C:C,""),
_xlfn.IFS(_xlpm.MyAuditVal&lt;&gt;"",UPPER(_xlpm.MyAuditVal),_xlpm.MacVal&lt;&gt;"",_xlpm.MacVal,_xlpm.CSVVal&lt;&gt;"",_xlpm.CSVVal
)),"")</f>
        <v/>
      </c>
      <c r="E255" s="46" t="str" cm="1">
        <f t="array" ref="E255">IFERROR(_xlfn.LET(
_xlpm.CSVVal,_xlfn.XLOOKUP($A255,CSV!$A:$A,CSV!E:E,""),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_xlpm.CSVVal,_xlfn.XLOOKUP($A255,CSV!$A:$A,CSV!G:G,""),
_xlpm.MacVal,_xlfn.XLOOKUP($A255,Output_Mac!$A:$A,Output_Mac!G:G,""),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_xlfn.XLOOKUP(A255,Output_Mac!A:A,Output_Mac!H:H,"")</f>
        <v/>
      </c>
      <c r="I255" s="45" t="str" cm="1">
        <f t="array" ref="I255">IFERROR(_xlfn.LET(
_xlpm.CSVVal,_xlfn.XLOOKUP($A255,CSV!$A:$A,CSV!H:H,""),
_xlpm.MacVal,_xlfn.XLOOKUP($A255,Output_Mac!$A:$A,Output_Mac!I:I,""),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_xlpm.CSVVal,_xlfn.XLOOKUP($A255,CSV!$A:$A,CSV!J:J,""),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46" t="str" cm="1">
        <f t="array" ref="K255">IFERROR(_xlfn.LET(
_xlpm.CSVVal,_xlfn.XLOOKUP($A255,CSV!$A:$A,CSV!N:N,""),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_xlpm.CSVVal,_xlfn.XLOOKUP($A255,CSV!$A:$A,CSV!Q:Q,""),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CSV!AE:AE,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_xlpm.CSVVal,_xlfn.XLOOKUP($A255,CSV!$A:$A,CSV!AG:AG,""),
_xlpm.MacVal,_xlfn.XLOOKUP($A255,Output_Mac!$A:$A,Output_Mac!T:T,""),
_xlpm.MyAuditVal,_xlfn.XLOOKUP($A255,My_Audit!$A:$A,My_Audit!O:O,""),
_xlfn.IFS(_xlpm.MyAuditVal&lt;&gt;"",UPPER(_xlpm.MyAuditVal),_xlpm.MacVal&lt;&gt;"",_xlpm.MacVal,_xlpm.CSVVal&lt;&gt;"",_xlpm.CSVVal
)),"")</f>
        <v/>
      </c>
      <c r="O255" s="46" t="str">
        <f>_xlfn.XLOOKUP(C255,My_Audit!B:B,My_Audit!P:P,"")&amp;""</f>
        <v/>
      </c>
      <c r="P255" s="45"/>
      <c r="Q255" s="46" t="str">
        <f>IF(LEFT(N255,4)="Pass","Nist SP 800-88",My_Audit!R255)&amp;""</f>
        <v/>
      </c>
      <c r="R255" s="45"/>
      <c r="S255" s="45"/>
      <c r="T255" s="46" t="str">
        <f>_xlfn.XLOOKUP(E255,Models!I:I,Models!J:J,"")</f>
        <v/>
      </c>
      <c r="U255" s="45"/>
      <c r="V255" s="45"/>
      <c r="W255" s="38" t="str">
        <f>_xlfn.LET(
    _xlpm.MacVal, _xlfn.XLOOKUP($A255, Output_Mac!$A:$A, Output_Mac!AA:AA, ""),
    _xlpm.MyAuditVal, _xlfn.XLOOKUP($A255, My_Audit!$A:$A, My_Audit!L:L, ""),
    _xlfn.TEXTJOIN(", ", TRUE, _xlpm.MyAuditVal, _xlpm.MacVal)
)</f>
        <v/>
      </c>
    </row>
    <row r="256" spans="1:23">
      <c r="A256" s="45" t="str">
        <f>_xlfn.TEXTJOIN("",TRUE,Input!$B$2,ROW(My_Audit!A255))</f>
        <v>CC255</v>
      </c>
      <c r="B256" s="45" t="str">
        <f>_xlfn.TEXTJOIN("-",TRUE,"ITD",Input!$A$2,A256)</f>
        <v>ITD-XXX-CC255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 cm="1">
        <f t="array" ref="D256">IFERROR(_xlfn.LET(
_xlpm.CSVVal,_xlfn.XLOOKUP($A256,CSV!$A:$A,CSV!C:C,""),
_xlpm.MacVal,_xlfn.XLOOKUP($A256,Output_Mac!$A:$A,Output_Mac!D:D,""),
_xlpm.MyAuditVal,_xlfn.XLOOKUP($A256,My_Audit!$A:$A,My_Audit!C:C,""),
_xlfn.IFS(_xlpm.MyAuditVal&lt;&gt;"",UPPER(_xlpm.MyAuditVal),_xlpm.MacVal&lt;&gt;"",_xlpm.MacVal,_xlpm.CSVVal&lt;&gt;"",_xlpm.CSVVal
)),"")</f>
        <v/>
      </c>
      <c r="E256" s="46" t="str" cm="1">
        <f t="array" ref="E256">IFERROR(_xlfn.LET(
_xlpm.CSVVal,_xlfn.XLOOKUP($A256,CSV!$A:$A,CSV!E:E,""),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_xlpm.CSVVal,_xlfn.XLOOKUP($A256,CSV!$A:$A,CSV!G:G,""),
_xlpm.MacVal,_xlfn.XLOOKUP($A256,Output_Mac!$A:$A,Output_Mac!G:G,""),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_xlfn.XLOOKUP(A256,Output_Mac!A:A,Output_Mac!H:H,"")</f>
        <v/>
      </c>
      <c r="I256" s="45" t="str" cm="1">
        <f t="array" ref="I256">IFERROR(_xlfn.LET(
_xlpm.CSVVal,_xlfn.XLOOKUP($A256,CSV!$A:$A,CSV!H:H,""),
_xlpm.MacVal,_xlfn.XLOOKUP($A256,Output_Mac!$A:$A,Output_Mac!I:I,""),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_xlpm.CSVVal,_xlfn.XLOOKUP($A256,CSV!$A:$A,CSV!J:J,""),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46" t="str" cm="1">
        <f t="array" ref="K256">IFERROR(_xlfn.LET(
_xlpm.CSVVal,_xlfn.XLOOKUP($A256,CSV!$A:$A,CSV!N:N,""),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_xlpm.CSVVal,_xlfn.XLOOKUP($A256,CSV!$A:$A,CSV!Q:Q,""),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CSV!AE:AE,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_xlpm.CSVVal,_xlfn.XLOOKUP($A256,CSV!$A:$A,CSV!AG:AG,""),
_xlpm.MacVal,_xlfn.XLOOKUP($A256,Output_Mac!$A:$A,Output_Mac!T:T,""),
_xlpm.MyAuditVal,_xlfn.XLOOKUP($A256,My_Audit!$A:$A,My_Audit!O:O,""),
_xlfn.IFS(_xlpm.MyAuditVal&lt;&gt;"",UPPER(_xlpm.MyAuditVal),_xlpm.MacVal&lt;&gt;"",_xlpm.MacVal,_xlpm.CSVVal&lt;&gt;"",_xlpm.CSVVal
)),"")</f>
        <v/>
      </c>
      <c r="O256" s="46" t="str">
        <f>_xlfn.XLOOKUP(C256,My_Audit!B:B,My_Audit!P:P,"")&amp;""</f>
        <v/>
      </c>
      <c r="P256" s="45"/>
      <c r="Q256" s="46" t="str">
        <f>IF(LEFT(N256,4)="Pass","Nist SP 800-88",My_Audit!R256)&amp;""</f>
        <v/>
      </c>
      <c r="R256" s="45"/>
      <c r="S256" s="45"/>
      <c r="T256" s="46" t="str">
        <f>_xlfn.XLOOKUP(E256,Models!I:I,Models!J:J,"")</f>
        <v/>
      </c>
      <c r="U256" s="45"/>
      <c r="V256" s="45"/>
      <c r="W256" s="38" t="str">
        <f>_xlfn.LET(
    _xlpm.MacVal, _xlfn.XLOOKUP($A256, Output_Mac!$A:$A, Output_Mac!AA:AA, ""),
    _xlpm.MyAuditVal, _xlfn.XLOOKUP($A256, My_Audit!$A:$A, My_Audit!L:L, ""),
    _xlfn.TEXTJOIN(", ", TRUE, _xlpm.MyAuditVal, _xlpm.MacVal)
)</f>
        <v/>
      </c>
    </row>
    <row r="257" spans="1:23">
      <c r="A257" s="45" t="str">
        <f>_xlfn.TEXTJOIN("",TRUE,Input!$B$2,ROW(My_Audit!A256))</f>
        <v>CC256</v>
      </c>
      <c r="B257" s="45" t="str">
        <f>_xlfn.TEXTJOIN("-",TRUE,"ITD",Input!$A$2,A257)</f>
        <v>ITD-XXX-CC256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 cm="1">
        <f t="array" ref="D257">IFERROR(_xlfn.LET(
_xlpm.CSVVal,_xlfn.XLOOKUP($A257,CSV!$A:$A,CSV!C:C,""),
_xlpm.MacVal,_xlfn.XLOOKUP($A257,Output_Mac!$A:$A,Output_Mac!D:D,""),
_xlpm.MyAuditVal,_xlfn.XLOOKUP($A257,My_Audit!$A:$A,My_Audit!C:C,""),
_xlfn.IFS(_xlpm.MyAuditVal&lt;&gt;"",UPPER(_xlpm.MyAuditVal),_xlpm.MacVal&lt;&gt;"",_xlpm.MacVal,_xlpm.CSVVal&lt;&gt;"",_xlpm.CSVVal
)),"")</f>
        <v/>
      </c>
      <c r="E257" s="46" t="str" cm="1">
        <f t="array" ref="E257">IFERROR(_xlfn.LET(
_xlpm.CSVVal,_xlfn.XLOOKUP($A257,CSV!$A:$A,CSV!E:E,""),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_xlpm.CSVVal,_xlfn.XLOOKUP($A257,CSV!$A:$A,CSV!G:G,""),
_xlpm.MacVal,_xlfn.XLOOKUP($A257,Output_Mac!$A:$A,Output_Mac!G:G,""),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_xlfn.XLOOKUP(A257,Output_Mac!A:A,Output_Mac!H:H,"")</f>
        <v/>
      </c>
      <c r="I257" s="45" t="str" cm="1">
        <f t="array" ref="I257">IFERROR(_xlfn.LET(
_xlpm.CSVVal,_xlfn.XLOOKUP($A257,CSV!$A:$A,CSV!H:H,""),
_xlpm.MacVal,_xlfn.XLOOKUP($A257,Output_Mac!$A:$A,Output_Mac!I:I,""),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_xlpm.CSVVal,_xlfn.XLOOKUP($A257,CSV!$A:$A,CSV!J:J,""),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46" t="str" cm="1">
        <f t="array" ref="K257">IFERROR(_xlfn.LET(
_xlpm.CSVVal,_xlfn.XLOOKUP($A257,CSV!$A:$A,CSV!N:N,""),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_xlpm.CSVVal,_xlfn.XLOOKUP($A257,CSV!$A:$A,CSV!Q:Q,""),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CSV!AE:AE,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_xlpm.CSVVal,_xlfn.XLOOKUP($A257,CSV!$A:$A,CSV!AG:AG,""),
_xlpm.MacVal,_xlfn.XLOOKUP($A257,Output_Mac!$A:$A,Output_Mac!T:T,""),
_xlpm.MyAuditVal,_xlfn.XLOOKUP($A257,My_Audit!$A:$A,My_Audit!O:O,""),
_xlfn.IFS(_xlpm.MyAuditVal&lt;&gt;"",UPPER(_xlpm.MyAuditVal),_xlpm.MacVal&lt;&gt;"",_xlpm.MacVal,_xlpm.CSVVal&lt;&gt;"",_xlpm.CSVVal
)),"")</f>
        <v/>
      </c>
      <c r="O257" s="46" t="str">
        <f>_xlfn.XLOOKUP(C257,My_Audit!B:B,My_Audit!P:P,"")&amp;""</f>
        <v/>
      </c>
      <c r="P257" s="45"/>
      <c r="Q257" s="46" t="str">
        <f>IF(LEFT(N257,4)="Pass","Nist SP 800-88",My_Audit!R257)&amp;""</f>
        <v/>
      </c>
      <c r="R257" s="45"/>
      <c r="S257" s="45"/>
      <c r="T257" s="46" t="str">
        <f>_xlfn.XLOOKUP(E257,Models!I:I,Models!J:J,"")</f>
        <v/>
      </c>
      <c r="U257" s="45"/>
      <c r="V257" s="45"/>
      <c r="W257" s="38" t="str">
        <f>_xlfn.LET(
    _xlpm.MacVal, _xlfn.XLOOKUP($A257, Output_Mac!$A:$A, Output_Mac!AA:AA, ""),
    _xlpm.MyAuditVal, _xlfn.XLOOKUP($A257, My_Audit!$A:$A, My_Audit!L:L, ""),
    _xlfn.TEXTJOIN(", ", TRUE, _xlpm.MyAuditVal, _xlpm.MacVal)
)</f>
        <v/>
      </c>
    </row>
    <row r="258" spans="1:23">
      <c r="A258" s="45" t="str">
        <f>_xlfn.TEXTJOIN("",TRUE,Input!$B$2,ROW(My_Audit!A257))</f>
        <v>CC257</v>
      </c>
      <c r="B258" s="45" t="str">
        <f>_xlfn.TEXTJOIN("-",TRUE,"ITD",Input!$A$2,A258)</f>
        <v>ITD-XXX-CC257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 cm="1">
        <f t="array" ref="D258">IFERROR(_xlfn.LET(
_xlpm.CSVVal,_xlfn.XLOOKUP($A258,CSV!$A:$A,CSV!C:C,""),
_xlpm.MacVal,_xlfn.XLOOKUP($A258,Output_Mac!$A:$A,Output_Mac!D:D,""),
_xlpm.MyAuditVal,_xlfn.XLOOKUP($A258,My_Audit!$A:$A,My_Audit!C:C,""),
_xlfn.IFS(_xlpm.MyAuditVal&lt;&gt;"",UPPER(_xlpm.MyAuditVal),_xlpm.MacVal&lt;&gt;"",_xlpm.MacVal,_xlpm.CSVVal&lt;&gt;"",_xlpm.CSVVal
)),"")</f>
        <v/>
      </c>
      <c r="E258" s="46" t="str" cm="1">
        <f t="array" ref="E258">IFERROR(_xlfn.LET(
_xlpm.CSVVal,_xlfn.XLOOKUP($A258,CSV!$A:$A,CSV!E:E,""),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_xlpm.CSVVal,_xlfn.XLOOKUP($A258,CSV!$A:$A,CSV!G:G,""),
_xlpm.MacVal,_xlfn.XLOOKUP($A258,Output_Mac!$A:$A,Output_Mac!G:G,""),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_xlfn.XLOOKUP(A258,Output_Mac!A:A,Output_Mac!H:H,"")</f>
        <v/>
      </c>
      <c r="I258" s="45" t="str" cm="1">
        <f t="array" ref="I258">IFERROR(_xlfn.LET(
_xlpm.CSVVal,_xlfn.XLOOKUP($A258,CSV!$A:$A,CSV!H:H,""),
_xlpm.MacVal,_xlfn.XLOOKUP($A258,Output_Mac!$A:$A,Output_Mac!I:I,""),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_xlpm.CSVVal,_xlfn.XLOOKUP($A258,CSV!$A:$A,CSV!J:J,""),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46" t="str" cm="1">
        <f t="array" ref="K258">IFERROR(_xlfn.LET(
_xlpm.CSVVal,_xlfn.XLOOKUP($A258,CSV!$A:$A,CSV!N:N,""),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_xlpm.CSVVal,_xlfn.XLOOKUP($A258,CSV!$A:$A,CSV!Q:Q,""),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CSV!AE:AE,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_xlpm.CSVVal,_xlfn.XLOOKUP($A258,CSV!$A:$A,CSV!AG:AG,""),
_xlpm.MacVal,_xlfn.XLOOKUP($A258,Output_Mac!$A:$A,Output_Mac!T:T,""),
_xlpm.MyAuditVal,_xlfn.XLOOKUP($A258,My_Audit!$A:$A,My_Audit!O:O,""),
_xlfn.IFS(_xlpm.MyAuditVal&lt;&gt;"",UPPER(_xlpm.MyAuditVal),_xlpm.MacVal&lt;&gt;"",_xlpm.MacVal,_xlpm.CSVVal&lt;&gt;"",_xlpm.CSVVal
)),"")</f>
        <v/>
      </c>
      <c r="O258" s="46" t="str">
        <f>_xlfn.XLOOKUP(C258,My_Audit!B:B,My_Audit!P:P,"")&amp;""</f>
        <v/>
      </c>
      <c r="P258" s="45"/>
      <c r="Q258" s="46" t="str">
        <f>IF(LEFT(N258,4)="Pass","Nist SP 800-88",My_Audit!R258)&amp;""</f>
        <v/>
      </c>
      <c r="R258" s="45"/>
      <c r="S258" s="45"/>
      <c r="T258" s="46" t="str">
        <f>_xlfn.XLOOKUP(E258,Models!I:I,Models!J:J,"")</f>
        <v/>
      </c>
      <c r="U258" s="45"/>
      <c r="V258" s="45"/>
      <c r="W258" s="38" t="str">
        <f>_xlfn.LET(
    _xlpm.MacVal, _xlfn.XLOOKUP($A258, Output_Mac!$A:$A, Output_Mac!AA:AA, ""),
    _xlpm.MyAuditVal, _xlfn.XLOOKUP($A258, My_Audit!$A:$A, My_Audit!L:L, ""),
    _xlfn.TEXTJOIN(", ", TRUE, _xlpm.MyAuditVal, _xlpm.MacVal)
)</f>
        <v/>
      </c>
    </row>
    <row r="259" spans="1:23">
      <c r="A259" s="45" t="str">
        <f>_xlfn.TEXTJOIN("",TRUE,Input!$B$2,ROW(My_Audit!A258))</f>
        <v>CC258</v>
      </c>
      <c r="B259" s="45" t="str">
        <f>_xlfn.TEXTJOIN("-",TRUE,"ITD",Input!$A$2,A259)</f>
        <v>ITD-XXX-CC258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 cm="1">
        <f t="array" ref="D259">IFERROR(_xlfn.LET(
_xlpm.CSVVal,_xlfn.XLOOKUP($A259,CSV!$A:$A,CSV!C:C,""),
_xlpm.MacVal,_xlfn.XLOOKUP($A259,Output_Mac!$A:$A,Output_Mac!D:D,""),
_xlpm.MyAuditVal,_xlfn.XLOOKUP($A259,My_Audit!$A:$A,My_Audit!C:C,""),
_xlfn.IFS(_xlpm.MyAuditVal&lt;&gt;"",UPPER(_xlpm.MyAuditVal),_xlpm.MacVal&lt;&gt;"",_xlpm.MacVal,_xlpm.CSVVal&lt;&gt;"",_xlpm.CSVVal
)),"")</f>
        <v/>
      </c>
      <c r="E259" s="46" t="str" cm="1">
        <f t="array" ref="E259">IFERROR(_xlfn.LET(
_xlpm.CSVVal,_xlfn.XLOOKUP($A259,CSV!$A:$A,CSV!E:E,""),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_xlpm.CSVVal,_xlfn.XLOOKUP($A259,CSV!$A:$A,CSV!G:G,""),
_xlpm.MacVal,_xlfn.XLOOKUP($A259,Output_Mac!$A:$A,Output_Mac!G:G,""),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_xlfn.XLOOKUP(A259,Output_Mac!A:A,Output_Mac!H:H,"")</f>
        <v/>
      </c>
      <c r="I259" s="45" t="str" cm="1">
        <f t="array" ref="I259">IFERROR(_xlfn.LET(
_xlpm.CSVVal,_xlfn.XLOOKUP($A259,CSV!$A:$A,CSV!H:H,""),
_xlpm.MacVal,_xlfn.XLOOKUP($A259,Output_Mac!$A:$A,Output_Mac!I:I,""),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_xlpm.CSVVal,_xlfn.XLOOKUP($A259,CSV!$A:$A,CSV!J:J,""),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46" t="str" cm="1">
        <f t="array" ref="K259">IFERROR(_xlfn.LET(
_xlpm.CSVVal,_xlfn.XLOOKUP($A259,CSV!$A:$A,CSV!N:N,""),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_xlpm.CSVVal,_xlfn.XLOOKUP($A259,CSV!$A:$A,CSV!Q:Q,""),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CSV!AE:AE,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_xlpm.CSVVal,_xlfn.XLOOKUP($A259,CSV!$A:$A,CSV!AG:AG,""),
_xlpm.MacVal,_xlfn.XLOOKUP($A259,Output_Mac!$A:$A,Output_Mac!T:T,""),
_xlpm.MyAuditVal,_xlfn.XLOOKUP($A259,My_Audit!$A:$A,My_Audit!O:O,""),
_xlfn.IFS(_xlpm.MyAuditVal&lt;&gt;"",UPPER(_xlpm.MyAuditVal),_xlpm.MacVal&lt;&gt;"",_xlpm.MacVal,_xlpm.CSVVal&lt;&gt;"",_xlpm.CSVVal
)),"")</f>
        <v/>
      </c>
      <c r="O259" s="46" t="str">
        <f>_xlfn.XLOOKUP(C259,My_Audit!B:B,My_Audit!P:P,"")&amp;""</f>
        <v/>
      </c>
      <c r="P259" s="45"/>
      <c r="Q259" s="46" t="str">
        <f>IF(LEFT(N259,4)="Pass","Nist SP 800-88",My_Audit!R259)&amp;""</f>
        <v/>
      </c>
      <c r="R259" s="45"/>
      <c r="S259" s="45"/>
      <c r="T259" s="46" t="str">
        <f>_xlfn.XLOOKUP(E259,Models!I:I,Models!J:J,"")</f>
        <v/>
      </c>
      <c r="U259" s="45"/>
      <c r="V259" s="45"/>
      <c r="W259" s="38" t="str">
        <f>_xlfn.LET(
    _xlpm.MacVal, _xlfn.XLOOKUP($A259, Output_Mac!$A:$A, Output_Mac!AA:AA, ""),
    _xlpm.MyAuditVal, _xlfn.XLOOKUP($A259, My_Audit!$A:$A, My_Audit!L:L, ""),
    _xlfn.TEXTJOIN(", ", TRUE, _xlpm.MyAuditVal, _xlpm.MacVal)
)</f>
        <v/>
      </c>
    </row>
    <row r="260" spans="1:23">
      <c r="A260" s="45" t="str">
        <f>_xlfn.TEXTJOIN("",TRUE,Input!$B$2,ROW(My_Audit!A259))</f>
        <v>CC259</v>
      </c>
      <c r="B260" s="45" t="str">
        <f>_xlfn.TEXTJOIN("-",TRUE,"ITD",Input!$A$2,A260)</f>
        <v>ITD-XXX-CC259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 cm="1">
        <f t="array" ref="D260">IFERROR(_xlfn.LET(
_xlpm.CSVVal,_xlfn.XLOOKUP($A260,CSV!$A:$A,CSV!C:C,""),
_xlpm.MacVal,_xlfn.XLOOKUP($A260,Output_Mac!$A:$A,Output_Mac!D:D,""),
_xlpm.MyAuditVal,_xlfn.XLOOKUP($A260,My_Audit!$A:$A,My_Audit!C:C,""),
_xlfn.IFS(_xlpm.MyAuditVal&lt;&gt;"",UPPER(_xlpm.MyAuditVal),_xlpm.MacVal&lt;&gt;"",_xlpm.MacVal,_xlpm.CSVVal&lt;&gt;"",_xlpm.CSVVal
)),"")</f>
        <v/>
      </c>
      <c r="E260" s="46" t="str" cm="1">
        <f t="array" ref="E260">IFERROR(_xlfn.LET(
_xlpm.CSVVal,_xlfn.XLOOKUP($A260,CSV!$A:$A,CSV!E:E,""),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_xlpm.CSVVal,_xlfn.XLOOKUP($A260,CSV!$A:$A,CSV!G:G,""),
_xlpm.MacVal,_xlfn.XLOOKUP($A260,Output_Mac!$A:$A,Output_Mac!G:G,""),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_xlfn.XLOOKUP(A260,Output_Mac!A:A,Output_Mac!H:H,"")</f>
        <v/>
      </c>
      <c r="I260" s="45" t="str" cm="1">
        <f t="array" ref="I260">IFERROR(_xlfn.LET(
_xlpm.CSVVal,_xlfn.XLOOKUP($A260,CSV!$A:$A,CSV!H:H,""),
_xlpm.MacVal,_xlfn.XLOOKUP($A260,Output_Mac!$A:$A,Output_Mac!I:I,""),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_xlpm.CSVVal,_xlfn.XLOOKUP($A260,CSV!$A:$A,CSV!J:J,""),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46" t="str" cm="1">
        <f t="array" ref="K260">IFERROR(_xlfn.LET(
_xlpm.CSVVal,_xlfn.XLOOKUP($A260,CSV!$A:$A,CSV!N:N,""),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_xlpm.CSVVal,_xlfn.XLOOKUP($A260,CSV!$A:$A,CSV!Q:Q,""),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CSV!AE:AE,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_xlpm.CSVVal,_xlfn.XLOOKUP($A260,CSV!$A:$A,CSV!AG:AG,""),
_xlpm.MacVal,_xlfn.XLOOKUP($A260,Output_Mac!$A:$A,Output_Mac!T:T,""),
_xlpm.MyAuditVal,_xlfn.XLOOKUP($A260,My_Audit!$A:$A,My_Audit!O:O,""),
_xlfn.IFS(_xlpm.MyAuditVal&lt;&gt;"",UPPER(_xlpm.MyAuditVal),_xlpm.MacVal&lt;&gt;"",_xlpm.MacVal,_xlpm.CSVVal&lt;&gt;"",_xlpm.CSVVal
)),"")</f>
        <v/>
      </c>
      <c r="O260" s="46" t="str">
        <f>_xlfn.XLOOKUP(C260,My_Audit!B:B,My_Audit!P:P,"")&amp;""</f>
        <v/>
      </c>
      <c r="P260" s="45"/>
      <c r="Q260" s="46" t="str">
        <f>IF(LEFT(N260,4)="Pass","Nist SP 800-88",My_Audit!R260)&amp;""</f>
        <v/>
      </c>
      <c r="R260" s="45"/>
      <c r="S260" s="45"/>
      <c r="T260" s="46" t="str">
        <f>_xlfn.XLOOKUP(E260,Models!I:I,Models!J:J,"")</f>
        <v/>
      </c>
      <c r="U260" s="45"/>
      <c r="V260" s="45"/>
      <c r="W260" s="38" t="str">
        <f>_xlfn.LET(
    _xlpm.MacVal, _xlfn.XLOOKUP($A260, Output_Mac!$A:$A, Output_Mac!AA:AA, ""),
    _xlpm.MyAuditVal, _xlfn.XLOOKUP($A260, My_Audit!$A:$A, My_Audit!L:L, ""),
    _xlfn.TEXTJOIN(", ", TRUE, _xlpm.MyAuditVal, _xlpm.MacVal)
)</f>
        <v/>
      </c>
    </row>
    <row r="261" spans="1:23">
      <c r="A261" s="45" t="str">
        <f>_xlfn.TEXTJOIN("",TRUE,Input!$B$2,ROW(My_Audit!A260))</f>
        <v>CC260</v>
      </c>
      <c r="B261" s="45" t="str">
        <f>_xlfn.TEXTJOIN("-",TRUE,"ITD",Input!$A$2,A261)</f>
        <v>ITD-XXX-CC260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 cm="1">
        <f t="array" ref="D261">IFERROR(_xlfn.LET(
_xlpm.CSVVal,_xlfn.XLOOKUP($A261,CSV!$A:$A,CSV!C:C,""),
_xlpm.MacVal,_xlfn.XLOOKUP($A261,Output_Mac!$A:$A,Output_Mac!D:D,""),
_xlpm.MyAuditVal,_xlfn.XLOOKUP($A261,My_Audit!$A:$A,My_Audit!C:C,""),
_xlfn.IFS(_xlpm.MyAuditVal&lt;&gt;"",UPPER(_xlpm.MyAuditVal),_xlpm.MacVal&lt;&gt;"",_xlpm.MacVal,_xlpm.CSVVal&lt;&gt;"",_xlpm.CSVVal
)),"")</f>
        <v/>
      </c>
      <c r="E261" s="46" t="str" cm="1">
        <f t="array" ref="E261">IFERROR(_xlfn.LET(
_xlpm.CSVVal,_xlfn.XLOOKUP($A261,CSV!$A:$A,CSV!E:E,""),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_xlpm.CSVVal,_xlfn.XLOOKUP($A261,CSV!$A:$A,CSV!G:G,""),
_xlpm.MacVal,_xlfn.XLOOKUP($A261,Output_Mac!$A:$A,Output_Mac!G:G,""),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_xlfn.XLOOKUP(A261,Output_Mac!A:A,Output_Mac!H:H,"")</f>
        <v/>
      </c>
      <c r="I261" s="45" t="str" cm="1">
        <f t="array" ref="I261">IFERROR(_xlfn.LET(
_xlpm.CSVVal,_xlfn.XLOOKUP($A261,CSV!$A:$A,CSV!H:H,""),
_xlpm.MacVal,_xlfn.XLOOKUP($A261,Output_Mac!$A:$A,Output_Mac!I:I,""),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_xlpm.CSVVal,_xlfn.XLOOKUP($A261,CSV!$A:$A,CSV!J:J,""),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46" t="str" cm="1">
        <f t="array" ref="K261">IFERROR(_xlfn.LET(
_xlpm.CSVVal,_xlfn.XLOOKUP($A261,CSV!$A:$A,CSV!N:N,""),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_xlpm.CSVVal,_xlfn.XLOOKUP($A261,CSV!$A:$A,CSV!Q:Q,""),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CSV!AE:AE,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_xlpm.CSVVal,_xlfn.XLOOKUP($A261,CSV!$A:$A,CSV!AG:AG,""),
_xlpm.MacVal,_xlfn.XLOOKUP($A261,Output_Mac!$A:$A,Output_Mac!T:T,""),
_xlpm.MyAuditVal,_xlfn.XLOOKUP($A261,My_Audit!$A:$A,My_Audit!O:O,""),
_xlfn.IFS(_xlpm.MyAuditVal&lt;&gt;"",UPPER(_xlpm.MyAuditVal),_xlpm.MacVal&lt;&gt;"",_xlpm.MacVal,_xlpm.CSVVal&lt;&gt;"",_xlpm.CSVVal
)),"")</f>
        <v/>
      </c>
      <c r="O261" s="46" t="str">
        <f>_xlfn.XLOOKUP(C261,My_Audit!B:B,My_Audit!P:P,"")&amp;""</f>
        <v/>
      </c>
      <c r="P261" s="45"/>
      <c r="Q261" s="46" t="str">
        <f>IF(LEFT(N261,4)="Pass","Nist SP 800-88",My_Audit!R261)&amp;""</f>
        <v/>
      </c>
      <c r="R261" s="45"/>
      <c r="S261" s="45"/>
      <c r="T261" s="46" t="str">
        <f>_xlfn.XLOOKUP(E261,Models!I:I,Models!J:J,"")</f>
        <v/>
      </c>
      <c r="U261" s="45"/>
      <c r="V261" s="45"/>
      <c r="W261" s="38" t="str">
        <f>_xlfn.LET(
    _xlpm.MacVal, _xlfn.XLOOKUP($A261, Output_Mac!$A:$A, Output_Mac!AA:AA, ""),
    _xlpm.MyAuditVal, _xlfn.XLOOKUP($A261, My_Audit!$A:$A, My_Audit!L:L, ""),
    _xlfn.TEXTJOIN(", ", TRUE, _xlpm.MyAuditVal, _xlpm.MacVal)
)</f>
        <v/>
      </c>
    </row>
    <row r="262" spans="1:23">
      <c r="A262" s="45" t="str">
        <f>_xlfn.TEXTJOIN("",TRUE,Input!$B$2,ROW(My_Audit!A261))</f>
        <v>CC261</v>
      </c>
      <c r="B262" s="45" t="str">
        <f>_xlfn.TEXTJOIN("-",TRUE,"ITD",Input!$A$2,A262)</f>
        <v>ITD-XXX-CC261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 cm="1">
        <f t="array" ref="D262">IFERROR(_xlfn.LET(
_xlpm.CSVVal,_xlfn.XLOOKUP($A262,CSV!$A:$A,CSV!C:C,""),
_xlpm.MacVal,_xlfn.XLOOKUP($A262,Output_Mac!$A:$A,Output_Mac!D:D,""),
_xlpm.MyAuditVal,_xlfn.XLOOKUP($A262,My_Audit!$A:$A,My_Audit!C:C,""),
_xlfn.IFS(_xlpm.MyAuditVal&lt;&gt;"",UPPER(_xlpm.MyAuditVal),_xlpm.MacVal&lt;&gt;"",_xlpm.MacVal,_xlpm.CSVVal&lt;&gt;"",_xlpm.CSVVal
)),"")</f>
        <v/>
      </c>
      <c r="E262" s="46" t="str" cm="1">
        <f t="array" ref="E262">IFERROR(_xlfn.LET(
_xlpm.CSVVal,_xlfn.XLOOKUP($A262,CSV!$A:$A,CSV!E:E,""),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_xlpm.CSVVal,_xlfn.XLOOKUP($A262,CSV!$A:$A,CSV!G:G,""),
_xlpm.MacVal,_xlfn.XLOOKUP($A262,Output_Mac!$A:$A,Output_Mac!G:G,""),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_xlfn.XLOOKUP(A262,Output_Mac!A:A,Output_Mac!H:H,"")</f>
        <v/>
      </c>
      <c r="I262" s="45" t="str" cm="1">
        <f t="array" ref="I262">IFERROR(_xlfn.LET(
_xlpm.CSVVal,_xlfn.XLOOKUP($A262,CSV!$A:$A,CSV!H:H,""),
_xlpm.MacVal,_xlfn.XLOOKUP($A262,Output_Mac!$A:$A,Output_Mac!I:I,""),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_xlpm.CSVVal,_xlfn.XLOOKUP($A262,CSV!$A:$A,CSV!J:J,""),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46" t="str" cm="1">
        <f t="array" ref="K262">IFERROR(_xlfn.LET(
_xlpm.CSVVal,_xlfn.XLOOKUP($A262,CSV!$A:$A,CSV!N:N,""),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_xlpm.CSVVal,_xlfn.XLOOKUP($A262,CSV!$A:$A,CSV!Q:Q,""),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CSV!AE:AE,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_xlpm.CSVVal,_xlfn.XLOOKUP($A262,CSV!$A:$A,CSV!AG:AG,""),
_xlpm.MacVal,_xlfn.XLOOKUP($A262,Output_Mac!$A:$A,Output_Mac!T:T,""),
_xlpm.MyAuditVal,_xlfn.XLOOKUP($A262,My_Audit!$A:$A,My_Audit!O:O,""),
_xlfn.IFS(_xlpm.MyAuditVal&lt;&gt;"",UPPER(_xlpm.MyAuditVal),_xlpm.MacVal&lt;&gt;"",_xlpm.MacVal,_xlpm.CSVVal&lt;&gt;"",_xlpm.CSVVal
)),"")</f>
        <v/>
      </c>
      <c r="O262" s="46" t="str">
        <f>_xlfn.XLOOKUP(C262,My_Audit!B:B,My_Audit!P:P,"")&amp;""</f>
        <v/>
      </c>
      <c r="P262" s="45"/>
      <c r="Q262" s="46" t="str">
        <f>IF(LEFT(N262,4)="Pass","Nist SP 800-88",My_Audit!R262)&amp;""</f>
        <v/>
      </c>
      <c r="R262" s="45"/>
      <c r="S262" s="45"/>
      <c r="T262" s="46" t="str">
        <f>_xlfn.XLOOKUP(E262,Models!I:I,Models!J:J,"")</f>
        <v/>
      </c>
      <c r="U262" s="45"/>
      <c r="V262" s="45"/>
      <c r="W262" s="38" t="str">
        <f>_xlfn.LET(
    _xlpm.MacVal, _xlfn.XLOOKUP($A262, Output_Mac!$A:$A, Output_Mac!AA:AA, ""),
    _xlpm.MyAuditVal, _xlfn.XLOOKUP($A262, My_Audit!$A:$A, My_Audit!L:L, ""),
    _xlfn.TEXTJOIN(", ", TRUE, _xlpm.MyAuditVal, _xlpm.MacVal)
)</f>
        <v/>
      </c>
    </row>
    <row r="263" spans="1:23">
      <c r="A263" s="45" t="str">
        <f>_xlfn.TEXTJOIN("",TRUE,Input!$B$2,ROW(My_Audit!A262))</f>
        <v>CC262</v>
      </c>
      <c r="B263" s="45" t="str">
        <f>_xlfn.TEXTJOIN("-",TRUE,"ITD",Input!$A$2,A263)</f>
        <v>ITD-XXX-CC262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 cm="1">
        <f t="array" ref="D263">IFERROR(_xlfn.LET(
_xlpm.CSVVal,_xlfn.XLOOKUP($A263,CSV!$A:$A,CSV!C:C,""),
_xlpm.MacVal,_xlfn.XLOOKUP($A263,Output_Mac!$A:$A,Output_Mac!D:D,""),
_xlpm.MyAuditVal,_xlfn.XLOOKUP($A263,My_Audit!$A:$A,My_Audit!C:C,""),
_xlfn.IFS(_xlpm.MyAuditVal&lt;&gt;"",UPPER(_xlpm.MyAuditVal),_xlpm.MacVal&lt;&gt;"",_xlpm.MacVal,_xlpm.CSVVal&lt;&gt;"",_xlpm.CSVVal
)),"")</f>
        <v/>
      </c>
      <c r="E263" s="46" t="str" cm="1">
        <f t="array" ref="E263">IFERROR(_xlfn.LET(
_xlpm.CSVVal,_xlfn.XLOOKUP($A263,CSV!$A:$A,CSV!E:E,""),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_xlpm.CSVVal,_xlfn.XLOOKUP($A263,CSV!$A:$A,CSV!G:G,""),
_xlpm.MacVal,_xlfn.XLOOKUP($A263,Output_Mac!$A:$A,Output_Mac!G:G,""),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_xlfn.XLOOKUP(A263,Output_Mac!A:A,Output_Mac!H:H,"")</f>
        <v/>
      </c>
      <c r="I263" s="45" t="str" cm="1">
        <f t="array" ref="I263">IFERROR(_xlfn.LET(
_xlpm.CSVVal,_xlfn.XLOOKUP($A263,CSV!$A:$A,CSV!H:H,""),
_xlpm.MacVal,_xlfn.XLOOKUP($A263,Output_Mac!$A:$A,Output_Mac!I:I,""),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_xlpm.CSVVal,_xlfn.XLOOKUP($A263,CSV!$A:$A,CSV!J:J,""),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46" t="str" cm="1">
        <f t="array" ref="K263">IFERROR(_xlfn.LET(
_xlpm.CSVVal,_xlfn.XLOOKUP($A263,CSV!$A:$A,CSV!N:N,""),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_xlpm.CSVVal,_xlfn.XLOOKUP($A263,CSV!$A:$A,CSV!Q:Q,""),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CSV!AE:AE,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_xlpm.CSVVal,_xlfn.XLOOKUP($A263,CSV!$A:$A,CSV!AG:AG,""),
_xlpm.MacVal,_xlfn.XLOOKUP($A263,Output_Mac!$A:$A,Output_Mac!T:T,""),
_xlpm.MyAuditVal,_xlfn.XLOOKUP($A263,My_Audit!$A:$A,My_Audit!O:O,""),
_xlfn.IFS(_xlpm.MyAuditVal&lt;&gt;"",UPPER(_xlpm.MyAuditVal),_xlpm.MacVal&lt;&gt;"",_xlpm.MacVal,_xlpm.CSVVal&lt;&gt;"",_xlpm.CSVVal
)),"")</f>
        <v/>
      </c>
      <c r="O263" s="46" t="str">
        <f>_xlfn.XLOOKUP(C263,My_Audit!B:B,My_Audit!P:P,"")&amp;""</f>
        <v/>
      </c>
      <c r="P263" s="45"/>
      <c r="Q263" s="46" t="str">
        <f>IF(LEFT(N263,4)="Pass","Nist SP 800-88",My_Audit!R263)&amp;""</f>
        <v/>
      </c>
      <c r="R263" s="45"/>
      <c r="S263" s="45"/>
      <c r="T263" s="46" t="str">
        <f>_xlfn.XLOOKUP(E263,Models!I:I,Models!J:J,"")</f>
        <v/>
      </c>
      <c r="U263" s="45"/>
      <c r="V263" s="45"/>
      <c r="W263" s="38" t="str">
        <f>_xlfn.LET(
    _xlpm.MacVal, _xlfn.XLOOKUP($A263, Output_Mac!$A:$A, Output_Mac!AA:AA, ""),
    _xlpm.MyAuditVal, _xlfn.XLOOKUP($A263, My_Audit!$A:$A, My_Audit!L:L, ""),
    _xlfn.TEXTJOIN(", ", TRUE, _xlpm.MyAuditVal, _xlpm.MacVal)
)</f>
        <v/>
      </c>
    </row>
    <row r="264" spans="1:23">
      <c r="A264" s="45" t="str">
        <f>_xlfn.TEXTJOIN("",TRUE,Input!$B$2,ROW(My_Audit!A263))</f>
        <v>CC263</v>
      </c>
      <c r="B264" s="45" t="str">
        <f>_xlfn.TEXTJOIN("-",TRUE,"ITD",Input!$A$2,A264)</f>
        <v>ITD-XXX-CC263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 cm="1">
        <f t="array" ref="D264">IFERROR(_xlfn.LET(
_xlpm.CSVVal,_xlfn.XLOOKUP($A264,CSV!$A:$A,CSV!C:C,""),
_xlpm.MacVal,_xlfn.XLOOKUP($A264,Output_Mac!$A:$A,Output_Mac!D:D,""),
_xlpm.MyAuditVal,_xlfn.XLOOKUP($A264,My_Audit!$A:$A,My_Audit!C:C,""),
_xlfn.IFS(_xlpm.MyAuditVal&lt;&gt;"",UPPER(_xlpm.MyAuditVal),_xlpm.MacVal&lt;&gt;"",_xlpm.MacVal,_xlpm.CSVVal&lt;&gt;"",_xlpm.CSVVal
)),"")</f>
        <v/>
      </c>
      <c r="E264" s="46" t="str" cm="1">
        <f t="array" ref="E264">IFERROR(_xlfn.LET(
_xlpm.CSVVal,_xlfn.XLOOKUP($A264,CSV!$A:$A,CSV!E:E,""),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_xlpm.CSVVal,_xlfn.XLOOKUP($A264,CSV!$A:$A,CSV!G:G,""),
_xlpm.MacVal,_xlfn.XLOOKUP($A264,Output_Mac!$A:$A,Output_Mac!G:G,""),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_xlfn.XLOOKUP(A264,Output_Mac!A:A,Output_Mac!H:H,"")</f>
        <v/>
      </c>
      <c r="I264" s="45" t="str" cm="1">
        <f t="array" ref="I264">IFERROR(_xlfn.LET(
_xlpm.CSVVal,_xlfn.XLOOKUP($A264,CSV!$A:$A,CSV!H:H,""),
_xlpm.MacVal,_xlfn.XLOOKUP($A264,Output_Mac!$A:$A,Output_Mac!I:I,""),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_xlpm.CSVVal,_xlfn.XLOOKUP($A264,CSV!$A:$A,CSV!J:J,""),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46" t="str" cm="1">
        <f t="array" ref="K264">IFERROR(_xlfn.LET(
_xlpm.CSVVal,_xlfn.XLOOKUP($A264,CSV!$A:$A,CSV!N:N,""),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_xlpm.CSVVal,_xlfn.XLOOKUP($A264,CSV!$A:$A,CSV!Q:Q,""),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CSV!AE:AE,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_xlpm.CSVVal,_xlfn.XLOOKUP($A264,CSV!$A:$A,CSV!AG:AG,""),
_xlpm.MacVal,_xlfn.XLOOKUP($A264,Output_Mac!$A:$A,Output_Mac!T:T,""),
_xlpm.MyAuditVal,_xlfn.XLOOKUP($A264,My_Audit!$A:$A,My_Audit!O:O,""),
_xlfn.IFS(_xlpm.MyAuditVal&lt;&gt;"",UPPER(_xlpm.MyAuditVal),_xlpm.MacVal&lt;&gt;"",_xlpm.MacVal,_xlpm.CSVVal&lt;&gt;"",_xlpm.CSVVal
)),"")</f>
        <v/>
      </c>
      <c r="O264" s="46" t="str">
        <f>_xlfn.XLOOKUP(C264,My_Audit!B:B,My_Audit!P:P,"")&amp;""</f>
        <v/>
      </c>
      <c r="P264" s="45"/>
      <c r="Q264" s="46" t="str">
        <f>IF(LEFT(N264,4)="Pass","Nist SP 800-88",My_Audit!R264)&amp;""</f>
        <v/>
      </c>
      <c r="R264" s="45"/>
      <c r="S264" s="45"/>
      <c r="T264" s="46" t="str">
        <f>_xlfn.XLOOKUP(E264,Models!I:I,Models!J:J,"")</f>
        <v/>
      </c>
      <c r="U264" s="45"/>
      <c r="V264" s="45"/>
      <c r="W264" s="38" t="str">
        <f>_xlfn.LET(
    _xlpm.MacVal, _xlfn.XLOOKUP($A264, Output_Mac!$A:$A, Output_Mac!AA:AA, ""),
    _xlpm.MyAuditVal, _xlfn.XLOOKUP($A264, My_Audit!$A:$A, My_Audit!L:L, ""),
    _xlfn.TEXTJOIN(", ", TRUE, _xlpm.MyAuditVal, _xlpm.MacVal)
)</f>
        <v/>
      </c>
    </row>
    <row r="265" spans="1:23">
      <c r="A265" s="45" t="str">
        <f>_xlfn.TEXTJOIN("",TRUE,Input!$B$2,ROW(My_Audit!A264))</f>
        <v>CC264</v>
      </c>
      <c r="B265" s="45" t="str">
        <f>_xlfn.TEXTJOIN("-",TRUE,"ITD",Input!$A$2,A265)</f>
        <v>ITD-XXX-CC264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 cm="1">
        <f t="array" ref="D265">IFERROR(_xlfn.LET(
_xlpm.CSVVal,_xlfn.XLOOKUP($A265,CSV!$A:$A,CSV!C:C,""),
_xlpm.MacVal,_xlfn.XLOOKUP($A265,Output_Mac!$A:$A,Output_Mac!D:D,""),
_xlpm.MyAuditVal,_xlfn.XLOOKUP($A265,My_Audit!$A:$A,My_Audit!C:C,""),
_xlfn.IFS(_xlpm.MyAuditVal&lt;&gt;"",UPPER(_xlpm.MyAuditVal),_xlpm.MacVal&lt;&gt;"",_xlpm.MacVal,_xlpm.CSVVal&lt;&gt;"",_xlpm.CSVVal
)),"")</f>
        <v/>
      </c>
      <c r="E265" s="46" t="str" cm="1">
        <f t="array" ref="E265">IFERROR(_xlfn.LET(
_xlpm.CSVVal,_xlfn.XLOOKUP($A265,CSV!$A:$A,CSV!E:E,""),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_xlpm.CSVVal,_xlfn.XLOOKUP($A265,CSV!$A:$A,CSV!G:G,""),
_xlpm.MacVal,_xlfn.XLOOKUP($A265,Output_Mac!$A:$A,Output_Mac!G:G,""),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_xlfn.XLOOKUP(A265,Output_Mac!A:A,Output_Mac!H:H,"")</f>
        <v/>
      </c>
      <c r="I265" s="45" t="str" cm="1">
        <f t="array" ref="I265">IFERROR(_xlfn.LET(
_xlpm.CSVVal,_xlfn.XLOOKUP($A265,CSV!$A:$A,CSV!H:H,""),
_xlpm.MacVal,_xlfn.XLOOKUP($A265,Output_Mac!$A:$A,Output_Mac!I:I,""),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_xlpm.CSVVal,_xlfn.XLOOKUP($A265,CSV!$A:$A,CSV!J:J,""),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46" t="str" cm="1">
        <f t="array" ref="K265">IFERROR(_xlfn.LET(
_xlpm.CSVVal,_xlfn.XLOOKUP($A265,CSV!$A:$A,CSV!N:N,""),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_xlpm.CSVVal,_xlfn.XLOOKUP($A265,CSV!$A:$A,CSV!Q:Q,""),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CSV!AE:AE,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_xlpm.CSVVal,_xlfn.XLOOKUP($A265,CSV!$A:$A,CSV!AG:AG,""),
_xlpm.MacVal,_xlfn.XLOOKUP($A265,Output_Mac!$A:$A,Output_Mac!T:T,""),
_xlpm.MyAuditVal,_xlfn.XLOOKUP($A265,My_Audit!$A:$A,My_Audit!O:O,""),
_xlfn.IFS(_xlpm.MyAuditVal&lt;&gt;"",UPPER(_xlpm.MyAuditVal),_xlpm.MacVal&lt;&gt;"",_xlpm.MacVal,_xlpm.CSVVal&lt;&gt;"",_xlpm.CSVVal
)),"")</f>
        <v/>
      </c>
      <c r="O265" s="46" t="str">
        <f>_xlfn.XLOOKUP(C265,My_Audit!B:B,My_Audit!P:P,"")&amp;""</f>
        <v/>
      </c>
      <c r="P265" s="45"/>
      <c r="Q265" s="46" t="str">
        <f>IF(LEFT(N265,4)="Pass","Nist SP 800-88",My_Audit!R265)&amp;""</f>
        <v/>
      </c>
      <c r="R265" s="45"/>
      <c r="S265" s="45"/>
      <c r="T265" s="46" t="str">
        <f>_xlfn.XLOOKUP(E265,Models!I:I,Models!J:J,"")</f>
        <v/>
      </c>
      <c r="U265" s="45"/>
      <c r="V265" s="45"/>
      <c r="W265" s="38" t="str">
        <f>_xlfn.LET(
    _xlpm.MacVal, _xlfn.XLOOKUP($A265, Output_Mac!$A:$A, Output_Mac!AA:AA, ""),
    _xlpm.MyAuditVal, _xlfn.XLOOKUP($A265, My_Audit!$A:$A, My_Audit!L:L, ""),
    _xlfn.TEXTJOIN(", ", TRUE, _xlpm.MyAuditVal, _xlpm.MacVal)
)</f>
        <v/>
      </c>
    </row>
    <row r="266" spans="1:23">
      <c r="A266" s="45" t="str">
        <f>_xlfn.TEXTJOIN("",TRUE,Input!$B$2,ROW(My_Audit!A265))</f>
        <v>CC265</v>
      </c>
      <c r="B266" s="45" t="str">
        <f>_xlfn.TEXTJOIN("-",TRUE,"ITD",Input!$A$2,A266)</f>
        <v>ITD-XXX-CC265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 cm="1">
        <f t="array" ref="D266">IFERROR(_xlfn.LET(
_xlpm.CSVVal,_xlfn.XLOOKUP($A266,CSV!$A:$A,CSV!C:C,""),
_xlpm.MacVal,_xlfn.XLOOKUP($A266,Output_Mac!$A:$A,Output_Mac!D:D,""),
_xlpm.MyAuditVal,_xlfn.XLOOKUP($A266,My_Audit!$A:$A,My_Audit!C:C,""),
_xlfn.IFS(_xlpm.MyAuditVal&lt;&gt;"",UPPER(_xlpm.MyAuditVal),_xlpm.MacVal&lt;&gt;"",_xlpm.MacVal,_xlpm.CSVVal&lt;&gt;"",_xlpm.CSVVal
)),"")</f>
        <v/>
      </c>
      <c r="E266" s="46" t="str" cm="1">
        <f t="array" ref="E266">IFERROR(_xlfn.LET(
_xlpm.CSVVal,_xlfn.XLOOKUP($A266,CSV!$A:$A,CSV!E:E,""),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_xlpm.CSVVal,_xlfn.XLOOKUP($A266,CSV!$A:$A,CSV!G:G,""),
_xlpm.MacVal,_xlfn.XLOOKUP($A266,Output_Mac!$A:$A,Output_Mac!G:G,""),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_xlfn.XLOOKUP(A266,Output_Mac!A:A,Output_Mac!H:H,"")</f>
        <v/>
      </c>
      <c r="I266" s="45" t="str" cm="1">
        <f t="array" ref="I266">IFERROR(_xlfn.LET(
_xlpm.CSVVal,_xlfn.XLOOKUP($A266,CSV!$A:$A,CSV!H:H,""),
_xlpm.MacVal,_xlfn.XLOOKUP($A266,Output_Mac!$A:$A,Output_Mac!I:I,""),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_xlpm.CSVVal,_xlfn.XLOOKUP($A266,CSV!$A:$A,CSV!J:J,""),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46" t="str" cm="1">
        <f t="array" ref="K266">IFERROR(_xlfn.LET(
_xlpm.CSVVal,_xlfn.XLOOKUP($A266,CSV!$A:$A,CSV!N:N,""),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_xlpm.CSVVal,_xlfn.XLOOKUP($A266,CSV!$A:$A,CSV!Q:Q,""),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CSV!AE:AE,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_xlpm.CSVVal,_xlfn.XLOOKUP($A266,CSV!$A:$A,CSV!AG:AG,""),
_xlpm.MacVal,_xlfn.XLOOKUP($A266,Output_Mac!$A:$A,Output_Mac!T:T,""),
_xlpm.MyAuditVal,_xlfn.XLOOKUP($A266,My_Audit!$A:$A,My_Audit!O:O,""),
_xlfn.IFS(_xlpm.MyAuditVal&lt;&gt;"",UPPER(_xlpm.MyAuditVal),_xlpm.MacVal&lt;&gt;"",_xlpm.MacVal,_xlpm.CSVVal&lt;&gt;"",_xlpm.CSVVal
)),"")</f>
        <v/>
      </c>
      <c r="O266" s="46" t="str">
        <f>_xlfn.XLOOKUP(C266,My_Audit!B:B,My_Audit!P:P,"")&amp;""</f>
        <v/>
      </c>
      <c r="P266" s="45"/>
      <c r="Q266" s="46" t="str">
        <f>IF(LEFT(N266,4)="Pass","Nist SP 800-88",My_Audit!R266)&amp;""</f>
        <v/>
      </c>
      <c r="R266" s="45"/>
      <c r="S266" s="45"/>
      <c r="T266" s="46" t="str">
        <f>_xlfn.XLOOKUP(E266,Models!I:I,Models!J:J,"")</f>
        <v/>
      </c>
      <c r="U266" s="45"/>
      <c r="V266" s="45"/>
      <c r="W266" s="38" t="str">
        <f>_xlfn.LET(
    _xlpm.MacVal, _xlfn.XLOOKUP($A266, Output_Mac!$A:$A, Output_Mac!AA:AA, ""),
    _xlpm.MyAuditVal, _xlfn.XLOOKUP($A266, My_Audit!$A:$A, My_Audit!L:L, ""),
    _xlfn.TEXTJOIN(", ", TRUE, _xlpm.MyAuditVal, _xlpm.MacVal)
)</f>
        <v/>
      </c>
    </row>
    <row r="267" spans="1:23">
      <c r="A267" s="45" t="str">
        <f>_xlfn.TEXTJOIN("",TRUE,Input!$B$2,ROW(My_Audit!A266))</f>
        <v>CC266</v>
      </c>
      <c r="B267" s="45" t="str">
        <f>_xlfn.TEXTJOIN("-",TRUE,"ITD",Input!$A$2,A267)</f>
        <v>ITD-XXX-CC266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 cm="1">
        <f t="array" ref="D267">IFERROR(_xlfn.LET(
_xlpm.CSVVal,_xlfn.XLOOKUP($A267,CSV!$A:$A,CSV!C:C,""),
_xlpm.MacVal,_xlfn.XLOOKUP($A267,Output_Mac!$A:$A,Output_Mac!D:D,""),
_xlpm.MyAuditVal,_xlfn.XLOOKUP($A267,My_Audit!$A:$A,My_Audit!C:C,""),
_xlfn.IFS(_xlpm.MyAuditVal&lt;&gt;"",UPPER(_xlpm.MyAuditVal),_xlpm.MacVal&lt;&gt;"",_xlpm.MacVal,_xlpm.CSVVal&lt;&gt;"",_xlpm.CSVVal
)),"")</f>
        <v/>
      </c>
      <c r="E267" s="46" t="str" cm="1">
        <f t="array" ref="E267">IFERROR(_xlfn.LET(
_xlpm.CSVVal,_xlfn.XLOOKUP($A267,CSV!$A:$A,CSV!E:E,""),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_xlpm.CSVVal,_xlfn.XLOOKUP($A267,CSV!$A:$A,CSV!G:G,""),
_xlpm.MacVal,_xlfn.XLOOKUP($A267,Output_Mac!$A:$A,Output_Mac!G:G,""),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_xlfn.XLOOKUP(A267,Output_Mac!A:A,Output_Mac!H:H,"")</f>
        <v/>
      </c>
      <c r="I267" s="45" t="str" cm="1">
        <f t="array" ref="I267">IFERROR(_xlfn.LET(
_xlpm.CSVVal,_xlfn.XLOOKUP($A267,CSV!$A:$A,CSV!H:H,""),
_xlpm.MacVal,_xlfn.XLOOKUP($A267,Output_Mac!$A:$A,Output_Mac!I:I,""),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_xlpm.CSVVal,_xlfn.XLOOKUP($A267,CSV!$A:$A,CSV!J:J,""),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46" t="str" cm="1">
        <f t="array" ref="K267">IFERROR(_xlfn.LET(
_xlpm.CSVVal,_xlfn.XLOOKUP($A267,CSV!$A:$A,CSV!N:N,""),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_xlpm.CSVVal,_xlfn.XLOOKUP($A267,CSV!$A:$A,CSV!Q:Q,""),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CSV!AE:AE,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_xlpm.CSVVal,_xlfn.XLOOKUP($A267,CSV!$A:$A,CSV!AG:AG,""),
_xlpm.MacVal,_xlfn.XLOOKUP($A267,Output_Mac!$A:$A,Output_Mac!T:T,""),
_xlpm.MyAuditVal,_xlfn.XLOOKUP($A267,My_Audit!$A:$A,My_Audit!O:O,""),
_xlfn.IFS(_xlpm.MyAuditVal&lt;&gt;"",UPPER(_xlpm.MyAuditVal),_xlpm.MacVal&lt;&gt;"",_xlpm.MacVal,_xlpm.CSVVal&lt;&gt;"",_xlpm.CSVVal
)),"")</f>
        <v/>
      </c>
      <c r="O267" s="46" t="str">
        <f>_xlfn.XLOOKUP(C267,My_Audit!B:B,My_Audit!P:P,"")&amp;""</f>
        <v/>
      </c>
      <c r="P267" s="45"/>
      <c r="Q267" s="46" t="str">
        <f>IF(LEFT(N267,4)="Pass","Nist SP 800-88",My_Audit!R267)&amp;""</f>
        <v/>
      </c>
      <c r="R267" s="45"/>
      <c r="S267" s="45"/>
      <c r="T267" s="46" t="str">
        <f>_xlfn.XLOOKUP(E267,Models!I:I,Models!J:J,"")</f>
        <v/>
      </c>
      <c r="U267" s="45"/>
      <c r="V267" s="45"/>
      <c r="W267" s="38" t="str">
        <f>_xlfn.LET(
    _xlpm.MacVal, _xlfn.XLOOKUP($A267, Output_Mac!$A:$A, Output_Mac!AA:AA, ""),
    _xlpm.MyAuditVal, _xlfn.XLOOKUP($A267, My_Audit!$A:$A, My_Audit!L:L, ""),
    _xlfn.TEXTJOIN(", ", TRUE, _xlpm.MyAuditVal, _xlpm.MacVal)
)</f>
        <v/>
      </c>
    </row>
    <row r="268" spans="1:23">
      <c r="A268" s="45" t="str">
        <f>_xlfn.TEXTJOIN("",TRUE,Input!$B$2,ROW(My_Audit!A267))</f>
        <v>CC267</v>
      </c>
      <c r="B268" s="45" t="str">
        <f>_xlfn.TEXTJOIN("-",TRUE,"ITD",Input!$A$2,A268)</f>
        <v>ITD-XXX-CC267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 cm="1">
        <f t="array" ref="D268">IFERROR(_xlfn.LET(
_xlpm.CSVVal,_xlfn.XLOOKUP($A268,CSV!$A:$A,CSV!C:C,""),
_xlpm.MacVal,_xlfn.XLOOKUP($A268,Output_Mac!$A:$A,Output_Mac!D:D,""),
_xlpm.MyAuditVal,_xlfn.XLOOKUP($A268,My_Audit!$A:$A,My_Audit!C:C,""),
_xlfn.IFS(_xlpm.MyAuditVal&lt;&gt;"",UPPER(_xlpm.MyAuditVal),_xlpm.MacVal&lt;&gt;"",_xlpm.MacVal,_xlpm.CSVVal&lt;&gt;"",_xlpm.CSVVal
)),"")</f>
        <v/>
      </c>
      <c r="E268" s="46" t="str" cm="1">
        <f t="array" ref="E268">IFERROR(_xlfn.LET(
_xlpm.CSVVal,_xlfn.XLOOKUP($A268,CSV!$A:$A,CSV!E:E,""),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_xlpm.CSVVal,_xlfn.XLOOKUP($A268,CSV!$A:$A,CSV!G:G,""),
_xlpm.MacVal,_xlfn.XLOOKUP($A268,Output_Mac!$A:$A,Output_Mac!G:G,""),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_xlfn.XLOOKUP(A268,Output_Mac!A:A,Output_Mac!H:H,"")</f>
        <v/>
      </c>
      <c r="I268" s="45" t="str" cm="1">
        <f t="array" ref="I268">IFERROR(_xlfn.LET(
_xlpm.CSVVal,_xlfn.XLOOKUP($A268,CSV!$A:$A,CSV!H:H,""),
_xlpm.MacVal,_xlfn.XLOOKUP($A268,Output_Mac!$A:$A,Output_Mac!I:I,""),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_xlpm.CSVVal,_xlfn.XLOOKUP($A268,CSV!$A:$A,CSV!J:J,""),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46" t="str" cm="1">
        <f t="array" ref="K268">IFERROR(_xlfn.LET(
_xlpm.CSVVal,_xlfn.XLOOKUP($A268,CSV!$A:$A,CSV!N:N,""),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_xlpm.CSVVal,_xlfn.XLOOKUP($A268,CSV!$A:$A,CSV!Q:Q,""),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CSV!AE:AE,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_xlpm.CSVVal,_xlfn.XLOOKUP($A268,CSV!$A:$A,CSV!AG:AG,""),
_xlpm.MacVal,_xlfn.XLOOKUP($A268,Output_Mac!$A:$A,Output_Mac!T:T,""),
_xlpm.MyAuditVal,_xlfn.XLOOKUP($A268,My_Audit!$A:$A,My_Audit!O:O,""),
_xlfn.IFS(_xlpm.MyAuditVal&lt;&gt;"",UPPER(_xlpm.MyAuditVal),_xlpm.MacVal&lt;&gt;"",_xlpm.MacVal,_xlpm.CSVVal&lt;&gt;"",_xlpm.CSVVal
)),"")</f>
        <v/>
      </c>
      <c r="O268" s="46" t="str">
        <f>_xlfn.XLOOKUP(C268,My_Audit!B:B,My_Audit!P:P,"")&amp;""</f>
        <v/>
      </c>
      <c r="P268" s="45"/>
      <c r="Q268" s="46" t="str">
        <f>IF(LEFT(N268,4)="Pass","Nist SP 800-88",My_Audit!R268)&amp;""</f>
        <v/>
      </c>
      <c r="R268" s="45"/>
      <c r="S268" s="45"/>
      <c r="T268" s="46" t="str">
        <f>_xlfn.XLOOKUP(E268,Models!I:I,Models!J:J,"")</f>
        <v/>
      </c>
      <c r="U268" s="45"/>
      <c r="V268" s="45"/>
      <c r="W268" s="38" t="str">
        <f>_xlfn.LET(
    _xlpm.MacVal, _xlfn.XLOOKUP($A268, Output_Mac!$A:$A, Output_Mac!AA:AA, ""),
    _xlpm.MyAuditVal, _xlfn.XLOOKUP($A268, My_Audit!$A:$A, My_Audit!L:L, ""),
    _xlfn.TEXTJOIN(", ", TRUE, _xlpm.MyAuditVal, _xlpm.MacVal)
)</f>
        <v/>
      </c>
    </row>
    <row r="269" spans="1:23">
      <c r="A269" s="45" t="str">
        <f>_xlfn.TEXTJOIN("",TRUE,Input!$B$2,ROW(My_Audit!A268))</f>
        <v>CC268</v>
      </c>
      <c r="B269" s="45" t="str">
        <f>_xlfn.TEXTJOIN("-",TRUE,"ITD",Input!$A$2,A269)</f>
        <v>ITD-XXX-CC268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 cm="1">
        <f t="array" ref="D269">IFERROR(_xlfn.LET(
_xlpm.CSVVal,_xlfn.XLOOKUP($A269,CSV!$A:$A,CSV!C:C,""),
_xlpm.MacVal,_xlfn.XLOOKUP($A269,Output_Mac!$A:$A,Output_Mac!D:D,""),
_xlpm.MyAuditVal,_xlfn.XLOOKUP($A269,My_Audit!$A:$A,My_Audit!C:C,""),
_xlfn.IFS(_xlpm.MyAuditVal&lt;&gt;"",UPPER(_xlpm.MyAuditVal),_xlpm.MacVal&lt;&gt;"",_xlpm.MacVal,_xlpm.CSVVal&lt;&gt;"",_xlpm.CSVVal
)),"")</f>
        <v/>
      </c>
      <c r="E269" s="46" t="str" cm="1">
        <f t="array" ref="E269">IFERROR(_xlfn.LET(
_xlpm.CSVVal,_xlfn.XLOOKUP($A269,CSV!$A:$A,CSV!E:E,""),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_xlpm.CSVVal,_xlfn.XLOOKUP($A269,CSV!$A:$A,CSV!G:G,""),
_xlpm.MacVal,_xlfn.XLOOKUP($A269,Output_Mac!$A:$A,Output_Mac!G:G,""),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_xlfn.XLOOKUP(A269,Output_Mac!A:A,Output_Mac!H:H,"")</f>
        <v/>
      </c>
      <c r="I269" s="45" t="str" cm="1">
        <f t="array" ref="I269">IFERROR(_xlfn.LET(
_xlpm.CSVVal,_xlfn.XLOOKUP($A269,CSV!$A:$A,CSV!H:H,""),
_xlpm.MacVal,_xlfn.XLOOKUP($A269,Output_Mac!$A:$A,Output_Mac!I:I,""),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_xlpm.CSVVal,_xlfn.XLOOKUP($A269,CSV!$A:$A,CSV!J:J,""),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46" t="str" cm="1">
        <f t="array" ref="K269">IFERROR(_xlfn.LET(
_xlpm.CSVVal,_xlfn.XLOOKUP($A269,CSV!$A:$A,CSV!N:N,""),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_xlpm.CSVVal,_xlfn.XLOOKUP($A269,CSV!$A:$A,CSV!Q:Q,""),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CSV!AE:AE,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_xlpm.CSVVal,_xlfn.XLOOKUP($A269,CSV!$A:$A,CSV!AG:AG,""),
_xlpm.MacVal,_xlfn.XLOOKUP($A269,Output_Mac!$A:$A,Output_Mac!T:T,""),
_xlpm.MyAuditVal,_xlfn.XLOOKUP($A269,My_Audit!$A:$A,My_Audit!O:O,""),
_xlfn.IFS(_xlpm.MyAuditVal&lt;&gt;"",UPPER(_xlpm.MyAuditVal),_xlpm.MacVal&lt;&gt;"",_xlpm.MacVal,_xlpm.CSVVal&lt;&gt;"",_xlpm.CSVVal
)),"")</f>
        <v/>
      </c>
      <c r="O269" s="46" t="str">
        <f>_xlfn.XLOOKUP(C269,My_Audit!B:B,My_Audit!P:P,"")&amp;""</f>
        <v/>
      </c>
      <c r="P269" s="45"/>
      <c r="Q269" s="46" t="str">
        <f>IF(LEFT(N269,4)="Pass","Nist SP 800-88",My_Audit!R269)&amp;""</f>
        <v/>
      </c>
      <c r="R269" s="45"/>
      <c r="S269" s="45"/>
      <c r="T269" s="46" t="str">
        <f>_xlfn.XLOOKUP(E269,Models!I:I,Models!J:J,"")</f>
        <v/>
      </c>
      <c r="U269" s="45"/>
      <c r="V269" s="45"/>
      <c r="W269" s="38" t="str">
        <f>_xlfn.LET(
    _xlpm.MacVal, _xlfn.XLOOKUP($A269, Output_Mac!$A:$A, Output_Mac!AA:AA, ""),
    _xlpm.MyAuditVal, _xlfn.XLOOKUP($A269, My_Audit!$A:$A, My_Audit!L:L, ""),
    _xlfn.TEXTJOIN(", ", TRUE, _xlpm.MyAuditVal, _xlpm.MacVal)
)</f>
        <v/>
      </c>
    </row>
    <row r="270" spans="1:23">
      <c r="A270" s="45" t="str">
        <f>_xlfn.TEXTJOIN("",TRUE,Input!$B$2,ROW(My_Audit!A269))</f>
        <v>CC269</v>
      </c>
      <c r="B270" s="45" t="str">
        <f>_xlfn.TEXTJOIN("-",TRUE,"ITD",Input!$A$2,A270)</f>
        <v>ITD-XXX-CC269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 cm="1">
        <f t="array" ref="D270">IFERROR(_xlfn.LET(
_xlpm.CSVVal,_xlfn.XLOOKUP($A270,CSV!$A:$A,CSV!C:C,""),
_xlpm.MacVal,_xlfn.XLOOKUP($A270,Output_Mac!$A:$A,Output_Mac!D:D,""),
_xlpm.MyAuditVal,_xlfn.XLOOKUP($A270,My_Audit!$A:$A,My_Audit!C:C,""),
_xlfn.IFS(_xlpm.MyAuditVal&lt;&gt;"",UPPER(_xlpm.MyAuditVal),_xlpm.MacVal&lt;&gt;"",_xlpm.MacVal,_xlpm.CSVVal&lt;&gt;"",_xlpm.CSVVal
)),"")</f>
        <v/>
      </c>
      <c r="E270" s="46" t="str" cm="1">
        <f t="array" ref="E270">IFERROR(_xlfn.LET(
_xlpm.CSVVal,_xlfn.XLOOKUP($A270,CSV!$A:$A,CSV!E:E,""),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_xlpm.CSVVal,_xlfn.XLOOKUP($A270,CSV!$A:$A,CSV!G:G,""),
_xlpm.MacVal,_xlfn.XLOOKUP($A270,Output_Mac!$A:$A,Output_Mac!G:G,""),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_xlfn.XLOOKUP(A270,Output_Mac!A:A,Output_Mac!H:H,"")</f>
        <v/>
      </c>
      <c r="I270" s="45" t="str" cm="1">
        <f t="array" ref="I270">IFERROR(_xlfn.LET(
_xlpm.CSVVal,_xlfn.XLOOKUP($A270,CSV!$A:$A,CSV!H:H,""),
_xlpm.MacVal,_xlfn.XLOOKUP($A270,Output_Mac!$A:$A,Output_Mac!I:I,""),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_xlpm.CSVVal,_xlfn.XLOOKUP($A270,CSV!$A:$A,CSV!J:J,""),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46" t="str" cm="1">
        <f t="array" ref="K270">IFERROR(_xlfn.LET(
_xlpm.CSVVal,_xlfn.XLOOKUP($A270,CSV!$A:$A,CSV!N:N,""),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_xlpm.CSVVal,_xlfn.XLOOKUP($A270,CSV!$A:$A,CSV!Q:Q,""),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CSV!AE:AE,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_xlpm.CSVVal,_xlfn.XLOOKUP($A270,CSV!$A:$A,CSV!AG:AG,""),
_xlpm.MacVal,_xlfn.XLOOKUP($A270,Output_Mac!$A:$A,Output_Mac!T:T,""),
_xlpm.MyAuditVal,_xlfn.XLOOKUP($A270,My_Audit!$A:$A,My_Audit!O:O,""),
_xlfn.IFS(_xlpm.MyAuditVal&lt;&gt;"",UPPER(_xlpm.MyAuditVal),_xlpm.MacVal&lt;&gt;"",_xlpm.MacVal,_xlpm.CSVVal&lt;&gt;"",_xlpm.CSVVal
)),"")</f>
        <v/>
      </c>
      <c r="O270" s="46" t="str">
        <f>_xlfn.XLOOKUP(C270,My_Audit!B:B,My_Audit!P:P,"")&amp;""</f>
        <v/>
      </c>
      <c r="P270" s="45"/>
      <c r="Q270" s="46" t="str">
        <f>IF(LEFT(N270,4)="Pass","Nist SP 800-88",My_Audit!R270)&amp;""</f>
        <v/>
      </c>
      <c r="R270" s="45"/>
      <c r="S270" s="45"/>
      <c r="T270" s="46" t="str">
        <f>_xlfn.XLOOKUP(E270,Models!I:I,Models!J:J,"")</f>
        <v/>
      </c>
      <c r="U270" s="45"/>
      <c r="V270" s="45"/>
      <c r="W270" s="38" t="str">
        <f>_xlfn.LET(
    _xlpm.MacVal, _xlfn.XLOOKUP($A270, Output_Mac!$A:$A, Output_Mac!AA:AA, ""),
    _xlpm.MyAuditVal, _xlfn.XLOOKUP($A270, My_Audit!$A:$A, My_Audit!L:L, ""),
    _xlfn.TEXTJOIN(", ", TRUE, _xlpm.MyAuditVal, _xlpm.MacVal)
)</f>
        <v/>
      </c>
    </row>
    <row r="271" spans="1:23">
      <c r="A271" s="45" t="str">
        <f>_xlfn.TEXTJOIN("",TRUE,Input!$B$2,ROW(My_Audit!A270))</f>
        <v>CC270</v>
      </c>
      <c r="B271" s="45" t="str">
        <f>_xlfn.TEXTJOIN("-",TRUE,"ITD",Input!$A$2,A271)</f>
        <v>ITD-XXX-CC270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 cm="1">
        <f t="array" ref="D271">IFERROR(_xlfn.LET(
_xlpm.CSVVal,_xlfn.XLOOKUP($A271,CSV!$A:$A,CSV!C:C,""),
_xlpm.MacVal,_xlfn.XLOOKUP($A271,Output_Mac!$A:$A,Output_Mac!D:D,""),
_xlpm.MyAuditVal,_xlfn.XLOOKUP($A271,My_Audit!$A:$A,My_Audit!C:C,""),
_xlfn.IFS(_xlpm.MyAuditVal&lt;&gt;"",UPPER(_xlpm.MyAuditVal),_xlpm.MacVal&lt;&gt;"",_xlpm.MacVal,_xlpm.CSVVal&lt;&gt;"",_xlpm.CSVVal
)),"")</f>
        <v/>
      </c>
      <c r="E271" s="46" t="str" cm="1">
        <f t="array" ref="E271">IFERROR(_xlfn.LET(
_xlpm.CSVVal,_xlfn.XLOOKUP($A271,CSV!$A:$A,CSV!E:E,""),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_xlpm.CSVVal,_xlfn.XLOOKUP($A271,CSV!$A:$A,CSV!G:G,""),
_xlpm.MacVal,_xlfn.XLOOKUP($A271,Output_Mac!$A:$A,Output_Mac!G:G,""),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_xlfn.XLOOKUP(A271,Output_Mac!A:A,Output_Mac!H:H,"")</f>
        <v/>
      </c>
      <c r="I271" s="45" t="str" cm="1">
        <f t="array" ref="I271">IFERROR(_xlfn.LET(
_xlpm.CSVVal,_xlfn.XLOOKUP($A271,CSV!$A:$A,CSV!H:H,""),
_xlpm.MacVal,_xlfn.XLOOKUP($A271,Output_Mac!$A:$A,Output_Mac!I:I,""),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_xlpm.CSVVal,_xlfn.XLOOKUP($A271,CSV!$A:$A,CSV!J:J,""),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46" t="str" cm="1">
        <f t="array" ref="K271">IFERROR(_xlfn.LET(
_xlpm.CSVVal,_xlfn.XLOOKUP($A271,CSV!$A:$A,CSV!N:N,""),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_xlpm.CSVVal,_xlfn.XLOOKUP($A271,CSV!$A:$A,CSV!Q:Q,""),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CSV!AE:AE,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_xlpm.CSVVal,_xlfn.XLOOKUP($A271,CSV!$A:$A,CSV!AG:AG,""),
_xlpm.MacVal,_xlfn.XLOOKUP($A271,Output_Mac!$A:$A,Output_Mac!T:T,""),
_xlpm.MyAuditVal,_xlfn.XLOOKUP($A271,My_Audit!$A:$A,My_Audit!O:O,""),
_xlfn.IFS(_xlpm.MyAuditVal&lt;&gt;"",UPPER(_xlpm.MyAuditVal),_xlpm.MacVal&lt;&gt;"",_xlpm.MacVal,_xlpm.CSVVal&lt;&gt;"",_xlpm.CSVVal
)),"")</f>
        <v/>
      </c>
      <c r="O271" s="46" t="str">
        <f>_xlfn.XLOOKUP(C271,My_Audit!B:B,My_Audit!P:P,"")&amp;""</f>
        <v/>
      </c>
      <c r="P271" s="45"/>
      <c r="Q271" s="46" t="str">
        <f>IF(LEFT(N271,4)="Pass","Nist SP 800-88",My_Audit!R271)&amp;""</f>
        <v/>
      </c>
      <c r="R271" s="45"/>
      <c r="S271" s="45"/>
      <c r="T271" s="46" t="str">
        <f>_xlfn.XLOOKUP(E271,Models!I:I,Models!J:J,"")</f>
        <v/>
      </c>
      <c r="U271" s="45"/>
      <c r="V271" s="45"/>
      <c r="W271" s="38" t="str">
        <f>_xlfn.LET(
    _xlpm.MacVal, _xlfn.XLOOKUP($A271, Output_Mac!$A:$A, Output_Mac!AA:AA, ""),
    _xlpm.MyAuditVal, _xlfn.XLOOKUP($A271, My_Audit!$A:$A, My_Audit!L:L, ""),
    _xlfn.TEXTJOIN(", ", TRUE, _xlpm.MyAuditVal, _xlpm.MacVal)
)</f>
        <v/>
      </c>
    </row>
    <row r="272" spans="1:23">
      <c r="A272" s="45" t="str">
        <f>_xlfn.TEXTJOIN("",TRUE,Input!$B$2,ROW(My_Audit!A271))</f>
        <v>CC271</v>
      </c>
      <c r="B272" s="45" t="str">
        <f>_xlfn.TEXTJOIN("-",TRUE,"ITD",Input!$A$2,A272)</f>
        <v>ITD-XXX-CC271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 cm="1">
        <f t="array" ref="D272">IFERROR(_xlfn.LET(
_xlpm.CSVVal,_xlfn.XLOOKUP($A272,CSV!$A:$A,CSV!C:C,""),
_xlpm.MacVal,_xlfn.XLOOKUP($A272,Output_Mac!$A:$A,Output_Mac!D:D,""),
_xlpm.MyAuditVal,_xlfn.XLOOKUP($A272,My_Audit!$A:$A,My_Audit!C:C,""),
_xlfn.IFS(_xlpm.MyAuditVal&lt;&gt;"",UPPER(_xlpm.MyAuditVal),_xlpm.MacVal&lt;&gt;"",_xlpm.MacVal,_xlpm.CSVVal&lt;&gt;"",_xlpm.CSVVal
)),"")</f>
        <v/>
      </c>
      <c r="E272" s="46" t="str" cm="1">
        <f t="array" ref="E272">IFERROR(_xlfn.LET(
_xlpm.CSVVal,_xlfn.XLOOKUP($A272,CSV!$A:$A,CSV!E:E,""),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_xlpm.CSVVal,_xlfn.XLOOKUP($A272,CSV!$A:$A,CSV!G:G,""),
_xlpm.MacVal,_xlfn.XLOOKUP($A272,Output_Mac!$A:$A,Output_Mac!G:G,""),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_xlfn.XLOOKUP(A272,Output_Mac!A:A,Output_Mac!H:H,"")</f>
        <v/>
      </c>
      <c r="I272" s="45" t="str" cm="1">
        <f t="array" ref="I272">IFERROR(_xlfn.LET(
_xlpm.CSVVal,_xlfn.XLOOKUP($A272,CSV!$A:$A,CSV!H:H,""),
_xlpm.MacVal,_xlfn.XLOOKUP($A272,Output_Mac!$A:$A,Output_Mac!I:I,""),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_xlpm.CSVVal,_xlfn.XLOOKUP($A272,CSV!$A:$A,CSV!J:J,""),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46" t="str" cm="1">
        <f t="array" ref="K272">IFERROR(_xlfn.LET(
_xlpm.CSVVal,_xlfn.XLOOKUP($A272,CSV!$A:$A,CSV!N:N,""),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_xlpm.CSVVal,_xlfn.XLOOKUP($A272,CSV!$A:$A,CSV!Q:Q,""),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CSV!AE:AE,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_xlpm.CSVVal,_xlfn.XLOOKUP($A272,CSV!$A:$A,CSV!AG:AG,""),
_xlpm.MacVal,_xlfn.XLOOKUP($A272,Output_Mac!$A:$A,Output_Mac!T:T,""),
_xlpm.MyAuditVal,_xlfn.XLOOKUP($A272,My_Audit!$A:$A,My_Audit!O:O,""),
_xlfn.IFS(_xlpm.MyAuditVal&lt;&gt;"",UPPER(_xlpm.MyAuditVal),_xlpm.MacVal&lt;&gt;"",_xlpm.MacVal,_xlpm.CSVVal&lt;&gt;"",_xlpm.CSVVal
)),"")</f>
        <v/>
      </c>
      <c r="O272" s="46" t="str">
        <f>_xlfn.XLOOKUP(C272,My_Audit!B:B,My_Audit!P:P,"")&amp;""</f>
        <v/>
      </c>
      <c r="P272" s="45"/>
      <c r="Q272" s="46" t="str">
        <f>IF(LEFT(N272,4)="Pass","Nist SP 800-88",My_Audit!R272)&amp;""</f>
        <v/>
      </c>
      <c r="R272" s="45"/>
      <c r="S272" s="45"/>
      <c r="T272" s="46" t="str">
        <f>_xlfn.XLOOKUP(E272,Models!I:I,Models!J:J,"")</f>
        <v/>
      </c>
      <c r="U272" s="45"/>
      <c r="V272" s="45"/>
      <c r="W272" s="38" t="str">
        <f>_xlfn.LET(
    _xlpm.MacVal, _xlfn.XLOOKUP($A272, Output_Mac!$A:$A, Output_Mac!AA:AA, ""),
    _xlpm.MyAuditVal, _xlfn.XLOOKUP($A272, My_Audit!$A:$A, My_Audit!L:L, ""),
    _xlfn.TEXTJOIN(", ", TRUE, _xlpm.MyAuditVal, _xlpm.MacVal)
)</f>
        <v/>
      </c>
    </row>
    <row r="273" spans="1:23">
      <c r="A273" s="45" t="str">
        <f>_xlfn.TEXTJOIN("",TRUE,Input!$B$2,ROW(My_Audit!A272))</f>
        <v>CC272</v>
      </c>
      <c r="B273" s="45" t="str">
        <f>_xlfn.TEXTJOIN("-",TRUE,"ITD",Input!$A$2,A273)</f>
        <v>ITD-XXX-CC272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 cm="1">
        <f t="array" ref="D273">IFERROR(_xlfn.LET(
_xlpm.CSVVal,_xlfn.XLOOKUP($A273,CSV!$A:$A,CSV!C:C,""),
_xlpm.MacVal,_xlfn.XLOOKUP($A273,Output_Mac!$A:$A,Output_Mac!D:D,""),
_xlpm.MyAuditVal,_xlfn.XLOOKUP($A273,My_Audit!$A:$A,My_Audit!C:C,""),
_xlfn.IFS(_xlpm.MyAuditVal&lt;&gt;"",UPPER(_xlpm.MyAuditVal),_xlpm.MacVal&lt;&gt;"",_xlpm.MacVal,_xlpm.CSVVal&lt;&gt;"",_xlpm.CSVVal
)),"")</f>
        <v/>
      </c>
      <c r="E273" s="46" t="str" cm="1">
        <f t="array" ref="E273">IFERROR(_xlfn.LET(
_xlpm.CSVVal,_xlfn.XLOOKUP($A273,CSV!$A:$A,CSV!E:E,""),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_xlpm.CSVVal,_xlfn.XLOOKUP($A273,CSV!$A:$A,CSV!G:G,""),
_xlpm.MacVal,_xlfn.XLOOKUP($A273,Output_Mac!$A:$A,Output_Mac!G:G,""),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_xlfn.XLOOKUP(A273,Output_Mac!A:A,Output_Mac!H:H,"")</f>
        <v/>
      </c>
      <c r="I273" s="45" t="str" cm="1">
        <f t="array" ref="I273">IFERROR(_xlfn.LET(
_xlpm.CSVVal,_xlfn.XLOOKUP($A273,CSV!$A:$A,CSV!H:H,""),
_xlpm.MacVal,_xlfn.XLOOKUP($A273,Output_Mac!$A:$A,Output_Mac!I:I,""),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_xlpm.CSVVal,_xlfn.XLOOKUP($A273,CSV!$A:$A,CSV!J:J,""),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46" t="str" cm="1">
        <f t="array" ref="K273">IFERROR(_xlfn.LET(
_xlpm.CSVVal,_xlfn.XLOOKUP($A273,CSV!$A:$A,CSV!N:N,""),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_xlpm.CSVVal,_xlfn.XLOOKUP($A273,CSV!$A:$A,CSV!Q:Q,""),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CSV!AE:AE,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_xlpm.CSVVal,_xlfn.XLOOKUP($A273,CSV!$A:$A,CSV!AG:AG,""),
_xlpm.MacVal,_xlfn.XLOOKUP($A273,Output_Mac!$A:$A,Output_Mac!T:T,""),
_xlpm.MyAuditVal,_xlfn.XLOOKUP($A273,My_Audit!$A:$A,My_Audit!O:O,""),
_xlfn.IFS(_xlpm.MyAuditVal&lt;&gt;"",UPPER(_xlpm.MyAuditVal),_xlpm.MacVal&lt;&gt;"",_xlpm.MacVal,_xlpm.CSVVal&lt;&gt;"",_xlpm.CSVVal
)),"")</f>
        <v/>
      </c>
      <c r="O273" s="46" t="str">
        <f>_xlfn.XLOOKUP(C273,My_Audit!B:B,My_Audit!P:P,"")&amp;""</f>
        <v/>
      </c>
      <c r="P273" s="45"/>
      <c r="Q273" s="46" t="str">
        <f>IF(LEFT(N273,4)="Pass","Nist SP 800-88",My_Audit!R273)&amp;""</f>
        <v/>
      </c>
      <c r="R273" s="45"/>
      <c r="S273" s="45"/>
      <c r="T273" s="46" t="str">
        <f>_xlfn.XLOOKUP(E273,Models!I:I,Models!J:J,"")</f>
        <v/>
      </c>
      <c r="U273" s="45"/>
      <c r="V273" s="45"/>
      <c r="W273" s="38" t="str">
        <f>_xlfn.LET(
    _xlpm.MacVal, _xlfn.XLOOKUP($A273, Output_Mac!$A:$A, Output_Mac!AA:AA, ""),
    _xlpm.MyAuditVal, _xlfn.XLOOKUP($A273, My_Audit!$A:$A, My_Audit!L:L, ""),
    _xlfn.TEXTJOIN(", ", TRUE, _xlpm.MyAuditVal, _xlpm.MacVal)
)</f>
        <v/>
      </c>
    </row>
    <row r="274" spans="1:23">
      <c r="A274" s="45" t="str">
        <f>_xlfn.TEXTJOIN("",TRUE,Input!$B$2,ROW(My_Audit!A273))</f>
        <v>CC273</v>
      </c>
      <c r="B274" s="45" t="str">
        <f>_xlfn.TEXTJOIN("-",TRUE,"ITD",Input!$A$2,A274)</f>
        <v>ITD-XXX-CC273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 cm="1">
        <f t="array" ref="D274">IFERROR(_xlfn.LET(
_xlpm.CSVVal,_xlfn.XLOOKUP($A274,CSV!$A:$A,CSV!C:C,""),
_xlpm.MacVal,_xlfn.XLOOKUP($A274,Output_Mac!$A:$A,Output_Mac!D:D,""),
_xlpm.MyAuditVal,_xlfn.XLOOKUP($A274,My_Audit!$A:$A,My_Audit!C:C,""),
_xlfn.IFS(_xlpm.MyAuditVal&lt;&gt;"",UPPER(_xlpm.MyAuditVal),_xlpm.MacVal&lt;&gt;"",_xlpm.MacVal,_xlpm.CSVVal&lt;&gt;"",_xlpm.CSVVal
)),"")</f>
        <v/>
      </c>
      <c r="E274" s="46" t="str" cm="1">
        <f t="array" ref="E274">IFERROR(_xlfn.LET(
_xlpm.CSVVal,_xlfn.XLOOKUP($A274,CSV!$A:$A,CSV!E:E,""),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_xlpm.CSVVal,_xlfn.XLOOKUP($A274,CSV!$A:$A,CSV!G:G,""),
_xlpm.MacVal,_xlfn.XLOOKUP($A274,Output_Mac!$A:$A,Output_Mac!G:G,""),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_xlfn.XLOOKUP(A274,Output_Mac!A:A,Output_Mac!H:H,"")</f>
        <v/>
      </c>
      <c r="I274" s="45" t="str" cm="1">
        <f t="array" ref="I274">IFERROR(_xlfn.LET(
_xlpm.CSVVal,_xlfn.XLOOKUP($A274,CSV!$A:$A,CSV!H:H,""),
_xlpm.MacVal,_xlfn.XLOOKUP($A274,Output_Mac!$A:$A,Output_Mac!I:I,""),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_xlpm.CSVVal,_xlfn.XLOOKUP($A274,CSV!$A:$A,CSV!J:J,""),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46" t="str" cm="1">
        <f t="array" ref="K274">IFERROR(_xlfn.LET(
_xlpm.CSVVal,_xlfn.XLOOKUP($A274,CSV!$A:$A,CSV!N:N,""),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_xlpm.CSVVal,_xlfn.XLOOKUP($A274,CSV!$A:$A,CSV!Q:Q,""),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CSV!AE:AE,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_xlpm.CSVVal,_xlfn.XLOOKUP($A274,CSV!$A:$A,CSV!AG:AG,""),
_xlpm.MacVal,_xlfn.XLOOKUP($A274,Output_Mac!$A:$A,Output_Mac!T:T,""),
_xlpm.MyAuditVal,_xlfn.XLOOKUP($A274,My_Audit!$A:$A,My_Audit!O:O,""),
_xlfn.IFS(_xlpm.MyAuditVal&lt;&gt;"",UPPER(_xlpm.MyAuditVal),_xlpm.MacVal&lt;&gt;"",_xlpm.MacVal,_xlpm.CSVVal&lt;&gt;"",_xlpm.CSVVal
)),"")</f>
        <v/>
      </c>
      <c r="O274" s="46" t="str">
        <f>_xlfn.XLOOKUP(C274,My_Audit!B:B,My_Audit!P:P,"")&amp;""</f>
        <v/>
      </c>
      <c r="P274" s="45"/>
      <c r="Q274" s="46" t="str">
        <f>IF(LEFT(N274,4)="Pass","Nist SP 800-88",My_Audit!R274)&amp;""</f>
        <v/>
      </c>
      <c r="R274" s="45"/>
      <c r="S274" s="45"/>
      <c r="T274" s="46" t="str">
        <f>_xlfn.XLOOKUP(E274,Models!I:I,Models!J:J,"")</f>
        <v/>
      </c>
      <c r="U274" s="45"/>
      <c r="V274" s="45"/>
      <c r="W274" s="38" t="str">
        <f>_xlfn.LET(
    _xlpm.MacVal, _xlfn.XLOOKUP($A274, Output_Mac!$A:$A, Output_Mac!AA:AA, ""),
    _xlpm.MyAuditVal, _xlfn.XLOOKUP($A274, My_Audit!$A:$A, My_Audit!L:L, ""),
    _xlfn.TEXTJOIN(", ", TRUE, _xlpm.MyAuditVal, _xlpm.MacVal)
)</f>
        <v/>
      </c>
    </row>
    <row r="275" spans="1:23">
      <c r="A275" s="45" t="str">
        <f>_xlfn.TEXTJOIN("",TRUE,Input!$B$2,ROW(My_Audit!A274))</f>
        <v>CC274</v>
      </c>
      <c r="B275" s="45" t="str">
        <f>_xlfn.TEXTJOIN("-",TRUE,"ITD",Input!$A$2,A275)</f>
        <v>ITD-XXX-CC274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 cm="1">
        <f t="array" ref="D275">IFERROR(_xlfn.LET(
_xlpm.CSVVal,_xlfn.XLOOKUP($A275,CSV!$A:$A,CSV!C:C,""),
_xlpm.MacVal,_xlfn.XLOOKUP($A275,Output_Mac!$A:$A,Output_Mac!D:D,""),
_xlpm.MyAuditVal,_xlfn.XLOOKUP($A275,My_Audit!$A:$A,My_Audit!C:C,""),
_xlfn.IFS(_xlpm.MyAuditVal&lt;&gt;"",UPPER(_xlpm.MyAuditVal),_xlpm.MacVal&lt;&gt;"",_xlpm.MacVal,_xlpm.CSVVal&lt;&gt;"",_xlpm.CSVVal
)),"")</f>
        <v/>
      </c>
      <c r="E275" s="46" t="str" cm="1">
        <f t="array" ref="E275">IFERROR(_xlfn.LET(
_xlpm.CSVVal,_xlfn.XLOOKUP($A275,CSV!$A:$A,CSV!E:E,""),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_xlpm.CSVVal,_xlfn.XLOOKUP($A275,CSV!$A:$A,CSV!G:G,""),
_xlpm.MacVal,_xlfn.XLOOKUP($A275,Output_Mac!$A:$A,Output_Mac!G:G,""),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_xlfn.XLOOKUP(A275,Output_Mac!A:A,Output_Mac!H:H,"")</f>
        <v/>
      </c>
      <c r="I275" s="45" t="str" cm="1">
        <f t="array" ref="I275">IFERROR(_xlfn.LET(
_xlpm.CSVVal,_xlfn.XLOOKUP($A275,CSV!$A:$A,CSV!H:H,""),
_xlpm.MacVal,_xlfn.XLOOKUP($A275,Output_Mac!$A:$A,Output_Mac!I:I,""),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_xlpm.CSVVal,_xlfn.XLOOKUP($A275,CSV!$A:$A,CSV!J:J,""),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46" t="str" cm="1">
        <f t="array" ref="K275">IFERROR(_xlfn.LET(
_xlpm.CSVVal,_xlfn.XLOOKUP($A275,CSV!$A:$A,CSV!N:N,""),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_xlpm.CSVVal,_xlfn.XLOOKUP($A275,CSV!$A:$A,CSV!Q:Q,""),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CSV!AE:AE,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_xlpm.CSVVal,_xlfn.XLOOKUP($A275,CSV!$A:$A,CSV!AG:AG,""),
_xlpm.MacVal,_xlfn.XLOOKUP($A275,Output_Mac!$A:$A,Output_Mac!T:T,""),
_xlpm.MyAuditVal,_xlfn.XLOOKUP($A275,My_Audit!$A:$A,My_Audit!O:O,""),
_xlfn.IFS(_xlpm.MyAuditVal&lt;&gt;"",UPPER(_xlpm.MyAuditVal),_xlpm.MacVal&lt;&gt;"",_xlpm.MacVal,_xlpm.CSVVal&lt;&gt;"",_xlpm.CSVVal
)),"")</f>
        <v/>
      </c>
      <c r="O275" s="46" t="str">
        <f>_xlfn.XLOOKUP(C275,My_Audit!B:B,My_Audit!P:P,"")&amp;""</f>
        <v/>
      </c>
      <c r="P275" s="45"/>
      <c r="Q275" s="46" t="str">
        <f>IF(LEFT(N275,4)="Pass","Nist SP 800-88",My_Audit!R275)&amp;""</f>
        <v/>
      </c>
      <c r="R275" s="45"/>
      <c r="S275" s="45"/>
      <c r="T275" s="46" t="str">
        <f>_xlfn.XLOOKUP(E275,Models!I:I,Models!J:J,"")</f>
        <v/>
      </c>
      <c r="U275" s="45"/>
      <c r="V275" s="45"/>
      <c r="W275" s="38" t="str">
        <f>_xlfn.LET(
    _xlpm.MacVal, _xlfn.XLOOKUP($A275, Output_Mac!$A:$A, Output_Mac!AA:AA, ""),
    _xlpm.MyAuditVal, _xlfn.XLOOKUP($A275, My_Audit!$A:$A, My_Audit!L:L, ""),
    _xlfn.TEXTJOIN(", ", TRUE, _xlpm.MyAuditVal, _xlpm.MacVal)
)</f>
        <v/>
      </c>
    </row>
    <row r="276" spans="1:23">
      <c r="A276" s="45" t="str">
        <f>_xlfn.TEXTJOIN("",TRUE,Input!$B$2,ROW(My_Audit!A275))</f>
        <v>CC275</v>
      </c>
      <c r="B276" s="45" t="str">
        <f>_xlfn.TEXTJOIN("-",TRUE,"ITD",Input!$A$2,A276)</f>
        <v>ITD-XXX-CC275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 cm="1">
        <f t="array" ref="D276">IFERROR(_xlfn.LET(
_xlpm.CSVVal,_xlfn.XLOOKUP($A276,CSV!$A:$A,CSV!C:C,""),
_xlpm.MacVal,_xlfn.XLOOKUP($A276,Output_Mac!$A:$A,Output_Mac!D:D,""),
_xlpm.MyAuditVal,_xlfn.XLOOKUP($A276,My_Audit!$A:$A,My_Audit!C:C,""),
_xlfn.IFS(_xlpm.MyAuditVal&lt;&gt;"",UPPER(_xlpm.MyAuditVal),_xlpm.MacVal&lt;&gt;"",_xlpm.MacVal,_xlpm.CSVVal&lt;&gt;"",_xlpm.CSVVal
)),"")</f>
        <v/>
      </c>
      <c r="E276" s="46" t="str" cm="1">
        <f t="array" ref="E276">IFERROR(_xlfn.LET(
_xlpm.CSVVal,_xlfn.XLOOKUP($A276,CSV!$A:$A,CSV!E:E,""),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_xlpm.CSVVal,_xlfn.XLOOKUP($A276,CSV!$A:$A,CSV!G:G,""),
_xlpm.MacVal,_xlfn.XLOOKUP($A276,Output_Mac!$A:$A,Output_Mac!G:G,""),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_xlfn.XLOOKUP(A276,Output_Mac!A:A,Output_Mac!H:H,"")</f>
        <v/>
      </c>
      <c r="I276" s="45" t="str" cm="1">
        <f t="array" ref="I276">IFERROR(_xlfn.LET(
_xlpm.CSVVal,_xlfn.XLOOKUP($A276,CSV!$A:$A,CSV!H:H,""),
_xlpm.MacVal,_xlfn.XLOOKUP($A276,Output_Mac!$A:$A,Output_Mac!I:I,""),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_xlpm.CSVVal,_xlfn.XLOOKUP($A276,CSV!$A:$A,CSV!J:J,""),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46" t="str" cm="1">
        <f t="array" ref="K276">IFERROR(_xlfn.LET(
_xlpm.CSVVal,_xlfn.XLOOKUP($A276,CSV!$A:$A,CSV!N:N,""),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_xlpm.CSVVal,_xlfn.XLOOKUP($A276,CSV!$A:$A,CSV!Q:Q,""),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CSV!AE:AE,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_xlpm.CSVVal,_xlfn.XLOOKUP($A276,CSV!$A:$A,CSV!AG:AG,""),
_xlpm.MacVal,_xlfn.XLOOKUP($A276,Output_Mac!$A:$A,Output_Mac!T:T,""),
_xlpm.MyAuditVal,_xlfn.XLOOKUP($A276,My_Audit!$A:$A,My_Audit!O:O,""),
_xlfn.IFS(_xlpm.MyAuditVal&lt;&gt;"",UPPER(_xlpm.MyAuditVal),_xlpm.MacVal&lt;&gt;"",_xlpm.MacVal,_xlpm.CSVVal&lt;&gt;"",_xlpm.CSVVal
)),"")</f>
        <v/>
      </c>
      <c r="O276" s="46" t="str">
        <f>_xlfn.XLOOKUP(C276,My_Audit!B:B,My_Audit!P:P,"")&amp;""</f>
        <v/>
      </c>
      <c r="P276" s="45"/>
      <c r="Q276" s="46" t="str">
        <f>IF(LEFT(N276,4)="Pass","Nist SP 800-88",My_Audit!R276)&amp;""</f>
        <v/>
      </c>
      <c r="R276" s="45"/>
      <c r="S276" s="45"/>
      <c r="T276" s="46" t="str">
        <f>_xlfn.XLOOKUP(E276,Models!I:I,Models!J:J,"")</f>
        <v/>
      </c>
      <c r="U276" s="45"/>
      <c r="V276" s="45"/>
      <c r="W276" s="38" t="str">
        <f>_xlfn.LET(
    _xlpm.MacVal, _xlfn.XLOOKUP($A276, Output_Mac!$A:$A, Output_Mac!AA:AA, ""),
    _xlpm.MyAuditVal, _xlfn.XLOOKUP($A276, My_Audit!$A:$A, My_Audit!L:L, ""),
    _xlfn.TEXTJOIN(", ", TRUE, _xlpm.MyAuditVal, _xlpm.MacVal)
)</f>
        <v/>
      </c>
    </row>
    <row r="277" spans="1:23">
      <c r="A277" s="45" t="str">
        <f>_xlfn.TEXTJOIN("",TRUE,Input!$B$2,ROW(My_Audit!A276))</f>
        <v>CC276</v>
      </c>
      <c r="B277" s="45" t="str">
        <f>_xlfn.TEXTJOIN("-",TRUE,"ITD",Input!$A$2,A277)</f>
        <v>ITD-XXX-CC276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 cm="1">
        <f t="array" ref="D277">IFERROR(_xlfn.LET(
_xlpm.CSVVal,_xlfn.XLOOKUP($A277,CSV!$A:$A,CSV!C:C,""),
_xlpm.MacVal,_xlfn.XLOOKUP($A277,Output_Mac!$A:$A,Output_Mac!D:D,""),
_xlpm.MyAuditVal,_xlfn.XLOOKUP($A277,My_Audit!$A:$A,My_Audit!C:C,""),
_xlfn.IFS(_xlpm.MyAuditVal&lt;&gt;"",UPPER(_xlpm.MyAuditVal),_xlpm.MacVal&lt;&gt;"",_xlpm.MacVal,_xlpm.CSVVal&lt;&gt;"",_xlpm.CSVVal
)),"")</f>
        <v/>
      </c>
      <c r="E277" s="46" t="str" cm="1">
        <f t="array" ref="E277">IFERROR(_xlfn.LET(
_xlpm.CSVVal,_xlfn.XLOOKUP($A277,CSV!$A:$A,CSV!E:E,""),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_xlpm.CSVVal,_xlfn.XLOOKUP($A277,CSV!$A:$A,CSV!G:G,""),
_xlpm.MacVal,_xlfn.XLOOKUP($A277,Output_Mac!$A:$A,Output_Mac!G:G,""),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_xlfn.XLOOKUP(A277,Output_Mac!A:A,Output_Mac!H:H,"")</f>
        <v/>
      </c>
      <c r="I277" s="45" t="str" cm="1">
        <f t="array" ref="I277">IFERROR(_xlfn.LET(
_xlpm.CSVVal,_xlfn.XLOOKUP($A277,CSV!$A:$A,CSV!H:H,""),
_xlpm.MacVal,_xlfn.XLOOKUP($A277,Output_Mac!$A:$A,Output_Mac!I:I,""),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_xlpm.CSVVal,_xlfn.XLOOKUP($A277,CSV!$A:$A,CSV!J:J,""),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46" t="str" cm="1">
        <f t="array" ref="K277">IFERROR(_xlfn.LET(
_xlpm.CSVVal,_xlfn.XLOOKUP($A277,CSV!$A:$A,CSV!N:N,""),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_xlpm.CSVVal,_xlfn.XLOOKUP($A277,CSV!$A:$A,CSV!Q:Q,""),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CSV!AE:AE,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_xlpm.CSVVal,_xlfn.XLOOKUP($A277,CSV!$A:$A,CSV!AG:AG,""),
_xlpm.MacVal,_xlfn.XLOOKUP($A277,Output_Mac!$A:$A,Output_Mac!T:T,""),
_xlpm.MyAuditVal,_xlfn.XLOOKUP($A277,My_Audit!$A:$A,My_Audit!O:O,""),
_xlfn.IFS(_xlpm.MyAuditVal&lt;&gt;"",UPPER(_xlpm.MyAuditVal),_xlpm.MacVal&lt;&gt;"",_xlpm.MacVal,_xlpm.CSVVal&lt;&gt;"",_xlpm.CSVVal
)),"")</f>
        <v/>
      </c>
      <c r="O277" s="46" t="str">
        <f>_xlfn.XLOOKUP(C277,My_Audit!B:B,My_Audit!P:P,"")&amp;""</f>
        <v/>
      </c>
      <c r="P277" s="45"/>
      <c r="Q277" s="46" t="str">
        <f>IF(LEFT(N277,4)="Pass","Nist SP 800-88",My_Audit!R277)&amp;""</f>
        <v/>
      </c>
      <c r="R277" s="45"/>
      <c r="S277" s="45"/>
      <c r="T277" s="46" t="str">
        <f>_xlfn.XLOOKUP(E277,Models!I:I,Models!J:J,"")</f>
        <v/>
      </c>
      <c r="U277" s="45"/>
      <c r="V277" s="45"/>
      <c r="W277" s="38" t="str">
        <f>_xlfn.LET(
    _xlpm.MacVal, _xlfn.XLOOKUP($A277, Output_Mac!$A:$A, Output_Mac!AA:AA, ""),
    _xlpm.MyAuditVal, _xlfn.XLOOKUP($A277, My_Audit!$A:$A, My_Audit!L:L, ""),
    _xlfn.TEXTJOIN(", ", TRUE, _xlpm.MyAuditVal, _xlpm.MacVal)
)</f>
        <v/>
      </c>
    </row>
    <row r="278" spans="1:23">
      <c r="A278" s="45" t="str">
        <f>_xlfn.TEXTJOIN("",TRUE,Input!$B$2,ROW(My_Audit!A277))</f>
        <v>CC277</v>
      </c>
      <c r="B278" s="45" t="str">
        <f>_xlfn.TEXTJOIN("-",TRUE,"ITD",Input!$A$2,A278)</f>
        <v>ITD-XXX-CC277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 cm="1">
        <f t="array" ref="D278">IFERROR(_xlfn.LET(
_xlpm.CSVVal,_xlfn.XLOOKUP($A278,CSV!$A:$A,CSV!C:C,""),
_xlpm.MacVal,_xlfn.XLOOKUP($A278,Output_Mac!$A:$A,Output_Mac!D:D,""),
_xlpm.MyAuditVal,_xlfn.XLOOKUP($A278,My_Audit!$A:$A,My_Audit!C:C,""),
_xlfn.IFS(_xlpm.MyAuditVal&lt;&gt;"",UPPER(_xlpm.MyAuditVal),_xlpm.MacVal&lt;&gt;"",_xlpm.MacVal,_xlpm.CSVVal&lt;&gt;"",_xlpm.CSVVal
)),"")</f>
        <v/>
      </c>
      <c r="E278" s="46" t="str" cm="1">
        <f t="array" ref="E278">IFERROR(_xlfn.LET(
_xlpm.CSVVal,_xlfn.XLOOKUP($A278,CSV!$A:$A,CSV!E:E,""),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_xlpm.CSVVal,_xlfn.XLOOKUP($A278,CSV!$A:$A,CSV!G:G,""),
_xlpm.MacVal,_xlfn.XLOOKUP($A278,Output_Mac!$A:$A,Output_Mac!G:G,""),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_xlfn.XLOOKUP(A278,Output_Mac!A:A,Output_Mac!H:H,"")</f>
        <v/>
      </c>
      <c r="I278" s="45" t="str" cm="1">
        <f t="array" ref="I278">IFERROR(_xlfn.LET(
_xlpm.CSVVal,_xlfn.XLOOKUP($A278,CSV!$A:$A,CSV!H:H,""),
_xlpm.MacVal,_xlfn.XLOOKUP($A278,Output_Mac!$A:$A,Output_Mac!I:I,""),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_xlpm.CSVVal,_xlfn.XLOOKUP($A278,CSV!$A:$A,CSV!J:J,""),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46" t="str" cm="1">
        <f t="array" ref="K278">IFERROR(_xlfn.LET(
_xlpm.CSVVal,_xlfn.XLOOKUP($A278,CSV!$A:$A,CSV!N:N,""),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_xlpm.CSVVal,_xlfn.XLOOKUP($A278,CSV!$A:$A,CSV!Q:Q,""),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CSV!AE:AE,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_xlpm.CSVVal,_xlfn.XLOOKUP($A278,CSV!$A:$A,CSV!AG:AG,""),
_xlpm.MacVal,_xlfn.XLOOKUP($A278,Output_Mac!$A:$A,Output_Mac!T:T,""),
_xlpm.MyAuditVal,_xlfn.XLOOKUP($A278,My_Audit!$A:$A,My_Audit!O:O,""),
_xlfn.IFS(_xlpm.MyAuditVal&lt;&gt;"",UPPER(_xlpm.MyAuditVal),_xlpm.MacVal&lt;&gt;"",_xlpm.MacVal,_xlpm.CSVVal&lt;&gt;"",_xlpm.CSVVal
)),"")</f>
        <v/>
      </c>
      <c r="O278" s="46" t="str">
        <f>_xlfn.XLOOKUP(C278,My_Audit!B:B,My_Audit!P:P,"")&amp;""</f>
        <v/>
      </c>
      <c r="P278" s="45"/>
      <c r="Q278" s="46" t="str">
        <f>IF(LEFT(N278,4)="Pass","Nist SP 800-88",My_Audit!R278)&amp;""</f>
        <v/>
      </c>
      <c r="R278" s="45"/>
      <c r="S278" s="45"/>
      <c r="T278" s="46" t="str">
        <f>_xlfn.XLOOKUP(E278,Models!I:I,Models!J:J,"")</f>
        <v/>
      </c>
      <c r="U278" s="45"/>
      <c r="V278" s="45"/>
      <c r="W278" s="38" t="str">
        <f>_xlfn.LET(
    _xlpm.MacVal, _xlfn.XLOOKUP($A278, Output_Mac!$A:$A, Output_Mac!AA:AA, ""),
    _xlpm.MyAuditVal, _xlfn.XLOOKUP($A278, My_Audit!$A:$A, My_Audit!L:L, ""),
    _xlfn.TEXTJOIN(", ", TRUE, _xlpm.MyAuditVal, _xlpm.MacVal)
)</f>
        <v/>
      </c>
    </row>
    <row r="279" spans="1:23">
      <c r="A279" s="45" t="str">
        <f>_xlfn.TEXTJOIN("",TRUE,Input!$B$2,ROW(My_Audit!A278))</f>
        <v>CC278</v>
      </c>
      <c r="B279" s="45" t="str">
        <f>_xlfn.TEXTJOIN("-",TRUE,"ITD",Input!$A$2,A279)</f>
        <v>ITD-XXX-CC278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 cm="1">
        <f t="array" ref="D279">IFERROR(_xlfn.LET(
_xlpm.CSVVal,_xlfn.XLOOKUP($A279,CSV!$A:$A,CSV!C:C,""),
_xlpm.MacVal,_xlfn.XLOOKUP($A279,Output_Mac!$A:$A,Output_Mac!D:D,""),
_xlpm.MyAuditVal,_xlfn.XLOOKUP($A279,My_Audit!$A:$A,My_Audit!C:C,""),
_xlfn.IFS(_xlpm.MyAuditVal&lt;&gt;"",UPPER(_xlpm.MyAuditVal),_xlpm.MacVal&lt;&gt;"",_xlpm.MacVal,_xlpm.CSVVal&lt;&gt;"",_xlpm.CSVVal
)),"")</f>
        <v/>
      </c>
      <c r="E279" s="46" t="str" cm="1">
        <f t="array" ref="E279">IFERROR(_xlfn.LET(
_xlpm.CSVVal,_xlfn.XLOOKUP($A279,CSV!$A:$A,CSV!E:E,""),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_xlpm.CSVVal,_xlfn.XLOOKUP($A279,CSV!$A:$A,CSV!G:G,""),
_xlpm.MacVal,_xlfn.XLOOKUP($A279,Output_Mac!$A:$A,Output_Mac!G:G,""),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_xlfn.XLOOKUP(A279,Output_Mac!A:A,Output_Mac!H:H,"")</f>
        <v/>
      </c>
      <c r="I279" s="45" t="str" cm="1">
        <f t="array" ref="I279">IFERROR(_xlfn.LET(
_xlpm.CSVVal,_xlfn.XLOOKUP($A279,CSV!$A:$A,CSV!H:H,""),
_xlpm.MacVal,_xlfn.XLOOKUP($A279,Output_Mac!$A:$A,Output_Mac!I:I,""),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_xlpm.CSVVal,_xlfn.XLOOKUP($A279,CSV!$A:$A,CSV!J:J,""),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46" t="str" cm="1">
        <f t="array" ref="K279">IFERROR(_xlfn.LET(
_xlpm.CSVVal,_xlfn.XLOOKUP($A279,CSV!$A:$A,CSV!N:N,""),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_xlpm.CSVVal,_xlfn.XLOOKUP($A279,CSV!$A:$A,CSV!Q:Q,""),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CSV!AE:AE,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_xlpm.CSVVal,_xlfn.XLOOKUP($A279,CSV!$A:$A,CSV!AG:AG,""),
_xlpm.MacVal,_xlfn.XLOOKUP($A279,Output_Mac!$A:$A,Output_Mac!T:T,""),
_xlpm.MyAuditVal,_xlfn.XLOOKUP($A279,My_Audit!$A:$A,My_Audit!O:O,""),
_xlfn.IFS(_xlpm.MyAuditVal&lt;&gt;"",UPPER(_xlpm.MyAuditVal),_xlpm.MacVal&lt;&gt;"",_xlpm.MacVal,_xlpm.CSVVal&lt;&gt;"",_xlpm.CSVVal
)),"")</f>
        <v/>
      </c>
      <c r="O279" s="46" t="str">
        <f>_xlfn.XLOOKUP(C279,My_Audit!B:B,My_Audit!P:P,"")&amp;""</f>
        <v/>
      </c>
      <c r="P279" s="45"/>
      <c r="Q279" s="46" t="str">
        <f>IF(LEFT(N279,4)="Pass","Nist SP 800-88",My_Audit!R279)&amp;""</f>
        <v/>
      </c>
      <c r="R279" s="45"/>
      <c r="S279" s="45"/>
      <c r="T279" s="46" t="str">
        <f>_xlfn.XLOOKUP(E279,Models!I:I,Models!J:J,"")</f>
        <v/>
      </c>
      <c r="U279" s="45"/>
      <c r="V279" s="45"/>
      <c r="W279" s="38" t="str">
        <f>_xlfn.LET(
    _xlpm.MacVal, _xlfn.XLOOKUP($A279, Output_Mac!$A:$A, Output_Mac!AA:AA, ""),
    _xlpm.MyAuditVal, _xlfn.XLOOKUP($A279, My_Audit!$A:$A, My_Audit!L:L, ""),
    _xlfn.TEXTJOIN(", ", TRUE, _xlpm.MyAuditVal, _xlpm.MacVal)
)</f>
        <v/>
      </c>
    </row>
    <row r="280" spans="1:23">
      <c r="A280" s="45" t="str">
        <f>_xlfn.TEXTJOIN("",TRUE,Input!$B$2,ROW(My_Audit!A279))</f>
        <v>CC279</v>
      </c>
      <c r="B280" s="45" t="str">
        <f>_xlfn.TEXTJOIN("-",TRUE,"ITD",Input!$A$2,A280)</f>
        <v>ITD-XXX-CC279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 cm="1">
        <f t="array" ref="D280">IFERROR(_xlfn.LET(
_xlpm.CSVVal,_xlfn.XLOOKUP($A280,CSV!$A:$A,CSV!C:C,""),
_xlpm.MacVal,_xlfn.XLOOKUP($A280,Output_Mac!$A:$A,Output_Mac!D:D,""),
_xlpm.MyAuditVal,_xlfn.XLOOKUP($A280,My_Audit!$A:$A,My_Audit!C:C,""),
_xlfn.IFS(_xlpm.MyAuditVal&lt;&gt;"",UPPER(_xlpm.MyAuditVal),_xlpm.MacVal&lt;&gt;"",_xlpm.MacVal,_xlpm.CSVVal&lt;&gt;"",_xlpm.CSVVal
)),"")</f>
        <v/>
      </c>
      <c r="E280" s="46" t="str" cm="1">
        <f t="array" ref="E280">IFERROR(_xlfn.LET(
_xlpm.CSVVal,_xlfn.XLOOKUP($A280,CSV!$A:$A,CSV!E:E,""),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_xlpm.CSVVal,_xlfn.XLOOKUP($A280,CSV!$A:$A,CSV!G:G,""),
_xlpm.MacVal,_xlfn.XLOOKUP($A280,Output_Mac!$A:$A,Output_Mac!G:G,""),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_xlfn.XLOOKUP(A280,Output_Mac!A:A,Output_Mac!H:H,"")</f>
        <v/>
      </c>
      <c r="I280" s="45" t="str" cm="1">
        <f t="array" ref="I280">IFERROR(_xlfn.LET(
_xlpm.CSVVal,_xlfn.XLOOKUP($A280,CSV!$A:$A,CSV!H:H,""),
_xlpm.MacVal,_xlfn.XLOOKUP($A280,Output_Mac!$A:$A,Output_Mac!I:I,""),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_xlpm.CSVVal,_xlfn.XLOOKUP($A280,CSV!$A:$A,CSV!J:J,""),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46" t="str" cm="1">
        <f t="array" ref="K280">IFERROR(_xlfn.LET(
_xlpm.CSVVal,_xlfn.XLOOKUP($A280,CSV!$A:$A,CSV!N:N,""),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_xlpm.CSVVal,_xlfn.XLOOKUP($A280,CSV!$A:$A,CSV!Q:Q,""),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CSV!AE:AE,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_xlpm.CSVVal,_xlfn.XLOOKUP($A280,CSV!$A:$A,CSV!AG:AG,""),
_xlpm.MacVal,_xlfn.XLOOKUP($A280,Output_Mac!$A:$A,Output_Mac!T:T,""),
_xlpm.MyAuditVal,_xlfn.XLOOKUP($A280,My_Audit!$A:$A,My_Audit!O:O,""),
_xlfn.IFS(_xlpm.MyAuditVal&lt;&gt;"",UPPER(_xlpm.MyAuditVal),_xlpm.MacVal&lt;&gt;"",_xlpm.MacVal,_xlpm.CSVVal&lt;&gt;"",_xlpm.CSVVal
)),"")</f>
        <v/>
      </c>
      <c r="O280" s="46" t="str">
        <f>_xlfn.XLOOKUP(C280,My_Audit!B:B,My_Audit!P:P,"")&amp;""</f>
        <v/>
      </c>
      <c r="P280" s="45"/>
      <c r="Q280" s="46" t="str">
        <f>IF(LEFT(N280,4)="Pass","Nist SP 800-88",My_Audit!R280)&amp;""</f>
        <v/>
      </c>
      <c r="R280" s="45"/>
      <c r="S280" s="45"/>
      <c r="T280" s="46" t="str">
        <f>_xlfn.XLOOKUP(E280,Models!I:I,Models!J:J,"")</f>
        <v/>
      </c>
      <c r="U280" s="45"/>
      <c r="V280" s="45"/>
      <c r="W280" s="38" t="str">
        <f>_xlfn.LET(
    _xlpm.MacVal, _xlfn.XLOOKUP($A280, Output_Mac!$A:$A, Output_Mac!AA:AA, ""),
    _xlpm.MyAuditVal, _xlfn.XLOOKUP($A280, My_Audit!$A:$A, My_Audit!L:L, ""),
    _xlfn.TEXTJOIN(", ", TRUE, _xlpm.MyAuditVal, _xlpm.MacVal)
)</f>
        <v/>
      </c>
    </row>
    <row r="281" spans="1:23">
      <c r="A281" s="45" t="str">
        <f>_xlfn.TEXTJOIN("",TRUE,Input!$B$2,ROW(My_Audit!A280))</f>
        <v>CC280</v>
      </c>
      <c r="B281" s="45" t="str">
        <f>_xlfn.TEXTJOIN("-",TRUE,"ITD",Input!$A$2,A281)</f>
        <v>ITD-XXX-CC280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 cm="1">
        <f t="array" ref="D281">IFERROR(_xlfn.LET(
_xlpm.CSVVal,_xlfn.XLOOKUP($A281,CSV!$A:$A,CSV!C:C,""),
_xlpm.MacVal,_xlfn.XLOOKUP($A281,Output_Mac!$A:$A,Output_Mac!D:D,""),
_xlpm.MyAuditVal,_xlfn.XLOOKUP($A281,My_Audit!$A:$A,My_Audit!C:C,""),
_xlfn.IFS(_xlpm.MyAuditVal&lt;&gt;"",UPPER(_xlpm.MyAuditVal),_xlpm.MacVal&lt;&gt;"",_xlpm.MacVal,_xlpm.CSVVal&lt;&gt;"",_xlpm.CSVVal
)),"")</f>
        <v/>
      </c>
      <c r="E281" s="46" t="str" cm="1">
        <f t="array" ref="E281">IFERROR(_xlfn.LET(
_xlpm.CSVVal,_xlfn.XLOOKUP($A281,CSV!$A:$A,CSV!E:E,""),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_xlpm.CSVVal,_xlfn.XLOOKUP($A281,CSV!$A:$A,CSV!G:G,""),
_xlpm.MacVal,_xlfn.XLOOKUP($A281,Output_Mac!$A:$A,Output_Mac!G:G,""),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_xlfn.XLOOKUP(A281,Output_Mac!A:A,Output_Mac!H:H,"")</f>
        <v/>
      </c>
      <c r="I281" s="45" t="str" cm="1">
        <f t="array" ref="I281">IFERROR(_xlfn.LET(
_xlpm.CSVVal,_xlfn.XLOOKUP($A281,CSV!$A:$A,CSV!H:H,""),
_xlpm.MacVal,_xlfn.XLOOKUP($A281,Output_Mac!$A:$A,Output_Mac!I:I,""),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_xlpm.CSVVal,_xlfn.XLOOKUP($A281,CSV!$A:$A,CSV!J:J,""),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46" t="str" cm="1">
        <f t="array" ref="K281">IFERROR(_xlfn.LET(
_xlpm.CSVVal,_xlfn.XLOOKUP($A281,CSV!$A:$A,CSV!N:N,""),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_xlpm.CSVVal,_xlfn.XLOOKUP($A281,CSV!$A:$A,CSV!Q:Q,""),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CSV!AE:AE,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_xlpm.CSVVal,_xlfn.XLOOKUP($A281,CSV!$A:$A,CSV!AG:AG,""),
_xlpm.MacVal,_xlfn.XLOOKUP($A281,Output_Mac!$A:$A,Output_Mac!T:T,""),
_xlpm.MyAuditVal,_xlfn.XLOOKUP($A281,My_Audit!$A:$A,My_Audit!O:O,""),
_xlfn.IFS(_xlpm.MyAuditVal&lt;&gt;"",UPPER(_xlpm.MyAuditVal),_xlpm.MacVal&lt;&gt;"",_xlpm.MacVal,_xlpm.CSVVal&lt;&gt;"",_xlpm.CSVVal
)),"")</f>
        <v/>
      </c>
      <c r="O281" s="46" t="str">
        <f>_xlfn.XLOOKUP(C281,My_Audit!B:B,My_Audit!P:P,"")&amp;""</f>
        <v/>
      </c>
      <c r="P281" s="45"/>
      <c r="Q281" s="46" t="str">
        <f>IF(LEFT(N281,4)="Pass","Nist SP 800-88",My_Audit!R281)&amp;""</f>
        <v/>
      </c>
      <c r="R281" s="45"/>
      <c r="S281" s="45"/>
      <c r="T281" s="46" t="str">
        <f>_xlfn.XLOOKUP(E281,Models!I:I,Models!J:J,"")</f>
        <v/>
      </c>
      <c r="U281" s="45"/>
      <c r="V281" s="45"/>
      <c r="W281" s="38" t="str">
        <f>_xlfn.LET(
    _xlpm.MacVal, _xlfn.XLOOKUP($A281, Output_Mac!$A:$A, Output_Mac!AA:AA, ""),
    _xlpm.MyAuditVal, _xlfn.XLOOKUP($A281, My_Audit!$A:$A, My_Audit!L:L, ""),
    _xlfn.TEXTJOIN(", ", TRUE, _xlpm.MyAuditVal, _xlpm.MacVal)
)</f>
        <v/>
      </c>
    </row>
    <row r="282" spans="1:23">
      <c r="A282" s="45" t="str">
        <f>_xlfn.TEXTJOIN("",TRUE,Input!$B$2,ROW(My_Audit!A281))</f>
        <v>CC281</v>
      </c>
      <c r="B282" s="45" t="str">
        <f>_xlfn.TEXTJOIN("-",TRUE,"ITD",Input!$A$2,A282)</f>
        <v>ITD-XXX-CC281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 cm="1">
        <f t="array" ref="D282">IFERROR(_xlfn.LET(
_xlpm.CSVVal,_xlfn.XLOOKUP($A282,CSV!$A:$A,CSV!C:C,""),
_xlpm.MacVal,_xlfn.XLOOKUP($A282,Output_Mac!$A:$A,Output_Mac!D:D,""),
_xlpm.MyAuditVal,_xlfn.XLOOKUP($A282,My_Audit!$A:$A,My_Audit!C:C,""),
_xlfn.IFS(_xlpm.MyAuditVal&lt;&gt;"",UPPER(_xlpm.MyAuditVal),_xlpm.MacVal&lt;&gt;"",_xlpm.MacVal,_xlpm.CSVVal&lt;&gt;"",_xlpm.CSVVal
)),"")</f>
        <v/>
      </c>
      <c r="E282" s="46" t="str" cm="1">
        <f t="array" ref="E282">IFERROR(_xlfn.LET(
_xlpm.CSVVal,_xlfn.XLOOKUP($A282,CSV!$A:$A,CSV!E:E,""),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_xlpm.CSVVal,_xlfn.XLOOKUP($A282,CSV!$A:$A,CSV!G:G,""),
_xlpm.MacVal,_xlfn.XLOOKUP($A282,Output_Mac!$A:$A,Output_Mac!G:G,""),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_xlfn.XLOOKUP(A282,Output_Mac!A:A,Output_Mac!H:H,"")</f>
        <v/>
      </c>
      <c r="I282" s="45" t="str" cm="1">
        <f t="array" ref="I282">IFERROR(_xlfn.LET(
_xlpm.CSVVal,_xlfn.XLOOKUP($A282,CSV!$A:$A,CSV!H:H,""),
_xlpm.MacVal,_xlfn.XLOOKUP($A282,Output_Mac!$A:$A,Output_Mac!I:I,""),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_xlpm.CSVVal,_xlfn.XLOOKUP($A282,CSV!$A:$A,CSV!J:J,""),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46" t="str" cm="1">
        <f t="array" ref="K282">IFERROR(_xlfn.LET(
_xlpm.CSVVal,_xlfn.XLOOKUP($A282,CSV!$A:$A,CSV!N:N,""),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_xlpm.CSVVal,_xlfn.XLOOKUP($A282,CSV!$A:$A,CSV!Q:Q,""),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CSV!AE:AE,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_xlpm.CSVVal,_xlfn.XLOOKUP($A282,CSV!$A:$A,CSV!AG:AG,""),
_xlpm.MacVal,_xlfn.XLOOKUP($A282,Output_Mac!$A:$A,Output_Mac!T:T,""),
_xlpm.MyAuditVal,_xlfn.XLOOKUP($A282,My_Audit!$A:$A,My_Audit!O:O,""),
_xlfn.IFS(_xlpm.MyAuditVal&lt;&gt;"",UPPER(_xlpm.MyAuditVal),_xlpm.MacVal&lt;&gt;"",_xlpm.MacVal,_xlpm.CSVVal&lt;&gt;"",_xlpm.CSVVal
)),"")</f>
        <v/>
      </c>
      <c r="O282" s="46" t="str">
        <f>_xlfn.XLOOKUP(C282,My_Audit!B:B,My_Audit!P:P,"")&amp;""</f>
        <v/>
      </c>
      <c r="P282" s="45"/>
      <c r="Q282" s="46" t="str">
        <f>IF(LEFT(N282,4)="Pass","Nist SP 800-88",My_Audit!R282)&amp;""</f>
        <v/>
      </c>
      <c r="R282" s="45"/>
      <c r="S282" s="45"/>
      <c r="T282" s="46" t="str">
        <f>_xlfn.XLOOKUP(E282,Models!I:I,Models!J:J,"")</f>
        <v/>
      </c>
      <c r="U282" s="45"/>
      <c r="V282" s="45"/>
      <c r="W282" s="38" t="str">
        <f>_xlfn.LET(
    _xlpm.MacVal, _xlfn.XLOOKUP($A282, Output_Mac!$A:$A, Output_Mac!AA:AA, ""),
    _xlpm.MyAuditVal, _xlfn.XLOOKUP($A282, My_Audit!$A:$A, My_Audit!L:L, ""),
    _xlfn.TEXTJOIN(", ", TRUE, _xlpm.MyAuditVal, _xlpm.MacVal)
)</f>
        <v/>
      </c>
    </row>
    <row r="283" spans="1:23">
      <c r="A283" s="45" t="str">
        <f>_xlfn.TEXTJOIN("",TRUE,Input!$B$2,ROW(My_Audit!A282))</f>
        <v>CC282</v>
      </c>
      <c r="B283" s="45" t="str">
        <f>_xlfn.TEXTJOIN("-",TRUE,"ITD",Input!$A$2,A283)</f>
        <v>ITD-XXX-CC282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 cm="1">
        <f t="array" ref="D283">IFERROR(_xlfn.LET(
_xlpm.CSVVal,_xlfn.XLOOKUP($A283,CSV!$A:$A,CSV!C:C,""),
_xlpm.MacVal,_xlfn.XLOOKUP($A283,Output_Mac!$A:$A,Output_Mac!D:D,""),
_xlpm.MyAuditVal,_xlfn.XLOOKUP($A283,My_Audit!$A:$A,My_Audit!C:C,""),
_xlfn.IFS(_xlpm.MyAuditVal&lt;&gt;"",UPPER(_xlpm.MyAuditVal),_xlpm.MacVal&lt;&gt;"",_xlpm.MacVal,_xlpm.CSVVal&lt;&gt;"",_xlpm.CSVVal
)),"")</f>
        <v/>
      </c>
      <c r="E283" s="46" t="str" cm="1">
        <f t="array" ref="E283">IFERROR(_xlfn.LET(
_xlpm.CSVVal,_xlfn.XLOOKUP($A283,CSV!$A:$A,CSV!E:E,""),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_xlpm.CSVVal,_xlfn.XLOOKUP($A283,CSV!$A:$A,CSV!G:G,""),
_xlpm.MacVal,_xlfn.XLOOKUP($A283,Output_Mac!$A:$A,Output_Mac!G:G,""),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_xlfn.XLOOKUP(A283,Output_Mac!A:A,Output_Mac!H:H,"")</f>
        <v/>
      </c>
      <c r="I283" s="45" t="str" cm="1">
        <f t="array" ref="I283">IFERROR(_xlfn.LET(
_xlpm.CSVVal,_xlfn.XLOOKUP($A283,CSV!$A:$A,CSV!H:H,""),
_xlpm.MacVal,_xlfn.XLOOKUP($A283,Output_Mac!$A:$A,Output_Mac!I:I,""),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_xlpm.CSVVal,_xlfn.XLOOKUP($A283,CSV!$A:$A,CSV!J:J,""),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46" t="str" cm="1">
        <f t="array" ref="K283">IFERROR(_xlfn.LET(
_xlpm.CSVVal,_xlfn.XLOOKUP($A283,CSV!$A:$A,CSV!N:N,""),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_xlpm.CSVVal,_xlfn.XLOOKUP($A283,CSV!$A:$A,CSV!Q:Q,""),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CSV!AE:AE,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_xlpm.CSVVal,_xlfn.XLOOKUP($A283,CSV!$A:$A,CSV!AG:AG,""),
_xlpm.MacVal,_xlfn.XLOOKUP($A283,Output_Mac!$A:$A,Output_Mac!T:T,""),
_xlpm.MyAuditVal,_xlfn.XLOOKUP($A283,My_Audit!$A:$A,My_Audit!O:O,""),
_xlfn.IFS(_xlpm.MyAuditVal&lt;&gt;"",UPPER(_xlpm.MyAuditVal),_xlpm.MacVal&lt;&gt;"",_xlpm.MacVal,_xlpm.CSVVal&lt;&gt;"",_xlpm.CSVVal
)),"")</f>
        <v/>
      </c>
      <c r="O283" s="46" t="str">
        <f>_xlfn.XLOOKUP(C283,My_Audit!B:B,My_Audit!P:P,"")&amp;""</f>
        <v/>
      </c>
      <c r="P283" s="45"/>
      <c r="Q283" s="46" t="str">
        <f>IF(LEFT(N283,4)="Pass","Nist SP 800-88",My_Audit!R283)&amp;""</f>
        <v/>
      </c>
      <c r="R283" s="45"/>
      <c r="S283" s="45"/>
      <c r="T283" s="46" t="str">
        <f>_xlfn.XLOOKUP(E283,Models!I:I,Models!J:J,"")</f>
        <v/>
      </c>
      <c r="U283" s="45"/>
      <c r="V283" s="45"/>
      <c r="W283" s="38" t="str">
        <f>_xlfn.LET(
    _xlpm.MacVal, _xlfn.XLOOKUP($A283, Output_Mac!$A:$A, Output_Mac!AA:AA, ""),
    _xlpm.MyAuditVal, _xlfn.XLOOKUP($A283, My_Audit!$A:$A, My_Audit!L:L, ""),
    _xlfn.TEXTJOIN(", ", TRUE, _xlpm.MyAuditVal, _xlpm.MacVal)
)</f>
        <v/>
      </c>
    </row>
    <row r="284" spans="1:23">
      <c r="A284" s="45" t="str">
        <f>_xlfn.TEXTJOIN("",TRUE,Input!$B$2,ROW(My_Audit!A283))</f>
        <v>CC283</v>
      </c>
      <c r="B284" s="45" t="str">
        <f>_xlfn.TEXTJOIN("-",TRUE,"ITD",Input!$A$2,A284)</f>
        <v>ITD-XXX-CC283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 cm="1">
        <f t="array" ref="D284">IFERROR(_xlfn.LET(
_xlpm.CSVVal,_xlfn.XLOOKUP($A284,CSV!$A:$A,CSV!C:C,""),
_xlpm.MacVal,_xlfn.XLOOKUP($A284,Output_Mac!$A:$A,Output_Mac!D:D,""),
_xlpm.MyAuditVal,_xlfn.XLOOKUP($A284,My_Audit!$A:$A,My_Audit!C:C,""),
_xlfn.IFS(_xlpm.MyAuditVal&lt;&gt;"",UPPER(_xlpm.MyAuditVal),_xlpm.MacVal&lt;&gt;"",_xlpm.MacVal,_xlpm.CSVVal&lt;&gt;"",_xlpm.CSVVal
)),"")</f>
        <v/>
      </c>
      <c r="E284" s="46" t="str" cm="1">
        <f t="array" ref="E284">IFERROR(_xlfn.LET(
_xlpm.CSVVal,_xlfn.XLOOKUP($A284,CSV!$A:$A,CSV!E:E,""),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_xlpm.CSVVal,_xlfn.XLOOKUP($A284,CSV!$A:$A,CSV!G:G,""),
_xlpm.MacVal,_xlfn.XLOOKUP($A284,Output_Mac!$A:$A,Output_Mac!G:G,""),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_xlfn.XLOOKUP(A284,Output_Mac!A:A,Output_Mac!H:H,"")</f>
        <v/>
      </c>
      <c r="I284" s="45" t="str" cm="1">
        <f t="array" ref="I284">IFERROR(_xlfn.LET(
_xlpm.CSVVal,_xlfn.XLOOKUP($A284,CSV!$A:$A,CSV!H:H,""),
_xlpm.MacVal,_xlfn.XLOOKUP($A284,Output_Mac!$A:$A,Output_Mac!I:I,""),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_xlpm.CSVVal,_xlfn.XLOOKUP($A284,CSV!$A:$A,CSV!J:J,""),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46" t="str" cm="1">
        <f t="array" ref="K284">IFERROR(_xlfn.LET(
_xlpm.CSVVal,_xlfn.XLOOKUP($A284,CSV!$A:$A,CSV!N:N,""),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_xlpm.CSVVal,_xlfn.XLOOKUP($A284,CSV!$A:$A,CSV!Q:Q,""),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CSV!AE:AE,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_xlpm.CSVVal,_xlfn.XLOOKUP($A284,CSV!$A:$A,CSV!AG:AG,""),
_xlpm.MacVal,_xlfn.XLOOKUP($A284,Output_Mac!$A:$A,Output_Mac!T:T,""),
_xlpm.MyAuditVal,_xlfn.XLOOKUP($A284,My_Audit!$A:$A,My_Audit!O:O,""),
_xlfn.IFS(_xlpm.MyAuditVal&lt;&gt;"",UPPER(_xlpm.MyAuditVal),_xlpm.MacVal&lt;&gt;"",_xlpm.MacVal,_xlpm.CSVVal&lt;&gt;"",_xlpm.CSVVal
)),"")</f>
        <v/>
      </c>
      <c r="O284" s="46" t="str">
        <f>_xlfn.XLOOKUP(C284,My_Audit!B:B,My_Audit!P:P,"")&amp;""</f>
        <v/>
      </c>
      <c r="P284" s="45"/>
      <c r="Q284" s="46" t="str">
        <f>IF(LEFT(N284,4)="Pass","Nist SP 800-88",My_Audit!R284)&amp;""</f>
        <v/>
      </c>
      <c r="R284" s="45"/>
      <c r="S284" s="45"/>
      <c r="T284" s="46" t="str">
        <f>_xlfn.XLOOKUP(E284,Models!I:I,Models!J:J,"")</f>
        <v/>
      </c>
      <c r="U284" s="45"/>
      <c r="V284" s="45"/>
      <c r="W284" s="38" t="str">
        <f>_xlfn.LET(
    _xlpm.MacVal, _xlfn.XLOOKUP($A284, Output_Mac!$A:$A, Output_Mac!AA:AA, ""),
    _xlpm.MyAuditVal, _xlfn.XLOOKUP($A284, My_Audit!$A:$A, My_Audit!L:L, ""),
    _xlfn.TEXTJOIN(", ", TRUE, _xlpm.MyAuditVal, _xlpm.MacVal)
)</f>
        <v/>
      </c>
    </row>
    <row r="285" spans="1:23">
      <c r="A285" s="45" t="str">
        <f>_xlfn.TEXTJOIN("",TRUE,Input!$B$2,ROW(My_Audit!A284))</f>
        <v>CC284</v>
      </c>
      <c r="B285" s="45" t="str">
        <f>_xlfn.TEXTJOIN("-",TRUE,"ITD",Input!$A$2,A285)</f>
        <v>ITD-XXX-CC284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 cm="1">
        <f t="array" ref="D285">IFERROR(_xlfn.LET(
_xlpm.CSVVal,_xlfn.XLOOKUP($A285,CSV!$A:$A,CSV!C:C,""),
_xlpm.MacVal,_xlfn.XLOOKUP($A285,Output_Mac!$A:$A,Output_Mac!D:D,""),
_xlpm.MyAuditVal,_xlfn.XLOOKUP($A285,My_Audit!$A:$A,My_Audit!C:C,""),
_xlfn.IFS(_xlpm.MyAuditVal&lt;&gt;"",UPPER(_xlpm.MyAuditVal),_xlpm.MacVal&lt;&gt;"",_xlpm.MacVal,_xlpm.CSVVal&lt;&gt;"",_xlpm.CSVVal
)),"")</f>
        <v/>
      </c>
      <c r="E285" s="46" t="str" cm="1">
        <f t="array" ref="E285">IFERROR(_xlfn.LET(
_xlpm.CSVVal,_xlfn.XLOOKUP($A285,CSV!$A:$A,CSV!E:E,""),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_xlpm.CSVVal,_xlfn.XLOOKUP($A285,CSV!$A:$A,CSV!G:G,""),
_xlpm.MacVal,_xlfn.XLOOKUP($A285,Output_Mac!$A:$A,Output_Mac!G:G,""),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_xlfn.XLOOKUP(A285,Output_Mac!A:A,Output_Mac!H:H,"")</f>
        <v/>
      </c>
      <c r="I285" s="45" t="str" cm="1">
        <f t="array" ref="I285">IFERROR(_xlfn.LET(
_xlpm.CSVVal,_xlfn.XLOOKUP($A285,CSV!$A:$A,CSV!H:H,""),
_xlpm.MacVal,_xlfn.XLOOKUP($A285,Output_Mac!$A:$A,Output_Mac!I:I,""),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_xlpm.CSVVal,_xlfn.XLOOKUP($A285,CSV!$A:$A,CSV!J:J,""),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46" t="str" cm="1">
        <f t="array" ref="K285">IFERROR(_xlfn.LET(
_xlpm.CSVVal,_xlfn.XLOOKUP($A285,CSV!$A:$A,CSV!N:N,""),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_xlpm.CSVVal,_xlfn.XLOOKUP($A285,CSV!$A:$A,CSV!Q:Q,""),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CSV!AE:AE,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_xlpm.CSVVal,_xlfn.XLOOKUP($A285,CSV!$A:$A,CSV!AG:AG,""),
_xlpm.MacVal,_xlfn.XLOOKUP($A285,Output_Mac!$A:$A,Output_Mac!T:T,""),
_xlpm.MyAuditVal,_xlfn.XLOOKUP($A285,My_Audit!$A:$A,My_Audit!O:O,""),
_xlfn.IFS(_xlpm.MyAuditVal&lt;&gt;"",UPPER(_xlpm.MyAuditVal),_xlpm.MacVal&lt;&gt;"",_xlpm.MacVal,_xlpm.CSVVal&lt;&gt;"",_xlpm.CSVVal
)),"")</f>
        <v/>
      </c>
      <c r="O285" s="46" t="str">
        <f>_xlfn.XLOOKUP(C285,My_Audit!B:B,My_Audit!P:P,"")&amp;""</f>
        <v/>
      </c>
      <c r="P285" s="45"/>
      <c r="Q285" s="46" t="str">
        <f>IF(LEFT(N285,4)="Pass","Nist SP 800-88",My_Audit!R285)&amp;""</f>
        <v/>
      </c>
      <c r="R285" s="45"/>
      <c r="S285" s="45"/>
      <c r="T285" s="46" t="str">
        <f>_xlfn.XLOOKUP(E285,Models!I:I,Models!J:J,"")</f>
        <v/>
      </c>
      <c r="U285" s="45"/>
      <c r="V285" s="45"/>
      <c r="W285" s="38" t="str">
        <f>_xlfn.LET(
    _xlpm.MacVal, _xlfn.XLOOKUP($A285, Output_Mac!$A:$A, Output_Mac!AA:AA, ""),
    _xlpm.MyAuditVal, _xlfn.XLOOKUP($A285, My_Audit!$A:$A, My_Audit!L:L, ""),
    _xlfn.TEXTJOIN(", ", TRUE, _xlpm.MyAuditVal, _xlpm.MacVal)
)</f>
        <v/>
      </c>
    </row>
    <row r="286" spans="1:23">
      <c r="A286" s="45" t="str">
        <f>_xlfn.TEXTJOIN("",TRUE,Input!$B$2,ROW(My_Audit!A285))</f>
        <v>CC285</v>
      </c>
      <c r="B286" s="45" t="str">
        <f>_xlfn.TEXTJOIN("-",TRUE,"ITD",Input!$A$2,A286)</f>
        <v>ITD-XXX-CC285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 cm="1">
        <f t="array" ref="D286">IFERROR(_xlfn.LET(
_xlpm.CSVVal,_xlfn.XLOOKUP($A286,CSV!$A:$A,CSV!C:C,""),
_xlpm.MacVal,_xlfn.XLOOKUP($A286,Output_Mac!$A:$A,Output_Mac!D:D,""),
_xlpm.MyAuditVal,_xlfn.XLOOKUP($A286,My_Audit!$A:$A,My_Audit!C:C,""),
_xlfn.IFS(_xlpm.MyAuditVal&lt;&gt;"",UPPER(_xlpm.MyAuditVal),_xlpm.MacVal&lt;&gt;"",_xlpm.MacVal,_xlpm.CSVVal&lt;&gt;"",_xlpm.CSVVal
)),"")</f>
        <v/>
      </c>
      <c r="E286" s="46" t="str" cm="1">
        <f t="array" ref="E286">IFERROR(_xlfn.LET(
_xlpm.CSVVal,_xlfn.XLOOKUP($A286,CSV!$A:$A,CSV!E:E,""),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_xlpm.CSVVal,_xlfn.XLOOKUP($A286,CSV!$A:$A,CSV!G:G,""),
_xlpm.MacVal,_xlfn.XLOOKUP($A286,Output_Mac!$A:$A,Output_Mac!G:G,""),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_xlfn.XLOOKUP(A286,Output_Mac!A:A,Output_Mac!H:H,"")</f>
        <v/>
      </c>
      <c r="I286" s="45" t="str" cm="1">
        <f t="array" ref="I286">IFERROR(_xlfn.LET(
_xlpm.CSVVal,_xlfn.XLOOKUP($A286,CSV!$A:$A,CSV!H:H,""),
_xlpm.MacVal,_xlfn.XLOOKUP($A286,Output_Mac!$A:$A,Output_Mac!I:I,""),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_xlpm.CSVVal,_xlfn.XLOOKUP($A286,CSV!$A:$A,CSV!J:J,""),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46" t="str" cm="1">
        <f t="array" ref="K286">IFERROR(_xlfn.LET(
_xlpm.CSVVal,_xlfn.XLOOKUP($A286,CSV!$A:$A,CSV!N:N,""),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_xlpm.CSVVal,_xlfn.XLOOKUP($A286,CSV!$A:$A,CSV!Q:Q,""),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CSV!AE:AE,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_xlpm.CSVVal,_xlfn.XLOOKUP($A286,CSV!$A:$A,CSV!AG:AG,""),
_xlpm.MacVal,_xlfn.XLOOKUP($A286,Output_Mac!$A:$A,Output_Mac!T:T,""),
_xlpm.MyAuditVal,_xlfn.XLOOKUP($A286,My_Audit!$A:$A,My_Audit!O:O,""),
_xlfn.IFS(_xlpm.MyAuditVal&lt;&gt;"",UPPER(_xlpm.MyAuditVal),_xlpm.MacVal&lt;&gt;"",_xlpm.MacVal,_xlpm.CSVVal&lt;&gt;"",_xlpm.CSVVal
)),"")</f>
        <v/>
      </c>
      <c r="O286" s="46" t="str">
        <f>_xlfn.XLOOKUP(C286,My_Audit!B:B,My_Audit!P:P,"")&amp;""</f>
        <v/>
      </c>
      <c r="P286" s="45"/>
      <c r="Q286" s="46" t="str">
        <f>IF(LEFT(N286,4)="Pass","Nist SP 800-88",My_Audit!R286)&amp;""</f>
        <v/>
      </c>
      <c r="R286" s="45"/>
      <c r="S286" s="45"/>
      <c r="T286" s="46" t="str">
        <f>_xlfn.XLOOKUP(E286,Models!I:I,Models!J:J,"")</f>
        <v/>
      </c>
      <c r="U286" s="45"/>
      <c r="V286" s="45"/>
      <c r="W286" s="38" t="str">
        <f>_xlfn.LET(
    _xlpm.MacVal, _xlfn.XLOOKUP($A286, Output_Mac!$A:$A, Output_Mac!AA:AA, ""),
    _xlpm.MyAuditVal, _xlfn.XLOOKUP($A286, My_Audit!$A:$A, My_Audit!L:L, ""),
    _xlfn.TEXTJOIN(", ", TRUE, _xlpm.MyAuditVal, _xlpm.MacVal)
)</f>
        <v/>
      </c>
    </row>
    <row r="287" spans="1:23">
      <c r="A287" s="45" t="str">
        <f>_xlfn.TEXTJOIN("",TRUE,Input!$B$2,ROW(My_Audit!A286))</f>
        <v>CC286</v>
      </c>
      <c r="B287" s="45" t="str">
        <f>_xlfn.TEXTJOIN("-",TRUE,"ITD",Input!$A$2,A287)</f>
        <v>ITD-XXX-CC286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 cm="1">
        <f t="array" ref="D287">IFERROR(_xlfn.LET(
_xlpm.CSVVal,_xlfn.XLOOKUP($A287,CSV!$A:$A,CSV!C:C,""),
_xlpm.MacVal,_xlfn.XLOOKUP($A287,Output_Mac!$A:$A,Output_Mac!D:D,""),
_xlpm.MyAuditVal,_xlfn.XLOOKUP($A287,My_Audit!$A:$A,My_Audit!C:C,""),
_xlfn.IFS(_xlpm.MyAuditVal&lt;&gt;"",UPPER(_xlpm.MyAuditVal),_xlpm.MacVal&lt;&gt;"",_xlpm.MacVal,_xlpm.CSVVal&lt;&gt;"",_xlpm.CSVVal
)),"")</f>
        <v/>
      </c>
      <c r="E287" s="46" t="str" cm="1">
        <f t="array" ref="E287">IFERROR(_xlfn.LET(
_xlpm.CSVVal,_xlfn.XLOOKUP($A287,CSV!$A:$A,CSV!E:E,""),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_xlpm.CSVVal,_xlfn.XLOOKUP($A287,CSV!$A:$A,CSV!G:G,""),
_xlpm.MacVal,_xlfn.XLOOKUP($A287,Output_Mac!$A:$A,Output_Mac!G:G,""),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_xlfn.XLOOKUP(A287,Output_Mac!A:A,Output_Mac!H:H,"")</f>
        <v/>
      </c>
      <c r="I287" s="45" t="str" cm="1">
        <f t="array" ref="I287">IFERROR(_xlfn.LET(
_xlpm.CSVVal,_xlfn.XLOOKUP($A287,CSV!$A:$A,CSV!H:H,""),
_xlpm.MacVal,_xlfn.XLOOKUP($A287,Output_Mac!$A:$A,Output_Mac!I:I,""),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_xlpm.CSVVal,_xlfn.XLOOKUP($A287,CSV!$A:$A,CSV!J:J,""),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46" t="str" cm="1">
        <f t="array" ref="K287">IFERROR(_xlfn.LET(
_xlpm.CSVVal,_xlfn.XLOOKUP($A287,CSV!$A:$A,CSV!N:N,""),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_xlpm.CSVVal,_xlfn.XLOOKUP($A287,CSV!$A:$A,CSV!Q:Q,""),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CSV!AE:AE,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_xlpm.CSVVal,_xlfn.XLOOKUP($A287,CSV!$A:$A,CSV!AG:AG,""),
_xlpm.MacVal,_xlfn.XLOOKUP($A287,Output_Mac!$A:$A,Output_Mac!T:T,""),
_xlpm.MyAuditVal,_xlfn.XLOOKUP($A287,My_Audit!$A:$A,My_Audit!O:O,""),
_xlfn.IFS(_xlpm.MyAuditVal&lt;&gt;"",UPPER(_xlpm.MyAuditVal),_xlpm.MacVal&lt;&gt;"",_xlpm.MacVal,_xlpm.CSVVal&lt;&gt;"",_xlpm.CSVVal
)),"")</f>
        <v/>
      </c>
      <c r="O287" s="46" t="str">
        <f>_xlfn.XLOOKUP(C287,My_Audit!B:B,My_Audit!P:P,"")&amp;""</f>
        <v/>
      </c>
      <c r="P287" s="45"/>
      <c r="Q287" s="46" t="str">
        <f>IF(LEFT(N287,4)="Pass","Nist SP 800-88",My_Audit!R287)&amp;""</f>
        <v/>
      </c>
      <c r="R287" s="45"/>
      <c r="S287" s="45"/>
      <c r="T287" s="46" t="str">
        <f>_xlfn.XLOOKUP(E287,Models!I:I,Models!J:J,"")</f>
        <v/>
      </c>
      <c r="U287" s="45"/>
      <c r="V287" s="45"/>
      <c r="W287" s="38" t="str">
        <f>_xlfn.LET(
    _xlpm.MacVal, _xlfn.XLOOKUP($A287, Output_Mac!$A:$A, Output_Mac!AA:AA, ""),
    _xlpm.MyAuditVal, _xlfn.XLOOKUP($A287, My_Audit!$A:$A, My_Audit!L:L, ""),
    _xlfn.TEXTJOIN(", ", TRUE, _xlpm.MyAuditVal, _xlpm.MacVal)
)</f>
        <v/>
      </c>
    </row>
    <row r="288" spans="1:23">
      <c r="A288" s="45" t="str">
        <f>_xlfn.TEXTJOIN("",TRUE,Input!$B$2,ROW(My_Audit!A287))</f>
        <v>CC287</v>
      </c>
      <c r="B288" s="45" t="str">
        <f>_xlfn.TEXTJOIN("-",TRUE,"ITD",Input!$A$2,A288)</f>
        <v>ITD-XXX-CC287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 cm="1">
        <f t="array" ref="D288">IFERROR(_xlfn.LET(
_xlpm.CSVVal,_xlfn.XLOOKUP($A288,CSV!$A:$A,CSV!C:C,""),
_xlpm.MacVal,_xlfn.XLOOKUP($A288,Output_Mac!$A:$A,Output_Mac!D:D,""),
_xlpm.MyAuditVal,_xlfn.XLOOKUP($A288,My_Audit!$A:$A,My_Audit!C:C,""),
_xlfn.IFS(_xlpm.MyAuditVal&lt;&gt;"",UPPER(_xlpm.MyAuditVal),_xlpm.MacVal&lt;&gt;"",_xlpm.MacVal,_xlpm.CSVVal&lt;&gt;"",_xlpm.CSVVal
)),"")</f>
        <v/>
      </c>
      <c r="E288" s="46" t="str" cm="1">
        <f t="array" ref="E288">IFERROR(_xlfn.LET(
_xlpm.CSVVal,_xlfn.XLOOKUP($A288,CSV!$A:$A,CSV!E:E,""),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_xlpm.CSVVal,_xlfn.XLOOKUP($A288,CSV!$A:$A,CSV!G:G,""),
_xlpm.MacVal,_xlfn.XLOOKUP($A288,Output_Mac!$A:$A,Output_Mac!G:G,""),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_xlfn.XLOOKUP(A288,Output_Mac!A:A,Output_Mac!H:H,"")</f>
        <v/>
      </c>
      <c r="I288" s="45" t="str" cm="1">
        <f t="array" ref="I288">IFERROR(_xlfn.LET(
_xlpm.CSVVal,_xlfn.XLOOKUP($A288,CSV!$A:$A,CSV!H:H,""),
_xlpm.MacVal,_xlfn.XLOOKUP($A288,Output_Mac!$A:$A,Output_Mac!I:I,""),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_xlpm.CSVVal,_xlfn.XLOOKUP($A288,CSV!$A:$A,CSV!J:J,""),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46" t="str" cm="1">
        <f t="array" ref="K288">IFERROR(_xlfn.LET(
_xlpm.CSVVal,_xlfn.XLOOKUP($A288,CSV!$A:$A,CSV!N:N,""),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_xlpm.CSVVal,_xlfn.XLOOKUP($A288,CSV!$A:$A,CSV!Q:Q,""),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CSV!AE:AE,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_xlpm.CSVVal,_xlfn.XLOOKUP($A288,CSV!$A:$A,CSV!AG:AG,""),
_xlpm.MacVal,_xlfn.XLOOKUP($A288,Output_Mac!$A:$A,Output_Mac!T:T,""),
_xlpm.MyAuditVal,_xlfn.XLOOKUP($A288,My_Audit!$A:$A,My_Audit!O:O,""),
_xlfn.IFS(_xlpm.MyAuditVal&lt;&gt;"",UPPER(_xlpm.MyAuditVal),_xlpm.MacVal&lt;&gt;"",_xlpm.MacVal,_xlpm.CSVVal&lt;&gt;"",_xlpm.CSVVal
)),"")</f>
        <v/>
      </c>
      <c r="O288" s="46" t="str">
        <f>_xlfn.XLOOKUP(C288,My_Audit!B:B,My_Audit!P:P,"")&amp;""</f>
        <v/>
      </c>
      <c r="P288" s="45"/>
      <c r="Q288" s="46" t="str">
        <f>IF(LEFT(N288,4)="Pass","Nist SP 800-88",My_Audit!R288)&amp;""</f>
        <v/>
      </c>
      <c r="R288" s="45"/>
      <c r="S288" s="45"/>
      <c r="T288" s="46" t="str">
        <f>_xlfn.XLOOKUP(E288,Models!I:I,Models!J:J,"")</f>
        <v/>
      </c>
      <c r="U288" s="45"/>
      <c r="V288" s="45"/>
      <c r="W288" s="38" t="str">
        <f>_xlfn.LET(
    _xlpm.MacVal, _xlfn.XLOOKUP($A288, Output_Mac!$A:$A, Output_Mac!AA:AA, ""),
    _xlpm.MyAuditVal, _xlfn.XLOOKUP($A288, My_Audit!$A:$A, My_Audit!L:L, ""),
    _xlfn.TEXTJOIN(", ", TRUE, _xlpm.MyAuditVal, _xlpm.MacVal)
)</f>
        <v/>
      </c>
    </row>
    <row r="289" spans="1:23">
      <c r="A289" s="45" t="str">
        <f>_xlfn.TEXTJOIN("",TRUE,Input!$B$2,ROW(My_Audit!A288))</f>
        <v>CC288</v>
      </c>
      <c r="B289" s="45" t="str">
        <f>_xlfn.TEXTJOIN("-",TRUE,"ITD",Input!$A$2,A289)</f>
        <v>ITD-XXX-CC288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 cm="1">
        <f t="array" ref="D289">IFERROR(_xlfn.LET(
_xlpm.CSVVal,_xlfn.XLOOKUP($A289,CSV!$A:$A,CSV!C:C,""),
_xlpm.MacVal,_xlfn.XLOOKUP($A289,Output_Mac!$A:$A,Output_Mac!D:D,""),
_xlpm.MyAuditVal,_xlfn.XLOOKUP($A289,My_Audit!$A:$A,My_Audit!C:C,""),
_xlfn.IFS(_xlpm.MyAuditVal&lt;&gt;"",UPPER(_xlpm.MyAuditVal),_xlpm.MacVal&lt;&gt;"",_xlpm.MacVal,_xlpm.CSVVal&lt;&gt;"",_xlpm.CSVVal
)),"")</f>
        <v/>
      </c>
      <c r="E289" s="46" t="str" cm="1">
        <f t="array" ref="E289">IFERROR(_xlfn.LET(
_xlpm.CSVVal,_xlfn.XLOOKUP($A289,CSV!$A:$A,CSV!E:E,""),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_xlpm.CSVVal,_xlfn.XLOOKUP($A289,CSV!$A:$A,CSV!G:G,""),
_xlpm.MacVal,_xlfn.XLOOKUP($A289,Output_Mac!$A:$A,Output_Mac!G:G,""),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_xlfn.XLOOKUP(A289,Output_Mac!A:A,Output_Mac!H:H,"")</f>
        <v/>
      </c>
      <c r="I289" s="45" t="str" cm="1">
        <f t="array" ref="I289">IFERROR(_xlfn.LET(
_xlpm.CSVVal,_xlfn.XLOOKUP($A289,CSV!$A:$A,CSV!H:H,""),
_xlpm.MacVal,_xlfn.XLOOKUP($A289,Output_Mac!$A:$A,Output_Mac!I:I,""),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_xlpm.CSVVal,_xlfn.XLOOKUP($A289,CSV!$A:$A,CSV!J:J,""),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46" t="str" cm="1">
        <f t="array" ref="K289">IFERROR(_xlfn.LET(
_xlpm.CSVVal,_xlfn.XLOOKUP($A289,CSV!$A:$A,CSV!N:N,""),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_xlpm.CSVVal,_xlfn.XLOOKUP($A289,CSV!$A:$A,CSV!Q:Q,""),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CSV!AE:AE,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_xlpm.CSVVal,_xlfn.XLOOKUP($A289,CSV!$A:$A,CSV!AG:AG,""),
_xlpm.MacVal,_xlfn.XLOOKUP($A289,Output_Mac!$A:$A,Output_Mac!T:T,""),
_xlpm.MyAuditVal,_xlfn.XLOOKUP($A289,My_Audit!$A:$A,My_Audit!O:O,""),
_xlfn.IFS(_xlpm.MyAuditVal&lt;&gt;"",UPPER(_xlpm.MyAuditVal),_xlpm.MacVal&lt;&gt;"",_xlpm.MacVal,_xlpm.CSVVal&lt;&gt;"",_xlpm.CSVVal
)),"")</f>
        <v/>
      </c>
      <c r="O289" s="46" t="str">
        <f>_xlfn.XLOOKUP(C289,My_Audit!B:B,My_Audit!P:P,"")&amp;""</f>
        <v/>
      </c>
      <c r="P289" s="45"/>
      <c r="Q289" s="46" t="str">
        <f>IF(LEFT(N289,4)="Pass","Nist SP 800-88",My_Audit!R289)&amp;""</f>
        <v/>
      </c>
      <c r="R289" s="45"/>
      <c r="S289" s="45"/>
      <c r="T289" s="46" t="str">
        <f>_xlfn.XLOOKUP(E289,Models!I:I,Models!J:J,"")</f>
        <v/>
      </c>
      <c r="U289" s="45"/>
      <c r="V289" s="45"/>
      <c r="W289" s="38" t="str">
        <f>_xlfn.LET(
    _xlpm.MacVal, _xlfn.XLOOKUP($A289, Output_Mac!$A:$A, Output_Mac!AA:AA, ""),
    _xlpm.MyAuditVal, _xlfn.XLOOKUP($A289, My_Audit!$A:$A, My_Audit!L:L, ""),
    _xlfn.TEXTJOIN(", ", TRUE, _xlpm.MyAuditVal, _xlpm.MacVal)
)</f>
        <v/>
      </c>
    </row>
    <row r="290" spans="1:23">
      <c r="A290" s="45" t="str">
        <f>_xlfn.TEXTJOIN("",TRUE,Input!$B$2,ROW(My_Audit!A289))</f>
        <v>CC289</v>
      </c>
      <c r="B290" s="45" t="str">
        <f>_xlfn.TEXTJOIN("-",TRUE,"ITD",Input!$A$2,A290)</f>
        <v>ITD-XXX-CC289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 cm="1">
        <f t="array" ref="D290">IFERROR(_xlfn.LET(
_xlpm.CSVVal,_xlfn.XLOOKUP($A290,CSV!$A:$A,CSV!C:C,""),
_xlpm.MacVal,_xlfn.XLOOKUP($A290,Output_Mac!$A:$A,Output_Mac!D:D,""),
_xlpm.MyAuditVal,_xlfn.XLOOKUP($A290,My_Audit!$A:$A,My_Audit!C:C,""),
_xlfn.IFS(_xlpm.MyAuditVal&lt;&gt;"",UPPER(_xlpm.MyAuditVal),_xlpm.MacVal&lt;&gt;"",_xlpm.MacVal,_xlpm.CSVVal&lt;&gt;"",_xlpm.CSVVal
)),"")</f>
        <v/>
      </c>
      <c r="E290" s="46" t="str" cm="1">
        <f t="array" ref="E290">IFERROR(_xlfn.LET(
_xlpm.CSVVal,_xlfn.XLOOKUP($A290,CSV!$A:$A,CSV!E:E,""),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_xlpm.CSVVal,_xlfn.XLOOKUP($A290,CSV!$A:$A,CSV!G:G,""),
_xlpm.MacVal,_xlfn.XLOOKUP($A290,Output_Mac!$A:$A,Output_Mac!G:G,""),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_xlfn.XLOOKUP(A290,Output_Mac!A:A,Output_Mac!H:H,"")</f>
        <v/>
      </c>
      <c r="I290" s="45" t="str" cm="1">
        <f t="array" ref="I290">IFERROR(_xlfn.LET(
_xlpm.CSVVal,_xlfn.XLOOKUP($A290,CSV!$A:$A,CSV!H:H,""),
_xlpm.MacVal,_xlfn.XLOOKUP($A290,Output_Mac!$A:$A,Output_Mac!I:I,""),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_xlpm.CSVVal,_xlfn.XLOOKUP($A290,CSV!$A:$A,CSV!J:J,""),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46" t="str" cm="1">
        <f t="array" ref="K290">IFERROR(_xlfn.LET(
_xlpm.CSVVal,_xlfn.XLOOKUP($A290,CSV!$A:$A,CSV!N:N,""),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_xlpm.CSVVal,_xlfn.XLOOKUP($A290,CSV!$A:$A,CSV!Q:Q,""),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CSV!AE:AE,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_xlpm.CSVVal,_xlfn.XLOOKUP($A290,CSV!$A:$A,CSV!AG:AG,""),
_xlpm.MacVal,_xlfn.XLOOKUP($A290,Output_Mac!$A:$A,Output_Mac!T:T,""),
_xlpm.MyAuditVal,_xlfn.XLOOKUP($A290,My_Audit!$A:$A,My_Audit!O:O,""),
_xlfn.IFS(_xlpm.MyAuditVal&lt;&gt;"",UPPER(_xlpm.MyAuditVal),_xlpm.MacVal&lt;&gt;"",_xlpm.MacVal,_xlpm.CSVVal&lt;&gt;"",_xlpm.CSVVal
)),"")</f>
        <v/>
      </c>
      <c r="O290" s="46" t="str">
        <f>_xlfn.XLOOKUP(C290,My_Audit!B:B,My_Audit!P:P,"")&amp;""</f>
        <v/>
      </c>
      <c r="P290" s="45"/>
      <c r="Q290" s="46" t="str">
        <f>IF(LEFT(N290,4)="Pass","Nist SP 800-88",My_Audit!R290)&amp;""</f>
        <v/>
      </c>
      <c r="R290" s="45"/>
      <c r="S290" s="45"/>
      <c r="T290" s="46" t="str">
        <f>_xlfn.XLOOKUP(E290,Models!I:I,Models!J:J,"")</f>
        <v/>
      </c>
      <c r="U290" s="45"/>
      <c r="V290" s="45"/>
      <c r="W290" s="38" t="str">
        <f>_xlfn.LET(
    _xlpm.MacVal, _xlfn.XLOOKUP($A290, Output_Mac!$A:$A, Output_Mac!AA:AA, ""),
    _xlpm.MyAuditVal, _xlfn.XLOOKUP($A290, My_Audit!$A:$A, My_Audit!L:L, ""),
    _xlfn.TEXTJOIN(", ", TRUE, _xlpm.MyAuditVal, _xlpm.MacVal)
)</f>
        <v/>
      </c>
    </row>
    <row r="291" spans="1:23">
      <c r="A291" s="45" t="str">
        <f>_xlfn.TEXTJOIN("",TRUE,Input!$B$2,ROW(My_Audit!A290))</f>
        <v>CC290</v>
      </c>
      <c r="B291" s="45" t="str">
        <f>_xlfn.TEXTJOIN("-",TRUE,"ITD",Input!$A$2,A291)</f>
        <v>ITD-XXX-CC290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 cm="1">
        <f t="array" ref="D291">IFERROR(_xlfn.LET(
_xlpm.CSVVal,_xlfn.XLOOKUP($A291,CSV!$A:$A,CSV!C:C,""),
_xlpm.MacVal,_xlfn.XLOOKUP($A291,Output_Mac!$A:$A,Output_Mac!D:D,""),
_xlpm.MyAuditVal,_xlfn.XLOOKUP($A291,My_Audit!$A:$A,My_Audit!C:C,""),
_xlfn.IFS(_xlpm.MyAuditVal&lt;&gt;"",UPPER(_xlpm.MyAuditVal),_xlpm.MacVal&lt;&gt;"",_xlpm.MacVal,_xlpm.CSVVal&lt;&gt;"",_xlpm.CSVVal
)),"")</f>
        <v/>
      </c>
      <c r="E291" s="46" t="str" cm="1">
        <f t="array" ref="E291">IFERROR(_xlfn.LET(
_xlpm.CSVVal,_xlfn.XLOOKUP($A291,CSV!$A:$A,CSV!E:E,""),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_xlpm.CSVVal,_xlfn.XLOOKUP($A291,CSV!$A:$A,CSV!G:G,""),
_xlpm.MacVal,_xlfn.XLOOKUP($A291,Output_Mac!$A:$A,Output_Mac!G:G,""),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_xlfn.XLOOKUP(A291,Output_Mac!A:A,Output_Mac!H:H,"")</f>
        <v/>
      </c>
      <c r="I291" s="45" t="str" cm="1">
        <f t="array" ref="I291">IFERROR(_xlfn.LET(
_xlpm.CSVVal,_xlfn.XLOOKUP($A291,CSV!$A:$A,CSV!H:H,""),
_xlpm.MacVal,_xlfn.XLOOKUP($A291,Output_Mac!$A:$A,Output_Mac!I:I,""),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_xlpm.CSVVal,_xlfn.XLOOKUP($A291,CSV!$A:$A,CSV!J:J,""),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46" t="str" cm="1">
        <f t="array" ref="K291">IFERROR(_xlfn.LET(
_xlpm.CSVVal,_xlfn.XLOOKUP($A291,CSV!$A:$A,CSV!N:N,""),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_xlpm.CSVVal,_xlfn.XLOOKUP($A291,CSV!$A:$A,CSV!Q:Q,""),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CSV!AE:AE,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_xlpm.CSVVal,_xlfn.XLOOKUP($A291,CSV!$A:$A,CSV!AG:AG,""),
_xlpm.MacVal,_xlfn.XLOOKUP($A291,Output_Mac!$A:$A,Output_Mac!T:T,""),
_xlpm.MyAuditVal,_xlfn.XLOOKUP($A291,My_Audit!$A:$A,My_Audit!O:O,""),
_xlfn.IFS(_xlpm.MyAuditVal&lt;&gt;"",UPPER(_xlpm.MyAuditVal),_xlpm.MacVal&lt;&gt;"",_xlpm.MacVal,_xlpm.CSVVal&lt;&gt;"",_xlpm.CSVVal
)),"")</f>
        <v/>
      </c>
      <c r="O291" s="46" t="str">
        <f>_xlfn.XLOOKUP(C291,My_Audit!B:B,My_Audit!P:P,"")&amp;""</f>
        <v/>
      </c>
      <c r="P291" s="45"/>
      <c r="Q291" s="46" t="str">
        <f>IF(LEFT(N291,4)="Pass","Nist SP 800-88",My_Audit!R291)&amp;""</f>
        <v/>
      </c>
      <c r="R291" s="45"/>
      <c r="S291" s="45"/>
      <c r="T291" s="46" t="str">
        <f>_xlfn.XLOOKUP(E291,Models!I:I,Models!J:J,"")</f>
        <v/>
      </c>
      <c r="U291" s="45"/>
      <c r="V291" s="45"/>
      <c r="W291" s="38" t="str">
        <f>_xlfn.LET(
    _xlpm.MacVal, _xlfn.XLOOKUP($A291, Output_Mac!$A:$A, Output_Mac!AA:AA, ""),
    _xlpm.MyAuditVal, _xlfn.XLOOKUP($A291, My_Audit!$A:$A, My_Audit!L:L, ""),
    _xlfn.TEXTJOIN(", ", TRUE, _xlpm.MyAuditVal, _xlpm.MacVal)
)</f>
        <v/>
      </c>
    </row>
    <row r="292" spans="1:23">
      <c r="A292" s="45" t="str">
        <f>_xlfn.TEXTJOIN("",TRUE,Input!$B$2,ROW(My_Audit!A291))</f>
        <v>CC291</v>
      </c>
      <c r="B292" s="45" t="str">
        <f>_xlfn.TEXTJOIN("-",TRUE,"ITD",Input!$A$2,A292)</f>
        <v>ITD-XXX-CC291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 cm="1">
        <f t="array" ref="D292">IFERROR(_xlfn.LET(
_xlpm.CSVVal,_xlfn.XLOOKUP($A292,CSV!$A:$A,CSV!C:C,""),
_xlpm.MacVal,_xlfn.XLOOKUP($A292,Output_Mac!$A:$A,Output_Mac!D:D,""),
_xlpm.MyAuditVal,_xlfn.XLOOKUP($A292,My_Audit!$A:$A,My_Audit!C:C,""),
_xlfn.IFS(_xlpm.MyAuditVal&lt;&gt;"",UPPER(_xlpm.MyAuditVal),_xlpm.MacVal&lt;&gt;"",_xlpm.MacVal,_xlpm.CSVVal&lt;&gt;"",_xlpm.CSVVal
)),"")</f>
        <v/>
      </c>
      <c r="E292" s="46" t="str" cm="1">
        <f t="array" ref="E292">IFERROR(_xlfn.LET(
_xlpm.CSVVal,_xlfn.XLOOKUP($A292,CSV!$A:$A,CSV!E:E,""),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_xlpm.CSVVal,_xlfn.XLOOKUP($A292,CSV!$A:$A,CSV!G:G,""),
_xlpm.MacVal,_xlfn.XLOOKUP($A292,Output_Mac!$A:$A,Output_Mac!G:G,""),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_xlfn.XLOOKUP(A292,Output_Mac!A:A,Output_Mac!H:H,"")</f>
        <v/>
      </c>
      <c r="I292" s="45" t="str" cm="1">
        <f t="array" ref="I292">IFERROR(_xlfn.LET(
_xlpm.CSVVal,_xlfn.XLOOKUP($A292,CSV!$A:$A,CSV!H:H,""),
_xlpm.MacVal,_xlfn.XLOOKUP($A292,Output_Mac!$A:$A,Output_Mac!I:I,""),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_xlpm.CSVVal,_xlfn.XLOOKUP($A292,CSV!$A:$A,CSV!J:J,""),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46" t="str" cm="1">
        <f t="array" ref="K292">IFERROR(_xlfn.LET(
_xlpm.CSVVal,_xlfn.XLOOKUP($A292,CSV!$A:$A,CSV!N:N,""),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_xlpm.CSVVal,_xlfn.XLOOKUP($A292,CSV!$A:$A,CSV!Q:Q,""),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CSV!AE:AE,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_xlpm.CSVVal,_xlfn.XLOOKUP($A292,CSV!$A:$A,CSV!AG:AG,""),
_xlpm.MacVal,_xlfn.XLOOKUP($A292,Output_Mac!$A:$A,Output_Mac!T:T,""),
_xlpm.MyAuditVal,_xlfn.XLOOKUP($A292,My_Audit!$A:$A,My_Audit!O:O,""),
_xlfn.IFS(_xlpm.MyAuditVal&lt;&gt;"",UPPER(_xlpm.MyAuditVal),_xlpm.MacVal&lt;&gt;"",_xlpm.MacVal,_xlpm.CSVVal&lt;&gt;"",_xlpm.CSVVal
)),"")</f>
        <v/>
      </c>
      <c r="O292" s="46" t="str">
        <f>_xlfn.XLOOKUP(C292,My_Audit!B:B,My_Audit!P:P,"")&amp;""</f>
        <v/>
      </c>
      <c r="P292" s="45"/>
      <c r="Q292" s="46" t="str">
        <f>IF(LEFT(N292,4)="Pass","Nist SP 800-88",My_Audit!R292)&amp;""</f>
        <v/>
      </c>
      <c r="R292" s="45"/>
      <c r="S292" s="45"/>
      <c r="T292" s="46" t="str">
        <f>_xlfn.XLOOKUP(E292,Models!I:I,Models!J:J,"")</f>
        <v/>
      </c>
      <c r="U292" s="45"/>
      <c r="V292" s="45"/>
      <c r="W292" s="38" t="str">
        <f>_xlfn.LET(
    _xlpm.MacVal, _xlfn.XLOOKUP($A292, Output_Mac!$A:$A, Output_Mac!AA:AA, ""),
    _xlpm.MyAuditVal, _xlfn.XLOOKUP($A292, My_Audit!$A:$A, My_Audit!L:L, ""),
    _xlfn.TEXTJOIN(", ", TRUE, _xlpm.MyAuditVal, _xlpm.MacVal)
)</f>
        <v/>
      </c>
    </row>
    <row r="293" spans="1:23">
      <c r="A293" s="45" t="str">
        <f>_xlfn.TEXTJOIN("",TRUE,Input!$B$2,ROW(My_Audit!A292))</f>
        <v>CC292</v>
      </c>
      <c r="B293" s="45" t="str">
        <f>_xlfn.TEXTJOIN("-",TRUE,"ITD",Input!$A$2,A293)</f>
        <v>ITD-XXX-CC292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 cm="1">
        <f t="array" ref="D293">IFERROR(_xlfn.LET(
_xlpm.CSVVal,_xlfn.XLOOKUP($A293,CSV!$A:$A,CSV!C:C,""),
_xlpm.MacVal,_xlfn.XLOOKUP($A293,Output_Mac!$A:$A,Output_Mac!D:D,""),
_xlpm.MyAuditVal,_xlfn.XLOOKUP($A293,My_Audit!$A:$A,My_Audit!C:C,""),
_xlfn.IFS(_xlpm.MyAuditVal&lt;&gt;"",UPPER(_xlpm.MyAuditVal),_xlpm.MacVal&lt;&gt;"",_xlpm.MacVal,_xlpm.CSVVal&lt;&gt;"",_xlpm.CSVVal
)),"")</f>
        <v/>
      </c>
      <c r="E293" s="46" t="str" cm="1">
        <f t="array" ref="E293">IFERROR(_xlfn.LET(
_xlpm.CSVVal,_xlfn.XLOOKUP($A293,CSV!$A:$A,CSV!E:E,""),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_xlpm.CSVVal,_xlfn.XLOOKUP($A293,CSV!$A:$A,CSV!G:G,""),
_xlpm.MacVal,_xlfn.XLOOKUP($A293,Output_Mac!$A:$A,Output_Mac!G:G,""),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_xlfn.XLOOKUP(A293,Output_Mac!A:A,Output_Mac!H:H,"")</f>
        <v/>
      </c>
      <c r="I293" s="45" t="str" cm="1">
        <f t="array" ref="I293">IFERROR(_xlfn.LET(
_xlpm.CSVVal,_xlfn.XLOOKUP($A293,CSV!$A:$A,CSV!H:H,""),
_xlpm.MacVal,_xlfn.XLOOKUP($A293,Output_Mac!$A:$A,Output_Mac!I:I,""),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_xlpm.CSVVal,_xlfn.XLOOKUP($A293,CSV!$A:$A,CSV!J:J,""),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46" t="str" cm="1">
        <f t="array" ref="K293">IFERROR(_xlfn.LET(
_xlpm.CSVVal,_xlfn.XLOOKUP($A293,CSV!$A:$A,CSV!N:N,""),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_xlpm.CSVVal,_xlfn.XLOOKUP($A293,CSV!$A:$A,CSV!Q:Q,""),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CSV!AE:AE,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_xlpm.CSVVal,_xlfn.XLOOKUP($A293,CSV!$A:$A,CSV!AG:AG,""),
_xlpm.MacVal,_xlfn.XLOOKUP($A293,Output_Mac!$A:$A,Output_Mac!T:T,""),
_xlpm.MyAuditVal,_xlfn.XLOOKUP($A293,My_Audit!$A:$A,My_Audit!O:O,""),
_xlfn.IFS(_xlpm.MyAuditVal&lt;&gt;"",UPPER(_xlpm.MyAuditVal),_xlpm.MacVal&lt;&gt;"",_xlpm.MacVal,_xlpm.CSVVal&lt;&gt;"",_xlpm.CSVVal
)),"")</f>
        <v/>
      </c>
      <c r="O293" s="46" t="str">
        <f>_xlfn.XLOOKUP(C293,My_Audit!B:B,My_Audit!P:P,"")&amp;""</f>
        <v/>
      </c>
      <c r="P293" s="45"/>
      <c r="Q293" s="46" t="str">
        <f>IF(LEFT(N293,4)="Pass","Nist SP 800-88",My_Audit!R293)&amp;""</f>
        <v/>
      </c>
      <c r="R293" s="45"/>
      <c r="S293" s="45"/>
      <c r="T293" s="46" t="str">
        <f>_xlfn.XLOOKUP(E293,Models!I:I,Models!J:J,"")</f>
        <v/>
      </c>
      <c r="U293" s="45"/>
      <c r="V293" s="45"/>
      <c r="W293" s="38" t="str">
        <f>_xlfn.LET(
    _xlpm.MacVal, _xlfn.XLOOKUP($A293, Output_Mac!$A:$A, Output_Mac!AA:AA, ""),
    _xlpm.MyAuditVal, _xlfn.XLOOKUP($A293, My_Audit!$A:$A, My_Audit!L:L, ""),
    _xlfn.TEXTJOIN(", ", TRUE, _xlpm.MyAuditVal, _xlpm.MacVal)
)</f>
        <v/>
      </c>
    </row>
    <row r="294" spans="1:23">
      <c r="A294" s="45" t="str">
        <f>_xlfn.TEXTJOIN("",TRUE,Input!$B$2,ROW(My_Audit!A293))</f>
        <v>CC293</v>
      </c>
      <c r="B294" s="45" t="str">
        <f>_xlfn.TEXTJOIN("-",TRUE,"ITD",Input!$A$2,A294)</f>
        <v>ITD-XXX-CC293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 cm="1">
        <f t="array" ref="D294">IFERROR(_xlfn.LET(
_xlpm.CSVVal,_xlfn.XLOOKUP($A294,CSV!$A:$A,CSV!C:C,""),
_xlpm.MacVal,_xlfn.XLOOKUP($A294,Output_Mac!$A:$A,Output_Mac!D:D,""),
_xlpm.MyAuditVal,_xlfn.XLOOKUP($A294,My_Audit!$A:$A,My_Audit!C:C,""),
_xlfn.IFS(_xlpm.MyAuditVal&lt;&gt;"",UPPER(_xlpm.MyAuditVal),_xlpm.MacVal&lt;&gt;"",_xlpm.MacVal,_xlpm.CSVVal&lt;&gt;"",_xlpm.CSVVal
)),"")</f>
        <v/>
      </c>
      <c r="E294" s="46" t="str" cm="1">
        <f t="array" ref="E294">IFERROR(_xlfn.LET(
_xlpm.CSVVal,_xlfn.XLOOKUP($A294,CSV!$A:$A,CSV!E:E,""),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_xlpm.CSVVal,_xlfn.XLOOKUP($A294,CSV!$A:$A,CSV!G:G,""),
_xlpm.MacVal,_xlfn.XLOOKUP($A294,Output_Mac!$A:$A,Output_Mac!G:G,""),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_xlfn.XLOOKUP(A294,Output_Mac!A:A,Output_Mac!H:H,"")</f>
        <v/>
      </c>
      <c r="I294" s="45" t="str" cm="1">
        <f t="array" ref="I294">IFERROR(_xlfn.LET(
_xlpm.CSVVal,_xlfn.XLOOKUP($A294,CSV!$A:$A,CSV!H:H,""),
_xlpm.MacVal,_xlfn.XLOOKUP($A294,Output_Mac!$A:$A,Output_Mac!I:I,""),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_xlpm.CSVVal,_xlfn.XLOOKUP($A294,CSV!$A:$A,CSV!J:J,""),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46" t="str" cm="1">
        <f t="array" ref="K294">IFERROR(_xlfn.LET(
_xlpm.CSVVal,_xlfn.XLOOKUP($A294,CSV!$A:$A,CSV!N:N,""),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_xlpm.CSVVal,_xlfn.XLOOKUP($A294,CSV!$A:$A,CSV!Q:Q,""),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CSV!AE:AE,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_xlpm.CSVVal,_xlfn.XLOOKUP($A294,CSV!$A:$A,CSV!AG:AG,""),
_xlpm.MacVal,_xlfn.XLOOKUP($A294,Output_Mac!$A:$A,Output_Mac!T:T,""),
_xlpm.MyAuditVal,_xlfn.XLOOKUP($A294,My_Audit!$A:$A,My_Audit!O:O,""),
_xlfn.IFS(_xlpm.MyAuditVal&lt;&gt;"",UPPER(_xlpm.MyAuditVal),_xlpm.MacVal&lt;&gt;"",_xlpm.MacVal,_xlpm.CSVVal&lt;&gt;"",_xlpm.CSVVal
)),"")</f>
        <v/>
      </c>
      <c r="O294" s="46" t="str">
        <f>_xlfn.XLOOKUP(C294,My_Audit!B:B,My_Audit!P:P,"")&amp;""</f>
        <v/>
      </c>
      <c r="P294" s="45"/>
      <c r="Q294" s="46" t="str">
        <f>IF(LEFT(N294,4)="Pass","Nist SP 800-88",My_Audit!R294)&amp;""</f>
        <v/>
      </c>
      <c r="R294" s="45"/>
      <c r="S294" s="45"/>
      <c r="T294" s="46" t="str">
        <f>_xlfn.XLOOKUP(E294,Models!I:I,Models!J:J,"")</f>
        <v/>
      </c>
      <c r="U294" s="45"/>
      <c r="V294" s="45"/>
      <c r="W294" s="38" t="str">
        <f>_xlfn.LET(
    _xlpm.MacVal, _xlfn.XLOOKUP($A294, Output_Mac!$A:$A, Output_Mac!AA:AA, ""),
    _xlpm.MyAuditVal, _xlfn.XLOOKUP($A294, My_Audit!$A:$A, My_Audit!L:L, ""),
    _xlfn.TEXTJOIN(", ", TRUE, _xlpm.MyAuditVal, _xlpm.MacVal)
)</f>
        <v/>
      </c>
    </row>
    <row r="295" spans="1:23">
      <c r="A295" s="45" t="str">
        <f>_xlfn.TEXTJOIN("",TRUE,Input!$B$2,ROW(My_Audit!A294))</f>
        <v>CC294</v>
      </c>
      <c r="B295" s="45" t="str">
        <f>_xlfn.TEXTJOIN("-",TRUE,"ITD",Input!$A$2,A295)</f>
        <v>ITD-XXX-CC294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 cm="1">
        <f t="array" ref="D295">IFERROR(_xlfn.LET(
_xlpm.CSVVal,_xlfn.XLOOKUP($A295,CSV!$A:$A,CSV!C:C,""),
_xlpm.MacVal,_xlfn.XLOOKUP($A295,Output_Mac!$A:$A,Output_Mac!D:D,""),
_xlpm.MyAuditVal,_xlfn.XLOOKUP($A295,My_Audit!$A:$A,My_Audit!C:C,""),
_xlfn.IFS(_xlpm.MyAuditVal&lt;&gt;"",UPPER(_xlpm.MyAuditVal),_xlpm.MacVal&lt;&gt;"",_xlpm.MacVal,_xlpm.CSVVal&lt;&gt;"",_xlpm.CSVVal
)),"")</f>
        <v/>
      </c>
      <c r="E295" s="46" t="str" cm="1">
        <f t="array" ref="E295">IFERROR(_xlfn.LET(
_xlpm.CSVVal,_xlfn.XLOOKUP($A295,CSV!$A:$A,CSV!E:E,""),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_xlpm.CSVVal,_xlfn.XLOOKUP($A295,CSV!$A:$A,CSV!G:G,""),
_xlpm.MacVal,_xlfn.XLOOKUP($A295,Output_Mac!$A:$A,Output_Mac!G:G,""),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_xlfn.XLOOKUP(A295,Output_Mac!A:A,Output_Mac!H:H,"")</f>
        <v/>
      </c>
      <c r="I295" s="45" t="str" cm="1">
        <f t="array" ref="I295">IFERROR(_xlfn.LET(
_xlpm.CSVVal,_xlfn.XLOOKUP($A295,CSV!$A:$A,CSV!H:H,""),
_xlpm.MacVal,_xlfn.XLOOKUP($A295,Output_Mac!$A:$A,Output_Mac!I:I,""),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_xlpm.CSVVal,_xlfn.XLOOKUP($A295,CSV!$A:$A,CSV!J:J,""),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46" t="str" cm="1">
        <f t="array" ref="K295">IFERROR(_xlfn.LET(
_xlpm.CSVVal,_xlfn.XLOOKUP($A295,CSV!$A:$A,CSV!N:N,""),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_xlpm.CSVVal,_xlfn.XLOOKUP($A295,CSV!$A:$A,CSV!Q:Q,""),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CSV!AE:AE,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_xlpm.CSVVal,_xlfn.XLOOKUP($A295,CSV!$A:$A,CSV!AG:AG,""),
_xlpm.MacVal,_xlfn.XLOOKUP($A295,Output_Mac!$A:$A,Output_Mac!T:T,""),
_xlpm.MyAuditVal,_xlfn.XLOOKUP($A295,My_Audit!$A:$A,My_Audit!O:O,""),
_xlfn.IFS(_xlpm.MyAuditVal&lt;&gt;"",UPPER(_xlpm.MyAuditVal),_xlpm.MacVal&lt;&gt;"",_xlpm.MacVal,_xlpm.CSVVal&lt;&gt;"",_xlpm.CSVVal
)),"")</f>
        <v/>
      </c>
      <c r="O295" s="46" t="str">
        <f>_xlfn.XLOOKUP(C295,My_Audit!B:B,My_Audit!P:P,"")&amp;""</f>
        <v/>
      </c>
      <c r="P295" s="45"/>
      <c r="Q295" s="46" t="str">
        <f>IF(LEFT(N295,4)="Pass","Nist SP 800-88",My_Audit!R295)&amp;""</f>
        <v/>
      </c>
      <c r="R295" s="45"/>
      <c r="S295" s="45"/>
      <c r="T295" s="46" t="str">
        <f>_xlfn.XLOOKUP(E295,Models!I:I,Models!J:J,"")</f>
        <v/>
      </c>
      <c r="U295" s="45"/>
      <c r="V295" s="45"/>
      <c r="W295" s="38" t="str">
        <f>_xlfn.LET(
    _xlpm.MacVal, _xlfn.XLOOKUP($A295, Output_Mac!$A:$A, Output_Mac!AA:AA, ""),
    _xlpm.MyAuditVal, _xlfn.XLOOKUP($A295, My_Audit!$A:$A, My_Audit!L:L, ""),
    _xlfn.TEXTJOIN(", ", TRUE, _xlpm.MyAuditVal, _xlpm.MacVal)
)</f>
        <v/>
      </c>
    </row>
    <row r="296" spans="1:23">
      <c r="A296" s="45" t="str">
        <f>_xlfn.TEXTJOIN("",TRUE,Input!$B$2,ROW(My_Audit!A295))</f>
        <v>CC295</v>
      </c>
      <c r="B296" s="45" t="str">
        <f>_xlfn.TEXTJOIN("-",TRUE,"ITD",Input!$A$2,A296)</f>
        <v>ITD-XXX-CC295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 cm="1">
        <f t="array" ref="D296">IFERROR(_xlfn.LET(
_xlpm.CSVVal,_xlfn.XLOOKUP($A296,CSV!$A:$A,CSV!C:C,""),
_xlpm.MacVal,_xlfn.XLOOKUP($A296,Output_Mac!$A:$A,Output_Mac!D:D,""),
_xlpm.MyAuditVal,_xlfn.XLOOKUP($A296,My_Audit!$A:$A,My_Audit!C:C,""),
_xlfn.IFS(_xlpm.MyAuditVal&lt;&gt;"",UPPER(_xlpm.MyAuditVal),_xlpm.MacVal&lt;&gt;"",_xlpm.MacVal,_xlpm.CSVVal&lt;&gt;"",_xlpm.CSVVal
)),"")</f>
        <v/>
      </c>
      <c r="E296" s="46" t="str" cm="1">
        <f t="array" ref="E296">IFERROR(_xlfn.LET(
_xlpm.CSVVal,_xlfn.XLOOKUP($A296,CSV!$A:$A,CSV!E:E,""),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_xlpm.CSVVal,_xlfn.XLOOKUP($A296,CSV!$A:$A,CSV!G:G,""),
_xlpm.MacVal,_xlfn.XLOOKUP($A296,Output_Mac!$A:$A,Output_Mac!G:G,""),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_xlfn.XLOOKUP(A296,Output_Mac!A:A,Output_Mac!H:H,"")</f>
        <v/>
      </c>
      <c r="I296" s="45" t="str" cm="1">
        <f t="array" ref="I296">IFERROR(_xlfn.LET(
_xlpm.CSVVal,_xlfn.XLOOKUP($A296,CSV!$A:$A,CSV!H:H,""),
_xlpm.MacVal,_xlfn.XLOOKUP($A296,Output_Mac!$A:$A,Output_Mac!I:I,""),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_xlpm.CSVVal,_xlfn.XLOOKUP($A296,CSV!$A:$A,CSV!J:J,""),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46" t="str" cm="1">
        <f t="array" ref="K296">IFERROR(_xlfn.LET(
_xlpm.CSVVal,_xlfn.XLOOKUP($A296,CSV!$A:$A,CSV!N:N,""),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_xlpm.CSVVal,_xlfn.XLOOKUP($A296,CSV!$A:$A,CSV!Q:Q,""),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CSV!AE:AE,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_xlpm.CSVVal,_xlfn.XLOOKUP($A296,CSV!$A:$A,CSV!AG:AG,""),
_xlpm.MacVal,_xlfn.XLOOKUP($A296,Output_Mac!$A:$A,Output_Mac!T:T,""),
_xlpm.MyAuditVal,_xlfn.XLOOKUP($A296,My_Audit!$A:$A,My_Audit!O:O,""),
_xlfn.IFS(_xlpm.MyAuditVal&lt;&gt;"",UPPER(_xlpm.MyAuditVal),_xlpm.MacVal&lt;&gt;"",_xlpm.MacVal,_xlpm.CSVVal&lt;&gt;"",_xlpm.CSVVal
)),"")</f>
        <v/>
      </c>
      <c r="O296" s="46" t="str">
        <f>_xlfn.XLOOKUP(C296,My_Audit!B:B,My_Audit!P:P,"")&amp;""</f>
        <v/>
      </c>
      <c r="P296" s="45"/>
      <c r="Q296" s="46" t="str">
        <f>IF(LEFT(N296,4)="Pass","Nist SP 800-88",My_Audit!R296)&amp;""</f>
        <v/>
      </c>
      <c r="R296" s="45"/>
      <c r="S296" s="45"/>
      <c r="T296" s="46" t="str">
        <f>_xlfn.XLOOKUP(E296,Models!I:I,Models!J:J,"")</f>
        <v/>
      </c>
      <c r="U296" s="45"/>
      <c r="V296" s="45"/>
      <c r="W296" s="38" t="str">
        <f>_xlfn.LET(
    _xlpm.MacVal, _xlfn.XLOOKUP($A296, Output_Mac!$A:$A, Output_Mac!AA:AA, ""),
    _xlpm.MyAuditVal, _xlfn.XLOOKUP($A296, My_Audit!$A:$A, My_Audit!L:L, ""),
    _xlfn.TEXTJOIN(", ", TRUE, _xlpm.MyAuditVal, _xlpm.MacVal)
)</f>
        <v/>
      </c>
    </row>
    <row r="297" spans="1:23">
      <c r="A297" s="45" t="str">
        <f>_xlfn.TEXTJOIN("",TRUE,Input!$B$2,ROW(My_Audit!A296))</f>
        <v>CC296</v>
      </c>
      <c r="B297" s="45" t="str">
        <f>_xlfn.TEXTJOIN("-",TRUE,"ITD",Input!$A$2,A297)</f>
        <v>ITD-XXX-CC296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 cm="1">
        <f t="array" ref="D297">IFERROR(_xlfn.LET(
_xlpm.CSVVal,_xlfn.XLOOKUP($A297,CSV!$A:$A,CSV!C:C,""),
_xlpm.MacVal,_xlfn.XLOOKUP($A297,Output_Mac!$A:$A,Output_Mac!D:D,""),
_xlpm.MyAuditVal,_xlfn.XLOOKUP($A297,My_Audit!$A:$A,My_Audit!C:C,""),
_xlfn.IFS(_xlpm.MyAuditVal&lt;&gt;"",UPPER(_xlpm.MyAuditVal),_xlpm.MacVal&lt;&gt;"",_xlpm.MacVal,_xlpm.CSVVal&lt;&gt;"",_xlpm.CSVVal
)),"")</f>
        <v/>
      </c>
      <c r="E297" s="46" t="str" cm="1">
        <f t="array" ref="E297">IFERROR(_xlfn.LET(
_xlpm.CSVVal,_xlfn.XLOOKUP($A297,CSV!$A:$A,CSV!E:E,""),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_xlpm.CSVVal,_xlfn.XLOOKUP($A297,CSV!$A:$A,CSV!G:G,""),
_xlpm.MacVal,_xlfn.XLOOKUP($A297,Output_Mac!$A:$A,Output_Mac!G:G,""),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_xlfn.XLOOKUP(A297,Output_Mac!A:A,Output_Mac!H:H,"")</f>
        <v/>
      </c>
      <c r="I297" s="45" t="str" cm="1">
        <f t="array" ref="I297">IFERROR(_xlfn.LET(
_xlpm.CSVVal,_xlfn.XLOOKUP($A297,CSV!$A:$A,CSV!H:H,""),
_xlpm.MacVal,_xlfn.XLOOKUP($A297,Output_Mac!$A:$A,Output_Mac!I:I,""),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_xlpm.CSVVal,_xlfn.XLOOKUP($A297,CSV!$A:$A,CSV!J:J,""),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46" t="str" cm="1">
        <f t="array" ref="K297">IFERROR(_xlfn.LET(
_xlpm.CSVVal,_xlfn.XLOOKUP($A297,CSV!$A:$A,CSV!N:N,""),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_xlpm.CSVVal,_xlfn.XLOOKUP($A297,CSV!$A:$A,CSV!Q:Q,""),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CSV!AE:AE,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_xlpm.CSVVal,_xlfn.XLOOKUP($A297,CSV!$A:$A,CSV!AG:AG,""),
_xlpm.MacVal,_xlfn.XLOOKUP($A297,Output_Mac!$A:$A,Output_Mac!T:T,""),
_xlpm.MyAuditVal,_xlfn.XLOOKUP($A297,My_Audit!$A:$A,My_Audit!O:O,""),
_xlfn.IFS(_xlpm.MyAuditVal&lt;&gt;"",UPPER(_xlpm.MyAuditVal),_xlpm.MacVal&lt;&gt;"",_xlpm.MacVal,_xlpm.CSVVal&lt;&gt;"",_xlpm.CSVVal
)),"")</f>
        <v/>
      </c>
      <c r="O297" s="46" t="str">
        <f>_xlfn.XLOOKUP(C297,My_Audit!B:B,My_Audit!P:P,"")&amp;""</f>
        <v/>
      </c>
      <c r="P297" s="45"/>
      <c r="Q297" s="46" t="str">
        <f>IF(LEFT(N297,4)="Pass","Nist SP 800-88",My_Audit!R297)&amp;""</f>
        <v/>
      </c>
      <c r="R297" s="45"/>
      <c r="S297" s="45"/>
      <c r="T297" s="46" t="str">
        <f>_xlfn.XLOOKUP(E297,Models!I:I,Models!J:J,"")</f>
        <v/>
      </c>
      <c r="U297" s="45"/>
      <c r="V297" s="45"/>
      <c r="W297" s="38" t="str">
        <f>_xlfn.LET(
    _xlpm.MacVal, _xlfn.XLOOKUP($A297, Output_Mac!$A:$A, Output_Mac!AA:AA, ""),
    _xlpm.MyAuditVal, _xlfn.XLOOKUP($A297, My_Audit!$A:$A, My_Audit!L:L, ""),
    _xlfn.TEXTJOIN(", ", TRUE, _xlpm.MyAuditVal, _xlpm.MacVal)
)</f>
        <v/>
      </c>
    </row>
    <row r="298" spans="1:23">
      <c r="A298" s="45" t="str">
        <f>_xlfn.TEXTJOIN("",TRUE,Input!$B$2,ROW(My_Audit!A297))</f>
        <v>CC297</v>
      </c>
      <c r="B298" s="45" t="str">
        <f>_xlfn.TEXTJOIN("-",TRUE,"ITD",Input!$A$2,A298)</f>
        <v>ITD-XXX-CC297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 cm="1">
        <f t="array" ref="D298">IFERROR(_xlfn.LET(
_xlpm.CSVVal,_xlfn.XLOOKUP($A298,CSV!$A:$A,CSV!C:C,""),
_xlpm.MacVal,_xlfn.XLOOKUP($A298,Output_Mac!$A:$A,Output_Mac!D:D,""),
_xlpm.MyAuditVal,_xlfn.XLOOKUP($A298,My_Audit!$A:$A,My_Audit!C:C,""),
_xlfn.IFS(_xlpm.MyAuditVal&lt;&gt;"",UPPER(_xlpm.MyAuditVal),_xlpm.MacVal&lt;&gt;"",_xlpm.MacVal,_xlpm.CSVVal&lt;&gt;"",_xlpm.CSVVal
)),"")</f>
        <v/>
      </c>
      <c r="E298" s="46" t="str" cm="1">
        <f t="array" ref="E298">IFERROR(_xlfn.LET(
_xlpm.CSVVal,_xlfn.XLOOKUP($A298,CSV!$A:$A,CSV!E:E,""),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_xlpm.CSVVal,_xlfn.XLOOKUP($A298,CSV!$A:$A,CSV!G:G,""),
_xlpm.MacVal,_xlfn.XLOOKUP($A298,Output_Mac!$A:$A,Output_Mac!G:G,""),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_xlfn.XLOOKUP(A298,Output_Mac!A:A,Output_Mac!H:H,"")</f>
        <v/>
      </c>
      <c r="I298" s="45" t="str" cm="1">
        <f t="array" ref="I298">IFERROR(_xlfn.LET(
_xlpm.CSVVal,_xlfn.XLOOKUP($A298,CSV!$A:$A,CSV!H:H,""),
_xlpm.MacVal,_xlfn.XLOOKUP($A298,Output_Mac!$A:$A,Output_Mac!I:I,""),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_xlpm.CSVVal,_xlfn.XLOOKUP($A298,CSV!$A:$A,CSV!J:J,""),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46" t="str" cm="1">
        <f t="array" ref="K298">IFERROR(_xlfn.LET(
_xlpm.CSVVal,_xlfn.XLOOKUP($A298,CSV!$A:$A,CSV!N:N,""),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_xlpm.CSVVal,_xlfn.XLOOKUP($A298,CSV!$A:$A,CSV!Q:Q,""),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CSV!AE:AE,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_xlpm.CSVVal,_xlfn.XLOOKUP($A298,CSV!$A:$A,CSV!AG:AG,""),
_xlpm.MacVal,_xlfn.XLOOKUP($A298,Output_Mac!$A:$A,Output_Mac!T:T,""),
_xlpm.MyAuditVal,_xlfn.XLOOKUP($A298,My_Audit!$A:$A,My_Audit!O:O,""),
_xlfn.IFS(_xlpm.MyAuditVal&lt;&gt;"",UPPER(_xlpm.MyAuditVal),_xlpm.MacVal&lt;&gt;"",_xlpm.MacVal,_xlpm.CSVVal&lt;&gt;"",_xlpm.CSVVal
)),"")</f>
        <v/>
      </c>
      <c r="O298" s="46" t="str">
        <f>_xlfn.XLOOKUP(C298,My_Audit!B:B,My_Audit!P:P,"")&amp;""</f>
        <v/>
      </c>
      <c r="P298" s="45"/>
      <c r="Q298" s="46" t="str">
        <f>IF(LEFT(N298,4)="Pass","Nist SP 800-88",My_Audit!R298)&amp;""</f>
        <v/>
      </c>
      <c r="R298" s="45"/>
      <c r="S298" s="45"/>
      <c r="T298" s="46" t="str">
        <f>_xlfn.XLOOKUP(E298,Models!I:I,Models!J:J,"")</f>
        <v/>
      </c>
      <c r="U298" s="45"/>
      <c r="V298" s="45"/>
      <c r="W298" s="38" t="str">
        <f>_xlfn.LET(
    _xlpm.MacVal, _xlfn.XLOOKUP($A298, Output_Mac!$A:$A, Output_Mac!AA:AA, ""),
    _xlpm.MyAuditVal, _xlfn.XLOOKUP($A298, My_Audit!$A:$A, My_Audit!L:L, ""),
    _xlfn.TEXTJOIN(", ", TRUE, _xlpm.MyAuditVal, _xlpm.MacVal)
)</f>
        <v/>
      </c>
    </row>
    <row r="299" spans="1:23">
      <c r="A299" s="45" t="str">
        <f>_xlfn.TEXTJOIN("",TRUE,Input!$B$2,ROW(My_Audit!A298))</f>
        <v>CC298</v>
      </c>
      <c r="B299" s="45" t="str">
        <f>_xlfn.TEXTJOIN("-",TRUE,"ITD",Input!$A$2,A299)</f>
        <v>ITD-XXX-CC298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 cm="1">
        <f t="array" ref="D299">IFERROR(_xlfn.LET(
_xlpm.CSVVal,_xlfn.XLOOKUP($A299,CSV!$A:$A,CSV!C:C,""),
_xlpm.MacVal,_xlfn.XLOOKUP($A299,Output_Mac!$A:$A,Output_Mac!D:D,""),
_xlpm.MyAuditVal,_xlfn.XLOOKUP($A299,My_Audit!$A:$A,My_Audit!C:C,""),
_xlfn.IFS(_xlpm.MyAuditVal&lt;&gt;"",UPPER(_xlpm.MyAuditVal),_xlpm.MacVal&lt;&gt;"",_xlpm.MacVal,_xlpm.CSVVal&lt;&gt;"",_xlpm.CSVVal
)),"")</f>
        <v/>
      </c>
      <c r="E299" s="46" t="str" cm="1">
        <f t="array" ref="E299">IFERROR(_xlfn.LET(
_xlpm.CSVVal,_xlfn.XLOOKUP($A299,CSV!$A:$A,CSV!E:E,""),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_xlpm.CSVVal,_xlfn.XLOOKUP($A299,CSV!$A:$A,CSV!G:G,""),
_xlpm.MacVal,_xlfn.XLOOKUP($A299,Output_Mac!$A:$A,Output_Mac!G:G,""),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_xlfn.XLOOKUP(A299,Output_Mac!A:A,Output_Mac!H:H,"")</f>
        <v/>
      </c>
      <c r="I299" s="45" t="str" cm="1">
        <f t="array" ref="I299">IFERROR(_xlfn.LET(
_xlpm.CSVVal,_xlfn.XLOOKUP($A299,CSV!$A:$A,CSV!H:H,""),
_xlpm.MacVal,_xlfn.XLOOKUP($A299,Output_Mac!$A:$A,Output_Mac!I:I,""),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_xlpm.CSVVal,_xlfn.XLOOKUP($A299,CSV!$A:$A,CSV!J:J,""),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46" t="str" cm="1">
        <f t="array" ref="K299">IFERROR(_xlfn.LET(
_xlpm.CSVVal,_xlfn.XLOOKUP($A299,CSV!$A:$A,CSV!N:N,""),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_xlpm.CSVVal,_xlfn.XLOOKUP($A299,CSV!$A:$A,CSV!Q:Q,""),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CSV!AE:AE,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_xlpm.CSVVal,_xlfn.XLOOKUP($A299,CSV!$A:$A,CSV!AG:AG,""),
_xlpm.MacVal,_xlfn.XLOOKUP($A299,Output_Mac!$A:$A,Output_Mac!T:T,""),
_xlpm.MyAuditVal,_xlfn.XLOOKUP($A299,My_Audit!$A:$A,My_Audit!O:O,""),
_xlfn.IFS(_xlpm.MyAuditVal&lt;&gt;"",UPPER(_xlpm.MyAuditVal),_xlpm.MacVal&lt;&gt;"",_xlpm.MacVal,_xlpm.CSVVal&lt;&gt;"",_xlpm.CSVVal
)),"")</f>
        <v/>
      </c>
      <c r="O299" s="46" t="str">
        <f>_xlfn.XLOOKUP(C299,My_Audit!B:B,My_Audit!P:P,"")&amp;""</f>
        <v/>
      </c>
      <c r="P299" s="45"/>
      <c r="Q299" s="46" t="str">
        <f>IF(LEFT(N299,4)="Pass","Nist SP 800-88",My_Audit!R299)&amp;""</f>
        <v/>
      </c>
      <c r="R299" s="45"/>
      <c r="S299" s="45"/>
      <c r="T299" s="46" t="str">
        <f>_xlfn.XLOOKUP(E299,Models!I:I,Models!J:J,"")</f>
        <v/>
      </c>
      <c r="U299" s="45"/>
      <c r="V299" s="45"/>
      <c r="W299" s="38" t="str">
        <f>_xlfn.LET(
    _xlpm.MacVal, _xlfn.XLOOKUP($A299, Output_Mac!$A:$A, Output_Mac!AA:AA, ""),
    _xlpm.MyAuditVal, _xlfn.XLOOKUP($A299, My_Audit!$A:$A, My_Audit!L:L, ""),
    _xlfn.TEXTJOIN(", ", TRUE, _xlpm.MyAuditVal, _xlpm.MacVal)
)</f>
        <v/>
      </c>
    </row>
    <row r="300" spans="1:23">
      <c r="A300" s="45" t="str">
        <f>_xlfn.TEXTJOIN("",TRUE,Input!$B$2,ROW(My_Audit!A299))</f>
        <v>CC299</v>
      </c>
      <c r="B300" s="45" t="str">
        <f>_xlfn.TEXTJOIN("-",TRUE,"ITD",Input!$A$2,A300)</f>
        <v>ITD-XXX-CC299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 cm="1">
        <f t="array" ref="D300">IFERROR(_xlfn.LET(
_xlpm.CSVVal,_xlfn.XLOOKUP($A300,CSV!$A:$A,CSV!C:C,""),
_xlpm.MacVal,_xlfn.XLOOKUP($A300,Output_Mac!$A:$A,Output_Mac!D:D,""),
_xlpm.MyAuditVal,_xlfn.XLOOKUP($A300,My_Audit!$A:$A,My_Audit!C:C,""),
_xlfn.IFS(_xlpm.MyAuditVal&lt;&gt;"",UPPER(_xlpm.MyAuditVal),_xlpm.MacVal&lt;&gt;"",_xlpm.MacVal,_xlpm.CSVVal&lt;&gt;"",_xlpm.CSVVal
)),"")</f>
        <v/>
      </c>
      <c r="E300" s="46" t="str" cm="1">
        <f t="array" ref="E300">IFERROR(_xlfn.LET(
_xlpm.CSVVal,_xlfn.XLOOKUP($A300,CSV!$A:$A,CSV!E:E,""),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_xlpm.CSVVal,_xlfn.XLOOKUP($A300,CSV!$A:$A,CSV!G:G,""),
_xlpm.MacVal,_xlfn.XLOOKUP($A300,Output_Mac!$A:$A,Output_Mac!G:G,""),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_xlfn.XLOOKUP(A300,Output_Mac!A:A,Output_Mac!H:H,"")</f>
        <v/>
      </c>
      <c r="I300" s="45" t="str" cm="1">
        <f t="array" ref="I300">IFERROR(_xlfn.LET(
_xlpm.CSVVal,_xlfn.XLOOKUP($A300,CSV!$A:$A,CSV!H:H,""),
_xlpm.MacVal,_xlfn.XLOOKUP($A300,Output_Mac!$A:$A,Output_Mac!I:I,""),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_xlpm.CSVVal,_xlfn.XLOOKUP($A300,CSV!$A:$A,CSV!J:J,""),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46" t="str" cm="1">
        <f t="array" ref="K300">IFERROR(_xlfn.LET(
_xlpm.CSVVal,_xlfn.XLOOKUP($A300,CSV!$A:$A,CSV!N:N,""),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_xlpm.CSVVal,_xlfn.XLOOKUP($A300,CSV!$A:$A,CSV!Q:Q,""),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CSV!AE:AE,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_xlpm.CSVVal,_xlfn.XLOOKUP($A300,CSV!$A:$A,CSV!AG:AG,""),
_xlpm.MacVal,_xlfn.XLOOKUP($A300,Output_Mac!$A:$A,Output_Mac!T:T,""),
_xlpm.MyAuditVal,_xlfn.XLOOKUP($A300,My_Audit!$A:$A,My_Audit!O:O,""),
_xlfn.IFS(_xlpm.MyAuditVal&lt;&gt;"",UPPER(_xlpm.MyAuditVal),_xlpm.MacVal&lt;&gt;"",_xlpm.MacVal,_xlpm.CSVVal&lt;&gt;"",_xlpm.CSVVal
)),"")</f>
        <v/>
      </c>
      <c r="O300" s="46" t="str">
        <f>_xlfn.XLOOKUP(C300,My_Audit!B:B,My_Audit!P:P,"")&amp;""</f>
        <v/>
      </c>
      <c r="P300" s="45"/>
      <c r="Q300" s="46" t="str">
        <f>IF(LEFT(N300,4)="Pass","Nist SP 800-88",My_Audit!R300)&amp;""</f>
        <v/>
      </c>
      <c r="R300" s="45"/>
      <c r="S300" s="45"/>
      <c r="T300" s="46" t="str">
        <f>_xlfn.XLOOKUP(E300,Models!I:I,Models!J:J,"")</f>
        <v/>
      </c>
      <c r="U300" s="45"/>
      <c r="V300" s="45"/>
      <c r="W300" s="38" t="str">
        <f>_xlfn.LET(
    _xlpm.MacVal, _xlfn.XLOOKUP($A300, Output_Mac!$A:$A, Output_Mac!AA:AA, ""),
    _xlpm.MyAuditVal, _xlfn.XLOOKUP($A300, My_Audit!$A:$A, My_Audit!L:L, ""),
    _xlfn.TEXTJOIN(", ", TRUE, _xlpm.MyAuditVal, _xlpm.MacVal)
)</f>
        <v/>
      </c>
    </row>
    <row r="301" spans="1:23">
      <c r="A301" s="45" t="str">
        <f>_xlfn.TEXTJOIN("",TRUE,Input!$B$2,ROW(My_Audit!A300))</f>
        <v>CC300</v>
      </c>
      <c r="B301" s="45" t="str">
        <f>_xlfn.TEXTJOIN("-",TRUE,"ITD",Input!$A$2,A301)</f>
        <v>ITD-XXX-CC300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 cm="1">
        <f t="array" ref="D301">IFERROR(_xlfn.LET(
_xlpm.CSVVal,_xlfn.XLOOKUP($A301,CSV!$A:$A,CSV!C:C,""),
_xlpm.MacVal,_xlfn.XLOOKUP($A301,Output_Mac!$A:$A,Output_Mac!D:D,""),
_xlpm.MyAuditVal,_xlfn.XLOOKUP($A301,My_Audit!$A:$A,My_Audit!C:C,""),
_xlfn.IFS(_xlpm.MyAuditVal&lt;&gt;"",UPPER(_xlpm.MyAuditVal),_xlpm.MacVal&lt;&gt;"",_xlpm.MacVal,_xlpm.CSVVal&lt;&gt;"",_xlpm.CSVVal
)),"")</f>
        <v/>
      </c>
      <c r="E301" s="46" t="str" cm="1">
        <f t="array" ref="E301">IFERROR(_xlfn.LET(
_xlpm.CSVVal,_xlfn.XLOOKUP($A301,CSV!$A:$A,CSV!E:E,""),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_xlpm.CSVVal,_xlfn.XLOOKUP($A301,CSV!$A:$A,CSV!G:G,""),
_xlpm.MacVal,_xlfn.XLOOKUP($A301,Output_Mac!$A:$A,Output_Mac!G:G,""),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_xlfn.XLOOKUP(A301,Output_Mac!A:A,Output_Mac!H:H,"")</f>
        <v/>
      </c>
      <c r="I301" s="45" t="str" cm="1">
        <f t="array" ref="I301">IFERROR(_xlfn.LET(
_xlpm.CSVVal,_xlfn.XLOOKUP($A301,CSV!$A:$A,CSV!H:H,""),
_xlpm.MacVal,_xlfn.XLOOKUP($A301,Output_Mac!$A:$A,Output_Mac!I:I,""),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_xlpm.CSVVal,_xlfn.XLOOKUP($A301,CSV!$A:$A,CSV!J:J,""),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46" t="str" cm="1">
        <f t="array" ref="K301">IFERROR(_xlfn.LET(
_xlpm.CSVVal,_xlfn.XLOOKUP($A301,CSV!$A:$A,CSV!N:N,""),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_xlpm.CSVVal,_xlfn.XLOOKUP($A301,CSV!$A:$A,CSV!Q:Q,""),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CSV!AE:AE,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_xlpm.CSVVal,_xlfn.XLOOKUP($A301,CSV!$A:$A,CSV!AG:AG,""),
_xlpm.MacVal,_xlfn.XLOOKUP($A301,Output_Mac!$A:$A,Output_Mac!T:T,""),
_xlpm.MyAuditVal,_xlfn.XLOOKUP($A301,My_Audit!$A:$A,My_Audit!O:O,""),
_xlfn.IFS(_xlpm.MyAuditVal&lt;&gt;"",UPPER(_xlpm.MyAuditVal),_xlpm.MacVal&lt;&gt;"",_xlpm.MacVal,_xlpm.CSVVal&lt;&gt;"",_xlpm.CSVVal
)),"")</f>
        <v/>
      </c>
      <c r="O301" s="46" t="str">
        <f>_xlfn.XLOOKUP(C301,My_Audit!B:B,My_Audit!P:P,"")&amp;""</f>
        <v/>
      </c>
      <c r="P301" s="45"/>
      <c r="Q301" s="46" t="str">
        <f>IF(LEFT(N301,4)="Pass","Nist SP 800-88",My_Audit!R301)&amp;""</f>
        <v/>
      </c>
      <c r="R301" s="45"/>
      <c r="S301" s="45"/>
      <c r="T301" s="46" t="str">
        <f>_xlfn.XLOOKUP(E301,Models!I:I,Models!J:J,"")</f>
        <v/>
      </c>
      <c r="U301" s="45"/>
      <c r="V301" s="45"/>
      <c r="W301" s="38" t="str">
        <f>_xlfn.LET(
    _xlpm.MacVal, _xlfn.XLOOKUP($A301, Output_Mac!$A:$A, Output_Mac!AA:AA, ""),
    _xlpm.MyAuditVal, _xlfn.XLOOKUP($A301, My_Audit!$A:$A, My_Audit!L:L, ""),
    _xlfn.TEXTJOIN(", ", TRUE, _xlpm.MyAuditVal, _xlpm.MacVal)
)</f>
        <v/>
      </c>
    </row>
    <row r="302" spans="1:23">
      <c r="A302" s="45" t="str">
        <f>_xlfn.TEXTJOIN("",TRUE,Input!$B$2,ROW(My_Audit!A301))</f>
        <v>CC301</v>
      </c>
      <c r="B302" s="45" t="str">
        <f>_xlfn.TEXTJOIN("-",TRUE,"ITD",Input!$A$2,A302)</f>
        <v>ITD-XXX-CC301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 cm="1">
        <f t="array" ref="D302">IFERROR(_xlfn.LET(
_xlpm.CSVVal,_xlfn.XLOOKUP($A302,CSV!$A:$A,CSV!C:C,""),
_xlpm.MacVal,_xlfn.XLOOKUP($A302,Output_Mac!$A:$A,Output_Mac!D:D,""),
_xlpm.MyAuditVal,_xlfn.XLOOKUP($A302,My_Audit!$A:$A,My_Audit!C:C,""),
_xlfn.IFS(_xlpm.MyAuditVal&lt;&gt;"",UPPER(_xlpm.MyAuditVal),_xlpm.MacVal&lt;&gt;"",_xlpm.MacVal,_xlpm.CSVVal&lt;&gt;"",_xlpm.CSVVal
)),"")</f>
        <v/>
      </c>
      <c r="E302" s="46" t="str" cm="1">
        <f t="array" ref="E302">IFERROR(_xlfn.LET(
_xlpm.CSVVal,_xlfn.XLOOKUP($A302,CSV!$A:$A,CSV!E:E,""),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_xlpm.CSVVal,_xlfn.XLOOKUP($A302,CSV!$A:$A,CSV!G:G,""),
_xlpm.MacVal,_xlfn.XLOOKUP($A302,Output_Mac!$A:$A,Output_Mac!G:G,""),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_xlfn.XLOOKUP(A302,Output_Mac!A:A,Output_Mac!H:H,"")</f>
        <v/>
      </c>
      <c r="I302" s="45" t="str" cm="1">
        <f t="array" ref="I302">IFERROR(_xlfn.LET(
_xlpm.CSVVal,_xlfn.XLOOKUP($A302,CSV!$A:$A,CSV!H:H,""),
_xlpm.MacVal,_xlfn.XLOOKUP($A302,Output_Mac!$A:$A,Output_Mac!I:I,""),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_xlpm.CSVVal,_xlfn.XLOOKUP($A302,CSV!$A:$A,CSV!J:J,""),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46" t="str" cm="1">
        <f t="array" ref="K302">IFERROR(_xlfn.LET(
_xlpm.CSVVal,_xlfn.XLOOKUP($A302,CSV!$A:$A,CSV!N:N,""),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_xlpm.CSVVal,_xlfn.XLOOKUP($A302,CSV!$A:$A,CSV!Q:Q,""),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CSV!AE:AE,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_xlpm.CSVVal,_xlfn.XLOOKUP($A302,CSV!$A:$A,CSV!AG:AG,""),
_xlpm.MacVal,_xlfn.XLOOKUP($A302,Output_Mac!$A:$A,Output_Mac!T:T,""),
_xlpm.MyAuditVal,_xlfn.XLOOKUP($A302,My_Audit!$A:$A,My_Audit!O:O,""),
_xlfn.IFS(_xlpm.MyAuditVal&lt;&gt;"",UPPER(_xlpm.MyAuditVal),_xlpm.MacVal&lt;&gt;"",_xlpm.MacVal,_xlpm.CSVVal&lt;&gt;"",_xlpm.CSVVal
)),"")</f>
        <v/>
      </c>
      <c r="O302" s="46" t="str">
        <f>_xlfn.XLOOKUP(C302,My_Audit!B:B,My_Audit!P:P,"")&amp;""</f>
        <v/>
      </c>
      <c r="P302" s="45"/>
      <c r="Q302" s="46" t="str">
        <f>IF(LEFT(N302,4)="Pass","Nist SP 800-88",My_Audit!R302)&amp;""</f>
        <v/>
      </c>
      <c r="R302" s="45"/>
      <c r="S302" s="45"/>
      <c r="T302" s="46" t="str">
        <f>_xlfn.XLOOKUP(E302,Models!I:I,Models!J:J,"")</f>
        <v/>
      </c>
      <c r="U302" s="45"/>
      <c r="V302" s="45"/>
      <c r="W302" s="38" t="str">
        <f>_xlfn.LET(
    _xlpm.MacVal, _xlfn.XLOOKUP($A302, Output_Mac!$A:$A, Output_Mac!AA:AA, ""),
    _xlpm.MyAuditVal, _xlfn.XLOOKUP($A302, My_Audit!$A:$A, My_Audit!L:L, ""),
    _xlfn.TEXTJOIN(", ", TRUE, _xlpm.MyAuditVal, _xlpm.MacVal)
)</f>
        <v/>
      </c>
    </row>
    <row r="303" spans="1:23">
      <c r="A303" s="45" t="str">
        <f>_xlfn.TEXTJOIN("",TRUE,Input!$B$2,ROW(My_Audit!A302))</f>
        <v>CC302</v>
      </c>
      <c r="B303" s="45" t="str">
        <f>_xlfn.TEXTJOIN("-",TRUE,"ITD",Input!$A$2,A303)</f>
        <v>ITD-XXX-CC302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 cm="1">
        <f t="array" ref="D303">IFERROR(_xlfn.LET(
_xlpm.CSVVal,_xlfn.XLOOKUP($A303,CSV!$A:$A,CSV!C:C,""),
_xlpm.MacVal,_xlfn.XLOOKUP($A303,Output_Mac!$A:$A,Output_Mac!D:D,""),
_xlpm.MyAuditVal,_xlfn.XLOOKUP($A303,My_Audit!$A:$A,My_Audit!C:C,""),
_xlfn.IFS(_xlpm.MyAuditVal&lt;&gt;"",UPPER(_xlpm.MyAuditVal),_xlpm.MacVal&lt;&gt;"",_xlpm.MacVal,_xlpm.CSVVal&lt;&gt;"",_xlpm.CSVVal
)),"")</f>
        <v/>
      </c>
      <c r="E303" s="46" t="str" cm="1">
        <f t="array" ref="E303">IFERROR(_xlfn.LET(
_xlpm.CSVVal,_xlfn.XLOOKUP($A303,CSV!$A:$A,CSV!E:E,""),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_xlpm.CSVVal,_xlfn.XLOOKUP($A303,CSV!$A:$A,CSV!G:G,""),
_xlpm.MacVal,_xlfn.XLOOKUP($A303,Output_Mac!$A:$A,Output_Mac!G:G,""),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_xlfn.XLOOKUP(A303,Output_Mac!A:A,Output_Mac!H:H,"")</f>
        <v/>
      </c>
      <c r="I303" s="45" t="str" cm="1">
        <f t="array" ref="I303">IFERROR(_xlfn.LET(
_xlpm.CSVVal,_xlfn.XLOOKUP($A303,CSV!$A:$A,CSV!H:H,""),
_xlpm.MacVal,_xlfn.XLOOKUP($A303,Output_Mac!$A:$A,Output_Mac!I:I,""),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_xlpm.CSVVal,_xlfn.XLOOKUP($A303,CSV!$A:$A,CSV!J:J,""),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46" t="str" cm="1">
        <f t="array" ref="K303">IFERROR(_xlfn.LET(
_xlpm.CSVVal,_xlfn.XLOOKUP($A303,CSV!$A:$A,CSV!N:N,""),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_xlpm.CSVVal,_xlfn.XLOOKUP($A303,CSV!$A:$A,CSV!Q:Q,""),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CSV!AE:AE,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_xlpm.CSVVal,_xlfn.XLOOKUP($A303,CSV!$A:$A,CSV!AG:AG,""),
_xlpm.MacVal,_xlfn.XLOOKUP($A303,Output_Mac!$A:$A,Output_Mac!T:T,""),
_xlpm.MyAuditVal,_xlfn.XLOOKUP($A303,My_Audit!$A:$A,My_Audit!O:O,""),
_xlfn.IFS(_xlpm.MyAuditVal&lt;&gt;"",UPPER(_xlpm.MyAuditVal),_xlpm.MacVal&lt;&gt;"",_xlpm.MacVal,_xlpm.CSVVal&lt;&gt;"",_xlpm.CSVVal
)),"")</f>
        <v/>
      </c>
      <c r="O303" s="46" t="str">
        <f>_xlfn.XLOOKUP(C303,My_Audit!B:B,My_Audit!P:P,"")&amp;""</f>
        <v/>
      </c>
      <c r="P303" s="45"/>
      <c r="Q303" s="46" t="str">
        <f>IF(LEFT(N303,4)="Pass","Nist SP 800-88",My_Audit!R303)&amp;""</f>
        <v/>
      </c>
      <c r="R303" s="45"/>
      <c r="S303" s="45"/>
      <c r="T303" s="46" t="str">
        <f>_xlfn.XLOOKUP(E303,Models!I:I,Models!J:J,"")</f>
        <v/>
      </c>
      <c r="U303" s="45"/>
      <c r="V303" s="45"/>
      <c r="W303" s="38" t="str">
        <f>_xlfn.LET(
    _xlpm.MacVal, _xlfn.XLOOKUP($A303, Output_Mac!$A:$A, Output_Mac!AA:AA, ""),
    _xlpm.MyAuditVal, _xlfn.XLOOKUP($A303, My_Audit!$A:$A, My_Audit!L:L, ""),
    _xlfn.TEXTJOIN(", ", TRUE, _xlpm.MyAuditVal, _xlpm.MacVal)
)</f>
        <v/>
      </c>
    </row>
    <row r="304" spans="1:23">
      <c r="A304" s="45" t="str">
        <f>_xlfn.TEXTJOIN("",TRUE,Input!$B$2,ROW(My_Audit!A303))</f>
        <v>CC303</v>
      </c>
      <c r="B304" s="45" t="str">
        <f>_xlfn.TEXTJOIN("-",TRUE,"ITD",Input!$A$2,A304)</f>
        <v>ITD-XXX-CC303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 cm="1">
        <f t="array" ref="D304">IFERROR(_xlfn.LET(
_xlpm.CSVVal,_xlfn.XLOOKUP($A304,CSV!$A:$A,CSV!C:C,""),
_xlpm.MacVal,_xlfn.XLOOKUP($A304,Output_Mac!$A:$A,Output_Mac!D:D,""),
_xlpm.MyAuditVal,_xlfn.XLOOKUP($A304,My_Audit!$A:$A,My_Audit!C:C,""),
_xlfn.IFS(_xlpm.MyAuditVal&lt;&gt;"",UPPER(_xlpm.MyAuditVal),_xlpm.MacVal&lt;&gt;"",_xlpm.MacVal,_xlpm.CSVVal&lt;&gt;"",_xlpm.CSVVal
)),"")</f>
        <v/>
      </c>
      <c r="E304" s="46" t="str" cm="1">
        <f t="array" ref="E304">IFERROR(_xlfn.LET(
_xlpm.CSVVal,_xlfn.XLOOKUP($A304,CSV!$A:$A,CSV!E:E,""),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_xlpm.CSVVal,_xlfn.XLOOKUP($A304,CSV!$A:$A,CSV!G:G,""),
_xlpm.MacVal,_xlfn.XLOOKUP($A304,Output_Mac!$A:$A,Output_Mac!G:G,""),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_xlfn.XLOOKUP(A304,Output_Mac!A:A,Output_Mac!H:H,"")</f>
        <v/>
      </c>
      <c r="I304" s="45" t="str" cm="1">
        <f t="array" ref="I304">IFERROR(_xlfn.LET(
_xlpm.CSVVal,_xlfn.XLOOKUP($A304,CSV!$A:$A,CSV!H:H,""),
_xlpm.MacVal,_xlfn.XLOOKUP($A304,Output_Mac!$A:$A,Output_Mac!I:I,""),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_xlpm.CSVVal,_xlfn.XLOOKUP($A304,CSV!$A:$A,CSV!J:J,""),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46" t="str" cm="1">
        <f t="array" ref="K304">IFERROR(_xlfn.LET(
_xlpm.CSVVal,_xlfn.XLOOKUP($A304,CSV!$A:$A,CSV!N:N,""),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_xlpm.CSVVal,_xlfn.XLOOKUP($A304,CSV!$A:$A,CSV!Q:Q,""),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CSV!AE:AE,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_xlpm.CSVVal,_xlfn.XLOOKUP($A304,CSV!$A:$A,CSV!AG:AG,""),
_xlpm.MacVal,_xlfn.XLOOKUP($A304,Output_Mac!$A:$A,Output_Mac!T:T,""),
_xlpm.MyAuditVal,_xlfn.XLOOKUP($A304,My_Audit!$A:$A,My_Audit!O:O,""),
_xlfn.IFS(_xlpm.MyAuditVal&lt;&gt;"",UPPER(_xlpm.MyAuditVal),_xlpm.MacVal&lt;&gt;"",_xlpm.MacVal,_xlpm.CSVVal&lt;&gt;"",_xlpm.CSVVal
)),"")</f>
        <v/>
      </c>
      <c r="O304" s="46" t="str">
        <f>_xlfn.XLOOKUP(C304,My_Audit!B:B,My_Audit!P:P,"")&amp;""</f>
        <v/>
      </c>
      <c r="P304" s="45"/>
      <c r="Q304" s="46" t="str">
        <f>IF(LEFT(N304,4)="Pass","Nist SP 800-88",My_Audit!R304)&amp;""</f>
        <v/>
      </c>
      <c r="R304" s="45"/>
      <c r="S304" s="45"/>
      <c r="T304" s="46" t="str">
        <f>_xlfn.XLOOKUP(E304,Models!I:I,Models!J:J,"")</f>
        <v/>
      </c>
      <c r="U304" s="45"/>
      <c r="V304" s="45"/>
      <c r="W304" s="38" t="str">
        <f>_xlfn.LET(
    _xlpm.MacVal, _xlfn.XLOOKUP($A304, Output_Mac!$A:$A, Output_Mac!AA:AA, ""),
    _xlpm.MyAuditVal, _xlfn.XLOOKUP($A304, My_Audit!$A:$A, My_Audit!L:L, ""),
    _xlfn.TEXTJOIN(", ", TRUE, _xlpm.MyAuditVal, _xlpm.MacVal)
)</f>
        <v/>
      </c>
    </row>
    <row r="305" spans="1:23">
      <c r="A305" s="45" t="str">
        <f>_xlfn.TEXTJOIN("",TRUE,Input!$B$2,ROW(My_Audit!A304))</f>
        <v>CC304</v>
      </c>
      <c r="B305" s="45" t="str">
        <f>_xlfn.TEXTJOIN("-",TRUE,"ITD",Input!$A$2,A305)</f>
        <v>ITD-XXX-CC304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 cm="1">
        <f t="array" ref="D305">IFERROR(_xlfn.LET(
_xlpm.CSVVal,_xlfn.XLOOKUP($A305,CSV!$A:$A,CSV!C:C,""),
_xlpm.MacVal,_xlfn.XLOOKUP($A305,Output_Mac!$A:$A,Output_Mac!D:D,""),
_xlpm.MyAuditVal,_xlfn.XLOOKUP($A305,My_Audit!$A:$A,My_Audit!C:C,""),
_xlfn.IFS(_xlpm.MyAuditVal&lt;&gt;"",UPPER(_xlpm.MyAuditVal),_xlpm.MacVal&lt;&gt;"",_xlpm.MacVal,_xlpm.CSVVal&lt;&gt;"",_xlpm.CSVVal
)),"")</f>
        <v/>
      </c>
      <c r="E305" s="46" t="str" cm="1">
        <f t="array" ref="E305">IFERROR(_xlfn.LET(
_xlpm.CSVVal,_xlfn.XLOOKUP($A305,CSV!$A:$A,CSV!E:E,""),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_xlpm.CSVVal,_xlfn.XLOOKUP($A305,CSV!$A:$A,CSV!G:G,""),
_xlpm.MacVal,_xlfn.XLOOKUP($A305,Output_Mac!$A:$A,Output_Mac!G:G,""),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_xlfn.XLOOKUP(A305,Output_Mac!A:A,Output_Mac!H:H,"")</f>
        <v/>
      </c>
      <c r="I305" s="45" t="str" cm="1">
        <f t="array" ref="I305">IFERROR(_xlfn.LET(
_xlpm.CSVVal,_xlfn.XLOOKUP($A305,CSV!$A:$A,CSV!H:H,""),
_xlpm.MacVal,_xlfn.XLOOKUP($A305,Output_Mac!$A:$A,Output_Mac!I:I,""),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_xlpm.CSVVal,_xlfn.XLOOKUP($A305,CSV!$A:$A,CSV!J:J,""),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46" t="str" cm="1">
        <f t="array" ref="K305">IFERROR(_xlfn.LET(
_xlpm.CSVVal,_xlfn.XLOOKUP($A305,CSV!$A:$A,CSV!N:N,""),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_xlpm.CSVVal,_xlfn.XLOOKUP($A305,CSV!$A:$A,CSV!Q:Q,""),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CSV!AE:AE,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_xlpm.CSVVal,_xlfn.XLOOKUP($A305,CSV!$A:$A,CSV!AG:AG,""),
_xlpm.MacVal,_xlfn.XLOOKUP($A305,Output_Mac!$A:$A,Output_Mac!T:T,""),
_xlpm.MyAuditVal,_xlfn.XLOOKUP($A305,My_Audit!$A:$A,My_Audit!O:O,""),
_xlfn.IFS(_xlpm.MyAuditVal&lt;&gt;"",UPPER(_xlpm.MyAuditVal),_xlpm.MacVal&lt;&gt;"",_xlpm.MacVal,_xlpm.CSVVal&lt;&gt;"",_xlpm.CSVVal
)),"")</f>
        <v/>
      </c>
      <c r="O305" s="46" t="str">
        <f>_xlfn.XLOOKUP(C305,My_Audit!B:B,My_Audit!P:P,"")&amp;""</f>
        <v/>
      </c>
      <c r="P305" s="45"/>
      <c r="Q305" s="46" t="str">
        <f>IF(LEFT(N305,4)="Pass","Nist SP 800-88",My_Audit!R305)&amp;""</f>
        <v/>
      </c>
      <c r="R305" s="45"/>
      <c r="S305" s="45"/>
      <c r="T305" s="46" t="str">
        <f>_xlfn.XLOOKUP(E305,Models!I:I,Models!J:J,"")</f>
        <v/>
      </c>
      <c r="U305" s="45"/>
      <c r="V305" s="45"/>
      <c r="W305" s="38" t="str">
        <f>_xlfn.LET(
    _xlpm.MacVal, _xlfn.XLOOKUP($A305, Output_Mac!$A:$A, Output_Mac!AA:AA, ""),
    _xlpm.MyAuditVal, _xlfn.XLOOKUP($A305, My_Audit!$A:$A, My_Audit!L:L, ""),
    _xlfn.TEXTJOIN(", ", TRUE, _xlpm.MyAuditVal, _xlpm.MacVal)
)</f>
        <v/>
      </c>
    </row>
    <row r="306" spans="1:23">
      <c r="A306" s="45" t="str">
        <f>_xlfn.TEXTJOIN("",TRUE,Input!$B$2,ROW(My_Audit!A305))</f>
        <v>CC305</v>
      </c>
      <c r="B306" s="45" t="str">
        <f>_xlfn.TEXTJOIN("-",TRUE,"ITD",Input!$A$2,A306)</f>
        <v>ITD-XXX-CC305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 cm="1">
        <f t="array" ref="D306">IFERROR(_xlfn.LET(
_xlpm.CSVVal,_xlfn.XLOOKUP($A306,CSV!$A:$A,CSV!C:C,""),
_xlpm.MacVal,_xlfn.XLOOKUP($A306,Output_Mac!$A:$A,Output_Mac!D:D,""),
_xlpm.MyAuditVal,_xlfn.XLOOKUP($A306,My_Audit!$A:$A,My_Audit!C:C,""),
_xlfn.IFS(_xlpm.MyAuditVal&lt;&gt;"",UPPER(_xlpm.MyAuditVal),_xlpm.MacVal&lt;&gt;"",_xlpm.MacVal,_xlpm.CSVVal&lt;&gt;"",_xlpm.CSVVal
)),"")</f>
        <v/>
      </c>
      <c r="E306" s="46" t="str" cm="1">
        <f t="array" ref="E306">IFERROR(_xlfn.LET(
_xlpm.CSVVal,_xlfn.XLOOKUP($A306,CSV!$A:$A,CSV!E:E,""),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_xlpm.CSVVal,_xlfn.XLOOKUP($A306,CSV!$A:$A,CSV!G:G,""),
_xlpm.MacVal,_xlfn.XLOOKUP($A306,Output_Mac!$A:$A,Output_Mac!G:G,""),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_xlfn.XLOOKUP(A306,Output_Mac!A:A,Output_Mac!H:H,"")</f>
        <v/>
      </c>
      <c r="I306" s="45" t="str" cm="1">
        <f t="array" ref="I306">IFERROR(_xlfn.LET(
_xlpm.CSVVal,_xlfn.XLOOKUP($A306,CSV!$A:$A,CSV!H:H,""),
_xlpm.MacVal,_xlfn.XLOOKUP($A306,Output_Mac!$A:$A,Output_Mac!I:I,""),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_xlpm.CSVVal,_xlfn.XLOOKUP($A306,CSV!$A:$A,CSV!J:J,""),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46" t="str" cm="1">
        <f t="array" ref="K306">IFERROR(_xlfn.LET(
_xlpm.CSVVal,_xlfn.XLOOKUP($A306,CSV!$A:$A,CSV!N:N,""),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_xlpm.CSVVal,_xlfn.XLOOKUP($A306,CSV!$A:$A,CSV!Q:Q,""),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CSV!AE:AE,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_xlpm.CSVVal,_xlfn.XLOOKUP($A306,CSV!$A:$A,CSV!AG:AG,""),
_xlpm.MacVal,_xlfn.XLOOKUP($A306,Output_Mac!$A:$A,Output_Mac!T:T,""),
_xlpm.MyAuditVal,_xlfn.XLOOKUP($A306,My_Audit!$A:$A,My_Audit!O:O,""),
_xlfn.IFS(_xlpm.MyAuditVal&lt;&gt;"",UPPER(_xlpm.MyAuditVal),_xlpm.MacVal&lt;&gt;"",_xlpm.MacVal,_xlpm.CSVVal&lt;&gt;"",_xlpm.CSVVal
)),"")</f>
        <v/>
      </c>
      <c r="O306" s="46" t="str">
        <f>_xlfn.XLOOKUP(C306,My_Audit!B:B,My_Audit!P:P,"")&amp;""</f>
        <v/>
      </c>
      <c r="P306" s="45"/>
      <c r="Q306" s="46" t="str">
        <f>IF(LEFT(N306,4)="Pass","Nist SP 800-88",My_Audit!R306)&amp;""</f>
        <v/>
      </c>
      <c r="R306" s="45"/>
      <c r="S306" s="45"/>
      <c r="T306" s="46" t="str">
        <f>_xlfn.XLOOKUP(E306,Models!I:I,Models!J:J,"")</f>
        <v/>
      </c>
      <c r="U306" s="45"/>
      <c r="V306" s="45"/>
      <c r="W306" s="38" t="str">
        <f>_xlfn.LET(
    _xlpm.MacVal, _xlfn.XLOOKUP($A306, Output_Mac!$A:$A, Output_Mac!AA:AA, ""),
    _xlpm.MyAuditVal, _xlfn.XLOOKUP($A306, My_Audit!$A:$A, My_Audit!L:L, ""),
    _xlfn.TEXTJOIN(", ", TRUE, _xlpm.MyAuditVal, _xlpm.MacVal)
)</f>
        <v/>
      </c>
    </row>
    <row r="307" spans="1:23">
      <c r="A307" s="45" t="str">
        <f>_xlfn.TEXTJOIN("",TRUE,Input!$B$2,ROW(My_Audit!A306))</f>
        <v>CC306</v>
      </c>
      <c r="B307" s="45" t="str">
        <f>_xlfn.TEXTJOIN("-",TRUE,"ITD",Input!$A$2,A307)</f>
        <v>ITD-XXX-CC306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 cm="1">
        <f t="array" ref="D307">IFERROR(_xlfn.LET(
_xlpm.CSVVal,_xlfn.XLOOKUP($A307,CSV!$A:$A,CSV!C:C,""),
_xlpm.MacVal,_xlfn.XLOOKUP($A307,Output_Mac!$A:$A,Output_Mac!D:D,""),
_xlpm.MyAuditVal,_xlfn.XLOOKUP($A307,My_Audit!$A:$A,My_Audit!C:C,""),
_xlfn.IFS(_xlpm.MyAuditVal&lt;&gt;"",UPPER(_xlpm.MyAuditVal),_xlpm.MacVal&lt;&gt;"",_xlpm.MacVal,_xlpm.CSVVal&lt;&gt;"",_xlpm.CSVVal
)),"")</f>
        <v/>
      </c>
      <c r="E307" s="46" t="str" cm="1">
        <f t="array" ref="E307">IFERROR(_xlfn.LET(
_xlpm.CSVVal,_xlfn.XLOOKUP($A307,CSV!$A:$A,CSV!E:E,""),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_xlpm.CSVVal,_xlfn.XLOOKUP($A307,CSV!$A:$A,CSV!G:G,""),
_xlpm.MacVal,_xlfn.XLOOKUP($A307,Output_Mac!$A:$A,Output_Mac!G:G,""),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_xlfn.XLOOKUP(A307,Output_Mac!A:A,Output_Mac!H:H,"")</f>
        <v/>
      </c>
      <c r="I307" s="45" t="str" cm="1">
        <f t="array" ref="I307">IFERROR(_xlfn.LET(
_xlpm.CSVVal,_xlfn.XLOOKUP($A307,CSV!$A:$A,CSV!H:H,""),
_xlpm.MacVal,_xlfn.XLOOKUP($A307,Output_Mac!$A:$A,Output_Mac!I:I,""),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_xlpm.CSVVal,_xlfn.XLOOKUP($A307,CSV!$A:$A,CSV!J:J,""),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46" t="str" cm="1">
        <f t="array" ref="K307">IFERROR(_xlfn.LET(
_xlpm.CSVVal,_xlfn.XLOOKUP($A307,CSV!$A:$A,CSV!N:N,""),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_xlpm.CSVVal,_xlfn.XLOOKUP($A307,CSV!$A:$A,CSV!Q:Q,""),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CSV!AE:AE,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_xlpm.CSVVal,_xlfn.XLOOKUP($A307,CSV!$A:$A,CSV!AG:AG,""),
_xlpm.MacVal,_xlfn.XLOOKUP($A307,Output_Mac!$A:$A,Output_Mac!T:T,""),
_xlpm.MyAuditVal,_xlfn.XLOOKUP($A307,My_Audit!$A:$A,My_Audit!O:O,""),
_xlfn.IFS(_xlpm.MyAuditVal&lt;&gt;"",UPPER(_xlpm.MyAuditVal),_xlpm.MacVal&lt;&gt;"",_xlpm.MacVal,_xlpm.CSVVal&lt;&gt;"",_xlpm.CSVVal
)),"")</f>
        <v/>
      </c>
      <c r="O307" s="46" t="str">
        <f>_xlfn.XLOOKUP(C307,My_Audit!B:B,My_Audit!P:P,"")&amp;""</f>
        <v/>
      </c>
      <c r="P307" s="45"/>
      <c r="Q307" s="46" t="str">
        <f>IF(LEFT(N307,4)="Pass","Nist SP 800-88",My_Audit!R307)&amp;""</f>
        <v/>
      </c>
      <c r="R307" s="45"/>
      <c r="S307" s="45"/>
      <c r="T307" s="46" t="str">
        <f>_xlfn.XLOOKUP(E307,Models!I:I,Models!J:J,"")</f>
        <v/>
      </c>
      <c r="U307" s="45"/>
      <c r="V307" s="45"/>
      <c r="W307" s="38" t="str">
        <f>_xlfn.LET(
    _xlpm.MacVal, _xlfn.XLOOKUP($A307, Output_Mac!$A:$A, Output_Mac!AA:AA, ""),
    _xlpm.MyAuditVal, _xlfn.XLOOKUP($A307, My_Audit!$A:$A, My_Audit!L:L, ""),
    _xlfn.TEXTJOIN(", ", TRUE, _xlpm.MyAuditVal, _xlpm.MacVal)
)</f>
        <v/>
      </c>
    </row>
    <row r="308" spans="1:23">
      <c r="A308" s="45" t="str">
        <f>_xlfn.TEXTJOIN("",TRUE,Input!$B$2,ROW(My_Audit!A307))</f>
        <v>CC307</v>
      </c>
      <c r="B308" s="45" t="str">
        <f>_xlfn.TEXTJOIN("-",TRUE,"ITD",Input!$A$2,A308)</f>
        <v>ITD-XXX-CC307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 cm="1">
        <f t="array" ref="D308">IFERROR(_xlfn.LET(
_xlpm.CSVVal,_xlfn.XLOOKUP($A308,CSV!$A:$A,CSV!C:C,""),
_xlpm.MacVal,_xlfn.XLOOKUP($A308,Output_Mac!$A:$A,Output_Mac!D:D,""),
_xlpm.MyAuditVal,_xlfn.XLOOKUP($A308,My_Audit!$A:$A,My_Audit!C:C,""),
_xlfn.IFS(_xlpm.MyAuditVal&lt;&gt;"",UPPER(_xlpm.MyAuditVal),_xlpm.MacVal&lt;&gt;"",_xlpm.MacVal,_xlpm.CSVVal&lt;&gt;"",_xlpm.CSVVal
)),"")</f>
        <v/>
      </c>
      <c r="E308" s="46" t="str" cm="1">
        <f t="array" ref="E308">IFERROR(_xlfn.LET(
_xlpm.CSVVal,_xlfn.XLOOKUP($A308,CSV!$A:$A,CSV!E:E,""),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_xlpm.CSVVal,_xlfn.XLOOKUP($A308,CSV!$A:$A,CSV!G:G,""),
_xlpm.MacVal,_xlfn.XLOOKUP($A308,Output_Mac!$A:$A,Output_Mac!G:G,""),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_xlfn.XLOOKUP(A308,Output_Mac!A:A,Output_Mac!H:H,"")</f>
        <v/>
      </c>
      <c r="I308" s="45" t="str" cm="1">
        <f t="array" ref="I308">IFERROR(_xlfn.LET(
_xlpm.CSVVal,_xlfn.XLOOKUP($A308,CSV!$A:$A,CSV!H:H,""),
_xlpm.MacVal,_xlfn.XLOOKUP($A308,Output_Mac!$A:$A,Output_Mac!I:I,""),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_xlpm.CSVVal,_xlfn.XLOOKUP($A308,CSV!$A:$A,CSV!J:J,""),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46" t="str" cm="1">
        <f t="array" ref="K308">IFERROR(_xlfn.LET(
_xlpm.CSVVal,_xlfn.XLOOKUP($A308,CSV!$A:$A,CSV!N:N,""),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_xlpm.CSVVal,_xlfn.XLOOKUP($A308,CSV!$A:$A,CSV!Q:Q,""),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CSV!AE:AE,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_xlpm.CSVVal,_xlfn.XLOOKUP($A308,CSV!$A:$A,CSV!AG:AG,""),
_xlpm.MacVal,_xlfn.XLOOKUP($A308,Output_Mac!$A:$A,Output_Mac!T:T,""),
_xlpm.MyAuditVal,_xlfn.XLOOKUP($A308,My_Audit!$A:$A,My_Audit!O:O,""),
_xlfn.IFS(_xlpm.MyAuditVal&lt;&gt;"",UPPER(_xlpm.MyAuditVal),_xlpm.MacVal&lt;&gt;"",_xlpm.MacVal,_xlpm.CSVVal&lt;&gt;"",_xlpm.CSVVal
)),"")</f>
        <v/>
      </c>
      <c r="O308" s="46" t="str">
        <f>_xlfn.XLOOKUP(C308,My_Audit!B:B,My_Audit!P:P,"")&amp;""</f>
        <v/>
      </c>
      <c r="P308" s="45"/>
      <c r="Q308" s="46" t="str">
        <f>IF(LEFT(N308,4)="Pass","Nist SP 800-88",My_Audit!R308)&amp;""</f>
        <v/>
      </c>
      <c r="R308" s="45"/>
      <c r="S308" s="45"/>
      <c r="T308" s="46" t="str">
        <f>_xlfn.XLOOKUP(E308,Models!I:I,Models!J:J,"")</f>
        <v/>
      </c>
      <c r="U308" s="45"/>
      <c r="V308" s="45"/>
      <c r="W308" s="38" t="str">
        <f>_xlfn.LET(
    _xlpm.MacVal, _xlfn.XLOOKUP($A308, Output_Mac!$A:$A, Output_Mac!AA:AA, ""),
    _xlpm.MyAuditVal, _xlfn.XLOOKUP($A308, My_Audit!$A:$A, My_Audit!L:L, ""),
    _xlfn.TEXTJOIN(", ", TRUE, _xlpm.MyAuditVal, _xlpm.MacVal)
)</f>
        <v/>
      </c>
    </row>
    <row r="309" spans="1:23">
      <c r="A309" s="45" t="str">
        <f>_xlfn.TEXTJOIN("",TRUE,Input!$B$2,ROW(My_Audit!A308))</f>
        <v>CC308</v>
      </c>
      <c r="B309" s="45" t="str">
        <f>_xlfn.TEXTJOIN("-",TRUE,"ITD",Input!$A$2,A309)</f>
        <v>ITD-XXX-CC308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 cm="1">
        <f t="array" ref="D309">IFERROR(_xlfn.LET(
_xlpm.CSVVal,_xlfn.XLOOKUP($A309,CSV!$A:$A,CSV!C:C,""),
_xlpm.MacVal,_xlfn.XLOOKUP($A309,Output_Mac!$A:$A,Output_Mac!D:D,""),
_xlpm.MyAuditVal,_xlfn.XLOOKUP($A309,My_Audit!$A:$A,My_Audit!C:C,""),
_xlfn.IFS(_xlpm.MyAuditVal&lt;&gt;"",UPPER(_xlpm.MyAuditVal),_xlpm.MacVal&lt;&gt;"",_xlpm.MacVal,_xlpm.CSVVal&lt;&gt;"",_xlpm.CSVVal
)),"")</f>
        <v/>
      </c>
      <c r="E309" s="46" t="str" cm="1">
        <f t="array" ref="E309">IFERROR(_xlfn.LET(
_xlpm.CSVVal,_xlfn.XLOOKUP($A309,CSV!$A:$A,CSV!E:E,""),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_xlpm.CSVVal,_xlfn.XLOOKUP($A309,CSV!$A:$A,CSV!G:G,""),
_xlpm.MacVal,_xlfn.XLOOKUP($A309,Output_Mac!$A:$A,Output_Mac!G:G,""),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_xlfn.XLOOKUP(A309,Output_Mac!A:A,Output_Mac!H:H,"")</f>
        <v/>
      </c>
      <c r="I309" s="45" t="str" cm="1">
        <f t="array" ref="I309">IFERROR(_xlfn.LET(
_xlpm.CSVVal,_xlfn.XLOOKUP($A309,CSV!$A:$A,CSV!H:H,""),
_xlpm.MacVal,_xlfn.XLOOKUP($A309,Output_Mac!$A:$A,Output_Mac!I:I,""),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_xlpm.CSVVal,_xlfn.XLOOKUP($A309,CSV!$A:$A,CSV!J:J,""),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46" t="str" cm="1">
        <f t="array" ref="K309">IFERROR(_xlfn.LET(
_xlpm.CSVVal,_xlfn.XLOOKUP($A309,CSV!$A:$A,CSV!N:N,""),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_xlpm.CSVVal,_xlfn.XLOOKUP($A309,CSV!$A:$A,CSV!Q:Q,""),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CSV!AE:AE,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_xlpm.CSVVal,_xlfn.XLOOKUP($A309,CSV!$A:$A,CSV!AG:AG,""),
_xlpm.MacVal,_xlfn.XLOOKUP($A309,Output_Mac!$A:$A,Output_Mac!T:T,""),
_xlpm.MyAuditVal,_xlfn.XLOOKUP($A309,My_Audit!$A:$A,My_Audit!O:O,""),
_xlfn.IFS(_xlpm.MyAuditVal&lt;&gt;"",UPPER(_xlpm.MyAuditVal),_xlpm.MacVal&lt;&gt;"",_xlpm.MacVal,_xlpm.CSVVal&lt;&gt;"",_xlpm.CSVVal
)),"")</f>
        <v/>
      </c>
      <c r="O309" s="46" t="str">
        <f>_xlfn.XLOOKUP(C309,My_Audit!B:B,My_Audit!P:P,"")&amp;""</f>
        <v/>
      </c>
      <c r="P309" s="45"/>
      <c r="Q309" s="46" t="str">
        <f>IF(LEFT(N309,4)="Pass","Nist SP 800-88",My_Audit!R309)&amp;""</f>
        <v/>
      </c>
      <c r="R309" s="45"/>
      <c r="S309" s="45"/>
      <c r="T309" s="46" t="str">
        <f>_xlfn.XLOOKUP(E309,Models!I:I,Models!J:J,"")</f>
        <v/>
      </c>
      <c r="U309" s="45"/>
      <c r="V309" s="45"/>
      <c r="W309" s="38" t="str">
        <f>_xlfn.LET(
    _xlpm.MacVal, _xlfn.XLOOKUP($A309, Output_Mac!$A:$A, Output_Mac!AA:AA, ""),
    _xlpm.MyAuditVal, _xlfn.XLOOKUP($A309, My_Audit!$A:$A, My_Audit!L:L, ""),
    _xlfn.TEXTJOIN(", ", TRUE, _xlpm.MyAuditVal, _xlpm.MacVal)
)</f>
        <v/>
      </c>
    </row>
    <row r="310" spans="1:23">
      <c r="A310" s="45" t="str">
        <f>_xlfn.TEXTJOIN("",TRUE,Input!$B$2,ROW(My_Audit!A309))</f>
        <v>CC309</v>
      </c>
      <c r="B310" s="45" t="str">
        <f>_xlfn.TEXTJOIN("-",TRUE,"ITD",Input!$A$2,A310)</f>
        <v>ITD-XXX-CC309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 cm="1">
        <f t="array" ref="D310">IFERROR(_xlfn.LET(
_xlpm.CSVVal,_xlfn.XLOOKUP($A310,CSV!$A:$A,CSV!C:C,""),
_xlpm.MacVal,_xlfn.XLOOKUP($A310,Output_Mac!$A:$A,Output_Mac!D:D,""),
_xlpm.MyAuditVal,_xlfn.XLOOKUP($A310,My_Audit!$A:$A,My_Audit!C:C,""),
_xlfn.IFS(_xlpm.MyAuditVal&lt;&gt;"",UPPER(_xlpm.MyAuditVal),_xlpm.MacVal&lt;&gt;"",_xlpm.MacVal,_xlpm.CSVVal&lt;&gt;"",_xlpm.CSVVal
)),"")</f>
        <v/>
      </c>
      <c r="E310" s="46" t="str" cm="1">
        <f t="array" ref="E310">IFERROR(_xlfn.LET(
_xlpm.CSVVal,_xlfn.XLOOKUP($A310,CSV!$A:$A,CSV!E:E,""),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_xlpm.CSVVal,_xlfn.XLOOKUP($A310,CSV!$A:$A,CSV!G:G,""),
_xlpm.MacVal,_xlfn.XLOOKUP($A310,Output_Mac!$A:$A,Output_Mac!G:G,""),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_xlfn.XLOOKUP(A310,Output_Mac!A:A,Output_Mac!H:H,"")</f>
        <v/>
      </c>
      <c r="I310" s="45" t="str" cm="1">
        <f t="array" ref="I310">IFERROR(_xlfn.LET(
_xlpm.CSVVal,_xlfn.XLOOKUP($A310,CSV!$A:$A,CSV!H:H,""),
_xlpm.MacVal,_xlfn.XLOOKUP($A310,Output_Mac!$A:$A,Output_Mac!I:I,""),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_xlpm.CSVVal,_xlfn.XLOOKUP($A310,CSV!$A:$A,CSV!J:J,""),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46" t="str" cm="1">
        <f t="array" ref="K310">IFERROR(_xlfn.LET(
_xlpm.CSVVal,_xlfn.XLOOKUP($A310,CSV!$A:$A,CSV!N:N,""),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_xlpm.CSVVal,_xlfn.XLOOKUP($A310,CSV!$A:$A,CSV!Q:Q,""),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CSV!AE:AE,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_xlpm.CSVVal,_xlfn.XLOOKUP($A310,CSV!$A:$A,CSV!AG:AG,""),
_xlpm.MacVal,_xlfn.XLOOKUP($A310,Output_Mac!$A:$A,Output_Mac!T:T,""),
_xlpm.MyAuditVal,_xlfn.XLOOKUP($A310,My_Audit!$A:$A,My_Audit!O:O,""),
_xlfn.IFS(_xlpm.MyAuditVal&lt;&gt;"",UPPER(_xlpm.MyAuditVal),_xlpm.MacVal&lt;&gt;"",_xlpm.MacVal,_xlpm.CSVVal&lt;&gt;"",_xlpm.CSVVal
)),"")</f>
        <v/>
      </c>
      <c r="O310" s="46" t="str">
        <f>_xlfn.XLOOKUP(C310,My_Audit!B:B,My_Audit!P:P,"")&amp;""</f>
        <v/>
      </c>
      <c r="P310" s="45"/>
      <c r="Q310" s="46" t="str">
        <f>IF(LEFT(N310,4)="Pass","Nist SP 800-88",My_Audit!R310)&amp;""</f>
        <v/>
      </c>
      <c r="R310" s="45"/>
      <c r="S310" s="45"/>
      <c r="T310" s="46" t="str">
        <f>_xlfn.XLOOKUP(E310,Models!I:I,Models!J:J,"")</f>
        <v/>
      </c>
      <c r="U310" s="45"/>
      <c r="V310" s="45"/>
      <c r="W310" s="38" t="str">
        <f>_xlfn.LET(
    _xlpm.MacVal, _xlfn.XLOOKUP($A310, Output_Mac!$A:$A, Output_Mac!AA:AA, ""),
    _xlpm.MyAuditVal, _xlfn.XLOOKUP($A310, My_Audit!$A:$A, My_Audit!L:L, ""),
    _xlfn.TEXTJOIN(", ", TRUE, _xlpm.MyAuditVal, _xlpm.MacVal)
)</f>
        <v/>
      </c>
    </row>
    <row r="311" spans="1:23">
      <c r="A311" s="45" t="str">
        <f>_xlfn.TEXTJOIN("",TRUE,Input!$B$2,ROW(My_Audit!A310))</f>
        <v>CC310</v>
      </c>
      <c r="B311" s="45" t="str">
        <f>_xlfn.TEXTJOIN("-",TRUE,"ITD",Input!$A$2,A311)</f>
        <v>ITD-XXX-CC310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 cm="1">
        <f t="array" ref="D311">IFERROR(_xlfn.LET(
_xlpm.CSVVal,_xlfn.XLOOKUP($A311,CSV!$A:$A,CSV!C:C,""),
_xlpm.MacVal,_xlfn.XLOOKUP($A311,Output_Mac!$A:$A,Output_Mac!D:D,""),
_xlpm.MyAuditVal,_xlfn.XLOOKUP($A311,My_Audit!$A:$A,My_Audit!C:C,""),
_xlfn.IFS(_xlpm.MyAuditVal&lt;&gt;"",UPPER(_xlpm.MyAuditVal),_xlpm.MacVal&lt;&gt;"",_xlpm.MacVal,_xlpm.CSVVal&lt;&gt;"",_xlpm.CSVVal
)),"")</f>
        <v/>
      </c>
      <c r="E311" s="46" t="str" cm="1">
        <f t="array" ref="E311">IFERROR(_xlfn.LET(
_xlpm.CSVVal,_xlfn.XLOOKUP($A311,CSV!$A:$A,CSV!E:E,""),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_xlpm.CSVVal,_xlfn.XLOOKUP($A311,CSV!$A:$A,CSV!G:G,""),
_xlpm.MacVal,_xlfn.XLOOKUP($A311,Output_Mac!$A:$A,Output_Mac!G:G,""),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_xlfn.XLOOKUP(A311,Output_Mac!A:A,Output_Mac!H:H,"")</f>
        <v/>
      </c>
      <c r="I311" s="45" t="str" cm="1">
        <f t="array" ref="I311">IFERROR(_xlfn.LET(
_xlpm.CSVVal,_xlfn.XLOOKUP($A311,CSV!$A:$A,CSV!H:H,""),
_xlpm.MacVal,_xlfn.XLOOKUP($A311,Output_Mac!$A:$A,Output_Mac!I:I,""),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_xlpm.CSVVal,_xlfn.XLOOKUP($A311,CSV!$A:$A,CSV!J:J,""),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46" t="str" cm="1">
        <f t="array" ref="K311">IFERROR(_xlfn.LET(
_xlpm.CSVVal,_xlfn.XLOOKUP($A311,CSV!$A:$A,CSV!N:N,""),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_xlpm.CSVVal,_xlfn.XLOOKUP($A311,CSV!$A:$A,CSV!Q:Q,""),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CSV!AE:AE,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_xlpm.CSVVal,_xlfn.XLOOKUP($A311,CSV!$A:$A,CSV!AG:AG,""),
_xlpm.MacVal,_xlfn.XLOOKUP($A311,Output_Mac!$A:$A,Output_Mac!T:T,""),
_xlpm.MyAuditVal,_xlfn.XLOOKUP($A311,My_Audit!$A:$A,My_Audit!O:O,""),
_xlfn.IFS(_xlpm.MyAuditVal&lt;&gt;"",UPPER(_xlpm.MyAuditVal),_xlpm.MacVal&lt;&gt;"",_xlpm.MacVal,_xlpm.CSVVal&lt;&gt;"",_xlpm.CSVVal
)),"")</f>
        <v/>
      </c>
      <c r="O311" s="46" t="str">
        <f>_xlfn.XLOOKUP(C311,My_Audit!B:B,My_Audit!P:P,"")&amp;""</f>
        <v/>
      </c>
      <c r="P311" s="45"/>
      <c r="Q311" s="46" t="str">
        <f>IF(LEFT(N311,4)="Pass","Nist SP 800-88",My_Audit!R311)&amp;""</f>
        <v/>
      </c>
      <c r="R311" s="45"/>
      <c r="S311" s="45"/>
      <c r="T311" s="46" t="str">
        <f>_xlfn.XLOOKUP(E311,Models!I:I,Models!J:J,"")</f>
        <v/>
      </c>
      <c r="U311" s="45"/>
      <c r="V311" s="45"/>
      <c r="W311" s="38" t="str">
        <f>_xlfn.LET(
    _xlpm.MacVal, _xlfn.XLOOKUP($A311, Output_Mac!$A:$A, Output_Mac!AA:AA, ""),
    _xlpm.MyAuditVal, _xlfn.XLOOKUP($A311, My_Audit!$A:$A, My_Audit!L:L, ""),
    _xlfn.TEXTJOIN(", ", TRUE, _xlpm.MyAuditVal, _xlpm.MacVal)
)</f>
        <v/>
      </c>
    </row>
    <row r="312" spans="1:23">
      <c r="A312" s="45" t="str">
        <f>_xlfn.TEXTJOIN("",TRUE,Input!$B$2,ROW(My_Audit!A311))</f>
        <v>CC311</v>
      </c>
      <c r="B312" s="45" t="str">
        <f>_xlfn.TEXTJOIN("-",TRUE,"ITD",Input!$A$2,A312)</f>
        <v>ITD-XXX-CC311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 cm="1">
        <f t="array" ref="D312">IFERROR(_xlfn.LET(
_xlpm.CSVVal,_xlfn.XLOOKUP($A312,CSV!$A:$A,CSV!C:C,""),
_xlpm.MacVal,_xlfn.XLOOKUP($A312,Output_Mac!$A:$A,Output_Mac!D:D,""),
_xlpm.MyAuditVal,_xlfn.XLOOKUP($A312,My_Audit!$A:$A,My_Audit!C:C,""),
_xlfn.IFS(_xlpm.MyAuditVal&lt;&gt;"",UPPER(_xlpm.MyAuditVal),_xlpm.MacVal&lt;&gt;"",_xlpm.MacVal,_xlpm.CSVVal&lt;&gt;"",_xlpm.CSVVal
)),"")</f>
        <v/>
      </c>
      <c r="E312" s="46" t="str" cm="1">
        <f t="array" ref="E312">IFERROR(_xlfn.LET(
_xlpm.CSVVal,_xlfn.XLOOKUP($A312,CSV!$A:$A,CSV!E:E,""),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_xlpm.CSVVal,_xlfn.XLOOKUP($A312,CSV!$A:$A,CSV!G:G,""),
_xlpm.MacVal,_xlfn.XLOOKUP($A312,Output_Mac!$A:$A,Output_Mac!G:G,""),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_xlfn.XLOOKUP(A312,Output_Mac!A:A,Output_Mac!H:H,"")</f>
        <v/>
      </c>
      <c r="I312" s="45" t="str" cm="1">
        <f t="array" ref="I312">IFERROR(_xlfn.LET(
_xlpm.CSVVal,_xlfn.XLOOKUP($A312,CSV!$A:$A,CSV!H:H,""),
_xlpm.MacVal,_xlfn.XLOOKUP($A312,Output_Mac!$A:$A,Output_Mac!I:I,""),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_xlpm.CSVVal,_xlfn.XLOOKUP($A312,CSV!$A:$A,CSV!J:J,""),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46" t="str" cm="1">
        <f t="array" ref="K312">IFERROR(_xlfn.LET(
_xlpm.CSVVal,_xlfn.XLOOKUP($A312,CSV!$A:$A,CSV!N:N,""),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_xlpm.CSVVal,_xlfn.XLOOKUP($A312,CSV!$A:$A,CSV!Q:Q,""),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CSV!AE:AE,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_xlpm.CSVVal,_xlfn.XLOOKUP($A312,CSV!$A:$A,CSV!AG:AG,""),
_xlpm.MacVal,_xlfn.XLOOKUP($A312,Output_Mac!$A:$A,Output_Mac!T:T,""),
_xlpm.MyAuditVal,_xlfn.XLOOKUP($A312,My_Audit!$A:$A,My_Audit!O:O,""),
_xlfn.IFS(_xlpm.MyAuditVal&lt;&gt;"",UPPER(_xlpm.MyAuditVal),_xlpm.MacVal&lt;&gt;"",_xlpm.MacVal,_xlpm.CSVVal&lt;&gt;"",_xlpm.CSVVal
)),"")</f>
        <v/>
      </c>
      <c r="O312" s="46" t="str">
        <f>_xlfn.XLOOKUP(C312,My_Audit!B:B,My_Audit!P:P,"")&amp;""</f>
        <v/>
      </c>
      <c r="P312" s="45"/>
      <c r="Q312" s="46" t="str">
        <f>IF(LEFT(N312,4)="Pass","Nist SP 800-88",My_Audit!R312)&amp;""</f>
        <v/>
      </c>
      <c r="R312" s="45"/>
      <c r="S312" s="45"/>
      <c r="T312" s="46" t="str">
        <f>_xlfn.XLOOKUP(E312,Models!I:I,Models!J:J,"")</f>
        <v/>
      </c>
      <c r="U312" s="45"/>
      <c r="V312" s="45"/>
      <c r="W312" s="38" t="str">
        <f>_xlfn.LET(
    _xlpm.MacVal, _xlfn.XLOOKUP($A312, Output_Mac!$A:$A, Output_Mac!AA:AA, ""),
    _xlpm.MyAuditVal, _xlfn.XLOOKUP($A312, My_Audit!$A:$A, My_Audit!L:L, ""),
    _xlfn.TEXTJOIN(", ", TRUE, _xlpm.MyAuditVal, _xlpm.MacVal)
)</f>
        <v/>
      </c>
    </row>
    <row r="313" spans="1:23">
      <c r="A313" s="45" t="str">
        <f>_xlfn.TEXTJOIN("",TRUE,Input!$B$2,ROW(My_Audit!A312))</f>
        <v>CC312</v>
      </c>
      <c r="B313" s="45" t="str">
        <f>_xlfn.TEXTJOIN("-",TRUE,"ITD",Input!$A$2,A313)</f>
        <v>ITD-XXX-CC312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 cm="1">
        <f t="array" ref="D313">IFERROR(_xlfn.LET(
_xlpm.CSVVal,_xlfn.XLOOKUP($A313,CSV!$A:$A,CSV!C:C,""),
_xlpm.MacVal,_xlfn.XLOOKUP($A313,Output_Mac!$A:$A,Output_Mac!D:D,""),
_xlpm.MyAuditVal,_xlfn.XLOOKUP($A313,My_Audit!$A:$A,My_Audit!C:C,""),
_xlfn.IFS(_xlpm.MyAuditVal&lt;&gt;"",UPPER(_xlpm.MyAuditVal),_xlpm.MacVal&lt;&gt;"",_xlpm.MacVal,_xlpm.CSVVal&lt;&gt;"",_xlpm.CSVVal
)),"")</f>
        <v/>
      </c>
      <c r="E313" s="46" t="str" cm="1">
        <f t="array" ref="E313">IFERROR(_xlfn.LET(
_xlpm.CSVVal,_xlfn.XLOOKUP($A313,CSV!$A:$A,CSV!E:E,""),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_xlpm.CSVVal,_xlfn.XLOOKUP($A313,CSV!$A:$A,CSV!G:G,""),
_xlpm.MacVal,_xlfn.XLOOKUP($A313,Output_Mac!$A:$A,Output_Mac!G:G,""),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_xlfn.XLOOKUP(A313,Output_Mac!A:A,Output_Mac!H:H,"")</f>
        <v/>
      </c>
      <c r="I313" s="45" t="str" cm="1">
        <f t="array" ref="I313">IFERROR(_xlfn.LET(
_xlpm.CSVVal,_xlfn.XLOOKUP($A313,CSV!$A:$A,CSV!H:H,""),
_xlpm.MacVal,_xlfn.XLOOKUP($A313,Output_Mac!$A:$A,Output_Mac!I:I,""),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_xlpm.CSVVal,_xlfn.XLOOKUP($A313,CSV!$A:$A,CSV!J:J,""),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46" t="str" cm="1">
        <f t="array" ref="K313">IFERROR(_xlfn.LET(
_xlpm.CSVVal,_xlfn.XLOOKUP($A313,CSV!$A:$A,CSV!N:N,""),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_xlpm.CSVVal,_xlfn.XLOOKUP($A313,CSV!$A:$A,CSV!Q:Q,""),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CSV!AE:AE,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_xlpm.CSVVal,_xlfn.XLOOKUP($A313,CSV!$A:$A,CSV!AG:AG,""),
_xlpm.MacVal,_xlfn.XLOOKUP($A313,Output_Mac!$A:$A,Output_Mac!T:T,""),
_xlpm.MyAuditVal,_xlfn.XLOOKUP($A313,My_Audit!$A:$A,My_Audit!O:O,""),
_xlfn.IFS(_xlpm.MyAuditVal&lt;&gt;"",UPPER(_xlpm.MyAuditVal),_xlpm.MacVal&lt;&gt;"",_xlpm.MacVal,_xlpm.CSVVal&lt;&gt;"",_xlpm.CSVVal
)),"")</f>
        <v/>
      </c>
      <c r="O313" s="46" t="str">
        <f>_xlfn.XLOOKUP(C313,My_Audit!B:B,My_Audit!P:P,"")&amp;""</f>
        <v/>
      </c>
      <c r="P313" s="45"/>
      <c r="Q313" s="46" t="str">
        <f>IF(LEFT(N313,4)="Pass","Nist SP 800-88",My_Audit!R313)&amp;""</f>
        <v/>
      </c>
      <c r="R313" s="45"/>
      <c r="S313" s="45"/>
      <c r="T313" s="46" t="str">
        <f>_xlfn.XLOOKUP(E313,Models!I:I,Models!J:J,"")</f>
        <v/>
      </c>
      <c r="U313" s="45"/>
      <c r="V313" s="45"/>
      <c r="W313" s="38" t="str">
        <f>_xlfn.LET(
    _xlpm.MacVal, _xlfn.XLOOKUP($A313, Output_Mac!$A:$A, Output_Mac!AA:AA, ""),
    _xlpm.MyAuditVal, _xlfn.XLOOKUP($A313, My_Audit!$A:$A, My_Audit!L:L, ""),
    _xlfn.TEXTJOIN(", ", TRUE, _xlpm.MyAuditVal, _xlpm.MacVal)
)</f>
        <v/>
      </c>
    </row>
    <row r="314" spans="1:23">
      <c r="A314" s="45" t="str">
        <f>_xlfn.TEXTJOIN("",TRUE,Input!$B$2,ROW(My_Audit!A313))</f>
        <v>CC313</v>
      </c>
      <c r="B314" s="45" t="str">
        <f>_xlfn.TEXTJOIN("-",TRUE,"ITD",Input!$A$2,A314)</f>
        <v>ITD-XXX-CC313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 cm="1">
        <f t="array" ref="D314">IFERROR(_xlfn.LET(
_xlpm.CSVVal,_xlfn.XLOOKUP($A314,CSV!$A:$A,CSV!C:C,""),
_xlpm.MacVal,_xlfn.XLOOKUP($A314,Output_Mac!$A:$A,Output_Mac!D:D,""),
_xlpm.MyAuditVal,_xlfn.XLOOKUP($A314,My_Audit!$A:$A,My_Audit!C:C,""),
_xlfn.IFS(_xlpm.MyAuditVal&lt;&gt;"",UPPER(_xlpm.MyAuditVal),_xlpm.MacVal&lt;&gt;"",_xlpm.MacVal,_xlpm.CSVVal&lt;&gt;"",_xlpm.CSVVal
)),"")</f>
        <v/>
      </c>
      <c r="E314" s="46" t="str" cm="1">
        <f t="array" ref="E314">IFERROR(_xlfn.LET(
_xlpm.CSVVal,_xlfn.XLOOKUP($A314,CSV!$A:$A,CSV!E:E,""),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_xlpm.CSVVal,_xlfn.XLOOKUP($A314,CSV!$A:$A,CSV!G:G,""),
_xlpm.MacVal,_xlfn.XLOOKUP($A314,Output_Mac!$A:$A,Output_Mac!G:G,""),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_xlfn.XLOOKUP(A314,Output_Mac!A:A,Output_Mac!H:H,"")</f>
        <v/>
      </c>
      <c r="I314" s="45" t="str" cm="1">
        <f t="array" ref="I314">IFERROR(_xlfn.LET(
_xlpm.CSVVal,_xlfn.XLOOKUP($A314,CSV!$A:$A,CSV!H:H,""),
_xlpm.MacVal,_xlfn.XLOOKUP($A314,Output_Mac!$A:$A,Output_Mac!I:I,""),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_xlpm.CSVVal,_xlfn.XLOOKUP($A314,CSV!$A:$A,CSV!J:J,""),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46" t="str" cm="1">
        <f t="array" ref="K314">IFERROR(_xlfn.LET(
_xlpm.CSVVal,_xlfn.XLOOKUP($A314,CSV!$A:$A,CSV!N:N,""),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_xlpm.CSVVal,_xlfn.XLOOKUP($A314,CSV!$A:$A,CSV!Q:Q,""),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CSV!AE:AE,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_xlpm.CSVVal,_xlfn.XLOOKUP($A314,CSV!$A:$A,CSV!AG:AG,""),
_xlpm.MacVal,_xlfn.XLOOKUP($A314,Output_Mac!$A:$A,Output_Mac!T:T,""),
_xlpm.MyAuditVal,_xlfn.XLOOKUP($A314,My_Audit!$A:$A,My_Audit!O:O,""),
_xlfn.IFS(_xlpm.MyAuditVal&lt;&gt;"",UPPER(_xlpm.MyAuditVal),_xlpm.MacVal&lt;&gt;"",_xlpm.MacVal,_xlpm.CSVVal&lt;&gt;"",_xlpm.CSVVal
)),"")</f>
        <v/>
      </c>
      <c r="O314" s="46" t="str">
        <f>_xlfn.XLOOKUP(C314,My_Audit!B:B,My_Audit!P:P,"")&amp;""</f>
        <v/>
      </c>
      <c r="P314" s="45"/>
      <c r="Q314" s="46" t="str">
        <f>IF(LEFT(N314,4)="Pass","Nist SP 800-88",My_Audit!R314)&amp;""</f>
        <v/>
      </c>
      <c r="R314" s="45"/>
      <c r="S314" s="45"/>
      <c r="T314" s="46" t="str">
        <f>_xlfn.XLOOKUP(E314,Models!I:I,Models!J:J,"")</f>
        <v/>
      </c>
      <c r="U314" s="45"/>
      <c r="V314" s="45"/>
      <c r="W314" s="38" t="str">
        <f>_xlfn.LET(
    _xlpm.MacVal, _xlfn.XLOOKUP($A314, Output_Mac!$A:$A, Output_Mac!AA:AA, ""),
    _xlpm.MyAuditVal, _xlfn.XLOOKUP($A314, My_Audit!$A:$A, My_Audit!L:L, ""),
    _xlfn.TEXTJOIN(", ", TRUE, _xlpm.MyAuditVal, _xlpm.MacVal)
)</f>
        <v/>
      </c>
    </row>
    <row r="315" spans="1:23">
      <c r="A315" s="45" t="str">
        <f>_xlfn.TEXTJOIN("",TRUE,Input!$B$2,ROW(My_Audit!A314))</f>
        <v>CC314</v>
      </c>
      <c r="B315" s="45" t="str">
        <f>_xlfn.TEXTJOIN("-",TRUE,"ITD",Input!$A$2,A315)</f>
        <v>ITD-XXX-CC314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 cm="1">
        <f t="array" ref="D315">IFERROR(_xlfn.LET(
_xlpm.CSVVal,_xlfn.XLOOKUP($A315,CSV!$A:$A,CSV!C:C,""),
_xlpm.MacVal,_xlfn.XLOOKUP($A315,Output_Mac!$A:$A,Output_Mac!D:D,""),
_xlpm.MyAuditVal,_xlfn.XLOOKUP($A315,My_Audit!$A:$A,My_Audit!C:C,""),
_xlfn.IFS(_xlpm.MyAuditVal&lt;&gt;"",UPPER(_xlpm.MyAuditVal),_xlpm.MacVal&lt;&gt;"",_xlpm.MacVal,_xlpm.CSVVal&lt;&gt;"",_xlpm.CSVVal
)),"")</f>
        <v/>
      </c>
      <c r="E315" s="46" t="str" cm="1">
        <f t="array" ref="E315">IFERROR(_xlfn.LET(
_xlpm.CSVVal,_xlfn.XLOOKUP($A315,CSV!$A:$A,CSV!E:E,""),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_xlpm.CSVVal,_xlfn.XLOOKUP($A315,CSV!$A:$A,CSV!G:G,""),
_xlpm.MacVal,_xlfn.XLOOKUP($A315,Output_Mac!$A:$A,Output_Mac!G:G,""),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_xlfn.XLOOKUP(A315,Output_Mac!A:A,Output_Mac!H:H,"")</f>
        <v/>
      </c>
      <c r="I315" s="45" t="str" cm="1">
        <f t="array" ref="I315">IFERROR(_xlfn.LET(
_xlpm.CSVVal,_xlfn.XLOOKUP($A315,CSV!$A:$A,CSV!H:H,""),
_xlpm.MacVal,_xlfn.XLOOKUP($A315,Output_Mac!$A:$A,Output_Mac!I:I,""),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_xlpm.CSVVal,_xlfn.XLOOKUP($A315,CSV!$A:$A,CSV!J:J,""),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46" t="str" cm="1">
        <f t="array" ref="K315">IFERROR(_xlfn.LET(
_xlpm.CSVVal,_xlfn.XLOOKUP($A315,CSV!$A:$A,CSV!N:N,""),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_xlpm.CSVVal,_xlfn.XLOOKUP($A315,CSV!$A:$A,CSV!Q:Q,""),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CSV!AE:AE,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_xlpm.CSVVal,_xlfn.XLOOKUP($A315,CSV!$A:$A,CSV!AG:AG,""),
_xlpm.MacVal,_xlfn.XLOOKUP($A315,Output_Mac!$A:$A,Output_Mac!T:T,""),
_xlpm.MyAuditVal,_xlfn.XLOOKUP($A315,My_Audit!$A:$A,My_Audit!O:O,""),
_xlfn.IFS(_xlpm.MyAuditVal&lt;&gt;"",UPPER(_xlpm.MyAuditVal),_xlpm.MacVal&lt;&gt;"",_xlpm.MacVal,_xlpm.CSVVal&lt;&gt;"",_xlpm.CSVVal
)),"")</f>
        <v/>
      </c>
      <c r="O315" s="46" t="str">
        <f>_xlfn.XLOOKUP(C315,My_Audit!B:B,My_Audit!P:P,"")&amp;""</f>
        <v/>
      </c>
      <c r="P315" s="45"/>
      <c r="Q315" s="46" t="str">
        <f>IF(LEFT(N315,4)="Pass","Nist SP 800-88",My_Audit!R315)&amp;""</f>
        <v/>
      </c>
      <c r="R315" s="45"/>
      <c r="S315" s="45"/>
      <c r="T315" s="46" t="str">
        <f>_xlfn.XLOOKUP(E315,Models!I:I,Models!J:J,"")</f>
        <v/>
      </c>
      <c r="U315" s="45"/>
      <c r="V315" s="45"/>
      <c r="W315" s="38" t="str">
        <f>_xlfn.LET(
    _xlpm.MacVal, _xlfn.XLOOKUP($A315, Output_Mac!$A:$A, Output_Mac!AA:AA, ""),
    _xlpm.MyAuditVal, _xlfn.XLOOKUP($A315, My_Audit!$A:$A, My_Audit!L:L, ""),
    _xlfn.TEXTJOIN(", ", TRUE, _xlpm.MyAuditVal, _xlpm.MacVal)
)</f>
        <v/>
      </c>
    </row>
    <row r="316" spans="1:23">
      <c r="A316" s="45" t="str">
        <f>_xlfn.TEXTJOIN("",TRUE,Input!$B$2,ROW(My_Audit!A315))</f>
        <v>CC315</v>
      </c>
      <c r="B316" s="45" t="str">
        <f>_xlfn.TEXTJOIN("-",TRUE,"ITD",Input!$A$2,A316)</f>
        <v>ITD-XXX-CC315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 cm="1">
        <f t="array" ref="D316">IFERROR(_xlfn.LET(
_xlpm.CSVVal,_xlfn.XLOOKUP($A316,CSV!$A:$A,CSV!C:C,""),
_xlpm.MacVal,_xlfn.XLOOKUP($A316,Output_Mac!$A:$A,Output_Mac!D:D,""),
_xlpm.MyAuditVal,_xlfn.XLOOKUP($A316,My_Audit!$A:$A,My_Audit!C:C,""),
_xlfn.IFS(_xlpm.MyAuditVal&lt;&gt;"",UPPER(_xlpm.MyAuditVal),_xlpm.MacVal&lt;&gt;"",_xlpm.MacVal,_xlpm.CSVVal&lt;&gt;"",_xlpm.CSVVal
)),"")</f>
        <v/>
      </c>
      <c r="E316" s="46" t="str" cm="1">
        <f t="array" ref="E316">IFERROR(_xlfn.LET(
_xlpm.CSVVal,_xlfn.XLOOKUP($A316,CSV!$A:$A,CSV!E:E,""),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_xlpm.CSVVal,_xlfn.XLOOKUP($A316,CSV!$A:$A,CSV!G:G,""),
_xlpm.MacVal,_xlfn.XLOOKUP($A316,Output_Mac!$A:$A,Output_Mac!G:G,""),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_xlfn.XLOOKUP(A316,Output_Mac!A:A,Output_Mac!H:H,"")</f>
        <v/>
      </c>
      <c r="I316" s="45" t="str" cm="1">
        <f t="array" ref="I316">IFERROR(_xlfn.LET(
_xlpm.CSVVal,_xlfn.XLOOKUP($A316,CSV!$A:$A,CSV!H:H,""),
_xlpm.MacVal,_xlfn.XLOOKUP($A316,Output_Mac!$A:$A,Output_Mac!I:I,""),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_xlpm.CSVVal,_xlfn.XLOOKUP($A316,CSV!$A:$A,CSV!J:J,""),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46" t="str" cm="1">
        <f t="array" ref="K316">IFERROR(_xlfn.LET(
_xlpm.CSVVal,_xlfn.XLOOKUP($A316,CSV!$A:$A,CSV!N:N,""),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_xlpm.CSVVal,_xlfn.XLOOKUP($A316,CSV!$A:$A,CSV!Q:Q,""),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CSV!AE:AE,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_xlpm.CSVVal,_xlfn.XLOOKUP($A316,CSV!$A:$A,CSV!AG:AG,""),
_xlpm.MacVal,_xlfn.XLOOKUP($A316,Output_Mac!$A:$A,Output_Mac!T:T,""),
_xlpm.MyAuditVal,_xlfn.XLOOKUP($A316,My_Audit!$A:$A,My_Audit!O:O,""),
_xlfn.IFS(_xlpm.MyAuditVal&lt;&gt;"",UPPER(_xlpm.MyAuditVal),_xlpm.MacVal&lt;&gt;"",_xlpm.MacVal,_xlpm.CSVVal&lt;&gt;"",_xlpm.CSVVal
)),"")</f>
        <v/>
      </c>
      <c r="O316" s="46" t="str">
        <f>_xlfn.XLOOKUP(C316,My_Audit!B:B,My_Audit!P:P,"")&amp;""</f>
        <v/>
      </c>
      <c r="P316" s="45"/>
      <c r="Q316" s="46" t="str">
        <f>IF(LEFT(N316,4)="Pass","Nist SP 800-88",My_Audit!R316)&amp;""</f>
        <v/>
      </c>
      <c r="R316" s="45"/>
      <c r="S316" s="45"/>
      <c r="T316" s="46" t="str">
        <f>_xlfn.XLOOKUP(E316,Models!I:I,Models!J:J,"")</f>
        <v/>
      </c>
      <c r="U316" s="45"/>
      <c r="V316" s="45"/>
      <c r="W316" s="38" t="str">
        <f>_xlfn.LET(
    _xlpm.MacVal, _xlfn.XLOOKUP($A316, Output_Mac!$A:$A, Output_Mac!AA:AA, ""),
    _xlpm.MyAuditVal, _xlfn.XLOOKUP($A316, My_Audit!$A:$A, My_Audit!L:L, ""),
    _xlfn.TEXTJOIN(", ", TRUE, _xlpm.MyAuditVal, _xlpm.MacVal)
)</f>
        <v/>
      </c>
    </row>
    <row r="317" spans="1:23">
      <c r="A317" s="45" t="str">
        <f>_xlfn.TEXTJOIN("",TRUE,Input!$B$2,ROW(My_Audit!A316))</f>
        <v>CC316</v>
      </c>
      <c r="B317" s="45" t="str">
        <f>_xlfn.TEXTJOIN("-",TRUE,"ITD",Input!$A$2,A317)</f>
        <v>ITD-XXX-CC316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 cm="1">
        <f t="array" ref="D317">IFERROR(_xlfn.LET(
_xlpm.CSVVal,_xlfn.XLOOKUP($A317,CSV!$A:$A,CSV!C:C,""),
_xlpm.MacVal,_xlfn.XLOOKUP($A317,Output_Mac!$A:$A,Output_Mac!D:D,""),
_xlpm.MyAuditVal,_xlfn.XLOOKUP($A317,My_Audit!$A:$A,My_Audit!C:C,""),
_xlfn.IFS(_xlpm.MyAuditVal&lt;&gt;"",UPPER(_xlpm.MyAuditVal),_xlpm.MacVal&lt;&gt;"",_xlpm.MacVal,_xlpm.CSVVal&lt;&gt;"",_xlpm.CSVVal
)),"")</f>
        <v/>
      </c>
      <c r="E317" s="46" t="str" cm="1">
        <f t="array" ref="E317">IFERROR(_xlfn.LET(
_xlpm.CSVVal,_xlfn.XLOOKUP($A317,CSV!$A:$A,CSV!E:E,""),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_xlpm.CSVVal,_xlfn.XLOOKUP($A317,CSV!$A:$A,CSV!G:G,""),
_xlpm.MacVal,_xlfn.XLOOKUP($A317,Output_Mac!$A:$A,Output_Mac!G:G,""),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_xlfn.XLOOKUP(A317,Output_Mac!A:A,Output_Mac!H:H,"")</f>
        <v/>
      </c>
      <c r="I317" s="45" t="str" cm="1">
        <f t="array" ref="I317">IFERROR(_xlfn.LET(
_xlpm.CSVVal,_xlfn.XLOOKUP($A317,CSV!$A:$A,CSV!H:H,""),
_xlpm.MacVal,_xlfn.XLOOKUP($A317,Output_Mac!$A:$A,Output_Mac!I:I,""),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_xlpm.CSVVal,_xlfn.XLOOKUP($A317,CSV!$A:$A,CSV!J:J,""),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46" t="str" cm="1">
        <f t="array" ref="K317">IFERROR(_xlfn.LET(
_xlpm.CSVVal,_xlfn.XLOOKUP($A317,CSV!$A:$A,CSV!N:N,""),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_xlpm.CSVVal,_xlfn.XLOOKUP($A317,CSV!$A:$A,CSV!Q:Q,""),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CSV!AE:AE,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_xlpm.CSVVal,_xlfn.XLOOKUP($A317,CSV!$A:$A,CSV!AG:AG,""),
_xlpm.MacVal,_xlfn.XLOOKUP($A317,Output_Mac!$A:$A,Output_Mac!T:T,""),
_xlpm.MyAuditVal,_xlfn.XLOOKUP($A317,My_Audit!$A:$A,My_Audit!O:O,""),
_xlfn.IFS(_xlpm.MyAuditVal&lt;&gt;"",UPPER(_xlpm.MyAuditVal),_xlpm.MacVal&lt;&gt;"",_xlpm.MacVal,_xlpm.CSVVal&lt;&gt;"",_xlpm.CSVVal
)),"")</f>
        <v/>
      </c>
      <c r="O317" s="46" t="str">
        <f>_xlfn.XLOOKUP(C317,My_Audit!B:B,My_Audit!P:P,"")&amp;""</f>
        <v/>
      </c>
      <c r="P317" s="45"/>
      <c r="Q317" s="46" t="str">
        <f>IF(LEFT(N317,4)="Pass","Nist SP 800-88",My_Audit!R317)&amp;""</f>
        <v/>
      </c>
      <c r="R317" s="45"/>
      <c r="S317" s="45"/>
      <c r="T317" s="46" t="str">
        <f>_xlfn.XLOOKUP(E317,Models!I:I,Models!J:J,"")</f>
        <v/>
      </c>
      <c r="U317" s="45"/>
      <c r="V317" s="45"/>
      <c r="W317" s="38" t="str">
        <f>_xlfn.LET(
    _xlpm.MacVal, _xlfn.XLOOKUP($A317, Output_Mac!$A:$A, Output_Mac!AA:AA, ""),
    _xlpm.MyAuditVal, _xlfn.XLOOKUP($A317, My_Audit!$A:$A, My_Audit!L:L, ""),
    _xlfn.TEXTJOIN(", ", TRUE, _xlpm.MyAuditVal, _xlpm.MacVal)
)</f>
        <v/>
      </c>
    </row>
    <row r="318" spans="1:23">
      <c r="A318" s="45" t="str">
        <f>_xlfn.TEXTJOIN("",TRUE,Input!$B$2,ROW(My_Audit!A317))</f>
        <v>CC317</v>
      </c>
      <c r="B318" s="45" t="str">
        <f>_xlfn.TEXTJOIN("-",TRUE,"ITD",Input!$A$2,A318)</f>
        <v>ITD-XXX-CC317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 cm="1">
        <f t="array" ref="D318">IFERROR(_xlfn.LET(
_xlpm.CSVVal,_xlfn.XLOOKUP($A318,CSV!$A:$A,CSV!C:C,""),
_xlpm.MacVal,_xlfn.XLOOKUP($A318,Output_Mac!$A:$A,Output_Mac!D:D,""),
_xlpm.MyAuditVal,_xlfn.XLOOKUP($A318,My_Audit!$A:$A,My_Audit!C:C,""),
_xlfn.IFS(_xlpm.MyAuditVal&lt;&gt;"",UPPER(_xlpm.MyAuditVal),_xlpm.MacVal&lt;&gt;"",_xlpm.MacVal,_xlpm.CSVVal&lt;&gt;"",_xlpm.CSVVal
)),"")</f>
        <v/>
      </c>
      <c r="E318" s="46" t="str" cm="1">
        <f t="array" ref="E318">IFERROR(_xlfn.LET(
_xlpm.CSVVal,_xlfn.XLOOKUP($A318,CSV!$A:$A,CSV!E:E,""),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_xlpm.CSVVal,_xlfn.XLOOKUP($A318,CSV!$A:$A,CSV!G:G,""),
_xlpm.MacVal,_xlfn.XLOOKUP($A318,Output_Mac!$A:$A,Output_Mac!G:G,""),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_xlfn.XLOOKUP(A318,Output_Mac!A:A,Output_Mac!H:H,"")</f>
        <v/>
      </c>
      <c r="I318" s="45" t="str" cm="1">
        <f t="array" ref="I318">IFERROR(_xlfn.LET(
_xlpm.CSVVal,_xlfn.XLOOKUP($A318,CSV!$A:$A,CSV!H:H,""),
_xlpm.MacVal,_xlfn.XLOOKUP($A318,Output_Mac!$A:$A,Output_Mac!I:I,""),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_xlpm.CSVVal,_xlfn.XLOOKUP($A318,CSV!$A:$A,CSV!J:J,""),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46" t="str" cm="1">
        <f t="array" ref="K318">IFERROR(_xlfn.LET(
_xlpm.CSVVal,_xlfn.XLOOKUP($A318,CSV!$A:$A,CSV!N:N,""),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_xlpm.CSVVal,_xlfn.XLOOKUP($A318,CSV!$A:$A,CSV!Q:Q,""),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CSV!AE:AE,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_xlpm.CSVVal,_xlfn.XLOOKUP($A318,CSV!$A:$A,CSV!AG:AG,""),
_xlpm.MacVal,_xlfn.XLOOKUP($A318,Output_Mac!$A:$A,Output_Mac!T:T,""),
_xlpm.MyAuditVal,_xlfn.XLOOKUP($A318,My_Audit!$A:$A,My_Audit!O:O,""),
_xlfn.IFS(_xlpm.MyAuditVal&lt;&gt;"",UPPER(_xlpm.MyAuditVal),_xlpm.MacVal&lt;&gt;"",_xlpm.MacVal,_xlpm.CSVVal&lt;&gt;"",_xlpm.CSVVal
)),"")</f>
        <v/>
      </c>
      <c r="O318" s="46" t="str">
        <f>_xlfn.XLOOKUP(C318,My_Audit!B:B,My_Audit!P:P,"")&amp;""</f>
        <v/>
      </c>
      <c r="P318" s="45"/>
      <c r="Q318" s="46" t="str">
        <f>IF(LEFT(N318,4)="Pass","Nist SP 800-88",My_Audit!R318)&amp;""</f>
        <v/>
      </c>
      <c r="R318" s="45"/>
      <c r="S318" s="45"/>
      <c r="T318" s="46" t="str">
        <f>_xlfn.XLOOKUP(E318,Models!I:I,Models!J:J,"")</f>
        <v/>
      </c>
      <c r="U318" s="45"/>
      <c r="V318" s="45"/>
      <c r="W318" s="38" t="str">
        <f>_xlfn.LET(
    _xlpm.MacVal, _xlfn.XLOOKUP($A318, Output_Mac!$A:$A, Output_Mac!AA:AA, ""),
    _xlpm.MyAuditVal, _xlfn.XLOOKUP($A318, My_Audit!$A:$A, My_Audit!L:L, ""),
    _xlfn.TEXTJOIN(", ", TRUE, _xlpm.MyAuditVal, _xlpm.MacVal)
)</f>
        <v/>
      </c>
    </row>
    <row r="319" spans="1:23">
      <c r="A319" s="45" t="str">
        <f>_xlfn.TEXTJOIN("",TRUE,Input!$B$2,ROW(My_Audit!A318))</f>
        <v>CC318</v>
      </c>
      <c r="B319" s="45" t="str">
        <f>_xlfn.TEXTJOIN("-",TRUE,"ITD",Input!$A$2,A319)</f>
        <v>ITD-XXX-CC318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 cm="1">
        <f t="array" ref="D319">IFERROR(_xlfn.LET(
_xlpm.CSVVal,_xlfn.XLOOKUP($A319,CSV!$A:$A,CSV!C:C,""),
_xlpm.MacVal,_xlfn.XLOOKUP($A319,Output_Mac!$A:$A,Output_Mac!D:D,""),
_xlpm.MyAuditVal,_xlfn.XLOOKUP($A319,My_Audit!$A:$A,My_Audit!C:C,""),
_xlfn.IFS(_xlpm.MyAuditVal&lt;&gt;"",UPPER(_xlpm.MyAuditVal),_xlpm.MacVal&lt;&gt;"",_xlpm.MacVal,_xlpm.CSVVal&lt;&gt;"",_xlpm.CSVVal
)),"")</f>
        <v/>
      </c>
      <c r="E319" s="46" t="str" cm="1">
        <f t="array" ref="E319">IFERROR(_xlfn.LET(
_xlpm.CSVVal,_xlfn.XLOOKUP($A319,CSV!$A:$A,CSV!E:E,""),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_xlpm.CSVVal,_xlfn.XLOOKUP($A319,CSV!$A:$A,CSV!G:G,""),
_xlpm.MacVal,_xlfn.XLOOKUP($A319,Output_Mac!$A:$A,Output_Mac!G:G,""),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_xlfn.XLOOKUP(A319,Output_Mac!A:A,Output_Mac!H:H,"")</f>
        <v/>
      </c>
      <c r="I319" s="45" t="str" cm="1">
        <f t="array" ref="I319">IFERROR(_xlfn.LET(
_xlpm.CSVVal,_xlfn.XLOOKUP($A319,CSV!$A:$A,CSV!H:H,""),
_xlpm.MacVal,_xlfn.XLOOKUP($A319,Output_Mac!$A:$A,Output_Mac!I:I,""),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_xlpm.CSVVal,_xlfn.XLOOKUP($A319,CSV!$A:$A,CSV!J:J,""),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46" t="str" cm="1">
        <f t="array" ref="K319">IFERROR(_xlfn.LET(
_xlpm.CSVVal,_xlfn.XLOOKUP($A319,CSV!$A:$A,CSV!N:N,""),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_xlpm.CSVVal,_xlfn.XLOOKUP($A319,CSV!$A:$A,CSV!Q:Q,""),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CSV!AE:AE,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_xlpm.CSVVal,_xlfn.XLOOKUP($A319,CSV!$A:$A,CSV!AG:AG,""),
_xlpm.MacVal,_xlfn.XLOOKUP($A319,Output_Mac!$A:$A,Output_Mac!T:T,""),
_xlpm.MyAuditVal,_xlfn.XLOOKUP($A319,My_Audit!$A:$A,My_Audit!O:O,""),
_xlfn.IFS(_xlpm.MyAuditVal&lt;&gt;"",UPPER(_xlpm.MyAuditVal),_xlpm.MacVal&lt;&gt;"",_xlpm.MacVal,_xlpm.CSVVal&lt;&gt;"",_xlpm.CSVVal
)),"")</f>
        <v/>
      </c>
      <c r="O319" s="46" t="str">
        <f>_xlfn.XLOOKUP(C319,My_Audit!B:B,My_Audit!P:P,"")&amp;""</f>
        <v/>
      </c>
      <c r="P319" s="45"/>
      <c r="Q319" s="46" t="str">
        <f>IF(LEFT(N319,4)="Pass","Nist SP 800-88",My_Audit!R319)&amp;""</f>
        <v/>
      </c>
      <c r="R319" s="45"/>
      <c r="S319" s="45"/>
      <c r="T319" s="46" t="str">
        <f>_xlfn.XLOOKUP(E319,Models!I:I,Models!J:J,"")</f>
        <v/>
      </c>
      <c r="U319" s="45"/>
      <c r="V319" s="45"/>
      <c r="W319" s="38" t="str">
        <f>_xlfn.LET(
    _xlpm.MacVal, _xlfn.XLOOKUP($A319, Output_Mac!$A:$A, Output_Mac!AA:AA, ""),
    _xlpm.MyAuditVal, _xlfn.XLOOKUP($A319, My_Audit!$A:$A, My_Audit!L:L, ""),
    _xlfn.TEXTJOIN(", ", TRUE, _xlpm.MyAuditVal, _xlpm.MacVal)
)</f>
        <v/>
      </c>
    </row>
    <row r="320" spans="1:23">
      <c r="A320" s="45" t="str">
        <f>_xlfn.TEXTJOIN("",TRUE,Input!$B$2,ROW(My_Audit!A319))</f>
        <v>CC319</v>
      </c>
      <c r="B320" s="45" t="str">
        <f>_xlfn.TEXTJOIN("-",TRUE,"ITD",Input!$A$2,A320)</f>
        <v>ITD-XXX-CC319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 cm="1">
        <f t="array" ref="D320">IFERROR(_xlfn.LET(
_xlpm.CSVVal,_xlfn.XLOOKUP($A320,CSV!$A:$A,CSV!C:C,""),
_xlpm.MacVal,_xlfn.XLOOKUP($A320,Output_Mac!$A:$A,Output_Mac!D:D,""),
_xlpm.MyAuditVal,_xlfn.XLOOKUP($A320,My_Audit!$A:$A,My_Audit!C:C,""),
_xlfn.IFS(_xlpm.MyAuditVal&lt;&gt;"",UPPER(_xlpm.MyAuditVal),_xlpm.MacVal&lt;&gt;"",_xlpm.MacVal,_xlpm.CSVVal&lt;&gt;"",_xlpm.CSVVal
)),"")</f>
        <v/>
      </c>
      <c r="E320" s="46" t="str" cm="1">
        <f t="array" ref="E320">IFERROR(_xlfn.LET(
_xlpm.CSVVal,_xlfn.XLOOKUP($A320,CSV!$A:$A,CSV!E:E,""),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_xlpm.CSVVal,_xlfn.XLOOKUP($A320,CSV!$A:$A,CSV!G:G,""),
_xlpm.MacVal,_xlfn.XLOOKUP($A320,Output_Mac!$A:$A,Output_Mac!G:G,""),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_xlfn.XLOOKUP(A320,Output_Mac!A:A,Output_Mac!H:H,"")</f>
        <v/>
      </c>
      <c r="I320" s="45" t="str" cm="1">
        <f t="array" ref="I320">IFERROR(_xlfn.LET(
_xlpm.CSVVal,_xlfn.XLOOKUP($A320,CSV!$A:$A,CSV!H:H,""),
_xlpm.MacVal,_xlfn.XLOOKUP($A320,Output_Mac!$A:$A,Output_Mac!I:I,""),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_xlpm.CSVVal,_xlfn.XLOOKUP($A320,CSV!$A:$A,CSV!J:J,""),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46" t="str" cm="1">
        <f t="array" ref="K320">IFERROR(_xlfn.LET(
_xlpm.CSVVal,_xlfn.XLOOKUP($A320,CSV!$A:$A,CSV!N:N,""),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_xlpm.CSVVal,_xlfn.XLOOKUP($A320,CSV!$A:$A,CSV!Q:Q,""),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CSV!AE:AE,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_xlpm.CSVVal,_xlfn.XLOOKUP($A320,CSV!$A:$A,CSV!AG:AG,""),
_xlpm.MacVal,_xlfn.XLOOKUP($A320,Output_Mac!$A:$A,Output_Mac!T:T,""),
_xlpm.MyAuditVal,_xlfn.XLOOKUP($A320,My_Audit!$A:$A,My_Audit!O:O,""),
_xlfn.IFS(_xlpm.MyAuditVal&lt;&gt;"",UPPER(_xlpm.MyAuditVal),_xlpm.MacVal&lt;&gt;"",_xlpm.MacVal,_xlpm.CSVVal&lt;&gt;"",_xlpm.CSVVal
)),"")</f>
        <v/>
      </c>
      <c r="O320" s="46" t="str">
        <f>_xlfn.XLOOKUP(C320,My_Audit!B:B,My_Audit!P:P,"")&amp;""</f>
        <v/>
      </c>
      <c r="P320" s="45"/>
      <c r="Q320" s="46" t="str">
        <f>IF(LEFT(N320,4)="Pass","Nist SP 800-88",My_Audit!R320)&amp;""</f>
        <v/>
      </c>
      <c r="R320" s="45"/>
      <c r="S320" s="45"/>
      <c r="T320" s="46" t="str">
        <f>_xlfn.XLOOKUP(E320,Models!I:I,Models!J:J,"")</f>
        <v/>
      </c>
      <c r="U320" s="45"/>
      <c r="V320" s="45"/>
      <c r="W320" s="38" t="str">
        <f>_xlfn.LET(
    _xlpm.MacVal, _xlfn.XLOOKUP($A320, Output_Mac!$A:$A, Output_Mac!AA:AA, ""),
    _xlpm.MyAuditVal, _xlfn.XLOOKUP($A320, My_Audit!$A:$A, My_Audit!L:L, ""),
    _xlfn.TEXTJOIN(", ", TRUE, _xlpm.MyAuditVal, _xlpm.MacVal)
)</f>
        <v/>
      </c>
    </row>
    <row r="321" spans="1:23">
      <c r="A321" s="45" t="str">
        <f>_xlfn.TEXTJOIN("",TRUE,Input!$B$2,ROW(My_Audit!A320))</f>
        <v>CC320</v>
      </c>
      <c r="B321" s="45" t="str">
        <f>_xlfn.TEXTJOIN("-",TRUE,"ITD",Input!$A$2,A321)</f>
        <v>ITD-XXX-CC320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 cm="1">
        <f t="array" ref="D321">IFERROR(_xlfn.LET(
_xlpm.CSVVal,_xlfn.XLOOKUP($A321,CSV!$A:$A,CSV!C:C,""),
_xlpm.MacVal,_xlfn.XLOOKUP($A321,Output_Mac!$A:$A,Output_Mac!D:D,""),
_xlpm.MyAuditVal,_xlfn.XLOOKUP($A321,My_Audit!$A:$A,My_Audit!C:C,""),
_xlfn.IFS(_xlpm.MyAuditVal&lt;&gt;"",UPPER(_xlpm.MyAuditVal),_xlpm.MacVal&lt;&gt;"",_xlpm.MacVal,_xlpm.CSVVal&lt;&gt;"",_xlpm.CSVVal
)),"")</f>
        <v/>
      </c>
      <c r="E321" s="46" t="str" cm="1">
        <f t="array" ref="E321">IFERROR(_xlfn.LET(
_xlpm.CSVVal,_xlfn.XLOOKUP($A321,CSV!$A:$A,CSV!E:E,""),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_xlpm.CSVVal,_xlfn.XLOOKUP($A321,CSV!$A:$A,CSV!G:G,""),
_xlpm.MacVal,_xlfn.XLOOKUP($A321,Output_Mac!$A:$A,Output_Mac!G:G,""),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_xlfn.XLOOKUP(A321,Output_Mac!A:A,Output_Mac!H:H,"")</f>
        <v/>
      </c>
      <c r="I321" s="45" t="str" cm="1">
        <f t="array" ref="I321">IFERROR(_xlfn.LET(
_xlpm.CSVVal,_xlfn.XLOOKUP($A321,CSV!$A:$A,CSV!H:H,""),
_xlpm.MacVal,_xlfn.XLOOKUP($A321,Output_Mac!$A:$A,Output_Mac!I:I,""),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_xlpm.CSVVal,_xlfn.XLOOKUP($A321,CSV!$A:$A,CSV!J:J,""),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46" t="str" cm="1">
        <f t="array" ref="K321">IFERROR(_xlfn.LET(
_xlpm.CSVVal,_xlfn.XLOOKUP($A321,CSV!$A:$A,CSV!N:N,""),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_xlpm.CSVVal,_xlfn.XLOOKUP($A321,CSV!$A:$A,CSV!Q:Q,""),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CSV!AE:AE,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_xlpm.CSVVal,_xlfn.XLOOKUP($A321,CSV!$A:$A,CSV!AG:AG,""),
_xlpm.MacVal,_xlfn.XLOOKUP($A321,Output_Mac!$A:$A,Output_Mac!T:T,""),
_xlpm.MyAuditVal,_xlfn.XLOOKUP($A321,My_Audit!$A:$A,My_Audit!O:O,""),
_xlfn.IFS(_xlpm.MyAuditVal&lt;&gt;"",UPPER(_xlpm.MyAuditVal),_xlpm.MacVal&lt;&gt;"",_xlpm.MacVal,_xlpm.CSVVal&lt;&gt;"",_xlpm.CSVVal
)),"")</f>
        <v/>
      </c>
      <c r="O321" s="46" t="str">
        <f>_xlfn.XLOOKUP(C321,My_Audit!B:B,My_Audit!P:P,"")&amp;""</f>
        <v/>
      </c>
      <c r="P321" s="45"/>
      <c r="Q321" s="46" t="str">
        <f>IF(LEFT(N321,4)="Pass","Nist SP 800-88",My_Audit!R321)&amp;""</f>
        <v/>
      </c>
      <c r="R321" s="45"/>
      <c r="S321" s="45"/>
      <c r="T321" s="46" t="str">
        <f>_xlfn.XLOOKUP(E321,Models!I:I,Models!J:J,"")</f>
        <v/>
      </c>
      <c r="U321" s="45"/>
      <c r="V321" s="45"/>
      <c r="W321" s="38" t="str">
        <f>_xlfn.LET(
    _xlpm.MacVal, _xlfn.XLOOKUP($A321, Output_Mac!$A:$A, Output_Mac!AA:AA, ""),
    _xlpm.MyAuditVal, _xlfn.XLOOKUP($A321, My_Audit!$A:$A, My_Audit!L:L, ""),
    _xlfn.TEXTJOIN(", ", TRUE, _xlpm.MyAuditVal, _xlpm.MacVal)
)</f>
        <v/>
      </c>
    </row>
    <row r="322" spans="1:23">
      <c r="A322" s="45" t="str">
        <f>_xlfn.TEXTJOIN("",TRUE,Input!$B$2,ROW(My_Audit!A321))</f>
        <v>CC321</v>
      </c>
      <c r="B322" s="45" t="str">
        <f>_xlfn.TEXTJOIN("-",TRUE,"ITD",Input!$A$2,A322)</f>
        <v>ITD-XXX-CC321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 cm="1">
        <f t="array" ref="D322">IFERROR(_xlfn.LET(
_xlpm.CSVVal,_xlfn.XLOOKUP($A322,CSV!$A:$A,CSV!C:C,""),
_xlpm.MacVal,_xlfn.XLOOKUP($A322,Output_Mac!$A:$A,Output_Mac!D:D,""),
_xlpm.MyAuditVal,_xlfn.XLOOKUP($A322,My_Audit!$A:$A,My_Audit!C:C,""),
_xlfn.IFS(_xlpm.MyAuditVal&lt;&gt;"",UPPER(_xlpm.MyAuditVal),_xlpm.MacVal&lt;&gt;"",_xlpm.MacVal,_xlpm.CSVVal&lt;&gt;"",_xlpm.CSVVal
)),"")</f>
        <v/>
      </c>
      <c r="E322" s="46" t="str" cm="1">
        <f t="array" ref="E322">IFERROR(_xlfn.LET(
_xlpm.CSVVal,_xlfn.XLOOKUP($A322,CSV!$A:$A,CSV!E:E,""),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_xlpm.CSVVal,_xlfn.XLOOKUP($A322,CSV!$A:$A,CSV!G:G,""),
_xlpm.MacVal,_xlfn.XLOOKUP($A322,Output_Mac!$A:$A,Output_Mac!G:G,""),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_xlfn.XLOOKUP(A322,Output_Mac!A:A,Output_Mac!H:H,"")</f>
        <v/>
      </c>
      <c r="I322" s="45" t="str" cm="1">
        <f t="array" ref="I322">IFERROR(_xlfn.LET(
_xlpm.CSVVal,_xlfn.XLOOKUP($A322,CSV!$A:$A,CSV!H:H,""),
_xlpm.MacVal,_xlfn.XLOOKUP($A322,Output_Mac!$A:$A,Output_Mac!I:I,""),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_xlpm.CSVVal,_xlfn.XLOOKUP($A322,CSV!$A:$A,CSV!J:J,""),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46" t="str" cm="1">
        <f t="array" ref="K322">IFERROR(_xlfn.LET(
_xlpm.CSVVal,_xlfn.XLOOKUP($A322,CSV!$A:$A,CSV!N:N,""),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_xlpm.CSVVal,_xlfn.XLOOKUP($A322,CSV!$A:$A,CSV!Q:Q,""),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CSV!AE:AE,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_xlpm.CSVVal,_xlfn.XLOOKUP($A322,CSV!$A:$A,CSV!AG:AG,""),
_xlpm.MacVal,_xlfn.XLOOKUP($A322,Output_Mac!$A:$A,Output_Mac!T:T,""),
_xlpm.MyAuditVal,_xlfn.XLOOKUP($A322,My_Audit!$A:$A,My_Audit!O:O,""),
_xlfn.IFS(_xlpm.MyAuditVal&lt;&gt;"",UPPER(_xlpm.MyAuditVal),_xlpm.MacVal&lt;&gt;"",_xlpm.MacVal,_xlpm.CSVVal&lt;&gt;"",_xlpm.CSVVal
)),"")</f>
        <v/>
      </c>
      <c r="O322" s="46" t="str">
        <f>_xlfn.XLOOKUP(C322,My_Audit!B:B,My_Audit!P:P,"")&amp;""</f>
        <v/>
      </c>
      <c r="P322" s="45"/>
      <c r="Q322" s="46" t="str">
        <f>IF(LEFT(N322,4)="Pass","Nist SP 800-88",My_Audit!R322)&amp;""</f>
        <v/>
      </c>
      <c r="R322" s="45"/>
      <c r="S322" s="45"/>
      <c r="T322" s="46" t="str">
        <f>_xlfn.XLOOKUP(E322,Models!I:I,Models!J:J,"")</f>
        <v/>
      </c>
      <c r="U322" s="45"/>
      <c r="V322" s="45"/>
      <c r="W322" s="38" t="str">
        <f>_xlfn.LET(
    _xlpm.MacVal, _xlfn.XLOOKUP($A322, Output_Mac!$A:$A, Output_Mac!AA:AA, ""),
    _xlpm.MyAuditVal, _xlfn.XLOOKUP($A322, My_Audit!$A:$A, My_Audit!L:L, ""),
    _xlfn.TEXTJOIN(", ", TRUE, _xlpm.MyAuditVal, _xlpm.MacVal)
)</f>
        <v/>
      </c>
    </row>
    <row r="323" spans="1:23">
      <c r="A323" s="45" t="str">
        <f>_xlfn.TEXTJOIN("",TRUE,Input!$B$2,ROW(My_Audit!A322))</f>
        <v>CC322</v>
      </c>
      <c r="B323" s="45" t="str">
        <f>_xlfn.TEXTJOIN("-",TRUE,"ITD",Input!$A$2,A323)</f>
        <v>ITD-XXX-CC322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 cm="1">
        <f t="array" ref="D323">IFERROR(_xlfn.LET(
_xlpm.CSVVal,_xlfn.XLOOKUP($A323,CSV!$A:$A,CSV!C:C,""),
_xlpm.MacVal,_xlfn.XLOOKUP($A323,Output_Mac!$A:$A,Output_Mac!D:D,""),
_xlpm.MyAuditVal,_xlfn.XLOOKUP($A323,My_Audit!$A:$A,My_Audit!C:C,""),
_xlfn.IFS(_xlpm.MyAuditVal&lt;&gt;"",UPPER(_xlpm.MyAuditVal),_xlpm.MacVal&lt;&gt;"",_xlpm.MacVal,_xlpm.CSVVal&lt;&gt;"",_xlpm.CSVVal
)),"")</f>
        <v/>
      </c>
      <c r="E323" s="46" t="str" cm="1">
        <f t="array" ref="E323">IFERROR(_xlfn.LET(
_xlpm.CSVVal,_xlfn.XLOOKUP($A323,CSV!$A:$A,CSV!E:E,""),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_xlpm.CSVVal,_xlfn.XLOOKUP($A323,CSV!$A:$A,CSV!G:G,""),
_xlpm.MacVal,_xlfn.XLOOKUP($A323,Output_Mac!$A:$A,Output_Mac!G:G,""),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_xlfn.XLOOKUP(A323,Output_Mac!A:A,Output_Mac!H:H,"")</f>
        <v/>
      </c>
      <c r="I323" s="45" t="str" cm="1">
        <f t="array" ref="I323">IFERROR(_xlfn.LET(
_xlpm.CSVVal,_xlfn.XLOOKUP($A323,CSV!$A:$A,CSV!H:H,""),
_xlpm.MacVal,_xlfn.XLOOKUP($A323,Output_Mac!$A:$A,Output_Mac!I:I,""),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_xlpm.CSVVal,_xlfn.XLOOKUP($A323,CSV!$A:$A,CSV!J:J,""),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46" t="str" cm="1">
        <f t="array" ref="K323">IFERROR(_xlfn.LET(
_xlpm.CSVVal,_xlfn.XLOOKUP($A323,CSV!$A:$A,CSV!N:N,""),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_xlpm.CSVVal,_xlfn.XLOOKUP($A323,CSV!$A:$A,CSV!Q:Q,""),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CSV!AE:AE,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_xlpm.CSVVal,_xlfn.XLOOKUP($A323,CSV!$A:$A,CSV!AG:AG,""),
_xlpm.MacVal,_xlfn.XLOOKUP($A323,Output_Mac!$A:$A,Output_Mac!T:T,""),
_xlpm.MyAuditVal,_xlfn.XLOOKUP($A323,My_Audit!$A:$A,My_Audit!O:O,""),
_xlfn.IFS(_xlpm.MyAuditVal&lt;&gt;"",UPPER(_xlpm.MyAuditVal),_xlpm.MacVal&lt;&gt;"",_xlpm.MacVal,_xlpm.CSVVal&lt;&gt;"",_xlpm.CSVVal
)),"")</f>
        <v/>
      </c>
      <c r="O323" s="46" t="str">
        <f>_xlfn.XLOOKUP(C323,My_Audit!B:B,My_Audit!P:P,"")&amp;""</f>
        <v/>
      </c>
      <c r="P323" s="45"/>
      <c r="Q323" s="46" t="str">
        <f>IF(LEFT(N323,4)="Pass","Nist SP 800-88",My_Audit!R323)&amp;""</f>
        <v/>
      </c>
      <c r="R323" s="45"/>
      <c r="S323" s="45"/>
      <c r="T323" s="46" t="str">
        <f>_xlfn.XLOOKUP(E323,Models!I:I,Models!J:J,"")</f>
        <v/>
      </c>
      <c r="U323" s="45"/>
      <c r="V323" s="45"/>
      <c r="W323" s="38" t="str">
        <f>_xlfn.LET(
    _xlpm.MacVal, _xlfn.XLOOKUP($A323, Output_Mac!$A:$A, Output_Mac!AA:AA, ""),
    _xlpm.MyAuditVal, _xlfn.XLOOKUP($A323, My_Audit!$A:$A, My_Audit!L:L, ""),
    _xlfn.TEXTJOIN(", ", TRUE, _xlpm.MyAuditVal, _xlpm.MacVal)
)</f>
        <v/>
      </c>
    </row>
    <row r="324" spans="1:23">
      <c r="A324" s="45" t="str">
        <f>_xlfn.TEXTJOIN("",TRUE,Input!$B$2,ROW(My_Audit!A323))</f>
        <v>CC323</v>
      </c>
      <c r="B324" s="45" t="str">
        <f>_xlfn.TEXTJOIN("-",TRUE,"ITD",Input!$A$2,A324)</f>
        <v>ITD-XXX-CC323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 cm="1">
        <f t="array" ref="D324">IFERROR(_xlfn.LET(
_xlpm.CSVVal,_xlfn.XLOOKUP($A324,CSV!$A:$A,CSV!C:C,""),
_xlpm.MacVal,_xlfn.XLOOKUP($A324,Output_Mac!$A:$A,Output_Mac!D:D,""),
_xlpm.MyAuditVal,_xlfn.XLOOKUP($A324,My_Audit!$A:$A,My_Audit!C:C,""),
_xlfn.IFS(_xlpm.MyAuditVal&lt;&gt;"",UPPER(_xlpm.MyAuditVal),_xlpm.MacVal&lt;&gt;"",_xlpm.MacVal,_xlpm.CSVVal&lt;&gt;"",_xlpm.CSVVal
)),"")</f>
        <v/>
      </c>
      <c r="E324" s="46" t="str" cm="1">
        <f t="array" ref="E324">IFERROR(_xlfn.LET(
_xlpm.CSVVal,_xlfn.XLOOKUP($A324,CSV!$A:$A,CSV!E:E,""),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_xlpm.CSVVal,_xlfn.XLOOKUP($A324,CSV!$A:$A,CSV!G:G,""),
_xlpm.MacVal,_xlfn.XLOOKUP($A324,Output_Mac!$A:$A,Output_Mac!G:G,""),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_xlfn.XLOOKUP(A324,Output_Mac!A:A,Output_Mac!H:H,"")</f>
        <v/>
      </c>
      <c r="I324" s="45" t="str" cm="1">
        <f t="array" ref="I324">IFERROR(_xlfn.LET(
_xlpm.CSVVal,_xlfn.XLOOKUP($A324,CSV!$A:$A,CSV!H:H,""),
_xlpm.MacVal,_xlfn.XLOOKUP($A324,Output_Mac!$A:$A,Output_Mac!I:I,""),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_xlpm.CSVVal,_xlfn.XLOOKUP($A324,CSV!$A:$A,CSV!J:J,""),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46" t="str" cm="1">
        <f t="array" ref="K324">IFERROR(_xlfn.LET(
_xlpm.CSVVal,_xlfn.XLOOKUP($A324,CSV!$A:$A,CSV!N:N,""),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_xlpm.CSVVal,_xlfn.XLOOKUP($A324,CSV!$A:$A,CSV!Q:Q,""),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CSV!AE:AE,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_xlpm.CSVVal,_xlfn.XLOOKUP($A324,CSV!$A:$A,CSV!AG:AG,""),
_xlpm.MacVal,_xlfn.XLOOKUP($A324,Output_Mac!$A:$A,Output_Mac!T:T,""),
_xlpm.MyAuditVal,_xlfn.XLOOKUP($A324,My_Audit!$A:$A,My_Audit!O:O,""),
_xlfn.IFS(_xlpm.MyAuditVal&lt;&gt;"",UPPER(_xlpm.MyAuditVal),_xlpm.MacVal&lt;&gt;"",_xlpm.MacVal,_xlpm.CSVVal&lt;&gt;"",_xlpm.CSVVal
)),"")</f>
        <v/>
      </c>
      <c r="O324" s="46" t="str">
        <f>_xlfn.XLOOKUP(C324,My_Audit!B:B,My_Audit!P:P,"")&amp;""</f>
        <v/>
      </c>
      <c r="P324" s="45"/>
      <c r="Q324" s="46" t="str">
        <f>IF(LEFT(N324,4)="Pass","Nist SP 800-88",My_Audit!R324)&amp;""</f>
        <v/>
      </c>
      <c r="R324" s="45"/>
      <c r="S324" s="45"/>
      <c r="T324" s="46" t="str">
        <f>_xlfn.XLOOKUP(E324,Models!I:I,Models!J:J,"")</f>
        <v/>
      </c>
      <c r="U324" s="45"/>
      <c r="V324" s="45"/>
      <c r="W324" s="38" t="str">
        <f>_xlfn.LET(
    _xlpm.MacVal, _xlfn.XLOOKUP($A324, Output_Mac!$A:$A, Output_Mac!AA:AA, ""),
    _xlpm.MyAuditVal, _xlfn.XLOOKUP($A324, My_Audit!$A:$A, My_Audit!L:L, ""),
    _xlfn.TEXTJOIN(", ", TRUE, _xlpm.MyAuditVal, _xlpm.MacVal)
)</f>
        <v/>
      </c>
    </row>
    <row r="325" spans="1:23">
      <c r="A325" s="45" t="str">
        <f>_xlfn.TEXTJOIN("",TRUE,Input!$B$2,ROW(My_Audit!A324))</f>
        <v>CC324</v>
      </c>
      <c r="B325" s="45" t="str">
        <f>_xlfn.TEXTJOIN("-",TRUE,"ITD",Input!$A$2,A325)</f>
        <v>ITD-XXX-CC324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 cm="1">
        <f t="array" ref="D325">IFERROR(_xlfn.LET(
_xlpm.CSVVal,_xlfn.XLOOKUP($A325,CSV!$A:$A,CSV!C:C,""),
_xlpm.MacVal,_xlfn.XLOOKUP($A325,Output_Mac!$A:$A,Output_Mac!D:D,""),
_xlpm.MyAuditVal,_xlfn.XLOOKUP($A325,My_Audit!$A:$A,My_Audit!C:C,""),
_xlfn.IFS(_xlpm.MyAuditVal&lt;&gt;"",UPPER(_xlpm.MyAuditVal),_xlpm.MacVal&lt;&gt;"",_xlpm.MacVal,_xlpm.CSVVal&lt;&gt;"",_xlpm.CSVVal
)),"")</f>
        <v/>
      </c>
      <c r="E325" s="46" t="str" cm="1">
        <f t="array" ref="E325">IFERROR(_xlfn.LET(
_xlpm.CSVVal,_xlfn.XLOOKUP($A325,CSV!$A:$A,CSV!E:E,""),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_xlpm.CSVVal,_xlfn.XLOOKUP($A325,CSV!$A:$A,CSV!G:G,""),
_xlpm.MacVal,_xlfn.XLOOKUP($A325,Output_Mac!$A:$A,Output_Mac!G:G,""),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_xlfn.XLOOKUP(A325,Output_Mac!A:A,Output_Mac!H:H,"")</f>
        <v/>
      </c>
      <c r="I325" s="45" t="str" cm="1">
        <f t="array" ref="I325">IFERROR(_xlfn.LET(
_xlpm.CSVVal,_xlfn.XLOOKUP($A325,CSV!$A:$A,CSV!H:H,""),
_xlpm.MacVal,_xlfn.XLOOKUP($A325,Output_Mac!$A:$A,Output_Mac!I:I,""),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_xlpm.CSVVal,_xlfn.XLOOKUP($A325,CSV!$A:$A,CSV!J:J,""),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46" t="str" cm="1">
        <f t="array" ref="K325">IFERROR(_xlfn.LET(
_xlpm.CSVVal,_xlfn.XLOOKUP($A325,CSV!$A:$A,CSV!N:N,""),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_xlpm.CSVVal,_xlfn.XLOOKUP($A325,CSV!$A:$A,CSV!Q:Q,""),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CSV!AE:AE,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_xlpm.CSVVal,_xlfn.XLOOKUP($A325,CSV!$A:$A,CSV!AG:AG,""),
_xlpm.MacVal,_xlfn.XLOOKUP($A325,Output_Mac!$A:$A,Output_Mac!T:T,""),
_xlpm.MyAuditVal,_xlfn.XLOOKUP($A325,My_Audit!$A:$A,My_Audit!O:O,""),
_xlfn.IFS(_xlpm.MyAuditVal&lt;&gt;"",UPPER(_xlpm.MyAuditVal),_xlpm.MacVal&lt;&gt;"",_xlpm.MacVal,_xlpm.CSVVal&lt;&gt;"",_xlpm.CSVVal
)),"")</f>
        <v/>
      </c>
      <c r="O325" s="46" t="str">
        <f>_xlfn.XLOOKUP(C325,My_Audit!B:B,My_Audit!P:P,"")&amp;""</f>
        <v/>
      </c>
      <c r="P325" s="45"/>
      <c r="Q325" s="46" t="str">
        <f>IF(LEFT(N325,4)="Pass","Nist SP 800-88",My_Audit!R325)&amp;""</f>
        <v/>
      </c>
      <c r="R325" s="45"/>
      <c r="S325" s="45"/>
      <c r="T325" s="46" t="str">
        <f>_xlfn.XLOOKUP(E325,Models!I:I,Models!J:J,"")</f>
        <v/>
      </c>
      <c r="U325" s="45"/>
      <c r="V325" s="45"/>
      <c r="W325" s="38" t="str">
        <f>_xlfn.LET(
    _xlpm.MacVal, _xlfn.XLOOKUP($A325, Output_Mac!$A:$A, Output_Mac!AA:AA, ""),
    _xlpm.MyAuditVal, _xlfn.XLOOKUP($A325, My_Audit!$A:$A, My_Audit!L:L, ""),
    _xlfn.TEXTJOIN(", ", TRUE, _xlpm.MyAuditVal, _xlpm.MacVal)
)</f>
        <v/>
      </c>
    </row>
    <row r="326" spans="1:23">
      <c r="A326" s="45" t="str">
        <f>_xlfn.TEXTJOIN("",TRUE,Input!$B$2,ROW(My_Audit!A325))</f>
        <v>CC325</v>
      </c>
      <c r="B326" s="45" t="str">
        <f>_xlfn.TEXTJOIN("-",TRUE,"ITD",Input!$A$2,A326)</f>
        <v>ITD-XXX-CC325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 cm="1">
        <f t="array" ref="D326">IFERROR(_xlfn.LET(
_xlpm.CSVVal,_xlfn.XLOOKUP($A326,CSV!$A:$A,CSV!C:C,""),
_xlpm.MacVal,_xlfn.XLOOKUP($A326,Output_Mac!$A:$A,Output_Mac!D:D,""),
_xlpm.MyAuditVal,_xlfn.XLOOKUP($A326,My_Audit!$A:$A,My_Audit!C:C,""),
_xlfn.IFS(_xlpm.MyAuditVal&lt;&gt;"",UPPER(_xlpm.MyAuditVal),_xlpm.MacVal&lt;&gt;"",_xlpm.MacVal,_xlpm.CSVVal&lt;&gt;"",_xlpm.CSVVal
)),"")</f>
        <v/>
      </c>
      <c r="E326" s="46" t="str" cm="1">
        <f t="array" ref="E326">IFERROR(_xlfn.LET(
_xlpm.CSVVal,_xlfn.XLOOKUP($A326,CSV!$A:$A,CSV!E:E,""),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_xlpm.CSVVal,_xlfn.XLOOKUP($A326,CSV!$A:$A,CSV!G:G,""),
_xlpm.MacVal,_xlfn.XLOOKUP($A326,Output_Mac!$A:$A,Output_Mac!G:G,""),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_xlfn.XLOOKUP(A326,Output_Mac!A:A,Output_Mac!H:H,"")</f>
        <v/>
      </c>
      <c r="I326" s="45" t="str" cm="1">
        <f t="array" ref="I326">IFERROR(_xlfn.LET(
_xlpm.CSVVal,_xlfn.XLOOKUP($A326,CSV!$A:$A,CSV!H:H,""),
_xlpm.MacVal,_xlfn.XLOOKUP($A326,Output_Mac!$A:$A,Output_Mac!I:I,""),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_xlpm.CSVVal,_xlfn.XLOOKUP($A326,CSV!$A:$A,CSV!J:J,""),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46" t="str" cm="1">
        <f t="array" ref="K326">IFERROR(_xlfn.LET(
_xlpm.CSVVal,_xlfn.XLOOKUP($A326,CSV!$A:$A,CSV!N:N,""),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_xlpm.CSVVal,_xlfn.XLOOKUP($A326,CSV!$A:$A,CSV!Q:Q,""),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CSV!AE:AE,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_xlpm.CSVVal,_xlfn.XLOOKUP($A326,CSV!$A:$A,CSV!AG:AG,""),
_xlpm.MacVal,_xlfn.XLOOKUP($A326,Output_Mac!$A:$A,Output_Mac!T:T,""),
_xlpm.MyAuditVal,_xlfn.XLOOKUP($A326,My_Audit!$A:$A,My_Audit!O:O,""),
_xlfn.IFS(_xlpm.MyAuditVal&lt;&gt;"",UPPER(_xlpm.MyAuditVal),_xlpm.MacVal&lt;&gt;"",_xlpm.MacVal,_xlpm.CSVVal&lt;&gt;"",_xlpm.CSVVal
)),"")</f>
        <v/>
      </c>
      <c r="O326" s="46" t="str">
        <f>_xlfn.XLOOKUP(C326,My_Audit!B:B,My_Audit!P:P,"")&amp;""</f>
        <v/>
      </c>
      <c r="P326" s="45"/>
      <c r="Q326" s="46" t="str">
        <f>IF(LEFT(N326,4)="Pass","Nist SP 800-88",My_Audit!R326)&amp;""</f>
        <v/>
      </c>
      <c r="R326" s="45"/>
      <c r="S326" s="45"/>
      <c r="T326" s="46" t="str">
        <f>_xlfn.XLOOKUP(E326,Models!I:I,Models!J:J,"")</f>
        <v/>
      </c>
      <c r="U326" s="45"/>
      <c r="V326" s="45"/>
      <c r="W326" s="38" t="str">
        <f>_xlfn.LET(
    _xlpm.MacVal, _xlfn.XLOOKUP($A326, Output_Mac!$A:$A, Output_Mac!AA:AA, ""),
    _xlpm.MyAuditVal, _xlfn.XLOOKUP($A326, My_Audit!$A:$A, My_Audit!L:L, ""),
    _xlfn.TEXTJOIN(", ", TRUE, _xlpm.MyAuditVal, _xlpm.MacVal)
)</f>
        <v/>
      </c>
    </row>
    <row r="327" spans="1:23">
      <c r="A327" s="45" t="str">
        <f>_xlfn.TEXTJOIN("",TRUE,Input!$B$2,ROW(My_Audit!A326))</f>
        <v>CC326</v>
      </c>
      <c r="B327" s="45" t="str">
        <f>_xlfn.TEXTJOIN("-",TRUE,"ITD",Input!$A$2,A327)</f>
        <v>ITD-XXX-CC326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 cm="1">
        <f t="array" ref="D327">IFERROR(_xlfn.LET(
_xlpm.CSVVal,_xlfn.XLOOKUP($A327,CSV!$A:$A,CSV!C:C,""),
_xlpm.MacVal,_xlfn.XLOOKUP($A327,Output_Mac!$A:$A,Output_Mac!D:D,""),
_xlpm.MyAuditVal,_xlfn.XLOOKUP($A327,My_Audit!$A:$A,My_Audit!C:C,""),
_xlfn.IFS(_xlpm.MyAuditVal&lt;&gt;"",UPPER(_xlpm.MyAuditVal),_xlpm.MacVal&lt;&gt;"",_xlpm.MacVal,_xlpm.CSVVal&lt;&gt;"",_xlpm.CSVVal
)),"")</f>
        <v/>
      </c>
      <c r="E327" s="46" t="str" cm="1">
        <f t="array" ref="E327">IFERROR(_xlfn.LET(
_xlpm.CSVVal,_xlfn.XLOOKUP($A327,CSV!$A:$A,CSV!E:E,""),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_xlpm.CSVVal,_xlfn.XLOOKUP($A327,CSV!$A:$A,CSV!G:G,""),
_xlpm.MacVal,_xlfn.XLOOKUP($A327,Output_Mac!$A:$A,Output_Mac!G:G,""),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_xlfn.XLOOKUP(A327,Output_Mac!A:A,Output_Mac!H:H,"")</f>
        <v/>
      </c>
      <c r="I327" s="45" t="str" cm="1">
        <f t="array" ref="I327">IFERROR(_xlfn.LET(
_xlpm.CSVVal,_xlfn.XLOOKUP($A327,CSV!$A:$A,CSV!H:H,""),
_xlpm.MacVal,_xlfn.XLOOKUP($A327,Output_Mac!$A:$A,Output_Mac!I:I,""),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_xlpm.CSVVal,_xlfn.XLOOKUP($A327,CSV!$A:$A,CSV!J:J,""),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46" t="str" cm="1">
        <f t="array" ref="K327">IFERROR(_xlfn.LET(
_xlpm.CSVVal,_xlfn.XLOOKUP($A327,CSV!$A:$A,CSV!N:N,""),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_xlpm.CSVVal,_xlfn.XLOOKUP($A327,CSV!$A:$A,CSV!Q:Q,""),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CSV!AE:AE,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_xlpm.CSVVal,_xlfn.XLOOKUP($A327,CSV!$A:$A,CSV!AG:AG,""),
_xlpm.MacVal,_xlfn.XLOOKUP($A327,Output_Mac!$A:$A,Output_Mac!T:T,""),
_xlpm.MyAuditVal,_xlfn.XLOOKUP($A327,My_Audit!$A:$A,My_Audit!O:O,""),
_xlfn.IFS(_xlpm.MyAuditVal&lt;&gt;"",UPPER(_xlpm.MyAuditVal),_xlpm.MacVal&lt;&gt;"",_xlpm.MacVal,_xlpm.CSVVal&lt;&gt;"",_xlpm.CSVVal
)),"")</f>
        <v/>
      </c>
      <c r="O327" s="46" t="str">
        <f>_xlfn.XLOOKUP(C327,My_Audit!B:B,My_Audit!P:P,"")&amp;""</f>
        <v/>
      </c>
      <c r="P327" s="45"/>
      <c r="Q327" s="46" t="str">
        <f>IF(LEFT(N327,4)="Pass","Nist SP 800-88",My_Audit!R327)&amp;""</f>
        <v/>
      </c>
      <c r="R327" s="45"/>
      <c r="S327" s="45"/>
      <c r="T327" s="46" t="str">
        <f>_xlfn.XLOOKUP(E327,Models!I:I,Models!J:J,"")</f>
        <v/>
      </c>
      <c r="U327" s="45"/>
      <c r="V327" s="45"/>
      <c r="W327" s="38" t="str">
        <f>_xlfn.LET(
    _xlpm.MacVal, _xlfn.XLOOKUP($A327, Output_Mac!$A:$A, Output_Mac!AA:AA, ""),
    _xlpm.MyAuditVal, _xlfn.XLOOKUP($A327, My_Audit!$A:$A, My_Audit!L:L, ""),
    _xlfn.TEXTJOIN(", ", TRUE, _xlpm.MyAuditVal, _xlpm.MacVal)
)</f>
        <v/>
      </c>
    </row>
    <row r="328" spans="1:23">
      <c r="A328" s="45" t="str">
        <f>_xlfn.TEXTJOIN("",TRUE,Input!$B$2,ROW(My_Audit!A327))</f>
        <v>CC327</v>
      </c>
      <c r="B328" s="45" t="str">
        <f>_xlfn.TEXTJOIN("-",TRUE,"ITD",Input!$A$2,A328)</f>
        <v>ITD-XXX-CC327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 cm="1">
        <f t="array" ref="D328">IFERROR(_xlfn.LET(
_xlpm.CSVVal,_xlfn.XLOOKUP($A328,CSV!$A:$A,CSV!C:C,""),
_xlpm.MacVal,_xlfn.XLOOKUP($A328,Output_Mac!$A:$A,Output_Mac!D:D,""),
_xlpm.MyAuditVal,_xlfn.XLOOKUP($A328,My_Audit!$A:$A,My_Audit!C:C,""),
_xlfn.IFS(_xlpm.MyAuditVal&lt;&gt;"",UPPER(_xlpm.MyAuditVal),_xlpm.MacVal&lt;&gt;"",_xlpm.MacVal,_xlpm.CSVVal&lt;&gt;"",_xlpm.CSVVal
)),"")</f>
        <v/>
      </c>
      <c r="E328" s="46" t="str" cm="1">
        <f t="array" ref="E328">IFERROR(_xlfn.LET(
_xlpm.CSVVal,_xlfn.XLOOKUP($A328,CSV!$A:$A,CSV!E:E,""),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_xlpm.CSVVal,_xlfn.XLOOKUP($A328,CSV!$A:$A,CSV!G:G,""),
_xlpm.MacVal,_xlfn.XLOOKUP($A328,Output_Mac!$A:$A,Output_Mac!G:G,""),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_xlfn.XLOOKUP(A328,Output_Mac!A:A,Output_Mac!H:H,"")</f>
        <v/>
      </c>
      <c r="I328" s="45" t="str" cm="1">
        <f t="array" ref="I328">IFERROR(_xlfn.LET(
_xlpm.CSVVal,_xlfn.XLOOKUP($A328,CSV!$A:$A,CSV!H:H,""),
_xlpm.MacVal,_xlfn.XLOOKUP($A328,Output_Mac!$A:$A,Output_Mac!I:I,""),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_xlpm.CSVVal,_xlfn.XLOOKUP($A328,CSV!$A:$A,CSV!J:J,""),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46" t="str" cm="1">
        <f t="array" ref="K328">IFERROR(_xlfn.LET(
_xlpm.CSVVal,_xlfn.XLOOKUP($A328,CSV!$A:$A,CSV!N:N,""),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_xlpm.CSVVal,_xlfn.XLOOKUP($A328,CSV!$A:$A,CSV!Q:Q,""),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CSV!AE:AE,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_xlpm.CSVVal,_xlfn.XLOOKUP($A328,CSV!$A:$A,CSV!AG:AG,""),
_xlpm.MacVal,_xlfn.XLOOKUP($A328,Output_Mac!$A:$A,Output_Mac!T:T,""),
_xlpm.MyAuditVal,_xlfn.XLOOKUP($A328,My_Audit!$A:$A,My_Audit!O:O,""),
_xlfn.IFS(_xlpm.MyAuditVal&lt;&gt;"",UPPER(_xlpm.MyAuditVal),_xlpm.MacVal&lt;&gt;"",_xlpm.MacVal,_xlpm.CSVVal&lt;&gt;"",_xlpm.CSVVal
)),"")</f>
        <v/>
      </c>
      <c r="O328" s="46" t="str">
        <f>_xlfn.XLOOKUP(C328,My_Audit!B:B,My_Audit!P:P,"")&amp;""</f>
        <v/>
      </c>
      <c r="P328" s="45"/>
      <c r="Q328" s="46" t="str">
        <f>IF(LEFT(N328,4)="Pass","Nist SP 800-88",My_Audit!R328)&amp;""</f>
        <v/>
      </c>
      <c r="R328" s="45"/>
      <c r="S328" s="45"/>
      <c r="T328" s="46" t="str">
        <f>_xlfn.XLOOKUP(E328,Models!I:I,Models!J:J,"")</f>
        <v/>
      </c>
      <c r="U328" s="45"/>
      <c r="V328" s="45"/>
      <c r="W328" s="38" t="str">
        <f>_xlfn.LET(
    _xlpm.MacVal, _xlfn.XLOOKUP($A328, Output_Mac!$A:$A, Output_Mac!AA:AA, ""),
    _xlpm.MyAuditVal, _xlfn.XLOOKUP($A328, My_Audit!$A:$A, My_Audit!L:L, ""),
    _xlfn.TEXTJOIN(", ", TRUE, _xlpm.MyAuditVal, _xlpm.MacVal)
)</f>
        <v/>
      </c>
    </row>
    <row r="329" spans="1:23">
      <c r="A329" s="45" t="str">
        <f>_xlfn.TEXTJOIN("",TRUE,Input!$B$2,ROW(My_Audit!A328))</f>
        <v>CC328</v>
      </c>
      <c r="B329" s="45" t="str">
        <f>_xlfn.TEXTJOIN("-",TRUE,"ITD",Input!$A$2,A329)</f>
        <v>ITD-XXX-CC328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 cm="1">
        <f t="array" ref="D329">IFERROR(_xlfn.LET(
_xlpm.CSVVal,_xlfn.XLOOKUP($A329,CSV!$A:$A,CSV!C:C,""),
_xlpm.MacVal,_xlfn.XLOOKUP($A329,Output_Mac!$A:$A,Output_Mac!D:D,""),
_xlpm.MyAuditVal,_xlfn.XLOOKUP($A329,My_Audit!$A:$A,My_Audit!C:C,""),
_xlfn.IFS(_xlpm.MyAuditVal&lt;&gt;"",UPPER(_xlpm.MyAuditVal),_xlpm.MacVal&lt;&gt;"",_xlpm.MacVal,_xlpm.CSVVal&lt;&gt;"",_xlpm.CSVVal
)),"")</f>
        <v/>
      </c>
      <c r="E329" s="46" t="str" cm="1">
        <f t="array" ref="E329">IFERROR(_xlfn.LET(
_xlpm.CSVVal,_xlfn.XLOOKUP($A329,CSV!$A:$A,CSV!E:E,""),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_xlpm.CSVVal,_xlfn.XLOOKUP($A329,CSV!$A:$A,CSV!G:G,""),
_xlpm.MacVal,_xlfn.XLOOKUP($A329,Output_Mac!$A:$A,Output_Mac!G:G,""),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_xlfn.XLOOKUP(A329,Output_Mac!A:A,Output_Mac!H:H,"")</f>
        <v/>
      </c>
      <c r="I329" s="45" t="str" cm="1">
        <f t="array" ref="I329">IFERROR(_xlfn.LET(
_xlpm.CSVVal,_xlfn.XLOOKUP($A329,CSV!$A:$A,CSV!H:H,""),
_xlpm.MacVal,_xlfn.XLOOKUP($A329,Output_Mac!$A:$A,Output_Mac!I:I,""),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_xlpm.CSVVal,_xlfn.XLOOKUP($A329,CSV!$A:$A,CSV!J:J,""),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46" t="str" cm="1">
        <f t="array" ref="K329">IFERROR(_xlfn.LET(
_xlpm.CSVVal,_xlfn.XLOOKUP($A329,CSV!$A:$A,CSV!N:N,""),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_xlpm.CSVVal,_xlfn.XLOOKUP($A329,CSV!$A:$A,CSV!Q:Q,""),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CSV!AE:AE,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_xlpm.CSVVal,_xlfn.XLOOKUP($A329,CSV!$A:$A,CSV!AG:AG,""),
_xlpm.MacVal,_xlfn.XLOOKUP($A329,Output_Mac!$A:$A,Output_Mac!T:T,""),
_xlpm.MyAuditVal,_xlfn.XLOOKUP($A329,My_Audit!$A:$A,My_Audit!O:O,""),
_xlfn.IFS(_xlpm.MyAuditVal&lt;&gt;"",UPPER(_xlpm.MyAuditVal),_xlpm.MacVal&lt;&gt;"",_xlpm.MacVal,_xlpm.CSVVal&lt;&gt;"",_xlpm.CSVVal
)),"")</f>
        <v/>
      </c>
      <c r="O329" s="46" t="str">
        <f>_xlfn.XLOOKUP(C329,My_Audit!B:B,My_Audit!P:P,"")&amp;""</f>
        <v/>
      </c>
      <c r="P329" s="45"/>
      <c r="Q329" s="46" t="str">
        <f>IF(LEFT(N329,4)="Pass","Nist SP 800-88",My_Audit!R329)&amp;""</f>
        <v/>
      </c>
      <c r="R329" s="45"/>
      <c r="S329" s="45"/>
      <c r="T329" s="46" t="str">
        <f>_xlfn.XLOOKUP(E329,Models!I:I,Models!J:J,"")</f>
        <v/>
      </c>
      <c r="U329" s="45"/>
      <c r="V329" s="45"/>
      <c r="W329" s="38" t="str">
        <f>_xlfn.LET(
    _xlpm.MacVal, _xlfn.XLOOKUP($A329, Output_Mac!$A:$A, Output_Mac!AA:AA, ""),
    _xlpm.MyAuditVal, _xlfn.XLOOKUP($A329, My_Audit!$A:$A, My_Audit!L:L, ""),
    _xlfn.TEXTJOIN(", ", TRUE, _xlpm.MyAuditVal, _xlpm.MacVal)
)</f>
        <v/>
      </c>
    </row>
    <row r="330" spans="1:23">
      <c r="A330" s="45" t="str">
        <f>_xlfn.TEXTJOIN("",TRUE,Input!$B$2,ROW(My_Audit!A329))</f>
        <v>CC329</v>
      </c>
      <c r="B330" s="45" t="str">
        <f>_xlfn.TEXTJOIN("-",TRUE,"ITD",Input!$A$2,A330)</f>
        <v>ITD-XXX-CC329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 cm="1">
        <f t="array" ref="D330">IFERROR(_xlfn.LET(
_xlpm.CSVVal,_xlfn.XLOOKUP($A330,CSV!$A:$A,CSV!C:C,""),
_xlpm.MacVal,_xlfn.XLOOKUP($A330,Output_Mac!$A:$A,Output_Mac!D:D,""),
_xlpm.MyAuditVal,_xlfn.XLOOKUP($A330,My_Audit!$A:$A,My_Audit!C:C,""),
_xlfn.IFS(_xlpm.MyAuditVal&lt;&gt;"",UPPER(_xlpm.MyAuditVal),_xlpm.MacVal&lt;&gt;"",_xlpm.MacVal,_xlpm.CSVVal&lt;&gt;"",_xlpm.CSVVal
)),"")</f>
        <v/>
      </c>
      <c r="E330" s="46" t="str" cm="1">
        <f t="array" ref="E330">IFERROR(_xlfn.LET(
_xlpm.CSVVal,_xlfn.XLOOKUP($A330,CSV!$A:$A,CSV!E:E,""),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_xlpm.CSVVal,_xlfn.XLOOKUP($A330,CSV!$A:$A,CSV!G:G,""),
_xlpm.MacVal,_xlfn.XLOOKUP($A330,Output_Mac!$A:$A,Output_Mac!G:G,""),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_xlfn.XLOOKUP(A330,Output_Mac!A:A,Output_Mac!H:H,"")</f>
        <v/>
      </c>
      <c r="I330" s="45" t="str" cm="1">
        <f t="array" ref="I330">IFERROR(_xlfn.LET(
_xlpm.CSVVal,_xlfn.XLOOKUP($A330,CSV!$A:$A,CSV!H:H,""),
_xlpm.MacVal,_xlfn.XLOOKUP($A330,Output_Mac!$A:$A,Output_Mac!I:I,""),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_xlpm.CSVVal,_xlfn.XLOOKUP($A330,CSV!$A:$A,CSV!J:J,""),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46" t="str" cm="1">
        <f t="array" ref="K330">IFERROR(_xlfn.LET(
_xlpm.CSVVal,_xlfn.XLOOKUP($A330,CSV!$A:$A,CSV!N:N,""),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_xlpm.CSVVal,_xlfn.XLOOKUP($A330,CSV!$A:$A,CSV!Q:Q,""),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CSV!AE:AE,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_xlpm.CSVVal,_xlfn.XLOOKUP($A330,CSV!$A:$A,CSV!AG:AG,""),
_xlpm.MacVal,_xlfn.XLOOKUP($A330,Output_Mac!$A:$A,Output_Mac!T:T,""),
_xlpm.MyAuditVal,_xlfn.XLOOKUP($A330,My_Audit!$A:$A,My_Audit!O:O,""),
_xlfn.IFS(_xlpm.MyAuditVal&lt;&gt;"",UPPER(_xlpm.MyAuditVal),_xlpm.MacVal&lt;&gt;"",_xlpm.MacVal,_xlpm.CSVVal&lt;&gt;"",_xlpm.CSVVal
)),"")</f>
        <v/>
      </c>
      <c r="O330" s="46" t="str">
        <f>_xlfn.XLOOKUP(C330,My_Audit!B:B,My_Audit!P:P,"")&amp;""</f>
        <v/>
      </c>
      <c r="P330" s="45"/>
      <c r="Q330" s="46" t="str">
        <f>IF(LEFT(N330,4)="Pass","Nist SP 800-88",My_Audit!R330)&amp;""</f>
        <v/>
      </c>
      <c r="R330" s="45"/>
      <c r="S330" s="45"/>
      <c r="T330" s="46" t="str">
        <f>_xlfn.XLOOKUP(E330,Models!I:I,Models!J:J,"")</f>
        <v/>
      </c>
      <c r="U330" s="45"/>
      <c r="V330" s="45"/>
      <c r="W330" s="38" t="str">
        <f>_xlfn.LET(
    _xlpm.MacVal, _xlfn.XLOOKUP($A330, Output_Mac!$A:$A, Output_Mac!AA:AA, ""),
    _xlpm.MyAuditVal, _xlfn.XLOOKUP($A330, My_Audit!$A:$A, My_Audit!L:L, ""),
    _xlfn.TEXTJOIN(", ", TRUE, _xlpm.MyAuditVal, _xlpm.MacVal)
)</f>
        <v/>
      </c>
    </row>
    <row r="331" spans="1:23">
      <c r="A331" s="45" t="str">
        <f>_xlfn.TEXTJOIN("",TRUE,Input!$B$2,ROW(My_Audit!A330))</f>
        <v>CC330</v>
      </c>
      <c r="B331" s="45" t="str">
        <f>_xlfn.TEXTJOIN("-",TRUE,"ITD",Input!$A$2,A331)</f>
        <v>ITD-XXX-CC330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 cm="1">
        <f t="array" ref="D331">IFERROR(_xlfn.LET(
_xlpm.CSVVal,_xlfn.XLOOKUP($A331,CSV!$A:$A,CSV!C:C,""),
_xlpm.MacVal,_xlfn.XLOOKUP($A331,Output_Mac!$A:$A,Output_Mac!D:D,""),
_xlpm.MyAuditVal,_xlfn.XLOOKUP($A331,My_Audit!$A:$A,My_Audit!C:C,""),
_xlfn.IFS(_xlpm.MyAuditVal&lt;&gt;"",UPPER(_xlpm.MyAuditVal),_xlpm.MacVal&lt;&gt;"",_xlpm.MacVal,_xlpm.CSVVal&lt;&gt;"",_xlpm.CSVVal
)),"")</f>
        <v/>
      </c>
      <c r="E331" s="46" t="str" cm="1">
        <f t="array" ref="E331">IFERROR(_xlfn.LET(
_xlpm.CSVVal,_xlfn.XLOOKUP($A331,CSV!$A:$A,CSV!E:E,""),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_xlpm.CSVVal,_xlfn.XLOOKUP($A331,CSV!$A:$A,CSV!G:G,""),
_xlpm.MacVal,_xlfn.XLOOKUP($A331,Output_Mac!$A:$A,Output_Mac!G:G,""),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_xlfn.XLOOKUP(A331,Output_Mac!A:A,Output_Mac!H:H,"")</f>
        <v/>
      </c>
      <c r="I331" s="45" t="str" cm="1">
        <f t="array" ref="I331">IFERROR(_xlfn.LET(
_xlpm.CSVVal,_xlfn.XLOOKUP($A331,CSV!$A:$A,CSV!H:H,""),
_xlpm.MacVal,_xlfn.XLOOKUP($A331,Output_Mac!$A:$A,Output_Mac!I:I,""),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_xlpm.CSVVal,_xlfn.XLOOKUP($A331,CSV!$A:$A,CSV!J:J,""),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46" t="str" cm="1">
        <f t="array" ref="K331">IFERROR(_xlfn.LET(
_xlpm.CSVVal,_xlfn.XLOOKUP($A331,CSV!$A:$A,CSV!N:N,""),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_xlpm.CSVVal,_xlfn.XLOOKUP($A331,CSV!$A:$A,CSV!Q:Q,""),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CSV!AE:AE,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_xlpm.CSVVal,_xlfn.XLOOKUP($A331,CSV!$A:$A,CSV!AG:AG,""),
_xlpm.MacVal,_xlfn.XLOOKUP($A331,Output_Mac!$A:$A,Output_Mac!T:T,""),
_xlpm.MyAuditVal,_xlfn.XLOOKUP($A331,My_Audit!$A:$A,My_Audit!O:O,""),
_xlfn.IFS(_xlpm.MyAuditVal&lt;&gt;"",UPPER(_xlpm.MyAuditVal),_xlpm.MacVal&lt;&gt;"",_xlpm.MacVal,_xlpm.CSVVal&lt;&gt;"",_xlpm.CSVVal
)),"")</f>
        <v/>
      </c>
      <c r="O331" s="46" t="str">
        <f>_xlfn.XLOOKUP(C331,My_Audit!B:B,My_Audit!P:P,"")&amp;""</f>
        <v/>
      </c>
      <c r="P331" s="45"/>
      <c r="Q331" s="46" t="str">
        <f>IF(LEFT(N331,4)="Pass","Nist SP 800-88",My_Audit!R331)&amp;""</f>
        <v/>
      </c>
      <c r="R331" s="45"/>
      <c r="S331" s="45"/>
      <c r="T331" s="46" t="str">
        <f>_xlfn.XLOOKUP(E331,Models!I:I,Models!J:J,"")</f>
        <v/>
      </c>
      <c r="U331" s="45"/>
      <c r="V331" s="45"/>
      <c r="W331" s="38" t="str">
        <f>_xlfn.LET(
    _xlpm.MacVal, _xlfn.XLOOKUP($A331, Output_Mac!$A:$A, Output_Mac!AA:AA, ""),
    _xlpm.MyAuditVal, _xlfn.XLOOKUP($A331, My_Audit!$A:$A, My_Audit!L:L, ""),
    _xlfn.TEXTJOIN(", ", TRUE, _xlpm.MyAuditVal, _xlpm.MacVal)
)</f>
        <v/>
      </c>
    </row>
    <row r="332" spans="1:23">
      <c r="A332" s="45" t="str">
        <f>_xlfn.TEXTJOIN("",TRUE,Input!$B$2,ROW(My_Audit!A331))</f>
        <v>CC331</v>
      </c>
      <c r="B332" s="45" t="str">
        <f>_xlfn.TEXTJOIN("-",TRUE,"ITD",Input!$A$2,A332)</f>
        <v>ITD-XXX-CC331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 cm="1">
        <f t="array" ref="D332">IFERROR(_xlfn.LET(
_xlpm.CSVVal,_xlfn.XLOOKUP($A332,CSV!$A:$A,CSV!C:C,""),
_xlpm.MacVal,_xlfn.XLOOKUP($A332,Output_Mac!$A:$A,Output_Mac!D:D,""),
_xlpm.MyAuditVal,_xlfn.XLOOKUP($A332,My_Audit!$A:$A,My_Audit!C:C,""),
_xlfn.IFS(_xlpm.MyAuditVal&lt;&gt;"",UPPER(_xlpm.MyAuditVal),_xlpm.MacVal&lt;&gt;"",_xlpm.MacVal,_xlpm.CSVVal&lt;&gt;"",_xlpm.CSVVal
)),"")</f>
        <v/>
      </c>
      <c r="E332" s="46" t="str" cm="1">
        <f t="array" ref="E332">IFERROR(_xlfn.LET(
_xlpm.CSVVal,_xlfn.XLOOKUP($A332,CSV!$A:$A,CSV!E:E,""),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_xlpm.CSVVal,_xlfn.XLOOKUP($A332,CSV!$A:$A,CSV!G:G,""),
_xlpm.MacVal,_xlfn.XLOOKUP($A332,Output_Mac!$A:$A,Output_Mac!G:G,""),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_xlfn.XLOOKUP(A332,Output_Mac!A:A,Output_Mac!H:H,"")</f>
        <v/>
      </c>
      <c r="I332" s="45" t="str" cm="1">
        <f t="array" ref="I332">IFERROR(_xlfn.LET(
_xlpm.CSVVal,_xlfn.XLOOKUP($A332,CSV!$A:$A,CSV!H:H,""),
_xlpm.MacVal,_xlfn.XLOOKUP($A332,Output_Mac!$A:$A,Output_Mac!I:I,""),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_xlpm.CSVVal,_xlfn.XLOOKUP($A332,CSV!$A:$A,CSV!J:J,""),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46" t="str" cm="1">
        <f t="array" ref="K332">IFERROR(_xlfn.LET(
_xlpm.CSVVal,_xlfn.XLOOKUP($A332,CSV!$A:$A,CSV!N:N,""),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_xlpm.CSVVal,_xlfn.XLOOKUP($A332,CSV!$A:$A,CSV!Q:Q,""),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CSV!AE:AE,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_xlpm.CSVVal,_xlfn.XLOOKUP($A332,CSV!$A:$A,CSV!AG:AG,""),
_xlpm.MacVal,_xlfn.XLOOKUP($A332,Output_Mac!$A:$A,Output_Mac!T:T,""),
_xlpm.MyAuditVal,_xlfn.XLOOKUP($A332,My_Audit!$A:$A,My_Audit!O:O,""),
_xlfn.IFS(_xlpm.MyAuditVal&lt;&gt;"",UPPER(_xlpm.MyAuditVal),_xlpm.MacVal&lt;&gt;"",_xlpm.MacVal,_xlpm.CSVVal&lt;&gt;"",_xlpm.CSVVal
)),"")</f>
        <v/>
      </c>
      <c r="O332" s="46" t="str">
        <f>_xlfn.XLOOKUP(C332,My_Audit!B:B,My_Audit!P:P,"")&amp;""</f>
        <v/>
      </c>
      <c r="P332" s="45"/>
      <c r="Q332" s="46" t="str">
        <f>IF(LEFT(N332,4)="Pass","Nist SP 800-88",My_Audit!R332)&amp;""</f>
        <v/>
      </c>
      <c r="R332" s="45"/>
      <c r="S332" s="45"/>
      <c r="T332" s="46" t="str">
        <f>_xlfn.XLOOKUP(E332,Models!I:I,Models!J:J,"")</f>
        <v/>
      </c>
      <c r="U332" s="45"/>
      <c r="V332" s="45"/>
      <c r="W332" s="38" t="str">
        <f>_xlfn.LET(
    _xlpm.MacVal, _xlfn.XLOOKUP($A332, Output_Mac!$A:$A, Output_Mac!AA:AA, ""),
    _xlpm.MyAuditVal, _xlfn.XLOOKUP($A332, My_Audit!$A:$A, My_Audit!L:L, ""),
    _xlfn.TEXTJOIN(", ", TRUE, _xlpm.MyAuditVal, _xlpm.MacVal)
)</f>
        <v/>
      </c>
    </row>
    <row r="333" spans="1:23">
      <c r="A333" s="45" t="str">
        <f>_xlfn.TEXTJOIN("",TRUE,Input!$B$2,ROW(My_Audit!A332))</f>
        <v>CC332</v>
      </c>
      <c r="B333" s="45" t="str">
        <f>_xlfn.TEXTJOIN("-",TRUE,"ITD",Input!$A$2,A333)</f>
        <v>ITD-XXX-CC332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 cm="1">
        <f t="array" ref="D333">IFERROR(_xlfn.LET(
_xlpm.CSVVal,_xlfn.XLOOKUP($A333,CSV!$A:$A,CSV!C:C,""),
_xlpm.MacVal,_xlfn.XLOOKUP($A333,Output_Mac!$A:$A,Output_Mac!D:D,""),
_xlpm.MyAuditVal,_xlfn.XLOOKUP($A333,My_Audit!$A:$A,My_Audit!C:C,""),
_xlfn.IFS(_xlpm.MyAuditVal&lt;&gt;"",UPPER(_xlpm.MyAuditVal),_xlpm.MacVal&lt;&gt;"",_xlpm.MacVal,_xlpm.CSVVal&lt;&gt;"",_xlpm.CSVVal
)),"")</f>
        <v/>
      </c>
      <c r="E333" s="46" t="str" cm="1">
        <f t="array" ref="E333">IFERROR(_xlfn.LET(
_xlpm.CSVVal,_xlfn.XLOOKUP($A333,CSV!$A:$A,CSV!E:E,""),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_xlpm.CSVVal,_xlfn.XLOOKUP($A333,CSV!$A:$A,CSV!G:G,""),
_xlpm.MacVal,_xlfn.XLOOKUP($A333,Output_Mac!$A:$A,Output_Mac!G:G,""),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_xlfn.XLOOKUP(A333,Output_Mac!A:A,Output_Mac!H:H,"")</f>
        <v/>
      </c>
      <c r="I333" s="45" t="str" cm="1">
        <f t="array" ref="I333">IFERROR(_xlfn.LET(
_xlpm.CSVVal,_xlfn.XLOOKUP($A333,CSV!$A:$A,CSV!H:H,""),
_xlpm.MacVal,_xlfn.XLOOKUP($A333,Output_Mac!$A:$A,Output_Mac!I:I,""),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_xlpm.CSVVal,_xlfn.XLOOKUP($A333,CSV!$A:$A,CSV!J:J,""),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46" t="str" cm="1">
        <f t="array" ref="K333">IFERROR(_xlfn.LET(
_xlpm.CSVVal,_xlfn.XLOOKUP($A333,CSV!$A:$A,CSV!N:N,""),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_xlpm.CSVVal,_xlfn.XLOOKUP($A333,CSV!$A:$A,CSV!Q:Q,""),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CSV!AE:AE,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_xlpm.CSVVal,_xlfn.XLOOKUP($A333,CSV!$A:$A,CSV!AG:AG,""),
_xlpm.MacVal,_xlfn.XLOOKUP($A333,Output_Mac!$A:$A,Output_Mac!T:T,""),
_xlpm.MyAuditVal,_xlfn.XLOOKUP($A333,My_Audit!$A:$A,My_Audit!O:O,""),
_xlfn.IFS(_xlpm.MyAuditVal&lt;&gt;"",UPPER(_xlpm.MyAuditVal),_xlpm.MacVal&lt;&gt;"",_xlpm.MacVal,_xlpm.CSVVal&lt;&gt;"",_xlpm.CSVVal
)),"")</f>
        <v/>
      </c>
      <c r="O333" s="46" t="str">
        <f>_xlfn.XLOOKUP(C333,My_Audit!B:B,My_Audit!P:P,"")&amp;""</f>
        <v/>
      </c>
      <c r="P333" s="45"/>
      <c r="Q333" s="46" t="str">
        <f>IF(LEFT(N333,4)="Pass","Nist SP 800-88",My_Audit!R333)&amp;""</f>
        <v/>
      </c>
      <c r="R333" s="45"/>
      <c r="S333" s="45"/>
      <c r="T333" s="46" t="str">
        <f>_xlfn.XLOOKUP(E333,Models!I:I,Models!J:J,"")</f>
        <v/>
      </c>
      <c r="U333" s="45"/>
      <c r="V333" s="45"/>
      <c r="W333" s="38" t="str">
        <f>_xlfn.LET(
    _xlpm.MacVal, _xlfn.XLOOKUP($A333, Output_Mac!$A:$A, Output_Mac!AA:AA, ""),
    _xlpm.MyAuditVal, _xlfn.XLOOKUP($A333, My_Audit!$A:$A, My_Audit!L:L, ""),
    _xlfn.TEXTJOIN(", ", TRUE, _xlpm.MyAuditVal, _xlpm.MacVal)
)</f>
        <v/>
      </c>
    </row>
    <row r="334" spans="1:23">
      <c r="A334" s="45" t="str">
        <f>_xlfn.TEXTJOIN("",TRUE,Input!$B$2,ROW(My_Audit!A333))</f>
        <v>CC333</v>
      </c>
      <c r="B334" s="45" t="str">
        <f>_xlfn.TEXTJOIN("-",TRUE,"ITD",Input!$A$2,A334)</f>
        <v>ITD-XXX-CC333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 cm="1">
        <f t="array" ref="D334">IFERROR(_xlfn.LET(
_xlpm.CSVVal,_xlfn.XLOOKUP($A334,CSV!$A:$A,CSV!C:C,""),
_xlpm.MacVal,_xlfn.XLOOKUP($A334,Output_Mac!$A:$A,Output_Mac!D:D,""),
_xlpm.MyAuditVal,_xlfn.XLOOKUP($A334,My_Audit!$A:$A,My_Audit!C:C,""),
_xlfn.IFS(_xlpm.MyAuditVal&lt;&gt;"",UPPER(_xlpm.MyAuditVal),_xlpm.MacVal&lt;&gt;"",_xlpm.MacVal,_xlpm.CSVVal&lt;&gt;"",_xlpm.CSVVal
)),"")</f>
        <v/>
      </c>
      <c r="E334" s="46" t="str" cm="1">
        <f t="array" ref="E334">IFERROR(_xlfn.LET(
_xlpm.CSVVal,_xlfn.XLOOKUP($A334,CSV!$A:$A,CSV!E:E,""),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_xlpm.CSVVal,_xlfn.XLOOKUP($A334,CSV!$A:$A,CSV!G:G,""),
_xlpm.MacVal,_xlfn.XLOOKUP($A334,Output_Mac!$A:$A,Output_Mac!G:G,""),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_xlfn.XLOOKUP(A334,Output_Mac!A:A,Output_Mac!H:H,"")</f>
        <v/>
      </c>
      <c r="I334" s="45" t="str" cm="1">
        <f t="array" ref="I334">IFERROR(_xlfn.LET(
_xlpm.CSVVal,_xlfn.XLOOKUP($A334,CSV!$A:$A,CSV!H:H,""),
_xlpm.MacVal,_xlfn.XLOOKUP($A334,Output_Mac!$A:$A,Output_Mac!I:I,""),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_xlpm.CSVVal,_xlfn.XLOOKUP($A334,CSV!$A:$A,CSV!J:J,""),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46" t="str" cm="1">
        <f t="array" ref="K334">IFERROR(_xlfn.LET(
_xlpm.CSVVal,_xlfn.XLOOKUP($A334,CSV!$A:$A,CSV!N:N,""),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_xlpm.CSVVal,_xlfn.XLOOKUP($A334,CSV!$A:$A,CSV!Q:Q,""),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CSV!AE:AE,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_xlpm.CSVVal,_xlfn.XLOOKUP($A334,CSV!$A:$A,CSV!AG:AG,""),
_xlpm.MacVal,_xlfn.XLOOKUP($A334,Output_Mac!$A:$A,Output_Mac!T:T,""),
_xlpm.MyAuditVal,_xlfn.XLOOKUP($A334,My_Audit!$A:$A,My_Audit!O:O,""),
_xlfn.IFS(_xlpm.MyAuditVal&lt;&gt;"",UPPER(_xlpm.MyAuditVal),_xlpm.MacVal&lt;&gt;"",_xlpm.MacVal,_xlpm.CSVVal&lt;&gt;"",_xlpm.CSVVal
)),"")</f>
        <v/>
      </c>
      <c r="O334" s="46" t="str">
        <f>_xlfn.XLOOKUP(C334,My_Audit!B:B,My_Audit!P:P,"")&amp;""</f>
        <v/>
      </c>
      <c r="P334" s="45"/>
      <c r="Q334" s="46" t="str">
        <f>IF(LEFT(N334,4)="Pass","Nist SP 800-88",My_Audit!R334)&amp;""</f>
        <v/>
      </c>
      <c r="R334" s="45"/>
      <c r="S334" s="45"/>
      <c r="T334" s="46" t="str">
        <f>_xlfn.XLOOKUP(E334,Models!I:I,Models!J:J,"")</f>
        <v/>
      </c>
      <c r="U334" s="45"/>
      <c r="V334" s="45"/>
      <c r="W334" s="38" t="str">
        <f>_xlfn.LET(
    _xlpm.MacVal, _xlfn.XLOOKUP($A334, Output_Mac!$A:$A, Output_Mac!AA:AA, ""),
    _xlpm.MyAuditVal, _xlfn.XLOOKUP($A334, My_Audit!$A:$A, My_Audit!L:L, ""),
    _xlfn.TEXTJOIN(", ", TRUE, _xlpm.MyAuditVal, _xlpm.MacVal)
)</f>
        <v/>
      </c>
    </row>
    <row r="335" spans="1:23">
      <c r="A335" s="45" t="str">
        <f>_xlfn.TEXTJOIN("",TRUE,Input!$B$2,ROW(My_Audit!A334))</f>
        <v>CC334</v>
      </c>
      <c r="B335" s="45" t="str">
        <f>_xlfn.TEXTJOIN("-",TRUE,"ITD",Input!$A$2,A335)</f>
        <v>ITD-XXX-CC334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 cm="1">
        <f t="array" ref="D335">IFERROR(_xlfn.LET(
_xlpm.CSVVal,_xlfn.XLOOKUP($A335,CSV!$A:$A,CSV!C:C,""),
_xlpm.MacVal,_xlfn.XLOOKUP($A335,Output_Mac!$A:$A,Output_Mac!D:D,""),
_xlpm.MyAuditVal,_xlfn.XLOOKUP($A335,My_Audit!$A:$A,My_Audit!C:C,""),
_xlfn.IFS(_xlpm.MyAuditVal&lt;&gt;"",UPPER(_xlpm.MyAuditVal),_xlpm.MacVal&lt;&gt;"",_xlpm.MacVal,_xlpm.CSVVal&lt;&gt;"",_xlpm.CSVVal
)),"")</f>
        <v/>
      </c>
      <c r="E335" s="46" t="str" cm="1">
        <f t="array" ref="E335">IFERROR(_xlfn.LET(
_xlpm.CSVVal,_xlfn.XLOOKUP($A335,CSV!$A:$A,CSV!E:E,""),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_xlpm.CSVVal,_xlfn.XLOOKUP($A335,CSV!$A:$A,CSV!G:G,""),
_xlpm.MacVal,_xlfn.XLOOKUP($A335,Output_Mac!$A:$A,Output_Mac!G:G,""),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_xlfn.XLOOKUP(A335,Output_Mac!A:A,Output_Mac!H:H,"")</f>
        <v/>
      </c>
      <c r="I335" s="45" t="str" cm="1">
        <f t="array" ref="I335">IFERROR(_xlfn.LET(
_xlpm.CSVVal,_xlfn.XLOOKUP($A335,CSV!$A:$A,CSV!H:H,""),
_xlpm.MacVal,_xlfn.XLOOKUP($A335,Output_Mac!$A:$A,Output_Mac!I:I,""),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_xlpm.CSVVal,_xlfn.XLOOKUP($A335,CSV!$A:$A,CSV!J:J,""),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46" t="str" cm="1">
        <f t="array" ref="K335">IFERROR(_xlfn.LET(
_xlpm.CSVVal,_xlfn.XLOOKUP($A335,CSV!$A:$A,CSV!N:N,""),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_xlpm.CSVVal,_xlfn.XLOOKUP($A335,CSV!$A:$A,CSV!Q:Q,""),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CSV!AE:AE,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_xlpm.CSVVal,_xlfn.XLOOKUP($A335,CSV!$A:$A,CSV!AG:AG,""),
_xlpm.MacVal,_xlfn.XLOOKUP($A335,Output_Mac!$A:$A,Output_Mac!T:T,""),
_xlpm.MyAuditVal,_xlfn.XLOOKUP($A335,My_Audit!$A:$A,My_Audit!O:O,""),
_xlfn.IFS(_xlpm.MyAuditVal&lt;&gt;"",UPPER(_xlpm.MyAuditVal),_xlpm.MacVal&lt;&gt;"",_xlpm.MacVal,_xlpm.CSVVal&lt;&gt;"",_xlpm.CSVVal
)),"")</f>
        <v/>
      </c>
      <c r="O335" s="46" t="str">
        <f>_xlfn.XLOOKUP(C335,My_Audit!B:B,My_Audit!P:P,"")&amp;""</f>
        <v/>
      </c>
      <c r="P335" s="45"/>
      <c r="Q335" s="46" t="str">
        <f>IF(LEFT(N335,4)="Pass","Nist SP 800-88",My_Audit!R335)&amp;""</f>
        <v/>
      </c>
      <c r="R335" s="45"/>
      <c r="S335" s="45"/>
      <c r="T335" s="46" t="str">
        <f>_xlfn.XLOOKUP(E335,Models!I:I,Models!J:J,"")</f>
        <v/>
      </c>
      <c r="U335" s="45"/>
      <c r="V335" s="45"/>
      <c r="W335" s="38" t="str">
        <f>_xlfn.LET(
    _xlpm.MacVal, _xlfn.XLOOKUP($A335, Output_Mac!$A:$A, Output_Mac!AA:AA, ""),
    _xlpm.MyAuditVal, _xlfn.XLOOKUP($A335, My_Audit!$A:$A, My_Audit!L:L, ""),
    _xlfn.TEXTJOIN(", ", TRUE, _xlpm.MyAuditVal, _xlpm.MacVal)
)</f>
        <v/>
      </c>
    </row>
    <row r="336" spans="1:23">
      <c r="A336" s="45" t="str">
        <f>_xlfn.TEXTJOIN("",TRUE,Input!$B$2,ROW(My_Audit!A335))</f>
        <v>CC335</v>
      </c>
      <c r="B336" s="45" t="str">
        <f>_xlfn.TEXTJOIN("-",TRUE,"ITD",Input!$A$2,A336)</f>
        <v>ITD-XXX-CC335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 cm="1">
        <f t="array" ref="D336">IFERROR(_xlfn.LET(
_xlpm.CSVVal,_xlfn.XLOOKUP($A336,CSV!$A:$A,CSV!C:C,""),
_xlpm.MacVal,_xlfn.XLOOKUP($A336,Output_Mac!$A:$A,Output_Mac!D:D,""),
_xlpm.MyAuditVal,_xlfn.XLOOKUP($A336,My_Audit!$A:$A,My_Audit!C:C,""),
_xlfn.IFS(_xlpm.MyAuditVal&lt;&gt;"",UPPER(_xlpm.MyAuditVal),_xlpm.MacVal&lt;&gt;"",_xlpm.MacVal,_xlpm.CSVVal&lt;&gt;"",_xlpm.CSVVal
)),"")</f>
        <v/>
      </c>
      <c r="E336" s="46" t="str" cm="1">
        <f t="array" ref="E336">IFERROR(_xlfn.LET(
_xlpm.CSVVal,_xlfn.XLOOKUP($A336,CSV!$A:$A,CSV!E:E,""),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_xlpm.CSVVal,_xlfn.XLOOKUP($A336,CSV!$A:$A,CSV!G:G,""),
_xlpm.MacVal,_xlfn.XLOOKUP($A336,Output_Mac!$A:$A,Output_Mac!G:G,""),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_xlfn.XLOOKUP(A336,Output_Mac!A:A,Output_Mac!H:H,"")</f>
        <v/>
      </c>
      <c r="I336" s="45" t="str" cm="1">
        <f t="array" ref="I336">IFERROR(_xlfn.LET(
_xlpm.CSVVal,_xlfn.XLOOKUP($A336,CSV!$A:$A,CSV!H:H,""),
_xlpm.MacVal,_xlfn.XLOOKUP($A336,Output_Mac!$A:$A,Output_Mac!I:I,""),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_xlpm.CSVVal,_xlfn.XLOOKUP($A336,CSV!$A:$A,CSV!J:J,""),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46" t="str" cm="1">
        <f t="array" ref="K336">IFERROR(_xlfn.LET(
_xlpm.CSVVal,_xlfn.XLOOKUP($A336,CSV!$A:$A,CSV!N:N,""),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_xlpm.CSVVal,_xlfn.XLOOKUP($A336,CSV!$A:$A,CSV!Q:Q,""),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CSV!AE:AE,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_xlpm.CSVVal,_xlfn.XLOOKUP($A336,CSV!$A:$A,CSV!AG:AG,""),
_xlpm.MacVal,_xlfn.XLOOKUP($A336,Output_Mac!$A:$A,Output_Mac!T:T,""),
_xlpm.MyAuditVal,_xlfn.XLOOKUP($A336,My_Audit!$A:$A,My_Audit!O:O,""),
_xlfn.IFS(_xlpm.MyAuditVal&lt;&gt;"",UPPER(_xlpm.MyAuditVal),_xlpm.MacVal&lt;&gt;"",_xlpm.MacVal,_xlpm.CSVVal&lt;&gt;"",_xlpm.CSVVal
)),"")</f>
        <v/>
      </c>
      <c r="O336" s="46" t="str">
        <f>_xlfn.XLOOKUP(C336,My_Audit!B:B,My_Audit!P:P,"")&amp;""</f>
        <v/>
      </c>
      <c r="P336" s="45"/>
      <c r="Q336" s="46" t="str">
        <f>IF(LEFT(N336,4)="Pass","Nist SP 800-88",My_Audit!R336)&amp;""</f>
        <v/>
      </c>
      <c r="R336" s="45"/>
      <c r="S336" s="45"/>
      <c r="T336" s="46" t="str">
        <f>_xlfn.XLOOKUP(E336,Models!I:I,Models!J:J,"")</f>
        <v/>
      </c>
      <c r="U336" s="45"/>
      <c r="V336" s="45"/>
      <c r="W336" s="38" t="str">
        <f>_xlfn.LET(
    _xlpm.MacVal, _xlfn.XLOOKUP($A336, Output_Mac!$A:$A, Output_Mac!AA:AA, ""),
    _xlpm.MyAuditVal, _xlfn.XLOOKUP($A336, My_Audit!$A:$A, My_Audit!L:L, ""),
    _xlfn.TEXTJOIN(", ", TRUE, _xlpm.MyAuditVal, _xlpm.MacVal)
)</f>
        <v/>
      </c>
    </row>
    <row r="337" spans="1:23">
      <c r="A337" s="45" t="str">
        <f>_xlfn.TEXTJOIN("",TRUE,Input!$B$2,ROW(My_Audit!A336))</f>
        <v>CC336</v>
      </c>
      <c r="B337" s="45" t="str">
        <f>_xlfn.TEXTJOIN("-",TRUE,"ITD",Input!$A$2,A337)</f>
        <v>ITD-XXX-CC336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 cm="1">
        <f t="array" ref="D337">IFERROR(_xlfn.LET(
_xlpm.CSVVal,_xlfn.XLOOKUP($A337,CSV!$A:$A,CSV!C:C,""),
_xlpm.MacVal,_xlfn.XLOOKUP($A337,Output_Mac!$A:$A,Output_Mac!D:D,""),
_xlpm.MyAuditVal,_xlfn.XLOOKUP($A337,My_Audit!$A:$A,My_Audit!C:C,""),
_xlfn.IFS(_xlpm.MyAuditVal&lt;&gt;"",UPPER(_xlpm.MyAuditVal),_xlpm.MacVal&lt;&gt;"",_xlpm.MacVal,_xlpm.CSVVal&lt;&gt;"",_xlpm.CSVVal
)),"")</f>
        <v/>
      </c>
      <c r="E337" s="46" t="str" cm="1">
        <f t="array" ref="E337">IFERROR(_xlfn.LET(
_xlpm.CSVVal,_xlfn.XLOOKUP($A337,CSV!$A:$A,CSV!E:E,""),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_xlpm.CSVVal,_xlfn.XLOOKUP($A337,CSV!$A:$A,CSV!G:G,""),
_xlpm.MacVal,_xlfn.XLOOKUP($A337,Output_Mac!$A:$A,Output_Mac!G:G,""),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_xlfn.XLOOKUP(A337,Output_Mac!A:A,Output_Mac!H:H,"")</f>
        <v/>
      </c>
      <c r="I337" s="45" t="str" cm="1">
        <f t="array" ref="I337">IFERROR(_xlfn.LET(
_xlpm.CSVVal,_xlfn.XLOOKUP($A337,CSV!$A:$A,CSV!H:H,""),
_xlpm.MacVal,_xlfn.XLOOKUP($A337,Output_Mac!$A:$A,Output_Mac!I:I,""),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_xlpm.CSVVal,_xlfn.XLOOKUP($A337,CSV!$A:$A,CSV!J:J,""),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46" t="str" cm="1">
        <f t="array" ref="K337">IFERROR(_xlfn.LET(
_xlpm.CSVVal,_xlfn.XLOOKUP($A337,CSV!$A:$A,CSV!N:N,""),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_xlpm.CSVVal,_xlfn.XLOOKUP($A337,CSV!$A:$A,CSV!Q:Q,""),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CSV!AE:AE,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_xlpm.CSVVal,_xlfn.XLOOKUP($A337,CSV!$A:$A,CSV!AG:AG,""),
_xlpm.MacVal,_xlfn.XLOOKUP($A337,Output_Mac!$A:$A,Output_Mac!T:T,""),
_xlpm.MyAuditVal,_xlfn.XLOOKUP($A337,My_Audit!$A:$A,My_Audit!O:O,""),
_xlfn.IFS(_xlpm.MyAuditVal&lt;&gt;"",UPPER(_xlpm.MyAuditVal),_xlpm.MacVal&lt;&gt;"",_xlpm.MacVal,_xlpm.CSVVal&lt;&gt;"",_xlpm.CSVVal
)),"")</f>
        <v/>
      </c>
      <c r="O337" s="46" t="str">
        <f>_xlfn.XLOOKUP(C337,My_Audit!B:B,My_Audit!P:P,"")&amp;""</f>
        <v/>
      </c>
      <c r="P337" s="45"/>
      <c r="Q337" s="46" t="str">
        <f>IF(LEFT(N337,4)="Pass","Nist SP 800-88",My_Audit!R337)&amp;""</f>
        <v/>
      </c>
      <c r="R337" s="45"/>
      <c r="S337" s="45"/>
      <c r="T337" s="46" t="str">
        <f>_xlfn.XLOOKUP(E337,Models!I:I,Models!J:J,"")</f>
        <v/>
      </c>
      <c r="U337" s="45"/>
      <c r="V337" s="45"/>
      <c r="W337" s="38" t="str">
        <f>_xlfn.LET(
    _xlpm.MacVal, _xlfn.XLOOKUP($A337, Output_Mac!$A:$A, Output_Mac!AA:AA, ""),
    _xlpm.MyAuditVal, _xlfn.XLOOKUP($A337, My_Audit!$A:$A, My_Audit!L:L, ""),
    _xlfn.TEXTJOIN(", ", TRUE, _xlpm.MyAuditVal, _xlpm.MacVal)
)</f>
        <v/>
      </c>
    </row>
    <row r="338" spans="1:23">
      <c r="A338" s="45" t="str">
        <f>_xlfn.TEXTJOIN("",TRUE,Input!$B$2,ROW(My_Audit!A337))</f>
        <v>CC337</v>
      </c>
      <c r="B338" s="45" t="str">
        <f>_xlfn.TEXTJOIN("-",TRUE,"ITD",Input!$A$2,A338)</f>
        <v>ITD-XXX-CC337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 cm="1">
        <f t="array" ref="D338">IFERROR(_xlfn.LET(
_xlpm.CSVVal,_xlfn.XLOOKUP($A338,CSV!$A:$A,CSV!C:C,""),
_xlpm.MacVal,_xlfn.XLOOKUP($A338,Output_Mac!$A:$A,Output_Mac!D:D,""),
_xlpm.MyAuditVal,_xlfn.XLOOKUP($A338,My_Audit!$A:$A,My_Audit!C:C,""),
_xlfn.IFS(_xlpm.MyAuditVal&lt;&gt;"",UPPER(_xlpm.MyAuditVal),_xlpm.MacVal&lt;&gt;"",_xlpm.MacVal,_xlpm.CSVVal&lt;&gt;"",_xlpm.CSVVal
)),"")</f>
        <v/>
      </c>
      <c r="E338" s="46" t="str" cm="1">
        <f t="array" ref="E338">IFERROR(_xlfn.LET(
_xlpm.CSVVal,_xlfn.XLOOKUP($A338,CSV!$A:$A,CSV!E:E,""),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_xlpm.CSVVal,_xlfn.XLOOKUP($A338,CSV!$A:$A,CSV!G:G,""),
_xlpm.MacVal,_xlfn.XLOOKUP($A338,Output_Mac!$A:$A,Output_Mac!G:G,""),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_xlfn.XLOOKUP(A338,Output_Mac!A:A,Output_Mac!H:H,"")</f>
        <v/>
      </c>
      <c r="I338" s="45" t="str" cm="1">
        <f t="array" ref="I338">IFERROR(_xlfn.LET(
_xlpm.CSVVal,_xlfn.XLOOKUP($A338,CSV!$A:$A,CSV!H:H,""),
_xlpm.MacVal,_xlfn.XLOOKUP($A338,Output_Mac!$A:$A,Output_Mac!I:I,""),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_xlpm.CSVVal,_xlfn.XLOOKUP($A338,CSV!$A:$A,CSV!J:J,""),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46" t="str" cm="1">
        <f t="array" ref="K338">IFERROR(_xlfn.LET(
_xlpm.CSVVal,_xlfn.XLOOKUP($A338,CSV!$A:$A,CSV!N:N,""),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_xlpm.CSVVal,_xlfn.XLOOKUP($A338,CSV!$A:$A,CSV!Q:Q,""),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CSV!AE:AE,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_xlpm.CSVVal,_xlfn.XLOOKUP($A338,CSV!$A:$A,CSV!AG:AG,""),
_xlpm.MacVal,_xlfn.XLOOKUP($A338,Output_Mac!$A:$A,Output_Mac!T:T,""),
_xlpm.MyAuditVal,_xlfn.XLOOKUP($A338,My_Audit!$A:$A,My_Audit!O:O,""),
_xlfn.IFS(_xlpm.MyAuditVal&lt;&gt;"",UPPER(_xlpm.MyAuditVal),_xlpm.MacVal&lt;&gt;"",_xlpm.MacVal,_xlpm.CSVVal&lt;&gt;"",_xlpm.CSVVal
)),"")</f>
        <v/>
      </c>
      <c r="O338" s="46" t="str">
        <f>_xlfn.XLOOKUP(C338,My_Audit!B:B,My_Audit!P:P,"")&amp;""</f>
        <v/>
      </c>
      <c r="P338" s="45"/>
      <c r="Q338" s="46" t="str">
        <f>IF(LEFT(N338,4)="Pass","Nist SP 800-88",My_Audit!R338)&amp;""</f>
        <v/>
      </c>
      <c r="R338" s="45"/>
      <c r="S338" s="45"/>
      <c r="T338" s="46" t="str">
        <f>_xlfn.XLOOKUP(E338,Models!I:I,Models!J:J,"")</f>
        <v/>
      </c>
      <c r="U338" s="45"/>
      <c r="V338" s="45"/>
      <c r="W338" s="38" t="str">
        <f>_xlfn.LET(
    _xlpm.MacVal, _xlfn.XLOOKUP($A338, Output_Mac!$A:$A, Output_Mac!AA:AA, ""),
    _xlpm.MyAuditVal, _xlfn.XLOOKUP($A338, My_Audit!$A:$A, My_Audit!L:L, ""),
    _xlfn.TEXTJOIN(", ", TRUE, _xlpm.MyAuditVal, _xlpm.MacVal)
)</f>
        <v/>
      </c>
    </row>
    <row r="339" spans="1:23">
      <c r="A339" s="45" t="str">
        <f>_xlfn.TEXTJOIN("",TRUE,Input!$B$2,ROW(My_Audit!A338))</f>
        <v>CC338</v>
      </c>
      <c r="B339" s="45" t="str">
        <f>_xlfn.TEXTJOIN("-",TRUE,"ITD",Input!$A$2,A339)</f>
        <v>ITD-XXX-CC338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 cm="1">
        <f t="array" ref="D339">IFERROR(_xlfn.LET(
_xlpm.CSVVal,_xlfn.XLOOKUP($A339,CSV!$A:$A,CSV!C:C,""),
_xlpm.MacVal,_xlfn.XLOOKUP($A339,Output_Mac!$A:$A,Output_Mac!D:D,""),
_xlpm.MyAuditVal,_xlfn.XLOOKUP($A339,My_Audit!$A:$A,My_Audit!C:C,""),
_xlfn.IFS(_xlpm.MyAuditVal&lt;&gt;"",UPPER(_xlpm.MyAuditVal),_xlpm.MacVal&lt;&gt;"",_xlpm.MacVal,_xlpm.CSVVal&lt;&gt;"",_xlpm.CSVVal
)),"")</f>
        <v/>
      </c>
      <c r="E339" s="46" t="str" cm="1">
        <f t="array" ref="E339">IFERROR(_xlfn.LET(
_xlpm.CSVVal,_xlfn.XLOOKUP($A339,CSV!$A:$A,CSV!E:E,""),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_xlpm.CSVVal,_xlfn.XLOOKUP($A339,CSV!$A:$A,CSV!G:G,""),
_xlpm.MacVal,_xlfn.XLOOKUP($A339,Output_Mac!$A:$A,Output_Mac!G:G,""),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_xlfn.XLOOKUP(A339,Output_Mac!A:A,Output_Mac!H:H,"")</f>
        <v/>
      </c>
      <c r="I339" s="45" t="str" cm="1">
        <f t="array" ref="I339">IFERROR(_xlfn.LET(
_xlpm.CSVVal,_xlfn.XLOOKUP($A339,CSV!$A:$A,CSV!H:H,""),
_xlpm.MacVal,_xlfn.XLOOKUP($A339,Output_Mac!$A:$A,Output_Mac!I:I,""),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_xlpm.CSVVal,_xlfn.XLOOKUP($A339,CSV!$A:$A,CSV!J:J,""),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46" t="str" cm="1">
        <f t="array" ref="K339">IFERROR(_xlfn.LET(
_xlpm.CSVVal,_xlfn.XLOOKUP($A339,CSV!$A:$A,CSV!N:N,""),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_xlpm.CSVVal,_xlfn.XLOOKUP($A339,CSV!$A:$A,CSV!Q:Q,""),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CSV!AE:AE,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_xlpm.CSVVal,_xlfn.XLOOKUP($A339,CSV!$A:$A,CSV!AG:AG,""),
_xlpm.MacVal,_xlfn.XLOOKUP($A339,Output_Mac!$A:$A,Output_Mac!T:T,""),
_xlpm.MyAuditVal,_xlfn.XLOOKUP($A339,My_Audit!$A:$A,My_Audit!O:O,""),
_xlfn.IFS(_xlpm.MyAuditVal&lt;&gt;"",UPPER(_xlpm.MyAuditVal),_xlpm.MacVal&lt;&gt;"",_xlpm.MacVal,_xlpm.CSVVal&lt;&gt;"",_xlpm.CSVVal
)),"")</f>
        <v/>
      </c>
      <c r="O339" s="46" t="str">
        <f>_xlfn.XLOOKUP(C339,My_Audit!B:B,My_Audit!P:P,"")&amp;""</f>
        <v/>
      </c>
      <c r="P339" s="45"/>
      <c r="Q339" s="46" t="str">
        <f>IF(LEFT(N339,4)="Pass","Nist SP 800-88",My_Audit!R339)&amp;""</f>
        <v/>
      </c>
      <c r="R339" s="45"/>
      <c r="S339" s="45"/>
      <c r="T339" s="46" t="str">
        <f>_xlfn.XLOOKUP(E339,Models!I:I,Models!J:J,"")</f>
        <v/>
      </c>
      <c r="U339" s="45"/>
      <c r="V339" s="45"/>
      <c r="W339" s="38" t="str">
        <f>_xlfn.LET(
    _xlpm.MacVal, _xlfn.XLOOKUP($A339, Output_Mac!$A:$A, Output_Mac!AA:AA, ""),
    _xlpm.MyAuditVal, _xlfn.XLOOKUP($A339, My_Audit!$A:$A, My_Audit!L:L, ""),
    _xlfn.TEXTJOIN(", ", TRUE, _xlpm.MyAuditVal, _xlpm.MacVal)
)</f>
        <v/>
      </c>
    </row>
    <row r="340" spans="1:23">
      <c r="A340" s="45" t="str">
        <f>_xlfn.TEXTJOIN("",TRUE,Input!$B$2,ROW(My_Audit!A339))</f>
        <v>CC339</v>
      </c>
      <c r="B340" s="45" t="str">
        <f>_xlfn.TEXTJOIN("-",TRUE,"ITD",Input!$A$2,A340)</f>
        <v>ITD-XXX-CC339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 cm="1">
        <f t="array" ref="D340">IFERROR(_xlfn.LET(
_xlpm.CSVVal,_xlfn.XLOOKUP($A340,CSV!$A:$A,CSV!C:C,""),
_xlpm.MacVal,_xlfn.XLOOKUP($A340,Output_Mac!$A:$A,Output_Mac!D:D,""),
_xlpm.MyAuditVal,_xlfn.XLOOKUP($A340,My_Audit!$A:$A,My_Audit!C:C,""),
_xlfn.IFS(_xlpm.MyAuditVal&lt;&gt;"",UPPER(_xlpm.MyAuditVal),_xlpm.MacVal&lt;&gt;"",_xlpm.MacVal,_xlpm.CSVVal&lt;&gt;"",_xlpm.CSVVal
)),"")</f>
        <v/>
      </c>
      <c r="E340" s="46" t="str" cm="1">
        <f t="array" ref="E340">IFERROR(_xlfn.LET(
_xlpm.CSVVal,_xlfn.XLOOKUP($A340,CSV!$A:$A,CSV!E:E,""),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_xlpm.CSVVal,_xlfn.XLOOKUP($A340,CSV!$A:$A,CSV!G:G,""),
_xlpm.MacVal,_xlfn.XLOOKUP($A340,Output_Mac!$A:$A,Output_Mac!G:G,""),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_xlfn.XLOOKUP(A340,Output_Mac!A:A,Output_Mac!H:H,"")</f>
        <v/>
      </c>
      <c r="I340" s="45" t="str" cm="1">
        <f t="array" ref="I340">IFERROR(_xlfn.LET(
_xlpm.CSVVal,_xlfn.XLOOKUP($A340,CSV!$A:$A,CSV!H:H,""),
_xlpm.MacVal,_xlfn.XLOOKUP($A340,Output_Mac!$A:$A,Output_Mac!I:I,""),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_xlpm.CSVVal,_xlfn.XLOOKUP($A340,CSV!$A:$A,CSV!J:J,""),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46" t="str" cm="1">
        <f t="array" ref="K340">IFERROR(_xlfn.LET(
_xlpm.CSVVal,_xlfn.XLOOKUP($A340,CSV!$A:$A,CSV!N:N,""),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_xlpm.CSVVal,_xlfn.XLOOKUP($A340,CSV!$A:$A,CSV!Q:Q,""),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CSV!AE:AE,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_xlpm.CSVVal,_xlfn.XLOOKUP($A340,CSV!$A:$A,CSV!AG:AG,""),
_xlpm.MacVal,_xlfn.XLOOKUP($A340,Output_Mac!$A:$A,Output_Mac!T:T,""),
_xlpm.MyAuditVal,_xlfn.XLOOKUP($A340,My_Audit!$A:$A,My_Audit!O:O,""),
_xlfn.IFS(_xlpm.MyAuditVal&lt;&gt;"",UPPER(_xlpm.MyAuditVal),_xlpm.MacVal&lt;&gt;"",_xlpm.MacVal,_xlpm.CSVVal&lt;&gt;"",_xlpm.CSVVal
)),"")</f>
        <v/>
      </c>
      <c r="O340" s="46" t="str">
        <f>_xlfn.XLOOKUP(C340,My_Audit!B:B,My_Audit!P:P,"")&amp;""</f>
        <v/>
      </c>
      <c r="P340" s="45"/>
      <c r="Q340" s="46" t="str">
        <f>IF(LEFT(N340,4)="Pass","Nist SP 800-88",My_Audit!R340)&amp;""</f>
        <v/>
      </c>
      <c r="R340" s="45"/>
      <c r="S340" s="45"/>
      <c r="T340" s="46" t="str">
        <f>_xlfn.XLOOKUP(E340,Models!I:I,Models!J:J,"")</f>
        <v/>
      </c>
      <c r="U340" s="45"/>
      <c r="V340" s="45"/>
      <c r="W340" s="38" t="str">
        <f>_xlfn.LET(
    _xlpm.MacVal, _xlfn.XLOOKUP($A340, Output_Mac!$A:$A, Output_Mac!AA:AA, ""),
    _xlpm.MyAuditVal, _xlfn.XLOOKUP($A340, My_Audit!$A:$A, My_Audit!L:L, ""),
    _xlfn.TEXTJOIN(", ", TRUE, _xlpm.MyAuditVal, _xlpm.MacVal)
)</f>
        <v/>
      </c>
    </row>
    <row r="341" spans="1:23">
      <c r="A341" s="45" t="str">
        <f>_xlfn.TEXTJOIN("",TRUE,Input!$B$2,ROW(My_Audit!A340))</f>
        <v>CC340</v>
      </c>
      <c r="B341" s="45" t="str">
        <f>_xlfn.TEXTJOIN("-",TRUE,"ITD",Input!$A$2,A341)</f>
        <v>ITD-XXX-CC340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 cm="1">
        <f t="array" ref="D341">IFERROR(_xlfn.LET(
_xlpm.CSVVal,_xlfn.XLOOKUP($A341,CSV!$A:$A,CSV!C:C,""),
_xlpm.MacVal,_xlfn.XLOOKUP($A341,Output_Mac!$A:$A,Output_Mac!D:D,""),
_xlpm.MyAuditVal,_xlfn.XLOOKUP($A341,My_Audit!$A:$A,My_Audit!C:C,""),
_xlfn.IFS(_xlpm.MyAuditVal&lt;&gt;"",UPPER(_xlpm.MyAuditVal),_xlpm.MacVal&lt;&gt;"",_xlpm.MacVal,_xlpm.CSVVal&lt;&gt;"",_xlpm.CSVVal
)),"")</f>
        <v/>
      </c>
      <c r="E341" s="46" t="str" cm="1">
        <f t="array" ref="E341">IFERROR(_xlfn.LET(
_xlpm.CSVVal,_xlfn.XLOOKUP($A341,CSV!$A:$A,CSV!E:E,""),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_xlpm.CSVVal,_xlfn.XLOOKUP($A341,CSV!$A:$A,CSV!G:G,""),
_xlpm.MacVal,_xlfn.XLOOKUP($A341,Output_Mac!$A:$A,Output_Mac!G:G,""),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_xlfn.XLOOKUP(A341,Output_Mac!A:A,Output_Mac!H:H,"")</f>
        <v/>
      </c>
      <c r="I341" s="45" t="str" cm="1">
        <f t="array" ref="I341">IFERROR(_xlfn.LET(
_xlpm.CSVVal,_xlfn.XLOOKUP($A341,CSV!$A:$A,CSV!H:H,""),
_xlpm.MacVal,_xlfn.XLOOKUP($A341,Output_Mac!$A:$A,Output_Mac!I:I,""),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_xlpm.CSVVal,_xlfn.XLOOKUP($A341,CSV!$A:$A,CSV!J:J,""),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46" t="str" cm="1">
        <f t="array" ref="K341">IFERROR(_xlfn.LET(
_xlpm.CSVVal,_xlfn.XLOOKUP($A341,CSV!$A:$A,CSV!N:N,""),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_xlpm.CSVVal,_xlfn.XLOOKUP($A341,CSV!$A:$A,CSV!Q:Q,""),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CSV!AE:AE,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_xlpm.CSVVal,_xlfn.XLOOKUP($A341,CSV!$A:$A,CSV!AG:AG,""),
_xlpm.MacVal,_xlfn.XLOOKUP($A341,Output_Mac!$A:$A,Output_Mac!T:T,""),
_xlpm.MyAuditVal,_xlfn.XLOOKUP($A341,My_Audit!$A:$A,My_Audit!O:O,""),
_xlfn.IFS(_xlpm.MyAuditVal&lt;&gt;"",UPPER(_xlpm.MyAuditVal),_xlpm.MacVal&lt;&gt;"",_xlpm.MacVal,_xlpm.CSVVal&lt;&gt;"",_xlpm.CSVVal
)),"")</f>
        <v/>
      </c>
      <c r="O341" s="46" t="str">
        <f>_xlfn.XLOOKUP(C341,My_Audit!B:B,My_Audit!P:P,"")&amp;""</f>
        <v/>
      </c>
      <c r="P341" s="45"/>
      <c r="Q341" s="46" t="str">
        <f>IF(LEFT(N341,4)="Pass","Nist SP 800-88",My_Audit!R341)&amp;""</f>
        <v/>
      </c>
      <c r="R341" s="45"/>
      <c r="S341" s="45"/>
      <c r="T341" s="46" t="str">
        <f>_xlfn.XLOOKUP(E341,Models!I:I,Models!J:J,"")</f>
        <v/>
      </c>
      <c r="U341" s="45"/>
      <c r="V341" s="45"/>
      <c r="W341" s="38" t="str">
        <f>_xlfn.LET(
    _xlpm.MacVal, _xlfn.XLOOKUP($A341, Output_Mac!$A:$A, Output_Mac!AA:AA, ""),
    _xlpm.MyAuditVal, _xlfn.XLOOKUP($A341, My_Audit!$A:$A, My_Audit!L:L, ""),
    _xlfn.TEXTJOIN(", ", TRUE, _xlpm.MyAuditVal, _xlpm.MacVal)
)</f>
        <v/>
      </c>
    </row>
    <row r="342" spans="1:23">
      <c r="A342" s="45" t="str">
        <f>_xlfn.TEXTJOIN("",TRUE,Input!$B$2,ROW(My_Audit!A341))</f>
        <v>CC341</v>
      </c>
      <c r="B342" s="45" t="str">
        <f>_xlfn.TEXTJOIN("-",TRUE,"ITD",Input!$A$2,A342)</f>
        <v>ITD-XXX-CC341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 cm="1">
        <f t="array" ref="D342">IFERROR(_xlfn.LET(
_xlpm.CSVVal,_xlfn.XLOOKUP($A342,CSV!$A:$A,CSV!C:C,""),
_xlpm.MacVal,_xlfn.XLOOKUP($A342,Output_Mac!$A:$A,Output_Mac!D:D,""),
_xlpm.MyAuditVal,_xlfn.XLOOKUP($A342,My_Audit!$A:$A,My_Audit!C:C,""),
_xlfn.IFS(_xlpm.MyAuditVal&lt;&gt;"",UPPER(_xlpm.MyAuditVal),_xlpm.MacVal&lt;&gt;"",_xlpm.MacVal,_xlpm.CSVVal&lt;&gt;"",_xlpm.CSVVal
)),"")</f>
        <v/>
      </c>
      <c r="E342" s="46" t="str" cm="1">
        <f t="array" ref="E342">IFERROR(_xlfn.LET(
_xlpm.CSVVal,_xlfn.XLOOKUP($A342,CSV!$A:$A,CSV!E:E,""),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_xlpm.CSVVal,_xlfn.XLOOKUP($A342,CSV!$A:$A,CSV!G:G,""),
_xlpm.MacVal,_xlfn.XLOOKUP($A342,Output_Mac!$A:$A,Output_Mac!G:G,""),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_xlfn.XLOOKUP(A342,Output_Mac!A:A,Output_Mac!H:H,"")</f>
        <v/>
      </c>
      <c r="I342" s="45" t="str" cm="1">
        <f t="array" ref="I342">IFERROR(_xlfn.LET(
_xlpm.CSVVal,_xlfn.XLOOKUP($A342,CSV!$A:$A,CSV!H:H,""),
_xlpm.MacVal,_xlfn.XLOOKUP($A342,Output_Mac!$A:$A,Output_Mac!I:I,""),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_xlpm.CSVVal,_xlfn.XLOOKUP($A342,CSV!$A:$A,CSV!J:J,""),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46" t="str" cm="1">
        <f t="array" ref="K342">IFERROR(_xlfn.LET(
_xlpm.CSVVal,_xlfn.XLOOKUP($A342,CSV!$A:$A,CSV!N:N,""),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_xlpm.CSVVal,_xlfn.XLOOKUP($A342,CSV!$A:$A,CSV!Q:Q,""),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CSV!AE:AE,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_xlpm.CSVVal,_xlfn.XLOOKUP($A342,CSV!$A:$A,CSV!AG:AG,""),
_xlpm.MacVal,_xlfn.XLOOKUP($A342,Output_Mac!$A:$A,Output_Mac!T:T,""),
_xlpm.MyAuditVal,_xlfn.XLOOKUP($A342,My_Audit!$A:$A,My_Audit!O:O,""),
_xlfn.IFS(_xlpm.MyAuditVal&lt;&gt;"",UPPER(_xlpm.MyAuditVal),_xlpm.MacVal&lt;&gt;"",_xlpm.MacVal,_xlpm.CSVVal&lt;&gt;"",_xlpm.CSVVal
)),"")</f>
        <v/>
      </c>
      <c r="O342" s="46" t="str">
        <f>_xlfn.XLOOKUP(C342,My_Audit!B:B,My_Audit!P:P,"")&amp;""</f>
        <v/>
      </c>
      <c r="P342" s="45"/>
      <c r="Q342" s="46" t="str">
        <f>IF(LEFT(N342,4)="Pass","Nist SP 800-88",My_Audit!R342)&amp;""</f>
        <v/>
      </c>
      <c r="R342" s="45"/>
      <c r="S342" s="45"/>
      <c r="T342" s="46" t="str">
        <f>_xlfn.XLOOKUP(E342,Models!I:I,Models!J:J,"")</f>
        <v/>
      </c>
      <c r="U342" s="45"/>
      <c r="V342" s="45"/>
      <c r="W342" s="38" t="str">
        <f>_xlfn.LET(
    _xlpm.MacVal, _xlfn.XLOOKUP($A342, Output_Mac!$A:$A, Output_Mac!AA:AA, ""),
    _xlpm.MyAuditVal, _xlfn.XLOOKUP($A342, My_Audit!$A:$A, My_Audit!L:L, ""),
    _xlfn.TEXTJOIN(", ", TRUE, _xlpm.MyAuditVal, _xlpm.MacVal)
)</f>
        <v/>
      </c>
    </row>
    <row r="343" spans="1:23">
      <c r="A343" s="45" t="str">
        <f>_xlfn.TEXTJOIN("",TRUE,Input!$B$2,ROW(My_Audit!A342))</f>
        <v>CC342</v>
      </c>
      <c r="B343" s="45" t="str">
        <f>_xlfn.TEXTJOIN("-",TRUE,"ITD",Input!$A$2,A343)</f>
        <v>ITD-XXX-CC342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 cm="1">
        <f t="array" ref="D343">IFERROR(_xlfn.LET(
_xlpm.CSVVal,_xlfn.XLOOKUP($A343,CSV!$A:$A,CSV!C:C,""),
_xlpm.MacVal,_xlfn.XLOOKUP($A343,Output_Mac!$A:$A,Output_Mac!D:D,""),
_xlpm.MyAuditVal,_xlfn.XLOOKUP($A343,My_Audit!$A:$A,My_Audit!C:C,""),
_xlfn.IFS(_xlpm.MyAuditVal&lt;&gt;"",UPPER(_xlpm.MyAuditVal),_xlpm.MacVal&lt;&gt;"",_xlpm.MacVal,_xlpm.CSVVal&lt;&gt;"",_xlpm.CSVVal
)),"")</f>
        <v/>
      </c>
      <c r="E343" s="46" t="str" cm="1">
        <f t="array" ref="E343">IFERROR(_xlfn.LET(
_xlpm.CSVVal,_xlfn.XLOOKUP($A343,CSV!$A:$A,CSV!E:E,""),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_xlpm.CSVVal,_xlfn.XLOOKUP($A343,CSV!$A:$A,CSV!G:G,""),
_xlpm.MacVal,_xlfn.XLOOKUP($A343,Output_Mac!$A:$A,Output_Mac!G:G,""),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_xlfn.XLOOKUP(A343,Output_Mac!A:A,Output_Mac!H:H,"")</f>
        <v/>
      </c>
      <c r="I343" s="45" t="str" cm="1">
        <f t="array" ref="I343">IFERROR(_xlfn.LET(
_xlpm.CSVVal,_xlfn.XLOOKUP($A343,CSV!$A:$A,CSV!H:H,""),
_xlpm.MacVal,_xlfn.XLOOKUP($A343,Output_Mac!$A:$A,Output_Mac!I:I,""),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_xlpm.CSVVal,_xlfn.XLOOKUP($A343,CSV!$A:$A,CSV!J:J,""),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46" t="str" cm="1">
        <f t="array" ref="K343">IFERROR(_xlfn.LET(
_xlpm.CSVVal,_xlfn.XLOOKUP($A343,CSV!$A:$A,CSV!N:N,""),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_xlpm.CSVVal,_xlfn.XLOOKUP($A343,CSV!$A:$A,CSV!Q:Q,""),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CSV!AE:AE,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_xlpm.CSVVal,_xlfn.XLOOKUP($A343,CSV!$A:$A,CSV!AG:AG,""),
_xlpm.MacVal,_xlfn.XLOOKUP($A343,Output_Mac!$A:$A,Output_Mac!T:T,""),
_xlpm.MyAuditVal,_xlfn.XLOOKUP($A343,My_Audit!$A:$A,My_Audit!O:O,""),
_xlfn.IFS(_xlpm.MyAuditVal&lt;&gt;"",UPPER(_xlpm.MyAuditVal),_xlpm.MacVal&lt;&gt;"",_xlpm.MacVal,_xlpm.CSVVal&lt;&gt;"",_xlpm.CSVVal
)),"")</f>
        <v/>
      </c>
      <c r="O343" s="46" t="str">
        <f>_xlfn.XLOOKUP(C343,My_Audit!B:B,My_Audit!P:P,"")&amp;""</f>
        <v/>
      </c>
      <c r="P343" s="45"/>
      <c r="Q343" s="46" t="str">
        <f>IF(LEFT(N343,4)="Pass","Nist SP 800-88",My_Audit!R343)&amp;""</f>
        <v/>
      </c>
      <c r="R343" s="45"/>
      <c r="S343" s="45"/>
      <c r="T343" s="46" t="str">
        <f>_xlfn.XLOOKUP(E343,Models!I:I,Models!J:J,"")</f>
        <v/>
      </c>
      <c r="U343" s="45"/>
      <c r="V343" s="45"/>
      <c r="W343" s="38" t="str">
        <f>_xlfn.LET(
    _xlpm.MacVal, _xlfn.XLOOKUP($A343, Output_Mac!$A:$A, Output_Mac!AA:AA, ""),
    _xlpm.MyAuditVal, _xlfn.XLOOKUP($A343, My_Audit!$A:$A, My_Audit!L:L, ""),
    _xlfn.TEXTJOIN(", ", TRUE, _xlpm.MyAuditVal, _xlpm.MacVal)
)</f>
        <v/>
      </c>
    </row>
    <row r="344" spans="1:23">
      <c r="A344" s="45" t="str">
        <f>_xlfn.TEXTJOIN("",TRUE,Input!$B$2,ROW(My_Audit!A343))</f>
        <v>CC343</v>
      </c>
      <c r="B344" s="45" t="str">
        <f>_xlfn.TEXTJOIN("-",TRUE,"ITD",Input!$A$2,A344)</f>
        <v>ITD-XXX-CC343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 cm="1">
        <f t="array" ref="D344">IFERROR(_xlfn.LET(
_xlpm.CSVVal,_xlfn.XLOOKUP($A344,CSV!$A:$A,CSV!C:C,""),
_xlpm.MacVal,_xlfn.XLOOKUP($A344,Output_Mac!$A:$A,Output_Mac!D:D,""),
_xlpm.MyAuditVal,_xlfn.XLOOKUP($A344,My_Audit!$A:$A,My_Audit!C:C,""),
_xlfn.IFS(_xlpm.MyAuditVal&lt;&gt;"",UPPER(_xlpm.MyAuditVal),_xlpm.MacVal&lt;&gt;"",_xlpm.MacVal,_xlpm.CSVVal&lt;&gt;"",_xlpm.CSVVal
)),"")</f>
        <v/>
      </c>
      <c r="E344" s="46" t="str" cm="1">
        <f t="array" ref="E344">IFERROR(_xlfn.LET(
_xlpm.CSVVal,_xlfn.XLOOKUP($A344,CSV!$A:$A,CSV!E:E,""),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_xlpm.CSVVal,_xlfn.XLOOKUP($A344,CSV!$A:$A,CSV!G:G,""),
_xlpm.MacVal,_xlfn.XLOOKUP($A344,Output_Mac!$A:$A,Output_Mac!G:G,""),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_xlfn.XLOOKUP(A344,Output_Mac!A:A,Output_Mac!H:H,"")</f>
        <v/>
      </c>
      <c r="I344" s="45" t="str" cm="1">
        <f t="array" ref="I344">IFERROR(_xlfn.LET(
_xlpm.CSVVal,_xlfn.XLOOKUP($A344,CSV!$A:$A,CSV!H:H,""),
_xlpm.MacVal,_xlfn.XLOOKUP($A344,Output_Mac!$A:$A,Output_Mac!I:I,""),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_xlpm.CSVVal,_xlfn.XLOOKUP($A344,CSV!$A:$A,CSV!J:J,""),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46" t="str" cm="1">
        <f t="array" ref="K344">IFERROR(_xlfn.LET(
_xlpm.CSVVal,_xlfn.XLOOKUP($A344,CSV!$A:$A,CSV!N:N,""),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_xlpm.CSVVal,_xlfn.XLOOKUP($A344,CSV!$A:$A,CSV!Q:Q,""),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CSV!AE:AE,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_xlpm.CSVVal,_xlfn.XLOOKUP($A344,CSV!$A:$A,CSV!AG:AG,""),
_xlpm.MacVal,_xlfn.XLOOKUP($A344,Output_Mac!$A:$A,Output_Mac!T:T,""),
_xlpm.MyAuditVal,_xlfn.XLOOKUP($A344,My_Audit!$A:$A,My_Audit!O:O,""),
_xlfn.IFS(_xlpm.MyAuditVal&lt;&gt;"",UPPER(_xlpm.MyAuditVal),_xlpm.MacVal&lt;&gt;"",_xlpm.MacVal,_xlpm.CSVVal&lt;&gt;"",_xlpm.CSVVal
)),"")</f>
        <v/>
      </c>
      <c r="O344" s="46" t="str">
        <f>_xlfn.XLOOKUP(C344,My_Audit!B:B,My_Audit!P:P,"")&amp;""</f>
        <v/>
      </c>
      <c r="P344" s="45"/>
      <c r="Q344" s="46" t="str">
        <f>IF(LEFT(N344,4)="Pass","Nist SP 800-88",My_Audit!R344)&amp;""</f>
        <v/>
      </c>
      <c r="R344" s="45"/>
      <c r="S344" s="45"/>
      <c r="T344" s="46" t="str">
        <f>_xlfn.XLOOKUP(E344,Models!I:I,Models!J:J,"")</f>
        <v/>
      </c>
      <c r="U344" s="45"/>
      <c r="V344" s="45"/>
      <c r="W344" s="38" t="str">
        <f>_xlfn.LET(
    _xlpm.MacVal, _xlfn.XLOOKUP($A344, Output_Mac!$A:$A, Output_Mac!AA:AA, ""),
    _xlpm.MyAuditVal, _xlfn.XLOOKUP($A344, My_Audit!$A:$A, My_Audit!L:L, ""),
    _xlfn.TEXTJOIN(", ", TRUE, _xlpm.MyAuditVal, _xlpm.MacVal)
)</f>
        <v/>
      </c>
    </row>
    <row r="345" spans="1:23">
      <c r="A345" s="45" t="str">
        <f>_xlfn.TEXTJOIN("",TRUE,Input!$B$2,ROW(My_Audit!A344))</f>
        <v>CC344</v>
      </c>
      <c r="B345" s="45" t="str">
        <f>_xlfn.TEXTJOIN("-",TRUE,"ITD",Input!$A$2,A345)</f>
        <v>ITD-XXX-CC344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 cm="1">
        <f t="array" ref="D345">IFERROR(_xlfn.LET(
_xlpm.CSVVal,_xlfn.XLOOKUP($A345,CSV!$A:$A,CSV!C:C,""),
_xlpm.MacVal,_xlfn.XLOOKUP($A345,Output_Mac!$A:$A,Output_Mac!D:D,""),
_xlpm.MyAuditVal,_xlfn.XLOOKUP($A345,My_Audit!$A:$A,My_Audit!C:C,""),
_xlfn.IFS(_xlpm.MyAuditVal&lt;&gt;"",UPPER(_xlpm.MyAuditVal),_xlpm.MacVal&lt;&gt;"",_xlpm.MacVal,_xlpm.CSVVal&lt;&gt;"",_xlpm.CSVVal
)),"")</f>
        <v/>
      </c>
      <c r="E345" s="46" t="str" cm="1">
        <f t="array" ref="E345">IFERROR(_xlfn.LET(
_xlpm.CSVVal,_xlfn.XLOOKUP($A345,CSV!$A:$A,CSV!E:E,""),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_xlpm.CSVVal,_xlfn.XLOOKUP($A345,CSV!$A:$A,CSV!G:G,""),
_xlpm.MacVal,_xlfn.XLOOKUP($A345,Output_Mac!$A:$A,Output_Mac!G:G,""),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_xlfn.XLOOKUP(A345,Output_Mac!A:A,Output_Mac!H:H,"")</f>
        <v/>
      </c>
      <c r="I345" s="45" t="str" cm="1">
        <f t="array" ref="I345">IFERROR(_xlfn.LET(
_xlpm.CSVVal,_xlfn.XLOOKUP($A345,CSV!$A:$A,CSV!H:H,""),
_xlpm.MacVal,_xlfn.XLOOKUP($A345,Output_Mac!$A:$A,Output_Mac!I:I,""),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_xlpm.CSVVal,_xlfn.XLOOKUP($A345,CSV!$A:$A,CSV!J:J,""),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46" t="str" cm="1">
        <f t="array" ref="K345">IFERROR(_xlfn.LET(
_xlpm.CSVVal,_xlfn.XLOOKUP($A345,CSV!$A:$A,CSV!N:N,""),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_xlpm.CSVVal,_xlfn.XLOOKUP($A345,CSV!$A:$A,CSV!Q:Q,""),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CSV!AE:AE,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_xlpm.CSVVal,_xlfn.XLOOKUP($A345,CSV!$A:$A,CSV!AG:AG,""),
_xlpm.MacVal,_xlfn.XLOOKUP($A345,Output_Mac!$A:$A,Output_Mac!T:T,""),
_xlpm.MyAuditVal,_xlfn.XLOOKUP($A345,My_Audit!$A:$A,My_Audit!O:O,""),
_xlfn.IFS(_xlpm.MyAuditVal&lt;&gt;"",UPPER(_xlpm.MyAuditVal),_xlpm.MacVal&lt;&gt;"",_xlpm.MacVal,_xlpm.CSVVal&lt;&gt;"",_xlpm.CSVVal
)),"")</f>
        <v/>
      </c>
      <c r="O345" s="46" t="str">
        <f>_xlfn.XLOOKUP(C345,My_Audit!B:B,My_Audit!P:P,"")&amp;""</f>
        <v/>
      </c>
      <c r="P345" s="45"/>
      <c r="Q345" s="46" t="str">
        <f>IF(LEFT(N345,4)="Pass","Nist SP 800-88",My_Audit!R345)&amp;""</f>
        <v/>
      </c>
      <c r="R345" s="45"/>
      <c r="S345" s="45"/>
      <c r="T345" s="46" t="str">
        <f>_xlfn.XLOOKUP(E345,Models!I:I,Models!J:J,"")</f>
        <v/>
      </c>
      <c r="U345" s="45"/>
      <c r="V345" s="45"/>
      <c r="W345" s="38" t="str">
        <f>_xlfn.LET(
    _xlpm.MacVal, _xlfn.XLOOKUP($A345, Output_Mac!$A:$A, Output_Mac!AA:AA, ""),
    _xlpm.MyAuditVal, _xlfn.XLOOKUP($A345, My_Audit!$A:$A, My_Audit!L:L, ""),
    _xlfn.TEXTJOIN(", ", TRUE, _xlpm.MyAuditVal, _xlpm.MacVal)
)</f>
        <v/>
      </c>
    </row>
    <row r="346" spans="1:23">
      <c r="A346" s="45" t="str">
        <f>_xlfn.TEXTJOIN("",TRUE,Input!$B$2,ROW(My_Audit!A345))</f>
        <v>CC345</v>
      </c>
      <c r="B346" s="45" t="str">
        <f>_xlfn.TEXTJOIN("-",TRUE,"ITD",Input!$A$2,A346)</f>
        <v>ITD-XXX-CC345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 cm="1">
        <f t="array" ref="D346">IFERROR(_xlfn.LET(
_xlpm.CSVVal,_xlfn.XLOOKUP($A346,CSV!$A:$A,CSV!C:C,""),
_xlpm.MacVal,_xlfn.XLOOKUP($A346,Output_Mac!$A:$A,Output_Mac!D:D,""),
_xlpm.MyAuditVal,_xlfn.XLOOKUP($A346,My_Audit!$A:$A,My_Audit!C:C,""),
_xlfn.IFS(_xlpm.MyAuditVal&lt;&gt;"",UPPER(_xlpm.MyAuditVal),_xlpm.MacVal&lt;&gt;"",_xlpm.MacVal,_xlpm.CSVVal&lt;&gt;"",_xlpm.CSVVal
)),"")</f>
        <v/>
      </c>
      <c r="E346" s="46" t="str" cm="1">
        <f t="array" ref="E346">IFERROR(_xlfn.LET(
_xlpm.CSVVal,_xlfn.XLOOKUP($A346,CSV!$A:$A,CSV!E:E,""),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_xlpm.CSVVal,_xlfn.XLOOKUP($A346,CSV!$A:$A,CSV!G:G,""),
_xlpm.MacVal,_xlfn.XLOOKUP($A346,Output_Mac!$A:$A,Output_Mac!G:G,""),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_xlfn.XLOOKUP(A346,Output_Mac!A:A,Output_Mac!H:H,"")</f>
        <v/>
      </c>
      <c r="I346" s="45" t="str" cm="1">
        <f t="array" ref="I346">IFERROR(_xlfn.LET(
_xlpm.CSVVal,_xlfn.XLOOKUP($A346,CSV!$A:$A,CSV!H:H,""),
_xlpm.MacVal,_xlfn.XLOOKUP($A346,Output_Mac!$A:$A,Output_Mac!I:I,""),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_xlpm.CSVVal,_xlfn.XLOOKUP($A346,CSV!$A:$A,CSV!J:J,""),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46" t="str" cm="1">
        <f t="array" ref="K346">IFERROR(_xlfn.LET(
_xlpm.CSVVal,_xlfn.XLOOKUP($A346,CSV!$A:$A,CSV!N:N,""),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_xlpm.CSVVal,_xlfn.XLOOKUP($A346,CSV!$A:$A,CSV!Q:Q,""),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CSV!AE:AE,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_xlpm.CSVVal,_xlfn.XLOOKUP($A346,CSV!$A:$A,CSV!AG:AG,""),
_xlpm.MacVal,_xlfn.XLOOKUP($A346,Output_Mac!$A:$A,Output_Mac!T:T,""),
_xlpm.MyAuditVal,_xlfn.XLOOKUP($A346,My_Audit!$A:$A,My_Audit!O:O,""),
_xlfn.IFS(_xlpm.MyAuditVal&lt;&gt;"",UPPER(_xlpm.MyAuditVal),_xlpm.MacVal&lt;&gt;"",_xlpm.MacVal,_xlpm.CSVVal&lt;&gt;"",_xlpm.CSVVal
)),"")</f>
        <v/>
      </c>
      <c r="O346" s="46" t="str">
        <f>_xlfn.XLOOKUP(C346,My_Audit!B:B,My_Audit!P:P,"")&amp;""</f>
        <v/>
      </c>
      <c r="P346" s="45"/>
      <c r="Q346" s="46" t="str">
        <f>IF(LEFT(N346,4)="Pass","Nist SP 800-88",My_Audit!R346)&amp;""</f>
        <v/>
      </c>
      <c r="R346" s="45"/>
      <c r="S346" s="45"/>
      <c r="T346" s="46" t="str">
        <f>_xlfn.XLOOKUP(E346,Models!I:I,Models!J:J,"")</f>
        <v/>
      </c>
      <c r="U346" s="45"/>
      <c r="V346" s="45"/>
      <c r="W346" s="38" t="str">
        <f>_xlfn.LET(
    _xlpm.MacVal, _xlfn.XLOOKUP($A346, Output_Mac!$A:$A, Output_Mac!AA:AA, ""),
    _xlpm.MyAuditVal, _xlfn.XLOOKUP($A346, My_Audit!$A:$A, My_Audit!L:L, ""),
    _xlfn.TEXTJOIN(", ", TRUE, _xlpm.MyAuditVal, _xlpm.MacVal)
)</f>
        <v/>
      </c>
    </row>
    <row r="347" spans="1:23">
      <c r="A347" s="45" t="str">
        <f>_xlfn.TEXTJOIN("",TRUE,Input!$B$2,ROW(My_Audit!A346))</f>
        <v>CC346</v>
      </c>
      <c r="B347" s="45" t="str">
        <f>_xlfn.TEXTJOIN("-",TRUE,"ITD",Input!$A$2,A347)</f>
        <v>ITD-XXX-CC346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 cm="1">
        <f t="array" ref="D347">IFERROR(_xlfn.LET(
_xlpm.CSVVal,_xlfn.XLOOKUP($A347,CSV!$A:$A,CSV!C:C,""),
_xlpm.MacVal,_xlfn.XLOOKUP($A347,Output_Mac!$A:$A,Output_Mac!D:D,""),
_xlpm.MyAuditVal,_xlfn.XLOOKUP($A347,My_Audit!$A:$A,My_Audit!C:C,""),
_xlfn.IFS(_xlpm.MyAuditVal&lt;&gt;"",UPPER(_xlpm.MyAuditVal),_xlpm.MacVal&lt;&gt;"",_xlpm.MacVal,_xlpm.CSVVal&lt;&gt;"",_xlpm.CSVVal
)),"")</f>
        <v/>
      </c>
      <c r="E347" s="46" t="str" cm="1">
        <f t="array" ref="E347">IFERROR(_xlfn.LET(
_xlpm.CSVVal,_xlfn.XLOOKUP($A347,CSV!$A:$A,CSV!E:E,""),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_xlpm.CSVVal,_xlfn.XLOOKUP($A347,CSV!$A:$A,CSV!G:G,""),
_xlpm.MacVal,_xlfn.XLOOKUP($A347,Output_Mac!$A:$A,Output_Mac!G:G,""),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_xlfn.XLOOKUP(A347,Output_Mac!A:A,Output_Mac!H:H,"")</f>
        <v/>
      </c>
      <c r="I347" s="45" t="str" cm="1">
        <f t="array" ref="I347">IFERROR(_xlfn.LET(
_xlpm.CSVVal,_xlfn.XLOOKUP($A347,CSV!$A:$A,CSV!H:H,""),
_xlpm.MacVal,_xlfn.XLOOKUP($A347,Output_Mac!$A:$A,Output_Mac!I:I,""),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_xlpm.CSVVal,_xlfn.XLOOKUP($A347,CSV!$A:$A,CSV!J:J,""),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46" t="str" cm="1">
        <f t="array" ref="K347">IFERROR(_xlfn.LET(
_xlpm.CSVVal,_xlfn.XLOOKUP($A347,CSV!$A:$A,CSV!N:N,""),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_xlpm.CSVVal,_xlfn.XLOOKUP($A347,CSV!$A:$A,CSV!Q:Q,""),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CSV!AE:AE,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_xlpm.CSVVal,_xlfn.XLOOKUP($A347,CSV!$A:$A,CSV!AG:AG,""),
_xlpm.MacVal,_xlfn.XLOOKUP($A347,Output_Mac!$A:$A,Output_Mac!T:T,""),
_xlpm.MyAuditVal,_xlfn.XLOOKUP($A347,My_Audit!$A:$A,My_Audit!O:O,""),
_xlfn.IFS(_xlpm.MyAuditVal&lt;&gt;"",UPPER(_xlpm.MyAuditVal),_xlpm.MacVal&lt;&gt;"",_xlpm.MacVal,_xlpm.CSVVal&lt;&gt;"",_xlpm.CSVVal
)),"")</f>
        <v/>
      </c>
      <c r="O347" s="46" t="str">
        <f>_xlfn.XLOOKUP(C347,My_Audit!B:B,My_Audit!P:P,"")&amp;""</f>
        <v/>
      </c>
      <c r="P347" s="45"/>
      <c r="Q347" s="46" t="str">
        <f>IF(LEFT(N347,4)="Pass","Nist SP 800-88",My_Audit!R347)&amp;""</f>
        <v/>
      </c>
      <c r="R347" s="45"/>
      <c r="S347" s="45"/>
      <c r="T347" s="46" t="str">
        <f>_xlfn.XLOOKUP(E347,Models!I:I,Models!J:J,"")</f>
        <v/>
      </c>
      <c r="U347" s="45"/>
      <c r="V347" s="45"/>
      <c r="W347" s="38" t="str">
        <f>_xlfn.LET(
    _xlpm.MacVal, _xlfn.XLOOKUP($A347, Output_Mac!$A:$A, Output_Mac!AA:AA, ""),
    _xlpm.MyAuditVal, _xlfn.XLOOKUP($A347, My_Audit!$A:$A, My_Audit!L:L, ""),
    _xlfn.TEXTJOIN(", ", TRUE, _xlpm.MyAuditVal, _xlpm.MacVal)
)</f>
        <v/>
      </c>
    </row>
    <row r="348" spans="1:23">
      <c r="A348" s="45" t="str">
        <f>_xlfn.TEXTJOIN("",TRUE,Input!$B$2,ROW(My_Audit!A347))</f>
        <v>CC347</v>
      </c>
      <c r="B348" s="45" t="str">
        <f>_xlfn.TEXTJOIN("-",TRUE,"ITD",Input!$A$2,A348)</f>
        <v>ITD-XXX-CC347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 cm="1">
        <f t="array" ref="D348">IFERROR(_xlfn.LET(
_xlpm.CSVVal,_xlfn.XLOOKUP($A348,CSV!$A:$A,CSV!C:C,""),
_xlpm.MacVal,_xlfn.XLOOKUP($A348,Output_Mac!$A:$A,Output_Mac!D:D,""),
_xlpm.MyAuditVal,_xlfn.XLOOKUP($A348,My_Audit!$A:$A,My_Audit!C:C,""),
_xlfn.IFS(_xlpm.MyAuditVal&lt;&gt;"",UPPER(_xlpm.MyAuditVal),_xlpm.MacVal&lt;&gt;"",_xlpm.MacVal,_xlpm.CSVVal&lt;&gt;"",_xlpm.CSVVal
)),"")</f>
        <v/>
      </c>
      <c r="E348" s="46" t="str" cm="1">
        <f t="array" ref="E348">IFERROR(_xlfn.LET(
_xlpm.CSVVal,_xlfn.XLOOKUP($A348,CSV!$A:$A,CSV!E:E,""),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_xlpm.CSVVal,_xlfn.XLOOKUP($A348,CSV!$A:$A,CSV!G:G,""),
_xlpm.MacVal,_xlfn.XLOOKUP($A348,Output_Mac!$A:$A,Output_Mac!G:G,""),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_xlfn.XLOOKUP(A348,Output_Mac!A:A,Output_Mac!H:H,"")</f>
        <v/>
      </c>
      <c r="I348" s="45" t="str" cm="1">
        <f t="array" ref="I348">IFERROR(_xlfn.LET(
_xlpm.CSVVal,_xlfn.XLOOKUP($A348,CSV!$A:$A,CSV!H:H,""),
_xlpm.MacVal,_xlfn.XLOOKUP($A348,Output_Mac!$A:$A,Output_Mac!I:I,""),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_xlpm.CSVVal,_xlfn.XLOOKUP($A348,CSV!$A:$A,CSV!J:J,""),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46" t="str" cm="1">
        <f t="array" ref="K348">IFERROR(_xlfn.LET(
_xlpm.CSVVal,_xlfn.XLOOKUP($A348,CSV!$A:$A,CSV!N:N,""),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_xlpm.CSVVal,_xlfn.XLOOKUP($A348,CSV!$A:$A,CSV!Q:Q,""),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CSV!AE:AE,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_xlpm.CSVVal,_xlfn.XLOOKUP($A348,CSV!$A:$A,CSV!AG:AG,""),
_xlpm.MacVal,_xlfn.XLOOKUP($A348,Output_Mac!$A:$A,Output_Mac!T:T,""),
_xlpm.MyAuditVal,_xlfn.XLOOKUP($A348,My_Audit!$A:$A,My_Audit!O:O,""),
_xlfn.IFS(_xlpm.MyAuditVal&lt;&gt;"",UPPER(_xlpm.MyAuditVal),_xlpm.MacVal&lt;&gt;"",_xlpm.MacVal,_xlpm.CSVVal&lt;&gt;"",_xlpm.CSVVal
)),"")</f>
        <v/>
      </c>
      <c r="O348" s="46" t="str">
        <f>_xlfn.XLOOKUP(C348,My_Audit!B:B,My_Audit!P:P,"")&amp;""</f>
        <v/>
      </c>
      <c r="P348" s="45"/>
      <c r="Q348" s="46" t="str">
        <f>IF(LEFT(N348,4)="Pass","Nist SP 800-88",My_Audit!R348)&amp;""</f>
        <v/>
      </c>
      <c r="R348" s="45"/>
      <c r="S348" s="45"/>
      <c r="T348" s="46" t="str">
        <f>_xlfn.XLOOKUP(E348,Models!I:I,Models!J:J,"")</f>
        <v/>
      </c>
      <c r="U348" s="45"/>
      <c r="V348" s="45"/>
      <c r="W348" s="38" t="str">
        <f>_xlfn.LET(
    _xlpm.MacVal, _xlfn.XLOOKUP($A348, Output_Mac!$A:$A, Output_Mac!AA:AA, ""),
    _xlpm.MyAuditVal, _xlfn.XLOOKUP($A348, My_Audit!$A:$A, My_Audit!L:L, ""),
    _xlfn.TEXTJOIN(", ", TRUE, _xlpm.MyAuditVal, _xlpm.MacVal)
)</f>
        <v/>
      </c>
    </row>
    <row r="349" spans="1:23">
      <c r="A349" s="45" t="str">
        <f>_xlfn.TEXTJOIN("",TRUE,Input!$B$2,ROW(My_Audit!A348))</f>
        <v>CC348</v>
      </c>
      <c r="B349" s="45" t="str">
        <f>_xlfn.TEXTJOIN("-",TRUE,"ITD",Input!$A$2,A349)</f>
        <v>ITD-XXX-CC348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 cm="1">
        <f t="array" ref="D349">IFERROR(_xlfn.LET(
_xlpm.CSVVal,_xlfn.XLOOKUP($A349,CSV!$A:$A,CSV!C:C,""),
_xlpm.MacVal,_xlfn.XLOOKUP($A349,Output_Mac!$A:$A,Output_Mac!D:D,""),
_xlpm.MyAuditVal,_xlfn.XLOOKUP($A349,My_Audit!$A:$A,My_Audit!C:C,""),
_xlfn.IFS(_xlpm.MyAuditVal&lt;&gt;"",UPPER(_xlpm.MyAuditVal),_xlpm.MacVal&lt;&gt;"",_xlpm.MacVal,_xlpm.CSVVal&lt;&gt;"",_xlpm.CSVVal
)),"")</f>
        <v/>
      </c>
      <c r="E349" s="46" t="str" cm="1">
        <f t="array" ref="E349">IFERROR(_xlfn.LET(
_xlpm.CSVVal,_xlfn.XLOOKUP($A349,CSV!$A:$A,CSV!E:E,""),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_xlpm.CSVVal,_xlfn.XLOOKUP($A349,CSV!$A:$A,CSV!G:G,""),
_xlpm.MacVal,_xlfn.XLOOKUP($A349,Output_Mac!$A:$A,Output_Mac!G:G,""),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_xlfn.XLOOKUP(A349,Output_Mac!A:A,Output_Mac!H:H,"")</f>
        <v/>
      </c>
      <c r="I349" s="45" t="str" cm="1">
        <f t="array" ref="I349">IFERROR(_xlfn.LET(
_xlpm.CSVVal,_xlfn.XLOOKUP($A349,CSV!$A:$A,CSV!H:H,""),
_xlpm.MacVal,_xlfn.XLOOKUP($A349,Output_Mac!$A:$A,Output_Mac!I:I,""),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_xlpm.CSVVal,_xlfn.XLOOKUP($A349,CSV!$A:$A,CSV!J:J,""),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46" t="str" cm="1">
        <f t="array" ref="K349">IFERROR(_xlfn.LET(
_xlpm.CSVVal,_xlfn.XLOOKUP($A349,CSV!$A:$A,CSV!N:N,""),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_xlpm.CSVVal,_xlfn.XLOOKUP($A349,CSV!$A:$A,CSV!Q:Q,""),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CSV!AE:AE,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_xlpm.CSVVal,_xlfn.XLOOKUP($A349,CSV!$A:$A,CSV!AG:AG,""),
_xlpm.MacVal,_xlfn.XLOOKUP($A349,Output_Mac!$A:$A,Output_Mac!T:T,""),
_xlpm.MyAuditVal,_xlfn.XLOOKUP($A349,My_Audit!$A:$A,My_Audit!O:O,""),
_xlfn.IFS(_xlpm.MyAuditVal&lt;&gt;"",UPPER(_xlpm.MyAuditVal),_xlpm.MacVal&lt;&gt;"",_xlpm.MacVal,_xlpm.CSVVal&lt;&gt;"",_xlpm.CSVVal
)),"")</f>
        <v/>
      </c>
      <c r="O349" s="46" t="str">
        <f>_xlfn.XLOOKUP(C349,My_Audit!B:B,My_Audit!P:P,"")&amp;""</f>
        <v/>
      </c>
      <c r="P349" s="45"/>
      <c r="Q349" s="46" t="str">
        <f>IF(LEFT(N349,4)="Pass","Nist SP 800-88",My_Audit!R349)&amp;""</f>
        <v/>
      </c>
      <c r="R349" s="45"/>
      <c r="S349" s="45"/>
      <c r="T349" s="46" t="str">
        <f>_xlfn.XLOOKUP(E349,Models!I:I,Models!J:J,"")</f>
        <v/>
      </c>
      <c r="U349" s="45"/>
      <c r="V349" s="45"/>
      <c r="W349" s="38" t="str">
        <f>_xlfn.LET(
    _xlpm.MacVal, _xlfn.XLOOKUP($A349, Output_Mac!$A:$A, Output_Mac!AA:AA, ""),
    _xlpm.MyAuditVal, _xlfn.XLOOKUP($A349, My_Audit!$A:$A, My_Audit!L:L, ""),
    _xlfn.TEXTJOIN(", ", TRUE, _xlpm.MyAuditVal, _xlpm.MacVal)
)</f>
        <v/>
      </c>
    </row>
    <row r="350" spans="1:23">
      <c r="A350" s="45" t="str">
        <f>_xlfn.TEXTJOIN("",TRUE,Input!$B$2,ROW(My_Audit!A349))</f>
        <v>CC349</v>
      </c>
      <c r="B350" s="45" t="str">
        <f>_xlfn.TEXTJOIN("-",TRUE,"ITD",Input!$A$2,A350)</f>
        <v>ITD-XXX-CC349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 cm="1">
        <f t="array" ref="D350">IFERROR(_xlfn.LET(
_xlpm.CSVVal,_xlfn.XLOOKUP($A350,CSV!$A:$A,CSV!C:C,""),
_xlpm.MacVal,_xlfn.XLOOKUP($A350,Output_Mac!$A:$A,Output_Mac!D:D,""),
_xlpm.MyAuditVal,_xlfn.XLOOKUP($A350,My_Audit!$A:$A,My_Audit!C:C,""),
_xlfn.IFS(_xlpm.MyAuditVal&lt;&gt;"",UPPER(_xlpm.MyAuditVal),_xlpm.MacVal&lt;&gt;"",_xlpm.MacVal,_xlpm.CSVVal&lt;&gt;"",_xlpm.CSVVal
)),"")</f>
        <v/>
      </c>
      <c r="E350" s="46" t="str" cm="1">
        <f t="array" ref="E350">IFERROR(_xlfn.LET(
_xlpm.CSVVal,_xlfn.XLOOKUP($A350,CSV!$A:$A,CSV!E:E,""),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_xlpm.CSVVal,_xlfn.XLOOKUP($A350,CSV!$A:$A,CSV!G:G,""),
_xlpm.MacVal,_xlfn.XLOOKUP($A350,Output_Mac!$A:$A,Output_Mac!G:G,""),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_xlfn.XLOOKUP(A350,Output_Mac!A:A,Output_Mac!H:H,"")</f>
        <v/>
      </c>
      <c r="I350" s="45" t="str" cm="1">
        <f t="array" ref="I350">IFERROR(_xlfn.LET(
_xlpm.CSVVal,_xlfn.XLOOKUP($A350,CSV!$A:$A,CSV!H:H,""),
_xlpm.MacVal,_xlfn.XLOOKUP($A350,Output_Mac!$A:$A,Output_Mac!I:I,""),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_xlpm.CSVVal,_xlfn.XLOOKUP($A350,CSV!$A:$A,CSV!J:J,""),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46" t="str" cm="1">
        <f t="array" ref="K350">IFERROR(_xlfn.LET(
_xlpm.CSVVal,_xlfn.XLOOKUP($A350,CSV!$A:$A,CSV!N:N,""),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_xlpm.CSVVal,_xlfn.XLOOKUP($A350,CSV!$A:$A,CSV!Q:Q,""),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CSV!AE:AE,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_xlpm.CSVVal,_xlfn.XLOOKUP($A350,CSV!$A:$A,CSV!AG:AG,""),
_xlpm.MacVal,_xlfn.XLOOKUP($A350,Output_Mac!$A:$A,Output_Mac!T:T,""),
_xlpm.MyAuditVal,_xlfn.XLOOKUP($A350,My_Audit!$A:$A,My_Audit!O:O,""),
_xlfn.IFS(_xlpm.MyAuditVal&lt;&gt;"",UPPER(_xlpm.MyAuditVal),_xlpm.MacVal&lt;&gt;"",_xlpm.MacVal,_xlpm.CSVVal&lt;&gt;"",_xlpm.CSVVal
)),"")</f>
        <v/>
      </c>
      <c r="O350" s="46" t="str">
        <f>_xlfn.XLOOKUP(C350,My_Audit!B:B,My_Audit!P:P,"")&amp;""</f>
        <v/>
      </c>
      <c r="P350" s="45"/>
      <c r="Q350" s="46" t="str">
        <f>IF(LEFT(N350,4)="Pass","Nist SP 800-88",My_Audit!R350)&amp;""</f>
        <v/>
      </c>
      <c r="R350" s="45"/>
      <c r="S350" s="45"/>
      <c r="T350" s="46" t="str">
        <f>_xlfn.XLOOKUP(E350,Models!I:I,Models!J:J,"")</f>
        <v/>
      </c>
      <c r="U350" s="45"/>
      <c r="V350" s="45"/>
      <c r="W350" s="38" t="str">
        <f>_xlfn.LET(
    _xlpm.MacVal, _xlfn.XLOOKUP($A350, Output_Mac!$A:$A, Output_Mac!AA:AA, ""),
    _xlpm.MyAuditVal, _xlfn.XLOOKUP($A350, My_Audit!$A:$A, My_Audit!L:L, ""),
    _xlfn.TEXTJOIN(", ", TRUE, _xlpm.MyAuditVal, _xlpm.MacVal)
)</f>
        <v/>
      </c>
    </row>
    <row r="351" spans="1:23">
      <c r="A351" s="45" t="str">
        <f>_xlfn.TEXTJOIN("",TRUE,Input!$B$2,ROW(My_Audit!A350))</f>
        <v>CC350</v>
      </c>
      <c r="B351" s="45" t="str">
        <f>_xlfn.TEXTJOIN("-",TRUE,"ITD",Input!$A$2,A351)</f>
        <v>ITD-XXX-CC350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 cm="1">
        <f t="array" ref="D351">IFERROR(_xlfn.LET(
_xlpm.CSVVal,_xlfn.XLOOKUP($A351,CSV!$A:$A,CSV!C:C,""),
_xlpm.MacVal,_xlfn.XLOOKUP($A351,Output_Mac!$A:$A,Output_Mac!D:D,""),
_xlpm.MyAuditVal,_xlfn.XLOOKUP($A351,My_Audit!$A:$A,My_Audit!C:C,""),
_xlfn.IFS(_xlpm.MyAuditVal&lt;&gt;"",UPPER(_xlpm.MyAuditVal),_xlpm.MacVal&lt;&gt;"",_xlpm.MacVal,_xlpm.CSVVal&lt;&gt;"",_xlpm.CSVVal
)),"")</f>
        <v/>
      </c>
      <c r="E351" s="46" t="str" cm="1">
        <f t="array" ref="E351">IFERROR(_xlfn.LET(
_xlpm.CSVVal,_xlfn.XLOOKUP($A351,CSV!$A:$A,CSV!E:E,""),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_xlpm.CSVVal,_xlfn.XLOOKUP($A351,CSV!$A:$A,CSV!G:G,""),
_xlpm.MacVal,_xlfn.XLOOKUP($A351,Output_Mac!$A:$A,Output_Mac!G:G,""),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_xlfn.XLOOKUP(A351,Output_Mac!A:A,Output_Mac!H:H,"")</f>
        <v/>
      </c>
      <c r="I351" s="45" t="str" cm="1">
        <f t="array" ref="I351">IFERROR(_xlfn.LET(
_xlpm.CSVVal,_xlfn.XLOOKUP($A351,CSV!$A:$A,CSV!H:H,""),
_xlpm.MacVal,_xlfn.XLOOKUP($A351,Output_Mac!$A:$A,Output_Mac!I:I,""),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_xlpm.CSVVal,_xlfn.XLOOKUP($A351,CSV!$A:$A,CSV!J:J,""),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46" t="str" cm="1">
        <f t="array" ref="K351">IFERROR(_xlfn.LET(
_xlpm.CSVVal,_xlfn.XLOOKUP($A351,CSV!$A:$A,CSV!N:N,""),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_xlpm.CSVVal,_xlfn.XLOOKUP($A351,CSV!$A:$A,CSV!Q:Q,""),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CSV!AE:AE,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_xlpm.CSVVal,_xlfn.XLOOKUP($A351,CSV!$A:$A,CSV!AG:AG,""),
_xlpm.MacVal,_xlfn.XLOOKUP($A351,Output_Mac!$A:$A,Output_Mac!T:T,""),
_xlpm.MyAuditVal,_xlfn.XLOOKUP($A351,My_Audit!$A:$A,My_Audit!O:O,""),
_xlfn.IFS(_xlpm.MyAuditVal&lt;&gt;"",UPPER(_xlpm.MyAuditVal),_xlpm.MacVal&lt;&gt;"",_xlpm.MacVal,_xlpm.CSVVal&lt;&gt;"",_xlpm.CSVVal
)),"")</f>
        <v/>
      </c>
      <c r="O351" s="46" t="str">
        <f>_xlfn.XLOOKUP(C351,My_Audit!B:B,My_Audit!P:P,"")&amp;""</f>
        <v/>
      </c>
      <c r="P351" s="45"/>
      <c r="Q351" s="46" t="str">
        <f>IF(LEFT(N351,4)="Pass","Nist SP 800-88",My_Audit!R351)&amp;""</f>
        <v/>
      </c>
      <c r="R351" s="45"/>
      <c r="S351" s="45"/>
      <c r="T351" s="46" t="str">
        <f>_xlfn.XLOOKUP(E351,Models!I:I,Models!J:J,"")</f>
        <v/>
      </c>
      <c r="U351" s="45"/>
      <c r="V351" s="45"/>
      <c r="W351" s="38" t="str">
        <f>_xlfn.LET(
    _xlpm.MacVal, _xlfn.XLOOKUP($A351, Output_Mac!$A:$A, Output_Mac!AA:AA, ""),
    _xlpm.MyAuditVal, _xlfn.XLOOKUP($A351, My_Audit!$A:$A, My_Audit!L:L, ""),
    _xlfn.TEXTJOIN(", ", TRUE, _xlpm.MyAuditVal, _xlpm.MacVal)
)</f>
        <v/>
      </c>
    </row>
    <row r="352" spans="1:23">
      <c r="A352" s="45" t="str">
        <f>_xlfn.TEXTJOIN("",TRUE,Input!$B$2,ROW(My_Audit!A351))</f>
        <v>CC351</v>
      </c>
      <c r="B352" s="45" t="str">
        <f>_xlfn.TEXTJOIN("-",TRUE,"ITD",Input!$A$2,A352)</f>
        <v>ITD-XXX-CC351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 cm="1">
        <f t="array" ref="D352">IFERROR(_xlfn.LET(
_xlpm.CSVVal,_xlfn.XLOOKUP($A352,CSV!$A:$A,CSV!C:C,""),
_xlpm.MacVal,_xlfn.XLOOKUP($A352,Output_Mac!$A:$A,Output_Mac!D:D,""),
_xlpm.MyAuditVal,_xlfn.XLOOKUP($A352,My_Audit!$A:$A,My_Audit!C:C,""),
_xlfn.IFS(_xlpm.MyAuditVal&lt;&gt;"",UPPER(_xlpm.MyAuditVal),_xlpm.MacVal&lt;&gt;"",_xlpm.MacVal,_xlpm.CSVVal&lt;&gt;"",_xlpm.CSVVal
)),"")</f>
        <v/>
      </c>
      <c r="E352" s="46" t="str" cm="1">
        <f t="array" ref="E352">IFERROR(_xlfn.LET(
_xlpm.CSVVal,_xlfn.XLOOKUP($A352,CSV!$A:$A,CSV!E:E,""),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_xlpm.CSVVal,_xlfn.XLOOKUP($A352,CSV!$A:$A,CSV!G:G,""),
_xlpm.MacVal,_xlfn.XLOOKUP($A352,Output_Mac!$A:$A,Output_Mac!G:G,""),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_xlfn.XLOOKUP(A352,Output_Mac!A:A,Output_Mac!H:H,"")</f>
        <v/>
      </c>
      <c r="I352" s="45" t="str" cm="1">
        <f t="array" ref="I352">IFERROR(_xlfn.LET(
_xlpm.CSVVal,_xlfn.XLOOKUP($A352,CSV!$A:$A,CSV!H:H,""),
_xlpm.MacVal,_xlfn.XLOOKUP($A352,Output_Mac!$A:$A,Output_Mac!I:I,""),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_xlpm.CSVVal,_xlfn.XLOOKUP($A352,CSV!$A:$A,CSV!J:J,""),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46" t="str" cm="1">
        <f t="array" ref="K352">IFERROR(_xlfn.LET(
_xlpm.CSVVal,_xlfn.XLOOKUP($A352,CSV!$A:$A,CSV!N:N,""),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_xlpm.CSVVal,_xlfn.XLOOKUP($A352,CSV!$A:$A,CSV!Q:Q,""),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CSV!AE:AE,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_xlpm.CSVVal,_xlfn.XLOOKUP($A352,CSV!$A:$A,CSV!AG:AG,""),
_xlpm.MacVal,_xlfn.XLOOKUP($A352,Output_Mac!$A:$A,Output_Mac!T:T,""),
_xlpm.MyAuditVal,_xlfn.XLOOKUP($A352,My_Audit!$A:$A,My_Audit!O:O,""),
_xlfn.IFS(_xlpm.MyAuditVal&lt;&gt;"",UPPER(_xlpm.MyAuditVal),_xlpm.MacVal&lt;&gt;"",_xlpm.MacVal,_xlpm.CSVVal&lt;&gt;"",_xlpm.CSVVal
)),"")</f>
        <v/>
      </c>
      <c r="O352" s="46" t="str">
        <f>_xlfn.XLOOKUP(C352,My_Audit!B:B,My_Audit!P:P,"")&amp;""</f>
        <v/>
      </c>
      <c r="P352" s="45"/>
      <c r="Q352" s="46" t="str">
        <f>IF(LEFT(N352,4)="Pass","Nist SP 800-88",My_Audit!R352)&amp;""</f>
        <v/>
      </c>
      <c r="R352" s="45"/>
      <c r="S352" s="45"/>
      <c r="T352" s="46" t="str">
        <f>_xlfn.XLOOKUP(E352,Models!I:I,Models!J:J,"")</f>
        <v/>
      </c>
      <c r="U352" s="45"/>
      <c r="V352" s="45"/>
      <c r="W352" s="38" t="str">
        <f>_xlfn.LET(
    _xlpm.MacVal, _xlfn.XLOOKUP($A352, Output_Mac!$A:$A, Output_Mac!AA:AA, ""),
    _xlpm.MyAuditVal, _xlfn.XLOOKUP($A352, My_Audit!$A:$A, My_Audit!L:L, ""),
    _xlfn.TEXTJOIN(", ", TRUE, _xlpm.MyAuditVal, _xlpm.MacVal)
)</f>
        <v/>
      </c>
    </row>
    <row r="353" spans="1:23">
      <c r="A353" s="45" t="str">
        <f>_xlfn.TEXTJOIN("",TRUE,Input!$B$2,ROW(My_Audit!A352))</f>
        <v>CC352</v>
      </c>
      <c r="B353" s="45" t="str">
        <f>_xlfn.TEXTJOIN("-",TRUE,"ITD",Input!$A$2,A353)</f>
        <v>ITD-XXX-CC352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 cm="1">
        <f t="array" ref="D353">IFERROR(_xlfn.LET(
_xlpm.CSVVal,_xlfn.XLOOKUP($A353,CSV!$A:$A,CSV!C:C,""),
_xlpm.MacVal,_xlfn.XLOOKUP($A353,Output_Mac!$A:$A,Output_Mac!D:D,""),
_xlpm.MyAuditVal,_xlfn.XLOOKUP($A353,My_Audit!$A:$A,My_Audit!C:C,""),
_xlfn.IFS(_xlpm.MyAuditVal&lt;&gt;"",UPPER(_xlpm.MyAuditVal),_xlpm.MacVal&lt;&gt;"",_xlpm.MacVal,_xlpm.CSVVal&lt;&gt;"",_xlpm.CSVVal
)),"")</f>
        <v/>
      </c>
      <c r="E353" s="46" t="str" cm="1">
        <f t="array" ref="E353">IFERROR(_xlfn.LET(
_xlpm.CSVVal,_xlfn.XLOOKUP($A353,CSV!$A:$A,CSV!E:E,""),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_xlpm.CSVVal,_xlfn.XLOOKUP($A353,CSV!$A:$A,CSV!G:G,""),
_xlpm.MacVal,_xlfn.XLOOKUP($A353,Output_Mac!$A:$A,Output_Mac!G:G,""),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_xlfn.XLOOKUP(A353,Output_Mac!A:A,Output_Mac!H:H,"")</f>
        <v/>
      </c>
      <c r="I353" s="45" t="str" cm="1">
        <f t="array" ref="I353">IFERROR(_xlfn.LET(
_xlpm.CSVVal,_xlfn.XLOOKUP($A353,CSV!$A:$A,CSV!H:H,""),
_xlpm.MacVal,_xlfn.XLOOKUP($A353,Output_Mac!$A:$A,Output_Mac!I:I,""),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_xlpm.CSVVal,_xlfn.XLOOKUP($A353,CSV!$A:$A,CSV!J:J,""),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46" t="str" cm="1">
        <f t="array" ref="K353">IFERROR(_xlfn.LET(
_xlpm.CSVVal,_xlfn.XLOOKUP($A353,CSV!$A:$A,CSV!N:N,""),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_xlpm.CSVVal,_xlfn.XLOOKUP($A353,CSV!$A:$A,CSV!Q:Q,""),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CSV!AE:AE,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_xlpm.CSVVal,_xlfn.XLOOKUP($A353,CSV!$A:$A,CSV!AG:AG,""),
_xlpm.MacVal,_xlfn.XLOOKUP($A353,Output_Mac!$A:$A,Output_Mac!T:T,""),
_xlpm.MyAuditVal,_xlfn.XLOOKUP($A353,My_Audit!$A:$A,My_Audit!O:O,""),
_xlfn.IFS(_xlpm.MyAuditVal&lt;&gt;"",UPPER(_xlpm.MyAuditVal),_xlpm.MacVal&lt;&gt;"",_xlpm.MacVal,_xlpm.CSVVal&lt;&gt;"",_xlpm.CSVVal
)),"")</f>
        <v/>
      </c>
      <c r="O353" s="46" t="str">
        <f>_xlfn.XLOOKUP(C353,My_Audit!B:B,My_Audit!P:P,"")&amp;""</f>
        <v/>
      </c>
      <c r="P353" s="45"/>
      <c r="Q353" s="46" t="str">
        <f>IF(LEFT(N353,4)="Pass","Nist SP 800-88",My_Audit!R353)&amp;""</f>
        <v/>
      </c>
      <c r="R353" s="45"/>
      <c r="S353" s="45"/>
      <c r="T353" s="46" t="str">
        <f>_xlfn.XLOOKUP(E353,Models!I:I,Models!J:J,"")</f>
        <v/>
      </c>
      <c r="U353" s="45"/>
      <c r="V353" s="45"/>
      <c r="W353" s="38" t="str">
        <f>_xlfn.LET(
    _xlpm.MacVal, _xlfn.XLOOKUP($A353, Output_Mac!$A:$A, Output_Mac!AA:AA, ""),
    _xlpm.MyAuditVal, _xlfn.XLOOKUP($A353, My_Audit!$A:$A, My_Audit!L:L, ""),
    _xlfn.TEXTJOIN(", ", TRUE, _xlpm.MyAuditVal, _xlpm.MacVal)
)</f>
        <v/>
      </c>
    </row>
    <row r="354" spans="1:23">
      <c r="A354" s="45" t="str">
        <f>_xlfn.TEXTJOIN("",TRUE,Input!$B$2,ROW(My_Audit!A353))</f>
        <v>CC353</v>
      </c>
      <c r="B354" s="45" t="str">
        <f>_xlfn.TEXTJOIN("-",TRUE,"ITD",Input!$A$2,A354)</f>
        <v>ITD-XXX-CC353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 cm="1">
        <f t="array" ref="D354">IFERROR(_xlfn.LET(
_xlpm.CSVVal,_xlfn.XLOOKUP($A354,CSV!$A:$A,CSV!C:C,""),
_xlpm.MacVal,_xlfn.XLOOKUP($A354,Output_Mac!$A:$A,Output_Mac!D:D,""),
_xlpm.MyAuditVal,_xlfn.XLOOKUP($A354,My_Audit!$A:$A,My_Audit!C:C,""),
_xlfn.IFS(_xlpm.MyAuditVal&lt;&gt;"",UPPER(_xlpm.MyAuditVal),_xlpm.MacVal&lt;&gt;"",_xlpm.MacVal,_xlpm.CSVVal&lt;&gt;"",_xlpm.CSVVal
)),"")</f>
        <v/>
      </c>
      <c r="E354" s="46" t="str" cm="1">
        <f t="array" ref="E354">IFERROR(_xlfn.LET(
_xlpm.CSVVal,_xlfn.XLOOKUP($A354,CSV!$A:$A,CSV!E:E,""),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_xlpm.CSVVal,_xlfn.XLOOKUP($A354,CSV!$A:$A,CSV!G:G,""),
_xlpm.MacVal,_xlfn.XLOOKUP($A354,Output_Mac!$A:$A,Output_Mac!G:G,""),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_xlfn.XLOOKUP(A354,Output_Mac!A:A,Output_Mac!H:H,"")</f>
        <v/>
      </c>
      <c r="I354" s="45" t="str" cm="1">
        <f t="array" ref="I354">IFERROR(_xlfn.LET(
_xlpm.CSVVal,_xlfn.XLOOKUP($A354,CSV!$A:$A,CSV!H:H,""),
_xlpm.MacVal,_xlfn.XLOOKUP($A354,Output_Mac!$A:$A,Output_Mac!I:I,""),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_xlpm.CSVVal,_xlfn.XLOOKUP($A354,CSV!$A:$A,CSV!J:J,""),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46" t="str" cm="1">
        <f t="array" ref="K354">IFERROR(_xlfn.LET(
_xlpm.CSVVal,_xlfn.XLOOKUP($A354,CSV!$A:$A,CSV!N:N,""),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_xlpm.CSVVal,_xlfn.XLOOKUP($A354,CSV!$A:$A,CSV!Q:Q,""),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CSV!AE:AE,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_xlpm.CSVVal,_xlfn.XLOOKUP($A354,CSV!$A:$A,CSV!AG:AG,""),
_xlpm.MacVal,_xlfn.XLOOKUP($A354,Output_Mac!$A:$A,Output_Mac!T:T,""),
_xlpm.MyAuditVal,_xlfn.XLOOKUP($A354,My_Audit!$A:$A,My_Audit!O:O,""),
_xlfn.IFS(_xlpm.MyAuditVal&lt;&gt;"",UPPER(_xlpm.MyAuditVal),_xlpm.MacVal&lt;&gt;"",_xlpm.MacVal,_xlpm.CSVVal&lt;&gt;"",_xlpm.CSVVal
)),"")</f>
        <v/>
      </c>
      <c r="O354" s="46" t="str">
        <f>_xlfn.XLOOKUP(C354,My_Audit!B:B,My_Audit!P:P,"")&amp;""</f>
        <v/>
      </c>
      <c r="P354" s="45"/>
      <c r="Q354" s="46" t="str">
        <f>IF(LEFT(N354,4)="Pass","Nist SP 800-88",My_Audit!R354)&amp;""</f>
        <v/>
      </c>
      <c r="R354" s="45"/>
      <c r="S354" s="45"/>
      <c r="T354" s="46" t="str">
        <f>_xlfn.XLOOKUP(E354,Models!I:I,Models!J:J,"")</f>
        <v/>
      </c>
      <c r="U354" s="45"/>
      <c r="V354" s="45"/>
      <c r="W354" s="38" t="str">
        <f>_xlfn.LET(
    _xlpm.MacVal, _xlfn.XLOOKUP($A354, Output_Mac!$A:$A, Output_Mac!AA:AA, ""),
    _xlpm.MyAuditVal, _xlfn.XLOOKUP($A354, My_Audit!$A:$A, My_Audit!L:L, ""),
    _xlfn.TEXTJOIN(", ", TRUE, _xlpm.MyAuditVal, _xlpm.MacVal)
)</f>
        <v/>
      </c>
    </row>
    <row r="355" spans="1:23">
      <c r="A355" s="45" t="str">
        <f>_xlfn.TEXTJOIN("",TRUE,Input!$B$2,ROW(My_Audit!A354))</f>
        <v>CC354</v>
      </c>
      <c r="B355" s="45" t="str">
        <f>_xlfn.TEXTJOIN("-",TRUE,"ITD",Input!$A$2,A355)</f>
        <v>ITD-XXX-CC354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 cm="1">
        <f t="array" ref="D355">IFERROR(_xlfn.LET(
_xlpm.CSVVal,_xlfn.XLOOKUP($A355,CSV!$A:$A,CSV!C:C,""),
_xlpm.MacVal,_xlfn.XLOOKUP($A355,Output_Mac!$A:$A,Output_Mac!D:D,""),
_xlpm.MyAuditVal,_xlfn.XLOOKUP($A355,My_Audit!$A:$A,My_Audit!C:C,""),
_xlfn.IFS(_xlpm.MyAuditVal&lt;&gt;"",UPPER(_xlpm.MyAuditVal),_xlpm.MacVal&lt;&gt;"",_xlpm.MacVal,_xlpm.CSVVal&lt;&gt;"",_xlpm.CSVVal
)),"")</f>
        <v/>
      </c>
      <c r="E355" s="46" t="str" cm="1">
        <f t="array" ref="E355">IFERROR(_xlfn.LET(
_xlpm.CSVVal,_xlfn.XLOOKUP($A355,CSV!$A:$A,CSV!E:E,""),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_xlpm.CSVVal,_xlfn.XLOOKUP($A355,CSV!$A:$A,CSV!G:G,""),
_xlpm.MacVal,_xlfn.XLOOKUP($A355,Output_Mac!$A:$A,Output_Mac!G:G,""),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_xlfn.XLOOKUP(A355,Output_Mac!A:A,Output_Mac!H:H,"")</f>
        <v/>
      </c>
      <c r="I355" s="45" t="str" cm="1">
        <f t="array" ref="I355">IFERROR(_xlfn.LET(
_xlpm.CSVVal,_xlfn.XLOOKUP($A355,CSV!$A:$A,CSV!H:H,""),
_xlpm.MacVal,_xlfn.XLOOKUP($A355,Output_Mac!$A:$A,Output_Mac!I:I,""),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_xlpm.CSVVal,_xlfn.XLOOKUP($A355,CSV!$A:$A,CSV!J:J,""),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46" t="str" cm="1">
        <f t="array" ref="K355">IFERROR(_xlfn.LET(
_xlpm.CSVVal,_xlfn.XLOOKUP($A355,CSV!$A:$A,CSV!N:N,""),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_xlpm.CSVVal,_xlfn.XLOOKUP($A355,CSV!$A:$A,CSV!Q:Q,""),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CSV!AE:AE,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_xlpm.CSVVal,_xlfn.XLOOKUP($A355,CSV!$A:$A,CSV!AG:AG,""),
_xlpm.MacVal,_xlfn.XLOOKUP($A355,Output_Mac!$A:$A,Output_Mac!T:T,""),
_xlpm.MyAuditVal,_xlfn.XLOOKUP($A355,My_Audit!$A:$A,My_Audit!O:O,""),
_xlfn.IFS(_xlpm.MyAuditVal&lt;&gt;"",UPPER(_xlpm.MyAuditVal),_xlpm.MacVal&lt;&gt;"",_xlpm.MacVal,_xlpm.CSVVal&lt;&gt;"",_xlpm.CSVVal
)),"")</f>
        <v/>
      </c>
      <c r="O355" s="46" t="str">
        <f>_xlfn.XLOOKUP(C355,My_Audit!B:B,My_Audit!P:P,"")&amp;""</f>
        <v/>
      </c>
      <c r="P355" s="45"/>
      <c r="Q355" s="46" t="str">
        <f>IF(LEFT(N355,4)="Pass","Nist SP 800-88",My_Audit!R355)&amp;""</f>
        <v/>
      </c>
      <c r="R355" s="45"/>
      <c r="S355" s="45"/>
      <c r="T355" s="46" t="str">
        <f>_xlfn.XLOOKUP(E355,Models!I:I,Models!J:J,"")</f>
        <v/>
      </c>
      <c r="U355" s="45"/>
      <c r="V355" s="45"/>
      <c r="W355" s="38" t="str">
        <f>_xlfn.LET(
    _xlpm.MacVal, _xlfn.XLOOKUP($A355, Output_Mac!$A:$A, Output_Mac!AA:AA, ""),
    _xlpm.MyAuditVal, _xlfn.XLOOKUP($A355, My_Audit!$A:$A, My_Audit!L:L, ""),
    _xlfn.TEXTJOIN(", ", TRUE, _xlpm.MyAuditVal, _xlpm.MacVal)
)</f>
        <v/>
      </c>
    </row>
    <row r="356" spans="1:23">
      <c r="A356" s="45" t="str">
        <f>_xlfn.TEXTJOIN("",TRUE,Input!$B$2,ROW(My_Audit!A355))</f>
        <v>CC355</v>
      </c>
      <c r="B356" s="45" t="str">
        <f>_xlfn.TEXTJOIN("-",TRUE,"ITD",Input!$A$2,A356)</f>
        <v>ITD-XXX-CC355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 cm="1">
        <f t="array" ref="D356">IFERROR(_xlfn.LET(
_xlpm.CSVVal,_xlfn.XLOOKUP($A356,CSV!$A:$A,CSV!C:C,""),
_xlpm.MacVal,_xlfn.XLOOKUP($A356,Output_Mac!$A:$A,Output_Mac!D:D,""),
_xlpm.MyAuditVal,_xlfn.XLOOKUP($A356,My_Audit!$A:$A,My_Audit!C:C,""),
_xlfn.IFS(_xlpm.MyAuditVal&lt;&gt;"",UPPER(_xlpm.MyAuditVal),_xlpm.MacVal&lt;&gt;"",_xlpm.MacVal,_xlpm.CSVVal&lt;&gt;"",_xlpm.CSVVal
)),"")</f>
        <v/>
      </c>
      <c r="E356" s="46" t="str" cm="1">
        <f t="array" ref="E356">IFERROR(_xlfn.LET(
_xlpm.CSVVal,_xlfn.XLOOKUP($A356,CSV!$A:$A,CSV!E:E,""),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_xlpm.CSVVal,_xlfn.XLOOKUP($A356,CSV!$A:$A,CSV!G:G,""),
_xlpm.MacVal,_xlfn.XLOOKUP($A356,Output_Mac!$A:$A,Output_Mac!G:G,""),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_xlfn.XLOOKUP(A356,Output_Mac!A:A,Output_Mac!H:H,"")</f>
        <v/>
      </c>
      <c r="I356" s="45" t="str" cm="1">
        <f t="array" ref="I356">IFERROR(_xlfn.LET(
_xlpm.CSVVal,_xlfn.XLOOKUP($A356,CSV!$A:$A,CSV!H:H,""),
_xlpm.MacVal,_xlfn.XLOOKUP($A356,Output_Mac!$A:$A,Output_Mac!I:I,""),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_xlpm.CSVVal,_xlfn.XLOOKUP($A356,CSV!$A:$A,CSV!J:J,""),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46" t="str" cm="1">
        <f t="array" ref="K356">IFERROR(_xlfn.LET(
_xlpm.CSVVal,_xlfn.XLOOKUP($A356,CSV!$A:$A,CSV!N:N,""),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_xlpm.CSVVal,_xlfn.XLOOKUP($A356,CSV!$A:$A,CSV!Q:Q,""),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CSV!AE:AE,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_xlpm.CSVVal,_xlfn.XLOOKUP($A356,CSV!$A:$A,CSV!AG:AG,""),
_xlpm.MacVal,_xlfn.XLOOKUP($A356,Output_Mac!$A:$A,Output_Mac!T:T,""),
_xlpm.MyAuditVal,_xlfn.XLOOKUP($A356,My_Audit!$A:$A,My_Audit!O:O,""),
_xlfn.IFS(_xlpm.MyAuditVal&lt;&gt;"",UPPER(_xlpm.MyAuditVal),_xlpm.MacVal&lt;&gt;"",_xlpm.MacVal,_xlpm.CSVVal&lt;&gt;"",_xlpm.CSVVal
)),"")</f>
        <v/>
      </c>
      <c r="O356" s="46" t="str">
        <f>_xlfn.XLOOKUP(C356,My_Audit!B:B,My_Audit!P:P,"")&amp;""</f>
        <v/>
      </c>
      <c r="P356" s="45"/>
      <c r="Q356" s="46" t="str">
        <f>IF(LEFT(N356,4)="Pass","Nist SP 800-88",My_Audit!R356)&amp;""</f>
        <v/>
      </c>
      <c r="R356" s="45"/>
      <c r="S356" s="45"/>
      <c r="T356" s="46" t="str">
        <f>_xlfn.XLOOKUP(E356,Models!I:I,Models!J:J,"")</f>
        <v/>
      </c>
      <c r="U356" s="45"/>
      <c r="V356" s="45"/>
      <c r="W356" s="38" t="str">
        <f>_xlfn.LET(
    _xlpm.MacVal, _xlfn.XLOOKUP($A356, Output_Mac!$A:$A, Output_Mac!AA:AA, ""),
    _xlpm.MyAuditVal, _xlfn.XLOOKUP($A356, My_Audit!$A:$A, My_Audit!L:L, ""),
    _xlfn.TEXTJOIN(", ", TRUE, _xlpm.MyAuditVal, _xlpm.MacVal)
)</f>
        <v/>
      </c>
    </row>
    <row r="357" spans="1:23">
      <c r="A357" s="45" t="str">
        <f>_xlfn.TEXTJOIN("",TRUE,Input!$B$2,ROW(My_Audit!A356))</f>
        <v>CC356</v>
      </c>
      <c r="B357" s="45" t="str">
        <f>_xlfn.TEXTJOIN("-",TRUE,"ITD",Input!$A$2,A357)</f>
        <v>ITD-XXX-CC356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 cm="1">
        <f t="array" ref="D357">IFERROR(_xlfn.LET(
_xlpm.CSVVal,_xlfn.XLOOKUP($A357,CSV!$A:$A,CSV!C:C,""),
_xlpm.MacVal,_xlfn.XLOOKUP($A357,Output_Mac!$A:$A,Output_Mac!D:D,""),
_xlpm.MyAuditVal,_xlfn.XLOOKUP($A357,My_Audit!$A:$A,My_Audit!C:C,""),
_xlfn.IFS(_xlpm.MyAuditVal&lt;&gt;"",UPPER(_xlpm.MyAuditVal),_xlpm.MacVal&lt;&gt;"",_xlpm.MacVal,_xlpm.CSVVal&lt;&gt;"",_xlpm.CSVVal
)),"")</f>
        <v/>
      </c>
      <c r="E357" s="46" t="str" cm="1">
        <f t="array" ref="E357">IFERROR(_xlfn.LET(
_xlpm.CSVVal,_xlfn.XLOOKUP($A357,CSV!$A:$A,CSV!E:E,""),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_xlpm.CSVVal,_xlfn.XLOOKUP($A357,CSV!$A:$A,CSV!G:G,""),
_xlpm.MacVal,_xlfn.XLOOKUP($A357,Output_Mac!$A:$A,Output_Mac!G:G,""),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_xlfn.XLOOKUP(A357,Output_Mac!A:A,Output_Mac!H:H,"")</f>
        <v/>
      </c>
      <c r="I357" s="45" t="str" cm="1">
        <f t="array" ref="I357">IFERROR(_xlfn.LET(
_xlpm.CSVVal,_xlfn.XLOOKUP($A357,CSV!$A:$A,CSV!H:H,""),
_xlpm.MacVal,_xlfn.XLOOKUP($A357,Output_Mac!$A:$A,Output_Mac!I:I,""),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_xlpm.CSVVal,_xlfn.XLOOKUP($A357,CSV!$A:$A,CSV!J:J,""),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46" t="str" cm="1">
        <f t="array" ref="K357">IFERROR(_xlfn.LET(
_xlpm.CSVVal,_xlfn.XLOOKUP($A357,CSV!$A:$A,CSV!N:N,""),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_xlpm.CSVVal,_xlfn.XLOOKUP($A357,CSV!$A:$A,CSV!Q:Q,""),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CSV!AE:AE,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_xlpm.CSVVal,_xlfn.XLOOKUP($A357,CSV!$A:$A,CSV!AG:AG,""),
_xlpm.MacVal,_xlfn.XLOOKUP($A357,Output_Mac!$A:$A,Output_Mac!T:T,""),
_xlpm.MyAuditVal,_xlfn.XLOOKUP($A357,My_Audit!$A:$A,My_Audit!O:O,""),
_xlfn.IFS(_xlpm.MyAuditVal&lt;&gt;"",UPPER(_xlpm.MyAuditVal),_xlpm.MacVal&lt;&gt;"",_xlpm.MacVal,_xlpm.CSVVal&lt;&gt;"",_xlpm.CSVVal
)),"")</f>
        <v/>
      </c>
      <c r="O357" s="46" t="str">
        <f>_xlfn.XLOOKUP(C357,My_Audit!B:B,My_Audit!P:P,"")&amp;""</f>
        <v/>
      </c>
      <c r="P357" s="45"/>
      <c r="Q357" s="46" t="str">
        <f>IF(LEFT(N357,4)="Pass","Nist SP 800-88",My_Audit!R357)&amp;""</f>
        <v/>
      </c>
      <c r="R357" s="45"/>
      <c r="S357" s="45"/>
      <c r="T357" s="46" t="str">
        <f>_xlfn.XLOOKUP(E357,Models!I:I,Models!J:J,"")</f>
        <v/>
      </c>
      <c r="U357" s="45"/>
      <c r="V357" s="45"/>
      <c r="W357" s="38" t="str">
        <f>_xlfn.LET(
    _xlpm.MacVal, _xlfn.XLOOKUP($A357, Output_Mac!$A:$A, Output_Mac!AA:AA, ""),
    _xlpm.MyAuditVal, _xlfn.XLOOKUP($A357, My_Audit!$A:$A, My_Audit!L:L, ""),
    _xlfn.TEXTJOIN(", ", TRUE, _xlpm.MyAuditVal, _xlpm.MacVal)
)</f>
        <v/>
      </c>
    </row>
    <row r="358" spans="1:23">
      <c r="A358" s="45" t="str">
        <f>_xlfn.TEXTJOIN("",TRUE,Input!$B$2,ROW(My_Audit!A357))</f>
        <v>CC357</v>
      </c>
      <c r="B358" s="45" t="str">
        <f>_xlfn.TEXTJOIN("-",TRUE,"ITD",Input!$A$2,A358)</f>
        <v>ITD-XXX-CC357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 cm="1">
        <f t="array" ref="D358">IFERROR(_xlfn.LET(
_xlpm.CSVVal,_xlfn.XLOOKUP($A358,CSV!$A:$A,CSV!C:C,""),
_xlpm.MacVal,_xlfn.XLOOKUP($A358,Output_Mac!$A:$A,Output_Mac!D:D,""),
_xlpm.MyAuditVal,_xlfn.XLOOKUP($A358,My_Audit!$A:$A,My_Audit!C:C,""),
_xlfn.IFS(_xlpm.MyAuditVal&lt;&gt;"",UPPER(_xlpm.MyAuditVal),_xlpm.MacVal&lt;&gt;"",_xlpm.MacVal,_xlpm.CSVVal&lt;&gt;"",_xlpm.CSVVal
)),"")</f>
        <v/>
      </c>
      <c r="E358" s="46" t="str" cm="1">
        <f t="array" ref="E358">IFERROR(_xlfn.LET(
_xlpm.CSVVal,_xlfn.XLOOKUP($A358,CSV!$A:$A,CSV!E:E,""),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_xlpm.CSVVal,_xlfn.XLOOKUP($A358,CSV!$A:$A,CSV!G:G,""),
_xlpm.MacVal,_xlfn.XLOOKUP($A358,Output_Mac!$A:$A,Output_Mac!G:G,""),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_xlfn.XLOOKUP(A358,Output_Mac!A:A,Output_Mac!H:H,"")</f>
        <v/>
      </c>
      <c r="I358" s="45" t="str" cm="1">
        <f t="array" ref="I358">IFERROR(_xlfn.LET(
_xlpm.CSVVal,_xlfn.XLOOKUP($A358,CSV!$A:$A,CSV!H:H,""),
_xlpm.MacVal,_xlfn.XLOOKUP($A358,Output_Mac!$A:$A,Output_Mac!I:I,""),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_xlpm.CSVVal,_xlfn.XLOOKUP($A358,CSV!$A:$A,CSV!J:J,""),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46" t="str" cm="1">
        <f t="array" ref="K358">IFERROR(_xlfn.LET(
_xlpm.CSVVal,_xlfn.XLOOKUP($A358,CSV!$A:$A,CSV!N:N,""),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_xlpm.CSVVal,_xlfn.XLOOKUP($A358,CSV!$A:$A,CSV!Q:Q,""),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CSV!AE:AE,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_xlpm.CSVVal,_xlfn.XLOOKUP($A358,CSV!$A:$A,CSV!AG:AG,""),
_xlpm.MacVal,_xlfn.XLOOKUP($A358,Output_Mac!$A:$A,Output_Mac!T:T,""),
_xlpm.MyAuditVal,_xlfn.XLOOKUP($A358,My_Audit!$A:$A,My_Audit!O:O,""),
_xlfn.IFS(_xlpm.MyAuditVal&lt;&gt;"",UPPER(_xlpm.MyAuditVal),_xlpm.MacVal&lt;&gt;"",_xlpm.MacVal,_xlpm.CSVVal&lt;&gt;"",_xlpm.CSVVal
)),"")</f>
        <v/>
      </c>
      <c r="O358" s="46" t="str">
        <f>_xlfn.XLOOKUP(C358,My_Audit!B:B,My_Audit!P:P,"")&amp;""</f>
        <v/>
      </c>
      <c r="P358" s="45"/>
      <c r="Q358" s="46" t="str">
        <f>IF(LEFT(N358,4)="Pass","Nist SP 800-88",My_Audit!R358)&amp;""</f>
        <v/>
      </c>
      <c r="R358" s="45"/>
      <c r="S358" s="45"/>
      <c r="T358" s="46" t="str">
        <f>_xlfn.XLOOKUP(E358,Models!I:I,Models!J:J,"")</f>
        <v/>
      </c>
      <c r="U358" s="45"/>
      <c r="V358" s="45"/>
      <c r="W358" s="38" t="str">
        <f>_xlfn.LET(
    _xlpm.MacVal, _xlfn.XLOOKUP($A358, Output_Mac!$A:$A, Output_Mac!AA:AA, ""),
    _xlpm.MyAuditVal, _xlfn.XLOOKUP($A358, My_Audit!$A:$A, My_Audit!L:L, ""),
    _xlfn.TEXTJOIN(", ", TRUE, _xlpm.MyAuditVal, _xlpm.MacVal)
)</f>
        <v/>
      </c>
    </row>
    <row r="359" spans="1:23">
      <c r="A359" s="45" t="str">
        <f>_xlfn.TEXTJOIN("",TRUE,Input!$B$2,ROW(My_Audit!A358))</f>
        <v>CC358</v>
      </c>
      <c r="B359" s="45" t="str">
        <f>_xlfn.TEXTJOIN("-",TRUE,"ITD",Input!$A$2,A359)</f>
        <v>ITD-XXX-CC358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 cm="1">
        <f t="array" ref="D359">IFERROR(_xlfn.LET(
_xlpm.CSVVal,_xlfn.XLOOKUP($A359,CSV!$A:$A,CSV!C:C,""),
_xlpm.MacVal,_xlfn.XLOOKUP($A359,Output_Mac!$A:$A,Output_Mac!D:D,""),
_xlpm.MyAuditVal,_xlfn.XLOOKUP($A359,My_Audit!$A:$A,My_Audit!C:C,""),
_xlfn.IFS(_xlpm.MyAuditVal&lt;&gt;"",UPPER(_xlpm.MyAuditVal),_xlpm.MacVal&lt;&gt;"",_xlpm.MacVal,_xlpm.CSVVal&lt;&gt;"",_xlpm.CSVVal
)),"")</f>
        <v/>
      </c>
      <c r="E359" s="46" t="str" cm="1">
        <f t="array" ref="E359">IFERROR(_xlfn.LET(
_xlpm.CSVVal,_xlfn.XLOOKUP($A359,CSV!$A:$A,CSV!E:E,""),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_xlpm.CSVVal,_xlfn.XLOOKUP($A359,CSV!$A:$A,CSV!G:G,""),
_xlpm.MacVal,_xlfn.XLOOKUP($A359,Output_Mac!$A:$A,Output_Mac!G:G,""),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_xlfn.XLOOKUP(A359,Output_Mac!A:A,Output_Mac!H:H,"")</f>
        <v/>
      </c>
      <c r="I359" s="45" t="str" cm="1">
        <f t="array" ref="I359">IFERROR(_xlfn.LET(
_xlpm.CSVVal,_xlfn.XLOOKUP($A359,CSV!$A:$A,CSV!H:H,""),
_xlpm.MacVal,_xlfn.XLOOKUP($A359,Output_Mac!$A:$A,Output_Mac!I:I,""),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_xlpm.CSVVal,_xlfn.XLOOKUP($A359,CSV!$A:$A,CSV!J:J,""),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46" t="str" cm="1">
        <f t="array" ref="K359">IFERROR(_xlfn.LET(
_xlpm.CSVVal,_xlfn.XLOOKUP($A359,CSV!$A:$A,CSV!N:N,""),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_xlpm.CSVVal,_xlfn.XLOOKUP($A359,CSV!$A:$A,CSV!Q:Q,""),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CSV!AE:AE,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_xlpm.CSVVal,_xlfn.XLOOKUP($A359,CSV!$A:$A,CSV!AG:AG,""),
_xlpm.MacVal,_xlfn.XLOOKUP($A359,Output_Mac!$A:$A,Output_Mac!T:T,""),
_xlpm.MyAuditVal,_xlfn.XLOOKUP($A359,My_Audit!$A:$A,My_Audit!O:O,""),
_xlfn.IFS(_xlpm.MyAuditVal&lt;&gt;"",UPPER(_xlpm.MyAuditVal),_xlpm.MacVal&lt;&gt;"",_xlpm.MacVal,_xlpm.CSVVal&lt;&gt;"",_xlpm.CSVVal
)),"")</f>
        <v/>
      </c>
      <c r="O359" s="46" t="str">
        <f>_xlfn.XLOOKUP(C359,My_Audit!B:B,My_Audit!P:P,"")&amp;""</f>
        <v/>
      </c>
      <c r="P359" s="45"/>
      <c r="Q359" s="46" t="str">
        <f>IF(LEFT(N359,4)="Pass","Nist SP 800-88",My_Audit!R359)&amp;""</f>
        <v/>
      </c>
      <c r="R359" s="45"/>
      <c r="S359" s="45"/>
      <c r="T359" s="46" t="str">
        <f>_xlfn.XLOOKUP(E359,Models!I:I,Models!J:J,"")</f>
        <v/>
      </c>
      <c r="U359" s="45"/>
      <c r="V359" s="45"/>
      <c r="W359" s="38" t="str">
        <f>_xlfn.LET(
    _xlpm.MacVal, _xlfn.XLOOKUP($A359, Output_Mac!$A:$A, Output_Mac!AA:AA, ""),
    _xlpm.MyAuditVal, _xlfn.XLOOKUP($A359, My_Audit!$A:$A, My_Audit!L:L, ""),
    _xlfn.TEXTJOIN(", ", TRUE, _xlpm.MyAuditVal, _xlpm.MacVal)
)</f>
        <v/>
      </c>
    </row>
    <row r="360" spans="1:23">
      <c r="A360" s="45" t="str">
        <f>_xlfn.TEXTJOIN("",TRUE,Input!$B$2,ROW(My_Audit!A359))</f>
        <v>CC359</v>
      </c>
      <c r="B360" s="45" t="str">
        <f>_xlfn.TEXTJOIN("-",TRUE,"ITD",Input!$A$2,A360)</f>
        <v>ITD-XXX-CC359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 cm="1">
        <f t="array" ref="D360">IFERROR(_xlfn.LET(
_xlpm.CSVVal,_xlfn.XLOOKUP($A360,CSV!$A:$A,CSV!C:C,""),
_xlpm.MacVal,_xlfn.XLOOKUP($A360,Output_Mac!$A:$A,Output_Mac!D:D,""),
_xlpm.MyAuditVal,_xlfn.XLOOKUP($A360,My_Audit!$A:$A,My_Audit!C:C,""),
_xlfn.IFS(_xlpm.MyAuditVal&lt;&gt;"",UPPER(_xlpm.MyAuditVal),_xlpm.MacVal&lt;&gt;"",_xlpm.MacVal,_xlpm.CSVVal&lt;&gt;"",_xlpm.CSVVal
)),"")</f>
        <v/>
      </c>
      <c r="E360" s="46" t="str" cm="1">
        <f t="array" ref="E360">IFERROR(_xlfn.LET(
_xlpm.CSVVal,_xlfn.XLOOKUP($A360,CSV!$A:$A,CSV!E:E,""),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_xlpm.CSVVal,_xlfn.XLOOKUP($A360,CSV!$A:$A,CSV!G:G,""),
_xlpm.MacVal,_xlfn.XLOOKUP($A360,Output_Mac!$A:$A,Output_Mac!G:G,""),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_xlfn.XLOOKUP(A360,Output_Mac!A:A,Output_Mac!H:H,"")</f>
        <v/>
      </c>
      <c r="I360" s="45" t="str" cm="1">
        <f t="array" ref="I360">IFERROR(_xlfn.LET(
_xlpm.CSVVal,_xlfn.XLOOKUP($A360,CSV!$A:$A,CSV!H:H,""),
_xlpm.MacVal,_xlfn.XLOOKUP($A360,Output_Mac!$A:$A,Output_Mac!I:I,""),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_xlpm.CSVVal,_xlfn.XLOOKUP($A360,CSV!$A:$A,CSV!J:J,""),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46" t="str" cm="1">
        <f t="array" ref="K360">IFERROR(_xlfn.LET(
_xlpm.CSVVal,_xlfn.XLOOKUP($A360,CSV!$A:$A,CSV!N:N,""),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_xlpm.CSVVal,_xlfn.XLOOKUP($A360,CSV!$A:$A,CSV!Q:Q,""),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CSV!AE:AE,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_xlpm.CSVVal,_xlfn.XLOOKUP($A360,CSV!$A:$A,CSV!AG:AG,""),
_xlpm.MacVal,_xlfn.XLOOKUP($A360,Output_Mac!$A:$A,Output_Mac!T:T,""),
_xlpm.MyAuditVal,_xlfn.XLOOKUP($A360,My_Audit!$A:$A,My_Audit!O:O,""),
_xlfn.IFS(_xlpm.MyAuditVal&lt;&gt;"",UPPER(_xlpm.MyAuditVal),_xlpm.MacVal&lt;&gt;"",_xlpm.MacVal,_xlpm.CSVVal&lt;&gt;"",_xlpm.CSVVal
)),"")</f>
        <v/>
      </c>
      <c r="O360" s="46" t="str">
        <f>_xlfn.XLOOKUP(C360,My_Audit!B:B,My_Audit!P:P,"")&amp;""</f>
        <v/>
      </c>
      <c r="P360" s="45"/>
      <c r="Q360" s="46" t="str">
        <f>IF(LEFT(N360,4)="Pass","Nist SP 800-88",My_Audit!R360)&amp;""</f>
        <v/>
      </c>
      <c r="R360" s="45"/>
      <c r="S360" s="45"/>
      <c r="T360" s="46" t="str">
        <f>_xlfn.XLOOKUP(E360,Models!I:I,Models!J:J,"")</f>
        <v/>
      </c>
      <c r="U360" s="45"/>
      <c r="V360" s="45"/>
      <c r="W360" s="38" t="str">
        <f>_xlfn.LET(
    _xlpm.MacVal, _xlfn.XLOOKUP($A360, Output_Mac!$A:$A, Output_Mac!AA:AA, ""),
    _xlpm.MyAuditVal, _xlfn.XLOOKUP($A360, My_Audit!$A:$A, My_Audit!L:L, ""),
    _xlfn.TEXTJOIN(", ", TRUE, _xlpm.MyAuditVal, _xlpm.MacVal)
)</f>
        <v/>
      </c>
    </row>
    <row r="361" spans="1:23">
      <c r="A361" s="45" t="str">
        <f>_xlfn.TEXTJOIN("",TRUE,Input!$B$2,ROW(My_Audit!A360))</f>
        <v>CC360</v>
      </c>
      <c r="B361" s="45" t="str">
        <f>_xlfn.TEXTJOIN("-",TRUE,"ITD",Input!$A$2,A361)</f>
        <v>ITD-XXX-CC360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 cm="1">
        <f t="array" ref="D361">IFERROR(_xlfn.LET(
_xlpm.CSVVal,_xlfn.XLOOKUP($A361,CSV!$A:$A,CSV!C:C,""),
_xlpm.MacVal,_xlfn.XLOOKUP($A361,Output_Mac!$A:$A,Output_Mac!D:D,""),
_xlpm.MyAuditVal,_xlfn.XLOOKUP($A361,My_Audit!$A:$A,My_Audit!C:C,""),
_xlfn.IFS(_xlpm.MyAuditVal&lt;&gt;"",UPPER(_xlpm.MyAuditVal),_xlpm.MacVal&lt;&gt;"",_xlpm.MacVal,_xlpm.CSVVal&lt;&gt;"",_xlpm.CSVVal
)),"")</f>
        <v/>
      </c>
      <c r="E361" s="46" t="str" cm="1">
        <f t="array" ref="E361">IFERROR(_xlfn.LET(
_xlpm.CSVVal,_xlfn.XLOOKUP($A361,CSV!$A:$A,CSV!E:E,""),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_xlpm.CSVVal,_xlfn.XLOOKUP($A361,CSV!$A:$A,CSV!G:G,""),
_xlpm.MacVal,_xlfn.XLOOKUP($A361,Output_Mac!$A:$A,Output_Mac!G:G,""),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_xlfn.XLOOKUP(A361,Output_Mac!A:A,Output_Mac!H:H,"")</f>
        <v/>
      </c>
      <c r="I361" s="45" t="str" cm="1">
        <f t="array" ref="I361">IFERROR(_xlfn.LET(
_xlpm.CSVVal,_xlfn.XLOOKUP($A361,CSV!$A:$A,CSV!H:H,""),
_xlpm.MacVal,_xlfn.XLOOKUP($A361,Output_Mac!$A:$A,Output_Mac!I:I,""),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_xlpm.CSVVal,_xlfn.XLOOKUP($A361,CSV!$A:$A,CSV!J:J,""),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46" t="str" cm="1">
        <f t="array" ref="K361">IFERROR(_xlfn.LET(
_xlpm.CSVVal,_xlfn.XLOOKUP($A361,CSV!$A:$A,CSV!N:N,""),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_xlpm.CSVVal,_xlfn.XLOOKUP($A361,CSV!$A:$A,CSV!Q:Q,""),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CSV!AE:AE,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_xlpm.CSVVal,_xlfn.XLOOKUP($A361,CSV!$A:$A,CSV!AG:AG,""),
_xlpm.MacVal,_xlfn.XLOOKUP($A361,Output_Mac!$A:$A,Output_Mac!T:T,""),
_xlpm.MyAuditVal,_xlfn.XLOOKUP($A361,My_Audit!$A:$A,My_Audit!O:O,""),
_xlfn.IFS(_xlpm.MyAuditVal&lt;&gt;"",UPPER(_xlpm.MyAuditVal),_xlpm.MacVal&lt;&gt;"",_xlpm.MacVal,_xlpm.CSVVal&lt;&gt;"",_xlpm.CSVVal
)),"")</f>
        <v/>
      </c>
      <c r="O361" s="46" t="str">
        <f>_xlfn.XLOOKUP(C361,My_Audit!B:B,My_Audit!P:P,"")&amp;""</f>
        <v/>
      </c>
      <c r="P361" s="45"/>
      <c r="Q361" s="46" t="str">
        <f>IF(LEFT(N361,4)="Pass","Nist SP 800-88",My_Audit!R361)&amp;""</f>
        <v/>
      </c>
      <c r="R361" s="45"/>
      <c r="S361" s="45"/>
      <c r="T361" s="46" t="str">
        <f>_xlfn.XLOOKUP(E361,Models!I:I,Models!J:J,"")</f>
        <v/>
      </c>
      <c r="U361" s="45"/>
      <c r="V361" s="45"/>
      <c r="W361" s="38" t="str">
        <f>_xlfn.LET(
    _xlpm.MacVal, _xlfn.XLOOKUP($A361, Output_Mac!$A:$A, Output_Mac!AA:AA, ""),
    _xlpm.MyAuditVal, _xlfn.XLOOKUP($A361, My_Audit!$A:$A, My_Audit!L:L, ""),
    _xlfn.TEXTJOIN(", ", TRUE, _xlpm.MyAuditVal, _xlpm.MacVal)
)</f>
        <v/>
      </c>
    </row>
    <row r="362" spans="1:23">
      <c r="A362" s="45" t="str">
        <f>_xlfn.TEXTJOIN("",TRUE,Input!$B$2,ROW(My_Audit!A361))</f>
        <v>CC361</v>
      </c>
      <c r="B362" s="45" t="str">
        <f>_xlfn.TEXTJOIN("-",TRUE,"ITD",Input!$A$2,A362)</f>
        <v>ITD-XXX-CC361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 cm="1">
        <f t="array" ref="D362">IFERROR(_xlfn.LET(
_xlpm.CSVVal,_xlfn.XLOOKUP($A362,CSV!$A:$A,CSV!C:C,""),
_xlpm.MacVal,_xlfn.XLOOKUP($A362,Output_Mac!$A:$A,Output_Mac!D:D,""),
_xlpm.MyAuditVal,_xlfn.XLOOKUP($A362,My_Audit!$A:$A,My_Audit!C:C,""),
_xlfn.IFS(_xlpm.MyAuditVal&lt;&gt;"",UPPER(_xlpm.MyAuditVal),_xlpm.MacVal&lt;&gt;"",_xlpm.MacVal,_xlpm.CSVVal&lt;&gt;"",_xlpm.CSVVal
)),"")</f>
        <v/>
      </c>
      <c r="E362" s="46" t="str" cm="1">
        <f t="array" ref="E362">IFERROR(_xlfn.LET(
_xlpm.CSVVal,_xlfn.XLOOKUP($A362,CSV!$A:$A,CSV!E:E,""),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_xlpm.CSVVal,_xlfn.XLOOKUP($A362,CSV!$A:$A,CSV!G:G,""),
_xlpm.MacVal,_xlfn.XLOOKUP($A362,Output_Mac!$A:$A,Output_Mac!G:G,""),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_xlfn.XLOOKUP(A362,Output_Mac!A:A,Output_Mac!H:H,"")</f>
        <v/>
      </c>
      <c r="I362" s="45" t="str" cm="1">
        <f t="array" ref="I362">IFERROR(_xlfn.LET(
_xlpm.CSVVal,_xlfn.XLOOKUP($A362,CSV!$A:$A,CSV!H:H,""),
_xlpm.MacVal,_xlfn.XLOOKUP($A362,Output_Mac!$A:$A,Output_Mac!I:I,""),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_xlpm.CSVVal,_xlfn.XLOOKUP($A362,CSV!$A:$A,CSV!J:J,""),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46" t="str" cm="1">
        <f t="array" ref="K362">IFERROR(_xlfn.LET(
_xlpm.CSVVal,_xlfn.XLOOKUP($A362,CSV!$A:$A,CSV!N:N,""),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_xlpm.CSVVal,_xlfn.XLOOKUP($A362,CSV!$A:$A,CSV!Q:Q,""),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CSV!AE:AE,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_xlpm.CSVVal,_xlfn.XLOOKUP($A362,CSV!$A:$A,CSV!AG:AG,""),
_xlpm.MacVal,_xlfn.XLOOKUP($A362,Output_Mac!$A:$A,Output_Mac!T:T,""),
_xlpm.MyAuditVal,_xlfn.XLOOKUP($A362,My_Audit!$A:$A,My_Audit!O:O,""),
_xlfn.IFS(_xlpm.MyAuditVal&lt;&gt;"",UPPER(_xlpm.MyAuditVal),_xlpm.MacVal&lt;&gt;"",_xlpm.MacVal,_xlpm.CSVVal&lt;&gt;"",_xlpm.CSVVal
)),"")</f>
        <v/>
      </c>
      <c r="O362" s="46" t="str">
        <f>_xlfn.XLOOKUP(C362,My_Audit!B:B,My_Audit!P:P,"")&amp;""</f>
        <v/>
      </c>
      <c r="P362" s="45"/>
      <c r="Q362" s="46" t="str">
        <f>IF(LEFT(N362,4)="Pass","Nist SP 800-88",My_Audit!R362)&amp;""</f>
        <v/>
      </c>
      <c r="R362" s="45"/>
      <c r="S362" s="45"/>
      <c r="T362" s="46" t="str">
        <f>_xlfn.XLOOKUP(E362,Models!I:I,Models!J:J,"")</f>
        <v/>
      </c>
      <c r="U362" s="45"/>
      <c r="V362" s="45"/>
      <c r="W362" s="38" t="str">
        <f>_xlfn.LET(
    _xlpm.MacVal, _xlfn.XLOOKUP($A362, Output_Mac!$A:$A, Output_Mac!AA:AA, ""),
    _xlpm.MyAuditVal, _xlfn.XLOOKUP($A362, My_Audit!$A:$A, My_Audit!L:L, ""),
    _xlfn.TEXTJOIN(", ", TRUE, _xlpm.MyAuditVal, _xlpm.MacVal)
)</f>
        <v/>
      </c>
    </row>
    <row r="363" spans="1:23">
      <c r="A363" s="45" t="str">
        <f>_xlfn.TEXTJOIN("",TRUE,Input!$B$2,ROW(My_Audit!A362))</f>
        <v>CC362</v>
      </c>
      <c r="B363" s="45" t="str">
        <f>_xlfn.TEXTJOIN("-",TRUE,"ITD",Input!$A$2,A363)</f>
        <v>ITD-XXX-CC362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 cm="1">
        <f t="array" ref="D363">IFERROR(_xlfn.LET(
_xlpm.CSVVal,_xlfn.XLOOKUP($A363,CSV!$A:$A,CSV!C:C,""),
_xlpm.MacVal,_xlfn.XLOOKUP($A363,Output_Mac!$A:$A,Output_Mac!D:D,""),
_xlpm.MyAuditVal,_xlfn.XLOOKUP($A363,My_Audit!$A:$A,My_Audit!C:C,""),
_xlfn.IFS(_xlpm.MyAuditVal&lt;&gt;"",UPPER(_xlpm.MyAuditVal),_xlpm.MacVal&lt;&gt;"",_xlpm.MacVal,_xlpm.CSVVal&lt;&gt;"",_xlpm.CSVVal
)),"")</f>
        <v/>
      </c>
      <c r="E363" s="46" t="str" cm="1">
        <f t="array" ref="E363">IFERROR(_xlfn.LET(
_xlpm.CSVVal,_xlfn.XLOOKUP($A363,CSV!$A:$A,CSV!E:E,""),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_xlpm.CSVVal,_xlfn.XLOOKUP($A363,CSV!$A:$A,CSV!G:G,""),
_xlpm.MacVal,_xlfn.XLOOKUP($A363,Output_Mac!$A:$A,Output_Mac!G:G,""),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_xlfn.XLOOKUP(A363,Output_Mac!A:A,Output_Mac!H:H,"")</f>
        <v/>
      </c>
      <c r="I363" s="45" t="str" cm="1">
        <f t="array" ref="I363">IFERROR(_xlfn.LET(
_xlpm.CSVVal,_xlfn.XLOOKUP($A363,CSV!$A:$A,CSV!H:H,""),
_xlpm.MacVal,_xlfn.XLOOKUP($A363,Output_Mac!$A:$A,Output_Mac!I:I,""),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_xlpm.CSVVal,_xlfn.XLOOKUP($A363,CSV!$A:$A,CSV!J:J,""),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46" t="str" cm="1">
        <f t="array" ref="K363">IFERROR(_xlfn.LET(
_xlpm.CSVVal,_xlfn.XLOOKUP($A363,CSV!$A:$A,CSV!N:N,""),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_xlpm.CSVVal,_xlfn.XLOOKUP($A363,CSV!$A:$A,CSV!Q:Q,""),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CSV!AE:AE,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_xlpm.CSVVal,_xlfn.XLOOKUP($A363,CSV!$A:$A,CSV!AG:AG,""),
_xlpm.MacVal,_xlfn.XLOOKUP($A363,Output_Mac!$A:$A,Output_Mac!T:T,""),
_xlpm.MyAuditVal,_xlfn.XLOOKUP($A363,My_Audit!$A:$A,My_Audit!O:O,""),
_xlfn.IFS(_xlpm.MyAuditVal&lt;&gt;"",UPPER(_xlpm.MyAuditVal),_xlpm.MacVal&lt;&gt;"",_xlpm.MacVal,_xlpm.CSVVal&lt;&gt;"",_xlpm.CSVVal
)),"")</f>
        <v/>
      </c>
      <c r="O363" s="46" t="str">
        <f>_xlfn.XLOOKUP(C363,My_Audit!B:B,My_Audit!P:P,"")&amp;""</f>
        <v/>
      </c>
      <c r="P363" s="45"/>
      <c r="Q363" s="46" t="str">
        <f>IF(LEFT(N363,4)="Pass","Nist SP 800-88",My_Audit!R363)&amp;""</f>
        <v/>
      </c>
      <c r="R363" s="45"/>
      <c r="S363" s="45"/>
      <c r="T363" s="46" t="str">
        <f>_xlfn.XLOOKUP(E363,Models!I:I,Models!J:J,"")</f>
        <v/>
      </c>
      <c r="U363" s="45"/>
      <c r="V363" s="45"/>
      <c r="W363" s="38" t="str">
        <f>_xlfn.LET(
    _xlpm.MacVal, _xlfn.XLOOKUP($A363, Output_Mac!$A:$A, Output_Mac!AA:AA, ""),
    _xlpm.MyAuditVal, _xlfn.XLOOKUP($A363, My_Audit!$A:$A, My_Audit!L:L, ""),
    _xlfn.TEXTJOIN(", ", TRUE, _xlpm.MyAuditVal, _xlpm.MacVal)
)</f>
        <v/>
      </c>
    </row>
    <row r="364" spans="1:23">
      <c r="A364" s="45" t="str">
        <f>_xlfn.TEXTJOIN("",TRUE,Input!$B$2,ROW(My_Audit!A363))</f>
        <v>CC363</v>
      </c>
      <c r="B364" s="45" t="str">
        <f>_xlfn.TEXTJOIN("-",TRUE,"ITD",Input!$A$2,A364)</f>
        <v>ITD-XXX-CC363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 cm="1">
        <f t="array" ref="D364">IFERROR(_xlfn.LET(
_xlpm.CSVVal,_xlfn.XLOOKUP($A364,CSV!$A:$A,CSV!C:C,""),
_xlpm.MacVal,_xlfn.XLOOKUP($A364,Output_Mac!$A:$A,Output_Mac!D:D,""),
_xlpm.MyAuditVal,_xlfn.XLOOKUP($A364,My_Audit!$A:$A,My_Audit!C:C,""),
_xlfn.IFS(_xlpm.MyAuditVal&lt;&gt;"",UPPER(_xlpm.MyAuditVal),_xlpm.MacVal&lt;&gt;"",_xlpm.MacVal,_xlpm.CSVVal&lt;&gt;"",_xlpm.CSVVal
)),"")</f>
        <v/>
      </c>
      <c r="E364" s="46" t="str" cm="1">
        <f t="array" ref="E364">IFERROR(_xlfn.LET(
_xlpm.CSVVal,_xlfn.XLOOKUP($A364,CSV!$A:$A,CSV!E:E,""),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_xlpm.CSVVal,_xlfn.XLOOKUP($A364,CSV!$A:$A,CSV!G:G,""),
_xlpm.MacVal,_xlfn.XLOOKUP($A364,Output_Mac!$A:$A,Output_Mac!G:G,""),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_xlfn.XLOOKUP(A364,Output_Mac!A:A,Output_Mac!H:H,"")</f>
        <v/>
      </c>
      <c r="I364" s="45" t="str" cm="1">
        <f t="array" ref="I364">IFERROR(_xlfn.LET(
_xlpm.CSVVal,_xlfn.XLOOKUP($A364,CSV!$A:$A,CSV!H:H,""),
_xlpm.MacVal,_xlfn.XLOOKUP($A364,Output_Mac!$A:$A,Output_Mac!I:I,""),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_xlpm.CSVVal,_xlfn.XLOOKUP($A364,CSV!$A:$A,CSV!J:J,""),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46" t="str" cm="1">
        <f t="array" ref="K364">IFERROR(_xlfn.LET(
_xlpm.CSVVal,_xlfn.XLOOKUP($A364,CSV!$A:$A,CSV!N:N,""),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_xlpm.CSVVal,_xlfn.XLOOKUP($A364,CSV!$A:$A,CSV!Q:Q,""),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CSV!AE:AE,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_xlpm.CSVVal,_xlfn.XLOOKUP($A364,CSV!$A:$A,CSV!AG:AG,""),
_xlpm.MacVal,_xlfn.XLOOKUP($A364,Output_Mac!$A:$A,Output_Mac!T:T,""),
_xlpm.MyAuditVal,_xlfn.XLOOKUP($A364,My_Audit!$A:$A,My_Audit!O:O,""),
_xlfn.IFS(_xlpm.MyAuditVal&lt;&gt;"",UPPER(_xlpm.MyAuditVal),_xlpm.MacVal&lt;&gt;"",_xlpm.MacVal,_xlpm.CSVVal&lt;&gt;"",_xlpm.CSVVal
)),"")</f>
        <v/>
      </c>
      <c r="O364" s="46" t="str">
        <f>_xlfn.XLOOKUP(C364,My_Audit!B:B,My_Audit!P:P,"")&amp;""</f>
        <v/>
      </c>
      <c r="P364" s="45"/>
      <c r="Q364" s="46" t="str">
        <f>IF(LEFT(N364,4)="Pass","Nist SP 800-88",My_Audit!R364)&amp;""</f>
        <v/>
      </c>
      <c r="R364" s="45"/>
      <c r="S364" s="45"/>
      <c r="T364" s="46" t="str">
        <f>_xlfn.XLOOKUP(E364,Models!I:I,Models!J:J,"")</f>
        <v/>
      </c>
      <c r="U364" s="45"/>
      <c r="V364" s="45"/>
      <c r="W364" s="38" t="str">
        <f>_xlfn.LET(
    _xlpm.MacVal, _xlfn.XLOOKUP($A364, Output_Mac!$A:$A, Output_Mac!AA:AA, ""),
    _xlpm.MyAuditVal, _xlfn.XLOOKUP($A364, My_Audit!$A:$A, My_Audit!L:L, ""),
    _xlfn.TEXTJOIN(", ", TRUE, _xlpm.MyAuditVal, _xlpm.MacVal)
)</f>
        <v/>
      </c>
    </row>
    <row r="365" spans="1:23">
      <c r="A365" s="45" t="str">
        <f>_xlfn.TEXTJOIN("",TRUE,Input!$B$2,ROW(My_Audit!A364))</f>
        <v>CC364</v>
      </c>
      <c r="B365" s="45" t="str">
        <f>_xlfn.TEXTJOIN("-",TRUE,"ITD",Input!$A$2,A365)</f>
        <v>ITD-XXX-CC364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 cm="1">
        <f t="array" ref="D365">IFERROR(_xlfn.LET(
_xlpm.CSVVal,_xlfn.XLOOKUP($A365,CSV!$A:$A,CSV!C:C,""),
_xlpm.MacVal,_xlfn.XLOOKUP($A365,Output_Mac!$A:$A,Output_Mac!D:D,""),
_xlpm.MyAuditVal,_xlfn.XLOOKUP($A365,My_Audit!$A:$A,My_Audit!C:C,""),
_xlfn.IFS(_xlpm.MyAuditVal&lt;&gt;"",UPPER(_xlpm.MyAuditVal),_xlpm.MacVal&lt;&gt;"",_xlpm.MacVal,_xlpm.CSVVal&lt;&gt;"",_xlpm.CSVVal
)),"")</f>
        <v/>
      </c>
      <c r="E365" s="46" t="str" cm="1">
        <f t="array" ref="E365">IFERROR(_xlfn.LET(
_xlpm.CSVVal,_xlfn.XLOOKUP($A365,CSV!$A:$A,CSV!E:E,""),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_xlpm.CSVVal,_xlfn.XLOOKUP($A365,CSV!$A:$A,CSV!G:G,""),
_xlpm.MacVal,_xlfn.XLOOKUP($A365,Output_Mac!$A:$A,Output_Mac!G:G,""),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_xlfn.XLOOKUP(A365,Output_Mac!A:A,Output_Mac!H:H,"")</f>
        <v/>
      </c>
      <c r="I365" s="45" t="str" cm="1">
        <f t="array" ref="I365">IFERROR(_xlfn.LET(
_xlpm.CSVVal,_xlfn.XLOOKUP($A365,CSV!$A:$A,CSV!H:H,""),
_xlpm.MacVal,_xlfn.XLOOKUP($A365,Output_Mac!$A:$A,Output_Mac!I:I,""),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_xlpm.CSVVal,_xlfn.XLOOKUP($A365,CSV!$A:$A,CSV!J:J,""),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46" t="str" cm="1">
        <f t="array" ref="K365">IFERROR(_xlfn.LET(
_xlpm.CSVVal,_xlfn.XLOOKUP($A365,CSV!$A:$A,CSV!N:N,""),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_xlpm.CSVVal,_xlfn.XLOOKUP($A365,CSV!$A:$A,CSV!Q:Q,""),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CSV!AE:AE,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_xlpm.CSVVal,_xlfn.XLOOKUP($A365,CSV!$A:$A,CSV!AG:AG,""),
_xlpm.MacVal,_xlfn.XLOOKUP($A365,Output_Mac!$A:$A,Output_Mac!T:T,""),
_xlpm.MyAuditVal,_xlfn.XLOOKUP($A365,My_Audit!$A:$A,My_Audit!O:O,""),
_xlfn.IFS(_xlpm.MyAuditVal&lt;&gt;"",UPPER(_xlpm.MyAuditVal),_xlpm.MacVal&lt;&gt;"",_xlpm.MacVal,_xlpm.CSVVal&lt;&gt;"",_xlpm.CSVVal
)),"")</f>
        <v/>
      </c>
      <c r="O365" s="46" t="str">
        <f>_xlfn.XLOOKUP(C365,My_Audit!B:B,My_Audit!P:P,"")&amp;""</f>
        <v/>
      </c>
      <c r="P365" s="45"/>
      <c r="Q365" s="46" t="str">
        <f>IF(LEFT(N365,4)="Pass","Nist SP 800-88",My_Audit!R365)&amp;""</f>
        <v/>
      </c>
      <c r="R365" s="45"/>
      <c r="S365" s="45"/>
      <c r="T365" s="46" t="str">
        <f>_xlfn.XLOOKUP(E365,Models!I:I,Models!J:J,"")</f>
        <v/>
      </c>
      <c r="U365" s="45"/>
      <c r="V365" s="45"/>
      <c r="W365" s="38" t="str">
        <f>_xlfn.LET(
    _xlpm.MacVal, _xlfn.XLOOKUP($A365, Output_Mac!$A:$A, Output_Mac!AA:AA, ""),
    _xlpm.MyAuditVal, _xlfn.XLOOKUP($A365, My_Audit!$A:$A, My_Audit!L:L, ""),
    _xlfn.TEXTJOIN(", ", TRUE, _xlpm.MyAuditVal, _xlpm.MacVal)
)</f>
        <v/>
      </c>
    </row>
    <row r="366" spans="1:23">
      <c r="A366" s="45" t="str">
        <f>_xlfn.TEXTJOIN("",TRUE,Input!$B$2,ROW(My_Audit!A365))</f>
        <v>CC365</v>
      </c>
      <c r="B366" s="45" t="str">
        <f>_xlfn.TEXTJOIN("-",TRUE,"ITD",Input!$A$2,A366)</f>
        <v>ITD-XXX-CC365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 cm="1">
        <f t="array" ref="D366">IFERROR(_xlfn.LET(
_xlpm.CSVVal,_xlfn.XLOOKUP($A366,CSV!$A:$A,CSV!C:C,""),
_xlpm.MacVal,_xlfn.XLOOKUP($A366,Output_Mac!$A:$A,Output_Mac!D:D,""),
_xlpm.MyAuditVal,_xlfn.XLOOKUP($A366,My_Audit!$A:$A,My_Audit!C:C,""),
_xlfn.IFS(_xlpm.MyAuditVal&lt;&gt;"",UPPER(_xlpm.MyAuditVal),_xlpm.MacVal&lt;&gt;"",_xlpm.MacVal,_xlpm.CSVVal&lt;&gt;"",_xlpm.CSVVal
)),"")</f>
        <v/>
      </c>
      <c r="E366" s="46" t="str" cm="1">
        <f t="array" ref="E366">IFERROR(_xlfn.LET(
_xlpm.CSVVal,_xlfn.XLOOKUP($A366,CSV!$A:$A,CSV!E:E,""),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_xlpm.CSVVal,_xlfn.XLOOKUP($A366,CSV!$A:$A,CSV!G:G,""),
_xlpm.MacVal,_xlfn.XLOOKUP($A366,Output_Mac!$A:$A,Output_Mac!G:G,""),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_xlfn.XLOOKUP(A366,Output_Mac!A:A,Output_Mac!H:H,"")</f>
        <v/>
      </c>
      <c r="I366" s="45" t="str" cm="1">
        <f t="array" ref="I366">IFERROR(_xlfn.LET(
_xlpm.CSVVal,_xlfn.XLOOKUP($A366,CSV!$A:$A,CSV!H:H,""),
_xlpm.MacVal,_xlfn.XLOOKUP($A366,Output_Mac!$A:$A,Output_Mac!I:I,""),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_xlpm.CSVVal,_xlfn.XLOOKUP($A366,CSV!$A:$A,CSV!J:J,""),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46" t="str" cm="1">
        <f t="array" ref="K366">IFERROR(_xlfn.LET(
_xlpm.CSVVal,_xlfn.XLOOKUP($A366,CSV!$A:$A,CSV!N:N,""),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_xlpm.CSVVal,_xlfn.XLOOKUP($A366,CSV!$A:$A,CSV!Q:Q,""),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CSV!AE:AE,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_xlpm.CSVVal,_xlfn.XLOOKUP($A366,CSV!$A:$A,CSV!AG:AG,""),
_xlpm.MacVal,_xlfn.XLOOKUP($A366,Output_Mac!$A:$A,Output_Mac!T:T,""),
_xlpm.MyAuditVal,_xlfn.XLOOKUP($A366,My_Audit!$A:$A,My_Audit!O:O,""),
_xlfn.IFS(_xlpm.MyAuditVal&lt;&gt;"",UPPER(_xlpm.MyAuditVal),_xlpm.MacVal&lt;&gt;"",_xlpm.MacVal,_xlpm.CSVVal&lt;&gt;"",_xlpm.CSVVal
)),"")</f>
        <v/>
      </c>
      <c r="O366" s="46" t="str">
        <f>_xlfn.XLOOKUP(C366,My_Audit!B:B,My_Audit!P:P,"")&amp;""</f>
        <v/>
      </c>
      <c r="P366" s="45"/>
      <c r="Q366" s="46" t="str">
        <f>IF(LEFT(N366,4)="Pass","Nist SP 800-88",My_Audit!R366)&amp;""</f>
        <v/>
      </c>
      <c r="R366" s="45"/>
      <c r="S366" s="45"/>
      <c r="T366" s="46" t="str">
        <f>_xlfn.XLOOKUP(E366,Models!I:I,Models!J:J,"")</f>
        <v/>
      </c>
      <c r="U366" s="45"/>
      <c r="V366" s="45"/>
      <c r="W366" s="38" t="str">
        <f>_xlfn.LET(
    _xlpm.MacVal, _xlfn.XLOOKUP($A366, Output_Mac!$A:$A, Output_Mac!AA:AA, ""),
    _xlpm.MyAuditVal, _xlfn.XLOOKUP($A366, My_Audit!$A:$A, My_Audit!L:L, ""),
    _xlfn.TEXTJOIN(", ", TRUE, _xlpm.MyAuditVal, _xlpm.MacVal)
)</f>
        <v/>
      </c>
    </row>
    <row r="367" spans="1:23">
      <c r="A367" s="45" t="str">
        <f>_xlfn.TEXTJOIN("",TRUE,Input!$B$2,ROW(My_Audit!A366))</f>
        <v>CC366</v>
      </c>
      <c r="B367" s="45" t="str">
        <f>_xlfn.TEXTJOIN("-",TRUE,"ITD",Input!$A$2,A367)</f>
        <v>ITD-XXX-CC366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 cm="1">
        <f t="array" ref="D367">IFERROR(_xlfn.LET(
_xlpm.CSVVal,_xlfn.XLOOKUP($A367,CSV!$A:$A,CSV!C:C,""),
_xlpm.MacVal,_xlfn.XLOOKUP($A367,Output_Mac!$A:$A,Output_Mac!D:D,""),
_xlpm.MyAuditVal,_xlfn.XLOOKUP($A367,My_Audit!$A:$A,My_Audit!C:C,""),
_xlfn.IFS(_xlpm.MyAuditVal&lt;&gt;"",UPPER(_xlpm.MyAuditVal),_xlpm.MacVal&lt;&gt;"",_xlpm.MacVal,_xlpm.CSVVal&lt;&gt;"",_xlpm.CSVVal
)),"")</f>
        <v/>
      </c>
      <c r="E367" s="46" t="str" cm="1">
        <f t="array" ref="E367">IFERROR(_xlfn.LET(
_xlpm.CSVVal,_xlfn.XLOOKUP($A367,CSV!$A:$A,CSV!E:E,""),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_xlpm.CSVVal,_xlfn.XLOOKUP($A367,CSV!$A:$A,CSV!G:G,""),
_xlpm.MacVal,_xlfn.XLOOKUP($A367,Output_Mac!$A:$A,Output_Mac!G:G,""),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_xlfn.XLOOKUP(A367,Output_Mac!A:A,Output_Mac!H:H,"")</f>
        <v/>
      </c>
      <c r="I367" s="45" t="str" cm="1">
        <f t="array" ref="I367">IFERROR(_xlfn.LET(
_xlpm.CSVVal,_xlfn.XLOOKUP($A367,CSV!$A:$A,CSV!H:H,""),
_xlpm.MacVal,_xlfn.XLOOKUP($A367,Output_Mac!$A:$A,Output_Mac!I:I,""),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_xlpm.CSVVal,_xlfn.XLOOKUP($A367,CSV!$A:$A,CSV!J:J,""),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46" t="str" cm="1">
        <f t="array" ref="K367">IFERROR(_xlfn.LET(
_xlpm.CSVVal,_xlfn.XLOOKUP($A367,CSV!$A:$A,CSV!N:N,""),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_xlpm.CSVVal,_xlfn.XLOOKUP($A367,CSV!$A:$A,CSV!Q:Q,""),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CSV!AE:AE,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_xlpm.CSVVal,_xlfn.XLOOKUP($A367,CSV!$A:$A,CSV!AG:AG,""),
_xlpm.MacVal,_xlfn.XLOOKUP($A367,Output_Mac!$A:$A,Output_Mac!T:T,""),
_xlpm.MyAuditVal,_xlfn.XLOOKUP($A367,My_Audit!$A:$A,My_Audit!O:O,""),
_xlfn.IFS(_xlpm.MyAuditVal&lt;&gt;"",UPPER(_xlpm.MyAuditVal),_xlpm.MacVal&lt;&gt;"",_xlpm.MacVal,_xlpm.CSVVal&lt;&gt;"",_xlpm.CSVVal
)),"")</f>
        <v/>
      </c>
      <c r="O367" s="46" t="str">
        <f>_xlfn.XLOOKUP(C367,My_Audit!B:B,My_Audit!P:P,"")&amp;""</f>
        <v/>
      </c>
      <c r="P367" s="45"/>
      <c r="Q367" s="46" t="str">
        <f>IF(LEFT(N367,4)="Pass","Nist SP 800-88",My_Audit!R367)&amp;""</f>
        <v/>
      </c>
      <c r="R367" s="45"/>
      <c r="S367" s="45"/>
      <c r="T367" s="46" t="str">
        <f>_xlfn.XLOOKUP(E367,Models!I:I,Models!J:J,"")</f>
        <v/>
      </c>
      <c r="U367" s="45"/>
      <c r="V367" s="45"/>
      <c r="W367" s="38" t="str">
        <f>_xlfn.LET(
    _xlpm.MacVal, _xlfn.XLOOKUP($A367, Output_Mac!$A:$A, Output_Mac!AA:AA, ""),
    _xlpm.MyAuditVal, _xlfn.XLOOKUP($A367, My_Audit!$A:$A, My_Audit!L:L, ""),
    _xlfn.TEXTJOIN(", ", TRUE, _xlpm.MyAuditVal, _xlpm.MacVal)
)</f>
        <v/>
      </c>
    </row>
    <row r="368" spans="1:23">
      <c r="A368" s="45" t="str">
        <f>_xlfn.TEXTJOIN("",TRUE,Input!$B$2,ROW(My_Audit!A367))</f>
        <v>CC367</v>
      </c>
      <c r="B368" s="45" t="str">
        <f>_xlfn.TEXTJOIN("-",TRUE,"ITD",Input!$A$2,A368)</f>
        <v>ITD-XXX-CC367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 cm="1">
        <f t="array" ref="D368">IFERROR(_xlfn.LET(
_xlpm.CSVVal,_xlfn.XLOOKUP($A368,CSV!$A:$A,CSV!C:C,""),
_xlpm.MacVal,_xlfn.XLOOKUP($A368,Output_Mac!$A:$A,Output_Mac!D:D,""),
_xlpm.MyAuditVal,_xlfn.XLOOKUP($A368,My_Audit!$A:$A,My_Audit!C:C,""),
_xlfn.IFS(_xlpm.MyAuditVal&lt;&gt;"",UPPER(_xlpm.MyAuditVal),_xlpm.MacVal&lt;&gt;"",_xlpm.MacVal,_xlpm.CSVVal&lt;&gt;"",_xlpm.CSVVal
)),"")</f>
        <v/>
      </c>
      <c r="E368" s="46" t="str" cm="1">
        <f t="array" ref="E368">IFERROR(_xlfn.LET(
_xlpm.CSVVal,_xlfn.XLOOKUP($A368,CSV!$A:$A,CSV!E:E,""),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_xlpm.CSVVal,_xlfn.XLOOKUP($A368,CSV!$A:$A,CSV!G:G,""),
_xlpm.MacVal,_xlfn.XLOOKUP($A368,Output_Mac!$A:$A,Output_Mac!G:G,""),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_xlfn.XLOOKUP(A368,Output_Mac!A:A,Output_Mac!H:H,"")</f>
        <v/>
      </c>
      <c r="I368" s="45" t="str" cm="1">
        <f t="array" ref="I368">IFERROR(_xlfn.LET(
_xlpm.CSVVal,_xlfn.XLOOKUP($A368,CSV!$A:$A,CSV!H:H,""),
_xlpm.MacVal,_xlfn.XLOOKUP($A368,Output_Mac!$A:$A,Output_Mac!I:I,""),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_xlpm.CSVVal,_xlfn.XLOOKUP($A368,CSV!$A:$A,CSV!J:J,""),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46" t="str" cm="1">
        <f t="array" ref="K368">IFERROR(_xlfn.LET(
_xlpm.CSVVal,_xlfn.XLOOKUP($A368,CSV!$A:$A,CSV!N:N,""),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_xlpm.CSVVal,_xlfn.XLOOKUP($A368,CSV!$A:$A,CSV!Q:Q,""),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CSV!AE:AE,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_xlpm.CSVVal,_xlfn.XLOOKUP($A368,CSV!$A:$A,CSV!AG:AG,""),
_xlpm.MacVal,_xlfn.XLOOKUP($A368,Output_Mac!$A:$A,Output_Mac!T:T,""),
_xlpm.MyAuditVal,_xlfn.XLOOKUP($A368,My_Audit!$A:$A,My_Audit!O:O,""),
_xlfn.IFS(_xlpm.MyAuditVal&lt;&gt;"",UPPER(_xlpm.MyAuditVal),_xlpm.MacVal&lt;&gt;"",_xlpm.MacVal,_xlpm.CSVVal&lt;&gt;"",_xlpm.CSVVal
)),"")</f>
        <v/>
      </c>
      <c r="O368" s="46" t="str">
        <f>_xlfn.XLOOKUP(C368,My_Audit!B:B,My_Audit!P:P,"")&amp;""</f>
        <v/>
      </c>
      <c r="P368" s="45"/>
      <c r="Q368" s="46" t="str">
        <f>IF(LEFT(N368,4)="Pass","Nist SP 800-88",My_Audit!R368)&amp;""</f>
        <v/>
      </c>
      <c r="R368" s="45"/>
      <c r="S368" s="45"/>
      <c r="T368" s="46" t="str">
        <f>_xlfn.XLOOKUP(E368,Models!I:I,Models!J:J,"")</f>
        <v/>
      </c>
      <c r="U368" s="45"/>
      <c r="V368" s="45"/>
      <c r="W368" s="38" t="str">
        <f>_xlfn.LET(
    _xlpm.MacVal, _xlfn.XLOOKUP($A368, Output_Mac!$A:$A, Output_Mac!AA:AA, ""),
    _xlpm.MyAuditVal, _xlfn.XLOOKUP($A368, My_Audit!$A:$A, My_Audit!L:L, ""),
    _xlfn.TEXTJOIN(", ", TRUE, _xlpm.MyAuditVal, _xlpm.MacVal)
)</f>
        <v/>
      </c>
    </row>
    <row r="369" spans="1:23">
      <c r="A369" s="45" t="str">
        <f>_xlfn.TEXTJOIN("",TRUE,Input!$B$2,ROW(My_Audit!A368))</f>
        <v>CC368</v>
      </c>
      <c r="B369" s="45" t="str">
        <f>_xlfn.TEXTJOIN("-",TRUE,"ITD",Input!$A$2,A369)</f>
        <v>ITD-XXX-CC368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 cm="1">
        <f t="array" ref="D369">IFERROR(_xlfn.LET(
_xlpm.CSVVal,_xlfn.XLOOKUP($A369,CSV!$A:$A,CSV!C:C,""),
_xlpm.MacVal,_xlfn.XLOOKUP($A369,Output_Mac!$A:$A,Output_Mac!D:D,""),
_xlpm.MyAuditVal,_xlfn.XLOOKUP($A369,My_Audit!$A:$A,My_Audit!C:C,""),
_xlfn.IFS(_xlpm.MyAuditVal&lt;&gt;"",UPPER(_xlpm.MyAuditVal),_xlpm.MacVal&lt;&gt;"",_xlpm.MacVal,_xlpm.CSVVal&lt;&gt;"",_xlpm.CSVVal
)),"")</f>
        <v/>
      </c>
      <c r="E369" s="46" t="str" cm="1">
        <f t="array" ref="E369">IFERROR(_xlfn.LET(
_xlpm.CSVVal,_xlfn.XLOOKUP($A369,CSV!$A:$A,CSV!E:E,""),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_xlpm.CSVVal,_xlfn.XLOOKUP($A369,CSV!$A:$A,CSV!G:G,""),
_xlpm.MacVal,_xlfn.XLOOKUP($A369,Output_Mac!$A:$A,Output_Mac!G:G,""),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_xlfn.XLOOKUP(A369,Output_Mac!A:A,Output_Mac!H:H,"")</f>
        <v/>
      </c>
      <c r="I369" s="45" t="str" cm="1">
        <f t="array" ref="I369">IFERROR(_xlfn.LET(
_xlpm.CSVVal,_xlfn.XLOOKUP($A369,CSV!$A:$A,CSV!H:H,""),
_xlpm.MacVal,_xlfn.XLOOKUP($A369,Output_Mac!$A:$A,Output_Mac!I:I,""),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_xlpm.CSVVal,_xlfn.XLOOKUP($A369,CSV!$A:$A,CSV!J:J,""),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46" t="str" cm="1">
        <f t="array" ref="K369">IFERROR(_xlfn.LET(
_xlpm.CSVVal,_xlfn.XLOOKUP($A369,CSV!$A:$A,CSV!N:N,""),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_xlpm.CSVVal,_xlfn.XLOOKUP($A369,CSV!$A:$A,CSV!Q:Q,""),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CSV!AE:AE,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_xlpm.CSVVal,_xlfn.XLOOKUP($A369,CSV!$A:$A,CSV!AG:AG,""),
_xlpm.MacVal,_xlfn.XLOOKUP($A369,Output_Mac!$A:$A,Output_Mac!T:T,""),
_xlpm.MyAuditVal,_xlfn.XLOOKUP($A369,My_Audit!$A:$A,My_Audit!O:O,""),
_xlfn.IFS(_xlpm.MyAuditVal&lt;&gt;"",UPPER(_xlpm.MyAuditVal),_xlpm.MacVal&lt;&gt;"",_xlpm.MacVal,_xlpm.CSVVal&lt;&gt;"",_xlpm.CSVVal
)),"")</f>
        <v/>
      </c>
      <c r="O369" s="46" t="str">
        <f>_xlfn.XLOOKUP(C369,My_Audit!B:B,My_Audit!P:P,"")&amp;""</f>
        <v/>
      </c>
      <c r="P369" s="45"/>
      <c r="Q369" s="46" t="str">
        <f>IF(LEFT(N369,4)="Pass","Nist SP 800-88",My_Audit!R369)&amp;""</f>
        <v/>
      </c>
      <c r="R369" s="45"/>
      <c r="S369" s="45"/>
      <c r="T369" s="46" t="str">
        <f>_xlfn.XLOOKUP(E369,Models!I:I,Models!J:J,"")</f>
        <v/>
      </c>
      <c r="U369" s="45"/>
      <c r="V369" s="45"/>
      <c r="W369" s="38" t="str">
        <f>_xlfn.LET(
    _xlpm.MacVal, _xlfn.XLOOKUP($A369, Output_Mac!$A:$A, Output_Mac!AA:AA, ""),
    _xlpm.MyAuditVal, _xlfn.XLOOKUP($A369, My_Audit!$A:$A, My_Audit!L:L, ""),
    _xlfn.TEXTJOIN(", ", TRUE, _xlpm.MyAuditVal, _xlpm.MacVal)
)</f>
        <v/>
      </c>
    </row>
    <row r="370" spans="1:23">
      <c r="A370" s="45" t="str">
        <f>_xlfn.TEXTJOIN("",TRUE,Input!$B$2,ROW(My_Audit!A369))</f>
        <v>CC369</v>
      </c>
      <c r="B370" s="45" t="str">
        <f>_xlfn.TEXTJOIN("-",TRUE,"ITD",Input!$A$2,A370)</f>
        <v>ITD-XXX-CC369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 cm="1">
        <f t="array" ref="D370">IFERROR(_xlfn.LET(
_xlpm.CSVVal,_xlfn.XLOOKUP($A370,CSV!$A:$A,CSV!C:C,""),
_xlpm.MacVal,_xlfn.XLOOKUP($A370,Output_Mac!$A:$A,Output_Mac!D:D,""),
_xlpm.MyAuditVal,_xlfn.XLOOKUP($A370,My_Audit!$A:$A,My_Audit!C:C,""),
_xlfn.IFS(_xlpm.MyAuditVal&lt;&gt;"",UPPER(_xlpm.MyAuditVal),_xlpm.MacVal&lt;&gt;"",_xlpm.MacVal,_xlpm.CSVVal&lt;&gt;"",_xlpm.CSVVal
)),"")</f>
        <v/>
      </c>
      <c r="E370" s="46" t="str" cm="1">
        <f t="array" ref="E370">IFERROR(_xlfn.LET(
_xlpm.CSVVal,_xlfn.XLOOKUP($A370,CSV!$A:$A,CSV!E:E,""),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_xlpm.CSVVal,_xlfn.XLOOKUP($A370,CSV!$A:$A,CSV!G:G,""),
_xlpm.MacVal,_xlfn.XLOOKUP($A370,Output_Mac!$A:$A,Output_Mac!G:G,""),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_xlfn.XLOOKUP(A370,Output_Mac!A:A,Output_Mac!H:H,"")</f>
        <v/>
      </c>
      <c r="I370" s="45" t="str" cm="1">
        <f t="array" ref="I370">IFERROR(_xlfn.LET(
_xlpm.CSVVal,_xlfn.XLOOKUP($A370,CSV!$A:$A,CSV!H:H,""),
_xlpm.MacVal,_xlfn.XLOOKUP($A370,Output_Mac!$A:$A,Output_Mac!I:I,""),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_xlpm.CSVVal,_xlfn.XLOOKUP($A370,CSV!$A:$A,CSV!J:J,""),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46" t="str" cm="1">
        <f t="array" ref="K370">IFERROR(_xlfn.LET(
_xlpm.CSVVal,_xlfn.XLOOKUP($A370,CSV!$A:$A,CSV!N:N,""),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_xlpm.CSVVal,_xlfn.XLOOKUP($A370,CSV!$A:$A,CSV!Q:Q,""),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CSV!AE:AE,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_xlpm.CSVVal,_xlfn.XLOOKUP($A370,CSV!$A:$A,CSV!AG:AG,""),
_xlpm.MacVal,_xlfn.XLOOKUP($A370,Output_Mac!$A:$A,Output_Mac!T:T,""),
_xlpm.MyAuditVal,_xlfn.XLOOKUP($A370,My_Audit!$A:$A,My_Audit!O:O,""),
_xlfn.IFS(_xlpm.MyAuditVal&lt;&gt;"",UPPER(_xlpm.MyAuditVal),_xlpm.MacVal&lt;&gt;"",_xlpm.MacVal,_xlpm.CSVVal&lt;&gt;"",_xlpm.CSVVal
)),"")</f>
        <v/>
      </c>
      <c r="O370" s="46" t="str">
        <f>_xlfn.XLOOKUP(C370,My_Audit!B:B,My_Audit!P:P,"")&amp;""</f>
        <v/>
      </c>
      <c r="P370" s="45"/>
      <c r="Q370" s="46" t="str">
        <f>IF(LEFT(N370,4)="Pass","Nist SP 800-88",My_Audit!R370)&amp;""</f>
        <v/>
      </c>
      <c r="R370" s="45"/>
      <c r="S370" s="45"/>
      <c r="T370" s="46" t="str">
        <f>_xlfn.XLOOKUP(E370,Models!I:I,Models!J:J,"")</f>
        <v/>
      </c>
      <c r="U370" s="45"/>
      <c r="V370" s="45"/>
      <c r="W370" s="38" t="str">
        <f>_xlfn.LET(
    _xlpm.MacVal, _xlfn.XLOOKUP($A370, Output_Mac!$A:$A, Output_Mac!AA:AA, ""),
    _xlpm.MyAuditVal, _xlfn.XLOOKUP($A370, My_Audit!$A:$A, My_Audit!L:L, ""),
    _xlfn.TEXTJOIN(", ", TRUE, _xlpm.MyAuditVal, _xlpm.MacVal)
)</f>
        <v/>
      </c>
    </row>
    <row r="371" spans="1:23">
      <c r="A371" s="45" t="str">
        <f>_xlfn.TEXTJOIN("",TRUE,Input!$B$2,ROW(My_Audit!A370))</f>
        <v>CC370</v>
      </c>
      <c r="B371" s="45" t="str">
        <f>_xlfn.TEXTJOIN("-",TRUE,"ITD",Input!$A$2,A371)</f>
        <v>ITD-XXX-CC370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 cm="1">
        <f t="array" ref="D371">IFERROR(_xlfn.LET(
_xlpm.CSVVal,_xlfn.XLOOKUP($A371,CSV!$A:$A,CSV!C:C,""),
_xlpm.MacVal,_xlfn.XLOOKUP($A371,Output_Mac!$A:$A,Output_Mac!D:D,""),
_xlpm.MyAuditVal,_xlfn.XLOOKUP($A371,My_Audit!$A:$A,My_Audit!C:C,""),
_xlfn.IFS(_xlpm.MyAuditVal&lt;&gt;"",UPPER(_xlpm.MyAuditVal),_xlpm.MacVal&lt;&gt;"",_xlpm.MacVal,_xlpm.CSVVal&lt;&gt;"",_xlpm.CSVVal
)),"")</f>
        <v/>
      </c>
      <c r="E371" s="46" t="str" cm="1">
        <f t="array" ref="E371">IFERROR(_xlfn.LET(
_xlpm.CSVVal,_xlfn.XLOOKUP($A371,CSV!$A:$A,CSV!E:E,""),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_xlpm.CSVVal,_xlfn.XLOOKUP($A371,CSV!$A:$A,CSV!G:G,""),
_xlpm.MacVal,_xlfn.XLOOKUP($A371,Output_Mac!$A:$A,Output_Mac!G:G,""),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_xlfn.XLOOKUP(A371,Output_Mac!A:A,Output_Mac!H:H,"")</f>
        <v/>
      </c>
      <c r="I371" s="45" t="str" cm="1">
        <f t="array" ref="I371">IFERROR(_xlfn.LET(
_xlpm.CSVVal,_xlfn.XLOOKUP($A371,CSV!$A:$A,CSV!H:H,""),
_xlpm.MacVal,_xlfn.XLOOKUP($A371,Output_Mac!$A:$A,Output_Mac!I:I,""),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_xlpm.CSVVal,_xlfn.XLOOKUP($A371,CSV!$A:$A,CSV!J:J,""),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46" t="str" cm="1">
        <f t="array" ref="K371">IFERROR(_xlfn.LET(
_xlpm.CSVVal,_xlfn.XLOOKUP($A371,CSV!$A:$A,CSV!N:N,""),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_xlpm.CSVVal,_xlfn.XLOOKUP($A371,CSV!$A:$A,CSV!Q:Q,""),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CSV!AE:AE,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_xlpm.CSVVal,_xlfn.XLOOKUP($A371,CSV!$A:$A,CSV!AG:AG,""),
_xlpm.MacVal,_xlfn.XLOOKUP($A371,Output_Mac!$A:$A,Output_Mac!T:T,""),
_xlpm.MyAuditVal,_xlfn.XLOOKUP($A371,My_Audit!$A:$A,My_Audit!O:O,""),
_xlfn.IFS(_xlpm.MyAuditVal&lt;&gt;"",UPPER(_xlpm.MyAuditVal),_xlpm.MacVal&lt;&gt;"",_xlpm.MacVal,_xlpm.CSVVal&lt;&gt;"",_xlpm.CSVVal
)),"")</f>
        <v/>
      </c>
      <c r="O371" s="46" t="str">
        <f>_xlfn.XLOOKUP(C371,My_Audit!B:B,My_Audit!P:P,"")&amp;""</f>
        <v/>
      </c>
      <c r="P371" s="45"/>
      <c r="Q371" s="46" t="str">
        <f>IF(LEFT(N371,4)="Pass","Nist SP 800-88",My_Audit!R371)&amp;""</f>
        <v/>
      </c>
      <c r="R371" s="45"/>
      <c r="S371" s="45"/>
      <c r="T371" s="46" t="str">
        <f>_xlfn.XLOOKUP(E371,Models!I:I,Models!J:J,"")</f>
        <v/>
      </c>
      <c r="U371" s="45"/>
      <c r="V371" s="45"/>
      <c r="W371" s="38" t="str">
        <f>_xlfn.LET(
    _xlpm.MacVal, _xlfn.XLOOKUP($A371, Output_Mac!$A:$A, Output_Mac!AA:AA, ""),
    _xlpm.MyAuditVal, _xlfn.XLOOKUP($A371, My_Audit!$A:$A, My_Audit!L:L, ""),
    _xlfn.TEXTJOIN(", ", TRUE, _xlpm.MyAuditVal, _xlpm.MacVal)
)</f>
        <v/>
      </c>
    </row>
    <row r="372" spans="1:23">
      <c r="A372" s="45" t="str">
        <f>_xlfn.TEXTJOIN("",TRUE,Input!$B$2,ROW(My_Audit!A371))</f>
        <v>CC371</v>
      </c>
      <c r="B372" s="45" t="str">
        <f>_xlfn.TEXTJOIN("-",TRUE,"ITD",Input!$A$2,A372)</f>
        <v>ITD-XXX-CC371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 cm="1">
        <f t="array" ref="D372">IFERROR(_xlfn.LET(
_xlpm.CSVVal,_xlfn.XLOOKUP($A372,CSV!$A:$A,CSV!C:C,""),
_xlpm.MacVal,_xlfn.XLOOKUP($A372,Output_Mac!$A:$A,Output_Mac!D:D,""),
_xlpm.MyAuditVal,_xlfn.XLOOKUP($A372,My_Audit!$A:$A,My_Audit!C:C,""),
_xlfn.IFS(_xlpm.MyAuditVal&lt;&gt;"",UPPER(_xlpm.MyAuditVal),_xlpm.MacVal&lt;&gt;"",_xlpm.MacVal,_xlpm.CSVVal&lt;&gt;"",_xlpm.CSVVal
)),"")</f>
        <v/>
      </c>
      <c r="E372" s="46" t="str" cm="1">
        <f t="array" ref="E372">IFERROR(_xlfn.LET(
_xlpm.CSVVal,_xlfn.XLOOKUP($A372,CSV!$A:$A,CSV!E:E,""),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_xlpm.CSVVal,_xlfn.XLOOKUP($A372,CSV!$A:$A,CSV!G:G,""),
_xlpm.MacVal,_xlfn.XLOOKUP($A372,Output_Mac!$A:$A,Output_Mac!G:G,""),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_xlfn.XLOOKUP(A372,Output_Mac!A:A,Output_Mac!H:H,"")</f>
        <v/>
      </c>
      <c r="I372" s="45" t="str" cm="1">
        <f t="array" ref="I372">IFERROR(_xlfn.LET(
_xlpm.CSVVal,_xlfn.XLOOKUP($A372,CSV!$A:$A,CSV!H:H,""),
_xlpm.MacVal,_xlfn.XLOOKUP($A372,Output_Mac!$A:$A,Output_Mac!I:I,""),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_xlpm.CSVVal,_xlfn.XLOOKUP($A372,CSV!$A:$A,CSV!J:J,""),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46" t="str" cm="1">
        <f t="array" ref="K372">IFERROR(_xlfn.LET(
_xlpm.CSVVal,_xlfn.XLOOKUP($A372,CSV!$A:$A,CSV!N:N,""),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_xlpm.CSVVal,_xlfn.XLOOKUP($A372,CSV!$A:$A,CSV!Q:Q,""),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CSV!AE:AE,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_xlpm.CSVVal,_xlfn.XLOOKUP($A372,CSV!$A:$A,CSV!AG:AG,""),
_xlpm.MacVal,_xlfn.XLOOKUP($A372,Output_Mac!$A:$A,Output_Mac!T:T,""),
_xlpm.MyAuditVal,_xlfn.XLOOKUP($A372,My_Audit!$A:$A,My_Audit!O:O,""),
_xlfn.IFS(_xlpm.MyAuditVal&lt;&gt;"",UPPER(_xlpm.MyAuditVal),_xlpm.MacVal&lt;&gt;"",_xlpm.MacVal,_xlpm.CSVVal&lt;&gt;"",_xlpm.CSVVal
)),"")</f>
        <v/>
      </c>
      <c r="O372" s="46" t="str">
        <f>_xlfn.XLOOKUP(C372,My_Audit!B:B,My_Audit!P:P,"")&amp;""</f>
        <v/>
      </c>
      <c r="P372" s="45"/>
      <c r="Q372" s="46" t="str">
        <f>IF(LEFT(N372,4)="Pass","Nist SP 800-88",My_Audit!R372)&amp;""</f>
        <v/>
      </c>
      <c r="R372" s="45"/>
      <c r="S372" s="45"/>
      <c r="T372" s="46" t="str">
        <f>_xlfn.XLOOKUP(E372,Models!I:I,Models!J:J,"")</f>
        <v/>
      </c>
      <c r="U372" s="45"/>
      <c r="V372" s="45"/>
      <c r="W372" s="38" t="str">
        <f>_xlfn.LET(
    _xlpm.MacVal, _xlfn.XLOOKUP($A372, Output_Mac!$A:$A, Output_Mac!AA:AA, ""),
    _xlpm.MyAuditVal, _xlfn.XLOOKUP($A372, My_Audit!$A:$A, My_Audit!L:L, ""),
    _xlfn.TEXTJOIN(", ", TRUE, _xlpm.MyAuditVal, _xlpm.MacVal)
)</f>
        <v/>
      </c>
    </row>
    <row r="373" spans="1:23">
      <c r="A373" s="45" t="str">
        <f>_xlfn.TEXTJOIN("",TRUE,Input!$B$2,ROW(My_Audit!A372))</f>
        <v>CC372</v>
      </c>
      <c r="B373" s="45" t="str">
        <f>_xlfn.TEXTJOIN("-",TRUE,"ITD",Input!$A$2,A373)</f>
        <v>ITD-XXX-CC372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 cm="1">
        <f t="array" ref="D373">IFERROR(_xlfn.LET(
_xlpm.CSVVal,_xlfn.XLOOKUP($A373,CSV!$A:$A,CSV!C:C,""),
_xlpm.MacVal,_xlfn.XLOOKUP($A373,Output_Mac!$A:$A,Output_Mac!D:D,""),
_xlpm.MyAuditVal,_xlfn.XLOOKUP($A373,My_Audit!$A:$A,My_Audit!C:C,""),
_xlfn.IFS(_xlpm.MyAuditVal&lt;&gt;"",UPPER(_xlpm.MyAuditVal),_xlpm.MacVal&lt;&gt;"",_xlpm.MacVal,_xlpm.CSVVal&lt;&gt;"",_xlpm.CSVVal
)),"")</f>
        <v/>
      </c>
      <c r="E373" s="46" t="str" cm="1">
        <f t="array" ref="E373">IFERROR(_xlfn.LET(
_xlpm.CSVVal,_xlfn.XLOOKUP($A373,CSV!$A:$A,CSV!E:E,""),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_xlpm.CSVVal,_xlfn.XLOOKUP($A373,CSV!$A:$A,CSV!G:G,""),
_xlpm.MacVal,_xlfn.XLOOKUP($A373,Output_Mac!$A:$A,Output_Mac!G:G,""),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_xlfn.XLOOKUP(A373,Output_Mac!A:A,Output_Mac!H:H,"")</f>
        <v/>
      </c>
      <c r="I373" s="45" t="str" cm="1">
        <f t="array" ref="I373">IFERROR(_xlfn.LET(
_xlpm.CSVVal,_xlfn.XLOOKUP($A373,CSV!$A:$A,CSV!H:H,""),
_xlpm.MacVal,_xlfn.XLOOKUP($A373,Output_Mac!$A:$A,Output_Mac!I:I,""),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_xlpm.CSVVal,_xlfn.XLOOKUP($A373,CSV!$A:$A,CSV!J:J,""),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46" t="str" cm="1">
        <f t="array" ref="K373">IFERROR(_xlfn.LET(
_xlpm.CSVVal,_xlfn.XLOOKUP($A373,CSV!$A:$A,CSV!N:N,""),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_xlpm.CSVVal,_xlfn.XLOOKUP($A373,CSV!$A:$A,CSV!Q:Q,""),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CSV!AE:AE,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_xlpm.CSVVal,_xlfn.XLOOKUP($A373,CSV!$A:$A,CSV!AG:AG,""),
_xlpm.MacVal,_xlfn.XLOOKUP($A373,Output_Mac!$A:$A,Output_Mac!T:T,""),
_xlpm.MyAuditVal,_xlfn.XLOOKUP($A373,My_Audit!$A:$A,My_Audit!O:O,""),
_xlfn.IFS(_xlpm.MyAuditVal&lt;&gt;"",UPPER(_xlpm.MyAuditVal),_xlpm.MacVal&lt;&gt;"",_xlpm.MacVal,_xlpm.CSVVal&lt;&gt;"",_xlpm.CSVVal
)),"")</f>
        <v/>
      </c>
      <c r="O373" s="46" t="str">
        <f>_xlfn.XLOOKUP(C373,My_Audit!B:B,My_Audit!P:P,"")&amp;""</f>
        <v/>
      </c>
      <c r="P373" s="45"/>
      <c r="Q373" s="46" t="str">
        <f>IF(LEFT(N373,4)="Pass","Nist SP 800-88",My_Audit!R373)&amp;""</f>
        <v/>
      </c>
      <c r="R373" s="45"/>
      <c r="S373" s="45"/>
      <c r="T373" s="46" t="str">
        <f>_xlfn.XLOOKUP(E373,Models!I:I,Models!J:J,"")</f>
        <v/>
      </c>
      <c r="U373" s="45"/>
      <c r="V373" s="45"/>
      <c r="W373" s="38" t="str">
        <f>_xlfn.LET(
    _xlpm.MacVal, _xlfn.XLOOKUP($A373, Output_Mac!$A:$A, Output_Mac!AA:AA, ""),
    _xlpm.MyAuditVal, _xlfn.XLOOKUP($A373, My_Audit!$A:$A, My_Audit!L:L, ""),
    _xlfn.TEXTJOIN(", ", TRUE, _xlpm.MyAuditVal, _xlpm.MacVal)
)</f>
        <v/>
      </c>
    </row>
    <row r="374" spans="1:23">
      <c r="A374" s="45" t="str">
        <f>_xlfn.TEXTJOIN("",TRUE,Input!$B$2,ROW(My_Audit!A373))</f>
        <v>CC373</v>
      </c>
      <c r="B374" s="45" t="str">
        <f>_xlfn.TEXTJOIN("-",TRUE,"ITD",Input!$A$2,A374)</f>
        <v>ITD-XXX-CC373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 cm="1">
        <f t="array" ref="D374">IFERROR(_xlfn.LET(
_xlpm.CSVVal,_xlfn.XLOOKUP($A374,CSV!$A:$A,CSV!C:C,""),
_xlpm.MacVal,_xlfn.XLOOKUP($A374,Output_Mac!$A:$A,Output_Mac!D:D,""),
_xlpm.MyAuditVal,_xlfn.XLOOKUP($A374,My_Audit!$A:$A,My_Audit!C:C,""),
_xlfn.IFS(_xlpm.MyAuditVal&lt;&gt;"",UPPER(_xlpm.MyAuditVal),_xlpm.MacVal&lt;&gt;"",_xlpm.MacVal,_xlpm.CSVVal&lt;&gt;"",_xlpm.CSVVal
)),"")</f>
        <v/>
      </c>
      <c r="E374" s="46" t="str" cm="1">
        <f t="array" ref="E374">IFERROR(_xlfn.LET(
_xlpm.CSVVal,_xlfn.XLOOKUP($A374,CSV!$A:$A,CSV!E:E,""),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_xlpm.CSVVal,_xlfn.XLOOKUP($A374,CSV!$A:$A,CSV!G:G,""),
_xlpm.MacVal,_xlfn.XLOOKUP($A374,Output_Mac!$A:$A,Output_Mac!G:G,""),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_xlfn.XLOOKUP(A374,Output_Mac!A:A,Output_Mac!H:H,"")</f>
        <v/>
      </c>
      <c r="I374" s="45" t="str" cm="1">
        <f t="array" ref="I374">IFERROR(_xlfn.LET(
_xlpm.CSVVal,_xlfn.XLOOKUP($A374,CSV!$A:$A,CSV!H:H,""),
_xlpm.MacVal,_xlfn.XLOOKUP($A374,Output_Mac!$A:$A,Output_Mac!I:I,""),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_xlpm.CSVVal,_xlfn.XLOOKUP($A374,CSV!$A:$A,CSV!J:J,""),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46" t="str" cm="1">
        <f t="array" ref="K374">IFERROR(_xlfn.LET(
_xlpm.CSVVal,_xlfn.XLOOKUP($A374,CSV!$A:$A,CSV!N:N,""),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_xlpm.CSVVal,_xlfn.XLOOKUP($A374,CSV!$A:$A,CSV!Q:Q,""),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CSV!AE:AE,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_xlpm.CSVVal,_xlfn.XLOOKUP($A374,CSV!$A:$A,CSV!AG:AG,""),
_xlpm.MacVal,_xlfn.XLOOKUP($A374,Output_Mac!$A:$A,Output_Mac!T:T,""),
_xlpm.MyAuditVal,_xlfn.XLOOKUP($A374,My_Audit!$A:$A,My_Audit!O:O,""),
_xlfn.IFS(_xlpm.MyAuditVal&lt;&gt;"",UPPER(_xlpm.MyAuditVal),_xlpm.MacVal&lt;&gt;"",_xlpm.MacVal,_xlpm.CSVVal&lt;&gt;"",_xlpm.CSVVal
)),"")</f>
        <v/>
      </c>
      <c r="O374" s="46" t="str">
        <f>_xlfn.XLOOKUP(C374,My_Audit!B:B,My_Audit!P:P,"")&amp;""</f>
        <v/>
      </c>
      <c r="P374" s="45"/>
      <c r="Q374" s="46" t="str">
        <f>IF(LEFT(N374,4)="Pass","Nist SP 800-88",My_Audit!R374)&amp;""</f>
        <v/>
      </c>
      <c r="R374" s="45"/>
      <c r="S374" s="45"/>
      <c r="T374" s="46" t="str">
        <f>_xlfn.XLOOKUP(E374,Models!I:I,Models!J:J,"")</f>
        <v/>
      </c>
      <c r="U374" s="45"/>
      <c r="V374" s="45"/>
      <c r="W374" s="38" t="str">
        <f>_xlfn.LET(
    _xlpm.MacVal, _xlfn.XLOOKUP($A374, Output_Mac!$A:$A, Output_Mac!AA:AA, ""),
    _xlpm.MyAuditVal, _xlfn.XLOOKUP($A374, My_Audit!$A:$A, My_Audit!L:L, ""),
    _xlfn.TEXTJOIN(", ", TRUE, _xlpm.MyAuditVal, _xlpm.MacVal)
)</f>
        <v/>
      </c>
    </row>
    <row r="375" spans="1:23">
      <c r="A375" s="45" t="str">
        <f>_xlfn.TEXTJOIN("",TRUE,Input!$B$2,ROW(My_Audit!A374))</f>
        <v>CC374</v>
      </c>
      <c r="B375" s="45" t="str">
        <f>_xlfn.TEXTJOIN("-",TRUE,"ITD",Input!$A$2,A375)</f>
        <v>ITD-XXX-CC374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 cm="1">
        <f t="array" ref="D375">IFERROR(_xlfn.LET(
_xlpm.CSVVal,_xlfn.XLOOKUP($A375,CSV!$A:$A,CSV!C:C,""),
_xlpm.MacVal,_xlfn.XLOOKUP($A375,Output_Mac!$A:$A,Output_Mac!D:D,""),
_xlpm.MyAuditVal,_xlfn.XLOOKUP($A375,My_Audit!$A:$A,My_Audit!C:C,""),
_xlfn.IFS(_xlpm.MyAuditVal&lt;&gt;"",UPPER(_xlpm.MyAuditVal),_xlpm.MacVal&lt;&gt;"",_xlpm.MacVal,_xlpm.CSVVal&lt;&gt;"",_xlpm.CSVVal
)),"")</f>
        <v/>
      </c>
      <c r="E375" s="46" t="str" cm="1">
        <f t="array" ref="E375">IFERROR(_xlfn.LET(
_xlpm.CSVVal,_xlfn.XLOOKUP($A375,CSV!$A:$A,CSV!E:E,""),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_xlpm.CSVVal,_xlfn.XLOOKUP($A375,CSV!$A:$A,CSV!G:G,""),
_xlpm.MacVal,_xlfn.XLOOKUP($A375,Output_Mac!$A:$A,Output_Mac!G:G,""),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_xlfn.XLOOKUP(A375,Output_Mac!A:A,Output_Mac!H:H,"")</f>
        <v/>
      </c>
      <c r="I375" s="45" t="str" cm="1">
        <f t="array" ref="I375">IFERROR(_xlfn.LET(
_xlpm.CSVVal,_xlfn.XLOOKUP($A375,CSV!$A:$A,CSV!H:H,""),
_xlpm.MacVal,_xlfn.XLOOKUP($A375,Output_Mac!$A:$A,Output_Mac!I:I,""),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_xlpm.CSVVal,_xlfn.XLOOKUP($A375,CSV!$A:$A,CSV!J:J,""),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46" t="str" cm="1">
        <f t="array" ref="K375">IFERROR(_xlfn.LET(
_xlpm.CSVVal,_xlfn.XLOOKUP($A375,CSV!$A:$A,CSV!N:N,""),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_xlpm.CSVVal,_xlfn.XLOOKUP($A375,CSV!$A:$A,CSV!Q:Q,""),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CSV!AE:AE,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_xlpm.CSVVal,_xlfn.XLOOKUP($A375,CSV!$A:$A,CSV!AG:AG,""),
_xlpm.MacVal,_xlfn.XLOOKUP($A375,Output_Mac!$A:$A,Output_Mac!T:T,""),
_xlpm.MyAuditVal,_xlfn.XLOOKUP($A375,My_Audit!$A:$A,My_Audit!O:O,""),
_xlfn.IFS(_xlpm.MyAuditVal&lt;&gt;"",UPPER(_xlpm.MyAuditVal),_xlpm.MacVal&lt;&gt;"",_xlpm.MacVal,_xlpm.CSVVal&lt;&gt;"",_xlpm.CSVVal
)),"")</f>
        <v/>
      </c>
      <c r="O375" s="46" t="str">
        <f>_xlfn.XLOOKUP(C375,My_Audit!B:B,My_Audit!P:P,"")&amp;""</f>
        <v/>
      </c>
      <c r="P375" s="45"/>
      <c r="Q375" s="46" t="str">
        <f>IF(LEFT(N375,4)="Pass","Nist SP 800-88",My_Audit!R375)&amp;""</f>
        <v/>
      </c>
      <c r="R375" s="45"/>
      <c r="S375" s="45"/>
      <c r="T375" s="46" t="str">
        <f>_xlfn.XLOOKUP(E375,Models!I:I,Models!J:J,"")</f>
        <v/>
      </c>
      <c r="U375" s="45"/>
      <c r="V375" s="45"/>
      <c r="W375" s="38" t="str">
        <f>_xlfn.LET(
    _xlpm.MacVal, _xlfn.XLOOKUP($A375, Output_Mac!$A:$A, Output_Mac!AA:AA, ""),
    _xlpm.MyAuditVal, _xlfn.XLOOKUP($A375, My_Audit!$A:$A, My_Audit!L:L, ""),
    _xlfn.TEXTJOIN(", ", TRUE, _xlpm.MyAuditVal, _xlpm.MacVal)
)</f>
        <v/>
      </c>
    </row>
    <row r="376" spans="1:23">
      <c r="A376" s="45" t="str">
        <f>_xlfn.TEXTJOIN("",TRUE,Input!$B$2,ROW(My_Audit!A375))</f>
        <v>CC375</v>
      </c>
      <c r="B376" s="45" t="str">
        <f>_xlfn.TEXTJOIN("-",TRUE,"ITD",Input!$A$2,A376)</f>
        <v>ITD-XXX-CC375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 cm="1">
        <f t="array" ref="D376">IFERROR(_xlfn.LET(
_xlpm.CSVVal,_xlfn.XLOOKUP($A376,CSV!$A:$A,CSV!C:C,""),
_xlpm.MacVal,_xlfn.XLOOKUP($A376,Output_Mac!$A:$A,Output_Mac!D:D,""),
_xlpm.MyAuditVal,_xlfn.XLOOKUP($A376,My_Audit!$A:$A,My_Audit!C:C,""),
_xlfn.IFS(_xlpm.MyAuditVal&lt;&gt;"",UPPER(_xlpm.MyAuditVal),_xlpm.MacVal&lt;&gt;"",_xlpm.MacVal,_xlpm.CSVVal&lt;&gt;"",_xlpm.CSVVal
)),"")</f>
        <v/>
      </c>
      <c r="E376" s="46" t="str" cm="1">
        <f t="array" ref="E376">IFERROR(_xlfn.LET(
_xlpm.CSVVal,_xlfn.XLOOKUP($A376,CSV!$A:$A,CSV!E:E,""),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_xlpm.CSVVal,_xlfn.XLOOKUP($A376,CSV!$A:$A,CSV!G:G,""),
_xlpm.MacVal,_xlfn.XLOOKUP($A376,Output_Mac!$A:$A,Output_Mac!G:G,""),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_xlfn.XLOOKUP(A376,Output_Mac!A:A,Output_Mac!H:H,"")</f>
        <v/>
      </c>
      <c r="I376" s="45" t="str" cm="1">
        <f t="array" ref="I376">IFERROR(_xlfn.LET(
_xlpm.CSVVal,_xlfn.XLOOKUP($A376,CSV!$A:$A,CSV!H:H,""),
_xlpm.MacVal,_xlfn.XLOOKUP($A376,Output_Mac!$A:$A,Output_Mac!I:I,""),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_xlpm.CSVVal,_xlfn.XLOOKUP($A376,CSV!$A:$A,CSV!J:J,""),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46" t="str" cm="1">
        <f t="array" ref="K376">IFERROR(_xlfn.LET(
_xlpm.CSVVal,_xlfn.XLOOKUP($A376,CSV!$A:$A,CSV!N:N,""),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_xlpm.CSVVal,_xlfn.XLOOKUP($A376,CSV!$A:$A,CSV!Q:Q,""),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CSV!AE:AE,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_xlpm.CSVVal,_xlfn.XLOOKUP($A376,CSV!$A:$A,CSV!AG:AG,""),
_xlpm.MacVal,_xlfn.XLOOKUP($A376,Output_Mac!$A:$A,Output_Mac!T:T,""),
_xlpm.MyAuditVal,_xlfn.XLOOKUP($A376,My_Audit!$A:$A,My_Audit!O:O,""),
_xlfn.IFS(_xlpm.MyAuditVal&lt;&gt;"",UPPER(_xlpm.MyAuditVal),_xlpm.MacVal&lt;&gt;"",_xlpm.MacVal,_xlpm.CSVVal&lt;&gt;"",_xlpm.CSVVal
)),"")</f>
        <v/>
      </c>
      <c r="O376" s="46" t="str">
        <f>_xlfn.XLOOKUP(C376,My_Audit!B:B,My_Audit!P:P,"")&amp;""</f>
        <v/>
      </c>
      <c r="P376" s="45"/>
      <c r="Q376" s="46" t="str">
        <f>IF(LEFT(N376,4)="Pass","Nist SP 800-88",My_Audit!R376)&amp;""</f>
        <v/>
      </c>
      <c r="R376" s="45"/>
      <c r="S376" s="45"/>
      <c r="T376" s="46" t="str">
        <f>_xlfn.XLOOKUP(E376,Models!I:I,Models!J:J,"")</f>
        <v/>
      </c>
      <c r="U376" s="45"/>
      <c r="V376" s="45"/>
      <c r="W376" s="38" t="str">
        <f>_xlfn.LET(
    _xlpm.MacVal, _xlfn.XLOOKUP($A376, Output_Mac!$A:$A, Output_Mac!AA:AA, ""),
    _xlpm.MyAuditVal, _xlfn.XLOOKUP($A376, My_Audit!$A:$A, My_Audit!L:L, ""),
    _xlfn.TEXTJOIN(", ", TRUE, _xlpm.MyAuditVal, _xlpm.MacVal)
)</f>
        <v/>
      </c>
    </row>
    <row r="377" spans="1:23">
      <c r="A377" s="45" t="str">
        <f>_xlfn.TEXTJOIN("",TRUE,Input!$B$2,ROW(My_Audit!A376))</f>
        <v>CC376</v>
      </c>
      <c r="B377" s="45" t="str">
        <f>_xlfn.TEXTJOIN("-",TRUE,"ITD",Input!$A$2,A377)</f>
        <v>ITD-XXX-CC376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 cm="1">
        <f t="array" ref="D377">IFERROR(_xlfn.LET(
_xlpm.CSVVal,_xlfn.XLOOKUP($A377,CSV!$A:$A,CSV!C:C,""),
_xlpm.MacVal,_xlfn.XLOOKUP($A377,Output_Mac!$A:$A,Output_Mac!D:D,""),
_xlpm.MyAuditVal,_xlfn.XLOOKUP($A377,My_Audit!$A:$A,My_Audit!C:C,""),
_xlfn.IFS(_xlpm.MyAuditVal&lt;&gt;"",UPPER(_xlpm.MyAuditVal),_xlpm.MacVal&lt;&gt;"",_xlpm.MacVal,_xlpm.CSVVal&lt;&gt;"",_xlpm.CSVVal
)),"")</f>
        <v/>
      </c>
      <c r="E377" s="46" t="str" cm="1">
        <f t="array" ref="E377">IFERROR(_xlfn.LET(
_xlpm.CSVVal,_xlfn.XLOOKUP($A377,CSV!$A:$A,CSV!E:E,""),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_xlpm.CSVVal,_xlfn.XLOOKUP($A377,CSV!$A:$A,CSV!G:G,""),
_xlpm.MacVal,_xlfn.XLOOKUP($A377,Output_Mac!$A:$A,Output_Mac!G:G,""),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_xlfn.XLOOKUP(A377,Output_Mac!A:A,Output_Mac!H:H,"")</f>
        <v/>
      </c>
      <c r="I377" s="45" t="str" cm="1">
        <f t="array" ref="I377">IFERROR(_xlfn.LET(
_xlpm.CSVVal,_xlfn.XLOOKUP($A377,CSV!$A:$A,CSV!H:H,""),
_xlpm.MacVal,_xlfn.XLOOKUP($A377,Output_Mac!$A:$A,Output_Mac!I:I,""),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_xlpm.CSVVal,_xlfn.XLOOKUP($A377,CSV!$A:$A,CSV!J:J,""),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46" t="str" cm="1">
        <f t="array" ref="K377">IFERROR(_xlfn.LET(
_xlpm.CSVVal,_xlfn.XLOOKUP($A377,CSV!$A:$A,CSV!N:N,""),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_xlpm.CSVVal,_xlfn.XLOOKUP($A377,CSV!$A:$A,CSV!Q:Q,""),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CSV!AE:AE,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_xlpm.CSVVal,_xlfn.XLOOKUP($A377,CSV!$A:$A,CSV!AG:AG,""),
_xlpm.MacVal,_xlfn.XLOOKUP($A377,Output_Mac!$A:$A,Output_Mac!T:T,""),
_xlpm.MyAuditVal,_xlfn.XLOOKUP($A377,My_Audit!$A:$A,My_Audit!O:O,""),
_xlfn.IFS(_xlpm.MyAuditVal&lt;&gt;"",UPPER(_xlpm.MyAuditVal),_xlpm.MacVal&lt;&gt;"",_xlpm.MacVal,_xlpm.CSVVal&lt;&gt;"",_xlpm.CSVVal
)),"")</f>
        <v/>
      </c>
      <c r="O377" s="46" t="str">
        <f>_xlfn.XLOOKUP(C377,My_Audit!B:B,My_Audit!P:P,"")&amp;""</f>
        <v/>
      </c>
      <c r="P377" s="45"/>
      <c r="Q377" s="46" t="str">
        <f>IF(LEFT(N377,4)="Pass","Nist SP 800-88",My_Audit!R377)&amp;""</f>
        <v/>
      </c>
      <c r="R377" s="45"/>
      <c r="S377" s="45"/>
      <c r="T377" s="46" t="str">
        <f>_xlfn.XLOOKUP(E377,Models!I:I,Models!J:J,"")</f>
        <v/>
      </c>
      <c r="U377" s="45"/>
      <c r="V377" s="45"/>
      <c r="W377" s="38" t="str">
        <f>_xlfn.LET(
    _xlpm.MacVal, _xlfn.XLOOKUP($A377, Output_Mac!$A:$A, Output_Mac!AA:AA, ""),
    _xlpm.MyAuditVal, _xlfn.XLOOKUP($A377, My_Audit!$A:$A, My_Audit!L:L, ""),
    _xlfn.TEXTJOIN(", ", TRUE, _xlpm.MyAuditVal, _xlpm.MacVal)
)</f>
        <v/>
      </c>
    </row>
    <row r="378" spans="1:23">
      <c r="A378" s="45" t="str">
        <f>_xlfn.TEXTJOIN("",TRUE,Input!$B$2,ROW(My_Audit!A377))</f>
        <v>CC377</v>
      </c>
      <c r="B378" s="45" t="str">
        <f>_xlfn.TEXTJOIN("-",TRUE,"ITD",Input!$A$2,A378)</f>
        <v>ITD-XXX-CC377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 cm="1">
        <f t="array" ref="D378">IFERROR(_xlfn.LET(
_xlpm.CSVVal,_xlfn.XLOOKUP($A378,CSV!$A:$A,CSV!C:C,""),
_xlpm.MacVal,_xlfn.XLOOKUP($A378,Output_Mac!$A:$A,Output_Mac!D:D,""),
_xlpm.MyAuditVal,_xlfn.XLOOKUP($A378,My_Audit!$A:$A,My_Audit!C:C,""),
_xlfn.IFS(_xlpm.MyAuditVal&lt;&gt;"",UPPER(_xlpm.MyAuditVal),_xlpm.MacVal&lt;&gt;"",_xlpm.MacVal,_xlpm.CSVVal&lt;&gt;"",_xlpm.CSVVal
)),"")</f>
        <v/>
      </c>
      <c r="E378" s="46" t="str" cm="1">
        <f t="array" ref="E378">IFERROR(_xlfn.LET(
_xlpm.CSVVal,_xlfn.XLOOKUP($A378,CSV!$A:$A,CSV!E:E,""),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_xlpm.CSVVal,_xlfn.XLOOKUP($A378,CSV!$A:$A,CSV!G:G,""),
_xlpm.MacVal,_xlfn.XLOOKUP($A378,Output_Mac!$A:$A,Output_Mac!G:G,""),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_xlfn.XLOOKUP(A378,Output_Mac!A:A,Output_Mac!H:H,"")</f>
        <v/>
      </c>
      <c r="I378" s="45" t="str" cm="1">
        <f t="array" ref="I378">IFERROR(_xlfn.LET(
_xlpm.CSVVal,_xlfn.XLOOKUP($A378,CSV!$A:$A,CSV!H:H,""),
_xlpm.MacVal,_xlfn.XLOOKUP($A378,Output_Mac!$A:$A,Output_Mac!I:I,""),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_xlpm.CSVVal,_xlfn.XLOOKUP($A378,CSV!$A:$A,CSV!J:J,""),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46" t="str" cm="1">
        <f t="array" ref="K378">IFERROR(_xlfn.LET(
_xlpm.CSVVal,_xlfn.XLOOKUP($A378,CSV!$A:$A,CSV!N:N,""),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_xlpm.CSVVal,_xlfn.XLOOKUP($A378,CSV!$A:$A,CSV!Q:Q,""),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CSV!AE:AE,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_xlpm.CSVVal,_xlfn.XLOOKUP($A378,CSV!$A:$A,CSV!AG:AG,""),
_xlpm.MacVal,_xlfn.XLOOKUP($A378,Output_Mac!$A:$A,Output_Mac!T:T,""),
_xlpm.MyAuditVal,_xlfn.XLOOKUP($A378,My_Audit!$A:$A,My_Audit!O:O,""),
_xlfn.IFS(_xlpm.MyAuditVal&lt;&gt;"",UPPER(_xlpm.MyAuditVal),_xlpm.MacVal&lt;&gt;"",_xlpm.MacVal,_xlpm.CSVVal&lt;&gt;"",_xlpm.CSVVal
)),"")</f>
        <v/>
      </c>
      <c r="O378" s="46" t="str">
        <f>_xlfn.XLOOKUP(C378,My_Audit!B:B,My_Audit!P:P,"")&amp;""</f>
        <v/>
      </c>
      <c r="P378" s="45"/>
      <c r="Q378" s="46" t="str">
        <f>IF(LEFT(N378,4)="Pass","Nist SP 800-88",My_Audit!R378)&amp;""</f>
        <v/>
      </c>
      <c r="R378" s="45"/>
      <c r="S378" s="45"/>
      <c r="T378" s="46" t="str">
        <f>_xlfn.XLOOKUP(E378,Models!I:I,Models!J:J,"")</f>
        <v/>
      </c>
      <c r="U378" s="45"/>
      <c r="V378" s="45"/>
      <c r="W378" s="38" t="str">
        <f>_xlfn.LET(
    _xlpm.MacVal, _xlfn.XLOOKUP($A378, Output_Mac!$A:$A, Output_Mac!AA:AA, ""),
    _xlpm.MyAuditVal, _xlfn.XLOOKUP($A378, My_Audit!$A:$A, My_Audit!L:L, ""),
    _xlfn.TEXTJOIN(", ", TRUE, _xlpm.MyAuditVal, _xlpm.MacVal)
)</f>
        <v/>
      </c>
    </row>
    <row r="379" spans="1:23">
      <c r="A379" s="45" t="str">
        <f>_xlfn.TEXTJOIN("",TRUE,Input!$B$2,ROW(My_Audit!A378))</f>
        <v>CC378</v>
      </c>
      <c r="B379" s="45" t="str">
        <f>_xlfn.TEXTJOIN("-",TRUE,"ITD",Input!$A$2,A379)</f>
        <v>ITD-XXX-CC378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 cm="1">
        <f t="array" ref="D379">IFERROR(_xlfn.LET(
_xlpm.CSVVal,_xlfn.XLOOKUP($A379,CSV!$A:$A,CSV!C:C,""),
_xlpm.MacVal,_xlfn.XLOOKUP($A379,Output_Mac!$A:$A,Output_Mac!D:D,""),
_xlpm.MyAuditVal,_xlfn.XLOOKUP($A379,My_Audit!$A:$A,My_Audit!C:C,""),
_xlfn.IFS(_xlpm.MyAuditVal&lt;&gt;"",UPPER(_xlpm.MyAuditVal),_xlpm.MacVal&lt;&gt;"",_xlpm.MacVal,_xlpm.CSVVal&lt;&gt;"",_xlpm.CSVVal
)),"")</f>
        <v/>
      </c>
      <c r="E379" s="46" t="str" cm="1">
        <f t="array" ref="E379">IFERROR(_xlfn.LET(
_xlpm.CSVVal,_xlfn.XLOOKUP($A379,CSV!$A:$A,CSV!E:E,""),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_xlpm.CSVVal,_xlfn.XLOOKUP($A379,CSV!$A:$A,CSV!G:G,""),
_xlpm.MacVal,_xlfn.XLOOKUP($A379,Output_Mac!$A:$A,Output_Mac!G:G,""),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_xlfn.XLOOKUP(A379,Output_Mac!A:A,Output_Mac!H:H,"")</f>
        <v/>
      </c>
      <c r="I379" s="45" t="str" cm="1">
        <f t="array" ref="I379">IFERROR(_xlfn.LET(
_xlpm.CSVVal,_xlfn.XLOOKUP($A379,CSV!$A:$A,CSV!H:H,""),
_xlpm.MacVal,_xlfn.XLOOKUP($A379,Output_Mac!$A:$A,Output_Mac!I:I,""),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_xlpm.CSVVal,_xlfn.XLOOKUP($A379,CSV!$A:$A,CSV!J:J,""),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46" t="str" cm="1">
        <f t="array" ref="K379">IFERROR(_xlfn.LET(
_xlpm.CSVVal,_xlfn.XLOOKUP($A379,CSV!$A:$A,CSV!N:N,""),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_xlpm.CSVVal,_xlfn.XLOOKUP($A379,CSV!$A:$A,CSV!Q:Q,""),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CSV!AE:AE,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_xlpm.CSVVal,_xlfn.XLOOKUP($A379,CSV!$A:$A,CSV!AG:AG,""),
_xlpm.MacVal,_xlfn.XLOOKUP($A379,Output_Mac!$A:$A,Output_Mac!T:T,""),
_xlpm.MyAuditVal,_xlfn.XLOOKUP($A379,My_Audit!$A:$A,My_Audit!O:O,""),
_xlfn.IFS(_xlpm.MyAuditVal&lt;&gt;"",UPPER(_xlpm.MyAuditVal),_xlpm.MacVal&lt;&gt;"",_xlpm.MacVal,_xlpm.CSVVal&lt;&gt;"",_xlpm.CSVVal
)),"")</f>
        <v/>
      </c>
      <c r="O379" s="46" t="str">
        <f>_xlfn.XLOOKUP(C379,My_Audit!B:B,My_Audit!P:P,"")&amp;""</f>
        <v/>
      </c>
      <c r="P379" s="45"/>
      <c r="Q379" s="46" t="str">
        <f>IF(LEFT(N379,4)="Pass","Nist SP 800-88",My_Audit!R379)&amp;""</f>
        <v/>
      </c>
      <c r="R379" s="45"/>
      <c r="S379" s="45"/>
      <c r="T379" s="46" t="str">
        <f>_xlfn.XLOOKUP(E379,Models!I:I,Models!J:J,"")</f>
        <v/>
      </c>
      <c r="U379" s="45"/>
      <c r="V379" s="45"/>
      <c r="W379" s="38" t="str">
        <f>_xlfn.LET(
    _xlpm.MacVal, _xlfn.XLOOKUP($A379, Output_Mac!$A:$A, Output_Mac!AA:AA, ""),
    _xlpm.MyAuditVal, _xlfn.XLOOKUP($A379, My_Audit!$A:$A, My_Audit!L:L, ""),
    _xlfn.TEXTJOIN(", ", TRUE, _xlpm.MyAuditVal, _xlpm.MacVal)
)</f>
        <v/>
      </c>
    </row>
    <row r="380" spans="1:23">
      <c r="A380" s="45" t="str">
        <f>_xlfn.TEXTJOIN("",TRUE,Input!$B$2,ROW(My_Audit!A379))</f>
        <v>CC379</v>
      </c>
      <c r="B380" s="45" t="str">
        <f>_xlfn.TEXTJOIN("-",TRUE,"ITD",Input!$A$2,A380)</f>
        <v>ITD-XXX-CC379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 cm="1">
        <f t="array" ref="D380">IFERROR(_xlfn.LET(
_xlpm.CSVVal,_xlfn.XLOOKUP($A380,CSV!$A:$A,CSV!C:C,""),
_xlpm.MacVal,_xlfn.XLOOKUP($A380,Output_Mac!$A:$A,Output_Mac!D:D,""),
_xlpm.MyAuditVal,_xlfn.XLOOKUP($A380,My_Audit!$A:$A,My_Audit!C:C,""),
_xlfn.IFS(_xlpm.MyAuditVal&lt;&gt;"",UPPER(_xlpm.MyAuditVal),_xlpm.MacVal&lt;&gt;"",_xlpm.MacVal,_xlpm.CSVVal&lt;&gt;"",_xlpm.CSVVal
)),"")</f>
        <v/>
      </c>
      <c r="E380" s="46" t="str" cm="1">
        <f t="array" ref="E380">IFERROR(_xlfn.LET(
_xlpm.CSVVal,_xlfn.XLOOKUP($A380,CSV!$A:$A,CSV!E:E,""),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_xlpm.CSVVal,_xlfn.XLOOKUP($A380,CSV!$A:$A,CSV!G:G,""),
_xlpm.MacVal,_xlfn.XLOOKUP($A380,Output_Mac!$A:$A,Output_Mac!G:G,""),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_xlfn.XLOOKUP(A380,Output_Mac!A:A,Output_Mac!H:H,"")</f>
        <v/>
      </c>
      <c r="I380" s="45" t="str" cm="1">
        <f t="array" ref="I380">IFERROR(_xlfn.LET(
_xlpm.CSVVal,_xlfn.XLOOKUP($A380,CSV!$A:$A,CSV!H:H,""),
_xlpm.MacVal,_xlfn.XLOOKUP($A380,Output_Mac!$A:$A,Output_Mac!I:I,""),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_xlpm.CSVVal,_xlfn.XLOOKUP($A380,CSV!$A:$A,CSV!J:J,""),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46" t="str" cm="1">
        <f t="array" ref="K380">IFERROR(_xlfn.LET(
_xlpm.CSVVal,_xlfn.XLOOKUP($A380,CSV!$A:$A,CSV!N:N,""),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_xlpm.CSVVal,_xlfn.XLOOKUP($A380,CSV!$A:$A,CSV!Q:Q,""),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CSV!AE:AE,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_xlpm.CSVVal,_xlfn.XLOOKUP($A380,CSV!$A:$A,CSV!AG:AG,""),
_xlpm.MacVal,_xlfn.XLOOKUP($A380,Output_Mac!$A:$A,Output_Mac!T:T,""),
_xlpm.MyAuditVal,_xlfn.XLOOKUP($A380,My_Audit!$A:$A,My_Audit!O:O,""),
_xlfn.IFS(_xlpm.MyAuditVal&lt;&gt;"",UPPER(_xlpm.MyAuditVal),_xlpm.MacVal&lt;&gt;"",_xlpm.MacVal,_xlpm.CSVVal&lt;&gt;"",_xlpm.CSVVal
)),"")</f>
        <v/>
      </c>
      <c r="O380" s="46" t="str">
        <f>_xlfn.XLOOKUP(C380,My_Audit!B:B,My_Audit!P:P,"")&amp;""</f>
        <v/>
      </c>
      <c r="P380" s="45"/>
      <c r="Q380" s="46" t="str">
        <f>IF(LEFT(N380,4)="Pass","Nist SP 800-88",My_Audit!R380)&amp;""</f>
        <v/>
      </c>
      <c r="R380" s="45"/>
      <c r="S380" s="45"/>
      <c r="T380" s="46" t="str">
        <f>_xlfn.XLOOKUP(E380,Models!I:I,Models!J:J,"")</f>
        <v/>
      </c>
      <c r="U380" s="45"/>
      <c r="V380" s="45"/>
      <c r="W380" s="38" t="str">
        <f>_xlfn.LET(
    _xlpm.MacVal, _xlfn.XLOOKUP($A380, Output_Mac!$A:$A, Output_Mac!AA:AA, ""),
    _xlpm.MyAuditVal, _xlfn.XLOOKUP($A380, My_Audit!$A:$A, My_Audit!L:L, ""),
    _xlfn.TEXTJOIN(", ", TRUE, _xlpm.MyAuditVal, _xlpm.MacVal)
)</f>
        <v/>
      </c>
    </row>
    <row r="381" spans="1:23">
      <c r="A381" s="45" t="str">
        <f>_xlfn.TEXTJOIN("",TRUE,Input!$B$2,ROW(My_Audit!A380))</f>
        <v>CC380</v>
      </c>
      <c r="B381" s="45" t="str">
        <f>_xlfn.TEXTJOIN("-",TRUE,"ITD",Input!$A$2,A381)</f>
        <v>ITD-XXX-CC380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 cm="1">
        <f t="array" ref="D381">IFERROR(_xlfn.LET(
_xlpm.CSVVal,_xlfn.XLOOKUP($A381,CSV!$A:$A,CSV!C:C,""),
_xlpm.MacVal,_xlfn.XLOOKUP($A381,Output_Mac!$A:$A,Output_Mac!D:D,""),
_xlpm.MyAuditVal,_xlfn.XLOOKUP($A381,My_Audit!$A:$A,My_Audit!C:C,""),
_xlfn.IFS(_xlpm.MyAuditVal&lt;&gt;"",UPPER(_xlpm.MyAuditVal),_xlpm.MacVal&lt;&gt;"",_xlpm.MacVal,_xlpm.CSVVal&lt;&gt;"",_xlpm.CSVVal
)),"")</f>
        <v/>
      </c>
      <c r="E381" s="46" t="str" cm="1">
        <f t="array" ref="E381">IFERROR(_xlfn.LET(
_xlpm.CSVVal,_xlfn.XLOOKUP($A381,CSV!$A:$A,CSV!E:E,""),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_xlpm.CSVVal,_xlfn.XLOOKUP($A381,CSV!$A:$A,CSV!G:G,""),
_xlpm.MacVal,_xlfn.XLOOKUP($A381,Output_Mac!$A:$A,Output_Mac!G:G,""),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_xlfn.XLOOKUP(A381,Output_Mac!A:A,Output_Mac!H:H,"")</f>
        <v/>
      </c>
      <c r="I381" s="45" t="str" cm="1">
        <f t="array" ref="I381">IFERROR(_xlfn.LET(
_xlpm.CSVVal,_xlfn.XLOOKUP($A381,CSV!$A:$A,CSV!H:H,""),
_xlpm.MacVal,_xlfn.XLOOKUP($A381,Output_Mac!$A:$A,Output_Mac!I:I,""),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_xlpm.CSVVal,_xlfn.XLOOKUP($A381,CSV!$A:$A,CSV!J:J,""),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46" t="str" cm="1">
        <f t="array" ref="K381">IFERROR(_xlfn.LET(
_xlpm.CSVVal,_xlfn.XLOOKUP($A381,CSV!$A:$A,CSV!N:N,""),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_xlpm.CSVVal,_xlfn.XLOOKUP($A381,CSV!$A:$A,CSV!Q:Q,""),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CSV!AE:AE,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_xlpm.CSVVal,_xlfn.XLOOKUP($A381,CSV!$A:$A,CSV!AG:AG,""),
_xlpm.MacVal,_xlfn.XLOOKUP($A381,Output_Mac!$A:$A,Output_Mac!T:T,""),
_xlpm.MyAuditVal,_xlfn.XLOOKUP($A381,My_Audit!$A:$A,My_Audit!O:O,""),
_xlfn.IFS(_xlpm.MyAuditVal&lt;&gt;"",UPPER(_xlpm.MyAuditVal),_xlpm.MacVal&lt;&gt;"",_xlpm.MacVal,_xlpm.CSVVal&lt;&gt;"",_xlpm.CSVVal
)),"")</f>
        <v/>
      </c>
      <c r="O381" s="46" t="str">
        <f>_xlfn.XLOOKUP(C381,My_Audit!B:B,My_Audit!P:P,"")&amp;""</f>
        <v/>
      </c>
      <c r="P381" s="45"/>
      <c r="Q381" s="46" t="str">
        <f>IF(LEFT(N381,4)="Pass","Nist SP 800-88",My_Audit!R381)&amp;""</f>
        <v/>
      </c>
      <c r="R381" s="45"/>
      <c r="S381" s="45"/>
      <c r="T381" s="46" t="str">
        <f>_xlfn.XLOOKUP(E381,Models!I:I,Models!J:J,"")</f>
        <v/>
      </c>
      <c r="U381" s="45"/>
      <c r="V381" s="45"/>
      <c r="W381" s="38" t="str">
        <f>_xlfn.LET(
    _xlpm.MacVal, _xlfn.XLOOKUP($A381, Output_Mac!$A:$A, Output_Mac!AA:AA, ""),
    _xlpm.MyAuditVal, _xlfn.XLOOKUP($A381, My_Audit!$A:$A, My_Audit!L:L, ""),
    _xlfn.TEXTJOIN(", ", TRUE, _xlpm.MyAuditVal, _xlpm.MacVal)
)</f>
        <v/>
      </c>
    </row>
    <row r="382" spans="1:23">
      <c r="A382" s="45" t="str">
        <f>_xlfn.TEXTJOIN("",TRUE,Input!$B$2,ROW(My_Audit!A381))</f>
        <v>CC381</v>
      </c>
      <c r="B382" s="45" t="str">
        <f>_xlfn.TEXTJOIN("-",TRUE,"ITD",Input!$A$2,A382)</f>
        <v>ITD-XXX-CC381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 cm="1">
        <f t="array" ref="D382">IFERROR(_xlfn.LET(
_xlpm.CSVVal,_xlfn.XLOOKUP($A382,CSV!$A:$A,CSV!C:C,""),
_xlpm.MacVal,_xlfn.XLOOKUP($A382,Output_Mac!$A:$A,Output_Mac!D:D,""),
_xlpm.MyAuditVal,_xlfn.XLOOKUP($A382,My_Audit!$A:$A,My_Audit!C:C,""),
_xlfn.IFS(_xlpm.MyAuditVal&lt;&gt;"",UPPER(_xlpm.MyAuditVal),_xlpm.MacVal&lt;&gt;"",_xlpm.MacVal,_xlpm.CSVVal&lt;&gt;"",_xlpm.CSVVal
)),"")</f>
        <v/>
      </c>
      <c r="E382" s="46" t="str" cm="1">
        <f t="array" ref="E382">IFERROR(_xlfn.LET(
_xlpm.CSVVal,_xlfn.XLOOKUP($A382,CSV!$A:$A,CSV!E:E,""),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_xlpm.CSVVal,_xlfn.XLOOKUP($A382,CSV!$A:$A,CSV!G:G,""),
_xlpm.MacVal,_xlfn.XLOOKUP($A382,Output_Mac!$A:$A,Output_Mac!G:G,""),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_xlfn.XLOOKUP(A382,Output_Mac!A:A,Output_Mac!H:H,"")</f>
        <v/>
      </c>
      <c r="I382" s="45" t="str" cm="1">
        <f t="array" ref="I382">IFERROR(_xlfn.LET(
_xlpm.CSVVal,_xlfn.XLOOKUP($A382,CSV!$A:$A,CSV!H:H,""),
_xlpm.MacVal,_xlfn.XLOOKUP($A382,Output_Mac!$A:$A,Output_Mac!I:I,""),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_xlpm.CSVVal,_xlfn.XLOOKUP($A382,CSV!$A:$A,CSV!J:J,""),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46" t="str" cm="1">
        <f t="array" ref="K382">IFERROR(_xlfn.LET(
_xlpm.CSVVal,_xlfn.XLOOKUP($A382,CSV!$A:$A,CSV!N:N,""),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_xlpm.CSVVal,_xlfn.XLOOKUP($A382,CSV!$A:$A,CSV!Q:Q,""),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CSV!AE:AE,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_xlpm.CSVVal,_xlfn.XLOOKUP($A382,CSV!$A:$A,CSV!AG:AG,""),
_xlpm.MacVal,_xlfn.XLOOKUP($A382,Output_Mac!$A:$A,Output_Mac!T:T,""),
_xlpm.MyAuditVal,_xlfn.XLOOKUP($A382,My_Audit!$A:$A,My_Audit!O:O,""),
_xlfn.IFS(_xlpm.MyAuditVal&lt;&gt;"",UPPER(_xlpm.MyAuditVal),_xlpm.MacVal&lt;&gt;"",_xlpm.MacVal,_xlpm.CSVVal&lt;&gt;"",_xlpm.CSVVal
)),"")</f>
        <v/>
      </c>
      <c r="O382" s="46" t="str">
        <f>_xlfn.XLOOKUP(C382,My_Audit!B:B,My_Audit!P:P,"")&amp;""</f>
        <v/>
      </c>
      <c r="P382" s="45"/>
      <c r="Q382" s="46" t="str">
        <f>IF(LEFT(N382,4)="Pass","Nist SP 800-88",My_Audit!R382)&amp;""</f>
        <v/>
      </c>
      <c r="R382" s="45"/>
      <c r="S382" s="45"/>
      <c r="T382" s="46" t="str">
        <f>_xlfn.XLOOKUP(E382,Models!I:I,Models!J:J,"")</f>
        <v/>
      </c>
      <c r="U382" s="45"/>
      <c r="V382" s="45"/>
      <c r="W382" s="38" t="str">
        <f>_xlfn.LET(
    _xlpm.MacVal, _xlfn.XLOOKUP($A382, Output_Mac!$A:$A, Output_Mac!AA:AA, ""),
    _xlpm.MyAuditVal, _xlfn.XLOOKUP($A382, My_Audit!$A:$A, My_Audit!L:L, ""),
    _xlfn.TEXTJOIN(", ", TRUE, _xlpm.MyAuditVal, _xlpm.MacVal)
)</f>
        <v/>
      </c>
    </row>
    <row r="383" spans="1:23">
      <c r="A383" s="45" t="str">
        <f>_xlfn.TEXTJOIN("",TRUE,Input!$B$2,ROW(My_Audit!A382))</f>
        <v>CC382</v>
      </c>
      <c r="B383" s="45" t="str">
        <f>_xlfn.TEXTJOIN("-",TRUE,"ITD",Input!$A$2,A383)</f>
        <v>ITD-XXX-CC382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 cm="1">
        <f t="array" ref="D383">IFERROR(_xlfn.LET(
_xlpm.CSVVal,_xlfn.XLOOKUP($A383,CSV!$A:$A,CSV!C:C,""),
_xlpm.MacVal,_xlfn.XLOOKUP($A383,Output_Mac!$A:$A,Output_Mac!D:D,""),
_xlpm.MyAuditVal,_xlfn.XLOOKUP($A383,My_Audit!$A:$A,My_Audit!C:C,""),
_xlfn.IFS(_xlpm.MyAuditVal&lt;&gt;"",UPPER(_xlpm.MyAuditVal),_xlpm.MacVal&lt;&gt;"",_xlpm.MacVal,_xlpm.CSVVal&lt;&gt;"",_xlpm.CSVVal
)),"")</f>
        <v/>
      </c>
      <c r="E383" s="46" t="str" cm="1">
        <f t="array" ref="E383">IFERROR(_xlfn.LET(
_xlpm.CSVVal,_xlfn.XLOOKUP($A383,CSV!$A:$A,CSV!E:E,""),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_xlpm.CSVVal,_xlfn.XLOOKUP($A383,CSV!$A:$A,CSV!G:G,""),
_xlpm.MacVal,_xlfn.XLOOKUP($A383,Output_Mac!$A:$A,Output_Mac!G:G,""),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_xlfn.XLOOKUP(A383,Output_Mac!A:A,Output_Mac!H:H,"")</f>
        <v/>
      </c>
      <c r="I383" s="45" t="str" cm="1">
        <f t="array" ref="I383">IFERROR(_xlfn.LET(
_xlpm.CSVVal,_xlfn.XLOOKUP($A383,CSV!$A:$A,CSV!H:H,""),
_xlpm.MacVal,_xlfn.XLOOKUP($A383,Output_Mac!$A:$A,Output_Mac!I:I,""),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_xlpm.CSVVal,_xlfn.XLOOKUP($A383,CSV!$A:$A,CSV!J:J,""),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46" t="str" cm="1">
        <f t="array" ref="K383">IFERROR(_xlfn.LET(
_xlpm.CSVVal,_xlfn.XLOOKUP($A383,CSV!$A:$A,CSV!N:N,""),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_xlpm.CSVVal,_xlfn.XLOOKUP($A383,CSV!$A:$A,CSV!Q:Q,""),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CSV!AE:AE,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_xlpm.CSVVal,_xlfn.XLOOKUP($A383,CSV!$A:$A,CSV!AG:AG,""),
_xlpm.MacVal,_xlfn.XLOOKUP($A383,Output_Mac!$A:$A,Output_Mac!T:T,""),
_xlpm.MyAuditVal,_xlfn.XLOOKUP($A383,My_Audit!$A:$A,My_Audit!O:O,""),
_xlfn.IFS(_xlpm.MyAuditVal&lt;&gt;"",UPPER(_xlpm.MyAuditVal),_xlpm.MacVal&lt;&gt;"",_xlpm.MacVal,_xlpm.CSVVal&lt;&gt;"",_xlpm.CSVVal
)),"")</f>
        <v/>
      </c>
      <c r="O383" s="46" t="str">
        <f>_xlfn.XLOOKUP(C383,My_Audit!B:B,My_Audit!P:P,"")&amp;""</f>
        <v/>
      </c>
      <c r="P383" s="45"/>
      <c r="Q383" s="46" t="str">
        <f>IF(LEFT(N383,4)="Pass","Nist SP 800-88",My_Audit!R383)&amp;""</f>
        <v/>
      </c>
      <c r="R383" s="45"/>
      <c r="S383" s="45"/>
      <c r="T383" s="46" t="str">
        <f>_xlfn.XLOOKUP(E383,Models!I:I,Models!J:J,"")</f>
        <v/>
      </c>
      <c r="U383" s="45"/>
      <c r="V383" s="45"/>
      <c r="W383" s="38" t="str">
        <f>_xlfn.LET(
    _xlpm.MacVal, _xlfn.XLOOKUP($A383, Output_Mac!$A:$A, Output_Mac!AA:AA, ""),
    _xlpm.MyAuditVal, _xlfn.XLOOKUP($A383, My_Audit!$A:$A, My_Audit!L:L, ""),
    _xlfn.TEXTJOIN(", ", TRUE, _xlpm.MyAuditVal, _xlpm.MacVal)
)</f>
        <v/>
      </c>
    </row>
    <row r="384" spans="1:23">
      <c r="A384" s="45" t="str">
        <f>_xlfn.TEXTJOIN("",TRUE,Input!$B$2,ROW(My_Audit!A383))</f>
        <v>CC383</v>
      </c>
      <c r="B384" s="45" t="str">
        <f>_xlfn.TEXTJOIN("-",TRUE,"ITD",Input!$A$2,A384)</f>
        <v>ITD-XXX-CC383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 cm="1">
        <f t="array" ref="D384">IFERROR(_xlfn.LET(
_xlpm.CSVVal,_xlfn.XLOOKUP($A384,CSV!$A:$A,CSV!C:C,""),
_xlpm.MacVal,_xlfn.XLOOKUP($A384,Output_Mac!$A:$A,Output_Mac!D:D,""),
_xlpm.MyAuditVal,_xlfn.XLOOKUP($A384,My_Audit!$A:$A,My_Audit!C:C,""),
_xlfn.IFS(_xlpm.MyAuditVal&lt;&gt;"",UPPER(_xlpm.MyAuditVal),_xlpm.MacVal&lt;&gt;"",_xlpm.MacVal,_xlpm.CSVVal&lt;&gt;"",_xlpm.CSVVal
)),"")</f>
        <v/>
      </c>
      <c r="E384" s="46" t="str" cm="1">
        <f t="array" ref="E384">IFERROR(_xlfn.LET(
_xlpm.CSVVal,_xlfn.XLOOKUP($A384,CSV!$A:$A,CSV!E:E,""),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_xlpm.CSVVal,_xlfn.XLOOKUP($A384,CSV!$A:$A,CSV!G:G,""),
_xlpm.MacVal,_xlfn.XLOOKUP($A384,Output_Mac!$A:$A,Output_Mac!G:G,""),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_xlfn.XLOOKUP(A384,Output_Mac!A:A,Output_Mac!H:H,"")</f>
        <v/>
      </c>
      <c r="I384" s="45" t="str" cm="1">
        <f t="array" ref="I384">IFERROR(_xlfn.LET(
_xlpm.CSVVal,_xlfn.XLOOKUP($A384,CSV!$A:$A,CSV!H:H,""),
_xlpm.MacVal,_xlfn.XLOOKUP($A384,Output_Mac!$A:$A,Output_Mac!I:I,""),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_xlpm.CSVVal,_xlfn.XLOOKUP($A384,CSV!$A:$A,CSV!J:J,""),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46" t="str" cm="1">
        <f t="array" ref="K384">IFERROR(_xlfn.LET(
_xlpm.CSVVal,_xlfn.XLOOKUP($A384,CSV!$A:$A,CSV!N:N,""),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_xlpm.CSVVal,_xlfn.XLOOKUP($A384,CSV!$A:$A,CSV!Q:Q,""),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CSV!AE:AE,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_xlpm.CSVVal,_xlfn.XLOOKUP($A384,CSV!$A:$A,CSV!AG:AG,""),
_xlpm.MacVal,_xlfn.XLOOKUP($A384,Output_Mac!$A:$A,Output_Mac!T:T,""),
_xlpm.MyAuditVal,_xlfn.XLOOKUP($A384,My_Audit!$A:$A,My_Audit!O:O,""),
_xlfn.IFS(_xlpm.MyAuditVal&lt;&gt;"",UPPER(_xlpm.MyAuditVal),_xlpm.MacVal&lt;&gt;"",_xlpm.MacVal,_xlpm.CSVVal&lt;&gt;"",_xlpm.CSVVal
)),"")</f>
        <v/>
      </c>
      <c r="O384" s="46" t="str">
        <f>_xlfn.XLOOKUP(C384,My_Audit!B:B,My_Audit!P:P,"")&amp;""</f>
        <v/>
      </c>
      <c r="P384" s="45"/>
      <c r="Q384" s="46" t="str">
        <f>IF(LEFT(N384,4)="Pass","Nist SP 800-88",My_Audit!R384)&amp;""</f>
        <v/>
      </c>
      <c r="R384" s="45"/>
      <c r="S384" s="45"/>
      <c r="T384" s="46" t="str">
        <f>_xlfn.XLOOKUP(E384,Models!I:I,Models!J:J,"")</f>
        <v/>
      </c>
      <c r="U384" s="45"/>
      <c r="V384" s="45"/>
      <c r="W384" s="38" t="str">
        <f>_xlfn.LET(
    _xlpm.MacVal, _xlfn.XLOOKUP($A384, Output_Mac!$A:$A, Output_Mac!AA:AA, ""),
    _xlpm.MyAuditVal, _xlfn.XLOOKUP($A384, My_Audit!$A:$A, My_Audit!L:L, ""),
    _xlfn.TEXTJOIN(", ", TRUE, _xlpm.MyAuditVal, _xlpm.MacVal)
)</f>
        <v/>
      </c>
    </row>
    <row r="385" spans="1:23">
      <c r="A385" s="45" t="str">
        <f>_xlfn.TEXTJOIN("",TRUE,Input!$B$2,ROW(My_Audit!A384))</f>
        <v>CC384</v>
      </c>
      <c r="B385" s="45" t="str">
        <f>_xlfn.TEXTJOIN("-",TRUE,"ITD",Input!$A$2,A385)</f>
        <v>ITD-XXX-CC384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 cm="1">
        <f t="array" ref="D385">IFERROR(_xlfn.LET(
_xlpm.CSVVal,_xlfn.XLOOKUP($A385,CSV!$A:$A,CSV!C:C,""),
_xlpm.MacVal,_xlfn.XLOOKUP($A385,Output_Mac!$A:$A,Output_Mac!D:D,""),
_xlpm.MyAuditVal,_xlfn.XLOOKUP($A385,My_Audit!$A:$A,My_Audit!C:C,""),
_xlfn.IFS(_xlpm.MyAuditVal&lt;&gt;"",UPPER(_xlpm.MyAuditVal),_xlpm.MacVal&lt;&gt;"",_xlpm.MacVal,_xlpm.CSVVal&lt;&gt;"",_xlpm.CSVVal
)),"")</f>
        <v/>
      </c>
      <c r="E385" s="46" t="str" cm="1">
        <f t="array" ref="E385">IFERROR(_xlfn.LET(
_xlpm.CSVVal,_xlfn.XLOOKUP($A385,CSV!$A:$A,CSV!E:E,""),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_xlpm.CSVVal,_xlfn.XLOOKUP($A385,CSV!$A:$A,CSV!G:G,""),
_xlpm.MacVal,_xlfn.XLOOKUP($A385,Output_Mac!$A:$A,Output_Mac!G:G,""),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_xlfn.XLOOKUP(A385,Output_Mac!A:A,Output_Mac!H:H,"")</f>
        <v/>
      </c>
      <c r="I385" s="45" t="str" cm="1">
        <f t="array" ref="I385">IFERROR(_xlfn.LET(
_xlpm.CSVVal,_xlfn.XLOOKUP($A385,CSV!$A:$A,CSV!H:H,""),
_xlpm.MacVal,_xlfn.XLOOKUP($A385,Output_Mac!$A:$A,Output_Mac!I:I,""),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_xlpm.CSVVal,_xlfn.XLOOKUP($A385,CSV!$A:$A,CSV!J:J,""),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46" t="str" cm="1">
        <f t="array" ref="K385">IFERROR(_xlfn.LET(
_xlpm.CSVVal,_xlfn.XLOOKUP($A385,CSV!$A:$A,CSV!N:N,""),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_xlpm.CSVVal,_xlfn.XLOOKUP($A385,CSV!$A:$A,CSV!Q:Q,""),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CSV!AE:AE,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_xlpm.CSVVal,_xlfn.XLOOKUP($A385,CSV!$A:$A,CSV!AG:AG,""),
_xlpm.MacVal,_xlfn.XLOOKUP($A385,Output_Mac!$A:$A,Output_Mac!T:T,""),
_xlpm.MyAuditVal,_xlfn.XLOOKUP($A385,My_Audit!$A:$A,My_Audit!O:O,""),
_xlfn.IFS(_xlpm.MyAuditVal&lt;&gt;"",UPPER(_xlpm.MyAuditVal),_xlpm.MacVal&lt;&gt;"",_xlpm.MacVal,_xlpm.CSVVal&lt;&gt;"",_xlpm.CSVVal
)),"")</f>
        <v/>
      </c>
      <c r="O385" s="46" t="str">
        <f>_xlfn.XLOOKUP(C385,My_Audit!B:B,My_Audit!P:P,"")&amp;""</f>
        <v/>
      </c>
      <c r="P385" s="45"/>
      <c r="Q385" s="46" t="str">
        <f>IF(LEFT(N385,4)="Pass","Nist SP 800-88",My_Audit!R385)&amp;""</f>
        <v/>
      </c>
      <c r="R385" s="45"/>
      <c r="S385" s="45"/>
      <c r="T385" s="46" t="str">
        <f>_xlfn.XLOOKUP(E385,Models!I:I,Models!J:J,"")</f>
        <v/>
      </c>
      <c r="U385" s="45"/>
      <c r="V385" s="45"/>
      <c r="W385" s="38" t="str">
        <f>_xlfn.LET(
    _xlpm.MacVal, _xlfn.XLOOKUP($A385, Output_Mac!$A:$A, Output_Mac!AA:AA, ""),
    _xlpm.MyAuditVal, _xlfn.XLOOKUP($A385, My_Audit!$A:$A, My_Audit!L:L, ""),
    _xlfn.TEXTJOIN(", ", TRUE, _xlpm.MyAuditVal, _xlpm.MacVal)
)</f>
        <v/>
      </c>
    </row>
    <row r="386" spans="1:23">
      <c r="A386" s="45" t="str">
        <f>_xlfn.TEXTJOIN("",TRUE,Input!$B$2,ROW(My_Audit!A385))</f>
        <v>CC385</v>
      </c>
      <c r="B386" s="45" t="str">
        <f>_xlfn.TEXTJOIN("-",TRUE,"ITD",Input!$A$2,A386)</f>
        <v>ITD-XXX-CC385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 cm="1">
        <f t="array" ref="D386">IFERROR(_xlfn.LET(
_xlpm.CSVVal,_xlfn.XLOOKUP($A386,CSV!$A:$A,CSV!C:C,""),
_xlpm.MacVal,_xlfn.XLOOKUP($A386,Output_Mac!$A:$A,Output_Mac!D:D,""),
_xlpm.MyAuditVal,_xlfn.XLOOKUP($A386,My_Audit!$A:$A,My_Audit!C:C,""),
_xlfn.IFS(_xlpm.MyAuditVal&lt;&gt;"",UPPER(_xlpm.MyAuditVal),_xlpm.MacVal&lt;&gt;"",_xlpm.MacVal,_xlpm.CSVVal&lt;&gt;"",_xlpm.CSVVal
)),"")</f>
        <v/>
      </c>
      <c r="E386" s="46" t="str" cm="1">
        <f t="array" ref="E386">IFERROR(_xlfn.LET(
_xlpm.CSVVal,_xlfn.XLOOKUP($A386,CSV!$A:$A,CSV!E:E,""),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_xlpm.CSVVal,_xlfn.XLOOKUP($A386,CSV!$A:$A,CSV!G:G,""),
_xlpm.MacVal,_xlfn.XLOOKUP($A386,Output_Mac!$A:$A,Output_Mac!G:G,""),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_xlfn.XLOOKUP(A386,Output_Mac!A:A,Output_Mac!H:H,"")</f>
        <v/>
      </c>
      <c r="I386" s="45" t="str" cm="1">
        <f t="array" ref="I386">IFERROR(_xlfn.LET(
_xlpm.CSVVal,_xlfn.XLOOKUP($A386,CSV!$A:$A,CSV!H:H,""),
_xlpm.MacVal,_xlfn.XLOOKUP($A386,Output_Mac!$A:$A,Output_Mac!I:I,""),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_xlpm.CSVVal,_xlfn.XLOOKUP($A386,CSV!$A:$A,CSV!J:J,""),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46" t="str" cm="1">
        <f t="array" ref="K386">IFERROR(_xlfn.LET(
_xlpm.CSVVal,_xlfn.XLOOKUP($A386,CSV!$A:$A,CSV!N:N,""),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_xlpm.CSVVal,_xlfn.XLOOKUP($A386,CSV!$A:$A,CSV!P:P,""),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CSV!AE:AE,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_xlpm.CSVVal,_xlfn.XLOOKUP($A386,CSV!$A:$A,CSV!AG:AG,""),
_xlpm.MacVal,_xlfn.XLOOKUP($A386,Output_Mac!$A:$A,Output_Mac!T:T,""),
_xlpm.MyAuditVal,_xlfn.XLOOKUP($A386,My_Audit!$A:$A,My_Audit!O:O,""),
_xlfn.IFS(_xlpm.MyAuditVal&lt;&gt;"",UPPER(_xlpm.MyAuditVal),_xlpm.MacVal&lt;&gt;"",_xlpm.MacVal,_xlpm.CSVVal&lt;&gt;"",_xlpm.CSVVal
)),"")</f>
        <v/>
      </c>
      <c r="O386" s="46" t="str">
        <f>_xlfn.XLOOKUP(C386,My_Audit!B:B,My_Audit!P:P,"")&amp;""</f>
        <v/>
      </c>
      <c r="P386" s="45"/>
      <c r="Q386" s="46" t="str">
        <f>IF(LEFT(N386,4)="Pass","Nist SP 800-88",My_Audit!R386)&amp;""</f>
        <v/>
      </c>
      <c r="R386" s="45"/>
      <c r="S386" s="45"/>
      <c r="T386" s="46" t="str">
        <f>_xlfn.XLOOKUP(E386,Models!I:I,Models!J:J,"")</f>
        <v/>
      </c>
      <c r="U386" s="45"/>
      <c r="V386" s="45"/>
      <c r="W386" s="38" t="str">
        <f>_xlfn.LET(
    _xlpm.MacVal, _xlfn.XLOOKUP($A386, Output_Mac!$A:$A, Output_Mac!AA:AA, ""),
    _xlpm.MyAuditVal, _xlfn.XLOOKUP($A386, My_Audit!$A:$A, My_Audit!L:L, ""),
    _xlfn.TEXTJOIN(", ", TRUE, _xlpm.MyAuditVal, _xlpm.MacVal)
)</f>
        <v/>
      </c>
    </row>
    <row r="387" spans="1:23">
      <c r="A387" s="45" t="str">
        <f>_xlfn.TEXTJOIN("",TRUE,Input!$B$2,ROW(My_Audit!A386))</f>
        <v>CC386</v>
      </c>
      <c r="B387" s="45" t="str">
        <f>_xlfn.TEXTJOIN("-",TRUE,"ITD",Input!$A$2,A387)</f>
        <v>ITD-XXX-CC386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 cm="1">
        <f t="array" ref="D387">IFERROR(_xlfn.LET(
_xlpm.CSVVal,_xlfn.XLOOKUP($A387,CSV!$A:$A,CSV!C:C,""),
_xlpm.MacVal,_xlfn.XLOOKUP($A387,Output_Mac!$A:$A,Output_Mac!D:D,""),
_xlpm.MyAuditVal,_xlfn.XLOOKUP($A387,My_Audit!$A:$A,My_Audit!C:C,""),
_xlfn.IFS(_xlpm.MyAuditVal&lt;&gt;"",UPPER(_xlpm.MyAuditVal),_xlpm.MacVal&lt;&gt;"",_xlpm.MacVal,_xlpm.CSVVal&lt;&gt;"",_xlpm.CSVVal
)),"")</f>
        <v/>
      </c>
      <c r="E387" s="46" t="str" cm="1">
        <f t="array" ref="E387">IFERROR(_xlfn.LET(
_xlpm.CSVVal,_xlfn.XLOOKUP($A387,CSV!$A:$A,CSV!E:E,""),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_xlpm.CSVVal,_xlfn.XLOOKUP($A387,CSV!$A:$A,CSV!G:G,""),
_xlpm.MacVal,_xlfn.XLOOKUP($A387,Output_Mac!$A:$A,Output_Mac!G:G,""),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_xlfn.XLOOKUP(A387,Output_Mac!A:A,Output_Mac!H:H,"")</f>
        <v/>
      </c>
      <c r="I387" s="45" t="str" cm="1">
        <f t="array" ref="I387">IFERROR(_xlfn.LET(
_xlpm.CSVVal,_xlfn.XLOOKUP($A387,CSV!$A:$A,CSV!H:H,""),
_xlpm.MacVal,_xlfn.XLOOKUP($A387,Output_Mac!$A:$A,Output_Mac!I:I,""),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_xlpm.CSVVal,_xlfn.XLOOKUP($A387,CSV!$A:$A,CSV!J:J,""),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46" t="str" cm="1">
        <f t="array" ref="K387">IFERROR(_xlfn.LET(
_xlpm.CSVVal,_xlfn.XLOOKUP($A387,CSV!$A:$A,CSV!N:N,""),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_xlpm.CSVVal,_xlfn.XLOOKUP($A387,CSV!$A:$A,CSV!P:P,""),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CSV!AE:AE,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_xlpm.CSVVal,_xlfn.XLOOKUP($A387,CSV!$A:$A,CSV!AG:AG,""),
_xlpm.MacVal,_xlfn.XLOOKUP($A387,Output_Mac!$A:$A,Output_Mac!T:T,""),
_xlpm.MyAuditVal,_xlfn.XLOOKUP($A387,My_Audit!$A:$A,My_Audit!O:O,""),
_xlfn.IFS(_xlpm.MyAuditVal&lt;&gt;"",UPPER(_xlpm.MyAuditVal),_xlpm.MacVal&lt;&gt;"",_xlpm.MacVal,_xlpm.CSVVal&lt;&gt;"",_xlpm.CSVVal
)),"")</f>
        <v/>
      </c>
      <c r="O387" s="46" t="str">
        <f>_xlfn.XLOOKUP(C387,My_Audit!B:B,My_Audit!P:P,"")&amp;""</f>
        <v/>
      </c>
      <c r="P387" s="45"/>
      <c r="Q387" s="46" t="str">
        <f>IF(LEFT(N387,4)="Pass","Nist SP 800-88",My_Audit!R387)&amp;""</f>
        <v/>
      </c>
      <c r="R387" s="45"/>
      <c r="S387" s="45"/>
      <c r="T387" s="46" t="str">
        <f>_xlfn.XLOOKUP(E387,Models!I:I,Models!J:J,"")</f>
        <v/>
      </c>
      <c r="U387" s="45"/>
      <c r="V387" s="45"/>
      <c r="W387" s="38" t="str">
        <f>_xlfn.LET(
    _xlpm.MacVal, _xlfn.XLOOKUP($A387, Output_Mac!$A:$A, Output_Mac!AA:AA, ""),
    _xlpm.MyAuditVal, _xlfn.XLOOKUP($A387, My_Audit!$A:$A, My_Audit!L:L, ""),
    _xlfn.TEXTJOIN(", ", TRUE, _xlpm.MyAuditVal, _xlpm.MacVal)
)</f>
        <v/>
      </c>
    </row>
    <row r="388" spans="1:23">
      <c r="A388" s="45" t="str">
        <f>_xlfn.TEXTJOIN("",TRUE,Input!$B$2,ROW(My_Audit!A387))</f>
        <v>CC387</v>
      </c>
      <c r="B388" s="45" t="str">
        <f>_xlfn.TEXTJOIN("-",TRUE,"ITD",Input!$A$2,A388)</f>
        <v>ITD-XXX-CC387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 cm="1">
        <f t="array" ref="D388">IFERROR(_xlfn.LET(
_xlpm.CSVVal,_xlfn.XLOOKUP($A388,CSV!$A:$A,CSV!C:C,""),
_xlpm.MacVal,_xlfn.XLOOKUP($A388,Output_Mac!$A:$A,Output_Mac!D:D,""),
_xlpm.MyAuditVal,_xlfn.XLOOKUP($A388,My_Audit!$A:$A,My_Audit!C:C,""),
_xlfn.IFS(_xlpm.MyAuditVal&lt;&gt;"",UPPER(_xlpm.MyAuditVal),_xlpm.MacVal&lt;&gt;"",_xlpm.MacVal,_xlpm.CSVVal&lt;&gt;"",_xlpm.CSVVal
)),"")</f>
        <v/>
      </c>
      <c r="E388" s="46" t="str" cm="1">
        <f t="array" ref="E388">IFERROR(_xlfn.LET(
_xlpm.CSVVal,_xlfn.XLOOKUP($A388,CSV!$A:$A,CSV!E:E,""),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_xlpm.CSVVal,_xlfn.XLOOKUP($A388,CSV!$A:$A,CSV!G:G,""),
_xlpm.MacVal,_xlfn.XLOOKUP($A388,Output_Mac!$A:$A,Output_Mac!G:G,""),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_xlfn.XLOOKUP(A388,Output_Mac!A:A,Output_Mac!H:H,"")</f>
        <v/>
      </c>
      <c r="I388" s="45" t="str" cm="1">
        <f t="array" ref="I388">IFERROR(_xlfn.LET(
_xlpm.CSVVal,_xlfn.XLOOKUP($A388,CSV!$A:$A,CSV!H:H,""),
_xlpm.MacVal,_xlfn.XLOOKUP($A388,Output_Mac!$A:$A,Output_Mac!I:I,""),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_xlpm.CSVVal,_xlfn.XLOOKUP($A388,CSV!$A:$A,CSV!J:J,""),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46" t="str" cm="1">
        <f t="array" ref="K388">IFERROR(_xlfn.LET(
_xlpm.CSVVal,_xlfn.XLOOKUP($A388,CSV!$A:$A,CSV!N:N,""),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_xlpm.CSVVal,_xlfn.XLOOKUP($A388,CSV!$A:$A,CSV!P:P,""),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CSV!AE:AE,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_xlpm.CSVVal,_xlfn.XLOOKUP($A388,CSV!$A:$A,CSV!AG:AG,""),
_xlpm.MacVal,_xlfn.XLOOKUP($A388,Output_Mac!$A:$A,Output_Mac!T:T,""),
_xlpm.MyAuditVal,_xlfn.XLOOKUP($A388,My_Audit!$A:$A,My_Audit!O:O,""),
_xlfn.IFS(_xlpm.MyAuditVal&lt;&gt;"",UPPER(_xlpm.MyAuditVal),_xlpm.MacVal&lt;&gt;"",_xlpm.MacVal,_xlpm.CSVVal&lt;&gt;"",_xlpm.CSVVal
)),"")</f>
        <v/>
      </c>
      <c r="O388" s="46" t="str">
        <f>_xlfn.XLOOKUP(C388,My_Audit!B:B,My_Audit!P:P,"")&amp;""</f>
        <v/>
      </c>
      <c r="P388" s="45"/>
      <c r="Q388" s="46" t="str">
        <f>IF(LEFT(N388,4)="Pass","Nist SP 800-88",My_Audit!R388)&amp;""</f>
        <v/>
      </c>
      <c r="R388" s="45"/>
      <c r="S388" s="45"/>
      <c r="T388" s="46" t="str">
        <f>_xlfn.XLOOKUP(E388,Models!I:I,Models!J:J,"")</f>
        <v/>
      </c>
      <c r="U388" s="45"/>
      <c r="V388" s="45"/>
      <c r="W388" s="38" t="str">
        <f>_xlfn.LET(
    _xlpm.MacVal, _xlfn.XLOOKUP($A388, Output_Mac!$A:$A, Output_Mac!AA:AA, ""),
    _xlpm.MyAuditVal, _xlfn.XLOOKUP($A388, My_Audit!$A:$A, My_Audit!L:L, ""),
    _xlfn.TEXTJOIN(", ", TRUE, _xlpm.MyAuditVal, _xlpm.MacVal)
)</f>
        <v/>
      </c>
    </row>
    <row r="389" spans="1:23">
      <c r="A389" s="45" t="str">
        <f>_xlfn.TEXTJOIN("",TRUE,Input!$B$2,ROW(My_Audit!A388))</f>
        <v>CC388</v>
      </c>
      <c r="B389" s="45" t="str">
        <f>_xlfn.TEXTJOIN("-",TRUE,"ITD",Input!$A$2,A389)</f>
        <v>ITD-XXX-CC388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 cm="1">
        <f t="array" ref="D389">IFERROR(_xlfn.LET(
_xlpm.CSVVal,_xlfn.XLOOKUP($A389,CSV!$A:$A,CSV!C:C,""),
_xlpm.MacVal,_xlfn.XLOOKUP($A389,Output_Mac!$A:$A,Output_Mac!D:D,""),
_xlpm.MyAuditVal,_xlfn.XLOOKUP($A389,My_Audit!$A:$A,My_Audit!C:C,""),
_xlfn.IFS(_xlpm.MyAuditVal&lt;&gt;"",UPPER(_xlpm.MyAuditVal),_xlpm.MacVal&lt;&gt;"",_xlpm.MacVal,_xlpm.CSVVal&lt;&gt;"",_xlpm.CSVVal
)),"")</f>
        <v/>
      </c>
      <c r="E389" s="46" t="str" cm="1">
        <f t="array" ref="E389">IFERROR(_xlfn.LET(
_xlpm.CSVVal,_xlfn.XLOOKUP($A389,CSV!$A:$A,CSV!E:E,""),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_xlpm.CSVVal,_xlfn.XLOOKUP($A389,CSV!$A:$A,CSV!G:G,""),
_xlpm.MacVal,_xlfn.XLOOKUP($A389,Output_Mac!$A:$A,Output_Mac!G:G,""),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_xlfn.XLOOKUP(A389,Output_Mac!A:A,Output_Mac!H:H,"")</f>
        <v/>
      </c>
      <c r="I389" s="45" t="str" cm="1">
        <f t="array" ref="I389">IFERROR(_xlfn.LET(
_xlpm.CSVVal,_xlfn.XLOOKUP($A389,CSV!$A:$A,CSV!H:H,""),
_xlpm.MacVal,_xlfn.XLOOKUP($A389,Output_Mac!$A:$A,Output_Mac!I:I,""),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_xlpm.CSVVal,_xlfn.XLOOKUP($A389,CSV!$A:$A,CSV!J:J,""),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46" t="str" cm="1">
        <f t="array" ref="K389">IFERROR(_xlfn.LET(
_xlpm.CSVVal,_xlfn.XLOOKUP($A389,CSV!$A:$A,CSV!N:N,""),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_xlpm.CSVVal,_xlfn.XLOOKUP($A389,CSV!$A:$A,CSV!P:P,""),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CSV!AE:AE,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_xlpm.CSVVal,_xlfn.XLOOKUP($A389,CSV!$A:$A,CSV!AG:AG,""),
_xlpm.MacVal,_xlfn.XLOOKUP($A389,Output_Mac!$A:$A,Output_Mac!T:T,""),
_xlpm.MyAuditVal,_xlfn.XLOOKUP($A389,My_Audit!$A:$A,My_Audit!O:O,""),
_xlfn.IFS(_xlpm.MyAuditVal&lt;&gt;"",UPPER(_xlpm.MyAuditVal),_xlpm.MacVal&lt;&gt;"",_xlpm.MacVal,_xlpm.CSVVal&lt;&gt;"",_xlpm.CSVVal
)),"")</f>
        <v/>
      </c>
      <c r="O389" s="46" t="str">
        <f>_xlfn.XLOOKUP(C389,My_Audit!B:B,My_Audit!P:P,"")&amp;""</f>
        <v/>
      </c>
      <c r="P389" s="45"/>
      <c r="Q389" s="46" t="str">
        <f>IF(LEFT(N389,4)="Pass","Nist SP 800-88",My_Audit!R389)&amp;""</f>
        <v/>
      </c>
      <c r="R389" s="45"/>
      <c r="S389" s="45"/>
      <c r="T389" s="46" t="str">
        <f>_xlfn.XLOOKUP(E389,Models!I:I,Models!J:J,"")</f>
        <v/>
      </c>
      <c r="U389" s="45"/>
      <c r="V389" s="45"/>
      <c r="W389" s="38" t="str">
        <f>_xlfn.LET(
    _xlpm.MacVal, _xlfn.XLOOKUP($A389, Output_Mac!$A:$A, Output_Mac!AA:AA, ""),
    _xlpm.MyAuditVal, _xlfn.XLOOKUP($A389, My_Audit!$A:$A, My_Audit!L:L, ""),
    _xlfn.TEXTJOIN(", ", TRUE, _xlpm.MyAuditVal, _xlpm.MacVal)
)</f>
        <v/>
      </c>
    </row>
    <row r="390" spans="1:23">
      <c r="A390" s="45" t="str">
        <f>_xlfn.TEXTJOIN("",TRUE,Input!$B$2,ROW(My_Audit!A389))</f>
        <v>CC389</v>
      </c>
      <c r="B390" s="45" t="str">
        <f>_xlfn.TEXTJOIN("-",TRUE,"ITD",Input!$A$2,A390)</f>
        <v>ITD-XXX-CC389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 cm="1">
        <f t="array" ref="D390">IFERROR(_xlfn.LET(
_xlpm.CSVVal,_xlfn.XLOOKUP($A390,CSV!$A:$A,CSV!C:C,""),
_xlpm.MacVal,_xlfn.XLOOKUP($A390,Output_Mac!$A:$A,Output_Mac!D:D,""),
_xlpm.MyAuditVal,_xlfn.XLOOKUP($A390,My_Audit!$A:$A,My_Audit!C:C,""),
_xlfn.IFS(_xlpm.MyAuditVal&lt;&gt;"",UPPER(_xlpm.MyAuditVal),_xlpm.MacVal&lt;&gt;"",_xlpm.MacVal,_xlpm.CSVVal&lt;&gt;"",_xlpm.CSVVal
)),"")</f>
        <v/>
      </c>
      <c r="E390" s="46" t="str" cm="1">
        <f t="array" ref="E390">IFERROR(_xlfn.LET(
_xlpm.CSVVal,_xlfn.XLOOKUP($A390,CSV!$A:$A,CSV!E:E,""),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_xlpm.CSVVal,_xlfn.XLOOKUP($A390,CSV!$A:$A,CSV!G:G,""),
_xlpm.MacVal,_xlfn.XLOOKUP($A390,Output_Mac!$A:$A,Output_Mac!G:G,""),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_xlfn.XLOOKUP(A390,Output_Mac!A:A,Output_Mac!H:H,"")</f>
        <v/>
      </c>
      <c r="I390" s="45" t="str" cm="1">
        <f t="array" ref="I390">IFERROR(_xlfn.LET(
_xlpm.CSVVal,_xlfn.XLOOKUP($A390,CSV!$A:$A,CSV!H:H,""),
_xlpm.MacVal,_xlfn.XLOOKUP($A390,Output_Mac!$A:$A,Output_Mac!I:I,""),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_xlpm.CSVVal,_xlfn.XLOOKUP($A390,CSV!$A:$A,CSV!J:J,""),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46" t="str" cm="1">
        <f t="array" ref="K390">IFERROR(_xlfn.LET(
_xlpm.CSVVal,_xlfn.XLOOKUP($A390,CSV!$A:$A,CSV!N:N,""),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_xlpm.CSVVal,_xlfn.XLOOKUP($A390,CSV!$A:$A,CSV!P:P,""),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CSV!AE:AE,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_xlpm.CSVVal,_xlfn.XLOOKUP($A390,CSV!$A:$A,CSV!AG:AG,""),
_xlpm.MacVal,_xlfn.XLOOKUP($A390,Output_Mac!$A:$A,Output_Mac!T:T,""),
_xlpm.MyAuditVal,_xlfn.XLOOKUP($A390,My_Audit!$A:$A,My_Audit!O:O,""),
_xlfn.IFS(_xlpm.MyAuditVal&lt;&gt;"",UPPER(_xlpm.MyAuditVal),_xlpm.MacVal&lt;&gt;"",_xlpm.MacVal,_xlpm.CSVVal&lt;&gt;"",_xlpm.CSVVal
)),"")</f>
        <v/>
      </c>
      <c r="O390" s="46" t="str">
        <f>_xlfn.XLOOKUP(C390,My_Audit!B:B,My_Audit!P:P,"")&amp;""</f>
        <v/>
      </c>
      <c r="P390" s="45"/>
      <c r="Q390" s="46" t="str">
        <f>IF(LEFT(N390,4)="Pass","Nist SP 800-88",My_Audit!R390)&amp;""</f>
        <v/>
      </c>
      <c r="R390" s="45"/>
      <c r="S390" s="45"/>
      <c r="T390" s="46" t="str">
        <f>_xlfn.XLOOKUP(E390,Models!I:I,Models!J:J,"")</f>
        <v/>
      </c>
      <c r="U390" s="45"/>
      <c r="V390" s="45"/>
      <c r="W390" s="38" t="str">
        <f>_xlfn.LET(
    _xlpm.MacVal, _xlfn.XLOOKUP($A390, Output_Mac!$A:$A, Output_Mac!AA:AA, ""),
    _xlpm.MyAuditVal, _xlfn.XLOOKUP($A390, My_Audit!$A:$A, My_Audit!L:L, ""),
    _xlfn.TEXTJOIN(", ", TRUE, _xlpm.MyAuditVal, _xlpm.MacVal)
)</f>
        <v/>
      </c>
    </row>
    <row r="391" spans="1:23">
      <c r="A391" s="45" t="str">
        <f>_xlfn.TEXTJOIN("",TRUE,Input!$B$2,ROW(My_Audit!A390))</f>
        <v>CC390</v>
      </c>
      <c r="B391" s="45" t="str">
        <f>_xlfn.TEXTJOIN("-",TRUE,"ITD",Input!$A$2,A391)</f>
        <v>ITD-XXX-CC390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 cm="1">
        <f t="array" ref="D391">IFERROR(_xlfn.LET(
_xlpm.CSVVal,_xlfn.XLOOKUP($A391,CSV!$A:$A,CSV!C:C,""),
_xlpm.MacVal,_xlfn.XLOOKUP($A391,Output_Mac!$A:$A,Output_Mac!D:D,""),
_xlpm.MyAuditVal,_xlfn.XLOOKUP($A391,My_Audit!$A:$A,My_Audit!C:C,""),
_xlfn.IFS(_xlpm.MyAuditVal&lt;&gt;"",UPPER(_xlpm.MyAuditVal),_xlpm.MacVal&lt;&gt;"",_xlpm.MacVal,_xlpm.CSVVal&lt;&gt;"",_xlpm.CSVVal
)),"")</f>
        <v/>
      </c>
      <c r="E391" s="46" t="str" cm="1">
        <f t="array" ref="E391">IFERROR(_xlfn.LET(
_xlpm.CSVVal,_xlfn.XLOOKUP($A391,CSV!$A:$A,CSV!E:E,""),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_xlpm.CSVVal,_xlfn.XLOOKUP($A391,CSV!$A:$A,CSV!G:G,""),
_xlpm.MacVal,_xlfn.XLOOKUP($A391,Output_Mac!$A:$A,Output_Mac!G:G,""),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_xlfn.XLOOKUP(A391,Output_Mac!A:A,Output_Mac!H:H,"")</f>
        <v/>
      </c>
      <c r="I391" s="45" t="str" cm="1">
        <f t="array" ref="I391">IFERROR(_xlfn.LET(
_xlpm.CSVVal,_xlfn.XLOOKUP($A391,CSV!$A:$A,CSV!H:H,""),
_xlpm.MacVal,_xlfn.XLOOKUP($A391,Output_Mac!$A:$A,Output_Mac!I:I,""),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_xlpm.CSVVal,_xlfn.XLOOKUP($A391,CSV!$A:$A,CSV!J:J,""),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46" t="str" cm="1">
        <f t="array" ref="K391">IFERROR(_xlfn.LET(
_xlpm.CSVVal,_xlfn.XLOOKUP($A391,CSV!$A:$A,CSV!N:N,""),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_xlpm.CSVVal,_xlfn.XLOOKUP($A391,CSV!$A:$A,CSV!P:P,""),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CSV!AE:AE,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_xlpm.CSVVal,_xlfn.XLOOKUP($A391,CSV!$A:$A,CSV!AG:AG,""),
_xlpm.MacVal,_xlfn.XLOOKUP($A391,Output_Mac!$A:$A,Output_Mac!T:T,""),
_xlpm.MyAuditVal,_xlfn.XLOOKUP($A391,My_Audit!$A:$A,My_Audit!O:O,""),
_xlfn.IFS(_xlpm.MyAuditVal&lt;&gt;"",UPPER(_xlpm.MyAuditVal),_xlpm.MacVal&lt;&gt;"",_xlpm.MacVal,_xlpm.CSVVal&lt;&gt;"",_xlpm.CSVVal
)),"")</f>
        <v/>
      </c>
      <c r="O391" s="46" t="str">
        <f>_xlfn.XLOOKUP(C391,My_Audit!B:B,My_Audit!P:P,"")&amp;""</f>
        <v/>
      </c>
      <c r="P391" s="45"/>
      <c r="Q391" s="46" t="str">
        <f>IF(LEFT(N391,4)="Pass","Nist SP 800-88",My_Audit!R391)&amp;""</f>
        <v/>
      </c>
      <c r="R391" s="45"/>
      <c r="S391" s="45"/>
      <c r="T391" s="46" t="str">
        <f>_xlfn.XLOOKUP(E391,Models!I:I,Models!J:J,"")</f>
        <v/>
      </c>
      <c r="U391" s="45"/>
      <c r="V391" s="45"/>
      <c r="W391" s="38" t="str">
        <f>_xlfn.LET(
    _xlpm.MacVal, _xlfn.XLOOKUP($A391, Output_Mac!$A:$A, Output_Mac!AA:AA, ""),
    _xlpm.MyAuditVal, _xlfn.XLOOKUP($A391, My_Audit!$A:$A, My_Audit!L:L, ""),
    _xlfn.TEXTJOIN(", ", TRUE, _xlpm.MyAuditVal, _xlpm.MacVal)
)</f>
        <v/>
      </c>
    </row>
    <row r="392" spans="1:23">
      <c r="A392" s="45" t="str">
        <f>_xlfn.TEXTJOIN("",TRUE,Input!$B$2,ROW(My_Audit!A391))</f>
        <v>CC391</v>
      </c>
      <c r="B392" s="45" t="str">
        <f>_xlfn.TEXTJOIN("-",TRUE,"ITD",Input!$A$2,A392)</f>
        <v>ITD-XXX-CC391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 cm="1">
        <f t="array" ref="D392">IFERROR(_xlfn.LET(
_xlpm.CSVVal,_xlfn.XLOOKUP($A392,CSV!$A:$A,CSV!C:C,""),
_xlpm.MacVal,_xlfn.XLOOKUP($A392,Output_Mac!$A:$A,Output_Mac!D:D,""),
_xlpm.MyAuditVal,_xlfn.XLOOKUP($A392,My_Audit!$A:$A,My_Audit!C:C,""),
_xlfn.IFS(_xlpm.MyAuditVal&lt;&gt;"",UPPER(_xlpm.MyAuditVal),_xlpm.MacVal&lt;&gt;"",_xlpm.MacVal,_xlpm.CSVVal&lt;&gt;"",_xlpm.CSVVal
)),"")</f>
        <v/>
      </c>
      <c r="E392" s="46" t="str" cm="1">
        <f t="array" ref="E392">IFERROR(_xlfn.LET(
_xlpm.CSVVal,_xlfn.XLOOKUP($A392,CSV!$A:$A,CSV!E:E,""),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_xlpm.CSVVal,_xlfn.XLOOKUP($A392,CSV!$A:$A,CSV!G:G,""),
_xlpm.MacVal,_xlfn.XLOOKUP($A392,Output_Mac!$A:$A,Output_Mac!G:G,""),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_xlfn.XLOOKUP(A392,Output_Mac!A:A,Output_Mac!H:H,"")</f>
        <v/>
      </c>
      <c r="I392" s="45" t="str" cm="1">
        <f t="array" ref="I392">IFERROR(_xlfn.LET(
_xlpm.CSVVal,_xlfn.XLOOKUP($A392,CSV!$A:$A,CSV!H:H,""),
_xlpm.MacVal,_xlfn.XLOOKUP($A392,Output_Mac!$A:$A,Output_Mac!I:I,""),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_xlpm.CSVVal,_xlfn.XLOOKUP($A392,CSV!$A:$A,CSV!J:J,""),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46" t="str" cm="1">
        <f t="array" ref="K392">IFERROR(_xlfn.LET(
_xlpm.CSVVal,_xlfn.XLOOKUP($A392,CSV!$A:$A,CSV!N:N,""),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_xlpm.CSVVal,_xlfn.XLOOKUP($A392,CSV!$A:$A,CSV!P:P,""),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CSV!AE:AE,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_xlpm.CSVVal,_xlfn.XLOOKUP($A392,CSV!$A:$A,CSV!AG:AG,""),
_xlpm.MacVal,_xlfn.XLOOKUP($A392,Output_Mac!$A:$A,Output_Mac!T:T,""),
_xlpm.MyAuditVal,_xlfn.XLOOKUP($A392,My_Audit!$A:$A,My_Audit!O:O,""),
_xlfn.IFS(_xlpm.MyAuditVal&lt;&gt;"",UPPER(_xlpm.MyAuditVal),_xlpm.MacVal&lt;&gt;"",_xlpm.MacVal,_xlpm.CSVVal&lt;&gt;"",_xlpm.CSVVal
)),"")</f>
        <v/>
      </c>
      <c r="O392" s="46" t="str">
        <f>_xlfn.XLOOKUP(C392,My_Audit!B:B,My_Audit!P:P,"")&amp;""</f>
        <v/>
      </c>
      <c r="P392" s="45"/>
      <c r="Q392" s="46" t="str">
        <f>IF(LEFT(N392,4)="Pass","Nist SP 800-88",My_Audit!R392)&amp;""</f>
        <v/>
      </c>
      <c r="R392" s="45"/>
      <c r="S392" s="45"/>
      <c r="T392" s="46" t="str">
        <f>_xlfn.XLOOKUP(E392,Models!I:I,Models!J:J,"")</f>
        <v/>
      </c>
      <c r="U392" s="45"/>
      <c r="V392" s="45"/>
      <c r="W392" s="38" t="str">
        <f>_xlfn.LET(
    _xlpm.MacVal, _xlfn.XLOOKUP($A392, Output_Mac!$A:$A, Output_Mac!AA:AA, ""),
    _xlpm.MyAuditVal, _xlfn.XLOOKUP($A392, My_Audit!$A:$A, My_Audit!L:L, ""),
    _xlfn.TEXTJOIN(", ", TRUE, _xlpm.MyAuditVal, _xlpm.MacVal)
)</f>
        <v/>
      </c>
    </row>
    <row r="393" spans="1:23">
      <c r="A393" s="45" t="str">
        <f>_xlfn.TEXTJOIN("",TRUE,Input!$B$2,ROW(My_Audit!A392))</f>
        <v>CC392</v>
      </c>
      <c r="B393" s="45" t="str">
        <f>_xlfn.TEXTJOIN("-",TRUE,"ITD",Input!$A$2,A393)</f>
        <v>ITD-XXX-CC392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 cm="1">
        <f t="array" ref="D393">IFERROR(_xlfn.LET(
_xlpm.CSVVal,_xlfn.XLOOKUP($A393,CSV!$A:$A,CSV!C:C,""),
_xlpm.MacVal,_xlfn.XLOOKUP($A393,Output_Mac!$A:$A,Output_Mac!D:D,""),
_xlpm.MyAuditVal,_xlfn.XLOOKUP($A393,My_Audit!$A:$A,My_Audit!C:C,""),
_xlfn.IFS(_xlpm.MyAuditVal&lt;&gt;"",UPPER(_xlpm.MyAuditVal),_xlpm.MacVal&lt;&gt;"",_xlpm.MacVal,_xlpm.CSVVal&lt;&gt;"",_xlpm.CSVVal
)),"")</f>
        <v/>
      </c>
      <c r="E393" s="46" t="str" cm="1">
        <f t="array" ref="E393">IFERROR(_xlfn.LET(
_xlpm.CSVVal,_xlfn.XLOOKUP($A393,CSV!$A:$A,CSV!E:E,""),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_xlpm.CSVVal,_xlfn.XLOOKUP($A393,CSV!$A:$A,CSV!G:G,""),
_xlpm.MacVal,_xlfn.XLOOKUP($A393,Output_Mac!$A:$A,Output_Mac!G:G,""),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_xlfn.XLOOKUP(A393,Output_Mac!A:A,Output_Mac!H:H,"")</f>
        <v/>
      </c>
      <c r="I393" s="45" t="str" cm="1">
        <f t="array" ref="I393">IFERROR(_xlfn.LET(
_xlpm.CSVVal,_xlfn.XLOOKUP($A393,CSV!$A:$A,CSV!H:H,""),
_xlpm.MacVal,_xlfn.XLOOKUP($A393,Output_Mac!$A:$A,Output_Mac!I:I,""),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_xlpm.CSVVal,_xlfn.XLOOKUP($A393,CSV!$A:$A,CSV!J:J,""),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46" t="str" cm="1">
        <f t="array" ref="K393">IFERROR(_xlfn.LET(
_xlpm.CSVVal,_xlfn.XLOOKUP($A393,CSV!$A:$A,CSV!N:N,""),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_xlpm.CSVVal,_xlfn.XLOOKUP($A393,CSV!$A:$A,CSV!P:P,""),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CSV!AE:AE,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_xlpm.CSVVal,_xlfn.XLOOKUP($A393,CSV!$A:$A,CSV!AG:AG,""),
_xlpm.MacVal,_xlfn.XLOOKUP($A393,Output_Mac!$A:$A,Output_Mac!T:T,""),
_xlpm.MyAuditVal,_xlfn.XLOOKUP($A393,My_Audit!$A:$A,My_Audit!O:O,""),
_xlfn.IFS(_xlpm.MyAuditVal&lt;&gt;"",UPPER(_xlpm.MyAuditVal),_xlpm.MacVal&lt;&gt;"",_xlpm.MacVal,_xlpm.CSVVal&lt;&gt;"",_xlpm.CSVVal
)),"")</f>
        <v/>
      </c>
      <c r="O393" s="46" t="str">
        <f>_xlfn.XLOOKUP(C393,My_Audit!B:B,My_Audit!P:P,"")&amp;""</f>
        <v/>
      </c>
      <c r="P393" s="45"/>
      <c r="Q393" s="46" t="str">
        <f>IF(LEFT(N393,4)="Pass","Nist SP 800-88",My_Audit!R393)&amp;""</f>
        <v/>
      </c>
      <c r="R393" s="45"/>
      <c r="S393" s="45"/>
      <c r="T393" s="46" t="str">
        <f>_xlfn.XLOOKUP(E393,Models!I:I,Models!J:J,"")</f>
        <v/>
      </c>
      <c r="U393" s="45"/>
      <c r="V393" s="45"/>
      <c r="W393" s="38" t="str">
        <f>_xlfn.LET(
    _xlpm.MacVal, _xlfn.XLOOKUP($A393, Output_Mac!$A:$A, Output_Mac!AA:AA, ""),
    _xlpm.MyAuditVal, _xlfn.XLOOKUP($A393, My_Audit!$A:$A, My_Audit!L:L, ""),
    _xlfn.TEXTJOIN(", ", TRUE, _xlpm.MyAuditVal, _xlpm.MacVal)
)</f>
        <v/>
      </c>
    </row>
    <row r="394" spans="1:23">
      <c r="A394" s="45" t="str">
        <f>_xlfn.TEXTJOIN("",TRUE,Input!$B$2,ROW(My_Audit!A393))</f>
        <v>CC393</v>
      </c>
      <c r="B394" s="45" t="str">
        <f>_xlfn.TEXTJOIN("-",TRUE,"ITD",Input!$A$2,A394)</f>
        <v>ITD-XXX-CC393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 cm="1">
        <f t="array" ref="D394">IFERROR(_xlfn.LET(
_xlpm.CSVVal,_xlfn.XLOOKUP($A394,CSV!$A:$A,CSV!C:C,""),
_xlpm.MacVal,_xlfn.XLOOKUP($A394,Output_Mac!$A:$A,Output_Mac!D:D,""),
_xlpm.MyAuditVal,_xlfn.XLOOKUP($A394,My_Audit!$A:$A,My_Audit!C:C,""),
_xlfn.IFS(_xlpm.MyAuditVal&lt;&gt;"",UPPER(_xlpm.MyAuditVal),_xlpm.MacVal&lt;&gt;"",_xlpm.MacVal,_xlpm.CSVVal&lt;&gt;"",_xlpm.CSVVal
)),"")</f>
        <v/>
      </c>
      <c r="E394" s="46" t="str" cm="1">
        <f t="array" ref="E394">IFERROR(_xlfn.LET(
_xlpm.CSVVal,_xlfn.XLOOKUP($A394,CSV!$A:$A,CSV!E:E,""),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_xlpm.CSVVal,_xlfn.XLOOKUP($A394,CSV!$A:$A,CSV!G:G,""),
_xlpm.MacVal,_xlfn.XLOOKUP($A394,Output_Mac!$A:$A,Output_Mac!G:G,""),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_xlfn.XLOOKUP(A394,Output_Mac!A:A,Output_Mac!H:H,"")</f>
        <v/>
      </c>
      <c r="I394" s="45" t="str" cm="1">
        <f t="array" ref="I394">IFERROR(_xlfn.LET(
_xlpm.CSVVal,_xlfn.XLOOKUP($A394,CSV!$A:$A,CSV!H:H,""),
_xlpm.MacVal,_xlfn.XLOOKUP($A394,Output_Mac!$A:$A,Output_Mac!I:I,""),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_xlpm.CSVVal,_xlfn.XLOOKUP($A394,CSV!$A:$A,CSV!J:J,""),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46" t="str" cm="1">
        <f t="array" ref="K394">IFERROR(_xlfn.LET(
_xlpm.CSVVal,_xlfn.XLOOKUP($A394,CSV!$A:$A,CSV!N:N,""),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_xlpm.CSVVal,_xlfn.XLOOKUP($A394,CSV!$A:$A,CSV!P:P,""),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CSV!AE:AE,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_xlpm.CSVVal,_xlfn.XLOOKUP($A394,CSV!$A:$A,CSV!AG:AG,""),
_xlpm.MacVal,_xlfn.XLOOKUP($A394,Output_Mac!$A:$A,Output_Mac!T:T,""),
_xlpm.MyAuditVal,_xlfn.XLOOKUP($A394,My_Audit!$A:$A,My_Audit!O:O,""),
_xlfn.IFS(_xlpm.MyAuditVal&lt;&gt;"",UPPER(_xlpm.MyAuditVal),_xlpm.MacVal&lt;&gt;"",_xlpm.MacVal,_xlpm.CSVVal&lt;&gt;"",_xlpm.CSVVal
)),"")</f>
        <v/>
      </c>
      <c r="O394" s="46" t="str">
        <f>_xlfn.XLOOKUP(C394,My_Audit!B:B,My_Audit!P:P,"")&amp;""</f>
        <v/>
      </c>
      <c r="P394" s="45"/>
      <c r="Q394" s="46" t="str">
        <f>IF(LEFT(N394,4)="Pass","Nist SP 800-88",My_Audit!R394)&amp;""</f>
        <v/>
      </c>
      <c r="R394" s="45"/>
      <c r="S394" s="45"/>
      <c r="T394" s="46" t="str">
        <f>_xlfn.XLOOKUP(E394,Models!I:I,Models!J:J,"")</f>
        <v/>
      </c>
      <c r="U394" s="45"/>
      <c r="V394" s="45"/>
      <c r="W394" s="38" t="str">
        <f>_xlfn.LET(
    _xlpm.MacVal, _xlfn.XLOOKUP($A394, Output_Mac!$A:$A, Output_Mac!AA:AA, ""),
    _xlpm.MyAuditVal, _xlfn.XLOOKUP($A394, My_Audit!$A:$A, My_Audit!L:L, ""),
    _xlfn.TEXTJOIN(", ", TRUE, _xlpm.MyAuditVal, _xlpm.MacVal)
)</f>
        <v/>
      </c>
    </row>
    <row r="395" spans="1:23">
      <c r="A395" s="45" t="str">
        <f>_xlfn.TEXTJOIN("",TRUE,Input!$B$2,ROW(My_Audit!A394))</f>
        <v>CC394</v>
      </c>
      <c r="B395" s="45" t="str">
        <f>_xlfn.TEXTJOIN("-",TRUE,"ITD",Input!$A$2,A395)</f>
        <v>ITD-XXX-CC394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 cm="1">
        <f t="array" ref="D395">IFERROR(_xlfn.LET(
_xlpm.CSVVal,_xlfn.XLOOKUP($A395,CSV!$A:$A,CSV!C:C,""),
_xlpm.MacVal,_xlfn.XLOOKUP($A395,Output_Mac!$A:$A,Output_Mac!D:D,""),
_xlpm.MyAuditVal,_xlfn.XLOOKUP($A395,My_Audit!$A:$A,My_Audit!C:C,""),
_xlfn.IFS(_xlpm.MyAuditVal&lt;&gt;"",UPPER(_xlpm.MyAuditVal),_xlpm.MacVal&lt;&gt;"",_xlpm.MacVal,_xlpm.CSVVal&lt;&gt;"",_xlpm.CSVVal
)),"")</f>
        <v/>
      </c>
      <c r="E395" s="46" t="str" cm="1">
        <f t="array" ref="E395">IFERROR(_xlfn.LET(
_xlpm.CSVVal,_xlfn.XLOOKUP($A395,CSV!$A:$A,CSV!E:E,""),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_xlpm.CSVVal,_xlfn.XLOOKUP($A395,CSV!$A:$A,CSV!G:G,""),
_xlpm.MacVal,_xlfn.XLOOKUP($A395,Output_Mac!$A:$A,Output_Mac!G:G,""),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_xlfn.XLOOKUP(A395,Output_Mac!A:A,Output_Mac!H:H,"")</f>
        <v/>
      </c>
      <c r="I395" s="45" t="str" cm="1">
        <f t="array" ref="I395">IFERROR(_xlfn.LET(
_xlpm.CSVVal,_xlfn.XLOOKUP($A395,CSV!$A:$A,CSV!H:H,""),
_xlpm.MacVal,_xlfn.XLOOKUP($A395,Output_Mac!$A:$A,Output_Mac!I:I,""),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_xlpm.CSVVal,_xlfn.XLOOKUP($A395,CSV!$A:$A,CSV!J:J,""),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46" t="str" cm="1">
        <f t="array" ref="K395">IFERROR(_xlfn.LET(
_xlpm.CSVVal,_xlfn.XLOOKUP($A395,CSV!$A:$A,CSV!N:N,""),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_xlpm.CSVVal,_xlfn.XLOOKUP($A395,CSV!$A:$A,CSV!P:P,""),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CSV!AE:AE,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_xlpm.CSVVal,_xlfn.XLOOKUP($A395,CSV!$A:$A,CSV!AG:AG,""),
_xlpm.MacVal,_xlfn.XLOOKUP($A395,Output_Mac!$A:$A,Output_Mac!T:T,""),
_xlpm.MyAuditVal,_xlfn.XLOOKUP($A395,My_Audit!$A:$A,My_Audit!O:O,""),
_xlfn.IFS(_xlpm.MyAuditVal&lt;&gt;"",UPPER(_xlpm.MyAuditVal),_xlpm.MacVal&lt;&gt;"",_xlpm.MacVal,_xlpm.CSVVal&lt;&gt;"",_xlpm.CSVVal
)),"")</f>
        <v/>
      </c>
      <c r="O395" s="46" t="str">
        <f>_xlfn.XLOOKUP(C395,My_Audit!B:B,My_Audit!P:P,"")&amp;""</f>
        <v/>
      </c>
      <c r="P395" s="45"/>
      <c r="Q395" s="46" t="str">
        <f>IF(LEFT(N395,4)="Pass","Nist SP 800-88",My_Audit!R395)&amp;""</f>
        <v/>
      </c>
      <c r="R395" s="45"/>
      <c r="S395" s="45"/>
      <c r="T395" s="46" t="str">
        <f>_xlfn.XLOOKUP(E395,Models!I:I,Models!J:J,"")</f>
        <v/>
      </c>
      <c r="U395" s="45"/>
      <c r="V395" s="45"/>
      <c r="W395" s="38" t="str">
        <f>_xlfn.LET(
    _xlpm.MacVal, _xlfn.XLOOKUP($A395, Output_Mac!$A:$A, Output_Mac!AA:AA, ""),
    _xlpm.MyAuditVal, _xlfn.XLOOKUP($A395, My_Audit!$A:$A, My_Audit!L:L, ""),
    _xlfn.TEXTJOIN(", ", TRUE, _xlpm.MyAuditVal, _xlpm.MacVal)
)</f>
        <v/>
      </c>
    </row>
    <row r="396" spans="1:23">
      <c r="A396" s="45" t="str">
        <f>_xlfn.TEXTJOIN("",TRUE,Input!$B$2,ROW(My_Audit!A395))</f>
        <v>CC395</v>
      </c>
      <c r="B396" s="45" t="str">
        <f>_xlfn.TEXTJOIN("-",TRUE,"ITD",Input!$A$2,A396)</f>
        <v>ITD-XXX-CC395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 cm="1">
        <f t="array" ref="D396">IFERROR(_xlfn.LET(
_xlpm.CSVVal,_xlfn.XLOOKUP($A396,CSV!$A:$A,CSV!C:C,""),
_xlpm.MacVal,_xlfn.XLOOKUP($A396,Output_Mac!$A:$A,Output_Mac!D:D,""),
_xlpm.MyAuditVal,_xlfn.XLOOKUP($A396,My_Audit!$A:$A,My_Audit!C:C,""),
_xlfn.IFS(_xlpm.MyAuditVal&lt;&gt;"",UPPER(_xlpm.MyAuditVal),_xlpm.MacVal&lt;&gt;"",_xlpm.MacVal,_xlpm.CSVVal&lt;&gt;"",_xlpm.CSVVal
)),"")</f>
        <v/>
      </c>
      <c r="E396" s="46" t="str" cm="1">
        <f t="array" ref="E396">IFERROR(_xlfn.LET(
_xlpm.CSVVal,_xlfn.XLOOKUP($A396,CSV!$A:$A,CSV!E:E,""),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_xlpm.CSVVal,_xlfn.XLOOKUP($A396,CSV!$A:$A,CSV!G:G,""),
_xlpm.MacVal,_xlfn.XLOOKUP($A396,Output_Mac!$A:$A,Output_Mac!G:G,""),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_xlfn.XLOOKUP(A396,Output_Mac!A:A,Output_Mac!H:H,"")</f>
        <v/>
      </c>
      <c r="I396" s="45" t="str" cm="1">
        <f t="array" ref="I396">IFERROR(_xlfn.LET(
_xlpm.CSVVal,_xlfn.XLOOKUP($A396,CSV!$A:$A,CSV!H:H,""),
_xlpm.MacVal,_xlfn.XLOOKUP($A396,Output_Mac!$A:$A,Output_Mac!I:I,""),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_xlpm.CSVVal,_xlfn.XLOOKUP($A396,CSV!$A:$A,CSV!J:J,""),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46" t="str" cm="1">
        <f t="array" ref="K396">IFERROR(_xlfn.LET(
_xlpm.CSVVal,_xlfn.XLOOKUP($A396,CSV!$A:$A,CSV!N:N,""),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_xlpm.CSVVal,_xlfn.XLOOKUP($A396,CSV!$A:$A,CSV!P:P,""),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CSV!AE:AE,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_xlpm.CSVVal,_xlfn.XLOOKUP($A396,CSV!$A:$A,CSV!AG:AG,""),
_xlpm.MacVal,_xlfn.XLOOKUP($A396,Output_Mac!$A:$A,Output_Mac!T:T,""),
_xlpm.MyAuditVal,_xlfn.XLOOKUP($A396,My_Audit!$A:$A,My_Audit!O:O,""),
_xlfn.IFS(_xlpm.MyAuditVal&lt;&gt;"",UPPER(_xlpm.MyAuditVal),_xlpm.MacVal&lt;&gt;"",_xlpm.MacVal,_xlpm.CSVVal&lt;&gt;"",_xlpm.CSVVal
)),"")</f>
        <v/>
      </c>
      <c r="O396" s="46" t="str">
        <f>_xlfn.XLOOKUP(C396,My_Audit!B:B,My_Audit!P:P,"")&amp;""</f>
        <v/>
      </c>
      <c r="P396" s="45"/>
      <c r="Q396" s="46" t="str">
        <f>IF(LEFT(N396,4)="Pass","Nist SP 800-88",My_Audit!R396)&amp;""</f>
        <v/>
      </c>
      <c r="R396" s="45"/>
      <c r="S396" s="45"/>
      <c r="T396" s="46" t="str">
        <f>_xlfn.XLOOKUP(E396,Models!I:I,Models!J:J,"")</f>
        <v/>
      </c>
      <c r="U396" s="45"/>
      <c r="V396" s="45"/>
      <c r="W396" s="38" t="str">
        <f>_xlfn.LET(
    _xlpm.MacVal, _xlfn.XLOOKUP($A396, Output_Mac!$A:$A, Output_Mac!AA:AA, ""),
    _xlpm.MyAuditVal, _xlfn.XLOOKUP($A396, My_Audit!$A:$A, My_Audit!L:L, ""),
    _xlfn.TEXTJOIN(", ", TRUE, _xlpm.MyAuditVal, _xlpm.MacVal)
)</f>
        <v/>
      </c>
    </row>
    <row r="397" spans="1:23">
      <c r="A397" s="45" t="str">
        <f>_xlfn.TEXTJOIN("",TRUE,Input!$B$2,ROW(My_Audit!A396))</f>
        <v>CC396</v>
      </c>
      <c r="B397" s="45" t="str">
        <f>_xlfn.TEXTJOIN("-",TRUE,"ITD",Input!$A$2,A397)</f>
        <v>ITD-XXX-CC396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 cm="1">
        <f t="array" ref="D397">IFERROR(_xlfn.LET(
_xlpm.CSVVal,_xlfn.XLOOKUP($A397,CSV!$A:$A,CSV!C:C,""),
_xlpm.MacVal,_xlfn.XLOOKUP($A397,Output_Mac!$A:$A,Output_Mac!D:D,""),
_xlpm.MyAuditVal,_xlfn.XLOOKUP($A397,My_Audit!$A:$A,My_Audit!C:C,""),
_xlfn.IFS(_xlpm.MyAuditVal&lt;&gt;"",UPPER(_xlpm.MyAuditVal),_xlpm.MacVal&lt;&gt;"",_xlpm.MacVal,_xlpm.CSVVal&lt;&gt;"",_xlpm.CSVVal
)),"")</f>
        <v/>
      </c>
      <c r="E397" s="46" t="str" cm="1">
        <f t="array" ref="E397">IFERROR(_xlfn.LET(
_xlpm.CSVVal,_xlfn.XLOOKUP($A397,CSV!$A:$A,CSV!E:E,""),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_xlpm.CSVVal,_xlfn.XLOOKUP($A397,CSV!$A:$A,CSV!G:G,""),
_xlpm.MacVal,_xlfn.XLOOKUP($A397,Output_Mac!$A:$A,Output_Mac!G:G,""),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_xlfn.XLOOKUP(A397,Output_Mac!A:A,Output_Mac!H:H,"")</f>
        <v/>
      </c>
      <c r="I397" s="45" t="str" cm="1">
        <f t="array" ref="I397">IFERROR(_xlfn.LET(
_xlpm.CSVVal,_xlfn.XLOOKUP($A397,CSV!$A:$A,CSV!H:H,""),
_xlpm.MacVal,_xlfn.XLOOKUP($A397,Output_Mac!$A:$A,Output_Mac!I:I,""),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_xlpm.CSVVal,_xlfn.XLOOKUP($A397,CSV!$A:$A,CSV!J:J,""),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46" t="str" cm="1">
        <f t="array" ref="K397">IFERROR(_xlfn.LET(
_xlpm.CSVVal,_xlfn.XLOOKUP($A397,CSV!$A:$A,CSV!N:N,""),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_xlpm.CSVVal,_xlfn.XLOOKUP($A397,CSV!$A:$A,CSV!P:P,""),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CSV!AE:AE,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_xlpm.CSVVal,_xlfn.XLOOKUP($A397,CSV!$A:$A,CSV!AG:AG,""),
_xlpm.MacVal,_xlfn.XLOOKUP($A397,Output_Mac!$A:$A,Output_Mac!T:T,""),
_xlpm.MyAuditVal,_xlfn.XLOOKUP($A397,My_Audit!$A:$A,My_Audit!O:O,""),
_xlfn.IFS(_xlpm.MyAuditVal&lt;&gt;"",UPPER(_xlpm.MyAuditVal),_xlpm.MacVal&lt;&gt;"",_xlpm.MacVal,_xlpm.CSVVal&lt;&gt;"",_xlpm.CSVVal
)),"")</f>
        <v/>
      </c>
      <c r="O397" s="46" t="str">
        <f>_xlfn.XLOOKUP(C397,My_Audit!B:B,My_Audit!P:P,"")&amp;""</f>
        <v/>
      </c>
      <c r="P397" s="45"/>
      <c r="Q397" s="46" t="str">
        <f>IF(LEFT(N397,4)="Pass","Nist SP 800-88",My_Audit!R397)&amp;""</f>
        <v/>
      </c>
      <c r="R397" s="45"/>
      <c r="S397" s="45"/>
      <c r="T397" s="46" t="str">
        <f>_xlfn.XLOOKUP(E397,Models!I:I,Models!J:J,"")</f>
        <v/>
      </c>
      <c r="U397" s="45"/>
      <c r="V397" s="45"/>
      <c r="W397" s="38" t="str">
        <f>_xlfn.LET(
    _xlpm.MacVal, _xlfn.XLOOKUP($A397, Output_Mac!$A:$A, Output_Mac!AA:AA, ""),
    _xlpm.MyAuditVal, _xlfn.XLOOKUP($A397, My_Audit!$A:$A, My_Audit!L:L, ""),
    _xlfn.TEXTJOIN(", ", TRUE, _xlpm.MyAuditVal, _xlpm.MacVal)
)</f>
        <v/>
      </c>
    </row>
    <row r="398" spans="1:23">
      <c r="A398" s="45" t="str">
        <f>_xlfn.TEXTJOIN("",TRUE,Input!$B$2,ROW(My_Audit!A397))</f>
        <v>CC397</v>
      </c>
      <c r="B398" s="45" t="str">
        <f>_xlfn.TEXTJOIN("-",TRUE,"ITD",Input!$A$2,A398)</f>
        <v>ITD-XXX-CC397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 cm="1">
        <f t="array" ref="D398">IFERROR(_xlfn.LET(
_xlpm.CSVVal,_xlfn.XLOOKUP($A398,CSV!$A:$A,CSV!C:C,""),
_xlpm.MacVal,_xlfn.XLOOKUP($A398,Output_Mac!$A:$A,Output_Mac!D:D,""),
_xlpm.MyAuditVal,_xlfn.XLOOKUP($A398,My_Audit!$A:$A,My_Audit!C:C,""),
_xlfn.IFS(_xlpm.MyAuditVal&lt;&gt;"",UPPER(_xlpm.MyAuditVal),_xlpm.MacVal&lt;&gt;"",_xlpm.MacVal,_xlpm.CSVVal&lt;&gt;"",_xlpm.CSVVal
)),"")</f>
        <v/>
      </c>
      <c r="E398" s="46" t="str" cm="1">
        <f t="array" ref="E398">IFERROR(_xlfn.LET(
_xlpm.CSVVal,_xlfn.XLOOKUP($A398,CSV!$A:$A,CSV!E:E,""),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_xlpm.CSVVal,_xlfn.XLOOKUP($A398,CSV!$A:$A,CSV!G:G,""),
_xlpm.MacVal,_xlfn.XLOOKUP($A398,Output_Mac!$A:$A,Output_Mac!G:G,""),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_xlfn.XLOOKUP(A398,Output_Mac!A:A,Output_Mac!H:H,"")</f>
        <v/>
      </c>
      <c r="I398" s="45" t="str" cm="1">
        <f t="array" ref="I398">IFERROR(_xlfn.LET(
_xlpm.CSVVal,_xlfn.XLOOKUP($A398,CSV!$A:$A,CSV!H:H,""),
_xlpm.MacVal,_xlfn.XLOOKUP($A398,Output_Mac!$A:$A,Output_Mac!I:I,""),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_xlpm.CSVVal,_xlfn.XLOOKUP($A398,CSV!$A:$A,CSV!J:J,""),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46" t="str" cm="1">
        <f t="array" ref="K398">IFERROR(_xlfn.LET(
_xlpm.CSVVal,_xlfn.XLOOKUP($A398,CSV!$A:$A,CSV!N:N,""),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_xlpm.CSVVal,_xlfn.XLOOKUP($A398,CSV!$A:$A,CSV!P:P,""),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CSV!AE:AE,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_xlpm.CSVVal,_xlfn.XLOOKUP($A398,CSV!$A:$A,CSV!AG:AG,""),
_xlpm.MacVal,_xlfn.XLOOKUP($A398,Output_Mac!$A:$A,Output_Mac!T:T,""),
_xlpm.MyAuditVal,_xlfn.XLOOKUP($A398,My_Audit!$A:$A,My_Audit!O:O,""),
_xlfn.IFS(_xlpm.MyAuditVal&lt;&gt;"",UPPER(_xlpm.MyAuditVal),_xlpm.MacVal&lt;&gt;"",_xlpm.MacVal,_xlpm.CSVVal&lt;&gt;"",_xlpm.CSVVal
)),"")</f>
        <v/>
      </c>
      <c r="O398" s="46" t="str">
        <f>_xlfn.XLOOKUP(C398,My_Audit!B:B,My_Audit!P:P,"")&amp;""</f>
        <v/>
      </c>
      <c r="P398" s="45"/>
      <c r="Q398" s="46" t="str">
        <f>IF(LEFT(N398,4)="Pass","Nist SP 800-88",My_Audit!R398)&amp;""</f>
        <v/>
      </c>
      <c r="R398" s="45"/>
      <c r="S398" s="45"/>
      <c r="T398" s="46" t="str">
        <f>_xlfn.XLOOKUP(E398,Models!I:I,Models!J:J,"")</f>
        <v/>
      </c>
      <c r="U398" s="45"/>
      <c r="V398" s="45"/>
      <c r="W398" s="38" t="str">
        <f>_xlfn.LET(
    _xlpm.MacVal, _xlfn.XLOOKUP($A398, Output_Mac!$A:$A, Output_Mac!AA:AA, ""),
    _xlpm.MyAuditVal, _xlfn.XLOOKUP($A398, My_Audit!$A:$A, My_Audit!L:L, ""),
    _xlfn.TEXTJOIN(", ", TRUE, _xlpm.MyAuditVal, _xlpm.MacVal)
)</f>
        <v/>
      </c>
    </row>
    <row r="399" spans="1:23">
      <c r="A399" s="45" t="str">
        <f>_xlfn.TEXTJOIN("",TRUE,Input!$B$2,ROW(My_Audit!A398))</f>
        <v>CC398</v>
      </c>
      <c r="B399" s="45" t="str">
        <f>_xlfn.TEXTJOIN("-",TRUE,"ITD",Input!$A$2,A399)</f>
        <v>ITD-XXX-CC398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 cm="1">
        <f t="array" ref="D399">IFERROR(_xlfn.LET(
_xlpm.CSVVal,_xlfn.XLOOKUP($A399,CSV!$A:$A,CSV!C:C,""),
_xlpm.MacVal,_xlfn.XLOOKUP($A399,Output_Mac!$A:$A,Output_Mac!D:D,""),
_xlpm.MyAuditVal,_xlfn.XLOOKUP($A399,My_Audit!$A:$A,My_Audit!C:C,""),
_xlfn.IFS(_xlpm.MyAuditVal&lt;&gt;"",UPPER(_xlpm.MyAuditVal),_xlpm.MacVal&lt;&gt;"",_xlpm.MacVal,_xlpm.CSVVal&lt;&gt;"",_xlpm.CSVVal
)),"")</f>
        <v/>
      </c>
      <c r="E399" s="46" t="str" cm="1">
        <f t="array" ref="E399">IFERROR(_xlfn.LET(
_xlpm.CSVVal,_xlfn.XLOOKUP($A399,CSV!$A:$A,CSV!E:E,""),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_xlpm.CSVVal,_xlfn.XLOOKUP($A399,CSV!$A:$A,CSV!G:G,""),
_xlpm.MacVal,_xlfn.XLOOKUP($A399,Output_Mac!$A:$A,Output_Mac!G:G,""),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_xlfn.XLOOKUP(A399,Output_Mac!A:A,Output_Mac!H:H,"")</f>
        <v/>
      </c>
      <c r="I399" s="45" t="str" cm="1">
        <f t="array" ref="I399">IFERROR(_xlfn.LET(
_xlpm.CSVVal,_xlfn.XLOOKUP($A399,CSV!$A:$A,CSV!H:H,""),
_xlpm.MacVal,_xlfn.XLOOKUP($A399,Output_Mac!$A:$A,Output_Mac!I:I,""),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_xlpm.CSVVal,_xlfn.XLOOKUP($A399,CSV!$A:$A,CSV!J:J,""),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46" t="str" cm="1">
        <f t="array" ref="K399">IFERROR(_xlfn.LET(
_xlpm.CSVVal,_xlfn.XLOOKUP($A399,CSV!$A:$A,CSV!N:N,""),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_xlpm.CSVVal,_xlfn.XLOOKUP($A399,CSV!$A:$A,CSV!P:P,""),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CSV!AE:AE,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_xlpm.CSVVal,_xlfn.XLOOKUP($A399,CSV!$A:$A,CSV!AG:AG,""),
_xlpm.MacVal,_xlfn.XLOOKUP($A399,Output_Mac!$A:$A,Output_Mac!T:T,""),
_xlpm.MyAuditVal,_xlfn.XLOOKUP($A399,My_Audit!$A:$A,My_Audit!O:O,""),
_xlfn.IFS(_xlpm.MyAuditVal&lt;&gt;"",UPPER(_xlpm.MyAuditVal),_xlpm.MacVal&lt;&gt;"",_xlpm.MacVal,_xlpm.CSVVal&lt;&gt;"",_xlpm.CSVVal
)),"")</f>
        <v/>
      </c>
      <c r="O399" s="46" t="str">
        <f>_xlfn.XLOOKUP(C399,My_Audit!B:B,My_Audit!P:P,"")&amp;""</f>
        <v/>
      </c>
      <c r="P399" s="45"/>
      <c r="Q399" s="46" t="str">
        <f>IF(LEFT(N399,4)="Pass","Nist SP 800-88",My_Audit!R399)&amp;""</f>
        <v/>
      </c>
      <c r="R399" s="45"/>
      <c r="S399" s="45"/>
      <c r="T399" s="46" t="str">
        <f>_xlfn.XLOOKUP(E399,Models!I:I,Models!J:J,"")</f>
        <v/>
      </c>
      <c r="U399" s="45"/>
      <c r="V399" s="45"/>
      <c r="W399" s="38" t="str">
        <f>_xlfn.LET(
    _xlpm.MacVal, _xlfn.XLOOKUP($A399, Output_Mac!$A:$A, Output_Mac!AA:AA, ""),
    _xlpm.MyAuditVal, _xlfn.XLOOKUP($A399, My_Audit!$A:$A, My_Audit!L:L, ""),
    _xlfn.TEXTJOIN(", ", TRUE, _xlpm.MyAuditVal, _xlpm.MacVal)
)</f>
        <v/>
      </c>
    </row>
    <row r="400" spans="1:23">
      <c r="A400" s="45" t="str">
        <f>_xlfn.TEXTJOIN("",TRUE,Input!$B$2,ROW(My_Audit!A399))</f>
        <v>CC399</v>
      </c>
      <c r="B400" s="45" t="str">
        <f>_xlfn.TEXTJOIN("-",TRUE,"ITD",Input!$A$2,A400)</f>
        <v>ITD-XXX-CC399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 cm="1">
        <f t="array" ref="D400">IFERROR(_xlfn.LET(
_xlpm.CSVVal,_xlfn.XLOOKUP($A400,CSV!$A:$A,CSV!C:C,""),
_xlpm.MacVal,_xlfn.XLOOKUP($A400,Output_Mac!$A:$A,Output_Mac!D:D,""),
_xlpm.MyAuditVal,_xlfn.XLOOKUP($A400,My_Audit!$A:$A,My_Audit!C:C,""),
_xlfn.IFS(_xlpm.MyAuditVal&lt;&gt;"",UPPER(_xlpm.MyAuditVal),_xlpm.MacVal&lt;&gt;"",_xlpm.MacVal,_xlpm.CSVVal&lt;&gt;"",_xlpm.CSVVal
)),"")</f>
        <v/>
      </c>
      <c r="E400" s="46" t="str" cm="1">
        <f t="array" ref="E400">IFERROR(_xlfn.LET(
_xlpm.CSVVal,_xlfn.XLOOKUP($A400,CSV!$A:$A,CSV!E:E,""),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_xlpm.CSVVal,_xlfn.XLOOKUP($A400,CSV!$A:$A,CSV!G:G,""),
_xlpm.MacVal,_xlfn.XLOOKUP($A400,Output_Mac!$A:$A,Output_Mac!G:G,""),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_xlfn.XLOOKUP(A400,Output_Mac!A:A,Output_Mac!H:H,"")</f>
        <v/>
      </c>
      <c r="I400" s="45" t="str" cm="1">
        <f t="array" ref="I400">IFERROR(_xlfn.LET(
_xlpm.CSVVal,_xlfn.XLOOKUP($A400,CSV!$A:$A,CSV!H:H,""),
_xlpm.MacVal,_xlfn.XLOOKUP($A400,Output_Mac!$A:$A,Output_Mac!I:I,""),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_xlpm.CSVVal,_xlfn.XLOOKUP($A400,CSV!$A:$A,CSV!J:J,""),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46" t="str" cm="1">
        <f t="array" ref="K400">IFERROR(_xlfn.LET(
_xlpm.CSVVal,_xlfn.XLOOKUP($A400,CSV!$A:$A,CSV!N:N,""),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_xlpm.CSVVal,_xlfn.XLOOKUP($A400,CSV!$A:$A,CSV!P:P,""),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CSV!AE:AE,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_xlpm.CSVVal,_xlfn.XLOOKUP($A400,CSV!$A:$A,CSV!AG:AG,""),
_xlpm.MacVal,_xlfn.XLOOKUP($A400,Output_Mac!$A:$A,Output_Mac!T:T,""),
_xlpm.MyAuditVal,_xlfn.XLOOKUP($A400,My_Audit!$A:$A,My_Audit!O:O,""),
_xlfn.IFS(_xlpm.MyAuditVal&lt;&gt;"",UPPER(_xlpm.MyAuditVal),_xlpm.MacVal&lt;&gt;"",_xlpm.MacVal,_xlpm.CSVVal&lt;&gt;"",_xlpm.CSVVal
)),"")</f>
        <v/>
      </c>
      <c r="O400" s="46" t="str">
        <f>_xlfn.XLOOKUP(C400,My_Audit!B:B,My_Audit!P:P,"")&amp;""</f>
        <v/>
      </c>
      <c r="P400" s="45"/>
      <c r="Q400" s="46" t="str">
        <f>IF(LEFT(N400,4)="Pass","Nist SP 800-88",My_Audit!R400)&amp;""</f>
        <v/>
      </c>
      <c r="R400" s="45"/>
      <c r="S400" s="45"/>
      <c r="T400" s="46" t="str">
        <f>_xlfn.XLOOKUP(E400,Models!I:I,Models!J:J,"")</f>
        <v/>
      </c>
      <c r="U400" s="45"/>
      <c r="V400" s="45"/>
      <c r="W400" s="38" t="str">
        <f>_xlfn.LET(
    _xlpm.MacVal, _xlfn.XLOOKUP($A400, Output_Mac!$A:$A, Output_Mac!AA:AA, ""),
    _xlpm.MyAuditVal, _xlfn.XLOOKUP($A400, My_Audit!$A:$A, My_Audit!L:L, ""),
    _xlfn.TEXTJOIN(", ", TRUE, _xlpm.MyAuditVal, _xlpm.MacVal)
)</f>
        <v/>
      </c>
    </row>
    <row r="401" spans="1:23">
      <c r="A401" s="45" t="str">
        <f>_xlfn.TEXTJOIN("",TRUE,Input!$B$2,ROW(My_Audit!A400))</f>
        <v>CC400</v>
      </c>
      <c r="B401" s="45" t="str">
        <f>_xlfn.TEXTJOIN("-",TRUE,"ITD",Input!$A$2,A401)</f>
        <v>ITD-XXX-CC400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 cm="1">
        <f t="array" ref="D401">IFERROR(_xlfn.LET(
_xlpm.CSVVal,_xlfn.XLOOKUP($A401,CSV!$A:$A,CSV!C:C,""),
_xlpm.MacVal,_xlfn.XLOOKUP($A401,Output_Mac!$A:$A,Output_Mac!D:D,""),
_xlpm.MyAuditVal,_xlfn.XLOOKUP($A401,My_Audit!$A:$A,My_Audit!C:C,""),
_xlfn.IFS(_xlpm.MyAuditVal&lt;&gt;"",UPPER(_xlpm.MyAuditVal),_xlpm.MacVal&lt;&gt;"",_xlpm.MacVal,_xlpm.CSVVal&lt;&gt;"",_xlpm.CSVVal
)),"")</f>
        <v/>
      </c>
      <c r="E401" s="46" t="str" cm="1">
        <f t="array" ref="E401">IFERROR(_xlfn.LET(
_xlpm.CSVVal,_xlfn.XLOOKUP($A401,CSV!$A:$A,CSV!E:E,""),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_xlpm.CSVVal,_xlfn.XLOOKUP($A401,CSV!$A:$A,CSV!G:G,""),
_xlpm.MacVal,_xlfn.XLOOKUP($A401,Output_Mac!$A:$A,Output_Mac!G:G,""),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_xlfn.XLOOKUP(A401,Output_Mac!A:A,Output_Mac!H:H,"")</f>
        <v/>
      </c>
      <c r="I401" s="45" t="str" cm="1">
        <f t="array" ref="I401">IFERROR(_xlfn.LET(
_xlpm.CSVVal,_xlfn.XLOOKUP($A401,CSV!$A:$A,CSV!H:H,""),
_xlpm.MacVal,_xlfn.XLOOKUP($A401,Output_Mac!$A:$A,Output_Mac!I:I,""),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_xlpm.CSVVal,_xlfn.XLOOKUP($A401,CSV!$A:$A,CSV!J:J,""),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46" t="str" cm="1">
        <f t="array" ref="K401">IFERROR(_xlfn.LET(
_xlpm.CSVVal,_xlfn.XLOOKUP($A401,CSV!$A:$A,CSV!N:N,""),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_xlpm.CSVVal,_xlfn.XLOOKUP($A401,CSV!$A:$A,CSV!P:P,""),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CSV!AE:AE,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_xlpm.CSVVal,_xlfn.XLOOKUP($A401,CSV!$A:$A,CSV!AG:AG,""),
_xlpm.MacVal,_xlfn.XLOOKUP($A401,Output_Mac!$A:$A,Output_Mac!T:T,""),
_xlpm.MyAuditVal,_xlfn.XLOOKUP($A401,My_Audit!$A:$A,My_Audit!O:O,""),
_xlfn.IFS(_xlpm.MyAuditVal&lt;&gt;"",UPPER(_xlpm.MyAuditVal),_xlpm.MacVal&lt;&gt;"",_xlpm.MacVal,_xlpm.CSVVal&lt;&gt;"",_xlpm.CSVVal
)),"")</f>
        <v/>
      </c>
      <c r="O401" s="46" t="str">
        <f>_xlfn.XLOOKUP(C401,My_Audit!B:B,My_Audit!P:P,"")&amp;""</f>
        <v/>
      </c>
      <c r="P401" s="45"/>
      <c r="Q401" s="46" t="str">
        <f>IF(LEFT(N401,4)="Pass","Nist SP 800-88",My_Audit!R401)&amp;""</f>
        <v/>
      </c>
      <c r="R401" s="45"/>
      <c r="S401" s="45"/>
      <c r="T401" s="46" t="str">
        <f>_xlfn.XLOOKUP(E401,Models!I:I,Models!J:J,"")</f>
        <v/>
      </c>
      <c r="U401" s="45"/>
      <c r="V401" s="45"/>
      <c r="W401" s="38" t="str">
        <f>_xlfn.LET(
    _xlpm.MacVal, _xlfn.XLOOKUP($A401, Output_Mac!$A:$A, Output_Mac!AA:AA, ""),
    _xlpm.MyAuditVal, _xlfn.XLOOKUP($A401, My_Audit!$A:$A, My_Audit!L:L, ""),
    _xlfn.TEXTJOIN(", ", TRUE, _xlpm.MyAuditVal, _xlpm.MacVal)
)</f>
        <v/>
      </c>
    </row>
    <row r="402" spans="1:23">
      <c r="A402" s="45" t="str">
        <f>_xlfn.TEXTJOIN("",TRUE,Input!$B$2,ROW(My_Audit!A401))</f>
        <v>CC401</v>
      </c>
      <c r="B402" s="45" t="str">
        <f>_xlfn.TEXTJOIN("-",TRUE,"ITD",Input!$A$2,A402)</f>
        <v>ITD-XXX-CC401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 cm="1">
        <f t="array" ref="D402">IFERROR(_xlfn.LET(
_xlpm.CSVVal,_xlfn.XLOOKUP($A402,CSV!$A:$A,CSV!C:C,""),
_xlpm.MacVal,_xlfn.XLOOKUP($A402,Output_Mac!$A:$A,Output_Mac!D:D,""),
_xlpm.MyAuditVal,_xlfn.XLOOKUP($A402,My_Audit!$A:$A,My_Audit!C:C,""),
_xlfn.IFS(_xlpm.MyAuditVal&lt;&gt;"",UPPER(_xlpm.MyAuditVal),_xlpm.MacVal&lt;&gt;"",_xlpm.MacVal,_xlpm.CSVVal&lt;&gt;"",_xlpm.CSVVal
)),"")</f>
        <v/>
      </c>
      <c r="E402" s="46" t="str" cm="1">
        <f t="array" ref="E402">IFERROR(_xlfn.LET(
_xlpm.CSVVal,_xlfn.XLOOKUP($A402,CSV!$A:$A,CSV!E:E,""),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_xlpm.CSVVal,_xlfn.XLOOKUP($A402,CSV!$A:$A,CSV!G:G,""),
_xlpm.MacVal,_xlfn.XLOOKUP($A402,Output_Mac!$A:$A,Output_Mac!G:G,""),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_xlfn.XLOOKUP(A402,Output_Mac!A:A,Output_Mac!H:H,"")</f>
        <v/>
      </c>
      <c r="I402" s="45" t="str" cm="1">
        <f t="array" ref="I402">IFERROR(_xlfn.LET(
_xlpm.CSVVal,_xlfn.XLOOKUP($A402,CSV!$A:$A,CSV!H:H,""),
_xlpm.MacVal,_xlfn.XLOOKUP($A402,Output_Mac!$A:$A,Output_Mac!I:I,""),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_xlpm.CSVVal,_xlfn.XLOOKUP($A402,CSV!$A:$A,CSV!J:J,""),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46" t="str" cm="1">
        <f t="array" ref="K402">IFERROR(_xlfn.LET(
_xlpm.CSVVal,_xlfn.XLOOKUP($A402,CSV!$A:$A,CSV!N:N,""),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_xlpm.CSVVal,_xlfn.XLOOKUP($A402,CSV!$A:$A,CSV!P:P,""),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CSV!AE:AE,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_xlpm.CSVVal,_xlfn.XLOOKUP($A402,CSV!$A:$A,CSV!AG:AG,""),
_xlpm.MacVal,_xlfn.XLOOKUP($A402,Output_Mac!$A:$A,Output_Mac!T:T,""),
_xlpm.MyAuditVal,_xlfn.XLOOKUP($A402,My_Audit!$A:$A,My_Audit!O:O,""),
_xlfn.IFS(_xlpm.MyAuditVal&lt;&gt;"",UPPER(_xlpm.MyAuditVal),_xlpm.MacVal&lt;&gt;"",_xlpm.MacVal,_xlpm.CSVVal&lt;&gt;"",_xlpm.CSVVal
)),"")</f>
        <v/>
      </c>
      <c r="O402" s="46" t="str">
        <f>_xlfn.XLOOKUP(C402,My_Audit!B:B,My_Audit!P:P,"")&amp;""</f>
        <v/>
      </c>
      <c r="P402" s="45"/>
      <c r="Q402" s="46" t="str">
        <f>IF(LEFT(N402,4)="Pass","Nist SP 800-88",My_Audit!R402)&amp;""</f>
        <v/>
      </c>
      <c r="R402" s="45"/>
      <c r="S402" s="45"/>
      <c r="T402" s="46" t="str">
        <f>_xlfn.XLOOKUP(E402,Models!I:I,Models!J:J,"")</f>
        <v/>
      </c>
      <c r="U402" s="45"/>
      <c r="V402" s="45"/>
      <c r="W402" s="38" t="str">
        <f>_xlfn.LET(
    _xlpm.MacVal, _xlfn.XLOOKUP($A402, Output_Mac!$A:$A, Output_Mac!AA:AA, ""),
    _xlpm.MyAuditVal, _xlfn.XLOOKUP($A402, My_Audit!$A:$A, My_Audit!L:L, ""),
    _xlfn.TEXTJOIN(", ", TRUE, _xlpm.MyAuditVal, _xlpm.MacVal)
)</f>
        <v/>
      </c>
    </row>
    <row r="403" spans="1:23">
      <c r="A403" s="45" t="str">
        <f>_xlfn.TEXTJOIN("",TRUE,Input!$B$2,ROW(My_Audit!A402))</f>
        <v>CC402</v>
      </c>
      <c r="B403" s="45" t="str">
        <f>_xlfn.TEXTJOIN("-",TRUE,"ITD",Input!$A$2,A403)</f>
        <v>ITD-XXX-CC402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 cm="1">
        <f t="array" ref="D403">IFERROR(_xlfn.LET(
_xlpm.CSVVal,_xlfn.XLOOKUP($A403,CSV!$A:$A,CSV!C:C,""),
_xlpm.MacVal,_xlfn.XLOOKUP($A403,Output_Mac!$A:$A,Output_Mac!D:D,""),
_xlpm.MyAuditVal,_xlfn.XLOOKUP($A403,My_Audit!$A:$A,My_Audit!C:C,""),
_xlfn.IFS(_xlpm.MyAuditVal&lt;&gt;"",UPPER(_xlpm.MyAuditVal),_xlpm.MacVal&lt;&gt;"",_xlpm.MacVal,_xlpm.CSVVal&lt;&gt;"",_xlpm.CSVVal
)),"")</f>
        <v/>
      </c>
      <c r="E403" s="46" t="str" cm="1">
        <f t="array" ref="E403">IFERROR(_xlfn.LET(
_xlpm.CSVVal,_xlfn.XLOOKUP($A403,CSV!$A:$A,CSV!E:E,""),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_xlpm.CSVVal,_xlfn.XLOOKUP($A403,CSV!$A:$A,CSV!G:G,""),
_xlpm.MacVal,_xlfn.XLOOKUP($A403,Output_Mac!$A:$A,Output_Mac!G:G,""),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_xlfn.XLOOKUP(A403,Output_Mac!A:A,Output_Mac!H:H,"")</f>
        <v/>
      </c>
      <c r="I403" s="45" t="str" cm="1">
        <f t="array" ref="I403">IFERROR(_xlfn.LET(
_xlpm.CSVVal,_xlfn.XLOOKUP($A403,CSV!$A:$A,CSV!H:H,""),
_xlpm.MacVal,_xlfn.XLOOKUP($A403,Output_Mac!$A:$A,Output_Mac!I:I,""),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_xlpm.CSVVal,_xlfn.XLOOKUP($A403,CSV!$A:$A,CSV!J:J,""),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46" t="str" cm="1">
        <f t="array" ref="K403">IFERROR(_xlfn.LET(
_xlpm.CSVVal,_xlfn.XLOOKUP($A403,CSV!$A:$A,CSV!N:N,""),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_xlpm.CSVVal,_xlfn.XLOOKUP($A403,CSV!$A:$A,CSV!P:P,""),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CSV!AE:AE,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_xlpm.CSVVal,_xlfn.XLOOKUP($A403,CSV!$A:$A,CSV!AG:AG,""),
_xlpm.MacVal,_xlfn.XLOOKUP($A403,Output_Mac!$A:$A,Output_Mac!T:T,""),
_xlpm.MyAuditVal,_xlfn.XLOOKUP($A403,My_Audit!$A:$A,My_Audit!O:O,""),
_xlfn.IFS(_xlpm.MyAuditVal&lt;&gt;"",UPPER(_xlpm.MyAuditVal),_xlpm.MacVal&lt;&gt;"",_xlpm.MacVal,_xlpm.CSVVal&lt;&gt;"",_xlpm.CSVVal
)),"")</f>
        <v/>
      </c>
      <c r="O403" s="46" t="str">
        <f>_xlfn.XLOOKUP(C403,My_Audit!B:B,My_Audit!P:P,"")&amp;""</f>
        <v/>
      </c>
      <c r="P403" s="45"/>
      <c r="Q403" s="46" t="str">
        <f>IF(LEFT(N403,4)="Pass","Nist SP 800-88",My_Audit!R403)&amp;""</f>
        <v/>
      </c>
      <c r="R403" s="45"/>
      <c r="S403" s="45"/>
      <c r="T403" s="46" t="str">
        <f>_xlfn.XLOOKUP(E403,Models!I:I,Models!J:J,"")</f>
        <v/>
      </c>
      <c r="U403" s="45"/>
      <c r="V403" s="45"/>
      <c r="W403" s="38" t="str">
        <f>_xlfn.LET(
    _xlpm.MacVal, _xlfn.XLOOKUP($A403, Output_Mac!$A:$A, Output_Mac!AA:AA, ""),
    _xlpm.MyAuditVal, _xlfn.XLOOKUP($A403, My_Audit!$A:$A, My_Audit!L:L, ""),
    _xlfn.TEXTJOIN(", ", TRUE, _xlpm.MyAuditVal, _xlpm.MacVal)
)</f>
        <v/>
      </c>
    </row>
    <row r="404" spans="1:23">
      <c r="A404" s="45" t="str">
        <f>_xlfn.TEXTJOIN("",TRUE,Input!$B$2,ROW(My_Audit!A403))</f>
        <v>CC403</v>
      </c>
      <c r="B404" s="45" t="str">
        <f>_xlfn.TEXTJOIN("-",TRUE,"ITD",Input!$A$2,A404)</f>
        <v>ITD-XXX-CC403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 cm="1">
        <f t="array" ref="D404">IFERROR(_xlfn.LET(
_xlpm.CSVVal,_xlfn.XLOOKUP($A404,CSV!$A:$A,CSV!C:C,""),
_xlpm.MacVal,_xlfn.XLOOKUP($A404,Output_Mac!$A:$A,Output_Mac!D:D,""),
_xlpm.MyAuditVal,_xlfn.XLOOKUP($A404,My_Audit!$A:$A,My_Audit!C:C,""),
_xlfn.IFS(_xlpm.MyAuditVal&lt;&gt;"",UPPER(_xlpm.MyAuditVal),_xlpm.MacVal&lt;&gt;"",_xlpm.MacVal,_xlpm.CSVVal&lt;&gt;"",_xlpm.CSVVal
)),"")</f>
        <v/>
      </c>
      <c r="E404" s="46" t="str" cm="1">
        <f t="array" ref="E404">IFERROR(_xlfn.LET(
_xlpm.CSVVal,_xlfn.XLOOKUP($A404,CSV!$A:$A,CSV!E:E,""),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_xlpm.CSVVal,_xlfn.XLOOKUP($A404,CSV!$A:$A,CSV!G:G,""),
_xlpm.MacVal,_xlfn.XLOOKUP($A404,Output_Mac!$A:$A,Output_Mac!G:G,""),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_xlfn.XLOOKUP(A404,Output_Mac!A:A,Output_Mac!H:H,"")</f>
        <v/>
      </c>
      <c r="I404" s="45" t="str" cm="1">
        <f t="array" ref="I404">IFERROR(_xlfn.LET(
_xlpm.CSVVal,_xlfn.XLOOKUP($A404,CSV!$A:$A,CSV!H:H,""),
_xlpm.MacVal,_xlfn.XLOOKUP($A404,Output_Mac!$A:$A,Output_Mac!I:I,""),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_xlpm.CSVVal,_xlfn.XLOOKUP($A404,CSV!$A:$A,CSV!J:J,""),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46" t="str" cm="1">
        <f t="array" ref="K404">IFERROR(_xlfn.LET(
_xlpm.CSVVal,_xlfn.XLOOKUP($A404,CSV!$A:$A,CSV!N:N,""),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_xlpm.CSVVal,_xlfn.XLOOKUP($A404,CSV!$A:$A,CSV!P:P,""),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CSV!AE:AE,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_xlpm.CSVVal,_xlfn.XLOOKUP($A404,CSV!$A:$A,CSV!AG:AG,""),
_xlpm.MacVal,_xlfn.XLOOKUP($A404,Output_Mac!$A:$A,Output_Mac!T:T,""),
_xlpm.MyAuditVal,_xlfn.XLOOKUP($A404,My_Audit!$A:$A,My_Audit!O:O,""),
_xlfn.IFS(_xlpm.MyAuditVal&lt;&gt;"",UPPER(_xlpm.MyAuditVal),_xlpm.MacVal&lt;&gt;"",_xlpm.MacVal,_xlpm.CSVVal&lt;&gt;"",_xlpm.CSVVal
)),"")</f>
        <v/>
      </c>
      <c r="O404" s="46" t="str">
        <f>_xlfn.XLOOKUP(C404,My_Audit!B:B,My_Audit!P:P,"")&amp;""</f>
        <v/>
      </c>
      <c r="P404" s="45"/>
      <c r="Q404" s="46" t="str">
        <f>IF(LEFT(N404,4)="Pass","Nist SP 800-88",My_Audit!R404)&amp;""</f>
        <v/>
      </c>
      <c r="R404" s="45"/>
      <c r="S404" s="45"/>
      <c r="T404" s="46" t="str">
        <f>_xlfn.XLOOKUP(E404,Models!I:I,Models!J:J,"")</f>
        <v/>
      </c>
      <c r="U404" s="45"/>
      <c r="V404" s="45"/>
      <c r="W404" s="38" t="str">
        <f>_xlfn.LET(
    _xlpm.MacVal, _xlfn.XLOOKUP($A404, Output_Mac!$A:$A, Output_Mac!AA:AA, ""),
    _xlpm.MyAuditVal, _xlfn.XLOOKUP($A404, My_Audit!$A:$A, My_Audit!L:L, ""),
    _xlfn.TEXTJOIN(", ", TRUE, _xlpm.MyAuditVal, _xlpm.MacVal)
)</f>
        <v/>
      </c>
    </row>
    <row r="405" spans="1:23">
      <c r="A405" s="45" t="str">
        <f>_xlfn.TEXTJOIN("",TRUE,Input!$B$2,ROW(My_Audit!A404))</f>
        <v>CC404</v>
      </c>
      <c r="B405" s="45" t="str">
        <f>_xlfn.TEXTJOIN("-",TRUE,"ITD",Input!$A$2,A405)</f>
        <v>ITD-XXX-CC404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 cm="1">
        <f t="array" ref="D405">IFERROR(_xlfn.LET(
_xlpm.CSVVal,_xlfn.XLOOKUP($A405,CSV!$A:$A,CSV!C:C,""),
_xlpm.MacVal,_xlfn.XLOOKUP($A405,Output_Mac!$A:$A,Output_Mac!D:D,""),
_xlpm.MyAuditVal,_xlfn.XLOOKUP($A405,My_Audit!$A:$A,My_Audit!C:C,""),
_xlfn.IFS(_xlpm.MyAuditVal&lt;&gt;"",UPPER(_xlpm.MyAuditVal),_xlpm.MacVal&lt;&gt;"",_xlpm.MacVal,_xlpm.CSVVal&lt;&gt;"",_xlpm.CSVVal
)),"")</f>
        <v/>
      </c>
      <c r="E405" s="46" t="str" cm="1">
        <f t="array" ref="E405">IFERROR(_xlfn.LET(
_xlpm.CSVVal,_xlfn.XLOOKUP($A405,CSV!$A:$A,CSV!E:E,""),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_xlpm.CSVVal,_xlfn.XLOOKUP($A405,CSV!$A:$A,CSV!G:G,""),
_xlpm.MacVal,_xlfn.XLOOKUP($A405,Output_Mac!$A:$A,Output_Mac!G:G,""),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_xlfn.XLOOKUP(A405,Output_Mac!A:A,Output_Mac!H:H,"")</f>
        <v/>
      </c>
      <c r="I405" s="45" t="str" cm="1">
        <f t="array" ref="I405">IFERROR(_xlfn.LET(
_xlpm.CSVVal,_xlfn.XLOOKUP($A405,CSV!$A:$A,CSV!H:H,""),
_xlpm.MacVal,_xlfn.XLOOKUP($A405,Output_Mac!$A:$A,Output_Mac!I:I,""),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_xlpm.CSVVal,_xlfn.XLOOKUP($A405,CSV!$A:$A,CSV!J:J,""),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46" t="str" cm="1">
        <f t="array" ref="K405">IFERROR(_xlfn.LET(
_xlpm.CSVVal,_xlfn.XLOOKUP($A405,CSV!$A:$A,CSV!N:N,""),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_xlpm.CSVVal,_xlfn.XLOOKUP($A405,CSV!$A:$A,CSV!P:P,""),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CSV!AE:AE,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_xlpm.CSVVal,_xlfn.XLOOKUP($A405,CSV!$A:$A,CSV!AG:AG,""),
_xlpm.MacVal,_xlfn.XLOOKUP($A405,Output_Mac!$A:$A,Output_Mac!T:T,""),
_xlpm.MyAuditVal,_xlfn.XLOOKUP($A405,My_Audit!$A:$A,My_Audit!O:O,""),
_xlfn.IFS(_xlpm.MyAuditVal&lt;&gt;"",UPPER(_xlpm.MyAuditVal),_xlpm.MacVal&lt;&gt;"",_xlpm.MacVal,_xlpm.CSVVal&lt;&gt;"",_xlpm.CSVVal
)),"")</f>
        <v/>
      </c>
      <c r="O405" s="46" t="str">
        <f>_xlfn.XLOOKUP(C405,My_Audit!B:B,My_Audit!P:P,"")&amp;""</f>
        <v/>
      </c>
      <c r="P405" s="45"/>
      <c r="Q405" s="46" t="str">
        <f>IF(LEFT(N405,4)="Pass","Nist SP 800-88",My_Audit!R405)&amp;""</f>
        <v/>
      </c>
      <c r="R405" s="45"/>
      <c r="S405" s="45"/>
      <c r="T405" s="46" t="str">
        <f>_xlfn.XLOOKUP(E405,Models!I:I,Models!J:J,"")</f>
        <v/>
      </c>
      <c r="U405" s="45"/>
      <c r="V405" s="45"/>
      <c r="W405" s="38" t="str">
        <f>_xlfn.LET(
    _xlpm.MacVal, _xlfn.XLOOKUP($A405, Output_Mac!$A:$A, Output_Mac!AA:AA, ""),
    _xlpm.MyAuditVal, _xlfn.XLOOKUP($A405, My_Audit!$A:$A, My_Audit!L:L, ""),
    _xlfn.TEXTJOIN(", ", TRUE, _xlpm.MyAuditVal, _xlpm.MacVal)
)</f>
        <v/>
      </c>
    </row>
    <row r="406" spans="1:23">
      <c r="A406" s="45" t="str">
        <f>_xlfn.TEXTJOIN("",TRUE,Input!$B$2,ROW(My_Audit!A405))</f>
        <v>CC405</v>
      </c>
      <c r="B406" s="45" t="str">
        <f>_xlfn.TEXTJOIN("-",TRUE,"ITD",Input!$A$2,A406)</f>
        <v>ITD-XXX-CC405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 cm="1">
        <f t="array" ref="D406">IFERROR(_xlfn.LET(
_xlpm.CSVVal,_xlfn.XLOOKUP($A406,CSV!$A:$A,CSV!C:C,""),
_xlpm.MacVal,_xlfn.XLOOKUP($A406,Output_Mac!$A:$A,Output_Mac!D:D,""),
_xlpm.MyAuditVal,_xlfn.XLOOKUP($A406,My_Audit!$A:$A,My_Audit!C:C,""),
_xlfn.IFS(_xlpm.MyAuditVal&lt;&gt;"",UPPER(_xlpm.MyAuditVal),_xlpm.MacVal&lt;&gt;"",_xlpm.MacVal,_xlpm.CSVVal&lt;&gt;"",_xlpm.CSVVal
)),"")</f>
        <v/>
      </c>
      <c r="E406" s="46" t="str" cm="1">
        <f t="array" ref="E406">IFERROR(_xlfn.LET(
_xlpm.CSVVal,_xlfn.XLOOKUP($A406,CSV!$A:$A,CSV!E:E,""),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_xlpm.CSVVal,_xlfn.XLOOKUP($A406,CSV!$A:$A,CSV!G:G,""),
_xlpm.MacVal,_xlfn.XLOOKUP($A406,Output_Mac!$A:$A,Output_Mac!G:G,""),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_xlfn.XLOOKUP(A406,Output_Mac!A:A,Output_Mac!H:H,"")</f>
        <v/>
      </c>
      <c r="I406" s="45" t="str" cm="1">
        <f t="array" ref="I406">IFERROR(_xlfn.LET(
_xlpm.CSVVal,_xlfn.XLOOKUP($A406,CSV!$A:$A,CSV!H:H,""),
_xlpm.MacVal,_xlfn.XLOOKUP($A406,Output_Mac!$A:$A,Output_Mac!I:I,""),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_xlpm.CSVVal,_xlfn.XLOOKUP($A406,CSV!$A:$A,CSV!J:J,""),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46" t="str" cm="1">
        <f t="array" ref="K406">IFERROR(_xlfn.LET(
_xlpm.CSVVal,_xlfn.XLOOKUP($A406,CSV!$A:$A,CSV!N:N,""),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_xlpm.CSVVal,_xlfn.XLOOKUP($A406,CSV!$A:$A,CSV!P:P,""),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CSV!AE:AE,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_xlpm.CSVVal,_xlfn.XLOOKUP($A406,CSV!$A:$A,CSV!AG:AG,""),
_xlpm.MacVal,_xlfn.XLOOKUP($A406,Output_Mac!$A:$A,Output_Mac!T:T,""),
_xlpm.MyAuditVal,_xlfn.XLOOKUP($A406,My_Audit!$A:$A,My_Audit!O:O,""),
_xlfn.IFS(_xlpm.MyAuditVal&lt;&gt;"",UPPER(_xlpm.MyAuditVal),_xlpm.MacVal&lt;&gt;"",_xlpm.MacVal,_xlpm.CSVVal&lt;&gt;"",_xlpm.CSVVal
)),"")</f>
        <v/>
      </c>
      <c r="O406" s="46" t="str">
        <f>_xlfn.XLOOKUP(C406,My_Audit!B:B,My_Audit!P:P,"")&amp;""</f>
        <v/>
      </c>
      <c r="P406" s="45"/>
      <c r="Q406" s="46" t="str">
        <f>IF(LEFT(N406,4)="Pass","Nist SP 800-88",My_Audit!R406)&amp;""</f>
        <v/>
      </c>
      <c r="R406" s="45"/>
      <c r="S406" s="45"/>
      <c r="T406" s="46" t="str">
        <f>_xlfn.XLOOKUP(E406,Models!I:I,Models!J:J,"")</f>
        <v/>
      </c>
      <c r="U406" s="45"/>
      <c r="V406" s="45"/>
      <c r="W406" s="38" t="str">
        <f>_xlfn.LET(
    _xlpm.MacVal, _xlfn.XLOOKUP($A406, Output_Mac!$A:$A, Output_Mac!AA:AA, ""),
    _xlpm.MyAuditVal, _xlfn.XLOOKUP($A406, My_Audit!$A:$A, My_Audit!L:L, ""),
    _xlfn.TEXTJOIN(", ", TRUE, _xlpm.MyAuditVal, _xlpm.MacVal)
)</f>
        <v/>
      </c>
    </row>
    <row r="407" spans="1:23">
      <c r="A407" s="45" t="str">
        <f>_xlfn.TEXTJOIN("",TRUE,Input!$B$2,ROW(My_Audit!A406))</f>
        <v>CC406</v>
      </c>
      <c r="B407" s="45" t="str">
        <f>_xlfn.TEXTJOIN("-",TRUE,"ITD",Input!$A$2,A407)</f>
        <v>ITD-XXX-CC406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 cm="1">
        <f t="array" ref="D407">IFERROR(_xlfn.LET(
_xlpm.CSVVal,_xlfn.XLOOKUP($A407,CSV!$A:$A,CSV!C:C,""),
_xlpm.MacVal,_xlfn.XLOOKUP($A407,Output_Mac!$A:$A,Output_Mac!D:D,""),
_xlpm.MyAuditVal,_xlfn.XLOOKUP($A407,My_Audit!$A:$A,My_Audit!C:C,""),
_xlfn.IFS(_xlpm.MyAuditVal&lt;&gt;"",UPPER(_xlpm.MyAuditVal),_xlpm.MacVal&lt;&gt;"",_xlpm.MacVal,_xlpm.CSVVal&lt;&gt;"",_xlpm.CSVVal
)),"")</f>
        <v/>
      </c>
      <c r="E407" s="46" t="str" cm="1">
        <f t="array" ref="E407">IFERROR(_xlfn.LET(
_xlpm.CSVVal,_xlfn.XLOOKUP($A407,CSV!$A:$A,CSV!E:E,""),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_xlpm.CSVVal,_xlfn.XLOOKUP($A407,CSV!$A:$A,CSV!G:G,""),
_xlpm.MacVal,_xlfn.XLOOKUP($A407,Output_Mac!$A:$A,Output_Mac!G:G,""),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_xlfn.XLOOKUP(A407,Output_Mac!A:A,Output_Mac!H:H,"")</f>
        <v/>
      </c>
      <c r="I407" s="45" t="str" cm="1">
        <f t="array" ref="I407">IFERROR(_xlfn.LET(
_xlpm.CSVVal,_xlfn.XLOOKUP($A407,CSV!$A:$A,CSV!H:H,""),
_xlpm.MacVal,_xlfn.XLOOKUP($A407,Output_Mac!$A:$A,Output_Mac!I:I,""),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_xlpm.CSVVal,_xlfn.XLOOKUP($A407,CSV!$A:$A,CSV!J:J,""),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46" t="str" cm="1">
        <f t="array" ref="K407">IFERROR(_xlfn.LET(
_xlpm.CSVVal,_xlfn.XLOOKUP($A407,CSV!$A:$A,CSV!N:N,""),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_xlpm.CSVVal,_xlfn.XLOOKUP($A407,CSV!$A:$A,CSV!P:P,""),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CSV!AE:AE,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_xlpm.CSVVal,_xlfn.XLOOKUP($A407,CSV!$A:$A,CSV!AG:AG,""),
_xlpm.MacVal,_xlfn.XLOOKUP($A407,Output_Mac!$A:$A,Output_Mac!T:T,""),
_xlpm.MyAuditVal,_xlfn.XLOOKUP($A407,My_Audit!$A:$A,My_Audit!O:O,""),
_xlfn.IFS(_xlpm.MyAuditVal&lt;&gt;"",UPPER(_xlpm.MyAuditVal),_xlpm.MacVal&lt;&gt;"",_xlpm.MacVal,_xlpm.CSVVal&lt;&gt;"",_xlpm.CSVVal
)),"")</f>
        <v/>
      </c>
      <c r="O407" s="46" t="str">
        <f>_xlfn.XLOOKUP(C407,My_Audit!B:B,My_Audit!P:P,"")&amp;""</f>
        <v/>
      </c>
      <c r="P407" s="45"/>
      <c r="Q407" s="46" t="str">
        <f>IF(LEFT(N407,4)="Pass","Nist SP 800-88",My_Audit!R407)&amp;""</f>
        <v/>
      </c>
      <c r="R407" s="45"/>
      <c r="S407" s="45"/>
      <c r="T407" s="46" t="str">
        <f>_xlfn.XLOOKUP(E407,Models!I:I,Models!J:J,"")</f>
        <v/>
      </c>
      <c r="U407" s="45"/>
      <c r="V407" s="45"/>
      <c r="W407" s="38" t="str">
        <f>_xlfn.LET(
    _xlpm.MacVal, _xlfn.XLOOKUP($A407, Output_Mac!$A:$A, Output_Mac!AA:AA, ""),
    _xlpm.MyAuditVal, _xlfn.XLOOKUP($A407, My_Audit!$A:$A, My_Audit!L:L, ""),
    _xlfn.TEXTJOIN(", ", TRUE, _xlpm.MyAuditVal, _xlpm.MacVal)
)</f>
        <v/>
      </c>
    </row>
    <row r="408" spans="1:23">
      <c r="A408" s="45" t="str">
        <f>_xlfn.TEXTJOIN("",TRUE,Input!$B$2,ROW(My_Audit!A407))</f>
        <v>CC407</v>
      </c>
      <c r="B408" s="45" t="str">
        <f>_xlfn.TEXTJOIN("-",TRUE,"ITD",Input!$A$2,A408)</f>
        <v>ITD-XXX-CC407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 cm="1">
        <f t="array" ref="D408">IFERROR(_xlfn.LET(
_xlpm.CSVVal,_xlfn.XLOOKUP($A408,CSV!$A:$A,CSV!C:C,""),
_xlpm.MacVal,_xlfn.XLOOKUP($A408,Output_Mac!$A:$A,Output_Mac!D:D,""),
_xlpm.MyAuditVal,_xlfn.XLOOKUP($A408,My_Audit!$A:$A,My_Audit!C:C,""),
_xlfn.IFS(_xlpm.MyAuditVal&lt;&gt;"",UPPER(_xlpm.MyAuditVal),_xlpm.MacVal&lt;&gt;"",_xlpm.MacVal,_xlpm.CSVVal&lt;&gt;"",_xlpm.CSVVal
)),"")</f>
        <v/>
      </c>
      <c r="E408" s="46" t="str" cm="1">
        <f t="array" ref="E408">IFERROR(_xlfn.LET(
_xlpm.CSVVal,_xlfn.XLOOKUP($A408,CSV!$A:$A,CSV!E:E,""),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_xlpm.CSVVal,_xlfn.XLOOKUP($A408,CSV!$A:$A,CSV!G:G,""),
_xlpm.MacVal,_xlfn.XLOOKUP($A408,Output_Mac!$A:$A,Output_Mac!G:G,""),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_xlfn.XLOOKUP(A408,Output_Mac!A:A,Output_Mac!H:H,"")</f>
        <v/>
      </c>
      <c r="I408" s="45" t="str" cm="1">
        <f t="array" ref="I408">IFERROR(_xlfn.LET(
_xlpm.CSVVal,_xlfn.XLOOKUP($A408,CSV!$A:$A,CSV!H:H,""),
_xlpm.MacVal,_xlfn.XLOOKUP($A408,Output_Mac!$A:$A,Output_Mac!I:I,""),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_xlpm.CSVVal,_xlfn.XLOOKUP($A408,CSV!$A:$A,CSV!J:J,""),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46" t="str" cm="1">
        <f t="array" ref="K408">IFERROR(_xlfn.LET(
_xlpm.CSVVal,_xlfn.XLOOKUP($A408,CSV!$A:$A,CSV!N:N,""),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_xlpm.CSVVal,_xlfn.XLOOKUP($A408,CSV!$A:$A,CSV!P:P,""),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CSV!AE:AE,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_xlpm.CSVVal,_xlfn.XLOOKUP($A408,CSV!$A:$A,CSV!AG:AG,""),
_xlpm.MacVal,_xlfn.XLOOKUP($A408,Output_Mac!$A:$A,Output_Mac!T:T,""),
_xlpm.MyAuditVal,_xlfn.XLOOKUP($A408,My_Audit!$A:$A,My_Audit!O:O,""),
_xlfn.IFS(_xlpm.MyAuditVal&lt;&gt;"",UPPER(_xlpm.MyAuditVal),_xlpm.MacVal&lt;&gt;"",_xlpm.MacVal,_xlpm.CSVVal&lt;&gt;"",_xlpm.CSVVal
)),"")</f>
        <v/>
      </c>
      <c r="O408" s="46" t="str">
        <f>_xlfn.XLOOKUP(C408,My_Audit!B:B,My_Audit!P:P,"")&amp;""</f>
        <v/>
      </c>
      <c r="P408" s="45"/>
      <c r="Q408" s="46" t="str">
        <f>IF(LEFT(N408,4)="Pass","Nist SP 800-88",My_Audit!R408)&amp;""</f>
        <v/>
      </c>
      <c r="R408" s="45"/>
      <c r="S408" s="45"/>
      <c r="T408" s="46" t="str">
        <f>_xlfn.XLOOKUP(E408,Models!I:I,Models!J:J,"")</f>
        <v/>
      </c>
      <c r="U408" s="45"/>
      <c r="V408" s="45"/>
      <c r="W408" s="38" t="str">
        <f>_xlfn.LET(
    _xlpm.MacVal, _xlfn.XLOOKUP($A408, Output_Mac!$A:$A, Output_Mac!AA:AA, ""),
    _xlpm.MyAuditVal, _xlfn.XLOOKUP($A408, My_Audit!$A:$A, My_Audit!L:L, ""),
    _xlfn.TEXTJOIN(", ", TRUE, _xlpm.MyAuditVal, _xlpm.MacVal)
)</f>
        <v/>
      </c>
    </row>
    <row r="409" spans="1:23">
      <c r="A409" s="45" t="str">
        <f>_xlfn.TEXTJOIN("",TRUE,Input!$B$2,ROW(My_Audit!A408))</f>
        <v>CC408</v>
      </c>
      <c r="B409" s="45" t="str">
        <f>_xlfn.TEXTJOIN("-",TRUE,"ITD",Input!$A$2,A409)</f>
        <v>ITD-XXX-CC408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 cm="1">
        <f t="array" ref="D409">IFERROR(_xlfn.LET(
_xlpm.CSVVal,_xlfn.XLOOKUP($A409,CSV!$A:$A,CSV!C:C,""),
_xlpm.MacVal,_xlfn.XLOOKUP($A409,Output_Mac!$A:$A,Output_Mac!D:D,""),
_xlpm.MyAuditVal,_xlfn.XLOOKUP($A409,My_Audit!$A:$A,My_Audit!C:C,""),
_xlfn.IFS(_xlpm.MyAuditVal&lt;&gt;"",UPPER(_xlpm.MyAuditVal),_xlpm.MacVal&lt;&gt;"",_xlpm.MacVal,_xlpm.CSVVal&lt;&gt;"",_xlpm.CSVVal
)),"")</f>
        <v/>
      </c>
      <c r="E409" s="46" t="str" cm="1">
        <f t="array" ref="E409">IFERROR(_xlfn.LET(
_xlpm.CSVVal,_xlfn.XLOOKUP($A409,CSV!$A:$A,CSV!E:E,""),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_xlpm.CSVVal,_xlfn.XLOOKUP($A409,CSV!$A:$A,CSV!G:G,""),
_xlpm.MacVal,_xlfn.XLOOKUP($A409,Output_Mac!$A:$A,Output_Mac!G:G,""),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_xlfn.XLOOKUP(A409,Output_Mac!A:A,Output_Mac!H:H,"")</f>
        <v/>
      </c>
      <c r="I409" s="45" t="str" cm="1">
        <f t="array" ref="I409">IFERROR(_xlfn.LET(
_xlpm.CSVVal,_xlfn.XLOOKUP($A409,CSV!$A:$A,CSV!H:H,""),
_xlpm.MacVal,_xlfn.XLOOKUP($A409,Output_Mac!$A:$A,Output_Mac!I:I,""),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_xlpm.CSVVal,_xlfn.XLOOKUP($A409,CSV!$A:$A,CSV!J:J,""),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46" t="str" cm="1">
        <f t="array" ref="K409">IFERROR(_xlfn.LET(
_xlpm.CSVVal,_xlfn.XLOOKUP($A409,CSV!$A:$A,CSV!N:N,""),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_xlpm.CSVVal,_xlfn.XLOOKUP($A409,CSV!$A:$A,CSV!P:P,""),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CSV!AE:AE,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_xlpm.CSVVal,_xlfn.XLOOKUP($A409,CSV!$A:$A,CSV!AG:AG,""),
_xlpm.MacVal,_xlfn.XLOOKUP($A409,Output_Mac!$A:$A,Output_Mac!T:T,""),
_xlpm.MyAuditVal,_xlfn.XLOOKUP($A409,My_Audit!$A:$A,My_Audit!O:O,""),
_xlfn.IFS(_xlpm.MyAuditVal&lt;&gt;"",UPPER(_xlpm.MyAuditVal),_xlpm.MacVal&lt;&gt;"",_xlpm.MacVal,_xlpm.CSVVal&lt;&gt;"",_xlpm.CSVVal
)),"")</f>
        <v/>
      </c>
      <c r="O409" s="46" t="str">
        <f>_xlfn.XLOOKUP(C409,My_Audit!B:B,My_Audit!P:P,"")&amp;""</f>
        <v/>
      </c>
      <c r="P409" s="45"/>
      <c r="Q409" s="46" t="str">
        <f>IF(LEFT(N409,4)="Pass","Nist SP 800-88",My_Audit!R409)&amp;""</f>
        <v/>
      </c>
      <c r="R409" s="45"/>
      <c r="S409" s="45"/>
      <c r="T409" s="46" t="str">
        <f>_xlfn.XLOOKUP(E409,Models!I:I,Models!J:J,"")</f>
        <v/>
      </c>
      <c r="U409" s="45"/>
      <c r="V409" s="45"/>
      <c r="W409" s="38" t="str">
        <f>_xlfn.LET(
    _xlpm.MacVal, _xlfn.XLOOKUP($A409, Output_Mac!$A:$A, Output_Mac!AA:AA, ""),
    _xlpm.MyAuditVal, _xlfn.XLOOKUP($A409, My_Audit!$A:$A, My_Audit!L:L, ""),
    _xlfn.TEXTJOIN(", ", TRUE, _xlpm.MyAuditVal, _xlpm.MacVal)
)</f>
        <v/>
      </c>
    </row>
    <row r="410" spans="1:23">
      <c r="A410" s="45" t="str">
        <f>_xlfn.TEXTJOIN("",TRUE,Input!$B$2,ROW(My_Audit!A409))</f>
        <v>CC409</v>
      </c>
      <c r="B410" s="45" t="str">
        <f>_xlfn.TEXTJOIN("-",TRUE,"ITD",Input!$A$2,A410)</f>
        <v>ITD-XXX-CC409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 cm="1">
        <f t="array" ref="D410">IFERROR(_xlfn.LET(
_xlpm.CSVVal,_xlfn.XLOOKUP($A410,CSV!$A:$A,CSV!C:C,""),
_xlpm.MacVal,_xlfn.XLOOKUP($A410,Output_Mac!$A:$A,Output_Mac!D:D,""),
_xlpm.MyAuditVal,_xlfn.XLOOKUP($A410,My_Audit!$A:$A,My_Audit!C:C,""),
_xlfn.IFS(_xlpm.MyAuditVal&lt;&gt;"",UPPER(_xlpm.MyAuditVal),_xlpm.MacVal&lt;&gt;"",_xlpm.MacVal,_xlpm.CSVVal&lt;&gt;"",_xlpm.CSVVal
)),"")</f>
        <v/>
      </c>
      <c r="E410" s="46" t="str" cm="1">
        <f t="array" ref="E410">IFERROR(_xlfn.LET(
_xlpm.CSVVal,_xlfn.XLOOKUP($A410,CSV!$A:$A,CSV!E:E,""),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_xlpm.CSVVal,_xlfn.XLOOKUP($A410,CSV!$A:$A,CSV!G:G,""),
_xlpm.MacVal,_xlfn.XLOOKUP($A410,Output_Mac!$A:$A,Output_Mac!G:G,""),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_xlfn.XLOOKUP(A410,Output_Mac!A:A,Output_Mac!H:H,"")</f>
        <v/>
      </c>
      <c r="I410" s="45" t="str" cm="1">
        <f t="array" ref="I410">IFERROR(_xlfn.LET(
_xlpm.CSVVal,_xlfn.XLOOKUP($A410,CSV!$A:$A,CSV!H:H,""),
_xlpm.MacVal,_xlfn.XLOOKUP($A410,Output_Mac!$A:$A,Output_Mac!I:I,""),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_xlpm.CSVVal,_xlfn.XLOOKUP($A410,CSV!$A:$A,CSV!J:J,""),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46" t="str" cm="1">
        <f t="array" ref="K410">IFERROR(_xlfn.LET(
_xlpm.CSVVal,_xlfn.XLOOKUP($A410,CSV!$A:$A,CSV!N:N,""),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_xlpm.CSVVal,_xlfn.XLOOKUP($A410,CSV!$A:$A,CSV!P:P,""),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CSV!AE:AE,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_xlpm.CSVVal,_xlfn.XLOOKUP($A410,CSV!$A:$A,CSV!AG:AG,""),
_xlpm.MacVal,_xlfn.XLOOKUP($A410,Output_Mac!$A:$A,Output_Mac!T:T,""),
_xlpm.MyAuditVal,_xlfn.XLOOKUP($A410,My_Audit!$A:$A,My_Audit!O:O,""),
_xlfn.IFS(_xlpm.MyAuditVal&lt;&gt;"",UPPER(_xlpm.MyAuditVal),_xlpm.MacVal&lt;&gt;"",_xlpm.MacVal,_xlpm.CSVVal&lt;&gt;"",_xlpm.CSVVal
)),"")</f>
        <v/>
      </c>
      <c r="O410" s="46" t="str">
        <f>_xlfn.XLOOKUP(C410,My_Audit!B:B,My_Audit!P:P,"")&amp;""</f>
        <v/>
      </c>
      <c r="P410" s="45"/>
      <c r="Q410" s="46" t="str">
        <f>IF(LEFT(N410,4)="Pass","Nist SP 800-88",My_Audit!R410)&amp;""</f>
        <v/>
      </c>
      <c r="R410" s="45"/>
      <c r="S410" s="45"/>
      <c r="T410" s="46" t="str">
        <f>_xlfn.XLOOKUP(E410,Models!I:I,Models!J:J,"")</f>
        <v/>
      </c>
      <c r="U410" s="45"/>
      <c r="V410" s="45"/>
      <c r="W410" s="38" t="str">
        <f>_xlfn.LET(
    _xlpm.MacVal, _xlfn.XLOOKUP($A410, Output_Mac!$A:$A, Output_Mac!AA:AA, ""),
    _xlpm.MyAuditVal, _xlfn.XLOOKUP($A410, My_Audit!$A:$A, My_Audit!L:L, ""),
    _xlfn.TEXTJOIN(", ", TRUE, _xlpm.MyAuditVal, _xlpm.MacVal)
)</f>
        <v/>
      </c>
    </row>
    <row r="411" spans="1:23">
      <c r="A411" s="45" t="str">
        <f>_xlfn.TEXTJOIN("",TRUE,Input!$B$2,ROW(My_Audit!A410))</f>
        <v>CC410</v>
      </c>
      <c r="B411" s="45" t="str">
        <f>_xlfn.TEXTJOIN("-",TRUE,"ITD",Input!$A$2,A411)</f>
        <v>ITD-XXX-CC410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 cm="1">
        <f t="array" ref="D411">IFERROR(_xlfn.LET(
_xlpm.CSVVal,_xlfn.XLOOKUP($A411,CSV!$A:$A,CSV!C:C,""),
_xlpm.MacVal,_xlfn.XLOOKUP($A411,Output_Mac!$A:$A,Output_Mac!D:D,""),
_xlpm.MyAuditVal,_xlfn.XLOOKUP($A411,My_Audit!$A:$A,My_Audit!C:C,""),
_xlfn.IFS(_xlpm.MyAuditVal&lt;&gt;"",UPPER(_xlpm.MyAuditVal),_xlpm.MacVal&lt;&gt;"",_xlpm.MacVal,_xlpm.CSVVal&lt;&gt;"",_xlpm.CSVVal
)),"")</f>
        <v/>
      </c>
      <c r="E411" s="46" t="str" cm="1">
        <f t="array" ref="E411">IFERROR(_xlfn.LET(
_xlpm.CSVVal,_xlfn.XLOOKUP($A411,CSV!$A:$A,CSV!E:E,""),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_xlpm.CSVVal,_xlfn.XLOOKUP($A411,CSV!$A:$A,CSV!G:G,""),
_xlpm.MacVal,_xlfn.XLOOKUP($A411,Output_Mac!$A:$A,Output_Mac!G:G,""),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_xlfn.XLOOKUP(A411,Output_Mac!A:A,Output_Mac!H:H,"")</f>
        <v/>
      </c>
      <c r="I411" s="45" t="str" cm="1">
        <f t="array" ref="I411">IFERROR(_xlfn.LET(
_xlpm.CSVVal,_xlfn.XLOOKUP($A411,CSV!$A:$A,CSV!H:H,""),
_xlpm.MacVal,_xlfn.XLOOKUP($A411,Output_Mac!$A:$A,Output_Mac!I:I,""),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_xlpm.CSVVal,_xlfn.XLOOKUP($A411,CSV!$A:$A,CSV!J:J,""),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46" t="str" cm="1">
        <f t="array" ref="K411">IFERROR(_xlfn.LET(
_xlpm.CSVVal,_xlfn.XLOOKUP($A411,CSV!$A:$A,CSV!N:N,""),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_xlpm.CSVVal,_xlfn.XLOOKUP($A411,CSV!$A:$A,CSV!P:P,""),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CSV!AE:AE,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_xlpm.CSVVal,_xlfn.XLOOKUP($A411,CSV!$A:$A,CSV!AG:AG,""),
_xlpm.MacVal,_xlfn.XLOOKUP($A411,Output_Mac!$A:$A,Output_Mac!T:T,""),
_xlpm.MyAuditVal,_xlfn.XLOOKUP($A411,My_Audit!$A:$A,My_Audit!O:O,""),
_xlfn.IFS(_xlpm.MyAuditVal&lt;&gt;"",UPPER(_xlpm.MyAuditVal),_xlpm.MacVal&lt;&gt;"",_xlpm.MacVal,_xlpm.CSVVal&lt;&gt;"",_xlpm.CSVVal
)),"")</f>
        <v/>
      </c>
      <c r="O411" s="46" t="str">
        <f>_xlfn.XLOOKUP(C411,My_Audit!B:B,My_Audit!P:P,"")&amp;""</f>
        <v/>
      </c>
      <c r="P411" s="45"/>
      <c r="Q411" s="46" t="str">
        <f>IF(LEFT(N411,4)="Pass","Nist SP 800-88",My_Audit!R411)&amp;""</f>
        <v/>
      </c>
      <c r="R411" s="45"/>
      <c r="S411" s="45"/>
      <c r="T411" s="46" t="str">
        <f>_xlfn.XLOOKUP(E411,Models!I:I,Models!J:J,"")</f>
        <v/>
      </c>
      <c r="U411" s="45"/>
      <c r="V411" s="45"/>
      <c r="W411" s="38" t="str">
        <f>_xlfn.LET(
    _xlpm.MacVal, _xlfn.XLOOKUP($A411, Output_Mac!$A:$A, Output_Mac!AA:AA, ""),
    _xlpm.MyAuditVal, _xlfn.XLOOKUP($A411, My_Audit!$A:$A, My_Audit!L:L, ""),
    _xlfn.TEXTJOIN(", ", TRUE, _xlpm.MyAuditVal, _xlpm.MacVal)
)</f>
        <v/>
      </c>
    </row>
    <row r="412" spans="1:23">
      <c r="A412" s="45" t="str">
        <f>_xlfn.TEXTJOIN("",TRUE,Input!$B$2,ROW(My_Audit!A411))</f>
        <v>CC411</v>
      </c>
      <c r="B412" s="45" t="str">
        <f>_xlfn.TEXTJOIN("-",TRUE,"ITD",Input!$A$2,A412)</f>
        <v>ITD-XXX-CC411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 cm="1">
        <f t="array" ref="D412">IFERROR(_xlfn.LET(
_xlpm.CSVVal,_xlfn.XLOOKUP($A412,CSV!$A:$A,CSV!C:C,""),
_xlpm.MacVal,_xlfn.XLOOKUP($A412,Output_Mac!$A:$A,Output_Mac!D:D,""),
_xlpm.MyAuditVal,_xlfn.XLOOKUP($A412,My_Audit!$A:$A,My_Audit!C:C,""),
_xlfn.IFS(_xlpm.MyAuditVal&lt;&gt;"",UPPER(_xlpm.MyAuditVal),_xlpm.MacVal&lt;&gt;"",_xlpm.MacVal,_xlpm.CSVVal&lt;&gt;"",_xlpm.CSVVal
)),"")</f>
        <v/>
      </c>
      <c r="E412" s="46" t="str" cm="1">
        <f t="array" ref="E412">IFERROR(_xlfn.LET(
_xlpm.CSVVal,_xlfn.XLOOKUP($A412,CSV!$A:$A,CSV!E:E,""),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_xlpm.CSVVal,_xlfn.XLOOKUP($A412,CSV!$A:$A,CSV!G:G,""),
_xlpm.MacVal,_xlfn.XLOOKUP($A412,Output_Mac!$A:$A,Output_Mac!G:G,""),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_xlfn.XLOOKUP(A412,Output_Mac!A:A,Output_Mac!H:H,"")</f>
        <v/>
      </c>
      <c r="I412" s="45" t="str" cm="1">
        <f t="array" ref="I412">IFERROR(_xlfn.LET(
_xlpm.CSVVal,_xlfn.XLOOKUP($A412,CSV!$A:$A,CSV!H:H,""),
_xlpm.MacVal,_xlfn.XLOOKUP($A412,Output_Mac!$A:$A,Output_Mac!I:I,""),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_xlpm.CSVVal,_xlfn.XLOOKUP($A412,CSV!$A:$A,CSV!J:J,""),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46" t="str" cm="1">
        <f t="array" ref="K412">IFERROR(_xlfn.LET(
_xlpm.CSVVal,_xlfn.XLOOKUP($A412,CSV!$A:$A,CSV!N:N,""),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_xlpm.CSVVal,_xlfn.XLOOKUP($A412,CSV!$A:$A,CSV!P:P,""),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CSV!AE:AE,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_xlpm.CSVVal,_xlfn.XLOOKUP($A412,CSV!$A:$A,CSV!AG:AG,""),
_xlpm.MacVal,_xlfn.XLOOKUP($A412,Output_Mac!$A:$A,Output_Mac!T:T,""),
_xlpm.MyAuditVal,_xlfn.XLOOKUP($A412,My_Audit!$A:$A,My_Audit!O:O,""),
_xlfn.IFS(_xlpm.MyAuditVal&lt;&gt;"",UPPER(_xlpm.MyAuditVal),_xlpm.MacVal&lt;&gt;"",_xlpm.MacVal,_xlpm.CSVVal&lt;&gt;"",_xlpm.CSVVal
)),"")</f>
        <v/>
      </c>
      <c r="O412" s="46" t="str">
        <f>_xlfn.XLOOKUP(C412,My_Audit!B:B,My_Audit!P:P,"")&amp;""</f>
        <v/>
      </c>
      <c r="P412" s="45"/>
      <c r="Q412" s="46" t="str">
        <f>IF(LEFT(N412,4)="Pass","Nist SP 800-88",My_Audit!R412)&amp;""</f>
        <v/>
      </c>
      <c r="R412" s="45"/>
      <c r="S412" s="45"/>
      <c r="T412" s="46" t="str">
        <f>_xlfn.XLOOKUP(E412,Models!I:I,Models!J:J,"")</f>
        <v/>
      </c>
      <c r="U412" s="45"/>
      <c r="V412" s="45"/>
      <c r="W412" s="38" t="str">
        <f>_xlfn.LET(
    _xlpm.MacVal, _xlfn.XLOOKUP($A412, Output_Mac!$A:$A, Output_Mac!AA:AA, ""),
    _xlpm.MyAuditVal, _xlfn.XLOOKUP($A412, My_Audit!$A:$A, My_Audit!L:L, ""),
    _xlfn.TEXTJOIN(", ", TRUE, _xlpm.MyAuditVal, _xlpm.MacVal)
)</f>
        <v/>
      </c>
    </row>
    <row r="413" spans="1:23">
      <c r="A413" s="45" t="str">
        <f>_xlfn.TEXTJOIN("",TRUE,Input!$B$2,ROW(My_Audit!A412))</f>
        <v>CC412</v>
      </c>
      <c r="B413" s="45" t="str">
        <f>_xlfn.TEXTJOIN("-",TRUE,"ITD",Input!$A$2,A413)</f>
        <v>ITD-XXX-CC412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 cm="1">
        <f t="array" ref="D413">IFERROR(_xlfn.LET(
_xlpm.CSVVal,_xlfn.XLOOKUP($A413,CSV!$A:$A,CSV!C:C,""),
_xlpm.MacVal,_xlfn.XLOOKUP($A413,Output_Mac!$A:$A,Output_Mac!D:D,""),
_xlpm.MyAuditVal,_xlfn.XLOOKUP($A413,My_Audit!$A:$A,My_Audit!C:C,""),
_xlfn.IFS(_xlpm.MyAuditVal&lt;&gt;"",UPPER(_xlpm.MyAuditVal),_xlpm.MacVal&lt;&gt;"",_xlpm.MacVal,_xlpm.CSVVal&lt;&gt;"",_xlpm.CSVVal
)),"")</f>
        <v/>
      </c>
      <c r="E413" s="46" t="str" cm="1">
        <f t="array" ref="E413">IFERROR(_xlfn.LET(
_xlpm.CSVVal,_xlfn.XLOOKUP($A413,CSV!$A:$A,CSV!E:E,""),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_xlpm.CSVVal,_xlfn.XLOOKUP($A413,CSV!$A:$A,CSV!G:G,""),
_xlpm.MacVal,_xlfn.XLOOKUP($A413,Output_Mac!$A:$A,Output_Mac!G:G,""),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_xlfn.XLOOKUP(A413,Output_Mac!A:A,Output_Mac!H:H,"")</f>
        <v/>
      </c>
      <c r="I413" s="45" t="str" cm="1">
        <f t="array" ref="I413">IFERROR(_xlfn.LET(
_xlpm.CSVVal,_xlfn.XLOOKUP($A413,CSV!$A:$A,CSV!H:H,""),
_xlpm.MacVal,_xlfn.XLOOKUP($A413,Output_Mac!$A:$A,Output_Mac!I:I,""),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_xlpm.CSVVal,_xlfn.XLOOKUP($A413,CSV!$A:$A,CSV!J:J,""),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46" t="str" cm="1">
        <f t="array" ref="K413">IFERROR(_xlfn.LET(
_xlpm.CSVVal,_xlfn.XLOOKUP($A413,CSV!$A:$A,CSV!N:N,""),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_xlpm.CSVVal,_xlfn.XLOOKUP($A413,CSV!$A:$A,CSV!P:P,""),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CSV!AE:AE,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_xlpm.CSVVal,_xlfn.XLOOKUP($A413,CSV!$A:$A,CSV!AG:AG,""),
_xlpm.MacVal,_xlfn.XLOOKUP($A413,Output_Mac!$A:$A,Output_Mac!T:T,""),
_xlpm.MyAuditVal,_xlfn.XLOOKUP($A413,My_Audit!$A:$A,My_Audit!O:O,""),
_xlfn.IFS(_xlpm.MyAuditVal&lt;&gt;"",UPPER(_xlpm.MyAuditVal),_xlpm.MacVal&lt;&gt;"",_xlpm.MacVal,_xlpm.CSVVal&lt;&gt;"",_xlpm.CSVVal
)),"")</f>
        <v/>
      </c>
      <c r="O413" s="46" t="str">
        <f>_xlfn.XLOOKUP(C413,My_Audit!B:B,My_Audit!P:P,"")&amp;""</f>
        <v/>
      </c>
      <c r="P413" s="45"/>
      <c r="Q413" s="46" t="str">
        <f>IF(LEFT(N413,4)="Pass","Nist SP 800-88",My_Audit!R413)&amp;""</f>
        <v/>
      </c>
      <c r="R413" s="45"/>
      <c r="S413" s="45"/>
      <c r="T413" s="46" t="str">
        <f>_xlfn.XLOOKUP(E413,Models!I:I,Models!J:J,"")</f>
        <v/>
      </c>
      <c r="U413" s="45"/>
      <c r="V413" s="45"/>
      <c r="W413" s="38" t="str">
        <f>_xlfn.LET(
    _xlpm.MacVal, _xlfn.XLOOKUP($A413, Output_Mac!$A:$A, Output_Mac!AA:AA, ""),
    _xlpm.MyAuditVal, _xlfn.XLOOKUP($A413, My_Audit!$A:$A, My_Audit!L:L, ""),
    _xlfn.TEXTJOIN(", ", TRUE, _xlpm.MyAuditVal, _xlpm.MacVal)
)</f>
        <v/>
      </c>
    </row>
    <row r="414" spans="1:23">
      <c r="A414" s="45" t="str">
        <f>_xlfn.TEXTJOIN("",TRUE,Input!$B$2,ROW(My_Audit!A413))</f>
        <v>CC413</v>
      </c>
      <c r="B414" s="45" t="str">
        <f>_xlfn.TEXTJOIN("-",TRUE,"ITD",Input!$A$2,A414)</f>
        <v>ITD-XXX-CC413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 cm="1">
        <f t="array" ref="D414">IFERROR(_xlfn.LET(
_xlpm.CSVVal,_xlfn.XLOOKUP($A414,CSV!$A:$A,CSV!C:C,""),
_xlpm.MacVal,_xlfn.XLOOKUP($A414,Output_Mac!$A:$A,Output_Mac!D:D,""),
_xlpm.MyAuditVal,_xlfn.XLOOKUP($A414,My_Audit!$A:$A,My_Audit!C:C,""),
_xlfn.IFS(_xlpm.MyAuditVal&lt;&gt;"",UPPER(_xlpm.MyAuditVal),_xlpm.MacVal&lt;&gt;"",_xlpm.MacVal,_xlpm.CSVVal&lt;&gt;"",_xlpm.CSVVal
)),"")</f>
        <v/>
      </c>
      <c r="E414" s="46" t="str" cm="1">
        <f t="array" ref="E414">IFERROR(_xlfn.LET(
_xlpm.CSVVal,_xlfn.XLOOKUP($A414,CSV!$A:$A,CSV!E:E,""),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_xlpm.CSVVal,_xlfn.XLOOKUP($A414,CSV!$A:$A,CSV!G:G,""),
_xlpm.MacVal,_xlfn.XLOOKUP($A414,Output_Mac!$A:$A,Output_Mac!G:G,""),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_xlfn.XLOOKUP(A414,Output_Mac!A:A,Output_Mac!H:H,"")</f>
        <v/>
      </c>
      <c r="I414" s="45" t="str" cm="1">
        <f t="array" ref="I414">IFERROR(_xlfn.LET(
_xlpm.CSVVal,_xlfn.XLOOKUP($A414,CSV!$A:$A,CSV!H:H,""),
_xlpm.MacVal,_xlfn.XLOOKUP($A414,Output_Mac!$A:$A,Output_Mac!I:I,""),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_xlpm.CSVVal,_xlfn.XLOOKUP($A414,CSV!$A:$A,CSV!J:J,""),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46" t="str" cm="1">
        <f t="array" ref="K414">IFERROR(_xlfn.LET(
_xlpm.CSVVal,_xlfn.XLOOKUP($A414,CSV!$A:$A,CSV!N:N,""),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_xlpm.CSVVal,_xlfn.XLOOKUP($A414,CSV!$A:$A,CSV!P:P,""),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CSV!AE:AE,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_xlpm.CSVVal,_xlfn.XLOOKUP($A414,CSV!$A:$A,CSV!AG:AG,""),
_xlpm.MacVal,_xlfn.XLOOKUP($A414,Output_Mac!$A:$A,Output_Mac!T:T,""),
_xlpm.MyAuditVal,_xlfn.XLOOKUP($A414,My_Audit!$A:$A,My_Audit!O:O,""),
_xlfn.IFS(_xlpm.MyAuditVal&lt;&gt;"",UPPER(_xlpm.MyAuditVal),_xlpm.MacVal&lt;&gt;"",_xlpm.MacVal,_xlpm.CSVVal&lt;&gt;"",_xlpm.CSVVal
)),"")</f>
        <v/>
      </c>
      <c r="O414" s="46" t="str">
        <f>_xlfn.XLOOKUP(C414,My_Audit!B:B,My_Audit!P:P,"")&amp;""</f>
        <v/>
      </c>
      <c r="P414" s="45"/>
      <c r="Q414" s="46" t="str">
        <f>IF(LEFT(N414,4)="Pass","Nist SP 800-88",My_Audit!R414)&amp;""</f>
        <v/>
      </c>
      <c r="R414" s="45"/>
      <c r="S414" s="45"/>
      <c r="T414" s="46" t="str">
        <f>_xlfn.XLOOKUP(E414,Models!I:I,Models!J:J,"")</f>
        <v/>
      </c>
      <c r="U414" s="45"/>
      <c r="V414" s="45"/>
      <c r="W414" s="38" t="str">
        <f>_xlfn.LET(
    _xlpm.MacVal, _xlfn.XLOOKUP($A414, Output_Mac!$A:$A, Output_Mac!AA:AA, ""),
    _xlpm.MyAuditVal, _xlfn.XLOOKUP($A414, My_Audit!$A:$A, My_Audit!L:L, ""),
    _xlfn.TEXTJOIN(", ", TRUE, _xlpm.MyAuditVal, _xlpm.MacVal)
)</f>
        <v/>
      </c>
    </row>
    <row r="415" spans="1:23">
      <c r="A415" s="45" t="str">
        <f>_xlfn.TEXTJOIN("",TRUE,Input!$B$2,ROW(My_Audit!A414))</f>
        <v>CC414</v>
      </c>
      <c r="B415" s="45" t="str">
        <f>_xlfn.TEXTJOIN("-",TRUE,"ITD",Input!$A$2,A415)</f>
        <v>ITD-XXX-CC414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 cm="1">
        <f t="array" ref="D415">IFERROR(_xlfn.LET(
_xlpm.CSVVal,_xlfn.XLOOKUP($A415,CSV!$A:$A,CSV!C:C,""),
_xlpm.MacVal,_xlfn.XLOOKUP($A415,Output_Mac!$A:$A,Output_Mac!D:D,""),
_xlpm.MyAuditVal,_xlfn.XLOOKUP($A415,My_Audit!$A:$A,My_Audit!C:C,""),
_xlfn.IFS(_xlpm.MyAuditVal&lt;&gt;"",UPPER(_xlpm.MyAuditVal),_xlpm.MacVal&lt;&gt;"",_xlpm.MacVal,_xlpm.CSVVal&lt;&gt;"",_xlpm.CSVVal
)),"")</f>
        <v/>
      </c>
      <c r="E415" s="46" t="str" cm="1">
        <f t="array" ref="E415">IFERROR(_xlfn.LET(
_xlpm.CSVVal,_xlfn.XLOOKUP($A415,CSV!$A:$A,CSV!E:E,""),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_xlpm.CSVVal,_xlfn.XLOOKUP($A415,CSV!$A:$A,CSV!G:G,""),
_xlpm.MacVal,_xlfn.XLOOKUP($A415,Output_Mac!$A:$A,Output_Mac!G:G,""),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_xlfn.XLOOKUP(A415,Output_Mac!A:A,Output_Mac!H:H,"")</f>
        <v/>
      </c>
      <c r="I415" s="45" t="str" cm="1">
        <f t="array" ref="I415">IFERROR(_xlfn.LET(
_xlpm.CSVVal,_xlfn.XLOOKUP($A415,CSV!$A:$A,CSV!H:H,""),
_xlpm.MacVal,_xlfn.XLOOKUP($A415,Output_Mac!$A:$A,Output_Mac!I:I,""),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_xlpm.CSVVal,_xlfn.XLOOKUP($A415,CSV!$A:$A,CSV!J:J,""),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46" t="str" cm="1">
        <f t="array" ref="K415">IFERROR(_xlfn.LET(
_xlpm.CSVVal,_xlfn.XLOOKUP($A415,CSV!$A:$A,CSV!N:N,""),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_xlpm.CSVVal,_xlfn.XLOOKUP($A415,CSV!$A:$A,CSV!P:P,""),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CSV!AE:AE,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_xlpm.CSVVal,_xlfn.XLOOKUP($A415,CSV!$A:$A,CSV!AG:AG,""),
_xlpm.MacVal,_xlfn.XLOOKUP($A415,Output_Mac!$A:$A,Output_Mac!T:T,""),
_xlpm.MyAuditVal,_xlfn.XLOOKUP($A415,My_Audit!$A:$A,My_Audit!O:O,""),
_xlfn.IFS(_xlpm.MyAuditVal&lt;&gt;"",UPPER(_xlpm.MyAuditVal),_xlpm.MacVal&lt;&gt;"",_xlpm.MacVal,_xlpm.CSVVal&lt;&gt;"",_xlpm.CSVVal
)),"")</f>
        <v/>
      </c>
      <c r="O415" s="46" t="str">
        <f>_xlfn.XLOOKUP(C415,My_Audit!B:B,My_Audit!P:P,"")&amp;""</f>
        <v/>
      </c>
      <c r="P415" s="45"/>
      <c r="Q415" s="46" t="str">
        <f>IF(LEFT(N415,4)="Pass","Nist SP 800-88",My_Audit!R415)&amp;""</f>
        <v/>
      </c>
      <c r="R415" s="45"/>
      <c r="S415" s="45"/>
      <c r="T415" s="46" t="str">
        <f>_xlfn.XLOOKUP(E415,Models!I:I,Models!J:J,"")</f>
        <v/>
      </c>
      <c r="U415" s="45"/>
      <c r="V415" s="45"/>
      <c r="W415" s="38" t="str">
        <f>_xlfn.LET(
    _xlpm.MacVal, _xlfn.XLOOKUP($A415, Output_Mac!$A:$A, Output_Mac!AA:AA, ""),
    _xlpm.MyAuditVal, _xlfn.XLOOKUP($A415, My_Audit!$A:$A, My_Audit!L:L, ""),
    _xlfn.TEXTJOIN(", ", TRUE, _xlpm.MyAuditVal, _xlpm.MacVal)
)</f>
        <v/>
      </c>
    </row>
    <row r="416" spans="1:23">
      <c r="A416" s="45" t="str">
        <f>_xlfn.TEXTJOIN("",TRUE,Input!$B$2,ROW(My_Audit!A415))</f>
        <v>CC415</v>
      </c>
      <c r="B416" s="45" t="str">
        <f>_xlfn.TEXTJOIN("-",TRUE,"ITD",Input!$A$2,A416)</f>
        <v>ITD-XXX-CC415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 cm="1">
        <f t="array" ref="D416">IFERROR(_xlfn.LET(
_xlpm.CSVVal,_xlfn.XLOOKUP($A416,CSV!$A:$A,CSV!C:C,""),
_xlpm.MacVal,_xlfn.XLOOKUP($A416,Output_Mac!$A:$A,Output_Mac!D:D,""),
_xlpm.MyAuditVal,_xlfn.XLOOKUP($A416,My_Audit!$A:$A,My_Audit!C:C,""),
_xlfn.IFS(_xlpm.MyAuditVal&lt;&gt;"",UPPER(_xlpm.MyAuditVal),_xlpm.MacVal&lt;&gt;"",_xlpm.MacVal,_xlpm.CSVVal&lt;&gt;"",_xlpm.CSVVal
)),"")</f>
        <v/>
      </c>
      <c r="E416" s="46" t="str" cm="1">
        <f t="array" ref="E416">IFERROR(_xlfn.LET(
_xlpm.CSVVal,_xlfn.XLOOKUP($A416,CSV!$A:$A,CSV!E:E,""),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_xlpm.CSVVal,_xlfn.XLOOKUP($A416,CSV!$A:$A,CSV!G:G,""),
_xlpm.MacVal,_xlfn.XLOOKUP($A416,Output_Mac!$A:$A,Output_Mac!G:G,""),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_xlfn.XLOOKUP(A416,Output_Mac!A:A,Output_Mac!H:H,"")</f>
        <v/>
      </c>
      <c r="I416" s="45" t="str" cm="1">
        <f t="array" ref="I416">IFERROR(_xlfn.LET(
_xlpm.CSVVal,_xlfn.XLOOKUP($A416,CSV!$A:$A,CSV!H:H,""),
_xlpm.MacVal,_xlfn.XLOOKUP($A416,Output_Mac!$A:$A,Output_Mac!I:I,""),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_xlpm.CSVVal,_xlfn.XLOOKUP($A416,CSV!$A:$A,CSV!J:J,""),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46" t="str" cm="1">
        <f t="array" ref="K416">IFERROR(_xlfn.LET(
_xlpm.CSVVal,_xlfn.XLOOKUP($A416,CSV!$A:$A,CSV!N:N,""),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_xlpm.CSVVal,_xlfn.XLOOKUP($A416,CSV!$A:$A,CSV!P:P,""),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CSV!AE:AE,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_xlpm.CSVVal,_xlfn.XLOOKUP($A416,CSV!$A:$A,CSV!AG:AG,""),
_xlpm.MacVal,_xlfn.XLOOKUP($A416,Output_Mac!$A:$A,Output_Mac!T:T,""),
_xlpm.MyAuditVal,_xlfn.XLOOKUP($A416,My_Audit!$A:$A,My_Audit!O:O,""),
_xlfn.IFS(_xlpm.MyAuditVal&lt;&gt;"",UPPER(_xlpm.MyAuditVal),_xlpm.MacVal&lt;&gt;"",_xlpm.MacVal,_xlpm.CSVVal&lt;&gt;"",_xlpm.CSVVal
)),"")</f>
        <v/>
      </c>
      <c r="O416" s="46" t="str">
        <f>_xlfn.XLOOKUP(C416,My_Audit!B:B,My_Audit!P:P,"")&amp;""</f>
        <v/>
      </c>
      <c r="P416" s="45"/>
      <c r="Q416" s="46" t="str">
        <f>IF(LEFT(N416,4)="Pass","Nist SP 800-88",My_Audit!R416)&amp;""</f>
        <v/>
      </c>
      <c r="R416" s="45"/>
      <c r="S416" s="45"/>
      <c r="T416" s="46" t="str">
        <f>_xlfn.XLOOKUP(E416,Models!I:I,Models!J:J,"")</f>
        <v/>
      </c>
      <c r="U416" s="45"/>
      <c r="V416" s="45"/>
      <c r="W416" s="38" t="str">
        <f>_xlfn.LET(
    _xlpm.MacVal, _xlfn.XLOOKUP($A416, Output_Mac!$A:$A, Output_Mac!AA:AA, ""),
    _xlpm.MyAuditVal, _xlfn.XLOOKUP($A416, My_Audit!$A:$A, My_Audit!L:L, ""),
    _xlfn.TEXTJOIN(", ", TRUE, _xlpm.MyAuditVal, _xlpm.MacVal)
)</f>
        <v/>
      </c>
    </row>
    <row r="417" spans="1:23">
      <c r="A417" s="45" t="str">
        <f>_xlfn.TEXTJOIN("",TRUE,Input!$B$2,ROW(My_Audit!A416))</f>
        <v>CC416</v>
      </c>
      <c r="B417" s="45" t="str">
        <f>_xlfn.TEXTJOIN("-",TRUE,"ITD",Input!$A$2,A417)</f>
        <v>ITD-XXX-CC416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 cm="1">
        <f t="array" ref="D417">IFERROR(_xlfn.LET(
_xlpm.CSVVal,_xlfn.XLOOKUP($A417,CSV!$A:$A,CSV!C:C,""),
_xlpm.MacVal,_xlfn.XLOOKUP($A417,Output_Mac!$A:$A,Output_Mac!D:D,""),
_xlpm.MyAuditVal,_xlfn.XLOOKUP($A417,My_Audit!$A:$A,My_Audit!C:C,""),
_xlfn.IFS(_xlpm.MyAuditVal&lt;&gt;"",UPPER(_xlpm.MyAuditVal),_xlpm.MacVal&lt;&gt;"",_xlpm.MacVal,_xlpm.CSVVal&lt;&gt;"",_xlpm.CSVVal
)),"")</f>
        <v/>
      </c>
      <c r="E417" s="46" t="str" cm="1">
        <f t="array" ref="E417">IFERROR(_xlfn.LET(
_xlpm.CSVVal,_xlfn.XLOOKUP($A417,CSV!$A:$A,CSV!E:E,""),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_xlpm.CSVVal,_xlfn.XLOOKUP($A417,CSV!$A:$A,CSV!G:G,""),
_xlpm.MacVal,_xlfn.XLOOKUP($A417,Output_Mac!$A:$A,Output_Mac!G:G,""),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_xlfn.XLOOKUP(A417,Output_Mac!A:A,Output_Mac!H:H,"")</f>
        <v/>
      </c>
      <c r="I417" s="45" t="str" cm="1">
        <f t="array" ref="I417">IFERROR(_xlfn.LET(
_xlpm.CSVVal,_xlfn.XLOOKUP($A417,CSV!$A:$A,CSV!H:H,""),
_xlpm.MacVal,_xlfn.XLOOKUP($A417,Output_Mac!$A:$A,Output_Mac!I:I,""),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_xlpm.CSVVal,_xlfn.XLOOKUP($A417,CSV!$A:$A,CSV!J:J,""),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46" t="str" cm="1">
        <f t="array" ref="K417">IFERROR(_xlfn.LET(
_xlpm.CSVVal,_xlfn.XLOOKUP($A417,CSV!$A:$A,CSV!N:N,""),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_xlpm.CSVVal,_xlfn.XLOOKUP($A417,CSV!$A:$A,CSV!P:P,""),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CSV!AE:AE,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_xlpm.CSVVal,_xlfn.XLOOKUP($A417,CSV!$A:$A,CSV!AG:AG,""),
_xlpm.MacVal,_xlfn.XLOOKUP($A417,Output_Mac!$A:$A,Output_Mac!T:T,""),
_xlpm.MyAuditVal,_xlfn.XLOOKUP($A417,My_Audit!$A:$A,My_Audit!O:O,""),
_xlfn.IFS(_xlpm.MyAuditVal&lt;&gt;"",UPPER(_xlpm.MyAuditVal),_xlpm.MacVal&lt;&gt;"",_xlpm.MacVal,_xlpm.CSVVal&lt;&gt;"",_xlpm.CSVVal
)),"")</f>
        <v/>
      </c>
      <c r="O417" s="46" t="str">
        <f>_xlfn.XLOOKUP(C417,My_Audit!B:B,My_Audit!P:P,"")&amp;""</f>
        <v/>
      </c>
      <c r="P417" s="45"/>
      <c r="Q417" s="46" t="str">
        <f>IF(LEFT(N417,4)="Pass","Nist SP 800-88",My_Audit!R417)&amp;""</f>
        <v/>
      </c>
      <c r="R417" s="45"/>
      <c r="S417" s="45"/>
      <c r="T417" s="46" t="str">
        <f>_xlfn.XLOOKUP(E417,Models!I:I,Models!J:J,"")</f>
        <v/>
      </c>
      <c r="U417" s="45"/>
      <c r="V417" s="45"/>
      <c r="W417" s="38" t="str">
        <f>_xlfn.LET(
    _xlpm.MacVal, _xlfn.XLOOKUP($A417, Output_Mac!$A:$A, Output_Mac!AA:AA, ""),
    _xlpm.MyAuditVal, _xlfn.XLOOKUP($A417, My_Audit!$A:$A, My_Audit!L:L, ""),
    _xlfn.TEXTJOIN(", ", TRUE, _xlpm.MyAuditVal, _xlpm.MacVal)
)</f>
        <v/>
      </c>
    </row>
    <row r="418" spans="1:23">
      <c r="A418" s="45" t="str">
        <f>_xlfn.TEXTJOIN("",TRUE,Input!$B$2,ROW(My_Audit!A417))</f>
        <v>CC417</v>
      </c>
      <c r="B418" s="45" t="str">
        <f>_xlfn.TEXTJOIN("-",TRUE,"ITD",Input!$A$2,A418)</f>
        <v>ITD-XXX-CC417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 cm="1">
        <f t="array" ref="D418">IFERROR(_xlfn.LET(
_xlpm.CSVVal,_xlfn.XLOOKUP($A418,CSV!$A:$A,CSV!C:C,""),
_xlpm.MacVal,_xlfn.XLOOKUP($A418,Output_Mac!$A:$A,Output_Mac!D:D,""),
_xlpm.MyAuditVal,_xlfn.XLOOKUP($A418,My_Audit!$A:$A,My_Audit!C:C,""),
_xlfn.IFS(_xlpm.MyAuditVal&lt;&gt;"",UPPER(_xlpm.MyAuditVal),_xlpm.MacVal&lt;&gt;"",_xlpm.MacVal,_xlpm.CSVVal&lt;&gt;"",_xlpm.CSVVal
)),"")</f>
        <v/>
      </c>
      <c r="E418" s="46" t="str" cm="1">
        <f t="array" ref="E418">IFERROR(_xlfn.LET(
_xlpm.CSVVal,_xlfn.XLOOKUP($A418,CSV!$A:$A,CSV!E:E,""),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_xlpm.CSVVal,_xlfn.XLOOKUP($A418,CSV!$A:$A,CSV!G:G,""),
_xlpm.MacVal,_xlfn.XLOOKUP($A418,Output_Mac!$A:$A,Output_Mac!G:G,""),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_xlfn.XLOOKUP(A418,Output_Mac!A:A,Output_Mac!H:H,"")</f>
        <v/>
      </c>
      <c r="I418" s="45" t="str" cm="1">
        <f t="array" ref="I418">IFERROR(_xlfn.LET(
_xlpm.CSVVal,_xlfn.XLOOKUP($A418,CSV!$A:$A,CSV!H:H,""),
_xlpm.MacVal,_xlfn.XLOOKUP($A418,Output_Mac!$A:$A,Output_Mac!I:I,""),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_xlpm.CSVVal,_xlfn.XLOOKUP($A418,CSV!$A:$A,CSV!J:J,""),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46" t="str" cm="1">
        <f t="array" ref="K418">IFERROR(_xlfn.LET(
_xlpm.CSVVal,_xlfn.XLOOKUP($A418,CSV!$A:$A,CSV!N:N,""),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_xlpm.CSVVal,_xlfn.XLOOKUP($A418,CSV!$A:$A,CSV!P:P,""),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CSV!AE:AE,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_xlpm.CSVVal,_xlfn.XLOOKUP($A418,CSV!$A:$A,CSV!AG:AG,""),
_xlpm.MacVal,_xlfn.XLOOKUP($A418,Output_Mac!$A:$A,Output_Mac!T:T,""),
_xlpm.MyAuditVal,_xlfn.XLOOKUP($A418,My_Audit!$A:$A,My_Audit!O:O,""),
_xlfn.IFS(_xlpm.MyAuditVal&lt;&gt;"",UPPER(_xlpm.MyAuditVal),_xlpm.MacVal&lt;&gt;"",_xlpm.MacVal,_xlpm.CSVVal&lt;&gt;"",_xlpm.CSVVal
)),"")</f>
        <v/>
      </c>
      <c r="O418" s="46" t="str">
        <f>_xlfn.XLOOKUP(C418,My_Audit!B:B,My_Audit!P:P,"")&amp;""</f>
        <v/>
      </c>
      <c r="P418" s="45"/>
      <c r="Q418" s="46" t="str">
        <f>IF(LEFT(N418,4)="Pass","Nist SP 800-88",My_Audit!R418)&amp;""</f>
        <v/>
      </c>
      <c r="R418" s="45"/>
      <c r="S418" s="45"/>
      <c r="T418" s="46" t="str">
        <f>_xlfn.XLOOKUP(E418,Models!I:I,Models!J:J,"")</f>
        <v/>
      </c>
      <c r="U418" s="45"/>
      <c r="V418" s="45"/>
      <c r="W418" s="38" t="str">
        <f>_xlfn.LET(
    _xlpm.MacVal, _xlfn.XLOOKUP($A418, Output_Mac!$A:$A, Output_Mac!AA:AA, ""),
    _xlpm.MyAuditVal, _xlfn.XLOOKUP($A418, My_Audit!$A:$A, My_Audit!L:L, ""),
    _xlfn.TEXTJOIN(", ", TRUE, _xlpm.MyAuditVal, _xlpm.MacVal)
)</f>
        <v/>
      </c>
    </row>
    <row r="419" spans="1:23">
      <c r="A419" s="45" t="str">
        <f>_xlfn.TEXTJOIN("",TRUE,Input!$B$2,ROW(My_Audit!A418))</f>
        <v>CC418</v>
      </c>
      <c r="B419" s="45" t="str">
        <f>_xlfn.TEXTJOIN("-",TRUE,"ITD",Input!$A$2,A419)</f>
        <v>ITD-XXX-CC418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 cm="1">
        <f t="array" ref="D419">IFERROR(_xlfn.LET(
_xlpm.CSVVal,_xlfn.XLOOKUP($A419,CSV!$A:$A,CSV!C:C,""),
_xlpm.MacVal,_xlfn.XLOOKUP($A419,Output_Mac!$A:$A,Output_Mac!D:D,""),
_xlpm.MyAuditVal,_xlfn.XLOOKUP($A419,My_Audit!$A:$A,My_Audit!C:C,""),
_xlfn.IFS(_xlpm.MyAuditVal&lt;&gt;"",UPPER(_xlpm.MyAuditVal),_xlpm.MacVal&lt;&gt;"",_xlpm.MacVal,_xlpm.CSVVal&lt;&gt;"",_xlpm.CSVVal
)),"")</f>
        <v/>
      </c>
      <c r="E419" s="46" t="str" cm="1">
        <f t="array" ref="E419">IFERROR(_xlfn.LET(
_xlpm.CSVVal,_xlfn.XLOOKUP($A419,CSV!$A:$A,CSV!E:E,""),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_xlpm.CSVVal,_xlfn.XLOOKUP($A419,CSV!$A:$A,CSV!G:G,""),
_xlpm.MacVal,_xlfn.XLOOKUP($A419,Output_Mac!$A:$A,Output_Mac!G:G,""),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_xlfn.XLOOKUP(A419,Output_Mac!A:A,Output_Mac!H:H,"")</f>
        <v/>
      </c>
      <c r="I419" s="45" t="str" cm="1">
        <f t="array" ref="I419">IFERROR(_xlfn.LET(
_xlpm.CSVVal,_xlfn.XLOOKUP($A419,CSV!$A:$A,CSV!H:H,""),
_xlpm.MacVal,_xlfn.XLOOKUP($A419,Output_Mac!$A:$A,Output_Mac!I:I,""),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_xlpm.CSVVal,_xlfn.XLOOKUP($A419,CSV!$A:$A,CSV!J:J,""),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46" t="str" cm="1">
        <f t="array" ref="K419">IFERROR(_xlfn.LET(
_xlpm.CSVVal,_xlfn.XLOOKUP($A419,CSV!$A:$A,CSV!N:N,""),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_xlpm.CSVVal,_xlfn.XLOOKUP($A419,CSV!$A:$A,CSV!P:P,""),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CSV!AE:AE,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_xlpm.CSVVal,_xlfn.XLOOKUP($A419,CSV!$A:$A,CSV!AG:AG,""),
_xlpm.MacVal,_xlfn.XLOOKUP($A419,Output_Mac!$A:$A,Output_Mac!T:T,""),
_xlpm.MyAuditVal,_xlfn.XLOOKUP($A419,My_Audit!$A:$A,My_Audit!O:O,""),
_xlfn.IFS(_xlpm.MyAuditVal&lt;&gt;"",UPPER(_xlpm.MyAuditVal),_xlpm.MacVal&lt;&gt;"",_xlpm.MacVal,_xlpm.CSVVal&lt;&gt;"",_xlpm.CSVVal
)),"")</f>
        <v/>
      </c>
      <c r="O419" s="46" t="str">
        <f>_xlfn.XLOOKUP(C419,My_Audit!B:B,My_Audit!P:P,"")&amp;""</f>
        <v/>
      </c>
      <c r="P419" s="45"/>
      <c r="Q419" s="46" t="str">
        <f>IF(LEFT(N419,4)="Pass","Nist SP 800-88",My_Audit!R419)&amp;""</f>
        <v/>
      </c>
      <c r="R419" s="45"/>
      <c r="S419" s="45"/>
      <c r="T419" s="46" t="str">
        <f>_xlfn.XLOOKUP(E419,Models!I:I,Models!J:J,"")</f>
        <v/>
      </c>
      <c r="U419" s="45"/>
      <c r="V419" s="45"/>
      <c r="W419" s="38" t="str">
        <f>_xlfn.LET(
    _xlpm.MacVal, _xlfn.XLOOKUP($A419, Output_Mac!$A:$A, Output_Mac!AA:AA, ""),
    _xlpm.MyAuditVal, _xlfn.XLOOKUP($A419, My_Audit!$A:$A, My_Audit!L:L, ""),
    _xlfn.TEXTJOIN(", ", TRUE, _xlpm.MyAuditVal, _xlpm.MacVal)
)</f>
        <v/>
      </c>
    </row>
    <row r="420" spans="1:23">
      <c r="A420" s="45" t="str">
        <f>_xlfn.TEXTJOIN("",TRUE,Input!$B$2,ROW(My_Audit!A419))</f>
        <v>CC419</v>
      </c>
      <c r="B420" s="45" t="str">
        <f>_xlfn.TEXTJOIN("-",TRUE,"ITD",Input!$A$2,A420)</f>
        <v>ITD-XXX-CC419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 cm="1">
        <f t="array" ref="D420">IFERROR(_xlfn.LET(
_xlpm.CSVVal,_xlfn.XLOOKUP($A420,CSV!$A:$A,CSV!C:C,""),
_xlpm.MacVal,_xlfn.XLOOKUP($A420,Output_Mac!$A:$A,Output_Mac!D:D,""),
_xlpm.MyAuditVal,_xlfn.XLOOKUP($A420,My_Audit!$A:$A,My_Audit!C:C,""),
_xlfn.IFS(_xlpm.MyAuditVal&lt;&gt;"",UPPER(_xlpm.MyAuditVal),_xlpm.MacVal&lt;&gt;"",_xlpm.MacVal,_xlpm.CSVVal&lt;&gt;"",_xlpm.CSVVal
)),"")</f>
        <v/>
      </c>
      <c r="E420" s="46" t="str" cm="1">
        <f t="array" ref="E420">IFERROR(_xlfn.LET(
_xlpm.CSVVal,_xlfn.XLOOKUP($A420,CSV!$A:$A,CSV!E:E,""),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_xlpm.CSVVal,_xlfn.XLOOKUP($A420,CSV!$A:$A,CSV!G:G,""),
_xlpm.MacVal,_xlfn.XLOOKUP($A420,Output_Mac!$A:$A,Output_Mac!G:G,""),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_xlfn.XLOOKUP(A420,Output_Mac!A:A,Output_Mac!H:H,"")</f>
        <v/>
      </c>
      <c r="I420" s="45" t="str" cm="1">
        <f t="array" ref="I420">IFERROR(_xlfn.LET(
_xlpm.CSVVal,_xlfn.XLOOKUP($A420,CSV!$A:$A,CSV!H:H,""),
_xlpm.MacVal,_xlfn.XLOOKUP($A420,Output_Mac!$A:$A,Output_Mac!I:I,""),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_xlpm.CSVVal,_xlfn.XLOOKUP($A420,CSV!$A:$A,CSV!J:J,""),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46" t="str" cm="1">
        <f t="array" ref="K420">IFERROR(_xlfn.LET(
_xlpm.CSVVal,_xlfn.XLOOKUP($A420,CSV!$A:$A,CSV!N:N,""),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_xlpm.CSVVal,_xlfn.XLOOKUP($A420,CSV!$A:$A,CSV!P:P,""),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CSV!AE:AE,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_xlpm.CSVVal,_xlfn.XLOOKUP($A420,CSV!$A:$A,CSV!AG:AG,""),
_xlpm.MacVal,_xlfn.XLOOKUP($A420,Output_Mac!$A:$A,Output_Mac!T:T,""),
_xlpm.MyAuditVal,_xlfn.XLOOKUP($A420,My_Audit!$A:$A,My_Audit!O:O,""),
_xlfn.IFS(_xlpm.MyAuditVal&lt;&gt;"",UPPER(_xlpm.MyAuditVal),_xlpm.MacVal&lt;&gt;"",_xlpm.MacVal,_xlpm.CSVVal&lt;&gt;"",_xlpm.CSVVal
)),"")</f>
        <v/>
      </c>
      <c r="O420" s="46" t="str">
        <f>_xlfn.XLOOKUP(C420,My_Audit!B:B,My_Audit!P:P,"")&amp;""</f>
        <v/>
      </c>
      <c r="P420" s="45"/>
      <c r="Q420" s="46" t="str">
        <f>IF(LEFT(N420,4)="Pass","Nist SP 800-88",My_Audit!R420)&amp;""</f>
        <v/>
      </c>
      <c r="R420" s="45"/>
      <c r="S420" s="45"/>
      <c r="T420" s="46" t="str">
        <f>_xlfn.XLOOKUP(E420,Models!I:I,Models!J:J,"")</f>
        <v/>
      </c>
      <c r="U420" s="45"/>
      <c r="V420" s="45"/>
      <c r="W420" s="38" t="str">
        <f>_xlfn.LET(
    _xlpm.MacVal, _xlfn.XLOOKUP($A420, Output_Mac!$A:$A, Output_Mac!AA:AA, ""),
    _xlpm.MyAuditVal, _xlfn.XLOOKUP($A420, My_Audit!$A:$A, My_Audit!L:L, ""),
    _xlfn.TEXTJOIN(", ", TRUE, _xlpm.MyAuditVal, _xlpm.MacVal)
)</f>
        <v/>
      </c>
    </row>
    <row r="421" spans="1:23">
      <c r="A421" s="45" t="str">
        <f>_xlfn.TEXTJOIN("",TRUE,Input!$B$2,ROW(My_Audit!A420))</f>
        <v>CC420</v>
      </c>
      <c r="B421" s="45" t="str">
        <f>_xlfn.TEXTJOIN("-",TRUE,"ITD",Input!$A$2,A421)</f>
        <v>ITD-XXX-CC420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 cm="1">
        <f t="array" ref="D421">IFERROR(_xlfn.LET(
_xlpm.CSVVal,_xlfn.XLOOKUP($A421,CSV!$A:$A,CSV!C:C,""),
_xlpm.MacVal,_xlfn.XLOOKUP($A421,Output_Mac!$A:$A,Output_Mac!D:D,""),
_xlpm.MyAuditVal,_xlfn.XLOOKUP($A421,My_Audit!$A:$A,My_Audit!C:C,""),
_xlfn.IFS(_xlpm.MyAuditVal&lt;&gt;"",UPPER(_xlpm.MyAuditVal),_xlpm.MacVal&lt;&gt;"",_xlpm.MacVal,_xlpm.CSVVal&lt;&gt;"",_xlpm.CSVVal
)),"")</f>
        <v/>
      </c>
      <c r="E421" s="46" t="str" cm="1">
        <f t="array" ref="E421">IFERROR(_xlfn.LET(
_xlpm.CSVVal,_xlfn.XLOOKUP($A421,CSV!$A:$A,CSV!E:E,""),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_xlpm.CSVVal,_xlfn.XLOOKUP($A421,CSV!$A:$A,CSV!G:G,""),
_xlpm.MacVal,_xlfn.XLOOKUP($A421,Output_Mac!$A:$A,Output_Mac!G:G,""),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_xlfn.XLOOKUP(A421,Output_Mac!A:A,Output_Mac!H:H,"")</f>
        <v/>
      </c>
      <c r="I421" s="45" t="str" cm="1">
        <f t="array" ref="I421">IFERROR(_xlfn.LET(
_xlpm.CSVVal,_xlfn.XLOOKUP($A421,CSV!$A:$A,CSV!H:H,""),
_xlpm.MacVal,_xlfn.XLOOKUP($A421,Output_Mac!$A:$A,Output_Mac!I:I,""),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_xlpm.CSVVal,_xlfn.XLOOKUP($A421,CSV!$A:$A,CSV!J:J,""),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46" t="str" cm="1">
        <f t="array" ref="K421">IFERROR(_xlfn.LET(
_xlpm.CSVVal,_xlfn.XLOOKUP($A421,CSV!$A:$A,CSV!N:N,""),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_xlpm.CSVVal,_xlfn.XLOOKUP($A421,CSV!$A:$A,CSV!P:P,""),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CSV!AE:AE,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_xlpm.CSVVal,_xlfn.XLOOKUP($A421,CSV!$A:$A,CSV!AG:AG,""),
_xlpm.MacVal,_xlfn.XLOOKUP($A421,Output_Mac!$A:$A,Output_Mac!T:T,""),
_xlpm.MyAuditVal,_xlfn.XLOOKUP($A421,My_Audit!$A:$A,My_Audit!O:O,""),
_xlfn.IFS(_xlpm.MyAuditVal&lt;&gt;"",UPPER(_xlpm.MyAuditVal),_xlpm.MacVal&lt;&gt;"",_xlpm.MacVal,_xlpm.CSVVal&lt;&gt;"",_xlpm.CSVVal
)),"")</f>
        <v/>
      </c>
      <c r="O421" s="46" t="str">
        <f>_xlfn.XLOOKUP(C421,My_Audit!B:B,My_Audit!P:P,"")&amp;""</f>
        <v/>
      </c>
      <c r="P421" s="45"/>
      <c r="Q421" s="46" t="str">
        <f>IF(LEFT(N421,4)="Pass","Nist SP 800-88",My_Audit!R421)&amp;""</f>
        <v/>
      </c>
      <c r="R421" s="45"/>
      <c r="S421" s="45"/>
      <c r="T421" s="46" t="str">
        <f>_xlfn.XLOOKUP(E421,Models!I:I,Models!J:J,"")</f>
        <v/>
      </c>
      <c r="U421" s="45"/>
      <c r="V421" s="45"/>
      <c r="W421" s="38" t="str">
        <f>_xlfn.LET(
    _xlpm.MacVal, _xlfn.XLOOKUP($A421, Output_Mac!$A:$A, Output_Mac!AA:AA, ""),
    _xlpm.MyAuditVal, _xlfn.XLOOKUP($A421, My_Audit!$A:$A, My_Audit!L:L, ""),
    _xlfn.TEXTJOIN(", ", TRUE, _xlpm.MyAuditVal, _xlpm.MacVal)
)</f>
        <v/>
      </c>
    </row>
    <row r="422" spans="1:23">
      <c r="A422" s="45" t="str">
        <f>_xlfn.TEXTJOIN("",TRUE,Input!$B$2,ROW(My_Audit!A421))</f>
        <v>CC421</v>
      </c>
      <c r="B422" s="45" t="str">
        <f>_xlfn.TEXTJOIN("-",TRUE,"ITD",Input!$A$2,A422)</f>
        <v>ITD-XXX-CC421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 cm="1">
        <f t="array" ref="D422">IFERROR(_xlfn.LET(
_xlpm.CSVVal,_xlfn.XLOOKUP($A422,CSV!$A:$A,CSV!C:C,""),
_xlpm.MacVal,_xlfn.XLOOKUP($A422,Output_Mac!$A:$A,Output_Mac!D:D,""),
_xlpm.MyAuditVal,_xlfn.XLOOKUP($A422,My_Audit!$A:$A,My_Audit!C:C,""),
_xlfn.IFS(_xlpm.MyAuditVal&lt;&gt;"",UPPER(_xlpm.MyAuditVal),_xlpm.MacVal&lt;&gt;"",_xlpm.MacVal,_xlpm.CSVVal&lt;&gt;"",_xlpm.CSVVal
)),"")</f>
        <v/>
      </c>
      <c r="E422" s="46" t="str" cm="1">
        <f t="array" ref="E422">IFERROR(_xlfn.LET(
_xlpm.CSVVal,_xlfn.XLOOKUP($A422,CSV!$A:$A,CSV!E:E,""),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_xlpm.CSVVal,_xlfn.XLOOKUP($A422,CSV!$A:$A,CSV!G:G,""),
_xlpm.MacVal,_xlfn.XLOOKUP($A422,Output_Mac!$A:$A,Output_Mac!G:G,""),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_xlfn.XLOOKUP(A422,Output_Mac!A:A,Output_Mac!H:H,"")</f>
        <v/>
      </c>
      <c r="I422" s="45" t="str" cm="1">
        <f t="array" ref="I422">IFERROR(_xlfn.LET(
_xlpm.CSVVal,_xlfn.XLOOKUP($A422,CSV!$A:$A,CSV!H:H,""),
_xlpm.MacVal,_xlfn.XLOOKUP($A422,Output_Mac!$A:$A,Output_Mac!I:I,""),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_xlpm.CSVVal,_xlfn.XLOOKUP($A422,CSV!$A:$A,CSV!J:J,""),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46" t="str" cm="1">
        <f t="array" ref="K422">IFERROR(_xlfn.LET(
_xlpm.CSVVal,_xlfn.XLOOKUP($A422,CSV!$A:$A,CSV!N:N,""),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_xlpm.CSVVal,_xlfn.XLOOKUP($A422,CSV!$A:$A,CSV!P:P,""),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CSV!AE:AE,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_xlpm.CSVVal,_xlfn.XLOOKUP($A422,CSV!$A:$A,CSV!AG:AG,""),
_xlpm.MacVal,_xlfn.XLOOKUP($A422,Output_Mac!$A:$A,Output_Mac!T:T,""),
_xlpm.MyAuditVal,_xlfn.XLOOKUP($A422,My_Audit!$A:$A,My_Audit!O:O,""),
_xlfn.IFS(_xlpm.MyAuditVal&lt;&gt;"",UPPER(_xlpm.MyAuditVal),_xlpm.MacVal&lt;&gt;"",_xlpm.MacVal,_xlpm.CSVVal&lt;&gt;"",_xlpm.CSVVal
)),"")</f>
        <v/>
      </c>
      <c r="O422" s="46" t="str">
        <f>_xlfn.XLOOKUP(C422,My_Audit!B:B,My_Audit!P:P,"")&amp;""</f>
        <v/>
      </c>
      <c r="P422" s="45"/>
      <c r="Q422" s="46" t="str">
        <f>IF(LEFT(N422,4)="Pass","Nist SP 800-88",My_Audit!R422)&amp;""</f>
        <v/>
      </c>
      <c r="R422" s="45"/>
      <c r="S422" s="45"/>
      <c r="T422" s="46" t="str">
        <f>_xlfn.XLOOKUP(E422,Models!I:I,Models!J:J,"")</f>
        <v/>
      </c>
      <c r="U422" s="45"/>
      <c r="V422" s="45"/>
      <c r="W422" s="38" t="str">
        <f>_xlfn.LET(
    _xlpm.MacVal, _xlfn.XLOOKUP($A422, Output_Mac!$A:$A, Output_Mac!AA:AA, ""),
    _xlpm.MyAuditVal, _xlfn.XLOOKUP($A422, My_Audit!$A:$A, My_Audit!L:L, ""),
    _xlfn.TEXTJOIN(", ", TRUE, _xlpm.MyAuditVal, _xlpm.MacVal)
)</f>
        <v/>
      </c>
    </row>
    <row r="423" spans="1:23">
      <c r="A423" s="45" t="str">
        <f>_xlfn.TEXTJOIN("",TRUE,Input!$B$2,ROW(My_Audit!A422))</f>
        <v>CC422</v>
      </c>
      <c r="B423" s="45" t="str">
        <f>_xlfn.TEXTJOIN("-",TRUE,"ITD",Input!$A$2,A423)</f>
        <v>ITD-XXX-CC422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 cm="1">
        <f t="array" ref="D423">IFERROR(_xlfn.LET(
_xlpm.CSVVal,_xlfn.XLOOKUP($A423,CSV!$A:$A,CSV!C:C,""),
_xlpm.MacVal,_xlfn.XLOOKUP($A423,Output_Mac!$A:$A,Output_Mac!D:D,""),
_xlpm.MyAuditVal,_xlfn.XLOOKUP($A423,My_Audit!$A:$A,My_Audit!C:C,""),
_xlfn.IFS(_xlpm.MyAuditVal&lt;&gt;"",UPPER(_xlpm.MyAuditVal),_xlpm.MacVal&lt;&gt;"",_xlpm.MacVal,_xlpm.CSVVal&lt;&gt;"",_xlpm.CSVVal
)),"")</f>
        <v/>
      </c>
      <c r="E423" s="46" t="str" cm="1">
        <f t="array" ref="E423">IFERROR(_xlfn.LET(
_xlpm.CSVVal,_xlfn.XLOOKUP($A423,CSV!$A:$A,CSV!E:E,""),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_xlpm.CSVVal,_xlfn.XLOOKUP($A423,CSV!$A:$A,CSV!G:G,""),
_xlpm.MacVal,_xlfn.XLOOKUP($A423,Output_Mac!$A:$A,Output_Mac!G:G,""),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_xlfn.XLOOKUP(A423,Output_Mac!A:A,Output_Mac!H:H,"")</f>
        <v/>
      </c>
      <c r="I423" s="45" t="str" cm="1">
        <f t="array" ref="I423">IFERROR(_xlfn.LET(
_xlpm.CSVVal,_xlfn.XLOOKUP($A423,CSV!$A:$A,CSV!H:H,""),
_xlpm.MacVal,_xlfn.XLOOKUP($A423,Output_Mac!$A:$A,Output_Mac!I:I,""),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_xlpm.CSVVal,_xlfn.XLOOKUP($A423,CSV!$A:$A,CSV!J:J,""),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46" t="str" cm="1">
        <f t="array" ref="K423">IFERROR(_xlfn.LET(
_xlpm.CSVVal,_xlfn.XLOOKUP($A423,CSV!$A:$A,CSV!N:N,""),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_xlpm.CSVVal,_xlfn.XLOOKUP($A423,CSV!$A:$A,CSV!P:P,""),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CSV!AE:AE,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_xlpm.CSVVal,_xlfn.XLOOKUP($A423,CSV!$A:$A,CSV!AG:AG,""),
_xlpm.MacVal,_xlfn.XLOOKUP($A423,Output_Mac!$A:$A,Output_Mac!T:T,""),
_xlpm.MyAuditVal,_xlfn.XLOOKUP($A423,My_Audit!$A:$A,My_Audit!O:O,""),
_xlfn.IFS(_xlpm.MyAuditVal&lt;&gt;"",UPPER(_xlpm.MyAuditVal),_xlpm.MacVal&lt;&gt;"",_xlpm.MacVal,_xlpm.CSVVal&lt;&gt;"",_xlpm.CSVVal
)),"")</f>
        <v/>
      </c>
      <c r="O423" s="46" t="str">
        <f>_xlfn.XLOOKUP(C423,My_Audit!B:B,My_Audit!P:P,"")&amp;""</f>
        <v/>
      </c>
      <c r="P423" s="45"/>
      <c r="Q423" s="46" t="str">
        <f>IF(LEFT(N423,4)="Pass","Nist SP 800-88",My_Audit!R423)&amp;""</f>
        <v/>
      </c>
      <c r="R423" s="45"/>
      <c r="S423" s="45"/>
      <c r="T423" s="46" t="str">
        <f>_xlfn.XLOOKUP(E423,Models!I:I,Models!J:J,"")</f>
        <v/>
      </c>
      <c r="U423" s="45"/>
      <c r="V423" s="45"/>
      <c r="W423" s="38" t="str">
        <f>_xlfn.LET(
    _xlpm.MacVal, _xlfn.XLOOKUP($A423, Output_Mac!$A:$A, Output_Mac!AA:AA, ""),
    _xlpm.MyAuditVal, _xlfn.XLOOKUP($A423, My_Audit!$A:$A, My_Audit!L:L, ""),
    _xlfn.TEXTJOIN(", ", TRUE, _xlpm.MyAuditVal, _xlpm.MacVal)
)</f>
        <v/>
      </c>
    </row>
    <row r="424" spans="1:23">
      <c r="A424" s="45" t="str">
        <f>_xlfn.TEXTJOIN("",TRUE,Input!$B$2,ROW(My_Audit!A423))</f>
        <v>CC423</v>
      </c>
      <c r="B424" s="45" t="str">
        <f>_xlfn.TEXTJOIN("-",TRUE,"ITD",Input!$A$2,A424)</f>
        <v>ITD-XXX-CC423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 cm="1">
        <f t="array" ref="D424">IFERROR(_xlfn.LET(
_xlpm.CSVVal,_xlfn.XLOOKUP($A424,CSV!$A:$A,CSV!C:C,""),
_xlpm.MacVal,_xlfn.XLOOKUP($A424,Output_Mac!$A:$A,Output_Mac!D:D,""),
_xlpm.MyAuditVal,_xlfn.XLOOKUP($A424,My_Audit!$A:$A,My_Audit!C:C,""),
_xlfn.IFS(_xlpm.MyAuditVal&lt;&gt;"",UPPER(_xlpm.MyAuditVal),_xlpm.MacVal&lt;&gt;"",_xlpm.MacVal,_xlpm.CSVVal&lt;&gt;"",_xlpm.CSVVal
)),"")</f>
        <v/>
      </c>
      <c r="E424" s="46" t="str" cm="1">
        <f t="array" ref="E424">IFERROR(_xlfn.LET(
_xlpm.CSVVal,_xlfn.XLOOKUP($A424,CSV!$A:$A,CSV!E:E,""),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_xlpm.CSVVal,_xlfn.XLOOKUP($A424,CSV!$A:$A,CSV!G:G,""),
_xlpm.MacVal,_xlfn.XLOOKUP($A424,Output_Mac!$A:$A,Output_Mac!G:G,""),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_xlfn.XLOOKUP(A424,Output_Mac!A:A,Output_Mac!H:H,"")</f>
        <v/>
      </c>
      <c r="I424" s="45" t="str" cm="1">
        <f t="array" ref="I424">IFERROR(_xlfn.LET(
_xlpm.CSVVal,_xlfn.XLOOKUP($A424,CSV!$A:$A,CSV!H:H,""),
_xlpm.MacVal,_xlfn.XLOOKUP($A424,Output_Mac!$A:$A,Output_Mac!I:I,""),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_xlpm.CSVVal,_xlfn.XLOOKUP($A424,CSV!$A:$A,CSV!J:J,""),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46" t="str" cm="1">
        <f t="array" ref="K424">IFERROR(_xlfn.LET(
_xlpm.CSVVal,_xlfn.XLOOKUP($A424,CSV!$A:$A,CSV!N:N,""),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_xlpm.CSVVal,_xlfn.XLOOKUP($A424,CSV!$A:$A,CSV!P:P,""),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CSV!AE:AE,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_xlpm.CSVVal,_xlfn.XLOOKUP($A424,CSV!$A:$A,CSV!AG:AG,""),
_xlpm.MacVal,_xlfn.XLOOKUP($A424,Output_Mac!$A:$A,Output_Mac!T:T,""),
_xlpm.MyAuditVal,_xlfn.XLOOKUP($A424,My_Audit!$A:$A,My_Audit!O:O,""),
_xlfn.IFS(_xlpm.MyAuditVal&lt;&gt;"",UPPER(_xlpm.MyAuditVal),_xlpm.MacVal&lt;&gt;"",_xlpm.MacVal,_xlpm.CSVVal&lt;&gt;"",_xlpm.CSVVal
)),"")</f>
        <v/>
      </c>
      <c r="O424" s="46" t="str">
        <f>_xlfn.XLOOKUP(C424,My_Audit!B:B,My_Audit!P:P,"")&amp;""</f>
        <v/>
      </c>
      <c r="P424" s="45"/>
      <c r="Q424" s="46" t="str">
        <f>IF(LEFT(N424,4)="Pass","Nist SP 800-88",My_Audit!R424)&amp;""</f>
        <v/>
      </c>
      <c r="R424" s="45"/>
      <c r="S424" s="45"/>
      <c r="T424" s="46" t="str">
        <f>_xlfn.XLOOKUP(E424,Models!I:I,Models!J:J,"")</f>
        <v/>
      </c>
      <c r="U424" s="45"/>
      <c r="V424" s="45"/>
      <c r="W424" s="38" t="str">
        <f>_xlfn.LET(
    _xlpm.MacVal, _xlfn.XLOOKUP($A424, Output_Mac!$A:$A, Output_Mac!AA:AA, ""),
    _xlpm.MyAuditVal, _xlfn.XLOOKUP($A424, My_Audit!$A:$A, My_Audit!L:L, ""),
    _xlfn.TEXTJOIN(", ", TRUE, _xlpm.MyAuditVal, _xlpm.MacVal)
)</f>
        <v/>
      </c>
    </row>
    <row r="425" spans="1:23">
      <c r="A425" s="45" t="str">
        <f>_xlfn.TEXTJOIN("",TRUE,Input!$B$2,ROW(My_Audit!A424))</f>
        <v>CC424</v>
      </c>
      <c r="B425" s="45" t="str">
        <f>_xlfn.TEXTJOIN("-",TRUE,"ITD",Input!$A$2,A425)</f>
        <v>ITD-XXX-CC424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 cm="1">
        <f t="array" ref="D425">IFERROR(_xlfn.LET(
_xlpm.CSVVal,_xlfn.XLOOKUP($A425,CSV!$A:$A,CSV!C:C,""),
_xlpm.MacVal,_xlfn.XLOOKUP($A425,Output_Mac!$A:$A,Output_Mac!D:D,""),
_xlpm.MyAuditVal,_xlfn.XLOOKUP($A425,My_Audit!$A:$A,My_Audit!C:C,""),
_xlfn.IFS(_xlpm.MyAuditVal&lt;&gt;"",UPPER(_xlpm.MyAuditVal),_xlpm.MacVal&lt;&gt;"",_xlpm.MacVal,_xlpm.CSVVal&lt;&gt;"",_xlpm.CSVVal
)),"")</f>
        <v/>
      </c>
      <c r="E425" s="46" t="str" cm="1">
        <f t="array" ref="E425">IFERROR(_xlfn.LET(
_xlpm.CSVVal,_xlfn.XLOOKUP($A425,CSV!$A:$A,CSV!E:E,""),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_xlpm.CSVVal,_xlfn.XLOOKUP($A425,CSV!$A:$A,CSV!G:G,""),
_xlpm.MacVal,_xlfn.XLOOKUP($A425,Output_Mac!$A:$A,Output_Mac!G:G,""),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_xlfn.XLOOKUP(A425,Output_Mac!A:A,Output_Mac!H:H,"")</f>
        <v/>
      </c>
      <c r="I425" s="45" t="str" cm="1">
        <f t="array" ref="I425">IFERROR(_xlfn.LET(
_xlpm.CSVVal,_xlfn.XLOOKUP($A425,CSV!$A:$A,CSV!H:H,""),
_xlpm.MacVal,_xlfn.XLOOKUP($A425,Output_Mac!$A:$A,Output_Mac!I:I,""),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_xlpm.CSVVal,_xlfn.XLOOKUP($A425,CSV!$A:$A,CSV!J:J,""),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46" t="str" cm="1">
        <f t="array" ref="K425">IFERROR(_xlfn.LET(
_xlpm.CSVVal,_xlfn.XLOOKUP($A425,CSV!$A:$A,CSV!N:N,""),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_xlpm.CSVVal,_xlfn.XLOOKUP($A425,CSV!$A:$A,CSV!P:P,""),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CSV!AE:AE,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_xlpm.CSVVal,_xlfn.XLOOKUP($A425,CSV!$A:$A,CSV!AG:AG,""),
_xlpm.MacVal,_xlfn.XLOOKUP($A425,Output_Mac!$A:$A,Output_Mac!T:T,""),
_xlpm.MyAuditVal,_xlfn.XLOOKUP($A425,My_Audit!$A:$A,My_Audit!O:O,""),
_xlfn.IFS(_xlpm.MyAuditVal&lt;&gt;"",UPPER(_xlpm.MyAuditVal),_xlpm.MacVal&lt;&gt;"",_xlpm.MacVal,_xlpm.CSVVal&lt;&gt;"",_xlpm.CSVVal
)),"")</f>
        <v/>
      </c>
      <c r="O425" s="46" t="str">
        <f>_xlfn.XLOOKUP(C425,My_Audit!B:B,My_Audit!P:P,"")&amp;""</f>
        <v/>
      </c>
      <c r="P425" s="45"/>
      <c r="Q425" s="46" t="str">
        <f>IF(LEFT(N425,4)="Pass","Nist SP 800-88",My_Audit!R425)&amp;""</f>
        <v/>
      </c>
      <c r="R425" s="45"/>
      <c r="S425" s="45"/>
      <c r="T425" s="46" t="str">
        <f>_xlfn.XLOOKUP(E425,Models!I:I,Models!J:J,"")</f>
        <v/>
      </c>
      <c r="U425" s="45"/>
      <c r="V425" s="45"/>
      <c r="W425" s="38" t="str">
        <f>_xlfn.LET(
    _xlpm.MacVal, _xlfn.XLOOKUP($A425, Output_Mac!$A:$A, Output_Mac!AA:AA, ""),
    _xlpm.MyAuditVal, _xlfn.XLOOKUP($A425, My_Audit!$A:$A, My_Audit!L:L, ""),
    _xlfn.TEXTJOIN(", ", TRUE, _xlpm.MyAuditVal, _xlpm.MacVal)
)</f>
        <v/>
      </c>
    </row>
    <row r="426" spans="1:23">
      <c r="A426" s="45" t="str">
        <f>_xlfn.TEXTJOIN("",TRUE,Input!$B$2,ROW(My_Audit!A425))</f>
        <v>CC425</v>
      </c>
      <c r="B426" s="45" t="str">
        <f>_xlfn.TEXTJOIN("-",TRUE,"ITD",Input!$A$2,A426)</f>
        <v>ITD-XXX-CC425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 cm="1">
        <f t="array" ref="D426">IFERROR(_xlfn.LET(
_xlpm.CSVVal,_xlfn.XLOOKUP($A426,CSV!$A:$A,CSV!C:C,""),
_xlpm.MacVal,_xlfn.XLOOKUP($A426,Output_Mac!$A:$A,Output_Mac!D:D,""),
_xlpm.MyAuditVal,_xlfn.XLOOKUP($A426,My_Audit!$A:$A,My_Audit!C:C,""),
_xlfn.IFS(_xlpm.MyAuditVal&lt;&gt;"",UPPER(_xlpm.MyAuditVal),_xlpm.MacVal&lt;&gt;"",_xlpm.MacVal,_xlpm.CSVVal&lt;&gt;"",_xlpm.CSVVal
)),"")</f>
        <v/>
      </c>
      <c r="E426" s="46" t="str" cm="1">
        <f t="array" ref="E426">IFERROR(_xlfn.LET(
_xlpm.CSVVal,_xlfn.XLOOKUP($A426,CSV!$A:$A,CSV!E:E,""),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_xlpm.CSVVal,_xlfn.XLOOKUP($A426,CSV!$A:$A,CSV!G:G,""),
_xlpm.MacVal,_xlfn.XLOOKUP($A426,Output_Mac!$A:$A,Output_Mac!G:G,""),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_xlfn.XLOOKUP(A426,Output_Mac!A:A,Output_Mac!H:H,"")</f>
        <v/>
      </c>
      <c r="I426" s="45" t="str" cm="1">
        <f t="array" ref="I426">IFERROR(_xlfn.LET(
_xlpm.CSVVal,_xlfn.XLOOKUP($A426,CSV!$A:$A,CSV!H:H,""),
_xlpm.MacVal,_xlfn.XLOOKUP($A426,Output_Mac!$A:$A,Output_Mac!I:I,""),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_xlpm.CSVVal,_xlfn.XLOOKUP($A426,CSV!$A:$A,CSV!J:J,""),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46" t="str" cm="1">
        <f t="array" ref="K426">IFERROR(_xlfn.LET(
_xlpm.CSVVal,_xlfn.XLOOKUP($A426,CSV!$A:$A,CSV!N:N,""),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_xlpm.CSVVal,_xlfn.XLOOKUP($A426,CSV!$A:$A,CSV!P:P,""),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CSV!AE:AE,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_xlpm.CSVVal,_xlfn.XLOOKUP($A426,CSV!$A:$A,CSV!AG:AG,""),
_xlpm.MacVal,_xlfn.XLOOKUP($A426,Output_Mac!$A:$A,Output_Mac!T:T,""),
_xlpm.MyAuditVal,_xlfn.XLOOKUP($A426,My_Audit!$A:$A,My_Audit!O:O,""),
_xlfn.IFS(_xlpm.MyAuditVal&lt;&gt;"",UPPER(_xlpm.MyAuditVal),_xlpm.MacVal&lt;&gt;"",_xlpm.MacVal,_xlpm.CSVVal&lt;&gt;"",_xlpm.CSVVal
)),"")</f>
        <v/>
      </c>
      <c r="O426" s="46" t="str">
        <f>_xlfn.XLOOKUP(C426,My_Audit!B:B,My_Audit!P:P,"")&amp;""</f>
        <v/>
      </c>
      <c r="P426" s="45"/>
      <c r="Q426" s="46" t="str">
        <f>IF(LEFT(N426,4)="Pass","Nist SP 800-88",My_Audit!R426)&amp;""</f>
        <v/>
      </c>
      <c r="R426" s="45"/>
      <c r="S426" s="45"/>
      <c r="T426" s="46" t="str">
        <f>_xlfn.XLOOKUP(E426,Models!I:I,Models!J:J,"")</f>
        <v/>
      </c>
      <c r="U426" s="45"/>
      <c r="V426" s="45"/>
      <c r="W426" s="38" t="str">
        <f>_xlfn.LET(
    _xlpm.MacVal, _xlfn.XLOOKUP($A426, Output_Mac!$A:$A, Output_Mac!AA:AA, ""),
    _xlpm.MyAuditVal, _xlfn.XLOOKUP($A426, My_Audit!$A:$A, My_Audit!L:L, ""),
    _xlfn.TEXTJOIN(", ", TRUE, _xlpm.MyAuditVal, _xlpm.MacVal)
)</f>
        <v/>
      </c>
    </row>
    <row r="427" spans="1:23">
      <c r="A427" s="45" t="str">
        <f>_xlfn.TEXTJOIN("",TRUE,Input!$B$2,ROW(My_Audit!A426))</f>
        <v>CC426</v>
      </c>
      <c r="B427" s="45" t="str">
        <f>_xlfn.TEXTJOIN("-",TRUE,"ITD",Input!$A$2,A427)</f>
        <v>ITD-XXX-CC426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 cm="1">
        <f t="array" ref="D427">IFERROR(_xlfn.LET(
_xlpm.CSVVal,_xlfn.XLOOKUP($A427,CSV!$A:$A,CSV!C:C,""),
_xlpm.MacVal,_xlfn.XLOOKUP($A427,Output_Mac!$A:$A,Output_Mac!D:D,""),
_xlpm.MyAuditVal,_xlfn.XLOOKUP($A427,My_Audit!$A:$A,My_Audit!C:C,""),
_xlfn.IFS(_xlpm.MyAuditVal&lt;&gt;"",UPPER(_xlpm.MyAuditVal),_xlpm.MacVal&lt;&gt;"",_xlpm.MacVal,_xlpm.CSVVal&lt;&gt;"",_xlpm.CSVVal
)),"")</f>
        <v/>
      </c>
      <c r="E427" s="46" t="str" cm="1">
        <f t="array" ref="E427">IFERROR(_xlfn.LET(
_xlpm.CSVVal,_xlfn.XLOOKUP($A427,CSV!$A:$A,CSV!E:E,""),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_xlpm.CSVVal,_xlfn.XLOOKUP($A427,CSV!$A:$A,CSV!G:G,""),
_xlpm.MacVal,_xlfn.XLOOKUP($A427,Output_Mac!$A:$A,Output_Mac!G:G,""),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_xlfn.XLOOKUP(A427,Output_Mac!A:A,Output_Mac!H:H,"")</f>
        <v/>
      </c>
      <c r="I427" s="45" t="str" cm="1">
        <f t="array" ref="I427">IFERROR(_xlfn.LET(
_xlpm.CSVVal,_xlfn.XLOOKUP($A427,CSV!$A:$A,CSV!H:H,""),
_xlpm.MacVal,_xlfn.XLOOKUP($A427,Output_Mac!$A:$A,Output_Mac!I:I,""),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_xlpm.CSVVal,_xlfn.XLOOKUP($A427,CSV!$A:$A,CSV!J:J,""),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46" t="str" cm="1">
        <f t="array" ref="K427">IFERROR(_xlfn.LET(
_xlpm.CSVVal,_xlfn.XLOOKUP($A427,CSV!$A:$A,CSV!N:N,""),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_xlpm.CSVVal,_xlfn.XLOOKUP($A427,CSV!$A:$A,CSV!P:P,""),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CSV!AE:AE,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_xlpm.CSVVal,_xlfn.XLOOKUP($A427,CSV!$A:$A,CSV!AG:AG,""),
_xlpm.MacVal,_xlfn.XLOOKUP($A427,Output_Mac!$A:$A,Output_Mac!T:T,""),
_xlpm.MyAuditVal,_xlfn.XLOOKUP($A427,My_Audit!$A:$A,My_Audit!O:O,""),
_xlfn.IFS(_xlpm.MyAuditVal&lt;&gt;"",UPPER(_xlpm.MyAuditVal),_xlpm.MacVal&lt;&gt;"",_xlpm.MacVal,_xlpm.CSVVal&lt;&gt;"",_xlpm.CSVVal
)),"")</f>
        <v/>
      </c>
      <c r="O427" s="46" t="str">
        <f>_xlfn.XLOOKUP(C427,My_Audit!B:B,My_Audit!P:P,"")&amp;""</f>
        <v/>
      </c>
      <c r="P427" s="45"/>
      <c r="Q427" s="46" t="str">
        <f>IF(LEFT(N427,4)="Pass","Nist SP 800-88",My_Audit!R427)&amp;""</f>
        <v/>
      </c>
      <c r="R427" s="45"/>
      <c r="S427" s="45"/>
      <c r="T427" s="46" t="str">
        <f>_xlfn.XLOOKUP(E427,Models!I:I,Models!J:J,"")</f>
        <v/>
      </c>
      <c r="U427" s="45"/>
      <c r="V427" s="45"/>
      <c r="W427" s="38" t="str">
        <f>_xlfn.LET(
    _xlpm.MacVal, _xlfn.XLOOKUP($A427, Output_Mac!$A:$A, Output_Mac!AA:AA, ""),
    _xlpm.MyAuditVal, _xlfn.XLOOKUP($A427, My_Audit!$A:$A, My_Audit!L:L, ""),
    _xlfn.TEXTJOIN(", ", TRUE, _xlpm.MyAuditVal, _xlpm.MacVal)
)</f>
        <v/>
      </c>
    </row>
    <row r="428" spans="1:23">
      <c r="A428" s="45" t="str">
        <f>_xlfn.TEXTJOIN("",TRUE,Input!$B$2,ROW(My_Audit!A427))</f>
        <v>CC427</v>
      </c>
      <c r="B428" s="45" t="str">
        <f>_xlfn.TEXTJOIN("-",TRUE,"ITD",Input!$A$2,A428)</f>
        <v>ITD-XXX-CC427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 cm="1">
        <f t="array" ref="D428">IFERROR(_xlfn.LET(
_xlpm.CSVVal,_xlfn.XLOOKUP($A428,CSV!$A:$A,CSV!C:C,""),
_xlpm.MacVal,_xlfn.XLOOKUP($A428,Output_Mac!$A:$A,Output_Mac!D:D,""),
_xlpm.MyAuditVal,_xlfn.XLOOKUP($A428,My_Audit!$A:$A,My_Audit!C:C,""),
_xlfn.IFS(_xlpm.MyAuditVal&lt;&gt;"",UPPER(_xlpm.MyAuditVal),_xlpm.MacVal&lt;&gt;"",_xlpm.MacVal,_xlpm.CSVVal&lt;&gt;"",_xlpm.CSVVal
)),"")</f>
        <v/>
      </c>
      <c r="E428" s="46" t="str" cm="1">
        <f t="array" ref="E428">IFERROR(_xlfn.LET(
_xlpm.CSVVal,_xlfn.XLOOKUP($A428,CSV!$A:$A,CSV!E:E,""),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_xlpm.CSVVal,_xlfn.XLOOKUP($A428,CSV!$A:$A,CSV!G:G,""),
_xlpm.MacVal,_xlfn.XLOOKUP($A428,Output_Mac!$A:$A,Output_Mac!G:G,""),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_xlfn.XLOOKUP(A428,Output_Mac!A:A,Output_Mac!H:H,"")</f>
        <v/>
      </c>
      <c r="I428" s="45" t="str" cm="1">
        <f t="array" ref="I428">IFERROR(_xlfn.LET(
_xlpm.CSVVal,_xlfn.XLOOKUP($A428,CSV!$A:$A,CSV!H:H,""),
_xlpm.MacVal,_xlfn.XLOOKUP($A428,Output_Mac!$A:$A,Output_Mac!I:I,""),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_xlpm.CSVVal,_xlfn.XLOOKUP($A428,CSV!$A:$A,CSV!J:J,""),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46" t="str" cm="1">
        <f t="array" ref="K428">IFERROR(_xlfn.LET(
_xlpm.CSVVal,_xlfn.XLOOKUP($A428,CSV!$A:$A,CSV!N:N,""),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_xlpm.CSVVal,_xlfn.XLOOKUP($A428,CSV!$A:$A,CSV!P:P,""),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CSV!AE:AE,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_xlpm.CSVVal,_xlfn.XLOOKUP($A428,CSV!$A:$A,CSV!AG:AG,""),
_xlpm.MacVal,_xlfn.XLOOKUP($A428,Output_Mac!$A:$A,Output_Mac!T:T,""),
_xlpm.MyAuditVal,_xlfn.XLOOKUP($A428,My_Audit!$A:$A,My_Audit!O:O,""),
_xlfn.IFS(_xlpm.MyAuditVal&lt;&gt;"",UPPER(_xlpm.MyAuditVal),_xlpm.MacVal&lt;&gt;"",_xlpm.MacVal,_xlpm.CSVVal&lt;&gt;"",_xlpm.CSVVal
)),"")</f>
        <v/>
      </c>
      <c r="O428" s="46" t="str">
        <f>_xlfn.XLOOKUP(C428,My_Audit!B:B,My_Audit!P:P,"")&amp;""</f>
        <v/>
      </c>
      <c r="P428" s="45"/>
      <c r="Q428" s="46" t="str">
        <f>IF(LEFT(N428,4)="Pass","Nist SP 800-88",My_Audit!R428)&amp;""</f>
        <v/>
      </c>
      <c r="R428" s="45"/>
      <c r="S428" s="45"/>
      <c r="T428" s="46" t="str">
        <f>_xlfn.XLOOKUP(E428,Models!I:I,Models!J:J,"")</f>
        <v/>
      </c>
      <c r="U428" s="45"/>
      <c r="V428" s="45"/>
      <c r="W428" s="38" t="str">
        <f>_xlfn.LET(
    _xlpm.MacVal, _xlfn.XLOOKUP($A428, Output_Mac!$A:$A, Output_Mac!AA:AA, ""),
    _xlpm.MyAuditVal, _xlfn.XLOOKUP($A428, My_Audit!$A:$A, My_Audit!L:L, ""),
    _xlfn.TEXTJOIN(", ", TRUE, _xlpm.MyAuditVal, _xlpm.MacVal)
)</f>
        <v/>
      </c>
    </row>
    <row r="429" spans="1:23">
      <c r="A429" s="45" t="str">
        <f>_xlfn.TEXTJOIN("",TRUE,Input!$B$2,ROW(My_Audit!A428))</f>
        <v>CC428</v>
      </c>
      <c r="B429" s="45" t="str">
        <f>_xlfn.TEXTJOIN("-",TRUE,"ITD",Input!$A$2,A429)</f>
        <v>ITD-XXX-CC428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 cm="1">
        <f t="array" ref="D429">IFERROR(_xlfn.LET(
_xlpm.CSVVal,_xlfn.XLOOKUP($A429,CSV!$A:$A,CSV!C:C,""),
_xlpm.MacVal,_xlfn.XLOOKUP($A429,Output_Mac!$A:$A,Output_Mac!D:D,""),
_xlpm.MyAuditVal,_xlfn.XLOOKUP($A429,My_Audit!$A:$A,My_Audit!C:C,""),
_xlfn.IFS(_xlpm.MyAuditVal&lt;&gt;"",UPPER(_xlpm.MyAuditVal),_xlpm.MacVal&lt;&gt;"",_xlpm.MacVal,_xlpm.CSVVal&lt;&gt;"",_xlpm.CSVVal
)),"")</f>
        <v/>
      </c>
      <c r="E429" s="46" t="str" cm="1">
        <f t="array" ref="E429">IFERROR(_xlfn.LET(
_xlpm.CSVVal,_xlfn.XLOOKUP($A429,CSV!$A:$A,CSV!E:E,""),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_xlpm.CSVVal,_xlfn.XLOOKUP($A429,CSV!$A:$A,CSV!G:G,""),
_xlpm.MacVal,_xlfn.XLOOKUP($A429,Output_Mac!$A:$A,Output_Mac!G:G,""),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_xlfn.XLOOKUP(A429,Output_Mac!A:A,Output_Mac!H:H,"")</f>
        <v/>
      </c>
      <c r="I429" s="45" t="str" cm="1">
        <f t="array" ref="I429">IFERROR(_xlfn.LET(
_xlpm.CSVVal,_xlfn.XLOOKUP($A429,CSV!$A:$A,CSV!H:H,""),
_xlpm.MacVal,_xlfn.XLOOKUP($A429,Output_Mac!$A:$A,Output_Mac!I:I,""),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_xlpm.CSVVal,_xlfn.XLOOKUP($A429,CSV!$A:$A,CSV!J:J,""),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46" t="str" cm="1">
        <f t="array" ref="K429">IFERROR(_xlfn.LET(
_xlpm.CSVVal,_xlfn.XLOOKUP($A429,CSV!$A:$A,CSV!N:N,""),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_xlpm.CSVVal,_xlfn.XLOOKUP($A429,CSV!$A:$A,CSV!P:P,""),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CSV!AE:AE,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_xlpm.CSVVal,_xlfn.XLOOKUP($A429,CSV!$A:$A,CSV!AG:AG,""),
_xlpm.MacVal,_xlfn.XLOOKUP($A429,Output_Mac!$A:$A,Output_Mac!T:T,""),
_xlpm.MyAuditVal,_xlfn.XLOOKUP($A429,My_Audit!$A:$A,My_Audit!O:O,""),
_xlfn.IFS(_xlpm.MyAuditVal&lt;&gt;"",UPPER(_xlpm.MyAuditVal),_xlpm.MacVal&lt;&gt;"",_xlpm.MacVal,_xlpm.CSVVal&lt;&gt;"",_xlpm.CSVVal
)),"")</f>
        <v/>
      </c>
      <c r="O429" s="46" t="str">
        <f>_xlfn.XLOOKUP(C429,My_Audit!B:B,My_Audit!P:P,"")&amp;""</f>
        <v/>
      </c>
      <c r="P429" s="45"/>
      <c r="Q429" s="46" t="str">
        <f>IF(LEFT(N429,4)="Pass","Nist SP 800-88",My_Audit!R429)&amp;""</f>
        <v/>
      </c>
      <c r="R429" s="45"/>
      <c r="S429" s="45"/>
      <c r="T429" s="46" t="str">
        <f>_xlfn.XLOOKUP(E429,Models!I:I,Models!J:J,"")</f>
        <v/>
      </c>
      <c r="U429" s="45"/>
      <c r="V429" s="45"/>
      <c r="W429" s="38" t="str">
        <f>_xlfn.LET(
    _xlpm.MacVal, _xlfn.XLOOKUP($A429, Output_Mac!$A:$A, Output_Mac!AA:AA, ""),
    _xlpm.MyAuditVal, _xlfn.XLOOKUP($A429, My_Audit!$A:$A, My_Audit!L:L, ""),
    _xlfn.TEXTJOIN(", ", TRUE, _xlpm.MyAuditVal, _xlpm.MacVal)
)</f>
        <v/>
      </c>
    </row>
    <row r="430" spans="1:23">
      <c r="A430" s="45" t="str">
        <f>_xlfn.TEXTJOIN("",TRUE,Input!$B$2,ROW(My_Audit!A429))</f>
        <v>CC429</v>
      </c>
      <c r="B430" s="45" t="str">
        <f>_xlfn.TEXTJOIN("-",TRUE,"ITD",Input!$A$2,A430)</f>
        <v>ITD-XXX-CC429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 cm="1">
        <f t="array" ref="D430">IFERROR(_xlfn.LET(
_xlpm.CSVVal,_xlfn.XLOOKUP($A430,CSV!$A:$A,CSV!C:C,""),
_xlpm.MacVal,_xlfn.XLOOKUP($A430,Output_Mac!$A:$A,Output_Mac!D:D,""),
_xlpm.MyAuditVal,_xlfn.XLOOKUP($A430,My_Audit!$A:$A,My_Audit!C:C,""),
_xlfn.IFS(_xlpm.MyAuditVal&lt;&gt;"",UPPER(_xlpm.MyAuditVal),_xlpm.MacVal&lt;&gt;"",_xlpm.MacVal,_xlpm.CSVVal&lt;&gt;"",_xlpm.CSVVal
)),"")</f>
        <v/>
      </c>
      <c r="E430" s="46" t="str" cm="1">
        <f t="array" ref="E430">IFERROR(_xlfn.LET(
_xlpm.CSVVal,_xlfn.XLOOKUP($A430,CSV!$A:$A,CSV!E:E,""),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_xlpm.CSVVal,_xlfn.XLOOKUP($A430,CSV!$A:$A,CSV!G:G,""),
_xlpm.MacVal,_xlfn.XLOOKUP($A430,Output_Mac!$A:$A,Output_Mac!G:G,""),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_xlfn.XLOOKUP(A430,Output_Mac!A:A,Output_Mac!H:H,"")</f>
        <v/>
      </c>
      <c r="I430" s="45" t="str" cm="1">
        <f t="array" ref="I430">IFERROR(_xlfn.LET(
_xlpm.CSVVal,_xlfn.XLOOKUP($A430,CSV!$A:$A,CSV!H:H,""),
_xlpm.MacVal,_xlfn.XLOOKUP($A430,Output_Mac!$A:$A,Output_Mac!I:I,""),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_xlpm.CSVVal,_xlfn.XLOOKUP($A430,CSV!$A:$A,CSV!J:J,""),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46" t="str" cm="1">
        <f t="array" ref="K430">IFERROR(_xlfn.LET(
_xlpm.CSVVal,_xlfn.XLOOKUP($A430,CSV!$A:$A,CSV!N:N,""),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_xlpm.CSVVal,_xlfn.XLOOKUP($A430,CSV!$A:$A,CSV!P:P,""),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CSV!AE:AE,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_xlpm.CSVVal,_xlfn.XLOOKUP($A430,CSV!$A:$A,CSV!AG:AG,""),
_xlpm.MacVal,_xlfn.XLOOKUP($A430,Output_Mac!$A:$A,Output_Mac!T:T,""),
_xlpm.MyAuditVal,_xlfn.XLOOKUP($A430,My_Audit!$A:$A,My_Audit!O:O,""),
_xlfn.IFS(_xlpm.MyAuditVal&lt;&gt;"",UPPER(_xlpm.MyAuditVal),_xlpm.MacVal&lt;&gt;"",_xlpm.MacVal,_xlpm.CSVVal&lt;&gt;"",_xlpm.CSVVal
)),"")</f>
        <v/>
      </c>
      <c r="O430" s="46" t="str">
        <f>_xlfn.XLOOKUP(C430,My_Audit!B:B,My_Audit!P:P,"")&amp;""</f>
        <v/>
      </c>
      <c r="P430" s="45"/>
      <c r="Q430" s="46" t="str">
        <f>IF(LEFT(N430,4)="Pass","Nist SP 800-88",My_Audit!R430)&amp;""</f>
        <v/>
      </c>
      <c r="R430" s="45"/>
      <c r="S430" s="45"/>
      <c r="T430" s="46" t="str">
        <f>_xlfn.XLOOKUP(E430,Models!I:I,Models!J:J,"")</f>
        <v/>
      </c>
      <c r="U430" s="45"/>
      <c r="V430" s="45"/>
      <c r="W430" s="38" t="str">
        <f>_xlfn.LET(
    _xlpm.MacVal, _xlfn.XLOOKUP($A430, Output_Mac!$A:$A, Output_Mac!AA:AA, ""),
    _xlpm.MyAuditVal, _xlfn.XLOOKUP($A430, My_Audit!$A:$A, My_Audit!L:L, ""),
    _xlfn.TEXTJOIN(", ", TRUE, _xlpm.MyAuditVal, _xlpm.MacVal)
)</f>
        <v/>
      </c>
    </row>
    <row r="431" spans="1:23">
      <c r="A431" s="45" t="str">
        <f>_xlfn.TEXTJOIN("",TRUE,Input!$B$2,ROW(My_Audit!A430))</f>
        <v>CC430</v>
      </c>
      <c r="B431" s="45" t="str">
        <f>_xlfn.TEXTJOIN("-",TRUE,"ITD",Input!$A$2,A431)</f>
        <v>ITD-XXX-CC430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 cm="1">
        <f t="array" ref="D431">IFERROR(_xlfn.LET(
_xlpm.CSVVal,_xlfn.XLOOKUP($A431,CSV!$A:$A,CSV!C:C,""),
_xlpm.MacVal,_xlfn.XLOOKUP($A431,Output_Mac!$A:$A,Output_Mac!D:D,""),
_xlpm.MyAuditVal,_xlfn.XLOOKUP($A431,My_Audit!$A:$A,My_Audit!C:C,""),
_xlfn.IFS(_xlpm.MyAuditVal&lt;&gt;"",UPPER(_xlpm.MyAuditVal),_xlpm.MacVal&lt;&gt;"",_xlpm.MacVal,_xlpm.CSVVal&lt;&gt;"",_xlpm.CSVVal
)),"")</f>
        <v/>
      </c>
      <c r="E431" s="46" t="str" cm="1">
        <f t="array" ref="E431">IFERROR(_xlfn.LET(
_xlpm.CSVVal,_xlfn.XLOOKUP($A431,CSV!$A:$A,CSV!E:E,""),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_xlpm.CSVVal,_xlfn.XLOOKUP($A431,CSV!$A:$A,CSV!G:G,""),
_xlpm.MacVal,_xlfn.XLOOKUP($A431,Output_Mac!$A:$A,Output_Mac!G:G,""),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_xlfn.XLOOKUP(A431,Output_Mac!A:A,Output_Mac!H:H,"")</f>
        <v/>
      </c>
      <c r="I431" s="45" t="str" cm="1">
        <f t="array" ref="I431">IFERROR(_xlfn.LET(
_xlpm.CSVVal,_xlfn.XLOOKUP($A431,CSV!$A:$A,CSV!H:H,""),
_xlpm.MacVal,_xlfn.XLOOKUP($A431,Output_Mac!$A:$A,Output_Mac!I:I,""),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_xlpm.CSVVal,_xlfn.XLOOKUP($A431,CSV!$A:$A,CSV!J:J,""),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46" t="str" cm="1">
        <f t="array" ref="K431">IFERROR(_xlfn.LET(
_xlpm.CSVVal,_xlfn.XLOOKUP($A431,CSV!$A:$A,CSV!N:N,""),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_xlpm.CSVVal,_xlfn.XLOOKUP($A431,CSV!$A:$A,CSV!P:P,""),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CSV!AE:AE,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_xlpm.CSVVal,_xlfn.XLOOKUP($A431,CSV!$A:$A,CSV!AG:AG,""),
_xlpm.MacVal,_xlfn.XLOOKUP($A431,Output_Mac!$A:$A,Output_Mac!T:T,""),
_xlpm.MyAuditVal,_xlfn.XLOOKUP($A431,My_Audit!$A:$A,My_Audit!O:O,""),
_xlfn.IFS(_xlpm.MyAuditVal&lt;&gt;"",UPPER(_xlpm.MyAuditVal),_xlpm.MacVal&lt;&gt;"",_xlpm.MacVal,_xlpm.CSVVal&lt;&gt;"",_xlpm.CSVVal
)),"")</f>
        <v/>
      </c>
      <c r="O431" s="46" t="str">
        <f>_xlfn.XLOOKUP(C431,My_Audit!B:B,My_Audit!P:P,"")&amp;""</f>
        <v/>
      </c>
      <c r="P431" s="45"/>
      <c r="Q431" s="46" t="str">
        <f>IF(LEFT(N431,4)="Pass","Nist SP 800-88",My_Audit!R431)&amp;""</f>
        <v/>
      </c>
      <c r="R431" s="45"/>
      <c r="S431" s="45"/>
      <c r="T431" s="46" t="str">
        <f>_xlfn.XLOOKUP(E431,Models!I:I,Models!J:J,"")</f>
        <v/>
      </c>
      <c r="U431" s="45"/>
      <c r="V431" s="45"/>
      <c r="W431" s="38" t="str">
        <f>_xlfn.LET(
    _xlpm.MacVal, _xlfn.XLOOKUP($A431, Output_Mac!$A:$A, Output_Mac!AA:AA, ""),
    _xlpm.MyAuditVal, _xlfn.XLOOKUP($A431, My_Audit!$A:$A, My_Audit!L:L, ""),
    _xlfn.TEXTJOIN(", ", TRUE, _xlpm.MyAuditVal, _xlpm.MacVal)
)</f>
        <v/>
      </c>
    </row>
    <row r="432" spans="1:23">
      <c r="A432" s="45" t="str">
        <f>_xlfn.TEXTJOIN("",TRUE,Input!$B$2,ROW(My_Audit!A431))</f>
        <v>CC431</v>
      </c>
      <c r="B432" s="45" t="str">
        <f>_xlfn.TEXTJOIN("-",TRUE,"ITD",Input!$A$2,A432)</f>
        <v>ITD-XXX-CC431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 cm="1">
        <f t="array" ref="D432">IFERROR(_xlfn.LET(
_xlpm.CSVVal,_xlfn.XLOOKUP($A432,CSV!$A:$A,CSV!C:C,""),
_xlpm.MacVal,_xlfn.XLOOKUP($A432,Output_Mac!$A:$A,Output_Mac!D:D,""),
_xlpm.MyAuditVal,_xlfn.XLOOKUP($A432,My_Audit!$A:$A,My_Audit!C:C,""),
_xlfn.IFS(_xlpm.MyAuditVal&lt;&gt;"",UPPER(_xlpm.MyAuditVal),_xlpm.MacVal&lt;&gt;"",_xlpm.MacVal,_xlpm.CSVVal&lt;&gt;"",_xlpm.CSVVal
)),"")</f>
        <v/>
      </c>
      <c r="E432" s="46" t="str" cm="1">
        <f t="array" ref="E432">IFERROR(_xlfn.LET(
_xlpm.CSVVal,_xlfn.XLOOKUP($A432,CSV!$A:$A,CSV!E:E,""),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_xlpm.CSVVal,_xlfn.XLOOKUP($A432,CSV!$A:$A,CSV!G:G,""),
_xlpm.MacVal,_xlfn.XLOOKUP($A432,Output_Mac!$A:$A,Output_Mac!G:G,""),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_xlfn.XLOOKUP(A432,Output_Mac!A:A,Output_Mac!H:H,"")</f>
        <v/>
      </c>
      <c r="I432" s="45" t="str" cm="1">
        <f t="array" ref="I432">IFERROR(_xlfn.LET(
_xlpm.CSVVal,_xlfn.XLOOKUP($A432,CSV!$A:$A,CSV!H:H,""),
_xlpm.MacVal,_xlfn.XLOOKUP($A432,Output_Mac!$A:$A,Output_Mac!I:I,""),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_xlpm.CSVVal,_xlfn.XLOOKUP($A432,CSV!$A:$A,CSV!J:J,""),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46" t="str" cm="1">
        <f t="array" ref="K432">IFERROR(_xlfn.LET(
_xlpm.CSVVal,_xlfn.XLOOKUP($A432,CSV!$A:$A,CSV!N:N,""),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_xlpm.CSVVal,_xlfn.XLOOKUP($A432,CSV!$A:$A,CSV!P:P,""),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CSV!AE:AE,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_xlpm.CSVVal,_xlfn.XLOOKUP($A432,CSV!$A:$A,CSV!AG:AG,""),
_xlpm.MacVal,_xlfn.XLOOKUP($A432,Output_Mac!$A:$A,Output_Mac!T:T,""),
_xlpm.MyAuditVal,_xlfn.XLOOKUP($A432,My_Audit!$A:$A,My_Audit!O:O,""),
_xlfn.IFS(_xlpm.MyAuditVal&lt;&gt;"",UPPER(_xlpm.MyAuditVal),_xlpm.MacVal&lt;&gt;"",_xlpm.MacVal,_xlpm.CSVVal&lt;&gt;"",_xlpm.CSVVal
)),"")</f>
        <v/>
      </c>
      <c r="O432" s="46" t="str">
        <f>_xlfn.XLOOKUP(C432,My_Audit!B:B,My_Audit!P:P,"")&amp;""</f>
        <v/>
      </c>
      <c r="P432" s="45"/>
      <c r="Q432" s="46" t="str">
        <f>IF(LEFT(N432,4)="Pass","Nist SP 800-88",My_Audit!R432)&amp;""</f>
        <v/>
      </c>
      <c r="R432" s="45"/>
      <c r="S432" s="45"/>
      <c r="T432" s="46" t="str">
        <f>_xlfn.XLOOKUP(E432,Models!I:I,Models!J:J,"")</f>
        <v/>
      </c>
      <c r="U432" s="45"/>
      <c r="V432" s="45"/>
      <c r="W432" s="38" t="str">
        <f>_xlfn.LET(
    _xlpm.MacVal, _xlfn.XLOOKUP($A432, Output_Mac!$A:$A, Output_Mac!AA:AA, ""),
    _xlpm.MyAuditVal, _xlfn.XLOOKUP($A432, My_Audit!$A:$A, My_Audit!L:L, ""),
    _xlfn.TEXTJOIN(", ", TRUE, _xlpm.MyAuditVal, _xlpm.MacVal)
)</f>
        <v/>
      </c>
    </row>
    <row r="433" spans="1:23">
      <c r="A433" s="45" t="str">
        <f>_xlfn.TEXTJOIN("",TRUE,Input!$B$2,ROW(My_Audit!A432))</f>
        <v>CC432</v>
      </c>
      <c r="B433" s="45" t="str">
        <f>_xlfn.TEXTJOIN("-",TRUE,"ITD",Input!$A$2,A433)</f>
        <v>ITD-XXX-CC432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 cm="1">
        <f t="array" ref="D433">IFERROR(_xlfn.LET(
_xlpm.CSVVal,_xlfn.XLOOKUP($A433,CSV!$A:$A,CSV!C:C,""),
_xlpm.MacVal,_xlfn.XLOOKUP($A433,Output_Mac!$A:$A,Output_Mac!D:D,""),
_xlpm.MyAuditVal,_xlfn.XLOOKUP($A433,My_Audit!$A:$A,My_Audit!C:C,""),
_xlfn.IFS(_xlpm.MyAuditVal&lt;&gt;"",UPPER(_xlpm.MyAuditVal),_xlpm.MacVal&lt;&gt;"",_xlpm.MacVal,_xlpm.CSVVal&lt;&gt;"",_xlpm.CSVVal
)),"")</f>
        <v/>
      </c>
      <c r="E433" s="46" t="str" cm="1">
        <f t="array" ref="E433">IFERROR(_xlfn.LET(
_xlpm.CSVVal,_xlfn.XLOOKUP($A433,CSV!$A:$A,CSV!E:E,""),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_xlpm.CSVVal,_xlfn.XLOOKUP($A433,CSV!$A:$A,CSV!G:G,""),
_xlpm.MacVal,_xlfn.XLOOKUP($A433,Output_Mac!$A:$A,Output_Mac!G:G,""),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_xlfn.XLOOKUP(A433,Output_Mac!A:A,Output_Mac!H:H,"")</f>
        <v/>
      </c>
      <c r="I433" s="45" t="str" cm="1">
        <f t="array" ref="I433">IFERROR(_xlfn.LET(
_xlpm.CSVVal,_xlfn.XLOOKUP($A433,CSV!$A:$A,CSV!H:H,""),
_xlpm.MacVal,_xlfn.XLOOKUP($A433,Output_Mac!$A:$A,Output_Mac!I:I,""),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_xlpm.CSVVal,_xlfn.XLOOKUP($A433,CSV!$A:$A,CSV!J:J,""),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46" t="str" cm="1">
        <f t="array" ref="K433">IFERROR(_xlfn.LET(
_xlpm.CSVVal,_xlfn.XLOOKUP($A433,CSV!$A:$A,CSV!N:N,""),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_xlpm.CSVVal,_xlfn.XLOOKUP($A433,CSV!$A:$A,CSV!P:P,""),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CSV!AE:AE,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_xlpm.CSVVal,_xlfn.XLOOKUP($A433,CSV!$A:$A,CSV!AG:AG,""),
_xlpm.MacVal,_xlfn.XLOOKUP($A433,Output_Mac!$A:$A,Output_Mac!T:T,""),
_xlpm.MyAuditVal,_xlfn.XLOOKUP($A433,My_Audit!$A:$A,My_Audit!O:O,""),
_xlfn.IFS(_xlpm.MyAuditVal&lt;&gt;"",UPPER(_xlpm.MyAuditVal),_xlpm.MacVal&lt;&gt;"",_xlpm.MacVal,_xlpm.CSVVal&lt;&gt;"",_xlpm.CSVVal
)),"")</f>
        <v/>
      </c>
      <c r="O433" s="46" t="str">
        <f>_xlfn.XLOOKUP(C433,My_Audit!B:B,My_Audit!P:P,"")&amp;""</f>
        <v/>
      </c>
      <c r="P433" s="45"/>
      <c r="Q433" s="46" t="str">
        <f>IF(LEFT(N433,4)="Pass","Nist SP 800-88",My_Audit!R433)&amp;""</f>
        <v/>
      </c>
      <c r="R433" s="45"/>
      <c r="S433" s="45"/>
      <c r="T433" s="46" t="str">
        <f>_xlfn.XLOOKUP(E433,Models!I:I,Models!J:J,"")</f>
        <v/>
      </c>
      <c r="U433" s="45"/>
      <c r="V433" s="45"/>
      <c r="W433" s="38" t="str">
        <f>_xlfn.LET(
    _xlpm.MacVal, _xlfn.XLOOKUP($A433, Output_Mac!$A:$A, Output_Mac!AA:AA, ""),
    _xlpm.MyAuditVal, _xlfn.XLOOKUP($A433, My_Audit!$A:$A, My_Audit!L:L, ""),
    _xlfn.TEXTJOIN(", ", TRUE, _xlpm.MyAuditVal, _xlpm.MacVal)
)</f>
        <v/>
      </c>
    </row>
    <row r="434" spans="1:23">
      <c r="A434" s="45" t="str">
        <f>_xlfn.TEXTJOIN("",TRUE,Input!$B$2,ROW(My_Audit!A433))</f>
        <v>CC433</v>
      </c>
      <c r="B434" s="45" t="str">
        <f>_xlfn.TEXTJOIN("-",TRUE,"ITD",Input!$A$2,A434)</f>
        <v>ITD-XXX-CC433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 cm="1">
        <f t="array" ref="D434">IFERROR(_xlfn.LET(
_xlpm.CSVVal,_xlfn.XLOOKUP($A434,CSV!$A:$A,CSV!C:C,""),
_xlpm.MacVal,_xlfn.XLOOKUP($A434,Output_Mac!$A:$A,Output_Mac!D:D,""),
_xlpm.MyAuditVal,_xlfn.XLOOKUP($A434,My_Audit!$A:$A,My_Audit!C:C,""),
_xlfn.IFS(_xlpm.MyAuditVal&lt;&gt;"",UPPER(_xlpm.MyAuditVal),_xlpm.MacVal&lt;&gt;"",_xlpm.MacVal,_xlpm.CSVVal&lt;&gt;"",_xlpm.CSVVal
)),"")</f>
        <v/>
      </c>
      <c r="E434" s="46" t="str" cm="1">
        <f t="array" ref="E434">IFERROR(_xlfn.LET(
_xlpm.CSVVal,_xlfn.XLOOKUP($A434,CSV!$A:$A,CSV!E:E,""),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_xlpm.CSVVal,_xlfn.XLOOKUP($A434,CSV!$A:$A,CSV!G:G,""),
_xlpm.MacVal,_xlfn.XLOOKUP($A434,Output_Mac!$A:$A,Output_Mac!G:G,""),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_xlfn.XLOOKUP(A434,Output_Mac!A:A,Output_Mac!H:H,"")</f>
        <v/>
      </c>
      <c r="I434" s="45" t="str" cm="1">
        <f t="array" ref="I434">IFERROR(_xlfn.LET(
_xlpm.CSVVal,_xlfn.XLOOKUP($A434,CSV!$A:$A,CSV!H:H,""),
_xlpm.MacVal,_xlfn.XLOOKUP($A434,Output_Mac!$A:$A,Output_Mac!I:I,""),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_xlpm.CSVVal,_xlfn.XLOOKUP($A434,CSV!$A:$A,CSV!J:J,""),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46" t="str" cm="1">
        <f t="array" ref="K434">IFERROR(_xlfn.LET(
_xlpm.CSVVal,_xlfn.XLOOKUP($A434,CSV!$A:$A,CSV!N:N,""),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_xlpm.CSVVal,_xlfn.XLOOKUP($A434,CSV!$A:$A,CSV!P:P,""),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CSV!AE:AE,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_xlpm.CSVVal,_xlfn.XLOOKUP($A434,CSV!$A:$A,CSV!AG:AG,""),
_xlpm.MacVal,_xlfn.XLOOKUP($A434,Output_Mac!$A:$A,Output_Mac!T:T,""),
_xlpm.MyAuditVal,_xlfn.XLOOKUP($A434,My_Audit!$A:$A,My_Audit!O:O,""),
_xlfn.IFS(_xlpm.MyAuditVal&lt;&gt;"",UPPER(_xlpm.MyAuditVal),_xlpm.MacVal&lt;&gt;"",_xlpm.MacVal,_xlpm.CSVVal&lt;&gt;"",_xlpm.CSVVal
)),"")</f>
        <v/>
      </c>
      <c r="O434" s="46" t="str">
        <f>_xlfn.XLOOKUP(C434,My_Audit!B:B,My_Audit!P:P,"")&amp;""</f>
        <v/>
      </c>
      <c r="P434" s="45"/>
      <c r="Q434" s="46" t="str">
        <f>IF(LEFT(N434,4)="Pass","Nist SP 800-88",My_Audit!R434)&amp;""</f>
        <v/>
      </c>
      <c r="R434" s="45"/>
      <c r="S434" s="45"/>
      <c r="T434" s="46" t="str">
        <f>_xlfn.XLOOKUP(E434,Models!I:I,Models!J:J,"")</f>
        <v/>
      </c>
      <c r="U434" s="45"/>
      <c r="V434" s="45"/>
      <c r="W434" s="38" t="str">
        <f>_xlfn.LET(
    _xlpm.MacVal, _xlfn.XLOOKUP($A434, Output_Mac!$A:$A, Output_Mac!AA:AA, ""),
    _xlpm.MyAuditVal, _xlfn.XLOOKUP($A434, My_Audit!$A:$A, My_Audit!L:L, ""),
    _xlfn.TEXTJOIN(", ", TRUE, _xlpm.MyAuditVal, _xlpm.MacVal)
)</f>
        <v/>
      </c>
    </row>
    <row r="435" spans="1:23">
      <c r="A435" s="45" t="str">
        <f>_xlfn.TEXTJOIN("",TRUE,Input!$B$2,ROW(My_Audit!A434))</f>
        <v>CC434</v>
      </c>
      <c r="B435" s="45" t="str">
        <f>_xlfn.TEXTJOIN("-",TRUE,"ITD",Input!$A$2,A435)</f>
        <v>ITD-XXX-CC434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 cm="1">
        <f t="array" ref="D435">IFERROR(_xlfn.LET(
_xlpm.CSVVal,_xlfn.XLOOKUP($A435,CSV!$A:$A,CSV!C:C,""),
_xlpm.MacVal,_xlfn.XLOOKUP($A435,Output_Mac!$A:$A,Output_Mac!D:D,""),
_xlpm.MyAuditVal,_xlfn.XLOOKUP($A435,My_Audit!$A:$A,My_Audit!C:C,""),
_xlfn.IFS(_xlpm.MyAuditVal&lt;&gt;"",UPPER(_xlpm.MyAuditVal),_xlpm.MacVal&lt;&gt;"",_xlpm.MacVal,_xlpm.CSVVal&lt;&gt;"",_xlpm.CSVVal
)),"")</f>
        <v/>
      </c>
      <c r="E435" s="46" t="str" cm="1">
        <f t="array" ref="E435">IFERROR(_xlfn.LET(
_xlpm.CSVVal,_xlfn.XLOOKUP($A435,CSV!$A:$A,CSV!E:E,""),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_xlpm.CSVVal,_xlfn.XLOOKUP($A435,CSV!$A:$A,CSV!G:G,""),
_xlpm.MacVal,_xlfn.XLOOKUP($A435,Output_Mac!$A:$A,Output_Mac!G:G,""),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_xlfn.XLOOKUP(A435,Output_Mac!A:A,Output_Mac!H:H,"")</f>
        <v/>
      </c>
      <c r="I435" s="45" t="str" cm="1">
        <f t="array" ref="I435">IFERROR(_xlfn.LET(
_xlpm.CSVVal,_xlfn.XLOOKUP($A435,CSV!$A:$A,CSV!H:H,""),
_xlpm.MacVal,_xlfn.XLOOKUP($A435,Output_Mac!$A:$A,Output_Mac!I:I,""),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_xlpm.CSVVal,_xlfn.XLOOKUP($A435,CSV!$A:$A,CSV!J:J,""),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46" t="str" cm="1">
        <f t="array" ref="K435">IFERROR(_xlfn.LET(
_xlpm.CSVVal,_xlfn.XLOOKUP($A435,CSV!$A:$A,CSV!N:N,""),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_xlpm.CSVVal,_xlfn.XLOOKUP($A435,CSV!$A:$A,CSV!P:P,""),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CSV!AE:AE,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_xlpm.CSVVal,_xlfn.XLOOKUP($A435,CSV!$A:$A,CSV!AG:AG,""),
_xlpm.MacVal,_xlfn.XLOOKUP($A435,Output_Mac!$A:$A,Output_Mac!T:T,""),
_xlpm.MyAuditVal,_xlfn.XLOOKUP($A435,My_Audit!$A:$A,My_Audit!O:O,""),
_xlfn.IFS(_xlpm.MyAuditVal&lt;&gt;"",UPPER(_xlpm.MyAuditVal),_xlpm.MacVal&lt;&gt;"",_xlpm.MacVal,_xlpm.CSVVal&lt;&gt;"",_xlpm.CSVVal
)),"")</f>
        <v/>
      </c>
      <c r="O435" s="46" t="str">
        <f>_xlfn.XLOOKUP(C435,My_Audit!B:B,My_Audit!P:P,"")&amp;""</f>
        <v/>
      </c>
      <c r="P435" s="45"/>
      <c r="Q435" s="46" t="str">
        <f>IF(LEFT(N435,4)="Pass","Nist SP 800-88",My_Audit!R435)&amp;""</f>
        <v/>
      </c>
      <c r="R435" s="45"/>
      <c r="S435" s="45"/>
      <c r="T435" s="46" t="str">
        <f>_xlfn.XLOOKUP(E435,Models!I:I,Models!J:J,"")</f>
        <v/>
      </c>
      <c r="U435" s="45"/>
      <c r="V435" s="45"/>
      <c r="W435" s="38" t="str">
        <f>_xlfn.LET(
    _xlpm.MacVal, _xlfn.XLOOKUP($A435, Output_Mac!$A:$A, Output_Mac!AA:AA, ""),
    _xlpm.MyAuditVal, _xlfn.XLOOKUP($A435, My_Audit!$A:$A, My_Audit!L:L, ""),
    _xlfn.TEXTJOIN(", ", TRUE, _xlpm.MyAuditVal, _xlpm.MacVal)
)</f>
        <v/>
      </c>
    </row>
    <row r="436" spans="1:23">
      <c r="A436" s="45" t="str">
        <f>_xlfn.TEXTJOIN("",TRUE,Input!$B$2,ROW(My_Audit!A435))</f>
        <v>CC435</v>
      </c>
      <c r="B436" s="45" t="str">
        <f>_xlfn.TEXTJOIN("-",TRUE,"ITD",Input!$A$2,A436)</f>
        <v>ITD-XXX-CC435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 cm="1">
        <f t="array" ref="D436">IFERROR(_xlfn.LET(
_xlpm.CSVVal,_xlfn.XLOOKUP($A436,CSV!$A:$A,CSV!C:C,""),
_xlpm.MacVal,_xlfn.XLOOKUP($A436,Output_Mac!$A:$A,Output_Mac!D:D,""),
_xlpm.MyAuditVal,_xlfn.XLOOKUP($A436,My_Audit!$A:$A,My_Audit!C:C,""),
_xlfn.IFS(_xlpm.MyAuditVal&lt;&gt;"",UPPER(_xlpm.MyAuditVal),_xlpm.MacVal&lt;&gt;"",_xlpm.MacVal,_xlpm.CSVVal&lt;&gt;"",_xlpm.CSVVal
)),"")</f>
        <v/>
      </c>
      <c r="E436" s="46" t="str" cm="1">
        <f t="array" ref="E436">IFERROR(_xlfn.LET(
_xlpm.CSVVal,_xlfn.XLOOKUP($A436,CSV!$A:$A,CSV!E:E,""),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_xlpm.CSVVal,_xlfn.XLOOKUP($A436,CSV!$A:$A,CSV!G:G,""),
_xlpm.MacVal,_xlfn.XLOOKUP($A436,Output_Mac!$A:$A,Output_Mac!G:G,""),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_xlfn.XLOOKUP(A436,Output_Mac!A:A,Output_Mac!H:H,"")</f>
        <v/>
      </c>
      <c r="I436" s="45" t="str" cm="1">
        <f t="array" ref="I436">IFERROR(_xlfn.LET(
_xlpm.CSVVal,_xlfn.XLOOKUP($A436,CSV!$A:$A,CSV!H:H,""),
_xlpm.MacVal,_xlfn.XLOOKUP($A436,Output_Mac!$A:$A,Output_Mac!I:I,""),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_xlpm.CSVVal,_xlfn.XLOOKUP($A436,CSV!$A:$A,CSV!J:J,""),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46" t="str" cm="1">
        <f t="array" ref="K436">IFERROR(_xlfn.LET(
_xlpm.CSVVal,_xlfn.XLOOKUP($A436,CSV!$A:$A,CSV!N:N,""),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_xlpm.CSVVal,_xlfn.XLOOKUP($A436,CSV!$A:$A,CSV!P:P,""),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CSV!AE:AE,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_xlpm.CSVVal,_xlfn.XLOOKUP($A436,CSV!$A:$A,CSV!AG:AG,""),
_xlpm.MacVal,_xlfn.XLOOKUP($A436,Output_Mac!$A:$A,Output_Mac!T:T,""),
_xlpm.MyAuditVal,_xlfn.XLOOKUP($A436,My_Audit!$A:$A,My_Audit!O:O,""),
_xlfn.IFS(_xlpm.MyAuditVal&lt;&gt;"",UPPER(_xlpm.MyAuditVal),_xlpm.MacVal&lt;&gt;"",_xlpm.MacVal,_xlpm.CSVVal&lt;&gt;"",_xlpm.CSVVal
)),"")</f>
        <v/>
      </c>
      <c r="O436" s="46" t="str">
        <f>_xlfn.XLOOKUP(C436,My_Audit!B:B,My_Audit!P:P,"")&amp;""</f>
        <v/>
      </c>
      <c r="P436" s="45"/>
      <c r="Q436" s="46" t="str">
        <f>IF(LEFT(N436,4)="Pass","Nist SP 800-88",My_Audit!R436)&amp;""</f>
        <v/>
      </c>
      <c r="R436" s="45"/>
      <c r="S436" s="45"/>
      <c r="T436" s="46" t="str">
        <f>_xlfn.XLOOKUP(E436,Models!I:I,Models!J:J,"")</f>
        <v/>
      </c>
      <c r="U436" s="45"/>
      <c r="V436" s="45"/>
      <c r="W436" s="38" t="str">
        <f>_xlfn.LET(
    _xlpm.MacVal, _xlfn.XLOOKUP($A436, Output_Mac!$A:$A, Output_Mac!AA:AA, ""),
    _xlpm.MyAuditVal, _xlfn.XLOOKUP($A436, My_Audit!$A:$A, My_Audit!L:L, ""),
    _xlfn.TEXTJOIN(", ", TRUE, _xlpm.MyAuditVal, _xlpm.MacVal)
)</f>
        <v/>
      </c>
    </row>
    <row r="437" spans="1:23">
      <c r="A437" s="45" t="str">
        <f>_xlfn.TEXTJOIN("",TRUE,Input!$B$2,ROW(My_Audit!A436))</f>
        <v>CC436</v>
      </c>
      <c r="B437" s="45" t="str">
        <f>_xlfn.TEXTJOIN("-",TRUE,"ITD",Input!$A$2,A437)</f>
        <v>ITD-XXX-CC436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 cm="1">
        <f t="array" ref="D437">IFERROR(_xlfn.LET(
_xlpm.CSVVal,_xlfn.XLOOKUP($A437,CSV!$A:$A,CSV!C:C,""),
_xlpm.MacVal,_xlfn.XLOOKUP($A437,Output_Mac!$A:$A,Output_Mac!D:D,""),
_xlpm.MyAuditVal,_xlfn.XLOOKUP($A437,My_Audit!$A:$A,My_Audit!C:C,""),
_xlfn.IFS(_xlpm.MyAuditVal&lt;&gt;"",UPPER(_xlpm.MyAuditVal),_xlpm.MacVal&lt;&gt;"",_xlpm.MacVal,_xlpm.CSVVal&lt;&gt;"",_xlpm.CSVVal
)),"")</f>
        <v/>
      </c>
      <c r="E437" s="46" t="str" cm="1">
        <f t="array" ref="E437">IFERROR(_xlfn.LET(
_xlpm.CSVVal,_xlfn.XLOOKUP($A437,CSV!$A:$A,CSV!E:E,""),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_xlpm.CSVVal,_xlfn.XLOOKUP($A437,CSV!$A:$A,CSV!G:G,""),
_xlpm.MacVal,_xlfn.XLOOKUP($A437,Output_Mac!$A:$A,Output_Mac!G:G,""),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_xlfn.XLOOKUP(A437,Output_Mac!A:A,Output_Mac!H:H,"")</f>
        <v/>
      </c>
      <c r="I437" s="45" t="str" cm="1">
        <f t="array" ref="I437">IFERROR(_xlfn.LET(
_xlpm.CSVVal,_xlfn.XLOOKUP($A437,CSV!$A:$A,CSV!H:H,""),
_xlpm.MacVal,_xlfn.XLOOKUP($A437,Output_Mac!$A:$A,Output_Mac!I:I,""),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_xlpm.CSVVal,_xlfn.XLOOKUP($A437,CSV!$A:$A,CSV!J:J,""),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46" t="str" cm="1">
        <f t="array" ref="K437">IFERROR(_xlfn.LET(
_xlpm.CSVVal,_xlfn.XLOOKUP($A437,CSV!$A:$A,CSV!N:N,""),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_xlpm.CSVVal,_xlfn.XLOOKUP($A437,CSV!$A:$A,CSV!P:P,""),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CSV!AE:AE,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_xlpm.CSVVal,_xlfn.XLOOKUP($A437,CSV!$A:$A,CSV!AG:AG,""),
_xlpm.MacVal,_xlfn.XLOOKUP($A437,Output_Mac!$A:$A,Output_Mac!T:T,""),
_xlpm.MyAuditVal,_xlfn.XLOOKUP($A437,My_Audit!$A:$A,My_Audit!O:O,""),
_xlfn.IFS(_xlpm.MyAuditVal&lt;&gt;"",UPPER(_xlpm.MyAuditVal),_xlpm.MacVal&lt;&gt;"",_xlpm.MacVal,_xlpm.CSVVal&lt;&gt;"",_xlpm.CSVVal
)),"")</f>
        <v/>
      </c>
      <c r="O437" s="46" t="str">
        <f>_xlfn.XLOOKUP(C437,My_Audit!B:B,My_Audit!P:P,"")&amp;""</f>
        <v/>
      </c>
      <c r="P437" s="45"/>
      <c r="Q437" s="46" t="str">
        <f>IF(LEFT(N437,4)="Pass","Nist SP 800-88",My_Audit!R437)&amp;""</f>
        <v/>
      </c>
      <c r="R437" s="45"/>
      <c r="S437" s="45"/>
      <c r="T437" s="46" t="str">
        <f>_xlfn.XLOOKUP(E437,Models!I:I,Models!J:J,"")</f>
        <v/>
      </c>
      <c r="U437" s="45"/>
      <c r="V437" s="45"/>
      <c r="W437" s="38" t="str">
        <f>_xlfn.LET(
    _xlpm.MacVal, _xlfn.XLOOKUP($A437, Output_Mac!$A:$A, Output_Mac!AA:AA, ""),
    _xlpm.MyAuditVal, _xlfn.XLOOKUP($A437, My_Audit!$A:$A, My_Audit!L:L, ""),
    _xlfn.TEXTJOIN(", ", TRUE, _xlpm.MyAuditVal, _xlpm.MacVal)
)</f>
        <v/>
      </c>
    </row>
    <row r="438" spans="1:23">
      <c r="A438" s="45" t="str">
        <f>_xlfn.TEXTJOIN("",TRUE,Input!$B$2,ROW(My_Audit!A437))</f>
        <v>CC437</v>
      </c>
      <c r="B438" s="45" t="str">
        <f>_xlfn.TEXTJOIN("-",TRUE,"ITD",Input!$A$2,A438)</f>
        <v>ITD-XXX-CC437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 cm="1">
        <f t="array" ref="D438">IFERROR(_xlfn.LET(
_xlpm.CSVVal,_xlfn.XLOOKUP($A438,CSV!$A:$A,CSV!C:C,""),
_xlpm.MacVal,_xlfn.XLOOKUP($A438,Output_Mac!$A:$A,Output_Mac!D:D,""),
_xlpm.MyAuditVal,_xlfn.XLOOKUP($A438,My_Audit!$A:$A,My_Audit!C:C,""),
_xlfn.IFS(_xlpm.MyAuditVal&lt;&gt;"",UPPER(_xlpm.MyAuditVal),_xlpm.MacVal&lt;&gt;"",_xlpm.MacVal,_xlpm.CSVVal&lt;&gt;"",_xlpm.CSVVal
)),"")</f>
        <v/>
      </c>
      <c r="E438" s="46" t="str" cm="1">
        <f t="array" ref="E438">IFERROR(_xlfn.LET(
_xlpm.CSVVal,_xlfn.XLOOKUP($A438,CSV!$A:$A,CSV!E:E,""),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_xlpm.CSVVal,_xlfn.XLOOKUP($A438,CSV!$A:$A,CSV!G:G,""),
_xlpm.MacVal,_xlfn.XLOOKUP($A438,Output_Mac!$A:$A,Output_Mac!G:G,""),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_xlfn.XLOOKUP(A438,Output_Mac!A:A,Output_Mac!H:H,"")</f>
        <v/>
      </c>
      <c r="I438" s="45" t="str" cm="1">
        <f t="array" ref="I438">IFERROR(_xlfn.LET(
_xlpm.CSVVal,_xlfn.XLOOKUP($A438,CSV!$A:$A,CSV!H:H,""),
_xlpm.MacVal,_xlfn.XLOOKUP($A438,Output_Mac!$A:$A,Output_Mac!I:I,""),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_xlpm.CSVVal,_xlfn.XLOOKUP($A438,CSV!$A:$A,CSV!J:J,""),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46" t="str" cm="1">
        <f t="array" ref="K438">IFERROR(_xlfn.LET(
_xlpm.CSVVal,_xlfn.XLOOKUP($A438,CSV!$A:$A,CSV!N:N,""),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_xlpm.CSVVal,_xlfn.XLOOKUP($A438,CSV!$A:$A,CSV!P:P,""),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CSV!AE:AE,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_xlpm.CSVVal,_xlfn.XLOOKUP($A438,CSV!$A:$A,CSV!AG:AG,""),
_xlpm.MacVal,_xlfn.XLOOKUP($A438,Output_Mac!$A:$A,Output_Mac!T:T,""),
_xlpm.MyAuditVal,_xlfn.XLOOKUP($A438,My_Audit!$A:$A,My_Audit!O:O,""),
_xlfn.IFS(_xlpm.MyAuditVal&lt;&gt;"",UPPER(_xlpm.MyAuditVal),_xlpm.MacVal&lt;&gt;"",_xlpm.MacVal,_xlpm.CSVVal&lt;&gt;"",_xlpm.CSVVal
)),"")</f>
        <v/>
      </c>
      <c r="O438" s="46" t="str">
        <f>_xlfn.XLOOKUP(C438,My_Audit!B:B,My_Audit!P:P,"")&amp;""</f>
        <v/>
      </c>
      <c r="P438" s="45"/>
      <c r="Q438" s="46" t="str">
        <f>IF(LEFT(N438,4)="Pass","Nist SP 800-88",My_Audit!R438)&amp;""</f>
        <v/>
      </c>
      <c r="R438" s="45"/>
      <c r="S438" s="45"/>
      <c r="T438" s="46" t="str">
        <f>_xlfn.XLOOKUP(E438,Models!I:I,Models!J:J,"")</f>
        <v/>
      </c>
      <c r="U438" s="45"/>
      <c r="V438" s="45"/>
      <c r="W438" s="38" t="str">
        <f>_xlfn.LET(
    _xlpm.MacVal, _xlfn.XLOOKUP($A438, Output_Mac!$A:$A, Output_Mac!AA:AA, ""),
    _xlpm.MyAuditVal, _xlfn.XLOOKUP($A438, My_Audit!$A:$A, My_Audit!L:L, ""),
    _xlfn.TEXTJOIN(", ", TRUE, _xlpm.MyAuditVal, _xlpm.MacVal)
)</f>
        <v/>
      </c>
    </row>
    <row r="439" spans="1:23">
      <c r="A439" s="45" t="str">
        <f>_xlfn.TEXTJOIN("",TRUE,Input!$B$2,ROW(My_Audit!A438))</f>
        <v>CC438</v>
      </c>
      <c r="B439" s="45" t="str">
        <f>_xlfn.TEXTJOIN("-",TRUE,"ITD",Input!$A$2,A439)</f>
        <v>ITD-XXX-CC438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 cm="1">
        <f t="array" ref="D439">IFERROR(_xlfn.LET(
_xlpm.CSVVal,_xlfn.XLOOKUP($A439,CSV!$A:$A,CSV!C:C,""),
_xlpm.MacVal,_xlfn.XLOOKUP($A439,Output_Mac!$A:$A,Output_Mac!D:D,""),
_xlpm.MyAuditVal,_xlfn.XLOOKUP($A439,My_Audit!$A:$A,My_Audit!C:C,""),
_xlfn.IFS(_xlpm.MyAuditVal&lt;&gt;"",UPPER(_xlpm.MyAuditVal),_xlpm.MacVal&lt;&gt;"",_xlpm.MacVal,_xlpm.CSVVal&lt;&gt;"",_xlpm.CSVVal
)),"")</f>
        <v/>
      </c>
      <c r="E439" s="46" t="str" cm="1">
        <f t="array" ref="E439">IFERROR(_xlfn.LET(
_xlpm.CSVVal,_xlfn.XLOOKUP($A439,CSV!$A:$A,CSV!E:E,""),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_xlpm.CSVVal,_xlfn.XLOOKUP($A439,CSV!$A:$A,CSV!G:G,""),
_xlpm.MacVal,_xlfn.XLOOKUP($A439,Output_Mac!$A:$A,Output_Mac!G:G,""),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_xlfn.XLOOKUP(A439,Output_Mac!A:A,Output_Mac!H:H,"")</f>
        <v/>
      </c>
      <c r="I439" s="45" t="str" cm="1">
        <f t="array" ref="I439">IFERROR(_xlfn.LET(
_xlpm.CSVVal,_xlfn.XLOOKUP($A439,CSV!$A:$A,CSV!H:H,""),
_xlpm.MacVal,_xlfn.XLOOKUP($A439,Output_Mac!$A:$A,Output_Mac!I:I,""),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_xlpm.CSVVal,_xlfn.XLOOKUP($A439,CSV!$A:$A,CSV!J:J,""),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46" t="str" cm="1">
        <f t="array" ref="K439">IFERROR(_xlfn.LET(
_xlpm.CSVVal,_xlfn.XLOOKUP($A439,CSV!$A:$A,CSV!N:N,""),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_xlpm.CSVVal,_xlfn.XLOOKUP($A439,CSV!$A:$A,CSV!P:P,""),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CSV!AE:AE,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_xlpm.CSVVal,_xlfn.XLOOKUP($A439,CSV!$A:$A,CSV!AG:AG,""),
_xlpm.MacVal,_xlfn.XLOOKUP($A439,Output_Mac!$A:$A,Output_Mac!T:T,""),
_xlpm.MyAuditVal,_xlfn.XLOOKUP($A439,My_Audit!$A:$A,My_Audit!O:O,""),
_xlfn.IFS(_xlpm.MyAuditVal&lt;&gt;"",UPPER(_xlpm.MyAuditVal),_xlpm.MacVal&lt;&gt;"",_xlpm.MacVal,_xlpm.CSVVal&lt;&gt;"",_xlpm.CSVVal
)),"")</f>
        <v/>
      </c>
      <c r="O439" s="46" t="str">
        <f>_xlfn.XLOOKUP(C439,My_Audit!B:B,My_Audit!P:P,"")&amp;""</f>
        <v/>
      </c>
      <c r="P439" s="45"/>
      <c r="Q439" s="46" t="str">
        <f>IF(LEFT(N439,4)="Pass","Nist SP 800-88",My_Audit!R439)&amp;""</f>
        <v/>
      </c>
      <c r="R439" s="45"/>
      <c r="S439" s="45"/>
      <c r="T439" s="46" t="str">
        <f>_xlfn.XLOOKUP(E439,Models!I:I,Models!J:J,"")</f>
        <v/>
      </c>
      <c r="U439" s="45"/>
      <c r="V439" s="45"/>
      <c r="W439" s="38" t="str">
        <f>_xlfn.LET(
    _xlpm.MacVal, _xlfn.XLOOKUP($A439, Output_Mac!$A:$A, Output_Mac!AA:AA, ""),
    _xlpm.MyAuditVal, _xlfn.XLOOKUP($A439, My_Audit!$A:$A, My_Audit!L:L, ""),
    _xlfn.TEXTJOIN(", ", TRUE, _xlpm.MyAuditVal, _xlpm.MacVal)
)</f>
        <v/>
      </c>
    </row>
    <row r="440" spans="1:23">
      <c r="A440" s="45" t="str">
        <f>_xlfn.TEXTJOIN("",TRUE,Input!$B$2,ROW(My_Audit!A439))</f>
        <v>CC439</v>
      </c>
      <c r="B440" s="45" t="str">
        <f>_xlfn.TEXTJOIN("-",TRUE,"ITD",Input!$A$2,A440)</f>
        <v>ITD-XXX-CC439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 cm="1">
        <f t="array" ref="D440">IFERROR(_xlfn.LET(
_xlpm.CSVVal,_xlfn.XLOOKUP($A440,CSV!$A:$A,CSV!C:C,""),
_xlpm.MacVal,_xlfn.XLOOKUP($A440,Output_Mac!$A:$A,Output_Mac!D:D,""),
_xlpm.MyAuditVal,_xlfn.XLOOKUP($A440,My_Audit!$A:$A,My_Audit!C:C,""),
_xlfn.IFS(_xlpm.MyAuditVal&lt;&gt;"",UPPER(_xlpm.MyAuditVal),_xlpm.MacVal&lt;&gt;"",_xlpm.MacVal,_xlpm.CSVVal&lt;&gt;"",_xlpm.CSVVal
)),"")</f>
        <v/>
      </c>
      <c r="E440" s="46" t="str" cm="1">
        <f t="array" ref="E440">IFERROR(_xlfn.LET(
_xlpm.CSVVal,_xlfn.XLOOKUP($A440,CSV!$A:$A,CSV!E:E,""),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_xlpm.CSVVal,_xlfn.XLOOKUP($A440,CSV!$A:$A,CSV!G:G,""),
_xlpm.MacVal,_xlfn.XLOOKUP($A440,Output_Mac!$A:$A,Output_Mac!G:G,""),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_xlfn.XLOOKUP(A440,Output_Mac!A:A,Output_Mac!H:H,"")</f>
        <v/>
      </c>
      <c r="I440" s="45" t="str" cm="1">
        <f t="array" ref="I440">IFERROR(_xlfn.LET(
_xlpm.CSVVal,_xlfn.XLOOKUP($A440,CSV!$A:$A,CSV!H:H,""),
_xlpm.MacVal,_xlfn.XLOOKUP($A440,Output_Mac!$A:$A,Output_Mac!I:I,""),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_xlpm.CSVVal,_xlfn.XLOOKUP($A440,CSV!$A:$A,CSV!J:J,""),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46" t="str" cm="1">
        <f t="array" ref="K440">IFERROR(_xlfn.LET(
_xlpm.CSVVal,_xlfn.XLOOKUP($A440,CSV!$A:$A,CSV!N:N,""),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_xlpm.CSVVal,_xlfn.XLOOKUP($A440,CSV!$A:$A,CSV!P:P,""),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CSV!AE:AE,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_xlpm.CSVVal,_xlfn.XLOOKUP($A440,CSV!$A:$A,CSV!AG:AG,""),
_xlpm.MacVal,_xlfn.XLOOKUP($A440,Output_Mac!$A:$A,Output_Mac!T:T,""),
_xlpm.MyAuditVal,_xlfn.XLOOKUP($A440,My_Audit!$A:$A,My_Audit!O:O,""),
_xlfn.IFS(_xlpm.MyAuditVal&lt;&gt;"",UPPER(_xlpm.MyAuditVal),_xlpm.MacVal&lt;&gt;"",_xlpm.MacVal,_xlpm.CSVVal&lt;&gt;"",_xlpm.CSVVal
)),"")</f>
        <v/>
      </c>
      <c r="O440" s="46" t="str">
        <f>_xlfn.XLOOKUP(C440,My_Audit!B:B,My_Audit!P:P,"")&amp;""</f>
        <v/>
      </c>
      <c r="P440" s="45"/>
      <c r="Q440" s="46" t="str">
        <f>IF(LEFT(N440,4)="Pass","Nist SP 800-88",My_Audit!R440)&amp;""</f>
        <v/>
      </c>
      <c r="R440" s="45"/>
      <c r="S440" s="45"/>
      <c r="T440" s="46" t="str">
        <f>_xlfn.XLOOKUP(E440,Models!I:I,Models!J:J,"")</f>
        <v/>
      </c>
      <c r="U440" s="45"/>
      <c r="V440" s="45"/>
      <c r="W440" s="38" t="str">
        <f>_xlfn.LET(
    _xlpm.MacVal, _xlfn.XLOOKUP($A440, Output_Mac!$A:$A, Output_Mac!AA:AA, ""),
    _xlpm.MyAuditVal, _xlfn.XLOOKUP($A440, My_Audit!$A:$A, My_Audit!L:L, ""),
    _xlfn.TEXTJOIN(", ", TRUE, _xlpm.MyAuditVal, _xlpm.MacVal)
)</f>
        <v/>
      </c>
    </row>
    <row r="441" spans="1:23">
      <c r="A441" s="45" t="str">
        <f>_xlfn.TEXTJOIN("",TRUE,Input!$B$2,ROW(My_Audit!A440))</f>
        <v>CC440</v>
      </c>
      <c r="B441" s="45" t="str">
        <f>_xlfn.TEXTJOIN("-",TRUE,"ITD",Input!$A$2,A441)</f>
        <v>ITD-XXX-CC440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 cm="1">
        <f t="array" ref="D441">IFERROR(_xlfn.LET(
_xlpm.CSVVal,_xlfn.XLOOKUP($A441,CSV!$A:$A,CSV!C:C,""),
_xlpm.MacVal,_xlfn.XLOOKUP($A441,Output_Mac!$A:$A,Output_Mac!D:D,""),
_xlpm.MyAuditVal,_xlfn.XLOOKUP($A441,My_Audit!$A:$A,My_Audit!C:C,""),
_xlfn.IFS(_xlpm.MyAuditVal&lt;&gt;"",UPPER(_xlpm.MyAuditVal),_xlpm.MacVal&lt;&gt;"",_xlpm.MacVal,_xlpm.CSVVal&lt;&gt;"",_xlpm.CSVVal
)),"")</f>
        <v/>
      </c>
      <c r="E441" s="46" t="str" cm="1">
        <f t="array" ref="E441">IFERROR(_xlfn.LET(
_xlpm.CSVVal,_xlfn.XLOOKUP($A441,CSV!$A:$A,CSV!E:E,""),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_xlpm.CSVVal,_xlfn.XLOOKUP($A441,CSV!$A:$A,CSV!G:G,""),
_xlpm.MacVal,_xlfn.XLOOKUP($A441,Output_Mac!$A:$A,Output_Mac!G:G,""),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_xlfn.XLOOKUP(A441,Output_Mac!A:A,Output_Mac!H:H,"")</f>
        <v/>
      </c>
      <c r="I441" s="45" t="str" cm="1">
        <f t="array" ref="I441">IFERROR(_xlfn.LET(
_xlpm.CSVVal,_xlfn.XLOOKUP($A441,CSV!$A:$A,CSV!H:H,""),
_xlpm.MacVal,_xlfn.XLOOKUP($A441,Output_Mac!$A:$A,Output_Mac!I:I,""),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_xlpm.CSVVal,_xlfn.XLOOKUP($A441,CSV!$A:$A,CSV!J:J,""),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46" t="str" cm="1">
        <f t="array" ref="K441">IFERROR(_xlfn.LET(
_xlpm.CSVVal,_xlfn.XLOOKUP($A441,CSV!$A:$A,CSV!N:N,""),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_xlpm.CSVVal,_xlfn.XLOOKUP($A441,CSV!$A:$A,CSV!P:P,""),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CSV!AE:AE,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_xlpm.CSVVal,_xlfn.XLOOKUP($A441,CSV!$A:$A,CSV!AG:AG,""),
_xlpm.MacVal,_xlfn.XLOOKUP($A441,Output_Mac!$A:$A,Output_Mac!T:T,""),
_xlpm.MyAuditVal,_xlfn.XLOOKUP($A441,My_Audit!$A:$A,My_Audit!O:O,""),
_xlfn.IFS(_xlpm.MyAuditVal&lt;&gt;"",UPPER(_xlpm.MyAuditVal),_xlpm.MacVal&lt;&gt;"",_xlpm.MacVal,_xlpm.CSVVal&lt;&gt;"",_xlpm.CSVVal
)),"")</f>
        <v/>
      </c>
      <c r="O441" s="46" t="str">
        <f>_xlfn.XLOOKUP(C441,My_Audit!B:B,My_Audit!P:P,"")&amp;""</f>
        <v/>
      </c>
      <c r="P441" s="45"/>
      <c r="Q441" s="46" t="str">
        <f>IF(LEFT(N441,4)="Pass","Nist SP 800-88",My_Audit!R441)&amp;""</f>
        <v/>
      </c>
      <c r="R441" s="45"/>
      <c r="S441" s="45"/>
      <c r="T441" s="46" t="str">
        <f>_xlfn.XLOOKUP(E441,Models!I:I,Models!J:J,"")</f>
        <v/>
      </c>
      <c r="U441" s="45"/>
      <c r="V441" s="45"/>
      <c r="W441" s="38" t="str">
        <f>_xlfn.LET(
    _xlpm.MacVal, _xlfn.XLOOKUP($A441, Output_Mac!$A:$A, Output_Mac!AA:AA, ""),
    _xlpm.MyAuditVal, _xlfn.XLOOKUP($A441, My_Audit!$A:$A, My_Audit!L:L, ""),
    _xlfn.TEXTJOIN(", ", TRUE, _xlpm.MyAuditVal, _xlpm.MacVal)
)</f>
        <v/>
      </c>
    </row>
    <row r="442" spans="1:23">
      <c r="A442" s="45" t="str">
        <f>_xlfn.TEXTJOIN("",TRUE,Input!$B$2,ROW(My_Audit!A441))</f>
        <v>CC441</v>
      </c>
      <c r="B442" s="45" t="str">
        <f>_xlfn.TEXTJOIN("-",TRUE,"ITD",Input!$A$2,A442)</f>
        <v>ITD-XXX-CC441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 cm="1">
        <f t="array" ref="D442">IFERROR(_xlfn.LET(
_xlpm.CSVVal,_xlfn.XLOOKUP($A442,CSV!$A:$A,CSV!C:C,""),
_xlpm.MacVal,_xlfn.XLOOKUP($A442,Output_Mac!$A:$A,Output_Mac!D:D,""),
_xlpm.MyAuditVal,_xlfn.XLOOKUP($A442,My_Audit!$A:$A,My_Audit!C:C,""),
_xlfn.IFS(_xlpm.MyAuditVal&lt;&gt;"",UPPER(_xlpm.MyAuditVal),_xlpm.MacVal&lt;&gt;"",_xlpm.MacVal,_xlpm.CSVVal&lt;&gt;"",_xlpm.CSVVal
)),"")</f>
        <v/>
      </c>
      <c r="E442" s="46" t="str" cm="1">
        <f t="array" ref="E442">IFERROR(_xlfn.LET(
_xlpm.CSVVal,_xlfn.XLOOKUP($A442,CSV!$A:$A,CSV!E:E,""),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_xlpm.CSVVal,_xlfn.XLOOKUP($A442,CSV!$A:$A,CSV!G:G,""),
_xlpm.MacVal,_xlfn.XLOOKUP($A442,Output_Mac!$A:$A,Output_Mac!G:G,""),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_xlfn.XLOOKUP(A442,Output_Mac!A:A,Output_Mac!H:H,"")</f>
        <v/>
      </c>
      <c r="I442" s="45" t="str" cm="1">
        <f t="array" ref="I442">IFERROR(_xlfn.LET(
_xlpm.CSVVal,_xlfn.XLOOKUP($A442,CSV!$A:$A,CSV!H:H,""),
_xlpm.MacVal,_xlfn.XLOOKUP($A442,Output_Mac!$A:$A,Output_Mac!I:I,""),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_xlpm.CSVVal,_xlfn.XLOOKUP($A442,CSV!$A:$A,CSV!J:J,""),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46" t="str" cm="1">
        <f t="array" ref="K442">IFERROR(_xlfn.LET(
_xlpm.CSVVal,_xlfn.XLOOKUP($A442,CSV!$A:$A,CSV!N:N,""),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_xlpm.CSVVal,_xlfn.XLOOKUP($A442,CSV!$A:$A,CSV!P:P,""),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CSV!AE:AE,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_xlpm.CSVVal,_xlfn.XLOOKUP($A442,CSV!$A:$A,CSV!AG:AG,""),
_xlpm.MacVal,_xlfn.XLOOKUP($A442,Output_Mac!$A:$A,Output_Mac!T:T,""),
_xlpm.MyAuditVal,_xlfn.XLOOKUP($A442,My_Audit!$A:$A,My_Audit!O:O,""),
_xlfn.IFS(_xlpm.MyAuditVal&lt;&gt;"",UPPER(_xlpm.MyAuditVal),_xlpm.MacVal&lt;&gt;"",_xlpm.MacVal,_xlpm.CSVVal&lt;&gt;"",_xlpm.CSVVal
)),"")</f>
        <v/>
      </c>
      <c r="O442" s="46" t="str">
        <f>_xlfn.XLOOKUP(C442,My_Audit!B:B,My_Audit!P:P,"")&amp;""</f>
        <v/>
      </c>
      <c r="P442" s="45"/>
      <c r="Q442" s="46" t="str">
        <f>IF(LEFT(N442,4)="Pass","Nist SP 800-88",My_Audit!R442)&amp;""</f>
        <v/>
      </c>
      <c r="R442" s="45"/>
      <c r="S442" s="45"/>
      <c r="T442" s="46" t="str">
        <f>_xlfn.XLOOKUP(E442,Models!I:I,Models!J:J,"")</f>
        <v/>
      </c>
      <c r="U442" s="45"/>
      <c r="V442" s="45"/>
      <c r="W442" s="38" t="str">
        <f>_xlfn.LET(
    _xlpm.MacVal, _xlfn.XLOOKUP($A442, Output_Mac!$A:$A, Output_Mac!AA:AA, ""),
    _xlpm.MyAuditVal, _xlfn.XLOOKUP($A442, My_Audit!$A:$A, My_Audit!L:L, ""),
    _xlfn.TEXTJOIN(", ", TRUE, _xlpm.MyAuditVal, _xlpm.MacVal)
)</f>
        <v/>
      </c>
    </row>
    <row r="443" spans="1:23">
      <c r="A443" s="45" t="str">
        <f>_xlfn.TEXTJOIN("",TRUE,Input!$B$2,ROW(My_Audit!A442))</f>
        <v>CC442</v>
      </c>
      <c r="B443" s="45" t="str">
        <f>_xlfn.TEXTJOIN("-",TRUE,"ITD",Input!$A$2,A443)</f>
        <v>ITD-XXX-CC442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 cm="1">
        <f t="array" ref="D443">IFERROR(_xlfn.LET(
_xlpm.CSVVal,_xlfn.XLOOKUP($A443,CSV!$A:$A,CSV!C:C,""),
_xlpm.MacVal,_xlfn.XLOOKUP($A443,Output_Mac!$A:$A,Output_Mac!D:D,""),
_xlpm.MyAuditVal,_xlfn.XLOOKUP($A443,My_Audit!$A:$A,My_Audit!C:C,""),
_xlfn.IFS(_xlpm.MyAuditVal&lt;&gt;"",UPPER(_xlpm.MyAuditVal),_xlpm.MacVal&lt;&gt;"",_xlpm.MacVal,_xlpm.CSVVal&lt;&gt;"",_xlpm.CSVVal
)),"")</f>
        <v/>
      </c>
      <c r="E443" s="46" t="str" cm="1">
        <f t="array" ref="E443">IFERROR(_xlfn.LET(
_xlpm.CSVVal,_xlfn.XLOOKUP($A443,CSV!$A:$A,CSV!E:E,""),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_xlpm.CSVVal,_xlfn.XLOOKUP($A443,CSV!$A:$A,CSV!G:G,""),
_xlpm.MacVal,_xlfn.XLOOKUP($A443,Output_Mac!$A:$A,Output_Mac!G:G,""),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_xlfn.XLOOKUP(A443,Output_Mac!A:A,Output_Mac!H:H,"")</f>
        <v/>
      </c>
      <c r="I443" s="45" t="str" cm="1">
        <f t="array" ref="I443">IFERROR(_xlfn.LET(
_xlpm.CSVVal,_xlfn.XLOOKUP($A443,CSV!$A:$A,CSV!H:H,""),
_xlpm.MacVal,_xlfn.XLOOKUP($A443,Output_Mac!$A:$A,Output_Mac!I:I,""),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_xlpm.CSVVal,_xlfn.XLOOKUP($A443,CSV!$A:$A,CSV!J:J,""),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46" t="str" cm="1">
        <f t="array" ref="K443">IFERROR(_xlfn.LET(
_xlpm.CSVVal,_xlfn.XLOOKUP($A443,CSV!$A:$A,CSV!N:N,""),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_xlpm.CSVVal,_xlfn.XLOOKUP($A443,CSV!$A:$A,CSV!P:P,""),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CSV!AE:AE,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_xlpm.CSVVal,_xlfn.XLOOKUP($A443,CSV!$A:$A,CSV!AG:AG,""),
_xlpm.MacVal,_xlfn.XLOOKUP($A443,Output_Mac!$A:$A,Output_Mac!T:T,""),
_xlpm.MyAuditVal,_xlfn.XLOOKUP($A443,My_Audit!$A:$A,My_Audit!O:O,""),
_xlfn.IFS(_xlpm.MyAuditVal&lt;&gt;"",UPPER(_xlpm.MyAuditVal),_xlpm.MacVal&lt;&gt;"",_xlpm.MacVal,_xlpm.CSVVal&lt;&gt;"",_xlpm.CSVVal
)),"")</f>
        <v/>
      </c>
      <c r="O443" s="46" t="str">
        <f>_xlfn.XLOOKUP(C443,My_Audit!B:B,My_Audit!P:P,"")&amp;""</f>
        <v/>
      </c>
      <c r="P443" s="45"/>
      <c r="Q443" s="46" t="str">
        <f>IF(LEFT(N443,4)="Pass","Nist SP 800-88",My_Audit!R443)&amp;""</f>
        <v/>
      </c>
      <c r="R443" s="45"/>
      <c r="S443" s="45"/>
      <c r="T443" s="46" t="str">
        <f>_xlfn.XLOOKUP(E443,Models!I:I,Models!J:J,"")</f>
        <v/>
      </c>
      <c r="U443" s="45"/>
      <c r="V443" s="45"/>
      <c r="W443" s="38" t="str">
        <f>_xlfn.LET(
    _xlpm.MacVal, _xlfn.XLOOKUP($A443, Output_Mac!$A:$A, Output_Mac!AA:AA, ""),
    _xlpm.MyAuditVal, _xlfn.XLOOKUP($A443, My_Audit!$A:$A, My_Audit!L:L, ""),
    _xlfn.TEXTJOIN(", ", TRUE, _xlpm.MyAuditVal, _xlpm.MacVal)
)</f>
        <v/>
      </c>
    </row>
    <row r="444" spans="1:23">
      <c r="A444" s="45" t="str">
        <f>_xlfn.TEXTJOIN("",TRUE,Input!$B$2,ROW(My_Audit!A443))</f>
        <v>CC443</v>
      </c>
      <c r="B444" s="45" t="str">
        <f>_xlfn.TEXTJOIN("-",TRUE,"ITD",Input!$A$2,A444)</f>
        <v>ITD-XXX-CC443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 cm="1">
        <f t="array" ref="D444">IFERROR(_xlfn.LET(
_xlpm.CSVVal,_xlfn.XLOOKUP($A444,CSV!$A:$A,CSV!C:C,""),
_xlpm.MacVal,_xlfn.XLOOKUP($A444,Output_Mac!$A:$A,Output_Mac!D:D,""),
_xlpm.MyAuditVal,_xlfn.XLOOKUP($A444,My_Audit!$A:$A,My_Audit!C:C,""),
_xlfn.IFS(_xlpm.MyAuditVal&lt;&gt;"",UPPER(_xlpm.MyAuditVal),_xlpm.MacVal&lt;&gt;"",_xlpm.MacVal,_xlpm.CSVVal&lt;&gt;"",_xlpm.CSVVal
)),"")</f>
        <v/>
      </c>
      <c r="E444" s="46" t="str" cm="1">
        <f t="array" ref="E444">IFERROR(_xlfn.LET(
_xlpm.CSVVal,_xlfn.XLOOKUP($A444,CSV!$A:$A,CSV!E:E,""),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_xlpm.CSVVal,_xlfn.XLOOKUP($A444,CSV!$A:$A,CSV!G:G,""),
_xlpm.MacVal,_xlfn.XLOOKUP($A444,Output_Mac!$A:$A,Output_Mac!G:G,""),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_xlfn.XLOOKUP(A444,Output_Mac!A:A,Output_Mac!H:H,"")</f>
        <v/>
      </c>
      <c r="I444" s="45" t="str" cm="1">
        <f t="array" ref="I444">IFERROR(_xlfn.LET(
_xlpm.CSVVal,_xlfn.XLOOKUP($A444,CSV!$A:$A,CSV!H:H,""),
_xlpm.MacVal,_xlfn.XLOOKUP($A444,Output_Mac!$A:$A,Output_Mac!I:I,""),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_xlpm.CSVVal,_xlfn.XLOOKUP($A444,CSV!$A:$A,CSV!J:J,""),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46" t="str" cm="1">
        <f t="array" ref="K444">IFERROR(_xlfn.LET(
_xlpm.CSVVal,_xlfn.XLOOKUP($A444,CSV!$A:$A,CSV!N:N,""),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_xlpm.CSVVal,_xlfn.XLOOKUP($A444,CSV!$A:$A,CSV!P:P,""),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CSV!AE:AE,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_xlpm.CSVVal,_xlfn.XLOOKUP($A444,CSV!$A:$A,CSV!AG:AG,""),
_xlpm.MacVal,_xlfn.XLOOKUP($A444,Output_Mac!$A:$A,Output_Mac!T:T,""),
_xlpm.MyAuditVal,_xlfn.XLOOKUP($A444,My_Audit!$A:$A,My_Audit!O:O,""),
_xlfn.IFS(_xlpm.MyAuditVal&lt;&gt;"",UPPER(_xlpm.MyAuditVal),_xlpm.MacVal&lt;&gt;"",_xlpm.MacVal,_xlpm.CSVVal&lt;&gt;"",_xlpm.CSVVal
)),"")</f>
        <v/>
      </c>
      <c r="O444" s="46" t="str">
        <f>_xlfn.XLOOKUP(C444,My_Audit!B:B,My_Audit!P:P,"")&amp;""</f>
        <v/>
      </c>
      <c r="P444" s="45"/>
      <c r="Q444" s="46" t="str">
        <f>IF(LEFT(N444,4)="Pass","Nist SP 800-88",My_Audit!R444)&amp;""</f>
        <v/>
      </c>
      <c r="R444" s="45"/>
      <c r="S444" s="45"/>
      <c r="T444" s="46" t="str">
        <f>_xlfn.XLOOKUP(E444,Models!I:I,Models!J:J,"")</f>
        <v/>
      </c>
      <c r="U444" s="45"/>
      <c r="V444" s="45"/>
      <c r="W444" s="38" t="str">
        <f>_xlfn.LET(
    _xlpm.MacVal, _xlfn.XLOOKUP($A444, Output_Mac!$A:$A, Output_Mac!AA:AA, ""),
    _xlpm.MyAuditVal, _xlfn.XLOOKUP($A444, My_Audit!$A:$A, My_Audit!L:L, ""),
    _xlfn.TEXTJOIN(", ", TRUE, _xlpm.MyAuditVal, _xlpm.MacVal)
)</f>
        <v/>
      </c>
    </row>
    <row r="445" spans="1:23">
      <c r="A445" s="45" t="str">
        <f>_xlfn.TEXTJOIN("",TRUE,Input!$B$2,ROW(My_Audit!A444))</f>
        <v>CC444</v>
      </c>
      <c r="B445" s="45" t="str">
        <f>_xlfn.TEXTJOIN("-",TRUE,"ITD",Input!$A$2,A445)</f>
        <v>ITD-XXX-CC444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 cm="1">
        <f t="array" ref="D445">IFERROR(_xlfn.LET(
_xlpm.CSVVal,_xlfn.XLOOKUP($A445,CSV!$A:$A,CSV!C:C,""),
_xlpm.MacVal,_xlfn.XLOOKUP($A445,Output_Mac!$A:$A,Output_Mac!D:D,""),
_xlpm.MyAuditVal,_xlfn.XLOOKUP($A445,My_Audit!$A:$A,My_Audit!C:C,""),
_xlfn.IFS(_xlpm.MyAuditVal&lt;&gt;"",UPPER(_xlpm.MyAuditVal),_xlpm.MacVal&lt;&gt;"",_xlpm.MacVal,_xlpm.CSVVal&lt;&gt;"",_xlpm.CSVVal
)),"")</f>
        <v/>
      </c>
      <c r="E445" s="46" t="str" cm="1">
        <f t="array" ref="E445">IFERROR(_xlfn.LET(
_xlpm.CSVVal,_xlfn.XLOOKUP($A445,CSV!$A:$A,CSV!E:E,""),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_xlpm.CSVVal,_xlfn.XLOOKUP($A445,CSV!$A:$A,CSV!G:G,""),
_xlpm.MacVal,_xlfn.XLOOKUP($A445,Output_Mac!$A:$A,Output_Mac!G:G,""),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_xlfn.XLOOKUP(A445,Output_Mac!A:A,Output_Mac!H:H,"")</f>
        <v/>
      </c>
      <c r="I445" s="45" t="str" cm="1">
        <f t="array" ref="I445">IFERROR(_xlfn.LET(
_xlpm.CSVVal,_xlfn.XLOOKUP($A445,CSV!$A:$A,CSV!H:H,""),
_xlpm.MacVal,_xlfn.XLOOKUP($A445,Output_Mac!$A:$A,Output_Mac!I:I,""),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_xlpm.CSVVal,_xlfn.XLOOKUP($A445,CSV!$A:$A,CSV!J:J,""),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46" t="str" cm="1">
        <f t="array" ref="K445">IFERROR(_xlfn.LET(
_xlpm.CSVVal,_xlfn.XLOOKUP($A445,CSV!$A:$A,CSV!N:N,""),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_xlpm.CSVVal,_xlfn.XLOOKUP($A445,CSV!$A:$A,CSV!P:P,""),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CSV!AE:AE,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_xlpm.CSVVal,_xlfn.XLOOKUP($A445,CSV!$A:$A,CSV!AG:AG,""),
_xlpm.MacVal,_xlfn.XLOOKUP($A445,Output_Mac!$A:$A,Output_Mac!T:T,""),
_xlpm.MyAuditVal,_xlfn.XLOOKUP($A445,My_Audit!$A:$A,My_Audit!O:O,""),
_xlfn.IFS(_xlpm.MyAuditVal&lt;&gt;"",UPPER(_xlpm.MyAuditVal),_xlpm.MacVal&lt;&gt;"",_xlpm.MacVal,_xlpm.CSVVal&lt;&gt;"",_xlpm.CSVVal
)),"")</f>
        <v/>
      </c>
      <c r="O445" s="46" t="str">
        <f>_xlfn.XLOOKUP(C445,My_Audit!B:B,My_Audit!P:P,"")&amp;""</f>
        <v/>
      </c>
      <c r="P445" s="45"/>
      <c r="Q445" s="46" t="str">
        <f>IF(LEFT(N445,4)="Pass","Nist SP 800-88",My_Audit!R445)&amp;""</f>
        <v/>
      </c>
      <c r="R445" s="45"/>
      <c r="S445" s="45"/>
      <c r="T445" s="46" t="str">
        <f>_xlfn.XLOOKUP(E445,Models!I:I,Models!J:J,"")</f>
        <v/>
      </c>
      <c r="U445" s="45"/>
      <c r="V445" s="45"/>
      <c r="W445" s="38" t="str">
        <f>_xlfn.LET(
    _xlpm.MacVal, _xlfn.XLOOKUP($A445, Output_Mac!$A:$A, Output_Mac!AA:AA, ""),
    _xlpm.MyAuditVal, _xlfn.XLOOKUP($A445, My_Audit!$A:$A, My_Audit!L:L, ""),
    _xlfn.TEXTJOIN(", ", TRUE, _xlpm.MyAuditVal, _xlpm.MacVal)
)</f>
        <v/>
      </c>
    </row>
    <row r="446" spans="1:23">
      <c r="A446" s="45" t="str">
        <f>_xlfn.TEXTJOIN("",TRUE,Input!$B$2,ROW(My_Audit!A445))</f>
        <v>CC445</v>
      </c>
      <c r="B446" s="45" t="str">
        <f>_xlfn.TEXTJOIN("-",TRUE,"ITD",Input!$A$2,A446)</f>
        <v>ITD-XXX-CC445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 cm="1">
        <f t="array" ref="D446">IFERROR(_xlfn.LET(
_xlpm.CSVVal,_xlfn.XLOOKUP($A446,CSV!$A:$A,CSV!C:C,""),
_xlpm.MacVal,_xlfn.XLOOKUP($A446,Output_Mac!$A:$A,Output_Mac!D:D,""),
_xlpm.MyAuditVal,_xlfn.XLOOKUP($A446,My_Audit!$A:$A,My_Audit!C:C,""),
_xlfn.IFS(_xlpm.MyAuditVal&lt;&gt;"",UPPER(_xlpm.MyAuditVal),_xlpm.MacVal&lt;&gt;"",_xlpm.MacVal,_xlpm.CSVVal&lt;&gt;"",_xlpm.CSVVal
)),"")</f>
        <v/>
      </c>
      <c r="E446" s="46" t="str" cm="1">
        <f t="array" ref="E446">IFERROR(_xlfn.LET(
_xlpm.CSVVal,_xlfn.XLOOKUP($A446,CSV!$A:$A,CSV!E:E,""),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_xlpm.CSVVal,_xlfn.XLOOKUP($A446,CSV!$A:$A,CSV!G:G,""),
_xlpm.MacVal,_xlfn.XLOOKUP($A446,Output_Mac!$A:$A,Output_Mac!G:G,""),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_xlfn.XLOOKUP(A446,Output_Mac!A:A,Output_Mac!H:H,"")</f>
        <v/>
      </c>
      <c r="I446" s="45" t="str" cm="1">
        <f t="array" ref="I446">IFERROR(_xlfn.LET(
_xlpm.CSVVal,_xlfn.XLOOKUP($A446,CSV!$A:$A,CSV!H:H,""),
_xlpm.MacVal,_xlfn.XLOOKUP($A446,Output_Mac!$A:$A,Output_Mac!I:I,""),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_xlpm.CSVVal,_xlfn.XLOOKUP($A446,CSV!$A:$A,CSV!J:J,""),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46" t="str" cm="1">
        <f t="array" ref="K446">IFERROR(_xlfn.LET(
_xlpm.CSVVal,_xlfn.XLOOKUP($A446,CSV!$A:$A,CSV!N:N,""),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_xlpm.CSVVal,_xlfn.XLOOKUP($A446,CSV!$A:$A,CSV!P:P,""),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CSV!AE:AE,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_xlpm.CSVVal,_xlfn.XLOOKUP($A446,CSV!$A:$A,CSV!AG:AG,""),
_xlpm.MacVal,_xlfn.XLOOKUP($A446,Output_Mac!$A:$A,Output_Mac!T:T,""),
_xlpm.MyAuditVal,_xlfn.XLOOKUP($A446,My_Audit!$A:$A,My_Audit!O:O,""),
_xlfn.IFS(_xlpm.MyAuditVal&lt;&gt;"",UPPER(_xlpm.MyAuditVal),_xlpm.MacVal&lt;&gt;"",_xlpm.MacVal,_xlpm.CSVVal&lt;&gt;"",_xlpm.CSVVal
)),"")</f>
        <v/>
      </c>
      <c r="O446" s="46" t="str">
        <f>_xlfn.XLOOKUP(C446,My_Audit!B:B,My_Audit!P:P,"")&amp;""</f>
        <v/>
      </c>
      <c r="P446" s="45"/>
      <c r="Q446" s="46" t="str">
        <f>IF(LEFT(N446,4)="Pass","Nist SP 800-88",My_Audit!R446)&amp;""</f>
        <v/>
      </c>
      <c r="R446" s="45"/>
      <c r="S446" s="45"/>
      <c r="T446" s="46" t="str">
        <f>_xlfn.XLOOKUP(E446,Models!I:I,Models!J:J,"")</f>
        <v/>
      </c>
      <c r="U446" s="45"/>
      <c r="V446" s="45"/>
      <c r="W446" s="38" t="str">
        <f>_xlfn.LET(
    _xlpm.MacVal, _xlfn.XLOOKUP($A446, Output_Mac!$A:$A, Output_Mac!AA:AA, ""),
    _xlpm.MyAuditVal, _xlfn.XLOOKUP($A446, My_Audit!$A:$A, My_Audit!L:L, ""),
    _xlfn.TEXTJOIN(", ", TRUE, _xlpm.MyAuditVal, _xlpm.MacVal)
)</f>
        <v/>
      </c>
    </row>
    <row r="447" spans="1:23">
      <c r="A447" s="45" t="str">
        <f>_xlfn.TEXTJOIN("",TRUE,Input!$B$2,ROW(My_Audit!A446))</f>
        <v>CC446</v>
      </c>
      <c r="B447" s="45" t="str">
        <f>_xlfn.TEXTJOIN("-",TRUE,"ITD",Input!$A$2,A447)</f>
        <v>ITD-XXX-CC446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 cm="1">
        <f t="array" ref="D447">IFERROR(_xlfn.LET(
_xlpm.CSVVal,_xlfn.XLOOKUP($A447,CSV!$A:$A,CSV!C:C,""),
_xlpm.MacVal,_xlfn.XLOOKUP($A447,Output_Mac!$A:$A,Output_Mac!D:D,""),
_xlpm.MyAuditVal,_xlfn.XLOOKUP($A447,My_Audit!$A:$A,My_Audit!C:C,""),
_xlfn.IFS(_xlpm.MyAuditVal&lt;&gt;"",UPPER(_xlpm.MyAuditVal),_xlpm.MacVal&lt;&gt;"",_xlpm.MacVal,_xlpm.CSVVal&lt;&gt;"",_xlpm.CSVVal
)),"")</f>
        <v/>
      </c>
      <c r="E447" s="46" t="str" cm="1">
        <f t="array" ref="E447">IFERROR(_xlfn.LET(
_xlpm.CSVVal,_xlfn.XLOOKUP($A447,CSV!$A:$A,CSV!E:E,""),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_xlpm.CSVVal,_xlfn.XLOOKUP($A447,CSV!$A:$A,CSV!G:G,""),
_xlpm.MacVal,_xlfn.XLOOKUP($A447,Output_Mac!$A:$A,Output_Mac!G:G,""),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_xlfn.XLOOKUP(A447,Output_Mac!A:A,Output_Mac!H:H,"")</f>
        <v/>
      </c>
      <c r="I447" s="45" t="str" cm="1">
        <f t="array" ref="I447">IFERROR(_xlfn.LET(
_xlpm.CSVVal,_xlfn.XLOOKUP($A447,CSV!$A:$A,CSV!H:H,""),
_xlpm.MacVal,_xlfn.XLOOKUP($A447,Output_Mac!$A:$A,Output_Mac!I:I,""),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_xlpm.CSVVal,_xlfn.XLOOKUP($A447,CSV!$A:$A,CSV!J:J,""),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46" t="str" cm="1">
        <f t="array" ref="K447">IFERROR(_xlfn.LET(
_xlpm.CSVVal,_xlfn.XLOOKUP($A447,CSV!$A:$A,CSV!N:N,""),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_xlpm.CSVVal,_xlfn.XLOOKUP($A447,CSV!$A:$A,CSV!P:P,""),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CSV!AE:AE,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_xlpm.CSVVal,_xlfn.XLOOKUP($A447,CSV!$A:$A,CSV!AG:AG,""),
_xlpm.MacVal,_xlfn.XLOOKUP($A447,Output_Mac!$A:$A,Output_Mac!T:T,""),
_xlpm.MyAuditVal,_xlfn.XLOOKUP($A447,My_Audit!$A:$A,My_Audit!O:O,""),
_xlfn.IFS(_xlpm.MyAuditVal&lt;&gt;"",UPPER(_xlpm.MyAuditVal),_xlpm.MacVal&lt;&gt;"",_xlpm.MacVal,_xlpm.CSVVal&lt;&gt;"",_xlpm.CSVVal
)),"")</f>
        <v/>
      </c>
      <c r="O447" s="46" t="str">
        <f>_xlfn.XLOOKUP(C447,My_Audit!B:B,My_Audit!P:P,"")&amp;""</f>
        <v/>
      </c>
      <c r="P447" s="45"/>
      <c r="Q447" s="46" t="str">
        <f>IF(LEFT(N447,4)="Pass","Nist SP 800-88",My_Audit!R447)&amp;""</f>
        <v/>
      </c>
      <c r="R447" s="45"/>
      <c r="S447" s="45"/>
      <c r="T447" s="46" t="str">
        <f>_xlfn.XLOOKUP(E447,Models!I:I,Models!J:J,"")</f>
        <v/>
      </c>
      <c r="U447" s="45"/>
      <c r="V447" s="45"/>
      <c r="W447" s="38" t="str">
        <f>_xlfn.LET(
    _xlpm.MacVal, _xlfn.XLOOKUP($A447, Output_Mac!$A:$A, Output_Mac!AA:AA, ""),
    _xlpm.MyAuditVal, _xlfn.XLOOKUP($A447, My_Audit!$A:$A, My_Audit!L:L, ""),
    _xlfn.TEXTJOIN(", ", TRUE, _xlpm.MyAuditVal, _xlpm.MacVal)
)</f>
        <v/>
      </c>
    </row>
    <row r="448" spans="1:23">
      <c r="A448" s="45" t="str">
        <f>_xlfn.TEXTJOIN("",TRUE,Input!$B$2,ROW(My_Audit!A447))</f>
        <v>CC447</v>
      </c>
      <c r="B448" s="45" t="str">
        <f>_xlfn.TEXTJOIN("-",TRUE,"ITD",Input!$A$2,A448)</f>
        <v>ITD-XXX-CC447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 cm="1">
        <f t="array" ref="D448">IFERROR(_xlfn.LET(
_xlpm.CSVVal,_xlfn.XLOOKUP($A448,CSV!$A:$A,CSV!C:C,""),
_xlpm.MacVal,_xlfn.XLOOKUP($A448,Output_Mac!$A:$A,Output_Mac!D:D,""),
_xlpm.MyAuditVal,_xlfn.XLOOKUP($A448,My_Audit!$A:$A,My_Audit!C:C,""),
_xlfn.IFS(_xlpm.MyAuditVal&lt;&gt;"",UPPER(_xlpm.MyAuditVal),_xlpm.MacVal&lt;&gt;"",_xlpm.MacVal,_xlpm.CSVVal&lt;&gt;"",_xlpm.CSVVal
)),"")</f>
        <v/>
      </c>
      <c r="E448" s="46" t="str" cm="1">
        <f t="array" ref="E448">IFERROR(_xlfn.LET(
_xlpm.CSVVal,_xlfn.XLOOKUP($A448,CSV!$A:$A,CSV!E:E,""),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_xlpm.CSVVal,_xlfn.XLOOKUP($A448,CSV!$A:$A,CSV!G:G,""),
_xlpm.MacVal,_xlfn.XLOOKUP($A448,Output_Mac!$A:$A,Output_Mac!G:G,""),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_xlfn.XLOOKUP(A448,Output_Mac!A:A,Output_Mac!H:H,"")</f>
        <v/>
      </c>
      <c r="I448" s="45" t="str" cm="1">
        <f t="array" ref="I448">IFERROR(_xlfn.LET(
_xlpm.CSVVal,_xlfn.XLOOKUP($A448,CSV!$A:$A,CSV!H:H,""),
_xlpm.MacVal,_xlfn.XLOOKUP($A448,Output_Mac!$A:$A,Output_Mac!I:I,""),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_xlpm.CSVVal,_xlfn.XLOOKUP($A448,CSV!$A:$A,CSV!J:J,""),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46" t="str" cm="1">
        <f t="array" ref="K448">IFERROR(_xlfn.LET(
_xlpm.CSVVal,_xlfn.XLOOKUP($A448,CSV!$A:$A,CSV!N:N,""),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_xlpm.CSVVal,_xlfn.XLOOKUP($A448,CSV!$A:$A,CSV!P:P,""),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CSV!AE:AE,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_xlpm.CSVVal,_xlfn.XLOOKUP($A448,CSV!$A:$A,CSV!AG:AG,""),
_xlpm.MacVal,_xlfn.XLOOKUP($A448,Output_Mac!$A:$A,Output_Mac!T:T,""),
_xlpm.MyAuditVal,_xlfn.XLOOKUP($A448,My_Audit!$A:$A,My_Audit!O:O,""),
_xlfn.IFS(_xlpm.MyAuditVal&lt;&gt;"",UPPER(_xlpm.MyAuditVal),_xlpm.MacVal&lt;&gt;"",_xlpm.MacVal,_xlpm.CSVVal&lt;&gt;"",_xlpm.CSVVal
)),"")</f>
        <v/>
      </c>
      <c r="O448" s="46" t="str">
        <f>_xlfn.XLOOKUP(C448,My_Audit!B:B,My_Audit!P:P,"")&amp;""</f>
        <v/>
      </c>
      <c r="P448" s="45"/>
      <c r="Q448" s="46" t="str">
        <f>IF(LEFT(N448,4)="Pass","Nist SP 800-88",My_Audit!R448)&amp;""</f>
        <v/>
      </c>
      <c r="R448" s="45"/>
      <c r="S448" s="45"/>
      <c r="T448" s="46" t="str">
        <f>_xlfn.XLOOKUP(E448,Models!I:I,Models!J:J,"")</f>
        <v/>
      </c>
      <c r="U448" s="45"/>
      <c r="V448" s="45"/>
      <c r="W448" s="38" t="str">
        <f>_xlfn.LET(
    _xlpm.MacVal, _xlfn.XLOOKUP($A448, Output_Mac!$A:$A, Output_Mac!AA:AA, ""),
    _xlpm.MyAuditVal, _xlfn.XLOOKUP($A448, My_Audit!$A:$A, My_Audit!L:L, ""),
    _xlfn.TEXTJOIN(", ", TRUE, _xlpm.MyAuditVal, _xlpm.MacVal)
)</f>
        <v/>
      </c>
    </row>
    <row r="449" spans="1:23">
      <c r="A449" s="45" t="str">
        <f>_xlfn.TEXTJOIN("",TRUE,Input!$B$2,ROW(My_Audit!A448))</f>
        <v>CC448</v>
      </c>
      <c r="B449" s="45" t="str">
        <f>_xlfn.TEXTJOIN("-",TRUE,"ITD",Input!$A$2,A449)</f>
        <v>ITD-XXX-CC448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 cm="1">
        <f t="array" ref="D449">IFERROR(_xlfn.LET(
_xlpm.CSVVal,_xlfn.XLOOKUP($A449,CSV!$A:$A,CSV!C:C,""),
_xlpm.MacVal,_xlfn.XLOOKUP($A449,Output_Mac!$A:$A,Output_Mac!D:D,""),
_xlpm.MyAuditVal,_xlfn.XLOOKUP($A449,My_Audit!$A:$A,My_Audit!C:C,""),
_xlfn.IFS(_xlpm.MyAuditVal&lt;&gt;"",UPPER(_xlpm.MyAuditVal),_xlpm.MacVal&lt;&gt;"",_xlpm.MacVal,_xlpm.CSVVal&lt;&gt;"",_xlpm.CSVVal
)),"")</f>
        <v/>
      </c>
      <c r="E449" s="46" t="str" cm="1">
        <f t="array" ref="E449">IFERROR(_xlfn.LET(
_xlpm.CSVVal,_xlfn.XLOOKUP($A449,CSV!$A:$A,CSV!E:E,""),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_xlpm.CSVVal,_xlfn.XLOOKUP($A449,CSV!$A:$A,CSV!G:G,""),
_xlpm.MacVal,_xlfn.XLOOKUP($A449,Output_Mac!$A:$A,Output_Mac!G:G,""),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_xlfn.XLOOKUP(A449,Output_Mac!A:A,Output_Mac!H:H,"")</f>
        <v/>
      </c>
      <c r="I449" s="45" t="str" cm="1">
        <f t="array" ref="I449">IFERROR(_xlfn.LET(
_xlpm.CSVVal,_xlfn.XLOOKUP($A449,CSV!$A:$A,CSV!H:H,""),
_xlpm.MacVal,_xlfn.XLOOKUP($A449,Output_Mac!$A:$A,Output_Mac!I:I,""),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_xlpm.CSVVal,_xlfn.XLOOKUP($A449,CSV!$A:$A,CSV!J:J,""),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46" t="str" cm="1">
        <f t="array" ref="K449">IFERROR(_xlfn.LET(
_xlpm.CSVVal,_xlfn.XLOOKUP($A449,CSV!$A:$A,CSV!N:N,""),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_xlpm.CSVVal,_xlfn.XLOOKUP($A449,CSV!$A:$A,CSV!P:P,""),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CSV!AE:AE,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_xlpm.CSVVal,_xlfn.XLOOKUP($A449,CSV!$A:$A,CSV!AG:AG,""),
_xlpm.MacVal,_xlfn.XLOOKUP($A449,Output_Mac!$A:$A,Output_Mac!T:T,""),
_xlpm.MyAuditVal,_xlfn.XLOOKUP($A449,My_Audit!$A:$A,My_Audit!O:O,""),
_xlfn.IFS(_xlpm.MyAuditVal&lt;&gt;"",UPPER(_xlpm.MyAuditVal),_xlpm.MacVal&lt;&gt;"",_xlpm.MacVal,_xlpm.CSVVal&lt;&gt;"",_xlpm.CSVVal
)),"")</f>
        <v/>
      </c>
      <c r="O449" s="46" t="str">
        <f>_xlfn.XLOOKUP(C449,My_Audit!B:B,My_Audit!P:P,"")&amp;""</f>
        <v/>
      </c>
      <c r="P449" s="45"/>
      <c r="Q449" s="46" t="str">
        <f>IF(LEFT(N449,4)="Pass","Nist SP 800-88",My_Audit!R449)&amp;""</f>
        <v/>
      </c>
      <c r="R449" s="45"/>
      <c r="S449" s="45"/>
      <c r="T449" s="46" t="str">
        <f>_xlfn.XLOOKUP(E449,Models!I:I,Models!J:J,"")</f>
        <v/>
      </c>
      <c r="U449" s="45"/>
      <c r="V449" s="45"/>
      <c r="W449" s="38" t="str">
        <f>_xlfn.LET(
    _xlpm.MacVal, _xlfn.XLOOKUP($A449, Output_Mac!$A:$A, Output_Mac!AA:AA, ""),
    _xlpm.MyAuditVal, _xlfn.XLOOKUP($A449, My_Audit!$A:$A, My_Audit!L:L, ""),
    _xlfn.TEXTJOIN(", ", TRUE, _xlpm.MyAuditVal, _xlpm.MacVal)
)</f>
        <v/>
      </c>
    </row>
    <row r="450" spans="1:23">
      <c r="A450" s="45" t="str">
        <f>_xlfn.TEXTJOIN("",TRUE,Input!$B$2,ROW(My_Audit!A449))</f>
        <v>CC449</v>
      </c>
      <c r="B450" s="45" t="str">
        <f>_xlfn.TEXTJOIN("-",TRUE,"ITD",Input!$A$2,A450)</f>
        <v>ITD-XXX-CC449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 cm="1">
        <f t="array" ref="D450">IFERROR(_xlfn.LET(
_xlpm.CSVVal,_xlfn.XLOOKUP($A450,CSV!$A:$A,CSV!C:C,""),
_xlpm.MacVal,_xlfn.XLOOKUP($A450,Output_Mac!$A:$A,Output_Mac!D:D,""),
_xlpm.MyAuditVal,_xlfn.XLOOKUP($A450,My_Audit!$A:$A,My_Audit!C:C,""),
_xlfn.IFS(_xlpm.MyAuditVal&lt;&gt;"",UPPER(_xlpm.MyAuditVal),_xlpm.MacVal&lt;&gt;"",_xlpm.MacVal,_xlpm.CSVVal&lt;&gt;"",_xlpm.CSVVal
)),"")</f>
        <v/>
      </c>
      <c r="E450" s="46" t="str" cm="1">
        <f t="array" ref="E450">IFERROR(_xlfn.LET(
_xlpm.CSVVal,_xlfn.XLOOKUP($A450,CSV!$A:$A,CSV!E:E,""),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_xlpm.CSVVal,_xlfn.XLOOKUP($A450,CSV!$A:$A,CSV!G:G,""),
_xlpm.MacVal,_xlfn.XLOOKUP($A450,Output_Mac!$A:$A,Output_Mac!G:G,""),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_xlfn.XLOOKUP(A450,Output_Mac!A:A,Output_Mac!H:H,"")</f>
        <v/>
      </c>
      <c r="I450" s="45" t="str" cm="1">
        <f t="array" ref="I450">IFERROR(_xlfn.LET(
_xlpm.CSVVal,_xlfn.XLOOKUP($A450,CSV!$A:$A,CSV!H:H,""),
_xlpm.MacVal,_xlfn.XLOOKUP($A450,Output_Mac!$A:$A,Output_Mac!I:I,""),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_xlpm.CSVVal,_xlfn.XLOOKUP($A450,CSV!$A:$A,CSV!J:J,""),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46" t="str" cm="1">
        <f t="array" ref="K450">IFERROR(_xlfn.LET(
_xlpm.CSVVal,_xlfn.XLOOKUP($A450,CSV!$A:$A,CSV!N:N,""),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_xlpm.CSVVal,_xlfn.XLOOKUP($A450,CSV!$A:$A,CSV!P:P,""),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CSV!AE:AE,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_xlpm.CSVVal,_xlfn.XLOOKUP($A450,CSV!$A:$A,CSV!AG:AG,""),
_xlpm.MacVal,_xlfn.XLOOKUP($A450,Output_Mac!$A:$A,Output_Mac!T:T,""),
_xlpm.MyAuditVal,_xlfn.XLOOKUP($A450,My_Audit!$A:$A,My_Audit!O:O,""),
_xlfn.IFS(_xlpm.MyAuditVal&lt;&gt;"",UPPER(_xlpm.MyAuditVal),_xlpm.MacVal&lt;&gt;"",_xlpm.MacVal,_xlpm.CSVVal&lt;&gt;"",_xlpm.CSVVal
)),"")</f>
        <v/>
      </c>
      <c r="O450" s="46" t="str">
        <f>_xlfn.XLOOKUP(C450,My_Audit!B:B,My_Audit!P:P,"")&amp;""</f>
        <v/>
      </c>
      <c r="P450" s="45"/>
      <c r="Q450" s="46" t="str">
        <f>IF(LEFT(N450,4)="Pass","Nist SP 800-88",My_Audit!R450)&amp;""</f>
        <v/>
      </c>
      <c r="R450" s="45"/>
      <c r="S450" s="45"/>
      <c r="T450" s="46" t="str">
        <f>_xlfn.XLOOKUP(E450,Models!I:I,Models!J:J,"")</f>
        <v/>
      </c>
      <c r="U450" s="45"/>
      <c r="V450" s="45"/>
      <c r="W450" s="38" t="str">
        <f>_xlfn.LET(
    _xlpm.MacVal, _xlfn.XLOOKUP($A450, Output_Mac!$A:$A, Output_Mac!AA:AA, ""),
    _xlpm.MyAuditVal, _xlfn.XLOOKUP($A450, My_Audit!$A:$A, My_Audit!L:L, ""),
    _xlfn.TEXTJOIN(", ", TRUE, _xlpm.MyAuditVal, _xlpm.MacVal)
)</f>
        <v/>
      </c>
    </row>
    <row r="451" spans="1:23">
      <c r="A451" s="45" t="str">
        <f>_xlfn.TEXTJOIN("",TRUE,Input!$B$2,ROW(My_Audit!A450))</f>
        <v>CC450</v>
      </c>
      <c r="B451" s="45" t="str">
        <f>_xlfn.TEXTJOIN("-",TRUE,"ITD",Input!$A$2,A451)</f>
        <v>ITD-XXX-CC450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 cm="1">
        <f t="array" ref="D451">IFERROR(_xlfn.LET(
_xlpm.CSVVal,_xlfn.XLOOKUP($A451,CSV!$A:$A,CSV!C:C,""),
_xlpm.MacVal,_xlfn.XLOOKUP($A451,Output_Mac!$A:$A,Output_Mac!D:D,""),
_xlpm.MyAuditVal,_xlfn.XLOOKUP($A451,My_Audit!$A:$A,My_Audit!C:C,""),
_xlfn.IFS(_xlpm.MyAuditVal&lt;&gt;"",UPPER(_xlpm.MyAuditVal),_xlpm.MacVal&lt;&gt;"",_xlpm.MacVal,_xlpm.CSVVal&lt;&gt;"",_xlpm.CSVVal
)),"")</f>
        <v/>
      </c>
      <c r="E451" s="46" t="str" cm="1">
        <f t="array" ref="E451">IFERROR(_xlfn.LET(
_xlpm.CSVVal,_xlfn.XLOOKUP($A451,CSV!$A:$A,CSV!E:E,""),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_xlpm.CSVVal,_xlfn.XLOOKUP($A451,CSV!$A:$A,CSV!G:G,""),
_xlpm.MacVal,_xlfn.XLOOKUP($A451,Output_Mac!$A:$A,Output_Mac!G:G,""),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_xlfn.XLOOKUP(A451,Output_Mac!A:A,Output_Mac!H:H,"")</f>
        <v/>
      </c>
      <c r="I451" s="45" t="str" cm="1">
        <f t="array" ref="I451">IFERROR(_xlfn.LET(
_xlpm.CSVVal,_xlfn.XLOOKUP($A451,CSV!$A:$A,CSV!H:H,""),
_xlpm.MacVal,_xlfn.XLOOKUP($A451,Output_Mac!$A:$A,Output_Mac!I:I,""),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_xlpm.CSVVal,_xlfn.XLOOKUP($A451,CSV!$A:$A,CSV!J:J,""),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46" t="str" cm="1">
        <f t="array" ref="K451">IFERROR(_xlfn.LET(
_xlpm.CSVVal,_xlfn.XLOOKUP($A451,CSV!$A:$A,CSV!N:N,""),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_xlpm.CSVVal,_xlfn.XLOOKUP($A451,CSV!$A:$A,CSV!P:P,""),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CSV!AE:AE,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_xlpm.CSVVal,_xlfn.XLOOKUP($A451,CSV!$A:$A,CSV!AG:AG,""),
_xlpm.MacVal,_xlfn.XLOOKUP($A451,Output_Mac!$A:$A,Output_Mac!T:T,""),
_xlpm.MyAuditVal,_xlfn.XLOOKUP($A451,My_Audit!$A:$A,My_Audit!O:O,""),
_xlfn.IFS(_xlpm.MyAuditVal&lt;&gt;"",UPPER(_xlpm.MyAuditVal),_xlpm.MacVal&lt;&gt;"",_xlpm.MacVal,_xlpm.CSVVal&lt;&gt;"",_xlpm.CSVVal
)),"")</f>
        <v/>
      </c>
      <c r="O451" s="46" t="str">
        <f>_xlfn.XLOOKUP(C451,My_Audit!B:B,My_Audit!P:P,"")&amp;""</f>
        <v/>
      </c>
      <c r="P451" s="45"/>
      <c r="Q451" s="46" t="str">
        <f>IF(LEFT(N451,4)="Pass","Nist SP 800-88",My_Audit!R451)&amp;""</f>
        <v/>
      </c>
      <c r="R451" s="45"/>
      <c r="S451" s="45"/>
      <c r="T451" s="46" t="str">
        <f>_xlfn.XLOOKUP(E451,Models!I:I,Models!J:J,"")</f>
        <v/>
      </c>
      <c r="U451" s="45"/>
      <c r="V451" s="45"/>
      <c r="W451" s="38" t="str">
        <f>_xlfn.LET(
    _xlpm.MacVal, _xlfn.XLOOKUP($A451, Output_Mac!$A:$A, Output_Mac!AA:AA, ""),
    _xlpm.MyAuditVal, _xlfn.XLOOKUP($A451, My_Audit!$A:$A, My_Audit!L:L, ""),
    _xlfn.TEXTJOIN(", ", TRUE, _xlpm.MyAuditVal, _xlpm.MacVal)
)</f>
        <v/>
      </c>
    </row>
    <row r="452" spans="1:23">
      <c r="A452" s="45" t="str">
        <f>_xlfn.TEXTJOIN("",TRUE,Input!$B$2,ROW(My_Audit!A451))</f>
        <v>CC451</v>
      </c>
      <c r="B452" s="45" t="str">
        <f>_xlfn.TEXTJOIN("-",TRUE,"ITD",Input!$A$2,A452)</f>
        <v>ITD-XXX-CC451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 cm="1">
        <f t="array" ref="D452">IFERROR(_xlfn.LET(
_xlpm.CSVVal,_xlfn.XLOOKUP($A452,CSV!$A:$A,CSV!C:C,""),
_xlpm.MacVal,_xlfn.XLOOKUP($A452,Output_Mac!$A:$A,Output_Mac!D:D,""),
_xlpm.MyAuditVal,_xlfn.XLOOKUP($A452,My_Audit!$A:$A,My_Audit!C:C,""),
_xlfn.IFS(_xlpm.MyAuditVal&lt;&gt;"",UPPER(_xlpm.MyAuditVal),_xlpm.MacVal&lt;&gt;"",_xlpm.MacVal,_xlpm.CSVVal&lt;&gt;"",_xlpm.CSVVal
)),"")</f>
        <v/>
      </c>
      <c r="E452" s="46" t="str" cm="1">
        <f t="array" ref="E452">IFERROR(_xlfn.LET(
_xlpm.CSVVal,_xlfn.XLOOKUP($A452,CSV!$A:$A,CSV!E:E,""),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_xlpm.CSVVal,_xlfn.XLOOKUP($A452,CSV!$A:$A,CSV!G:G,""),
_xlpm.MacVal,_xlfn.XLOOKUP($A452,Output_Mac!$A:$A,Output_Mac!G:G,""),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_xlfn.XLOOKUP(A452,Output_Mac!A:A,Output_Mac!H:H,"")</f>
        <v/>
      </c>
      <c r="I452" s="45" t="str" cm="1">
        <f t="array" ref="I452">IFERROR(_xlfn.LET(
_xlpm.CSVVal,_xlfn.XLOOKUP($A452,CSV!$A:$A,CSV!H:H,""),
_xlpm.MacVal,_xlfn.XLOOKUP($A452,Output_Mac!$A:$A,Output_Mac!I:I,""),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_xlpm.CSVVal,_xlfn.XLOOKUP($A452,CSV!$A:$A,CSV!J:J,""),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46" t="str" cm="1">
        <f t="array" ref="K452">IFERROR(_xlfn.LET(
_xlpm.CSVVal,_xlfn.XLOOKUP($A452,CSV!$A:$A,CSV!N:N,""),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_xlpm.CSVVal,_xlfn.XLOOKUP($A452,CSV!$A:$A,CSV!P:P,""),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CSV!AE:AE,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_xlpm.CSVVal,_xlfn.XLOOKUP($A452,CSV!$A:$A,CSV!AG:AG,""),
_xlpm.MacVal,_xlfn.XLOOKUP($A452,Output_Mac!$A:$A,Output_Mac!T:T,""),
_xlpm.MyAuditVal,_xlfn.XLOOKUP($A452,My_Audit!$A:$A,My_Audit!O:O,""),
_xlfn.IFS(_xlpm.MyAuditVal&lt;&gt;"",UPPER(_xlpm.MyAuditVal),_xlpm.MacVal&lt;&gt;"",_xlpm.MacVal,_xlpm.CSVVal&lt;&gt;"",_xlpm.CSVVal
)),"")</f>
        <v/>
      </c>
      <c r="O452" s="46" t="str">
        <f>_xlfn.XLOOKUP(C452,My_Audit!B:B,My_Audit!P:P,"")&amp;""</f>
        <v/>
      </c>
      <c r="P452" s="45"/>
      <c r="Q452" s="46" t="str">
        <f>IF(LEFT(N452,4)="Pass","Nist SP 800-88",My_Audit!R452)&amp;""</f>
        <v/>
      </c>
      <c r="R452" s="45"/>
      <c r="S452" s="45"/>
      <c r="T452" s="46" t="str">
        <f>_xlfn.XLOOKUP(E452,Models!I:I,Models!J:J,"")</f>
        <v/>
      </c>
      <c r="U452" s="45"/>
      <c r="V452" s="45"/>
      <c r="W452" s="38" t="str">
        <f>_xlfn.LET(
    _xlpm.MacVal, _xlfn.XLOOKUP($A452, Output_Mac!$A:$A, Output_Mac!AA:AA, ""),
    _xlpm.MyAuditVal, _xlfn.XLOOKUP($A452, My_Audit!$A:$A, My_Audit!L:L, ""),
    _xlfn.TEXTJOIN(", ", TRUE, _xlpm.MyAuditVal, _xlpm.MacVal)
)</f>
        <v/>
      </c>
    </row>
    <row r="453" spans="1:23">
      <c r="A453" s="45" t="str">
        <f>_xlfn.TEXTJOIN("",TRUE,Input!$B$2,ROW(My_Audit!A452))</f>
        <v>CC452</v>
      </c>
      <c r="B453" s="45" t="str">
        <f>_xlfn.TEXTJOIN("-",TRUE,"ITD",Input!$A$2,A453)</f>
        <v>ITD-XXX-CC452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 cm="1">
        <f t="array" ref="D453">IFERROR(_xlfn.LET(
_xlpm.CSVVal,_xlfn.XLOOKUP($A453,CSV!$A:$A,CSV!C:C,""),
_xlpm.MacVal,_xlfn.XLOOKUP($A453,Output_Mac!$A:$A,Output_Mac!D:D,""),
_xlpm.MyAuditVal,_xlfn.XLOOKUP($A453,My_Audit!$A:$A,My_Audit!C:C,""),
_xlfn.IFS(_xlpm.MyAuditVal&lt;&gt;"",UPPER(_xlpm.MyAuditVal),_xlpm.MacVal&lt;&gt;"",_xlpm.MacVal,_xlpm.CSVVal&lt;&gt;"",_xlpm.CSVVal
)),"")</f>
        <v/>
      </c>
      <c r="E453" s="46" t="str" cm="1">
        <f t="array" ref="E453">IFERROR(_xlfn.LET(
_xlpm.CSVVal,_xlfn.XLOOKUP($A453,CSV!$A:$A,CSV!E:E,""),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_xlpm.CSVVal,_xlfn.XLOOKUP($A453,CSV!$A:$A,CSV!G:G,""),
_xlpm.MacVal,_xlfn.XLOOKUP($A453,Output_Mac!$A:$A,Output_Mac!G:G,""),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_xlfn.XLOOKUP(A453,Output_Mac!A:A,Output_Mac!H:H,"")</f>
        <v/>
      </c>
      <c r="I453" s="45" t="str" cm="1">
        <f t="array" ref="I453">IFERROR(_xlfn.LET(
_xlpm.CSVVal,_xlfn.XLOOKUP($A453,CSV!$A:$A,CSV!H:H,""),
_xlpm.MacVal,_xlfn.XLOOKUP($A453,Output_Mac!$A:$A,Output_Mac!I:I,""),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_xlpm.CSVVal,_xlfn.XLOOKUP($A453,CSV!$A:$A,CSV!J:J,""),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46" t="str" cm="1">
        <f t="array" ref="K453">IFERROR(_xlfn.LET(
_xlpm.CSVVal,_xlfn.XLOOKUP($A453,CSV!$A:$A,CSV!N:N,""),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_xlpm.CSVVal,_xlfn.XLOOKUP($A453,CSV!$A:$A,CSV!P:P,""),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CSV!AE:AE,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_xlpm.CSVVal,_xlfn.XLOOKUP($A453,CSV!$A:$A,CSV!AG:AG,""),
_xlpm.MacVal,_xlfn.XLOOKUP($A453,Output_Mac!$A:$A,Output_Mac!T:T,""),
_xlpm.MyAuditVal,_xlfn.XLOOKUP($A453,My_Audit!$A:$A,My_Audit!O:O,""),
_xlfn.IFS(_xlpm.MyAuditVal&lt;&gt;"",UPPER(_xlpm.MyAuditVal),_xlpm.MacVal&lt;&gt;"",_xlpm.MacVal,_xlpm.CSVVal&lt;&gt;"",_xlpm.CSVVal
)),"")</f>
        <v/>
      </c>
      <c r="O453" s="46" t="str">
        <f>_xlfn.XLOOKUP(C453,My_Audit!B:B,My_Audit!P:P,"")&amp;""</f>
        <v/>
      </c>
      <c r="P453" s="45"/>
      <c r="Q453" s="46" t="str">
        <f>IF(LEFT(N453,4)="Pass","Nist SP 800-88",My_Audit!R453)&amp;""</f>
        <v/>
      </c>
      <c r="R453" s="45"/>
      <c r="S453" s="45"/>
      <c r="T453" s="46" t="str">
        <f>_xlfn.XLOOKUP(E453,Models!I:I,Models!J:J,"")</f>
        <v/>
      </c>
      <c r="U453" s="45"/>
      <c r="V453" s="45"/>
      <c r="W453" s="38" t="str">
        <f>_xlfn.LET(
    _xlpm.MacVal, _xlfn.XLOOKUP($A453, Output_Mac!$A:$A, Output_Mac!AA:AA, ""),
    _xlpm.MyAuditVal, _xlfn.XLOOKUP($A453, My_Audit!$A:$A, My_Audit!L:L, ""),
    _xlfn.TEXTJOIN(", ", TRUE, _xlpm.MyAuditVal, _xlpm.MacVal)
)</f>
        <v/>
      </c>
    </row>
    <row r="454" spans="1:23">
      <c r="A454" s="45" t="str">
        <f>_xlfn.TEXTJOIN("",TRUE,Input!$B$2,ROW(My_Audit!A453))</f>
        <v>CC453</v>
      </c>
      <c r="B454" s="45" t="str">
        <f>_xlfn.TEXTJOIN("-",TRUE,"ITD",Input!$A$2,A454)</f>
        <v>ITD-XXX-CC453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 cm="1">
        <f t="array" ref="D454">IFERROR(_xlfn.LET(
_xlpm.CSVVal,_xlfn.XLOOKUP($A454,CSV!$A:$A,CSV!C:C,""),
_xlpm.MacVal,_xlfn.XLOOKUP($A454,Output_Mac!$A:$A,Output_Mac!D:D,""),
_xlpm.MyAuditVal,_xlfn.XLOOKUP($A454,My_Audit!$A:$A,My_Audit!C:C,""),
_xlfn.IFS(_xlpm.MyAuditVal&lt;&gt;"",UPPER(_xlpm.MyAuditVal),_xlpm.MacVal&lt;&gt;"",_xlpm.MacVal,_xlpm.CSVVal&lt;&gt;"",_xlpm.CSVVal
)),"")</f>
        <v/>
      </c>
      <c r="E454" s="46" t="str" cm="1">
        <f t="array" ref="E454">IFERROR(_xlfn.LET(
_xlpm.CSVVal,_xlfn.XLOOKUP($A454,CSV!$A:$A,CSV!E:E,""),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_xlpm.CSVVal,_xlfn.XLOOKUP($A454,CSV!$A:$A,CSV!G:G,""),
_xlpm.MacVal,_xlfn.XLOOKUP($A454,Output_Mac!$A:$A,Output_Mac!G:G,""),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_xlfn.XLOOKUP(A454,Output_Mac!A:A,Output_Mac!H:H,"")</f>
        <v/>
      </c>
      <c r="I454" s="45" t="str" cm="1">
        <f t="array" ref="I454">IFERROR(_xlfn.LET(
_xlpm.CSVVal,_xlfn.XLOOKUP($A454,CSV!$A:$A,CSV!H:H,""),
_xlpm.MacVal,_xlfn.XLOOKUP($A454,Output_Mac!$A:$A,Output_Mac!I:I,""),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_xlpm.CSVVal,_xlfn.XLOOKUP($A454,CSV!$A:$A,CSV!J:J,""),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46" t="str" cm="1">
        <f t="array" ref="K454">IFERROR(_xlfn.LET(
_xlpm.CSVVal,_xlfn.XLOOKUP($A454,CSV!$A:$A,CSV!N:N,""),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_xlpm.CSVVal,_xlfn.XLOOKUP($A454,CSV!$A:$A,CSV!P:P,""),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CSV!AE:AE,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_xlpm.CSVVal,_xlfn.XLOOKUP($A454,CSV!$A:$A,CSV!AG:AG,""),
_xlpm.MacVal,_xlfn.XLOOKUP($A454,Output_Mac!$A:$A,Output_Mac!T:T,""),
_xlpm.MyAuditVal,_xlfn.XLOOKUP($A454,My_Audit!$A:$A,My_Audit!O:O,""),
_xlfn.IFS(_xlpm.MyAuditVal&lt;&gt;"",UPPER(_xlpm.MyAuditVal),_xlpm.MacVal&lt;&gt;"",_xlpm.MacVal,_xlpm.CSVVal&lt;&gt;"",_xlpm.CSVVal
)),"")</f>
        <v/>
      </c>
      <c r="O454" s="46" t="str">
        <f>_xlfn.XLOOKUP(C454,My_Audit!B:B,My_Audit!P:P,"")&amp;""</f>
        <v/>
      </c>
      <c r="P454" s="45"/>
      <c r="Q454" s="46" t="str">
        <f>IF(LEFT(N454,4)="Pass","Nist SP 800-88",My_Audit!R454)&amp;""</f>
        <v/>
      </c>
      <c r="R454" s="45"/>
      <c r="S454" s="45"/>
      <c r="T454" s="46" t="str">
        <f>_xlfn.XLOOKUP(E454,Models!I:I,Models!J:J,"")</f>
        <v/>
      </c>
      <c r="U454" s="45"/>
      <c r="V454" s="45"/>
      <c r="W454" s="38" t="str">
        <f>_xlfn.LET(
    _xlpm.MacVal, _xlfn.XLOOKUP($A454, Output_Mac!$A:$A, Output_Mac!AA:AA, ""),
    _xlpm.MyAuditVal, _xlfn.XLOOKUP($A454, My_Audit!$A:$A, My_Audit!L:L, ""),
    _xlfn.TEXTJOIN(", ", TRUE, _xlpm.MyAuditVal, _xlpm.MacVal)
)</f>
        <v/>
      </c>
    </row>
    <row r="455" spans="1:23">
      <c r="A455" s="45" t="str">
        <f>_xlfn.TEXTJOIN("",TRUE,Input!$B$2,ROW(My_Audit!A454))</f>
        <v>CC454</v>
      </c>
      <c r="B455" s="45" t="str">
        <f>_xlfn.TEXTJOIN("-",TRUE,"ITD",Input!$A$2,A455)</f>
        <v>ITD-XXX-CC454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 cm="1">
        <f t="array" ref="D455">IFERROR(_xlfn.LET(
_xlpm.CSVVal,_xlfn.XLOOKUP($A455,CSV!$A:$A,CSV!C:C,""),
_xlpm.MacVal,_xlfn.XLOOKUP($A455,Output_Mac!$A:$A,Output_Mac!D:D,""),
_xlpm.MyAuditVal,_xlfn.XLOOKUP($A455,My_Audit!$A:$A,My_Audit!C:C,""),
_xlfn.IFS(_xlpm.MyAuditVal&lt;&gt;"",UPPER(_xlpm.MyAuditVal),_xlpm.MacVal&lt;&gt;"",_xlpm.MacVal,_xlpm.CSVVal&lt;&gt;"",_xlpm.CSVVal
)),"")</f>
        <v/>
      </c>
      <c r="E455" s="46" t="str" cm="1">
        <f t="array" ref="E455">IFERROR(_xlfn.LET(
_xlpm.CSVVal,_xlfn.XLOOKUP($A455,CSV!$A:$A,CSV!E:E,""),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_xlpm.CSVVal,_xlfn.XLOOKUP($A455,CSV!$A:$A,CSV!G:G,""),
_xlpm.MacVal,_xlfn.XLOOKUP($A455,Output_Mac!$A:$A,Output_Mac!G:G,""),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_xlfn.XLOOKUP(A455,Output_Mac!A:A,Output_Mac!H:H,"")</f>
        <v/>
      </c>
      <c r="I455" s="45" t="str" cm="1">
        <f t="array" ref="I455">IFERROR(_xlfn.LET(
_xlpm.CSVVal,_xlfn.XLOOKUP($A455,CSV!$A:$A,CSV!H:H,""),
_xlpm.MacVal,_xlfn.XLOOKUP($A455,Output_Mac!$A:$A,Output_Mac!I:I,""),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_xlpm.CSVVal,_xlfn.XLOOKUP($A455,CSV!$A:$A,CSV!J:J,""),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46" t="str" cm="1">
        <f t="array" ref="K455">IFERROR(_xlfn.LET(
_xlpm.CSVVal,_xlfn.XLOOKUP($A455,CSV!$A:$A,CSV!N:N,""),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_xlpm.CSVVal,_xlfn.XLOOKUP($A455,CSV!$A:$A,CSV!P:P,""),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CSV!AE:AE,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_xlpm.CSVVal,_xlfn.XLOOKUP($A455,CSV!$A:$A,CSV!AG:AG,""),
_xlpm.MacVal,_xlfn.XLOOKUP($A455,Output_Mac!$A:$A,Output_Mac!T:T,""),
_xlpm.MyAuditVal,_xlfn.XLOOKUP($A455,My_Audit!$A:$A,My_Audit!O:O,""),
_xlfn.IFS(_xlpm.MyAuditVal&lt;&gt;"",UPPER(_xlpm.MyAuditVal),_xlpm.MacVal&lt;&gt;"",_xlpm.MacVal,_xlpm.CSVVal&lt;&gt;"",_xlpm.CSVVal
)),"")</f>
        <v/>
      </c>
      <c r="O455" s="46" t="str">
        <f>_xlfn.XLOOKUP(C455,My_Audit!B:B,My_Audit!P:P,"")&amp;""</f>
        <v/>
      </c>
      <c r="P455" s="45"/>
      <c r="Q455" s="46" t="str">
        <f>IF(LEFT(N455,4)="Pass","Nist SP 800-88",My_Audit!R455)&amp;""</f>
        <v/>
      </c>
      <c r="R455" s="45"/>
      <c r="S455" s="45"/>
      <c r="T455" s="46" t="str">
        <f>_xlfn.XLOOKUP(E455,Models!I:I,Models!J:J,"")</f>
        <v/>
      </c>
      <c r="U455" s="45"/>
      <c r="V455" s="45"/>
      <c r="W455" s="38" t="str">
        <f>_xlfn.LET(
    _xlpm.MacVal, _xlfn.XLOOKUP($A455, Output_Mac!$A:$A, Output_Mac!AA:AA, ""),
    _xlpm.MyAuditVal, _xlfn.XLOOKUP($A455, My_Audit!$A:$A, My_Audit!L:L, ""),
    _xlfn.TEXTJOIN(", ", TRUE, _xlpm.MyAuditVal, _xlpm.MacVal)
)</f>
        <v/>
      </c>
    </row>
    <row r="456" spans="1:23">
      <c r="A456" s="45" t="str">
        <f>_xlfn.TEXTJOIN("",TRUE,Input!$B$2,ROW(My_Audit!A455))</f>
        <v>CC455</v>
      </c>
      <c r="B456" s="45" t="str">
        <f>_xlfn.TEXTJOIN("-",TRUE,"ITD",Input!$A$2,A456)</f>
        <v>ITD-XXX-CC455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 cm="1">
        <f t="array" ref="D456">IFERROR(_xlfn.LET(
_xlpm.CSVVal,_xlfn.XLOOKUP($A456,CSV!$A:$A,CSV!C:C,""),
_xlpm.MacVal,_xlfn.XLOOKUP($A456,Output_Mac!$A:$A,Output_Mac!D:D,""),
_xlpm.MyAuditVal,_xlfn.XLOOKUP($A456,My_Audit!$A:$A,My_Audit!C:C,""),
_xlfn.IFS(_xlpm.MyAuditVal&lt;&gt;"",UPPER(_xlpm.MyAuditVal),_xlpm.MacVal&lt;&gt;"",_xlpm.MacVal,_xlpm.CSVVal&lt;&gt;"",_xlpm.CSVVal
)),"")</f>
        <v/>
      </c>
      <c r="E456" s="46" t="str" cm="1">
        <f t="array" ref="E456">IFERROR(_xlfn.LET(
_xlpm.CSVVal,_xlfn.XLOOKUP($A456,CSV!$A:$A,CSV!E:E,""),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_xlpm.CSVVal,_xlfn.XLOOKUP($A456,CSV!$A:$A,CSV!G:G,""),
_xlpm.MacVal,_xlfn.XLOOKUP($A456,Output_Mac!$A:$A,Output_Mac!G:G,""),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_xlfn.XLOOKUP(A456,Output_Mac!A:A,Output_Mac!H:H,"")</f>
        <v/>
      </c>
      <c r="I456" s="45" t="str" cm="1">
        <f t="array" ref="I456">IFERROR(_xlfn.LET(
_xlpm.CSVVal,_xlfn.XLOOKUP($A456,CSV!$A:$A,CSV!H:H,""),
_xlpm.MacVal,_xlfn.XLOOKUP($A456,Output_Mac!$A:$A,Output_Mac!I:I,""),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_xlpm.CSVVal,_xlfn.XLOOKUP($A456,CSV!$A:$A,CSV!J:J,""),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46" t="str" cm="1">
        <f t="array" ref="K456">IFERROR(_xlfn.LET(
_xlpm.CSVVal,_xlfn.XLOOKUP($A456,CSV!$A:$A,CSV!N:N,""),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_xlpm.CSVVal,_xlfn.XLOOKUP($A456,CSV!$A:$A,CSV!P:P,""),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CSV!AE:AE,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_xlpm.CSVVal,_xlfn.XLOOKUP($A456,CSV!$A:$A,CSV!AG:AG,""),
_xlpm.MacVal,_xlfn.XLOOKUP($A456,Output_Mac!$A:$A,Output_Mac!T:T,""),
_xlpm.MyAuditVal,_xlfn.XLOOKUP($A456,My_Audit!$A:$A,My_Audit!O:O,""),
_xlfn.IFS(_xlpm.MyAuditVal&lt;&gt;"",UPPER(_xlpm.MyAuditVal),_xlpm.MacVal&lt;&gt;"",_xlpm.MacVal,_xlpm.CSVVal&lt;&gt;"",_xlpm.CSVVal
)),"")</f>
        <v/>
      </c>
      <c r="O456" s="46" t="str">
        <f>_xlfn.XLOOKUP(C456,My_Audit!B:B,My_Audit!P:P,"")&amp;""</f>
        <v/>
      </c>
      <c r="P456" s="45"/>
      <c r="Q456" s="46" t="str">
        <f>IF(LEFT(N456,4)="Pass","Nist SP 800-88",My_Audit!R456)&amp;""</f>
        <v/>
      </c>
      <c r="R456" s="45"/>
      <c r="S456" s="45"/>
      <c r="T456" s="46" t="str">
        <f>_xlfn.XLOOKUP(E456,Models!I:I,Models!J:J,"")</f>
        <v/>
      </c>
      <c r="U456" s="45"/>
      <c r="V456" s="45"/>
      <c r="W456" s="38" t="str">
        <f>_xlfn.LET(
    _xlpm.MacVal, _xlfn.XLOOKUP($A456, Output_Mac!$A:$A, Output_Mac!AA:AA, ""),
    _xlpm.MyAuditVal, _xlfn.XLOOKUP($A456, My_Audit!$A:$A, My_Audit!L:L, ""),
    _xlfn.TEXTJOIN(", ", TRUE, _xlpm.MyAuditVal, _xlpm.MacVal)
)</f>
        <v/>
      </c>
    </row>
    <row r="457" spans="1:23">
      <c r="A457" s="45" t="str">
        <f>_xlfn.TEXTJOIN("",TRUE,Input!$B$2,ROW(My_Audit!A456))</f>
        <v>CC456</v>
      </c>
      <c r="B457" s="45" t="str">
        <f>_xlfn.TEXTJOIN("-",TRUE,"ITD",Input!$A$2,A457)</f>
        <v>ITD-XXX-CC456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 cm="1">
        <f t="array" ref="D457">IFERROR(_xlfn.LET(
_xlpm.CSVVal,_xlfn.XLOOKUP($A457,CSV!$A:$A,CSV!C:C,""),
_xlpm.MacVal,_xlfn.XLOOKUP($A457,Output_Mac!$A:$A,Output_Mac!D:D,""),
_xlpm.MyAuditVal,_xlfn.XLOOKUP($A457,My_Audit!$A:$A,My_Audit!C:C,""),
_xlfn.IFS(_xlpm.MyAuditVal&lt;&gt;"",UPPER(_xlpm.MyAuditVal),_xlpm.MacVal&lt;&gt;"",_xlpm.MacVal,_xlpm.CSVVal&lt;&gt;"",_xlpm.CSVVal
)),"")</f>
        <v/>
      </c>
      <c r="E457" s="46" t="str" cm="1">
        <f t="array" ref="E457">IFERROR(_xlfn.LET(
_xlpm.CSVVal,_xlfn.XLOOKUP($A457,CSV!$A:$A,CSV!E:E,""),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_xlpm.CSVVal,_xlfn.XLOOKUP($A457,CSV!$A:$A,CSV!G:G,""),
_xlpm.MacVal,_xlfn.XLOOKUP($A457,Output_Mac!$A:$A,Output_Mac!G:G,""),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_xlfn.XLOOKUP(A457,Output_Mac!A:A,Output_Mac!H:H,"")</f>
        <v/>
      </c>
      <c r="I457" s="45" t="str" cm="1">
        <f t="array" ref="I457">IFERROR(_xlfn.LET(
_xlpm.CSVVal,_xlfn.XLOOKUP($A457,CSV!$A:$A,CSV!H:H,""),
_xlpm.MacVal,_xlfn.XLOOKUP($A457,Output_Mac!$A:$A,Output_Mac!I:I,""),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_xlpm.CSVVal,_xlfn.XLOOKUP($A457,CSV!$A:$A,CSV!J:J,""),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46" t="str" cm="1">
        <f t="array" ref="K457">IFERROR(_xlfn.LET(
_xlpm.CSVVal,_xlfn.XLOOKUP($A457,CSV!$A:$A,CSV!N:N,""),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_xlpm.CSVVal,_xlfn.XLOOKUP($A457,CSV!$A:$A,CSV!P:P,""),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CSV!AE:AE,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_xlpm.CSVVal,_xlfn.XLOOKUP($A457,CSV!$A:$A,CSV!AG:AG,""),
_xlpm.MacVal,_xlfn.XLOOKUP($A457,Output_Mac!$A:$A,Output_Mac!T:T,""),
_xlpm.MyAuditVal,_xlfn.XLOOKUP($A457,My_Audit!$A:$A,My_Audit!O:O,""),
_xlfn.IFS(_xlpm.MyAuditVal&lt;&gt;"",UPPER(_xlpm.MyAuditVal),_xlpm.MacVal&lt;&gt;"",_xlpm.MacVal,_xlpm.CSVVal&lt;&gt;"",_xlpm.CSVVal
)),"")</f>
        <v/>
      </c>
      <c r="O457" s="46" t="str">
        <f>_xlfn.XLOOKUP(C457,My_Audit!B:B,My_Audit!P:P,"")&amp;""</f>
        <v/>
      </c>
      <c r="P457" s="45"/>
      <c r="Q457" s="46" t="str">
        <f>IF(LEFT(N457,4)="Pass","Nist SP 800-88",My_Audit!R457)&amp;""</f>
        <v/>
      </c>
      <c r="R457" s="45"/>
      <c r="S457" s="45"/>
      <c r="T457" s="46" t="str">
        <f>_xlfn.XLOOKUP(E457,Models!I:I,Models!J:J,"")</f>
        <v/>
      </c>
      <c r="U457" s="45"/>
      <c r="V457" s="45"/>
      <c r="W457" s="38" t="str">
        <f>_xlfn.LET(
    _xlpm.MacVal, _xlfn.XLOOKUP($A457, Output_Mac!$A:$A, Output_Mac!AA:AA, ""),
    _xlpm.MyAuditVal, _xlfn.XLOOKUP($A457, My_Audit!$A:$A, My_Audit!L:L, ""),
    _xlfn.TEXTJOIN(", ", TRUE, _xlpm.MyAuditVal, _xlpm.MacVal)
)</f>
        <v/>
      </c>
    </row>
    <row r="458" spans="1:23">
      <c r="A458" s="45" t="str">
        <f>_xlfn.TEXTJOIN("",TRUE,Input!$B$2,ROW(My_Audit!A457))</f>
        <v>CC457</v>
      </c>
      <c r="B458" s="45" t="str">
        <f>_xlfn.TEXTJOIN("-",TRUE,"ITD",Input!$A$2,A458)</f>
        <v>ITD-XXX-CC457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 cm="1">
        <f t="array" ref="D458">IFERROR(_xlfn.LET(
_xlpm.CSVVal,_xlfn.XLOOKUP($A458,CSV!$A:$A,CSV!C:C,""),
_xlpm.MacVal,_xlfn.XLOOKUP($A458,Output_Mac!$A:$A,Output_Mac!D:D,""),
_xlpm.MyAuditVal,_xlfn.XLOOKUP($A458,My_Audit!$A:$A,My_Audit!C:C,""),
_xlfn.IFS(_xlpm.MyAuditVal&lt;&gt;"",UPPER(_xlpm.MyAuditVal),_xlpm.MacVal&lt;&gt;"",_xlpm.MacVal,_xlpm.CSVVal&lt;&gt;"",_xlpm.CSVVal
)),"")</f>
        <v/>
      </c>
      <c r="E458" s="46" t="str" cm="1">
        <f t="array" ref="E458">IFERROR(_xlfn.LET(
_xlpm.CSVVal,_xlfn.XLOOKUP($A458,CSV!$A:$A,CSV!E:E,""),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_xlpm.CSVVal,_xlfn.XLOOKUP($A458,CSV!$A:$A,CSV!G:G,""),
_xlpm.MacVal,_xlfn.XLOOKUP($A458,Output_Mac!$A:$A,Output_Mac!G:G,""),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_xlfn.XLOOKUP(A458,Output_Mac!A:A,Output_Mac!H:H,"")</f>
        <v/>
      </c>
      <c r="I458" s="45" t="str" cm="1">
        <f t="array" ref="I458">IFERROR(_xlfn.LET(
_xlpm.CSVVal,_xlfn.XLOOKUP($A458,CSV!$A:$A,CSV!H:H,""),
_xlpm.MacVal,_xlfn.XLOOKUP($A458,Output_Mac!$A:$A,Output_Mac!I:I,""),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_xlpm.CSVVal,_xlfn.XLOOKUP($A458,CSV!$A:$A,CSV!J:J,""),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46" t="str" cm="1">
        <f t="array" ref="K458">IFERROR(_xlfn.LET(
_xlpm.CSVVal,_xlfn.XLOOKUP($A458,CSV!$A:$A,CSV!N:N,""),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_xlpm.CSVVal,_xlfn.XLOOKUP($A458,CSV!$A:$A,CSV!P:P,""),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CSV!AE:AE,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_xlpm.CSVVal,_xlfn.XLOOKUP($A458,CSV!$A:$A,CSV!AG:AG,""),
_xlpm.MacVal,_xlfn.XLOOKUP($A458,Output_Mac!$A:$A,Output_Mac!T:T,""),
_xlpm.MyAuditVal,_xlfn.XLOOKUP($A458,My_Audit!$A:$A,My_Audit!O:O,""),
_xlfn.IFS(_xlpm.MyAuditVal&lt;&gt;"",UPPER(_xlpm.MyAuditVal),_xlpm.MacVal&lt;&gt;"",_xlpm.MacVal,_xlpm.CSVVal&lt;&gt;"",_xlpm.CSVVal
)),"")</f>
        <v/>
      </c>
      <c r="O458" s="46" t="str">
        <f>_xlfn.XLOOKUP(C458,My_Audit!B:B,My_Audit!P:P,"")&amp;""</f>
        <v/>
      </c>
      <c r="P458" s="45"/>
      <c r="Q458" s="46" t="str">
        <f>IF(LEFT(N458,4)="Pass","Nist SP 800-88",My_Audit!R458)&amp;""</f>
        <v/>
      </c>
      <c r="R458" s="45"/>
      <c r="S458" s="45"/>
      <c r="T458" s="46" t="str">
        <f>_xlfn.XLOOKUP(E458,Models!I:I,Models!J:J,"")</f>
        <v/>
      </c>
      <c r="U458" s="45"/>
      <c r="V458" s="45"/>
      <c r="W458" s="38" t="str">
        <f>_xlfn.LET(
    _xlpm.MacVal, _xlfn.XLOOKUP($A458, Output_Mac!$A:$A, Output_Mac!AA:AA, ""),
    _xlpm.MyAuditVal, _xlfn.XLOOKUP($A458, My_Audit!$A:$A, My_Audit!L:L, ""),
    _xlfn.TEXTJOIN(", ", TRUE, _xlpm.MyAuditVal, _xlpm.MacVal)
)</f>
        <v/>
      </c>
    </row>
    <row r="459" spans="1:23">
      <c r="A459" s="45" t="str">
        <f>_xlfn.TEXTJOIN("",TRUE,Input!$B$2,ROW(My_Audit!A458))</f>
        <v>CC458</v>
      </c>
      <c r="B459" s="45" t="str">
        <f>_xlfn.TEXTJOIN("-",TRUE,"ITD",Input!$A$2,A459)</f>
        <v>ITD-XXX-CC458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 cm="1">
        <f t="array" ref="D459">IFERROR(_xlfn.LET(
_xlpm.CSVVal,_xlfn.XLOOKUP($A459,CSV!$A:$A,CSV!C:C,""),
_xlpm.MacVal,_xlfn.XLOOKUP($A459,Output_Mac!$A:$A,Output_Mac!D:D,""),
_xlpm.MyAuditVal,_xlfn.XLOOKUP($A459,My_Audit!$A:$A,My_Audit!C:C,""),
_xlfn.IFS(_xlpm.MyAuditVal&lt;&gt;"",UPPER(_xlpm.MyAuditVal),_xlpm.MacVal&lt;&gt;"",_xlpm.MacVal,_xlpm.CSVVal&lt;&gt;"",_xlpm.CSVVal
)),"")</f>
        <v/>
      </c>
      <c r="E459" s="46" t="str" cm="1">
        <f t="array" ref="E459">IFERROR(_xlfn.LET(
_xlpm.CSVVal,_xlfn.XLOOKUP($A459,CSV!$A:$A,CSV!E:E,""),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_xlpm.CSVVal,_xlfn.XLOOKUP($A459,CSV!$A:$A,CSV!G:G,""),
_xlpm.MacVal,_xlfn.XLOOKUP($A459,Output_Mac!$A:$A,Output_Mac!G:G,""),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_xlfn.XLOOKUP(A459,Output_Mac!A:A,Output_Mac!H:H,"")</f>
        <v/>
      </c>
      <c r="I459" s="45" t="str" cm="1">
        <f t="array" ref="I459">IFERROR(_xlfn.LET(
_xlpm.CSVVal,_xlfn.XLOOKUP($A459,CSV!$A:$A,CSV!H:H,""),
_xlpm.MacVal,_xlfn.XLOOKUP($A459,Output_Mac!$A:$A,Output_Mac!I:I,""),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_xlpm.CSVVal,_xlfn.XLOOKUP($A459,CSV!$A:$A,CSV!J:J,""),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46" t="str" cm="1">
        <f t="array" ref="K459">IFERROR(_xlfn.LET(
_xlpm.CSVVal,_xlfn.XLOOKUP($A459,CSV!$A:$A,CSV!N:N,""),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_xlpm.CSVVal,_xlfn.XLOOKUP($A459,CSV!$A:$A,CSV!P:P,""),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CSV!AE:AE,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_xlpm.CSVVal,_xlfn.XLOOKUP($A459,CSV!$A:$A,CSV!AG:AG,""),
_xlpm.MacVal,_xlfn.XLOOKUP($A459,Output_Mac!$A:$A,Output_Mac!T:T,""),
_xlpm.MyAuditVal,_xlfn.XLOOKUP($A459,My_Audit!$A:$A,My_Audit!O:O,""),
_xlfn.IFS(_xlpm.MyAuditVal&lt;&gt;"",UPPER(_xlpm.MyAuditVal),_xlpm.MacVal&lt;&gt;"",_xlpm.MacVal,_xlpm.CSVVal&lt;&gt;"",_xlpm.CSVVal
)),"")</f>
        <v/>
      </c>
      <c r="O459" s="46" t="str">
        <f>_xlfn.XLOOKUP(C459,My_Audit!B:B,My_Audit!P:P,"")&amp;""</f>
        <v/>
      </c>
      <c r="P459" s="45"/>
      <c r="Q459" s="46" t="str">
        <f>IF(LEFT(N459,4)="Pass","Nist SP 800-88",My_Audit!R459)&amp;""</f>
        <v/>
      </c>
      <c r="R459" s="45"/>
      <c r="S459" s="45"/>
      <c r="T459" s="46" t="str">
        <f>_xlfn.XLOOKUP(E459,Models!I:I,Models!J:J,"")</f>
        <v/>
      </c>
      <c r="U459" s="45"/>
      <c r="V459" s="45"/>
      <c r="W459" s="38" t="str">
        <f>_xlfn.LET(
    _xlpm.MacVal, _xlfn.XLOOKUP($A459, Output_Mac!$A:$A, Output_Mac!AA:AA, ""),
    _xlpm.MyAuditVal, _xlfn.XLOOKUP($A459, My_Audit!$A:$A, My_Audit!L:L, ""),
    _xlfn.TEXTJOIN(", ", TRUE, _xlpm.MyAuditVal, _xlpm.MacVal)
)</f>
        <v/>
      </c>
    </row>
    <row r="460" spans="1:23">
      <c r="A460" s="45" t="str">
        <f>_xlfn.TEXTJOIN("",TRUE,Input!$B$2,ROW(My_Audit!A459))</f>
        <v>CC459</v>
      </c>
      <c r="B460" s="45" t="str">
        <f>_xlfn.TEXTJOIN("-",TRUE,"ITD",Input!$A$2,A460)</f>
        <v>ITD-XXX-CC459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 cm="1">
        <f t="array" ref="D460">IFERROR(_xlfn.LET(
_xlpm.CSVVal,_xlfn.XLOOKUP($A460,CSV!$A:$A,CSV!C:C,""),
_xlpm.MacVal,_xlfn.XLOOKUP($A460,Output_Mac!$A:$A,Output_Mac!D:D,""),
_xlpm.MyAuditVal,_xlfn.XLOOKUP($A460,My_Audit!$A:$A,My_Audit!C:C,""),
_xlfn.IFS(_xlpm.MyAuditVal&lt;&gt;"",UPPER(_xlpm.MyAuditVal),_xlpm.MacVal&lt;&gt;"",_xlpm.MacVal,_xlpm.CSVVal&lt;&gt;"",_xlpm.CSVVal
)),"")</f>
        <v/>
      </c>
      <c r="E460" s="46" t="str" cm="1">
        <f t="array" ref="E460">IFERROR(_xlfn.LET(
_xlpm.CSVVal,_xlfn.XLOOKUP($A460,CSV!$A:$A,CSV!E:E,""),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_xlpm.CSVVal,_xlfn.XLOOKUP($A460,CSV!$A:$A,CSV!G:G,""),
_xlpm.MacVal,_xlfn.XLOOKUP($A460,Output_Mac!$A:$A,Output_Mac!G:G,""),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_xlfn.XLOOKUP(A460,Output_Mac!A:A,Output_Mac!H:H,"")</f>
        <v/>
      </c>
      <c r="I460" s="45" t="str" cm="1">
        <f t="array" ref="I460">IFERROR(_xlfn.LET(
_xlpm.CSVVal,_xlfn.XLOOKUP($A460,CSV!$A:$A,CSV!H:H,""),
_xlpm.MacVal,_xlfn.XLOOKUP($A460,Output_Mac!$A:$A,Output_Mac!I:I,""),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_xlpm.CSVVal,_xlfn.XLOOKUP($A460,CSV!$A:$A,CSV!J:J,""),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46" t="str" cm="1">
        <f t="array" ref="K460">IFERROR(_xlfn.LET(
_xlpm.CSVVal,_xlfn.XLOOKUP($A460,CSV!$A:$A,CSV!N:N,""),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_xlpm.CSVVal,_xlfn.XLOOKUP($A460,CSV!$A:$A,CSV!P:P,""),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CSV!AE:AE,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_xlpm.CSVVal,_xlfn.XLOOKUP($A460,CSV!$A:$A,CSV!AG:AG,""),
_xlpm.MacVal,_xlfn.XLOOKUP($A460,Output_Mac!$A:$A,Output_Mac!T:T,""),
_xlpm.MyAuditVal,_xlfn.XLOOKUP($A460,My_Audit!$A:$A,My_Audit!O:O,""),
_xlfn.IFS(_xlpm.MyAuditVal&lt;&gt;"",UPPER(_xlpm.MyAuditVal),_xlpm.MacVal&lt;&gt;"",_xlpm.MacVal,_xlpm.CSVVal&lt;&gt;"",_xlpm.CSVVal
)),"")</f>
        <v/>
      </c>
      <c r="O460" s="46" t="str">
        <f>_xlfn.XLOOKUP(C460,My_Audit!B:B,My_Audit!P:P,"")&amp;""</f>
        <v/>
      </c>
      <c r="P460" s="45"/>
      <c r="Q460" s="46" t="str">
        <f>IF(LEFT(N460,4)="Pass","Nist SP 800-88",My_Audit!R460)&amp;""</f>
        <v/>
      </c>
      <c r="R460" s="45"/>
      <c r="S460" s="45"/>
      <c r="T460" s="46" t="str">
        <f>_xlfn.XLOOKUP(E460,Models!I:I,Models!J:J,"")</f>
        <v/>
      </c>
      <c r="U460" s="45"/>
      <c r="V460" s="45"/>
      <c r="W460" s="38" t="str">
        <f>_xlfn.LET(
    _xlpm.MacVal, _xlfn.XLOOKUP($A460, Output_Mac!$A:$A, Output_Mac!AA:AA, ""),
    _xlpm.MyAuditVal, _xlfn.XLOOKUP($A460, My_Audit!$A:$A, My_Audit!L:L, ""),
    _xlfn.TEXTJOIN(", ", TRUE, _xlpm.MyAuditVal, _xlpm.MacVal)
)</f>
        <v/>
      </c>
    </row>
    <row r="461" spans="1:23">
      <c r="A461" s="45" t="str">
        <f>_xlfn.TEXTJOIN("",TRUE,Input!$B$2,ROW(My_Audit!A460))</f>
        <v>CC460</v>
      </c>
      <c r="B461" s="45" t="str">
        <f>_xlfn.TEXTJOIN("-",TRUE,"ITD",Input!$A$2,A461)</f>
        <v>ITD-XXX-CC460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 cm="1">
        <f t="array" ref="D461">IFERROR(_xlfn.LET(
_xlpm.CSVVal,_xlfn.XLOOKUP($A461,CSV!$A:$A,CSV!C:C,""),
_xlpm.MacVal,_xlfn.XLOOKUP($A461,Output_Mac!$A:$A,Output_Mac!D:D,""),
_xlpm.MyAuditVal,_xlfn.XLOOKUP($A461,My_Audit!$A:$A,My_Audit!C:C,""),
_xlfn.IFS(_xlpm.MyAuditVal&lt;&gt;"",UPPER(_xlpm.MyAuditVal),_xlpm.MacVal&lt;&gt;"",_xlpm.MacVal,_xlpm.CSVVal&lt;&gt;"",_xlpm.CSVVal
)),"")</f>
        <v/>
      </c>
      <c r="E461" s="46" t="str" cm="1">
        <f t="array" ref="E461">IFERROR(_xlfn.LET(
_xlpm.CSVVal,_xlfn.XLOOKUP($A461,CSV!$A:$A,CSV!E:E,""),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_xlpm.CSVVal,_xlfn.XLOOKUP($A461,CSV!$A:$A,CSV!G:G,""),
_xlpm.MacVal,_xlfn.XLOOKUP($A461,Output_Mac!$A:$A,Output_Mac!G:G,""),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_xlfn.XLOOKUP(A461,Output_Mac!A:A,Output_Mac!H:H,"")</f>
        <v/>
      </c>
      <c r="I461" s="45" t="str" cm="1">
        <f t="array" ref="I461">IFERROR(_xlfn.LET(
_xlpm.CSVVal,_xlfn.XLOOKUP($A461,CSV!$A:$A,CSV!H:H,""),
_xlpm.MacVal,_xlfn.XLOOKUP($A461,Output_Mac!$A:$A,Output_Mac!I:I,""),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_xlpm.CSVVal,_xlfn.XLOOKUP($A461,CSV!$A:$A,CSV!J:J,""),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46" t="str" cm="1">
        <f t="array" ref="K461">IFERROR(_xlfn.LET(
_xlpm.CSVVal,_xlfn.XLOOKUP($A461,CSV!$A:$A,CSV!N:N,""),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_xlpm.CSVVal,_xlfn.XLOOKUP($A461,CSV!$A:$A,CSV!P:P,""),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CSV!AE:AE,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_xlpm.CSVVal,_xlfn.XLOOKUP($A461,CSV!$A:$A,CSV!AG:AG,""),
_xlpm.MacVal,_xlfn.XLOOKUP($A461,Output_Mac!$A:$A,Output_Mac!T:T,""),
_xlpm.MyAuditVal,_xlfn.XLOOKUP($A461,My_Audit!$A:$A,My_Audit!O:O,""),
_xlfn.IFS(_xlpm.MyAuditVal&lt;&gt;"",UPPER(_xlpm.MyAuditVal),_xlpm.MacVal&lt;&gt;"",_xlpm.MacVal,_xlpm.CSVVal&lt;&gt;"",_xlpm.CSVVal
)),"")</f>
        <v/>
      </c>
      <c r="O461" s="46" t="str">
        <f>_xlfn.XLOOKUP(C461,My_Audit!B:B,My_Audit!P:P,"")&amp;""</f>
        <v/>
      </c>
      <c r="P461" s="45"/>
      <c r="Q461" s="46" t="str">
        <f>IF(LEFT(N461,4)="Pass","Nist SP 800-88",My_Audit!R461)&amp;""</f>
        <v/>
      </c>
      <c r="R461" s="45"/>
      <c r="S461" s="45"/>
      <c r="T461" s="46" t="str">
        <f>_xlfn.XLOOKUP(E461,Models!I:I,Models!J:J,"")</f>
        <v/>
      </c>
      <c r="U461" s="45"/>
      <c r="V461" s="45"/>
      <c r="W461" s="38" t="str">
        <f>_xlfn.LET(
    _xlpm.MacVal, _xlfn.XLOOKUP($A461, Output_Mac!$A:$A, Output_Mac!AA:AA, ""),
    _xlpm.MyAuditVal, _xlfn.XLOOKUP($A461, My_Audit!$A:$A, My_Audit!L:L, ""),
    _xlfn.TEXTJOIN(", ", TRUE, _xlpm.MyAuditVal, _xlpm.MacVal)
)</f>
        <v/>
      </c>
    </row>
    <row r="462" spans="1:23">
      <c r="A462" s="45" t="str">
        <f>_xlfn.TEXTJOIN("",TRUE,Input!$B$2,ROW(My_Audit!A461))</f>
        <v>CC461</v>
      </c>
      <c r="B462" s="45" t="str">
        <f>_xlfn.TEXTJOIN("-",TRUE,"ITD",Input!$A$2,A462)</f>
        <v>ITD-XXX-CC461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 cm="1">
        <f t="array" ref="D462">IFERROR(_xlfn.LET(
_xlpm.CSVVal,_xlfn.XLOOKUP($A462,CSV!$A:$A,CSV!C:C,""),
_xlpm.MacVal,_xlfn.XLOOKUP($A462,Output_Mac!$A:$A,Output_Mac!D:D,""),
_xlpm.MyAuditVal,_xlfn.XLOOKUP($A462,My_Audit!$A:$A,My_Audit!C:C,""),
_xlfn.IFS(_xlpm.MyAuditVal&lt;&gt;"",UPPER(_xlpm.MyAuditVal),_xlpm.MacVal&lt;&gt;"",_xlpm.MacVal,_xlpm.CSVVal&lt;&gt;"",_xlpm.CSVVal
)),"")</f>
        <v/>
      </c>
      <c r="E462" s="46" t="str" cm="1">
        <f t="array" ref="E462">IFERROR(_xlfn.LET(
_xlpm.CSVVal,_xlfn.XLOOKUP($A462,CSV!$A:$A,CSV!E:E,""),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_xlpm.CSVVal,_xlfn.XLOOKUP($A462,CSV!$A:$A,CSV!G:G,""),
_xlpm.MacVal,_xlfn.XLOOKUP($A462,Output_Mac!$A:$A,Output_Mac!G:G,""),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_xlfn.XLOOKUP(A462,Output_Mac!A:A,Output_Mac!H:H,"")</f>
        <v/>
      </c>
      <c r="I462" s="45" t="str" cm="1">
        <f t="array" ref="I462">IFERROR(_xlfn.LET(
_xlpm.CSVVal,_xlfn.XLOOKUP($A462,CSV!$A:$A,CSV!H:H,""),
_xlpm.MacVal,_xlfn.XLOOKUP($A462,Output_Mac!$A:$A,Output_Mac!I:I,""),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_xlpm.CSVVal,_xlfn.XLOOKUP($A462,CSV!$A:$A,CSV!J:J,""),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46" t="str" cm="1">
        <f t="array" ref="K462">IFERROR(_xlfn.LET(
_xlpm.CSVVal,_xlfn.XLOOKUP($A462,CSV!$A:$A,CSV!N:N,""),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_xlpm.CSVVal,_xlfn.XLOOKUP($A462,CSV!$A:$A,CSV!P:P,""),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CSV!AE:AE,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_xlpm.CSVVal,_xlfn.XLOOKUP($A462,CSV!$A:$A,CSV!AG:AG,""),
_xlpm.MacVal,_xlfn.XLOOKUP($A462,Output_Mac!$A:$A,Output_Mac!T:T,""),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6" t="str">
        <f>IF(LEFT(N462,4)="Pass","Nist SP 800-88",My_Audit!R462)&amp;""</f>
        <v/>
      </c>
      <c r="R462" s="45"/>
      <c r="S462" s="45"/>
      <c r="T462" s="46" t="str">
        <f>_xlfn.XLOOKUP(E462,Models!I:I,Models!J:J,"")</f>
        <v/>
      </c>
      <c r="U462" s="45"/>
      <c r="V462" s="45"/>
      <c r="W462" s="38" t="str">
        <f>_xlfn.LET(
    _xlpm.MacVal, _xlfn.XLOOKUP($A462, Output_Mac!$A:$A, Output_Mac!AA:AA, ""),
    _xlpm.MyAuditVal, _xlfn.XLOOKUP($A462, My_Audit!$A:$A, My_Audit!L:L, ""),
    _xlfn.TEXTJOIN(", ", TRUE, _xlpm.MyAuditVal, _xlpm.MacVal)
)</f>
        <v/>
      </c>
    </row>
    <row r="463" spans="1:23">
      <c r="A463" s="45" t="str">
        <f>_xlfn.TEXTJOIN("",TRUE,Input!$B$2,ROW(My_Audit!A462))</f>
        <v>CC462</v>
      </c>
      <c r="B463" s="45" t="str">
        <f>_xlfn.TEXTJOIN("-",TRUE,"ITD",Input!$A$2,A463)</f>
        <v>ITD-XXX-CC462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 cm="1">
        <f t="array" ref="D463">IFERROR(_xlfn.LET(
_xlpm.CSVVal,_xlfn.XLOOKUP($A463,CSV!$A:$A,CSV!C:C,""),
_xlpm.MacVal,_xlfn.XLOOKUP($A463,Output_Mac!$A:$A,Output_Mac!D:D,""),
_xlpm.MyAuditVal,_xlfn.XLOOKUP($A463,My_Audit!$A:$A,My_Audit!C:C,""),
_xlfn.IFS(_xlpm.MyAuditVal&lt;&gt;"",UPPER(_xlpm.MyAuditVal),_xlpm.MacVal&lt;&gt;"",_xlpm.MacVal,_xlpm.CSVVal&lt;&gt;"",_xlpm.CSVVal
)),"")</f>
        <v/>
      </c>
      <c r="E463" s="46" t="str" cm="1">
        <f t="array" ref="E463">IFERROR(_xlfn.LET(
_xlpm.CSVVal,_xlfn.XLOOKUP($A463,CSV!$A:$A,CSV!E:E,""),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_xlpm.CSVVal,_xlfn.XLOOKUP($A463,CSV!$A:$A,CSV!G:G,""),
_xlpm.MacVal,_xlfn.XLOOKUP($A463,Output_Mac!$A:$A,Output_Mac!G:G,""),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_xlfn.XLOOKUP(A463,Output_Mac!A:A,Output_Mac!H:H,"")</f>
        <v/>
      </c>
      <c r="I463" s="45" t="str" cm="1">
        <f t="array" ref="I463">IFERROR(_xlfn.LET(
_xlpm.CSVVal,_xlfn.XLOOKUP($A463,CSV!$A:$A,CSV!H:H,""),
_xlpm.MacVal,_xlfn.XLOOKUP($A463,Output_Mac!$A:$A,Output_Mac!I:I,""),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_xlpm.CSVVal,_xlfn.XLOOKUP($A463,CSV!$A:$A,CSV!J:J,""),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46" t="str" cm="1">
        <f t="array" ref="K463">IFERROR(_xlfn.LET(
_xlpm.CSVVal,_xlfn.XLOOKUP($A463,CSV!$A:$A,CSV!N:N,""),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_xlpm.CSVVal,_xlfn.XLOOKUP($A463,CSV!$A:$A,CSV!P:P,""),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CSV!AE:AE,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_xlpm.CSVVal,_xlfn.XLOOKUP($A463,CSV!$A:$A,CSV!AG:AG,""),
_xlpm.MacVal,_xlfn.XLOOKUP($A463,Output_Mac!$A:$A,Output_Mac!T:T,""),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6" t="str">
        <f>IF(LEFT(N463,4)="Pass","Nist SP 800-88",My_Audit!R463)&amp;""</f>
        <v/>
      </c>
      <c r="R463" s="45"/>
      <c r="S463" s="45"/>
      <c r="T463" s="46" t="str">
        <f>_xlfn.XLOOKUP(E463,Models!I:I,Models!J:J,"")</f>
        <v/>
      </c>
      <c r="U463" s="45"/>
      <c r="V463" s="45"/>
      <c r="W463" s="38" t="str">
        <f>_xlfn.LET(
    _xlpm.MacVal, _xlfn.XLOOKUP($A463, Output_Mac!$A:$A, Output_Mac!AA:AA, ""),
    _xlpm.MyAuditVal, _xlfn.XLOOKUP($A463, My_Audit!$A:$A, My_Audit!L:L, ""),
    _xlfn.TEXTJOIN(", ", TRUE, _xlpm.MyAuditVal, _xlpm.MacVal)
)</f>
        <v/>
      </c>
    </row>
    <row r="464" spans="1:23">
      <c r="A464" s="45" t="str">
        <f>_xlfn.TEXTJOIN("",TRUE,Input!$B$2,ROW(My_Audit!A463))</f>
        <v>CC463</v>
      </c>
      <c r="B464" s="45" t="str">
        <f>_xlfn.TEXTJOIN("-",TRUE,"ITD",Input!$A$2,A464)</f>
        <v>ITD-XXX-CC463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 cm="1">
        <f t="array" ref="D464">IFERROR(_xlfn.LET(
_xlpm.CSVVal,_xlfn.XLOOKUP($A464,CSV!$A:$A,CSV!C:C,""),
_xlpm.MacVal,_xlfn.XLOOKUP($A464,Output_Mac!$A:$A,Output_Mac!D:D,""),
_xlpm.MyAuditVal,_xlfn.XLOOKUP($A464,My_Audit!$A:$A,My_Audit!C:C,""),
_xlfn.IFS(_xlpm.MyAuditVal&lt;&gt;"",UPPER(_xlpm.MyAuditVal),_xlpm.MacVal&lt;&gt;"",_xlpm.MacVal,_xlpm.CSVVal&lt;&gt;"",_xlpm.CSVVal
)),"")</f>
        <v/>
      </c>
      <c r="E464" s="46" t="str" cm="1">
        <f t="array" ref="E464">IFERROR(_xlfn.LET(
_xlpm.CSVVal,_xlfn.XLOOKUP($A464,CSV!$A:$A,CSV!E:E,""),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_xlpm.CSVVal,_xlfn.XLOOKUP($A464,CSV!$A:$A,CSV!G:G,""),
_xlpm.MacVal,_xlfn.XLOOKUP($A464,Output_Mac!$A:$A,Output_Mac!G:G,""),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_xlfn.XLOOKUP(A464,Output_Mac!A:A,Output_Mac!H:H,"")</f>
        <v/>
      </c>
      <c r="I464" s="45" t="str" cm="1">
        <f t="array" ref="I464">IFERROR(_xlfn.LET(
_xlpm.CSVVal,_xlfn.XLOOKUP($A464,CSV!$A:$A,CSV!H:H,""),
_xlpm.MacVal,_xlfn.XLOOKUP($A464,Output_Mac!$A:$A,Output_Mac!I:I,""),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_xlpm.CSVVal,_xlfn.XLOOKUP($A464,CSV!$A:$A,CSV!J:J,""),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46" t="str" cm="1">
        <f t="array" ref="K464">IFERROR(_xlfn.LET(
_xlpm.CSVVal,_xlfn.XLOOKUP($A464,CSV!$A:$A,CSV!N:N,""),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_xlpm.CSVVal,_xlfn.XLOOKUP($A464,CSV!$A:$A,CSV!P:P,""),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CSV!AE:AE,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_xlpm.CSVVal,_xlfn.XLOOKUP($A464,CSV!$A:$A,CSV!AG:AG,""),
_xlpm.MacVal,_xlfn.XLOOKUP($A464,Output_Mac!$A:$A,Output_Mac!T:T,""),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6" t="str">
        <f>IF(LEFT(N464,4)="Pass","Nist SP 800-88",My_Audit!R464)&amp;""</f>
        <v/>
      </c>
      <c r="R464" s="45"/>
      <c r="S464" s="45"/>
      <c r="T464" s="46" t="str">
        <f>_xlfn.XLOOKUP(E464,Models!I:I,Models!J:J,"")</f>
        <v/>
      </c>
      <c r="U464" s="45"/>
      <c r="V464" s="45"/>
      <c r="W464" s="38" t="str">
        <f>_xlfn.LET(
    _xlpm.MacVal, _xlfn.XLOOKUP($A464, Output_Mac!$A:$A, Output_Mac!AA:AA, ""),
    _xlpm.MyAuditVal, _xlfn.XLOOKUP($A464, My_Audit!$A:$A, My_Audit!L:L, ""),
    _xlfn.TEXTJOIN(", ", TRUE, _xlpm.MyAuditVal, _xlpm.MacVal)
)</f>
        <v/>
      </c>
    </row>
    <row r="465" spans="1:23">
      <c r="A465" s="45" t="str">
        <f>_xlfn.TEXTJOIN("",TRUE,Input!$B$2,ROW(My_Audit!A464))</f>
        <v>CC464</v>
      </c>
      <c r="B465" s="45" t="str">
        <f>_xlfn.TEXTJOIN("-",TRUE,"ITD",Input!$A$2,A465)</f>
        <v>ITD-XXX-CC464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 cm="1">
        <f t="array" ref="D465">IFERROR(_xlfn.LET(
_xlpm.CSVVal,_xlfn.XLOOKUP($A465,CSV!$A:$A,CSV!C:C,""),
_xlpm.MacVal,_xlfn.XLOOKUP($A465,Output_Mac!$A:$A,Output_Mac!D:D,""),
_xlpm.MyAuditVal,_xlfn.XLOOKUP($A465,My_Audit!$A:$A,My_Audit!C:C,""),
_xlfn.IFS(_xlpm.MyAuditVal&lt;&gt;"",UPPER(_xlpm.MyAuditVal),_xlpm.MacVal&lt;&gt;"",_xlpm.MacVal,_xlpm.CSVVal&lt;&gt;"",_xlpm.CSVVal
)),"")</f>
        <v/>
      </c>
      <c r="E465" s="46" t="str" cm="1">
        <f t="array" ref="E465">IFERROR(_xlfn.LET(
_xlpm.CSVVal,_xlfn.XLOOKUP($A465,CSV!$A:$A,CSV!E:E,""),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_xlpm.CSVVal,_xlfn.XLOOKUP($A465,CSV!$A:$A,CSV!G:G,""),
_xlpm.MacVal,_xlfn.XLOOKUP($A465,Output_Mac!$A:$A,Output_Mac!G:G,""),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_xlfn.XLOOKUP(A465,Output_Mac!A:A,Output_Mac!H:H,"")</f>
        <v/>
      </c>
      <c r="I465" s="45" t="str" cm="1">
        <f t="array" ref="I465">IFERROR(_xlfn.LET(
_xlpm.CSVVal,_xlfn.XLOOKUP($A465,CSV!$A:$A,CSV!H:H,""),
_xlpm.MacVal,_xlfn.XLOOKUP($A465,Output_Mac!$A:$A,Output_Mac!I:I,""),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_xlpm.CSVVal,_xlfn.XLOOKUP($A465,CSV!$A:$A,CSV!J:J,""),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46" t="str" cm="1">
        <f t="array" ref="K465">IFERROR(_xlfn.LET(
_xlpm.CSVVal,_xlfn.XLOOKUP($A465,CSV!$A:$A,CSV!N:N,""),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_xlpm.CSVVal,_xlfn.XLOOKUP($A465,CSV!$A:$A,CSV!P:P,""),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CSV!AE:AE,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_xlpm.CSVVal,_xlfn.XLOOKUP($A465,CSV!$A:$A,CSV!AG:AG,""),
_xlpm.MacVal,_xlfn.XLOOKUP($A465,Output_Mac!$A:$A,Output_Mac!T:T,""),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6" t="str">
        <f>IF(LEFT(N465,4)="Pass","Nist SP 800-88",My_Audit!R465)&amp;""</f>
        <v/>
      </c>
      <c r="R465" s="45"/>
      <c r="S465" s="45"/>
      <c r="T465" s="46" t="str">
        <f>_xlfn.XLOOKUP(E465,Models!I:I,Models!J:J,"")</f>
        <v/>
      </c>
      <c r="U465" s="45"/>
      <c r="V465" s="45"/>
      <c r="W465" s="38" t="str">
        <f>_xlfn.LET(
    _xlpm.MacVal, _xlfn.XLOOKUP($A465, Output_Mac!$A:$A, Output_Mac!AA:AA, ""),
    _xlpm.MyAuditVal, _xlfn.XLOOKUP($A465, My_Audit!$A:$A, My_Audit!L:L, ""),
    _xlfn.TEXTJOIN(", ", TRUE, _xlpm.MyAuditVal, _xlpm.MacVal)
)</f>
        <v/>
      </c>
    </row>
    <row r="466" spans="1:23">
      <c r="A466" s="45" t="str">
        <f>_xlfn.TEXTJOIN("",TRUE,Input!$B$2,ROW(My_Audit!A465))</f>
        <v>CC465</v>
      </c>
      <c r="B466" s="45" t="str">
        <f>_xlfn.TEXTJOIN("-",TRUE,"ITD",Input!$A$2,A466)</f>
        <v>ITD-XXX-CC465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 cm="1">
        <f t="array" ref="D466">IFERROR(_xlfn.LET(
_xlpm.CSVVal,_xlfn.XLOOKUP($A466,CSV!$A:$A,CSV!C:C,""),
_xlpm.MacVal,_xlfn.XLOOKUP($A466,Output_Mac!$A:$A,Output_Mac!D:D,""),
_xlpm.MyAuditVal,_xlfn.XLOOKUP($A466,My_Audit!$A:$A,My_Audit!C:C,""),
_xlfn.IFS(_xlpm.MyAuditVal&lt;&gt;"",UPPER(_xlpm.MyAuditVal),_xlpm.MacVal&lt;&gt;"",_xlpm.MacVal,_xlpm.CSVVal&lt;&gt;"",_xlpm.CSVVal
)),"")</f>
        <v/>
      </c>
      <c r="E466" s="46" t="str" cm="1">
        <f t="array" ref="E466">IFERROR(_xlfn.LET(
_xlpm.CSVVal,_xlfn.XLOOKUP($A466,CSV!$A:$A,CSV!E:E,""),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_xlpm.CSVVal,_xlfn.XLOOKUP($A466,CSV!$A:$A,CSV!G:G,""),
_xlpm.MacVal,_xlfn.XLOOKUP($A466,Output_Mac!$A:$A,Output_Mac!G:G,""),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_xlfn.XLOOKUP(A466,Output_Mac!A:A,Output_Mac!H:H,"")</f>
        <v/>
      </c>
      <c r="I466" s="45" t="str" cm="1">
        <f t="array" ref="I466">IFERROR(_xlfn.LET(
_xlpm.CSVVal,_xlfn.XLOOKUP($A466,CSV!$A:$A,CSV!H:H,""),
_xlpm.MacVal,_xlfn.XLOOKUP($A466,Output_Mac!$A:$A,Output_Mac!I:I,""),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_xlpm.CSVVal,_xlfn.XLOOKUP($A466,CSV!$A:$A,CSV!J:J,""),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46" t="str" cm="1">
        <f t="array" ref="K466">IFERROR(_xlfn.LET(
_xlpm.CSVVal,_xlfn.XLOOKUP($A466,CSV!$A:$A,CSV!N:N,""),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_xlpm.CSVVal,_xlfn.XLOOKUP($A466,CSV!$A:$A,CSV!P:P,""),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CSV!AE:AE,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_xlpm.CSVVal,_xlfn.XLOOKUP($A466,CSV!$A:$A,CSV!AG:AG,""),
_xlpm.MacVal,_xlfn.XLOOKUP($A466,Output_Mac!$A:$A,Output_Mac!T:T,""),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6" t="str">
        <f>IF(LEFT(N466,4)="Pass","Nist SP 800-88",My_Audit!R466)&amp;""</f>
        <v/>
      </c>
      <c r="R466" s="45"/>
      <c r="S466" s="45"/>
      <c r="T466" s="46" t="str">
        <f>_xlfn.XLOOKUP(E466,Models!I:I,Models!J:J,"")</f>
        <v/>
      </c>
      <c r="U466" s="45"/>
      <c r="V466" s="45"/>
      <c r="W466" s="38" t="str">
        <f>_xlfn.LET(
    _xlpm.MacVal, _xlfn.XLOOKUP($A466, Output_Mac!$A:$A, Output_Mac!AA:AA, ""),
    _xlpm.MyAuditVal, _xlfn.XLOOKUP($A466, My_Audit!$A:$A, My_Audit!L:L, ""),
    _xlfn.TEXTJOIN(", ", TRUE, _xlpm.MyAuditVal, _xlpm.MacVal)
)</f>
        <v/>
      </c>
    </row>
    <row r="467" spans="1:23">
      <c r="A467" s="45" t="str">
        <f>_xlfn.TEXTJOIN("",TRUE,Input!$B$2,ROW(My_Audit!A466))</f>
        <v>CC466</v>
      </c>
      <c r="B467" s="45" t="str">
        <f>_xlfn.TEXTJOIN("-",TRUE,"ITD",Input!$A$2,A467)</f>
        <v>ITD-XXX-CC466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 cm="1">
        <f t="array" ref="D467">IFERROR(_xlfn.LET(
_xlpm.CSVVal,_xlfn.XLOOKUP($A467,CSV!$A:$A,CSV!C:C,""),
_xlpm.MacVal,_xlfn.XLOOKUP($A467,Output_Mac!$A:$A,Output_Mac!D:D,""),
_xlpm.MyAuditVal,_xlfn.XLOOKUP($A467,My_Audit!$A:$A,My_Audit!C:C,""),
_xlfn.IFS(_xlpm.MyAuditVal&lt;&gt;"",UPPER(_xlpm.MyAuditVal),_xlpm.MacVal&lt;&gt;"",_xlpm.MacVal,_xlpm.CSVVal&lt;&gt;"",_xlpm.CSVVal
)),"")</f>
        <v/>
      </c>
      <c r="E467" s="46" t="str" cm="1">
        <f t="array" ref="E467">IFERROR(_xlfn.LET(
_xlpm.CSVVal,_xlfn.XLOOKUP($A467,CSV!$A:$A,CSV!E:E,""),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_xlpm.CSVVal,_xlfn.XLOOKUP($A467,CSV!$A:$A,CSV!G:G,""),
_xlpm.MacVal,_xlfn.XLOOKUP($A467,Output_Mac!$A:$A,Output_Mac!G:G,""),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_xlfn.XLOOKUP(A467,Output_Mac!A:A,Output_Mac!H:H,"")</f>
        <v/>
      </c>
      <c r="I467" s="45" t="str" cm="1">
        <f t="array" ref="I467">IFERROR(_xlfn.LET(
_xlpm.CSVVal,_xlfn.XLOOKUP($A467,CSV!$A:$A,CSV!H:H,""),
_xlpm.MacVal,_xlfn.XLOOKUP($A467,Output_Mac!$A:$A,Output_Mac!I:I,""),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_xlpm.CSVVal,_xlfn.XLOOKUP($A467,CSV!$A:$A,CSV!J:J,""),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46" t="str" cm="1">
        <f t="array" ref="K467">IFERROR(_xlfn.LET(
_xlpm.CSVVal,_xlfn.XLOOKUP($A467,CSV!$A:$A,CSV!N:N,""),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_xlpm.CSVVal,_xlfn.XLOOKUP($A467,CSV!$A:$A,CSV!P:P,""),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CSV!AE:AE,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_xlpm.CSVVal,_xlfn.XLOOKUP($A467,CSV!$A:$A,CSV!AG:AG,""),
_xlpm.MacVal,_xlfn.XLOOKUP($A467,Output_Mac!$A:$A,Output_Mac!T:T,""),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6" t="str">
        <f>IF(LEFT(N467,4)="Pass","Nist SP 800-88",My_Audit!R467)&amp;""</f>
        <v/>
      </c>
      <c r="R467" s="45"/>
      <c r="S467" s="45"/>
      <c r="T467" s="46" t="str">
        <f>_xlfn.XLOOKUP(E467,Models!I:I,Models!J:J,"")</f>
        <v/>
      </c>
      <c r="U467" s="45"/>
      <c r="V467" s="45"/>
      <c r="W467" s="38" t="str">
        <f>_xlfn.LET(
    _xlpm.MacVal, _xlfn.XLOOKUP($A467, Output_Mac!$A:$A, Output_Mac!AA:AA, ""),
    _xlpm.MyAuditVal, _xlfn.XLOOKUP($A467, My_Audit!$A:$A, My_Audit!L:L, ""),
    _xlfn.TEXTJOIN(", ", TRUE, _xlpm.MyAuditVal, _xlpm.MacVal)
)</f>
        <v/>
      </c>
    </row>
    <row r="468" spans="1:23">
      <c r="A468" s="45" t="str">
        <f>_xlfn.TEXTJOIN("",TRUE,Input!$B$2,ROW(My_Audit!A467))</f>
        <v>CC467</v>
      </c>
      <c r="B468" s="45" t="str">
        <f>_xlfn.TEXTJOIN("-",TRUE,"ITD",Input!$A$2,A468)</f>
        <v>ITD-XXX-CC467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 cm="1">
        <f t="array" ref="D468">IFERROR(_xlfn.LET(
_xlpm.CSVVal,_xlfn.XLOOKUP($A468,CSV!$A:$A,CSV!C:C,""),
_xlpm.MacVal,_xlfn.XLOOKUP($A468,Output_Mac!$A:$A,Output_Mac!D:D,""),
_xlpm.MyAuditVal,_xlfn.XLOOKUP($A468,My_Audit!$A:$A,My_Audit!C:C,""),
_xlfn.IFS(_xlpm.MyAuditVal&lt;&gt;"",UPPER(_xlpm.MyAuditVal),_xlpm.MacVal&lt;&gt;"",_xlpm.MacVal,_xlpm.CSVVal&lt;&gt;"",_xlpm.CSVVal
)),"")</f>
        <v/>
      </c>
      <c r="E468" s="46" t="str" cm="1">
        <f t="array" ref="E468">IFERROR(_xlfn.LET(
_xlpm.CSVVal,_xlfn.XLOOKUP($A468,CSV!$A:$A,CSV!E:E,""),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_xlpm.CSVVal,_xlfn.XLOOKUP($A468,CSV!$A:$A,CSV!G:G,""),
_xlpm.MacVal,_xlfn.XLOOKUP($A468,Output_Mac!$A:$A,Output_Mac!G:G,""),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_xlfn.XLOOKUP(A468,Output_Mac!A:A,Output_Mac!H:H,"")</f>
        <v/>
      </c>
      <c r="I468" s="45" t="str" cm="1">
        <f t="array" ref="I468">IFERROR(_xlfn.LET(
_xlpm.CSVVal,_xlfn.XLOOKUP($A468,CSV!$A:$A,CSV!H:H,""),
_xlpm.MacVal,_xlfn.XLOOKUP($A468,Output_Mac!$A:$A,Output_Mac!I:I,""),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_xlpm.CSVVal,_xlfn.XLOOKUP($A468,CSV!$A:$A,CSV!J:J,""),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46" t="str" cm="1">
        <f t="array" ref="K468">IFERROR(_xlfn.LET(
_xlpm.CSVVal,_xlfn.XLOOKUP($A468,CSV!$A:$A,CSV!N:N,""),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_xlpm.CSVVal,_xlfn.XLOOKUP($A468,CSV!$A:$A,CSV!P:P,""),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CSV!AE:AE,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_xlpm.CSVVal,_xlfn.XLOOKUP($A468,CSV!$A:$A,CSV!AG:AG,""),
_xlpm.MacVal,_xlfn.XLOOKUP($A468,Output_Mac!$A:$A,Output_Mac!T:T,""),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6" t="str">
        <f>IF(LEFT(N468,4)="Pass","Nist SP 800-88",My_Audit!R468)&amp;""</f>
        <v/>
      </c>
      <c r="R468" s="45"/>
      <c r="S468" s="45"/>
      <c r="T468" s="46" t="str">
        <f>_xlfn.XLOOKUP(E468,Models!I:I,Models!J:J,"")</f>
        <v/>
      </c>
      <c r="U468" s="45"/>
      <c r="V468" s="45"/>
      <c r="W468" s="38" t="str">
        <f>_xlfn.LET(
    _xlpm.MacVal, _xlfn.XLOOKUP($A468, Output_Mac!$A:$A, Output_Mac!AA:AA, ""),
    _xlpm.MyAuditVal, _xlfn.XLOOKUP($A468, My_Audit!$A:$A, My_Audit!L:L, ""),
    _xlfn.TEXTJOIN(", ", TRUE, _xlpm.MyAuditVal, _xlpm.MacVal)
)</f>
        <v/>
      </c>
    </row>
    <row r="469" spans="1:23">
      <c r="A469" s="45" t="str">
        <f>_xlfn.TEXTJOIN("",TRUE,Input!$B$2,ROW(My_Audit!A468))</f>
        <v>CC468</v>
      </c>
      <c r="B469" s="45" t="str">
        <f>_xlfn.TEXTJOIN("-",TRUE,"ITD",Input!$A$2,A469)</f>
        <v>ITD-XXX-CC468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 cm="1">
        <f t="array" ref="D469">IFERROR(_xlfn.LET(
_xlpm.CSVVal,_xlfn.XLOOKUP($A469,CSV!$A:$A,CSV!C:C,""),
_xlpm.MacVal,_xlfn.XLOOKUP($A469,Output_Mac!$A:$A,Output_Mac!D:D,""),
_xlpm.MyAuditVal,_xlfn.XLOOKUP($A469,My_Audit!$A:$A,My_Audit!C:C,""),
_xlfn.IFS(_xlpm.MyAuditVal&lt;&gt;"",UPPER(_xlpm.MyAuditVal),_xlpm.MacVal&lt;&gt;"",_xlpm.MacVal,_xlpm.CSVVal&lt;&gt;"",_xlpm.CSVVal
)),"")</f>
        <v/>
      </c>
      <c r="E469" s="46" t="str" cm="1">
        <f t="array" ref="E469">IFERROR(_xlfn.LET(
_xlpm.CSVVal,_xlfn.XLOOKUP($A469,CSV!$A:$A,CSV!E:E,""),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_xlpm.CSVVal,_xlfn.XLOOKUP($A469,CSV!$A:$A,CSV!G:G,""),
_xlpm.MacVal,_xlfn.XLOOKUP($A469,Output_Mac!$A:$A,Output_Mac!G:G,""),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_xlfn.XLOOKUP(A469,Output_Mac!A:A,Output_Mac!H:H,"")</f>
        <v/>
      </c>
      <c r="I469" s="45" t="str" cm="1">
        <f t="array" ref="I469">IFERROR(_xlfn.LET(
_xlpm.CSVVal,_xlfn.XLOOKUP($A469,CSV!$A:$A,CSV!H:H,""),
_xlpm.MacVal,_xlfn.XLOOKUP($A469,Output_Mac!$A:$A,Output_Mac!I:I,""),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_xlpm.CSVVal,_xlfn.XLOOKUP($A469,CSV!$A:$A,CSV!J:J,""),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46" t="str" cm="1">
        <f t="array" ref="K469">IFERROR(_xlfn.LET(
_xlpm.CSVVal,_xlfn.XLOOKUP($A469,CSV!$A:$A,CSV!N:N,""),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_xlpm.CSVVal,_xlfn.XLOOKUP($A469,CSV!$A:$A,CSV!P:P,""),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CSV!AE:AE,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_xlpm.CSVVal,_xlfn.XLOOKUP($A469,CSV!$A:$A,CSV!AG:AG,""),
_xlpm.MacVal,_xlfn.XLOOKUP($A469,Output_Mac!$A:$A,Output_Mac!T:T,""),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6" t="str">
        <f>IF(LEFT(N469,4)="Pass","Nist SP 800-88",My_Audit!R469)&amp;""</f>
        <v/>
      </c>
      <c r="R469" s="45"/>
      <c r="S469" s="45"/>
      <c r="T469" s="46" t="str">
        <f>_xlfn.XLOOKUP(E469,Models!I:I,Models!J:J,"")</f>
        <v/>
      </c>
      <c r="U469" s="45"/>
      <c r="V469" s="45"/>
      <c r="W469" s="38" t="str">
        <f>_xlfn.LET(
    _xlpm.MacVal, _xlfn.XLOOKUP($A469, Output_Mac!$A:$A, Output_Mac!AA:AA, ""),
    _xlpm.MyAuditVal, _xlfn.XLOOKUP($A469, My_Audit!$A:$A, My_Audit!L:L, ""),
    _xlfn.TEXTJOIN(", ", TRUE, _xlpm.MyAuditVal, _xlpm.MacVal)
)</f>
        <v/>
      </c>
    </row>
    <row r="470" spans="1:23">
      <c r="A470" s="45" t="str">
        <f>_xlfn.TEXTJOIN("",TRUE,Input!$B$2,ROW(My_Audit!A469))</f>
        <v>CC469</v>
      </c>
      <c r="B470" s="45" t="str">
        <f>_xlfn.TEXTJOIN("-",TRUE,"ITD",Input!$A$2,A470)</f>
        <v>ITD-XXX-CC469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 cm="1">
        <f t="array" ref="D470">IFERROR(_xlfn.LET(
_xlpm.CSVVal,_xlfn.XLOOKUP($A470,CSV!$A:$A,CSV!C:C,""),
_xlpm.MacVal,_xlfn.XLOOKUP($A470,Output_Mac!$A:$A,Output_Mac!D:D,""),
_xlpm.MyAuditVal,_xlfn.XLOOKUP($A470,My_Audit!$A:$A,My_Audit!C:C,""),
_xlfn.IFS(_xlpm.MyAuditVal&lt;&gt;"",UPPER(_xlpm.MyAuditVal),_xlpm.MacVal&lt;&gt;"",_xlpm.MacVal,_xlpm.CSVVal&lt;&gt;"",_xlpm.CSVVal
)),"")</f>
        <v/>
      </c>
      <c r="E470" s="46" t="str" cm="1">
        <f t="array" ref="E470">IFERROR(_xlfn.LET(
_xlpm.CSVVal,_xlfn.XLOOKUP($A470,CSV!$A:$A,CSV!E:E,""),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_xlpm.CSVVal,_xlfn.XLOOKUP($A470,CSV!$A:$A,CSV!G:G,""),
_xlpm.MacVal,_xlfn.XLOOKUP($A470,Output_Mac!$A:$A,Output_Mac!G:G,""),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_xlfn.XLOOKUP(A470,Output_Mac!A:A,Output_Mac!H:H,"")</f>
        <v/>
      </c>
      <c r="I470" s="45" t="str" cm="1">
        <f t="array" ref="I470">IFERROR(_xlfn.LET(
_xlpm.CSVVal,_xlfn.XLOOKUP($A470,CSV!$A:$A,CSV!H:H,""),
_xlpm.MacVal,_xlfn.XLOOKUP($A470,Output_Mac!$A:$A,Output_Mac!I:I,""),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_xlpm.CSVVal,_xlfn.XLOOKUP($A470,CSV!$A:$A,CSV!J:J,""),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46" t="str" cm="1">
        <f t="array" ref="K470">IFERROR(_xlfn.LET(
_xlpm.CSVVal,_xlfn.XLOOKUP($A470,CSV!$A:$A,CSV!N:N,""),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_xlpm.CSVVal,_xlfn.XLOOKUP($A470,CSV!$A:$A,CSV!P:P,""),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CSV!AE:AE,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_xlpm.CSVVal,_xlfn.XLOOKUP($A470,CSV!$A:$A,CSV!AG:AG,""),
_xlpm.MacVal,_xlfn.XLOOKUP($A470,Output_Mac!$A:$A,Output_Mac!T:T,""),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6" t="str">
        <f>IF(LEFT(N470,4)="Pass","Nist SP 800-88",My_Audit!R470)&amp;""</f>
        <v/>
      </c>
      <c r="R470" s="45"/>
      <c r="S470" s="45"/>
      <c r="T470" s="46" t="str">
        <f>_xlfn.XLOOKUP(E470,Models!I:I,Models!J:J,"")</f>
        <v/>
      </c>
      <c r="U470" s="45"/>
      <c r="V470" s="45"/>
      <c r="W470" s="38" t="str">
        <f>_xlfn.LET(
    _xlpm.MacVal, _xlfn.XLOOKUP($A470, Output_Mac!$A:$A, Output_Mac!AA:AA, ""),
    _xlpm.MyAuditVal, _xlfn.XLOOKUP($A470, My_Audit!$A:$A, My_Audit!L:L, ""),
    _xlfn.TEXTJOIN(", ", TRUE, _xlpm.MyAuditVal, _xlpm.MacVal)
)</f>
        <v/>
      </c>
    </row>
    <row r="471" spans="1:23">
      <c r="A471" s="45" t="str">
        <f>_xlfn.TEXTJOIN("",TRUE,Input!$B$2,ROW(My_Audit!A470))</f>
        <v>CC470</v>
      </c>
      <c r="B471" s="45" t="str">
        <f>_xlfn.TEXTJOIN("-",TRUE,"ITD",Input!$A$2,A471)</f>
        <v>ITD-XXX-CC470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 cm="1">
        <f t="array" ref="D471">IFERROR(_xlfn.LET(
_xlpm.CSVVal,_xlfn.XLOOKUP($A471,CSV!$A:$A,CSV!C:C,""),
_xlpm.MacVal,_xlfn.XLOOKUP($A471,Output_Mac!$A:$A,Output_Mac!D:D,""),
_xlpm.MyAuditVal,_xlfn.XLOOKUP($A471,My_Audit!$A:$A,My_Audit!C:C,""),
_xlfn.IFS(_xlpm.MyAuditVal&lt;&gt;"",UPPER(_xlpm.MyAuditVal),_xlpm.MacVal&lt;&gt;"",_xlpm.MacVal,_xlpm.CSVVal&lt;&gt;"",_xlpm.CSVVal
)),"")</f>
        <v/>
      </c>
      <c r="E471" s="46" t="str" cm="1">
        <f t="array" ref="E471">IFERROR(_xlfn.LET(
_xlpm.CSVVal,_xlfn.XLOOKUP($A471,CSV!$A:$A,CSV!E:E,""),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_xlpm.CSVVal,_xlfn.XLOOKUP($A471,CSV!$A:$A,CSV!G:G,""),
_xlpm.MacVal,_xlfn.XLOOKUP($A471,Output_Mac!$A:$A,Output_Mac!G:G,""),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_xlfn.XLOOKUP(A471,Output_Mac!A:A,Output_Mac!H:H,"")</f>
        <v/>
      </c>
      <c r="I471" s="45" t="str" cm="1">
        <f t="array" ref="I471">IFERROR(_xlfn.LET(
_xlpm.CSVVal,_xlfn.XLOOKUP($A471,CSV!$A:$A,CSV!H:H,""),
_xlpm.MacVal,_xlfn.XLOOKUP($A471,Output_Mac!$A:$A,Output_Mac!I:I,""),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_xlpm.CSVVal,_xlfn.XLOOKUP($A471,CSV!$A:$A,CSV!J:J,""),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46" t="str" cm="1">
        <f t="array" ref="K471">IFERROR(_xlfn.LET(
_xlpm.CSVVal,_xlfn.XLOOKUP($A471,CSV!$A:$A,CSV!N:N,""),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_xlpm.CSVVal,_xlfn.XLOOKUP($A471,CSV!$A:$A,CSV!P:P,""),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CSV!AE:AE,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_xlpm.CSVVal,_xlfn.XLOOKUP($A471,CSV!$A:$A,CSV!AG:AG,""),
_xlpm.MacVal,_xlfn.XLOOKUP($A471,Output_Mac!$A:$A,Output_Mac!T:T,""),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6" t="str">
        <f>IF(LEFT(N471,4)="Pass","Nist SP 800-88",My_Audit!R471)&amp;""</f>
        <v/>
      </c>
      <c r="R471" s="45"/>
      <c r="S471" s="45"/>
      <c r="T471" s="46" t="str">
        <f>_xlfn.XLOOKUP(E471,Models!I:I,Models!J:J,"")</f>
        <v/>
      </c>
      <c r="U471" s="45"/>
      <c r="V471" s="45"/>
      <c r="W471" s="38" t="str">
        <f>_xlfn.LET(
    _xlpm.MacVal, _xlfn.XLOOKUP($A471, Output_Mac!$A:$A, Output_Mac!AA:AA, ""),
    _xlpm.MyAuditVal, _xlfn.XLOOKUP($A471, My_Audit!$A:$A, My_Audit!L:L, ""),
    _xlfn.TEXTJOIN(", ", TRUE, _xlpm.MyAuditVal, _xlpm.MacVal)
)</f>
        <v/>
      </c>
    </row>
    <row r="472" spans="1:23">
      <c r="A472" s="45" t="str">
        <f>_xlfn.TEXTJOIN("",TRUE,Input!$B$2,ROW(My_Audit!A471))</f>
        <v>CC471</v>
      </c>
      <c r="B472" s="45" t="str">
        <f>_xlfn.TEXTJOIN("-",TRUE,"ITD",Input!$A$2,A472)</f>
        <v>ITD-XXX-CC471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 cm="1">
        <f t="array" ref="D472">IFERROR(_xlfn.LET(
_xlpm.CSVVal,_xlfn.XLOOKUP($A472,CSV!$A:$A,CSV!C:C,""),
_xlpm.MacVal,_xlfn.XLOOKUP($A472,Output_Mac!$A:$A,Output_Mac!D:D,""),
_xlpm.MyAuditVal,_xlfn.XLOOKUP($A472,My_Audit!$A:$A,My_Audit!C:C,""),
_xlfn.IFS(_xlpm.MyAuditVal&lt;&gt;"",UPPER(_xlpm.MyAuditVal),_xlpm.MacVal&lt;&gt;"",_xlpm.MacVal,_xlpm.CSVVal&lt;&gt;"",_xlpm.CSVVal
)),"")</f>
        <v/>
      </c>
      <c r="E472" s="46" t="str" cm="1">
        <f t="array" ref="E472">IFERROR(_xlfn.LET(
_xlpm.CSVVal,_xlfn.XLOOKUP($A472,CSV!$A:$A,CSV!E:E,""),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_xlpm.CSVVal,_xlfn.XLOOKUP($A472,CSV!$A:$A,CSV!G:G,""),
_xlpm.MacVal,_xlfn.XLOOKUP($A472,Output_Mac!$A:$A,Output_Mac!G:G,""),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_xlfn.XLOOKUP(A472,Output_Mac!A:A,Output_Mac!H:H,"")</f>
        <v/>
      </c>
      <c r="I472" s="45" t="str" cm="1">
        <f t="array" ref="I472">IFERROR(_xlfn.LET(
_xlpm.CSVVal,_xlfn.XLOOKUP($A472,CSV!$A:$A,CSV!H:H,""),
_xlpm.MacVal,_xlfn.XLOOKUP($A472,Output_Mac!$A:$A,Output_Mac!I:I,""),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_xlpm.CSVVal,_xlfn.XLOOKUP($A472,CSV!$A:$A,CSV!J:J,""),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46" t="str" cm="1">
        <f t="array" ref="K472">IFERROR(_xlfn.LET(
_xlpm.CSVVal,_xlfn.XLOOKUP($A472,CSV!$A:$A,CSV!N:N,""),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_xlpm.CSVVal,_xlfn.XLOOKUP($A472,CSV!$A:$A,CSV!P:P,""),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CSV!AE:AE,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_xlpm.CSVVal,_xlfn.XLOOKUP($A472,CSV!$A:$A,CSV!AG:AG,""),
_xlpm.MacVal,_xlfn.XLOOKUP($A472,Output_Mac!$A:$A,Output_Mac!T:T,""),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6" t="str">
        <f>IF(LEFT(N472,4)="Pass","Nist SP 800-88",My_Audit!R472)&amp;""</f>
        <v/>
      </c>
      <c r="R472" s="45"/>
      <c r="S472" s="45"/>
      <c r="T472" s="46" t="str">
        <f>_xlfn.XLOOKUP(E472,Models!I:I,Models!J:J,"")</f>
        <v/>
      </c>
      <c r="U472" s="45"/>
      <c r="V472" s="45"/>
      <c r="W472" s="38" t="str">
        <f>_xlfn.LET(
    _xlpm.MacVal, _xlfn.XLOOKUP($A472, Output_Mac!$A:$A, Output_Mac!AA:AA, ""),
    _xlpm.MyAuditVal, _xlfn.XLOOKUP($A472, My_Audit!$A:$A, My_Audit!L:L, ""),
    _xlfn.TEXTJOIN(", ", TRUE, _xlpm.MyAuditVal, _xlpm.MacVal)
)</f>
        <v/>
      </c>
    </row>
    <row r="473" spans="1:23">
      <c r="A473" s="45" t="str">
        <f>_xlfn.TEXTJOIN("",TRUE,Input!$B$2,ROW(My_Audit!A472))</f>
        <v>CC472</v>
      </c>
      <c r="B473" s="45" t="str">
        <f>_xlfn.TEXTJOIN("-",TRUE,"ITD",Input!$A$2,A473)</f>
        <v>ITD-XXX-CC472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 cm="1">
        <f t="array" ref="D473">IFERROR(_xlfn.LET(
_xlpm.CSVVal,_xlfn.XLOOKUP($A473,CSV!$A:$A,CSV!C:C,""),
_xlpm.MacVal,_xlfn.XLOOKUP($A473,Output_Mac!$A:$A,Output_Mac!D:D,""),
_xlpm.MyAuditVal,_xlfn.XLOOKUP($A473,My_Audit!$A:$A,My_Audit!C:C,""),
_xlfn.IFS(_xlpm.MyAuditVal&lt;&gt;"",UPPER(_xlpm.MyAuditVal),_xlpm.MacVal&lt;&gt;"",_xlpm.MacVal,_xlpm.CSVVal&lt;&gt;"",_xlpm.CSVVal
)),"")</f>
        <v/>
      </c>
      <c r="E473" s="46" t="str" cm="1">
        <f t="array" ref="E473">IFERROR(_xlfn.LET(
_xlpm.CSVVal,_xlfn.XLOOKUP($A473,CSV!$A:$A,CSV!E:E,""),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_xlpm.CSVVal,_xlfn.XLOOKUP($A473,CSV!$A:$A,CSV!G:G,""),
_xlpm.MacVal,_xlfn.XLOOKUP($A473,Output_Mac!$A:$A,Output_Mac!G:G,""),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_xlfn.XLOOKUP(A473,Output_Mac!A:A,Output_Mac!H:H,"")</f>
        <v/>
      </c>
      <c r="I473" s="45" t="str" cm="1">
        <f t="array" ref="I473">IFERROR(_xlfn.LET(
_xlpm.CSVVal,_xlfn.XLOOKUP($A473,CSV!$A:$A,CSV!H:H,""),
_xlpm.MacVal,_xlfn.XLOOKUP($A473,Output_Mac!$A:$A,Output_Mac!I:I,""),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_xlpm.CSVVal,_xlfn.XLOOKUP($A473,CSV!$A:$A,CSV!J:J,""),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46" t="str" cm="1">
        <f t="array" ref="K473">IFERROR(_xlfn.LET(
_xlpm.CSVVal,_xlfn.XLOOKUP($A473,CSV!$A:$A,CSV!N:N,""),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_xlpm.CSVVal,_xlfn.XLOOKUP($A473,CSV!$A:$A,CSV!P:P,""),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CSV!AE:AE,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_xlpm.CSVVal,_xlfn.XLOOKUP($A473,CSV!$A:$A,CSV!AG:AG,""),
_xlpm.MacVal,_xlfn.XLOOKUP($A473,Output_Mac!$A:$A,Output_Mac!T:T,""),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6" t="str">
        <f>IF(LEFT(N473,4)="Pass","Nist SP 800-88",My_Audit!R473)&amp;""</f>
        <v/>
      </c>
      <c r="R473" s="45"/>
      <c r="S473" s="45"/>
      <c r="T473" s="46" t="str">
        <f>_xlfn.XLOOKUP(E473,Models!I:I,Models!J:J,"")</f>
        <v/>
      </c>
      <c r="U473" s="45"/>
      <c r="V473" s="45"/>
      <c r="W473" s="38" t="str">
        <f>_xlfn.LET(
    _xlpm.MacVal, _xlfn.XLOOKUP($A473, Output_Mac!$A:$A, Output_Mac!AA:AA, ""),
    _xlpm.MyAuditVal, _xlfn.XLOOKUP($A473, My_Audit!$A:$A, My_Audit!L:L, ""),
    _xlfn.TEXTJOIN(", ", TRUE, _xlpm.MyAuditVal, _xlpm.MacVal)
)</f>
        <v/>
      </c>
    </row>
    <row r="474" spans="1:23">
      <c r="A474" s="45" t="str">
        <f>_xlfn.TEXTJOIN("",TRUE,Input!$B$2,ROW(My_Audit!A473))</f>
        <v>CC473</v>
      </c>
      <c r="B474" s="45" t="str">
        <f>_xlfn.TEXTJOIN("-",TRUE,"ITD",Input!$A$2,A474)</f>
        <v>ITD-XXX-CC473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 cm="1">
        <f t="array" ref="D474">IFERROR(_xlfn.LET(
_xlpm.CSVVal,_xlfn.XLOOKUP($A474,CSV!$A:$A,CSV!C:C,""),
_xlpm.MacVal,_xlfn.XLOOKUP($A474,Output_Mac!$A:$A,Output_Mac!D:D,""),
_xlpm.MyAuditVal,_xlfn.XLOOKUP($A474,My_Audit!$A:$A,My_Audit!C:C,""),
_xlfn.IFS(_xlpm.MyAuditVal&lt;&gt;"",UPPER(_xlpm.MyAuditVal),_xlpm.MacVal&lt;&gt;"",_xlpm.MacVal,_xlpm.CSVVal&lt;&gt;"",_xlpm.CSVVal
)),"")</f>
        <v/>
      </c>
      <c r="E474" s="46" t="str" cm="1">
        <f t="array" ref="E474">IFERROR(_xlfn.LET(
_xlpm.CSVVal,_xlfn.XLOOKUP($A474,CSV!$A:$A,CSV!E:E,""),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_xlpm.CSVVal,_xlfn.XLOOKUP($A474,CSV!$A:$A,CSV!G:G,""),
_xlpm.MacVal,_xlfn.XLOOKUP($A474,Output_Mac!$A:$A,Output_Mac!G:G,""),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_xlfn.XLOOKUP(A474,Output_Mac!A:A,Output_Mac!H:H,"")</f>
        <v/>
      </c>
      <c r="I474" s="45" t="str" cm="1">
        <f t="array" ref="I474">IFERROR(_xlfn.LET(
_xlpm.CSVVal,_xlfn.XLOOKUP($A474,CSV!$A:$A,CSV!H:H,""),
_xlpm.MacVal,_xlfn.XLOOKUP($A474,Output_Mac!$A:$A,Output_Mac!I:I,""),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_xlpm.CSVVal,_xlfn.XLOOKUP($A474,CSV!$A:$A,CSV!J:J,""),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46" t="str" cm="1">
        <f t="array" ref="K474">IFERROR(_xlfn.LET(
_xlpm.CSVVal,_xlfn.XLOOKUP($A474,CSV!$A:$A,CSV!N:N,""),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_xlpm.CSVVal,_xlfn.XLOOKUP($A474,CSV!$A:$A,CSV!P:P,""),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CSV!AE:AE,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_xlpm.CSVVal,_xlfn.XLOOKUP($A474,CSV!$A:$A,CSV!AG:AG,""),
_xlpm.MacVal,_xlfn.XLOOKUP($A474,Output_Mac!$A:$A,Output_Mac!T:T,""),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6" t="str">
        <f>IF(LEFT(N474,4)="Pass","Nist SP 800-88",My_Audit!R474)&amp;""</f>
        <v/>
      </c>
      <c r="R474" s="45"/>
      <c r="S474" s="45"/>
      <c r="T474" s="46" t="str">
        <f>_xlfn.XLOOKUP(E474,Models!I:I,Models!J:J,"")</f>
        <v/>
      </c>
      <c r="U474" s="45"/>
      <c r="V474" s="45"/>
      <c r="W474" s="38" t="str">
        <f>_xlfn.LET(
    _xlpm.MacVal, _xlfn.XLOOKUP($A474, Output_Mac!$A:$A, Output_Mac!AA:AA, ""),
    _xlpm.MyAuditVal, _xlfn.XLOOKUP($A474, My_Audit!$A:$A, My_Audit!L:L, ""),
    _xlfn.TEXTJOIN(", ", TRUE, _xlpm.MyAuditVal, _xlpm.MacVal)
)</f>
        <v/>
      </c>
    </row>
    <row r="475" spans="1:23">
      <c r="A475" s="45" t="str">
        <f>_xlfn.TEXTJOIN("",TRUE,Input!$B$2,ROW(My_Audit!A474))</f>
        <v>CC474</v>
      </c>
      <c r="B475" s="45" t="str">
        <f>_xlfn.TEXTJOIN("-",TRUE,"ITD",Input!$A$2,A475)</f>
        <v>ITD-XXX-CC474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 cm="1">
        <f t="array" ref="D475">IFERROR(_xlfn.LET(
_xlpm.CSVVal,_xlfn.XLOOKUP($A475,CSV!$A:$A,CSV!C:C,""),
_xlpm.MacVal,_xlfn.XLOOKUP($A475,Output_Mac!$A:$A,Output_Mac!D:D,""),
_xlpm.MyAuditVal,_xlfn.XLOOKUP($A475,My_Audit!$A:$A,My_Audit!C:C,""),
_xlfn.IFS(_xlpm.MyAuditVal&lt;&gt;"",UPPER(_xlpm.MyAuditVal),_xlpm.MacVal&lt;&gt;"",_xlpm.MacVal,_xlpm.CSVVal&lt;&gt;"",_xlpm.CSVVal
)),"")</f>
        <v/>
      </c>
      <c r="E475" s="46" t="str" cm="1">
        <f t="array" ref="E475">IFERROR(_xlfn.LET(
_xlpm.CSVVal,_xlfn.XLOOKUP($A475,CSV!$A:$A,CSV!E:E,""),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_xlpm.CSVVal,_xlfn.XLOOKUP($A475,CSV!$A:$A,CSV!G:G,""),
_xlpm.MacVal,_xlfn.XLOOKUP($A475,Output_Mac!$A:$A,Output_Mac!G:G,""),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_xlfn.XLOOKUP(A475,Output_Mac!A:A,Output_Mac!H:H,"")</f>
        <v/>
      </c>
      <c r="I475" s="45" t="str" cm="1">
        <f t="array" ref="I475">IFERROR(_xlfn.LET(
_xlpm.CSVVal,_xlfn.XLOOKUP($A475,CSV!$A:$A,CSV!H:H,""),
_xlpm.MacVal,_xlfn.XLOOKUP($A475,Output_Mac!$A:$A,Output_Mac!I:I,""),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_xlpm.CSVVal,_xlfn.XLOOKUP($A475,CSV!$A:$A,CSV!J:J,""),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46" t="str" cm="1">
        <f t="array" ref="K475">IFERROR(_xlfn.LET(
_xlpm.CSVVal,_xlfn.XLOOKUP($A475,CSV!$A:$A,CSV!N:N,""),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_xlpm.CSVVal,_xlfn.XLOOKUP($A475,CSV!$A:$A,CSV!P:P,""),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CSV!AE:AE,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_xlpm.CSVVal,_xlfn.XLOOKUP($A475,CSV!$A:$A,CSV!AG:AG,""),
_xlpm.MacVal,_xlfn.XLOOKUP($A475,Output_Mac!$A:$A,Output_Mac!T:T,""),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6" t="str">
        <f>IF(LEFT(N475,4)="Pass","Nist SP 800-88",My_Audit!R475)&amp;""</f>
        <v/>
      </c>
      <c r="R475" s="45"/>
      <c r="S475" s="45"/>
      <c r="T475" s="46" t="str">
        <f>_xlfn.XLOOKUP(E475,Models!I:I,Models!J:J,"")</f>
        <v/>
      </c>
      <c r="U475" s="45"/>
      <c r="V475" s="45"/>
      <c r="W475" s="38" t="str">
        <f>_xlfn.LET(
    _xlpm.MacVal, _xlfn.XLOOKUP($A475, Output_Mac!$A:$A, Output_Mac!AA:AA, ""),
    _xlpm.MyAuditVal, _xlfn.XLOOKUP($A475, My_Audit!$A:$A, My_Audit!L:L, ""),
    _xlfn.TEXTJOIN(", ", TRUE, _xlpm.MyAuditVal, _xlpm.MacVal)
)</f>
        <v/>
      </c>
    </row>
    <row r="476" spans="1:23">
      <c r="A476" s="45" t="str">
        <f>_xlfn.TEXTJOIN("",TRUE,Input!$B$2,ROW(My_Audit!A475))</f>
        <v>CC475</v>
      </c>
      <c r="B476" s="45" t="str">
        <f>_xlfn.TEXTJOIN("-",TRUE,"ITD",Input!$A$2,A476)</f>
        <v>ITD-XXX-CC475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 cm="1">
        <f t="array" ref="D476">IFERROR(_xlfn.LET(
_xlpm.CSVVal,_xlfn.XLOOKUP($A476,CSV!$A:$A,CSV!C:C,""),
_xlpm.MacVal,_xlfn.XLOOKUP($A476,Output_Mac!$A:$A,Output_Mac!D:D,""),
_xlpm.MyAuditVal,_xlfn.XLOOKUP($A476,My_Audit!$A:$A,My_Audit!C:C,""),
_xlfn.IFS(_xlpm.MyAuditVal&lt;&gt;"",UPPER(_xlpm.MyAuditVal),_xlpm.MacVal&lt;&gt;"",_xlpm.MacVal,_xlpm.CSVVal&lt;&gt;"",_xlpm.CSVVal
)),"")</f>
        <v/>
      </c>
      <c r="E476" s="46" t="str" cm="1">
        <f t="array" ref="E476">IFERROR(_xlfn.LET(
_xlpm.CSVVal,_xlfn.XLOOKUP($A476,CSV!$A:$A,CSV!E:E,""),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_xlpm.CSVVal,_xlfn.XLOOKUP($A476,CSV!$A:$A,CSV!G:G,""),
_xlpm.MacVal,_xlfn.XLOOKUP($A476,Output_Mac!$A:$A,Output_Mac!G:G,""),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_xlfn.XLOOKUP(A476,Output_Mac!A:A,Output_Mac!H:H,"")</f>
        <v/>
      </c>
      <c r="I476" s="45" t="str" cm="1">
        <f t="array" ref="I476">IFERROR(_xlfn.LET(
_xlpm.CSVVal,_xlfn.XLOOKUP($A476,CSV!$A:$A,CSV!H:H,""),
_xlpm.MacVal,_xlfn.XLOOKUP($A476,Output_Mac!$A:$A,Output_Mac!I:I,""),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_xlpm.CSVVal,_xlfn.XLOOKUP($A476,CSV!$A:$A,CSV!J:J,""),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46" t="str" cm="1">
        <f t="array" ref="K476">IFERROR(_xlfn.LET(
_xlpm.CSVVal,_xlfn.XLOOKUP($A476,CSV!$A:$A,CSV!N:N,""),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_xlpm.CSVVal,_xlfn.XLOOKUP($A476,CSV!$A:$A,CSV!P:P,""),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CSV!AE:AE,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_xlpm.CSVVal,_xlfn.XLOOKUP($A476,CSV!$A:$A,CSV!AG:AG,""),
_xlpm.MacVal,_xlfn.XLOOKUP($A476,Output_Mac!$A:$A,Output_Mac!T:T,""),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6" t="str">
        <f>IF(LEFT(N476,4)="Pass","Nist SP 800-88",My_Audit!R476)&amp;""</f>
        <v/>
      </c>
      <c r="R476" s="45"/>
      <c r="S476" s="45"/>
      <c r="T476" s="46" t="str">
        <f>_xlfn.XLOOKUP(E476,Models!I:I,Models!J:J,"")</f>
        <v/>
      </c>
      <c r="U476" s="45"/>
      <c r="V476" s="45"/>
      <c r="W476" s="38" t="str">
        <f>_xlfn.LET(
    _xlpm.MacVal, _xlfn.XLOOKUP($A476, Output_Mac!$A:$A, Output_Mac!AA:AA, ""),
    _xlpm.MyAuditVal, _xlfn.XLOOKUP($A476, My_Audit!$A:$A, My_Audit!L:L, ""),
    _xlfn.TEXTJOIN(", ", TRUE, _xlpm.MyAuditVal, _xlpm.MacVal)
)</f>
        <v/>
      </c>
    </row>
    <row r="477" spans="1:23">
      <c r="A477" s="45" t="str">
        <f>_xlfn.TEXTJOIN("",TRUE,Input!$B$2,ROW(My_Audit!A476))</f>
        <v>CC476</v>
      </c>
      <c r="B477" s="45" t="str">
        <f>_xlfn.TEXTJOIN("-",TRUE,"ITD",Input!$A$2,A477)</f>
        <v>ITD-XXX-CC476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 cm="1">
        <f t="array" ref="D477">IFERROR(_xlfn.LET(
_xlpm.CSVVal,_xlfn.XLOOKUP($A477,CSV!$A:$A,CSV!C:C,""),
_xlpm.MacVal,_xlfn.XLOOKUP($A477,Output_Mac!$A:$A,Output_Mac!D:D,""),
_xlpm.MyAuditVal,_xlfn.XLOOKUP($A477,My_Audit!$A:$A,My_Audit!C:C,""),
_xlfn.IFS(_xlpm.MyAuditVal&lt;&gt;"",UPPER(_xlpm.MyAuditVal),_xlpm.MacVal&lt;&gt;"",_xlpm.MacVal,_xlpm.CSVVal&lt;&gt;"",_xlpm.CSVVal
)),"")</f>
        <v/>
      </c>
      <c r="E477" s="46" t="str" cm="1">
        <f t="array" ref="E477">IFERROR(_xlfn.LET(
_xlpm.CSVVal,_xlfn.XLOOKUP($A477,CSV!$A:$A,CSV!E:E,""),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_xlpm.CSVVal,_xlfn.XLOOKUP($A477,CSV!$A:$A,CSV!G:G,""),
_xlpm.MacVal,_xlfn.XLOOKUP($A477,Output_Mac!$A:$A,Output_Mac!G:G,""),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_xlfn.XLOOKUP(A477,Output_Mac!A:A,Output_Mac!H:H,"")</f>
        <v/>
      </c>
      <c r="I477" s="45" t="str" cm="1">
        <f t="array" ref="I477">IFERROR(_xlfn.LET(
_xlpm.CSVVal,_xlfn.XLOOKUP($A477,CSV!$A:$A,CSV!H:H,""),
_xlpm.MacVal,_xlfn.XLOOKUP($A477,Output_Mac!$A:$A,Output_Mac!I:I,""),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_xlpm.CSVVal,_xlfn.XLOOKUP($A477,CSV!$A:$A,CSV!J:J,""),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46" t="str" cm="1">
        <f t="array" ref="K477">IFERROR(_xlfn.LET(
_xlpm.CSVVal,_xlfn.XLOOKUP($A477,CSV!$A:$A,CSV!N:N,""),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_xlpm.CSVVal,_xlfn.XLOOKUP($A477,CSV!$A:$A,CSV!P:P,""),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CSV!AE:AE,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_xlpm.CSVVal,_xlfn.XLOOKUP($A477,CSV!$A:$A,CSV!AG:AG,""),
_xlpm.MacVal,_xlfn.XLOOKUP($A477,Output_Mac!$A:$A,Output_Mac!T:T,""),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6" t="str">
        <f>IF(LEFT(N477,4)="Pass","Nist SP 800-88",My_Audit!R477)&amp;""</f>
        <v/>
      </c>
      <c r="R477" s="45"/>
      <c r="S477" s="45"/>
      <c r="T477" s="46" t="str">
        <f>_xlfn.XLOOKUP(E477,Models!I:I,Models!J:J,"")</f>
        <v/>
      </c>
      <c r="U477" s="45"/>
      <c r="V477" s="45"/>
      <c r="W477" s="38" t="str">
        <f>_xlfn.LET(
    _xlpm.MacVal, _xlfn.XLOOKUP($A477, Output_Mac!$A:$A, Output_Mac!AA:AA, ""),
    _xlpm.MyAuditVal, _xlfn.XLOOKUP($A477, My_Audit!$A:$A, My_Audit!L:L, ""),
    _xlfn.TEXTJOIN(", ", TRUE, _xlpm.MyAuditVal, _xlpm.MacVal)
)</f>
        <v/>
      </c>
    </row>
    <row r="478" spans="1:23">
      <c r="A478" s="45" t="str">
        <f>_xlfn.TEXTJOIN("",TRUE,Input!$B$2,ROW(My_Audit!A477))</f>
        <v>CC477</v>
      </c>
      <c r="B478" s="45" t="str">
        <f>_xlfn.TEXTJOIN("-",TRUE,"ITD",Input!$A$2,A478)</f>
        <v>ITD-XXX-CC477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 cm="1">
        <f t="array" ref="D478">IFERROR(_xlfn.LET(
_xlpm.CSVVal,_xlfn.XLOOKUP($A478,CSV!$A:$A,CSV!C:C,""),
_xlpm.MacVal,_xlfn.XLOOKUP($A478,Output_Mac!$A:$A,Output_Mac!D:D,""),
_xlpm.MyAuditVal,_xlfn.XLOOKUP($A478,My_Audit!$A:$A,My_Audit!C:C,""),
_xlfn.IFS(_xlpm.MyAuditVal&lt;&gt;"",UPPER(_xlpm.MyAuditVal),_xlpm.MacVal&lt;&gt;"",_xlpm.MacVal,_xlpm.CSVVal&lt;&gt;"",_xlpm.CSVVal
)),"")</f>
        <v/>
      </c>
      <c r="E478" s="46" t="str" cm="1">
        <f t="array" ref="E478">IFERROR(_xlfn.LET(
_xlpm.CSVVal,_xlfn.XLOOKUP($A478,CSV!$A:$A,CSV!E:E,""),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_xlpm.CSVVal,_xlfn.XLOOKUP($A478,CSV!$A:$A,CSV!G:G,""),
_xlpm.MacVal,_xlfn.XLOOKUP($A478,Output_Mac!$A:$A,Output_Mac!G:G,""),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_xlfn.XLOOKUP(A478,Output_Mac!A:A,Output_Mac!H:H,"")</f>
        <v/>
      </c>
      <c r="I478" s="45" t="str" cm="1">
        <f t="array" ref="I478">IFERROR(_xlfn.LET(
_xlpm.CSVVal,_xlfn.XLOOKUP($A478,CSV!$A:$A,CSV!H:H,""),
_xlpm.MacVal,_xlfn.XLOOKUP($A478,Output_Mac!$A:$A,Output_Mac!I:I,""),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_xlpm.CSVVal,_xlfn.XLOOKUP($A478,CSV!$A:$A,CSV!J:J,""),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46" t="str" cm="1">
        <f t="array" ref="K478">IFERROR(_xlfn.LET(
_xlpm.CSVVal,_xlfn.XLOOKUP($A478,CSV!$A:$A,CSV!N:N,""),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_xlpm.CSVVal,_xlfn.XLOOKUP($A478,CSV!$A:$A,CSV!P:P,""),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CSV!AE:AE,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_xlpm.CSVVal,_xlfn.XLOOKUP($A478,CSV!$A:$A,CSV!AG:AG,""),
_xlpm.MacVal,_xlfn.XLOOKUP($A478,Output_Mac!$A:$A,Output_Mac!T:T,""),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6" t="str">
        <f>IF(LEFT(N478,4)="Pass","Nist SP 800-88",My_Audit!R478)&amp;""</f>
        <v/>
      </c>
      <c r="R478" s="45"/>
      <c r="S478" s="45"/>
      <c r="T478" s="46" t="str">
        <f>_xlfn.XLOOKUP(E478,Models!I:I,Models!J:J,"")</f>
        <v/>
      </c>
      <c r="U478" s="45"/>
      <c r="V478" s="45"/>
      <c r="W478" s="38" t="str">
        <f>_xlfn.LET(
    _xlpm.MacVal, _xlfn.XLOOKUP($A478, Output_Mac!$A:$A, Output_Mac!AA:AA, ""),
    _xlpm.MyAuditVal, _xlfn.XLOOKUP($A478, My_Audit!$A:$A, My_Audit!L:L, ""),
    _xlfn.TEXTJOIN(", ", TRUE, _xlpm.MyAuditVal, _xlpm.MacVal)
)</f>
        <v/>
      </c>
    </row>
    <row r="479" spans="1:23">
      <c r="A479" s="45" t="str">
        <f>_xlfn.TEXTJOIN("",TRUE,Input!$B$2,ROW(My_Audit!A478))</f>
        <v>CC478</v>
      </c>
      <c r="B479" s="45" t="str">
        <f>_xlfn.TEXTJOIN("-",TRUE,"ITD",Input!$A$2,A479)</f>
        <v>ITD-XXX-CC478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 cm="1">
        <f t="array" ref="D479">IFERROR(_xlfn.LET(
_xlpm.CSVVal,_xlfn.XLOOKUP($A479,CSV!$A:$A,CSV!C:C,""),
_xlpm.MacVal,_xlfn.XLOOKUP($A479,Output_Mac!$A:$A,Output_Mac!D:D,""),
_xlpm.MyAuditVal,_xlfn.XLOOKUP($A479,My_Audit!$A:$A,My_Audit!C:C,""),
_xlfn.IFS(_xlpm.MyAuditVal&lt;&gt;"",UPPER(_xlpm.MyAuditVal),_xlpm.MacVal&lt;&gt;"",_xlpm.MacVal,_xlpm.CSVVal&lt;&gt;"",_xlpm.CSVVal
)),"")</f>
        <v/>
      </c>
      <c r="E479" s="46" t="str" cm="1">
        <f t="array" ref="E479">IFERROR(_xlfn.LET(
_xlpm.CSVVal,_xlfn.XLOOKUP($A479,CSV!$A:$A,CSV!E:E,""),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_xlpm.CSVVal,_xlfn.XLOOKUP($A479,CSV!$A:$A,CSV!G:G,""),
_xlpm.MacVal,_xlfn.XLOOKUP($A479,Output_Mac!$A:$A,Output_Mac!G:G,""),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_xlfn.XLOOKUP(A479,Output_Mac!A:A,Output_Mac!H:H,"")</f>
        <v/>
      </c>
      <c r="I479" s="45" t="str" cm="1">
        <f t="array" ref="I479">IFERROR(_xlfn.LET(
_xlpm.CSVVal,_xlfn.XLOOKUP($A479,CSV!$A:$A,CSV!H:H,""),
_xlpm.MacVal,_xlfn.XLOOKUP($A479,Output_Mac!$A:$A,Output_Mac!I:I,""),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_xlpm.CSVVal,_xlfn.XLOOKUP($A479,CSV!$A:$A,CSV!J:J,""),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46" t="str" cm="1">
        <f t="array" ref="K479">IFERROR(_xlfn.LET(
_xlpm.CSVVal,_xlfn.XLOOKUP($A479,CSV!$A:$A,CSV!N:N,""),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_xlpm.CSVVal,_xlfn.XLOOKUP($A479,CSV!$A:$A,CSV!P:P,""),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CSV!AE:AE,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_xlpm.CSVVal,_xlfn.XLOOKUP($A479,CSV!$A:$A,CSV!AG:AG,""),
_xlpm.MacVal,_xlfn.XLOOKUP($A479,Output_Mac!$A:$A,Output_Mac!T:T,""),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6" t="str">
        <f>IF(LEFT(N479,4)="Pass","Nist SP 800-88",My_Audit!R479)&amp;""</f>
        <v/>
      </c>
      <c r="R479" s="45"/>
      <c r="S479" s="45"/>
      <c r="T479" s="46" t="str">
        <f>_xlfn.XLOOKUP(E479,Models!I:I,Models!J:J,"")</f>
        <v/>
      </c>
      <c r="U479" s="45"/>
      <c r="V479" s="45"/>
      <c r="W479" s="38" t="str">
        <f>_xlfn.LET(
    _xlpm.MacVal, _xlfn.XLOOKUP($A479, Output_Mac!$A:$A, Output_Mac!AA:AA, ""),
    _xlpm.MyAuditVal, _xlfn.XLOOKUP($A479, My_Audit!$A:$A, My_Audit!L:L, ""),
    _xlfn.TEXTJOIN(", ", TRUE, _xlpm.MyAuditVal, _xlpm.MacVal)
)</f>
        <v/>
      </c>
    </row>
    <row r="480" spans="1:23">
      <c r="A480" s="45" t="str">
        <f>_xlfn.TEXTJOIN("",TRUE,Input!$B$2,ROW(My_Audit!A479))</f>
        <v>CC479</v>
      </c>
      <c r="B480" s="45" t="str">
        <f>_xlfn.TEXTJOIN("-",TRUE,"ITD",Input!$A$2,A480)</f>
        <v>ITD-XXX-CC479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 cm="1">
        <f t="array" ref="D480">IFERROR(_xlfn.LET(
_xlpm.CSVVal,_xlfn.XLOOKUP($A480,CSV!$A:$A,CSV!C:C,""),
_xlpm.MacVal,_xlfn.XLOOKUP($A480,Output_Mac!$A:$A,Output_Mac!D:D,""),
_xlpm.MyAuditVal,_xlfn.XLOOKUP($A480,My_Audit!$A:$A,My_Audit!C:C,""),
_xlfn.IFS(_xlpm.MyAuditVal&lt;&gt;"",UPPER(_xlpm.MyAuditVal),_xlpm.MacVal&lt;&gt;"",_xlpm.MacVal,_xlpm.CSVVal&lt;&gt;"",_xlpm.CSVVal
)),"")</f>
        <v/>
      </c>
      <c r="E480" s="46" t="str" cm="1">
        <f t="array" ref="E480">IFERROR(_xlfn.LET(
_xlpm.CSVVal,_xlfn.XLOOKUP($A480,CSV!$A:$A,CSV!E:E,""),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_xlpm.CSVVal,_xlfn.XLOOKUP($A480,CSV!$A:$A,CSV!G:G,""),
_xlpm.MacVal,_xlfn.XLOOKUP($A480,Output_Mac!$A:$A,Output_Mac!G:G,""),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_xlfn.XLOOKUP(A480,Output_Mac!A:A,Output_Mac!H:H,"")</f>
        <v/>
      </c>
      <c r="I480" s="45" t="str" cm="1">
        <f t="array" ref="I480">IFERROR(_xlfn.LET(
_xlpm.CSVVal,_xlfn.XLOOKUP($A480,CSV!$A:$A,CSV!H:H,""),
_xlpm.MacVal,_xlfn.XLOOKUP($A480,Output_Mac!$A:$A,Output_Mac!I:I,""),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_xlpm.CSVVal,_xlfn.XLOOKUP($A480,CSV!$A:$A,CSV!J:J,""),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46" t="str" cm="1">
        <f t="array" ref="K480">IFERROR(_xlfn.LET(
_xlpm.CSVVal,_xlfn.XLOOKUP($A480,CSV!$A:$A,CSV!N:N,""),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_xlpm.CSVVal,_xlfn.XLOOKUP($A480,CSV!$A:$A,CSV!P:P,""),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CSV!AE:AE,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_xlpm.CSVVal,_xlfn.XLOOKUP($A480,CSV!$A:$A,CSV!AG:AG,""),
_xlpm.MacVal,_xlfn.XLOOKUP($A480,Output_Mac!$A:$A,Output_Mac!T:T,""),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6" t="str">
        <f>IF(LEFT(N480,4)="Pass","Nist SP 800-88",My_Audit!R480)&amp;""</f>
        <v/>
      </c>
      <c r="R480" s="45"/>
      <c r="S480" s="45"/>
      <c r="T480" s="46" t="str">
        <f>_xlfn.XLOOKUP(E480,Models!I:I,Models!J:J,"")</f>
        <v/>
      </c>
      <c r="U480" s="45"/>
      <c r="V480" s="45"/>
      <c r="W480" s="38" t="str">
        <f>_xlfn.LET(
    _xlpm.MacVal, _xlfn.XLOOKUP($A480, Output_Mac!$A:$A, Output_Mac!AA:AA, ""),
    _xlpm.MyAuditVal, _xlfn.XLOOKUP($A480, My_Audit!$A:$A, My_Audit!L:L, ""),
    _xlfn.TEXTJOIN(", ", TRUE, _xlpm.MyAuditVal, _xlpm.MacVal)
)</f>
        <v/>
      </c>
    </row>
    <row r="481" spans="1:23">
      <c r="A481" s="45" t="str">
        <f>_xlfn.TEXTJOIN("",TRUE,Input!$B$2,ROW(My_Audit!A480))</f>
        <v>CC480</v>
      </c>
      <c r="B481" s="45" t="str">
        <f>_xlfn.TEXTJOIN("-",TRUE,"ITD",Input!$A$2,A481)</f>
        <v>ITD-XXX-CC480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 cm="1">
        <f t="array" ref="D481">IFERROR(_xlfn.LET(
_xlpm.CSVVal,_xlfn.XLOOKUP($A481,CSV!$A:$A,CSV!C:C,""),
_xlpm.MacVal,_xlfn.XLOOKUP($A481,Output_Mac!$A:$A,Output_Mac!D:D,""),
_xlpm.MyAuditVal,_xlfn.XLOOKUP($A481,My_Audit!$A:$A,My_Audit!C:C,""),
_xlfn.IFS(_xlpm.MyAuditVal&lt;&gt;"",UPPER(_xlpm.MyAuditVal),_xlpm.MacVal&lt;&gt;"",_xlpm.MacVal,_xlpm.CSVVal&lt;&gt;"",_xlpm.CSVVal
)),"")</f>
        <v/>
      </c>
      <c r="E481" s="46" t="str" cm="1">
        <f t="array" ref="E481">IFERROR(_xlfn.LET(
_xlpm.CSVVal,_xlfn.XLOOKUP($A481,CSV!$A:$A,CSV!E:E,""),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_xlpm.CSVVal,_xlfn.XLOOKUP($A481,CSV!$A:$A,CSV!G:G,""),
_xlpm.MacVal,_xlfn.XLOOKUP($A481,Output_Mac!$A:$A,Output_Mac!G:G,""),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_xlfn.XLOOKUP(A481,Output_Mac!A:A,Output_Mac!H:H,"")</f>
        <v/>
      </c>
      <c r="I481" s="45" t="str" cm="1">
        <f t="array" ref="I481">IFERROR(_xlfn.LET(
_xlpm.CSVVal,_xlfn.XLOOKUP($A481,CSV!$A:$A,CSV!H:H,""),
_xlpm.MacVal,_xlfn.XLOOKUP($A481,Output_Mac!$A:$A,Output_Mac!I:I,""),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_xlpm.CSVVal,_xlfn.XLOOKUP($A481,CSV!$A:$A,CSV!J:J,""),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46" t="str" cm="1">
        <f t="array" ref="K481">IFERROR(_xlfn.LET(
_xlpm.CSVVal,_xlfn.XLOOKUP($A481,CSV!$A:$A,CSV!N:N,""),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_xlpm.CSVVal,_xlfn.XLOOKUP($A481,CSV!$A:$A,CSV!P:P,""),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CSV!AE:AE,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_xlpm.CSVVal,_xlfn.XLOOKUP($A481,CSV!$A:$A,CSV!AG:AG,""),
_xlpm.MacVal,_xlfn.XLOOKUP($A481,Output_Mac!$A:$A,Output_Mac!T:T,""),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6" t="str">
        <f>IF(LEFT(N481,4)="Pass","Nist SP 800-88",My_Audit!R481)&amp;""</f>
        <v/>
      </c>
      <c r="R481" s="45"/>
      <c r="S481" s="45"/>
      <c r="T481" s="46" t="str">
        <f>_xlfn.XLOOKUP(E481,Models!I:I,Models!J:J,"")</f>
        <v/>
      </c>
      <c r="U481" s="45"/>
      <c r="V481" s="45"/>
      <c r="W481" s="38" t="str">
        <f>_xlfn.LET(
    _xlpm.MacVal, _xlfn.XLOOKUP($A481, Output_Mac!$A:$A, Output_Mac!AA:AA, ""),
    _xlpm.MyAuditVal, _xlfn.XLOOKUP($A481, My_Audit!$A:$A, My_Audit!L:L, ""),
    _xlfn.TEXTJOIN(", ", TRUE, _xlpm.MyAuditVal, _xlpm.MacVal)
)</f>
        <v/>
      </c>
    </row>
    <row r="482" spans="1:23">
      <c r="A482" s="45" t="str">
        <f>_xlfn.TEXTJOIN("",TRUE,Input!$B$2,ROW(My_Audit!A481))</f>
        <v>CC481</v>
      </c>
      <c r="B482" s="45" t="str">
        <f>_xlfn.TEXTJOIN("-",TRUE,"ITD",Input!$A$2,A482)</f>
        <v>ITD-XXX-CC481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 cm="1">
        <f t="array" ref="D482">IFERROR(_xlfn.LET(
_xlpm.CSVVal,_xlfn.XLOOKUP($A482,CSV!$A:$A,CSV!C:C,""),
_xlpm.MacVal,_xlfn.XLOOKUP($A482,Output_Mac!$A:$A,Output_Mac!D:D,""),
_xlpm.MyAuditVal,_xlfn.XLOOKUP($A482,My_Audit!$A:$A,My_Audit!C:C,""),
_xlfn.IFS(_xlpm.MyAuditVal&lt;&gt;"",UPPER(_xlpm.MyAuditVal),_xlpm.MacVal&lt;&gt;"",_xlpm.MacVal,_xlpm.CSVVal&lt;&gt;"",_xlpm.CSVVal
)),"")</f>
        <v/>
      </c>
      <c r="E482" s="46" t="str" cm="1">
        <f t="array" ref="E482">IFERROR(_xlfn.LET(
_xlpm.CSVVal,_xlfn.XLOOKUP($A482,CSV!$A:$A,CSV!E:E,""),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_xlpm.CSVVal,_xlfn.XLOOKUP($A482,CSV!$A:$A,CSV!G:G,""),
_xlpm.MacVal,_xlfn.XLOOKUP($A482,Output_Mac!$A:$A,Output_Mac!G:G,""),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_xlfn.XLOOKUP(A482,Output_Mac!A:A,Output_Mac!H:H,"")</f>
        <v/>
      </c>
      <c r="I482" s="45" t="str" cm="1">
        <f t="array" ref="I482">IFERROR(_xlfn.LET(
_xlpm.CSVVal,_xlfn.XLOOKUP($A482,CSV!$A:$A,CSV!H:H,""),
_xlpm.MacVal,_xlfn.XLOOKUP($A482,Output_Mac!$A:$A,Output_Mac!I:I,""),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_xlpm.CSVVal,_xlfn.XLOOKUP($A482,CSV!$A:$A,CSV!J:J,""),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46" t="str" cm="1">
        <f t="array" ref="K482">IFERROR(_xlfn.LET(
_xlpm.CSVVal,_xlfn.XLOOKUP($A482,CSV!$A:$A,CSV!N:N,""),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_xlpm.CSVVal,_xlfn.XLOOKUP($A482,CSV!$A:$A,CSV!P:P,""),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CSV!AE:AE,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_xlpm.CSVVal,_xlfn.XLOOKUP($A482,CSV!$A:$A,CSV!AG:AG,""),
_xlpm.MacVal,_xlfn.XLOOKUP($A482,Output_Mac!$A:$A,Output_Mac!T:T,""),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6" t="str">
        <f>IF(LEFT(N482,4)="Pass","Nist SP 800-88",My_Audit!R482)&amp;""</f>
        <v/>
      </c>
      <c r="R482" s="45"/>
      <c r="S482" s="45"/>
      <c r="T482" s="46" t="str">
        <f>_xlfn.XLOOKUP(E482,Models!I:I,Models!J:J,"")</f>
        <v/>
      </c>
      <c r="U482" s="45"/>
      <c r="V482" s="45"/>
      <c r="W482" s="38" t="str">
        <f>_xlfn.LET(
    _xlpm.MacVal, _xlfn.XLOOKUP($A482, Output_Mac!$A:$A, Output_Mac!AA:AA, ""),
    _xlpm.MyAuditVal, _xlfn.XLOOKUP($A482, My_Audit!$A:$A, My_Audit!L:L, ""),
    _xlfn.TEXTJOIN(", ", TRUE, _xlpm.MyAuditVal, _xlpm.MacVal)
)</f>
        <v/>
      </c>
    </row>
    <row r="483" spans="1:23">
      <c r="A483" s="45" t="str">
        <f>_xlfn.TEXTJOIN("",TRUE,Input!$B$2,ROW(My_Audit!A482))</f>
        <v>CC482</v>
      </c>
      <c r="B483" s="45" t="str">
        <f>_xlfn.TEXTJOIN("-",TRUE,"ITD",Input!$A$2,A483)</f>
        <v>ITD-XXX-CC482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 cm="1">
        <f t="array" ref="D483">IFERROR(_xlfn.LET(
_xlpm.CSVVal,_xlfn.XLOOKUP($A483,CSV!$A:$A,CSV!C:C,""),
_xlpm.MacVal,_xlfn.XLOOKUP($A483,Output_Mac!$A:$A,Output_Mac!D:D,""),
_xlpm.MyAuditVal,_xlfn.XLOOKUP($A483,My_Audit!$A:$A,My_Audit!C:C,""),
_xlfn.IFS(_xlpm.MyAuditVal&lt;&gt;"",UPPER(_xlpm.MyAuditVal),_xlpm.MacVal&lt;&gt;"",_xlpm.MacVal,_xlpm.CSVVal&lt;&gt;"",_xlpm.CSVVal
)),"")</f>
        <v/>
      </c>
      <c r="E483" s="46" t="str" cm="1">
        <f t="array" ref="E483">IFERROR(_xlfn.LET(
_xlpm.CSVVal,_xlfn.XLOOKUP($A483,CSV!$A:$A,CSV!E:E,""),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_xlpm.CSVVal,_xlfn.XLOOKUP($A483,CSV!$A:$A,CSV!G:G,""),
_xlpm.MacVal,_xlfn.XLOOKUP($A483,Output_Mac!$A:$A,Output_Mac!G:G,""),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_xlfn.XLOOKUP(A483,Output_Mac!A:A,Output_Mac!H:H,"")</f>
        <v/>
      </c>
      <c r="I483" s="45" t="str" cm="1">
        <f t="array" ref="I483">IFERROR(_xlfn.LET(
_xlpm.CSVVal,_xlfn.XLOOKUP($A483,CSV!$A:$A,CSV!H:H,""),
_xlpm.MacVal,_xlfn.XLOOKUP($A483,Output_Mac!$A:$A,Output_Mac!I:I,""),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_xlpm.CSVVal,_xlfn.XLOOKUP($A483,CSV!$A:$A,CSV!J:J,""),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46" t="str" cm="1">
        <f t="array" ref="K483">IFERROR(_xlfn.LET(
_xlpm.CSVVal,_xlfn.XLOOKUP($A483,CSV!$A:$A,CSV!N:N,""),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_xlpm.CSVVal,_xlfn.XLOOKUP($A483,CSV!$A:$A,CSV!P:P,""),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CSV!AE:AE,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_xlpm.CSVVal,_xlfn.XLOOKUP($A483,CSV!$A:$A,CSV!AG:AG,""),
_xlpm.MacVal,_xlfn.XLOOKUP($A483,Output_Mac!$A:$A,Output_Mac!T:T,""),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6" t="str">
        <f>IF(LEFT(N483,4)="Pass","Nist SP 800-88",My_Audit!R483)&amp;""</f>
        <v/>
      </c>
      <c r="R483" s="45"/>
      <c r="S483" s="45"/>
      <c r="T483" s="46" t="str">
        <f>_xlfn.XLOOKUP(E483,Models!I:I,Models!J:J,"")</f>
        <v/>
      </c>
      <c r="U483" s="45"/>
      <c r="V483" s="45"/>
      <c r="W483" s="38" t="str">
        <f>_xlfn.LET(
    _xlpm.MacVal, _xlfn.XLOOKUP($A483, Output_Mac!$A:$A, Output_Mac!AA:AA, ""),
    _xlpm.MyAuditVal, _xlfn.XLOOKUP($A483, My_Audit!$A:$A, My_Audit!L:L, ""),
    _xlfn.TEXTJOIN(", ", TRUE, _xlpm.MyAuditVal, _xlpm.MacVal)
)</f>
        <v/>
      </c>
    </row>
    <row r="484" spans="1:23">
      <c r="A484" s="45" t="str">
        <f>_xlfn.TEXTJOIN("",TRUE,Input!$B$2,ROW(My_Audit!A483))</f>
        <v>CC483</v>
      </c>
      <c r="B484" s="45" t="str">
        <f>_xlfn.TEXTJOIN("-",TRUE,"ITD",Input!$A$2,A484)</f>
        <v>ITD-XXX-CC483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 cm="1">
        <f t="array" ref="D484">IFERROR(_xlfn.LET(
_xlpm.CSVVal,_xlfn.XLOOKUP($A484,CSV!$A:$A,CSV!C:C,""),
_xlpm.MacVal,_xlfn.XLOOKUP($A484,Output_Mac!$A:$A,Output_Mac!D:D,""),
_xlpm.MyAuditVal,_xlfn.XLOOKUP($A484,My_Audit!$A:$A,My_Audit!C:C,""),
_xlfn.IFS(_xlpm.MyAuditVal&lt;&gt;"",UPPER(_xlpm.MyAuditVal),_xlpm.MacVal&lt;&gt;"",_xlpm.MacVal,_xlpm.CSVVal&lt;&gt;"",_xlpm.CSVVal
)),"")</f>
        <v/>
      </c>
      <c r="E484" s="46" t="str" cm="1">
        <f t="array" ref="E484">IFERROR(_xlfn.LET(
_xlpm.CSVVal,_xlfn.XLOOKUP($A484,CSV!$A:$A,CSV!E:E,""),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_xlpm.CSVVal,_xlfn.XLOOKUP($A484,CSV!$A:$A,CSV!G:G,""),
_xlpm.MacVal,_xlfn.XLOOKUP($A484,Output_Mac!$A:$A,Output_Mac!G:G,""),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_xlfn.XLOOKUP(A484,Output_Mac!A:A,Output_Mac!H:H,"")</f>
        <v/>
      </c>
      <c r="I484" s="45" t="str" cm="1">
        <f t="array" ref="I484">IFERROR(_xlfn.LET(
_xlpm.CSVVal,_xlfn.XLOOKUP($A484,CSV!$A:$A,CSV!H:H,""),
_xlpm.MacVal,_xlfn.XLOOKUP($A484,Output_Mac!$A:$A,Output_Mac!I:I,""),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_xlpm.CSVVal,_xlfn.XLOOKUP($A484,CSV!$A:$A,CSV!J:J,""),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46" t="str" cm="1">
        <f t="array" ref="K484">IFERROR(_xlfn.LET(
_xlpm.CSVVal,_xlfn.XLOOKUP($A484,CSV!$A:$A,CSV!N:N,""),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_xlpm.CSVVal,_xlfn.XLOOKUP($A484,CSV!$A:$A,CSV!P:P,""),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CSV!AE:AE,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_xlpm.CSVVal,_xlfn.XLOOKUP($A484,CSV!$A:$A,CSV!AG:AG,""),
_xlpm.MacVal,_xlfn.XLOOKUP($A484,Output_Mac!$A:$A,Output_Mac!T:T,""),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6" t="str">
        <f>IF(LEFT(N484,4)="Pass","Nist SP 800-88",My_Audit!R484)&amp;""</f>
        <v/>
      </c>
      <c r="R484" s="45"/>
      <c r="S484" s="45"/>
      <c r="T484" s="46" t="str">
        <f>_xlfn.XLOOKUP(E484,Models!I:I,Models!J:J,"")</f>
        <v/>
      </c>
      <c r="U484" s="45"/>
      <c r="V484" s="45"/>
      <c r="W484" s="38" t="str">
        <f>_xlfn.LET(
    _xlpm.MacVal, _xlfn.XLOOKUP($A484, Output_Mac!$A:$A, Output_Mac!AA:AA, ""),
    _xlpm.MyAuditVal, _xlfn.XLOOKUP($A484, My_Audit!$A:$A, My_Audit!L:L, ""),
    _xlfn.TEXTJOIN(", ", TRUE, _xlpm.MyAuditVal, _xlpm.MacVal)
)</f>
        <v/>
      </c>
    </row>
    <row r="485" spans="1:23">
      <c r="A485" s="45" t="str">
        <f>_xlfn.TEXTJOIN("",TRUE,Input!$B$2,ROW(My_Audit!A484))</f>
        <v>CC484</v>
      </c>
      <c r="B485" s="45" t="str">
        <f>_xlfn.TEXTJOIN("-",TRUE,"ITD",Input!$A$2,A485)</f>
        <v>ITD-XXX-CC484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 cm="1">
        <f t="array" ref="D485">IFERROR(_xlfn.LET(
_xlpm.CSVVal,_xlfn.XLOOKUP($A485,CSV!$A:$A,CSV!C:C,""),
_xlpm.MacVal,_xlfn.XLOOKUP($A485,Output_Mac!$A:$A,Output_Mac!D:D,""),
_xlpm.MyAuditVal,_xlfn.XLOOKUP($A485,My_Audit!$A:$A,My_Audit!C:C,""),
_xlfn.IFS(_xlpm.MyAuditVal&lt;&gt;"",UPPER(_xlpm.MyAuditVal),_xlpm.MacVal&lt;&gt;"",_xlpm.MacVal,_xlpm.CSVVal&lt;&gt;"",_xlpm.CSVVal
)),"")</f>
        <v/>
      </c>
      <c r="E485" s="46" t="str" cm="1">
        <f t="array" ref="E485">IFERROR(_xlfn.LET(
_xlpm.CSVVal,_xlfn.XLOOKUP($A485,CSV!$A:$A,CSV!E:E,""),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_xlpm.CSVVal,_xlfn.XLOOKUP($A485,CSV!$A:$A,CSV!G:G,""),
_xlpm.MacVal,_xlfn.XLOOKUP($A485,Output_Mac!$A:$A,Output_Mac!G:G,""),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_xlfn.XLOOKUP(A485,Output_Mac!A:A,Output_Mac!H:H,"")</f>
        <v/>
      </c>
      <c r="I485" s="45" t="str" cm="1">
        <f t="array" ref="I485">IFERROR(_xlfn.LET(
_xlpm.CSVVal,_xlfn.XLOOKUP($A485,CSV!$A:$A,CSV!H:H,""),
_xlpm.MacVal,_xlfn.XLOOKUP($A485,Output_Mac!$A:$A,Output_Mac!I:I,""),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_xlpm.CSVVal,_xlfn.XLOOKUP($A485,CSV!$A:$A,CSV!J:J,""),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46" t="str" cm="1">
        <f t="array" ref="K485">IFERROR(_xlfn.LET(
_xlpm.CSVVal,_xlfn.XLOOKUP($A485,CSV!$A:$A,CSV!N:N,""),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_xlpm.CSVVal,_xlfn.XLOOKUP($A485,CSV!$A:$A,CSV!P:P,""),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CSV!AE:AE,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_xlpm.CSVVal,_xlfn.XLOOKUP($A485,CSV!$A:$A,CSV!AG:AG,""),
_xlpm.MacVal,_xlfn.XLOOKUP($A485,Output_Mac!$A:$A,Output_Mac!T:T,""),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6" t="str">
        <f>IF(LEFT(N485,4)="Pass","Nist SP 800-88",My_Audit!R485)&amp;""</f>
        <v/>
      </c>
      <c r="R485" s="45"/>
      <c r="S485" s="45"/>
      <c r="T485" s="46" t="str">
        <f>_xlfn.XLOOKUP(E485,Models!I:I,Models!J:J,"")</f>
        <v/>
      </c>
      <c r="U485" s="45"/>
      <c r="V485" s="45"/>
      <c r="W485" s="38" t="str">
        <f>_xlfn.LET(
    _xlpm.MacVal, _xlfn.XLOOKUP($A485, Output_Mac!$A:$A, Output_Mac!AA:AA, ""),
    _xlpm.MyAuditVal, _xlfn.XLOOKUP($A485, My_Audit!$A:$A, My_Audit!L:L, ""),
    _xlfn.TEXTJOIN(", ", TRUE, _xlpm.MyAuditVal, _xlpm.MacVal)
)</f>
        <v/>
      </c>
    </row>
    <row r="486" spans="1:23">
      <c r="A486" s="45" t="str">
        <f>_xlfn.TEXTJOIN("",TRUE,Input!$B$2,ROW(My_Audit!A485))</f>
        <v>CC485</v>
      </c>
      <c r="B486" s="45" t="str">
        <f>_xlfn.TEXTJOIN("-",TRUE,"ITD",Input!$A$2,A486)</f>
        <v>ITD-XXX-CC485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 cm="1">
        <f t="array" ref="D486">IFERROR(_xlfn.LET(
_xlpm.CSVVal,_xlfn.XLOOKUP($A486,CSV!$A:$A,CSV!C:C,""),
_xlpm.MacVal,_xlfn.XLOOKUP($A486,Output_Mac!$A:$A,Output_Mac!D:D,""),
_xlpm.MyAuditVal,_xlfn.XLOOKUP($A486,My_Audit!$A:$A,My_Audit!C:C,""),
_xlfn.IFS(_xlpm.MyAuditVal&lt;&gt;"",UPPER(_xlpm.MyAuditVal),_xlpm.MacVal&lt;&gt;"",_xlpm.MacVal,_xlpm.CSVVal&lt;&gt;"",_xlpm.CSVVal
)),"")</f>
        <v/>
      </c>
      <c r="E486" s="46" t="str" cm="1">
        <f t="array" ref="E486">IFERROR(_xlfn.LET(
_xlpm.CSVVal,_xlfn.XLOOKUP($A486,CSV!$A:$A,CSV!E:E,""),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_xlpm.CSVVal,_xlfn.XLOOKUP($A486,CSV!$A:$A,CSV!G:G,""),
_xlpm.MacVal,_xlfn.XLOOKUP($A486,Output_Mac!$A:$A,Output_Mac!G:G,""),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_xlfn.XLOOKUP(A486,Output_Mac!A:A,Output_Mac!H:H,"")</f>
        <v/>
      </c>
      <c r="I486" s="45" t="str" cm="1">
        <f t="array" ref="I486">IFERROR(_xlfn.LET(
_xlpm.CSVVal,_xlfn.XLOOKUP($A486,CSV!$A:$A,CSV!H:H,""),
_xlpm.MacVal,_xlfn.XLOOKUP($A486,Output_Mac!$A:$A,Output_Mac!I:I,""),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_xlpm.CSVVal,_xlfn.XLOOKUP($A486,CSV!$A:$A,CSV!J:J,""),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46" t="str" cm="1">
        <f t="array" ref="K486">IFERROR(_xlfn.LET(
_xlpm.CSVVal,_xlfn.XLOOKUP($A486,CSV!$A:$A,CSV!N:N,""),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_xlpm.CSVVal,_xlfn.XLOOKUP($A486,CSV!$A:$A,CSV!P:P,""),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CSV!AE:AE,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_xlpm.CSVVal,_xlfn.XLOOKUP($A486,CSV!$A:$A,CSV!AG:AG,""),
_xlpm.MacVal,_xlfn.XLOOKUP($A486,Output_Mac!$A:$A,Output_Mac!T:T,""),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6" t="str">
        <f>IF(LEFT(N486,4)="Pass","Nist SP 800-88",My_Audit!R486)&amp;""</f>
        <v/>
      </c>
      <c r="R486" s="45"/>
      <c r="S486" s="45"/>
      <c r="T486" s="46" t="str">
        <f>_xlfn.XLOOKUP(E486,Models!I:I,Models!J:J,"")</f>
        <v/>
      </c>
      <c r="U486" s="45"/>
      <c r="V486" s="45"/>
      <c r="W486" s="38" t="str">
        <f>_xlfn.LET(
    _xlpm.MacVal, _xlfn.XLOOKUP($A486, Output_Mac!$A:$A, Output_Mac!AA:AA, ""),
    _xlpm.MyAuditVal, _xlfn.XLOOKUP($A486, My_Audit!$A:$A, My_Audit!L:L, ""),
    _xlfn.TEXTJOIN(", ", TRUE, _xlpm.MyAuditVal, _xlpm.MacVal)
)</f>
        <v/>
      </c>
    </row>
    <row r="487" spans="1:23">
      <c r="A487" s="45" t="str">
        <f>_xlfn.TEXTJOIN("",TRUE,Input!$B$2,ROW(My_Audit!A486))</f>
        <v>CC486</v>
      </c>
      <c r="B487" s="45" t="str">
        <f>_xlfn.TEXTJOIN("-",TRUE,"ITD",Input!$A$2,A487)</f>
        <v>ITD-XXX-CC486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 cm="1">
        <f t="array" ref="D487">IFERROR(_xlfn.LET(
_xlpm.CSVVal,_xlfn.XLOOKUP($A487,CSV!$A:$A,CSV!C:C,""),
_xlpm.MacVal,_xlfn.XLOOKUP($A487,Output_Mac!$A:$A,Output_Mac!D:D,""),
_xlpm.MyAuditVal,_xlfn.XLOOKUP($A487,My_Audit!$A:$A,My_Audit!C:C,""),
_xlfn.IFS(_xlpm.MyAuditVal&lt;&gt;"",UPPER(_xlpm.MyAuditVal),_xlpm.MacVal&lt;&gt;"",_xlpm.MacVal,_xlpm.CSVVal&lt;&gt;"",_xlpm.CSVVal
)),"")</f>
        <v/>
      </c>
      <c r="E487" s="46" t="str" cm="1">
        <f t="array" ref="E487">IFERROR(_xlfn.LET(
_xlpm.CSVVal,_xlfn.XLOOKUP($A487,CSV!$A:$A,CSV!E:E,""),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_xlpm.CSVVal,_xlfn.XLOOKUP($A487,CSV!$A:$A,CSV!G:G,""),
_xlpm.MacVal,_xlfn.XLOOKUP($A487,Output_Mac!$A:$A,Output_Mac!G:G,""),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_xlfn.XLOOKUP(A487,Output_Mac!A:A,Output_Mac!H:H,"")</f>
        <v/>
      </c>
      <c r="I487" s="45" t="str" cm="1">
        <f t="array" ref="I487">IFERROR(_xlfn.LET(
_xlpm.CSVVal,_xlfn.XLOOKUP($A487,CSV!$A:$A,CSV!H:H,""),
_xlpm.MacVal,_xlfn.XLOOKUP($A487,Output_Mac!$A:$A,Output_Mac!I:I,""),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_xlpm.CSVVal,_xlfn.XLOOKUP($A487,CSV!$A:$A,CSV!J:J,""),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46" t="str" cm="1">
        <f t="array" ref="K487">IFERROR(_xlfn.LET(
_xlpm.CSVVal,_xlfn.XLOOKUP($A487,CSV!$A:$A,CSV!N:N,""),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_xlpm.CSVVal,_xlfn.XLOOKUP($A487,CSV!$A:$A,CSV!P:P,""),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CSV!AE:AE,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_xlpm.CSVVal,_xlfn.XLOOKUP($A487,CSV!$A:$A,CSV!AG:AG,""),
_xlpm.MacVal,_xlfn.XLOOKUP($A487,Output_Mac!$A:$A,Output_Mac!T:T,""),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6" t="str">
        <f>IF(LEFT(N487,4)="Pass","Nist SP 800-88",My_Audit!R487)&amp;""</f>
        <v/>
      </c>
      <c r="R487" s="45"/>
      <c r="S487" s="45"/>
      <c r="T487" s="46" t="str">
        <f>_xlfn.XLOOKUP(E487,Models!I:I,Models!J:J,"")</f>
        <v/>
      </c>
      <c r="U487" s="45"/>
      <c r="V487" s="45"/>
      <c r="W487" s="38" t="str">
        <f>_xlfn.LET(
    _xlpm.MacVal, _xlfn.XLOOKUP($A487, Output_Mac!$A:$A, Output_Mac!AA:AA, ""),
    _xlpm.MyAuditVal, _xlfn.XLOOKUP($A487, My_Audit!$A:$A, My_Audit!L:L, ""),
    _xlfn.TEXTJOIN(", ", TRUE, _xlpm.MyAuditVal, _xlpm.MacVal)
)</f>
        <v/>
      </c>
    </row>
    <row r="488" spans="1:23">
      <c r="A488" s="45" t="str">
        <f>_xlfn.TEXTJOIN("",TRUE,Input!$B$2,ROW(My_Audit!A487))</f>
        <v>CC487</v>
      </c>
      <c r="B488" s="45" t="str">
        <f>_xlfn.TEXTJOIN("-",TRUE,"ITD",Input!$A$2,A488)</f>
        <v>ITD-XXX-CC487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 cm="1">
        <f t="array" ref="D488">IFERROR(_xlfn.LET(
_xlpm.CSVVal,_xlfn.XLOOKUP($A488,CSV!$A:$A,CSV!C:C,""),
_xlpm.MacVal,_xlfn.XLOOKUP($A488,Output_Mac!$A:$A,Output_Mac!D:D,""),
_xlpm.MyAuditVal,_xlfn.XLOOKUP($A488,My_Audit!$A:$A,My_Audit!C:C,""),
_xlfn.IFS(_xlpm.MyAuditVal&lt;&gt;"",UPPER(_xlpm.MyAuditVal),_xlpm.MacVal&lt;&gt;"",_xlpm.MacVal,_xlpm.CSVVal&lt;&gt;"",_xlpm.CSVVal
)),"")</f>
        <v/>
      </c>
      <c r="E488" s="46" t="str" cm="1">
        <f t="array" ref="E488">IFERROR(_xlfn.LET(
_xlpm.CSVVal,_xlfn.XLOOKUP($A488,CSV!$A:$A,CSV!E:E,""),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_xlpm.CSVVal,_xlfn.XLOOKUP($A488,CSV!$A:$A,CSV!G:G,""),
_xlpm.MacVal,_xlfn.XLOOKUP($A488,Output_Mac!$A:$A,Output_Mac!G:G,""),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_xlfn.XLOOKUP(A488,Output_Mac!A:A,Output_Mac!H:H,"")</f>
        <v/>
      </c>
      <c r="I488" s="45" t="str" cm="1">
        <f t="array" ref="I488">IFERROR(_xlfn.LET(
_xlpm.CSVVal,_xlfn.XLOOKUP($A488,CSV!$A:$A,CSV!H:H,""),
_xlpm.MacVal,_xlfn.XLOOKUP($A488,Output_Mac!$A:$A,Output_Mac!I:I,""),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_xlpm.CSVVal,_xlfn.XLOOKUP($A488,CSV!$A:$A,CSV!J:J,""),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46" t="str" cm="1">
        <f t="array" ref="K488">IFERROR(_xlfn.LET(
_xlpm.CSVVal,_xlfn.XLOOKUP($A488,CSV!$A:$A,CSV!N:N,""),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_xlpm.CSVVal,_xlfn.XLOOKUP($A488,CSV!$A:$A,CSV!P:P,""),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CSV!AE:AE,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_xlpm.CSVVal,_xlfn.XLOOKUP($A488,CSV!$A:$A,CSV!AG:AG,""),
_xlpm.MacVal,_xlfn.XLOOKUP($A488,Output_Mac!$A:$A,Output_Mac!T:T,""),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6" t="str">
        <f>IF(LEFT(N488,4)="Pass","Nist SP 800-88",My_Audit!R488)&amp;""</f>
        <v/>
      </c>
      <c r="R488" s="45"/>
      <c r="S488" s="45"/>
      <c r="T488" s="46" t="str">
        <f>_xlfn.XLOOKUP(E488,Models!I:I,Models!J:J,"")</f>
        <v/>
      </c>
      <c r="U488" s="45"/>
      <c r="V488" s="45"/>
      <c r="W488" s="38" t="str">
        <f>_xlfn.LET(
    _xlpm.MacVal, _xlfn.XLOOKUP($A488, Output_Mac!$A:$A, Output_Mac!AA:AA, ""),
    _xlpm.MyAuditVal, _xlfn.XLOOKUP($A488, My_Audit!$A:$A, My_Audit!L:L, ""),
    _xlfn.TEXTJOIN(", ", TRUE, _xlpm.MyAuditVal, _xlpm.MacVal)
)</f>
        <v/>
      </c>
    </row>
    <row r="489" spans="1:23">
      <c r="A489" s="45" t="str">
        <f>_xlfn.TEXTJOIN("",TRUE,Input!$B$2,ROW(My_Audit!A488))</f>
        <v>CC488</v>
      </c>
      <c r="B489" s="45" t="str">
        <f>_xlfn.TEXTJOIN("-",TRUE,"ITD",Input!$A$2,A489)</f>
        <v>ITD-XXX-CC488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 cm="1">
        <f t="array" ref="D489">IFERROR(_xlfn.LET(
_xlpm.CSVVal,_xlfn.XLOOKUP($A489,CSV!$A:$A,CSV!C:C,""),
_xlpm.MacVal,_xlfn.XLOOKUP($A489,Output_Mac!$A:$A,Output_Mac!D:D,""),
_xlpm.MyAuditVal,_xlfn.XLOOKUP($A489,My_Audit!$A:$A,My_Audit!C:C,""),
_xlfn.IFS(_xlpm.MyAuditVal&lt;&gt;"",UPPER(_xlpm.MyAuditVal),_xlpm.MacVal&lt;&gt;"",_xlpm.MacVal,_xlpm.CSVVal&lt;&gt;"",_xlpm.CSVVal
)),"")</f>
        <v/>
      </c>
      <c r="E489" s="46" t="str" cm="1">
        <f t="array" ref="E489">IFERROR(_xlfn.LET(
_xlpm.CSVVal,_xlfn.XLOOKUP($A489,CSV!$A:$A,CSV!E:E,""),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_xlpm.CSVVal,_xlfn.XLOOKUP($A489,CSV!$A:$A,CSV!G:G,""),
_xlpm.MacVal,_xlfn.XLOOKUP($A489,Output_Mac!$A:$A,Output_Mac!G:G,""),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_xlfn.XLOOKUP(A489,Output_Mac!A:A,Output_Mac!H:H,"")</f>
        <v/>
      </c>
      <c r="I489" s="45" t="str" cm="1">
        <f t="array" ref="I489">IFERROR(_xlfn.LET(
_xlpm.CSVVal,_xlfn.XLOOKUP($A489,CSV!$A:$A,CSV!H:H,""),
_xlpm.MacVal,_xlfn.XLOOKUP($A489,Output_Mac!$A:$A,Output_Mac!I:I,""),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_xlpm.CSVVal,_xlfn.XLOOKUP($A489,CSV!$A:$A,CSV!J:J,""),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46" t="str" cm="1">
        <f t="array" ref="K489">IFERROR(_xlfn.LET(
_xlpm.CSVVal,_xlfn.XLOOKUP($A489,CSV!$A:$A,CSV!N:N,""),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_xlpm.CSVVal,_xlfn.XLOOKUP($A489,CSV!$A:$A,CSV!P:P,""),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CSV!AE:AE,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_xlpm.CSVVal,_xlfn.XLOOKUP($A489,CSV!$A:$A,CSV!AG:AG,""),
_xlpm.MacVal,_xlfn.XLOOKUP($A489,Output_Mac!$A:$A,Output_Mac!T:T,""),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6" t="str">
        <f>IF(LEFT(N489,4)="Pass","Nist SP 800-88",My_Audit!R489)&amp;""</f>
        <v/>
      </c>
      <c r="R489" s="45"/>
      <c r="S489" s="45"/>
      <c r="T489" s="46" t="str">
        <f>_xlfn.XLOOKUP(E489,Models!I:I,Models!J:J,"")</f>
        <v/>
      </c>
      <c r="U489" s="45"/>
      <c r="V489" s="45"/>
      <c r="W489" s="38" t="str">
        <f>_xlfn.LET(
    _xlpm.MacVal, _xlfn.XLOOKUP($A489, Output_Mac!$A:$A, Output_Mac!AA:AA, ""),
    _xlpm.MyAuditVal, _xlfn.XLOOKUP($A489, My_Audit!$A:$A, My_Audit!L:L, ""),
    _xlfn.TEXTJOIN(", ", TRUE, _xlpm.MyAuditVal, _xlpm.MacVal)
)</f>
        <v/>
      </c>
    </row>
    <row r="490" spans="1:23">
      <c r="A490" s="45" t="str">
        <f>_xlfn.TEXTJOIN("",TRUE,Input!$B$2,ROW(My_Audit!A489))</f>
        <v>CC489</v>
      </c>
      <c r="B490" s="45" t="str">
        <f>_xlfn.TEXTJOIN("-",TRUE,"ITD",Input!$A$2,A490)</f>
        <v>ITD-XXX-CC489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 cm="1">
        <f t="array" ref="D490">IFERROR(_xlfn.LET(
_xlpm.CSVVal,_xlfn.XLOOKUP($A490,CSV!$A:$A,CSV!C:C,""),
_xlpm.MacVal,_xlfn.XLOOKUP($A490,Output_Mac!$A:$A,Output_Mac!D:D,""),
_xlpm.MyAuditVal,_xlfn.XLOOKUP($A490,My_Audit!$A:$A,My_Audit!C:C,""),
_xlfn.IFS(_xlpm.MyAuditVal&lt;&gt;"",UPPER(_xlpm.MyAuditVal),_xlpm.MacVal&lt;&gt;"",_xlpm.MacVal,_xlpm.CSVVal&lt;&gt;"",_xlpm.CSVVal
)),"")</f>
        <v/>
      </c>
      <c r="E490" s="46" t="str" cm="1">
        <f t="array" ref="E490">IFERROR(_xlfn.LET(
_xlpm.CSVVal,_xlfn.XLOOKUP($A490,CSV!$A:$A,CSV!E:E,""),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_xlpm.CSVVal,_xlfn.XLOOKUP($A490,CSV!$A:$A,CSV!G:G,""),
_xlpm.MacVal,_xlfn.XLOOKUP($A490,Output_Mac!$A:$A,Output_Mac!G:G,""),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_xlfn.XLOOKUP(A490,Output_Mac!A:A,Output_Mac!H:H,"")</f>
        <v/>
      </c>
      <c r="I490" s="45" t="str" cm="1">
        <f t="array" ref="I490">IFERROR(_xlfn.LET(
_xlpm.CSVVal,_xlfn.XLOOKUP($A490,CSV!$A:$A,CSV!H:H,""),
_xlpm.MacVal,_xlfn.XLOOKUP($A490,Output_Mac!$A:$A,Output_Mac!I:I,""),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_xlpm.CSVVal,_xlfn.XLOOKUP($A490,CSV!$A:$A,CSV!J:J,""),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46" t="str" cm="1">
        <f t="array" ref="K490">IFERROR(_xlfn.LET(
_xlpm.CSVVal,_xlfn.XLOOKUP($A490,CSV!$A:$A,CSV!N:N,""),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_xlpm.CSVVal,_xlfn.XLOOKUP($A490,CSV!$A:$A,CSV!P:P,""),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CSV!AE:AE,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_xlpm.CSVVal,_xlfn.XLOOKUP($A490,CSV!$A:$A,CSV!AG:AG,""),
_xlpm.MacVal,_xlfn.XLOOKUP($A490,Output_Mac!$A:$A,Output_Mac!T:T,""),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6" t="str">
        <f>IF(LEFT(N490,4)="Pass","Nist SP 800-88",My_Audit!R490)&amp;""</f>
        <v/>
      </c>
      <c r="R490" s="45"/>
      <c r="S490" s="45"/>
      <c r="T490" s="46" t="str">
        <f>_xlfn.XLOOKUP(E490,Models!I:I,Models!J:J,"")</f>
        <v/>
      </c>
      <c r="U490" s="45"/>
      <c r="V490" s="45"/>
      <c r="W490" s="38" t="str">
        <f>_xlfn.LET(
    _xlpm.MacVal, _xlfn.XLOOKUP($A490, Output_Mac!$A:$A, Output_Mac!AA:AA, ""),
    _xlpm.MyAuditVal, _xlfn.XLOOKUP($A490, My_Audit!$A:$A, My_Audit!L:L, ""),
    _xlfn.TEXTJOIN(", ", TRUE, _xlpm.MyAuditVal, _xlpm.MacVal)
)</f>
        <v/>
      </c>
    </row>
    <row r="491" spans="1:23">
      <c r="A491" s="45" t="str">
        <f>_xlfn.TEXTJOIN("",TRUE,Input!$B$2,ROW(My_Audit!A490))</f>
        <v>CC490</v>
      </c>
      <c r="B491" s="45" t="str">
        <f>_xlfn.TEXTJOIN("-",TRUE,"ITD",Input!$A$2,A491)</f>
        <v>ITD-XXX-CC490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 cm="1">
        <f t="array" ref="D491">IFERROR(_xlfn.LET(
_xlpm.CSVVal,_xlfn.XLOOKUP($A491,CSV!$A:$A,CSV!C:C,""),
_xlpm.MacVal,_xlfn.XLOOKUP($A491,Output_Mac!$A:$A,Output_Mac!D:D,""),
_xlpm.MyAuditVal,_xlfn.XLOOKUP($A491,My_Audit!$A:$A,My_Audit!C:C,""),
_xlfn.IFS(_xlpm.MyAuditVal&lt;&gt;"",UPPER(_xlpm.MyAuditVal),_xlpm.MacVal&lt;&gt;"",_xlpm.MacVal,_xlpm.CSVVal&lt;&gt;"",_xlpm.CSVVal
)),"")</f>
        <v/>
      </c>
      <c r="E491" s="46" t="str" cm="1">
        <f t="array" ref="E491">IFERROR(_xlfn.LET(
_xlpm.CSVVal,_xlfn.XLOOKUP($A491,CSV!$A:$A,CSV!E:E,""),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_xlpm.CSVVal,_xlfn.XLOOKUP($A491,CSV!$A:$A,CSV!G:G,""),
_xlpm.MacVal,_xlfn.XLOOKUP($A491,Output_Mac!$A:$A,Output_Mac!G:G,""),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_xlfn.XLOOKUP(A491,Output_Mac!A:A,Output_Mac!H:H,"")</f>
        <v/>
      </c>
      <c r="I491" s="45" t="str" cm="1">
        <f t="array" ref="I491">IFERROR(_xlfn.LET(
_xlpm.CSVVal,_xlfn.XLOOKUP($A491,CSV!$A:$A,CSV!H:H,""),
_xlpm.MacVal,_xlfn.XLOOKUP($A491,Output_Mac!$A:$A,Output_Mac!I:I,""),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_xlpm.CSVVal,_xlfn.XLOOKUP($A491,CSV!$A:$A,CSV!J:J,""),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46" t="str" cm="1">
        <f t="array" ref="K491">IFERROR(_xlfn.LET(
_xlpm.CSVVal,_xlfn.XLOOKUP($A491,CSV!$A:$A,CSV!N:N,""),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_xlpm.CSVVal,_xlfn.XLOOKUP($A491,CSV!$A:$A,CSV!P:P,""),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CSV!AE:AE,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_xlpm.CSVVal,_xlfn.XLOOKUP($A491,CSV!$A:$A,CSV!AG:AG,""),
_xlpm.MacVal,_xlfn.XLOOKUP($A491,Output_Mac!$A:$A,Output_Mac!T:T,""),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6" t="str">
        <f>IF(LEFT(N491,4)="Pass","Nist SP 800-88",My_Audit!R491)&amp;""</f>
        <v/>
      </c>
      <c r="R491" s="45"/>
      <c r="S491" s="45"/>
      <c r="T491" s="46" t="str">
        <f>_xlfn.XLOOKUP(E491,Models!I:I,Models!J:J,"")</f>
        <v/>
      </c>
      <c r="U491" s="45"/>
      <c r="V491" s="45"/>
      <c r="W491" s="38" t="str">
        <f>_xlfn.LET(
    _xlpm.MacVal, _xlfn.XLOOKUP($A491, Output_Mac!$A:$A, Output_Mac!AA:AA, ""),
    _xlpm.MyAuditVal, _xlfn.XLOOKUP($A491, My_Audit!$A:$A, My_Audit!L:L, ""),
    _xlfn.TEXTJOIN(", ", TRUE, _xlpm.MyAuditVal, _xlpm.MacVal)
)</f>
        <v/>
      </c>
    </row>
    <row r="492" spans="1:23">
      <c r="A492" s="45" t="str">
        <f>_xlfn.TEXTJOIN("",TRUE,Input!$B$2,ROW(My_Audit!A491))</f>
        <v>CC491</v>
      </c>
      <c r="B492" s="45" t="str">
        <f>_xlfn.TEXTJOIN("-",TRUE,"ITD",Input!$A$2,A492)</f>
        <v>ITD-XXX-CC491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 cm="1">
        <f t="array" ref="D492">IFERROR(_xlfn.LET(
_xlpm.CSVVal,_xlfn.XLOOKUP($A492,CSV!$A:$A,CSV!C:C,""),
_xlpm.MacVal,_xlfn.XLOOKUP($A492,Output_Mac!$A:$A,Output_Mac!D:D,""),
_xlpm.MyAuditVal,_xlfn.XLOOKUP($A492,My_Audit!$A:$A,My_Audit!C:C,""),
_xlfn.IFS(_xlpm.MyAuditVal&lt;&gt;"",UPPER(_xlpm.MyAuditVal),_xlpm.MacVal&lt;&gt;"",_xlpm.MacVal,_xlpm.CSVVal&lt;&gt;"",_xlpm.CSVVal
)),"")</f>
        <v/>
      </c>
      <c r="E492" s="46" t="str" cm="1">
        <f t="array" ref="E492">IFERROR(_xlfn.LET(
_xlpm.CSVVal,_xlfn.XLOOKUP($A492,CSV!$A:$A,CSV!E:E,""),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_xlpm.CSVVal,_xlfn.XLOOKUP($A492,CSV!$A:$A,CSV!G:G,""),
_xlpm.MacVal,_xlfn.XLOOKUP($A492,Output_Mac!$A:$A,Output_Mac!G:G,""),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_xlfn.XLOOKUP(A492,Output_Mac!A:A,Output_Mac!H:H,"")</f>
        <v/>
      </c>
      <c r="I492" s="45" t="str" cm="1">
        <f t="array" ref="I492">IFERROR(_xlfn.LET(
_xlpm.CSVVal,_xlfn.XLOOKUP($A492,CSV!$A:$A,CSV!H:H,""),
_xlpm.MacVal,_xlfn.XLOOKUP($A492,Output_Mac!$A:$A,Output_Mac!I:I,""),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_xlpm.CSVVal,_xlfn.XLOOKUP($A492,CSV!$A:$A,CSV!J:J,""),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46" t="str" cm="1">
        <f t="array" ref="K492">IFERROR(_xlfn.LET(
_xlpm.CSVVal,_xlfn.XLOOKUP($A492,CSV!$A:$A,CSV!N:N,""),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_xlpm.CSVVal,_xlfn.XLOOKUP($A492,CSV!$A:$A,CSV!P:P,""),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CSV!AE:AE,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_xlpm.CSVVal,_xlfn.XLOOKUP($A492,CSV!$A:$A,CSV!AG:AG,""),
_xlpm.MacVal,_xlfn.XLOOKUP($A492,Output_Mac!$A:$A,Output_Mac!T:T,""),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6" t="str">
        <f>IF(LEFT(N492,4)="Pass","Nist SP 800-88",My_Audit!R492)&amp;""</f>
        <v/>
      </c>
      <c r="R492" s="45"/>
      <c r="S492" s="45"/>
      <c r="T492" s="46" t="str">
        <f>_xlfn.XLOOKUP(E492,Models!I:I,Models!J:J,"")</f>
        <v/>
      </c>
      <c r="U492" s="45"/>
      <c r="V492" s="45"/>
      <c r="W492" s="38" t="str">
        <f>_xlfn.LET(
    _xlpm.MacVal, _xlfn.XLOOKUP($A492, Output_Mac!$A:$A, Output_Mac!AA:AA, ""),
    _xlpm.MyAuditVal, _xlfn.XLOOKUP($A492, My_Audit!$A:$A, My_Audit!L:L, ""),
    _xlfn.TEXTJOIN(", ", TRUE, _xlpm.MyAuditVal, _xlpm.MacVal)
)</f>
        <v/>
      </c>
    </row>
    <row r="493" spans="1:23">
      <c r="A493" s="45" t="str">
        <f>_xlfn.TEXTJOIN("",TRUE,Input!$B$2,ROW(My_Audit!A492))</f>
        <v>CC492</v>
      </c>
      <c r="B493" s="45" t="str">
        <f>_xlfn.TEXTJOIN("-",TRUE,"ITD",Input!$A$2,A493)</f>
        <v>ITD-XXX-CC492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 cm="1">
        <f t="array" ref="D493">IFERROR(_xlfn.LET(
_xlpm.CSVVal,_xlfn.XLOOKUP($A493,CSV!$A:$A,CSV!C:C,""),
_xlpm.MacVal,_xlfn.XLOOKUP($A493,Output_Mac!$A:$A,Output_Mac!D:D,""),
_xlpm.MyAuditVal,_xlfn.XLOOKUP($A493,My_Audit!$A:$A,My_Audit!C:C,""),
_xlfn.IFS(_xlpm.MyAuditVal&lt;&gt;"",UPPER(_xlpm.MyAuditVal),_xlpm.MacVal&lt;&gt;"",_xlpm.MacVal,_xlpm.CSVVal&lt;&gt;"",_xlpm.CSVVal
)),"")</f>
        <v/>
      </c>
      <c r="E493" s="46" t="str" cm="1">
        <f t="array" ref="E493">IFERROR(_xlfn.LET(
_xlpm.CSVVal,_xlfn.XLOOKUP($A493,CSV!$A:$A,CSV!E:E,""),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_xlpm.CSVVal,_xlfn.XLOOKUP($A493,CSV!$A:$A,CSV!G:G,""),
_xlpm.MacVal,_xlfn.XLOOKUP($A493,Output_Mac!$A:$A,Output_Mac!G:G,""),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_xlfn.XLOOKUP(A493,Output_Mac!A:A,Output_Mac!H:H,"")</f>
        <v/>
      </c>
      <c r="I493" s="45" t="str" cm="1">
        <f t="array" ref="I493">IFERROR(_xlfn.LET(
_xlpm.CSVVal,_xlfn.XLOOKUP($A493,CSV!$A:$A,CSV!H:H,""),
_xlpm.MacVal,_xlfn.XLOOKUP($A493,Output_Mac!$A:$A,Output_Mac!I:I,""),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_xlpm.CSVVal,_xlfn.XLOOKUP($A493,CSV!$A:$A,CSV!J:J,""),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46" t="str" cm="1">
        <f t="array" ref="K493">IFERROR(_xlfn.LET(
_xlpm.CSVVal,_xlfn.XLOOKUP($A493,CSV!$A:$A,CSV!N:N,""),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_xlpm.CSVVal,_xlfn.XLOOKUP($A493,CSV!$A:$A,CSV!P:P,""),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CSV!AE:AE,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_xlpm.CSVVal,_xlfn.XLOOKUP($A493,CSV!$A:$A,CSV!AG:AG,""),
_xlpm.MacVal,_xlfn.XLOOKUP($A493,Output_Mac!$A:$A,Output_Mac!T:T,""),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6" t="str">
        <f>IF(LEFT(N493,4)="Pass","Nist SP 800-88",My_Audit!R493)&amp;""</f>
        <v/>
      </c>
      <c r="R493" s="45"/>
      <c r="S493" s="45"/>
      <c r="T493" s="46" t="str">
        <f>_xlfn.XLOOKUP(E493,Models!I:I,Models!J:J,"")</f>
        <v/>
      </c>
      <c r="U493" s="45"/>
      <c r="V493" s="45"/>
      <c r="W493" s="38" t="str">
        <f>_xlfn.LET(
    _xlpm.MacVal, _xlfn.XLOOKUP($A493, Output_Mac!$A:$A, Output_Mac!AA:AA, ""),
    _xlpm.MyAuditVal, _xlfn.XLOOKUP($A493, My_Audit!$A:$A, My_Audit!L:L, ""),
    _xlfn.TEXTJOIN(", ", TRUE, _xlpm.MyAuditVal, _xlpm.MacVal)
)</f>
        <v/>
      </c>
    </row>
    <row r="494" spans="1:23">
      <c r="A494" s="45" t="str">
        <f>_xlfn.TEXTJOIN("",TRUE,Input!$B$2,ROW(My_Audit!A493))</f>
        <v>CC493</v>
      </c>
      <c r="B494" s="45" t="str">
        <f>_xlfn.TEXTJOIN("-",TRUE,"ITD",Input!$A$2,A494)</f>
        <v>ITD-XXX-CC493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 cm="1">
        <f t="array" ref="D494">IFERROR(_xlfn.LET(
_xlpm.CSVVal,_xlfn.XLOOKUP($A494,CSV!$A:$A,CSV!C:C,""),
_xlpm.MacVal,_xlfn.XLOOKUP($A494,Output_Mac!$A:$A,Output_Mac!D:D,""),
_xlpm.MyAuditVal,_xlfn.XLOOKUP($A494,My_Audit!$A:$A,My_Audit!C:C,""),
_xlfn.IFS(_xlpm.MyAuditVal&lt;&gt;"",UPPER(_xlpm.MyAuditVal),_xlpm.MacVal&lt;&gt;"",_xlpm.MacVal,_xlpm.CSVVal&lt;&gt;"",_xlpm.CSVVal
)),"")</f>
        <v/>
      </c>
      <c r="E494" s="46" t="str" cm="1">
        <f t="array" ref="E494">IFERROR(_xlfn.LET(
_xlpm.CSVVal,_xlfn.XLOOKUP($A494,CSV!$A:$A,CSV!E:E,""),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_xlpm.CSVVal,_xlfn.XLOOKUP($A494,CSV!$A:$A,CSV!G:G,""),
_xlpm.MacVal,_xlfn.XLOOKUP($A494,Output_Mac!$A:$A,Output_Mac!G:G,""),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_xlfn.XLOOKUP(A494,Output_Mac!A:A,Output_Mac!H:H,"")</f>
        <v/>
      </c>
      <c r="I494" s="45" t="str" cm="1">
        <f t="array" ref="I494">IFERROR(_xlfn.LET(
_xlpm.CSVVal,_xlfn.XLOOKUP($A494,CSV!$A:$A,CSV!H:H,""),
_xlpm.MacVal,_xlfn.XLOOKUP($A494,Output_Mac!$A:$A,Output_Mac!I:I,""),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_xlpm.CSVVal,_xlfn.XLOOKUP($A494,CSV!$A:$A,CSV!J:J,""),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46" t="str" cm="1">
        <f t="array" ref="K494">IFERROR(_xlfn.LET(
_xlpm.CSVVal,_xlfn.XLOOKUP($A494,CSV!$A:$A,CSV!N:N,""),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_xlpm.CSVVal,_xlfn.XLOOKUP($A494,CSV!$A:$A,CSV!P:P,""),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CSV!AE:AE,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_xlpm.CSVVal,_xlfn.XLOOKUP($A494,CSV!$A:$A,CSV!AG:AG,""),
_xlpm.MacVal,_xlfn.XLOOKUP($A494,Output_Mac!$A:$A,Output_Mac!T:T,""),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6" t="str">
        <f>IF(LEFT(N494,4)="Pass","Nist SP 800-88",My_Audit!R494)&amp;""</f>
        <v/>
      </c>
      <c r="R494" s="45"/>
      <c r="S494" s="45"/>
      <c r="T494" s="46" t="str">
        <f>_xlfn.XLOOKUP(E494,Models!I:I,Models!J:J,"")</f>
        <v/>
      </c>
      <c r="U494" s="45"/>
      <c r="V494" s="45"/>
      <c r="W494" s="38" t="str">
        <f>_xlfn.LET(
    _xlpm.MacVal, _xlfn.XLOOKUP($A494, Output_Mac!$A:$A, Output_Mac!AA:AA, ""),
    _xlpm.MyAuditVal, _xlfn.XLOOKUP($A494, My_Audit!$A:$A, My_Audit!L:L, ""),
    _xlfn.TEXTJOIN(", ", TRUE, _xlpm.MyAuditVal, _xlpm.MacVal)
)</f>
        <v/>
      </c>
    </row>
    <row r="495" spans="1:23">
      <c r="A495" s="45" t="str">
        <f>_xlfn.TEXTJOIN("",TRUE,Input!$B$2,ROW(My_Audit!A494))</f>
        <v>CC494</v>
      </c>
      <c r="B495" s="45" t="str">
        <f>_xlfn.TEXTJOIN("-",TRUE,"ITD",Input!$A$2,A495)</f>
        <v>ITD-XXX-CC494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 cm="1">
        <f t="array" ref="D495">IFERROR(_xlfn.LET(
_xlpm.CSVVal,_xlfn.XLOOKUP($A495,CSV!$A:$A,CSV!C:C,""),
_xlpm.MacVal,_xlfn.XLOOKUP($A495,Output_Mac!$A:$A,Output_Mac!D:D,""),
_xlpm.MyAuditVal,_xlfn.XLOOKUP($A495,My_Audit!$A:$A,My_Audit!C:C,""),
_xlfn.IFS(_xlpm.MyAuditVal&lt;&gt;"",UPPER(_xlpm.MyAuditVal),_xlpm.MacVal&lt;&gt;"",_xlpm.MacVal,_xlpm.CSVVal&lt;&gt;"",_xlpm.CSVVal
)),"")</f>
        <v/>
      </c>
      <c r="E495" s="46" t="str" cm="1">
        <f t="array" ref="E495">IFERROR(_xlfn.LET(
_xlpm.CSVVal,_xlfn.XLOOKUP($A495,CSV!$A:$A,CSV!E:E,""),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_xlpm.CSVVal,_xlfn.XLOOKUP($A495,CSV!$A:$A,CSV!G:G,""),
_xlpm.MacVal,_xlfn.XLOOKUP($A495,Output_Mac!$A:$A,Output_Mac!G:G,""),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_xlfn.XLOOKUP(A495,Output_Mac!A:A,Output_Mac!H:H,"")</f>
        <v/>
      </c>
      <c r="I495" s="45" t="str" cm="1">
        <f t="array" ref="I495">IFERROR(_xlfn.LET(
_xlpm.CSVVal,_xlfn.XLOOKUP($A495,CSV!$A:$A,CSV!H:H,""),
_xlpm.MacVal,_xlfn.XLOOKUP($A495,Output_Mac!$A:$A,Output_Mac!I:I,""),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_xlpm.CSVVal,_xlfn.XLOOKUP($A495,CSV!$A:$A,CSV!J:J,""),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46" t="str" cm="1">
        <f t="array" ref="K495">IFERROR(_xlfn.LET(
_xlpm.CSVVal,_xlfn.XLOOKUP($A495,CSV!$A:$A,CSV!N:N,""),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_xlpm.CSVVal,_xlfn.XLOOKUP($A495,CSV!$A:$A,CSV!P:P,""),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CSV!AE:AE,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_xlpm.CSVVal,_xlfn.XLOOKUP($A495,CSV!$A:$A,CSV!AG:AG,""),
_xlpm.MacVal,_xlfn.XLOOKUP($A495,Output_Mac!$A:$A,Output_Mac!T:T,""),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6" t="str">
        <f>IF(LEFT(N495,4)="Pass","Nist SP 800-88",My_Audit!R495)&amp;""</f>
        <v/>
      </c>
      <c r="R495" s="45"/>
      <c r="S495" s="45"/>
      <c r="T495" s="46" t="str">
        <f>_xlfn.XLOOKUP(E495,Models!I:I,Models!J:J,"")</f>
        <v/>
      </c>
      <c r="U495" s="45"/>
      <c r="V495" s="45"/>
      <c r="W495" s="38" t="str">
        <f>_xlfn.LET(
    _xlpm.MacVal, _xlfn.XLOOKUP($A495, Output_Mac!$A:$A, Output_Mac!AA:AA, ""),
    _xlpm.MyAuditVal, _xlfn.XLOOKUP($A495, My_Audit!$A:$A, My_Audit!L:L, ""),
    _xlfn.TEXTJOIN(", ", TRUE, _xlpm.MyAuditVal, _xlpm.MacVal)
)</f>
        <v/>
      </c>
    </row>
    <row r="496" spans="1:23">
      <c r="A496" s="45" t="str">
        <f>_xlfn.TEXTJOIN("",TRUE,Input!$B$2,ROW(My_Audit!A495))</f>
        <v>CC495</v>
      </c>
      <c r="B496" s="45" t="str">
        <f>_xlfn.TEXTJOIN("-",TRUE,"ITD",Input!$A$2,A496)</f>
        <v>ITD-XXX-CC495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 cm="1">
        <f t="array" ref="D496">IFERROR(_xlfn.LET(
_xlpm.CSVVal,_xlfn.XLOOKUP($A496,CSV!$A:$A,CSV!C:C,""),
_xlpm.MacVal,_xlfn.XLOOKUP($A496,Output_Mac!$A:$A,Output_Mac!D:D,""),
_xlpm.MyAuditVal,_xlfn.XLOOKUP($A496,My_Audit!$A:$A,My_Audit!C:C,""),
_xlfn.IFS(_xlpm.MyAuditVal&lt;&gt;"",UPPER(_xlpm.MyAuditVal),_xlpm.MacVal&lt;&gt;"",_xlpm.MacVal,_xlpm.CSVVal&lt;&gt;"",_xlpm.CSVVal
)),"")</f>
        <v/>
      </c>
      <c r="E496" s="46" t="str" cm="1">
        <f t="array" ref="E496">IFERROR(_xlfn.LET(
_xlpm.CSVVal,_xlfn.XLOOKUP($A496,CSV!$A:$A,CSV!E:E,""),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_xlpm.CSVVal,_xlfn.XLOOKUP($A496,CSV!$A:$A,CSV!G:G,""),
_xlpm.MacVal,_xlfn.XLOOKUP($A496,Output_Mac!$A:$A,Output_Mac!G:G,""),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_xlfn.XLOOKUP(A496,Output_Mac!A:A,Output_Mac!H:H,"")</f>
        <v/>
      </c>
      <c r="I496" s="45" t="str" cm="1">
        <f t="array" ref="I496">IFERROR(_xlfn.LET(
_xlpm.CSVVal,_xlfn.XLOOKUP($A496,CSV!$A:$A,CSV!H:H,""),
_xlpm.MacVal,_xlfn.XLOOKUP($A496,Output_Mac!$A:$A,Output_Mac!I:I,""),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_xlpm.CSVVal,_xlfn.XLOOKUP($A496,CSV!$A:$A,CSV!J:J,""),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46" t="str" cm="1">
        <f t="array" ref="K496">IFERROR(_xlfn.LET(
_xlpm.CSVVal,_xlfn.XLOOKUP($A496,CSV!$A:$A,CSV!N:N,""),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_xlpm.CSVVal,_xlfn.XLOOKUP($A496,CSV!$A:$A,CSV!P:P,""),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CSV!AE:AE,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_xlpm.CSVVal,_xlfn.XLOOKUP($A496,CSV!$A:$A,CSV!AG:AG,""),
_xlpm.MacVal,_xlfn.XLOOKUP($A496,Output_Mac!$A:$A,Output_Mac!T:T,""),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6" t="str">
        <f>IF(LEFT(N496,4)="Pass","Nist SP 800-88",My_Audit!R496)&amp;""</f>
        <v/>
      </c>
      <c r="R496" s="45"/>
      <c r="S496" s="45"/>
      <c r="T496" s="46" t="str">
        <f>_xlfn.XLOOKUP(E496,Models!I:I,Models!J:J,"")</f>
        <v/>
      </c>
      <c r="U496" s="45"/>
      <c r="V496" s="45"/>
      <c r="W496" s="38" t="str">
        <f>_xlfn.LET(
    _xlpm.MacVal, _xlfn.XLOOKUP($A496, Output_Mac!$A:$A, Output_Mac!AA:AA, ""),
    _xlpm.MyAuditVal, _xlfn.XLOOKUP($A496, My_Audit!$A:$A, My_Audit!L:L, ""),
    _xlfn.TEXTJOIN(", ", TRUE, _xlpm.MyAuditVal, _xlpm.MacVal)
)</f>
        <v/>
      </c>
    </row>
    <row r="497" spans="1:23">
      <c r="A497" s="45" t="str">
        <f>_xlfn.TEXTJOIN("",TRUE,Input!$B$2,ROW(My_Audit!A496))</f>
        <v>CC496</v>
      </c>
      <c r="B497" s="45" t="str">
        <f>_xlfn.TEXTJOIN("-",TRUE,"ITD",Input!$A$2,A497)</f>
        <v>ITD-XXX-CC496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 cm="1">
        <f t="array" ref="D497">IFERROR(_xlfn.LET(
_xlpm.CSVVal,_xlfn.XLOOKUP($A497,CSV!$A:$A,CSV!C:C,""),
_xlpm.MacVal,_xlfn.XLOOKUP($A497,Output_Mac!$A:$A,Output_Mac!D:D,""),
_xlpm.MyAuditVal,_xlfn.XLOOKUP($A497,My_Audit!$A:$A,My_Audit!C:C,""),
_xlfn.IFS(_xlpm.MyAuditVal&lt;&gt;"",UPPER(_xlpm.MyAuditVal),_xlpm.MacVal&lt;&gt;"",_xlpm.MacVal,_xlpm.CSVVal&lt;&gt;"",_xlpm.CSVVal
)),"")</f>
        <v/>
      </c>
      <c r="E497" s="46" t="str" cm="1">
        <f t="array" ref="E497">IFERROR(_xlfn.LET(
_xlpm.CSVVal,_xlfn.XLOOKUP($A497,CSV!$A:$A,CSV!E:E,""),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_xlpm.CSVVal,_xlfn.XLOOKUP($A497,CSV!$A:$A,CSV!G:G,""),
_xlpm.MacVal,_xlfn.XLOOKUP($A497,Output_Mac!$A:$A,Output_Mac!G:G,""),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_xlfn.XLOOKUP(A497,Output_Mac!A:A,Output_Mac!H:H,"")</f>
        <v/>
      </c>
      <c r="I497" s="45" t="str" cm="1">
        <f t="array" ref="I497">IFERROR(_xlfn.LET(
_xlpm.CSVVal,_xlfn.XLOOKUP($A497,CSV!$A:$A,CSV!H:H,""),
_xlpm.MacVal,_xlfn.XLOOKUP($A497,Output_Mac!$A:$A,Output_Mac!I:I,""),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_xlpm.CSVVal,_xlfn.XLOOKUP($A497,CSV!$A:$A,CSV!J:J,""),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46" t="str" cm="1">
        <f t="array" ref="K497">IFERROR(_xlfn.LET(
_xlpm.CSVVal,_xlfn.XLOOKUP($A497,CSV!$A:$A,CSV!N:N,""),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_xlpm.CSVVal,_xlfn.XLOOKUP($A497,CSV!$A:$A,CSV!P:P,""),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CSV!AE:AE,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_xlpm.CSVVal,_xlfn.XLOOKUP($A497,CSV!$A:$A,CSV!AG:AG,""),
_xlpm.MacVal,_xlfn.XLOOKUP($A497,Output_Mac!$A:$A,Output_Mac!T:T,""),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6" t="str">
        <f>IF(LEFT(N497,4)="Pass","Nist SP 800-88",My_Audit!R497)&amp;""</f>
        <v/>
      </c>
      <c r="R497" s="45"/>
      <c r="S497" s="45"/>
      <c r="T497" s="46" t="str">
        <f>_xlfn.XLOOKUP(E497,Models!I:I,Models!J:J,"")</f>
        <v/>
      </c>
      <c r="U497" s="45"/>
      <c r="V497" s="45"/>
      <c r="W497" s="38" t="str">
        <f>_xlfn.LET(
    _xlpm.MacVal, _xlfn.XLOOKUP($A497, Output_Mac!$A:$A, Output_Mac!AA:AA, ""),
    _xlpm.MyAuditVal, _xlfn.XLOOKUP($A497, My_Audit!$A:$A, My_Audit!L:L, ""),
    _xlfn.TEXTJOIN(", ", TRUE, _xlpm.MyAuditVal, _xlpm.MacVal)
)</f>
        <v/>
      </c>
    </row>
    <row r="498" spans="1:23">
      <c r="A498" s="45" t="str">
        <f>_xlfn.TEXTJOIN("",TRUE,Input!$B$2,ROW(My_Audit!A497))</f>
        <v>CC497</v>
      </c>
      <c r="B498" s="45" t="str">
        <f>_xlfn.TEXTJOIN("-",TRUE,"ITD",Input!$A$2,A498)</f>
        <v>ITD-XXX-CC497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 cm="1">
        <f t="array" ref="D498">IFERROR(_xlfn.LET(
_xlpm.CSVVal,_xlfn.XLOOKUP($A498,CSV!$A:$A,CSV!C:C,""),
_xlpm.MacVal,_xlfn.XLOOKUP($A498,Output_Mac!$A:$A,Output_Mac!D:D,""),
_xlpm.MyAuditVal,_xlfn.XLOOKUP($A498,My_Audit!$A:$A,My_Audit!C:C,""),
_xlfn.IFS(_xlpm.MyAuditVal&lt;&gt;"",UPPER(_xlpm.MyAuditVal),_xlpm.MacVal&lt;&gt;"",_xlpm.MacVal,_xlpm.CSVVal&lt;&gt;"",_xlpm.CSVVal
)),"")</f>
        <v/>
      </c>
      <c r="E498" s="46" t="str" cm="1">
        <f t="array" ref="E498">IFERROR(_xlfn.LET(
_xlpm.CSVVal,_xlfn.XLOOKUP($A498,CSV!$A:$A,CSV!E:E,""),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_xlpm.CSVVal,_xlfn.XLOOKUP($A498,CSV!$A:$A,CSV!G:G,""),
_xlpm.MacVal,_xlfn.XLOOKUP($A498,Output_Mac!$A:$A,Output_Mac!G:G,""),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_xlfn.XLOOKUP(A498,Output_Mac!A:A,Output_Mac!H:H,"")</f>
        <v/>
      </c>
      <c r="I498" s="45" t="str" cm="1">
        <f t="array" ref="I498">IFERROR(_xlfn.LET(
_xlpm.CSVVal,_xlfn.XLOOKUP($A498,CSV!$A:$A,CSV!H:H,""),
_xlpm.MacVal,_xlfn.XLOOKUP($A498,Output_Mac!$A:$A,Output_Mac!I:I,""),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_xlpm.CSVVal,_xlfn.XLOOKUP($A498,CSV!$A:$A,CSV!J:J,""),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46" t="str" cm="1">
        <f t="array" ref="K498">IFERROR(_xlfn.LET(
_xlpm.CSVVal,_xlfn.XLOOKUP($A498,CSV!$A:$A,CSV!N:N,""),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_xlpm.CSVVal,_xlfn.XLOOKUP($A498,CSV!$A:$A,CSV!P:P,""),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CSV!AE:AE,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_xlpm.CSVVal,_xlfn.XLOOKUP($A498,CSV!$A:$A,CSV!AG:AG,""),
_xlpm.MacVal,_xlfn.XLOOKUP($A498,Output_Mac!$A:$A,Output_Mac!T:T,""),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6" t="str">
        <f>IF(LEFT(N498,4)="Pass","Nist SP 800-88",My_Audit!R498)&amp;""</f>
        <v/>
      </c>
      <c r="R498" s="45"/>
      <c r="S498" s="45"/>
      <c r="T498" s="46" t="str">
        <f>_xlfn.XLOOKUP(E498,Models!I:I,Models!J:J,"")</f>
        <v/>
      </c>
      <c r="U498" s="45"/>
      <c r="V498" s="45"/>
      <c r="W498" s="38" t="str">
        <f>_xlfn.LET(
    _xlpm.MacVal, _xlfn.XLOOKUP($A498, Output_Mac!$A:$A, Output_Mac!AA:AA, ""),
    _xlpm.MyAuditVal, _xlfn.XLOOKUP($A498, My_Audit!$A:$A, My_Audit!L:L, ""),
    _xlfn.TEXTJOIN(", ", TRUE, _xlpm.MyAuditVal, _xlpm.MacVal)
)</f>
        <v/>
      </c>
    </row>
    <row r="499" spans="1:23">
      <c r="A499" s="45" t="str">
        <f>_xlfn.TEXTJOIN("",TRUE,Input!$B$2,ROW(My_Audit!A498))</f>
        <v>CC498</v>
      </c>
      <c r="B499" s="45" t="str">
        <f>_xlfn.TEXTJOIN("-",TRUE,"ITD",Input!$A$2,A499)</f>
        <v>ITD-XXX-CC498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 cm="1">
        <f t="array" ref="D499">IFERROR(_xlfn.LET(
_xlpm.CSVVal,_xlfn.XLOOKUP($A499,CSV!$A:$A,CSV!C:C,""),
_xlpm.MacVal,_xlfn.XLOOKUP($A499,Output_Mac!$A:$A,Output_Mac!D:D,""),
_xlpm.MyAuditVal,_xlfn.XLOOKUP($A499,My_Audit!$A:$A,My_Audit!C:C,""),
_xlfn.IFS(_xlpm.MyAuditVal&lt;&gt;"",UPPER(_xlpm.MyAuditVal),_xlpm.MacVal&lt;&gt;"",_xlpm.MacVal,_xlpm.CSVVal&lt;&gt;"",_xlpm.CSVVal
)),"")</f>
        <v/>
      </c>
      <c r="E499" s="46" t="str" cm="1">
        <f t="array" ref="E499">IFERROR(_xlfn.LET(
_xlpm.CSVVal,_xlfn.XLOOKUP($A499,CSV!$A:$A,CSV!E:E,""),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_xlpm.CSVVal,_xlfn.XLOOKUP($A499,CSV!$A:$A,CSV!G:G,""),
_xlpm.MacVal,_xlfn.XLOOKUP($A499,Output_Mac!$A:$A,Output_Mac!G:G,""),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_xlfn.XLOOKUP(A499,Output_Mac!A:A,Output_Mac!H:H,"")</f>
        <v/>
      </c>
      <c r="I499" s="45" t="str" cm="1">
        <f t="array" ref="I499">IFERROR(_xlfn.LET(
_xlpm.CSVVal,_xlfn.XLOOKUP($A499,CSV!$A:$A,CSV!H:H,""),
_xlpm.MacVal,_xlfn.XLOOKUP($A499,Output_Mac!$A:$A,Output_Mac!I:I,""),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_xlpm.CSVVal,_xlfn.XLOOKUP($A499,CSV!$A:$A,CSV!J:J,""),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46" t="str" cm="1">
        <f t="array" ref="K499">IFERROR(_xlfn.LET(
_xlpm.CSVVal,_xlfn.XLOOKUP($A499,CSV!$A:$A,CSV!N:N,""),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_xlpm.CSVVal,_xlfn.XLOOKUP($A499,CSV!$A:$A,CSV!P:P,""),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CSV!AE:AE,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_xlpm.CSVVal,_xlfn.XLOOKUP($A499,CSV!$A:$A,CSV!AG:AG,""),
_xlpm.MacVal,_xlfn.XLOOKUP($A499,Output_Mac!$A:$A,Output_Mac!T:T,""),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6" t="str">
        <f>IF(LEFT(N499,4)="Pass","Nist SP 800-88",My_Audit!R499)&amp;""</f>
        <v/>
      </c>
      <c r="R499" s="45"/>
      <c r="S499" s="45"/>
      <c r="T499" s="46" t="str">
        <f>_xlfn.XLOOKUP(E499,Models!I:I,Models!J:J,"")</f>
        <v/>
      </c>
      <c r="U499" s="45"/>
      <c r="V499" s="45"/>
      <c r="W499" s="38" t="str">
        <f>_xlfn.LET(
    _xlpm.MacVal, _xlfn.XLOOKUP($A499, Output_Mac!$A:$A, Output_Mac!AA:AA, ""),
    _xlpm.MyAuditVal, _xlfn.XLOOKUP($A499, My_Audit!$A:$A, My_Audit!L:L, ""),
    _xlfn.TEXTJOIN(", ", TRUE, _xlpm.MyAuditVal, _xlpm.MacVal)
)</f>
        <v/>
      </c>
    </row>
    <row r="500" spans="1:23">
      <c r="A500" s="45" t="str">
        <f>_xlfn.TEXTJOIN("",TRUE,Input!$B$2,ROW(My_Audit!A499))</f>
        <v>CC499</v>
      </c>
      <c r="B500" s="45" t="str">
        <f>_xlfn.TEXTJOIN("-",TRUE,"ITD",Input!$A$2,A500)</f>
        <v>ITD-XXX-CC499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 cm="1">
        <f t="array" ref="D500">IFERROR(_xlfn.LET(
_xlpm.CSVVal,_xlfn.XLOOKUP($A500,CSV!$A:$A,CSV!C:C,""),
_xlpm.MacVal,_xlfn.XLOOKUP($A500,Output_Mac!$A:$A,Output_Mac!D:D,""),
_xlpm.MyAuditVal,_xlfn.XLOOKUP($A500,My_Audit!$A:$A,My_Audit!C:C,""),
_xlfn.IFS(_xlpm.MyAuditVal&lt;&gt;"",UPPER(_xlpm.MyAuditVal),_xlpm.MacVal&lt;&gt;"",_xlpm.MacVal,_xlpm.CSVVal&lt;&gt;"",_xlpm.CSVVal
)),"")</f>
        <v/>
      </c>
      <c r="E500" s="46" t="str" cm="1">
        <f t="array" ref="E500">IFERROR(_xlfn.LET(
_xlpm.CSVVal,_xlfn.XLOOKUP($A500,CSV!$A:$A,CSV!E:E,""),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_xlpm.CSVVal,_xlfn.XLOOKUP($A500,CSV!$A:$A,CSV!G:G,""),
_xlpm.MacVal,_xlfn.XLOOKUP($A500,Output_Mac!$A:$A,Output_Mac!G:G,""),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_xlfn.XLOOKUP(A500,Output_Mac!A:A,Output_Mac!H:H,"")</f>
        <v/>
      </c>
      <c r="I500" s="45" t="str" cm="1">
        <f t="array" ref="I500">IFERROR(_xlfn.LET(
_xlpm.CSVVal,_xlfn.XLOOKUP($A500,CSV!$A:$A,CSV!H:H,""),
_xlpm.MacVal,_xlfn.XLOOKUP($A500,Output_Mac!$A:$A,Output_Mac!I:I,""),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_xlpm.CSVVal,_xlfn.XLOOKUP($A500,CSV!$A:$A,CSV!J:J,""),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46" t="str" cm="1">
        <f t="array" ref="K500">IFERROR(_xlfn.LET(
_xlpm.CSVVal,_xlfn.XLOOKUP($A500,CSV!$A:$A,CSV!N:N,""),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_xlpm.CSVVal,_xlfn.XLOOKUP($A500,CSV!$A:$A,CSV!P:P,""),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CSV!AE:AE,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_xlpm.CSVVal,_xlfn.XLOOKUP($A500,CSV!$A:$A,CSV!AG:AG,""),
_xlpm.MacVal,_xlfn.XLOOKUP($A500,Output_Mac!$A:$A,Output_Mac!T:T,""),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6" t="str">
        <f>IF(LEFT(N500,4)="Pass","Nist SP 800-88",My_Audit!R500)&amp;""</f>
        <v/>
      </c>
      <c r="R500" s="45"/>
      <c r="S500" s="45"/>
      <c r="T500" s="46" t="str">
        <f>_xlfn.XLOOKUP(E500,Models!I:I,Models!J:J,"")</f>
        <v/>
      </c>
      <c r="U500" s="45"/>
      <c r="V500" s="45"/>
      <c r="W500" s="38" t="str">
        <f>_xlfn.LET(
    _xlpm.MacVal, _xlfn.XLOOKUP($A500, Output_Mac!$A:$A, Output_Mac!AA:AA, ""),
    _xlpm.MyAuditVal, _xlfn.XLOOKUP($A500, My_Audit!$A:$A, My_Audit!L:L, ""),
    _xlfn.TEXTJOIN(", ", TRUE, _xlpm.MyAuditVal, _xlpm.MacVal)
)</f>
        <v/>
      </c>
    </row>
    <row r="501" spans="1:23">
      <c r="A501" s="45" t="str">
        <f>_xlfn.TEXTJOIN("",TRUE,Input!$B$2,ROW(My_Audit!A500))</f>
        <v>CC500</v>
      </c>
      <c r="B501" s="45" t="str">
        <f>_xlfn.TEXTJOIN("-",TRUE,"ITD",Input!$A$2,A501)</f>
        <v>ITD-XXX-CC500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 cm="1">
        <f t="array" ref="D501">IFERROR(_xlfn.LET(
_xlpm.CSVVal,_xlfn.XLOOKUP($A501,CSV!$A:$A,CSV!C:C,""),
_xlpm.MacVal,_xlfn.XLOOKUP($A501,Output_Mac!$A:$A,Output_Mac!D:D,""),
_xlpm.MyAuditVal,_xlfn.XLOOKUP($A501,My_Audit!$A:$A,My_Audit!C:C,""),
_xlfn.IFS(_xlpm.MyAuditVal&lt;&gt;"",UPPER(_xlpm.MyAuditVal),_xlpm.MacVal&lt;&gt;"",_xlpm.MacVal,_xlpm.CSVVal&lt;&gt;"",_xlpm.CSVVal
)),"")</f>
        <v/>
      </c>
      <c r="E501" s="46" t="str" cm="1">
        <f t="array" ref="E501">IFERROR(_xlfn.LET(
_xlpm.CSVVal,_xlfn.XLOOKUP($A501,CSV!$A:$A,CSV!E:E,""),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_xlpm.CSVVal,_xlfn.XLOOKUP($A501,CSV!$A:$A,CSV!G:G,""),
_xlpm.MacVal,_xlfn.XLOOKUP($A501,Output_Mac!$A:$A,Output_Mac!G:G,""),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_xlfn.XLOOKUP(A501,Output_Mac!A:A,Output_Mac!H:H,"")</f>
        <v/>
      </c>
      <c r="I501" s="45" t="str" cm="1">
        <f t="array" ref="I501">IFERROR(_xlfn.LET(
_xlpm.CSVVal,_xlfn.XLOOKUP($A501,CSV!$A:$A,CSV!H:H,""),
_xlpm.MacVal,_xlfn.XLOOKUP($A501,Output_Mac!$A:$A,Output_Mac!I:I,""),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_xlpm.CSVVal,_xlfn.XLOOKUP($A501,CSV!$A:$A,CSV!J:J,""),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46" t="str" cm="1">
        <f t="array" ref="K501">IFERROR(_xlfn.LET(
_xlpm.CSVVal,_xlfn.XLOOKUP($A501,CSV!$A:$A,CSV!N:N,""),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_xlpm.CSVVal,_xlfn.XLOOKUP($A501,CSV!$A:$A,CSV!P:P,""),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CSV!AE:AE,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_xlpm.CSVVal,_xlfn.XLOOKUP($A501,CSV!$A:$A,CSV!AG:AG,""),
_xlpm.MacVal,_xlfn.XLOOKUP($A501,Output_Mac!$A:$A,Output_Mac!T:T,""),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6" t="str">
        <f>IF(LEFT(N501,4)="Pass","Nist SP 800-88",My_Audit!R501)&amp;""</f>
        <v/>
      </c>
      <c r="R501" s="45"/>
      <c r="S501" s="45"/>
      <c r="T501" s="46" t="str">
        <f>_xlfn.XLOOKUP(E501,Models!I:I,Models!J:J,"")</f>
        <v/>
      </c>
      <c r="U501" s="45"/>
      <c r="V501" s="45"/>
      <c r="W501" s="38" t="str">
        <f>_xlfn.LET(
    _xlpm.MacVal, _xlfn.XLOOKUP($A501, Output_Mac!$A:$A, Output_Mac!AA:AA, ""),
    _xlpm.MyAuditVal, _xlfn.XLOOKUP($A501, My_Audit!$A:$A, My_Audit!L:L, ""),
    _xlfn.TEXTJOIN(", ", TRUE, _xlpm.MyAuditVal, _xlpm.MacVal)
)</f>
        <v/>
      </c>
    </row>
    <row r="502" spans="1:23">
      <c r="A502" s="45" t="str">
        <f>_xlfn.TEXTJOIN("",TRUE,Input!$B$2,ROW(My_Audit!A501))</f>
        <v>CC501</v>
      </c>
      <c r="B502" s="45" t="str">
        <f>_xlfn.TEXTJOIN("-",TRUE,"ITD",Input!$A$2,A502)</f>
        <v>ITD-XXX-CC501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 cm="1">
        <f t="array" ref="D502">IFERROR(_xlfn.LET(
_xlpm.CSVVal,_xlfn.XLOOKUP($A502,CSV!$A:$A,CSV!C:C,""),
_xlpm.MacVal,_xlfn.XLOOKUP($A502,Output_Mac!$A:$A,Output_Mac!D:D,""),
_xlpm.MyAuditVal,_xlfn.XLOOKUP($A502,My_Audit!$A:$A,My_Audit!C:C,""),
_xlfn.IFS(_xlpm.MyAuditVal&lt;&gt;"",UPPER(_xlpm.MyAuditVal),_xlpm.MacVal&lt;&gt;"",_xlpm.MacVal,_xlpm.CSVVal&lt;&gt;"",_xlpm.CSVVal
)),"")</f>
        <v/>
      </c>
      <c r="E502" s="46" t="str" cm="1">
        <f t="array" ref="E502">IFERROR(_xlfn.LET(
_xlpm.CSVVal,_xlfn.XLOOKUP($A502,CSV!$A:$A,CSV!E:E,""),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_xlpm.CSVVal,_xlfn.XLOOKUP($A502,CSV!$A:$A,CSV!G:G,""),
_xlpm.MacVal,_xlfn.XLOOKUP($A502,Output_Mac!$A:$A,Output_Mac!G:G,""),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_xlfn.XLOOKUP(A502,Output_Mac!A:A,Output_Mac!H:H,"")</f>
        <v/>
      </c>
      <c r="I502" s="45" t="str" cm="1">
        <f t="array" ref="I502">IFERROR(_xlfn.LET(
_xlpm.CSVVal,_xlfn.XLOOKUP($A502,CSV!$A:$A,CSV!H:H,""),
_xlpm.MacVal,_xlfn.XLOOKUP($A502,Output_Mac!$A:$A,Output_Mac!I:I,""),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_xlpm.CSVVal,_xlfn.XLOOKUP($A502,CSV!$A:$A,CSV!J:J,""),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46" t="str" cm="1">
        <f t="array" ref="K502">IFERROR(_xlfn.LET(
_xlpm.CSVVal,_xlfn.XLOOKUP($A502,CSV!$A:$A,CSV!N:N,""),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_xlpm.CSVVal,_xlfn.XLOOKUP($A502,CSV!$A:$A,CSV!P:P,""),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CSV!AE:AE,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_xlpm.CSVVal,_xlfn.XLOOKUP($A502,CSV!$A:$A,CSV!AG:AG,""),
_xlpm.MacVal,_xlfn.XLOOKUP($A502,Output_Mac!$A:$A,Output_Mac!T:T,""),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6" t="str">
        <f>IF(LEFT(N502,4)="Pass","Nist SP 800-88",My_Audit!R502)&amp;""</f>
        <v/>
      </c>
      <c r="R502" s="45"/>
      <c r="S502" s="45"/>
      <c r="T502" s="46" t="str">
        <f>_xlfn.XLOOKUP(E502,Models!I:I,Models!J:J,"")</f>
        <v/>
      </c>
      <c r="U502" s="45"/>
      <c r="V502" s="45"/>
      <c r="W502" s="38" t="str">
        <f>_xlfn.LET(
    _xlpm.MacVal, _xlfn.XLOOKUP($A502, Output_Mac!$A:$A, Output_Mac!AA:AA, ""),
    _xlpm.MyAuditVal, _xlfn.XLOOKUP($A502, My_Audit!$A:$A, My_Audit!L:L, ""),
    _xlfn.TEXTJOIN(", ", TRUE, _xlpm.MyAuditVal, _xlpm.MacVal)
)</f>
        <v/>
      </c>
    </row>
    <row r="503" spans="1:23">
      <c r="A503" s="45" t="str">
        <f>_xlfn.TEXTJOIN("",TRUE,Input!$B$2,ROW(My_Audit!A502))</f>
        <v>CC502</v>
      </c>
      <c r="B503" s="45" t="str">
        <f>_xlfn.TEXTJOIN("-",TRUE,"ITD",Input!$A$2,A503)</f>
        <v>ITD-XXX-CC502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 cm="1">
        <f t="array" ref="D503">IFERROR(_xlfn.LET(
_xlpm.CSVVal,_xlfn.XLOOKUP($A503,CSV!$A:$A,CSV!C:C,""),
_xlpm.MacVal,_xlfn.XLOOKUP($A503,Output_Mac!$A:$A,Output_Mac!D:D,""),
_xlpm.MyAuditVal,_xlfn.XLOOKUP($A503,My_Audit!$A:$A,My_Audit!C:C,""),
_xlfn.IFS(_xlpm.MyAuditVal&lt;&gt;"",UPPER(_xlpm.MyAuditVal),_xlpm.MacVal&lt;&gt;"",_xlpm.MacVal,_xlpm.CSVVal&lt;&gt;"",_xlpm.CSVVal
)),"")</f>
        <v/>
      </c>
      <c r="E503" s="46" t="str" cm="1">
        <f t="array" ref="E503">IFERROR(_xlfn.LET(
_xlpm.CSVVal,_xlfn.XLOOKUP($A503,CSV!$A:$A,CSV!E:E,""),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_xlpm.CSVVal,_xlfn.XLOOKUP($A503,CSV!$A:$A,CSV!G:G,""),
_xlpm.MacVal,_xlfn.XLOOKUP($A503,Output_Mac!$A:$A,Output_Mac!G:G,""),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_xlfn.XLOOKUP(A503,Output_Mac!A:A,Output_Mac!H:H,"")</f>
        <v/>
      </c>
      <c r="I503" s="45" t="str" cm="1">
        <f t="array" ref="I503">IFERROR(_xlfn.LET(
_xlpm.CSVVal,_xlfn.XLOOKUP($A503,CSV!$A:$A,CSV!H:H,""),
_xlpm.MacVal,_xlfn.XLOOKUP($A503,Output_Mac!$A:$A,Output_Mac!I:I,""),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_xlpm.CSVVal,_xlfn.XLOOKUP($A503,CSV!$A:$A,CSV!J:J,""),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46" t="str" cm="1">
        <f t="array" ref="K503">IFERROR(_xlfn.LET(
_xlpm.CSVVal,_xlfn.XLOOKUP($A503,CSV!$A:$A,CSV!N:N,""),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_xlpm.CSVVal,_xlfn.XLOOKUP($A503,CSV!$A:$A,CSV!P:P,""),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CSV!AE:AE,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_xlpm.CSVVal,_xlfn.XLOOKUP($A503,CSV!$A:$A,CSV!AG:AG,""),
_xlpm.MacVal,_xlfn.XLOOKUP($A503,Output_Mac!$A:$A,Output_Mac!T:T,""),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6" t="str">
        <f>IF(LEFT(N503,4)="Pass","Nist SP 800-88",My_Audit!R503)&amp;""</f>
        <v/>
      </c>
      <c r="R503" s="45"/>
      <c r="S503" s="45"/>
      <c r="T503" s="46" t="str">
        <f>_xlfn.XLOOKUP(E503,Models!I:I,Models!J:J,"")</f>
        <v/>
      </c>
      <c r="U503" s="45"/>
      <c r="V503" s="45"/>
      <c r="W503" s="38" t="str">
        <f>_xlfn.LET(
    _xlpm.MacVal, _xlfn.XLOOKUP($A503, Output_Mac!$A:$A, Output_Mac!AA:AA, ""),
    _xlpm.MyAuditVal, _xlfn.XLOOKUP($A503, My_Audit!$A:$A, My_Audit!L:L, ""),
    _xlfn.TEXTJOIN(", ", TRUE, _xlpm.MyAuditVal, _xlpm.MacVal)
)</f>
        <v/>
      </c>
    </row>
    <row r="504" spans="1:23">
      <c r="A504" s="45" t="str">
        <f>_xlfn.TEXTJOIN("",TRUE,Input!$B$2,ROW(My_Audit!A503))</f>
        <v>CC503</v>
      </c>
      <c r="B504" s="45" t="str">
        <f>_xlfn.TEXTJOIN("-",TRUE,"ITD",Input!$A$2,A504)</f>
        <v>ITD-XXX-CC503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 cm="1">
        <f t="array" ref="D504">IFERROR(_xlfn.LET(
_xlpm.CSVVal,_xlfn.XLOOKUP($A504,CSV!$A:$A,CSV!C:C,""),
_xlpm.MacVal,_xlfn.XLOOKUP($A504,Output_Mac!$A:$A,Output_Mac!D:D,""),
_xlpm.MyAuditVal,_xlfn.XLOOKUP($A504,My_Audit!$A:$A,My_Audit!C:C,""),
_xlfn.IFS(_xlpm.MyAuditVal&lt;&gt;"",UPPER(_xlpm.MyAuditVal),_xlpm.MacVal&lt;&gt;"",_xlpm.MacVal,_xlpm.CSVVal&lt;&gt;"",_xlpm.CSVVal
)),"")</f>
        <v/>
      </c>
      <c r="E504" s="46" t="str" cm="1">
        <f t="array" ref="E504">IFERROR(_xlfn.LET(
_xlpm.CSVVal,_xlfn.XLOOKUP($A504,CSV!$A:$A,CSV!E:E,""),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_xlpm.CSVVal,_xlfn.XLOOKUP($A504,CSV!$A:$A,CSV!G:G,""),
_xlpm.MacVal,_xlfn.XLOOKUP($A504,Output_Mac!$A:$A,Output_Mac!G:G,""),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_xlfn.XLOOKUP(A504,Output_Mac!A:A,Output_Mac!H:H,"")</f>
        <v/>
      </c>
      <c r="I504" s="45" t="str" cm="1">
        <f t="array" ref="I504">IFERROR(_xlfn.LET(
_xlpm.CSVVal,_xlfn.XLOOKUP($A504,CSV!$A:$A,CSV!H:H,""),
_xlpm.MacVal,_xlfn.XLOOKUP($A504,Output_Mac!$A:$A,Output_Mac!I:I,""),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_xlpm.CSVVal,_xlfn.XLOOKUP($A504,CSV!$A:$A,CSV!J:J,""),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46" t="str" cm="1">
        <f t="array" ref="K504">IFERROR(_xlfn.LET(
_xlpm.CSVVal,_xlfn.XLOOKUP($A504,CSV!$A:$A,CSV!N:N,""),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_xlpm.CSVVal,_xlfn.XLOOKUP($A504,CSV!$A:$A,CSV!P:P,""),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CSV!AE:AE,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_xlpm.CSVVal,_xlfn.XLOOKUP($A504,CSV!$A:$A,CSV!AG:AG,""),
_xlpm.MacVal,_xlfn.XLOOKUP($A504,Output_Mac!$A:$A,Output_Mac!T:T,""),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6" t="str">
        <f>IF(LEFT(N504,4)="Pass","Nist SP 800-88",My_Audit!R504)&amp;""</f>
        <v/>
      </c>
      <c r="R504" s="45"/>
      <c r="S504" s="45"/>
      <c r="T504" s="46" t="str">
        <f>_xlfn.XLOOKUP(E504,Models!I:I,Models!J:J,"")</f>
        <v/>
      </c>
      <c r="U504" s="45"/>
      <c r="V504" s="45"/>
      <c r="W504" s="38" t="str">
        <f>_xlfn.LET(
    _xlpm.MacVal, _xlfn.XLOOKUP($A504, Output_Mac!$A:$A, Output_Mac!AA:AA, ""),
    _xlpm.MyAuditVal, _xlfn.XLOOKUP($A504, My_Audit!$A:$A, My_Audit!L:L, ""),
    _xlfn.TEXTJOIN(", ", TRUE, _xlpm.MyAuditVal, _xlpm.MacVal)
)</f>
        <v/>
      </c>
    </row>
    <row r="505" spans="1:23">
      <c r="A505" s="45" t="str">
        <f>_xlfn.TEXTJOIN("",TRUE,Input!$B$2,ROW(My_Audit!A504))</f>
        <v>CC504</v>
      </c>
      <c r="B505" s="45" t="str">
        <f>_xlfn.TEXTJOIN("-",TRUE,"ITD",Input!$A$2,A505)</f>
        <v>ITD-XXX-CC504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 cm="1">
        <f t="array" ref="D505">IFERROR(_xlfn.LET(
_xlpm.CSVVal,_xlfn.XLOOKUP($A505,CSV!$A:$A,CSV!C:C,""),
_xlpm.MacVal,_xlfn.XLOOKUP($A505,Output_Mac!$A:$A,Output_Mac!D:D,""),
_xlpm.MyAuditVal,_xlfn.XLOOKUP($A505,My_Audit!$A:$A,My_Audit!C:C,""),
_xlfn.IFS(_xlpm.MyAuditVal&lt;&gt;"",UPPER(_xlpm.MyAuditVal),_xlpm.MacVal&lt;&gt;"",_xlpm.MacVal,_xlpm.CSVVal&lt;&gt;"",_xlpm.CSVVal
)),"")</f>
        <v/>
      </c>
      <c r="E505" s="46" t="str" cm="1">
        <f t="array" ref="E505">IFERROR(_xlfn.LET(
_xlpm.CSVVal,_xlfn.XLOOKUP($A505,CSV!$A:$A,CSV!E:E,""),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_xlpm.CSVVal,_xlfn.XLOOKUP($A505,CSV!$A:$A,CSV!G:G,""),
_xlpm.MacVal,_xlfn.XLOOKUP($A505,Output_Mac!$A:$A,Output_Mac!G:G,""),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_xlfn.XLOOKUP(A505,Output_Mac!A:A,Output_Mac!H:H,"")</f>
        <v/>
      </c>
      <c r="I505" s="45" t="str" cm="1">
        <f t="array" ref="I505">IFERROR(_xlfn.LET(
_xlpm.CSVVal,_xlfn.XLOOKUP($A505,CSV!$A:$A,CSV!H:H,""),
_xlpm.MacVal,_xlfn.XLOOKUP($A505,Output_Mac!$A:$A,Output_Mac!I:I,""),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_xlpm.CSVVal,_xlfn.XLOOKUP($A505,CSV!$A:$A,CSV!J:J,""),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46" t="str" cm="1">
        <f t="array" ref="K505">IFERROR(_xlfn.LET(
_xlpm.CSVVal,_xlfn.XLOOKUP($A505,CSV!$A:$A,CSV!N:N,""),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_xlpm.CSVVal,_xlfn.XLOOKUP($A505,CSV!$A:$A,CSV!P:P,""),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CSV!AE:AE,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_xlpm.CSVVal,_xlfn.XLOOKUP($A505,CSV!$A:$A,CSV!AG:AG,""),
_xlpm.MacVal,_xlfn.XLOOKUP($A505,Output_Mac!$A:$A,Output_Mac!T:T,""),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6" t="str">
        <f>IF(LEFT(N505,4)="Pass","Nist SP 800-88",My_Audit!R505)&amp;""</f>
        <v/>
      </c>
      <c r="R505" s="45"/>
      <c r="S505" s="45"/>
      <c r="T505" s="46" t="str">
        <f>_xlfn.XLOOKUP(E505,Models!I:I,Models!J:J,"")</f>
        <v/>
      </c>
      <c r="U505" s="45"/>
      <c r="V505" s="45"/>
      <c r="W505" s="38" t="str">
        <f>_xlfn.LET(
    _xlpm.MacVal, _xlfn.XLOOKUP($A505, Output_Mac!$A:$A, Output_Mac!AA:AA, ""),
    _xlpm.MyAuditVal, _xlfn.XLOOKUP($A505, My_Audit!$A:$A, My_Audit!L:L, ""),
    _xlfn.TEXTJOIN(", ", TRUE, _xlpm.MyAuditVal, _xlpm.MacVal)
)</f>
        <v/>
      </c>
    </row>
    <row r="506" spans="1:23">
      <c r="A506" s="45" t="str">
        <f>_xlfn.TEXTJOIN("",TRUE,Input!$B$2,ROW(My_Audit!A505))</f>
        <v>CC505</v>
      </c>
      <c r="B506" s="45" t="str">
        <f>_xlfn.TEXTJOIN("-",TRUE,"ITD",Input!$A$2,A506)</f>
        <v>ITD-XXX-CC505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 cm="1">
        <f t="array" ref="D506">IFERROR(_xlfn.LET(
_xlpm.CSVVal,_xlfn.XLOOKUP($A506,CSV!$A:$A,CSV!C:C,""),
_xlpm.MacVal,_xlfn.XLOOKUP($A506,Output_Mac!$A:$A,Output_Mac!D:D,""),
_xlpm.MyAuditVal,_xlfn.XLOOKUP($A506,My_Audit!$A:$A,My_Audit!C:C,""),
_xlfn.IFS(_xlpm.MyAuditVal&lt;&gt;"",UPPER(_xlpm.MyAuditVal),_xlpm.MacVal&lt;&gt;"",_xlpm.MacVal,_xlpm.CSVVal&lt;&gt;"",_xlpm.CSVVal
)),"")</f>
        <v/>
      </c>
      <c r="E506" s="46" t="str" cm="1">
        <f t="array" ref="E506">IFERROR(_xlfn.LET(
_xlpm.CSVVal,_xlfn.XLOOKUP($A506,CSV!$A:$A,CSV!E:E,""),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_xlpm.CSVVal,_xlfn.XLOOKUP($A506,CSV!$A:$A,CSV!G:G,""),
_xlpm.MacVal,_xlfn.XLOOKUP($A506,Output_Mac!$A:$A,Output_Mac!G:G,""),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_xlfn.XLOOKUP(A506,Output_Mac!A:A,Output_Mac!H:H,"")</f>
        <v/>
      </c>
      <c r="I506" s="45" t="str" cm="1">
        <f t="array" ref="I506">IFERROR(_xlfn.LET(
_xlpm.CSVVal,_xlfn.XLOOKUP($A506,CSV!$A:$A,CSV!H:H,""),
_xlpm.MacVal,_xlfn.XLOOKUP($A506,Output_Mac!$A:$A,Output_Mac!I:I,""),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_xlpm.CSVVal,_xlfn.XLOOKUP($A506,CSV!$A:$A,CSV!J:J,""),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46" t="str" cm="1">
        <f t="array" ref="K506">IFERROR(_xlfn.LET(
_xlpm.CSVVal,_xlfn.XLOOKUP($A506,CSV!$A:$A,CSV!N:N,""),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_xlpm.CSVVal,_xlfn.XLOOKUP($A506,CSV!$A:$A,CSV!P:P,""),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CSV!AE:AE,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_xlpm.CSVVal,_xlfn.XLOOKUP($A506,CSV!$A:$A,CSV!AG:AG,""),
_xlpm.MacVal,_xlfn.XLOOKUP($A506,Output_Mac!$A:$A,Output_Mac!T:T,""),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6" t="str">
        <f>IF(LEFT(N506,4)="Pass","Nist SP 800-88",My_Audit!R506)&amp;""</f>
        <v/>
      </c>
      <c r="R506" s="45"/>
      <c r="S506" s="45"/>
      <c r="T506" s="46" t="str">
        <f>_xlfn.XLOOKUP(E506,Models!I:I,Models!J:J,"")</f>
        <v/>
      </c>
      <c r="U506" s="45"/>
      <c r="V506" s="45"/>
      <c r="W506" s="38" t="str">
        <f>_xlfn.LET(
    _xlpm.MacVal, _xlfn.XLOOKUP($A506, Output_Mac!$A:$A, Output_Mac!AA:AA, ""),
    _xlpm.MyAuditVal, _xlfn.XLOOKUP($A506, My_Audit!$A:$A, My_Audit!L:L, ""),
    _xlfn.TEXTJOIN(", ", TRUE, _xlpm.MyAuditVal, _xlpm.MacVal)
)</f>
        <v/>
      </c>
    </row>
    <row r="507" spans="1:23">
      <c r="A507" s="45" t="str">
        <f>_xlfn.TEXTJOIN("",TRUE,Input!$B$2,ROW(My_Audit!A506))</f>
        <v>CC506</v>
      </c>
      <c r="B507" s="45" t="str">
        <f>_xlfn.TEXTJOIN("-",TRUE,"ITD",Input!$A$2,A507)</f>
        <v>ITD-XXX-CC506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 cm="1">
        <f t="array" ref="D507">IFERROR(_xlfn.LET(
_xlpm.CSVVal,_xlfn.XLOOKUP($A507,CSV!$A:$A,CSV!C:C,""),
_xlpm.MacVal,_xlfn.XLOOKUP($A507,Output_Mac!$A:$A,Output_Mac!D:D,""),
_xlpm.MyAuditVal,_xlfn.XLOOKUP($A507,My_Audit!$A:$A,My_Audit!C:C,""),
_xlfn.IFS(_xlpm.MyAuditVal&lt;&gt;"",UPPER(_xlpm.MyAuditVal),_xlpm.MacVal&lt;&gt;"",_xlpm.MacVal,_xlpm.CSVVal&lt;&gt;"",_xlpm.CSVVal
)),"")</f>
        <v/>
      </c>
      <c r="E507" s="46" t="str" cm="1">
        <f t="array" ref="E507">IFERROR(_xlfn.LET(
_xlpm.CSVVal,_xlfn.XLOOKUP($A507,CSV!$A:$A,CSV!E:E,""),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_xlpm.CSVVal,_xlfn.XLOOKUP($A507,CSV!$A:$A,CSV!G:G,""),
_xlpm.MacVal,_xlfn.XLOOKUP($A507,Output_Mac!$A:$A,Output_Mac!G:G,""),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_xlfn.XLOOKUP(A507,Output_Mac!A:A,Output_Mac!H:H,"")</f>
        <v/>
      </c>
      <c r="I507" s="45" t="str" cm="1">
        <f t="array" ref="I507">IFERROR(_xlfn.LET(
_xlpm.CSVVal,_xlfn.XLOOKUP($A507,CSV!$A:$A,CSV!H:H,""),
_xlpm.MacVal,_xlfn.XLOOKUP($A507,Output_Mac!$A:$A,Output_Mac!I:I,""),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_xlpm.CSVVal,_xlfn.XLOOKUP($A507,CSV!$A:$A,CSV!J:J,""),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46" t="str" cm="1">
        <f t="array" ref="K507">IFERROR(_xlfn.LET(
_xlpm.CSVVal,_xlfn.XLOOKUP($A507,CSV!$A:$A,CSV!N:N,""),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_xlpm.CSVVal,_xlfn.XLOOKUP($A507,CSV!$A:$A,CSV!P:P,""),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CSV!AE:AE,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_xlpm.CSVVal,_xlfn.XLOOKUP($A507,CSV!$A:$A,CSV!AG:AG,""),
_xlpm.MacVal,_xlfn.XLOOKUP($A507,Output_Mac!$A:$A,Output_Mac!T:T,""),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6" t="str">
        <f>IF(LEFT(N507,4)="Pass","Nist SP 800-88",My_Audit!R507)&amp;""</f>
        <v/>
      </c>
      <c r="R507" s="45"/>
      <c r="S507" s="45"/>
      <c r="T507" s="46" t="str">
        <f>_xlfn.XLOOKUP(E507,Models!I:I,Models!J:J,"")</f>
        <v/>
      </c>
      <c r="U507" s="45"/>
      <c r="V507" s="45"/>
      <c r="W507" s="38" t="str">
        <f>_xlfn.LET(
    _xlpm.MacVal, _xlfn.XLOOKUP($A507, Output_Mac!$A:$A, Output_Mac!AA:AA, ""),
    _xlpm.MyAuditVal, _xlfn.XLOOKUP($A507, My_Audit!$A:$A, My_Audit!L:L, ""),
    _xlfn.TEXTJOIN(", ", TRUE, _xlpm.MyAuditVal, _xlpm.MacVal)
)</f>
        <v/>
      </c>
    </row>
    <row r="508" spans="1:23">
      <c r="A508" s="45" t="str">
        <f>_xlfn.TEXTJOIN("",TRUE,Input!$B$2,ROW(My_Audit!A507))</f>
        <v>CC507</v>
      </c>
      <c r="B508" s="45" t="str">
        <f>_xlfn.TEXTJOIN("-",TRUE,"ITD",Input!$A$2,A508)</f>
        <v>ITD-XXX-CC507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 cm="1">
        <f t="array" ref="D508">IFERROR(_xlfn.LET(
_xlpm.CSVVal,_xlfn.XLOOKUP($A508,CSV!$A:$A,CSV!C:C,""),
_xlpm.MacVal,_xlfn.XLOOKUP($A508,Output_Mac!$A:$A,Output_Mac!D:D,""),
_xlpm.MyAuditVal,_xlfn.XLOOKUP($A508,My_Audit!$A:$A,My_Audit!C:C,""),
_xlfn.IFS(_xlpm.MyAuditVal&lt;&gt;"",UPPER(_xlpm.MyAuditVal),_xlpm.MacVal&lt;&gt;"",_xlpm.MacVal,_xlpm.CSVVal&lt;&gt;"",_xlpm.CSVVal
)),"")</f>
        <v/>
      </c>
      <c r="E508" s="46" t="str" cm="1">
        <f t="array" ref="E508">IFERROR(_xlfn.LET(
_xlpm.CSVVal,_xlfn.XLOOKUP($A508,CSV!$A:$A,CSV!E:E,""),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_xlpm.CSVVal,_xlfn.XLOOKUP($A508,CSV!$A:$A,CSV!G:G,""),
_xlpm.MacVal,_xlfn.XLOOKUP($A508,Output_Mac!$A:$A,Output_Mac!G:G,""),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_xlfn.XLOOKUP(A508,Output_Mac!A:A,Output_Mac!H:H,"")</f>
        <v/>
      </c>
      <c r="I508" s="45" t="str" cm="1">
        <f t="array" ref="I508">IFERROR(_xlfn.LET(
_xlpm.CSVVal,_xlfn.XLOOKUP($A508,CSV!$A:$A,CSV!H:H,""),
_xlpm.MacVal,_xlfn.XLOOKUP($A508,Output_Mac!$A:$A,Output_Mac!I:I,""),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_xlpm.CSVVal,_xlfn.XLOOKUP($A508,CSV!$A:$A,CSV!J:J,""),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46" t="str" cm="1">
        <f t="array" ref="K508">IFERROR(_xlfn.LET(
_xlpm.CSVVal,_xlfn.XLOOKUP($A508,CSV!$A:$A,CSV!N:N,""),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_xlpm.CSVVal,_xlfn.XLOOKUP($A508,CSV!$A:$A,CSV!P:P,""),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CSV!AE:AE,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_xlpm.CSVVal,_xlfn.XLOOKUP($A508,CSV!$A:$A,CSV!AG:AG,""),
_xlpm.MacVal,_xlfn.XLOOKUP($A508,Output_Mac!$A:$A,Output_Mac!T:T,""),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6" t="str">
        <f>IF(LEFT(N508,4)="Pass","Nist SP 800-88",My_Audit!R508)&amp;""</f>
        <v/>
      </c>
      <c r="R508" s="45"/>
      <c r="S508" s="45"/>
      <c r="T508" s="46" t="str">
        <f>_xlfn.XLOOKUP(E508,Models!I:I,Models!J:J,"")</f>
        <v/>
      </c>
      <c r="U508" s="45"/>
      <c r="V508" s="45"/>
      <c r="W508" s="38" t="str">
        <f>_xlfn.LET(
    _xlpm.MacVal, _xlfn.XLOOKUP($A508, Output_Mac!$A:$A, Output_Mac!AA:AA, ""),
    _xlpm.MyAuditVal, _xlfn.XLOOKUP($A508, My_Audit!$A:$A, My_Audit!L:L, ""),
    _xlfn.TEXTJOIN(", ", TRUE, _xlpm.MyAuditVal, _xlpm.MacVal)
)</f>
        <v/>
      </c>
    </row>
    <row r="509" spans="1:23">
      <c r="A509" s="45" t="str">
        <f>_xlfn.TEXTJOIN("",TRUE,Input!$B$2,ROW(My_Audit!A508))</f>
        <v>CC508</v>
      </c>
      <c r="B509" s="45" t="str">
        <f>_xlfn.TEXTJOIN("-",TRUE,"ITD",Input!$A$2,A509)</f>
        <v>ITD-XXX-CC508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 cm="1">
        <f t="array" ref="D509">IFERROR(_xlfn.LET(
_xlpm.CSVVal,_xlfn.XLOOKUP($A509,CSV!$A:$A,CSV!C:C,""),
_xlpm.MacVal,_xlfn.XLOOKUP($A509,Output_Mac!$A:$A,Output_Mac!D:D,""),
_xlpm.MyAuditVal,_xlfn.XLOOKUP($A509,My_Audit!$A:$A,My_Audit!C:C,""),
_xlfn.IFS(_xlpm.MyAuditVal&lt;&gt;"",UPPER(_xlpm.MyAuditVal),_xlpm.MacVal&lt;&gt;"",_xlpm.MacVal,_xlpm.CSVVal&lt;&gt;"",_xlpm.CSVVal
)),"")</f>
        <v/>
      </c>
      <c r="E509" s="46" t="str" cm="1">
        <f t="array" ref="E509">IFERROR(_xlfn.LET(
_xlpm.CSVVal,_xlfn.XLOOKUP($A509,CSV!$A:$A,CSV!E:E,""),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_xlpm.CSVVal,_xlfn.XLOOKUP($A509,CSV!$A:$A,CSV!G:G,""),
_xlpm.MacVal,_xlfn.XLOOKUP($A509,Output_Mac!$A:$A,Output_Mac!G:G,""),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_xlfn.XLOOKUP(A509,Output_Mac!A:A,Output_Mac!H:H,"")</f>
        <v/>
      </c>
      <c r="I509" s="45" t="str" cm="1">
        <f t="array" ref="I509">IFERROR(_xlfn.LET(
_xlpm.CSVVal,_xlfn.XLOOKUP($A509,CSV!$A:$A,CSV!H:H,""),
_xlpm.MacVal,_xlfn.XLOOKUP($A509,Output_Mac!$A:$A,Output_Mac!I:I,""),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_xlpm.CSVVal,_xlfn.XLOOKUP($A509,CSV!$A:$A,CSV!J:J,""),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46" t="str" cm="1">
        <f t="array" ref="K509">IFERROR(_xlfn.LET(
_xlpm.CSVVal,_xlfn.XLOOKUP($A509,CSV!$A:$A,CSV!N:N,""),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_xlpm.CSVVal,_xlfn.XLOOKUP($A509,CSV!$A:$A,CSV!P:P,""),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CSV!AE:AE,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_xlpm.CSVVal,_xlfn.XLOOKUP($A509,CSV!$A:$A,CSV!AG:AG,""),
_xlpm.MacVal,_xlfn.XLOOKUP($A509,Output_Mac!$A:$A,Output_Mac!T:T,""),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6" t="str">
        <f>IF(LEFT(N509,4)="Pass","Nist SP 800-88",My_Audit!R509)&amp;""</f>
        <v/>
      </c>
      <c r="R509" s="45"/>
      <c r="S509" s="45"/>
      <c r="T509" s="46" t="str">
        <f>_xlfn.XLOOKUP(E509,Models!I:I,Models!J:J,"")</f>
        <v/>
      </c>
      <c r="U509" s="45"/>
      <c r="V509" s="45"/>
      <c r="W509" s="38" t="str">
        <f>_xlfn.LET(
    _xlpm.MacVal, _xlfn.XLOOKUP($A509, Output_Mac!$A:$A, Output_Mac!AA:AA, ""),
    _xlpm.MyAuditVal, _xlfn.XLOOKUP($A509, My_Audit!$A:$A, My_Audit!L:L, ""),
    _xlfn.TEXTJOIN(", ", TRUE, _xlpm.MyAuditVal, _xlpm.MacVal)
)</f>
        <v/>
      </c>
    </row>
    <row r="510" spans="1:23">
      <c r="A510" s="45" t="str">
        <f>_xlfn.TEXTJOIN("",TRUE,Input!$B$2,ROW(My_Audit!A509))</f>
        <v>CC509</v>
      </c>
      <c r="B510" s="45" t="str">
        <f>_xlfn.TEXTJOIN("-",TRUE,"ITD",Input!$A$2,A510)</f>
        <v>ITD-XXX-CC509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 cm="1">
        <f t="array" ref="D510">IFERROR(_xlfn.LET(
_xlpm.CSVVal,_xlfn.XLOOKUP($A510,CSV!$A:$A,CSV!C:C,""),
_xlpm.MacVal,_xlfn.XLOOKUP($A510,Output_Mac!$A:$A,Output_Mac!D:D,""),
_xlpm.MyAuditVal,_xlfn.XLOOKUP($A510,My_Audit!$A:$A,My_Audit!C:C,""),
_xlfn.IFS(_xlpm.MyAuditVal&lt;&gt;"",UPPER(_xlpm.MyAuditVal),_xlpm.MacVal&lt;&gt;"",_xlpm.MacVal,_xlpm.CSVVal&lt;&gt;"",_xlpm.CSVVal
)),"")</f>
        <v/>
      </c>
      <c r="E510" s="46" t="str" cm="1">
        <f t="array" ref="E510">IFERROR(_xlfn.LET(
_xlpm.CSVVal,_xlfn.XLOOKUP($A510,CSV!$A:$A,CSV!E:E,""),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_xlpm.CSVVal,_xlfn.XLOOKUP($A510,CSV!$A:$A,CSV!G:G,""),
_xlpm.MacVal,_xlfn.XLOOKUP($A510,Output_Mac!$A:$A,Output_Mac!G:G,""),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_xlfn.XLOOKUP(A510,Output_Mac!A:A,Output_Mac!H:H,"")</f>
        <v/>
      </c>
      <c r="I510" s="45" t="str" cm="1">
        <f t="array" ref="I510">IFERROR(_xlfn.LET(
_xlpm.CSVVal,_xlfn.XLOOKUP($A510,CSV!$A:$A,CSV!H:H,""),
_xlpm.MacVal,_xlfn.XLOOKUP($A510,Output_Mac!$A:$A,Output_Mac!I:I,""),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_xlpm.CSVVal,_xlfn.XLOOKUP($A510,CSV!$A:$A,CSV!J:J,""),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46" t="str" cm="1">
        <f t="array" ref="K510">IFERROR(_xlfn.LET(
_xlpm.CSVVal,_xlfn.XLOOKUP($A510,CSV!$A:$A,CSV!N:N,""),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_xlpm.CSVVal,_xlfn.XLOOKUP($A510,CSV!$A:$A,CSV!P:P,""),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CSV!AE:AE,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_xlpm.CSVVal,_xlfn.XLOOKUP($A510,CSV!$A:$A,CSV!AG:AG,""),
_xlpm.MacVal,_xlfn.XLOOKUP($A510,Output_Mac!$A:$A,Output_Mac!T:T,""),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6" t="str">
        <f>IF(LEFT(N510,4)="Pass","Nist SP 800-88",My_Audit!R510)&amp;""</f>
        <v/>
      </c>
      <c r="R510" s="45"/>
      <c r="S510" s="45"/>
      <c r="T510" s="46" t="str">
        <f>_xlfn.XLOOKUP(E510,Models!I:I,Models!J:J,"")</f>
        <v/>
      </c>
      <c r="U510" s="45"/>
      <c r="V510" s="45"/>
      <c r="W510" s="38" t="str">
        <f>_xlfn.LET(
    _xlpm.MacVal, _xlfn.XLOOKUP($A510, Output_Mac!$A:$A, Output_Mac!AA:AA, ""),
    _xlpm.MyAuditVal, _xlfn.XLOOKUP($A510, My_Audit!$A:$A, My_Audit!L:L, ""),
    _xlfn.TEXTJOIN(", ", TRUE, _xlpm.MyAuditVal, _xlpm.MacVal)
)</f>
        <v/>
      </c>
    </row>
    <row r="511" spans="1:23">
      <c r="A511" s="45" t="str">
        <f>_xlfn.TEXTJOIN("",TRUE,Input!$B$2,ROW(My_Audit!A510))</f>
        <v>CC510</v>
      </c>
      <c r="B511" s="45" t="str">
        <f>_xlfn.TEXTJOIN("-",TRUE,"ITD",Input!$A$2,A511)</f>
        <v>ITD-XXX-CC510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 cm="1">
        <f t="array" ref="D511">IFERROR(_xlfn.LET(
_xlpm.CSVVal,_xlfn.XLOOKUP($A511,CSV!$A:$A,CSV!C:C,""),
_xlpm.MacVal,_xlfn.XLOOKUP($A511,Output_Mac!$A:$A,Output_Mac!D:D,""),
_xlpm.MyAuditVal,_xlfn.XLOOKUP($A511,My_Audit!$A:$A,My_Audit!C:C,""),
_xlfn.IFS(_xlpm.MyAuditVal&lt;&gt;"",UPPER(_xlpm.MyAuditVal),_xlpm.MacVal&lt;&gt;"",_xlpm.MacVal,_xlpm.CSVVal&lt;&gt;"",_xlpm.CSVVal
)),"")</f>
        <v/>
      </c>
      <c r="E511" s="46" t="str" cm="1">
        <f t="array" ref="E511">IFERROR(_xlfn.LET(
_xlpm.CSVVal,_xlfn.XLOOKUP($A511,CSV!$A:$A,CSV!E:E,""),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_xlpm.CSVVal,_xlfn.XLOOKUP($A511,CSV!$A:$A,CSV!G:G,""),
_xlpm.MacVal,_xlfn.XLOOKUP($A511,Output_Mac!$A:$A,Output_Mac!G:G,""),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_xlfn.XLOOKUP(A511,Output_Mac!A:A,Output_Mac!H:H,"")</f>
        <v/>
      </c>
      <c r="I511" s="45" t="str" cm="1">
        <f t="array" ref="I511">IFERROR(_xlfn.LET(
_xlpm.CSVVal,_xlfn.XLOOKUP($A511,CSV!$A:$A,CSV!H:H,""),
_xlpm.MacVal,_xlfn.XLOOKUP($A511,Output_Mac!$A:$A,Output_Mac!I:I,""),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_xlpm.CSVVal,_xlfn.XLOOKUP($A511,CSV!$A:$A,CSV!J:J,""),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46" t="str" cm="1">
        <f t="array" ref="K511">IFERROR(_xlfn.LET(
_xlpm.CSVVal,_xlfn.XLOOKUP($A511,CSV!$A:$A,CSV!N:N,""),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_xlpm.CSVVal,_xlfn.XLOOKUP($A511,CSV!$A:$A,CSV!P:P,""),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CSV!AE:AE,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_xlpm.CSVVal,_xlfn.XLOOKUP($A511,CSV!$A:$A,CSV!AG:AG,""),
_xlpm.MacVal,_xlfn.XLOOKUP($A511,Output_Mac!$A:$A,Output_Mac!T:T,""),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6" t="str">
        <f>IF(LEFT(N511,4)="Pass","Nist SP 800-88",My_Audit!R511)&amp;""</f>
        <v/>
      </c>
      <c r="R511" s="45"/>
      <c r="S511" s="45"/>
      <c r="T511" s="46" t="str">
        <f>_xlfn.XLOOKUP(E511,Models!I:I,Models!J:J,"")</f>
        <v/>
      </c>
      <c r="U511" s="45"/>
      <c r="V511" s="45"/>
      <c r="W511" s="38" t="str">
        <f>_xlfn.LET(
    _xlpm.MacVal, _xlfn.XLOOKUP($A511, Output_Mac!$A:$A, Output_Mac!AA:AA, ""),
    _xlpm.MyAuditVal, _xlfn.XLOOKUP($A511, My_Audit!$A:$A, My_Audit!L:L, ""),
    _xlfn.TEXTJOIN(", ", TRUE, _xlpm.MyAuditVal, _xlpm.MacVal)
)</f>
        <v/>
      </c>
    </row>
    <row r="512" spans="1:23">
      <c r="A512" s="45" t="str">
        <f>_xlfn.TEXTJOIN("",TRUE,Input!$B$2,ROW(My_Audit!A511))</f>
        <v>CC511</v>
      </c>
      <c r="B512" s="45" t="str">
        <f>_xlfn.TEXTJOIN("-",TRUE,"ITD",Input!$A$2,A512)</f>
        <v>ITD-XXX-CC511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 cm="1">
        <f t="array" ref="D512">IFERROR(_xlfn.LET(
_xlpm.CSVVal,_xlfn.XLOOKUP($A512,CSV!$A:$A,CSV!C:C,""),
_xlpm.MacVal,_xlfn.XLOOKUP($A512,Output_Mac!$A:$A,Output_Mac!D:D,""),
_xlpm.MyAuditVal,_xlfn.XLOOKUP($A512,My_Audit!$A:$A,My_Audit!C:C,""),
_xlfn.IFS(_xlpm.MyAuditVal&lt;&gt;"",UPPER(_xlpm.MyAuditVal),_xlpm.MacVal&lt;&gt;"",_xlpm.MacVal,_xlpm.CSVVal&lt;&gt;"",_xlpm.CSVVal
)),"")</f>
        <v/>
      </c>
      <c r="E512" s="46" t="str" cm="1">
        <f t="array" ref="E512">IFERROR(_xlfn.LET(
_xlpm.CSVVal,_xlfn.XLOOKUP($A512,CSV!$A:$A,CSV!E:E,""),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_xlpm.CSVVal,_xlfn.XLOOKUP($A512,CSV!$A:$A,CSV!G:G,""),
_xlpm.MacVal,_xlfn.XLOOKUP($A512,Output_Mac!$A:$A,Output_Mac!G:G,""),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_xlfn.XLOOKUP(A512,Output_Mac!A:A,Output_Mac!H:H,"")</f>
        <v/>
      </c>
      <c r="I512" s="45" t="str" cm="1">
        <f t="array" ref="I512">IFERROR(_xlfn.LET(
_xlpm.CSVVal,_xlfn.XLOOKUP($A512,CSV!$A:$A,CSV!H:H,""),
_xlpm.MacVal,_xlfn.XLOOKUP($A512,Output_Mac!$A:$A,Output_Mac!I:I,""),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_xlpm.CSVVal,_xlfn.XLOOKUP($A512,CSV!$A:$A,CSV!J:J,""),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46" t="str" cm="1">
        <f t="array" ref="K512">IFERROR(_xlfn.LET(
_xlpm.CSVVal,_xlfn.XLOOKUP($A512,CSV!$A:$A,CSV!N:N,""),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_xlpm.CSVVal,_xlfn.XLOOKUP($A512,CSV!$A:$A,CSV!P:P,""),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CSV!AE:AE,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_xlpm.CSVVal,_xlfn.XLOOKUP($A512,CSV!$A:$A,CSV!AG:AG,""),
_xlpm.MacVal,_xlfn.XLOOKUP($A512,Output_Mac!$A:$A,Output_Mac!T:T,""),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6" t="str">
        <f>IF(LEFT(N512,4)="Pass","Nist SP 800-88",My_Audit!R512)&amp;""</f>
        <v/>
      </c>
      <c r="R512" s="45"/>
      <c r="S512" s="45"/>
      <c r="T512" s="46" t="str">
        <f>_xlfn.XLOOKUP(E512,Models!I:I,Models!J:J,"")</f>
        <v/>
      </c>
      <c r="U512" s="45"/>
      <c r="V512" s="45"/>
      <c r="W512" s="38" t="str">
        <f>_xlfn.LET(
    _xlpm.MacVal, _xlfn.XLOOKUP($A512, Output_Mac!$A:$A, Output_Mac!AA:AA, ""),
    _xlpm.MyAuditVal, _xlfn.XLOOKUP($A512, My_Audit!$A:$A, My_Audit!L:L, ""),
    _xlfn.TEXTJOIN(", ", TRUE, _xlpm.MyAuditVal, _xlpm.MacVal)
)</f>
        <v/>
      </c>
    </row>
    <row r="513" spans="1:23">
      <c r="A513" s="45" t="str">
        <f>_xlfn.TEXTJOIN("",TRUE,Input!$B$2,ROW(My_Audit!A512))</f>
        <v>CC512</v>
      </c>
      <c r="B513" s="45" t="str">
        <f>_xlfn.TEXTJOIN("-",TRUE,"ITD",Input!$A$2,A513)</f>
        <v>ITD-XXX-CC512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 cm="1">
        <f t="array" ref="D513">IFERROR(_xlfn.LET(
_xlpm.CSVVal,_xlfn.XLOOKUP($A513,CSV!$A:$A,CSV!C:C,""),
_xlpm.MacVal,_xlfn.XLOOKUP($A513,Output_Mac!$A:$A,Output_Mac!D:D,""),
_xlpm.MyAuditVal,_xlfn.XLOOKUP($A513,My_Audit!$A:$A,My_Audit!C:C,""),
_xlfn.IFS(_xlpm.MyAuditVal&lt;&gt;"",UPPER(_xlpm.MyAuditVal),_xlpm.MacVal&lt;&gt;"",_xlpm.MacVal,_xlpm.CSVVal&lt;&gt;"",_xlpm.CSVVal
)),"")</f>
        <v/>
      </c>
      <c r="E513" s="46" t="str" cm="1">
        <f t="array" ref="E513">IFERROR(_xlfn.LET(
_xlpm.CSVVal,_xlfn.XLOOKUP($A513,CSV!$A:$A,CSV!E:E,""),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_xlpm.CSVVal,_xlfn.XLOOKUP($A513,CSV!$A:$A,CSV!G:G,""),
_xlpm.MacVal,_xlfn.XLOOKUP($A513,Output_Mac!$A:$A,Output_Mac!G:G,""),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_xlfn.XLOOKUP(A513,Output_Mac!A:A,Output_Mac!H:H,"")</f>
        <v/>
      </c>
      <c r="I513" s="45" t="str" cm="1">
        <f t="array" ref="I513">IFERROR(_xlfn.LET(
_xlpm.CSVVal,_xlfn.XLOOKUP($A513,CSV!$A:$A,CSV!H:H,""),
_xlpm.MacVal,_xlfn.XLOOKUP($A513,Output_Mac!$A:$A,Output_Mac!I:I,""),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_xlpm.CSVVal,_xlfn.XLOOKUP($A513,CSV!$A:$A,CSV!J:J,""),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46" t="str" cm="1">
        <f t="array" ref="K513">IFERROR(_xlfn.LET(
_xlpm.CSVVal,_xlfn.XLOOKUP($A513,CSV!$A:$A,CSV!N:N,""),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_xlpm.CSVVal,_xlfn.XLOOKUP($A513,CSV!$A:$A,CSV!P:P,""),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CSV!AE:AE,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_xlpm.CSVVal,_xlfn.XLOOKUP($A513,CSV!$A:$A,CSV!AG:AG,""),
_xlpm.MacVal,_xlfn.XLOOKUP($A513,Output_Mac!$A:$A,Output_Mac!T:T,""),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6" t="str">
        <f>IF(LEFT(N513,4)="Pass","Nist SP 800-88",My_Audit!R513)&amp;""</f>
        <v/>
      </c>
      <c r="R513" s="45"/>
      <c r="S513" s="45"/>
      <c r="T513" s="46" t="str">
        <f>_xlfn.XLOOKUP(E513,Models!I:I,Models!J:J,"")</f>
        <v/>
      </c>
      <c r="U513" s="45"/>
      <c r="V513" s="45"/>
      <c r="W513" s="38" t="str">
        <f>_xlfn.LET(
    _xlpm.MacVal, _xlfn.XLOOKUP($A513, Output_Mac!$A:$A, Output_Mac!AA:AA, ""),
    _xlpm.MyAuditVal, _xlfn.XLOOKUP($A513, My_Audit!$A:$A, My_Audit!L:L, ""),
    _xlfn.TEXTJOIN(", ", TRUE, _xlpm.MyAuditVal, _xlpm.MacVal)
)</f>
        <v/>
      </c>
    </row>
    <row r="514" spans="1:23">
      <c r="A514" s="45" t="str">
        <f>_xlfn.TEXTJOIN("",TRUE,Input!$B$2,ROW(My_Audit!A513))</f>
        <v>CC513</v>
      </c>
      <c r="B514" s="45" t="str">
        <f>_xlfn.TEXTJOIN("-",TRUE,"ITD",Input!$A$2,A514)</f>
        <v>ITD-XXX-CC513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 cm="1">
        <f t="array" ref="D514">IFERROR(_xlfn.LET(
_xlpm.CSVVal,_xlfn.XLOOKUP($A514,CSV!$A:$A,CSV!C:C,""),
_xlpm.MacVal,_xlfn.XLOOKUP($A514,Output_Mac!$A:$A,Output_Mac!D:D,""),
_xlpm.MyAuditVal,_xlfn.XLOOKUP($A514,My_Audit!$A:$A,My_Audit!C:C,""),
_xlfn.IFS(_xlpm.MyAuditVal&lt;&gt;"",UPPER(_xlpm.MyAuditVal),_xlpm.MacVal&lt;&gt;"",_xlpm.MacVal,_xlpm.CSVVal&lt;&gt;"",_xlpm.CSVVal
)),"")</f>
        <v/>
      </c>
      <c r="E514" s="46" t="str" cm="1">
        <f t="array" ref="E514">IFERROR(_xlfn.LET(
_xlpm.CSVVal,_xlfn.XLOOKUP($A514,CSV!$A:$A,CSV!E:E,""),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_xlpm.CSVVal,_xlfn.XLOOKUP($A514,CSV!$A:$A,CSV!G:G,""),
_xlpm.MacVal,_xlfn.XLOOKUP($A514,Output_Mac!$A:$A,Output_Mac!G:G,""),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_xlfn.XLOOKUP(A514,Output_Mac!A:A,Output_Mac!H:H,"")</f>
        <v/>
      </c>
      <c r="I514" s="45" t="str" cm="1">
        <f t="array" ref="I514">IFERROR(_xlfn.LET(
_xlpm.CSVVal,_xlfn.XLOOKUP($A514,CSV!$A:$A,CSV!H:H,""),
_xlpm.MacVal,_xlfn.XLOOKUP($A514,Output_Mac!$A:$A,Output_Mac!I:I,""),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_xlpm.CSVVal,_xlfn.XLOOKUP($A514,CSV!$A:$A,CSV!J:J,""),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46" t="str" cm="1">
        <f t="array" ref="K514">IFERROR(_xlfn.LET(
_xlpm.CSVVal,_xlfn.XLOOKUP($A514,CSV!$A:$A,CSV!N:N,""),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_xlpm.CSVVal,_xlfn.XLOOKUP($A514,CSV!$A:$A,CSV!P:P,""),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CSV!AE:AE,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_xlpm.CSVVal,_xlfn.XLOOKUP($A514,CSV!$A:$A,CSV!AG:AG,""),
_xlpm.MacVal,_xlfn.XLOOKUP($A514,Output_Mac!$A:$A,Output_Mac!T:T,""),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6" t="str">
        <f>IF(LEFT(N514,4)="Pass","Nist SP 800-88",My_Audit!R514)&amp;""</f>
        <v/>
      </c>
      <c r="R514" s="45"/>
      <c r="S514" s="45"/>
      <c r="T514" s="46" t="str">
        <f>_xlfn.XLOOKUP(E514,Models!I:I,Models!J:J,"")</f>
        <v/>
      </c>
      <c r="U514" s="45"/>
      <c r="V514" s="45"/>
      <c r="W514" s="38" t="str">
        <f>_xlfn.LET(
    _xlpm.MacVal, _xlfn.XLOOKUP($A514, Output_Mac!$A:$A, Output_Mac!AA:AA, ""),
    _xlpm.MyAuditVal, _xlfn.XLOOKUP($A514, My_Audit!$A:$A, My_Audit!L:L, ""),
    _xlfn.TEXTJOIN(", ", TRUE, _xlpm.MyAuditVal, _xlpm.MacVal)
)</f>
        <v/>
      </c>
    </row>
    <row r="515" spans="1:23">
      <c r="A515" s="45" t="str">
        <f>_xlfn.TEXTJOIN("",TRUE,Input!$B$2,ROW(My_Audit!A514))</f>
        <v>CC514</v>
      </c>
      <c r="B515" s="45" t="str">
        <f>_xlfn.TEXTJOIN("-",TRUE,"ITD",Input!$A$2,A515)</f>
        <v>ITD-XXX-CC514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 cm="1">
        <f t="array" ref="D515">IFERROR(_xlfn.LET(
_xlpm.CSVVal,_xlfn.XLOOKUP($A515,CSV!$A:$A,CSV!C:C,""),
_xlpm.MacVal,_xlfn.XLOOKUP($A515,Output_Mac!$A:$A,Output_Mac!D:D,""),
_xlpm.MyAuditVal,_xlfn.XLOOKUP($A515,My_Audit!$A:$A,My_Audit!C:C,""),
_xlfn.IFS(_xlpm.MyAuditVal&lt;&gt;"",UPPER(_xlpm.MyAuditVal),_xlpm.MacVal&lt;&gt;"",_xlpm.MacVal,_xlpm.CSVVal&lt;&gt;"",_xlpm.CSVVal
)),"")</f>
        <v/>
      </c>
      <c r="E515" s="46" t="str" cm="1">
        <f t="array" ref="E515">IFERROR(_xlfn.LET(
_xlpm.CSVVal,_xlfn.XLOOKUP($A515,CSV!$A:$A,CSV!E:E,""),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_xlpm.CSVVal,_xlfn.XLOOKUP($A515,CSV!$A:$A,CSV!G:G,""),
_xlpm.MacVal,_xlfn.XLOOKUP($A515,Output_Mac!$A:$A,Output_Mac!G:G,""),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_xlfn.XLOOKUP(A515,Output_Mac!A:A,Output_Mac!H:H,"")</f>
        <v/>
      </c>
      <c r="I515" s="45" t="str" cm="1">
        <f t="array" ref="I515">IFERROR(_xlfn.LET(
_xlpm.CSVVal,_xlfn.XLOOKUP($A515,CSV!$A:$A,CSV!H:H,""),
_xlpm.MacVal,_xlfn.XLOOKUP($A515,Output_Mac!$A:$A,Output_Mac!I:I,""),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_xlpm.CSVVal,_xlfn.XLOOKUP($A515,CSV!$A:$A,CSV!J:J,""),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46" t="str" cm="1">
        <f t="array" ref="K515">IFERROR(_xlfn.LET(
_xlpm.CSVVal,_xlfn.XLOOKUP($A515,CSV!$A:$A,CSV!N:N,""),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_xlpm.CSVVal,_xlfn.XLOOKUP($A515,CSV!$A:$A,CSV!P:P,""),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CSV!AE:AE,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_xlpm.CSVVal,_xlfn.XLOOKUP($A515,CSV!$A:$A,CSV!AG:AG,""),
_xlpm.MacVal,_xlfn.XLOOKUP($A515,Output_Mac!$A:$A,Output_Mac!T:T,""),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6" t="str">
        <f>IF(LEFT(N515,4)="Pass","Nist SP 800-88",My_Audit!R515)&amp;""</f>
        <v/>
      </c>
      <c r="R515" s="45"/>
      <c r="S515" s="45"/>
      <c r="T515" s="46" t="str">
        <f>_xlfn.XLOOKUP(E515,Models!I:I,Models!J:J,"")</f>
        <v/>
      </c>
      <c r="U515" s="45"/>
      <c r="V515" s="45"/>
      <c r="W515" s="38" t="str">
        <f>_xlfn.LET(
    _xlpm.MacVal, _xlfn.XLOOKUP($A515, Output_Mac!$A:$A, Output_Mac!AA:AA, ""),
    _xlpm.MyAuditVal, _xlfn.XLOOKUP($A515, My_Audit!$A:$A, My_Audit!L:L, ""),
    _xlfn.TEXTJOIN(", ", TRUE, _xlpm.MyAuditVal, _xlpm.MacVal)
)</f>
        <v/>
      </c>
    </row>
    <row r="516" spans="1:23">
      <c r="A516" s="45" t="str">
        <f>_xlfn.TEXTJOIN("",TRUE,Input!$B$2,ROW(My_Audit!A515))</f>
        <v>CC515</v>
      </c>
      <c r="B516" s="45" t="str">
        <f>_xlfn.TEXTJOIN("-",TRUE,"ITD",Input!$A$2,A516)</f>
        <v>ITD-XXX-CC515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 cm="1">
        <f t="array" ref="D516">IFERROR(_xlfn.LET(
_xlpm.CSVVal,_xlfn.XLOOKUP($A516,CSV!$A:$A,CSV!C:C,""),
_xlpm.MacVal,_xlfn.XLOOKUP($A516,Output_Mac!$A:$A,Output_Mac!D:D,""),
_xlpm.MyAuditVal,_xlfn.XLOOKUP($A516,My_Audit!$A:$A,My_Audit!C:C,""),
_xlfn.IFS(_xlpm.MyAuditVal&lt;&gt;"",UPPER(_xlpm.MyAuditVal),_xlpm.MacVal&lt;&gt;"",_xlpm.MacVal,_xlpm.CSVVal&lt;&gt;"",_xlpm.CSVVal
)),"")</f>
        <v/>
      </c>
      <c r="E516" s="46" t="str" cm="1">
        <f t="array" ref="E516">IFERROR(_xlfn.LET(
_xlpm.CSVVal,_xlfn.XLOOKUP($A516,CSV!$A:$A,CSV!E:E,""),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_xlpm.CSVVal,_xlfn.XLOOKUP($A516,CSV!$A:$A,CSV!G:G,""),
_xlpm.MacVal,_xlfn.XLOOKUP($A516,Output_Mac!$A:$A,Output_Mac!G:G,""),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_xlfn.XLOOKUP(A516,Output_Mac!A:A,Output_Mac!H:H,"")</f>
        <v/>
      </c>
      <c r="I516" s="45" t="str" cm="1">
        <f t="array" ref="I516">IFERROR(_xlfn.LET(
_xlpm.CSVVal,_xlfn.XLOOKUP($A516,CSV!$A:$A,CSV!H:H,""),
_xlpm.MacVal,_xlfn.XLOOKUP($A516,Output_Mac!$A:$A,Output_Mac!I:I,""),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_xlpm.CSVVal,_xlfn.XLOOKUP($A516,CSV!$A:$A,CSV!J:J,""),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46" t="str" cm="1">
        <f t="array" ref="K516">IFERROR(_xlfn.LET(
_xlpm.CSVVal,_xlfn.XLOOKUP($A516,CSV!$A:$A,CSV!N:N,""),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_xlpm.CSVVal,_xlfn.XLOOKUP($A516,CSV!$A:$A,CSV!P:P,""),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CSV!AE:AE,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_xlpm.CSVVal,_xlfn.XLOOKUP($A516,CSV!$A:$A,CSV!AG:AG,""),
_xlpm.MacVal,_xlfn.XLOOKUP($A516,Output_Mac!$A:$A,Output_Mac!T:T,""),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6" t="str">
        <f>IF(LEFT(N516,4)="Pass","Nist SP 800-88",My_Audit!R516)&amp;""</f>
        <v/>
      </c>
      <c r="R516" s="45"/>
      <c r="S516" s="45"/>
      <c r="T516" s="46" t="str">
        <f>_xlfn.XLOOKUP(E516,Models!I:I,Models!J:J,"")</f>
        <v/>
      </c>
      <c r="U516" s="45"/>
      <c r="V516" s="45"/>
      <c r="W516" s="38" t="str">
        <f>_xlfn.LET(
    _xlpm.MacVal, _xlfn.XLOOKUP($A516, Output_Mac!$A:$A, Output_Mac!AA:AA, ""),
    _xlpm.MyAuditVal, _xlfn.XLOOKUP($A516, My_Audit!$A:$A, My_Audit!L:L, ""),
    _xlfn.TEXTJOIN(", ", TRUE, _xlpm.MyAuditVal, _xlpm.MacVal)
)</f>
        <v/>
      </c>
    </row>
    <row r="517" spans="1:23">
      <c r="A517" s="45" t="str">
        <f>_xlfn.TEXTJOIN("",TRUE,Input!$B$2,ROW(My_Audit!A516))</f>
        <v>CC516</v>
      </c>
      <c r="B517" s="45" t="str">
        <f>_xlfn.TEXTJOIN("-",TRUE,"ITD",Input!$A$2,A517)</f>
        <v>ITD-XXX-CC516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 cm="1">
        <f t="array" ref="D517">IFERROR(_xlfn.LET(
_xlpm.CSVVal,_xlfn.XLOOKUP($A517,CSV!$A:$A,CSV!C:C,""),
_xlpm.MacVal,_xlfn.XLOOKUP($A517,Output_Mac!$A:$A,Output_Mac!D:D,""),
_xlpm.MyAuditVal,_xlfn.XLOOKUP($A517,My_Audit!$A:$A,My_Audit!C:C,""),
_xlfn.IFS(_xlpm.MyAuditVal&lt;&gt;"",UPPER(_xlpm.MyAuditVal),_xlpm.MacVal&lt;&gt;"",_xlpm.MacVal,_xlpm.CSVVal&lt;&gt;"",_xlpm.CSVVal
)),"")</f>
        <v/>
      </c>
      <c r="E517" s="46" t="str" cm="1">
        <f t="array" ref="E517">IFERROR(_xlfn.LET(
_xlpm.CSVVal,_xlfn.XLOOKUP($A517,CSV!$A:$A,CSV!E:E,""),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_xlpm.CSVVal,_xlfn.XLOOKUP($A517,CSV!$A:$A,CSV!G:G,""),
_xlpm.MacVal,_xlfn.XLOOKUP($A517,Output_Mac!$A:$A,Output_Mac!G:G,""),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_xlfn.XLOOKUP(A517,Output_Mac!A:A,Output_Mac!H:H,"")</f>
        <v/>
      </c>
      <c r="I517" s="45" t="str" cm="1">
        <f t="array" ref="I517">IFERROR(_xlfn.LET(
_xlpm.CSVVal,_xlfn.XLOOKUP($A517,CSV!$A:$A,CSV!H:H,""),
_xlpm.MacVal,_xlfn.XLOOKUP($A517,Output_Mac!$A:$A,Output_Mac!I:I,""),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_xlpm.CSVVal,_xlfn.XLOOKUP($A517,CSV!$A:$A,CSV!J:J,""),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46" t="str" cm="1">
        <f t="array" ref="K517">IFERROR(_xlfn.LET(
_xlpm.CSVVal,_xlfn.XLOOKUP($A517,CSV!$A:$A,CSV!N:N,""),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_xlpm.CSVVal,_xlfn.XLOOKUP($A517,CSV!$A:$A,CSV!P:P,""),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CSV!AE:AE,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_xlpm.CSVVal,_xlfn.XLOOKUP($A517,CSV!$A:$A,CSV!AG:AG,""),
_xlpm.MacVal,_xlfn.XLOOKUP($A517,Output_Mac!$A:$A,Output_Mac!T:T,""),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6" t="str">
        <f>IF(LEFT(N517,4)="Pass","Nist SP 800-88",My_Audit!R517)&amp;""</f>
        <v/>
      </c>
      <c r="R517" s="45"/>
      <c r="S517" s="45"/>
      <c r="T517" s="46" t="str">
        <f>_xlfn.XLOOKUP(E517,Models!I:I,Models!J:J,"")</f>
        <v/>
      </c>
      <c r="U517" s="45"/>
      <c r="V517" s="45"/>
      <c r="W517" s="38" t="str">
        <f>_xlfn.LET(
    _xlpm.MacVal, _xlfn.XLOOKUP($A517, Output_Mac!$A:$A, Output_Mac!AA:AA, ""),
    _xlpm.MyAuditVal, _xlfn.XLOOKUP($A517, My_Audit!$A:$A, My_Audit!L:L, ""),
    _xlfn.TEXTJOIN(", ", TRUE, _xlpm.MyAuditVal, _xlpm.MacVal)
)</f>
        <v/>
      </c>
    </row>
    <row r="518" spans="1:23">
      <c r="A518" s="45" t="str">
        <f>_xlfn.TEXTJOIN("",TRUE,Input!$B$2,ROW(My_Audit!A517))</f>
        <v>CC517</v>
      </c>
      <c r="B518" s="45" t="str">
        <f>_xlfn.TEXTJOIN("-",TRUE,"ITD",Input!$A$2,A518)</f>
        <v>ITD-XXX-CC517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 cm="1">
        <f t="array" ref="D518">IFERROR(_xlfn.LET(
_xlpm.CSVVal,_xlfn.XLOOKUP($A518,CSV!$A:$A,CSV!C:C,""),
_xlpm.MacVal,_xlfn.XLOOKUP($A518,Output_Mac!$A:$A,Output_Mac!D:D,""),
_xlpm.MyAuditVal,_xlfn.XLOOKUP($A518,My_Audit!$A:$A,My_Audit!C:C,""),
_xlfn.IFS(_xlpm.MyAuditVal&lt;&gt;"",UPPER(_xlpm.MyAuditVal),_xlpm.MacVal&lt;&gt;"",_xlpm.MacVal,_xlpm.CSVVal&lt;&gt;"",_xlpm.CSVVal
)),"")</f>
        <v/>
      </c>
      <c r="E518" s="46" t="str" cm="1">
        <f t="array" ref="E518">IFERROR(_xlfn.LET(
_xlpm.CSVVal,_xlfn.XLOOKUP($A518,CSV!$A:$A,CSV!E:E,""),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_xlpm.CSVVal,_xlfn.XLOOKUP($A518,CSV!$A:$A,CSV!G:G,""),
_xlpm.MacVal,_xlfn.XLOOKUP($A518,Output_Mac!$A:$A,Output_Mac!G:G,""),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_xlfn.XLOOKUP(A518,Output_Mac!A:A,Output_Mac!H:H,"")</f>
        <v/>
      </c>
      <c r="I518" s="45" t="str" cm="1">
        <f t="array" ref="I518">IFERROR(_xlfn.LET(
_xlpm.CSVVal,_xlfn.XLOOKUP($A518,CSV!$A:$A,CSV!H:H,""),
_xlpm.MacVal,_xlfn.XLOOKUP($A518,Output_Mac!$A:$A,Output_Mac!I:I,""),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_xlpm.CSVVal,_xlfn.XLOOKUP($A518,CSV!$A:$A,CSV!J:J,""),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46" t="str" cm="1">
        <f t="array" ref="K518">IFERROR(_xlfn.LET(
_xlpm.CSVVal,_xlfn.XLOOKUP($A518,CSV!$A:$A,CSV!N:N,""),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_xlpm.CSVVal,_xlfn.XLOOKUP($A518,CSV!$A:$A,CSV!P:P,""),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CSV!AE:AE,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_xlpm.CSVVal,_xlfn.XLOOKUP($A518,CSV!$A:$A,CSV!AG:AG,""),
_xlpm.MacVal,_xlfn.XLOOKUP($A518,Output_Mac!$A:$A,Output_Mac!T:T,""),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6" t="str">
        <f>IF(LEFT(N518,4)="Pass","Nist SP 800-88",My_Audit!R518)&amp;""</f>
        <v/>
      </c>
      <c r="R518" s="45"/>
      <c r="S518" s="45"/>
      <c r="T518" s="46" t="str">
        <f>_xlfn.XLOOKUP(E518,Models!I:I,Models!J:J,"")</f>
        <v/>
      </c>
      <c r="U518" s="45"/>
      <c r="V518" s="45"/>
      <c r="W518" s="38" t="str">
        <f>_xlfn.LET(
    _xlpm.MacVal, _xlfn.XLOOKUP($A518, Output_Mac!$A:$A, Output_Mac!AA:AA, ""),
    _xlpm.MyAuditVal, _xlfn.XLOOKUP($A518, My_Audit!$A:$A, My_Audit!L:L, ""),
    _xlfn.TEXTJOIN(", ", TRUE, _xlpm.MyAuditVal, _xlpm.MacVal)
)</f>
        <v/>
      </c>
    </row>
    <row r="519" spans="1:23">
      <c r="A519" s="45" t="str">
        <f>_xlfn.TEXTJOIN("",TRUE,Input!$B$2,ROW(My_Audit!A518))</f>
        <v>CC518</v>
      </c>
      <c r="B519" s="45" t="str">
        <f>_xlfn.TEXTJOIN("-",TRUE,"ITD",Input!$A$2,A519)</f>
        <v>ITD-XXX-CC518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 cm="1">
        <f t="array" ref="D519">IFERROR(_xlfn.LET(
_xlpm.CSVVal,_xlfn.XLOOKUP($A519,CSV!$A:$A,CSV!C:C,""),
_xlpm.MacVal,_xlfn.XLOOKUP($A519,Output_Mac!$A:$A,Output_Mac!D:D,""),
_xlpm.MyAuditVal,_xlfn.XLOOKUP($A519,My_Audit!$A:$A,My_Audit!C:C,""),
_xlfn.IFS(_xlpm.MyAuditVal&lt;&gt;"",UPPER(_xlpm.MyAuditVal),_xlpm.MacVal&lt;&gt;"",_xlpm.MacVal,_xlpm.CSVVal&lt;&gt;"",_xlpm.CSVVal
)),"")</f>
        <v/>
      </c>
      <c r="E519" s="46" t="str" cm="1">
        <f t="array" ref="E519">IFERROR(_xlfn.LET(
_xlpm.CSVVal,_xlfn.XLOOKUP($A519,CSV!$A:$A,CSV!E:E,""),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_xlpm.CSVVal,_xlfn.XLOOKUP($A519,CSV!$A:$A,CSV!G:G,""),
_xlpm.MacVal,_xlfn.XLOOKUP($A519,Output_Mac!$A:$A,Output_Mac!G:G,""),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_xlfn.XLOOKUP(A519,Output_Mac!A:A,Output_Mac!H:H,"")</f>
        <v/>
      </c>
      <c r="I519" s="45" t="str" cm="1">
        <f t="array" ref="I519">IFERROR(_xlfn.LET(
_xlpm.CSVVal,_xlfn.XLOOKUP($A519,CSV!$A:$A,CSV!H:H,""),
_xlpm.MacVal,_xlfn.XLOOKUP($A519,Output_Mac!$A:$A,Output_Mac!I:I,""),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_xlpm.CSVVal,_xlfn.XLOOKUP($A519,CSV!$A:$A,CSV!J:J,""),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46" t="str" cm="1">
        <f t="array" ref="K519">IFERROR(_xlfn.LET(
_xlpm.CSVVal,_xlfn.XLOOKUP($A519,CSV!$A:$A,CSV!N:N,""),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_xlpm.CSVVal,_xlfn.XLOOKUP($A519,CSV!$A:$A,CSV!P:P,""),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CSV!AE:AE,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_xlpm.CSVVal,_xlfn.XLOOKUP($A519,CSV!$A:$A,CSV!AG:AG,""),
_xlpm.MacVal,_xlfn.XLOOKUP($A519,Output_Mac!$A:$A,Output_Mac!T:T,""),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6" t="str">
        <f>IF(LEFT(N519,4)="Pass","Nist SP 800-88",My_Audit!R519)&amp;""</f>
        <v/>
      </c>
      <c r="R519" s="45"/>
      <c r="S519" s="45"/>
      <c r="T519" s="46" t="str">
        <f>_xlfn.XLOOKUP(E519,Models!I:I,Models!J:J,"")</f>
        <v/>
      </c>
      <c r="U519" s="45"/>
      <c r="V519" s="45"/>
      <c r="W519" s="38" t="str">
        <f>_xlfn.LET(
    _xlpm.MacVal, _xlfn.XLOOKUP($A519, Output_Mac!$A:$A, Output_Mac!AA:AA, ""),
    _xlpm.MyAuditVal, _xlfn.XLOOKUP($A519, My_Audit!$A:$A, My_Audit!L:L, ""),
    _xlfn.TEXTJOIN(", ", TRUE, _xlpm.MyAuditVal, _xlpm.MacVal)
)</f>
        <v/>
      </c>
    </row>
    <row r="520" spans="1:23">
      <c r="A520" s="45" t="str">
        <f>_xlfn.TEXTJOIN("",TRUE,Input!$B$2,ROW(My_Audit!A519))</f>
        <v>CC519</v>
      </c>
      <c r="B520" s="45" t="str">
        <f>_xlfn.TEXTJOIN("-",TRUE,"ITD",Input!$A$2,A520)</f>
        <v>ITD-XXX-CC519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 cm="1">
        <f t="array" ref="D520">IFERROR(_xlfn.LET(
_xlpm.CSVVal,_xlfn.XLOOKUP($A520,CSV!$A:$A,CSV!C:C,""),
_xlpm.MacVal,_xlfn.XLOOKUP($A520,Output_Mac!$A:$A,Output_Mac!D:D,""),
_xlpm.MyAuditVal,_xlfn.XLOOKUP($A520,My_Audit!$A:$A,My_Audit!C:C,""),
_xlfn.IFS(_xlpm.MyAuditVal&lt;&gt;"",UPPER(_xlpm.MyAuditVal),_xlpm.MacVal&lt;&gt;"",_xlpm.MacVal,_xlpm.CSVVal&lt;&gt;"",_xlpm.CSVVal
)),"")</f>
        <v/>
      </c>
      <c r="E520" s="46" t="str" cm="1">
        <f t="array" ref="E520">IFERROR(_xlfn.LET(
_xlpm.CSVVal,_xlfn.XLOOKUP($A520,CSV!$A:$A,CSV!E:E,""),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_xlpm.CSVVal,_xlfn.XLOOKUP($A520,CSV!$A:$A,CSV!G:G,""),
_xlpm.MacVal,_xlfn.XLOOKUP($A520,Output_Mac!$A:$A,Output_Mac!G:G,""),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_xlfn.XLOOKUP(A520,Output_Mac!A:A,Output_Mac!H:H,"")</f>
        <v/>
      </c>
      <c r="I520" s="45" t="str" cm="1">
        <f t="array" ref="I520">IFERROR(_xlfn.LET(
_xlpm.CSVVal,_xlfn.XLOOKUP($A520,CSV!$A:$A,CSV!H:H,""),
_xlpm.MacVal,_xlfn.XLOOKUP($A520,Output_Mac!$A:$A,Output_Mac!I:I,""),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_xlpm.CSVVal,_xlfn.XLOOKUP($A520,CSV!$A:$A,CSV!J:J,""),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46" t="str" cm="1">
        <f t="array" ref="K520">IFERROR(_xlfn.LET(
_xlpm.CSVVal,_xlfn.XLOOKUP($A520,CSV!$A:$A,CSV!N:N,""),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_xlpm.CSVVal,_xlfn.XLOOKUP($A520,CSV!$A:$A,CSV!P:P,""),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CSV!AE:AE,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_xlpm.CSVVal,_xlfn.XLOOKUP($A520,CSV!$A:$A,CSV!AG:AG,""),
_xlpm.MacVal,_xlfn.XLOOKUP($A520,Output_Mac!$A:$A,Output_Mac!T:T,""),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6" t="str">
        <f>IF(LEFT(N520,4)="Pass","Nist SP 800-88",My_Audit!R520)&amp;""</f>
        <v/>
      </c>
      <c r="R520" s="45"/>
      <c r="S520" s="45"/>
      <c r="T520" s="46" t="str">
        <f>_xlfn.XLOOKUP(E520,Models!I:I,Models!J:J,"")</f>
        <v/>
      </c>
      <c r="U520" s="45"/>
      <c r="V520" s="45"/>
      <c r="W520" s="38" t="str">
        <f>_xlfn.LET(
    _xlpm.MacVal, _xlfn.XLOOKUP($A520, Output_Mac!$A:$A, Output_Mac!AA:AA, ""),
    _xlpm.MyAuditVal, _xlfn.XLOOKUP($A520, My_Audit!$A:$A, My_Audit!L:L, ""),
    _xlfn.TEXTJOIN(", ", TRUE, _xlpm.MyAuditVal, _xlpm.MacVal)
)</f>
        <v/>
      </c>
    </row>
    <row r="521" spans="1:23">
      <c r="A521" s="45" t="str">
        <f>_xlfn.TEXTJOIN("",TRUE,Input!$B$2,ROW(My_Audit!A520))</f>
        <v>CC520</v>
      </c>
      <c r="B521" s="45" t="str">
        <f>_xlfn.TEXTJOIN("-",TRUE,"ITD",Input!$A$2,A521)</f>
        <v>ITD-XXX-CC520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 cm="1">
        <f t="array" ref="D521">IFERROR(_xlfn.LET(
_xlpm.CSVVal,_xlfn.XLOOKUP($A521,CSV!$A:$A,CSV!C:C,""),
_xlpm.MacVal,_xlfn.XLOOKUP($A521,Output_Mac!$A:$A,Output_Mac!D:D,""),
_xlpm.MyAuditVal,_xlfn.XLOOKUP($A521,My_Audit!$A:$A,My_Audit!C:C,""),
_xlfn.IFS(_xlpm.MyAuditVal&lt;&gt;"",UPPER(_xlpm.MyAuditVal),_xlpm.MacVal&lt;&gt;"",_xlpm.MacVal,_xlpm.CSVVal&lt;&gt;"",_xlpm.CSVVal
)),"")</f>
        <v/>
      </c>
      <c r="E521" s="46" t="str" cm="1">
        <f t="array" ref="E521">IFERROR(_xlfn.LET(
_xlpm.CSVVal,_xlfn.XLOOKUP($A521,CSV!$A:$A,CSV!E:E,""),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_xlpm.CSVVal,_xlfn.XLOOKUP($A521,CSV!$A:$A,CSV!G:G,""),
_xlpm.MacVal,_xlfn.XLOOKUP($A521,Output_Mac!$A:$A,Output_Mac!G:G,""),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_xlfn.XLOOKUP(A521,Output_Mac!A:A,Output_Mac!H:H,"")</f>
        <v/>
      </c>
      <c r="I521" s="45" t="str" cm="1">
        <f t="array" ref="I521">IFERROR(_xlfn.LET(
_xlpm.CSVVal,_xlfn.XLOOKUP($A521,CSV!$A:$A,CSV!H:H,""),
_xlpm.MacVal,_xlfn.XLOOKUP($A521,Output_Mac!$A:$A,Output_Mac!I:I,""),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_xlpm.CSVVal,_xlfn.XLOOKUP($A521,CSV!$A:$A,CSV!J:J,""),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46" t="str" cm="1">
        <f t="array" ref="K521">IFERROR(_xlfn.LET(
_xlpm.CSVVal,_xlfn.XLOOKUP($A521,CSV!$A:$A,CSV!N:N,""),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_xlpm.CSVVal,_xlfn.XLOOKUP($A521,CSV!$A:$A,CSV!P:P,""),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CSV!AE:AE,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_xlpm.CSVVal,_xlfn.XLOOKUP($A521,CSV!$A:$A,CSV!AG:AG,""),
_xlpm.MacVal,_xlfn.XLOOKUP($A521,Output_Mac!$A:$A,Output_Mac!T:T,""),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6" t="str">
        <f>IF(LEFT(N521,4)="Pass","Nist SP 800-88",My_Audit!R521)&amp;""</f>
        <v/>
      </c>
      <c r="R521" s="45"/>
      <c r="S521" s="45"/>
      <c r="T521" s="46" t="str">
        <f>_xlfn.XLOOKUP(E521,Models!I:I,Models!J:J,"")</f>
        <v/>
      </c>
      <c r="U521" s="45"/>
      <c r="V521" s="45"/>
      <c r="W521" s="38" t="str">
        <f>_xlfn.LET(
    _xlpm.MacVal, _xlfn.XLOOKUP($A521, Output_Mac!$A:$A, Output_Mac!AA:AA, ""),
    _xlpm.MyAuditVal, _xlfn.XLOOKUP($A521, My_Audit!$A:$A, My_Audit!L:L, ""),
    _xlfn.TEXTJOIN(", ", TRUE, _xlpm.MyAuditVal, _xlpm.MacVal)
)</f>
        <v/>
      </c>
    </row>
    <row r="522" spans="1:23">
      <c r="A522" s="45" t="str">
        <f>_xlfn.TEXTJOIN("",TRUE,Input!$B$2,ROW(My_Audit!A521))</f>
        <v>CC521</v>
      </c>
      <c r="B522" s="45" t="str">
        <f>_xlfn.TEXTJOIN("-",TRUE,"ITD",Input!$A$2,A522)</f>
        <v>ITD-XXX-CC521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 cm="1">
        <f t="array" ref="D522">IFERROR(_xlfn.LET(
_xlpm.CSVVal,_xlfn.XLOOKUP($A522,CSV!$A:$A,CSV!C:C,""),
_xlpm.MacVal,_xlfn.XLOOKUP($A522,Output_Mac!$A:$A,Output_Mac!D:D,""),
_xlpm.MyAuditVal,_xlfn.XLOOKUP($A522,My_Audit!$A:$A,My_Audit!C:C,""),
_xlfn.IFS(_xlpm.MyAuditVal&lt;&gt;"",UPPER(_xlpm.MyAuditVal),_xlpm.MacVal&lt;&gt;"",_xlpm.MacVal,_xlpm.CSVVal&lt;&gt;"",_xlpm.CSVVal
)),"")</f>
        <v/>
      </c>
      <c r="E522" s="46" t="str" cm="1">
        <f t="array" ref="E522">IFERROR(_xlfn.LET(
_xlpm.CSVVal,_xlfn.XLOOKUP($A522,CSV!$A:$A,CSV!E:E,""),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_xlpm.CSVVal,_xlfn.XLOOKUP($A522,CSV!$A:$A,CSV!G:G,""),
_xlpm.MacVal,_xlfn.XLOOKUP($A522,Output_Mac!$A:$A,Output_Mac!G:G,""),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_xlfn.XLOOKUP(A522,Output_Mac!A:A,Output_Mac!H:H,"")</f>
        <v/>
      </c>
      <c r="I522" s="45" t="str" cm="1">
        <f t="array" ref="I522">IFERROR(_xlfn.LET(
_xlpm.CSVVal,_xlfn.XLOOKUP($A522,CSV!$A:$A,CSV!H:H,""),
_xlpm.MacVal,_xlfn.XLOOKUP($A522,Output_Mac!$A:$A,Output_Mac!I:I,""),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_xlpm.CSVVal,_xlfn.XLOOKUP($A522,CSV!$A:$A,CSV!J:J,""),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46" t="str" cm="1">
        <f t="array" ref="K522">IFERROR(_xlfn.LET(
_xlpm.CSVVal,_xlfn.XLOOKUP($A522,CSV!$A:$A,CSV!N:N,""),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_xlpm.CSVVal,_xlfn.XLOOKUP($A522,CSV!$A:$A,CSV!P:P,""),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CSV!AE:AE,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_xlpm.CSVVal,_xlfn.XLOOKUP($A522,CSV!$A:$A,CSV!AG:AG,""),
_xlpm.MacVal,_xlfn.XLOOKUP($A522,Output_Mac!$A:$A,Output_Mac!T:T,""),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6" t="str">
        <f>IF(LEFT(N522,4)="Pass","Nist SP 800-88",My_Audit!R522)&amp;""</f>
        <v/>
      </c>
      <c r="R522" s="45"/>
      <c r="S522" s="45"/>
      <c r="T522" s="46" t="str">
        <f>_xlfn.XLOOKUP(E522,Models!I:I,Models!J:J,"")</f>
        <v/>
      </c>
      <c r="U522" s="45"/>
      <c r="V522" s="45"/>
      <c r="W522" s="38" t="str">
        <f>_xlfn.LET(
    _xlpm.MacVal, _xlfn.XLOOKUP($A522, Output_Mac!$A:$A, Output_Mac!AA:AA, ""),
    _xlpm.MyAuditVal, _xlfn.XLOOKUP($A522, My_Audit!$A:$A, My_Audit!L:L, ""),
    _xlfn.TEXTJOIN(", ", TRUE, _xlpm.MyAuditVal, _xlpm.MacVal)
)</f>
        <v/>
      </c>
    </row>
    <row r="523" spans="1:23">
      <c r="A523" s="45" t="str">
        <f>_xlfn.TEXTJOIN("",TRUE,Input!$B$2,ROW(My_Audit!A522))</f>
        <v>CC522</v>
      </c>
      <c r="B523" s="45" t="str">
        <f>_xlfn.TEXTJOIN("-",TRUE,"ITD",Input!$A$2,A523)</f>
        <v>ITD-XXX-CC522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 cm="1">
        <f t="array" ref="D523">IFERROR(_xlfn.LET(
_xlpm.CSVVal,_xlfn.XLOOKUP($A523,CSV!$A:$A,CSV!C:C,""),
_xlpm.MacVal,_xlfn.XLOOKUP($A523,Output_Mac!$A:$A,Output_Mac!D:D,""),
_xlpm.MyAuditVal,_xlfn.XLOOKUP($A523,My_Audit!$A:$A,My_Audit!C:C,""),
_xlfn.IFS(_xlpm.MyAuditVal&lt;&gt;"",UPPER(_xlpm.MyAuditVal),_xlpm.MacVal&lt;&gt;"",_xlpm.MacVal,_xlpm.CSVVal&lt;&gt;"",_xlpm.CSVVal
)),"")</f>
        <v/>
      </c>
      <c r="E523" s="46" t="str" cm="1">
        <f t="array" ref="E523">IFERROR(_xlfn.LET(
_xlpm.CSVVal,_xlfn.XLOOKUP($A523,CSV!$A:$A,CSV!E:E,""),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_xlpm.CSVVal,_xlfn.XLOOKUP($A523,CSV!$A:$A,CSV!G:G,""),
_xlpm.MacVal,_xlfn.XLOOKUP($A523,Output_Mac!$A:$A,Output_Mac!G:G,""),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_xlfn.XLOOKUP(A523,Output_Mac!A:A,Output_Mac!H:H,"")</f>
        <v/>
      </c>
      <c r="I523" s="45" t="str" cm="1">
        <f t="array" ref="I523">IFERROR(_xlfn.LET(
_xlpm.CSVVal,_xlfn.XLOOKUP($A523,CSV!$A:$A,CSV!H:H,""),
_xlpm.MacVal,_xlfn.XLOOKUP($A523,Output_Mac!$A:$A,Output_Mac!I:I,""),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_xlpm.CSVVal,_xlfn.XLOOKUP($A523,CSV!$A:$A,CSV!J:J,""),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46" t="str" cm="1">
        <f t="array" ref="K523">IFERROR(_xlfn.LET(
_xlpm.CSVVal,_xlfn.XLOOKUP($A523,CSV!$A:$A,CSV!N:N,""),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_xlpm.CSVVal,_xlfn.XLOOKUP($A523,CSV!$A:$A,CSV!P:P,""),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CSV!AE:AE,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_xlpm.CSVVal,_xlfn.XLOOKUP($A523,CSV!$A:$A,CSV!AG:AG,""),
_xlpm.MacVal,_xlfn.XLOOKUP($A523,Output_Mac!$A:$A,Output_Mac!T:T,""),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6" t="str">
        <f>IF(LEFT(N523,4)="Pass","Nist SP 800-88",My_Audit!R523)&amp;""</f>
        <v/>
      </c>
      <c r="R523" s="45"/>
      <c r="S523" s="45"/>
      <c r="T523" s="46" t="str">
        <f>_xlfn.XLOOKUP(E523,Models!I:I,Models!J:J,"")</f>
        <v/>
      </c>
      <c r="U523" s="45"/>
      <c r="V523" s="45"/>
      <c r="W523" s="38" t="str">
        <f>_xlfn.LET(
    _xlpm.MacVal, _xlfn.XLOOKUP($A523, Output_Mac!$A:$A, Output_Mac!AA:AA, ""),
    _xlpm.MyAuditVal, _xlfn.XLOOKUP($A523, My_Audit!$A:$A, My_Audit!L:L, ""),
    _xlfn.TEXTJOIN(", ", TRUE, _xlpm.MyAuditVal, _xlpm.MacVal)
)</f>
        <v/>
      </c>
    </row>
    <row r="524" spans="1:23">
      <c r="A524" s="45" t="str">
        <f>_xlfn.TEXTJOIN("",TRUE,Input!$B$2,ROW(My_Audit!A523))</f>
        <v>CC523</v>
      </c>
      <c r="B524" s="45" t="str">
        <f>_xlfn.TEXTJOIN("-",TRUE,"ITD",Input!$A$2,A524)</f>
        <v>ITD-XXX-CC523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 cm="1">
        <f t="array" ref="D524">IFERROR(_xlfn.LET(
_xlpm.CSVVal,_xlfn.XLOOKUP($A524,CSV!$A:$A,CSV!C:C,""),
_xlpm.MacVal,_xlfn.XLOOKUP($A524,Output_Mac!$A:$A,Output_Mac!D:D,""),
_xlpm.MyAuditVal,_xlfn.XLOOKUP($A524,My_Audit!$A:$A,My_Audit!C:C,""),
_xlfn.IFS(_xlpm.MyAuditVal&lt;&gt;"",UPPER(_xlpm.MyAuditVal),_xlpm.MacVal&lt;&gt;"",_xlpm.MacVal,_xlpm.CSVVal&lt;&gt;"",_xlpm.CSVVal
)),"")</f>
        <v/>
      </c>
      <c r="E524" s="46" t="str" cm="1">
        <f t="array" ref="E524">IFERROR(_xlfn.LET(
_xlpm.CSVVal,_xlfn.XLOOKUP($A524,CSV!$A:$A,CSV!E:E,""),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_xlpm.CSVVal,_xlfn.XLOOKUP($A524,CSV!$A:$A,CSV!G:G,""),
_xlpm.MacVal,_xlfn.XLOOKUP($A524,Output_Mac!$A:$A,Output_Mac!G:G,""),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_xlfn.XLOOKUP(A524,Output_Mac!A:A,Output_Mac!H:H,"")</f>
        <v/>
      </c>
      <c r="I524" s="45" t="str" cm="1">
        <f t="array" ref="I524">IFERROR(_xlfn.LET(
_xlpm.CSVVal,_xlfn.XLOOKUP($A524,CSV!$A:$A,CSV!H:H,""),
_xlpm.MacVal,_xlfn.XLOOKUP($A524,Output_Mac!$A:$A,Output_Mac!I:I,""),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_xlpm.CSVVal,_xlfn.XLOOKUP($A524,CSV!$A:$A,CSV!J:J,""),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46" t="str" cm="1">
        <f t="array" ref="K524">IFERROR(_xlfn.LET(
_xlpm.CSVVal,_xlfn.XLOOKUP($A524,CSV!$A:$A,CSV!N:N,""),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_xlpm.CSVVal,_xlfn.XLOOKUP($A524,CSV!$A:$A,CSV!P:P,""),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CSV!AE:AE,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_xlpm.CSVVal,_xlfn.XLOOKUP($A524,CSV!$A:$A,CSV!AG:AG,""),
_xlpm.MacVal,_xlfn.XLOOKUP($A524,Output_Mac!$A:$A,Output_Mac!T:T,""),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6" t="str">
        <f>IF(LEFT(N524,4)="Pass","Nist SP 800-88",My_Audit!R524)&amp;""</f>
        <v/>
      </c>
      <c r="R524" s="45"/>
      <c r="S524" s="45"/>
      <c r="T524" s="46" t="str">
        <f>_xlfn.XLOOKUP(E524,Models!I:I,Models!J:J,"")</f>
        <v/>
      </c>
      <c r="U524" s="45"/>
      <c r="V524" s="45"/>
      <c r="W524" s="38" t="str">
        <f>_xlfn.LET(
    _xlpm.MacVal, _xlfn.XLOOKUP($A524, Output_Mac!$A:$A, Output_Mac!AA:AA, ""),
    _xlpm.MyAuditVal, _xlfn.XLOOKUP($A524, My_Audit!$A:$A, My_Audit!L:L, ""),
    _xlfn.TEXTJOIN(", ", TRUE, _xlpm.MyAuditVal, _xlpm.MacVal)
)</f>
        <v/>
      </c>
    </row>
    <row r="525" spans="1:23">
      <c r="A525" s="45" t="str">
        <f>_xlfn.TEXTJOIN("",TRUE,Input!$B$2,ROW(My_Audit!A524))</f>
        <v>CC524</v>
      </c>
      <c r="B525" s="45" t="str">
        <f>_xlfn.TEXTJOIN("-",TRUE,"ITD",Input!$A$2,A525)</f>
        <v>ITD-XXX-CC524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 cm="1">
        <f t="array" ref="D525">IFERROR(_xlfn.LET(
_xlpm.CSVVal,_xlfn.XLOOKUP($A525,CSV!$A:$A,CSV!C:C,""),
_xlpm.MacVal,_xlfn.XLOOKUP($A525,Output_Mac!$A:$A,Output_Mac!D:D,""),
_xlpm.MyAuditVal,_xlfn.XLOOKUP($A525,My_Audit!$A:$A,My_Audit!C:C,""),
_xlfn.IFS(_xlpm.MyAuditVal&lt;&gt;"",UPPER(_xlpm.MyAuditVal),_xlpm.MacVal&lt;&gt;"",_xlpm.MacVal,_xlpm.CSVVal&lt;&gt;"",_xlpm.CSVVal
)),"")</f>
        <v/>
      </c>
      <c r="E525" s="46" t="str" cm="1">
        <f t="array" ref="E525">IFERROR(_xlfn.LET(
_xlpm.CSVVal,_xlfn.XLOOKUP($A525,CSV!$A:$A,CSV!E:E,""),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_xlpm.CSVVal,_xlfn.XLOOKUP($A525,CSV!$A:$A,CSV!G:G,""),
_xlpm.MacVal,_xlfn.XLOOKUP($A525,Output_Mac!$A:$A,Output_Mac!G:G,""),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_xlfn.XLOOKUP(A525,Output_Mac!A:A,Output_Mac!H:H,"")</f>
        <v/>
      </c>
      <c r="I525" s="45" t="str" cm="1">
        <f t="array" ref="I525">IFERROR(_xlfn.LET(
_xlpm.CSVVal,_xlfn.XLOOKUP($A525,CSV!$A:$A,CSV!H:H,""),
_xlpm.MacVal,_xlfn.XLOOKUP($A525,Output_Mac!$A:$A,Output_Mac!I:I,""),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_xlpm.CSVVal,_xlfn.XLOOKUP($A525,CSV!$A:$A,CSV!J:J,""),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46" t="str" cm="1">
        <f t="array" ref="K525">IFERROR(_xlfn.LET(
_xlpm.CSVVal,_xlfn.XLOOKUP($A525,CSV!$A:$A,CSV!N:N,""),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_xlpm.CSVVal,_xlfn.XLOOKUP($A525,CSV!$A:$A,CSV!P:P,""),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CSV!AE:AE,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_xlpm.CSVVal,_xlfn.XLOOKUP($A525,CSV!$A:$A,CSV!AG:AG,""),
_xlpm.MacVal,_xlfn.XLOOKUP($A525,Output_Mac!$A:$A,Output_Mac!T:T,""),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6" t="str">
        <f>IF(LEFT(N525,4)="Pass","Nist SP 800-88",My_Audit!R525)&amp;""</f>
        <v/>
      </c>
      <c r="R525" s="45"/>
      <c r="S525" s="45"/>
      <c r="T525" s="46" t="str">
        <f>_xlfn.XLOOKUP(E525,Models!I:I,Models!J:J,"")</f>
        <v/>
      </c>
      <c r="U525" s="45"/>
      <c r="V525" s="45"/>
      <c r="W525" s="38" t="str">
        <f>_xlfn.LET(
    _xlpm.MacVal, _xlfn.XLOOKUP($A525, Output_Mac!$A:$A, Output_Mac!AA:AA, ""),
    _xlpm.MyAuditVal, _xlfn.XLOOKUP($A525, My_Audit!$A:$A, My_Audit!L:L, ""),
    _xlfn.TEXTJOIN(", ", TRUE, _xlpm.MyAuditVal, _xlpm.MacVal)
)</f>
        <v/>
      </c>
    </row>
    <row r="526" spans="1:23">
      <c r="A526" s="45" t="str">
        <f>_xlfn.TEXTJOIN("",TRUE,Input!$B$2,ROW(My_Audit!A525))</f>
        <v>CC525</v>
      </c>
      <c r="B526" s="45" t="str">
        <f>_xlfn.TEXTJOIN("-",TRUE,"ITD",Input!$A$2,A526)</f>
        <v>ITD-XXX-CC525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 cm="1">
        <f t="array" ref="D526">IFERROR(_xlfn.LET(
_xlpm.CSVVal,_xlfn.XLOOKUP($A526,CSV!$A:$A,CSV!C:C,""),
_xlpm.MacVal,_xlfn.XLOOKUP($A526,Output_Mac!$A:$A,Output_Mac!D:D,""),
_xlpm.MyAuditVal,_xlfn.XLOOKUP($A526,My_Audit!$A:$A,My_Audit!C:C,""),
_xlfn.IFS(_xlpm.MyAuditVal&lt;&gt;"",UPPER(_xlpm.MyAuditVal),_xlpm.MacVal&lt;&gt;"",_xlpm.MacVal,_xlpm.CSVVal&lt;&gt;"",_xlpm.CSVVal
)),"")</f>
        <v/>
      </c>
      <c r="E526" s="46" t="str" cm="1">
        <f t="array" ref="E526">IFERROR(_xlfn.LET(
_xlpm.CSVVal,_xlfn.XLOOKUP($A526,CSV!$A:$A,CSV!E:E,""),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_xlpm.CSVVal,_xlfn.XLOOKUP($A526,CSV!$A:$A,CSV!G:G,""),
_xlpm.MacVal,_xlfn.XLOOKUP($A526,Output_Mac!$A:$A,Output_Mac!G:G,""),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_xlfn.XLOOKUP(A526,Output_Mac!A:A,Output_Mac!H:H,"")</f>
        <v/>
      </c>
      <c r="I526" s="45" t="str" cm="1">
        <f t="array" ref="I526">IFERROR(_xlfn.LET(
_xlpm.CSVVal,_xlfn.XLOOKUP($A526,CSV!$A:$A,CSV!H:H,""),
_xlpm.MacVal,_xlfn.XLOOKUP($A526,Output_Mac!$A:$A,Output_Mac!I:I,""),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_xlpm.CSVVal,_xlfn.XLOOKUP($A526,CSV!$A:$A,CSV!J:J,""),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46" t="str" cm="1">
        <f t="array" ref="K526">IFERROR(_xlfn.LET(
_xlpm.CSVVal,_xlfn.XLOOKUP($A526,CSV!$A:$A,CSV!N:N,""),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_xlpm.CSVVal,_xlfn.XLOOKUP($A526,CSV!$A:$A,CSV!P:P,""),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CSV!AE:AE,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_xlpm.CSVVal,_xlfn.XLOOKUP($A526,CSV!$A:$A,CSV!AG:AG,""),
_xlpm.MacVal,_xlfn.XLOOKUP($A526,Output_Mac!$A:$A,Output_Mac!T:T,""),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6" t="str">
        <f>IF(LEFT(N526,4)="Pass","Nist SP 800-88",My_Audit!R526)&amp;""</f>
        <v/>
      </c>
      <c r="R526" s="45"/>
      <c r="S526" s="45"/>
      <c r="T526" s="46" t="str">
        <f>_xlfn.XLOOKUP(E526,Models!I:I,Models!J:J,"")</f>
        <v/>
      </c>
      <c r="U526" s="45"/>
      <c r="V526" s="45"/>
      <c r="W526" s="38" t="str">
        <f>_xlfn.LET(
    _xlpm.MacVal, _xlfn.XLOOKUP($A526, Output_Mac!$A:$A, Output_Mac!AA:AA, ""),
    _xlpm.MyAuditVal, _xlfn.XLOOKUP($A526, My_Audit!$A:$A, My_Audit!L:L, ""),
    _xlfn.TEXTJOIN(", ", TRUE, _xlpm.MyAuditVal, _xlpm.MacVal)
)</f>
        <v/>
      </c>
    </row>
    <row r="527" spans="1:23">
      <c r="A527" s="45" t="str">
        <f>_xlfn.TEXTJOIN("",TRUE,Input!$B$2,ROW(My_Audit!A526))</f>
        <v>CC526</v>
      </c>
      <c r="B527" s="45" t="str">
        <f>_xlfn.TEXTJOIN("-",TRUE,"ITD",Input!$A$2,A527)</f>
        <v>ITD-XXX-CC526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 cm="1">
        <f t="array" ref="D527">IFERROR(_xlfn.LET(
_xlpm.CSVVal,_xlfn.XLOOKUP($A527,CSV!$A:$A,CSV!C:C,""),
_xlpm.MacVal,_xlfn.XLOOKUP($A527,Output_Mac!$A:$A,Output_Mac!D:D,""),
_xlpm.MyAuditVal,_xlfn.XLOOKUP($A527,My_Audit!$A:$A,My_Audit!C:C,""),
_xlfn.IFS(_xlpm.MyAuditVal&lt;&gt;"",UPPER(_xlpm.MyAuditVal),_xlpm.MacVal&lt;&gt;"",_xlpm.MacVal,_xlpm.CSVVal&lt;&gt;"",_xlpm.CSVVal
)),"")</f>
        <v/>
      </c>
      <c r="E527" s="46" t="str" cm="1">
        <f t="array" ref="E527">IFERROR(_xlfn.LET(
_xlpm.CSVVal,_xlfn.XLOOKUP($A527,CSV!$A:$A,CSV!E:E,""),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_xlpm.CSVVal,_xlfn.XLOOKUP($A527,CSV!$A:$A,CSV!G:G,""),
_xlpm.MacVal,_xlfn.XLOOKUP($A527,Output_Mac!$A:$A,Output_Mac!G:G,""),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_xlfn.XLOOKUP(A527,Output_Mac!A:A,Output_Mac!H:H,"")</f>
        <v/>
      </c>
      <c r="I527" s="45" t="str" cm="1">
        <f t="array" ref="I527">IFERROR(_xlfn.LET(
_xlpm.CSVVal,_xlfn.XLOOKUP($A527,CSV!$A:$A,CSV!H:H,""),
_xlpm.MacVal,_xlfn.XLOOKUP($A527,Output_Mac!$A:$A,Output_Mac!I:I,""),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_xlpm.CSVVal,_xlfn.XLOOKUP($A527,CSV!$A:$A,CSV!J:J,""),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46" t="str" cm="1">
        <f t="array" ref="K527">IFERROR(_xlfn.LET(
_xlpm.CSVVal,_xlfn.XLOOKUP($A527,CSV!$A:$A,CSV!N:N,""),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_xlpm.CSVVal,_xlfn.XLOOKUP($A527,CSV!$A:$A,CSV!P:P,""),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CSV!AE:AE,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_xlpm.CSVVal,_xlfn.XLOOKUP($A527,CSV!$A:$A,CSV!AG:AG,""),
_xlpm.MacVal,_xlfn.XLOOKUP($A527,Output_Mac!$A:$A,Output_Mac!T:T,""),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6" t="str">
        <f>IF(LEFT(N527,4)="Pass","Nist SP 800-88",My_Audit!R527)&amp;""</f>
        <v/>
      </c>
      <c r="R527" s="45"/>
      <c r="S527" s="45"/>
      <c r="T527" s="46" t="str">
        <f>_xlfn.XLOOKUP(E527,Models!I:I,Models!J:J,"")</f>
        <v/>
      </c>
      <c r="U527" s="45"/>
      <c r="V527" s="45"/>
      <c r="W527" s="38" t="str">
        <f>_xlfn.LET(
    _xlpm.MacVal, _xlfn.XLOOKUP($A527, Output_Mac!$A:$A, Output_Mac!AA:AA, ""),
    _xlpm.MyAuditVal, _xlfn.XLOOKUP($A527, My_Audit!$A:$A, My_Audit!L:L, ""),
    _xlfn.TEXTJOIN(", ", TRUE, _xlpm.MyAuditVal, _xlpm.MacVal)
)</f>
        <v/>
      </c>
    </row>
    <row r="528" spans="1:23">
      <c r="A528" s="45" t="str">
        <f>_xlfn.TEXTJOIN("",TRUE,Input!$B$2,ROW(My_Audit!A527))</f>
        <v>CC527</v>
      </c>
      <c r="B528" s="45" t="str">
        <f>_xlfn.TEXTJOIN("-",TRUE,"ITD",Input!$A$2,A528)</f>
        <v>ITD-XXX-CC527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 cm="1">
        <f t="array" ref="D528">IFERROR(_xlfn.LET(
_xlpm.CSVVal,_xlfn.XLOOKUP($A528,CSV!$A:$A,CSV!C:C,""),
_xlpm.MacVal,_xlfn.XLOOKUP($A528,Output_Mac!$A:$A,Output_Mac!D:D,""),
_xlpm.MyAuditVal,_xlfn.XLOOKUP($A528,My_Audit!$A:$A,My_Audit!C:C,""),
_xlfn.IFS(_xlpm.MyAuditVal&lt;&gt;"",UPPER(_xlpm.MyAuditVal),_xlpm.MacVal&lt;&gt;"",_xlpm.MacVal,_xlpm.CSVVal&lt;&gt;"",_xlpm.CSVVal
)),"")</f>
        <v/>
      </c>
      <c r="E528" s="46" t="str" cm="1">
        <f t="array" ref="E528">IFERROR(_xlfn.LET(
_xlpm.CSVVal,_xlfn.XLOOKUP($A528,CSV!$A:$A,CSV!E:E,""),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_xlpm.CSVVal,_xlfn.XLOOKUP($A528,CSV!$A:$A,CSV!G:G,""),
_xlpm.MacVal,_xlfn.XLOOKUP($A528,Output_Mac!$A:$A,Output_Mac!G:G,""),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_xlfn.XLOOKUP(A528,Output_Mac!A:A,Output_Mac!H:H,"")</f>
        <v/>
      </c>
      <c r="I528" s="45" t="str" cm="1">
        <f t="array" ref="I528">IFERROR(_xlfn.LET(
_xlpm.CSVVal,_xlfn.XLOOKUP($A528,CSV!$A:$A,CSV!H:H,""),
_xlpm.MacVal,_xlfn.XLOOKUP($A528,Output_Mac!$A:$A,Output_Mac!I:I,""),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_xlpm.CSVVal,_xlfn.XLOOKUP($A528,CSV!$A:$A,CSV!J:J,""),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46" t="str" cm="1">
        <f t="array" ref="K528">IFERROR(_xlfn.LET(
_xlpm.CSVVal,_xlfn.XLOOKUP($A528,CSV!$A:$A,CSV!N:N,""),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_xlpm.CSVVal,_xlfn.XLOOKUP($A528,CSV!$A:$A,CSV!P:P,""),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CSV!AE:AE,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_xlpm.CSVVal,_xlfn.XLOOKUP($A528,CSV!$A:$A,CSV!AG:AG,""),
_xlpm.MacVal,_xlfn.XLOOKUP($A528,Output_Mac!$A:$A,Output_Mac!T:T,""),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6" t="str">
        <f>IF(LEFT(N528,4)="Pass","Nist SP 800-88",My_Audit!R528)&amp;""</f>
        <v/>
      </c>
      <c r="R528" s="45"/>
      <c r="S528" s="45"/>
      <c r="T528" s="46" t="str">
        <f>_xlfn.XLOOKUP(E528,Models!I:I,Models!J:J,"")</f>
        <v/>
      </c>
      <c r="U528" s="45"/>
      <c r="V528" s="45"/>
      <c r="W528" s="38" t="str">
        <f>_xlfn.LET(
    _xlpm.MacVal, _xlfn.XLOOKUP($A528, Output_Mac!$A:$A, Output_Mac!AA:AA, ""),
    _xlpm.MyAuditVal, _xlfn.XLOOKUP($A528, My_Audit!$A:$A, My_Audit!L:L, ""),
    _xlfn.TEXTJOIN(", ", TRUE, _xlpm.MyAuditVal, _xlpm.MacVal)
)</f>
        <v/>
      </c>
    </row>
    <row r="529" spans="1:23">
      <c r="A529" s="45" t="str">
        <f>_xlfn.TEXTJOIN("",TRUE,Input!$B$2,ROW(My_Audit!A528))</f>
        <v>CC528</v>
      </c>
      <c r="B529" s="45" t="str">
        <f>_xlfn.TEXTJOIN("-",TRUE,"ITD",Input!$A$2,A529)</f>
        <v>ITD-XXX-CC528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 cm="1">
        <f t="array" ref="D529">IFERROR(_xlfn.LET(
_xlpm.CSVVal,_xlfn.XLOOKUP($A529,CSV!$A:$A,CSV!C:C,""),
_xlpm.MacVal,_xlfn.XLOOKUP($A529,Output_Mac!$A:$A,Output_Mac!D:D,""),
_xlpm.MyAuditVal,_xlfn.XLOOKUP($A529,My_Audit!$A:$A,My_Audit!C:C,""),
_xlfn.IFS(_xlpm.MyAuditVal&lt;&gt;"",UPPER(_xlpm.MyAuditVal),_xlpm.MacVal&lt;&gt;"",_xlpm.MacVal,_xlpm.CSVVal&lt;&gt;"",_xlpm.CSVVal
)),"")</f>
        <v/>
      </c>
      <c r="E529" s="46" t="str" cm="1">
        <f t="array" ref="E529">IFERROR(_xlfn.LET(
_xlpm.CSVVal,_xlfn.XLOOKUP($A529,CSV!$A:$A,CSV!E:E,""),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_xlpm.CSVVal,_xlfn.XLOOKUP($A529,CSV!$A:$A,CSV!G:G,""),
_xlpm.MacVal,_xlfn.XLOOKUP($A529,Output_Mac!$A:$A,Output_Mac!G:G,""),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_xlfn.XLOOKUP(A529,Output_Mac!A:A,Output_Mac!H:H,"")</f>
        <v/>
      </c>
      <c r="I529" s="45" t="str" cm="1">
        <f t="array" ref="I529">IFERROR(_xlfn.LET(
_xlpm.CSVVal,_xlfn.XLOOKUP($A529,CSV!$A:$A,CSV!H:H,""),
_xlpm.MacVal,_xlfn.XLOOKUP($A529,Output_Mac!$A:$A,Output_Mac!I:I,""),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_xlpm.CSVVal,_xlfn.XLOOKUP($A529,CSV!$A:$A,CSV!J:J,""),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46" t="str" cm="1">
        <f t="array" ref="K529">IFERROR(_xlfn.LET(
_xlpm.CSVVal,_xlfn.XLOOKUP($A529,CSV!$A:$A,CSV!N:N,""),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_xlpm.CSVVal,_xlfn.XLOOKUP($A529,CSV!$A:$A,CSV!P:P,""),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CSV!AE:AE,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_xlpm.CSVVal,_xlfn.XLOOKUP($A529,CSV!$A:$A,CSV!AG:AG,""),
_xlpm.MacVal,_xlfn.XLOOKUP($A529,Output_Mac!$A:$A,Output_Mac!T:T,""),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6" t="str">
        <f>IF(LEFT(N529,4)="Pass","Nist SP 800-88",My_Audit!R529)&amp;""</f>
        <v/>
      </c>
      <c r="R529" s="45"/>
      <c r="S529" s="45"/>
      <c r="T529" s="46" t="str">
        <f>_xlfn.XLOOKUP(E529,Models!I:I,Models!J:J,"")</f>
        <v/>
      </c>
      <c r="U529" s="45"/>
      <c r="V529" s="45"/>
      <c r="W529" s="38" t="str">
        <f>_xlfn.LET(
    _xlpm.MacVal, _xlfn.XLOOKUP($A529, Output_Mac!$A:$A, Output_Mac!AA:AA, ""),
    _xlpm.MyAuditVal, _xlfn.XLOOKUP($A529, My_Audit!$A:$A, My_Audit!L:L, ""),
    _xlfn.TEXTJOIN(", ", TRUE, _xlpm.MyAuditVal, _xlpm.MacVal)
)</f>
        <v/>
      </c>
    </row>
    <row r="530" spans="1:23">
      <c r="A530" s="45" t="str">
        <f>_xlfn.TEXTJOIN("",TRUE,Input!$B$2,ROW(My_Audit!A529))</f>
        <v>CC529</v>
      </c>
      <c r="B530" s="45" t="str">
        <f>_xlfn.TEXTJOIN("-",TRUE,"ITD",Input!$A$2,A530)</f>
        <v>ITD-XXX-CC529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 cm="1">
        <f t="array" ref="D530">IFERROR(_xlfn.LET(
_xlpm.CSVVal,_xlfn.XLOOKUP($A530,CSV!$A:$A,CSV!C:C,""),
_xlpm.MacVal,_xlfn.XLOOKUP($A530,Output_Mac!$A:$A,Output_Mac!D:D,""),
_xlpm.MyAuditVal,_xlfn.XLOOKUP($A530,My_Audit!$A:$A,My_Audit!C:C,""),
_xlfn.IFS(_xlpm.MyAuditVal&lt;&gt;"",UPPER(_xlpm.MyAuditVal),_xlpm.MacVal&lt;&gt;"",_xlpm.MacVal,_xlpm.CSVVal&lt;&gt;"",_xlpm.CSVVal
)),"")</f>
        <v/>
      </c>
      <c r="E530" s="46" t="str" cm="1">
        <f t="array" ref="E530">IFERROR(_xlfn.LET(
_xlpm.CSVVal,_xlfn.XLOOKUP($A530,CSV!$A:$A,CSV!E:E,""),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_xlpm.CSVVal,_xlfn.XLOOKUP($A530,CSV!$A:$A,CSV!G:G,""),
_xlpm.MacVal,_xlfn.XLOOKUP($A530,Output_Mac!$A:$A,Output_Mac!G:G,""),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_xlfn.XLOOKUP(A530,Output_Mac!A:A,Output_Mac!H:H,"")</f>
        <v/>
      </c>
      <c r="I530" s="45" t="str" cm="1">
        <f t="array" ref="I530">IFERROR(_xlfn.LET(
_xlpm.CSVVal,_xlfn.XLOOKUP($A530,CSV!$A:$A,CSV!H:H,""),
_xlpm.MacVal,_xlfn.XLOOKUP($A530,Output_Mac!$A:$A,Output_Mac!I:I,""),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_xlpm.CSVVal,_xlfn.XLOOKUP($A530,CSV!$A:$A,CSV!J:J,""),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46" t="str" cm="1">
        <f t="array" ref="K530">IFERROR(_xlfn.LET(
_xlpm.CSVVal,_xlfn.XLOOKUP($A530,CSV!$A:$A,CSV!N:N,""),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_xlpm.CSVVal,_xlfn.XLOOKUP($A530,CSV!$A:$A,CSV!P:P,""),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CSV!AE:AE,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_xlpm.CSVVal,_xlfn.XLOOKUP($A530,CSV!$A:$A,CSV!AG:AG,""),
_xlpm.MacVal,_xlfn.XLOOKUP($A530,Output_Mac!$A:$A,Output_Mac!T:T,""),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6" t="str">
        <f>IF(LEFT(N530,4)="Pass","Nist SP 800-88",My_Audit!R530)&amp;""</f>
        <v/>
      </c>
      <c r="R530" s="45"/>
      <c r="S530" s="45"/>
      <c r="T530" s="46" t="str">
        <f>_xlfn.XLOOKUP(E530,Models!I:I,Models!J:J,"")</f>
        <v/>
      </c>
      <c r="U530" s="45"/>
      <c r="V530" s="45"/>
      <c r="W530" s="38" t="str">
        <f>_xlfn.LET(
    _xlpm.MacVal, _xlfn.XLOOKUP($A530, Output_Mac!$A:$A, Output_Mac!AA:AA, ""),
    _xlpm.MyAuditVal, _xlfn.XLOOKUP($A530, My_Audit!$A:$A, My_Audit!L:L, ""),
    _xlfn.TEXTJOIN(", ", TRUE, _xlpm.MyAuditVal, _xlpm.MacVal)
)</f>
        <v/>
      </c>
    </row>
    <row r="531" spans="1:23">
      <c r="A531" s="45" t="str">
        <f>_xlfn.TEXTJOIN("",TRUE,Input!$B$2,ROW(My_Audit!A530))</f>
        <v>CC530</v>
      </c>
      <c r="B531" s="45" t="str">
        <f>_xlfn.TEXTJOIN("-",TRUE,"ITD",Input!$A$2,A531)</f>
        <v>ITD-XXX-CC530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 cm="1">
        <f t="array" ref="D531">IFERROR(_xlfn.LET(
_xlpm.CSVVal,_xlfn.XLOOKUP($A531,CSV!$A:$A,CSV!C:C,""),
_xlpm.MacVal,_xlfn.XLOOKUP($A531,Output_Mac!$A:$A,Output_Mac!D:D,""),
_xlpm.MyAuditVal,_xlfn.XLOOKUP($A531,My_Audit!$A:$A,My_Audit!C:C,""),
_xlfn.IFS(_xlpm.MyAuditVal&lt;&gt;"",UPPER(_xlpm.MyAuditVal),_xlpm.MacVal&lt;&gt;"",_xlpm.MacVal,_xlpm.CSVVal&lt;&gt;"",_xlpm.CSVVal
)),"")</f>
        <v/>
      </c>
      <c r="E531" s="46" t="str" cm="1">
        <f t="array" ref="E531">IFERROR(_xlfn.LET(
_xlpm.CSVVal,_xlfn.XLOOKUP($A531,CSV!$A:$A,CSV!E:E,""),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_xlpm.CSVVal,_xlfn.XLOOKUP($A531,CSV!$A:$A,CSV!G:G,""),
_xlpm.MacVal,_xlfn.XLOOKUP($A531,Output_Mac!$A:$A,Output_Mac!G:G,""),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_xlfn.XLOOKUP(A531,Output_Mac!A:A,Output_Mac!H:H,"")</f>
        <v/>
      </c>
      <c r="I531" s="45" t="str" cm="1">
        <f t="array" ref="I531">IFERROR(_xlfn.LET(
_xlpm.CSVVal,_xlfn.XLOOKUP($A531,CSV!$A:$A,CSV!H:H,""),
_xlpm.MacVal,_xlfn.XLOOKUP($A531,Output_Mac!$A:$A,Output_Mac!I:I,""),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_xlpm.CSVVal,_xlfn.XLOOKUP($A531,CSV!$A:$A,CSV!J:J,""),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46" t="str" cm="1">
        <f t="array" ref="K531">IFERROR(_xlfn.LET(
_xlpm.CSVVal,_xlfn.XLOOKUP($A531,CSV!$A:$A,CSV!N:N,""),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_xlpm.CSVVal,_xlfn.XLOOKUP($A531,CSV!$A:$A,CSV!P:P,""),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CSV!AE:AE,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_xlpm.CSVVal,_xlfn.XLOOKUP($A531,CSV!$A:$A,CSV!AG:AG,""),
_xlpm.MacVal,_xlfn.XLOOKUP($A531,Output_Mac!$A:$A,Output_Mac!T:T,""),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6" t="str">
        <f>IF(LEFT(N531,4)="Pass","Nist SP 800-88",My_Audit!R531)&amp;""</f>
        <v/>
      </c>
      <c r="R531" s="45"/>
      <c r="S531" s="45"/>
      <c r="T531" s="46" t="str">
        <f>_xlfn.XLOOKUP(E531,Models!I:I,Models!J:J,"")</f>
        <v/>
      </c>
      <c r="U531" s="45"/>
      <c r="V531" s="45"/>
      <c r="W531" s="38" t="str">
        <f>_xlfn.LET(
    _xlpm.MacVal, _xlfn.XLOOKUP($A531, Output_Mac!$A:$A, Output_Mac!AA:AA, ""),
    _xlpm.MyAuditVal, _xlfn.XLOOKUP($A531, My_Audit!$A:$A, My_Audit!L:L, ""),
    _xlfn.TEXTJOIN(", ", TRUE, _xlpm.MyAuditVal, _xlpm.MacVal)
)</f>
        <v/>
      </c>
    </row>
    <row r="532" spans="1:23">
      <c r="A532" s="45" t="str">
        <f>_xlfn.TEXTJOIN("",TRUE,Input!$B$2,ROW(My_Audit!A531))</f>
        <v>CC531</v>
      </c>
      <c r="B532" s="45" t="str">
        <f>_xlfn.TEXTJOIN("-",TRUE,"ITD",Input!$A$2,A532)</f>
        <v>ITD-XXX-CC531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 cm="1">
        <f t="array" ref="D532">IFERROR(_xlfn.LET(
_xlpm.CSVVal,_xlfn.XLOOKUP($A532,CSV!$A:$A,CSV!C:C,""),
_xlpm.MacVal,_xlfn.XLOOKUP($A532,Output_Mac!$A:$A,Output_Mac!D:D,""),
_xlpm.MyAuditVal,_xlfn.XLOOKUP($A532,My_Audit!$A:$A,My_Audit!C:C,""),
_xlfn.IFS(_xlpm.MyAuditVal&lt;&gt;"",UPPER(_xlpm.MyAuditVal),_xlpm.MacVal&lt;&gt;"",_xlpm.MacVal,_xlpm.CSVVal&lt;&gt;"",_xlpm.CSVVal
)),"")</f>
        <v/>
      </c>
      <c r="E532" s="46" t="str" cm="1">
        <f t="array" ref="E532">IFERROR(_xlfn.LET(
_xlpm.CSVVal,_xlfn.XLOOKUP($A532,CSV!$A:$A,CSV!E:E,""),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_xlpm.CSVVal,_xlfn.XLOOKUP($A532,CSV!$A:$A,CSV!G:G,""),
_xlpm.MacVal,_xlfn.XLOOKUP($A532,Output_Mac!$A:$A,Output_Mac!G:G,""),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_xlfn.XLOOKUP(A532,Output_Mac!A:A,Output_Mac!H:H,"")</f>
        <v/>
      </c>
      <c r="I532" s="45" t="str" cm="1">
        <f t="array" ref="I532">IFERROR(_xlfn.LET(
_xlpm.CSVVal,_xlfn.XLOOKUP($A532,CSV!$A:$A,CSV!H:H,""),
_xlpm.MacVal,_xlfn.XLOOKUP($A532,Output_Mac!$A:$A,Output_Mac!I:I,""),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_xlpm.CSVVal,_xlfn.XLOOKUP($A532,CSV!$A:$A,CSV!J:J,""),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46" t="str" cm="1">
        <f t="array" ref="K532">IFERROR(_xlfn.LET(
_xlpm.CSVVal,_xlfn.XLOOKUP($A532,CSV!$A:$A,CSV!N:N,""),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_xlpm.CSVVal,_xlfn.XLOOKUP($A532,CSV!$A:$A,CSV!P:P,""),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CSV!AE:AE,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_xlpm.CSVVal,_xlfn.XLOOKUP($A532,CSV!$A:$A,CSV!AG:AG,""),
_xlpm.MacVal,_xlfn.XLOOKUP($A532,Output_Mac!$A:$A,Output_Mac!T:T,""),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6" t="str">
        <f>IF(LEFT(N532,4)="Pass","Nist SP 800-88",My_Audit!R532)&amp;""</f>
        <v/>
      </c>
      <c r="R532" s="45"/>
      <c r="S532" s="45"/>
      <c r="T532" s="46" t="str">
        <f>_xlfn.XLOOKUP(E532,Models!I:I,Models!J:J,"")</f>
        <v/>
      </c>
      <c r="U532" s="45"/>
      <c r="V532" s="45"/>
      <c r="W532" s="38" t="str">
        <f>_xlfn.LET(
    _xlpm.MacVal, _xlfn.XLOOKUP($A532, Output_Mac!$A:$A, Output_Mac!AA:AA, ""),
    _xlpm.MyAuditVal, _xlfn.XLOOKUP($A532, My_Audit!$A:$A, My_Audit!L:L, ""),
    _xlfn.TEXTJOIN(", ", TRUE, _xlpm.MyAuditVal, _xlpm.MacVal)
)</f>
        <v/>
      </c>
    </row>
    <row r="533" spans="1:23">
      <c r="A533" s="45" t="str">
        <f>_xlfn.TEXTJOIN("",TRUE,Input!$B$2,ROW(My_Audit!A532))</f>
        <v>CC532</v>
      </c>
      <c r="B533" s="45" t="str">
        <f>_xlfn.TEXTJOIN("-",TRUE,"ITD",Input!$A$2,A533)</f>
        <v>ITD-XXX-CC532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 cm="1">
        <f t="array" ref="D533">IFERROR(_xlfn.LET(
_xlpm.CSVVal,_xlfn.XLOOKUP($A533,CSV!$A:$A,CSV!C:C,""),
_xlpm.MacVal,_xlfn.XLOOKUP($A533,Output_Mac!$A:$A,Output_Mac!D:D,""),
_xlpm.MyAuditVal,_xlfn.XLOOKUP($A533,My_Audit!$A:$A,My_Audit!C:C,""),
_xlfn.IFS(_xlpm.MyAuditVal&lt;&gt;"",UPPER(_xlpm.MyAuditVal),_xlpm.MacVal&lt;&gt;"",_xlpm.MacVal,_xlpm.CSVVal&lt;&gt;"",_xlpm.CSVVal
)),"")</f>
        <v/>
      </c>
      <c r="E533" s="46" t="str" cm="1">
        <f t="array" ref="E533">IFERROR(_xlfn.LET(
_xlpm.CSVVal,_xlfn.XLOOKUP($A533,CSV!$A:$A,CSV!E:E,""),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_xlpm.CSVVal,_xlfn.XLOOKUP($A533,CSV!$A:$A,CSV!G:G,""),
_xlpm.MacVal,_xlfn.XLOOKUP($A533,Output_Mac!$A:$A,Output_Mac!G:G,""),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_xlfn.XLOOKUP(A533,Output_Mac!A:A,Output_Mac!H:H,"")</f>
        <v/>
      </c>
      <c r="I533" s="45" t="str" cm="1">
        <f t="array" ref="I533">IFERROR(_xlfn.LET(
_xlpm.CSVVal,_xlfn.XLOOKUP($A533,CSV!$A:$A,CSV!H:H,""),
_xlpm.MacVal,_xlfn.XLOOKUP($A533,Output_Mac!$A:$A,Output_Mac!I:I,""),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_xlpm.CSVVal,_xlfn.XLOOKUP($A533,CSV!$A:$A,CSV!J:J,""),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46" t="str" cm="1">
        <f t="array" ref="K533">IFERROR(_xlfn.LET(
_xlpm.CSVVal,_xlfn.XLOOKUP($A533,CSV!$A:$A,CSV!N:N,""),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_xlpm.CSVVal,_xlfn.XLOOKUP($A533,CSV!$A:$A,CSV!P:P,""),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CSV!AE:AE,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_xlpm.CSVVal,_xlfn.XLOOKUP($A533,CSV!$A:$A,CSV!AG:AG,""),
_xlpm.MacVal,_xlfn.XLOOKUP($A533,Output_Mac!$A:$A,Output_Mac!T:T,""),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6" t="str">
        <f>IF(LEFT(N533,4)="Pass","Nist SP 800-88",My_Audit!R533)&amp;""</f>
        <v/>
      </c>
      <c r="R533" s="45"/>
      <c r="S533" s="45"/>
      <c r="T533" s="46" t="str">
        <f>_xlfn.XLOOKUP(E533,Models!I:I,Models!J:J,"")</f>
        <v/>
      </c>
      <c r="U533" s="45"/>
      <c r="V533" s="45"/>
      <c r="W533" s="38" t="str">
        <f>_xlfn.LET(
    _xlpm.MacVal, _xlfn.XLOOKUP($A533, Output_Mac!$A:$A, Output_Mac!AA:AA, ""),
    _xlpm.MyAuditVal, _xlfn.XLOOKUP($A533, My_Audit!$A:$A, My_Audit!L:L, ""),
    _xlfn.TEXTJOIN(", ", TRUE, _xlpm.MyAuditVal, _xlpm.MacVal)
)</f>
        <v/>
      </c>
    </row>
    <row r="534" spans="1:23">
      <c r="A534" s="45" t="str">
        <f>_xlfn.TEXTJOIN("",TRUE,Input!$B$2,ROW(My_Audit!A533))</f>
        <v>CC533</v>
      </c>
      <c r="B534" s="45" t="str">
        <f>_xlfn.TEXTJOIN("-",TRUE,"ITD",Input!$A$2,A534)</f>
        <v>ITD-XXX-CC533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 cm="1">
        <f t="array" ref="D534">IFERROR(_xlfn.LET(
_xlpm.CSVVal,_xlfn.XLOOKUP($A534,CSV!$A:$A,CSV!C:C,""),
_xlpm.MacVal,_xlfn.XLOOKUP($A534,Output_Mac!$A:$A,Output_Mac!D:D,""),
_xlpm.MyAuditVal,_xlfn.XLOOKUP($A534,My_Audit!$A:$A,My_Audit!C:C,""),
_xlfn.IFS(_xlpm.MyAuditVal&lt;&gt;"",UPPER(_xlpm.MyAuditVal),_xlpm.MacVal&lt;&gt;"",_xlpm.MacVal,_xlpm.CSVVal&lt;&gt;"",_xlpm.CSVVal
)),"")</f>
        <v/>
      </c>
      <c r="E534" s="46" t="str" cm="1">
        <f t="array" ref="E534">IFERROR(_xlfn.LET(
_xlpm.CSVVal,_xlfn.XLOOKUP($A534,CSV!$A:$A,CSV!E:E,""),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_xlpm.CSVVal,_xlfn.XLOOKUP($A534,CSV!$A:$A,CSV!G:G,""),
_xlpm.MacVal,_xlfn.XLOOKUP($A534,Output_Mac!$A:$A,Output_Mac!G:G,""),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_xlfn.XLOOKUP(A534,Output_Mac!A:A,Output_Mac!H:H,"")</f>
        <v/>
      </c>
      <c r="I534" s="45" t="str" cm="1">
        <f t="array" ref="I534">IFERROR(_xlfn.LET(
_xlpm.CSVVal,_xlfn.XLOOKUP($A534,CSV!$A:$A,CSV!H:H,""),
_xlpm.MacVal,_xlfn.XLOOKUP($A534,Output_Mac!$A:$A,Output_Mac!I:I,""),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_xlpm.CSVVal,_xlfn.XLOOKUP($A534,CSV!$A:$A,CSV!J:J,""),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46" t="str" cm="1">
        <f t="array" ref="K534">IFERROR(_xlfn.LET(
_xlpm.CSVVal,_xlfn.XLOOKUP($A534,CSV!$A:$A,CSV!N:N,""),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_xlpm.CSVVal,_xlfn.XLOOKUP($A534,CSV!$A:$A,CSV!P:P,""),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CSV!AE:AE,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_xlpm.CSVVal,_xlfn.XLOOKUP($A534,CSV!$A:$A,CSV!AG:AG,""),
_xlpm.MacVal,_xlfn.XLOOKUP($A534,Output_Mac!$A:$A,Output_Mac!T:T,""),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6" t="str">
        <f>IF(LEFT(N534,4)="Pass","Nist SP 800-88",My_Audit!R534)&amp;""</f>
        <v/>
      </c>
      <c r="R534" s="45"/>
      <c r="S534" s="45"/>
      <c r="T534" s="46" t="str">
        <f>_xlfn.XLOOKUP(E534,Models!I:I,Models!J:J,"")</f>
        <v/>
      </c>
      <c r="U534" s="45"/>
      <c r="V534" s="45"/>
      <c r="W534" s="38" t="str">
        <f>_xlfn.LET(
    _xlpm.MacVal, _xlfn.XLOOKUP($A534, Output_Mac!$A:$A, Output_Mac!AA:AA, ""),
    _xlpm.MyAuditVal, _xlfn.XLOOKUP($A534, My_Audit!$A:$A, My_Audit!L:L, ""),
    _xlfn.TEXTJOIN(", ", TRUE, _xlpm.MyAuditVal, _xlpm.MacVal)
)</f>
        <v/>
      </c>
    </row>
    <row r="535" spans="1:23">
      <c r="A535" s="45" t="str">
        <f>_xlfn.TEXTJOIN("",TRUE,Input!$B$2,ROW(My_Audit!A534))</f>
        <v>CC534</v>
      </c>
      <c r="B535" s="45" t="str">
        <f>_xlfn.TEXTJOIN("-",TRUE,"ITD",Input!$A$2,A535)</f>
        <v>ITD-XXX-CC534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 cm="1">
        <f t="array" ref="D535">IFERROR(_xlfn.LET(
_xlpm.CSVVal,_xlfn.XLOOKUP($A535,CSV!$A:$A,CSV!C:C,""),
_xlpm.MacVal,_xlfn.XLOOKUP($A535,Output_Mac!$A:$A,Output_Mac!D:D,""),
_xlpm.MyAuditVal,_xlfn.XLOOKUP($A535,My_Audit!$A:$A,My_Audit!C:C,""),
_xlfn.IFS(_xlpm.MyAuditVal&lt;&gt;"",UPPER(_xlpm.MyAuditVal),_xlpm.MacVal&lt;&gt;"",_xlpm.MacVal,_xlpm.CSVVal&lt;&gt;"",_xlpm.CSVVal
)),"")</f>
        <v/>
      </c>
      <c r="E535" s="46" t="str" cm="1">
        <f t="array" ref="E535">IFERROR(_xlfn.LET(
_xlpm.CSVVal,_xlfn.XLOOKUP($A535,CSV!$A:$A,CSV!E:E,""),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_xlpm.CSVVal,_xlfn.XLOOKUP($A535,CSV!$A:$A,CSV!G:G,""),
_xlpm.MacVal,_xlfn.XLOOKUP($A535,Output_Mac!$A:$A,Output_Mac!G:G,""),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_xlfn.XLOOKUP(A535,Output_Mac!A:A,Output_Mac!H:H,"")</f>
        <v/>
      </c>
      <c r="I535" s="45" t="str" cm="1">
        <f t="array" ref="I535">IFERROR(_xlfn.LET(
_xlpm.CSVVal,_xlfn.XLOOKUP($A535,CSV!$A:$A,CSV!H:H,""),
_xlpm.MacVal,_xlfn.XLOOKUP($A535,Output_Mac!$A:$A,Output_Mac!I:I,""),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_xlpm.CSVVal,_xlfn.XLOOKUP($A535,CSV!$A:$A,CSV!J:J,""),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46" t="str" cm="1">
        <f t="array" ref="K535">IFERROR(_xlfn.LET(
_xlpm.CSVVal,_xlfn.XLOOKUP($A535,CSV!$A:$A,CSV!N:N,""),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_xlpm.CSVVal,_xlfn.XLOOKUP($A535,CSV!$A:$A,CSV!P:P,""),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CSV!AE:AE,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_xlpm.CSVVal,_xlfn.XLOOKUP($A535,CSV!$A:$A,CSV!AG:AG,""),
_xlpm.MacVal,_xlfn.XLOOKUP($A535,Output_Mac!$A:$A,Output_Mac!T:T,""),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6" t="str">
        <f>IF(LEFT(N535,4)="Pass","Nist SP 800-88",My_Audit!R535)&amp;""</f>
        <v/>
      </c>
      <c r="R535" s="45"/>
      <c r="S535" s="45"/>
      <c r="T535" s="46" t="str">
        <f>_xlfn.XLOOKUP(E535,Models!I:I,Models!J:J,"")</f>
        <v/>
      </c>
      <c r="U535" s="45"/>
      <c r="V535" s="45"/>
      <c r="W535" s="38" t="str">
        <f>_xlfn.LET(
    _xlpm.MacVal, _xlfn.XLOOKUP($A535, Output_Mac!$A:$A, Output_Mac!AA:AA, ""),
    _xlpm.MyAuditVal, _xlfn.XLOOKUP($A535, My_Audit!$A:$A, My_Audit!L:L, ""),
    _xlfn.TEXTJOIN(", ", TRUE, _xlpm.MyAuditVal, _xlpm.MacVal)
)</f>
        <v/>
      </c>
    </row>
    <row r="536" spans="1:23">
      <c r="A536" s="45" t="str">
        <f>_xlfn.TEXTJOIN("",TRUE,Input!$B$2,ROW(My_Audit!A535))</f>
        <v>CC535</v>
      </c>
      <c r="B536" s="45" t="str">
        <f>_xlfn.TEXTJOIN("-",TRUE,"ITD",Input!$A$2,A536)</f>
        <v>ITD-XXX-CC535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 cm="1">
        <f t="array" ref="D536">IFERROR(_xlfn.LET(
_xlpm.CSVVal,_xlfn.XLOOKUP($A536,CSV!$A:$A,CSV!C:C,""),
_xlpm.MacVal,_xlfn.XLOOKUP($A536,Output_Mac!$A:$A,Output_Mac!D:D,""),
_xlpm.MyAuditVal,_xlfn.XLOOKUP($A536,My_Audit!$A:$A,My_Audit!C:C,""),
_xlfn.IFS(_xlpm.MyAuditVal&lt;&gt;"",UPPER(_xlpm.MyAuditVal),_xlpm.MacVal&lt;&gt;"",_xlpm.MacVal,_xlpm.CSVVal&lt;&gt;"",_xlpm.CSVVal
)),"")</f>
        <v/>
      </c>
      <c r="E536" s="46" t="str" cm="1">
        <f t="array" ref="E536">IFERROR(_xlfn.LET(
_xlpm.CSVVal,_xlfn.XLOOKUP($A536,CSV!$A:$A,CSV!E:E,""),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_xlpm.CSVVal,_xlfn.XLOOKUP($A536,CSV!$A:$A,CSV!G:G,""),
_xlpm.MacVal,_xlfn.XLOOKUP($A536,Output_Mac!$A:$A,Output_Mac!G:G,""),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_xlfn.XLOOKUP(A536,Output_Mac!A:A,Output_Mac!H:H,"")</f>
        <v/>
      </c>
      <c r="I536" s="45" t="str" cm="1">
        <f t="array" ref="I536">IFERROR(_xlfn.LET(
_xlpm.CSVVal,_xlfn.XLOOKUP($A536,CSV!$A:$A,CSV!H:H,""),
_xlpm.MacVal,_xlfn.XLOOKUP($A536,Output_Mac!$A:$A,Output_Mac!I:I,""),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_xlpm.CSVVal,_xlfn.XLOOKUP($A536,CSV!$A:$A,CSV!J:J,""),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46" t="str" cm="1">
        <f t="array" ref="K536">IFERROR(_xlfn.LET(
_xlpm.CSVVal,_xlfn.XLOOKUP($A536,CSV!$A:$A,CSV!N:N,""),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_xlpm.CSVVal,_xlfn.XLOOKUP($A536,CSV!$A:$A,CSV!P:P,""),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CSV!AE:AE,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_xlpm.CSVVal,_xlfn.XLOOKUP($A536,CSV!$A:$A,CSV!AG:AG,""),
_xlpm.MacVal,_xlfn.XLOOKUP($A536,Output_Mac!$A:$A,Output_Mac!T:T,""),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6" t="str">
        <f>IF(LEFT(N536,4)="Pass","Nist SP 800-88",My_Audit!R536)&amp;""</f>
        <v/>
      </c>
      <c r="R536" s="45"/>
      <c r="S536" s="45"/>
      <c r="T536" s="46" t="str">
        <f>_xlfn.XLOOKUP(E536,Models!I:I,Models!J:J,"")</f>
        <v/>
      </c>
      <c r="U536" s="45"/>
      <c r="V536" s="45"/>
      <c r="W536" s="38" t="str">
        <f>_xlfn.LET(
    _xlpm.MacVal, _xlfn.XLOOKUP($A536, Output_Mac!$A:$A, Output_Mac!AA:AA, ""),
    _xlpm.MyAuditVal, _xlfn.XLOOKUP($A536, My_Audit!$A:$A, My_Audit!L:L, ""),
    _xlfn.TEXTJOIN(", ", TRUE, _xlpm.MyAuditVal, _xlpm.MacVal)
)</f>
        <v/>
      </c>
    </row>
    <row r="537" spans="1:23">
      <c r="A537" s="45" t="str">
        <f>_xlfn.TEXTJOIN("",TRUE,Input!$B$2,ROW(My_Audit!A536))</f>
        <v>CC536</v>
      </c>
      <c r="B537" s="45" t="str">
        <f>_xlfn.TEXTJOIN("-",TRUE,"ITD",Input!$A$2,A537)</f>
        <v>ITD-XXX-CC536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 cm="1">
        <f t="array" ref="D537">IFERROR(_xlfn.LET(
_xlpm.CSVVal,_xlfn.XLOOKUP($A537,CSV!$A:$A,CSV!C:C,""),
_xlpm.MacVal,_xlfn.XLOOKUP($A537,Output_Mac!$A:$A,Output_Mac!D:D,""),
_xlpm.MyAuditVal,_xlfn.XLOOKUP($A537,My_Audit!$A:$A,My_Audit!C:C,""),
_xlfn.IFS(_xlpm.MyAuditVal&lt;&gt;"",UPPER(_xlpm.MyAuditVal),_xlpm.MacVal&lt;&gt;"",_xlpm.MacVal,_xlpm.CSVVal&lt;&gt;"",_xlpm.CSVVal
)),"")</f>
        <v/>
      </c>
      <c r="E537" s="46" t="str" cm="1">
        <f t="array" ref="E537">IFERROR(_xlfn.LET(
_xlpm.CSVVal,_xlfn.XLOOKUP($A537,CSV!$A:$A,CSV!E:E,""),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_xlpm.CSVVal,_xlfn.XLOOKUP($A537,CSV!$A:$A,CSV!G:G,""),
_xlpm.MacVal,_xlfn.XLOOKUP($A537,Output_Mac!$A:$A,Output_Mac!G:G,""),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_xlfn.XLOOKUP(A537,Output_Mac!A:A,Output_Mac!H:H,"")</f>
        <v/>
      </c>
      <c r="I537" s="45" t="str" cm="1">
        <f t="array" ref="I537">IFERROR(_xlfn.LET(
_xlpm.CSVVal,_xlfn.XLOOKUP($A537,CSV!$A:$A,CSV!H:H,""),
_xlpm.MacVal,_xlfn.XLOOKUP($A537,Output_Mac!$A:$A,Output_Mac!I:I,""),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_xlpm.CSVVal,_xlfn.XLOOKUP($A537,CSV!$A:$A,CSV!J:J,""),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46" t="str" cm="1">
        <f t="array" ref="K537">IFERROR(_xlfn.LET(
_xlpm.CSVVal,_xlfn.XLOOKUP($A537,CSV!$A:$A,CSV!N:N,""),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_xlpm.CSVVal,_xlfn.XLOOKUP($A537,CSV!$A:$A,CSV!P:P,""),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CSV!AE:AE,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_xlpm.CSVVal,_xlfn.XLOOKUP($A537,CSV!$A:$A,CSV!AG:AG,""),
_xlpm.MacVal,_xlfn.XLOOKUP($A537,Output_Mac!$A:$A,Output_Mac!T:T,""),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6" t="str">
        <f>IF(LEFT(N537,4)="Pass","Nist SP 800-88",My_Audit!R537)&amp;""</f>
        <v/>
      </c>
      <c r="R537" s="45"/>
      <c r="S537" s="45"/>
      <c r="T537" s="46" t="str">
        <f>_xlfn.XLOOKUP(E537,Models!I:I,Models!J:J,"")</f>
        <v/>
      </c>
      <c r="U537" s="45"/>
      <c r="V537" s="45"/>
      <c r="W537" s="38" t="str">
        <f>_xlfn.LET(
    _xlpm.MacVal, _xlfn.XLOOKUP($A537, Output_Mac!$A:$A, Output_Mac!AA:AA, ""),
    _xlpm.MyAuditVal, _xlfn.XLOOKUP($A537, My_Audit!$A:$A, My_Audit!L:L, ""),
    _xlfn.TEXTJOIN(", ", TRUE, _xlpm.MyAuditVal, _xlpm.MacVal)
)</f>
        <v/>
      </c>
    </row>
    <row r="538" spans="1:23">
      <c r="A538" s="45" t="str">
        <f>_xlfn.TEXTJOIN("",TRUE,Input!$B$2,ROW(My_Audit!A537))</f>
        <v>CC537</v>
      </c>
      <c r="B538" s="45" t="str">
        <f>_xlfn.TEXTJOIN("-",TRUE,"ITD",Input!$A$2,A538)</f>
        <v>ITD-XXX-CC537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 cm="1">
        <f t="array" ref="D538">IFERROR(_xlfn.LET(
_xlpm.CSVVal,_xlfn.XLOOKUP($A538,CSV!$A:$A,CSV!C:C,""),
_xlpm.MacVal,_xlfn.XLOOKUP($A538,Output_Mac!$A:$A,Output_Mac!D:D,""),
_xlpm.MyAuditVal,_xlfn.XLOOKUP($A538,My_Audit!$A:$A,My_Audit!C:C,""),
_xlfn.IFS(_xlpm.MyAuditVal&lt;&gt;"",UPPER(_xlpm.MyAuditVal),_xlpm.MacVal&lt;&gt;"",_xlpm.MacVal,_xlpm.CSVVal&lt;&gt;"",_xlpm.CSVVal
)),"")</f>
        <v/>
      </c>
      <c r="E538" s="46" t="str" cm="1">
        <f t="array" ref="E538">IFERROR(_xlfn.LET(
_xlpm.CSVVal,_xlfn.XLOOKUP($A538,CSV!$A:$A,CSV!E:E,""),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_xlpm.CSVVal,_xlfn.XLOOKUP($A538,CSV!$A:$A,CSV!G:G,""),
_xlpm.MacVal,_xlfn.XLOOKUP($A538,Output_Mac!$A:$A,Output_Mac!G:G,""),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_xlfn.XLOOKUP(A538,Output_Mac!A:A,Output_Mac!H:H,"")</f>
        <v/>
      </c>
      <c r="I538" s="45" t="str" cm="1">
        <f t="array" ref="I538">IFERROR(_xlfn.LET(
_xlpm.CSVVal,_xlfn.XLOOKUP($A538,CSV!$A:$A,CSV!H:H,""),
_xlpm.MacVal,_xlfn.XLOOKUP($A538,Output_Mac!$A:$A,Output_Mac!I:I,""),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_xlpm.CSVVal,_xlfn.XLOOKUP($A538,CSV!$A:$A,CSV!J:J,""),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46" t="str" cm="1">
        <f t="array" ref="K538">IFERROR(_xlfn.LET(
_xlpm.CSVVal,_xlfn.XLOOKUP($A538,CSV!$A:$A,CSV!N:N,""),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_xlpm.CSVVal,_xlfn.XLOOKUP($A538,CSV!$A:$A,CSV!P:P,""),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CSV!AE:AE,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_xlpm.CSVVal,_xlfn.XLOOKUP($A538,CSV!$A:$A,CSV!AG:AG,""),
_xlpm.MacVal,_xlfn.XLOOKUP($A538,Output_Mac!$A:$A,Output_Mac!T:T,""),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6" t="str">
        <f>IF(LEFT(N538,4)="Pass","Nist SP 800-88",My_Audit!R538)&amp;""</f>
        <v/>
      </c>
      <c r="R538" s="45"/>
      <c r="S538" s="45"/>
      <c r="T538" s="46" t="str">
        <f>_xlfn.XLOOKUP(E538,Models!I:I,Models!J:J,"")</f>
        <v/>
      </c>
      <c r="U538" s="45"/>
      <c r="V538" s="45"/>
      <c r="W538" s="38" t="str">
        <f>_xlfn.LET(
    _xlpm.MacVal, _xlfn.XLOOKUP($A538, Output_Mac!$A:$A, Output_Mac!AA:AA, ""),
    _xlpm.MyAuditVal, _xlfn.XLOOKUP($A538, My_Audit!$A:$A, My_Audit!L:L, ""),
    _xlfn.TEXTJOIN(", ", TRUE, _xlpm.MyAuditVal, _xlpm.MacVal)
)</f>
        <v/>
      </c>
    </row>
    <row r="539" spans="1:23">
      <c r="A539" s="45" t="str">
        <f>_xlfn.TEXTJOIN("",TRUE,Input!$B$2,ROW(My_Audit!A538))</f>
        <v>CC538</v>
      </c>
      <c r="B539" s="45" t="str">
        <f>_xlfn.TEXTJOIN("-",TRUE,"ITD",Input!$A$2,A539)</f>
        <v>ITD-XXX-CC538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 cm="1">
        <f t="array" ref="D539">IFERROR(_xlfn.LET(
_xlpm.CSVVal,_xlfn.XLOOKUP($A539,CSV!$A:$A,CSV!C:C,""),
_xlpm.MacVal,_xlfn.XLOOKUP($A539,Output_Mac!$A:$A,Output_Mac!D:D,""),
_xlpm.MyAuditVal,_xlfn.XLOOKUP($A539,My_Audit!$A:$A,My_Audit!C:C,""),
_xlfn.IFS(_xlpm.MyAuditVal&lt;&gt;"",UPPER(_xlpm.MyAuditVal),_xlpm.MacVal&lt;&gt;"",_xlpm.MacVal,_xlpm.CSVVal&lt;&gt;"",_xlpm.CSVVal
)),"")</f>
        <v/>
      </c>
      <c r="E539" s="46" t="str" cm="1">
        <f t="array" ref="E539">IFERROR(_xlfn.LET(
_xlpm.CSVVal,_xlfn.XLOOKUP($A539,CSV!$A:$A,CSV!E:E,""),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_xlpm.CSVVal,_xlfn.XLOOKUP($A539,CSV!$A:$A,CSV!G:G,""),
_xlpm.MacVal,_xlfn.XLOOKUP($A539,Output_Mac!$A:$A,Output_Mac!G:G,""),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_xlfn.XLOOKUP(A539,Output_Mac!A:A,Output_Mac!H:H,"")</f>
        <v/>
      </c>
      <c r="I539" s="45" t="str" cm="1">
        <f t="array" ref="I539">IFERROR(_xlfn.LET(
_xlpm.CSVVal,_xlfn.XLOOKUP($A539,CSV!$A:$A,CSV!H:H,""),
_xlpm.MacVal,_xlfn.XLOOKUP($A539,Output_Mac!$A:$A,Output_Mac!I:I,""),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_xlpm.CSVVal,_xlfn.XLOOKUP($A539,CSV!$A:$A,CSV!J:J,""),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46" t="str" cm="1">
        <f t="array" ref="K539">IFERROR(_xlfn.LET(
_xlpm.CSVVal,_xlfn.XLOOKUP($A539,CSV!$A:$A,CSV!N:N,""),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_xlpm.CSVVal,_xlfn.XLOOKUP($A539,CSV!$A:$A,CSV!P:P,""),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CSV!AE:AE,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_xlpm.CSVVal,_xlfn.XLOOKUP($A539,CSV!$A:$A,CSV!AG:AG,""),
_xlpm.MacVal,_xlfn.XLOOKUP($A539,Output_Mac!$A:$A,Output_Mac!T:T,""),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6" t="str">
        <f>IF(LEFT(N539,4)="Pass","Nist SP 800-88",My_Audit!R539)&amp;""</f>
        <v/>
      </c>
      <c r="R539" s="45"/>
      <c r="S539" s="45"/>
      <c r="T539" s="46" t="str">
        <f>_xlfn.XLOOKUP(E539,Models!I:I,Models!J:J,"")</f>
        <v/>
      </c>
      <c r="U539" s="45"/>
      <c r="V539" s="45"/>
      <c r="W539" s="38" t="str">
        <f>_xlfn.LET(
    _xlpm.MacVal, _xlfn.XLOOKUP($A539, Output_Mac!$A:$A, Output_Mac!AA:AA, ""),
    _xlpm.MyAuditVal, _xlfn.XLOOKUP($A539, My_Audit!$A:$A, My_Audit!L:L, ""),
    _xlfn.TEXTJOIN(", ", TRUE, _xlpm.MyAuditVal, _xlpm.MacVal)
)</f>
        <v/>
      </c>
    </row>
    <row r="540" spans="1:23">
      <c r="A540" s="45" t="str">
        <f>_xlfn.TEXTJOIN("",TRUE,Input!$B$2,ROW(My_Audit!A539))</f>
        <v>CC539</v>
      </c>
      <c r="B540" s="45" t="str">
        <f>_xlfn.TEXTJOIN("-",TRUE,"ITD",Input!$A$2,A540)</f>
        <v>ITD-XXX-CC539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 cm="1">
        <f t="array" ref="D540">IFERROR(_xlfn.LET(
_xlpm.CSVVal,_xlfn.XLOOKUP($A540,CSV!$A:$A,CSV!C:C,""),
_xlpm.MacVal,_xlfn.XLOOKUP($A540,Output_Mac!$A:$A,Output_Mac!D:D,""),
_xlpm.MyAuditVal,_xlfn.XLOOKUP($A540,My_Audit!$A:$A,My_Audit!C:C,""),
_xlfn.IFS(_xlpm.MyAuditVal&lt;&gt;"",UPPER(_xlpm.MyAuditVal),_xlpm.MacVal&lt;&gt;"",_xlpm.MacVal,_xlpm.CSVVal&lt;&gt;"",_xlpm.CSVVal
)),"")</f>
        <v/>
      </c>
      <c r="E540" s="46" t="str" cm="1">
        <f t="array" ref="E540">IFERROR(_xlfn.LET(
_xlpm.CSVVal,_xlfn.XLOOKUP($A540,CSV!$A:$A,CSV!E:E,""),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_xlpm.CSVVal,_xlfn.XLOOKUP($A540,CSV!$A:$A,CSV!G:G,""),
_xlpm.MacVal,_xlfn.XLOOKUP($A540,Output_Mac!$A:$A,Output_Mac!G:G,""),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_xlfn.XLOOKUP(A540,Output_Mac!A:A,Output_Mac!H:H,"")</f>
        <v/>
      </c>
      <c r="I540" s="45" t="str" cm="1">
        <f t="array" ref="I540">IFERROR(_xlfn.LET(
_xlpm.CSVVal,_xlfn.XLOOKUP($A540,CSV!$A:$A,CSV!H:H,""),
_xlpm.MacVal,_xlfn.XLOOKUP($A540,Output_Mac!$A:$A,Output_Mac!I:I,""),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_xlpm.CSVVal,_xlfn.XLOOKUP($A540,CSV!$A:$A,CSV!J:J,""),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46" t="str" cm="1">
        <f t="array" ref="K540">IFERROR(_xlfn.LET(
_xlpm.CSVVal,_xlfn.XLOOKUP($A540,CSV!$A:$A,CSV!N:N,""),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_xlpm.CSVVal,_xlfn.XLOOKUP($A540,CSV!$A:$A,CSV!P:P,""),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CSV!AE:AE,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_xlpm.CSVVal,_xlfn.XLOOKUP($A540,CSV!$A:$A,CSV!AG:AG,""),
_xlpm.MacVal,_xlfn.XLOOKUP($A540,Output_Mac!$A:$A,Output_Mac!T:T,""),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6" t="str">
        <f>IF(LEFT(N540,4)="Pass","Nist SP 800-88",My_Audit!R540)&amp;""</f>
        <v/>
      </c>
      <c r="R540" s="45"/>
      <c r="S540" s="45"/>
      <c r="T540" s="46" t="str">
        <f>_xlfn.XLOOKUP(E540,Models!I:I,Models!J:J,"")</f>
        <v/>
      </c>
      <c r="U540" s="45"/>
      <c r="V540" s="45"/>
      <c r="W540" s="38" t="str">
        <f>_xlfn.LET(
    _xlpm.MacVal, _xlfn.XLOOKUP($A540, Output_Mac!$A:$A, Output_Mac!AA:AA, ""),
    _xlpm.MyAuditVal, _xlfn.XLOOKUP($A540, My_Audit!$A:$A, My_Audit!L:L, ""),
    _xlfn.TEXTJOIN(", ", TRUE, _xlpm.MyAuditVal, _xlpm.MacVal)
)</f>
        <v/>
      </c>
    </row>
    <row r="541" spans="1:23">
      <c r="A541" s="45" t="str">
        <f>_xlfn.TEXTJOIN("",TRUE,Input!$B$2,ROW(My_Audit!A540))</f>
        <v>CC540</v>
      </c>
      <c r="B541" s="45" t="str">
        <f>_xlfn.TEXTJOIN("-",TRUE,"ITD",Input!$A$2,A541)</f>
        <v>ITD-XXX-CC540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 cm="1">
        <f t="array" ref="D541">IFERROR(_xlfn.LET(
_xlpm.CSVVal,_xlfn.XLOOKUP($A541,CSV!$A:$A,CSV!C:C,""),
_xlpm.MacVal,_xlfn.XLOOKUP($A541,Output_Mac!$A:$A,Output_Mac!D:D,""),
_xlpm.MyAuditVal,_xlfn.XLOOKUP($A541,My_Audit!$A:$A,My_Audit!C:C,""),
_xlfn.IFS(_xlpm.MyAuditVal&lt;&gt;"",UPPER(_xlpm.MyAuditVal),_xlpm.MacVal&lt;&gt;"",_xlpm.MacVal,_xlpm.CSVVal&lt;&gt;"",_xlpm.CSVVal
)),"")</f>
        <v/>
      </c>
      <c r="E541" s="46" t="str" cm="1">
        <f t="array" ref="E541">IFERROR(_xlfn.LET(
_xlpm.CSVVal,_xlfn.XLOOKUP($A541,CSV!$A:$A,CSV!E:E,""),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_xlpm.CSVVal,_xlfn.XLOOKUP($A541,CSV!$A:$A,CSV!G:G,""),
_xlpm.MacVal,_xlfn.XLOOKUP($A541,Output_Mac!$A:$A,Output_Mac!G:G,""),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_xlfn.XLOOKUP(A541,Output_Mac!A:A,Output_Mac!H:H,"")</f>
        <v/>
      </c>
      <c r="I541" s="45" t="str" cm="1">
        <f t="array" ref="I541">IFERROR(_xlfn.LET(
_xlpm.CSVVal,_xlfn.XLOOKUP($A541,CSV!$A:$A,CSV!H:H,""),
_xlpm.MacVal,_xlfn.XLOOKUP($A541,Output_Mac!$A:$A,Output_Mac!I:I,""),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_xlpm.CSVVal,_xlfn.XLOOKUP($A541,CSV!$A:$A,CSV!J:J,""),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46" t="str" cm="1">
        <f t="array" ref="K541">IFERROR(_xlfn.LET(
_xlpm.CSVVal,_xlfn.XLOOKUP($A541,CSV!$A:$A,CSV!N:N,""),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_xlpm.CSVVal,_xlfn.XLOOKUP($A541,CSV!$A:$A,CSV!P:P,""),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CSV!AE:AE,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_xlpm.CSVVal,_xlfn.XLOOKUP($A541,CSV!$A:$A,CSV!AG:AG,""),
_xlpm.MacVal,_xlfn.XLOOKUP($A541,Output_Mac!$A:$A,Output_Mac!T:T,""),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6" t="str">
        <f>IF(LEFT(N541,4)="Pass","Nist SP 800-88",My_Audit!R541)&amp;""</f>
        <v/>
      </c>
      <c r="R541" s="45"/>
      <c r="S541" s="45"/>
      <c r="T541" s="46" t="str">
        <f>_xlfn.XLOOKUP(E541,Models!I:I,Models!J:J,"")</f>
        <v/>
      </c>
      <c r="U541" s="45"/>
      <c r="V541" s="45"/>
      <c r="W541" s="38" t="str">
        <f>_xlfn.LET(
    _xlpm.MacVal, _xlfn.XLOOKUP($A541, Output_Mac!$A:$A, Output_Mac!AA:AA, ""),
    _xlpm.MyAuditVal, _xlfn.XLOOKUP($A541, My_Audit!$A:$A, My_Audit!L:L, ""),
    _xlfn.TEXTJOIN(", ", TRUE, _xlpm.MyAuditVal, _xlpm.MacVal)
)</f>
        <v/>
      </c>
    </row>
    <row r="542" spans="1:23">
      <c r="A542" s="45" t="str">
        <f>_xlfn.TEXTJOIN("",TRUE,Input!$B$2,ROW(My_Audit!A541))</f>
        <v>CC541</v>
      </c>
      <c r="B542" s="45" t="str">
        <f>_xlfn.TEXTJOIN("-",TRUE,"ITD",Input!$A$2,A542)</f>
        <v>ITD-XXX-CC541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 cm="1">
        <f t="array" ref="D542">IFERROR(_xlfn.LET(
_xlpm.CSVVal,_xlfn.XLOOKUP($A542,CSV!$A:$A,CSV!C:C,""),
_xlpm.MacVal,_xlfn.XLOOKUP($A542,Output_Mac!$A:$A,Output_Mac!D:D,""),
_xlpm.MyAuditVal,_xlfn.XLOOKUP($A542,My_Audit!$A:$A,My_Audit!C:C,""),
_xlfn.IFS(_xlpm.MyAuditVal&lt;&gt;"",UPPER(_xlpm.MyAuditVal),_xlpm.MacVal&lt;&gt;"",_xlpm.MacVal,_xlpm.CSVVal&lt;&gt;"",_xlpm.CSVVal
)),"")</f>
        <v/>
      </c>
      <c r="E542" s="46" t="str" cm="1">
        <f t="array" ref="E542">IFERROR(_xlfn.LET(
_xlpm.CSVVal,_xlfn.XLOOKUP($A542,CSV!$A:$A,CSV!E:E,""),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_xlpm.CSVVal,_xlfn.XLOOKUP($A542,CSV!$A:$A,CSV!G:G,""),
_xlpm.MacVal,_xlfn.XLOOKUP($A542,Output_Mac!$A:$A,Output_Mac!G:G,""),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_xlfn.XLOOKUP(A542,Output_Mac!A:A,Output_Mac!H:H,"")</f>
        <v/>
      </c>
      <c r="I542" s="45" t="str" cm="1">
        <f t="array" ref="I542">IFERROR(_xlfn.LET(
_xlpm.CSVVal,_xlfn.XLOOKUP($A542,CSV!$A:$A,CSV!H:H,""),
_xlpm.MacVal,_xlfn.XLOOKUP($A542,Output_Mac!$A:$A,Output_Mac!I:I,""),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_xlpm.CSVVal,_xlfn.XLOOKUP($A542,CSV!$A:$A,CSV!J:J,""),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46" t="str" cm="1">
        <f t="array" ref="K542">IFERROR(_xlfn.LET(
_xlpm.CSVVal,_xlfn.XLOOKUP($A542,CSV!$A:$A,CSV!N:N,""),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_xlpm.CSVVal,_xlfn.XLOOKUP($A542,CSV!$A:$A,CSV!P:P,""),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CSV!AE:AE,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_xlpm.CSVVal,_xlfn.XLOOKUP($A542,CSV!$A:$A,CSV!AG:AG,""),
_xlpm.MacVal,_xlfn.XLOOKUP($A542,Output_Mac!$A:$A,Output_Mac!T:T,""),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6" t="str">
        <f>IF(LEFT(N542,4)="Pass","Nist SP 800-88",My_Audit!R542)&amp;""</f>
        <v/>
      </c>
      <c r="R542" s="45"/>
      <c r="S542" s="45"/>
      <c r="T542" s="46" t="str">
        <f>_xlfn.XLOOKUP(E542,Models!I:I,Models!J:J,"")</f>
        <v/>
      </c>
      <c r="U542" s="45"/>
      <c r="V542" s="45"/>
      <c r="W542" s="38" t="str">
        <f>_xlfn.LET(
    _xlpm.MacVal, _xlfn.XLOOKUP($A542, Output_Mac!$A:$A, Output_Mac!AA:AA, ""),
    _xlpm.MyAuditVal, _xlfn.XLOOKUP($A542, My_Audit!$A:$A, My_Audit!L:L, ""),
    _xlfn.TEXTJOIN(", ", TRUE, _xlpm.MyAuditVal, _xlpm.MacVal)
)</f>
        <v/>
      </c>
    </row>
    <row r="543" spans="1:23">
      <c r="A543" s="45" t="str">
        <f>_xlfn.TEXTJOIN("",TRUE,Input!$B$2,ROW(My_Audit!A542))</f>
        <v>CC542</v>
      </c>
      <c r="B543" s="45" t="str">
        <f>_xlfn.TEXTJOIN("-",TRUE,"ITD",Input!$A$2,A543)</f>
        <v>ITD-XXX-CC542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 cm="1">
        <f t="array" ref="D543">IFERROR(_xlfn.LET(
_xlpm.CSVVal,_xlfn.XLOOKUP($A543,CSV!$A:$A,CSV!C:C,""),
_xlpm.MacVal,_xlfn.XLOOKUP($A543,Output_Mac!$A:$A,Output_Mac!D:D,""),
_xlpm.MyAuditVal,_xlfn.XLOOKUP($A543,My_Audit!$A:$A,My_Audit!C:C,""),
_xlfn.IFS(_xlpm.MyAuditVal&lt;&gt;"",UPPER(_xlpm.MyAuditVal),_xlpm.MacVal&lt;&gt;"",_xlpm.MacVal,_xlpm.CSVVal&lt;&gt;"",_xlpm.CSVVal
)),"")</f>
        <v/>
      </c>
      <c r="E543" s="46" t="str" cm="1">
        <f t="array" ref="E543">IFERROR(_xlfn.LET(
_xlpm.CSVVal,_xlfn.XLOOKUP($A543,CSV!$A:$A,CSV!E:E,""),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_xlpm.CSVVal,_xlfn.XLOOKUP($A543,CSV!$A:$A,CSV!G:G,""),
_xlpm.MacVal,_xlfn.XLOOKUP($A543,Output_Mac!$A:$A,Output_Mac!G:G,""),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_xlfn.XLOOKUP(A543,Output_Mac!A:A,Output_Mac!H:H,"")</f>
        <v/>
      </c>
      <c r="I543" s="45" t="str" cm="1">
        <f t="array" ref="I543">IFERROR(_xlfn.LET(
_xlpm.CSVVal,_xlfn.XLOOKUP($A543,CSV!$A:$A,CSV!H:H,""),
_xlpm.MacVal,_xlfn.XLOOKUP($A543,Output_Mac!$A:$A,Output_Mac!I:I,""),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_xlpm.CSVVal,_xlfn.XLOOKUP($A543,CSV!$A:$A,CSV!J:J,""),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46" t="str" cm="1">
        <f t="array" ref="K543">IFERROR(_xlfn.LET(
_xlpm.CSVVal,_xlfn.XLOOKUP($A543,CSV!$A:$A,CSV!N:N,""),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_xlpm.CSVVal,_xlfn.XLOOKUP($A543,CSV!$A:$A,CSV!P:P,""),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CSV!AE:AE,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_xlpm.CSVVal,_xlfn.XLOOKUP($A543,CSV!$A:$A,CSV!AG:AG,""),
_xlpm.MacVal,_xlfn.XLOOKUP($A543,Output_Mac!$A:$A,Output_Mac!T:T,""),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6" t="str">
        <f>IF(LEFT(N543,4)="Pass","Nist SP 800-88",My_Audit!R543)&amp;""</f>
        <v/>
      </c>
      <c r="R543" s="45"/>
      <c r="S543" s="45"/>
      <c r="T543" s="46" t="str">
        <f>_xlfn.XLOOKUP(E543,Models!I:I,Models!J:J,"")</f>
        <v/>
      </c>
      <c r="U543" s="45"/>
      <c r="V543" s="45"/>
      <c r="W543" s="38" t="str">
        <f>_xlfn.LET(
    _xlpm.MacVal, _xlfn.XLOOKUP($A543, Output_Mac!$A:$A, Output_Mac!AA:AA, ""),
    _xlpm.MyAuditVal, _xlfn.XLOOKUP($A543, My_Audit!$A:$A, My_Audit!L:L, ""),
    _xlfn.TEXTJOIN(", ", TRUE, _xlpm.MyAuditVal, _xlpm.MacVal)
)</f>
        <v/>
      </c>
    </row>
    <row r="544" spans="1:23">
      <c r="A544" s="45" t="str">
        <f>_xlfn.TEXTJOIN("",TRUE,Input!$B$2,ROW(My_Audit!A543))</f>
        <v>CC543</v>
      </c>
      <c r="B544" s="45" t="str">
        <f>_xlfn.TEXTJOIN("-",TRUE,"ITD",Input!$A$2,A544)</f>
        <v>ITD-XXX-CC543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 cm="1">
        <f t="array" ref="D544">IFERROR(_xlfn.LET(
_xlpm.CSVVal,_xlfn.XLOOKUP($A544,CSV!$A:$A,CSV!C:C,""),
_xlpm.MacVal,_xlfn.XLOOKUP($A544,Output_Mac!$A:$A,Output_Mac!D:D,""),
_xlpm.MyAuditVal,_xlfn.XLOOKUP($A544,My_Audit!$A:$A,My_Audit!C:C,""),
_xlfn.IFS(_xlpm.MyAuditVal&lt;&gt;"",UPPER(_xlpm.MyAuditVal),_xlpm.MacVal&lt;&gt;"",_xlpm.MacVal,_xlpm.CSVVal&lt;&gt;"",_xlpm.CSVVal
)),"")</f>
        <v/>
      </c>
      <c r="E544" s="46" t="str" cm="1">
        <f t="array" ref="E544">IFERROR(_xlfn.LET(
_xlpm.CSVVal,_xlfn.XLOOKUP($A544,CSV!$A:$A,CSV!E:E,""),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_xlpm.CSVVal,_xlfn.XLOOKUP($A544,CSV!$A:$A,CSV!G:G,""),
_xlpm.MacVal,_xlfn.XLOOKUP($A544,Output_Mac!$A:$A,Output_Mac!G:G,""),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_xlfn.XLOOKUP(A544,Output_Mac!A:A,Output_Mac!H:H,"")</f>
        <v/>
      </c>
      <c r="I544" s="45" t="str" cm="1">
        <f t="array" ref="I544">IFERROR(_xlfn.LET(
_xlpm.CSVVal,_xlfn.XLOOKUP($A544,CSV!$A:$A,CSV!H:H,""),
_xlpm.MacVal,_xlfn.XLOOKUP($A544,Output_Mac!$A:$A,Output_Mac!I:I,""),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_xlpm.CSVVal,_xlfn.XLOOKUP($A544,CSV!$A:$A,CSV!J:J,""),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46" t="str" cm="1">
        <f t="array" ref="K544">IFERROR(_xlfn.LET(
_xlpm.CSVVal,_xlfn.XLOOKUP($A544,CSV!$A:$A,CSV!N:N,""),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_xlpm.CSVVal,_xlfn.XLOOKUP($A544,CSV!$A:$A,CSV!P:P,""),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CSV!AE:AE,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_xlpm.CSVVal,_xlfn.XLOOKUP($A544,CSV!$A:$A,CSV!AG:AG,""),
_xlpm.MacVal,_xlfn.XLOOKUP($A544,Output_Mac!$A:$A,Output_Mac!T:T,""),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6" t="str">
        <f>IF(LEFT(N544,4)="Pass","Nist SP 800-88",My_Audit!R544)&amp;""</f>
        <v/>
      </c>
      <c r="R544" s="45"/>
      <c r="S544" s="45"/>
      <c r="T544" s="46" t="str">
        <f>_xlfn.XLOOKUP(E544,Models!I:I,Models!J:J,"")</f>
        <v/>
      </c>
      <c r="U544" s="45"/>
      <c r="V544" s="45"/>
      <c r="W544" s="38" t="str">
        <f>_xlfn.LET(
    _xlpm.MacVal, _xlfn.XLOOKUP($A544, Output_Mac!$A:$A, Output_Mac!AA:AA, ""),
    _xlpm.MyAuditVal, _xlfn.XLOOKUP($A544, My_Audit!$A:$A, My_Audit!L:L, ""),
    _xlfn.TEXTJOIN(", ", TRUE, _xlpm.MyAuditVal, _xlpm.MacVal)
)</f>
        <v/>
      </c>
    </row>
    <row r="545" spans="1:23">
      <c r="A545" s="45" t="str">
        <f>_xlfn.TEXTJOIN("",TRUE,Input!$B$2,ROW(My_Audit!A544))</f>
        <v>CC544</v>
      </c>
      <c r="B545" s="45" t="str">
        <f>_xlfn.TEXTJOIN("-",TRUE,"ITD",Input!$A$2,A545)</f>
        <v>ITD-XXX-CC544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 cm="1">
        <f t="array" ref="D545">IFERROR(_xlfn.LET(
_xlpm.CSVVal,_xlfn.XLOOKUP($A545,CSV!$A:$A,CSV!C:C,""),
_xlpm.MacVal,_xlfn.XLOOKUP($A545,Output_Mac!$A:$A,Output_Mac!D:D,""),
_xlpm.MyAuditVal,_xlfn.XLOOKUP($A545,My_Audit!$A:$A,My_Audit!C:C,""),
_xlfn.IFS(_xlpm.MyAuditVal&lt;&gt;"",UPPER(_xlpm.MyAuditVal),_xlpm.MacVal&lt;&gt;"",_xlpm.MacVal,_xlpm.CSVVal&lt;&gt;"",_xlpm.CSVVal
)),"")</f>
        <v/>
      </c>
      <c r="E545" s="46" t="str" cm="1">
        <f t="array" ref="E545">IFERROR(_xlfn.LET(
_xlpm.CSVVal,_xlfn.XLOOKUP($A545,CSV!$A:$A,CSV!E:E,""),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_xlpm.CSVVal,_xlfn.XLOOKUP($A545,CSV!$A:$A,CSV!G:G,""),
_xlpm.MacVal,_xlfn.XLOOKUP($A545,Output_Mac!$A:$A,Output_Mac!G:G,""),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_xlfn.XLOOKUP(A545,Output_Mac!A:A,Output_Mac!H:H,"")</f>
        <v/>
      </c>
      <c r="I545" s="45" t="str" cm="1">
        <f t="array" ref="I545">IFERROR(_xlfn.LET(
_xlpm.CSVVal,_xlfn.XLOOKUP($A545,CSV!$A:$A,CSV!H:H,""),
_xlpm.MacVal,_xlfn.XLOOKUP($A545,Output_Mac!$A:$A,Output_Mac!I:I,""),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_xlpm.CSVVal,_xlfn.XLOOKUP($A545,CSV!$A:$A,CSV!J:J,""),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46" t="str" cm="1">
        <f t="array" ref="K545">IFERROR(_xlfn.LET(
_xlpm.CSVVal,_xlfn.XLOOKUP($A545,CSV!$A:$A,CSV!N:N,""),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_xlpm.CSVVal,_xlfn.XLOOKUP($A545,CSV!$A:$A,CSV!P:P,""),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CSV!AE:AE,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_xlpm.CSVVal,_xlfn.XLOOKUP($A545,CSV!$A:$A,CSV!AG:AG,""),
_xlpm.MacVal,_xlfn.XLOOKUP($A545,Output_Mac!$A:$A,Output_Mac!T:T,""),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6" t="str">
        <f>IF(LEFT(N545,4)="Pass","Nist SP 800-88",My_Audit!R545)&amp;""</f>
        <v/>
      </c>
      <c r="R545" s="45"/>
      <c r="S545" s="45"/>
      <c r="T545" s="46" t="str">
        <f>_xlfn.XLOOKUP(E545,Models!I:I,Models!J:J,"")</f>
        <v/>
      </c>
      <c r="U545" s="45"/>
      <c r="V545" s="45"/>
      <c r="W545" s="38" t="str">
        <f>_xlfn.LET(
    _xlpm.MacVal, _xlfn.XLOOKUP($A545, Output_Mac!$A:$A, Output_Mac!AA:AA, ""),
    _xlpm.MyAuditVal, _xlfn.XLOOKUP($A545, My_Audit!$A:$A, My_Audit!L:L, ""),
    _xlfn.TEXTJOIN(", ", TRUE, _xlpm.MyAuditVal, _xlpm.MacVal)
)</f>
        <v/>
      </c>
    </row>
    <row r="546" spans="1:23">
      <c r="A546" s="45" t="str">
        <f>_xlfn.TEXTJOIN("",TRUE,Input!$B$2,ROW(My_Audit!A545))</f>
        <v>CC545</v>
      </c>
      <c r="B546" s="45" t="str">
        <f>_xlfn.TEXTJOIN("-",TRUE,"ITD",Input!$A$2,A546)</f>
        <v>ITD-XXX-CC545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 cm="1">
        <f t="array" ref="D546">IFERROR(_xlfn.LET(
_xlpm.CSVVal,_xlfn.XLOOKUP($A546,CSV!$A:$A,CSV!C:C,""),
_xlpm.MacVal,_xlfn.XLOOKUP($A546,Output_Mac!$A:$A,Output_Mac!D:D,""),
_xlpm.MyAuditVal,_xlfn.XLOOKUP($A546,My_Audit!$A:$A,My_Audit!C:C,""),
_xlfn.IFS(_xlpm.MyAuditVal&lt;&gt;"",UPPER(_xlpm.MyAuditVal),_xlpm.MacVal&lt;&gt;"",_xlpm.MacVal,_xlpm.CSVVal&lt;&gt;"",_xlpm.CSVVal
)),"")</f>
        <v/>
      </c>
      <c r="E546" s="46" t="str" cm="1">
        <f t="array" ref="E546">IFERROR(_xlfn.LET(
_xlpm.CSVVal,_xlfn.XLOOKUP($A546,CSV!$A:$A,CSV!E:E,""),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_xlpm.CSVVal,_xlfn.XLOOKUP($A546,CSV!$A:$A,CSV!G:G,""),
_xlpm.MacVal,_xlfn.XLOOKUP($A546,Output_Mac!$A:$A,Output_Mac!G:G,""),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_xlfn.XLOOKUP(A546,Output_Mac!A:A,Output_Mac!H:H,"")</f>
        <v/>
      </c>
      <c r="I546" s="45" t="str" cm="1">
        <f t="array" ref="I546">IFERROR(_xlfn.LET(
_xlpm.CSVVal,_xlfn.XLOOKUP($A546,CSV!$A:$A,CSV!H:H,""),
_xlpm.MacVal,_xlfn.XLOOKUP($A546,Output_Mac!$A:$A,Output_Mac!I:I,""),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_xlpm.CSVVal,_xlfn.XLOOKUP($A546,CSV!$A:$A,CSV!J:J,""),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46" t="str" cm="1">
        <f t="array" ref="K546">IFERROR(_xlfn.LET(
_xlpm.CSVVal,_xlfn.XLOOKUP($A546,CSV!$A:$A,CSV!N:N,""),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_xlpm.CSVVal,_xlfn.XLOOKUP($A546,CSV!$A:$A,CSV!P:P,""),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CSV!AE:AE,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_xlpm.CSVVal,_xlfn.XLOOKUP($A546,CSV!$A:$A,CSV!AG:AG,""),
_xlpm.MacVal,_xlfn.XLOOKUP($A546,Output_Mac!$A:$A,Output_Mac!T:T,""),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6" t="str">
        <f>IF(LEFT(N546,4)="Pass","Nist SP 800-88",My_Audit!R546)&amp;""</f>
        <v/>
      </c>
      <c r="R546" s="45"/>
      <c r="S546" s="45"/>
      <c r="T546" s="46" t="str">
        <f>_xlfn.XLOOKUP(E546,Models!I:I,Models!J:J,"")</f>
        <v/>
      </c>
      <c r="U546" s="45"/>
      <c r="V546" s="45"/>
      <c r="W546" s="38" t="str">
        <f>_xlfn.LET(
    _xlpm.MacVal, _xlfn.XLOOKUP($A546, Output_Mac!$A:$A, Output_Mac!AA:AA, ""),
    _xlpm.MyAuditVal, _xlfn.XLOOKUP($A546, My_Audit!$A:$A, My_Audit!L:L, ""),
    _xlfn.TEXTJOIN(", ", TRUE, _xlpm.MyAuditVal, _xlpm.MacVal)
)</f>
        <v/>
      </c>
    </row>
    <row r="547" spans="1:23">
      <c r="A547" s="45" t="str">
        <f>_xlfn.TEXTJOIN("",TRUE,Input!$B$2,ROW(My_Audit!A546))</f>
        <v>CC546</v>
      </c>
      <c r="B547" s="45" t="str">
        <f>_xlfn.TEXTJOIN("-",TRUE,"ITD",Input!$A$2,A547)</f>
        <v>ITD-XXX-CC546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 cm="1">
        <f t="array" ref="D547">IFERROR(_xlfn.LET(
_xlpm.CSVVal,_xlfn.XLOOKUP($A547,CSV!$A:$A,CSV!C:C,""),
_xlpm.MacVal,_xlfn.XLOOKUP($A547,Output_Mac!$A:$A,Output_Mac!D:D,""),
_xlpm.MyAuditVal,_xlfn.XLOOKUP($A547,My_Audit!$A:$A,My_Audit!C:C,""),
_xlfn.IFS(_xlpm.MyAuditVal&lt;&gt;"",UPPER(_xlpm.MyAuditVal),_xlpm.MacVal&lt;&gt;"",_xlpm.MacVal,_xlpm.CSVVal&lt;&gt;"",_xlpm.CSVVal
)),"")</f>
        <v/>
      </c>
      <c r="E547" s="46" t="str" cm="1">
        <f t="array" ref="E547">IFERROR(_xlfn.LET(
_xlpm.CSVVal,_xlfn.XLOOKUP($A547,CSV!$A:$A,CSV!E:E,""),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_xlpm.CSVVal,_xlfn.XLOOKUP($A547,CSV!$A:$A,CSV!G:G,""),
_xlpm.MacVal,_xlfn.XLOOKUP($A547,Output_Mac!$A:$A,Output_Mac!G:G,""),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_xlfn.XLOOKUP(A547,Output_Mac!A:A,Output_Mac!H:H,"")</f>
        <v/>
      </c>
      <c r="I547" s="45" t="str" cm="1">
        <f t="array" ref="I547">IFERROR(_xlfn.LET(
_xlpm.CSVVal,_xlfn.XLOOKUP($A547,CSV!$A:$A,CSV!H:H,""),
_xlpm.MacVal,_xlfn.XLOOKUP($A547,Output_Mac!$A:$A,Output_Mac!I:I,""),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_xlpm.CSVVal,_xlfn.XLOOKUP($A547,CSV!$A:$A,CSV!J:J,""),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46" t="str" cm="1">
        <f t="array" ref="K547">IFERROR(_xlfn.LET(
_xlpm.CSVVal,_xlfn.XLOOKUP($A547,CSV!$A:$A,CSV!N:N,""),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_xlpm.CSVVal,_xlfn.XLOOKUP($A547,CSV!$A:$A,CSV!P:P,""),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CSV!AE:AE,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_xlpm.CSVVal,_xlfn.XLOOKUP($A547,CSV!$A:$A,CSV!AG:AG,""),
_xlpm.MacVal,_xlfn.XLOOKUP($A547,Output_Mac!$A:$A,Output_Mac!T:T,""),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6" t="str">
        <f>IF(LEFT(N547,4)="Pass","Nist SP 800-88",My_Audit!R547)&amp;""</f>
        <v/>
      </c>
      <c r="R547" s="45"/>
      <c r="S547" s="45"/>
      <c r="T547" s="46" t="str">
        <f>_xlfn.XLOOKUP(E547,Models!I:I,Models!J:J,"")</f>
        <v/>
      </c>
      <c r="U547" s="45"/>
      <c r="V547" s="45"/>
      <c r="W547" s="38" t="str">
        <f>_xlfn.LET(
    _xlpm.MacVal, _xlfn.XLOOKUP($A547, Output_Mac!$A:$A, Output_Mac!AA:AA, ""),
    _xlpm.MyAuditVal, _xlfn.XLOOKUP($A547, My_Audit!$A:$A, My_Audit!L:L, ""),
    _xlfn.TEXTJOIN(", ", TRUE, _xlpm.MyAuditVal, _xlpm.MacVal)
)</f>
        <v/>
      </c>
    </row>
    <row r="548" spans="1:23">
      <c r="A548" s="45" t="str">
        <f>_xlfn.TEXTJOIN("",TRUE,Input!$B$2,ROW(My_Audit!A547))</f>
        <v>CC547</v>
      </c>
      <c r="B548" s="45" t="str">
        <f>_xlfn.TEXTJOIN("-",TRUE,"ITD",Input!$A$2,A548)</f>
        <v>ITD-XXX-CC547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 cm="1">
        <f t="array" ref="D548">IFERROR(_xlfn.LET(
_xlpm.CSVVal,_xlfn.XLOOKUP($A548,CSV!$A:$A,CSV!C:C,""),
_xlpm.MacVal,_xlfn.XLOOKUP($A548,Output_Mac!$A:$A,Output_Mac!D:D,""),
_xlpm.MyAuditVal,_xlfn.XLOOKUP($A548,My_Audit!$A:$A,My_Audit!C:C,""),
_xlfn.IFS(_xlpm.MyAuditVal&lt;&gt;"",UPPER(_xlpm.MyAuditVal),_xlpm.MacVal&lt;&gt;"",_xlpm.MacVal,_xlpm.CSVVal&lt;&gt;"",_xlpm.CSVVal
)),"")</f>
        <v/>
      </c>
      <c r="E548" s="46" t="str" cm="1">
        <f t="array" ref="E548">IFERROR(_xlfn.LET(
_xlpm.CSVVal,_xlfn.XLOOKUP($A548,CSV!$A:$A,CSV!E:E,""),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_xlpm.CSVVal,_xlfn.XLOOKUP($A548,CSV!$A:$A,CSV!G:G,""),
_xlpm.MacVal,_xlfn.XLOOKUP($A548,Output_Mac!$A:$A,Output_Mac!G:G,""),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_xlfn.XLOOKUP(A548,Output_Mac!A:A,Output_Mac!H:H,"")</f>
        <v/>
      </c>
      <c r="I548" s="45" t="str" cm="1">
        <f t="array" ref="I548">IFERROR(_xlfn.LET(
_xlpm.CSVVal,_xlfn.XLOOKUP($A548,CSV!$A:$A,CSV!H:H,""),
_xlpm.MacVal,_xlfn.XLOOKUP($A548,Output_Mac!$A:$A,Output_Mac!I:I,""),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_xlpm.CSVVal,_xlfn.XLOOKUP($A548,CSV!$A:$A,CSV!J:J,""),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46" t="str" cm="1">
        <f t="array" ref="K548">IFERROR(_xlfn.LET(
_xlpm.CSVVal,_xlfn.XLOOKUP($A548,CSV!$A:$A,CSV!N:N,""),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_xlpm.CSVVal,_xlfn.XLOOKUP($A548,CSV!$A:$A,CSV!P:P,""),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CSV!AE:AE,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_xlpm.CSVVal,_xlfn.XLOOKUP($A548,CSV!$A:$A,CSV!AG:AG,""),
_xlpm.MacVal,_xlfn.XLOOKUP($A548,Output_Mac!$A:$A,Output_Mac!T:T,""),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6" t="str">
        <f>IF(LEFT(N548,4)="Pass","Nist SP 800-88",My_Audit!R548)&amp;""</f>
        <v/>
      </c>
      <c r="R548" s="45"/>
      <c r="S548" s="45"/>
      <c r="T548" s="46" t="str">
        <f>_xlfn.XLOOKUP(E548,Models!I:I,Models!J:J,"")</f>
        <v/>
      </c>
      <c r="U548" s="45"/>
      <c r="V548" s="45"/>
      <c r="W548" s="38" t="str">
        <f>_xlfn.LET(
    _xlpm.MacVal, _xlfn.XLOOKUP($A548, Output_Mac!$A:$A, Output_Mac!AA:AA, ""),
    _xlpm.MyAuditVal, _xlfn.XLOOKUP($A548, My_Audit!$A:$A, My_Audit!L:L, ""),
    _xlfn.TEXTJOIN(", ", TRUE, _xlpm.MyAuditVal, _xlpm.MacVal)
)</f>
        <v/>
      </c>
    </row>
    <row r="549" spans="1:23">
      <c r="A549" s="45" t="str">
        <f>_xlfn.TEXTJOIN("",TRUE,Input!$B$2,ROW(My_Audit!A548))</f>
        <v>CC548</v>
      </c>
      <c r="B549" s="45" t="str">
        <f>_xlfn.TEXTJOIN("-",TRUE,"ITD",Input!$A$2,A549)</f>
        <v>ITD-XXX-CC548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 cm="1">
        <f t="array" ref="D549">IFERROR(_xlfn.LET(
_xlpm.CSVVal,_xlfn.XLOOKUP($A549,CSV!$A:$A,CSV!C:C,""),
_xlpm.MacVal,_xlfn.XLOOKUP($A549,Output_Mac!$A:$A,Output_Mac!D:D,""),
_xlpm.MyAuditVal,_xlfn.XLOOKUP($A549,My_Audit!$A:$A,My_Audit!C:C,""),
_xlfn.IFS(_xlpm.MyAuditVal&lt;&gt;"",UPPER(_xlpm.MyAuditVal),_xlpm.MacVal&lt;&gt;"",_xlpm.MacVal,_xlpm.CSVVal&lt;&gt;"",_xlpm.CSVVal
)),"")</f>
        <v/>
      </c>
      <c r="E549" s="46" t="str" cm="1">
        <f t="array" ref="E549">IFERROR(_xlfn.LET(
_xlpm.CSVVal,_xlfn.XLOOKUP($A549,CSV!$A:$A,CSV!E:E,""),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_xlpm.CSVVal,_xlfn.XLOOKUP($A549,CSV!$A:$A,CSV!G:G,""),
_xlpm.MacVal,_xlfn.XLOOKUP($A549,Output_Mac!$A:$A,Output_Mac!G:G,""),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_xlfn.XLOOKUP(A549,Output_Mac!A:A,Output_Mac!H:H,"")</f>
        <v/>
      </c>
      <c r="I549" s="45" t="str" cm="1">
        <f t="array" ref="I549">IFERROR(_xlfn.LET(
_xlpm.CSVVal,_xlfn.XLOOKUP($A549,CSV!$A:$A,CSV!H:H,""),
_xlpm.MacVal,_xlfn.XLOOKUP($A549,Output_Mac!$A:$A,Output_Mac!I:I,""),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_xlpm.CSVVal,_xlfn.XLOOKUP($A549,CSV!$A:$A,CSV!J:J,""),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46" t="str" cm="1">
        <f t="array" ref="K549">IFERROR(_xlfn.LET(
_xlpm.CSVVal,_xlfn.XLOOKUP($A549,CSV!$A:$A,CSV!N:N,""),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_xlpm.CSVVal,_xlfn.XLOOKUP($A549,CSV!$A:$A,CSV!P:P,""),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CSV!AE:AE,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_xlpm.CSVVal,_xlfn.XLOOKUP($A549,CSV!$A:$A,CSV!AG:AG,""),
_xlpm.MacVal,_xlfn.XLOOKUP($A549,Output_Mac!$A:$A,Output_Mac!T:T,""),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6" t="str">
        <f>IF(LEFT(N549,4)="Pass","Nist SP 800-88",My_Audit!R549)&amp;""</f>
        <v/>
      </c>
      <c r="R549" s="45"/>
      <c r="S549" s="45"/>
      <c r="T549" s="46" t="str">
        <f>_xlfn.XLOOKUP(E549,Models!I:I,Models!J:J,"")</f>
        <v/>
      </c>
      <c r="U549" s="45"/>
      <c r="V549" s="45"/>
      <c r="W549" s="38" t="str">
        <f>_xlfn.LET(
    _xlpm.MacVal, _xlfn.XLOOKUP($A549, Output_Mac!$A:$A, Output_Mac!AA:AA, ""),
    _xlpm.MyAuditVal, _xlfn.XLOOKUP($A549, My_Audit!$A:$A, My_Audit!L:L, ""),
    _xlfn.TEXTJOIN(", ", TRUE, _xlpm.MyAuditVal, _xlpm.MacVal)
)</f>
        <v/>
      </c>
    </row>
    <row r="550" spans="1:23">
      <c r="A550" s="45" t="str">
        <f>_xlfn.TEXTJOIN("",TRUE,Input!$B$2,ROW(My_Audit!A549))</f>
        <v>CC549</v>
      </c>
      <c r="B550" s="45" t="str">
        <f>_xlfn.TEXTJOIN("-",TRUE,"ITD",Input!$A$2,A550)</f>
        <v>ITD-XXX-CC549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 cm="1">
        <f t="array" ref="D550">IFERROR(_xlfn.LET(
_xlpm.CSVVal,_xlfn.XLOOKUP($A550,CSV!$A:$A,CSV!C:C,""),
_xlpm.MacVal,_xlfn.XLOOKUP($A550,Output_Mac!$A:$A,Output_Mac!D:D,""),
_xlpm.MyAuditVal,_xlfn.XLOOKUP($A550,My_Audit!$A:$A,My_Audit!C:C,""),
_xlfn.IFS(_xlpm.MyAuditVal&lt;&gt;"",UPPER(_xlpm.MyAuditVal),_xlpm.MacVal&lt;&gt;"",_xlpm.MacVal,_xlpm.CSVVal&lt;&gt;"",_xlpm.CSVVal
)),"")</f>
        <v/>
      </c>
      <c r="E550" s="46" t="str" cm="1">
        <f t="array" ref="E550">IFERROR(_xlfn.LET(
_xlpm.CSVVal,_xlfn.XLOOKUP($A550,CSV!$A:$A,CSV!E:E,""),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_xlpm.CSVVal,_xlfn.XLOOKUP($A550,CSV!$A:$A,CSV!G:G,""),
_xlpm.MacVal,_xlfn.XLOOKUP($A550,Output_Mac!$A:$A,Output_Mac!G:G,""),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_xlfn.XLOOKUP(A550,Output_Mac!A:A,Output_Mac!H:H,"")</f>
        <v/>
      </c>
      <c r="I550" s="45" t="str" cm="1">
        <f t="array" ref="I550">IFERROR(_xlfn.LET(
_xlpm.CSVVal,_xlfn.XLOOKUP($A550,CSV!$A:$A,CSV!H:H,""),
_xlpm.MacVal,_xlfn.XLOOKUP($A550,Output_Mac!$A:$A,Output_Mac!I:I,""),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_xlpm.CSVVal,_xlfn.XLOOKUP($A550,CSV!$A:$A,CSV!J:J,""),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46" t="str" cm="1">
        <f t="array" ref="K550">IFERROR(_xlfn.LET(
_xlpm.CSVVal,_xlfn.XLOOKUP($A550,CSV!$A:$A,CSV!N:N,""),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_xlpm.CSVVal,_xlfn.XLOOKUP($A550,CSV!$A:$A,CSV!P:P,""),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CSV!AE:AE,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_xlpm.CSVVal,_xlfn.XLOOKUP($A550,CSV!$A:$A,CSV!AG:AG,""),
_xlpm.MacVal,_xlfn.XLOOKUP($A550,Output_Mac!$A:$A,Output_Mac!T:T,""),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6" t="str">
        <f>IF(LEFT(N550,4)="Pass","Nist SP 800-88",My_Audit!R550)&amp;""</f>
        <v/>
      </c>
      <c r="R550" s="45"/>
      <c r="S550" s="45"/>
      <c r="T550" s="46" t="str">
        <f>_xlfn.XLOOKUP(E550,Models!I:I,Models!J:J,"")</f>
        <v/>
      </c>
      <c r="U550" s="45"/>
      <c r="V550" s="45"/>
      <c r="W550" s="38" t="str">
        <f>_xlfn.LET(
    _xlpm.MacVal, _xlfn.XLOOKUP($A550, Output_Mac!$A:$A, Output_Mac!AA:AA, ""),
    _xlpm.MyAuditVal, _xlfn.XLOOKUP($A550, My_Audit!$A:$A, My_Audit!L:L, ""),
    _xlfn.TEXTJOIN(", ", TRUE, _xlpm.MyAuditVal, _xlpm.MacVal)
)</f>
        <v/>
      </c>
    </row>
    <row r="551" spans="1:23">
      <c r="A551" s="45" t="str">
        <f>_xlfn.TEXTJOIN("",TRUE,Input!$B$2,ROW(My_Audit!A550))</f>
        <v>CC550</v>
      </c>
      <c r="B551" s="45" t="str">
        <f>_xlfn.TEXTJOIN("-",TRUE,"ITD",Input!$A$2,A551)</f>
        <v>ITD-XXX-CC550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 cm="1">
        <f t="array" ref="D551">IFERROR(_xlfn.LET(
_xlpm.CSVVal,_xlfn.XLOOKUP($A551,CSV!$A:$A,CSV!C:C,""),
_xlpm.MacVal,_xlfn.XLOOKUP($A551,Output_Mac!$A:$A,Output_Mac!D:D,""),
_xlpm.MyAuditVal,_xlfn.XLOOKUP($A551,My_Audit!$A:$A,My_Audit!C:C,""),
_xlfn.IFS(_xlpm.MyAuditVal&lt;&gt;"",UPPER(_xlpm.MyAuditVal),_xlpm.MacVal&lt;&gt;"",_xlpm.MacVal,_xlpm.CSVVal&lt;&gt;"",_xlpm.CSVVal
)),"")</f>
        <v/>
      </c>
      <c r="E551" s="46" t="str" cm="1">
        <f t="array" ref="E551">IFERROR(_xlfn.LET(
_xlpm.CSVVal,_xlfn.XLOOKUP($A551,CSV!$A:$A,CSV!E:E,""),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_xlpm.CSVVal,_xlfn.XLOOKUP($A551,CSV!$A:$A,CSV!G:G,""),
_xlpm.MacVal,_xlfn.XLOOKUP($A551,Output_Mac!$A:$A,Output_Mac!G:G,""),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_xlfn.XLOOKUP(A551,Output_Mac!A:A,Output_Mac!H:H,"")</f>
        <v/>
      </c>
      <c r="I551" s="45" t="str" cm="1">
        <f t="array" ref="I551">IFERROR(_xlfn.LET(
_xlpm.CSVVal,_xlfn.XLOOKUP($A551,CSV!$A:$A,CSV!H:H,""),
_xlpm.MacVal,_xlfn.XLOOKUP($A551,Output_Mac!$A:$A,Output_Mac!I:I,""),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_xlpm.CSVVal,_xlfn.XLOOKUP($A551,CSV!$A:$A,CSV!J:J,""),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46" t="str" cm="1">
        <f t="array" ref="K551">IFERROR(_xlfn.LET(
_xlpm.CSVVal,_xlfn.XLOOKUP($A551,CSV!$A:$A,CSV!N:N,""),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_xlpm.CSVVal,_xlfn.XLOOKUP($A551,CSV!$A:$A,CSV!P:P,""),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CSV!AE:AE,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_xlpm.CSVVal,_xlfn.XLOOKUP($A551,CSV!$A:$A,CSV!AG:AG,""),
_xlpm.MacVal,_xlfn.XLOOKUP($A551,Output_Mac!$A:$A,Output_Mac!T:T,""),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6" t="str">
        <f>IF(LEFT(N551,4)="Pass","Nist SP 800-88",My_Audit!R551)&amp;""</f>
        <v/>
      </c>
      <c r="R551" s="45"/>
      <c r="S551" s="45"/>
      <c r="T551" s="46" t="str">
        <f>_xlfn.XLOOKUP(E551,Models!I:I,Models!J:J,"")</f>
        <v/>
      </c>
      <c r="U551" s="45"/>
      <c r="V551" s="45"/>
      <c r="W551" s="38" t="str">
        <f>_xlfn.LET(
    _xlpm.MacVal, _xlfn.XLOOKUP($A551, Output_Mac!$A:$A, Output_Mac!AA:AA, ""),
    _xlpm.MyAuditVal, _xlfn.XLOOKUP($A551, My_Audit!$A:$A, My_Audit!L:L, ""),
    _xlfn.TEXTJOIN(", ", TRUE, _xlpm.MyAuditVal, _xlpm.MacVal)
)</f>
        <v/>
      </c>
    </row>
    <row r="552" spans="1:23">
      <c r="A552" s="45" t="str">
        <f>_xlfn.TEXTJOIN("",TRUE,Input!$B$2,ROW(My_Audit!A551))</f>
        <v>CC551</v>
      </c>
      <c r="B552" s="45" t="str">
        <f>_xlfn.TEXTJOIN("-",TRUE,"ITD",Input!$A$2,A552)</f>
        <v>ITD-XXX-CC551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 cm="1">
        <f t="array" ref="D552">IFERROR(_xlfn.LET(
_xlpm.CSVVal,_xlfn.XLOOKUP($A552,CSV!$A:$A,CSV!C:C,""),
_xlpm.MacVal,_xlfn.XLOOKUP($A552,Output_Mac!$A:$A,Output_Mac!D:D,""),
_xlpm.MyAuditVal,_xlfn.XLOOKUP($A552,My_Audit!$A:$A,My_Audit!C:C,""),
_xlfn.IFS(_xlpm.MyAuditVal&lt;&gt;"",UPPER(_xlpm.MyAuditVal),_xlpm.MacVal&lt;&gt;"",_xlpm.MacVal,_xlpm.CSVVal&lt;&gt;"",_xlpm.CSVVal
)),"")</f>
        <v/>
      </c>
      <c r="E552" s="46" t="str" cm="1">
        <f t="array" ref="E552">IFERROR(_xlfn.LET(
_xlpm.CSVVal,_xlfn.XLOOKUP($A552,CSV!$A:$A,CSV!E:E,""),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_xlpm.CSVVal,_xlfn.XLOOKUP($A552,CSV!$A:$A,CSV!G:G,""),
_xlpm.MacVal,_xlfn.XLOOKUP($A552,Output_Mac!$A:$A,Output_Mac!G:G,""),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_xlfn.XLOOKUP(A552,Output_Mac!A:A,Output_Mac!H:H,"")</f>
        <v/>
      </c>
      <c r="I552" s="45" t="str" cm="1">
        <f t="array" ref="I552">IFERROR(_xlfn.LET(
_xlpm.CSVVal,_xlfn.XLOOKUP($A552,CSV!$A:$A,CSV!H:H,""),
_xlpm.MacVal,_xlfn.XLOOKUP($A552,Output_Mac!$A:$A,Output_Mac!I:I,""),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_xlpm.CSVVal,_xlfn.XLOOKUP($A552,CSV!$A:$A,CSV!J:J,""),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46" t="str" cm="1">
        <f t="array" ref="K552">IFERROR(_xlfn.LET(
_xlpm.CSVVal,_xlfn.XLOOKUP($A552,CSV!$A:$A,CSV!N:N,""),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_xlpm.CSVVal,_xlfn.XLOOKUP($A552,CSV!$A:$A,CSV!P:P,""),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CSV!AE:AE,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_xlpm.CSVVal,_xlfn.XLOOKUP($A552,CSV!$A:$A,CSV!AG:AG,""),
_xlpm.MacVal,_xlfn.XLOOKUP($A552,Output_Mac!$A:$A,Output_Mac!T:T,""),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6" t="str">
        <f>IF(LEFT(N552,4)="Pass","Nist SP 800-88",My_Audit!R552)&amp;""</f>
        <v/>
      </c>
      <c r="R552" s="45"/>
      <c r="S552" s="45"/>
      <c r="T552" s="46" t="str">
        <f>_xlfn.XLOOKUP(E552,Models!I:I,Models!J:J,"")</f>
        <v/>
      </c>
      <c r="U552" s="45"/>
      <c r="V552" s="45"/>
      <c r="W552" s="38" t="str">
        <f>_xlfn.LET(
    _xlpm.MacVal, _xlfn.XLOOKUP($A552, Output_Mac!$A:$A, Output_Mac!AA:AA, ""),
    _xlpm.MyAuditVal, _xlfn.XLOOKUP($A552, My_Audit!$A:$A, My_Audit!L:L, ""),
    _xlfn.TEXTJOIN(", ", TRUE, _xlpm.MyAuditVal, _xlpm.MacVal)
)</f>
        <v/>
      </c>
    </row>
    <row r="553" spans="1:23">
      <c r="A553" s="45" t="str">
        <f>_xlfn.TEXTJOIN("",TRUE,Input!$B$2,ROW(My_Audit!A552))</f>
        <v>CC552</v>
      </c>
      <c r="B553" s="45" t="str">
        <f>_xlfn.TEXTJOIN("-",TRUE,"ITD",Input!$A$2,A553)</f>
        <v>ITD-XXX-CC552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 cm="1">
        <f t="array" ref="D553">IFERROR(_xlfn.LET(
_xlpm.CSVVal,_xlfn.XLOOKUP($A553,CSV!$A:$A,CSV!C:C,""),
_xlpm.MacVal,_xlfn.XLOOKUP($A553,Output_Mac!$A:$A,Output_Mac!D:D,""),
_xlpm.MyAuditVal,_xlfn.XLOOKUP($A553,My_Audit!$A:$A,My_Audit!C:C,""),
_xlfn.IFS(_xlpm.MyAuditVal&lt;&gt;"",UPPER(_xlpm.MyAuditVal),_xlpm.MacVal&lt;&gt;"",_xlpm.MacVal,_xlpm.CSVVal&lt;&gt;"",_xlpm.CSVVal
)),"")</f>
        <v/>
      </c>
      <c r="E553" s="46" t="str" cm="1">
        <f t="array" ref="E553">IFERROR(_xlfn.LET(
_xlpm.CSVVal,_xlfn.XLOOKUP($A553,CSV!$A:$A,CSV!E:E,""),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_xlpm.CSVVal,_xlfn.XLOOKUP($A553,CSV!$A:$A,CSV!G:G,""),
_xlpm.MacVal,_xlfn.XLOOKUP($A553,Output_Mac!$A:$A,Output_Mac!G:G,""),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_xlfn.XLOOKUP(A553,Output_Mac!A:A,Output_Mac!H:H,"")</f>
        <v/>
      </c>
      <c r="I553" s="45" t="str" cm="1">
        <f t="array" ref="I553">IFERROR(_xlfn.LET(
_xlpm.CSVVal,_xlfn.XLOOKUP($A553,CSV!$A:$A,CSV!H:H,""),
_xlpm.MacVal,_xlfn.XLOOKUP($A553,Output_Mac!$A:$A,Output_Mac!I:I,""),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_xlpm.CSVVal,_xlfn.XLOOKUP($A553,CSV!$A:$A,CSV!J:J,""),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46" t="str" cm="1">
        <f t="array" ref="K553">IFERROR(_xlfn.LET(
_xlpm.CSVVal,_xlfn.XLOOKUP($A553,CSV!$A:$A,CSV!N:N,""),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_xlpm.CSVVal,_xlfn.XLOOKUP($A553,CSV!$A:$A,CSV!P:P,""),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CSV!AE:AE,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_xlpm.CSVVal,_xlfn.XLOOKUP($A553,CSV!$A:$A,CSV!AG:AG,""),
_xlpm.MacVal,_xlfn.XLOOKUP($A553,Output_Mac!$A:$A,Output_Mac!T:T,""),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6" t="str">
        <f>IF(LEFT(N553,4)="Pass","Nist SP 800-88",My_Audit!R553)&amp;""</f>
        <v/>
      </c>
      <c r="R553" s="45"/>
      <c r="S553" s="45"/>
      <c r="T553" s="46" t="str">
        <f>_xlfn.XLOOKUP(E553,Models!I:I,Models!J:J,"")</f>
        <v/>
      </c>
      <c r="U553" s="45"/>
      <c r="V553" s="45"/>
      <c r="W553" s="38" t="str">
        <f>_xlfn.LET(
    _xlpm.MacVal, _xlfn.XLOOKUP($A553, Output_Mac!$A:$A, Output_Mac!AA:AA, ""),
    _xlpm.MyAuditVal, _xlfn.XLOOKUP($A553, My_Audit!$A:$A, My_Audit!L:L, ""),
    _xlfn.TEXTJOIN(", ", TRUE, _xlpm.MyAuditVal, _xlpm.MacVal)
)</f>
        <v/>
      </c>
    </row>
    <row r="554" spans="1:23">
      <c r="A554" s="45" t="str">
        <f>_xlfn.TEXTJOIN("",TRUE,Input!$B$2,ROW(My_Audit!A553))</f>
        <v>CC553</v>
      </c>
      <c r="B554" s="45" t="str">
        <f>_xlfn.TEXTJOIN("-",TRUE,"ITD",Input!$A$2,A554)</f>
        <v>ITD-XXX-CC553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 cm="1">
        <f t="array" ref="D554">IFERROR(_xlfn.LET(
_xlpm.CSVVal,_xlfn.XLOOKUP($A554,CSV!$A:$A,CSV!C:C,""),
_xlpm.MacVal,_xlfn.XLOOKUP($A554,Output_Mac!$A:$A,Output_Mac!D:D,""),
_xlpm.MyAuditVal,_xlfn.XLOOKUP($A554,My_Audit!$A:$A,My_Audit!C:C,""),
_xlfn.IFS(_xlpm.MyAuditVal&lt;&gt;"",UPPER(_xlpm.MyAuditVal),_xlpm.MacVal&lt;&gt;"",_xlpm.MacVal,_xlpm.CSVVal&lt;&gt;"",_xlpm.CSVVal
)),"")</f>
        <v/>
      </c>
      <c r="E554" s="46" t="str" cm="1">
        <f t="array" ref="E554">IFERROR(_xlfn.LET(
_xlpm.CSVVal,_xlfn.XLOOKUP($A554,CSV!$A:$A,CSV!E:E,""),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_xlpm.CSVVal,_xlfn.XLOOKUP($A554,CSV!$A:$A,CSV!G:G,""),
_xlpm.MacVal,_xlfn.XLOOKUP($A554,Output_Mac!$A:$A,Output_Mac!G:G,""),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_xlfn.XLOOKUP(A554,Output_Mac!A:A,Output_Mac!H:H,"")</f>
        <v/>
      </c>
      <c r="I554" s="45" t="str" cm="1">
        <f t="array" ref="I554">IFERROR(_xlfn.LET(
_xlpm.CSVVal,_xlfn.XLOOKUP($A554,CSV!$A:$A,CSV!H:H,""),
_xlpm.MacVal,_xlfn.XLOOKUP($A554,Output_Mac!$A:$A,Output_Mac!I:I,""),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_xlpm.CSVVal,_xlfn.XLOOKUP($A554,CSV!$A:$A,CSV!J:J,""),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46" t="str" cm="1">
        <f t="array" ref="K554">IFERROR(_xlfn.LET(
_xlpm.CSVVal,_xlfn.XLOOKUP($A554,CSV!$A:$A,CSV!N:N,""),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_xlpm.CSVVal,_xlfn.XLOOKUP($A554,CSV!$A:$A,CSV!P:P,""),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CSV!AE:AE,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_xlpm.CSVVal,_xlfn.XLOOKUP($A554,CSV!$A:$A,CSV!AG:AG,""),
_xlpm.MacVal,_xlfn.XLOOKUP($A554,Output_Mac!$A:$A,Output_Mac!T:T,""),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6" t="str">
        <f>IF(LEFT(N554,4)="Pass","Nist SP 800-88",My_Audit!R554)&amp;""</f>
        <v/>
      </c>
      <c r="R554" s="45"/>
      <c r="S554" s="45"/>
      <c r="T554" s="46" t="str">
        <f>_xlfn.XLOOKUP(E554,Models!I:I,Models!J:J,"")</f>
        <v/>
      </c>
      <c r="U554" s="45"/>
      <c r="V554" s="45"/>
      <c r="W554" s="38" t="str">
        <f>_xlfn.LET(
    _xlpm.MacVal, _xlfn.XLOOKUP($A554, Output_Mac!$A:$A, Output_Mac!AA:AA, ""),
    _xlpm.MyAuditVal, _xlfn.XLOOKUP($A554, My_Audit!$A:$A, My_Audit!L:L, ""),
    _xlfn.TEXTJOIN(", ", TRUE, _xlpm.MyAuditVal, _xlpm.MacVal)
)</f>
        <v/>
      </c>
    </row>
    <row r="555" spans="1:23">
      <c r="A555" s="45" t="str">
        <f>_xlfn.TEXTJOIN("",TRUE,Input!$B$2,ROW(My_Audit!A554))</f>
        <v>CC554</v>
      </c>
      <c r="B555" s="45" t="str">
        <f>_xlfn.TEXTJOIN("-",TRUE,"ITD",Input!$A$2,A555)</f>
        <v>ITD-XXX-CC554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 cm="1">
        <f t="array" ref="D555">IFERROR(_xlfn.LET(
_xlpm.CSVVal,_xlfn.XLOOKUP($A555,CSV!$A:$A,CSV!C:C,""),
_xlpm.MacVal,_xlfn.XLOOKUP($A555,Output_Mac!$A:$A,Output_Mac!D:D,""),
_xlpm.MyAuditVal,_xlfn.XLOOKUP($A555,My_Audit!$A:$A,My_Audit!C:C,""),
_xlfn.IFS(_xlpm.MyAuditVal&lt;&gt;"",UPPER(_xlpm.MyAuditVal),_xlpm.MacVal&lt;&gt;"",_xlpm.MacVal,_xlpm.CSVVal&lt;&gt;"",_xlpm.CSVVal
)),"")</f>
        <v/>
      </c>
      <c r="E555" s="46" t="str" cm="1">
        <f t="array" ref="E555">IFERROR(_xlfn.LET(
_xlpm.CSVVal,_xlfn.XLOOKUP($A555,CSV!$A:$A,CSV!E:E,""),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_xlpm.CSVVal,_xlfn.XLOOKUP($A555,CSV!$A:$A,CSV!G:G,""),
_xlpm.MacVal,_xlfn.XLOOKUP($A555,Output_Mac!$A:$A,Output_Mac!G:G,""),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_xlfn.XLOOKUP(A555,Output_Mac!A:A,Output_Mac!H:H,"")</f>
        <v/>
      </c>
      <c r="I555" s="45" t="str" cm="1">
        <f t="array" ref="I555">IFERROR(_xlfn.LET(
_xlpm.CSVVal,_xlfn.XLOOKUP($A555,CSV!$A:$A,CSV!H:H,""),
_xlpm.MacVal,_xlfn.XLOOKUP($A555,Output_Mac!$A:$A,Output_Mac!I:I,""),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_xlpm.CSVVal,_xlfn.XLOOKUP($A555,CSV!$A:$A,CSV!J:J,""),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46" t="str" cm="1">
        <f t="array" ref="K555">IFERROR(_xlfn.LET(
_xlpm.CSVVal,_xlfn.XLOOKUP($A555,CSV!$A:$A,CSV!N:N,""),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_xlpm.CSVVal,_xlfn.XLOOKUP($A555,CSV!$A:$A,CSV!P:P,""),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CSV!AE:AE,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_xlpm.CSVVal,_xlfn.XLOOKUP($A555,CSV!$A:$A,CSV!AG:AG,""),
_xlpm.MacVal,_xlfn.XLOOKUP($A555,Output_Mac!$A:$A,Output_Mac!T:T,""),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6" t="str">
        <f>IF(LEFT(N555,4)="Pass","Nist SP 800-88",My_Audit!R555)&amp;""</f>
        <v/>
      </c>
      <c r="R555" s="45"/>
      <c r="S555" s="45"/>
      <c r="T555" s="46" t="str">
        <f>_xlfn.XLOOKUP(E555,Models!I:I,Models!J:J,"")</f>
        <v/>
      </c>
      <c r="U555" s="45"/>
      <c r="V555" s="45"/>
      <c r="W555" s="38" t="str">
        <f>_xlfn.LET(
    _xlpm.MacVal, _xlfn.XLOOKUP($A555, Output_Mac!$A:$A, Output_Mac!AA:AA, ""),
    _xlpm.MyAuditVal, _xlfn.XLOOKUP($A555, My_Audit!$A:$A, My_Audit!L:L, ""),
    _xlfn.TEXTJOIN(", ", TRUE, _xlpm.MyAuditVal, _xlpm.MacVal)
)</f>
        <v/>
      </c>
    </row>
    <row r="556" spans="1:23">
      <c r="A556" s="45" t="str">
        <f>_xlfn.TEXTJOIN("",TRUE,Input!$B$2,ROW(My_Audit!A555))</f>
        <v>CC555</v>
      </c>
      <c r="B556" s="45" t="str">
        <f>_xlfn.TEXTJOIN("-",TRUE,"ITD",Input!$A$2,A556)</f>
        <v>ITD-XXX-CC555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 cm="1">
        <f t="array" ref="D556">IFERROR(_xlfn.LET(
_xlpm.CSVVal,_xlfn.XLOOKUP($A556,CSV!$A:$A,CSV!C:C,""),
_xlpm.MacVal,_xlfn.XLOOKUP($A556,Output_Mac!$A:$A,Output_Mac!D:D,""),
_xlpm.MyAuditVal,_xlfn.XLOOKUP($A556,My_Audit!$A:$A,My_Audit!C:C,""),
_xlfn.IFS(_xlpm.MyAuditVal&lt;&gt;"",UPPER(_xlpm.MyAuditVal),_xlpm.MacVal&lt;&gt;"",_xlpm.MacVal,_xlpm.CSVVal&lt;&gt;"",_xlpm.CSVVal
)),"")</f>
        <v/>
      </c>
      <c r="E556" s="46" t="str" cm="1">
        <f t="array" ref="E556">IFERROR(_xlfn.LET(
_xlpm.CSVVal,_xlfn.XLOOKUP($A556,CSV!$A:$A,CSV!E:E,""),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_xlpm.CSVVal,_xlfn.XLOOKUP($A556,CSV!$A:$A,CSV!G:G,""),
_xlpm.MacVal,_xlfn.XLOOKUP($A556,Output_Mac!$A:$A,Output_Mac!G:G,""),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_xlfn.XLOOKUP(A556,Output_Mac!A:A,Output_Mac!H:H,"")</f>
        <v/>
      </c>
      <c r="I556" s="45" t="str" cm="1">
        <f t="array" ref="I556">IFERROR(_xlfn.LET(
_xlpm.CSVVal,_xlfn.XLOOKUP($A556,CSV!$A:$A,CSV!H:H,""),
_xlpm.MacVal,_xlfn.XLOOKUP($A556,Output_Mac!$A:$A,Output_Mac!I:I,""),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_xlpm.CSVVal,_xlfn.XLOOKUP($A556,CSV!$A:$A,CSV!J:J,""),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46" t="str" cm="1">
        <f t="array" ref="K556">IFERROR(_xlfn.LET(
_xlpm.CSVVal,_xlfn.XLOOKUP($A556,CSV!$A:$A,CSV!N:N,""),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_xlpm.CSVVal,_xlfn.XLOOKUP($A556,CSV!$A:$A,CSV!P:P,""),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CSV!AE:AE,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_xlpm.CSVVal,_xlfn.XLOOKUP($A556,CSV!$A:$A,CSV!AG:AG,""),
_xlpm.MacVal,_xlfn.XLOOKUP($A556,Output_Mac!$A:$A,Output_Mac!T:T,""),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6" t="str">
        <f>IF(LEFT(N556,4)="Pass","Nist SP 800-88",My_Audit!R556)&amp;""</f>
        <v/>
      </c>
      <c r="R556" s="45"/>
      <c r="S556" s="45"/>
      <c r="T556" s="46" t="str">
        <f>_xlfn.XLOOKUP(E556,Models!I:I,Models!J:J,"")</f>
        <v/>
      </c>
      <c r="U556" s="45"/>
      <c r="V556" s="45"/>
      <c r="W556" s="38" t="str">
        <f>_xlfn.LET(
    _xlpm.MacVal, _xlfn.XLOOKUP($A556, Output_Mac!$A:$A, Output_Mac!AA:AA, ""),
    _xlpm.MyAuditVal, _xlfn.XLOOKUP($A556, My_Audit!$A:$A, My_Audit!L:L, ""),
    _xlfn.TEXTJOIN(", ", TRUE, _xlpm.MyAuditVal, _xlpm.MacVal)
)</f>
        <v/>
      </c>
    </row>
    <row r="557" spans="1:23">
      <c r="A557" s="45" t="str">
        <f>_xlfn.TEXTJOIN("",TRUE,Input!$B$2,ROW(My_Audit!A556))</f>
        <v>CC556</v>
      </c>
      <c r="B557" s="45" t="str">
        <f>_xlfn.TEXTJOIN("-",TRUE,"ITD",Input!$A$2,A557)</f>
        <v>ITD-XXX-CC556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 cm="1">
        <f t="array" ref="D557">IFERROR(_xlfn.LET(
_xlpm.CSVVal,_xlfn.XLOOKUP($A557,CSV!$A:$A,CSV!C:C,""),
_xlpm.MacVal,_xlfn.XLOOKUP($A557,Output_Mac!$A:$A,Output_Mac!D:D,""),
_xlpm.MyAuditVal,_xlfn.XLOOKUP($A557,My_Audit!$A:$A,My_Audit!C:C,""),
_xlfn.IFS(_xlpm.MyAuditVal&lt;&gt;"",UPPER(_xlpm.MyAuditVal),_xlpm.MacVal&lt;&gt;"",_xlpm.MacVal,_xlpm.CSVVal&lt;&gt;"",_xlpm.CSVVal
)),"")</f>
        <v/>
      </c>
      <c r="E557" s="46" t="str" cm="1">
        <f t="array" ref="E557">IFERROR(_xlfn.LET(
_xlpm.CSVVal,_xlfn.XLOOKUP($A557,CSV!$A:$A,CSV!E:E,""),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_xlpm.CSVVal,_xlfn.XLOOKUP($A557,CSV!$A:$A,CSV!G:G,""),
_xlpm.MacVal,_xlfn.XLOOKUP($A557,Output_Mac!$A:$A,Output_Mac!G:G,""),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_xlfn.XLOOKUP(A557,Output_Mac!A:A,Output_Mac!H:H,"")</f>
        <v/>
      </c>
      <c r="I557" s="45" t="str" cm="1">
        <f t="array" ref="I557">IFERROR(_xlfn.LET(
_xlpm.CSVVal,_xlfn.XLOOKUP($A557,CSV!$A:$A,CSV!H:H,""),
_xlpm.MacVal,_xlfn.XLOOKUP($A557,Output_Mac!$A:$A,Output_Mac!I:I,""),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_xlpm.CSVVal,_xlfn.XLOOKUP($A557,CSV!$A:$A,CSV!J:J,""),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46" t="str" cm="1">
        <f t="array" ref="K557">IFERROR(_xlfn.LET(
_xlpm.CSVVal,_xlfn.XLOOKUP($A557,CSV!$A:$A,CSV!N:N,""),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_xlpm.CSVVal,_xlfn.XLOOKUP($A557,CSV!$A:$A,CSV!P:P,""),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CSV!AE:AE,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_xlpm.CSVVal,_xlfn.XLOOKUP($A557,CSV!$A:$A,CSV!AG:AG,""),
_xlpm.MacVal,_xlfn.XLOOKUP($A557,Output_Mac!$A:$A,Output_Mac!T:T,""),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6" t="str">
        <f>IF(LEFT(N557,4)="Pass","Nist SP 800-88",My_Audit!R557)&amp;""</f>
        <v/>
      </c>
      <c r="R557" s="45"/>
      <c r="S557" s="45"/>
      <c r="T557" s="46" t="str">
        <f>_xlfn.XLOOKUP(E557,Models!I:I,Models!J:J,"")</f>
        <v/>
      </c>
      <c r="U557" s="45"/>
      <c r="V557" s="45"/>
      <c r="W557" s="38" t="str">
        <f>_xlfn.LET(
    _xlpm.MacVal, _xlfn.XLOOKUP($A557, Output_Mac!$A:$A, Output_Mac!AA:AA, ""),
    _xlpm.MyAuditVal, _xlfn.XLOOKUP($A557, My_Audit!$A:$A, My_Audit!L:L, ""),
    _xlfn.TEXTJOIN(", ", TRUE, _xlpm.MyAuditVal, _xlpm.MacVal)
)</f>
        <v/>
      </c>
    </row>
    <row r="558" spans="1:23">
      <c r="A558" s="45" t="str">
        <f>_xlfn.TEXTJOIN("",TRUE,Input!$B$2,ROW(My_Audit!A557))</f>
        <v>CC557</v>
      </c>
      <c r="B558" s="45" t="str">
        <f>_xlfn.TEXTJOIN("-",TRUE,"ITD",Input!$A$2,A558)</f>
        <v>ITD-XXX-CC557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 cm="1">
        <f t="array" ref="D558">IFERROR(_xlfn.LET(
_xlpm.CSVVal,_xlfn.XLOOKUP($A558,CSV!$A:$A,CSV!C:C,""),
_xlpm.MacVal,_xlfn.XLOOKUP($A558,Output_Mac!$A:$A,Output_Mac!D:D,""),
_xlpm.MyAuditVal,_xlfn.XLOOKUP($A558,My_Audit!$A:$A,My_Audit!C:C,""),
_xlfn.IFS(_xlpm.MyAuditVal&lt;&gt;"",UPPER(_xlpm.MyAuditVal),_xlpm.MacVal&lt;&gt;"",_xlpm.MacVal,_xlpm.CSVVal&lt;&gt;"",_xlpm.CSVVal
)),"")</f>
        <v/>
      </c>
      <c r="E558" s="46" t="str" cm="1">
        <f t="array" ref="E558">IFERROR(_xlfn.LET(
_xlpm.CSVVal,_xlfn.XLOOKUP($A558,CSV!$A:$A,CSV!E:E,""),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_xlpm.CSVVal,_xlfn.XLOOKUP($A558,CSV!$A:$A,CSV!G:G,""),
_xlpm.MacVal,_xlfn.XLOOKUP($A558,Output_Mac!$A:$A,Output_Mac!G:G,""),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_xlfn.XLOOKUP(A558,Output_Mac!A:A,Output_Mac!H:H,"")</f>
        <v/>
      </c>
      <c r="I558" s="45" t="str" cm="1">
        <f t="array" ref="I558">IFERROR(_xlfn.LET(
_xlpm.CSVVal,_xlfn.XLOOKUP($A558,CSV!$A:$A,CSV!H:H,""),
_xlpm.MacVal,_xlfn.XLOOKUP($A558,Output_Mac!$A:$A,Output_Mac!I:I,""),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_xlpm.CSVVal,_xlfn.XLOOKUP($A558,CSV!$A:$A,CSV!J:J,""),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46" t="str" cm="1">
        <f t="array" ref="K558">IFERROR(_xlfn.LET(
_xlpm.CSVVal,_xlfn.XLOOKUP($A558,CSV!$A:$A,CSV!N:N,""),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_xlpm.CSVVal,_xlfn.XLOOKUP($A558,CSV!$A:$A,CSV!P:P,""),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CSV!AE:AE,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_xlpm.CSVVal,_xlfn.XLOOKUP($A558,CSV!$A:$A,CSV!AG:AG,""),
_xlpm.MacVal,_xlfn.XLOOKUP($A558,Output_Mac!$A:$A,Output_Mac!T:T,""),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6" t="str">
        <f>IF(LEFT(N558,4)="Pass","Nist SP 800-88",My_Audit!R558)&amp;""</f>
        <v/>
      </c>
      <c r="R558" s="45"/>
      <c r="S558" s="45"/>
      <c r="T558" s="46" t="str">
        <f>_xlfn.XLOOKUP(E558,Models!I:I,Models!J:J,"")</f>
        <v/>
      </c>
      <c r="U558" s="45"/>
      <c r="V558" s="45"/>
      <c r="W558" s="38" t="str">
        <f>_xlfn.LET(
    _xlpm.MacVal, _xlfn.XLOOKUP($A558, Output_Mac!$A:$A, Output_Mac!AA:AA, ""),
    _xlpm.MyAuditVal, _xlfn.XLOOKUP($A558, My_Audit!$A:$A, My_Audit!L:L, ""),
    _xlfn.TEXTJOIN(", ", TRUE, _xlpm.MyAuditVal, _xlpm.MacVal)
)</f>
        <v/>
      </c>
    </row>
    <row r="559" spans="1:23">
      <c r="A559" s="45" t="str">
        <f>_xlfn.TEXTJOIN("",TRUE,Input!$B$2,ROW(My_Audit!A558))</f>
        <v>CC558</v>
      </c>
      <c r="B559" s="45" t="str">
        <f>_xlfn.TEXTJOIN("-",TRUE,"ITD",Input!$A$2,A559)</f>
        <v>ITD-XXX-CC558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 cm="1">
        <f t="array" ref="D559">IFERROR(_xlfn.LET(
_xlpm.CSVVal,_xlfn.XLOOKUP($A559,CSV!$A:$A,CSV!C:C,""),
_xlpm.MacVal,_xlfn.XLOOKUP($A559,Output_Mac!$A:$A,Output_Mac!D:D,""),
_xlpm.MyAuditVal,_xlfn.XLOOKUP($A559,My_Audit!$A:$A,My_Audit!C:C,""),
_xlfn.IFS(_xlpm.MyAuditVal&lt;&gt;"",UPPER(_xlpm.MyAuditVal),_xlpm.MacVal&lt;&gt;"",_xlpm.MacVal,_xlpm.CSVVal&lt;&gt;"",_xlpm.CSVVal
)),"")</f>
        <v/>
      </c>
      <c r="E559" s="46" t="str" cm="1">
        <f t="array" ref="E559">IFERROR(_xlfn.LET(
_xlpm.CSVVal,_xlfn.XLOOKUP($A559,CSV!$A:$A,CSV!E:E,""),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_xlpm.CSVVal,_xlfn.XLOOKUP($A559,CSV!$A:$A,CSV!G:G,""),
_xlpm.MacVal,_xlfn.XLOOKUP($A559,Output_Mac!$A:$A,Output_Mac!G:G,""),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_xlfn.XLOOKUP(A559,Output_Mac!A:A,Output_Mac!H:H,"")</f>
        <v/>
      </c>
      <c r="I559" s="45" t="str" cm="1">
        <f t="array" ref="I559">IFERROR(_xlfn.LET(
_xlpm.CSVVal,_xlfn.XLOOKUP($A559,CSV!$A:$A,CSV!H:H,""),
_xlpm.MacVal,_xlfn.XLOOKUP($A559,Output_Mac!$A:$A,Output_Mac!I:I,""),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_xlpm.CSVVal,_xlfn.XLOOKUP($A559,CSV!$A:$A,CSV!J:J,""),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46" t="str" cm="1">
        <f t="array" ref="K559">IFERROR(_xlfn.LET(
_xlpm.CSVVal,_xlfn.XLOOKUP($A559,CSV!$A:$A,CSV!N:N,""),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_xlpm.CSVVal,_xlfn.XLOOKUP($A559,CSV!$A:$A,CSV!P:P,""),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CSV!AE:AE,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_xlpm.CSVVal,_xlfn.XLOOKUP($A559,CSV!$A:$A,CSV!AG:AG,""),
_xlpm.MacVal,_xlfn.XLOOKUP($A559,Output_Mac!$A:$A,Output_Mac!T:T,""),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6" t="str">
        <f>IF(LEFT(N559,4)="Pass","Nist SP 800-88",My_Audit!R559)&amp;""</f>
        <v/>
      </c>
      <c r="R559" s="45"/>
      <c r="S559" s="45"/>
      <c r="T559" s="46" t="str">
        <f>_xlfn.XLOOKUP(E559,Models!I:I,Models!J:J,"")</f>
        <v/>
      </c>
      <c r="U559" s="45"/>
      <c r="V559" s="45"/>
      <c r="W559" s="38" t="str">
        <f>_xlfn.LET(
    _xlpm.MacVal, _xlfn.XLOOKUP($A559, Output_Mac!$A:$A, Output_Mac!AA:AA, ""),
    _xlpm.MyAuditVal, _xlfn.XLOOKUP($A559, My_Audit!$A:$A, My_Audit!L:L, ""),
    _xlfn.TEXTJOIN(", ", TRUE, _xlpm.MyAuditVal, _xlpm.MacVal)
)</f>
        <v/>
      </c>
    </row>
    <row r="560" spans="1:23">
      <c r="A560" s="45" t="str">
        <f>_xlfn.TEXTJOIN("",TRUE,Input!$B$2,ROW(My_Audit!A559))</f>
        <v>CC559</v>
      </c>
      <c r="B560" s="45" t="str">
        <f>_xlfn.TEXTJOIN("-",TRUE,"ITD",Input!$A$2,A560)</f>
        <v>ITD-XXX-CC559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 cm="1">
        <f t="array" ref="D560">IFERROR(_xlfn.LET(
_xlpm.CSVVal,_xlfn.XLOOKUP($A560,CSV!$A:$A,CSV!C:C,""),
_xlpm.MacVal,_xlfn.XLOOKUP($A560,Output_Mac!$A:$A,Output_Mac!D:D,""),
_xlpm.MyAuditVal,_xlfn.XLOOKUP($A560,My_Audit!$A:$A,My_Audit!C:C,""),
_xlfn.IFS(_xlpm.MyAuditVal&lt;&gt;"",UPPER(_xlpm.MyAuditVal),_xlpm.MacVal&lt;&gt;"",_xlpm.MacVal,_xlpm.CSVVal&lt;&gt;"",_xlpm.CSVVal
)),"")</f>
        <v/>
      </c>
      <c r="E560" s="46" t="str" cm="1">
        <f t="array" ref="E560">IFERROR(_xlfn.LET(
_xlpm.CSVVal,_xlfn.XLOOKUP($A560,CSV!$A:$A,CSV!E:E,""),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_xlpm.CSVVal,_xlfn.XLOOKUP($A560,CSV!$A:$A,CSV!G:G,""),
_xlpm.MacVal,_xlfn.XLOOKUP($A560,Output_Mac!$A:$A,Output_Mac!G:G,""),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_xlfn.XLOOKUP(A560,Output_Mac!A:A,Output_Mac!H:H,"")</f>
        <v/>
      </c>
      <c r="I560" s="45" t="str" cm="1">
        <f t="array" ref="I560">IFERROR(_xlfn.LET(
_xlpm.CSVVal,_xlfn.XLOOKUP($A560,CSV!$A:$A,CSV!H:H,""),
_xlpm.MacVal,_xlfn.XLOOKUP($A560,Output_Mac!$A:$A,Output_Mac!I:I,""),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_xlpm.CSVVal,_xlfn.XLOOKUP($A560,CSV!$A:$A,CSV!J:J,""),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46" t="str" cm="1">
        <f t="array" ref="K560">IFERROR(_xlfn.LET(
_xlpm.CSVVal,_xlfn.XLOOKUP($A560,CSV!$A:$A,CSV!N:N,""),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_xlpm.CSVVal,_xlfn.XLOOKUP($A560,CSV!$A:$A,CSV!P:P,""),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CSV!AE:AE,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_xlpm.CSVVal,_xlfn.XLOOKUP($A560,CSV!$A:$A,CSV!AG:AG,""),
_xlpm.MacVal,_xlfn.XLOOKUP($A560,Output_Mac!$A:$A,Output_Mac!T:T,""),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6" t="str">
        <f>IF(LEFT(N560,4)="Pass","Nist SP 800-88",My_Audit!R560)&amp;""</f>
        <v/>
      </c>
      <c r="R560" s="45"/>
      <c r="S560" s="45"/>
      <c r="T560" s="46" t="str">
        <f>_xlfn.XLOOKUP(E560,Models!I:I,Models!J:J,"")</f>
        <v/>
      </c>
      <c r="U560" s="45"/>
      <c r="V560" s="45"/>
      <c r="W560" s="38" t="str">
        <f>_xlfn.LET(
    _xlpm.MacVal, _xlfn.XLOOKUP($A560, Output_Mac!$A:$A, Output_Mac!AA:AA, ""),
    _xlpm.MyAuditVal, _xlfn.XLOOKUP($A560, My_Audit!$A:$A, My_Audit!L:L, ""),
    _xlfn.TEXTJOIN(", ", TRUE, _xlpm.MyAuditVal, _xlpm.MacVal)
)</f>
        <v/>
      </c>
    </row>
    <row r="561" spans="1:23">
      <c r="A561" s="45" t="str">
        <f>_xlfn.TEXTJOIN("",TRUE,Input!$B$2,ROW(My_Audit!A560))</f>
        <v>CC560</v>
      </c>
      <c r="B561" s="45" t="str">
        <f>_xlfn.TEXTJOIN("-",TRUE,"ITD",Input!$A$2,A561)</f>
        <v>ITD-XXX-CC560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 cm="1">
        <f t="array" ref="D561">IFERROR(_xlfn.LET(
_xlpm.CSVVal,_xlfn.XLOOKUP($A561,CSV!$A:$A,CSV!C:C,""),
_xlpm.MacVal,_xlfn.XLOOKUP($A561,Output_Mac!$A:$A,Output_Mac!D:D,""),
_xlpm.MyAuditVal,_xlfn.XLOOKUP($A561,My_Audit!$A:$A,My_Audit!C:C,""),
_xlfn.IFS(_xlpm.MyAuditVal&lt;&gt;"",UPPER(_xlpm.MyAuditVal),_xlpm.MacVal&lt;&gt;"",_xlpm.MacVal,_xlpm.CSVVal&lt;&gt;"",_xlpm.CSVVal
)),"")</f>
        <v/>
      </c>
      <c r="E561" s="46" t="str" cm="1">
        <f t="array" ref="E561">IFERROR(_xlfn.LET(
_xlpm.CSVVal,_xlfn.XLOOKUP($A561,CSV!$A:$A,CSV!E:E,""),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_xlpm.CSVVal,_xlfn.XLOOKUP($A561,CSV!$A:$A,CSV!G:G,""),
_xlpm.MacVal,_xlfn.XLOOKUP($A561,Output_Mac!$A:$A,Output_Mac!G:G,""),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_xlfn.XLOOKUP(A561,Output_Mac!A:A,Output_Mac!H:H,"")</f>
        <v/>
      </c>
      <c r="I561" s="45" t="str" cm="1">
        <f t="array" ref="I561">IFERROR(_xlfn.LET(
_xlpm.CSVVal,_xlfn.XLOOKUP($A561,CSV!$A:$A,CSV!H:H,""),
_xlpm.MacVal,_xlfn.XLOOKUP($A561,Output_Mac!$A:$A,Output_Mac!I:I,""),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_xlpm.CSVVal,_xlfn.XLOOKUP($A561,CSV!$A:$A,CSV!J:J,""),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46" t="str" cm="1">
        <f t="array" ref="K561">IFERROR(_xlfn.LET(
_xlpm.CSVVal,_xlfn.XLOOKUP($A561,CSV!$A:$A,CSV!N:N,""),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_xlpm.CSVVal,_xlfn.XLOOKUP($A561,CSV!$A:$A,CSV!P:P,""),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CSV!AE:AE,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_xlpm.CSVVal,_xlfn.XLOOKUP($A561,CSV!$A:$A,CSV!AG:AG,""),
_xlpm.MacVal,_xlfn.XLOOKUP($A561,Output_Mac!$A:$A,Output_Mac!T:T,""),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6" t="str">
        <f>IF(LEFT(N561,4)="Pass","Nist SP 800-88",My_Audit!R561)&amp;""</f>
        <v/>
      </c>
      <c r="R561" s="45"/>
      <c r="S561" s="45"/>
      <c r="T561" s="46" t="str">
        <f>_xlfn.XLOOKUP(E561,Models!I:I,Models!J:J,"")</f>
        <v/>
      </c>
      <c r="U561" s="45"/>
      <c r="V561" s="45"/>
      <c r="W561" s="38" t="str">
        <f>_xlfn.LET(
    _xlpm.MacVal, _xlfn.XLOOKUP($A561, Output_Mac!$A:$A, Output_Mac!AA:AA, ""),
    _xlpm.MyAuditVal, _xlfn.XLOOKUP($A561, My_Audit!$A:$A, My_Audit!L:L, ""),
    _xlfn.TEXTJOIN(", ", TRUE, _xlpm.MyAuditVal, _xlpm.MacVal)
)</f>
        <v/>
      </c>
    </row>
    <row r="562" spans="1:23">
      <c r="A562" s="45" t="str">
        <f>_xlfn.TEXTJOIN("",TRUE,Input!$B$2,ROW(My_Audit!A561))</f>
        <v>CC561</v>
      </c>
      <c r="B562" s="45" t="str">
        <f>_xlfn.TEXTJOIN("-",TRUE,"ITD",Input!$A$2,A562)</f>
        <v>ITD-XXX-CC561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 cm="1">
        <f t="array" ref="D562">IFERROR(_xlfn.LET(
_xlpm.CSVVal,_xlfn.XLOOKUP($A562,CSV!$A:$A,CSV!C:C,""),
_xlpm.MacVal,_xlfn.XLOOKUP($A562,Output_Mac!$A:$A,Output_Mac!D:D,""),
_xlpm.MyAuditVal,_xlfn.XLOOKUP($A562,My_Audit!$A:$A,My_Audit!C:C,""),
_xlfn.IFS(_xlpm.MyAuditVal&lt;&gt;"",UPPER(_xlpm.MyAuditVal),_xlpm.MacVal&lt;&gt;"",_xlpm.MacVal,_xlpm.CSVVal&lt;&gt;"",_xlpm.CSVVal
)),"")</f>
        <v/>
      </c>
      <c r="E562" s="46" t="str" cm="1">
        <f t="array" ref="E562">IFERROR(_xlfn.LET(
_xlpm.CSVVal,_xlfn.XLOOKUP($A562,CSV!$A:$A,CSV!E:E,""),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_xlpm.CSVVal,_xlfn.XLOOKUP($A562,CSV!$A:$A,CSV!G:G,""),
_xlpm.MacVal,_xlfn.XLOOKUP($A562,Output_Mac!$A:$A,Output_Mac!G:G,""),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_xlfn.XLOOKUP(A562,Output_Mac!A:A,Output_Mac!H:H,"")</f>
        <v/>
      </c>
      <c r="I562" s="45" t="str" cm="1">
        <f t="array" ref="I562">IFERROR(_xlfn.LET(
_xlpm.CSVVal,_xlfn.XLOOKUP($A562,CSV!$A:$A,CSV!H:H,""),
_xlpm.MacVal,_xlfn.XLOOKUP($A562,Output_Mac!$A:$A,Output_Mac!I:I,""),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_xlpm.CSVVal,_xlfn.XLOOKUP($A562,CSV!$A:$A,CSV!J:J,""),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46" t="str" cm="1">
        <f t="array" ref="K562">IFERROR(_xlfn.LET(
_xlpm.CSVVal,_xlfn.XLOOKUP($A562,CSV!$A:$A,CSV!N:N,""),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_xlpm.CSVVal,_xlfn.XLOOKUP($A562,CSV!$A:$A,CSV!P:P,""),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CSV!AE:AE,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_xlpm.CSVVal,_xlfn.XLOOKUP($A562,CSV!$A:$A,CSV!AG:AG,""),
_xlpm.MacVal,_xlfn.XLOOKUP($A562,Output_Mac!$A:$A,Output_Mac!T:T,""),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6" t="str">
        <f>IF(LEFT(N562,4)="Pass","Nist SP 800-88",My_Audit!R562)&amp;""</f>
        <v/>
      </c>
      <c r="R562" s="45"/>
      <c r="S562" s="45"/>
      <c r="T562" s="46" t="str">
        <f>_xlfn.XLOOKUP(E562,Models!I:I,Models!J:J,"")</f>
        <v/>
      </c>
      <c r="U562" s="45"/>
      <c r="V562" s="45"/>
      <c r="W562" s="38" t="str">
        <f>_xlfn.LET(
    _xlpm.MacVal, _xlfn.XLOOKUP($A562, Output_Mac!$A:$A, Output_Mac!AA:AA, ""),
    _xlpm.MyAuditVal, _xlfn.XLOOKUP($A562, My_Audit!$A:$A, My_Audit!L:L, ""),
    _xlfn.TEXTJOIN(", ", TRUE, _xlpm.MyAuditVal, _xlpm.MacVal)
)</f>
        <v/>
      </c>
    </row>
    <row r="563" spans="1:23">
      <c r="A563" s="45" t="str">
        <f>_xlfn.TEXTJOIN("",TRUE,Input!$B$2,ROW(My_Audit!A562))</f>
        <v>CC562</v>
      </c>
      <c r="B563" s="45" t="str">
        <f>_xlfn.TEXTJOIN("-",TRUE,"ITD",Input!$A$2,A563)</f>
        <v>ITD-XXX-CC562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 cm="1">
        <f t="array" ref="D563">IFERROR(_xlfn.LET(
_xlpm.CSVVal,_xlfn.XLOOKUP($A563,CSV!$A:$A,CSV!C:C,""),
_xlpm.MacVal,_xlfn.XLOOKUP($A563,Output_Mac!$A:$A,Output_Mac!D:D,""),
_xlpm.MyAuditVal,_xlfn.XLOOKUP($A563,My_Audit!$A:$A,My_Audit!C:C,""),
_xlfn.IFS(_xlpm.MyAuditVal&lt;&gt;"",UPPER(_xlpm.MyAuditVal),_xlpm.MacVal&lt;&gt;"",_xlpm.MacVal,_xlpm.CSVVal&lt;&gt;"",_xlpm.CSVVal
)),"")</f>
        <v/>
      </c>
      <c r="E563" s="46" t="str" cm="1">
        <f t="array" ref="E563">IFERROR(_xlfn.LET(
_xlpm.CSVVal,_xlfn.XLOOKUP($A563,CSV!$A:$A,CSV!E:E,""),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_xlpm.CSVVal,_xlfn.XLOOKUP($A563,CSV!$A:$A,CSV!G:G,""),
_xlpm.MacVal,_xlfn.XLOOKUP($A563,Output_Mac!$A:$A,Output_Mac!G:G,""),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_xlfn.XLOOKUP(A563,Output_Mac!A:A,Output_Mac!H:H,"")</f>
        <v/>
      </c>
      <c r="I563" s="45" t="str" cm="1">
        <f t="array" ref="I563">IFERROR(_xlfn.LET(
_xlpm.CSVVal,_xlfn.XLOOKUP($A563,CSV!$A:$A,CSV!H:H,""),
_xlpm.MacVal,_xlfn.XLOOKUP($A563,Output_Mac!$A:$A,Output_Mac!I:I,""),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_xlpm.CSVVal,_xlfn.XLOOKUP($A563,CSV!$A:$A,CSV!J:J,""),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46" t="str" cm="1">
        <f t="array" ref="K563">IFERROR(_xlfn.LET(
_xlpm.CSVVal,_xlfn.XLOOKUP($A563,CSV!$A:$A,CSV!N:N,""),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_xlpm.CSVVal,_xlfn.XLOOKUP($A563,CSV!$A:$A,CSV!P:P,""),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CSV!AE:AE,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_xlpm.CSVVal,_xlfn.XLOOKUP($A563,CSV!$A:$A,CSV!AG:AG,""),
_xlpm.MacVal,_xlfn.XLOOKUP($A563,Output_Mac!$A:$A,Output_Mac!T:T,""),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6" t="str">
        <f>IF(LEFT(N563,4)="Pass","Nist SP 800-88",My_Audit!R563)&amp;""</f>
        <v/>
      </c>
      <c r="R563" s="45"/>
      <c r="S563" s="45"/>
      <c r="T563" s="46" t="str">
        <f>_xlfn.XLOOKUP(E563,Models!I:I,Models!J:J,"")</f>
        <v/>
      </c>
      <c r="U563" s="45"/>
      <c r="V563" s="45"/>
      <c r="W563" s="38" t="str">
        <f>_xlfn.LET(
    _xlpm.MacVal, _xlfn.XLOOKUP($A563, Output_Mac!$A:$A, Output_Mac!AA:AA, ""),
    _xlpm.MyAuditVal, _xlfn.XLOOKUP($A563, My_Audit!$A:$A, My_Audit!L:L, ""),
    _xlfn.TEXTJOIN(", ", TRUE, _xlpm.MyAuditVal, _xlpm.MacVal)
)</f>
        <v/>
      </c>
    </row>
    <row r="564" spans="1:23">
      <c r="A564" s="45" t="str">
        <f>_xlfn.TEXTJOIN("",TRUE,Input!$B$2,ROW(My_Audit!A563))</f>
        <v>CC563</v>
      </c>
      <c r="B564" s="45" t="str">
        <f>_xlfn.TEXTJOIN("-",TRUE,"ITD",Input!$A$2,A564)</f>
        <v>ITD-XXX-CC563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 cm="1">
        <f t="array" ref="D564">IFERROR(_xlfn.LET(
_xlpm.CSVVal,_xlfn.XLOOKUP($A564,CSV!$A:$A,CSV!C:C,""),
_xlpm.MacVal,_xlfn.XLOOKUP($A564,Output_Mac!$A:$A,Output_Mac!D:D,""),
_xlpm.MyAuditVal,_xlfn.XLOOKUP($A564,My_Audit!$A:$A,My_Audit!C:C,""),
_xlfn.IFS(_xlpm.MyAuditVal&lt;&gt;"",UPPER(_xlpm.MyAuditVal),_xlpm.MacVal&lt;&gt;"",_xlpm.MacVal,_xlpm.CSVVal&lt;&gt;"",_xlpm.CSVVal
)),"")</f>
        <v/>
      </c>
      <c r="E564" s="46" t="str" cm="1">
        <f t="array" ref="E564">IFERROR(_xlfn.LET(
_xlpm.CSVVal,_xlfn.XLOOKUP($A564,CSV!$A:$A,CSV!E:E,""),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_xlpm.CSVVal,_xlfn.XLOOKUP($A564,CSV!$A:$A,CSV!G:G,""),
_xlpm.MacVal,_xlfn.XLOOKUP($A564,Output_Mac!$A:$A,Output_Mac!G:G,""),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_xlfn.XLOOKUP(A564,Output_Mac!A:A,Output_Mac!H:H,"")</f>
        <v/>
      </c>
      <c r="I564" s="45" t="str" cm="1">
        <f t="array" ref="I564">IFERROR(_xlfn.LET(
_xlpm.CSVVal,_xlfn.XLOOKUP($A564,CSV!$A:$A,CSV!H:H,""),
_xlpm.MacVal,_xlfn.XLOOKUP($A564,Output_Mac!$A:$A,Output_Mac!I:I,""),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_xlpm.CSVVal,_xlfn.XLOOKUP($A564,CSV!$A:$A,CSV!J:J,""),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46" t="str" cm="1">
        <f t="array" ref="K564">IFERROR(_xlfn.LET(
_xlpm.CSVVal,_xlfn.XLOOKUP($A564,CSV!$A:$A,CSV!N:N,""),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_xlpm.CSVVal,_xlfn.XLOOKUP($A564,CSV!$A:$A,CSV!P:P,""),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CSV!AE:AE,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_xlpm.CSVVal,_xlfn.XLOOKUP($A564,CSV!$A:$A,CSV!AG:AG,""),
_xlpm.MacVal,_xlfn.XLOOKUP($A564,Output_Mac!$A:$A,Output_Mac!T:T,""),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6" t="str">
        <f>IF(LEFT(N564,4)="Pass","Nist SP 800-88",My_Audit!R564)&amp;""</f>
        <v/>
      </c>
      <c r="R564" s="45"/>
      <c r="S564" s="45"/>
      <c r="T564" s="46" t="str">
        <f>_xlfn.XLOOKUP(E564,Models!I:I,Models!J:J,"")</f>
        <v/>
      </c>
      <c r="U564" s="45"/>
      <c r="V564" s="45"/>
      <c r="W564" s="38" t="str">
        <f>_xlfn.LET(
    _xlpm.MacVal, _xlfn.XLOOKUP($A564, Output_Mac!$A:$A, Output_Mac!AA:AA, ""),
    _xlpm.MyAuditVal, _xlfn.XLOOKUP($A564, My_Audit!$A:$A, My_Audit!L:L, ""),
    _xlfn.TEXTJOIN(", ", TRUE, _xlpm.MyAuditVal, _xlpm.MacVal)
)</f>
        <v/>
      </c>
    </row>
    <row r="565" spans="1:23">
      <c r="A565" s="45" t="str">
        <f>_xlfn.TEXTJOIN("",TRUE,Input!$B$2,ROW(My_Audit!A564))</f>
        <v>CC564</v>
      </c>
      <c r="B565" s="45" t="str">
        <f>_xlfn.TEXTJOIN("-",TRUE,"ITD",Input!$A$2,A565)</f>
        <v>ITD-XXX-CC564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 cm="1">
        <f t="array" ref="D565">IFERROR(_xlfn.LET(
_xlpm.CSVVal,_xlfn.XLOOKUP($A565,CSV!$A:$A,CSV!C:C,""),
_xlpm.MacVal,_xlfn.XLOOKUP($A565,Output_Mac!$A:$A,Output_Mac!D:D,""),
_xlpm.MyAuditVal,_xlfn.XLOOKUP($A565,My_Audit!$A:$A,My_Audit!C:C,""),
_xlfn.IFS(_xlpm.MyAuditVal&lt;&gt;"",UPPER(_xlpm.MyAuditVal),_xlpm.MacVal&lt;&gt;"",_xlpm.MacVal,_xlpm.CSVVal&lt;&gt;"",_xlpm.CSVVal
)),"")</f>
        <v/>
      </c>
      <c r="E565" s="46" t="str" cm="1">
        <f t="array" ref="E565">IFERROR(_xlfn.LET(
_xlpm.CSVVal,_xlfn.XLOOKUP($A565,CSV!$A:$A,CSV!E:E,""),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_xlpm.CSVVal,_xlfn.XLOOKUP($A565,CSV!$A:$A,CSV!G:G,""),
_xlpm.MacVal,_xlfn.XLOOKUP($A565,Output_Mac!$A:$A,Output_Mac!G:G,""),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_xlfn.XLOOKUP(A565,Output_Mac!A:A,Output_Mac!H:H,"")</f>
        <v/>
      </c>
      <c r="I565" s="45" t="str" cm="1">
        <f t="array" ref="I565">IFERROR(_xlfn.LET(
_xlpm.CSVVal,_xlfn.XLOOKUP($A565,CSV!$A:$A,CSV!H:H,""),
_xlpm.MacVal,_xlfn.XLOOKUP($A565,Output_Mac!$A:$A,Output_Mac!I:I,""),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_xlpm.CSVVal,_xlfn.XLOOKUP($A565,CSV!$A:$A,CSV!J:J,""),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46" t="str" cm="1">
        <f t="array" ref="K565">IFERROR(_xlfn.LET(
_xlpm.CSVVal,_xlfn.XLOOKUP($A565,CSV!$A:$A,CSV!N:N,""),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_xlpm.CSVVal,_xlfn.XLOOKUP($A565,CSV!$A:$A,CSV!P:P,""),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CSV!AE:AE,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_xlpm.CSVVal,_xlfn.XLOOKUP($A565,CSV!$A:$A,CSV!AG:AG,""),
_xlpm.MacVal,_xlfn.XLOOKUP($A565,Output_Mac!$A:$A,Output_Mac!T:T,""),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6" t="str">
        <f>IF(LEFT(N565,4)="Pass","Nist SP 800-88",My_Audit!R565)&amp;""</f>
        <v/>
      </c>
      <c r="R565" s="45"/>
      <c r="S565" s="45"/>
      <c r="T565" s="46" t="str">
        <f>_xlfn.XLOOKUP(E565,Models!I:I,Models!J:J,"")</f>
        <v/>
      </c>
      <c r="U565" s="45"/>
      <c r="V565" s="45"/>
      <c r="W565" s="38" t="str">
        <f>_xlfn.LET(
    _xlpm.MacVal, _xlfn.XLOOKUP($A565, Output_Mac!$A:$A, Output_Mac!AA:AA, ""),
    _xlpm.MyAuditVal, _xlfn.XLOOKUP($A565, My_Audit!$A:$A, My_Audit!L:L, ""),
    _xlfn.TEXTJOIN(", ", TRUE, _xlpm.MyAuditVal, _xlpm.MacVal)
)</f>
        <v/>
      </c>
    </row>
    <row r="566" spans="1:23">
      <c r="A566" s="45" t="str">
        <f>_xlfn.TEXTJOIN("",TRUE,Input!$B$2,ROW(My_Audit!A565))</f>
        <v>CC565</v>
      </c>
      <c r="B566" s="45" t="str">
        <f>_xlfn.TEXTJOIN("-",TRUE,"ITD",Input!$A$2,A566)</f>
        <v>ITD-XXX-CC565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 cm="1">
        <f t="array" ref="D566">IFERROR(_xlfn.LET(
_xlpm.CSVVal,_xlfn.XLOOKUP($A566,CSV!$A:$A,CSV!C:C,""),
_xlpm.MacVal,_xlfn.XLOOKUP($A566,Output_Mac!$A:$A,Output_Mac!D:D,""),
_xlpm.MyAuditVal,_xlfn.XLOOKUP($A566,My_Audit!$A:$A,My_Audit!C:C,""),
_xlfn.IFS(_xlpm.MyAuditVal&lt;&gt;"",UPPER(_xlpm.MyAuditVal),_xlpm.MacVal&lt;&gt;"",_xlpm.MacVal,_xlpm.CSVVal&lt;&gt;"",_xlpm.CSVVal
)),"")</f>
        <v/>
      </c>
      <c r="E566" s="46" t="str" cm="1">
        <f t="array" ref="E566">IFERROR(_xlfn.LET(
_xlpm.CSVVal,_xlfn.XLOOKUP($A566,CSV!$A:$A,CSV!E:E,""),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_xlpm.CSVVal,_xlfn.XLOOKUP($A566,CSV!$A:$A,CSV!G:G,""),
_xlpm.MacVal,_xlfn.XLOOKUP($A566,Output_Mac!$A:$A,Output_Mac!G:G,""),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_xlfn.XLOOKUP(A566,Output_Mac!A:A,Output_Mac!H:H,"")</f>
        <v/>
      </c>
      <c r="I566" s="45" t="str" cm="1">
        <f t="array" ref="I566">IFERROR(_xlfn.LET(
_xlpm.CSVVal,_xlfn.XLOOKUP($A566,CSV!$A:$A,CSV!H:H,""),
_xlpm.MacVal,_xlfn.XLOOKUP($A566,Output_Mac!$A:$A,Output_Mac!I:I,""),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_xlpm.CSVVal,_xlfn.XLOOKUP($A566,CSV!$A:$A,CSV!J:J,""),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46" t="str" cm="1">
        <f t="array" ref="K566">IFERROR(_xlfn.LET(
_xlpm.CSVVal,_xlfn.XLOOKUP($A566,CSV!$A:$A,CSV!N:N,""),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_xlpm.CSVVal,_xlfn.XLOOKUP($A566,CSV!$A:$A,CSV!P:P,""),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CSV!AE:AE,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_xlpm.CSVVal,_xlfn.XLOOKUP($A566,CSV!$A:$A,CSV!AG:AG,""),
_xlpm.MacVal,_xlfn.XLOOKUP($A566,Output_Mac!$A:$A,Output_Mac!T:T,""),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6" t="str">
        <f>IF(LEFT(N566,4)="Pass","Nist SP 800-88",My_Audit!R566)&amp;""</f>
        <v/>
      </c>
      <c r="R566" s="45"/>
      <c r="S566" s="45"/>
      <c r="T566" s="46" t="str">
        <f>_xlfn.XLOOKUP(E566,Models!I:I,Models!J:J,"")</f>
        <v/>
      </c>
      <c r="U566" s="45"/>
      <c r="V566" s="45"/>
      <c r="W566" s="38" t="str">
        <f>_xlfn.LET(
    _xlpm.MacVal, _xlfn.XLOOKUP($A566, Output_Mac!$A:$A, Output_Mac!AA:AA, ""),
    _xlpm.MyAuditVal, _xlfn.XLOOKUP($A566, My_Audit!$A:$A, My_Audit!L:L, ""),
    _xlfn.TEXTJOIN(", ", TRUE, _xlpm.MyAuditVal, _xlpm.MacVal)
)</f>
        <v/>
      </c>
    </row>
    <row r="567" spans="1:23">
      <c r="A567" s="45" t="str">
        <f>_xlfn.TEXTJOIN("",TRUE,Input!$B$2,ROW(My_Audit!A566))</f>
        <v>CC566</v>
      </c>
      <c r="B567" s="45" t="str">
        <f>_xlfn.TEXTJOIN("-",TRUE,"ITD",Input!$A$2,A567)</f>
        <v>ITD-XXX-CC566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 cm="1">
        <f t="array" ref="D567">IFERROR(_xlfn.LET(
_xlpm.CSVVal,_xlfn.XLOOKUP($A567,CSV!$A:$A,CSV!C:C,""),
_xlpm.MacVal,_xlfn.XLOOKUP($A567,Output_Mac!$A:$A,Output_Mac!D:D,""),
_xlpm.MyAuditVal,_xlfn.XLOOKUP($A567,My_Audit!$A:$A,My_Audit!C:C,""),
_xlfn.IFS(_xlpm.MyAuditVal&lt;&gt;"",UPPER(_xlpm.MyAuditVal),_xlpm.MacVal&lt;&gt;"",_xlpm.MacVal,_xlpm.CSVVal&lt;&gt;"",_xlpm.CSVVal
)),"")</f>
        <v/>
      </c>
      <c r="E567" s="46" t="str" cm="1">
        <f t="array" ref="E567">IFERROR(_xlfn.LET(
_xlpm.CSVVal,_xlfn.XLOOKUP($A567,CSV!$A:$A,CSV!E:E,""),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_xlpm.CSVVal,_xlfn.XLOOKUP($A567,CSV!$A:$A,CSV!G:G,""),
_xlpm.MacVal,_xlfn.XLOOKUP($A567,Output_Mac!$A:$A,Output_Mac!G:G,""),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_xlfn.XLOOKUP(A567,Output_Mac!A:A,Output_Mac!H:H,"")</f>
        <v/>
      </c>
      <c r="I567" s="45" t="str" cm="1">
        <f t="array" ref="I567">IFERROR(_xlfn.LET(
_xlpm.CSVVal,_xlfn.XLOOKUP($A567,CSV!$A:$A,CSV!H:H,""),
_xlpm.MacVal,_xlfn.XLOOKUP($A567,Output_Mac!$A:$A,Output_Mac!I:I,""),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_xlpm.CSVVal,_xlfn.XLOOKUP($A567,CSV!$A:$A,CSV!J:J,""),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46" t="str" cm="1">
        <f t="array" ref="K567">IFERROR(_xlfn.LET(
_xlpm.CSVVal,_xlfn.XLOOKUP($A567,CSV!$A:$A,CSV!N:N,""),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_xlpm.CSVVal,_xlfn.XLOOKUP($A567,CSV!$A:$A,CSV!P:P,""),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CSV!AE:AE,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_xlpm.CSVVal,_xlfn.XLOOKUP($A567,CSV!$A:$A,CSV!AG:AG,""),
_xlpm.MacVal,_xlfn.XLOOKUP($A567,Output_Mac!$A:$A,Output_Mac!T:T,""),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6" t="str">
        <f>IF(LEFT(N567,4)="Pass","Nist SP 800-88",My_Audit!R567)&amp;""</f>
        <v/>
      </c>
      <c r="R567" s="45"/>
      <c r="S567" s="45"/>
      <c r="T567" s="46" t="str">
        <f>_xlfn.XLOOKUP(E567,Models!I:I,Models!J:J,"")</f>
        <v/>
      </c>
      <c r="U567" s="45"/>
      <c r="V567" s="45"/>
      <c r="W567" s="38" t="str">
        <f>_xlfn.LET(
    _xlpm.MacVal, _xlfn.XLOOKUP($A567, Output_Mac!$A:$A, Output_Mac!AA:AA, ""),
    _xlpm.MyAuditVal, _xlfn.XLOOKUP($A567, My_Audit!$A:$A, My_Audit!L:L, ""),
    _xlfn.TEXTJOIN(", ", TRUE, _xlpm.MyAuditVal, _xlpm.MacVal)
)</f>
        <v/>
      </c>
    </row>
    <row r="568" spans="1:23">
      <c r="A568" s="45" t="str">
        <f>_xlfn.TEXTJOIN("",TRUE,Input!$B$2,ROW(My_Audit!A567))</f>
        <v>CC567</v>
      </c>
      <c r="B568" s="45" t="str">
        <f>_xlfn.TEXTJOIN("-",TRUE,"ITD",Input!$A$2,A568)</f>
        <v>ITD-XXX-CC567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 cm="1">
        <f t="array" ref="D568">IFERROR(_xlfn.LET(
_xlpm.CSVVal,_xlfn.XLOOKUP($A568,CSV!$A:$A,CSV!C:C,""),
_xlpm.MacVal,_xlfn.XLOOKUP($A568,Output_Mac!$A:$A,Output_Mac!D:D,""),
_xlpm.MyAuditVal,_xlfn.XLOOKUP($A568,My_Audit!$A:$A,My_Audit!C:C,""),
_xlfn.IFS(_xlpm.MyAuditVal&lt;&gt;"",UPPER(_xlpm.MyAuditVal),_xlpm.MacVal&lt;&gt;"",_xlpm.MacVal,_xlpm.CSVVal&lt;&gt;"",_xlpm.CSVVal
)),"")</f>
        <v/>
      </c>
      <c r="E568" s="46" t="str" cm="1">
        <f t="array" ref="E568">IFERROR(_xlfn.LET(
_xlpm.CSVVal,_xlfn.XLOOKUP($A568,CSV!$A:$A,CSV!E:E,""),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_xlpm.CSVVal,_xlfn.XLOOKUP($A568,CSV!$A:$A,CSV!G:G,""),
_xlpm.MacVal,_xlfn.XLOOKUP($A568,Output_Mac!$A:$A,Output_Mac!G:G,""),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_xlfn.XLOOKUP(A568,Output_Mac!A:A,Output_Mac!H:H,"")</f>
        <v/>
      </c>
      <c r="I568" s="45" t="str" cm="1">
        <f t="array" ref="I568">IFERROR(_xlfn.LET(
_xlpm.CSVVal,_xlfn.XLOOKUP($A568,CSV!$A:$A,CSV!H:H,""),
_xlpm.MacVal,_xlfn.XLOOKUP($A568,Output_Mac!$A:$A,Output_Mac!I:I,""),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_xlpm.CSVVal,_xlfn.XLOOKUP($A568,CSV!$A:$A,CSV!J:J,""),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46" t="str" cm="1">
        <f t="array" ref="K568">IFERROR(_xlfn.LET(
_xlpm.CSVVal,_xlfn.XLOOKUP($A568,CSV!$A:$A,CSV!N:N,""),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_xlpm.CSVVal,_xlfn.XLOOKUP($A568,CSV!$A:$A,CSV!P:P,""),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CSV!AE:AE,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_xlpm.CSVVal,_xlfn.XLOOKUP($A568,CSV!$A:$A,CSV!AG:AG,""),
_xlpm.MacVal,_xlfn.XLOOKUP($A568,Output_Mac!$A:$A,Output_Mac!T:T,""),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6" t="str">
        <f>IF(LEFT(N568,4)="Pass","Nist SP 800-88",My_Audit!R568)&amp;""</f>
        <v/>
      </c>
      <c r="R568" s="45"/>
      <c r="S568" s="45"/>
      <c r="T568" s="46" t="str">
        <f>_xlfn.XLOOKUP(E568,Models!I:I,Models!J:J,"")</f>
        <v/>
      </c>
      <c r="U568" s="45"/>
      <c r="V568" s="45"/>
      <c r="W568" s="38" t="str">
        <f>_xlfn.LET(
    _xlpm.MacVal, _xlfn.XLOOKUP($A568, Output_Mac!$A:$A, Output_Mac!AA:AA, ""),
    _xlpm.MyAuditVal, _xlfn.XLOOKUP($A568, My_Audit!$A:$A, My_Audit!L:L, ""),
    _xlfn.TEXTJOIN(", ", TRUE, _xlpm.MyAuditVal, _xlpm.MacVal)
)</f>
        <v/>
      </c>
    </row>
    <row r="569" spans="1:23">
      <c r="A569" s="45" t="str">
        <f>_xlfn.TEXTJOIN("",TRUE,Input!$B$2,ROW(My_Audit!A568))</f>
        <v>CC568</v>
      </c>
      <c r="B569" s="45" t="str">
        <f>_xlfn.TEXTJOIN("-",TRUE,"ITD",Input!$A$2,A569)</f>
        <v>ITD-XXX-CC568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 cm="1">
        <f t="array" ref="D569">IFERROR(_xlfn.LET(
_xlpm.CSVVal,_xlfn.XLOOKUP($A569,CSV!$A:$A,CSV!C:C,""),
_xlpm.MacVal,_xlfn.XLOOKUP($A569,Output_Mac!$A:$A,Output_Mac!D:D,""),
_xlpm.MyAuditVal,_xlfn.XLOOKUP($A569,My_Audit!$A:$A,My_Audit!C:C,""),
_xlfn.IFS(_xlpm.MyAuditVal&lt;&gt;"",UPPER(_xlpm.MyAuditVal),_xlpm.MacVal&lt;&gt;"",_xlpm.MacVal,_xlpm.CSVVal&lt;&gt;"",_xlpm.CSVVal
)),"")</f>
        <v/>
      </c>
      <c r="E569" s="46" t="str" cm="1">
        <f t="array" ref="E569">IFERROR(_xlfn.LET(
_xlpm.CSVVal,_xlfn.XLOOKUP($A569,CSV!$A:$A,CSV!E:E,""),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_xlpm.CSVVal,_xlfn.XLOOKUP($A569,CSV!$A:$A,CSV!G:G,""),
_xlpm.MacVal,_xlfn.XLOOKUP($A569,Output_Mac!$A:$A,Output_Mac!G:G,""),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_xlfn.XLOOKUP(A569,Output_Mac!A:A,Output_Mac!H:H,"")</f>
        <v/>
      </c>
      <c r="I569" s="45" t="str" cm="1">
        <f t="array" ref="I569">IFERROR(_xlfn.LET(
_xlpm.CSVVal,_xlfn.XLOOKUP($A569,CSV!$A:$A,CSV!H:H,""),
_xlpm.MacVal,_xlfn.XLOOKUP($A569,Output_Mac!$A:$A,Output_Mac!I:I,""),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_xlpm.CSVVal,_xlfn.XLOOKUP($A569,CSV!$A:$A,CSV!J:J,""),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46" t="str" cm="1">
        <f t="array" ref="K569">IFERROR(_xlfn.LET(
_xlpm.CSVVal,_xlfn.XLOOKUP($A569,CSV!$A:$A,CSV!N:N,""),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_xlpm.CSVVal,_xlfn.XLOOKUP($A569,CSV!$A:$A,CSV!P:P,""),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CSV!AE:AE,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_xlpm.CSVVal,_xlfn.XLOOKUP($A569,CSV!$A:$A,CSV!AG:AG,""),
_xlpm.MacVal,_xlfn.XLOOKUP($A569,Output_Mac!$A:$A,Output_Mac!T:T,""),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6" t="str">
        <f>IF(LEFT(N569,4)="Pass","Nist SP 800-88",My_Audit!R569)&amp;""</f>
        <v/>
      </c>
      <c r="R569" s="45"/>
      <c r="S569" s="45"/>
      <c r="T569" s="46" t="str">
        <f>_xlfn.XLOOKUP(E569,Models!I:I,Models!J:J,"")</f>
        <v/>
      </c>
      <c r="U569" s="45"/>
      <c r="V569" s="45"/>
      <c r="W569" s="38" t="str">
        <f>_xlfn.LET(
    _xlpm.MacVal, _xlfn.XLOOKUP($A569, Output_Mac!$A:$A, Output_Mac!AA:AA, ""),
    _xlpm.MyAuditVal, _xlfn.XLOOKUP($A569, My_Audit!$A:$A, My_Audit!L:L, ""),
    _xlfn.TEXTJOIN(", ", TRUE, _xlpm.MyAuditVal, _xlpm.MacVal)
)</f>
        <v/>
      </c>
    </row>
    <row r="570" spans="1:23">
      <c r="A570" s="45" t="str">
        <f>_xlfn.TEXTJOIN("",TRUE,Input!$B$2,ROW(My_Audit!A569))</f>
        <v>CC569</v>
      </c>
      <c r="B570" s="45" t="str">
        <f>_xlfn.TEXTJOIN("-",TRUE,"ITD",Input!$A$2,A570)</f>
        <v>ITD-XXX-CC569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 cm="1">
        <f t="array" ref="D570">IFERROR(_xlfn.LET(
_xlpm.CSVVal,_xlfn.XLOOKUP($A570,CSV!$A:$A,CSV!C:C,""),
_xlpm.MacVal,_xlfn.XLOOKUP($A570,Output_Mac!$A:$A,Output_Mac!D:D,""),
_xlpm.MyAuditVal,_xlfn.XLOOKUP($A570,My_Audit!$A:$A,My_Audit!C:C,""),
_xlfn.IFS(_xlpm.MyAuditVal&lt;&gt;"",UPPER(_xlpm.MyAuditVal),_xlpm.MacVal&lt;&gt;"",_xlpm.MacVal,_xlpm.CSVVal&lt;&gt;"",_xlpm.CSVVal
)),"")</f>
        <v/>
      </c>
      <c r="E570" s="46" t="str" cm="1">
        <f t="array" ref="E570">IFERROR(_xlfn.LET(
_xlpm.CSVVal,_xlfn.XLOOKUP($A570,CSV!$A:$A,CSV!E:E,""),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_xlpm.CSVVal,_xlfn.XLOOKUP($A570,CSV!$A:$A,CSV!G:G,""),
_xlpm.MacVal,_xlfn.XLOOKUP($A570,Output_Mac!$A:$A,Output_Mac!G:G,""),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_xlfn.XLOOKUP(A570,Output_Mac!A:A,Output_Mac!H:H,"")</f>
        <v/>
      </c>
      <c r="I570" s="45" t="str" cm="1">
        <f t="array" ref="I570">IFERROR(_xlfn.LET(
_xlpm.CSVVal,_xlfn.XLOOKUP($A570,CSV!$A:$A,CSV!H:H,""),
_xlpm.MacVal,_xlfn.XLOOKUP($A570,Output_Mac!$A:$A,Output_Mac!I:I,""),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_xlpm.CSVVal,_xlfn.XLOOKUP($A570,CSV!$A:$A,CSV!J:J,""),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46" t="str" cm="1">
        <f t="array" ref="K570">IFERROR(_xlfn.LET(
_xlpm.CSVVal,_xlfn.XLOOKUP($A570,CSV!$A:$A,CSV!N:N,""),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_xlpm.CSVVal,_xlfn.XLOOKUP($A570,CSV!$A:$A,CSV!P:P,""),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CSV!AE:AE,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_xlpm.CSVVal,_xlfn.XLOOKUP($A570,CSV!$A:$A,CSV!AG:AG,""),
_xlpm.MacVal,_xlfn.XLOOKUP($A570,Output_Mac!$A:$A,Output_Mac!T:T,""),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6" t="str">
        <f>IF(LEFT(N570,4)="Pass","Nist SP 800-88",My_Audit!R570)&amp;""</f>
        <v/>
      </c>
      <c r="R570" s="45"/>
      <c r="S570" s="45"/>
      <c r="T570" s="46" t="str">
        <f>_xlfn.XLOOKUP(E570,Models!I:I,Models!J:J,"")</f>
        <v/>
      </c>
      <c r="U570" s="45"/>
      <c r="V570" s="45"/>
      <c r="W570" s="38" t="str">
        <f>_xlfn.LET(
    _xlpm.MacVal, _xlfn.XLOOKUP($A570, Output_Mac!$A:$A, Output_Mac!AA:AA, ""),
    _xlpm.MyAuditVal, _xlfn.XLOOKUP($A570, My_Audit!$A:$A, My_Audit!L:L, ""),
    _xlfn.TEXTJOIN(", ", TRUE, _xlpm.MyAuditVal, _xlpm.MacVal)
)</f>
        <v/>
      </c>
    </row>
    <row r="571" spans="1:23">
      <c r="A571" s="45" t="str">
        <f>_xlfn.TEXTJOIN("",TRUE,Input!$B$2,ROW(My_Audit!A570))</f>
        <v>CC570</v>
      </c>
      <c r="B571" s="45" t="str">
        <f>_xlfn.TEXTJOIN("-",TRUE,"ITD",Input!$A$2,A571)</f>
        <v>ITD-XXX-CC570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 cm="1">
        <f t="array" ref="D571">IFERROR(_xlfn.LET(
_xlpm.CSVVal,_xlfn.XLOOKUP($A571,CSV!$A:$A,CSV!C:C,""),
_xlpm.MacVal,_xlfn.XLOOKUP($A571,Output_Mac!$A:$A,Output_Mac!D:D,""),
_xlpm.MyAuditVal,_xlfn.XLOOKUP($A571,My_Audit!$A:$A,My_Audit!C:C,""),
_xlfn.IFS(_xlpm.MyAuditVal&lt;&gt;"",UPPER(_xlpm.MyAuditVal),_xlpm.MacVal&lt;&gt;"",_xlpm.MacVal,_xlpm.CSVVal&lt;&gt;"",_xlpm.CSVVal
)),"")</f>
        <v/>
      </c>
      <c r="E571" s="46" t="str" cm="1">
        <f t="array" ref="E571">IFERROR(_xlfn.LET(
_xlpm.CSVVal,_xlfn.XLOOKUP($A571,CSV!$A:$A,CSV!E:E,""),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_xlpm.CSVVal,_xlfn.XLOOKUP($A571,CSV!$A:$A,CSV!G:G,""),
_xlpm.MacVal,_xlfn.XLOOKUP($A571,Output_Mac!$A:$A,Output_Mac!G:G,""),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_xlfn.XLOOKUP(A571,Output_Mac!A:A,Output_Mac!H:H,"")</f>
        <v/>
      </c>
      <c r="I571" s="45" t="str" cm="1">
        <f t="array" ref="I571">IFERROR(_xlfn.LET(
_xlpm.CSVVal,_xlfn.XLOOKUP($A571,CSV!$A:$A,CSV!H:H,""),
_xlpm.MacVal,_xlfn.XLOOKUP($A571,Output_Mac!$A:$A,Output_Mac!I:I,""),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_xlpm.CSVVal,_xlfn.XLOOKUP($A571,CSV!$A:$A,CSV!J:J,""),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46" t="str" cm="1">
        <f t="array" ref="K571">IFERROR(_xlfn.LET(
_xlpm.CSVVal,_xlfn.XLOOKUP($A571,CSV!$A:$A,CSV!N:N,""),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_xlpm.CSVVal,_xlfn.XLOOKUP($A571,CSV!$A:$A,CSV!P:P,""),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CSV!AE:AE,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_xlpm.CSVVal,_xlfn.XLOOKUP($A571,CSV!$A:$A,CSV!AG:AG,""),
_xlpm.MacVal,_xlfn.XLOOKUP($A571,Output_Mac!$A:$A,Output_Mac!T:T,""),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6" t="str">
        <f>IF(LEFT(N571,4)="Pass","Nist SP 800-88",My_Audit!R571)&amp;""</f>
        <v/>
      </c>
      <c r="R571" s="45"/>
      <c r="S571" s="45"/>
      <c r="T571" s="46" t="str">
        <f>_xlfn.XLOOKUP(E571,Models!I:I,Models!J:J,"")</f>
        <v/>
      </c>
      <c r="U571" s="45"/>
      <c r="V571" s="45"/>
      <c r="W571" s="38" t="str">
        <f>_xlfn.LET(
    _xlpm.MacVal, _xlfn.XLOOKUP($A571, Output_Mac!$A:$A, Output_Mac!AA:AA, ""),
    _xlpm.MyAuditVal, _xlfn.XLOOKUP($A571, My_Audit!$A:$A, My_Audit!L:L, ""),
    _xlfn.TEXTJOIN(", ", TRUE, _xlpm.MyAuditVal, _xlpm.MacVal)
)</f>
        <v/>
      </c>
    </row>
    <row r="572" spans="1:23">
      <c r="A572" s="45" t="str">
        <f>_xlfn.TEXTJOIN("",TRUE,Input!$B$2,ROW(My_Audit!A571))</f>
        <v>CC571</v>
      </c>
      <c r="B572" s="45" t="str">
        <f>_xlfn.TEXTJOIN("-",TRUE,"ITD",Input!$A$2,A572)</f>
        <v>ITD-XXX-CC571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 cm="1">
        <f t="array" ref="D572">IFERROR(_xlfn.LET(
_xlpm.CSVVal,_xlfn.XLOOKUP($A572,CSV!$A:$A,CSV!C:C,""),
_xlpm.MacVal,_xlfn.XLOOKUP($A572,Output_Mac!$A:$A,Output_Mac!D:D,""),
_xlpm.MyAuditVal,_xlfn.XLOOKUP($A572,My_Audit!$A:$A,My_Audit!C:C,""),
_xlfn.IFS(_xlpm.MyAuditVal&lt;&gt;"",UPPER(_xlpm.MyAuditVal),_xlpm.MacVal&lt;&gt;"",_xlpm.MacVal,_xlpm.CSVVal&lt;&gt;"",_xlpm.CSVVal
)),"")</f>
        <v/>
      </c>
      <c r="E572" s="46" t="str" cm="1">
        <f t="array" ref="E572">IFERROR(_xlfn.LET(
_xlpm.CSVVal,_xlfn.XLOOKUP($A572,CSV!$A:$A,CSV!E:E,""),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_xlpm.CSVVal,_xlfn.XLOOKUP($A572,CSV!$A:$A,CSV!G:G,""),
_xlpm.MacVal,_xlfn.XLOOKUP($A572,Output_Mac!$A:$A,Output_Mac!G:G,""),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_xlfn.XLOOKUP(A572,Output_Mac!A:A,Output_Mac!H:H,"")</f>
        <v/>
      </c>
      <c r="I572" s="45" t="str" cm="1">
        <f t="array" ref="I572">IFERROR(_xlfn.LET(
_xlpm.CSVVal,_xlfn.XLOOKUP($A572,CSV!$A:$A,CSV!H:H,""),
_xlpm.MacVal,_xlfn.XLOOKUP($A572,Output_Mac!$A:$A,Output_Mac!I:I,""),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_xlpm.CSVVal,_xlfn.XLOOKUP($A572,CSV!$A:$A,CSV!J:J,""),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46" t="str" cm="1">
        <f t="array" ref="K572">IFERROR(_xlfn.LET(
_xlpm.CSVVal,_xlfn.XLOOKUP($A572,CSV!$A:$A,CSV!N:N,""),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_xlpm.CSVVal,_xlfn.XLOOKUP($A572,CSV!$A:$A,CSV!P:P,""),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CSV!AE:AE,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_xlpm.CSVVal,_xlfn.XLOOKUP($A572,CSV!$A:$A,CSV!AG:AG,""),
_xlpm.MacVal,_xlfn.XLOOKUP($A572,Output_Mac!$A:$A,Output_Mac!T:T,""),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6" t="str">
        <f>IF(LEFT(N572,4)="Pass","Nist SP 800-88",My_Audit!R572)&amp;""</f>
        <v/>
      </c>
      <c r="R572" s="45"/>
      <c r="S572" s="45"/>
      <c r="T572" s="46" t="str">
        <f>_xlfn.XLOOKUP(E572,Models!I:I,Models!J:J,"")</f>
        <v/>
      </c>
      <c r="U572" s="45"/>
      <c r="V572" s="45"/>
      <c r="W572" s="38" t="str">
        <f>_xlfn.LET(
    _xlpm.MacVal, _xlfn.XLOOKUP($A572, Output_Mac!$A:$A, Output_Mac!AA:AA, ""),
    _xlpm.MyAuditVal, _xlfn.XLOOKUP($A572, My_Audit!$A:$A, My_Audit!L:L, ""),
    _xlfn.TEXTJOIN(", ", TRUE, _xlpm.MyAuditVal, _xlpm.MacVal)
)</f>
        <v/>
      </c>
    </row>
    <row r="573" spans="1:23">
      <c r="A573" s="45" t="str">
        <f>_xlfn.TEXTJOIN("",TRUE,Input!$B$2,ROW(My_Audit!A572))</f>
        <v>CC572</v>
      </c>
      <c r="B573" s="45" t="str">
        <f>_xlfn.TEXTJOIN("-",TRUE,"ITD",Input!$A$2,A573)</f>
        <v>ITD-XXX-CC572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 cm="1">
        <f t="array" ref="D573">IFERROR(_xlfn.LET(
_xlpm.CSVVal,_xlfn.XLOOKUP($A573,CSV!$A:$A,CSV!C:C,""),
_xlpm.MacVal,_xlfn.XLOOKUP($A573,Output_Mac!$A:$A,Output_Mac!D:D,""),
_xlpm.MyAuditVal,_xlfn.XLOOKUP($A573,My_Audit!$A:$A,My_Audit!C:C,""),
_xlfn.IFS(_xlpm.MyAuditVal&lt;&gt;"",UPPER(_xlpm.MyAuditVal),_xlpm.MacVal&lt;&gt;"",_xlpm.MacVal,_xlpm.CSVVal&lt;&gt;"",_xlpm.CSVVal
)),"")</f>
        <v/>
      </c>
      <c r="E573" s="46" t="str" cm="1">
        <f t="array" ref="E573">IFERROR(_xlfn.LET(
_xlpm.CSVVal,_xlfn.XLOOKUP($A573,CSV!$A:$A,CSV!E:E,""),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_xlpm.CSVVal,_xlfn.XLOOKUP($A573,CSV!$A:$A,CSV!G:G,""),
_xlpm.MacVal,_xlfn.XLOOKUP($A573,Output_Mac!$A:$A,Output_Mac!G:G,""),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_xlfn.XLOOKUP(A573,Output_Mac!A:A,Output_Mac!H:H,"")</f>
        <v/>
      </c>
      <c r="I573" s="45" t="str" cm="1">
        <f t="array" ref="I573">IFERROR(_xlfn.LET(
_xlpm.CSVVal,_xlfn.XLOOKUP($A573,CSV!$A:$A,CSV!H:H,""),
_xlpm.MacVal,_xlfn.XLOOKUP($A573,Output_Mac!$A:$A,Output_Mac!I:I,""),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_xlpm.CSVVal,_xlfn.XLOOKUP($A573,CSV!$A:$A,CSV!J:J,""),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46" t="str" cm="1">
        <f t="array" ref="K573">IFERROR(_xlfn.LET(
_xlpm.CSVVal,_xlfn.XLOOKUP($A573,CSV!$A:$A,CSV!N:N,""),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_xlpm.CSVVal,_xlfn.XLOOKUP($A573,CSV!$A:$A,CSV!P:P,""),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CSV!AE:AE,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_xlpm.CSVVal,_xlfn.XLOOKUP($A573,CSV!$A:$A,CSV!AG:AG,""),
_xlpm.MacVal,_xlfn.XLOOKUP($A573,Output_Mac!$A:$A,Output_Mac!T:T,""),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6" t="str">
        <f>IF(LEFT(N573,4)="Pass","Nist SP 800-88",My_Audit!R573)&amp;""</f>
        <v/>
      </c>
      <c r="R573" s="45"/>
      <c r="S573" s="45"/>
      <c r="T573" s="46" t="str">
        <f>_xlfn.XLOOKUP(E573,Models!I:I,Models!J:J,"")</f>
        <v/>
      </c>
      <c r="U573" s="45"/>
      <c r="V573" s="45"/>
      <c r="W573" s="38" t="str">
        <f>_xlfn.LET(
    _xlpm.MacVal, _xlfn.XLOOKUP($A573, Output_Mac!$A:$A, Output_Mac!AA:AA, ""),
    _xlpm.MyAuditVal, _xlfn.XLOOKUP($A573, My_Audit!$A:$A, My_Audit!L:L, ""),
    _xlfn.TEXTJOIN(", ", TRUE, _xlpm.MyAuditVal, _xlpm.MacVal)
)</f>
        <v/>
      </c>
    </row>
    <row r="574" spans="1:23">
      <c r="A574" s="45" t="str">
        <f>_xlfn.TEXTJOIN("",TRUE,Input!$B$2,ROW(My_Audit!A573))</f>
        <v>CC573</v>
      </c>
      <c r="B574" s="45" t="str">
        <f>_xlfn.TEXTJOIN("-",TRUE,"ITD",Input!$A$2,A574)</f>
        <v>ITD-XXX-CC573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 cm="1">
        <f t="array" ref="D574">IFERROR(_xlfn.LET(
_xlpm.CSVVal,_xlfn.XLOOKUP($A574,CSV!$A:$A,CSV!C:C,""),
_xlpm.MacVal,_xlfn.XLOOKUP($A574,Output_Mac!$A:$A,Output_Mac!D:D,""),
_xlpm.MyAuditVal,_xlfn.XLOOKUP($A574,My_Audit!$A:$A,My_Audit!C:C,""),
_xlfn.IFS(_xlpm.MyAuditVal&lt;&gt;"",UPPER(_xlpm.MyAuditVal),_xlpm.MacVal&lt;&gt;"",_xlpm.MacVal,_xlpm.CSVVal&lt;&gt;"",_xlpm.CSVVal
)),"")</f>
        <v/>
      </c>
      <c r="E574" s="46" t="str" cm="1">
        <f t="array" ref="E574">IFERROR(_xlfn.LET(
_xlpm.CSVVal,_xlfn.XLOOKUP($A574,CSV!$A:$A,CSV!E:E,""),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_xlpm.CSVVal,_xlfn.XLOOKUP($A574,CSV!$A:$A,CSV!G:G,""),
_xlpm.MacVal,_xlfn.XLOOKUP($A574,Output_Mac!$A:$A,Output_Mac!G:G,""),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_xlfn.XLOOKUP(A574,Output_Mac!A:A,Output_Mac!H:H,"")</f>
        <v/>
      </c>
      <c r="I574" s="45" t="str" cm="1">
        <f t="array" ref="I574">IFERROR(_xlfn.LET(
_xlpm.CSVVal,_xlfn.XLOOKUP($A574,CSV!$A:$A,CSV!H:H,""),
_xlpm.MacVal,_xlfn.XLOOKUP($A574,Output_Mac!$A:$A,Output_Mac!I:I,""),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_xlpm.CSVVal,_xlfn.XLOOKUP($A574,CSV!$A:$A,CSV!J:J,""),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46" t="str" cm="1">
        <f t="array" ref="K574">IFERROR(_xlfn.LET(
_xlpm.CSVVal,_xlfn.XLOOKUP($A574,CSV!$A:$A,CSV!N:N,""),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_xlpm.CSVVal,_xlfn.XLOOKUP($A574,CSV!$A:$A,CSV!P:P,""),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CSV!AE:AE,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_xlpm.CSVVal,_xlfn.XLOOKUP($A574,CSV!$A:$A,CSV!AG:AG,""),
_xlpm.MacVal,_xlfn.XLOOKUP($A574,Output_Mac!$A:$A,Output_Mac!T:T,""),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6" t="str">
        <f>IF(LEFT(N574,4)="Pass","Nist SP 800-88",My_Audit!R574)&amp;""</f>
        <v/>
      </c>
      <c r="R574" s="45"/>
      <c r="S574" s="45"/>
      <c r="T574" s="46" t="str">
        <f>_xlfn.XLOOKUP(E574,Models!I:I,Models!J:J,"")</f>
        <v/>
      </c>
      <c r="U574" s="45"/>
      <c r="V574" s="45"/>
      <c r="W574" s="38" t="str">
        <f>_xlfn.LET(
    _xlpm.MacVal, _xlfn.XLOOKUP($A574, Output_Mac!$A:$A, Output_Mac!AA:AA, ""),
    _xlpm.MyAuditVal, _xlfn.XLOOKUP($A574, My_Audit!$A:$A, My_Audit!L:L, ""),
    _xlfn.TEXTJOIN(", ", TRUE, _xlpm.MyAuditVal, _xlpm.MacVal)
)</f>
        <v/>
      </c>
    </row>
    <row r="575" spans="1:23">
      <c r="A575" s="45" t="str">
        <f>_xlfn.TEXTJOIN("",TRUE,Input!$B$2,ROW(My_Audit!A574))</f>
        <v>CC574</v>
      </c>
      <c r="B575" s="45" t="str">
        <f>_xlfn.TEXTJOIN("-",TRUE,"ITD",Input!$A$2,A575)</f>
        <v>ITD-XXX-CC574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 cm="1">
        <f t="array" ref="D575">IFERROR(_xlfn.LET(
_xlpm.CSVVal,_xlfn.XLOOKUP($A575,CSV!$A:$A,CSV!C:C,""),
_xlpm.MacVal,_xlfn.XLOOKUP($A575,Output_Mac!$A:$A,Output_Mac!D:D,""),
_xlpm.MyAuditVal,_xlfn.XLOOKUP($A575,My_Audit!$A:$A,My_Audit!C:C,""),
_xlfn.IFS(_xlpm.MyAuditVal&lt;&gt;"",UPPER(_xlpm.MyAuditVal),_xlpm.MacVal&lt;&gt;"",_xlpm.MacVal,_xlpm.CSVVal&lt;&gt;"",_xlpm.CSVVal
)),"")</f>
        <v/>
      </c>
      <c r="E575" s="46" t="str" cm="1">
        <f t="array" ref="E575">IFERROR(_xlfn.LET(
_xlpm.CSVVal,_xlfn.XLOOKUP($A575,CSV!$A:$A,CSV!E:E,""),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_xlpm.CSVVal,_xlfn.XLOOKUP($A575,CSV!$A:$A,CSV!G:G,""),
_xlpm.MacVal,_xlfn.XLOOKUP($A575,Output_Mac!$A:$A,Output_Mac!G:G,""),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_xlfn.XLOOKUP(A575,Output_Mac!A:A,Output_Mac!H:H,"")</f>
        <v/>
      </c>
      <c r="I575" s="45" t="str" cm="1">
        <f t="array" ref="I575">IFERROR(_xlfn.LET(
_xlpm.CSVVal,_xlfn.XLOOKUP($A575,CSV!$A:$A,CSV!H:H,""),
_xlpm.MacVal,_xlfn.XLOOKUP($A575,Output_Mac!$A:$A,Output_Mac!I:I,""),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_xlpm.CSVVal,_xlfn.XLOOKUP($A575,CSV!$A:$A,CSV!J:J,""),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46" t="str" cm="1">
        <f t="array" ref="K575">IFERROR(_xlfn.LET(
_xlpm.CSVVal,_xlfn.XLOOKUP($A575,CSV!$A:$A,CSV!N:N,""),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_xlpm.CSVVal,_xlfn.XLOOKUP($A575,CSV!$A:$A,CSV!P:P,""),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CSV!AE:AE,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_xlpm.CSVVal,_xlfn.XLOOKUP($A575,CSV!$A:$A,CSV!AG:AG,""),
_xlpm.MacVal,_xlfn.XLOOKUP($A575,Output_Mac!$A:$A,Output_Mac!T:T,""),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6" t="str">
        <f>IF(LEFT(N575,4)="Pass","Nist SP 800-88",My_Audit!R575)&amp;""</f>
        <v/>
      </c>
      <c r="R575" s="45"/>
      <c r="S575" s="45"/>
      <c r="T575" s="46" t="str">
        <f>_xlfn.XLOOKUP(E575,Models!I:I,Models!J:J,"")</f>
        <v/>
      </c>
      <c r="U575" s="45"/>
      <c r="V575" s="45"/>
      <c r="W575" s="38" t="str">
        <f>_xlfn.LET(
    _xlpm.MacVal, _xlfn.XLOOKUP($A575, Output_Mac!$A:$A, Output_Mac!AA:AA, ""),
    _xlpm.MyAuditVal, _xlfn.XLOOKUP($A575, My_Audit!$A:$A, My_Audit!L:L, ""),
    _xlfn.TEXTJOIN(", ", TRUE, _xlpm.MyAuditVal, _xlpm.MacVal)
)</f>
        <v/>
      </c>
    </row>
    <row r="576" spans="1:23">
      <c r="A576" s="45" t="str">
        <f>_xlfn.TEXTJOIN("",TRUE,Input!$B$2,ROW(My_Audit!A575))</f>
        <v>CC575</v>
      </c>
      <c r="B576" s="45" t="str">
        <f>_xlfn.TEXTJOIN("-",TRUE,"ITD",Input!$A$2,A576)</f>
        <v>ITD-XXX-CC575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 cm="1">
        <f t="array" ref="D576">IFERROR(_xlfn.LET(
_xlpm.CSVVal,_xlfn.XLOOKUP($A576,CSV!$A:$A,CSV!C:C,""),
_xlpm.MacVal,_xlfn.XLOOKUP($A576,Output_Mac!$A:$A,Output_Mac!D:D,""),
_xlpm.MyAuditVal,_xlfn.XLOOKUP($A576,My_Audit!$A:$A,My_Audit!C:C,""),
_xlfn.IFS(_xlpm.MyAuditVal&lt;&gt;"",UPPER(_xlpm.MyAuditVal),_xlpm.MacVal&lt;&gt;"",_xlpm.MacVal,_xlpm.CSVVal&lt;&gt;"",_xlpm.CSVVal
)),"")</f>
        <v/>
      </c>
      <c r="E576" s="46" t="str" cm="1">
        <f t="array" ref="E576">IFERROR(_xlfn.LET(
_xlpm.CSVVal,_xlfn.XLOOKUP($A576,CSV!$A:$A,CSV!E:E,""),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_xlpm.CSVVal,_xlfn.XLOOKUP($A576,CSV!$A:$A,CSV!G:G,""),
_xlpm.MacVal,_xlfn.XLOOKUP($A576,Output_Mac!$A:$A,Output_Mac!G:G,""),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_xlfn.XLOOKUP(A576,Output_Mac!A:A,Output_Mac!H:H,"")</f>
        <v/>
      </c>
      <c r="I576" s="45" t="str" cm="1">
        <f t="array" ref="I576">IFERROR(_xlfn.LET(
_xlpm.CSVVal,_xlfn.XLOOKUP($A576,CSV!$A:$A,CSV!H:H,""),
_xlpm.MacVal,_xlfn.XLOOKUP($A576,Output_Mac!$A:$A,Output_Mac!I:I,""),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_xlpm.CSVVal,_xlfn.XLOOKUP($A576,CSV!$A:$A,CSV!J:J,""),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46" t="str" cm="1">
        <f t="array" ref="K576">IFERROR(_xlfn.LET(
_xlpm.CSVVal,_xlfn.XLOOKUP($A576,CSV!$A:$A,CSV!N:N,""),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_xlpm.CSVVal,_xlfn.XLOOKUP($A576,CSV!$A:$A,CSV!P:P,""),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CSV!AE:AE,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_xlpm.CSVVal,_xlfn.XLOOKUP($A576,CSV!$A:$A,CSV!AG:AG,""),
_xlpm.MacVal,_xlfn.XLOOKUP($A576,Output_Mac!$A:$A,Output_Mac!T:T,""),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6" t="str">
        <f>IF(LEFT(N576,4)="Pass","Nist SP 800-88",My_Audit!R576)&amp;""</f>
        <v/>
      </c>
      <c r="R576" s="45"/>
      <c r="S576" s="45"/>
      <c r="T576" s="46" t="str">
        <f>_xlfn.XLOOKUP(E576,Models!I:I,Models!J:J,"")</f>
        <v/>
      </c>
      <c r="U576" s="45"/>
      <c r="V576" s="45"/>
      <c r="W576" s="38" t="str">
        <f>_xlfn.LET(
    _xlpm.MacVal, _xlfn.XLOOKUP($A576, Output_Mac!$A:$A, Output_Mac!AA:AA, ""),
    _xlpm.MyAuditVal, _xlfn.XLOOKUP($A576, My_Audit!$A:$A, My_Audit!L:L, ""),
    _xlfn.TEXTJOIN(", ", TRUE, _xlpm.MyAuditVal, _xlpm.MacVal)
)</f>
        <v/>
      </c>
    </row>
    <row r="577" spans="1:23">
      <c r="A577" s="45" t="str">
        <f>_xlfn.TEXTJOIN("",TRUE,Input!$B$2,ROW(My_Audit!A576))</f>
        <v>CC576</v>
      </c>
      <c r="B577" s="45" t="str">
        <f>_xlfn.TEXTJOIN("-",TRUE,"ITD",Input!$A$2,A577)</f>
        <v>ITD-XXX-CC576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 cm="1">
        <f t="array" ref="D577">IFERROR(_xlfn.LET(
_xlpm.CSVVal,_xlfn.XLOOKUP($A577,CSV!$A:$A,CSV!C:C,""),
_xlpm.MacVal,_xlfn.XLOOKUP($A577,Output_Mac!$A:$A,Output_Mac!D:D,""),
_xlpm.MyAuditVal,_xlfn.XLOOKUP($A577,My_Audit!$A:$A,My_Audit!C:C,""),
_xlfn.IFS(_xlpm.MyAuditVal&lt;&gt;"",UPPER(_xlpm.MyAuditVal),_xlpm.MacVal&lt;&gt;"",_xlpm.MacVal,_xlpm.CSVVal&lt;&gt;"",_xlpm.CSVVal
)),"")</f>
        <v/>
      </c>
      <c r="E577" s="46" t="str" cm="1">
        <f t="array" ref="E577">IFERROR(_xlfn.LET(
_xlpm.CSVVal,_xlfn.XLOOKUP($A577,CSV!$A:$A,CSV!E:E,""),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_xlpm.CSVVal,_xlfn.XLOOKUP($A577,CSV!$A:$A,CSV!G:G,""),
_xlpm.MacVal,_xlfn.XLOOKUP($A577,Output_Mac!$A:$A,Output_Mac!G:G,""),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_xlfn.XLOOKUP(A577,Output_Mac!A:A,Output_Mac!H:H,"")</f>
        <v/>
      </c>
      <c r="I577" s="45" t="str" cm="1">
        <f t="array" ref="I577">IFERROR(_xlfn.LET(
_xlpm.CSVVal,_xlfn.XLOOKUP($A577,CSV!$A:$A,CSV!H:H,""),
_xlpm.MacVal,_xlfn.XLOOKUP($A577,Output_Mac!$A:$A,Output_Mac!I:I,""),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_xlpm.CSVVal,_xlfn.XLOOKUP($A577,CSV!$A:$A,CSV!J:J,""),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46" t="str" cm="1">
        <f t="array" ref="K577">IFERROR(_xlfn.LET(
_xlpm.CSVVal,_xlfn.XLOOKUP($A577,CSV!$A:$A,CSV!N:N,""),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_xlpm.CSVVal,_xlfn.XLOOKUP($A577,CSV!$A:$A,CSV!P:P,""),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CSV!AE:AE,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_xlpm.CSVVal,_xlfn.XLOOKUP($A577,CSV!$A:$A,CSV!AG:AG,""),
_xlpm.MacVal,_xlfn.XLOOKUP($A577,Output_Mac!$A:$A,Output_Mac!T:T,""),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6" t="str">
        <f>IF(LEFT(N577,4)="Pass","Nist SP 800-88",My_Audit!R577)&amp;""</f>
        <v/>
      </c>
      <c r="R577" s="45"/>
      <c r="S577" s="45"/>
      <c r="T577" s="46" t="str">
        <f>_xlfn.XLOOKUP(E577,Models!I:I,Models!J:J,"")</f>
        <v/>
      </c>
      <c r="U577" s="45"/>
      <c r="V577" s="45"/>
      <c r="W577" s="38" t="str">
        <f>_xlfn.LET(
    _xlpm.MacVal, _xlfn.XLOOKUP($A577, Output_Mac!$A:$A, Output_Mac!AA:AA, ""),
    _xlpm.MyAuditVal, _xlfn.XLOOKUP($A577, My_Audit!$A:$A, My_Audit!L:L, ""),
    _xlfn.TEXTJOIN(", ", TRUE, _xlpm.MyAuditVal, _xlpm.MacVal)
)</f>
        <v/>
      </c>
    </row>
    <row r="578" spans="1:23">
      <c r="A578" s="45" t="str">
        <f>_xlfn.TEXTJOIN("",TRUE,Input!$B$2,ROW(My_Audit!A577))</f>
        <v>CC577</v>
      </c>
      <c r="B578" s="45" t="str">
        <f>_xlfn.TEXTJOIN("-",TRUE,"ITD",Input!$A$2,A578)</f>
        <v>ITD-XXX-CC577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 cm="1">
        <f t="array" ref="D578">IFERROR(_xlfn.LET(
_xlpm.CSVVal,_xlfn.XLOOKUP($A578,CSV!$A:$A,CSV!C:C,""),
_xlpm.MacVal,_xlfn.XLOOKUP($A578,Output_Mac!$A:$A,Output_Mac!D:D,""),
_xlpm.MyAuditVal,_xlfn.XLOOKUP($A578,My_Audit!$A:$A,My_Audit!C:C,""),
_xlfn.IFS(_xlpm.MyAuditVal&lt;&gt;"",UPPER(_xlpm.MyAuditVal),_xlpm.MacVal&lt;&gt;"",_xlpm.MacVal,_xlpm.CSVVal&lt;&gt;"",_xlpm.CSVVal
)),"")</f>
        <v/>
      </c>
      <c r="E578" s="46" t="str" cm="1">
        <f t="array" ref="E578">IFERROR(_xlfn.LET(
_xlpm.CSVVal,_xlfn.XLOOKUP($A578,CSV!$A:$A,CSV!E:E,""),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_xlpm.CSVVal,_xlfn.XLOOKUP($A578,CSV!$A:$A,CSV!G:G,""),
_xlpm.MacVal,_xlfn.XLOOKUP($A578,Output_Mac!$A:$A,Output_Mac!G:G,""),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_xlfn.XLOOKUP(A578,Output_Mac!A:A,Output_Mac!H:H,"")</f>
        <v/>
      </c>
      <c r="I578" s="45" t="str" cm="1">
        <f t="array" ref="I578">IFERROR(_xlfn.LET(
_xlpm.CSVVal,_xlfn.XLOOKUP($A578,CSV!$A:$A,CSV!H:H,""),
_xlpm.MacVal,_xlfn.XLOOKUP($A578,Output_Mac!$A:$A,Output_Mac!I:I,""),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_xlpm.CSVVal,_xlfn.XLOOKUP($A578,CSV!$A:$A,CSV!J:J,""),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46" t="str" cm="1">
        <f t="array" ref="K578">IFERROR(_xlfn.LET(
_xlpm.CSVVal,_xlfn.XLOOKUP($A578,CSV!$A:$A,CSV!N:N,""),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_xlpm.CSVVal,_xlfn.XLOOKUP($A578,CSV!$A:$A,CSV!P:P,""),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CSV!AE:AE,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_xlpm.CSVVal,_xlfn.XLOOKUP($A578,CSV!$A:$A,CSV!AG:AG,""),
_xlpm.MacVal,_xlfn.XLOOKUP($A578,Output_Mac!$A:$A,Output_Mac!T:T,""),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6" t="str">
        <f>IF(LEFT(N578,4)="Pass","Nist SP 800-88",My_Audit!R578)&amp;""</f>
        <v/>
      </c>
      <c r="R578" s="45"/>
      <c r="S578" s="45"/>
      <c r="T578" s="46" t="str">
        <f>_xlfn.XLOOKUP(E578,Models!I:I,Models!J:J,"")</f>
        <v/>
      </c>
      <c r="U578" s="45"/>
      <c r="V578" s="45"/>
      <c r="W578" s="38" t="str">
        <f>_xlfn.LET(
    _xlpm.MacVal, _xlfn.XLOOKUP($A578, Output_Mac!$A:$A, Output_Mac!AA:AA, ""),
    _xlpm.MyAuditVal, _xlfn.XLOOKUP($A578, My_Audit!$A:$A, My_Audit!L:L, ""),
    _xlfn.TEXTJOIN(", ", TRUE, _xlpm.MyAuditVal, _xlpm.MacVal)
)</f>
        <v/>
      </c>
    </row>
    <row r="579" spans="1:23">
      <c r="A579" s="45" t="str">
        <f>_xlfn.TEXTJOIN("",TRUE,Input!$B$2,ROW(My_Audit!A578))</f>
        <v>CC578</v>
      </c>
      <c r="B579" s="45" t="str">
        <f>_xlfn.TEXTJOIN("-",TRUE,"ITD",Input!$A$2,A579)</f>
        <v>ITD-XXX-CC578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 cm="1">
        <f t="array" ref="D579">IFERROR(_xlfn.LET(
_xlpm.CSVVal,_xlfn.XLOOKUP($A579,CSV!$A:$A,CSV!C:C,""),
_xlpm.MacVal,_xlfn.XLOOKUP($A579,Output_Mac!$A:$A,Output_Mac!D:D,""),
_xlpm.MyAuditVal,_xlfn.XLOOKUP($A579,My_Audit!$A:$A,My_Audit!C:C,""),
_xlfn.IFS(_xlpm.MyAuditVal&lt;&gt;"",UPPER(_xlpm.MyAuditVal),_xlpm.MacVal&lt;&gt;"",_xlpm.MacVal,_xlpm.CSVVal&lt;&gt;"",_xlpm.CSVVal
)),"")</f>
        <v/>
      </c>
      <c r="E579" s="46" t="str" cm="1">
        <f t="array" ref="E579">IFERROR(_xlfn.LET(
_xlpm.CSVVal,_xlfn.XLOOKUP($A579,CSV!$A:$A,CSV!E:E,""),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_xlpm.CSVVal,_xlfn.XLOOKUP($A579,CSV!$A:$A,CSV!G:G,""),
_xlpm.MacVal,_xlfn.XLOOKUP($A579,Output_Mac!$A:$A,Output_Mac!G:G,""),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_xlfn.XLOOKUP(A579,Output_Mac!A:A,Output_Mac!H:H,"")</f>
        <v/>
      </c>
      <c r="I579" s="45" t="str" cm="1">
        <f t="array" ref="I579">IFERROR(_xlfn.LET(
_xlpm.CSVVal,_xlfn.XLOOKUP($A579,CSV!$A:$A,CSV!H:H,""),
_xlpm.MacVal,_xlfn.XLOOKUP($A579,Output_Mac!$A:$A,Output_Mac!I:I,""),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_xlpm.CSVVal,_xlfn.XLOOKUP($A579,CSV!$A:$A,CSV!J:J,""),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46" t="str" cm="1">
        <f t="array" ref="K579">IFERROR(_xlfn.LET(
_xlpm.CSVVal,_xlfn.XLOOKUP($A579,CSV!$A:$A,CSV!N:N,""),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_xlpm.CSVVal,_xlfn.XLOOKUP($A579,CSV!$A:$A,CSV!P:P,""),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CSV!AE:AE,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_xlpm.CSVVal,_xlfn.XLOOKUP($A579,CSV!$A:$A,CSV!AG:AG,""),
_xlpm.MacVal,_xlfn.XLOOKUP($A579,Output_Mac!$A:$A,Output_Mac!T:T,""),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6" t="str">
        <f>IF(LEFT(N579,4)="Pass","Nist SP 800-88",My_Audit!R579)&amp;""</f>
        <v/>
      </c>
      <c r="R579" s="45"/>
      <c r="S579" s="45"/>
      <c r="T579" s="46" t="str">
        <f>_xlfn.XLOOKUP(E579,Models!I:I,Models!J:J,"")</f>
        <v/>
      </c>
      <c r="U579" s="45"/>
      <c r="V579" s="45"/>
      <c r="W579" s="38" t="str">
        <f>_xlfn.LET(
    _xlpm.MacVal, _xlfn.XLOOKUP($A579, Output_Mac!$A:$A, Output_Mac!AA:AA, ""),
    _xlpm.MyAuditVal, _xlfn.XLOOKUP($A579, My_Audit!$A:$A, My_Audit!L:L, ""),
    _xlfn.TEXTJOIN(", ", TRUE, _xlpm.MyAuditVal, _xlpm.MacVal)
)</f>
        <v/>
      </c>
    </row>
    <row r="580" spans="1:23">
      <c r="A580" s="45" t="str">
        <f>_xlfn.TEXTJOIN("",TRUE,Input!$B$2,ROW(My_Audit!A579))</f>
        <v>CC579</v>
      </c>
      <c r="B580" s="45" t="str">
        <f>_xlfn.TEXTJOIN("-",TRUE,"ITD",Input!$A$2,A580)</f>
        <v>ITD-XXX-CC579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 cm="1">
        <f t="array" ref="D580">IFERROR(_xlfn.LET(
_xlpm.CSVVal,_xlfn.XLOOKUP($A580,CSV!$A:$A,CSV!C:C,""),
_xlpm.MacVal,_xlfn.XLOOKUP($A580,Output_Mac!$A:$A,Output_Mac!D:D,""),
_xlpm.MyAuditVal,_xlfn.XLOOKUP($A580,My_Audit!$A:$A,My_Audit!C:C,""),
_xlfn.IFS(_xlpm.MyAuditVal&lt;&gt;"",UPPER(_xlpm.MyAuditVal),_xlpm.MacVal&lt;&gt;"",_xlpm.MacVal,_xlpm.CSVVal&lt;&gt;"",_xlpm.CSVVal
)),"")</f>
        <v/>
      </c>
      <c r="E580" s="46" t="str" cm="1">
        <f t="array" ref="E580">IFERROR(_xlfn.LET(
_xlpm.CSVVal,_xlfn.XLOOKUP($A580,CSV!$A:$A,CSV!E:E,""),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_xlpm.CSVVal,_xlfn.XLOOKUP($A580,CSV!$A:$A,CSV!G:G,""),
_xlpm.MacVal,_xlfn.XLOOKUP($A580,Output_Mac!$A:$A,Output_Mac!G:G,""),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_xlfn.XLOOKUP(A580,Output_Mac!A:A,Output_Mac!H:H,"")</f>
        <v/>
      </c>
      <c r="I580" s="45" t="str" cm="1">
        <f t="array" ref="I580">IFERROR(_xlfn.LET(
_xlpm.CSVVal,_xlfn.XLOOKUP($A580,CSV!$A:$A,CSV!H:H,""),
_xlpm.MacVal,_xlfn.XLOOKUP($A580,Output_Mac!$A:$A,Output_Mac!I:I,""),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_xlpm.CSVVal,_xlfn.XLOOKUP($A580,CSV!$A:$A,CSV!J:J,""),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46" t="str" cm="1">
        <f t="array" ref="K580">IFERROR(_xlfn.LET(
_xlpm.CSVVal,_xlfn.XLOOKUP($A580,CSV!$A:$A,CSV!N:N,""),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_xlpm.CSVVal,_xlfn.XLOOKUP($A580,CSV!$A:$A,CSV!P:P,""),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CSV!AE:AE,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_xlpm.CSVVal,_xlfn.XLOOKUP($A580,CSV!$A:$A,CSV!AG:AG,""),
_xlpm.MacVal,_xlfn.XLOOKUP($A580,Output_Mac!$A:$A,Output_Mac!T:T,""),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6" t="str">
        <f>IF(LEFT(N580,4)="Pass","Nist SP 800-88",My_Audit!R580)&amp;""</f>
        <v/>
      </c>
      <c r="R580" s="45"/>
      <c r="S580" s="45"/>
      <c r="T580" s="46" t="str">
        <f>_xlfn.XLOOKUP(E580,Models!I:I,Models!J:J,"")</f>
        <v/>
      </c>
      <c r="U580" s="45"/>
      <c r="V580" s="45"/>
      <c r="W580" s="38" t="str">
        <f>_xlfn.LET(
    _xlpm.MacVal, _xlfn.XLOOKUP($A580, Output_Mac!$A:$A, Output_Mac!AA:AA, ""),
    _xlpm.MyAuditVal, _xlfn.XLOOKUP($A580, My_Audit!$A:$A, My_Audit!L:L, ""),
    _xlfn.TEXTJOIN(", ", TRUE, _xlpm.MyAuditVal, _xlpm.MacVal)
)</f>
        <v/>
      </c>
    </row>
    <row r="581" spans="1:23">
      <c r="A581" s="45" t="str">
        <f>_xlfn.TEXTJOIN("",TRUE,Input!$B$2,ROW(My_Audit!A580))</f>
        <v>CC580</v>
      </c>
      <c r="B581" s="45" t="str">
        <f>_xlfn.TEXTJOIN("-",TRUE,"ITD",Input!$A$2,A581)</f>
        <v>ITD-XXX-CC580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 cm="1">
        <f t="array" ref="D581">IFERROR(_xlfn.LET(
_xlpm.CSVVal,_xlfn.XLOOKUP($A581,CSV!$A:$A,CSV!C:C,""),
_xlpm.MacVal,_xlfn.XLOOKUP($A581,Output_Mac!$A:$A,Output_Mac!D:D,""),
_xlpm.MyAuditVal,_xlfn.XLOOKUP($A581,My_Audit!$A:$A,My_Audit!C:C,""),
_xlfn.IFS(_xlpm.MyAuditVal&lt;&gt;"",UPPER(_xlpm.MyAuditVal),_xlpm.MacVal&lt;&gt;"",_xlpm.MacVal,_xlpm.CSVVal&lt;&gt;"",_xlpm.CSVVal
)),"")</f>
        <v/>
      </c>
      <c r="E581" s="46" t="str" cm="1">
        <f t="array" ref="E581">IFERROR(_xlfn.LET(
_xlpm.CSVVal,_xlfn.XLOOKUP($A581,CSV!$A:$A,CSV!E:E,""),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_xlpm.CSVVal,_xlfn.XLOOKUP($A581,CSV!$A:$A,CSV!G:G,""),
_xlpm.MacVal,_xlfn.XLOOKUP($A581,Output_Mac!$A:$A,Output_Mac!G:G,""),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_xlfn.XLOOKUP(A581,Output_Mac!A:A,Output_Mac!H:H,"")</f>
        <v/>
      </c>
      <c r="I581" s="45" t="str" cm="1">
        <f t="array" ref="I581">IFERROR(_xlfn.LET(
_xlpm.CSVVal,_xlfn.XLOOKUP($A581,CSV!$A:$A,CSV!H:H,""),
_xlpm.MacVal,_xlfn.XLOOKUP($A581,Output_Mac!$A:$A,Output_Mac!I:I,""),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_xlpm.CSVVal,_xlfn.XLOOKUP($A581,CSV!$A:$A,CSV!J:J,""),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46" t="str" cm="1">
        <f t="array" ref="K581">IFERROR(_xlfn.LET(
_xlpm.CSVVal,_xlfn.XLOOKUP($A581,CSV!$A:$A,CSV!N:N,""),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_xlpm.CSVVal,_xlfn.XLOOKUP($A581,CSV!$A:$A,CSV!P:P,""),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CSV!AE:AE,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_xlpm.CSVVal,_xlfn.XLOOKUP($A581,CSV!$A:$A,CSV!AG:AG,""),
_xlpm.MacVal,_xlfn.XLOOKUP($A581,Output_Mac!$A:$A,Output_Mac!T:T,""),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6" t="str">
        <f>IF(LEFT(N581,4)="Pass","Nist SP 800-88",My_Audit!R581)&amp;""</f>
        <v/>
      </c>
      <c r="R581" s="45"/>
      <c r="S581" s="45"/>
      <c r="T581" s="46" t="str">
        <f>_xlfn.XLOOKUP(E581,Models!I:I,Models!J:J,"")</f>
        <v/>
      </c>
      <c r="U581" s="45"/>
      <c r="V581" s="45"/>
      <c r="W581" s="38" t="str">
        <f>_xlfn.LET(
    _xlpm.MacVal, _xlfn.XLOOKUP($A581, Output_Mac!$A:$A, Output_Mac!AA:AA, ""),
    _xlpm.MyAuditVal, _xlfn.XLOOKUP($A581, My_Audit!$A:$A, My_Audit!L:L, ""),
    _xlfn.TEXTJOIN(", ", TRUE, _xlpm.MyAuditVal, _xlpm.MacVal)
)</f>
        <v/>
      </c>
    </row>
    <row r="582" spans="1:23">
      <c r="A582" s="45" t="str">
        <f>_xlfn.TEXTJOIN("",TRUE,Input!$B$2,ROW(My_Audit!A581))</f>
        <v>CC581</v>
      </c>
      <c r="B582" s="45" t="str">
        <f>_xlfn.TEXTJOIN("-",TRUE,"ITD",Input!$A$2,A582)</f>
        <v>ITD-XXX-CC581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 cm="1">
        <f t="array" ref="D582">IFERROR(_xlfn.LET(
_xlpm.CSVVal,_xlfn.XLOOKUP($A582,CSV!$A:$A,CSV!C:C,""),
_xlpm.MacVal,_xlfn.XLOOKUP($A582,Output_Mac!$A:$A,Output_Mac!D:D,""),
_xlpm.MyAuditVal,_xlfn.XLOOKUP($A582,My_Audit!$A:$A,My_Audit!C:C,""),
_xlfn.IFS(_xlpm.MyAuditVal&lt;&gt;"",UPPER(_xlpm.MyAuditVal),_xlpm.MacVal&lt;&gt;"",_xlpm.MacVal,_xlpm.CSVVal&lt;&gt;"",_xlpm.CSVVal
)),"")</f>
        <v/>
      </c>
      <c r="E582" s="46" t="str" cm="1">
        <f t="array" ref="E582">IFERROR(_xlfn.LET(
_xlpm.CSVVal,_xlfn.XLOOKUP($A582,CSV!$A:$A,CSV!E:E,""),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_xlpm.CSVVal,_xlfn.XLOOKUP($A582,CSV!$A:$A,CSV!G:G,""),
_xlpm.MacVal,_xlfn.XLOOKUP($A582,Output_Mac!$A:$A,Output_Mac!G:G,""),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_xlfn.XLOOKUP(A582,Output_Mac!A:A,Output_Mac!H:H,"")</f>
        <v/>
      </c>
      <c r="I582" s="45" t="str" cm="1">
        <f t="array" ref="I582">IFERROR(_xlfn.LET(
_xlpm.CSVVal,_xlfn.XLOOKUP($A582,CSV!$A:$A,CSV!H:H,""),
_xlpm.MacVal,_xlfn.XLOOKUP($A582,Output_Mac!$A:$A,Output_Mac!I:I,""),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_xlpm.CSVVal,_xlfn.XLOOKUP($A582,CSV!$A:$A,CSV!J:J,""),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46" t="str" cm="1">
        <f t="array" ref="K582">IFERROR(_xlfn.LET(
_xlpm.CSVVal,_xlfn.XLOOKUP($A582,CSV!$A:$A,CSV!N:N,""),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_xlpm.CSVVal,_xlfn.XLOOKUP($A582,CSV!$A:$A,CSV!P:P,""),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CSV!AE:AE,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_xlpm.CSVVal,_xlfn.XLOOKUP($A582,CSV!$A:$A,CSV!AG:AG,""),
_xlpm.MacVal,_xlfn.XLOOKUP($A582,Output_Mac!$A:$A,Output_Mac!T:T,""),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6" t="str">
        <f>IF(LEFT(N582,4)="Pass","Nist SP 800-88",My_Audit!R582)&amp;""</f>
        <v/>
      </c>
      <c r="R582" s="45"/>
      <c r="S582" s="45"/>
      <c r="T582" s="46" t="str">
        <f>_xlfn.XLOOKUP(E582,Models!I:I,Models!J:J,"")</f>
        <v/>
      </c>
      <c r="U582" s="45"/>
      <c r="V582" s="45"/>
      <c r="W582" s="38" t="str">
        <f>_xlfn.LET(
    _xlpm.MacVal, _xlfn.XLOOKUP($A582, Output_Mac!$A:$A, Output_Mac!AA:AA, ""),
    _xlpm.MyAuditVal, _xlfn.XLOOKUP($A582, My_Audit!$A:$A, My_Audit!L:L, ""),
    _xlfn.TEXTJOIN(", ", TRUE, _xlpm.MyAuditVal, _xlpm.MacVal)
)</f>
        <v/>
      </c>
    </row>
    <row r="583" spans="1:23">
      <c r="A583" s="45" t="str">
        <f>_xlfn.TEXTJOIN("",TRUE,Input!$B$2,ROW(My_Audit!A582))</f>
        <v>CC582</v>
      </c>
      <c r="B583" s="45" t="str">
        <f>_xlfn.TEXTJOIN("-",TRUE,"ITD",Input!$A$2,A583)</f>
        <v>ITD-XXX-CC582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 cm="1">
        <f t="array" ref="D583">IFERROR(_xlfn.LET(
_xlpm.CSVVal,_xlfn.XLOOKUP($A583,CSV!$A:$A,CSV!C:C,""),
_xlpm.MacVal,_xlfn.XLOOKUP($A583,Output_Mac!$A:$A,Output_Mac!D:D,""),
_xlpm.MyAuditVal,_xlfn.XLOOKUP($A583,My_Audit!$A:$A,My_Audit!C:C,""),
_xlfn.IFS(_xlpm.MyAuditVal&lt;&gt;"",UPPER(_xlpm.MyAuditVal),_xlpm.MacVal&lt;&gt;"",_xlpm.MacVal,_xlpm.CSVVal&lt;&gt;"",_xlpm.CSVVal
)),"")</f>
        <v/>
      </c>
      <c r="E583" s="46" t="str" cm="1">
        <f t="array" ref="E583">IFERROR(_xlfn.LET(
_xlpm.CSVVal,_xlfn.XLOOKUP($A583,CSV!$A:$A,CSV!E:E,""),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_xlpm.CSVVal,_xlfn.XLOOKUP($A583,CSV!$A:$A,CSV!G:G,""),
_xlpm.MacVal,_xlfn.XLOOKUP($A583,Output_Mac!$A:$A,Output_Mac!G:G,""),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_xlfn.XLOOKUP(A583,Output_Mac!A:A,Output_Mac!H:H,"")</f>
        <v/>
      </c>
      <c r="I583" s="45" t="str" cm="1">
        <f t="array" ref="I583">IFERROR(_xlfn.LET(
_xlpm.CSVVal,_xlfn.XLOOKUP($A583,CSV!$A:$A,CSV!H:H,""),
_xlpm.MacVal,_xlfn.XLOOKUP($A583,Output_Mac!$A:$A,Output_Mac!I:I,""),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_xlpm.CSVVal,_xlfn.XLOOKUP($A583,CSV!$A:$A,CSV!J:J,""),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46" t="str" cm="1">
        <f t="array" ref="K583">IFERROR(_xlfn.LET(
_xlpm.CSVVal,_xlfn.XLOOKUP($A583,CSV!$A:$A,CSV!N:N,""),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_xlpm.CSVVal,_xlfn.XLOOKUP($A583,CSV!$A:$A,CSV!P:P,""),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CSV!AE:AE,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_xlpm.CSVVal,_xlfn.XLOOKUP($A583,CSV!$A:$A,CSV!AG:AG,""),
_xlpm.MacVal,_xlfn.XLOOKUP($A583,Output_Mac!$A:$A,Output_Mac!T:T,""),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6" t="str">
        <f>IF(LEFT(N583,4)="Pass","Nist SP 800-88",My_Audit!R583)&amp;""</f>
        <v/>
      </c>
      <c r="R583" s="45"/>
      <c r="S583" s="45"/>
      <c r="T583" s="46" t="str">
        <f>_xlfn.XLOOKUP(E583,Models!I:I,Models!J:J,"")</f>
        <v/>
      </c>
      <c r="U583" s="45"/>
      <c r="V583" s="45"/>
      <c r="W583" s="38" t="str">
        <f>_xlfn.LET(
    _xlpm.MacVal, _xlfn.XLOOKUP($A583, Output_Mac!$A:$A, Output_Mac!AA:AA, ""),
    _xlpm.MyAuditVal, _xlfn.XLOOKUP($A583, My_Audit!$A:$A, My_Audit!L:L, ""),
    _xlfn.TEXTJOIN(", ", TRUE, _xlpm.MyAuditVal, _xlpm.MacVal)
)</f>
        <v/>
      </c>
    </row>
    <row r="584" spans="1:23">
      <c r="A584" s="45" t="str">
        <f>_xlfn.TEXTJOIN("",TRUE,Input!$B$2,ROW(My_Audit!A583))</f>
        <v>CC583</v>
      </c>
      <c r="B584" s="45" t="str">
        <f>_xlfn.TEXTJOIN("-",TRUE,"ITD",Input!$A$2,A584)</f>
        <v>ITD-XXX-CC583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 cm="1">
        <f t="array" ref="D584">IFERROR(_xlfn.LET(
_xlpm.CSVVal,_xlfn.XLOOKUP($A584,CSV!$A:$A,CSV!C:C,""),
_xlpm.MacVal,_xlfn.XLOOKUP($A584,Output_Mac!$A:$A,Output_Mac!D:D,""),
_xlpm.MyAuditVal,_xlfn.XLOOKUP($A584,My_Audit!$A:$A,My_Audit!C:C,""),
_xlfn.IFS(_xlpm.MyAuditVal&lt;&gt;"",UPPER(_xlpm.MyAuditVal),_xlpm.MacVal&lt;&gt;"",_xlpm.MacVal,_xlpm.CSVVal&lt;&gt;"",_xlpm.CSVVal
)),"")</f>
        <v/>
      </c>
      <c r="E584" s="46" t="str" cm="1">
        <f t="array" ref="E584">IFERROR(_xlfn.LET(
_xlpm.CSVVal,_xlfn.XLOOKUP($A584,CSV!$A:$A,CSV!E:E,""),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_xlpm.CSVVal,_xlfn.XLOOKUP($A584,CSV!$A:$A,CSV!G:G,""),
_xlpm.MacVal,_xlfn.XLOOKUP($A584,Output_Mac!$A:$A,Output_Mac!G:G,""),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_xlfn.XLOOKUP(A584,Output_Mac!A:A,Output_Mac!H:H,"")</f>
        <v/>
      </c>
      <c r="I584" s="45" t="str" cm="1">
        <f t="array" ref="I584">IFERROR(_xlfn.LET(
_xlpm.CSVVal,_xlfn.XLOOKUP($A584,CSV!$A:$A,CSV!H:H,""),
_xlpm.MacVal,_xlfn.XLOOKUP($A584,Output_Mac!$A:$A,Output_Mac!I:I,""),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_xlpm.CSVVal,_xlfn.XLOOKUP($A584,CSV!$A:$A,CSV!J:J,""),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46" t="str" cm="1">
        <f t="array" ref="K584">IFERROR(_xlfn.LET(
_xlpm.CSVVal,_xlfn.XLOOKUP($A584,CSV!$A:$A,CSV!N:N,""),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_xlpm.CSVVal,_xlfn.XLOOKUP($A584,CSV!$A:$A,CSV!P:P,""),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CSV!AE:AE,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_xlpm.CSVVal,_xlfn.XLOOKUP($A584,CSV!$A:$A,CSV!AG:AG,""),
_xlpm.MacVal,_xlfn.XLOOKUP($A584,Output_Mac!$A:$A,Output_Mac!T:T,""),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6" t="str">
        <f>IF(LEFT(N584,4)="Pass","Nist SP 800-88",My_Audit!R584)&amp;""</f>
        <v/>
      </c>
      <c r="R584" s="45"/>
      <c r="S584" s="45"/>
      <c r="T584" s="46" t="str">
        <f>_xlfn.XLOOKUP(E584,Models!I:I,Models!J:J,"")</f>
        <v/>
      </c>
      <c r="U584" s="45"/>
      <c r="V584" s="45"/>
      <c r="W584" s="38" t="str">
        <f>_xlfn.LET(
    _xlpm.MacVal, _xlfn.XLOOKUP($A584, Output_Mac!$A:$A, Output_Mac!AA:AA, ""),
    _xlpm.MyAuditVal, _xlfn.XLOOKUP($A584, My_Audit!$A:$A, My_Audit!L:L, ""),
    _xlfn.TEXTJOIN(", ", TRUE, _xlpm.MyAuditVal, _xlpm.MacVal)
)</f>
        <v/>
      </c>
    </row>
    <row r="585" spans="1:23">
      <c r="A585" s="45" t="str">
        <f>_xlfn.TEXTJOIN("",TRUE,Input!$B$2,ROW(My_Audit!A584))</f>
        <v>CC584</v>
      </c>
      <c r="B585" s="45" t="str">
        <f>_xlfn.TEXTJOIN("-",TRUE,"ITD",Input!$A$2,A585)</f>
        <v>ITD-XXX-CC584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 cm="1">
        <f t="array" ref="D585">IFERROR(_xlfn.LET(
_xlpm.CSVVal,_xlfn.XLOOKUP($A585,CSV!$A:$A,CSV!C:C,""),
_xlpm.MacVal,_xlfn.XLOOKUP($A585,Output_Mac!$A:$A,Output_Mac!D:D,""),
_xlpm.MyAuditVal,_xlfn.XLOOKUP($A585,My_Audit!$A:$A,My_Audit!C:C,""),
_xlfn.IFS(_xlpm.MyAuditVal&lt;&gt;"",UPPER(_xlpm.MyAuditVal),_xlpm.MacVal&lt;&gt;"",_xlpm.MacVal,_xlpm.CSVVal&lt;&gt;"",_xlpm.CSVVal
)),"")</f>
        <v/>
      </c>
      <c r="E585" s="46" t="str" cm="1">
        <f t="array" ref="E585">IFERROR(_xlfn.LET(
_xlpm.CSVVal,_xlfn.XLOOKUP($A585,CSV!$A:$A,CSV!E:E,""),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_xlpm.CSVVal,_xlfn.XLOOKUP($A585,CSV!$A:$A,CSV!G:G,""),
_xlpm.MacVal,_xlfn.XLOOKUP($A585,Output_Mac!$A:$A,Output_Mac!G:G,""),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_xlfn.XLOOKUP(A585,Output_Mac!A:A,Output_Mac!H:H,"")</f>
        <v/>
      </c>
      <c r="I585" s="45" t="str" cm="1">
        <f t="array" ref="I585">IFERROR(_xlfn.LET(
_xlpm.CSVVal,_xlfn.XLOOKUP($A585,CSV!$A:$A,CSV!H:H,""),
_xlpm.MacVal,_xlfn.XLOOKUP($A585,Output_Mac!$A:$A,Output_Mac!I:I,""),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_xlpm.CSVVal,_xlfn.XLOOKUP($A585,CSV!$A:$A,CSV!J:J,""),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46" t="str" cm="1">
        <f t="array" ref="K585">IFERROR(_xlfn.LET(
_xlpm.CSVVal,_xlfn.XLOOKUP($A585,CSV!$A:$A,CSV!N:N,""),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_xlpm.CSVVal,_xlfn.XLOOKUP($A585,CSV!$A:$A,CSV!P:P,""),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CSV!AE:AE,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_xlpm.CSVVal,_xlfn.XLOOKUP($A585,CSV!$A:$A,CSV!AG:AG,""),
_xlpm.MacVal,_xlfn.XLOOKUP($A585,Output_Mac!$A:$A,Output_Mac!T:T,""),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6" t="str">
        <f>IF(LEFT(N585,4)="Pass","Nist SP 800-88",My_Audit!R585)&amp;""</f>
        <v/>
      </c>
      <c r="R585" s="45"/>
      <c r="S585" s="45"/>
      <c r="T585" s="46" t="str">
        <f>_xlfn.XLOOKUP(E585,Models!I:I,Models!J:J,"")</f>
        <v/>
      </c>
      <c r="U585" s="45"/>
      <c r="V585" s="45"/>
      <c r="W585" s="38" t="str">
        <f>_xlfn.LET(
    _xlpm.MacVal, _xlfn.XLOOKUP($A585, Output_Mac!$A:$A, Output_Mac!AA:AA, ""),
    _xlpm.MyAuditVal, _xlfn.XLOOKUP($A585, My_Audit!$A:$A, My_Audit!L:L, ""),
    _xlfn.TEXTJOIN(", ", TRUE, _xlpm.MyAuditVal, _xlpm.MacVal)
)</f>
        <v/>
      </c>
    </row>
    <row r="586" spans="1:23">
      <c r="A586" s="45" t="str">
        <f>_xlfn.TEXTJOIN("",TRUE,Input!$B$2,ROW(My_Audit!A585))</f>
        <v>CC585</v>
      </c>
      <c r="B586" s="45" t="str">
        <f>_xlfn.TEXTJOIN("-",TRUE,"ITD",Input!$A$2,A586)</f>
        <v>ITD-XXX-CC585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 cm="1">
        <f t="array" ref="D586">IFERROR(_xlfn.LET(
_xlpm.CSVVal,_xlfn.XLOOKUP($A586,CSV!$A:$A,CSV!C:C,""),
_xlpm.MacVal,_xlfn.XLOOKUP($A586,Output_Mac!$A:$A,Output_Mac!D:D,""),
_xlpm.MyAuditVal,_xlfn.XLOOKUP($A586,My_Audit!$A:$A,My_Audit!C:C,""),
_xlfn.IFS(_xlpm.MyAuditVal&lt;&gt;"",UPPER(_xlpm.MyAuditVal),_xlpm.MacVal&lt;&gt;"",_xlpm.MacVal,_xlpm.CSVVal&lt;&gt;"",_xlpm.CSVVal
)),"")</f>
        <v/>
      </c>
      <c r="E586" s="46" t="str" cm="1">
        <f t="array" ref="E586">IFERROR(_xlfn.LET(
_xlpm.CSVVal,_xlfn.XLOOKUP($A586,CSV!$A:$A,CSV!E:E,""),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_xlpm.CSVVal,_xlfn.XLOOKUP($A586,CSV!$A:$A,CSV!G:G,""),
_xlpm.MacVal,_xlfn.XLOOKUP($A586,Output_Mac!$A:$A,Output_Mac!G:G,""),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_xlfn.XLOOKUP(A586,Output_Mac!A:A,Output_Mac!H:H,"")</f>
        <v/>
      </c>
      <c r="I586" s="45" t="str" cm="1">
        <f t="array" ref="I586">IFERROR(_xlfn.LET(
_xlpm.CSVVal,_xlfn.XLOOKUP($A586,CSV!$A:$A,CSV!H:H,""),
_xlpm.MacVal,_xlfn.XLOOKUP($A586,Output_Mac!$A:$A,Output_Mac!I:I,""),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_xlpm.CSVVal,_xlfn.XLOOKUP($A586,CSV!$A:$A,CSV!J:J,""),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46" t="str" cm="1">
        <f t="array" ref="K586">IFERROR(_xlfn.LET(
_xlpm.CSVVal,_xlfn.XLOOKUP($A586,CSV!$A:$A,CSV!N:N,""),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_xlpm.CSVVal,_xlfn.XLOOKUP($A586,CSV!$A:$A,CSV!P:P,""),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CSV!AE:AE,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_xlpm.CSVVal,_xlfn.XLOOKUP($A586,CSV!$A:$A,CSV!AG:AG,""),
_xlpm.MacVal,_xlfn.XLOOKUP($A586,Output_Mac!$A:$A,Output_Mac!T:T,""),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6" t="str">
        <f>IF(LEFT(N586,4)="Pass","Nist SP 800-88",My_Audit!R586)&amp;""</f>
        <v/>
      </c>
      <c r="R586" s="45"/>
      <c r="S586" s="45"/>
      <c r="T586" s="46" t="str">
        <f>_xlfn.XLOOKUP(E586,Models!I:I,Models!J:J,"")</f>
        <v/>
      </c>
      <c r="U586" s="45"/>
      <c r="V586" s="45"/>
      <c r="W586" s="38" t="str">
        <f>_xlfn.LET(
    _xlpm.MacVal, _xlfn.XLOOKUP($A586, Output_Mac!$A:$A, Output_Mac!AA:AA, ""),
    _xlpm.MyAuditVal, _xlfn.XLOOKUP($A586, My_Audit!$A:$A, My_Audit!L:L, ""),
    _xlfn.TEXTJOIN(", ", TRUE, _xlpm.MyAuditVal, _xlpm.MacVal)
)</f>
        <v/>
      </c>
    </row>
    <row r="587" spans="1:23">
      <c r="A587" s="45" t="str">
        <f>_xlfn.TEXTJOIN("",TRUE,Input!$B$2,ROW(My_Audit!A586))</f>
        <v>CC586</v>
      </c>
      <c r="B587" s="45" t="str">
        <f>_xlfn.TEXTJOIN("-",TRUE,"ITD",Input!$A$2,A587)</f>
        <v>ITD-XXX-CC586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 cm="1">
        <f t="array" ref="D587">IFERROR(_xlfn.LET(
_xlpm.CSVVal,_xlfn.XLOOKUP($A587,CSV!$A:$A,CSV!C:C,""),
_xlpm.MacVal,_xlfn.XLOOKUP($A587,Output_Mac!$A:$A,Output_Mac!D:D,""),
_xlpm.MyAuditVal,_xlfn.XLOOKUP($A587,My_Audit!$A:$A,My_Audit!C:C,""),
_xlfn.IFS(_xlpm.MyAuditVal&lt;&gt;"",UPPER(_xlpm.MyAuditVal),_xlpm.MacVal&lt;&gt;"",_xlpm.MacVal,_xlpm.CSVVal&lt;&gt;"",_xlpm.CSVVal
)),"")</f>
        <v/>
      </c>
      <c r="E587" s="46" t="str" cm="1">
        <f t="array" ref="E587">IFERROR(_xlfn.LET(
_xlpm.CSVVal,_xlfn.XLOOKUP($A587,CSV!$A:$A,CSV!E:E,""),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_xlpm.CSVVal,_xlfn.XLOOKUP($A587,CSV!$A:$A,CSV!G:G,""),
_xlpm.MacVal,_xlfn.XLOOKUP($A587,Output_Mac!$A:$A,Output_Mac!G:G,""),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_xlfn.XLOOKUP(A587,Output_Mac!A:A,Output_Mac!H:H,"")</f>
        <v/>
      </c>
      <c r="I587" s="45" t="str" cm="1">
        <f t="array" ref="I587">IFERROR(_xlfn.LET(
_xlpm.CSVVal,_xlfn.XLOOKUP($A587,CSV!$A:$A,CSV!H:H,""),
_xlpm.MacVal,_xlfn.XLOOKUP($A587,Output_Mac!$A:$A,Output_Mac!I:I,""),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_xlpm.CSVVal,_xlfn.XLOOKUP($A587,CSV!$A:$A,CSV!J:J,""),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46" t="str" cm="1">
        <f t="array" ref="K587">IFERROR(_xlfn.LET(
_xlpm.CSVVal,_xlfn.XLOOKUP($A587,CSV!$A:$A,CSV!N:N,""),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_xlpm.CSVVal,_xlfn.XLOOKUP($A587,CSV!$A:$A,CSV!P:P,""),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CSV!AE:AE,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_xlpm.CSVVal,_xlfn.XLOOKUP($A587,CSV!$A:$A,CSV!AG:AG,""),
_xlpm.MacVal,_xlfn.XLOOKUP($A587,Output_Mac!$A:$A,Output_Mac!T:T,""),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6" t="str">
        <f>IF(LEFT(N587,4)="Pass","Nist SP 800-88",My_Audit!R587)&amp;""</f>
        <v/>
      </c>
      <c r="R587" s="45"/>
      <c r="S587" s="45"/>
      <c r="T587" s="46" t="str">
        <f>_xlfn.XLOOKUP(E587,Models!I:I,Models!J:J,"")</f>
        <v/>
      </c>
      <c r="U587" s="45"/>
      <c r="V587" s="45"/>
      <c r="W587" s="38" t="str">
        <f>_xlfn.LET(
    _xlpm.MacVal, _xlfn.XLOOKUP($A587, Output_Mac!$A:$A, Output_Mac!AA:AA, ""),
    _xlpm.MyAuditVal, _xlfn.XLOOKUP($A587, My_Audit!$A:$A, My_Audit!L:L, ""),
    _xlfn.TEXTJOIN(", ", TRUE, _xlpm.MyAuditVal, _xlpm.MacVal)
)</f>
        <v/>
      </c>
    </row>
    <row r="588" spans="1:23">
      <c r="A588" s="45" t="str">
        <f>_xlfn.TEXTJOIN("",TRUE,Input!$B$2,ROW(My_Audit!A587))</f>
        <v>CC587</v>
      </c>
      <c r="B588" s="45" t="str">
        <f>_xlfn.TEXTJOIN("-",TRUE,"ITD",Input!$A$2,A588)</f>
        <v>ITD-XXX-CC587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 cm="1">
        <f t="array" ref="D588">IFERROR(_xlfn.LET(
_xlpm.CSVVal,_xlfn.XLOOKUP($A588,CSV!$A:$A,CSV!C:C,""),
_xlpm.MacVal,_xlfn.XLOOKUP($A588,Output_Mac!$A:$A,Output_Mac!D:D,""),
_xlpm.MyAuditVal,_xlfn.XLOOKUP($A588,My_Audit!$A:$A,My_Audit!C:C,""),
_xlfn.IFS(_xlpm.MyAuditVal&lt;&gt;"",UPPER(_xlpm.MyAuditVal),_xlpm.MacVal&lt;&gt;"",_xlpm.MacVal,_xlpm.CSVVal&lt;&gt;"",_xlpm.CSVVal
)),"")</f>
        <v/>
      </c>
      <c r="E588" s="46" t="str" cm="1">
        <f t="array" ref="E588">IFERROR(_xlfn.LET(
_xlpm.CSVVal,_xlfn.XLOOKUP($A588,CSV!$A:$A,CSV!E:E,""),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_xlpm.CSVVal,_xlfn.XLOOKUP($A588,CSV!$A:$A,CSV!G:G,""),
_xlpm.MacVal,_xlfn.XLOOKUP($A588,Output_Mac!$A:$A,Output_Mac!G:G,""),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_xlfn.XLOOKUP(A588,Output_Mac!A:A,Output_Mac!H:H,"")</f>
        <v/>
      </c>
      <c r="I588" s="45" t="str" cm="1">
        <f t="array" ref="I588">IFERROR(_xlfn.LET(
_xlpm.CSVVal,_xlfn.XLOOKUP($A588,CSV!$A:$A,CSV!H:H,""),
_xlpm.MacVal,_xlfn.XLOOKUP($A588,Output_Mac!$A:$A,Output_Mac!I:I,""),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_xlpm.CSVVal,_xlfn.XLOOKUP($A588,CSV!$A:$A,CSV!J:J,""),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46" t="str" cm="1">
        <f t="array" ref="K588">IFERROR(_xlfn.LET(
_xlpm.CSVVal,_xlfn.XLOOKUP($A588,CSV!$A:$A,CSV!N:N,""),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_xlpm.CSVVal,_xlfn.XLOOKUP($A588,CSV!$A:$A,CSV!P:P,""),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CSV!AE:AE,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_xlpm.CSVVal,_xlfn.XLOOKUP($A588,CSV!$A:$A,CSV!AG:AG,""),
_xlpm.MacVal,_xlfn.XLOOKUP($A588,Output_Mac!$A:$A,Output_Mac!T:T,""),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6" t="str">
        <f>IF(LEFT(N588,4)="Pass","Nist SP 800-88",My_Audit!R588)&amp;""</f>
        <v/>
      </c>
      <c r="R588" s="45"/>
      <c r="S588" s="45"/>
      <c r="T588" s="46" t="str">
        <f>_xlfn.XLOOKUP(E588,Models!I:I,Models!J:J,"")</f>
        <v/>
      </c>
      <c r="U588" s="45"/>
      <c r="V588" s="45"/>
      <c r="W588" s="38" t="str">
        <f>_xlfn.LET(
    _xlpm.MacVal, _xlfn.XLOOKUP($A588, Output_Mac!$A:$A, Output_Mac!AA:AA, ""),
    _xlpm.MyAuditVal, _xlfn.XLOOKUP($A588, My_Audit!$A:$A, My_Audit!L:L, ""),
    _xlfn.TEXTJOIN(", ", TRUE, _xlpm.MyAuditVal, _xlpm.MacVal)
)</f>
        <v/>
      </c>
    </row>
    <row r="589" spans="1:23">
      <c r="A589" s="45" t="str">
        <f>_xlfn.TEXTJOIN("",TRUE,Input!$B$2,ROW(My_Audit!A588))</f>
        <v>CC588</v>
      </c>
      <c r="B589" s="45" t="str">
        <f>_xlfn.TEXTJOIN("-",TRUE,"ITD",Input!$A$2,A589)</f>
        <v>ITD-XXX-CC588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 cm="1">
        <f t="array" ref="D589">IFERROR(_xlfn.LET(
_xlpm.CSVVal,_xlfn.XLOOKUP($A589,CSV!$A:$A,CSV!C:C,""),
_xlpm.MacVal,_xlfn.XLOOKUP($A589,Output_Mac!$A:$A,Output_Mac!D:D,""),
_xlpm.MyAuditVal,_xlfn.XLOOKUP($A589,My_Audit!$A:$A,My_Audit!C:C,""),
_xlfn.IFS(_xlpm.MyAuditVal&lt;&gt;"",UPPER(_xlpm.MyAuditVal),_xlpm.MacVal&lt;&gt;"",_xlpm.MacVal,_xlpm.CSVVal&lt;&gt;"",_xlpm.CSVVal
)),"")</f>
        <v/>
      </c>
      <c r="E589" s="46" t="str" cm="1">
        <f t="array" ref="E589">IFERROR(_xlfn.LET(
_xlpm.CSVVal,_xlfn.XLOOKUP($A589,CSV!$A:$A,CSV!E:E,""),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_xlpm.CSVVal,_xlfn.XLOOKUP($A589,CSV!$A:$A,CSV!G:G,""),
_xlpm.MacVal,_xlfn.XLOOKUP($A589,Output_Mac!$A:$A,Output_Mac!G:G,""),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_xlfn.XLOOKUP(A589,Output_Mac!A:A,Output_Mac!H:H,"")</f>
        <v/>
      </c>
      <c r="I589" s="45" t="str" cm="1">
        <f t="array" ref="I589">IFERROR(_xlfn.LET(
_xlpm.CSVVal,_xlfn.XLOOKUP($A589,CSV!$A:$A,CSV!H:H,""),
_xlpm.MacVal,_xlfn.XLOOKUP($A589,Output_Mac!$A:$A,Output_Mac!I:I,""),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_xlpm.CSVVal,_xlfn.XLOOKUP($A589,CSV!$A:$A,CSV!J:J,""),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46" t="str" cm="1">
        <f t="array" ref="K589">IFERROR(_xlfn.LET(
_xlpm.CSVVal,_xlfn.XLOOKUP($A589,CSV!$A:$A,CSV!N:N,""),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_xlpm.CSVVal,_xlfn.XLOOKUP($A589,CSV!$A:$A,CSV!P:P,""),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CSV!AE:AE,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_xlpm.CSVVal,_xlfn.XLOOKUP($A589,CSV!$A:$A,CSV!AG:AG,""),
_xlpm.MacVal,_xlfn.XLOOKUP($A589,Output_Mac!$A:$A,Output_Mac!T:T,""),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6" t="str">
        <f>IF(LEFT(N589,4)="Pass","Nist SP 800-88",My_Audit!R589)&amp;""</f>
        <v/>
      </c>
      <c r="R589" s="45"/>
      <c r="S589" s="45"/>
      <c r="T589" s="46" t="str">
        <f>_xlfn.XLOOKUP(E589,Models!I:I,Models!J:J,"")</f>
        <v/>
      </c>
      <c r="U589" s="45"/>
      <c r="V589" s="45"/>
      <c r="W589" s="38" t="str">
        <f>_xlfn.LET(
    _xlpm.MacVal, _xlfn.XLOOKUP($A589, Output_Mac!$A:$A, Output_Mac!AA:AA, ""),
    _xlpm.MyAuditVal, _xlfn.XLOOKUP($A589, My_Audit!$A:$A, My_Audit!L:L, ""),
    _xlfn.TEXTJOIN(", ", TRUE, _xlpm.MyAuditVal, _xlpm.MacVal)
)</f>
        <v/>
      </c>
    </row>
    <row r="590" spans="1:23">
      <c r="A590" s="45" t="str">
        <f>_xlfn.TEXTJOIN("",TRUE,Input!$B$2,ROW(My_Audit!A589))</f>
        <v>CC589</v>
      </c>
      <c r="B590" s="45" t="str">
        <f>_xlfn.TEXTJOIN("-",TRUE,"ITD",Input!$A$2,A590)</f>
        <v>ITD-XXX-CC589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 cm="1">
        <f t="array" ref="D590">IFERROR(_xlfn.LET(
_xlpm.CSVVal,_xlfn.XLOOKUP($A590,CSV!$A:$A,CSV!C:C,""),
_xlpm.MacVal,_xlfn.XLOOKUP($A590,Output_Mac!$A:$A,Output_Mac!D:D,""),
_xlpm.MyAuditVal,_xlfn.XLOOKUP($A590,My_Audit!$A:$A,My_Audit!C:C,""),
_xlfn.IFS(_xlpm.MyAuditVal&lt;&gt;"",UPPER(_xlpm.MyAuditVal),_xlpm.MacVal&lt;&gt;"",_xlpm.MacVal,_xlpm.CSVVal&lt;&gt;"",_xlpm.CSVVal
)),"")</f>
        <v/>
      </c>
      <c r="E590" s="46" t="str" cm="1">
        <f t="array" ref="E590">IFERROR(_xlfn.LET(
_xlpm.CSVVal,_xlfn.XLOOKUP($A590,CSV!$A:$A,CSV!E:E,""),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_xlpm.CSVVal,_xlfn.XLOOKUP($A590,CSV!$A:$A,CSV!G:G,""),
_xlpm.MacVal,_xlfn.XLOOKUP($A590,Output_Mac!$A:$A,Output_Mac!G:G,""),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_xlfn.XLOOKUP(A590,Output_Mac!A:A,Output_Mac!H:H,"")</f>
        <v/>
      </c>
      <c r="I590" s="45" t="str" cm="1">
        <f t="array" ref="I590">IFERROR(_xlfn.LET(
_xlpm.CSVVal,_xlfn.XLOOKUP($A590,CSV!$A:$A,CSV!H:H,""),
_xlpm.MacVal,_xlfn.XLOOKUP($A590,Output_Mac!$A:$A,Output_Mac!I:I,""),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_xlpm.CSVVal,_xlfn.XLOOKUP($A590,CSV!$A:$A,CSV!J:J,""),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46" t="str" cm="1">
        <f t="array" ref="K590">IFERROR(_xlfn.LET(
_xlpm.CSVVal,_xlfn.XLOOKUP($A590,CSV!$A:$A,CSV!N:N,""),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_xlpm.CSVVal,_xlfn.XLOOKUP($A590,CSV!$A:$A,CSV!P:P,""),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CSV!AE:AE,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_xlpm.CSVVal,_xlfn.XLOOKUP($A590,CSV!$A:$A,CSV!AG:AG,""),
_xlpm.MacVal,_xlfn.XLOOKUP($A590,Output_Mac!$A:$A,Output_Mac!T:T,""),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6" t="str">
        <f>IF(LEFT(N590,4)="Pass","Nist SP 800-88",My_Audit!R590)&amp;""</f>
        <v/>
      </c>
      <c r="R590" s="45"/>
      <c r="S590" s="45"/>
      <c r="T590" s="46" t="str">
        <f>_xlfn.XLOOKUP(E590,Models!I:I,Models!J:J,"")</f>
        <v/>
      </c>
      <c r="U590" s="45"/>
      <c r="V590" s="45"/>
      <c r="W590" s="38" t="str">
        <f>_xlfn.LET(
    _xlpm.MacVal, _xlfn.XLOOKUP($A590, Output_Mac!$A:$A, Output_Mac!AA:AA, ""),
    _xlpm.MyAuditVal, _xlfn.XLOOKUP($A590, My_Audit!$A:$A, My_Audit!L:L, ""),
    _xlfn.TEXTJOIN(", ", TRUE, _xlpm.MyAuditVal, _xlpm.MacVal)
)</f>
        <v/>
      </c>
    </row>
    <row r="591" spans="1:23">
      <c r="A591" s="45" t="str">
        <f>_xlfn.TEXTJOIN("",TRUE,Input!$B$2,ROW(My_Audit!A590))</f>
        <v>CC590</v>
      </c>
      <c r="B591" s="45" t="str">
        <f>_xlfn.TEXTJOIN("-",TRUE,"ITD",Input!$A$2,A591)</f>
        <v>ITD-XXX-CC590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 cm="1">
        <f t="array" ref="D591">IFERROR(_xlfn.LET(
_xlpm.CSVVal,_xlfn.XLOOKUP($A591,CSV!$A:$A,CSV!C:C,""),
_xlpm.MacVal,_xlfn.XLOOKUP($A591,Output_Mac!$A:$A,Output_Mac!D:D,""),
_xlpm.MyAuditVal,_xlfn.XLOOKUP($A591,My_Audit!$A:$A,My_Audit!C:C,""),
_xlfn.IFS(_xlpm.MyAuditVal&lt;&gt;"",UPPER(_xlpm.MyAuditVal),_xlpm.MacVal&lt;&gt;"",_xlpm.MacVal,_xlpm.CSVVal&lt;&gt;"",_xlpm.CSVVal
)),"")</f>
        <v/>
      </c>
      <c r="E591" s="46" t="str" cm="1">
        <f t="array" ref="E591">IFERROR(_xlfn.LET(
_xlpm.CSVVal,_xlfn.XLOOKUP($A591,CSV!$A:$A,CSV!E:E,""),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_xlpm.CSVVal,_xlfn.XLOOKUP($A591,CSV!$A:$A,CSV!G:G,""),
_xlpm.MacVal,_xlfn.XLOOKUP($A591,Output_Mac!$A:$A,Output_Mac!G:G,""),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_xlfn.XLOOKUP(A591,Output_Mac!A:A,Output_Mac!H:H,"")</f>
        <v/>
      </c>
      <c r="I591" s="45" t="str" cm="1">
        <f t="array" ref="I591">IFERROR(_xlfn.LET(
_xlpm.CSVVal,_xlfn.XLOOKUP($A591,CSV!$A:$A,CSV!H:H,""),
_xlpm.MacVal,_xlfn.XLOOKUP($A591,Output_Mac!$A:$A,Output_Mac!I:I,""),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_xlpm.CSVVal,_xlfn.XLOOKUP($A591,CSV!$A:$A,CSV!J:J,""),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46" t="str" cm="1">
        <f t="array" ref="K591">IFERROR(_xlfn.LET(
_xlpm.CSVVal,_xlfn.XLOOKUP($A591,CSV!$A:$A,CSV!N:N,""),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_xlpm.CSVVal,_xlfn.XLOOKUP($A591,CSV!$A:$A,CSV!P:P,""),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CSV!AE:AE,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_xlpm.CSVVal,_xlfn.XLOOKUP($A591,CSV!$A:$A,CSV!AG:AG,""),
_xlpm.MacVal,_xlfn.XLOOKUP($A591,Output_Mac!$A:$A,Output_Mac!T:T,""),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6" t="str">
        <f>IF(LEFT(N591,4)="Pass","Nist SP 800-88",My_Audit!R591)&amp;""</f>
        <v/>
      </c>
      <c r="R591" s="45"/>
      <c r="S591" s="45"/>
      <c r="T591" s="46" t="str">
        <f>_xlfn.XLOOKUP(E591,Models!I:I,Models!J:J,"")</f>
        <v/>
      </c>
      <c r="U591" s="45"/>
      <c r="V591" s="45"/>
      <c r="W591" s="38" t="str">
        <f>_xlfn.LET(
    _xlpm.MacVal, _xlfn.XLOOKUP($A591, Output_Mac!$A:$A, Output_Mac!AA:AA, ""),
    _xlpm.MyAuditVal, _xlfn.XLOOKUP($A591, My_Audit!$A:$A, My_Audit!L:L, ""),
    _xlfn.TEXTJOIN(", ", TRUE, _xlpm.MyAuditVal, _xlpm.MacVal)
)</f>
        <v/>
      </c>
    </row>
    <row r="592" spans="1:23">
      <c r="A592" s="45" t="str">
        <f>_xlfn.TEXTJOIN("",TRUE,Input!$B$2,ROW(My_Audit!A591))</f>
        <v>CC591</v>
      </c>
      <c r="B592" s="45" t="str">
        <f>_xlfn.TEXTJOIN("-",TRUE,"ITD",Input!$A$2,A592)</f>
        <v>ITD-XXX-CC591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 cm="1">
        <f t="array" ref="D592">IFERROR(_xlfn.LET(
_xlpm.CSVVal,_xlfn.XLOOKUP($A592,CSV!$A:$A,CSV!C:C,""),
_xlpm.MacVal,_xlfn.XLOOKUP($A592,Output_Mac!$A:$A,Output_Mac!D:D,""),
_xlpm.MyAuditVal,_xlfn.XLOOKUP($A592,My_Audit!$A:$A,My_Audit!C:C,""),
_xlfn.IFS(_xlpm.MyAuditVal&lt;&gt;"",UPPER(_xlpm.MyAuditVal),_xlpm.MacVal&lt;&gt;"",_xlpm.MacVal,_xlpm.CSVVal&lt;&gt;"",_xlpm.CSVVal
)),"")</f>
        <v/>
      </c>
      <c r="E592" s="46" t="str" cm="1">
        <f t="array" ref="E592">IFERROR(_xlfn.LET(
_xlpm.CSVVal,_xlfn.XLOOKUP($A592,CSV!$A:$A,CSV!E:E,""),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_xlpm.CSVVal,_xlfn.XLOOKUP($A592,CSV!$A:$A,CSV!G:G,""),
_xlpm.MacVal,_xlfn.XLOOKUP($A592,Output_Mac!$A:$A,Output_Mac!G:G,""),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_xlfn.XLOOKUP(A592,Output_Mac!A:A,Output_Mac!H:H,"")</f>
        <v/>
      </c>
      <c r="I592" s="45" t="str" cm="1">
        <f t="array" ref="I592">IFERROR(_xlfn.LET(
_xlpm.CSVVal,_xlfn.XLOOKUP($A592,CSV!$A:$A,CSV!H:H,""),
_xlpm.MacVal,_xlfn.XLOOKUP($A592,Output_Mac!$A:$A,Output_Mac!I:I,""),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_xlpm.CSVVal,_xlfn.XLOOKUP($A592,CSV!$A:$A,CSV!J:J,""),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46" t="str" cm="1">
        <f t="array" ref="K592">IFERROR(_xlfn.LET(
_xlpm.CSVVal,_xlfn.XLOOKUP($A592,CSV!$A:$A,CSV!N:N,""),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_xlpm.CSVVal,_xlfn.XLOOKUP($A592,CSV!$A:$A,CSV!P:P,""),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CSV!AE:AE,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_xlpm.CSVVal,_xlfn.XLOOKUP($A592,CSV!$A:$A,CSV!AG:AG,""),
_xlpm.MacVal,_xlfn.XLOOKUP($A592,Output_Mac!$A:$A,Output_Mac!T:T,""),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6" t="str">
        <f>IF(LEFT(N592,4)="Pass","Nist SP 800-88",My_Audit!R592)&amp;""</f>
        <v/>
      </c>
      <c r="R592" s="45"/>
      <c r="S592" s="45"/>
      <c r="T592" s="46" t="str">
        <f>_xlfn.XLOOKUP(E592,Models!I:I,Models!J:J,"")</f>
        <v/>
      </c>
      <c r="U592" s="45"/>
      <c r="V592" s="45"/>
      <c r="W592" s="38" t="str">
        <f>_xlfn.LET(
    _xlpm.MacVal, _xlfn.XLOOKUP($A592, Output_Mac!$A:$A, Output_Mac!AA:AA, ""),
    _xlpm.MyAuditVal, _xlfn.XLOOKUP($A592, My_Audit!$A:$A, My_Audit!L:L, ""),
    _xlfn.TEXTJOIN(", ", TRUE, _xlpm.MyAuditVal, _xlpm.MacVal)
)</f>
        <v/>
      </c>
    </row>
    <row r="593" spans="1:23">
      <c r="A593" s="45" t="str">
        <f>_xlfn.TEXTJOIN("",TRUE,Input!$B$2,ROW(My_Audit!A592))</f>
        <v>CC592</v>
      </c>
      <c r="B593" s="45" t="str">
        <f>_xlfn.TEXTJOIN("-",TRUE,"ITD",Input!$A$2,A593)</f>
        <v>ITD-XXX-CC592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 cm="1">
        <f t="array" ref="D593">IFERROR(_xlfn.LET(
_xlpm.CSVVal,_xlfn.XLOOKUP($A593,CSV!$A:$A,CSV!C:C,""),
_xlpm.MacVal,_xlfn.XLOOKUP($A593,Output_Mac!$A:$A,Output_Mac!D:D,""),
_xlpm.MyAuditVal,_xlfn.XLOOKUP($A593,My_Audit!$A:$A,My_Audit!C:C,""),
_xlfn.IFS(_xlpm.MyAuditVal&lt;&gt;"",UPPER(_xlpm.MyAuditVal),_xlpm.MacVal&lt;&gt;"",_xlpm.MacVal,_xlpm.CSVVal&lt;&gt;"",_xlpm.CSVVal
)),"")</f>
        <v/>
      </c>
      <c r="E593" s="46" t="str" cm="1">
        <f t="array" ref="E593">IFERROR(_xlfn.LET(
_xlpm.CSVVal,_xlfn.XLOOKUP($A593,CSV!$A:$A,CSV!E:E,""),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_xlpm.CSVVal,_xlfn.XLOOKUP($A593,CSV!$A:$A,CSV!G:G,""),
_xlpm.MacVal,_xlfn.XLOOKUP($A593,Output_Mac!$A:$A,Output_Mac!G:G,""),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_xlfn.XLOOKUP(A593,Output_Mac!A:A,Output_Mac!H:H,"")</f>
        <v/>
      </c>
      <c r="I593" s="45" t="str" cm="1">
        <f t="array" ref="I593">IFERROR(_xlfn.LET(
_xlpm.CSVVal,_xlfn.XLOOKUP($A593,CSV!$A:$A,CSV!H:H,""),
_xlpm.MacVal,_xlfn.XLOOKUP($A593,Output_Mac!$A:$A,Output_Mac!I:I,""),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_xlpm.CSVVal,_xlfn.XLOOKUP($A593,CSV!$A:$A,CSV!J:J,""),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46" t="str" cm="1">
        <f t="array" ref="K593">IFERROR(_xlfn.LET(
_xlpm.CSVVal,_xlfn.XLOOKUP($A593,CSV!$A:$A,CSV!N:N,""),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_xlpm.CSVVal,_xlfn.XLOOKUP($A593,CSV!$A:$A,CSV!P:P,""),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CSV!AE:AE,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_xlpm.CSVVal,_xlfn.XLOOKUP($A593,CSV!$A:$A,CSV!AG:AG,""),
_xlpm.MacVal,_xlfn.XLOOKUP($A593,Output_Mac!$A:$A,Output_Mac!T:T,""),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6" t="str">
        <f>IF(LEFT(N593,4)="Pass","Nist SP 800-88",My_Audit!R593)&amp;""</f>
        <v/>
      </c>
      <c r="R593" s="45"/>
      <c r="S593" s="45"/>
      <c r="T593" s="46" t="str">
        <f>_xlfn.XLOOKUP(E593,Models!I:I,Models!J:J,"")</f>
        <v/>
      </c>
      <c r="U593" s="45"/>
      <c r="V593" s="45"/>
      <c r="W593" s="38" t="str">
        <f>_xlfn.LET(
    _xlpm.MacVal, _xlfn.XLOOKUP($A593, Output_Mac!$A:$A, Output_Mac!AA:AA, ""),
    _xlpm.MyAuditVal, _xlfn.XLOOKUP($A593, My_Audit!$A:$A, My_Audit!L:L, ""),
    _xlfn.TEXTJOIN(", ", TRUE, _xlpm.MyAuditVal, _xlpm.MacVal)
)</f>
        <v/>
      </c>
    </row>
    <row r="594" spans="1:23">
      <c r="A594" s="45" t="str">
        <f>_xlfn.TEXTJOIN("",TRUE,Input!$B$2,ROW(My_Audit!A593))</f>
        <v>CC593</v>
      </c>
      <c r="B594" s="45" t="str">
        <f>_xlfn.TEXTJOIN("-",TRUE,"ITD",Input!$A$2,A594)</f>
        <v>ITD-XXX-CC593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 cm="1">
        <f t="array" ref="D594">IFERROR(_xlfn.LET(
_xlpm.CSVVal,_xlfn.XLOOKUP($A594,CSV!$A:$A,CSV!C:C,""),
_xlpm.MacVal,_xlfn.XLOOKUP($A594,Output_Mac!$A:$A,Output_Mac!D:D,""),
_xlpm.MyAuditVal,_xlfn.XLOOKUP($A594,My_Audit!$A:$A,My_Audit!C:C,""),
_xlfn.IFS(_xlpm.MyAuditVal&lt;&gt;"",UPPER(_xlpm.MyAuditVal),_xlpm.MacVal&lt;&gt;"",_xlpm.MacVal,_xlpm.CSVVal&lt;&gt;"",_xlpm.CSVVal
)),"")</f>
        <v/>
      </c>
      <c r="E594" s="46" t="str" cm="1">
        <f t="array" ref="E594">IFERROR(_xlfn.LET(
_xlpm.CSVVal,_xlfn.XLOOKUP($A594,CSV!$A:$A,CSV!E:E,""),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_xlpm.CSVVal,_xlfn.XLOOKUP($A594,CSV!$A:$A,CSV!G:G,""),
_xlpm.MacVal,_xlfn.XLOOKUP($A594,Output_Mac!$A:$A,Output_Mac!G:G,""),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_xlfn.XLOOKUP(A594,Output_Mac!A:A,Output_Mac!H:H,"")</f>
        <v/>
      </c>
      <c r="I594" s="45" t="str" cm="1">
        <f t="array" ref="I594">IFERROR(_xlfn.LET(
_xlpm.CSVVal,_xlfn.XLOOKUP($A594,CSV!$A:$A,CSV!H:H,""),
_xlpm.MacVal,_xlfn.XLOOKUP($A594,Output_Mac!$A:$A,Output_Mac!I:I,""),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_xlpm.CSVVal,_xlfn.XLOOKUP($A594,CSV!$A:$A,CSV!J:J,""),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46" t="str" cm="1">
        <f t="array" ref="K594">IFERROR(_xlfn.LET(
_xlpm.CSVVal,_xlfn.XLOOKUP($A594,CSV!$A:$A,CSV!N:N,""),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_xlpm.CSVVal,_xlfn.XLOOKUP($A594,CSV!$A:$A,CSV!P:P,""),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CSV!AE:AE,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_xlpm.CSVVal,_xlfn.XLOOKUP($A594,CSV!$A:$A,CSV!AG:AG,""),
_xlpm.MacVal,_xlfn.XLOOKUP($A594,Output_Mac!$A:$A,Output_Mac!T:T,""),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6" t="str">
        <f>IF(LEFT(N594,4)="Pass","Nist SP 800-88",My_Audit!R594)&amp;""</f>
        <v/>
      </c>
      <c r="R594" s="45"/>
      <c r="S594" s="45"/>
      <c r="T594" s="46" t="str">
        <f>_xlfn.XLOOKUP(E594,Models!I:I,Models!J:J,"")</f>
        <v/>
      </c>
      <c r="U594" s="45"/>
      <c r="V594" s="45"/>
      <c r="W594" s="38" t="str">
        <f>_xlfn.LET(
    _xlpm.MacVal, _xlfn.XLOOKUP($A594, Output_Mac!$A:$A, Output_Mac!AA:AA, ""),
    _xlpm.MyAuditVal, _xlfn.XLOOKUP($A594, My_Audit!$A:$A, My_Audit!L:L, ""),
    _xlfn.TEXTJOIN(", ", TRUE, _xlpm.MyAuditVal, _xlpm.MacVal)
)</f>
        <v/>
      </c>
    </row>
    <row r="595" spans="1:23">
      <c r="A595" s="45" t="str">
        <f>_xlfn.TEXTJOIN("",TRUE,Input!$B$2,ROW(My_Audit!A594))</f>
        <v>CC594</v>
      </c>
      <c r="B595" s="45" t="str">
        <f>_xlfn.TEXTJOIN("-",TRUE,"ITD",Input!$A$2,A595)</f>
        <v>ITD-XXX-CC594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 cm="1">
        <f t="array" ref="D595">IFERROR(_xlfn.LET(
_xlpm.CSVVal,_xlfn.XLOOKUP($A595,CSV!$A:$A,CSV!C:C,""),
_xlpm.MacVal,_xlfn.XLOOKUP($A595,Output_Mac!$A:$A,Output_Mac!D:D,""),
_xlpm.MyAuditVal,_xlfn.XLOOKUP($A595,My_Audit!$A:$A,My_Audit!C:C,""),
_xlfn.IFS(_xlpm.MyAuditVal&lt;&gt;"",UPPER(_xlpm.MyAuditVal),_xlpm.MacVal&lt;&gt;"",_xlpm.MacVal,_xlpm.CSVVal&lt;&gt;"",_xlpm.CSVVal
)),"")</f>
        <v/>
      </c>
      <c r="E595" s="46" t="str" cm="1">
        <f t="array" ref="E595">IFERROR(_xlfn.LET(
_xlpm.CSVVal,_xlfn.XLOOKUP($A595,CSV!$A:$A,CSV!E:E,""),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_xlpm.CSVVal,_xlfn.XLOOKUP($A595,CSV!$A:$A,CSV!G:G,""),
_xlpm.MacVal,_xlfn.XLOOKUP($A595,Output_Mac!$A:$A,Output_Mac!G:G,""),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_xlfn.XLOOKUP(A595,Output_Mac!A:A,Output_Mac!H:H,"")</f>
        <v/>
      </c>
      <c r="I595" s="45" t="str" cm="1">
        <f t="array" ref="I595">IFERROR(_xlfn.LET(
_xlpm.CSVVal,_xlfn.XLOOKUP($A595,CSV!$A:$A,CSV!H:H,""),
_xlpm.MacVal,_xlfn.XLOOKUP($A595,Output_Mac!$A:$A,Output_Mac!I:I,""),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_xlpm.CSVVal,_xlfn.XLOOKUP($A595,CSV!$A:$A,CSV!J:J,""),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46" t="str" cm="1">
        <f t="array" ref="K595">IFERROR(_xlfn.LET(
_xlpm.CSVVal,_xlfn.XLOOKUP($A595,CSV!$A:$A,CSV!N:N,""),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_xlpm.CSVVal,_xlfn.XLOOKUP($A595,CSV!$A:$A,CSV!P:P,""),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CSV!AE:AE,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_xlpm.CSVVal,_xlfn.XLOOKUP($A595,CSV!$A:$A,CSV!AG:AG,""),
_xlpm.MacVal,_xlfn.XLOOKUP($A595,Output_Mac!$A:$A,Output_Mac!T:T,""),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6" t="str">
        <f>IF(LEFT(N595,4)="Pass","Nist SP 800-88",My_Audit!R595)&amp;""</f>
        <v/>
      </c>
      <c r="R595" s="45"/>
      <c r="S595" s="45"/>
      <c r="T595" s="46" t="str">
        <f>_xlfn.XLOOKUP(E595,Models!I:I,Models!J:J,"")</f>
        <v/>
      </c>
      <c r="U595" s="45"/>
      <c r="V595" s="45"/>
      <c r="W595" s="38" t="str">
        <f>_xlfn.LET(
    _xlpm.MacVal, _xlfn.XLOOKUP($A595, Output_Mac!$A:$A, Output_Mac!AA:AA, ""),
    _xlpm.MyAuditVal, _xlfn.XLOOKUP($A595, My_Audit!$A:$A, My_Audit!L:L, ""),
    _xlfn.TEXTJOIN(", ", TRUE, _xlpm.MyAuditVal, _xlpm.MacVal)
)</f>
        <v/>
      </c>
    </row>
    <row r="596" spans="1:23">
      <c r="A596" s="45" t="str">
        <f>_xlfn.TEXTJOIN("",TRUE,Input!$B$2,ROW(My_Audit!A595))</f>
        <v>CC595</v>
      </c>
      <c r="B596" s="45" t="str">
        <f>_xlfn.TEXTJOIN("-",TRUE,"ITD",Input!$A$2,A596)</f>
        <v>ITD-XXX-CC595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 cm="1">
        <f t="array" ref="D596">IFERROR(_xlfn.LET(
_xlpm.CSVVal,_xlfn.XLOOKUP($A596,CSV!$A:$A,CSV!C:C,""),
_xlpm.MacVal,_xlfn.XLOOKUP($A596,Output_Mac!$A:$A,Output_Mac!D:D,""),
_xlpm.MyAuditVal,_xlfn.XLOOKUP($A596,My_Audit!$A:$A,My_Audit!C:C,""),
_xlfn.IFS(_xlpm.MyAuditVal&lt;&gt;"",UPPER(_xlpm.MyAuditVal),_xlpm.MacVal&lt;&gt;"",_xlpm.MacVal,_xlpm.CSVVal&lt;&gt;"",_xlpm.CSVVal
)),"")</f>
        <v/>
      </c>
      <c r="E596" s="46" t="str" cm="1">
        <f t="array" ref="E596">IFERROR(_xlfn.LET(
_xlpm.CSVVal,_xlfn.XLOOKUP($A596,CSV!$A:$A,CSV!E:E,""),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_xlpm.CSVVal,_xlfn.XLOOKUP($A596,CSV!$A:$A,CSV!G:G,""),
_xlpm.MacVal,_xlfn.XLOOKUP($A596,Output_Mac!$A:$A,Output_Mac!G:G,""),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_xlfn.XLOOKUP(A596,Output_Mac!A:A,Output_Mac!H:H,"")</f>
        <v/>
      </c>
      <c r="I596" s="45" t="str" cm="1">
        <f t="array" ref="I596">IFERROR(_xlfn.LET(
_xlpm.CSVVal,_xlfn.XLOOKUP($A596,CSV!$A:$A,CSV!H:H,""),
_xlpm.MacVal,_xlfn.XLOOKUP($A596,Output_Mac!$A:$A,Output_Mac!I:I,""),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_xlpm.CSVVal,_xlfn.XLOOKUP($A596,CSV!$A:$A,CSV!J:J,""),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46" t="str" cm="1">
        <f t="array" ref="K596">IFERROR(_xlfn.LET(
_xlpm.CSVVal,_xlfn.XLOOKUP($A596,CSV!$A:$A,CSV!N:N,""),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_xlpm.CSVVal,_xlfn.XLOOKUP($A596,CSV!$A:$A,CSV!P:P,""),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CSV!AE:AE,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_xlpm.CSVVal,_xlfn.XLOOKUP($A596,CSV!$A:$A,CSV!AG:AG,""),
_xlpm.MacVal,_xlfn.XLOOKUP($A596,Output_Mac!$A:$A,Output_Mac!T:T,""),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6" t="str">
        <f>IF(LEFT(N596,4)="Pass","Nist SP 800-88",My_Audit!R596)&amp;""</f>
        <v/>
      </c>
      <c r="R596" s="45"/>
      <c r="S596" s="45"/>
      <c r="T596" s="46" t="str">
        <f>_xlfn.XLOOKUP(E596,Models!I:I,Models!J:J,"")</f>
        <v/>
      </c>
      <c r="U596" s="45"/>
      <c r="V596" s="45"/>
      <c r="W596" s="38" t="str">
        <f>_xlfn.LET(
    _xlpm.MacVal, _xlfn.XLOOKUP($A596, Output_Mac!$A:$A, Output_Mac!AA:AA, ""),
    _xlpm.MyAuditVal, _xlfn.XLOOKUP($A596, My_Audit!$A:$A, My_Audit!L:L, ""),
    _xlfn.TEXTJOIN(", ", TRUE, _xlpm.MyAuditVal, _xlpm.MacVal)
)</f>
        <v/>
      </c>
    </row>
    <row r="597" spans="1:23">
      <c r="A597" s="45" t="str">
        <f>_xlfn.TEXTJOIN("",TRUE,Input!$B$2,ROW(My_Audit!A596))</f>
        <v>CC596</v>
      </c>
      <c r="B597" s="45" t="str">
        <f>_xlfn.TEXTJOIN("-",TRUE,"ITD",Input!$A$2,A597)</f>
        <v>ITD-XXX-CC596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 cm="1">
        <f t="array" ref="D597">IFERROR(_xlfn.LET(
_xlpm.CSVVal,_xlfn.XLOOKUP($A597,CSV!$A:$A,CSV!C:C,""),
_xlpm.MacVal,_xlfn.XLOOKUP($A597,Output_Mac!$A:$A,Output_Mac!D:D,""),
_xlpm.MyAuditVal,_xlfn.XLOOKUP($A597,My_Audit!$A:$A,My_Audit!C:C,""),
_xlfn.IFS(_xlpm.MyAuditVal&lt;&gt;"",UPPER(_xlpm.MyAuditVal),_xlpm.MacVal&lt;&gt;"",_xlpm.MacVal,_xlpm.CSVVal&lt;&gt;"",_xlpm.CSVVal
)),"")</f>
        <v/>
      </c>
      <c r="E597" s="46" t="str" cm="1">
        <f t="array" ref="E597">IFERROR(_xlfn.LET(
_xlpm.CSVVal,_xlfn.XLOOKUP($A597,CSV!$A:$A,CSV!E:E,""),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_xlpm.CSVVal,_xlfn.XLOOKUP($A597,CSV!$A:$A,CSV!G:G,""),
_xlpm.MacVal,_xlfn.XLOOKUP($A597,Output_Mac!$A:$A,Output_Mac!G:G,""),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_xlfn.XLOOKUP(A597,Output_Mac!A:A,Output_Mac!H:H,"")</f>
        <v/>
      </c>
      <c r="I597" s="45" t="str" cm="1">
        <f t="array" ref="I597">IFERROR(_xlfn.LET(
_xlpm.CSVVal,_xlfn.XLOOKUP($A597,CSV!$A:$A,CSV!H:H,""),
_xlpm.MacVal,_xlfn.XLOOKUP($A597,Output_Mac!$A:$A,Output_Mac!I:I,""),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_xlpm.CSVVal,_xlfn.XLOOKUP($A597,CSV!$A:$A,CSV!J:J,""),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46" t="str" cm="1">
        <f t="array" ref="K597">IFERROR(_xlfn.LET(
_xlpm.CSVVal,_xlfn.XLOOKUP($A597,CSV!$A:$A,CSV!N:N,""),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_xlpm.CSVVal,_xlfn.XLOOKUP($A597,CSV!$A:$A,CSV!P:P,""),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CSV!AE:AE,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_xlpm.CSVVal,_xlfn.XLOOKUP($A597,CSV!$A:$A,CSV!AG:AG,""),
_xlpm.MacVal,_xlfn.XLOOKUP($A597,Output_Mac!$A:$A,Output_Mac!T:T,""),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6" t="str">
        <f>IF(LEFT(N597,4)="Pass","Nist SP 800-88",My_Audit!R597)&amp;""</f>
        <v/>
      </c>
      <c r="R597" s="45"/>
      <c r="S597" s="45"/>
      <c r="T597" s="46" t="str">
        <f>_xlfn.XLOOKUP(E597,Models!I:I,Models!J:J,"")</f>
        <v/>
      </c>
      <c r="U597" s="45"/>
      <c r="V597" s="45"/>
      <c r="W597" s="38" t="str">
        <f>_xlfn.LET(
    _xlpm.MacVal, _xlfn.XLOOKUP($A597, Output_Mac!$A:$A, Output_Mac!AA:AA, ""),
    _xlpm.MyAuditVal, _xlfn.XLOOKUP($A597, My_Audit!$A:$A, My_Audit!L:L, ""),
    _xlfn.TEXTJOIN(", ", TRUE, _xlpm.MyAuditVal, _xlpm.MacVal)
)</f>
        <v/>
      </c>
    </row>
    <row r="598" spans="1:23">
      <c r="A598" s="45" t="str">
        <f>_xlfn.TEXTJOIN("",TRUE,Input!$B$2,ROW(My_Audit!A597))</f>
        <v>CC597</v>
      </c>
      <c r="B598" s="45" t="str">
        <f>_xlfn.TEXTJOIN("-",TRUE,"ITD",Input!$A$2,A598)</f>
        <v>ITD-XXX-CC597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 cm="1">
        <f t="array" ref="D598">IFERROR(_xlfn.LET(
_xlpm.CSVVal,_xlfn.XLOOKUP($A598,CSV!$A:$A,CSV!C:C,""),
_xlpm.MacVal,_xlfn.XLOOKUP($A598,Output_Mac!$A:$A,Output_Mac!D:D,""),
_xlpm.MyAuditVal,_xlfn.XLOOKUP($A598,My_Audit!$A:$A,My_Audit!C:C,""),
_xlfn.IFS(_xlpm.MyAuditVal&lt;&gt;"",UPPER(_xlpm.MyAuditVal),_xlpm.MacVal&lt;&gt;"",_xlpm.MacVal,_xlpm.CSVVal&lt;&gt;"",_xlpm.CSVVal
)),"")</f>
        <v/>
      </c>
      <c r="E598" s="46" t="str" cm="1">
        <f t="array" ref="E598">IFERROR(_xlfn.LET(
_xlpm.CSVVal,_xlfn.XLOOKUP($A598,CSV!$A:$A,CSV!E:E,""),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_xlpm.CSVVal,_xlfn.XLOOKUP($A598,CSV!$A:$A,CSV!G:G,""),
_xlpm.MacVal,_xlfn.XLOOKUP($A598,Output_Mac!$A:$A,Output_Mac!G:G,""),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_xlfn.XLOOKUP(A598,Output_Mac!A:A,Output_Mac!H:H,"")</f>
        <v/>
      </c>
      <c r="I598" s="45" t="str" cm="1">
        <f t="array" ref="I598">IFERROR(_xlfn.LET(
_xlpm.CSVVal,_xlfn.XLOOKUP($A598,CSV!$A:$A,CSV!H:H,""),
_xlpm.MacVal,_xlfn.XLOOKUP($A598,Output_Mac!$A:$A,Output_Mac!I:I,""),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_xlpm.CSVVal,_xlfn.XLOOKUP($A598,CSV!$A:$A,CSV!J:J,""),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46" t="str" cm="1">
        <f t="array" ref="K598">IFERROR(_xlfn.LET(
_xlpm.CSVVal,_xlfn.XLOOKUP($A598,CSV!$A:$A,CSV!N:N,""),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_xlpm.CSVVal,_xlfn.XLOOKUP($A598,CSV!$A:$A,CSV!P:P,""),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CSV!AE:AE,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_xlpm.CSVVal,_xlfn.XLOOKUP($A598,CSV!$A:$A,CSV!AG:AG,""),
_xlpm.MacVal,_xlfn.XLOOKUP($A598,Output_Mac!$A:$A,Output_Mac!T:T,""),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6" t="str">
        <f>IF(LEFT(N598,4)="Pass","Nist SP 800-88",My_Audit!R598)&amp;""</f>
        <v/>
      </c>
      <c r="R598" s="45"/>
      <c r="S598" s="45"/>
      <c r="T598" s="46" t="str">
        <f>_xlfn.XLOOKUP(E598,Models!I:I,Models!J:J,"")</f>
        <v/>
      </c>
      <c r="U598" s="45"/>
      <c r="V598" s="45"/>
      <c r="W598" s="38" t="str">
        <f>_xlfn.LET(
    _xlpm.MacVal, _xlfn.XLOOKUP($A598, Output_Mac!$A:$A, Output_Mac!AA:AA, ""),
    _xlpm.MyAuditVal, _xlfn.XLOOKUP($A598, My_Audit!$A:$A, My_Audit!L:L, ""),
    _xlfn.TEXTJOIN(", ", TRUE, _xlpm.MyAuditVal, _xlpm.MacVal)
)</f>
        <v/>
      </c>
    </row>
    <row r="599" spans="1:23">
      <c r="A599" s="45" t="str">
        <f>_xlfn.TEXTJOIN("",TRUE,Input!$B$2,ROW(My_Audit!A598))</f>
        <v>CC598</v>
      </c>
      <c r="B599" s="45" t="str">
        <f>_xlfn.TEXTJOIN("-",TRUE,"ITD",Input!$A$2,A599)</f>
        <v>ITD-XXX-CC598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 cm="1">
        <f t="array" ref="D599">IFERROR(_xlfn.LET(
_xlpm.CSVVal,_xlfn.XLOOKUP($A599,CSV!$A:$A,CSV!C:C,""),
_xlpm.MacVal,_xlfn.XLOOKUP($A599,Output_Mac!$A:$A,Output_Mac!D:D,""),
_xlpm.MyAuditVal,_xlfn.XLOOKUP($A599,My_Audit!$A:$A,My_Audit!C:C,""),
_xlfn.IFS(_xlpm.MyAuditVal&lt;&gt;"",UPPER(_xlpm.MyAuditVal),_xlpm.MacVal&lt;&gt;"",_xlpm.MacVal,_xlpm.CSVVal&lt;&gt;"",_xlpm.CSVVal
)),"")</f>
        <v/>
      </c>
      <c r="E599" s="46" t="str" cm="1">
        <f t="array" ref="E599">IFERROR(_xlfn.LET(
_xlpm.CSVVal,_xlfn.XLOOKUP($A599,CSV!$A:$A,CSV!E:E,""),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_xlpm.CSVVal,_xlfn.XLOOKUP($A599,CSV!$A:$A,CSV!G:G,""),
_xlpm.MacVal,_xlfn.XLOOKUP($A599,Output_Mac!$A:$A,Output_Mac!G:G,""),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_xlfn.XLOOKUP(A599,Output_Mac!A:A,Output_Mac!H:H,"")</f>
        <v/>
      </c>
      <c r="I599" s="45" t="str" cm="1">
        <f t="array" ref="I599">IFERROR(_xlfn.LET(
_xlpm.CSVVal,_xlfn.XLOOKUP($A599,CSV!$A:$A,CSV!H:H,""),
_xlpm.MacVal,_xlfn.XLOOKUP($A599,Output_Mac!$A:$A,Output_Mac!I:I,""),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_xlpm.CSVVal,_xlfn.XLOOKUP($A599,CSV!$A:$A,CSV!J:J,""),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46" t="str" cm="1">
        <f t="array" ref="K599">IFERROR(_xlfn.LET(
_xlpm.CSVVal,_xlfn.XLOOKUP($A599,CSV!$A:$A,CSV!N:N,""),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_xlpm.CSVVal,_xlfn.XLOOKUP($A599,CSV!$A:$A,CSV!P:P,""),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CSV!AE:AE,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_xlpm.CSVVal,_xlfn.XLOOKUP($A599,CSV!$A:$A,CSV!AG:AG,""),
_xlpm.MacVal,_xlfn.XLOOKUP($A599,Output_Mac!$A:$A,Output_Mac!T:T,""),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6" t="str">
        <f>IF(LEFT(N599,4)="Pass","Nist SP 800-88",My_Audit!R599)&amp;""</f>
        <v/>
      </c>
      <c r="R599" s="45"/>
      <c r="S599" s="45"/>
      <c r="T599" s="46" t="str">
        <f>_xlfn.XLOOKUP(E599,Models!I:I,Models!J:J,"")</f>
        <v/>
      </c>
      <c r="U599" s="45"/>
      <c r="V599" s="45"/>
      <c r="W599" s="38" t="str">
        <f>_xlfn.LET(
    _xlpm.MacVal, _xlfn.XLOOKUP($A599, Output_Mac!$A:$A, Output_Mac!AA:AA, ""),
    _xlpm.MyAuditVal, _xlfn.XLOOKUP($A599, My_Audit!$A:$A, My_Audit!L:L, ""),
    _xlfn.TEXTJOIN(", ", TRUE, _xlpm.MyAuditVal, _xlpm.MacVal)
)</f>
        <v/>
      </c>
    </row>
    <row r="600" spans="1:23">
      <c r="A600" s="45" t="str">
        <f>_xlfn.TEXTJOIN("",TRUE,Input!$B$2,ROW(My_Audit!A599))</f>
        <v>CC599</v>
      </c>
      <c r="B600" s="45" t="str">
        <f>_xlfn.TEXTJOIN("-",TRUE,"ITD",Input!$A$2,A600)</f>
        <v>ITD-XXX-CC599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 cm="1">
        <f t="array" ref="D600">IFERROR(_xlfn.LET(
_xlpm.CSVVal,_xlfn.XLOOKUP($A600,CSV!$A:$A,CSV!C:C,""),
_xlpm.MacVal,_xlfn.XLOOKUP($A600,Output_Mac!$A:$A,Output_Mac!D:D,""),
_xlpm.MyAuditVal,_xlfn.XLOOKUP($A600,My_Audit!$A:$A,My_Audit!C:C,""),
_xlfn.IFS(_xlpm.MyAuditVal&lt;&gt;"",UPPER(_xlpm.MyAuditVal),_xlpm.MacVal&lt;&gt;"",_xlpm.MacVal,_xlpm.CSVVal&lt;&gt;"",_xlpm.CSVVal
)),"")</f>
        <v/>
      </c>
      <c r="E600" s="46" t="str" cm="1">
        <f t="array" ref="E600">IFERROR(_xlfn.LET(
_xlpm.CSVVal,_xlfn.XLOOKUP($A600,CSV!$A:$A,CSV!E:E,""),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_xlpm.CSVVal,_xlfn.XLOOKUP($A600,CSV!$A:$A,CSV!G:G,""),
_xlpm.MacVal,_xlfn.XLOOKUP($A600,Output_Mac!$A:$A,Output_Mac!G:G,""),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_xlfn.XLOOKUP(A600,Output_Mac!A:A,Output_Mac!H:H,"")</f>
        <v/>
      </c>
      <c r="I600" s="45" t="str" cm="1">
        <f t="array" ref="I600">IFERROR(_xlfn.LET(
_xlpm.CSVVal,_xlfn.XLOOKUP($A600,CSV!$A:$A,CSV!H:H,""),
_xlpm.MacVal,_xlfn.XLOOKUP($A600,Output_Mac!$A:$A,Output_Mac!I:I,""),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_xlpm.CSVVal,_xlfn.XLOOKUP($A600,CSV!$A:$A,CSV!J:J,""),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46" t="str" cm="1">
        <f t="array" ref="K600">IFERROR(_xlfn.LET(
_xlpm.CSVVal,_xlfn.XLOOKUP($A600,CSV!$A:$A,CSV!N:N,""),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_xlpm.CSVVal,_xlfn.XLOOKUP($A600,CSV!$A:$A,CSV!P:P,""),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CSV!AE:AE,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_xlpm.CSVVal,_xlfn.XLOOKUP($A600,CSV!$A:$A,CSV!AG:AG,""),
_xlpm.MacVal,_xlfn.XLOOKUP($A600,Output_Mac!$A:$A,Output_Mac!T:T,""),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6" t="str">
        <f>IF(LEFT(N600,4)="Pass","Nist SP 800-88",My_Audit!R600)&amp;""</f>
        <v/>
      </c>
      <c r="R600" s="45"/>
      <c r="S600" s="45"/>
      <c r="T600" s="46" t="str">
        <f>_xlfn.XLOOKUP(E600,Models!I:I,Models!J:J,"")</f>
        <v/>
      </c>
      <c r="U600" s="45"/>
      <c r="V600" s="45"/>
      <c r="W600" s="38" t="str">
        <f>_xlfn.LET(
    _xlpm.MacVal, _xlfn.XLOOKUP($A600, Output_Mac!$A:$A, Output_Mac!AA:AA, ""),
    _xlpm.MyAuditVal, _xlfn.XLOOKUP($A600, My_Audit!$A:$A, My_Audit!L:L, ""),
    _xlfn.TEXTJOIN(", ", TRUE, _xlpm.MyAuditVal, _xlpm.MacVal)
)</f>
        <v/>
      </c>
    </row>
    <row r="601" spans="1:23">
      <c r="A601" s="45" t="str">
        <f>_xlfn.TEXTJOIN("",TRUE,Input!$B$2,ROW(My_Audit!A600))</f>
        <v>CC600</v>
      </c>
      <c r="B601" s="45" t="str">
        <f>_xlfn.TEXTJOIN("-",TRUE,"ITD",Input!$A$2,A601)</f>
        <v>ITD-XXX-CC600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 cm="1">
        <f t="array" ref="D601">IFERROR(_xlfn.LET(
_xlpm.CSVVal,_xlfn.XLOOKUP($A601,CSV!$A:$A,CSV!C:C,""),
_xlpm.MacVal,_xlfn.XLOOKUP($A601,Output_Mac!$A:$A,Output_Mac!D:D,""),
_xlpm.MyAuditVal,_xlfn.XLOOKUP($A601,My_Audit!$A:$A,My_Audit!C:C,""),
_xlfn.IFS(_xlpm.MyAuditVal&lt;&gt;"",UPPER(_xlpm.MyAuditVal),_xlpm.MacVal&lt;&gt;"",_xlpm.MacVal,_xlpm.CSVVal&lt;&gt;"",_xlpm.CSVVal
)),"")</f>
        <v/>
      </c>
      <c r="E601" s="46" t="str" cm="1">
        <f t="array" ref="E601">IFERROR(_xlfn.LET(
_xlpm.CSVVal,_xlfn.XLOOKUP($A601,CSV!$A:$A,CSV!E:E,""),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_xlpm.CSVVal,_xlfn.XLOOKUP($A601,CSV!$A:$A,CSV!G:G,""),
_xlpm.MacVal,_xlfn.XLOOKUP($A601,Output_Mac!$A:$A,Output_Mac!G:G,""),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_xlfn.XLOOKUP(A601,Output_Mac!A:A,Output_Mac!H:H,"")</f>
        <v/>
      </c>
      <c r="I601" s="45" t="str" cm="1">
        <f t="array" ref="I601">IFERROR(_xlfn.LET(
_xlpm.CSVVal,_xlfn.XLOOKUP($A601,CSV!$A:$A,CSV!H:H,""),
_xlpm.MacVal,_xlfn.XLOOKUP($A601,Output_Mac!$A:$A,Output_Mac!I:I,""),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_xlpm.CSVVal,_xlfn.XLOOKUP($A601,CSV!$A:$A,CSV!J:J,""),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46" t="str" cm="1">
        <f t="array" ref="K601">IFERROR(_xlfn.LET(
_xlpm.CSVVal,_xlfn.XLOOKUP($A601,CSV!$A:$A,CSV!N:N,""),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_xlpm.CSVVal,_xlfn.XLOOKUP($A601,CSV!$A:$A,CSV!P:P,""),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CSV!AE:AE,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_xlpm.CSVVal,_xlfn.XLOOKUP($A601,CSV!$A:$A,CSV!AG:AG,""),
_xlpm.MacVal,_xlfn.XLOOKUP($A601,Output_Mac!$A:$A,Output_Mac!T:T,""),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6" t="str">
        <f>IF(LEFT(N601,4)="Pass","Nist SP 800-88",My_Audit!R601)&amp;""</f>
        <v/>
      </c>
      <c r="R601" s="45"/>
      <c r="S601" s="45"/>
      <c r="T601" s="46" t="str">
        <f>_xlfn.XLOOKUP(E601,Models!I:I,Models!J:J,"")</f>
        <v/>
      </c>
      <c r="U601" s="45"/>
      <c r="V601" s="45"/>
      <c r="W601" s="38" t="str">
        <f>_xlfn.LET(
    _xlpm.MacVal, _xlfn.XLOOKUP($A601, Output_Mac!$A:$A, Output_Mac!AA:AA, ""),
    _xlpm.MyAuditVal, _xlfn.XLOOKUP($A601, My_Audit!$A:$A, My_Audit!L:L, ""),
    _xlfn.TEXTJOIN(", ", TRUE, _xlpm.MyAuditVal, _xlpm.MacVal)
)</f>
        <v/>
      </c>
    </row>
    <row r="602" spans="1:23">
      <c r="A602" s="45" t="str">
        <f>_xlfn.TEXTJOIN("",TRUE,Input!$B$2,ROW(My_Audit!A601))</f>
        <v>CC601</v>
      </c>
      <c r="B602" s="45" t="str">
        <f>_xlfn.TEXTJOIN("-",TRUE,"ITD",Input!$A$2,A602)</f>
        <v>ITD-XXX-CC601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 cm="1">
        <f t="array" ref="D602">IFERROR(_xlfn.LET(
_xlpm.CSVVal,_xlfn.XLOOKUP($A602,CSV!$A:$A,CSV!C:C,""),
_xlpm.MacVal,_xlfn.XLOOKUP($A602,Output_Mac!$A:$A,Output_Mac!D:D,""),
_xlpm.MyAuditVal,_xlfn.XLOOKUP($A602,My_Audit!$A:$A,My_Audit!C:C,""),
_xlfn.IFS(_xlpm.MyAuditVal&lt;&gt;"",UPPER(_xlpm.MyAuditVal),_xlpm.MacVal&lt;&gt;"",_xlpm.MacVal,_xlpm.CSVVal&lt;&gt;"",_xlpm.CSVVal
)),"")</f>
        <v/>
      </c>
      <c r="E602" s="46" t="str" cm="1">
        <f t="array" ref="E602">IFERROR(_xlfn.LET(
_xlpm.CSVVal,_xlfn.XLOOKUP($A602,CSV!$A:$A,CSV!E:E,""),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_xlpm.CSVVal,_xlfn.XLOOKUP($A602,CSV!$A:$A,CSV!G:G,""),
_xlpm.MacVal,_xlfn.XLOOKUP($A602,Output_Mac!$A:$A,Output_Mac!G:G,""),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_xlfn.XLOOKUP(A602,Output_Mac!A:A,Output_Mac!H:H,"")</f>
        <v/>
      </c>
      <c r="I602" s="45" t="str" cm="1">
        <f t="array" ref="I602">IFERROR(_xlfn.LET(
_xlpm.CSVVal,_xlfn.XLOOKUP($A602,CSV!$A:$A,CSV!H:H,""),
_xlpm.MacVal,_xlfn.XLOOKUP($A602,Output_Mac!$A:$A,Output_Mac!I:I,""),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_xlpm.CSVVal,_xlfn.XLOOKUP($A602,CSV!$A:$A,CSV!J:J,""),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46" t="str" cm="1">
        <f t="array" ref="K602">IFERROR(_xlfn.LET(
_xlpm.CSVVal,_xlfn.XLOOKUP($A602,CSV!$A:$A,CSV!N:N,""),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_xlpm.CSVVal,_xlfn.XLOOKUP($A602,CSV!$A:$A,CSV!P:P,""),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CSV!AE:AE,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_xlpm.CSVVal,_xlfn.XLOOKUP($A602,CSV!$A:$A,CSV!AG:AG,""),
_xlpm.MacVal,_xlfn.XLOOKUP($A602,Output_Mac!$A:$A,Output_Mac!T:T,""),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6" t="str">
        <f>IF(LEFT(N602,4)="Pass","Nist SP 800-88",My_Audit!R602)&amp;""</f>
        <v/>
      </c>
      <c r="R602" s="45"/>
      <c r="S602" s="45"/>
      <c r="T602" s="46" t="str">
        <f>_xlfn.XLOOKUP(E602,Models!I:I,Models!J:J,"")</f>
        <v/>
      </c>
      <c r="U602" s="45"/>
      <c r="V602" s="45"/>
      <c r="W602" s="38" t="str">
        <f>_xlfn.LET(
    _xlpm.MacVal, _xlfn.XLOOKUP($A602, Output_Mac!$A:$A, Output_Mac!AA:AA, ""),
    _xlpm.MyAuditVal, _xlfn.XLOOKUP($A602, My_Audit!$A:$A, My_Audit!L:L, ""),
    _xlfn.TEXTJOIN(", ", TRUE, _xlpm.MyAuditVal, _xlpm.MacVal)
)</f>
        <v/>
      </c>
    </row>
    <row r="603" spans="1:23">
      <c r="A603" s="45" t="str">
        <f>_xlfn.TEXTJOIN("",TRUE,Input!$B$2,ROW(My_Audit!A602))</f>
        <v>CC602</v>
      </c>
      <c r="B603" s="45" t="str">
        <f>_xlfn.TEXTJOIN("-",TRUE,"ITD",Input!$A$2,A603)</f>
        <v>ITD-XXX-CC602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 cm="1">
        <f t="array" ref="D603">IFERROR(_xlfn.LET(
_xlpm.CSVVal,_xlfn.XLOOKUP($A603,CSV!$A:$A,CSV!C:C,""),
_xlpm.MacVal,_xlfn.XLOOKUP($A603,Output_Mac!$A:$A,Output_Mac!D:D,""),
_xlpm.MyAuditVal,_xlfn.XLOOKUP($A603,My_Audit!$A:$A,My_Audit!C:C,""),
_xlfn.IFS(_xlpm.MyAuditVal&lt;&gt;"",UPPER(_xlpm.MyAuditVal),_xlpm.MacVal&lt;&gt;"",_xlpm.MacVal,_xlpm.CSVVal&lt;&gt;"",_xlpm.CSVVal
)),"")</f>
        <v/>
      </c>
      <c r="E603" s="46" t="str" cm="1">
        <f t="array" ref="E603">IFERROR(_xlfn.LET(
_xlpm.CSVVal,_xlfn.XLOOKUP($A603,CSV!$A:$A,CSV!E:E,""),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_xlpm.CSVVal,_xlfn.XLOOKUP($A603,CSV!$A:$A,CSV!G:G,""),
_xlpm.MacVal,_xlfn.XLOOKUP($A603,Output_Mac!$A:$A,Output_Mac!G:G,""),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_xlfn.XLOOKUP(A603,Output_Mac!A:A,Output_Mac!H:H,"")</f>
        <v/>
      </c>
      <c r="I603" s="45" t="str" cm="1">
        <f t="array" ref="I603">IFERROR(_xlfn.LET(
_xlpm.CSVVal,_xlfn.XLOOKUP($A603,CSV!$A:$A,CSV!H:H,""),
_xlpm.MacVal,_xlfn.XLOOKUP($A603,Output_Mac!$A:$A,Output_Mac!I:I,""),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_xlpm.CSVVal,_xlfn.XLOOKUP($A603,CSV!$A:$A,CSV!J:J,""),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46" t="str" cm="1">
        <f t="array" ref="K603">IFERROR(_xlfn.LET(
_xlpm.CSVVal,_xlfn.XLOOKUP($A603,CSV!$A:$A,CSV!N:N,""),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_xlpm.CSVVal,_xlfn.XLOOKUP($A603,CSV!$A:$A,CSV!P:P,""),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CSV!AE:AE,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_xlpm.CSVVal,_xlfn.XLOOKUP($A603,CSV!$A:$A,CSV!AG:AG,""),
_xlpm.MacVal,_xlfn.XLOOKUP($A603,Output_Mac!$A:$A,Output_Mac!T:T,""),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6" t="str">
        <f>IF(LEFT(N603,4)="Pass","Nist SP 800-88",My_Audit!R603)&amp;""</f>
        <v/>
      </c>
      <c r="R603" s="45"/>
      <c r="S603" s="45"/>
      <c r="T603" s="46" t="str">
        <f>_xlfn.XLOOKUP(E603,Models!I:I,Models!J:J,"")</f>
        <v/>
      </c>
      <c r="U603" s="45"/>
      <c r="V603" s="45"/>
      <c r="W603" s="38" t="str">
        <f>_xlfn.LET(
    _xlpm.MacVal, _xlfn.XLOOKUP($A603, Output_Mac!$A:$A, Output_Mac!AA:AA, ""),
    _xlpm.MyAuditVal, _xlfn.XLOOKUP($A603, My_Audit!$A:$A, My_Audit!L:L, ""),
    _xlfn.TEXTJOIN(", ", TRUE, _xlpm.MyAuditVal, _xlpm.MacVal)
)</f>
        <v/>
      </c>
    </row>
    <row r="604" spans="1:23">
      <c r="A604" s="45" t="str">
        <f>_xlfn.TEXTJOIN("",TRUE,Input!$B$2,ROW(My_Audit!A603))</f>
        <v>CC603</v>
      </c>
      <c r="B604" s="45" t="str">
        <f>_xlfn.TEXTJOIN("-",TRUE,"ITD",Input!$A$2,A604)</f>
        <v>ITD-XXX-CC603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 cm="1">
        <f t="array" ref="D604">IFERROR(_xlfn.LET(
_xlpm.CSVVal,_xlfn.XLOOKUP($A604,CSV!$A:$A,CSV!C:C,""),
_xlpm.MacVal,_xlfn.XLOOKUP($A604,Output_Mac!$A:$A,Output_Mac!D:D,""),
_xlpm.MyAuditVal,_xlfn.XLOOKUP($A604,My_Audit!$A:$A,My_Audit!C:C,""),
_xlfn.IFS(_xlpm.MyAuditVal&lt;&gt;"",UPPER(_xlpm.MyAuditVal),_xlpm.MacVal&lt;&gt;"",_xlpm.MacVal,_xlpm.CSVVal&lt;&gt;"",_xlpm.CSVVal
)),"")</f>
        <v/>
      </c>
      <c r="E604" s="46" t="str" cm="1">
        <f t="array" ref="E604">IFERROR(_xlfn.LET(
_xlpm.CSVVal,_xlfn.XLOOKUP($A604,CSV!$A:$A,CSV!E:E,""),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_xlpm.CSVVal,_xlfn.XLOOKUP($A604,CSV!$A:$A,CSV!G:G,""),
_xlpm.MacVal,_xlfn.XLOOKUP($A604,Output_Mac!$A:$A,Output_Mac!G:G,""),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_xlfn.XLOOKUP(A604,Output_Mac!A:A,Output_Mac!H:H,"")</f>
        <v/>
      </c>
      <c r="I604" s="45" t="str" cm="1">
        <f t="array" ref="I604">IFERROR(_xlfn.LET(
_xlpm.CSVVal,_xlfn.XLOOKUP($A604,CSV!$A:$A,CSV!H:H,""),
_xlpm.MacVal,_xlfn.XLOOKUP($A604,Output_Mac!$A:$A,Output_Mac!I:I,""),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_xlpm.CSVVal,_xlfn.XLOOKUP($A604,CSV!$A:$A,CSV!J:J,""),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46" t="str" cm="1">
        <f t="array" ref="K604">IFERROR(_xlfn.LET(
_xlpm.CSVVal,_xlfn.XLOOKUP($A604,CSV!$A:$A,CSV!N:N,""),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_xlpm.CSVVal,_xlfn.XLOOKUP($A604,CSV!$A:$A,CSV!P:P,""),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CSV!AE:AE,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_xlpm.CSVVal,_xlfn.XLOOKUP($A604,CSV!$A:$A,CSV!AG:AG,""),
_xlpm.MacVal,_xlfn.XLOOKUP($A604,Output_Mac!$A:$A,Output_Mac!T:T,""),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6" t="str">
        <f>IF(LEFT(N604,4)="Pass","Nist SP 800-88",My_Audit!R604)&amp;""</f>
        <v/>
      </c>
      <c r="R604" s="45"/>
      <c r="S604" s="45"/>
      <c r="T604" s="46" t="str">
        <f>_xlfn.XLOOKUP(E604,Models!I:I,Models!J:J,"")</f>
        <v/>
      </c>
      <c r="U604" s="45"/>
      <c r="V604" s="45"/>
      <c r="W604" s="38" t="str">
        <f>_xlfn.LET(
    _xlpm.MacVal, _xlfn.XLOOKUP($A604, Output_Mac!$A:$A, Output_Mac!AA:AA, ""),
    _xlpm.MyAuditVal, _xlfn.XLOOKUP($A604, My_Audit!$A:$A, My_Audit!L:L, ""),
    _xlfn.TEXTJOIN(", ", TRUE, _xlpm.MyAuditVal, _xlpm.MacVal)
)</f>
        <v/>
      </c>
    </row>
    <row r="605" spans="1:23">
      <c r="A605" s="45" t="str">
        <f>_xlfn.TEXTJOIN("",TRUE,Input!$B$2,ROW(My_Audit!A604))</f>
        <v>CC604</v>
      </c>
      <c r="B605" s="45" t="str">
        <f>_xlfn.TEXTJOIN("-",TRUE,"ITD",Input!$A$2,A605)</f>
        <v>ITD-XXX-CC604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 cm="1">
        <f t="array" ref="D605">IFERROR(_xlfn.LET(
_xlpm.CSVVal,_xlfn.XLOOKUP($A605,CSV!$A:$A,CSV!C:C,""),
_xlpm.MacVal,_xlfn.XLOOKUP($A605,Output_Mac!$A:$A,Output_Mac!D:D,""),
_xlpm.MyAuditVal,_xlfn.XLOOKUP($A605,My_Audit!$A:$A,My_Audit!C:C,""),
_xlfn.IFS(_xlpm.MyAuditVal&lt;&gt;"",UPPER(_xlpm.MyAuditVal),_xlpm.MacVal&lt;&gt;"",_xlpm.MacVal,_xlpm.CSVVal&lt;&gt;"",_xlpm.CSVVal
)),"")</f>
        <v/>
      </c>
      <c r="E605" s="46" t="str" cm="1">
        <f t="array" ref="E605">IFERROR(_xlfn.LET(
_xlpm.CSVVal,_xlfn.XLOOKUP($A605,CSV!$A:$A,CSV!E:E,""),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_xlpm.CSVVal,_xlfn.XLOOKUP($A605,CSV!$A:$A,CSV!G:G,""),
_xlpm.MacVal,_xlfn.XLOOKUP($A605,Output_Mac!$A:$A,Output_Mac!G:G,""),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_xlfn.XLOOKUP(A605,Output_Mac!A:A,Output_Mac!H:H,"")</f>
        <v/>
      </c>
      <c r="I605" s="45" t="str" cm="1">
        <f t="array" ref="I605">IFERROR(_xlfn.LET(
_xlpm.CSVVal,_xlfn.XLOOKUP($A605,CSV!$A:$A,CSV!H:H,""),
_xlpm.MacVal,_xlfn.XLOOKUP($A605,Output_Mac!$A:$A,Output_Mac!I:I,""),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_xlpm.CSVVal,_xlfn.XLOOKUP($A605,CSV!$A:$A,CSV!J:J,""),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46" t="str" cm="1">
        <f t="array" ref="K605">IFERROR(_xlfn.LET(
_xlpm.CSVVal,_xlfn.XLOOKUP($A605,CSV!$A:$A,CSV!N:N,""),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_xlpm.CSVVal,_xlfn.XLOOKUP($A605,CSV!$A:$A,CSV!P:P,""),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CSV!AE:AE,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_xlpm.CSVVal,_xlfn.XLOOKUP($A605,CSV!$A:$A,CSV!AG:AG,""),
_xlpm.MacVal,_xlfn.XLOOKUP($A605,Output_Mac!$A:$A,Output_Mac!T:T,""),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6" t="str">
        <f>IF(LEFT(N605,4)="Pass","Nist SP 800-88",My_Audit!R605)&amp;""</f>
        <v/>
      </c>
      <c r="R605" s="45"/>
      <c r="S605" s="45"/>
      <c r="T605" s="46" t="str">
        <f>_xlfn.XLOOKUP(E605,Models!I:I,Models!J:J,"")</f>
        <v/>
      </c>
      <c r="U605" s="45"/>
      <c r="V605" s="45"/>
      <c r="W605" s="38" t="str">
        <f>_xlfn.LET(
    _xlpm.MacVal, _xlfn.XLOOKUP($A605, Output_Mac!$A:$A, Output_Mac!AA:AA, ""),
    _xlpm.MyAuditVal, _xlfn.XLOOKUP($A605, My_Audit!$A:$A, My_Audit!L:L, ""),
    _xlfn.TEXTJOIN(", ", TRUE, _xlpm.MyAuditVal, _xlpm.MacVal)
)</f>
        <v/>
      </c>
    </row>
    <row r="606" spans="1:23">
      <c r="A606" s="45" t="str">
        <f>_xlfn.TEXTJOIN("",TRUE,Input!$B$2,ROW(My_Audit!A605))</f>
        <v>CC605</v>
      </c>
      <c r="B606" s="45" t="str">
        <f>_xlfn.TEXTJOIN("-",TRUE,"ITD",Input!$A$2,A606)</f>
        <v>ITD-XXX-CC605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 cm="1">
        <f t="array" ref="D606">IFERROR(_xlfn.LET(
_xlpm.CSVVal,_xlfn.XLOOKUP($A606,CSV!$A:$A,CSV!C:C,""),
_xlpm.MacVal,_xlfn.XLOOKUP($A606,Output_Mac!$A:$A,Output_Mac!D:D,""),
_xlpm.MyAuditVal,_xlfn.XLOOKUP($A606,My_Audit!$A:$A,My_Audit!C:C,""),
_xlfn.IFS(_xlpm.MyAuditVal&lt;&gt;"",UPPER(_xlpm.MyAuditVal),_xlpm.MacVal&lt;&gt;"",_xlpm.MacVal,_xlpm.CSVVal&lt;&gt;"",_xlpm.CSVVal
)),"")</f>
        <v/>
      </c>
      <c r="E606" s="46" t="str" cm="1">
        <f t="array" ref="E606">IFERROR(_xlfn.LET(
_xlpm.CSVVal,_xlfn.XLOOKUP($A606,CSV!$A:$A,CSV!E:E,""),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_xlpm.CSVVal,_xlfn.XLOOKUP($A606,CSV!$A:$A,CSV!G:G,""),
_xlpm.MacVal,_xlfn.XLOOKUP($A606,Output_Mac!$A:$A,Output_Mac!G:G,""),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_xlfn.XLOOKUP(A606,Output_Mac!A:A,Output_Mac!H:H,"")</f>
        <v/>
      </c>
      <c r="I606" s="45" t="str" cm="1">
        <f t="array" ref="I606">IFERROR(_xlfn.LET(
_xlpm.CSVVal,_xlfn.XLOOKUP($A606,CSV!$A:$A,CSV!H:H,""),
_xlpm.MacVal,_xlfn.XLOOKUP($A606,Output_Mac!$A:$A,Output_Mac!I:I,""),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_xlpm.CSVVal,_xlfn.XLOOKUP($A606,CSV!$A:$A,CSV!J:J,""),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46" t="str" cm="1">
        <f t="array" ref="K606">IFERROR(_xlfn.LET(
_xlpm.CSVVal,_xlfn.XLOOKUP($A606,CSV!$A:$A,CSV!N:N,""),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_xlpm.CSVVal,_xlfn.XLOOKUP($A606,CSV!$A:$A,CSV!P:P,""),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CSV!AE:AE,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_xlpm.CSVVal,_xlfn.XLOOKUP($A606,CSV!$A:$A,CSV!AG:AG,""),
_xlpm.MacVal,_xlfn.XLOOKUP($A606,Output_Mac!$A:$A,Output_Mac!T:T,""),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6" t="str">
        <f>IF(LEFT(N606,4)="Pass","Nist SP 800-88",My_Audit!R606)&amp;""</f>
        <v/>
      </c>
      <c r="R606" s="45"/>
      <c r="S606" s="45"/>
      <c r="T606" s="46" t="str">
        <f>_xlfn.XLOOKUP(E606,Models!I:I,Models!J:J,"")</f>
        <v/>
      </c>
      <c r="U606" s="45"/>
      <c r="V606" s="45"/>
      <c r="W606" s="38" t="str">
        <f>_xlfn.LET(
    _xlpm.MacVal, _xlfn.XLOOKUP($A606, Output_Mac!$A:$A, Output_Mac!AA:AA, ""),
    _xlpm.MyAuditVal, _xlfn.XLOOKUP($A606, My_Audit!$A:$A, My_Audit!L:L, ""),
    _xlfn.TEXTJOIN(", ", TRUE, _xlpm.MyAuditVal, _xlpm.MacVal)
)</f>
        <v/>
      </c>
    </row>
    <row r="607" spans="1:23">
      <c r="A607" s="45" t="str">
        <f>_xlfn.TEXTJOIN("",TRUE,Input!$B$2,ROW(My_Audit!A606))</f>
        <v>CC606</v>
      </c>
      <c r="B607" s="45" t="str">
        <f>_xlfn.TEXTJOIN("-",TRUE,"ITD",Input!$A$2,A607)</f>
        <v>ITD-XXX-CC606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 cm="1">
        <f t="array" ref="D607">IFERROR(_xlfn.LET(
_xlpm.CSVVal,_xlfn.XLOOKUP($A607,CSV!$A:$A,CSV!C:C,""),
_xlpm.MacVal,_xlfn.XLOOKUP($A607,Output_Mac!$A:$A,Output_Mac!D:D,""),
_xlpm.MyAuditVal,_xlfn.XLOOKUP($A607,My_Audit!$A:$A,My_Audit!C:C,""),
_xlfn.IFS(_xlpm.MyAuditVal&lt;&gt;"",UPPER(_xlpm.MyAuditVal),_xlpm.MacVal&lt;&gt;"",_xlpm.MacVal,_xlpm.CSVVal&lt;&gt;"",_xlpm.CSVVal
)),"")</f>
        <v/>
      </c>
      <c r="E607" s="46" t="str" cm="1">
        <f t="array" ref="E607">IFERROR(_xlfn.LET(
_xlpm.CSVVal,_xlfn.XLOOKUP($A607,CSV!$A:$A,CSV!E:E,""),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_xlpm.CSVVal,_xlfn.XLOOKUP($A607,CSV!$A:$A,CSV!G:G,""),
_xlpm.MacVal,_xlfn.XLOOKUP($A607,Output_Mac!$A:$A,Output_Mac!G:G,""),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_xlfn.XLOOKUP(A607,Output_Mac!A:A,Output_Mac!H:H,"")</f>
        <v/>
      </c>
      <c r="I607" s="45" t="str" cm="1">
        <f t="array" ref="I607">IFERROR(_xlfn.LET(
_xlpm.CSVVal,_xlfn.XLOOKUP($A607,CSV!$A:$A,CSV!H:H,""),
_xlpm.MacVal,_xlfn.XLOOKUP($A607,Output_Mac!$A:$A,Output_Mac!I:I,""),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_xlpm.CSVVal,_xlfn.XLOOKUP($A607,CSV!$A:$A,CSV!J:J,""),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46" t="str" cm="1">
        <f t="array" ref="K607">IFERROR(_xlfn.LET(
_xlpm.CSVVal,_xlfn.XLOOKUP($A607,CSV!$A:$A,CSV!N:N,""),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_xlpm.CSVVal,_xlfn.XLOOKUP($A607,CSV!$A:$A,CSV!P:P,""),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CSV!AE:AE,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_xlpm.CSVVal,_xlfn.XLOOKUP($A607,CSV!$A:$A,CSV!AG:AG,""),
_xlpm.MacVal,_xlfn.XLOOKUP($A607,Output_Mac!$A:$A,Output_Mac!T:T,""),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6" t="str">
        <f>IF(LEFT(N607,4)="Pass","Nist SP 800-88",My_Audit!R607)&amp;""</f>
        <v/>
      </c>
      <c r="R607" s="45"/>
      <c r="S607" s="45"/>
      <c r="T607" s="46" t="str">
        <f>_xlfn.XLOOKUP(E607,Models!I:I,Models!J:J,"")</f>
        <v/>
      </c>
      <c r="U607" s="45"/>
      <c r="V607" s="45"/>
      <c r="W607" s="38" t="str">
        <f>_xlfn.LET(
    _xlpm.MacVal, _xlfn.XLOOKUP($A607, Output_Mac!$A:$A, Output_Mac!AA:AA, ""),
    _xlpm.MyAuditVal, _xlfn.XLOOKUP($A607, My_Audit!$A:$A, My_Audit!L:L, ""),
    _xlfn.TEXTJOIN(", ", TRUE, _xlpm.MyAuditVal, _xlpm.MacVal)
)</f>
        <v/>
      </c>
    </row>
    <row r="608" spans="1:23">
      <c r="A608" s="45" t="str">
        <f>_xlfn.TEXTJOIN("",TRUE,Input!$B$2,ROW(My_Audit!A607))</f>
        <v>CC607</v>
      </c>
      <c r="B608" s="45" t="str">
        <f>_xlfn.TEXTJOIN("-",TRUE,"ITD",Input!$A$2,A608)</f>
        <v>ITD-XXX-CC607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 cm="1">
        <f t="array" ref="D608">IFERROR(_xlfn.LET(
_xlpm.CSVVal,_xlfn.XLOOKUP($A608,CSV!$A:$A,CSV!C:C,""),
_xlpm.MacVal,_xlfn.XLOOKUP($A608,Output_Mac!$A:$A,Output_Mac!D:D,""),
_xlpm.MyAuditVal,_xlfn.XLOOKUP($A608,My_Audit!$A:$A,My_Audit!C:C,""),
_xlfn.IFS(_xlpm.MyAuditVal&lt;&gt;"",UPPER(_xlpm.MyAuditVal),_xlpm.MacVal&lt;&gt;"",_xlpm.MacVal,_xlpm.CSVVal&lt;&gt;"",_xlpm.CSVVal
)),"")</f>
        <v/>
      </c>
      <c r="E608" s="46" t="str" cm="1">
        <f t="array" ref="E608">IFERROR(_xlfn.LET(
_xlpm.CSVVal,_xlfn.XLOOKUP($A608,CSV!$A:$A,CSV!E:E,""),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_xlpm.CSVVal,_xlfn.XLOOKUP($A608,CSV!$A:$A,CSV!G:G,""),
_xlpm.MacVal,_xlfn.XLOOKUP($A608,Output_Mac!$A:$A,Output_Mac!G:G,""),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_xlfn.XLOOKUP(A608,Output_Mac!A:A,Output_Mac!H:H,"")</f>
        <v/>
      </c>
      <c r="I608" s="45" t="str" cm="1">
        <f t="array" ref="I608">IFERROR(_xlfn.LET(
_xlpm.CSVVal,_xlfn.XLOOKUP($A608,CSV!$A:$A,CSV!H:H,""),
_xlpm.MacVal,_xlfn.XLOOKUP($A608,Output_Mac!$A:$A,Output_Mac!I:I,""),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_xlpm.CSVVal,_xlfn.XLOOKUP($A608,CSV!$A:$A,CSV!J:J,""),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46" t="str" cm="1">
        <f t="array" ref="K608">IFERROR(_xlfn.LET(
_xlpm.CSVVal,_xlfn.XLOOKUP($A608,CSV!$A:$A,CSV!N:N,""),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_xlpm.CSVVal,_xlfn.XLOOKUP($A608,CSV!$A:$A,CSV!P:P,""),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CSV!AE:AE,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_xlpm.CSVVal,_xlfn.XLOOKUP($A608,CSV!$A:$A,CSV!AG:AG,""),
_xlpm.MacVal,_xlfn.XLOOKUP($A608,Output_Mac!$A:$A,Output_Mac!T:T,""),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6" t="str">
        <f>IF(LEFT(N608,4)="Pass","Nist SP 800-88",My_Audit!R608)&amp;""</f>
        <v/>
      </c>
      <c r="R608" s="45"/>
      <c r="S608" s="45"/>
      <c r="T608" s="46" t="str">
        <f>_xlfn.XLOOKUP(E608,Models!I:I,Models!J:J,"")</f>
        <v/>
      </c>
      <c r="U608" s="45"/>
      <c r="V608" s="45"/>
      <c r="W608" s="38" t="str">
        <f>_xlfn.LET(
    _xlpm.MacVal, _xlfn.XLOOKUP($A608, Output_Mac!$A:$A, Output_Mac!AA:AA, ""),
    _xlpm.MyAuditVal, _xlfn.XLOOKUP($A608, My_Audit!$A:$A, My_Audit!L:L, ""),
    _xlfn.TEXTJOIN(", ", TRUE, _xlpm.MyAuditVal, _xlpm.MacVal)
)</f>
        <v/>
      </c>
    </row>
    <row r="609" spans="1:23">
      <c r="A609" s="45" t="str">
        <f>_xlfn.TEXTJOIN("",TRUE,Input!$B$2,ROW(My_Audit!A608))</f>
        <v>CC608</v>
      </c>
      <c r="B609" s="45" t="str">
        <f>_xlfn.TEXTJOIN("-",TRUE,"ITD",Input!$A$2,A609)</f>
        <v>ITD-XXX-CC608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 cm="1">
        <f t="array" ref="D609">IFERROR(_xlfn.LET(
_xlpm.CSVVal,_xlfn.XLOOKUP($A609,CSV!$A:$A,CSV!C:C,""),
_xlpm.MacVal,_xlfn.XLOOKUP($A609,Output_Mac!$A:$A,Output_Mac!D:D,""),
_xlpm.MyAuditVal,_xlfn.XLOOKUP($A609,My_Audit!$A:$A,My_Audit!C:C,""),
_xlfn.IFS(_xlpm.MyAuditVal&lt;&gt;"",UPPER(_xlpm.MyAuditVal),_xlpm.MacVal&lt;&gt;"",_xlpm.MacVal,_xlpm.CSVVal&lt;&gt;"",_xlpm.CSVVal
)),"")</f>
        <v/>
      </c>
      <c r="E609" s="46" t="str" cm="1">
        <f t="array" ref="E609">IFERROR(_xlfn.LET(
_xlpm.CSVVal,_xlfn.XLOOKUP($A609,CSV!$A:$A,CSV!E:E,""),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_xlpm.CSVVal,_xlfn.XLOOKUP($A609,CSV!$A:$A,CSV!G:G,""),
_xlpm.MacVal,_xlfn.XLOOKUP($A609,Output_Mac!$A:$A,Output_Mac!G:G,""),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_xlfn.XLOOKUP(A609,Output_Mac!A:A,Output_Mac!H:H,"")</f>
        <v/>
      </c>
      <c r="I609" s="45" t="str" cm="1">
        <f t="array" ref="I609">IFERROR(_xlfn.LET(
_xlpm.CSVVal,_xlfn.XLOOKUP($A609,CSV!$A:$A,CSV!H:H,""),
_xlpm.MacVal,_xlfn.XLOOKUP($A609,Output_Mac!$A:$A,Output_Mac!I:I,""),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_xlpm.CSVVal,_xlfn.XLOOKUP($A609,CSV!$A:$A,CSV!J:J,""),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46" t="str" cm="1">
        <f t="array" ref="K609">IFERROR(_xlfn.LET(
_xlpm.CSVVal,_xlfn.XLOOKUP($A609,CSV!$A:$A,CSV!N:N,""),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_xlpm.CSVVal,_xlfn.XLOOKUP($A609,CSV!$A:$A,CSV!P:P,""),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CSV!AE:AE,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_xlpm.CSVVal,_xlfn.XLOOKUP($A609,CSV!$A:$A,CSV!AG:AG,""),
_xlpm.MacVal,_xlfn.XLOOKUP($A609,Output_Mac!$A:$A,Output_Mac!T:T,""),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6" t="str">
        <f>IF(LEFT(N609,4)="Pass","Nist SP 800-88",My_Audit!R609)&amp;""</f>
        <v/>
      </c>
      <c r="R609" s="45"/>
      <c r="S609" s="45"/>
      <c r="T609" s="46" t="str">
        <f>_xlfn.XLOOKUP(E609,Models!I:I,Models!J:J,"")</f>
        <v/>
      </c>
      <c r="U609" s="45"/>
      <c r="V609" s="45"/>
      <c r="W609" s="38" t="str">
        <f>_xlfn.LET(
    _xlpm.MacVal, _xlfn.XLOOKUP($A609, Output_Mac!$A:$A, Output_Mac!AA:AA, ""),
    _xlpm.MyAuditVal, _xlfn.XLOOKUP($A609, My_Audit!$A:$A, My_Audit!L:L, ""),
    _xlfn.TEXTJOIN(", ", TRUE, _xlpm.MyAuditVal, _xlpm.MacVal)
)</f>
        <v/>
      </c>
    </row>
    <row r="610" spans="1:23">
      <c r="A610" s="45" t="str">
        <f>_xlfn.TEXTJOIN("",TRUE,Input!$B$2,ROW(My_Audit!A609))</f>
        <v>CC609</v>
      </c>
      <c r="B610" s="45" t="str">
        <f>_xlfn.TEXTJOIN("-",TRUE,"ITD",Input!$A$2,A610)</f>
        <v>ITD-XXX-CC609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 cm="1">
        <f t="array" ref="D610">IFERROR(_xlfn.LET(
_xlpm.CSVVal,_xlfn.XLOOKUP($A610,CSV!$A:$A,CSV!C:C,""),
_xlpm.MacVal,_xlfn.XLOOKUP($A610,Output_Mac!$A:$A,Output_Mac!D:D,""),
_xlpm.MyAuditVal,_xlfn.XLOOKUP($A610,My_Audit!$A:$A,My_Audit!C:C,""),
_xlfn.IFS(_xlpm.MyAuditVal&lt;&gt;"",UPPER(_xlpm.MyAuditVal),_xlpm.MacVal&lt;&gt;"",_xlpm.MacVal,_xlpm.CSVVal&lt;&gt;"",_xlpm.CSVVal
)),"")</f>
        <v/>
      </c>
      <c r="E610" s="46" t="str" cm="1">
        <f t="array" ref="E610">IFERROR(_xlfn.LET(
_xlpm.CSVVal,_xlfn.XLOOKUP($A610,CSV!$A:$A,CSV!E:E,""),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_xlpm.CSVVal,_xlfn.XLOOKUP($A610,CSV!$A:$A,CSV!G:G,""),
_xlpm.MacVal,_xlfn.XLOOKUP($A610,Output_Mac!$A:$A,Output_Mac!G:G,""),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_xlfn.XLOOKUP(A610,Output_Mac!A:A,Output_Mac!H:H,"")</f>
        <v/>
      </c>
      <c r="I610" s="45" t="str" cm="1">
        <f t="array" ref="I610">IFERROR(_xlfn.LET(
_xlpm.CSVVal,_xlfn.XLOOKUP($A610,CSV!$A:$A,CSV!H:H,""),
_xlpm.MacVal,_xlfn.XLOOKUP($A610,Output_Mac!$A:$A,Output_Mac!I:I,""),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_xlpm.CSVVal,_xlfn.XLOOKUP($A610,CSV!$A:$A,CSV!J:J,""),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46" t="str" cm="1">
        <f t="array" ref="K610">IFERROR(_xlfn.LET(
_xlpm.CSVVal,_xlfn.XLOOKUP($A610,CSV!$A:$A,CSV!N:N,""),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_xlpm.CSVVal,_xlfn.XLOOKUP($A610,CSV!$A:$A,CSV!P:P,""),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CSV!AE:AE,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_xlpm.CSVVal,_xlfn.XLOOKUP($A610,CSV!$A:$A,CSV!AG:AG,""),
_xlpm.MacVal,_xlfn.XLOOKUP($A610,Output_Mac!$A:$A,Output_Mac!T:T,""),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6" t="str">
        <f>IF(LEFT(N610,4)="Pass","Nist SP 800-88",My_Audit!R610)&amp;""</f>
        <v/>
      </c>
      <c r="R610" s="45"/>
      <c r="S610" s="45"/>
      <c r="T610" s="46" t="str">
        <f>_xlfn.XLOOKUP(E610,Models!I:I,Models!J:J,"")</f>
        <v/>
      </c>
      <c r="U610" s="45"/>
      <c r="V610" s="45"/>
      <c r="W610" s="38" t="str">
        <f>_xlfn.LET(
    _xlpm.MacVal, _xlfn.XLOOKUP($A610, Output_Mac!$A:$A, Output_Mac!AA:AA, ""),
    _xlpm.MyAuditVal, _xlfn.XLOOKUP($A610, My_Audit!$A:$A, My_Audit!L:L, ""),
    _xlfn.TEXTJOIN(", ", TRUE, _xlpm.MyAuditVal, _xlpm.MacVal)
)</f>
        <v/>
      </c>
    </row>
    <row r="611" spans="1:23">
      <c r="A611" s="45" t="str">
        <f>_xlfn.TEXTJOIN("",TRUE,Input!$B$2,ROW(My_Audit!A610))</f>
        <v>CC610</v>
      </c>
      <c r="B611" s="45" t="str">
        <f>_xlfn.TEXTJOIN("-",TRUE,"ITD",Input!$A$2,A611)</f>
        <v>ITD-XXX-CC610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 cm="1">
        <f t="array" ref="D611">IFERROR(_xlfn.LET(
_xlpm.CSVVal,_xlfn.XLOOKUP($A611,CSV!$A:$A,CSV!C:C,""),
_xlpm.MacVal,_xlfn.XLOOKUP($A611,Output_Mac!$A:$A,Output_Mac!D:D,""),
_xlpm.MyAuditVal,_xlfn.XLOOKUP($A611,My_Audit!$A:$A,My_Audit!C:C,""),
_xlfn.IFS(_xlpm.MyAuditVal&lt;&gt;"",UPPER(_xlpm.MyAuditVal),_xlpm.MacVal&lt;&gt;"",_xlpm.MacVal,_xlpm.CSVVal&lt;&gt;"",_xlpm.CSVVal
)),"")</f>
        <v/>
      </c>
      <c r="E611" s="46" t="str" cm="1">
        <f t="array" ref="E611">IFERROR(_xlfn.LET(
_xlpm.CSVVal,_xlfn.XLOOKUP($A611,CSV!$A:$A,CSV!E:E,""),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_xlpm.CSVVal,_xlfn.XLOOKUP($A611,CSV!$A:$A,CSV!G:G,""),
_xlpm.MacVal,_xlfn.XLOOKUP($A611,Output_Mac!$A:$A,Output_Mac!G:G,""),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_xlfn.XLOOKUP(A611,Output_Mac!A:A,Output_Mac!H:H,"")</f>
        <v/>
      </c>
      <c r="I611" s="45" t="str" cm="1">
        <f t="array" ref="I611">IFERROR(_xlfn.LET(
_xlpm.CSVVal,_xlfn.XLOOKUP($A611,CSV!$A:$A,CSV!H:H,""),
_xlpm.MacVal,_xlfn.XLOOKUP($A611,Output_Mac!$A:$A,Output_Mac!I:I,""),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_xlpm.CSVVal,_xlfn.XLOOKUP($A611,CSV!$A:$A,CSV!J:J,""),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46" t="str" cm="1">
        <f t="array" ref="K611">IFERROR(_xlfn.LET(
_xlpm.CSVVal,_xlfn.XLOOKUP($A611,CSV!$A:$A,CSV!N:N,""),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_xlpm.CSVVal,_xlfn.XLOOKUP($A611,CSV!$A:$A,CSV!P:P,""),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CSV!AE:AE,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_xlpm.CSVVal,_xlfn.XLOOKUP($A611,CSV!$A:$A,CSV!AG:AG,""),
_xlpm.MacVal,_xlfn.XLOOKUP($A611,Output_Mac!$A:$A,Output_Mac!T:T,""),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6" t="str">
        <f>IF(LEFT(N611,4)="Pass","Nist SP 800-88",My_Audit!R611)&amp;""</f>
        <v/>
      </c>
      <c r="R611" s="45"/>
      <c r="S611" s="45"/>
      <c r="T611" s="46" t="str">
        <f>_xlfn.XLOOKUP(E611,Models!I:I,Models!J:J,"")</f>
        <v/>
      </c>
      <c r="U611" s="45"/>
      <c r="V611" s="45"/>
      <c r="W611" s="38" t="str">
        <f>_xlfn.LET(
    _xlpm.MacVal, _xlfn.XLOOKUP($A611, Output_Mac!$A:$A, Output_Mac!AA:AA, ""),
    _xlpm.MyAuditVal, _xlfn.XLOOKUP($A611, My_Audit!$A:$A, My_Audit!L:L, ""),
    _xlfn.TEXTJOIN(", ", TRUE, _xlpm.MyAuditVal, _xlpm.MacVal)
)</f>
        <v/>
      </c>
    </row>
    <row r="612" spans="1:23">
      <c r="A612" s="45" t="str">
        <f>_xlfn.TEXTJOIN("",TRUE,Input!$B$2,ROW(My_Audit!A611))</f>
        <v>CC611</v>
      </c>
      <c r="B612" s="45" t="str">
        <f>_xlfn.TEXTJOIN("-",TRUE,"ITD",Input!$A$2,A612)</f>
        <v>ITD-XXX-CC611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 cm="1">
        <f t="array" ref="D612">IFERROR(_xlfn.LET(
_xlpm.CSVVal,_xlfn.XLOOKUP($A612,CSV!$A:$A,CSV!C:C,""),
_xlpm.MacVal,_xlfn.XLOOKUP($A612,Output_Mac!$A:$A,Output_Mac!D:D,""),
_xlpm.MyAuditVal,_xlfn.XLOOKUP($A612,My_Audit!$A:$A,My_Audit!C:C,""),
_xlfn.IFS(_xlpm.MyAuditVal&lt;&gt;"",UPPER(_xlpm.MyAuditVal),_xlpm.MacVal&lt;&gt;"",_xlpm.MacVal,_xlpm.CSVVal&lt;&gt;"",_xlpm.CSVVal
)),"")</f>
        <v/>
      </c>
      <c r="E612" s="46" t="str" cm="1">
        <f t="array" ref="E612">IFERROR(_xlfn.LET(
_xlpm.CSVVal,_xlfn.XLOOKUP($A612,CSV!$A:$A,CSV!E:E,""),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_xlpm.CSVVal,_xlfn.XLOOKUP($A612,CSV!$A:$A,CSV!G:G,""),
_xlpm.MacVal,_xlfn.XLOOKUP($A612,Output_Mac!$A:$A,Output_Mac!G:G,""),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_xlfn.XLOOKUP(A612,Output_Mac!A:A,Output_Mac!H:H,"")</f>
        <v/>
      </c>
      <c r="I612" s="45" t="str" cm="1">
        <f t="array" ref="I612">IFERROR(_xlfn.LET(
_xlpm.CSVVal,_xlfn.XLOOKUP($A612,CSV!$A:$A,CSV!H:H,""),
_xlpm.MacVal,_xlfn.XLOOKUP($A612,Output_Mac!$A:$A,Output_Mac!I:I,""),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_xlpm.CSVVal,_xlfn.XLOOKUP($A612,CSV!$A:$A,CSV!J:J,""),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46" t="str" cm="1">
        <f t="array" ref="K612">IFERROR(_xlfn.LET(
_xlpm.CSVVal,_xlfn.XLOOKUP($A612,CSV!$A:$A,CSV!N:N,""),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_xlpm.CSVVal,_xlfn.XLOOKUP($A612,CSV!$A:$A,CSV!P:P,""),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CSV!AE:AE,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_xlpm.CSVVal,_xlfn.XLOOKUP($A612,CSV!$A:$A,CSV!AG:AG,""),
_xlpm.MacVal,_xlfn.XLOOKUP($A612,Output_Mac!$A:$A,Output_Mac!T:T,""),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6" t="str">
        <f>IF(LEFT(N612,4)="Pass","Nist SP 800-88",My_Audit!R612)&amp;""</f>
        <v/>
      </c>
      <c r="R612" s="45"/>
      <c r="S612" s="45"/>
      <c r="T612" s="46" t="str">
        <f>_xlfn.XLOOKUP(E612,Models!I:I,Models!J:J,"")</f>
        <v/>
      </c>
      <c r="U612" s="45"/>
      <c r="V612" s="45"/>
      <c r="W612" s="38" t="str">
        <f>_xlfn.LET(
    _xlpm.MacVal, _xlfn.XLOOKUP($A612, Output_Mac!$A:$A, Output_Mac!AA:AA, ""),
    _xlpm.MyAuditVal, _xlfn.XLOOKUP($A612, My_Audit!$A:$A, My_Audit!L:L, ""),
    _xlfn.TEXTJOIN(", ", TRUE, _xlpm.MyAuditVal, _xlpm.MacVal)
)</f>
        <v/>
      </c>
    </row>
    <row r="613" spans="1:23">
      <c r="A613" s="45" t="str">
        <f>_xlfn.TEXTJOIN("",TRUE,Input!$B$2,ROW(My_Audit!A612))</f>
        <v>CC612</v>
      </c>
      <c r="B613" s="45" t="str">
        <f>_xlfn.TEXTJOIN("-",TRUE,"ITD",Input!$A$2,A613)</f>
        <v>ITD-XXX-CC612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 cm="1">
        <f t="array" ref="D613">IFERROR(_xlfn.LET(
_xlpm.CSVVal,_xlfn.XLOOKUP($A613,CSV!$A:$A,CSV!C:C,""),
_xlpm.MacVal,_xlfn.XLOOKUP($A613,Output_Mac!$A:$A,Output_Mac!D:D,""),
_xlpm.MyAuditVal,_xlfn.XLOOKUP($A613,My_Audit!$A:$A,My_Audit!C:C,""),
_xlfn.IFS(_xlpm.MyAuditVal&lt;&gt;"",UPPER(_xlpm.MyAuditVal),_xlpm.MacVal&lt;&gt;"",_xlpm.MacVal,_xlpm.CSVVal&lt;&gt;"",_xlpm.CSVVal
)),"")</f>
        <v/>
      </c>
      <c r="E613" s="46" t="str" cm="1">
        <f t="array" ref="E613">IFERROR(_xlfn.LET(
_xlpm.CSVVal,_xlfn.XLOOKUP($A613,CSV!$A:$A,CSV!E:E,""),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_xlpm.CSVVal,_xlfn.XLOOKUP($A613,CSV!$A:$A,CSV!G:G,""),
_xlpm.MacVal,_xlfn.XLOOKUP($A613,Output_Mac!$A:$A,Output_Mac!G:G,""),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_xlfn.XLOOKUP(A613,Output_Mac!A:A,Output_Mac!H:H,"")</f>
        <v/>
      </c>
      <c r="I613" s="45" t="str" cm="1">
        <f t="array" ref="I613">IFERROR(_xlfn.LET(
_xlpm.CSVVal,_xlfn.XLOOKUP($A613,CSV!$A:$A,CSV!H:H,""),
_xlpm.MacVal,_xlfn.XLOOKUP($A613,Output_Mac!$A:$A,Output_Mac!I:I,""),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_xlpm.CSVVal,_xlfn.XLOOKUP($A613,CSV!$A:$A,CSV!J:J,""),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46" t="str" cm="1">
        <f t="array" ref="K613">IFERROR(_xlfn.LET(
_xlpm.CSVVal,_xlfn.XLOOKUP($A613,CSV!$A:$A,CSV!N:N,""),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_xlpm.CSVVal,_xlfn.XLOOKUP($A613,CSV!$A:$A,CSV!P:P,""),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CSV!AE:AE,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_xlpm.CSVVal,_xlfn.XLOOKUP($A613,CSV!$A:$A,CSV!AG:AG,""),
_xlpm.MacVal,_xlfn.XLOOKUP($A613,Output_Mac!$A:$A,Output_Mac!T:T,""),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6" t="str">
        <f>IF(LEFT(N613,4)="Pass","Nist SP 800-88",My_Audit!R613)&amp;""</f>
        <v/>
      </c>
      <c r="R613" s="45"/>
      <c r="S613" s="45"/>
      <c r="T613" s="46" t="str">
        <f>_xlfn.XLOOKUP(E613,Models!I:I,Models!J:J,"")</f>
        <v/>
      </c>
      <c r="U613" s="45"/>
      <c r="V613" s="45"/>
      <c r="W613" s="38" t="str">
        <f>_xlfn.LET(
    _xlpm.MacVal, _xlfn.XLOOKUP($A613, Output_Mac!$A:$A, Output_Mac!AA:AA, ""),
    _xlpm.MyAuditVal, _xlfn.XLOOKUP($A613, My_Audit!$A:$A, My_Audit!L:L, ""),
    _xlfn.TEXTJOIN(", ", TRUE, _xlpm.MyAuditVal, _xlpm.MacVal)
)</f>
        <v/>
      </c>
    </row>
    <row r="614" spans="1:23">
      <c r="A614" s="45" t="str">
        <f>_xlfn.TEXTJOIN("",TRUE,Input!$B$2,ROW(My_Audit!A613))</f>
        <v>CC613</v>
      </c>
      <c r="B614" s="45" t="str">
        <f>_xlfn.TEXTJOIN("-",TRUE,"ITD",Input!$A$2,A614)</f>
        <v>ITD-XXX-CC613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 cm="1">
        <f t="array" ref="D614">IFERROR(_xlfn.LET(
_xlpm.CSVVal,_xlfn.XLOOKUP($A614,CSV!$A:$A,CSV!C:C,""),
_xlpm.MacVal,_xlfn.XLOOKUP($A614,Output_Mac!$A:$A,Output_Mac!D:D,""),
_xlpm.MyAuditVal,_xlfn.XLOOKUP($A614,My_Audit!$A:$A,My_Audit!C:C,""),
_xlfn.IFS(_xlpm.MyAuditVal&lt;&gt;"",UPPER(_xlpm.MyAuditVal),_xlpm.MacVal&lt;&gt;"",_xlpm.MacVal,_xlpm.CSVVal&lt;&gt;"",_xlpm.CSVVal
)),"")</f>
        <v/>
      </c>
      <c r="E614" s="46" t="str" cm="1">
        <f t="array" ref="E614">IFERROR(_xlfn.LET(
_xlpm.CSVVal,_xlfn.XLOOKUP($A614,CSV!$A:$A,CSV!E:E,""),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_xlpm.CSVVal,_xlfn.XLOOKUP($A614,CSV!$A:$A,CSV!G:G,""),
_xlpm.MacVal,_xlfn.XLOOKUP($A614,Output_Mac!$A:$A,Output_Mac!G:G,""),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_xlfn.XLOOKUP(A614,Output_Mac!A:A,Output_Mac!H:H,"")</f>
        <v/>
      </c>
      <c r="I614" s="45" t="str" cm="1">
        <f t="array" ref="I614">IFERROR(_xlfn.LET(
_xlpm.CSVVal,_xlfn.XLOOKUP($A614,CSV!$A:$A,CSV!H:H,""),
_xlpm.MacVal,_xlfn.XLOOKUP($A614,Output_Mac!$A:$A,Output_Mac!I:I,""),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_xlpm.CSVVal,_xlfn.XLOOKUP($A614,CSV!$A:$A,CSV!J:J,""),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46" t="str" cm="1">
        <f t="array" ref="K614">IFERROR(_xlfn.LET(
_xlpm.CSVVal,_xlfn.XLOOKUP($A614,CSV!$A:$A,CSV!N:N,""),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_xlpm.CSVVal,_xlfn.XLOOKUP($A614,CSV!$A:$A,CSV!P:P,""),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CSV!AE:AE,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_xlpm.CSVVal,_xlfn.XLOOKUP($A614,CSV!$A:$A,CSV!AG:AG,""),
_xlpm.MacVal,_xlfn.XLOOKUP($A614,Output_Mac!$A:$A,Output_Mac!T:T,""),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6" t="str">
        <f>IF(LEFT(N614,4)="Pass","Nist SP 800-88",My_Audit!R614)&amp;""</f>
        <v/>
      </c>
      <c r="R614" s="45"/>
      <c r="S614" s="45"/>
      <c r="T614" s="46" t="str">
        <f>_xlfn.XLOOKUP(E614,Models!I:I,Models!J:J,"")</f>
        <v/>
      </c>
      <c r="U614" s="45"/>
      <c r="V614" s="45"/>
      <c r="W614" s="38" t="str">
        <f>_xlfn.LET(
    _xlpm.MacVal, _xlfn.XLOOKUP($A614, Output_Mac!$A:$A, Output_Mac!AA:AA, ""),
    _xlpm.MyAuditVal, _xlfn.XLOOKUP($A614, My_Audit!$A:$A, My_Audit!L:L, ""),
    _xlfn.TEXTJOIN(", ", TRUE, _xlpm.MyAuditVal, _xlpm.MacVal)
)</f>
        <v/>
      </c>
    </row>
    <row r="615" spans="1:23">
      <c r="A615" s="45" t="str">
        <f>_xlfn.TEXTJOIN("",TRUE,Input!$B$2,ROW(My_Audit!A614))</f>
        <v>CC614</v>
      </c>
      <c r="B615" s="45" t="str">
        <f>_xlfn.TEXTJOIN("-",TRUE,"ITD",Input!$A$2,A615)</f>
        <v>ITD-XXX-CC614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 cm="1">
        <f t="array" ref="D615">IFERROR(_xlfn.LET(
_xlpm.CSVVal,_xlfn.XLOOKUP($A615,CSV!$A:$A,CSV!C:C,""),
_xlpm.MacVal,_xlfn.XLOOKUP($A615,Output_Mac!$A:$A,Output_Mac!D:D,""),
_xlpm.MyAuditVal,_xlfn.XLOOKUP($A615,My_Audit!$A:$A,My_Audit!C:C,""),
_xlfn.IFS(_xlpm.MyAuditVal&lt;&gt;"",UPPER(_xlpm.MyAuditVal),_xlpm.MacVal&lt;&gt;"",_xlpm.MacVal,_xlpm.CSVVal&lt;&gt;"",_xlpm.CSVVal
)),"")</f>
        <v/>
      </c>
      <c r="E615" s="46" t="str" cm="1">
        <f t="array" ref="E615">IFERROR(_xlfn.LET(
_xlpm.CSVVal,_xlfn.XLOOKUP($A615,CSV!$A:$A,CSV!E:E,""),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_xlpm.CSVVal,_xlfn.XLOOKUP($A615,CSV!$A:$A,CSV!G:G,""),
_xlpm.MacVal,_xlfn.XLOOKUP($A615,Output_Mac!$A:$A,Output_Mac!G:G,""),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_xlfn.XLOOKUP(A615,Output_Mac!A:A,Output_Mac!H:H,"")</f>
        <v/>
      </c>
      <c r="I615" s="45" t="str" cm="1">
        <f t="array" ref="I615">IFERROR(_xlfn.LET(
_xlpm.CSVVal,_xlfn.XLOOKUP($A615,CSV!$A:$A,CSV!H:H,""),
_xlpm.MacVal,_xlfn.XLOOKUP($A615,Output_Mac!$A:$A,Output_Mac!I:I,""),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_xlpm.CSVVal,_xlfn.XLOOKUP($A615,CSV!$A:$A,CSV!J:J,""),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46" t="str" cm="1">
        <f t="array" ref="K615">IFERROR(_xlfn.LET(
_xlpm.CSVVal,_xlfn.XLOOKUP($A615,CSV!$A:$A,CSV!N:N,""),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_xlpm.CSVVal,_xlfn.XLOOKUP($A615,CSV!$A:$A,CSV!P:P,""),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CSV!AE:AE,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_xlpm.CSVVal,_xlfn.XLOOKUP($A615,CSV!$A:$A,CSV!AG:AG,""),
_xlpm.MacVal,_xlfn.XLOOKUP($A615,Output_Mac!$A:$A,Output_Mac!T:T,""),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6" t="str">
        <f>IF(LEFT(N615,4)="Pass","Nist SP 800-88",My_Audit!R615)&amp;""</f>
        <v/>
      </c>
      <c r="R615" s="45"/>
      <c r="S615" s="45"/>
      <c r="T615" s="46" t="str">
        <f>_xlfn.XLOOKUP(E615,Models!I:I,Models!J:J,"")</f>
        <v/>
      </c>
      <c r="U615" s="45"/>
      <c r="V615" s="45"/>
      <c r="W615" s="38" t="str">
        <f>_xlfn.LET(
    _xlpm.MacVal, _xlfn.XLOOKUP($A615, Output_Mac!$A:$A, Output_Mac!AA:AA, ""),
    _xlpm.MyAuditVal, _xlfn.XLOOKUP($A615, My_Audit!$A:$A, My_Audit!L:L, ""),
    _xlfn.TEXTJOIN(", ", TRUE, _xlpm.MyAuditVal, _xlpm.MacVal)
)</f>
        <v/>
      </c>
    </row>
    <row r="616" spans="1:23">
      <c r="A616" s="45" t="str">
        <f>_xlfn.TEXTJOIN("",TRUE,Input!$B$2,ROW(My_Audit!A615))</f>
        <v>CC615</v>
      </c>
      <c r="B616" s="45" t="str">
        <f>_xlfn.TEXTJOIN("-",TRUE,"ITD",Input!$A$2,A616)</f>
        <v>ITD-XXX-CC615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 cm="1">
        <f t="array" ref="D616">IFERROR(_xlfn.LET(
_xlpm.CSVVal,_xlfn.XLOOKUP($A616,CSV!$A:$A,CSV!C:C,""),
_xlpm.MacVal,_xlfn.XLOOKUP($A616,Output_Mac!$A:$A,Output_Mac!D:D,""),
_xlpm.MyAuditVal,_xlfn.XLOOKUP($A616,My_Audit!$A:$A,My_Audit!C:C,""),
_xlfn.IFS(_xlpm.MyAuditVal&lt;&gt;"",UPPER(_xlpm.MyAuditVal),_xlpm.MacVal&lt;&gt;"",_xlpm.MacVal,_xlpm.CSVVal&lt;&gt;"",_xlpm.CSVVal
)),"")</f>
        <v/>
      </c>
      <c r="E616" s="46" t="str" cm="1">
        <f t="array" ref="E616">IFERROR(_xlfn.LET(
_xlpm.CSVVal,_xlfn.XLOOKUP($A616,CSV!$A:$A,CSV!E:E,""),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_xlpm.CSVVal,_xlfn.XLOOKUP($A616,CSV!$A:$A,CSV!G:G,""),
_xlpm.MacVal,_xlfn.XLOOKUP($A616,Output_Mac!$A:$A,Output_Mac!G:G,""),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_xlfn.XLOOKUP(A616,Output_Mac!A:A,Output_Mac!H:H,"")</f>
        <v/>
      </c>
      <c r="I616" s="45" t="str" cm="1">
        <f t="array" ref="I616">IFERROR(_xlfn.LET(
_xlpm.CSVVal,_xlfn.XLOOKUP($A616,CSV!$A:$A,CSV!H:H,""),
_xlpm.MacVal,_xlfn.XLOOKUP($A616,Output_Mac!$A:$A,Output_Mac!I:I,""),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_xlpm.CSVVal,_xlfn.XLOOKUP($A616,CSV!$A:$A,CSV!J:J,""),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46" t="str" cm="1">
        <f t="array" ref="K616">IFERROR(_xlfn.LET(
_xlpm.CSVVal,_xlfn.XLOOKUP($A616,CSV!$A:$A,CSV!N:N,""),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_xlpm.CSVVal,_xlfn.XLOOKUP($A616,CSV!$A:$A,CSV!P:P,""),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CSV!AE:AE,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_xlpm.CSVVal,_xlfn.XLOOKUP($A616,CSV!$A:$A,CSV!AG:AG,""),
_xlpm.MacVal,_xlfn.XLOOKUP($A616,Output_Mac!$A:$A,Output_Mac!T:T,""),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6" t="str">
        <f>IF(LEFT(N616,4)="Pass","Nist SP 800-88",My_Audit!R616)&amp;""</f>
        <v/>
      </c>
      <c r="R616" s="45"/>
      <c r="S616" s="45"/>
      <c r="T616" s="46" t="str">
        <f>_xlfn.XLOOKUP(E616,Models!I:I,Models!J:J,"")</f>
        <v/>
      </c>
      <c r="U616" s="45"/>
      <c r="V616" s="45"/>
      <c r="W616" s="38" t="str">
        <f>_xlfn.LET(
    _xlpm.MacVal, _xlfn.XLOOKUP($A616, Output_Mac!$A:$A, Output_Mac!AA:AA, ""),
    _xlpm.MyAuditVal, _xlfn.XLOOKUP($A616, My_Audit!$A:$A, My_Audit!L:L, ""),
    _xlfn.TEXTJOIN(", ", TRUE, _xlpm.MyAuditVal, _xlpm.MacVal)
)</f>
        <v/>
      </c>
    </row>
    <row r="617" spans="1:23">
      <c r="A617" s="45" t="str">
        <f>_xlfn.TEXTJOIN("",TRUE,Input!$B$2,ROW(My_Audit!A616))</f>
        <v>CC616</v>
      </c>
      <c r="B617" s="45" t="str">
        <f>_xlfn.TEXTJOIN("-",TRUE,"ITD",Input!$A$2,A617)</f>
        <v>ITD-XXX-CC616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 cm="1">
        <f t="array" ref="D617">IFERROR(_xlfn.LET(
_xlpm.CSVVal,_xlfn.XLOOKUP($A617,CSV!$A:$A,CSV!C:C,""),
_xlpm.MacVal,_xlfn.XLOOKUP($A617,Output_Mac!$A:$A,Output_Mac!D:D,""),
_xlpm.MyAuditVal,_xlfn.XLOOKUP($A617,My_Audit!$A:$A,My_Audit!C:C,""),
_xlfn.IFS(_xlpm.MyAuditVal&lt;&gt;"",UPPER(_xlpm.MyAuditVal),_xlpm.MacVal&lt;&gt;"",_xlpm.MacVal,_xlpm.CSVVal&lt;&gt;"",_xlpm.CSVVal
)),"")</f>
        <v/>
      </c>
      <c r="E617" s="46" t="str" cm="1">
        <f t="array" ref="E617">IFERROR(_xlfn.LET(
_xlpm.CSVVal,_xlfn.XLOOKUP($A617,CSV!$A:$A,CSV!E:E,""),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_xlpm.CSVVal,_xlfn.XLOOKUP($A617,CSV!$A:$A,CSV!G:G,""),
_xlpm.MacVal,_xlfn.XLOOKUP($A617,Output_Mac!$A:$A,Output_Mac!G:G,""),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_xlfn.XLOOKUP(A617,Output_Mac!A:A,Output_Mac!H:H,"")</f>
        <v/>
      </c>
      <c r="I617" s="45" t="str" cm="1">
        <f t="array" ref="I617">IFERROR(_xlfn.LET(
_xlpm.CSVVal,_xlfn.XLOOKUP($A617,CSV!$A:$A,CSV!H:H,""),
_xlpm.MacVal,_xlfn.XLOOKUP($A617,Output_Mac!$A:$A,Output_Mac!I:I,""),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_xlpm.CSVVal,_xlfn.XLOOKUP($A617,CSV!$A:$A,CSV!J:J,""),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46" t="str" cm="1">
        <f t="array" ref="K617">IFERROR(_xlfn.LET(
_xlpm.CSVVal,_xlfn.XLOOKUP($A617,CSV!$A:$A,CSV!N:N,""),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_xlpm.CSVVal,_xlfn.XLOOKUP($A617,CSV!$A:$A,CSV!P:P,""),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CSV!AE:AE,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_xlpm.CSVVal,_xlfn.XLOOKUP($A617,CSV!$A:$A,CSV!AG:AG,""),
_xlpm.MacVal,_xlfn.XLOOKUP($A617,Output_Mac!$A:$A,Output_Mac!T:T,""),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6" t="str">
        <f>IF(LEFT(N617,4)="Pass","Nist SP 800-88",My_Audit!R617)&amp;""</f>
        <v/>
      </c>
      <c r="R617" s="45"/>
      <c r="S617" s="45"/>
      <c r="T617" s="46" t="str">
        <f>_xlfn.XLOOKUP(E617,Models!I:I,Models!J:J,"")</f>
        <v/>
      </c>
      <c r="U617" s="45"/>
      <c r="V617" s="45"/>
      <c r="W617" s="38" t="str">
        <f>_xlfn.LET(
    _xlpm.MacVal, _xlfn.XLOOKUP($A617, Output_Mac!$A:$A, Output_Mac!AA:AA, ""),
    _xlpm.MyAuditVal, _xlfn.XLOOKUP($A617, My_Audit!$A:$A, My_Audit!L:L, ""),
    _xlfn.TEXTJOIN(", ", TRUE, _xlpm.MyAuditVal, _xlpm.MacVal)
)</f>
        <v/>
      </c>
    </row>
    <row r="618" spans="1:23">
      <c r="A618" s="45" t="str">
        <f>_xlfn.TEXTJOIN("",TRUE,Input!$B$2,ROW(My_Audit!A617))</f>
        <v>CC617</v>
      </c>
      <c r="B618" s="45" t="str">
        <f>_xlfn.TEXTJOIN("-",TRUE,"ITD",Input!$A$2,A618)</f>
        <v>ITD-XXX-CC617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 cm="1">
        <f t="array" ref="D618">IFERROR(_xlfn.LET(
_xlpm.CSVVal,_xlfn.XLOOKUP($A618,CSV!$A:$A,CSV!C:C,""),
_xlpm.MacVal,_xlfn.XLOOKUP($A618,Output_Mac!$A:$A,Output_Mac!D:D,""),
_xlpm.MyAuditVal,_xlfn.XLOOKUP($A618,My_Audit!$A:$A,My_Audit!C:C,""),
_xlfn.IFS(_xlpm.MyAuditVal&lt;&gt;"",UPPER(_xlpm.MyAuditVal),_xlpm.MacVal&lt;&gt;"",_xlpm.MacVal,_xlpm.CSVVal&lt;&gt;"",_xlpm.CSVVal
)),"")</f>
        <v/>
      </c>
      <c r="E618" s="46" t="str" cm="1">
        <f t="array" ref="E618">IFERROR(_xlfn.LET(
_xlpm.CSVVal,_xlfn.XLOOKUP($A618,CSV!$A:$A,CSV!E:E,""),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_xlpm.CSVVal,_xlfn.XLOOKUP($A618,CSV!$A:$A,CSV!G:G,""),
_xlpm.MacVal,_xlfn.XLOOKUP($A618,Output_Mac!$A:$A,Output_Mac!G:G,""),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_xlfn.XLOOKUP(A618,Output_Mac!A:A,Output_Mac!H:H,"")</f>
        <v/>
      </c>
      <c r="I618" s="45" t="str" cm="1">
        <f t="array" ref="I618">IFERROR(_xlfn.LET(
_xlpm.CSVVal,_xlfn.XLOOKUP($A618,CSV!$A:$A,CSV!H:H,""),
_xlpm.MacVal,_xlfn.XLOOKUP($A618,Output_Mac!$A:$A,Output_Mac!I:I,""),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_xlpm.CSVVal,_xlfn.XLOOKUP($A618,CSV!$A:$A,CSV!J:J,""),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46" t="str" cm="1">
        <f t="array" ref="K618">IFERROR(_xlfn.LET(
_xlpm.CSVVal,_xlfn.XLOOKUP($A618,CSV!$A:$A,CSV!N:N,""),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_xlpm.CSVVal,_xlfn.XLOOKUP($A618,CSV!$A:$A,CSV!P:P,""),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CSV!AE:AE,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_xlpm.CSVVal,_xlfn.XLOOKUP($A618,CSV!$A:$A,CSV!AG:AG,""),
_xlpm.MacVal,_xlfn.XLOOKUP($A618,Output_Mac!$A:$A,Output_Mac!T:T,""),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6" t="str">
        <f>IF(LEFT(N618,4)="Pass","Nist SP 800-88",My_Audit!R618)&amp;""</f>
        <v/>
      </c>
      <c r="R618" s="45"/>
      <c r="S618" s="45"/>
      <c r="T618" s="46" t="str">
        <f>_xlfn.XLOOKUP(E618,Models!I:I,Models!J:J,"")</f>
        <v/>
      </c>
      <c r="U618" s="45"/>
      <c r="V618" s="45"/>
      <c r="W618" s="38" t="str">
        <f>_xlfn.LET(
    _xlpm.MacVal, _xlfn.XLOOKUP($A618, Output_Mac!$A:$A, Output_Mac!AA:AA, ""),
    _xlpm.MyAuditVal, _xlfn.XLOOKUP($A618, My_Audit!$A:$A, My_Audit!L:L, ""),
    _xlfn.TEXTJOIN(", ", TRUE, _xlpm.MyAuditVal, _xlpm.MacVal)
)</f>
        <v/>
      </c>
    </row>
    <row r="619" spans="1:23">
      <c r="A619" s="45" t="str">
        <f>_xlfn.TEXTJOIN("",TRUE,Input!$B$2,ROW(My_Audit!A618))</f>
        <v>CC618</v>
      </c>
      <c r="B619" s="45" t="str">
        <f>_xlfn.TEXTJOIN("-",TRUE,"ITD",Input!$A$2,A619)</f>
        <v>ITD-XXX-CC618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 cm="1">
        <f t="array" ref="D619">IFERROR(_xlfn.LET(
_xlpm.CSVVal,_xlfn.XLOOKUP($A619,CSV!$A:$A,CSV!C:C,""),
_xlpm.MacVal,_xlfn.XLOOKUP($A619,Output_Mac!$A:$A,Output_Mac!D:D,""),
_xlpm.MyAuditVal,_xlfn.XLOOKUP($A619,My_Audit!$A:$A,My_Audit!C:C,""),
_xlfn.IFS(_xlpm.MyAuditVal&lt;&gt;"",UPPER(_xlpm.MyAuditVal),_xlpm.MacVal&lt;&gt;"",_xlpm.MacVal,_xlpm.CSVVal&lt;&gt;"",_xlpm.CSVVal
)),"")</f>
        <v/>
      </c>
      <c r="E619" s="46" t="str" cm="1">
        <f t="array" ref="E619">IFERROR(_xlfn.LET(
_xlpm.CSVVal,_xlfn.XLOOKUP($A619,CSV!$A:$A,CSV!E:E,""),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_xlpm.CSVVal,_xlfn.XLOOKUP($A619,CSV!$A:$A,CSV!G:G,""),
_xlpm.MacVal,_xlfn.XLOOKUP($A619,Output_Mac!$A:$A,Output_Mac!G:G,""),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_xlfn.XLOOKUP(A619,Output_Mac!A:A,Output_Mac!H:H,"")</f>
        <v/>
      </c>
      <c r="I619" s="45" t="str" cm="1">
        <f t="array" ref="I619">IFERROR(_xlfn.LET(
_xlpm.CSVVal,_xlfn.XLOOKUP($A619,CSV!$A:$A,CSV!H:H,""),
_xlpm.MacVal,_xlfn.XLOOKUP($A619,Output_Mac!$A:$A,Output_Mac!I:I,""),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_xlpm.CSVVal,_xlfn.XLOOKUP($A619,CSV!$A:$A,CSV!J:J,""),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46" t="str" cm="1">
        <f t="array" ref="K619">IFERROR(_xlfn.LET(
_xlpm.CSVVal,_xlfn.XLOOKUP($A619,CSV!$A:$A,CSV!N:N,""),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_xlpm.CSVVal,_xlfn.XLOOKUP($A619,CSV!$A:$A,CSV!P:P,""),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CSV!AE:AE,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_xlpm.CSVVal,_xlfn.XLOOKUP($A619,CSV!$A:$A,CSV!AG:AG,""),
_xlpm.MacVal,_xlfn.XLOOKUP($A619,Output_Mac!$A:$A,Output_Mac!T:T,""),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6" t="str">
        <f>IF(LEFT(N619,4)="Pass","Nist SP 800-88",My_Audit!R619)&amp;""</f>
        <v/>
      </c>
      <c r="R619" s="45"/>
      <c r="S619" s="45"/>
      <c r="T619" s="46" t="str">
        <f>_xlfn.XLOOKUP(E619,Models!I:I,Models!J:J,"")</f>
        <v/>
      </c>
      <c r="U619" s="45"/>
      <c r="V619" s="45"/>
      <c r="W619" s="38" t="str">
        <f>_xlfn.LET(
    _xlpm.MacVal, _xlfn.XLOOKUP($A619, Output_Mac!$A:$A, Output_Mac!AA:AA, ""),
    _xlpm.MyAuditVal, _xlfn.XLOOKUP($A619, My_Audit!$A:$A, My_Audit!L:L, ""),
    _xlfn.TEXTJOIN(", ", TRUE, _xlpm.MyAuditVal, _xlpm.MacVal)
)</f>
        <v/>
      </c>
    </row>
    <row r="620" spans="1:23">
      <c r="A620" s="45" t="str">
        <f>_xlfn.TEXTJOIN("",TRUE,Input!$B$2,ROW(My_Audit!A619))</f>
        <v>CC619</v>
      </c>
      <c r="B620" s="45" t="str">
        <f>_xlfn.TEXTJOIN("-",TRUE,"ITD",Input!$A$2,A620)</f>
        <v>ITD-XXX-CC619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 cm="1">
        <f t="array" ref="D620">IFERROR(_xlfn.LET(
_xlpm.CSVVal,_xlfn.XLOOKUP($A620,CSV!$A:$A,CSV!C:C,""),
_xlpm.MacVal,_xlfn.XLOOKUP($A620,Output_Mac!$A:$A,Output_Mac!D:D,""),
_xlpm.MyAuditVal,_xlfn.XLOOKUP($A620,My_Audit!$A:$A,My_Audit!C:C,""),
_xlfn.IFS(_xlpm.MyAuditVal&lt;&gt;"",UPPER(_xlpm.MyAuditVal),_xlpm.MacVal&lt;&gt;"",_xlpm.MacVal,_xlpm.CSVVal&lt;&gt;"",_xlpm.CSVVal
)),"")</f>
        <v/>
      </c>
      <c r="E620" s="46" t="str" cm="1">
        <f t="array" ref="E620">IFERROR(_xlfn.LET(
_xlpm.CSVVal,_xlfn.XLOOKUP($A620,CSV!$A:$A,CSV!E:E,""),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_xlpm.CSVVal,_xlfn.XLOOKUP($A620,CSV!$A:$A,CSV!G:G,""),
_xlpm.MacVal,_xlfn.XLOOKUP($A620,Output_Mac!$A:$A,Output_Mac!G:G,""),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_xlfn.XLOOKUP(A620,Output_Mac!A:A,Output_Mac!H:H,"")</f>
        <v/>
      </c>
      <c r="I620" s="45" t="str" cm="1">
        <f t="array" ref="I620">IFERROR(_xlfn.LET(
_xlpm.CSVVal,_xlfn.XLOOKUP($A620,CSV!$A:$A,CSV!H:H,""),
_xlpm.MacVal,_xlfn.XLOOKUP($A620,Output_Mac!$A:$A,Output_Mac!I:I,""),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_xlpm.CSVVal,_xlfn.XLOOKUP($A620,CSV!$A:$A,CSV!J:J,""),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46" t="str" cm="1">
        <f t="array" ref="K620">IFERROR(_xlfn.LET(
_xlpm.CSVVal,_xlfn.XLOOKUP($A620,CSV!$A:$A,CSV!N:N,""),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_xlpm.CSVVal,_xlfn.XLOOKUP($A620,CSV!$A:$A,CSV!P:P,""),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CSV!AE:AE,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_xlpm.CSVVal,_xlfn.XLOOKUP($A620,CSV!$A:$A,CSV!AG:AG,""),
_xlpm.MacVal,_xlfn.XLOOKUP($A620,Output_Mac!$A:$A,Output_Mac!T:T,""),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6" t="str">
        <f>IF(LEFT(N620,4)="Pass","Nist SP 800-88",My_Audit!R620)&amp;""</f>
        <v/>
      </c>
      <c r="R620" s="45"/>
      <c r="S620" s="45"/>
      <c r="T620" s="46" t="str">
        <f>_xlfn.XLOOKUP(E620,Models!I:I,Models!J:J,"")</f>
        <v/>
      </c>
      <c r="U620" s="45"/>
      <c r="V620" s="45"/>
      <c r="W620" s="38" t="str">
        <f>_xlfn.LET(
    _xlpm.MacVal, _xlfn.XLOOKUP($A620, Output_Mac!$A:$A, Output_Mac!AA:AA, ""),
    _xlpm.MyAuditVal, _xlfn.XLOOKUP($A620, My_Audit!$A:$A, My_Audit!L:L, ""),
    _xlfn.TEXTJOIN(", ", TRUE, _xlpm.MyAuditVal, _xlpm.MacVal)
)</f>
        <v/>
      </c>
    </row>
    <row r="621" spans="1:23">
      <c r="A621" s="45" t="str">
        <f>_xlfn.TEXTJOIN("",TRUE,Input!$B$2,ROW(My_Audit!A620))</f>
        <v>CC620</v>
      </c>
      <c r="B621" s="45" t="str">
        <f>_xlfn.TEXTJOIN("-",TRUE,"ITD",Input!$A$2,A621)</f>
        <v>ITD-XXX-CC620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 cm="1">
        <f t="array" ref="D621">IFERROR(_xlfn.LET(
_xlpm.CSVVal,_xlfn.XLOOKUP($A621,CSV!$A:$A,CSV!C:C,""),
_xlpm.MacVal,_xlfn.XLOOKUP($A621,Output_Mac!$A:$A,Output_Mac!D:D,""),
_xlpm.MyAuditVal,_xlfn.XLOOKUP($A621,My_Audit!$A:$A,My_Audit!C:C,""),
_xlfn.IFS(_xlpm.MyAuditVal&lt;&gt;"",UPPER(_xlpm.MyAuditVal),_xlpm.MacVal&lt;&gt;"",_xlpm.MacVal,_xlpm.CSVVal&lt;&gt;"",_xlpm.CSVVal
)),"")</f>
        <v/>
      </c>
      <c r="E621" s="46" t="str" cm="1">
        <f t="array" ref="E621">IFERROR(_xlfn.LET(
_xlpm.CSVVal,_xlfn.XLOOKUP($A621,CSV!$A:$A,CSV!E:E,""),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_xlpm.CSVVal,_xlfn.XLOOKUP($A621,CSV!$A:$A,CSV!G:G,""),
_xlpm.MacVal,_xlfn.XLOOKUP($A621,Output_Mac!$A:$A,Output_Mac!G:G,""),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_xlfn.XLOOKUP(A621,Output_Mac!A:A,Output_Mac!H:H,"")</f>
        <v/>
      </c>
      <c r="I621" s="45" t="str" cm="1">
        <f t="array" ref="I621">IFERROR(_xlfn.LET(
_xlpm.CSVVal,_xlfn.XLOOKUP($A621,CSV!$A:$A,CSV!H:H,""),
_xlpm.MacVal,_xlfn.XLOOKUP($A621,Output_Mac!$A:$A,Output_Mac!I:I,""),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_xlpm.CSVVal,_xlfn.XLOOKUP($A621,CSV!$A:$A,CSV!J:J,""),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46" t="str" cm="1">
        <f t="array" ref="K621">IFERROR(_xlfn.LET(
_xlpm.CSVVal,_xlfn.XLOOKUP($A621,CSV!$A:$A,CSV!N:N,""),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_xlpm.CSVVal,_xlfn.XLOOKUP($A621,CSV!$A:$A,CSV!P:P,""),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CSV!AE:AE,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_xlpm.CSVVal,_xlfn.XLOOKUP($A621,CSV!$A:$A,CSV!AG:AG,""),
_xlpm.MacVal,_xlfn.XLOOKUP($A621,Output_Mac!$A:$A,Output_Mac!T:T,""),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6" t="str">
        <f>IF(LEFT(N621,4)="Pass","Nist SP 800-88",My_Audit!R621)&amp;""</f>
        <v/>
      </c>
      <c r="R621" s="45"/>
      <c r="S621" s="45"/>
      <c r="T621" s="46" t="str">
        <f>_xlfn.XLOOKUP(E621,Models!I:I,Models!J:J,"")</f>
        <v/>
      </c>
      <c r="U621" s="45"/>
      <c r="V621" s="45"/>
      <c r="W621" s="38" t="str">
        <f>_xlfn.LET(
    _xlpm.MacVal, _xlfn.XLOOKUP($A621, Output_Mac!$A:$A, Output_Mac!AA:AA, ""),
    _xlpm.MyAuditVal, _xlfn.XLOOKUP($A621, My_Audit!$A:$A, My_Audit!L:L, ""),
    _xlfn.TEXTJOIN(", ", TRUE, _xlpm.MyAuditVal, _xlpm.MacVal)
)</f>
        <v/>
      </c>
    </row>
    <row r="622" spans="1:23">
      <c r="A622" s="45" t="str">
        <f>_xlfn.TEXTJOIN("",TRUE,Input!$B$2,ROW(My_Audit!A621))</f>
        <v>CC621</v>
      </c>
      <c r="B622" s="45" t="str">
        <f>_xlfn.TEXTJOIN("-",TRUE,"ITD",Input!$A$2,A622)</f>
        <v>ITD-XXX-CC621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 cm="1">
        <f t="array" ref="D622">IFERROR(_xlfn.LET(
_xlpm.CSVVal,_xlfn.XLOOKUP($A622,CSV!$A:$A,CSV!C:C,""),
_xlpm.MacVal,_xlfn.XLOOKUP($A622,Output_Mac!$A:$A,Output_Mac!D:D,""),
_xlpm.MyAuditVal,_xlfn.XLOOKUP($A622,My_Audit!$A:$A,My_Audit!C:C,""),
_xlfn.IFS(_xlpm.MyAuditVal&lt;&gt;"",UPPER(_xlpm.MyAuditVal),_xlpm.MacVal&lt;&gt;"",_xlpm.MacVal,_xlpm.CSVVal&lt;&gt;"",_xlpm.CSVVal
)),"")</f>
        <v/>
      </c>
      <c r="E622" s="46" t="str" cm="1">
        <f t="array" ref="E622">IFERROR(_xlfn.LET(
_xlpm.CSVVal,_xlfn.XLOOKUP($A622,CSV!$A:$A,CSV!E:E,""),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_xlpm.CSVVal,_xlfn.XLOOKUP($A622,CSV!$A:$A,CSV!G:G,""),
_xlpm.MacVal,_xlfn.XLOOKUP($A622,Output_Mac!$A:$A,Output_Mac!G:G,""),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_xlfn.XLOOKUP(A622,Output_Mac!A:A,Output_Mac!H:H,"")</f>
        <v/>
      </c>
      <c r="I622" s="45" t="str" cm="1">
        <f t="array" ref="I622">IFERROR(_xlfn.LET(
_xlpm.CSVVal,_xlfn.XLOOKUP($A622,CSV!$A:$A,CSV!H:H,""),
_xlpm.MacVal,_xlfn.XLOOKUP($A622,Output_Mac!$A:$A,Output_Mac!I:I,""),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_xlpm.CSVVal,_xlfn.XLOOKUP($A622,CSV!$A:$A,CSV!J:J,""),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46" t="str" cm="1">
        <f t="array" ref="K622">IFERROR(_xlfn.LET(
_xlpm.CSVVal,_xlfn.XLOOKUP($A622,CSV!$A:$A,CSV!N:N,""),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_xlpm.CSVVal,_xlfn.XLOOKUP($A622,CSV!$A:$A,CSV!P:P,""),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CSV!AE:AE,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_xlpm.CSVVal,_xlfn.XLOOKUP($A622,CSV!$A:$A,CSV!AG:AG,""),
_xlpm.MacVal,_xlfn.XLOOKUP($A622,Output_Mac!$A:$A,Output_Mac!T:T,""),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6" t="str">
        <f>IF(LEFT(N622,4)="Pass","Nist SP 800-88",My_Audit!R622)&amp;""</f>
        <v/>
      </c>
      <c r="R622" s="45"/>
      <c r="S622" s="45"/>
      <c r="T622" s="46" t="str">
        <f>_xlfn.XLOOKUP(E622,Models!I:I,Models!J:J,"")</f>
        <v/>
      </c>
      <c r="U622" s="45"/>
      <c r="V622" s="45"/>
      <c r="W622" s="38" t="str">
        <f>_xlfn.LET(
    _xlpm.MacVal, _xlfn.XLOOKUP($A622, Output_Mac!$A:$A, Output_Mac!AA:AA, ""),
    _xlpm.MyAuditVal, _xlfn.XLOOKUP($A622, My_Audit!$A:$A, My_Audit!L:L, ""),
    _xlfn.TEXTJOIN(", ", TRUE, _xlpm.MyAuditVal, _xlpm.MacVal)
)</f>
        <v/>
      </c>
    </row>
    <row r="623" spans="1:23">
      <c r="A623" s="45" t="str">
        <f>_xlfn.TEXTJOIN("",TRUE,Input!$B$2,ROW(My_Audit!A622))</f>
        <v>CC622</v>
      </c>
      <c r="B623" s="45" t="str">
        <f>_xlfn.TEXTJOIN("-",TRUE,"ITD",Input!$A$2,A623)</f>
        <v>ITD-XXX-CC622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 cm="1">
        <f t="array" ref="D623">IFERROR(_xlfn.LET(
_xlpm.CSVVal,_xlfn.XLOOKUP($A623,CSV!$A:$A,CSV!C:C,""),
_xlpm.MacVal,_xlfn.XLOOKUP($A623,Output_Mac!$A:$A,Output_Mac!D:D,""),
_xlpm.MyAuditVal,_xlfn.XLOOKUP($A623,My_Audit!$A:$A,My_Audit!C:C,""),
_xlfn.IFS(_xlpm.MyAuditVal&lt;&gt;"",UPPER(_xlpm.MyAuditVal),_xlpm.MacVal&lt;&gt;"",_xlpm.MacVal,_xlpm.CSVVal&lt;&gt;"",_xlpm.CSVVal
)),"")</f>
        <v/>
      </c>
      <c r="E623" s="46" t="str" cm="1">
        <f t="array" ref="E623">IFERROR(_xlfn.LET(
_xlpm.CSVVal,_xlfn.XLOOKUP($A623,CSV!$A:$A,CSV!E:E,""),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_xlpm.CSVVal,_xlfn.XLOOKUP($A623,CSV!$A:$A,CSV!G:G,""),
_xlpm.MacVal,_xlfn.XLOOKUP($A623,Output_Mac!$A:$A,Output_Mac!G:G,""),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_xlfn.XLOOKUP(A623,Output_Mac!A:A,Output_Mac!H:H,"")</f>
        <v/>
      </c>
      <c r="I623" s="45" t="str" cm="1">
        <f t="array" ref="I623">IFERROR(_xlfn.LET(
_xlpm.CSVVal,_xlfn.XLOOKUP($A623,CSV!$A:$A,CSV!H:H,""),
_xlpm.MacVal,_xlfn.XLOOKUP($A623,Output_Mac!$A:$A,Output_Mac!I:I,""),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_xlpm.CSVVal,_xlfn.XLOOKUP($A623,CSV!$A:$A,CSV!J:J,""),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46" t="str" cm="1">
        <f t="array" ref="K623">IFERROR(_xlfn.LET(
_xlpm.CSVVal,_xlfn.XLOOKUP($A623,CSV!$A:$A,CSV!N:N,""),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_xlpm.CSVVal,_xlfn.XLOOKUP($A623,CSV!$A:$A,CSV!P:P,""),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CSV!AE:AE,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_xlpm.CSVVal,_xlfn.XLOOKUP($A623,CSV!$A:$A,CSV!AG:AG,""),
_xlpm.MacVal,_xlfn.XLOOKUP($A623,Output_Mac!$A:$A,Output_Mac!T:T,""),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6" t="str">
        <f>IF(LEFT(N623,4)="Pass","Nist SP 800-88",My_Audit!R623)&amp;""</f>
        <v/>
      </c>
      <c r="R623" s="45"/>
      <c r="S623" s="45"/>
      <c r="T623" s="46" t="str">
        <f>_xlfn.XLOOKUP(E623,Models!I:I,Models!J:J,"")</f>
        <v/>
      </c>
      <c r="U623" s="45"/>
      <c r="V623" s="45"/>
      <c r="W623" s="38" t="str">
        <f>_xlfn.LET(
    _xlpm.MacVal, _xlfn.XLOOKUP($A623, Output_Mac!$A:$A, Output_Mac!AA:AA, ""),
    _xlpm.MyAuditVal, _xlfn.XLOOKUP($A623, My_Audit!$A:$A, My_Audit!L:L, ""),
    _xlfn.TEXTJOIN(", ", TRUE, _xlpm.MyAuditVal, _xlpm.MacVal)
)</f>
        <v/>
      </c>
    </row>
    <row r="624" spans="1:23">
      <c r="A624" s="45" t="str">
        <f>_xlfn.TEXTJOIN("",TRUE,Input!$B$2,ROW(My_Audit!A623))</f>
        <v>CC623</v>
      </c>
      <c r="B624" s="45" t="str">
        <f>_xlfn.TEXTJOIN("-",TRUE,"ITD",Input!$A$2,A624)</f>
        <v>ITD-XXX-CC623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 cm="1">
        <f t="array" ref="D624">IFERROR(_xlfn.LET(
_xlpm.CSVVal,_xlfn.XLOOKUP($A624,CSV!$A:$A,CSV!C:C,""),
_xlpm.MacVal,_xlfn.XLOOKUP($A624,Output_Mac!$A:$A,Output_Mac!D:D,""),
_xlpm.MyAuditVal,_xlfn.XLOOKUP($A624,My_Audit!$A:$A,My_Audit!C:C,""),
_xlfn.IFS(_xlpm.MyAuditVal&lt;&gt;"",UPPER(_xlpm.MyAuditVal),_xlpm.MacVal&lt;&gt;"",_xlpm.MacVal,_xlpm.CSVVal&lt;&gt;"",_xlpm.CSVVal
)),"")</f>
        <v/>
      </c>
      <c r="E624" s="46" t="str" cm="1">
        <f t="array" ref="E624">IFERROR(_xlfn.LET(
_xlpm.CSVVal,_xlfn.XLOOKUP($A624,CSV!$A:$A,CSV!E:E,""),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_xlpm.CSVVal,_xlfn.XLOOKUP($A624,CSV!$A:$A,CSV!G:G,""),
_xlpm.MacVal,_xlfn.XLOOKUP($A624,Output_Mac!$A:$A,Output_Mac!G:G,""),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_xlfn.XLOOKUP(A624,Output_Mac!A:A,Output_Mac!H:H,"")</f>
        <v/>
      </c>
      <c r="I624" s="45" t="str" cm="1">
        <f t="array" ref="I624">IFERROR(_xlfn.LET(
_xlpm.CSVVal,_xlfn.XLOOKUP($A624,CSV!$A:$A,CSV!H:H,""),
_xlpm.MacVal,_xlfn.XLOOKUP($A624,Output_Mac!$A:$A,Output_Mac!I:I,""),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_xlpm.CSVVal,_xlfn.XLOOKUP($A624,CSV!$A:$A,CSV!J:J,""),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46" t="str" cm="1">
        <f t="array" ref="K624">IFERROR(_xlfn.LET(
_xlpm.CSVVal,_xlfn.XLOOKUP($A624,CSV!$A:$A,CSV!N:N,""),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_xlpm.CSVVal,_xlfn.XLOOKUP($A624,CSV!$A:$A,CSV!P:P,""),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CSV!AE:AE,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_xlpm.CSVVal,_xlfn.XLOOKUP($A624,CSV!$A:$A,CSV!AG:AG,""),
_xlpm.MacVal,_xlfn.XLOOKUP($A624,Output_Mac!$A:$A,Output_Mac!T:T,""),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6" t="str">
        <f>IF(LEFT(N624,4)="Pass","Nist SP 800-88",My_Audit!R624)&amp;""</f>
        <v/>
      </c>
      <c r="R624" s="45"/>
      <c r="S624" s="45"/>
      <c r="T624" s="46" t="str">
        <f>_xlfn.XLOOKUP(E624,Models!I:I,Models!J:J,"")</f>
        <v/>
      </c>
      <c r="U624" s="45"/>
      <c r="V624" s="45"/>
      <c r="W624" s="38" t="str">
        <f>_xlfn.LET(
    _xlpm.MacVal, _xlfn.XLOOKUP($A624, Output_Mac!$A:$A, Output_Mac!AA:AA, ""),
    _xlpm.MyAuditVal, _xlfn.XLOOKUP($A624, My_Audit!$A:$A, My_Audit!L:L, ""),
    _xlfn.TEXTJOIN(", ", TRUE, _xlpm.MyAuditVal, _xlpm.MacVal)
)</f>
        <v/>
      </c>
    </row>
    <row r="625" spans="1:23">
      <c r="A625" s="45" t="str">
        <f>_xlfn.TEXTJOIN("",TRUE,Input!$B$2,ROW(My_Audit!A624))</f>
        <v>CC624</v>
      </c>
      <c r="B625" s="45" t="str">
        <f>_xlfn.TEXTJOIN("-",TRUE,"ITD",Input!$A$2,A625)</f>
        <v>ITD-XXX-CC624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 cm="1">
        <f t="array" ref="D625">IFERROR(_xlfn.LET(
_xlpm.CSVVal,_xlfn.XLOOKUP($A625,CSV!$A:$A,CSV!C:C,""),
_xlpm.MacVal,_xlfn.XLOOKUP($A625,Output_Mac!$A:$A,Output_Mac!D:D,""),
_xlpm.MyAuditVal,_xlfn.XLOOKUP($A625,My_Audit!$A:$A,My_Audit!C:C,""),
_xlfn.IFS(_xlpm.MyAuditVal&lt;&gt;"",UPPER(_xlpm.MyAuditVal),_xlpm.MacVal&lt;&gt;"",_xlpm.MacVal,_xlpm.CSVVal&lt;&gt;"",_xlpm.CSVVal
)),"")</f>
        <v/>
      </c>
      <c r="E625" s="46" t="str" cm="1">
        <f t="array" ref="E625">IFERROR(_xlfn.LET(
_xlpm.CSVVal,_xlfn.XLOOKUP($A625,CSV!$A:$A,CSV!E:E,""),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_xlpm.CSVVal,_xlfn.XLOOKUP($A625,CSV!$A:$A,CSV!G:G,""),
_xlpm.MacVal,_xlfn.XLOOKUP($A625,Output_Mac!$A:$A,Output_Mac!G:G,""),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_xlfn.XLOOKUP(A625,Output_Mac!A:A,Output_Mac!H:H,"")</f>
        <v/>
      </c>
      <c r="I625" s="45" t="str" cm="1">
        <f t="array" ref="I625">IFERROR(_xlfn.LET(
_xlpm.CSVVal,_xlfn.XLOOKUP($A625,CSV!$A:$A,CSV!H:H,""),
_xlpm.MacVal,_xlfn.XLOOKUP($A625,Output_Mac!$A:$A,Output_Mac!I:I,""),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_xlpm.CSVVal,_xlfn.XLOOKUP($A625,CSV!$A:$A,CSV!J:J,""),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46" t="str" cm="1">
        <f t="array" ref="K625">IFERROR(_xlfn.LET(
_xlpm.CSVVal,_xlfn.XLOOKUP($A625,CSV!$A:$A,CSV!N:N,""),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_xlpm.CSVVal,_xlfn.XLOOKUP($A625,CSV!$A:$A,CSV!P:P,""),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CSV!AE:AE,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_xlpm.CSVVal,_xlfn.XLOOKUP($A625,CSV!$A:$A,CSV!AG:AG,""),
_xlpm.MacVal,_xlfn.XLOOKUP($A625,Output_Mac!$A:$A,Output_Mac!T:T,""),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6" t="str">
        <f>IF(LEFT(N625,4)="Pass","Nist SP 800-88",My_Audit!R625)&amp;""</f>
        <v/>
      </c>
      <c r="R625" s="45"/>
      <c r="S625" s="45"/>
      <c r="T625" s="46" t="str">
        <f>_xlfn.XLOOKUP(E625,Models!I:I,Models!J:J,"")</f>
        <v/>
      </c>
      <c r="U625" s="45"/>
      <c r="V625" s="45"/>
      <c r="W625" s="38" t="str">
        <f>_xlfn.LET(
    _xlpm.MacVal, _xlfn.XLOOKUP($A625, Output_Mac!$A:$A, Output_Mac!AA:AA, ""),
    _xlpm.MyAuditVal, _xlfn.XLOOKUP($A625, My_Audit!$A:$A, My_Audit!L:L, ""),
    _xlfn.TEXTJOIN(", ", TRUE, _xlpm.MyAuditVal, _xlpm.MacVal)
)</f>
        <v/>
      </c>
    </row>
    <row r="626" spans="1:23">
      <c r="A626" s="45" t="str">
        <f>_xlfn.TEXTJOIN("",TRUE,Input!$B$2,ROW(My_Audit!A625))</f>
        <v>CC625</v>
      </c>
      <c r="B626" s="45" t="str">
        <f>_xlfn.TEXTJOIN("-",TRUE,"ITD",Input!$A$2,A626)</f>
        <v>ITD-XXX-CC625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 cm="1">
        <f t="array" ref="D626">IFERROR(_xlfn.LET(
_xlpm.CSVVal,_xlfn.XLOOKUP($A626,CSV!$A:$A,CSV!C:C,""),
_xlpm.MacVal,_xlfn.XLOOKUP($A626,Output_Mac!$A:$A,Output_Mac!D:D,""),
_xlpm.MyAuditVal,_xlfn.XLOOKUP($A626,My_Audit!$A:$A,My_Audit!C:C,""),
_xlfn.IFS(_xlpm.MyAuditVal&lt;&gt;"",UPPER(_xlpm.MyAuditVal),_xlpm.MacVal&lt;&gt;"",_xlpm.MacVal,_xlpm.CSVVal&lt;&gt;"",_xlpm.CSVVal
)),"")</f>
        <v/>
      </c>
      <c r="E626" s="46" t="str" cm="1">
        <f t="array" ref="E626">IFERROR(_xlfn.LET(
_xlpm.CSVVal,_xlfn.XLOOKUP($A626,CSV!$A:$A,CSV!E:E,""),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_xlpm.CSVVal,_xlfn.XLOOKUP($A626,CSV!$A:$A,CSV!G:G,""),
_xlpm.MacVal,_xlfn.XLOOKUP($A626,Output_Mac!$A:$A,Output_Mac!G:G,""),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_xlfn.XLOOKUP(A626,Output_Mac!A:A,Output_Mac!H:H,"")</f>
        <v/>
      </c>
      <c r="I626" s="45" t="str" cm="1">
        <f t="array" ref="I626">IFERROR(_xlfn.LET(
_xlpm.CSVVal,_xlfn.XLOOKUP($A626,CSV!$A:$A,CSV!H:H,""),
_xlpm.MacVal,_xlfn.XLOOKUP($A626,Output_Mac!$A:$A,Output_Mac!I:I,""),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_xlpm.CSVVal,_xlfn.XLOOKUP($A626,CSV!$A:$A,CSV!J:J,""),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46" t="str" cm="1">
        <f t="array" ref="K626">IFERROR(_xlfn.LET(
_xlpm.CSVVal,_xlfn.XLOOKUP($A626,CSV!$A:$A,CSV!N:N,""),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_xlpm.CSVVal,_xlfn.XLOOKUP($A626,CSV!$A:$A,CSV!P:P,""),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CSV!AE:AE,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_xlpm.CSVVal,_xlfn.XLOOKUP($A626,CSV!$A:$A,CSV!AG:AG,""),
_xlpm.MacVal,_xlfn.XLOOKUP($A626,Output_Mac!$A:$A,Output_Mac!T:T,""),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6" t="str">
        <f>IF(LEFT(N626,4)="Pass","Nist SP 800-88",My_Audit!R626)&amp;""</f>
        <v/>
      </c>
      <c r="R626" s="45"/>
      <c r="S626" s="45"/>
      <c r="T626" s="46" t="str">
        <f>_xlfn.XLOOKUP(E626,Models!I:I,Models!J:J,"")</f>
        <v/>
      </c>
      <c r="U626" s="45"/>
      <c r="V626" s="45"/>
      <c r="W626" s="38" t="str">
        <f>_xlfn.LET(
    _xlpm.MacVal, _xlfn.XLOOKUP($A626, Output_Mac!$A:$A, Output_Mac!AA:AA, ""),
    _xlpm.MyAuditVal, _xlfn.XLOOKUP($A626, My_Audit!$A:$A, My_Audit!L:L, ""),
    _xlfn.TEXTJOIN(", ", TRUE, _xlpm.MyAuditVal, _xlpm.MacVal)
)</f>
        <v/>
      </c>
    </row>
    <row r="627" spans="1:23">
      <c r="A627" s="45" t="str">
        <f>_xlfn.TEXTJOIN("",TRUE,Input!$B$2,ROW(My_Audit!A626))</f>
        <v>CC626</v>
      </c>
      <c r="B627" s="45" t="str">
        <f>_xlfn.TEXTJOIN("-",TRUE,"ITD",Input!$A$2,A627)</f>
        <v>ITD-XXX-CC626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 cm="1">
        <f t="array" ref="D627">IFERROR(_xlfn.LET(
_xlpm.CSVVal,_xlfn.XLOOKUP($A627,CSV!$A:$A,CSV!C:C,""),
_xlpm.MacVal,_xlfn.XLOOKUP($A627,Output_Mac!$A:$A,Output_Mac!D:D,""),
_xlpm.MyAuditVal,_xlfn.XLOOKUP($A627,My_Audit!$A:$A,My_Audit!C:C,""),
_xlfn.IFS(_xlpm.MyAuditVal&lt;&gt;"",UPPER(_xlpm.MyAuditVal),_xlpm.MacVal&lt;&gt;"",_xlpm.MacVal,_xlpm.CSVVal&lt;&gt;"",_xlpm.CSVVal
)),"")</f>
        <v/>
      </c>
      <c r="E627" s="46" t="str" cm="1">
        <f t="array" ref="E627">IFERROR(_xlfn.LET(
_xlpm.CSVVal,_xlfn.XLOOKUP($A627,CSV!$A:$A,CSV!E:E,""),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_xlpm.CSVVal,_xlfn.XLOOKUP($A627,CSV!$A:$A,CSV!G:G,""),
_xlpm.MacVal,_xlfn.XLOOKUP($A627,Output_Mac!$A:$A,Output_Mac!G:G,""),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_xlfn.XLOOKUP(A627,Output_Mac!A:A,Output_Mac!H:H,"")</f>
        <v/>
      </c>
      <c r="I627" s="45" t="str" cm="1">
        <f t="array" ref="I627">IFERROR(_xlfn.LET(
_xlpm.CSVVal,_xlfn.XLOOKUP($A627,CSV!$A:$A,CSV!H:H,""),
_xlpm.MacVal,_xlfn.XLOOKUP($A627,Output_Mac!$A:$A,Output_Mac!I:I,""),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_xlpm.CSVVal,_xlfn.XLOOKUP($A627,CSV!$A:$A,CSV!J:J,""),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46" t="str" cm="1">
        <f t="array" ref="K627">IFERROR(_xlfn.LET(
_xlpm.CSVVal,_xlfn.XLOOKUP($A627,CSV!$A:$A,CSV!N:N,""),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_xlpm.CSVVal,_xlfn.XLOOKUP($A627,CSV!$A:$A,CSV!P:P,""),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CSV!AE:AE,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_xlpm.CSVVal,_xlfn.XLOOKUP($A627,CSV!$A:$A,CSV!AG:AG,""),
_xlpm.MacVal,_xlfn.XLOOKUP($A627,Output_Mac!$A:$A,Output_Mac!T:T,""),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6" t="str">
        <f>IF(LEFT(N627,4)="Pass","Nist SP 800-88",My_Audit!R627)&amp;""</f>
        <v/>
      </c>
      <c r="R627" s="45"/>
      <c r="S627" s="45"/>
      <c r="T627" s="46" t="str">
        <f>_xlfn.XLOOKUP(E627,Models!I:I,Models!J:J,"")</f>
        <v/>
      </c>
      <c r="U627" s="45"/>
      <c r="V627" s="45"/>
      <c r="W627" s="38" t="str">
        <f>_xlfn.LET(
    _xlpm.MacVal, _xlfn.XLOOKUP($A627, Output_Mac!$A:$A, Output_Mac!AA:AA, ""),
    _xlpm.MyAuditVal, _xlfn.XLOOKUP($A627, My_Audit!$A:$A, My_Audit!L:L, ""),
    _xlfn.TEXTJOIN(", ", TRUE, _xlpm.MyAuditVal, _xlpm.MacVal)
)</f>
        <v/>
      </c>
    </row>
    <row r="628" spans="1:23">
      <c r="A628" s="45" t="str">
        <f>_xlfn.TEXTJOIN("",TRUE,Input!$B$2,ROW(My_Audit!A627))</f>
        <v>CC627</v>
      </c>
      <c r="B628" s="45" t="str">
        <f>_xlfn.TEXTJOIN("-",TRUE,"ITD",Input!$A$2,A628)</f>
        <v>ITD-XXX-CC627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 cm="1">
        <f t="array" ref="D628">IFERROR(_xlfn.LET(
_xlpm.CSVVal,_xlfn.XLOOKUP($A628,CSV!$A:$A,CSV!C:C,""),
_xlpm.MacVal,_xlfn.XLOOKUP($A628,Output_Mac!$A:$A,Output_Mac!D:D,""),
_xlpm.MyAuditVal,_xlfn.XLOOKUP($A628,My_Audit!$A:$A,My_Audit!C:C,""),
_xlfn.IFS(_xlpm.MyAuditVal&lt;&gt;"",UPPER(_xlpm.MyAuditVal),_xlpm.MacVal&lt;&gt;"",_xlpm.MacVal,_xlpm.CSVVal&lt;&gt;"",_xlpm.CSVVal
)),"")</f>
        <v/>
      </c>
      <c r="E628" s="46" t="str" cm="1">
        <f t="array" ref="E628">IFERROR(_xlfn.LET(
_xlpm.CSVVal,_xlfn.XLOOKUP($A628,CSV!$A:$A,CSV!E:E,""),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_xlpm.CSVVal,_xlfn.XLOOKUP($A628,CSV!$A:$A,CSV!G:G,""),
_xlpm.MacVal,_xlfn.XLOOKUP($A628,Output_Mac!$A:$A,Output_Mac!G:G,""),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_xlfn.XLOOKUP(A628,Output_Mac!A:A,Output_Mac!H:H,"")</f>
        <v/>
      </c>
      <c r="I628" s="45" t="str" cm="1">
        <f t="array" ref="I628">IFERROR(_xlfn.LET(
_xlpm.CSVVal,_xlfn.XLOOKUP($A628,CSV!$A:$A,CSV!H:H,""),
_xlpm.MacVal,_xlfn.XLOOKUP($A628,Output_Mac!$A:$A,Output_Mac!I:I,""),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_xlpm.CSVVal,_xlfn.XLOOKUP($A628,CSV!$A:$A,CSV!J:J,""),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46" t="str" cm="1">
        <f t="array" ref="K628">IFERROR(_xlfn.LET(
_xlpm.CSVVal,_xlfn.XLOOKUP($A628,CSV!$A:$A,CSV!N:N,""),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_xlpm.CSVVal,_xlfn.XLOOKUP($A628,CSV!$A:$A,CSV!P:P,""),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CSV!AE:AE,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_xlpm.CSVVal,_xlfn.XLOOKUP($A628,CSV!$A:$A,CSV!AG:AG,""),
_xlpm.MacVal,_xlfn.XLOOKUP($A628,Output_Mac!$A:$A,Output_Mac!T:T,""),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6" t="str">
        <f>IF(LEFT(N628,4)="Pass","Nist SP 800-88",My_Audit!R628)&amp;""</f>
        <v/>
      </c>
      <c r="R628" s="45"/>
      <c r="S628" s="45"/>
      <c r="T628" s="46" t="str">
        <f>_xlfn.XLOOKUP(E628,Models!I:I,Models!J:J,"")</f>
        <v/>
      </c>
      <c r="U628" s="45"/>
      <c r="V628" s="45"/>
      <c r="W628" s="38" t="str">
        <f>_xlfn.LET(
    _xlpm.MacVal, _xlfn.XLOOKUP($A628, Output_Mac!$A:$A, Output_Mac!AA:AA, ""),
    _xlpm.MyAuditVal, _xlfn.XLOOKUP($A628, My_Audit!$A:$A, My_Audit!L:L, ""),
    _xlfn.TEXTJOIN(", ", TRUE, _xlpm.MyAuditVal, _xlpm.MacVal)
)</f>
        <v/>
      </c>
    </row>
    <row r="629" spans="1:23">
      <c r="A629" s="45" t="str">
        <f>_xlfn.TEXTJOIN("",TRUE,Input!$B$2,ROW(My_Audit!A628))</f>
        <v>CC628</v>
      </c>
      <c r="B629" s="45" t="str">
        <f>_xlfn.TEXTJOIN("-",TRUE,"ITD",Input!$A$2,A629)</f>
        <v>ITD-XXX-CC628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 cm="1">
        <f t="array" ref="D629">IFERROR(_xlfn.LET(
_xlpm.CSVVal,_xlfn.XLOOKUP($A629,CSV!$A:$A,CSV!C:C,""),
_xlpm.MacVal,_xlfn.XLOOKUP($A629,Output_Mac!$A:$A,Output_Mac!D:D,""),
_xlpm.MyAuditVal,_xlfn.XLOOKUP($A629,My_Audit!$A:$A,My_Audit!C:C,""),
_xlfn.IFS(_xlpm.MyAuditVal&lt;&gt;"",UPPER(_xlpm.MyAuditVal),_xlpm.MacVal&lt;&gt;"",_xlpm.MacVal,_xlpm.CSVVal&lt;&gt;"",_xlpm.CSVVal
)),"")</f>
        <v/>
      </c>
      <c r="E629" s="46" t="str" cm="1">
        <f t="array" ref="E629">IFERROR(_xlfn.LET(
_xlpm.CSVVal,_xlfn.XLOOKUP($A629,CSV!$A:$A,CSV!E:E,""),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_xlpm.CSVVal,_xlfn.XLOOKUP($A629,CSV!$A:$A,CSV!G:G,""),
_xlpm.MacVal,_xlfn.XLOOKUP($A629,Output_Mac!$A:$A,Output_Mac!G:G,""),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_xlfn.XLOOKUP(A629,Output_Mac!A:A,Output_Mac!H:H,"")</f>
        <v/>
      </c>
      <c r="I629" s="45" t="str" cm="1">
        <f t="array" ref="I629">IFERROR(_xlfn.LET(
_xlpm.CSVVal,_xlfn.XLOOKUP($A629,CSV!$A:$A,CSV!H:H,""),
_xlpm.MacVal,_xlfn.XLOOKUP($A629,Output_Mac!$A:$A,Output_Mac!I:I,""),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_xlpm.CSVVal,_xlfn.XLOOKUP($A629,CSV!$A:$A,CSV!J:J,""),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46" t="str" cm="1">
        <f t="array" ref="K629">IFERROR(_xlfn.LET(
_xlpm.CSVVal,_xlfn.XLOOKUP($A629,CSV!$A:$A,CSV!N:N,""),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_xlpm.CSVVal,_xlfn.XLOOKUP($A629,CSV!$A:$A,CSV!P:P,""),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CSV!AE:AE,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_xlpm.CSVVal,_xlfn.XLOOKUP($A629,CSV!$A:$A,CSV!AG:AG,""),
_xlpm.MacVal,_xlfn.XLOOKUP($A629,Output_Mac!$A:$A,Output_Mac!T:T,""),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6" t="str">
        <f>IF(LEFT(N629,4)="Pass","Nist SP 800-88",My_Audit!R629)&amp;""</f>
        <v/>
      </c>
      <c r="R629" s="45"/>
      <c r="S629" s="45"/>
      <c r="T629" s="46" t="str">
        <f>_xlfn.XLOOKUP(E629,Models!I:I,Models!J:J,"")</f>
        <v/>
      </c>
      <c r="U629" s="45"/>
      <c r="V629" s="45"/>
      <c r="W629" s="38" t="str">
        <f>_xlfn.LET(
    _xlpm.MacVal, _xlfn.XLOOKUP($A629, Output_Mac!$A:$A, Output_Mac!AA:AA, ""),
    _xlpm.MyAuditVal, _xlfn.XLOOKUP($A629, My_Audit!$A:$A, My_Audit!L:L, ""),
    _xlfn.TEXTJOIN(", ", TRUE, _xlpm.MyAuditVal, _xlpm.MacVal)
)</f>
        <v/>
      </c>
    </row>
    <row r="630" spans="1:23">
      <c r="A630" s="45" t="str">
        <f>_xlfn.TEXTJOIN("",TRUE,Input!$B$2,ROW(My_Audit!A629))</f>
        <v>CC629</v>
      </c>
      <c r="B630" s="45" t="str">
        <f>_xlfn.TEXTJOIN("-",TRUE,"ITD",Input!$A$2,A630)</f>
        <v>ITD-XXX-CC629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 cm="1">
        <f t="array" ref="D630">IFERROR(_xlfn.LET(
_xlpm.CSVVal,_xlfn.XLOOKUP($A630,CSV!$A:$A,CSV!C:C,""),
_xlpm.MacVal,_xlfn.XLOOKUP($A630,Output_Mac!$A:$A,Output_Mac!D:D,""),
_xlpm.MyAuditVal,_xlfn.XLOOKUP($A630,My_Audit!$A:$A,My_Audit!C:C,""),
_xlfn.IFS(_xlpm.MyAuditVal&lt;&gt;"",UPPER(_xlpm.MyAuditVal),_xlpm.MacVal&lt;&gt;"",_xlpm.MacVal,_xlpm.CSVVal&lt;&gt;"",_xlpm.CSVVal
)),"")</f>
        <v/>
      </c>
      <c r="E630" s="46" t="str" cm="1">
        <f t="array" ref="E630">IFERROR(_xlfn.LET(
_xlpm.CSVVal,_xlfn.XLOOKUP($A630,CSV!$A:$A,CSV!E:E,""),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_xlpm.CSVVal,_xlfn.XLOOKUP($A630,CSV!$A:$A,CSV!G:G,""),
_xlpm.MacVal,_xlfn.XLOOKUP($A630,Output_Mac!$A:$A,Output_Mac!G:G,""),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_xlfn.XLOOKUP(A630,Output_Mac!A:A,Output_Mac!H:H,"")</f>
        <v/>
      </c>
      <c r="I630" s="45" t="str" cm="1">
        <f t="array" ref="I630">IFERROR(_xlfn.LET(
_xlpm.CSVVal,_xlfn.XLOOKUP($A630,CSV!$A:$A,CSV!H:H,""),
_xlpm.MacVal,_xlfn.XLOOKUP($A630,Output_Mac!$A:$A,Output_Mac!I:I,""),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_xlpm.CSVVal,_xlfn.XLOOKUP($A630,CSV!$A:$A,CSV!J:J,""),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46" t="str" cm="1">
        <f t="array" ref="K630">IFERROR(_xlfn.LET(
_xlpm.CSVVal,_xlfn.XLOOKUP($A630,CSV!$A:$A,CSV!N:N,""),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_xlpm.CSVVal,_xlfn.XLOOKUP($A630,CSV!$A:$A,CSV!P:P,""),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CSV!AE:AE,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_xlpm.CSVVal,_xlfn.XLOOKUP($A630,CSV!$A:$A,CSV!AG:AG,""),
_xlpm.MacVal,_xlfn.XLOOKUP($A630,Output_Mac!$A:$A,Output_Mac!T:T,""),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6" t="str">
        <f>IF(LEFT(N630,4)="Pass","Nist SP 800-88",My_Audit!R630)&amp;""</f>
        <v/>
      </c>
      <c r="R630" s="45"/>
      <c r="S630" s="45"/>
      <c r="T630" s="46" t="str">
        <f>_xlfn.XLOOKUP(E630,Models!I:I,Models!J:J,"")</f>
        <v/>
      </c>
      <c r="U630" s="45"/>
      <c r="V630" s="45"/>
      <c r="W630" s="38" t="str">
        <f>_xlfn.LET(
    _xlpm.MacVal, _xlfn.XLOOKUP($A630, Output_Mac!$A:$A, Output_Mac!AA:AA, ""),
    _xlpm.MyAuditVal, _xlfn.XLOOKUP($A630, My_Audit!$A:$A, My_Audit!L:L, ""),
    _xlfn.TEXTJOIN(", ", TRUE, _xlpm.MyAuditVal, _xlpm.MacVal)
)</f>
        <v/>
      </c>
    </row>
    <row r="631" spans="1:23">
      <c r="A631" s="45" t="str">
        <f>_xlfn.TEXTJOIN("",TRUE,Input!$B$2,ROW(My_Audit!A630))</f>
        <v>CC630</v>
      </c>
      <c r="B631" s="45" t="str">
        <f>_xlfn.TEXTJOIN("-",TRUE,"ITD",Input!$A$2,A631)</f>
        <v>ITD-XXX-CC630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 cm="1">
        <f t="array" ref="D631">IFERROR(_xlfn.LET(
_xlpm.CSVVal,_xlfn.XLOOKUP($A631,CSV!$A:$A,CSV!C:C,""),
_xlpm.MacVal,_xlfn.XLOOKUP($A631,Output_Mac!$A:$A,Output_Mac!D:D,""),
_xlpm.MyAuditVal,_xlfn.XLOOKUP($A631,My_Audit!$A:$A,My_Audit!C:C,""),
_xlfn.IFS(_xlpm.MyAuditVal&lt;&gt;"",UPPER(_xlpm.MyAuditVal),_xlpm.MacVal&lt;&gt;"",_xlpm.MacVal,_xlpm.CSVVal&lt;&gt;"",_xlpm.CSVVal
)),"")</f>
        <v/>
      </c>
      <c r="E631" s="46" t="str" cm="1">
        <f t="array" ref="E631">IFERROR(_xlfn.LET(
_xlpm.CSVVal,_xlfn.XLOOKUP($A631,CSV!$A:$A,CSV!E:E,""),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_xlpm.CSVVal,_xlfn.XLOOKUP($A631,CSV!$A:$A,CSV!G:G,""),
_xlpm.MacVal,_xlfn.XLOOKUP($A631,Output_Mac!$A:$A,Output_Mac!G:G,""),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_xlfn.XLOOKUP(A631,Output_Mac!A:A,Output_Mac!H:H,"")</f>
        <v/>
      </c>
      <c r="I631" s="45" t="str" cm="1">
        <f t="array" ref="I631">IFERROR(_xlfn.LET(
_xlpm.CSVVal,_xlfn.XLOOKUP($A631,CSV!$A:$A,CSV!H:H,""),
_xlpm.MacVal,_xlfn.XLOOKUP($A631,Output_Mac!$A:$A,Output_Mac!I:I,""),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_xlpm.CSVVal,_xlfn.XLOOKUP($A631,CSV!$A:$A,CSV!J:J,""),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46" t="str" cm="1">
        <f t="array" ref="K631">IFERROR(_xlfn.LET(
_xlpm.CSVVal,_xlfn.XLOOKUP($A631,CSV!$A:$A,CSV!N:N,""),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_xlpm.CSVVal,_xlfn.XLOOKUP($A631,CSV!$A:$A,CSV!P:P,""),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CSV!AE:AE,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_xlpm.CSVVal,_xlfn.XLOOKUP($A631,CSV!$A:$A,CSV!AG:AG,""),
_xlpm.MacVal,_xlfn.XLOOKUP($A631,Output_Mac!$A:$A,Output_Mac!T:T,""),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6" t="str">
        <f>IF(LEFT(N631,4)="Pass","Nist SP 800-88",My_Audit!R631)&amp;""</f>
        <v/>
      </c>
      <c r="R631" s="45"/>
      <c r="S631" s="45"/>
      <c r="T631" s="46" t="str">
        <f>_xlfn.XLOOKUP(E631,Models!I:I,Models!J:J,"")</f>
        <v/>
      </c>
      <c r="U631" s="45"/>
      <c r="V631" s="45"/>
      <c r="W631" s="38" t="str">
        <f>_xlfn.LET(
    _xlpm.MacVal, _xlfn.XLOOKUP($A631, Output_Mac!$A:$A, Output_Mac!AA:AA, ""),
    _xlpm.MyAuditVal, _xlfn.XLOOKUP($A631, My_Audit!$A:$A, My_Audit!L:L, ""),
    _xlfn.TEXTJOIN(", ", TRUE, _xlpm.MyAuditVal, _xlpm.MacVal)
)</f>
        <v/>
      </c>
    </row>
    <row r="632" spans="1:23">
      <c r="A632" s="45" t="str">
        <f>_xlfn.TEXTJOIN("",TRUE,Input!$B$2,ROW(My_Audit!A631))</f>
        <v>CC631</v>
      </c>
      <c r="B632" s="45" t="str">
        <f>_xlfn.TEXTJOIN("-",TRUE,"ITD",Input!$A$2,A632)</f>
        <v>ITD-XXX-CC631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 cm="1">
        <f t="array" ref="D632">IFERROR(_xlfn.LET(
_xlpm.CSVVal,_xlfn.XLOOKUP($A632,CSV!$A:$A,CSV!C:C,""),
_xlpm.MacVal,_xlfn.XLOOKUP($A632,Output_Mac!$A:$A,Output_Mac!D:D,""),
_xlpm.MyAuditVal,_xlfn.XLOOKUP($A632,My_Audit!$A:$A,My_Audit!C:C,""),
_xlfn.IFS(_xlpm.MyAuditVal&lt;&gt;"",UPPER(_xlpm.MyAuditVal),_xlpm.MacVal&lt;&gt;"",_xlpm.MacVal,_xlpm.CSVVal&lt;&gt;"",_xlpm.CSVVal
)),"")</f>
        <v/>
      </c>
      <c r="E632" s="46" t="str" cm="1">
        <f t="array" ref="E632">IFERROR(_xlfn.LET(
_xlpm.CSVVal,_xlfn.XLOOKUP($A632,CSV!$A:$A,CSV!E:E,""),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_xlpm.CSVVal,_xlfn.XLOOKUP($A632,CSV!$A:$A,CSV!G:G,""),
_xlpm.MacVal,_xlfn.XLOOKUP($A632,Output_Mac!$A:$A,Output_Mac!G:G,""),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_xlfn.XLOOKUP(A632,Output_Mac!A:A,Output_Mac!H:H,"")</f>
        <v/>
      </c>
      <c r="I632" s="45" t="str" cm="1">
        <f t="array" ref="I632">IFERROR(_xlfn.LET(
_xlpm.CSVVal,_xlfn.XLOOKUP($A632,CSV!$A:$A,CSV!H:H,""),
_xlpm.MacVal,_xlfn.XLOOKUP($A632,Output_Mac!$A:$A,Output_Mac!I:I,""),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_xlpm.CSVVal,_xlfn.XLOOKUP($A632,CSV!$A:$A,CSV!J:J,""),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46" t="str" cm="1">
        <f t="array" ref="K632">IFERROR(_xlfn.LET(
_xlpm.CSVVal,_xlfn.XLOOKUP($A632,CSV!$A:$A,CSV!N:N,""),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_xlpm.CSVVal,_xlfn.XLOOKUP($A632,CSV!$A:$A,CSV!P:P,""),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CSV!AE:AE,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_xlpm.CSVVal,_xlfn.XLOOKUP($A632,CSV!$A:$A,CSV!AG:AG,""),
_xlpm.MacVal,_xlfn.XLOOKUP($A632,Output_Mac!$A:$A,Output_Mac!T:T,""),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6" t="str">
        <f>IF(LEFT(N632,4)="Pass","Nist SP 800-88",My_Audit!R632)&amp;""</f>
        <v/>
      </c>
      <c r="R632" s="45"/>
      <c r="S632" s="45"/>
      <c r="T632" s="46" t="str">
        <f>_xlfn.XLOOKUP(E632,Models!I:I,Models!J:J,"")</f>
        <v/>
      </c>
      <c r="U632" s="45"/>
      <c r="V632" s="45"/>
      <c r="W632" s="38" t="str">
        <f>_xlfn.LET(
    _xlpm.MacVal, _xlfn.XLOOKUP($A632, Output_Mac!$A:$A, Output_Mac!AA:AA, ""),
    _xlpm.MyAuditVal, _xlfn.XLOOKUP($A632, My_Audit!$A:$A, My_Audit!L:L, ""),
    _xlfn.TEXTJOIN(", ", TRUE, _xlpm.MyAuditVal, _xlpm.MacVal)
)</f>
        <v/>
      </c>
    </row>
    <row r="633" spans="1:23">
      <c r="A633" s="45" t="str">
        <f>_xlfn.TEXTJOIN("",TRUE,Input!$B$2,ROW(My_Audit!A632))</f>
        <v>CC632</v>
      </c>
      <c r="B633" s="45" t="str">
        <f>_xlfn.TEXTJOIN("-",TRUE,"ITD",Input!$A$2,A633)</f>
        <v>ITD-XXX-CC632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 cm="1">
        <f t="array" ref="D633">IFERROR(_xlfn.LET(
_xlpm.CSVVal,_xlfn.XLOOKUP($A633,CSV!$A:$A,CSV!C:C,""),
_xlpm.MacVal,_xlfn.XLOOKUP($A633,Output_Mac!$A:$A,Output_Mac!D:D,""),
_xlpm.MyAuditVal,_xlfn.XLOOKUP($A633,My_Audit!$A:$A,My_Audit!C:C,""),
_xlfn.IFS(_xlpm.MyAuditVal&lt;&gt;"",UPPER(_xlpm.MyAuditVal),_xlpm.MacVal&lt;&gt;"",_xlpm.MacVal,_xlpm.CSVVal&lt;&gt;"",_xlpm.CSVVal
)),"")</f>
        <v/>
      </c>
      <c r="E633" s="46" t="str" cm="1">
        <f t="array" ref="E633">IFERROR(_xlfn.LET(
_xlpm.CSVVal,_xlfn.XLOOKUP($A633,CSV!$A:$A,CSV!E:E,""),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_xlpm.CSVVal,_xlfn.XLOOKUP($A633,CSV!$A:$A,CSV!G:G,""),
_xlpm.MacVal,_xlfn.XLOOKUP($A633,Output_Mac!$A:$A,Output_Mac!G:G,""),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_xlfn.XLOOKUP(A633,Output_Mac!A:A,Output_Mac!H:H,"")</f>
        <v/>
      </c>
      <c r="I633" s="45" t="str" cm="1">
        <f t="array" ref="I633">IFERROR(_xlfn.LET(
_xlpm.CSVVal,_xlfn.XLOOKUP($A633,CSV!$A:$A,CSV!H:H,""),
_xlpm.MacVal,_xlfn.XLOOKUP($A633,Output_Mac!$A:$A,Output_Mac!I:I,""),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_xlpm.CSVVal,_xlfn.XLOOKUP($A633,CSV!$A:$A,CSV!J:J,""),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46" t="str" cm="1">
        <f t="array" ref="K633">IFERROR(_xlfn.LET(
_xlpm.CSVVal,_xlfn.XLOOKUP($A633,CSV!$A:$A,CSV!N:N,""),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_xlpm.CSVVal,_xlfn.XLOOKUP($A633,CSV!$A:$A,CSV!P:P,""),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CSV!AE:AE,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_xlpm.CSVVal,_xlfn.XLOOKUP($A633,CSV!$A:$A,CSV!AG:AG,""),
_xlpm.MacVal,_xlfn.XLOOKUP($A633,Output_Mac!$A:$A,Output_Mac!T:T,""),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6" t="str">
        <f>IF(LEFT(N633,4)="Pass","Nist SP 800-88",My_Audit!R633)&amp;""</f>
        <v/>
      </c>
      <c r="R633" s="45"/>
      <c r="S633" s="45"/>
      <c r="T633" s="46" t="str">
        <f>_xlfn.XLOOKUP(E633,Models!I:I,Models!J:J,"")</f>
        <v/>
      </c>
      <c r="U633" s="45"/>
      <c r="V633" s="45"/>
      <c r="W633" s="38" t="str">
        <f>_xlfn.LET(
    _xlpm.MacVal, _xlfn.XLOOKUP($A633, Output_Mac!$A:$A, Output_Mac!AA:AA, ""),
    _xlpm.MyAuditVal, _xlfn.XLOOKUP($A633, My_Audit!$A:$A, My_Audit!L:L, ""),
    _xlfn.TEXTJOIN(", ", TRUE, _xlpm.MyAuditVal, _xlpm.MacVal)
)</f>
        <v/>
      </c>
    </row>
    <row r="634" spans="1:23">
      <c r="A634" s="45" t="str">
        <f>_xlfn.TEXTJOIN("",TRUE,Input!$B$2,ROW(My_Audit!A633))</f>
        <v>CC633</v>
      </c>
      <c r="B634" s="45" t="str">
        <f>_xlfn.TEXTJOIN("-",TRUE,"ITD",Input!$A$2,A634)</f>
        <v>ITD-XXX-CC633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 cm="1">
        <f t="array" ref="D634">IFERROR(_xlfn.LET(
_xlpm.CSVVal,_xlfn.XLOOKUP($A634,CSV!$A:$A,CSV!C:C,""),
_xlpm.MacVal,_xlfn.XLOOKUP($A634,Output_Mac!$A:$A,Output_Mac!D:D,""),
_xlpm.MyAuditVal,_xlfn.XLOOKUP($A634,My_Audit!$A:$A,My_Audit!C:C,""),
_xlfn.IFS(_xlpm.MyAuditVal&lt;&gt;"",UPPER(_xlpm.MyAuditVal),_xlpm.MacVal&lt;&gt;"",_xlpm.MacVal,_xlpm.CSVVal&lt;&gt;"",_xlpm.CSVVal
)),"")</f>
        <v/>
      </c>
      <c r="E634" s="46" t="str" cm="1">
        <f t="array" ref="E634">IFERROR(_xlfn.LET(
_xlpm.CSVVal,_xlfn.XLOOKUP($A634,CSV!$A:$A,CSV!E:E,""),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_xlpm.CSVVal,_xlfn.XLOOKUP($A634,CSV!$A:$A,CSV!G:G,""),
_xlpm.MacVal,_xlfn.XLOOKUP($A634,Output_Mac!$A:$A,Output_Mac!G:G,""),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_xlfn.XLOOKUP(A634,Output_Mac!A:A,Output_Mac!H:H,"")</f>
        <v/>
      </c>
      <c r="I634" s="45" t="str" cm="1">
        <f t="array" ref="I634">IFERROR(_xlfn.LET(
_xlpm.CSVVal,_xlfn.XLOOKUP($A634,CSV!$A:$A,CSV!H:H,""),
_xlpm.MacVal,_xlfn.XLOOKUP($A634,Output_Mac!$A:$A,Output_Mac!I:I,""),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_xlpm.CSVVal,_xlfn.XLOOKUP($A634,CSV!$A:$A,CSV!J:J,""),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46" t="str" cm="1">
        <f t="array" ref="K634">IFERROR(_xlfn.LET(
_xlpm.CSVVal,_xlfn.XLOOKUP($A634,CSV!$A:$A,CSV!N:N,""),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_xlpm.CSVVal,_xlfn.XLOOKUP($A634,CSV!$A:$A,CSV!P:P,""),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CSV!AE:AE,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_xlpm.CSVVal,_xlfn.XLOOKUP($A634,CSV!$A:$A,CSV!AG:AG,""),
_xlpm.MacVal,_xlfn.XLOOKUP($A634,Output_Mac!$A:$A,Output_Mac!T:T,""),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6" t="str">
        <f>IF(LEFT(N634,4)="Pass","Nist SP 800-88",My_Audit!R634)&amp;""</f>
        <v/>
      </c>
      <c r="R634" s="45"/>
      <c r="S634" s="45"/>
      <c r="T634" s="46" t="str">
        <f>_xlfn.XLOOKUP(E634,Models!I:I,Models!J:J,"")</f>
        <v/>
      </c>
      <c r="U634" s="45"/>
      <c r="V634" s="45"/>
      <c r="W634" s="38" t="str">
        <f>_xlfn.LET(
    _xlpm.MacVal, _xlfn.XLOOKUP($A634, Output_Mac!$A:$A, Output_Mac!AA:AA, ""),
    _xlpm.MyAuditVal, _xlfn.XLOOKUP($A634, My_Audit!$A:$A, My_Audit!L:L, ""),
    _xlfn.TEXTJOIN(", ", TRUE, _xlpm.MyAuditVal, _xlpm.MacVal)
)</f>
        <v/>
      </c>
    </row>
    <row r="635" spans="1:23">
      <c r="A635" s="45" t="str">
        <f>_xlfn.TEXTJOIN("",TRUE,Input!$B$2,ROW(My_Audit!A634))</f>
        <v>CC634</v>
      </c>
      <c r="B635" s="45" t="str">
        <f>_xlfn.TEXTJOIN("-",TRUE,"ITD",Input!$A$2,A635)</f>
        <v>ITD-XXX-CC634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 cm="1">
        <f t="array" ref="D635">IFERROR(_xlfn.LET(
_xlpm.CSVVal,_xlfn.XLOOKUP($A635,CSV!$A:$A,CSV!C:C,""),
_xlpm.MacVal,_xlfn.XLOOKUP($A635,Output_Mac!$A:$A,Output_Mac!D:D,""),
_xlpm.MyAuditVal,_xlfn.XLOOKUP($A635,My_Audit!$A:$A,My_Audit!C:C,""),
_xlfn.IFS(_xlpm.MyAuditVal&lt;&gt;"",UPPER(_xlpm.MyAuditVal),_xlpm.MacVal&lt;&gt;"",_xlpm.MacVal,_xlpm.CSVVal&lt;&gt;"",_xlpm.CSVVal
)),"")</f>
        <v/>
      </c>
      <c r="E635" s="46" t="str" cm="1">
        <f t="array" ref="E635">IFERROR(_xlfn.LET(
_xlpm.CSVVal,_xlfn.XLOOKUP($A635,CSV!$A:$A,CSV!E:E,""),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_xlpm.CSVVal,_xlfn.XLOOKUP($A635,CSV!$A:$A,CSV!G:G,""),
_xlpm.MacVal,_xlfn.XLOOKUP($A635,Output_Mac!$A:$A,Output_Mac!G:G,""),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_xlfn.XLOOKUP(A635,Output_Mac!A:A,Output_Mac!H:H,"")</f>
        <v/>
      </c>
      <c r="I635" s="45" t="str" cm="1">
        <f t="array" ref="I635">IFERROR(_xlfn.LET(
_xlpm.CSVVal,_xlfn.XLOOKUP($A635,CSV!$A:$A,CSV!H:H,""),
_xlpm.MacVal,_xlfn.XLOOKUP($A635,Output_Mac!$A:$A,Output_Mac!I:I,""),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_xlpm.CSVVal,_xlfn.XLOOKUP($A635,CSV!$A:$A,CSV!J:J,""),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46" t="str" cm="1">
        <f t="array" ref="K635">IFERROR(_xlfn.LET(
_xlpm.CSVVal,_xlfn.XLOOKUP($A635,CSV!$A:$A,CSV!N:N,""),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_xlpm.CSVVal,_xlfn.XLOOKUP($A635,CSV!$A:$A,CSV!P:P,""),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CSV!AE:AE,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_xlpm.CSVVal,_xlfn.XLOOKUP($A635,CSV!$A:$A,CSV!AG:AG,""),
_xlpm.MacVal,_xlfn.XLOOKUP($A635,Output_Mac!$A:$A,Output_Mac!T:T,""),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6" t="str">
        <f>IF(LEFT(N635,4)="Pass","Nist SP 800-88",My_Audit!R635)&amp;""</f>
        <v/>
      </c>
      <c r="R635" s="45"/>
      <c r="S635" s="45"/>
      <c r="T635" s="46" t="str">
        <f>_xlfn.XLOOKUP(E635,Models!I:I,Models!J:J,"")</f>
        <v/>
      </c>
      <c r="U635" s="45"/>
      <c r="V635" s="45"/>
      <c r="W635" s="38" t="str">
        <f>_xlfn.LET(
    _xlpm.MacVal, _xlfn.XLOOKUP($A635, Output_Mac!$A:$A, Output_Mac!AA:AA, ""),
    _xlpm.MyAuditVal, _xlfn.XLOOKUP($A635, My_Audit!$A:$A, My_Audit!L:L, ""),
    _xlfn.TEXTJOIN(", ", TRUE, _xlpm.MyAuditVal, _xlpm.MacVal)
)</f>
        <v/>
      </c>
    </row>
    <row r="636" spans="1:23">
      <c r="A636" s="45" t="str">
        <f>_xlfn.TEXTJOIN("",TRUE,Input!$B$2,ROW(My_Audit!A635))</f>
        <v>CC635</v>
      </c>
      <c r="B636" s="45" t="str">
        <f>_xlfn.TEXTJOIN("-",TRUE,"ITD",Input!$A$2,A636)</f>
        <v>ITD-XXX-CC635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 cm="1">
        <f t="array" ref="D636">IFERROR(_xlfn.LET(
_xlpm.CSVVal,_xlfn.XLOOKUP($A636,CSV!$A:$A,CSV!C:C,""),
_xlpm.MacVal,_xlfn.XLOOKUP($A636,Output_Mac!$A:$A,Output_Mac!D:D,""),
_xlpm.MyAuditVal,_xlfn.XLOOKUP($A636,My_Audit!$A:$A,My_Audit!C:C,""),
_xlfn.IFS(_xlpm.MyAuditVal&lt;&gt;"",UPPER(_xlpm.MyAuditVal),_xlpm.MacVal&lt;&gt;"",_xlpm.MacVal,_xlpm.CSVVal&lt;&gt;"",_xlpm.CSVVal
)),"")</f>
        <v/>
      </c>
      <c r="E636" s="46" t="str" cm="1">
        <f t="array" ref="E636">IFERROR(_xlfn.LET(
_xlpm.CSVVal,_xlfn.XLOOKUP($A636,CSV!$A:$A,CSV!E:E,""),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_xlpm.CSVVal,_xlfn.XLOOKUP($A636,CSV!$A:$A,CSV!G:G,""),
_xlpm.MacVal,_xlfn.XLOOKUP($A636,Output_Mac!$A:$A,Output_Mac!G:G,""),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_xlfn.XLOOKUP(A636,Output_Mac!A:A,Output_Mac!H:H,"")</f>
        <v/>
      </c>
      <c r="I636" s="45" t="str" cm="1">
        <f t="array" ref="I636">IFERROR(_xlfn.LET(
_xlpm.CSVVal,_xlfn.XLOOKUP($A636,CSV!$A:$A,CSV!H:H,""),
_xlpm.MacVal,_xlfn.XLOOKUP($A636,Output_Mac!$A:$A,Output_Mac!I:I,""),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_xlpm.CSVVal,_xlfn.XLOOKUP($A636,CSV!$A:$A,CSV!J:J,""),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46" t="str" cm="1">
        <f t="array" ref="K636">IFERROR(_xlfn.LET(
_xlpm.CSVVal,_xlfn.XLOOKUP($A636,CSV!$A:$A,CSV!N:N,""),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_xlpm.CSVVal,_xlfn.XLOOKUP($A636,CSV!$A:$A,CSV!P:P,""),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CSV!AE:AE,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_xlpm.CSVVal,_xlfn.XLOOKUP($A636,CSV!$A:$A,CSV!AG:AG,""),
_xlpm.MacVal,_xlfn.XLOOKUP($A636,Output_Mac!$A:$A,Output_Mac!T:T,""),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6" t="str">
        <f>IF(LEFT(N636,4)="Pass","Nist SP 800-88",My_Audit!R636)&amp;""</f>
        <v/>
      </c>
      <c r="R636" s="45"/>
      <c r="S636" s="45"/>
      <c r="T636" s="46" t="str">
        <f>_xlfn.XLOOKUP(E636,Models!I:I,Models!J:J,"")</f>
        <v/>
      </c>
      <c r="U636" s="45"/>
      <c r="V636" s="45"/>
      <c r="W636" s="38" t="str">
        <f>_xlfn.LET(
    _xlpm.MacVal, _xlfn.XLOOKUP($A636, Output_Mac!$A:$A, Output_Mac!AA:AA, ""),
    _xlpm.MyAuditVal, _xlfn.XLOOKUP($A636, My_Audit!$A:$A, My_Audit!L:L, ""),
    _xlfn.TEXTJOIN(", ", TRUE, _xlpm.MyAuditVal, _xlpm.MacVal)
)</f>
        <v/>
      </c>
    </row>
    <row r="637" spans="1:23">
      <c r="A637" s="45" t="str">
        <f>_xlfn.TEXTJOIN("",TRUE,Input!$B$2,ROW(My_Audit!A636))</f>
        <v>CC636</v>
      </c>
      <c r="B637" s="45" t="str">
        <f>_xlfn.TEXTJOIN("-",TRUE,"ITD",Input!$A$2,A637)</f>
        <v>ITD-XXX-CC636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 cm="1">
        <f t="array" ref="D637">IFERROR(_xlfn.LET(
_xlpm.CSVVal,_xlfn.XLOOKUP($A637,CSV!$A:$A,CSV!C:C,""),
_xlpm.MacVal,_xlfn.XLOOKUP($A637,Output_Mac!$A:$A,Output_Mac!D:D,""),
_xlpm.MyAuditVal,_xlfn.XLOOKUP($A637,My_Audit!$A:$A,My_Audit!C:C,""),
_xlfn.IFS(_xlpm.MyAuditVal&lt;&gt;"",UPPER(_xlpm.MyAuditVal),_xlpm.MacVal&lt;&gt;"",_xlpm.MacVal,_xlpm.CSVVal&lt;&gt;"",_xlpm.CSVVal
)),"")</f>
        <v/>
      </c>
      <c r="E637" s="46" t="str" cm="1">
        <f t="array" ref="E637">IFERROR(_xlfn.LET(
_xlpm.CSVVal,_xlfn.XLOOKUP($A637,CSV!$A:$A,CSV!E:E,""),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_xlpm.CSVVal,_xlfn.XLOOKUP($A637,CSV!$A:$A,CSV!G:G,""),
_xlpm.MacVal,_xlfn.XLOOKUP($A637,Output_Mac!$A:$A,Output_Mac!G:G,""),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_xlfn.XLOOKUP(A637,Output_Mac!A:A,Output_Mac!H:H,"")</f>
        <v/>
      </c>
      <c r="I637" s="45" t="str" cm="1">
        <f t="array" ref="I637">IFERROR(_xlfn.LET(
_xlpm.CSVVal,_xlfn.XLOOKUP($A637,CSV!$A:$A,CSV!H:H,""),
_xlpm.MacVal,_xlfn.XLOOKUP($A637,Output_Mac!$A:$A,Output_Mac!I:I,""),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_xlpm.CSVVal,_xlfn.XLOOKUP($A637,CSV!$A:$A,CSV!J:J,""),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46" t="str" cm="1">
        <f t="array" ref="K637">IFERROR(_xlfn.LET(
_xlpm.CSVVal,_xlfn.XLOOKUP($A637,CSV!$A:$A,CSV!N:N,""),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_xlpm.CSVVal,_xlfn.XLOOKUP($A637,CSV!$A:$A,CSV!P:P,""),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CSV!AE:AE,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_xlpm.CSVVal,_xlfn.XLOOKUP($A637,CSV!$A:$A,CSV!AG:AG,""),
_xlpm.MacVal,_xlfn.XLOOKUP($A637,Output_Mac!$A:$A,Output_Mac!T:T,""),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6" t="str">
        <f>IF(LEFT(N637,4)="Pass","Nist SP 800-88",My_Audit!R637)&amp;""</f>
        <v/>
      </c>
      <c r="R637" s="45"/>
      <c r="S637" s="45"/>
      <c r="T637" s="46" t="str">
        <f>_xlfn.XLOOKUP(E637,Models!I:I,Models!J:J,"")</f>
        <v/>
      </c>
      <c r="U637" s="45"/>
      <c r="V637" s="45"/>
      <c r="W637" s="38" t="str">
        <f>_xlfn.LET(
    _xlpm.MacVal, _xlfn.XLOOKUP($A637, Output_Mac!$A:$A, Output_Mac!AA:AA, ""),
    _xlpm.MyAuditVal, _xlfn.XLOOKUP($A637, My_Audit!$A:$A, My_Audit!L:L, ""),
    _xlfn.TEXTJOIN(", ", TRUE, _xlpm.MyAuditVal, _xlpm.MacVal)
)</f>
        <v/>
      </c>
    </row>
    <row r="638" spans="1:23">
      <c r="A638" s="45" t="str">
        <f>_xlfn.TEXTJOIN("",TRUE,Input!$B$2,ROW(My_Audit!A637))</f>
        <v>CC637</v>
      </c>
      <c r="B638" s="45" t="str">
        <f>_xlfn.TEXTJOIN("-",TRUE,"ITD",Input!$A$2,A638)</f>
        <v>ITD-XXX-CC637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 cm="1">
        <f t="array" ref="D638">IFERROR(_xlfn.LET(
_xlpm.CSVVal,_xlfn.XLOOKUP($A638,CSV!$A:$A,CSV!C:C,""),
_xlpm.MacVal,_xlfn.XLOOKUP($A638,Output_Mac!$A:$A,Output_Mac!D:D,""),
_xlpm.MyAuditVal,_xlfn.XLOOKUP($A638,My_Audit!$A:$A,My_Audit!C:C,""),
_xlfn.IFS(_xlpm.MyAuditVal&lt;&gt;"",UPPER(_xlpm.MyAuditVal),_xlpm.MacVal&lt;&gt;"",_xlpm.MacVal,_xlpm.CSVVal&lt;&gt;"",_xlpm.CSVVal
)),"")</f>
        <v/>
      </c>
      <c r="E638" s="46" t="str" cm="1">
        <f t="array" ref="E638">IFERROR(_xlfn.LET(
_xlpm.CSVVal,_xlfn.XLOOKUP($A638,CSV!$A:$A,CSV!E:E,""),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_xlpm.CSVVal,_xlfn.XLOOKUP($A638,CSV!$A:$A,CSV!G:G,""),
_xlpm.MacVal,_xlfn.XLOOKUP($A638,Output_Mac!$A:$A,Output_Mac!G:G,""),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_xlfn.XLOOKUP(A638,Output_Mac!A:A,Output_Mac!H:H,"")</f>
        <v/>
      </c>
      <c r="I638" s="45" t="str" cm="1">
        <f t="array" ref="I638">IFERROR(_xlfn.LET(
_xlpm.CSVVal,_xlfn.XLOOKUP($A638,CSV!$A:$A,CSV!H:H,""),
_xlpm.MacVal,_xlfn.XLOOKUP($A638,Output_Mac!$A:$A,Output_Mac!I:I,""),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_xlpm.CSVVal,_xlfn.XLOOKUP($A638,CSV!$A:$A,CSV!J:J,""),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46" t="str" cm="1">
        <f t="array" ref="K638">IFERROR(_xlfn.LET(
_xlpm.CSVVal,_xlfn.XLOOKUP($A638,CSV!$A:$A,CSV!N:N,""),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_xlpm.CSVVal,_xlfn.XLOOKUP($A638,CSV!$A:$A,CSV!P:P,""),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CSV!AE:AE,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_xlpm.CSVVal,_xlfn.XLOOKUP($A638,CSV!$A:$A,CSV!AG:AG,""),
_xlpm.MacVal,_xlfn.XLOOKUP($A638,Output_Mac!$A:$A,Output_Mac!T:T,""),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6" t="str">
        <f>IF(LEFT(N638,4)="Pass","Nist SP 800-88",My_Audit!R638)&amp;""</f>
        <v/>
      </c>
      <c r="R638" s="45"/>
      <c r="S638" s="45"/>
      <c r="T638" s="46" t="str">
        <f>_xlfn.XLOOKUP(E638,Models!I:I,Models!J:J,"")</f>
        <v/>
      </c>
      <c r="U638" s="45"/>
      <c r="V638" s="45"/>
      <c r="W638" s="38" t="str">
        <f>_xlfn.LET(
    _xlpm.MacVal, _xlfn.XLOOKUP($A638, Output_Mac!$A:$A, Output_Mac!AA:AA, ""),
    _xlpm.MyAuditVal, _xlfn.XLOOKUP($A638, My_Audit!$A:$A, My_Audit!L:L, ""),
    _xlfn.TEXTJOIN(", ", TRUE, _xlpm.MyAuditVal, _xlpm.MacVal)
)</f>
        <v/>
      </c>
    </row>
    <row r="639" spans="1:23">
      <c r="A639" s="45" t="str">
        <f>_xlfn.TEXTJOIN("",TRUE,Input!$B$2,ROW(My_Audit!A638))</f>
        <v>CC638</v>
      </c>
      <c r="B639" s="45" t="str">
        <f>_xlfn.TEXTJOIN("-",TRUE,"ITD",Input!$A$2,A639)</f>
        <v>ITD-XXX-CC638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 cm="1">
        <f t="array" ref="D639">IFERROR(_xlfn.LET(
_xlpm.CSVVal,_xlfn.XLOOKUP($A639,CSV!$A:$A,CSV!C:C,""),
_xlpm.MacVal,_xlfn.XLOOKUP($A639,Output_Mac!$A:$A,Output_Mac!D:D,""),
_xlpm.MyAuditVal,_xlfn.XLOOKUP($A639,My_Audit!$A:$A,My_Audit!C:C,""),
_xlfn.IFS(_xlpm.MyAuditVal&lt;&gt;"",UPPER(_xlpm.MyAuditVal),_xlpm.MacVal&lt;&gt;"",_xlpm.MacVal,_xlpm.CSVVal&lt;&gt;"",_xlpm.CSVVal
)),"")</f>
        <v/>
      </c>
      <c r="E639" s="46" t="str" cm="1">
        <f t="array" ref="E639">IFERROR(_xlfn.LET(
_xlpm.CSVVal,_xlfn.XLOOKUP($A639,CSV!$A:$A,CSV!E:E,""),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_xlpm.CSVVal,_xlfn.XLOOKUP($A639,CSV!$A:$A,CSV!G:G,""),
_xlpm.MacVal,_xlfn.XLOOKUP($A639,Output_Mac!$A:$A,Output_Mac!G:G,""),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_xlfn.XLOOKUP(A639,Output_Mac!A:A,Output_Mac!H:H,"")</f>
        <v/>
      </c>
      <c r="I639" s="45" t="str" cm="1">
        <f t="array" ref="I639">IFERROR(_xlfn.LET(
_xlpm.CSVVal,_xlfn.XLOOKUP($A639,CSV!$A:$A,CSV!H:H,""),
_xlpm.MacVal,_xlfn.XLOOKUP($A639,Output_Mac!$A:$A,Output_Mac!I:I,""),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_xlpm.CSVVal,_xlfn.XLOOKUP($A639,CSV!$A:$A,CSV!J:J,""),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46" t="str" cm="1">
        <f t="array" ref="K639">IFERROR(_xlfn.LET(
_xlpm.CSVVal,_xlfn.XLOOKUP($A639,CSV!$A:$A,CSV!N:N,""),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_xlpm.CSVVal,_xlfn.XLOOKUP($A639,CSV!$A:$A,CSV!P:P,""),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CSV!AE:AE,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_xlpm.CSVVal,_xlfn.XLOOKUP($A639,CSV!$A:$A,CSV!AG:AG,""),
_xlpm.MacVal,_xlfn.XLOOKUP($A639,Output_Mac!$A:$A,Output_Mac!T:T,""),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6" t="str">
        <f>IF(LEFT(N639,4)="Pass","Nist SP 800-88",My_Audit!R639)&amp;""</f>
        <v/>
      </c>
      <c r="R639" s="45"/>
      <c r="S639" s="45"/>
      <c r="T639" s="46" t="str">
        <f>_xlfn.XLOOKUP(E639,Models!I:I,Models!J:J,"")</f>
        <v/>
      </c>
      <c r="U639" s="45"/>
      <c r="V639" s="45"/>
      <c r="W639" s="38" t="str">
        <f>_xlfn.LET(
    _xlpm.MacVal, _xlfn.XLOOKUP($A639, Output_Mac!$A:$A, Output_Mac!AA:AA, ""),
    _xlpm.MyAuditVal, _xlfn.XLOOKUP($A639, My_Audit!$A:$A, My_Audit!L:L, ""),
    _xlfn.TEXTJOIN(", ", TRUE, _xlpm.MyAuditVal, _xlpm.MacVal)
)</f>
        <v/>
      </c>
    </row>
    <row r="640" spans="1:23">
      <c r="A640" s="45" t="str">
        <f>_xlfn.TEXTJOIN("",TRUE,Input!$B$2,ROW(My_Audit!A639))</f>
        <v>CC639</v>
      </c>
      <c r="B640" s="45" t="str">
        <f>_xlfn.TEXTJOIN("-",TRUE,"ITD",Input!$A$2,A640)</f>
        <v>ITD-XXX-CC639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 cm="1">
        <f t="array" ref="D640">IFERROR(_xlfn.LET(
_xlpm.CSVVal,_xlfn.XLOOKUP($A640,CSV!$A:$A,CSV!C:C,""),
_xlpm.MacVal,_xlfn.XLOOKUP($A640,Output_Mac!$A:$A,Output_Mac!D:D,""),
_xlpm.MyAuditVal,_xlfn.XLOOKUP($A640,My_Audit!$A:$A,My_Audit!C:C,""),
_xlfn.IFS(_xlpm.MyAuditVal&lt;&gt;"",UPPER(_xlpm.MyAuditVal),_xlpm.MacVal&lt;&gt;"",_xlpm.MacVal,_xlpm.CSVVal&lt;&gt;"",_xlpm.CSVVal
)),"")</f>
        <v/>
      </c>
      <c r="E640" s="46" t="str" cm="1">
        <f t="array" ref="E640">IFERROR(_xlfn.LET(
_xlpm.CSVVal,_xlfn.XLOOKUP($A640,CSV!$A:$A,CSV!E:E,""),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_xlpm.CSVVal,_xlfn.XLOOKUP($A640,CSV!$A:$A,CSV!G:G,""),
_xlpm.MacVal,_xlfn.XLOOKUP($A640,Output_Mac!$A:$A,Output_Mac!G:G,""),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_xlfn.XLOOKUP(A640,Output_Mac!A:A,Output_Mac!H:H,"")</f>
        <v/>
      </c>
      <c r="I640" s="45" t="str" cm="1">
        <f t="array" ref="I640">IFERROR(_xlfn.LET(
_xlpm.CSVVal,_xlfn.XLOOKUP($A640,CSV!$A:$A,CSV!H:H,""),
_xlpm.MacVal,_xlfn.XLOOKUP($A640,Output_Mac!$A:$A,Output_Mac!I:I,""),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_xlpm.CSVVal,_xlfn.XLOOKUP($A640,CSV!$A:$A,CSV!J:J,""),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46" t="str" cm="1">
        <f t="array" ref="K640">IFERROR(_xlfn.LET(
_xlpm.CSVVal,_xlfn.XLOOKUP($A640,CSV!$A:$A,CSV!N:N,""),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_xlpm.CSVVal,_xlfn.XLOOKUP($A640,CSV!$A:$A,CSV!P:P,""),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CSV!AE:AE,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_xlpm.CSVVal,_xlfn.XLOOKUP($A640,CSV!$A:$A,CSV!AG:AG,""),
_xlpm.MacVal,_xlfn.XLOOKUP($A640,Output_Mac!$A:$A,Output_Mac!T:T,""),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6" t="str">
        <f>IF(LEFT(N640,4)="Pass","Nist SP 800-88",My_Audit!R640)&amp;""</f>
        <v/>
      </c>
      <c r="R640" s="45"/>
      <c r="S640" s="45"/>
      <c r="T640" s="46" t="str">
        <f>_xlfn.XLOOKUP(E640,Models!I:I,Models!J:J,"")</f>
        <v/>
      </c>
      <c r="U640" s="45"/>
      <c r="V640" s="45"/>
      <c r="W640" s="38" t="str">
        <f>_xlfn.LET(
    _xlpm.MacVal, _xlfn.XLOOKUP($A640, Output_Mac!$A:$A, Output_Mac!AA:AA, ""),
    _xlpm.MyAuditVal, _xlfn.XLOOKUP($A640, My_Audit!$A:$A, My_Audit!L:L, ""),
    _xlfn.TEXTJOIN(", ", TRUE, _xlpm.MyAuditVal, _xlpm.MacVal)
)</f>
        <v/>
      </c>
    </row>
    <row r="641" spans="1:23">
      <c r="A641" s="45" t="str">
        <f>_xlfn.TEXTJOIN("",TRUE,Input!$B$2,ROW(My_Audit!A640))</f>
        <v>CC640</v>
      </c>
      <c r="B641" s="45" t="str">
        <f>_xlfn.TEXTJOIN("-",TRUE,"ITD",Input!$A$2,A641)</f>
        <v>ITD-XXX-CC640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 cm="1">
        <f t="array" ref="D641">IFERROR(_xlfn.LET(
_xlpm.CSVVal,_xlfn.XLOOKUP($A641,CSV!$A:$A,CSV!C:C,""),
_xlpm.MacVal,_xlfn.XLOOKUP($A641,Output_Mac!$A:$A,Output_Mac!D:D,""),
_xlpm.MyAuditVal,_xlfn.XLOOKUP($A641,My_Audit!$A:$A,My_Audit!C:C,""),
_xlfn.IFS(_xlpm.MyAuditVal&lt;&gt;"",UPPER(_xlpm.MyAuditVal),_xlpm.MacVal&lt;&gt;"",_xlpm.MacVal,_xlpm.CSVVal&lt;&gt;"",_xlpm.CSVVal
)),"")</f>
        <v/>
      </c>
      <c r="E641" s="46" t="str" cm="1">
        <f t="array" ref="E641">IFERROR(_xlfn.LET(
_xlpm.CSVVal,_xlfn.XLOOKUP($A641,CSV!$A:$A,CSV!E:E,""),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_xlpm.CSVVal,_xlfn.XLOOKUP($A641,CSV!$A:$A,CSV!G:G,""),
_xlpm.MacVal,_xlfn.XLOOKUP($A641,Output_Mac!$A:$A,Output_Mac!G:G,""),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_xlfn.XLOOKUP(A641,Output_Mac!A:A,Output_Mac!H:H,"")</f>
        <v/>
      </c>
      <c r="I641" s="45" t="str" cm="1">
        <f t="array" ref="I641">IFERROR(_xlfn.LET(
_xlpm.CSVVal,_xlfn.XLOOKUP($A641,CSV!$A:$A,CSV!H:H,""),
_xlpm.MacVal,_xlfn.XLOOKUP($A641,Output_Mac!$A:$A,Output_Mac!I:I,""),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_xlpm.CSVVal,_xlfn.XLOOKUP($A641,CSV!$A:$A,CSV!J:J,""),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46" t="str" cm="1">
        <f t="array" ref="K641">IFERROR(_xlfn.LET(
_xlpm.CSVVal,_xlfn.XLOOKUP($A641,CSV!$A:$A,CSV!N:N,""),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_xlpm.CSVVal,_xlfn.XLOOKUP($A641,CSV!$A:$A,CSV!P:P,""),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CSV!AE:AE,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_xlpm.CSVVal,_xlfn.XLOOKUP($A641,CSV!$A:$A,CSV!AG:AG,""),
_xlpm.MacVal,_xlfn.XLOOKUP($A641,Output_Mac!$A:$A,Output_Mac!T:T,""),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6" t="str">
        <f>IF(LEFT(N641,4)="Pass","Nist SP 800-88",My_Audit!R641)&amp;""</f>
        <v/>
      </c>
      <c r="R641" s="45"/>
      <c r="S641" s="45"/>
      <c r="T641" s="46" t="str">
        <f>_xlfn.XLOOKUP(E641,Models!I:I,Models!J:J,"")</f>
        <v/>
      </c>
      <c r="U641" s="45"/>
      <c r="V641" s="45"/>
      <c r="W641" s="38" t="str">
        <f>_xlfn.LET(
    _xlpm.MacVal, _xlfn.XLOOKUP($A641, Output_Mac!$A:$A, Output_Mac!AA:AA, ""),
    _xlpm.MyAuditVal, _xlfn.XLOOKUP($A641, My_Audit!$A:$A, My_Audit!L:L, ""),
    _xlfn.TEXTJOIN(", ", TRUE, _xlpm.MyAuditVal, _xlpm.MacVal)
)</f>
        <v/>
      </c>
    </row>
    <row r="642" spans="1:23">
      <c r="A642" s="45" t="str">
        <f>_xlfn.TEXTJOIN("",TRUE,Input!$B$2,ROW(My_Audit!A641))</f>
        <v>CC641</v>
      </c>
      <c r="B642" s="45" t="str">
        <f>_xlfn.TEXTJOIN("-",TRUE,"ITD",Input!$A$2,A642)</f>
        <v>ITD-XXX-CC641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 cm="1">
        <f t="array" ref="D642">IFERROR(_xlfn.LET(
_xlpm.CSVVal,_xlfn.XLOOKUP($A642,CSV!$A:$A,CSV!C:C,""),
_xlpm.MacVal,_xlfn.XLOOKUP($A642,Output_Mac!$A:$A,Output_Mac!D:D,""),
_xlpm.MyAuditVal,_xlfn.XLOOKUP($A642,My_Audit!$A:$A,My_Audit!C:C,""),
_xlfn.IFS(_xlpm.MyAuditVal&lt;&gt;"",UPPER(_xlpm.MyAuditVal),_xlpm.MacVal&lt;&gt;"",_xlpm.MacVal,_xlpm.CSVVal&lt;&gt;"",_xlpm.CSVVal
)),"")</f>
        <v/>
      </c>
      <c r="E642" s="46" t="str" cm="1">
        <f t="array" ref="E642">IFERROR(_xlfn.LET(
_xlpm.CSVVal,_xlfn.XLOOKUP($A642,CSV!$A:$A,CSV!E:E,""),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_xlpm.CSVVal,_xlfn.XLOOKUP($A642,CSV!$A:$A,CSV!G:G,""),
_xlpm.MacVal,_xlfn.XLOOKUP($A642,Output_Mac!$A:$A,Output_Mac!G:G,""),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_xlfn.XLOOKUP(A642,Output_Mac!A:A,Output_Mac!H:H,"")</f>
        <v/>
      </c>
      <c r="I642" s="45" t="str" cm="1">
        <f t="array" ref="I642">IFERROR(_xlfn.LET(
_xlpm.CSVVal,_xlfn.XLOOKUP($A642,CSV!$A:$A,CSV!H:H,""),
_xlpm.MacVal,_xlfn.XLOOKUP($A642,Output_Mac!$A:$A,Output_Mac!I:I,""),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_xlpm.CSVVal,_xlfn.XLOOKUP($A642,CSV!$A:$A,CSV!J:J,""),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46" t="str" cm="1">
        <f t="array" ref="K642">IFERROR(_xlfn.LET(
_xlpm.CSVVal,_xlfn.XLOOKUP($A642,CSV!$A:$A,CSV!N:N,""),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_xlpm.CSVVal,_xlfn.XLOOKUP($A642,CSV!$A:$A,CSV!P:P,""),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CSV!AE:AE,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_xlpm.CSVVal,_xlfn.XLOOKUP($A642,CSV!$A:$A,CSV!AG:AG,""),
_xlpm.MacVal,_xlfn.XLOOKUP($A642,Output_Mac!$A:$A,Output_Mac!T:T,""),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6" t="str">
        <f>IF(LEFT(N642,4)="Pass","Nist SP 800-88",My_Audit!R642)&amp;""</f>
        <v/>
      </c>
      <c r="R642" s="45"/>
      <c r="S642" s="45"/>
      <c r="T642" s="46" t="str">
        <f>_xlfn.XLOOKUP(E642,Models!I:I,Models!J:J,"")</f>
        <v/>
      </c>
      <c r="U642" s="45"/>
      <c r="V642" s="45"/>
      <c r="W642" s="38" t="str">
        <f>_xlfn.LET(
    _xlpm.MacVal, _xlfn.XLOOKUP($A642, Output_Mac!$A:$A, Output_Mac!AA:AA, ""),
    _xlpm.MyAuditVal, _xlfn.XLOOKUP($A642, My_Audit!$A:$A, My_Audit!L:L, ""),
    _xlfn.TEXTJOIN(", ", TRUE, _xlpm.MyAuditVal, _xlpm.MacVal)
)</f>
        <v/>
      </c>
    </row>
    <row r="643" spans="1:23">
      <c r="A643" s="45" t="str">
        <f>_xlfn.TEXTJOIN("",TRUE,Input!$B$2,ROW(My_Audit!A642))</f>
        <v>CC642</v>
      </c>
      <c r="B643" s="45" t="str">
        <f>_xlfn.TEXTJOIN("-",TRUE,"ITD",Input!$A$2,A643)</f>
        <v>ITD-XXX-CC642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 cm="1">
        <f t="array" ref="D643">IFERROR(_xlfn.LET(
_xlpm.CSVVal,_xlfn.XLOOKUP($A643,CSV!$A:$A,CSV!C:C,""),
_xlpm.MacVal,_xlfn.XLOOKUP($A643,Output_Mac!$A:$A,Output_Mac!D:D,""),
_xlpm.MyAuditVal,_xlfn.XLOOKUP($A643,My_Audit!$A:$A,My_Audit!C:C,""),
_xlfn.IFS(_xlpm.MyAuditVal&lt;&gt;"",UPPER(_xlpm.MyAuditVal),_xlpm.MacVal&lt;&gt;"",_xlpm.MacVal,_xlpm.CSVVal&lt;&gt;"",_xlpm.CSVVal
)),"")</f>
        <v/>
      </c>
      <c r="E643" s="46" t="str" cm="1">
        <f t="array" ref="E643">IFERROR(_xlfn.LET(
_xlpm.CSVVal,_xlfn.XLOOKUP($A643,CSV!$A:$A,CSV!E:E,""),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_xlpm.CSVVal,_xlfn.XLOOKUP($A643,CSV!$A:$A,CSV!G:G,""),
_xlpm.MacVal,_xlfn.XLOOKUP($A643,Output_Mac!$A:$A,Output_Mac!G:G,""),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_xlfn.XLOOKUP(A643,Output_Mac!A:A,Output_Mac!H:H,"")</f>
        <v/>
      </c>
      <c r="I643" s="45" t="str" cm="1">
        <f t="array" ref="I643">IFERROR(_xlfn.LET(
_xlpm.CSVVal,_xlfn.XLOOKUP($A643,CSV!$A:$A,CSV!H:H,""),
_xlpm.MacVal,_xlfn.XLOOKUP($A643,Output_Mac!$A:$A,Output_Mac!I:I,""),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_xlpm.CSVVal,_xlfn.XLOOKUP($A643,CSV!$A:$A,CSV!J:J,""),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46" t="str" cm="1">
        <f t="array" ref="K643">IFERROR(_xlfn.LET(
_xlpm.CSVVal,_xlfn.XLOOKUP($A643,CSV!$A:$A,CSV!N:N,""),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_xlpm.CSVVal,_xlfn.XLOOKUP($A643,CSV!$A:$A,CSV!P:P,""),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CSV!AE:AE,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_xlpm.CSVVal,_xlfn.XLOOKUP($A643,CSV!$A:$A,CSV!AG:AG,""),
_xlpm.MacVal,_xlfn.XLOOKUP($A643,Output_Mac!$A:$A,Output_Mac!T:T,""),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6" t="str">
        <f>IF(LEFT(N643,4)="Pass","Nist SP 800-88",My_Audit!R643)&amp;""</f>
        <v/>
      </c>
      <c r="R643" s="45"/>
      <c r="S643" s="45"/>
      <c r="T643" s="46" t="str">
        <f>_xlfn.XLOOKUP(E643,Models!I:I,Models!J:J,"")</f>
        <v/>
      </c>
      <c r="U643" s="45"/>
      <c r="V643" s="45"/>
      <c r="W643" s="38" t="str">
        <f>_xlfn.LET(
    _xlpm.MacVal, _xlfn.XLOOKUP($A643, Output_Mac!$A:$A, Output_Mac!AA:AA, ""),
    _xlpm.MyAuditVal, _xlfn.XLOOKUP($A643, My_Audit!$A:$A, My_Audit!L:L, ""),
    _xlfn.TEXTJOIN(", ", TRUE, _xlpm.MyAuditVal, _xlpm.MacVal)
)</f>
        <v/>
      </c>
    </row>
    <row r="644" spans="1:23">
      <c r="A644" s="45" t="str">
        <f>_xlfn.TEXTJOIN("",TRUE,Input!$B$2,ROW(My_Audit!A643))</f>
        <v>CC643</v>
      </c>
      <c r="B644" s="45" t="str">
        <f>_xlfn.TEXTJOIN("-",TRUE,"ITD",Input!$A$2,A644)</f>
        <v>ITD-XXX-CC643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 cm="1">
        <f t="array" ref="D644">IFERROR(_xlfn.LET(
_xlpm.CSVVal,_xlfn.XLOOKUP($A644,CSV!$A:$A,CSV!C:C,""),
_xlpm.MacVal,_xlfn.XLOOKUP($A644,Output_Mac!$A:$A,Output_Mac!D:D,""),
_xlpm.MyAuditVal,_xlfn.XLOOKUP($A644,My_Audit!$A:$A,My_Audit!C:C,""),
_xlfn.IFS(_xlpm.MyAuditVal&lt;&gt;"",UPPER(_xlpm.MyAuditVal),_xlpm.MacVal&lt;&gt;"",_xlpm.MacVal,_xlpm.CSVVal&lt;&gt;"",_xlpm.CSVVal
)),"")</f>
        <v/>
      </c>
      <c r="E644" s="46" t="str" cm="1">
        <f t="array" ref="E644">IFERROR(_xlfn.LET(
_xlpm.CSVVal,_xlfn.XLOOKUP($A644,CSV!$A:$A,CSV!E:E,""),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_xlpm.CSVVal,_xlfn.XLOOKUP($A644,CSV!$A:$A,CSV!G:G,""),
_xlpm.MacVal,_xlfn.XLOOKUP($A644,Output_Mac!$A:$A,Output_Mac!G:G,""),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_xlfn.XLOOKUP(A644,Output_Mac!A:A,Output_Mac!H:H,"")</f>
        <v/>
      </c>
      <c r="I644" s="45" t="str" cm="1">
        <f t="array" ref="I644">IFERROR(_xlfn.LET(
_xlpm.CSVVal,_xlfn.XLOOKUP($A644,CSV!$A:$A,CSV!H:H,""),
_xlpm.MacVal,_xlfn.XLOOKUP($A644,Output_Mac!$A:$A,Output_Mac!I:I,""),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_xlpm.CSVVal,_xlfn.XLOOKUP($A644,CSV!$A:$A,CSV!J:J,""),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46" t="str" cm="1">
        <f t="array" ref="K644">IFERROR(_xlfn.LET(
_xlpm.CSVVal,_xlfn.XLOOKUP($A644,CSV!$A:$A,CSV!N:N,""),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_xlpm.CSVVal,_xlfn.XLOOKUP($A644,CSV!$A:$A,CSV!P:P,""),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CSV!AE:AE,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_xlpm.CSVVal,_xlfn.XLOOKUP($A644,CSV!$A:$A,CSV!AG:AG,""),
_xlpm.MacVal,_xlfn.XLOOKUP($A644,Output_Mac!$A:$A,Output_Mac!T:T,""),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6" t="str">
        <f>IF(LEFT(N644,4)="Pass","Nist SP 800-88",My_Audit!R644)&amp;""</f>
        <v/>
      </c>
      <c r="R644" s="45"/>
      <c r="S644" s="45"/>
      <c r="T644" s="46" t="str">
        <f>_xlfn.XLOOKUP(E644,Models!I:I,Models!J:J,"")</f>
        <v/>
      </c>
      <c r="U644" s="45"/>
      <c r="V644" s="45"/>
      <c r="W644" s="38" t="str">
        <f>_xlfn.LET(
    _xlpm.MacVal, _xlfn.XLOOKUP($A644, Output_Mac!$A:$A, Output_Mac!AA:AA, ""),
    _xlpm.MyAuditVal, _xlfn.XLOOKUP($A644, My_Audit!$A:$A, My_Audit!L:L, ""),
    _xlfn.TEXTJOIN(", ", TRUE, _xlpm.MyAuditVal, _xlpm.MacVal)
)</f>
        <v/>
      </c>
    </row>
    <row r="645" spans="1:23">
      <c r="A645" s="45" t="str">
        <f>_xlfn.TEXTJOIN("",TRUE,Input!$B$2,ROW(My_Audit!A644))</f>
        <v>CC644</v>
      </c>
      <c r="B645" s="45" t="str">
        <f>_xlfn.TEXTJOIN("-",TRUE,"ITD",Input!$A$2,A645)</f>
        <v>ITD-XXX-CC644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 cm="1">
        <f t="array" ref="D645">IFERROR(_xlfn.LET(
_xlpm.CSVVal,_xlfn.XLOOKUP($A645,CSV!$A:$A,CSV!C:C,""),
_xlpm.MacVal,_xlfn.XLOOKUP($A645,Output_Mac!$A:$A,Output_Mac!D:D,""),
_xlpm.MyAuditVal,_xlfn.XLOOKUP($A645,My_Audit!$A:$A,My_Audit!C:C,""),
_xlfn.IFS(_xlpm.MyAuditVal&lt;&gt;"",UPPER(_xlpm.MyAuditVal),_xlpm.MacVal&lt;&gt;"",_xlpm.MacVal,_xlpm.CSVVal&lt;&gt;"",_xlpm.CSVVal
)),"")</f>
        <v/>
      </c>
      <c r="E645" s="46" t="str" cm="1">
        <f t="array" ref="E645">IFERROR(_xlfn.LET(
_xlpm.CSVVal,_xlfn.XLOOKUP($A645,CSV!$A:$A,CSV!E:E,""),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_xlpm.CSVVal,_xlfn.XLOOKUP($A645,CSV!$A:$A,CSV!G:G,""),
_xlpm.MacVal,_xlfn.XLOOKUP($A645,Output_Mac!$A:$A,Output_Mac!G:G,""),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_xlfn.XLOOKUP(A645,Output_Mac!A:A,Output_Mac!H:H,"")</f>
        <v/>
      </c>
      <c r="I645" s="45" t="str" cm="1">
        <f t="array" ref="I645">IFERROR(_xlfn.LET(
_xlpm.CSVVal,_xlfn.XLOOKUP($A645,CSV!$A:$A,CSV!H:H,""),
_xlpm.MacVal,_xlfn.XLOOKUP($A645,Output_Mac!$A:$A,Output_Mac!I:I,""),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_xlpm.CSVVal,_xlfn.XLOOKUP($A645,CSV!$A:$A,CSV!J:J,""),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46" t="str" cm="1">
        <f t="array" ref="K645">IFERROR(_xlfn.LET(
_xlpm.CSVVal,_xlfn.XLOOKUP($A645,CSV!$A:$A,CSV!N:N,""),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_xlpm.CSVVal,_xlfn.XLOOKUP($A645,CSV!$A:$A,CSV!P:P,""),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CSV!AE:AE,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_xlpm.CSVVal,_xlfn.XLOOKUP($A645,CSV!$A:$A,CSV!AG:AG,""),
_xlpm.MacVal,_xlfn.XLOOKUP($A645,Output_Mac!$A:$A,Output_Mac!T:T,""),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6" t="str">
        <f>IF(LEFT(N645,4)="Pass","Nist SP 800-88",My_Audit!R645)&amp;""</f>
        <v/>
      </c>
      <c r="R645" s="45"/>
      <c r="S645" s="45"/>
      <c r="T645" s="46" t="str">
        <f>_xlfn.XLOOKUP(E645,Models!I:I,Models!J:J,"")</f>
        <v/>
      </c>
      <c r="U645" s="45"/>
      <c r="V645" s="45"/>
      <c r="W645" s="38" t="str">
        <f>_xlfn.LET(
    _xlpm.MacVal, _xlfn.XLOOKUP($A645, Output_Mac!$A:$A, Output_Mac!AA:AA, ""),
    _xlpm.MyAuditVal, _xlfn.XLOOKUP($A645, My_Audit!$A:$A, My_Audit!L:L, ""),
    _xlfn.TEXTJOIN(", ", TRUE, _xlpm.MyAuditVal, _xlpm.MacVal)
)</f>
        <v/>
      </c>
    </row>
    <row r="646" spans="1:23">
      <c r="A646" s="45" t="str">
        <f>_xlfn.TEXTJOIN("",TRUE,Input!$B$2,ROW(My_Audit!A645))</f>
        <v>CC645</v>
      </c>
      <c r="B646" s="45" t="str">
        <f>_xlfn.TEXTJOIN("-",TRUE,"ITD",Input!$A$2,A646)</f>
        <v>ITD-XXX-CC645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 cm="1">
        <f t="array" ref="D646">IFERROR(_xlfn.LET(
_xlpm.CSVVal,_xlfn.XLOOKUP($A646,CSV!$A:$A,CSV!C:C,""),
_xlpm.MacVal,_xlfn.XLOOKUP($A646,Output_Mac!$A:$A,Output_Mac!D:D,""),
_xlpm.MyAuditVal,_xlfn.XLOOKUP($A646,My_Audit!$A:$A,My_Audit!C:C,""),
_xlfn.IFS(_xlpm.MyAuditVal&lt;&gt;"",UPPER(_xlpm.MyAuditVal),_xlpm.MacVal&lt;&gt;"",_xlpm.MacVal,_xlpm.CSVVal&lt;&gt;"",_xlpm.CSVVal
)),"")</f>
        <v/>
      </c>
      <c r="E646" s="46" t="str" cm="1">
        <f t="array" ref="E646">IFERROR(_xlfn.LET(
_xlpm.CSVVal,_xlfn.XLOOKUP($A646,CSV!$A:$A,CSV!E:E,""),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_xlpm.CSVVal,_xlfn.XLOOKUP($A646,CSV!$A:$A,CSV!G:G,""),
_xlpm.MacVal,_xlfn.XLOOKUP($A646,Output_Mac!$A:$A,Output_Mac!G:G,""),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_xlfn.XLOOKUP(A646,Output_Mac!A:A,Output_Mac!H:H,"")</f>
        <v/>
      </c>
      <c r="I646" s="45" t="str" cm="1">
        <f t="array" ref="I646">IFERROR(_xlfn.LET(
_xlpm.CSVVal,_xlfn.XLOOKUP($A646,CSV!$A:$A,CSV!H:H,""),
_xlpm.MacVal,_xlfn.XLOOKUP($A646,Output_Mac!$A:$A,Output_Mac!I:I,""),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_xlpm.CSVVal,_xlfn.XLOOKUP($A646,CSV!$A:$A,CSV!J:J,""),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46" t="str" cm="1">
        <f t="array" ref="K646">IFERROR(_xlfn.LET(
_xlpm.CSVVal,_xlfn.XLOOKUP($A646,CSV!$A:$A,CSV!N:N,""),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_xlpm.CSVVal,_xlfn.XLOOKUP($A646,CSV!$A:$A,CSV!P:P,""),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CSV!AE:AE,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_xlpm.CSVVal,_xlfn.XLOOKUP($A646,CSV!$A:$A,CSV!AG:AG,""),
_xlpm.MacVal,_xlfn.XLOOKUP($A646,Output_Mac!$A:$A,Output_Mac!T:T,""),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6" t="str">
        <f>IF(LEFT(N646,4)="Pass","Nist SP 800-88",My_Audit!R646)&amp;""</f>
        <v/>
      </c>
      <c r="R646" s="45"/>
      <c r="S646" s="45"/>
      <c r="T646" s="46" t="str">
        <f>_xlfn.XLOOKUP(E646,Models!I:I,Models!J:J,"")</f>
        <v/>
      </c>
      <c r="U646" s="45"/>
      <c r="V646" s="45"/>
      <c r="W646" s="38" t="str">
        <f>_xlfn.LET(
    _xlpm.MacVal, _xlfn.XLOOKUP($A646, Output_Mac!$A:$A, Output_Mac!AA:AA, ""),
    _xlpm.MyAuditVal, _xlfn.XLOOKUP($A646, My_Audit!$A:$A, My_Audit!L:L, ""),
    _xlfn.TEXTJOIN(", ", TRUE, _xlpm.MyAuditVal, _xlpm.MacVal)
)</f>
        <v/>
      </c>
    </row>
    <row r="647" spans="1:23">
      <c r="A647" s="45" t="str">
        <f>_xlfn.TEXTJOIN("",TRUE,Input!$B$2,ROW(My_Audit!A646))</f>
        <v>CC646</v>
      </c>
      <c r="B647" s="45" t="str">
        <f>_xlfn.TEXTJOIN("-",TRUE,"ITD",Input!$A$2,A647)</f>
        <v>ITD-XXX-CC646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 cm="1">
        <f t="array" ref="D647">IFERROR(_xlfn.LET(
_xlpm.CSVVal,_xlfn.XLOOKUP($A647,CSV!$A:$A,CSV!C:C,""),
_xlpm.MacVal,_xlfn.XLOOKUP($A647,Output_Mac!$A:$A,Output_Mac!D:D,""),
_xlpm.MyAuditVal,_xlfn.XLOOKUP($A647,My_Audit!$A:$A,My_Audit!C:C,""),
_xlfn.IFS(_xlpm.MyAuditVal&lt;&gt;"",UPPER(_xlpm.MyAuditVal),_xlpm.MacVal&lt;&gt;"",_xlpm.MacVal,_xlpm.CSVVal&lt;&gt;"",_xlpm.CSVVal
)),"")</f>
        <v/>
      </c>
      <c r="E647" s="46" t="str" cm="1">
        <f t="array" ref="E647">IFERROR(_xlfn.LET(
_xlpm.CSVVal,_xlfn.XLOOKUP($A647,CSV!$A:$A,CSV!E:E,""),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_xlpm.CSVVal,_xlfn.XLOOKUP($A647,CSV!$A:$A,CSV!G:G,""),
_xlpm.MacVal,_xlfn.XLOOKUP($A647,Output_Mac!$A:$A,Output_Mac!G:G,""),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_xlfn.XLOOKUP(A647,Output_Mac!A:A,Output_Mac!H:H,"")</f>
        <v/>
      </c>
      <c r="I647" s="45" t="str" cm="1">
        <f t="array" ref="I647">IFERROR(_xlfn.LET(
_xlpm.CSVVal,_xlfn.XLOOKUP($A647,CSV!$A:$A,CSV!H:H,""),
_xlpm.MacVal,_xlfn.XLOOKUP($A647,Output_Mac!$A:$A,Output_Mac!I:I,""),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_xlpm.CSVVal,_xlfn.XLOOKUP($A647,CSV!$A:$A,CSV!J:J,""),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46" t="str" cm="1">
        <f t="array" ref="K647">IFERROR(_xlfn.LET(
_xlpm.CSVVal,_xlfn.XLOOKUP($A647,CSV!$A:$A,CSV!N:N,""),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_xlpm.CSVVal,_xlfn.XLOOKUP($A647,CSV!$A:$A,CSV!P:P,""),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CSV!AE:AE,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_xlpm.CSVVal,_xlfn.XLOOKUP($A647,CSV!$A:$A,CSV!AG:AG,""),
_xlpm.MacVal,_xlfn.XLOOKUP($A647,Output_Mac!$A:$A,Output_Mac!T:T,""),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6" t="str">
        <f>IF(LEFT(N647,4)="Pass","Nist SP 800-88",My_Audit!R647)&amp;""</f>
        <v/>
      </c>
      <c r="R647" s="45"/>
      <c r="S647" s="45"/>
      <c r="T647" s="46" t="str">
        <f>_xlfn.XLOOKUP(E647,Models!I:I,Models!J:J,"")</f>
        <v/>
      </c>
      <c r="U647" s="45"/>
      <c r="V647" s="45"/>
      <c r="W647" s="38" t="str">
        <f>_xlfn.LET(
    _xlpm.MacVal, _xlfn.XLOOKUP($A647, Output_Mac!$A:$A, Output_Mac!AA:AA, ""),
    _xlpm.MyAuditVal, _xlfn.XLOOKUP($A647, My_Audit!$A:$A, My_Audit!L:L, ""),
    _xlfn.TEXTJOIN(", ", TRUE, _xlpm.MyAuditVal, _xlpm.MacVal)
)</f>
        <v/>
      </c>
    </row>
    <row r="648" spans="1:23">
      <c r="A648" s="45" t="str">
        <f>_xlfn.TEXTJOIN("",TRUE,Input!$B$2,ROW(My_Audit!A647))</f>
        <v>CC647</v>
      </c>
      <c r="B648" s="45" t="str">
        <f>_xlfn.TEXTJOIN("-",TRUE,"ITD",Input!$A$2,A648)</f>
        <v>ITD-XXX-CC647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 cm="1">
        <f t="array" ref="D648">IFERROR(_xlfn.LET(
_xlpm.CSVVal,_xlfn.XLOOKUP($A648,CSV!$A:$A,CSV!C:C,""),
_xlpm.MacVal,_xlfn.XLOOKUP($A648,Output_Mac!$A:$A,Output_Mac!D:D,""),
_xlpm.MyAuditVal,_xlfn.XLOOKUP($A648,My_Audit!$A:$A,My_Audit!C:C,""),
_xlfn.IFS(_xlpm.MyAuditVal&lt;&gt;"",UPPER(_xlpm.MyAuditVal),_xlpm.MacVal&lt;&gt;"",_xlpm.MacVal,_xlpm.CSVVal&lt;&gt;"",_xlpm.CSVVal
)),"")</f>
        <v/>
      </c>
      <c r="E648" s="46" t="str" cm="1">
        <f t="array" ref="E648">IFERROR(_xlfn.LET(
_xlpm.CSVVal,_xlfn.XLOOKUP($A648,CSV!$A:$A,CSV!E:E,""),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_xlpm.CSVVal,_xlfn.XLOOKUP($A648,CSV!$A:$A,CSV!G:G,""),
_xlpm.MacVal,_xlfn.XLOOKUP($A648,Output_Mac!$A:$A,Output_Mac!G:G,""),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_xlfn.XLOOKUP(A648,Output_Mac!A:A,Output_Mac!H:H,"")</f>
        <v/>
      </c>
      <c r="I648" s="45" t="str" cm="1">
        <f t="array" ref="I648">IFERROR(_xlfn.LET(
_xlpm.CSVVal,_xlfn.XLOOKUP($A648,CSV!$A:$A,CSV!H:H,""),
_xlpm.MacVal,_xlfn.XLOOKUP($A648,Output_Mac!$A:$A,Output_Mac!I:I,""),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_xlpm.CSVVal,_xlfn.XLOOKUP($A648,CSV!$A:$A,CSV!J:J,""),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46" t="str" cm="1">
        <f t="array" ref="K648">IFERROR(_xlfn.LET(
_xlpm.CSVVal,_xlfn.XLOOKUP($A648,CSV!$A:$A,CSV!N:N,""),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_xlpm.CSVVal,_xlfn.XLOOKUP($A648,CSV!$A:$A,CSV!P:P,""),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CSV!AE:AE,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_xlpm.CSVVal,_xlfn.XLOOKUP($A648,CSV!$A:$A,CSV!AG:AG,""),
_xlpm.MacVal,_xlfn.XLOOKUP($A648,Output_Mac!$A:$A,Output_Mac!T:T,""),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6" t="str">
        <f>IF(LEFT(N648,4)="Pass","Nist SP 800-88",My_Audit!R648)&amp;""</f>
        <v/>
      </c>
      <c r="R648" s="45"/>
      <c r="S648" s="45"/>
      <c r="T648" s="46" t="str">
        <f>_xlfn.XLOOKUP(E648,Models!I:I,Models!J:J,"")</f>
        <v/>
      </c>
      <c r="U648" s="45"/>
      <c r="V648" s="45"/>
      <c r="W648" s="38" t="str">
        <f>_xlfn.LET(
    _xlpm.MacVal, _xlfn.XLOOKUP($A648, Output_Mac!$A:$A, Output_Mac!AA:AA, ""),
    _xlpm.MyAuditVal, _xlfn.XLOOKUP($A648, My_Audit!$A:$A, My_Audit!L:L, ""),
    _xlfn.TEXTJOIN(", ", TRUE, _xlpm.MyAuditVal, _xlpm.MacVal)
)</f>
        <v/>
      </c>
    </row>
    <row r="649" spans="1:23">
      <c r="A649" s="45" t="str">
        <f>_xlfn.TEXTJOIN("",TRUE,Input!$B$2,ROW(My_Audit!A648))</f>
        <v>CC648</v>
      </c>
      <c r="B649" s="45" t="str">
        <f>_xlfn.TEXTJOIN("-",TRUE,"ITD",Input!$A$2,A649)</f>
        <v>ITD-XXX-CC648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 cm="1">
        <f t="array" ref="D649">IFERROR(_xlfn.LET(
_xlpm.CSVVal,_xlfn.XLOOKUP($A649,CSV!$A:$A,CSV!C:C,""),
_xlpm.MacVal,_xlfn.XLOOKUP($A649,Output_Mac!$A:$A,Output_Mac!D:D,""),
_xlpm.MyAuditVal,_xlfn.XLOOKUP($A649,My_Audit!$A:$A,My_Audit!C:C,""),
_xlfn.IFS(_xlpm.MyAuditVal&lt;&gt;"",UPPER(_xlpm.MyAuditVal),_xlpm.MacVal&lt;&gt;"",_xlpm.MacVal,_xlpm.CSVVal&lt;&gt;"",_xlpm.CSVVal
)),"")</f>
        <v/>
      </c>
      <c r="E649" s="46" t="str" cm="1">
        <f t="array" ref="E649">IFERROR(_xlfn.LET(
_xlpm.CSVVal,_xlfn.XLOOKUP($A649,CSV!$A:$A,CSV!E:E,""),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_xlpm.CSVVal,_xlfn.XLOOKUP($A649,CSV!$A:$A,CSV!G:G,""),
_xlpm.MacVal,_xlfn.XLOOKUP($A649,Output_Mac!$A:$A,Output_Mac!G:G,""),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_xlfn.XLOOKUP(A649,Output_Mac!A:A,Output_Mac!H:H,"")</f>
        <v/>
      </c>
      <c r="I649" s="45" t="str" cm="1">
        <f t="array" ref="I649">IFERROR(_xlfn.LET(
_xlpm.CSVVal,_xlfn.XLOOKUP($A649,CSV!$A:$A,CSV!H:H,""),
_xlpm.MacVal,_xlfn.XLOOKUP($A649,Output_Mac!$A:$A,Output_Mac!I:I,""),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_xlpm.CSVVal,_xlfn.XLOOKUP($A649,CSV!$A:$A,CSV!J:J,""),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46" t="str" cm="1">
        <f t="array" ref="K649">IFERROR(_xlfn.LET(
_xlpm.CSVVal,_xlfn.XLOOKUP($A649,CSV!$A:$A,CSV!N:N,""),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_xlpm.CSVVal,_xlfn.XLOOKUP($A649,CSV!$A:$A,CSV!P:P,""),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CSV!AE:AE,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_xlpm.CSVVal,_xlfn.XLOOKUP($A649,CSV!$A:$A,CSV!AG:AG,""),
_xlpm.MacVal,_xlfn.XLOOKUP($A649,Output_Mac!$A:$A,Output_Mac!T:T,""),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6" t="str">
        <f>IF(LEFT(N649,4)="Pass","Nist SP 800-88",My_Audit!R649)&amp;""</f>
        <v/>
      </c>
      <c r="R649" s="45"/>
      <c r="S649" s="45"/>
      <c r="T649" s="46" t="str">
        <f>_xlfn.XLOOKUP(E649,Models!I:I,Models!J:J,"")</f>
        <v/>
      </c>
      <c r="U649" s="45"/>
      <c r="V649" s="45"/>
      <c r="W649" s="38" t="str">
        <f>_xlfn.LET(
    _xlpm.MacVal, _xlfn.XLOOKUP($A649, Output_Mac!$A:$A, Output_Mac!AA:AA, ""),
    _xlpm.MyAuditVal, _xlfn.XLOOKUP($A649, My_Audit!$A:$A, My_Audit!L:L, ""),
    _xlfn.TEXTJOIN(", ", TRUE, _xlpm.MyAuditVal, _xlpm.MacVal)
)</f>
        <v/>
      </c>
    </row>
    <row r="650" spans="1:23">
      <c r="A650" s="45" t="str">
        <f>_xlfn.TEXTJOIN("",TRUE,Input!$B$2,ROW(My_Audit!A649))</f>
        <v>CC649</v>
      </c>
      <c r="B650" s="45" t="str">
        <f>_xlfn.TEXTJOIN("-",TRUE,"ITD",Input!$A$2,A650)</f>
        <v>ITD-XXX-CC649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 cm="1">
        <f t="array" ref="D650">IFERROR(_xlfn.LET(
_xlpm.CSVVal,_xlfn.XLOOKUP($A650,CSV!$A:$A,CSV!C:C,""),
_xlpm.MacVal,_xlfn.XLOOKUP($A650,Output_Mac!$A:$A,Output_Mac!D:D,""),
_xlpm.MyAuditVal,_xlfn.XLOOKUP($A650,My_Audit!$A:$A,My_Audit!C:C,""),
_xlfn.IFS(_xlpm.MyAuditVal&lt;&gt;"",UPPER(_xlpm.MyAuditVal),_xlpm.MacVal&lt;&gt;"",_xlpm.MacVal,_xlpm.CSVVal&lt;&gt;"",_xlpm.CSVVal
)),"")</f>
        <v/>
      </c>
      <c r="E650" s="46" t="str" cm="1">
        <f t="array" ref="E650">IFERROR(_xlfn.LET(
_xlpm.CSVVal,_xlfn.XLOOKUP($A650,CSV!$A:$A,CSV!E:E,""),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_xlpm.CSVVal,_xlfn.XLOOKUP($A650,CSV!$A:$A,CSV!G:G,""),
_xlpm.MacVal,_xlfn.XLOOKUP($A650,Output_Mac!$A:$A,Output_Mac!G:G,""),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_xlfn.XLOOKUP(A650,Output_Mac!A:A,Output_Mac!H:H,"")</f>
        <v/>
      </c>
      <c r="I650" s="45" t="str" cm="1">
        <f t="array" ref="I650">IFERROR(_xlfn.LET(
_xlpm.CSVVal,_xlfn.XLOOKUP($A650,CSV!$A:$A,CSV!H:H,""),
_xlpm.MacVal,_xlfn.XLOOKUP($A650,Output_Mac!$A:$A,Output_Mac!I:I,""),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_xlpm.CSVVal,_xlfn.XLOOKUP($A650,CSV!$A:$A,CSV!J:J,""),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46" t="str" cm="1">
        <f t="array" ref="K650">IFERROR(_xlfn.LET(
_xlpm.CSVVal,_xlfn.XLOOKUP($A650,CSV!$A:$A,CSV!N:N,""),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_xlpm.CSVVal,_xlfn.XLOOKUP($A650,CSV!$A:$A,CSV!P:P,""),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CSV!AE:AE,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_xlpm.CSVVal,_xlfn.XLOOKUP($A650,CSV!$A:$A,CSV!AG:AG,""),
_xlpm.MacVal,_xlfn.XLOOKUP($A650,Output_Mac!$A:$A,Output_Mac!T:T,""),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6" t="str">
        <f>IF(LEFT(N650,4)="Pass","Nist SP 800-88",My_Audit!R650)&amp;""</f>
        <v/>
      </c>
      <c r="R650" s="45"/>
      <c r="S650" s="45"/>
      <c r="T650" s="46" t="str">
        <f>_xlfn.XLOOKUP(E650,Models!I:I,Models!J:J,"")</f>
        <v/>
      </c>
      <c r="U650" s="45"/>
      <c r="V650" s="45"/>
      <c r="W650" s="38" t="str">
        <f>_xlfn.LET(
    _xlpm.MacVal, _xlfn.XLOOKUP($A650, Output_Mac!$A:$A, Output_Mac!AA:AA, ""),
    _xlpm.MyAuditVal, _xlfn.XLOOKUP($A650, My_Audit!$A:$A, My_Audit!L:L, ""),
    _xlfn.TEXTJOIN(", ", TRUE, _xlpm.MyAuditVal, _xlpm.MacVal)
)</f>
        <v/>
      </c>
    </row>
    <row r="651" spans="1:23">
      <c r="A651" s="45" t="str">
        <f>_xlfn.TEXTJOIN("",TRUE,Input!$B$2,ROW(My_Audit!A650))</f>
        <v>CC650</v>
      </c>
      <c r="B651" s="45" t="str">
        <f>_xlfn.TEXTJOIN("-",TRUE,"ITD",Input!$A$2,A651)</f>
        <v>ITD-XXX-CC650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 cm="1">
        <f t="array" ref="D651">IFERROR(_xlfn.LET(
_xlpm.CSVVal,_xlfn.XLOOKUP($A651,CSV!$A:$A,CSV!C:C,""),
_xlpm.MacVal,_xlfn.XLOOKUP($A651,Output_Mac!$A:$A,Output_Mac!D:D,""),
_xlpm.MyAuditVal,_xlfn.XLOOKUP($A651,My_Audit!$A:$A,My_Audit!C:C,""),
_xlfn.IFS(_xlpm.MyAuditVal&lt;&gt;"",UPPER(_xlpm.MyAuditVal),_xlpm.MacVal&lt;&gt;"",_xlpm.MacVal,_xlpm.CSVVal&lt;&gt;"",_xlpm.CSVVal
)),"")</f>
        <v/>
      </c>
      <c r="E651" s="46" t="str" cm="1">
        <f t="array" ref="E651">IFERROR(_xlfn.LET(
_xlpm.CSVVal,_xlfn.XLOOKUP($A651,CSV!$A:$A,CSV!E:E,""),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_xlpm.CSVVal,_xlfn.XLOOKUP($A651,CSV!$A:$A,CSV!G:G,""),
_xlpm.MacVal,_xlfn.XLOOKUP($A651,Output_Mac!$A:$A,Output_Mac!G:G,""),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_xlfn.XLOOKUP(A651,Output_Mac!A:A,Output_Mac!H:H,"")</f>
        <v/>
      </c>
      <c r="I651" s="45" t="str" cm="1">
        <f t="array" ref="I651">IFERROR(_xlfn.LET(
_xlpm.CSVVal,_xlfn.XLOOKUP($A651,CSV!$A:$A,CSV!H:H,""),
_xlpm.MacVal,_xlfn.XLOOKUP($A651,Output_Mac!$A:$A,Output_Mac!I:I,""),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_xlpm.CSVVal,_xlfn.XLOOKUP($A651,CSV!$A:$A,CSV!J:J,""),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46" t="str" cm="1">
        <f t="array" ref="K651">IFERROR(_xlfn.LET(
_xlpm.CSVVal,_xlfn.XLOOKUP($A651,CSV!$A:$A,CSV!N:N,""),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_xlpm.CSVVal,_xlfn.XLOOKUP($A651,CSV!$A:$A,CSV!P:P,""),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CSV!AE:AE,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_xlpm.CSVVal,_xlfn.XLOOKUP($A651,CSV!$A:$A,CSV!AG:AG,""),
_xlpm.MacVal,_xlfn.XLOOKUP($A651,Output_Mac!$A:$A,Output_Mac!T:T,""),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6" t="str">
        <f>IF(LEFT(N651,4)="Pass","Nist SP 800-88",My_Audit!R651)&amp;""</f>
        <v/>
      </c>
      <c r="R651" s="45"/>
      <c r="S651" s="45"/>
      <c r="T651" s="46" t="str">
        <f>_xlfn.XLOOKUP(E651,Models!I:I,Models!J:J,"")</f>
        <v/>
      </c>
      <c r="U651" s="45"/>
      <c r="V651" s="45"/>
      <c r="W651" s="38" t="str">
        <f>_xlfn.LET(
    _xlpm.MacVal, _xlfn.XLOOKUP($A651, Output_Mac!$A:$A, Output_Mac!AA:AA, ""),
    _xlpm.MyAuditVal, _xlfn.XLOOKUP($A651, My_Audit!$A:$A, My_Audit!L:L, ""),
    _xlfn.TEXTJOIN(", ", TRUE, _xlpm.MyAuditVal, _xlpm.MacVal)
)</f>
        <v/>
      </c>
    </row>
    <row r="652" spans="1:23">
      <c r="A652" s="45" t="str">
        <f>_xlfn.TEXTJOIN("",TRUE,Input!$B$2,ROW(My_Audit!A651))</f>
        <v>CC651</v>
      </c>
      <c r="B652" s="45" t="str">
        <f>_xlfn.TEXTJOIN("-",TRUE,"ITD",Input!$A$2,A652)</f>
        <v>ITD-XXX-CC651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 cm="1">
        <f t="array" ref="D652">IFERROR(_xlfn.LET(
_xlpm.CSVVal,_xlfn.XLOOKUP($A652,CSV!$A:$A,CSV!C:C,""),
_xlpm.MacVal,_xlfn.XLOOKUP($A652,Output_Mac!$A:$A,Output_Mac!D:D,""),
_xlpm.MyAuditVal,_xlfn.XLOOKUP($A652,My_Audit!$A:$A,My_Audit!C:C,""),
_xlfn.IFS(_xlpm.MyAuditVal&lt;&gt;"",UPPER(_xlpm.MyAuditVal),_xlpm.MacVal&lt;&gt;"",_xlpm.MacVal,_xlpm.CSVVal&lt;&gt;"",_xlpm.CSVVal
)),"")</f>
        <v/>
      </c>
      <c r="E652" s="46" t="str" cm="1">
        <f t="array" ref="E652">IFERROR(_xlfn.LET(
_xlpm.CSVVal,_xlfn.XLOOKUP($A652,CSV!$A:$A,CSV!E:E,""),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_xlpm.CSVVal,_xlfn.XLOOKUP($A652,CSV!$A:$A,CSV!G:G,""),
_xlpm.MacVal,_xlfn.XLOOKUP($A652,Output_Mac!$A:$A,Output_Mac!G:G,""),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_xlfn.XLOOKUP(A652,Output_Mac!A:A,Output_Mac!H:H,"")</f>
        <v/>
      </c>
      <c r="I652" s="45" t="str" cm="1">
        <f t="array" ref="I652">IFERROR(_xlfn.LET(
_xlpm.CSVVal,_xlfn.XLOOKUP($A652,CSV!$A:$A,CSV!H:H,""),
_xlpm.MacVal,_xlfn.XLOOKUP($A652,Output_Mac!$A:$A,Output_Mac!I:I,""),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_xlpm.CSVVal,_xlfn.XLOOKUP($A652,CSV!$A:$A,CSV!J:J,""),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46" t="str" cm="1">
        <f t="array" ref="K652">IFERROR(_xlfn.LET(
_xlpm.CSVVal,_xlfn.XLOOKUP($A652,CSV!$A:$A,CSV!N:N,""),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_xlpm.CSVVal,_xlfn.XLOOKUP($A652,CSV!$A:$A,CSV!P:P,""),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CSV!AE:AE,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_xlpm.CSVVal,_xlfn.XLOOKUP($A652,CSV!$A:$A,CSV!AG:AG,""),
_xlpm.MacVal,_xlfn.XLOOKUP($A652,Output_Mac!$A:$A,Output_Mac!T:T,""),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6" t="str">
        <f>IF(LEFT(N652,4)="Pass","Nist SP 800-88",My_Audit!R652)&amp;""</f>
        <v/>
      </c>
      <c r="R652" s="45"/>
      <c r="S652" s="45"/>
      <c r="T652" s="46" t="str">
        <f>_xlfn.XLOOKUP(E652,Models!I:I,Models!J:J,"")</f>
        <v/>
      </c>
      <c r="U652" s="45"/>
      <c r="V652" s="45"/>
      <c r="W652" s="38" t="str">
        <f>_xlfn.LET(
    _xlpm.MacVal, _xlfn.XLOOKUP($A652, Output_Mac!$A:$A, Output_Mac!AA:AA, ""),
    _xlpm.MyAuditVal, _xlfn.XLOOKUP($A652, My_Audit!$A:$A, My_Audit!L:L, ""),
    _xlfn.TEXTJOIN(", ", TRUE, _xlpm.MyAuditVal, _xlpm.MacVal)
)</f>
        <v/>
      </c>
    </row>
    <row r="653" spans="1:23">
      <c r="A653" s="45" t="str">
        <f>_xlfn.TEXTJOIN("",TRUE,Input!$B$2,ROW(My_Audit!A652))</f>
        <v>CC652</v>
      </c>
      <c r="B653" s="45" t="str">
        <f>_xlfn.TEXTJOIN("-",TRUE,"ITD",Input!$A$2,A653)</f>
        <v>ITD-XXX-CC652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 cm="1">
        <f t="array" ref="D653">IFERROR(_xlfn.LET(
_xlpm.CSVVal,_xlfn.XLOOKUP($A653,CSV!$A:$A,CSV!C:C,""),
_xlpm.MacVal,_xlfn.XLOOKUP($A653,Output_Mac!$A:$A,Output_Mac!D:D,""),
_xlpm.MyAuditVal,_xlfn.XLOOKUP($A653,My_Audit!$A:$A,My_Audit!C:C,""),
_xlfn.IFS(_xlpm.MyAuditVal&lt;&gt;"",UPPER(_xlpm.MyAuditVal),_xlpm.MacVal&lt;&gt;"",_xlpm.MacVal,_xlpm.CSVVal&lt;&gt;"",_xlpm.CSVVal
)),"")</f>
        <v/>
      </c>
      <c r="E653" s="46" t="str" cm="1">
        <f t="array" ref="E653">IFERROR(_xlfn.LET(
_xlpm.CSVVal,_xlfn.XLOOKUP($A653,CSV!$A:$A,CSV!E:E,""),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_xlpm.CSVVal,_xlfn.XLOOKUP($A653,CSV!$A:$A,CSV!G:G,""),
_xlpm.MacVal,_xlfn.XLOOKUP($A653,Output_Mac!$A:$A,Output_Mac!G:G,""),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_xlfn.XLOOKUP(A653,Output_Mac!A:A,Output_Mac!H:H,"")</f>
        <v/>
      </c>
      <c r="I653" s="45" t="str" cm="1">
        <f t="array" ref="I653">IFERROR(_xlfn.LET(
_xlpm.CSVVal,_xlfn.XLOOKUP($A653,CSV!$A:$A,CSV!H:H,""),
_xlpm.MacVal,_xlfn.XLOOKUP($A653,Output_Mac!$A:$A,Output_Mac!I:I,""),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_xlpm.CSVVal,_xlfn.XLOOKUP($A653,CSV!$A:$A,CSV!J:J,""),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46" t="str" cm="1">
        <f t="array" ref="K653">IFERROR(_xlfn.LET(
_xlpm.CSVVal,_xlfn.XLOOKUP($A653,CSV!$A:$A,CSV!N:N,""),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_xlpm.CSVVal,_xlfn.XLOOKUP($A653,CSV!$A:$A,CSV!P:P,""),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CSV!AE:AE,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_xlpm.CSVVal,_xlfn.XLOOKUP($A653,CSV!$A:$A,CSV!AG:AG,""),
_xlpm.MacVal,_xlfn.XLOOKUP($A653,Output_Mac!$A:$A,Output_Mac!T:T,""),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6" t="str">
        <f>IF(LEFT(N653,4)="Pass","Nist SP 800-88",My_Audit!R653)&amp;""</f>
        <v/>
      </c>
      <c r="R653" s="45"/>
      <c r="S653" s="45"/>
      <c r="T653" s="46" t="str">
        <f>_xlfn.XLOOKUP(E653,Models!I:I,Models!J:J,"")</f>
        <v/>
      </c>
      <c r="U653" s="45"/>
      <c r="V653" s="45"/>
      <c r="W653" s="38" t="str">
        <f>_xlfn.LET(
    _xlpm.MacVal, _xlfn.XLOOKUP($A653, Output_Mac!$A:$A, Output_Mac!AA:AA, ""),
    _xlpm.MyAuditVal, _xlfn.XLOOKUP($A653, My_Audit!$A:$A, My_Audit!L:L, ""),
    _xlfn.TEXTJOIN(", ", TRUE, _xlpm.MyAuditVal, _xlpm.MacVal)
)</f>
        <v/>
      </c>
    </row>
    <row r="654" spans="1:23">
      <c r="A654" s="45" t="str">
        <f>_xlfn.TEXTJOIN("",TRUE,Input!$B$2,ROW(My_Audit!A653))</f>
        <v>CC653</v>
      </c>
      <c r="B654" s="45" t="str">
        <f>_xlfn.TEXTJOIN("-",TRUE,"ITD",Input!$A$2,A654)</f>
        <v>ITD-XXX-CC653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 cm="1">
        <f t="array" ref="D654">IFERROR(_xlfn.LET(
_xlpm.CSVVal,_xlfn.XLOOKUP($A654,CSV!$A:$A,CSV!C:C,""),
_xlpm.MacVal,_xlfn.XLOOKUP($A654,Output_Mac!$A:$A,Output_Mac!D:D,""),
_xlpm.MyAuditVal,_xlfn.XLOOKUP($A654,My_Audit!$A:$A,My_Audit!C:C,""),
_xlfn.IFS(_xlpm.MyAuditVal&lt;&gt;"",UPPER(_xlpm.MyAuditVal),_xlpm.MacVal&lt;&gt;"",_xlpm.MacVal,_xlpm.CSVVal&lt;&gt;"",_xlpm.CSVVal
)),"")</f>
        <v/>
      </c>
      <c r="E654" s="46" t="str" cm="1">
        <f t="array" ref="E654">IFERROR(_xlfn.LET(
_xlpm.CSVVal,_xlfn.XLOOKUP($A654,CSV!$A:$A,CSV!E:E,""),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_xlpm.CSVVal,_xlfn.XLOOKUP($A654,CSV!$A:$A,CSV!G:G,""),
_xlpm.MacVal,_xlfn.XLOOKUP($A654,Output_Mac!$A:$A,Output_Mac!G:G,""),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_xlfn.XLOOKUP(A654,Output_Mac!A:A,Output_Mac!H:H,"")</f>
        <v/>
      </c>
      <c r="I654" s="45" t="str" cm="1">
        <f t="array" ref="I654">IFERROR(_xlfn.LET(
_xlpm.CSVVal,_xlfn.XLOOKUP($A654,CSV!$A:$A,CSV!H:H,""),
_xlpm.MacVal,_xlfn.XLOOKUP($A654,Output_Mac!$A:$A,Output_Mac!I:I,""),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_xlpm.CSVVal,_xlfn.XLOOKUP($A654,CSV!$A:$A,CSV!J:J,""),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46" t="str" cm="1">
        <f t="array" ref="K654">IFERROR(_xlfn.LET(
_xlpm.CSVVal,_xlfn.XLOOKUP($A654,CSV!$A:$A,CSV!N:N,""),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_xlpm.CSVVal,_xlfn.XLOOKUP($A654,CSV!$A:$A,CSV!P:P,""),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CSV!AE:AE,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_xlpm.CSVVal,_xlfn.XLOOKUP($A654,CSV!$A:$A,CSV!AG:AG,""),
_xlpm.MacVal,_xlfn.XLOOKUP($A654,Output_Mac!$A:$A,Output_Mac!T:T,""),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6" t="str">
        <f>IF(LEFT(N654,4)="Pass","Nist SP 800-88",My_Audit!R654)&amp;""</f>
        <v/>
      </c>
      <c r="R654" s="45"/>
      <c r="S654" s="45"/>
      <c r="T654" s="46" t="str">
        <f>_xlfn.XLOOKUP(E654,Models!I:I,Models!J:J,"")</f>
        <v/>
      </c>
      <c r="U654" s="45"/>
      <c r="V654" s="45"/>
      <c r="W654" s="38" t="str">
        <f>_xlfn.LET(
    _xlpm.MacVal, _xlfn.XLOOKUP($A654, Output_Mac!$A:$A, Output_Mac!AA:AA, ""),
    _xlpm.MyAuditVal, _xlfn.XLOOKUP($A654, My_Audit!$A:$A, My_Audit!L:L, ""),
    _xlfn.TEXTJOIN(", ", TRUE, _xlpm.MyAuditVal, _xlpm.MacVal)
)</f>
        <v/>
      </c>
    </row>
    <row r="655" spans="1:23">
      <c r="A655" s="45" t="str">
        <f>_xlfn.TEXTJOIN("",TRUE,Input!$B$2,ROW(My_Audit!A654))</f>
        <v>CC654</v>
      </c>
      <c r="B655" s="45" t="str">
        <f>_xlfn.TEXTJOIN("-",TRUE,"ITD",Input!$A$2,A655)</f>
        <v>ITD-XXX-CC654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 cm="1">
        <f t="array" ref="D655">IFERROR(_xlfn.LET(
_xlpm.CSVVal,_xlfn.XLOOKUP($A655,CSV!$A:$A,CSV!C:C,""),
_xlpm.MacVal,_xlfn.XLOOKUP($A655,Output_Mac!$A:$A,Output_Mac!D:D,""),
_xlpm.MyAuditVal,_xlfn.XLOOKUP($A655,My_Audit!$A:$A,My_Audit!C:C,""),
_xlfn.IFS(_xlpm.MyAuditVal&lt;&gt;"",UPPER(_xlpm.MyAuditVal),_xlpm.MacVal&lt;&gt;"",_xlpm.MacVal,_xlpm.CSVVal&lt;&gt;"",_xlpm.CSVVal
)),"")</f>
        <v/>
      </c>
      <c r="E655" s="46" t="str" cm="1">
        <f t="array" ref="E655">IFERROR(_xlfn.LET(
_xlpm.CSVVal,_xlfn.XLOOKUP($A655,CSV!$A:$A,CSV!E:E,""),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_xlpm.CSVVal,_xlfn.XLOOKUP($A655,CSV!$A:$A,CSV!G:G,""),
_xlpm.MacVal,_xlfn.XLOOKUP($A655,Output_Mac!$A:$A,Output_Mac!G:G,""),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_xlfn.XLOOKUP(A655,Output_Mac!A:A,Output_Mac!H:H,"")</f>
        <v/>
      </c>
      <c r="I655" s="45" t="str" cm="1">
        <f t="array" ref="I655">IFERROR(_xlfn.LET(
_xlpm.CSVVal,_xlfn.XLOOKUP($A655,CSV!$A:$A,CSV!H:H,""),
_xlpm.MacVal,_xlfn.XLOOKUP($A655,Output_Mac!$A:$A,Output_Mac!I:I,""),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_xlpm.CSVVal,_xlfn.XLOOKUP($A655,CSV!$A:$A,CSV!J:J,""),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46" t="str" cm="1">
        <f t="array" ref="K655">IFERROR(_xlfn.LET(
_xlpm.CSVVal,_xlfn.XLOOKUP($A655,CSV!$A:$A,CSV!N:N,""),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_xlpm.CSVVal,_xlfn.XLOOKUP($A655,CSV!$A:$A,CSV!P:P,""),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CSV!AE:AE,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_xlpm.CSVVal,_xlfn.XLOOKUP($A655,CSV!$A:$A,CSV!AG:AG,""),
_xlpm.MacVal,_xlfn.XLOOKUP($A655,Output_Mac!$A:$A,Output_Mac!T:T,""),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6" t="str">
        <f>IF(LEFT(N655,4)="Pass","Nist SP 800-88",My_Audit!R655)&amp;""</f>
        <v/>
      </c>
      <c r="R655" s="45"/>
      <c r="S655" s="45"/>
      <c r="T655" s="46" t="str">
        <f>_xlfn.XLOOKUP(E655,Models!I:I,Models!J:J,"")</f>
        <v/>
      </c>
      <c r="U655" s="45"/>
      <c r="V655" s="45"/>
      <c r="W655" s="38" t="str">
        <f>_xlfn.LET(
    _xlpm.MacVal, _xlfn.XLOOKUP($A655, Output_Mac!$A:$A, Output_Mac!AA:AA, ""),
    _xlpm.MyAuditVal, _xlfn.XLOOKUP($A655, My_Audit!$A:$A, My_Audit!L:L, ""),
    _xlfn.TEXTJOIN(", ", TRUE, _xlpm.MyAuditVal, _xlpm.MacVal)
)</f>
        <v/>
      </c>
    </row>
    <row r="656" spans="1:23">
      <c r="A656" s="45" t="str">
        <f>_xlfn.TEXTJOIN("",TRUE,Input!$B$2,ROW(My_Audit!A655))</f>
        <v>CC655</v>
      </c>
      <c r="B656" s="45" t="str">
        <f>_xlfn.TEXTJOIN("-",TRUE,"ITD",Input!$A$2,A656)</f>
        <v>ITD-XXX-CC655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 cm="1">
        <f t="array" ref="D656">IFERROR(_xlfn.LET(
_xlpm.CSVVal,_xlfn.XLOOKUP($A656,CSV!$A:$A,CSV!C:C,""),
_xlpm.MacVal,_xlfn.XLOOKUP($A656,Output_Mac!$A:$A,Output_Mac!D:D,""),
_xlpm.MyAuditVal,_xlfn.XLOOKUP($A656,My_Audit!$A:$A,My_Audit!C:C,""),
_xlfn.IFS(_xlpm.MyAuditVal&lt;&gt;"",UPPER(_xlpm.MyAuditVal),_xlpm.MacVal&lt;&gt;"",_xlpm.MacVal,_xlpm.CSVVal&lt;&gt;"",_xlpm.CSVVal
)),"")</f>
        <v/>
      </c>
      <c r="E656" s="46" t="str" cm="1">
        <f t="array" ref="E656">IFERROR(_xlfn.LET(
_xlpm.CSVVal,_xlfn.XLOOKUP($A656,CSV!$A:$A,CSV!E:E,""),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_xlpm.CSVVal,_xlfn.XLOOKUP($A656,CSV!$A:$A,CSV!G:G,""),
_xlpm.MacVal,_xlfn.XLOOKUP($A656,Output_Mac!$A:$A,Output_Mac!G:G,""),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_xlfn.XLOOKUP(A656,Output_Mac!A:A,Output_Mac!H:H,"")</f>
        <v/>
      </c>
      <c r="I656" s="45" t="str" cm="1">
        <f t="array" ref="I656">IFERROR(_xlfn.LET(
_xlpm.CSVVal,_xlfn.XLOOKUP($A656,CSV!$A:$A,CSV!H:H,""),
_xlpm.MacVal,_xlfn.XLOOKUP($A656,Output_Mac!$A:$A,Output_Mac!I:I,""),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_xlpm.CSVVal,_xlfn.XLOOKUP($A656,CSV!$A:$A,CSV!J:J,""),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46" t="str" cm="1">
        <f t="array" ref="K656">IFERROR(_xlfn.LET(
_xlpm.CSVVal,_xlfn.XLOOKUP($A656,CSV!$A:$A,CSV!N:N,""),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_xlpm.CSVVal,_xlfn.XLOOKUP($A656,CSV!$A:$A,CSV!P:P,""),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CSV!AE:AE,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_xlpm.CSVVal,_xlfn.XLOOKUP($A656,CSV!$A:$A,CSV!AG:AG,""),
_xlpm.MacVal,_xlfn.XLOOKUP($A656,Output_Mac!$A:$A,Output_Mac!T:T,""),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6" t="str">
        <f>IF(LEFT(N656,4)="Pass","Nist SP 800-88",My_Audit!R656)&amp;""</f>
        <v/>
      </c>
      <c r="R656" s="45"/>
      <c r="S656" s="45"/>
      <c r="T656" s="46" t="str">
        <f>_xlfn.XLOOKUP(E656,Models!I:I,Models!J:J,"")</f>
        <v/>
      </c>
      <c r="U656" s="45"/>
      <c r="V656" s="45"/>
      <c r="W656" s="38" t="str">
        <f>_xlfn.LET(
    _xlpm.MacVal, _xlfn.XLOOKUP($A656, Output_Mac!$A:$A, Output_Mac!AA:AA, ""),
    _xlpm.MyAuditVal, _xlfn.XLOOKUP($A656, My_Audit!$A:$A, My_Audit!L:L, ""),
    _xlfn.TEXTJOIN(", ", TRUE, _xlpm.MyAuditVal, _xlpm.MacVal)
)</f>
        <v/>
      </c>
    </row>
    <row r="657" spans="1:23">
      <c r="A657" s="45" t="str">
        <f>_xlfn.TEXTJOIN("",TRUE,Input!$B$2,ROW(My_Audit!A656))</f>
        <v>CC656</v>
      </c>
      <c r="B657" s="45" t="str">
        <f>_xlfn.TEXTJOIN("-",TRUE,"ITD",Input!$A$2,A657)</f>
        <v>ITD-XXX-CC656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 cm="1">
        <f t="array" ref="D657">IFERROR(_xlfn.LET(
_xlpm.CSVVal,_xlfn.XLOOKUP($A657,CSV!$A:$A,CSV!C:C,""),
_xlpm.MacVal,_xlfn.XLOOKUP($A657,Output_Mac!$A:$A,Output_Mac!D:D,""),
_xlpm.MyAuditVal,_xlfn.XLOOKUP($A657,My_Audit!$A:$A,My_Audit!C:C,""),
_xlfn.IFS(_xlpm.MyAuditVal&lt;&gt;"",UPPER(_xlpm.MyAuditVal),_xlpm.MacVal&lt;&gt;"",_xlpm.MacVal,_xlpm.CSVVal&lt;&gt;"",_xlpm.CSVVal
)),"")</f>
        <v/>
      </c>
      <c r="E657" s="46" t="str" cm="1">
        <f t="array" ref="E657">IFERROR(_xlfn.LET(
_xlpm.CSVVal,_xlfn.XLOOKUP($A657,CSV!$A:$A,CSV!E:E,""),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_xlpm.CSVVal,_xlfn.XLOOKUP($A657,CSV!$A:$A,CSV!G:G,""),
_xlpm.MacVal,_xlfn.XLOOKUP($A657,Output_Mac!$A:$A,Output_Mac!G:G,""),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_xlfn.XLOOKUP(A657,Output_Mac!A:A,Output_Mac!H:H,"")</f>
        <v/>
      </c>
      <c r="I657" s="45" t="str" cm="1">
        <f t="array" ref="I657">IFERROR(_xlfn.LET(
_xlpm.CSVVal,_xlfn.XLOOKUP($A657,CSV!$A:$A,CSV!H:H,""),
_xlpm.MacVal,_xlfn.XLOOKUP($A657,Output_Mac!$A:$A,Output_Mac!I:I,""),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_xlpm.CSVVal,_xlfn.XLOOKUP($A657,CSV!$A:$A,CSV!J:J,""),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46" t="str" cm="1">
        <f t="array" ref="K657">IFERROR(_xlfn.LET(
_xlpm.CSVVal,_xlfn.XLOOKUP($A657,CSV!$A:$A,CSV!N:N,""),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_xlpm.CSVVal,_xlfn.XLOOKUP($A657,CSV!$A:$A,CSV!P:P,""),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CSV!AE:AE,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_xlpm.CSVVal,_xlfn.XLOOKUP($A657,CSV!$A:$A,CSV!AG:AG,""),
_xlpm.MacVal,_xlfn.XLOOKUP($A657,Output_Mac!$A:$A,Output_Mac!T:T,""),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6" t="str">
        <f>IF(LEFT(N657,4)="Pass","Nist SP 800-88",My_Audit!R657)&amp;""</f>
        <v/>
      </c>
      <c r="R657" s="45"/>
      <c r="S657" s="45"/>
      <c r="T657" s="46" t="str">
        <f>_xlfn.XLOOKUP(E657,Models!I:I,Models!J:J,"")</f>
        <v/>
      </c>
      <c r="U657" s="45"/>
      <c r="V657" s="45"/>
      <c r="W657" s="38" t="str">
        <f>_xlfn.LET(
    _xlpm.MacVal, _xlfn.XLOOKUP($A657, Output_Mac!$A:$A, Output_Mac!AA:AA, ""),
    _xlpm.MyAuditVal, _xlfn.XLOOKUP($A657, My_Audit!$A:$A, My_Audit!L:L, ""),
    _xlfn.TEXTJOIN(", ", TRUE, _xlpm.MyAuditVal, _xlpm.MacVal)
)</f>
        <v/>
      </c>
    </row>
    <row r="658" spans="1:23">
      <c r="A658" s="45" t="str">
        <f>_xlfn.TEXTJOIN("",TRUE,Input!$B$2,ROW(My_Audit!A657))</f>
        <v>CC657</v>
      </c>
      <c r="B658" s="45" t="str">
        <f>_xlfn.TEXTJOIN("-",TRUE,"ITD",Input!$A$2,A658)</f>
        <v>ITD-XXX-CC657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 cm="1">
        <f t="array" ref="D658">IFERROR(_xlfn.LET(
_xlpm.CSVVal,_xlfn.XLOOKUP($A658,CSV!$A:$A,CSV!C:C,""),
_xlpm.MacVal,_xlfn.XLOOKUP($A658,Output_Mac!$A:$A,Output_Mac!D:D,""),
_xlpm.MyAuditVal,_xlfn.XLOOKUP($A658,My_Audit!$A:$A,My_Audit!C:C,""),
_xlfn.IFS(_xlpm.MyAuditVal&lt;&gt;"",UPPER(_xlpm.MyAuditVal),_xlpm.MacVal&lt;&gt;"",_xlpm.MacVal,_xlpm.CSVVal&lt;&gt;"",_xlpm.CSVVal
)),"")</f>
        <v/>
      </c>
      <c r="E658" s="46" t="str" cm="1">
        <f t="array" ref="E658">IFERROR(_xlfn.LET(
_xlpm.CSVVal,_xlfn.XLOOKUP($A658,CSV!$A:$A,CSV!E:E,""),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_xlpm.CSVVal,_xlfn.XLOOKUP($A658,CSV!$A:$A,CSV!G:G,""),
_xlpm.MacVal,_xlfn.XLOOKUP($A658,Output_Mac!$A:$A,Output_Mac!G:G,""),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_xlfn.XLOOKUP(A658,Output_Mac!A:A,Output_Mac!H:H,"")</f>
        <v/>
      </c>
      <c r="I658" s="45" t="str" cm="1">
        <f t="array" ref="I658">IFERROR(_xlfn.LET(
_xlpm.CSVVal,_xlfn.XLOOKUP($A658,CSV!$A:$A,CSV!H:H,""),
_xlpm.MacVal,_xlfn.XLOOKUP($A658,Output_Mac!$A:$A,Output_Mac!I:I,""),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_xlpm.CSVVal,_xlfn.XLOOKUP($A658,CSV!$A:$A,CSV!J:J,""),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46" t="str" cm="1">
        <f t="array" ref="K658">IFERROR(_xlfn.LET(
_xlpm.CSVVal,_xlfn.XLOOKUP($A658,CSV!$A:$A,CSV!N:N,""),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_xlpm.CSVVal,_xlfn.XLOOKUP($A658,CSV!$A:$A,CSV!P:P,""),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CSV!AE:AE,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_xlpm.CSVVal,_xlfn.XLOOKUP($A658,CSV!$A:$A,CSV!AG:AG,""),
_xlpm.MacVal,_xlfn.XLOOKUP($A658,Output_Mac!$A:$A,Output_Mac!T:T,""),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6" t="str">
        <f>IF(LEFT(N658,4)="Pass","Nist SP 800-88",My_Audit!R658)&amp;""</f>
        <v/>
      </c>
      <c r="R658" s="45"/>
      <c r="S658" s="45"/>
      <c r="T658" s="46" t="str">
        <f>_xlfn.XLOOKUP(E658,Models!I:I,Models!J:J,"")</f>
        <v/>
      </c>
      <c r="U658" s="45"/>
      <c r="V658" s="45"/>
      <c r="W658" s="38" t="str">
        <f>_xlfn.LET(
    _xlpm.MacVal, _xlfn.XLOOKUP($A658, Output_Mac!$A:$A, Output_Mac!AA:AA, ""),
    _xlpm.MyAuditVal, _xlfn.XLOOKUP($A658, My_Audit!$A:$A, My_Audit!L:L, ""),
    _xlfn.TEXTJOIN(", ", TRUE, _xlpm.MyAuditVal, _xlpm.MacVal)
)</f>
        <v/>
      </c>
    </row>
    <row r="659" spans="1:23">
      <c r="A659" s="45" t="str">
        <f>_xlfn.TEXTJOIN("",TRUE,Input!$B$2,ROW(My_Audit!A658))</f>
        <v>CC658</v>
      </c>
      <c r="B659" s="45" t="str">
        <f>_xlfn.TEXTJOIN("-",TRUE,"ITD",Input!$A$2,A659)</f>
        <v>ITD-XXX-CC658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 cm="1">
        <f t="array" ref="D659">IFERROR(_xlfn.LET(
_xlpm.CSVVal,_xlfn.XLOOKUP($A659,CSV!$A:$A,CSV!C:C,""),
_xlpm.MacVal,_xlfn.XLOOKUP($A659,Output_Mac!$A:$A,Output_Mac!D:D,""),
_xlpm.MyAuditVal,_xlfn.XLOOKUP($A659,My_Audit!$A:$A,My_Audit!C:C,""),
_xlfn.IFS(_xlpm.MyAuditVal&lt;&gt;"",UPPER(_xlpm.MyAuditVal),_xlpm.MacVal&lt;&gt;"",_xlpm.MacVal,_xlpm.CSVVal&lt;&gt;"",_xlpm.CSVVal
)),"")</f>
        <v/>
      </c>
      <c r="E659" s="46" t="str" cm="1">
        <f t="array" ref="E659">IFERROR(_xlfn.LET(
_xlpm.CSVVal,_xlfn.XLOOKUP($A659,CSV!$A:$A,CSV!E:E,""),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_xlpm.CSVVal,_xlfn.XLOOKUP($A659,CSV!$A:$A,CSV!G:G,""),
_xlpm.MacVal,_xlfn.XLOOKUP($A659,Output_Mac!$A:$A,Output_Mac!G:G,""),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_xlfn.XLOOKUP(A659,Output_Mac!A:A,Output_Mac!H:H,"")</f>
        <v/>
      </c>
      <c r="I659" s="45" t="str" cm="1">
        <f t="array" ref="I659">IFERROR(_xlfn.LET(
_xlpm.CSVVal,_xlfn.XLOOKUP($A659,CSV!$A:$A,CSV!H:H,""),
_xlpm.MacVal,_xlfn.XLOOKUP($A659,Output_Mac!$A:$A,Output_Mac!I:I,""),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_xlpm.CSVVal,_xlfn.XLOOKUP($A659,CSV!$A:$A,CSV!J:J,""),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46" t="str" cm="1">
        <f t="array" ref="K659">IFERROR(_xlfn.LET(
_xlpm.CSVVal,_xlfn.XLOOKUP($A659,CSV!$A:$A,CSV!N:N,""),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_xlpm.CSVVal,_xlfn.XLOOKUP($A659,CSV!$A:$A,CSV!P:P,""),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CSV!AE:AE,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_xlpm.CSVVal,_xlfn.XLOOKUP($A659,CSV!$A:$A,CSV!AG:AG,""),
_xlpm.MacVal,_xlfn.XLOOKUP($A659,Output_Mac!$A:$A,Output_Mac!T:T,""),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6" t="str">
        <f>IF(LEFT(N659,4)="Pass","Nist SP 800-88",My_Audit!R659)&amp;""</f>
        <v/>
      </c>
      <c r="R659" s="45"/>
      <c r="S659" s="45"/>
      <c r="T659" s="46" t="str">
        <f>_xlfn.XLOOKUP(E659,Models!I:I,Models!J:J,"")</f>
        <v/>
      </c>
      <c r="U659" s="45"/>
      <c r="V659" s="45"/>
      <c r="W659" s="38" t="str">
        <f>_xlfn.LET(
    _xlpm.MacVal, _xlfn.XLOOKUP($A659, Output_Mac!$A:$A, Output_Mac!AA:AA, ""),
    _xlpm.MyAuditVal, _xlfn.XLOOKUP($A659, My_Audit!$A:$A, My_Audit!L:L, ""),
    _xlfn.TEXTJOIN(", ", TRUE, _xlpm.MyAuditVal, _xlpm.MacVal)
)</f>
        <v/>
      </c>
    </row>
    <row r="660" spans="1:23">
      <c r="A660" s="45" t="str">
        <f>_xlfn.TEXTJOIN("",TRUE,Input!$B$2,ROW(My_Audit!A659))</f>
        <v>CC659</v>
      </c>
      <c r="B660" s="45" t="str">
        <f>_xlfn.TEXTJOIN("-",TRUE,"ITD",Input!$A$2,A660)</f>
        <v>ITD-XXX-CC659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 cm="1">
        <f t="array" ref="D660">IFERROR(_xlfn.LET(
_xlpm.CSVVal,_xlfn.XLOOKUP($A660,CSV!$A:$A,CSV!C:C,""),
_xlpm.MacVal,_xlfn.XLOOKUP($A660,Output_Mac!$A:$A,Output_Mac!D:D,""),
_xlpm.MyAuditVal,_xlfn.XLOOKUP($A660,My_Audit!$A:$A,My_Audit!C:C,""),
_xlfn.IFS(_xlpm.MyAuditVal&lt;&gt;"",UPPER(_xlpm.MyAuditVal),_xlpm.MacVal&lt;&gt;"",_xlpm.MacVal,_xlpm.CSVVal&lt;&gt;"",_xlpm.CSVVal
)),"")</f>
        <v/>
      </c>
      <c r="E660" s="46" t="str" cm="1">
        <f t="array" ref="E660">IFERROR(_xlfn.LET(
_xlpm.CSVVal,_xlfn.XLOOKUP($A660,CSV!$A:$A,CSV!E:E,""),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_xlpm.CSVVal,_xlfn.XLOOKUP($A660,CSV!$A:$A,CSV!G:G,""),
_xlpm.MacVal,_xlfn.XLOOKUP($A660,Output_Mac!$A:$A,Output_Mac!G:G,""),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_xlfn.XLOOKUP(A660,Output_Mac!A:A,Output_Mac!H:H,"")</f>
        <v/>
      </c>
      <c r="I660" s="45" t="str" cm="1">
        <f t="array" ref="I660">IFERROR(_xlfn.LET(
_xlpm.CSVVal,_xlfn.XLOOKUP($A660,CSV!$A:$A,CSV!H:H,""),
_xlpm.MacVal,_xlfn.XLOOKUP($A660,Output_Mac!$A:$A,Output_Mac!I:I,""),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_xlpm.CSVVal,_xlfn.XLOOKUP($A660,CSV!$A:$A,CSV!J:J,""),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46" t="str" cm="1">
        <f t="array" ref="K660">IFERROR(_xlfn.LET(
_xlpm.CSVVal,_xlfn.XLOOKUP($A660,CSV!$A:$A,CSV!N:N,""),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_xlpm.CSVVal,_xlfn.XLOOKUP($A660,CSV!$A:$A,CSV!P:P,""),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CSV!AE:AE,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_xlpm.CSVVal,_xlfn.XLOOKUP($A660,CSV!$A:$A,CSV!AG:AG,""),
_xlpm.MacVal,_xlfn.XLOOKUP($A660,Output_Mac!$A:$A,Output_Mac!T:T,""),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6" t="str">
        <f>IF(LEFT(N660,4)="Pass","Nist SP 800-88",My_Audit!R660)&amp;""</f>
        <v/>
      </c>
      <c r="R660" s="45"/>
      <c r="S660" s="45"/>
      <c r="T660" s="46" t="str">
        <f>_xlfn.XLOOKUP(E660,Models!I:I,Models!J:J,"")</f>
        <v/>
      </c>
      <c r="U660" s="45"/>
      <c r="V660" s="45"/>
      <c r="W660" s="38" t="str">
        <f>_xlfn.LET(
    _xlpm.MacVal, _xlfn.XLOOKUP($A660, Output_Mac!$A:$A, Output_Mac!AA:AA, ""),
    _xlpm.MyAuditVal, _xlfn.XLOOKUP($A660, My_Audit!$A:$A, My_Audit!L:L, ""),
    _xlfn.TEXTJOIN(", ", TRUE, _xlpm.MyAuditVal, _xlpm.MacVal)
)</f>
        <v/>
      </c>
    </row>
    <row r="661" spans="1:23">
      <c r="A661" s="45" t="str">
        <f>_xlfn.TEXTJOIN("",TRUE,Input!$B$2,ROW(My_Audit!A660))</f>
        <v>CC660</v>
      </c>
      <c r="B661" s="45" t="str">
        <f>_xlfn.TEXTJOIN("-",TRUE,"ITD",Input!$A$2,A661)</f>
        <v>ITD-XXX-CC660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 cm="1">
        <f t="array" ref="D661">IFERROR(_xlfn.LET(
_xlpm.CSVVal,_xlfn.XLOOKUP($A661,CSV!$A:$A,CSV!C:C,""),
_xlpm.MacVal,_xlfn.XLOOKUP($A661,Output_Mac!$A:$A,Output_Mac!D:D,""),
_xlpm.MyAuditVal,_xlfn.XLOOKUP($A661,My_Audit!$A:$A,My_Audit!C:C,""),
_xlfn.IFS(_xlpm.MyAuditVal&lt;&gt;"",UPPER(_xlpm.MyAuditVal),_xlpm.MacVal&lt;&gt;"",_xlpm.MacVal,_xlpm.CSVVal&lt;&gt;"",_xlpm.CSVVal
)),"")</f>
        <v/>
      </c>
      <c r="E661" s="46" t="str" cm="1">
        <f t="array" ref="E661">IFERROR(_xlfn.LET(
_xlpm.CSVVal,_xlfn.XLOOKUP($A661,CSV!$A:$A,CSV!E:E,""),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_xlpm.CSVVal,_xlfn.XLOOKUP($A661,CSV!$A:$A,CSV!G:G,""),
_xlpm.MacVal,_xlfn.XLOOKUP($A661,Output_Mac!$A:$A,Output_Mac!G:G,""),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_xlfn.XLOOKUP(A661,Output_Mac!A:A,Output_Mac!H:H,"")</f>
        <v/>
      </c>
      <c r="I661" s="45" t="str" cm="1">
        <f t="array" ref="I661">IFERROR(_xlfn.LET(
_xlpm.CSVVal,_xlfn.XLOOKUP($A661,CSV!$A:$A,CSV!H:H,""),
_xlpm.MacVal,_xlfn.XLOOKUP($A661,Output_Mac!$A:$A,Output_Mac!I:I,""),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_xlpm.CSVVal,_xlfn.XLOOKUP($A661,CSV!$A:$A,CSV!J:J,""),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46" t="str" cm="1">
        <f t="array" ref="K661">IFERROR(_xlfn.LET(
_xlpm.CSVVal,_xlfn.XLOOKUP($A661,CSV!$A:$A,CSV!N:N,""),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_xlpm.CSVVal,_xlfn.XLOOKUP($A661,CSV!$A:$A,CSV!P:P,""),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CSV!AE:AE,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_xlpm.CSVVal,_xlfn.XLOOKUP($A661,CSV!$A:$A,CSV!AG:AG,""),
_xlpm.MacVal,_xlfn.XLOOKUP($A661,Output_Mac!$A:$A,Output_Mac!T:T,""),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6" t="str">
        <f>IF(LEFT(N661,4)="Pass","Nist SP 800-88",My_Audit!R661)&amp;""</f>
        <v/>
      </c>
      <c r="R661" s="45"/>
      <c r="S661" s="45"/>
      <c r="T661" s="46" t="str">
        <f>_xlfn.XLOOKUP(E661,Models!I:I,Models!J:J,"")</f>
        <v/>
      </c>
      <c r="U661" s="45"/>
      <c r="V661" s="45"/>
      <c r="W661" s="38" t="str">
        <f>_xlfn.LET(
    _xlpm.MacVal, _xlfn.XLOOKUP($A661, Output_Mac!$A:$A, Output_Mac!AA:AA, ""),
    _xlpm.MyAuditVal, _xlfn.XLOOKUP($A661, My_Audit!$A:$A, My_Audit!L:L, ""),
    _xlfn.TEXTJOIN(", ", TRUE, _xlpm.MyAuditVal, _xlpm.MacVal)
)</f>
        <v/>
      </c>
    </row>
    <row r="662" spans="1:23">
      <c r="A662" s="45" t="str">
        <f>_xlfn.TEXTJOIN("",TRUE,Input!$B$2,ROW(My_Audit!A661))</f>
        <v>CC661</v>
      </c>
      <c r="B662" s="45" t="str">
        <f>_xlfn.TEXTJOIN("-",TRUE,"ITD",Input!$A$2,A662)</f>
        <v>ITD-XXX-CC661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 cm="1">
        <f t="array" ref="D662">IFERROR(_xlfn.LET(
_xlpm.CSVVal,_xlfn.XLOOKUP($A662,CSV!$A:$A,CSV!C:C,""),
_xlpm.MacVal,_xlfn.XLOOKUP($A662,Output_Mac!$A:$A,Output_Mac!D:D,""),
_xlpm.MyAuditVal,_xlfn.XLOOKUP($A662,My_Audit!$A:$A,My_Audit!C:C,""),
_xlfn.IFS(_xlpm.MyAuditVal&lt;&gt;"",UPPER(_xlpm.MyAuditVal),_xlpm.MacVal&lt;&gt;"",_xlpm.MacVal,_xlpm.CSVVal&lt;&gt;"",_xlpm.CSVVal
)),"")</f>
        <v/>
      </c>
      <c r="E662" s="46" t="str" cm="1">
        <f t="array" ref="E662">IFERROR(_xlfn.LET(
_xlpm.CSVVal,_xlfn.XLOOKUP($A662,CSV!$A:$A,CSV!E:E,""),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_xlpm.CSVVal,_xlfn.XLOOKUP($A662,CSV!$A:$A,CSV!G:G,""),
_xlpm.MacVal,_xlfn.XLOOKUP($A662,Output_Mac!$A:$A,Output_Mac!G:G,""),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_xlfn.XLOOKUP(A662,Output_Mac!A:A,Output_Mac!H:H,"")</f>
        <v/>
      </c>
      <c r="I662" s="45" t="str" cm="1">
        <f t="array" ref="I662">IFERROR(_xlfn.LET(
_xlpm.CSVVal,_xlfn.XLOOKUP($A662,CSV!$A:$A,CSV!H:H,""),
_xlpm.MacVal,_xlfn.XLOOKUP($A662,Output_Mac!$A:$A,Output_Mac!I:I,""),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_xlpm.CSVVal,_xlfn.XLOOKUP($A662,CSV!$A:$A,CSV!J:J,""),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46" t="str" cm="1">
        <f t="array" ref="K662">IFERROR(_xlfn.LET(
_xlpm.CSVVal,_xlfn.XLOOKUP($A662,CSV!$A:$A,CSV!N:N,""),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_xlpm.CSVVal,_xlfn.XLOOKUP($A662,CSV!$A:$A,CSV!P:P,""),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CSV!AE:AE,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_xlpm.CSVVal,_xlfn.XLOOKUP($A662,CSV!$A:$A,CSV!AG:AG,""),
_xlpm.MacVal,_xlfn.XLOOKUP($A662,Output_Mac!$A:$A,Output_Mac!T:T,""),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6" t="str">
        <f>IF(LEFT(N662,4)="Pass","Nist SP 800-88",My_Audit!R662)&amp;""</f>
        <v/>
      </c>
      <c r="R662" s="45"/>
      <c r="S662" s="45"/>
      <c r="T662" s="46" t="str">
        <f>_xlfn.XLOOKUP(E662,Models!I:I,Models!J:J,"")</f>
        <v/>
      </c>
      <c r="U662" s="45"/>
      <c r="V662" s="45"/>
      <c r="W662" s="38" t="str">
        <f>_xlfn.LET(
    _xlpm.MacVal, _xlfn.XLOOKUP($A662, Output_Mac!$A:$A, Output_Mac!AA:AA, ""),
    _xlpm.MyAuditVal, _xlfn.XLOOKUP($A662, My_Audit!$A:$A, My_Audit!L:L, ""),
    _xlfn.TEXTJOIN(", ", TRUE, _xlpm.MyAuditVal, _xlpm.MacVal)
)</f>
        <v/>
      </c>
    </row>
    <row r="663" spans="1:23">
      <c r="A663" s="45" t="str">
        <f>_xlfn.TEXTJOIN("",TRUE,Input!$B$2,ROW(My_Audit!A662))</f>
        <v>CC662</v>
      </c>
      <c r="B663" s="45" t="str">
        <f>_xlfn.TEXTJOIN("-",TRUE,"ITD",Input!$A$2,A663)</f>
        <v>ITD-XXX-CC662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 cm="1">
        <f t="array" ref="D663">IFERROR(_xlfn.LET(
_xlpm.CSVVal,_xlfn.XLOOKUP($A663,CSV!$A:$A,CSV!C:C,""),
_xlpm.MacVal,_xlfn.XLOOKUP($A663,Output_Mac!$A:$A,Output_Mac!D:D,""),
_xlpm.MyAuditVal,_xlfn.XLOOKUP($A663,My_Audit!$A:$A,My_Audit!C:C,""),
_xlfn.IFS(_xlpm.MyAuditVal&lt;&gt;"",UPPER(_xlpm.MyAuditVal),_xlpm.MacVal&lt;&gt;"",_xlpm.MacVal,_xlpm.CSVVal&lt;&gt;"",_xlpm.CSVVal
)),"")</f>
        <v/>
      </c>
      <c r="E663" s="46" t="str" cm="1">
        <f t="array" ref="E663">IFERROR(_xlfn.LET(
_xlpm.CSVVal,_xlfn.XLOOKUP($A663,CSV!$A:$A,CSV!E:E,""),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_xlpm.CSVVal,_xlfn.XLOOKUP($A663,CSV!$A:$A,CSV!G:G,""),
_xlpm.MacVal,_xlfn.XLOOKUP($A663,Output_Mac!$A:$A,Output_Mac!G:G,""),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_xlfn.XLOOKUP(A663,Output_Mac!A:A,Output_Mac!H:H,"")</f>
        <v/>
      </c>
      <c r="I663" s="45" t="str" cm="1">
        <f t="array" ref="I663">IFERROR(_xlfn.LET(
_xlpm.CSVVal,_xlfn.XLOOKUP($A663,CSV!$A:$A,CSV!H:H,""),
_xlpm.MacVal,_xlfn.XLOOKUP($A663,Output_Mac!$A:$A,Output_Mac!I:I,""),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_xlpm.CSVVal,_xlfn.XLOOKUP($A663,CSV!$A:$A,CSV!J:J,""),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46" t="str" cm="1">
        <f t="array" ref="K663">IFERROR(_xlfn.LET(
_xlpm.CSVVal,_xlfn.XLOOKUP($A663,CSV!$A:$A,CSV!N:N,""),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_xlpm.CSVVal,_xlfn.XLOOKUP($A663,CSV!$A:$A,CSV!P:P,""),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CSV!AE:AE,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_xlpm.CSVVal,_xlfn.XLOOKUP($A663,CSV!$A:$A,CSV!AG:AG,""),
_xlpm.MacVal,_xlfn.XLOOKUP($A663,Output_Mac!$A:$A,Output_Mac!T:T,""),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6" t="str">
        <f>IF(LEFT(N663,4)="Pass","Nist SP 800-88",My_Audit!R663)&amp;""</f>
        <v/>
      </c>
      <c r="R663" s="45"/>
      <c r="S663" s="45"/>
      <c r="T663" s="46" t="str">
        <f>_xlfn.XLOOKUP(E663,Models!I:I,Models!J:J,"")</f>
        <v/>
      </c>
      <c r="U663" s="45"/>
      <c r="V663" s="45"/>
      <c r="W663" s="38" t="str">
        <f>_xlfn.LET(
    _xlpm.MacVal, _xlfn.XLOOKUP($A663, Output_Mac!$A:$A, Output_Mac!AA:AA, ""),
    _xlpm.MyAuditVal, _xlfn.XLOOKUP($A663, My_Audit!$A:$A, My_Audit!L:L, ""),
    _xlfn.TEXTJOIN(", ", TRUE, _xlpm.MyAuditVal, _xlpm.MacVal)
)</f>
        <v/>
      </c>
    </row>
    <row r="664" spans="1:23">
      <c r="A664" s="45" t="str">
        <f>_xlfn.TEXTJOIN("",TRUE,Input!$B$2,ROW(My_Audit!A663))</f>
        <v>CC663</v>
      </c>
      <c r="B664" s="45" t="str">
        <f>_xlfn.TEXTJOIN("-",TRUE,"ITD",Input!$A$2,A664)</f>
        <v>ITD-XXX-CC663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 cm="1">
        <f t="array" ref="D664">IFERROR(_xlfn.LET(
_xlpm.CSVVal,_xlfn.XLOOKUP($A664,CSV!$A:$A,CSV!C:C,""),
_xlpm.MacVal,_xlfn.XLOOKUP($A664,Output_Mac!$A:$A,Output_Mac!D:D,""),
_xlpm.MyAuditVal,_xlfn.XLOOKUP($A664,My_Audit!$A:$A,My_Audit!C:C,""),
_xlfn.IFS(_xlpm.MyAuditVal&lt;&gt;"",UPPER(_xlpm.MyAuditVal),_xlpm.MacVal&lt;&gt;"",_xlpm.MacVal,_xlpm.CSVVal&lt;&gt;"",_xlpm.CSVVal
)),"")</f>
        <v/>
      </c>
      <c r="E664" s="46" t="str" cm="1">
        <f t="array" ref="E664">IFERROR(_xlfn.LET(
_xlpm.CSVVal,_xlfn.XLOOKUP($A664,CSV!$A:$A,CSV!E:E,""),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_xlpm.CSVVal,_xlfn.XLOOKUP($A664,CSV!$A:$A,CSV!G:G,""),
_xlpm.MacVal,_xlfn.XLOOKUP($A664,Output_Mac!$A:$A,Output_Mac!G:G,""),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_xlfn.XLOOKUP(A664,Output_Mac!A:A,Output_Mac!H:H,"")</f>
        <v/>
      </c>
      <c r="I664" s="45" t="str" cm="1">
        <f t="array" ref="I664">IFERROR(_xlfn.LET(
_xlpm.CSVVal,_xlfn.XLOOKUP($A664,CSV!$A:$A,CSV!H:H,""),
_xlpm.MacVal,_xlfn.XLOOKUP($A664,Output_Mac!$A:$A,Output_Mac!I:I,""),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_xlpm.CSVVal,_xlfn.XLOOKUP($A664,CSV!$A:$A,CSV!J:J,""),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46" t="str" cm="1">
        <f t="array" ref="K664">IFERROR(_xlfn.LET(
_xlpm.CSVVal,_xlfn.XLOOKUP($A664,CSV!$A:$A,CSV!N:N,""),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_xlpm.CSVVal,_xlfn.XLOOKUP($A664,CSV!$A:$A,CSV!P:P,""),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CSV!AE:AE,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_xlpm.CSVVal,_xlfn.XLOOKUP($A664,CSV!$A:$A,CSV!AG:AG,""),
_xlpm.MacVal,_xlfn.XLOOKUP($A664,Output_Mac!$A:$A,Output_Mac!T:T,""),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6" t="str">
        <f>IF(LEFT(N664,4)="Pass","Nist SP 800-88",My_Audit!R664)&amp;""</f>
        <v/>
      </c>
      <c r="R664" s="45"/>
      <c r="S664" s="45"/>
      <c r="T664" s="46" t="str">
        <f>_xlfn.XLOOKUP(E664,Models!I:I,Models!J:J,"")</f>
        <v/>
      </c>
      <c r="U664" s="45"/>
      <c r="V664" s="45"/>
      <c r="W664" s="38" t="str">
        <f>_xlfn.LET(
    _xlpm.MacVal, _xlfn.XLOOKUP($A664, Output_Mac!$A:$A, Output_Mac!AA:AA, ""),
    _xlpm.MyAuditVal, _xlfn.XLOOKUP($A664, My_Audit!$A:$A, My_Audit!L:L, ""),
    _xlfn.TEXTJOIN(", ", TRUE, _xlpm.MyAuditVal, _xlpm.MacVal)
)</f>
        <v/>
      </c>
    </row>
    <row r="665" spans="1:23">
      <c r="A665" s="45" t="str">
        <f>_xlfn.TEXTJOIN("",TRUE,Input!$B$2,ROW(My_Audit!A664))</f>
        <v>CC664</v>
      </c>
      <c r="B665" s="45" t="str">
        <f>_xlfn.TEXTJOIN("-",TRUE,"ITD",Input!$A$2,A665)</f>
        <v>ITD-XXX-CC664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 cm="1">
        <f t="array" ref="D665">IFERROR(_xlfn.LET(
_xlpm.CSVVal,_xlfn.XLOOKUP($A665,CSV!$A:$A,CSV!C:C,""),
_xlpm.MacVal,_xlfn.XLOOKUP($A665,Output_Mac!$A:$A,Output_Mac!D:D,""),
_xlpm.MyAuditVal,_xlfn.XLOOKUP($A665,My_Audit!$A:$A,My_Audit!C:C,""),
_xlfn.IFS(_xlpm.MyAuditVal&lt;&gt;"",UPPER(_xlpm.MyAuditVal),_xlpm.MacVal&lt;&gt;"",_xlpm.MacVal,_xlpm.CSVVal&lt;&gt;"",_xlpm.CSVVal
)),"")</f>
        <v/>
      </c>
      <c r="E665" s="46" t="str" cm="1">
        <f t="array" ref="E665">IFERROR(_xlfn.LET(
_xlpm.CSVVal,_xlfn.XLOOKUP($A665,CSV!$A:$A,CSV!E:E,""),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_xlpm.CSVVal,_xlfn.XLOOKUP($A665,CSV!$A:$A,CSV!G:G,""),
_xlpm.MacVal,_xlfn.XLOOKUP($A665,Output_Mac!$A:$A,Output_Mac!G:G,""),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_xlfn.XLOOKUP(A665,Output_Mac!A:A,Output_Mac!H:H,"")</f>
        <v/>
      </c>
      <c r="I665" s="45" t="str" cm="1">
        <f t="array" ref="I665">IFERROR(_xlfn.LET(
_xlpm.CSVVal,_xlfn.XLOOKUP($A665,CSV!$A:$A,CSV!H:H,""),
_xlpm.MacVal,_xlfn.XLOOKUP($A665,Output_Mac!$A:$A,Output_Mac!I:I,""),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_xlpm.CSVVal,_xlfn.XLOOKUP($A665,CSV!$A:$A,CSV!J:J,""),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46" t="str" cm="1">
        <f t="array" ref="K665">IFERROR(_xlfn.LET(
_xlpm.CSVVal,_xlfn.XLOOKUP($A665,CSV!$A:$A,CSV!N:N,""),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_xlpm.CSVVal,_xlfn.XLOOKUP($A665,CSV!$A:$A,CSV!P:P,""),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CSV!AE:AE,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_xlpm.CSVVal,_xlfn.XLOOKUP($A665,CSV!$A:$A,CSV!AG:AG,""),
_xlpm.MacVal,_xlfn.XLOOKUP($A665,Output_Mac!$A:$A,Output_Mac!T:T,""),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6" t="str">
        <f>IF(LEFT(N665,4)="Pass","Nist SP 800-88",My_Audit!R665)&amp;""</f>
        <v/>
      </c>
      <c r="R665" s="45"/>
      <c r="S665" s="45"/>
      <c r="T665" s="46" t="str">
        <f>_xlfn.XLOOKUP(E665,Models!I:I,Models!J:J,"")</f>
        <v/>
      </c>
      <c r="U665" s="45"/>
      <c r="V665" s="45"/>
      <c r="W665" s="38" t="str">
        <f>_xlfn.LET(
    _xlpm.MacVal, _xlfn.XLOOKUP($A665, Output_Mac!$A:$A, Output_Mac!AA:AA, ""),
    _xlpm.MyAuditVal, _xlfn.XLOOKUP($A665, My_Audit!$A:$A, My_Audit!L:L, ""),
    _xlfn.TEXTJOIN(", ", TRUE, _xlpm.MyAuditVal, _xlpm.MacVal)
)</f>
        <v/>
      </c>
    </row>
    <row r="666" spans="1:23">
      <c r="A666" s="45" t="str">
        <f>_xlfn.TEXTJOIN("",TRUE,Input!$B$2,ROW(My_Audit!A665))</f>
        <v>CC665</v>
      </c>
      <c r="B666" s="45" t="str">
        <f>_xlfn.TEXTJOIN("-",TRUE,"ITD",Input!$A$2,A666)</f>
        <v>ITD-XXX-CC665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 cm="1">
        <f t="array" ref="D666">IFERROR(_xlfn.LET(
_xlpm.CSVVal,_xlfn.XLOOKUP($A666,CSV!$A:$A,CSV!C:C,""),
_xlpm.MacVal,_xlfn.XLOOKUP($A666,Output_Mac!$A:$A,Output_Mac!D:D,""),
_xlpm.MyAuditVal,_xlfn.XLOOKUP($A666,My_Audit!$A:$A,My_Audit!C:C,""),
_xlfn.IFS(_xlpm.MyAuditVal&lt;&gt;"",UPPER(_xlpm.MyAuditVal),_xlpm.MacVal&lt;&gt;"",_xlpm.MacVal,_xlpm.CSVVal&lt;&gt;"",_xlpm.CSVVal
)),"")</f>
        <v/>
      </c>
      <c r="E666" s="46" t="str" cm="1">
        <f t="array" ref="E666">IFERROR(_xlfn.LET(
_xlpm.CSVVal,_xlfn.XLOOKUP($A666,CSV!$A:$A,CSV!E:E,""),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_xlpm.CSVVal,_xlfn.XLOOKUP($A666,CSV!$A:$A,CSV!G:G,""),
_xlpm.MacVal,_xlfn.XLOOKUP($A666,Output_Mac!$A:$A,Output_Mac!G:G,""),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_xlfn.XLOOKUP(A666,Output_Mac!A:A,Output_Mac!H:H,"")</f>
        <v/>
      </c>
      <c r="I666" s="45" t="str" cm="1">
        <f t="array" ref="I666">IFERROR(_xlfn.LET(
_xlpm.CSVVal,_xlfn.XLOOKUP($A666,CSV!$A:$A,CSV!H:H,""),
_xlpm.MacVal,_xlfn.XLOOKUP($A666,Output_Mac!$A:$A,Output_Mac!I:I,""),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_xlpm.CSVVal,_xlfn.XLOOKUP($A666,CSV!$A:$A,CSV!J:J,""),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46" t="str" cm="1">
        <f t="array" ref="K666">IFERROR(_xlfn.LET(
_xlpm.CSVVal,_xlfn.XLOOKUP($A666,CSV!$A:$A,CSV!N:N,""),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_xlpm.CSVVal,_xlfn.XLOOKUP($A666,CSV!$A:$A,CSV!P:P,""),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CSV!AE:AE,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_xlpm.CSVVal,_xlfn.XLOOKUP($A666,CSV!$A:$A,CSV!AG:AG,""),
_xlpm.MacVal,_xlfn.XLOOKUP($A666,Output_Mac!$A:$A,Output_Mac!T:T,""),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6" t="str">
        <f>IF(LEFT(N666,4)="Pass","Nist SP 800-88",My_Audit!R666)&amp;""</f>
        <v/>
      </c>
      <c r="R666" s="45"/>
      <c r="S666" s="45"/>
      <c r="T666" s="46" t="str">
        <f>_xlfn.XLOOKUP(E666,Models!I:I,Models!J:J,"")</f>
        <v/>
      </c>
      <c r="U666" s="45"/>
      <c r="V666" s="45"/>
      <c r="W666" s="38" t="str">
        <f>_xlfn.LET(
    _xlpm.MacVal, _xlfn.XLOOKUP($A666, Output_Mac!$A:$A, Output_Mac!AA:AA, ""),
    _xlpm.MyAuditVal, _xlfn.XLOOKUP($A666, My_Audit!$A:$A, My_Audit!L:L, ""),
    _xlfn.TEXTJOIN(", ", TRUE, _xlpm.MyAuditVal, _xlpm.MacVal)
)</f>
        <v/>
      </c>
    </row>
    <row r="667" spans="1:23">
      <c r="A667" s="45" t="str">
        <f>_xlfn.TEXTJOIN("",TRUE,Input!$B$2,ROW(My_Audit!A666))</f>
        <v>CC666</v>
      </c>
      <c r="B667" s="45" t="str">
        <f>_xlfn.TEXTJOIN("-",TRUE,"ITD",Input!$A$2,A667)</f>
        <v>ITD-XXX-CC666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 cm="1">
        <f t="array" ref="D667">IFERROR(_xlfn.LET(
_xlpm.CSVVal,_xlfn.XLOOKUP($A667,CSV!$A:$A,CSV!C:C,""),
_xlpm.MacVal,_xlfn.XLOOKUP($A667,Output_Mac!$A:$A,Output_Mac!D:D,""),
_xlpm.MyAuditVal,_xlfn.XLOOKUP($A667,My_Audit!$A:$A,My_Audit!C:C,""),
_xlfn.IFS(_xlpm.MyAuditVal&lt;&gt;"",UPPER(_xlpm.MyAuditVal),_xlpm.MacVal&lt;&gt;"",_xlpm.MacVal,_xlpm.CSVVal&lt;&gt;"",_xlpm.CSVVal
)),"")</f>
        <v/>
      </c>
      <c r="E667" s="46" t="str" cm="1">
        <f t="array" ref="E667">IFERROR(_xlfn.LET(
_xlpm.CSVVal,_xlfn.XLOOKUP($A667,CSV!$A:$A,CSV!E:E,""),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_xlpm.CSVVal,_xlfn.XLOOKUP($A667,CSV!$A:$A,CSV!G:G,""),
_xlpm.MacVal,_xlfn.XLOOKUP($A667,Output_Mac!$A:$A,Output_Mac!G:G,""),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_xlfn.XLOOKUP(A667,Output_Mac!A:A,Output_Mac!H:H,"")</f>
        <v/>
      </c>
      <c r="I667" s="45" t="str" cm="1">
        <f t="array" ref="I667">IFERROR(_xlfn.LET(
_xlpm.CSVVal,_xlfn.XLOOKUP($A667,CSV!$A:$A,CSV!H:H,""),
_xlpm.MacVal,_xlfn.XLOOKUP($A667,Output_Mac!$A:$A,Output_Mac!I:I,""),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_xlpm.CSVVal,_xlfn.XLOOKUP($A667,CSV!$A:$A,CSV!J:J,""),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46" t="str" cm="1">
        <f t="array" ref="K667">IFERROR(_xlfn.LET(
_xlpm.CSVVal,_xlfn.XLOOKUP($A667,CSV!$A:$A,CSV!N:N,""),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_xlpm.CSVVal,_xlfn.XLOOKUP($A667,CSV!$A:$A,CSV!P:P,""),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CSV!AE:AE,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_xlpm.CSVVal,_xlfn.XLOOKUP($A667,CSV!$A:$A,CSV!AG:AG,""),
_xlpm.MacVal,_xlfn.XLOOKUP($A667,Output_Mac!$A:$A,Output_Mac!T:T,""),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6" t="str">
        <f>IF(LEFT(N667,4)="Pass","Nist SP 800-88",My_Audit!R667)&amp;""</f>
        <v/>
      </c>
      <c r="R667" s="45"/>
      <c r="S667" s="45"/>
      <c r="T667" s="46" t="str">
        <f>_xlfn.XLOOKUP(E667,Models!I:I,Models!J:J,"")</f>
        <v/>
      </c>
      <c r="U667" s="45"/>
      <c r="V667" s="45"/>
      <c r="W667" s="38" t="str">
        <f>_xlfn.LET(
    _xlpm.MacVal, _xlfn.XLOOKUP($A667, Output_Mac!$A:$A, Output_Mac!AA:AA, ""),
    _xlpm.MyAuditVal, _xlfn.XLOOKUP($A667, My_Audit!$A:$A, My_Audit!L:L, ""),
    _xlfn.TEXTJOIN(", ", TRUE, _xlpm.MyAuditVal, _xlpm.MacVal)
)</f>
        <v/>
      </c>
    </row>
    <row r="668" spans="1:23">
      <c r="A668" s="45" t="str">
        <f>_xlfn.TEXTJOIN("",TRUE,Input!$B$2,ROW(My_Audit!A667))</f>
        <v>CC667</v>
      </c>
      <c r="B668" s="45" t="str">
        <f>_xlfn.TEXTJOIN("-",TRUE,"ITD",Input!$A$2,A668)</f>
        <v>ITD-XXX-CC667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 cm="1">
        <f t="array" ref="D668">IFERROR(_xlfn.LET(
_xlpm.CSVVal,_xlfn.XLOOKUP($A668,CSV!$A:$A,CSV!C:C,""),
_xlpm.MacVal,_xlfn.XLOOKUP($A668,Output_Mac!$A:$A,Output_Mac!D:D,""),
_xlpm.MyAuditVal,_xlfn.XLOOKUP($A668,My_Audit!$A:$A,My_Audit!C:C,""),
_xlfn.IFS(_xlpm.MyAuditVal&lt;&gt;"",UPPER(_xlpm.MyAuditVal),_xlpm.MacVal&lt;&gt;"",_xlpm.MacVal,_xlpm.CSVVal&lt;&gt;"",_xlpm.CSVVal
)),"")</f>
        <v/>
      </c>
      <c r="E668" s="46" t="str" cm="1">
        <f t="array" ref="E668">IFERROR(_xlfn.LET(
_xlpm.CSVVal,_xlfn.XLOOKUP($A668,CSV!$A:$A,CSV!E:E,""),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_xlpm.CSVVal,_xlfn.XLOOKUP($A668,CSV!$A:$A,CSV!G:G,""),
_xlpm.MacVal,_xlfn.XLOOKUP($A668,Output_Mac!$A:$A,Output_Mac!G:G,""),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_xlfn.XLOOKUP(A668,Output_Mac!A:A,Output_Mac!H:H,"")</f>
        <v/>
      </c>
      <c r="I668" s="45" t="str" cm="1">
        <f t="array" ref="I668">IFERROR(_xlfn.LET(
_xlpm.CSVVal,_xlfn.XLOOKUP($A668,CSV!$A:$A,CSV!H:H,""),
_xlpm.MacVal,_xlfn.XLOOKUP($A668,Output_Mac!$A:$A,Output_Mac!I:I,""),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_xlpm.CSVVal,_xlfn.XLOOKUP($A668,CSV!$A:$A,CSV!J:J,""),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46" t="str" cm="1">
        <f t="array" ref="K668">IFERROR(_xlfn.LET(
_xlpm.CSVVal,_xlfn.XLOOKUP($A668,CSV!$A:$A,CSV!N:N,""),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_xlpm.CSVVal,_xlfn.XLOOKUP($A668,CSV!$A:$A,CSV!P:P,""),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CSV!AE:AE,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_xlpm.CSVVal,_xlfn.XLOOKUP($A668,CSV!$A:$A,CSV!AG:AG,""),
_xlpm.MacVal,_xlfn.XLOOKUP($A668,Output_Mac!$A:$A,Output_Mac!T:T,""),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6" t="str">
        <f>IF(LEFT(N668,4)="Pass","Nist SP 800-88",My_Audit!R668)&amp;""</f>
        <v/>
      </c>
      <c r="R668" s="45"/>
      <c r="S668" s="45"/>
      <c r="T668" s="46" t="str">
        <f>_xlfn.XLOOKUP(E668,Models!I:I,Models!J:J,"")</f>
        <v/>
      </c>
      <c r="U668" s="45"/>
      <c r="V668" s="45"/>
      <c r="W668" s="38" t="str">
        <f>_xlfn.LET(
    _xlpm.MacVal, _xlfn.XLOOKUP($A668, Output_Mac!$A:$A, Output_Mac!AA:AA, ""),
    _xlpm.MyAuditVal, _xlfn.XLOOKUP($A668, My_Audit!$A:$A, My_Audit!L:L, ""),
    _xlfn.TEXTJOIN(", ", TRUE, _xlpm.MyAuditVal, _xlpm.MacVal)
)</f>
        <v/>
      </c>
    </row>
    <row r="669" spans="1:23">
      <c r="A669" s="45" t="str">
        <f>_xlfn.TEXTJOIN("",TRUE,Input!$B$2,ROW(My_Audit!A668))</f>
        <v>CC668</v>
      </c>
      <c r="B669" s="45" t="str">
        <f>_xlfn.TEXTJOIN("-",TRUE,"ITD",Input!$A$2,A669)</f>
        <v>ITD-XXX-CC668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 cm="1">
        <f t="array" ref="D669">IFERROR(_xlfn.LET(
_xlpm.CSVVal,_xlfn.XLOOKUP($A669,CSV!$A:$A,CSV!C:C,""),
_xlpm.MacVal,_xlfn.XLOOKUP($A669,Output_Mac!$A:$A,Output_Mac!D:D,""),
_xlpm.MyAuditVal,_xlfn.XLOOKUP($A669,My_Audit!$A:$A,My_Audit!C:C,""),
_xlfn.IFS(_xlpm.MyAuditVal&lt;&gt;"",UPPER(_xlpm.MyAuditVal),_xlpm.MacVal&lt;&gt;"",_xlpm.MacVal,_xlpm.CSVVal&lt;&gt;"",_xlpm.CSVVal
)),"")</f>
        <v/>
      </c>
      <c r="E669" s="46" t="str" cm="1">
        <f t="array" ref="E669">IFERROR(_xlfn.LET(
_xlpm.CSVVal,_xlfn.XLOOKUP($A669,CSV!$A:$A,CSV!E:E,""),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_xlpm.CSVVal,_xlfn.XLOOKUP($A669,CSV!$A:$A,CSV!G:G,""),
_xlpm.MacVal,_xlfn.XLOOKUP($A669,Output_Mac!$A:$A,Output_Mac!G:G,""),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_xlfn.XLOOKUP(A669,Output_Mac!A:A,Output_Mac!H:H,"")</f>
        <v/>
      </c>
      <c r="I669" s="45" t="str" cm="1">
        <f t="array" ref="I669">IFERROR(_xlfn.LET(
_xlpm.CSVVal,_xlfn.XLOOKUP($A669,CSV!$A:$A,CSV!H:H,""),
_xlpm.MacVal,_xlfn.XLOOKUP($A669,Output_Mac!$A:$A,Output_Mac!I:I,""),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_xlpm.CSVVal,_xlfn.XLOOKUP($A669,CSV!$A:$A,CSV!J:J,""),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46" t="str" cm="1">
        <f t="array" ref="K669">IFERROR(_xlfn.LET(
_xlpm.CSVVal,_xlfn.XLOOKUP($A669,CSV!$A:$A,CSV!N:N,""),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_xlpm.CSVVal,_xlfn.XLOOKUP($A669,CSV!$A:$A,CSV!P:P,""),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CSV!AE:AE,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_xlpm.CSVVal,_xlfn.XLOOKUP($A669,CSV!$A:$A,CSV!AG:AG,""),
_xlpm.MacVal,_xlfn.XLOOKUP($A669,Output_Mac!$A:$A,Output_Mac!T:T,""),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6" t="str">
        <f>IF(LEFT(N669,4)="Pass","Nist SP 800-88",My_Audit!R669)&amp;""</f>
        <v/>
      </c>
      <c r="R669" s="45"/>
      <c r="S669" s="45"/>
      <c r="T669" s="46" t="str">
        <f>_xlfn.XLOOKUP(E669,Models!I:I,Models!J:J,"")</f>
        <v/>
      </c>
      <c r="U669" s="45"/>
      <c r="V669" s="45"/>
      <c r="W669" s="38" t="str">
        <f>_xlfn.LET(
    _xlpm.MacVal, _xlfn.XLOOKUP($A669, Output_Mac!$A:$A, Output_Mac!AA:AA, ""),
    _xlpm.MyAuditVal, _xlfn.XLOOKUP($A669, My_Audit!$A:$A, My_Audit!L:L, ""),
    _xlfn.TEXTJOIN(", ", TRUE, _xlpm.MyAuditVal, _xlpm.MacVal)
)</f>
        <v/>
      </c>
    </row>
    <row r="670" spans="1:23">
      <c r="A670" s="45" t="str">
        <f>_xlfn.TEXTJOIN("",TRUE,Input!$B$2,ROW(My_Audit!A669))</f>
        <v>CC669</v>
      </c>
      <c r="B670" s="45" t="str">
        <f>_xlfn.TEXTJOIN("-",TRUE,"ITD",Input!$A$2,A670)</f>
        <v>ITD-XXX-CC669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 cm="1">
        <f t="array" ref="D670">IFERROR(_xlfn.LET(
_xlpm.CSVVal,_xlfn.XLOOKUP($A670,CSV!$A:$A,CSV!C:C,""),
_xlpm.MacVal,_xlfn.XLOOKUP($A670,Output_Mac!$A:$A,Output_Mac!D:D,""),
_xlpm.MyAuditVal,_xlfn.XLOOKUP($A670,My_Audit!$A:$A,My_Audit!C:C,""),
_xlfn.IFS(_xlpm.MyAuditVal&lt;&gt;"",UPPER(_xlpm.MyAuditVal),_xlpm.MacVal&lt;&gt;"",_xlpm.MacVal,_xlpm.CSVVal&lt;&gt;"",_xlpm.CSVVal
)),"")</f>
        <v/>
      </c>
      <c r="E670" s="46" t="str" cm="1">
        <f t="array" ref="E670">IFERROR(_xlfn.LET(
_xlpm.CSVVal,_xlfn.XLOOKUP($A670,CSV!$A:$A,CSV!E:E,""),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_xlpm.CSVVal,_xlfn.XLOOKUP($A670,CSV!$A:$A,CSV!G:G,""),
_xlpm.MacVal,_xlfn.XLOOKUP($A670,Output_Mac!$A:$A,Output_Mac!G:G,""),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_xlfn.XLOOKUP(A670,Output_Mac!A:A,Output_Mac!H:H,"")</f>
        <v/>
      </c>
      <c r="I670" s="45" t="str" cm="1">
        <f t="array" ref="I670">IFERROR(_xlfn.LET(
_xlpm.CSVVal,_xlfn.XLOOKUP($A670,CSV!$A:$A,CSV!H:H,""),
_xlpm.MacVal,_xlfn.XLOOKUP($A670,Output_Mac!$A:$A,Output_Mac!I:I,""),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_xlpm.CSVVal,_xlfn.XLOOKUP($A670,CSV!$A:$A,CSV!J:J,""),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46" t="str" cm="1">
        <f t="array" ref="K670">IFERROR(_xlfn.LET(
_xlpm.CSVVal,_xlfn.XLOOKUP($A670,CSV!$A:$A,CSV!N:N,""),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_xlpm.CSVVal,_xlfn.XLOOKUP($A670,CSV!$A:$A,CSV!P:P,""),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CSV!AE:AE,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_xlpm.CSVVal,_xlfn.XLOOKUP($A670,CSV!$A:$A,CSV!AG:AG,""),
_xlpm.MacVal,_xlfn.XLOOKUP($A670,Output_Mac!$A:$A,Output_Mac!T:T,""),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6" t="str">
        <f>IF(LEFT(N670,4)="Pass","Nist SP 800-88",My_Audit!R670)&amp;""</f>
        <v/>
      </c>
      <c r="R670" s="45"/>
      <c r="S670" s="45"/>
      <c r="T670" s="46" t="str">
        <f>_xlfn.XLOOKUP(E670,Models!I:I,Models!J:J,"")</f>
        <v/>
      </c>
      <c r="U670" s="45"/>
      <c r="V670" s="45"/>
      <c r="W670" s="38" t="str">
        <f>_xlfn.LET(
    _xlpm.MacVal, _xlfn.XLOOKUP($A670, Output_Mac!$A:$A, Output_Mac!AA:AA, ""),
    _xlpm.MyAuditVal, _xlfn.XLOOKUP($A670, My_Audit!$A:$A, My_Audit!L:L, ""),
    _xlfn.TEXTJOIN(", ", TRUE, _xlpm.MyAuditVal, _xlpm.MacVal)
)</f>
        <v/>
      </c>
    </row>
    <row r="671" spans="1:23">
      <c r="A671" s="45" t="str">
        <f>_xlfn.TEXTJOIN("",TRUE,Input!$B$2,ROW(My_Audit!A670))</f>
        <v>CC670</v>
      </c>
      <c r="B671" s="45" t="str">
        <f>_xlfn.TEXTJOIN("-",TRUE,"ITD",Input!$A$2,A671)</f>
        <v>ITD-XXX-CC670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 cm="1">
        <f t="array" ref="D671">IFERROR(_xlfn.LET(
_xlpm.CSVVal,_xlfn.XLOOKUP($A671,CSV!$A:$A,CSV!C:C,""),
_xlpm.MacVal,_xlfn.XLOOKUP($A671,Output_Mac!$A:$A,Output_Mac!D:D,""),
_xlpm.MyAuditVal,_xlfn.XLOOKUP($A671,My_Audit!$A:$A,My_Audit!C:C,""),
_xlfn.IFS(_xlpm.MyAuditVal&lt;&gt;"",UPPER(_xlpm.MyAuditVal),_xlpm.MacVal&lt;&gt;"",_xlpm.MacVal,_xlpm.CSVVal&lt;&gt;"",_xlpm.CSVVal
)),"")</f>
        <v/>
      </c>
      <c r="E671" s="46" t="str" cm="1">
        <f t="array" ref="E671">IFERROR(_xlfn.LET(
_xlpm.CSVVal,_xlfn.XLOOKUP($A671,CSV!$A:$A,CSV!E:E,""),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_xlpm.CSVVal,_xlfn.XLOOKUP($A671,CSV!$A:$A,CSV!G:G,""),
_xlpm.MacVal,_xlfn.XLOOKUP($A671,Output_Mac!$A:$A,Output_Mac!G:G,""),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_xlfn.XLOOKUP(A671,Output_Mac!A:A,Output_Mac!H:H,"")</f>
        <v/>
      </c>
      <c r="I671" s="45" t="str" cm="1">
        <f t="array" ref="I671">IFERROR(_xlfn.LET(
_xlpm.CSVVal,_xlfn.XLOOKUP($A671,CSV!$A:$A,CSV!H:H,""),
_xlpm.MacVal,_xlfn.XLOOKUP($A671,Output_Mac!$A:$A,Output_Mac!I:I,""),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_xlpm.CSVVal,_xlfn.XLOOKUP($A671,CSV!$A:$A,CSV!J:J,""),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46" t="str" cm="1">
        <f t="array" ref="K671">IFERROR(_xlfn.LET(
_xlpm.CSVVal,_xlfn.XLOOKUP($A671,CSV!$A:$A,CSV!N:N,""),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_xlpm.CSVVal,_xlfn.XLOOKUP($A671,CSV!$A:$A,CSV!P:P,""),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CSV!AE:AE,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_xlpm.CSVVal,_xlfn.XLOOKUP($A671,CSV!$A:$A,CSV!AG:AG,""),
_xlpm.MacVal,_xlfn.XLOOKUP($A671,Output_Mac!$A:$A,Output_Mac!T:T,""),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6" t="str">
        <f>IF(LEFT(N671,4)="Pass","Nist SP 800-88",My_Audit!R671)&amp;""</f>
        <v/>
      </c>
      <c r="R671" s="45"/>
      <c r="S671" s="45"/>
      <c r="T671" s="46" t="str">
        <f>_xlfn.XLOOKUP(E671,Models!I:I,Models!J:J,"")</f>
        <v/>
      </c>
      <c r="U671" s="45"/>
      <c r="V671" s="45"/>
      <c r="W671" s="38" t="str">
        <f>_xlfn.LET(
    _xlpm.MacVal, _xlfn.XLOOKUP($A671, Output_Mac!$A:$A, Output_Mac!AA:AA, ""),
    _xlpm.MyAuditVal, _xlfn.XLOOKUP($A671, My_Audit!$A:$A, My_Audit!L:L, ""),
    _xlfn.TEXTJOIN(", ", TRUE, _xlpm.MyAuditVal, _xlpm.MacVal)
)</f>
        <v/>
      </c>
    </row>
    <row r="672" spans="1:23">
      <c r="A672" s="45" t="str">
        <f>_xlfn.TEXTJOIN("",TRUE,Input!$B$2,ROW(My_Audit!A671))</f>
        <v>CC671</v>
      </c>
      <c r="B672" s="45" t="str">
        <f>_xlfn.TEXTJOIN("-",TRUE,"ITD",Input!$A$2,A672)</f>
        <v>ITD-XXX-CC671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 cm="1">
        <f t="array" ref="D672">IFERROR(_xlfn.LET(
_xlpm.CSVVal,_xlfn.XLOOKUP($A672,CSV!$A:$A,CSV!C:C,""),
_xlpm.MacVal,_xlfn.XLOOKUP($A672,Output_Mac!$A:$A,Output_Mac!D:D,""),
_xlpm.MyAuditVal,_xlfn.XLOOKUP($A672,My_Audit!$A:$A,My_Audit!C:C,""),
_xlfn.IFS(_xlpm.MyAuditVal&lt;&gt;"",UPPER(_xlpm.MyAuditVal),_xlpm.MacVal&lt;&gt;"",_xlpm.MacVal,_xlpm.CSVVal&lt;&gt;"",_xlpm.CSVVal
)),"")</f>
        <v/>
      </c>
      <c r="E672" s="46" t="str" cm="1">
        <f t="array" ref="E672">IFERROR(_xlfn.LET(
_xlpm.CSVVal,_xlfn.XLOOKUP($A672,CSV!$A:$A,CSV!E:E,""),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_xlpm.CSVVal,_xlfn.XLOOKUP($A672,CSV!$A:$A,CSV!G:G,""),
_xlpm.MacVal,_xlfn.XLOOKUP($A672,Output_Mac!$A:$A,Output_Mac!G:G,""),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_xlfn.XLOOKUP(A672,Output_Mac!A:A,Output_Mac!H:H,"")</f>
        <v/>
      </c>
      <c r="I672" s="45" t="str" cm="1">
        <f t="array" ref="I672">IFERROR(_xlfn.LET(
_xlpm.CSVVal,_xlfn.XLOOKUP($A672,CSV!$A:$A,CSV!H:H,""),
_xlpm.MacVal,_xlfn.XLOOKUP($A672,Output_Mac!$A:$A,Output_Mac!I:I,""),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_xlpm.CSVVal,_xlfn.XLOOKUP($A672,CSV!$A:$A,CSV!J:J,""),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46" t="str" cm="1">
        <f t="array" ref="K672">IFERROR(_xlfn.LET(
_xlpm.CSVVal,_xlfn.XLOOKUP($A672,CSV!$A:$A,CSV!N:N,""),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_xlpm.CSVVal,_xlfn.XLOOKUP($A672,CSV!$A:$A,CSV!P:P,""),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CSV!AE:AE,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_xlpm.CSVVal,_xlfn.XLOOKUP($A672,CSV!$A:$A,CSV!AG:AG,""),
_xlpm.MacVal,_xlfn.XLOOKUP($A672,Output_Mac!$A:$A,Output_Mac!T:T,""),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6" t="str">
        <f>IF(LEFT(N672,4)="Pass","Nist SP 800-88",My_Audit!R672)&amp;""</f>
        <v/>
      </c>
      <c r="R672" s="45"/>
      <c r="S672" s="45"/>
      <c r="T672" s="46" t="str">
        <f>_xlfn.XLOOKUP(E672,Models!I:I,Models!J:J,"")</f>
        <v/>
      </c>
      <c r="U672" s="45"/>
      <c r="V672" s="45"/>
      <c r="W672" s="38" t="str">
        <f>_xlfn.LET(
    _xlpm.MacVal, _xlfn.XLOOKUP($A672, Output_Mac!$A:$A, Output_Mac!AA:AA, ""),
    _xlpm.MyAuditVal, _xlfn.XLOOKUP($A672, My_Audit!$A:$A, My_Audit!L:L, ""),
    _xlfn.TEXTJOIN(", ", TRUE, _xlpm.MyAuditVal, _xlpm.MacVal)
)</f>
        <v/>
      </c>
    </row>
    <row r="673" spans="1:23">
      <c r="A673" s="45" t="str">
        <f>_xlfn.TEXTJOIN("",TRUE,Input!$B$2,ROW(My_Audit!A672))</f>
        <v>CC672</v>
      </c>
      <c r="B673" s="45" t="str">
        <f>_xlfn.TEXTJOIN("-",TRUE,"ITD",Input!$A$2,A673)</f>
        <v>ITD-XXX-CC672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 cm="1">
        <f t="array" ref="D673">IFERROR(_xlfn.LET(
_xlpm.CSVVal,_xlfn.XLOOKUP($A673,CSV!$A:$A,CSV!C:C,""),
_xlpm.MacVal,_xlfn.XLOOKUP($A673,Output_Mac!$A:$A,Output_Mac!D:D,""),
_xlpm.MyAuditVal,_xlfn.XLOOKUP($A673,My_Audit!$A:$A,My_Audit!C:C,""),
_xlfn.IFS(_xlpm.MyAuditVal&lt;&gt;"",UPPER(_xlpm.MyAuditVal),_xlpm.MacVal&lt;&gt;"",_xlpm.MacVal,_xlpm.CSVVal&lt;&gt;"",_xlpm.CSVVal
)),"")</f>
        <v/>
      </c>
      <c r="E673" s="46" t="str" cm="1">
        <f t="array" ref="E673">IFERROR(_xlfn.LET(
_xlpm.CSVVal,_xlfn.XLOOKUP($A673,CSV!$A:$A,CSV!E:E,""),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_xlpm.CSVVal,_xlfn.XLOOKUP($A673,CSV!$A:$A,CSV!G:G,""),
_xlpm.MacVal,_xlfn.XLOOKUP($A673,Output_Mac!$A:$A,Output_Mac!G:G,""),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_xlfn.XLOOKUP(A673,Output_Mac!A:A,Output_Mac!H:H,"")</f>
        <v/>
      </c>
      <c r="I673" s="45" t="str" cm="1">
        <f t="array" ref="I673">IFERROR(_xlfn.LET(
_xlpm.CSVVal,_xlfn.XLOOKUP($A673,CSV!$A:$A,CSV!H:H,""),
_xlpm.MacVal,_xlfn.XLOOKUP($A673,Output_Mac!$A:$A,Output_Mac!I:I,""),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_xlpm.CSVVal,_xlfn.XLOOKUP($A673,CSV!$A:$A,CSV!J:J,""),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46" t="str" cm="1">
        <f t="array" ref="K673">IFERROR(_xlfn.LET(
_xlpm.CSVVal,_xlfn.XLOOKUP($A673,CSV!$A:$A,CSV!N:N,""),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_xlpm.CSVVal,_xlfn.XLOOKUP($A673,CSV!$A:$A,CSV!P:P,""),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CSV!AE:AE,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_xlpm.CSVVal,_xlfn.XLOOKUP($A673,CSV!$A:$A,CSV!AG:AG,""),
_xlpm.MacVal,_xlfn.XLOOKUP($A673,Output_Mac!$A:$A,Output_Mac!T:T,""),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6" t="str">
        <f>IF(LEFT(N673,4)="Pass","Nist SP 800-88",My_Audit!R673)&amp;""</f>
        <v/>
      </c>
      <c r="R673" s="45"/>
      <c r="S673" s="45"/>
      <c r="T673" s="46" t="str">
        <f>_xlfn.XLOOKUP(E673,Models!I:I,Models!J:J,"")</f>
        <v/>
      </c>
      <c r="U673" s="45"/>
      <c r="V673" s="45"/>
      <c r="W673" s="38" t="str">
        <f>_xlfn.LET(
    _xlpm.MacVal, _xlfn.XLOOKUP($A673, Output_Mac!$A:$A, Output_Mac!AA:AA, ""),
    _xlpm.MyAuditVal, _xlfn.XLOOKUP($A673, My_Audit!$A:$A, My_Audit!L:L, ""),
    _xlfn.TEXTJOIN(", ", TRUE, _xlpm.MyAuditVal, _xlpm.MacVal)
)</f>
        <v/>
      </c>
    </row>
    <row r="674" spans="1:23">
      <c r="A674" s="45" t="str">
        <f>_xlfn.TEXTJOIN("",TRUE,Input!$B$2,ROW(My_Audit!A673))</f>
        <v>CC673</v>
      </c>
      <c r="B674" s="45" t="str">
        <f>_xlfn.TEXTJOIN("-",TRUE,"ITD",Input!$A$2,A674)</f>
        <v>ITD-XXX-CC673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 cm="1">
        <f t="array" ref="D674">IFERROR(_xlfn.LET(
_xlpm.CSVVal,_xlfn.XLOOKUP($A674,CSV!$A:$A,CSV!C:C,""),
_xlpm.MacVal,_xlfn.XLOOKUP($A674,Output_Mac!$A:$A,Output_Mac!D:D,""),
_xlpm.MyAuditVal,_xlfn.XLOOKUP($A674,My_Audit!$A:$A,My_Audit!C:C,""),
_xlfn.IFS(_xlpm.MyAuditVal&lt;&gt;"",UPPER(_xlpm.MyAuditVal),_xlpm.MacVal&lt;&gt;"",_xlpm.MacVal,_xlpm.CSVVal&lt;&gt;"",_xlpm.CSVVal
)),"")</f>
        <v/>
      </c>
      <c r="E674" s="46" t="str" cm="1">
        <f t="array" ref="E674">IFERROR(_xlfn.LET(
_xlpm.CSVVal,_xlfn.XLOOKUP($A674,CSV!$A:$A,CSV!E:E,""),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_xlpm.CSVVal,_xlfn.XLOOKUP($A674,CSV!$A:$A,CSV!G:G,""),
_xlpm.MacVal,_xlfn.XLOOKUP($A674,Output_Mac!$A:$A,Output_Mac!G:G,""),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_xlfn.XLOOKUP(A674,Output_Mac!A:A,Output_Mac!H:H,"")</f>
        <v/>
      </c>
      <c r="I674" s="45" t="str" cm="1">
        <f t="array" ref="I674">IFERROR(_xlfn.LET(
_xlpm.CSVVal,_xlfn.XLOOKUP($A674,CSV!$A:$A,CSV!H:H,""),
_xlpm.MacVal,_xlfn.XLOOKUP($A674,Output_Mac!$A:$A,Output_Mac!I:I,""),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_xlpm.CSVVal,_xlfn.XLOOKUP($A674,CSV!$A:$A,CSV!J:J,""),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46" t="str" cm="1">
        <f t="array" ref="K674">IFERROR(_xlfn.LET(
_xlpm.CSVVal,_xlfn.XLOOKUP($A674,CSV!$A:$A,CSV!N:N,""),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_xlpm.CSVVal,_xlfn.XLOOKUP($A674,CSV!$A:$A,CSV!P:P,""),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CSV!AE:AE,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_xlpm.CSVVal,_xlfn.XLOOKUP($A674,CSV!$A:$A,CSV!AG:AG,""),
_xlpm.MacVal,_xlfn.XLOOKUP($A674,Output_Mac!$A:$A,Output_Mac!T:T,""),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6" t="str">
        <f>IF(LEFT(N674,4)="Pass","Nist SP 800-88",My_Audit!R674)&amp;""</f>
        <v/>
      </c>
      <c r="R674" s="45"/>
      <c r="S674" s="45"/>
      <c r="T674" s="46" t="str">
        <f>_xlfn.XLOOKUP(E674,Models!I:I,Models!J:J,"")</f>
        <v/>
      </c>
      <c r="U674" s="45"/>
      <c r="V674" s="45"/>
      <c r="W674" s="38" t="str">
        <f>_xlfn.LET(
    _xlpm.MacVal, _xlfn.XLOOKUP($A674, Output_Mac!$A:$A, Output_Mac!AA:AA, ""),
    _xlpm.MyAuditVal, _xlfn.XLOOKUP($A674, My_Audit!$A:$A, My_Audit!L:L, ""),
    _xlfn.TEXTJOIN(", ", TRUE, _xlpm.MyAuditVal, _xlpm.MacVal)
)</f>
        <v/>
      </c>
    </row>
    <row r="675" spans="1:23">
      <c r="A675" s="45" t="str">
        <f>_xlfn.TEXTJOIN("",TRUE,Input!$B$2,ROW(My_Audit!A674))</f>
        <v>CC674</v>
      </c>
      <c r="B675" s="45" t="str">
        <f>_xlfn.TEXTJOIN("-",TRUE,"ITD",Input!$A$2,A675)</f>
        <v>ITD-XXX-CC674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 cm="1">
        <f t="array" ref="D675">IFERROR(_xlfn.LET(
_xlpm.CSVVal,_xlfn.XLOOKUP($A675,CSV!$A:$A,CSV!C:C,""),
_xlpm.MacVal,_xlfn.XLOOKUP($A675,Output_Mac!$A:$A,Output_Mac!D:D,""),
_xlpm.MyAuditVal,_xlfn.XLOOKUP($A675,My_Audit!$A:$A,My_Audit!C:C,""),
_xlfn.IFS(_xlpm.MyAuditVal&lt;&gt;"",UPPER(_xlpm.MyAuditVal),_xlpm.MacVal&lt;&gt;"",_xlpm.MacVal,_xlpm.CSVVal&lt;&gt;"",_xlpm.CSVVal
)),"")</f>
        <v/>
      </c>
      <c r="E675" s="46" t="str" cm="1">
        <f t="array" ref="E675">IFERROR(_xlfn.LET(
_xlpm.CSVVal,_xlfn.XLOOKUP($A675,CSV!$A:$A,CSV!E:E,""),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_xlpm.CSVVal,_xlfn.XLOOKUP($A675,CSV!$A:$A,CSV!G:G,""),
_xlpm.MacVal,_xlfn.XLOOKUP($A675,Output_Mac!$A:$A,Output_Mac!G:G,""),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_xlfn.XLOOKUP(A675,Output_Mac!A:A,Output_Mac!H:H,"")</f>
        <v/>
      </c>
      <c r="I675" s="45" t="str" cm="1">
        <f t="array" ref="I675">IFERROR(_xlfn.LET(
_xlpm.CSVVal,_xlfn.XLOOKUP($A675,CSV!$A:$A,CSV!H:H,""),
_xlpm.MacVal,_xlfn.XLOOKUP($A675,Output_Mac!$A:$A,Output_Mac!I:I,""),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_xlpm.CSVVal,_xlfn.XLOOKUP($A675,CSV!$A:$A,CSV!J:J,""),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46" t="str" cm="1">
        <f t="array" ref="K675">IFERROR(_xlfn.LET(
_xlpm.CSVVal,_xlfn.XLOOKUP($A675,CSV!$A:$A,CSV!N:N,""),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_xlpm.CSVVal,_xlfn.XLOOKUP($A675,CSV!$A:$A,CSV!P:P,""),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CSV!AE:AE,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_xlpm.CSVVal,_xlfn.XLOOKUP($A675,CSV!$A:$A,CSV!AG:AG,""),
_xlpm.MacVal,_xlfn.XLOOKUP($A675,Output_Mac!$A:$A,Output_Mac!T:T,""),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6" t="str">
        <f>IF(LEFT(N675,4)="Pass","Nist SP 800-88",My_Audit!R675)&amp;""</f>
        <v/>
      </c>
      <c r="R675" s="45"/>
      <c r="S675" s="45"/>
      <c r="T675" s="46" t="str">
        <f>_xlfn.XLOOKUP(E675,Models!I:I,Models!J:J,"")</f>
        <v/>
      </c>
      <c r="U675" s="45"/>
      <c r="V675" s="45"/>
      <c r="W675" s="38" t="str">
        <f>_xlfn.LET(
    _xlpm.MacVal, _xlfn.XLOOKUP($A675, Output_Mac!$A:$A, Output_Mac!AA:AA, ""),
    _xlpm.MyAuditVal, _xlfn.XLOOKUP($A675, My_Audit!$A:$A, My_Audit!L:L, ""),
    _xlfn.TEXTJOIN(", ", TRUE, _xlpm.MyAuditVal, _xlpm.MacVal)
)</f>
        <v/>
      </c>
    </row>
    <row r="676" spans="1:23">
      <c r="A676" s="45" t="str">
        <f>_xlfn.TEXTJOIN("",TRUE,Input!$B$2,ROW(My_Audit!A675))</f>
        <v>CC675</v>
      </c>
      <c r="B676" s="45" t="str">
        <f>_xlfn.TEXTJOIN("-",TRUE,"ITD",Input!$A$2,A676)</f>
        <v>ITD-XXX-CC675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 cm="1">
        <f t="array" ref="D676">IFERROR(_xlfn.LET(
_xlpm.CSVVal,_xlfn.XLOOKUP($A676,CSV!$A:$A,CSV!C:C,""),
_xlpm.MacVal,_xlfn.XLOOKUP($A676,Output_Mac!$A:$A,Output_Mac!D:D,""),
_xlpm.MyAuditVal,_xlfn.XLOOKUP($A676,My_Audit!$A:$A,My_Audit!C:C,""),
_xlfn.IFS(_xlpm.MyAuditVal&lt;&gt;"",UPPER(_xlpm.MyAuditVal),_xlpm.MacVal&lt;&gt;"",_xlpm.MacVal,_xlpm.CSVVal&lt;&gt;"",_xlpm.CSVVal
)),"")</f>
        <v/>
      </c>
      <c r="E676" s="46" t="str" cm="1">
        <f t="array" ref="E676">IFERROR(_xlfn.LET(
_xlpm.CSVVal,_xlfn.XLOOKUP($A676,CSV!$A:$A,CSV!E:E,""),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_xlpm.CSVVal,_xlfn.XLOOKUP($A676,CSV!$A:$A,CSV!G:G,""),
_xlpm.MacVal,_xlfn.XLOOKUP($A676,Output_Mac!$A:$A,Output_Mac!G:G,""),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_xlfn.XLOOKUP(A676,Output_Mac!A:A,Output_Mac!H:H,"")</f>
        <v/>
      </c>
      <c r="I676" s="45" t="str" cm="1">
        <f t="array" ref="I676">IFERROR(_xlfn.LET(
_xlpm.CSVVal,_xlfn.XLOOKUP($A676,CSV!$A:$A,CSV!H:H,""),
_xlpm.MacVal,_xlfn.XLOOKUP($A676,Output_Mac!$A:$A,Output_Mac!I:I,""),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_xlpm.CSVVal,_xlfn.XLOOKUP($A676,CSV!$A:$A,CSV!J:J,""),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46" t="str" cm="1">
        <f t="array" ref="K676">IFERROR(_xlfn.LET(
_xlpm.CSVVal,_xlfn.XLOOKUP($A676,CSV!$A:$A,CSV!N:N,""),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_xlpm.CSVVal,_xlfn.XLOOKUP($A676,CSV!$A:$A,CSV!P:P,""),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CSV!AE:AE,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_xlpm.CSVVal,_xlfn.XLOOKUP($A676,CSV!$A:$A,CSV!AG:AG,""),
_xlpm.MacVal,_xlfn.XLOOKUP($A676,Output_Mac!$A:$A,Output_Mac!T:T,""),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6" t="str">
        <f>IF(LEFT(N676,4)="Pass","Nist SP 800-88",My_Audit!R676)&amp;""</f>
        <v/>
      </c>
      <c r="R676" s="45"/>
      <c r="S676" s="45"/>
      <c r="T676" s="46" t="str">
        <f>_xlfn.XLOOKUP(E676,Models!I:I,Models!J:J,"")</f>
        <v/>
      </c>
      <c r="U676" s="45"/>
      <c r="V676" s="45"/>
      <c r="W676" s="38" t="str">
        <f>_xlfn.LET(
    _xlpm.MacVal, _xlfn.XLOOKUP($A676, Output_Mac!$A:$A, Output_Mac!AA:AA, ""),
    _xlpm.MyAuditVal, _xlfn.XLOOKUP($A676, My_Audit!$A:$A, My_Audit!L:L, ""),
    _xlfn.TEXTJOIN(", ", TRUE, _xlpm.MyAuditVal, _xlpm.MacVal)
)</f>
        <v/>
      </c>
    </row>
    <row r="677" spans="1:23">
      <c r="A677" s="45" t="str">
        <f>_xlfn.TEXTJOIN("",TRUE,Input!$B$2,ROW(My_Audit!A676))</f>
        <v>CC676</v>
      </c>
      <c r="B677" s="45" t="str">
        <f>_xlfn.TEXTJOIN("-",TRUE,"ITD",Input!$A$2,A677)</f>
        <v>ITD-XXX-CC676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 cm="1">
        <f t="array" ref="D677">IFERROR(_xlfn.LET(
_xlpm.CSVVal,_xlfn.XLOOKUP($A677,CSV!$A:$A,CSV!C:C,""),
_xlpm.MacVal,_xlfn.XLOOKUP($A677,Output_Mac!$A:$A,Output_Mac!D:D,""),
_xlpm.MyAuditVal,_xlfn.XLOOKUP($A677,My_Audit!$A:$A,My_Audit!C:C,""),
_xlfn.IFS(_xlpm.MyAuditVal&lt;&gt;"",UPPER(_xlpm.MyAuditVal),_xlpm.MacVal&lt;&gt;"",_xlpm.MacVal,_xlpm.CSVVal&lt;&gt;"",_xlpm.CSVVal
)),"")</f>
        <v/>
      </c>
      <c r="E677" s="46" t="str" cm="1">
        <f t="array" ref="E677">IFERROR(_xlfn.LET(
_xlpm.CSVVal,_xlfn.XLOOKUP($A677,CSV!$A:$A,CSV!E:E,""),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_xlpm.CSVVal,_xlfn.XLOOKUP($A677,CSV!$A:$A,CSV!G:G,""),
_xlpm.MacVal,_xlfn.XLOOKUP($A677,Output_Mac!$A:$A,Output_Mac!G:G,""),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_xlfn.XLOOKUP(A677,Output_Mac!A:A,Output_Mac!H:H,"")</f>
        <v/>
      </c>
      <c r="I677" s="45" t="str" cm="1">
        <f t="array" ref="I677">IFERROR(_xlfn.LET(
_xlpm.CSVVal,_xlfn.XLOOKUP($A677,CSV!$A:$A,CSV!H:H,""),
_xlpm.MacVal,_xlfn.XLOOKUP($A677,Output_Mac!$A:$A,Output_Mac!I:I,""),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_xlpm.CSVVal,_xlfn.XLOOKUP($A677,CSV!$A:$A,CSV!J:J,""),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46" t="str" cm="1">
        <f t="array" ref="K677">IFERROR(_xlfn.LET(
_xlpm.CSVVal,_xlfn.XLOOKUP($A677,CSV!$A:$A,CSV!N:N,""),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_xlpm.CSVVal,_xlfn.XLOOKUP($A677,CSV!$A:$A,CSV!P:P,""),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CSV!AE:AE,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_xlpm.CSVVal,_xlfn.XLOOKUP($A677,CSV!$A:$A,CSV!AG:AG,""),
_xlpm.MacVal,_xlfn.XLOOKUP($A677,Output_Mac!$A:$A,Output_Mac!T:T,""),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6" t="str">
        <f>IF(LEFT(N677,4)="Pass","Nist SP 800-88",My_Audit!R677)&amp;""</f>
        <v/>
      </c>
      <c r="R677" s="45"/>
      <c r="S677" s="45"/>
      <c r="T677" s="46" t="str">
        <f>_xlfn.XLOOKUP(E677,Models!I:I,Models!J:J,"")</f>
        <v/>
      </c>
      <c r="U677" s="45"/>
      <c r="V677" s="45"/>
      <c r="W677" s="38" t="str">
        <f>_xlfn.LET(
    _xlpm.MacVal, _xlfn.XLOOKUP($A677, Output_Mac!$A:$A, Output_Mac!AA:AA, ""),
    _xlpm.MyAuditVal, _xlfn.XLOOKUP($A677, My_Audit!$A:$A, My_Audit!L:L, ""),
    _xlfn.TEXTJOIN(", ", TRUE, _xlpm.MyAuditVal, _xlpm.MacVal)
)</f>
        <v/>
      </c>
    </row>
    <row r="678" spans="1:23">
      <c r="A678" s="45" t="str">
        <f>_xlfn.TEXTJOIN("",TRUE,Input!$B$2,ROW(My_Audit!A677))</f>
        <v>CC677</v>
      </c>
      <c r="B678" s="45" t="str">
        <f>_xlfn.TEXTJOIN("-",TRUE,"ITD",Input!$A$2,A678)</f>
        <v>ITD-XXX-CC677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 cm="1">
        <f t="array" ref="D678">IFERROR(_xlfn.LET(
_xlpm.CSVVal,_xlfn.XLOOKUP($A678,CSV!$A:$A,CSV!C:C,""),
_xlpm.MacVal,_xlfn.XLOOKUP($A678,Output_Mac!$A:$A,Output_Mac!D:D,""),
_xlpm.MyAuditVal,_xlfn.XLOOKUP($A678,My_Audit!$A:$A,My_Audit!C:C,""),
_xlfn.IFS(_xlpm.MyAuditVal&lt;&gt;"",UPPER(_xlpm.MyAuditVal),_xlpm.MacVal&lt;&gt;"",_xlpm.MacVal,_xlpm.CSVVal&lt;&gt;"",_xlpm.CSVVal
)),"")</f>
        <v/>
      </c>
      <c r="E678" s="46" t="str" cm="1">
        <f t="array" ref="E678">IFERROR(_xlfn.LET(
_xlpm.CSVVal,_xlfn.XLOOKUP($A678,CSV!$A:$A,CSV!E:E,""),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_xlpm.CSVVal,_xlfn.XLOOKUP($A678,CSV!$A:$A,CSV!G:G,""),
_xlpm.MacVal,_xlfn.XLOOKUP($A678,Output_Mac!$A:$A,Output_Mac!G:G,""),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_xlfn.XLOOKUP(A678,Output_Mac!A:A,Output_Mac!H:H,"")</f>
        <v/>
      </c>
      <c r="I678" s="45" t="str" cm="1">
        <f t="array" ref="I678">IFERROR(_xlfn.LET(
_xlpm.CSVVal,_xlfn.XLOOKUP($A678,CSV!$A:$A,CSV!H:H,""),
_xlpm.MacVal,_xlfn.XLOOKUP($A678,Output_Mac!$A:$A,Output_Mac!I:I,""),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_xlpm.CSVVal,_xlfn.XLOOKUP($A678,CSV!$A:$A,CSV!J:J,""),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46" t="str" cm="1">
        <f t="array" ref="K678">IFERROR(_xlfn.LET(
_xlpm.CSVVal,_xlfn.XLOOKUP($A678,CSV!$A:$A,CSV!N:N,""),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_xlpm.CSVVal,_xlfn.XLOOKUP($A678,CSV!$A:$A,CSV!P:P,""),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CSV!AE:AE,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_xlpm.CSVVal,_xlfn.XLOOKUP($A678,CSV!$A:$A,CSV!AG:AG,""),
_xlpm.MacVal,_xlfn.XLOOKUP($A678,Output_Mac!$A:$A,Output_Mac!T:T,""),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6" t="str">
        <f>IF(LEFT(N678,4)="Pass","Nist SP 800-88",My_Audit!R678)&amp;""</f>
        <v/>
      </c>
      <c r="R678" s="45"/>
      <c r="S678" s="45"/>
      <c r="T678" s="46" t="str">
        <f>_xlfn.XLOOKUP(E678,Models!I:I,Models!J:J,"")</f>
        <v/>
      </c>
      <c r="U678" s="45"/>
      <c r="V678" s="45"/>
      <c r="W678" s="38" t="str">
        <f>_xlfn.LET(
    _xlpm.MacVal, _xlfn.XLOOKUP($A678, Output_Mac!$A:$A, Output_Mac!AA:AA, ""),
    _xlpm.MyAuditVal, _xlfn.XLOOKUP($A678, My_Audit!$A:$A, My_Audit!L:L, ""),
    _xlfn.TEXTJOIN(", ", TRUE, _xlpm.MyAuditVal, _xlpm.MacVal)
)</f>
        <v/>
      </c>
    </row>
    <row r="679" spans="1:23">
      <c r="A679" s="45" t="str">
        <f>_xlfn.TEXTJOIN("",TRUE,Input!$B$2,ROW(My_Audit!A678))</f>
        <v>CC678</v>
      </c>
      <c r="B679" s="45" t="str">
        <f>_xlfn.TEXTJOIN("-",TRUE,"ITD",Input!$A$2,A679)</f>
        <v>ITD-XXX-CC678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 cm="1">
        <f t="array" ref="D679">IFERROR(_xlfn.LET(
_xlpm.CSVVal,_xlfn.XLOOKUP($A679,CSV!$A:$A,CSV!C:C,""),
_xlpm.MacVal,_xlfn.XLOOKUP($A679,Output_Mac!$A:$A,Output_Mac!D:D,""),
_xlpm.MyAuditVal,_xlfn.XLOOKUP($A679,My_Audit!$A:$A,My_Audit!C:C,""),
_xlfn.IFS(_xlpm.MyAuditVal&lt;&gt;"",UPPER(_xlpm.MyAuditVal),_xlpm.MacVal&lt;&gt;"",_xlpm.MacVal,_xlpm.CSVVal&lt;&gt;"",_xlpm.CSVVal
)),"")</f>
        <v/>
      </c>
      <c r="E679" s="46" t="str" cm="1">
        <f t="array" ref="E679">IFERROR(_xlfn.LET(
_xlpm.CSVVal,_xlfn.XLOOKUP($A679,CSV!$A:$A,CSV!E:E,""),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_xlpm.CSVVal,_xlfn.XLOOKUP($A679,CSV!$A:$A,CSV!G:G,""),
_xlpm.MacVal,_xlfn.XLOOKUP($A679,Output_Mac!$A:$A,Output_Mac!G:G,""),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_xlfn.XLOOKUP(A679,Output_Mac!A:A,Output_Mac!H:H,"")</f>
        <v/>
      </c>
      <c r="I679" s="45" t="str" cm="1">
        <f t="array" ref="I679">IFERROR(_xlfn.LET(
_xlpm.CSVVal,_xlfn.XLOOKUP($A679,CSV!$A:$A,CSV!H:H,""),
_xlpm.MacVal,_xlfn.XLOOKUP($A679,Output_Mac!$A:$A,Output_Mac!I:I,""),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_xlpm.CSVVal,_xlfn.XLOOKUP($A679,CSV!$A:$A,CSV!J:J,""),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46" t="str" cm="1">
        <f t="array" ref="K679">IFERROR(_xlfn.LET(
_xlpm.CSVVal,_xlfn.XLOOKUP($A679,CSV!$A:$A,CSV!N:N,""),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_xlpm.CSVVal,_xlfn.XLOOKUP($A679,CSV!$A:$A,CSV!P:P,""),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CSV!AE:AE,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_xlpm.CSVVal,_xlfn.XLOOKUP($A679,CSV!$A:$A,CSV!AG:AG,""),
_xlpm.MacVal,_xlfn.XLOOKUP($A679,Output_Mac!$A:$A,Output_Mac!T:T,""),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6" t="str">
        <f>IF(LEFT(N679,4)="Pass","Nist SP 800-88",My_Audit!R679)&amp;""</f>
        <v/>
      </c>
      <c r="R679" s="45"/>
      <c r="S679" s="45"/>
      <c r="T679" s="46" t="str">
        <f>_xlfn.XLOOKUP(E679,Models!I:I,Models!J:J,"")</f>
        <v/>
      </c>
      <c r="U679" s="45"/>
      <c r="V679" s="45"/>
      <c r="W679" s="38" t="str">
        <f>_xlfn.LET(
    _xlpm.MacVal, _xlfn.XLOOKUP($A679, Output_Mac!$A:$A, Output_Mac!AA:AA, ""),
    _xlpm.MyAuditVal, _xlfn.XLOOKUP($A679, My_Audit!$A:$A, My_Audit!L:L, ""),
    _xlfn.TEXTJOIN(", ", TRUE, _xlpm.MyAuditVal, _xlpm.MacVal)
)</f>
        <v/>
      </c>
    </row>
    <row r="680" spans="1:23">
      <c r="A680" s="45" t="str">
        <f>_xlfn.TEXTJOIN("",TRUE,Input!$B$2,ROW(My_Audit!A679))</f>
        <v>CC679</v>
      </c>
      <c r="B680" s="45" t="str">
        <f>_xlfn.TEXTJOIN("-",TRUE,"ITD",Input!$A$2,A680)</f>
        <v>ITD-XXX-CC679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 cm="1">
        <f t="array" ref="D680">IFERROR(_xlfn.LET(
_xlpm.CSVVal,_xlfn.XLOOKUP($A680,CSV!$A:$A,CSV!C:C,""),
_xlpm.MacVal,_xlfn.XLOOKUP($A680,Output_Mac!$A:$A,Output_Mac!D:D,""),
_xlpm.MyAuditVal,_xlfn.XLOOKUP($A680,My_Audit!$A:$A,My_Audit!C:C,""),
_xlfn.IFS(_xlpm.MyAuditVal&lt;&gt;"",UPPER(_xlpm.MyAuditVal),_xlpm.MacVal&lt;&gt;"",_xlpm.MacVal,_xlpm.CSVVal&lt;&gt;"",_xlpm.CSVVal
)),"")</f>
        <v/>
      </c>
      <c r="E680" s="46" t="str" cm="1">
        <f t="array" ref="E680">IFERROR(_xlfn.LET(
_xlpm.CSVVal,_xlfn.XLOOKUP($A680,CSV!$A:$A,CSV!E:E,""),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_xlpm.CSVVal,_xlfn.XLOOKUP($A680,CSV!$A:$A,CSV!G:G,""),
_xlpm.MacVal,_xlfn.XLOOKUP($A680,Output_Mac!$A:$A,Output_Mac!G:G,""),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_xlfn.XLOOKUP(A680,Output_Mac!A:A,Output_Mac!H:H,"")</f>
        <v/>
      </c>
      <c r="I680" s="45" t="str" cm="1">
        <f t="array" ref="I680">IFERROR(_xlfn.LET(
_xlpm.CSVVal,_xlfn.XLOOKUP($A680,CSV!$A:$A,CSV!H:H,""),
_xlpm.MacVal,_xlfn.XLOOKUP($A680,Output_Mac!$A:$A,Output_Mac!I:I,""),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_xlpm.CSVVal,_xlfn.XLOOKUP($A680,CSV!$A:$A,CSV!J:J,""),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46" t="str" cm="1">
        <f t="array" ref="K680">IFERROR(_xlfn.LET(
_xlpm.CSVVal,_xlfn.XLOOKUP($A680,CSV!$A:$A,CSV!N:N,""),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_xlpm.CSVVal,_xlfn.XLOOKUP($A680,CSV!$A:$A,CSV!P:P,""),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CSV!AE:AE,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_xlpm.CSVVal,_xlfn.XLOOKUP($A680,CSV!$A:$A,CSV!AG:AG,""),
_xlpm.MacVal,_xlfn.XLOOKUP($A680,Output_Mac!$A:$A,Output_Mac!T:T,""),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6" t="str">
        <f>IF(LEFT(N680,4)="Pass","Nist SP 800-88",My_Audit!R680)&amp;""</f>
        <v/>
      </c>
      <c r="R680" s="45"/>
      <c r="S680" s="45"/>
      <c r="T680" s="46" t="str">
        <f>_xlfn.XLOOKUP(E680,Models!I:I,Models!J:J,"")</f>
        <v/>
      </c>
      <c r="U680" s="45"/>
      <c r="V680" s="45"/>
      <c r="W680" s="38" t="str">
        <f>_xlfn.LET(
    _xlpm.MacVal, _xlfn.XLOOKUP($A680, Output_Mac!$A:$A, Output_Mac!AA:AA, ""),
    _xlpm.MyAuditVal, _xlfn.XLOOKUP($A680, My_Audit!$A:$A, My_Audit!L:L, ""),
    _xlfn.TEXTJOIN(", ", TRUE, _xlpm.MyAuditVal, _xlpm.MacVal)
)</f>
        <v/>
      </c>
    </row>
    <row r="681" spans="1:23">
      <c r="A681" s="45" t="str">
        <f>_xlfn.TEXTJOIN("",TRUE,Input!$B$2,ROW(My_Audit!A680))</f>
        <v>CC680</v>
      </c>
      <c r="B681" s="45" t="str">
        <f>_xlfn.TEXTJOIN("-",TRUE,"ITD",Input!$A$2,A681)</f>
        <v>ITD-XXX-CC680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 cm="1">
        <f t="array" ref="D681">IFERROR(_xlfn.LET(
_xlpm.CSVVal,_xlfn.XLOOKUP($A681,CSV!$A:$A,CSV!C:C,""),
_xlpm.MacVal,_xlfn.XLOOKUP($A681,Output_Mac!$A:$A,Output_Mac!D:D,""),
_xlpm.MyAuditVal,_xlfn.XLOOKUP($A681,My_Audit!$A:$A,My_Audit!C:C,""),
_xlfn.IFS(_xlpm.MyAuditVal&lt;&gt;"",UPPER(_xlpm.MyAuditVal),_xlpm.MacVal&lt;&gt;"",_xlpm.MacVal,_xlpm.CSVVal&lt;&gt;"",_xlpm.CSVVal
)),"")</f>
        <v/>
      </c>
      <c r="E681" s="46" t="str" cm="1">
        <f t="array" ref="E681">IFERROR(_xlfn.LET(
_xlpm.CSVVal,_xlfn.XLOOKUP($A681,CSV!$A:$A,CSV!E:E,""),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_xlpm.CSVVal,_xlfn.XLOOKUP($A681,CSV!$A:$A,CSV!G:G,""),
_xlpm.MacVal,_xlfn.XLOOKUP($A681,Output_Mac!$A:$A,Output_Mac!G:G,""),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_xlfn.XLOOKUP(A681,Output_Mac!A:A,Output_Mac!H:H,"")</f>
        <v/>
      </c>
      <c r="I681" s="45" t="str" cm="1">
        <f t="array" ref="I681">IFERROR(_xlfn.LET(
_xlpm.CSVVal,_xlfn.XLOOKUP($A681,CSV!$A:$A,CSV!H:H,""),
_xlpm.MacVal,_xlfn.XLOOKUP($A681,Output_Mac!$A:$A,Output_Mac!I:I,""),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_xlpm.CSVVal,_xlfn.XLOOKUP($A681,CSV!$A:$A,CSV!J:J,""),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46" t="str" cm="1">
        <f t="array" ref="K681">IFERROR(_xlfn.LET(
_xlpm.CSVVal,_xlfn.XLOOKUP($A681,CSV!$A:$A,CSV!N:N,""),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_xlpm.CSVVal,_xlfn.XLOOKUP($A681,CSV!$A:$A,CSV!P:P,""),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CSV!AE:AE,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_xlpm.CSVVal,_xlfn.XLOOKUP($A681,CSV!$A:$A,CSV!AG:AG,""),
_xlpm.MacVal,_xlfn.XLOOKUP($A681,Output_Mac!$A:$A,Output_Mac!T:T,""),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6" t="str">
        <f>IF(LEFT(N681,4)="Pass","Nist SP 800-88",My_Audit!R681)&amp;""</f>
        <v/>
      </c>
      <c r="R681" s="45"/>
      <c r="S681" s="45"/>
      <c r="T681" s="46" t="str">
        <f>_xlfn.XLOOKUP(E681,Models!I:I,Models!J:J,"")</f>
        <v/>
      </c>
      <c r="U681" s="45"/>
      <c r="V681" s="45"/>
      <c r="W681" s="38" t="str">
        <f>_xlfn.LET(
    _xlpm.MacVal, _xlfn.XLOOKUP($A681, Output_Mac!$A:$A, Output_Mac!AA:AA, ""),
    _xlpm.MyAuditVal, _xlfn.XLOOKUP($A681, My_Audit!$A:$A, My_Audit!L:L, ""),
    _xlfn.TEXTJOIN(", ", TRUE, _xlpm.MyAuditVal, _xlpm.MacVal)
)</f>
        <v/>
      </c>
    </row>
    <row r="682" spans="1:23">
      <c r="A682" s="45" t="str">
        <f>_xlfn.TEXTJOIN("",TRUE,Input!$B$2,ROW(My_Audit!A681))</f>
        <v>CC681</v>
      </c>
      <c r="B682" s="45" t="str">
        <f>_xlfn.TEXTJOIN("-",TRUE,"ITD",Input!$A$2,A682)</f>
        <v>ITD-XXX-CC681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 cm="1">
        <f t="array" ref="D682">IFERROR(_xlfn.LET(
_xlpm.CSVVal,_xlfn.XLOOKUP($A682,CSV!$A:$A,CSV!C:C,""),
_xlpm.MacVal,_xlfn.XLOOKUP($A682,Output_Mac!$A:$A,Output_Mac!D:D,""),
_xlpm.MyAuditVal,_xlfn.XLOOKUP($A682,My_Audit!$A:$A,My_Audit!C:C,""),
_xlfn.IFS(_xlpm.MyAuditVal&lt;&gt;"",UPPER(_xlpm.MyAuditVal),_xlpm.MacVal&lt;&gt;"",_xlpm.MacVal,_xlpm.CSVVal&lt;&gt;"",_xlpm.CSVVal
)),"")</f>
        <v/>
      </c>
      <c r="E682" s="46" t="str" cm="1">
        <f t="array" ref="E682">IFERROR(_xlfn.LET(
_xlpm.CSVVal,_xlfn.XLOOKUP($A682,CSV!$A:$A,CSV!E:E,""),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_xlpm.CSVVal,_xlfn.XLOOKUP($A682,CSV!$A:$A,CSV!G:G,""),
_xlpm.MacVal,_xlfn.XLOOKUP($A682,Output_Mac!$A:$A,Output_Mac!G:G,""),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_xlfn.XLOOKUP(A682,Output_Mac!A:A,Output_Mac!H:H,"")</f>
        <v/>
      </c>
      <c r="I682" s="45" t="str" cm="1">
        <f t="array" ref="I682">IFERROR(_xlfn.LET(
_xlpm.CSVVal,_xlfn.XLOOKUP($A682,CSV!$A:$A,CSV!H:H,""),
_xlpm.MacVal,_xlfn.XLOOKUP($A682,Output_Mac!$A:$A,Output_Mac!I:I,""),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_xlpm.CSVVal,_xlfn.XLOOKUP($A682,CSV!$A:$A,CSV!J:J,""),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46" t="str" cm="1">
        <f t="array" ref="K682">IFERROR(_xlfn.LET(
_xlpm.CSVVal,_xlfn.XLOOKUP($A682,CSV!$A:$A,CSV!N:N,""),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_xlpm.CSVVal,_xlfn.XLOOKUP($A682,CSV!$A:$A,CSV!P:P,""),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CSV!AE:AE,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_xlpm.CSVVal,_xlfn.XLOOKUP($A682,CSV!$A:$A,CSV!AG:AG,""),
_xlpm.MacVal,_xlfn.XLOOKUP($A682,Output_Mac!$A:$A,Output_Mac!T:T,""),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6" t="str">
        <f>IF(LEFT(N682,4)="Pass","Nist SP 800-88",My_Audit!R682)&amp;""</f>
        <v/>
      </c>
      <c r="R682" s="45"/>
      <c r="S682" s="45"/>
      <c r="T682" s="46" t="str">
        <f>_xlfn.XLOOKUP(E682,Models!I:I,Models!J:J,"")</f>
        <v/>
      </c>
      <c r="U682" s="45"/>
      <c r="V682" s="45"/>
      <c r="W682" s="38" t="str">
        <f>_xlfn.LET(
    _xlpm.MacVal, _xlfn.XLOOKUP($A682, Output_Mac!$A:$A, Output_Mac!AA:AA, ""),
    _xlpm.MyAuditVal, _xlfn.XLOOKUP($A682, My_Audit!$A:$A, My_Audit!L:L, ""),
    _xlfn.TEXTJOIN(", ", TRUE, _xlpm.MyAuditVal, _xlpm.MacVal)
)</f>
        <v/>
      </c>
    </row>
    <row r="683" spans="1:23">
      <c r="A683" s="45" t="str">
        <f>_xlfn.TEXTJOIN("",TRUE,Input!$B$2,ROW(My_Audit!A682))</f>
        <v>CC682</v>
      </c>
      <c r="B683" s="45" t="str">
        <f>_xlfn.TEXTJOIN("-",TRUE,"ITD",Input!$A$2,A683)</f>
        <v>ITD-XXX-CC682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 cm="1">
        <f t="array" ref="D683">IFERROR(_xlfn.LET(
_xlpm.CSVVal,_xlfn.XLOOKUP($A683,CSV!$A:$A,CSV!C:C,""),
_xlpm.MacVal,_xlfn.XLOOKUP($A683,Output_Mac!$A:$A,Output_Mac!D:D,""),
_xlpm.MyAuditVal,_xlfn.XLOOKUP($A683,My_Audit!$A:$A,My_Audit!C:C,""),
_xlfn.IFS(_xlpm.MyAuditVal&lt;&gt;"",UPPER(_xlpm.MyAuditVal),_xlpm.MacVal&lt;&gt;"",_xlpm.MacVal,_xlpm.CSVVal&lt;&gt;"",_xlpm.CSVVal
)),"")</f>
        <v/>
      </c>
      <c r="E683" s="46" t="str" cm="1">
        <f t="array" ref="E683">IFERROR(_xlfn.LET(
_xlpm.CSVVal,_xlfn.XLOOKUP($A683,CSV!$A:$A,CSV!E:E,""),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_xlpm.CSVVal,_xlfn.XLOOKUP($A683,CSV!$A:$A,CSV!G:G,""),
_xlpm.MacVal,_xlfn.XLOOKUP($A683,Output_Mac!$A:$A,Output_Mac!G:G,""),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_xlfn.XLOOKUP(A683,Output_Mac!A:A,Output_Mac!H:H,"")</f>
        <v/>
      </c>
      <c r="I683" s="45" t="str" cm="1">
        <f t="array" ref="I683">IFERROR(_xlfn.LET(
_xlpm.CSVVal,_xlfn.XLOOKUP($A683,CSV!$A:$A,CSV!H:H,""),
_xlpm.MacVal,_xlfn.XLOOKUP($A683,Output_Mac!$A:$A,Output_Mac!I:I,""),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_xlpm.CSVVal,_xlfn.XLOOKUP($A683,CSV!$A:$A,CSV!J:J,""),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46" t="str" cm="1">
        <f t="array" ref="K683">IFERROR(_xlfn.LET(
_xlpm.CSVVal,_xlfn.XLOOKUP($A683,CSV!$A:$A,CSV!N:N,""),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_xlpm.CSVVal,_xlfn.XLOOKUP($A683,CSV!$A:$A,CSV!P:P,""),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CSV!AE:AE,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_xlpm.CSVVal,_xlfn.XLOOKUP($A683,CSV!$A:$A,CSV!AG:AG,""),
_xlpm.MacVal,_xlfn.XLOOKUP($A683,Output_Mac!$A:$A,Output_Mac!T:T,""),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6" t="str">
        <f>IF(LEFT(N683,4)="Pass","Nist SP 800-88",My_Audit!R683)&amp;""</f>
        <v/>
      </c>
      <c r="R683" s="45"/>
      <c r="S683" s="45"/>
      <c r="T683" s="46" t="str">
        <f>_xlfn.XLOOKUP(E683,Models!I:I,Models!J:J,"")</f>
        <v/>
      </c>
      <c r="U683" s="45"/>
      <c r="V683" s="45"/>
      <c r="W683" s="38" t="str">
        <f>_xlfn.LET(
    _xlpm.MacVal, _xlfn.XLOOKUP($A683, Output_Mac!$A:$A, Output_Mac!AA:AA, ""),
    _xlpm.MyAuditVal, _xlfn.XLOOKUP($A683, My_Audit!$A:$A, My_Audit!L:L, ""),
    _xlfn.TEXTJOIN(", ", TRUE, _xlpm.MyAuditVal, _xlpm.MacVal)
)</f>
        <v/>
      </c>
    </row>
    <row r="684" spans="1:23">
      <c r="A684" s="45" t="str">
        <f>_xlfn.TEXTJOIN("",TRUE,Input!$B$2,ROW(My_Audit!A683))</f>
        <v>CC683</v>
      </c>
      <c r="B684" s="45" t="str">
        <f>_xlfn.TEXTJOIN("-",TRUE,"ITD",Input!$A$2,A684)</f>
        <v>ITD-XXX-CC683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 cm="1">
        <f t="array" ref="D684">IFERROR(_xlfn.LET(
_xlpm.CSVVal,_xlfn.XLOOKUP($A684,CSV!$A:$A,CSV!C:C,""),
_xlpm.MacVal,_xlfn.XLOOKUP($A684,Output_Mac!$A:$A,Output_Mac!D:D,""),
_xlpm.MyAuditVal,_xlfn.XLOOKUP($A684,My_Audit!$A:$A,My_Audit!C:C,""),
_xlfn.IFS(_xlpm.MyAuditVal&lt;&gt;"",UPPER(_xlpm.MyAuditVal),_xlpm.MacVal&lt;&gt;"",_xlpm.MacVal,_xlpm.CSVVal&lt;&gt;"",_xlpm.CSVVal
)),"")</f>
        <v/>
      </c>
      <c r="E684" s="46" t="str" cm="1">
        <f t="array" ref="E684">IFERROR(_xlfn.LET(
_xlpm.CSVVal,_xlfn.XLOOKUP($A684,CSV!$A:$A,CSV!E:E,""),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_xlpm.CSVVal,_xlfn.XLOOKUP($A684,CSV!$A:$A,CSV!G:G,""),
_xlpm.MacVal,_xlfn.XLOOKUP($A684,Output_Mac!$A:$A,Output_Mac!G:G,""),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_xlfn.XLOOKUP(A684,Output_Mac!A:A,Output_Mac!H:H,"")</f>
        <v/>
      </c>
      <c r="I684" s="45" t="str" cm="1">
        <f t="array" ref="I684">IFERROR(_xlfn.LET(
_xlpm.CSVVal,_xlfn.XLOOKUP($A684,CSV!$A:$A,CSV!H:H,""),
_xlpm.MacVal,_xlfn.XLOOKUP($A684,Output_Mac!$A:$A,Output_Mac!I:I,""),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_xlpm.CSVVal,_xlfn.XLOOKUP($A684,CSV!$A:$A,CSV!J:J,""),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46" t="str" cm="1">
        <f t="array" ref="K684">IFERROR(_xlfn.LET(
_xlpm.CSVVal,_xlfn.XLOOKUP($A684,CSV!$A:$A,CSV!N:N,""),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_xlpm.CSVVal,_xlfn.XLOOKUP($A684,CSV!$A:$A,CSV!P:P,""),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CSV!AE:AE,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_xlpm.CSVVal,_xlfn.XLOOKUP($A684,CSV!$A:$A,CSV!AG:AG,""),
_xlpm.MacVal,_xlfn.XLOOKUP($A684,Output_Mac!$A:$A,Output_Mac!T:T,""),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6" t="str">
        <f>IF(LEFT(N684,4)="Pass","Nist SP 800-88",My_Audit!R684)&amp;""</f>
        <v/>
      </c>
      <c r="R684" s="45"/>
      <c r="S684" s="45"/>
      <c r="T684" s="46" t="str">
        <f>_xlfn.XLOOKUP(E684,Models!I:I,Models!J:J,"")</f>
        <v/>
      </c>
      <c r="U684" s="45"/>
      <c r="V684" s="45"/>
      <c r="W684" s="38" t="str">
        <f>_xlfn.LET(
    _xlpm.MacVal, _xlfn.XLOOKUP($A684, Output_Mac!$A:$A, Output_Mac!AA:AA, ""),
    _xlpm.MyAuditVal, _xlfn.XLOOKUP($A684, My_Audit!$A:$A, My_Audit!L:L, ""),
    _xlfn.TEXTJOIN(", ", TRUE, _xlpm.MyAuditVal, _xlpm.MacVal)
)</f>
        <v/>
      </c>
    </row>
    <row r="685" spans="1:23">
      <c r="A685" s="45" t="str">
        <f>_xlfn.TEXTJOIN("",TRUE,Input!$B$2,ROW(My_Audit!A684))</f>
        <v>CC684</v>
      </c>
      <c r="B685" s="45" t="str">
        <f>_xlfn.TEXTJOIN("-",TRUE,"ITD",Input!$A$2,A685)</f>
        <v>ITD-XXX-CC684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 cm="1">
        <f t="array" ref="D685">IFERROR(_xlfn.LET(
_xlpm.CSVVal,_xlfn.XLOOKUP($A685,CSV!$A:$A,CSV!C:C,""),
_xlpm.MacVal,_xlfn.XLOOKUP($A685,Output_Mac!$A:$A,Output_Mac!D:D,""),
_xlpm.MyAuditVal,_xlfn.XLOOKUP($A685,My_Audit!$A:$A,My_Audit!C:C,""),
_xlfn.IFS(_xlpm.MyAuditVal&lt;&gt;"",UPPER(_xlpm.MyAuditVal),_xlpm.MacVal&lt;&gt;"",_xlpm.MacVal,_xlpm.CSVVal&lt;&gt;"",_xlpm.CSVVal
)),"")</f>
        <v/>
      </c>
      <c r="E685" s="46" t="str" cm="1">
        <f t="array" ref="E685">IFERROR(_xlfn.LET(
_xlpm.CSVVal,_xlfn.XLOOKUP($A685,CSV!$A:$A,CSV!E:E,""),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_xlpm.CSVVal,_xlfn.XLOOKUP($A685,CSV!$A:$A,CSV!G:G,""),
_xlpm.MacVal,_xlfn.XLOOKUP($A685,Output_Mac!$A:$A,Output_Mac!G:G,""),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_xlfn.XLOOKUP(A685,Output_Mac!A:A,Output_Mac!H:H,"")</f>
        <v/>
      </c>
      <c r="I685" s="45" t="str" cm="1">
        <f t="array" ref="I685">IFERROR(_xlfn.LET(
_xlpm.CSVVal,_xlfn.XLOOKUP($A685,CSV!$A:$A,CSV!H:H,""),
_xlpm.MacVal,_xlfn.XLOOKUP($A685,Output_Mac!$A:$A,Output_Mac!I:I,""),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_xlpm.CSVVal,_xlfn.XLOOKUP($A685,CSV!$A:$A,CSV!J:J,""),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46" t="str" cm="1">
        <f t="array" ref="K685">IFERROR(_xlfn.LET(
_xlpm.CSVVal,_xlfn.XLOOKUP($A685,CSV!$A:$A,CSV!N:N,""),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_xlpm.CSVVal,_xlfn.XLOOKUP($A685,CSV!$A:$A,CSV!P:P,""),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CSV!AE:AE,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_xlpm.CSVVal,_xlfn.XLOOKUP($A685,CSV!$A:$A,CSV!AG:AG,""),
_xlpm.MacVal,_xlfn.XLOOKUP($A685,Output_Mac!$A:$A,Output_Mac!T:T,""),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6" t="str">
        <f>IF(LEFT(N685,4)="Pass","Nist SP 800-88",My_Audit!R685)&amp;""</f>
        <v/>
      </c>
      <c r="R685" s="45"/>
      <c r="S685" s="45"/>
      <c r="T685" s="46" t="str">
        <f>_xlfn.XLOOKUP(E685,Models!I:I,Models!J:J,"")</f>
        <v/>
      </c>
      <c r="U685" s="45"/>
      <c r="V685" s="45"/>
      <c r="W685" s="38" t="str">
        <f>_xlfn.LET(
    _xlpm.MacVal, _xlfn.XLOOKUP($A685, Output_Mac!$A:$A, Output_Mac!AA:AA, ""),
    _xlpm.MyAuditVal, _xlfn.XLOOKUP($A685, My_Audit!$A:$A, My_Audit!L:L, ""),
    _xlfn.TEXTJOIN(", ", TRUE, _xlpm.MyAuditVal, _xlpm.MacVal)
)</f>
        <v/>
      </c>
    </row>
    <row r="686" spans="1:23">
      <c r="A686" s="45" t="str">
        <f>_xlfn.TEXTJOIN("",TRUE,Input!$B$2,ROW(My_Audit!A685))</f>
        <v>CC685</v>
      </c>
      <c r="B686" s="45" t="str">
        <f>_xlfn.TEXTJOIN("-",TRUE,"ITD",Input!$A$2,A686)</f>
        <v>ITD-XXX-CC685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 cm="1">
        <f t="array" ref="D686">IFERROR(_xlfn.LET(
_xlpm.CSVVal,_xlfn.XLOOKUP($A686,CSV!$A:$A,CSV!C:C,""),
_xlpm.MacVal,_xlfn.XLOOKUP($A686,Output_Mac!$A:$A,Output_Mac!D:D,""),
_xlpm.MyAuditVal,_xlfn.XLOOKUP($A686,My_Audit!$A:$A,My_Audit!C:C,""),
_xlfn.IFS(_xlpm.MyAuditVal&lt;&gt;"",UPPER(_xlpm.MyAuditVal),_xlpm.MacVal&lt;&gt;"",_xlpm.MacVal,_xlpm.CSVVal&lt;&gt;"",_xlpm.CSVVal
)),"")</f>
        <v/>
      </c>
      <c r="E686" s="46" t="str" cm="1">
        <f t="array" ref="E686">IFERROR(_xlfn.LET(
_xlpm.CSVVal,_xlfn.XLOOKUP($A686,CSV!$A:$A,CSV!E:E,""),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_xlpm.CSVVal,_xlfn.XLOOKUP($A686,CSV!$A:$A,CSV!G:G,""),
_xlpm.MacVal,_xlfn.XLOOKUP($A686,Output_Mac!$A:$A,Output_Mac!G:G,""),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_xlfn.XLOOKUP(A686,Output_Mac!A:A,Output_Mac!H:H,"")</f>
        <v/>
      </c>
      <c r="I686" s="45" t="str" cm="1">
        <f t="array" ref="I686">IFERROR(_xlfn.LET(
_xlpm.CSVVal,_xlfn.XLOOKUP($A686,CSV!$A:$A,CSV!H:H,""),
_xlpm.MacVal,_xlfn.XLOOKUP($A686,Output_Mac!$A:$A,Output_Mac!I:I,""),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_xlpm.CSVVal,_xlfn.XLOOKUP($A686,CSV!$A:$A,CSV!J:J,""),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46" t="str" cm="1">
        <f t="array" ref="K686">IFERROR(_xlfn.LET(
_xlpm.CSVVal,_xlfn.XLOOKUP($A686,CSV!$A:$A,CSV!N:N,""),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_xlpm.CSVVal,_xlfn.XLOOKUP($A686,CSV!$A:$A,CSV!P:P,""),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CSV!AE:AE,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_xlpm.CSVVal,_xlfn.XLOOKUP($A686,CSV!$A:$A,CSV!AG:AG,""),
_xlpm.MacVal,_xlfn.XLOOKUP($A686,Output_Mac!$A:$A,Output_Mac!T:T,""),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6" t="str">
        <f>IF(LEFT(N686,4)="Pass","Nist SP 800-88",My_Audit!R686)&amp;""</f>
        <v/>
      </c>
      <c r="R686" s="45"/>
      <c r="S686" s="45"/>
      <c r="T686" s="46" t="str">
        <f>_xlfn.XLOOKUP(E686,Models!I:I,Models!J:J,"")</f>
        <v/>
      </c>
      <c r="U686" s="45"/>
      <c r="V686" s="45"/>
      <c r="W686" s="38" t="str">
        <f>_xlfn.LET(
    _xlpm.MacVal, _xlfn.XLOOKUP($A686, Output_Mac!$A:$A, Output_Mac!AA:AA, ""),
    _xlpm.MyAuditVal, _xlfn.XLOOKUP($A686, My_Audit!$A:$A, My_Audit!L:L, ""),
    _xlfn.TEXTJOIN(", ", TRUE, _xlpm.MyAuditVal, _xlpm.MacVal)
)</f>
        <v/>
      </c>
    </row>
    <row r="687" spans="1:23">
      <c r="A687" s="45" t="str">
        <f>_xlfn.TEXTJOIN("",TRUE,Input!$B$2,ROW(My_Audit!A686))</f>
        <v>CC686</v>
      </c>
      <c r="B687" s="45" t="str">
        <f>_xlfn.TEXTJOIN("-",TRUE,"ITD",Input!$A$2,A687)</f>
        <v>ITD-XXX-CC686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 cm="1">
        <f t="array" ref="D687">IFERROR(_xlfn.LET(
_xlpm.CSVVal,_xlfn.XLOOKUP($A687,CSV!$A:$A,CSV!C:C,""),
_xlpm.MacVal,_xlfn.XLOOKUP($A687,Output_Mac!$A:$A,Output_Mac!D:D,""),
_xlpm.MyAuditVal,_xlfn.XLOOKUP($A687,My_Audit!$A:$A,My_Audit!C:C,""),
_xlfn.IFS(_xlpm.MyAuditVal&lt;&gt;"",UPPER(_xlpm.MyAuditVal),_xlpm.MacVal&lt;&gt;"",_xlpm.MacVal,_xlpm.CSVVal&lt;&gt;"",_xlpm.CSVVal
)),"")</f>
        <v/>
      </c>
      <c r="E687" s="46" t="str" cm="1">
        <f t="array" ref="E687">IFERROR(_xlfn.LET(
_xlpm.CSVVal,_xlfn.XLOOKUP($A687,CSV!$A:$A,CSV!E:E,""),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_xlpm.CSVVal,_xlfn.XLOOKUP($A687,CSV!$A:$A,CSV!G:G,""),
_xlpm.MacVal,_xlfn.XLOOKUP($A687,Output_Mac!$A:$A,Output_Mac!G:G,""),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_xlfn.XLOOKUP(A687,Output_Mac!A:A,Output_Mac!H:H,"")</f>
        <v/>
      </c>
      <c r="I687" s="45" t="str" cm="1">
        <f t="array" ref="I687">IFERROR(_xlfn.LET(
_xlpm.CSVVal,_xlfn.XLOOKUP($A687,CSV!$A:$A,CSV!H:H,""),
_xlpm.MacVal,_xlfn.XLOOKUP($A687,Output_Mac!$A:$A,Output_Mac!I:I,""),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_xlpm.CSVVal,_xlfn.XLOOKUP($A687,CSV!$A:$A,CSV!J:J,""),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46" t="str" cm="1">
        <f t="array" ref="K687">IFERROR(_xlfn.LET(
_xlpm.CSVVal,_xlfn.XLOOKUP($A687,CSV!$A:$A,CSV!N:N,""),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_xlpm.CSVVal,_xlfn.XLOOKUP($A687,CSV!$A:$A,CSV!P:P,""),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CSV!AE:AE,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_xlpm.CSVVal,_xlfn.XLOOKUP($A687,CSV!$A:$A,CSV!AG:AG,""),
_xlpm.MacVal,_xlfn.XLOOKUP($A687,Output_Mac!$A:$A,Output_Mac!T:T,""),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6" t="str">
        <f>IF(LEFT(N687,4)="Pass","Nist SP 800-88",My_Audit!R687)&amp;""</f>
        <v/>
      </c>
      <c r="R687" s="45"/>
      <c r="S687" s="45"/>
      <c r="T687" s="46" t="str">
        <f>_xlfn.XLOOKUP(E687,Models!I:I,Models!J:J,"")</f>
        <v/>
      </c>
      <c r="U687" s="45"/>
      <c r="V687" s="45"/>
      <c r="W687" s="38" t="str">
        <f>_xlfn.LET(
    _xlpm.MacVal, _xlfn.XLOOKUP($A687, Output_Mac!$A:$A, Output_Mac!AA:AA, ""),
    _xlpm.MyAuditVal, _xlfn.XLOOKUP($A687, My_Audit!$A:$A, My_Audit!L:L, ""),
    _xlfn.TEXTJOIN(", ", TRUE, _xlpm.MyAuditVal, _xlpm.MacVal)
)</f>
        <v/>
      </c>
    </row>
    <row r="688" spans="1:23">
      <c r="A688" s="45" t="str">
        <f>_xlfn.TEXTJOIN("",TRUE,Input!$B$2,ROW(My_Audit!A687))</f>
        <v>CC687</v>
      </c>
      <c r="B688" s="45" t="str">
        <f>_xlfn.TEXTJOIN("-",TRUE,"ITD",Input!$A$2,A688)</f>
        <v>ITD-XXX-CC687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 cm="1">
        <f t="array" ref="D688">IFERROR(_xlfn.LET(
_xlpm.CSVVal,_xlfn.XLOOKUP($A688,CSV!$A:$A,CSV!C:C,""),
_xlpm.MacVal,_xlfn.XLOOKUP($A688,Output_Mac!$A:$A,Output_Mac!D:D,""),
_xlpm.MyAuditVal,_xlfn.XLOOKUP($A688,My_Audit!$A:$A,My_Audit!C:C,""),
_xlfn.IFS(_xlpm.MyAuditVal&lt;&gt;"",UPPER(_xlpm.MyAuditVal),_xlpm.MacVal&lt;&gt;"",_xlpm.MacVal,_xlpm.CSVVal&lt;&gt;"",_xlpm.CSVVal
)),"")</f>
        <v/>
      </c>
      <c r="E688" s="46" t="str" cm="1">
        <f t="array" ref="E688">IFERROR(_xlfn.LET(
_xlpm.CSVVal,_xlfn.XLOOKUP($A688,CSV!$A:$A,CSV!E:E,""),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_xlpm.CSVVal,_xlfn.XLOOKUP($A688,CSV!$A:$A,CSV!G:G,""),
_xlpm.MacVal,_xlfn.XLOOKUP($A688,Output_Mac!$A:$A,Output_Mac!G:G,""),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_xlfn.XLOOKUP(A688,Output_Mac!A:A,Output_Mac!H:H,"")</f>
        <v/>
      </c>
      <c r="I688" s="45" t="str" cm="1">
        <f t="array" ref="I688">IFERROR(_xlfn.LET(
_xlpm.CSVVal,_xlfn.XLOOKUP($A688,CSV!$A:$A,CSV!H:H,""),
_xlpm.MacVal,_xlfn.XLOOKUP($A688,Output_Mac!$A:$A,Output_Mac!I:I,""),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_xlpm.CSVVal,_xlfn.XLOOKUP($A688,CSV!$A:$A,CSV!J:J,""),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46" t="str" cm="1">
        <f t="array" ref="K688">IFERROR(_xlfn.LET(
_xlpm.CSVVal,_xlfn.XLOOKUP($A688,CSV!$A:$A,CSV!N:N,""),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_xlpm.CSVVal,_xlfn.XLOOKUP($A688,CSV!$A:$A,CSV!P:P,""),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CSV!AE:AE,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_xlpm.CSVVal,_xlfn.XLOOKUP($A688,CSV!$A:$A,CSV!AG:AG,""),
_xlpm.MacVal,_xlfn.XLOOKUP($A688,Output_Mac!$A:$A,Output_Mac!T:T,""),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6" t="str">
        <f>IF(LEFT(N688,4)="Pass","Nist SP 800-88",My_Audit!R688)&amp;""</f>
        <v/>
      </c>
      <c r="R688" s="45"/>
      <c r="S688" s="45"/>
      <c r="T688" s="46" t="str">
        <f>_xlfn.XLOOKUP(E688,Models!I:I,Models!J:J,"")</f>
        <v/>
      </c>
      <c r="U688" s="45"/>
      <c r="V688" s="45"/>
      <c r="W688" s="38" t="str">
        <f>_xlfn.LET(
    _xlpm.MacVal, _xlfn.XLOOKUP($A688, Output_Mac!$A:$A, Output_Mac!AA:AA, ""),
    _xlpm.MyAuditVal, _xlfn.XLOOKUP($A688, My_Audit!$A:$A, My_Audit!L:L, ""),
    _xlfn.TEXTJOIN(", ", TRUE, _xlpm.MyAuditVal, _xlpm.MacVal)
)</f>
        <v/>
      </c>
    </row>
    <row r="689" spans="1:23">
      <c r="A689" s="45" t="str">
        <f>_xlfn.TEXTJOIN("",TRUE,Input!$B$2,ROW(My_Audit!A688))</f>
        <v>CC688</v>
      </c>
      <c r="B689" s="45" t="str">
        <f>_xlfn.TEXTJOIN("-",TRUE,"ITD",Input!$A$2,A689)</f>
        <v>ITD-XXX-CC688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 cm="1">
        <f t="array" ref="D689">IFERROR(_xlfn.LET(
_xlpm.CSVVal,_xlfn.XLOOKUP($A689,CSV!$A:$A,CSV!C:C,""),
_xlpm.MacVal,_xlfn.XLOOKUP($A689,Output_Mac!$A:$A,Output_Mac!D:D,""),
_xlpm.MyAuditVal,_xlfn.XLOOKUP($A689,My_Audit!$A:$A,My_Audit!C:C,""),
_xlfn.IFS(_xlpm.MyAuditVal&lt;&gt;"",UPPER(_xlpm.MyAuditVal),_xlpm.MacVal&lt;&gt;"",_xlpm.MacVal,_xlpm.CSVVal&lt;&gt;"",_xlpm.CSVVal
)),"")</f>
        <v/>
      </c>
      <c r="E689" s="46" t="str" cm="1">
        <f t="array" ref="E689">IFERROR(_xlfn.LET(
_xlpm.CSVVal,_xlfn.XLOOKUP($A689,CSV!$A:$A,CSV!E:E,""),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_xlpm.CSVVal,_xlfn.XLOOKUP($A689,CSV!$A:$A,CSV!G:G,""),
_xlpm.MacVal,_xlfn.XLOOKUP($A689,Output_Mac!$A:$A,Output_Mac!G:G,""),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_xlfn.XLOOKUP(A689,Output_Mac!A:A,Output_Mac!H:H,"")</f>
        <v/>
      </c>
      <c r="I689" s="45" t="str" cm="1">
        <f t="array" ref="I689">IFERROR(_xlfn.LET(
_xlpm.CSVVal,_xlfn.XLOOKUP($A689,CSV!$A:$A,CSV!H:H,""),
_xlpm.MacVal,_xlfn.XLOOKUP($A689,Output_Mac!$A:$A,Output_Mac!I:I,""),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_xlpm.CSVVal,_xlfn.XLOOKUP($A689,CSV!$A:$A,CSV!J:J,""),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46" t="str" cm="1">
        <f t="array" ref="K689">IFERROR(_xlfn.LET(
_xlpm.CSVVal,_xlfn.XLOOKUP($A689,CSV!$A:$A,CSV!N:N,""),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_xlpm.CSVVal,_xlfn.XLOOKUP($A689,CSV!$A:$A,CSV!P:P,""),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CSV!AE:AE,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_xlpm.CSVVal,_xlfn.XLOOKUP($A689,CSV!$A:$A,CSV!AG:AG,""),
_xlpm.MacVal,_xlfn.XLOOKUP($A689,Output_Mac!$A:$A,Output_Mac!T:T,""),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6" t="str">
        <f>IF(LEFT(N689,4)="Pass","Nist SP 800-88",My_Audit!R689)&amp;""</f>
        <v/>
      </c>
      <c r="R689" s="45"/>
      <c r="S689" s="45"/>
      <c r="T689" s="46" t="str">
        <f>_xlfn.XLOOKUP(E689,Models!I:I,Models!J:J,"")</f>
        <v/>
      </c>
      <c r="U689" s="45"/>
      <c r="V689" s="45"/>
      <c r="W689" s="38" t="str">
        <f>_xlfn.LET(
    _xlpm.MacVal, _xlfn.XLOOKUP($A689, Output_Mac!$A:$A, Output_Mac!AA:AA, ""),
    _xlpm.MyAuditVal, _xlfn.XLOOKUP($A689, My_Audit!$A:$A, My_Audit!L:L, ""),
    _xlfn.TEXTJOIN(", ", TRUE, _xlpm.MyAuditVal, _xlpm.MacVal)
)</f>
        <v/>
      </c>
    </row>
    <row r="690" spans="1:23">
      <c r="A690" s="45" t="str">
        <f>_xlfn.TEXTJOIN("",TRUE,Input!$B$2,ROW(My_Audit!A689))</f>
        <v>CC689</v>
      </c>
      <c r="B690" s="45" t="str">
        <f>_xlfn.TEXTJOIN("-",TRUE,"ITD",Input!$A$2,A690)</f>
        <v>ITD-XXX-CC689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 cm="1">
        <f t="array" ref="D690">IFERROR(_xlfn.LET(
_xlpm.CSVVal,_xlfn.XLOOKUP($A690,CSV!$A:$A,CSV!C:C,""),
_xlpm.MacVal,_xlfn.XLOOKUP($A690,Output_Mac!$A:$A,Output_Mac!D:D,""),
_xlpm.MyAuditVal,_xlfn.XLOOKUP($A690,My_Audit!$A:$A,My_Audit!C:C,""),
_xlfn.IFS(_xlpm.MyAuditVal&lt;&gt;"",UPPER(_xlpm.MyAuditVal),_xlpm.MacVal&lt;&gt;"",_xlpm.MacVal,_xlpm.CSVVal&lt;&gt;"",_xlpm.CSVVal
)),"")</f>
        <v/>
      </c>
      <c r="E690" s="46" t="str" cm="1">
        <f t="array" ref="E690">IFERROR(_xlfn.LET(
_xlpm.CSVVal,_xlfn.XLOOKUP($A690,CSV!$A:$A,CSV!E:E,""),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_xlpm.CSVVal,_xlfn.XLOOKUP($A690,CSV!$A:$A,CSV!G:G,""),
_xlpm.MacVal,_xlfn.XLOOKUP($A690,Output_Mac!$A:$A,Output_Mac!G:G,""),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_xlfn.XLOOKUP(A690,Output_Mac!A:A,Output_Mac!H:H,"")</f>
        <v/>
      </c>
      <c r="I690" s="45" t="str" cm="1">
        <f t="array" ref="I690">IFERROR(_xlfn.LET(
_xlpm.CSVVal,_xlfn.XLOOKUP($A690,CSV!$A:$A,CSV!H:H,""),
_xlpm.MacVal,_xlfn.XLOOKUP($A690,Output_Mac!$A:$A,Output_Mac!I:I,""),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_xlpm.CSVVal,_xlfn.XLOOKUP($A690,CSV!$A:$A,CSV!J:J,""),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46" t="str" cm="1">
        <f t="array" ref="K690">IFERROR(_xlfn.LET(
_xlpm.CSVVal,_xlfn.XLOOKUP($A690,CSV!$A:$A,CSV!N:N,""),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_xlpm.CSVVal,_xlfn.XLOOKUP($A690,CSV!$A:$A,CSV!P:P,""),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CSV!AE:AE,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_xlpm.CSVVal,_xlfn.XLOOKUP($A690,CSV!$A:$A,CSV!AG:AG,""),
_xlpm.MacVal,_xlfn.XLOOKUP($A690,Output_Mac!$A:$A,Output_Mac!T:T,""),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6" t="str">
        <f>IF(LEFT(N690,4)="Pass","Nist SP 800-88",My_Audit!R690)&amp;""</f>
        <v/>
      </c>
      <c r="R690" s="45"/>
      <c r="S690" s="45"/>
      <c r="T690" s="46" t="str">
        <f>_xlfn.XLOOKUP(E690,Models!I:I,Models!J:J,"")</f>
        <v/>
      </c>
      <c r="U690" s="45"/>
      <c r="V690" s="45"/>
      <c r="W690" s="38" t="str">
        <f>_xlfn.LET(
    _xlpm.MacVal, _xlfn.XLOOKUP($A690, Output_Mac!$A:$A, Output_Mac!AA:AA, ""),
    _xlpm.MyAuditVal, _xlfn.XLOOKUP($A690, My_Audit!$A:$A, My_Audit!L:L, ""),
    _xlfn.TEXTJOIN(", ", TRUE, _xlpm.MyAuditVal, _xlpm.MacVal)
)</f>
        <v/>
      </c>
    </row>
    <row r="691" spans="1:23">
      <c r="A691" s="45" t="str">
        <f>_xlfn.TEXTJOIN("",TRUE,Input!$B$2,ROW(My_Audit!A690))</f>
        <v>CC690</v>
      </c>
      <c r="B691" s="45" t="str">
        <f>_xlfn.TEXTJOIN("-",TRUE,"ITD",Input!$A$2,A691)</f>
        <v>ITD-XXX-CC690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 cm="1">
        <f t="array" ref="D691">IFERROR(_xlfn.LET(
_xlpm.CSVVal,_xlfn.XLOOKUP($A691,CSV!$A:$A,CSV!C:C,""),
_xlpm.MacVal,_xlfn.XLOOKUP($A691,Output_Mac!$A:$A,Output_Mac!D:D,""),
_xlpm.MyAuditVal,_xlfn.XLOOKUP($A691,My_Audit!$A:$A,My_Audit!C:C,""),
_xlfn.IFS(_xlpm.MyAuditVal&lt;&gt;"",UPPER(_xlpm.MyAuditVal),_xlpm.MacVal&lt;&gt;"",_xlpm.MacVal,_xlpm.CSVVal&lt;&gt;"",_xlpm.CSVVal
)),"")</f>
        <v/>
      </c>
      <c r="E691" s="46" t="str" cm="1">
        <f t="array" ref="E691">IFERROR(_xlfn.LET(
_xlpm.CSVVal,_xlfn.XLOOKUP($A691,CSV!$A:$A,CSV!E:E,""),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_xlpm.CSVVal,_xlfn.XLOOKUP($A691,CSV!$A:$A,CSV!G:G,""),
_xlpm.MacVal,_xlfn.XLOOKUP($A691,Output_Mac!$A:$A,Output_Mac!G:G,""),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_xlfn.XLOOKUP(A691,Output_Mac!A:A,Output_Mac!H:H,"")</f>
        <v/>
      </c>
      <c r="I691" s="45" t="str" cm="1">
        <f t="array" ref="I691">IFERROR(_xlfn.LET(
_xlpm.CSVVal,_xlfn.XLOOKUP($A691,CSV!$A:$A,CSV!H:H,""),
_xlpm.MacVal,_xlfn.XLOOKUP($A691,Output_Mac!$A:$A,Output_Mac!I:I,""),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_xlpm.CSVVal,_xlfn.XLOOKUP($A691,CSV!$A:$A,CSV!J:J,""),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46" t="str" cm="1">
        <f t="array" ref="K691">IFERROR(_xlfn.LET(
_xlpm.CSVVal,_xlfn.XLOOKUP($A691,CSV!$A:$A,CSV!N:N,""),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_xlpm.CSVVal,_xlfn.XLOOKUP($A691,CSV!$A:$A,CSV!P:P,""),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CSV!AE:AE,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_xlpm.CSVVal,_xlfn.XLOOKUP($A691,CSV!$A:$A,CSV!AG:AG,""),
_xlpm.MacVal,_xlfn.XLOOKUP($A691,Output_Mac!$A:$A,Output_Mac!T:T,""),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6" t="str">
        <f>IF(LEFT(N691,4)="Pass","Nist SP 800-88",My_Audit!R691)&amp;""</f>
        <v/>
      </c>
      <c r="R691" s="45"/>
      <c r="S691" s="45"/>
      <c r="T691" s="46" t="str">
        <f>_xlfn.XLOOKUP(E691,Models!I:I,Models!J:J,"")</f>
        <v/>
      </c>
      <c r="U691" s="45"/>
      <c r="V691" s="45"/>
      <c r="W691" s="38" t="str">
        <f>_xlfn.LET(
    _xlpm.MacVal, _xlfn.XLOOKUP($A691, Output_Mac!$A:$A, Output_Mac!AA:AA, ""),
    _xlpm.MyAuditVal, _xlfn.XLOOKUP($A691, My_Audit!$A:$A, My_Audit!L:L, ""),
    _xlfn.TEXTJOIN(", ", TRUE, _xlpm.MyAuditVal, _xlpm.MacVal)
)</f>
        <v/>
      </c>
    </row>
    <row r="692" spans="1:23">
      <c r="A692" s="45" t="str">
        <f>_xlfn.TEXTJOIN("",TRUE,Input!$B$2,ROW(My_Audit!A691))</f>
        <v>CC691</v>
      </c>
      <c r="B692" s="45" t="str">
        <f>_xlfn.TEXTJOIN("-",TRUE,"ITD",Input!$A$2,A692)</f>
        <v>ITD-XXX-CC691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 cm="1">
        <f t="array" ref="D692">IFERROR(_xlfn.LET(
_xlpm.CSVVal,_xlfn.XLOOKUP($A692,CSV!$A:$A,CSV!C:C,""),
_xlpm.MacVal,_xlfn.XLOOKUP($A692,Output_Mac!$A:$A,Output_Mac!D:D,""),
_xlpm.MyAuditVal,_xlfn.XLOOKUP($A692,My_Audit!$A:$A,My_Audit!C:C,""),
_xlfn.IFS(_xlpm.MyAuditVal&lt;&gt;"",UPPER(_xlpm.MyAuditVal),_xlpm.MacVal&lt;&gt;"",_xlpm.MacVal,_xlpm.CSVVal&lt;&gt;"",_xlpm.CSVVal
)),"")</f>
        <v/>
      </c>
      <c r="E692" s="46" t="str" cm="1">
        <f t="array" ref="E692">IFERROR(_xlfn.LET(
_xlpm.CSVVal,_xlfn.XLOOKUP($A692,CSV!$A:$A,CSV!E:E,""),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_xlpm.CSVVal,_xlfn.XLOOKUP($A692,CSV!$A:$A,CSV!G:G,""),
_xlpm.MacVal,_xlfn.XLOOKUP($A692,Output_Mac!$A:$A,Output_Mac!G:G,""),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_xlfn.XLOOKUP(A692,Output_Mac!A:A,Output_Mac!H:H,"")</f>
        <v/>
      </c>
      <c r="I692" s="45" t="str" cm="1">
        <f t="array" ref="I692">IFERROR(_xlfn.LET(
_xlpm.CSVVal,_xlfn.XLOOKUP($A692,CSV!$A:$A,CSV!H:H,""),
_xlpm.MacVal,_xlfn.XLOOKUP($A692,Output_Mac!$A:$A,Output_Mac!I:I,""),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_xlpm.CSVVal,_xlfn.XLOOKUP($A692,CSV!$A:$A,CSV!J:J,""),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46" t="str" cm="1">
        <f t="array" ref="K692">IFERROR(_xlfn.LET(
_xlpm.CSVVal,_xlfn.XLOOKUP($A692,CSV!$A:$A,CSV!N:N,""),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_xlpm.CSVVal,_xlfn.XLOOKUP($A692,CSV!$A:$A,CSV!P:P,""),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CSV!AE:AE,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_xlpm.CSVVal,_xlfn.XLOOKUP($A692,CSV!$A:$A,CSV!AG:AG,""),
_xlpm.MacVal,_xlfn.XLOOKUP($A692,Output_Mac!$A:$A,Output_Mac!T:T,""),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6" t="str">
        <f>IF(LEFT(N692,4)="Pass","Nist SP 800-88",My_Audit!R692)&amp;""</f>
        <v/>
      </c>
      <c r="R692" s="45"/>
      <c r="S692" s="45"/>
      <c r="T692" s="46" t="str">
        <f>_xlfn.XLOOKUP(E692,Models!I:I,Models!J:J,"")</f>
        <v/>
      </c>
      <c r="U692" s="45"/>
      <c r="V692" s="45"/>
      <c r="W692" s="38" t="str">
        <f>_xlfn.LET(
    _xlpm.MacVal, _xlfn.XLOOKUP($A692, Output_Mac!$A:$A, Output_Mac!AA:AA, ""),
    _xlpm.MyAuditVal, _xlfn.XLOOKUP($A692, My_Audit!$A:$A, My_Audit!L:L, ""),
    _xlfn.TEXTJOIN(", ", TRUE, _xlpm.MyAuditVal, _xlpm.MacVal)
)</f>
        <v/>
      </c>
    </row>
    <row r="693" spans="1:23">
      <c r="A693" s="45" t="str">
        <f>_xlfn.TEXTJOIN("",TRUE,Input!$B$2,ROW(My_Audit!A692))</f>
        <v>CC692</v>
      </c>
      <c r="B693" s="45" t="str">
        <f>_xlfn.TEXTJOIN("-",TRUE,"ITD",Input!$A$2,A693)</f>
        <v>ITD-XXX-CC692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 cm="1">
        <f t="array" ref="D693">IFERROR(_xlfn.LET(
_xlpm.CSVVal,_xlfn.XLOOKUP($A693,CSV!$A:$A,CSV!C:C,""),
_xlpm.MacVal,_xlfn.XLOOKUP($A693,Output_Mac!$A:$A,Output_Mac!D:D,""),
_xlpm.MyAuditVal,_xlfn.XLOOKUP($A693,My_Audit!$A:$A,My_Audit!C:C,""),
_xlfn.IFS(_xlpm.MyAuditVal&lt;&gt;"",UPPER(_xlpm.MyAuditVal),_xlpm.MacVal&lt;&gt;"",_xlpm.MacVal,_xlpm.CSVVal&lt;&gt;"",_xlpm.CSVVal
)),"")</f>
        <v/>
      </c>
      <c r="E693" s="46" t="str" cm="1">
        <f t="array" ref="E693">IFERROR(_xlfn.LET(
_xlpm.CSVVal,_xlfn.XLOOKUP($A693,CSV!$A:$A,CSV!E:E,""),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_xlpm.CSVVal,_xlfn.XLOOKUP($A693,CSV!$A:$A,CSV!G:G,""),
_xlpm.MacVal,_xlfn.XLOOKUP($A693,Output_Mac!$A:$A,Output_Mac!G:G,""),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_xlfn.XLOOKUP(A693,Output_Mac!A:A,Output_Mac!H:H,"")</f>
        <v/>
      </c>
      <c r="I693" s="45" t="str" cm="1">
        <f t="array" ref="I693">IFERROR(_xlfn.LET(
_xlpm.CSVVal,_xlfn.XLOOKUP($A693,CSV!$A:$A,CSV!H:H,""),
_xlpm.MacVal,_xlfn.XLOOKUP($A693,Output_Mac!$A:$A,Output_Mac!I:I,""),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_xlpm.CSVVal,_xlfn.XLOOKUP($A693,CSV!$A:$A,CSV!J:J,""),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46" t="str" cm="1">
        <f t="array" ref="K693">IFERROR(_xlfn.LET(
_xlpm.CSVVal,_xlfn.XLOOKUP($A693,CSV!$A:$A,CSV!N:N,""),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_xlpm.CSVVal,_xlfn.XLOOKUP($A693,CSV!$A:$A,CSV!P:P,""),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CSV!AE:AE,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_xlpm.CSVVal,_xlfn.XLOOKUP($A693,CSV!$A:$A,CSV!AG:AG,""),
_xlpm.MacVal,_xlfn.XLOOKUP($A693,Output_Mac!$A:$A,Output_Mac!T:T,""),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6" t="str">
        <f>IF(LEFT(N693,4)="Pass","Nist SP 800-88",My_Audit!R693)&amp;""</f>
        <v/>
      </c>
      <c r="R693" s="45"/>
      <c r="S693" s="45"/>
      <c r="T693" s="46" t="str">
        <f>_xlfn.XLOOKUP(E693,Models!I:I,Models!J:J,"")</f>
        <v/>
      </c>
      <c r="U693" s="45"/>
      <c r="V693" s="45"/>
      <c r="W693" s="38" t="str">
        <f>_xlfn.LET(
    _xlpm.MacVal, _xlfn.XLOOKUP($A693, Output_Mac!$A:$A, Output_Mac!AA:AA, ""),
    _xlpm.MyAuditVal, _xlfn.XLOOKUP($A693, My_Audit!$A:$A, My_Audit!L:L, ""),
    _xlfn.TEXTJOIN(", ", TRUE, _xlpm.MyAuditVal, _xlpm.MacVal)
)</f>
        <v/>
      </c>
    </row>
    <row r="694" spans="1:23">
      <c r="A694" s="45" t="str">
        <f>_xlfn.TEXTJOIN("",TRUE,Input!$B$2,ROW(My_Audit!A693))</f>
        <v>CC693</v>
      </c>
      <c r="B694" s="45" t="str">
        <f>_xlfn.TEXTJOIN("-",TRUE,"ITD",Input!$A$2,A694)</f>
        <v>ITD-XXX-CC693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 cm="1">
        <f t="array" ref="D694">IFERROR(_xlfn.LET(
_xlpm.CSVVal,_xlfn.XLOOKUP($A694,CSV!$A:$A,CSV!C:C,""),
_xlpm.MacVal,_xlfn.XLOOKUP($A694,Output_Mac!$A:$A,Output_Mac!D:D,""),
_xlpm.MyAuditVal,_xlfn.XLOOKUP($A694,My_Audit!$A:$A,My_Audit!C:C,""),
_xlfn.IFS(_xlpm.MyAuditVal&lt;&gt;"",UPPER(_xlpm.MyAuditVal),_xlpm.MacVal&lt;&gt;"",_xlpm.MacVal,_xlpm.CSVVal&lt;&gt;"",_xlpm.CSVVal
)),"")</f>
        <v/>
      </c>
      <c r="E694" s="46" t="str" cm="1">
        <f t="array" ref="E694">IFERROR(_xlfn.LET(
_xlpm.CSVVal,_xlfn.XLOOKUP($A694,CSV!$A:$A,CSV!E:E,""),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_xlpm.CSVVal,_xlfn.XLOOKUP($A694,CSV!$A:$A,CSV!G:G,""),
_xlpm.MacVal,_xlfn.XLOOKUP($A694,Output_Mac!$A:$A,Output_Mac!G:G,""),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_xlfn.XLOOKUP(A694,Output_Mac!A:A,Output_Mac!H:H,"")</f>
        <v/>
      </c>
      <c r="I694" s="45" t="str" cm="1">
        <f t="array" ref="I694">IFERROR(_xlfn.LET(
_xlpm.CSVVal,_xlfn.XLOOKUP($A694,CSV!$A:$A,CSV!H:H,""),
_xlpm.MacVal,_xlfn.XLOOKUP($A694,Output_Mac!$A:$A,Output_Mac!I:I,""),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_xlpm.CSVVal,_xlfn.XLOOKUP($A694,CSV!$A:$A,CSV!J:J,""),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46" t="str" cm="1">
        <f t="array" ref="K694">IFERROR(_xlfn.LET(
_xlpm.CSVVal,_xlfn.XLOOKUP($A694,CSV!$A:$A,CSV!N:N,""),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_xlpm.CSVVal,_xlfn.XLOOKUP($A694,CSV!$A:$A,CSV!P:P,""),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CSV!AE:AE,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_xlpm.CSVVal,_xlfn.XLOOKUP($A694,CSV!$A:$A,CSV!AG:AG,""),
_xlpm.MacVal,_xlfn.XLOOKUP($A694,Output_Mac!$A:$A,Output_Mac!T:T,""),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6" t="str">
        <f>IF(LEFT(N694,4)="Pass","Nist SP 800-88",My_Audit!R694)&amp;""</f>
        <v/>
      </c>
      <c r="R694" s="45"/>
      <c r="S694" s="45"/>
      <c r="T694" s="46" t="str">
        <f>_xlfn.XLOOKUP(E694,Models!I:I,Models!J:J,"")</f>
        <v/>
      </c>
      <c r="U694" s="45"/>
      <c r="V694" s="45"/>
      <c r="W694" s="38" t="str">
        <f>_xlfn.LET(
    _xlpm.MacVal, _xlfn.XLOOKUP($A694, Output_Mac!$A:$A, Output_Mac!AA:AA, ""),
    _xlpm.MyAuditVal, _xlfn.XLOOKUP($A694, My_Audit!$A:$A, My_Audit!L:L, ""),
    _xlfn.TEXTJOIN(", ", TRUE, _xlpm.MyAuditVal, _xlpm.MacVal)
)</f>
        <v/>
      </c>
    </row>
    <row r="695" spans="1:23">
      <c r="A695" s="45" t="str">
        <f>_xlfn.TEXTJOIN("",TRUE,Input!$B$2,ROW(My_Audit!A694))</f>
        <v>CC694</v>
      </c>
      <c r="B695" s="45" t="str">
        <f>_xlfn.TEXTJOIN("-",TRUE,"ITD",Input!$A$2,A695)</f>
        <v>ITD-XXX-CC694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 cm="1">
        <f t="array" ref="D695">IFERROR(_xlfn.LET(
_xlpm.CSVVal,_xlfn.XLOOKUP($A695,CSV!$A:$A,CSV!C:C,""),
_xlpm.MacVal,_xlfn.XLOOKUP($A695,Output_Mac!$A:$A,Output_Mac!D:D,""),
_xlpm.MyAuditVal,_xlfn.XLOOKUP($A695,My_Audit!$A:$A,My_Audit!C:C,""),
_xlfn.IFS(_xlpm.MyAuditVal&lt;&gt;"",UPPER(_xlpm.MyAuditVal),_xlpm.MacVal&lt;&gt;"",_xlpm.MacVal,_xlpm.CSVVal&lt;&gt;"",_xlpm.CSVVal
)),"")</f>
        <v/>
      </c>
      <c r="E695" s="46" t="str" cm="1">
        <f t="array" ref="E695">IFERROR(_xlfn.LET(
_xlpm.CSVVal,_xlfn.XLOOKUP($A695,CSV!$A:$A,CSV!E:E,""),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_xlpm.CSVVal,_xlfn.XLOOKUP($A695,CSV!$A:$A,CSV!G:G,""),
_xlpm.MacVal,_xlfn.XLOOKUP($A695,Output_Mac!$A:$A,Output_Mac!G:G,""),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_xlfn.XLOOKUP(A695,Output_Mac!A:A,Output_Mac!H:H,"")</f>
        <v/>
      </c>
      <c r="I695" s="45" t="str" cm="1">
        <f t="array" ref="I695">IFERROR(_xlfn.LET(
_xlpm.CSVVal,_xlfn.XLOOKUP($A695,CSV!$A:$A,CSV!H:H,""),
_xlpm.MacVal,_xlfn.XLOOKUP($A695,Output_Mac!$A:$A,Output_Mac!I:I,""),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_xlpm.CSVVal,_xlfn.XLOOKUP($A695,CSV!$A:$A,CSV!J:J,""),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46" t="str" cm="1">
        <f t="array" ref="K695">IFERROR(_xlfn.LET(
_xlpm.CSVVal,_xlfn.XLOOKUP($A695,CSV!$A:$A,CSV!N:N,""),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_xlpm.CSVVal,_xlfn.XLOOKUP($A695,CSV!$A:$A,CSV!P:P,""),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CSV!AE:AE,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_xlpm.CSVVal,_xlfn.XLOOKUP($A695,CSV!$A:$A,CSV!AG:AG,""),
_xlpm.MacVal,_xlfn.XLOOKUP($A695,Output_Mac!$A:$A,Output_Mac!T:T,""),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6" t="str">
        <f>IF(LEFT(N695,4)="Pass","Nist SP 800-88",My_Audit!R695)&amp;""</f>
        <v/>
      </c>
      <c r="R695" s="45"/>
      <c r="S695" s="45"/>
      <c r="T695" s="46" t="str">
        <f>_xlfn.XLOOKUP(E695,Models!I:I,Models!J:J,"")</f>
        <v/>
      </c>
      <c r="U695" s="45"/>
      <c r="V695" s="45"/>
      <c r="W695" s="38" t="str">
        <f>_xlfn.LET(
    _xlpm.MacVal, _xlfn.XLOOKUP($A695, Output_Mac!$A:$A, Output_Mac!AA:AA, ""),
    _xlpm.MyAuditVal, _xlfn.XLOOKUP($A695, My_Audit!$A:$A, My_Audit!L:L, ""),
    _xlfn.TEXTJOIN(", ", TRUE, _xlpm.MyAuditVal, _xlpm.MacVal)
)</f>
        <v/>
      </c>
    </row>
    <row r="696" spans="1:23">
      <c r="A696" s="45" t="str">
        <f>_xlfn.TEXTJOIN("",TRUE,Input!$B$2,ROW(My_Audit!A695))</f>
        <v>CC695</v>
      </c>
      <c r="B696" s="45" t="str">
        <f>_xlfn.TEXTJOIN("-",TRUE,"ITD",Input!$A$2,A696)</f>
        <v>ITD-XXX-CC695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 cm="1">
        <f t="array" ref="D696">IFERROR(_xlfn.LET(
_xlpm.CSVVal,_xlfn.XLOOKUP($A696,CSV!$A:$A,CSV!C:C,""),
_xlpm.MacVal,_xlfn.XLOOKUP($A696,Output_Mac!$A:$A,Output_Mac!D:D,""),
_xlpm.MyAuditVal,_xlfn.XLOOKUP($A696,My_Audit!$A:$A,My_Audit!C:C,""),
_xlfn.IFS(_xlpm.MyAuditVal&lt;&gt;"",UPPER(_xlpm.MyAuditVal),_xlpm.MacVal&lt;&gt;"",_xlpm.MacVal,_xlpm.CSVVal&lt;&gt;"",_xlpm.CSVVal
)),"")</f>
        <v/>
      </c>
      <c r="E696" s="46" t="str" cm="1">
        <f t="array" ref="E696">IFERROR(_xlfn.LET(
_xlpm.CSVVal,_xlfn.XLOOKUP($A696,CSV!$A:$A,CSV!E:E,""),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_xlpm.CSVVal,_xlfn.XLOOKUP($A696,CSV!$A:$A,CSV!G:G,""),
_xlpm.MacVal,_xlfn.XLOOKUP($A696,Output_Mac!$A:$A,Output_Mac!G:G,""),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_xlfn.XLOOKUP(A696,Output_Mac!A:A,Output_Mac!H:H,"")</f>
        <v/>
      </c>
      <c r="I696" s="45" t="str" cm="1">
        <f t="array" ref="I696">IFERROR(_xlfn.LET(
_xlpm.CSVVal,_xlfn.XLOOKUP($A696,CSV!$A:$A,CSV!H:H,""),
_xlpm.MacVal,_xlfn.XLOOKUP($A696,Output_Mac!$A:$A,Output_Mac!I:I,""),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_xlpm.CSVVal,_xlfn.XLOOKUP($A696,CSV!$A:$A,CSV!J:J,""),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46" t="str" cm="1">
        <f t="array" ref="K696">IFERROR(_xlfn.LET(
_xlpm.CSVVal,_xlfn.XLOOKUP($A696,CSV!$A:$A,CSV!N:N,""),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_xlpm.CSVVal,_xlfn.XLOOKUP($A696,CSV!$A:$A,CSV!P:P,""),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CSV!AE:AE,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_xlpm.CSVVal,_xlfn.XLOOKUP($A696,CSV!$A:$A,CSV!AG:AG,""),
_xlpm.MacVal,_xlfn.XLOOKUP($A696,Output_Mac!$A:$A,Output_Mac!T:T,""),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6" t="str">
        <f>IF(LEFT(N696,4)="Pass","Nist SP 800-88",My_Audit!R696)&amp;""</f>
        <v/>
      </c>
      <c r="R696" s="45"/>
      <c r="S696" s="45"/>
      <c r="T696" s="46" t="str">
        <f>_xlfn.XLOOKUP(E696,Models!I:I,Models!J:J,"")</f>
        <v/>
      </c>
      <c r="U696" s="45"/>
      <c r="V696" s="45"/>
      <c r="W696" s="38" t="str">
        <f>_xlfn.LET(
    _xlpm.MacVal, _xlfn.XLOOKUP($A696, Output_Mac!$A:$A, Output_Mac!AA:AA, ""),
    _xlpm.MyAuditVal, _xlfn.XLOOKUP($A696, My_Audit!$A:$A, My_Audit!L:L, ""),
    _xlfn.TEXTJOIN(", ", TRUE, _xlpm.MyAuditVal, _xlpm.MacVal)
)</f>
        <v/>
      </c>
    </row>
    <row r="697" spans="1:23">
      <c r="A697" s="45" t="str">
        <f>_xlfn.TEXTJOIN("",TRUE,Input!$B$2,ROW(My_Audit!A696))</f>
        <v>CC696</v>
      </c>
      <c r="B697" s="45" t="str">
        <f>_xlfn.TEXTJOIN("-",TRUE,"ITD",Input!$A$2,A697)</f>
        <v>ITD-XXX-CC696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 cm="1">
        <f t="array" ref="D697">IFERROR(_xlfn.LET(
_xlpm.CSVVal,_xlfn.XLOOKUP($A697,CSV!$A:$A,CSV!C:C,""),
_xlpm.MacVal,_xlfn.XLOOKUP($A697,Output_Mac!$A:$A,Output_Mac!D:D,""),
_xlpm.MyAuditVal,_xlfn.XLOOKUP($A697,My_Audit!$A:$A,My_Audit!C:C,""),
_xlfn.IFS(_xlpm.MyAuditVal&lt;&gt;"",UPPER(_xlpm.MyAuditVal),_xlpm.MacVal&lt;&gt;"",_xlpm.MacVal,_xlpm.CSVVal&lt;&gt;"",_xlpm.CSVVal
)),"")</f>
        <v/>
      </c>
      <c r="E697" s="46" t="str" cm="1">
        <f t="array" ref="E697">IFERROR(_xlfn.LET(
_xlpm.CSVVal,_xlfn.XLOOKUP($A697,CSV!$A:$A,CSV!E:E,""),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_xlpm.CSVVal,_xlfn.XLOOKUP($A697,CSV!$A:$A,CSV!G:G,""),
_xlpm.MacVal,_xlfn.XLOOKUP($A697,Output_Mac!$A:$A,Output_Mac!G:G,""),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_xlfn.XLOOKUP(A697,Output_Mac!A:A,Output_Mac!H:H,"")</f>
        <v/>
      </c>
      <c r="I697" s="45" t="str" cm="1">
        <f t="array" ref="I697">IFERROR(_xlfn.LET(
_xlpm.CSVVal,_xlfn.XLOOKUP($A697,CSV!$A:$A,CSV!H:H,""),
_xlpm.MacVal,_xlfn.XLOOKUP($A697,Output_Mac!$A:$A,Output_Mac!I:I,""),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_xlpm.CSVVal,_xlfn.XLOOKUP($A697,CSV!$A:$A,CSV!J:J,""),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46" t="str" cm="1">
        <f t="array" ref="K697">IFERROR(_xlfn.LET(
_xlpm.CSVVal,_xlfn.XLOOKUP($A697,CSV!$A:$A,CSV!N:N,""),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_xlpm.CSVVal,_xlfn.XLOOKUP($A697,CSV!$A:$A,CSV!P:P,""),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CSV!AE:AE,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_xlpm.CSVVal,_xlfn.XLOOKUP($A697,CSV!$A:$A,CSV!AG:AG,""),
_xlpm.MacVal,_xlfn.XLOOKUP($A697,Output_Mac!$A:$A,Output_Mac!T:T,""),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6" t="str">
        <f>IF(LEFT(N697,4)="Pass","Nist SP 800-88",My_Audit!R697)&amp;""</f>
        <v/>
      </c>
      <c r="R697" s="45"/>
      <c r="S697" s="45"/>
      <c r="T697" s="46" t="str">
        <f>_xlfn.XLOOKUP(E697,Models!I:I,Models!J:J,"")</f>
        <v/>
      </c>
      <c r="U697" s="45"/>
      <c r="V697" s="45"/>
      <c r="W697" s="38" t="str">
        <f>_xlfn.LET(
    _xlpm.MacVal, _xlfn.XLOOKUP($A697, Output_Mac!$A:$A, Output_Mac!AA:AA, ""),
    _xlpm.MyAuditVal, _xlfn.XLOOKUP($A697, My_Audit!$A:$A, My_Audit!L:L, ""),
    _xlfn.TEXTJOIN(", ", TRUE, _xlpm.MyAuditVal, _xlpm.MacVal)
)</f>
        <v/>
      </c>
    </row>
    <row r="698" spans="1:23">
      <c r="A698" s="45" t="str">
        <f>_xlfn.TEXTJOIN("",TRUE,Input!$B$2,ROW(My_Audit!A697))</f>
        <v>CC697</v>
      </c>
      <c r="B698" s="45" t="str">
        <f>_xlfn.TEXTJOIN("-",TRUE,"ITD",Input!$A$2,A698)</f>
        <v>ITD-XXX-CC697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 cm="1">
        <f t="array" ref="D698">IFERROR(_xlfn.LET(
_xlpm.CSVVal,_xlfn.XLOOKUP($A698,CSV!$A:$A,CSV!C:C,""),
_xlpm.MacVal,_xlfn.XLOOKUP($A698,Output_Mac!$A:$A,Output_Mac!D:D,""),
_xlpm.MyAuditVal,_xlfn.XLOOKUP($A698,My_Audit!$A:$A,My_Audit!C:C,""),
_xlfn.IFS(_xlpm.MyAuditVal&lt;&gt;"",UPPER(_xlpm.MyAuditVal),_xlpm.MacVal&lt;&gt;"",_xlpm.MacVal,_xlpm.CSVVal&lt;&gt;"",_xlpm.CSVVal
)),"")</f>
        <v/>
      </c>
      <c r="E698" s="46" t="str" cm="1">
        <f t="array" ref="E698">IFERROR(_xlfn.LET(
_xlpm.CSVVal,_xlfn.XLOOKUP($A698,CSV!$A:$A,CSV!E:E,""),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_xlpm.CSVVal,_xlfn.XLOOKUP($A698,CSV!$A:$A,CSV!G:G,""),
_xlpm.MacVal,_xlfn.XLOOKUP($A698,Output_Mac!$A:$A,Output_Mac!G:G,""),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_xlfn.XLOOKUP(A698,Output_Mac!A:A,Output_Mac!H:H,"")</f>
        <v/>
      </c>
      <c r="I698" s="45" t="str" cm="1">
        <f t="array" ref="I698">IFERROR(_xlfn.LET(
_xlpm.CSVVal,_xlfn.XLOOKUP($A698,CSV!$A:$A,CSV!H:H,""),
_xlpm.MacVal,_xlfn.XLOOKUP($A698,Output_Mac!$A:$A,Output_Mac!I:I,""),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_xlpm.CSVVal,_xlfn.XLOOKUP($A698,CSV!$A:$A,CSV!J:J,""),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46" t="str" cm="1">
        <f t="array" ref="K698">IFERROR(_xlfn.LET(
_xlpm.CSVVal,_xlfn.XLOOKUP($A698,CSV!$A:$A,CSV!N:N,""),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_xlpm.CSVVal,_xlfn.XLOOKUP($A698,CSV!$A:$A,CSV!P:P,""),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CSV!AE:AE,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_xlpm.CSVVal,_xlfn.XLOOKUP($A698,CSV!$A:$A,CSV!AG:AG,""),
_xlpm.MacVal,_xlfn.XLOOKUP($A698,Output_Mac!$A:$A,Output_Mac!T:T,""),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6" t="str">
        <f>IF(LEFT(N698,4)="Pass","Nist SP 800-88",My_Audit!R698)&amp;""</f>
        <v/>
      </c>
      <c r="R698" s="45"/>
      <c r="S698" s="45"/>
      <c r="T698" s="46" t="str">
        <f>_xlfn.XLOOKUP(E698,Models!I:I,Models!J:J,"")</f>
        <v/>
      </c>
      <c r="U698" s="45"/>
      <c r="V698" s="45"/>
      <c r="W698" s="38" t="str">
        <f>_xlfn.LET(
    _xlpm.MacVal, _xlfn.XLOOKUP($A698, Output_Mac!$A:$A, Output_Mac!AA:AA, ""),
    _xlpm.MyAuditVal, _xlfn.XLOOKUP($A698, My_Audit!$A:$A, My_Audit!L:L, ""),
    _xlfn.TEXTJOIN(", ", TRUE, _xlpm.MyAuditVal, _xlpm.MacVal)
)</f>
        <v/>
      </c>
    </row>
    <row r="699" spans="1:23">
      <c r="A699" s="45" t="str">
        <f>_xlfn.TEXTJOIN("",TRUE,Input!$B$2,ROW(My_Audit!A698))</f>
        <v>CC698</v>
      </c>
      <c r="B699" s="45" t="str">
        <f>_xlfn.TEXTJOIN("-",TRUE,"ITD",Input!$A$2,A699)</f>
        <v>ITD-XXX-CC698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 cm="1">
        <f t="array" ref="D699">IFERROR(_xlfn.LET(
_xlpm.CSVVal,_xlfn.XLOOKUP($A699,CSV!$A:$A,CSV!C:C,""),
_xlpm.MacVal,_xlfn.XLOOKUP($A699,Output_Mac!$A:$A,Output_Mac!D:D,""),
_xlpm.MyAuditVal,_xlfn.XLOOKUP($A699,My_Audit!$A:$A,My_Audit!C:C,""),
_xlfn.IFS(_xlpm.MyAuditVal&lt;&gt;"",UPPER(_xlpm.MyAuditVal),_xlpm.MacVal&lt;&gt;"",_xlpm.MacVal,_xlpm.CSVVal&lt;&gt;"",_xlpm.CSVVal
)),"")</f>
        <v/>
      </c>
      <c r="E699" s="46" t="str" cm="1">
        <f t="array" ref="E699">IFERROR(_xlfn.LET(
_xlpm.CSVVal,_xlfn.XLOOKUP($A699,CSV!$A:$A,CSV!E:E,""),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_xlpm.CSVVal,_xlfn.XLOOKUP($A699,CSV!$A:$A,CSV!G:G,""),
_xlpm.MacVal,_xlfn.XLOOKUP($A699,Output_Mac!$A:$A,Output_Mac!G:G,""),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_xlfn.XLOOKUP(A699,Output_Mac!A:A,Output_Mac!H:H,"")</f>
        <v/>
      </c>
      <c r="I699" s="45" t="str" cm="1">
        <f t="array" ref="I699">IFERROR(_xlfn.LET(
_xlpm.CSVVal,_xlfn.XLOOKUP($A699,CSV!$A:$A,CSV!H:H,""),
_xlpm.MacVal,_xlfn.XLOOKUP($A699,Output_Mac!$A:$A,Output_Mac!I:I,""),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_xlpm.CSVVal,_xlfn.XLOOKUP($A699,CSV!$A:$A,CSV!J:J,""),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46" t="str" cm="1">
        <f t="array" ref="K699">IFERROR(_xlfn.LET(
_xlpm.CSVVal,_xlfn.XLOOKUP($A699,CSV!$A:$A,CSV!N:N,""),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_xlpm.CSVVal,_xlfn.XLOOKUP($A699,CSV!$A:$A,CSV!P:P,""),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CSV!AE:AE,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_xlpm.CSVVal,_xlfn.XLOOKUP($A699,CSV!$A:$A,CSV!AG:AG,""),
_xlpm.MacVal,_xlfn.XLOOKUP($A699,Output_Mac!$A:$A,Output_Mac!T:T,""),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6" t="str">
        <f>IF(LEFT(N699,4)="Pass","Nist SP 800-88",My_Audit!R699)&amp;""</f>
        <v/>
      </c>
      <c r="R699" s="45"/>
      <c r="S699" s="45"/>
      <c r="T699" s="46" t="str">
        <f>_xlfn.XLOOKUP(E699,Models!I:I,Models!J:J,"")</f>
        <v/>
      </c>
      <c r="U699" s="45"/>
      <c r="V699" s="45"/>
      <c r="W699" s="38" t="str">
        <f>_xlfn.LET(
    _xlpm.MacVal, _xlfn.XLOOKUP($A699, Output_Mac!$A:$A, Output_Mac!AA:AA, ""),
    _xlpm.MyAuditVal, _xlfn.XLOOKUP($A699, My_Audit!$A:$A, My_Audit!L:L, ""),
    _xlfn.TEXTJOIN(", ", TRUE, _xlpm.MyAuditVal, _xlpm.MacVal)
)</f>
        <v/>
      </c>
    </row>
    <row r="700" spans="1:23">
      <c r="A700" s="45" t="str">
        <f>_xlfn.TEXTJOIN("",TRUE,Input!$B$2,ROW(My_Audit!A699))</f>
        <v>CC699</v>
      </c>
      <c r="B700" s="45" t="str">
        <f>_xlfn.TEXTJOIN("-",TRUE,"ITD",Input!$A$2,A700)</f>
        <v>ITD-XXX-CC699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 cm="1">
        <f t="array" ref="D700">IFERROR(_xlfn.LET(
_xlpm.CSVVal,_xlfn.XLOOKUP($A700,CSV!$A:$A,CSV!C:C,""),
_xlpm.MacVal,_xlfn.XLOOKUP($A700,Output_Mac!$A:$A,Output_Mac!D:D,""),
_xlpm.MyAuditVal,_xlfn.XLOOKUP($A700,My_Audit!$A:$A,My_Audit!C:C,""),
_xlfn.IFS(_xlpm.MyAuditVal&lt;&gt;"",UPPER(_xlpm.MyAuditVal),_xlpm.MacVal&lt;&gt;"",_xlpm.MacVal,_xlpm.CSVVal&lt;&gt;"",_xlpm.CSVVal
)),"")</f>
        <v/>
      </c>
      <c r="E700" s="46" t="str" cm="1">
        <f t="array" ref="E700">IFERROR(_xlfn.LET(
_xlpm.CSVVal,_xlfn.XLOOKUP($A700,CSV!$A:$A,CSV!E:E,""),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_xlpm.CSVVal,_xlfn.XLOOKUP($A700,CSV!$A:$A,CSV!G:G,""),
_xlpm.MacVal,_xlfn.XLOOKUP($A700,Output_Mac!$A:$A,Output_Mac!G:G,""),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_xlfn.XLOOKUP(A700,Output_Mac!A:A,Output_Mac!H:H,"")</f>
        <v/>
      </c>
      <c r="I700" s="45" t="str" cm="1">
        <f t="array" ref="I700">IFERROR(_xlfn.LET(
_xlpm.CSVVal,_xlfn.XLOOKUP($A700,CSV!$A:$A,CSV!H:H,""),
_xlpm.MacVal,_xlfn.XLOOKUP($A700,Output_Mac!$A:$A,Output_Mac!I:I,""),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_xlpm.CSVVal,_xlfn.XLOOKUP($A700,CSV!$A:$A,CSV!J:J,""),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46" t="str" cm="1">
        <f t="array" ref="K700">IFERROR(_xlfn.LET(
_xlpm.CSVVal,_xlfn.XLOOKUP($A700,CSV!$A:$A,CSV!N:N,""),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_xlpm.CSVVal,_xlfn.XLOOKUP($A700,CSV!$A:$A,CSV!P:P,""),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CSV!AE:AE,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_xlpm.CSVVal,_xlfn.XLOOKUP($A700,CSV!$A:$A,CSV!AG:AG,""),
_xlpm.MacVal,_xlfn.XLOOKUP($A700,Output_Mac!$A:$A,Output_Mac!T:T,""),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6" t="str">
        <f>IF(LEFT(N700,4)="Pass","Nist SP 800-88",My_Audit!R700)&amp;""</f>
        <v/>
      </c>
      <c r="R700" s="45"/>
      <c r="S700" s="45"/>
      <c r="T700" s="46" t="str">
        <f>_xlfn.XLOOKUP(E700,Models!I:I,Models!J:J,"")</f>
        <v/>
      </c>
      <c r="U700" s="45"/>
      <c r="V700" s="45"/>
      <c r="W700" s="38" t="str">
        <f>_xlfn.LET(
    _xlpm.MacVal, _xlfn.XLOOKUP($A700, Output_Mac!$A:$A, Output_Mac!AA:AA, ""),
    _xlpm.MyAuditVal, _xlfn.XLOOKUP($A700, My_Audit!$A:$A, My_Audit!L:L, ""),
    _xlfn.TEXTJOIN(", ", TRUE, _xlpm.MyAuditVal, _xlpm.MacVal)
)</f>
        <v/>
      </c>
    </row>
    <row r="701" spans="1:23">
      <c r="A701" s="45" t="str">
        <f>_xlfn.TEXTJOIN("",TRUE,Input!$B$2,ROW(My_Audit!A700))</f>
        <v>CC700</v>
      </c>
      <c r="B701" s="45" t="str">
        <f>_xlfn.TEXTJOIN("-",TRUE,"ITD",Input!$A$2,A701)</f>
        <v>ITD-XXX-CC700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 cm="1">
        <f t="array" ref="D701">IFERROR(_xlfn.LET(
_xlpm.CSVVal,_xlfn.XLOOKUP($A701,CSV!$A:$A,CSV!C:C,""),
_xlpm.MacVal,_xlfn.XLOOKUP($A701,Output_Mac!$A:$A,Output_Mac!D:D,""),
_xlpm.MyAuditVal,_xlfn.XLOOKUP($A701,My_Audit!$A:$A,My_Audit!C:C,""),
_xlfn.IFS(_xlpm.MyAuditVal&lt;&gt;"",UPPER(_xlpm.MyAuditVal),_xlpm.MacVal&lt;&gt;"",_xlpm.MacVal,_xlpm.CSVVal&lt;&gt;"",_xlpm.CSVVal
)),"")</f>
        <v/>
      </c>
      <c r="E701" s="46" t="str" cm="1">
        <f t="array" ref="E701">IFERROR(_xlfn.LET(
_xlpm.CSVVal,_xlfn.XLOOKUP($A701,CSV!$A:$A,CSV!E:E,""),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_xlpm.CSVVal,_xlfn.XLOOKUP($A701,CSV!$A:$A,CSV!G:G,""),
_xlpm.MacVal,_xlfn.XLOOKUP($A701,Output_Mac!$A:$A,Output_Mac!G:G,""),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_xlfn.XLOOKUP(A701,Output_Mac!A:A,Output_Mac!H:H,"")</f>
        <v/>
      </c>
      <c r="I701" s="45" t="str" cm="1">
        <f t="array" ref="I701">IFERROR(_xlfn.LET(
_xlpm.CSVVal,_xlfn.XLOOKUP($A701,CSV!$A:$A,CSV!H:H,""),
_xlpm.MacVal,_xlfn.XLOOKUP($A701,Output_Mac!$A:$A,Output_Mac!I:I,""),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_xlpm.CSVVal,_xlfn.XLOOKUP($A701,CSV!$A:$A,CSV!J:J,""),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46" t="str" cm="1">
        <f t="array" ref="K701">IFERROR(_xlfn.LET(
_xlpm.CSVVal,_xlfn.XLOOKUP($A701,CSV!$A:$A,CSV!N:N,""),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_xlpm.CSVVal,_xlfn.XLOOKUP($A701,CSV!$A:$A,CSV!P:P,""),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CSV!AE:AE,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_xlpm.CSVVal,_xlfn.XLOOKUP($A701,CSV!$A:$A,CSV!AG:AG,""),
_xlpm.MacVal,_xlfn.XLOOKUP($A701,Output_Mac!$A:$A,Output_Mac!T:T,""),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6" t="str">
        <f>IF(LEFT(N701,4)="Pass","Nist SP 800-88",My_Audit!R701)&amp;""</f>
        <v/>
      </c>
      <c r="R701" s="45"/>
      <c r="S701" s="45"/>
      <c r="T701" s="46" t="str">
        <f>_xlfn.XLOOKUP(E701,Models!I:I,Models!J:J,"")</f>
        <v/>
      </c>
      <c r="U701" s="45"/>
      <c r="V701" s="45"/>
      <c r="W701" s="38" t="str">
        <f>_xlfn.LET(
    _xlpm.MacVal, _xlfn.XLOOKUP($A701, Output_Mac!$A:$A, Output_Mac!AA:AA, ""),
    _xlpm.MyAuditVal, _xlfn.XLOOKUP($A701, My_Audit!$A:$A, My_Audit!L:L, ""),
    _xlfn.TEXTJOIN(", ", TRUE, _xlpm.MyAuditVal, _xlpm.MacVal)
)</f>
        <v/>
      </c>
    </row>
    <row r="702" spans="1:23">
      <c r="A702" s="45" t="str">
        <f>_xlfn.TEXTJOIN("",TRUE,Input!$B$2,ROW(My_Audit!A701))</f>
        <v>CC701</v>
      </c>
      <c r="B702" s="45" t="str">
        <f>_xlfn.TEXTJOIN("-",TRUE,"ITD",Input!$A$2,A702)</f>
        <v>ITD-XXX-CC701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 cm="1">
        <f t="array" ref="D702">IFERROR(_xlfn.LET(
_xlpm.CSVVal,_xlfn.XLOOKUP($A702,CSV!$A:$A,CSV!C:C,""),
_xlpm.MacVal,_xlfn.XLOOKUP($A702,Output_Mac!$A:$A,Output_Mac!D:D,""),
_xlpm.MyAuditVal,_xlfn.XLOOKUP($A702,My_Audit!$A:$A,My_Audit!C:C,""),
_xlfn.IFS(_xlpm.MyAuditVal&lt;&gt;"",UPPER(_xlpm.MyAuditVal),_xlpm.MacVal&lt;&gt;"",_xlpm.MacVal,_xlpm.CSVVal&lt;&gt;"",_xlpm.CSVVal
)),"")</f>
        <v/>
      </c>
      <c r="E702" s="46" t="str" cm="1">
        <f t="array" ref="E702">IFERROR(_xlfn.LET(
_xlpm.CSVVal,_xlfn.XLOOKUP($A702,CSV!$A:$A,CSV!E:E,""),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_xlpm.CSVVal,_xlfn.XLOOKUP($A702,CSV!$A:$A,CSV!G:G,""),
_xlpm.MacVal,_xlfn.XLOOKUP($A702,Output_Mac!$A:$A,Output_Mac!G:G,""),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_xlfn.XLOOKUP(A702,Output_Mac!A:A,Output_Mac!H:H,"")</f>
        <v/>
      </c>
      <c r="I702" s="45" t="str" cm="1">
        <f t="array" ref="I702">IFERROR(_xlfn.LET(
_xlpm.CSVVal,_xlfn.XLOOKUP($A702,CSV!$A:$A,CSV!H:H,""),
_xlpm.MacVal,_xlfn.XLOOKUP($A702,Output_Mac!$A:$A,Output_Mac!I:I,""),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_xlpm.CSVVal,_xlfn.XLOOKUP($A702,CSV!$A:$A,CSV!J:J,""),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46" t="str" cm="1">
        <f t="array" ref="K702">IFERROR(_xlfn.LET(
_xlpm.CSVVal,_xlfn.XLOOKUP($A702,CSV!$A:$A,CSV!N:N,""),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_xlpm.CSVVal,_xlfn.XLOOKUP($A702,CSV!$A:$A,CSV!P:P,""),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CSV!AE:AE,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_xlpm.CSVVal,_xlfn.XLOOKUP($A702,CSV!$A:$A,CSV!AG:AG,""),
_xlpm.MacVal,_xlfn.XLOOKUP($A702,Output_Mac!$A:$A,Output_Mac!T:T,""),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6" t="str">
        <f>IF(LEFT(N702,4)="Pass","Nist SP 800-88",My_Audit!R702)&amp;""</f>
        <v/>
      </c>
      <c r="R702" s="45"/>
      <c r="S702" s="45"/>
      <c r="T702" s="46" t="str">
        <f>_xlfn.XLOOKUP(E702,Models!I:I,Models!J:J,"")</f>
        <v/>
      </c>
      <c r="U702" s="45"/>
      <c r="V702" s="45"/>
      <c r="W702" s="38" t="str">
        <f>_xlfn.LET(
    _xlpm.MacVal, _xlfn.XLOOKUP($A702, Output_Mac!$A:$A, Output_Mac!AA:AA, ""),
    _xlpm.MyAuditVal, _xlfn.XLOOKUP($A702, My_Audit!$A:$A, My_Audit!L:L, ""),
    _xlfn.TEXTJOIN(", ", TRUE, _xlpm.MyAuditVal, _xlpm.MacVal)
)</f>
        <v/>
      </c>
    </row>
    <row r="703" spans="1:23">
      <c r="A703" s="45" t="str">
        <f>_xlfn.TEXTJOIN("",TRUE,Input!$B$2,ROW(My_Audit!A702))</f>
        <v>CC702</v>
      </c>
      <c r="B703" s="45" t="str">
        <f>_xlfn.TEXTJOIN("-",TRUE,"ITD",Input!$A$2,A703)</f>
        <v>ITD-XXX-CC702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 cm="1">
        <f t="array" ref="D703">IFERROR(_xlfn.LET(
_xlpm.CSVVal,_xlfn.XLOOKUP($A703,CSV!$A:$A,CSV!C:C,""),
_xlpm.MacVal,_xlfn.XLOOKUP($A703,Output_Mac!$A:$A,Output_Mac!D:D,""),
_xlpm.MyAuditVal,_xlfn.XLOOKUP($A703,My_Audit!$A:$A,My_Audit!C:C,""),
_xlfn.IFS(_xlpm.MyAuditVal&lt;&gt;"",UPPER(_xlpm.MyAuditVal),_xlpm.MacVal&lt;&gt;"",_xlpm.MacVal,_xlpm.CSVVal&lt;&gt;"",_xlpm.CSVVal
)),"")</f>
        <v/>
      </c>
      <c r="E703" s="46" t="str" cm="1">
        <f t="array" ref="E703">IFERROR(_xlfn.LET(
_xlpm.CSVVal,_xlfn.XLOOKUP($A703,CSV!$A:$A,CSV!E:E,""),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_xlpm.CSVVal,_xlfn.XLOOKUP($A703,CSV!$A:$A,CSV!G:G,""),
_xlpm.MacVal,_xlfn.XLOOKUP($A703,Output_Mac!$A:$A,Output_Mac!G:G,""),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_xlfn.XLOOKUP(A703,Output_Mac!A:A,Output_Mac!H:H,"")</f>
        <v/>
      </c>
      <c r="I703" s="45" t="str" cm="1">
        <f t="array" ref="I703">IFERROR(_xlfn.LET(
_xlpm.CSVVal,_xlfn.XLOOKUP($A703,CSV!$A:$A,CSV!H:H,""),
_xlpm.MacVal,_xlfn.XLOOKUP($A703,Output_Mac!$A:$A,Output_Mac!I:I,""),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_xlpm.CSVVal,_xlfn.XLOOKUP($A703,CSV!$A:$A,CSV!J:J,""),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46" t="str" cm="1">
        <f t="array" ref="K703">IFERROR(_xlfn.LET(
_xlpm.CSVVal,_xlfn.XLOOKUP($A703,CSV!$A:$A,CSV!N:N,""),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_xlpm.CSVVal,_xlfn.XLOOKUP($A703,CSV!$A:$A,CSV!P:P,""),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CSV!AE:AE,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_xlpm.CSVVal,_xlfn.XLOOKUP($A703,CSV!$A:$A,CSV!AG:AG,""),
_xlpm.MacVal,_xlfn.XLOOKUP($A703,Output_Mac!$A:$A,Output_Mac!T:T,""),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6" t="str">
        <f>IF(LEFT(N703,4)="Pass","Nist SP 800-88",My_Audit!R703)&amp;""</f>
        <v/>
      </c>
      <c r="R703" s="45"/>
      <c r="S703" s="45"/>
      <c r="T703" s="46" t="str">
        <f>_xlfn.XLOOKUP(E703,Models!I:I,Models!J:J,"")</f>
        <v/>
      </c>
      <c r="U703" s="45"/>
      <c r="V703" s="45"/>
      <c r="W703" s="38" t="str">
        <f>_xlfn.LET(
    _xlpm.MacVal, _xlfn.XLOOKUP($A703, Output_Mac!$A:$A, Output_Mac!AA:AA, ""),
    _xlpm.MyAuditVal, _xlfn.XLOOKUP($A703, My_Audit!$A:$A, My_Audit!L:L, ""),
    _xlfn.TEXTJOIN(", ", TRUE, _xlpm.MyAuditVal, _xlpm.MacVal)
)</f>
        <v/>
      </c>
    </row>
    <row r="704" spans="1:23">
      <c r="A704" s="45" t="str">
        <f>_xlfn.TEXTJOIN("",TRUE,Input!$B$2,ROW(My_Audit!A703))</f>
        <v>CC703</v>
      </c>
      <c r="B704" s="45" t="str">
        <f>_xlfn.TEXTJOIN("-",TRUE,"ITD",Input!$A$2,A704)</f>
        <v>ITD-XXX-CC703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 cm="1">
        <f t="array" ref="D704">IFERROR(_xlfn.LET(
_xlpm.CSVVal,_xlfn.XLOOKUP($A704,CSV!$A:$A,CSV!C:C,""),
_xlpm.MacVal,_xlfn.XLOOKUP($A704,Output_Mac!$A:$A,Output_Mac!D:D,""),
_xlpm.MyAuditVal,_xlfn.XLOOKUP($A704,My_Audit!$A:$A,My_Audit!C:C,""),
_xlfn.IFS(_xlpm.MyAuditVal&lt;&gt;"",UPPER(_xlpm.MyAuditVal),_xlpm.MacVal&lt;&gt;"",_xlpm.MacVal,_xlpm.CSVVal&lt;&gt;"",_xlpm.CSVVal
)),"")</f>
        <v/>
      </c>
      <c r="E704" s="46" t="str" cm="1">
        <f t="array" ref="E704">IFERROR(_xlfn.LET(
_xlpm.CSVVal,_xlfn.XLOOKUP($A704,CSV!$A:$A,CSV!E:E,""),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_xlpm.CSVVal,_xlfn.XLOOKUP($A704,CSV!$A:$A,CSV!G:G,""),
_xlpm.MacVal,_xlfn.XLOOKUP($A704,Output_Mac!$A:$A,Output_Mac!G:G,""),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_xlfn.XLOOKUP(A704,Output_Mac!A:A,Output_Mac!H:H,"")</f>
        <v/>
      </c>
      <c r="I704" s="45" t="str" cm="1">
        <f t="array" ref="I704">IFERROR(_xlfn.LET(
_xlpm.CSVVal,_xlfn.XLOOKUP($A704,CSV!$A:$A,CSV!H:H,""),
_xlpm.MacVal,_xlfn.XLOOKUP($A704,Output_Mac!$A:$A,Output_Mac!I:I,""),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_xlpm.CSVVal,_xlfn.XLOOKUP($A704,CSV!$A:$A,CSV!J:J,""),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46" t="str" cm="1">
        <f t="array" ref="K704">IFERROR(_xlfn.LET(
_xlpm.CSVVal,_xlfn.XLOOKUP($A704,CSV!$A:$A,CSV!N:N,""),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_xlpm.CSVVal,_xlfn.XLOOKUP($A704,CSV!$A:$A,CSV!P:P,""),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CSV!AE:AE,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_xlpm.CSVVal,_xlfn.XLOOKUP($A704,CSV!$A:$A,CSV!AG:AG,""),
_xlpm.MacVal,_xlfn.XLOOKUP($A704,Output_Mac!$A:$A,Output_Mac!T:T,""),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6" t="str">
        <f>IF(LEFT(N704,4)="Pass","Nist SP 800-88",My_Audit!R704)&amp;""</f>
        <v/>
      </c>
      <c r="R704" s="45"/>
      <c r="S704" s="45"/>
      <c r="T704" s="46" t="str">
        <f>_xlfn.XLOOKUP(E704,Models!I:I,Models!J:J,"")</f>
        <v/>
      </c>
      <c r="U704" s="45"/>
      <c r="V704" s="45"/>
      <c r="W704" s="38" t="str">
        <f>_xlfn.LET(
    _xlpm.MacVal, _xlfn.XLOOKUP($A704, Output_Mac!$A:$A, Output_Mac!AA:AA, ""),
    _xlpm.MyAuditVal, _xlfn.XLOOKUP($A704, My_Audit!$A:$A, My_Audit!L:L, ""),
    _xlfn.TEXTJOIN(", ", TRUE, _xlpm.MyAuditVal, _xlpm.MacVal)
)</f>
        <v/>
      </c>
    </row>
    <row r="705" spans="1:23">
      <c r="A705" s="45" t="str">
        <f>_xlfn.TEXTJOIN("",TRUE,Input!$B$2,ROW(My_Audit!A704))</f>
        <v>CC704</v>
      </c>
      <c r="B705" s="45" t="str">
        <f>_xlfn.TEXTJOIN("-",TRUE,"ITD",Input!$A$2,A705)</f>
        <v>ITD-XXX-CC704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 cm="1">
        <f t="array" ref="D705">IFERROR(_xlfn.LET(
_xlpm.CSVVal,_xlfn.XLOOKUP($A705,CSV!$A:$A,CSV!C:C,""),
_xlpm.MacVal,_xlfn.XLOOKUP($A705,Output_Mac!$A:$A,Output_Mac!D:D,""),
_xlpm.MyAuditVal,_xlfn.XLOOKUP($A705,My_Audit!$A:$A,My_Audit!C:C,""),
_xlfn.IFS(_xlpm.MyAuditVal&lt;&gt;"",UPPER(_xlpm.MyAuditVal),_xlpm.MacVal&lt;&gt;"",_xlpm.MacVal,_xlpm.CSVVal&lt;&gt;"",_xlpm.CSVVal
)),"")</f>
        <v/>
      </c>
      <c r="E705" s="46" t="str" cm="1">
        <f t="array" ref="E705">IFERROR(_xlfn.LET(
_xlpm.CSVVal,_xlfn.XLOOKUP($A705,CSV!$A:$A,CSV!E:E,""),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_xlpm.CSVVal,_xlfn.XLOOKUP($A705,CSV!$A:$A,CSV!G:G,""),
_xlpm.MacVal,_xlfn.XLOOKUP($A705,Output_Mac!$A:$A,Output_Mac!G:G,""),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_xlfn.XLOOKUP(A705,Output_Mac!A:A,Output_Mac!H:H,"")</f>
        <v/>
      </c>
      <c r="I705" s="45" t="str" cm="1">
        <f t="array" ref="I705">IFERROR(_xlfn.LET(
_xlpm.CSVVal,_xlfn.XLOOKUP($A705,CSV!$A:$A,CSV!H:H,""),
_xlpm.MacVal,_xlfn.XLOOKUP($A705,Output_Mac!$A:$A,Output_Mac!I:I,""),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_xlpm.CSVVal,_xlfn.XLOOKUP($A705,CSV!$A:$A,CSV!J:J,""),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46" t="str" cm="1">
        <f t="array" ref="K705">IFERROR(_xlfn.LET(
_xlpm.CSVVal,_xlfn.XLOOKUP($A705,CSV!$A:$A,CSV!N:N,""),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_xlpm.CSVVal,_xlfn.XLOOKUP($A705,CSV!$A:$A,CSV!P:P,""),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CSV!AE:AE,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_xlpm.CSVVal,_xlfn.XLOOKUP($A705,CSV!$A:$A,CSV!AG:AG,""),
_xlpm.MacVal,_xlfn.XLOOKUP($A705,Output_Mac!$A:$A,Output_Mac!T:T,""),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6" t="str">
        <f>IF(LEFT(N705,4)="Pass","Nist SP 800-88",My_Audit!R705)&amp;""</f>
        <v/>
      </c>
      <c r="R705" s="45"/>
      <c r="S705" s="45"/>
      <c r="T705" s="46" t="str">
        <f>_xlfn.XLOOKUP(E705,Models!I:I,Models!J:J,"")</f>
        <v/>
      </c>
      <c r="U705" s="45"/>
      <c r="V705" s="45"/>
      <c r="W705" s="38" t="str">
        <f>_xlfn.LET(
    _xlpm.MacVal, _xlfn.XLOOKUP($A705, Output_Mac!$A:$A, Output_Mac!AA:AA, ""),
    _xlpm.MyAuditVal, _xlfn.XLOOKUP($A705, My_Audit!$A:$A, My_Audit!L:L, ""),
    _xlfn.TEXTJOIN(", ", TRUE, _xlpm.MyAuditVal, _xlpm.MacVal)
)</f>
        <v/>
      </c>
    </row>
    <row r="706" spans="1:23">
      <c r="A706" s="45" t="str">
        <f>_xlfn.TEXTJOIN("",TRUE,Input!$B$2,ROW(My_Audit!A705))</f>
        <v>CC705</v>
      </c>
      <c r="B706" s="45" t="str">
        <f>_xlfn.TEXTJOIN("-",TRUE,"ITD",Input!$A$2,A706)</f>
        <v>ITD-XXX-CC705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 cm="1">
        <f t="array" ref="D706">IFERROR(_xlfn.LET(
_xlpm.CSVVal,_xlfn.XLOOKUP($A706,CSV!$A:$A,CSV!C:C,""),
_xlpm.MacVal,_xlfn.XLOOKUP($A706,Output_Mac!$A:$A,Output_Mac!D:D,""),
_xlpm.MyAuditVal,_xlfn.XLOOKUP($A706,My_Audit!$A:$A,My_Audit!C:C,""),
_xlfn.IFS(_xlpm.MyAuditVal&lt;&gt;"",UPPER(_xlpm.MyAuditVal),_xlpm.MacVal&lt;&gt;"",_xlpm.MacVal,_xlpm.CSVVal&lt;&gt;"",_xlpm.CSVVal
)),"")</f>
        <v/>
      </c>
      <c r="E706" s="46" t="str" cm="1">
        <f t="array" ref="E706">IFERROR(_xlfn.LET(
_xlpm.CSVVal,_xlfn.XLOOKUP($A706,CSV!$A:$A,CSV!E:E,""),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_xlpm.CSVVal,_xlfn.XLOOKUP($A706,CSV!$A:$A,CSV!G:G,""),
_xlpm.MacVal,_xlfn.XLOOKUP($A706,Output_Mac!$A:$A,Output_Mac!G:G,""),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_xlfn.XLOOKUP(A706,Output_Mac!A:A,Output_Mac!H:H,"")</f>
        <v/>
      </c>
      <c r="I706" s="45" t="str" cm="1">
        <f t="array" ref="I706">IFERROR(_xlfn.LET(
_xlpm.CSVVal,_xlfn.XLOOKUP($A706,CSV!$A:$A,CSV!H:H,""),
_xlpm.MacVal,_xlfn.XLOOKUP($A706,Output_Mac!$A:$A,Output_Mac!I:I,""),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_xlpm.CSVVal,_xlfn.XLOOKUP($A706,CSV!$A:$A,CSV!J:J,""),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46" t="str" cm="1">
        <f t="array" ref="K706">IFERROR(_xlfn.LET(
_xlpm.CSVVal,_xlfn.XLOOKUP($A706,CSV!$A:$A,CSV!N:N,""),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_xlpm.CSVVal,_xlfn.XLOOKUP($A706,CSV!$A:$A,CSV!P:P,""),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CSV!AE:AE,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_xlpm.CSVVal,_xlfn.XLOOKUP($A706,CSV!$A:$A,CSV!AG:AG,""),
_xlpm.MacVal,_xlfn.XLOOKUP($A706,Output_Mac!$A:$A,Output_Mac!T:T,""),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6" t="str">
        <f>IF(LEFT(N706,4)="Pass","Nist SP 800-88",My_Audit!R706)&amp;""</f>
        <v/>
      </c>
      <c r="R706" s="45"/>
      <c r="S706" s="45"/>
      <c r="T706" s="46" t="str">
        <f>_xlfn.XLOOKUP(E706,Models!I:I,Models!J:J,"")</f>
        <v/>
      </c>
      <c r="U706" s="45"/>
      <c r="V706" s="45"/>
      <c r="W706" s="38" t="str">
        <f>_xlfn.LET(
    _xlpm.MacVal, _xlfn.XLOOKUP($A706, Output_Mac!$A:$A, Output_Mac!AA:AA, ""),
    _xlpm.MyAuditVal, _xlfn.XLOOKUP($A706, My_Audit!$A:$A, My_Audit!L:L, ""),
    _xlfn.TEXTJOIN(", ", TRUE, _xlpm.MyAuditVal, _xlpm.MacVal)
)</f>
        <v/>
      </c>
    </row>
    <row r="707" spans="1:23">
      <c r="A707" s="45" t="str">
        <f>_xlfn.TEXTJOIN("",TRUE,Input!$B$2,ROW(My_Audit!A706))</f>
        <v>CC706</v>
      </c>
      <c r="B707" s="45" t="str">
        <f>_xlfn.TEXTJOIN("-",TRUE,"ITD",Input!$A$2,A707)</f>
        <v>ITD-XXX-CC706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 cm="1">
        <f t="array" ref="D707">IFERROR(_xlfn.LET(
_xlpm.CSVVal,_xlfn.XLOOKUP($A707,CSV!$A:$A,CSV!C:C,""),
_xlpm.MacVal,_xlfn.XLOOKUP($A707,Output_Mac!$A:$A,Output_Mac!D:D,""),
_xlpm.MyAuditVal,_xlfn.XLOOKUP($A707,My_Audit!$A:$A,My_Audit!C:C,""),
_xlfn.IFS(_xlpm.MyAuditVal&lt;&gt;"",UPPER(_xlpm.MyAuditVal),_xlpm.MacVal&lt;&gt;"",_xlpm.MacVal,_xlpm.CSVVal&lt;&gt;"",_xlpm.CSVVal
)),"")</f>
        <v/>
      </c>
      <c r="E707" s="46" t="str" cm="1">
        <f t="array" ref="E707">IFERROR(_xlfn.LET(
_xlpm.CSVVal,_xlfn.XLOOKUP($A707,CSV!$A:$A,CSV!E:E,""),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_xlpm.CSVVal,_xlfn.XLOOKUP($A707,CSV!$A:$A,CSV!G:G,""),
_xlpm.MacVal,_xlfn.XLOOKUP($A707,Output_Mac!$A:$A,Output_Mac!G:G,""),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_xlfn.XLOOKUP(A707,Output_Mac!A:A,Output_Mac!H:H,"")</f>
        <v/>
      </c>
      <c r="I707" s="45" t="str" cm="1">
        <f t="array" ref="I707">IFERROR(_xlfn.LET(
_xlpm.CSVVal,_xlfn.XLOOKUP($A707,CSV!$A:$A,CSV!H:H,""),
_xlpm.MacVal,_xlfn.XLOOKUP($A707,Output_Mac!$A:$A,Output_Mac!I:I,""),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_xlpm.CSVVal,_xlfn.XLOOKUP($A707,CSV!$A:$A,CSV!J:J,""),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46" t="str" cm="1">
        <f t="array" ref="K707">IFERROR(_xlfn.LET(
_xlpm.CSVVal,_xlfn.XLOOKUP($A707,CSV!$A:$A,CSV!N:N,""),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_xlpm.CSVVal,_xlfn.XLOOKUP($A707,CSV!$A:$A,CSV!P:P,""),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CSV!AE:AE,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_xlpm.CSVVal,_xlfn.XLOOKUP($A707,CSV!$A:$A,CSV!AG:AG,""),
_xlpm.MacVal,_xlfn.XLOOKUP($A707,Output_Mac!$A:$A,Output_Mac!T:T,""),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6" t="str">
        <f>IF(LEFT(N707,4)="Pass","Nist SP 800-88",My_Audit!R707)&amp;""</f>
        <v/>
      </c>
      <c r="R707" s="45"/>
      <c r="S707" s="45"/>
      <c r="T707" s="46" t="str">
        <f>_xlfn.XLOOKUP(E707,Models!I:I,Models!J:J,"")</f>
        <v/>
      </c>
      <c r="U707" s="45"/>
      <c r="V707" s="45"/>
      <c r="W707" s="38" t="str">
        <f>_xlfn.LET(
    _xlpm.MacVal, _xlfn.XLOOKUP($A707, Output_Mac!$A:$A, Output_Mac!AA:AA, ""),
    _xlpm.MyAuditVal, _xlfn.XLOOKUP($A707, My_Audit!$A:$A, My_Audit!L:L, ""),
    _xlfn.TEXTJOIN(", ", TRUE, _xlpm.MyAuditVal, _xlpm.MacVal)
)</f>
        <v/>
      </c>
    </row>
    <row r="708" spans="1:23">
      <c r="A708" s="45" t="str">
        <f>_xlfn.TEXTJOIN("",TRUE,Input!$B$2,ROW(My_Audit!A707))</f>
        <v>CC707</v>
      </c>
      <c r="B708" s="45" t="str">
        <f>_xlfn.TEXTJOIN("-",TRUE,"ITD",Input!$A$2,A708)</f>
        <v>ITD-XXX-CC707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 cm="1">
        <f t="array" ref="D708">IFERROR(_xlfn.LET(
_xlpm.CSVVal,_xlfn.XLOOKUP($A708,CSV!$A:$A,CSV!C:C,""),
_xlpm.MacVal,_xlfn.XLOOKUP($A708,Output_Mac!$A:$A,Output_Mac!D:D,""),
_xlpm.MyAuditVal,_xlfn.XLOOKUP($A708,My_Audit!$A:$A,My_Audit!C:C,""),
_xlfn.IFS(_xlpm.MyAuditVal&lt;&gt;"",UPPER(_xlpm.MyAuditVal),_xlpm.MacVal&lt;&gt;"",_xlpm.MacVal,_xlpm.CSVVal&lt;&gt;"",_xlpm.CSVVal
)),"")</f>
        <v/>
      </c>
      <c r="E708" s="46" t="str" cm="1">
        <f t="array" ref="E708">IFERROR(_xlfn.LET(
_xlpm.CSVVal,_xlfn.XLOOKUP($A708,CSV!$A:$A,CSV!E:E,""),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_xlpm.CSVVal,_xlfn.XLOOKUP($A708,CSV!$A:$A,CSV!G:G,""),
_xlpm.MacVal,_xlfn.XLOOKUP($A708,Output_Mac!$A:$A,Output_Mac!G:G,""),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_xlfn.XLOOKUP(A708,Output_Mac!A:A,Output_Mac!H:H,"")</f>
        <v/>
      </c>
      <c r="I708" s="45" t="str" cm="1">
        <f t="array" ref="I708">IFERROR(_xlfn.LET(
_xlpm.CSVVal,_xlfn.XLOOKUP($A708,CSV!$A:$A,CSV!H:H,""),
_xlpm.MacVal,_xlfn.XLOOKUP($A708,Output_Mac!$A:$A,Output_Mac!I:I,""),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_xlpm.CSVVal,_xlfn.XLOOKUP($A708,CSV!$A:$A,CSV!J:J,""),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46" t="str" cm="1">
        <f t="array" ref="K708">IFERROR(_xlfn.LET(
_xlpm.CSVVal,_xlfn.XLOOKUP($A708,CSV!$A:$A,CSV!N:N,""),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_xlpm.CSVVal,_xlfn.XLOOKUP($A708,CSV!$A:$A,CSV!P:P,""),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CSV!AE:AE,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_xlpm.CSVVal,_xlfn.XLOOKUP($A708,CSV!$A:$A,CSV!AG:AG,""),
_xlpm.MacVal,_xlfn.XLOOKUP($A708,Output_Mac!$A:$A,Output_Mac!T:T,""),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6" t="str">
        <f>IF(LEFT(N708,4)="Pass","Nist SP 800-88",My_Audit!R708)&amp;""</f>
        <v/>
      </c>
      <c r="R708" s="45"/>
      <c r="S708" s="45"/>
      <c r="T708" s="46" t="str">
        <f>_xlfn.XLOOKUP(E708,Models!I:I,Models!J:J,"")</f>
        <v/>
      </c>
      <c r="U708" s="45"/>
      <c r="V708" s="45"/>
      <c r="W708" s="38" t="str">
        <f>_xlfn.LET(
    _xlpm.MacVal, _xlfn.XLOOKUP($A708, Output_Mac!$A:$A, Output_Mac!AA:AA, ""),
    _xlpm.MyAuditVal, _xlfn.XLOOKUP($A708, My_Audit!$A:$A, My_Audit!L:L, ""),
    _xlfn.TEXTJOIN(", ", TRUE, _xlpm.MyAuditVal, _xlpm.MacVal)
)</f>
        <v/>
      </c>
    </row>
    <row r="709" spans="1:23">
      <c r="A709" s="45" t="str">
        <f>_xlfn.TEXTJOIN("",TRUE,Input!$B$2,ROW(My_Audit!A708))</f>
        <v>CC708</v>
      </c>
      <c r="B709" s="45" t="str">
        <f>_xlfn.TEXTJOIN("-",TRUE,"ITD",Input!$A$2,A709)</f>
        <v>ITD-XXX-CC708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 cm="1">
        <f t="array" ref="D709">IFERROR(_xlfn.LET(
_xlpm.CSVVal,_xlfn.XLOOKUP($A709,CSV!$A:$A,CSV!C:C,""),
_xlpm.MacVal,_xlfn.XLOOKUP($A709,Output_Mac!$A:$A,Output_Mac!D:D,""),
_xlpm.MyAuditVal,_xlfn.XLOOKUP($A709,My_Audit!$A:$A,My_Audit!C:C,""),
_xlfn.IFS(_xlpm.MyAuditVal&lt;&gt;"",UPPER(_xlpm.MyAuditVal),_xlpm.MacVal&lt;&gt;"",_xlpm.MacVal,_xlpm.CSVVal&lt;&gt;"",_xlpm.CSVVal
)),"")</f>
        <v/>
      </c>
      <c r="E709" s="46" t="str" cm="1">
        <f t="array" ref="E709">IFERROR(_xlfn.LET(
_xlpm.CSVVal,_xlfn.XLOOKUP($A709,CSV!$A:$A,CSV!E:E,""),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_xlpm.CSVVal,_xlfn.XLOOKUP($A709,CSV!$A:$A,CSV!G:G,""),
_xlpm.MacVal,_xlfn.XLOOKUP($A709,Output_Mac!$A:$A,Output_Mac!G:G,""),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_xlfn.XLOOKUP(A709,Output_Mac!A:A,Output_Mac!H:H,"")</f>
        <v/>
      </c>
      <c r="I709" s="45" t="str" cm="1">
        <f t="array" ref="I709">IFERROR(_xlfn.LET(
_xlpm.CSVVal,_xlfn.XLOOKUP($A709,CSV!$A:$A,CSV!H:H,""),
_xlpm.MacVal,_xlfn.XLOOKUP($A709,Output_Mac!$A:$A,Output_Mac!I:I,""),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_xlpm.CSVVal,_xlfn.XLOOKUP($A709,CSV!$A:$A,CSV!J:J,""),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46" t="str" cm="1">
        <f t="array" ref="K709">IFERROR(_xlfn.LET(
_xlpm.CSVVal,_xlfn.XLOOKUP($A709,CSV!$A:$A,CSV!N:N,""),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_xlpm.CSVVal,_xlfn.XLOOKUP($A709,CSV!$A:$A,CSV!P:P,""),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CSV!AE:AE,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_xlpm.CSVVal,_xlfn.XLOOKUP($A709,CSV!$A:$A,CSV!AG:AG,""),
_xlpm.MacVal,_xlfn.XLOOKUP($A709,Output_Mac!$A:$A,Output_Mac!T:T,""),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6" t="str">
        <f>IF(LEFT(N709,4)="Pass","Nist SP 800-88",My_Audit!R709)&amp;""</f>
        <v/>
      </c>
      <c r="R709" s="45"/>
      <c r="S709" s="45"/>
      <c r="T709" s="46" t="str">
        <f>_xlfn.XLOOKUP(E709,Models!I:I,Models!J:J,"")</f>
        <v/>
      </c>
      <c r="U709" s="45"/>
      <c r="V709" s="45"/>
      <c r="W709" s="38" t="str">
        <f>_xlfn.LET(
    _xlpm.MacVal, _xlfn.XLOOKUP($A709, Output_Mac!$A:$A, Output_Mac!AA:AA, ""),
    _xlpm.MyAuditVal, _xlfn.XLOOKUP($A709, My_Audit!$A:$A, My_Audit!L:L, ""),
    _xlfn.TEXTJOIN(", ", TRUE, _xlpm.MyAuditVal, _xlpm.MacVal)
)</f>
        <v/>
      </c>
    </row>
    <row r="710" spans="1:23">
      <c r="A710" s="45" t="str">
        <f>_xlfn.TEXTJOIN("",TRUE,Input!$B$2,ROW(My_Audit!A709))</f>
        <v>CC709</v>
      </c>
      <c r="B710" s="45" t="str">
        <f>_xlfn.TEXTJOIN("-",TRUE,"ITD",Input!$A$2,A710)</f>
        <v>ITD-XXX-CC709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 cm="1">
        <f t="array" ref="D710">IFERROR(_xlfn.LET(
_xlpm.CSVVal,_xlfn.XLOOKUP($A710,CSV!$A:$A,CSV!C:C,""),
_xlpm.MacVal,_xlfn.XLOOKUP($A710,Output_Mac!$A:$A,Output_Mac!D:D,""),
_xlpm.MyAuditVal,_xlfn.XLOOKUP($A710,My_Audit!$A:$A,My_Audit!C:C,""),
_xlfn.IFS(_xlpm.MyAuditVal&lt;&gt;"",UPPER(_xlpm.MyAuditVal),_xlpm.MacVal&lt;&gt;"",_xlpm.MacVal,_xlpm.CSVVal&lt;&gt;"",_xlpm.CSVVal
)),"")</f>
        <v/>
      </c>
      <c r="E710" s="46" t="str" cm="1">
        <f t="array" ref="E710">IFERROR(_xlfn.LET(
_xlpm.CSVVal,_xlfn.XLOOKUP($A710,CSV!$A:$A,CSV!E:E,""),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_xlpm.CSVVal,_xlfn.XLOOKUP($A710,CSV!$A:$A,CSV!G:G,""),
_xlpm.MacVal,_xlfn.XLOOKUP($A710,Output_Mac!$A:$A,Output_Mac!G:G,""),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_xlfn.XLOOKUP(A710,Output_Mac!A:A,Output_Mac!H:H,"")</f>
        <v/>
      </c>
      <c r="I710" s="45" t="str" cm="1">
        <f t="array" ref="I710">IFERROR(_xlfn.LET(
_xlpm.CSVVal,_xlfn.XLOOKUP($A710,CSV!$A:$A,CSV!H:H,""),
_xlpm.MacVal,_xlfn.XLOOKUP($A710,Output_Mac!$A:$A,Output_Mac!I:I,""),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_xlpm.CSVVal,_xlfn.XLOOKUP($A710,CSV!$A:$A,CSV!J:J,""),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46" t="str" cm="1">
        <f t="array" ref="K710">IFERROR(_xlfn.LET(
_xlpm.CSVVal,_xlfn.XLOOKUP($A710,CSV!$A:$A,CSV!N:N,""),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_xlpm.CSVVal,_xlfn.XLOOKUP($A710,CSV!$A:$A,CSV!P:P,""),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CSV!AE:AE,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_xlpm.CSVVal,_xlfn.XLOOKUP($A710,CSV!$A:$A,CSV!AG:AG,""),
_xlpm.MacVal,_xlfn.XLOOKUP($A710,Output_Mac!$A:$A,Output_Mac!T:T,""),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6" t="str">
        <f>IF(LEFT(N710,4)="Pass","Nist SP 800-88",My_Audit!R710)&amp;""</f>
        <v/>
      </c>
      <c r="R710" s="45"/>
      <c r="S710" s="45"/>
      <c r="T710" s="46" t="str">
        <f>_xlfn.XLOOKUP(E710,Models!I:I,Models!J:J,"")</f>
        <v/>
      </c>
      <c r="U710" s="45"/>
      <c r="V710" s="45"/>
      <c r="W710" s="38" t="str">
        <f>_xlfn.LET(
    _xlpm.MacVal, _xlfn.XLOOKUP($A710, Output_Mac!$A:$A, Output_Mac!AA:AA, ""),
    _xlpm.MyAuditVal, _xlfn.XLOOKUP($A710, My_Audit!$A:$A, My_Audit!L:L, ""),
    _xlfn.TEXTJOIN(", ", TRUE, _xlpm.MyAuditVal, _xlpm.MacVal)
)</f>
        <v/>
      </c>
    </row>
    <row r="711" spans="1:23">
      <c r="A711" s="45" t="str">
        <f>_xlfn.TEXTJOIN("",TRUE,Input!$B$2,ROW(My_Audit!A710))</f>
        <v>CC710</v>
      </c>
      <c r="B711" s="45" t="str">
        <f>_xlfn.TEXTJOIN("-",TRUE,"ITD",Input!$A$2,A711)</f>
        <v>ITD-XXX-CC710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 cm="1">
        <f t="array" ref="D711">IFERROR(_xlfn.LET(
_xlpm.CSVVal,_xlfn.XLOOKUP($A711,CSV!$A:$A,CSV!C:C,""),
_xlpm.MacVal,_xlfn.XLOOKUP($A711,Output_Mac!$A:$A,Output_Mac!D:D,""),
_xlpm.MyAuditVal,_xlfn.XLOOKUP($A711,My_Audit!$A:$A,My_Audit!C:C,""),
_xlfn.IFS(_xlpm.MyAuditVal&lt;&gt;"",UPPER(_xlpm.MyAuditVal),_xlpm.MacVal&lt;&gt;"",_xlpm.MacVal,_xlpm.CSVVal&lt;&gt;"",_xlpm.CSVVal
)),"")</f>
        <v/>
      </c>
      <c r="E711" s="46" t="str" cm="1">
        <f t="array" ref="E711">IFERROR(_xlfn.LET(
_xlpm.CSVVal,_xlfn.XLOOKUP($A711,CSV!$A:$A,CSV!E:E,""),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_xlpm.CSVVal,_xlfn.XLOOKUP($A711,CSV!$A:$A,CSV!G:G,""),
_xlpm.MacVal,_xlfn.XLOOKUP($A711,Output_Mac!$A:$A,Output_Mac!G:G,""),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_xlfn.XLOOKUP(A711,Output_Mac!A:A,Output_Mac!H:H,"")</f>
        <v/>
      </c>
      <c r="I711" s="45" t="str" cm="1">
        <f t="array" ref="I711">IFERROR(_xlfn.LET(
_xlpm.CSVVal,_xlfn.XLOOKUP($A711,CSV!$A:$A,CSV!H:H,""),
_xlpm.MacVal,_xlfn.XLOOKUP($A711,Output_Mac!$A:$A,Output_Mac!I:I,""),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_xlpm.CSVVal,_xlfn.XLOOKUP($A711,CSV!$A:$A,CSV!J:J,""),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46" t="str" cm="1">
        <f t="array" ref="K711">IFERROR(_xlfn.LET(
_xlpm.CSVVal,_xlfn.XLOOKUP($A711,CSV!$A:$A,CSV!N:N,""),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_xlpm.CSVVal,_xlfn.XLOOKUP($A711,CSV!$A:$A,CSV!P:P,""),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CSV!AE:AE,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_xlpm.CSVVal,_xlfn.XLOOKUP($A711,CSV!$A:$A,CSV!AG:AG,""),
_xlpm.MacVal,_xlfn.XLOOKUP($A711,Output_Mac!$A:$A,Output_Mac!T:T,""),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6" t="str">
        <f>IF(LEFT(N711,4)="Pass","Nist SP 800-88",My_Audit!R711)&amp;""</f>
        <v/>
      </c>
      <c r="R711" s="45"/>
      <c r="S711" s="45"/>
      <c r="T711" s="46" t="str">
        <f>_xlfn.XLOOKUP(E711,Models!I:I,Models!J:J,"")</f>
        <v/>
      </c>
      <c r="U711" s="45"/>
      <c r="V711" s="45"/>
      <c r="W711" s="38" t="str">
        <f>_xlfn.LET(
    _xlpm.MacVal, _xlfn.XLOOKUP($A711, Output_Mac!$A:$A, Output_Mac!AA:AA, ""),
    _xlpm.MyAuditVal, _xlfn.XLOOKUP($A711, My_Audit!$A:$A, My_Audit!L:L, ""),
    _xlfn.TEXTJOIN(", ", TRUE, _xlpm.MyAuditVal, _xlpm.MacVal)
)</f>
        <v/>
      </c>
    </row>
    <row r="712" spans="1:23">
      <c r="A712" s="45" t="str">
        <f>_xlfn.TEXTJOIN("",TRUE,Input!$B$2,ROW(My_Audit!A711))</f>
        <v>CC711</v>
      </c>
      <c r="B712" s="45"/>
      <c r="C712" s="45"/>
      <c r="D712" s="46" t="str" cm="1">
        <f t="array" ref="D712">IFERROR(_xlfn.LET(
_xlpm.CSVVal,_xlfn.XLOOKUP($A712,CSV!$A:$A,CSV!C:C,""),
_xlpm.MacVal,_xlfn.XLOOKUP($A712,Output_Mac!$A:$A,Output_Mac!D:D,""),
_xlpm.MyAuditVal,_xlfn.XLOOKUP($A712,My_Audit!$A:$A,My_Audit!C:C,""),
_xlfn.IFS(_xlpm.MyAuditVal&lt;&gt;"",UPPER(_xlpm.MyAuditVal),_xlpm.MacVal&lt;&gt;"",_xlpm.MacVal,_xlpm.CSVVal&lt;&gt;"",_xlpm.CSVVal
)),"")</f>
        <v/>
      </c>
      <c r="E712" s="46" t="str" cm="1">
        <f t="array" ref="E712">IFERROR(_xlfn.LET(
_xlpm.CSVVal,_xlfn.XLOOKUP($A712,CSV!$A:$A,CSV!E:E,""),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6" t="str" cm="1">
        <f t="array" ref="K712">IFERROR(_xlfn.LET(
_xlpm.CSVVal,_xlfn.XLOOKUP($A712,CSV!$A:$A,CSV!N:N,""),
_xlpm.MacVal,_xlfn.XLOOKUP($A712,Output_Mac!$A:$A,Output_Mac!L:L,""),
_xlpm.MyAuditVal,_xlfn.XLOOKUP($A712,My_Audit!$A:$A,My_Audit!J:J,""),
_xlfn.IFS(_xlpm.MyAuditVal&lt;&gt;"",UPPER(_xlpm.MyAuditVal),_xlpm.MacVal&lt;&gt;"",_xlpm.MacVal,_xlpm.CSVVal&lt;&gt;"",_xlpm.CSVVal
)),"")</f>
        <v/>
      </c>
      <c r="L712" s="45"/>
      <c r="M712" s="45"/>
      <c r="N712" s="45"/>
      <c r="O712" s="45"/>
      <c r="P712" s="45"/>
      <c r="Q712" s="46" t="str">
        <f>IF(LEFT(N712,4)="Pass","Nist SP 800-88",My_Audit!R712)&amp;""</f>
        <v/>
      </c>
      <c r="R712" s="45"/>
      <c r="S712" s="45"/>
      <c r="T712" s="46" t="str">
        <f>_xlfn.XLOOKUP(E712,Models!I:I,Models!J:J,"")</f>
        <v/>
      </c>
      <c r="U712" s="45"/>
      <c r="V712" s="45"/>
      <c r="W712" s="38" t="str">
        <f>_xlfn.LET(
    _xlpm.MacVal, _xlfn.XLOOKUP($A712, Output_Mac!$A:$A, Output_Mac!AA:AA, ""),
    _xlpm.MyAuditVal, _xlfn.XLOOKUP($A712, My_Audit!$A:$A, My_Audit!L:L, ""),
    _xlfn.TEXTJOIN(", ", TRUE, _xlpm.MyAuditVal, _xlpm.MacVal)
)</f>
        <v/>
      </c>
    </row>
    <row r="713" spans="1:23">
      <c r="A713" s="45" t="str">
        <f>_xlfn.TEXTJOIN("",TRUE,Input!$B$2,ROW(My_Audit!A712))</f>
        <v>CC712</v>
      </c>
      <c r="B713" s="45"/>
      <c r="C713" s="45"/>
      <c r="D713" s="46" t="str" cm="1">
        <f t="array" ref="D713">IFERROR(_xlfn.LET(
_xlpm.CSVVal,_xlfn.XLOOKUP($A713,CSV!$A:$A,CSV!C:C,""),
_xlpm.MacVal,_xlfn.XLOOKUP($A713,Output_Mac!$A:$A,Output_Mac!D:D,""),
_xlpm.MyAuditVal,_xlfn.XLOOKUP($A713,My_Audit!$A:$A,My_Audit!C:C,""),
_xlfn.IFS(_xlpm.MyAuditVal&lt;&gt;"",UPPER(_xlpm.MyAuditVal),_xlpm.MacVal&lt;&gt;"",_xlpm.MacVal,_xlpm.CSVVal&lt;&gt;"",_xlpm.CSVVal
)),"")</f>
        <v/>
      </c>
      <c r="E713" s="46" t="str" cm="1">
        <f t="array" ref="E713">IFERROR(_xlfn.LET(
_xlpm.CSVVal,_xlfn.XLOOKUP($A713,CSV!$A:$A,CSV!E:E,""),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6" t="str" cm="1">
        <f t="array" ref="K713">IFERROR(_xlfn.LET(
_xlpm.CSVVal,_xlfn.XLOOKUP($A713,CSV!$A:$A,CSV!N:N,""),
_xlpm.MacVal,_xlfn.XLOOKUP($A713,Output_Mac!$A:$A,Output_Mac!L:L,""),
_xlpm.MyAuditVal,_xlfn.XLOOKUP($A713,My_Audit!$A:$A,My_Audit!J:J,""),
_xlfn.IFS(_xlpm.MyAuditVal&lt;&gt;"",UPPER(_xlpm.MyAuditVal),_xlpm.MacVal&lt;&gt;"",_xlpm.MacVal,_xlpm.CSVVal&lt;&gt;"",_xlpm.CSVVal
)),"")</f>
        <v/>
      </c>
      <c r="L713" s="45"/>
      <c r="M713" s="45"/>
      <c r="N713" s="45"/>
      <c r="O713" s="45"/>
      <c r="P713" s="45"/>
      <c r="Q713" s="46" t="str">
        <f>IF(LEFT(N713,4)="Pass","Nist SP 800-88",My_Audit!R713)&amp;""</f>
        <v/>
      </c>
      <c r="R713" s="45"/>
      <c r="S713" s="45"/>
      <c r="T713" s="46" t="str">
        <f>_xlfn.XLOOKUP(E713,Models!I:I,Models!J:J,"")</f>
        <v/>
      </c>
      <c r="U713" s="45"/>
      <c r="V713" s="45"/>
      <c r="W713" s="38" t="str">
        <f>_xlfn.LET(
    _xlpm.MacVal, _xlfn.XLOOKUP($A713, Output_Mac!$A:$A, Output_Mac!AA:AA, ""),
    _xlpm.MyAuditVal, _xlfn.XLOOKUP($A713, My_Audit!$A:$A, My_Audit!L:L, ""),
    _xlfn.TEXTJOIN(", ", TRUE, _xlpm.MyAuditVal, _xlpm.MacVal)
)</f>
        <v/>
      </c>
    </row>
    <row r="714" spans="1:23">
      <c r="A714" s="45" t="str">
        <f>_xlfn.TEXTJOIN("",TRUE,Input!$B$2,ROW(My_Audit!A713))</f>
        <v>CC713</v>
      </c>
      <c r="B714" s="45"/>
      <c r="C714" s="45"/>
      <c r="D714" s="46" t="str" cm="1">
        <f t="array" ref="D714">IFERROR(_xlfn.LET(
_xlpm.CSVVal,_xlfn.XLOOKUP($A714,CSV!$A:$A,CSV!C:C,""),
_xlpm.MacVal,_xlfn.XLOOKUP($A714,Output_Mac!$A:$A,Output_Mac!D:D,""),
_xlpm.MyAuditVal,_xlfn.XLOOKUP($A714,My_Audit!$A:$A,My_Audit!C:C,""),
_xlfn.IFS(_xlpm.MyAuditVal&lt;&gt;"",UPPER(_xlpm.MyAuditVal),_xlpm.MacVal&lt;&gt;"",_xlpm.MacVal,_xlpm.CSVVal&lt;&gt;"",_xlpm.CSVVal
)),"")</f>
        <v/>
      </c>
      <c r="E714" s="46" t="str" cm="1">
        <f t="array" ref="E714">IFERROR(_xlfn.LET(
_xlpm.CSVVal,_xlfn.XLOOKUP($A714,CSV!$A:$A,CSV!E:E,""),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6" t="str" cm="1">
        <f t="array" ref="K714">IFERROR(_xlfn.LET(
_xlpm.CSVVal,_xlfn.XLOOKUP($A714,CSV!$A:$A,CSV!N:N,""),
_xlpm.MacVal,_xlfn.XLOOKUP($A714,Output_Mac!$A:$A,Output_Mac!L:L,""),
_xlpm.MyAuditVal,_xlfn.XLOOKUP($A714,My_Audit!$A:$A,My_Audit!J:J,""),
_xlfn.IFS(_xlpm.MyAuditVal&lt;&gt;"",UPPER(_xlpm.MyAuditVal),_xlpm.MacVal&lt;&gt;"",_xlpm.MacVal,_xlpm.CSVVal&lt;&gt;"",_xlpm.CSVVal
)),"")</f>
        <v/>
      </c>
      <c r="L714" s="45"/>
      <c r="M714" s="45"/>
      <c r="N714" s="45"/>
      <c r="O714" s="45"/>
      <c r="P714" s="45"/>
      <c r="Q714" s="46" t="str">
        <f>IF(LEFT(N714,4)="Pass","Nist SP 800-88",My_Audit!R714)&amp;""</f>
        <v/>
      </c>
      <c r="R714" s="45"/>
      <c r="S714" s="45"/>
      <c r="T714" s="46" t="str">
        <f>_xlfn.XLOOKUP(E714,Models!I:I,Models!J:J,"")</f>
        <v/>
      </c>
      <c r="U714" s="45"/>
      <c r="V714" s="45"/>
      <c r="W714" s="38" t="str">
        <f>_xlfn.LET(
    _xlpm.MacVal, _xlfn.XLOOKUP($A714, Output_Mac!$A:$A, Output_Mac!AA:AA, ""),
    _xlpm.MyAuditVal, _xlfn.XLOOKUP($A714, My_Audit!$A:$A, My_Audit!L:L, ""),
    _xlfn.TEXTJOIN(", ", TRUE, _xlpm.MyAuditVal, _xlpm.MacVal)
)</f>
        <v/>
      </c>
    </row>
    <row r="715" spans="1:23">
      <c r="A715" s="45" t="str">
        <f>_xlfn.TEXTJOIN("",TRUE,Input!$B$2,ROW(My_Audit!A714))</f>
        <v>CC714</v>
      </c>
      <c r="B715" s="45"/>
      <c r="C715" s="45"/>
      <c r="D715" s="46" t="str" cm="1">
        <f t="array" ref="D715">IFERROR(_xlfn.LET(
_xlpm.CSVVal,_xlfn.XLOOKUP($A715,CSV!$A:$A,CSV!C:C,""),
_xlpm.MacVal,_xlfn.XLOOKUP($A715,Output_Mac!$A:$A,Output_Mac!D:D,""),
_xlpm.MyAuditVal,_xlfn.XLOOKUP($A715,My_Audit!$A:$A,My_Audit!C:C,""),
_xlfn.IFS(_xlpm.MyAuditVal&lt;&gt;"",UPPER(_xlpm.MyAuditVal),_xlpm.MacVal&lt;&gt;"",_xlpm.MacVal,_xlpm.CSVVal&lt;&gt;"",_xlpm.CSVVal
)),"")</f>
        <v/>
      </c>
      <c r="E715" s="46" t="str" cm="1">
        <f t="array" ref="E715">IFERROR(_xlfn.LET(
_xlpm.CSVVal,_xlfn.XLOOKUP($A715,CSV!$A:$A,CSV!E:E,""),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6" t="str" cm="1">
        <f t="array" ref="K715">IFERROR(_xlfn.LET(
_xlpm.CSVVal,_xlfn.XLOOKUP($A715,CSV!$A:$A,CSV!N:N,""),
_xlpm.MacVal,_xlfn.XLOOKUP($A715,Output_Mac!$A:$A,Output_Mac!L:L,""),
_xlpm.MyAuditVal,_xlfn.XLOOKUP($A715,My_Audit!$A:$A,My_Audit!J:J,""),
_xlfn.IFS(_xlpm.MyAuditVal&lt;&gt;"",UPPER(_xlpm.MyAuditVal),_xlpm.MacVal&lt;&gt;"",_xlpm.MacVal,_xlpm.CSVVal&lt;&gt;"",_xlpm.CSVVal
)),"")</f>
        <v/>
      </c>
      <c r="L715" s="45"/>
      <c r="M715" s="45"/>
      <c r="N715" s="45"/>
      <c r="O715" s="45"/>
      <c r="P715" s="45"/>
      <c r="Q715" s="46" t="str">
        <f>IF(LEFT(N715,4)="Pass","Nist SP 800-88",My_Audit!R715)&amp;""</f>
        <v/>
      </c>
      <c r="R715" s="45"/>
      <c r="S715" s="45"/>
      <c r="T715" s="46" t="str">
        <f>_xlfn.XLOOKUP(E715,Models!I:I,Models!J:J,"")</f>
        <v/>
      </c>
      <c r="U715" s="45"/>
      <c r="V715" s="45"/>
      <c r="W715" s="38" t="str">
        <f>_xlfn.LET(
    _xlpm.MacVal, _xlfn.XLOOKUP($A715, Output_Mac!$A:$A, Output_Mac!AA:AA, ""),
    _xlpm.MyAuditVal, _xlfn.XLOOKUP($A715, My_Audit!$A:$A, My_Audit!L:L, ""),
    _xlfn.TEXTJOIN(", ", TRUE, _xlpm.MyAuditVal, _xlpm.MacVal)
)</f>
        <v/>
      </c>
    </row>
    <row r="716" spans="1:23">
      <c r="A716" s="45" t="str">
        <f>_xlfn.TEXTJOIN("",TRUE,Input!$B$2,ROW(My_Audit!A715))</f>
        <v>CC715</v>
      </c>
      <c r="B716" s="45"/>
      <c r="C716" s="45"/>
      <c r="D716" s="46" t="str" cm="1">
        <f t="array" ref="D716">IFERROR(_xlfn.LET(
_xlpm.CSVVal,_xlfn.XLOOKUP($A716,CSV!$A:$A,CSV!C:C,""),
_xlpm.MacVal,_xlfn.XLOOKUP($A716,Output_Mac!$A:$A,Output_Mac!D:D,""),
_xlpm.MyAuditVal,_xlfn.XLOOKUP($A716,My_Audit!$A:$A,My_Audit!C:C,""),
_xlfn.IFS(_xlpm.MyAuditVal&lt;&gt;"",UPPER(_xlpm.MyAuditVal),_xlpm.MacVal&lt;&gt;"",_xlpm.MacVal,_xlpm.CSVVal&lt;&gt;"",_xlpm.CSVVal
)),"")</f>
        <v/>
      </c>
      <c r="E716" s="46" t="str" cm="1">
        <f t="array" ref="E716">IFERROR(_xlfn.LET(
_xlpm.CSVVal,_xlfn.XLOOKUP($A716,CSV!$A:$A,CSV!E:E,""),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6" t="str" cm="1">
        <f t="array" ref="K716">IFERROR(_xlfn.LET(
_xlpm.CSVVal,_xlfn.XLOOKUP($A716,CSV!$A:$A,CSV!N:N,""),
_xlpm.MacVal,_xlfn.XLOOKUP($A716,Output_Mac!$A:$A,Output_Mac!L:L,""),
_xlpm.MyAuditVal,_xlfn.XLOOKUP($A716,My_Audit!$A:$A,My_Audit!J:J,""),
_xlfn.IFS(_xlpm.MyAuditVal&lt;&gt;"",UPPER(_xlpm.MyAuditVal),_xlpm.MacVal&lt;&gt;"",_xlpm.MacVal,_xlpm.CSVVal&lt;&gt;"",_xlpm.CSVVal
)),"")</f>
        <v/>
      </c>
      <c r="L716" s="45"/>
      <c r="M716" s="45"/>
      <c r="N716" s="45"/>
      <c r="O716" s="45"/>
      <c r="P716" s="45"/>
      <c r="Q716" s="46" t="str">
        <f>IF(LEFT(N716,4)="Pass","Nist SP 800-88",My_Audit!R716)&amp;""</f>
        <v/>
      </c>
      <c r="R716" s="45"/>
      <c r="S716" s="45"/>
      <c r="T716" s="46" t="str">
        <f>_xlfn.XLOOKUP(E716,Models!I:I,Models!J:J,"")</f>
        <v/>
      </c>
      <c r="U716" s="45"/>
      <c r="V716" s="45"/>
      <c r="W716" s="38" t="str">
        <f>_xlfn.LET(
    _xlpm.MacVal, _xlfn.XLOOKUP($A716, Output_Mac!$A:$A, Output_Mac!AA:AA, ""),
    _xlpm.MyAuditVal, _xlfn.XLOOKUP($A716, My_Audit!$A:$A, My_Audit!L:L, ""),
    _xlfn.TEXTJOIN(", ", TRUE, _xlpm.MyAuditVal, _xlpm.MacVal)
)</f>
        <v/>
      </c>
    </row>
    <row r="717" spans="1:23">
      <c r="A717" s="45" t="str">
        <f>_xlfn.TEXTJOIN("",TRUE,Input!$B$2,ROW(My_Audit!A716))</f>
        <v>CC716</v>
      </c>
      <c r="B717" s="45"/>
      <c r="C717" s="45"/>
      <c r="D717" s="46" t="str" cm="1">
        <f t="array" ref="D717">IFERROR(_xlfn.LET(
_xlpm.CSVVal,_xlfn.XLOOKUP($A717,CSV!$A:$A,CSV!C:C,""),
_xlpm.MacVal,_xlfn.XLOOKUP($A717,Output_Mac!$A:$A,Output_Mac!D:D,""),
_xlpm.MyAuditVal,_xlfn.XLOOKUP($A717,My_Audit!$A:$A,My_Audit!C:C,""),
_xlfn.IFS(_xlpm.MyAuditVal&lt;&gt;"",UPPER(_xlpm.MyAuditVal),_xlpm.MacVal&lt;&gt;"",_xlpm.MacVal,_xlpm.CSVVal&lt;&gt;"",_xlpm.CSVVal
)),"")</f>
        <v/>
      </c>
      <c r="E717" s="46" t="str" cm="1">
        <f t="array" ref="E717">IFERROR(_xlfn.LET(
_xlpm.CSVVal,_xlfn.XLOOKUP($A717,CSV!$A:$A,CSV!E:E,""),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6" t="str" cm="1">
        <f t="array" ref="K717">IFERROR(_xlfn.LET(
_xlpm.CSVVal,_xlfn.XLOOKUP($A717,CSV!$A:$A,CSV!N:N,""),
_xlpm.MacVal,_xlfn.XLOOKUP($A717,Output_Mac!$A:$A,Output_Mac!L:L,""),
_xlpm.MyAuditVal,_xlfn.XLOOKUP($A717,My_Audit!$A:$A,My_Audit!J:J,""),
_xlfn.IFS(_xlpm.MyAuditVal&lt;&gt;"",UPPER(_xlpm.MyAuditVal),_xlpm.MacVal&lt;&gt;"",_xlpm.MacVal,_xlpm.CSVVal&lt;&gt;"",_xlpm.CSVVal
)),"")</f>
        <v/>
      </c>
      <c r="L717" s="45"/>
      <c r="M717" s="45"/>
      <c r="N717" s="45"/>
      <c r="O717" s="45"/>
      <c r="P717" s="45"/>
      <c r="Q717" s="46" t="str">
        <f>IF(LEFT(N717,4)="Pass","Nist SP 800-88",My_Audit!R717)&amp;""</f>
        <v/>
      </c>
      <c r="R717" s="45"/>
      <c r="S717" s="45"/>
      <c r="T717" s="46" t="str">
        <f>_xlfn.XLOOKUP(E717,Models!I:I,Models!J:J,"")</f>
        <v/>
      </c>
      <c r="U717" s="45"/>
      <c r="V717" s="45"/>
      <c r="W717" s="38" t="str">
        <f>_xlfn.LET(
    _xlpm.MacVal, _xlfn.XLOOKUP($A717, Output_Mac!$A:$A, Output_Mac!AA:AA, ""),
    _xlpm.MyAuditVal, _xlfn.XLOOKUP($A717, My_Audit!$A:$A, My_Audit!L:L, ""),
    _xlfn.TEXTJOIN(", ", TRUE, _xlpm.MyAuditVal, _xlpm.MacVal)
)</f>
        <v/>
      </c>
    </row>
    <row r="718" spans="1:23">
      <c r="A718" s="45" t="str">
        <f>_xlfn.TEXTJOIN("",TRUE,Input!$B$2,ROW(My_Audit!A717))</f>
        <v>CC717</v>
      </c>
      <c r="B718" s="45"/>
      <c r="C718" s="45"/>
      <c r="D718" s="46" t="str" cm="1">
        <f t="array" ref="D718">IFERROR(_xlfn.LET(
_xlpm.CSVVal,_xlfn.XLOOKUP($A718,CSV!$A:$A,CSV!C:C,""),
_xlpm.MacVal,_xlfn.XLOOKUP($A718,Output_Mac!$A:$A,Output_Mac!D:D,""),
_xlpm.MyAuditVal,_xlfn.XLOOKUP($A718,My_Audit!$A:$A,My_Audit!C:C,""),
_xlfn.IFS(_xlpm.MyAuditVal&lt;&gt;"",UPPER(_xlpm.MyAuditVal),_xlpm.MacVal&lt;&gt;"",_xlpm.MacVal,_xlpm.CSVVal&lt;&gt;"",_xlpm.CSVVal
)),"")</f>
        <v/>
      </c>
      <c r="E718" s="46" t="str" cm="1">
        <f t="array" ref="E718">IFERROR(_xlfn.LET(
_xlpm.CSVVal,_xlfn.XLOOKUP($A718,CSV!$A:$A,CSV!E:E,""),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6" t="str" cm="1">
        <f t="array" ref="K718">IFERROR(_xlfn.LET(
_xlpm.CSVVal,_xlfn.XLOOKUP($A718,CSV!$A:$A,CSV!N:N,""),
_xlpm.MacVal,_xlfn.XLOOKUP($A718,Output_Mac!$A:$A,Output_Mac!L:L,""),
_xlpm.MyAuditVal,_xlfn.XLOOKUP($A718,My_Audit!$A:$A,My_Audit!J:J,""),
_xlfn.IFS(_xlpm.MyAuditVal&lt;&gt;"",UPPER(_xlpm.MyAuditVal),_xlpm.MacVal&lt;&gt;"",_xlpm.MacVal,_xlpm.CSVVal&lt;&gt;"",_xlpm.CSVVal
)),"")</f>
        <v/>
      </c>
      <c r="L718" s="45"/>
      <c r="M718" s="45"/>
      <c r="N718" s="45"/>
      <c r="O718" s="45"/>
      <c r="P718" s="45"/>
      <c r="Q718" s="46" t="str">
        <f>IF(LEFT(N718,4)="Pass","Nist SP 800-88",My_Audit!R718)&amp;""</f>
        <v/>
      </c>
      <c r="R718" s="45"/>
      <c r="S718" s="45"/>
      <c r="T718" s="46" t="str">
        <f>_xlfn.XLOOKUP(E718,Models!I:I,Models!J:J,"")</f>
        <v/>
      </c>
      <c r="U718" s="45"/>
      <c r="V718" s="45"/>
      <c r="W718" s="38" t="str">
        <f>_xlfn.LET(
    _xlpm.MacVal, _xlfn.XLOOKUP($A718, Output_Mac!$A:$A, Output_Mac!AA:AA, ""),
    _xlpm.MyAuditVal, _xlfn.XLOOKUP($A718, My_Audit!$A:$A, My_Audit!L:L, ""),
    _xlfn.TEXTJOIN(", ", TRUE, _xlpm.MyAuditVal, _xlpm.MacVal)
)</f>
        <v/>
      </c>
    </row>
    <row r="719" spans="1:23">
      <c r="A719" s="45" t="str">
        <f>_xlfn.TEXTJOIN("",TRUE,Input!$B$2,ROW(My_Audit!A718))</f>
        <v>CC718</v>
      </c>
      <c r="B719" s="45"/>
      <c r="C719" s="45"/>
      <c r="D719" s="46" t="str" cm="1">
        <f t="array" ref="D719">IFERROR(_xlfn.LET(
_xlpm.CSVVal,_xlfn.XLOOKUP($A719,CSV!$A:$A,CSV!C:C,""),
_xlpm.MacVal,_xlfn.XLOOKUP($A719,Output_Mac!$A:$A,Output_Mac!D:D,""),
_xlpm.MyAuditVal,_xlfn.XLOOKUP($A719,My_Audit!$A:$A,My_Audit!C:C,""),
_xlfn.IFS(_xlpm.MyAuditVal&lt;&gt;"",UPPER(_xlpm.MyAuditVal),_xlpm.MacVal&lt;&gt;"",_xlpm.MacVal,_xlpm.CSVVal&lt;&gt;"",_xlpm.CSVVal
)),"")</f>
        <v/>
      </c>
      <c r="E719" s="46" t="str" cm="1">
        <f t="array" ref="E719">IFERROR(_xlfn.LET(
_xlpm.CSVVal,_xlfn.XLOOKUP($A719,CSV!$A:$A,CSV!E:E,""),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6" t="str" cm="1">
        <f t="array" ref="K719">IFERROR(_xlfn.LET(
_xlpm.CSVVal,_xlfn.XLOOKUP($A719,CSV!$A:$A,CSV!N:N,""),
_xlpm.MacVal,_xlfn.XLOOKUP($A719,Output_Mac!$A:$A,Output_Mac!L:L,""),
_xlpm.MyAuditVal,_xlfn.XLOOKUP($A719,My_Audit!$A:$A,My_Audit!J:J,""),
_xlfn.IFS(_xlpm.MyAuditVal&lt;&gt;"",UPPER(_xlpm.MyAuditVal),_xlpm.MacVal&lt;&gt;"",_xlpm.MacVal,_xlpm.CSVVal&lt;&gt;"",_xlpm.CSVVal
)),"")</f>
        <v/>
      </c>
      <c r="L719" s="45"/>
      <c r="M719" s="45"/>
      <c r="N719" s="45"/>
      <c r="O719" s="45"/>
      <c r="P719" s="45"/>
      <c r="Q719" s="46" t="str">
        <f>IF(LEFT(N719,4)="Pass","Nist SP 800-88",My_Audit!R719)&amp;""</f>
        <v/>
      </c>
      <c r="R719" s="45"/>
      <c r="S719" s="45"/>
      <c r="T719" s="46" t="str">
        <f>_xlfn.XLOOKUP(E719,Models!I:I,Models!J:J,"")</f>
        <v/>
      </c>
      <c r="U719" s="45"/>
      <c r="V719" s="45"/>
      <c r="W719" s="38" t="str">
        <f>_xlfn.LET(
    _xlpm.MacVal, _xlfn.XLOOKUP($A719, Output_Mac!$A:$A, Output_Mac!AA:AA, ""),
    _xlpm.MyAuditVal, _xlfn.XLOOKUP($A719, My_Audit!$A:$A, My_Audit!L:L, ""),
    _xlfn.TEXTJOIN(", ", TRUE, _xlpm.MyAuditVal, _xlpm.MacVal)
)</f>
        <v/>
      </c>
    </row>
    <row r="720" spans="1:23">
      <c r="A720" s="45" t="str">
        <f>_xlfn.TEXTJOIN("",TRUE,Input!$B$2,ROW(My_Audit!A719))</f>
        <v>CC719</v>
      </c>
      <c r="B720" s="45"/>
      <c r="C720" s="45"/>
      <c r="D720" s="46" t="str" cm="1">
        <f t="array" ref="D720">IFERROR(_xlfn.LET(
_xlpm.CSVVal,_xlfn.XLOOKUP($A720,CSV!$A:$A,CSV!C:C,""),
_xlpm.MacVal,_xlfn.XLOOKUP($A720,Output_Mac!$A:$A,Output_Mac!D:D,""),
_xlpm.MyAuditVal,_xlfn.XLOOKUP($A720,My_Audit!$A:$A,My_Audit!C:C,""),
_xlfn.IFS(_xlpm.MyAuditVal&lt;&gt;"",UPPER(_xlpm.MyAuditVal),_xlpm.MacVal&lt;&gt;"",_xlpm.MacVal,_xlpm.CSVVal&lt;&gt;"",_xlpm.CSVVal
)),"")</f>
        <v/>
      </c>
      <c r="E720" s="46" t="str" cm="1">
        <f t="array" ref="E720">IFERROR(_xlfn.LET(
_xlpm.CSVVal,_xlfn.XLOOKUP($A720,CSV!$A:$A,CSV!E:E,""),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6" t="str" cm="1">
        <f t="array" ref="K720">IFERROR(_xlfn.LET(
_xlpm.CSVVal,_xlfn.XLOOKUP($A720,CSV!$A:$A,CSV!N:N,""),
_xlpm.MacVal,_xlfn.XLOOKUP($A720,Output_Mac!$A:$A,Output_Mac!L:L,""),
_xlpm.MyAuditVal,_xlfn.XLOOKUP($A720,My_Audit!$A:$A,My_Audit!J:J,""),
_xlfn.IFS(_xlpm.MyAuditVal&lt;&gt;"",UPPER(_xlpm.MyAuditVal),_xlpm.MacVal&lt;&gt;"",_xlpm.MacVal,_xlpm.CSVVal&lt;&gt;"",_xlpm.CSVVal
)),"")</f>
        <v/>
      </c>
      <c r="L720" s="45"/>
      <c r="M720" s="45"/>
      <c r="N720" s="45"/>
      <c r="O720" s="45"/>
      <c r="P720" s="45"/>
      <c r="Q720" s="46" t="str">
        <f>IF(LEFT(N720,4)="Pass","Nist SP 800-88",My_Audit!R720)&amp;""</f>
        <v/>
      </c>
      <c r="R720" s="45"/>
      <c r="S720" s="45"/>
      <c r="T720" s="46" t="str">
        <f>_xlfn.XLOOKUP(E720,Models!I:I,Models!J:J,"")</f>
        <v/>
      </c>
      <c r="U720" s="45"/>
      <c r="V720" s="45"/>
      <c r="W720" s="38" t="str">
        <f>_xlfn.LET(
    _xlpm.MacVal, _xlfn.XLOOKUP($A720, Output_Mac!$A:$A, Output_Mac!AA:AA, ""),
    _xlpm.MyAuditVal, _xlfn.XLOOKUP($A720, My_Audit!$A:$A, My_Audit!L:L, ""),
    _xlfn.TEXTJOIN(", ", TRUE, _xlpm.MyAuditVal, _xlpm.MacVal)
)</f>
        <v/>
      </c>
    </row>
    <row r="721" spans="1:23">
      <c r="A721" s="45" t="str">
        <f>_xlfn.TEXTJOIN("",TRUE,Input!$B$2,ROW(My_Audit!A720))</f>
        <v>CC720</v>
      </c>
      <c r="B721" s="45"/>
      <c r="C721" s="45"/>
      <c r="D721" s="46" t="str" cm="1">
        <f t="array" ref="D721">IFERROR(_xlfn.LET(
_xlpm.CSVVal,_xlfn.XLOOKUP($A721,CSV!$A:$A,CSV!C:C,""),
_xlpm.MacVal,_xlfn.XLOOKUP($A721,Output_Mac!$A:$A,Output_Mac!D:D,""),
_xlpm.MyAuditVal,_xlfn.XLOOKUP($A721,My_Audit!$A:$A,My_Audit!C:C,""),
_xlfn.IFS(_xlpm.MyAuditVal&lt;&gt;"",UPPER(_xlpm.MyAuditVal),_xlpm.MacVal&lt;&gt;"",_xlpm.MacVal,_xlpm.CSVVal&lt;&gt;"",_xlpm.CSVVal
)),"")</f>
        <v/>
      </c>
      <c r="E721" s="46" t="str" cm="1">
        <f t="array" ref="E721">IFERROR(_xlfn.LET(
_xlpm.CSVVal,_xlfn.XLOOKUP($A721,CSV!$A:$A,CSV!E:E,""),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6" t="str" cm="1">
        <f t="array" ref="K721">IFERROR(_xlfn.LET(
_xlpm.CSVVal,_xlfn.XLOOKUP($A721,CSV!$A:$A,CSV!N:N,""),
_xlpm.MacVal,_xlfn.XLOOKUP($A721,Output_Mac!$A:$A,Output_Mac!L:L,""),
_xlpm.MyAuditVal,_xlfn.XLOOKUP($A721,My_Audit!$A:$A,My_Audit!J:J,""),
_xlfn.IFS(_xlpm.MyAuditVal&lt;&gt;"",UPPER(_xlpm.MyAuditVal),_xlpm.MacVal&lt;&gt;"",_xlpm.MacVal,_xlpm.CSVVal&lt;&gt;"",_xlpm.CSVVal
)),"")</f>
        <v/>
      </c>
      <c r="L721" s="45"/>
      <c r="M721" s="45"/>
      <c r="N721" s="45"/>
      <c r="O721" s="45"/>
      <c r="P721" s="45"/>
      <c r="Q721" s="46" t="str">
        <f>IF(LEFT(N721,4)="Pass","Nist SP 800-88",My_Audit!R721)&amp;""</f>
        <v/>
      </c>
      <c r="R721" s="45"/>
      <c r="S721" s="45"/>
      <c r="T721" s="46" t="str">
        <f>_xlfn.XLOOKUP(E721,Models!I:I,Models!J:J,"")</f>
        <v/>
      </c>
      <c r="U721" s="45"/>
      <c r="V721" s="45"/>
      <c r="W721" s="38" t="str">
        <f>_xlfn.LET(
    _xlpm.MacVal, _xlfn.XLOOKUP($A721, Output_Mac!$A:$A, Output_Mac!AA:AA, ""),
    _xlpm.MyAuditVal, _xlfn.XLOOKUP($A721, My_Audit!$A:$A, My_Audit!L:L, ""),
    _xlfn.TEXTJOIN(", ", TRUE, _xlpm.MyAuditVal, _xlpm.MacVal)
)</f>
        <v/>
      </c>
    </row>
    <row r="722" spans="1:23">
      <c r="A722" s="45" t="str">
        <f>_xlfn.TEXTJOIN("",TRUE,Input!$B$2,ROW(My_Audit!A721))</f>
        <v>CC721</v>
      </c>
      <c r="B722" s="45"/>
      <c r="C722" s="45"/>
      <c r="D722" s="46" t="str" cm="1">
        <f t="array" ref="D722">IFERROR(_xlfn.LET(
_xlpm.CSVVal,_xlfn.XLOOKUP($A722,CSV!$A:$A,CSV!C:C,""),
_xlpm.MacVal,_xlfn.XLOOKUP($A722,Output_Mac!$A:$A,Output_Mac!D:D,""),
_xlpm.MyAuditVal,_xlfn.XLOOKUP($A722,My_Audit!$A:$A,My_Audit!C:C,""),
_xlfn.IFS(_xlpm.MyAuditVal&lt;&gt;"",UPPER(_xlpm.MyAuditVal),_xlpm.MacVal&lt;&gt;"",_xlpm.MacVal,_xlpm.CSVVal&lt;&gt;"",_xlpm.CSVVal
)),"")</f>
        <v/>
      </c>
      <c r="E722" s="46" t="str" cm="1">
        <f t="array" ref="E722">IFERROR(_xlfn.LET(
_xlpm.CSVVal,_xlfn.XLOOKUP($A722,CSV!$A:$A,CSV!E:E,""),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6" t="str" cm="1">
        <f t="array" ref="K722">IFERROR(_xlfn.LET(
_xlpm.CSVVal,_xlfn.XLOOKUP($A722,CSV!$A:$A,CSV!N:N,""),
_xlpm.MacVal,_xlfn.XLOOKUP($A722,Output_Mac!$A:$A,Output_Mac!L:L,""),
_xlpm.MyAuditVal,_xlfn.XLOOKUP($A722,My_Audit!$A:$A,My_Audit!J:J,""),
_xlfn.IFS(_xlpm.MyAuditVal&lt;&gt;"",UPPER(_xlpm.MyAuditVal),_xlpm.MacVal&lt;&gt;"",_xlpm.MacVal,_xlpm.CSVVal&lt;&gt;"",_xlpm.CSVVal
)),"")</f>
        <v/>
      </c>
      <c r="L722" s="45"/>
      <c r="M722" s="45"/>
      <c r="N722" s="45"/>
      <c r="O722" s="45"/>
      <c r="P722" s="45"/>
      <c r="Q722" s="46" t="str">
        <f>IF(LEFT(N722,4)="Pass","Nist SP 800-88",My_Audit!R722)&amp;""</f>
        <v/>
      </c>
      <c r="R722" s="45"/>
      <c r="S722" s="45"/>
      <c r="T722" s="46" t="str">
        <f>_xlfn.XLOOKUP(E722,Models!I:I,Models!J:J,"")</f>
        <v/>
      </c>
      <c r="U722" s="45"/>
      <c r="V722" s="45"/>
      <c r="W722" s="38" t="str">
        <f>_xlfn.LET(
    _xlpm.MacVal, _xlfn.XLOOKUP($A722, Output_Mac!$A:$A, Output_Mac!AA:AA, ""),
    _xlpm.MyAuditVal, _xlfn.XLOOKUP($A722, My_Audit!$A:$A, My_Audit!L:L, ""),
    _xlfn.TEXTJOIN(", ", TRUE, _xlpm.MyAuditVal, _xlpm.MacVal)
)</f>
        <v/>
      </c>
    </row>
    <row r="723" spans="1:23">
      <c r="A723" s="45" t="str">
        <f>_xlfn.TEXTJOIN("",TRUE,Input!$B$2,ROW(My_Audit!A722))</f>
        <v>CC722</v>
      </c>
      <c r="B723" s="45"/>
      <c r="C723" s="45"/>
      <c r="D723" s="46" t="str" cm="1">
        <f t="array" ref="D723">IFERROR(_xlfn.LET(
_xlpm.CSVVal,_xlfn.XLOOKUP($A723,CSV!$A:$A,CSV!C:C,""),
_xlpm.MacVal,_xlfn.XLOOKUP($A723,Output_Mac!$A:$A,Output_Mac!D:D,""),
_xlpm.MyAuditVal,_xlfn.XLOOKUP($A723,My_Audit!$A:$A,My_Audit!C:C,""),
_xlfn.IFS(_xlpm.MyAuditVal&lt;&gt;"",UPPER(_xlpm.MyAuditVal),_xlpm.MacVal&lt;&gt;"",_xlpm.MacVal,_xlpm.CSVVal&lt;&gt;"",_xlpm.CSVVal
)),"")</f>
        <v/>
      </c>
      <c r="E723" s="46" t="str" cm="1">
        <f t="array" ref="E723">IFERROR(_xlfn.LET(
_xlpm.CSVVal,_xlfn.XLOOKUP($A723,CSV!$A:$A,CSV!E:E,""),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6" t="str" cm="1">
        <f t="array" ref="K723">IFERROR(_xlfn.LET(
_xlpm.CSVVal,_xlfn.XLOOKUP($A723,CSV!$A:$A,CSV!N:N,""),
_xlpm.MacVal,_xlfn.XLOOKUP($A723,Output_Mac!$A:$A,Output_Mac!L:L,""),
_xlpm.MyAuditVal,_xlfn.XLOOKUP($A723,My_Audit!$A:$A,My_Audit!J:J,""),
_xlfn.IFS(_xlpm.MyAuditVal&lt;&gt;"",UPPER(_xlpm.MyAuditVal),_xlpm.MacVal&lt;&gt;"",_xlpm.MacVal,_xlpm.CSVVal&lt;&gt;"",_xlpm.CSVVal
)),"")</f>
        <v/>
      </c>
      <c r="L723" s="45"/>
      <c r="M723" s="45"/>
      <c r="N723" s="45"/>
      <c r="O723" s="45"/>
      <c r="P723" s="45"/>
      <c r="Q723" s="46" t="str">
        <f>IF(LEFT(N723,4)="Pass","Nist SP 800-88",My_Audit!R723)&amp;""</f>
        <v/>
      </c>
      <c r="R723" s="45"/>
      <c r="S723" s="45"/>
      <c r="T723" s="46" t="str">
        <f>_xlfn.XLOOKUP(E723,Models!I:I,Models!J:J,"")</f>
        <v/>
      </c>
      <c r="U723" s="45"/>
      <c r="V723" s="45"/>
      <c r="W723" s="38" t="str">
        <f>_xlfn.LET(
    _xlpm.MacVal, _xlfn.XLOOKUP($A723, Output_Mac!$A:$A, Output_Mac!AA:AA, ""),
    _xlpm.MyAuditVal, _xlfn.XLOOKUP($A723, My_Audit!$A:$A, My_Audit!L:L, ""),
    _xlfn.TEXTJOIN(", ", TRUE, _xlpm.MyAuditVal, _xlpm.MacVal)
)</f>
        <v/>
      </c>
    </row>
    <row r="724" spans="1:23">
      <c r="A724" s="45" t="str">
        <f>_xlfn.TEXTJOIN("",TRUE,Input!$B$2,ROW(My_Audit!A723))</f>
        <v>CC723</v>
      </c>
      <c r="B724" s="45"/>
      <c r="C724" s="45"/>
      <c r="D724" s="46" t="str" cm="1">
        <f t="array" ref="D724">IFERROR(_xlfn.LET(
_xlpm.CSVVal,_xlfn.XLOOKUP($A724,CSV!$A:$A,CSV!C:C,""),
_xlpm.MacVal,_xlfn.XLOOKUP($A724,Output_Mac!$A:$A,Output_Mac!D:D,""),
_xlpm.MyAuditVal,_xlfn.XLOOKUP($A724,My_Audit!$A:$A,My_Audit!C:C,""),
_xlfn.IFS(_xlpm.MyAuditVal&lt;&gt;"",UPPER(_xlpm.MyAuditVal),_xlpm.MacVal&lt;&gt;"",_xlpm.MacVal,_xlpm.CSVVal&lt;&gt;"",_xlpm.CSVVal
)),"")</f>
        <v/>
      </c>
      <c r="E724" s="46" t="str" cm="1">
        <f t="array" ref="E724">IFERROR(_xlfn.LET(
_xlpm.CSVVal,_xlfn.XLOOKUP($A724,CSV!$A:$A,CSV!E:E,""),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6" t="str" cm="1">
        <f t="array" ref="K724">IFERROR(_xlfn.LET(
_xlpm.CSVVal,_xlfn.XLOOKUP($A724,CSV!$A:$A,CSV!N:N,""),
_xlpm.MacVal,_xlfn.XLOOKUP($A724,Output_Mac!$A:$A,Output_Mac!L:L,""),
_xlpm.MyAuditVal,_xlfn.XLOOKUP($A724,My_Audit!$A:$A,My_Audit!J:J,""),
_xlfn.IFS(_xlpm.MyAuditVal&lt;&gt;"",UPPER(_xlpm.MyAuditVal),_xlpm.MacVal&lt;&gt;"",_xlpm.MacVal,_xlpm.CSVVal&lt;&gt;"",_xlpm.CSVVal
)),"")</f>
        <v/>
      </c>
      <c r="L724" s="45"/>
      <c r="M724" s="45"/>
      <c r="N724" s="45"/>
      <c r="O724" s="45"/>
      <c r="P724" s="45"/>
      <c r="Q724" s="46" t="str">
        <f>IF(LEFT(N724,4)="Pass","Nist SP 800-88",My_Audit!R724)&amp;""</f>
        <v/>
      </c>
      <c r="R724" s="45"/>
      <c r="S724" s="45"/>
      <c r="T724" s="46" t="str">
        <f>_xlfn.XLOOKUP(E724,Models!I:I,Models!J:J,"")</f>
        <v/>
      </c>
      <c r="U724" s="45"/>
      <c r="V724" s="45"/>
      <c r="W724" s="38" t="str">
        <f>_xlfn.LET(
    _xlpm.MacVal, _xlfn.XLOOKUP($A724, Output_Mac!$A:$A, Output_Mac!AA:AA, ""),
    _xlpm.MyAuditVal, _xlfn.XLOOKUP($A724, My_Audit!$A:$A, My_Audit!L:L, ""),
    _xlfn.TEXTJOIN(", ", TRUE, _xlpm.MyAuditVal, _xlpm.MacVal)
)</f>
        <v/>
      </c>
    </row>
    <row r="725" spans="1:23">
      <c r="A725" s="45" t="str">
        <f>_xlfn.TEXTJOIN("",TRUE,Input!$B$2,ROW(My_Audit!A724))</f>
        <v>CC724</v>
      </c>
      <c r="B725" s="45"/>
      <c r="C725" s="45"/>
      <c r="D725" s="46" t="str" cm="1">
        <f t="array" ref="D725">IFERROR(_xlfn.LET(
_xlpm.CSVVal,_xlfn.XLOOKUP($A725,CSV!$A:$A,CSV!C:C,""),
_xlpm.MacVal,_xlfn.XLOOKUP($A725,Output_Mac!$A:$A,Output_Mac!D:D,""),
_xlpm.MyAuditVal,_xlfn.XLOOKUP($A725,My_Audit!$A:$A,My_Audit!C:C,""),
_xlfn.IFS(_xlpm.MyAuditVal&lt;&gt;"",UPPER(_xlpm.MyAuditVal),_xlpm.MacVal&lt;&gt;"",_xlpm.MacVal,_xlpm.CSVVal&lt;&gt;"",_xlpm.CSVVal
)),"")</f>
        <v/>
      </c>
      <c r="E725" s="46" t="str" cm="1">
        <f t="array" ref="E725">IFERROR(_xlfn.LET(
_xlpm.CSVVal,_xlfn.XLOOKUP($A725,CSV!$A:$A,CSV!E:E,""),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6" t="str" cm="1">
        <f t="array" ref="K725">IFERROR(_xlfn.LET(
_xlpm.CSVVal,_xlfn.XLOOKUP($A725,CSV!$A:$A,CSV!N:N,""),
_xlpm.MacVal,_xlfn.XLOOKUP($A725,Output_Mac!$A:$A,Output_Mac!L:L,""),
_xlpm.MyAuditVal,_xlfn.XLOOKUP($A725,My_Audit!$A:$A,My_Audit!J:J,""),
_xlfn.IFS(_xlpm.MyAuditVal&lt;&gt;"",UPPER(_xlpm.MyAuditVal),_xlpm.MacVal&lt;&gt;"",_xlpm.MacVal,_xlpm.CSVVal&lt;&gt;"",_xlpm.CSVVal
)),"")</f>
        <v/>
      </c>
      <c r="L725" s="45"/>
      <c r="M725" s="45"/>
      <c r="N725" s="45"/>
      <c r="O725" s="45"/>
      <c r="P725" s="45"/>
      <c r="Q725" s="46" t="str">
        <f>IF(LEFT(N725,4)="Pass","Nist SP 800-88",My_Audit!R725)&amp;""</f>
        <v/>
      </c>
      <c r="R725" s="45"/>
      <c r="S725" s="45"/>
      <c r="T725" s="46" t="str">
        <f>_xlfn.XLOOKUP(E725,Models!I:I,Models!J:J,"")</f>
        <v/>
      </c>
      <c r="U725" s="45"/>
      <c r="V725" s="45"/>
      <c r="W725" s="38" t="str">
        <f>_xlfn.LET(
    _xlpm.MacVal, _xlfn.XLOOKUP($A725, Output_Mac!$A:$A, Output_Mac!AA:AA, ""),
    _xlpm.MyAuditVal, _xlfn.XLOOKUP($A725, My_Audit!$A:$A, My_Audit!L:L, ""),
    _xlfn.TEXTJOIN(", ", TRUE, _xlpm.MyAuditVal, _xlpm.MacVal)
)</f>
        <v/>
      </c>
    </row>
    <row r="726" spans="1:23">
      <c r="A726" s="45" t="str">
        <f>_xlfn.TEXTJOIN("",TRUE,Input!$B$2,ROW(My_Audit!A725))</f>
        <v>CC725</v>
      </c>
      <c r="B726" s="45"/>
      <c r="C726" s="45"/>
      <c r="D726" s="46" t="str" cm="1">
        <f t="array" ref="D726">IFERROR(_xlfn.LET(
_xlpm.CSVVal,_xlfn.XLOOKUP($A726,CSV!$A:$A,CSV!C:C,""),
_xlpm.MacVal,_xlfn.XLOOKUP($A726,Output_Mac!$A:$A,Output_Mac!D:D,""),
_xlpm.MyAuditVal,_xlfn.XLOOKUP($A726,My_Audit!$A:$A,My_Audit!C:C,""),
_xlfn.IFS(_xlpm.MyAuditVal&lt;&gt;"",UPPER(_xlpm.MyAuditVal),_xlpm.MacVal&lt;&gt;"",_xlpm.MacVal,_xlpm.CSVVal&lt;&gt;"",_xlpm.CSVVal
)),"")</f>
        <v/>
      </c>
      <c r="E726" s="46" t="str" cm="1">
        <f t="array" ref="E726">IFERROR(_xlfn.LET(
_xlpm.CSVVal,_xlfn.XLOOKUP($A726,CSV!$A:$A,CSV!E:E,""),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6" t="str" cm="1">
        <f t="array" ref="K726">IFERROR(_xlfn.LET(
_xlpm.CSVVal,_xlfn.XLOOKUP($A726,CSV!$A:$A,CSV!N:N,""),
_xlpm.MacVal,_xlfn.XLOOKUP($A726,Output_Mac!$A:$A,Output_Mac!L:L,""),
_xlpm.MyAuditVal,_xlfn.XLOOKUP($A726,My_Audit!$A:$A,My_Audit!J:J,""),
_xlfn.IFS(_xlpm.MyAuditVal&lt;&gt;"",UPPER(_xlpm.MyAuditVal),_xlpm.MacVal&lt;&gt;"",_xlpm.MacVal,_xlpm.CSVVal&lt;&gt;"",_xlpm.CSVVal
)),"")</f>
        <v/>
      </c>
      <c r="L726" s="45"/>
      <c r="M726" s="45"/>
      <c r="N726" s="45"/>
      <c r="O726" s="45"/>
      <c r="P726" s="45"/>
      <c r="Q726" s="46" t="str">
        <f>IF(LEFT(N726,4)="Pass","Nist SP 800-88",My_Audit!R726)&amp;""</f>
        <v/>
      </c>
      <c r="R726" s="45"/>
      <c r="S726" s="45"/>
      <c r="T726" s="46" t="str">
        <f>_xlfn.XLOOKUP(E726,Models!I:I,Models!J:J,"")</f>
        <v/>
      </c>
      <c r="U726" s="45"/>
      <c r="V726" s="45"/>
      <c r="W726" s="38" t="str">
        <f>_xlfn.LET(
    _xlpm.MacVal, _xlfn.XLOOKUP($A726, Output_Mac!$A:$A, Output_Mac!AA:AA, ""),
    _xlpm.MyAuditVal, _xlfn.XLOOKUP($A726, My_Audit!$A:$A, My_Audit!L:L, ""),
    _xlfn.TEXTJOIN(", ", TRUE, _xlpm.MyAuditVal, _xlpm.MacVal)
)</f>
        <v/>
      </c>
    </row>
    <row r="727" spans="1:23">
      <c r="A727" s="45" t="str">
        <f>_xlfn.TEXTJOIN("",TRUE,Input!$B$2,ROW(My_Audit!A726))</f>
        <v>CC726</v>
      </c>
      <c r="B727" s="45"/>
      <c r="C727" s="45"/>
      <c r="D727" s="46" t="str" cm="1">
        <f t="array" ref="D727">IFERROR(_xlfn.LET(
_xlpm.CSVVal,_xlfn.XLOOKUP($A727,CSV!$A:$A,CSV!C:C,""),
_xlpm.MacVal,_xlfn.XLOOKUP($A727,Output_Mac!$A:$A,Output_Mac!D:D,""),
_xlpm.MyAuditVal,_xlfn.XLOOKUP($A727,My_Audit!$A:$A,My_Audit!C:C,""),
_xlfn.IFS(_xlpm.MyAuditVal&lt;&gt;"",UPPER(_xlpm.MyAuditVal),_xlpm.MacVal&lt;&gt;"",_xlpm.MacVal,_xlpm.CSVVal&lt;&gt;"",_xlpm.CSVVal
)),"")</f>
        <v/>
      </c>
      <c r="E727" s="46" t="str" cm="1">
        <f t="array" ref="E727">IFERROR(_xlfn.LET(
_xlpm.CSVVal,_xlfn.XLOOKUP($A727,CSV!$A:$A,CSV!E:E,""),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6" t="str" cm="1">
        <f t="array" ref="K727">IFERROR(_xlfn.LET(
_xlpm.CSVVal,_xlfn.XLOOKUP($A727,CSV!$A:$A,CSV!N:N,""),
_xlpm.MacVal,_xlfn.XLOOKUP($A727,Output_Mac!$A:$A,Output_Mac!L:L,""),
_xlpm.MyAuditVal,_xlfn.XLOOKUP($A727,My_Audit!$A:$A,My_Audit!J:J,""),
_xlfn.IFS(_xlpm.MyAuditVal&lt;&gt;"",UPPER(_xlpm.MyAuditVal),_xlpm.MacVal&lt;&gt;"",_xlpm.MacVal,_xlpm.CSVVal&lt;&gt;"",_xlpm.CSVVal
)),"")</f>
        <v/>
      </c>
      <c r="L727" s="45"/>
      <c r="M727" s="45"/>
      <c r="N727" s="45"/>
      <c r="O727" s="45"/>
      <c r="P727" s="45"/>
      <c r="Q727" s="46" t="str">
        <f>IF(LEFT(N727,4)="Pass","Nist SP 800-88",My_Audit!R727)&amp;""</f>
        <v/>
      </c>
      <c r="R727" s="45"/>
      <c r="S727" s="45"/>
      <c r="T727" s="46" t="str">
        <f>_xlfn.XLOOKUP(E727,Models!I:I,Models!J:J,"")</f>
        <v/>
      </c>
      <c r="U727" s="45"/>
      <c r="V727" s="45"/>
      <c r="W727" s="38" t="str">
        <f>_xlfn.LET(
    _xlpm.MacVal, _xlfn.XLOOKUP($A727, Output_Mac!$A:$A, Output_Mac!AA:AA, ""),
    _xlpm.MyAuditVal, _xlfn.XLOOKUP($A727, My_Audit!$A:$A, My_Audit!L:L, ""),
    _xlfn.TEXTJOIN(", ", TRUE, _xlpm.MyAuditVal, _xlpm.MacVal)
)</f>
        <v/>
      </c>
    </row>
    <row r="728" spans="1:23">
      <c r="A728" s="45" t="str">
        <f>_xlfn.TEXTJOIN("",TRUE,Input!$B$2,ROW(My_Audit!A727))</f>
        <v>CC727</v>
      </c>
      <c r="B728" s="45"/>
      <c r="C728" s="45"/>
      <c r="D728" s="46" t="str" cm="1">
        <f t="array" ref="D728">IFERROR(_xlfn.LET(
_xlpm.CSVVal,_xlfn.XLOOKUP($A728,CSV!$A:$A,CSV!C:C,""),
_xlpm.MacVal,_xlfn.XLOOKUP($A728,Output_Mac!$A:$A,Output_Mac!D:D,""),
_xlpm.MyAuditVal,_xlfn.XLOOKUP($A728,My_Audit!$A:$A,My_Audit!C:C,""),
_xlfn.IFS(_xlpm.MyAuditVal&lt;&gt;"",UPPER(_xlpm.MyAuditVal),_xlpm.MacVal&lt;&gt;"",_xlpm.MacVal,_xlpm.CSVVal&lt;&gt;"",_xlpm.CSVVal
)),"")</f>
        <v/>
      </c>
      <c r="E728" s="46" t="str" cm="1">
        <f t="array" ref="E728">IFERROR(_xlfn.LET(
_xlpm.CSVVal,_xlfn.XLOOKUP($A728,CSV!$A:$A,CSV!E:E,""),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6" t="str" cm="1">
        <f t="array" ref="K728">IFERROR(_xlfn.LET(
_xlpm.CSVVal,_xlfn.XLOOKUP($A728,CSV!$A:$A,CSV!N:N,""),
_xlpm.MacVal,_xlfn.XLOOKUP($A728,Output_Mac!$A:$A,Output_Mac!L:L,""),
_xlpm.MyAuditVal,_xlfn.XLOOKUP($A728,My_Audit!$A:$A,My_Audit!J:J,""),
_xlfn.IFS(_xlpm.MyAuditVal&lt;&gt;"",UPPER(_xlpm.MyAuditVal),_xlpm.MacVal&lt;&gt;"",_xlpm.MacVal,_xlpm.CSVVal&lt;&gt;"",_xlpm.CSVVal
)),"")</f>
        <v/>
      </c>
      <c r="L728" s="45"/>
      <c r="M728" s="45"/>
      <c r="N728" s="45"/>
      <c r="O728" s="45"/>
      <c r="P728" s="45"/>
      <c r="Q728" s="46" t="str">
        <f>IF(LEFT(N728,4)="Pass","Nist SP 800-88",My_Audit!R728)&amp;""</f>
        <v/>
      </c>
      <c r="R728" s="45"/>
      <c r="S728" s="45"/>
      <c r="T728" s="46" t="str">
        <f>_xlfn.XLOOKUP(E728,Models!I:I,Models!J:J,"")</f>
        <v/>
      </c>
      <c r="U728" s="45"/>
      <c r="V728" s="45"/>
      <c r="W728" s="38" t="str">
        <f>_xlfn.LET(
    _xlpm.MacVal, _xlfn.XLOOKUP($A728, Output_Mac!$A:$A, Output_Mac!AA:AA, ""),
    _xlpm.MyAuditVal, _xlfn.XLOOKUP($A728, My_Audit!$A:$A, My_Audit!L:L, ""),
    _xlfn.TEXTJOIN(", ", TRUE, _xlpm.MyAuditVal, _xlpm.MacVal)
)</f>
        <v/>
      </c>
    </row>
    <row r="729" spans="1:23">
      <c r="A729" s="45" t="str">
        <f>_xlfn.TEXTJOIN("",TRUE,Input!$B$2,ROW(My_Audit!A728))</f>
        <v>CC728</v>
      </c>
      <c r="B729" s="45"/>
      <c r="C729" s="45"/>
      <c r="D729" s="46" t="str" cm="1">
        <f t="array" ref="D729">IFERROR(_xlfn.LET(
_xlpm.CSVVal,_xlfn.XLOOKUP($A729,CSV!$A:$A,CSV!C:C,""),
_xlpm.MacVal,_xlfn.XLOOKUP($A729,Output_Mac!$A:$A,Output_Mac!D:D,""),
_xlpm.MyAuditVal,_xlfn.XLOOKUP($A729,My_Audit!$A:$A,My_Audit!C:C,""),
_xlfn.IFS(_xlpm.MyAuditVal&lt;&gt;"",UPPER(_xlpm.MyAuditVal),_xlpm.MacVal&lt;&gt;"",_xlpm.MacVal,_xlpm.CSVVal&lt;&gt;"",_xlpm.CSVVal
)),"")</f>
        <v/>
      </c>
      <c r="E729" s="46" t="str" cm="1">
        <f t="array" ref="E729">IFERROR(_xlfn.LET(
_xlpm.CSVVal,_xlfn.XLOOKUP($A729,CSV!$A:$A,CSV!E:E,""),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6" t="str" cm="1">
        <f t="array" ref="K729">IFERROR(_xlfn.LET(
_xlpm.CSVVal,_xlfn.XLOOKUP($A729,CSV!$A:$A,CSV!N:N,""),
_xlpm.MacVal,_xlfn.XLOOKUP($A729,Output_Mac!$A:$A,Output_Mac!L:L,""),
_xlpm.MyAuditVal,_xlfn.XLOOKUP($A729,My_Audit!$A:$A,My_Audit!J:J,""),
_xlfn.IFS(_xlpm.MyAuditVal&lt;&gt;"",UPPER(_xlpm.MyAuditVal),_xlpm.MacVal&lt;&gt;"",_xlpm.MacVal,_xlpm.CSVVal&lt;&gt;"",_xlpm.CSVVal
)),"")</f>
        <v/>
      </c>
      <c r="L729" s="45"/>
      <c r="M729" s="45"/>
      <c r="N729" s="45"/>
      <c r="O729" s="45"/>
      <c r="P729" s="45"/>
      <c r="Q729" s="46" t="str">
        <f>IF(LEFT(N729,4)="Pass","Nist SP 800-88",My_Audit!R729)&amp;""</f>
        <v/>
      </c>
      <c r="R729" s="45"/>
      <c r="S729" s="45"/>
      <c r="T729" s="46" t="str">
        <f>_xlfn.XLOOKUP(E729,Models!I:I,Models!J:J,"")</f>
        <v/>
      </c>
      <c r="U729" s="45"/>
      <c r="V729" s="45"/>
      <c r="W729" s="38" t="str">
        <f>_xlfn.LET(
    _xlpm.MacVal, _xlfn.XLOOKUP($A729, Output_Mac!$A:$A, Output_Mac!AA:AA, ""),
    _xlpm.MyAuditVal, _xlfn.XLOOKUP($A729, My_Audit!$A:$A, My_Audit!L:L, ""),
    _xlfn.TEXTJOIN(", ", TRUE, _xlpm.MyAuditVal, _xlpm.MacVal)
)</f>
        <v/>
      </c>
    </row>
    <row r="730" spans="1:23">
      <c r="A730" s="45" t="str">
        <f>_xlfn.TEXTJOIN("",TRUE,Input!$B$2,ROW(My_Audit!A729))</f>
        <v>CC729</v>
      </c>
      <c r="B730" s="45"/>
      <c r="C730" s="45"/>
      <c r="D730" s="46" t="str" cm="1">
        <f t="array" ref="D730">IFERROR(_xlfn.LET(
_xlpm.CSVVal,_xlfn.XLOOKUP($A730,CSV!$A:$A,CSV!C:C,""),
_xlpm.MacVal,_xlfn.XLOOKUP($A730,Output_Mac!$A:$A,Output_Mac!D:D,""),
_xlpm.MyAuditVal,_xlfn.XLOOKUP($A730,My_Audit!$A:$A,My_Audit!C:C,""),
_xlfn.IFS(_xlpm.MyAuditVal&lt;&gt;"",UPPER(_xlpm.MyAuditVal),_xlpm.MacVal&lt;&gt;"",_xlpm.MacVal,_xlpm.CSVVal&lt;&gt;"",_xlpm.CSVVal
)),"")</f>
        <v/>
      </c>
      <c r="E730" s="46" t="str" cm="1">
        <f t="array" ref="E730">IFERROR(_xlfn.LET(
_xlpm.CSVVal,_xlfn.XLOOKUP($A730,CSV!$A:$A,CSV!E:E,""),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6" t="str" cm="1">
        <f t="array" ref="K730">IFERROR(_xlfn.LET(
_xlpm.CSVVal,_xlfn.XLOOKUP($A730,CSV!$A:$A,CSV!N:N,""),
_xlpm.MacVal,_xlfn.XLOOKUP($A730,Output_Mac!$A:$A,Output_Mac!L:L,""),
_xlpm.MyAuditVal,_xlfn.XLOOKUP($A730,My_Audit!$A:$A,My_Audit!J:J,""),
_xlfn.IFS(_xlpm.MyAuditVal&lt;&gt;"",UPPER(_xlpm.MyAuditVal),_xlpm.MacVal&lt;&gt;"",_xlpm.MacVal,_xlpm.CSVVal&lt;&gt;"",_xlpm.CSVVal
)),"")</f>
        <v/>
      </c>
      <c r="L730" s="45"/>
      <c r="M730" s="45"/>
      <c r="N730" s="45"/>
      <c r="O730" s="45"/>
      <c r="P730" s="45"/>
      <c r="Q730" s="46" t="str">
        <f>IF(LEFT(N730,4)="Pass","Nist SP 800-88",My_Audit!R730)&amp;""</f>
        <v/>
      </c>
      <c r="R730" s="45"/>
      <c r="S730" s="45"/>
      <c r="T730" s="46" t="str">
        <f>_xlfn.XLOOKUP(E730,Models!I:I,Models!J:J,"")</f>
        <v/>
      </c>
      <c r="U730" s="45"/>
      <c r="V730" s="45"/>
      <c r="W730" s="38" t="str">
        <f>_xlfn.LET(
    _xlpm.MacVal, _xlfn.XLOOKUP($A730, Output_Mac!$A:$A, Output_Mac!AA:AA, ""),
    _xlpm.MyAuditVal, _xlfn.XLOOKUP($A730, My_Audit!$A:$A, My_Audit!L:L, ""),
    _xlfn.TEXTJOIN(", ", TRUE, _xlpm.MyAuditVal, _xlpm.MacVal)
)</f>
        <v/>
      </c>
    </row>
    <row r="731" spans="1:23">
      <c r="A731" s="45" t="str">
        <f>_xlfn.TEXTJOIN("",TRUE,Input!$B$2,ROW(My_Audit!A730))</f>
        <v>CC730</v>
      </c>
      <c r="B731" s="45"/>
      <c r="C731" s="45"/>
      <c r="D731" s="46" t="str" cm="1">
        <f t="array" ref="D731">IFERROR(_xlfn.LET(
_xlpm.CSVVal,_xlfn.XLOOKUP($A731,CSV!$A:$A,CSV!C:C,""),
_xlpm.MacVal,_xlfn.XLOOKUP($A731,Output_Mac!$A:$A,Output_Mac!D:D,""),
_xlpm.MyAuditVal,_xlfn.XLOOKUP($A731,My_Audit!$A:$A,My_Audit!C:C,""),
_xlfn.IFS(_xlpm.MyAuditVal&lt;&gt;"",UPPER(_xlpm.MyAuditVal),_xlpm.MacVal&lt;&gt;"",_xlpm.MacVal,_xlpm.CSVVal&lt;&gt;"",_xlpm.CSVVal
)),"")</f>
        <v/>
      </c>
      <c r="E731" s="46" t="str" cm="1">
        <f t="array" ref="E731">IFERROR(_xlfn.LET(
_xlpm.CSVVal,_xlfn.XLOOKUP($A731,CSV!$A:$A,CSV!E:E,""),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6" t="str" cm="1">
        <f t="array" ref="K731">IFERROR(_xlfn.LET(
_xlpm.CSVVal,_xlfn.XLOOKUP($A731,CSV!$A:$A,CSV!N:N,""),
_xlpm.MacVal,_xlfn.XLOOKUP($A731,Output_Mac!$A:$A,Output_Mac!L:L,""),
_xlpm.MyAuditVal,_xlfn.XLOOKUP($A731,My_Audit!$A:$A,My_Audit!J:J,""),
_xlfn.IFS(_xlpm.MyAuditVal&lt;&gt;"",UPPER(_xlpm.MyAuditVal),_xlpm.MacVal&lt;&gt;"",_xlpm.MacVal,_xlpm.CSVVal&lt;&gt;"",_xlpm.CSVVal
)),"")</f>
        <v/>
      </c>
      <c r="L731" s="45"/>
      <c r="M731" s="45"/>
      <c r="N731" s="45"/>
      <c r="O731" s="45"/>
      <c r="P731" s="45"/>
      <c r="Q731" s="46" t="str">
        <f>IF(LEFT(N731,4)="Pass","Nist SP 800-88",My_Audit!R731)&amp;""</f>
        <v/>
      </c>
      <c r="R731" s="45"/>
      <c r="S731" s="45"/>
      <c r="T731" s="46" t="str">
        <f>_xlfn.XLOOKUP(E731,Models!I:I,Models!J:J,"")</f>
        <v/>
      </c>
      <c r="U731" s="45"/>
      <c r="V731" s="45"/>
      <c r="W731" s="38" t="str">
        <f>_xlfn.LET(
    _xlpm.MacVal, _xlfn.XLOOKUP($A731, Output_Mac!$A:$A, Output_Mac!AA:AA, ""),
    _xlpm.MyAuditVal, _xlfn.XLOOKUP($A731, My_Audit!$A:$A, My_Audit!L:L, ""),
    _xlfn.TEXTJOIN(", ", TRUE, _xlpm.MyAuditVal, _xlpm.MacVal)
)</f>
        <v/>
      </c>
    </row>
    <row r="732" spans="1:23">
      <c r="A732" s="45" t="str">
        <f>_xlfn.TEXTJOIN("",TRUE,Input!$B$2,ROW(My_Audit!A731))</f>
        <v>CC731</v>
      </c>
      <c r="B732" s="45"/>
      <c r="C732" s="45"/>
      <c r="D732" s="46" t="str" cm="1">
        <f t="array" ref="D732">IFERROR(_xlfn.LET(
_xlpm.CSVVal,_xlfn.XLOOKUP($A732,CSV!$A:$A,CSV!C:C,""),
_xlpm.MacVal,_xlfn.XLOOKUP($A732,Output_Mac!$A:$A,Output_Mac!D:D,""),
_xlpm.MyAuditVal,_xlfn.XLOOKUP($A732,My_Audit!$A:$A,My_Audit!C:C,""),
_xlfn.IFS(_xlpm.MyAuditVal&lt;&gt;"",UPPER(_xlpm.MyAuditVal),_xlpm.MacVal&lt;&gt;"",_xlpm.MacVal,_xlpm.CSVVal&lt;&gt;"",_xlpm.CSVVal
)),"")</f>
        <v/>
      </c>
      <c r="E732" s="46" t="str" cm="1">
        <f t="array" ref="E732">IFERROR(_xlfn.LET(
_xlpm.CSVVal,_xlfn.XLOOKUP($A732,CSV!$A:$A,CSV!E:E,""),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6" t="str" cm="1">
        <f t="array" ref="K732">IFERROR(_xlfn.LET(
_xlpm.CSVVal,_xlfn.XLOOKUP($A732,CSV!$A:$A,CSV!N:N,""),
_xlpm.MacVal,_xlfn.XLOOKUP($A732,Output_Mac!$A:$A,Output_Mac!L:L,""),
_xlpm.MyAuditVal,_xlfn.XLOOKUP($A732,My_Audit!$A:$A,My_Audit!J:J,""),
_xlfn.IFS(_xlpm.MyAuditVal&lt;&gt;"",UPPER(_xlpm.MyAuditVal),_xlpm.MacVal&lt;&gt;"",_xlpm.MacVal,_xlpm.CSVVal&lt;&gt;"",_xlpm.CSVVal
)),"")</f>
        <v/>
      </c>
      <c r="L732" s="45"/>
      <c r="M732" s="45"/>
      <c r="N732" s="45"/>
      <c r="O732" s="45"/>
      <c r="P732" s="45"/>
      <c r="Q732" s="46" t="str">
        <f>IF(LEFT(N732,4)="Pass","Nist SP 800-88",My_Audit!R732)&amp;""</f>
        <v/>
      </c>
      <c r="R732" s="45"/>
      <c r="S732" s="45"/>
      <c r="T732" s="46" t="str">
        <f>_xlfn.XLOOKUP(E732,Models!I:I,Models!J:J,"")</f>
        <v/>
      </c>
      <c r="U732" s="45"/>
      <c r="V732" s="45"/>
      <c r="W732" s="38" t="str">
        <f>_xlfn.LET(
    _xlpm.MacVal, _xlfn.XLOOKUP($A732, Output_Mac!$A:$A, Output_Mac!AA:AA, ""),
    _xlpm.MyAuditVal, _xlfn.XLOOKUP($A732, My_Audit!$A:$A, My_Audit!L:L, ""),
    _xlfn.TEXTJOIN(", ", TRUE, _xlpm.MyAuditVal, _xlpm.MacVal)
)</f>
        <v/>
      </c>
    </row>
    <row r="733" spans="1:23">
      <c r="A733" s="45" t="str">
        <f>_xlfn.TEXTJOIN("",TRUE,Input!$B$2,ROW(My_Audit!A732))</f>
        <v>CC732</v>
      </c>
      <c r="B733" s="45"/>
      <c r="C733" s="45"/>
      <c r="D733" s="46" t="str" cm="1">
        <f t="array" ref="D733">IFERROR(_xlfn.LET(
_xlpm.CSVVal,_xlfn.XLOOKUP($A733,CSV!$A:$A,CSV!C:C,""),
_xlpm.MacVal,_xlfn.XLOOKUP($A733,Output_Mac!$A:$A,Output_Mac!D:D,""),
_xlpm.MyAuditVal,_xlfn.XLOOKUP($A733,My_Audit!$A:$A,My_Audit!C:C,""),
_xlfn.IFS(_xlpm.MyAuditVal&lt;&gt;"",UPPER(_xlpm.MyAuditVal),_xlpm.MacVal&lt;&gt;"",_xlpm.MacVal,_xlpm.CSVVal&lt;&gt;"",_xlpm.CSVVal
)),"")</f>
        <v/>
      </c>
      <c r="E733" s="46" t="str" cm="1">
        <f t="array" ref="E733">IFERROR(_xlfn.LET(
_xlpm.CSVVal,_xlfn.XLOOKUP($A733,CSV!$A:$A,CSV!E:E,""),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6" t="str" cm="1">
        <f t="array" ref="K733">IFERROR(_xlfn.LET(
_xlpm.CSVVal,_xlfn.XLOOKUP($A733,CSV!$A:$A,CSV!N:N,""),
_xlpm.MacVal,_xlfn.XLOOKUP($A733,Output_Mac!$A:$A,Output_Mac!L:L,""),
_xlpm.MyAuditVal,_xlfn.XLOOKUP($A733,My_Audit!$A:$A,My_Audit!J:J,""),
_xlfn.IFS(_xlpm.MyAuditVal&lt;&gt;"",UPPER(_xlpm.MyAuditVal),_xlpm.MacVal&lt;&gt;"",_xlpm.MacVal,_xlpm.CSVVal&lt;&gt;"",_xlpm.CSVVal
)),"")</f>
        <v/>
      </c>
      <c r="L733" s="45"/>
      <c r="M733" s="45"/>
      <c r="N733" s="45"/>
      <c r="O733" s="45"/>
      <c r="P733" s="45"/>
      <c r="Q733" s="46" t="str">
        <f>IF(LEFT(N733,4)="Pass","Nist SP 800-88",My_Audit!R733)&amp;""</f>
        <v/>
      </c>
      <c r="R733" s="45"/>
      <c r="S733" s="45"/>
      <c r="T733" s="46" t="str">
        <f>_xlfn.XLOOKUP(E733,Models!I:I,Models!J:J,"")</f>
        <v/>
      </c>
      <c r="U733" s="45"/>
      <c r="V733" s="45"/>
      <c r="W733" s="38" t="str">
        <f>_xlfn.LET(
    _xlpm.MacVal, _xlfn.XLOOKUP($A733, Output_Mac!$A:$A, Output_Mac!AA:AA, ""),
    _xlpm.MyAuditVal, _xlfn.XLOOKUP($A733, My_Audit!$A:$A, My_Audit!L:L, ""),
    _xlfn.TEXTJOIN(", ", TRUE, _xlpm.MyAuditVal, _xlpm.MacVal)
)</f>
        <v/>
      </c>
    </row>
    <row r="734" spans="1:23">
      <c r="A734" s="45" t="str">
        <f>_xlfn.TEXTJOIN("",TRUE,Input!$B$2,ROW(My_Audit!A733))</f>
        <v>CC733</v>
      </c>
      <c r="B734" s="45"/>
      <c r="C734" s="45"/>
      <c r="D734" s="46" t="str" cm="1">
        <f t="array" ref="D734">IFERROR(_xlfn.LET(
_xlpm.CSVVal,_xlfn.XLOOKUP($A734,CSV!$A:$A,CSV!C:C,""),
_xlpm.MacVal,_xlfn.XLOOKUP($A734,Output_Mac!$A:$A,Output_Mac!D:D,""),
_xlpm.MyAuditVal,_xlfn.XLOOKUP($A734,My_Audit!$A:$A,My_Audit!C:C,""),
_xlfn.IFS(_xlpm.MyAuditVal&lt;&gt;"",UPPER(_xlpm.MyAuditVal),_xlpm.MacVal&lt;&gt;"",_xlpm.MacVal,_xlpm.CSVVal&lt;&gt;"",_xlpm.CSVVal
)),"")</f>
        <v/>
      </c>
      <c r="E734" s="46" t="str" cm="1">
        <f t="array" ref="E734">IFERROR(_xlfn.LET(
_xlpm.CSVVal,_xlfn.XLOOKUP($A734,CSV!$A:$A,CSV!E:E,""),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6" t="str" cm="1">
        <f t="array" ref="K734">IFERROR(_xlfn.LET(
_xlpm.CSVVal,_xlfn.XLOOKUP($A734,CSV!$A:$A,CSV!N:N,""),
_xlpm.MacVal,_xlfn.XLOOKUP($A734,Output_Mac!$A:$A,Output_Mac!L:L,""),
_xlpm.MyAuditVal,_xlfn.XLOOKUP($A734,My_Audit!$A:$A,My_Audit!J:J,""),
_xlfn.IFS(_xlpm.MyAuditVal&lt;&gt;"",UPPER(_xlpm.MyAuditVal),_xlpm.MacVal&lt;&gt;"",_xlpm.MacVal,_xlpm.CSVVal&lt;&gt;"",_xlpm.CSVVal
)),"")</f>
        <v/>
      </c>
      <c r="L734" s="45"/>
      <c r="M734" s="45"/>
      <c r="N734" s="45"/>
      <c r="O734" s="45"/>
      <c r="P734" s="45"/>
      <c r="Q734" s="46" t="str">
        <f>IF(LEFT(N734,4)="Pass","Nist SP 800-88",My_Audit!R734)&amp;""</f>
        <v/>
      </c>
      <c r="R734" s="45"/>
      <c r="S734" s="45"/>
      <c r="T734" s="46" t="str">
        <f>_xlfn.XLOOKUP(E734,Models!I:I,Models!J:J,"")</f>
        <v/>
      </c>
      <c r="U734" s="45"/>
      <c r="V734" s="45"/>
      <c r="W734" s="38" t="str">
        <f>_xlfn.LET(
    _xlpm.MacVal, _xlfn.XLOOKUP($A734, Output_Mac!$A:$A, Output_Mac!AA:AA, ""),
    _xlpm.MyAuditVal, _xlfn.XLOOKUP($A734, My_Audit!$A:$A, My_Audit!L:L, ""),
    _xlfn.TEXTJOIN(", ", TRUE, _xlpm.MyAuditVal, _xlpm.MacVal)
)</f>
        <v/>
      </c>
    </row>
    <row r="735" spans="1:23">
      <c r="A735" s="45" t="str">
        <f>_xlfn.TEXTJOIN("",TRUE,Input!$B$2,ROW(My_Audit!A734))</f>
        <v>CC734</v>
      </c>
      <c r="B735" s="45"/>
      <c r="C735" s="45"/>
      <c r="D735" s="46" t="str" cm="1">
        <f t="array" ref="D735">IFERROR(_xlfn.LET(
_xlpm.CSVVal,_xlfn.XLOOKUP($A735,CSV!$A:$A,CSV!C:C,""),
_xlpm.MacVal,_xlfn.XLOOKUP($A735,Output_Mac!$A:$A,Output_Mac!D:D,""),
_xlpm.MyAuditVal,_xlfn.XLOOKUP($A735,My_Audit!$A:$A,My_Audit!C:C,""),
_xlfn.IFS(_xlpm.MyAuditVal&lt;&gt;"",UPPER(_xlpm.MyAuditVal),_xlpm.MacVal&lt;&gt;"",_xlpm.MacVal,_xlpm.CSVVal&lt;&gt;"",_xlpm.CSVVal
)),"")</f>
        <v/>
      </c>
      <c r="E735" s="46" t="str" cm="1">
        <f t="array" ref="E735">IFERROR(_xlfn.LET(
_xlpm.CSVVal,_xlfn.XLOOKUP($A735,CSV!$A:$A,CSV!E:E,""),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6" t="str" cm="1">
        <f t="array" ref="K735">IFERROR(_xlfn.LET(
_xlpm.CSVVal,_xlfn.XLOOKUP($A735,CSV!$A:$A,CSV!N:N,""),
_xlpm.MacVal,_xlfn.XLOOKUP($A735,Output_Mac!$A:$A,Output_Mac!L:L,""),
_xlpm.MyAuditVal,_xlfn.XLOOKUP($A735,My_Audit!$A:$A,My_Audit!J:J,""),
_xlfn.IFS(_xlpm.MyAuditVal&lt;&gt;"",UPPER(_xlpm.MyAuditVal),_xlpm.MacVal&lt;&gt;"",_xlpm.MacVal,_xlpm.CSVVal&lt;&gt;"",_xlpm.CSVVal
)),"")</f>
        <v/>
      </c>
      <c r="L735" s="45"/>
      <c r="M735" s="45"/>
      <c r="N735" s="45"/>
      <c r="O735" s="45"/>
      <c r="P735" s="45"/>
      <c r="Q735" s="46" t="str">
        <f>IF(LEFT(N735,4)="Pass","Nist SP 800-88",My_Audit!R735)&amp;""</f>
        <v/>
      </c>
      <c r="R735" s="45"/>
      <c r="S735" s="45"/>
      <c r="T735" s="46" t="str">
        <f>_xlfn.XLOOKUP(E735,Models!I:I,Models!J:J,"")</f>
        <v/>
      </c>
      <c r="U735" s="45"/>
      <c r="V735" s="45"/>
      <c r="W735" s="38" t="str">
        <f>_xlfn.LET(
    _xlpm.MacVal, _xlfn.XLOOKUP($A735, Output_Mac!$A:$A, Output_Mac!AA:AA, ""),
    _xlpm.MyAuditVal, _xlfn.XLOOKUP($A735, My_Audit!$A:$A, My_Audit!L:L, ""),
    _xlfn.TEXTJOIN(", ", TRUE, _xlpm.MyAuditVal, _xlpm.MacVal)
)</f>
        <v/>
      </c>
    </row>
    <row r="736" spans="1:23">
      <c r="A736" s="45" t="str">
        <f>_xlfn.TEXTJOIN("",TRUE,Input!$B$2,ROW(My_Audit!A735))</f>
        <v>CC735</v>
      </c>
      <c r="B736" s="45"/>
      <c r="C736" s="45"/>
      <c r="D736" s="46" t="str" cm="1">
        <f t="array" ref="D736">IFERROR(_xlfn.LET(
_xlpm.CSVVal,_xlfn.XLOOKUP($A736,CSV!$A:$A,CSV!C:C,""),
_xlpm.MacVal,_xlfn.XLOOKUP($A736,Output_Mac!$A:$A,Output_Mac!D:D,""),
_xlpm.MyAuditVal,_xlfn.XLOOKUP($A736,My_Audit!$A:$A,My_Audit!C:C,""),
_xlfn.IFS(_xlpm.MyAuditVal&lt;&gt;"",UPPER(_xlpm.MyAuditVal),_xlpm.MacVal&lt;&gt;"",_xlpm.MacVal,_xlpm.CSVVal&lt;&gt;"",_xlpm.CSVVal
)),"")</f>
        <v/>
      </c>
      <c r="E736" s="46" t="str" cm="1">
        <f t="array" ref="E736">IFERROR(_xlfn.LET(
_xlpm.CSVVal,_xlfn.XLOOKUP($A736,CSV!$A:$A,CSV!E:E,""),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6" t="str" cm="1">
        <f t="array" ref="K736">IFERROR(_xlfn.LET(
_xlpm.CSVVal,_xlfn.XLOOKUP($A736,CSV!$A:$A,CSV!N:N,""),
_xlpm.MacVal,_xlfn.XLOOKUP($A736,Output_Mac!$A:$A,Output_Mac!L:L,""),
_xlpm.MyAuditVal,_xlfn.XLOOKUP($A736,My_Audit!$A:$A,My_Audit!J:J,""),
_xlfn.IFS(_xlpm.MyAuditVal&lt;&gt;"",UPPER(_xlpm.MyAuditVal),_xlpm.MacVal&lt;&gt;"",_xlpm.MacVal,_xlpm.CSVVal&lt;&gt;"",_xlpm.CSVVal
)),"")</f>
        <v/>
      </c>
      <c r="L736" s="45"/>
      <c r="M736" s="45"/>
      <c r="N736" s="45"/>
      <c r="O736" s="45"/>
      <c r="P736" s="45"/>
      <c r="Q736" s="46" t="str">
        <f>IF(LEFT(N736,4)="Pass","Nist SP 800-88",My_Audit!R736)&amp;""</f>
        <v/>
      </c>
      <c r="R736" s="45"/>
      <c r="S736" s="45"/>
      <c r="T736" s="46" t="str">
        <f>_xlfn.XLOOKUP(E736,Models!I:I,Models!J:J,"")</f>
        <v/>
      </c>
      <c r="U736" s="45"/>
      <c r="V736" s="45"/>
      <c r="W736" s="38" t="str">
        <f>_xlfn.LET(
    _xlpm.MacVal, _xlfn.XLOOKUP($A736, Output_Mac!$A:$A, Output_Mac!AA:AA, ""),
    _xlpm.MyAuditVal, _xlfn.XLOOKUP($A736, My_Audit!$A:$A, My_Audit!L:L, ""),
    _xlfn.TEXTJOIN(", ", TRUE, _xlpm.MyAuditVal, _xlpm.MacVal)
)</f>
        <v/>
      </c>
    </row>
    <row r="737" spans="1:23">
      <c r="A737" s="45" t="str">
        <f>_xlfn.TEXTJOIN("",TRUE,Input!$B$2,ROW(My_Audit!A736))</f>
        <v>CC736</v>
      </c>
      <c r="B737" s="45"/>
      <c r="C737" s="45"/>
      <c r="D737" s="46" t="str" cm="1">
        <f t="array" ref="D737">IFERROR(_xlfn.LET(
_xlpm.CSVVal,_xlfn.XLOOKUP($A737,CSV!$A:$A,CSV!C:C,""),
_xlpm.MacVal,_xlfn.XLOOKUP($A737,Output_Mac!$A:$A,Output_Mac!D:D,""),
_xlpm.MyAuditVal,_xlfn.XLOOKUP($A737,My_Audit!$A:$A,My_Audit!C:C,""),
_xlfn.IFS(_xlpm.MyAuditVal&lt;&gt;"",UPPER(_xlpm.MyAuditVal),_xlpm.MacVal&lt;&gt;"",_xlpm.MacVal,_xlpm.CSVVal&lt;&gt;"",_xlpm.CSVVal
)),"")</f>
        <v/>
      </c>
      <c r="E737" s="46" t="str" cm="1">
        <f t="array" ref="E737">IFERROR(_xlfn.LET(
_xlpm.CSVVal,_xlfn.XLOOKUP($A737,CSV!$A:$A,CSV!E:E,""),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6" t="str" cm="1">
        <f t="array" ref="K737">IFERROR(_xlfn.LET(
_xlpm.CSVVal,_xlfn.XLOOKUP($A737,CSV!$A:$A,CSV!N:N,""),
_xlpm.MacVal,_xlfn.XLOOKUP($A737,Output_Mac!$A:$A,Output_Mac!L:L,""),
_xlpm.MyAuditVal,_xlfn.XLOOKUP($A737,My_Audit!$A:$A,My_Audit!J:J,""),
_xlfn.IFS(_xlpm.MyAuditVal&lt;&gt;"",UPPER(_xlpm.MyAuditVal),_xlpm.MacVal&lt;&gt;"",_xlpm.MacVal,_xlpm.CSVVal&lt;&gt;"",_xlpm.CSVVal
)),"")</f>
        <v/>
      </c>
      <c r="L737" s="45"/>
      <c r="M737" s="45"/>
      <c r="N737" s="45"/>
      <c r="O737" s="45"/>
      <c r="P737" s="45"/>
      <c r="Q737" s="46" t="str">
        <f>IF(LEFT(N737,4)="Pass","Nist SP 800-88",My_Audit!R737)&amp;""</f>
        <v/>
      </c>
      <c r="R737" s="45"/>
      <c r="S737" s="45"/>
      <c r="T737" s="46" t="str">
        <f>_xlfn.XLOOKUP(E737,Models!I:I,Models!J:J,"")</f>
        <v/>
      </c>
      <c r="U737" s="45"/>
      <c r="V737" s="45"/>
      <c r="W737" s="38" t="str">
        <f>_xlfn.LET(
    _xlpm.MacVal, _xlfn.XLOOKUP($A737, Output_Mac!$A:$A, Output_Mac!AA:AA, ""),
    _xlpm.MyAuditVal, _xlfn.XLOOKUP($A737, My_Audit!$A:$A, My_Audit!L:L, ""),
    _xlfn.TEXTJOIN(", ", TRUE, _xlpm.MyAuditVal, _xlpm.MacVal)
)</f>
        <v/>
      </c>
    </row>
    <row r="738" spans="1:23">
      <c r="A738" s="45" t="str">
        <f>_xlfn.TEXTJOIN("",TRUE,Input!$B$2,ROW(My_Audit!A737))</f>
        <v>CC737</v>
      </c>
      <c r="B738" s="45"/>
      <c r="C738" s="45"/>
      <c r="D738" s="46" t="str" cm="1">
        <f t="array" ref="D738">IFERROR(_xlfn.LET(
_xlpm.CSVVal,_xlfn.XLOOKUP($A738,CSV!$A:$A,CSV!C:C,""),
_xlpm.MacVal,_xlfn.XLOOKUP($A738,Output_Mac!$A:$A,Output_Mac!D:D,""),
_xlpm.MyAuditVal,_xlfn.XLOOKUP($A738,My_Audit!$A:$A,My_Audit!C:C,""),
_xlfn.IFS(_xlpm.MyAuditVal&lt;&gt;"",UPPER(_xlpm.MyAuditVal),_xlpm.MacVal&lt;&gt;"",_xlpm.MacVal,_xlpm.CSVVal&lt;&gt;"",_xlpm.CSVVal
)),"")</f>
        <v/>
      </c>
      <c r="E738" s="46" t="str" cm="1">
        <f t="array" ref="E738">IFERROR(_xlfn.LET(
_xlpm.CSVVal,_xlfn.XLOOKUP($A738,CSV!$A:$A,CSV!E:E,""),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6" t="str" cm="1">
        <f t="array" ref="K738">IFERROR(_xlfn.LET(
_xlpm.CSVVal,_xlfn.XLOOKUP($A738,CSV!$A:$A,CSV!N:N,""),
_xlpm.MacVal,_xlfn.XLOOKUP($A738,Output_Mac!$A:$A,Output_Mac!L:L,""),
_xlpm.MyAuditVal,_xlfn.XLOOKUP($A738,My_Audit!$A:$A,My_Audit!J:J,""),
_xlfn.IFS(_xlpm.MyAuditVal&lt;&gt;"",UPPER(_xlpm.MyAuditVal),_xlpm.MacVal&lt;&gt;"",_xlpm.MacVal,_xlpm.CSVVal&lt;&gt;"",_xlpm.CSVVal
)),"")</f>
        <v/>
      </c>
      <c r="L738" s="45"/>
      <c r="M738" s="45"/>
      <c r="N738" s="45"/>
      <c r="O738" s="45"/>
      <c r="P738" s="45"/>
      <c r="Q738" s="46" t="str">
        <f>IF(LEFT(N738,4)="Pass","Nist SP 800-88",My_Audit!R738)&amp;""</f>
        <v/>
      </c>
      <c r="R738" s="45"/>
      <c r="S738" s="45"/>
      <c r="T738" s="46" t="str">
        <f>_xlfn.XLOOKUP(E738,Models!I:I,Models!J:J,"")</f>
        <v/>
      </c>
      <c r="U738" s="45"/>
      <c r="V738" s="45"/>
      <c r="W738" s="38" t="str">
        <f>_xlfn.LET(
    _xlpm.MacVal, _xlfn.XLOOKUP($A738, Output_Mac!$A:$A, Output_Mac!AA:AA, ""),
    _xlpm.MyAuditVal, _xlfn.XLOOKUP($A738, My_Audit!$A:$A, My_Audit!L:L, ""),
    _xlfn.TEXTJOIN(", ", TRUE, _xlpm.MyAuditVal, _xlpm.MacVal)
)</f>
        <v/>
      </c>
    </row>
    <row r="739" spans="1:23">
      <c r="A739" s="45" t="str">
        <f>_xlfn.TEXTJOIN("",TRUE,Input!$B$2,ROW(My_Audit!A738))</f>
        <v>CC738</v>
      </c>
      <c r="B739" s="45"/>
      <c r="C739" s="45"/>
      <c r="D739" s="46" t="str" cm="1">
        <f t="array" ref="D739">IFERROR(_xlfn.LET(
_xlpm.CSVVal,_xlfn.XLOOKUP($A739,CSV!$A:$A,CSV!C:C,""),
_xlpm.MacVal,_xlfn.XLOOKUP($A739,Output_Mac!$A:$A,Output_Mac!D:D,""),
_xlpm.MyAuditVal,_xlfn.XLOOKUP($A739,My_Audit!$A:$A,My_Audit!C:C,""),
_xlfn.IFS(_xlpm.MyAuditVal&lt;&gt;"",UPPER(_xlpm.MyAuditVal),_xlpm.MacVal&lt;&gt;"",_xlpm.MacVal,_xlpm.CSVVal&lt;&gt;"",_xlpm.CSVVal
)),"")</f>
        <v/>
      </c>
      <c r="E739" s="46" t="str" cm="1">
        <f t="array" ref="E739">IFERROR(_xlfn.LET(
_xlpm.CSVVal,_xlfn.XLOOKUP($A739,CSV!$A:$A,CSV!E:E,""),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6" t="str" cm="1">
        <f t="array" ref="K739">IFERROR(_xlfn.LET(
_xlpm.CSVVal,_xlfn.XLOOKUP($A739,CSV!$A:$A,CSV!N:N,""),
_xlpm.MacVal,_xlfn.XLOOKUP($A739,Output_Mac!$A:$A,Output_Mac!L:L,""),
_xlpm.MyAuditVal,_xlfn.XLOOKUP($A739,My_Audit!$A:$A,My_Audit!J:J,""),
_xlfn.IFS(_xlpm.MyAuditVal&lt;&gt;"",UPPER(_xlpm.MyAuditVal),_xlpm.MacVal&lt;&gt;"",_xlpm.MacVal,_xlpm.CSVVal&lt;&gt;"",_xlpm.CSVVal
)),"")</f>
        <v/>
      </c>
      <c r="L739" s="45"/>
      <c r="M739" s="45"/>
      <c r="N739" s="45"/>
      <c r="O739" s="45"/>
      <c r="P739" s="45"/>
      <c r="Q739" s="46" t="str">
        <f>IF(LEFT(N739,4)="Pass","Nist SP 800-88",My_Audit!R739)&amp;""</f>
        <v/>
      </c>
      <c r="R739" s="45"/>
      <c r="S739" s="45"/>
      <c r="T739" s="46" t="str">
        <f>_xlfn.XLOOKUP(E739,Models!I:I,Models!J:J,"")</f>
        <v/>
      </c>
      <c r="U739" s="45"/>
      <c r="V739" s="45"/>
      <c r="W739" s="38" t="str">
        <f>_xlfn.LET(
    _xlpm.MacVal, _xlfn.XLOOKUP($A739, Output_Mac!$A:$A, Output_Mac!AA:AA, ""),
    _xlpm.MyAuditVal, _xlfn.XLOOKUP($A739, My_Audit!$A:$A, My_Audit!L:L, ""),
    _xlfn.TEXTJOIN(", ", TRUE, _xlpm.MyAuditVal, _xlpm.MacVal)
)</f>
        <v/>
      </c>
    </row>
    <row r="740" spans="1:23">
      <c r="A740" s="45" t="str">
        <f>_xlfn.TEXTJOIN("",TRUE,Input!$B$2,ROW(My_Audit!A739))</f>
        <v>CC739</v>
      </c>
      <c r="B740" s="45"/>
      <c r="C740" s="45"/>
      <c r="D740" s="46" t="str" cm="1">
        <f t="array" ref="D740">IFERROR(_xlfn.LET(
_xlpm.CSVVal,_xlfn.XLOOKUP($A740,CSV!$A:$A,CSV!C:C,""),
_xlpm.MacVal,_xlfn.XLOOKUP($A740,Output_Mac!$A:$A,Output_Mac!D:D,""),
_xlpm.MyAuditVal,_xlfn.XLOOKUP($A740,My_Audit!$A:$A,My_Audit!C:C,""),
_xlfn.IFS(_xlpm.MyAuditVal&lt;&gt;"",UPPER(_xlpm.MyAuditVal),_xlpm.MacVal&lt;&gt;"",_xlpm.MacVal,_xlpm.CSVVal&lt;&gt;"",_xlpm.CSVVal
)),"")</f>
        <v/>
      </c>
      <c r="E740" s="46" t="str" cm="1">
        <f t="array" ref="E740">IFERROR(_xlfn.LET(
_xlpm.CSVVal,_xlfn.XLOOKUP($A740,CSV!$A:$A,CSV!E:E,""),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6" t="str" cm="1">
        <f t="array" ref="K740">IFERROR(_xlfn.LET(
_xlpm.CSVVal,_xlfn.XLOOKUP($A740,CSV!$A:$A,CSV!N:N,""),
_xlpm.MacVal,_xlfn.XLOOKUP($A740,Output_Mac!$A:$A,Output_Mac!L:L,""),
_xlpm.MyAuditVal,_xlfn.XLOOKUP($A740,My_Audit!$A:$A,My_Audit!J:J,""),
_xlfn.IFS(_xlpm.MyAuditVal&lt;&gt;"",UPPER(_xlpm.MyAuditVal),_xlpm.MacVal&lt;&gt;"",_xlpm.MacVal,_xlpm.CSVVal&lt;&gt;"",_xlpm.CSVVal
)),"")</f>
        <v/>
      </c>
      <c r="L740" s="45"/>
      <c r="M740" s="45"/>
      <c r="N740" s="45"/>
      <c r="O740" s="45"/>
      <c r="P740" s="45"/>
      <c r="Q740" s="46" t="str">
        <f>IF(LEFT(N740,4)="Pass","Nist SP 800-88",My_Audit!R740)&amp;""</f>
        <v/>
      </c>
      <c r="R740" s="45"/>
      <c r="S740" s="45"/>
      <c r="T740" s="46" t="str">
        <f>_xlfn.XLOOKUP(E740,Models!I:I,Models!J:J,"")</f>
        <v/>
      </c>
      <c r="U740" s="45"/>
      <c r="V740" s="45"/>
      <c r="W740" s="38" t="str">
        <f>_xlfn.LET(
    _xlpm.MacVal, _xlfn.XLOOKUP($A740, Output_Mac!$A:$A, Output_Mac!AA:AA, ""),
    _xlpm.MyAuditVal, _xlfn.XLOOKUP($A740, My_Audit!$A:$A, My_Audit!L:L, ""),
    _xlfn.TEXTJOIN(", ", TRUE, _xlpm.MyAuditVal, _xlpm.MacVal)
)</f>
        <v/>
      </c>
    </row>
    <row r="741" spans="1:23">
      <c r="A741" s="45" t="str">
        <f>_xlfn.TEXTJOIN("",TRUE,Input!$B$2,ROW(My_Audit!A740))</f>
        <v>CC740</v>
      </c>
      <c r="B741" s="45"/>
      <c r="C741" s="45"/>
      <c r="D741" s="46" t="str" cm="1">
        <f t="array" ref="D741">IFERROR(_xlfn.LET(
_xlpm.CSVVal,_xlfn.XLOOKUP($A741,CSV!$A:$A,CSV!C:C,""),
_xlpm.MacVal,_xlfn.XLOOKUP($A741,Output_Mac!$A:$A,Output_Mac!D:D,""),
_xlpm.MyAuditVal,_xlfn.XLOOKUP($A741,My_Audit!$A:$A,My_Audit!C:C,""),
_xlfn.IFS(_xlpm.MyAuditVal&lt;&gt;"",UPPER(_xlpm.MyAuditVal),_xlpm.MacVal&lt;&gt;"",_xlpm.MacVal,_xlpm.CSVVal&lt;&gt;"",_xlpm.CSVVal
)),"")</f>
        <v/>
      </c>
      <c r="E741" s="46" t="str" cm="1">
        <f t="array" ref="E741">IFERROR(_xlfn.LET(
_xlpm.CSVVal,_xlfn.XLOOKUP($A741,CSV!$A:$A,CSV!E:E,""),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6" t="str" cm="1">
        <f t="array" ref="K741">IFERROR(_xlfn.LET(
_xlpm.CSVVal,_xlfn.XLOOKUP($A741,CSV!$A:$A,CSV!N:N,""),
_xlpm.MacVal,_xlfn.XLOOKUP($A741,Output_Mac!$A:$A,Output_Mac!L:L,""),
_xlpm.MyAuditVal,_xlfn.XLOOKUP($A741,My_Audit!$A:$A,My_Audit!J:J,""),
_xlfn.IFS(_xlpm.MyAuditVal&lt;&gt;"",UPPER(_xlpm.MyAuditVal),_xlpm.MacVal&lt;&gt;"",_xlpm.MacVal,_xlpm.CSVVal&lt;&gt;"",_xlpm.CSVVal
)),"")</f>
        <v/>
      </c>
      <c r="L741" s="45"/>
      <c r="M741" s="45"/>
      <c r="N741" s="45"/>
      <c r="O741" s="45"/>
      <c r="P741" s="45"/>
      <c r="Q741" s="46" t="str">
        <f>IF(LEFT(N741,4)="Pass","Nist SP 800-88",My_Audit!R741)&amp;""</f>
        <v/>
      </c>
      <c r="R741" s="45"/>
      <c r="S741" s="45"/>
      <c r="T741" s="46" t="str">
        <f>_xlfn.XLOOKUP(E741,Models!I:I,Models!J:J,"")</f>
        <v/>
      </c>
      <c r="U741" s="45"/>
      <c r="V741" s="45"/>
      <c r="W741" s="38" t="str">
        <f>_xlfn.LET(
    _xlpm.MacVal, _xlfn.XLOOKUP($A741, Output_Mac!$A:$A, Output_Mac!AA:AA, ""),
    _xlpm.MyAuditVal, _xlfn.XLOOKUP($A741, My_Audit!$A:$A, My_Audit!L:L, ""),
    _xlfn.TEXTJOIN(", ", TRUE, _xlpm.MyAuditVal, _xlpm.MacVal)
)</f>
        <v/>
      </c>
    </row>
    <row r="742" spans="1:23">
      <c r="A742" s="45" t="str">
        <f>_xlfn.TEXTJOIN("",TRUE,Input!$B$2,ROW(My_Audit!A741))</f>
        <v>CC741</v>
      </c>
      <c r="B742" s="45"/>
      <c r="C742" s="45"/>
      <c r="D742" s="46" t="str" cm="1">
        <f t="array" ref="D742">IFERROR(_xlfn.LET(
_xlpm.CSVVal,_xlfn.XLOOKUP($A742,CSV!$A:$A,CSV!C:C,""),
_xlpm.MacVal,_xlfn.XLOOKUP($A742,Output_Mac!$A:$A,Output_Mac!D:D,""),
_xlpm.MyAuditVal,_xlfn.XLOOKUP($A742,My_Audit!$A:$A,My_Audit!C:C,""),
_xlfn.IFS(_xlpm.MyAuditVal&lt;&gt;"",UPPER(_xlpm.MyAuditVal),_xlpm.MacVal&lt;&gt;"",_xlpm.MacVal,_xlpm.CSVVal&lt;&gt;"",_xlpm.CSVVal
)),"")</f>
        <v/>
      </c>
      <c r="E742" s="46" t="str" cm="1">
        <f t="array" ref="E742">IFERROR(_xlfn.LET(
_xlpm.CSVVal,_xlfn.XLOOKUP($A742,CSV!$A:$A,CSV!E:E,""),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6" t="str" cm="1">
        <f t="array" ref="K742">IFERROR(_xlfn.LET(
_xlpm.CSVVal,_xlfn.XLOOKUP($A742,CSV!$A:$A,CSV!N:N,""),
_xlpm.MacVal,_xlfn.XLOOKUP($A742,Output_Mac!$A:$A,Output_Mac!L:L,""),
_xlpm.MyAuditVal,_xlfn.XLOOKUP($A742,My_Audit!$A:$A,My_Audit!J:J,""),
_xlfn.IFS(_xlpm.MyAuditVal&lt;&gt;"",UPPER(_xlpm.MyAuditVal),_xlpm.MacVal&lt;&gt;"",_xlpm.MacVal,_xlpm.CSVVal&lt;&gt;"",_xlpm.CSVVal
)),"")</f>
        <v/>
      </c>
      <c r="L742" s="45"/>
      <c r="M742" s="45"/>
      <c r="N742" s="45"/>
      <c r="O742" s="45"/>
      <c r="P742" s="45"/>
      <c r="Q742" s="46" t="str">
        <f>IF(LEFT(N742,4)="Pass","Nist SP 800-88",My_Audit!R742)&amp;""</f>
        <v/>
      </c>
      <c r="R742" s="45"/>
      <c r="S742" s="45"/>
      <c r="T742" s="46" t="str">
        <f>_xlfn.XLOOKUP(E742,Models!I:I,Models!J:J,"")</f>
        <v/>
      </c>
      <c r="U742" s="45"/>
      <c r="V742" s="45"/>
      <c r="W742" s="38" t="str">
        <f>_xlfn.LET(
    _xlpm.MacVal, _xlfn.XLOOKUP($A742, Output_Mac!$A:$A, Output_Mac!AA:AA, ""),
    _xlpm.MyAuditVal, _xlfn.XLOOKUP($A742, My_Audit!$A:$A, My_Audit!L:L, ""),
    _xlfn.TEXTJOIN(", ", TRUE, _xlpm.MyAuditVal, _xlpm.MacVal)
)</f>
        <v/>
      </c>
    </row>
    <row r="743" spans="1:23">
      <c r="A743" s="45" t="str">
        <f>_xlfn.TEXTJOIN("",TRUE,Input!$B$2,ROW(My_Audit!A742))</f>
        <v>CC742</v>
      </c>
      <c r="B743" s="45"/>
      <c r="C743" s="45"/>
      <c r="D743" s="46" t="str" cm="1">
        <f t="array" ref="D743">IFERROR(_xlfn.LET(
_xlpm.CSVVal,_xlfn.XLOOKUP($A743,CSV!$A:$A,CSV!C:C,""),
_xlpm.MacVal,_xlfn.XLOOKUP($A743,Output_Mac!$A:$A,Output_Mac!D:D,""),
_xlpm.MyAuditVal,_xlfn.XLOOKUP($A743,My_Audit!$A:$A,My_Audit!C:C,""),
_xlfn.IFS(_xlpm.MyAuditVal&lt;&gt;"",UPPER(_xlpm.MyAuditVal),_xlpm.MacVal&lt;&gt;"",_xlpm.MacVal,_xlpm.CSVVal&lt;&gt;"",_xlpm.CSVVal
)),"")</f>
        <v/>
      </c>
      <c r="E743" s="46" t="str" cm="1">
        <f t="array" ref="E743">IFERROR(_xlfn.LET(
_xlpm.CSVVal,_xlfn.XLOOKUP($A743,CSV!$A:$A,CSV!E:E,""),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6" t="str" cm="1">
        <f t="array" ref="K743">IFERROR(_xlfn.LET(
_xlpm.CSVVal,_xlfn.XLOOKUP($A743,CSV!$A:$A,CSV!N:N,""),
_xlpm.MacVal,_xlfn.XLOOKUP($A743,Output_Mac!$A:$A,Output_Mac!L:L,""),
_xlpm.MyAuditVal,_xlfn.XLOOKUP($A743,My_Audit!$A:$A,My_Audit!J:J,""),
_xlfn.IFS(_xlpm.MyAuditVal&lt;&gt;"",UPPER(_xlpm.MyAuditVal),_xlpm.MacVal&lt;&gt;"",_xlpm.MacVal,_xlpm.CSVVal&lt;&gt;"",_xlpm.CSVVal
)),"")</f>
        <v/>
      </c>
      <c r="L743" s="45"/>
      <c r="M743" s="45"/>
      <c r="N743" s="45"/>
      <c r="O743" s="45"/>
      <c r="P743" s="45"/>
      <c r="Q743" s="46" t="str">
        <f>IF(LEFT(N743,4)="Pass","Nist SP 800-88",My_Audit!R743)&amp;""</f>
        <v/>
      </c>
      <c r="R743" s="45"/>
      <c r="S743" s="45"/>
      <c r="T743" s="46" t="str">
        <f>_xlfn.XLOOKUP(E743,Models!I:I,Models!J:J,"")</f>
        <v/>
      </c>
      <c r="U743" s="45"/>
      <c r="V743" s="45"/>
      <c r="W743" s="38" t="str">
        <f>_xlfn.LET(
    _xlpm.MacVal, _xlfn.XLOOKUP($A743, Output_Mac!$A:$A, Output_Mac!AA:AA, ""),
    _xlpm.MyAuditVal, _xlfn.XLOOKUP($A743, My_Audit!$A:$A, My_Audit!L:L, ""),
    _xlfn.TEXTJOIN(", ", TRUE, _xlpm.MyAuditVal, _xlpm.MacVal)
)</f>
        <v/>
      </c>
    </row>
    <row r="744" spans="1:23">
      <c r="A744" s="45" t="str">
        <f>_xlfn.TEXTJOIN("",TRUE,Input!$B$2,ROW(My_Audit!A743))</f>
        <v>CC743</v>
      </c>
      <c r="B744" s="45"/>
      <c r="C744" s="45"/>
      <c r="D744" s="46" t="str" cm="1">
        <f t="array" ref="D744">IFERROR(_xlfn.LET(
_xlpm.CSVVal,_xlfn.XLOOKUP($A744,CSV!$A:$A,CSV!C:C,""),
_xlpm.MacVal,_xlfn.XLOOKUP($A744,Output_Mac!$A:$A,Output_Mac!D:D,""),
_xlpm.MyAuditVal,_xlfn.XLOOKUP($A744,My_Audit!$A:$A,My_Audit!C:C,""),
_xlfn.IFS(_xlpm.MyAuditVal&lt;&gt;"",UPPER(_xlpm.MyAuditVal),_xlpm.MacVal&lt;&gt;"",_xlpm.MacVal,_xlpm.CSVVal&lt;&gt;"",_xlpm.CSVVal
)),"")</f>
        <v/>
      </c>
      <c r="E744" s="46" t="str" cm="1">
        <f t="array" ref="E744">IFERROR(_xlfn.LET(
_xlpm.CSVVal,_xlfn.XLOOKUP($A744,CSV!$A:$A,CSV!E:E,""),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6" t="str" cm="1">
        <f t="array" ref="K744">IFERROR(_xlfn.LET(
_xlpm.CSVVal,_xlfn.XLOOKUP($A744,CSV!$A:$A,CSV!N:N,""),
_xlpm.MacVal,_xlfn.XLOOKUP($A744,Output_Mac!$A:$A,Output_Mac!L:L,""),
_xlpm.MyAuditVal,_xlfn.XLOOKUP($A744,My_Audit!$A:$A,My_Audit!J:J,""),
_xlfn.IFS(_xlpm.MyAuditVal&lt;&gt;"",UPPER(_xlpm.MyAuditVal),_xlpm.MacVal&lt;&gt;"",_xlpm.MacVal,_xlpm.CSVVal&lt;&gt;"",_xlpm.CSVVal
)),"")</f>
        <v/>
      </c>
      <c r="L744" s="45"/>
      <c r="M744" s="45"/>
      <c r="N744" s="45"/>
      <c r="O744" s="45"/>
      <c r="P744" s="45"/>
      <c r="Q744" s="46" t="str">
        <f>IF(LEFT(N744,4)="Pass","Nist SP 800-88",My_Audit!R744)&amp;""</f>
        <v/>
      </c>
      <c r="R744" s="45"/>
      <c r="S744" s="45"/>
      <c r="T744" s="46" t="str">
        <f>_xlfn.XLOOKUP(E744,Models!I:I,Models!J:J,"")</f>
        <v/>
      </c>
      <c r="U744" s="45"/>
      <c r="V744" s="45"/>
      <c r="W744" s="38" t="str">
        <f>_xlfn.LET(
    _xlpm.MacVal, _xlfn.XLOOKUP($A744, Output_Mac!$A:$A, Output_Mac!AA:AA, ""),
    _xlpm.MyAuditVal, _xlfn.XLOOKUP($A744, My_Audit!$A:$A, My_Audit!L:L, ""),
    _xlfn.TEXTJOIN(", ", TRUE, _xlpm.MyAuditVal, _xlpm.MacVal)
)</f>
        <v/>
      </c>
    </row>
    <row r="745" spans="1:23">
      <c r="A745" s="45" t="str">
        <f>_xlfn.TEXTJOIN("",TRUE,Input!$B$2,ROW(My_Audit!A744))</f>
        <v>CC744</v>
      </c>
      <c r="B745" s="45"/>
      <c r="C745" s="45"/>
      <c r="D745" s="46" t="str" cm="1">
        <f t="array" ref="D745">IFERROR(_xlfn.LET(
_xlpm.CSVVal,_xlfn.XLOOKUP($A745,CSV!$A:$A,CSV!C:C,""),
_xlpm.MacVal,_xlfn.XLOOKUP($A745,Output_Mac!$A:$A,Output_Mac!D:D,""),
_xlpm.MyAuditVal,_xlfn.XLOOKUP($A745,My_Audit!$A:$A,My_Audit!C:C,""),
_xlfn.IFS(_xlpm.MyAuditVal&lt;&gt;"",UPPER(_xlpm.MyAuditVal),_xlpm.MacVal&lt;&gt;"",_xlpm.MacVal,_xlpm.CSVVal&lt;&gt;"",_xlpm.CSVVal
)),"")</f>
        <v/>
      </c>
      <c r="E745" s="46" t="str" cm="1">
        <f t="array" ref="E745">IFERROR(_xlfn.LET(
_xlpm.CSVVal,_xlfn.XLOOKUP($A745,CSV!$A:$A,CSV!E:E,""),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6" t="str" cm="1">
        <f t="array" ref="K745">IFERROR(_xlfn.LET(
_xlpm.CSVVal,_xlfn.XLOOKUP($A745,CSV!$A:$A,CSV!N:N,""),
_xlpm.MacVal,_xlfn.XLOOKUP($A745,Output_Mac!$A:$A,Output_Mac!L:L,""),
_xlpm.MyAuditVal,_xlfn.XLOOKUP($A745,My_Audit!$A:$A,My_Audit!J:J,""),
_xlfn.IFS(_xlpm.MyAuditVal&lt;&gt;"",UPPER(_xlpm.MyAuditVal),_xlpm.MacVal&lt;&gt;"",_xlpm.MacVal,_xlpm.CSVVal&lt;&gt;"",_xlpm.CSVVal
)),"")</f>
        <v/>
      </c>
      <c r="L745" s="45"/>
      <c r="M745" s="45"/>
      <c r="N745" s="45"/>
      <c r="O745" s="45"/>
      <c r="P745" s="45"/>
      <c r="Q745" s="46" t="str">
        <f>IF(LEFT(N745,4)="Pass","Nist SP 800-88",My_Audit!R745)&amp;""</f>
        <v/>
      </c>
      <c r="R745" s="45"/>
      <c r="S745" s="45"/>
      <c r="T745" s="46" t="str">
        <f>_xlfn.XLOOKUP(E745,Models!I:I,Models!J:J,"")</f>
        <v/>
      </c>
      <c r="U745" s="45"/>
      <c r="V745" s="45"/>
      <c r="W745" s="38" t="str">
        <f>_xlfn.LET(
    _xlpm.MacVal, _xlfn.XLOOKUP($A745, Output_Mac!$A:$A, Output_Mac!AA:AA, ""),
    _xlpm.MyAuditVal, _xlfn.XLOOKUP($A745, My_Audit!$A:$A, My_Audit!L:L, ""),
    _xlfn.TEXTJOIN(", ", TRUE, _xlpm.MyAuditVal, _xlpm.MacVal)
)</f>
        <v/>
      </c>
    </row>
    <row r="746" spans="1:23">
      <c r="A746" s="45" t="str">
        <f>_xlfn.TEXTJOIN("",TRUE,Input!$B$2,ROW(My_Audit!A745))</f>
        <v>CC745</v>
      </c>
      <c r="B746" s="45"/>
      <c r="C746" s="45"/>
      <c r="D746" s="46" t="str" cm="1">
        <f t="array" ref="D746">IFERROR(_xlfn.LET(
_xlpm.CSVVal,_xlfn.XLOOKUP($A746,CSV!$A:$A,CSV!C:C,""),
_xlpm.MacVal,_xlfn.XLOOKUP($A746,Output_Mac!$A:$A,Output_Mac!D:D,""),
_xlpm.MyAuditVal,_xlfn.XLOOKUP($A746,My_Audit!$A:$A,My_Audit!C:C,""),
_xlfn.IFS(_xlpm.MyAuditVal&lt;&gt;"",UPPER(_xlpm.MyAuditVal),_xlpm.MacVal&lt;&gt;"",_xlpm.MacVal,_xlpm.CSVVal&lt;&gt;"",_xlpm.CSVVal
)),"")</f>
        <v/>
      </c>
      <c r="E746" s="46" t="str" cm="1">
        <f t="array" ref="E746">IFERROR(_xlfn.LET(
_xlpm.CSVVal,_xlfn.XLOOKUP($A746,CSV!$A:$A,CSV!E:E,""),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6" t="str" cm="1">
        <f t="array" ref="K746">IFERROR(_xlfn.LET(
_xlpm.CSVVal,_xlfn.XLOOKUP($A746,CSV!$A:$A,CSV!N:N,""),
_xlpm.MacVal,_xlfn.XLOOKUP($A746,Output_Mac!$A:$A,Output_Mac!L:L,""),
_xlpm.MyAuditVal,_xlfn.XLOOKUP($A746,My_Audit!$A:$A,My_Audit!J:J,""),
_xlfn.IFS(_xlpm.MyAuditVal&lt;&gt;"",UPPER(_xlpm.MyAuditVal),_xlpm.MacVal&lt;&gt;"",_xlpm.MacVal,_xlpm.CSVVal&lt;&gt;"",_xlpm.CSVVal
)),"")</f>
        <v/>
      </c>
      <c r="L746" s="45"/>
      <c r="M746" s="45"/>
      <c r="N746" s="45"/>
      <c r="O746" s="45"/>
      <c r="P746" s="45"/>
      <c r="Q746" s="46" t="str">
        <f>IF(LEFT(N746,4)="Pass","Nist SP 800-88",My_Audit!R746)&amp;""</f>
        <v/>
      </c>
      <c r="R746" s="45"/>
      <c r="S746" s="45"/>
      <c r="T746" s="46" t="str">
        <f>_xlfn.XLOOKUP(E746,Models!I:I,Models!J:J,"")</f>
        <v/>
      </c>
      <c r="U746" s="45"/>
      <c r="V746" s="45"/>
      <c r="W746" s="38" t="str">
        <f>_xlfn.LET(
    _xlpm.MacVal, _xlfn.XLOOKUP($A746, Output_Mac!$A:$A, Output_Mac!AA:AA, ""),
    _xlpm.MyAuditVal, _xlfn.XLOOKUP($A746, My_Audit!$A:$A, My_Audit!L:L, ""),
    _xlfn.TEXTJOIN(", ", TRUE, _xlpm.MyAuditVal, _xlpm.MacVal)
)</f>
        <v/>
      </c>
    </row>
    <row r="747" spans="1:23">
      <c r="A747" s="45" t="str">
        <f>_xlfn.TEXTJOIN("",TRUE,Input!$B$2,ROW(My_Audit!A746))</f>
        <v>CC746</v>
      </c>
      <c r="B747" s="45"/>
      <c r="C747" s="45"/>
      <c r="D747" s="46" t="str" cm="1">
        <f t="array" ref="D747">IFERROR(_xlfn.LET(
_xlpm.CSVVal,_xlfn.XLOOKUP($A747,CSV!$A:$A,CSV!C:C,""),
_xlpm.MacVal,_xlfn.XLOOKUP($A747,Output_Mac!$A:$A,Output_Mac!D:D,""),
_xlpm.MyAuditVal,_xlfn.XLOOKUP($A747,My_Audit!$A:$A,My_Audit!C:C,""),
_xlfn.IFS(_xlpm.MyAuditVal&lt;&gt;"",UPPER(_xlpm.MyAuditVal),_xlpm.MacVal&lt;&gt;"",_xlpm.MacVal,_xlpm.CSVVal&lt;&gt;"",_xlpm.CSVVal
)),"")</f>
        <v/>
      </c>
      <c r="E747" s="46" t="str" cm="1">
        <f t="array" ref="E747">IFERROR(_xlfn.LET(
_xlpm.CSVVal,_xlfn.XLOOKUP($A747,CSV!$A:$A,CSV!E:E,""),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6" t="str" cm="1">
        <f t="array" ref="K747">IFERROR(_xlfn.LET(
_xlpm.CSVVal,_xlfn.XLOOKUP($A747,CSV!$A:$A,CSV!N:N,""),
_xlpm.MacVal,_xlfn.XLOOKUP($A747,Output_Mac!$A:$A,Output_Mac!L:L,""),
_xlpm.MyAuditVal,_xlfn.XLOOKUP($A747,My_Audit!$A:$A,My_Audit!J:J,""),
_xlfn.IFS(_xlpm.MyAuditVal&lt;&gt;"",UPPER(_xlpm.MyAuditVal),_xlpm.MacVal&lt;&gt;"",_xlpm.MacVal,_xlpm.CSVVal&lt;&gt;"",_xlpm.CSVVal
)),"")</f>
        <v/>
      </c>
      <c r="L747" s="45"/>
      <c r="M747" s="45"/>
      <c r="N747" s="45"/>
      <c r="O747" s="45"/>
      <c r="P747" s="45"/>
      <c r="Q747" s="46" t="str">
        <f>IF(LEFT(N747,4)="Pass","Nist SP 800-88",My_Audit!R747)&amp;""</f>
        <v/>
      </c>
      <c r="R747" s="45"/>
      <c r="S747" s="45"/>
      <c r="T747" s="46" t="str">
        <f>_xlfn.XLOOKUP(E747,Models!I:I,Models!J:J,"")</f>
        <v/>
      </c>
      <c r="U747" s="45"/>
      <c r="V747" s="45"/>
      <c r="W747" s="38" t="str">
        <f>_xlfn.LET(
    _xlpm.MacVal, _xlfn.XLOOKUP($A747, Output_Mac!$A:$A, Output_Mac!AA:AA, ""),
    _xlpm.MyAuditVal, _xlfn.XLOOKUP($A747, My_Audit!$A:$A, My_Audit!L:L, ""),
    _xlfn.TEXTJOIN(", ", TRUE, _xlpm.MyAuditVal, _xlpm.MacVal)
)</f>
        <v/>
      </c>
    </row>
    <row r="748" spans="1:23">
      <c r="A748" s="45" t="str">
        <f>_xlfn.TEXTJOIN("",TRUE,Input!$B$2,ROW(My_Audit!A747))</f>
        <v>CC747</v>
      </c>
      <c r="B748" s="45"/>
      <c r="C748" s="45"/>
      <c r="D748" s="46" t="str" cm="1">
        <f t="array" ref="D748">IFERROR(_xlfn.LET(
_xlpm.CSVVal,_xlfn.XLOOKUP($A748,CSV!$A:$A,CSV!C:C,""),
_xlpm.MacVal,_xlfn.XLOOKUP($A748,Output_Mac!$A:$A,Output_Mac!D:D,""),
_xlpm.MyAuditVal,_xlfn.XLOOKUP($A748,My_Audit!$A:$A,My_Audit!C:C,""),
_xlfn.IFS(_xlpm.MyAuditVal&lt;&gt;"",UPPER(_xlpm.MyAuditVal),_xlpm.MacVal&lt;&gt;"",_xlpm.MacVal,_xlpm.CSVVal&lt;&gt;"",_xlpm.CSVVal
)),"")</f>
        <v/>
      </c>
      <c r="E748" s="46" t="str" cm="1">
        <f t="array" ref="E748">IFERROR(_xlfn.LET(
_xlpm.CSVVal,_xlfn.XLOOKUP($A748,CSV!$A:$A,CSV!E:E,""),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6" t="str" cm="1">
        <f t="array" ref="K748">IFERROR(_xlfn.LET(
_xlpm.CSVVal,_xlfn.XLOOKUP($A748,CSV!$A:$A,CSV!N:N,""),
_xlpm.MacVal,_xlfn.XLOOKUP($A748,Output_Mac!$A:$A,Output_Mac!L:L,""),
_xlpm.MyAuditVal,_xlfn.XLOOKUP($A748,My_Audit!$A:$A,My_Audit!J:J,""),
_xlfn.IFS(_xlpm.MyAuditVal&lt;&gt;"",UPPER(_xlpm.MyAuditVal),_xlpm.MacVal&lt;&gt;"",_xlpm.MacVal,_xlpm.CSVVal&lt;&gt;"",_xlpm.CSVVal
)),"")</f>
        <v/>
      </c>
      <c r="L748" s="45"/>
      <c r="M748" s="45"/>
      <c r="N748" s="45"/>
      <c r="O748" s="45"/>
      <c r="P748" s="45"/>
      <c r="Q748" s="46" t="str">
        <f>IF(LEFT(N748,4)="Pass","Nist SP 800-88",My_Audit!R748)&amp;""</f>
        <v/>
      </c>
      <c r="R748" s="45"/>
      <c r="S748" s="45"/>
      <c r="T748" s="46" t="str">
        <f>_xlfn.XLOOKUP(E748,Models!I:I,Models!J:J,"")</f>
        <v/>
      </c>
      <c r="U748" s="45"/>
      <c r="V748" s="45"/>
      <c r="W748" s="38" t="str">
        <f>_xlfn.LET(
    _xlpm.MacVal, _xlfn.XLOOKUP($A748, Output_Mac!$A:$A, Output_Mac!AA:AA, ""),
    _xlpm.MyAuditVal, _xlfn.XLOOKUP($A748, My_Audit!$A:$A, My_Audit!L:L, ""),
    _xlfn.TEXTJOIN(", ", TRUE, _xlpm.MyAuditVal, _xlpm.MacVal)
)</f>
        <v/>
      </c>
    </row>
    <row r="749" spans="1:23">
      <c r="A749" s="45" t="str">
        <f>_xlfn.TEXTJOIN("",TRUE,Input!$B$2,ROW(My_Audit!A748))</f>
        <v>CC748</v>
      </c>
      <c r="B749" s="45"/>
      <c r="C749" s="45"/>
      <c r="D749" s="46" t="str" cm="1">
        <f t="array" ref="D749">IFERROR(_xlfn.LET(
_xlpm.CSVVal,_xlfn.XLOOKUP($A749,CSV!$A:$A,CSV!C:C,""),
_xlpm.MacVal,_xlfn.XLOOKUP($A749,Output_Mac!$A:$A,Output_Mac!D:D,""),
_xlpm.MyAuditVal,_xlfn.XLOOKUP($A749,My_Audit!$A:$A,My_Audit!C:C,""),
_xlfn.IFS(_xlpm.MyAuditVal&lt;&gt;"",UPPER(_xlpm.MyAuditVal),_xlpm.MacVal&lt;&gt;"",_xlpm.MacVal,_xlpm.CSVVal&lt;&gt;"",_xlpm.CSVVal
)),"")</f>
        <v/>
      </c>
      <c r="E749" s="46" t="str" cm="1">
        <f t="array" ref="E749">IFERROR(_xlfn.LET(
_xlpm.CSVVal,_xlfn.XLOOKUP($A749,CSV!$A:$A,CSV!E:E,""),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6" t="str" cm="1">
        <f t="array" ref="K749">IFERROR(_xlfn.LET(
_xlpm.CSVVal,_xlfn.XLOOKUP($A749,CSV!$A:$A,CSV!N:N,""),
_xlpm.MacVal,_xlfn.XLOOKUP($A749,Output_Mac!$A:$A,Output_Mac!L:L,""),
_xlpm.MyAuditVal,_xlfn.XLOOKUP($A749,My_Audit!$A:$A,My_Audit!J:J,""),
_xlfn.IFS(_xlpm.MyAuditVal&lt;&gt;"",UPPER(_xlpm.MyAuditVal),_xlpm.MacVal&lt;&gt;"",_xlpm.MacVal,_xlpm.CSVVal&lt;&gt;"",_xlpm.CSVVal
)),"")</f>
        <v/>
      </c>
      <c r="L749" s="45"/>
      <c r="M749" s="45"/>
      <c r="N749" s="45"/>
      <c r="O749" s="45"/>
      <c r="P749" s="45"/>
      <c r="Q749" s="46" t="str">
        <f>IF(LEFT(N749,4)="Pass","Nist SP 800-88",My_Audit!R749)&amp;""</f>
        <v/>
      </c>
      <c r="R749" s="45"/>
      <c r="S749" s="45"/>
      <c r="T749" s="46" t="str">
        <f>_xlfn.XLOOKUP(E749,Models!I:I,Models!J:J,"")</f>
        <v/>
      </c>
      <c r="U749" s="45"/>
      <c r="V749" s="45"/>
      <c r="W749" s="38" t="str">
        <f>_xlfn.LET(
    _xlpm.MacVal, _xlfn.XLOOKUP($A749, Output_Mac!$A:$A, Output_Mac!AA:AA, ""),
    _xlpm.MyAuditVal, _xlfn.XLOOKUP($A749, My_Audit!$A:$A, My_Audit!L:L, ""),
    _xlfn.TEXTJOIN(", ", TRUE, _xlpm.MyAuditVal, _xlpm.MacVal)
)</f>
        <v/>
      </c>
    </row>
    <row r="750" spans="1:23">
      <c r="A750" s="45" t="str">
        <f>_xlfn.TEXTJOIN("",TRUE,Input!$B$2,ROW(My_Audit!A749))</f>
        <v>CC749</v>
      </c>
      <c r="B750" s="45"/>
      <c r="C750" s="45"/>
      <c r="D750" s="46" t="str" cm="1">
        <f t="array" ref="D750">IFERROR(_xlfn.LET(
_xlpm.CSVVal,_xlfn.XLOOKUP($A750,CSV!$A:$A,CSV!C:C,""),
_xlpm.MacVal,_xlfn.XLOOKUP($A750,Output_Mac!$A:$A,Output_Mac!D:D,""),
_xlpm.MyAuditVal,_xlfn.XLOOKUP($A750,My_Audit!$A:$A,My_Audit!C:C,""),
_xlfn.IFS(_xlpm.MyAuditVal&lt;&gt;"",UPPER(_xlpm.MyAuditVal),_xlpm.MacVal&lt;&gt;"",_xlpm.MacVal,_xlpm.CSVVal&lt;&gt;"",_xlpm.CSVVal
)),"")</f>
        <v/>
      </c>
      <c r="E750" s="46" t="str" cm="1">
        <f t="array" ref="E750">IFERROR(_xlfn.LET(
_xlpm.CSVVal,_xlfn.XLOOKUP($A750,CSV!$A:$A,CSV!E:E,""),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6" t="str" cm="1">
        <f t="array" ref="K750">IFERROR(_xlfn.LET(
_xlpm.CSVVal,_xlfn.XLOOKUP($A750,CSV!$A:$A,CSV!N:N,""),
_xlpm.MacVal,_xlfn.XLOOKUP($A750,Output_Mac!$A:$A,Output_Mac!L:L,""),
_xlpm.MyAuditVal,_xlfn.XLOOKUP($A750,My_Audit!$A:$A,My_Audit!J:J,""),
_xlfn.IFS(_xlpm.MyAuditVal&lt;&gt;"",UPPER(_xlpm.MyAuditVal),_xlpm.MacVal&lt;&gt;"",_xlpm.MacVal,_xlpm.CSVVal&lt;&gt;"",_xlpm.CSVVal
)),"")</f>
        <v/>
      </c>
      <c r="L750" s="45"/>
      <c r="M750" s="45"/>
      <c r="N750" s="45"/>
      <c r="O750" s="45"/>
      <c r="P750" s="45"/>
      <c r="Q750" s="46" t="str">
        <f>IF(LEFT(N750,4)="Pass","Nist SP 800-88",My_Audit!R750)&amp;""</f>
        <v/>
      </c>
      <c r="R750" s="45"/>
      <c r="S750" s="45"/>
      <c r="T750" s="46" t="str">
        <f>_xlfn.XLOOKUP(E750,Models!I:I,Models!J:J,"")</f>
        <v/>
      </c>
      <c r="U750" s="45"/>
      <c r="V750" s="45"/>
      <c r="W750" s="38" t="str">
        <f>_xlfn.LET(
    _xlpm.MacVal, _xlfn.XLOOKUP($A750, Output_Mac!$A:$A, Output_Mac!AA:AA, ""),
    _xlpm.MyAuditVal, _xlfn.XLOOKUP($A750, My_Audit!$A:$A, My_Audit!L:L, ""),
    _xlfn.TEXTJOIN(", ", TRUE, _xlpm.MyAuditVal, _xlpm.MacVal)
)</f>
        <v/>
      </c>
    </row>
    <row r="751" spans="1:23">
      <c r="A751" s="45" t="str">
        <f>_xlfn.TEXTJOIN("",TRUE,Input!$B$2,ROW(My_Audit!A750))</f>
        <v>CC750</v>
      </c>
      <c r="B751" s="45"/>
      <c r="C751" s="45"/>
      <c r="D751" s="46" t="str" cm="1">
        <f t="array" ref="D751">IFERROR(_xlfn.LET(
_xlpm.CSVVal,_xlfn.XLOOKUP($A751,CSV!$A:$A,CSV!C:C,""),
_xlpm.MacVal,_xlfn.XLOOKUP($A751,Output_Mac!$A:$A,Output_Mac!D:D,""),
_xlpm.MyAuditVal,_xlfn.XLOOKUP($A751,My_Audit!$A:$A,My_Audit!C:C,""),
_xlfn.IFS(_xlpm.MyAuditVal&lt;&gt;"",UPPER(_xlpm.MyAuditVal),_xlpm.MacVal&lt;&gt;"",_xlpm.MacVal,_xlpm.CSVVal&lt;&gt;"",_xlpm.CSVVal
)),"")</f>
        <v/>
      </c>
      <c r="E751" s="46" t="str" cm="1">
        <f t="array" ref="E751">IFERROR(_xlfn.LET(
_xlpm.CSVVal,_xlfn.XLOOKUP($A751,CSV!$A:$A,CSV!E:E,""),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6" t="str" cm="1">
        <f t="array" ref="K751">IFERROR(_xlfn.LET(
_xlpm.CSVVal,_xlfn.XLOOKUP($A751,CSV!$A:$A,CSV!N:N,""),
_xlpm.MacVal,_xlfn.XLOOKUP($A751,Output_Mac!$A:$A,Output_Mac!L:L,""),
_xlpm.MyAuditVal,_xlfn.XLOOKUP($A751,My_Audit!$A:$A,My_Audit!J:J,""),
_xlfn.IFS(_xlpm.MyAuditVal&lt;&gt;"",UPPER(_xlpm.MyAuditVal),_xlpm.MacVal&lt;&gt;"",_xlpm.MacVal,_xlpm.CSVVal&lt;&gt;"",_xlpm.CSVVal
)),"")</f>
        <v/>
      </c>
      <c r="L751" s="45"/>
      <c r="M751" s="45"/>
      <c r="N751" s="45"/>
      <c r="O751" s="45"/>
      <c r="P751" s="45"/>
      <c r="Q751" s="46" t="str">
        <f>IF(LEFT(N751,4)="Pass","Nist SP 800-88",My_Audit!R751)&amp;""</f>
        <v/>
      </c>
      <c r="R751" s="45"/>
      <c r="S751" s="45"/>
      <c r="T751" s="46" t="str">
        <f>_xlfn.XLOOKUP(E751,Models!I:I,Models!J:J,"")</f>
        <v/>
      </c>
      <c r="U751" s="45"/>
      <c r="V751" s="45"/>
      <c r="W751" s="38" t="str">
        <f>_xlfn.LET(
    _xlpm.MacVal, _xlfn.XLOOKUP($A751, Output_Mac!$A:$A, Output_Mac!AA:AA, ""),
    _xlpm.MyAuditVal, _xlfn.XLOOKUP($A751, My_Audit!$A:$A, My_Audit!L:L, ""),
    _xlfn.TEXTJOIN(", ", TRUE, _xlpm.MyAuditVal, _xlpm.MacVal)
)</f>
        <v/>
      </c>
    </row>
    <row r="752" spans="1:23">
      <c r="A752" s="45" t="str">
        <f>_xlfn.TEXTJOIN("",TRUE,Input!$B$2,ROW(My_Audit!A751))</f>
        <v>CC751</v>
      </c>
      <c r="B752" s="45"/>
      <c r="C752" s="45"/>
      <c r="D752" s="46" t="str" cm="1">
        <f t="array" ref="D752">IFERROR(_xlfn.LET(
_xlpm.CSVVal,_xlfn.XLOOKUP($A752,CSV!$A:$A,CSV!C:C,""),
_xlpm.MacVal,_xlfn.XLOOKUP($A752,Output_Mac!$A:$A,Output_Mac!D:D,""),
_xlpm.MyAuditVal,_xlfn.XLOOKUP($A752,My_Audit!$A:$A,My_Audit!C:C,""),
_xlfn.IFS(_xlpm.MyAuditVal&lt;&gt;"",UPPER(_xlpm.MyAuditVal),_xlpm.MacVal&lt;&gt;"",_xlpm.MacVal,_xlpm.CSVVal&lt;&gt;"",_xlpm.CSVVal
)),"")</f>
        <v/>
      </c>
      <c r="E752" s="46" t="str" cm="1">
        <f t="array" ref="E752">IFERROR(_xlfn.LET(
_xlpm.CSVVal,_xlfn.XLOOKUP($A752,CSV!$A:$A,CSV!E:E,""),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6" t="str" cm="1">
        <f t="array" ref="K752">IFERROR(_xlfn.LET(
_xlpm.CSVVal,_xlfn.XLOOKUP($A752,CSV!$A:$A,CSV!N:N,""),
_xlpm.MacVal,_xlfn.XLOOKUP($A752,Output_Mac!$A:$A,Output_Mac!L:L,""),
_xlpm.MyAuditVal,_xlfn.XLOOKUP($A752,My_Audit!$A:$A,My_Audit!J:J,""),
_xlfn.IFS(_xlpm.MyAuditVal&lt;&gt;"",UPPER(_xlpm.MyAuditVal),_xlpm.MacVal&lt;&gt;"",_xlpm.MacVal,_xlpm.CSVVal&lt;&gt;"",_xlpm.CSVVal
)),"")</f>
        <v/>
      </c>
      <c r="L752" s="45"/>
      <c r="M752" s="45"/>
      <c r="N752" s="45"/>
      <c r="O752" s="45"/>
      <c r="P752" s="45"/>
      <c r="Q752" s="46" t="str">
        <f>IF(LEFT(N752,4)="Pass","Nist SP 800-88",My_Audit!R752)&amp;""</f>
        <v/>
      </c>
      <c r="R752" s="45"/>
      <c r="S752" s="45"/>
      <c r="T752" s="46" t="str">
        <f>_xlfn.XLOOKUP(E752,Models!I:I,Models!J:J,"")</f>
        <v/>
      </c>
      <c r="U752" s="45"/>
      <c r="V752" s="45"/>
      <c r="W752" s="38" t="str">
        <f>_xlfn.LET(
    _xlpm.MacVal, _xlfn.XLOOKUP($A752, Output_Mac!$A:$A, Output_Mac!AA:AA, ""),
    _xlpm.MyAuditVal, _xlfn.XLOOKUP($A752, My_Audit!$A:$A, My_Audit!L:L, ""),
    _xlfn.TEXTJOIN(", ", TRUE, _xlpm.MyAuditVal, _xlpm.MacVal)
)</f>
        <v/>
      </c>
    </row>
    <row r="753" spans="1:23">
      <c r="A753" s="45" t="str">
        <f>_xlfn.TEXTJOIN("",TRUE,Input!$B$2,ROW(My_Audit!A752))</f>
        <v>CC752</v>
      </c>
      <c r="B753" s="45"/>
      <c r="C753" s="45"/>
      <c r="D753" s="46" t="str" cm="1">
        <f t="array" ref="D753">IFERROR(_xlfn.LET(
_xlpm.CSVVal,_xlfn.XLOOKUP($A753,CSV!$A:$A,CSV!C:C,""),
_xlpm.MacVal,_xlfn.XLOOKUP($A753,Output_Mac!$A:$A,Output_Mac!D:D,""),
_xlpm.MyAuditVal,_xlfn.XLOOKUP($A753,My_Audit!$A:$A,My_Audit!C:C,""),
_xlfn.IFS(_xlpm.MyAuditVal&lt;&gt;"",UPPER(_xlpm.MyAuditVal),_xlpm.MacVal&lt;&gt;"",_xlpm.MacVal,_xlpm.CSVVal&lt;&gt;"",_xlpm.CSVVal
)),"")</f>
        <v/>
      </c>
      <c r="E753" s="46" t="str" cm="1">
        <f t="array" ref="E753">IFERROR(_xlfn.LET(
_xlpm.CSVVal,_xlfn.XLOOKUP($A753,CSV!$A:$A,CSV!E:E,""),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6" t="str" cm="1">
        <f t="array" ref="K753">IFERROR(_xlfn.LET(
_xlpm.CSVVal,_xlfn.XLOOKUP($A753,CSV!$A:$A,CSV!N:N,""),
_xlpm.MacVal,_xlfn.XLOOKUP($A753,Output_Mac!$A:$A,Output_Mac!L:L,""),
_xlpm.MyAuditVal,_xlfn.XLOOKUP($A753,My_Audit!$A:$A,My_Audit!J:J,""),
_xlfn.IFS(_xlpm.MyAuditVal&lt;&gt;"",UPPER(_xlpm.MyAuditVal),_xlpm.MacVal&lt;&gt;"",_xlpm.MacVal,_xlpm.CSVVal&lt;&gt;"",_xlpm.CSVVal
)),"")</f>
        <v/>
      </c>
      <c r="L753" s="45"/>
      <c r="M753" s="45"/>
      <c r="N753" s="45"/>
      <c r="O753" s="45"/>
      <c r="P753" s="45"/>
      <c r="Q753" s="46" t="str">
        <f>IF(LEFT(N753,4)="Pass","Nist SP 800-88",My_Audit!R753)&amp;""</f>
        <v/>
      </c>
      <c r="R753" s="45"/>
      <c r="S753" s="45"/>
      <c r="T753" s="46" t="str">
        <f>_xlfn.XLOOKUP(E753,Models!I:I,Models!J:J,"")</f>
        <v/>
      </c>
      <c r="U753" s="45"/>
      <c r="V753" s="45"/>
      <c r="W753" s="38" t="str">
        <f>_xlfn.LET(
    _xlpm.MacVal, _xlfn.XLOOKUP($A753, Output_Mac!$A:$A, Output_Mac!AA:AA, ""),
    _xlpm.MyAuditVal, _xlfn.XLOOKUP($A753, My_Audit!$A:$A, My_Audit!L:L, ""),
    _xlfn.TEXTJOIN(", ", TRUE, _xlpm.MyAuditVal, _xlpm.MacVal)
)</f>
        <v/>
      </c>
    </row>
    <row r="754" spans="1:23">
      <c r="A754" s="45" t="str">
        <f>_xlfn.TEXTJOIN("",TRUE,Input!$B$2,ROW(My_Audit!A753))</f>
        <v>CC753</v>
      </c>
      <c r="B754" s="45"/>
      <c r="C754" s="45"/>
      <c r="D754" s="46" t="str" cm="1">
        <f t="array" ref="D754">IFERROR(_xlfn.LET(
_xlpm.CSVVal,_xlfn.XLOOKUP($A754,CSV!$A:$A,CSV!C:C,""),
_xlpm.MacVal,_xlfn.XLOOKUP($A754,Output_Mac!$A:$A,Output_Mac!D:D,""),
_xlpm.MyAuditVal,_xlfn.XLOOKUP($A754,My_Audit!$A:$A,My_Audit!C:C,""),
_xlfn.IFS(_xlpm.MyAuditVal&lt;&gt;"",UPPER(_xlpm.MyAuditVal),_xlpm.MacVal&lt;&gt;"",_xlpm.MacVal,_xlpm.CSVVal&lt;&gt;"",_xlpm.CSVVal
)),"")</f>
        <v/>
      </c>
      <c r="E754" s="46" t="str" cm="1">
        <f t="array" ref="E754">IFERROR(_xlfn.LET(
_xlpm.CSVVal,_xlfn.XLOOKUP($A754,CSV!$A:$A,CSV!E:E,""),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6" t="str" cm="1">
        <f t="array" ref="K754">IFERROR(_xlfn.LET(
_xlpm.CSVVal,_xlfn.XLOOKUP($A754,CSV!$A:$A,CSV!N:N,""),
_xlpm.MacVal,_xlfn.XLOOKUP($A754,Output_Mac!$A:$A,Output_Mac!L:L,""),
_xlpm.MyAuditVal,_xlfn.XLOOKUP($A754,My_Audit!$A:$A,My_Audit!J:J,""),
_xlfn.IFS(_xlpm.MyAuditVal&lt;&gt;"",UPPER(_xlpm.MyAuditVal),_xlpm.MacVal&lt;&gt;"",_xlpm.MacVal,_xlpm.CSVVal&lt;&gt;"",_xlpm.CSVVal
)),"")</f>
        <v/>
      </c>
      <c r="L754" s="45"/>
      <c r="M754" s="45"/>
      <c r="N754" s="45"/>
      <c r="O754" s="45"/>
      <c r="P754" s="45"/>
      <c r="Q754" s="46" t="str">
        <f>IF(LEFT(N754,4)="Pass","Nist SP 800-88",My_Audit!R754)&amp;""</f>
        <v/>
      </c>
      <c r="R754" s="45"/>
      <c r="S754" s="45"/>
      <c r="T754" s="46" t="str">
        <f>_xlfn.XLOOKUP(E754,Models!I:I,Models!J:J,"")</f>
        <v/>
      </c>
      <c r="U754" s="45"/>
      <c r="V754" s="45"/>
      <c r="W754" s="38" t="str">
        <f>_xlfn.LET(
    _xlpm.MacVal, _xlfn.XLOOKUP($A754, Output_Mac!$A:$A, Output_Mac!AA:AA, ""),
    _xlpm.MyAuditVal, _xlfn.XLOOKUP($A754, My_Audit!$A:$A, My_Audit!L:L, ""),
    _xlfn.TEXTJOIN(", ", TRUE, _xlpm.MyAuditVal, _xlpm.MacVal)
)</f>
        <v/>
      </c>
    </row>
    <row r="755" spans="1:23">
      <c r="A755" s="45" t="str">
        <f>_xlfn.TEXTJOIN("",TRUE,Input!$B$2,ROW(My_Audit!A754))</f>
        <v>CC754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_xlpm.CSVVal,_xlfn.XLOOKUP($A755,CSV!$A:$A,CSV!E:E,""),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6" t="str" cm="1">
        <f t="array" ref="K755">IFERROR(_xlfn.LET(
_xlpm.CSVVal,_xlfn.XLOOKUP($A755,CSV!$A:$A,CSV!N:N,""),
_xlpm.MacVal,_xlfn.XLOOKUP($A755,Output_Mac!$A:$A,Output_Mac!L:L,""),
_xlpm.MyAuditVal,_xlfn.XLOOKUP($A755,My_Audit!$A:$A,My_Audit!J:J,""),
_xlfn.IFS(_xlpm.MyAuditVal&lt;&gt;"",UPPER(_xlpm.MyAuditVal),_xlpm.MacVal&lt;&gt;"",_xlpm.MacVal,_xlpm.CSVVal&lt;&gt;"",_xlpm.CSVVal
)),"")</f>
        <v/>
      </c>
      <c r="L755" s="45"/>
      <c r="M755" s="45"/>
      <c r="N755" s="45"/>
      <c r="O755" s="45"/>
      <c r="P755" s="45"/>
      <c r="Q755" s="46" t="str">
        <f>IF(LEFT(N755,4)="Pass","Nist SP 800-88",My_Audit!R755)&amp;""</f>
        <v/>
      </c>
      <c r="R755" s="45"/>
      <c r="S755" s="45"/>
      <c r="T755" s="46" t="str">
        <f>_xlfn.XLOOKUP(E755,Models!I:I,Models!J:J,"")</f>
        <v/>
      </c>
      <c r="U755" s="45"/>
      <c r="V755" s="45"/>
      <c r="W755" s="38" t="str">
        <f>_xlfn.LET(
    _xlpm.MacVal, _xlfn.XLOOKUP($A755, Output_Mac!$A:$A, Output_Mac!AA:AA, ""),
    _xlpm.MyAuditVal, _xlfn.XLOOKUP($A755, My_Audit!$A:$A, My_Audit!L:L, ""),
    _xlfn.TEXTJOIN(", ", TRUE, _xlpm.MyAuditVal, _xlpm.MacVal)
)</f>
        <v/>
      </c>
    </row>
    <row r="756" spans="1:23">
      <c r="A756" s="45" t="str">
        <f>_xlfn.TEXTJOIN("",TRUE,Input!$B$2,ROW(My_Audit!A755))</f>
        <v>CC755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_xlpm.CSVVal,_xlfn.XLOOKUP($A756,CSV!$A:$A,CSV!E:E,""),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6" t="str" cm="1">
        <f t="array" ref="K756">IFERROR(_xlfn.LET(
_xlpm.CSVVal,_xlfn.XLOOKUP($A756,CSV!$A:$A,CSV!N:N,""),
_xlpm.MacVal,_xlfn.XLOOKUP($A756,Output_Mac!$A:$A,Output_Mac!L:L,""),
_xlpm.MyAuditVal,_xlfn.XLOOKUP($A756,My_Audit!$A:$A,My_Audit!J:J,""),
_xlfn.IFS(_xlpm.MyAuditVal&lt;&gt;"",UPPER(_xlpm.MyAuditVal),_xlpm.MacVal&lt;&gt;"",_xlpm.MacVal,_xlpm.CSVVal&lt;&gt;"",_xlpm.CSVVal
)),"")</f>
        <v/>
      </c>
      <c r="L756" s="45"/>
      <c r="M756" s="45"/>
      <c r="N756" s="45"/>
      <c r="O756" s="45"/>
      <c r="P756" s="45"/>
      <c r="Q756" s="46" t="str">
        <f>IF(LEFT(N756,4)="Pass","Nist SP 800-88",My_Audit!R756)&amp;""</f>
        <v/>
      </c>
      <c r="R756" s="45"/>
      <c r="S756" s="45"/>
      <c r="T756" s="46" t="str">
        <f>_xlfn.XLOOKUP(E756,Models!I:I,Models!J:J,"")</f>
        <v/>
      </c>
      <c r="U756" s="45"/>
      <c r="V756" s="45"/>
      <c r="W756" s="38" t="str">
        <f>_xlfn.LET(
    _xlpm.MacVal, _xlfn.XLOOKUP($A756, Output_Mac!$A:$A, Output_Mac!AA:AA, ""),
    _xlpm.MyAuditVal, _xlfn.XLOOKUP($A756, My_Audit!$A:$A, My_Audit!L:L, ""),
    _xlfn.TEXTJOIN(", ", TRUE, _xlpm.MyAuditVal, _xlpm.MacVal)
)</f>
        <v/>
      </c>
    </row>
    <row r="757" spans="1:23">
      <c r="A757" s="45" t="str">
        <f>_xlfn.TEXTJOIN("",TRUE,Input!$B$2,ROW(My_Audit!A756))</f>
        <v>CC756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_xlpm.CSVVal,_xlfn.XLOOKUP($A757,CSV!$A:$A,CSV!E:E,""),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6" t="str" cm="1">
        <f t="array" ref="K757">IFERROR(_xlfn.LET(
_xlpm.CSVVal,_xlfn.XLOOKUP($A757,CSV!$A:$A,CSV!N:N,""),
_xlpm.MacVal,_xlfn.XLOOKUP($A757,Output_Mac!$A:$A,Output_Mac!L:L,""),
_xlpm.MyAuditVal,_xlfn.XLOOKUP($A757,My_Audit!$A:$A,My_Audit!J:J,""),
_xlfn.IFS(_xlpm.MyAuditVal&lt;&gt;"",UPPER(_xlpm.MyAuditVal),_xlpm.MacVal&lt;&gt;"",_xlpm.MacVal,_xlpm.CSVVal&lt;&gt;"",_xlpm.CSVVal
)),"")</f>
        <v/>
      </c>
      <c r="L757" s="45"/>
      <c r="M757" s="45"/>
      <c r="N757" s="45"/>
      <c r="O757" s="45"/>
      <c r="P757" s="45"/>
      <c r="Q757" s="46" t="str">
        <f>IF(LEFT(N757,4)="Pass","Nist SP 800-88",My_Audit!R757)&amp;""</f>
        <v/>
      </c>
      <c r="R757" s="45"/>
      <c r="S757" s="45"/>
      <c r="T757" s="46" t="str">
        <f>_xlfn.XLOOKUP(E757,Models!I:I,Models!J:J,"")</f>
        <v/>
      </c>
      <c r="U757" s="45"/>
      <c r="V757" s="45"/>
      <c r="W757" s="38" t="str">
        <f>_xlfn.LET(
    _xlpm.MacVal, _xlfn.XLOOKUP($A757, Output_Mac!$A:$A, Output_Mac!AA:AA, ""),
    _xlpm.MyAuditVal, _xlfn.XLOOKUP($A757, My_Audit!$A:$A, My_Audit!L:L, ""),
    _xlfn.TEXTJOIN(", ", TRUE, _xlpm.MyAuditVal, _xlpm.MacVal)
)</f>
        <v/>
      </c>
    </row>
    <row r="758" spans="1:23">
      <c r="A758" s="45" t="str">
        <f>_xlfn.TEXTJOIN("",TRUE,Input!$B$2,ROW(My_Audit!A757))</f>
        <v>CC757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_xlpm.CSVVal,_xlfn.XLOOKUP($A758,CSV!$A:$A,CSV!E:E,""),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6" t="str" cm="1">
        <f t="array" ref="K758">IFERROR(_xlfn.LET(
_xlpm.CSVVal,_xlfn.XLOOKUP($A758,CSV!$A:$A,CSV!N:N,""),
_xlpm.MacVal,_xlfn.XLOOKUP($A758,Output_Mac!$A:$A,Output_Mac!L:L,""),
_xlpm.MyAuditVal,_xlfn.XLOOKUP($A758,My_Audit!$A:$A,My_Audit!J:J,""),
_xlfn.IFS(_xlpm.MyAuditVal&lt;&gt;"",UPPER(_xlpm.MyAuditVal),_xlpm.MacVal&lt;&gt;"",_xlpm.MacVal,_xlpm.CSVVal&lt;&gt;"",_xlpm.CSVVal
)),"")</f>
        <v/>
      </c>
      <c r="L758" s="45"/>
      <c r="M758" s="45"/>
      <c r="N758" s="45"/>
      <c r="O758" s="45"/>
      <c r="P758" s="45"/>
      <c r="Q758" s="46" t="str">
        <f>IF(LEFT(N758,4)="Pass","Nist SP 800-88",My_Audit!R758)&amp;""</f>
        <v/>
      </c>
      <c r="R758" s="45"/>
      <c r="S758" s="45"/>
      <c r="T758" s="46" t="str">
        <f>_xlfn.XLOOKUP(E758,Models!I:I,Models!J:J,"")</f>
        <v/>
      </c>
      <c r="U758" s="45"/>
      <c r="V758" s="45"/>
      <c r="W758" s="38" t="str">
        <f>_xlfn.LET(
    _xlpm.MacVal, _xlfn.XLOOKUP($A758, Output_Mac!$A:$A, Output_Mac!AA:AA, ""),
    _xlpm.MyAuditVal, _xlfn.XLOOKUP($A758, My_Audit!$A:$A, My_Audit!L:L, ""),
    _xlfn.TEXTJOIN(", ", TRUE, _xlpm.MyAuditVal, _xlpm.MacVal)
)</f>
        <v/>
      </c>
    </row>
    <row r="759" spans="1:23">
      <c r="A759" s="45" t="str">
        <f>_xlfn.TEXTJOIN("",TRUE,Input!$B$2,ROW(My_Audit!A758))</f>
        <v>CC758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_xlpm.CSVVal,_xlfn.XLOOKUP($A759,CSV!$A:$A,CSV!E:E,""),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6" t="str" cm="1">
        <f t="array" ref="K759">IFERROR(_xlfn.LET(
_xlpm.CSVVal,_xlfn.XLOOKUP($A759,CSV!$A:$A,CSV!N:N,""),
_xlpm.MacVal,_xlfn.XLOOKUP($A759,Output_Mac!$A:$A,Output_Mac!L:L,""),
_xlpm.MyAuditVal,_xlfn.XLOOKUP($A759,My_Audit!$A:$A,My_Audit!J:J,""),
_xlfn.IFS(_xlpm.MyAuditVal&lt;&gt;"",UPPER(_xlpm.MyAuditVal),_xlpm.MacVal&lt;&gt;"",_xlpm.MacVal,_xlpm.CSVVal&lt;&gt;"",_xlpm.CSVVal
)),"")</f>
        <v/>
      </c>
      <c r="L759" s="45"/>
      <c r="M759" s="45"/>
      <c r="N759" s="45"/>
      <c r="O759" s="45"/>
      <c r="P759" s="45"/>
      <c r="Q759" s="46" t="str">
        <f>IF(LEFT(N759,4)="Pass","Nist SP 800-88",My_Audit!R759)&amp;""</f>
        <v/>
      </c>
      <c r="R759" s="45"/>
      <c r="S759" s="45"/>
      <c r="T759" s="46" t="str">
        <f>_xlfn.XLOOKUP(E759,Models!I:I,Models!J:J,"")</f>
        <v/>
      </c>
      <c r="U759" s="45"/>
      <c r="V759" s="45"/>
      <c r="W759" s="38" t="str">
        <f>_xlfn.LET(
    _xlpm.MacVal, _xlfn.XLOOKUP($A759, Output_Mac!$A:$A, Output_Mac!AA:AA, ""),
    _xlpm.MyAuditVal, _xlfn.XLOOKUP($A759, My_Audit!$A:$A, My_Audit!L:L, ""),
    _xlfn.TEXTJOIN(", ", TRUE, _xlpm.MyAuditVal, _xlpm.MacVal)
)</f>
        <v/>
      </c>
    </row>
    <row r="760" spans="1:23">
      <c r="A760" s="45" t="str">
        <f>_xlfn.TEXTJOIN("",TRUE,Input!$B$2,ROW(My_Audit!A759))</f>
        <v>CC759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_xlpm.CSVVal,_xlfn.XLOOKUP($A760,CSV!$A:$A,CSV!E:E,""),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6" t="str" cm="1">
        <f t="array" ref="K760">IFERROR(_xlfn.LET(
_xlpm.CSVVal,_xlfn.XLOOKUP($A760,CSV!$A:$A,CSV!N:N,""),
_xlpm.MacVal,_xlfn.XLOOKUP($A760,Output_Mac!$A:$A,Output_Mac!L:L,""),
_xlpm.MyAuditVal,_xlfn.XLOOKUP($A760,My_Audit!$A:$A,My_Audit!J:J,""),
_xlfn.IFS(_xlpm.MyAuditVal&lt;&gt;"",UPPER(_xlpm.MyAuditVal),_xlpm.MacVal&lt;&gt;"",_xlpm.MacVal,_xlpm.CSVVal&lt;&gt;"",_xlpm.CSVVal
)),"")</f>
        <v/>
      </c>
      <c r="L760" s="45"/>
      <c r="M760" s="45"/>
      <c r="N760" s="45"/>
      <c r="O760" s="45"/>
      <c r="P760" s="45"/>
      <c r="Q760" s="46" t="str">
        <f>IF(LEFT(N760,4)="Pass","Nist SP 800-88",My_Audit!R760)&amp;""</f>
        <v/>
      </c>
      <c r="R760" s="45"/>
      <c r="S760" s="45"/>
      <c r="T760" s="46" t="str">
        <f>_xlfn.XLOOKUP(E760,Models!I:I,Models!J:J,"")</f>
        <v/>
      </c>
      <c r="U760" s="45"/>
      <c r="V760" s="45"/>
      <c r="W760" s="38" t="str">
        <f>_xlfn.LET(
    _xlpm.MacVal, _xlfn.XLOOKUP($A760, Output_Mac!$A:$A, Output_Mac!AA:AA, ""),
    _xlpm.MyAuditVal, _xlfn.XLOOKUP($A760, My_Audit!$A:$A, My_Audit!L:L, ""),
    _xlfn.TEXTJOIN(", ", TRUE, _xlpm.MyAuditVal, _xlpm.MacVal)
)</f>
        <v/>
      </c>
    </row>
    <row r="761" spans="1:23">
      <c r="A761" s="45" t="str">
        <f>_xlfn.TEXTJOIN("",TRUE,Input!$B$2,ROW(My_Audit!A760))</f>
        <v>CC760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_xlpm.CSVVal,_xlfn.XLOOKUP($A761,CSV!$A:$A,CSV!E:E,""),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6" t="str" cm="1">
        <f t="array" ref="K761">IFERROR(_xlfn.LET(
_xlpm.CSVVal,_xlfn.XLOOKUP($A761,CSV!$A:$A,CSV!N:N,""),
_xlpm.MacVal,_xlfn.XLOOKUP($A761,Output_Mac!$A:$A,Output_Mac!L:L,""),
_xlpm.MyAuditVal,_xlfn.XLOOKUP($A761,My_Audit!$A:$A,My_Audit!J:J,""),
_xlfn.IFS(_xlpm.MyAuditVal&lt;&gt;"",UPPER(_xlpm.MyAuditVal),_xlpm.MacVal&lt;&gt;"",_xlpm.MacVal,_xlpm.CSVVal&lt;&gt;"",_xlpm.CSVVal
)),"")</f>
        <v/>
      </c>
      <c r="L761" s="45"/>
      <c r="M761" s="45"/>
      <c r="N761" s="45"/>
      <c r="O761" s="45"/>
      <c r="P761" s="45"/>
      <c r="Q761" s="46" t="str">
        <f>IF(LEFT(N761,4)="Pass","Nist SP 800-88",My_Audit!R761)&amp;""</f>
        <v/>
      </c>
      <c r="R761" s="45"/>
      <c r="S761" s="45"/>
      <c r="T761" s="46" t="str">
        <f>_xlfn.XLOOKUP(E761,Models!I:I,Models!J:J,"")</f>
        <v/>
      </c>
      <c r="U761" s="45"/>
      <c r="V761" s="45"/>
      <c r="W761" s="38" t="str">
        <f>_xlfn.LET(
    _xlpm.MacVal, _xlfn.XLOOKUP($A761, Output_Mac!$A:$A, Output_Mac!AA:AA, ""),
    _xlpm.MyAuditVal, _xlfn.XLOOKUP($A761, My_Audit!$A:$A, My_Audit!L:L, ""),
    _xlfn.TEXTJOIN(", ", TRUE, _xlpm.MyAuditVal, _xlpm.MacVal)
)</f>
        <v/>
      </c>
    </row>
    <row r="762" spans="1:23">
      <c r="A762" s="45" t="str">
        <f>_xlfn.TEXTJOIN("",TRUE,Input!$B$2,ROW(My_Audit!A761))</f>
        <v>CC761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_xlpm.CSVVal,_xlfn.XLOOKUP($A762,CSV!$A:$A,CSV!E:E,""),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6" t="str" cm="1">
        <f t="array" ref="K762">IFERROR(_xlfn.LET(
_xlpm.CSVVal,_xlfn.XLOOKUP($A762,CSV!$A:$A,CSV!N:N,""),
_xlpm.MacVal,_xlfn.XLOOKUP($A762,Output_Mac!$A:$A,Output_Mac!L:L,""),
_xlpm.MyAuditVal,_xlfn.XLOOKUP($A762,My_Audit!$A:$A,My_Audit!J:J,""),
_xlfn.IFS(_xlpm.MyAuditVal&lt;&gt;"",UPPER(_xlpm.MyAuditVal),_xlpm.MacVal&lt;&gt;"",_xlpm.MacVal,_xlpm.CSVVal&lt;&gt;"",_xlpm.CSVVal
)),"")</f>
        <v/>
      </c>
      <c r="L762" s="45"/>
      <c r="M762" s="45"/>
      <c r="N762" s="45"/>
      <c r="O762" s="45"/>
      <c r="P762" s="45"/>
      <c r="Q762" s="46" t="str">
        <f>IF(LEFT(N762,4)="Pass","Nist SP 800-88",My_Audit!R762)&amp;""</f>
        <v/>
      </c>
      <c r="R762" s="45"/>
      <c r="S762" s="45"/>
      <c r="T762" s="46" t="str">
        <f>_xlfn.XLOOKUP(E762,Models!I:I,Models!J:J,"")</f>
        <v/>
      </c>
      <c r="U762" s="45"/>
      <c r="V762" s="45"/>
      <c r="W762" s="38" t="str">
        <f>_xlfn.LET(
    _xlpm.MacVal, _xlfn.XLOOKUP($A762, Output_Mac!$A:$A, Output_Mac!AA:AA, ""),
    _xlpm.MyAuditVal, _xlfn.XLOOKUP($A762, My_Audit!$A:$A, My_Audit!L:L, ""),
    _xlfn.TEXTJOIN(", ", TRUE, _xlpm.MyAuditVal, _xlpm.MacVal)
)</f>
        <v/>
      </c>
    </row>
    <row r="763" spans="1:23">
      <c r="A763" s="45" t="str">
        <f>_xlfn.TEXTJOIN("",TRUE,Input!$B$2,ROW(My_Audit!A762))</f>
        <v>CC762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_xlpm.CSVVal,_xlfn.XLOOKUP($A763,CSV!$A:$A,CSV!E:E,""),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6" t="str" cm="1">
        <f t="array" ref="K763">IFERROR(_xlfn.LET(
_xlpm.CSVVal,_xlfn.XLOOKUP($A763,CSV!$A:$A,CSV!N:N,""),
_xlpm.MacVal,_xlfn.XLOOKUP($A763,Output_Mac!$A:$A,Output_Mac!L:L,""),
_xlpm.MyAuditVal,_xlfn.XLOOKUP($A763,My_Audit!$A:$A,My_Audit!J:J,""),
_xlfn.IFS(_xlpm.MyAuditVal&lt;&gt;"",UPPER(_xlpm.MyAuditVal),_xlpm.MacVal&lt;&gt;"",_xlpm.MacVal,_xlpm.CSVVal&lt;&gt;"",_xlpm.CSVVal
)),"")</f>
        <v/>
      </c>
      <c r="L763" s="45"/>
      <c r="M763" s="45"/>
      <c r="N763" s="45"/>
      <c r="O763" s="45"/>
      <c r="P763" s="45"/>
      <c r="Q763" s="46" t="str">
        <f>IF(LEFT(N763,4)="Pass","Nist SP 800-88",My_Audit!R763)&amp;""</f>
        <v/>
      </c>
      <c r="R763" s="45"/>
      <c r="S763" s="45"/>
      <c r="T763" s="46" t="str">
        <f>_xlfn.XLOOKUP(E763,Models!I:I,Models!J:J,"")</f>
        <v/>
      </c>
      <c r="U763" s="45"/>
      <c r="V763" s="45"/>
      <c r="W763" s="38" t="str">
        <f>_xlfn.LET(
    _xlpm.MacVal, _xlfn.XLOOKUP($A763, Output_Mac!$A:$A, Output_Mac!AA:AA, ""),
    _xlpm.MyAuditVal, _xlfn.XLOOKUP($A763, My_Audit!$A:$A, My_Audit!L:L, ""),
    _xlfn.TEXTJOIN(", ", TRUE, _xlpm.MyAuditVal, _xlpm.MacVal)
)</f>
        <v/>
      </c>
    </row>
    <row r="764" spans="1:23">
      <c r="A764" s="45" t="str">
        <f>_xlfn.TEXTJOIN("",TRUE,Input!$B$2,ROW(My_Audit!A763))</f>
        <v>CC763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_xlpm.CSVVal,_xlfn.XLOOKUP($A764,CSV!$A:$A,CSV!E:E,""),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6" t="str" cm="1">
        <f t="array" ref="K764">IFERROR(_xlfn.LET(
_xlpm.CSVVal,_xlfn.XLOOKUP($A764,CSV!$A:$A,CSV!N:N,""),
_xlpm.MacVal,_xlfn.XLOOKUP($A764,Output_Mac!$A:$A,Output_Mac!L:L,""),
_xlpm.MyAuditVal,_xlfn.XLOOKUP($A764,My_Audit!$A:$A,My_Audit!J:J,""),
_xlfn.IFS(_xlpm.MyAuditVal&lt;&gt;"",UPPER(_xlpm.MyAuditVal),_xlpm.MacVal&lt;&gt;"",_xlpm.MacVal,_xlpm.CSVVal&lt;&gt;"",_xlpm.CSVVal
)),"")</f>
        <v/>
      </c>
      <c r="L764" s="45"/>
      <c r="M764" s="45"/>
      <c r="N764" s="45"/>
      <c r="O764" s="45"/>
      <c r="P764" s="45"/>
      <c r="Q764" s="46" t="str">
        <f>IF(LEFT(N764,4)="Pass","Nist SP 800-88",My_Audit!R764)&amp;""</f>
        <v/>
      </c>
      <c r="R764" s="45"/>
      <c r="S764" s="45"/>
      <c r="T764" s="46" t="str">
        <f>_xlfn.XLOOKUP(E764,Models!I:I,Models!J:J,"")</f>
        <v/>
      </c>
      <c r="U764" s="45"/>
      <c r="V764" s="45"/>
      <c r="W764" s="38" t="str">
        <f>_xlfn.LET(
    _xlpm.MacVal, _xlfn.XLOOKUP($A764, Output_Mac!$A:$A, Output_Mac!AA:AA, ""),
    _xlpm.MyAuditVal, _xlfn.XLOOKUP($A764, My_Audit!$A:$A, My_Audit!L:L, ""),
    _xlfn.TEXTJOIN(", ", TRUE, _xlpm.MyAuditVal, _xlpm.MacVal)
)</f>
        <v/>
      </c>
    </row>
    <row r="765" spans="1:23">
      <c r="A765" s="45" t="str">
        <f>_xlfn.TEXTJOIN("",TRUE,Input!$B$2,ROW(My_Audit!A764))</f>
        <v>CC764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_xlpm.CSVVal,_xlfn.XLOOKUP($A765,CSV!$A:$A,CSV!E:E,""),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6" t="str" cm="1">
        <f t="array" ref="K765">IFERROR(_xlfn.LET(
_xlpm.CSVVal,_xlfn.XLOOKUP($A765,CSV!$A:$A,CSV!N:N,""),
_xlpm.MacVal,_xlfn.XLOOKUP($A765,Output_Mac!$A:$A,Output_Mac!L:L,""),
_xlpm.MyAuditVal,_xlfn.XLOOKUP($A765,My_Audit!$A:$A,My_Audit!J:J,""),
_xlfn.IFS(_xlpm.MyAuditVal&lt;&gt;"",UPPER(_xlpm.MyAuditVal),_xlpm.MacVal&lt;&gt;"",_xlpm.MacVal,_xlpm.CSVVal&lt;&gt;"",_xlpm.CSVVal
)),"")</f>
        <v/>
      </c>
      <c r="L765" s="45"/>
      <c r="M765" s="45"/>
      <c r="N765" s="45"/>
      <c r="O765" s="45"/>
      <c r="P765" s="45"/>
      <c r="Q765" s="46" t="str">
        <f>IF(LEFT(N765,4)="Pass","Nist SP 800-88",My_Audit!R765)&amp;""</f>
        <v/>
      </c>
      <c r="R765" s="45"/>
      <c r="S765" s="45"/>
      <c r="T765" s="46" t="str">
        <f>_xlfn.XLOOKUP(E765,Models!I:I,Models!J:J,"")</f>
        <v/>
      </c>
      <c r="U765" s="45"/>
      <c r="V765" s="45"/>
      <c r="W765" s="38" t="str">
        <f>_xlfn.LET(
    _xlpm.MacVal, _xlfn.XLOOKUP($A765, Output_Mac!$A:$A, Output_Mac!AA:AA, ""),
    _xlpm.MyAuditVal, _xlfn.XLOOKUP($A765, My_Audit!$A:$A, My_Audit!L:L, ""),
    _xlfn.TEXTJOIN(", ", TRUE, _xlpm.MyAuditVal, _xlpm.MacVal)
)</f>
        <v/>
      </c>
    </row>
    <row r="766" spans="1:23">
      <c r="A766" s="45" t="str">
        <f>_xlfn.TEXTJOIN("",TRUE,Input!$B$2,ROW(My_Audit!A765))</f>
        <v>CC765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_xlpm.CSVVal,_xlfn.XLOOKUP($A766,CSV!$A:$A,CSV!E:E,""),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6" t="str" cm="1">
        <f t="array" ref="K766">IFERROR(_xlfn.LET(
_xlpm.CSVVal,_xlfn.XLOOKUP($A766,CSV!$A:$A,CSV!N:N,""),
_xlpm.MacVal,_xlfn.XLOOKUP($A766,Output_Mac!$A:$A,Output_Mac!L:L,""),
_xlpm.MyAuditVal,_xlfn.XLOOKUP($A766,My_Audit!$A:$A,My_Audit!J:J,""),
_xlfn.IFS(_xlpm.MyAuditVal&lt;&gt;"",UPPER(_xlpm.MyAuditVal),_xlpm.MacVal&lt;&gt;"",_xlpm.MacVal,_xlpm.CSVVal&lt;&gt;"",_xlpm.CSVVal
)),"")</f>
        <v/>
      </c>
      <c r="L766" s="45"/>
      <c r="M766" s="45"/>
      <c r="N766" s="45"/>
      <c r="O766" s="45"/>
      <c r="P766" s="45"/>
      <c r="Q766" s="46" t="str">
        <f>IF(LEFT(N766,4)="Pass","Nist SP 800-88",My_Audit!R766)&amp;""</f>
        <v/>
      </c>
      <c r="R766" s="45"/>
      <c r="S766" s="45"/>
      <c r="T766" s="46" t="str">
        <f>_xlfn.XLOOKUP(E766,Models!I:I,Models!J:J,"")</f>
        <v/>
      </c>
      <c r="U766" s="45"/>
      <c r="V766" s="45"/>
      <c r="W766" s="38" t="str">
        <f>_xlfn.LET(
    _xlpm.MacVal, _xlfn.XLOOKUP($A766, Output_Mac!$A:$A, Output_Mac!AA:AA, ""),
    _xlpm.MyAuditVal, _xlfn.XLOOKUP($A766, My_Audit!$A:$A, My_Audit!L:L, ""),
    _xlfn.TEXTJOIN(", ", TRUE, _xlpm.MyAuditVal, _xlpm.MacVal)
)</f>
        <v/>
      </c>
    </row>
    <row r="767" spans="1:23">
      <c r="A767" s="45" t="str">
        <f>_xlfn.TEXTJOIN("",TRUE,Input!$B$2,ROW(My_Audit!A766))</f>
        <v>CC766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_xlpm.CSVVal,_xlfn.XLOOKUP($A767,CSV!$A:$A,CSV!E:E,""),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6" t="str" cm="1">
        <f t="array" ref="K767">IFERROR(_xlfn.LET(
_xlpm.CSVVal,_xlfn.XLOOKUP($A767,CSV!$A:$A,CSV!N:N,""),
_xlpm.MacVal,_xlfn.XLOOKUP($A767,Output_Mac!$A:$A,Output_Mac!L:L,""),
_xlpm.MyAuditVal,_xlfn.XLOOKUP($A767,My_Audit!$A:$A,My_Audit!J:J,""),
_xlfn.IFS(_xlpm.MyAuditVal&lt;&gt;"",UPPER(_xlpm.MyAuditVal),_xlpm.MacVal&lt;&gt;"",_xlpm.MacVal,_xlpm.CSVVal&lt;&gt;"",_xlpm.CSVVal
)),"")</f>
        <v/>
      </c>
      <c r="L767" s="45"/>
      <c r="M767" s="45"/>
      <c r="N767" s="45"/>
      <c r="O767" s="45"/>
      <c r="P767" s="45"/>
      <c r="Q767" s="46" t="str">
        <f>IF(LEFT(N767,4)="Pass","Nist SP 800-88",My_Audit!R767)&amp;""</f>
        <v/>
      </c>
      <c r="R767" s="45"/>
      <c r="S767" s="45"/>
      <c r="T767" s="46" t="str">
        <f>_xlfn.XLOOKUP(E767,Models!I:I,Models!J:J,"")</f>
        <v/>
      </c>
      <c r="U767" s="45"/>
      <c r="V767" s="45"/>
      <c r="W767" s="38" t="str">
        <f>_xlfn.LET(
    _xlpm.MacVal, _xlfn.XLOOKUP($A767, Output_Mac!$A:$A, Output_Mac!AA:AA, ""),
    _xlpm.MyAuditVal, _xlfn.XLOOKUP($A767, My_Audit!$A:$A, My_Audit!L:L, ""),
    _xlfn.TEXTJOIN(", ", TRUE, _xlpm.MyAuditVal, _xlpm.MacVal)
)</f>
        <v/>
      </c>
    </row>
    <row r="768" spans="1:23">
      <c r="A768" s="45" t="str">
        <f>_xlfn.TEXTJOIN("",TRUE,Input!$B$2,ROW(My_Audit!A767))</f>
        <v>CC767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_xlpm.CSVVal,_xlfn.XLOOKUP($A768,CSV!$A:$A,CSV!E:E,""),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6" t="str" cm="1">
        <f t="array" ref="K768">IFERROR(_xlfn.LET(
_xlpm.CSVVal,_xlfn.XLOOKUP($A768,CSV!$A:$A,CSV!N:N,""),
_xlpm.MacVal,_xlfn.XLOOKUP($A768,Output_Mac!$A:$A,Output_Mac!L:L,""),
_xlpm.MyAuditVal,_xlfn.XLOOKUP($A768,My_Audit!$A:$A,My_Audit!J:J,""),
_xlfn.IFS(_xlpm.MyAuditVal&lt;&gt;"",UPPER(_xlpm.MyAuditVal),_xlpm.MacVal&lt;&gt;"",_xlpm.MacVal,_xlpm.CSVVal&lt;&gt;"",_xlpm.CSVVal
)),"")</f>
        <v/>
      </c>
      <c r="L768" s="45"/>
      <c r="M768" s="45"/>
      <c r="N768" s="45"/>
      <c r="O768" s="45"/>
      <c r="P768" s="45"/>
      <c r="Q768" s="46" t="str">
        <f>IF(LEFT(N768,4)="Pass","Nist SP 800-88",My_Audit!R768)&amp;""</f>
        <v/>
      </c>
      <c r="R768" s="45"/>
      <c r="S768" s="45"/>
      <c r="T768" s="46" t="str">
        <f>_xlfn.XLOOKUP(E768,Models!I:I,Models!J:J,"")</f>
        <v/>
      </c>
      <c r="U768" s="45"/>
      <c r="V768" s="45"/>
      <c r="W768" s="38" t="str">
        <f>_xlfn.LET(
    _xlpm.MacVal, _xlfn.XLOOKUP($A768, Output_Mac!$A:$A, Output_Mac!AA:AA, ""),
    _xlpm.MyAuditVal, _xlfn.XLOOKUP($A768, My_Audit!$A:$A, My_Audit!L:L, ""),
    _xlfn.TEXTJOIN(", ", TRUE, _xlpm.MyAuditVal, _xlpm.MacVal)
)</f>
        <v/>
      </c>
    </row>
    <row r="769" spans="1:23">
      <c r="A769" s="45" t="str">
        <f>_xlfn.TEXTJOIN("",TRUE,Input!$B$2,ROW(My_Audit!A768))</f>
        <v>CC768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_xlpm.CSVVal,_xlfn.XLOOKUP($A769,CSV!$A:$A,CSV!E:E,""),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6" t="str" cm="1">
        <f t="array" ref="K769">IFERROR(_xlfn.LET(
_xlpm.CSVVal,_xlfn.XLOOKUP($A769,CSV!$A:$A,CSV!N:N,""),
_xlpm.MacVal,_xlfn.XLOOKUP($A769,Output_Mac!$A:$A,Output_Mac!L:L,""),
_xlpm.MyAuditVal,_xlfn.XLOOKUP($A769,My_Audit!$A:$A,My_Audit!J:J,""),
_xlfn.IFS(_xlpm.MyAuditVal&lt;&gt;"",UPPER(_xlpm.MyAuditVal),_xlpm.MacVal&lt;&gt;"",_xlpm.MacVal,_xlpm.CSVVal&lt;&gt;"",_xlpm.CSVVal
)),"")</f>
        <v/>
      </c>
      <c r="L769" s="45"/>
      <c r="M769" s="45"/>
      <c r="N769" s="45"/>
      <c r="O769" s="45"/>
      <c r="P769" s="45"/>
      <c r="Q769" s="46" t="str">
        <f>IF(LEFT(N769,4)="Pass","Nist SP 800-88",My_Audit!R769)&amp;""</f>
        <v/>
      </c>
      <c r="R769" s="45"/>
      <c r="S769" s="45"/>
      <c r="T769" s="46" t="str">
        <f>_xlfn.XLOOKUP(E769,Models!I:I,Models!J:J,"")</f>
        <v/>
      </c>
      <c r="U769" s="45"/>
      <c r="V769" s="45"/>
      <c r="W769" s="38" t="str">
        <f>_xlfn.LET(
    _xlpm.MacVal, _xlfn.XLOOKUP($A769, Output_Mac!$A:$A, Output_Mac!AA:AA, ""),
    _xlpm.MyAuditVal, _xlfn.XLOOKUP($A769, My_Audit!$A:$A, My_Audit!L:L, ""),
    _xlfn.TEXTJOIN(", ", TRUE, _xlpm.MyAuditVal, _xlpm.MacVal)
)</f>
        <v/>
      </c>
    </row>
    <row r="770" spans="1:23">
      <c r="A770" s="45" t="str">
        <f>_xlfn.TEXTJOIN("",TRUE,Input!$B$2,ROW(My_Audit!A769))</f>
        <v>CC769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_xlpm.CSVVal,_xlfn.XLOOKUP($A770,CSV!$A:$A,CSV!E:E,""),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6" t="str" cm="1">
        <f t="array" ref="K770">IFERROR(_xlfn.LET(
_xlpm.CSVVal,_xlfn.XLOOKUP($A770,CSV!$A:$A,CSV!N:N,""),
_xlpm.MacVal,_xlfn.XLOOKUP($A770,Output_Mac!$A:$A,Output_Mac!L:L,""),
_xlpm.MyAuditVal,_xlfn.XLOOKUP($A770,My_Audit!$A:$A,My_Audit!J:J,""),
_xlfn.IFS(_xlpm.MyAuditVal&lt;&gt;"",UPPER(_xlpm.MyAuditVal),_xlpm.MacVal&lt;&gt;"",_xlpm.MacVal,_xlpm.CSVVal&lt;&gt;"",_xlpm.CSVVal
)),"")</f>
        <v/>
      </c>
      <c r="L770" s="45"/>
      <c r="M770" s="45"/>
      <c r="N770" s="45"/>
      <c r="O770" s="45"/>
      <c r="P770" s="45"/>
      <c r="Q770" s="46" t="str">
        <f>IF(LEFT(N770,4)="Pass","Nist SP 800-88",My_Audit!R770)&amp;""</f>
        <v/>
      </c>
      <c r="R770" s="45"/>
      <c r="S770" s="45"/>
      <c r="T770" s="46" t="str">
        <f>_xlfn.XLOOKUP(E770,Models!I:I,Models!J:J,"")</f>
        <v/>
      </c>
      <c r="U770" s="45"/>
      <c r="V770" s="45"/>
      <c r="W770" s="38" t="str">
        <f>_xlfn.LET(
    _xlpm.MacVal, _xlfn.XLOOKUP($A770, Output_Mac!$A:$A, Output_Mac!AA:AA, ""),
    _xlpm.MyAuditVal, _xlfn.XLOOKUP($A770, My_Audit!$A:$A, My_Audit!L:L, ""),
    _xlfn.TEXTJOIN(", ", TRUE, _xlpm.MyAuditVal, _xlpm.MacVal)
)</f>
        <v/>
      </c>
    </row>
    <row r="771" spans="1:23">
      <c r="A771" s="45" t="str">
        <f>_xlfn.TEXTJOIN("",TRUE,Input!$B$2,ROW(My_Audit!A770))</f>
        <v>CC770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_xlpm.CSVVal,_xlfn.XLOOKUP($A771,CSV!$A:$A,CSV!E:E,""),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6" t="str" cm="1">
        <f t="array" ref="K771">IFERROR(_xlfn.LET(
_xlpm.CSVVal,_xlfn.XLOOKUP($A771,CSV!$A:$A,CSV!N:N,""),
_xlpm.MacVal,_xlfn.XLOOKUP($A771,Output_Mac!$A:$A,Output_Mac!L:L,""),
_xlpm.MyAuditVal,_xlfn.XLOOKUP($A771,My_Audit!$A:$A,My_Audit!J:J,""),
_xlfn.IFS(_xlpm.MyAuditVal&lt;&gt;"",UPPER(_xlpm.MyAuditVal),_xlpm.MacVal&lt;&gt;"",_xlpm.MacVal,_xlpm.CSVVal&lt;&gt;"",_xlpm.CSVVal
)),"")</f>
        <v/>
      </c>
      <c r="L771" s="45"/>
      <c r="M771" s="45"/>
      <c r="N771" s="45"/>
      <c r="O771" s="45"/>
      <c r="P771" s="45"/>
      <c r="Q771" s="46" t="str">
        <f>IF(LEFT(N771,4)="Pass","Nist SP 800-88",My_Audit!R771)&amp;""</f>
        <v/>
      </c>
      <c r="R771" s="45"/>
      <c r="S771" s="45"/>
      <c r="T771" s="46" t="str">
        <f>_xlfn.XLOOKUP(E771,Models!I:I,Models!J:J,"")</f>
        <v/>
      </c>
      <c r="U771" s="45"/>
      <c r="V771" s="45"/>
      <c r="W771" s="38" t="str">
        <f>_xlfn.LET(
    _xlpm.MacVal, _xlfn.XLOOKUP($A771, Output_Mac!$A:$A, Output_Mac!AA:AA, ""),
    _xlpm.MyAuditVal, _xlfn.XLOOKUP($A771, My_Audit!$A:$A, My_Audit!L:L, ""),
    _xlfn.TEXTJOIN(", ", TRUE, _xlpm.MyAuditVal, _xlpm.MacVal)
)</f>
        <v/>
      </c>
    </row>
    <row r="772" spans="1:23">
      <c r="A772" s="45" t="str">
        <f>_xlfn.TEXTJOIN("",TRUE,Input!$B$2,ROW(My_Audit!A771))</f>
        <v>CC771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_xlpm.CSVVal,_xlfn.XLOOKUP($A772,CSV!$A:$A,CSV!E:E,""),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6" t="str" cm="1">
        <f t="array" ref="K772">IFERROR(_xlfn.LET(
_xlpm.CSVVal,_xlfn.XLOOKUP($A772,CSV!$A:$A,CSV!N:N,""),
_xlpm.MacVal,_xlfn.XLOOKUP($A772,Output_Mac!$A:$A,Output_Mac!L:L,""),
_xlpm.MyAuditVal,_xlfn.XLOOKUP($A772,My_Audit!$A:$A,My_Audit!J:J,""),
_xlfn.IFS(_xlpm.MyAuditVal&lt;&gt;"",UPPER(_xlpm.MyAuditVal),_xlpm.MacVal&lt;&gt;"",_xlpm.MacVal,_xlpm.CSVVal&lt;&gt;"",_xlpm.CSVVal
)),"")</f>
        <v/>
      </c>
      <c r="L772" s="45"/>
      <c r="M772" s="45"/>
      <c r="N772" s="45"/>
      <c r="O772" s="45"/>
      <c r="P772" s="45"/>
      <c r="Q772" s="46" t="str">
        <f>IF(LEFT(N772,4)="Pass","Nist SP 800-88",My_Audit!R772)&amp;""</f>
        <v/>
      </c>
      <c r="R772" s="45"/>
      <c r="S772" s="45"/>
      <c r="T772" s="46" t="str">
        <f>_xlfn.XLOOKUP(E772,Models!I:I,Models!J:J,"")</f>
        <v/>
      </c>
      <c r="U772" s="45"/>
      <c r="V772" s="45"/>
      <c r="W772" s="38" t="str">
        <f>_xlfn.LET(
    _xlpm.MacVal, _xlfn.XLOOKUP($A772, Output_Mac!$A:$A, Output_Mac!AA:AA, ""),
    _xlpm.MyAuditVal, _xlfn.XLOOKUP($A772, My_Audit!$A:$A, My_Audit!L:L, ""),
    _xlfn.TEXTJOIN(", ", TRUE, _xlpm.MyAuditVal, _xlpm.MacVal)
)</f>
        <v/>
      </c>
    </row>
    <row r="773" spans="1:23">
      <c r="A773" s="45" t="str">
        <f>_xlfn.TEXTJOIN("",TRUE,Input!$B$2,ROW(My_Audit!A772))</f>
        <v>CC772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_xlpm.CSVVal,_xlfn.XLOOKUP($A773,CSV!$A:$A,CSV!E:E,""),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6" t="str" cm="1">
        <f t="array" ref="K773">IFERROR(_xlfn.LET(
_xlpm.CSVVal,_xlfn.XLOOKUP($A773,CSV!$A:$A,CSV!N:N,""),
_xlpm.MacVal,_xlfn.XLOOKUP($A773,Output_Mac!$A:$A,Output_Mac!L:L,""),
_xlpm.MyAuditVal,_xlfn.XLOOKUP($A773,My_Audit!$A:$A,My_Audit!J:J,""),
_xlfn.IFS(_xlpm.MyAuditVal&lt;&gt;"",UPPER(_xlpm.MyAuditVal),_xlpm.MacVal&lt;&gt;"",_xlpm.MacVal,_xlpm.CSVVal&lt;&gt;"",_xlpm.CSVVal
)),"")</f>
        <v/>
      </c>
      <c r="L773" s="45"/>
      <c r="M773" s="45"/>
      <c r="N773" s="45"/>
      <c r="O773" s="45"/>
      <c r="P773" s="45"/>
      <c r="Q773" s="46" t="str">
        <f>IF(LEFT(N773,4)="Pass","Nist SP 800-88",My_Audit!R773)&amp;""</f>
        <v/>
      </c>
      <c r="R773" s="45"/>
      <c r="S773" s="45"/>
      <c r="T773" s="46" t="str">
        <f>_xlfn.XLOOKUP(E773,Models!I:I,Models!J:J,"")</f>
        <v/>
      </c>
      <c r="U773" s="45"/>
      <c r="V773" s="45"/>
      <c r="W773" s="38" t="str">
        <f>_xlfn.LET(
    _xlpm.MacVal, _xlfn.XLOOKUP($A773, Output_Mac!$A:$A, Output_Mac!AA:AA, ""),
    _xlpm.MyAuditVal, _xlfn.XLOOKUP($A773, My_Audit!$A:$A, My_Audit!L:L, ""),
    _xlfn.TEXTJOIN(", ", TRUE, _xlpm.MyAuditVal, _xlpm.MacVal)
)</f>
        <v/>
      </c>
    </row>
    <row r="774" spans="1:23">
      <c r="A774" s="45" t="str">
        <f>_xlfn.TEXTJOIN("",TRUE,Input!$B$2,ROW(My_Audit!A773))</f>
        <v>CC773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_xlpm.CSVVal,_xlfn.XLOOKUP($A774,CSV!$A:$A,CSV!E:E,""),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6" t="str" cm="1">
        <f t="array" ref="K774">IFERROR(_xlfn.LET(
_xlpm.CSVVal,_xlfn.XLOOKUP($A774,CSV!$A:$A,CSV!N:N,""),
_xlpm.MacVal,_xlfn.XLOOKUP($A774,Output_Mac!$A:$A,Output_Mac!L:L,""),
_xlpm.MyAuditVal,_xlfn.XLOOKUP($A774,My_Audit!$A:$A,My_Audit!J:J,""),
_xlfn.IFS(_xlpm.MyAuditVal&lt;&gt;"",UPPER(_xlpm.MyAuditVal),_xlpm.MacVal&lt;&gt;"",_xlpm.MacVal,_xlpm.CSVVal&lt;&gt;"",_xlpm.CSVVal
)),"")</f>
        <v/>
      </c>
      <c r="L774" s="45"/>
      <c r="M774" s="45"/>
      <c r="N774" s="45"/>
      <c r="O774" s="45"/>
      <c r="P774" s="45"/>
      <c r="Q774" s="46" t="str">
        <f>IF(LEFT(N774,4)="Pass","Nist SP 800-88",My_Audit!R774)&amp;""</f>
        <v/>
      </c>
      <c r="R774" s="45"/>
      <c r="S774" s="45"/>
      <c r="T774" s="46" t="str">
        <f>_xlfn.XLOOKUP(E774,Models!I:I,Models!J:J,"")</f>
        <v/>
      </c>
      <c r="U774" s="45"/>
      <c r="V774" s="45"/>
      <c r="W774" s="38" t="str">
        <f>_xlfn.LET(
    _xlpm.MacVal, _xlfn.XLOOKUP($A774, Output_Mac!$A:$A, Output_Mac!AA:AA, ""),
    _xlpm.MyAuditVal, _xlfn.XLOOKUP($A774, My_Audit!$A:$A, My_Audit!L:L, ""),
    _xlfn.TEXTJOIN(", ", TRUE, _xlpm.MyAuditVal, _xlpm.MacVal)
)</f>
        <v/>
      </c>
    </row>
    <row r="775" spans="1:23">
      <c r="A775" s="45" t="str">
        <f>_xlfn.TEXTJOIN("",TRUE,Input!$B$2,ROW(My_Audit!A774))</f>
        <v>CC774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_xlpm.CSVVal,_xlfn.XLOOKUP($A775,CSV!$A:$A,CSV!E:E,""),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6" t="str" cm="1">
        <f t="array" ref="K775">IFERROR(_xlfn.LET(
_xlpm.CSVVal,_xlfn.XLOOKUP($A775,CSV!$A:$A,CSV!N:N,""),
_xlpm.MacVal,_xlfn.XLOOKUP($A775,Output_Mac!$A:$A,Output_Mac!L:L,""),
_xlpm.MyAuditVal,_xlfn.XLOOKUP($A775,My_Audit!$A:$A,My_Audit!J:J,""),
_xlfn.IFS(_xlpm.MyAuditVal&lt;&gt;"",UPPER(_xlpm.MyAuditVal),_xlpm.MacVal&lt;&gt;"",_xlpm.MacVal,_xlpm.CSVVal&lt;&gt;"",_xlpm.CSVVal
)),"")</f>
        <v/>
      </c>
      <c r="L775" s="45"/>
      <c r="M775" s="45"/>
      <c r="N775" s="45"/>
      <c r="O775" s="45"/>
      <c r="P775" s="45"/>
      <c r="Q775" s="46" t="str">
        <f>IF(LEFT(N775,4)="Pass","Nist SP 800-88",My_Audit!R775)&amp;""</f>
        <v/>
      </c>
      <c r="R775" s="45"/>
      <c r="S775" s="45"/>
      <c r="T775" s="46" t="str">
        <f>_xlfn.XLOOKUP(E775,Models!I:I,Models!J:J,"")</f>
        <v/>
      </c>
      <c r="U775" s="45"/>
      <c r="V775" s="45"/>
      <c r="W775" s="38" t="str">
        <f>_xlfn.LET(
    _xlpm.MacVal, _xlfn.XLOOKUP($A775, Output_Mac!$A:$A, Output_Mac!AA:AA, ""),
    _xlpm.MyAuditVal, _xlfn.XLOOKUP($A775, My_Audit!$A:$A, My_Audit!L:L, ""),
    _xlfn.TEXTJOIN(", ", TRUE, _xlpm.MyAuditVal, _xlpm.MacVal)
)</f>
        <v/>
      </c>
    </row>
    <row r="776" spans="1:23">
      <c r="A776" s="45" t="str">
        <f>_xlfn.TEXTJOIN("",TRUE,Input!$B$2,ROW(My_Audit!A775))</f>
        <v>CC775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_xlpm.CSVVal,_xlfn.XLOOKUP($A776,CSV!$A:$A,CSV!E:E,""),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6" t="str" cm="1">
        <f t="array" ref="K776">IFERROR(_xlfn.LET(
_xlpm.CSVVal,_xlfn.XLOOKUP($A776,CSV!$A:$A,CSV!N:N,""),
_xlpm.MacVal,_xlfn.XLOOKUP($A776,Output_Mac!$A:$A,Output_Mac!L:L,""),
_xlpm.MyAuditVal,_xlfn.XLOOKUP($A776,My_Audit!$A:$A,My_Audit!J:J,""),
_xlfn.IFS(_xlpm.MyAuditVal&lt;&gt;"",UPPER(_xlpm.MyAuditVal),_xlpm.MacVal&lt;&gt;"",_xlpm.MacVal,_xlpm.CSVVal&lt;&gt;"",_xlpm.CSVVal
)),"")</f>
        <v/>
      </c>
      <c r="L776" s="45"/>
      <c r="M776" s="45"/>
      <c r="N776" s="45"/>
      <c r="O776" s="45"/>
      <c r="P776" s="45"/>
      <c r="Q776" s="46" t="str">
        <f>IF(LEFT(N776,4)="Pass","Nist SP 800-88",My_Audit!R776)&amp;""</f>
        <v/>
      </c>
      <c r="R776" s="45"/>
      <c r="S776" s="45"/>
      <c r="T776" s="46" t="str">
        <f>_xlfn.XLOOKUP(E776,Models!I:I,Models!J:J,"")</f>
        <v/>
      </c>
      <c r="U776" s="45"/>
      <c r="V776" s="45"/>
      <c r="W776" s="38" t="str">
        <f>_xlfn.LET(
    _xlpm.MacVal, _xlfn.XLOOKUP($A776, Output_Mac!$A:$A, Output_Mac!AA:AA, ""),
    _xlpm.MyAuditVal, _xlfn.XLOOKUP($A776, My_Audit!$A:$A, My_Audit!L:L, ""),
    _xlfn.TEXTJOIN(", ", TRUE, _xlpm.MyAuditVal, _xlpm.MacVal)
)</f>
        <v/>
      </c>
    </row>
    <row r="777" spans="1:23">
      <c r="A777" s="45" t="str">
        <f>_xlfn.TEXTJOIN("",TRUE,Input!$B$2,ROW(My_Audit!A776))</f>
        <v>CC776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_xlpm.CSVVal,_xlfn.XLOOKUP($A777,CSV!$A:$A,CSV!E:E,""),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6" t="str" cm="1">
        <f t="array" ref="K777">IFERROR(_xlfn.LET(
_xlpm.CSVVal,_xlfn.XLOOKUP($A777,CSV!$A:$A,CSV!N:N,""),
_xlpm.MacVal,_xlfn.XLOOKUP($A777,Output_Mac!$A:$A,Output_Mac!L:L,""),
_xlpm.MyAuditVal,_xlfn.XLOOKUP($A777,My_Audit!$A:$A,My_Audit!J:J,""),
_xlfn.IFS(_xlpm.MyAuditVal&lt;&gt;"",UPPER(_xlpm.MyAuditVal),_xlpm.MacVal&lt;&gt;"",_xlpm.MacVal,_xlpm.CSVVal&lt;&gt;"",_xlpm.CSVVal
)),"")</f>
        <v/>
      </c>
      <c r="L777" s="45"/>
      <c r="M777" s="45"/>
      <c r="N777" s="45"/>
      <c r="O777" s="45"/>
      <c r="P777" s="45"/>
      <c r="Q777" s="46" t="str">
        <f>IF(LEFT(N777,4)="Pass","Nist SP 800-88",My_Audit!R777)&amp;""</f>
        <v/>
      </c>
      <c r="R777" s="45"/>
      <c r="S777" s="45"/>
      <c r="T777" s="46" t="str">
        <f>_xlfn.XLOOKUP(E777,Models!I:I,Models!J:J,"")</f>
        <v/>
      </c>
      <c r="U777" s="45"/>
      <c r="V777" s="45"/>
      <c r="W777" s="38" t="str">
        <f>_xlfn.LET(
    _xlpm.MacVal, _xlfn.XLOOKUP($A777, Output_Mac!$A:$A, Output_Mac!AA:AA, ""),
    _xlpm.MyAuditVal, _xlfn.XLOOKUP($A777, My_Audit!$A:$A, My_Audit!L:L, ""),
    _xlfn.TEXTJOIN(", ", TRUE, _xlpm.MyAuditVal, _xlpm.MacVal)
)</f>
        <v/>
      </c>
    </row>
    <row r="778" spans="1:23">
      <c r="A778" s="45" t="str">
        <f>_xlfn.TEXTJOIN("",TRUE,Input!$B$2,ROW(My_Audit!A777))</f>
        <v>CC777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_xlpm.CSVVal,_xlfn.XLOOKUP($A778,CSV!$A:$A,CSV!E:E,""),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6" t="str" cm="1">
        <f t="array" ref="K778">IFERROR(_xlfn.LET(
_xlpm.CSVVal,_xlfn.XLOOKUP($A778,CSV!$A:$A,CSV!N:N,""),
_xlpm.MacVal,_xlfn.XLOOKUP($A778,Output_Mac!$A:$A,Output_Mac!L:L,""),
_xlpm.MyAuditVal,_xlfn.XLOOKUP($A778,My_Audit!$A:$A,My_Audit!J:J,""),
_xlfn.IFS(_xlpm.MyAuditVal&lt;&gt;"",UPPER(_xlpm.MyAuditVal),_xlpm.MacVal&lt;&gt;"",_xlpm.MacVal,_xlpm.CSVVal&lt;&gt;"",_xlpm.CSVVal
)),"")</f>
        <v/>
      </c>
      <c r="L778" s="45"/>
      <c r="M778" s="45"/>
      <c r="N778" s="45"/>
      <c r="O778" s="45"/>
      <c r="P778" s="45"/>
      <c r="Q778" s="46" t="str">
        <f>IF(LEFT(N778,4)="Pass","Nist SP 800-88",My_Audit!R778)&amp;""</f>
        <v/>
      </c>
      <c r="R778" s="45"/>
      <c r="S778" s="45"/>
      <c r="T778" s="46" t="str">
        <f>_xlfn.XLOOKUP(E778,Models!I:I,Models!J:J,"")</f>
        <v/>
      </c>
      <c r="U778" s="45"/>
      <c r="V778" s="45"/>
      <c r="W778" s="38" t="str">
        <f>_xlfn.LET(
    _xlpm.MacVal, _xlfn.XLOOKUP($A778, Output_Mac!$A:$A, Output_Mac!AA:AA, ""),
    _xlpm.MyAuditVal, _xlfn.XLOOKUP($A778, My_Audit!$A:$A, My_Audit!L:L, ""),
    _xlfn.TEXTJOIN(", ", TRUE, _xlpm.MyAuditVal, _xlpm.MacVal)
)</f>
        <v/>
      </c>
    </row>
    <row r="779" spans="1:23">
      <c r="A779" s="45" t="str">
        <f>_xlfn.TEXTJOIN("",TRUE,Input!$B$2,ROW(My_Audit!A778))</f>
        <v>CC778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_xlpm.CSVVal,_xlfn.XLOOKUP($A779,CSV!$A:$A,CSV!E:E,""),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6" t="str" cm="1">
        <f t="array" ref="K779">IFERROR(_xlfn.LET(
_xlpm.CSVVal,_xlfn.XLOOKUP($A779,CSV!$A:$A,CSV!N:N,""),
_xlpm.MacVal,_xlfn.XLOOKUP($A779,Output_Mac!$A:$A,Output_Mac!L:L,""),
_xlpm.MyAuditVal,_xlfn.XLOOKUP($A779,My_Audit!$A:$A,My_Audit!J:J,""),
_xlfn.IFS(_xlpm.MyAuditVal&lt;&gt;"",UPPER(_xlpm.MyAuditVal),_xlpm.MacVal&lt;&gt;"",_xlpm.MacVal,_xlpm.CSVVal&lt;&gt;"",_xlpm.CSVVal
)),"")</f>
        <v/>
      </c>
      <c r="L779" s="45"/>
      <c r="M779" s="45"/>
      <c r="N779" s="45"/>
      <c r="O779" s="45"/>
      <c r="P779" s="45"/>
      <c r="Q779" s="46" t="str">
        <f>IF(LEFT(N779,4)="Pass","Nist SP 800-88",My_Audit!R779)&amp;""</f>
        <v/>
      </c>
      <c r="R779" s="45"/>
      <c r="S779" s="45"/>
      <c r="T779" s="46" t="str">
        <f>_xlfn.XLOOKUP(E779,Models!I:I,Models!J:J,"")</f>
        <v/>
      </c>
      <c r="U779" s="45"/>
      <c r="V779" s="45"/>
      <c r="W779" s="38" t="str">
        <f>_xlfn.LET(
    _xlpm.MacVal, _xlfn.XLOOKUP($A779, Output_Mac!$A:$A, Output_Mac!AA:AA, ""),
    _xlpm.MyAuditVal, _xlfn.XLOOKUP($A779, My_Audit!$A:$A, My_Audit!L:L, ""),
    _xlfn.TEXTJOIN(", ", TRUE, _xlpm.MyAuditVal, _xlpm.MacVal)
)</f>
        <v/>
      </c>
    </row>
    <row r="780" spans="1:23">
      <c r="A780" s="45" t="str">
        <f>_xlfn.TEXTJOIN("",TRUE,Input!$B$2,ROW(My_Audit!A779))</f>
        <v>CC779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_xlpm.CSVVal,_xlfn.XLOOKUP($A780,CSV!$A:$A,CSV!E:E,""),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6" t="str" cm="1">
        <f t="array" ref="K780">IFERROR(_xlfn.LET(
_xlpm.CSVVal,_xlfn.XLOOKUP($A780,CSV!$A:$A,CSV!N:N,""),
_xlpm.MacVal,_xlfn.XLOOKUP($A780,Output_Mac!$A:$A,Output_Mac!L:L,""),
_xlpm.MyAuditVal,_xlfn.XLOOKUP($A780,My_Audit!$A:$A,My_Audit!J:J,""),
_xlfn.IFS(_xlpm.MyAuditVal&lt;&gt;"",UPPER(_xlpm.MyAuditVal),_xlpm.MacVal&lt;&gt;"",_xlpm.MacVal,_xlpm.CSVVal&lt;&gt;"",_xlpm.CSVVal
)),"")</f>
        <v/>
      </c>
      <c r="L780" s="45"/>
      <c r="M780" s="45"/>
      <c r="N780" s="45"/>
      <c r="O780" s="45"/>
      <c r="P780" s="45"/>
      <c r="Q780" s="46" t="str">
        <f>IF(LEFT(N780,4)="Pass","Nist SP 800-88",My_Audit!R780)&amp;""</f>
        <v/>
      </c>
      <c r="R780" s="45"/>
      <c r="S780" s="45"/>
      <c r="T780" s="46" t="str">
        <f>_xlfn.XLOOKUP(E780,Models!I:I,Models!J:J,"")</f>
        <v/>
      </c>
      <c r="U780" s="45"/>
      <c r="V780" s="45"/>
      <c r="W780" s="38" t="str">
        <f>_xlfn.LET(
    _xlpm.MacVal, _xlfn.XLOOKUP($A780, Output_Mac!$A:$A, Output_Mac!AA:AA, ""),
    _xlpm.MyAuditVal, _xlfn.XLOOKUP($A780, My_Audit!$A:$A, My_Audit!L:L, ""),
    _xlfn.TEXTJOIN(", ", TRUE, _xlpm.MyAuditVal, _xlpm.MacVal)
)</f>
        <v/>
      </c>
    </row>
    <row r="781" spans="1:23">
      <c r="A781" s="45" t="str">
        <f>_xlfn.TEXTJOIN("",TRUE,Input!$B$2,ROW(My_Audit!A780))</f>
        <v>CC780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_xlpm.CSVVal,_xlfn.XLOOKUP($A781,CSV!$A:$A,CSV!E:E,""),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6" t="str" cm="1">
        <f t="array" ref="K781">IFERROR(_xlfn.LET(
_xlpm.CSVVal,_xlfn.XLOOKUP($A781,CSV!$A:$A,CSV!N:N,""),
_xlpm.MacVal,_xlfn.XLOOKUP($A781,Output_Mac!$A:$A,Output_Mac!L:L,""),
_xlpm.MyAuditVal,_xlfn.XLOOKUP($A781,My_Audit!$A:$A,My_Audit!J:J,""),
_xlfn.IFS(_xlpm.MyAuditVal&lt;&gt;"",UPPER(_xlpm.MyAuditVal),_xlpm.MacVal&lt;&gt;"",_xlpm.MacVal,_xlpm.CSVVal&lt;&gt;"",_xlpm.CSVVal
)),"")</f>
        <v/>
      </c>
      <c r="L781" s="45"/>
      <c r="M781" s="45"/>
      <c r="N781" s="45"/>
      <c r="O781" s="45"/>
      <c r="P781" s="45"/>
      <c r="Q781" s="46" t="str">
        <f>IF(LEFT(N781,4)="Pass","Nist SP 800-88",My_Audit!R781)&amp;""</f>
        <v/>
      </c>
      <c r="R781" s="45"/>
      <c r="S781" s="45"/>
      <c r="T781" s="46" t="str">
        <f>_xlfn.XLOOKUP(E781,Models!I:I,Models!J:J,"")</f>
        <v/>
      </c>
      <c r="U781" s="45"/>
      <c r="V781" s="45"/>
      <c r="W781" s="38" t="str">
        <f>_xlfn.LET(
    _xlpm.MacVal, _xlfn.XLOOKUP($A781, Output_Mac!$A:$A, Output_Mac!AA:AA, ""),
    _xlpm.MyAuditVal, _xlfn.XLOOKUP($A781, My_Audit!$A:$A, My_Audit!L:L, ""),
    _xlfn.TEXTJOIN(", ", TRUE, _xlpm.MyAuditVal, _xlpm.MacVal)
)</f>
        <v/>
      </c>
    </row>
    <row r="782" spans="1:23">
      <c r="A782" s="45" t="str">
        <f>_xlfn.TEXTJOIN("",TRUE,Input!$B$2,ROW(My_Audit!A781))</f>
        <v>CC781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_xlpm.CSVVal,_xlfn.XLOOKUP($A782,CSV!$A:$A,CSV!E:E,""),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6" t="str" cm="1">
        <f t="array" ref="K782">IFERROR(_xlfn.LET(
_xlpm.CSVVal,_xlfn.XLOOKUP($A782,CSV!$A:$A,CSV!N:N,""),
_xlpm.MacVal,_xlfn.XLOOKUP($A782,Output_Mac!$A:$A,Output_Mac!L:L,""),
_xlpm.MyAuditVal,_xlfn.XLOOKUP($A782,My_Audit!$A:$A,My_Audit!J:J,""),
_xlfn.IFS(_xlpm.MyAuditVal&lt;&gt;"",UPPER(_xlpm.MyAuditVal),_xlpm.MacVal&lt;&gt;"",_xlpm.MacVal,_xlpm.CSVVal&lt;&gt;"",_xlpm.CSVVal
)),"")</f>
        <v/>
      </c>
      <c r="L782" s="45"/>
      <c r="M782" s="45"/>
      <c r="N782" s="45"/>
      <c r="O782" s="45"/>
      <c r="P782" s="45"/>
      <c r="Q782" s="46" t="str">
        <f>IF(LEFT(N782,4)="Pass","Nist SP 800-88",My_Audit!R782)&amp;""</f>
        <v/>
      </c>
      <c r="R782" s="45"/>
      <c r="S782" s="45"/>
      <c r="T782" s="46" t="str">
        <f>_xlfn.XLOOKUP(E782,Models!I:I,Models!J:J,"")</f>
        <v/>
      </c>
      <c r="U782" s="45"/>
      <c r="V782" s="45"/>
      <c r="W782" s="38" t="str">
        <f>_xlfn.LET(
    _xlpm.MacVal, _xlfn.XLOOKUP($A782, Output_Mac!$A:$A, Output_Mac!AA:AA, ""),
    _xlpm.MyAuditVal, _xlfn.XLOOKUP($A782, My_Audit!$A:$A, My_Audit!L:L, ""),
    _xlfn.TEXTJOIN(", ", TRUE, _xlpm.MyAuditVal, _xlpm.MacVal)
)</f>
        <v/>
      </c>
    </row>
    <row r="783" spans="1:23">
      <c r="A783" s="45" t="str">
        <f>_xlfn.TEXTJOIN("",TRUE,Input!$B$2,ROW(My_Audit!A782))</f>
        <v>CC782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_xlpm.CSVVal,_xlfn.XLOOKUP($A783,CSV!$A:$A,CSV!E:E,""),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6" t="str" cm="1">
        <f t="array" ref="K783">IFERROR(_xlfn.LET(
_xlpm.CSVVal,_xlfn.XLOOKUP($A783,CSV!$A:$A,CSV!N:N,""),
_xlpm.MacVal,_xlfn.XLOOKUP($A783,Output_Mac!$A:$A,Output_Mac!L:L,""),
_xlpm.MyAuditVal,_xlfn.XLOOKUP($A783,My_Audit!$A:$A,My_Audit!J:J,""),
_xlfn.IFS(_xlpm.MyAuditVal&lt;&gt;"",UPPER(_xlpm.MyAuditVal),_xlpm.MacVal&lt;&gt;"",_xlpm.MacVal,_xlpm.CSVVal&lt;&gt;"",_xlpm.CSVVal
)),"")</f>
        <v/>
      </c>
      <c r="L783" s="45"/>
      <c r="M783" s="45"/>
      <c r="N783" s="45"/>
      <c r="O783" s="45"/>
      <c r="P783" s="45"/>
      <c r="Q783" s="46" t="str">
        <f>IF(LEFT(N783,4)="Pass","Nist SP 800-88",My_Audit!R783)&amp;""</f>
        <v/>
      </c>
      <c r="R783" s="45"/>
      <c r="S783" s="45"/>
      <c r="T783" s="46" t="str">
        <f>_xlfn.XLOOKUP(E783,Models!I:I,Models!J:J,"")</f>
        <v/>
      </c>
      <c r="U783" s="45"/>
      <c r="V783" s="45"/>
      <c r="W783" s="38" t="str">
        <f>_xlfn.LET(
    _xlpm.MacVal, _xlfn.XLOOKUP($A783, Output_Mac!$A:$A, Output_Mac!AA:AA, ""),
    _xlpm.MyAuditVal, _xlfn.XLOOKUP($A783, My_Audit!$A:$A, My_Audit!L:L, ""),
    _xlfn.TEXTJOIN(", ", TRUE, _xlpm.MyAuditVal, _xlpm.MacVal)
)</f>
        <v/>
      </c>
    </row>
    <row r="784" spans="1:23">
      <c r="A784" s="45" t="str">
        <f>_xlfn.TEXTJOIN("",TRUE,Input!$B$2,ROW(My_Audit!A783))</f>
        <v>CC783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_xlpm.CSVVal,_xlfn.XLOOKUP($A784,CSV!$A:$A,CSV!E:E,""),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6" t="str" cm="1">
        <f t="array" ref="K784">IFERROR(_xlfn.LET(
_xlpm.CSVVal,_xlfn.XLOOKUP($A784,CSV!$A:$A,CSV!N:N,""),
_xlpm.MacVal,_xlfn.XLOOKUP($A784,Output_Mac!$A:$A,Output_Mac!L:L,""),
_xlpm.MyAuditVal,_xlfn.XLOOKUP($A784,My_Audit!$A:$A,My_Audit!J:J,""),
_xlfn.IFS(_xlpm.MyAuditVal&lt;&gt;"",UPPER(_xlpm.MyAuditVal),_xlpm.MacVal&lt;&gt;"",_xlpm.MacVal,_xlpm.CSVVal&lt;&gt;"",_xlpm.CSVVal
)),"")</f>
        <v/>
      </c>
      <c r="L784" s="45"/>
      <c r="M784" s="45"/>
      <c r="N784" s="45"/>
      <c r="O784" s="45"/>
      <c r="P784" s="45"/>
      <c r="Q784" s="46" t="str">
        <f>IF(LEFT(N784,4)="Pass","Nist SP 800-88",My_Audit!R784)&amp;""</f>
        <v/>
      </c>
      <c r="R784" s="45"/>
      <c r="S784" s="45"/>
      <c r="T784" s="46" t="str">
        <f>_xlfn.XLOOKUP(E784,Models!I:I,Models!J:J,"")</f>
        <v/>
      </c>
      <c r="U784" s="45"/>
      <c r="V784" s="45"/>
      <c r="W784" s="38" t="str">
        <f>_xlfn.LET(
    _xlpm.MacVal, _xlfn.XLOOKUP($A784, Output_Mac!$A:$A, Output_Mac!AA:AA, ""),
    _xlpm.MyAuditVal, _xlfn.XLOOKUP($A784, My_Audit!$A:$A, My_Audit!L:L, ""),
    _xlfn.TEXTJOIN(", ", TRUE, _xlpm.MyAuditVal, _xlpm.MacVal)
)</f>
        <v/>
      </c>
    </row>
    <row r="785" spans="1:23">
      <c r="A785" s="45" t="str">
        <f>_xlfn.TEXTJOIN("",TRUE,Input!$B$2,ROW(My_Audit!A784))</f>
        <v>CC784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_xlpm.CSVVal,_xlfn.XLOOKUP($A785,CSV!$A:$A,CSV!E:E,""),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6" t="str" cm="1">
        <f t="array" ref="K785">IFERROR(_xlfn.LET(
_xlpm.CSVVal,_xlfn.XLOOKUP($A785,CSV!$A:$A,CSV!N:N,""),
_xlpm.MacVal,_xlfn.XLOOKUP($A785,Output_Mac!$A:$A,Output_Mac!L:L,""),
_xlpm.MyAuditVal,_xlfn.XLOOKUP($A785,My_Audit!$A:$A,My_Audit!J:J,""),
_xlfn.IFS(_xlpm.MyAuditVal&lt;&gt;"",UPPER(_xlpm.MyAuditVal),_xlpm.MacVal&lt;&gt;"",_xlpm.MacVal,_xlpm.CSVVal&lt;&gt;"",_xlpm.CSVVal
)),"")</f>
        <v/>
      </c>
      <c r="L785" s="45"/>
      <c r="M785" s="45"/>
      <c r="N785" s="45"/>
      <c r="O785" s="45"/>
      <c r="P785" s="45"/>
      <c r="Q785" s="46" t="str">
        <f>IF(LEFT(N785,4)="Pass","Nist SP 800-88",My_Audit!R785)&amp;""</f>
        <v/>
      </c>
      <c r="R785" s="45"/>
      <c r="S785" s="45"/>
      <c r="T785" s="46" t="str">
        <f>_xlfn.XLOOKUP(E785,Models!I:I,Models!J:J,"")</f>
        <v/>
      </c>
      <c r="U785" s="45"/>
      <c r="V785" s="45"/>
      <c r="W785" s="38" t="str">
        <f>_xlfn.LET(
    _xlpm.MacVal, _xlfn.XLOOKUP($A785, Output_Mac!$A:$A, Output_Mac!AA:AA, ""),
    _xlpm.MyAuditVal, _xlfn.XLOOKUP($A785, My_Audit!$A:$A, My_Audit!L:L, ""),
    _xlfn.TEXTJOIN(", ", TRUE, _xlpm.MyAuditVal, _xlpm.MacVal)
)</f>
        <v/>
      </c>
    </row>
    <row r="786" spans="1:23">
      <c r="A786" s="45" t="str">
        <f>_xlfn.TEXTJOIN("",TRUE,Input!$B$2,ROW(My_Audit!A785))</f>
        <v>CC785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_xlpm.CSVVal,_xlfn.XLOOKUP($A786,CSV!$A:$A,CSV!E:E,""),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6" t="str" cm="1">
        <f t="array" ref="K786">IFERROR(_xlfn.LET(
_xlpm.CSVVal,_xlfn.XLOOKUP($A786,CSV!$A:$A,CSV!N:N,""),
_xlpm.MacVal,_xlfn.XLOOKUP($A786,Output_Mac!$A:$A,Output_Mac!L:L,""),
_xlpm.MyAuditVal,_xlfn.XLOOKUP($A786,My_Audit!$A:$A,My_Audit!J:J,""),
_xlfn.IFS(_xlpm.MyAuditVal&lt;&gt;"",UPPER(_xlpm.MyAuditVal),_xlpm.MacVal&lt;&gt;"",_xlpm.MacVal,_xlpm.CSVVal&lt;&gt;"",_xlpm.CSVVal
)),"")</f>
        <v/>
      </c>
      <c r="L786" s="45"/>
      <c r="M786" s="45"/>
      <c r="N786" s="45"/>
      <c r="O786" s="45"/>
      <c r="P786" s="45"/>
      <c r="Q786" s="46" t="str">
        <f>IF(LEFT(N786,4)="Pass","Nist SP 800-88",My_Audit!R786)&amp;""</f>
        <v/>
      </c>
      <c r="R786" s="45"/>
      <c r="S786" s="45"/>
      <c r="T786" s="46" t="str">
        <f>_xlfn.XLOOKUP(E786,Models!I:I,Models!J:J,"")</f>
        <v/>
      </c>
      <c r="U786" s="45"/>
      <c r="V786" s="45"/>
      <c r="W786" s="38" t="str">
        <f>_xlfn.LET(
    _xlpm.MacVal, _xlfn.XLOOKUP($A786, Output_Mac!$A:$A, Output_Mac!AA:AA, ""),
    _xlpm.MyAuditVal, _xlfn.XLOOKUP($A786, My_Audit!$A:$A, My_Audit!L:L, ""),
    _xlfn.TEXTJOIN(", ", TRUE, _xlpm.MyAuditVal, _xlpm.MacVal)
)</f>
        <v/>
      </c>
    </row>
    <row r="787" spans="1:23">
      <c r="A787" s="45" t="str">
        <f>_xlfn.TEXTJOIN("",TRUE,Input!$B$2,ROW(My_Audit!A786))</f>
        <v>CC786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_xlpm.CSVVal,_xlfn.XLOOKUP($A787,CSV!$A:$A,CSV!E:E,""),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6" t="str" cm="1">
        <f t="array" ref="K787">IFERROR(_xlfn.LET(
_xlpm.CSVVal,_xlfn.XLOOKUP($A787,CSV!$A:$A,CSV!N:N,""),
_xlpm.MacVal,_xlfn.XLOOKUP($A787,Output_Mac!$A:$A,Output_Mac!L:L,""),
_xlpm.MyAuditVal,_xlfn.XLOOKUP($A787,My_Audit!$A:$A,My_Audit!J:J,""),
_xlfn.IFS(_xlpm.MyAuditVal&lt;&gt;"",UPPER(_xlpm.MyAuditVal),_xlpm.MacVal&lt;&gt;"",_xlpm.MacVal,_xlpm.CSVVal&lt;&gt;"",_xlpm.CSVVal
)),"")</f>
        <v/>
      </c>
      <c r="L787" s="45"/>
      <c r="M787" s="45"/>
      <c r="N787" s="45"/>
      <c r="O787" s="45"/>
      <c r="P787" s="45"/>
      <c r="Q787" s="46" t="str">
        <f>IF(LEFT(N787,4)="Pass","Nist SP 800-88",My_Audit!R787)&amp;""</f>
        <v/>
      </c>
      <c r="R787" s="45"/>
      <c r="S787" s="45"/>
      <c r="T787" s="46" t="str">
        <f>_xlfn.XLOOKUP(E787,Models!I:I,Models!J:J,"")</f>
        <v/>
      </c>
      <c r="U787" s="45"/>
      <c r="V787" s="45"/>
      <c r="W787" s="38" t="str">
        <f>_xlfn.LET(
    _xlpm.MacVal, _xlfn.XLOOKUP($A787, Output_Mac!$A:$A, Output_Mac!AA:AA, ""),
    _xlpm.MyAuditVal, _xlfn.XLOOKUP($A787, My_Audit!$A:$A, My_Audit!L:L, ""),
    _xlfn.TEXTJOIN(", ", TRUE, _xlpm.MyAuditVal, _xlpm.MacVal)
)</f>
        <v/>
      </c>
    </row>
    <row r="788" spans="1:23">
      <c r="A788" s="45" t="str">
        <f>_xlfn.TEXTJOIN("",TRUE,Input!$B$2,ROW(My_Audit!A787))</f>
        <v>CC787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_xlpm.CSVVal,_xlfn.XLOOKUP($A788,CSV!$A:$A,CSV!E:E,""),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6" t="str" cm="1">
        <f t="array" ref="K788">IFERROR(_xlfn.LET(
_xlpm.CSVVal,_xlfn.XLOOKUP($A788,CSV!$A:$A,CSV!N:N,""),
_xlpm.MacVal,_xlfn.XLOOKUP($A788,Output_Mac!$A:$A,Output_Mac!L:L,""),
_xlpm.MyAuditVal,_xlfn.XLOOKUP($A788,My_Audit!$A:$A,My_Audit!J:J,""),
_xlfn.IFS(_xlpm.MyAuditVal&lt;&gt;"",UPPER(_xlpm.MyAuditVal),_xlpm.MacVal&lt;&gt;"",_xlpm.MacVal,_xlpm.CSVVal&lt;&gt;"",_xlpm.CSVVal
)),"")</f>
        <v/>
      </c>
      <c r="L788" s="45"/>
      <c r="M788" s="45"/>
      <c r="N788" s="45"/>
      <c r="O788" s="45"/>
      <c r="P788" s="45"/>
      <c r="Q788" s="46" t="str">
        <f>IF(LEFT(N788,4)="Pass","Nist SP 800-88",My_Audit!R788)&amp;""</f>
        <v/>
      </c>
      <c r="R788" s="45"/>
      <c r="S788" s="45"/>
      <c r="T788" s="46" t="str">
        <f>_xlfn.XLOOKUP(E788,Models!I:I,Models!J:J,"")</f>
        <v/>
      </c>
      <c r="U788" s="45"/>
      <c r="V788" s="45"/>
      <c r="W788" s="38" t="str">
        <f>_xlfn.LET(
    _xlpm.MacVal, _xlfn.XLOOKUP($A788, Output_Mac!$A:$A, Output_Mac!AA:AA, ""),
    _xlpm.MyAuditVal, _xlfn.XLOOKUP($A788, My_Audit!$A:$A, My_Audit!L:L, ""),
    _xlfn.TEXTJOIN(", ", TRUE, _xlpm.MyAuditVal, _xlpm.MacVal)
)</f>
        <v/>
      </c>
    </row>
    <row r="789" spans="1:23">
      <c r="A789" s="45" t="str">
        <f>_xlfn.TEXTJOIN("",TRUE,Input!$B$2,ROW(My_Audit!A788))</f>
        <v>CC788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_xlpm.CSVVal,_xlfn.XLOOKUP($A789,CSV!$A:$A,CSV!E:E,""),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6" t="str" cm="1">
        <f t="array" ref="K789">IFERROR(_xlfn.LET(
_xlpm.CSVVal,_xlfn.XLOOKUP($A789,CSV!$A:$A,CSV!N:N,""),
_xlpm.MacVal,_xlfn.XLOOKUP($A789,Output_Mac!$A:$A,Output_Mac!L:L,""),
_xlpm.MyAuditVal,_xlfn.XLOOKUP($A789,My_Audit!$A:$A,My_Audit!J:J,""),
_xlfn.IFS(_xlpm.MyAuditVal&lt;&gt;"",UPPER(_xlpm.MyAuditVal),_xlpm.MacVal&lt;&gt;"",_xlpm.MacVal,_xlpm.CSVVal&lt;&gt;"",_xlpm.CSVVal
)),"")</f>
        <v/>
      </c>
      <c r="L789" s="45"/>
      <c r="M789" s="45"/>
      <c r="N789" s="45"/>
      <c r="O789" s="45"/>
      <c r="P789" s="45"/>
      <c r="Q789" s="46" t="str">
        <f>IF(LEFT(N789,4)="Pass","Nist SP 800-88",My_Audit!R789)&amp;""</f>
        <v/>
      </c>
      <c r="R789" s="45"/>
      <c r="S789" s="45"/>
      <c r="T789" s="46" t="str">
        <f>_xlfn.XLOOKUP(E789,Models!I:I,Models!J:J,"")</f>
        <v/>
      </c>
      <c r="U789" s="45"/>
      <c r="V789" s="45"/>
      <c r="W789" s="38" t="str">
        <f>_xlfn.LET(
    _xlpm.MacVal, _xlfn.XLOOKUP($A789, Output_Mac!$A:$A, Output_Mac!AA:AA, ""),
    _xlpm.MyAuditVal, _xlfn.XLOOKUP($A789, My_Audit!$A:$A, My_Audit!L:L, ""),
    _xlfn.TEXTJOIN(", ", TRUE, _xlpm.MyAuditVal, _xlpm.MacVal)
)</f>
        <v/>
      </c>
    </row>
    <row r="790" spans="1:23">
      <c r="A790" s="45" t="str">
        <f>_xlfn.TEXTJOIN("",TRUE,Input!$B$2,ROW(My_Audit!A789))</f>
        <v>CC789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_xlpm.CSVVal,_xlfn.XLOOKUP($A790,CSV!$A:$A,CSV!E:E,""),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6" t="str" cm="1">
        <f t="array" ref="K790">IFERROR(_xlfn.LET(
_xlpm.CSVVal,_xlfn.XLOOKUP($A790,CSV!$A:$A,CSV!N:N,""),
_xlpm.MacVal,_xlfn.XLOOKUP($A790,Output_Mac!$A:$A,Output_Mac!L:L,""),
_xlpm.MyAuditVal,_xlfn.XLOOKUP($A790,My_Audit!$A:$A,My_Audit!J:J,""),
_xlfn.IFS(_xlpm.MyAuditVal&lt;&gt;"",UPPER(_xlpm.MyAuditVal),_xlpm.MacVal&lt;&gt;"",_xlpm.MacVal,_xlpm.CSVVal&lt;&gt;"",_xlpm.CSVVal
)),"")</f>
        <v/>
      </c>
      <c r="L790" s="45"/>
      <c r="M790" s="45"/>
      <c r="N790" s="45"/>
      <c r="O790" s="45"/>
      <c r="P790" s="45"/>
      <c r="Q790" s="46" t="str">
        <f>IF(LEFT(N790,4)="Pass","Nist SP 800-88",My_Audit!R790)&amp;""</f>
        <v/>
      </c>
      <c r="R790" s="45"/>
      <c r="S790" s="45"/>
      <c r="T790" s="46" t="str">
        <f>_xlfn.XLOOKUP(E790,Models!I:I,Models!J:J,"")</f>
        <v/>
      </c>
      <c r="U790" s="45"/>
      <c r="V790" s="45"/>
      <c r="W790" s="38" t="str">
        <f>_xlfn.LET(
    _xlpm.MacVal, _xlfn.XLOOKUP($A790, Output_Mac!$A:$A, Output_Mac!AA:AA, ""),
    _xlpm.MyAuditVal, _xlfn.XLOOKUP($A790, My_Audit!$A:$A, My_Audit!L:L, ""),
    _xlfn.TEXTJOIN(", ", TRUE, _xlpm.MyAuditVal, _xlpm.MacVal)
)</f>
        <v/>
      </c>
    </row>
    <row r="791" spans="1:23">
      <c r="A791" s="45" t="str">
        <f>_xlfn.TEXTJOIN("",TRUE,Input!$B$2,ROW(My_Audit!A790))</f>
        <v>CC790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_xlpm.CSVVal,_xlfn.XLOOKUP($A791,CSV!$A:$A,CSV!E:E,""),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6" t="str" cm="1">
        <f t="array" ref="K791">IFERROR(_xlfn.LET(
_xlpm.CSVVal,_xlfn.XLOOKUP($A791,CSV!$A:$A,CSV!N:N,""),
_xlpm.MacVal,_xlfn.XLOOKUP($A791,Output_Mac!$A:$A,Output_Mac!L:L,""),
_xlpm.MyAuditVal,_xlfn.XLOOKUP($A791,My_Audit!$A:$A,My_Audit!J:J,""),
_xlfn.IFS(_xlpm.MyAuditVal&lt;&gt;"",UPPER(_xlpm.MyAuditVal),_xlpm.MacVal&lt;&gt;"",_xlpm.MacVal,_xlpm.CSVVal&lt;&gt;"",_xlpm.CSVVal
)),"")</f>
        <v/>
      </c>
      <c r="L791" s="45"/>
      <c r="M791" s="45"/>
      <c r="N791" s="45"/>
      <c r="O791" s="45"/>
      <c r="P791" s="45"/>
      <c r="Q791" s="46" t="str">
        <f>IF(LEFT(N791,4)="Pass","Nist SP 800-88",My_Audit!R791)&amp;""</f>
        <v/>
      </c>
      <c r="R791" s="45"/>
      <c r="S791" s="45"/>
      <c r="T791" s="46" t="str">
        <f>_xlfn.XLOOKUP(E791,Models!I:I,Models!J:J,"")</f>
        <v/>
      </c>
      <c r="U791" s="45"/>
      <c r="V791" s="45"/>
      <c r="W791" s="38" t="str">
        <f>_xlfn.LET(
    _xlpm.MacVal, _xlfn.XLOOKUP($A791, Output_Mac!$A:$A, Output_Mac!AA:AA, ""),
    _xlpm.MyAuditVal, _xlfn.XLOOKUP($A791, My_Audit!$A:$A, My_Audit!L:L, ""),
    _xlfn.TEXTJOIN(", ", TRUE, _xlpm.MyAuditVal, _xlpm.MacVal)
)</f>
        <v/>
      </c>
    </row>
    <row r="792" spans="1:23">
      <c r="A792" s="45" t="str">
        <f>_xlfn.TEXTJOIN("",TRUE,Input!$B$2,ROW(My_Audit!A791))</f>
        <v>CC791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_xlpm.CSVVal,_xlfn.XLOOKUP($A792,CSV!$A:$A,CSV!E:E,""),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6" t="str" cm="1">
        <f t="array" ref="K792">IFERROR(_xlfn.LET(
_xlpm.CSVVal,_xlfn.XLOOKUP($A792,CSV!$A:$A,CSV!N:N,""),
_xlpm.MacVal,_xlfn.XLOOKUP($A792,Output_Mac!$A:$A,Output_Mac!L:L,""),
_xlpm.MyAuditVal,_xlfn.XLOOKUP($A792,My_Audit!$A:$A,My_Audit!J:J,""),
_xlfn.IFS(_xlpm.MyAuditVal&lt;&gt;"",UPPER(_xlpm.MyAuditVal),_xlpm.MacVal&lt;&gt;"",_xlpm.MacVal,_xlpm.CSVVal&lt;&gt;"",_xlpm.CSVVal
)),"")</f>
        <v/>
      </c>
      <c r="L792" s="45"/>
      <c r="M792" s="45"/>
      <c r="N792" s="45"/>
      <c r="O792" s="45"/>
      <c r="P792" s="45"/>
      <c r="Q792" s="46" t="str">
        <f>IF(LEFT(N792,4)="Pass","Nist SP 800-88",My_Audit!R792)&amp;""</f>
        <v/>
      </c>
      <c r="R792" s="45"/>
      <c r="S792" s="45"/>
      <c r="T792" s="46" t="str">
        <f>_xlfn.XLOOKUP(E792,Models!I:I,Models!J:J,"")</f>
        <v/>
      </c>
      <c r="U792" s="45"/>
      <c r="V792" s="45"/>
      <c r="W792" s="38" t="str">
        <f>_xlfn.LET(
    _xlpm.MacVal, _xlfn.XLOOKUP($A792, Output_Mac!$A:$A, Output_Mac!AA:AA, ""),
    _xlpm.MyAuditVal, _xlfn.XLOOKUP($A792, My_Audit!$A:$A, My_Audit!L:L, ""),
    _xlfn.TEXTJOIN(", ", TRUE, _xlpm.MyAuditVal, _xlpm.MacVal)
)</f>
        <v/>
      </c>
    </row>
    <row r="793" spans="1:23">
      <c r="A793" s="45" t="str">
        <f>_xlfn.TEXTJOIN("",TRUE,Input!$B$2,ROW(My_Audit!A792))</f>
        <v>CC792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_xlpm.CSVVal,_xlfn.XLOOKUP($A793,CSV!$A:$A,CSV!E:E,""),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6" t="str" cm="1">
        <f t="array" ref="K793">IFERROR(_xlfn.LET(
_xlpm.CSVVal,_xlfn.XLOOKUP($A793,CSV!$A:$A,CSV!N:N,""),
_xlpm.MacVal,_xlfn.XLOOKUP($A793,Output_Mac!$A:$A,Output_Mac!L:L,""),
_xlpm.MyAuditVal,_xlfn.XLOOKUP($A793,My_Audit!$A:$A,My_Audit!J:J,""),
_xlfn.IFS(_xlpm.MyAuditVal&lt;&gt;"",UPPER(_xlpm.MyAuditVal),_xlpm.MacVal&lt;&gt;"",_xlpm.MacVal,_xlpm.CSVVal&lt;&gt;"",_xlpm.CSVVal
)),"")</f>
        <v/>
      </c>
      <c r="L793" s="45"/>
      <c r="M793" s="45"/>
      <c r="N793" s="45"/>
      <c r="O793" s="45"/>
      <c r="P793" s="45"/>
      <c r="Q793" s="46" t="str">
        <f>IF(LEFT(N793,4)="Pass","Nist SP 800-88",My_Audit!R793)&amp;""</f>
        <v/>
      </c>
      <c r="R793" s="45"/>
      <c r="S793" s="45"/>
      <c r="T793" s="46" t="str">
        <f>_xlfn.XLOOKUP(E793,Models!I:I,Models!J:J,"")</f>
        <v/>
      </c>
      <c r="U793" s="45"/>
      <c r="V793" s="45"/>
      <c r="W793" s="38" t="str">
        <f>_xlfn.LET(
    _xlpm.MacVal, _xlfn.XLOOKUP($A793, Output_Mac!$A:$A, Output_Mac!AA:AA, ""),
    _xlpm.MyAuditVal, _xlfn.XLOOKUP($A793, My_Audit!$A:$A, My_Audit!L:L, ""),
    _xlfn.TEXTJOIN(", ", TRUE, _xlpm.MyAuditVal, _xlpm.MacVal)
)</f>
        <v/>
      </c>
    </row>
    <row r="794" spans="1:23">
      <c r="A794" s="45" t="str">
        <f>_xlfn.TEXTJOIN("",TRUE,Input!$B$2,ROW(My_Audit!A793))</f>
        <v>CC793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_xlpm.CSVVal,_xlfn.XLOOKUP($A794,CSV!$A:$A,CSV!E:E,""),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6" t="str" cm="1">
        <f t="array" ref="K794">IFERROR(_xlfn.LET(
_xlpm.CSVVal,_xlfn.XLOOKUP($A794,CSV!$A:$A,CSV!N:N,""),
_xlpm.MacVal,_xlfn.XLOOKUP($A794,Output_Mac!$A:$A,Output_Mac!L:L,""),
_xlpm.MyAuditVal,_xlfn.XLOOKUP($A794,My_Audit!$A:$A,My_Audit!J:J,""),
_xlfn.IFS(_xlpm.MyAuditVal&lt;&gt;"",UPPER(_xlpm.MyAuditVal),_xlpm.MacVal&lt;&gt;"",_xlpm.MacVal,_xlpm.CSVVal&lt;&gt;"",_xlpm.CSVVal
)),"")</f>
        <v/>
      </c>
      <c r="L794" s="45"/>
      <c r="M794" s="45"/>
      <c r="N794" s="45"/>
      <c r="O794" s="45"/>
      <c r="P794" s="45"/>
      <c r="Q794" s="46" t="str">
        <f>IF(LEFT(N794,4)="Pass","Nist SP 800-88",My_Audit!R794)&amp;""</f>
        <v/>
      </c>
      <c r="R794" s="45"/>
      <c r="S794" s="45"/>
      <c r="T794" s="46" t="str">
        <f>_xlfn.XLOOKUP(E794,Models!I:I,Models!J:J,"")</f>
        <v/>
      </c>
      <c r="U794" s="45"/>
      <c r="V794" s="45"/>
      <c r="W794" s="38" t="str">
        <f>_xlfn.LET(
    _xlpm.MacVal, _xlfn.XLOOKUP($A794, Output_Mac!$A:$A, Output_Mac!AA:AA, ""),
    _xlpm.MyAuditVal, _xlfn.XLOOKUP($A794, My_Audit!$A:$A, My_Audit!L:L, ""),
    _xlfn.TEXTJOIN(", ", TRUE, _xlpm.MyAuditVal, _xlpm.MacVal)
)</f>
        <v/>
      </c>
    </row>
    <row r="795" spans="1:23">
      <c r="A795" s="45" t="str">
        <f>_xlfn.TEXTJOIN("",TRUE,Input!$B$2,ROW(My_Audit!A794))</f>
        <v>CC794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_xlpm.CSVVal,_xlfn.XLOOKUP($A795,CSV!$A:$A,CSV!E:E,""),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6" t="str" cm="1">
        <f t="array" ref="K795">IFERROR(_xlfn.LET(
_xlpm.CSVVal,_xlfn.XLOOKUP($A795,CSV!$A:$A,CSV!N:N,""),
_xlpm.MacVal,_xlfn.XLOOKUP($A795,Output_Mac!$A:$A,Output_Mac!L:L,""),
_xlpm.MyAuditVal,_xlfn.XLOOKUP($A795,My_Audit!$A:$A,My_Audit!J:J,""),
_xlfn.IFS(_xlpm.MyAuditVal&lt;&gt;"",UPPER(_xlpm.MyAuditVal),_xlpm.MacVal&lt;&gt;"",_xlpm.MacVal,_xlpm.CSVVal&lt;&gt;"",_xlpm.CSVVal
)),"")</f>
        <v/>
      </c>
      <c r="L795" s="45"/>
      <c r="M795" s="45"/>
      <c r="N795" s="45"/>
      <c r="O795" s="45"/>
      <c r="P795" s="45"/>
      <c r="Q795" s="46" t="str">
        <f>IF(LEFT(N795,4)="Pass","Nist SP 800-88",My_Audit!R795)&amp;""</f>
        <v/>
      </c>
      <c r="R795" s="45"/>
      <c r="S795" s="45"/>
      <c r="T795" s="46" t="str">
        <f>_xlfn.XLOOKUP(E795,Models!I:I,Models!J:J,"")</f>
        <v/>
      </c>
      <c r="U795" s="45"/>
      <c r="V795" s="45"/>
      <c r="W795" s="38" t="str">
        <f>_xlfn.LET(
    _xlpm.MacVal, _xlfn.XLOOKUP($A795, Output_Mac!$A:$A, Output_Mac!AA:AA, ""),
    _xlpm.MyAuditVal, _xlfn.XLOOKUP($A795, My_Audit!$A:$A, My_Audit!L:L, ""),
    _xlfn.TEXTJOIN(", ", TRUE, _xlpm.MyAuditVal, _xlpm.MacVal)
)</f>
        <v/>
      </c>
    </row>
    <row r="796" spans="1:23">
      <c r="A796" s="45" t="str">
        <f>_xlfn.TEXTJOIN("",TRUE,Input!$B$2,ROW(My_Audit!A795))</f>
        <v>CC795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_xlpm.CSVVal,_xlfn.XLOOKUP($A796,CSV!$A:$A,CSV!E:E,""),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6" t="str" cm="1">
        <f t="array" ref="K796">IFERROR(_xlfn.LET(
_xlpm.CSVVal,_xlfn.XLOOKUP($A796,CSV!$A:$A,CSV!N:N,""),
_xlpm.MacVal,_xlfn.XLOOKUP($A796,Output_Mac!$A:$A,Output_Mac!L:L,""),
_xlpm.MyAuditVal,_xlfn.XLOOKUP($A796,My_Audit!$A:$A,My_Audit!J:J,""),
_xlfn.IFS(_xlpm.MyAuditVal&lt;&gt;"",UPPER(_xlpm.MyAuditVal),_xlpm.MacVal&lt;&gt;"",_xlpm.MacVal,_xlpm.CSVVal&lt;&gt;"",_xlpm.CSVVal
)),"")</f>
        <v/>
      </c>
      <c r="L796" s="45"/>
      <c r="M796" s="45"/>
      <c r="N796" s="45"/>
      <c r="O796" s="45"/>
      <c r="P796" s="45"/>
      <c r="Q796" s="46" t="str">
        <f>IF(LEFT(N796,4)="Pass","Nist SP 800-88",My_Audit!R796)&amp;""</f>
        <v/>
      </c>
      <c r="R796" s="45"/>
      <c r="S796" s="45"/>
      <c r="T796" s="46" t="str">
        <f>_xlfn.XLOOKUP(E796,Models!I:I,Models!J:J,"")</f>
        <v/>
      </c>
      <c r="U796" s="45"/>
      <c r="V796" s="45"/>
      <c r="W796" s="38" t="str">
        <f>_xlfn.LET(
    _xlpm.MacVal, _xlfn.XLOOKUP($A796, Output_Mac!$A:$A, Output_Mac!AA:AA, ""),
    _xlpm.MyAuditVal, _xlfn.XLOOKUP($A796, My_Audit!$A:$A, My_Audit!L:L, ""),
    _xlfn.TEXTJOIN(", ", TRUE, _xlpm.MyAuditVal, _xlpm.MacVal)
)</f>
        <v/>
      </c>
    </row>
    <row r="797" spans="1:23">
      <c r="A797" s="45" t="str">
        <f>_xlfn.TEXTJOIN("",TRUE,Input!$B$2,ROW(My_Audit!A796))</f>
        <v>CC796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_xlpm.CSVVal,_xlfn.XLOOKUP($A797,CSV!$A:$A,CSV!E:E,""),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6" t="str" cm="1">
        <f t="array" ref="K797">IFERROR(_xlfn.LET(
_xlpm.CSVVal,_xlfn.XLOOKUP($A797,CSV!$A:$A,CSV!N:N,""),
_xlpm.MacVal,_xlfn.XLOOKUP($A797,Output_Mac!$A:$A,Output_Mac!L:L,""),
_xlpm.MyAuditVal,_xlfn.XLOOKUP($A797,My_Audit!$A:$A,My_Audit!J:J,""),
_xlfn.IFS(_xlpm.MyAuditVal&lt;&gt;"",UPPER(_xlpm.MyAuditVal),_xlpm.MacVal&lt;&gt;"",_xlpm.MacVal,_xlpm.CSVVal&lt;&gt;"",_xlpm.CSVVal
)),"")</f>
        <v/>
      </c>
      <c r="L797" s="45"/>
      <c r="M797" s="45"/>
      <c r="N797" s="45"/>
      <c r="O797" s="45"/>
      <c r="P797" s="45"/>
      <c r="Q797" s="46" t="str">
        <f>IF(LEFT(N797,4)="Pass","Nist SP 800-88",My_Audit!R797)&amp;""</f>
        <v/>
      </c>
      <c r="R797" s="45"/>
      <c r="S797" s="45"/>
      <c r="T797" s="46" t="str">
        <f>_xlfn.XLOOKUP(E797,Models!I:I,Models!J:J,"")</f>
        <v/>
      </c>
      <c r="U797" s="45"/>
      <c r="V797" s="45"/>
      <c r="W797" s="38" t="str">
        <f>_xlfn.LET(
    _xlpm.MacVal, _xlfn.XLOOKUP($A797, Output_Mac!$A:$A, Output_Mac!AA:AA, ""),
    _xlpm.MyAuditVal, _xlfn.XLOOKUP($A797, My_Audit!$A:$A, My_Audit!L:L, ""),
    _xlfn.TEXTJOIN(", ", TRUE, _xlpm.MyAuditVal, _xlpm.MacVal)
)</f>
        <v/>
      </c>
    </row>
    <row r="798" spans="1:23">
      <c r="A798" s="45" t="str">
        <f>_xlfn.TEXTJOIN("",TRUE,Input!$B$2,ROW(My_Audit!A797))</f>
        <v>CC797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_xlpm.CSVVal,_xlfn.XLOOKUP($A798,CSV!$A:$A,CSV!E:E,""),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6" t="str" cm="1">
        <f t="array" ref="K798">IFERROR(_xlfn.LET(
_xlpm.CSVVal,_xlfn.XLOOKUP($A798,CSV!$A:$A,CSV!N:N,""),
_xlpm.MacVal,_xlfn.XLOOKUP($A798,Output_Mac!$A:$A,Output_Mac!L:L,""),
_xlpm.MyAuditVal,_xlfn.XLOOKUP($A798,My_Audit!$A:$A,My_Audit!J:J,""),
_xlfn.IFS(_xlpm.MyAuditVal&lt;&gt;"",UPPER(_xlpm.MyAuditVal),_xlpm.MacVal&lt;&gt;"",_xlpm.MacVal,_xlpm.CSVVal&lt;&gt;"",_xlpm.CSVVal
)),"")</f>
        <v/>
      </c>
      <c r="L798" s="45"/>
      <c r="M798" s="45"/>
      <c r="N798" s="45"/>
      <c r="O798" s="45"/>
      <c r="P798" s="45"/>
      <c r="Q798" s="46" t="str">
        <f>IF(LEFT(N798,4)="Pass","Nist SP 800-88",My_Audit!R798)&amp;""</f>
        <v/>
      </c>
      <c r="R798" s="45"/>
      <c r="S798" s="45"/>
      <c r="T798" s="46" t="str">
        <f>_xlfn.XLOOKUP(E798,Models!I:I,Models!J:J,"")</f>
        <v/>
      </c>
      <c r="U798" s="45"/>
      <c r="V798" s="45"/>
      <c r="W798" s="38" t="str">
        <f>_xlfn.LET(
    _xlpm.MacVal, _xlfn.XLOOKUP($A798, Output_Mac!$A:$A, Output_Mac!AA:AA, ""),
    _xlpm.MyAuditVal, _xlfn.XLOOKUP($A798, My_Audit!$A:$A, My_Audit!L:L, ""),
    _xlfn.TEXTJOIN(", ", TRUE, _xlpm.MyAuditVal, _xlpm.MacVal)
)</f>
        <v/>
      </c>
    </row>
    <row r="799" spans="1:23">
      <c r="A799" s="45" t="str">
        <f>_xlfn.TEXTJOIN("",TRUE,Input!$B$2,ROW(My_Audit!A798))</f>
        <v>CC798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_xlpm.CSVVal,_xlfn.XLOOKUP($A799,CSV!$A:$A,CSV!E:E,""),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6" t="str" cm="1">
        <f t="array" ref="K799">IFERROR(_xlfn.LET(
_xlpm.CSVVal,_xlfn.XLOOKUP($A799,CSV!$A:$A,CSV!N:N,""),
_xlpm.MacVal,_xlfn.XLOOKUP($A799,Output_Mac!$A:$A,Output_Mac!L:L,""),
_xlpm.MyAuditVal,_xlfn.XLOOKUP($A799,My_Audit!$A:$A,My_Audit!J:J,""),
_xlfn.IFS(_xlpm.MyAuditVal&lt;&gt;"",UPPER(_xlpm.MyAuditVal),_xlpm.MacVal&lt;&gt;"",_xlpm.MacVal,_xlpm.CSVVal&lt;&gt;"",_xlpm.CSVVal
)),"")</f>
        <v/>
      </c>
      <c r="L799" s="45"/>
      <c r="M799" s="45"/>
      <c r="N799" s="45"/>
      <c r="O799" s="45"/>
      <c r="P799" s="45"/>
      <c r="Q799" s="46" t="str">
        <f>IF(LEFT(N799,4)="Pass","Nist SP 800-88",My_Audit!R799)&amp;""</f>
        <v/>
      </c>
      <c r="R799" s="45"/>
      <c r="S799" s="45"/>
      <c r="T799" s="46" t="str">
        <f>_xlfn.XLOOKUP(E799,Models!I:I,Models!J:J,"")</f>
        <v/>
      </c>
      <c r="U799" s="45"/>
      <c r="V799" s="45"/>
      <c r="W799" s="38" t="str">
        <f>_xlfn.LET(
    _xlpm.MacVal, _xlfn.XLOOKUP($A799, Output_Mac!$A:$A, Output_Mac!AA:AA, ""),
    _xlpm.MyAuditVal, _xlfn.XLOOKUP($A799, My_Audit!$A:$A, My_Audit!L:L, ""),
    _xlfn.TEXTJOIN(", ", TRUE, _xlpm.MyAuditVal, _xlpm.MacVal)
)</f>
        <v/>
      </c>
    </row>
    <row r="800" spans="1:23">
      <c r="A800" s="45" t="str">
        <f>_xlfn.TEXTJOIN("",TRUE,Input!$B$2,ROW(My_Audit!A799))</f>
        <v>CC799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_xlpm.CSVVal,_xlfn.XLOOKUP($A800,CSV!$A:$A,CSV!E:E,""),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6" t="str" cm="1">
        <f t="array" ref="K800">IFERROR(_xlfn.LET(
_xlpm.CSVVal,_xlfn.XLOOKUP($A800,CSV!$A:$A,CSV!N:N,""),
_xlpm.MacVal,_xlfn.XLOOKUP($A800,Output_Mac!$A:$A,Output_Mac!L:L,""),
_xlpm.MyAuditVal,_xlfn.XLOOKUP($A800,My_Audit!$A:$A,My_Audit!J:J,""),
_xlfn.IFS(_xlpm.MyAuditVal&lt;&gt;"",UPPER(_xlpm.MyAuditVal),_xlpm.MacVal&lt;&gt;"",_xlpm.MacVal,_xlpm.CSVVal&lt;&gt;"",_xlpm.CSVVal
)),"")</f>
        <v/>
      </c>
      <c r="L800" s="45"/>
      <c r="M800" s="45"/>
      <c r="N800" s="45"/>
      <c r="O800" s="45"/>
      <c r="P800" s="45"/>
      <c r="Q800" s="46" t="str">
        <f>IF(LEFT(N800,4)="Pass","Nist SP 800-88",My_Audit!R800)&amp;""</f>
        <v/>
      </c>
      <c r="R800" s="45"/>
      <c r="S800" s="45"/>
      <c r="T800" s="46" t="str">
        <f>_xlfn.XLOOKUP(E800,Models!I:I,Models!J:J,"")</f>
        <v/>
      </c>
      <c r="U800" s="45"/>
      <c r="V800" s="45"/>
      <c r="W800" s="38" t="str">
        <f>_xlfn.LET(
    _xlpm.MacVal, _xlfn.XLOOKUP($A800, Output_Mac!$A:$A, Output_Mac!AA:AA, ""),
    _xlpm.MyAuditVal, _xlfn.XLOOKUP($A800, My_Audit!$A:$A, My_Audit!L:L, ""),
    _xlfn.TEXTJOIN(", ", TRUE, _xlpm.MyAuditVal, _xlpm.MacVal)
)</f>
        <v/>
      </c>
    </row>
    <row r="801" spans="1:23">
      <c r="A801" s="45" t="str">
        <f>_xlfn.TEXTJOIN("",TRUE,Input!$B$2,ROW(My_Audit!A800))</f>
        <v>CC800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_xlpm.CSVVal,_xlfn.XLOOKUP($A801,CSV!$A:$A,CSV!E:E,""),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6" t="str" cm="1">
        <f t="array" ref="K801">IFERROR(_xlfn.LET(
_xlpm.CSVVal,_xlfn.XLOOKUP($A801,CSV!$A:$A,CSV!N:N,""),
_xlpm.MacVal,_xlfn.XLOOKUP($A801,Output_Mac!$A:$A,Output_Mac!L:L,""),
_xlpm.MyAuditVal,_xlfn.XLOOKUP($A801,My_Audit!$A:$A,My_Audit!J:J,""),
_xlfn.IFS(_xlpm.MyAuditVal&lt;&gt;"",UPPER(_xlpm.MyAuditVal),_xlpm.MacVal&lt;&gt;"",_xlpm.MacVal,_xlpm.CSVVal&lt;&gt;"",_xlpm.CSVVal
)),"")</f>
        <v/>
      </c>
      <c r="L801" s="45"/>
      <c r="M801" s="45"/>
      <c r="N801" s="45"/>
      <c r="O801" s="45"/>
      <c r="P801" s="45"/>
      <c r="Q801" s="46" t="str">
        <f>IF(LEFT(N801,4)="Pass","Nist SP 800-88",My_Audit!R801)&amp;""</f>
        <v/>
      </c>
      <c r="R801" s="45"/>
      <c r="S801" s="45"/>
      <c r="T801" s="46" t="str">
        <f>_xlfn.XLOOKUP(E801,Models!I:I,Models!J:J,"")</f>
        <v/>
      </c>
      <c r="U801" s="45"/>
      <c r="V801" s="45"/>
      <c r="W801" s="38" t="str">
        <f>_xlfn.LET(
    _xlpm.MacVal, _xlfn.XLOOKUP($A801, Output_Mac!$A:$A, Output_Mac!AA:AA, ""),
    _xlpm.MyAuditVal, _xlfn.XLOOKUP($A801, My_Audit!$A:$A, My_Audit!L:L, ""),
    _xlfn.TEXTJOIN(", ", TRUE, _xlpm.MyAuditVal, _xlpm.MacVal)
)</f>
        <v/>
      </c>
    </row>
    <row r="802" spans="1:23">
      <c r="A802" s="45" t="str">
        <f>_xlfn.TEXTJOIN("",TRUE,Input!$B$2,ROW(My_Audit!A801))</f>
        <v>CC801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_xlpm.CSVVal,_xlfn.XLOOKUP($A802,CSV!$A:$A,CSV!E:E,""),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6" t="str" cm="1">
        <f t="array" ref="K802">IFERROR(_xlfn.LET(
_xlpm.CSVVal,_xlfn.XLOOKUP($A802,CSV!$A:$A,CSV!N:N,""),
_xlpm.MacVal,_xlfn.XLOOKUP($A802,Output_Mac!$A:$A,Output_Mac!L:L,""),
_xlpm.MyAuditVal,_xlfn.XLOOKUP($A802,My_Audit!$A:$A,My_Audit!J:J,""),
_xlfn.IFS(_xlpm.MyAuditVal&lt;&gt;"",UPPER(_xlpm.MyAuditVal),_xlpm.MacVal&lt;&gt;"",_xlpm.MacVal,_xlpm.CSVVal&lt;&gt;"",_xlpm.CSVVal
)),"")</f>
        <v/>
      </c>
      <c r="L802" s="45"/>
      <c r="M802" s="45"/>
      <c r="N802" s="45"/>
      <c r="O802" s="45"/>
      <c r="P802" s="45"/>
      <c r="Q802" s="46" t="str">
        <f>IF(LEFT(N802,4)="Pass","Nist SP 800-88",My_Audit!R802)&amp;""</f>
        <v/>
      </c>
      <c r="R802" s="45"/>
      <c r="S802" s="45"/>
      <c r="T802" s="46" t="str">
        <f>_xlfn.XLOOKUP(E802,Models!I:I,Models!J:J,"")</f>
        <v/>
      </c>
      <c r="U802" s="45"/>
      <c r="V802" s="45"/>
      <c r="W802" s="38" t="str">
        <f>_xlfn.LET(
    _xlpm.MacVal, _xlfn.XLOOKUP($A802, Output_Mac!$A:$A, Output_Mac!AA:AA, ""),
    _xlpm.MyAuditVal, _xlfn.XLOOKUP($A802, My_Audit!$A:$A, My_Audit!L:L, ""),
    _xlfn.TEXTJOIN(", ", TRUE, _xlpm.MyAuditVal, _xlpm.MacVal)
)</f>
        <v/>
      </c>
    </row>
    <row r="803" spans="1:23">
      <c r="A803" s="45" t="str">
        <f>_xlfn.TEXTJOIN("",TRUE,Input!$B$2,ROW(My_Audit!A802))</f>
        <v>CC802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_xlpm.CSVVal,_xlfn.XLOOKUP($A803,CSV!$A:$A,CSV!E:E,""),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6" t="str" cm="1">
        <f t="array" ref="K803">IFERROR(_xlfn.LET(
_xlpm.CSVVal,_xlfn.XLOOKUP($A803,CSV!$A:$A,CSV!N:N,""),
_xlpm.MacVal,_xlfn.XLOOKUP($A803,Output_Mac!$A:$A,Output_Mac!L:L,""),
_xlpm.MyAuditVal,_xlfn.XLOOKUP($A803,My_Audit!$A:$A,My_Audit!J:J,""),
_xlfn.IFS(_xlpm.MyAuditVal&lt;&gt;"",UPPER(_xlpm.MyAuditVal),_xlpm.MacVal&lt;&gt;"",_xlpm.MacVal,_xlpm.CSVVal&lt;&gt;"",_xlpm.CSVVal
)),"")</f>
        <v/>
      </c>
      <c r="L803" s="45"/>
      <c r="M803" s="45"/>
      <c r="N803" s="45"/>
      <c r="O803" s="45"/>
      <c r="P803" s="45"/>
      <c r="Q803" s="46" t="str">
        <f>IF(LEFT(N803,4)="Pass","Nist SP 800-88",My_Audit!R803)&amp;""</f>
        <v/>
      </c>
      <c r="R803" s="45"/>
      <c r="S803" s="45"/>
      <c r="T803" s="46" t="str">
        <f>_xlfn.XLOOKUP(E803,Models!I:I,Models!J:J,"")</f>
        <v/>
      </c>
      <c r="U803" s="45"/>
      <c r="V803" s="45"/>
      <c r="W803" s="38" t="str">
        <f>_xlfn.LET(
    _xlpm.MacVal, _xlfn.XLOOKUP($A803, Output_Mac!$A:$A, Output_Mac!AA:AA, ""),
    _xlpm.MyAuditVal, _xlfn.XLOOKUP($A803, My_Audit!$A:$A, My_Audit!L:L, ""),
    _xlfn.TEXTJOIN(", ", TRUE, _xlpm.MyAuditVal, _xlpm.MacVal)
)</f>
        <v/>
      </c>
    </row>
    <row r="804" spans="1:23">
      <c r="A804" s="45" t="str">
        <f>_xlfn.TEXTJOIN("",TRUE,Input!$B$2,ROW(My_Audit!A803))</f>
        <v>CC803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_xlpm.CSVVal,_xlfn.XLOOKUP($A804,CSV!$A:$A,CSV!E:E,""),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6" t="str" cm="1">
        <f t="array" ref="K804">IFERROR(_xlfn.LET(
_xlpm.CSVVal,_xlfn.XLOOKUP($A804,CSV!$A:$A,CSV!N:N,""),
_xlpm.MacVal,_xlfn.XLOOKUP($A804,Output_Mac!$A:$A,Output_Mac!L:L,""),
_xlpm.MyAuditVal,_xlfn.XLOOKUP($A804,My_Audit!$A:$A,My_Audit!J:J,""),
_xlfn.IFS(_xlpm.MyAuditVal&lt;&gt;"",UPPER(_xlpm.MyAuditVal),_xlpm.MacVal&lt;&gt;"",_xlpm.MacVal,_xlpm.CSVVal&lt;&gt;"",_xlpm.CSVVal
)),"")</f>
        <v/>
      </c>
      <c r="L804" s="45"/>
      <c r="M804" s="45"/>
      <c r="N804" s="45"/>
      <c r="O804" s="45"/>
      <c r="P804" s="45"/>
      <c r="Q804" s="46" t="str">
        <f>IF(LEFT(N804,4)="Pass","Nist SP 800-88",My_Audit!R804)&amp;""</f>
        <v/>
      </c>
      <c r="R804" s="45"/>
      <c r="S804" s="45"/>
      <c r="T804" s="46" t="str">
        <f>_xlfn.XLOOKUP(E804,Models!I:I,Models!J:J,"")</f>
        <v/>
      </c>
      <c r="U804" s="45"/>
      <c r="V804" s="45"/>
      <c r="W804" s="38" t="str">
        <f>_xlfn.LET(
    _xlpm.MacVal, _xlfn.XLOOKUP($A804, Output_Mac!$A:$A, Output_Mac!AA:AA, ""),
    _xlpm.MyAuditVal, _xlfn.XLOOKUP($A804, My_Audit!$A:$A, My_Audit!L:L, ""),
    _xlfn.TEXTJOIN(", ", TRUE, _xlpm.MyAuditVal, _xlpm.MacVal)
)</f>
        <v/>
      </c>
    </row>
    <row r="805" spans="1:23">
      <c r="A805" s="45" t="str">
        <f>_xlfn.TEXTJOIN("",TRUE,Input!$B$2,ROW(My_Audit!A804))</f>
        <v>CC804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_xlpm.CSVVal,_xlfn.XLOOKUP($A805,CSV!$A:$A,CSV!E:E,""),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6" t="str" cm="1">
        <f t="array" ref="K805">IFERROR(_xlfn.LET(
_xlpm.CSVVal,_xlfn.XLOOKUP($A805,CSV!$A:$A,CSV!N:N,""),
_xlpm.MacVal,_xlfn.XLOOKUP($A805,Output_Mac!$A:$A,Output_Mac!L:L,""),
_xlpm.MyAuditVal,_xlfn.XLOOKUP($A805,My_Audit!$A:$A,My_Audit!J:J,""),
_xlfn.IFS(_xlpm.MyAuditVal&lt;&gt;"",UPPER(_xlpm.MyAuditVal),_xlpm.MacVal&lt;&gt;"",_xlpm.MacVal,_xlpm.CSVVal&lt;&gt;"",_xlpm.CSVVal
)),"")</f>
        <v/>
      </c>
      <c r="L805" s="45"/>
      <c r="M805" s="45"/>
      <c r="N805" s="45"/>
      <c r="O805" s="45"/>
      <c r="P805" s="45"/>
      <c r="Q805" s="46" t="str">
        <f>IF(LEFT(N805,4)="Pass","Nist SP 800-88",My_Audit!R805)&amp;""</f>
        <v/>
      </c>
      <c r="R805" s="45"/>
      <c r="S805" s="45"/>
      <c r="T805" s="46" t="str">
        <f>_xlfn.XLOOKUP(E805,Models!I:I,Models!J:J,"")</f>
        <v/>
      </c>
      <c r="U805" s="45"/>
      <c r="V805" s="45"/>
      <c r="W805" s="38" t="str">
        <f>_xlfn.LET(
    _xlpm.MacVal, _xlfn.XLOOKUP($A805, Output_Mac!$A:$A, Output_Mac!AA:AA, ""),
    _xlpm.MyAuditVal, _xlfn.XLOOKUP($A805, My_Audit!$A:$A, My_Audit!L:L, ""),
    _xlfn.TEXTJOIN(", ", TRUE, _xlpm.MyAuditVal, _xlpm.MacVal)
)</f>
        <v/>
      </c>
    </row>
    <row r="806" spans="1:23">
      <c r="A806" s="45" t="str">
        <f>_xlfn.TEXTJOIN("",TRUE,Input!$B$2,ROW(My_Audit!A805))</f>
        <v>CC805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_xlpm.CSVVal,_xlfn.XLOOKUP($A806,CSV!$A:$A,CSV!E:E,""),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6" t="str" cm="1">
        <f t="array" ref="K806">IFERROR(_xlfn.LET(
_xlpm.CSVVal,_xlfn.XLOOKUP($A806,CSV!$A:$A,CSV!N:N,""),
_xlpm.MacVal,_xlfn.XLOOKUP($A806,Output_Mac!$A:$A,Output_Mac!L:L,""),
_xlpm.MyAuditVal,_xlfn.XLOOKUP($A806,My_Audit!$A:$A,My_Audit!J:J,""),
_xlfn.IFS(_xlpm.MyAuditVal&lt;&gt;"",UPPER(_xlpm.MyAuditVal),_xlpm.MacVal&lt;&gt;"",_xlpm.MacVal,_xlpm.CSVVal&lt;&gt;"",_xlpm.CSVVal
)),"")</f>
        <v/>
      </c>
      <c r="L806" s="45"/>
      <c r="M806" s="45"/>
      <c r="N806" s="45"/>
      <c r="O806" s="45"/>
      <c r="P806" s="45"/>
      <c r="Q806" s="46" t="str">
        <f>IF(LEFT(N806,4)="Pass","Nist SP 800-88",My_Audit!R806)&amp;""</f>
        <v/>
      </c>
      <c r="R806" s="45"/>
      <c r="S806" s="45"/>
      <c r="T806" s="46" t="str">
        <f>_xlfn.XLOOKUP(E806,Models!I:I,Models!J:J,"")</f>
        <v/>
      </c>
      <c r="U806" s="45"/>
      <c r="V806" s="45"/>
      <c r="W806" s="38" t="str">
        <f>_xlfn.LET(
    _xlpm.MacVal, _xlfn.XLOOKUP($A806, Output_Mac!$A:$A, Output_Mac!AA:AA, ""),
    _xlpm.MyAuditVal, _xlfn.XLOOKUP($A806, My_Audit!$A:$A, My_Audit!L:L, ""),
    _xlfn.TEXTJOIN(", ", TRUE, _xlpm.MyAuditVal, _xlpm.MacVal)
)</f>
        <v/>
      </c>
    </row>
    <row r="807" spans="1:23">
      <c r="A807" s="45" t="str">
        <f>_xlfn.TEXTJOIN("",TRUE,Input!$B$2,ROW(My_Audit!A806))</f>
        <v>CC806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_xlpm.CSVVal,_xlfn.XLOOKUP($A807,CSV!$A:$A,CSV!E:E,""),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6" t="str" cm="1">
        <f t="array" ref="K807">IFERROR(_xlfn.LET(
_xlpm.CSVVal,_xlfn.XLOOKUP($A807,CSV!$A:$A,CSV!N:N,""),
_xlpm.MacVal,_xlfn.XLOOKUP($A807,Output_Mac!$A:$A,Output_Mac!L:L,""),
_xlpm.MyAuditVal,_xlfn.XLOOKUP($A807,My_Audit!$A:$A,My_Audit!J:J,""),
_xlfn.IFS(_xlpm.MyAuditVal&lt;&gt;"",UPPER(_xlpm.MyAuditVal),_xlpm.MacVal&lt;&gt;"",_xlpm.MacVal,_xlpm.CSVVal&lt;&gt;"",_xlpm.CSVVal
)),"")</f>
        <v/>
      </c>
      <c r="L807" s="45"/>
      <c r="M807" s="45"/>
      <c r="N807" s="45"/>
      <c r="O807" s="45"/>
      <c r="P807" s="45"/>
      <c r="Q807" s="46" t="str">
        <f>IF(LEFT(N807,4)="Pass","Nist SP 800-88",My_Audit!R807)&amp;""</f>
        <v/>
      </c>
      <c r="R807" s="45"/>
      <c r="S807" s="45"/>
      <c r="T807" s="46" t="str">
        <f>_xlfn.XLOOKUP(E807,Models!I:I,Models!J:J,"")</f>
        <v/>
      </c>
      <c r="U807" s="45"/>
      <c r="V807" s="45"/>
      <c r="W807" s="38" t="str">
        <f>_xlfn.LET(
    _xlpm.MacVal, _xlfn.XLOOKUP($A807, Output_Mac!$A:$A, Output_Mac!AA:AA, ""),
    _xlpm.MyAuditVal, _xlfn.XLOOKUP($A807, My_Audit!$A:$A, My_Audit!L:L, ""),
    _xlfn.TEXTJOIN(", ", TRUE, _xlpm.MyAuditVal, _xlpm.MacVal)
)</f>
        <v/>
      </c>
    </row>
    <row r="808" spans="1:23">
      <c r="A808" s="45" t="str">
        <f>_xlfn.TEXTJOIN("",TRUE,Input!$B$2,ROW(My_Audit!A807))</f>
        <v>CC807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_xlpm.CSVVal,_xlfn.XLOOKUP($A808,CSV!$A:$A,CSV!E:E,""),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6" t="str" cm="1">
        <f t="array" ref="K808">IFERROR(_xlfn.LET(
_xlpm.CSVVal,_xlfn.XLOOKUP($A808,CSV!$A:$A,CSV!N:N,""),
_xlpm.MacVal,_xlfn.XLOOKUP($A808,Output_Mac!$A:$A,Output_Mac!L:L,""),
_xlpm.MyAuditVal,_xlfn.XLOOKUP($A808,My_Audit!$A:$A,My_Audit!J:J,""),
_xlfn.IFS(_xlpm.MyAuditVal&lt;&gt;"",UPPER(_xlpm.MyAuditVal),_xlpm.MacVal&lt;&gt;"",_xlpm.MacVal,_xlpm.CSVVal&lt;&gt;"",_xlpm.CSVVal
)),"")</f>
        <v/>
      </c>
      <c r="L808" s="45"/>
      <c r="M808" s="45"/>
      <c r="N808" s="45"/>
      <c r="O808" s="45"/>
      <c r="P808" s="45"/>
      <c r="Q808" s="46" t="str">
        <f>IF(LEFT(N808,4)="Pass","Nist SP 800-88",My_Audit!R808)&amp;""</f>
        <v/>
      </c>
      <c r="R808" s="45"/>
      <c r="S808" s="45"/>
      <c r="T808" s="46" t="str">
        <f>_xlfn.XLOOKUP(E808,Models!I:I,Models!J:J,"")</f>
        <v/>
      </c>
      <c r="U808" s="45"/>
      <c r="V808" s="45"/>
      <c r="W808" s="38" t="str">
        <f>_xlfn.LET(
    _xlpm.MacVal, _xlfn.XLOOKUP($A808, Output_Mac!$A:$A, Output_Mac!AA:AA, ""),
    _xlpm.MyAuditVal, _xlfn.XLOOKUP($A808, My_Audit!$A:$A, My_Audit!L:L, ""),
    _xlfn.TEXTJOIN(", ", TRUE, _xlpm.MyAuditVal, _xlpm.MacVal)
)</f>
        <v/>
      </c>
    </row>
    <row r="809" spans="1:23">
      <c r="A809" s="45" t="str">
        <f>_xlfn.TEXTJOIN("",TRUE,Input!$B$2,ROW(My_Audit!A808))</f>
        <v>CC808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_xlpm.CSVVal,_xlfn.XLOOKUP($A809,CSV!$A:$A,CSV!E:E,""),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6" t="str" cm="1">
        <f t="array" ref="K809">IFERROR(_xlfn.LET(
_xlpm.CSVVal,_xlfn.XLOOKUP($A809,CSV!$A:$A,CSV!N:N,""),
_xlpm.MacVal,_xlfn.XLOOKUP($A809,Output_Mac!$A:$A,Output_Mac!L:L,""),
_xlpm.MyAuditVal,_xlfn.XLOOKUP($A809,My_Audit!$A:$A,My_Audit!J:J,""),
_xlfn.IFS(_xlpm.MyAuditVal&lt;&gt;"",UPPER(_xlpm.MyAuditVal),_xlpm.MacVal&lt;&gt;"",_xlpm.MacVal,_xlpm.CSVVal&lt;&gt;"",_xlpm.CSVVal
)),"")</f>
        <v/>
      </c>
      <c r="L809" s="45"/>
      <c r="M809" s="45"/>
      <c r="N809" s="45"/>
      <c r="O809" s="45"/>
      <c r="P809" s="45"/>
      <c r="Q809" s="46" t="str">
        <f>IF(LEFT(N809,4)="Pass","Nist SP 800-88",My_Audit!R809)&amp;""</f>
        <v/>
      </c>
      <c r="R809" s="45"/>
      <c r="S809" s="45"/>
      <c r="T809" s="46" t="str">
        <f>_xlfn.XLOOKUP(E809,Models!I:I,Models!J:J,"")</f>
        <v/>
      </c>
      <c r="U809" s="45"/>
      <c r="V809" s="45"/>
      <c r="W809" s="38" t="str">
        <f>_xlfn.LET(
    _xlpm.MacVal, _xlfn.XLOOKUP($A809, Output_Mac!$A:$A, Output_Mac!AA:AA, ""),
    _xlpm.MyAuditVal, _xlfn.XLOOKUP($A809, My_Audit!$A:$A, My_Audit!L:L, ""),
    _xlfn.TEXTJOIN(", ", TRUE, _xlpm.MyAuditVal, _xlpm.MacVal)
)</f>
        <v/>
      </c>
    </row>
    <row r="810" spans="1:23">
      <c r="A810" s="45" t="str">
        <f>_xlfn.TEXTJOIN("",TRUE,Input!$B$2,ROW(My_Audit!A809))</f>
        <v>CC809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_xlpm.CSVVal,_xlfn.XLOOKUP($A810,CSV!$A:$A,CSV!E:E,""),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6" t="str" cm="1">
        <f t="array" ref="K810">IFERROR(_xlfn.LET(
_xlpm.CSVVal,_xlfn.XLOOKUP($A810,CSV!$A:$A,CSV!N:N,""),
_xlpm.MacVal,_xlfn.XLOOKUP($A810,Output_Mac!$A:$A,Output_Mac!L:L,""),
_xlpm.MyAuditVal,_xlfn.XLOOKUP($A810,My_Audit!$A:$A,My_Audit!J:J,""),
_xlfn.IFS(_xlpm.MyAuditVal&lt;&gt;"",UPPER(_xlpm.MyAuditVal),_xlpm.MacVal&lt;&gt;"",_xlpm.MacVal,_xlpm.CSVVal&lt;&gt;"",_xlpm.CSVVal
)),"")</f>
        <v/>
      </c>
      <c r="L810" s="45"/>
      <c r="M810" s="45"/>
      <c r="N810" s="45"/>
      <c r="O810" s="45"/>
      <c r="P810" s="45"/>
      <c r="Q810" s="46" t="str">
        <f>IF(LEFT(N810,4)="Pass","Nist SP 800-88",My_Audit!R810)&amp;""</f>
        <v/>
      </c>
      <c r="R810" s="45"/>
      <c r="S810" s="45"/>
      <c r="T810" s="46" t="str">
        <f>_xlfn.XLOOKUP(E810,Models!I:I,Models!J:J,"")</f>
        <v/>
      </c>
      <c r="U810" s="45"/>
      <c r="V810" s="45"/>
      <c r="W810" s="38" t="str">
        <f>_xlfn.LET(
    _xlpm.MacVal, _xlfn.XLOOKUP($A810, Output_Mac!$A:$A, Output_Mac!AA:AA, ""),
    _xlpm.MyAuditVal, _xlfn.XLOOKUP($A810, My_Audit!$A:$A, My_Audit!L:L, ""),
    _xlfn.TEXTJOIN(", ", TRUE, _xlpm.MyAuditVal, _xlpm.MacVal)
)</f>
        <v/>
      </c>
    </row>
    <row r="811" spans="1:23">
      <c r="A811" s="45" t="str">
        <f>_xlfn.TEXTJOIN("",TRUE,Input!$B$2,ROW(My_Audit!A810))</f>
        <v>CC810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_xlpm.CSVVal,_xlfn.XLOOKUP($A811,CSV!$A:$A,CSV!E:E,""),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6" t="str" cm="1">
        <f t="array" ref="K811">IFERROR(_xlfn.LET(
_xlpm.CSVVal,_xlfn.XLOOKUP($A811,CSV!$A:$A,CSV!N:N,""),
_xlpm.MacVal,_xlfn.XLOOKUP($A811,Output_Mac!$A:$A,Output_Mac!L:L,""),
_xlpm.MyAuditVal,_xlfn.XLOOKUP($A811,My_Audit!$A:$A,My_Audit!J:J,""),
_xlfn.IFS(_xlpm.MyAuditVal&lt;&gt;"",UPPER(_xlpm.MyAuditVal),_xlpm.MacVal&lt;&gt;"",_xlpm.MacVal,_xlpm.CSVVal&lt;&gt;"",_xlpm.CSVVal
)),"")</f>
        <v/>
      </c>
      <c r="L811" s="45"/>
      <c r="M811" s="45"/>
      <c r="N811" s="45"/>
      <c r="O811" s="45"/>
      <c r="P811" s="45"/>
      <c r="Q811" s="46" t="str">
        <f>IF(LEFT(N811,4)="Pass","Nist SP 800-88",My_Audit!R811)&amp;""</f>
        <v/>
      </c>
      <c r="R811" s="45"/>
      <c r="S811" s="45"/>
      <c r="T811" s="46" t="str">
        <f>_xlfn.XLOOKUP(E811,Models!I:I,Models!J:J,"")</f>
        <v/>
      </c>
      <c r="U811" s="45"/>
      <c r="V811" s="45"/>
      <c r="W811" s="38" t="str">
        <f>_xlfn.LET(
    _xlpm.MacVal, _xlfn.XLOOKUP($A811, Output_Mac!$A:$A, Output_Mac!AA:AA, ""),
    _xlpm.MyAuditVal, _xlfn.XLOOKUP($A811, My_Audit!$A:$A, My_Audit!L:L, ""),
    _xlfn.TEXTJOIN(", ", TRUE, _xlpm.MyAuditVal, _xlpm.MacVal)
)</f>
        <v/>
      </c>
    </row>
    <row r="812" spans="1:23">
      <c r="A812" s="45" t="str">
        <f>_xlfn.TEXTJOIN("",TRUE,Input!$B$2,ROW(My_Audit!A811))</f>
        <v>CC811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_xlpm.CSVVal,_xlfn.XLOOKUP($A812,CSV!$A:$A,CSV!E:E,""),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6" t="str" cm="1">
        <f t="array" ref="K812">IFERROR(_xlfn.LET(
_xlpm.CSVVal,_xlfn.XLOOKUP($A812,CSV!$A:$A,CSV!N:N,""),
_xlpm.MacVal,_xlfn.XLOOKUP($A812,Output_Mac!$A:$A,Output_Mac!L:L,""),
_xlpm.MyAuditVal,_xlfn.XLOOKUP($A812,My_Audit!$A:$A,My_Audit!J:J,""),
_xlfn.IFS(_xlpm.MyAuditVal&lt;&gt;"",UPPER(_xlpm.MyAuditVal),_xlpm.MacVal&lt;&gt;"",_xlpm.MacVal,_xlpm.CSVVal&lt;&gt;"",_xlpm.CSVVal
)),"")</f>
        <v/>
      </c>
      <c r="L812" s="45"/>
      <c r="M812" s="45"/>
      <c r="N812" s="45"/>
      <c r="O812" s="45"/>
      <c r="P812" s="45"/>
      <c r="Q812" s="46" t="str">
        <f>IF(LEFT(N812,4)="Pass","Nist SP 800-88",My_Audit!R812)&amp;""</f>
        <v/>
      </c>
      <c r="R812" s="45"/>
      <c r="S812" s="45"/>
      <c r="T812" s="46" t="str">
        <f>_xlfn.XLOOKUP(E812,Models!I:I,Models!J:J,"")</f>
        <v/>
      </c>
      <c r="U812" s="45"/>
      <c r="V812" s="45"/>
      <c r="W812" s="38" t="str">
        <f>_xlfn.LET(
    _xlpm.MacVal, _xlfn.XLOOKUP($A812, Output_Mac!$A:$A, Output_Mac!AA:AA, ""),
    _xlpm.MyAuditVal, _xlfn.XLOOKUP($A812, My_Audit!$A:$A, My_Audit!L:L, ""),
    _xlfn.TEXTJOIN(", ", TRUE, _xlpm.MyAuditVal, _xlpm.MacVal)
)</f>
        <v/>
      </c>
    </row>
    <row r="813" spans="1:23">
      <c r="A813" s="45" t="str">
        <f>_xlfn.TEXTJOIN("",TRUE,Input!$B$2,ROW(My_Audit!A812))</f>
        <v>CC812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_xlpm.CSVVal,_xlfn.XLOOKUP($A813,CSV!$A:$A,CSV!E:E,""),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6" t="str" cm="1">
        <f t="array" ref="K813">IFERROR(_xlfn.LET(
_xlpm.CSVVal,_xlfn.XLOOKUP($A813,CSV!$A:$A,CSV!N:N,""),
_xlpm.MacVal,_xlfn.XLOOKUP($A813,Output_Mac!$A:$A,Output_Mac!L:L,""),
_xlpm.MyAuditVal,_xlfn.XLOOKUP($A813,My_Audit!$A:$A,My_Audit!J:J,""),
_xlfn.IFS(_xlpm.MyAuditVal&lt;&gt;"",UPPER(_xlpm.MyAuditVal),_xlpm.MacVal&lt;&gt;"",_xlpm.MacVal,_xlpm.CSVVal&lt;&gt;"",_xlpm.CSVVal
)),"")</f>
        <v/>
      </c>
      <c r="L813" s="45"/>
      <c r="M813" s="45"/>
      <c r="N813" s="45"/>
      <c r="O813" s="45"/>
      <c r="P813" s="45"/>
      <c r="Q813" s="46" t="str">
        <f>IF(LEFT(N813,4)="Pass","Nist SP 800-88",My_Audit!R813)&amp;""</f>
        <v/>
      </c>
      <c r="R813" s="45"/>
      <c r="S813" s="45"/>
      <c r="T813" s="46" t="str">
        <f>_xlfn.XLOOKUP(E813,Models!I:I,Models!J:J,"")</f>
        <v/>
      </c>
      <c r="U813" s="45"/>
      <c r="V813" s="45"/>
      <c r="W813" s="38" t="str">
        <f>_xlfn.LET(
    _xlpm.MacVal, _xlfn.XLOOKUP($A813, Output_Mac!$A:$A, Output_Mac!AA:AA, ""),
    _xlpm.MyAuditVal, _xlfn.XLOOKUP($A813, My_Audit!$A:$A, My_Audit!L:L, ""),
    _xlfn.TEXTJOIN(", ", TRUE, _xlpm.MyAuditVal, _xlpm.MacVal)
)</f>
        <v/>
      </c>
    </row>
    <row r="814" spans="1:23">
      <c r="A814" s="45" t="str">
        <f>_xlfn.TEXTJOIN("",TRUE,Input!$B$2,ROW(My_Audit!A813))</f>
        <v>CC813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_xlpm.CSVVal,_xlfn.XLOOKUP($A814,CSV!$A:$A,CSV!E:E,""),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6" t="str" cm="1">
        <f t="array" ref="K814">IFERROR(_xlfn.LET(
_xlpm.CSVVal,_xlfn.XLOOKUP($A814,CSV!$A:$A,CSV!N:N,""),
_xlpm.MacVal,_xlfn.XLOOKUP($A814,Output_Mac!$A:$A,Output_Mac!L:L,""),
_xlpm.MyAuditVal,_xlfn.XLOOKUP($A814,My_Audit!$A:$A,My_Audit!J:J,""),
_xlfn.IFS(_xlpm.MyAuditVal&lt;&gt;"",UPPER(_xlpm.MyAuditVal),_xlpm.MacVal&lt;&gt;"",_xlpm.MacVal,_xlpm.CSVVal&lt;&gt;"",_xlpm.CSVVal
)),"")</f>
        <v/>
      </c>
      <c r="L814" s="45"/>
      <c r="M814" s="45"/>
      <c r="N814" s="45"/>
      <c r="O814" s="45"/>
      <c r="P814" s="45"/>
      <c r="Q814" s="46" t="str">
        <f>IF(LEFT(N814,4)="Pass","Nist SP 800-88",My_Audit!R814)&amp;""</f>
        <v/>
      </c>
      <c r="R814" s="45"/>
      <c r="S814" s="45"/>
      <c r="T814" s="46" t="str">
        <f>_xlfn.XLOOKUP(E814,Models!I:I,Models!J:J,"")</f>
        <v/>
      </c>
      <c r="U814" s="45"/>
      <c r="V814" s="45"/>
      <c r="W814" s="38" t="str">
        <f>_xlfn.LET(
    _xlpm.MacVal, _xlfn.XLOOKUP($A814, Output_Mac!$A:$A, Output_Mac!AA:AA, ""),
    _xlpm.MyAuditVal, _xlfn.XLOOKUP($A814, My_Audit!$A:$A, My_Audit!L:L, ""),
    _xlfn.TEXTJOIN(", ", TRUE, _xlpm.MyAuditVal, _xlpm.MacVal)
)</f>
        <v/>
      </c>
    </row>
    <row r="815" spans="1:23">
      <c r="A815" s="45" t="str">
        <f>_xlfn.TEXTJOIN("",TRUE,Input!$B$2,ROW(My_Audit!A814))</f>
        <v>CC814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_xlpm.CSVVal,_xlfn.XLOOKUP($A815,CSV!$A:$A,CSV!E:E,""),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6" t="str" cm="1">
        <f t="array" ref="K815">IFERROR(_xlfn.LET(
_xlpm.CSVVal,_xlfn.XLOOKUP($A815,CSV!$A:$A,CSV!N:N,""),
_xlpm.MacVal,_xlfn.XLOOKUP($A815,Output_Mac!$A:$A,Output_Mac!L:L,""),
_xlpm.MyAuditVal,_xlfn.XLOOKUP($A815,My_Audit!$A:$A,My_Audit!J:J,""),
_xlfn.IFS(_xlpm.MyAuditVal&lt;&gt;"",UPPER(_xlpm.MyAuditVal),_xlpm.MacVal&lt;&gt;"",_xlpm.MacVal,_xlpm.CSVVal&lt;&gt;"",_xlpm.CSVVal
)),"")</f>
        <v/>
      </c>
      <c r="L815" s="45"/>
      <c r="M815" s="45"/>
      <c r="N815" s="45"/>
      <c r="O815" s="45"/>
      <c r="P815" s="45"/>
      <c r="Q815" s="46" t="str">
        <f>IF(LEFT(N815,4)="Pass","Nist SP 800-88",My_Audit!R815)&amp;""</f>
        <v/>
      </c>
      <c r="R815" s="45"/>
      <c r="S815" s="45"/>
      <c r="T815" s="46" t="str">
        <f>_xlfn.XLOOKUP(E815,Models!I:I,Models!J:J,"")</f>
        <v/>
      </c>
      <c r="U815" s="45"/>
      <c r="V815" s="45"/>
      <c r="W815" s="38" t="str">
        <f>_xlfn.LET(
    _xlpm.MacVal, _xlfn.XLOOKUP($A815, Output_Mac!$A:$A, Output_Mac!AA:AA, ""),
    _xlpm.MyAuditVal, _xlfn.XLOOKUP($A815, My_Audit!$A:$A, My_Audit!L:L, ""),
    _xlfn.TEXTJOIN(", ", TRUE, _xlpm.MyAuditVal, _xlpm.MacVal)
)</f>
        <v/>
      </c>
    </row>
    <row r="816" spans="1:23">
      <c r="A816" s="45" t="str">
        <f>_xlfn.TEXTJOIN("",TRUE,Input!$B$2,ROW(My_Audit!A815))</f>
        <v>CC815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_xlpm.CSVVal,_xlfn.XLOOKUP($A816,CSV!$A:$A,CSV!E:E,""),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6" t="str" cm="1">
        <f t="array" ref="K816">IFERROR(_xlfn.LET(
_xlpm.CSVVal,_xlfn.XLOOKUP($A816,CSV!$A:$A,CSV!N:N,""),
_xlpm.MacVal,_xlfn.XLOOKUP($A816,Output_Mac!$A:$A,Output_Mac!L:L,""),
_xlpm.MyAuditVal,_xlfn.XLOOKUP($A816,My_Audit!$A:$A,My_Audit!J:J,""),
_xlfn.IFS(_xlpm.MyAuditVal&lt;&gt;"",UPPER(_xlpm.MyAuditVal),_xlpm.MacVal&lt;&gt;"",_xlpm.MacVal,_xlpm.CSVVal&lt;&gt;"",_xlpm.CSVVal
)),"")</f>
        <v/>
      </c>
      <c r="L816" s="45"/>
      <c r="M816" s="45"/>
      <c r="N816" s="45"/>
      <c r="O816" s="45"/>
      <c r="P816" s="45"/>
      <c r="Q816" s="46" t="str">
        <f>IF(LEFT(N816,4)="Pass","Nist SP 800-88",My_Audit!R816)&amp;""</f>
        <v/>
      </c>
      <c r="R816" s="45"/>
      <c r="S816" s="45"/>
      <c r="T816" s="46" t="str">
        <f>_xlfn.XLOOKUP(E816,Models!I:I,Models!J:J,"")</f>
        <v/>
      </c>
      <c r="U816" s="45"/>
      <c r="V816" s="45"/>
      <c r="W816" s="38" t="str">
        <f>_xlfn.LET(
    _xlpm.MacVal, _xlfn.XLOOKUP($A816, Output_Mac!$A:$A, Output_Mac!AA:AA, ""),
    _xlpm.MyAuditVal, _xlfn.XLOOKUP($A816, My_Audit!$A:$A, My_Audit!L:L, ""),
    _xlfn.TEXTJOIN(", ", TRUE, _xlpm.MyAuditVal, _xlpm.MacVal)
)</f>
        <v/>
      </c>
    </row>
    <row r="817" spans="1:23">
      <c r="A817" s="45" t="str">
        <f>_xlfn.TEXTJOIN("",TRUE,Input!$B$2,ROW(My_Audit!A816))</f>
        <v>CC816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_xlpm.CSVVal,_xlfn.XLOOKUP($A817,CSV!$A:$A,CSV!E:E,""),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6" t="str" cm="1">
        <f t="array" ref="K817">IFERROR(_xlfn.LET(
_xlpm.CSVVal,_xlfn.XLOOKUP($A817,CSV!$A:$A,CSV!N:N,""),
_xlpm.MacVal,_xlfn.XLOOKUP($A817,Output_Mac!$A:$A,Output_Mac!L:L,""),
_xlpm.MyAuditVal,_xlfn.XLOOKUP($A817,My_Audit!$A:$A,My_Audit!J:J,""),
_xlfn.IFS(_xlpm.MyAuditVal&lt;&gt;"",UPPER(_xlpm.MyAuditVal),_xlpm.MacVal&lt;&gt;"",_xlpm.MacVal,_xlpm.CSVVal&lt;&gt;"",_xlpm.CSVVal
)),"")</f>
        <v/>
      </c>
      <c r="L817" s="45"/>
      <c r="M817" s="45"/>
      <c r="N817" s="45"/>
      <c r="O817" s="45"/>
      <c r="P817" s="45"/>
      <c r="Q817" s="46" t="str">
        <f>IF(LEFT(N817,4)="Pass","Nist SP 800-88",My_Audit!R817)&amp;""</f>
        <v/>
      </c>
      <c r="R817" s="45"/>
      <c r="S817" s="45"/>
      <c r="T817" s="46" t="str">
        <f>_xlfn.XLOOKUP(E817,Models!I:I,Models!J:J,"")</f>
        <v/>
      </c>
      <c r="U817" s="45"/>
      <c r="V817" s="45"/>
      <c r="W817" s="38" t="str">
        <f>_xlfn.LET(
    _xlpm.MacVal, _xlfn.XLOOKUP($A817, Output_Mac!$A:$A, Output_Mac!AA:AA, ""),
    _xlpm.MyAuditVal, _xlfn.XLOOKUP($A817, My_Audit!$A:$A, My_Audit!L:L, ""),
    _xlfn.TEXTJOIN(", ", TRUE, _xlpm.MyAuditVal, _xlpm.MacVal)
)</f>
        <v/>
      </c>
    </row>
    <row r="818" spans="1:23">
      <c r="A818" s="45" t="str">
        <f>_xlfn.TEXTJOIN("",TRUE,Input!$B$2,ROW(My_Audit!A817))</f>
        <v>CC817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_xlpm.CSVVal,_xlfn.XLOOKUP($A818,CSV!$A:$A,CSV!E:E,""),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6" t="str" cm="1">
        <f t="array" ref="K818">IFERROR(_xlfn.LET(
_xlpm.CSVVal,_xlfn.XLOOKUP($A818,CSV!$A:$A,CSV!N:N,""),
_xlpm.MacVal,_xlfn.XLOOKUP($A818,Output_Mac!$A:$A,Output_Mac!L:L,""),
_xlpm.MyAuditVal,_xlfn.XLOOKUP($A818,My_Audit!$A:$A,My_Audit!J:J,""),
_xlfn.IFS(_xlpm.MyAuditVal&lt;&gt;"",UPPER(_xlpm.MyAuditVal),_xlpm.MacVal&lt;&gt;"",_xlpm.MacVal,_xlpm.CSVVal&lt;&gt;"",_xlpm.CSVVal
)),"")</f>
        <v/>
      </c>
      <c r="L818" s="45"/>
      <c r="M818" s="45"/>
      <c r="N818" s="45"/>
      <c r="O818" s="45"/>
      <c r="P818" s="45"/>
      <c r="Q818" s="46" t="str">
        <f>IF(LEFT(N818,4)="Pass","Nist SP 800-88",My_Audit!R818)&amp;""</f>
        <v/>
      </c>
      <c r="R818" s="45"/>
      <c r="S818" s="45"/>
      <c r="T818" s="46" t="str">
        <f>_xlfn.XLOOKUP(E818,Models!I:I,Models!J:J,"")</f>
        <v/>
      </c>
      <c r="U818" s="45"/>
      <c r="V818" s="45"/>
      <c r="W818" s="38" t="str">
        <f>_xlfn.LET(
    _xlpm.MacVal, _xlfn.XLOOKUP($A818, Output_Mac!$A:$A, Output_Mac!AA:AA, ""),
    _xlpm.MyAuditVal, _xlfn.XLOOKUP($A818, My_Audit!$A:$A, My_Audit!L:L, ""),
    _xlfn.TEXTJOIN(", ", TRUE, _xlpm.MyAuditVal, _xlpm.MacVal)
)</f>
        <v/>
      </c>
    </row>
    <row r="819" spans="1:23">
      <c r="A819" s="45" t="str">
        <f>_xlfn.TEXTJOIN("",TRUE,Input!$B$2,ROW(My_Audit!A818))</f>
        <v>CC818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_xlpm.CSVVal,_xlfn.XLOOKUP($A819,CSV!$A:$A,CSV!E:E,""),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6" t="str" cm="1">
        <f t="array" ref="K819">IFERROR(_xlfn.LET(
_xlpm.CSVVal,_xlfn.XLOOKUP($A819,CSV!$A:$A,CSV!N:N,""),
_xlpm.MacVal,_xlfn.XLOOKUP($A819,Output_Mac!$A:$A,Output_Mac!L:L,""),
_xlpm.MyAuditVal,_xlfn.XLOOKUP($A819,My_Audit!$A:$A,My_Audit!J:J,""),
_xlfn.IFS(_xlpm.MyAuditVal&lt;&gt;"",UPPER(_xlpm.MyAuditVal),_xlpm.MacVal&lt;&gt;"",_xlpm.MacVal,_xlpm.CSVVal&lt;&gt;"",_xlpm.CSVVal
)),"")</f>
        <v/>
      </c>
      <c r="L819" s="45"/>
      <c r="M819" s="45"/>
      <c r="N819" s="45"/>
      <c r="O819" s="45"/>
      <c r="P819" s="45"/>
      <c r="Q819" s="46" t="str">
        <f>IF(LEFT(N819,4)="Pass","Nist SP 800-88",My_Audit!R819)&amp;""</f>
        <v/>
      </c>
      <c r="R819" s="45"/>
      <c r="S819" s="45"/>
      <c r="T819" s="46" t="str">
        <f>_xlfn.XLOOKUP(E819,Models!I:I,Models!J:J,"")</f>
        <v/>
      </c>
      <c r="U819" s="45"/>
      <c r="V819" s="45"/>
      <c r="W819" s="38" t="str">
        <f>_xlfn.LET(
    _xlpm.MacVal, _xlfn.XLOOKUP($A819, Output_Mac!$A:$A, Output_Mac!AA:AA, ""),
    _xlpm.MyAuditVal, _xlfn.XLOOKUP($A819, My_Audit!$A:$A, My_Audit!L:L, ""),
    _xlfn.TEXTJOIN(", ", TRUE, _xlpm.MyAuditVal, _xlpm.MacVal)
)</f>
        <v/>
      </c>
    </row>
    <row r="820" spans="1:23">
      <c r="A820" s="45" t="str">
        <f>_xlfn.TEXTJOIN("",TRUE,Input!$B$2,ROW(My_Audit!A819))</f>
        <v>CC819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_xlpm.CSVVal,_xlfn.XLOOKUP($A820,CSV!$A:$A,CSV!E:E,""),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6" t="str" cm="1">
        <f t="array" ref="K820">IFERROR(_xlfn.LET(
_xlpm.CSVVal,_xlfn.XLOOKUP($A820,CSV!$A:$A,CSV!N:N,""),
_xlpm.MacVal,_xlfn.XLOOKUP($A820,Output_Mac!$A:$A,Output_Mac!L:L,""),
_xlpm.MyAuditVal,_xlfn.XLOOKUP($A820,My_Audit!$A:$A,My_Audit!J:J,""),
_xlfn.IFS(_xlpm.MyAuditVal&lt;&gt;"",UPPER(_xlpm.MyAuditVal),_xlpm.MacVal&lt;&gt;"",_xlpm.MacVal,_xlpm.CSVVal&lt;&gt;"",_xlpm.CSVVal
)),"")</f>
        <v/>
      </c>
      <c r="L820" s="45"/>
      <c r="M820" s="45"/>
      <c r="N820" s="45"/>
      <c r="O820" s="45"/>
      <c r="P820" s="45"/>
      <c r="Q820" s="46" t="str">
        <f>IF(LEFT(N820,4)="Pass","Nist SP 800-88",My_Audit!R820)&amp;""</f>
        <v/>
      </c>
      <c r="R820" s="45"/>
      <c r="S820" s="45"/>
      <c r="T820" s="46" t="str">
        <f>_xlfn.XLOOKUP(E820,Models!I:I,Models!J:J,"")</f>
        <v/>
      </c>
      <c r="U820" s="45"/>
      <c r="V820" s="45"/>
      <c r="W820" s="38" t="str">
        <f>_xlfn.LET(
    _xlpm.MacVal, _xlfn.XLOOKUP($A820, Output_Mac!$A:$A, Output_Mac!AA:AA, ""),
    _xlpm.MyAuditVal, _xlfn.XLOOKUP($A820, My_Audit!$A:$A, My_Audit!L:L, ""),
    _xlfn.TEXTJOIN(", ", TRUE, _xlpm.MyAuditVal, _xlpm.MacVal)
)</f>
        <v/>
      </c>
    </row>
    <row r="821" spans="1:23">
      <c r="A821" s="45" t="str">
        <f>_xlfn.TEXTJOIN("",TRUE,Input!$B$2,ROW(My_Audit!A820))</f>
        <v>CC820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_xlpm.CSVVal,_xlfn.XLOOKUP($A821,CSV!$A:$A,CSV!E:E,""),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6" t="str" cm="1">
        <f t="array" ref="K821">IFERROR(_xlfn.LET(
_xlpm.CSVVal,_xlfn.XLOOKUP($A821,CSV!$A:$A,CSV!N:N,""),
_xlpm.MacVal,_xlfn.XLOOKUP($A821,Output_Mac!$A:$A,Output_Mac!L:L,""),
_xlpm.MyAuditVal,_xlfn.XLOOKUP($A821,My_Audit!$A:$A,My_Audit!J:J,""),
_xlfn.IFS(_xlpm.MyAuditVal&lt;&gt;"",UPPER(_xlpm.MyAuditVal),_xlpm.MacVal&lt;&gt;"",_xlpm.MacVal,_xlpm.CSVVal&lt;&gt;"",_xlpm.CSVVal
)),"")</f>
        <v/>
      </c>
      <c r="L821" s="45"/>
      <c r="M821" s="45"/>
      <c r="N821" s="45"/>
      <c r="O821" s="45"/>
      <c r="P821" s="45"/>
      <c r="Q821" s="46" t="str">
        <f>IF(LEFT(N821,4)="Pass","Nist SP 800-88",My_Audit!R821)&amp;""</f>
        <v/>
      </c>
      <c r="R821" s="45"/>
      <c r="S821" s="45"/>
      <c r="T821" s="46" t="str">
        <f>_xlfn.XLOOKUP(E821,Models!I:I,Models!J:J,"")</f>
        <v/>
      </c>
      <c r="U821" s="45"/>
      <c r="V821" s="45"/>
      <c r="W821" s="38" t="str">
        <f>_xlfn.LET(
    _xlpm.MacVal, _xlfn.XLOOKUP($A821, Output_Mac!$A:$A, Output_Mac!AA:AA, ""),
    _xlpm.MyAuditVal, _xlfn.XLOOKUP($A821, My_Audit!$A:$A, My_Audit!L:L, ""),
    _xlfn.TEXTJOIN(", ", TRUE, _xlpm.MyAuditVal, _xlpm.MacVal)
)</f>
        <v/>
      </c>
    </row>
    <row r="822" spans="1:23">
      <c r="A822" s="45" t="str">
        <f>_xlfn.TEXTJOIN("",TRUE,Input!$B$2,ROW(My_Audit!A821))</f>
        <v>CC821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_xlpm.CSVVal,_xlfn.XLOOKUP($A822,CSV!$A:$A,CSV!E:E,""),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6" t="str" cm="1">
        <f t="array" ref="K822">IFERROR(_xlfn.LET(
_xlpm.CSVVal,_xlfn.XLOOKUP($A822,CSV!$A:$A,CSV!N:N,""),
_xlpm.MacVal,_xlfn.XLOOKUP($A822,Output_Mac!$A:$A,Output_Mac!L:L,""),
_xlpm.MyAuditVal,_xlfn.XLOOKUP($A822,My_Audit!$A:$A,My_Audit!J:J,""),
_xlfn.IFS(_xlpm.MyAuditVal&lt;&gt;"",UPPER(_xlpm.MyAuditVal),_xlpm.MacVal&lt;&gt;"",_xlpm.MacVal,_xlpm.CSVVal&lt;&gt;"",_xlpm.CSVVal
)),"")</f>
        <v/>
      </c>
      <c r="L822" s="45"/>
      <c r="M822" s="45"/>
      <c r="N822" s="45"/>
      <c r="O822" s="45"/>
      <c r="P822" s="45"/>
      <c r="Q822" s="46" t="str">
        <f>IF(LEFT(N822,4)="Pass","Nist SP 800-88",My_Audit!R822)&amp;""</f>
        <v/>
      </c>
      <c r="R822" s="45"/>
      <c r="S822" s="45"/>
      <c r="T822" s="46" t="str">
        <f>_xlfn.XLOOKUP(E822,Models!I:I,Models!J:J,"")</f>
        <v/>
      </c>
      <c r="U822" s="45"/>
      <c r="V822" s="45"/>
      <c r="W822" s="38" t="str">
        <f>_xlfn.LET(
    _xlpm.MacVal, _xlfn.XLOOKUP($A822, Output_Mac!$A:$A, Output_Mac!AA:AA, ""),
    _xlpm.MyAuditVal, _xlfn.XLOOKUP($A822, My_Audit!$A:$A, My_Audit!L:L, ""),
    _xlfn.TEXTJOIN(", ", TRUE, _xlpm.MyAuditVal, _xlpm.MacVal)
)</f>
        <v/>
      </c>
    </row>
    <row r="823" spans="1:23">
      <c r="A823" s="45" t="str">
        <f>_xlfn.TEXTJOIN("",TRUE,Input!$B$2,ROW(My_Audit!A822))</f>
        <v>CC822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_xlpm.CSVVal,_xlfn.XLOOKUP($A823,CSV!$A:$A,CSV!E:E,""),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6" t="str" cm="1">
        <f t="array" ref="K823">IFERROR(_xlfn.LET(
_xlpm.CSVVal,_xlfn.XLOOKUP($A823,CSV!$A:$A,CSV!N:N,""),
_xlpm.MacVal,_xlfn.XLOOKUP($A823,Output_Mac!$A:$A,Output_Mac!L:L,""),
_xlpm.MyAuditVal,_xlfn.XLOOKUP($A823,My_Audit!$A:$A,My_Audit!J:J,""),
_xlfn.IFS(_xlpm.MyAuditVal&lt;&gt;"",UPPER(_xlpm.MyAuditVal),_xlpm.MacVal&lt;&gt;"",_xlpm.MacVal,_xlpm.CSVVal&lt;&gt;"",_xlpm.CSVVal
)),"")</f>
        <v/>
      </c>
      <c r="L823" s="45"/>
      <c r="M823" s="45"/>
      <c r="N823" s="45"/>
      <c r="O823" s="45"/>
      <c r="P823" s="45"/>
      <c r="Q823" s="46" t="str">
        <f>IF(LEFT(N823,4)="Pass","Nist SP 800-88",My_Audit!R823)&amp;""</f>
        <v/>
      </c>
      <c r="R823" s="45"/>
      <c r="S823" s="45"/>
      <c r="T823" s="46" t="str">
        <f>_xlfn.XLOOKUP(E823,Models!I:I,Models!J:J,"")</f>
        <v/>
      </c>
      <c r="U823" s="45"/>
      <c r="V823" s="45"/>
      <c r="W823" s="38" t="str">
        <f>_xlfn.LET(
    _xlpm.MacVal, _xlfn.XLOOKUP($A823, Output_Mac!$A:$A, Output_Mac!AA:AA, ""),
    _xlpm.MyAuditVal, _xlfn.XLOOKUP($A823, My_Audit!$A:$A, My_Audit!L:L, ""),
    _xlfn.TEXTJOIN(", ", TRUE, _xlpm.MyAuditVal, _xlpm.MacVal)
)</f>
        <v/>
      </c>
    </row>
    <row r="824" spans="1:23">
      <c r="A824" s="45" t="str">
        <f>_xlfn.TEXTJOIN("",TRUE,Input!$B$2,ROW(My_Audit!A823))</f>
        <v>CC823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_xlpm.CSVVal,_xlfn.XLOOKUP($A824,CSV!$A:$A,CSV!E:E,""),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6" t="str" cm="1">
        <f t="array" ref="K824">IFERROR(_xlfn.LET(
_xlpm.CSVVal,_xlfn.XLOOKUP($A824,CSV!$A:$A,CSV!N:N,""),
_xlpm.MacVal,_xlfn.XLOOKUP($A824,Output_Mac!$A:$A,Output_Mac!L:L,""),
_xlpm.MyAuditVal,_xlfn.XLOOKUP($A824,My_Audit!$A:$A,My_Audit!J:J,""),
_xlfn.IFS(_xlpm.MyAuditVal&lt;&gt;"",UPPER(_xlpm.MyAuditVal),_xlpm.MacVal&lt;&gt;"",_xlpm.MacVal,_xlpm.CSVVal&lt;&gt;"",_xlpm.CSVVal
)),"")</f>
        <v/>
      </c>
      <c r="L824" s="45"/>
      <c r="M824" s="45"/>
      <c r="N824" s="45"/>
      <c r="O824" s="45"/>
      <c r="P824" s="45"/>
      <c r="Q824" s="46" t="str">
        <f>IF(LEFT(N824,4)="Pass","Nist SP 800-88",My_Audit!R824)&amp;""</f>
        <v/>
      </c>
      <c r="R824" s="45"/>
      <c r="S824" s="45"/>
      <c r="T824" s="46" t="str">
        <f>_xlfn.XLOOKUP(E824,Models!I:I,Models!J:J,"")</f>
        <v/>
      </c>
      <c r="U824" s="45"/>
      <c r="V824" s="45"/>
      <c r="W824" s="38" t="str">
        <f>_xlfn.LET(
    _xlpm.MacVal, _xlfn.XLOOKUP($A824, Output_Mac!$A:$A, Output_Mac!AA:AA, ""),
    _xlpm.MyAuditVal, _xlfn.XLOOKUP($A824, My_Audit!$A:$A, My_Audit!L:L, ""),
    _xlfn.TEXTJOIN(", ", TRUE, _xlpm.MyAuditVal, _xlpm.MacVal)
)</f>
        <v/>
      </c>
    </row>
    <row r="825" spans="1:23">
      <c r="A825" s="45" t="str">
        <f>_xlfn.TEXTJOIN("",TRUE,Input!$B$2,ROW(My_Audit!A824))</f>
        <v>CC824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_xlpm.CSVVal,_xlfn.XLOOKUP($A825,CSV!$A:$A,CSV!E:E,""),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6" t="str" cm="1">
        <f t="array" ref="K825">IFERROR(_xlfn.LET(
_xlpm.CSVVal,_xlfn.XLOOKUP($A825,CSV!$A:$A,CSV!N:N,""),
_xlpm.MacVal,_xlfn.XLOOKUP($A825,Output_Mac!$A:$A,Output_Mac!L:L,""),
_xlpm.MyAuditVal,_xlfn.XLOOKUP($A825,My_Audit!$A:$A,My_Audit!J:J,""),
_xlfn.IFS(_xlpm.MyAuditVal&lt;&gt;"",UPPER(_xlpm.MyAuditVal),_xlpm.MacVal&lt;&gt;"",_xlpm.MacVal,_xlpm.CSVVal&lt;&gt;"",_xlpm.CSVVal
)),"")</f>
        <v/>
      </c>
      <c r="L825" s="45"/>
      <c r="M825" s="45"/>
      <c r="N825" s="45"/>
      <c r="O825" s="45"/>
      <c r="P825" s="45"/>
      <c r="Q825" s="46" t="str">
        <f>IF(LEFT(N825,4)="Pass","Nist SP 800-88",My_Audit!R825)&amp;""</f>
        <v/>
      </c>
      <c r="R825" s="45"/>
      <c r="S825" s="45"/>
      <c r="T825" s="46" t="str">
        <f>_xlfn.XLOOKUP(E825,Models!I:I,Models!J:J,"")</f>
        <v/>
      </c>
      <c r="U825" s="45"/>
      <c r="V825" s="45"/>
      <c r="W825" s="38" t="str">
        <f>_xlfn.LET(
    _xlpm.MacVal, _xlfn.XLOOKUP($A825, Output_Mac!$A:$A, Output_Mac!AA:AA, ""),
    _xlpm.MyAuditVal, _xlfn.XLOOKUP($A825, My_Audit!$A:$A, My_Audit!L:L, ""),
    _xlfn.TEXTJOIN(", ", TRUE, _xlpm.MyAuditVal, _xlpm.MacVal)
)</f>
        <v/>
      </c>
    </row>
    <row r="826" spans="1:23">
      <c r="A826" s="45" t="str">
        <f>_xlfn.TEXTJOIN("",TRUE,Input!$B$2,ROW(My_Audit!A825))</f>
        <v>CC825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_xlpm.CSVVal,_xlfn.XLOOKUP($A826,CSV!$A:$A,CSV!E:E,""),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6" t="str" cm="1">
        <f t="array" ref="K826">IFERROR(_xlfn.LET(
_xlpm.CSVVal,_xlfn.XLOOKUP($A826,CSV!$A:$A,CSV!N:N,""),
_xlpm.MacVal,_xlfn.XLOOKUP($A826,Output_Mac!$A:$A,Output_Mac!L:L,""),
_xlpm.MyAuditVal,_xlfn.XLOOKUP($A826,My_Audit!$A:$A,My_Audit!J:J,""),
_xlfn.IFS(_xlpm.MyAuditVal&lt;&gt;"",UPPER(_xlpm.MyAuditVal),_xlpm.MacVal&lt;&gt;"",_xlpm.MacVal,_xlpm.CSVVal&lt;&gt;"",_xlpm.CSVVal
)),"")</f>
        <v/>
      </c>
      <c r="L826" s="45"/>
      <c r="M826" s="45"/>
      <c r="N826" s="45"/>
      <c r="O826" s="45"/>
      <c r="P826" s="45"/>
      <c r="Q826" s="46" t="str">
        <f>IF(LEFT(N826,4)="Pass","Nist SP 800-88",My_Audit!R826)&amp;""</f>
        <v/>
      </c>
      <c r="R826" s="45"/>
      <c r="S826" s="45"/>
      <c r="T826" s="46" t="str">
        <f>_xlfn.XLOOKUP(E826,Models!I:I,Models!J:J,"")</f>
        <v/>
      </c>
      <c r="U826" s="45"/>
      <c r="V826" s="45"/>
      <c r="W826" s="38" t="str">
        <f>_xlfn.LET(
    _xlpm.MacVal, _xlfn.XLOOKUP($A826, Output_Mac!$A:$A, Output_Mac!AA:AA, ""),
    _xlpm.MyAuditVal, _xlfn.XLOOKUP($A826, My_Audit!$A:$A, My_Audit!L:L, ""),
    _xlfn.TEXTJOIN(", ", TRUE, _xlpm.MyAuditVal, _xlpm.MacVal)
)</f>
        <v/>
      </c>
    </row>
    <row r="827" spans="1:23">
      <c r="A827" s="45" t="str">
        <f>_xlfn.TEXTJOIN("",TRUE,Input!$B$2,ROW(My_Audit!A826))</f>
        <v>CC826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_xlpm.CSVVal,_xlfn.XLOOKUP($A827,CSV!$A:$A,CSV!E:E,""),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6" t="str" cm="1">
        <f t="array" ref="K827">IFERROR(_xlfn.LET(
_xlpm.CSVVal,_xlfn.XLOOKUP($A827,CSV!$A:$A,CSV!N:N,""),
_xlpm.MacVal,_xlfn.XLOOKUP($A827,Output_Mac!$A:$A,Output_Mac!L:L,""),
_xlpm.MyAuditVal,_xlfn.XLOOKUP($A827,My_Audit!$A:$A,My_Audit!J:J,""),
_xlfn.IFS(_xlpm.MyAuditVal&lt;&gt;"",UPPER(_xlpm.MyAuditVal),_xlpm.MacVal&lt;&gt;"",_xlpm.MacVal,_xlpm.CSVVal&lt;&gt;"",_xlpm.CSVVal
)),"")</f>
        <v/>
      </c>
      <c r="L827" s="45"/>
      <c r="M827" s="45"/>
      <c r="N827" s="45"/>
      <c r="O827" s="45"/>
      <c r="P827" s="45"/>
      <c r="Q827" s="46" t="str">
        <f>IF(LEFT(N827,4)="Pass","Nist SP 800-88",My_Audit!R827)&amp;""</f>
        <v/>
      </c>
      <c r="R827" s="45"/>
      <c r="S827" s="45"/>
      <c r="T827" s="46" t="str">
        <f>_xlfn.XLOOKUP(E827,Models!I:I,Models!J:J,"")</f>
        <v/>
      </c>
      <c r="U827" s="45"/>
      <c r="V827" s="45"/>
      <c r="W827" s="38" t="str">
        <f>_xlfn.LET(
    _xlpm.MacVal, _xlfn.XLOOKUP($A827, Output_Mac!$A:$A, Output_Mac!AA:AA, ""),
    _xlpm.MyAuditVal, _xlfn.XLOOKUP($A827, My_Audit!$A:$A, My_Audit!L:L, ""),
    _xlfn.TEXTJOIN(", ", TRUE, _xlpm.MyAuditVal, _xlpm.MacVal)
)</f>
        <v/>
      </c>
    </row>
    <row r="828" spans="1:23">
      <c r="A828" s="45" t="str">
        <f>_xlfn.TEXTJOIN("",TRUE,Input!$B$2,ROW(My_Audit!A827))</f>
        <v>CC827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_xlpm.CSVVal,_xlfn.XLOOKUP($A828,CSV!$A:$A,CSV!E:E,""),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6" t="str" cm="1">
        <f t="array" ref="K828">IFERROR(_xlfn.LET(
_xlpm.CSVVal,_xlfn.XLOOKUP($A828,CSV!$A:$A,CSV!N:N,""),
_xlpm.MacVal,_xlfn.XLOOKUP($A828,Output_Mac!$A:$A,Output_Mac!L:L,""),
_xlpm.MyAuditVal,_xlfn.XLOOKUP($A828,My_Audit!$A:$A,My_Audit!J:J,""),
_xlfn.IFS(_xlpm.MyAuditVal&lt;&gt;"",UPPER(_xlpm.MyAuditVal),_xlpm.MacVal&lt;&gt;"",_xlpm.MacVal,_xlpm.CSVVal&lt;&gt;"",_xlpm.CSVVal
)),"")</f>
        <v/>
      </c>
      <c r="L828" s="45"/>
      <c r="M828" s="45"/>
      <c r="N828" s="45"/>
      <c r="O828" s="45"/>
      <c r="P828" s="45"/>
      <c r="Q828" s="46" t="str">
        <f>IF(LEFT(N828,4)="Pass","Nist SP 800-88",My_Audit!R828)&amp;""</f>
        <v/>
      </c>
      <c r="R828" s="45"/>
      <c r="S828" s="45"/>
      <c r="T828" s="46" t="str">
        <f>_xlfn.XLOOKUP(E828,Models!I:I,Models!J:J,"")</f>
        <v/>
      </c>
      <c r="U828" s="45"/>
      <c r="V828" s="45"/>
      <c r="W828" s="38" t="str">
        <f>_xlfn.LET(
    _xlpm.MacVal, _xlfn.XLOOKUP($A828, Output_Mac!$A:$A, Output_Mac!AA:AA, ""),
    _xlpm.MyAuditVal, _xlfn.XLOOKUP($A828, My_Audit!$A:$A, My_Audit!L:L, ""),
    _xlfn.TEXTJOIN(", ", TRUE, _xlpm.MyAuditVal, _xlpm.MacVal)
)</f>
        <v/>
      </c>
    </row>
    <row r="829" spans="1:23">
      <c r="A829" s="45" t="str">
        <f>_xlfn.TEXTJOIN("",TRUE,Input!$B$2,ROW(My_Audit!A828))</f>
        <v>CC828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_xlpm.CSVVal,_xlfn.XLOOKUP($A829,CSV!$A:$A,CSV!E:E,""),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6" t="str" cm="1">
        <f t="array" ref="K829">IFERROR(_xlfn.LET(
_xlpm.CSVVal,_xlfn.XLOOKUP($A829,CSV!$A:$A,CSV!N:N,""),
_xlpm.MacVal,_xlfn.XLOOKUP($A829,Output_Mac!$A:$A,Output_Mac!L:L,""),
_xlpm.MyAuditVal,_xlfn.XLOOKUP($A829,My_Audit!$A:$A,My_Audit!J:J,""),
_xlfn.IFS(_xlpm.MyAuditVal&lt;&gt;"",UPPER(_xlpm.MyAuditVal),_xlpm.MacVal&lt;&gt;"",_xlpm.MacVal,_xlpm.CSVVal&lt;&gt;"",_xlpm.CSVVal
)),"")</f>
        <v/>
      </c>
      <c r="L829" s="45"/>
      <c r="M829" s="45"/>
      <c r="N829" s="45"/>
      <c r="O829" s="45"/>
      <c r="P829" s="45"/>
      <c r="Q829" s="46" t="str">
        <f>IF(LEFT(N829,4)="Pass","Nist SP 800-88",My_Audit!R829)&amp;""</f>
        <v/>
      </c>
      <c r="R829" s="45"/>
      <c r="S829" s="45"/>
      <c r="T829" s="46" t="str">
        <f>_xlfn.XLOOKUP(E829,Models!I:I,Models!J:J,"")</f>
        <v/>
      </c>
      <c r="U829" s="45"/>
      <c r="V829" s="45"/>
      <c r="W829" s="38" t="str">
        <f>_xlfn.LET(
    _xlpm.MacVal, _xlfn.XLOOKUP($A829, Output_Mac!$A:$A, Output_Mac!AA:AA, ""),
    _xlpm.MyAuditVal, _xlfn.XLOOKUP($A829, My_Audit!$A:$A, My_Audit!L:L, ""),
    _xlfn.TEXTJOIN(", ", TRUE, _xlpm.MyAuditVal, _xlpm.MacVal)
)</f>
        <v/>
      </c>
    </row>
    <row r="830" spans="1:23">
      <c r="A830" s="45" t="str">
        <f>_xlfn.TEXTJOIN("",TRUE,Input!$B$2,ROW(My_Audit!A829))</f>
        <v>CC829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_xlpm.CSVVal,_xlfn.XLOOKUP($A830,CSV!$A:$A,CSV!E:E,""),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6" t="str" cm="1">
        <f t="array" ref="K830">IFERROR(_xlfn.LET(
_xlpm.CSVVal,_xlfn.XLOOKUP($A830,CSV!$A:$A,CSV!N:N,""),
_xlpm.MacVal,_xlfn.XLOOKUP($A830,Output_Mac!$A:$A,Output_Mac!L:L,""),
_xlpm.MyAuditVal,_xlfn.XLOOKUP($A830,My_Audit!$A:$A,My_Audit!J:J,""),
_xlfn.IFS(_xlpm.MyAuditVal&lt;&gt;"",UPPER(_xlpm.MyAuditVal),_xlpm.MacVal&lt;&gt;"",_xlpm.MacVal,_xlpm.CSVVal&lt;&gt;"",_xlpm.CSVVal
)),"")</f>
        <v/>
      </c>
      <c r="L830" s="45"/>
      <c r="M830" s="45"/>
      <c r="N830" s="45"/>
      <c r="O830" s="45"/>
      <c r="P830" s="45"/>
      <c r="Q830" s="46" t="str">
        <f>IF(LEFT(N830,4)="Pass","Nist SP 800-88",My_Audit!R830)&amp;""</f>
        <v/>
      </c>
      <c r="R830" s="45"/>
      <c r="S830" s="45"/>
      <c r="T830" s="46" t="str">
        <f>_xlfn.XLOOKUP(E830,Models!I:I,Models!J:J,"")</f>
        <v/>
      </c>
      <c r="U830" s="45"/>
      <c r="V830" s="45"/>
      <c r="W830" s="38" t="str">
        <f>_xlfn.LET(
    _xlpm.MacVal, _xlfn.XLOOKUP($A830, Output_Mac!$A:$A, Output_Mac!AA:AA, ""),
    _xlpm.MyAuditVal, _xlfn.XLOOKUP($A830, My_Audit!$A:$A, My_Audit!L:L, ""),
    _xlfn.TEXTJOIN(", ", TRUE, _xlpm.MyAuditVal, _xlpm.MacVal)
)</f>
        <v/>
      </c>
    </row>
    <row r="831" spans="1:23">
      <c r="A831" s="45" t="str">
        <f>_xlfn.TEXTJOIN("",TRUE,Input!$B$2,ROW(My_Audit!A830))</f>
        <v>CC830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_xlpm.CSVVal,_xlfn.XLOOKUP($A831,CSV!$A:$A,CSV!E:E,""),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6" t="str" cm="1">
        <f t="array" ref="K831">IFERROR(_xlfn.LET(
_xlpm.CSVVal,_xlfn.XLOOKUP($A831,CSV!$A:$A,CSV!N:N,""),
_xlpm.MacVal,_xlfn.XLOOKUP($A831,Output_Mac!$A:$A,Output_Mac!L:L,""),
_xlpm.MyAuditVal,_xlfn.XLOOKUP($A831,My_Audit!$A:$A,My_Audit!J:J,""),
_xlfn.IFS(_xlpm.MyAuditVal&lt;&gt;"",UPPER(_xlpm.MyAuditVal),_xlpm.MacVal&lt;&gt;"",_xlpm.MacVal,_xlpm.CSVVal&lt;&gt;"",_xlpm.CSVVal
)),"")</f>
        <v/>
      </c>
      <c r="L831" s="45"/>
      <c r="M831" s="45"/>
      <c r="N831" s="45"/>
      <c r="O831" s="45"/>
      <c r="P831" s="45"/>
      <c r="Q831" s="46" t="str">
        <f>IF(LEFT(N831,4)="Pass","Nist SP 800-88",My_Audit!R831)&amp;""</f>
        <v/>
      </c>
      <c r="R831" s="45"/>
      <c r="S831" s="45"/>
      <c r="T831" s="46" t="str">
        <f>_xlfn.XLOOKUP(E831,Models!I:I,Models!J:J,"")</f>
        <v/>
      </c>
      <c r="U831" s="45"/>
      <c r="V831" s="45"/>
      <c r="W831" s="38" t="str">
        <f>_xlfn.LET(
    _xlpm.MacVal, _xlfn.XLOOKUP($A831, Output_Mac!$A:$A, Output_Mac!AA:AA, ""),
    _xlpm.MyAuditVal, _xlfn.XLOOKUP($A831, My_Audit!$A:$A, My_Audit!L:L, ""),
    _xlfn.TEXTJOIN(", ", TRUE, _xlpm.MyAuditVal, _xlpm.MacVal)
)</f>
        <v/>
      </c>
    </row>
    <row r="832" spans="1:23">
      <c r="A832" s="45" t="str">
        <f>_xlfn.TEXTJOIN("",TRUE,Input!$B$2,ROW(My_Audit!A831))</f>
        <v>CC831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_xlpm.CSVVal,_xlfn.XLOOKUP($A832,CSV!$A:$A,CSV!E:E,""),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6" t="str" cm="1">
        <f t="array" ref="K832">IFERROR(_xlfn.LET(
_xlpm.CSVVal,_xlfn.XLOOKUP($A832,CSV!$A:$A,CSV!N:N,""),
_xlpm.MacVal,_xlfn.XLOOKUP($A832,Output_Mac!$A:$A,Output_Mac!L:L,""),
_xlpm.MyAuditVal,_xlfn.XLOOKUP($A832,My_Audit!$A:$A,My_Audit!J:J,""),
_xlfn.IFS(_xlpm.MyAuditVal&lt;&gt;"",UPPER(_xlpm.MyAuditVal),_xlpm.MacVal&lt;&gt;"",_xlpm.MacVal,_xlpm.CSVVal&lt;&gt;"",_xlpm.CSVVal
)),"")</f>
        <v/>
      </c>
      <c r="L832" s="45"/>
      <c r="M832" s="45"/>
      <c r="N832" s="45"/>
      <c r="O832" s="45"/>
      <c r="P832" s="45"/>
      <c r="Q832" s="46" t="str">
        <f>IF(LEFT(N832,4)="Pass","Nist SP 800-88",My_Audit!R832)&amp;""</f>
        <v/>
      </c>
      <c r="R832" s="45"/>
      <c r="S832" s="45"/>
      <c r="T832" s="46" t="str">
        <f>_xlfn.XLOOKUP(E832,Models!I:I,Models!J:J,"")</f>
        <v/>
      </c>
      <c r="U832" s="45"/>
      <c r="V832" s="45"/>
      <c r="W832" s="38" t="str">
        <f>_xlfn.LET(
    _xlpm.MacVal, _xlfn.XLOOKUP($A832, Output_Mac!$A:$A, Output_Mac!AA:AA, ""),
    _xlpm.MyAuditVal, _xlfn.XLOOKUP($A832, My_Audit!$A:$A, My_Audit!L:L, ""),
    _xlfn.TEXTJOIN(", ", TRUE, _xlpm.MyAuditVal, _xlpm.MacVal)
)</f>
        <v/>
      </c>
    </row>
    <row r="833" spans="1:23">
      <c r="A833" s="45" t="str">
        <f>_xlfn.TEXTJOIN("",TRUE,Input!$B$2,ROW(My_Audit!A832))</f>
        <v>CC832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_xlpm.CSVVal,_xlfn.XLOOKUP($A833,CSV!$A:$A,CSV!E:E,""),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6" t="str" cm="1">
        <f t="array" ref="K833">IFERROR(_xlfn.LET(
_xlpm.CSVVal,_xlfn.XLOOKUP($A833,CSV!$A:$A,CSV!N:N,""),
_xlpm.MacVal,_xlfn.XLOOKUP($A833,Output_Mac!$A:$A,Output_Mac!L:L,""),
_xlpm.MyAuditVal,_xlfn.XLOOKUP($A833,My_Audit!$A:$A,My_Audit!J:J,""),
_xlfn.IFS(_xlpm.MyAuditVal&lt;&gt;"",UPPER(_xlpm.MyAuditVal),_xlpm.MacVal&lt;&gt;"",_xlpm.MacVal,_xlpm.CSVVal&lt;&gt;"",_xlpm.CSVVal
)),"")</f>
        <v/>
      </c>
      <c r="L833" s="45"/>
      <c r="M833" s="45"/>
      <c r="N833" s="45"/>
      <c r="O833" s="45"/>
      <c r="P833" s="45"/>
      <c r="Q833" s="46" t="str">
        <f>IF(LEFT(N833,4)="Pass","Nist SP 800-88",My_Audit!R833)&amp;""</f>
        <v/>
      </c>
      <c r="R833" s="45"/>
      <c r="S833" s="45"/>
      <c r="T833" s="46" t="str">
        <f>_xlfn.XLOOKUP(E833,Models!I:I,Models!J:J,"")</f>
        <v/>
      </c>
      <c r="U833" s="45"/>
      <c r="V833" s="45"/>
      <c r="W833" s="38" t="str">
        <f>_xlfn.LET(
    _xlpm.MacVal, _xlfn.XLOOKUP($A833, Output_Mac!$A:$A, Output_Mac!AA:AA, ""),
    _xlpm.MyAuditVal, _xlfn.XLOOKUP($A833, My_Audit!$A:$A, My_Audit!L:L, ""),
    _xlfn.TEXTJOIN(", ", TRUE, _xlpm.MyAuditVal, _xlpm.MacVal)
)</f>
        <v/>
      </c>
    </row>
    <row r="834" spans="1:23">
      <c r="A834" s="45" t="str">
        <f>_xlfn.TEXTJOIN("",TRUE,Input!$B$2,ROW(My_Audit!A833))</f>
        <v>CC833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_xlpm.CSVVal,_xlfn.XLOOKUP($A834,CSV!$A:$A,CSV!E:E,""),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6" t="str" cm="1">
        <f t="array" ref="K834">IFERROR(_xlfn.LET(
_xlpm.CSVVal,_xlfn.XLOOKUP($A834,CSV!$A:$A,CSV!N:N,""),
_xlpm.MacVal,_xlfn.XLOOKUP($A834,Output_Mac!$A:$A,Output_Mac!L:L,""),
_xlpm.MyAuditVal,_xlfn.XLOOKUP($A834,My_Audit!$A:$A,My_Audit!J:J,""),
_xlfn.IFS(_xlpm.MyAuditVal&lt;&gt;"",UPPER(_xlpm.MyAuditVal),_xlpm.MacVal&lt;&gt;"",_xlpm.MacVal,_xlpm.CSVVal&lt;&gt;"",_xlpm.CSVVal
)),"")</f>
        <v/>
      </c>
      <c r="L834" s="45"/>
      <c r="M834" s="45"/>
      <c r="N834" s="45"/>
      <c r="O834" s="45"/>
      <c r="P834" s="45"/>
      <c r="Q834" s="46" t="str">
        <f>IF(LEFT(N834,4)="Pass","Nist SP 800-88",My_Audit!R834)&amp;""</f>
        <v/>
      </c>
      <c r="R834" s="45"/>
      <c r="S834" s="45"/>
      <c r="T834" s="46" t="str">
        <f>_xlfn.XLOOKUP(E834,Models!I:I,Models!J:J,"")</f>
        <v/>
      </c>
      <c r="U834" s="45"/>
      <c r="V834" s="45"/>
      <c r="W834" s="38" t="str">
        <f>_xlfn.LET(
    _xlpm.MacVal, _xlfn.XLOOKUP($A834, Output_Mac!$A:$A, Output_Mac!AA:AA, ""),
    _xlpm.MyAuditVal, _xlfn.XLOOKUP($A834, My_Audit!$A:$A, My_Audit!L:L, ""),
    _xlfn.TEXTJOIN(", ", TRUE, _xlpm.MyAuditVal, _xlpm.MacVal)
)</f>
        <v/>
      </c>
    </row>
    <row r="835" spans="1:23">
      <c r="A835" s="45" t="str">
        <f>_xlfn.TEXTJOIN("",TRUE,Input!$B$2,ROW(My_Audit!A834))</f>
        <v>CC834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_xlpm.CSVVal,_xlfn.XLOOKUP($A835,CSV!$A:$A,CSV!E:E,""),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6" t="str" cm="1">
        <f t="array" ref="K835">IFERROR(_xlfn.LET(
_xlpm.CSVVal,_xlfn.XLOOKUP($A835,CSV!$A:$A,CSV!N:N,""),
_xlpm.MacVal,_xlfn.XLOOKUP($A835,Output_Mac!$A:$A,Output_Mac!L:L,""),
_xlpm.MyAuditVal,_xlfn.XLOOKUP($A835,My_Audit!$A:$A,My_Audit!J:J,""),
_xlfn.IFS(_xlpm.MyAuditVal&lt;&gt;"",UPPER(_xlpm.MyAuditVal),_xlpm.MacVal&lt;&gt;"",_xlpm.MacVal,_xlpm.CSVVal&lt;&gt;"",_xlpm.CSVVal
)),"")</f>
        <v/>
      </c>
      <c r="L835" s="45"/>
      <c r="M835" s="45"/>
      <c r="N835" s="45"/>
      <c r="O835" s="45"/>
      <c r="P835" s="45"/>
      <c r="Q835" s="46" t="str">
        <f>IF(LEFT(N835,4)="Pass","Nist SP 800-88",My_Audit!R835)&amp;""</f>
        <v/>
      </c>
      <c r="R835" s="45"/>
      <c r="S835" s="45"/>
      <c r="T835" s="46" t="str">
        <f>_xlfn.XLOOKUP(E835,Models!I:I,Models!J:J,"")</f>
        <v/>
      </c>
      <c r="U835" s="45"/>
      <c r="V835" s="45"/>
      <c r="W835" s="38" t="str">
        <f>_xlfn.LET(
    _xlpm.MacVal, _xlfn.XLOOKUP($A835, Output_Mac!$A:$A, Output_Mac!AA:AA, ""),
    _xlpm.MyAuditVal, _xlfn.XLOOKUP($A835, My_Audit!$A:$A, My_Audit!L:L, ""),
    _xlfn.TEXTJOIN(", ", TRUE, _xlpm.MyAuditVal, _xlpm.MacVal)
)</f>
        <v/>
      </c>
    </row>
    <row r="836" spans="1:23">
      <c r="A836" s="45" t="str">
        <f>_xlfn.TEXTJOIN("",TRUE,Input!$B$2,ROW(My_Audit!A835))</f>
        <v>CC835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_xlpm.CSVVal,_xlfn.XLOOKUP($A836,CSV!$A:$A,CSV!E:E,""),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6" t="str" cm="1">
        <f t="array" ref="K836">IFERROR(_xlfn.LET(
_xlpm.CSVVal,_xlfn.XLOOKUP($A836,CSV!$A:$A,CSV!N:N,""),
_xlpm.MacVal,_xlfn.XLOOKUP($A836,Output_Mac!$A:$A,Output_Mac!L:L,""),
_xlpm.MyAuditVal,_xlfn.XLOOKUP($A836,My_Audit!$A:$A,My_Audit!J:J,""),
_xlfn.IFS(_xlpm.MyAuditVal&lt;&gt;"",UPPER(_xlpm.MyAuditVal),_xlpm.MacVal&lt;&gt;"",_xlpm.MacVal,_xlpm.CSVVal&lt;&gt;"",_xlpm.CSVVal
)),"")</f>
        <v/>
      </c>
      <c r="L836" s="45"/>
      <c r="M836" s="45"/>
      <c r="N836" s="45"/>
      <c r="O836" s="45"/>
      <c r="P836" s="45"/>
      <c r="Q836" s="46" t="str">
        <f>IF(LEFT(N836,4)="Pass","Nist SP 800-88",My_Audit!R836)&amp;""</f>
        <v/>
      </c>
      <c r="R836" s="45"/>
      <c r="S836" s="45"/>
      <c r="T836" s="46" t="str">
        <f>_xlfn.XLOOKUP(E836,Models!I:I,Models!J:J,"")</f>
        <v/>
      </c>
      <c r="U836" s="45"/>
      <c r="V836" s="45"/>
      <c r="W836" s="38" t="str">
        <f>_xlfn.LET(
    _xlpm.MacVal, _xlfn.XLOOKUP($A836, Output_Mac!$A:$A, Output_Mac!AA:AA, ""),
    _xlpm.MyAuditVal, _xlfn.XLOOKUP($A836, My_Audit!$A:$A, My_Audit!L:L, ""),
    _xlfn.TEXTJOIN(", ", TRUE, _xlpm.MyAuditVal, _xlpm.MacVal)
)</f>
        <v/>
      </c>
    </row>
    <row r="837" spans="1:23">
      <c r="A837" s="45" t="str">
        <f>_xlfn.TEXTJOIN("",TRUE,Input!$B$2,ROW(My_Audit!A836))</f>
        <v>CC836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_xlpm.CSVVal,_xlfn.XLOOKUP($A837,CSV!$A:$A,CSV!E:E,""),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6" t="str" cm="1">
        <f t="array" ref="K837">IFERROR(_xlfn.LET(
_xlpm.CSVVal,_xlfn.XLOOKUP($A837,CSV!$A:$A,CSV!N:N,""),
_xlpm.MacVal,_xlfn.XLOOKUP($A837,Output_Mac!$A:$A,Output_Mac!L:L,""),
_xlpm.MyAuditVal,_xlfn.XLOOKUP($A837,My_Audit!$A:$A,My_Audit!J:J,""),
_xlfn.IFS(_xlpm.MyAuditVal&lt;&gt;"",UPPER(_xlpm.MyAuditVal),_xlpm.MacVal&lt;&gt;"",_xlpm.MacVal,_xlpm.CSVVal&lt;&gt;"",_xlpm.CSVVal
)),"")</f>
        <v/>
      </c>
      <c r="L837" s="45"/>
      <c r="M837" s="45"/>
      <c r="N837" s="45"/>
      <c r="O837" s="45"/>
      <c r="P837" s="45"/>
      <c r="Q837" s="46" t="str">
        <f>IF(LEFT(N837,4)="Pass","Nist SP 800-88",My_Audit!R837)&amp;""</f>
        <v/>
      </c>
      <c r="R837" s="45"/>
      <c r="S837" s="45"/>
      <c r="T837" s="46" t="str">
        <f>_xlfn.XLOOKUP(E837,Models!I:I,Models!J:J,"")</f>
        <v/>
      </c>
      <c r="U837" s="45"/>
      <c r="V837" s="45"/>
      <c r="W837" s="38" t="str">
        <f>_xlfn.LET(
    _xlpm.MacVal, _xlfn.XLOOKUP($A837, Output_Mac!$A:$A, Output_Mac!AA:AA, ""),
    _xlpm.MyAuditVal, _xlfn.XLOOKUP($A837, My_Audit!$A:$A, My_Audit!L:L, ""),
    _xlfn.TEXTJOIN(", ", TRUE, _xlpm.MyAuditVal, _xlpm.MacVal)
)</f>
        <v/>
      </c>
    </row>
    <row r="838" spans="1:23">
      <c r="A838" s="45" t="str">
        <f>_xlfn.TEXTJOIN("",TRUE,Input!$B$2,ROW(My_Audit!A837))</f>
        <v>CC837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_xlpm.CSVVal,_xlfn.XLOOKUP($A838,CSV!$A:$A,CSV!E:E,""),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6" t="str" cm="1">
        <f t="array" ref="K838">IFERROR(_xlfn.LET(
_xlpm.CSVVal,_xlfn.XLOOKUP($A838,CSV!$A:$A,CSV!N:N,""),
_xlpm.MacVal,_xlfn.XLOOKUP($A838,Output_Mac!$A:$A,Output_Mac!L:L,""),
_xlpm.MyAuditVal,_xlfn.XLOOKUP($A838,My_Audit!$A:$A,My_Audit!J:J,""),
_xlfn.IFS(_xlpm.MyAuditVal&lt;&gt;"",UPPER(_xlpm.MyAuditVal),_xlpm.MacVal&lt;&gt;"",_xlpm.MacVal,_xlpm.CSVVal&lt;&gt;"",_xlpm.CSVVal
)),"")</f>
        <v/>
      </c>
      <c r="L838" s="45"/>
      <c r="M838" s="45"/>
      <c r="N838" s="45"/>
      <c r="O838" s="45"/>
      <c r="P838" s="45"/>
      <c r="Q838" s="46" t="str">
        <f>IF(LEFT(N838,4)="Pass","Nist SP 800-88",My_Audit!R838)&amp;""</f>
        <v/>
      </c>
      <c r="R838" s="45"/>
      <c r="S838" s="45"/>
      <c r="T838" s="46" t="str">
        <f>_xlfn.XLOOKUP(E838,Models!I:I,Models!J:J,"")</f>
        <v/>
      </c>
      <c r="U838" s="45"/>
      <c r="V838" s="45"/>
      <c r="W838" s="38" t="str">
        <f>_xlfn.LET(
    _xlpm.MacVal, _xlfn.XLOOKUP($A838, Output_Mac!$A:$A, Output_Mac!AA:AA, ""),
    _xlpm.MyAuditVal, _xlfn.XLOOKUP($A838, My_Audit!$A:$A, My_Audit!L:L, ""),
    _xlfn.TEXTJOIN(", ", TRUE, _xlpm.MyAuditVal, _xlpm.MacVal)
)</f>
        <v/>
      </c>
    </row>
    <row r="839" spans="1:23">
      <c r="A839" s="45" t="str">
        <f>_xlfn.TEXTJOIN("",TRUE,Input!$B$2,ROW(My_Audit!A838))</f>
        <v>CC838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_xlpm.CSVVal,_xlfn.XLOOKUP($A839,CSV!$A:$A,CSV!E:E,""),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6" t="str" cm="1">
        <f t="array" ref="K839">IFERROR(_xlfn.LET(
_xlpm.CSVVal,_xlfn.XLOOKUP($A839,CSV!$A:$A,CSV!N:N,""),
_xlpm.MacVal,_xlfn.XLOOKUP($A839,Output_Mac!$A:$A,Output_Mac!L:L,""),
_xlpm.MyAuditVal,_xlfn.XLOOKUP($A839,My_Audit!$A:$A,My_Audit!J:J,""),
_xlfn.IFS(_xlpm.MyAuditVal&lt;&gt;"",UPPER(_xlpm.MyAuditVal),_xlpm.MacVal&lt;&gt;"",_xlpm.MacVal,_xlpm.CSVVal&lt;&gt;"",_xlpm.CSVVal
)),"")</f>
        <v/>
      </c>
      <c r="L839" s="45"/>
      <c r="M839" s="45"/>
      <c r="N839" s="45"/>
      <c r="O839" s="45"/>
      <c r="P839" s="45"/>
      <c r="Q839" s="46" t="str">
        <f>IF(LEFT(N839,4)="Pass","Nist SP 800-88",My_Audit!R839)&amp;""</f>
        <v/>
      </c>
      <c r="R839" s="45"/>
      <c r="S839" s="45"/>
      <c r="T839" s="46" t="str">
        <f>_xlfn.XLOOKUP(E839,Models!I:I,Models!J:J,"")</f>
        <v/>
      </c>
      <c r="U839" s="45"/>
      <c r="V839" s="45"/>
      <c r="W839" s="38" t="str">
        <f>_xlfn.LET(
    _xlpm.MacVal, _xlfn.XLOOKUP($A839, Output_Mac!$A:$A, Output_Mac!AA:AA, ""),
    _xlpm.MyAuditVal, _xlfn.XLOOKUP($A839, My_Audit!$A:$A, My_Audit!L:L, ""),
    _xlfn.TEXTJOIN(", ", TRUE, _xlpm.MyAuditVal, _xlpm.MacVal)
)</f>
        <v/>
      </c>
    </row>
    <row r="840" spans="1:23">
      <c r="A840" s="45" t="str">
        <f>_xlfn.TEXTJOIN("",TRUE,Input!$B$2,ROW(My_Audit!A839))</f>
        <v>CC839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_xlpm.CSVVal,_xlfn.XLOOKUP($A840,CSV!$A:$A,CSV!E:E,""),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6" t="str" cm="1">
        <f t="array" ref="K840">IFERROR(_xlfn.LET(
_xlpm.CSVVal,_xlfn.XLOOKUP($A840,CSV!$A:$A,CSV!N:N,""),
_xlpm.MacVal,_xlfn.XLOOKUP($A840,Output_Mac!$A:$A,Output_Mac!L:L,""),
_xlpm.MyAuditVal,_xlfn.XLOOKUP($A840,My_Audit!$A:$A,My_Audit!J:J,""),
_xlfn.IFS(_xlpm.MyAuditVal&lt;&gt;"",UPPER(_xlpm.MyAuditVal),_xlpm.MacVal&lt;&gt;"",_xlpm.MacVal,_xlpm.CSVVal&lt;&gt;"",_xlpm.CSVVal
)),"")</f>
        <v/>
      </c>
      <c r="L840" s="45"/>
      <c r="M840" s="45"/>
      <c r="N840" s="45"/>
      <c r="O840" s="45"/>
      <c r="P840" s="45"/>
      <c r="Q840" s="46" t="str">
        <f>IF(LEFT(N840,4)="Pass","Nist SP 800-88",My_Audit!R840)&amp;""</f>
        <v/>
      </c>
      <c r="R840" s="45"/>
      <c r="S840" s="45"/>
      <c r="T840" s="46" t="str">
        <f>_xlfn.XLOOKUP(E840,Models!I:I,Models!J:J,"")</f>
        <v/>
      </c>
      <c r="U840" s="45"/>
      <c r="V840" s="45"/>
      <c r="W840" s="38" t="str">
        <f>_xlfn.LET(
    _xlpm.MacVal, _xlfn.XLOOKUP($A840, Output_Mac!$A:$A, Output_Mac!AA:AA, ""),
    _xlpm.MyAuditVal, _xlfn.XLOOKUP($A840, My_Audit!$A:$A, My_Audit!L:L, ""),
    _xlfn.TEXTJOIN(", ", TRUE, _xlpm.MyAuditVal, _xlpm.MacVal)
)</f>
        <v/>
      </c>
    </row>
    <row r="841" spans="1:23">
      <c r="A841" s="45" t="str">
        <f>_xlfn.TEXTJOIN("",TRUE,Input!$B$2,ROW(My_Audit!A840))</f>
        <v>CC840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_xlpm.CSVVal,_xlfn.XLOOKUP($A841,CSV!$A:$A,CSV!E:E,""),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6" t="str" cm="1">
        <f t="array" ref="K841">IFERROR(_xlfn.LET(
_xlpm.CSVVal,_xlfn.XLOOKUP($A841,CSV!$A:$A,CSV!N:N,""),
_xlpm.MacVal,_xlfn.XLOOKUP($A841,Output_Mac!$A:$A,Output_Mac!L:L,""),
_xlpm.MyAuditVal,_xlfn.XLOOKUP($A841,My_Audit!$A:$A,My_Audit!J:J,""),
_xlfn.IFS(_xlpm.MyAuditVal&lt;&gt;"",UPPER(_xlpm.MyAuditVal),_xlpm.MacVal&lt;&gt;"",_xlpm.MacVal,_xlpm.CSVVal&lt;&gt;"",_xlpm.CSVVal
)),"")</f>
        <v/>
      </c>
      <c r="L841" s="45"/>
      <c r="M841" s="45"/>
      <c r="N841" s="45"/>
      <c r="O841" s="45"/>
      <c r="P841" s="45"/>
      <c r="Q841" s="46" t="str">
        <f>IF(LEFT(N841,4)="Pass","Nist SP 800-88",My_Audit!R841)&amp;""</f>
        <v/>
      </c>
      <c r="R841" s="45"/>
      <c r="S841" s="45"/>
      <c r="T841" s="46" t="str">
        <f>_xlfn.XLOOKUP(E841,Models!I:I,Models!J:J,"")</f>
        <v/>
      </c>
      <c r="U841" s="45"/>
      <c r="V841" s="45"/>
      <c r="W841" s="38" t="str">
        <f>_xlfn.LET(
    _xlpm.MacVal, _xlfn.XLOOKUP($A841, Output_Mac!$A:$A, Output_Mac!AA:AA, ""),
    _xlpm.MyAuditVal, _xlfn.XLOOKUP($A841, My_Audit!$A:$A, My_Audit!L:L, ""),
    _xlfn.TEXTJOIN(", ", TRUE, _xlpm.MyAuditVal, _xlpm.MacVal)
)</f>
        <v/>
      </c>
    </row>
    <row r="842" spans="1:23">
      <c r="A842" s="45" t="str">
        <f>_xlfn.TEXTJOIN("",TRUE,Input!$B$2,ROW(My_Audit!A841))</f>
        <v>CC841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_xlpm.CSVVal,_xlfn.XLOOKUP($A842,CSV!$A:$A,CSV!E:E,""),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6" t="str" cm="1">
        <f t="array" ref="K842">IFERROR(_xlfn.LET(
_xlpm.CSVVal,_xlfn.XLOOKUP($A842,CSV!$A:$A,CSV!N:N,""),
_xlpm.MacVal,_xlfn.XLOOKUP($A842,Output_Mac!$A:$A,Output_Mac!L:L,""),
_xlpm.MyAuditVal,_xlfn.XLOOKUP($A842,My_Audit!$A:$A,My_Audit!J:J,""),
_xlfn.IFS(_xlpm.MyAuditVal&lt;&gt;"",UPPER(_xlpm.MyAuditVal),_xlpm.MacVal&lt;&gt;"",_xlpm.MacVal,_xlpm.CSVVal&lt;&gt;"",_xlpm.CSVVal
)),"")</f>
        <v/>
      </c>
      <c r="L842" s="45"/>
      <c r="M842" s="45"/>
      <c r="N842" s="45"/>
      <c r="O842" s="45"/>
      <c r="P842" s="45"/>
      <c r="Q842" s="46" t="str">
        <f>IF(LEFT(N842,4)="Pass","Nist SP 800-88",My_Audit!R842)&amp;""</f>
        <v/>
      </c>
      <c r="R842" s="45"/>
      <c r="S842" s="45"/>
      <c r="T842" s="46" t="str">
        <f>_xlfn.XLOOKUP(E842,Models!I:I,Models!J:J,"")</f>
        <v/>
      </c>
      <c r="U842" s="45"/>
      <c r="V842" s="45"/>
      <c r="W842" s="38" t="str">
        <f>_xlfn.LET(
    _xlpm.MacVal, _xlfn.XLOOKUP($A842, Output_Mac!$A:$A, Output_Mac!AA:AA, ""),
    _xlpm.MyAuditVal, _xlfn.XLOOKUP($A842, My_Audit!$A:$A, My_Audit!L:L, ""),
    _xlfn.TEXTJOIN(", ", TRUE, _xlpm.MyAuditVal, _xlpm.MacVal)
)</f>
        <v/>
      </c>
    </row>
    <row r="843" spans="1:23">
      <c r="A843" s="45" t="str">
        <f>_xlfn.TEXTJOIN("",TRUE,Input!$B$2,ROW(My_Audit!A842))</f>
        <v>CC842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_xlpm.CSVVal,_xlfn.XLOOKUP($A843,CSV!$A:$A,CSV!E:E,""),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6" t="str" cm="1">
        <f t="array" ref="K843">IFERROR(_xlfn.LET(
_xlpm.CSVVal,_xlfn.XLOOKUP($A843,CSV!$A:$A,CSV!N:N,""),
_xlpm.MacVal,_xlfn.XLOOKUP($A843,Output_Mac!$A:$A,Output_Mac!L:L,""),
_xlpm.MyAuditVal,_xlfn.XLOOKUP($A843,My_Audit!$A:$A,My_Audit!J:J,""),
_xlfn.IFS(_xlpm.MyAuditVal&lt;&gt;"",UPPER(_xlpm.MyAuditVal),_xlpm.MacVal&lt;&gt;"",_xlpm.MacVal,_xlpm.CSVVal&lt;&gt;"",_xlpm.CSVVal
)),"")</f>
        <v/>
      </c>
      <c r="L843" s="45"/>
      <c r="M843" s="45"/>
      <c r="N843" s="45"/>
      <c r="O843" s="45"/>
      <c r="P843" s="45"/>
      <c r="Q843" s="46" t="str">
        <f>IF(LEFT(N843,4)="Pass","Nist SP 800-88",My_Audit!R843)&amp;""</f>
        <v/>
      </c>
      <c r="R843" s="45"/>
      <c r="S843" s="45"/>
      <c r="T843" s="46" t="str">
        <f>_xlfn.XLOOKUP(E843,Models!I:I,Models!J:J,"")</f>
        <v/>
      </c>
      <c r="U843" s="45"/>
      <c r="V843" s="45"/>
      <c r="W843" s="38" t="str">
        <f>_xlfn.LET(
    _xlpm.MacVal, _xlfn.XLOOKUP($A843, Output_Mac!$A:$A, Output_Mac!AA:AA, ""),
    _xlpm.MyAuditVal, _xlfn.XLOOKUP($A843, My_Audit!$A:$A, My_Audit!L:L, ""),
    _xlfn.TEXTJOIN(", ", TRUE, _xlpm.MyAuditVal, _xlpm.MacVal)
)</f>
        <v/>
      </c>
    </row>
    <row r="844" spans="1:23">
      <c r="A844" s="45" t="str">
        <f>_xlfn.TEXTJOIN("",TRUE,Input!$B$2,ROW(My_Audit!A843))</f>
        <v>CC843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_xlpm.CSVVal,_xlfn.XLOOKUP($A844,CSV!$A:$A,CSV!E:E,""),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6" t="str" cm="1">
        <f t="array" ref="K844">IFERROR(_xlfn.LET(
_xlpm.CSVVal,_xlfn.XLOOKUP($A844,CSV!$A:$A,CSV!N:N,""),
_xlpm.MacVal,_xlfn.XLOOKUP($A844,Output_Mac!$A:$A,Output_Mac!L:L,""),
_xlpm.MyAuditVal,_xlfn.XLOOKUP($A844,My_Audit!$A:$A,My_Audit!J:J,""),
_xlfn.IFS(_xlpm.MyAuditVal&lt;&gt;"",UPPER(_xlpm.MyAuditVal),_xlpm.MacVal&lt;&gt;"",_xlpm.MacVal,_xlpm.CSVVal&lt;&gt;"",_xlpm.CSVVal
)),"")</f>
        <v/>
      </c>
      <c r="L844" s="45"/>
      <c r="M844" s="45"/>
      <c r="N844" s="45"/>
      <c r="O844" s="45"/>
      <c r="P844" s="45"/>
      <c r="Q844" s="46" t="str">
        <f>IF(LEFT(N844,4)="Pass","Nist SP 800-88",My_Audit!R844)&amp;""</f>
        <v/>
      </c>
      <c r="R844" s="45"/>
      <c r="S844" s="45"/>
      <c r="T844" s="46" t="str">
        <f>_xlfn.XLOOKUP(E844,Models!I:I,Models!J:J,"")</f>
        <v/>
      </c>
      <c r="U844" s="45"/>
      <c r="V844" s="45"/>
      <c r="W844" s="38" t="str">
        <f>_xlfn.LET(
    _xlpm.MacVal, _xlfn.XLOOKUP($A844, Output_Mac!$A:$A, Output_Mac!AA:AA, ""),
    _xlpm.MyAuditVal, _xlfn.XLOOKUP($A844, My_Audit!$A:$A, My_Audit!L:L, ""),
    _xlfn.TEXTJOIN(", ", TRUE, _xlpm.MyAuditVal, _xlpm.MacVal)
)</f>
        <v/>
      </c>
    </row>
    <row r="845" spans="1:23">
      <c r="A845" s="45" t="str">
        <f>_xlfn.TEXTJOIN("",TRUE,Input!$B$2,ROW(My_Audit!A844))</f>
        <v>CC844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_xlpm.CSVVal,_xlfn.XLOOKUP($A845,CSV!$A:$A,CSV!E:E,""),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6" t="str" cm="1">
        <f t="array" ref="K845">IFERROR(_xlfn.LET(
_xlpm.CSVVal,_xlfn.XLOOKUP($A845,CSV!$A:$A,CSV!N:N,""),
_xlpm.MacVal,_xlfn.XLOOKUP($A845,Output_Mac!$A:$A,Output_Mac!L:L,""),
_xlpm.MyAuditVal,_xlfn.XLOOKUP($A845,My_Audit!$A:$A,My_Audit!J:J,""),
_xlfn.IFS(_xlpm.MyAuditVal&lt;&gt;"",UPPER(_xlpm.MyAuditVal),_xlpm.MacVal&lt;&gt;"",_xlpm.MacVal,_xlpm.CSVVal&lt;&gt;"",_xlpm.CSVVal
)),"")</f>
        <v/>
      </c>
      <c r="L845" s="45"/>
      <c r="M845" s="45"/>
      <c r="N845" s="45"/>
      <c r="O845" s="45"/>
      <c r="P845" s="45"/>
      <c r="Q845" s="46" t="str">
        <f>IF(LEFT(N845,4)="Pass","Nist SP 800-88",My_Audit!R845)&amp;""</f>
        <v/>
      </c>
      <c r="R845" s="45"/>
      <c r="S845" s="45"/>
      <c r="T845" s="46" t="str">
        <f>_xlfn.XLOOKUP(E845,Models!I:I,Models!J:J,"")</f>
        <v/>
      </c>
      <c r="U845" s="45"/>
      <c r="V845" s="45"/>
      <c r="W845" s="38" t="str">
        <f>_xlfn.LET(
    _xlpm.MacVal, _xlfn.XLOOKUP($A845, Output_Mac!$A:$A, Output_Mac!AA:AA, ""),
    _xlpm.MyAuditVal, _xlfn.XLOOKUP($A845, My_Audit!$A:$A, My_Audit!L:L, ""),
    _xlfn.TEXTJOIN(", ", TRUE, _xlpm.MyAuditVal, _xlpm.MacVal)
)</f>
        <v/>
      </c>
    </row>
    <row r="846" spans="1:23">
      <c r="A846" s="45" t="str">
        <f>_xlfn.TEXTJOIN("",TRUE,Input!$B$2,ROW(My_Audit!A845))</f>
        <v>CC845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_xlpm.CSVVal,_xlfn.XLOOKUP($A846,CSV!$A:$A,CSV!E:E,""),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6" t="str" cm="1">
        <f t="array" ref="K846">IFERROR(_xlfn.LET(
_xlpm.CSVVal,_xlfn.XLOOKUP($A846,CSV!$A:$A,CSV!N:N,""),
_xlpm.MacVal,_xlfn.XLOOKUP($A846,Output_Mac!$A:$A,Output_Mac!L:L,""),
_xlpm.MyAuditVal,_xlfn.XLOOKUP($A846,My_Audit!$A:$A,My_Audit!J:J,""),
_xlfn.IFS(_xlpm.MyAuditVal&lt;&gt;"",UPPER(_xlpm.MyAuditVal),_xlpm.MacVal&lt;&gt;"",_xlpm.MacVal,_xlpm.CSVVal&lt;&gt;"",_xlpm.CSVVal
)),"")</f>
        <v/>
      </c>
      <c r="L846" s="45"/>
      <c r="M846" s="45"/>
      <c r="N846" s="45"/>
      <c r="O846" s="45"/>
      <c r="P846" s="45"/>
      <c r="Q846" s="46" t="str">
        <f>IF(LEFT(N846,4)="Pass","Nist SP 800-88",My_Audit!R846)&amp;""</f>
        <v/>
      </c>
      <c r="R846" s="45"/>
      <c r="S846" s="45"/>
      <c r="T846" s="46" t="str">
        <f>_xlfn.XLOOKUP(E846,Models!I:I,Models!J:J,"")</f>
        <v/>
      </c>
      <c r="U846" s="45"/>
      <c r="V846" s="45"/>
      <c r="W846" s="38" t="str">
        <f>_xlfn.LET(
    _xlpm.MacVal, _xlfn.XLOOKUP($A846, Output_Mac!$A:$A, Output_Mac!AA:AA, ""),
    _xlpm.MyAuditVal, _xlfn.XLOOKUP($A846, My_Audit!$A:$A, My_Audit!L:L, ""),
    _xlfn.TEXTJOIN(", ", TRUE, _xlpm.MyAuditVal, _xlpm.MacVal)
)</f>
        <v/>
      </c>
    </row>
    <row r="847" spans="1:23">
      <c r="A847" s="45" t="str">
        <f>_xlfn.TEXTJOIN("",TRUE,Input!$B$2,ROW(My_Audit!A846))</f>
        <v>CC846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_xlpm.CSVVal,_xlfn.XLOOKUP($A847,CSV!$A:$A,CSV!E:E,""),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6" t="str" cm="1">
        <f t="array" ref="K847">IFERROR(_xlfn.LET(
_xlpm.CSVVal,_xlfn.XLOOKUP($A847,CSV!$A:$A,CSV!N:N,""),
_xlpm.MacVal,_xlfn.XLOOKUP($A847,Output_Mac!$A:$A,Output_Mac!L:L,""),
_xlpm.MyAuditVal,_xlfn.XLOOKUP($A847,My_Audit!$A:$A,My_Audit!J:J,""),
_xlfn.IFS(_xlpm.MyAuditVal&lt;&gt;"",UPPER(_xlpm.MyAuditVal),_xlpm.MacVal&lt;&gt;"",_xlpm.MacVal,_xlpm.CSVVal&lt;&gt;"",_xlpm.CSVVal
)),"")</f>
        <v/>
      </c>
      <c r="L847" s="45"/>
      <c r="M847" s="45"/>
      <c r="N847" s="45"/>
      <c r="O847" s="45"/>
      <c r="P847" s="45"/>
      <c r="Q847" s="46" t="str">
        <f>IF(LEFT(N847,4)="Pass","Nist SP 800-88",My_Audit!R847)&amp;""</f>
        <v/>
      </c>
      <c r="R847" s="45"/>
      <c r="S847" s="45"/>
      <c r="T847" s="46" t="str">
        <f>_xlfn.XLOOKUP(E847,Models!I:I,Models!J:J,"")</f>
        <v/>
      </c>
      <c r="U847" s="45"/>
      <c r="V847" s="45"/>
      <c r="W847" s="38" t="str">
        <f>_xlfn.LET(
    _xlpm.MacVal, _xlfn.XLOOKUP($A847, Output_Mac!$A:$A, Output_Mac!AA:AA, ""),
    _xlpm.MyAuditVal, _xlfn.XLOOKUP($A847, My_Audit!$A:$A, My_Audit!L:L, ""),
    _xlfn.TEXTJOIN(", ", TRUE, _xlpm.MyAuditVal, _xlpm.MacVal)
)</f>
        <v/>
      </c>
    </row>
    <row r="848" spans="1:23">
      <c r="A848" s="45" t="str">
        <f>_xlfn.TEXTJOIN("",TRUE,Input!$B$2,ROW(My_Audit!A847))</f>
        <v>CC847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_xlpm.CSVVal,_xlfn.XLOOKUP($A848,CSV!$A:$A,CSV!E:E,""),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6" t="str" cm="1">
        <f t="array" ref="K848">IFERROR(_xlfn.LET(
_xlpm.CSVVal,_xlfn.XLOOKUP($A848,CSV!$A:$A,CSV!N:N,""),
_xlpm.MacVal,_xlfn.XLOOKUP($A848,Output_Mac!$A:$A,Output_Mac!L:L,""),
_xlpm.MyAuditVal,_xlfn.XLOOKUP($A848,My_Audit!$A:$A,My_Audit!J:J,""),
_xlfn.IFS(_xlpm.MyAuditVal&lt;&gt;"",UPPER(_xlpm.MyAuditVal),_xlpm.MacVal&lt;&gt;"",_xlpm.MacVal,_xlpm.CSVVal&lt;&gt;"",_xlpm.CSVVal
)),"")</f>
        <v/>
      </c>
      <c r="L848" s="45"/>
      <c r="M848" s="45"/>
      <c r="N848" s="45"/>
      <c r="O848" s="45"/>
      <c r="P848" s="45"/>
      <c r="Q848" s="46" t="str">
        <f>IF(LEFT(N848,4)="Pass","Nist SP 800-88",My_Audit!R848)&amp;""</f>
        <v/>
      </c>
      <c r="R848" s="45"/>
      <c r="S848" s="45"/>
      <c r="T848" s="46" t="str">
        <f>_xlfn.XLOOKUP(E848,Models!I:I,Models!J:J,"")</f>
        <v/>
      </c>
      <c r="U848" s="45"/>
      <c r="V848" s="45"/>
      <c r="W848" s="38" t="str">
        <f>_xlfn.LET(
    _xlpm.MacVal, _xlfn.XLOOKUP($A848, Output_Mac!$A:$A, Output_Mac!AA:AA, ""),
    _xlpm.MyAuditVal, _xlfn.XLOOKUP($A848, My_Audit!$A:$A, My_Audit!L:L, ""),
    _xlfn.TEXTJOIN(", ", TRUE, _xlpm.MyAuditVal, _xlpm.MacVal)
)</f>
        <v/>
      </c>
    </row>
    <row r="849" spans="1:23">
      <c r="A849" s="45" t="str">
        <f>_xlfn.TEXTJOIN("",TRUE,Input!$B$2,ROW(My_Audit!A848))</f>
        <v>CC848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_xlpm.CSVVal,_xlfn.XLOOKUP($A849,CSV!$A:$A,CSV!E:E,""),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6" t="str" cm="1">
        <f t="array" ref="K849">IFERROR(_xlfn.LET(
_xlpm.CSVVal,_xlfn.XLOOKUP($A849,CSV!$A:$A,CSV!N:N,""),
_xlpm.MacVal,_xlfn.XLOOKUP($A849,Output_Mac!$A:$A,Output_Mac!L:L,""),
_xlpm.MyAuditVal,_xlfn.XLOOKUP($A849,My_Audit!$A:$A,My_Audit!J:J,""),
_xlfn.IFS(_xlpm.MyAuditVal&lt;&gt;"",UPPER(_xlpm.MyAuditVal),_xlpm.MacVal&lt;&gt;"",_xlpm.MacVal,_xlpm.CSVVal&lt;&gt;"",_xlpm.CSVVal
)),"")</f>
        <v/>
      </c>
      <c r="L849" s="45"/>
      <c r="M849" s="45"/>
      <c r="N849" s="45"/>
      <c r="O849" s="45"/>
      <c r="P849" s="45"/>
      <c r="Q849" s="46" t="str">
        <f>IF(LEFT(N849,4)="Pass","Nist SP 800-88",My_Audit!R849)&amp;""</f>
        <v/>
      </c>
      <c r="R849" s="45"/>
      <c r="S849" s="45"/>
      <c r="T849" s="46" t="str">
        <f>_xlfn.XLOOKUP(E849,Models!I:I,Models!J:J,"")</f>
        <v/>
      </c>
      <c r="U849" s="45"/>
      <c r="V849" s="45"/>
      <c r="W849" s="38" t="str">
        <f>_xlfn.LET(
    _xlpm.MacVal, _xlfn.XLOOKUP($A849, Output_Mac!$A:$A, Output_Mac!AA:AA, ""),
    _xlpm.MyAuditVal, _xlfn.XLOOKUP($A849, My_Audit!$A:$A, My_Audit!L:L, ""),
    _xlfn.TEXTJOIN(", ", TRUE, _xlpm.MyAuditVal, _xlpm.MacVal)
)</f>
        <v/>
      </c>
    </row>
    <row r="850" spans="1:23">
      <c r="A850" s="45" t="str">
        <f>_xlfn.TEXTJOIN("",TRUE,Input!$B$2,ROW(My_Audit!A849))</f>
        <v>CC849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_xlpm.CSVVal,_xlfn.XLOOKUP($A850,CSV!$A:$A,CSV!E:E,""),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6" t="str" cm="1">
        <f t="array" ref="K850">IFERROR(_xlfn.LET(
_xlpm.CSVVal,_xlfn.XLOOKUP($A850,CSV!$A:$A,CSV!N:N,""),
_xlpm.MacVal,_xlfn.XLOOKUP($A850,Output_Mac!$A:$A,Output_Mac!L:L,""),
_xlpm.MyAuditVal,_xlfn.XLOOKUP($A850,My_Audit!$A:$A,My_Audit!J:J,""),
_xlfn.IFS(_xlpm.MyAuditVal&lt;&gt;"",UPPER(_xlpm.MyAuditVal),_xlpm.MacVal&lt;&gt;"",_xlpm.MacVal,_xlpm.CSVVal&lt;&gt;"",_xlpm.CSVVal
)),"")</f>
        <v/>
      </c>
      <c r="L850" s="45"/>
      <c r="M850" s="45"/>
      <c r="N850" s="45"/>
      <c r="O850" s="45"/>
      <c r="P850" s="45"/>
      <c r="Q850" s="46" t="str">
        <f>IF(LEFT(N850,4)="Pass","Nist SP 800-88",My_Audit!R850)&amp;""</f>
        <v/>
      </c>
      <c r="R850" s="45"/>
      <c r="S850" s="45"/>
      <c r="T850" s="46" t="str">
        <f>_xlfn.XLOOKUP(E850,Models!I:I,Models!J:J,"")</f>
        <v/>
      </c>
      <c r="U850" s="45"/>
      <c r="V850" s="45"/>
      <c r="W850" s="38" t="str">
        <f>_xlfn.LET(
    _xlpm.MacVal, _xlfn.XLOOKUP($A850, Output_Mac!$A:$A, Output_Mac!AA:AA, ""),
    _xlpm.MyAuditVal, _xlfn.XLOOKUP($A850, My_Audit!$A:$A, My_Audit!L:L, ""),
    _xlfn.TEXTJOIN(", ", TRUE, _xlpm.MyAuditVal, _xlpm.MacVal)
)</f>
        <v/>
      </c>
    </row>
    <row r="851" spans="1:23">
      <c r="A851" s="45" t="str">
        <f>_xlfn.TEXTJOIN("",TRUE,Input!$B$2,ROW(My_Audit!A850))</f>
        <v>CC850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_xlpm.CSVVal,_xlfn.XLOOKUP($A851,CSV!$A:$A,CSV!E:E,""),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6" t="str" cm="1">
        <f t="array" ref="K851">IFERROR(_xlfn.LET(
_xlpm.CSVVal,_xlfn.XLOOKUP($A851,CSV!$A:$A,CSV!N:N,""),
_xlpm.MacVal,_xlfn.XLOOKUP($A851,Output_Mac!$A:$A,Output_Mac!L:L,""),
_xlpm.MyAuditVal,_xlfn.XLOOKUP($A851,My_Audit!$A:$A,My_Audit!J:J,""),
_xlfn.IFS(_xlpm.MyAuditVal&lt;&gt;"",UPPER(_xlpm.MyAuditVal),_xlpm.MacVal&lt;&gt;"",_xlpm.MacVal,_xlpm.CSVVal&lt;&gt;"",_xlpm.CSVVal
)),"")</f>
        <v/>
      </c>
      <c r="L851" s="45"/>
      <c r="M851" s="45"/>
      <c r="N851" s="45"/>
      <c r="O851" s="45"/>
      <c r="P851" s="45"/>
      <c r="Q851" s="46" t="str">
        <f>IF(LEFT(N851,4)="Pass","Nist SP 800-88",My_Audit!R851)&amp;""</f>
        <v/>
      </c>
      <c r="R851" s="45"/>
      <c r="S851" s="45"/>
      <c r="T851" s="46" t="str">
        <f>_xlfn.XLOOKUP(E851,Models!I:I,Models!J:J,"")</f>
        <v/>
      </c>
      <c r="U851" s="45"/>
      <c r="V851" s="45"/>
      <c r="W851" s="38" t="str">
        <f>_xlfn.LET(
    _xlpm.MacVal, _xlfn.XLOOKUP($A851, Output_Mac!$A:$A, Output_Mac!AA:AA, ""),
    _xlpm.MyAuditVal, _xlfn.XLOOKUP($A851, My_Audit!$A:$A, My_Audit!L:L, ""),
    _xlfn.TEXTJOIN(", ", TRUE, _xlpm.MyAuditVal, _xlpm.MacVal)
)</f>
        <v/>
      </c>
    </row>
    <row r="852" spans="1:23">
      <c r="A852" s="45" t="str">
        <f>_xlfn.TEXTJOIN("",TRUE,Input!$B$2,ROW(My_Audit!A851))</f>
        <v>CC851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_xlpm.CSVVal,_xlfn.XLOOKUP($A852,CSV!$A:$A,CSV!E:E,""),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6" t="str" cm="1">
        <f t="array" ref="K852">IFERROR(_xlfn.LET(
_xlpm.CSVVal,_xlfn.XLOOKUP($A852,CSV!$A:$A,CSV!N:N,""),
_xlpm.MacVal,_xlfn.XLOOKUP($A852,Output_Mac!$A:$A,Output_Mac!L:L,""),
_xlpm.MyAuditVal,_xlfn.XLOOKUP($A852,My_Audit!$A:$A,My_Audit!J:J,""),
_xlfn.IFS(_xlpm.MyAuditVal&lt;&gt;"",UPPER(_xlpm.MyAuditVal),_xlpm.MacVal&lt;&gt;"",_xlpm.MacVal,_xlpm.CSVVal&lt;&gt;"",_xlpm.CSVVal
)),"")</f>
        <v/>
      </c>
      <c r="L852" s="45"/>
      <c r="M852" s="45"/>
      <c r="N852" s="45"/>
      <c r="O852" s="45"/>
      <c r="P852" s="45"/>
      <c r="Q852" s="46" t="str">
        <f>IF(LEFT(N852,4)="Pass","Nist SP 800-88",My_Audit!R852)&amp;""</f>
        <v/>
      </c>
      <c r="R852" s="45"/>
      <c r="S852" s="45"/>
      <c r="T852" s="46" t="str">
        <f>_xlfn.XLOOKUP(E852,Models!I:I,Models!J:J,"")</f>
        <v/>
      </c>
      <c r="U852" s="45"/>
      <c r="V852" s="45"/>
      <c r="W852" s="38" t="str">
        <f>_xlfn.LET(
    _xlpm.MacVal, _xlfn.XLOOKUP($A852, Output_Mac!$A:$A, Output_Mac!AA:AA, ""),
    _xlpm.MyAuditVal, _xlfn.XLOOKUP($A852, My_Audit!$A:$A, My_Audit!L:L, ""),
    _xlfn.TEXTJOIN(", ", TRUE, _xlpm.MyAuditVal, _xlpm.MacVal)
)</f>
        <v/>
      </c>
    </row>
    <row r="853" spans="1:23">
      <c r="A853" s="45" t="str">
        <f>_xlfn.TEXTJOIN("",TRUE,Input!$B$2,ROW(My_Audit!A852))</f>
        <v>CC852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_xlpm.CSVVal,_xlfn.XLOOKUP($A853,CSV!$A:$A,CSV!E:E,""),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6" t="str" cm="1">
        <f t="array" ref="K853">IFERROR(_xlfn.LET(
_xlpm.CSVVal,_xlfn.XLOOKUP($A853,CSV!$A:$A,CSV!N:N,""),
_xlpm.MacVal,_xlfn.XLOOKUP($A853,Output_Mac!$A:$A,Output_Mac!L:L,""),
_xlpm.MyAuditVal,_xlfn.XLOOKUP($A853,My_Audit!$A:$A,My_Audit!J:J,""),
_xlfn.IFS(_xlpm.MyAuditVal&lt;&gt;"",UPPER(_xlpm.MyAuditVal),_xlpm.MacVal&lt;&gt;"",_xlpm.MacVal,_xlpm.CSVVal&lt;&gt;"",_xlpm.CSVVal
)),"")</f>
        <v/>
      </c>
      <c r="L853" s="45"/>
      <c r="M853" s="45"/>
      <c r="N853" s="45"/>
      <c r="O853" s="45"/>
      <c r="P853" s="45"/>
      <c r="Q853" s="46" t="str">
        <f>IF(LEFT(N853,4)="Pass","Nist SP 800-88",My_Audit!R853)&amp;""</f>
        <v/>
      </c>
      <c r="R853" s="45"/>
      <c r="S853" s="45"/>
      <c r="T853" s="46" t="str">
        <f>_xlfn.XLOOKUP(E853,Models!I:I,Models!J:J,"")</f>
        <v/>
      </c>
      <c r="U853" s="45"/>
      <c r="V853" s="45"/>
      <c r="W853" s="38" t="str">
        <f>_xlfn.LET(
    _xlpm.MacVal, _xlfn.XLOOKUP($A853, Output_Mac!$A:$A, Output_Mac!AA:AA, ""),
    _xlpm.MyAuditVal, _xlfn.XLOOKUP($A853, My_Audit!$A:$A, My_Audit!L:L, ""),
    _xlfn.TEXTJOIN(", ", TRUE, _xlpm.MyAuditVal, _xlpm.MacVal)
)</f>
        <v/>
      </c>
    </row>
    <row r="854" spans="1:23">
      <c r="A854" s="45" t="str">
        <f>_xlfn.TEXTJOIN("",TRUE,Input!$B$2,ROW(My_Audit!A853))</f>
        <v>CC853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_xlpm.CSVVal,_xlfn.XLOOKUP($A854,CSV!$A:$A,CSV!E:E,""),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6" t="str" cm="1">
        <f t="array" ref="K854">IFERROR(_xlfn.LET(
_xlpm.CSVVal,_xlfn.XLOOKUP($A854,CSV!$A:$A,CSV!N:N,""),
_xlpm.MacVal,_xlfn.XLOOKUP($A854,Output_Mac!$A:$A,Output_Mac!L:L,""),
_xlpm.MyAuditVal,_xlfn.XLOOKUP($A854,My_Audit!$A:$A,My_Audit!J:J,""),
_xlfn.IFS(_xlpm.MyAuditVal&lt;&gt;"",UPPER(_xlpm.MyAuditVal),_xlpm.MacVal&lt;&gt;"",_xlpm.MacVal,_xlpm.CSVVal&lt;&gt;"",_xlpm.CSVVal
)),"")</f>
        <v/>
      </c>
      <c r="L854" s="45"/>
      <c r="M854" s="45"/>
      <c r="N854" s="45"/>
      <c r="O854" s="45"/>
      <c r="P854" s="45"/>
      <c r="Q854" s="46" t="str">
        <f>IF(LEFT(N854,4)="Pass","Nist SP 800-88",My_Audit!R854)&amp;""</f>
        <v/>
      </c>
      <c r="R854" s="45"/>
      <c r="S854" s="45"/>
      <c r="T854" s="46" t="str">
        <f>_xlfn.XLOOKUP(E854,Models!I:I,Models!J:J,"")</f>
        <v/>
      </c>
      <c r="U854" s="45"/>
      <c r="V854" s="45"/>
      <c r="W854" s="38" t="str">
        <f>_xlfn.LET(
    _xlpm.MacVal, _xlfn.XLOOKUP($A854, Output_Mac!$A:$A, Output_Mac!AA:AA, ""),
    _xlpm.MyAuditVal, _xlfn.XLOOKUP($A854, My_Audit!$A:$A, My_Audit!L:L, ""),
    _xlfn.TEXTJOIN(", ", TRUE, _xlpm.MyAuditVal, _xlpm.MacVal)
)</f>
        <v/>
      </c>
    </row>
    <row r="855" spans="1:23">
      <c r="A855" s="45" t="str">
        <f>_xlfn.TEXTJOIN("",TRUE,Input!$B$2,ROW(My_Audit!A854))</f>
        <v>CC854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_xlpm.CSVVal,_xlfn.XLOOKUP($A855,CSV!$A:$A,CSV!E:E,""),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6" t="str" cm="1">
        <f t="array" ref="K855">IFERROR(_xlfn.LET(
_xlpm.CSVVal,_xlfn.XLOOKUP($A855,CSV!$A:$A,CSV!N:N,""),
_xlpm.MacVal,_xlfn.XLOOKUP($A855,Output_Mac!$A:$A,Output_Mac!L:L,""),
_xlpm.MyAuditVal,_xlfn.XLOOKUP($A855,My_Audit!$A:$A,My_Audit!J:J,""),
_xlfn.IFS(_xlpm.MyAuditVal&lt;&gt;"",UPPER(_xlpm.MyAuditVal),_xlpm.MacVal&lt;&gt;"",_xlpm.MacVal,_xlpm.CSVVal&lt;&gt;"",_xlpm.CSVVal
)),"")</f>
        <v/>
      </c>
      <c r="L855" s="45"/>
      <c r="M855" s="45"/>
      <c r="N855" s="45"/>
      <c r="O855" s="45"/>
      <c r="P855" s="45"/>
      <c r="Q855" s="46" t="str">
        <f>IF(LEFT(N855,4)="Pass","Nist SP 800-88",My_Audit!R855)&amp;""</f>
        <v/>
      </c>
      <c r="R855" s="45"/>
      <c r="S855" s="45"/>
      <c r="T855" s="46" t="str">
        <f>_xlfn.XLOOKUP(E855,Models!I:I,Models!J:J,"")</f>
        <v/>
      </c>
      <c r="U855" s="45"/>
      <c r="V855" s="45"/>
      <c r="W855" s="38" t="str">
        <f>_xlfn.LET(
    _xlpm.MacVal, _xlfn.XLOOKUP($A855, Output_Mac!$A:$A, Output_Mac!AA:AA, ""),
    _xlpm.MyAuditVal, _xlfn.XLOOKUP($A855, My_Audit!$A:$A, My_Audit!L:L, ""),
    _xlfn.TEXTJOIN(", ", TRUE, _xlpm.MyAuditVal, _xlpm.MacVal)
)</f>
        <v/>
      </c>
    </row>
    <row r="856" spans="1:23">
      <c r="A856" s="45" t="str">
        <f>_xlfn.TEXTJOIN("",TRUE,Input!$B$2,ROW(My_Audit!A855))</f>
        <v>CC855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_xlpm.CSVVal,_xlfn.XLOOKUP($A856,CSV!$A:$A,CSV!E:E,""),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6" t="str" cm="1">
        <f t="array" ref="K856">IFERROR(_xlfn.LET(
_xlpm.CSVVal,_xlfn.XLOOKUP($A856,CSV!$A:$A,CSV!N:N,""),
_xlpm.MacVal,_xlfn.XLOOKUP($A856,Output_Mac!$A:$A,Output_Mac!L:L,""),
_xlpm.MyAuditVal,_xlfn.XLOOKUP($A856,My_Audit!$A:$A,My_Audit!J:J,""),
_xlfn.IFS(_xlpm.MyAuditVal&lt;&gt;"",UPPER(_xlpm.MyAuditVal),_xlpm.MacVal&lt;&gt;"",_xlpm.MacVal,_xlpm.CSVVal&lt;&gt;"",_xlpm.CSVVal
)),"")</f>
        <v/>
      </c>
      <c r="L856" s="45"/>
      <c r="M856" s="45"/>
      <c r="N856" s="45"/>
      <c r="O856" s="45"/>
      <c r="P856" s="45"/>
      <c r="Q856" s="46" t="str">
        <f>IF(LEFT(N856,4)="Pass","Nist SP 800-88",My_Audit!R856)&amp;""</f>
        <v/>
      </c>
      <c r="R856" s="45"/>
      <c r="S856" s="45"/>
      <c r="T856" s="46" t="str">
        <f>_xlfn.XLOOKUP(E856,Models!I:I,Models!J:J,"")</f>
        <v/>
      </c>
      <c r="U856" s="45"/>
      <c r="V856" s="45"/>
      <c r="W856" s="38" t="str">
        <f>_xlfn.LET(
    _xlpm.MacVal, _xlfn.XLOOKUP($A856, Output_Mac!$A:$A, Output_Mac!AA:AA, ""),
    _xlpm.MyAuditVal, _xlfn.XLOOKUP($A856, My_Audit!$A:$A, My_Audit!L:L, ""),
    _xlfn.TEXTJOIN(", ", TRUE, _xlpm.MyAuditVal, _xlpm.MacVal)
)</f>
        <v/>
      </c>
    </row>
    <row r="857" spans="1:23">
      <c r="A857" s="45" t="str">
        <f>_xlfn.TEXTJOIN("",TRUE,Input!$B$2,ROW(My_Audit!A856))</f>
        <v>CC856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_xlpm.CSVVal,_xlfn.XLOOKUP($A857,CSV!$A:$A,CSV!E:E,""),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6" t="str" cm="1">
        <f t="array" ref="K857">IFERROR(_xlfn.LET(
_xlpm.CSVVal,_xlfn.XLOOKUP($A857,CSV!$A:$A,CSV!N:N,""),
_xlpm.MacVal,_xlfn.XLOOKUP($A857,Output_Mac!$A:$A,Output_Mac!L:L,""),
_xlpm.MyAuditVal,_xlfn.XLOOKUP($A857,My_Audit!$A:$A,My_Audit!J:J,""),
_xlfn.IFS(_xlpm.MyAuditVal&lt;&gt;"",UPPER(_xlpm.MyAuditVal),_xlpm.MacVal&lt;&gt;"",_xlpm.MacVal,_xlpm.CSVVal&lt;&gt;"",_xlpm.CSVVal
)),"")</f>
        <v/>
      </c>
      <c r="L857" s="45"/>
      <c r="M857" s="45"/>
      <c r="N857" s="45"/>
      <c r="O857" s="45"/>
      <c r="P857" s="45"/>
      <c r="Q857" s="46" t="str">
        <f>IF(LEFT(N857,4)="Pass","Nist SP 800-88",My_Audit!R857)&amp;""</f>
        <v/>
      </c>
      <c r="R857" s="45"/>
      <c r="S857" s="45"/>
      <c r="T857" s="46" t="str">
        <f>_xlfn.XLOOKUP(E857,Models!I:I,Models!J:J,"")</f>
        <v/>
      </c>
      <c r="U857" s="45"/>
      <c r="V857" s="45"/>
      <c r="W857" s="38" t="str">
        <f>_xlfn.LET(
    _xlpm.MacVal, _xlfn.XLOOKUP($A857, Output_Mac!$A:$A, Output_Mac!AA:AA, ""),
    _xlpm.MyAuditVal, _xlfn.XLOOKUP($A857, My_Audit!$A:$A, My_Audit!L:L, ""),
    _xlfn.TEXTJOIN(", ", TRUE, _xlpm.MyAuditVal, _xlpm.MacVal)
)</f>
        <v/>
      </c>
    </row>
    <row r="858" spans="1:23">
      <c r="A858" s="45" t="str">
        <f>_xlfn.TEXTJOIN("",TRUE,Input!$B$2,ROW(My_Audit!A857))</f>
        <v>CC857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_xlpm.CSVVal,_xlfn.XLOOKUP($A858,CSV!$A:$A,CSV!E:E,""),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6" t="str" cm="1">
        <f t="array" ref="K858">IFERROR(_xlfn.LET(
_xlpm.CSVVal,_xlfn.XLOOKUP($A858,CSV!$A:$A,CSV!N:N,""),
_xlpm.MacVal,_xlfn.XLOOKUP($A858,Output_Mac!$A:$A,Output_Mac!L:L,""),
_xlpm.MyAuditVal,_xlfn.XLOOKUP($A858,My_Audit!$A:$A,My_Audit!J:J,""),
_xlfn.IFS(_xlpm.MyAuditVal&lt;&gt;"",UPPER(_xlpm.MyAuditVal),_xlpm.MacVal&lt;&gt;"",_xlpm.MacVal,_xlpm.CSVVal&lt;&gt;"",_xlpm.CSVVal
)),"")</f>
        <v/>
      </c>
      <c r="L858" s="45"/>
      <c r="M858" s="45"/>
      <c r="N858" s="45"/>
      <c r="O858" s="45"/>
      <c r="P858" s="45"/>
      <c r="Q858" s="46" t="str">
        <f>IF(LEFT(N858,4)="Pass","Nist SP 800-88",My_Audit!R858)&amp;""</f>
        <v/>
      </c>
      <c r="R858" s="45"/>
      <c r="S858" s="45"/>
      <c r="T858" s="46" t="str">
        <f>_xlfn.XLOOKUP(E858,Models!I:I,Models!J:J,"")</f>
        <v/>
      </c>
      <c r="U858" s="45"/>
      <c r="V858" s="45"/>
      <c r="W858" s="38" t="str">
        <f>_xlfn.LET(
    _xlpm.MacVal, _xlfn.XLOOKUP($A858, Output_Mac!$A:$A, Output_Mac!AA:AA, ""),
    _xlpm.MyAuditVal, _xlfn.XLOOKUP($A858, My_Audit!$A:$A, My_Audit!L:L, ""),
    _xlfn.TEXTJOIN(", ", TRUE, _xlpm.MyAuditVal, _xlpm.MacVal)
)</f>
        <v/>
      </c>
    </row>
    <row r="859" spans="1:23">
      <c r="A859" s="45" t="str">
        <f>_xlfn.TEXTJOIN("",TRUE,Input!$B$2,ROW(My_Audit!A858))</f>
        <v>CC858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_xlpm.CSVVal,_xlfn.XLOOKUP($A859,CSV!$A:$A,CSV!E:E,""),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6" t="str" cm="1">
        <f t="array" ref="K859">IFERROR(_xlfn.LET(
_xlpm.CSVVal,_xlfn.XLOOKUP($A859,CSV!$A:$A,CSV!N:N,""),
_xlpm.MacVal,_xlfn.XLOOKUP($A859,Output_Mac!$A:$A,Output_Mac!L:L,""),
_xlpm.MyAuditVal,_xlfn.XLOOKUP($A859,My_Audit!$A:$A,My_Audit!J:J,""),
_xlfn.IFS(_xlpm.MyAuditVal&lt;&gt;"",UPPER(_xlpm.MyAuditVal),_xlpm.MacVal&lt;&gt;"",_xlpm.MacVal,_xlpm.CSVVal&lt;&gt;"",_xlpm.CSVVal
)),"")</f>
        <v/>
      </c>
      <c r="L859" s="45"/>
      <c r="M859" s="45"/>
      <c r="N859" s="45"/>
      <c r="O859" s="45"/>
      <c r="P859" s="45"/>
      <c r="Q859" s="46" t="str">
        <f>IF(LEFT(N859,4)="Pass","Nist SP 800-88",My_Audit!R859)&amp;""</f>
        <v/>
      </c>
      <c r="R859" s="45"/>
      <c r="S859" s="45"/>
      <c r="T859" s="46" t="str">
        <f>_xlfn.XLOOKUP(E859,Models!I:I,Models!J:J,"")</f>
        <v/>
      </c>
      <c r="U859" s="45"/>
      <c r="V859" s="45"/>
      <c r="W859" s="38"/>
    </row>
    <row r="860" spans="1:23">
      <c r="A860" s="45" t="str">
        <f>_xlfn.TEXTJOIN("",TRUE,Input!$B$2,ROW(My_Audit!A859))</f>
        <v>CC859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_xlpm.CSVVal,_xlfn.XLOOKUP($A860,CSV!$A:$A,CSV!E:E,""),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6" t="str" cm="1">
        <f t="array" ref="K860">IFERROR(_xlfn.LET(
_xlpm.CSVVal,_xlfn.XLOOKUP($A860,CSV!$A:$A,CSV!N:N,""),
_xlpm.MacVal,_xlfn.XLOOKUP($A860,Output_Mac!$A:$A,Output_Mac!L:L,""),
_xlpm.MyAuditVal,_xlfn.XLOOKUP($A860,My_Audit!$A:$A,My_Audit!J:J,""),
_xlfn.IFS(_xlpm.MyAuditVal&lt;&gt;"",UPPER(_xlpm.MyAuditVal),_xlpm.MacVal&lt;&gt;"",_xlpm.MacVal,_xlpm.CSVVal&lt;&gt;"",_xlpm.CSVVal
)),"")</f>
        <v/>
      </c>
      <c r="L860" s="45"/>
      <c r="M860" s="45"/>
      <c r="N860" s="45"/>
      <c r="O860" s="45"/>
      <c r="P860" s="45"/>
      <c r="Q860" s="46" t="str">
        <f>IF(LEFT(N860,4)="Pass","Nist SP 800-88",My_Audit!R860)&amp;""</f>
        <v/>
      </c>
      <c r="R860" s="45"/>
      <c r="S860" s="45"/>
      <c r="T860" s="46" t="str">
        <f>_xlfn.XLOOKUP(E860,Models!I:I,Models!J:J,"")</f>
        <v/>
      </c>
      <c r="U860" s="45"/>
      <c r="V860" s="45"/>
      <c r="W860" s="38"/>
    </row>
    <row r="861" spans="1:23">
      <c r="A861" s="45" t="str">
        <f>_xlfn.TEXTJOIN("",TRUE,Input!$B$2,ROW(My_Audit!A860))</f>
        <v>CC860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_xlpm.CSVVal,_xlfn.XLOOKUP($A861,CSV!$A:$A,CSV!E:E,""),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6" t="str" cm="1">
        <f t="array" ref="K861">IFERROR(_xlfn.LET(
_xlpm.CSVVal,_xlfn.XLOOKUP($A861,CSV!$A:$A,CSV!N:N,""),
_xlpm.MacVal,_xlfn.XLOOKUP($A861,Output_Mac!$A:$A,Output_Mac!L:L,""),
_xlpm.MyAuditVal,_xlfn.XLOOKUP($A861,My_Audit!$A:$A,My_Audit!J:J,""),
_xlfn.IFS(_xlpm.MyAuditVal&lt;&gt;"",UPPER(_xlpm.MyAuditVal),_xlpm.MacVal&lt;&gt;"",_xlpm.MacVal,_xlpm.CSVVal&lt;&gt;"",_xlpm.CSVVal
)),"")</f>
        <v/>
      </c>
      <c r="L861" s="45"/>
      <c r="M861" s="45"/>
      <c r="N861" s="45"/>
      <c r="O861" s="45"/>
      <c r="P861" s="45"/>
      <c r="Q861" s="46" t="str">
        <f>IF(LEFT(N861,4)="Pass","Nist SP 800-88",My_Audit!R861)&amp;""</f>
        <v/>
      </c>
      <c r="R861" s="45"/>
      <c r="S861" s="45"/>
      <c r="T861" s="46" t="str">
        <f>_xlfn.XLOOKUP(E861,Models!I:I,Models!J:J,"")</f>
        <v/>
      </c>
      <c r="U861" s="45"/>
      <c r="V861" s="45"/>
      <c r="W861" s="38"/>
    </row>
    <row r="862" spans="1:23">
      <c r="A862" s="45" t="str">
        <f>_xlfn.TEXTJOIN("",TRUE,Input!$B$2,ROW(My_Audit!A861))</f>
        <v>CC861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_xlpm.CSVVal,_xlfn.XLOOKUP($A862,CSV!$A:$A,CSV!E:E,""),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6" t="str" cm="1">
        <f t="array" ref="K862">IFERROR(_xlfn.LET(
_xlpm.CSVVal,_xlfn.XLOOKUP($A862,CSV!$A:$A,CSV!N:N,""),
_xlpm.MacVal,_xlfn.XLOOKUP($A862,Output_Mac!$A:$A,Output_Mac!L:L,""),
_xlpm.MyAuditVal,_xlfn.XLOOKUP($A862,My_Audit!$A:$A,My_Audit!J:J,""),
_xlfn.IFS(_xlpm.MyAuditVal&lt;&gt;"",UPPER(_xlpm.MyAuditVal),_xlpm.MacVal&lt;&gt;"",_xlpm.MacVal,_xlpm.CSVVal&lt;&gt;"",_xlpm.CSVVal
)),"")</f>
        <v/>
      </c>
      <c r="L862" s="45"/>
      <c r="M862" s="45"/>
      <c r="N862" s="45"/>
      <c r="O862" s="45"/>
      <c r="P862" s="45"/>
      <c r="Q862" s="46" t="str">
        <f>IF(LEFT(N862,4)="Pass","Nist SP 800-88",My_Audit!R862)&amp;""</f>
        <v/>
      </c>
      <c r="R862" s="45"/>
      <c r="S862" s="45"/>
      <c r="T862" s="46" t="str">
        <f>_xlfn.XLOOKUP(E862,Models!I:I,Models!J:J,"")</f>
        <v/>
      </c>
      <c r="U862" s="45"/>
      <c r="V862" s="45"/>
      <c r="W862" s="38"/>
    </row>
    <row r="863" spans="1:23">
      <c r="A863" s="45" t="str">
        <f>_xlfn.TEXTJOIN("",TRUE,Input!$B$2,ROW(My_Audit!A862))</f>
        <v>CC862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_xlpm.CSVVal,_xlfn.XLOOKUP($A863,CSV!$A:$A,CSV!E:E,""),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6" t="str" cm="1">
        <f t="array" ref="K863">IFERROR(_xlfn.LET(
_xlpm.CSVVal,_xlfn.XLOOKUP($A863,CSV!$A:$A,CSV!N:N,""),
_xlpm.MacVal,_xlfn.XLOOKUP($A863,Output_Mac!$A:$A,Output_Mac!L:L,""),
_xlpm.MyAuditVal,_xlfn.XLOOKUP($A863,My_Audit!$A:$A,My_Audit!J:J,""),
_xlfn.IFS(_xlpm.MyAuditVal&lt;&gt;"",UPPER(_xlpm.MyAuditVal),_xlpm.MacVal&lt;&gt;"",_xlpm.MacVal,_xlpm.CSVVal&lt;&gt;"",_xlpm.CSVVal
)),"")</f>
        <v/>
      </c>
      <c r="L863" s="45"/>
      <c r="M863" s="45"/>
      <c r="N863" s="45"/>
      <c r="O863" s="45"/>
      <c r="P863" s="45"/>
      <c r="Q863" s="46" t="str">
        <f>IF(LEFT(N863,4)="Pass","Nist SP 800-88",My_Audit!R863)&amp;""</f>
        <v/>
      </c>
      <c r="R863" s="45"/>
      <c r="S863" s="45"/>
      <c r="T863" s="46" t="str">
        <f>_xlfn.XLOOKUP(E863,Models!I:I,Models!J:J,"")</f>
        <v/>
      </c>
      <c r="U863" s="45"/>
      <c r="V863" s="45"/>
      <c r="W863" s="38"/>
    </row>
    <row r="864" spans="1:23">
      <c r="A864" s="45" t="str">
        <f>_xlfn.TEXTJOIN("",TRUE,Input!$B$2,ROW(My_Audit!A863))</f>
        <v>CC863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_xlpm.CSVVal,_xlfn.XLOOKUP($A864,CSV!$A:$A,CSV!E:E,""),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6" t="str" cm="1">
        <f t="array" ref="K864">IFERROR(_xlfn.LET(
_xlpm.CSVVal,_xlfn.XLOOKUP($A864,CSV!$A:$A,CSV!N:N,""),
_xlpm.MacVal,_xlfn.XLOOKUP($A864,Output_Mac!$A:$A,Output_Mac!L:L,""),
_xlpm.MyAuditVal,_xlfn.XLOOKUP($A864,My_Audit!$A:$A,My_Audit!J:J,""),
_xlfn.IFS(_xlpm.MyAuditVal&lt;&gt;"",UPPER(_xlpm.MyAuditVal),_xlpm.MacVal&lt;&gt;"",_xlpm.MacVal,_xlpm.CSVVal&lt;&gt;"",_xlpm.CSVVal
)),"")</f>
        <v/>
      </c>
      <c r="L864" s="45"/>
      <c r="M864" s="45"/>
      <c r="N864" s="45"/>
      <c r="O864" s="45"/>
      <c r="P864" s="45"/>
      <c r="Q864" s="46" t="str">
        <f>IF(LEFT(N864,4)="Pass","Nist SP 800-88",My_Audit!R864)&amp;""</f>
        <v/>
      </c>
      <c r="R864" s="45"/>
      <c r="S864" s="45"/>
      <c r="T864" s="46" t="str">
        <f>_xlfn.XLOOKUP(E864,Models!I:I,Models!J:J,"")</f>
        <v/>
      </c>
      <c r="U864" s="45"/>
      <c r="V864" s="45"/>
      <c r="W864" s="38"/>
    </row>
    <row r="865" spans="1:23">
      <c r="A865" s="45" t="str">
        <f>_xlfn.TEXTJOIN("",TRUE,Input!$B$2,ROW(My_Audit!A864))</f>
        <v>CC864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_xlpm.CSVVal,_xlfn.XLOOKUP($A865,CSV!$A:$A,CSV!E:E,""),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6" t="str" cm="1">
        <f t="array" ref="K865">IFERROR(_xlfn.LET(
_xlpm.CSVVal,_xlfn.XLOOKUP($A865,CSV!$A:$A,CSV!N:N,""),
_xlpm.MacVal,_xlfn.XLOOKUP($A865,Output_Mac!$A:$A,Output_Mac!L:L,""),
_xlpm.MyAuditVal,_xlfn.XLOOKUP($A865,My_Audit!$A:$A,My_Audit!J:J,""),
_xlfn.IFS(_xlpm.MyAuditVal&lt;&gt;"",UPPER(_xlpm.MyAuditVal),_xlpm.MacVal&lt;&gt;"",_xlpm.MacVal,_xlpm.CSVVal&lt;&gt;"",_xlpm.CSVVal
)),"")</f>
        <v/>
      </c>
      <c r="L865" s="45"/>
      <c r="M865" s="45"/>
      <c r="N865" s="45"/>
      <c r="O865" s="45"/>
      <c r="P865" s="45"/>
      <c r="Q865" s="46" t="str">
        <f>IF(LEFT(N865,4)="Pass","Nist SP 800-88",My_Audit!R865)&amp;""</f>
        <v/>
      </c>
      <c r="R865" s="45"/>
      <c r="S865" s="45"/>
      <c r="T865" s="46" t="str">
        <f>_xlfn.XLOOKUP(E865,Models!I:I,Models!J:J,"")</f>
        <v/>
      </c>
      <c r="U865" s="45"/>
      <c r="V865" s="45"/>
      <c r="W865" s="38"/>
    </row>
    <row r="866" spans="1:23">
      <c r="A866" s="45" t="str">
        <f>_xlfn.TEXTJOIN("",TRUE,Input!$B$2,ROW(My_Audit!A865))</f>
        <v>CC865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_xlpm.CSVVal,_xlfn.XLOOKUP($A866,CSV!$A:$A,CSV!E:E,""),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6" t="str" cm="1">
        <f t="array" ref="K866">IFERROR(_xlfn.LET(
_xlpm.CSVVal,_xlfn.XLOOKUP($A866,CSV!$A:$A,CSV!N:N,""),
_xlpm.MacVal,_xlfn.XLOOKUP($A866,Output_Mac!$A:$A,Output_Mac!L:L,""),
_xlpm.MyAuditVal,_xlfn.XLOOKUP($A866,My_Audit!$A:$A,My_Audit!J:J,""),
_xlfn.IFS(_xlpm.MyAuditVal&lt;&gt;"",UPPER(_xlpm.MyAuditVal),_xlpm.MacVal&lt;&gt;"",_xlpm.MacVal,_xlpm.CSVVal&lt;&gt;"",_xlpm.CSVVal
)),"")</f>
        <v/>
      </c>
      <c r="L866" s="45"/>
      <c r="M866" s="45"/>
      <c r="N866" s="45"/>
      <c r="O866" s="45"/>
      <c r="P866" s="45"/>
      <c r="Q866" s="46" t="str">
        <f>IF(LEFT(N866,4)="Pass","Nist SP 800-88",My_Audit!R866)&amp;""</f>
        <v/>
      </c>
      <c r="R866" s="45"/>
      <c r="S866" s="45"/>
      <c r="T866" s="46" t="str">
        <f>_xlfn.XLOOKUP(E866,Models!I:I,Models!J:J,"")</f>
        <v/>
      </c>
      <c r="U866" s="45"/>
      <c r="V866" s="45"/>
      <c r="W866" s="38"/>
    </row>
    <row r="867" spans="1:23">
      <c r="A867" s="45" t="str">
        <f>_xlfn.TEXTJOIN("",TRUE,Input!$B$2,ROW(My_Audit!A866))</f>
        <v>CC866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_xlpm.CSVVal,_xlfn.XLOOKUP($A867,CSV!$A:$A,CSV!E:E,""),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6" t="str" cm="1">
        <f t="array" ref="K867">IFERROR(_xlfn.LET(
_xlpm.CSVVal,_xlfn.XLOOKUP($A867,CSV!$A:$A,CSV!N:N,""),
_xlpm.MacVal,_xlfn.XLOOKUP($A867,Output_Mac!$A:$A,Output_Mac!L:L,""),
_xlpm.MyAuditVal,_xlfn.XLOOKUP($A867,My_Audit!$A:$A,My_Audit!J:J,""),
_xlfn.IFS(_xlpm.MyAuditVal&lt;&gt;"",UPPER(_xlpm.MyAuditVal),_xlpm.MacVal&lt;&gt;"",_xlpm.MacVal,_xlpm.CSVVal&lt;&gt;"",_xlpm.CSVVal
)),"")</f>
        <v/>
      </c>
      <c r="L867" s="45"/>
      <c r="M867" s="45"/>
      <c r="N867" s="45"/>
      <c r="O867" s="45"/>
      <c r="P867" s="45"/>
      <c r="Q867" s="46" t="str">
        <f>IF(LEFT(N867,4)="Pass","Nist SP 800-88",My_Audit!R867)&amp;""</f>
        <v/>
      </c>
      <c r="R867" s="45"/>
      <c r="S867" s="45"/>
      <c r="T867" s="46" t="str">
        <f>_xlfn.XLOOKUP(E867,Models!I:I,Models!J:J,"")</f>
        <v/>
      </c>
      <c r="U867" s="45"/>
      <c r="V867" s="45"/>
      <c r="W867" s="38"/>
    </row>
    <row r="868" spans="1:23">
      <c r="A868" s="45" t="str">
        <f>_xlfn.TEXTJOIN("",TRUE,Input!$B$2,ROW(My_Audit!A867))</f>
        <v>CC867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_xlpm.CSVVal,_xlfn.XLOOKUP($A868,CSV!$A:$A,CSV!E:E,""),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6" t="str" cm="1">
        <f t="array" ref="K868">IFERROR(_xlfn.LET(
_xlpm.CSVVal,_xlfn.XLOOKUP($A868,CSV!$A:$A,CSV!N:N,""),
_xlpm.MacVal,_xlfn.XLOOKUP($A868,Output_Mac!$A:$A,Output_Mac!L:L,""),
_xlpm.MyAuditVal,_xlfn.XLOOKUP($A868,My_Audit!$A:$A,My_Audit!J:J,""),
_xlfn.IFS(_xlpm.MyAuditVal&lt;&gt;"",UPPER(_xlpm.MyAuditVal),_xlpm.MacVal&lt;&gt;"",_xlpm.MacVal,_xlpm.CSVVal&lt;&gt;"",_xlpm.CSVVal
)),"")</f>
        <v/>
      </c>
      <c r="L868" s="45"/>
      <c r="M868" s="45"/>
      <c r="N868" s="45"/>
      <c r="O868" s="45"/>
      <c r="P868" s="45"/>
      <c r="Q868" s="46" t="str">
        <f>IF(LEFT(N868,4)="Pass","Nist SP 800-88",My_Audit!R868)&amp;""</f>
        <v/>
      </c>
      <c r="R868" s="45"/>
      <c r="S868" s="45"/>
      <c r="T868" s="46" t="str">
        <f>_xlfn.XLOOKUP(E868,Models!I:I,Models!J:J,"")</f>
        <v/>
      </c>
      <c r="U868" s="45"/>
      <c r="V868" s="45"/>
      <c r="W868" s="38"/>
    </row>
    <row r="869" spans="1:23">
      <c r="A869" s="45" t="str">
        <f>_xlfn.TEXTJOIN("",TRUE,Input!$B$2,ROW(My_Audit!A868))</f>
        <v>CC868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_xlpm.CSVVal,_xlfn.XLOOKUP($A869,CSV!$A:$A,CSV!E:E,""),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6" t="str" cm="1">
        <f t="array" ref="K869">IFERROR(_xlfn.LET(
_xlpm.CSVVal,_xlfn.XLOOKUP($A869,CSV!$A:$A,CSV!N:N,""),
_xlpm.MacVal,_xlfn.XLOOKUP($A869,Output_Mac!$A:$A,Output_Mac!L:L,""),
_xlpm.MyAuditVal,_xlfn.XLOOKUP($A869,My_Audit!$A:$A,My_Audit!J:J,""),
_xlfn.IFS(_xlpm.MyAuditVal&lt;&gt;"",UPPER(_xlpm.MyAuditVal),_xlpm.MacVal&lt;&gt;"",_xlpm.MacVal,_xlpm.CSVVal&lt;&gt;"",_xlpm.CSVVal
)),"")</f>
        <v/>
      </c>
      <c r="L869" s="45"/>
      <c r="M869" s="45"/>
      <c r="N869" s="45"/>
      <c r="O869" s="45"/>
      <c r="P869" s="45"/>
      <c r="Q869" s="46" t="str">
        <f>IF(LEFT(N869,4)="Pass","Nist SP 800-88",My_Audit!R869)&amp;""</f>
        <v/>
      </c>
      <c r="R869" s="45"/>
      <c r="S869" s="45"/>
      <c r="T869" s="46" t="str">
        <f>_xlfn.XLOOKUP(E869,Models!I:I,Models!J:J,"")</f>
        <v/>
      </c>
      <c r="U869" s="45"/>
      <c r="V869" s="45"/>
      <c r="W869" s="38"/>
    </row>
    <row r="870" spans="1:23">
      <c r="A870" s="45" t="str">
        <f>_xlfn.TEXTJOIN("",TRUE,Input!$B$2,ROW(My_Audit!A869))</f>
        <v>CC869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_xlpm.CSVVal,_xlfn.XLOOKUP($A870,CSV!$A:$A,CSV!E:E,""),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6" t="str" cm="1">
        <f t="array" ref="K870">IFERROR(_xlfn.LET(
_xlpm.CSVVal,_xlfn.XLOOKUP($A870,CSV!$A:$A,CSV!N:N,""),
_xlpm.MacVal,_xlfn.XLOOKUP($A870,Output_Mac!$A:$A,Output_Mac!L:L,""),
_xlpm.MyAuditVal,_xlfn.XLOOKUP($A870,My_Audit!$A:$A,My_Audit!J:J,""),
_xlfn.IFS(_xlpm.MyAuditVal&lt;&gt;"",UPPER(_xlpm.MyAuditVal),_xlpm.MacVal&lt;&gt;"",_xlpm.MacVal,_xlpm.CSVVal&lt;&gt;"",_xlpm.CSVVal
)),"")</f>
        <v/>
      </c>
      <c r="L870" s="45"/>
      <c r="M870" s="45"/>
      <c r="N870" s="45"/>
      <c r="O870" s="45"/>
      <c r="P870" s="45"/>
      <c r="Q870" s="46" t="str">
        <f>IF(LEFT(N870,4)="Pass","Nist SP 800-88",My_Audit!R870)&amp;""</f>
        <v/>
      </c>
      <c r="R870" s="45"/>
      <c r="S870" s="45"/>
      <c r="T870" s="46" t="str">
        <f>_xlfn.XLOOKUP(E870,Models!I:I,Models!J:J,"")</f>
        <v/>
      </c>
      <c r="U870" s="45"/>
      <c r="V870" s="45"/>
      <c r="W870" s="38"/>
    </row>
    <row r="871" spans="1:23">
      <c r="A871" s="45" t="str">
        <f>_xlfn.TEXTJOIN("",TRUE,Input!$B$2,ROW(My_Audit!A870))</f>
        <v>CC870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_xlpm.CSVVal,_xlfn.XLOOKUP($A871,CSV!$A:$A,CSV!E:E,""),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6" t="str" cm="1">
        <f t="array" ref="K871">IFERROR(_xlfn.LET(
_xlpm.CSVVal,_xlfn.XLOOKUP($A871,CSV!$A:$A,CSV!N:N,""),
_xlpm.MacVal,_xlfn.XLOOKUP($A871,Output_Mac!$A:$A,Output_Mac!L:L,""),
_xlpm.MyAuditVal,_xlfn.XLOOKUP($A871,My_Audit!$A:$A,My_Audit!J:J,""),
_xlfn.IFS(_xlpm.MyAuditVal&lt;&gt;"",UPPER(_xlpm.MyAuditVal),_xlpm.MacVal&lt;&gt;"",_xlpm.MacVal,_xlpm.CSVVal&lt;&gt;"",_xlpm.CSVVal
)),"")</f>
        <v/>
      </c>
      <c r="L871" s="45"/>
      <c r="M871" s="45"/>
      <c r="N871" s="45"/>
      <c r="O871" s="45"/>
      <c r="P871" s="45"/>
      <c r="Q871" s="46" t="str">
        <f>IF(LEFT(N871,4)="Pass","Nist SP 800-88",My_Audit!R871)&amp;""</f>
        <v/>
      </c>
      <c r="R871" s="45"/>
      <c r="S871" s="45"/>
      <c r="T871" s="46" t="str">
        <f>_xlfn.XLOOKUP(E871,Models!I:I,Models!J:J,"")</f>
        <v/>
      </c>
      <c r="U871" s="45"/>
      <c r="V871" s="45"/>
      <c r="W871" s="38"/>
    </row>
    <row r="872" spans="1:23">
      <c r="A872" s="45" t="str">
        <f>_xlfn.TEXTJOIN("",TRUE,Input!$B$2,ROW(My_Audit!A871))</f>
        <v>CC871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_xlpm.CSVVal,_xlfn.XLOOKUP($A872,CSV!$A:$A,CSV!E:E,""),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6" t="str" cm="1">
        <f t="array" ref="K872">IFERROR(_xlfn.LET(
_xlpm.CSVVal,_xlfn.XLOOKUP($A872,CSV!$A:$A,CSV!N:N,""),
_xlpm.MacVal,_xlfn.XLOOKUP($A872,Output_Mac!$A:$A,Output_Mac!L:L,""),
_xlpm.MyAuditVal,_xlfn.XLOOKUP($A872,My_Audit!$A:$A,My_Audit!J:J,""),
_xlfn.IFS(_xlpm.MyAuditVal&lt;&gt;"",UPPER(_xlpm.MyAuditVal),_xlpm.MacVal&lt;&gt;"",_xlpm.MacVal,_xlpm.CSVVal&lt;&gt;"",_xlpm.CSVVal
)),"")</f>
        <v/>
      </c>
      <c r="L872" s="45"/>
      <c r="M872" s="45"/>
      <c r="N872" s="45"/>
      <c r="O872" s="45"/>
      <c r="P872" s="45"/>
      <c r="Q872" s="46" t="str">
        <f>IF(LEFT(N872,4)="Pass","Nist SP 800-88",My_Audit!R872)&amp;""</f>
        <v/>
      </c>
      <c r="R872" s="45"/>
      <c r="S872" s="45"/>
      <c r="T872" s="46" t="str">
        <f>_xlfn.XLOOKUP(E872,Models!I:I,Models!J:J,"")</f>
        <v/>
      </c>
      <c r="U872" s="45"/>
      <c r="V872" s="45"/>
      <c r="W872" s="38"/>
    </row>
    <row r="873" spans="1:23">
      <c r="A873" s="45" t="str">
        <f>_xlfn.TEXTJOIN("",TRUE,Input!$B$2,ROW(My_Audit!A872))</f>
        <v>CC872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_xlpm.CSVVal,_xlfn.XLOOKUP($A873,CSV!$A:$A,CSV!E:E,""),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6" t="str" cm="1">
        <f t="array" ref="K873">IFERROR(_xlfn.LET(
_xlpm.CSVVal,_xlfn.XLOOKUP($A873,CSV!$A:$A,CSV!N:N,""),
_xlpm.MacVal,_xlfn.XLOOKUP($A873,Output_Mac!$A:$A,Output_Mac!L:L,""),
_xlpm.MyAuditVal,_xlfn.XLOOKUP($A873,My_Audit!$A:$A,My_Audit!J:J,""),
_xlfn.IFS(_xlpm.MyAuditVal&lt;&gt;"",UPPER(_xlpm.MyAuditVal),_xlpm.MacVal&lt;&gt;"",_xlpm.MacVal,_xlpm.CSVVal&lt;&gt;"",_xlpm.CSVVal
)),"")</f>
        <v/>
      </c>
      <c r="L873" s="45"/>
      <c r="M873" s="45"/>
      <c r="N873" s="45"/>
      <c r="O873" s="45"/>
      <c r="P873" s="45"/>
      <c r="Q873" s="46" t="str">
        <f>IF(LEFT(N873,4)="Pass","Nist SP 800-88",My_Audit!R873)&amp;""</f>
        <v/>
      </c>
      <c r="R873" s="45"/>
      <c r="S873" s="45"/>
      <c r="T873" s="46" t="str">
        <f>_xlfn.XLOOKUP(E873,Models!I:I,Models!J:J,"")</f>
        <v/>
      </c>
      <c r="U873" s="45"/>
      <c r="V873" s="45"/>
      <c r="W873" s="38"/>
    </row>
    <row r="874" spans="1:23">
      <c r="A874" s="45" t="str">
        <f>_xlfn.TEXTJOIN("",TRUE,Input!$B$2,ROW(My_Audit!A873))</f>
        <v>CC873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_xlpm.CSVVal,_xlfn.XLOOKUP($A874,CSV!$A:$A,CSV!E:E,""),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6" t="str" cm="1">
        <f t="array" ref="K874">IFERROR(_xlfn.LET(
_xlpm.CSVVal,_xlfn.XLOOKUP($A874,CSV!$A:$A,CSV!N:N,""),
_xlpm.MacVal,_xlfn.XLOOKUP($A874,Output_Mac!$A:$A,Output_Mac!L:L,""),
_xlpm.MyAuditVal,_xlfn.XLOOKUP($A874,My_Audit!$A:$A,My_Audit!J:J,""),
_xlfn.IFS(_xlpm.MyAuditVal&lt;&gt;"",UPPER(_xlpm.MyAuditVal),_xlpm.MacVal&lt;&gt;"",_xlpm.MacVal,_xlpm.CSVVal&lt;&gt;"",_xlpm.CSVVal
)),"")</f>
        <v/>
      </c>
      <c r="L874" s="45"/>
      <c r="M874" s="45"/>
      <c r="N874" s="45"/>
      <c r="O874" s="45"/>
      <c r="P874" s="45"/>
      <c r="Q874" s="46" t="str">
        <f>IF(LEFT(N874,4)="Pass","Nist SP 800-88",My_Audit!R874)&amp;""</f>
        <v/>
      </c>
      <c r="R874" s="45"/>
      <c r="S874" s="45"/>
      <c r="T874" s="46" t="str">
        <f>_xlfn.XLOOKUP(E874,Models!I:I,Models!J:J,"")</f>
        <v/>
      </c>
      <c r="U874" s="45"/>
      <c r="V874" s="45"/>
      <c r="W874" s="38"/>
    </row>
    <row r="875" spans="1:23">
      <c r="A875" s="45" t="str">
        <f>_xlfn.TEXTJOIN("",TRUE,Input!$B$2,ROW(My_Audit!A874))</f>
        <v>CC874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_xlpm.CSVVal,_xlfn.XLOOKUP($A875,CSV!$A:$A,CSV!E:E,""),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6" t="str" cm="1">
        <f t="array" ref="K875">IFERROR(_xlfn.LET(
_xlpm.CSVVal,_xlfn.XLOOKUP($A875,CSV!$A:$A,CSV!N:N,""),
_xlpm.MacVal,_xlfn.XLOOKUP($A875,Output_Mac!$A:$A,Output_Mac!L:L,""),
_xlpm.MyAuditVal,_xlfn.XLOOKUP($A875,My_Audit!$A:$A,My_Audit!J:J,""),
_xlfn.IFS(_xlpm.MyAuditVal&lt;&gt;"",UPPER(_xlpm.MyAuditVal),_xlpm.MacVal&lt;&gt;"",_xlpm.MacVal,_xlpm.CSVVal&lt;&gt;"",_xlpm.CSVVal
)),"")</f>
        <v/>
      </c>
      <c r="L875" s="45"/>
      <c r="M875" s="45"/>
      <c r="N875" s="45"/>
      <c r="O875" s="45"/>
      <c r="P875" s="45"/>
      <c r="Q875" s="46" t="str">
        <f>IF(LEFT(N875,4)="Pass","Nist SP 800-88",My_Audit!R875)&amp;""</f>
        <v/>
      </c>
      <c r="R875" s="45"/>
      <c r="S875" s="45"/>
      <c r="T875" s="46" t="str">
        <f>_xlfn.XLOOKUP(E875,Models!I:I,Models!J:J,"")</f>
        <v/>
      </c>
      <c r="U875" s="45"/>
      <c r="V875" s="45"/>
      <c r="W875" s="38"/>
    </row>
    <row r="876" spans="1:23">
      <c r="A876" s="45" t="str">
        <f>_xlfn.TEXTJOIN("",TRUE,Input!$B$2,ROW(My_Audit!A875))</f>
        <v>CC875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_xlpm.CSVVal,_xlfn.XLOOKUP($A876,CSV!$A:$A,CSV!E:E,""),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6" t="str" cm="1">
        <f t="array" ref="K876">IFERROR(_xlfn.LET(
_xlpm.CSVVal,_xlfn.XLOOKUP($A876,CSV!$A:$A,CSV!N:N,""),
_xlpm.MacVal,_xlfn.XLOOKUP($A876,Output_Mac!$A:$A,Output_Mac!L:L,""),
_xlpm.MyAuditVal,_xlfn.XLOOKUP($A876,My_Audit!$A:$A,My_Audit!J:J,""),
_xlfn.IFS(_xlpm.MyAuditVal&lt;&gt;"",UPPER(_xlpm.MyAuditVal),_xlpm.MacVal&lt;&gt;"",_xlpm.MacVal,_xlpm.CSVVal&lt;&gt;"",_xlpm.CSVVal
)),"")</f>
        <v/>
      </c>
      <c r="L876" s="45"/>
      <c r="M876" s="45"/>
      <c r="N876" s="45"/>
      <c r="O876" s="45"/>
      <c r="P876" s="45"/>
      <c r="Q876" s="46" t="str">
        <f>IF(LEFT(N876,4)="Pass","Nist SP 800-88",My_Audit!R876)&amp;""</f>
        <v/>
      </c>
      <c r="R876" s="45"/>
      <c r="S876" s="45"/>
      <c r="T876" s="46" t="str">
        <f>_xlfn.XLOOKUP(E876,Models!I:I,Models!J:J,"")</f>
        <v/>
      </c>
      <c r="U876" s="45"/>
      <c r="V876" s="45"/>
      <c r="W876" s="38"/>
    </row>
    <row r="877" spans="1:23">
      <c r="A877" s="45" t="str">
        <f>_xlfn.TEXTJOIN("",TRUE,Input!$B$2,ROW(My_Audit!A876))</f>
        <v>CC876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_xlpm.CSVVal,_xlfn.XLOOKUP($A877,CSV!$A:$A,CSV!E:E,""),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6" t="str" cm="1">
        <f t="array" ref="K877">IFERROR(_xlfn.LET(
_xlpm.CSVVal,_xlfn.XLOOKUP($A877,CSV!$A:$A,CSV!N:N,""),
_xlpm.MacVal,_xlfn.XLOOKUP($A877,Output_Mac!$A:$A,Output_Mac!L:L,""),
_xlpm.MyAuditVal,_xlfn.XLOOKUP($A877,My_Audit!$A:$A,My_Audit!J:J,""),
_xlfn.IFS(_xlpm.MyAuditVal&lt;&gt;"",UPPER(_xlpm.MyAuditVal),_xlpm.MacVal&lt;&gt;"",_xlpm.MacVal,_xlpm.CSVVal&lt;&gt;"",_xlpm.CSVVal
)),"")</f>
        <v/>
      </c>
      <c r="L877" s="45"/>
      <c r="M877" s="45"/>
      <c r="N877" s="45"/>
      <c r="O877" s="45"/>
      <c r="P877" s="45"/>
      <c r="Q877" s="46" t="str">
        <f>IF(LEFT(N877,4)="Pass","Nist SP 800-88",My_Audit!R877)&amp;""</f>
        <v/>
      </c>
      <c r="R877" s="45"/>
      <c r="S877" s="45"/>
      <c r="T877" s="46" t="str">
        <f>_xlfn.XLOOKUP(E877,Models!I:I,Models!J:J,"")</f>
        <v/>
      </c>
      <c r="U877" s="45"/>
      <c r="V877" s="45"/>
      <c r="W877" s="38"/>
    </row>
    <row r="878" spans="1:23">
      <c r="A878" s="45" t="str">
        <f>_xlfn.TEXTJOIN("",TRUE,Input!$B$2,ROW(My_Audit!A877))</f>
        <v>CC877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_xlpm.CSVVal,_xlfn.XLOOKUP($A878,CSV!$A:$A,CSV!E:E,""),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6" t="str" cm="1">
        <f t="array" ref="K878">IFERROR(_xlfn.LET(
_xlpm.CSVVal,_xlfn.XLOOKUP($A878,CSV!$A:$A,CSV!N:N,""),
_xlpm.MacVal,_xlfn.XLOOKUP($A878,Output_Mac!$A:$A,Output_Mac!L:L,""),
_xlpm.MyAuditVal,_xlfn.XLOOKUP($A878,My_Audit!$A:$A,My_Audit!J:J,""),
_xlfn.IFS(_xlpm.MyAuditVal&lt;&gt;"",UPPER(_xlpm.MyAuditVal),_xlpm.MacVal&lt;&gt;"",_xlpm.MacVal,_xlpm.CSVVal&lt;&gt;"",_xlpm.CSVVal
)),"")</f>
        <v/>
      </c>
      <c r="L878" s="45"/>
      <c r="M878" s="45"/>
      <c r="N878" s="45"/>
      <c r="O878" s="45"/>
      <c r="P878" s="45"/>
      <c r="Q878" s="46" t="str">
        <f>IF(LEFT(N878,4)="Pass","Nist SP 800-88",My_Audit!R878)&amp;""</f>
        <v/>
      </c>
      <c r="R878" s="45"/>
      <c r="S878" s="45"/>
      <c r="T878" s="46" t="str">
        <f>_xlfn.XLOOKUP(E878,Models!I:I,Models!J:J,"")</f>
        <v/>
      </c>
      <c r="U878" s="45"/>
      <c r="V878" s="45"/>
      <c r="W878" s="38"/>
    </row>
    <row r="879" spans="1:23">
      <c r="A879" s="45" t="str">
        <f>_xlfn.TEXTJOIN("",TRUE,Input!$B$2,ROW(My_Audit!A878))</f>
        <v>CC878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_xlpm.CSVVal,_xlfn.XLOOKUP($A879,CSV!$A:$A,CSV!E:E,""),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6" t="str" cm="1">
        <f t="array" ref="K879">IFERROR(_xlfn.LET(
_xlpm.CSVVal,_xlfn.XLOOKUP($A879,CSV!$A:$A,CSV!N:N,""),
_xlpm.MacVal,_xlfn.XLOOKUP($A879,Output_Mac!$A:$A,Output_Mac!L:L,""),
_xlpm.MyAuditVal,_xlfn.XLOOKUP($A879,My_Audit!$A:$A,My_Audit!J:J,""),
_xlfn.IFS(_xlpm.MyAuditVal&lt;&gt;"",UPPER(_xlpm.MyAuditVal),_xlpm.MacVal&lt;&gt;"",_xlpm.MacVal,_xlpm.CSVVal&lt;&gt;"",_xlpm.CSVVal
)),"")</f>
        <v/>
      </c>
      <c r="L879" s="45"/>
      <c r="M879" s="45"/>
      <c r="N879" s="45"/>
      <c r="O879" s="45"/>
      <c r="P879" s="45"/>
      <c r="Q879" s="46" t="str">
        <f>IF(LEFT(N879,4)="Pass","Nist SP 800-88",My_Audit!R879)&amp;""</f>
        <v/>
      </c>
      <c r="R879" s="45"/>
      <c r="S879" s="45"/>
      <c r="T879" s="46" t="str">
        <f>_xlfn.XLOOKUP(E879,Models!I:I,Models!J:J,"")</f>
        <v/>
      </c>
      <c r="U879" s="45"/>
      <c r="V879" s="45"/>
      <c r="W879" s="38"/>
    </row>
    <row r="880" spans="1:23">
      <c r="A880" s="45" t="str">
        <f>_xlfn.TEXTJOIN("",TRUE,Input!$B$2,ROW(My_Audit!A879))</f>
        <v>CC879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_xlpm.CSVVal,_xlfn.XLOOKUP($A880,CSV!$A:$A,CSV!E:E,""),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6" t="str" cm="1">
        <f t="array" ref="K880">IFERROR(_xlfn.LET(
_xlpm.CSVVal,_xlfn.XLOOKUP($A880,CSV!$A:$A,CSV!N:N,""),
_xlpm.MacVal,_xlfn.XLOOKUP($A880,Output_Mac!$A:$A,Output_Mac!L:L,""),
_xlpm.MyAuditVal,_xlfn.XLOOKUP($A880,My_Audit!$A:$A,My_Audit!J:J,""),
_xlfn.IFS(_xlpm.MyAuditVal&lt;&gt;"",UPPER(_xlpm.MyAuditVal),_xlpm.MacVal&lt;&gt;"",_xlpm.MacVal,_xlpm.CSVVal&lt;&gt;"",_xlpm.CSVVal
)),"")</f>
        <v/>
      </c>
      <c r="L880" s="45"/>
      <c r="M880" s="45"/>
      <c r="N880" s="45"/>
      <c r="O880" s="45"/>
      <c r="P880" s="45"/>
      <c r="Q880" s="46" t="str">
        <f>IF(LEFT(N880,4)="Pass","Nist SP 800-88",My_Audit!R880)&amp;""</f>
        <v/>
      </c>
      <c r="R880" s="45"/>
      <c r="S880" s="45"/>
      <c r="T880" s="46" t="str">
        <f>_xlfn.XLOOKUP(E880,Models!I:I,Models!J:J,"")</f>
        <v/>
      </c>
      <c r="U880" s="45"/>
      <c r="V880" s="45"/>
      <c r="W880" s="38"/>
    </row>
    <row r="881" spans="1:23">
      <c r="A881" s="45" t="str">
        <f>_xlfn.TEXTJOIN("",TRUE,Input!$B$2,ROW(My_Audit!A880))</f>
        <v>CC880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_xlpm.CSVVal,_xlfn.XLOOKUP($A881,CSV!$A:$A,CSV!E:E,""),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6" t="str" cm="1">
        <f t="array" ref="K881">IFERROR(_xlfn.LET(
_xlpm.CSVVal,_xlfn.XLOOKUP($A881,CSV!$A:$A,CSV!N:N,""),
_xlpm.MacVal,_xlfn.XLOOKUP($A881,Output_Mac!$A:$A,Output_Mac!L:L,""),
_xlpm.MyAuditVal,_xlfn.XLOOKUP($A881,My_Audit!$A:$A,My_Audit!J:J,""),
_xlfn.IFS(_xlpm.MyAuditVal&lt;&gt;"",UPPER(_xlpm.MyAuditVal),_xlpm.MacVal&lt;&gt;"",_xlpm.MacVal,_xlpm.CSVVal&lt;&gt;"",_xlpm.CSVVal
)),"")</f>
        <v/>
      </c>
      <c r="L881" s="45"/>
      <c r="M881" s="45"/>
      <c r="N881" s="45"/>
      <c r="O881" s="45"/>
      <c r="P881" s="45"/>
      <c r="Q881" s="46" t="str">
        <f>IF(LEFT(N881,4)="Pass","Nist SP 800-88",My_Audit!R881)&amp;""</f>
        <v/>
      </c>
      <c r="R881" s="45"/>
      <c r="S881" s="45"/>
      <c r="T881" s="46" t="str">
        <f>_xlfn.XLOOKUP(E881,Models!I:I,Models!J:J,"")</f>
        <v/>
      </c>
      <c r="U881" s="45"/>
      <c r="V881" s="45"/>
      <c r="W881" s="38"/>
    </row>
    <row r="882" spans="1:23">
      <c r="A882" s="45" t="str">
        <f>_xlfn.TEXTJOIN("",TRUE,Input!$B$2,ROW(My_Audit!A881))</f>
        <v>CC881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6" t="str" cm="1">
        <f t="array" ref="K882">IFERROR(_xlfn.LET(
_xlpm.CSVVal,_xlfn.XLOOKUP($A882,CSV!$A:$A,CSV!N:N,""),
_xlpm.MacVal,_xlfn.XLOOKUP($A882,Output_Mac!$A:$A,Output_Mac!L:L,""),
_xlpm.MyAuditVal,_xlfn.XLOOKUP($A882,My_Audit!$A:$A,My_Audit!J:J,""),
_xlfn.IFS(_xlpm.MyAuditVal&lt;&gt;"",UPPER(_xlpm.MyAuditVal),_xlpm.MacVal&lt;&gt;"",_xlpm.MacVal,_xlpm.CSVVal&lt;&gt;"",_xlpm.CSVVal
)),"")</f>
        <v/>
      </c>
      <c r="L882" s="45"/>
      <c r="M882" s="45"/>
      <c r="N882" s="45"/>
      <c r="O882" s="45"/>
      <c r="P882" s="45"/>
      <c r="Q882" s="46" t="str">
        <f>IF(LEFT(N882,4)="Pass","Nist SP 800-88",My_Audit!R882)&amp;""</f>
        <v/>
      </c>
      <c r="R882" s="45"/>
      <c r="S882" s="45"/>
      <c r="T882" s="46" t="str">
        <f>_xlfn.XLOOKUP(E882,Models!I:I,Models!J:J,"")</f>
        <v/>
      </c>
      <c r="U882" s="45"/>
      <c r="V882" s="45"/>
      <c r="W882" s="38"/>
    </row>
    <row r="883" spans="1:23">
      <c r="A883" s="45" t="str">
        <f>_xlfn.TEXTJOIN("",TRUE,Input!$B$2,ROW(My_Audit!A882))</f>
        <v>CC882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6" t="str" cm="1">
        <f t="array" ref="K883">IFERROR(_xlfn.LET(
_xlpm.CSVVal,_xlfn.XLOOKUP($A883,CSV!$A:$A,CSV!N:N,""),
_xlpm.MacVal,_xlfn.XLOOKUP($A883,Output_Mac!$A:$A,Output_Mac!L:L,""),
_xlpm.MyAuditVal,_xlfn.XLOOKUP($A883,My_Audit!$A:$A,My_Audit!J:J,""),
_xlfn.IFS(_xlpm.MyAuditVal&lt;&gt;"",UPPER(_xlpm.MyAuditVal),_xlpm.MacVal&lt;&gt;"",_xlpm.MacVal,_xlpm.CSVVal&lt;&gt;"",_xlpm.CSVVal
)),"")</f>
        <v/>
      </c>
      <c r="L883" s="45"/>
      <c r="M883" s="45"/>
      <c r="N883" s="45"/>
      <c r="O883" s="45"/>
      <c r="P883" s="45"/>
      <c r="Q883" s="46" t="str">
        <f>IF(LEFT(N883,4)="Pass","Nist SP 800-88",My_Audit!R883)&amp;""</f>
        <v/>
      </c>
      <c r="R883" s="45"/>
      <c r="S883" s="45"/>
      <c r="T883" s="46" t="str">
        <f>_xlfn.XLOOKUP(E883,Models!I:I,Models!J:J,"")</f>
        <v/>
      </c>
      <c r="U883" s="45"/>
      <c r="V883" s="45"/>
      <c r="W883" s="38"/>
    </row>
    <row r="884" spans="1:23">
      <c r="A884" s="45" t="str">
        <f>_xlfn.TEXTJOIN("",TRUE,Input!$B$2,ROW(My_Audit!A883))</f>
        <v>CC883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6" t="str" cm="1">
        <f t="array" ref="K884">IFERROR(_xlfn.LET(
_xlpm.CSVVal,_xlfn.XLOOKUP($A884,CSV!$A:$A,CSV!N:N,""),
_xlpm.MacVal,_xlfn.XLOOKUP($A884,Output_Mac!$A:$A,Output_Mac!L:L,""),
_xlpm.MyAuditVal,_xlfn.XLOOKUP($A884,My_Audit!$A:$A,My_Audit!J:J,""),
_xlfn.IFS(_xlpm.MyAuditVal&lt;&gt;"",UPPER(_xlpm.MyAuditVal),_xlpm.MacVal&lt;&gt;"",_xlpm.MacVal,_xlpm.CSVVal&lt;&gt;"",_xlpm.CSVVal
)),"")</f>
        <v/>
      </c>
      <c r="L884" s="45"/>
      <c r="M884" s="45"/>
      <c r="N884" s="45"/>
      <c r="O884" s="45"/>
      <c r="P884" s="45"/>
      <c r="Q884" s="46" t="str">
        <f>IF(LEFT(N884,4)="Pass","Nist SP 800-88",My_Audit!R884)&amp;""</f>
        <v/>
      </c>
      <c r="R884" s="45"/>
      <c r="S884" s="45"/>
      <c r="T884" s="46" t="str">
        <f>_xlfn.XLOOKUP(E884,Models!I:I,Models!J:J,"")</f>
        <v/>
      </c>
      <c r="U884" s="45"/>
      <c r="V884" s="45"/>
      <c r="W884" s="38"/>
    </row>
    <row r="885" spans="1:23">
      <c r="A885" s="45" t="str">
        <f>_xlfn.TEXTJOIN("",TRUE,Input!$B$2,ROW(My_Audit!A884))</f>
        <v>CC884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6" t="str" cm="1">
        <f t="array" ref="K885">IFERROR(_xlfn.LET(
_xlpm.CSVVal,_xlfn.XLOOKUP($A885,CSV!$A:$A,CSV!N:N,""),
_xlpm.MacVal,_xlfn.XLOOKUP($A885,Output_Mac!$A:$A,Output_Mac!L:L,""),
_xlpm.MyAuditVal,_xlfn.XLOOKUP($A885,My_Audit!$A:$A,My_Audit!J:J,""),
_xlfn.IFS(_xlpm.MyAuditVal&lt;&gt;"",UPPER(_xlpm.MyAuditVal),_xlpm.MacVal&lt;&gt;"",_xlpm.MacVal,_xlpm.CSVVal&lt;&gt;"",_xlpm.CSVVal
)),"")</f>
        <v/>
      </c>
      <c r="L885" s="45"/>
      <c r="M885" s="45"/>
      <c r="N885" s="45"/>
      <c r="O885" s="45"/>
      <c r="P885" s="45"/>
      <c r="Q885" s="46" t="str">
        <f>IF(LEFT(N885,4)="Pass","Nist SP 800-88",My_Audit!R885)&amp;""</f>
        <v/>
      </c>
      <c r="R885" s="45"/>
      <c r="S885" s="45"/>
      <c r="T885" s="46" t="str">
        <f>_xlfn.XLOOKUP(E885,Models!I:I,Models!J:J,"")</f>
        <v/>
      </c>
      <c r="U885" s="45"/>
      <c r="V885" s="45"/>
      <c r="W885" s="38"/>
    </row>
    <row r="886" spans="1:23">
      <c r="A886" s="45" t="str">
        <f>_xlfn.TEXTJOIN("",TRUE,Input!$B$2,ROW(My_Audit!A885))</f>
        <v>CC885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6" t="str" cm="1">
        <f t="array" ref="K886">IFERROR(_xlfn.LET(
_xlpm.CSVVal,_xlfn.XLOOKUP($A886,CSV!$A:$A,CSV!N:N,""),
_xlpm.MacVal,_xlfn.XLOOKUP($A886,Output_Mac!$A:$A,Output_Mac!L:L,""),
_xlpm.MyAuditVal,_xlfn.XLOOKUP($A886,My_Audit!$A:$A,My_Audit!J:J,""),
_xlfn.IFS(_xlpm.MyAuditVal&lt;&gt;"",UPPER(_xlpm.MyAuditVal),_xlpm.MacVal&lt;&gt;"",_xlpm.MacVal,_xlpm.CSVVal&lt;&gt;"",_xlpm.CSVVal
)),"")</f>
        <v/>
      </c>
      <c r="L886" s="45"/>
      <c r="M886" s="45"/>
      <c r="N886" s="45"/>
      <c r="O886" s="45"/>
      <c r="P886" s="45"/>
      <c r="Q886" s="46" t="str">
        <f>IF(LEFT(N886,4)="Pass","Nist SP 800-88",My_Audit!R886)&amp;""</f>
        <v/>
      </c>
      <c r="R886" s="45"/>
      <c r="S886" s="45"/>
      <c r="T886" s="46" t="str">
        <f>_xlfn.XLOOKUP(E886,Models!I:I,Models!J:J,"")</f>
        <v/>
      </c>
      <c r="U886" s="45"/>
      <c r="V886" s="45"/>
      <c r="W886" s="38"/>
    </row>
    <row r="887" spans="1:23">
      <c r="A887" s="45" t="str">
        <f>_xlfn.TEXTJOIN("",TRUE,Input!$B$2,ROW(My_Audit!A886))</f>
        <v>CC886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6" t="str" cm="1">
        <f t="array" ref="K887">IFERROR(_xlfn.LET(
_xlpm.CSVVal,_xlfn.XLOOKUP($A887,CSV!$A:$A,CSV!N:N,""),
_xlpm.MacVal,_xlfn.XLOOKUP($A887,Output_Mac!$A:$A,Output_Mac!L:L,""),
_xlpm.MyAuditVal,_xlfn.XLOOKUP($A887,My_Audit!$A:$A,My_Audit!J:J,""),
_xlfn.IFS(_xlpm.MyAuditVal&lt;&gt;"",UPPER(_xlpm.MyAuditVal),_xlpm.MacVal&lt;&gt;"",_xlpm.MacVal,_xlpm.CSVVal&lt;&gt;"",_xlpm.CSVVal
)),"")</f>
        <v/>
      </c>
      <c r="L887" s="45"/>
      <c r="M887" s="45"/>
      <c r="N887" s="45"/>
      <c r="O887" s="45"/>
      <c r="P887" s="45"/>
      <c r="Q887" s="46" t="str">
        <f>IF(LEFT(N887,4)="Pass","Nist SP 800-88",My_Audit!R887)&amp;""</f>
        <v/>
      </c>
      <c r="R887" s="45"/>
      <c r="S887" s="45"/>
      <c r="T887" s="46" t="str">
        <f>_xlfn.XLOOKUP(E887,Models!I:I,Models!J:J,"")</f>
        <v/>
      </c>
      <c r="U887" s="45"/>
      <c r="V887" s="45"/>
      <c r="W887" s="38"/>
    </row>
    <row r="888" spans="1:23">
      <c r="A888" s="45" t="str">
        <f>_xlfn.TEXTJOIN("",TRUE,Input!$B$2,ROW(My_Audit!A887))</f>
        <v>CC887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6" t="str" cm="1">
        <f t="array" ref="K888">IFERROR(_xlfn.LET(
_xlpm.CSVVal,_xlfn.XLOOKUP($A888,CSV!$A:$A,CSV!N:N,""),
_xlpm.MacVal,_xlfn.XLOOKUP($A888,Output_Mac!$A:$A,Output_Mac!L:L,""),
_xlpm.MyAuditVal,_xlfn.XLOOKUP($A888,My_Audit!$A:$A,My_Audit!J:J,""),
_xlfn.IFS(_xlpm.MyAuditVal&lt;&gt;"",UPPER(_xlpm.MyAuditVal),_xlpm.MacVal&lt;&gt;"",_xlpm.MacVal,_xlpm.CSVVal&lt;&gt;"",_xlpm.CSVVal
)),"")</f>
        <v/>
      </c>
      <c r="L888" s="45"/>
      <c r="M888" s="45"/>
      <c r="N888" s="45"/>
      <c r="O888" s="45"/>
      <c r="P888" s="45"/>
      <c r="Q888" s="46" t="str">
        <f>IF(LEFT(N888,4)="Pass","Nist SP 800-88",My_Audit!R888)&amp;""</f>
        <v/>
      </c>
      <c r="R888" s="45"/>
      <c r="S888" s="45"/>
      <c r="T888" s="46" t="str">
        <f>_xlfn.XLOOKUP(E888,Models!I:I,Models!J:J,"")</f>
        <v/>
      </c>
      <c r="U888" s="45"/>
      <c r="V888" s="45"/>
      <c r="W888" s="38"/>
    </row>
    <row r="889" spans="1:23">
      <c r="A889" s="45" t="str">
        <f>_xlfn.TEXTJOIN("",TRUE,Input!$B$2,ROW(My_Audit!A888))</f>
        <v>CC888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6" t="str" cm="1">
        <f t="array" ref="K889">IFERROR(_xlfn.LET(
_xlpm.CSVVal,_xlfn.XLOOKUP($A889,CSV!$A:$A,CSV!N:N,""),
_xlpm.MacVal,_xlfn.XLOOKUP($A889,Output_Mac!$A:$A,Output_Mac!L:L,""),
_xlpm.MyAuditVal,_xlfn.XLOOKUP($A889,My_Audit!$A:$A,My_Audit!J:J,""),
_xlfn.IFS(_xlpm.MyAuditVal&lt;&gt;"",UPPER(_xlpm.MyAuditVal),_xlpm.MacVal&lt;&gt;"",_xlpm.MacVal,_xlpm.CSVVal&lt;&gt;"",_xlpm.CSVVal
)),"")</f>
        <v/>
      </c>
      <c r="L889" s="45"/>
      <c r="M889" s="45"/>
      <c r="N889" s="45"/>
      <c r="O889" s="45"/>
      <c r="P889" s="45"/>
      <c r="Q889" s="46" t="str">
        <f>IF(LEFT(N889,4)="Pass","Nist SP 800-88",My_Audit!R889)&amp;""</f>
        <v/>
      </c>
      <c r="R889" s="45"/>
      <c r="S889" s="45"/>
      <c r="T889" s="46" t="str">
        <f>_xlfn.XLOOKUP(E889,Models!I:I,Models!J:J,"")</f>
        <v/>
      </c>
      <c r="U889" s="45"/>
      <c r="V889" s="45"/>
      <c r="W889" s="38"/>
    </row>
    <row r="890" spans="1:23">
      <c r="A890" s="45" t="str">
        <f>_xlfn.TEXTJOIN("",TRUE,Input!$B$2,ROW(My_Audit!A889))</f>
        <v>CC889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6" t="str" cm="1">
        <f t="array" ref="K890">IFERROR(_xlfn.LET(
_xlpm.CSVVal,_xlfn.XLOOKUP($A890,CSV!$A:$A,CSV!N:N,""),
_xlpm.MacVal,_xlfn.XLOOKUP($A890,Output_Mac!$A:$A,Output_Mac!L:L,""),
_xlpm.MyAuditVal,_xlfn.XLOOKUP($A890,My_Audit!$A:$A,My_Audit!J:J,""),
_xlfn.IFS(_xlpm.MyAuditVal&lt;&gt;"",UPPER(_xlpm.MyAuditVal),_xlpm.MacVal&lt;&gt;"",_xlpm.MacVal,_xlpm.CSVVal&lt;&gt;"",_xlpm.CSVVal
)),"")</f>
        <v/>
      </c>
      <c r="L890" s="45"/>
      <c r="M890" s="45"/>
      <c r="N890" s="45"/>
      <c r="O890" s="45"/>
      <c r="P890" s="45"/>
      <c r="Q890" s="46" t="str">
        <f>IF(LEFT(N890,4)="Pass","Nist SP 800-88",My_Audit!R890)&amp;""</f>
        <v/>
      </c>
      <c r="R890" s="45"/>
      <c r="S890" s="45"/>
      <c r="T890" s="46" t="str">
        <f>_xlfn.XLOOKUP(E890,Models!I:I,Models!J:J,"")</f>
        <v/>
      </c>
      <c r="U890" s="45"/>
      <c r="V890" s="45"/>
      <c r="W890" s="38"/>
    </row>
    <row r="891" spans="1:23">
      <c r="A891" s="45" t="str">
        <f>_xlfn.TEXTJOIN("",TRUE,Input!$B$2,ROW(My_Audit!A890))</f>
        <v>CC890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6" t="str" cm="1">
        <f t="array" ref="K891">IFERROR(_xlfn.LET(
_xlpm.CSVVal,_xlfn.XLOOKUP($A891,CSV!$A:$A,CSV!N:N,""),
_xlpm.MacVal,_xlfn.XLOOKUP($A891,Output_Mac!$A:$A,Output_Mac!L:L,""),
_xlpm.MyAuditVal,_xlfn.XLOOKUP($A891,My_Audit!$A:$A,My_Audit!J:J,""),
_xlfn.IFS(_xlpm.MyAuditVal&lt;&gt;"",UPPER(_xlpm.MyAuditVal),_xlpm.MacVal&lt;&gt;"",_xlpm.MacVal,_xlpm.CSVVal&lt;&gt;"",_xlpm.CSVVal
)),"")</f>
        <v/>
      </c>
      <c r="L891" s="45"/>
      <c r="M891" s="45"/>
      <c r="N891" s="45"/>
      <c r="O891" s="45"/>
      <c r="P891" s="45"/>
      <c r="Q891" s="46" t="str">
        <f>IF(LEFT(N891,4)="Pass","Nist SP 800-88",My_Audit!R891)&amp;""</f>
        <v/>
      </c>
      <c r="R891" s="45"/>
      <c r="S891" s="45"/>
      <c r="T891" s="46" t="str">
        <f>_xlfn.XLOOKUP(E891,Models!I:I,Models!J:J,"")</f>
        <v/>
      </c>
      <c r="U891" s="45"/>
      <c r="V891" s="45"/>
      <c r="W891" s="38"/>
    </row>
    <row r="892" spans="1:23">
      <c r="A892" s="45" t="str">
        <f>_xlfn.TEXTJOIN("",TRUE,Input!$B$2,ROW(My_Audit!A891))</f>
        <v>CC891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6" t="str" cm="1">
        <f t="array" ref="K892">IFERROR(_xlfn.LET(
_xlpm.CSVVal,_xlfn.XLOOKUP($A892,CSV!$A:$A,CSV!N:N,""),
_xlpm.MacVal,_xlfn.XLOOKUP($A892,Output_Mac!$A:$A,Output_Mac!L:L,""),
_xlpm.MyAuditVal,_xlfn.XLOOKUP($A892,My_Audit!$A:$A,My_Audit!J:J,""),
_xlfn.IFS(_xlpm.MyAuditVal&lt;&gt;"",UPPER(_xlpm.MyAuditVal),_xlpm.MacVal&lt;&gt;"",_xlpm.MacVal,_xlpm.CSVVal&lt;&gt;"",_xlpm.CSVVal
)),"")</f>
        <v/>
      </c>
      <c r="L892" s="45"/>
      <c r="M892" s="45"/>
      <c r="N892" s="45"/>
      <c r="O892" s="45"/>
      <c r="P892" s="45"/>
      <c r="Q892" s="46" t="str">
        <f>IF(LEFT(N892,4)="Pass","Nist SP 800-88",My_Audit!R892)&amp;""</f>
        <v/>
      </c>
      <c r="R892" s="45"/>
      <c r="S892" s="45"/>
      <c r="T892" s="46" t="str">
        <f>_xlfn.XLOOKUP(E892,Models!I:I,Models!J:J,"")</f>
        <v/>
      </c>
      <c r="U892" s="45"/>
      <c r="V892" s="45"/>
      <c r="W892" s="38"/>
    </row>
    <row r="893" spans="1:23">
      <c r="A893" s="45" t="str">
        <f>_xlfn.TEXTJOIN("",TRUE,Input!$B$2,ROW(My_Audit!A892))</f>
        <v>CC892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6" t="str" cm="1">
        <f t="array" ref="K893">IFERROR(_xlfn.LET(
_xlpm.CSVVal,_xlfn.XLOOKUP($A893,CSV!$A:$A,CSV!N:N,""),
_xlpm.MacVal,_xlfn.XLOOKUP($A893,Output_Mac!$A:$A,Output_Mac!L:L,""),
_xlpm.MyAuditVal,_xlfn.XLOOKUP($A893,My_Audit!$A:$A,My_Audit!J:J,""),
_xlfn.IFS(_xlpm.MyAuditVal&lt;&gt;"",UPPER(_xlpm.MyAuditVal),_xlpm.MacVal&lt;&gt;"",_xlpm.MacVal,_xlpm.CSVVal&lt;&gt;"",_xlpm.CSVVal
)),"")</f>
        <v/>
      </c>
      <c r="L893" s="45"/>
      <c r="M893" s="45"/>
      <c r="N893" s="45"/>
      <c r="O893" s="45"/>
      <c r="P893" s="45"/>
      <c r="Q893" s="46" t="str">
        <f>IF(LEFT(N893,4)="Pass","Nist SP 800-88",My_Audit!R893)&amp;""</f>
        <v/>
      </c>
      <c r="R893" s="45"/>
      <c r="S893" s="45"/>
      <c r="T893" s="46" t="str">
        <f>_xlfn.XLOOKUP(E893,Models!I:I,Models!J:J,"")</f>
        <v/>
      </c>
      <c r="U893" s="45"/>
      <c r="V893" s="45"/>
      <c r="W893" s="38"/>
    </row>
    <row r="894" spans="1:23">
      <c r="A894" s="45" t="str">
        <f>_xlfn.TEXTJOIN("",TRUE,Input!$B$2,ROW(My_Audit!A893))</f>
        <v>CC893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6" t="str" cm="1">
        <f t="array" ref="K894">IFERROR(_xlfn.LET(
_xlpm.CSVVal,_xlfn.XLOOKUP($A894,CSV!$A:$A,CSV!N:N,""),
_xlpm.MacVal,_xlfn.XLOOKUP($A894,Output_Mac!$A:$A,Output_Mac!L:L,""),
_xlpm.MyAuditVal,_xlfn.XLOOKUP($A894,My_Audit!$A:$A,My_Audit!J:J,""),
_xlfn.IFS(_xlpm.MyAuditVal&lt;&gt;"",UPPER(_xlpm.MyAuditVal),_xlpm.MacVal&lt;&gt;"",_xlpm.MacVal,_xlpm.CSVVal&lt;&gt;"",_xlpm.CSVVal
)),"")</f>
        <v/>
      </c>
      <c r="L894" s="45"/>
      <c r="M894" s="45"/>
      <c r="N894" s="45"/>
      <c r="O894" s="45"/>
      <c r="P894" s="45"/>
      <c r="Q894" s="46" t="str">
        <f>IF(LEFT(N894,4)="Pass","Nist SP 800-88",My_Audit!R894)&amp;""</f>
        <v/>
      </c>
      <c r="R894" s="45"/>
      <c r="S894" s="45"/>
      <c r="T894" s="46" t="str">
        <f>_xlfn.XLOOKUP(E894,Models!I:I,Models!J:J,"")</f>
        <v/>
      </c>
      <c r="U894" s="45"/>
      <c r="V894" s="45"/>
      <c r="W894" s="38"/>
    </row>
    <row r="895" spans="1:23">
      <c r="A895" s="45" t="str">
        <f>_xlfn.TEXTJOIN("",TRUE,Input!$B$2,ROW(My_Audit!A894))</f>
        <v>CC894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6" t="str" cm="1">
        <f t="array" ref="K895">IFERROR(_xlfn.LET(
_xlpm.CSVVal,_xlfn.XLOOKUP($A895,CSV!$A:$A,CSV!N:N,""),
_xlpm.MacVal,_xlfn.XLOOKUP($A895,Output_Mac!$A:$A,Output_Mac!L:L,""),
_xlpm.MyAuditVal,_xlfn.XLOOKUP($A895,My_Audit!$A:$A,My_Audit!J:J,""),
_xlfn.IFS(_xlpm.MyAuditVal&lt;&gt;"",UPPER(_xlpm.MyAuditVal),_xlpm.MacVal&lt;&gt;"",_xlpm.MacVal,_xlpm.CSVVal&lt;&gt;"",_xlpm.CSVVal
)),"")</f>
        <v/>
      </c>
      <c r="L895" s="45"/>
      <c r="M895" s="45"/>
      <c r="N895" s="45"/>
      <c r="O895" s="45"/>
      <c r="P895" s="45"/>
      <c r="Q895" s="46" t="str">
        <f>IF(LEFT(N895,4)="Pass","Nist SP 800-88",My_Audit!R895)&amp;""</f>
        <v/>
      </c>
      <c r="R895" s="45"/>
      <c r="S895" s="45"/>
      <c r="T895" s="46" t="str">
        <f>_xlfn.XLOOKUP(E895,Models!I:I,Models!J:J,"")</f>
        <v/>
      </c>
      <c r="U895" s="45"/>
      <c r="V895" s="45"/>
      <c r="W895" s="38"/>
    </row>
    <row r="896" spans="1:23">
      <c r="A896" s="45" t="str">
        <f>_xlfn.TEXTJOIN("",TRUE,Input!$B$2,ROW(My_Audit!A895))</f>
        <v>CC895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6" t="str" cm="1">
        <f t="array" ref="K896">IFERROR(_xlfn.LET(
_xlpm.CSVVal,_xlfn.XLOOKUP($A896,CSV!$A:$A,CSV!N:N,""),
_xlpm.MacVal,_xlfn.XLOOKUP($A896,Output_Mac!$A:$A,Output_Mac!L:L,""),
_xlpm.MyAuditVal,_xlfn.XLOOKUP($A896,My_Audit!$A:$A,My_Audit!J:J,""),
_xlfn.IFS(_xlpm.MyAuditVal&lt;&gt;"",UPPER(_xlpm.MyAuditVal),_xlpm.MacVal&lt;&gt;"",_xlpm.MacVal,_xlpm.CSVVal&lt;&gt;"",_xlpm.CSVVal
)),"")</f>
        <v/>
      </c>
      <c r="L896" s="45"/>
      <c r="M896" s="45"/>
      <c r="N896" s="45"/>
      <c r="O896" s="45"/>
      <c r="P896" s="45"/>
      <c r="Q896" s="46" t="str">
        <f>IF(LEFT(N896,4)="Pass","Nist SP 800-88",My_Audit!R896)&amp;""</f>
        <v/>
      </c>
      <c r="R896" s="45"/>
      <c r="S896" s="45"/>
      <c r="T896" s="46" t="str">
        <f>_xlfn.XLOOKUP(E896,Models!I:I,Models!J:J,"")</f>
        <v/>
      </c>
      <c r="U896" s="45"/>
      <c r="V896" s="45"/>
      <c r="W896" s="38"/>
    </row>
    <row r="897" spans="1:23">
      <c r="A897" s="45" t="str">
        <f>_xlfn.TEXTJOIN("",TRUE,Input!$B$2,ROW(My_Audit!A896))</f>
        <v>CC896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6" t="str" cm="1">
        <f t="array" ref="K897">IFERROR(_xlfn.LET(
_xlpm.CSVVal,_xlfn.XLOOKUP($A897,CSV!$A:$A,CSV!N:N,""),
_xlpm.MacVal,_xlfn.XLOOKUP($A897,Output_Mac!$A:$A,Output_Mac!L:L,""),
_xlpm.MyAuditVal,_xlfn.XLOOKUP($A897,My_Audit!$A:$A,My_Audit!J:J,""),
_xlfn.IFS(_xlpm.MyAuditVal&lt;&gt;"",UPPER(_xlpm.MyAuditVal),_xlpm.MacVal&lt;&gt;"",_xlpm.MacVal,_xlpm.CSVVal&lt;&gt;"",_xlpm.CSVVal
)),"")</f>
        <v/>
      </c>
      <c r="L897" s="45"/>
      <c r="M897" s="45"/>
      <c r="N897" s="45"/>
      <c r="O897" s="45"/>
      <c r="P897" s="45"/>
      <c r="Q897" s="46" t="str">
        <f>IF(LEFT(N897,4)="Pass","Nist SP 800-88",My_Audit!R897)&amp;""</f>
        <v/>
      </c>
      <c r="R897" s="45"/>
      <c r="S897" s="45"/>
      <c r="T897" s="46" t="str">
        <f>_xlfn.XLOOKUP(E897,Models!I:I,Models!J:J,"")</f>
        <v/>
      </c>
      <c r="U897" s="45"/>
      <c r="V897" s="45"/>
      <c r="W897" s="38"/>
    </row>
    <row r="898" spans="1:23">
      <c r="A898" s="45" t="str">
        <f>_xlfn.TEXTJOIN("",TRUE,Input!$B$2,ROW(My_Audit!A897))</f>
        <v>CC897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6" t="str" cm="1">
        <f t="array" ref="K898">IFERROR(_xlfn.LET(
_xlpm.CSVVal,_xlfn.XLOOKUP($A898,CSV!$A:$A,CSV!N:N,""),
_xlpm.MacVal,_xlfn.XLOOKUP($A898,Output_Mac!$A:$A,Output_Mac!L:L,""),
_xlpm.MyAuditVal,_xlfn.XLOOKUP($A898,My_Audit!$A:$A,My_Audit!J:J,""),
_xlfn.IFS(_xlpm.MyAuditVal&lt;&gt;"",UPPER(_xlpm.MyAuditVal),_xlpm.MacVal&lt;&gt;"",_xlpm.MacVal,_xlpm.CSVVal&lt;&gt;"",_xlpm.CSVVal
)),"")</f>
        <v/>
      </c>
      <c r="L898" s="45"/>
      <c r="M898" s="45"/>
      <c r="N898" s="45"/>
      <c r="O898" s="45"/>
      <c r="P898" s="45"/>
      <c r="Q898" s="46" t="str">
        <f>IF(LEFT(N898,4)="Pass","Nist SP 800-88",My_Audit!R898)&amp;""</f>
        <v/>
      </c>
      <c r="R898" s="45"/>
      <c r="S898" s="45"/>
      <c r="T898" s="46" t="str">
        <f>_xlfn.XLOOKUP(E898,Models!I:I,Models!J:J,"")</f>
        <v/>
      </c>
      <c r="U898" s="45"/>
      <c r="V898" s="45"/>
      <c r="W898" s="38"/>
    </row>
    <row r="899" spans="1:23">
      <c r="A899" s="45" t="str">
        <f>_xlfn.TEXTJOIN("",TRUE,Input!$B$2,ROW(My_Audit!A898))</f>
        <v>CC898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6" t="str" cm="1">
        <f t="array" ref="K899">IFERROR(_xlfn.LET(
_xlpm.CSVVal,_xlfn.XLOOKUP($A899,CSV!$A:$A,CSV!N:N,""),
_xlpm.MacVal,_xlfn.XLOOKUP($A899,Output_Mac!$A:$A,Output_Mac!L:L,""),
_xlpm.MyAuditVal,_xlfn.XLOOKUP($A899,My_Audit!$A:$A,My_Audit!J:J,""),
_xlfn.IFS(_xlpm.MyAuditVal&lt;&gt;"",UPPER(_xlpm.MyAuditVal),_xlpm.MacVal&lt;&gt;"",_xlpm.MacVal,_xlpm.CSVVal&lt;&gt;"",_xlpm.CSVVal
)),"")</f>
        <v/>
      </c>
      <c r="L899" s="45"/>
      <c r="M899" s="45"/>
      <c r="N899" s="45"/>
      <c r="O899" s="45"/>
      <c r="P899" s="45"/>
      <c r="Q899" s="46" t="str">
        <f>IF(LEFT(N899,4)="Pass","Nist SP 800-88",My_Audit!R899)&amp;""</f>
        <v/>
      </c>
      <c r="R899" s="45"/>
      <c r="S899" s="45"/>
      <c r="T899" s="46" t="str">
        <f>_xlfn.XLOOKUP(E899,Models!I:I,Models!J:J,"")</f>
        <v/>
      </c>
      <c r="U899" s="45"/>
      <c r="V899" s="45"/>
      <c r="W899" s="38"/>
    </row>
    <row r="900" spans="1:23">
      <c r="A900" s="45" t="str">
        <f>_xlfn.TEXTJOIN("",TRUE,Input!$B$2,ROW(My_Audit!A899))</f>
        <v>CC899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6" t="str" cm="1">
        <f t="array" ref="K900">IFERROR(_xlfn.LET(
_xlpm.CSVVal,_xlfn.XLOOKUP($A900,CSV!$A:$A,CSV!N:N,""),
_xlpm.MacVal,_xlfn.XLOOKUP($A900,Output_Mac!$A:$A,Output_Mac!L:L,""),
_xlpm.MyAuditVal,_xlfn.XLOOKUP($A900,My_Audit!$A:$A,My_Audit!J:J,""),
_xlfn.IFS(_xlpm.MyAuditVal&lt;&gt;"",UPPER(_xlpm.MyAuditVal),_xlpm.MacVal&lt;&gt;"",_xlpm.MacVal,_xlpm.CSVVal&lt;&gt;"",_xlpm.CSVVal
)),"")</f>
        <v/>
      </c>
      <c r="L900" s="45"/>
      <c r="M900" s="45"/>
      <c r="N900" s="45"/>
      <c r="O900" s="45"/>
      <c r="P900" s="45"/>
      <c r="Q900" s="46" t="str">
        <f>IF(LEFT(N900,4)="Pass","Nist SP 800-88",My_Audit!R900)&amp;""</f>
        <v/>
      </c>
      <c r="R900" s="45"/>
      <c r="S900" s="45"/>
      <c r="T900" s="46" t="str">
        <f>_xlfn.XLOOKUP(E900,Models!I:I,Models!J:J,"")</f>
        <v/>
      </c>
      <c r="U900" s="45"/>
      <c r="V900" s="45"/>
      <c r="W900" s="38"/>
    </row>
    <row r="901" spans="1:23">
      <c r="A901" s="45" t="str">
        <f>_xlfn.TEXTJOIN("",TRUE,Input!$B$2,ROW(My_Audit!A900))</f>
        <v>CC900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6" t="str" cm="1">
        <f t="array" ref="K901">IFERROR(_xlfn.LET(
_xlpm.CSVVal,_xlfn.XLOOKUP($A901,CSV!$A:$A,CSV!N:N,""),
_xlpm.MacVal,_xlfn.XLOOKUP($A901,Output_Mac!$A:$A,Output_Mac!L:L,""),
_xlpm.MyAuditVal,_xlfn.XLOOKUP($A901,My_Audit!$A:$A,My_Audit!J:J,""),
_xlfn.IFS(_xlpm.MyAuditVal&lt;&gt;"",UPPER(_xlpm.MyAuditVal),_xlpm.MacVal&lt;&gt;"",_xlpm.MacVal,_xlpm.CSVVal&lt;&gt;"",_xlpm.CSVVal
)),"")</f>
        <v/>
      </c>
      <c r="L901" s="45"/>
      <c r="M901" s="45"/>
      <c r="N901" s="45"/>
      <c r="O901" s="45"/>
      <c r="P901" s="45"/>
      <c r="Q901" s="46" t="str">
        <f>IF(LEFT(N901,4)="Pass","Nist SP 800-88",My_Audit!R901)&amp;""</f>
        <v/>
      </c>
      <c r="R901" s="45"/>
      <c r="S901" s="45"/>
      <c r="T901" s="46" t="str">
        <f>_xlfn.XLOOKUP(E901,Models!I:I,Models!J:J,"")</f>
        <v/>
      </c>
      <c r="U901" s="45"/>
      <c r="V901" s="45"/>
      <c r="W901" s="38"/>
    </row>
    <row r="902" spans="1:23">
      <c r="A902" s="45" t="str">
        <f>_xlfn.TEXTJOIN("",TRUE,Input!$B$2,ROW(My_Audit!A901))</f>
        <v>CC901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6" t="str" cm="1">
        <f t="array" ref="K902">IFERROR(_xlfn.LET(
_xlpm.CSVVal,_xlfn.XLOOKUP($A902,CSV!$A:$A,CSV!N:N,""),
_xlpm.MacVal,_xlfn.XLOOKUP($A902,Output_Mac!$A:$A,Output_Mac!L:L,""),
_xlpm.MyAuditVal,_xlfn.XLOOKUP($A902,My_Audit!$A:$A,My_Audit!J:J,""),
_xlfn.IFS(_xlpm.MyAuditVal&lt;&gt;"",UPPER(_xlpm.MyAuditVal),_xlpm.MacVal&lt;&gt;"",_xlpm.MacVal,_xlpm.CSVVal&lt;&gt;"",_xlpm.CSVVal
)),"")</f>
        <v/>
      </c>
      <c r="L902" s="45"/>
      <c r="M902" s="45"/>
      <c r="N902" s="45"/>
      <c r="O902" s="45"/>
      <c r="P902" s="45"/>
      <c r="Q902" s="46" t="str">
        <f>IF(LEFT(N902,4)="Pass","Nist SP 800-88",My_Audit!R902)&amp;""</f>
        <v/>
      </c>
      <c r="R902" s="45"/>
      <c r="S902" s="45"/>
      <c r="T902" s="46" t="str">
        <f>_xlfn.XLOOKUP(E902,Models!I:I,Models!J:J,"")</f>
        <v/>
      </c>
      <c r="U902" s="45"/>
      <c r="V902" s="45"/>
      <c r="W902" s="38"/>
    </row>
    <row r="903" spans="1:23">
      <c r="A903" s="45" t="str">
        <f>_xlfn.TEXTJOIN("",TRUE,Input!$B$2,ROW(My_Audit!A902))</f>
        <v>CC902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6" t="str" cm="1">
        <f t="array" ref="K903">IFERROR(_xlfn.LET(
_xlpm.CSVVal,_xlfn.XLOOKUP($A903,CSV!$A:$A,CSV!N:N,""),
_xlpm.MacVal,_xlfn.XLOOKUP($A903,Output_Mac!$A:$A,Output_Mac!L:L,""),
_xlpm.MyAuditVal,_xlfn.XLOOKUP($A903,My_Audit!$A:$A,My_Audit!J:J,""),
_xlfn.IFS(_xlpm.MyAuditVal&lt;&gt;"",UPPER(_xlpm.MyAuditVal),_xlpm.MacVal&lt;&gt;"",_xlpm.MacVal,_xlpm.CSVVal&lt;&gt;"",_xlpm.CSVVal
)),"")</f>
        <v/>
      </c>
      <c r="L903" s="45"/>
      <c r="M903" s="45"/>
      <c r="N903" s="45"/>
      <c r="O903" s="45"/>
      <c r="P903" s="45"/>
      <c r="Q903" s="46" t="str">
        <f>IF(LEFT(N903,4)="Pass","Nist SP 800-88",My_Audit!R903)&amp;""</f>
        <v/>
      </c>
      <c r="R903" s="45"/>
      <c r="S903" s="45"/>
      <c r="T903" s="46" t="str">
        <f>_xlfn.XLOOKUP(E903,Models!I:I,Models!J:J,"")</f>
        <v/>
      </c>
      <c r="U903" s="45"/>
      <c r="V903" s="45"/>
      <c r="W903" s="38"/>
    </row>
    <row r="904" spans="1:23">
      <c r="A904" s="45" t="str">
        <f>_xlfn.TEXTJOIN("",TRUE,Input!$B$2,ROW(My_Audit!A903))</f>
        <v>CC903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6" t="str" cm="1">
        <f t="array" ref="K904">IFERROR(_xlfn.LET(
_xlpm.CSVVal,_xlfn.XLOOKUP($A904,CSV!$A:$A,CSV!N:N,""),
_xlpm.MacVal,_xlfn.XLOOKUP($A904,Output_Mac!$A:$A,Output_Mac!L:L,""),
_xlpm.MyAuditVal,_xlfn.XLOOKUP($A904,My_Audit!$A:$A,My_Audit!J:J,""),
_xlfn.IFS(_xlpm.MyAuditVal&lt;&gt;"",UPPER(_xlpm.MyAuditVal),_xlpm.MacVal&lt;&gt;"",_xlpm.MacVal,_xlpm.CSVVal&lt;&gt;"",_xlpm.CSVVal
)),"")</f>
        <v/>
      </c>
      <c r="L904" s="45"/>
      <c r="M904" s="45"/>
      <c r="N904" s="45"/>
      <c r="O904" s="45"/>
      <c r="P904" s="45"/>
      <c r="Q904" s="46" t="str">
        <f>IF(LEFT(N904,4)="Pass","Nist SP 800-88",My_Audit!R904)&amp;""</f>
        <v/>
      </c>
      <c r="R904" s="45"/>
      <c r="S904" s="45"/>
      <c r="T904" s="46" t="str">
        <f>_xlfn.XLOOKUP(E904,Models!I:I,Models!J:J,"")</f>
        <v/>
      </c>
      <c r="U904" s="45"/>
      <c r="V904" s="45"/>
      <c r="W904" s="38"/>
    </row>
    <row r="905" spans="1:23">
      <c r="A905" s="45" t="str">
        <f>_xlfn.TEXTJOIN("",TRUE,Input!$B$2,ROW(My_Audit!A904))</f>
        <v>CC904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6" t="str" cm="1">
        <f t="array" ref="K905">IFERROR(_xlfn.LET(
_xlpm.CSVVal,_xlfn.XLOOKUP($A905,CSV!$A:$A,CSV!N:N,""),
_xlpm.MacVal,_xlfn.XLOOKUP($A905,Output_Mac!$A:$A,Output_Mac!L:L,""),
_xlpm.MyAuditVal,_xlfn.XLOOKUP($A905,My_Audit!$A:$A,My_Audit!J:J,""),
_xlfn.IFS(_xlpm.MyAuditVal&lt;&gt;"",UPPER(_xlpm.MyAuditVal),_xlpm.MacVal&lt;&gt;"",_xlpm.MacVal,_xlpm.CSVVal&lt;&gt;"",_xlpm.CSVVal
)),"")</f>
        <v/>
      </c>
      <c r="L905" s="45"/>
      <c r="M905" s="45"/>
      <c r="N905" s="45"/>
      <c r="O905" s="45"/>
      <c r="P905" s="45"/>
      <c r="Q905" s="46" t="str">
        <f>IF(LEFT(N905,4)="Pass","Nist SP 800-88",My_Audit!R905)&amp;""</f>
        <v/>
      </c>
      <c r="R905" s="45"/>
      <c r="S905" s="45"/>
      <c r="T905" s="46" t="str">
        <f>_xlfn.XLOOKUP(E905,Models!I:I,Models!J:J,"")</f>
        <v/>
      </c>
      <c r="U905" s="45"/>
      <c r="V905" s="45"/>
      <c r="W905" s="38"/>
    </row>
    <row r="906" spans="1:23">
      <c r="A906" s="45" t="str">
        <f>_xlfn.TEXTJOIN("",TRUE,Input!$B$2,ROW(My_Audit!A905))</f>
        <v>CC905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6" t="str" cm="1">
        <f t="array" ref="K906">IFERROR(_xlfn.LET(
_xlpm.CSVVal,_xlfn.XLOOKUP($A906,CSV!$A:$A,CSV!N:N,""),
_xlpm.MacVal,_xlfn.XLOOKUP($A906,Output_Mac!$A:$A,Output_Mac!L:L,""),
_xlpm.MyAuditVal,_xlfn.XLOOKUP($A906,My_Audit!$A:$A,My_Audit!J:J,""),
_xlfn.IFS(_xlpm.MyAuditVal&lt;&gt;"",UPPER(_xlpm.MyAuditVal),_xlpm.MacVal&lt;&gt;"",_xlpm.MacVal,_xlpm.CSVVal&lt;&gt;"",_xlpm.CSVVal
)),"")</f>
        <v/>
      </c>
      <c r="L906" s="45"/>
      <c r="M906" s="45"/>
      <c r="N906" s="45"/>
      <c r="O906" s="45"/>
      <c r="P906" s="45"/>
      <c r="Q906" s="46" t="str">
        <f>IF(LEFT(N906,4)="Pass","Nist SP 800-88",My_Audit!R906)&amp;""</f>
        <v/>
      </c>
      <c r="R906" s="45"/>
      <c r="S906" s="45"/>
      <c r="T906" s="46" t="str">
        <f>_xlfn.XLOOKUP(E906,Models!I:I,Models!J:J,"")</f>
        <v/>
      </c>
      <c r="U906" s="45"/>
      <c r="V906" s="45"/>
      <c r="W906" s="38"/>
    </row>
    <row r="907" spans="1:23">
      <c r="A907" s="45" t="str">
        <f>_xlfn.TEXTJOIN("",TRUE,Input!$B$2,ROW(My_Audit!A906))</f>
        <v>CC906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6" t="str" cm="1">
        <f t="array" ref="K907">IFERROR(_xlfn.LET(
_xlpm.CSVVal,_xlfn.XLOOKUP($A907,CSV!$A:$A,CSV!N:N,""),
_xlpm.MacVal,_xlfn.XLOOKUP($A907,Output_Mac!$A:$A,Output_Mac!L:L,""),
_xlpm.MyAuditVal,_xlfn.XLOOKUP($A907,My_Audit!$A:$A,My_Audit!J:J,""),
_xlfn.IFS(_xlpm.MyAuditVal&lt;&gt;"",UPPER(_xlpm.MyAuditVal),_xlpm.MacVal&lt;&gt;"",_xlpm.MacVal,_xlpm.CSVVal&lt;&gt;"",_xlpm.CSVVal
)),"")</f>
        <v/>
      </c>
      <c r="L907" s="45"/>
      <c r="M907" s="45"/>
      <c r="N907" s="45"/>
      <c r="O907" s="45"/>
      <c r="P907" s="45"/>
      <c r="Q907" s="46" t="str">
        <f>IF(LEFT(N907,4)="Pass","Nist SP 800-88",My_Audit!R907)&amp;""</f>
        <v/>
      </c>
      <c r="R907" s="45"/>
      <c r="S907" s="45"/>
      <c r="T907" s="46" t="str">
        <f>_xlfn.XLOOKUP(E907,Models!I:I,Models!J:J,"")</f>
        <v/>
      </c>
      <c r="U907" s="45"/>
      <c r="V907" s="45"/>
      <c r="W907" s="38"/>
    </row>
    <row r="908" spans="1:23">
      <c r="A908" s="45" t="str">
        <f>_xlfn.TEXTJOIN("",TRUE,Input!$B$2,ROW(My_Audit!A907))</f>
        <v>CC907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6" t="str" cm="1">
        <f t="array" ref="K908">IFERROR(_xlfn.LET(
_xlpm.CSVVal,_xlfn.XLOOKUP($A908,CSV!$A:$A,CSV!N:N,""),
_xlpm.MacVal,_xlfn.XLOOKUP($A908,Output_Mac!$A:$A,Output_Mac!L:L,""),
_xlpm.MyAuditVal,_xlfn.XLOOKUP($A908,My_Audit!$A:$A,My_Audit!J:J,""),
_xlfn.IFS(_xlpm.MyAuditVal&lt;&gt;"",UPPER(_xlpm.MyAuditVal),_xlpm.MacVal&lt;&gt;"",_xlpm.MacVal,_xlpm.CSVVal&lt;&gt;"",_xlpm.CSVVal
)),"")</f>
        <v/>
      </c>
      <c r="L908" s="45"/>
      <c r="M908" s="45"/>
      <c r="N908" s="45"/>
      <c r="O908" s="45"/>
      <c r="P908" s="45"/>
      <c r="Q908" s="46" t="str">
        <f>IF(LEFT(N908,4)="Pass","Nist SP 800-88",My_Audit!R908)&amp;""</f>
        <v/>
      </c>
      <c r="R908" s="45"/>
      <c r="S908" s="45"/>
      <c r="T908" s="46" t="str">
        <f>_xlfn.XLOOKUP(E908,Models!I:I,Models!J:J,"")</f>
        <v/>
      </c>
      <c r="U908" s="45"/>
      <c r="V908" s="45"/>
      <c r="W908" s="38"/>
    </row>
    <row r="909" spans="1:23">
      <c r="A909" s="45" t="str">
        <f>_xlfn.TEXTJOIN("",TRUE,Input!$B$2,ROW(My_Audit!A908))</f>
        <v>CC908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6" t="str" cm="1">
        <f t="array" ref="K909">IFERROR(_xlfn.LET(
_xlpm.CSVVal,_xlfn.XLOOKUP($A909,CSV!$A:$A,CSV!N:N,""),
_xlpm.MacVal,_xlfn.XLOOKUP($A909,Output_Mac!$A:$A,Output_Mac!L:L,""),
_xlpm.MyAuditVal,_xlfn.XLOOKUP($A909,My_Audit!$A:$A,My_Audit!J:J,""),
_xlfn.IFS(_xlpm.MyAuditVal&lt;&gt;"",UPPER(_xlpm.MyAuditVal),_xlpm.MacVal&lt;&gt;"",_xlpm.MacVal,_xlpm.CSVVal&lt;&gt;"",_xlpm.CSVVal
)),"")</f>
        <v/>
      </c>
      <c r="L909" s="45"/>
      <c r="M909" s="45"/>
      <c r="N909" s="45"/>
      <c r="O909" s="45"/>
      <c r="P909" s="45"/>
      <c r="Q909" s="46" t="str">
        <f>IF(LEFT(N909,4)="Pass","Nist SP 800-88",My_Audit!R909)&amp;""</f>
        <v/>
      </c>
      <c r="R909" s="45"/>
      <c r="S909" s="45"/>
      <c r="T909" s="46" t="str">
        <f>_xlfn.XLOOKUP(E909,Models!I:I,Models!J:J,"")</f>
        <v/>
      </c>
      <c r="U909" s="45"/>
      <c r="V909" s="45"/>
      <c r="W909" s="38"/>
    </row>
    <row r="910" spans="1:23">
      <c r="A910" s="45" t="str">
        <f>_xlfn.TEXTJOIN("",TRUE,Input!$B$2,ROW(My_Audit!A909))</f>
        <v>CC909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6" t="str" cm="1">
        <f t="array" ref="K910">IFERROR(_xlfn.LET(
_xlpm.CSVVal,_xlfn.XLOOKUP($A910,CSV!$A:$A,CSV!N:N,""),
_xlpm.MacVal,_xlfn.XLOOKUP($A910,Output_Mac!$A:$A,Output_Mac!L:L,""),
_xlpm.MyAuditVal,_xlfn.XLOOKUP($A910,My_Audit!$A:$A,My_Audit!J:J,""),
_xlfn.IFS(_xlpm.MyAuditVal&lt;&gt;"",UPPER(_xlpm.MyAuditVal),_xlpm.MacVal&lt;&gt;"",_xlpm.MacVal,_xlpm.CSVVal&lt;&gt;"",_xlpm.CSVVal
)),"")</f>
        <v/>
      </c>
      <c r="L910" s="45"/>
      <c r="M910" s="45"/>
      <c r="N910" s="45"/>
      <c r="O910" s="45"/>
      <c r="P910" s="45"/>
      <c r="Q910" s="46" t="str">
        <f>IF(LEFT(N910,4)="Pass","Nist SP 800-88",My_Audit!R910)&amp;""</f>
        <v/>
      </c>
      <c r="R910" s="45"/>
      <c r="S910" s="45"/>
      <c r="T910" s="46" t="str">
        <f>_xlfn.XLOOKUP(E910,Models!I:I,Models!J:J,"")</f>
        <v/>
      </c>
      <c r="U910" s="45"/>
      <c r="V910" s="45"/>
      <c r="W910" s="38"/>
    </row>
    <row r="911" spans="1:23">
      <c r="A911" s="45" t="str">
        <f>_xlfn.TEXTJOIN("",TRUE,Input!$B$2,ROW(My_Audit!A910))</f>
        <v>CC910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6" t="str" cm="1">
        <f t="array" ref="K911">IFERROR(_xlfn.LET(
_xlpm.CSVVal,_xlfn.XLOOKUP($A911,CSV!$A:$A,CSV!N:N,""),
_xlpm.MacVal,_xlfn.XLOOKUP($A911,Output_Mac!$A:$A,Output_Mac!L:L,""),
_xlpm.MyAuditVal,_xlfn.XLOOKUP($A911,My_Audit!$A:$A,My_Audit!J:J,""),
_xlfn.IFS(_xlpm.MyAuditVal&lt;&gt;"",UPPER(_xlpm.MyAuditVal),_xlpm.MacVal&lt;&gt;"",_xlpm.MacVal,_xlpm.CSVVal&lt;&gt;"",_xlpm.CSVVal
)),"")</f>
        <v/>
      </c>
      <c r="L911" s="45"/>
      <c r="M911" s="45"/>
      <c r="N911" s="45"/>
      <c r="O911" s="45"/>
      <c r="P911" s="45"/>
      <c r="Q911" s="46" t="str">
        <f>IF(LEFT(N911,4)="Pass","Nist SP 800-88",My_Audit!R911)&amp;""</f>
        <v/>
      </c>
      <c r="R911" s="45"/>
      <c r="S911" s="45"/>
      <c r="T911" s="46" t="str">
        <f>_xlfn.XLOOKUP(E911,Models!I:I,Models!J:J,"")</f>
        <v/>
      </c>
      <c r="U911" s="45"/>
      <c r="V911" s="45"/>
      <c r="W911" s="38"/>
    </row>
    <row r="912" spans="1:23">
      <c r="A912" s="45" t="str">
        <f>_xlfn.TEXTJOIN("",TRUE,Input!$B$2,ROW(My_Audit!A911))</f>
        <v>CC911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6" t="str" cm="1">
        <f t="array" ref="K912">IFERROR(_xlfn.LET(
_xlpm.CSVVal,_xlfn.XLOOKUP($A912,CSV!$A:$A,CSV!N:N,""),
_xlpm.MacVal,_xlfn.XLOOKUP($A912,Output_Mac!$A:$A,Output_Mac!L:L,""),
_xlpm.MyAuditVal,_xlfn.XLOOKUP($A912,My_Audit!$A:$A,My_Audit!J:J,""),
_xlfn.IFS(_xlpm.MyAuditVal&lt;&gt;"",UPPER(_xlpm.MyAuditVal),_xlpm.MacVal&lt;&gt;"",_xlpm.MacVal,_xlpm.CSVVal&lt;&gt;"",_xlpm.CSVVal
)),"")</f>
        <v/>
      </c>
      <c r="L912" s="45"/>
      <c r="M912" s="45"/>
      <c r="N912" s="45"/>
      <c r="O912" s="45"/>
      <c r="P912" s="45"/>
      <c r="Q912" s="46" t="str">
        <f>IF(LEFT(N912,4)="Pass","Nist SP 800-88",My_Audit!R912)&amp;""</f>
        <v/>
      </c>
      <c r="R912" s="45"/>
      <c r="S912" s="45"/>
      <c r="T912" s="46" t="str">
        <f>_xlfn.XLOOKUP(E912,Models!I:I,Models!J:J,"")</f>
        <v/>
      </c>
      <c r="U912" s="45"/>
      <c r="V912" s="45"/>
      <c r="W912" s="38"/>
    </row>
    <row r="913" spans="1:23">
      <c r="A913" s="45" t="str">
        <f>_xlfn.TEXTJOIN("",TRUE,Input!$B$2,ROW(My_Audit!A912))</f>
        <v>CC912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6" t="str" cm="1">
        <f t="array" ref="K913">IFERROR(_xlfn.LET(
_xlpm.CSVVal,_xlfn.XLOOKUP($A913,CSV!$A:$A,CSV!N:N,""),
_xlpm.MacVal,_xlfn.XLOOKUP($A913,Output_Mac!$A:$A,Output_Mac!L:L,""),
_xlpm.MyAuditVal,_xlfn.XLOOKUP($A913,My_Audit!$A:$A,My_Audit!J:J,""),
_xlfn.IFS(_xlpm.MyAuditVal&lt;&gt;"",UPPER(_xlpm.MyAuditVal),_xlpm.MacVal&lt;&gt;"",_xlpm.MacVal,_xlpm.CSVVal&lt;&gt;"",_xlpm.CSVVal
)),"")</f>
        <v/>
      </c>
      <c r="L913" s="45"/>
      <c r="M913" s="45"/>
      <c r="N913" s="45"/>
      <c r="O913" s="45"/>
      <c r="P913" s="45"/>
      <c r="Q913" s="46" t="str">
        <f>IF(LEFT(N913,4)="Pass","Nist SP 800-88",My_Audit!R913)&amp;""</f>
        <v/>
      </c>
      <c r="R913" s="45"/>
      <c r="S913" s="45"/>
      <c r="T913" s="46" t="str">
        <f>_xlfn.XLOOKUP(E913,Models!I:I,Models!J:J,"")</f>
        <v/>
      </c>
      <c r="U913" s="45"/>
      <c r="V913" s="45"/>
      <c r="W913" s="38"/>
    </row>
    <row r="914" spans="1:23">
      <c r="A914" s="45" t="str">
        <f>_xlfn.TEXTJOIN("",TRUE,Input!$B$2,ROW(My_Audit!A913))</f>
        <v>CC913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6" t="str" cm="1">
        <f t="array" ref="K914">IFERROR(_xlfn.LET(
_xlpm.CSVVal,_xlfn.XLOOKUP($A914,CSV!$A:$A,CSV!N:N,""),
_xlpm.MacVal,_xlfn.XLOOKUP($A914,Output_Mac!$A:$A,Output_Mac!L:L,""),
_xlpm.MyAuditVal,_xlfn.XLOOKUP($A914,My_Audit!$A:$A,My_Audit!J:J,""),
_xlfn.IFS(_xlpm.MyAuditVal&lt;&gt;"",UPPER(_xlpm.MyAuditVal),_xlpm.MacVal&lt;&gt;"",_xlpm.MacVal,_xlpm.CSVVal&lt;&gt;"",_xlpm.CSVVal
)),"")</f>
        <v/>
      </c>
      <c r="L914" s="45"/>
      <c r="M914" s="45"/>
      <c r="N914" s="45"/>
      <c r="O914" s="45"/>
      <c r="P914" s="45"/>
      <c r="Q914" s="46" t="str">
        <f>IF(LEFT(N914,4)="Pass","Nist SP 800-88",My_Audit!R914)&amp;""</f>
        <v/>
      </c>
      <c r="R914" s="45"/>
      <c r="S914" s="45"/>
      <c r="T914" s="46" t="str">
        <f>_xlfn.XLOOKUP(E914,Models!I:I,Models!J:J,"")</f>
        <v/>
      </c>
      <c r="U914" s="45"/>
      <c r="V914" s="45"/>
      <c r="W914" s="38"/>
    </row>
    <row r="915" spans="1:23">
      <c r="A915" s="45" t="str">
        <f>_xlfn.TEXTJOIN("",TRUE,Input!$B$2,ROW(My_Audit!A914))</f>
        <v>CC914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6" t="str" cm="1">
        <f t="array" ref="K915">IFERROR(_xlfn.LET(
_xlpm.CSVVal,_xlfn.XLOOKUP($A915,CSV!$A:$A,CSV!N:N,""),
_xlpm.MacVal,_xlfn.XLOOKUP($A915,Output_Mac!$A:$A,Output_Mac!L:L,""),
_xlpm.MyAuditVal,_xlfn.XLOOKUP($A915,My_Audit!$A:$A,My_Audit!J:J,""),
_xlfn.IFS(_xlpm.MyAuditVal&lt;&gt;"",UPPER(_xlpm.MyAuditVal),_xlpm.MacVal&lt;&gt;"",_xlpm.MacVal,_xlpm.CSVVal&lt;&gt;"",_xlpm.CSVVal
)),"")</f>
        <v/>
      </c>
      <c r="L915" s="45"/>
      <c r="M915" s="45"/>
      <c r="N915" s="45"/>
      <c r="O915" s="45"/>
      <c r="P915" s="45"/>
      <c r="Q915" s="46" t="str">
        <f>IF(LEFT(N915,4)="Pass","Nist SP 800-88",My_Audit!R915)&amp;""</f>
        <v/>
      </c>
      <c r="R915" s="45"/>
      <c r="S915" s="45"/>
      <c r="T915" s="46" t="str">
        <f>_xlfn.XLOOKUP(E915,Models!I:I,Models!J:J,"")</f>
        <v/>
      </c>
      <c r="U915" s="45"/>
      <c r="V915" s="45"/>
      <c r="W915" s="38"/>
    </row>
    <row r="916" spans="1:23">
      <c r="A916" s="45" t="str">
        <f>_xlfn.TEXTJOIN("",TRUE,Input!$B$2,ROW(My_Audit!A915))</f>
        <v>CC915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6" t="str" cm="1">
        <f t="array" ref="K916">IFERROR(_xlfn.LET(
_xlpm.CSVVal,_xlfn.XLOOKUP($A916,CSV!$A:$A,CSV!N:N,""),
_xlpm.MacVal,_xlfn.XLOOKUP($A916,Output_Mac!$A:$A,Output_Mac!L:L,""),
_xlpm.MyAuditVal,_xlfn.XLOOKUP($A916,My_Audit!$A:$A,My_Audit!J:J,""),
_xlfn.IFS(_xlpm.MyAuditVal&lt;&gt;"",UPPER(_xlpm.MyAuditVal),_xlpm.MacVal&lt;&gt;"",_xlpm.MacVal,_xlpm.CSVVal&lt;&gt;"",_xlpm.CSVVal
)),"")</f>
        <v/>
      </c>
      <c r="L916" s="45"/>
      <c r="M916" s="45"/>
      <c r="N916" s="45"/>
      <c r="O916" s="45"/>
      <c r="P916" s="45"/>
      <c r="Q916" s="45"/>
      <c r="R916" s="45"/>
      <c r="S916" s="45"/>
      <c r="T916" s="46" t="str">
        <f>_xlfn.XLOOKUP(E916,Models!I:I,Models!J:J,"")</f>
        <v/>
      </c>
      <c r="U916" s="45"/>
      <c r="V916" s="45"/>
      <c r="W916" s="38"/>
    </row>
    <row r="917" spans="1:23">
      <c r="A917" s="45" t="str">
        <f>_xlfn.TEXTJOIN("",TRUE,Input!$B$2,ROW(My_Audit!A916))</f>
        <v>CC916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6" t="str" cm="1">
        <f t="array" ref="K917">IFERROR(_xlfn.LET(
_xlpm.CSVVal,_xlfn.XLOOKUP($A917,CSV!$A:$A,CSV!N:N,""),
_xlpm.MacVal,_xlfn.XLOOKUP($A917,Output_Mac!$A:$A,Output_Mac!L:L,""),
_xlpm.MyAuditVal,_xlfn.XLOOKUP($A917,My_Audit!$A:$A,My_Audit!J:J,""),
_xlfn.IFS(_xlpm.MyAuditVal&lt;&gt;"",UPPER(_xlpm.MyAuditVal),_xlpm.MacVal&lt;&gt;"",_xlpm.MacVal,_xlpm.CSVVal&lt;&gt;"",_xlpm.CSVVal
)),"")</f>
        <v/>
      </c>
      <c r="L917" s="45"/>
      <c r="M917" s="45"/>
      <c r="N917" s="45"/>
      <c r="O917" s="45"/>
      <c r="P917" s="45"/>
      <c r="Q917" s="45"/>
      <c r="R917" s="45"/>
      <c r="S917" s="45"/>
      <c r="T917" s="46" t="str">
        <f>_xlfn.XLOOKUP(E917,Models!I:I,Models!J:J,"")</f>
        <v/>
      </c>
      <c r="U917" s="45"/>
      <c r="V917" s="45"/>
      <c r="W917" s="38"/>
    </row>
    <row r="918" spans="1:23">
      <c r="A918" s="45" t="str">
        <f>_xlfn.TEXTJOIN("",TRUE,Input!$B$2,ROW(My_Audit!A917))</f>
        <v>CC917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6" t="str" cm="1">
        <f t="array" ref="K918">IFERROR(_xlfn.LET(
_xlpm.CSVVal,_xlfn.XLOOKUP($A918,CSV!$A:$A,CSV!N:N,""),
_xlpm.MacVal,_xlfn.XLOOKUP($A918,Output_Mac!$A:$A,Output_Mac!L:L,""),
_xlpm.MyAuditVal,_xlfn.XLOOKUP($A918,My_Audit!$A:$A,My_Audit!J:J,""),
_xlfn.IFS(_xlpm.MyAuditVal&lt;&gt;"",UPPER(_xlpm.MyAuditVal),_xlpm.MacVal&lt;&gt;"",_xlpm.MacVal,_xlpm.CSVVal&lt;&gt;"",_xlpm.CSVVal
)),"")</f>
        <v/>
      </c>
      <c r="L918" s="45"/>
      <c r="M918" s="45"/>
      <c r="N918" s="45"/>
      <c r="O918" s="45"/>
      <c r="P918" s="45"/>
      <c r="Q918" s="45"/>
      <c r="R918" s="45"/>
      <c r="S918" s="45"/>
      <c r="T918" s="46" t="str">
        <f>_xlfn.XLOOKUP(E918,Models!I:I,Models!J:J,"")</f>
        <v/>
      </c>
      <c r="U918" s="45"/>
      <c r="V918" s="45"/>
      <c r="W918" s="38"/>
    </row>
    <row r="919" spans="1:23">
      <c r="A919" s="45" t="str">
        <f>_xlfn.TEXTJOIN("",TRUE,Input!$B$2,ROW(My_Audit!A918))</f>
        <v>CC918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6" t="str" cm="1">
        <f t="array" ref="K919">IFERROR(_xlfn.LET(
_xlpm.CSVVal,_xlfn.XLOOKUP($A919,CSV!$A:$A,CSV!N:N,""),
_xlpm.MacVal,_xlfn.XLOOKUP($A919,Output_Mac!$A:$A,Output_Mac!L:L,""),
_xlpm.MyAuditVal,_xlfn.XLOOKUP($A919,My_Audit!$A:$A,My_Audit!J:J,""),
_xlfn.IFS(_xlpm.MyAuditVal&lt;&gt;"",UPPER(_xlpm.MyAuditVal),_xlpm.MacVal&lt;&gt;"",_xlpm.MacVal,_xlpm.CSVVal&lt;&gt;"",_xlpm.CSVVal
)),"")</f>
        <v/>
      </c>
      <c r="L919" s="45"/>
      <c r="M919" s="45"/>
      <c r="N919" s="45"/>
      <c r="O919" s="45"/>
      <c r="P919" s="45"/>
      <c r="Q919" s="45"/>
      <c r="R919" s="45"/>
      <c r="S919" s="45"/>
      <c r="T919" s="46" t="str">
        <f>_xlfn.XLOOKUP(E919,Models!I:I,Models!J:J,"")</f>
        <v/>
      </c>
      <c r="U919" s="45"/>
      <c r="V919" s="45"/>
      <c r="W919" s="38"/>
    </row>
    <row r="920" spans="1:23">
      <c r="A920" s="45" t="str">
        <f>_xlfn.TEXTJOIN("",TRUE,Input!$B$2,ROW(My_Audit!A919))</f>
        <v>CC919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6" t="str" cm="1">
        <f t="array" ref="K920">IFERROR(_xlfn.LET(
_xlpm.CSVVal,_xlfn.XLOOKUP($A920,CSV!$A:$A,CSV!N:N,""),
_xlpm.MacVal,_xlfn.XLOOKUP($A920,Output_Mac!$A:$A,Output_Mac!L:L,""),
_xlpm.MyAuditVal,_xlfn.XLOOKUP($A920,My_Audit!$A:$A,My_Audit!J:J,""),
_xlfn.IFS(_xlpm.MyAuditVal&lt;&gt;"",UPPER(_xlpm.MyAuditVal),_xlpm.MacVal&lt;&gt;"",_xlpm.MacVal,_xlpm.CSVVal&lt;&gt;"",_xlpm.CSVVal
)),"")</f>
        <v/>
      </c>
      <c r="L920" s="45"/>
      <c r="M920" s="45"/>
      <c r="N920" s="45"/>
      <c r="O920" s="45"/>
      <c r="P920" s="45"/>
      <c r="Q920" s="45"/>
      <c r="R920" s="45"/>
      <c r="S920" s="45"/>
      <c r="T920" s="46" t="str">
        <f>_xlfn.XLOOKUP(E920,Models!I:I,Models!J:J,"")</f>
        <v/>
      </c>
      <c r="U920" s="45"/>
      <c r="V920" s="45"/>
      <c r="W920" s="38"/>
    </row>
    <row r="921" spans="1:23">
      <c r="A921" s="45" t="str">
        <f>_xlfn.TEXTJOIN("",TRUE,Input!$B$2,ROW(My_Audit!A920))</f>
        <v>CC920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6" t="str" cm="1">
        <f t="array" ref="K921">IFERROR(_xlfn.LET(
_xlpm.CSVVal,_xlfn.XLOOKUP($A921,CSV!$A:$A,CSV!N:N,""),
_xlpm.MacVal,_xlfn.XLOOKUP($A921,Output_Mac!$A:$A,Output_Mac!L:L,""),
_xlpm.MyAuditVal,_xlfn.XLOOKUP($A921,My_Audit!$A:$A,My_Audit!J:J,""),
_xlfn.IFS(_xlpm.MyAuditVal&lt;&gt;"",UPPER(_xlpm.MyAuditVal),_xlpm.MacVal&lt;&gt;"",_xlpm.MacVal,_xlpm.CSVVal&lt;&gt;"",_xlpm.CSVVal
)),"")</f>
        <v/>
      </c>
      <c r="L921" s="45"/>
      <c r="M921" s="45"/>
      <c r="N921" s="45"/>
      <c r="O921" s="45"/>
      <c r="P921" s="45"/>
      <c r="Q921" s="45"/>
      <c r="R921" s="45"/>
      <c r="S921" s="45"/>
      <c r="T921" s="46" t="str">
        <f>_xlfn.XLOOKUP(E921,Models!I:I,Models!J:J,"")</f>
        <v/>
      </c>
      <c r="U921" s="45"/>
      <c r="V921" s="45"/>
      <c r="W921" s="38"/>
    </row>
    <row r="922" spans="1:23">
      <c r="A922" s="45" t="str">
        <f>_xlfn.TEXTJOIN("",TRUE,Input!$B$2,ROW(My_Audit!A921))</f>
        <v>CC921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6" t="str" cm="1">
        <f t="array" ref="K922">IFERROR(_xlfn.LET(
_xlpm.CSVVal,_xlfn.XLOOKUP($A922,CSV!$A:$A,CSV!N:N,""),
_xlpm.MacVal,_xlfn.XLOOKUP($A922,Output_Mac!$A:$A,Output_Mac!L:L,""),
_xlpm.MyAuditVal,_xlfn.XLOOKUP($A922,My_Audit!$A:$A,My_Audit!J:J,""),
_xlfn.IFS(_xlpm.MyAuditVal&lt;&gt;"",UPPER(_xlpm.MyAuditVal),_xlpm.MacVal&lt;&gt;"",_xlpm.MacVal,_xlpm.CSVVal&lt;&gt;"",_xlpm.CSVVal
)),"")</f>
        <v/>
      </c>
      <c r="L922" s="45"/>
      <c r="M922" s="45"/>
      <c r="N922" s="45"/>
      <c r="O922" s="45"/>
      <c r="P922" s="45"/>
      <c r="Q922" s="45"/>
      <c r="R922" s="45"/>
      <c r="S922" s="45"/>
      <c r="T922" s="46" t="str">
        <f>_xlfn.XLOOKUP(E922,Models!I:I,Models!J:J,"")</f>
        <v/>
      </c>
      <c r="U922" s="45"/>
      <c r="V922" s="45"/>
      <c r="W922" s="38"/>
    </row>
    <row r="923" spans="1:23">
      <c r="A923" s="45" t="str">
        <f>_xlfn.TEXTJOIN("",TRUE,Input!$B$2,ROW(My_Audit!A922))</f>
        <v>CC922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6" t="str" cm="1">
        <f t="array" ref="K923">IFERROR(_xlfn.LET(
_xlpm.CSVVal,_xlfn.XLOOKUP($A923,CSV!$A:$A,CSV!N:N,""),
_xlpm.MacVal,_xlfn.XLOOKUP($A923,Output_Mac!$A:$A,Output_Mac!L:L,""),
_xlpm.MyAuditVal,_xlfn.XLOOKUP($A923,My_Audit!$A:$A,My_Audit!J:J,""),
_xlfn.IFS(_xlpm.MyAuditVal&lt;&gt;"",UPPER(_xlpm.MyAuditVal),_xlpm.MacVal&lt;&gt;"",_xlpm.MacVal,_xlpm.CSVVal&lt;&gt;"",_xlpm.CSVVal
)),"")</f>
        <v/>
      </c>
      <c r="L923" s="45"/>
      <c r="M923" s="45"/>
      <c r="N923" s="45"/>
      <c r="O923" s="45"/>
      <c r="P923" s="45"/>
      <c r="Q923" s="45"/>
      <c r="R923" s="45"/>
      <c r="S923" s="45"/>
      <c r="T923" s="46" t="str">
        <f>_xlfn.XLOOKUP(E923,Models!I:I,Models!J:J,"")</f>
        <v/>
      </c>
      <c r="U923" s="45"/>
      <c r="V923" s="45"/>
      <c r="W923" s="38"/>
    </row>
    <row r="924" spans="1:23">
      <c r="A924" s="45" t="str">
        <f>_xlfn.TEXTJOIN("",TRUE,Input!$B$2,ROW(My_Audit!A923))</f>
        <v>CC923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6" t="str" cm="1">
        <f t="array" ref="K924">IFERROR(_xlfn.LET(
_xlpm.CSVVal,_xlfn.XLOOKUP($A924,CSV!$A:$A,CSV!N:N,""),
_xlpm.MacVal,_xlfn.XLOOKUP($A924,Output_Mac!$A:$A,Output_Mac!L:L,""),
_xlpm.MyAuditVal,_xlfn.XLOOKUP($A924,My_Audit!$A:$A,My_Audit!J:J,""),
_xlfn.IFS(_xlpm.MyAuditVal&lt;&gt;"",UPPER(_xlpm.MyAuditVal),_xlpm.MacVal&lt;&gt;"",_xlpm.MacVal,_xlpm.CSVVal&lt;&gt;"",_xlpm.CSVVal
)),"")</f>
        <v/>
      </c>
      <c r="L924" s="45"/>
      <c r="M924" s="45"/>
      <c r="N924" s="45"/>
      <c r="O924" s="45"/>
      <c r="P924" s="45"/>
      <c r="Q924" s="45"/>
      <c r="R924" s="45"/>
      <c r="S924" s="45"/>
      <c r="T924" s="46" t="str">
        <f>_xlfn.XLOOKUP(E924,Models!I:I,Models!J:J,"")</f>
        <v/>
      </c>
      <c r="U924" s="45"/>
      <c r="V924" s="45"/>
      <c r="W924" s="38"/>
    </row>
    <row r="925" spans="1:23">
      <c r="A925" s="45" t="str">
        <f>_xlfn.TEXTJOIN("",TRUE,Input!$B$2,ROW(My_Audit!A924))</f>
        <v>CC924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6" t="str" cm="1">
        <f t="array" ref="K925">IFERROR(_xlfn.LET(
_xlpm.CSVVal,_xlfn.XLOOKUP($A925,CSV!$A:$A,CSV!N:N,""),
_xlpm.MacVal,_xlfn.XLOOKUP($A925,Output_Mac!$A:$A,Output_Mac!L:L,""),
_xlpm.MyAuditVal,_xlfn.XLOOKUP($A925,My_Audit!$A:$A,My_Audit!J:J,""),
_xlfn.IFS(_xlpm.MyAuditVal&lt;&gt;"",UPPER(_xlpm.MyAuditVal),_xlpm.MacVal&lt;&gt;"",_xlpm.MacVal,_xlpm.CSVVal&lt;&gt;"",_xlpm.CSVVal
)),"")</f>
        <v/>
      </c>
      <c r="L925" s="45"/>
      <c r="M925" s="45"/>
      <c r="N925" s="45"/>
      <c r="O925" s="45"/>
      <c r="P925" s="45"/>
      <c r="Q925" s="45"/>
      <c r="R925" s="45"/>
      <c r="S925" s="45"/>
      <c r="T925" s="46" t="str">
        <f>_xlfn.XLOOKUP(E925,Models!I:I,Models!J:J,"")</f>
        <v/>
      </c>
      <c r="U925" s="45"/>
      <c r="V925" s="45"/>
      <c r="W925" s="38"/>
    </row>
    <row r="926" spans="1:23">
      <c r="A926" s="45" t="str">
        <f>_xlfn.TEXTJOIN("",TRUE,Input!$B$2,ROW(My_Audit!A925))</f>
        <v>CC925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6" t="str" cm="1">
        <f t="array" ref="K926">IFERROR(_xlfn.LET(
_xlpm.CSVVal,_xlfn.XLOOKUP($A926,CSV!$A:$A,CSV!N:N,""),
_xlpm.MacVal,_xlfn.XLOOKUP($A926,Output_Mac!$A:$A,Output_Mac!L:L,""),
_xlpm.MyAuditVal,_xlfn.XLOOKUP($A926,My_Audit!$A:$A,My_Audit!J:J,""),
_xlfn.IFS(_xlpm.MyAuditVal&lt;&gt;"",UPPER(_xlpm.MyAuditVal),_xlpm.MacVal&lt;&gt;"",_xlpm.MacVal,_xlpm.CSVVal&lt;&gt;"",_xlpm.CSVVal
)),"")</f>
        <v/>
      </c>
      <c r="L926" s="45"/>
      <c r="M926" s="45"/>
      <c r="N926" s="45"/>
      <c r="O926" s="45"/>
      <c r="P926" s="45"/>
      <c r="Q926" s="45"/>
      <c r="R926" s="45"/>
      <c r="S926" s="45"/>
      <c r="T926" s="46" t="str">
        <f>_xlfn.XLOOKUP(E926,Models!I:I,Models!J:J,"")</f>
        <v/>
      </c>
      <c r="U926" s="45"/>
      <c r="V926" s="45"/>
      <c r="W926" s="38"/>
    </row>
    <row r="927" spans="1:23">
      <c r="A927" s="45" t="str">
        <f>_xlfn.TEXTJOIN("",TRUE,Input!$B$2,ROW(My_Audit!A926))</f>
        <v>CC926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6" t="str" cm="1">
        <f t="array" ref="K927">IFERROR(_xlfn.LET(
_xlpm.CSVVal,_xlfn.XLOOKUP($A927,CSV!$A:$A,CSV!N:N,""),
_xlpm.MacVal,_xlfn.XLOOKUP($A927,Output_Mac!$A:$A,Output_Mac!L:L,""),
_xlpm.MyAuditVal,_xlfn.XLOOKUP($A927,My_Audit!$A:$A,My_Audit!J:J,""),
_xlfn.IFS(_xlpm.MyAuditVal&lt;&gt;"",UPPER(_xlpm.MyAuditVal),_xlpm.MacVal&lt;&gt;"",_xlpm.MacVal,_xlpm.CSVVal&lt;&gt;"",_xlpm.CSVVal
)),"")</f>
        <v/>
      </c>
      <c r="L927" s="45"/>
      <c r="M927" s="45"/>
      <c r="N927" s="45"/>
      <c r="O927" s="45"/>
      <c r="P927" s="45"/>
      <c r="Q927" s="45"/>
      <c r="R927" s="45"/>
      <c r="S927" s="45"/>
      <c r="T927" s="46" t="str">
        <f>_xlfn.XLOOKUP(E927,Models!I:I,Models!J:J,"")</f>
        <v/>
      </c>
      <c r="U927" s="45"/>
      <c r="V927" s="45"/>
      <c r="W927" s="38"/>
    </row>
    <row r="928" spans="1:23">
      <c r="A928" s="45" t="str">
        <f>_xlfn.TEXTJOIN("",TRUE,Input!$B$2,ROW(My_Audit!A927))</f>
        <v>CC927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6" t="str" cm="1">
        <f t="array" ref="K928">IFERROR(_xlfn.LET(
_xlpm.CSVVal,_xlfn.XLOOKUP($A928,CSV!$A:$A,CSV!N:N,""),
_xlpm.MacVal,_xlfn.XLOOKUP($A928,Output_Mac!$A:$A,Output_Mac!L:L,""),
_xlpm.MyAuditVal,_xlfn.XLOOKUP($A928,My_Audit!$A:$A,My_Audit!J:J,""),
_xlfn.IFS(_xlpm.MyAuditVal&lt;&gt;"",UPPER(_xlpm.MyAuditVal),_xlpm.MacVal&lt;&gt;"",_xlpm.MacVal,_xlpm.CSVVal&lt;&gt;"",_xlpm.CSVVal
)),"")</f>
        <v/>
      </c>
      <c r="L928" s="45"/>
      <c r="M928" s="45"/>
      <c r="N928" s="45"/>
      <c r="O928" s="45"/>
      <c r="P928" s="45"/>
      <c r="Q928" s="45"/>
      <c r="R928" s="45"/>
      <c r="S928" s="45"/>
      <c r="T928" s="46" t="str">
        <f>_xlfn.XLOOKUP(E928,Models!I:I,Models!J:J,"")</f>
        <v/>
      </c>
      <c r="U928" s="45"/>
      <c r="V928" s="45"/>
      <c r="W928" s="38"/>
    </row>
    <row r="929" spans="1:23">
      <c r="A929" s="45" t="str">
        <f>_xlfn.TEXTJOIN("",TRUE,Input!$B$2,ROW(My_Audit!A928))</f>
        <v>CC928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6" t="str" cm="1">
        <f t="array" ref="K929">IFERROR(_xlfn.LET(
_xlpm.CSVVal,_xlfn.XLOOKUP($A929,CSV!$A:$A,CSV!N:N,""),
_xlpm.MacVal,_xlfn.XLOOKUP($A929,Output_Mac!$A:$A,Output_Mac!L:L,""),
_xlpm.MyAuditVal,_xlfn.XLOOKUP($A929,My_Audit!$A:$A,My_Audit!J:J,""),
_xlfn.IFS(_xlpm.MyAuditVal&lt;&gt;"",UPPER(_xlpm.MyAuditVal),_xlpm.MacVal&lt;&gt;"",_xlpm.MacVal,_xlpm.CSVVal&lt;&gt;"",_xlpm.CSVVal
)),"")</f>
        <v/>
      </c>
      <c r="L929" s="45"/>
      <c r="M929" s="45"/>
      <c r="N929" s="45"/>
      <c r="O929" s="45"/>
      <c r="P929" s="45"/>
      <c r="Q929" s="45"/>
      <c r="R929" s="45"/>
      <c r="S929" s="45"/>
      <c r="T929" s="46" t="str">
        <f>_xlfn.XLOOKUP(E929,Models!I:I,Models!J:J,"")</f>
        <v/>
      </c>
      <c r="U929" s="45"/>
      <c r="V929" s="45"/>
      <c r="W929" s="38"/>
    </row>
    <row r="930" spans="1:23">
      <c r="A930" s="45" t="str">
        <f>_xlfn.TEXTJOIN("",TRUE,Input!$B$2,ROW(My_Audit!A929))</f>
        <v>CC929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6" t="str" cm="1">
        <f t="array" ref="K930">IFERROR(_xlfn.LET(
_xlpm.CSVVal,_xlfn.XLOOKUP($A930,CSV!$A:$A,CSV!N:N,""),
_xlpm.MacVal,_xlfn.XLOOKUP($A930,Output_Mac!$A:$A,Output_Mac!L:L,""),
_xlpm.MyAuditVal,_xlfn.XLOOKUP($A930,My_Audit!$A:$A,My_Audit!J:J,""),
_xlfn.IFS(_xlpm.MyAuditVal&lt;&gt;"",UPPER(_xlpm.MyAuditVal),_xlpm.MacVal&lt;&gt;"",_xlpm.MacVal,_xlpm.CSVVal&lt;&gt;"",_xlpm.CSVVal
)),"")</f>
        <v/>
      </c>
      <c r="L930" s="45"/>
      <c r="M930" s="45"/>
      <c r="N930" s="45"/>
      <c r="O930" s="45"/>
      <c r="P930" s="45"/>
      <c r="Q930" s="45"/>
      <c r="R930" s="45"/>
      <c r="S930" s="45"/>
      <c r="T930" s="46" t="str">
        <f>_xlfn.XLOOKUP(E930,Models!I:I,Models!J:J,"")</f>
        <v/>
      </c>
      <c r="U930" s="45"/>
      <c r="V930" s="45"/>
      <c r="W930" s="38"/>
    </row>
    <row r="931" spans="1:23">
      <c r="A931" s="45" t="str">
        <f>_xlfn.TEXTJOIN("",TRUE,Input!$B$2,ROW(My_Audit!A930))</f>
        <v>CC930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6" t="str" cm="1">
        <f t="array" ref="K931">IFERROR(_xlfn.LET(
_xlpm.CSVVal,_xlfn.XLOOKUP($A931,CSV!$A:$A,CSV!N:N,""),
_xlpm.MacVal,_xlfn.XLOOKUP($A931,Output_Mac!$A:$A,Output_Mac!L:L,""),
_xlpm.MyAuditVal,_xlfn.XLOOKUP($A931,My_Audit!$A:$A,My_Audit!J:J,""),
_xlfn.IFS(_xlpm.MyAuditVal&lt;&gt;"",UPPER(_xlpm.MyAuditVal),_xlpm.MacVal&lt;&gt;"",_xlpm.MacVal,_xlpm.CSVVal&lt;&gt;"",_xlpm.CSVVal
)),"")</f>
        <v/>
      </c>
      <c r="L931" s="45"/>
      <c r="M931" s="45"/>
      <c r="N931" s="45"/>
      <c r="O931" s="45"/>
      <c r="P931" s="45"/>
      <c r="Q931" s="45"/>
      <c r="R931" s="45"/>
      <c r="S931" s="45"/>
      <c r="T931" s="46" t="str">
        <f>_xlfn.XLOOKUP(E931,Models!I:I,Models!J:J,"")</f>
        <v/>
      </c>
      <c r="U931" s="45"/>
      <c r="V931" s="45"/>
      <c r="W931" s="38"/>
    </row>
    <row r="932" spans="1:23">
      <c r="A932" s="45" t="str">
        <f>_xlfn.TEXTJOIN("",TRUE,Input!$B$2,ROW(My_Audit!A931))</f>
        <v>CC931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6" t="str" cm="1">
        <f t="array" ref="K932">IFERROR(_xlfn.LET(
_xlpm.CSVVal,_xlfn.XLOOKUP($A932,CSV!$A:$A,CSV!N:N,""),
_xlpm.MacVal,_xlfn.XLOOKUP($A932,Output_Mac!$A:$A,Output_Mac!L:L,""),
_xlpm.MyAuditVal,_xlfn.XLOOKUP($A932,My_Audit!$A:$A,My_Audit!J:J,""),
_xlfn.IFS(_xlpm.MyAuditVal&lt;&gt;"",UPPER(_xlpm.MyAuditVal),_xlpm.MacVal&lt;&gt;"",_xlpm.MacVal,_xlpm.CSVVal&lt;&gt;"",_xlpm.CSVVal
)),"")</f>
        <v/>
      </c>
      <c r="L932" s="45"/>
      <c r="M932" s="45"/>
      <c r="N932" s="45"/>
      <c r="O932" s="45"/>
      <c r="P932" s="45"/>
      <c r="Q932" s="45"/>
      <c r="R932" s="45"/>
      <c r="S932" s="45"/>
      <c r="T932" s="46" t="str">
        <f>_xlfn.XLOOKUP(E932,Models!I:I,Models!J:J,"")</f>
        <v/>
      </c>
      <c r="U932" s="45"/>
      <c r="V932" s="45"/>
      <c r="W932" s="38"/>
    </row>
    <row r="933" spans="1:23">
      <c r="A933" s="45" t="str">
        <f>_xlfn.TEXTJOIN("",TRUE,Input!$B$2,ROW(My_Audit!A932))</f>
        <v>CC932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6" t="str" cm="1">
        <f t="array" ref="K933">IFERROR(_xlfn.LET(
_xlpm.CSVVal,_xlfn.XLOOKUP($A933,CSV!$A:$A,CSV!N:N,""),
_xlpm.MacVal,_xlfn.XLOOKUP($A933,Output_Mac!$A:$A,Output_Mac!L:L,""),
_xlpm.MyAuditVal,_xlfn.XLOOKUP($A933,My_Audit!$A:$A,My_Audit!J:J,""),
_xlfn.IFS(_xlpm.MyAuditVal&lt;&gt;"",UPPER(_xlpm.MyAuditVal),_xlpm.MacVal&lt;&gt;"",_xlpm.MacVal,_xlpm.CSVVal&lt;&gt;"",_xlpm.CSVVal
)),"")</f>
        <v/>
      </c>
      <c r="L933" s="45"/>
      <c r="M933" s="45"/>
      <c r="N933" s="45"/>
      <c r="O933" s="45"/>
      <c r="P933" s="45"/>
      <c r="Q933" s="45"/>
      <c r="R933" s="45"/>
      <c r="S933" s="45"/>
      <c r="T933" s="46" t="str">
        <f>_xlfn.XLOOKUP(E933,Models!I:I,Models!J:J,"")</f>
        <v/>
      </c>
      <c r="U933" s="45"/>
      <c r="V933" s="45"/>
      <c r="W933" s="38"/>
    </row>
    <row r="934" spans="1:23">
      <c r="A934" s="45" t="str">
        <f>_xlfn.TEXTJOIN("",TRUE,Input!$B$2,ROW(My_Audit!A933))</f>
        <v>CC933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6" t="str" cm="1">
        <f t="array" ref="K934">IFERROR(_xlfn.LET(
_xlpm.CSVVal,_xlfn.XLOOKUP($A934,CSV!$A:$A,CSV!N:N,""),
_xlpm.MacVal,_xlfn.XLOOKUP($A934,Output_Mac!$A:$A,Output_Mac!L:L,""),
_xlpm.MyAuditVal,_xlfn.XLOOKUP($A934,My_Audit!$A:$A,My_Audit!J:J,""),
_xlfn.IFS(_xlpm.MyAuditVal&lt;&gt;"",UPPER(_xlpm.MyAuditVal),_xlpm.MacVal&lt;&gt;"",_xlpm.MacVal,_xlpm.CSVVal&lt;&gt;"",_xlpm.CSVVal
)),"")</f>
        <v/>
      </c>
      <c r="L934" s="45"/>
      <c r="M934" s="45"/>
      <c r="N934" s="45"/>
      <c r="O934" s="45"/>
      <c r="P934" s="45"/>
      <c r="Q934" s="45"/>
      <c r="R934" s="45"/>
      <c r="S934" s="45"/>
      <c r="T934" s="46" t="str">
        <f>_xlfn.XLOOKUP(E934,Models!I:I,Models!J:J,"")</f>
        <v/>
      </c>
      <c r="U934" s="45"/>
      <c r="V934" s="45"/>
      <c r="W934" s="38"/>
    </row>
    <row r="935" spans="1:23">
      <c r="A935" s="45" t="str">
        <f>_xlfn.TEXTJOIN("",TRUE,Input!$B$2,ROW(My_Audit!A934))</f>
        <v>CC934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6" t="str" cm="1">
        <f t="array" ref="K935">IFERROR(_xlfn.LET(
_xlpm.CSVVal,_xlfn.XLOOKUP($A935,CSV!$A:$A,CSV!N:N,""),
_xlpm.MacVal,_xlfn.XLOOKUP($A935,Output_Mac!$A:$A,Output_Mac!L:L,""),
_xlpm.MyAuditVal,_xlfn.XLOOKUP($A935,My_Audit!$A:$A,My_Audit!J:J,""),
_xlfn.IFS(_xlpm.MyAuditVal&lt;&gt;"",UPPER(_xlpm.MyAuditVal),_xlpm.MacVal&lt;&gt;"",_xlpm.MacVal,_xlpm.CSVVal&lt;&gt;"",_xlpm.CSVVal
)),"")</f>
        <v/>
      </c>
      <c r="L935" s="45"/>
      <c r="M935" s="45"/>
      <c r="N935" s="45"/>
      <c r="O935" s="45"/>
      <c r="P935" s="45"/>
      <c r="Q935" s="45"/>
      <c r="R935" s="45"/>
      <c r="S935" s="45"/>
      <c r="T935" s="46" t="str">
        <f>_xlfn.XLOOKUP(E935,Models!I:I,Models!J:J,"")</f>
        <v/>
      </c>
      <c r="U935" s="45"/>
      <c r="V935" s="45"/>
      <c r="W935" s="38"/>
    </row>
    <row r="936" spans="1:23">
      <c r="A936" s="45" t="str">
        <f>_xlfn.TEXTJOIN("",TRUE,Input!$B$2,ROW(My_Audit!A935))</f>
        <v>CC935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6" t="str" cm="1">
        <f t="array" ref="K936">IFERROR(_xlfn.LET(
_xlpm.CSVVal,_xlfn.XLOOKUP($A936,CSV!$A:$A,CSV!N:N,""),
_xlpm.MacVal,_xlfn.XLOOKUP($A936,Output_Mac!$A:$A,Output_Mac!L:L,""),
_xlpm.MyAuditVal,_xlfn.XLOOKUP($A936,My_Audit!$A:$A,My_Audit!J:J,""),
_xlfn.IFS(_xlpm.MyAuditVal&lt;&gt;"",UPPER(_xlpm.MyAuditVal),_xlpm.MacVal&lt;&gt;"",_xlpm.MacVal,_xlpm.CSVVal&lt;&gt;"",_xlpm.CSVVal
)),"")</f>
        <v/>
      </c>
      <c r="L936" s="45"/>
      <c r="M936" s="45"/>
      <c r="N936" s="45"/>
      <c r="O936" s="45"/>
      <c r="P936" s="45"/>
      <c r="Q936" s="45"/>
      <c r="R936" s="45"/>
      <c r="S936" s="45"/>
      <c r="T936" s="46" t="str">
        <f>_xlfn.XLOOKUP(E936,Models!I:I,Models!J:J,"")</f>
        <v/>
      </c>
      <c r="U936" s="45"/>
      <c r="V936" s="45"/>
      <c r="W936" s="38"/>
    </row>
    <row r="937" spans="1:23">
      <c r="A937" s="45" t="str">
        <f>_xlfn.TEXTJOIN("",TRUE,Input!$B$2,ROW(My_Audit!A936))</f>
        <v>CC936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6" t="str" cm="1">
        <f t="array" ref="K937">IFERROR(_xlfn.LET(
_xlpm.CSVVal,_xlfn.XLOOKUP($A937,CSV!$A:$A,CSV!N:N,""),
_xlpm.MacVal,_xlfn.XLOOKUP($A937,Output_Mac!$A:$A,Output_Mac!L:L,""),
_xlpm.MyAuditVal,_xlfn.XLOOKUP($A937,My_Audit!$A:$A,My_Audit!J:J,""),
_xlfn.IFS(_xlpm.MyAuditVal&lt;&gt;"",UPPER(_xlpm.MyAuditVal),_xlpm.MacVal&lt;&gt;"",_xlpm.MacVal,_xlpm.CSVVal&lt;&gt;"",_xlpm.CSVVal
)),"")</f>
        <v/>
      </c>
      <c r="L937" s="45"/>
      <c r="M937" s="45"/>
      <c r="N937" s="45"/>
      <c r="O937" s="45"/>
      <c r="P937" s="45"/>
      <c r="Q937" s="45"/>
      <c r="R937" s="45"/>
      <c r="S937" s="45"/>
      <c r="T937" s="46" t="str">
        <f>_xlfn.XLOOKUP(E937,Models!I:I,Models!J:J,"")</f>
        <v/>
      </c>
      <c r="U937" s="45"/>
      <c r="V937" s="45"/>
      <c r="W937" s="38"/>
    </row>
    <row r="938" spans="1:23">
      <c r="A938" s="45" t="str">
        <f>_xlfn.TEXTJOIN("",TRUE,Input!$B$2,ROW(My_Audit!A937))</f>
        <v>CC937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6" t="str" cm="1">
        <f t="array" ref="K938">IFERROR(_xlfn.LET(
_xlpm.CSVVal,_xlfn.XLOOKUP($A938,CSV!$A:$A,CSV!N:N,""),
_xlpm.MacVal,_xlfn.XLOOKUP($A938,Output_Mac!$A:$A,Output_Mac!L:L,""),
_xlpm.MyAuditVal,_xlfn.XLOOKUP($A938,My_Audit!$A:$A,My_Audit!J:J,""),
_xlfn.IFS(_xlpm.MyAuditVal&lt;&gt;"",UPPER(_xlpm.MyAuditVal),_xlpm.MacVal&lt;&gt;"",_xlpm.MacVal,_xlpm.CSVVal&lt;&gt;"",_xlpm.CSVVal
)),"")</f>
        <v/>
      </c>
      <c r="L938" s="45"/>
      <c r="M938" s="45"/>
      <c r="N938" s="45"/>
      <c r="O938" s="45"/>
      <c r="P938" s="45"/>
      <c r="Q938" s="45"/>
      <c r="R938" s="45"/>
      <c r="S938" s="45"/>
      <c r="T938" s="46" t="str">
        <f>_xlfn.XLOOKUP(E938,Models!I:I,Models!J:J,"")</f>
        <v/>
      </c>
      <c r="U938" s="45"/>
      <c r="V938" s="45"/>
      <c r="W938" s="38"/>
    </row>
    <row r="939" spans="1:23">
      <c r="A939" s="45" t="str">
        <f>_xlfn.TEXTJOIN("",TRUE,Input!$B$2,ROW(My_Audit!A938))</f>
        <v>CC938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6" t="str" cm="1">
        <f t="array" ref="K939">IFERROR(_xlfn.LET(
_xlpm.CSVVal,_xlfn.XLOOKUP($A939,CSV!$A:$A,CSV!N:N,""),
_xlpm.MacVal,_xlfn.XLOOKUP($A939,Output_Mac!$A:$A,Output_Mac!L:L,""),
_xlpm.MyAuditVal,_xlfn.XLOOKUP($A939,My_Audit!$A:$A,My_Audit!J:J,""),
_xlfn.IFS(_xlpm.MyAuditVal&lt;&gt;"",UPPER(_xlpm.MyAuditVal),_xlpm.MacVal&lt;&gt;"",_xlpm.MacVal,_xlpm.CSVVal&lt;&gt;"",_xlpm.CSVVal
)),"")</f>
        <v/>
      </c>
      <c r="L939" s="45"/>
      <c r="M939" s="45"/>
      <c r="N939" s="45"/>
      <c r="O939" s="45"/>
      <c r="P939" s="45"/>
      <c r="Q939" s="45"/>
      <c r="R939" s="45"/>
      <c r="S939" s="45"/>
      <c r="T939" s="46" t="str">
        <f>_xlfn.XLOOKUP(E939,Models!I:I,Models!J:J,"")</f>
        <v/>
      </c>
      <c r="U939" s="45"/>
      <c r="V939" s="45"/>
      <c r="W939" s="38"/>
    </row>
    <row r="940" spans="1:23">
      <c r="A940" s="45" t="str">
        <f>_xlfn.TEXTJOIN("",TRUE,Input!$B$2,ROW(My_Audit!A939))</f>
        <v>CC939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6" t="str" cm="1">
        <f t="array" ref="K940">IFERROR(_xlfn.LET(
_xlpm.CSVVal,_xlfn.XLOOKUP($A940,CSV!$A:$A,CSV!N:N,""),
_xlpm.MacVal,_xlfn.XLOOKUP($A940,Output_Mac!$A:$A,Output_Mac!L:L,""),
_xlpm.MyAuditVal,_xlfn.XLOOKUP($A940,My_Audit!$A:$A,My_Audit!J:J,""),
_xlfn.IFS(_xlpm.MyAuditVal&lt;&gt;"",UPPER(_xlpm.MyAuditVal),_xlpm.MacVal&lt;&gt;"",_xlpm.MacVal,_xlpm.CSVVal&lt;&gt;"",_xlpm.CSVVal
)),"")</f>
        <v/>
      </c>
      <c r="L940" s="45"/>
      <c r="M940" s="45"/>
      <c r="N940" s="45"/>
      <c r="O940" s="45"/>
      <c r="P940" s="45"/>
      <c r="Q940" s="45"/>
      <c r="R940" s="45"/>
      <c r="S940" s="45"/>
      <c r="T940" s="46" t="str">
        <f>_xlfn.XLOOKUP(E940,Models!I:I,Models!J:J,"")</f>
        <v/>
      </c>
      <c r="U940" s="45"/>
      <c r="V940" s="45"/>
      <c r="W940" s="38"/>
    </row>
    <row r="941" spans="1:23">
      <c r="A941" s="45" t="str">
        <f>_xlfn.TEXTJOIN("",TRUE,Input!$B$2,ROW(My_Audit!A940))</f>
        <v>CC940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6" t="str" cm="1">
        <f t="array" ref="K941">IFERROR(_xlfn.LET(
_xlpm.CSVVal,_xlfn.XLOOKUP($A941,CSV!$A:$A,CSV!N:N,""),
_xlpm.MacVal,_xlfn.XLOOKUP($A941,Output_Mac!$A:$A,Output_Mac!L:L,""),
_xlpm.MyAuditVal,_xlfn.XLOOKUP($A941,My_Audit!$A:$A,My_Audit!J:J,""),
_xlfn.IFS(_xlpm.MyAuditVal&lt;&gt;"",UPPER(_xlpm.MyAuditVal),_xlpm.MacVal&lt;&gt;"",_xlpm.MacVal,_xlpm.CSVVal&lt;&gt;"",_xlpm.CSVVal
)),"")</f>
        <v/>
      </c>
      <c r="L941" s="45"/>
      <c r="M941" s="45"/>
      <c r="N941" s="45"/>
      <c r="O941" s="45"/>
      <c r="P941" s="45"/>
      <c r="Q941" s="45"/>
      <c r="R941" s="45"/>
      <c r="S941" s="45"/>
      <c r="T941" s="46" t="str">
        <f>_xlfn.XLOOKUP(E941,Models!I:I,Models!J:J,"")</f>
        <v/>
      </c>
      <c r="U941" s="45"/>
      <c r="V941" s="45"/>
      <c r="W941" s="38"/>
    </row>
    <row r="942" spans="1:23">
      <c r="A942" s="45" t="str">
        <f>_xlfn.TEXTJOIN("",TRUE,Input!$B$2,ROW(My_Audit!A941))</f>
        <v>CC941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6" t="str" cm="1">
        <f t="array" ref="K942">IFERROR(_xlfn.LET(
_xlpm.CSVVal,_xlfn.XLOOKUP($A942,CSV!$A:$A,CSV!N:N,""),
_xlpm.MacVal,_xlfn.XLOOKUP($A942,Output_Mac!$A:$A,Output_Mac!L:L,""),
_xlpm.MyAuditVal,_xlfn.XLOOKUP($A942,My_Audit!$A:$A,My_Audit!J:J,""),
_xlfn.IFS(_xlpm.MyAuditVal&lt;&gt;"",UPPER(_xlpm.MyAuditVal),_xlpm.MacVal&lt;&gt;"",_xlpm.MacVal,_xlpm.CSVVal&lt;&gt;"",_xlpm.CSVVal
)),"")</f>
        <v/>
      </c>
      <c r="L942" s="45"/>
      <c r="M942" s="45"/>
      <c r="N942" s="45"/>
      <c r="O942" s="45"/>
      <c r="P942" s="45"/>
      <c r="Q942" s="45"/>
      <c r="R942" s="45"/>
      <c r="S942" s="45"/>
      <c r="T942" s="46" t="str">
        <f>_xlfn.XLOOKUP(E942,Models!I:I,Models!J:J,"")</f>
        <v/>
      </c>
      <c r="U942" s="45"/>
      <c r="V942" s="45"/>
      <c r="W942" s="38"/>
    </row>
    <row r="943" spans="1:23">
      <c r="A943" s="45" t="str">
        <f>_xlfn.TEXTJOIN("",TRUE,Input!$B$2,ROW(My_Audit!A942))</f>
        <v>CC942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6" t="str" cm="1">
        <f t="array" ref="K943">IFERROR(_xlfn.LET(
_xlpm.CSVVal,_xlfn.XLOOKUP($A943,CSV!$A:$A,CSV!N:N,""),
_xlpm.MacVal,_xlfn.XLOOKUP($A943,Output_Mac!$A:$A,Output_Mac!L:L,""),
_xlpm.MyAuditVal,_xlfn.XLOOKUP($A943,My_Audit!$A:$A,My_Audit!J:J,""),
_xlfn.IFS(_xlpm.MyAuditVal&lt;&gt;"",UPPER(_xlpm.MyAuditVal),_xlpm.MacVal&lt;&gt;"",_xlpm.MacVal,_xlpm.CSVVal&lt;&gt;"",_xlpm.CSVVal
)),"")</f>
        <v/>
      </c>
      <c r="L943" s="45"/>
      <c r="M943" s="45"/>
      <c r="N943" s="45"/>
      <c r="O943" s="45"/>
      <c r="P943" s="45"/>
      <c r="Q943" s="45"/>
      <c r="R943" s="45"/>
      <c r="S943" s="45"/>
      <c r="T943" s="46" t="str">
        <f>_xlfn.XLOOKUP(E943,Models!I:I,Models!J:J,"")</f>
        <v/>
      </c>
      <c r="U943" s="45"/>
      <c r="V943" s="45"/>
      <c r="W943" s="38"/>
    </row>
    <row r="944" spans="1:23">
      <c r="A944" s="45" t="str">
        <f>_xlfn.TEXTJOIN("",TRUE,Input!$B$2,ROW(My_Audit!A943))</f>
        <v>CC943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6" t="str" cm="1">
        <f t="array" ref="K944">IFERROR(_xlfn.LET(
_xlpm.CSVVal,_xlfn.XLOOKUP($A944,CSV!$A:$A,CSV!N:N,""),
_xlpm.MacVal,_xlfn.XLOOKUP($A944,Output_Mac!$A:$A,Output_Mac!L:L,""),
_xlpm.MyAuditVal,_xlfn.XLOOKUP($A944,My_Audit!$A:$A,My_Audit!J:J,""),
_xlfn.IFS(_xlpm.MyAuditVal&lt;&gt;"",UPPER(_xlpm.MyAuditVal),_xlpm.MacVal&lt;&gt;"",_xlpm.MacVal,_xlpm.CSVVal&lt;&gt;"",_xlpm.CSVVal
)),"")</f>
        <v/>
      </c>
      <c r="L944" s="45"/>
      <c r="M944" s="45"/>
      <c r="N944" s="45"/>
      <c r="O944" s="45"/>
      <c r="P944" s="45"/>
      <c r="Q944" s="45"/>
      <c r="R944" s="45"/>
      <c r="S944" s="45"/>
      <c r="T944" s="46" t="str">
        <f>_xlfn.XLOOKUP(E944,Models!I:I,Models!J:J,"")</f>
        <v/>
      </c>
      <c r="U944" s="45"/>
      <c r="V944" s="45"/>
      <c r="W944" s="38"/>
    </row>
    <row r="945" spans="1:23">
      <c r="A945" s="45" t="str">
        <f>_xlfn.TEXTJOIN("",TRUE,Input!$B$2,ROW(My_Audit!A944))</f>
        <v>CC944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6" t="str" cm="1">
        <f t="array" ref="K945">IFERROR(_xlfn.LET(
_xlpm.CSVVal,_xlfn.XLOOKUP($A945,CSV!$A:$A,CSV!N:N,""),
_xlpm.MacVal,_xlfn.XLOOKUP($A945,Output_Mac!$A:$A,Output_Mac!L:L,""),
_xlpm.MyAuditVal,_xlfn.XLOOKUP($A945,My_Audit!$A:$A,My_Audit!J:J,""),
_xlfn.IFS(_xlpm.MyAuditVal&lt;&gt;"",UPPER(_xlpm.MyAuditVal),_xlpm.MacVal&lt;&gt;"",_xlpm.MacVal,_xlpm.CSVVal&lt;&gt;"",_xlpm.CSVVal
)),"")</f>
        <v/>
      </c>
      <c r="L945" s="45"/>
      <c r="M945" s="45"/>
      <c r="N945" s="45"/>
      <c r="O945" s="45"/>
      <c r="P945" s="45"/>
      <c r="Q945" s="45"/>
      <c r="R945" s="45"/>
      <c r="S945" s="45"/>
      <c r="T945" s="46" t="str">
        <f>_xlfn.XLOOKUP(E945,Models!I:I,Models!J:J,"")</f>
        <v/>
      </c>
      <c r="U945" s="45"/>
      <c r="V945" s="45"/>
      <c r="W945" s="38"/>
    </row>
    <row r="946" spans="1:23">
      <c r="A946" s="45" t="str">
        <f>_xlfn.TEXTJOIN("",TRUE,Input!$B$2,ROW(My_Audit!A945))</f>
        <v>CC945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6" t="str" cm="1">
        <f t="array" ref="K946">IFERROR(_xlfn.LET(
_xlpm.CSVVal,_xlfn.XLOOKUP($A946,CSV!$A:$A,CSV!N:N,""),
_xlpm.MacVal,_xlfn.XLOOKUP($A946,Output_Mac!$A:$A,Output_Mac!L:L,""),
_xlpm.MyAuditVal,_xlfn.XLOOKUP($A946,My_Audit!$A:$A,My_Audit!J:J,""),
_xlfn.IFS(_xlpm.MyAuditVal&lt;&gt;"",UPPER(_xlpm.MyAuditVal),_xlpm.MacVal&lt;&gt;"",_xlpm.MacVal,_xlpm.CSVVal&lt;&gt;"",_xlpm.CSVVal
)),"")</f>
        <v/>
      </c>
      <c r="L946" s="45"/>
      <c r="M946" s="45"/>
      <c r="N946" s="45"/>
      <c r="O946" s="45"/>
      <c r="P946" s="45"/>
      <c r="Q946" s="45"/>
      <c r="R946" s="45"/>
      <c r="S946" s="45"/>
      <c r="T946" s="46" t="str">
        <f>_xlfn.XLOOKUP(E946,Models!I:I,Models!J:J,"")</f>
        <v/>
      </c>
      <c r="U946" s="45"/>
      <c r="V946" s="45"/>
      <c r="W946" s="38"/>
    </row>
    <row r="947" spans="1:23">
      <c r="A947" s="45" t="str">
        <f>_xlfn.TEXTJOIN("",TRUE,Input!$B$2,ROW(My_Audit!A946))</f>
        <v>CC946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6" t="str" cm="1">
        <f t="array" ref="K947">IFERROR(_xlfn.LET(
_xlpm.CSVVal,_xlfn.XLOOKUP($A947,CSV!$A:$A,CSV!N:N,""),
_xlpm.MacVal,_xlfn.XLOOKUP($A947,Output_Mac!$A:$A,Output_Mac!L:L,""),
_xlpm.MyAuditVal,_xlfn.XLOOKUP($A947,My_Audit!$A:$A,My_Audit!J:J,""),
_xlfn.IFS(_xlpm.MyAuditVal&lt;&gt;"",UPPER(_xlpm.MyAuditVal),_xlpm.MacVal&lt;&gt;"",_xlpm.MacVal,_xlpm.CSVVal&lt;&gt;"",_xlpm.CSVVal
)),"")</f>
        <v/>
      </c>
      <c r="L947" s="45"/>
      <c r="M947" s="45"/>
      <c r="N947" s="45"/>
      <c r="O947" s="45"/>
      <c r="P947" s="45"/>
      <c r="Q947" s="45"/>
      <c r="R947" s="45"/>
      <c r="S947" s="45"/>
      <c r="T947" s="46" t="str">
        <f>_xlfn.XLOOKUP(E947,Models!I:I,Models!J:J,"")</f>
        <v/>
      </c>
      <c r="U947" s="45"/>
      <c r="V947" s="45"/>
      <c r="W947" s="38"/>
    </row>
    <row r="948" spans="1:23">
      <c r="A948" s="45" t="str">
        <f>_xlfn.TEXTJOIN("",TRUE,Input!$B$2,ROW(My_Audit!A947))</f>
        <v>CC947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6" t="str" cm="1">
        <f t="array" ref="K948">IFERROR(_xlfn.LET(
_xlpm.CSVVal,_xlfn.XLOOKUP($A948,CSV!$A:$A,CSV!N:N,""),
_xlpm.MacVal,_xlfn.XLOOKUP($A948,Output_Mac!$A:$A,Output_Mac!L:L,""),
_xlpm.MyAuditVal,_xlfn.XLOOKUP($A948,My_Audit!$A:$A,My_Audit!J:J,""),
_xlfn.IFS(_xlpm.MyAuditVal&lt;&gt;"",UPPER(_xlpm.MyAuditVal),_xlpm.MacVal&lt;&gt;"",_xlpm.MacVal,_xlpm.CSVVal&lt;&gt;"",_xlpm.CSVVal
)),"")</f>
        <v/>
      </c>
      <c r="L948" s="45"/>
      <c r="M948" s="45"/>
      <c r="N948" s="45"/>
      <c r="O948" s="45"/>
      <c r="P948" s="45"/>
      <c r="Q948" s="45"/>
      <c r="R948" s="45"/>
      <c r="S948" s="45"/>
      <c r="T948" s="46" t="str">
        <f>_xlfn.XLOOKUP(E948,Models!I:I,Models!J:J,"")</f>
        <v/>
      </c>
      <c r="U948" s="45"/>
      <c r="V948" s="45"/>
      <c r="W948" s="38"/>
    </row>
    <row r="949" spans="1:23">
      <c r="A949" s="45" t="str">
        <f>_xlfn.TEXTJOIN("",TRUE,Input!$B$2,ROW(My_Audit!A948))</f>
        <v>CC948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6" t="str" cm="1">
        <f t="array" ref="K949">IFERROR(_xlfn.LET(
_xlpm.CSVVal,_xlfn.XLOOKUP($A949,CSV!$A:$A,CSV!N:N,""),
_xlpm.MacVal,_xlfn.XLOOKUP($A949,Output_Mac!$A:$A,Output_Mac!L:L,""),
_xlpm.MyAuditVal,_xlfn.XLOOKUP($A949,My_Audit!$A:$A,My_Audit!J:J,""),
_xlfn.IFS(_xlpm.MyAuditVal&lt;&gt;"",UPPER(_xlpm.MyAuditVal),_xlpm.MacVal&lt;&gt;"",_xlpm.MacVal,_xlpm.CSVVal&lt;&gt;"",_xlpm.CSVVal
)),"")</f>
        <v/>
      </c>
      <c r="L949" s="45"/>
      <c r="M949" s="45"/>
      <c r="N949" s="45"/>
      <c r="O949" s="45"/>
      <c r="P949" s="45"/>
      <c r="Q949" s="45"/>
      <c r="R949" s="45"/>
      <c r="S949" s="45"/>
      <c r="T949" s="46" t="str">
        <f>_xlfn.XLOOKUP(E949,Models!I:I,Models!J:J,"")</f>
        <v/>
      </c>
      <c r="U949" s="45"/>
      <c r="V949" s="45"/>
      <c r="W949" s="38"/>
    </row>
    <row r="950" spans="1:23">
      <c r="A950" s="45" t="str">
        <f>_xlfn.TEXTJOIN("",TRUE,Input!$B$2,ROW(My_Audit!A949))</f>
        <v>CC949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6" t="str" cm="1">
        <f t="array" ref="K950">IFERROR(_xlfn.LET(
_xlpm.CSVVal,_xlfn.XLOOKUP($A950,CSV!$A:$A,CSV!N:N,""),
_xlpm.MacVal,_xlfn.XLOOKUP($A950,Output_Mac!$A:$A,Output_Mac!L:L,""),
_xlpm.MyAuditVal,_xlfn.XLOOKUP($A950,My_Audit!$A:$A,My_Audit!J:J,""),
_xlfn.IFS(_xlpm.MyAuditVal&lt;&gt;"",UPPER(_xlpm.MyAuditVal),_xlpm.MacVal&lt;&gt;"",_xlpm.MacVal,_xlpm.CSVVal&lt;&gt;"",_xlpm.CSVVal
)),"")</f>
        <v/>
      </c>
      <c r="L950" s="45"/>
      <c r="M950" s="45"/>
      <c r="N950" s="45"/>
      <c r="O950" s="45"/>
      <c r="P950" s="45"/>
      <c r="Q950" s="45"/>
      <c r="R950" s="45"/>
      <c r="S950" s="45"/>
      <c r="T950" s="46" t="str">
        <f>_xlfn.XLOOKUP(E950,Models!I:I,Models!J:J,"")</f>
        <v/>
      </c>
      <c r="U950" s="45"/>
      <c r="V950" s="45"/>
      <c r="W950" s="38"/>
    </row>
    <row r="951" spans="1:23">
      <c r="A951" s="45" t="str">
        <f>_xlfn.TEXTJOIN("",TRUE,Input!$B$2,ROW(My_Audit!A950))</f>
        <v>CC950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6" t="str" cm="1">
        <f t="array" ref="K951">IFERROR(_xlfn.LET(
_xlpm.CSVVal,_xlfn.XLOOKUP($A951,CSV!$A:$A,CSV!N:N,""),
_xlpm.MacVal,_xlfn.XLOOKUP($A951,Output_Mac!$A:$A,Output_Mac!L:L,""),
_xlpm.MyAuditVal,_xlfn.XLOOKUP($A951,My_Audit!$A:$A,My_Audit!J:J,""),
_xlfn.IFS(_xlpm.MyAuditVal&lt;&gt;"",UPPER(_xlpm.MyAuditVal),_xlpm.MacVal&lt;&gt;"",_xlpm.MacVal,_xlpm.CSVVal&lt;&gt;"",_xlpm.CSVVal
)),"")</f>
        <v/>
      </c>
      <c r="L951" s="45"/>
      <c r="M951" s="45"/>
      <c r="N951" s="45"/>
      <c r="O951" s="45"/>
      <c r="P951" s="45"/>
      <c r="Q951" s="45"/>
      <c r="R951" s="45"/>
      <c r="S951" s="45"/>
      <c r="T951" s="46" t="str">
        <f>_xlfn.XLOOKUP(E951,Models!I:I,Models!J:J,"")</f>
        <v/>
      </c>
      <c r="U951" s="45"/>
      <c r="V951" s="45"/>
      <c r="W951" s="38"/>
    </row>
    <row r="952" spans="1:23">
      <c r="A952" s="45" t="str">
        <f>_xlfn.TEXTJOIN("",TRUE,Input!$B$2,ROW(My_Audit!A951))</f>
        <v>CC951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6" t="str" cm="1">
        <f t="array" ref="K952">IFERROR(_xlfn.LET(
_xlpm.CSVVal,_xlfn.XLOOKUP($A952,CSV!$A:$A,CSV!N:N,""),
_xlpm.MacVal,_xlfn.XLOOKUP($A952,Output_Mac!$A:$A,Output_Mac!L:L,""),
_xlpm.MyAuditVal,_xlfn.XLOOKUP($A952,My_Audit!$A:$A,My_Audit!J:J,""),
_xlfn.IFS(_xlpm.MyAuditVal&lt;&gt;"",UPPER(_xlpm.MyAuditVal),_xlpm.MacVal&lt;&gt;"",_xlpm.MacVal,_xlpm.CSVVal&lt;&gt;"",_xlpm.CSVVal
)),"")</f>
        <v/>
      </c>
      <c r="L952" s="45"/>
      <c r="M952" s="45"/>
      <c r="N952" s="45"/>
      <c r="O952" s="45"/>
      <c r="P952" s="45"/>
      <c r="Q952" s="45"/>
      <c r="R952" s="45"/>
      <c r="S952" s="45"/>
      <c r="T952" s="46" t="str">
        <f>_xlfn.XLOOKUP(E952,Models!I:I,Models!J:J,"")</f>
        <v/>
      </c>
      <c r="U952" s="45"/>
      <c r="V952" s="45"/>
      <c r="W952" s="38"/>
    </row>
    <row r="953" spans="1:23">
      <c r="A953" s="45" t="str">
        <f>_xlfn.TEXTJOIN("",TRUE,Input!$B$2,ROW(My_Audit!A952))</f>
        <v>CC952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6" t="str" cm="1">
        <f t="array" ref="K953">IFERROR(_xlfn.LET(
_xlpm.CSVVal,_xlfn.XLOOKUP($A953,CSV!$A:$A,CSV!N:N,""),
_xlpm.MacVal,_xlfn.XLOOKUP($A953,Output_Mac!$A:$A,Output_Mac!L:L,""),
_xlpm.MyAuditVal,_xlfn.XLOOKUP($A953,My_Audit!$A:$A,My_Audit!J:J,""),
_xlfn.IFS(_xlpm.MyAuditVal&lt;&gt;"",UPPER(_xlpm.MyAuditVal),_xlpm.MacVal&lt;&gt;"",_xlpm.MacVal,_xlpm.CSVVal&lt;&gt;"",_xlpm.CSVVal
)),"")</f>
        <v/>
      </c>
      <c r="L953" s="45"/>
      <c r="M953" s="45"/>
      <c r="N953" s="45"/>
      <c r="O953" s="45"/>
      <c r="P953" s="45"/>
      <c r="Q953" s="45"/>
      <c r="R953" s="45"/>
      <c r="S953" s="45"/>
      <c r="T953" s="46" t="str">
        <f>_xlfn.XLOOKUP(E953,Models!I:I,Models!J:J,"")</f>
        <v/>
      </c>
      <c r="U953" s="45"/>
      <c r="V953" s="45"/>
      <c r="W953" s="38"/>
    </row>
    <row r="954" spans="1:23">
      <c r="A954" s="45" t="str">
        <f>_xlfn.TEXTJOIN("",TRUE,Input!$B$2,ROW(My_Audit!A953))</f>
        <v>CC953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6" t="str" cm="1">
        <f t="array" ref="K954">IFERROR(_xlfn.LET(
_xlpm.CSVVal,_xlfn.XLOOKUP($A954,CSV!$A:$A,CSV!N:N,""),
_xlpm.MacVal,_xlfn.XLOOKUP($A954,Output_Mac!$A:$A,Output_Mac!L:L,""),
_xlpm.MyAuditVal,_xlfn.XLOOKUP($A954,My_Audit!$A:$A,My_Audit!J:J,""),
_xlfn.IFS(_xlpm.MyAuditVal&lt;&gt;"",UPPER(_xlpm.MyAuditVal),_xlpm.MacVal&lt;&gt;"",_xlpm.MacVal,_xlpm.CSVVal&lt;&gt;"",_xlpm.CSVVal
)),"")</f>
        <v/>
      </c>
      <c r="L954" s="45"/>
      <c r="M954" s="45"/>
      <c r="N954" s="45"/>
      <c r="O954" s="45"/>
      <c r="P954" s="45"/>
      <c r="Q954" s="45"/>
      <c r="R954" s="45"/>
      <c r="S954" s="45"/>
      <c r="T954" s="46" t="str">
        <f>_xlfn.XLOOKUP(E954,Models!I:I,Models!J:J,"")</f>
        <v/>
      </c>
      <c r="U954" s="45"/>
      <c r="V954" s="45"/>
      <c r="W954" s="38"/>
    </row>
    <row r="955" spans="1:23">
      <c r="A955" s="45" t="str">
        <f>_xlfn.TEXTJOIN("",TRUE,Input!$B$2,ROW(My_Audit!A954))</f>
        <v>CC954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6" t="str" cm="1">
        <f t="array" ref="K955">IFERROR(_xlfn.LET(
_xlpm.CSVVal,_xlfn.XLOOKUP($A955,CSV!$A:$A,CSV!N:N,""),
_xlpm.MacVal,_xlfn.XLOOKUP($A955,Output_Mac!$A:$A,Output_Mac!L:L,""),
_xlpm.MyAuditVal,_xlfn.XLOOKUP($A955,My_Audit!$A:$A,My_Audit!J:J,""),
_xlfn.IFS(_xlpm.MyAuditVal&lt;&gt;"",UPPER(_xlpm.MyAuditVal),_xlpm.MacVal&lt;&gt;"",_xlpm.MacVal,_xlpm.CSVVal&lt;&gt;"",_xlpm.CSVVal
)),"")</f>
        <v/>
      </c>
      <c r="L955" s="45"/>
      <c r="M955" s="45"/>
      <c r="N955" s="45"/>
      <c r="O955" s="45"/>
      <c r="P955" s="45"/>
      <c r="Q955" s="45"/>
      <c r="R955" s="45"/>
      <c r="S955" s="45"/>
      <c r="T955" s="46" t="str">
        <f>_xlfn.XLOOKUP(E955,Models!I:I,Models!J:J,"")</f>
        <v/>
      </c>
      <c r="U955" s="45"/>
      <c r="V955" s="45"/>
      <c r="W955" s="38"/>
    </row>
    <row r="956" spans="1:23">
      <c r="A956" s="45" t="str">
        <f>_xlfn.TEXTJOIN("",TRUE,Input!$B$2,ROW(My_Audit!A955))</f>
        <v>CC955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6" t="str" cm="1">
        <f t="array" ref="K956">IFERROR(_xlfn.LET(
_xlpm.CSVVal,_xlfn.XLOOKUP($A956,CSV!$A:$A,CSV!N:N,""),
_xlpm.MacVal,_xlfn.XLOOKUP($A956,Output_Mac!$A:$A,Output_Mac!L:L,""),
_xlpm.MyAuditVal,_xlfn.XLOOKUP($A956,My_Audit!$A:$A,My_Audit!J:J,""),
_xlfn.IFS(_xlpm.MyAuditVal&lt;&gt;"",UPPER(_xlpm.MyAuditVal),_xlpm.MacVal&lt;&gt;"",_xlpm.MacVal,_xlpm.CSVVal&lt;&gt;"",_xlpm.CSVVal
)),"")</f>
        <v/>
      </c>
      <c r="L956" s="45"/>
      <c r="M956" s="45"/>
      <c r="N956" s="45"/>
      <c r="O956" s="45"/>
      <c r="P956" s="45"/>
      <c r="Q956" s="45"/>
      <c r="R956" s="45"/>
      <c r="S956" s="45"/>
      <c r="T956" s="46" t="str">
        <f>_xlfn.XLOOKUP(E956,Models!I:I,Models!J:J,"")</f>
        <v/>
      </c>
      <c r="U956" s="45"/>
      <c r="V956" s="45"/>
      <c r="W956" s="38"/>
    </row>
    <row r="957" spans="1:23">
      <c r="A957" s="45" t="str">
        <f>_xlfn.TEXTJOIN("",TRUE,Input!$B$2,ROW(My_Audit!A956))</f>
        <v>CC956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6" t="str" cm="1">
        <f t="array" ref="K957">IFERROR(_xlfn.LET(
_xlpm.CSVVal,_xlfn.XLOOKUP($A957,CSV!$A:$A,CSV!N:N,""),
_xlpm.MacVal,_xlfn.XLOOKUP($A957,Output_Mac!$A:$A,Output_Mac!L:L,""),
_xlpm.MyAuditVal,_xlfn.XLOOKUP($A957,My_Audit!$A:$A,My_Audit!J:J,""),
_xlfn.IFS(_xlpm.MyAuditVal&lt;&gt;"",UPPER(_xlpm.MyAuditVal),_xlpm.MacVal&lt;&gt;"",_xlpm.MacVal,_xlpm.CSVVal&lt;&gt;"",_xlpm.CSVVal
)),"")</f>
        <v/>
      </c>
      <c r="L957" s="45"/>
      <c r="M957" s="45"/>
      <c r="N957" s="45"/>
      <c r="O957" s="45"/>
      <c r="P957" s="45"/>
      <c r="Q957" s="45"/>
      <c r="R957" s="45"/>
      <c r="S957" s="45"/>
      <c r="T957" s="46" t="str">
        <f>_xlfn.XLOOKUP(E957,Models!I:I,Models!J:J,"")</f>
        <v/>
      </c>
      <c r="U957" s="45"/>
      <c r="V957" s="45"/>
      <c r="W957" s="38"/>
    </row>
    <row r="958" spans="1:23">
      <c r="A958" s="45" t="str">
        <f>_xlfn.TEXTJOIN("",TRUE,Input!$B$2,ROW(My_Audit!A957))</f>
        <v>CC957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6" t="str" cm="1">
        <f t="array" ref="K958">IFERROR(_xlfn.LET(
_xlpm.CSVVal,_xlfn.XLOOKUP($A958,CSV!$A:$A,CSV!N:N,""),
_xlpm.MacVal,_xlfn.XLOOKUP($A958,Output_Mac!$A:$A,Output_Mac!L:L,""),
_xlpm.MyAuditVal,_xlfn.XLOOKUP($A958,My_Audit!$A:$A,My_Audit!J:J,""),
_xlfn.IFS(_xlpm.MyAuditVal&lt;&gt;"",UPPER(_xlpm.MyAuditVal),_xlpm.MacVal&lt;&gt;"",_xlpm.MacVal,_xlpm.CSVVal&lt;&gt;"",_xlpm.CSVVal
)),"")</f>
        <v/>
      </c>
      <c r="L958" s="45"/>
      <c r="M958" s="45"/>
      <c r="N958" s="45"/>
      <c r="O958" s="45"/>
      <c r="P958" s="45"/>
      <c r="Q958" s="45"/>
      <c r="R958" s="45"/>
      <c r="S958" s="45"/>
      <c r="T958" s="46" t="str">
        <f>_xlfn.XLOOKUP(E958,Models!I:I,Models!J:J,"")</f>
        <v/>
      </c>
      <c r="U958" s="45"/>
      <c r="V958" s="45"/>
      <c r="W958" s="38"/>
    </row>
    <row r="959" spans="1:23">
      <c r="A959" s="45" t="str">
        <f>_xlfn.TEXTJOIN("",TRUE,Input!$B$2,ROW(My_Audit!A958))</f>
        <v>CC958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6" t="str" cm="1">
        <f t="array" ref="K959">IFERROR(_xlfn.LET(
_xlpm.CSVVal,_xlfn.XLOOKUP($A959,CSV!$A:$A,CSV!N:N,""),
_xlpm.MacVal,_xlfn.XLOOKUP($A959,Output_Mac!$A:$A,Output_Mac!L:L,""),
_xlpm.MyAuditVal,_xlfn.XLOOKUP($A959,My_Audit!$A:$A,My_Audit!J:J,""),
_xlfn.IFS(_xlpm.MyAuditVal&lt;&gt;"",UPPER(_xlpm.MyAuditVal),_xlpm.MacVal&lt;&gt;"",_xlpm.MacVal,_xlpm.CSVVal&lt;&gt;"",_xlpm.CSVVal
)),"")</f>
        <v/>
      </c>
      <c r="L959" s="45"/>
      <c r="M959" s="45"/>
      <c r="N959" s="45"/>
      <c r="O959" s="45"/>
      <c r="P959" s="45"/>
      <c r="Q959" s="45"/>
      <c r="R959" s="45"/>
      <c r="S959" s="45"/>
      <c r="T959" s="46" t="str">
        <f>_xlfn.XLOOKUP(E959,Models!I:I,Models!J:J,"")</f>
        <v/>
      </c>
      <c r="U959" s="45"/>
      <c r="V959" s="45"/>
      <c r="W959" s="38"/>
    </row>
    <row r="960" spans="1:23">
      <c r="A960" s="45" t="str">
        <f>_xlfn.TEXTJOIN("",TRUE,Input!$B$2,ROW(My_Audit!A959))</f>
        <v>CC959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6" t="str" cm="1">
        <f t="array" ref="K960">IFERROR(_xlfn.LET(
_xlpm.CSVVal,_xlfn.XLOOKUP($A960,CSV!$A:$A,CSV!N:N,""),
_xlpm.MacVal,_xlfn.XLOOKUP($A960,Output_Mac!$A:$A,Output_Mac!L:L,""),
_xlpm.MyAuditVal,_xlfn.XLOOKUP($A960,My_Audit!$A:$A,My_Audit!J:J,""),
_xlfn.IFS(_xlpm.MyAuditVal&lt;&gt;"",UPPER(_xlpm.MyAuditVal),_xlpm.MacVal&lt;&gt;"",_xlpm.MacVal,_xlpm.CSVVal&lt;&gt;"",_xlpm.CSVVal
)),"")</f>
        <v/>
      </c>
      <c r="L960" s="45"/>
      <c r="M960" s="45"/>
      <c r="N960" s="45"/>
      <c r="O960" s="45"/>
      <c r="P960" s="45"/>
      <c r="Q960" s="45"/>
      <c r="R960" s="45"/>
      <c r="S960" s="45"/>
      <c r="T960" s="46" t="str">
        <f>_xlfn.XLOOKUP(E960,Models!I:I,Models!J:J,"")</f>
        <v/>
      </c>
      <c r="U960" s="45"/>
      <c r="V960" s="45"/>
      <c r="W960" s="38"/>
    </row>
    <row r="961" spans="1:23">
      <c r="A961" s="45" t="str">
        <f>_xlfn.TEXTJOIN("",TRUE,Input!$B$2,ROW(My_Audit!A960))</f>
        <v>CC960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6" t="str" cm="1">
        <f t="array" ref="K961">IFERROR(_xlfn.LET(
_xlpm.CSVVal,_xlfn.XLOOKUP($A961,CSV!$A:$A,CSV!N:N,""),
_xlpm.MacVal,_xlfn.XLOOKUP($A961,Output_Mac!$A:$A,Output_Mac!L:L,""),
_xlpm.MyAuditVal,_xlfn.XLOOKUP($A961,My_Audit!$A:$A,My_Audit!J:J,""),
_xlfn.IFS(_xlpm.MyAuditVal&lt;&gt;"",UPPER(_xlpm.MyAuditVal),_xlpm.MacVal&lt;&gt;"",_xlpm.MacVal,_xlpm.CSVVal&lt;&gt;"",_xlpm.CSVVal
)),"")</f>
        <v/>
      </c>
      <c r="L961" s="45"/>
      <c r="M961" s="45"/>
      <c r="N961" s="45"/>
      <c r="O961" s="45"/>
      <c r="P961" s="45"/>
      <c r="Q961" s="45"/>
      <c r="R961" s="45"/>
      <c r="S961" s="45"/>
      <c r="T961" s="46" t="str">
        <f>_xlfn.XLOOKUP(E961,Models!I:I,Models!J:J,"")</f>
        <v/>
      </c>
      <c r="U961" s="45"/>
      <c r="V961" s="45"/>
      <c r="W961" s="38"/>
    </row>
    <row r="962" spans="1:23">
      <c r="A962" s="45" t="str">
        <f>_xlfn.TEXTJOIN("",TRUE,Input!$B$2,ROW(My_Audit!A961))</f>
        <v>CC961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6" t="str" cm="1">
        <f t="array" ref="K962">IFERROR(_xlfn.LET(
_xlpm.CSVVal,_xlfn.XLOOKUP($A962,CSV!$A:$A,CSV!N:N,""),
_xlpm.MacVal,_xlfn.XLOOKUP($A962,Output_Mac!$A:$A,Output_Mac!L:L,""),
_xlpm.MyAuditVal,_xlfn.XLOOKUP($A962,My_Audit!$A:$A,My_Audit!J:J,""),
_xlfn.IFS(_xlpm.MyAuditVal&lt;&gt;"",UPPER(_xlpm.MyAuditVal),_xlpm.MacVal&lt;&gt;"",_xlpm.MacVal,_xlpm.CSVVal&lt;&gt;"",_xlpm.CSVVal
)),"")</f>
        <v/>
      </c>
      <c r="L962" s="45"/>
      <c r="M962" s="45"/>
      <c r="N962" s="45"/>
      <c r="O962" s="45"/>
      <c r="P962" s="45"/>
      <c r="Q962" s="45"/>
      <c r="R962" s="45"/>
      <c r="S962" s="45"/>
      <c r="T962" s="46" t="str">
        <f>_xlfn.XLOOKUP(E962,Models!I:I,Models!J:J,"")</f>
        <v/>
      </c>
      <c r="U962" s="45"/>
      <c r="V962" s="45"/>
      <c r="W962" s="38"/>
    </row>
    <row r="963" spans="1:23">
      <c r="A963" s="45" t="str">
        <f>_xlfn.TEXTJOIN("",TRUE,Input!$B$2,ROW(My_Audit!A962))</f>
        <v>CC962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6" t="str" cm="1">
        <f t="array" ref="K963">IFERROR(_xlfn.LET(
_xlpm.CSVVal,_xlfn.XLOOKUP($A963,CSV!$A:$A,CSV!N:N,""),
_xlpm.MacVal,_xlfn.XLOOKUP($A963,Output_Mac!$A:$A,Output_Mac!L:L,""),
_xlpm.MyAuditVal,_xlfn.XLOOKUP($A963,My_Audit!$A:$A,My_Audit!J:J,""),
_xlfn.IFS(_xlpm.MyAuditVal&lt;&gt;"",UPPER(_xlpm.MyAuditVal),_xlpm.MacVal&lt;&gt;"",_xlpm.MacVal,_xlpm.CSVVal&lt;&gt;"",_xlpm.CSVVal
)),"")</f>
        <v/>
      </c>
      <c r="L963" s="45"/>
      <c r="M963" s="45"/>
      <c r="N963" s="45"/>
      <c r="O963" s="45"/>
      <c r="P963" s="45"/>
      <c r="Q963" s="45"/>
      <c r="R963" s="45"/>
      <c r="S963" s="45"/>
      <c r="T963" s="46" t="str">
        <f>_xlfn.XLOOKUP(E963,Models!I:I,Models!J:J,"")</f>
        <v/>
      </c>
      <c r="U963" s="45"/>
      <c r="V963" s="45"/>
      <c r="W963" s="38"/>
    </row>
    <row r="964" spans="1:23">
      <c r="A964" s="45" t="str">
        <f>_xlfn.TEXTJOIN("",TRUE,Input!$B$2,ROW(My_Audit!A963))</f>
        <v>CC963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6" t="str" cm="1">
        <f t="array" ref="K964">IFERROR(_xlfn.LET(
_xlpm.CSVVal,_xlfn.XLOOKUP($A964,CSV!$A:$A,CSV!N:N,""),
_xlpm.MacVal,_xlfn.XLOOKUP($A964,Output_Mac!$A:$A,Output_Mac!L:L,""),
_xlpm.MyAuditVal,_xlfn.XLOOKUP($A964,My_Audit!$A:$A,My_Audit!J:J,""),
_xlfn.IFS(_xlpm.MyAuditVal&lt;&gt;"",UPPER(_xlpm.MyAuditVal),_xlpm.MacVal&lt;&gt;"",_xlpm.MacVal,_xlpm.CSVVal&lt;&gt;"",_xlpm.CSVVal
)),"")</f>
        <v/>
      </c>
      <c r="L964" s="45"/>
      <c r="M964" s="45"/>
      <c r="N964" s="45"/>
      <c r="O964" s="45"/>
      <c r="P964" s="45"/>
      <c r="Q964" s="45"/>
      <c r="R964" s="45"/>
      <c r="S964" s="45"/>
      <c r="T964" s="46" t="str">
        <f>_xlfn.XLOOKUP(E964,Models!I:I,Models!J:J,"")</f>
        <v/>
      </c>
      <c r="U964" s="45"/>
      <c r="V964" s="45"/>
      <c r="W964" s="38"/>
    </row>
    <row r="965" spans="1:23">
      <c r="A965" s="45" t="str">
        <f>_xlfn.TEXTJOIN("",TRUE,Input!$B$2,ROW(My_Audit!A964))</f>
        <v>CC964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6" t="str" cm="1">
        <f t="array" ref="K965">IFERROR(_xlfn.LET(
_xlpm.CSVVal,_xlfn.XLOOKUP($A965,CSV!$A:$A,CSV!N:N,""),
_xlpm.MacVal,_xlfn.XLOOKUP($A965,Output_Mac!$A:$A,Output_Mac!L:L,""),
_xlpm.MyAuditVal,_xlfn.XLOOKUP($A965,My_Audit!$A:$A,My_Audit!J:J,""),
_xlfn.IFS(_xlpm.MyAuditVal&lt;&gt;"",UPPER(_xlpm.MyAuditVal),_xlpm.MacVal&lt;&gt;"",_xlpm.MacVal,_xlpm.CSVVal&lt;&gt;"",_xlpm.CSVVal
)),"")</f>
        <v/>
      </c>
      <c r="L965" s="45"/>
      <c r="M965" s="45"/>
      <c r="N965" s="45"/>
      <c r="O965" s="45"/>
      <c r="P965" s="45"/>
      <c r="Q965" s="45"/>
      <c r="R965" s="45"/>
      <c r="S965" s="45"/>
      <c r="T965" s="46" t="str">
        <f>_xlfn.XLOOKUP(E965,Models!I:I,Models!J:J,"")</f>
        <v/>
      </c>
      <c r="U965" s="45"/>
      <c r="V965" s="45"/>
      <c r="W965" s="38"/>
    </row>
    <row r="966" spans="1:23">
      <c r="A966" s="45" t="str">
        <f>_xlfn.TEXTJOIN("",TRUE,Input!$B$2,ROW(My_Audit!A965))</f>
        <v>CC965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6" t="str" cm="1">
        <f t="array" ref="K966">IFERROR(_xlfn.LET(
_xlpm.CSVVal,_xlfn.XLOOKUP($A966,CSV!$A:$A,CSV!N:N,""),
_xlpm.MacVal,_xlfn.XLOOKUP($A966,Output_Mac!$A:$A,Output_Mac!L:L,""),
_xlpm.MyAuditVal,_xlfn.XLOOKUP($A966,My_Audit!$A:$A,My_Audit!J:J,""),
_xlfn.IFS(_xlpm.MyAuditVal&lt;&gt;"",UPPER(_xlpm.MyAuditVal),_xlpm.MacVal&lt;&gt;"",_xlpm.MacVal,_xlpm.CSVVal&lt;&gt;"",_xlpm.CSVVal
)),"")</f>
        <v/>
      </c>
      <c r="L966" s="45"/>
      <c r="M966" s="45"/>
      <c r="N966" s="45"/>
      <c r="O966" s="45"/>
      <c r="P966" s="45"/>
      <c r="Q966" s="45"/>
      <c r="R966" s="45"/>
      <c r="S966" s="45"/>
      <c r="T966" s="46" t="str">
        <f>_xlfn.XLOOKUP(E966,Models!I:I,Models!J:J,"")</f>
        <v/>
      </c>
      <c r="U966" s="45"/>
      <c r="V966" s="45"/>
      <c r="W966" s="38"/>
    </row>
    <row r="967" spans="1:23">
      <c r="A967" s="45" t="str">
        <f>_xlfn.TEXTJOIN("",TRUE,Input!$B$2,ROW(My_Audit!A966))</f>
        <v>CC966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6" t="str" cm="1">
        <f t="array" ref="K967">IFERROR(_xlfn.LET(
_xlpm.CSVVal,_xlfn.XLOOKUP($A967,CSV!$A:$A,CSV!N:N,""),
_xlpm.MacVal,_xlfn.XLOOKUP($A967,Output_Mac!$A:$A,Output_Mac!L:L,""),
_xlpm.MyAuditVal,_xlfn.XLOOKUP($A967,My_Audit!$A:$A,My_Audit!J:J,""),
_xlfn.IFS(_xlpm.MyAuditVal&lt;&gt;"",UPPER(_xlpm.MyAuditVal),_xlpm.MacVal&lt;&gt;"",_xlpm.MacVal,_xlpm.CSVVal&lt;&gt;"",_xlpm.CSVVal
)),"")</f>
        <v/>
      </c>
      <c r="L967" s="45"/>
      <c r="M967" s="45"/>
      <c r="N967" s="45"/>
      <c r="O967" s="45"/>
      <c r="P967" s="45"/>
      <c r="Q967" s="45"/>
      <c r="R967" s="45"/>
      <c r="S967" s="45"/>
      <c r="T967" s="46" t="str">
        <f>_xlfn.XLOOKUP(E967,Models!I:I,Models!J:J,"")</f>
        <v/>
      </c>
      <c r="U967" s="45"/>
      <c r="V967" s="45"/>
      <c r="W967" s="38"/>
    </row>
    <row r="968" spans="1:23">
      <c r="A968" s="45" t="str">
        <f>_xlfn.TEXTJOIN("",TRUE,Input!$B$2,ROW(My_Audit!A967))</f>
        <v>CC967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6" t="str" cm="1">
        <f t="array" ref="K968">IFERROR(_xlfn.LET(
_xlpm.CSVVal,_xlfn.XLOOKUP($A968,CSV!$A:$A,CSV!N:N,""),
_xlpm.MacVal,_xlfn.XLOOKUP($A968,Output_Mac!$A:$A,Output_Mac!L:L,""),
_xlpm.MyAuditVal,_xlfn.XLOOKUP($A968,My_Audit!$A:$A,My_Audit!J:J,""),
_xlfn.IFS(_xlpm.MyAuditVal&lt;&gt;"",UPPER(_xlpm.MyAuditVal),_xlpm.MacVal&lt;&gt;"",_xlpm.MacVal,_xlpm.CSVVal&lt;&gt;"",_xlpm.CSVVal
)),"")</f>
        <v/>
      </c>
      <c r="L968" s="45"/>
      <c r="M968" s="45"/>
      <c r="N968" s="45"/>
      <c r="O968" s="45"/>
      <c r="P968" s="45"/>
      <c r="Q968" s="45"/>
      <c r="R968" s="45"/>
      <c r="S968" s="45"/>
      <c r="T968" s="46" t="str">
        <f>_xlfn.XLOOKUP(E968,Models!I:I,Models!J:J,"")</f>
        <v/>
      </c>
      <c r="U968" s="45"/>
      <c r="V968" s="45"/>
      <c r="W968" s="38"/>
    </row>
    <row r="969" spans="1:23">
      <c r="A969" s="45" t="str">
        <f>_xlfn.TEXTJOIN("",TRUE,Input!$B$2,ROW(My_Audit!A968))</f>
        <v>CC968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6" t="str" cm="1">
        <f t="array" ref="K969">IFERROR(_xlfn.LET(
_xlpm.CSVVal,_xlfn.XLOOKUP($A969,CSV!$A:$A,CSV!N:N,""),
_xlpm.MacVal,_xlfn.XLOOKUP($A969,Output_Mac!$A:$A,Output_Mac!L:L,""),
_xlpm.MyAuditVal,_xlfn.XLOOKUP($A969,My_Audit!$A:$A,My_Audit!J:J,""),
_xlfn.IFS(_xlpm.MyAuditVal&lt;&gt;"",UPPER(_xlpm.MyAuditVal),_xlpm.MacVal&lt;&gt;"",_xlpm.MacVal,_xlpm.CSVVal&lt;&gt;"",_xlpm.CSVVal
)),"")</f>
        <v/>
      </c>
      <c r="L969" s="45"/>
      <c r="M969" s="45"/>
      <c r="N969" s="45"/>
      <c r="O969" s="45"/>
      <c r="P969" s="45"/>
      <c r="Q969" s="45"/>
      <c r="R969" s="45"/>
      <c r="S969" s="45"/>
      <c r="T969" s="46" t="str">
        <f>_xlfn.XLOOKUP(E969,Models!I:I,Models!J:J,"")</f>
        <v/>
      </c>
      <c r="U969" s="45"/>
      <c r="V969" s="45"/>
      <c r="W969" s="38"/>
    </row>
    <row r="970" spans="1:23">
      <c r="A970" s="45" t="str">
        <f>_xlfn.TEXTJOIN("",TRUE,Input!$B$2,ROW(My_Audit!A969))</f>
        <v>CC969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6" t="str" cm="1">
        <f t="array" ref="K970">IFERROR(_xlfn.LET(
_xlpm.CSVVal,_xlfn.XLOOKUP($A970,CSV!$A:$A,CSV!N:N,""),
_xlpm.MacVal,_xlfn.XLOOKUP($A970,Output_Mac!$A:$A,Output_Mac!L:L,""),
_xlpm.MyAuditVal,_xlfn.XLOOKUP($A970,My_Audit!$A:$A,My_Audit!J:J,""),
_xlfn.IFS(_xlpm.MyAuditVal&lt;&gt;"",UPPER(_xlpm.MyAuditVal),_xlpm.MacVal&lt;&gt;"",_xlpm.MacVal,_xlpm.CSVVal&lt;&gt;"",_xlpm.CSVVal
)),"")</f>
        <v/>
      </c>
      <c r="L970" s="45"/>
      <c r="M970" s="45"/>
      <c r="N970" s="45"/>
      <c r="O970" s="45"/>
      <c r="P970" s="45"/>
      <c r="Q970" s="45"/>
      <c r="R970" s="45"/>
      <c r="S970" s="45"/>
      <c r="T970" s="46" t="str">
        <f>_xlfn.XLOOKUP(E970,Models!I:I,Models!J:J,"")</f>
        <v/>
      </c>
      <c r="U970" s="45"/>
      <c r="V970" s="45"/>
      <c r="W970" s="38"/>
    </row>
    <row r="971" spans="1:23">
      <c r="A971" s="45" t="str">
        <f>_xlfn.TEXTJOIN("",TRUE,Input!$B$2,ROW(My_Audit!A970))</f>
        <v>CC970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6" t="str" cm="1">
        <f t="array" ref="K971">IFERROR(_xlfn.LET(
_xlpm.CSVVal,_xlfn.XLOOKUP($A971,CSV!$A:$A,CSV!N:N,""),
_xlpm.MacVal,_xlfn.XLOOKUP($A971,Output_Mac!$A:$A,Output_Mac!L:L,""),
_xlpm.MyAuditVal,_xlfn.XLOOKUP($A971,My_Audit!$A:$A,My_Audit!J:J,""),
_xlfn.IFS(_xlpm.MyAuditVal&lt;&gt;"",UPPER(_xlpm.MyAuditVal),_xlpm.MacVal&lt;&gt;"",_xlpm.MacVal,_xlpm.CSVVal&lt;&gt;"",_xlpm.CSVVal
)),"")</f>
        <v/>
      </c>
      <c r="L971" s="45"/>
      <c r="M971" s="45"/>
      <c r="N971" s="45"/>
      <c r="O971" s="45"/>
      <c r="P971" s="45"/>
      <c r="Q971" s="45"/>
      <c r="R971" s="45"/>
      <c r="S971" s="45"/>
      <c r="T971" s="46" t="str">
        <f>_xlfn.XLOOKUP(E971,Models!I:I,Models!J:J,"")</f>
        <v/>
      </c>
      <c r="U971" s="45"/>
      <c r="V971" s="45"/>
      <c r="W971" s="38"/>
    </row>
    <row r="972" spans="1:23">
      <c r="A972" s="45" t="str">
        <f>_xlfn.TEXTJOIN("",TRUE,Input!$B$2,ROW(My_Audit!A971))</f>
        <v>CC971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6" t="str" cm="1">
        <f t="array" ref="K972">IFERROR(_xlfn.LET(
_xlpm.CSVVal,_xlfn.XLOOKUP($A972,CSV!$A:$A,CSV!N:N,""),
_xlpm.MacVal,_xlfn.XLOOKUP($A972,Output_Mac!$A:$A,Output_Mac!L:L,""),
_xlpm.MyAuditVal,_xlfn.XLOOKUP($A972,My_Audit!$A:$A,My_Audit!J:J,""),
_xlfn.IFS(_xlpm.MyAuditVal&lt;&gt;"",UPPER(_xlpm.MyAuditVal),_xlpm.MacVal&lt;&gt;"",_xlpm.MacVal,_xlpm.CSVVal&lt;&gt;"",_xlpm.CSVVal
)),"")</f>
        <v/>
      </c>
      <c r="L972" s="45"/>
      <c r="M972" s="45"/>
      <c r="N972" s="45"/>
      <c r="O972" s="45"/>
      <c r="P972" s="45"/>
      <c r="Q972" s="45"/>
      <c r="R972" s="45"/>
      <c r="S972" s="45"/>
      <c r="T972" s="46" t="str">
        <f>_xlfn.XLOOKUP(E972,Models!I:I,Models!J:J,"")</f>
        <v/>
      </c>
      <c r="U972" s="45"/>
      <c r="V972" s="45"/>
      <c r="W972" s="38"/>
    </row>
    <row r="973" spans="1:23">
      <c r="A973" s="45" t="str">
        <f>_xlfn.TEXTJOIN("",TRUE,Input!$B$2,ROW(My_Audit!A972))</f>
        <v>CC972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6" t="str" cm="1">
        <f t="array" ref="K973">IFERROR(_xlfn.LET(
_xlpm.CSVVal,_xlfn.XLOOKUP($A973,CSV!$A:$A,CSV!N:N,""),
_xlpm.MacVal,_xlfn.XLOOKUP($A973,Output_Mac!$A:$A,Output_Mac!L:L,""),
_xlpm.MyAuditVal,_xlfn.XLOOKUP($A973,My_Audit!$A:$A,My_Audit!J:J,""),
_xlfn.IFS(_xlpm.MyAuditVal&lt;&gt;"",UPPER(_xlpm.MyAuditVal),_xlpm.MacVal&lt;&gt;"",_xlpm.MacVal,_xlpm.CSVVal&lt;&gt;"",_xlpm.CSVVal
)),"")</f>
        <v/>
      </c>
      <c r="L973" s="45"/>
      <c r="M973" s="45"/>
      <c r="N973" s="45"/>
      <c r="O973" s="45"/>
      <c r="P973" s="45"/>
      <c r="Q973" s="45"/>
      <c r="R973" s="45"/>
      <c r="S973" s="45"/>
      <c r="T973" s="46" t="str">
        <f>_xlfn.XLOOKUP(E973,Models!I:I,Models!J:J,"")</f>
        <v/>
      </c>
      <c r="U973" s="45"/>
      <c r="V973" s="45"/>
      <c r="W973" s="38"/>
    </row>
    <row r="974" spans="1:23">
      <c r="A974" s="45" t="str">
        <f>_xlfn.TEXTJOIN("",TRUE,Input!$B$2,ROW(My_Audit!A973))</f>
        <v>CC973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6" t="str" cm="1">
        <f t="array" ref="K974">IFERROR(_xlfn.LET(
_xlpm.CSVVal,_xlfn.XLOOKUP($A974,CSV!$A:$A,CSV!N:N,""),
_xlpm.MacVal,_xlfn.XLOOKUP($A974,Output_Mac!$A:$A,Output_Mac!L:L,""),
_xlpm.MyAuditVal,_xlfn.XLOOKUP($A974,My_Audit!$A:$A,My_Audit!J:J,""),
_xlfn.IFS(_xlpm.MyAuditVal&lt;&gt;"",UPPER(_xlpm.MyAuditVal),_xlpm.MacVal&lt;&gt;"",_xlpm.MacVal,_xlpm.CSVVal&lt;&gt;"",_xlpm.CSVVal
)),"")</f>
        <v/>
      </c>
      <c r="L974" s="45"/>
      <c r="M974" s="45"/>
      <c r="N974" s="45"/>
      <c r="O974" s="45"/>
      <c r="P974" s="45"/>
      <c r="Q974" s="45"/>
      <c r="R974" s="45"/>
      <c r="S974" s="45"/>
      <c r="T974" s="46" t="str">
        <f>_xlfn.XLOOKUP(E974,Models!I:I,Models!J:J,"")</f>
        <v/>
      </c>
      <c r="U974" s="45"/>
      <c r="V974" s="45"/>
      <c r="W974" s="38"/>
    </row>
    <row r="975" spans="1:23">
      <c r="A975" s="45" t="str">
        <f>_xlfn.TEXTJOIN("",TRUE,Input!$B$2,ROW(My_Audit!A974))</f>
        <v>CC974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6" t="str" cm="1">
        <f t="array" ref="K975">IFERROR(_xlfn.LET(
_xlpm.CSVVal,_xlfn.XLOOKUP($A975,CSV!$A:$A,CSV!N:N,""),
_xlpm.MacVal,_xlfn.XLOOKUP($A975,Output_Mac!$A:$A,Output_Mac!L:L,""),
_xlpm.MyAuditVal,_xlfn.XLOOKUP($A975,My_Audit!$A:$A,My_Audit!J:J,""),
_xlfn.IFS(_xlpm.MyAuditVal&lt;&gt;"",UPPER(_xlpm.MyAuditVal),_xlpm.MacVal&lt;&gt;"",_xlpm.MacVal,_xlpm.CSVVal&lt;&gt;"",_xlpm.CSVVal
)),"")</f>
        <v/>
      </c>
      <c r="L975" s="45"/>
      <c r="M975" s="45"/>
      <c r="N975" s="45"/>
      <c r="O975" s="45"/>
      <c r="P975" s="45"/>
      <c r="Q975" s="45"/>
      <c r="R975" s="45"/>
      <c r="S975" s="45"/>
      <c r="T975" s="46" t="str">
        <f>_xlfn.XLOOKUP(E975,Models!I:I,Models!J:J,"")</f>
        <v/>
      </c>
      <c r="U975" s="45"/>
      <c r="V975" s="45"/>
      <c r="W975" s="38"/>
    </row>
    <row r="976" spans="1:23">
      <c r="A976" s="45" t="str">
        <f>_xlfn.TEXTJOIN("",TRUE,Input!$B$2,ROW(My_Audit!A975))</f>
        <v>CC975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6" t="str" cm="1">
        <f t="array" ref="K976">IFERROR(_xlfn.LET(
_xlpm.CSVVal,_xlfn.XLOOKUP($A976,CSV!$A:$A,CSV!N:N,""),
_xlpm.MacVal,_xlfn.XLOOKUP($A976,Output_Mac!$A:$A,Output_Mac!L:L,""),
_xlpm.MyAuditVal,_xlfn.XLOOKUP($A976,My_Audit!$A:$A,My_Audit!J:J,""),
_xlfn.IFS(_xlpm.MyAuditVal&lt;&gt;"",UPPER(_xlpm.MyAuditVal),_xlpm.MacVal&lt;&gt;"",_xlpm.MacVal,_xlpm.CSVVal&lt;&gt;"",_xlpm.CSVVal
)),"")</f>
        <v/>
      </c>
      <c r="L976" s="45"/>
      <c r="M976" s="45"/>
      <c r="N976" s="45"/>
      <c r="O976" s="45"/>
      <c r="P976" s="45"/>
      <c r="Q976" s="45"/>
      <c r="R976" s="45"/>
      <c r="S976" s="45"/>
      <c r="T976" s="46" t="str">
        <f>_xlfn.XLOOKUP(E976,Models!I:I,Models!J:J,"")</f>
        <v/>
      </c>
      <c r="U976" s="45"/>
      <c r="V976" s="45"/>
      <c r="W976" s="38"/>
    </row>
    <row r="977" spans="1:23">
      <c r="A977" s="45" t="str">
        <f>_xlfn.TEXTJOIN("",TRUE,Input!$B$2,ROW(My_Audit!A976))</f>
        <v>CC976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6" t="str" cm="1">
        <f t="array" ref="K977">IFERROR(_xlfn.LET(
_xlpm.CSVVal,_xlfn.XLOOKUP($A977,CSV!$A:$A,CSV!N:N,""),
_xlpm.MacVal,_xlfn.XLOOKUP($A977,Output_Mac!$A:$A,Output_Mac!L:L,""),
_xlpm.MyAuditVal,_xlfn.XLOOKUP($A977,My_Audit!$A:$A,My_Audit!J:J,""),
_xlfn.IFS(_xlpm.MyAuditVal&lt;&gt;"",UPPER(_xlpm.MyAuditVal),_xlpm.MacVal&lt;&gt;"",_xlpm.MacVal,_xlpm.CSVVal&lt;&gt;"",_xlpm.CSVVal
)),"")</f>
        <v/>
      </c>
      <c r="L977" s="45"/>
      <c r="M977" s="45"/>
      <c r="N977" s="45"/>
      <c r="O977" s="45"/>
      <c r="P977" s="45"/>
      <c r="Q977" s="45"/>
      <c r="R977" s="45"/>
      <c r="S977" s="45"/>
      <c r="T977" s="46" t="str">
        <f>_xlfn.XLOOKUP(E977,Models!I:I,Models!J:J,"")</f>
        <v/>
      </c>
      <c r="U977" s="45"/>
      <c r="V977" s="45"/>
      <c r="W977" s="38"/>
    </row>
    <row r="978" spans="1:23">
      <c r="A978" s="45" t="str">
        <f>_xlfn.TEXTJOIN("",TRUE,Input!$B$2,ROW(My_Audit!A977))</f>
        <v>CC977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6" t="str" cm="1">
        <f t="array" ref="K978">IFERROR(_xlfn.LET(
_xlpm.CSVVal,_xlfn.XLOOKUP($A978,CSV!$A:$A,CSV!N:N,""),
_xlpm.MacVal,_xlfn.XLOOKUP($A978,Output_Mac!$A:$A,Output_Mac!L:L,""),
_xlpm.MyAuditVal,_xlfn.XLOOKUP($A978,My_Audit!$A:$A,My_Audit!J:J,""),
_xlfn.IFS(_xlpm.MyAuditVal&lt;&gt;"",UPPER(_xlpm.MyAuditVal),_xlpm.MacVal&lt;&gt;"",_xlpm.MacVal,_xlpm.CSVVal&lt;&gt;"",_xlpm.CSVVal
)),"")</f>
        <v/>
      </c>
      <c r="L978" s="45"/>
      <c r="M978" s="45"/>
      <c r="N978" s="45"/>
      <c r="O978" s="45"/>
      <c r="P978" s="45"/>
      <c r="Q978" s="45"/>
      <c r="R978" s="45"/>
      <c r="S978" s="45"/>
      <c r="T978" s="46" t="str">
        <f>_xlfn.XLOOKUP(E978,Models!I:I,Models!J:J,"")</f>
        <v/>
      </c>
      <c r="U978" s="45"/>
      <c r="V978" s="45"/>
      <c r="W978" s="38"/>
    </row>
    <row r="979" spans="1:23">
      <c r="A979" s="45" t="str">
        <f>_xlfn.TEXTJOIN("",TRUE,Input!$B$2,ROW(My_Audit!A978))</f>
        <v>CC978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6" t="str" cm="1">
        <f t="array" ref="K979">IFERROR(_xlfn.LET(
_xlpm.CSVVal,_xlfn.XLOOKUP($A979,CSV!$A:$A,CSV!N:N,""),
_xlpm.MacVal,_xlfn.XLOOKUP($A979,Output_Mac!$A:$A,Output_Mac!L:L,""),
_xlpm.MyAuditVal,_xlfn.XLOOKUP($A979,My_Audit!$A:$A,My_Audit!J:J,""),
_xlfn.IFS(_xlpm.MyAuditVal&lt;&gt;"",UPPER(_xlpm.MyAuditVal),_xlpm.MacVal&lt;&gt;"",_xlpm.MacVal,_xlpm.CSVVal&lt;&gt;"",_xlpm.CSVVal
)),"")</f>
        <v/>
      </c>
      <c r="L979" s="45"/>
      <c r="M979" s="45"/>
      <c r="N979" s="45"/>
      <c r="O979" s="45"/>
      <c r="P979" s="45"/>
      <c r="Q979" s="45"/>
      <c r="R979" s="45"/>
      <c r="S979" s="45"/>
      <c r="T979" s="46" t="str">
        <f>_xlfn.XLOOKUP(E979,Models!I:I,Models!J:J,"")</f>
        <v/>
      </c>
      <c r="U979" s="45"/>
      <c r="V979" s="45"/>
      <c r="W979" s="38"/>
    </row>
    <row r="980" spans="1:23">
      <c r="A980" s="45" t="str">
        <f>_xlfn.TEXTJOIN("",TRUE,Input!$B$2,ROW(My_Audit!A979))</f>
        <v>CC979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6" t="str" cm="1">
        <f t="array" ref="K980">IFERROR(_xlfn.LET(
_xlpm.CSVVal,_xlfn.XLOOKUP($A980,CSV!$A:$A,CSV!N:N,""),
_xlpm.MacVal,_xlfn.XLOOKUP($A980,Output_Mac!$A:$A,Output_Mac!L:L,""),
_xlpm.MyAuditVal,_xlfn.XLOOKUP($A980,My_Audit!$A:$A,My_Audit!J:J,""),
_xlfn.IFS(_xlpm.MyAuditVal&lt;&gt;"",UPPER(_xlpm.MyAuditVal),_xlpm.MacVal&lt;&gt;"",_xlpm.MacVal,_xlpm.CSVVal&lt;&gt;"",_xlpm.CSVVal
)),"")</f>
        <v/>
      </c>
      <c r="L980" s="45"/>
      <c r="M980" s="45"/>
      <c r="N980" s="45"/>
      <c r="O980" s="45"/>
      <c r="P980" s="45"/>
      <c r="Q980" s="45"/>
      <c r="R980" s="45"/>
      <c r="S980" s="45"/>
      <c r="T980" s="46" t="str">
        <f>_xlfn.XLOOKUP(E980,Models!I:I,Models!J:J,"")</f>
        <v/>
      </c>
      <c r="U980" s="45"/>
      <c r="V980" s="45"/>
      <c r="W980" s="38"/>
    </row>
    <row r="981" spans="1:23">
      <c r="A981" s="45" t="str">
        <f>_xlfn.TEXTJOIN("",TRUE,Input!$B$2,ROW(My_Audit!A980))</f>
        <v>CC980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6" t="str" cm="1">
        <f t="array" ref="K981">IFERROR(_xlfn.LET(
_xlpm.CSVVal,_xlfn.XLOOKUP($A981,CSV!$A:$A,CSV!N:N,""),
_xlpm.MacVal,_xlfn.XLOOKUP($A981,Output_Mac!$A:$A,Output_Mac!L:L,""),
_xlpm.MyAuditVal,_xlfn.XLOOKUP($A981,My_Audit!$A:$A,My_Audit!J:J,""),
_xlfn.IFS(_xlpm.MyAuditVal&lt;&gt;"",UPPER(_xlpm.MyAuditVal),_xlpm.MacVal&lt;&gt;"",_xlpm.MacVal,_xlpm.CSVVal&lt;&gt;"",_xlpm.CSVVal
)),"")</f>
        <v/>
      </c>
      <c r="L981" s="45"/>
      <c r="M981" s="45"/>
      <c r="N981" s="45"/>
      <c r="O981" s="45"/>
      <c r="P981" s="45"/>
      <c r="Q981" s="45"/>
      <c r="R981" s="45"/>
      <c r="S981" s="45"/>
      <c r="T981" s="46" t="str">
        <f>_xlfn.XLOOKUP(E981,Models!I:I,Models!J:J,"")</f>
        <v/>
      </c>
      <c r="U981" s="45"/>
      <c r="V981" s="45"/>
      <c r="W981" s="38"/>
    </row>
    <row r="982" spans="1:23">
      <c r="A982" s="45" t="str">
        <f>_xlfn.TEXTJOIN("",TRUE,Input!$B$2,ROW(My_Audit!A981))</f>
        <v>CC981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6" t="str" cm="1">
        <f t="array" ref="K982">IFERROR(_xlfn.LET(
_xlpm.CSVVal,_xlfn.XLOOKUP($A982,CSV!$A:$A,CSV!N:N,""),
_xlpm.MacVal,_xlfn.XLOOKUP($A982,Output_Mac!$A:$A,Output_Mac!L:L,""),
_xlpm.MyAuditVal,_xlfn.XLOOKUP($A982,My_Audit!$A:$A,My_Audit!J:J,""),
_xlfn.IFS(_xlpm.MyAuditVal&lt;&gt;"",UPPER(_xlpm.MyAuditVal),_xlpm.MacVal&lt;&gt;"",_xlpm.MacVal,_xlpm.CSVVal&lt;&gt;"",_xlpm.CSVVal
)),"")</f>
        <v/>
      </c>
      <c r="L982" s="45"/>
      <c r="M982" s="45"/>
      <c r="N982" s="45"/>
      <c r="O982" s="45"/>
      <c r="P982" s="45"/>
      <c r="Q982" s="45"/>
      <c r="R982" s="45"/>
      <c r="S982" s="45"/>
      <c r="T982" s="46" t="str">
        <f>_xlfn.XLOOKUP(E982,Models!I:I,Models!J:J,"")</f>
        <v/>
      </c>
      <c r="U982" s="45"/>
      <c r="V982" s="45"/>
      <c r="W982" s="38"/>
    </row>
    <row r="983" spans="1:23">
      <c r="A983" s="45" t="str">
        <f>_xlfn.TEXTJOIN("",TRUE,Input!$B$2,ROW(My_Audit!A982))</f>
        <v>CC982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6" t="str" cm="1">
        <f t="array" ref="K983">IFERROR(_xlfn.LET(
_xlpm.CSVVal,_xlfn.XLOOKUP($A983,CSV!$A:$A,CSV!N:N,""),
_xlpm.MacVal,_xlfn.XLOOKUP($A983,Output_Mac!$A:$A,Output_Mac!L:L,""),
_xlpm.MyAuditVal,_xlfn.XLOOKUP($A983,My_Audit!$A:$A,My_Audit!J:J,""),
_xlfn.IFS(_xlpm.MyAuditVal&lt;&gt;"",UPPER(_xlpm.MyAuditVal),_xlpm.MacVal&lt;&gt;"",_xlpm.MacVal,_xlpm.CSVVal&lt;&gt;"",_xlpm.CSVVal
)),"")</f>
        <v/>
      </c>
      <c r="L983" s="45"/>
      <c r="M983" s="45"/>
      <c r="N983" s="45"/>
      <c r="O983" s="45"/>
      <c r="P983" s="45"/>
      <c r="Q983" s="45"/>
      <c r="R983" s="45"/>
      <c r="S983" s="45"/>
      <c r="T983" s="46" t="str">
        <f>_xlfn.XLOOKUP(E983,Models!I:I,Models!J:J,"")</f>
        <v/>
      </c>
      <c r="U983" s="45"/>
      <c r="V983" s="45"/>
      <c r="W983" s="38"/>
    </row>
    <row r="984" spans="1:23">
      <c r="A984" s="45" t="str">
        <f>_xlfn.TEXTJOIN("",TRUE,Input!$B$2,ROW(My_Audit!A983))</f>
        <v>CC983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6" t="str" cm="1">
        <f t="array" ref="K984">IFERROR(_xlfn.LET(
_xlpm.CSVVal,_xlfn.XLOOKUP($A984,CSV!$A:$A,CSV!N:N,""),
_xlpm.MacVal,_xlfn.XLOOKUP($A984,Output_Mac!$A:$A,Output_Mac!L:L,""),
_xlpm.MyAuditVal,_xlfn.XLOOKUP($A984,My_Audit!$A:$A,My_Audit!J:J,""),
_xlfn.IFS(_xlpm.MyAuditVal&lt;&gt;"",UPPER(_xlpm.MyAuditVal),_xlpm.MacVal&lt;&gt;"",_xlpm.MacVal,_xlpm.CSVVal&lt;&gt;"",_xlpm.CSVVal
)),"")</f>
        <v/>
      </c>
      <c r="L984" s="45"/>
      <c r="M984" s="45"/>
      <c r="N984" s="45"/>
      <c r="O984" s="45"/>
      <c r="P984" s="45"/>
      <c r="Q984" s="45"/>
      <c r="R984" s="45"/>
      <c r="S984" s="45"/>
      <c r="T984" s="46" t="str">
        <f>_xlfn.XLOOKUP(E984,Models!I:I,Models!J:J,"")</f>
        <v/>
      </c>
      <c r="U984" s="45"/>
      <c r="V984" s="45"/>
      <c r="W984" s="38"/>
    </row>
    <row r="985" spans="1:23">
      <c r="A985" s="45" t="str">
        <f>_xlfn.TEXTJOIN("",TRUE,Input!$B$2,ROW(My_Audit!A984))</f>
        <v>CC984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6" t="str" cm="1">
        <f t="array" ref="K985">IFERROR(_xlfn.LET(
_xlpm.CSVVal,_xlfn.XLOOKUP($A985,CSV!$A:$A,CSV!N:N,""),
_xlpm.MacVal,_xlfn.XLOOKUP($A985,Output_Mac!$A:$A,Output_Mac!L:L,""),
_xlpm.MyAuditVal,_xlfn.XLOOKUP($A985,My_Audit!$A:$A,My_Audit!J:J,""),
_xlfn.IFS(_xlpm.MyAuditVal&lt;&gt;"",UPPER(_xlpm.MyAuditVal),_xlpm.MacVal&lt;&gt;"",_xlpm.MacVal,_xlpm.CSVVal&lt;&gt;"",_xlpm.CSVVal
)),"")</f>
        <v/>
      </c>
      <c r="L985" s="45"/>
      <c r="M985" s="45"/>
      <c r="N985" s="45"/>
      <c r="O985" s="45"/>
      <c r="P985" s="45"/>
      <c r="Q985" s="45"/>
      <c r="R985" s="45"/>
      <c r="S985" s="45"/>
      <c r="T985" s="46" t="str">
        <f>_xlfn.XLOOKUP(E985,Models!I:I,Models!J:J,"")</f>
        <v/>
      </c>
      <c r="U985" s="45"/>
      <c r="V985" s="45"/>
      <c r="W985" s="38"/>
    </row>
    <row r="986" spans="1:23">
      <c r="A986" s="45" t="str">
        <f>_xlfn.TEXTJOIN("",TRUE,Input!$B$2,ROW(My_Audit!A985))</f>
        <v>CC985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6" t="str" cm="1">
        <f t="array" ref="K986">IFERROR(_xlfn.LET(
_xlpm.CSVVal,_xlfn.XLOOKUP($A986,CSV!$A:$A,CSV!N:N,""),
_xlpm.MacVal,_xlfn.XLOOKUP($A986,Output_Mac!$A:$A,Output_Mac!L:L,""),
_xlpm.MyAuditVal,_xlfn.XLOOKUP($A986,My_Audit!$A:$A,My_Audit!J:J,""),
_xlfn.IFS(_xlpm.MyAuditVal&lt;&gt;"",UPPER(_xlpm.MyAuditVal),_xlpm.MacVal&lt;&gt;"",_xlpm.MacVal,_xlpm.CSVVal&lt;&gt;"",_xlpm.CSVVal
)),"")</f>
        <v/>
      </c>
      <c r="L986" s="45"/>
      <c r="M986" s="45"/>
      <c r="N986" s="45"/>
      <c r="O986" s="45"/>
      <c r="P986" s="45"/>
      <c r="Q986" s="45"/>
      <c r="R986" s="45"/>
      <c r="S986" s="45"/>
      <c r="T986" s="46" t="str">
        <f>_xlfn.XLOOKUP(E986,Models!I:I,Models!J:J,"")</f>
        <v/>
      </c>
      <c r="U986" s="45"/>
      <c r="V986" s="45"/>
      <c r="W986" s="38"/>
    </row>
    <row r="987" spans="1:23">
      <c r="A987" s="45" t="str">
        <f>_xlfn.TEXTJOIN("",TRUE,Input!$B$2,ROW(My_Audit!A986))</f>
        <v>CC986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6" t="str" cm="1">
        <f t="array" ref="K987">IFERROR(_xlfn.LET(
_xlpm.CSVVal,_xlfn.XLOOKUP($A987,CSV!$A:$A,CSV!N:N,""),
_xlpm.MacVal,_xlfn.XLOOKUP($A987,Output_Mac!$A:$A,Output_Mac!L:L,""),
_xlpm.MyAuditVal,_xlfn.XLOOKUP($A987,My_Audit!$A:$A,My_Audit!J:J,""),
_xlfn.IFS(_xlpm.MyAuditVal&lt;&gt;"",UPPER(_xlpm.MyAuditVal),_xlpm.MacVal&lt;&gt;"",_xlpm.MacVal,_xlpm.CSVVal&lt;&gt;"",_xlpm.CSVVal
)),"")</f>
        <v/>
      </c>
      <c r="L987" s="45"/>
      <c r="M987" s="45"/>
      <c r="N987" s="45"/>
      <c r="O987" s="45"/>
      <c r="P987" s="45"/>
      <c r="Q987" s="45"/>
      <c r="R987" s="45"/>
      <c r="S987" s="45"/>
      <c r="T987" s="46" t="str">
        <f>_xlfn.XLOOKUP(E987,Models!I:I,Models!J:J,"")</f>
        <v/>
      </c>
      <c r="U987" s="45"/>
      <c r="V987" s="45"/>
      <c r="W987" s="38"/>
    </row>
    <row r="988" spans="1:23">
      <c r="A988" s="45" t="str">
        <f>_xlfn.TEXTJOIN("",TRUE,Input!$B$2,ROW(My_Audit!A987))</f>
        <v>CC987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6" t="str" cm="1">
        <f t="array" ref="K988">IFERROR(_xlfn.LET(
_xlpm.CSVVal,_xlfn.XLOOKUP($A988,CSV!$A:$A,CSV!N:N,""),
_xlpm.MacVal,_xlfn.XLOOKUP($A988,Output_Mac!$A:$A,Output_Mac!L:L,""),
_xlpm.MyAuditVal,_xlfn.XLOOKUP($A988,My_Audit!$A:$A,My_Audit!J:J,""),
_xlfn.IFS(_xlpm.MyAuditVal&lt;&gt;"",UPPER(_xlpm.MyAuditVal),_xlpm.MacVal&lt;&gt;"",_xlpm.MacVal,_xlpm.CSVVal&lt;&gt;"",_xlpm.CSVVal
)),"")</f>
        <v/>
      </c>
      <c r="L988" s="45"/>
      <c r="M988" s="45"/>
      <c r="N988" s="45"/>
      <c r="O988" s="45"/>
      <c r="P988" s="45"/>
      <c r="Q988" s="45"/>
      <c r="R988" s="45"/>
      <c r="S988" s="45"/>
      <c r="T988" s="46" t="str">
        <f>_xlfn.XLOOKUP(E988,Models!I:I,Models!J:J,"")</f>
        <v/>
      </c>
      <c r="U988" s="45"/>
      <c r="V988" s="45"/>
      <c r="W988" s="38"/>
    </row>
    <row r="989" spans="1:23">
      <c r="A989" s="45" t="str">
        <f>_xlfn.TEXTJOIN("",TRUE,Input!$B$2,ROW(My_Audit!A988))</f>
        <v>CC988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6" t="str" cm="1">
        <f t="array" ref="K989">IFERROR(_xlfn.LET(
_xlpm.CSVVal,_xlfn.XLOOKUP($A989,CSV!$A:$A,CSV!N:N,""),
_xlpm.MacVal,_xlfn.XLOOKUP($A989,Output_Mac!$A:$A,Output_Mac!L:L,""),
_xlpm.MyAuditVal,_xlfn.XLOOKUP($A989,My_Audit!$A:$A,My_Audit!J:J,""),
_xlfn.IFS(_xlpm.MyAuditVal&lt;&gt;"",UPPER(_xlpm.MyAuditVal),_xlpm.MacVal&lt;&gt;"",_xlpm.MacVal,_xlpm.CSVVal&lt;&gt;"",_xlpm.CSVVal
)),"")</f>
        <v/>
      </c>
      <c r="L989" s="45"/>
      <c r="M989" s="45"/>
      <c r="N989" s="45"/>
      <c r="O989" s="45"/>
      <c r="P989" s="45"/>
      <c r="Q989" s="45"/>
      <c r="R989" s="45"/>
      <c r="S989" s="45"/>
      <c r="T989" s="46" t="str">
        <f>_xlfn.XLOOKUP(E989,Models!I:I,Models!J:J,"")</f>
        <v/>
      </c>
      <c r="U989" s="45"/>
      <c r="V989" s="45"/>
      <c r="W989" s="38"/>
    </row>
    <row r="990" spans="1:23">
      <c r="A990" s="45" t="str">
        <f>_xlfn.TEXTJOIN("",TRUE,Input!$B$2,ROW(My_Audit!A989))</f>
        <v>CC989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6" t="str" cm="1">
        <f t="array" ref="K990">IFERROR(_xlfn.LET(
_xlpm.CSVVal,_xlfn.XLOOKUP($A990,CSV!$A:$A,CSV!N:N,""),
_xlpm.MacVal,_xlfn.XLOOKUP($A990,Output_Mac!$A:$A,Output_Mac!L:L,""),
_xlpm.MyAuditVal,_xlfn.XLOOKUP($A990,My_Audit!$A:$A,My_Audit!J:J,""),
_xlfn.IFS(_xlpm.MyAuditVal&lt;&gt;"",UPPER(_xlpm.MyAuditVal),_xlpm.MacVal&lt;&gt;"",_xlpm.MacVal,_xlpm.CSVVal&lt;&gt;"",_xlpm.CSVVal
)),"")</f>
        <v/>
      </c>
      <c r="L990" s="45"/>
      <c r="M990" s="45"/>
      <c r="N990" s="45"/>
      <c r="O990" s="45"/>
      <c r="P990" s="45"/>
      <c r="Q990" s="45"/>
      <c r="R990" s="45"/>
      <c r="S990" s="45"/>
      <c r="T990" s="46" t="str">
        <f>_xlfn.XLOOKUP(E990,Models!I:I,Models!J:J,"")</f>
        <v/>
      </c>
      <c r="U990" s="45"/>
      <c r="V990" s="45"/>
      <c r="W990" s="38"/>
    </row>
    <row r="991" spans="1:23">
      <c r="A991" s="45" t="str">
        <f>_xlfn.TEXTJOIN("",TRUE,Input!$B$2,ROW(My_Audit!A990))</f>
        <v>CC990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6" t="str" cm="1">
        <f t="array" ref="K991">IFERROR(_xlfn.LET(
_xlpm.CSVVal,_xlfn.XLOOKUP($A991,CSV!$A:$A,CSV!N:N,""),
_xlpm.MacVal,_xlfn.XLOOKUP($A991,Output_Mac!$A:$A,Output_Mac!L:L,""),
_xlpm.MyAuditVal,_xlfn.XLOOKUP($A991,My_Audit!$A:$A,My_Audit!J:J,""),
_xlfn.IFS(_xlpm.MyAuditVal&lt;&gt;"",UPPER(_xlpm.MyAuditVal),_xlpm.MacVal&lt;&gt;"",_xlpm.MacVal,_xlpm.CSVVal&lt;&gt;"",_xlpm.CSVVal
)),"")</f>
        <v/>
      </c>
      <c r="L991" s="45"/>
      <c r="M991" s="45"/>
      <c r="N991" s="45"/>
      <c r="O991" s="45"/>
      <c r="P991" s="45"/>
      <c r="Q991" s="45"/>
      <c r="R991" s="45"/>
      <c r="S991" s="45"/>
      <c r="T991" s="46" t="str">
        <f>_xlfn.XLOOKUP(E991,Models!I:I,Models!J:J,"")</f>
        <v/>
      </c>
      <c r="U991" s="45"/>
      <c r="V991" s="45"/>
      <c r="W991" s="38"/>
    </row>
    <row r="992" spans="1:23">
      <c r="A992" s="45" t="str">
        <f>_xlfn.TEXTJOIN("",TRUE,Input!$B$2,ROW(My_Audit!A991))</f>
        <v>CC991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6" t="str" cm="1">
        <f t="array" ref="K992">IFERROR(_xlfn.LET(
_xlpm.CSVVal,_xlfn.XLOOKUP($A992,CSV!$A:$A,CSV!N:N,""),
_xlpm.MacVal,_xlfn.XLOOKUP($A992,Output_Mac!$A:$A,Output_Mac!L:L,""),
_xlpm.MyAuditVal,_xlfn.XLOOKUP($A992,My_Audit!$A:$A,My_Audit!J:J,""),
_xlfn.IFS(_xlpm.MyAuditVal&lt;&gt;"",UPPER(_xlpm.MyAuditVal),_xlpm.MacVal&lt;&gt;"",_xlpm.MacVal,_xlpm.CSVVal&lt;&gt;"",_xlpm.CSVVal
)),"")</f>
        <v/>
      </c>
      <c r="L992" s="45"/>
      <c r="M992" s="45"/>
      <c r="N992" s="45"/>
      <c r="O992" s="45"/>
      <c r="P992" s="45"/>
      <c r="Q992" s="45"/>
      <c r="R992" s="45"/>
      <c r="S992" s="45"/>
      <c r="T992" s="46" t="str">
        <f>_xlfn.XLOOKUP(E992,Models!I:I,Models!J:J,"")</f>
        <v/>
      </c>
      <c r="U992" s="45"/>
      <c r="V992" s="45"/>
      <c r="W992" s="38"/>
    </row>
    <row r="993" spans="1:23">
      <c r="A993" s="45" t="str">
        <f>_xlfn.TEXTJOIN("",TRUE,Input!$B$2,ROW(My_Audit!A992))</f>
        <v>CC992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6" t="str" cm="1">
        <f t="array" ref="K993">IFERROR(_xlfn.LET(
_xlpm.CSVVal,_xlfn.XLOOKUP($A993,CSV!$A:$A,CSV!N:N,""),
_xlpm.MacVal,_xlfn.XLOOKUP($A993,Output_Mac!$A:$A,Output_Mac!L:L,""),
_xlpm.MyAuditVal,_xlfn.XLOOKUP($A993,My_Audit!$A:$A,My_Audit!J:J,""),
_xlfn.IFS(_xlpm.MyAuditVal&lt;&gt;"",UPPER(_xlpm.MyAuditVal),_xlpm.MacVal&lt;&gt;"",_xlpm.MacVal,_xlpm.CSVVal&lt;&gt;"",_xlpm.CSVVal
)),"")</f>
        <v/>
      </c>
      <c r="L993" s="45"/>
      <c r="M993" s="45"/>
      <c r="N993" s="45"/>
      <c r="O993" s="45"/>
      <c r="P993" s="45"/>
      <c r="Q993" s="45"/>
      <c r="R993" s="45"/>
      <c r="S993" s="45"/>
      <c r="T993" s="46" t="str">
        <f>_xlfn.XLOOKUP(E993,Models!I:I,Models!J:J,"")</f>
        <v/>
      </c>
      <c r="U993" s="45"/>
      <c r="V993" s="45"/>
      <c r="W993" s="38"/>
    </row>
    <row r="994" spans="1:23">
      <c r="A994" s="45" t="str">
        <f>_xlfn.TEXTJOIN("",TRUE,Input!$B$2,ROW(My_Audit!A993))</f>
        <v>CC993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6" t="str" cm="1">
        <f t="array" ref="K994">IFERROR(_xlfn.LET(
_xlpm.CSVVal,_xlfn.XLOOKUP($A994,CSV!$A:$A,CSV!N:N,""),
_xlpm.MacVal,_xlfn.XLOOKUP($A994,Output_Mac!$A:$A,Output_Mac!L:L,""),
_xlpm.MyAuditVal,_xlfn.XLOOKUP($A994,My_Audit!$A:$A,My_Audit!J:J,""),
_xlfn.IFS(_xlpm.MyAuditVal&lt;&gt;"",UPPER(_xlpm.MyAuditVal),_xlpm.MacVal&lt;&gt;"",_xlpm.MacVal,_xlpm.CSVVal&lt;&gt;"",_xlpm.CSVVal
)),"")</f>
        <v/>
      </c>
      <c r="L994" s="45"/>
      <c r="M994" s="45"/>
      <c r="N994" s="45"/>
      <c r="O994" s="45"/>
      <c r="P994" s="45"/>
      <c r="Q994" s="45"/>
      <c r="R994" s="45"/>
      <c r="S994" s="45"/>
      <c r="T994" s="46" t="str">
        <f>_xlfn.XLOOKUP(E994,Models!I:I,Models!J:J,"")</f>
        <v/>
      </c>
      <c r="U994" s="45"/>
      <c r="V994" s="45"/>
      <c r="W994" s="38"/>
    </row>
    <row r="995" spans="1:23">
      <c r="A995" s="45" t="str">
        <f>_xlfn.TEXTJOIN("",TRUE,Input!$B$2,ROW(My_Audit!A994))</f>
        <v>CC994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6" t="str" cm="1">
        <f t="array" ref="K995">IFERROR(_xlfn.LET(
_xlpm.CSVVal,_xlfn.XLOOKUP($A995,CSV!$A:$A,CSV!N:N,""),
_xlpm.MacVal,_xlfn.XLOOKUP($A995,Output_Mac!$A:$A,Output_Mac!L:L,""),
_xlpm.MyAuditVal,_xlfn.XLOOKUP($A995,My_Audit!$A:$A,My_Audit!J:J,""),
_xlfn.IFS(_xlpm.MyAuditVal&lt;&gt;"",UPPER(_xlpm.MyAuditVal),_xlpm.MacVal&lt;&gt;"",_xlpm.MacVal,_xlpm.CSVVal&lt;&gt;"",_xlpm.CSVVal
)),"")</f>
        <v/>
      </c>
      <c r="L995" s="45"/>
      <c r="M995" s="45"/>
      <c r="N995" s="45"/>
      <c r="O995" s="45"/>
      <c r="P995" s="45"/>
      <c r="Q995" s="45"/>
      <c r="R995" s="45"/>
      <c r="S995" s="45"/>
      <c r="T995" s="46" t="str">
        <f>_xlfn.XLOOKUP(E995,Models!I:I,Models!J:J,"")</f>
        <v/>
      </c>
      <c r="U995" s="45"/>
      <c r="V995" s="45"/>
      <c r="W995" s="38"/>
    </row>
    <row r="996" spans="1:23">
      <c r="A996" s="45" t="str">
        <f>_xlfn.TEXTJOIN("",TRUE,Input!$B$2,ROW(My_Audit!A995))</f>
        <v>CC995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6" t="str" cm="1">
        <f t="array" ref="K996">IFERROR(_xlfn.LET(
_xlpm.CSVVal,_xlfn.XLOOKUP($A996,CSV!$A:$A,CSV!N:N,""),
_xlpm.MacVal,_xlfn.XLOOKUP($A996,Output_Mac!$A:$A,Output_Mac!L:L,""),
_xlpm.MyAuditVal,_xlfn.XLOOKUP($A996,My_Audit!$A:$A,My_Audit!J:J,""),
_xlfn.IFS(_xlpm.MyAuditVal&lt;&gt;"",UPPER(_xlpm.MyAuditVal),_xlpm.MacVal&lt;&gt;"",_xlpm.MacVal,_xlpm.CSVVal&lt;&gt;"",_xlpm.CSVVal
)),"")</f>
        <v/>
      </c>
      <c r="L996" s="45"/>
      <c r="M996" s="45"/>
      <c r="N996" s="45"/>
      <c r="O996" s="45"/>
      <c r="P996" s="45"/>
      <c r="Q996" s="45"/>
      <c r="R996" s="45"/>
      <c r="S996" s="45"/>
      <c r="T996" s="46" t="str">
        <f>_xlfn.XLOOKUP(E996,Models!I:I,Models!J:J,"")</f>
        <v/>
      </c>
      <c r="U996" s="45"/>
      <c r="V996" s="45"/>
      <c r="W996" s="38"/>
    </row>
    <row r="997" spans="1:23">
      <c r="A997" s="45" t="str">
        <f>_xlfn.TEXTJOIN("",TRUE,Input!$B$2,ROW(My_Audit!A996))</f>
        <v>CC996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6" t="str" cm="1">
        <f t="array" ref="K997">IFERROR(_xlfn.LET(
_xlpm.CSVVal,_xlfn.XLOOKUP($A997,CSV!$A:$A,CSV!N:N,""),
_xlpm.MacVal,_xlfn.XLOOKUP($A997,Output_Mac!$A:$A,Output_Mac!L:L,""),
_xlpm.MyAuditVal,_xlfn.XLOOKUP($A997,My_Audit!$A:$A,My_Audit!J:J,""),
_xlfn.IFS(_xlpm.MyAuditVal&lt;&gt;"",UPPER(_xlpm.MyAuditVal),_xlpm.MacVal&lt;&gt;"",_xlpm.MacVal,_xlpm.CSVVal&lt;&gt;"",_xlpm.CSVVal
)),"")</f>
        <v/>
      </c>
      <c r="L997" s="45"/>
      <c r="M997" s="45"/>
      <c r="N997" s="45"/>
      <c r="O997" s="45"/>
      <c r="P997" s="45"/>
      <c r="Q997" s="45"/>
      <c r="R997" s="45"/>
      <c r="S997" s="45"/>
      <c r="T997" s="46" t="str">
        <f>_xlfn.XLOOKUP(E997,Models!I:I,Models!J:J,"")</f>
        <v/>
      </c>
      <c r="U997" s="45"/>
      <c r="V997" s="45"/>
      <c r="W997" s="38"/>
    </row>
    <row r="998" spans="1:23">
      <c r="A998" s="45" t="str">
        <f>_xlfn.TEXTJOIN("",TRUE,Input!$B$2,ROW(My_Audit!A997))</f>
        <v>CC997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6" t="str" cm="1">
        <f t="array" ref="K998">IFERROR(_xlfn.LET(
_xlpm.CSVVal,_xlfn.XLOOKUP($A998,CSV!$A:$A,CSV!N:N,""),
_xlpm.MacVal,_xlfn.XLOOKUP($A998,Output_Mac!$A:$A,Output_Mac!L:L,""),
_xlpm.MyAuditVal,_xlfn.XLOOKUP($A998,My_Audit!$A:$A,My_Audit!J:J,""),
_xlfn.IFS(_xlpm.MyAuditVal&lt;&gt;"",UPPER(_xlpm.MyAuditVal),_xlpm.MacVal&lt;&gt;"",_xlpm.MacVal,_xlpm.CSVVal&lt;&gt;"",_xlpm.CSVVal
)),"")</f>
        <v/>
      </c>
      <c r="L998" s="45"/>
      <c r="M998" s="45"/>
      <c r="N998" s="45"/>
      <c r="O998" s="45"/>
      <c r="P998" s="45"/>
      <c r="Q998" s="45"/>
      <c r="R998" s="45"/>
      <c r="S998" s="45"/>
      <c r="T998" s="46" t="str">
        <f>_xlfn.XLOOKUP(E998,Models!I:I,Models!J:J,"")</f>
        <v/>
      </c>
      <c r="U998" s="45"/>
      <c r="V998" s="45"/>
      <c r="W998" s="38"/>
    </row>
    <row r="999" spans="1:23">
      <c r="A999" s="45" t="str">
        <f>_xlfn.TEXTJOIN("",TRUE,Input!$B$2,ROW(My_Audit!A998))</f>
        <v>CC998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6" t="str" cm="1">
        <f t="array" ref="K999">IFERROR(_xlfn.LET(
_xlpm.CSVVal,_xlfn.XLOOKUP($A999,CSV!$A:$A,CSV!N:N,""),
_xlpm.MacVal,_xlfn.XLOOKUP($A999,Output_Mac!$A:$A,Output_Mac!L:L,""),
_xlpm.MyAuditVal,_xlfn.XLOOKUP($A999,My_Audit!$A:$A,My_Audit!J:J,""),
_xlfn.IFS(_xlpm.MyAuditVal&lt;&gt;"",UPPER(_xlpm.MyAuditVal),_xlpm.MacVal&lt;&gt;"",_xlpm.MacVal,_xlpm.CSVVal&lt;&gt;"",_xlpm.CSVVal
)),"")</f>
        <v/>
      </c>
      <c r="L999" s="45"/>
      <c r="M999" s="45"/>
      <c r="N999" s="45"/>
      <c r="O999" s="45"/>
      <c r="P999" s="45"/>
      <c r="Q999" s="45"/>
      <c r="R999" s="45"/>
      <c r="S999" s="45"/>
      <c r="T999" s="46" t="str">
        <f>_xlfn.XLOOKUP(E999,Models!I:I,Models!J:J,"")</f>
        <v/>
      </c>
      <c r="U999" s="45"/>
      <c r="V999" s="45"/>
      <c r="W999" s="38"/>
    </row>
    <row r="1000" spans="1:23">
      <c r="A1000" s="45" t="str">
        <f>_xlfn.TEXTJOIN("",TRUE,Input!$B$2,ROW(My_Audit!A999))</f>
        <v>CC999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6" t="str" cm="1">
        <f t="array" ref="K1000">IFERROR(_xlfn.LET(
_xlpm.CSVVal,_xlfn.XLOOKUP($A1000,CSV!$A:$A,CSV!N:N,""),
_xlpm.MacVal,_xlfn.XLOOKUP($A1000,Output_Mac!$A:$A,Output_Mac!L:L,""),
_xlpm.MyAuditVal,_xlfn.XLOOKUP($A1000,My_Audit!$A:$A,My_Audit!J:J,""),
_xlfn.IFS(_xlpm.MyAuditVal&lt;&gt;"",UPPER(_xlpm.MyAuditVal),_xlpm.MacVal&lt;&gt;"",_xlpm.MacVal,_xlpm.CSVVal&lt;&gt;"",_xlpm.CSVVal
)),"")</f>
        <v/>
      </c>
      <c r="L1000" s="45"/>
      <c r="M1000" s="45"/>
      <c r="N1000" s="45"/>
      <c r="O1000" s="45"/>
      <c r="P1000" s="45"/>
      <c r="Q1000" s="45"/>
      <c r="R1000" s="45"/>
      <c r="S1000" s="45"/>
      <c r="T1000" s="46" t="str">
        <f>_xlfn.XLOOKUP(E1000,Models!I:I,Models!J:J,"")</f>
        <v/>
      </c>
      <c r="U1000" s="45"/>
      <c r="V1000" s="45"/>
      <c r="W1000" s="38"/>
    </row>
    <row r="1001" spans="1:23">
      <c r="A1001" s="45" t="str">
        <f>_xlfn.TEXTJOIN("",TRUE,Input!$B$2,ROW(My_Audit!A1000))</f>
        <v>CC1000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6" t="str" cm="1">
        <f t="array" ref="K1001">IFERROR(_xlfn.LET(
_xlpm.CSVVal,_xlfn.XLOOKUP($A1001,CSV!$A:$A,CSV!N:N,""),
_xlpm.MacVal,_xlfn.XLOOKUP($A1001,Output_Mac!$A:$A,Output_Mac!L:L,""),
_xlpm.MyAuditVal,_xlfn.XLOOKUP($A1001,My_Audit!$A:$A,My_Audit!J:J,""),
_xlfn.IFS(_xlpm.MyAuditVal&lt;&gt;"",UPPER(_xlpm.MyAuditVal),_xlpm.MacVal&lt;&gt;"",_xlpm.MacVal,_xlpm.CSVVal&lt;&gt;"",_xlpm.CSVVal
)),"")</f>
        <v/>
      </c>
      <c r="L1001" s="45"/>
      <c r="M1001" s="45"/>
      <c r="N1001" s="45"/>
      <c r="O1001" s="45"/>
      <c r="P1001" s="45"/>
      <c r="Q1001" s="45"/>
      <c r="R1001" s="45"/>
      <c r="S1001" s="45"/>
      <c r="T1001" s="46" t="str">
        <f>_xlfn.XLOOKUP(E1001,Models!I:I,Models!J:J,"")</f>
        <v/>
      </c>
      <c r="U1001" s="45"/>
      <c r="V1001" s="45"/>
      <c r="W1001" s="38"/>
    </row>
    <row r="1002" spans="1:23">
      <c r="A1002" s="45" t="str">
        <f>_xlfn.TEXTJOIN("",TRUE,Input!$B$2,ROW(My_Audit!A1001))</f>
        <v>CC1001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6" t="str" cm="1">
        <f t="array" ref="K1002">IFERROR(_xlfn.LET(
_xlpm.CSVVal,_xlfn.XLOOKUP($A1002,CSV!$A:$A,CSV!N:N,""),
_xlpm.MacVal,_xlfn.XLOOKUP($A1002,Output_Mac!$A:$A,Output_Mac!L:L,""),
_xlpm.MyAuditVal,_xlfn.XLOOKUP($A1002,My_Audit!$A:$A,My_Audit!J:J,""),
_xlfn.IFS(_xlpm.MyAuditVal&lt;&gt;"",UPPER(_xlpm.MyAuditVal),_xlpm.MacVal&lt;&gt;"",_xlpm.MacVal,_xlpm.CSVVal&lt;&gt;"",_xlpm.CSVVal
)),"")</f>
        <v/>
      </c>
      <c r="L1002" s="45"/>
      <c r="M1002" s="45"/>
      <c r="N1002" s="45"/>
      <c r="O1002" s="45"/>
      <c r="P1002" s="45"/>
      <c r="Q1002" s="45"/>
      <c r="R1002" s="45"/>
      <c r="S1002" s="45"/>
      <c r="T1002" s="46" t="str">
        <f>_xlfn.XLOOKUP(E1002,Models!I:I,Models!J:J,"")</f>
        <v/>
      </c>
      <c r="U1002" s="45"/>
      <c r="V1002" s="45"/>
      <c r="W1002" s="38"/>
    </row>
    <row r="1003" spans="1:23">
      <c r="A1003" s="45" t="str">
        <f>_xlfn.TEXTJOIN("",TRUE,Input!$B$2,ROW(My_Audit!A1002))</f>
        <v>CC1002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6" t="str" cm="1">
        <f t="array" ref="K1003">IFERROR(_xlfn.LET(
_xlpm.CSVVal,_xlfn.XLOOKUP($A1003,CSV!$A:$A,CSV!N:N,""),
_xlpm.MacVal,_xlfn.XLOOKUP($A1003,Output_Mac!$A:$A,Output_Mac!L:L,""),
_xlpm.MyAuditVal,_xlfn.XLOOKUP($A1003,My_Audit!$A:$A,My_Audit!J:J,""),
_xlfn.IFS(_xlpm.MyAuditVal&lt;&gt;"",UPPER(_xlpm.MyAuditVal),_xlpm.MacVal&lt;&gt;"",_xlpm.MacVal,_xlpm.CSVVal&lt;&gt;"",_xlpm.CSVVal
)),"")</f>
        <v/>
      </c>
      <c r="L1003" s="45"/>
      <c r="M1003" s="45"/>
      <c r="N1003" s="45"/>
      <c r="O1003" s="45"/>
      <c r="P1003" s="45"/>
      <c r="Q1003" s="45"/>
      <c r="R1003" s="45"/>
      <c r="S1003" s="45"/>
      <c r="T1003" s="46" t="str">
        <f>_xlfn.XLOOKUP(E1003,Models!I:I,Models!J:J,"")</f>
        <v/>
      </c>
      <c r="U1003" s="45"/>
      <c r="V1003" s="45"/>
      <c r="W1003" s="38"/>
    </row>
    <row r="1004" spans="1:23">
      <c r="A1004" s="45" t="str">
        <f>_xlfn.TEXTJOIN("",TRUE,Input!$B$2,ROW(My_Audit!A1003))</f>
        <v>CC1003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6" t="str" cm="1">
        <f t="array" ref="K1004">IFERROR(_xlfn.LET(
_xlpm.CSVVal,_xlfn.XLOOKUP($A1004,CSV!$A:$A,CSV!N:N,""),
_xlpm.MacVal,_xlfn.XLOOKUP($A1004,Output_Mac!$A:$A,Output_Mac!L:L,""),
_xlpm.MyAuditVal,_xlfn.XLOOKUP($A1004,My_Audit!$A:$A,My_Audit!J:J,""),
_xlfn.IFS(_xlpm.MyAuditVal&lt;&gt;"",UPPER(_xlpm.MyAuditVal),_xlpm.MacVal&lt;&gt;"",_xlpm.MacVal,_xlpm.CSVVal&lt;&gt;"",_xlpm.CSVVal
)),"")</f>
        <v/>
      </c>
      <c r="L1004" s="45"/>
      <c r="M1004" s="45"/>
      <c r="N1004" s="45"/>
      <c r="O1004" s="45"/>
      <c r="P1004" s="45"/>
      <c r="Q1004" s="45"/>
      <c r="R1004" s="45"/>
      <c r="S1004" s="45"/>
      <c r="T1004" s="46" t="str">
        <f>_xlfn.XLOOKUP(E1004,Models!I:I,Models!J:J,"")</f>
        <v/>
      </c>
      <c r="U1004" s="45"/>
      <c r="V1004" s="45"/>
      <c r="W1004" s="38"/>
    </row>
    <row r="1005" spans="1:23">
      <c r="A1005" s="45" t="str">
        <f>_xlfn.TEXTJOIN("",TRUE,Input!$B$2,ROW(My_Audit!A1004))</f>
        <v>CC1004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6" t="str" cm="1">
        <f t="array" ref="K1005">IFERROR(_xlfn.LET(
_xlpm.CSVVal,_xlfn.XLOOKUP($A1005,CSV!$A:$A,CSV!N:N,""),
_xlpm.MacVal,_xlfn.XLOOKUP($A1005,Output_Mac!$A:$A,Output_Mac!L:L,""),
_xlpm.MyAuditVal,_xlfn.XLOOKUP($A1005,My_Audit!$A:$A,My_Audit!J:J,""),
_xlfn.IFS(_xlpm.MyAuditVal&lt;&gt;"",UPPER(_xlpm.MyAuditVal),_xlpm.MacVal&lt;&gt;"",_xlpm.MacVal,_xlpm.CSVVal&lt;&gt;"",_xlpm.CSVVal
)),"")</f>
        <v/>
      </c>
      <c r="L1005" s="45"/>
      <c r="M1005" s="45"/>
      <c r="N1005" s="45"/>
      <c r="O1005" s="45"/>
      <c r="P1005" s="45"/>
      <c r="Q1005" s="45"/>
      <c r="R1005" s="45"/>
      <c r="S1005" s="45"/>
      <c r="T1005" s="46" t="str">
        <f>_xlfn.XLOOKUP(E1005,Models!I:I,Models!J:J,"")</f>
        <v/>
      </c>
      <c r="U1005" s="45"/>
      <c r="V1005" s="45"/>
      <c r="W1005" s="38"/>
    </row>
    <row r="1006" spans="1:23">
      <c r="A1006" s="45" t="str">
        <f>_xlfn.TEXTJOIN("",TRUE,Input!$B$2,ROW(My_Audit!A1005))</f>
        <v>CC1005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6" t="str" cm="1">
        <f t="array" ref="K1006">IFERROR(_xlfn.LET(
_xlpm.CSVVal,_xlfn.XLOOKUP($A1006,CSV!$A:$A,CSV!N:N,""),
_xlpm.MacVal,_xlfn.XLOOKUP($A1006,Output_Mac!$A:$A,Output_Mac!L:L,""),
_xlpm.MyAuditVal,_xlfn.XLOOKUP($A1006,My_Audit!$A:$A,My_Audit!J:J,""),
_xlfn.IFS(_xlpm.MyAuditVal&lt;&gt;"",UPPER(_xlpm.MyAuditVal),_xlpm.MacVal&lt;&gt;"",_xlpm.MacVal,_xlpm.CSVVal&lt;&gt;"",_xlpm.CSVVal
)),"")</f>
        <v/>
      </c>
      <c r="L1006" s="45"/>
      <c r="M1006" s="45"/>
      <c r="N1006" s="45"/>
      <c r="O1006" s="45"/>
      <c r="P1006" s="45"/>
      <c r="Q1006" s="45"/>
      <c r="R1006" s="45"/>
      <c r="S1006" s="45"/>
      <c r="T1006" s="46" t="str">
        <f>_xlfn.XLOOKUP(E1006,Models!I:I,Models!J:J,"")</f>
        <v/>
      </c>
      <c r="U1006" s="45"/>
      <c r="V1006" s="45"/>
      <c r="W1006" s="38"/>
    </row>
    <row r="1007" spans="1:23">
      <c r="A1007" s="45" t="str">
        <f>_xlfn.TEXTJOIN("",TRUE,Input!$B$2,ROW(My_Audit!A1006))</f>
        <v>CC1006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6" t="str" cm="1">
        <f t="array" ref="K1007">IFERROR(_xlfn.LET(
_xlpm.CSVVal,_xlfn.XLOOKUP($A1007,CSV!$A:$A,CSV!N:N,""),
_xlpm.MacVal,_xlfn.XLOOKUP($A1007,Output_Mac!$A:$A,Output_Mac!L:L,""),
_xlpm.MyAuditVal,_xlfn.XLOOKUP($A1007,My_Audit!$A:$A,My_Audit!J:J,""),
_xlfn.IFS(_xlpm.MyAuditVal&lt;&gt;"",UPPER(_xlpm.MyAuditVal),_xlpm.MacVal&lt;&gt;"",_xlpm.MacVal,_xlpm.CSVVal&lt;&gt;"",_xlpm.CSVVal
)),"")</f>
        <v/>
      </c>
      <c r="L1007" s="45"/>
      <c r="M1007" s="45"/>
      <c r="N1007" s="45"/>
      <c r="O1007" s="45"/>
      <c r="P1007" s="45"/>
      <c r="Q1007" s="45"/>
      <c r="R1007" s="45"/>
      <c r="S1007" s="45"/>
      <c r="T1007" s="46" t="str">
        <f>_xlfn.XLOOKUP(E1007,Models!I:I,Models!J:J,"")</f>
        <v/>
      </c>
      <c r="U1007" s="45"/>
      <c r="V1007" s="45"/>
      <c r="W1007" s="38"/>
    </row>
    <row r="1008" spans="1:23">
      <c r="A1008" s="45" t="str">
        <f>_xlfn.TEXTJOIN("",TRUE,Input!$B$2,ROW(My_Audit!A1007))</f>
        <v>CC1007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6" t="str" cm="1">
        <f t="array" ref="K1008">IFERROR(_xlfn.LET(
_xlpm.CSVVal,_xlfn.XLOOKUP($A1008,CSV!$A:$A,CSV!N:N,""),
_xlpm.MacVal,_xlfn.XLOOKUP($A1008,Output_Mac!$A:$A,Output_Mac!L:L,""),
_xlpm.MyAuditVal,_xlfn.XLOOKUP($A1008,My_Audit!$A:$A,My_Audit!J:J,""),
_xlfn.IFS(_xlpm.MyAuditVal&lt;&gt;"",UPPER(_xlpm.MyAuditVal),_xlpm.MacVal&lt;&gt;"",_xlpm.MacVal,_xlpm.CSVVal&lt;&gt;"",_xlpm.CSVVal
)),"")</f>
        <v/>
      </c>
      <c r="L1008" s="45"/>
      <c r="M1008" s="45"/>
      <c r="N1008" s="45"/>
      <c r="O1008" s="45"/>
      <c r="P1008" s="45"/>
      <c r="Q1008" s="45"/>
      <c r="R1008" s="45"/>
      <c r="S1008" s="45"/>
      <c r="T1008" s="46" t="str">
        <f>_xlfn.XLOOKUP(E1008,Models!I:I,Models!J:J,"")</f>
        <v/>
      </c>
      <c r="U1008" s="45"/>
      <c r="V1008" s="45"/>
      <c r="W1008" s="38"/>
    </row>
    <row r="1009" spans="1:23">
      <c r="A1009" s="45" t="str">
        <f>_xlfn.TEXTJOIN("",TRUE,Input!$B$2,ROW(My_Audit!A1008))</f>
        <v>CC1008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6" t="str" cm="1">
        <f t="array" ref="K1009">IFERROR(_xlfn.LET(
_xlpm.CSVVal,_xlfn.XLOOKUP($A1009,CSV!$A:$A,CSV!N:N,""),
_xlpm.MacVal,_xlfn.XLOOKUP($A1009,Output_Mac!$A:$A,Output_Mac!L:L,""),
_xlpm.MyAuditVal,_xlfn.XLOOKUP($A1009,My_Audit!$A:$A,My_Audit!J:J,""),
_xlfn.IFS(_xlpm.MyAuditVal&lt;&gt;"",UPPER(_xlpm.MyAuditVal),_xlpm.MacVal&lt;&gt;"",_xlpm.MacVal,_xlpm.CSVVal&lt;&gt;"",_xlpm.CSVVal
)),"")</f>
        <v/>
      </c>
      <c r="L1009" s="45"/>
      <c r="M1009" s="45"/>
      <c r="N1009" s="45"/>
      <c r="O1009" s="45"/>
      <c r="P1009" s="45"/>
      <c r="Q1009" s="45"/>
      <c r="R1009" s="45"/>
      <c r="S1009" s="45"/>
      <c r="T1009" s="46" t="str">
        <f>_xlfn.XLOOKUP(E1009,Models!I:I,Models!J:J,"")</f>
        <v/>
      </c>
      <c r="U1009" s="45"/>
      <c r="V1009" s="45"/>
      <c r="W1009" s="38"/>
    </row>
    <row r="1010" spans="1:23">
      <c r="A1010" s="45" t="str">
        <f>_xlfn.TEXTJOIN("",TRUE,Input!$B$2,ROW(My_Audit!A1009))</f>
        <v>CC1009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6" t="str" cm="1">
        <f t="array" ref="K1010">IFERROR(_xlfn.LET(
_xlpm.CSVVal,_xlfn.XLOOKUP($A1010,CSV!$A:$A,CSV!N:N,""),
_xlpm.MacVal,_xlfn.XLOOKUP($A1010,Output_Mac!$A:$A,Output_Mac!L:L,""),
_xlpm.MyAuditVal,_xlfn.XLOOKUP($A1010,My_Audit!$A:$A,My_Audit!J:J,""),
_xlfn.IFS(_xlpm.MyAuditVal&lt;&gt;"",UPPER(_xlpm.MyAuditVal),_xlpm.MacVal&lt;&gt;"",_xlpm.MacVal,_xlpm.CSVVal&lt;&gt;"",_xlpm.CSVVal
)),"")</f>
        <v/>
      </c>
      <c r="L1010" s="45"/>
      <c r="M1010" s="45"/>
      <c r="N1010" s="45"/>
      <c r="O1010" s="45"/>
      <c r="P1010" s="45"/>
      <c r="Q1010" s="45"/>
      <c r="R1010" s="45"/>
      <c r="S1010" s="45"/>
      <c r="T1010" s="46" t="str">
        <f>_xlfn.XLOOKUP(E1010,Models!I:I,Models!J:J,"")</f>
        <v/>
      </c>
      <c r="U1010" s="45"/>
      <c r="V1010" s="45"/>
      <c r="W1010" s="38"/>
    </row>
    <row r="1011" spans="1:23">
      <c r="A1011" s="45" t="str">
        <f>_xlfn.TEXTJOIN("",TRUE,Input!$B$2,ROW(My_Audit!A1010))</f>
        <v>CC1010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6" t="str" cm="1">
        <f t="array" ref="K1011">IFERROR(_xlfn.LET(
_xlpm.CSVVal,_xlfn.XLOOKUP($A1011,CSV!$A:$A,CSV!N:N,""),
_xlpm.MacVal,_xlfn.XLOOKUP($A1011,Output_Mac!$A:$A,Output_Mac!L:L,""),
_xlpm.MyAuditVal,_xlfn.XLOOKUP($A1011,My_Audit!$A:$A,My_Audit!J:J,""),
_xlfn.IFS(_xlpm.MyAuditVal&lt;&gt;"",UPPER(_xlpm.MyAuditVal),_xlpm.MacVal&lt;&gt;"",_xlpm.MacVal,_xlpm.CSVVal&lt;&gt;"",_xlpm.CSVVal
)),"")</f>
        <v/>
      </c>
      <c r="L1011" s="45"/>
      <c r="M1011" s="45"/>
      <c r="N1011" s="45"/>
      <c r="O1011" s="45"/>
      <c r="P1011" s="45"/>
      <c r="Q1011" s="45"/>
      <c r="R1011" s="45"/>
      <c r="S1011" s="45"/>
      <c r="T1011" s="46" t="str">
        <f>_xlfn.XLOOKUP(E1011,Models!I:I,Models!J:J,"")</f>
        <v/>
      </c>
      <c r="U1011" s="45"/>
      <c r="V1011" s="45"/>
      <c r="W1011" s="38"/>
    </row>
    <row r="1012" spans="1:23">
      <c r="A1012" s="45" t="str">
        <f>_xlfn.TEXTJOIN("",TRUE,Input!$B$2,ROW(My_Audit!A1011))</f>
        <v>CC1011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6" t="str" cm="1">
        <f t="array" ref="K1012">IFERROR(_xlfn.LET(
_xlpm.CSVVal,_xlfn.XLOOKUP($A1012,CSV!$A:$A,CSV!N:N,""),
_xlpm.MacVal,_xlfn.XLOOKUP($A1012,Output_Mac!$A:$A,Output_Mac!L:L,""),
_xlpm.MyAuditVal,_xlfn.XLOOKUP($A1012,My_Audit!$A:$A,My_Audit!J:J,""),
_xlfn.IFS(_xlpm.MyAuditVal&lt;&gt;"",UPPER(_xlpm.MyAuditVal),_xlpm.MacVal&lt;&gt;"",_xlpm.MacVal,_xlpm.CSVVal&lt;&gt;"",_xlpm.CSVVal
)),"")</f>
        <v/>
      </c>
      <c r="L1012" s="45"/>
      <c r="M1012" s="45"/>
      <c r="N1012" s="45"/>
      <c r="O1012" s="45"/>
      <c r="P1012" s="45"/>
      <c r="Q1012" s="45"/>
      <c r="R1012" s="45"/>
      <c r="S1012" s="45"/>
      <c r="T1012" s="46" t="str">
        <f>_xlfn.XLOOKUP(E1012,Models!I:I,Models!J:J,"")</f>
        <v/>
      </c>
      <c r="U1012" s="45"/>
      <c r="V1012" s="45"/>
      <c r="W1012" s="38"/>
    </row>
    <row r="1013" spans="1:23">
      <c r="A1013" s="45" t="str">
        <f>_xlfn.TEXTJOIN("",TRUE,Input!$B$2,ROW(My_Audit!A1012))</f>
        <v>CC1012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6" t="str" cm="1">
        <f t="array" ref="K1013">IFERROR(_xlfn.LET(
_xlpm.CSVVal,_xlfn.XLOOKUP($A1013,CSV!$A:$A,CSV!N:N,""),
_xlpm.MacVal,_xlfn.XLOOKUP($A1013,Output_Mac!$A:$A,Output_Mac!L:L,""),
_xlpm.MyAuditVal,_xlfn.XLOOKUP($A1013,My_Audit!$A:$A,My_Audit!J:J,""),
_xlfn.IFS(_xlpm.MyAuditVal&lt;&gt;"",UPPER(_xlpm.MyAuditVal),_xlpm.MacVal&lt;&gt;"",_xlpm.MacVal,_xlpm.CSVVal&lt;&gt;"",_xlpm.CSVVal
)),"")</f>
        <v/>
      </c>
      <c r="L1013" s="45"/>
      <c r="M1013" s="45"/>
      <c r="N1013" s="45"/>
      <c r="O1013" s="45"/>
      <c r="P1013" s="45"/>
      <c r="Q1013" s="45"/>
      <c r="R1013" s="45"/>
      <c r="S1013" s="45"/>
      <c r="T1013" s="46" t="str">
        <f>_xlfn.XLOOKUP(E1013,Models!I:I,Models!J:J,"")</f>
        <v/>
      </c>
      <c r="U1013" s="45"/>
      <c r="V1013" s="45"/>
      <c r="W1013" s="38"/>
    </row>
    <row r="1014" spans="1:23">
      <c r="A1014" s="45" t="str">
        <f>_xlfn.TEXTJOIN("",TRUE,Input!$B$2,ROW(My_Audit!A1013))</f>
        <v>CC1013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6" t="str" cm="1">
        <f t="array" ref="K1014">IFERROR(_xlfn.LET(
_xlpm.CSVVal,_xlfn.XLOOKUP($A1014,CSV!$A:$A,CSV!N:N,""),
_xlpm.MacVal,_xlfn.XLOOKUP($A1014,Output_Mac!$A:$A,Output_Mac!L:L,""),
_xlpm.MyAuditVal,_xlfn.XLOOKUP($A1014,My_Audit!$A:$A,My_Audit!J:J,""),
_xlfn.IFS(_xlpm.MyAuditVal&lt;&gt;"",UPPER(_xlpm.MyAuditVal),_xlpm.MacVal&lt;&gt;"",_xlpm.MacVal,_xlpm.CSVVal&lt;&gt;"",_xlpm.CSVVal
)),"")</f>
        <v/>
      </c>
      <c r="L1014" s="45"/>
      <c r="M1014" s="45"/>
      <c r="N1014" s="45"/>
      <c r="O1014" s="45"/>
      <c r="P1014" s="45"/>
      <c r="Q1014" s="45"/>
      <c r="R1014" s="45"/>
      <c r="S1014" s="45"/>
      <c r="T1014" s="46" t="str">
        <f>_xlfn.XLOOKUP(E1014,Models!I:I,Models!J:J,"")</f>
        <v/>
      </c>
      <c r="U1014" s="45"/>
      <c r="V1014" s="45"/>
      <c r="W1014" s="38"/>
    </row>
    <row r="1015" spans="1:23">
      <c r="A1015" s="45" t="str">
        <f>_xlfn.TEXTJOIN("",TRUE,Input!$B$2,ROW(My_Audit!A1014))</f>
        <v>CC1014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6" t="str" cm="1">
        <f t="array" ref="K1015">IFERROR(_xlfn.LET(
_xlpm.CSVVal,_xlfn.XLOOKUP($A1015,CSV!$A:$A,CSV!N:N,""),
_xlpm.MacVal,_xlfn.XLOOKUP($A1015,Output_Mac!$A:$A,Output_Mac!L:L,""),
_xlpm.MyAuditVal,_xlfn.XLOOKUP($A1015,My_Audit!$A:$A,My_Audit!J:J,""),
_xlfn.IFS(_xlpm.MyAuditVal&lt;&gt;"",UPPER(_xlpm.MyAuditVal),_xlpm.MacVal&lt;&gt;"",_xlpm.MacVal,_xlpm.CSVVal&lt;&gt;"",_xlpm.CSVVal
)),"")</f>
        <v/>
      </c>
      <c r="L1015" s="45"/>
      <c r="M1015" s="45"/>
      <c r="N1015" s="45"/>
      <c r="O1015" s="45"/>
      <c r="P1015" s="45"/>
      <c r="Q1015" s="45"/>
      <c r="R1015" s="45"/>
      <c r="S1015" s="45"/>
      <c r="T1015" s="46" t="str">
        <f>_xlfn.XLOOKUP(E1015,Models!I:I,Models!J:J,"")</f>
        <v/>
      </c>
      <c r="U1015" s="45"/>
      <c r="V1015" s="45"/>
      <c r="W1015" s="38"/>
    </row>
    <row r="1016" spans="1:23">
      <c r="A1016" s="45" t="str">
        <f>_xlfn.TEXTJOIN("",TRUE,Input!$B$2,ROW(My_Audit!A1015))</f>
        <v>CC1015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6" t="str" cm="1">
        <f t="array" ref="K1016">IFERROR(_xlfn.LET(
_xlpm.CSVVal,_xlfn.XLOOKUP($A1016,CSV!$A:$A,CSV!N:N,""),
_xlpm.MacVal,_xlfn.XLOOKUP($A1016,Output_Mac!$A:$A,Output_Mac!L:L,""),
_xlpm.MyAuditVal,_xlfn.XLOOKUP($A1016,My_Audit!$A:$A,My_Audit!J:J,""),
_xlfn.IFS(_xlpm.MyAuditVal&lt;&gt;"",UPPER(_xlpm.MyAuditVal),_xlpm.MacVal&lt;&gt;"",_xlpm.MacVal,_xlpm.CSVVal&lt;&gt;"",_xlpm.CSVVal
)),"")</f>
        <v/>
      </c>
      <c r="L1016" s="45"/>
      <c r="M1016" s="45"/>
      <c r="N1016" s="45"/>
      <c r="O1016" s="45"/>
      <c r="P1016" s="45"/>
      <c r="Q1016" s="45"/>
      <c r="R1016" s="45"/>
      <c r="S1016" s="45"/>
      <c r="T1016" s="46" t="str">
        <f>_xlfn.XLOOKUP(E1016,Models!I:I,Models!J:J,"")</f>
        <v/>
      </c>
      <c r="U1016" s="45"/>
      <c r="V1016" s="45"/>
      <c r="W1016" s="38"/>
    </row>
    <row r="1017" spans="1:23">
      <c r="A1017" s="45" t="str">
        <f>_xlfn.TEXTJOIN("",TRUE,Input!$B$2,ROW(My_Audit!A1016))</f>
        <v>CC1016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6" t="str" cm="1">
        <f t="array" ref="K1017">IFERROR(_xlfn.LET(
_xlpm.CSVVal,_xlfn.XLOOKUP($A1017,CSV!$A:$A,CSV!N:N,""),
_xlpm.MacVal,_xlfn.XLOOKUP($A1017,Output_Mac!$A:$A,Output_Mac!L:L,""),
_xlpm.MyAuditVal,_xlfn.XLOOKUP($A1017,My_Audit!$A:$A,My_Audit!J:J,""),
_xlfn.IFS(_xlpm.MyAuditVal&lt;&gt;"",UPPER(_xlpm.MyAuditVal),_xlpm.MacVal&lt;&gt;"",_xlpm.MacVal,_xlpm.CSVVal&lt;&gt;"",_xlpm.CSVVal
)),"")</f>
        <v/>
      </c>
      <c r="L1017" s="45"/>
      <c r="M1017" s="45"/>
      <c r="N1017" s="45"/>
      <c r="O1017" s="45"/>
      <c r="P1017" s="45"/>
      <c r="Q1017" s="45"/>
      <c r="R1017" s="45"/>
      <c r="S1017" s="45"/>
      <c r="T1017" s="46" t="str">
        <f>_xlfn.XLOOKUP(E1017,Models!I:I,Models!J:J,"")</f>
        <v/>
      </c>
      <c r="U1017" s="45"/>
      <c r="V1017" s="45"/>
      <c r="W1017" s="38"/>
    </row>
    <row r="1018" spans="1:23">
      <c r="A1018" s="45" t="str">
        <f>_xlfn.TEXTJOIN("",TRUE,Input!$B$2,ROW(My_Audit!A1017))</f>
        <v>CC1017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6" t="str" cm="1">
        <f t="array" ref="K1018">IFERROR(_xlfn.LET(
_xlpm.CSVVal,_xlfn.XLOOKUP($A1018,CSV!$A:$A,CSV!N:N,""),
_xlpm.MacVal,_xlfn.XLOOKUP($A1018,Output_Mac!$A:$A,Output_Mac!L:L,""),
_xlpm.MyAuditVal,_xlfn.XLOOKUP($A1018,My_Audit!$A:$A,My_Audit!J:J,""),
_xlfn.IFS(_xlpm.MyAuditVal&lt;&gt;"",UPPER(_xlpm.MyAuditVal),_xlpm.MacVal&lt;&gt;"",_xlpm.MacVal,_xlpm.CSVVal&lt;&gt;"",_xlpm.CSVVal
)),"")</f>
        <v/>
      </c>
      <c r="L1018" s="45"/>
      <c r="M1018" s="45"/>
      <c r="N1018" s="45"/>
      <c r="O1018" s="45"/>
      <c r="P1018" s="45"/>
      <c r="Q1018" s="45"/>
      <c r="R1018" s="45"/>
      <c r="S1018" s="45"/>
      <c r="T1018" s="46" t="str">
        <f>_xlfn.XLOOKUP(E1018,Models!I:I,Models!J:J,"")</f>
        <v/>
      </c>
      <c r="U1018" s="45"/>
      <c r="V1018" s="45"/>
      <c r="W1018" s="38"/>
    </row>
    <row r="1019" spans="1:23">
      <c r="A1019" s="45" t="str">
        <f>_xlfn.TEXTJOIN("",TRUE,Input!$B$2,ROW(My_Audit!A1018))</f>
        <v>CC1018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6" t="str" cm="1">
        <f t="array" ref="K1019">IFERROR(_xlfn.LET(
_xlpm.CSVVal,_xlfn.XLOOKUP($A1019,CSV!$A:$A,CSV!N:N,""),
_xlpm.MacVal,_xlfn.XLOOKUP($A1019,Output_Mac!$A:$A,Output_Mac!L:L,""),
_xlpm.MyAuditVal,_xlfn.XLOOKUP($A1019,My_Audit!$A:$A,My_Audit!J:J,""),
_xlfn.IFS(_xlpm.MyAuditVal&lt;&gt;"",UPPER(_xlpm.MyAuditVal),_xlpm.MacVal&lt;&gt;"",_xlpm.MacVal,_xlpm.CSVVal&lt;&gt;"",_xlpm.CSVVal
)),"")</f>
        <v/>
      </c>
      <c r="L1019" s="45"/>
      <c r="M1019" s="45"/>
      <c r="N1019" s="45"/>
      <c r="O1019" s="45"/>
      <c r="P1019" s="45"/>
      <c r="Q1019" s="45"/>
      <c r="R1019" s="45"/>
      <c r="S1019" s="45"/>
      <c r="T1019" s="46" t="str">
        <f>_xlfn.XLOOKUP(E1019,Models!I:I,Models!J:J,"")</f>
        <v/>
      </c>
      <c r="U1019" s="45"/>
      <c r="V1019" s="45"/>
      <c r="W1019" s="38"/>
    </row>
    <row r="1020" spans="1:23">
      <c r="A1020" s="45" t="str">
        <f>_xlfn.TEXTJOIN("",TRUE,Input!$B$2,ROW(My_Audit!A1019))</f>
        <v>CC1019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6" t="str" cm="1">
        <f t="array" ref="K1020">IFERROR(_xlfn.LET(
_xlpm.CSVVal,_xlfn.XLOOKUP($A1020,CSV!$A:$A,CSV!N:N,""),
_xlpm.MacVal,_xlfn.XLOOKUP($A1020,Output_Mac!$A:$A,Output_Mac!L:L,""),
_xlpm.MyAuditVal,_xlfn.XLOOKUP($A1020,My_Audit!$A:$A,My_Audit!J:J,""),
_xlfn.IFS(_xlpm.MyAuditVal&lt;&gt;"",UPPER(_xlpm.MyAuditVal),_xlpm.MacVal&lt;&gt;"",_xlpm.MacVal,_xlpm.CSVVal&lt;&gt;"",_xlpm.CSVVal
)),"")</f>
        <v/>
      </c>
      <c r="L1020" s="45"/>
      <c r="M1020" s="45"/>
      <c r="N1020" s="45"/>
      <c r="O1020" s="45"/>
      <c r="P1020" s="45"/>
      <c r="Q1020" s="45"/>
      <c r="R1020" s="45"/>
      <c r="S1020" s="45"/>
      <c r="T1020" s="46" t="str">
        <f>_xlfn.XLOOKUP(E1020,Models!I:I,Models!J:J,"")</f>
        <v/>
      </c>
      <c r="U1020" s="45"/>
      <c r="V1020" s="45"/>
      <c r="W1020" s="38"/>
    </row>
    <row r="1021" spans="1:23">
      <c r="A1021" s="45" t="str">
        <f>_xlfn.TEXTJOIN("",TRUE,Input!$B$2,ROW(My_Audit!A1020))</f>
        <v>CC1020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6" t="str" cm="1">
        <f t="array" ref="K1021">IFERROR(_xlfn.LET(
_xlpm.CSVVal,_xlfn.XLOOKUP($A1021,CSV!$A:$A,CSV!N:N,""),
_xlpm.MacVal,_xlfn.XLOOKUP($A1021,Output_Mac!$A:$A,Output_Mac!L:L,""),
_xlpm.MyAuditVal,_xlfn.XLOOKUP($A1021,My_Audit!$A:$A,My_Audit!J:J,""),
_xlfn.IFS(_xlpm.MyAuditVal&lt;&gt;"",UPPER(_xlpm.MyAuditVal),_xlpm.MacVal&lt;&gt;"",_xlpm.MacVal,_xlpm.CSVVal&lt;&gt;"",_xlpm.CSVVal
)),"")</f>
        <v/>
      </c>
      <c r="L1021" s="45"/>
      <c r="M1021" s="45"/>
      <c r="N1021" s="45"/>
      <c r="O1021" s="45"/>
      <c r="P1021" s="45"/>
      <c r="Q1021" s="45"/>
      <c r="R1021" s="45"/>
      <c r="S1021" s="45"/>
      <c r="T1021" s="46" t="str">
        <f>_xlfn.XLOOKUP(E1021,Models!I:I,Models!J:J,"")</f>
        <v/>
      </c>
      <c r="U1021" s="45"/>
      <c r="V1021" s="45"/>
      <c r="W1021" s="38"/>
    </row>
    <row r="1022" spans="1:23">
      <c r="A1022" s="45" t="str">
        <f>_xlfn.TEXTJOIN("",TRUE,Input!$B$2,ROW(My_Audit!A1021))</f>
        <v>CC1021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6" t="str" cm="1">
        <f t="array" ref="K1022">IFERROR(_xlfn.LET(
_xlpm.CSVVal,_xlfn.XLOOKUP($A1022,CSV!$A:$A,CSV!N:N,""),
_xlpm.MacVal,_xlfn.XLOOKUP($A1022,Output_Mac!$A:$A,Output_Mac!L:L,""),
_xlpm.MyAuditVal,_xlfn.XLOOKUP($A1022,My_Audit!$A:$A,My_Audit!J:J,""),
_xlfn.IFS(_xlpm.MyAuditVal&lt;&gt;"",UPPER(_xlpm.MyAuditVal),_xlpm.MacVal&lt;&gt;"",_xlpm.MacVal,_xlpm.CSVVal&lt;&gt;"",_xlpm.CSVVal
)),"")</f>
        <v/>
      </c>
      <c r="L1022" s="45"/>
      <c r="M1022" s="45"/>
      <c r="N1022" s="45"/>
      <c r="O1022" s="45"/>
      <c r="P1022" s="45"/>
      <c r="Q1022" s="45"/>
      <c r="R1022" s="45"/>
      <c r="S1022" s="45"/>
      <c r="T1022" s="46" t="str">
        <f>_xlfn.XLOOKUP(E1022,Models!I:I,Models!J:J,"")</f>
        <v/>
      </c>
      <c r="U1022" s="45"/>
      <c r="V1022" s="45"/>
      <c r="W1022" s="38"/>
    </row>
    <row r="1023" spans="1:23">
      <c r="A1023" s="45" t="str">
        <f>_xlfn.TEXTJOIN("",TRUE,Input!$B$2,ROW(My_Audit!A1022))</f>
        <v>CC1022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6" t="str" cm="1">
        <f t="array" ref="K1023">IFERROR(_xlfn.LET(
_xlpm.CSVVal,_xlfn.XLOOKUP($A1023,CSV!$A:$A,CSV!N:N,""),
_xlpm.MacVal,_xlfn.XLOOKUP($A1023,Output_Mac!$A:$A,Output_Mac!L:L,""),
_xlpm.MyAuditVal,_xlfn.XLOOKUP($A1023,My_Audit!$A:$A,My_Audit!J:J,""),
_xlfn.IFS(_xlpm.MyAuditVal&lt;&gt;"",UPPER(_xlpm.MyAuditVal),_xlpm.MacVal&lt;&gt;"",_xlpm.MacVal,_xlpm.CSVVal&lt;&gt;"",_xlpm.CSVVal
)),"")</f>
        <v/>
      </c>
      <c r="L1023" s="45"/>
      <c r="M1023" s="45"/>
      <c r="N1023" s="45"/>
      <c r="O1023" s="45"/>
      <c r="P1023" s="45"/>
      <c r="Q1023" s="45"/>
      <c r="R1023" s="45"/>
      <c r="S1023" s="45"/>
      <c r="T1023" s="46" t="str">
        <f>_xlfn.XLOOKUP(E1023,Models!I:I,Models!J:J,"")</f>
        <v/>
      </c>
      <c r="U1023" s="45"/>
      <c r="V1023" s="45"/>
      <c r="W1023" s="38"/>
    </row>
    <row r="1024" spans="1:23">
      <c r="A1024" s="45" t="str">
        <f>_xlfn.TEXTJOIN("",TRUE,Input!$B$2,ROW(My_Audit!A1023))</f>
        <v>CC1023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6" t="str" cm="1">
        <f t="array" ref="K1024">IFERROR(_xlfn.LET(
_xlpm.CSVVal,_xlfn.XLOOKUP($A1024,CSV!$A:$A,CSV!N:N,""),
_xlpm.MacVal,_xlfn.XLOOKUP($A1024,Output_Mac!$A:$A,Output_Mac!L:L,""),
_xlpm.MyAuditVal,_xlfn.XLOOKUP($A1024,My_Audit!$A:$A,My_Audit!J:J,""),
_xlfn.IFS(_xlpm.MyAuditVal&lt;&gt;"",UPPER(_xlpm.MyAuditVal),_xlpm.MacVal&lt;&gt;"",_xlpm.MacVal,_xlpm.CSVVal&lt;&gt;"",_xlpm.CSVVal
)),"")</f>
        <v/>
      </c>
      <c r="L1024" s="45"/>
      <c r="M1024" s="45"/>
      <c r="N1024" s="45"/>
      <c r="O1024" s="45"/>
      <c r="P1024" s="45"/>
      <c r="Q1024" s="45"/>
      <c r="R1024" s="45"/>
      <c r="S1024" s="45"/>
      <c r="T1024" s="46" t="str">
        <f>_xlfn.XLOOKUP(E1024,Models!I:I,Models!J:J,"")</f>
        <v/>
      </c>
      <c r="U1024" s="45"/>
      <c r="V1024" s="45"/>
      <c r="W1024" s="38"/>
    </row>
    <row r="1025" spans="1:23">
      <c r="A1025" s="45" t="str">
        <f>_xlfn.TEXTJOIN("",TRUE,Input!$B$2,ROW(My_Audit!A1024))</f>
        <v>CC1024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6" t="str" cm="1">
        <f t="array" ref="K1025">IFERROR(_xlfn.LET(
_xlpm.CSVVal,_xlfn.XLOOKUP($A1025,CSV!$A:$A,CSV!N:N,""),
_xlpm.MacVal,_xlfn.XLOOKUP($A1025,Output_Mac!$A:$A,Output_Mac!L:L,""),
_xlpm.MyAuditVal,_xlfn.XLOOKUP($A1025,My_Audit!$A:$A,My_Audit!J:J,""),
_xlfn.IFS(_xlpm.MyAuditVal&lt;&gt;"",UPPER(_xlpm.MyAuditVal),_xlpm.MacVal&lt;&gt;"",_xlpm.MacVal,_xlpm.CSVVal&lt;&gt;"",_xlpm.CSVVal
)),"")</f>
        <v/>
      </c>
      <c r="L1025" s="45"/>
      <c r="M1025" s="45"/>
      <c r="N1025" s="45"/>
      <c r="O1025" s="45"/>
      <c r="P1025" s="45"/>
      <c r="Q1025" s="45"/>
      <c r="R1025" s="45"/>
      <c r="S1025" s="45"/>
      <c r="T1025" s="46" t="str">
        <f>_xlfn.XLOOKUP(E1025,Models!I:I,Models!J:J,"")</f>
        <v/>
      </c>
      <c r="U1025" s="45"/>
      <c r="V1025" s="45"/>
      <c r="W1025" s="38"/>
    </row>
    <row r="1026" spans="1:23">
      <c r="A1026" s="45" t="str">
        <f>_xlfn.TEXTJOIN("",TRUE,Input!$B$2,ROW(My_Audit!A1025))</f>
        <v>CC1025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6" t="str" cm="1">
        <f t="array" ref="K1026">IFERROR(_xlfn.LET(
_xlpm.CSVVal,_xlfn.XLOOKUP($A1026,CSV!$A:$A,CSV!N:N,""),
_xlpm.MacVal,_xlfn.XLOOKUP($A1026,Output_Mac!$A:$A,Output_Mac!L:L,""),
_xlpm.MyAuditVal,_xlfn.XLOOKUP($A1026,My_Audit!$A:$A,My_Audit!J:J,""),
_xlfn.IFS(_xlpm.MyAuditVal&lt;&gt;"",UPPER(_xlpm.MyAuditVal),_xlpm.MacVal&lt;&gt;"",_xlpm.MacVal,_xlpm.CSVVal&lt;&gt;"",_xlpm.CSVVal
)),"")</f>
        <v/>
      </c>
      <c r="L1026" s="45"/>
      <c r="M1026" s="45"/>
      <c r="N1026" s="45"/>
      <c r="O1026" s="45"/>
      <c r="P1026" s="45"/>
      <c r="Q1026" s="45"/>
      <c r="R1026" s="45"/>
      <c r="S1026" s="45"/>
      <c r="T1026" s="46" t="str">
        <f>_xlfn.XLOOKUP(E1026,Models!I:I,Models!J:J,"")</f>
        <v/>
      </c>
      <c r="U1026" s="45"/>
      <c r="V1026" s="45"/>
      <c r="W1026" s="38"/>
    </row>
    <row r="1027" spans="1:23">
      <c r="A1027" s="45" t="str">
        <f>_xlfn.TEXTJOIN("",TRUE,Input!$B$2,ROW(My_Audit!A1026))</f>
        <v>CC1026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6" t="str" cm="1">
        <f t="array" ref="K1027">IFERROR(_xlfn.LET(
_xlpm.CSVVal,_xlfn.XLOOKUP($A1027,CSV!$A:$A,CSV!N:N,""),
_xlpm.MacVal,_xlfn.XLOOKUP($A1027,Output_Mac!$A:$A,Output_Mac!L:L,""),
_xlpm.MyAuditVal,_xlfn.XLOOKUP($A1027,My_Audit!$A:$A,My_Audit!J:J,""),
_xlfn.IFS(_xlpm.MyAuditVal&lt;&gt;"",UPPER(_xlpm.MyAuditVal),_xlpm.MacVal&lt;&gt;"",_xlpm.MacVal,_xlpm.CSVVal&lt;&gt;"",_xlpm.CSVVal
)),"")</f>
        <v/>
      </c>
      <c r="L1027" s="45"/>
      <c r="M1027" s="45"/>
      <c r="N1027" s="45"/>
      <c r="O1027" s="45"/>
      <c r="P1027" s="45"/>
      <c r="Q1027" s="45"/>
      <c r="R1027" s="45"/>
      <c r="S1027" s="45"/>
      <c r="T1027" s="46" t="str">
        <f>_xlfn.XLOOKUP(E1027,Models!I:I,Models!J:J,"")</f>
        <v/>
      </c>
      <c r="U1027" s="45"/>
      <c r="V1027" s="45"/>
      <c r="W1027" s="38"/>
    </row>
    <row r="1028" spans="1:23">
      <c r="A1028" s="45" t="str">
        <f>_xlfn.TEXTJOIN("",TRUE,Input!$B$2,ROW(My_Audit!A1027))</f>
        <v>CC1027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6" t="str" cm="1">
        <f t="array" ref="K1028">IFERROR(_xlfn.LET(
_xlpm.CSVVal,_xlfn.XLOOKUP($A1028,CSV!$A:$A,CSV!N:N,""),
_xlpm.MacVal,_xlfn.XLOOKUP($A1028,Output_Mac!$A:$A,Output_Mac!L:L,""),
_xlpm.MyAuditVal,_xlfn.XLOOKUP($A1028,My_Audit!$A:$A,My_Audit!J:J,""),
_xlfn.IFS(_xlpm.MyAuditVal&lt;&gt;"",UPPER(_xlpm.MyAuditVal),_xlpm.MacVal&lt;&gt;"",_xlpm.MacVal,_xlpm.CSVVal&lt;&gt;"",_xlpm.CSVVal
)),"")</f>
        <v/>
      </c>
      <c r="L1028" s="45"/>
      <c r="M1028" s="45"/>
      <c r="N1028" s="45"/>
      <c r="O1028" s="45"/>
      <c r="P1028" s="45"/>
      <c r="Q1028" s="45"/>
      <c r="R1028" s="45"/>
      <c r="S1028" s="45"/>
      <c r="T1028" s="46" t="str">
        <f>_xlfn.XLOOKUP(E1028,Models!I:I,Models!J:J,"")</f>
        <v/>
      </c>
      <c r="U1028" s="45"/>
      <c r="V1028" s="45"/>
      <c r="W1028" s="38"/>
    </row>
    <row r="1029" spans="1:23">
      <c r="A1029" s="45" t="str">
        <f>_xlfn.TEXTJOIN("",TRUE,Input!$B$2,ROW(My_Audit!A1028))</f>
        <v>CC1028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6" t="str" cm="1">
        <f t="array" ref="K1029">IFERROR(_xlfn.LET(
_xlpm.CSVVal,_xlfn.XLOOKUP($A1029,CSV!$A:$A,CSV!N:N,""),
_xlpm.MacVal,_xlfn.XLOOKUP($A1029,Output_Mac!$A:$A,Output_Mac!L:L,""),
_xlpm.MyAuditVal,_xlfn.XLOOKUP($A1029,My_Audit!$A:$A,My_Audit!J:J,""),
_xlfn.IFS(_xlpm.MyAuditVal&lt;&gt;"",UPPER(_xlpm.MyAuditVal),_xlpm.MacVal&lt;&gt;"",_xlpm.MacVal,_xlpm.CSVVal&lt;&gt;"",_xlpm.CSVVal
)),"")</f>
        <v/>
      </c>
      <c r="L1029" s="45"/>
      <c r="M1029" s="45"/>
      <c r="N1029" s="45"/>
      <c r="O1029" s="45"/>
      <c r="P1029" s="45"/>
      <c r="Q1029" s="45"/>
      <c r="R1029" s="45"/>
      <c r="S1029" s="45"/>
      <c r="T1029" s="46" t="str">
        <f>_xlfn.XLOOKUP(E1029,Models!I:I,Models!J:J,"")</f>
        <v/>
      </c>
      <c r="U1029" s="45"/>
      <c r="V1029" s="45"/>
      <c r="W1029" s="38"/>
    </row>
    <row r="1030" spans="1:23">
      <c r="A1030" s="45" t="str">
        <f>_xlfn.TEXTJOIN("",TRUE,Input!$B$2,ROW(My_Audit!A1029))</f>
        <v>CC1029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6" t="str" cm="1">
        <f t="array" ref="K1030">IFERROR(_xlfn.LET(
_xlpm.CSVVal,_xlfn.XLOOKUP($A1030,CSV!$A:$A,CSV!N:N,""),
_xlpm.MacVal,_xlfn.XLOOKUP($A1030,Output_Mac!$A:$A,Output_Mac!L:L,""),
_xlpm.MyAuditVal,_xlfn.XLOOKUP($A1030,My_Audit!$A:$A,My_Audit!J:J,""),
_xlfn.IFS(_xlpm.MyAuditVal&lt;&gt;"",UPPER(_xlpm.MyAuditVal),_xlpm.MacVal&lt;&gt;"",_xlpm.MacVal,_xlpm.CSVVal&lt;&gt;"",_xlpm.CSVVal
)),"")</f>
        <v/>
      </c>
      <c r="L1030" s="45"/>
      <c r="M1030" s="45"/>
      <c r="N1030" s="45"/>
      <c r="O1030" s="45"/>
      <c r="P1030" s="45"/>
      <c r="Q1030" s="45"/>
      <c r="R1030" s="45"/>
      <c r="S1030" s="45"/>
      <c r="T1030" s="46" t="str">
        <f>_xlfn.XLOOKUP(E1030,Models!I:I,Models!J:J,"")</f>
        <v/>
      </c>
      <c r="U1030" s="45"/>
      <c r="V1030" s="45"/>
      <c r="W1030" s="38"/>
    </row>
    <row r="1031" spans="1:23">
      <c r="A1031" s="45" t="str">
        <f>_xlfn.TEXTJOIN("",TRUE,Input!$B$2,ROW(My_Audit!A1030))</f>
        <v>CC1030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6" t="str" cm="1">
        <f t="array" ref="K1031">IFERROR(_xlfn.LET(
_xlpm.CSVVal,_xlfn.XLOOKUP($A1031,CSV!$A:$A,CSV!N:N,""),
_xlpm.MacVal,_xlfn.XLOOKUP($A1031,Output_Mac!$A:$A,Output_Mac!L:L,""),
_xlpm.MyAuditVal,_xlfn.XLOOKUP($A1031,My_Audit!$A:$A,My_Audit!J:J,""),
_xlfn.IFS(_xlpm.MyAuditVal&lt;&gt;"",UPPER(_xlpm.MyAuditVal),_xlpm.MacVal&lt;&gt;"",_xlpm.MacVal,_xlpm.CSVVal&lt;&gt;"",_xlpm.CSVVal
)),"")</f>
        <v/>
      </c>
      <c r="L1031" s="45"/>
      <c r="M1031" s="45"/>
      <c r="N1031" s="45"/>
      <c r="O1031" s="45"/>
      <c r="P1031" s="45"/>
      <c r="Q1031" s="45"/>
      <c r="R1031" s="45"/>
      <c r="S1031" s="45"/>
      <c r="T1031" s="46" t="str">
        <f>_xlfn.XLOOKUP(E1031,Models!I:I,Models!J:J,"")</f>
        <v/>
      </c>
      <c r="U1031" s="45"/>
      <c r="V1031" s="45"/>
      <c r="W1031" s="38"/>
    </row>
    <row r="1032" spans="1:23">
      <c r="A1032" s="45" t="str">
        <f>_xlfn.TEXTJOIN("",TRUE,Input!$B$2,ROW(My_Audit!A1031))</f>
        <v>CC1031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6" t="str" cm="1">
        <f t="array" ref="K1032">IFERROR(_xlfn.LET(
_xlpm.CSVVal,_xlfn.XLOOKUP($A1032,CSV!$A:$A,CSV!N:N,""),
_xlpm.MacVal,_xlfn.XLOOKUP($A1032,Output_Mac!$A:$A,Output_Mac!L:L,""),
_xlpm.MyAuditVal,_xlfn.XLOOKUP($A1032,My_Audit!$A:$A,My_Audit!J:J,""),
_xlfn.IFS(_xlpm.MyAuditVal&lt;&gt;"",UPPER(_xlpm.MyAuditVal),_xlpm.MacVal&lt;&gt;"",_xlpm.MacVal,_xlpm.CSVVal&lt;&gt;"",_xlpm.CSVVal
)),"")</f>
        <v/>
      </c>
      <c r="L1032" s="45"/>
      <c r="M1032" s="45"/>
      <c r="N1032" s="45"/>
      <c r="O1032" s="45"/>
      <c r="P1032" s="45"/>
      <c r="Q1032" s="45"/>
      <c r="R1032" s="45"/>
      <c r="S1032" s="45"/>
      <c r="T1032" s="46" t="str">
        <f>_xlfn.XLOOKUP(E1032,Models!I:I,Models!J:J,"")</f>
        <v/>
      </c>
      <c r="U1032" s="45"/>
      <c r="V1032" s="45"/>
      <c r="W1032" s="38"/>
    </row>
    <row r="1033" spans="1:23">
      <c r="A1033" s="45" t="str">
        <f>_xlfn.TEXTJOIN("",TRUE,Input!$B$2,ROW(My_Audit!A1032))</f>
        <v>CC1032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6" t="str" cm="1">
        <f t="array" ref="K1033">IFERROR(_xlfn.LET(
_xlpm.CSVVal,_xlfn.XLOOKUP($A1033,CSV!$A:$A,CSV!N:N,""),
_xlpm.MacVal,_xlfn.XLOOKUP($A1033,Output_Mac!$A:$A,Output_Mac!L:L,""),
_xlpm.MyAuditVal,_xlfn.XLOOKUP($A1033,My_Audit!$A:$A,My_Audit!J:J,""),
_xlfn.IFS(_xlpm.MyAuditVal&lt;&gt;"",UPPER(_xlpm.MyAuditVal),_xlpm.MacVal&lt;&gt;"",_xlpm.MacVal,_xlpm.CSVVal&lt;&gt;"",_xlpm.CSVVal
)),"")</f>
        <v/>
      </c>
      <c r="L1033" s="45"/>
      <c r="M1033" s="45"/>
      <c r="N1033" s="45"/>
      <c r="O1033" s="45"/>
      <c r="P1033" s="45"/>
      <c r="Q1033" s="45"/>
      <c r="R1033" s="45"/>
      <c r="S1033" s="45"/>
      <c r="T1033" s="46" t="str">
        <f>_xlfn.XLOOKUP(E1033,Models!I:I,Models!J:J,"")</f>
        <v/>
      </c>
      <c r="U1033" s="45"/>
      <c r="V1033" s="45"/>
      <c r="W1033" s="38"/>
    </row>
    <row r="1034" spans="1:23">
      <c r="A1034" s="45" t="str">
        <f>_xlfn.TEXTJOIN("",TRUE,Input!$B$2,ROW(My_Audit!A1033))</f>
        <v>CC1033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6" t="str" cm="1">
        <f t="array" ref="K1034">IFERROR(_xlfn.LET(
_xlpm.CSVVal,_xlfn.XLOOKUP($A1034,CSV!$A:$A,CSV!N:N,""),
_xlpm.MacVal,_xlfn.XLOOKUP($A1034,Output_Mac!$A:$A,Output_Mac!L:L,""),
_xlpm.MyAuditVal,_xlfn.XLOOKUP($A1034,My_Audit!$A:$A,My_Audit!J:J,""),
_xlfn.IFS(_xlpm.MyAuditVal&lt;&gt;"",UPPER(_xlpm.MyAuditVal),_xlpm.MacVal&lt;&gt;"",_xlpm.MacVal,_xlpm.CSVVal&lt;&gt;"",_xlpm.CSVVal
)),"")</f>
        <v/>
      </c>
      <c r="L1034" s="45"/>
      <c r="M1034" s="45"/>
      <c r="N1034" s="45"/>
      <c r="O1034" s="45"/>
      <c r="P1034" s="45"/>
      <c r="Q1034" s="45"/>
      <c r="R1034" s="45"/>
      <c r="S1034" s="45"/>
      <c r="T1034" s="46" t="str">
        <f>_xlfn.XLOOKUP(E1034,Models!I:I,Models!J:J,"")</f>
        <v/>
      </c>
      <c r="U1034" s="45"/>
      <c r="V1034" s="45"/>
      <c r="W1034" s="38"/>
    </row>
    <row r="1035" spans="1:23">
      <c r="A1035" s="45" t="str">
        <f>_xlfn.TEXTJOIN("",TRUE,Input!$B$2,ROW(My_Audit!A1034))</f>
        <v>CC1034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6" t="str" cm="1">
        <f t="array" ref="K1035">IFERROR(_xlfn.LET(
_xlpm.CSVVal,_xlfn.XLOOKUP($A1035,CSV!$A:$A,CSV!N:N,""),
_xlpm.MacVal,_xlfn.XLOOKUP($A1035,Output_Mac!$A:$A,Output_Mac!L:L,""),
_xlpm.MyAuditVal,_xlfn.XLOOKUP($A1035,My_Audit!$A:$A,My_Audit!J:J,""),
_xlfn.IFS(_xlpm.MyAuditVal&lt;&gt;"",UPPER(_xlpm.MyAuditVal),_xlpm.MacVal&lt;&gt;"",_xlpm.MacVal,_xlpm.CSVVal&lt;&gt;"",_xlpm.CSVVal
)),"")</f>
        <v/>
      </c>
      <c r="L1035" s="45"/>
      <c r="M1035" s="45"/>
      <c r="N1035" s="45"/>
      <c r="O1035" s="45"/>
      <c r="P1035" s="45"/>
      <c r="Q1035" s="45"/>
      <c r="R1035" s="45"/>
      <c r="S1035" s="45"/>
      <c r="T1035" s="46" t="str">
        <f>_xlfn.XLOOKUP(E1035,Models!I:I,Models!J:J,"")</f>
        <v/>
      </c>
      <c r="U1035" s="45"/>
      <c r="V1035" s="45"/>
      <c r="W1035" s="38"/>
    </row>
    <row r="1036" spans="1:23">
      <c r="A1036" s="45" t="str">
        <f>_xlfn.TEXTJOIN("",TRUE,Input!$B$2,ROW(My_Audit!A1035))</f>
        <v>CC1035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6" t="str" cm="1">
        <f t="array" ref="K1036">IFERROR(_xlfn.LET(
_xlpm.CSVVal,_xlfn.XLOOKUP($A1036,CSV!$A:$A,CSV!N:N,""),
_xlpm.MacVal,_xlfn.XLOOKUP($A1036,Output_Mac!$A:$A,Output_Mac!L:L,""),
_xlpm.MyAuditVal,_xlfn.XLOOKUP($A1036,My_Audit!$A:$A,My_Audit!J:J,""),
_xlfn.IFS(_xlpm.MyAuditVal&lt;&gt;"",UPPER(_xlpm.MyAuditVal),_xlpm.MacVal&lt;&gt;"",_xlpm.MacVal,_xlpm.CSVVal&lt;&gt;"",_xlpm.CSVVal
)),"")</f>
        <v/>
      </c>
      <c r="L1036" s="45"/>
      <c r="M1036" s="45"/>
      <c r="N1036" s="45"/>
      <c r="O1036" s="45"/>
      <c r="P1036" s="45"/>
      <c r="Q1036" s="45"/>
      <c r="R1036" s="45"/>
      <c r="S1036" s="45"/>
      <c r="T1036" s="46" t="str">
        <f>_xlfn.XLOOKUP(E1036,Models!I:I,Models!J:J,"")</f>
        <v/>
      </c>
      <c r="U1036" s="45"/>
      <c r="V1036" s="45"/>
      <c r="W1036" s="38"/>
    </row>
    <row r="1037" spans="1:23">
      <c r="A1037" s="45" t="str">
        <f>_xlfn.TEXTJOIN("",TRUE,Input!$B$2,ROW(My_Audit!A1036))</f>
        <v>CC1036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6" t="str" cm="1">
        <f t="array" ref="K1037">IFERROR(_xlfn.LET(
_xlpm.CSVVal,_xlfn.XLOOKUP($A1037,CSV!$A:$A,CSV!N:N,""),
_xlpm.MacVal,_xlfn.XLOOKUP($A1037,Output_Mac!$A:$A,Output_Mac!L:L,""),
_xlpm.MyAuditVal,_xlfn.XLOOKUP($A1037,My_Audit!$A:$A,My_Audit!J:J,""),
_xlfn.IFS(_xlpm.MyAuditVal&lt;&gt;"",UPPER(_xlpm.MyAuditVal),_xlpm.MacVal&lt;&gt;"",_xlpm.MacVal,_xlpm.CSVVal&lt;&gt;"",_xlpm.CSVVal
)),"")</f>
        <v/>
      </c>
      <c r="L1037" s="45"/>
      <c r="M1037" s="45"/>
      <c r="N1037" s="45"/>
      <c r="O1037" s="45"/>
      <c r="P1037" s="45"/>
      <c r="Q1037" s="45"/>
      <c r="R1037" s="45"/>
      <c r="S1037" s="45"/>
      <c r="T1037" s="46" t="str">
        <f>_xlfn.XLOOKUP(E1037,Models!I:I,Models!J:J,"")</f>
        <v/>
      </c>
      <c r="U1037" s="45"/>
      <c r="V1037" s="45"/>
      <c r="W1037" s="38"/>
    </row>
    <row r="1038" spans="1:23">
      <c r="A1038" s="45" t="str">
        <f>_xlfn.TEXTJOIN("",TRUE,Input!$B$2,ROW(My_Audit!A1037))</f>
        <v>CC1037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6" t="str" cm="1">
        <f t="array" ref="K1038">IFERROR(_xlfn.LET(
_xlpm.CSVVal,_xlfn.XLOOKUP($A1038,CSV!$A:$A,CSV!N:N,""),
_xlpm.MacVal,_xlfn.XLOOKUP($A1038,Output_Mac!$A:$A,Output_Mac!L:L,""),
_xlpm.MyAuditVal,_xlfn.XLOOKUP($A1038,My_Audit!$A:$A,My_Audit!J:J,""),
_xlfn.IFS(_xlpm.MyAuditVal&lt;&gt;"",UPPER(_xlpm.MyAuditVal),_xlpm.MacVal&lt;&gt;"",_xlpm.MacVal,_xlpm.CSVVal&lt;&gt;"",_xlpm.CSVVal
)),"")</f>
        <v/>
      </c>
      <c r="L1038" s="45"/>
      <c r="M1038" s="45"/>
      <c r="N1038" s="45"/>
      <c r="O1038" s="45"/>
      <c r="P1038" s="45"/>
      <c r="Q1038" s="45"/>
      <c r="R1038" s="45"/>
      <c r="S1038" s="45"/>
      <c r="T1038" s="46" t="str">
        <f>_xlfn.XLOOKUP(E1038,Models!I:I,Models!J:J,"")</f>
        <v/>
      </c>
      <c r="U1038" s="45"/>
      <c r="V1038" s="45"/>
      <c r="W1038" s="38"/>
    </row>
    <row r="1039" spans="1:23">
      <c r="A1039" s="45" t="str">
        <f>_xlfn.TEXTJOIN("",TRUE,Input!$B$2,ROW(My_Audit!A1038))</f>
        <v>CC1038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6" t="str" cm="1">
        <f t="array" ref="K1039">IFERROR(_xlfn.LET(
_xlpm.CSVVal,_xlfn.XLOOKUP($A1039,CSV!$A:$A,CSV!N:N,""),
_xlpm.MacVal,_xlfn.XLOOKUP($A1039,Output_Mac!$A:$A,Output_Mac!L:L,""),
_xlpm.MyAuditVal,_xlfn.XLOOKUP($A1039,My_Audit!$A:$A,My_Audit!J:J,""),
_xlfn.IFS(_xlpm.MyAuditVal&lt;&gt;"",UPPER(_xlpm.MyAuditVal),_xlpm.MacVal&lt;&gt;"",_xlpm.MacVal,_xlpm.CSVVal&lt;&gt;"",_xlpm.CSVVal
)),"")</f>
        <v/>
      </c>
      <c r="L1039" s="45"/>
      <c r="M1039" s="45"/>
      <c r="N1039" s="45"/>
      <c r="O1039" s="45"/>
      <c r="P1039" s="45"/>
      <c r="Q1039" s="45"/>
      <c r="R1039" s="45"/>
      <c r="S1039" s="45"/>
      <c r="T1039" s="46" t="str">
        <f>_xlfn.XLOOKUP(E1039,Models!I:I,Models!J:J,"")</f>
        <v/>
      </c>
      <c r="U1039" s="45"/>
      <c r="V1039" s="45"/>
      <c r="W1039" s="38"/>
    </row>
    <row r="1040" spans="1:23">
      <c r="A1040" s="45" t="str">
        <f>_xlfn.TEXTJOIN("",TRUE,Input!$B$2,ROW(My_Audit!A1039))</f>
        <v>CC1039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6" t="str" cm="1">
        <f t="array" ref="K1040">IFERROR(_xlfn.LET(
_xlpm.CSVVal,_xlfn.XLOOKUP($A1040,CSV!$A:$A,CSV!N:N,""),
_xlpm.MacVal,_xlfn.XLOOKUP($A1040,Output_Mac!$A:$A,Output_Mac!L:L,""),
_xlpm.MyAuditVal,_xlfn.XLOOKUP($A1040,My_Audit!$A:$A,My_Audit!J:J,""),
_xlfn.IFS(_xlpm.MyAuditVal&lt;&gt;"",UPPER(_xlpm.MyAuditVal),_xlpm.MacVal&lt;&gt;"",_xlpm.MacVal,_xlpm.CSVVal&lt;&gt;"",_xlpm.CSVVal
)),"")</f>
        <v/>
      </c>
      <c r="L1040" s="45"/>
      <c r="M1040" s="45"/>
      <c r="N1040" s="45"/>
      <c r="O1040" s="45"/>
      <c r="P1040" s="45"/>
      <c r="Q1040" s="45"/>
      <c r="R1040" s="45"/>
      <c r="S1040" s="45"/>
      <c r="T1040" s="46" t="str">
        <f>_xlfn.XLOOKUP(E1040,Models!I:I,Models!J:J,"")</f>
        <v/>
      </c>
      <c r="U1040" s="45"/>
      <c r="V1040" s="45"/>
      <c r="W1040" s="38"/>
    </row>
    <row r="1041" spans="1:23">
      <c r="A1041" s="45" t="str">
        <f>_xlfn.TEXTJOIN("",TRUE,Input!$B$2,ROW(My_Audit!A1040))</f>
        <v>CC1040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6" t="str" cm="1">
        <f t="array" ref="K1041">IFERROR(_xlfn.LET(
_xlpm.CSVVal,_xlfn.XLOOKUP($A1041,CSV!$A:$A,CSV!N:N,""),
_xlpm.MacVal,_xlfn.XLOOKUP($A1041,Output_Mac!$A:$A,Output_Mac!L:L,""),
_xlpm.MyAuditVal,_xlfn.XLOOKUP($A1041,My_Audit!$A:$A,My_Audit!J:J,""),
_xlfn.IFS(_xlpm.MyAuditVal&lt;&gt;"",UPPER(_xlpm.MyAuditVal),_xlpm.MacVal&lt;&gt;"",_xlpm.MacVal,_xlpm.CSVVal&lt;&gt;"",_xlpm.CSVVal
)),"")</f>
        <v/>
      </c>
      <c r="L1041" s="45"/>
      <c r="M1041" s="45"/>
      <c r="N1041" s="45"/>
      <c r="O1041" s="45"/>
      <c r="P1041" s="45"/>
      <c r="Q1041" s="45"/>
      <c r="R1041" s="45"/>
      <c r="S1041" s="45"/>
      <c r="T1041" s="46" t="str">
        <f>_xlfn.XLOOKUP(E1041,Models!I:I,Models!J:J,"")</f>
        <v/>
      </c>
      <c r="U1041" s="45"/>
      <c r="V1041" s="45"/>
      <c r="W1041" s="38"/>
    </row>
    <row r="1042" spans="1:23">
      <c r="A1042" s="45" t="str">
        <f>_xlfn.TEXTJOIN("",TRUE,Input!$B$2,ROW(My_Audit!A1041))</f>
        <v>CC1041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6" t="str" cm="1">
        <f t="array" ref="K1042">IFERROR(_xlfn.LET(
_xlpm.CSVVal,_xlfn.XLOOKUP($A1042,CSV!$A:$A,CSV!N:N,""),
_xlpm.MacVal,_xlfn.XLOOKUP($A1042,Output_Mac!$A:$A,Output_Mac!L:L,""),
_xlpm.MyAuditVal,_xlfn.XLOOKUP($A1042,My_Audit!$A:$A,My_Audit!J:J,""),
_xlfn.IFS(_xlpm.MyAuditVal&lt;&gt;"",UPPER(_xlpm.MyAuditVal),_xlpm.MacVal&lt;&gt;"",_xlpm.MacVal,_xlpm.CSVVal&lt;&gt;"",_xlpm.CSVVal
)),"")</f>
        <v/>
      </c>
      <c r="L1042" s="45"/>
      <c r="M1042" s="45"/>
      <c r="N1042" s="45"/>
      <c r="O1042" s="45"/>
      <c r="P1042" s="45"/>
      <c r="Q1042" s="45"/>
      <c r="R1042" s="45"/>
      <c r="S1042" s="45"/>
      <c r="T1042" s="46" t="str">
        <f>_xlfn.XLOOKUP(E1042,Models!I:I,Models!J:J,"")</f>
        <v/>
      </c>
      <c r="U1042" s="45"/>
      <c r="V1042" s="45"/>
      <c r="W1042" s="38"/>
    </row>
    <row r="1043" spans="1:23">
      <c r="A1043" s="45" t="str">
        <f>_xlfn.TEXTJOIN("",TRUE,Input!$B$2,ROW(My_Audit!A1042))</f>
        <v>CC1042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6" t="str" cm="1">
        <f t="array" ref="K1043">IFERROR(_xlfn.LET(
_xlpm.CSVVal,_xlfn.XLOOKUP($A1043,CSV!$A:$A,CSV!N:N,""),
_xlpm.MacVal,_xlfn.XLOOKUP($A1043,Output_Mac!$A:$A,Output_Mac!L:L,""),
_xlpm.MyAuditVal,_xlfn.XLOOKUP($A1043,My_Audit!$A:$A,My_Audit!J:J,""),
_xlfn.IFS(_xlpm.MyAuditVal&lt;&gt;"",UPPER(_xlpm.MyAuditVal),_xlpm.MacVal&lt;&gt;"",_xlpm.MacVal,_xlpm.CSVVal&lt;&gt;"",_xlpm.CSVVal
)),"")</f>
        <v/>
      </c>
      <c r="L1043" s="45"/>
      <c r="M1043" s="45"/>
      <c r="N1043" s="45"/>
      <c r="O1043" s="45"/>
      <c r="P1043" s="45"/>
      <c r="Q1043" s="45"/>
      <c r="R1043" s="45"/>
      <c r="S1043" s="45"/>
      <c r="T1043" s="46" t="str">
        <f>_xlfn.XLOOKUP(E1043,Models!I:I,Models!J:J,"")</f>
        <v/>
      </c>
      <c r="U1043" s="45"/>
      <c r="V1043" s="45"/>
      <c r="W1043" s="38"/>
    </row>
    <row r="1044" spans="1:23">
      <c r="A1044" s="45" t="str">
        <f>_xlfn.TEXTJOIN("",TRUE,Input!$B$2,ROW(My_Audit!A1043))</f>
        <v>CC1043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6" t="str" cm="1">
        <f t="array" ref="K1044">IFERROR(_xlfn.LET(
_xlpm.CSVVal,_xlfn.XLOOKUP($A1044,CSV!$A:$A,CSV!N:N,""),
_xlpm.MacVal,_xlfn.XLOOKUP($A1044,Output_Mac!$A:$A,Output_Mac!L:L,""),
_xlpm.MyAuditVal,_xlfn.XLOOKUP($A1044,My_Audit!$A:$A,My_Audit!J:J,""),
_xlfn.IFS(_xlpm.MyAuditVal&lt;&gt;"",UPPER(_xlpm.MyAuditVal),_xlpm.MacVal&lt;&gt;"",_xlpm.MacVal,_xlpm.CSVVal&lt;&gt;"",_xlpm.CSVVal
)),"")</f>
        <v/>
      </c>
      <c r="L1044" s="45"/>
      <c r="M1044" s="45"/>
      <c r="N1044" s="45"/>
      <c r="O1044" s="45"/>
      <c r="P1044" s="45"/>
      <c r="Q1044" s="45"/>
      <c r="R1044" s="45"/>
      <c r="S1044" s="45"/>
      <c r="T1044" s="46" t="str">
        <f>_xlfn.XLOOKUP(E1044,Models!I:I,Models!J:J,"")</f>
        <v/>
      </c>
      <c r="U1044" s="45"/>
      <c r="V1044" s="45"/>
      <c r="W1044" s="38"/>
    </row>
    <row r="1045" spans="1:23">
      <c r="A1045" s="45" t="str">
        <f>_xlfn.TEXTJOIN("",TRUE,Input!$B$2,ROW(My_Audit!A1044))</f>
        <v>CC1044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6" t="str" cm="1">
        <f t="array" ref="K1045">IFERROR(_xlfn.LET(
_xlpm.CSVVal,_xlfn.XLOOKUP($A1045,CSV!$A:$A,CSV!N:N,""),
_xlpm.MacVal,_xlfn.XLOOKUP($A1045,Output_Mac!$A:$A,Output_Mac!L:L,""),
_xlpm.MyAuditVal,_xlfn.XLOOKUP($A1045,My_Audit!$A:$A,My_Audit!J:J,""),
_xlfn.IFS(_xlpm.MyAuditVal&lt;&gt;"",UPPER(_xlpm.MyAuditVal),_xlpm.MacVal&lt;&gt;"",_xlpm.MacVal,_xlpm.CSVVal&lt;&gt;"",_xlpm.CSVVal
)),"")</f>
        <v/>
      </c>
      <c r="L1045" s="45"/>
      <c r="M1045" s="45"/>
      <c r="N1045" s="45"/>
      <c r="O1045" s="45"/>
      <c r="P1045" s="45"/>
      <c r="Q1045" s="45"/>
      <c r="R1045" s="45"/>
      <c r="S1045" s="45"/>
      <c r="T1045" s="46" t="str">
        <f>_xlfn.XLOOKUP(E1045,Models!I:I,Models!J:J,"")</f>
        <v/>
      </c>
      <c r="U1045" s="45"/>
      <c r="V1045" s="45"/>
      <c r="W1045" s="38"/>
    </row>
    <row r="1046" spans="1:23">
      <c r="A1046" s="45" t="str">
        <f>_xlfn.TEXTJOIN("",TRUE,Input!$B$2,ROW(My_Audit!A1045))</f>
        <v>CC1045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6" t="str" cm="1">
        <f t="array" ref="K1046">IFERROR(_xlfn.LET(
_xlpm.CSVVal,_xlfn.XLOOKUP($A1046,CSV!$A:$A,CSV!N:N,""),
_xlpm.MacVal,_xlfn.XLOOKUP($A1046,Output_Mac!$A:$A,Output_Mac!L:L,""),
_xlpm.MyAuditVal,_xlfn.XLOOKUP($A1046,My_Audit!$A:$A,My_Audit!J:J,""),
_xlfn.IFS(_xlpm.MyAuditVal&lt;&gt;"",UPPER(_xlpm.MyAuditVal),_xlpm.MacVal&lt;&gt;"",_xlpm.MacVal,_xlpm.CSVVal&lt;&gt;"",_xlpm.CSVVal
)),"")</f>
        <v/>
      </c>
      <c r="L1046" s="45"/>
      <c r="M1046" s="45"/>
      <c r="N1046" s="45"/>
      <c r="O1046" s="45"/>
      <c r="P1046" s="45"/>
      <c r="Q1046" s="45"/>
      <c r="R1046" s="45"/>
      <c r="S1046" s="45"/>
      <c r="T1046" s="46" t="str">
        <f>_xlfn.XLOOKUP(E1046,Models!I:I,Models!J:J,"")</f>
        <v/>
      </c>
      <c r="U1046" s="45"/>
      <c r="V1046" s="45"/>
      <c r="W1046" s="38"/>
    </row>
    <row r="1047" spans="1:23">
      <c r="A1047" s="45" t="str">
        <f>_xlfn.TEXTJOIN("",TRUE,Input!$B$2,ROW(My_Audit!A1046))</f>
        <v>CC1046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6" t="str" cm="1">
        <f t="array" ref="K1047">IFERROR(_xlfn.LET(
_xlpm.CSVVal,_xlfn.XLOOKUP($A1047,CSV!$A:$A,CSV!N:N,""),
_xlpm.MacVal,_xlfn.XLOOKUP($A1047,Output_Mac!$A:$A,Output_Mac!L:L,""),
_xlpm.MyAuditVal,_xlfn.XLOOKUP($A1047,My_Audit!$A:$A,My_Audit!J:J,""),
_xlfn.IFS(_xlpm.MyAuditVal&lt;&gt;"",UPPER(_xlpm.MyAuditVal),_xlpm.MacVal&lt;&gt;"",_xlpm.MacVal,_xlpm.CSVVal&lt;&gt;"",_xlpm.CSVVal
)),"")</f>
        <v/>
      </c>
      <c r="L1047" s="45"/>
      <c r="M1047" s="45"/>
      <c r="N1047" s="45"/>
      <c r="O1047" s="45"/>
      <c r="P1047" s="45"/>
      <c r="Q1047" s="45"/>
      <c r="R1047" s="45"/>
      <c r="S1047" s="45"/>
      <c r="T1047" s="46" t="str">
        <f>_xlfn.XLOOKUP(E1047,Models!I:I,Models!J:J,"")</f>
        <v/>
      </c>
      <c r="U1047" s="45"/>
      <c r="V1047" s="45"/>
      <c r="W1047" s="38"/>
    </row>
    <row r="1048" spans="1:23">
      <c r="A1048" s="45" t="str">
        <f>_xlfn.TEXTJOIN("",TRUE,Input!$B$2,ROW(My_Audit!A1047))</f>
        <v>CC1047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6" t="str" cm="1">
        <f t="array" ref="K1048">IFERROR(_xlfn.LET(
_xlpm.CSVVal,_xlfn.XLOOKUP($A1048,CSV!$A:$A,CSV!N:N,""),
_xlpm.MacVal,_xlfn.XLOOKUP($A1048,Output_Mac!$A:$A,Output_Mac!L:L,""),
_xlpm.MyAuditVal,_xlfn.XLOOKUP($A1048,My_Audit!$A:$A,My_Audit!J:J,""),
_xlfn.IFS(_xlpm.MyAuditVal&lt;&gt;"",UPPER(_xlpm.MyAuditVal),_xlpm.MacVal&lt;&gt;"",_xlpm.MacVal,_xlpm.CSVVal&lt;&gt;"",_xlpm.CSVVal
)),"")</f>
        <v/>
      </c>
      <c r="L1048" s="45"/>
      <c r="M1048" s="45"/>
      <c r="N1048" s="45"/>
      <c r="O1048" s="45"/>
      <c r="P1048" s="45"/>
      <c r="Q1048" s="45"/>
      <c r="R1048" s="45"/>
      <c r="S1048" s="45"/>
      <c r="T1048" s="46" t="str">
        <f>_xlfn.XLOOKUP(E1048,Models!I:I,Models!J:J,"")</f>
        <v/>
      </c>
      <c r="U1048" s="45"/>
      <c r="V1048" s="45"/>
      <c r="W1048" s="38"/>
    </row>
    <row r="1049" spans="1:23">
      <c r="A1049" s="45" t="str">
        <f>_xlfn.TEXTJOIN("",TRUE,Input!$B$2,ROW(My_Audit!A1048))</f>
        <v>CC1048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6" t="str" cm="1">
        <f t="array" ref="K1049">IFERROR(_xlfn.LET(
_xlpm.CSVVal,_xlfn.XLOOKUP($A1049,CSV!$A:$A,CSV!N:N,""),
_xlpm.MacVal,_xlfn.XLOOKUP($A1049,Output_Mac!$A:$A,Output_Mac!L:L,""),
_xlpm.MyAuditVal,_xlfn.XLOOKUP($A1049,My_Audit!$A:$A,My_Audit!J:J,""),
_xlfn.IFS(_xlpm.MyAuditVal&lt;&gt;"",UPPER(_xlpm.MyAuditVal),_xlpm.MacVal&lt;&gt;"",_xlpm.MacVal,_xlpm.CSVVal&lt;&gt;"",_xlpm.CSVVal
)),"")</f>
        <v/>
      </c>
      <c r="L1049" s="45"/>
      <c r="M1049" s="45"/>
      <c r="N1049" s="45"/>
      <c r="O1049" s="45"/>
      <c r="P1049" s="45"/>
      <c r="Q1049" s="45"/>
      <c r="R1049" s="45"/>
      <c r="S1049" s="45"/>
      <c r="T1049" s="46" t="str">
        <f>_xlfn.XLOOKUP(E1049,Models!I:I,Models!J:J,"")</f>
        <v/>
      </c>
      <c r="U1049" s="45"/>
      <c r="V1049" s="45"/>
      <c r="W1049" s="38"/>
    </row>
    <row r="1050" spans="1:23">
      <c r="A1050" s="45" t="str">
        <f>_xlfn.TEXTJOIN("",TRUE,Input!$B$2,ROW(My_Audit!A1049))</f>
        <v>CC1049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6" t="str" cm="1">
        <f t="array" ref="K1050">IFERROR(_xlfn.LET(
_xlpm.CSVVal,_xlfn.XLOOKUP($A1050,CSV!$A:$A,CSV!N:N,""),
_xlpm.MacVal,_xlfn.XLOOKUP($A1050,Output_Mac!$A:$A,Output_Mac!L:L,""),
_xlpm.MyAuditVal,_xlfn.XLOOKUP($A1050,My_Audit!$A:$A,My_Audit!J:J,""),
_xlfn.IFS(_xlpm.MyAuditVal&lt;&gt;"",UPPER(_xlpm.MyAuditVal),_xlpm.MacVal&lt;&gt;"",_xlpm.MacVal,_xlpm.CSVVal&lt;&gt;"",_xlpm.CSVVal
)),"")</f>
        <v/>
      </c>
      <c r="L1050" s="45"/>
      <c r="M1050" s="45"/>
      <c r="N1050" s="45"/>
      <c r="O1050" s="45"/>
      <c r="P1050" s="45"/>
      <c r="Q1050" s="45"/>
      <c r="R1050" s="45"/>
      <c r="S1050" s="45"/>
      <c r="T1050" s="46" t="str">
        <f>_xlfn.XLOOKUP(E1050,Models!I:I,Models!J:J,"")</f>
        <v/>
      </c>
      <c r="U1050" s="45"/>
      <c r="V1050" s="45"/>
      <c r="W1050" s="38"/>
    </row>
    <row r="1051" spans="1:23">
      <c r="A1051" s="45" t="str">
        <f>_xlfn.TEXTJOIN("",TRUE,Input!$B$2,ROW(My_Audit!A1050))</f>
        <v>CC1050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6" t="str" cm="1">
        <f t="array" ref="K1051">IFERROR(_xlfn.LET(
_xlpm.CSVVal,_xlfn.XLOOKUP($A1051,CSV!$A:$A,CSV!N:N,""),
_xlpm.MacVal,_xlfn.XLOOKUP($A1051,Output_Mac!$A:$A,Output_Mac!L:L,""),
_xlpm.MyAuditVal,_xlfn.XLOOKUP($A1051,My_Audit!$A:$A,My_Audit!J:J,""),
_xlfn.IFS(_xlpm.MyAuditVal&lt;&gt;"",UPPER(_xlpm.MyAuditVal),_xlpm.MacVal&lt;&gt;"",_xlpm.MacVal,_xlpm.CSVVal&lt;&gt;"",_xlpm.CSVVal
)),"")</f>
        <v/>
      </c>
      <c r="L1051" s="45"/>
      <c r="M1051" s="45"/>
      <c r="N1051" s="45"/>
      <c r="O1051" s="45"/>
      <c r="P1051" s="45"/>
      <c r="Q1051" s="45"/>
      <c r="R1051" s="45"/>
      <c r="S1051" s="45"/>
      <c r="T1051" s="46" t="str">
        <f>_xlfn.XLOOKUP(E1051,Models!I:I,Models!J:J,"")</f>
        <v/>
      </c>
      <c r="U1051" s="45"/>
      <c r="V1051" s="45"/>
      <c r="W1051" s="38"/>
    </row>
    <row r="1052" spans="1:23">
      <c r="A1052" s="45" t="str">
        <f>_xlfn.TEXTJOIN("",TRUE,Input!$B$2,ROW(My_Audit!A1051))</f>
        <v>CC1051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6" t="str" cm="1">
        <f t="array" ref="K1052">IFERROR(_xlfn.LET(
_xlpm.CSVVal,_xlfn.XLOOKUP($A1052,CSV!$A:$A,CSV!N:N,""),
_xlpm.MacVal,_xlfn.XLOOKUP($A1052,Output_Mac!$A:$A,Output_Mac!L:L,""),
_xlpm.MyAuditVal,_xlfn.XLOOKUP($A1052,My_Audit!$A:$A,My_Audit!J:J,""),
_xlfn.IFS(_xlpm.MyAuditVal&lt;&gt;"",UPPER(_xlpm.MyAuditVal),_xlpm.MacVal&lt;&gt;"",_xlpm.MacVal,_xlpm.CSVVal&lt;&gt;"",_xlpm.CSVVal
)),"")</f>
        <v/>
      </c>
      <c r="L1052" s="45"/>
      <c r="M1052" s="45"/>
      <c r="N1052" s="45"/>
      <c r="O1052" s="45"/>
      <c r="P1052" s="45"/>
      <c r="Q1052" s="45"/>
      <c r="R1052" s="45"/>
      <c r="S1052" s="45"/>
      <c r="T1052" s="46" t="str">
        <f>_xlfn.XLOOKUP(E1052,Models!I:I,Models!J:J,"")</f>
        <v/>
      </c>
      <c r="U1052" s="45"/>
      <c r="V1052" s="45"/>
      <c r="W1052" s="38"/>
    </row>
    <row r="1053" spans="1:23">
      <c r="A1053" s="45" t="str">
        <f>_xlfn.TEXTJOIN("",TRUE,Input!$B$2,ROW(My_Audit!A1052))</f>
        <v>CC1052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6" t="str" cm="1">
        <f t="array" ref="K1053">IFERROR(_xlfn.LET(
_xlpm.CSVVal,_xlfn.XLOOKUP($A1053,CSV!$A:$A,CSV!N:N,""),
_xlpm.MacVal,_xlfn.XLOOKUP($A1053,Output_Mac!$A:$A,Output_Mac!L:L,""),
_xlpm.MyAuditVal,_xlfn.XLOOKUP($A1053,My_Audit!$A:$A,My_Audit!J:J,""),
_xlfn.IFS(_xlpm.MyAuditVal&lt;&gt;"",UPPER(_xlpm.MyAuditVal),_xlpm.MacVal&lt;&gt;"",_xlpm.MacVal,_xlpm.CSVVal&lt;&gt;"",_xlpm.CSVVal
)),"")</f>
        <v/>
      </c>
      <c r="L1053" s="45"/>
      <c r="M1053" s="45"/>
      <c r="N1053" s="45"/>
      <c r="O1053" s="45"/>
      <c r="P1053" s="45"/>
      <c r="Q1053" s="45"/>
      <c r="R1053" s="45"/>
      <c r="S1053" s="45"/>
      <c r="T1053" s="46" t="str">
        <f>_xlfn.XLOOKUP(E1053,Models!I:I,Models!J:J,"")</f>
        <v/>
      </c>
      <c r="U1053" s="45"/>
      <c r="V1053" s="45"/>
      <c r="W1053" s="38"/>
    </row>
    <row r="1054" spans="1:23">
      <c r="A1054" s="45" t="str">
        <f>_xlfn.TEXTJOIN("",TRUE,Input!$B$2,ROW(My_Audit!A1053))</f>
        <v>CC1053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6" t="str" cm="1">
        <f t="array" ref="K1054">IFERROR(_xlfn.LET(
_xlpm.CSVVal,_xlfn.XLOOKUP($A1054,CSV!$A:$A,CSV!N:N,""),
_xlpm.MacVal,_xlfn.XLOOKUP($A1054,Output_Mac!$A:$A,Output_Mac!L:L,""),
_xlpm.MyAuditVal,_xlfn.XLOOKUP($A1054,My_Audit!$A:$A,My_Audit!J:J,""),
_xlfn.IFS(_xlpm.MyAuditVal&lt;&gt;"",UPPER(_xlpm.MyAuditVal),_xlpm.MacVal&lt;&gt;"",_xlpm.MacVal,_xlpm.CSVVal&lt;&gt;"",_xlpm.CSVVal
)),"")</f>
        <v/>
      </c>
      <c r="L1054" s="45"/>
      <c r="M1054" s="45"/>
      <c r="N1054" s="45"/>
      <c r="O1054" s="45"/>
      <c r="P1054" s="45"/>
      <c r="Q1054" s="45"/>
      <c r="R1054" s="45"/>
      <c r="S1054" s="45"/>
      <c r="T1054" s="46" t="str">
        <f>_xlfn.XLOOKUP(E1054,Models!I:I,Models!J:J,"")</f>
        <v/>
      </c>
      <c r="U1054" s="45"/>
      <c r="V1054" s="45"/>
      <c r="W1054" s="38"/>
    </row>
    <row r="1055" spans="1:23">
      <c r="A1055" s="45" t="str">
        <f>_xlfn.TEXTJOIN("",TRUE,Input!$B$2,ROW(My_Audit!A1054))</f>
        <v>CC1054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6" t="str" cm="1">
        <f t="array" ref="K1055">IFERROR(_xlfn.LET(
_xlpm.CSVVal,_xlfn.XLOOKUP($A1055,CSV!$A:$A,CSV!N:N,""),
_xlpm.MacVal,_xlfn.XLOOKUP($A1055,Output_Mac!$A:$A,Output_Mac!L:L,""),
_xlpm.MyAuditVal,_xlfn.XLOOKUP($A1055,My_Audit!$A:$A,My_Audit!J:J,""),
_xlfn.IFS(_xlpm.MyAuditVal&lt;&gt;"",UPPER(_xlpm.MyAuditVal),_xlpm.MacVal&lt;&gt;"",_xlpm.MacVal,_xlpm.CSVVal&lt;&gt;"",_xlpm.CSVVal
)),"")</f>
        <v/>
      </c>
      <c r="L1055" s="45"/>
      <c r="M1055" s="45"/>
      <c r="N1055" s="45"/>
      <c r="O1055" s="45"/>
      <c r="P1055" s="45"/>
      <c r="Q1055" s="45"/>
      <c r="R1055" s="45"/>
      <c r="S1055" s="45"/>
      <c r="T1055" s="46" t="str">
        <f>_xlfn.XLOOKUP(E1055,Models!I:I,Models!J:J,"")</f>
        <v/>
      </c>
      <c r="U1055" s="45"/>
      <c r="V1055" s="45"/>
      <c r="W1055" s="38"/>
    </row>
    <row r="1056" spans="1:23">
      <c r="A1056" s="45" t="str">
        <f>_xlfn.TEXTJOIN("",TRUE,Input!$B$2,ROW(My_Audit!A1055))</f>
        <v>CC1055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6" t="str" cm="1">
        <f t="array" ref="K1056">IFERROR(_xlfn.LET(
_xlpm.CSVVal,_xlfn.XLOOKUP($A1056,CSV!$A:$A,CSV!N:N,""),
_xlpm.MacVal,_xlfn.XLOOKUP($A1056,Output_Mac!$A:$A,Output_Mac!L:L,""),
_xlpm.MyAuditVal,_xlfn.XLOOKUP($A1056,My_Audit!$A:$A,My_Audit!J:J,""),
_xlfn.IFS(_xlpm.MyAuditVal&lt;&gt;"",UPPER(_xlpm.MyAuditVal),_xlpm.MacVal&lt;&gt;"",_xlpm.MacVal,_xlpm.CSVVal&lt;&gt;"",_xlpm.CSVVal
)),"")</f>
        <v/>
      </c>
      <c r="L1056" s="45"/>
      <c r="M1056" s="45"/>
      <c r="N1056" s="45"/>
      <c r="O1056" s="45"/>
      <c r="P1056" s="45"/>
      <c r="Q1056" s="45"/>
      <c r="R1056" s="45"/>
      <c r="S1056" s="45"/>
      <c r="T1056" s="46" t="str">
        <f>_xlfn.XLOOKUP(E1056,Models!I:I,Models!J:J,"")</f>
        <v/>
      </c>
      <c r="U1056" s="45"/>
      <c r="V1056" s="45"/>
      <c r="W1056" s="38"/>
    </row>
    <row r="1057" spans="1:23">
      <c r="A1057" s="45" t="str">
        <f>_xlfn.TEXTJOIN("",TRUE,Input!$B$2,ROW(My_Audit!A1056))</f>
        <v>CC1056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6" t="str" cm="1">
        <f t="array" ref="K1057">IFERROR(_xlfn.LET(
_xlpm.CSVVal,_xlfn.XLOOKUP($A1057,CSV!$A:$A,CSV!N:N,""),
_xlpm.MacVal,_xlfn.XLOOKUP($A1057,Output_Mac!$A:$A,Output_Mac!L:L,""),
_xlpm.MyAuditVal,_xlfn.XLOOKUP($A1057,My_Audit!$A:$A,My_Audit!J:J,""),
_xlfn.IFS(_xlpm.MyAuditVal&lt;&gt;"",UPPER(_xlpm.MyAuditVal),_xlpm.MacVal&lt;&gt;"",_xlpm.MacVal,_xlpm.CSVVal&lt;&gt;"",_xlpm.CSVVal
)),"")</f>
        <v/>
      </c>
      <c r="L1057" s="45"/>
      <c r="M1057" s="45"/>
      <c r="N1057" s="45"/>
      <c r="O1057" s="45"/>
      <c r="P1057" s="45"/>
      <c r="Q1057" s="45"/>
      <c r="R1057" s="45"/>
      <c r="S1057" s="45"/>
      <c r="T1057" s="46" t="str">
        <f>_xlfn.XLOOKUP(E1057,Models!I:I,Models!J:J,"")</f>
        <v/>
      </c>
      <c r="U1057" s="45"/>
      <c r="V1057" s="45"/>
      <c r="W1057" s="38"/>
    </row>
    <row r="1058" spans="1:23">
      <c r="A1058" s="45" t="str">
        <f>_xlfn.TEXTJOIN("",TRUE,Input!$B$2,ROW(My_Audit!A1057))</f>
        <v>CC1057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6" t="str" cm="1">
        <f t="array" ref="K1058">IFERROR(_xlfn.LET(
_xlpm.CSVVal,_xlfn.XLOOKUP($A1058,CSV!$A:$A,CSV!N:N,""),
_xlpm.MacVal,_xlfn.XLOOKUP($A1058,Output_Mac!$A:$A,Output_Mac!L:L,""),
_xlpm.MyAuditVal,_xlfn.XLOOKUP($A1058,My_Audit!$A:$A,My_Audit!J:J,""),
_xlfn.IFS(_xlpm.MyAuditVal&lt;&gt;"",UPPER(_xlpm.MyAuditVal),_xlpm.MacVal&lt;&gt;"",_xlpm.MacVal,_xlpm.CSVVal&lt;&gt;"",_xlpm.CSVVal
)),"")</f>
        <v/>
      </c>
      <c r="L1058" s="45"/>
      <c r="M1058" s="45"/>
      <c r="N1058" s="45"/>
      <c r="O1058" s="45"/>
      <c r="P1058" s="45"/>
      <c r="Q1058" s="45"/>
      <c r="R1058" s="45"/>
      <c r="S1058" s="45"/>
      <c r="T1058" s="46" t="str">
        <f>_xlfn.XLOOKUP(E1058,Models!I:I,Models!J:J,"")</f>
        <v/>
      </c>
      <c r="U1058" s="45"/>
      <c r="V1058" s="45"/>
      <c r="W1058" s="38"/>
    </row>
    <row r="1059" spans="1:23">
      <c r="A1059" s="45" t="str">
        <f>_xlfn.TEXTJOIN("",TRUE,Input!$B$2,ROW(My_Audit!A1058))</f>
        <v>CC1058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6" t="str" cm="1">
        <f t="array" ref="K1059">IFERROR(_xlfn.LET(
_xlpm.CSVVal,_xlfn.XLOOKUP($A1059,CSV!$A:$A,CSV!N:N,""),
_xlpm.MacVal,_xlfn.XLOOKUP($A1059,Output_Mac!$A:$A,Output_Mac!L:L,""),
_xlpm.MyAuditVal,_xlfn.XLOOKUP($A1059,My_Audit!$A:$A,My_Audit!J:J,""),
_xlfn.IFS(_xlpm.MyAuditVal&lt;&gt;"",UPPER(_xlpm.MyAuditVal),_xlpm.MacVal&lt;&gt;"",_xlpm.MacVal,_xlpm.CSVVal&lt;&gt;"",_xlpm.CSVVal
)),"")</f>
        <v/>
      </c>
      <c r="L1059" s="45"/>
      <c r="M1059" s="45"/>
      <c r="N1059" s="45"/>
      <c r="O1059" s="45"/>
      <c r="P1059" s="45"/>
      <c r="Q1059" s="45"/>
      <c r="R1059" s="45"/>
      <c r="S1059" s="45"/>
      <c r="T1059" s="46" t="str">
        <f>_xlfn.XLOOKUP(E1059,Models!I:I,Models!J:J,"")</f>
        <v/>
      </c>
      <c r="U1059" s="45"/>
      <c r="V1059" s="45"/>
      <c r="W1059" s="38"/>
    </row>
    <row r="1060" spans="1:23">
      <c r="A1060" s="45" t="str">
        <f>_xlfn.TEXTJOIN("",TRUE,Input!$B$2,ROW(My_Audit!A1059))</f>
        <v>CC1059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6" t="str" cm="1">
        <f t="array" ref="K1060">IFERROR(_xlfn.LET(
_xlpm.CSVVal,_xlfn.XLOOKUP($A1060,CSV!$A:$A,CSV!N:N,""),
_xlpm.MacVal,_xlfn.XLOOKUP($A1060,Output_Mac!$A:$A,Output_Mac!L:L,""),
_xlpm.MyAuditVal,_xlfn.XLOOKUP($A1060,My_Audit!$A:$A,My_Audit!J:J,""),
_xlfn.IFS(_xlpm.MyAuditVal&lt;&gt;"",UPPER(_xlpm.MyAuditVal),_xlpm.MacVal&lt;&gt;"",_xlpm.MacVal,_xlpm.CSVVal&lt;&gt;"",_xlpm.CSVVal
)),"")</f>
        <v/>
      </c>
      <c r="L1060" s="45"/>
      <c r="M1060" s="45"/>
      <c r="N1060" s="45"/>
      <c r="O1060" s="45"/>
      <c r="P1060" s="45"/>
      <c r="Q1060" s="45"/>
      <c r="R1060" s="45"/>
      <c r="S1060" s="45"/>
      <c r="T1060" s="46" t="str">
        <f>_xlfn.XLOOKUP(E1060,Models!I:I,Models!J:J,"")</f>
        <v/>
      </c>
      <c r="U1060" s="45"/>
      <c r="V1060" s="45"/>
      <c r="W1060" s="38"/>
    </row>
    <row r="1061" spans="1:23">
      <c r="A1061" s="45" t="str">
        <f>_xlfn.TEXTJOIN("",TRUE,Input!$B$2,ROW(My_Audit!A1060))</f>
        <v>CC1060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6" t="str" cm="1">
        <f t="array" ref="K1061">IFERROR(_xlfn.LET(
_xlpm.CSVVal,_xlfn.XLOOKUP($A1061,CSV!$A:$A,CSV!N:N,""),
_xlpm.MacVal,_xlfn.XLOOKUP($A1061,Output_Mac!$A:$A,Output_Mac!L:L,""),
_xlpm.MyAuditVal,_xlfn.XLOOKUP($A1061,My_Audit!$A:$A,My_Audit!J:J,""),
_xlfn.IFS(_xlpm.MyAuditVal&lt;&gt;"",UPPER(_xlpm.MyAuditVal),_xlpm.MacVal&lt;&gt;"",_xlpm.MacVal,_xlpm.CSVVal&lt;&gt;"",_xlpm.CSVVal
)),"")</f>
        <v/>
      </c>
      <c r="L1061" s="45"/>
      <c r="M1061" s="45"/>
      <c r="N1061" s="45"/>
      <c r="O1061" s="45"/>
      <c r="P1061" s="45"/>
      <c r="Q1061" s="45"/>
      <c r="R1061" s="45"/>
      <c r="S1061" s="45"/>
      <c r="T1061" s="46" t="str">
        <f>_xlfn.XLOOKUP(E1061,Models!I:I,Models!J:J,"")</f>
        <v/>
      </c>
      <c r="U1061" s="45"/>
      <c r="V1061" s="45"/>
      <c r="W1061" s="38"/>
    </row>
    <row r="1062" spans="1:23">
      <c r="A1062" s="45" t="str">
        <f>_xlfn.TEXTJOIN("",TRUE,Input!$B$2,ROW(My_Audit!A1061))</f>
        <v>CC1061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6" t="str" cm="1">
        <f t="array" ref="K1062">IFERROR(_xlfn.LET(
_xlpm.CSVVal,_xlfn.XLOOKUP($A1062,CSV!$A:$A,CSV!N:N,""),
_xlpm.MacVal,_xlfn.XLOOKUP($A1062,Output_Mac!$A:$A,Output_Mac!L:L,""),
_xlpm.MyAuditVal,_xlfn.XLOOKUP($A1062,My_Audit!$A:$A,My_Audit!J:J,""),
_xlfn.IFS(_xlpm.MyAuditVal&lt;&gt;"",UPPER(_xlpm.MyAuditVal),_xlpm.MacVal&lt;&gt;"",_xlpm.MacVal,_xlpm.CSVVal&lt;&gt;"",_xlpm.CSVVal
)),"")</f>
        <v/>
      </c>
      <c r="L1062" s="45"/>
      <c r="M1062" s="45"/>
      <c r="N1062" s="45"/>
      <c r="O1062" s="45"/>
      <c r="P1062" s="45"/>
      <c r="Q1062" s="45"/>
      <c r="R1062" s="45"/>
      <c r="S1062" s="45"/>
      <c r="T1062" s="46" t="str">
        <f>_xlfn.XLOOKUP(E1062,Models!I:I,Models!J:J,"")</f>
        <v/>
      </c>
      <c r="U1062" s="45"/>
      <c r="V1062" s="45"/>
      <c r="W1062" s="38"/>
    </row>
    <row r="1063" spans="1:23">
      <c r="A1063" s="45" t="str">
        <f>_xlfn.TEXTJOIN("",TRUE,Input!$B$2,ROW(My_Audit!A1062))</f>
        <v>CC1062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6" t="str" cm="1">
        <f t="array" ref="K1063">IFERROR(_xlfn.LET(
_xlpm.CSVVal,_xlfn.XLOOKUP($A1063,CSV!$A:$A,CSV!N:N,""),
_xlpm.MacVal,_xlfn.XLOOKUP($A1063,Output_Mac!$A:$A,Output_Mac!L:L,""),
_xlpm.MyAuditVal,_xlfn.XLOOKUP($A1063,My_Audit!$A:$A,My_Audit!J:J,""),
_xlfn.IFS(_xlpm.MyAuditVal&lt;&gt;"",UPPER(_xlpm.MyAuditVal),_xlpm.MacVal&lt;&gt;"",_xlpm.MacVal,_xlpm.CSVVal&lt;&gt;"",_xlpm.CSVVal
)),"")</f>
        <v/>
      </c>
      <c r="L1063" s="45"/>
      <c r="M1063" s="45"/>
      <c r="N1063" s="45"/>
      <c r="O1063" s="45"/>
      <c r="P1063" s="45"/>
      <c r="Q1063" s="45"/>
      <c r="R1063" s="45"/>
      <c r="S1063" s="45"/>
      <c r="T1063" s="46" t="str">
        <f>_xlfn.XLOOKUP(E1063,Models!I:I,Models!J:J,"")</f>
        <v/>
      </c>
      <c r="U1063" s="45"/>
      <c r="V1063" s="45"/>
      <c r="W1063" s="38"/>
    </row>
    <row r="1064" spans="1:23">
      <c r="A1064" s="45" t="str">
        <f>_xlfn.TEXTJOIN("",TRUE,Input!$B$2,ROW(My_Audit!A1063))</f>
        <v>CC1063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6" t="str" cm="1">
        <f t="array" ref="K1064">IFERROR(_xlfn.LET(
_xlpm.CSVVal,_xlfn.XLOOKUP($A1064,CSV!$A:$A,CSV!N:N,""),
_xlpm.MacVal,_xlfn.XLOOKUP($A1064,Output_Mac!$A:$A,Output_Mac!L:L,""),
_xlpm.MyAuditVal,_xlfn.XLOOKUP($A1064,My_Audit!$A:$A,My_Audit!J:J,""),
_xlfn.IFS(_xlpm.MyAuditVal&lt;&gt;"",UPPER(_xlpm.MyAuditVal),_xlpm.MacVal&lt;&gt;"",_xlpm.MacVal,_xlpm.CSVVal&lt;&gt;"",_xlpm.CSVVal
)),"")</f>
        <v/>
      </c>
      <c r="L1064" s="45"/>
      <c r="M1064" s="45"/>
      <c r="N1064" s="45"/>
      <c r="O1064" s="45"/>
      <c r="P1064" s="45"/>
      <c r="Q1064" s="45"/>
      <c r="R1064" s="45"/>
      <c r="S1064" s="45"/>
      <c r="T1064" s="46" t="str">
        <f>_xlfn.XLOOKUP(E1064,Models!I:I,Models!J:J,"")</f>
        <v/>
      </c>
      <c r="U1064" s="45"/>
      <c r="V1064" s="45"/>
      <c r="W1064" s="38"/>
    </row>
    <row r="1065" spans="1:23">
      <c r="A1065" s="45" t="str">
        <f>_xlfn.TEXTJOIN("",TRUE,Input!$B$2,ROW(My_Audit!A1064))</f>
        <v>CC1064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6" t="str" cm="1">
        <f t="array" ref="K1065">IFERROR(_xlfn.LET(
_xlpm.CSVVal,_xlfn.XLOOKUP($A1065,CSV!$A:$A,CSV!N:N,""),
_xlpm.MacVal,_xlfn.XLOOKUP($A1065,Output_Mac!$A:$A,Output_Mac!L:L,""),
_xlpm.MyAuditVal,_xlfn.XLOOKUP($A1065,My_Audit!$A:$A,My_Audit!J:J,""),
_xlfn.IFS(_xlpm.MyAuditVal&lt;&gt;"",UPPER(_xlpm.MyAuditVal),_xlpm.MacVal&lt;&gt;"",_xlpm.MacVal,_xlpm.CSVVal&lt;&gt;"",_xlpm.CSVVal
)),"")</f>
        <v/>
      </c>
      <c r="L1065" s="45"/>
      <c r="M1065" s="45"/>
      <c r="N1065" s="45"/>
      <c r="O1065" s="45"/>
      <c r="P1065" s="45"/>
      <c r="Q1065" s="45"/>
      <c r="R1065" s="45"/>
      <c r="S1065" s="45"/>
      <c r="T1065" s="46" t="str">
        <f>_xlfn.XLOOKUP(E1065,Models!I:I,Models!J:J,"")</f>
        <v/>
      </c>
      <c r="U1065" s="45"/>
      <c r="V1065" s="45"/>
      <c r="W1065" s="38"/>
    </row>
    <row r="1066" spans="1:23">
      <c r="A1066" s="45" t="str">
        <f>_xlfn.TEXTJOIN("",TRUE,Input!$B$2,ROW(My_Audit!A1065))</f>
        <v>CC1065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6" t="str" cm="1">
        <f t="array" ref="K1066">IFERROR(_xlfn.LET(
_xlpm.CSVVal,_xlfn.XLOOKUP($A1066,CSV!$A:$A,CSV!N:N,""),
_xlpm.MacVal,_xlfn.XLOOKUP($A1066,Output_Mac!$A:$A,Output_Mac!L:L,""),
_xlpm.MyAuditVal,_xlfn.XLOOKUP($A1066,My_Audit!$A:$A,My_Audit!J:J,""),
_xlfn.IFS(_xlpm.MyAuditVal&lt;&gt;"",UPPER(_xlpm.MyAuditVal),_xlpm.MacVal&lt;&gt;"",_xlpm.MacVal,_xlpm.CSVVal&lt;&gt;"",_xlpm.CSVVal
)),"")</f>
        <v/>
      </c>
      <c r="L1066" s="45"/>
      <c r="M1066" s="45"/>
      <c r="N1066" s="45"/>
      <c r="O1066" s="45"/>
      <c r="P1066" s="45"/>
      <c r="Q1066" s="45"/>
      <c r="R1066" s="45"/>
      <c r="S1066" s="45"/>
      <c r="T1066" s="46" t="str">
        <f>_xlfn.XLOOKUP(E1066,Models!I:I,Models!J:J,"")</f>
        <v/>
      </c>
      <c r="U1066" s="45"/>
      <c r="V1066" s="45"/>
      <c r="W1066" s="38"/>
    </row>
    <row r="1067" spans="1:23">
      <c r="A1067" s="45" t="str">
        <f>_xlfn.TEXTJOIN("",TRUE,Input!$B$2,ROW(My_Audit!A1066))</f>
        <v>CC1066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6" t="str" cm="1">
        <f t="array" ref="K1067">IFERROR(_xlfn.LET(
_xlpm.CSVVal,_xlfn.XLOOKUP($A1067,CSV!$A:$A,CSV!N:N,""),
_xlpm.MacVal,_xlfn.XLOOKUP($A1067,Output_Mac!$A:$A,Output_Mac!L:L,""),
_xlpm.MyAuditVal,_xlfn.XLOOKUP($A1067,My_Audit!$A:$A,My_Audit!J:J,""),
_xlfn.IFS(_xlpm.MyAuditVal&lt;&gt;"",UPPER(_xlpm.MyAuditVal),_xlpm.MacVal&lt;&gt;"",_xlpm.MacVal,_xlpm.CSVVal&lt;&gt;"",_xlpm.CSVVal
)),"")</f>
        <v/>
      </c>
      <c r="L1067" s="45"/>
      <c r="M1067" s="45"/>
      <c r="N1067" s="45"/>
      <c r="O1067" s="45"/>
      <c r="P1067" s="45"/>
      <c r="Q1067" s="45"/>
      <c r="R1067" s="45"/>
      <c r="S1067" s="45"/>
      <c r="T1067" s="46" t="str">
        <f>_xlfn.XLOOKUP(E1067,Models!I:I,Models!J:J,"")</f>
        <v/>
      </c>
      <c r="U1067" s="45"/>
      <c r="V1067" s="45"/>
      <c r="W1067" s="38"/>
    </row>
    <row r="1068" spans="1:23">
      <c r="A1068" s="45" t="str">
        <f>_xlfn.TEXTJOIN("",TRUE,Input!$B$2,ROW(My_Audit!A1067))</f>
        <v>CC1067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6" t="str" cm="1">
        <f t="array" ref="K1068">IFERROR(_xlfn.LET(
_xlpm.CSVVal,_xlfn.XLOOKUP($A1068,CSV!$A:$A,CSV!N:N,""),
_xlpm.MacVal,_xlfn.XLOOKUP($A1068,Output_Mac!$A:$A,Output_Mac!L:L,""),
_xlpm.MyAuditVal,_xlfn.XLOOKUP($A1068,My_Audit!$A:$A,My_Audit!J:J,""),
_xlfn.IFS(_xlpm.MyAuditVal&lt;&gt;"",UPPER(_xlpm.MyAuditVal),_xlpm.MacVal&lt;&gt;"",_xlpm.MacVal,_xlpm.CSVVal&lt;&gt;"",_xlpm.CSVVal
)),"")</f>
        <v/>
      </c>
      <c r="L1068" s="45"/>
      <c r="M1068" s="45"/>
      <c r="N1068" s="45"/>
      <c r="O1068" s="45"/>
      <c r="P1068" s="45"/>
      <c r="Q1068" s="45"/>
      <c r="R1068" s="45"/>
      <c r="S1068" s="45"/>
      <c r="T1068" s="46" t="str">
        <f>_xlfn.XLOOKUP(E1068,Models!I:I,Models!J:J,"")</f>
        <v/>
      </c>
      <c r="U1068" s="45"/>
      <c r="V1068" s="45"/>
      <c r="W1068" s="38"/>
    </row>
    <row r="1069" spans="1:23">
      <c r="A1069" s="45" t="str">
        <f>_xlfn.TEXTJOIN("",TRUE,Input!$B$2,ROW(My_Audit!A1068))</f>
        <v>CC1068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6" t="str" cm="1">
        <f t="array" ref="K1069">IFERROR(_xlfn.LET(
_xlpm.CSVVal,_xlfn.XLOOKUP($A1069,CSV!$A:$A,CSV!N:N,""),
_xlpm.MacVal,_xlfn.XLOOKUP($A1069,Output_Mac!$A:$A,Output_Mac!L:L,""),
_xlpm.MyAuditVal,_xlfn.XLOOKUP($A1069,My_Audit!$A:$A,My_Audit!J:J,""),
_xlfn.IFS(_xlpm.MyAuditVal&lt;&gt;"",UPPER(_xlpm.MyAuditVal),_xlpm.MacVal&lt;&gt;"",_xlpm.MacVal,_xlpm.CSVVal&lt;&gt;"",_xlpm.CSVVal
)),"")</f>
        <v/>
      </c>
      <c r="L1069" s="45"/>
      <c r="M1069" s="45"/>
      <c r="N1069" s="45"/>
      <c r="O1069" s="45"/>
      <c r="P1069" s="45"/>
      <c r="Q1069" s="45"/>
      <c r="R1069" s="45"/>
      <c r="S1069" s="45"/>
      <c r="T1069" s="46" t="str">
        <f>_xlfn.XLOOKUP(E1069,Models!I:I,Models!J:J,"")</f>
        <v/>
      </c>
      <c r="U1069" s="45"/>
      <c r="V1069" s="45"/>
      <c r="W1069" s="38"/>
    </row>
    <row r="1070" spans="1:23">
      <c r="A1070" s="45" t="str">
        <f>_xlfn.TEXTJOIN("",TRUE,Input!$B$2,ROW(My_Audit!A1069))</f>
        <v>CC1069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6" t="str" cm="1">
        <f t="array" ref="K1070">IFERROR(_xlfn.LET(
_xlpm.CSVVal,_xlfn.XLOOKUP($A1070,CSV!$A:$A,CSV!N:N,""),
_xlpm.MacVal,_xlfn.XLOOKUP($A1070,Output_Mac!$A:$A,Output_Mac!L:L,""),
_xlpm.MyAuditVal,_xlfn.XLOOKUP($A1070,My_Audit!$A:$A,My_Audit!J:J,""),
_xlfn.IFS(_xlpm.MyAuditVal&lt;&gt;"",UPPER(_xlpm.MyAuditVal),_xlpm.MacVal&lt;&gt;"",_xlpm.MacVal,_xlpm.CSVVal&lt;&gt;"",_xlpm.CSVVal
)),"")</f>
        <v/>
      </c>
      <c r="L1070" s="45"/>
      <c r="M1070" s="45"/>
      <c r="N1070" s="45"/>
      <c r="O1070" s="45"/>
      <c r="P1070" s="45"/>
      <c r="Q1070" s="45"/>
      <c r="R1070" s="45"/>
      <c r="S1070" s="45"/>
      <c r="T1070" s="46" t="str">
        <f>_xlfn.XLOOKUP(E1070,Models!I:I,Models!J:J,"")</f>
        <v/>
      </c>
      <c r="U1070" s="45"/>
      <c r="V1070" s="45"/>
      <c r="W1070" s="38"/>
    </row>
    <row r="1071" spans="1:23">
      <c r="A1071" s="45" t="str">
        <f>_xlfn.TEXTJOIN("",TRUE,Input!$B$2,ROW(My_Audit!A1070))</f>
        <v>CC1070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6" t="str" cm="1">
        <f t="array" ref="K1071">IFERROR(_xlfn.LET(
_xlpm.CSVVal,_xlfn.XLOOKUP($A1071,CSV!$A:$A,CSV!N:N,""),
_xlpm.MacVal,_xlfn.XLOOKUP($A1071,Output_Mac!$A:$A,Output_Mac!L:L,""),
_xlpm.MyAuditVal,_xlfn.XLOOKUP($A1071,My_Audit!$A:$A,My_Audit!J:J,""),
_xlfn.IFS(_xlpm.MyAuditVal&lt;&gt;"",UPPER(_xlpm.MyAuditVal),_xlpm.MacVal&lt;&gt;"",_xlpm.MacVal,_xlpm.CSVVal&lt;&gt;"",_xlpm.CSVVal
)),"")</f>
        <v/>
      </c>
      <c r="L1071" s="45"/>
      <c r="M1071" s="45"/>
      <c r="N1071" s="45"/>
      <c r="O1071" s="45"/>
      <c r="P1071" s="45"/>
      <c r="Q1071" s="45"/>
      <c r="R1071" s="45"/>
      <c r="S1071" s="45"/>
      <c r="T1071" s="46" t="str">
        <f>_xlfn.XLOOKUP(E1071,Models!I:I,Models!J:J,"")</f>
        <v/>
      </c>
      <c r="U1071" s="45"/>
      <c r="V1071" s="45"/>
      <c r="W1071" s="38"/>
    </row>
    <row r="1072" spans="1:23">
      <c r="A1072" s="45" t="str">
        <f>_xlfn.TEXTJOIN("",TRUE,Input!$B$2,ROW(My_Audit!A1071))</f>
        <v>CC1071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6" t="str" cm="1">
        <f t="array" ref="K1072">IFERROR(_xlfn.LET(
_xlpm.CSVVal,_xlfn.XLOOKUP($A1072,CSV!$A:$A,CSV!N:N,""),
_xlpm.MacVal,_xlfn.XLOOKUP($A1072,Output_Mac!$A:$A,Output_Mac!L:L,""),
_xlpm.MyAuditVal,_xlfn.XLOOKUP($A1072,My_Audit!$A:$A,My_Audit!J:J,""),
_xlfn.IFS(_xlpm.MyAuditVal&lt;&gt;"",UPPER(_xlpm.MyAuditVal),_xlpm.MacVal&lt;&gt;"",_xlpm.MacVal,_xlpm.CSVVal&lt;&gt;"",_xlpm.CSVVal
)),"")</f>
        <v/>
      </c>
      <c r="L1072" s="45"/>
      <c r="M1072" s="45"/>
      <c r="N1072" s="45"/>
      <c r="O1072" s="45"/>
      <c r="P1072" s="45"/>
      <c r="Q1072" s="45"/>
      <c r="R1072" s="45"/>
      <c r="S1072" s="45"/>
      <c r="T1072" s="46" t="str">
        <f>_xlfn.XLOOKUP(E1072,Models!I:I,Models!J:J,"")</f>
        <v/>
      </c>
      <c r="U1072" s="45"/>
      <c r="V1072" s="45"/>
      <c r="W1072" s="38"/>
    </row>
    <row r="1073" spans="1:23">
      <c r="A1073" s="45" t="str">
        <f>_xlfn.TEXTJOIN("",TRUE,Input!$B$2,ROW(My_Audit!A1072))</f>
        <v>CC1072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6" t="str" cm="1">
        <f t="array" ref="K1073">IFERROR(_xlfn.LET(
_xlpm.CSVVal,_xlfn.XLOOKUP($A1073,CSV!$A:$A,CSV!N:N,""),
_xlpm.MacVal,_xlfn.XLOOKUP($A1073,Output_Mac!$A:$A,Output_Mac!L:L,""),
_xlpm.MyAuditVal,_xlfn.XLOOKUP($A1073,My_Audit!$A:$A,My_Audit!J:J,""),
_xlfn.IFS(_xlpm.MyAuditVal&lt;&gt;"",UPPER(_xlpm.MyAuditVal),_xlpm.MacVal&lt;&gt;"",_xlpm.MacVal,_xlpm.CSVVal&lt;&gt;"",_xlpm.CSVVal
)),"")</f>
        <v/>
      </c>
      <c r="L1073" s="45"/>
      <c r="M1073" s="45"/>
      <c r="N1073" s="45"/>
      <c r="O1073" s="45"/>
      <c r="P1073" s="45"/>
      <c r="Q1073" s="45"/>
      <c r="R1073" s="45"/>
      <c r="S1073" s="45"/>
      <c r="T1073" s="46" t="str">
        <f>_xlfn.XLOOKUP(E1073,Models!I:I,Models!J:J,"")</f>
        <v/>
      </c>
      <c r="U1073" s="45"/>
      <c r="V1073" s="45"/>
      <c r="W1073" s="38"/>
    </row>
    <row r="1074" spans="1:23">
      <c r="A1074" s="45" t="str">
        <f>_xlfn.TEXTJOIN("",TRUE,Input!$B$2,ROW(My_Audit!A1073))</f>
        <v>CC1073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6" t="str" cm="1">
        <f t="array" ref="K1074">IFERROR(_xlfn.LET(
_xlpm.CSVVal,_xlfn.XLOOKUP($A1074,CSV!$A:$A,CSV!N:N,""),
_xlpm.MacVal,_xlfn.XLOOKUP($A1074,Output_Mac!$A:$A,Output_Mac!L:L,""),
_xlpm.MyAuditVal,_xlfn.XLOOKUP($A1074,My_Audit!$A:$A,My_Audit!J:J,""),
_xlfn.IFS(_xlpm.MyAuditVal&lt;&gt;"",UPPER(_xlpm.MyAuditVal),_xlpm.MacVal&lt;&gt;"",_xlpm.MacVal,_xlpm.CSVVal&lt;&gt;"",_xlpm.CSVVal
)),"")</f>
        <v/>
      </c>
      <c r="L1074" s="45"/>
      <c r="M1074" s="45"/>
      <c r="N1074" s="45"/>
      <c r="O1074" s="45"/>
      <c r="P1074" s="45"/>
      <c r="Q1074" s="45"/>
      <c r="R1074" s="45"/>
      <c r="S1074" s="45"/>
      <c r="T1074" s="46" t="str">
        <f>_xlfn.XLOOKUP(E1074,Models!I:I,Models!J:J,"")</f>
        <v/>
      </c>
      <c r="U1074" s="45"/>
      <c r="V1074" s="45"/>
      <c r="W1074" s="38"/>
    </row>
    <row r="1075" spans="1:23">
      <c r="A1075" s="45" t="str">
        <f>_xlfn.TEXTJOIN("",TRUE,Input!$B$2,ROW(My_Audit!A1074))</f>
        <v>CC1074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6" t="str" cm="1">
        <f t="array" ref="K1075">IFERROR(_xlfn.LET(
_xlpm.CSVVal,_xlfn.XLOOKUP($A1075,CSV!$A:$A,CSV!N:N,""),
_xlpm.MacVal,_xlfn.XLOOKUP($A1075,Output_Mac!$A:$A,Output_Mac!L:L,""),
_xlpm.MyAuditVal,_xlfn.XLOOKUP($A1075,My_Audit!$A:$A,My_Audit!J:J,""),
_xlfn.IFS(_xlpm.MyAuditVal&lt;&gt;"",UPPER(_xlpm.MyAuditVal),_xlpm.MacVal&lt;&gt;"",_xlpm.MacVal,_xlpm.CSVVal&lt;&gt;"",_xlpm.CSVVal
)),"")</f>
        <v/>
      </c>
      <c r="L1075" s="45"/>
      <c r="M1075" s="45"/>
      <c r="N1075" s="45"/>
      <c r="O1075" s="45"/>
      <c r="P1075" s="45"/>
      <c r="Q1075" s="45"/>
      <c r="R1075" s="45"/>
      <c r="S1075" s="45"/>
      <c r="T1075" s="46" t="str">
        <f>_xlfn.XLOOKUP(E1075,Models!I:I,Models!J:J,"")</f>
        <v/>
      </c>
      <c r="U1075" s="45"/>
      <c r="V1075" s="45"/>
      <c r="W1075" s="38"/>
    </row>
    <row r="1076" spans="1:23">
      <c r="A1076" s="45" t="str">
        <f>_xlfn.TEXTJOIN("",TRUE,Input!$B$2,ROW(My_Audit!A1075))</f>
        <v>CC1075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6" t="str" cm="1">
        <f t="array" ref="K1076">IFERROR(_xlfn.LET(
_xlpm.CSVVal,_xlfn.XLOOKUP($A1076,CSV!$A:$A,CSV!N:N,""),
_xlpm.MacVal,_xlfn.XLOOKUP($A1076,Output_Mac!$A:$A,Output_Mac!L:L,""),
_xlpm.MyAuditVal,_xlfn.XLOOKUP($A1076,My_Audit!$A:$A,My_Audit!J:J,""),
_xlfn.IFS(_xlpm.MyAuditVal&lt;&gt;"",UPPER(_xlpm.MyAuditVal),_xlpm.MacVal&lt;&gt;"",_xlpm.MacVal,_xlpm.CSVVal&lt;&gt;"",_xlpm.CSVVal
)),"")</f>
        <v/>
      </c>
      <c r="L1076" s="45"/>
      <c r="M1076" s="45"/>
      <c r="N1076" s="45"/>
      <c r="O1076" s="45"/>
      <c r="P1076" s="45"/>
      <c r="Q1076" s="45"/>
      <c r="R1076" s="45"/>
      <c r="S1076" s="45"/>
      <c r="T1076" s="46" t="str">
        <f>_xlfn.XLOOKUP(E1076,Models!I:I,Models!J:J,"")</f>
        <v/>
      </c>
      <c r="U1076" s="45"/>
      <c r="V1076" s="45"/>
      <c r="W1076" s="38"/>
    </row>
    <row r="1077" spans="1:23">
      <c r="A1077" s="45" t="str">
        <f>_xlfn.TEXTJOIN("",TRUE,Input!$B$2,ROW(My_Audit!A1076))</f>
        <v>CC1076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6" t="str" cm="1">
        <f t="array" ref="K1077">IFERROR(_xlfn.LET(
_xlpm.CSVVal,_xlfn.XLOOKUP($A1077,CSV!$A:$A,CSV!N:N,""),
_xlpm.MacVal,_xlfn.XLOOKUP($A1077,Output_Mac!$A:$A,Output_Mac!L:L,""),
_xlpm.MyAuditVal,_xlfn.XLOOKUP($A1077,My_Audit!$A:$A,My_Audit!J:J,""),
_xlfn.IFS(_xlpm.MyAuditVal&lt;&gt;"",UPPER(_xlpm.MyAuditVal),_xlpm.MacVal&lt;&gt;"",_xlpm.MacVal,_xlpm.CSVVal&lt;&gt;"",_xlpm.CSVVal
)),"")</f>
        <v/>
      </c>
      <c r="L1077" s="45"/>
      <c r="M1077" s="45"/>
      <c r="N1077" s="45"/>
      <c r="O1077" s="45"/>
      <c r="P1077" s="45"/>
      <c r="Q1077" s="45"/>
      <c r="R1077" s="45"/>
      <c r="S1077" s="45"/>
      <c r="T1077" s="46" t="str">
        <f>_xlfn.XLOOKUP(E1077,Models!I:I,Models!J:J,"")</f>
        <v/>
      </c>
      <c r="U1077" s="45"/>
      <c r="V1077" s="45"/>
      <c r="W1077" s="38"/>
    </row>
    <row r="1078" spans="1:23">
      <c r="A1078" s="45" t="str">
        <f>_xlfn.TEXTJOIN("",TRUE,Input!$B$2,ROW(My_Audit!A1077))</f>
        <v>CC1077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6" t="str" cm="1">
        <f t="array" ref="K1078">IFERROR(_xlfn.LET(
_xlpm.CSVVal,_xlfn.XLOOKUP($A1078,CSV!$A:$A,CSV!N:N,""),
_xlpm.MacVal,_xlfn.XLOOKUP($A1078,Output_Mac!$A:$A,Output_Mac!L:L,""),
_xlpm.MyAuditVal,_xlfn.XLOOKUP($A1078,My_Audit!$A:$A,My_Audit!J:J,""),
_xlfn.IFS(_xlpm.MyAuditVal&lt;&gt;"",UPPER(_xlpm.MyAuditVal),_xlpm.MacVal&lt;&gt;"",_xlpm.MacVal,_xlpm.CSVVal&lt;&gt;"",_xlpm.CSVVal
)),"")</f>
        <v/>
      </c>
      <c r="L1078" s="45"/>
      <c r="M1078" s="45"/>
      <c r="N1078" s="45"/>
      <c r="O1078" s="45"/>
      <c r="P1078" s="45"/>
      <c r="Q1078" s="45"/>
      <c r="R1078" s="45"/>
      <c r="S1078" s="45"/>
      <c r="T1078" s="46" t="str">
        <f>_xlfn.XLOOKUP(E1078,Models!I:I,Models!J:J,"")</f>
        <v/>
      </c>
      <c r="U1078" s="45"/>
      <c r="V1078" s="45"/>
      <c r="W1078" s="38"/>
    </row>
    <row r="1079" spans="1:23">
      <c r="A1079" s="45" t="str">
        <f>_xlfn.TEXTJOIN("",TRUE,Input!$B$2,ROW(My_Audit!A1078))</f>
        <v>CC1078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6" t="str" cm="1">
        <f t="array" ref="K1079">IFERROR(_xlfn.LET(
_xlpm.CSVVal,_xlfn.XLOOKUP($A1079,CSV!$A:$A,CSV!N:N,""),
_xlpm.MacVal,_xlfn.XLOOKUP($A1079,Output_Mac!$A:$A,Output_Mac!L:L,""),
_xlpm.MyAuditVal,_xlfn.XLOOKUP($A1079,My_Audit!$A:$A,My_Audit!J:J,""),
_xlfn.IFS(_xlpm.MyAuditVal&lt;&gt;"",UPPER(_xlpm.MyAuditVal),_xlpm.MacVal&lt;&gt;"",_xlpm.MacVal,_xlpm.CSVVal&lt;&gt;"",_xlpm.CSVVal
)),"")</f>
        <v/>
      </c>
      <c r="L1079" s="45"/>
      <c r="M1079" s="45"/>
      <c r="N1079" s="45"/>
      <c r="O1079" s="45"/>
      <c r="P1079" s="45"/>
      <c r="Q1079" s="45"/>
      <c r="R1079" s="45"/>
      <c r="S1079" s="45"/>
      <c r="T1079" s="46" t="str">
        <f>_xlfn.XLOOKUP(E1079,Models!I:I,Models!J:J,"")</f>
        <v/>
      </c>
      <c r="U1079" s="45"/>
      <c r="V1079" s="45"/>
      <c r="W1079" s="38"/>
    </row>
    <row r="1080" spans="1:23">
      <c r="A1080" s="45" t="str">
        <f>_xlfn.TEXTJOIN("",TRUE,Input!$B$2,ROW(My_Audit!A1079))</f>
        <v>CC1079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6" t="str" cm="1">
        <f t="array" ref="K1080">IFERROR(_xlfn.LET(
_xlpm.CSVVal,_xlfn.XLOOKUP($A1080,CSV!$A:$A,CSV!N:N,""),
_xlpm.MacVal,_xlfn.XLOOKUP($A1080,Output_Mac!$A:$A,Output_Mac!L:L,""),
_xlpm.MyAuditVal,_xlfn.XLOOKUP($A1080,My_Audit!$A:$A,My_Audit!J:J,""),
_xlfn.IFS(_xlpm.MyAuditVal&lt;&gt;"",UPPER(_xlpm.MyAuditVal),_xlpm.MacVal&lt;&gt;"",_xlpm.MacVal,_xlpm.CSVVal&lt;&gt;"",_xlpm.CSVVal
)),"")</f>
        <v/>
      </c>
      <c r="L1080" s="45"/>
      <c r="M1080" s="45"/>
      <c r="N1080" s="45"/>
      <c r="O1080" s="45"/>
      <c r="P1080" s="45"/>
      <c r="Q1080" s="45"/>
      <c r="R1080" s="45"/>
      <c r="S1080" s="45"/>
      <c r="T1080" s="46" t="str">
        <f>_xlfn.XLOOKUP(E1080,Models!I:I,Models!J:J,"")</f>
        <v/>
      </c>
      <c r="U1080" s="45"/>
      <c r="V1080" s="45"/>
      <c r="W1080" s="38"/>
    </row>
    <row r="1081" spans="1:23">
      <c r="A1081" s="45" t="str">
        <f>_xlfn.TEXTJOIN("",TRUE,Input!$B$2,ROW(My_Audit!A1080))</f>
        <v>CC1080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6" t="str" cm="1">
        <f t="array" ref="K1081">IFERROR(_xlfn.LET(
_xlpm.CSVVal,_xlfn.XLOOKUP($A1081,CSV!$A:$A,CSV!N:N,""),
_xlpm.MacVal,_xlfn.XLOOKUP($A1081,Output_Mac!$A:$A,Output_Mac!L:L,""),
_xlpm.MyAuditVal,_xlfn.XLOOKUP($A1081,My_Audit!$A:$A,My_Audit!J:J,""),
_xlfn.IFS(_xlpm.MyAuditVal&lt;&gt;"",UPPER(_xlpm.MyAuditVal),_xlpm.MacVal&lt;&gt;"",_xlpm.MacVal,_xlpm.CSVVal&lt;&gt;"",_xlpm.CSVVal
)),"")</f>
        <v/>
      </c>
      <c r="L1081" s="45"/>
      <c r="M1081" s="45"/>
      <c r="N1081" s="45"/>
      <c r="O1081" s="45"/>
      <c r="P1081" s="45"/>
      <c r="Q1081" s="45"/>
      <c r="R1081" s="45"/>
      <c r="S1081" s="45"/>
      <c r="T1081" s="46" t="str">
        <f>_xlfn.XLOOKUP(E1081,Models!I:I,Models!J:J,"")</f>
        <v/>
      </c>
      <c r="U1081" s="45"/>
      <c r="V1081" s="45"/>
      <c r="W1081" s="38"/>
    </row>
    <row r="1082" spans="1:23">
      <c r="A1082" s="45" t="str">
        <f>_xlfn.TEXTJOIN("",TRUE,Input!$B$2,ROW(My_Audit!A1081))</f>
        <v>CC1081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6" t="str" cm="1">
        <f t="array" ref="K1082">IFERROR(_xlfn.LET(
_xlpm.CSVVal,_xlfn.XLOOKUP($A1082,CSV!$A:$A,CSV!N:N,""),
_xlpm.MacVal,_xlfn.XLOOKUP($A1082,Output_Mac!$A:$A,Output_Mac!L:L,""),
_xlpm.MyAuditVal,_xlfn.XLOOKUP($A1082,My_Audit!$A:$A,My_Audit!J:J,""),
_xlfn.IFS(_xlpm.MyAuditVal&lt;&gt;"",UPPER(_xlpm.MyAuditVal),_xlpm.MacVal&lt;&gt;"",_xlpm.MacVal,_xlpm.CSVVal&lt;&gt;"",_xlpm.CSVVal
)),"")</f>
        <v/>
      </c>
      <c r="L1082" s="45"/>
      <c r="M1082" s="45"/>
      <c r="N1082" s="45"/>
      <c r="O1082" s="45"/>
      <c r="P1082" s="45"/>
      <c r="Q1082" s="45"/>
      <c r="R1082" s="45"/>
      <c r="S1082" s="45"/>
      <c r="T1082" s="46" t="str">
        <f>_xlfn.XLOOKUP(E1082,Models!I:I,Models!J:J,"")</f>
        <v/>
      </c>
      <c r="U1082" s="45"/>
      <c r="V1082" s="45"/>
      <c r="W1082" s="38"/>
    </row>
    <row r="1083" spans="1:23">
      <c r="A1083" s="45" t="str">
        <f>_xlfn.TEXTJOIN("",TRUE,Input!$B$2,ROW(My_Audit!A1082))</f>
        <v>CC1082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6" t="str" cm="1">
        <f t="array" ref="K1083">IFERROR(_xlfn.LET(
_xlpm.CSVVal,_xlfn.XLOOKUP($A1083,CSV!$A:$A,CSV!N:N,""),
_xlpm.MacVal,_xlfn.XLOOKUP($A1083,Output_Mac!$A:$A,Output_Mac!L:L,""),
_xlpm.MyAuditVal,_xlfn.XLOOKUP($A1083,My_Audit!$A:$A,My_Audit!J:J,""),
_xlfn.IFS(_xlpm.MyAuditVal&lt;&gt;"",UPPER(_xlpm.MyAuditVal),_xlpm.MacVal&lt;&gt;"",_xlpm.MacVal,_xlpm.CSVVal&lt;&gt;"",_xlpm.CSVVal
)),"")</f>
        <v/>
      </c>
      <c r="L1083" s="45"/>
      <c r="M1083" s="45"/>
      <c r="N1083" s="45"/>
      <c r="O1083" s="45"/>
      <c r="P1083" s="45"/>
      <c r="Q1083" s="45"/>
      <c r="R1083" s="45"/>
      <c r="S1083" s="45"/>
      <c r="T1083" s="46" t="str">
        <f>_xlfn.XLOOKUP(E1083,Models!I:I,Models!J:J,"")</f>
        <v/>
      </c>
      <c r="U1083" s="45"/>
      <c r="V1083" s="45"/>
      <c r="W1083" s="38"/>
    </row>
    <row r="1084" spans="1:23">
      <c r="A1084" s="45" t="str">
        <f>_xlfn.TEXTJOIN("",TRUE,Input!$B$2,ROW(My_Audit!A1083))</f>
        <v>CC1083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6" t="str" cm="1">
        <f t="array" ref="K1084">IFERROR(_xlfn.LET(
_xlpm.CSVVal,_xlfn.XLOOKUP($A1084,CSV!$A:$A,CSV!N:N,""),
_xlpm.MacVal,_xlfn.XLOOKUP($A1084,Output_Mac!$A:$A,Output_Mac!L:L,""),
_xlpm.MyAuditVal,_xlfn.XLOOKUP($A1084,My_Audit!$A:$A,My_Audit!J:J,""),
_xlfn.IFS(_xlpm.MyAuditVal&lt;&gt;"",UPPER(_xlpm.MyAuditVal),_xlpm.MacVal&lt;&gt;"",_xlpm.MacVal,_xlpm.CSVVal&lt;&gt;"",_xlpm.CSVVal
)),"")</f>
        <v/>
      </c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38"/>
    </row>
    <row r="1085" spans="1:23">
      <c r="A1085" s="45" t="str">
        <f>_xlfn.TEXTJOIN("",TRUE,Input!$B$2,ROW(My_Audit!A1084))</f>
        <v>CC1084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6" t="str" cm="1">
        <f t="array" ref="K1085">IFERROR(_xlfn.LET(
_xlpm.CSVVal,_xlfn.XLOOKUP($A1085,CSV!$A:$A,CSV!N:N,""),
_xlpm.MacVal,_xlfn.XLOOKUP($A1085,Output_Mac!$A:$A,Output_Mac!L:L,""),
_xlpm.MyAuditVal,_xlfn.XLOOKUP($A1085,My_Audit!$A:$A,My_Audit!J:J,""),
_xlfn.IFS(_xlpm.MyAuditVal&lt;&gt;"",UPPER(_xlpm.MyAuditVal),_xlpm.MacVal&lt;&gt;"",_xlpm.MacVal,_xlpm.CSVVal&lt;&gt;"",_xlpm.CSVVal
)),"")</f>
        <v/>
      </c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38"/>
    </row>
    <row r="1086" spans="1:23">
      <c r="A1086" s="45" t="str">
        <f>_xlfn.TEXTJOIN("",TRUE,Input!$B$2,ROW(My_Audit!A1085))</f>
        <v>CC1085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6" t="str" cm="1">
        <f t="array" ref="K1086">IFERROR(_xlfn.LET(
_xlpm.CSVVal,_xlfn.XLOOKUP($A1086,CSV!$A:$A,CSV!N:N,""),
_xlpm.MacVal,_xlfn.XLOOKUP($A1086,Output_Mac!$A:$A,Output_Mac!L:L,""),
_xlpm.MyAuditVal,_xlfn.XLOOKUP($A1086,My_Audit!$A:$A,My_Audit!J:J,""),
_xlfn.IFS(_xlpm.MyAuditVal&lt;&gt;"",UPPER(_xlpm.MyAuditVal),_xlpm.MacVal&lt;&gt;"",_xlpm.MacVal,_xlpm.CSVVal&lt;&gt;"",_xlpm.CSVVal
)),"")</f>
        <v/>
      </c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38"/>
    </row>
    <row r="1087" spans="1:23">
      <c r="A1087" s="45" t="str">
        <f>_xlfn.TEXTJOIN("",TRUE,Input!$B$2,ROW(My_Audit!A1086))</f>
        <v>CC1086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6" t="str" cm="1">
        <f t="array" ref="K1087">IFERROR(_xlfn.LET(
_xlpm.CSVVal,_xlfn.XLOOKUP($A1087,CSV!$A:$A,CSV!N:N,""),
_xlpm.MacVal,_xlfn.XLOOKUP($A1087,Output_Mac!$A:$A,Output_Mac!L:L,""),
_xlpm.MyAuditVal,_xlfn.XLOOKUP($A1087,My_Audit!$A:$A,My_Audit!J:J,""),
_xlfn.IFS(_xlpm.MyAuditVal&lt;&gt;"",UPPER(_xlpm.MyAuditVal),_xlpm.MacVal&lt;&gt;"",_xlpm.MacVal,_xlpm.CSVVal&lt;&gt;"",_xlpm.CSVVal
)),"")</f>
        <v/>
      </c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38"/>
    </row>
    <row r="1088" spans="1:23">
      <c r="A1088" s="45" t="str">
        <f>_xlfn.TEXTJOIN("",TRUE,Input!$B$2,ROW(My_Audit!A1087))</f>
        <v>CC1087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6" t="str" cm="1">
        <f t="array" ref="K1088">IFERROR(_xlfn.LET(
_xlpm.CSVVal,_xlfn.XLOOKUP($A1088,CSV!$A:$A,CSV!N:N,""),
_xlpm.MacVal,_xlfn.XLOOKUP($A1088,Output_Mac!$A:$A,Output_Mac!L:L,""),
_xlpm.MyAuditVal,_xlfn.XLOOKUP($A1088,My_Audit!$A:$A,My_Audit!J:J,""),
_xlfn.IFS(_xlpm.MyAuditVal&lt;&gt;"",UPPER(_xlpm.MyAuditVal),_xlpm.MacVal&lt;&gt;"",_xlpm.MacVal,_xlpm.CSVVal&lt;&gt;"",_xlpm.CSVVal
)),"")</f>
        <v/>
      </c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38"/>
    </row>
    <row r="1089" spans="1:23">
      <c r="A1089" s="45" t="str">
        <f>_xlfn.TEXTJOIN("",TRUE,Input!$B$2,ROW(My_Audit!A1088))</f>
        <v>CC1088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6" t="str" cm="1">
        <f t="array" ref="K1089">IFERROR(_xlfn.LET(
_xlpm.CSVVal,_xlfn.XLOOKUP($A1089,CSV!$A:$A,CSV!N:N,""),
_xlpm.MacVal,_xlfn.XLOOKUP($A1089,Output_Mac!$A:$A,Output_Mac!L:L,""),
_xlpm.MyAuditVal,_xlfn.XLOOKUP($A1089,My_Audit!$A:$A,My_Audit!J:J,""),
_xlfn.IFS(_xlpm.MyAuditVal&lt;&gt;"",UPPER(_xlpm.MyAuditVal),_xlpm.MacVal&lt;&gt;"",_xlpm.MacVal,_xlpm.CSVVal&lt;&gt;"",_xlpm.CSVVal
)),"")</f>
        <v/>
      </c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38"/>
    </row>
    <row r="1090" spans="1:23">
      <c r="A1090" s="45" t="str">
        <f>_xlfn.TEXTJOIN("",TRUE,Input!$B$2,ROW(My_Audit!A1089))</f>
        <v>CC1089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6" t="str" cm="1">
        <f t="array" ref="K1090">IFERROR(_xlfn.LET(
_xlpm.CSVVal,_xlfn.XLOOKUP($A1090,CSV!$A:$A,CSV!N:N,""),
_xlpm.MacVal,_xlfn.XLOOKUP($A1090,Output_Mac!$A:$A,Output_Mac!L:L,""),
_xlpm.MyAuditVal,_xlfn.XLOOKUP($A1090,My_Audit!$A:$A,My_Audit!J:J,""),
_xlfn.IFS(_xlpm.MyAuditVal&lt;&gt;"",UPPER(_xlpm.MyAuditVal),_xlpm.MacVal&lt;&gt;"",_xlpm.MacVal,_xlpm.CSVVal&lt;&gt;"",_xlpm.CSVVal
)),"")</f>
        <v/>
      </c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38"/>
    </row>
    <row r="1091" spans="1:23">
      <c r="A1091" s="45" t="str">
        <f>_xlfn.TEXTJOIN("",TRUE,Input!$B$2,ROW(My_Audit!A1090))</f>
        <v>CC1090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6" t="str" cm="1">
        <f t="array" ref="K1091">IFERROR(_xlfn.LET(
_xlpm.CSVVal,_xlfn.XLOOKUP($A1091,CSV!$A:$A,CSV!N:N,""),
_xlpm.MacVal,_xlfn.XLOOKUP($A1091,Output_Mac!$A:$A,Output_Mac!L:L,""),
_xlpm.MyAuditVal,_xlfn.XLOOKUP($A1091,My_Audit!$A:$A,My_Audit!J:J,""),
_xlfn.IFS(_xlpm.MyAuditVal&lt;&gt;"",UPPER(_xlpm.MyAuditVal),_xlpm.MacVal&lt;&gt;"",_xlpm.MacVal,_xlpm.CSVVal&lt;&gt;"",_xlpm.CSVVal
)),"")</f>
        <v/>
      </c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38"/>
    </row>
    <row r="1092" spans="1:23">
      <c r="A1092" s="45" t="str">
        <f>_xlfn.TEXTJOIN("",TRUE,Input!$B$2,ROW(My_Audit!A1091))</f>
        <v>CC1091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6" t="str" cm="1">
        <f t="array" ref="K1092">IFERROR(_xlfn.LET(
_xlpm.CSVVal,_xlfn.XLOOKUP($A1092,CSV!$A:$A,CSV!N:N,""),
_xlpm.MacVal,_xlfn.XLOOKUP($A1092,Output_Mac!$A:$A,Output_Mac!L:L,""),
_xlpm.MyAuditVal,_xlfn.XLOOKUP($A1092,My_Audit!$A:$A,My_Audit!J:J,""),
_xlfn.IFS(_xlpm.MyAuditVal&lt;&gt;"",UPPER(_xlpm.MyAuditVal),_xlpm.MacVal&lt;&gt;"",_xlpm.MacVal,_xlpm.CSVVal&lt;&gt;"",_xlpm.CSVVal
)),"")</f>
        <v/>
      </c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38"/>
    </row>
    <row r="1093" spans="1:23">
      <c r="A1093" s="45" t="str">
        <f>_xlfn.TEXTJOIN("",TRUE,Input!$B$2,ROW(My_Audit!A1092))</f>
        <v>CC1092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6" t="str" cm="1">
        <f t="array" ref="K1093">IFERROR(_xlfn.LET(
_xlpm.CSVVal,_xlfn.XLOOKUP($A1093,CSV!$A:$A,CSV!N:N,""),
_xlpm.MacVal,_xlfn.XLOOKUP($A1093,Output_Mac!$A:$A,Output_Mac!L:L,""),
_xlpm.MyAuditVal,_xlfn.XLOOKUP($A1093,My_Audit!$A:$A,My_Audit!J:J,""),
_xlfn.IFS(_xlpm.MyAuditVal&lt;&gt;"",UPPER(_xlpm.MyAuditVal),_xlpm.MacVal&lt;&gt;"",_xlpm.MacVal,_xlpm.CSVVal&lt;&gt;"",_xlpm.CSVVal
)),"")</f>
        <v/>
      </c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38"/>
    </row>
    <row r="1094" spans="1:23">
      <c r="A1094" s="45" t="str">
        <f>_xlfn.TEXTJOIN("",TRUE,Input!$B$2,ROW(My_Audit!A1093))</f>
        <v>CC1093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6" t="str" cm="1">
        <f t="array" ref="K1094">IFERROR(_xlfn.LET(
_xlpm.CSVVal,_xlfn.XLOOKUP($A1094,CSV!$A:$A,CSV!N:N,""),
_xlpm.MacVal,_xlfn.XLOOKUP($A1094,Output_Mac!$A:$A,Output_Mac!L:L,""),
_xlpm.MyAuditVal,_xlfn.XLOOKUP($A1094,My_Audit!$A:$A,My_Audit!J:J,""),
_xlfn.IFS(_xlpm.MyAuditVal&lt;&gt;"",UPPER(_xlpm.MyAuditVal),_xlpm.MacVal&lt;&gt;"",_xlpm.MacVal,_xlpm.CSVVal&lt;&gt;"",_xlpm.CSVVal
)),"")</f>
        <v/>
      </c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38"/>
    </row>
    <row r="1095" spans="1:23">
      <c r="A1095" s="45" t="str">
        <f>_xlfn.TEXTJOIN("",TRUE,Input!$B$2,ROW(My_Audit!A1094))</f>
        <v>CC1094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6" t="str" cm="1">
        <f t="array" ref="K1095">IFERROR(_xlfn.LET(
_xlpm.CSVVal,_xlfn.XLOOKUP($A1095,CSV!$A:$A,CSV!N:N,""),
_xlpm.MacVal,_xlfn.XLOOKUP($A1095,Output_Mac!$A:$A,Output_Mac!L:L,""),
_xlpm.MyAuditVal,_xlfn.XLOOKUP($A1095,My_Audit!$A:$A,My_Audit!J:J,""),
_xlfn.IFS(_xlpm.MyAuditVal&lt;&gt;"",UPPER(_xlpm.MyAuditVal),_xlpm.MacVal&lt;&gt;"",_xlpm.MacVal,_xlpm.CSVVal&lt;&gt;"",_xlpm.CSVVal
)),"")</f>
        <v/>
      </c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38"/>
    </row>
    <row r="1096" spans="1:23">
      <c r="A1096" s="45" t="str">
        <f>_xlfn.TEXTJOIN("",TRUE,Input!$B$2,ROW(My_Audit!A1095))</f>
        <v>CC1095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6" t="str" cm="1">
        <f t="array" ref="K1096">IFERROR(_xlfn.LET(
_xlpm.CSVVal,_xlfn.XLOOKUP($A1096,CSV!$A:$A,CSV!N:N,""),
_xlpm.MacVal,_xlfn.XLOOKUP($A1096,Output_Mac!$A:$A,Output_Mac!L:L,""),
_xlpm.MyAuditVal,_xlfn.XLOOKUP($A1096,My_Audit!$A:$A,My_Audit!J:J,""),
_xlfn.IFS(_xlpm.MyAuditVal&lt;&gt;"",UPPER(_xlpm.MyAuditVal),_xlpm.MacVal&lt;&gt;"",_xlpm.MacVal,_xlpm.CSVVal&lt;&gt;"",_xlpm.CSVVal
)),"")</f>
        <v/>
      </c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38"/>
    </row>
    <row r="1097" spans="1:23">
      <c r="A1097" s="45" t="str">
        <f>_xlfn.TEXTJOIN("",TRUE,Input!$B$2,ROW(My_Audit!A1096))</f>
        <v>CC1096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6" t="str" cm="1">
        <f t="array" ref="K1097">IFERROR(_xlfn.LET(
_xlpm.CSVVal,_xlfn.XLOOKUP($A1097,CSV!$A:$A,CSV!N:N,""),
_xlpm.MacVal,_xlfn.XLOOKUP($A1097,Output_Mac!$A:$A,Output_Mac!L:L,""),
_xlpm.MyAuditVal,_xlfn.XLOOKUP($A1097,My_Audit!$A:$A,My_Audit!J:J,""),
_xlfn.IFS(_xlpm.MyAuditVal&lt;&gt;"",UPPER(_xlpm.MyAuditVal),_xlpm.MacVal&lt;&gt;"",_xlpm.MacVal,_xlpm.CSVVal&lt;&gt;"",_xlpm.CSVVal
)),"")</f>
        <v/>
      </c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38"/>
    </row>
    <row r="1098" spans="1:23">
      <c r="A1098" s="45" t="str">
        <f>_xlfn.TEXTJOIN("",TRUE,Input!$B$2,ROW(My_Audit!A1097))</f>
        <v>CC1097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6" t="str" cm="1">
        <f t="array" ref="K1098">IFERROR(_xlfn.LET(
_xlpm.CSVVal,_xlfn.XLOOKUP($A1098,CSV!$A:$A,CSV!N:N,""),
_xlpm.MacVal,_xlfn.XLOOKUP($A1098,Output_Mac!$A:$A,Output_Mac!L:L,""),
_xlpm.MyAuditVal,_xlfn.XLOOKUP($A1098,My_Audit!$A:$A,My_Audit!J:J,""),
_xlfn.IFS(_xlpm.MyAuditVal&lt;&gt;"",UPPER(_xlpm.MyAuditVal),_xlpm.MacVal&lt;&gt;"",_xlpm.MacVal,_xlpm.CSVVal&lt;&gt;"",_xlpm.CSVVal
)),"")</f>
        <v/>
      </c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38"/>
    </row>
    <row r="1099" spans="1:23">
      <c r="A1099" s="45" t="str">
        <f>_xlfn.TEXTJOIN("",TRUE,Input!$B$2,ROW(My_Audit!A1098))</f>
        <v>CC1098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6" t="str" cm="1">
        <f t="array" ref="K1099">IFERROR(_xlfn.LET(
_xlpm.CSVVal,_xlfn.XLOOKUP($A1099,CSV!$A:$A,CSV!N:N,""),
_xlpm.MacVal,_xlfn.XLOOKUP($A1099,Output_Mac!$A:$A,Output_Mac!L:L,""),
_xlpm.MyAuditVal,_xlfn.XLOOKUP($A1099,My_Audit!$A:$A,My_Audit!J:J,""),
_xlfn.IFS(_xlpm.MyAuditVal&lt;&gt;"",UPPER(_xlpm.MyAuditVal),_xlpm.MacVal&lt;&gt;"",_xlpm.MacVal,_xlpm.CSVVal&lt;&gt;"",_xlpm.CSVVal
)),"")</f>
        <v/>
      </c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38"/>
    </row>
    <row r="1100" spans="1:23">
      <c r="A1100" s="45" t="str">
        <f>_xlfn.TEXTJOIN("",TRUE,Input!$B$2,ROW(My_Audit!A1099))</f>
        <v>CC1099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6" t="str" cm="1">
        <f t="array" ref="K1100">IFERROR(_xlfn.LET(
_xlpm.CSVVal,_xlfn.XLOOKUP($A1100,CSV!$A:$A,CSV!N:N,""),
_xlpm.MacVal,_xlfn.XLOOKUP($A1100,Output_Mac!$A:$A,Output_Mac!L:L,""),
_xlpm.MyAuditVal,_xlfn.XLOOKUP($A1100,My_Audit!$A:$A,My_Audit!J:J,""),
_xlfn.IFS(_xlpm.MyAuditVal&lt;&gt;"",UPPER(_xlpm.MyAuditVal),_xlpm.MacVal&lt;&gt;"",_xlpm.MacVal,_xlpm.CSVVal&lt;&gt;"",_xlpm.CSVVal
)),"")</f>
        <v/>
      </c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38"/>
    </row>
    <row r="1101" spans="1:23">
      <c r="A1101" s="45" t="str">
        <f>_xlfn.TEXTJOIN("",TRUE,Input!$B$2,ROW(My_Audit!A1100))</f>
        <v>CC1100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6" t="str" cm="1">
        <f t="array" ref="K1101">IFERROR(_xlfn.LET(
_xlpm.CSVVal,_xlfn.XLOOKUP($A1101,CSV!$A:$A,CSV!N:N,""),
_xlpm.MacVal,_xlfn.XLOOKUP($A1101,Output_Mac!$A:$A,Output_Mac!L:L,""),
_xlpm.MyAuditVal,_xlfn.XLOOKUP($A1101,My_Audit!$A:$A,My_Audit!J:J,""),
_xlfn.IFS(_xlpm.MyAuditVal&lt;&gt;"",UPPER(_xlpm.MyAuditVal),_xlpm.MacVal&lt;&gt;"",_xlpm.MacVal,_xlpm.CSVVal&lt;&gt;"",_xlpm.CSVVal
)),"")</f>
        <v/>
      </c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38"/>
    </row>
    <row r="1102" spans="1:23">
      <c r="A1102" s="45" t="str">
        <f>_xlfn.TEXTJOIN("",TRUE,Input!$B$2,ROW(My_Audit!A1101))</f>
        <v>CC1101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6" t="str" cm="1">
        <f t="array" ref="K1102">IFERROR(_xlfn.LET(
_xlpm.CSVVal,_xlfn.XLOOKUP($A1102,CSV!$A:$A,CSV!N:N,""),
_xlpm.MacVal,_xlfn.XLOOKUP($A1102,Output_Mac!$A:$A,Output_Mac!L:L,""),
_xlpm.MyAuditVal,_xlfn.XLOOKUP($A1102,My_Audit!$A:$A,My_Audit!J:J,""),
_xlfn.IFS(_xlpm.MyAuditVal&lt;&gt;"",UPPER(_xlpm.MyAuditVal),_xlpm.MacVal&lt;&gt;"",_xlpm.MacVal,_xlpm.CSVVal&lt;&gt;"",_xlpm.CSVVal
)),"")</f>
        <v/>
      </c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38"/>
    </row>
    <row r="1103" spans="1:23">
      <c r="A1103" s="45" t="str">
        <f>_xlfn.TEXTJOIN("",TRUE,Input!$B$2,ROW(My_Audit!A1102))</f>
        <v>CC1102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6" t="str" cm="1">
        <f t="array" ref="K1103">IFERROR(_xlfn.LET(
_xlpm.CSVVal,_xlfn.XLOOKUP($A1103,CSV!$A:$A,CSV!N:N,""),
_xlpm.MacVal,_xlfn.XLOOKUP($A1103,Output_Mac!$A:$A,Output_Mac!L:L,""),
_xlpm.MyAuditVal,_xlfn.XLOOKUP($A1103,My_Audit!$A:$A,My_Audit!J:J,""),
_xlfn.IFS(_xlpm.MyAuditVal&lt;&gt;"",UPPER(_xlpm.MyAuditVal),_xlpm.MacVal&lt;&gt;"",_xlpm.MacVal,_xlpm.CSVVal&lt;&gt;"",_xlpm.CSVVal
)),"")</f>
        <v/>
      </c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38"/>
    </row>
    <row r="1104" spans="1:23">
      <c r="A1104" s="45" t="str">
        <f>_xlfn.TEXTJOIN("",TRUE,Input!$B$2,ROW(My_Audit!A1103))</f>
        <v>CC1103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6" t="str" cm="1">
        <f t="array" ref="K1104">IFERROR(_xlfn.LET(
_xlpm.CSVVal,_xlfn.XLOOKUP($A1104,CSV!$A:$A,CSV!N:N,""),
_xlpm.MacVal,_xlfn.XLOOKUP($A1104,Output_Mac!$A:$A,Output_Mac!L:L,""),
_xlpm.MyAuditVal,_xlfn.XLOOKUP($A1104,My_Audit!$A:$A,My_Audit!J:J,""),
_xlfn.IFS(_xlpm.MyAuditVal&lt;&gt;"",UPPER(_xlpm.MyAuditVal),_xlpm.MacVal&lt;&gt;"",_xlpm.MacVal,_xlpm.CSVVal&lt;&gt;"",_xlpm.CSVVal
)),"")</f>
        <v/>
      </c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38"/>
    </row>
    <row r="1105" spans="1:23">
      <c r="A1105" s="45" t="str">
        <f>_xlfn.TEXTJOIN("",TRUE,Input!$B$2,ROW(My_Audit!A1104))</f>
        <v>CC1104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6" t="str" cm="1">
        <f t="array" ref="K1105">IFERROR(_xlfn.LET(
_xlpm.CSVVal,_xlfn.XLOOKUP($A1105,CSV!$A:$A,CSV!N:N,""),
_xlpm.MacVal,_xlfn.XLOOKUP($A1105,Output_Mac!$A:$A,Output_Mac!L:L,""),
_xlpm.MyAuditVal,_xlfn.XLOOKUP($A1105,My_Audit!$A:$A,My_Audit!J:J,""),
_xlfn.IFS(_xlpm.MyAuditVal&lt;&gt;"",UPPER(_xlpm.MyAuditVal),_xlpm.MacVal&lt;&gt;"",_xlpm.MacVal,_xlpm.CSVVal&lt;&gt;"",_xlpm.CSVVal
)),"")</f>
        <v/>
      </c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38"/>
    </row>
    <row r="1106" spans="1:23">
      <c r="A1106" s="45" t="str">
        <f>_xlfn.TEXTJOIN("",TRUE,Input!$B$2,ROW(My_Audit!A1105))</f>
        <v>CC1105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6" t="str" cm="1">
        <f t="array" ref="K1106">IFERROR(_xlfn.LET(
_xlpm.CSVVal,_xlfn.XLOOKUP($A1106,CSV!$A:$A,CSV!N:N,""),
_xlpm.MacVal,_xlfn.XLOOKUP($A1106,Output_Mac!$A:$A,Output_Mac!L:L,""),
_xlpm.MyAuditVal,_xlfn.XLOOKUP($A1106,My_Audit!$A:$A,My_Audit!J:J,""),
_xlfn.IFS(_xlpm.MyAuditVal&lt;&gt;"",UPPER(_xlpm.MyAuditVal),_xlpm.MacVal&lt;&gt;"",_xlpm.MacVal,_xlpm.CSVVal&lt;&gt;"",_xlpm.CSVVal
)),"")</f>
        <v/>
      </c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38"/>
    </row>
    <row r="1107" spans="1:23">
      <c r="A1107" s="45" t="str">
        <f>_xlfn.TEXTJOIN("",TRUE,Input!$B$2,ROW(My_Audit!A1106))</f>
        <v>CC1106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6" t="str" cm="1">
        <f t="array" ref="K1107">IFERROR(_xlfn.LET(
_xlpm.CSVVal,_xlfn.XLOOKUP($A1107,CSV!$A:$A,CSV!N:N,""),
_xlpm.MacVal,_xlfn.XLOOKUP($A1107,Output_Mac!$A:$A,Output_Mac!L:L,""),
_xlpm.MyAuditVal,_xlfn.XLOOKUP($A1107,My_Audit!$A:$A,My_Audit!J:J,""),
_xlfn.IFS(_xlpm.MyAuditVal&lt;&gt;"",UPPER(_xlpm.MyAuditVal),_xlpm.MacVal&lt;&gt;"",_xlpm.MacVal,_xlpm.CSVVal&lt;&gt;"",_xlpm.CSVVal
)),"")</f>
        <v/>
      </c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38"/>
    </row>
    <row r="1108" spans="1:23">
      <c r="A1108" s="45" t="str">
        <f>_xlfn.TEXTJOIN("",TRUE,Input!$B$2,ROW(My_Audit!A1107))</f>
        <v>CC1107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6" t="str" cm="1">
        <f t="array" ref="K1108">IFERROR(_xlfn.LET(
_xlpm.CSVVal,_xlfn.XLOOKUP($A1108,CSV!$A:$A,CSV!N:N,""),
_xlpm.MacVal,_xlfn.XLOOKUP($A1108,Output_Mac!$A:$A,Output_Mac!L:L,""),
_xlpm.MyAuditVal,_xlfn.XLOOKUP($A1108,My_Audit!$A:$A,My_Audit!J:J,""),
_xlfn.IFS(_xlpm.MyAuditVal&lt;&gt;"",UPPER(_xlpm.MyAuditVal),_xlpm.MacVal&lt;&gt;"",_xlpm.MacVal,_xlpm.CSVVal&lt;&gt;"",_xlpm.CSVVal
)),"")</f>
        <v/>
      </c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38"/>
    </row>
    <row r="1109" spans="1:23">
      <c r="A1109" s="45" t="str">
        <f>_xlfn.TEXTJOIN("",TRUE,Input!$B$2,ROW(My_Audit!A1108))</f>
        <v>CC1108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6" t="str" cm="1">
        <f t="array" ref="K1109">IFERROR(_xlfn.LET(
_xlpm.CSVVal,_xlfn.XLOOKUP($A1109,CSV!$A:$A,CSV!N:N,""),
_xlpm.MacVal,_xlfn.XLOOKUP($A1109,Output_Mac!$A:$A,Output_Mac!L:L,""),
_xlpm.MyAuditVal,_xlfn.XLOOKUP($A1109,My_Audit!$A:$A,My_Audit!J:J,""),
_xlfn.IFS(_xlpm.MyAuditVal&lt;&gt;"",UPPER(_xlpm.MyAuditVal),_xlpm.MacVal&lt;&gt;"",_xlpm.MacVal,_xlpm.CSVVal&lt;&gt;"",_xlpm.CSVVal
)),"")</f>
        <v/>
      </c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38"/>
    </row>
    <row r="1110" spans="1:23">
      <c r="A1110" s="45" t="str">
        <f>_xlfn.TEXTJOIN("",TRUE,Input!$B$2,ROW(My_Audit!A1109))</f>
        <v>CC1109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6" t="str" cm="1">
        <f t="array" ref="K1110">IFERROR(_xlfn.LET(
_xlpm.CSVVal,_xlfn.XLOOKUP($A1110,CSV!$A:$A,CSV!N:N,""),
_xlpm.MacVal,_xlfn.XLOOKUP($A1110,Output_Mac!$A:$A,Output_Mac!L:L,""),
_xlpm.MyAuditVal,_xlfn.XLOOKUP($A1110,My_Audit!$A:$A,My_Audit!J:J,""),
_xlfn.IFS(_xlpm.MyAuditVal&lt;&gt;"",UPPER(_xlpm.MyAuditVal),_xlpm.MacVal&lt;&gt;"",_xlpm.MacVal,_xlpm.CSVVal&lt;&gt;"",_xlpm.CSVVal
)),"")</f>
        <v/>
      </c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38"/>
    </row>
    <row r="1111" spans="1:23">
      <c r="A1111" s="45" t="str">
        <f>_xlfn.TEXTJOIN("",TRUE,Input!$B$2,ROW(My_Audit!A1110))</f>
        <v>CC1110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6" t="str" cm="1">
        <f t="array" ref="K1111">IFERROR(_xlfn.LET(
_xlpm.CSVVal,_xlfn.XLOOKUP($A1111,CSV!$A:$A,CSV!N:N,""),
_xlpm.MacVal,_xlfn.XLOOKUP($A1111,Output_Mac!$A:$A,Output_Mac!L:L,""),
_xlpm.MyAuditVal,_xlfn.XLOOKUP($A1111,My_Audit!$A:$A,My_Audit!J:J,""),
_xlfn.IFS(_xlpm.MyAuditVal&lt;&gt;"",UPPER(_xlpm.MyAuditVal),_xlpm.MacVal&lt;&gt;"",_xlpm.MacVal,_xlpm.CSVVal&lt;&gt;"",_xlpm.CSVVal
)),"")</f>
        <v/>
      </c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38"/>
    </row>
    <row r="1112" spans="1:23">
      <c r="A1112" s="45" t="str">
        <f>_xlfn.TEXTJOIN("",TRUE,Input!$B$2,ROW(My_Audit!A1111))</f>
        <v>CC1111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6" t="str" cm="1">
        <f t="array" ref="K1112">IFERROR(_xlfn.LET(
_xlpm.CSVVal,_xlfn.XLOOKUP($A1112,CSV!$A:$A,CSV!N:N,""),
_xlpm.MacVal,_xlfn.XLOOKUP($A1112,Output_Mac!$A:$A,Output_Mac!L:L,""),
_xlpm.MyAuditVal,_xlfn.XLOOKUP($A1112,My_Audit!$A:$A,My_Audit!J:J,""),
_xlfn.IFS(_xlpm.MyAuditVal&lt;&gt;"",UPPER(_xlpm.MyAuditVal),_xlpm.MacVal&lt;&gt;"",_xlpm.MacVal,_xlpm.CSVVal&lt;&gt;"",_xlpm.CSVVal
)),"")</f>
        <v/>
      </c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38"/>
    </row>
    <row r="1113" spans="1:23">
      <c r="A1113" s="45" t="str">
        <f>_xlfn.TEXTJOIN("",TRUE,Input!$B$2,ROW(My_Audit!A1112))</f>
        <v>CC1112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6" t="str" cm="1">
        <f t="array" ref="K1113">IFERROR(_xlfn.LET(
_xlpm.CSVVal,_xlfn.XLOOKUP($A1113,CSV!$A:$A,CSV!N:N,""),
_xlpm.MacVal,_xlfn.XLOOKUP($A1113,Output_Mac!$A:$A,Output_Mac!L:L,""),
_xlpm.MyAuditVal,_xlfn.XLOOKUP($A1113,My_Audit!$A:$A,My_Audit!J:J,""),
_xlfn.IFS(_xlpm.MyAuditVal&lt;&gt;"",UPPER(_xlpm.MyAuditVal),_xlpm.MacVal&lt;&gt;"",_xlpm.MacVal,_xlpm.CSVVal&lt;&gt;"",_xlpm.CSVVal
)),"")</f>
        <v/>
      </c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38"/>
    </row>
    <row r="1114" spans="1:23">
      <c r="A1114" s="45" t="str">
        <f>_xlfn.TEXTJOIN("",TRUE,Input!$B$2,ROW(My_Audit!A1113))</f>
        <v>CC1113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6" t="str" cm="1">
        <f t="array" ref="K1114">IFERROR(_xlfn.LET(
_xlpm.CSVVal,_xlfn.XLOOKUP($A1114,CSV!$A:$A,CSV!N:N,""),
_xlpm.MacVal,_xlfn.XLOOKUP($A1114,Output_Mac!$A:$A,Output_Mac!L:L,""),
_xlpm.MyAuditVal,_xlfn.XLOOKUP($A1114,My_Audit!$A:$A,My_Audit!J:J,""),
_xlfn.IFS(_xlpm.MyAuditVal&lt;&gt;"",UPPER(_xlpm.MyAuditVal),_xlpm.MacVal&lt;&gt;"",_xlpm.MacVal,_xlpm.CSVVal&lt;&gt;"",_xlpm.CSVVal
)),"")</f>
        <v/>
      </c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38"/>
    </row>
    <row r="1115" spans="1:23">
      <c r="A1115" s="45" t="str">
        <f>_xlfn.TEXTJOIN("",TRUE,Input!$B$2,ROW(My_Audit!A1114))</f>
        <v>CC1114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6" t="str" cm="1">
        <f t="array" ref="K1115">IFERROR(_xlfn.LET(
_xlpm.CSVVal,_xlfn.XLOOKUP($A1115,CSV!$A:$A,CSV!N:N,""),
_xlpm.MacVal,_xlfn.XLOOKUP($A1115,Output_Mac!$A:$A,Output_Mac!L:L,""),
_xlpm.MyAuditVal,_xlfn.XLOOKUP($A1115,My_Audit!$A:$A,My_Audit!J:J,""),
_xlfn.IFS(_xlpm.MyAuditVal&lt;&gt;"",UPPER(_xlpm.MyAuditVal),_xlpm.MacVal&lt;&gt;"",_xlpm.MacVal,_xlpm.CSVVal&lt;&gt;"",_xlpm.CSVVal
)),"")</f>
        <v/>
      </c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38"/>
    </row>
    <row r="1116" spans="1:23">
      <c r="A1116" s="45" t="str">
        <f>_xlfn.TEXTJOIN("",TRUE,Input!$B$2,ROW(My_Audit!A1115))</f>
        <v>CC1115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6" t="str" cm="1">
        <f t="array" ref="K1116">IFERROR(_xlfn.LET(
_xlpm.CSVVal,_xlfn.XLOOKUP($A1116,CSV!$A:$A,CSV!N:N,""),
_xlpm.MacVal,_xlfn.XLOOKUP($A1116,Output_Mac!$A:$A,Output_Mac!L:L,""),
_xlpm.MyAuditVal,_xlfn.XLOOKUP($A1116,My_Audit!$A:$A,My_Audit!J:J,""),
_xlfn.IFS(_xlpm.MyAuditVal&lt;&gt;"",UPPER(_xlpm.MyAuditVal),_xlpm.MacVal&lt;&gt;"",_xlpm.MacVal,_xlpm.CSVVal&lt;&gt;"",_xlpm.CSVVal
)),"")</f>
        <v/>
      </c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38"/>
    </row>
    <row r="1117" spans="1:23">
      <c r="A1117" s="45" t="str">
        <f>_xlfn.TEXTJOIN("",TRUE,Input!$B$2,ROW(My_Audit!A1116))</f>
        <v>CC1116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6" t="str" cm="1">
        <f t="array" ref="K1117">IFERROR(_xlfn.LET(
_xlpm.CSVVal,_xlfn.XLOOKUP($A1117,CSV!$A:$A,CSV!N:N,""),
_xlpm.MacVal,_xlfn.XLOOKUP($A1117,Output_Mac!$A:$A,Output_Mac!L:L,""),
_xlpm.MyAuditVal,_xlfn.XLOOKUP($A1117,My_Audit!$A:$A,My_Audit!J:J,""),
_xlfn.IFS(_xlpm.MyAuditVal&lt;&gt;"",UPPER(_xlpm.MyAuditVal),_xlpm.MacVal&lt;&gt;"",_xlpm.MacVal,_xlpm.CSVVal&lt;&gt;"",_xlpm.CSVVal
)),"")</f>
        <v/>
      </c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38"/>
    </row>
    <row r="1118" spans="1:23">
      <c r="A1118" s="45" t="str">
        <f>_xlfn.TEXTJOIN("",TRUE,Input!$B$2,ROW(My_Audit!A1117))</f>
        <v>CC1117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6" t="str" cm="1">
        <f t="array" ref="K1118">IFERROR(_xlfn.LET(
_xlpm.CSVVal,_xlfn.XLOOKUP($A1118,CSV!$A:$A,CSV!N:N,""),
_xlpm.MacVal,_xlfn.XLOOKUP($A1118,Output_Mac!$A:$A,Output_Mac!L:L,""),
_xlpm.MyAuditVal,_xlfn.XLOOKUP($A1118,My_Audit!$A:$A,My_Audit!J:J,""),
_xlfn.IFS(_xlpm.MyAuditVal&lt;&gt;"",UPPER(_xlpm.MyAuditVal),_xlpm.MacVal&lt;&gt;"",_xlpm.MacVal,_xlpm.CSVVal&lt;&gt;"",_xlpm.CSVVal
)),"")</f>
        <v/>
      </c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38"/>
    </row>
    <row r="1119" spans="1:23">
      <c r="A1119" s="45" t="str">
        <f>_xlfn.TEXTJOIN("",TRUE,Input!$B$2,ROW(My_Audit!A1118))</f>
        <v>CC1118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6" t="str" cm="1">
        <f t="array" ref="K1119">IFERROR(_xlfn.LET(
_xlpm.CSVVal,_xlfn.XLOOKUP($A1119,CSV!$A:$A,CSV!N:N,""),
_xlpm.MacVal,_xlfn.XLOOKUP($A1119,Output_Mac!$A:$A,Output_Mac!L:L,""),
_xlpm.MyAuditVal,_xlfn.XLOOKUP($A1119,My_Audit!$A:$A,My_Audit!J:J,""),
_xlfn.IFS(_xlpm.MyAuditVal&lt;&gt;"",UPPER(_xlpm.MyAuditVal),_xlpm.MacVal&lt;&gt;"",_xlpm.MacVal,_xlpm.CSVVal&lt;&gt;"",_xlpm.CSVVal
)),"")</f>
        <v/>
      </c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38"/>
    </row>
    <row r="1120" spans="1:23">
      <c r="A1120" s="45" t="str">
        <f>_xlfn.TEXTJOIN("",TRUE,Input!$B$2,ROW(My_Audit!A1119))</f>
        <v>CC1119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6" t="str" cm="1">
        <f t="array" ref="K1120">IFERROR(_xlfn.LET(
_xlpm.CSVVal,_xlfn.XLOOKUP($A1120,CSV!$A:$A,CSV!N:N,""),
_xlpm.MacVal,_xlfn.XLOOKUP($A1120,Output_Mac!$A:$A,Output_Mac!L:L,""),
_xlpm.MyAuditVal,_xlfn.XLOOKUP($A1120,My_Audit!$A:$A,My_Audit!J:J,""),
_xlfn.IFS(_xlpm.MyAuditVal&lt;&gt;"",UPPER(_xlpm.MyAuditVal),_xlpm.MacVal&lt;&gt;"",_xlpm.MacVal,_xlpm.CSVVal&lt;&gt;"",_xlpm.CSVVal
)),"")</f>
        <v/>
      </c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38"/>
    </row>
    <row r="1121" spans="1:23">
      <c r="A1121" s="45" t="str">
        <f>_xlfn.TEXTJOIN("",TRUE,Input!$B$2,ROW(My_Audit!A1120))</f>
        <v>CC1120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6" t="str" cm="1">
        <f t="array" ref="K1121">IFERROR(_xlfn.LET(
_xlpm.CSVVal,_xlfn.XLOOKUP($A1121,CSV!$A:$A,CSV!N:N,""),
_xlpm.MacVal,_xlfn.XLOOKUP($A1121,Output_Mac!$A:$A,Output_Mac!L:L,""),
_xlpm.MyAuditVal,_xlfn.XLOOKUP($A1121,My_Audit!$A:$A,My_Audit!J:J,""),
_xlfn.IFS(_xlpm.MyAuditVal&lt;&gt;"",UPPER(_xlpm.MyAuditVal),_xlpm.MacVal&lt;&gt;"",_xlpm.MacVal,_xlpm.CSVVal&lt;&gt;"",_xlpm.CSVVal
)),"")</f>
        <v/>
      </c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38"/>
    </row>
    <row r="1122" spans="1:23">
      <c r="A1122" s="45" t="str">
        <f>_xlfn.TEXTJOIN("",TRUE,Input!$B$2,ROW(My_Audit!A1121))</f>
        <v>CC1121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6" t="str" cm="1">
        <f t="array" ref="K1122">IFERROR(_xlfn.LET(
_xlpm.CSVVal,_xlfn.XLOOKUP($A1122,CSV!$A:$A,CSV!N:N,""),
_xlpm.MacVal,_xlfn.XLOOKUP($A1122,Output_Mac!$A:$A,Output_Mac!L:L,""),
_xlpm.MyAuditVal,_xlfn.XLOOKUP($A1122,My_Audit!$A:$A,My_Audit!J:J,""),
_xlfn.IFS(_xlpm.MyAuditVal&lt;&gt;"",UPPER(_xlpm.MyAuditVal),_xlpm.MacVal&lt;&gt;"",_xlpm.MacVal,_xlpm.CSVVal&lt;&gt;"",_xlpm.CSVVal
)),"")</f>
        <v/>
      </c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38"/>
    </row>
    <row r="1123" spans="1:23">
      <c r="A1123" s="45" t="str">
        <f>_xlfn.TEXTJOIN("",TRUE,Input!$B$2,ROW(My_Audit!A1122))</f>
        <v>CC1122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6" t="str" cm="1">
        <f t="array" ref="K1123">IFERROR(_xlfn.LET(
_xlpm.CSVVal,_xlfn.XLOOKUP($A1123,CSV!$A:$A,CSV!N:N,""),
_xlpm.MacVal,_xlfn.XLOOKUP($A1123,Output_Mac!$A:$A,Output_Mac!L:L,""),
_xlpm.MyAuditVal,_xlfn.XLOOKUP($A1123,My_Audit!$A:$A,My_Audit!J:J,""),
_xlfn.IFS(_xlpm.MyAuditVal&lt;&gt;"",UPPER(_xlpm.MyAuditVal),_xlpm.MacVal&lt;&gt;"",_xlpm.MacVal,_xlpm.CSVVal&lt;&gt;"",_xlpm.CSVVal
)),"")</f>
        <v/>
      </c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38"/>
    </row>
    <row r="1124" spans="1:23">
      <c r="A1124" s="45" t="str">
        <f>_xlfn.TEXTJOIN("",TRUE,Input!$B$2,ROW(My_Audit!A1123))</f>
        <v>CC1123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6" t="str" cm="1">
        <f t="array" ref="K1124">IFERROR(_xlfn.LET(
_xlpm.CSVVal,_xlfn.XLOOKUP($A1124,CSV!$A:$A,CSV!N:N,""),
_xlpm.MacVal,_xlfn.XLOOKUP($A1124,Output_Mac!$A:$A,Output_Mac!L:L,""),
_xlpm.MyAuditVal,_xlfn.XLOOKUP($A1124,My_Audit!$A:$A,My_Audit!J:J,""),
_xlfn.IFS(_xlpm.MyAuditVal&lt;&gt;"",UPPER(_xlpm.MyAuditVal),_xlpm.MacVal&lt;&gt;"",_xlpm.MacVal,_xlpm.CSVVal&lt;&gt;"",_xlpm.CSVVal
)),"")</f>
        <v/>
      </c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38"/>
    </row>
    <row r="1125" spans="1:23">
      <c r="A1125" s="45" t="str">
        <f>_xlfn.TEXTJOIN("",TRUE,Input!$B$2,ROW(My_Audit!A1124))</f>
        <v>CC1124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6" t="str" cm="1">
        <f t="array" ref="K1125">IFERROR(_xlfn.LET(
_xlpm.CSVVal,_xlfn.XLOOKUP($A1125,CSV!$A:$A,CSV!N:N,""),
_xlpm.MacVal,_xlfn.XLOOKUP($A1125,Output_Mac!$A:$A,Output_Mac!L:L,""),
_xlpm.MyAuditVal,_xlfn.XLOOKUP($A1125,My_Audit!$A:$A,My_Audit!J:J,""),
_xlfn.IFS(_xlpm.MyAuditVal&lt;&gt;"",UPPER(_xlpm.MyAuditVal),_xlpm.MacVal&lt;&gt;"",_xlpm.MacVal,_xlpm.CSVVal&lt;&gt;"",_xlpm.CSVVal
)),"")</f>
        <v/>
      </c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38"/>
    </row>
    <row r="1126" spans="1:23">
      <c r="A1126" s="45" t="str">
        <f>_xlfn.TEXTJOIN("",TRUE,Input!$B$2,ROW(My_Audit!A1125))</f>
        <v>CC1125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6" t="str" cm="1">
        <f t="array" ref="K1126">IFERROR(_xlfn.LET(
_xlpm.CSVVal,_xlfn.XLOOKUP($A1126,CSV!$A:$A,CSV!N:N,""),
_xlpm.MacVal,_xlfn.XLOOKUP($A1126,Output_Mac!$A:$A,Output_Mac!L:L,""),
_xlpm.MyAuditVal,_xlfn.XLOOKUP($A1126,My_Audit!$A:$A,My_Audit!J:J,""),
_xlfn.IFS(_xlpm.MyAuditVal&lt;&gt;"",UPPER(_xlpm.MyAuditVal),_xlpm.MacVal&lt;&gt;"",_xlpm.MacVal,_xlpm.CSVVal&lt;&gt;"",_xlpm.CSVVal
)),"")</f>
        <v/>
      </c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38"/>
    </row>
    <row r="1127" spans="1:23">
      <c r="A1127" s="45" t="str">
        <f>_xlfn.TEXTJOIN("",TRUE,Input!$B$2,ROW(My_Audit!A1126))</f>
        <v>CC1126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6" t="str" cm="1">
        <f t="array" ref="K1127">IFERROR(_xlfn.LET(
_xlpm.CSVVal,_xlfn.XLOOKUP($A1127,CSV!$A:$A,CSV!N:N,""),
_xlpm.MacVal,_xlfn.XLOOKUP($A1127,Output_Mac!$A:$A,Output_Mac!L:L,""),
_xlpm.MyAuditVal,_xlfn.XLOOKUP($A1127,My_Audit!$A:$A,My_Audit!J:J,""),
_xlfn.IFS(_xlpm.MyAuditVal&lt;&gt;"",UPPER(_xlpm.MyAuditVal),_xlpm.MacVal&lt;&gt;"",_xlpm.MacVal,_xlpm.CSVVal&lt;&gt;"",_xlpm.CSVVal
)),"")</f>
        <v/>
      </c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38"/>
    </row>
    <row r="1128" spans="1:23">
      <c r="A1128" s="45" t="str">
        <f>_xlfn.TEXTJOIN("",TRUE,Input!$B$2,ROW(My_Audit!A1127))</f>
        <v>CC1127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6" t="str" cm="1">
        <f t="array" ref="K1128">IFERROR(_xlfn.LET(
_xlpm.CSVVal,_xlfn.XLOOKUP($A1128,CSV!$A:$A,CSV!N:N,""),
_xlpm.MacVal,_xlfn.XLOOKUP($A1128,Output_Mac!$A:$A,Output_Mac!L:L,""),
_xlpm.MyAuditVal,_xlfn.XLOOKUP($A1128,My_Audit!$A:$A,My_Audit!J:J,""),
_xlfn.IFS(_xlpm.MyAuditVal&lt;&gt;"",UPPER(_xlpm.MyAuditVal),_xlpm.MacVal&lt;&gt;"",_xlpm.MacVal,_xlpm.CSVVal&lt;&gt;"",_xlpm.CSVVal
)),"")</f>
        <v/>
      </c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38"/>
    </row>
    <row r="1129" spans="1:23">
      <c r="A1129" s="45" t="str">
        <f>_xlfn.TEXTJOIN("",TRUE,Input!$B$2,ROW(My_Audit!A1128))</f>
        <v>CC1128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6" t="str" cm="1">
        <f t="array" ref="K1129">IFERROR(_xlfn.LET(
_xlpm.CSVVal,_xlfn.XLOOKUP($A1129,CSV!$A:$A,CSV!N:N,""),
_xlpm.MacVal,_xlfn.XLOOKUP($A1129,Output_Mac!$A:$A,Output_Mac!L:L,""),
_xlpm.MyAuditVal,_xlfn.XLOOKUP($A1129,My_Audit!$A:$A,My_Audit!J:J,""),
_xlfn.IFS(_xlpm.MyAuditVal&lt;&gt;"",UPPER(_xlpm.MyAuditVal),_xlpm.MacVal&lt;&gt;"",_xlpm.MacVal,_xlpm.CSVVal&lt;&gt;"",_xlpm.CSVVal
)),"")</f>
        <v/>
      </c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38"/>
    </row>
    <row r="1130" spans="1:23">
      <c r="A1130" s="45" t="str">
        <f>_xlfn.TEXTJOIN("",TRUE,Input!$B$2,ROW(My_Audit!A1129))</f>
        <v>CC1129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6" t="str" cm="1">
        <f t="array" ref="K1130">IFERROR(_xlfn.LET(
_xlpm.CSVVal,_xlfn.XLOOKUP($A1130,CSV!$A:$A,CSV!N:N,""),
_xlpm.MacVal,_xlfn.XLOOKUP($A1130,Output_Mac!$A:$A,Output_Mac!L:L,""),
_xlpm.MyAuditVal,_xlfn.XLOOKUP($A1130,My_Audit!$A:$A,My_Audit!J:J,""),
_xlfn.IFS(_xlpm.MyAuditVal&lt;&gt;"",UPPER(_xlpm.MyAuditVal),_xlpm.MacVal&lt;&gt;"",_xlpm.MacVal,_xlpm.CSVVal&lt;&gt;"",_xlpm.CSVVal
)),"")</f>
        <v/>
      </c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38"/>
    </row>
    <row r="1131" spans="1:23">
      <c r="A1131" s="45" t="str">
        <f>_xlfn.TEXTJOIN("",TRUE,Input!$B$2,ROW(My_Audit!A1130))</f>
        <v>CC1130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6" t="str" cm="1">
        <f t="array" ref="K1131">IFERROR(_xlfn.LET(
_xlpm.CSVVal,_xlfn.XLOOKUP($A1131,CSV!$A:$A,CSV!N:N,""),
_xlpm.MacVal,_xlfn.XLOOKUP($A1131,Output_Mac!$A:$A,Output_Mac!L:L,""),
_xlpm.MyAuditVal,_xlfn.XLOOKUP($A1131,My_Audit!$A:$A,My_Audit!J:J,""),
_xlfn.IFS(_xlpm.MyAuditVal&lt;&gt;"",UPPER(_xlpm.MyAuditVal),_xlpm.MacVal&lt;&gt;"",_xlpm.MacVal,_xlpm.CSVVal&lt;&gt;"",_xlpm.CSVVal
)),"")</f>
        <v/>
      </c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38"/>
    </row>
    <row r="1132" spans="1:23">
      <c r="A1132" s="45" t="str">
        <f>_xlfn.TEXTJOIN("",TRUE,Input!$B$2,ROW(My_Audit!A1131))</f>
        <v>CC1131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6" t="str" cm="1">
        <f t="array" ref="K1132">IFERROR(_xlfn.LET(
_xlpm.CSVVal,_xlfn.XLOOKUP($A1132,CSV!$A:$A,CSV!N:N,""),
_xlpm.MacVal,_xlfn.XLOOKUP($A1132,Output_Mac!$A:$A,Output_Mac!L:L,""),
_xlpm.MyAuditVal,_xlfn.XLOOKUP($A1132,My_Audit!$A:$A,My_Audit!J:J,""),
_xlfn.IFS(_xlpm.MyAuditVal&lt;&gt;"",UPPER(_xlpm.MyAuditVal),_xlpm.MacVal&lt;&gt;"",_xlpm.MacVal,_xlpm.CSVVal&lt;&gt;"",_xlpm.CSVVal
)),"")</f>
        <v/>
      </c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38"/>
    </row>
    <row r="1133" spans="1:23">
      <c r="A1133" s="45" t="str">
        <f>_xlfn.TEXTJOIN("",TRUE,Input!$B$2,ROW(My_Audit!A1132))</f>
        <v>CC1132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6" t="str" cm="1">
        <f t="array" ref="K1133">IFERROR(_xlfn.LET(
_xlpm.CSVVal,_xlfn.XLOOKUP($A1133,CSV!$A:$A,CSV!N:N,""),
_xlpm.MacVal,_xlfn.XLOOKUP($A1133,Output_Mac!$A:$A,Output_Mac!L:L,""),
_xlpm.MyAuditVal,_xlfn.XLOOKUP($A1133,My_Audit!$A:$A,My_Audit!J:J,""),
_xlfn.IFS(_xlpm.MyAuditVal&lt;&gt;"",UPPER(_xlpm.MyAuditVal),_xlpm.MacVal&lt;&gt;"",_xlpm.MacVal,_xlpm.CSVVal&lt;&gt;"",_xlpm.CSVVal
)),"")</f>
        <v/>
      </c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38"/>
    </row>
    <row r="1134" spans="1:23">
      <c r="A1134" s="45" t="str">
        <f>_xlfn.TEXTJOIN("",TRUE,Input!$B$2,ROW(My_Audit!A1133))</f>
        <v>CC1133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6" t="str" cm="1">
        <f t="array" ref="K1134">IFERROR(_xlfn.LET(
_xlpm.CSVVal,_xlfn.XLOOKUP($A1134,CSV!$A:$A,CSV!N:N,""),
_xlpm.MacVal,_xlfn.XLOOKUP($A1134,Output_Mac!$A:$A,Output_Mac!L:L,""),
_xlpm.MyAuditVal,_xlfn.XLOOKUP($A1134,My_Audit!$A:$A,My_Audit!J:J,""),
_xlfn.IFS(_xlpm.MyAuditVal&lt;&gt;"",UPPER(_xlpm.MyAuditVal),_xlpm.MacVal&lt;&gt;"",_xlpm.MacVal,_xlpm.CSVVal&lt;&gt;"",_xlpm.CSVVal
)),"")</f>
        <v/>
      </c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38"/>
    </row>
    <row r="1135" spans="1:23">
      <c r="A1135" s="45" t="str">
        <f>_xlfn.TEXTJOIN("",TRUE,Input!$B$2,ROW(My_Audit!A1134))</f>
        <v>CC1134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6" t="str" cm="1">
        <f t="array" ref="K1135">IFERROR(_xlfn.LET(
_xlpm.CSVVal,_xlfn.XLOOKUP($A1135,CSV!$A:$A,CSV!N:N,""),
_xlpm.MacVal,_xlfn.XLOOKUP($A1135,Output_Mac!$A:$A,Output_Mac!L:L,""),
_xlpm.MyAuditVal,_xlfn.XLOOKUP($A1135,My_Audit!$A:$A,My_Audit!J:J,""),
_xlfn.IFS(_xlpm.MyAuditVal&lt;&gt;"",UPPER(_xlpm.MyAuditVal),_xlpm.MacVal&lt;&gt;"",_xlpm.MacVal,_xlpm.CSVVal&lt;&gt;"",_xlpm.CSVVal
)),"")</f>
        <v/>
      </c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38"/>
    </row>
    <row r="1136" spans="1:23">
      <c r="A1136" s="45" t="str">
        <f>_xlfn.TEXTJOIN("",TRUE,Input!$B$2,ROW(My_Audit!A1135))</f>
        <v>CC1135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6" t="str" cm="1">
        <f t="array" ref="K1136">IFERROR(_xlfn.LET(
_xlpm.CSVVal,_xlfn.XLOOKUP($A1136,CSV!$A:$A,CSV!N:N,""),
_xlpm.MacVal,_xlfn.XLOOKUP($A1136,Output_Mac!$A:$A,Output_Mac!L:L,""),
_xlpm.MyAuditVal,_xlfn.XLOOKUP($A1136,My_Audit!$A:$A,My_Audit!J:J,""),
_xlfn.IFS(_xlpm.MyAuditVal&lt;&gt;"",UPPER(_xlpm.MyAuditVal),_xlpm.MacVal&lt;&gt;"",_xlpm.MacVal,_xlpm.CSVVal&lt;&gt;"",_xlpm.CSVVal
)),"")</f>
        <v/>
      </c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38"/>
    </row>
    <row r="1137" spans="1:23">
      <c r="A1137" s="45" t="str">
        <f>_xlfn.TEXTJOIN("",TRUE,Input!$B$2,ROW(My_Audit!A1136))</f>
        <v>CC1136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6" t="str" cm="1">
        <f t="array" ref="K1137">IFERROR(_xlfn.LET(
_xlpm.CSVVal,_xlfn.XLOOKUP($A1137,CSV!$A:$A,CSV!N:N,""),
_xlpm.MacVal,_xlfn.XLOOKUP($A1137,Output_Mac!$A:$A,Output_Mac!L:L,""),
_xlpm.MyAuditVal,_xlfn.XLOOKUP($A1137,My_Audit!$A:$A,My_Audit!J:J,""),
_xlfn.IFS(_xlpm.MyAuditVal&lt;&gt;"",UPPER(_xlpm.MyAuditVal),_xlpm.MacVal&lt;&gt;"",_xlpm.MacVal,_xlpm.CSVVal&lt;&gt;"",_xlpm.CSVVal
)),"")</f>
        <v/>
      </c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38"/>
    </row>
    <row r="1138" spans="1:23">
      <c r="A1138" s="45" t="str">
        <f>_xlfn.TEXTJOIN("",TRUE,Input!$B$2,ROW(My_Audit!A1137))</f>
        <v>CC1137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6" t="str" cm="1">
        <f t="array" ref="K1138">IFERROR(_xlfn.LET(
_xlpm.CSVVal,_xlfn.XLOOKUP($A1138,CSV!$A:$A,CSV!N:N,""),
_xlpm.MacVal,_xlfn.XLOOKUP($A1138,Output_Mac!$A:$A,Output_Mac!L:L,""),
_xlpm.MyAuditVal,_xlfn.XLOOKUP($A1138,My_Audit!$A:$A,My_Audit!J:J,""),
_xlfn.IFS(_xlpm.MyAuditVal&lt;&gt;"",UPPER(_xlpm.MyAuditVal),_xlpm.MacVal&lt;&gt;"",_xlpm.MacVal,_xlpm.CSVVal&lt;&gt;"",_xlpm.CSVVal
)),"")</f>
        <v/>
      </c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38"/>
    </row>
    <row r="1139" spans="1:23">
      <c r="A1139" s="45" t="str">
        <f>_xlfn.TEXTJOIN("",TRUE,Input!$B$2,ROW(My_Audit!A1138))</f>
        <v>CC1138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6" t="str" cm="1">
        <f t="array" ref="K1139">IFERROR(_xlfn.LET(
_xlpm.CSVVal,_xlfn.XLOOKUP($A1139,CSV!$A:$A,CSV!N:N,""),
_xlpm.MacVal,_xlfn.XLOOKUP($A1139,Output_Mac!$A:$A,Output_Mac!L:L,""),
_xlpm.MyAuditVal,_xlfn.XLOOKUP($A1139,My_Audit!$A:$A,My_Audit!J:J,""),
_xlfn.IFS(_xlpm.MyAuditVal&lt;&gt;"",UPPER(_xlpm.MyAuditVal),_xlpm.MacVal&lt;&gt;"",_xlpm.MacVal,_xlpm.CSVVal&lt;&gt;"",_xlpm.CSVVal
)),"")</f>
        <v/>
      </c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38"/>
    </row>
    <row r="1140" spans="1:23">
      <c r="A1140" s="45" t="str">
        <f>_xlfn.TEXTJOIN("",TRUE,Input!$B$2,ROW(My_Audit!A1139))</f>
        <v>CC1139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6" t="str" cm="1">
        <f t="array" ref="K1140">IFERROR(_xlfn.LET(
_xlpm.CSVVal,_xlfn.XLOOKUP($A1140,CSV!$A:$A,CSV!N:N,""),
_xlpm.MacVal,_xlfn.XLOOKUP($A1140,Output_Mac!$A:$A,Output_Mac!L:L,""),
_xlpm.MyAuditVal,_xlfn.XLOOKUP($A1140,My_Audit!$A:$A,My_Audit!J:J,""),
_xlfn.IFS(_xlpm.MyAuditVal&lt;&gt;"",UPPER(_xlpm.MyAuditVal),_xlpm.MacVal&lt;&gt;"",_xlpm.MacVal,_xlpm.CSVVal&lt;&gt;"",_xlpm.CSVVal
)),"")</f>
        <v/>
      </c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38"/>
    </row>
    <row r="1141" spans="1:23">
      <c r="A1141" s="45" t="str">
        <f>_xlfn.TEXTJOIN("",TRUE,Input!$B$2,ROW(My_Audit!A1140))</f>
        <v>CC1140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6" t="str" cm="1">
        <f t="array" ref="K1141">IFERROR(_xlfn.LET(
_xlpm.CSVVal,_xlfn.XLOOKUP($A1141,CSV!$A:$A,CSV!N:N,""),
_xlpm.MacVal,_xlfn.XLOOKUP($A1141,Output_Mac!$A:$A,Output_Mac!L:L,""),
_xlpm.MyAuditVal,_xlfn.XLOOKUP($A1141,My_Audit!$A:$A,My_Audit!J:J,""),
_xlfn.IFS(_xlpm.MyAuditVal&lt;&gt;"",UPPER(_xlpm.MyAuditVal),_xlpm.MacVal&lt;&gt;"",_xlpm.MacVal,_xlpm.CSVVal&lt;&gt;"",_xlpm.CSVVal
)),"")</f>
        <v/>
      </c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38"/>
    </row>
    <row r="1142" spans="1:23">
      <c r="A1142" s="45" t="str">
        <f>_xlfn.TEXTJOIN("",TRUE,Input!$B$2,ROW(My_Audit!A1141))</f>
        <v>CC1141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6" t="str" cm="1">
        <f t="array" ref="K1142">IFERROR(_xlfn.LET(
_xlpm.CSVVal,_xlfn.XLOOKUP($A1142,CSV!$A:$A,CSV!N:N,""),
_xlpm.MacVal,_xlfn.XLOOKUP($A1142,Output_Mac!$A:$A,Output_Mac!L:L,""),
_xlpm.MyAuditVal,_xlfn.XLOOKUP($A1142,My_Audit!$A:$A,My_Audit!J:J,""),
_xlfn.IFS(_xlpm.MyAuditVal&lt;&gt;"",UPPER(_xlpm.MyAuditVal),_xlpm.MacVal&lt;&gt;"",_xlpm.MacVal,_xlpm.CSVVal&lt;&gt;"",_xlpm.CSVVal
)),"")</f>
        <v/>
      </c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38"/>
    </row>
    <row r="1143" spans="1:23">
      <c r="A1143" s="45" t="str">
        <f>_xlfn.TEXTJOIN("",TRUE,Input!$B$2,ROW(My_Audit!A1142))</f>
        <v>CC1142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6" t="str" cm="1">
        <f t="array" ref="K1143">IFERROR(_xlfn.LET(
_xlpm.CSVVal,_xlfn.XLOOKUP($A1143,CSV!$A:$A,CSV!N:N,""),
_xlpm.MacVal,_xlfn.XLOOKUP($A1143,Output_Mac!$A:$A,Output_Mac!L:L,""),
_xlpm.MyAuditVal,_xlfn.XLOOKUP($A1143,My_Audit!$A:$A,My_Audit!J:J,""),
_xlfn.IFS(_xlpm.MyAuditVal&lt;&gt;"",UPPER(_xlpm.MyAuditVal),_xlpm.MacVal&lt;&gt;"",_xlpm.MacVal,_xlpm.CSVVal&lt;&gt;"",_xlpm.CSVVal
)),"")</f>
        <v/>
      </c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38"/>
    </row>
    <row r="1144" spans="1:23">
      <c r="A1144" s="45" t="str">
        <f>_xlfn.TEXTJOIN("",TRUE,Input!$B$2,ROW(My_Audit!A1143))</f>
        <v>CC1143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6" t="str" cm="1">
        <f t="array" ref="K1144">IFERROR(_xlfn.LET(
_xlpm.CSVVal,_xlfn.XLOOKUP($A1144,CSV!$A:$A,CSV!N:N,""),
_xlpm.MacVal,_xlfn.XLOOKUP($A1144,Output_Mac!$A:$A,Output_Mac!L:L,""),
_xlpm.MyAuditVal,_xlfn.XLOOKUP($A1144,My_Audit!$A:$A,My_Audit!J:J,""),
_xlfn.IFS(_xlpm.MyAuditVal&lt;&gt;"",UPPER(_xlpm.MyAuditVal),_xlpm.MacVal&lt;&gt;"",_xlpm.MacVal,_xlpm.CSVVal&lt;&gt;"",_xlpm.CSVVal
)),"")</f>
        <v/>
      </c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38"/>
    </row>
    <row r="1145" spans="1:23">
      <c r="A1145" s="45" t="str">
        <f>_xlfn.TEXTJOIN("",TRUE,Input!$B$2,ROW(My_Audit!A1144))</f>
        <v>CC1144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6" t="str" cm="1">
        <f t="array" ref="K1145">IFERROR(_xlfn.LET(
_xlpm.CSVVal,_xlfn.XLOOKUP($A1145,CSV!$A:$A,CSV!N:N,""),
_xlpm.MacVal,_xlfn.XLOOKUP($A1145,Output_Mac!$A:$A,Output_Mac!L:L,""),
_xlpm.MyAuditVal,_xlfn.XLOOKUP($A1145,My_Audit!$A:$A,My_Audit!J:J,""),
_xlfn.IFS(_xlpm.MyAuditVal&lt;&gt;"",UPPER(_xlpm.MyAuditVal),_xlpm.MacVal&lt;&gt;"",_xlpm.MacVal,_xlpm.CSVVal&lt;&gt;"",_xlpm.CSVVal
)),"")</f>
        <v/>
      </c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38"/>
    </row>
    <row r="1146" spans="1:23">
      <c r="A1146" s="45" t="str">
        <f>_xlfn.TEXTJOIN("",TRUE,Input!$B$2,ROW(My_Audit!A1145))</f>
        <v>CC1145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6" t="str" cm="1">
        <f t="array" ref="K1146">IFERROR(_xlfn.LET(
_xlpm.CSVVal,_xlfn.XLOOKUP($A1146,CSV!$A:$A,CSV!N:N,""),
_xlpm.MacVal,_xlfn.XLOOKUP($A1146,Output_Mac!$A:$A,Output_Mac!L:L,""),
_xlpm.MyAuditVal,_xlfn.XLOOKUP($A1146,My_Audit!$A:$A,My_Audit!J:J,""),
_xlfn.IFS(_xlpm.MyAuditVal&lt;&gt;"",UPPER(_xlpm.MyAuditVal),_xlpm.MacVal&lt;&gt;"",_xlpm.MacVal,_xlpm.CSVVal&lt;&gt;"",_xlpm.CSVVal
)),"")</f>
        <v/>
      </c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38"/>
    </row>
    <row r="1147" spans="1:23">
      <c r="A1147" s="45" t="str">
        <f>_xlfn.TEXTJOIN("",TRUE,Input!$B$2,ROW(My_Audit!A1146))</f>
        <v>CC1146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6" t="str" cm="1">
        <f t="array" ref="K1147">IFERROR(_xlfn.LET(
_xlpm.CSVVal,_xlfn.XLOOKUP($A1147,CSV!$A:$A,CSV!N:N,""),
_xlpm.MacVal,_xlfn.XLOOKUP($A1147,Output_Mac!$A:$A,Output_Mac!L:L,""),
_xlpm.MyAuditVal,_xlfn.XLOOKUP($A1147,My_Audit!$A:$A,My_Audit!J:J,""),
_xlfn.IFS(_xlpm.MyAuditVal&lt;&gt;"",UPPER(_xlpm.MyAuditVal),_xlpm.MacVal&lt;&gt;"",_xlpm.MacVal,_xlpm.CSVVal&lt;&gt;"",_xlpm.CSVVal
)),"")</f>
        <v/>
      </c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38"/>
    </row>
    <row r="1148" spans="1:23">
      <c r="A1148" s="45" t="str">
        <f>_xlfn.TEXTJOIN("",TRUE,Input!$B$2,ROW(My_Audit!A1147))</f>
        <v>CC1147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6" t="str" cm="1">
        <f t="array" ref="K1148">IFERROR(_xlfn.LET(
_xlpm.CSVVal,_xlfn.XLOOKUP($A1148,CSV!$A:$A,CSV!N:N,""),
_xlpm.MacVal,_xlfn.XLOOKUP($A1148,Output_Mac!$A:$A,Output_Mac!L:L,""),
_xlpm.MyAuditVal,_xlfn.XLOOKUP($A1148,My_Audit!$A:$A,My_Audit!J:J,""),
_xlfn.IFS(_xlpm.MyAuditVal&lt;&gt;"",UPPER(_xlpm.MyAuditVal),_xlpm.MacVal&lt;&gt;"",_xlpm.MacVal,_xlpm.CSVVal&lt;&gt;"",_xlpm.CSVVal
)),"")</f>
        <v/>
      </c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38"/>
    </row>
    <row r="1149" spans="1:23">
      <c r="A1149" s="45" t="str">
        <f>_xlfn.TEXTJOIN("",TRUE,Input!$B$2,ROW(My_Audit!A1148))</f>
        <v>CC1148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6" t="str" cm="1">
        <f t="array" ref="K1149">IFERROR(_xlfn.LET(
_xlpm.CSVVal,_xlfn.XLOOKUP($A1149,CSV!$A:$A,CSV!N:N,""),
_xlpm.MacVal,_xlfn.XLOOKUP($A1149,Output_Mac!$A:$A,Output_Mac!L:L,""),
_xlpm.MyAuditVal,_xlfn.XLOOKUP($A1149,My_Audit!$A:$A,My_Audit!J:J,""),
_xlfn.IFS(_xlpm.MyAuditVal&lt;&gt;"",UPPER(_xlpm.MyAuditVal),_xlpm.MacVal&lt;&gt;"",_xlpm.MacVal,_xlpm.CSVVal&lt;&gt;"",_xlpm.CSVVal
)),"")</f>
        <v/>
      </c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38"/>
    </row>
    <row r="1150" spans="1:23">
      <c r="A1150" s="45" t="str">
        <f>_xlfn.TEXTJOIN("",TRUE,Input!$B$2,ROW(My_Audit!A1149))</f>
        <v>CC1149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6" t="str" cm="1">
        <f t="array" ref="K1150">IFERROR(_xlfn.LET(
_xlpm.CSVVal,_xlfn.XLOOKUP($A1150,CSV!$A:$A,CSV!N:N,""),
_xlpm.MacVal,_xlfn.XLOOKUP($A1150,Output_Mac!$A:$A,Output_Mac!L:L,""),
_xlpm.MyAuditVal,_xlfn.XLOOKUP($A1150,My_Audit!$A:$A,My_Audit!J:J,""),
_xlfn.IFS(_xlpm.MyAuditVal&lt;&gt;"",UPPER(_xlpm.MyAuditVal),_xlpm.MacVal&lt;&gt;"",_xlpm.MacVal,_xlpm.CSVVal&lt;&gt;"",_xlpm.CSVVal
)),"")</f>
        <v/>
      </c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38"/>
    </row>
    <row r="1151" spans="1:23">
      <c r="A1151" s="45" t="str">
        <f>_xlfn.TEXTJOIN("",TRUE,Input!$B$2,ROW(My_Audit!A1150))</f>
        <v>CC1150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6" t="str" cm="1">
        <f t="array" ref="K1151">IFERROR(_xlfn.LET(
_xlpm.CSVVal,_xlfn.XLOOKUP($A1151,CSV!$A:$A,CSV!N:N,""),
_xlpm.MacVal,_xlfn.XLOOKUP($A1151,Output_Mac!$A:$A,Output_Mac!L:L,""),
_xlpm.MyAuditVal,_xlfn.XLOOKUP($A1151,My_Audit!$A:$A,My_Audit!J:J,""),
_xlfn.IFS(_xlpm.MyAuditVal&lt;&gt;"",UPPER(_xlpm.MyAuditVal),_xlpm.MacVal&lt;&gt;"",_xlpm.MacVal,_xlpm.CSVVal&lt;&gt;"",_xlpm.CSVVal
)),"")</f>
        <v/>
      </c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38"/>
    </row>
    <row r="1152" spans="1:23">
      <c r="A1152" s="45" t="str">
        <f>_xlfn.TEXTJOIN("",TRUE,Input!$B$2,ROW(My_Audit!A1151))</f>
        <v>CC1151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6" t="str" cm="1">
        <f t="array" ref="K1152">IFERROR(_xlfn.LET(
_xlpm.CSVVal,_xlfn.XLOOKUP($A1152,CSV!$A:$A,CSV!N:N,""),
_xlpm.MacVal,_xlfn.XLOOKUP($A1152,Output_Mac!$A:$A,Output_Mac!L:L,""),
_xlpm.MyAuditVal,_xlfn.XLOOKUP($A1152,My_Audit!$A:$A,My_Audit!J:J,""),
_xlfn.IFS(_xlpm.MyAuditVal&lt;&gt;"",UPPER(_xlpm.MyAuditVal),_xlpm.MacVal&lt;&gt;"",_xlpm.MacVal,_xlpm.CSVVal&lt;&gt;"",_xlpm.CSVVal
)),"")</f>
        <v/>
      </c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38"/>
    </row>
    <row r="1153" spans="1:23">
      <c r="A1153" s="45" t="str">
        <f>_xlfn.TEXTJOIN("",TRUE,Input!$B$2,ROW(My_Audit!A1152))</f>
        <v>CC1152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6" t="str" cm="1">
        <f t="array" ref="K1153">IFERROR(_xlfn.LET(
_xlpm.CSVVal,_xlfn.XLOOKUP($A1153,CSV!$A:$A,CSV!N:N,""),
_xlpm.MacVal,_xlfn.XLOOKUP($A1153,Output_Mac!$A:$A,Output_Mac!L:L,""),
_xlpm.MyAuditVal,_xlfn.XLOOKUP($A1153,My_Audit!$A:$A,My_Audit!J:J,""),
_xlfn.IFS(_xlpm.MyAuditVal&lt;&gt;"",UPPER(_xlpm.MyAuditVal),_xlpm.MacVal&lt;&gt;"",_xlpm.MacVal,_xlpm.CSVVal&lt;&gt;"",_xlpm.CSVVal
)),"")</f>
        <v/>
      </c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38"/>
    </row>
    <row r="1154" spans="1:23">
      <c r="A1154" s="45" t="str">
        <f>_xlfn.TEXTJOIN("",TRUE,Input!$B$2,ROW(My_Audit!A1153))</f>
        <v>CC1153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6" t="str" cm="1">
        <f t="array" ref="K1154">IFERROR(_xlfn.LET(
_xlpm.CSVVal,_xlfn.XLOOKUP($A1154,CSV!$A:$A,CSV!N:N,""),
_xlpm.MacVal,_xlfn.XLOOKUP($A1154,Output_Mac!$A:$A,Output_Mac!L:L,""),
_xlpm.MyAuditVal,_xlfn.XLOOKUP($A1154,My_Audit!$A:$A,My_Audit!J:J,""),
_xlfn.IFS(_xlpm.MyAuditVal&lt;&gt;"",UPPER(_xlpm.MyAuditVal),_xlpm.MacVal&lt;&gt;"",_xlpm.MacVal,_xlpm.CSVVal&lt;&gt;"",_xlpm.CSVVal
)),"")</f>
        <v/>
      </c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38"/>
    </row>
    <row r="1155" spans="1:23">
      <c r="A1155" s="45" t="str">
        <f>_xlfn.TEXTJOIN("",TRUE,Input!$B$2,ROW(My_Audit!A1154))</f>
        <v>CC1154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6" t="str" cm="1">
        <f t="array" ref="K1155">IFERROR(_xlfn.LET(
_xlpm.CSVVal,_xlfn.XLOOKUP($A1155,CSV!$A:$A,CSV!N:N,""),
_xlpm.MacVal,_xlfn.XLOOKUP($A1155,Output_Mac!$A:$A,Output_Mac!L:L,""),
_xlpm.MyAuditVal,_xlfn.XLOOKUP($A1155,My_Audit!$A:$A,My_Audit!J:J,""),
_xlfn.IFS(_xlpm.MyAuditVal&lt;&gt;"",UPPER(_xlpm.MyAuditVal),_xlpm.MacVal&lt;&gt;"",_xlpm.MacVal,_xlpm.CSVVal&lt;&gt;"",_xlpm.CSVVal
)),"")</f>
        <v/>
      </c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38"/>
    </row>
    <row r="1156" spans="1:23">
      <c r="A1156" s="45" t="str">
        <f>_xlfn.TEXTJOIN("",TRUE,Input!$B$2,ROW(My_Audit!A1155))</f>
        <v>CC1155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6" t="str" cm="1">
        <f t="array" ref="K1156">IFERROR(_xlfn.LET(
_xlpm.CSVVal,_xlfn.XLOOKUP($A1156,CSV!$A:$A,CSV!N:N,""),
_xlpm.MacVal,_xlfn.XLOOKUP($A1156,Output_Mac!$A:$A,Output_Mac!L:L,""),
_xlpm.MyAuditVal,_xlfn.XLOOKUP($A1156,My_Audit!$A:$A,My_Audit!J:J,""),
_xlfn.IFS(_xlpm.MyAuditVal&lt;&gt;"",UPPER(_xlpm.MyAuditVal),_xlpm.MacVal&lt;&gt;"",_xlpm.MacVal,_xlpm.CSVVal&lt;&gt;"",_xlpm.CSVVal
)),"")</f>
        <v/>
      </c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38"/>
    </row>
    <row r="1157" spans="1:23">
      <c r="A1157" s="45" t="str">
        <f>_xlfn.TEXTJOIN("",TRUE,Input!$B$2,ROW(My_Audit!A1156))</f>
        <v>CC1156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6" t="str" cm="1">
        <f t="array" ref="K1157">IFERROR(_xlfn.LET(
_xlpm.CSVVal,_xlfn.XLOOKUP($A1157,CSV!$A:$A,CSV!N:N,""),
_xlpm.MacVal,_xlfn.XLOOKUP($A1157,Output_Mac!$A:$A,Output_Mac!L:L,""),
_xlpm.MyAuditVal,_xlfn.XLOOKUP($A1157,My_Audit!$A:$A,My_Audit!J:J,""),
_xlfn.IFS(_xlpm.MyAuditVal&lt;&gt;"",UPPER(_xlpm.MyAuditVal),_xlpm.MacVal&lt;&gt;"",_xlpm.MacVal,_xlpm.CSVVal&lt;&gt;"",_xlpm.CSVVal
)),"")</f>
        <v/>
      </c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38"/>
    </row>
    <row r="1158" spans="1:23">
      <c r="A1158" s="45" t="str">
        <f>_xlfn.TEXTJOIN("",TRUE,Input!$B$2,ROW(My_Audit!A1157))</f>
        <v>CC1157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6" t="str" cm="1">
        <f t="array" ref="K1158">IFERROR(_xlfn.LET(
_xlpm.CSVVal,_xlfn.XLOOKUP($A1158,CSV!$A:$A,CSV!N:N,""),
_xlpm.MacVal,_xlfn.XLOOKUP($A1158,Output_Mac!$A:$A,Output_Mac!L:L,""),
_xlpm.MyAuditVal,_xlfn.XLOOKUP($A1158,My_Audit!$A:$A,My_Audit!J:J,""),
_xlfn.IFS(_xlpm.MyAuditVal&lt;&gt;"",UPPER(_xlpm.MyAuditVal),_xlpm.MacVal&lt;&gt;"",_xlpm.MacVal,_xlpm.CSVVal&lt;&gt;"",_xlpm.CSVVal
)),"")</f>
        <v/>
      </c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38"/>
    </row>
    <row r="1159" spans="1:23">
      <c r="A1159" s="45" t="str">
        <f>_xlfn.TEXTJOIN("",TRUE,Input!$B$2,ROW(My_Audit!A1158))</f>
        <v>CC1158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6" t="str" cm="1">
        <f t="array" ref="K1159">IFERROR(_xlfn.LET(
_xlpm.CSVVal,_xlfn.XLOOKUP($A1159,CSV!$A:$A,CSV!N:N,""),
_xlpm.MacVal,_xlfn.XLOOKUP($A1159,Output_Mac!$A:$A,Output_Mac!L:L,""),
_xlpm.MyAuditVal,_xlfn.XLOOKUP($A1159,My_Audit!$A:$A,My_Audit!J:J,""),
_xlfn.IFS(_xlpm.MyAuditVal&lt;&gt;"",UPPER(_xlpm.MyAuditVal),_xlpm.MacVal&lt;&gt;"",_xlpm.MacVal,_xlpm.CSVVal&lt;&gt;"",_xlpm.CSVVal
)),"")</f>
        <v/>
      </c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38"/>
    </row>
    <row r="1160" spans="1:23">
      <c r="A1160" s="45" t="str">
        <f>_xlfn.TEXTJOIN("",TRUE,Input!$B$2,ROW(My_Audit!A1159))</f>
        <v>CC1159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6" t="str" cm="1">
        <f t="array" ref="K1160">IFERROR(_xlfn.LET(
_xlpm.CSVVal,_xlfn.XLOOKUP($A1160,CSV!$A:$A,CSV!N:N,""),
_xlpm.MacVal,_xlfn.XLOOKUP($A1160,Output_Mac!$A:$A,Output_Mac!L:L,""),
_xlpm.MyAuditVal,_xlfn.XLOOKUP($A1160,My_Audit!$A:$A,My_Audit!J:J,""),
_xlfn.IFS(_xlpm.MyAuditVal&lt;&gt;"",UPPER(_xlpm.MyAuditVal),_xlpm.MacVal&lt;&gt;"",_xlpm.MacVal,_xlpm.CSVVal&lt;&gt;"",_xlpm.CSVVal
)),"")</f>
        <v/>
      </c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38"/>
    </row>
    <row r="1161" spans="1:23">
      <c r="A1161" s="45" t="str">
        <f>_xlfn.TEXTJOIN("",TRUE,Input!$B$2,ROW(My_Audit!A1160))</f>
        <v>CC1160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6" t="str" cm="1">
        <f t="array" ref="K1161">IFERROR(_xlfn.LET(
_xlpm.CSVVal,_xlfn.XLOOKUP($A1161,CSV!$A:$A,CSV!N:N,""),
_xlpm.MacVal,_xlfn.XLOOKUP($A1161,Output_Mac!$A:$A,Output_Mac!L:L,""),
_xlpm.MyAuditVal,_xlfn.XLOOKUP($A1161,My_Audit!$A:$A,My_Audit!J:J,""),
_xlfn.IFS(_xlpm.MyAuditVal&lt;&gt;"",UPPER(_xlpm.MyAuditVal),_xlpm.MacVal&lt;&gt;"",_xlpm.MacVal,_xlpm.CSVVal&lt;&gt;"",_xlpm.CSVVal
)),"")</f>
        <v/>
      </c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38"/>
    </row>
    <row r="1162" spans="1:23">
      <c r="A1162" s="45" t="str">
        <f>_xlfn.TEXTJOIN("",TRUE,Input!$B$2,ROW(My_Audit!A1161))</f>
        <v>CC1161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6" t="str" cm="1">
        <f t="array" ref="K1162">IFERROR(_xlfn.LET(
_xlpm.CSVVal,_xlfn.XLOOKUP($A1162,CSV!$A:$A,CSV!N:N,""),
_xlpm.MacVal,_xlfn.XLOOKUP($A1162,Output_Mac!$A:$A,Output_Mac!L:L,""),
_xlpm.MyAuditVal,_xlfn.XLOOKUP($A1162,My_Audit!$A:$A,My_Audit!J:J,""),
_xlfn.IFS(_xlpm.MyAuditVal&lt;&gt;"",UPPER(_xlpm.MyAuditVal),_xlpm.MacVal&lt;&gt;"",_xlpm.MacVal,_xlpm.CSVVal&lt;&gt;"",_xlpm.CSVVal
)),"")</f>
        <v/>
      </c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38"/>
    </row>
    <row r="1163" spans="1:23">
      <c r="A1163" s="45" t="str">
        <f>_xlfn.TEXTJOIN("",TRUE,Input!$B$2,ROW(My_Audit!A1162))</f>
        <v>CC1162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6" t="str" cm="1">
        <f t="array" ref="K1163">IFERROR(_xlfn.LET(
_xlpm.CSVVal,_xlfn.XLOOKUP($A1163,CSV!$A:$A,CSV!N:N,""),
_xlpm.MacVal,_xlfn.XLOOKUP($A1163,Output_Mac!$A:$A,Output_Mac!L:L,""),
_xlpm.MyAuditVal,_xlfn.XLOOKUP($A1163,My_Audit!$A:$A,My_Audit!J:J,""),
_xlfn.IFS(_xlpm.MyAuditVal&lt;&gt;"",UPPER(_xlpm.MyAuditVal),_xlpm.MacVal&lt;&gt;"",_xlpm.MacVal,_xlpm.CSVVal&lt;&gt;"",_xlpm.CSVVal
)),"")</f>
        <v/>
      </c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38"/>
    </row>
    <row r="1164" spans="1:23">
      <c r="A1164" s="45" t="str">
        <f>_xlfn.TEXTJOIN("",TRUE,Input!$B$2,ROW(My_Audit!A1163))</f>
        <v>CC1163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6" t="str" cm="1">
        <f t="array" ref="K1164">IFERROR(_xlfn.LET(
_xlpm.CSVVal,_xlfn.XLOOKUP($A1164,CSV!$A:$A,CSV!N:N,""),
_xlpm.MacVal,_xlfn.XLOOKUP($A1164,Output_Mac!$A:$A,Output_Mac!L:L,""),
_xlpm.MyAuditVal,_xlfn.XLOOKUP($A1164,My_Audit!$A:$A,My_Audit!J:J,""),
_xlfn.IFS(_xlpm.MyAuditVal&lt;&gt;"",UPPER(_xlpm.MyAuditVal),_xlpm.MacVal&lt;&gt;"",_xlpm.MacVal,_xlpm.CSVVal&lt;&gt;"",_xlpm.CSVVal
)),"")</f>
        <v/>
      </c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38"/>
    </row>
    <row r="1165" spans="1:23">
      <c r="A1165" s="45" t="str">
        <f>_xlfn.TEXTJOIN("",TRUE,Input!$B$2,ROW(My_Audit!A1164))</f>
        <v>CC1164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6" t="str" cm="1">
        <f t="array" ref="K1165">IFERROR(_xlfn.LET(
_xlpm.CSVVal,_xlfn.XLOOKUP($A1165,CSV!$A:$A,CSV!N:N,""),
_xlpm.MacVal,_xlfn.XLOOKUP($A1165,Output_Mac!$A:$A,Output_Mac!L:L,""),
_xlpm.MyAuditVal,_xlfn.XLOOKUP($A1165,My_Audit!$A:$A,My_Audit!J:J,""),
_xlfn.IFS(_xlpm.MyAuditVal&lt;&gt;"",UPPER(_xlpm.MyAuditVal),_xlpm.MacVal&lt;&gt;"",_xlpm.MacVal,_xlpm.CSVVal&lt;&gt;"",_xlpm.CSVVal
)),"")</f>
        <v/>
      </c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38"/>
    </row>
    <row r="1166" spans="1:23">
      <c r="A1166" s="45" t="str">
        <f>_xlfn.TEXTJOIN("",TRUE,Input!$B$2,ROW(My_Audit!A1165))</f>
        <v>CC1165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6" t="str" cm="1">
        <f t="array" ref="K1166">IFERROR(_xlfn.LET(
_xlpm.CSVVal,_xlfn.XLOOKUP($A1166,CSV!$A:$A,CSV!N:N,""),
_xlpm.MacVal,_xlfn.XLOOKUP($A1166,Output_Mac!$A:$A,Output_Mac!L:L,""),
_xlpm.MyAuditVal,_xlfn.XLOOKUP($A1166,My_Audit!$A:$A,My_Audit!J:J,""),
_xlfn.IFS(_xlpm.MyAuditVal&lt;&gt;"",UPPER(_xlpm.MyAuditVal),_xlpm.MacVal&lt;&gt;"",_xlpm.MacVal,_xlpm.CSVVal&lt;&gt;"",_xlpm.CSVVal
)),"")</f>
        <v/>
      </c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38"/>
    </row>
    <row r="1167" spans="1:23">
      <c r="A1167" s="45" t="str">
        <f>_xlfn.TEXTJOIN("",TRUE,Input!$B$2,ROW(My_Audit!A1166))</f>
        <v>CC1166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6" t="str" cm="1">
        <f t="array" ref="K1167">IFERROR(_xlfn.LET(
_xlpm.CSVVal,_xlfn.XLOOKUP($A1167,CSV!$A:$A,CSV!N:N,""),
_xlpm.MacVal,_xlfn.XLOOKUP($A1167,Output_Mac!$A:$A,Output_Mac!L:L,""),
_xlpm.MyAuditVal,_xlfn.XLOOKUP($A1167,My_Audit!$A:$A,My_Audit!J:J,""),
_xlfn.IFS(_xlpm.MyAuditVal&lt;&gt;"",UPPER(_xlpm.MyAuditVal),_xlpm.MacVal&lt;&gt;"",_xlpm.MacVal,_xlpm.CSVVal&lt;&gt;"",_xlpm.CSVVal
)),"")</f>
        <v/>
      </c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38"/>
    </row>
    <row r="1168" spans="1:23">
      <c r="A1168" s="45" t="str">
        <f>_xlfn.TEXTJOIN("",TRUE,Input!$B$2,ROW(My_Audit!A1167))</f>
        <v>CC1167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6" t="str" cm="1">
        <f t="array" ref="K1168">IFERROR(_xlfn.LET(
_xlpm.CSVVal,_xlfn.XLOOKUP($A1168,CSV!$A:$A,CSV!N:N,""),
_xlpm.MacVal,_xlfn.XLOOKUP($A1168,Output_Mac!$A:$A,Output_Mac!L:L,""),
_xlpm.MyAuditVal,_xlfn.XLOOKUP($A1168,My_Audit!$A:$A,My_Audit!J:J,""),
_xlfn.IFS(_xlpm.MyAuditVal&lt;&gt;"",UPPER(_xlpm.MyAuditVal),_xlpm.MacVal&lt;&gt;"",_xlpm.MacVal,_xlpm.CSVVal&lt;&gt;"",_xlpm.CSVVal
)),"")</f>
        <v/>
      </c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38"/>
    </row>
    <row r="1169" spans="1:23">
      <c r="A1169" s="45" t="str">
        <f>_xlfn.TEXTJOIN("",TRUE,Input!$B$2,ROW(My_Audit!A1168))</f>
        <v>CC1168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6" t="str" cm="1">
        <f t="array" ref="K1169">IFERROR(_xlfn.LET(
_xlpm.CSVVal,_xlfn.XLOOKUP($A1169,CSV!$A:$A,CSV!N:N,""),
_xlpm.MacVal,_xlfn.XLOOKUP($A1169,Output_Mac!$A:$A,Output_Mac!L:L,""),
_xlpm.MyAuditVal,_xlfn.XLOOKUP($A1169,My_Audit!$A:$A,My_Audit!J:J,""),
_xlfn.IFS(_xlpm.MyAuditVal&lt;&gt;"",UPPER(_xlpm.MyAuditVal),_xlpm.MacVal&lt;&gt;"",_xlpm.MacVal,_xlpm.CSVVal&lt;&gt;"",_xlpm.CSVVal
)),"")</f>
        <v/>
      </c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38"/>
    </row>
    <row r="1170" spans="1:23">
      <c r="A1170" s="45" t="str">
        <f>_xlfn.TEXTJOIN("",TRUE,Input!$B$2,ROW(My_Audit!A1169))</f>
        <v>CC1169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6" t="str" cm="1">
        <f t="array" ref="K1170">IFERROR(_xlfn.LET(
_xlpm.CSVVal,_xlfn.XLOOKUP($A1170,CSV!$A:$A,CSV!N:N,""),
_xlpm.MacVal,_xlfn.XLOOKUP($A1170,Output_Mac!$A:$A,Output_Mac!L:L,""),
_xlpm.MyAuditVal,_xlfn.XLOOKUP($A1170,My_Audit!$A:$A,My_Audit!J:J,""),
_xlfn.IFS(_xlpm.MyAuditVal&lt;&gt;"",UPPER(_xlpm.MyAuditVal),_xlpm.MacVal&lt;&gt;"",_xlpm.MacVal,_xlpm.CSVVal&lt;&gt;"",_xlpm.CSVVal
)),"")</f>
        <v/>
      </c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38"/>
    </row>
    <row r="1171" spans="1:23">
      <c r="A1171" s="45" t="str">
        <f>_xlfn.TEXTJOIN("",TRUE,Input!$B$2,ROW(My_Audit!A1170))</f>
        <v>CC1170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6" t="str" cm="1">
        <f t="array" ref="K1171">IFERROR(_xlfn.LET(
_xlpm.CSVVal,_xlfn.XLOOKUP($A1171,CSV!$A:$A,CSV!N:N,""),
_xlpm.MacVal,_xlfn.XLOOKUP($A1171,Output_Mac!$A:$A,Output_Mac!L:L,""),
_xlpm.MyAuditVal,_xlfn.XLOOKUP($A1171,My_Audit!$A:$A,My_Audit!J:J,""),
_xlfn.IFS(_xlpm.MyAuditVal&lt;&gt;"",UPPER(_xlpm.MyAuditVal),_xlpm.MacVal&lt;&gt;"",_xlpm.MacVal,_xlpm.CSVVal&lt;&gt;"",_xlpm.CSVVal
)),"")</f>
        <v/>
      </c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38"/>
    </row>
    <row r="1172" spans="1:23">
      <c r="A1172" s="45" t="str">
        <f>_xlfn.TEXTJOIN("",TRUE,Input!$B$2,ROW(My_Audit!A1171))</f>
        <v>CC1171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6" t="str" cm="1">
        <f t="array" ref="K1172">IFERROR(_xlfn.LET(
_xlpm.CSVVal,_xlfn.XLOOKUP($A1172,CSV!$A:$A,CSV!N:N,""),
_xlpm.MacVal,_xlfn.XLOOKUP($A1172,Output_Mac!$A:$A,Output_Mac!L:L,""),
_xlpm.MyAuditVal,_xlfn.XLOOKUP($A1172,My_Audit!$A:$A,My_Audit!J:J,""),
_xlfn.IFS(_xlpm.MyAuditVal&lt;&gt;"",UPPER(_xlpm.MyAuditVal),_xlpm.MacVal&lt;&gt;"",_xlpm.MacVal,_xlpm.CSVVal&lt;&gt;"",_xlpm.CSVVal
)),"")</f>
        <v/>
      </c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38"/>
    </row>
    <row r="1173" spans="1:23">
      <c r="A1173" s="45" t="str">
        <f>_xlfn.TEXTJOIN("",TRUE,Input!$B$2,ROW(My_Audit!A1172))</f>
        <v>CC1172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6" t="str" cm="1">
        <f t="array" ref="K1173">IFERROR(_xlfn.LET(
_xlpm.CSVVal,_xlfn.XLOOKUP($A1173,CSV!$A:$A,CSV!N:N,""),
_xlpm.MacVal,_xlfn.XLOOKUP($A1173,Output_Mac!$A:$A,Output_Mac!L:L,""),
_xlpm.MyAuditVal,_xlfn.XLOOKUP($A1173,My_Audit!$A:$A,My_Audit!J:J,""),
_xlfn.IFS(_xlpm.MyAuditVal&lt;&gt;"",UPPER(_xlpm.MyAuditVal),_xlpm.MacVal&lt;&gt;"",_xlpm.MacVal,_xlpm.CSVVal&lt;&gt;"",_xlpm.CSVVal
)),"")</f>
        <v/>
      </c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38"/>
    </row>
    <row r="1174" spans="1:23">
      <c r="A1174" s="45" t="str">
        <f>_xlfn.TEXTJOIN("",TRUE,Input!$B$2,ROW(My_Audit!A1173))</f>
        <v>CC1173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6" t="str" cm="1">
        <f t="array" ref="K1174">IFERROR(_xlfn.LET(
_xlpm.CSVVal,_xlfn.XLOOKUP($A1174,CSV!$A:$A,CSV!N:N,""),
_xlpm.MacVal,_xlfn.XLOOKUP($A1174,Output_Mac!$A:$A,Output_Mac!L:L,""),
_xlpm.MyAuditVal,_xlfn.XLOOKUP($A1174,My_Audit!$A:$A,My_Audit!J:J,""),
_xlfn.IFS(_xlpm.MyAuditVal&lt;&gt;"",UPPER(_xlpm.MyAuditVal),_xlpm.MacVal&lt;&gt;"",_xlpm.MacVal,_xlpm.CSVVal&lt;&gt;"",_xlpm.CSVVal
)),"")</f>
        <v/>
      </c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38"/>
    </row>
    <row r="1175" spans="1:23">
      <c r="A1175" s="45" t="str">
        <f>_xlfn.TEXTJOIN("",TRUE,Input!$B$2,ROW(My_Audit!A1174))</f>
        <v>CC1174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6" t="str" cm="1">
        <f t="array" ref="K1175">IFERROR(_xlfn.LET(
_xlpm.CSVVal,_xlfn.XLOOKUP($A1175,CSV!$A:$A,CSV!N:N,""),
_xlpm.MacVal,_xlfn.XLOOKUP($A1175,Output_Mac!$A:$A,Output_Mac!L:L,""),
_xlpm.MyAuditVal,_xlfn.XLOOKUP($A1175,My_Audit!$A:$A,My_Audit!J:J,""),
_xlfn.IFS(_xlpm.MyAuditVal&lt;&gt;"",UPPER(_xlpm.MyAuditVal),_xlpm.MacVal&lt;&gt;"",_xlpm.MacVal,_xlpm.CSVVal&lt;&gt;"",_xlpm.CSVVal
)),"")</f>
        <v/>
      </c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38"/>
    </row>
    <row r="1176" spans="1:23">
      <c r="A1176" s="45" t="str">
        <f>_xlfn.TEXTJOIN("",TRUE,Input!$B$2,ROW(My_Audit!A1175))</f>
        <v>CC1175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6" t="str" cm="1">
        <f t="array" ref="K1176">IFERROR(_xlfn.LET(
_xlpm.CSVVal,_xlfn.XLOOKUP($A1176,CSV!$A:$A,CSV!N:N,""),
_xlpm.MacVal,_xlfn.XLOOKUP($A1176,Output_Mac!$A:$A,Output_Mac!L:L,""),
_xlpm.MyAuditVal,_xlfn.XLOOKUP($A1176,My_Audit!$A:$A,My_Audit!J:J,""),
_xlfn.IFS(_xlpm.MyAuditVal&lt;&gt;"",UPPER(_xlpm.MyAuditVal),_xlpm.MacVal&lt;&gt;"",_xlpm.MacVal,_xlpm.CSVVal&lt;&gt;"",_xlpm.CSVVal
)),"")</f>
        <v/>
      </c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38"/>
    </row>
    <row r="1177" spans="1:23">
      <c r="A1177" s="45" t="str">
        <f>_xlfn.TEXTJOIN("",TRUE,Input!$B$2,ROW(My_Audit!A1176))</f>
        <v>CC1176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6" t="str" cm="1">
        <f t="array" ref="K1177">IFERROR(_xlfn.LET(
_xlpm.CSVVal,_xlfn.XLOOKUP($A1177,CSV!$A:$A,CSV!N:N,""),
_xlpm.MacVal,_xlfn.XLOOKUP($A1177,Output_Mac!$A:$A,Output_Mac!L:L,""),
_xlpm.MyAuditVal,_xlfn.XLOOKUP($A1177,My_Audit!$A:$A,My_Audit!J:J,""),
_xlfn.IFS(_xlpm.MyAuditVal&lt;&gt;"",UPPER(_xlpm.MyAuditVal),_xlpm.MacVal&lt;&gt;"",_xlpm.MacVal,_xlpm.CSVVal&lt;&gt;"",_xlpm.CSVVal
)),"")</f>
        <v/>
      </c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38"/>
    </row>
    <row r="1178" spans="1:23">
      <c r="A1178" s="45" t="str">
        <f>_xlfn.TEXTJOIN("",TRUE,Input!$B$2,ROW(My_Audit!A1177))</f>
        <v>CC1177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6" t="str" cm="1">
        <f t="array" ref="K1178">IFERROR(_xlfn.LET(
_xlpm.CSVVal,_xlfn.XLOOKUP($A1178,CSV!$A:$A,CSV!N:N,""),
_xlpm.MacVal,_xlfn.XLOOKUP($A1178,Output_Mac!$A:$A,Output_Mac!L:L,""),
_xlpm.MyAuditVal,_xlfn.XLOOKUP($A1178,My_Audit!$A:$A,My_Audit!J:J,""),
_xlfn.IFS(_xlpm.MyAuditVal&lt;&gt;"",UPPER(_xlpm.MyAuditVal),_xlpm.MacVal&lt;&gt;"",_xlpm.MacVal,_xlpm.CSVVal&lt;&gt;"",_xlpm.CSVVal
)),"")</f>
        <v/>
      </c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38"/>
    </row>
    <row r="1179" spans="1:23">
      <c r="A1179" s="45" t="str">
        <f>_xlfn.TEXTJOIN("",TRUE,Input!$B$2,ROW(My_Audit!A1178))</f>
        <v>CC1178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6" t="str" cm="1">
        <f t="array" ref="K1179">IFERROR(_xlfn.LET(
_xlpm.CSVVal,_xlfn.XLOOKUP($A1179,CSV!$A:$A,CSV!N:N,""),
_xlpm.MacVal,_xlfn.XLOOKUP($A1179,Output_Mac!$A:$A,Output_Mac!L:L,""),
_xlpm.MyAuditVal,_xlfn.XLOOKUP($A1179,My_Audit!$A:$A,My_Audit!J:J,""),
_xlfn.IFS(_xlpm.MyAuditVal&lt;&gt;"",UPPER(_xlpm.MyAuditVal),_xlpm.MacVal&lt;&gt;"",_xlpm.MacVal,_xlpm.CSVVal&lt;&gt;"",_xlpm.CSVVal
)),"")</f>
        <v/>
      </c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38"/>
    </row>
    <row r="1180" spans="1:23">
      <c r="A1180" s="45" t="str">
        <f>_xlfn.TEXTJOIN("",TRUE,Input!$B$2,ROW(My_Audit!A1179))</f>
        <v>CC1179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6" t="str" cm="1">
        <f t="array" ref="K1180">IFERROR(_xlfn.LET(
_xlpm.CSVVal,_xlfn.XLOOKUP($A1180,CSV!$A:$A,CSV!N:N,""),
_xlpm.MacVal,_xlfn.XLOOKUP($A1180,Output_Mac!$A:$A,Output_Mac!L:L,""),
_xlpm.MyAuditVal,_xlfn.XLOOKUP($A1180,My_Audit!$A:$A,My_Audit!J:J,""),
_xlfn.IFS(_xlpm.MyAuditVal&lt;&gt;"",UPPER(_xlpm.MyAuditVal),_xlpm.MacVal&lt;&gt;"",_xlpm.MacVal,_xlpm.CSVVal&lt;&gt;"",_xlpm.CSVVal
)),"")</f>
        <v/>
      </c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38"/>
    </row>
    <row r="1181" spans="1:23">
      <c r="A1181" s="45" t="str">
        <f>_xlfn.TEXTJOIN("",TRUE,Input!$B$2,ROW(My_Audit!A1180))</f>
        <v>CC1180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6" t="str" cm="1">
        <f t="array" ref="K1181">IFERROR(_xlfn.LET(
_xlpm.CSVVal,_xlfn.XLOOKUP($A1181,CSV!$A:$A,CSV!N:N,""),
_xlpm.MacVal,_xlfn.XLOOKUP($A1181,Output_Mac!$A:$A,Output_Mac!L:L,""),
_xlpm.MyAuditVal,_xlfn.XLOOKUP($A1181,My_Audit!$A:$A,My_Audit!J:J,""),
_xlfn.IFS(_xlpm.MyAuditVal&lt;&gt;"",UPPER(_xlpm.MyAuditVal),_xlpm.MacVal&lt;&gt;"",_xlpm.MacVal,_xlpm.CSVVal&lt;&gt;"",_xlpm.CSVVal
)),"")</f>
        <v/>
      </c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38"/>
    </row>
    <row r="1182" spans="1:23">
      <c r="A1182" s="45" t="str">
        <f>_xlfn.TEXTJOIN("",TRUE,Input!$B$2,ROW(My_Audit!A1181))</f>
        <v>CC1181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6" t="str" cm="1">
        <f t="array" ref="K1182">IFERROR(_xlfn.LET(
_xlpm.CSVVal,_xlfn.XLOOKUP($A1182,CSV!$A:$A,CSV!N:N,""),
_xlpm.MacVal,_xlfn.XLOOKUP($A1182,Output_Mac!$A:$A,Output_Mac!L:L,""),
_xlpm.MyAuditVal,_xlfn.XLOOKUP($A1182,My_Audit!$A:$A,My_Audit!J:J,""),
_xlfn.IFS(_xlpm.MyAuditVal&lt;&gt;"",UPPER(_xlpm.MyAuditVal),_xlpm.MacVal&lt;&gt;"",_xlpm.MacVal,_xlpm.CSVVal&lt;&gt;"",_xlpm.CSVVal
)),"")</f>
        <v/>
      </c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38"/>
    </row>
    <row r="1183" spans="1:23">
      <c r="A1183" s="45" t="str">
        <f>_xlfn.TEXTJOIN("",TRUE,Input!$B$2,ROW(My_Audit!A1182))</f>
        <v>CC1182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6" t="str" cm="1">
        <f t="array" ref="K1183">IFERROR(_xlfn.LET(
_xlpm.CSVVal,_xlfn.XLOOKUP($A1183,CSV!$A:$A,CSV!N:N,""),
_xlpm.MacVal,_xlfn.XLOOKUP($A1183,Output_Mac!$A:$A,Output_Mac!L:L,""),
_xlpm.MyAuditVal,_xlfn.XLOOKUP($A1183,My_Audit!$A:$A,My_Audit!J:J,""),
_xlfn.IFS(_xlpm.MyAuditVal&lt;&gt;"",UPPER(_xlpm.MyAuditVal),_xlpm.MacVal&lt;&gt;"",_xlpm.MacVal,_xlpm.CSVVal&lt;&gt;"",_xlpm.CSVVal
)),"")</f>
        <v/>
      </c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38"/>
    </row>
    <row r="1184" spans="1:23">
      <c r="A1184" s="45" t="str">
        <f>_xlfn.TEXTJOIN("",TRUE,Input!$B$2,ROW(My_Audit!A1183))</f>
        <v>CC1183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6" t="str" cm="1">
        <f t="array" ref="K1184">IFERROR(_xlfn.LET(
_xlpm.CSVVal,_xlfn.XLOOKUP($A1184,CSV!$A:$A,CSV!N:N,""),
_xlpm.MacVal,_xlfn.XLOOKUP($A1184,Output_Mac!$A:$A,Output_Mac!L:L,""),
_xlpm.MyAuditVal,_xlfn.XLOOKUP($A1184,My_Audit!$A:$A,My_Audit!J:J,""),
_xlfn.IFS(_xlpm.MyAuditVal&lt;&gt;"",UPPER(_xlpm.MyAuditVal),_xlpm.MacVal&lt;&gt;"",_xlpm.MacVal,_xlpm.CSVVal&lt;&gt;"",_xlpm.CSVVal
)),"")</f>
        <v/>
      </c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38"/>
    </row>
    <row r="1185" spans="1:23">
      <c r="A1185" s="45" t="str">
        <f>_xlfn.TEXTJOIN("",TRUE,Input!$B$2,ROW(My_Audit!A1184))</f>
        <v>CC1184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6" t="str" cm="1">
        <f t="array" ref="K1185">IFERROR(_xlfn.LET(
_xlpm.CSVVal,_xlfn.XLOOKUP($A1185,CSV!$A:$A,CSV!N:N,""),
_xlpm.MacVal,_xlfn.XLOOKUP($A1185,Output_Mac!$A:$A,Output_Mac!L:L,""),
_xlpm.MyAuditVal,_xlfn.XLOOKUP($A1185,My_Audit!$A:$A,My_Audit!J:J,""),
_xlfn.IFS(_xlpm.MyAuditVal&lt;&gt;"",UPPER(_xlpm.MyAuditVal),_xlpm.MacVal&lt;&gt;"",_xlpm.MacVal,_xlpm.CSVVal&lt;&gt;"",_xlpm.CSVVal
)),"")</f>
        <v/>
      </c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38"/>
    </row>
    <row r="1186" spans="1:23">
      <c r="A1186" s="45" t="str">
        <f>_xlfn.TEXTJOIN("",TRUE,Input!$B$2,ROW(My_Audit!A1185))</f>
        <v>CC1185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6" t="str" cm="1">
        <f t="array" ref="K1186">IFERROR(_xlfn.LET(
_xlpm.CSVVal,_xlfn.XLOOKUP($A1186,CSV!$A:$A,CSV!N:N,""),
_xlpm.MacVal,_xlfn.XLOOKUP($A1186,Output_Mac!$A:$A,Output_Mac!L:L,""),
_xlpm.MyAuditVal,_xlfn.XLOOKUP($A1186,My_Audit!$A:$A,My_Audit!J:J,""),
_xlfn.IFS(_xlpm.MyAuditVal&lt;&gt;"",UPPER(_xlpm.MyAuditVal),_xlpm.MacVal&lt;&gt;"",_xlpm.MacVal,_xlpm.CSVVal&lt;&gt;"",_xlpm.CSVVal
)),"")</f>
        <v/>
      </c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38"/>
    </row>
    <row r="1187" spans="1:23">
      <c r="A1187" s="45" t="str">
        <f>_xlfn.TEXTJOIN("",TRUE,Input!$B$2,ROW(My_Audit!A1186))</f>
        <v>CC1186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6" t="str" cm="1">
        <f t="array" ref="K1187">IFERROR(_xlfn.LET(
_xlpm.CSVVal,_xlfn.XLOOKUP($A1187,CSV!$A:$A,CSV!N:N,""),
_xlpm.MacVal,_xlfn.XLOOKUP($A1187,Output_Mac!$A:$A,Output_Mac!L:L,""),
_xlpm.MyAuditVal,_xlfn.XLOOKUP($A1187,My_Audit!$A:$A,My_Audit!J:J,""),
_xlfn.IFS(_xlpm.MyAuditVal&lt;&gt;"",UPPER(_xlpm.MyAuditVal),_xlpm.MacVal&lt;&gt;"",_xlpm.MacVal,_xlpm.CSVVal&lt;&gt;"",_xlpm.CSVVal
)),"")</f>
        <v/>
      </c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38"/>
    </row>
    <row r="1188" spans="1:23">
      <c r="A1188" s="45" t="str">
        <f>_xlfn.TEXTJOIN("",TRUE,Input!$B$2,ROW(My_Audit!A1187))</f>
        <v>CC1187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6" t="str" cm="1">
        <f t="array" ref="K1188">IFERROR(_xlfn.LET(
_xlpm.CSVVal,_xlfn.XLOOKUP($A1188,CSV!$A:$A,CSV!N:N,""),
_xlpm.MacVal,_xlfn.XLOOKUP($A1188,Output_Mac!$A:$A,Output_Mac!L:L,""),
_xlpm.MyAuditVal,_xlfn.XLOOKUP($A1188,My_Audit!$A:$A,My_Audit!J:J,""),
_xlfn.IFS(_xlpm.MyAuditVal&lt;&gt;"",UPPER(_xlpm.MyAuditVal),_xlpm.MacVal&lt;&gt;"",_xlpm.MacVal,_xlpm.CSVVal&lt;&gt;"",_xlpm.CSVVal
)),"")</f>
        <v/>
      </c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38"/>
    </row>
    <row r="1189" spans="1:23">
      <c r="A1189" s="45" t="str">
        <f>_xlfn.TEXTJOIN("",TRUE,Input!$B$2,ROW(My_Audit!A1188))</f>
        <v>CC1188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6" t="str" cm="1">
        <f t="array" ref="K1189">IFERROR(_xlfn.LET(
_xlpm.CSVVal,_xlfn.XLOOKUP($A1189,CSV!$A:$A,CSV!N:N,""),
_xlpm.MacVal,_xlfn.XLOOKUP($A1189,Output_Mac!$A:$A,Output_Mac!L:L,""),
_xlpm.MyAuditVal,_xlfn.XLOOKUP($A1189,My_Audit!$A:$A,My_Audit!J:J,""),
_xlfn.IFS(_xlpm.MyAuditVal&lt;&gt;"",UPPER(_xlpm.MyAuditVal),_xlpm.MacVal&lt;&gt;"",_xlpm.MacVal,_xlpm.CSVVal&lt;&gt;"",_xlpm.CSVVal
)),"")</f>
        <v/>
      </c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38"/>
    </row>
    <row r="1190" spans="1:23">
      <c r="A1190" s="45" t="str">
        <f>_xlfn.TEXTJOIN("",TRUE,Input!$B$2,ROW(My_Audit!A1189))</f>
        <v>CC1189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6" t="str" cm="1">
        <f t="array" ref="K1190">IFERROR(_xlfn.LET(
_xlpm.CSVVal,_xlfn.XLOOKUP($A1190,CSV!$A:$A,CSV!N:N,""),
_xlpm.MacVal,_xlfn.XLOOKUP($A1190,Output_Mac!$A:$A,Output_Mac!L:L,""),
_xlpm.MyAuditVal,_xlfn.XLOOKUP($A1190,My_Audit!$A:$A,My_Audit!J:J,""),
_xlfn.IFS(_xlpm.MyAuditVal&lt;&gt;"",UPPER(_xlpm.MyAuditVal),_xlpm.MacVal&lt;&gt;"",_xlpm.MacVal,_xlpm.CSVVal&lt;&gt;"",_xlpm.CSVVal
)),"")</f>
        <v/>
      </c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38"/>
    </row>
    <row r="1191" spans="1:23">
      <c r="A1191" s="45" t="str">
        <f>_xlfn.TEXTJOIN("",TRUE,Input!$B$2,ROW(My_Audit!A1190))</f>
        <v>CC1190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6" t="str" cm="1">
        <f t="array" ref="K1191">IFERROR(_xlfn.LET(
_xlpm.CSVVal,_xlfn.XLOOKUP($A1191,CSV!$A:$A,CSV!N:N,""),
_xlpm.MacVal,_xlfn.XLOOKUP($A1191,Output_Mac!$A:$A,Output_Mac!L:L,""),
_xlpm.MyAuditVal,_xlfn.XLOOKUP($A1191,My_Audit!$A:$A,My_Audit!J:J,""),
_xlfn.IFS(_xlpm.MyAuditVal&lt;&gt;"",UPPER(_xlpm.MyAuditVal),_xlpm.MacVal&lt;&gt;"",_xlpm.MacVal,_xlpm.CSVVal&lt;&gt;"",_xlpm.CSVVal
)),"")</f>
        <v/>
      </c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38"/>
    </row>
    <row r="1192" spans="1:23">
      <c r="A1192" s="45" t="str">
        <f>_xlfn.TEXTJOIN("",TRUE,Input!$B$2,ROW(My_Audit!A1191))</f>
        <v>CC1191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6" t="str" cm="1">
        <f t="array" ref="K1192">IFERROR(_xlfn.LET(
_xlpm.CSVVal,_xlfn.XLOOKUP($A1192,CSV!$A:$A,CSV!N:N,""),
_xlpm.MacVal,_xlfn.XLOOKUP($A1192,Output_Mac!$A:$A,Output_Mac!L:L,""),
_xlpm.MyAuditVal,_xlfn.XLOOKUP($A1192,My_Audit!$A:$A,My_Audit!J:J,""),
_xlfn.IFS(_xlpm.MyAuditVal&lt;&gt;"",UPPER(_xlpm.MyAuditVal),_xlpm.MacVal&lt;&gt;"",_xlpm.MacVal,_xlpm.CSVVal&lt;&gt;"",_xlpm.CSVVal
)),"")</f>
        <v/>
      </c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38"/>
    </row>
    <row r="1193" spans="1:23">
      <c r="A1193" s="45" t="str">
        <f>_xlfn.TEXTJOIN("",TRUE,Input!$B$2,ROW(My_Audit!A1192))</f>
        <v>CC1192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6" t="str" cm="1">
        <f t="array" ref="K1193">IFERROR(_xlfn.LET(
_xlpm.CSVVal,_xlfn.XLOOKUP($A1193,CSV!$A:$A,CSV!N:N,""),
_xlpm.MacVal,_xlfn.XLOOKUP($A1193,Output_Mac!$A:$A,Output_Mac!L:L,""),
_xlpm.MyAuditVal,_xlfn.XLOOKUP($A1193,My_Audit!$A:$A,My_Audit!J:J,""),
_xlfn.IFS(_xlpm.MyAuditVal&lt;&gt;"",UPPER(_xlpm.MyAuditVal),_xlpm.MacVal&lt;&gt;"",_xlpm.MacVal,_xlpm.CSVVal&lt;&gt;"",_xlpm.CSVVal
)),"")</f>
        <v/>
      </c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38"/>
    </row>
    <row r="1194" spans="1:23">
      <c r="A1194" s="45" t="str">
        <f>_xlfn.TEXTJOIN("",TRUE,Input!$B$2,ROW(My_Audit!A1193))</f>
        <v>CC1193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6" t="str" cm="1">
        <f t="array" ref="K1194">IFERROR(_xlfn.LET(
_xlpm.CSVVal,_xlfn.XLOOKUP($A1194,CSV!$A:$A,CSV!N:N,""),
_xlpm.MacVal,_xlfn.XLOOKUP($A1194,Output_Mac!$A:$A,Output_Mac!L:L,""),
_xlpm.MyAuditVal,_xlfn.XLOOKUP($A1194,My_Audit!$A:$A,My_Audit!J:J,""),
_xlfn.IFS(_xlpm.MyAuditVal&lt;&gt;"",UPPER(_xlpm.MyAuditVal),_xlpm.MacVal&lt;&gt;"",_xlpm.MacVal,_xlpm.CSVVal&lt;&gt;"",_xlpm.CSVVal
)),"")</f>
        <v/>
      </c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38"/>
    </row>
    <row r="1195" spans="1:23">
      <c r="A1195" s="45" t="str">
        <f>_xlfn.TEXTJOIN("",TRUE,Input!$B$2,ROW(My_Audit!A1194))</f>
        <v>CC1194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6" t="str" cm="1">
        <f t="array" ref="K1195">IFERROR(_xlfn.LET(
_xlpm.CSVVal,_xlfn.XLOOKUP($A1195,CSV!$A:$A,CSV!N:N,""),
_xlpm.MacVal,_xlfn.XLOOKUP($A1195,Output_Mac!$A:$A,Output_Mac!L:L,""),
_xlpm.MyAuditVal,_xlfn.XLOOKUP($A1195,My_Audit!$A:$A,My_Audit!J:J,""),
_xlfn.IFS(_xlpm.MyAuditVal&lt;&gt;"",UPPER(_xlpm.MyAuditVal),_xlpm.MacVal&lt;&gt;"",_xlpm.MacVal,_xlpm.CSVVal&lt;&gt;"",_xlpm.CSVVal
)),"")</f>
        <v/>
      </c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38"/>
    </row>
    <row r="1196" spans="1:23">
      <c r="A1196" s="45" t="str">
        <f>_xlfn.TEXTJOIN("",TRUE,Input!$B$2,ROW(My_Audit!A1195))</f>
        <v>CC1195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6" t="str" cm="1">
        <f t="array" ref="K1196">IFERROR(_xlfn.LET(
_xlpm.CSVVal,_xlfn.XLOOKUP($A1196,CSV!$A:$A,CSV!N:N,""),
_xlpm.MacVal,_xlfn.XLOOKUP($A1196,Output_Mac!$A:$A,Output_Mac!L:L,""),
_xlpm.MyAuditVal,_xlfn.XLOOKUP($A1196,My_Audit!$A:$A,My_Audit!J:J,""),
_xlfn.IFS(_xlpm.MyAuditVal&lt;&gt;"",UPPER(_xlpm.MyAuditVal),_xlpm.MacVal&lt;&gt;"",_xlpm.MacVal,_xlpm.CSVVal&lt;&gt;"",_xlpm.CSVVal
)),"")</f>
        <v/>
      </c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38"/>
    </row>
    <row r="1197" spans="1:23">
      <c r="A1197" s="45" t="str">
        <f>_xlfn.TEXTJOIN("",TRUE,Input!$B$2,ROW(My_Audit!A1196))</f>
        <v>CC1196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6" t="str" cm="1">
        <f t="array" ref="K1197">IFERROR(_xlfn.LET(
_xlpm.CSVVal,_xlfn.XLOOKUP($A1197,CSV!$A:$A,CSV!N:N,""),
_xlpm.MacVal,_xlfn.XLOOKUP($A1197,Output_Mac!$A:$A,Output_Mac!L:L,""),
_xlpm.MyAuditVal,_xlfn.XLOOKUP($A1197,My_Audit!$A:$A,My_Audit!J:J,""),
_xlfn.IFS(_xlpm.MyAuditVal&lt;&gt;"",UPPER(_xlpm.MyAuditVal),_xlpm.MacVal&lt;&gt;"",_xlpm.MacVal,_xlpm.CSVVal&lt;&gt;"",_xlpm.CSVVal
)),"")</f>
        <v/>
      </c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38"/>
    </row>
    <row r="1198" spans="1:23">
      <c r="A1198" s="45" t="str">
        <f>_xlfn.TEXTJOIN("",TRUE,Input!$B$2,ROW(My_Audit!A1197))</f>
        <v>CC1197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6" t="str" cm="1">
        <f t="array" ref="K1198">IFERROR(_xlfn.LET(
_xlpm.CSVVal,_xlfn.XLOOKUP($A1198,CSV!$A:$A,CSV!N:N,""),
_xlpm.MacVal,_xlfn.XLOOKUP($A1198,Output_Mac!$A:$A,Output_Mac!L:L,""),
_xlpm.MyAuditVal,_xlfn.XLOOKUP($A1198,My_Audit!$A:$A,My_Audit!J:J,""),
_xlfn.IFS(_xlpm.MyAuditVal&lt;&gt;"",UPPER(_xlpm.MyAuditVal),_xlpm.MacVal&lt;&gt;"",_xlpm.MacVal,_xlpm.CSVVal&lt;&gt;"",_xlpm.CSVVal
)),"")</f>
        <v/>
      </c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38"/>
    </row>
    <row r="1199" spans="1:23">
      <c r="A1199" s="45" t="str">
        <f>_xlfn.TEXTJOIN("",TRUE,Input!$B$2,ROW(My_Audit!A1198))</f>
        <v>CC1198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6" t="str" cm="1">
        <f t="array" ref="K1199">IFERROR(_xlfn.LET(
_xlpm.CSVVal,_xlfn.XLOOKUP($A1199,CSV!$A:$A,CSV!N:N,""),
_xlpm.MacVal,_xlfn.XLOOKUP($A1199,Output_Mac!$A:$A,Output_Mac!L:L,""),
_xlpm.MyAuditVal,_xlfn.XLOOKUP($A1199,My_Audit!$A:$A,My_Audit!J:J,""),
_xlfn.IFS(_xlpm.MyAuditVal&lt;&gt;"",UPPER(_xlpm.MyAuditVal),_xlpm.MacVal&lt;&gt;"",_xlpm.MacVal,_xlpm.CSVVal&lt;&gt;"",_xlpm.CSVVal
)),"")</f>
        <v/>
      </c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38"/>
    </row>
    <row r="1200" spans="1:23">
      <c r="A1200" s="45" t="str">
        <f>_xlfn.TEXTJOIN("",TRUE,Input!$B$2,ROW(My_Audit!A1199))</f>
        <v>CC1199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6" t="str" cm="1">
        <f t="array" ref="K1200">IFERROR(_xlfn.LET(
_xlpm.CSVVal,_xlfn.XLOOKUP($A1200,CSV!$A:$A,CSV!N:N,""),
_xlpm.MacVal,_xlfn.XLOOKUP($A1200,Output_Mac!$A:$A,Output_Mac!L:L,""),
_xlpm.MyAuditVal,_xlfn.XLOOKUP($A1200,My_Audit!$A:$A,My_Audit!J:J,""),
_xlfn.IFS(_xlpm.MyAuditVal&lt;&gt;"",UPPER(_xlpm.MyAuditVal),_xlpm.MacVal&lt;&gt;"",_xlpm.MacVal,_xlpm.CSVVal&lt;&gt;"",_xlpm.CSVVal
)),"")</f>
        <v/>
      </c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38"/>
    </row>
    <row r="1201" spans="1:23">
      <c r="A1201" s="45" t="str">
        <f>_xlfn.TEXTJOIN("",TRUE,Input!$B$2,ROW(My_Audit!A1200))</f>
        <v>CC1200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6" t="str" cm="1">
        <f t="array" ref="K1201">IFERROR(_xlfn.LET(
_xlpm.CSVVal,_xlfn.XLOOKUP($A1201,CSV!$A:$A,CSV!N:N,""),
_xlpm.MacVal,_xlfn.XLOOKUP($A1201,Output_Mac!$A:$A,Output_Mac!L:L,""),
_xlpm.MyAuditVal,_xlfn.XLOOKUP($A1201,My_Audit!$A:$A,My_Audit!J:J,""),
_xlfn.IFS(_xlpm.MyAuditVal&lt;&gt;"",UPPER(_xlpm.MyAuditVal),_xlpm.MacVal&lt;&gt;"",_xlpm.MacVal,_xlpm.CSVVal&lt;&gt;"",_xlpm.CSVVal
)),"")</f>
        <v/>
      </c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38"/>
    </row>
    <row r="1202" spans="1:23">
      <c r="A1202" s="45" t="str">
        <f>_xlfn.TEXTJOIN("",TRUE,Input!$B$2,ROW(My_Audit!A1201))</f>
        <v>CC1201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6" t="str" cm="1">
        <f t="array" ref="K1202">IFERROR(_xlfn.LET(
_xlpm.CSVVal,_xlfn.XLOOKUP($A1202,CSV!$A:$A,CSV!N:N,""),
_xlpm.MacVal,_xlfn.XLOOKUP($A1202,Output_Mac!$A:$A,Output_Mac!L:L,""),
_xlpm.MyAuditVal,_xlfn.XLOOKUP($A1202,My_Audit!$A:$A,My_Audit!J:J,""),
_xlfn.IFS(_xlpm.MyAuditVal&lt;&gt;"",UPPER(_xlpm.MyAuditVal),_xlpm.MacVal&lt;&gt;"",_xlpm.MacVal,_xlpm.CSVVal&lt;&gt;"",_xlpm.CSVVal
)),"")</f>
        <v/>
      </c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38"/>
    </row>
    <row r="1203" spans="1:23">
      <c r="A1203" s="45" t="str">
        <f>_xlfn.TEXTJOIN("",TRUE,Input!$B$2,ROW(My_Audit!A1202))</f>
        <v>CC1202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6" t="str" cm="1">
        <f t="array" ref="K1203">IFERROR(_xlfn.LET(
_xlpm.CSVVal,_xlfn.XLOOKUP($A1203,CSV!$A:$A,CSV!N:N,""),
_xlpm.MacVal,_xlfn.XLOOKUP($A1203,Output_Mac!$A:$A,Output_Mac!L:L,""),
_xlpm.MyAuditVal,_xlfn.XLOOKUP($A1203,My_Audit!$A:$A,My_Audit!J:J,""),
_xlfn.IFS(_xlpm.MyAuditVal&lt;&gt;"",UPPER(_xlpm.MyAuditVal),_xlpm.MacVal&lt;&gt;"",_xlpm.MacVal,_xlpm.CSVVal&lt;&gt;"",_xlpm.CSVVal
)),"")</f>
        <v/>
      </c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38"/>
    </row>
    <row r="1204" spans="1:23">
      <c r="A1204" s="45" t="str">
        <f>_xlfn.TEXTJOIN("",TRUE,Input!$B$2,ROW(My_Audit!A1203))</f>
        <v>CC1203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6" t="str" cm="1">
        <f t="array" ref="K1204">IFERROR(_xlfn.LET(
_xlpm.CSVVal,_xlfn.XLOOKUP($A1204,CSV!$A:$A,CSV!N:N,""),
_xlpm.MacVal,_xlfn.XLOOKUP($A1204,Output_Mac!$A:$A,Output_Mac!L:L,""),
_xlpm.MyAuditVal,_xlfn.XLOOKUP($A1204,My_Audit!$A:$A,My_Audit!J:J,""),
_xlfn.IFS(_xlpm.MyAuditVal&lt;&gt;"",UPPER(_xlpm.MyAuditVal),_xlpm.MacVal&lt;&gt;"",_xlpm.MacVal,_xlpm.CSVVal&lt;&gt;"",_xlpm.CSVVal
)),"")</f>
        <v/>
      </c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38"/>
    </row>
    <row r="1205" spans="1:23">
      <c r="A1205" s="45" t="str">
        <f>_xlfn.TEXTJOIN("",TRUE,Input!$B$2,ROW(My_Audit!A1204))</f>
        <v>CC1204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6" t="str" cm="1">
        <f t="array" ref="K1205">IFERROR(_xlfn.LET(
_xlpm.CSVVal,_xlfn.XLOOKUP($A1205,CSV!$A:$A,CSV!N:N,""),
_xlpm.MacVal,_xlfn.XLOOKUP($A1205,Output_Mac!$A:$A,Output_Mac!L:L,""),
_xlpm.MyAuditVal,_xlfn.XLOOKUP($A1205,My_Audit!$A:$A,My_Audit!J:J,""),
_xlfn.IFS(_xlpm.MyAuditVal&lt;&gt;"",UPPER(_xlpm.MyAuditVal),_xlpm.MacVal&lt;&gt;"",_xlpm.MacVal,_xlpm.CSVVal&lt;&gt;"",_xlpm.CSVVal
)),"")</f>
        <v/>
      </c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38"/>
    </row>
    <row r="1206" spans="1:23">
      <c r="A1206" s="45" t="str">
        <f>_xlfn.TEXTJOIN("",TRUE,Input!$B$2,ROW(My_Audit!A1205))</f>
        <v>CC1205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6" t="str" cm="1">
        <f t="array" ref="K1206">IFERROR(_xlfn.LET(
_xlpm.CSVVal,_xlfn.XLOOKUP($A1206,CSV!$A:$A,CSV!N:N,""),
_xlpm.MacVal,_xlfn.XLOOKUP($A1206,Output_Mac!$A:$A,Output_Mac!L:L,""),
_xlpm.MyAuditVal,_xlfn.XLOOKUP($A1206,My_Audit!$A:$A,My_Audit!J:J,""),
_xlfn.IFS(_xlpm.MyAuditVal&lt;&gt;"",UPPER(_xlpm.MyAuditVal),_xlpm.MacVal&lt;&gt;"",_xlpm.MacVal,_xlpm.CSVVal&lt;&gt;"",_xlpm.CSVVal
)),"")</f>
        <v/>
      </c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38"/>
    </row>
    <row r="1207" spans="1:23">
      <c r="A1207" s="45" t="str">
        <f>_xlfn.TEXTJOIN("",TRUE,Input!$B$2,ROW(My_Audit!A1206))</f>
        <v>CC1206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6" t="str" cm="1">
        <f t="array" ref="K1207">IFERROR(_xlfn.LET(
_xlpm.CSVVal,_xlfn.XLOOKUP($A1207,CSV!$A:$A,CSV!N:N,""),
_xlpm.MacVal,_xlfn.XLOOKUP($A1207,Output_Mac!$A:$A,Output_Mac!L:L,""),
_xlpm.MyAuditVal,_xlfn.XLOOKUP($A1207,My_Audit!$A:$A,My_Audit!J:J,""),
_xlfn.IFS(_xlpm.MyAuditVal&lt;&gt;"",UPPER(_xlpm.MyAuditVal),_xlpm.MacVal&lt;&gt;"",_xlpm.MacVal,_xlpm.CSVVal&lt;&gt;"",_xlpm.CSVVal
)),"")</f>
        <v/>
      </c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38"/>
    </row>
    <row r="1208" spans="1:23">
      <c r="A1208" s="45" t="str">
        <f>_xlfn.TEXTJOIN("",TRUE,Input!$B$2,ROW(My_Audit!A1207))</f>
        <v>CC1207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6" t="str" cm="1">
        <f t="array" ref="K1208">IFERROR(_xlfn.LET(
_xlpm.CSVVal,_xlfn.XLOOKUP($A1208,CSV!$A:$A,CSV!N:N,""),
_xlpm.MacVal,_xlfn.XLOOKUP($A1208,Output_Mac!$A:$A,Output_Mac!L:L,""),
_xlpm.MyAuditVal,_xlfn.XLOOKUP($A1208,My_Audit!$A:$A,My_Audit!J:J,""),
_xlfn.IFS(_xlpm.MyAuditVal&lt;&gt;"",UPPER(_xlpm.MyAuditVal),_xlpm.MacVal&lt;&gt;"",_xlpm.MacVal,_xlpm.CSVVal&lt;&gt;"",_xlpm.CSVVal
)),"")</f>
        <v/>
      </c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38"/>
    </row>
    <row r="1209" spans="1:23">
      <c r="A1209" s="45" t="str">
        <f>_xlfn.TEXTJOIN("",TRUE,Input!$B$2,ROW(My_Audit!A1208))</f>
        <v>CC1208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6" t="str" cm="1">
        <f t="array" ref="K1209">IFERROR(_xlfn.LET(
_xlpm.CSVVal,_xlfn.XLOOKUP($A1209,CSV!$A:$A,CSV!N:N,""),
_xlpm.MacVal,_xlfn.XLOOKUP($A1209,Output_Mac!$A:$A,Output_Mac!L:L,""),
_xlpm.MyAuditVal,_xlfn.XLOOKUP($A1209,My_Audit!$A:$A,My_Audit!J:J,""),
_xlfn.IFS(_xlpm.MyAuditVal&lt;&gt;"",UPPER(_xlpm.MyAuditVal),_xlpm.MacVal&lt;&gt;"",_xlpm.MacVal,_xlpm.CSVVal&lt;&gt;"",_xlpm.CSVVal
)),"")</f>
        <v/>
      </c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38"/>
    </row>
    <row r="1210" spans="1:23">
      <c r="A1210" s="45" t="str">
        <f>_xlfn.TEXTJOIN("",TRUE,Input!$B$2,ROW(My_Audit!A1209))</f>
        <v>CC1209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6" t="str" cm="1">
        <f t="array" ref="K1210">IFERROR(_xlfn.LET(
_xlpm.CSVVal,_xlfn.XLOOKUP($A1210,CSV!$A:$A,CSV!N:N,""),
_xlpm.MacVal,_xlfn.XLOOKUP($A1210,Output_Mac!$A:$A,Output_Mac!L:L,""),
_xlpm.MyAuditVal,_xlfn.XLOOKUP($A1210,My_Audit!$A:$A,My_Audit!J:J,""),
_xlfn.IFS(_xlpm.MyAuditVal&lt;&gt;"",UPPER(_xlpm.MyAuditVal),_xlpm.MacVal&lt;&gt;"",_xlpm.MacVal,_xlpm.CSVVal&lt;&gt;"",_xlpm.CSVVal
)),"")</f>
        <v/>
      </c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38"/>
    </row>
    <row r="1211" spans="1:23">
      <c r="A1211" s="45" t="str">
        <f>_xlfn.TEXTJOIN("",TRUE,Input!$B$2,ROW(My_Audit!A1210))</f>
        <v>CC1210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6" t="str" cm="1">
        <f t="array" ref="K1211">IFERROR(_xlfn.LET(
_xlpm.CSVVal,_xlfn.XLOOKUP($A1211,CSV!$A:$A,CSV!N:N,""),
_xlpm.MacVal,_xlfn.XLOOKUP($A1211,Output_Mac!$A:$A,Output_Mac!L:L,""),
_xlpm.MyAuditVal,_xlfn.XLOOKUP($A1211,My_Audit!$A:$A,My_Audit!J:J,""),
_xlfn.IFS(_xlpm.MyAuditVal&lt;&gt;"",UPPER(_xlpm.MyAuditVal),_xlpm.MacVal&lt;&gt;"",_xlpm.MacVal,_xlpm.CSVVal&lt;&gt;"",_xlpm.CSVVal
)),"")</f>
        <v/>
      </c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38"/>
    </row>
    <row r="1212" spans="1:23">
      <c r="A1212" s="45" t="str">
        <f>_xlfn.TEXTJOIN("",TRUE,Input!$B$2,ROW(My_Audit!A1211))</f>
        <v>CC1211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6" t="str" cm="1">
        <f t="array" ref="K1212">IFERROR(_xlfn.LET(
_xlpm.CSVVal,_xlfn.XLOOKUP($A1212,CSV!$A:$A,CSV!N:N,""),
_xlpm.MacVal,_xlfn.XLOOKUP($A1212,Output_Mac!$A:$A,Output_Mac!L:L,""),
_xlpm.MyAuditVal,_xlfn.XLOOKUP($A1212,My_Audit!$A:$A,My_Audit!J:J,""),
_xlfn.IFS(_xlpm.MyAuditVal&lt;&gt;"",UPPER(_xlpm.MyAuditVal),_xlpm.MacVal&lt;&gt;"",_xlpm.MacVal,_xlpm.CSVVal&lt;&gt;"",_xlpm.CSVVal
)),"")</f>
        <v/>
      </c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38"/>
    </row>
    <row r="1213" spans="1:23">
      <c r="A1213" s="45" t="str">
        <f>_xlfn.TEXTJOIN("",TRUE,Input!$B$2,ROW(My_Audit!A1212))</f>
        <v>CC1212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6" t="str" cm="1">
        <f t="array" ref="K1213">IFERROR(_xlfn.LET(
_xlpm.CSVVal,_xlfn.XLOOKUP($A1213,CSV!$A:$A,CSV!N:N,""),
_xlpm.MacVal,_xlfn.XLOOKUP($A1213,Output_Mac!$A:$A,Output_Mac!L:L,""),
_xlpm.MyAuditVal,_xlfn.XLOOKUP($A1213,My_Audit!$A:$A,My_Audit!J:J,""),
_xlfn.IFS(_xlpm.MyAuditVal&lt;&gt;"",UPPER(_xlpm.MyAuditVal),_xlpm.MacVal&lt;&gt;"",_xlpm.MacVal,_xlpm.CSVVal&lt;&gt;"",_xlpm.CSVVal
)),"")</f>
        <v/>
      </c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38"/>
    </row>
    <row r="1214" spans="1:23">
      <c r="A1214" s="45" t="str">
        <f>_xlfn.TEXTJOIN("",TRUE,Input!$B$2,ROW(My_Audit!A1213))</f>
        <v>CC1213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6" t="str" cm="1">
        <f t="array" ref="K1214">IFERROR(_xlfn.LET(
_xlpm.CSVVal,_xlfn.XLOOKUP($A1214,CSV!$A:$A,CSV!N:N,""),
_xlpm.MacVal,_xlfn.XLOOKUP($A1214,Output_Mac!$A:$A,Output_Mac!L:L,""),
_xlpm.MyAuditVal,_xlfn.XLOOKUP($A1214,My_Audit!$A:$A,My_Audit!J:J,""),
_xlfn.IFS(_xlpm.MyAuditVal&lt;&gt;"",UPPER(_xlpm.MyAuditVal),_xlpm.MacVal&lt;&gt;"",_xlpm.MacVal,_xlpm.CSVVal&lt;&gt;"",_xlpm.CSVVal
)),"")</f>
        <v/>
      </c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38"/>
    </row>
    <row r="1215" spans="1:23">
      <c r="A1215" s="45" t="str">
        <f>_xlfn.TEXTJOIN("",TRUE,Input!$B$2,ROW(My_Audit!A1214))</f>
        <v>CC1214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6" t="str" cm="1">
        <f t="array" ref="K1215">IFERROR(_xlfn.LET(
_xlpm.CSVVal,_xlfn.XLOOKUP($A1215,CSV!$A:$A,CSV!N:N,""),
_xlpm.MacVal,_xlfn.XLOOKUP($A1215,Output_Mac!$A:$A,Output_Mac!L:L,""),
_xlpm.MyAuditVal,_xlfn.XLOOKUP($A1215,My_Audit!$A:$A,My_Audit!J:J,""),
_xlfn.IFS(_xlpm.MyAuditVal&lt;&gt;"",UPPER(_xlpm.MyAuditVal),_xlpm.MacVal&lt;&gt;"",_xlpm.MacVal,_xlpm.CSVVal&lt;&gt;"",_xlpm.CSVVal
)),"")</f>
        <v/>
      </c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38"/>
    </row>
    <row r="1216" spans="1:23">
      <c r="A1216" s="45" t="str">
        <f>_xlfn.TEXTJOIN("",TRUE,Input!$B$2,ROW(My_Audit!A1215))</f>
        <v>CC1215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6" t="str" cm="1">
        <f t="array" ref="K1216">IFERROR(_xlfn.LET(
_xlpm.CSVVal,_xlfn.XLOOKUP($A1216,CSV!$A:$A,CSV!N:N,""),
_xlpm.MacVal,_xlfn.XLOOKUP($A1216,Output_Mac!$A:$A,Output_Mac!L:L,""),
_xlpm.MyAuditVal,_xlfn.XLOOKUP($A1216,My_Audit!$A:$A,My_Audit!J:J,""),
_xlfn.IFS(_xlpm.MyAuditVal&lt;&gt;"",UPPER(_xlpm.MyAuditVal),_xlpm.MacVal&lt;&gt;"",_xlpm.MacVal,_xlpm.CSVVal&lt;&gt;"",_xlpm.CSVVal
)),"")</f>
        <v/>
      </c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38"/>
    </row>
    <row r="1217" spans="1:23">
      <c r="A1217" s="45" t="str">
        <f>_xlfn.TEXTJOIN("",TRUE,Input!$B$2,ROW(My_Audit!A1216))</f>
        <v>CC1216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6" t="str" cm="1">
        <f t="array" ref="K1217">IFERROR(_xlfn.LET(
_xlpm.CSVVal,_xlfn.XLOOKUP($A1217,CSV!$A:$A,CSV!N:N,""),
_xlpm.MacVal,_xlfn.XLOOKUP($A1217,Output_Mac!$A:$A,Output_Mac!L:L,""),
_xlpm.MyAuditVal,_xlfn.XLOOKUP($A1217,My_Audit!$A:$A,My_Audit!J:J,""),
_xlfn.IFS(_xlpm.MyAuditVal&lt;&gt;"",UPPER(_xlpm.MyAuditVal),_xlpm.MacVal&lt;&gt;"",_xlpm.MacVal,_xlpm.CSVVal&lt;&gt;"",_xlpm.CSVVal
)),"")</f>
        <v/>
      </c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38"/>
    </row>
    <row r="1218" spans="1:23">
      <c r="A1218" s="45" t="str">
        <f>_xlfn.TEXTJOIN("",TRUE,Input!$B$2,ROW(My_Audit!A1217))</f>
        <v>CC1217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6" t="str" cm="1">
        <f t="array" ref="K1218">IFERROR(_xlfn.LET(
_xlpm.CSVVal,_xlfn.XLOOKUP($A1218,CSV!$A:$A,CSV!N:N,""),
_xlpm.MacVal,_xlfn.XLOOKUP($A1218,Output_Mac!$A:$A,Output_Mac!L:L,""),
_xlpm.MyAuditVal,_xlfn.XLOOKUP($A1218,My_Audit!$A:$A,My_Audit!J:J,""),
_xlfn.IFS(_xlpm.MyAuditVal&lt;&gt;"",UPPER(_xlpm.MyAuditVal),_xlpm.MacVal&lt;&gt;"",_xlpm.MacVal,_xlpm.CSVVal&lt;&gt;"",_xlpm.CSVVal
)),"")</f>
        <v/>
      </c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38"/>
    </row>
    <row r="1219" spans="1:23">
      <c r="A1219" s="45" t="str">
        <f>_xlfn.TEXTJOIN("",TRUE,Input!$B$2,ROW(My_Audit!A1218))</f>
        <v>CC1218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6" t="str" cm="1">
        <f t="array" ref="K1219">IFERROR(_xlfn.LET(
_xlpm.CSVVal,_xlfn.XLOOKUP($A1219,CSV!$A:$A,CSV!N:N,""),
_xlpm.MacVal,_xlfn.XLOOKUP($A1219,Output_Mac!$A:$A,Output_Mac!L:L,""),
_xlpm.MyAuditVal,_xlfn.XLOOKUP($A1219,My_Audit!$A:$A,My_Audit!J:J,""),
_xlfn.IFS(_xlpm.MyAuditVal&lt;&gt;"",UPPER(_xlpm.MyAuditVal),_xlpm.MacVal&lt;&gt;"",_xlpm.MacVal,_xlpm.CSVVal&lt;&gt;"",_xlpm.CSVVal
)),"")</f>
        <v/>
      </c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38"/>
    </row>
    <row r="1220" spans="1:23">
      <c r="A1220" s="45" t="str">
        <f>_xlfn.TEXTJOIN("",TRUE,Input!$B$2,ROW(My_Audit!A1219))</f>
        <v>CC1219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6" t="str" cm="1">
        <f t="array" ref="K1220">IFERROR(_xlfn.LET(
_xlpm.CSVVal,_xlfn.XLOOKUP($A1220,CSV!$A:$A,CSV!N:N,""),
_xlpm.MacVal,_xlfn.XLOOKUP($A1220,Output_Mac!$A:$A,Output_Mac!L:L,""),
_xlpm.MyAuditVal,_xlfn.XLOOKUP($A1220,My_Audit!$A:$A,My_Audit!J:J,""),
_xlfn.IFS(_xlpm.MyAuditVal&lt;&gt;"",UPPER(_xlpm.MyAuditVal),_xlpm.MacVal&lt;&gt;"",_xlpm.MacVal,_xlpm.CSVVal&lt;&gt;"",_xlpm.CSVVal
)),"")</f>
        <v/>
      </c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38"/>
    </row>
    <row r="1221" spans="1:23">
      <c r="A1221" s="45" t="str">
        <f>_xlfn.TEXTJOIN("",TRUE,Input!$B$2,ROW(My_Audit!A1220))</f>
        <v>CC1220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6" t="str" cm="1">
        <f t="array" ref="K1221">IFERROR(_xlfn.LET(
_xlpm.CSVVal,_xlfn.XLOOKUP($A1221,CSV!$A:$A,CSV!N:N,""),
_xlpm.MacVal,_xlfn.XLOOKUP($A1221,Output_Mac!$A:$A,Output_Mac!L:L,""),
_xlpm.MyAuditVal,_xlfn.XLOOKUP($A1221,My_Audit!$A:$A,My_Audit!J:J,""),
_xlfn.IFS(_xlpm.MyAuditVal&lt;&gt;"",UPPER(_xlpm.MyAuditVal),_xlpm.MacVal&lt;&gt;"",_xlpm.MacVal,_xlpm.CSVVal&lt;&gt;"",_xlpm.CSVVal
)),"")</f>
        <v/>
      </c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38"/>
    </row>
    <row r="1222" spans="1:23">
      <c r="A1222" s="45" t="str">
        <f>_xlfn.TEXTJOIN("",TRUE,Input!$B$2,ROW(My_Audit!A1221))</f>
        <v>CC1221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6" t="str" cm="1">
        <f t="array" ref="K1222">IFERROR(_xlfn.LET(
_xlpm.CSVVal,_xlfn.XLOOKUP($A1222,CSV!$A:$A,CSV!N:N,""),
_xlpm.MacVal,_xlfn.XLOOKUP($A1222,Output_Mac!$A:$A,Output_Mac!L:L,""),
_xlpm.MyAuditVal,_xlfn.XLOOKUP($A1222,My_Audit!$A:$A,My_Audit!J:J,""),
_xlfn.IFS(_xlpm.MyAuditVal&lt;&gt;"",UPPER(_xlpm.MyAuditVal),_xlpm.MacVal&lt;&gt;"",_xlpm.MacVal,_xlpm.CSVVal&lt;&gt;"",_xlpm.CSVVal
)),"")</f>
        <v/>
      </c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38"/>
    </row>
    <row r="1223" spans="1:23">
      <c r="A1223" s="45" t="str">
        <f>_xlfn.TEXTJOIN("",TRUE,Input!$B$2,ROW(My_Audit!A1222))</f>
        <v>CC1222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6" t="str" cm="1">
        <f t="array" ref="K1223">IFERROR(_xlfn.LET(
_xlpm.CSVVal,_xlfn.XLOOKUP($A1223,CSV!$A:$A,CSV!N:N,""),
_xlpm.MacVal,_xlfn.XLOOKUP($A1223,Output_Mac!$A:$A,Output_Mac!L:L,""),
_xlpm.MyAuditVal,_xlfn.XLOOKUP($A1223,My_Audit!$A:$A,My_Audit!J:J,""),
_xlfn.IFS(_xlpm.MyAuditVal&lt;&gt;"",UPPER(_xlpm.MyAuditVal),_xlpm.MacVal&lt;&gt;"",_xlpm.MacVal,_xlpm.CSVVal&lt;&gt;"",_xlpm.CSVVal
)),"")</f>
        <v/>
      </c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38"/>
    </row>
    <row r="1224" spans="1:23">
      <c r="A1224" s="45" t="str">
        <f>_xlfn.TEXTJOIN("",TRUE,Input!$B$2,ROW(My_Audit!A1223))</f>
        <v>CC1223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6" t="str" cm="1">
        <f t="array" ref="K1224">IFERROR(_xlfn.LET(
_xlpm.CSVVal,_xlfn.XLOOKUP($A1224,CSV!$A:$A,CSV!N:N,""),
_xlpm.MacVal,_xlfn.XLOOKUP($A1224,Output_Mac!$A:$A,Output_Mac!L:L,""),
_xlpm.MyAuditVal,_xlfn.XLOOKUP($A1224,My_Audit!$A:$A,My_Audit!J:J,""),
_xlfn.IFS(_xlpm.MyAuditVal&lt;&gt;"",UPPER(_xlpm.MyAuditVal),_xlpm.MacVal&lt;&gt;"",_xlpm.MacVal,_xlpm.CSVVal&lt;&gt;"",_xlpm.CSVVal
)),"")</f>
        <v/>
      </c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38"/>
    </row>
    <row r="1225" spans="1:23">
      <c r="A1225" s="45" t="str">
        <f>_xlfn.TEXTJOIN("",TRUE,Input!$B$2,ROW(My_Audit!A1224))</f>
        <v>CC1224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6" t="str" cm="1">
        <f t="array" ref="K1225">IFERROR(_xlfn.LET(
_xlpm.CSVVal,_xlfn.XLOOKUP($A1225,CSV!$A:$A,CSV!N:N,""),
_xlpm.MacVal,_xlfn.XLOOKUP($A1225,Output_Mac!$A:$A,Output_Mac!L:L,""),
_xlpm.MyAuditVal,_xlfn.XLOOKUP($A1225,My_Audit!$A:$A,My_Audit!J:J,""),
_xlfn.IFS(_xlpm.MyAuditVal&lt;&gt;"",UPPER(_xlpm.MyAuditVal),_xlpm.MacVal&lt;&gt;"",_xlpm.MacVal,_xlpm.CSVVal&lt;&gt;"",_xlpm.CSVVal
)),"")</f>
        <v/>
      </c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38"/>
    </row>
    <row r="1226" spans="1:23">
      <c r="A1226" s="45" t="str">
        <f>_xlfn.TEXTJOIN("",TRUE,Input!$B$2,ROW(My_Audit!A1225))</f>
        <v>CC1225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6" t="str" cm="1">
        <f t="array" ref="K1226">IFERROR(_xlfn.LET(
_xlpm.CSVVal,_xlfn.XLOOKUP($A1226,CSV!$A:$A,CSV!N:N,""),
_xlpm.MacVal,_xlfn.XLOOKUP($A1226,Output_Mac!$A:$A,Output_Mac!L:L,""),
_xlpm.MyAuditVal,_xlfn.XLOOKUP($A1226,My_Audit!$A:$A,My_Audit!J:J,""),
_xlfn.IFS(_xlpm.MyAuditVal&lt;&gt;"",UPPER(_xlpm.MyAuditVal),_xlpm.MacVal&lt;&gt;"",_xlpm.MacVal,_xlpm.CSVVal&lt;&gt;"",_xlpm.CSVVal
)),"")</f>
        <v/>
      </c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38"/>
    </row>
    <row r="1227" spans="1:23">
      <c r="A1227" s="45" t="str">
        <f>_xlfn.TEXTJOIN("",TRUE,Input!$B$2,ROW(My_Audit!A1226))</f>
        <v>CC1226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6" t="str" cm="1">
        <f t="array" ref="K1227">IFERROR(_xlfn.LET(
_xlpm.CSVVal,_xlfn.XLOOKUP($A1227,CSV!$A:$A,CSV!N:N,""),
_xlpm.MacVal,_xlfn.XLOOKUP($A1227,Output_Mac!$A:$A,Output_Mac!L:L,""),
_xlpm.MyAuditVal,_xlfn.XLOOKUP($A1227,My_Audit!$A:$A,My_Audit!J:J,""),
_xlfn.IFS(_xlpm.MyAuditVal&lt;&gt;"",UPPER(_xlpm.MyAuditVal),_xlpm.MacVal&lt;&gt;"",_xlpm.MacVal,_xlpm.CSVVal&lt;&gt;"",_xlpm.CSVVal
)),"")</f>
        <v/>
      </c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38"/>
    </row>
    <row r="1228" spans="1:23">
      <c r="A1228" s="45" t="str">
        <f>_xlfn.TEXTJOIN("",TRUE,Input!$B$2,ROW(My_Audit!A1227))</f>
        <v>CC1227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6" t="str" cm="1">
        <f t="array" ref="K1228">IFERROR(_xlfn.LET(
_xlpm.CSVVal,_xlfn.XLOOKUP($A1228,CSV!$A:$A,CSV!N:N,""),
_xlpm.MacVal,_xlfn.XLOOKUP($A1228,Output_Mac!$A:$A,Output_Mac!L:L,""),
_xlpm.MyAuditVal,_xlfn.XLOOKUP($A1228,My_Audit!$A:$A,My_Audit!J:J,""),
_xlfn.IFS(_xlpm.MyAuditVal&lt;&gt;"",UPPER(_xlpm.MyAuditVal),_xlpm.MacVal&lt;&gt;"",_xlpm.MacVal,_xlpm.CSVVal&lt;&gt;"",_xlpm.CSVVal
)),"")</f>
        <v/>
      </c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38"/>
    </row>
    <row r="1229" spans="1:23">
      <c r="A1229" s="45" t="str">
        <f>_xlfn.TEXTJOIN("",TRUE,Input!$B$2,ROW(My_Audit!A1228))</f>
        <v>CC1228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6" t="str" cm="1">
        <f t="array" ref="K1229">IFERROR(_xlfn.LET(
_xlpm.CSVVal,_xlfn.XLOOKUP($A1229,CSV!$A:$A,CSV!N:N,""),
_xlpm.MacVal,_xlfn.XLOOKUP($A1229,Output_Mac!$A:$A,Output_Mac!L:L,""),
_xlpm.MyAuditVal,_xlfn.XLOOKUP($A1229,My_Audit!$A:$A,My_Audit!J:J,""),
_xlfn.IFS(_xlpm.MyAuditVal&lt;&gt;"",UPPER(_xlpm.MyAuditVal),_xlpm.MacVal&lt;&gt;"",_xlpm.MacVal,_xlpm.CSVVal&lt;&gt;"",_xlpm.CSVVal
)),"")</f>
        <v/>
      </c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38"/>
    </row>
    <row r="1230" spans="1:23">
      <c r="A1230" s="45" t="str">
        <f>_xlfn.TEXTJOIN("",TRUE,Input!$B$2,ROW(My_Audit!A1229))</f>
        <v>CC1229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6" t="str" cm="1">
        <f t="array" ref="K1230">IFERROR(_xlfn.LET(
_xlpm.CSVVal,_xlfn.XLOOKUP($A1230,CSV!$A:$A,CSV!N:N,""),
_xlpm.MacVal,_xlfn.XLOOKUP($A1230,Output_Mac!$A:$A,Output_Mac!L:L,""),
_xlpm.MyAuditVal,_xlfn.XLOOKUP($A1230,My_Audit!$A:$A,My_Audit!J:J,""),
_xlfn.IFS(_xlpm.MyAuditVal&lt;&gt;"",UPPER(_xlpm.MyAuditVal),_xlpm.MacVal&lt;&gt;"",_xlpm.MacVal,_xlpm.CSVVal&lt;&gt;"",_xlpm.CSVVal
)),"")</f>
        <v/>
      </c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38"/>
    </row>
    <row r="1231" spans="1:23">
      <c r="A1231" s="45" t="str">
        <f>_xlfn.TEXTJOIN("",TRUE,Input!$B$2,ROW(My_Audit!A1230))</f>
        <v>CC1230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6" t="str" cm="1">
        <f t="array" ref="K1231">IFERROR(_xlfn.LET(
_xlpm.CSVVal,_xlfn.XLOOKUP($A1231,CSV!$A:$A,CSV!N:N,""),
_xlpm.MacVal,_xlfn.XLOOKUP($A1231,Output_Mac!$A:$A,Output_Mac!L:L,""),
_xlpm.MyAuditVal,_xlfn.XLOOKUP($A1231,My_Audit!$A:$A,My_Audit!J:J,""),
_xlfn.IFS(_xlpm.MyAuditVal&lt;&gt;"",UPPER(_xlpm.MyAuditVal),_xlpm.MacVal&lt;&gt;"",_xlpm.MacVal,_xlpm.CSVVal&lt;&gt;"",_xlpm.CSVVal
)),"")</f>
        <v/>
      </c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38"/>
    </row>
    <row r="1232" spans="1:23">
      <c r="A1232" s="45" t="str">
        <f>_xlfn.TEXTJOIN("",TRUE,Input!$B$2,ROW(My_Audit!A1231))</f>
        <v>CC1231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6" t="str" cm="1">
        <f t="array" ref="K1232">IFERROR(_xlfn.LET(
_xlpm.CSVVal,_xlfn.XLOOKUP($A1232,CSV!$A:$A,CSV!N:N,""),
_xlpm.MacVal,_xlfn.XLOOKUP($A1232,Output_Mac!$A:$A,Output_Mac!L:L,""),
_xlpm.MyAuditVal,_xlfn.XLOOKUP($A1232,My_Audit!$A:$A,My_Audit!J:J,""),
_xlfn.IFS(_xlpm.MyAuditVal&lt;&gt;"",UPPER(_xlpm.MyAuditVal),_xlpm.MacVal&lt;&gt;"",_xlpm.MacVal,_xlpm.CSVVal&lt;&gt;"",_xlpm.CSVVal
)),"")</f>
        <v/>
      </c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38"/>
    </row>
    <row r="1233" spans="1:23">
      <c r="A1233" s="45" t="str">
        <f>_xlfn.TEXTJOIN("",TRUE,Input!$B$2,ROW(My_Audit!A1232))</f>
        <v>CC1232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6" t="str" cm="1">
        <f t="array" ref="K1233">IFERROR(_xlfn.LET(
_xlpm.CSVVal,_xlfn.XLOOKUP($A1233,CSV!$A:$A,CSV!N:N,""),
_xlpm.MacVal,_xlfn.XLOOKUP($A1233,Output_Mac!$A:$A,Output_Mac!L:L,""),
_xlpm.MyAuditVal,_xlfn.XLOOKUP($A1233,My_Audit!$A:$A,My_Audit!J:J,""),
_xlfn.IFS(_xlpm.MyAuditVal&lt;&gt;"",UPPER(_xlpm.MyAuditVal),_xlpm.MacVal&lt;&gt;"",_xlpm.MacVal,_xlpm.CSVVal&lt;&gt;"",_xlpm.CSVVal
)),"")</f>
        <v/>
      </c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38"/>
    </row>
    <row r="1234" spans="1:23">
      <c r="A1234" s="45" t="str">
        <f>_xlfn.TEXTJOIN("",TRUE,Input!$B$2,ROW(My_Audit!A1233))</f>
        <v>CC1233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6" t="str" cm="1">
        <f t="array" ref="K1234">IFERROR(_xlfn.LET(
_xlpm.CSVVal,_xlfn.XLOOKUP($A1234,CSV!$A:$A,CSV!N:N,""),
_xlpm.MacVal,_xlfn.XLOOKUP($A1234,Output_Mac!$A:$A,Output_Mac!L:L,""),
_xlpm.MyAuditVal,_xlfn.XLOOKUP($A1234,My_Audit!$A:$A,My_Audit!J:J,""),
_xlfn.IFS(_xlpm.MyAuditVal&lt;&gt;"",UPPER(_xlpm.MyAuditVal),_xlpm.MacVal&lt;&gt;"",_xlpm.MacVal,_xlpm.CSVVal&lt;&gt;"",_xlpm.CSVVal
)),"")</f>
        <v/>
      </c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38"/>
    </row>
    <row r="1235" spans="1:23">
      <c r="A1235" s="45" t="str">
        <f>_xlfn.TEXTJOIN("",TRUE,Input!$B$2,ROW(My_Audit!A1234))</f>
        <v>CC1234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6" t="str" cm="1">
        <f t="array" ref="K1235">IFERROR(_xlfn.LET(
_xlpm.CSVVal,_xlfn.XLOOKUP($A1235,CSV!$A:$A,CSV!N:N,""),
_xlpm.MacVal,_xlfn.XLOOKUP($A1235,Output_Mac!$A:$A,Output_Mac!L:L,""),
_xlpm.MyAuditVal,_xlfn.XLOOKUP($A1235,My_Audit!$A:$A,My_Audit!J:J,""),
_xlfn.IFS(_xlpm.MyAuditVal&lt;&gt;"",UPPER(_xlpm.MyAuditVal),_xlpm.MacVal&lt;&gt;"",_xlpm.MacVal,_xlpm.CSVVal&lt;&gt;"",_xlpm.CSVVal
)),"")</f>
        <v/>
      </c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38"/>
    </row>
    <row r="1236" spans="1:23">
      <c r="A1236" s="45" t="str">
        <f>_xlfn.TEXTJOIN("",TRUE,Input!$B$2,ROW(My_Audit!A1235))</f>
        <v>CC1235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38"/>
    </row>
    <row r="1237" spans="1:23">
      <c r="A1237" s="45" t="str">
        <f>_xlfn.TEXTJOIN("",TRUE,Input!$B$2,ROW(My_Audit!A1236))</f>
        <v>CC1236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38"/>
    </row>
    <row r="1238" spans="1:23">
      <c r="A1238" s="45" t="str">
        <f>_xlfn.TEXTJOIN("",TRUE,Input!$B$2,ROW(My_Audit!A1237))</f>
        <v>CC1237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38"/>
    </row>
    <row r="1239" spans="1:23">
      <c r="A1239" s="45" t="str">
        <f>_xlfn.TEXTJOIN("",TRUE,Input!$B$2,ROW(My_Audit!A1238))</f>
        <v>CC1238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38"/>
    </row>
    <row r="1240" spans="1:23">
      <c r="A1240" s="45" t="str">
        <f>_xlfn.TEXTJOIN("",TRUE,Input!$B$2,ROW(My_Audit!A1239))</f>
        <v>CC1239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38"/>
    </row>
    <row r="1241" spans="1:23">
      <c r="A1241" s="45" t="str">
        <f>_xlfn.TEXTJOIN("",TRUE,Input!$B$2,ROW(My_Audit!A1240))</f>
        <v>CC1240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38"/>
    </row>
    <row r="1242" spans="1:23">
      <c r="A1242" s="45" t="str">
        <f>_xlfn.TEXTJOIN("",TRUE,Input!$B$2,ROW(My_Audit!A1241))</f>
        <v>CC1241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38"/>
    </row>
    <row r="1243" spans="1:23">
      <c r="A1243" s="45" t="str">
        <f>_xlfn.TEXTJOIN("",TRUE,Input!$B$2,ROW(My_Audit!A1242))</f>
        <v>CC1242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38"/>
    </row>
    <row r="1244" spans="1:23">
      <c r="A1244" s="45" t="str">
        <f>_xlfn.TEXTJOIN("",TRUE,Input!$B$2,ROW(My_Audit!A1243))</f>
        <v>CC1243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38"/>
    </row>
    <row r="1245" spans="1:23">
      <c r="A1245" s="45" t="str">
        <f>_xlfn.TEXTJOIN("",TRUE,Input!$B$2,ROW(My_Audit!A1244))</f>
        <v>CC1244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95"/>
  <sheetViews>
    <sheetView workbookViewId="0">
      <selection activeCell="E3" sqref="E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</row>
    <row r="2" spans="1:6">
      <c r="A2" t="e" cm="1" vm="1">
        <f t="array" ref="A2">_xlfn._xlws.FILTER('Audit Report'!C2:C500,'Audit Report'!W2:W500&lt;&gt;"")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Report'!F:F)&amp;""</f>
        <v>#VALUE!</v>
      </c>
      <c r="D2" t="e" vm="2">
        <f>_xlfn.XLOOKUP($A2,'Audit Report'!$C:$C,'Audit Report'!G:G)&amp;""</f>
        <v>#VALUE!</v>
      </c>
      <c r="E2" t="e" vm="2">
        <f>_xlfn.XLOOKUP($A2,'Audit Report'!$C:$C,'Audit Report'!W:W)</f>
        <v>#VALUE!</v>
      </c>
      <c r="F2" t="e" vm="2">
        <f>IF(LEFT(_xlfn.XLOOKUP($A2,'Audit Report'!$C:$C,'Audit Report'!N:N),4)="Pass","Yes","No")</f>
        <v>#VALUE!</v>
      </c>
    </row>
    <row r="3" spans="1:6">
      <c r="B3" t="str">
        <f>_xlfn.XLOOKUP($A3,'Audit Report'!$C:$C,'Audit Report'!E:E)</f>
        <v/>
      </c>
      <c r="C3" t="str">
        <f>_xlfn.XLOOKUP($A3,'Audit Report'!$C:$C,'Audit Report'!F:F)&amp;""</f>
        <v/>
      </c>
      <c r="D3" t="str">
        <f>_xlfn.XLOOKUP($A3,'Audit Report'!$C:$C,'Audit Report'!G:G)&amp;""</f>
        <v/>
      </c>
      <c r="E3" t="str">
        <f>_xlfn.XLOOKUP($A3,'Audit Report'!$C:$C,'Audit Report'!W:W)</f>
        <v/>
      </c>
      <c r="F3" t="str">
        <f>IF(LEFT(_xlfn.XLOOKUP($A3,'Audit Report'!$C:$C,'Audit Report'!N:N),4)="Pass","Yes","No")</f>
        <v>No</v>
      </c>
    </row>
    <row r="4" spans="1:6">
      <c r="B4" t="str">
        <f>_xlfn.XLOOKUP($A4,'Audit Report'!$C:$C,'Audit Report'!E:E)</f>
        <v/>
      </c>
      <c r="C4" t="str">
        <f>_xlfn.XLOOKUP($A4,'Audit Report'!$C:$C,'Audit Report'!F:F)&amp;""</f>
        <v/>
      </c>
      <c r="D4" t="str">
        <f>_xlfn.XLOOKUP($A4,'Audit Report'!$C:$C,'Audit Report'!G:G)&amp;""</f>
        <v/>
      </c>
      <c r="E4" t="str">
        <f>_xlfn.XLOOKUP($A4,'Audit Report'!$C:$C,'Audit Report'!W:W)</f>
        <v/>
      </c>
      <c r="F4" t="str">
        <f>IF(LEFT(_xlfn.XLOOKUP($A4,'Audit Report'!$C:$C,'Audit Report'!N:N),4)="Pass","Yes","No")</f>
        <v>No</v>
      </c>
    </row>
    <row r="5" spans="1:6">
      <c r="B5" t="str">
        <f>_xlfn.XLOOKUP($A5,'Audit Report'!$C:$C,'Audit Report'!E:E)</f>
        <v/>
      </c>
      <c r="C5" t="str">
        <f>_xlfn.XLOOKUP($A5,'Audit Report'!$C:$C,'Audit Report'!F:F)&amp;""</f>
        <v/>
      </c>
      <c r="D5" t="str">
        <f>_xlfn.XLOOKUP($A5,'Audit Report'!$C:$C,'Audit Report'!G:G)&amp;""</f>
        <v/>
      </c>
      <c r="E5" t="str">
        <f>_xlfn.XLOOKUP($A5,'Audit Report'!$C:$C,'Audit Report'!W:W)</f>
        <v/>
      </c>
      <c r="F5" t="str">
        <f>IF(LEFT(_xlfn.XLOOKUP($A5,'Audit Report'!$C:$C,'Audit Report'!N:N),4)="Pass","Yes","No")</f>
        <v>No</v>
      </c>
    </row>
    <row r="6" spans="1:6">
      <c r="B6" t="str">
        <f>_xlfn.XLOOKUP($A6,'Audit Report'!$C:$C,'Audit Report'!E:E)</f>
        <v/>
      </c>
      <c r="C6" t="str">
        <f>_xlfn.XLOOKUP($A6,'Audit Report'!$C:$C,'Audit Report'!F:F)&amp;""</f>
        <v/>
      </c>
      <c r="D6" t="str">
        <f>_xlfn.XLOOKUP($A6,'Audit Report'!$C:$C,'Audit Report'!G:G)&amp;""</f>
        <v/>
      </c>
      <c r="E6" t="str">
        <f>_xlfn.XLOOKUP($A6,'Audit Report'!$C:$C,'Audit Report'!W:W)</f>
        <v/>
      </c>
      <c r="F6" t="str">
        <f>IF(LEFT(_xlfn.XLOOKUP($A6,'Audit Report'!$C:$C,'Audit Report'!N:N),4)="Pass","Yes","No")</f>
        <v>No</v>
      </c>
    </row>
    <row r="7" spans="1:6">
      <c r="B7" t="str">
        <f>_xlfn.XLOOKUP($A7,'Audit Report'!$C:$C,'Audit Report'!E:E)</f>
        <v/>
      </c>
      <c r="C7" t="str">
        <f>_xlfn.XLOOKUP($A7,'Audit Report'!$C:$C,'Audit Report'!F:F)&amp;""</f>
        <v/>
      </c>
      <c r="D7" t="str">
        <f>_xlfn.XLOOKUP($A7,'Audit Report'!$C:$C,'Audit Report'!G:G)&amp;""</f>
        <v/>
      </c>
      <c r="E7" t="str">
        <f>_xlfn.XLOOKUP($A7,'Audit Report'!$C:$C,'Audit Report'!W:W)</f>
        <v/>
      </c>
      <c r="F7" t="str">
        <f>IF(LEFT(_xlfn.XLOOKUP($A7,'Audit Report'!$C:$C,'Audit Report'!N:N),4)="Pass","Yes","No")</f>
        <v>No</v>
      </c>
    </row>
    <row r="8" spans="1:6">
      <c r="B8" t="str">
        <f>_xlfn.XLOOKUP($A8,'Audit Report'!$C:$C,'Audit Report'!E:E)</f>
        <v/>
      </c>
      <c r="C8" t="str">
        <f>_xlfn.XLOOKUP($A8,'Audit Report'!$C:$C,'Audit Report'!F:F)&amp;""</f>
        <v/>
      </c>
      <c r="D8" t="str">
        <f>_xlfn.XLOOKUP($A8,'Audit Report'!$C:$C,'Audit Report'!G:G)&amp;""</f>
        <v/>
      </c>
      <c r="E8" t="str">
        <f>_xlfn.XLOOKUP($A8,'Audit Report'!$C:$C,'Audit Report'!W:W)</f>
        <v/>
      </c>
      <c r="F8" t="str">
        <f>IF(LEFT(_xlfn.XLOOKUP($A8,'Audit Report'!$C:$C,'Audit Report'!N:N),4)="Pass","Yes","No")</f>
        <v>No</v>
      </c>
    </row>
    <row r="9" spans="1:6">
      <c r="B9" t="str">
        <f>_xlfn.XLOOKUP($A9,'Audit Report'!$C:$C,'Audit Report'!E:E)</f>
        <v/>
      </c>
      <c r="C9" t="str">
        <f>_xlfn.XLOOKUP($A9,'Audit Report'!$C:$C,'Audit Report'!F:F)&amp;""</f>
        <v/>
      </c>
      <c r="D9" t="str">
        <f>_xlfn.XLOOKUP($A9,'Audit Report'!$C:$C,'Audit Report'!G:G)&amp;""</f>
        <v/>
      </c>
      <c r="E9" t="str">
        <f>_xlfn.XLOOKUP($A9,'Audit Report'!$C:$C,'Audit Report'!W:W)</f>
        <v/>
      </c>
      <c r="F9" t="str">
        <f>IF(LEFT(_xlfn.XLOOKUP($A9,'Audit Report'!$C:$C,'Audit Report'!N:N),4)="Pass","Yes","No")</f>
        <v>No</v>
      </c>
    </row>
    <row r="10" spans="1:6">
      <c r="B10" t="str">
        <f>_xlfn.XLOOKUP($A10,'Audit Report'!$C:$C,'Audit Report'!E:E)</f>
        <v/>
      </c>
      <c r="C10" t="str">
        <f>_xlfn.XLOOKUP($A10,'Audit Report'!$C:$C,'Audit Report'!F:F)&amp;""</f>
        <v/>
      </c>
      <c r="D10" t="str">
        <f>_xlfn.XLOOKUP($A10,'Audit Report'!$C:$C,'Audit Report'!G:G)&amp;""</f>
        <v/>
      </c>
      <c r="E10" t="str">
        <f>_xlfn.XLOOKUP($A10,'Audit Report'!$C:$C,'Audit Report'!W:W)</f>
        <v/>
      </c>
      <c r="F10" t="str">
        <f>IF(LEFT(_xlfn.XLOOKUP($A10,'Audit Report'!$C:$C,'Audit Report'!N:N),4)="Pass","Yes","No")</f>
        <v>No</v>
      </c>
    </row>
    <row r="11" spans="1:6">
      <c r="B11" t="str">
        <f>_xlfn.XLOOKUP($A11,'Audit Report'!$C:$C,'Audit Report'!E:E)</f>
        <v/>
      </c>
      <c r="C11" t="str">
        <f>_xlfn.XLOOKUP($A11,'Audit Report'!$C:$C,'Audit Report'!F:F)&amp;""</f>
        <v/>
      </c>
      <c r="D11" t="str">
        <f>_xlfn.XLOOKUP($A11,'Audit Report'!$C:$C,'Audit Report'!G:G)&amp;""</f>
        <v/>
      </c>
      <c r="E11" t="str">
        <f>_xlfn.XLOOKUP($A11,'Audit Report'!$C:$C,'Audit Report'!W:W)</f>
        <v/>
      </c>
      <c r="F11" t="str">
        <f>IF(LEFT(_xlfn.XLOOKUP($A11,'Audit Report'!$C:$C,'Audit Report'!N:N),4)="Pass","Yes","No")</f>
        <v>No</v>
      </c>
    </row>
    <row r="12" spans="1:6">
      <c r="B12" t="str">
        <f>_xlfn.XLOOKUP($A12,'Audit Report'!$C:$C,'Audit Report'!E:E)</f>
        <v/>
      </c>
      <c r="C12" t="str">
        <f>_xlfn.XLOOKUP($A12,'Audit Report'!$C:$C,'Audit Report'!F:F)&amp;""</f>
        <v/>
      </c>
      <c r="D12" t="str">
        <f>_xlfn.XLOOKUP($A12,'Audit Report'!$C:$C,'Audit Report'!G:G)&amp;""</f>
        <v/>
      </c>
      <c r="E12" t="str">
        <f>_xlfn.XLOOKUP($A12,'Audit Report'!$C:$C,'Audit Report'!W:W)</f>
        <v/>
      </c>
      <c r="F12" t="str">
        <f>IF(LEFT(_xlfn.XLOOKUP($A12,'Audit Report'!$C:$C,'Audit Report'!N:N),4)="Pass","Yes","No")</f>
        <v>No</v>
      </c>
    </row>
    <row r="13" spans="1:6">
      <c r="B13" t="str">
        <f>_xlfn.XLOOKUP($A13,'Audit Report'!$C:$C,'Audit Report'!E:E)</f>
        <v/>
      </c>
      <c r="C13" t="str">
        <f>_xlfn.XLOOKUP($A13,'Audit Report'!$C:$C,'Audit Report'!F:F)&amp;""</f>
        <v/>
      </c>
      <c r="D13" t="str">
        <f>_xlfn.XLOOKUP($A13,'Audit Report'!$C:$C,'Audit Report'!G:G)&amp;""</f>
        <v/>
      </c>
      <c r="E13" t="str">
        <f>_xlfn.XLOOKUP($A13,'Audit Report'!$C:$C,'Audit Report'!W:W)</f>
        <v/>
      </c>
      <c r="F13" t="str">
        <f>IF(LEFT(_xlfn.XLOOKUP($A13,'Audit Report'!$C:$C,'Audit Report'!N:N),4)="Pass","Yes","No")</f>
        <v>No</v>
      </c>
    </row>
    <row r="14" spans="1:6">
      <c r="B14" t="str">
        <f>_xlfn.XLOOKUP($A14,'Audit Report'!$C:$C,'Audit Report'!E:E)</f>
        <v/>
      </c>
      <c r="C14" t="str">
        <f>_xlfn.XLOOKUP($A14,'Audit Report'!$C:$C,'Audit Report'!F:F)&amp;""</f>
        <v/>
      </c>
      <c r="D14" t="str">
        <f>_xlfn.XLOOKUP($A14,'Audit Report'!$C:$C,'Audit Report'!G:G)&amp;""</f>
        <v/>
      </c>
      <c r="E14" t="str">
        <f>_xlfn.XLOOKUP($A14,'Audit Report'!$C:$C,'Audit Report'!W:W)</f>
        <v/>
      </c>
      <c r="F14" t="str">
        <f>IF(LEFT(_xlfn.XLOOKUP($A14,'Audit Report'!$C:$C,'Audit Report'!N:N),4)="Pass","Yes","No")</f>
        <v>No</v>
      </c>
    </row>
    <row r="15" spans="1:6">
      <c r="B15" t="str">
        <f>_xlfn.XLOOKUP($A15,'Audit Report'!$C:$C,'Audit Report'!E:E)</f>
        <v/>
      </c>
      <c r="C15" t="str">
        <f>_xlfn.XLOOKUP($A15,'Audit Report'!$C:$C,'Audit Report'!F:F)&amp;""</f>
        <v/>
      </c>
      <c r="D15" t="str">
        <f>_xlfn.XLOOKUP($A15,'Audit Report'!$C:$C,'Audit Report'!G:G)&amp;""</f>
        <v/>
      </c>
      <c r="E15" t="str">
        <f>_xlfn.XLOOKUP($A15,'Audit Report'!$C:$C,'Audit Report'!W:W)</f>
        <v/>
      </c>
      <c r="F15" t="str">
        <f>IF(LEFT(_xlfn.XLOOKUP($A15,'Audit Report'!$C:$C,'Audit Report'!N:N),4)="Pass","Yes","No")</f>
        <v>No</v>
      </c>
    </row>
    <row r="16" spans="1:6">
      <c r="B16" t="str">
        <f>_xlfn.XLOOKUP($A16,'Audit Report'!$C:$C,'Audit Report'!E:E)</f>
        <v/>
      </c>
      <c r="C16" t="str">
        <f>_xlfn.XLOOKUP($A16,'Audit Report'!$C:$C,'Audit Report'!F:F)&amp;""</f>
        <v/>
      </c>
      <c r="D16" t="str">
        <f>_xlfn.XLOOKUP($A16,'Audit Report'!$C:$C,'Audit Report'!G:G)&amp;""</f>
        <v/>
      </c>
      <c r="E16" t="str">
        <f>_xlfn.XLOOKUP($A16,'Audit Report'!$C:$C,'Audit Report'!W:W)</f>
        <v/>
      </c>
      <c r="F16" t="str">
        <f>IF(LEFT(_xlfn.XLOOKUP($A16,'Audit Report'!$C:$C,'Audit Report'!N:N),4)="Pass","Yes","No")</f>
        <v>No</v>
      </c>
    </row>
    <row r="17" spans="2:6">
      <c r="B17" t="str">
        <f>_xlfn.XLOOKUP($A17,'Audit Report'!$C:$C,'Audit Report'!E:E)</f>
        <v/>
      </c>
      <c r="C17" t="str">
        <f>_xlfn.XLOOKUP($A17,'Audit Report'!$C:$C,'Audit Report'!F:F)&amp;""</f>
        <v/>
      </c>
      <c r="D17" t="str">
        <f>_xlfn.XLOOKUP($A17,'Audit Report'!$C:$C,'Audit Report'!G:G)&amp;""</f>
        <v/>
      </c>
      <c r="E17" t="str">
        <f>_xlfn.XLOOKUP($A17,'Audit Report'!$C:$C,'Audit Report'!W:W)</f>
        <v/>
      </c>
      <c r="F17" t="str">
        <f>IF(LEFT(_xlfn.XLOOKUP($A17,'Audit Report'!$C:$C,'Audit Report'!N:N),4)="Pass","Yes","No")</f>
        <v>No</v>
      </c>
    </row>
    <row r="18" spans="2:6">
      <c r="B18" t="str">
        <f>_xlfn.XLOOKUP($A18,'Audit Report'!$C:$C,'Audit Report'!E:E)</f>
        <v/>
      </c>
      <c r="C18" t="str">
        <f>_xlfn.XLOOKUP($A18,'Audit Report'!$C:$C,'Audit Report'!F:F)&amp;""</f>
        <v/>
      </c>
      <c r="D18" t="str">
        <f>_xlfn.XLOOKUP($A18,'Audit Report'!$C:$C,'Audit Report'!G:G)&amp;""</f>
        <v/>
      </c>
      <c r="E18" t="str">
        <f>_xlfn.XLOOKUP($A18,'Audit Report'!$C:$C,'Audit Report'!W:W)</f>
        <v/>
      </c>
      <c r="F18" t="str">
        <f>IF(LEFT(_xlfn.XLOOKUP($A18,'Audit Report'!$C:$C,'Audit Report'!N:N),4)="Pass","Yes","No")</f>
        <v>No</v>
      </c>
    </row>
    <row r="19" spans="2:6">
      <c r="B19" t="str">
        <f>_xlfn.XLOOKUP($A19,'Audit Report'!$C:$C,'Audit Report'!E:E)</f>
        <v/>
      </c>
      <c r="C19" t="str">
        <f>_xlfn.XLOOKUP($A19,'Audit Report'!$C:$C,'Audit Report'!F:F)&amp;""</f>
        <v/>
      </c>
      <c r="D19" t="str">
        <f>_xlfn.XLOOKUP($A19,'Audit Report'!$C:$C,'Audit Report'!G:G)&amp;""</f>
        <v/>
      </c>
      <c r="E19" t="str">
        <f>_xlfn.XLOOKUP($A19,'Audit Report'!$C:$C,'Audit Report'!W:W)</f>
        <v/>
      </c>
      <c r="F19" t="str">
        <f>IF(LEFT(_xlfn.XLOOKUP($A19,'Audit Report'!$C:$C,'Audit Report'!N:N),4)="Pass","Yes","No")</f>
        <v>No</v>
      </c>
    </row>
    <row r="20" spans="2:6">
      <c r="B20" t="str">
        <f>_xlfn.XLOOKUP($A20,'Audit Report'!$C:$C,'Audit Report'!E:E)</f>
        <v/>
      </c>
      <c r="C20" t="str">
        <f>_xlfn.XLOOKUP($A20,'Audit Report'!$C:$C,'Audit Report'!F:F)&amp;""</f>
        <v/>
      </c>
      <c r="D20" t="str">
        <f>_xlfn.XLOOKUP($A20,'Audit Report'!$C:$C,'Audit Report'!G:G)&amp;""</f>
        <v/>
      </c>
      <c r="E20" t="str">
        <f>_xlfn.XLOOKUP($A20,'Audit Report'!$C:$C,'Audit Report'!W:W)</f>
        <v/>
      </c>
      <c r="F20" t="str">
        <f>IF(LEFT(_xlfn.XLOOKUP($A20,'Audit Report'!$C:$C,'Audit Report'!N:N),4)="Pass","Yes","No")</f>
        <v>No</v>
      </c>
    </row>
    <row r="21" spans="2:6">
      <c r="B21" t="str">
        <f>_xlfn.XLOOKUP($A21,'Audit Report'!$C:$C,'Audit Report'!E:E)</f>
        <v/>
      </c>
      <c r="C21" t="str">
        <f>_xlfn.XLOOKUP($A21,'Audit Report'!$C:$C,'Audit Report'!F:F)&amp;""</f>
        <v/>
      </c>
      <c r="D21" t="str">
        <f>_xlfn.XLOOKUP($A21,'Audit Report'!$C:$C,'Audit Report'!G:G)&amp;""</f>
        <v/>
      </c>
      <c r="E21" t="str">
        <f>_xlfn.XLOOKUP($A21,'Audit Report'!$C:$C,'Audit Report'!W:W)</f>
        <v/>
      </c>
      <c r="F21" t="str">
        <f>IF(LEFT(_xlfn.XLOOKUP($A21,'Audit Report'!$C:$C,'Audit Report'!N:N),4)="Pass","Yes","No")</f>
        <v>No</v>
      </c>
    </row>
    <row r="22" spans="2:6">
      <c r="B22" t="str">
        <f>_xlfn.XLOOKUP($A22,'Audit Report'!$C:$C,'Audit Report'!E:E)</f>
        <v/>
      </c>
      <c r="C22" t="str">
        <f>_xlfn.XLOOKUP($A22,'Audit Report'!$C:$C,'Audit Report'!F:F)&amp;""</f>
        <v/>
      </c>
      <c r="D22" t="str">
        <f>_xlfn.XLOOKUP($A22,'Audit Report'!$C:$C,'Audit Report'!G:G)&amp;""</f>
        <v/>
      </c>
      <c r="E22" t="str">
        <f>_xlfn.XLOOKUP($A22,'Audit Report'!$C:$C,'Audit Report'!W:W)</f>
        <v/>
      </c>
      <c r="F22" t="str">
        <f>IF(LEFT(_xlfn.XLOOKUP($A22,'Audit Report'!$C:$C,'Audit Report'!N:N),4)="Pass","Yes","No")</f>
        <v>No</v>
      </c>
    </row>
    <row r="23" spans="2:6">
      <c r="B23" t="str">
        <f>_xlfn.XLOOKUP($A23,'Audit Report'!$C:$C,'Audit Report'!E:E)</f>
        <v/>
      </c>
      <c r="C23" t="str">
        <f>_xlfn.XLOOKUP($A23,'Audit Report'!$C:$C,'Audit Report'!F:F)&amp;""</f>
        <v/>
      </c>
      <c r="D23" t="str">
        <f>_xlfn.XLOOKUP($A23,'Audit Report'!$C:$C,'Audit Report'!G:G)&amp;""</f>
        <v/>
      </c>
      <c r="E23" t="str">
        <f>_xlfn.XLOOKUP($A23,'Audit Report'!$C:$C,'Audit Report'!W:W)</f>
        <v/>
      </c>
      <c r="F23" t="str">
        <f>IF(LEFT(_xlfn.XLOOKUP($A23,'Audit Report'!$C:$C,'Audit Report'!N:N),4)="Pass","Yes","No")</f>
        <v>No</v>
      </c>
    </row>
    <row r="24" spans="2:6">
      <c r="B24" t="str">
        <f>_xlfn.XLOOKUP($A24,'Audit Report'!$C:$C,'Audit Report'!E:E)</f>
        <v/>
      </c>
      <c r="C24" t="str">
        <f>_xlfn.XLOOKUP($A24,'Audit Report'!$C:$C,'Audit Report'!F:F)&amp;""</f>
        <v/>
      </c>
      <c r="D24" t="str">
        <f>_xlfn.XLOOKUP($A24,'Audit Report'!$C:$C,'Audit Report'!G:G)&amp;""</f>
        <v/>
      </c>
      <c r="E24" t="str">
        <f>_xlfn.XLOOKUP($A24,'Audit Report'!$C:$C,'Audit Report'!W:W)</f>
        <v/>
      </c>
      <c r="F24" t="str">
        <f>IF(LEFT(_xlfn.XLOOKUP($A24,'Audit Report'!$C:$C,'Audit Report'!N:N),4)="Pass","Yes","No")</f>
        <v>No</v>
      </c>
    </row>
    <row r="25" spans="2:6">
      <c r="B25" t="str">
        <f>_xlfn.XLOOKUP($A25,'Audit Report'!$C:$C,'Audit Report'!E:E)</f>
        <v/>
      </c>
      <c r="C25" t="str">
        <f>_xlfn.XLOOKUP($A25,'Audit Report'!$C:$C,'Audit Report'!F:F)&amp;""</f>
        <v/>
      </c>
      <c r="D25" t="str">
        <f>_xlfn.XLOOKUP($A25,'Audit Report'!$C:$C,'Audit Report'!G:G)&amp;""</f>
        <v/>
      </c>
      <c r="E25" t="str">
        <f>_xlfn.XLOOKUP($A25,'Audit Report'!$C:$C,'Audit Report'!W:W)</f>
        <v/>
      </c>
      <c r="F25" t="str">
        <f>IF(LEFT(_xlfn.XLOOKUP($A25,'Audit Report'!$C:$C,'Audit Report'!N:N),4)="Pass","Yes","No")</f>
        <v>No</v>
      </c>
    </row>
    <row r="26" spans="2:6">
      <c r="B26" t="str">
        <f>_xlfn.XLOOKUP($A26,'Audit Report'!$C:$C,'Audit Report'!E:E)</f>
        <v/>
      </c>
      <c r="C26" t="str">
        <f>_xlfn.XLOOKUP($A26,'Audit Report'!$C:$C,'Audit Report'!F:F)&amp;""</f>
        <v/>
      </c>
      <c r="D26" t="str">
        <f>_xlfn.XLOOKUP($A26,'Audit Report'!$C:$C,'Audit Report'!G:G)&amp;""</f>
        <v/>
      </c>
      <c r="E26" t="str">
        <f>_xlfn.XLOOKUP($A26,'Audit Report'!$C:$C,'Audit Report'!W:W)</f>
        <v/>
      </c>
      <c r="F26" t="str">
        <f>IF(LEFT(_xlfn.XLOOKUP($A26,'Audit Report'!$C:$C,'Audit Report'!N:N),4)="Pass","Yes","No")</f>
        <v>No</v>
      </c>
    </row>
    <row r="27" spans="2:6">
      <c r="B27" t="str">
        <f>_xlfn.XLOOKUP($A27,'Audit Report'!$C:$C,'Audit Report'!E:E)</f>
        <v/>
      </c>
      <c r="C27" t="str">
        <f>_xlfn.XLOOKUP($A27,'Audit Report'!$C:$C,'Audit Report'!F:F)&amp;""</f>
        <v/>
      </c>
      <c r="D27" t="str">
        <f>_xlfn.XLOOKUP($A27,'Audit Report'!$C:$C,'Audit Report'!G:G)&amp;""</f>
        <v/>
      </c>
      <c r="E27" t="str">
        <f>_xlfn.XLOOKUP($A27,'Audit Report'!$C:$C,'Audit Report'!W:W)</f>
        <v/>
      </c>
      <c r="F27" t="str">
        <f>IF(LEFT(_xlfn.XLOOKUP($A27,'Audit Report'!$C:$C,'Audit Report'!N:N),4)="Pass","Yes","No")</f>
        <v>No</v>
      </c>
    </row>
    <row r="28" spans="2:6">
      <c r="B28" t="str">
        <f>_xlfn.XLOOKUP($A28,'Audit Report'!$C:$C,'Audit Report'!E:E)</f>
        <v/>
      </c>
      <c r="C28" t="str">
        <f>_xlfn.XLOOKUP($A28,'Audit Report'!$C:$C,'Audit Report'!F:F)&amp;""</f>
        <v/>
      </c>
      <c r="D28" t="str">
        <f>_xlfn.XLOOKUP($A28,'Audit Report'!$C:$C,'Audit Report'!G:G)&amp;""</f>
        <v/>
      </c>
      <c r="E28" t="str">
        <f>_xlfn.XLOOKUP($A28,'Audit Report'!$C:$C,'Audit Report'!W:W)</f>
        <v/>
      </c>
      <c r="F28" t="str">
        <f>IF(LEFT(_xlfn.XLOOKUP($A28,'Audit Report'!$C:$C,'Audit Report'!N:N),4)="Pass","Yes","No")</f>
        <v>No</v>
      </c>
    </row>
    <row r="29" spans="2:6">
      <c r="B29" t="str">
        <f>_xlfn.XLOOKUP($A29,'Audit Report'!$C:$C,'Audit Report'!E:E)</f>
        <v/>
      </c>
      <c r="C29" t="str">
        <f>_xlfn.XLOOKUP($A29,'Audit Report'!$C:$C,'Audit Report'!F:F)&amp;""</f>
        <v/>
      </c>
      <c r="D29" t="str">
        <f>_xlfn.XLOOKUP($A29,'Audit Report'!$C:$C,'Audit Report'!G:G)&amp;""</f>
        <v/>
      </c>
      <c r="E29" t="str">
        <f>_xlfn.XLOOKUP($A29,'Audit Report'!$C:$C,'Audit Report'!W:W)</f>
        <v/>
      </c>
      <c r="F29" t="str">
        <f>IF(LEFT(_xlfn.XLOOKUP($A29,'Audit Report'!$C:$C,'Audit Report'!N:N),4)="Pass","Yes","No")</f>
        <v>No</v>
      </c>
    </row>
    <row r="30" spans="2:6">
      <c r="B30" t="str">
        <f>_xlfn.XLOOKUP($A30,'Audit Report'!$C:$C,'Audit Report'!E:E)</f>
        <v/>
      </c>
      <c r="C30" t="str">
        <f>_xlfn.XLOOKUP($A30,'Audit Report'!$C:$C,'Audit Report'!F:F)&amp;""</f>
        <v/>
      </c>
      <c r="D30" t="str">
        <f>_xlfn.XLOOKUP($A30,'Audit Report'!$C:$C,'Audit Report'!G:G)&amp;""</f>
        <v/>
      </c>
      <c r="E30" t="str">
        <f>_xlfn.XLOOKUP($A30,'Audit Report'!$C:$C,'Audit Report'!W:W)</f>
        <v/>
      </c>
      <c r="F30" t="str">
        <f>IF(LEFT(_xlfn.XLOOKUP($A30,'Audit Report'!$C:$C,'Audit Report'!N:N),4)="Pass","Yes","No")</f>
        <v>No</v>
      </c>
    </row>
    <row r="31" spans="2:6">
      <c r="B31" t="str">
        <f>_xlfn.XLOOKUP($A31,'Audit Report'!$C:$C,'Audit Report'!E:E)</f>
        <v/>
      </c>
      <c r="C31" t="str">
        <f>_xlfn.XLOOKUP($A31,'Audit Report'!$C:$C,'Audit Report'!F:F)&amp;""</f>
        <v/>
      </c>
      <c r="D31" t="str">
        <f>_xlfn.XLOOKUP($A31,'Audit Report'!$C:$C,'Audit Report'!G:G)&amp;""</f>
        <v/>
      </c>
      <c r="E31" t="str">
        <f>_xlfn.XLOOKUP($A31,'Audit Report'!$C:$C,'Audit Report'!W:W)</f>
        <v/>
      </c>
      <c r="F31" t="str">
        <f>IF(LEFT(_xlfn.XLOOKUP($A31,'Audit Report'!$C:$C,'Audit Report'!N:N),4)="Pass","Yes","No")</f>
        <v>No</v>
      </c>
    </row>
    <row r="32" spans="2:6">
      <c r="B32" t="str">
        <f>_xlfn.XLOOKUP($A32,'Audit Report'!$C:$C,'Audit Report'!E:E)</f>
        <v/>
      </c>
      <c r="C32" t="str">
        <f>_xlfn.XLOOKUP($A32,'Audit Report'!$C:$C,'Audit Report'!F:F)&amp;""</f>
        <v/>
      </c>
      <c r="D32" t="str">
        <f>_xlfn.XLOOKUP($A32,'Audit Report'!$C:$C,'Audit Report'!G:G)&amp;""</f>
        <v/>
      </c>
      <c r="E32" t="str">
        <f>_xlfn.XLOOKUP($A32,'Audit Report'!$C:$C,'Audit Report'!W:W)</f>
        <v/>
      </c>
      <c r="F32" t="str">
        <f>IF(LEFT(_xlfn.XLOOKUP($A32,'Audit Report'!$C:$C,'Audit Report'!N:N),4)="Pass","Yes","No")</f>
        <v>No</v>
      </c>
    </row>
    <row r="33" spans="2:6">
      <c r="B33" t="str">
        <f>_xlfn.XLOOKUP($A33,'Audit Report'!$C:$C,'Audit Report'!E:E)</f>
        <v/>
      </c>
      <c r="C33" t="str">
        <f>_xlfn.XLOOKUP($A33,'Audit Report'!$C:$C,'Audit Report'!F:F)&amp;""</f>
        <v/>
      </c>
      <c r="D33" t="str">
        <f>_xlfn.XLOOKUP($A33,'Audit Report'!$C:$C,'Audit Report'!G:G)&amp;""</f>
        <v/>
      </c>
      <c r="E33" t="str">
        <f>_xlfn.XLOOKUP($A33,'Audit Report'!$C:$C,'Audit Report'!W:W)</f>
        <v/>
      </c>
      <c r="F33" t="str">
        <f>IF(LEFT(_xlfn.XLOOKUP($A33,'Audit Report'!$C:$C,'Audit Report'!N:N),4)="Pass","Yes","No")</f>
        <v>No</v>
      </c>
    </row>
    <row r="34" spans="2:6">
      <c r="B34" t="str">
        <f>_xlfn.XLOOKUP($A34,'Audit Report'!$C:$C,'Audit Report'!E:E)</f>
        <v/>
      </c>
      <c r="C34" t="str">
        <f>_xlfn.XLOOKUP($A34,'Audit Report'!$C:$C,'Audit Report'!F:F)&amp;""</f>
        <v/>
      </c>
      <c r="D34" t="str">
        <f>_xlfn.XLOOKUP($A34,'Audit Report'!$C:$C,'Audit Report'!G:G)&amp;""</f>
        <v/>
      </c>
      <c r="E34" t="str">
        <f>_xlfn.XLOOKUP($A34,'Audit Report'!$C:$C,'Audit Report'!W:W)</f>
        <v/>
      </c>
      <c r="F34" t="str">
        <f>IF(LEFT(_xlfn.XLOOKUP($A34,'Audit Report'!$C:$C,'Audit Report'!N:N),4)="Pass","Yes","No")</f>
        <v>No</v>
      </c>
    </row>
    <row r="35" spans="2:6">
      <c r="B35" t="str">
        <f>_xlfn.XLOOKUP($A35,'Audit Report'!$C:$C,'Audit Report'!E:E)</f>
        <v/>
      </c>
      <c r="C35" t="str">
        <f>_xlfn.XLOOKUP($A35,'Audit Report'!$C:$C,'Audit Report'!F:F)&amp;""</f>
        <v/>
      </c>
      <c r="D35" t="str">
        <f>_xlfn.XLOOKUP($A35,'Audit Report'!$C:$C,'Audit Report'!G:G)&amp;""</f>
        <v/>
      </c>
      <c r="E35" t="str">
        <f>_xlfn.XLOOKUP($A35,'Audit Report'!$C:$C,'Audit Report'!W:W)</f>
        <v/>
      </c>
      <c r="F35" t="str">
        <f>IF(LEFT(_xlfn.XLOOKUP($A35,'Audit Report'!$C:$C,'Audit Report'!N:N),4)="Pass","Yes","No")</f>
        <v>No</v>
      </c>
    </row>
    <row r="36" spans="2:6">
      <c r="B36" t="str">
        <f>_xlfn.XLOOKUP($A36,'Audit Report'!$C:$C,'Audit Report'!E:E)</f>
        <v/>
      </c>
      <c r="C36" t="str">
        <f>_xlfn.XLOOKUP($A36,'Audit Report'!$C:$C,'Audit Report'!F:F)&amp;""</f>
        <v/>
      </c>
      <c r="D36" t="str">
        <f>_xlfn.XLOOKUP($A36,'Audit Report'!$C:$C,'Audit Report'!G:G)&amp;""</f>
        <v/>
      </c>
      <c r="E36" t="str">
        <f>_xlfn.XLOOKUP($A36,'Audit Report'!$C:$C,'Audit Report'!W:W)</f>
        <v/>
      </c>
      <c r="F36" t="str">
        <f>IF(LEFT(_xlfn.XLOOKUP($A36,'Audit Report'!$C:$C,'Audit Report'!N:N),4)="Pass","Yes","No")</f>
        <v>No</v>
      </c>
    </row>
    <row r="37" spans="2:6">
      <c r="B37" t="str">
        <f>_xlfn.XLOOKUP($A37,'Audit Report'!$C:$C,'Audit Report'!E:E)</f>
        <v/>
      </c>
      <c r="C37" t="str">
        <f>_xlfn.XLOOKUP($A37,'Audit Report'!$C:$C,'Audit Report'!F:F)&amp;""</f>
        <v/>
      </c>
      <c r="D37" t="str">
        <f>_xlfn.XLOOKUP($A37,'Audit Report'!$C:$C,'Audit Report'!G:G)&amp;""</f>
        <v/>
      </c>
      <c r="E37" t="str">
        <f>_xlfn.XLOOKUP($A37,'Audit Report'!$C:$C,'Audit Report'!W:W)</f>
        <v/>
      </c>
      <c r="F37" t="str">
        <f>IF(LEFT(_xlfn.XLOOKUP($A37,'Audit Report'!$C:$C,'Audit Report'!N:N),4)="Pass","Yes","No")</f>
        <v>No</v>
      </c>
    </row>
    <row r="38" spans="2:6">
      <c r="B38" t="str">
        <f>_xlfn.XLOOKUP($A38,'Audit Report'!$C:$C,'Audit Report'!E:E)</f>
        <v/>
      </c>
      <c r="C38" t="str">
        <f>_xlfn.XLOOKUP($A38,'Audit Report'!$C:$C,'Audit Report'!F:F)&amp;""</f>
        <v/>
      </c>
      <c r="D38" t="str">
        <f>_xlfn.XLOOKUP($A38,'Audit Report'!$C:$C,'Audit Report'!G:G)&amp;""</f>
        <v/>
      </c>
      <c r="E38" t="str">
        <f>_xlfn.XLOOKUP($A38,'Audit Report'!$C:$C,'Audit Report'!W:W)</f>
        <v/>
      </c>
      <c r="F38" t="str">
        <f>IF(LEFT(_xlfn.XLOOKUP($A38,'Audit Report'!$C:$C,'Audit Report'!N:N),4)="Pass","Yes","No")</f>
        <v>No</v>
      </c>
    </row>
    <row r="39" spans="2:6">
      <c r="B39" t="str">
        <f>_xlfn.XLOOKUP($A39,'Audit Report'!$C:$C,'Audit Report'!E:E)</f>
        <v/>
      </c>
      <c r="C39" t="str">
        <f>_xlfn.XLOOKUP($A39,'Audit Report'!$C:$C,'Audit Report'!F:F)&amp;""</f>
        <v/>
      </c>
      <c r="D39" t="str">
        <f>_xlfn.XLOOKUP($A39,'Audit Report'!$C:$C,'Audit Report'!G:G)&amp;""</f>
        <v/>
      </c>
      <c r="E39" t="str">
        <f>_xlfn.XLOOKUP($A39,'Audit Report'!$C:$C,'Audit Report'!W:W)</f>
        <v/>
      </c>
      <c r="F39" t="str">
        <f>IF(LEFT(_xlfn.XLOOKUP($A39,'Audit Report'!$C:$C,'Audit Report'!N:N),4)="Pass","Yes","No")</f>
        <v>No</v>
      </c>
    </row>
    <row r="40" spans="2:6">
      <c r="B40" t="str">
        <f>_xlfn.XLOOKUP($A40,'Audit Report'!$C:$C,'Audit Report'!E:E)</f>
        <v/>
      </c>
      <c r="C40" t="str">
        <f>_xlfn.XLOOKUP($A40,'Audit Report'!$C:$C,'Audit Report'!F:F)&amp;""</f>
        <v/>
      </c>
      <c r="D40" t="str">
        <f>_xlfn.XLOOKUP($A40,'Audit Report'!$C:$C,'Audit Report'!G:G)&amp;""</f>
        <v/>
      </c>
      <c r="E40" t="str">
        <f>_xlfn.XLOOKUP($A40,'Audit Report'!$C:$C,'Audit Report'!W:W)</f>
        <v/>
      </c>
      <c r="F40" t="str">
        <f>IF(LEFT(_xlfn.XLOOKUP($A40,'Audit Report'!$C:$C,'Audit Report'!N:N),4)="Pass","Yes","No")</f>
        <v>No</v>
      </c>
    </row>
    <row r="41" spans="2:6">
      <c r="B41" t="str">
        <f>_xlfn.XLOOKUP($A41,'Audit Report'!$C:$C,'Audit Report'!E:E)</f>
        <v/>
      </c>
      <c r="C41" t="str">
        <f>_xlfn.XLOOKUP($A41,'Audit Report'!$C:$C,'Audit Report'!F:F)&amp;""</f>
        <v/>
      </c>
      <c r="D41" t="str">
        <f>_xlfn.XLOOKUP($A41,'Audit Report'!$C:$C,'Audit Report'!G:G)&amp;""</f>
        <v/>
      </c>
      <c r="E41" t="str">
        <f>_xlfn.XLOOKUP($A41,'Audit Report'!$C:$C,'Audit Report'!W:W)</f>
        <v/>
      </c>
      <c r="F41" t="str">
        <f>IF(LEFT(_xlfn.XLOOKUP($A41,'Audit Report'!$C:$C,'Audit Report'!N:N),4)="Pass","Yes","No")</f>
        <v>No</v>
      </c>
    </row>
    <row r="42" spans="2:6">
      <c r="B42">
        <f>_xlfn.XLOOKUP($A42,'Audit Report'!$C:$C,'Audit Report'!E:E)</f>
        <v>0</v>
      </c>
      <c r="C42" t="str">
        <f>_xlfn.XLOOKUP($A42,'Audit Report'!$C:$C,'Audit Report'!F:F)&amp;""</f>
        <v/>
      </c>
      <c r="D42" t="str">
        <f>_xlfn.XLOOKUP($A42,'Audit Report'!$C:$C,'Audit Report'!G:G)&amp;""</f>
        <v/>
      </c>
      <c r="E42">
        <f>_xlfn.XLOOKUP($A42,'Audit Report'!$C:$C,'Audit Report'!W:W)</f>
        <v>0</v>
      </c>
      <c r="F42" t="str">
        <f>IF(LEFT(_xlfn.XLOOKUP($A42,'Audit Report'!$C:$C,'Audit Report'!N:N),4)="Pass","Yes","No")</f>
        <v>No</v>
      </c>
    </row>
    <row r="43" spans="2:6">
      <c r="B43" t="str">
        <f>_xlfn.XLOOKUP($A43,'Audit Report'!$C:$C,'Audit Report'!E:E)</f>
        <v/>
      </c>
      <c r="C43" t="str">
        <f>_xlfn.XLOOKUP($A43,'Audit Report'!$C:$C,'Audit Report'!F:F)&amp;""</f>
        <v/>
      </c>
      <c r="D43" t="str">
        <f>_xlfn.XLOOKUP($A43,'Audit Report'!$C:$C,'Audit Report'!G:G)&amp;""</f>
        <v/>
      </c>
      <c r="E43">
        <f>_xlfn.XLOOKUP($A43,'Audit Report'!$C:$C,'Audit Report'!W:W)</f>
        <v>0</v>
      </c>
      <c r="F43" t="str">
        <f>IF(LEFT(_xlfn.XLOOKUP($A43,'Audit Report'!$C:$C,'Audit Report'!N:N),4)="Pass","Yes","No")</f>
        <v>No</v>
      </c>
    </row>
    <row r="44" spans="2:6">
      <c r="B44">
        <f>_xlfn.XLOOKUP($A44,'Audit Report'!$C:$C,'Audit Report'!E:E)</f>
        <v>0</v>
      </c>
      <c r="C44" t="str">
        <f>_xlfn.XLOOKUP($A44,'Audit Report'!$C:$C,'Audit Report'!F:F)&amp;""</f>
        <v/>
      </c>
      <c r="D44" t="str">
        <f>_xlfn.XLOOKUP($A44,'Audit Report'!$C:$C,'Audit Report'!G:G)&amp;""</f>
        <v/>
      </c>
      <c r="E44" t="str">
        <f>_xlfn.XLOOKUP($A44,'Audit Report'!$C:$C,'Audit Report'!W:W)</f>
        <v/>
      </c>
      <c r="F44" t="str">
        <f>IF(LEFT(_xlfn.XLOOKUP($A44,'Audit Report'!$C:$C,'Audit Report'!N:N),4)="Pass","Yes","No")</f>
        <v>No</v>
      </c>
    </row>
    <row r="45" spans="2:6">
      <c r="B45" t="str">
        <f>_xlfn.XLOOKUP($A45,'Audit Report'!$C:$C,'Audit Report'!E:E)</f>
        <v/>
      </c>
      <c r="C45" t="str">
        <f>_xlfn.XLOOKUP($A45,'Audit Report'!$C:$C,'Audit Report'!F:F)&amp;""</f>
        <v/>
      </c>
      <c r="D45" t="str">
        <f>_xlfn.XLOOKUP($A45,'Audit Report'!$C:$C,'Audit Report'!G:G)&amp;""</f>
        <v/>
      </c>
      <c r="E45" t="str">
        <f>_xlfn.XLOOKUP($A45,'Audit Report'!$C:$C,'Audit Report'!W:W)</f>
        <v/>
      </c>
      <c r="F45" t="str">
        <f>IF(LEFT(_xlfn.XLOOKUP($A45,'Audit Report'!$C:$C,'Audit Report'!N:N),4)="Pass","Yes","No")</f>
        <v>No</v>
      </c>
    </row>
    <row r="46" spans="2:6">
      <c r="B46">
        <f>_xlfn.XLOOKUP($A46,'Audit Report'!$C:$C,'Audit Report'!E:E)</f>
        <v>0</v>
      </c>
      <c r="C46" t="str">
        <f>_xlfn.XLOOKUP($A46,'Audit Report'!$C:$C,'Audit Report'!F:F)&amp;""</f>
        <v/>
      </c>
      <c r="D46" t="str">
        <f>_xlfn.XLOOKUP($A46,'Audit Report'!$C:$C,'Audit Report'!G:G)&amp;""</f>
        <v/>
      </c>
      <c r="E46">
        <f>_xlfn.XLOOKUP($A46,'Audit Report'!$C:$C,'Audit Report'!W:W)</f>
        <v>0</v>
      </c>
      <c r="F46" t="str">
        <f>IF(LEFT(_xlfn.XLOOKUP($A46,'Audit Report'!$C:$C,'Audit Report'!N:N),4)="Pass","Yes","No")</f>
        <v>No</v>
      </c>
    </row>
    <row r="47" spans="2:6">
      <c r="B47">
        <f>_xlfn.XLOOKUP($A47,'Audit Report'!$C:$C,'Audit Report'!E:E)</f>
        <v>0</v>
      </c>
      <c r="C47" t="str">
        <f>_xlfn.XLOOKUP($A47,'Audit Report'!$C:$C,'Audit Report'!F:F)&amp;""</f>
        <v/>
      </c>
      <c r="D47" t="str">
        <f>_xlfn.XLOOKUP($A47,'Audit Report'!$C:$C,'Audit Report'!G:G)&amp;""</f>
        <v/>
      </c>
      <c r="E47" t="str">
        <f>_xlfn.XLOOKUP($A47,'Audit Report'!$C:$C,'Audit Report'!W:W)</f>
        <v/>
      </c>
      <c r="F47" t="str">
        <f>IF(LEFT(_xlfn.XLOOKUP($A47,'Audit Report'!$C:$C,'Audit Report'!N:N),4)="Pass","Yes","No")</f>
        <v>No</v>
      </c>
    </row>
    <row r="48" spans="2:6">
      <c r="B48">
        <f>_xlfn.XLOOKUP($A48,'Audit Report'!$C:$C,'Audit Report'!E:E)</f>
        <v>0</v>
      </c>
      <c r="C48" t="str">
        <f>_xlfn.XLOOKUP($A48,'Audit Report'!$C:$C,'Audit Report'!F:F)&amp;""</f>
        <v/>
      </c>
      <c r="D48" t="str">
        <f>_xlfn.XLOOKUP($A48,'Audit Report'!$C:$C,'Audit Report'!G:G)&amp;""</f>
        <v/>
      </c>
      <c r="E48">
        <f>_xlfn.XLOOKUP($A48,'Audit Report'!$C:$C,'Audit Report'!W:W)</f>
        <v>0</v>
      </c>
      <c r="F48" t="str">
        <f>IF(LEFT(_xlfn.XLOOKUP($A48,'Audit Report'!$C:$C,'Audit Report'!N:N),4)="Pass","Yes","No")</f>
        <v>No</v>
      </c>
    </row>
    <row r="49" spans="2:6">
      <c r="B49" t="str">
        <f>_xlfn.XLOOKUP($A49,'Audit Report'!$C:$C,'Audit Report'!E:E)</f>
        <v/>
      </c>
      <c r="C49" t="str">
        <f>_xlfn.XLOOKUP($A49,'Audit Report'!$C:$C,'Audit Report'!F:F)&amp;""</f>
        <v/>
      </c>
      <c r="D49" t="str">
        <f>_xlfn.XLOOKUP($A49,'Audit Report'!$C:$C,'Audit Report'!G:G)&amp;""</f>
        <v/>
      </c>
      <c r="E49" t="str">
        <f>_xlfn.XLOOKUP($A49,'Audit Report'!$C:$C,'Audit Report'!W:W)</f>
        <v/>
      </c>
      <c r="F49" t="str">
        <f>IF(LEFT(_xlfn.XLOOKUP($A49,'Audit Report'!$C:$C,'Audit Report'!N:N),4)="Pass","Yes","No")</f>
        <v>No</v>
      </c>
    </row>
    <row r="50" spans="2:6">
      <c r="B50">
        <f>_xlfn.XLOOKUP($A50,'Audit Report'!$C:$C,'Audit Report'!E:E)</f>
        <v>0</v>
      </c>
      <c r="C50" t="str">
        <f>_xlfn.XLOOKUP($A50,'Audit Report'!$C:$C,'Audit Report'!F:F)&amp;""</f>
        <v/>
      </c>
      <c r="D50" t="str">
        <f>_xlfn.XLOOKUP($A50,'Audit Report'!$C:$C,'Audit Report'!G:G)&amp;""</f>
        <v/>
      </c>
      <c r="E50" t="str">
        <f>_xlfn.XLOOKUP($A50,'Audit Report'!$C:$C,'Audit Report'!W:W)</f>
        <v/>
      </c>
      <c r="F50" t="str">
        <f>IF(LEFT(_xlfn.XLOOKUP($A50,'Audit Report'!$C:$C,'Audit Report'!N:N),4)="Pass","Yes","No")</f>
        <v>No</v>
      </c>
    </row>
    <row r="51" spans="2:6">
      <c r="B51" t="str">
        <f>_xlfn.XLOOKUP($A51,'Audit Report'!$C:$C,'Audit Report'!E:E)</f>
        <v/>
      </c>
      <c r="C51" t="str">
        <f>_xlfn.XLOOKUP($A51,'Audit Report'!$C:$C,'Audit Report'!F:F)&amp;""</f>
        <v/>
      </c>
      <c r="D51" t="str">
        <f>_xlfn.XLOOKUP($A51,'Audit Report'!$C:$C,'Audit Report'!G:G)&amp;""</f>
        <v/>
      </c>
      <c r="E51" t="str">
        <f>_xlfn.XLOOKUP($A51,'Audit Report'!$C:$C,'Audit Report'!W:W)</f>
        <v/>
      </c>
      <c r="F51" t="str">
        <f>IF(LEFT(_xlfn.XLOOKUP($A51,'Audit Report'!$C:$C,'Audit Report'!N:N),4)="Pass","Yes","No")</f>
        <v>No</v>
      </c>
    </row>
    <row r="52" spans="2:6">
      <c r="B52">
        <f>_xlfn.XLOOKUP($A52,'Audit Report'!$C:$C,'Audit Report'!E:E)</f>
        <v>0</v>
      </c>
      <c r="C52" t="str">
        <f>_xlfn.XLOOKUP($A52,'Audit Report'!$C:$C,'Audit Report'!F:F)&amp;""</f>
        <v/>
      </c>
      <c r="D52" t="str">
        <f>_xlfn.XLOOKUP($A52,'Audit Report'!$C:$C,'Audit Report'!G:G)&amp;""</f>
        <v/>
      </c>
      <c r="E52">
        <f>_xlfn.XLOOKUP($A52,'Audit Report'!$C:$C,'Audit Report'!W:W)</f>
        <v>0</v>
      </c>
      <c r="F52" t="str">
        <f>IF(LEFT(_xlfn.XLOOKUP($A52,'Audit Report'!$C:$C,'Audit Report'!N:N),4)="Pass","Yes","No")</f>
        <v>No</v>
      </c>
    </row>
    <row r="53" spans="2:6">
      <c r="B53">
        <f>_xlfn.XLOOKUP($A53,'Audit Report'!$C:$C,'Audit Report'!E:E)</f>
        <v>0</v>
      </c>
      <c r="C53" t="str">
        <f>_xlfn.XLOOKUP($A53,'Audit Report'!$C:$C,'Audit Report'!F:F)&amp;""</f>
        <v/>
      </c>
      <c r="D53" t="str">
        <f>_xlfn.XLOOKUP($A53,'Audit Report'!$C:$C,'Audit Report'!G:G)&amp;""</f>
        <v/>
      </c>
      <c r="E53" t="str">
        <f>_xlfn.XLOOKUP($A53,'Audit Report'!$C:$C,'Audit Report'!W:W)</f>
        <v/>
      </c>
      <c r="F53" t="str">
        <f>IF(LEFT(_xlfn.XLOOKUP($A53,'Audit Report'!$C:$C,'Audit Report'!N:N),4)="Pass","Yes","No")</f>
        <v>No</v>
      </c>
    </row>
    <row r="54" spans="2:6">
      <c r="B54">
        <f>_xlfn.XLOOKUP($A54,'Audit Report'!$C:$C,'Audit Report'!E:E)</f>
        <v>0</v>
      </c>
      <c r="C54" t="str">
        <f>_xlfn.XLOOKUP($A54,'Audit Report'!$C:$C,'Audit Report'!F:F)&amp;""</f>
        <v/>
      </c>
      <c r="D54" t="str">
        <f>_xlfn.XLOOKUP($A54,'Audit Report'!$C:$C,'Audit Report'!G:G)&amp;""</f>
        <v/>
      </c>
      <c r="E54">
        <f>_xlfn.XLOOKUP($A54,'Audit Report'!$C:$C,'Audit Report'!W:W)</f>
        <v>0</v>
      </c>
      <c r="F54" t="str">
        <f>IF(LEFT(_xlfn.XLOOKUP($A54,'Audit Report'!$C:$C,'Audit Report'!N:N),4)="Pass","Yes","No")</f>
        <v>No</v>
      </c>
    </row>
    <row r="55" spans="2:6">
      <c r="B55" t="str">
        <f>_xlfn.XLOOKUP($A55,'Audit Report'!$C:$C,'Audit Report'!E:E)</f>
        <v/>
      </c>
      <c r="C55" t="str">
        <f>_xlfn.XLOOKUP($A55,'Audit Report'!$C:$C,'Audit Report'!F:F)&amp;""</f>
        <v/>
      </c>
      <c r="D55" t="str">
        <f>_xlfn.XLOOKUP($A55,'Audit Report'!$C:$C,'Audit Report'!G:G)&amp;""</f>
        <v/>
      </c>
      <c r="E55" t="str">
        <f>_xlfn.XLOOKUP($A55,'Audit Report'!$C:$C,'Audit Report'!W:W)</f>
        <v/>
      </c>
      <c r="F55" t="str">
        <f>IF(LEFT(_xlfn.XLOOKUP($A55,'Audit Report'!$C:$C,'Audit Report'!N:N),4)="Pass","Yes","No")</f>
        <v>No</v>
      </c>
    </row>
    <row r="56" spans="2:6">
      <c r="B56">
        <f>_xlfn.XLOOKUP($A56,'Audit Report'!$C:$C,'Audit Report'!E:E)</f>
        <v>0</v>
      </c>
      <c r="C56" t="str">
        <f>_xlfn.XLOOKUP($A56,'Audit Report'!$C:$C,'Audit Report'!F:F)&amp;""</f>
        <v/>
      </c>
      <c r="D56" t="str">
        <f>_xlfn.XLOOKUP($A56,'Audit Report'!$C:$C,'Audit Report'!G:G)&amp;""</f>
        <v/>
      </c>
      <c r="E56">
        <f>_xlfn.XLOOKUP($A56,'Audit Report'!$C:$C,'Audit Report'!W:W)</f>
        <v>0</v>
      </c>
      <c r="F56" t="str">
        <f>IF(LEFT(_xlfn.XLOOKUP($A56,'Audit Report'!$C:$C,'Audit Report'!N:N),4)="Pass","Yes","No")</f>
        <v>No</v>
      </c>
    </row>
    <row r="57" spans="2:6">
      <c r="B57" t="str">
        <f>_xlfn.XLOOKUP($A57,'Audit Report'!$C:$C,'Audit Report'!E:E)</f>
        <v/>
      </c>
      <c r="C57" t="str">
        <f>_xlfn.XLOOKUP($A57,'Audit Report'!$C:$C,'Audit Report'!F:F)&amp;""</f>
        <v/>
      </c>
      <c r="D57" t="str">
        <f>_xlfn.XLOOKUP($A57,'Audit Report'!$C:$C,'Audit Report'!G:G)&amp;""</f>
        <v/>
      </c>
      <c r="E57" t="str">
        <f>_xlfn.XLOOKUP($A57,'Audit Report'!$C:$C,'Audit Report'!W:W)</f>
        <v/>
      </c>
      <c r="F57" t="str">
        <f>IF(LEFT(_xlfn.XLOOKUP($A57,'Audit Report'!$C:$C,'Audit Report'!N:N),4)="Pass","Yes","No")</f>
        <v>No</v>
      </c>
    </row>
    <row r="58" spans="2:6">
      <c r="B58" t="str">
        <f>_xlfn.XLOOKUP($A58,'Audit Report'!$C:$C,'Audit Report'!E:E)</f>
        <v/>
      </c>
      <c r="C58" t="str">
        <f>_xlfn.XLOOKUP($A58,'Audit Report'!$C:$C,'Audit Report'!F:F)&amp;""</f>
        <v/>
      </c>
      <c r="D58" t="str">
        <f>_xlfn.XLOOKUP($A58,'Audit Report'!$C:$C,'Audit Report'!G:G)&amp;""</f>
        <v/>
      </c>
      <c r="E58">
        <f>_xlfn.XLOOKUP($A58,'Audit Report'!$C:$C,'Audit Report'!W:W)</f>
        <v>0</v>
      </c>
      <c r="F58" t="str">
        <f>IF(LEFT(_xlfn.XLOOKUP($A58,'Audit Report'!$C:$C,'Audit Report'!N:N),4)="Pass","Yes","No")</f>
        <v>No</v>
      </c>
    </row>
    <row r="59" spans="2:6">
      <c r="B59">
        <f>_xlfn.XLOOKUP($A59,'Audit Report'!$C:$C,'Audit Report'!E:E)</f>
        <v>0</v>
      </c>
      <c r="C59" t="str">
        <f>_xlfn.XLOOKUP($A59,'Audit Report'!$C:$C,'Audit Report'!F:F)&amp;""</f>
        <v/>
      </c>
      <c r="D59" t="str">
        <f>_xlfn.XLOOKUP($A59,'Audit Report'!$C:$C,'Audit Report'!G:G)&amp;""</f>
        <v/>
      </c>
      <c r="E59" t="str">
        <f>_xlfn.XLOOKUP($A59,'Audit Report'!$C:$C,'Audit Report'!W:W)</f>
        <v/>
      </c>
      <c r="F59" t="str">
        <f>IF(LEFT(_xlfn.XLOOKUP($A59,'Audit Report'!$C:$C,'Audit Report'!N:N),4)="Pass","Yes","No")</f>
        <v>No</v>
      </c>
    </row>
    <row r="60" spans="2:6">
      <c r="B60">
        <f>_xlfn.XLOOKUP($A60,'Audit Report'!$C:$C,'Audit Report'!E:E)</f>
        <v>0</v>
      </c>
      <c r="C60" t="str">
        <f>_xlfn.XLOOKUP($A60,'Audit Report'!$C:$C,'Audit Report'!F:F)&amp;""</f>
        <v/>
      </c>
      <c r="D60" t="str">
        <f>_xlfn.XLOOKUP($A60,'Audit Report'!$C:$C,'Audit Report'!G:G)&amp;""</f>
        <v/>
      </c>
      <c r="E60">
        <f>_xlfn.XLOOKUP($A60,'Audit Report'!$C:$C,'Audit Report'!W:W)</f>
        <v>0</v>
      </c>
      <c r="F60" t="str">
        <f>IF(LEFT(_xlfn.XLOOKUP($A60,'Audit Report'!$C:$C,'Audit Report'!N:N),4)="Pass","Yes","No")</f>
        <v>No</v>
      </c>
    </row>
    <row r="61" spans="2:6">
      <c r="B61" t="str">
        <f>_xlfn.XLOOKUP($A61,'Audit Report'!$C:$C,'Audit Report'!E:E)</f>
        <v/>
      </c>
      <c r="C61" t="str">
        <f>_xlfn.XLOOKUP($A61,'Audit Report'!$C:$C,'Audit Report'!F:F)&amp;""</f>
        <v/>
      </c>
      <c r="D61" t="str">
        <f>_xlfn.XLOOKUP($A61,'Audit Report'!$C:$C,'Audit Report'!G:G)&amp;""</f>
        <v/>
      </c>
      <c r="E61">
        <f>_xlfn.XLOOKUP($A61,'Audit Report'!$C:$C,'Audit Report'!W:W)</f>
        <v>0</v>
      </c>
      <c r="F61" t="str">
        <f>IF(LEFT(_xlfn.XLOOKUP($A61,'Audit Report'!$C:$C,'Audit Report'!N:N),4)="Pass","Yes","No")</f>
        <v>No</v>
      </c>
    </row>
    <row r="62" spans="2:6">
      <c r="B62">
        <f>_xlfn.XLOOKUP($A62,'Audit Report'!$C:$C,'Audit Report'!E:E)</f>
        <v>0</v>
      </c>
      <c r="C62" t="str">
        <f>_xlfn.XLOOKUP($A62,'Audit Report'!$C:$C,'Audit Report'!F:F)&amp;""</f>
        <v/>
      </c>
      <c r="D62" t="str">
        <f>_xlfn.XLOOKUP($A62,'Audit Report'!$C:$C,'Audit Report'!G:G)&amp;""</f>
        <v/>
      </c>
      <c r="E62" t="str">
        <f>_xlfn.XLOOKUP($A62,'Audit Report'!$C:$C,'Audit Report'!W:W)</f>
        <v/>
      </c>
      <c r="F62" t="str">
        <f>IF(LEFT(_xlfn.XLOOKUP($A62,'Audit Report'!$C:$C,'Audit Report'!N:N),4)="Pass","Yes","No")</f>
        <v>No</v>
      </c>
    </row>
    <row r="63" spans="2:6">
      <c r="B63" t="str">
        <f>_xlfn.XLOOKUP($A63,'Audit Report'!$C:$C,'Audit Report'!E:E)</f>
        <v/>
      </c>
      <c r="C63" t="str">
        <f>_xlfn.XLOOKUP($A63,'Audit Report'!$C:$C,'Audit Report'!F:F)&amp;""</f>
        <v/>
      </c>
      <c r="D63" t="str">
        <f>_xlfn.XLOOKUP($A63,'Audit Report'!$C:$C,'Audit Report'!G:G)&amp;""</f>
        <v/>
      </c>
      <c r="E63" t="str">
        <f>_xlfn.XLOOKUP($A63,'Audit Report'!$C:$C,'Audit Report'!W:W)</f>
        <v/>
      </c>
      <c r="F63" t="str">
        <f>IF(LEFT(_xlfn.XLOOKUP($A63,'Audit Report'!$C:$C,'Audit Report'!N:N),4)="Pass","Yes","No")</f>
        <v>No</v>
      </c>
    </row>
    <row r="64" spans="2:6">
      <c r="B64">
        <f>_xlfn.XLOOKUP($A64,'Audit Report'!$C:$C,'Audit Report'!E:E)</f>
        <v>0</v>
      </c>
      <c r="C64" t="str">
        <f>_xlfn.XLOOKUP($A64,'Audit Report'!$C:$C,'Audit Report'!F:F)&amp;""</f>
        <v/>
      </c>
      <c r="D64" t="str">
        <f>_xlfn.XLOOKUP($A64,'Audit Report'!$C:$C,'Audit Report'!G:G)&amp;""</f>
        <v/>
      </c>
      <c r="E64">
        <f>_xlfn.XLOOKUP($A64,'Audit Report'!$C:$C,'Audit Report'!W:W)</f>
        <v>0</v>
      </c>
      <c r="F64" t="str">
        <f>IF(LEFT(_xlfn.XLOOKUP($A64,'Audit Report'!$C:$C,'Audit Report'!N:N),4)="Pass","Yes","No")</f>
        <v>No</v>
      </c>
    </row>
    <row r="65" spans="2:6">
      <c r="B65">
        <f>_xlfn.XLOOKUP($A65,'Audit Report'!$C:$C,'Audit Report'!E:E)</f>
        <v>0</v>
      </c>
      <c r="C65" t="str">
        <f>_xlfn.XLOOKUP($A65,'Audit Report'!$C:$C,'Audit Report'!F:F)&amp;""</f>
        <v/>
      </c>
      <c r="D65" t="str">
        <f>_xlfn.XLOOKUP($A65,'Audit Report'!$C:$C,'Audit Report'!G:G)&amp;""</f>
        <v/>
      </c>
      <c r="E65" t="str">
        <f>_xlfn.XLOOKUP($A65,'Audit Report'!$C:$C,'Audit Report'!W:W)</f>
        <v/>
      </c>
      <c r="F65" t="str">
        <f>IF(LEFT(_xlfn.XLOOKUP($A65,'Audit Report'!$C:$C,'Audit Report'!N:N),4)="Pass","Yes","No")</f>
        <v>No</v>
      </c>
    </row>
    <row r="66" spans="2:6">
      <c r="B66">
        <f>_xlfn.XLOOKUP($A66,'Audit Report'!$C:$C,'Audit Report'!E:E)</f>
        <v>0</v>
      </c>
      <c r="C66" t="str">
        <f>_xlfn.XLOOKUP($A66,'Audit Report'!$C:$C,'Audit Report'!F:F)&amp;""</f>
        <v/>
      </c>
      <c r="D66" t="str">
        <f>_xlfn.XLOOKUP($A66,'Audit Report'!$C:$C,'Audit Report'!G:G)&amp;""</f>
        <v/>
      </c>
      <c r="E66">
        <f>_xlfn.XLOOKUP($A66,'Audit Report'!$C:$C,'Audit Report'!W:W)</f>
        <v>0</v>
      </c>
      <c r="F66" t="str">
        <f>IF(LEFT(_xlfn.XLOOKUP($A66,'Audit Report'!$C:$C,'Audit Report'!N:N),4)="Pass","Yes","No")</f>
        <v>No</v>
      </c>
    </row>
    <row r="67" spans="2:6">
      <c r="B67" t="str">
        <f>_xlfn.XLOOKUP($A67,'Audit Report'!$C:$C,'Audit Report'!E:E)</f>
        <v/>
      </c>
      <c r="C67" t="str">
        <f>_xlfn.XLOOKUP($A67,'Audit Report'!$C:$C,'Audit Report'!F:F)&amp;""</f>
        <v/>
      </c>
      <c r="D67" t="str">
        <f>_xlfn.XLOOKUP($A67,'Audit Report'!$C:$C,'Audit Report'!G:G)&amp;""</f>
        <v/>
      </c>
      <c r="E67" t="str">
        <f>_xlfn.XLOOKUP($A67,'Audit Report'!$C:$C,'Audit Report'!W:W)</f>
        <v/>
      </c>
      <c r="F67" t="str">
        <f>IF(LEFT(_xlfn.XLOOKUP($A67,'Audit Report'!$C:$C,'Audit Report'!N:N),4)="Pass","Yes","No")</f>
        <v>No</v>
      </c>
    </row>
    <row r="68" spans="2:6">
      <c r="B68">
        <f>_xlfn.XLOOKUP($A68,'Audit Report'!$C:$C,'Audit Report'!E:E)</f>
        <v>0</v>
      </c>
      <c r="C68" t="str">
        <f>_xlfn.XLOOKUP($A68,'Audit Report'!$C:$C,'Audit Report'!F:F)&amp;""</f>
        <v/>
      </c>
      <c r="D68" t="str">
        <f>_xlfn.XLOOKUP($A68,'Audit Report'!$C:$C,'Audit Report'!G:G)&amp;""</f>
        <v/>
      </c>
      <c r="E68" t="str">
        <f>_xlfn.XLOOKUP($A68,'Audit Report'!$C:$C,'Audit Report'!W:W)</f>
        <v/>
      </c>
      <c r="F68" t="str">
        <f>IF(LEFT(_xlfn.XLOOKUP($A68,'Audit Report'!$C:$C,'Audit Report'!N:N),4)="Pass","Yes","No")</f>
        <v>No</v>
      </c>
    </row>
    <row r="69" spans="2:6">
      <c r="B69" t="str">
        <f>_xlfn.XLOOKUP($A69,'Audit Report'!$C:$C,'Audit Report'!E:E)</f>
        <v/>
      </c>
      <c r="C69" t="str">
        <f>_xlfn.XLOOKUP($A69,'Audit Report'!$C:$C,'Audit Report'!F:F)&amp;""</f>
        <v/>
      </c>
      <c r="D69" t="str">
        <f>_xlfn.XLOOKUP($A69,'Audit Report'!$C:$C,'Audit Report'!G:G)&amp;""</f>
        <v/>
      </c>
      <c r="E69" t="str">
        <f>_xlfn.XLOOKUP($A69,'Audit Report'!$C:$C,'Audit Report'!W:W)</f>
        <v/>
      </c>
      <c r="F69" t="str">
        <f>IF(LEFT(_xlfn.XLOOKUP($A69,'Audit Report'!$C:$C,'Audit Report'!N:N),4)="Pass","Yes","No")</f>
        <v>No</v>
      </c>
    </row>
    <row r="70" spans="2:6">
      <c r="B70">
        <f>_xlfn.XLOOKUP($A70,'Audit Report'!$C:$C,'Audit Report'!E:E)</f>
        <v>0</v>
      </c>
      <c r="C70" t="str">
        <f>_xlfn.XLOOKUP($A70,'Audit Report'!$C:$C,'Audit Report'!F:F)&amp;""</f>
        <v/>
      </c>
      <c r="D70" t="str">
        <f>_xlfn.XLOOKUP($A70,'Audit Report'!$C:$C,'Audit Report'!G:G)&amp;""</f>
        <v/>
      </c>
      <c r="E70">
        <f>_xlfn.XLOOKUP($A70,'Audit Report'!$C:$C,'Audit Report'!W:W)</f>
        <v>0</v>
      </c>
      <c r="F70" t="str">
        <f>IF(LEFT(_xlfn.XLOOKUP($A70,'Audit Report'!$C:$C,'Audit Report'!N:N),4)="Pass","Yes","No")</f>
        <v>No</v>
      </c>
    </row>
    <row r="71" spans="2:6">
      <c r="B71" t="str">
        <f>_xlfn.XLOOKUP($A71,'Audit Report'!$C:$C,'Audit Report'!E:E)</f>
        <v/>
      </c>
      <c r="C71" t="str">
        <f>_xlfn.XLOOKUP($A71,'Audit Report'!$C:$C,'Audit Report'!F:F)&amp;""</f>
        <v/>
      </c>
      <c r="D71" t="str">
        <f>_xlfn.XLOOKUP($A71,'Audit Report'!$C:$C,'Audit Report'!G:G)&amp;""</f>
        <v/>
      </c>
      <c r="E71" t="str">
        <f>_xlfn.XLOOKUP($A71,'Audit Report'!$C:$C,'Audit Report'!W:W)</f>
        <v/>
      </c>
      <c r="F71" t="str">
        <f>IF(LEFT(_xlfn.XLOOKUP($A71,'Audit Report'!$C:$C,'Audit Report'!N:N),4)="Pass","Yes","No")</f>
        <v>No</v>
      </c>
    </row>
    <row r="72" spans="2:6">
      <c r="B72">
        <f>_xlfn.XLOOKUP($A72,'Audit Report'!$C:$C,'Audit Report'!E:E)</f>
        <v>0</v>
      </c>
      <c r="C72" t="str">
        <f>_xlfn.XLOOKUP($A72,'Audit Report'!$C:$C,'Audit Report'!F:F)&amp;""</f>
        <v/>
      </c>
      <c r="D72" t="str">
        <f>_xlfn.XLOOKUP($A72,'Audit Report'!$C:$C,'Audit Report'!G:G)&amp;""</f>
        <v/>
      </c>
      <c r="E72">
        <f>_xlfn.XLOOKUP($A72,'Audit Report'!$C:$C,'Audit Report'!W:W)</f>
        <v>0</v>
      </c>
      <c r="F72" t="str">
        <f>IF(LEFT(_xlfn.XLOOKUP($A72,'Audit Report'!$C:$C,'Audit Report'!N:N),4)="Pass","Yes","No")</f>
        <v>No</v>
      </c>
    </row>
    <row r="73" spans="2:6">
      <c r="B73">
        <f>_xlfn.XLOOKUP($A73,'Audit Report'!$C:$C,'Audit Report'!E:E)</f>
        <v>0</v>
      </c>
      <c r="C73" t="str">
        <f>_xlfn.XLOOKUP($A73,'Audit Report'!$C:$C,'Audit Report'!F:F)&amp;""</f>
        <v/>
      </c>
      <c r="D73" t="str">
        <f>_xlfn.XLOOKUP($A73,'Audit Report'!$C:$C,'Audit Report'!G:G)&amp;""</f>
        <v/>
      </c>
      <c r="E73">
        <f>_xlfn.XLOOKUP($A73,'Audit Report'!$C:$C,'Audit Report'!W:W)</f>
        <v>0</v>
      </c>
      <c r="F73" t="str">
        <f>IF(LEFT(_xlfn.XLOOKUP($A73,'Audit Report'!$C:$C,'Audit Report'!N:N),4)="Pass","Yes","No")</f>
        <v>No</v>
      </c>
    </row>
    <row r="74" spans="2:6">
      <c r="B74">
        <f>_xlfn.XLOOKUP($A74,'Audit Report'!$C:$C,'Audit Report'!E:E)</f>
        <v>0</v>
      </c>
      <c r="C74" t="str">
        <f>_xlfn.XLOOKUP($A74,'Audit Report'!$C:$C,'Audit Report'!F:F)&amp;""</f>
        <v/>
      </c>
      <c r="D74" t="str">
        <f>_xlfn.XLOOKUP($A74,'Audit Report'!$C:$C,'Audit Report'!G:G)&amp;""</f>
        <v/>
      </c>
      <c r="E74">
        <f>_xlfn.XLOOKUP($A74,'Audit Report'!$C:$C,'Audit Report'!W:W)</f>
        <v>0</v>
      </c>
      <c r="F74" t="str">
        <f>IF(LEFT(_xlfn.XLOOKUP($A74,'Audit Report'!$C:$C,'Audit Report'!N:N),4)="Pass","Yes","No")</f>
        <v>No</v>
      </c>
    </row>
    <row r="75" spans="2:6">
      <c r="B75" t="str">
        <f>_xlfn.XLOOKUP($A75,'Audit Report'!$C:$C,'Audit Report'!E:E)</f>
        <v/>
      </c>
      <c r="C75" t="str">
        <f>_xlfn.XLOOKUP($A75,'Audit Report'!$C:$C,'Audit Report'!F:F)&amp;""</f>
        <v/>
      </c>
      <c r="D75" t="str">
        <f>_xlfn.XLOOKUP($A75,'Audit Report'!$C:$C,'Audit Report'!G:G)&amp;""</f>
        <v/>
      </c>
      <c r="E75" t="str">
        <f>_xlfn.XLOOKUP($A75,'Audit Report'!$C:$C,'Audit Report'!W:W)</f>
        <v/>
      </c>
      <c r="F75" t="str">
        <f>IF(LEFT(_xlfn.XLOOKUP($A75,'Audit Report'!$C:$C,'Audit Report'!N:N),4)="Pass","Yes","No")</f>
        <v>No</v>
      </c>
    </row>
    <row r="76" spans="2:6">
      <c r="B76" t="str">
        <f>_xlfn.XLOOKUP($A76,'Audit Report'!$C:$C,'Audit Report'!E:E)</f>
        <v/>
      </c>
      <c r="C76" t="str">
        <f>_xlfn.XLOOKUP($A76,'Audit Report'!$C:$C,'Audit Report'!F:F)&amp;""</f>
        <v/>
      </c>
      <c r="D76" t="str">
        <f>_xlfn.XLOOKUP($A76,'Audit Report'!$C:$C,'Audit Report'!G:G)&amp;""</f>
        <v/>
      </c>
      <c r="E76">
        <f>_xlfn.XLOOKUP($A76,'Audit Report'!$C:$C,'Audit Report'!W:W)</f>
        <v>0</v>
      </c>
      <c r="F76" t="str">
        <f>IF(LEFT(_xlfn.XLOOKUP($A76,'Audit Report'!$C:$C,'Audit Report'!N:N),4)="Pass","Yes","No")</f>
        <v>No</v>
      </c>
    </row>
    <row r="77" spans="2:6">
      <c r="B77" t="str">
        <f>_xlfn.XLOOKUP($A77,'Audit Report'!$C:$C,'Audit Report'!E:E)</f>
        <v/>
      </c>
      <c r="C77" t="str">
        <f>_xlfn.XLOOKUP($A77,'Audit Report'!$C:$C,'Audit Report'!F:F)&amp;""</f>
        <v/>
      </c>
      <c r="D77" t="str">
        <f>_xlfn.XLOOKUP($A77,'Audit Report'!$C:$C,'Audit Report'!G:G)&amp;""</f>
        <v/>
      </c>
      <c r="E77" t="str">
        <f>_xlfn.XLOOKUP($A77,'Audit Report'!$C:$C,'Audit Report'!W:W)</f>
        <v/>
      </c>
      <c r="F77" t="str">
        <f>IF(LEFT(_xlfn.XLOOKUP($A77,'Audit Report'!$C:$C,'Audit Report'!N:N),4)="Pass","Yes","No")</f>
        <v>No</v>
      </c>
    </row>
    <row r="78" spans="2:6">
      <c r="B78">
        <f>_xlfn.XLOOKUP($A78,'Audit Report'!$C:$C,'Audit Report'!E:E)</f>
        <v>0</v>
      </c>
      <c r="C78" t="str">
        <f>_xlfn.XLOOKUP($A78,'Audit Report'!$C:$C,'Audit Report'!F:F)&amp;""</f>
        <v/>
      </c>
      <c r="D78" t="str">
        <f>_xlfn.XLOOKUP($A78,'Audit Report'!$C:$C,'Audit Report'!G:G)&amp;""</f>
        <v/>
      </c>
      <c r="E78">
        <f>_xlfn.XLOOKUP($A78,'Audit Report'!$C:$C,'Audit Report'!W:W)</f>
        <v>0</v>
      </c>
      <c r="F78" t="str">
        <f>IF(LEFT(_xlfn.XLOOKUP($A78,'Audit Report'!$C:$C,'Audit Report'!N:N),4)="Pass","Yes","No")</f>
        <v>No</v>
      </c>
    </row>
    <row r="79" spans="2:6">
      <c r="B79" t="str">
        <f>_xlfn.XLOOKUP($A79,'Audit Report'!$C:$C,'Audit Report'!E:E)</f>
        <v/>
      </c>
      <c r="C79" t="str">
        <f>_xlfn.XLOOKUP($A79,'Audit Report'!$C:$C,'Audit Report'!F:F)&amp;""</f>
        <v/>
      </c>
      <c r="D79" t="str">
        <f>_xlfn.XLOOKUP($A79,'Audit Report'!$C:$C,'Audit Report'!G:G)&amp;""</f>
        <v/>
      </c>
      <c r="E79" t="str">
        <f>_xlfn.XLOOKUP($A79,'Audit Report'!$C:$C,'Audit Report'!W:W)</f>
        <v/>
      </c>
      <c r="F79" t="str">
        <f>IF(LEFT(_xlfn.XLOOKUP($A79,'Audit Report'!$C:$C,'Audit Report'!N:N),4)="Pass","Yes","No")</f>
        <v>No</v>
      </c>
    </row>
    <row r="80" spans="2:6">
      <c r="B80">
        <f>_xlfn.XLOOKUP($A80,'Audit Report'!$C:$C,'Audit Report'!E:E)</f>
        <v>0</v>
      </c>
      <c r="C80" t="str">
        <f>_xlfn.XLOOKUP($A80,'Audit Report'!$C:$C,'Audit Report'!F:F)&amp;""</f>
        <v/>
      </c>
      <c r="D80" t="str">
        <f>_xlfn.XLOOKUP($A80,'Audit Report'!$C:$C,'Audit Report'!G:G)&amp;""</f>
        <v/>
      </c>
      <c r="E80" t="str">
        <f>_xlfn.XLOOKUP($A80,'Audit Report'!$C:$C,'Audit Report'!W:W)</f>
        <v/>
      </c>
      <c r="F80" t="str">
        <f>IF(LEFT(_xlfn.XLOOKUP($A80,'Audit Report'!$C:$C,'Audit Report'!N:N),4)="Pass","Yes","No")</f>
        <v>No</v>
      </c>
    </row>
    <row r="81" spans="2:6">
      <c r="B81" t="str">
        <f>_xlfn.XLOOKUP($A81,'Audit Report'!$C:$C,'Audit Report'!E:E)</f>
        <v/>
      </c>
      <c r="C81" t="str">
        <f>_xlfn.XLOOKUP($A81,'Audit Report'!$C:$C,'Audit Report'!F:F)&amp;""</f>
        <v/>
      </c>
      <c r="D81" t="str">
        <f>_xlfn.XLOOKUP($A81,'Audit Report'!$C:$C,'Audit Report'!G:G)&amp;""</f>
        <v/>
      </c>
      <c r="E81" t="str">
        <f>_xlfn.XLOOKUP($A81,'Audit Report'!$C:$C,'Audit Report'!W:W)</f>
        <v/>
      </c>
      <c r="F81" t="str">
        <f>IF(LEFT(_xlfn.XLOOKUP($A81,'Audit Report'!$C:$C,'Audit Report'!N:N),4)="Pass","Yes","No")</f>
        <v>No</v>
      </c>
    </row>
    <row r="82" spans="2:6">
      <c r="B82">
        <f>_xlfn.XLOOKUP($A82,'Audit Report'!$C:$C,'Audit Report'!E:E)</f>
        <v>0</v>
      </c>
      <c r="C82" t="str">
        <f>_xlfn.XLOOKUP($A82,'Audit Report'!$C:$C,'Audit Report'!F:F)&amp;""</f>
        <v/>
      </c>
      <c r="D82" t="str">
        <f>_xlfn.XLOOKUP($A82,'Audit Report'!$C:$C,'Audit Report'!G:G)&amp;""</f>
        <v/>
      </c>
      <c r="E82" t="str">
        <f>_xlfn.XLOOKUP($A82,'Audit Report'!$C:$C,'Audit Report'!W:W)</f>
        <v/>
      </c>
      <c r="F82" t="str">
        <f>IF(LEFT(_xlfn.XLOOKUP($A82,'Audit Report'!$C:$C,'Audit Report'!N:N),4)="Pass","Yes","No")</f>
        <v>No</v>
      </c>
    </row>
    <row r="83" spans="2:6">
      <c r="C83" t="str">
        <f>_xlfn.XLOOKUP($A83,'Audit Report'!$C:$C,'Audit Report'!F:F)&amp;""</f>
        <v/>
      </c>
      <c r="D83" t="str">
        <f>_xlfn.XLOOKUP($A83,'Audit Report'!$C:$C,'Audit Report'!G:G)&amp;""</f>
        <v/>
      </c>
      <c r="F83" t="str">
        <f>IF(LEFT(_xlfn.XLOOKUP($A83,'Audit Report'!$C:$C,'Audit Report'!N:N),4)="Pass","Yes","No")</f>
        <v>No</v>
      </c>
    </row>
    <row r="84" spans="2:6">
      <c r="C84" t="str">
        <f>_xlfn.XLOOKUP($A84,'Audit Report'!$C:$C,'Audit Report'!F:F)&amp;""</f>
        <v/>
      </c>
      <c r="D84" t="str">
        <f>_xlfn.XLOOKUP($A84,'Audit Report'!$C:$C,'Audit Report'!G:G)&amp;""</f>
        <v/>
      </c>
      <c r="F84" t="str">
        <f>IF(LEFT(_xlfn.XLOOKUP($A84,'Audit Report'!$C:$C,'Audit Report'!N:N),4)="Pass","Yes","No")</f>
        <v>No</v>
      </c>
    </row>
    <row r="85" spans="2:6">
      <c r="C85" t="str">
        <f>_xlfn.XLOOKUP($A85,'Audit Report'!$C:$C,'Audit Report'!F:F)&amp;""</f>
        <v/>
      </c>
      <c r="D85" t="str">
        <f>_xlfn.XLOOKUP($A85,'Audit Report'!$C:$C,'Audit Report'!G:G)&amp;""</f>
        <v/>
      </c>
      <c r="F85" t="str">
        <f>IF(LEFT(_xlfn.XLOOKUP($A85,'Audit Report'!$C:$C,'Audit Report'!N:N),4)="Pass","Yes","No")</f>
        <v>No</v>
      </c>
    </row>
    <row r="86" spans="2:6">
      <c r="C86" t="str">
        <f>_xlfn.XLOOKUP($A86,'Audit Report'!$C:$C,'Audit Report'!F:F)&amp;""</f>
        <v/>
      </c>
      <c r="D86" t="str">
        <f>_xlfn.XLOOKUP($A86,'Audit Report'!$C:$C,'Audit Report'!G:G)&amp;""</f>
        <v/>
      </c>
      <c r="F86" t="str">
        <f>IF(LEFT(_xlfn.XLOOKUP($A86,'Audit Report'!$C:$C,'Audit Report'!N:N),4)="Pass","Yes","No")</f>
        <v>No</v>
      </c>
    </row>
    <row r="87" spans="2:6">
      <c r="C87" t="str">
        <f>_xlfn.XLOOKUP($A87,'Audit Report'!$C:$C,'Audit Report'!F:F)&amp;""</f>
        <v/>
      </c>
      <c r="D87" t="str">
        <f>_xlfn.XLOOKUP($A87,'Audit Report'!$C:$C,'Audit Report'!G:G)&amp;""</f>
        <v/>
      </c>
      <c r="F87" t="str">
        <f>IF(LEFT(_xlfn.XLOOKUP($A87,'Audit Report'!$C:$C,'Audit Report'!N:N),4)="Pass","Yes","No")</f>
        <v>No</v>
      </c>
    </row>
    <row r="88" spans="2:6">
      <c r="C88" t="str">
        <f>_xlfn.XLOOKUP($A88,'Audit Report'!$C:$C,'Audit Report'!F:F)&amp;""</f>
        <v/>
      </c>
      <c r="D88" t="str">
        <f>_xlfn.XLOOKUP($A88,'Audit Report'!$C:$C,'Audit Report'!G:G)&amp;""</f>
        <v/>
      </c>
      <c r="F88" t="str">
        <f>IF(LEFT(_xlfn.XLOOKUP($A88,'Audit Report'!$C:$C,'Audit Report'!N:N),4)="Pass","Yes","No")</f>
        <v>No</v>
      </c>
    </row>
    <row r="89" spans="2:6">
      <c r="C89" t="str">
        <f>_xlfn.XLOOKUP($A89,'Audit Report'!$C:$C,'Audit Report'!F:F)&amp;""</f>
        <v/>
      </c>
      <c r="D89" t="str">
        <f>_xlfn.XLOOKUP($A89,'Audit Report'!$C:$C,'Audit Report'!G:G)&amp;""</f>
        <v/>
      </c>
      <c r="F89" t="str">
        <f>IF(LEFT(_xlfn.XLOOKUP($A89,'Audit Report'!$C:$C,'Audit Report'!N:N),4)="Pass","Yes","No")</f>
        <v>No</v>
      </c>
    </row>
    <row r="90" spans="2:6">
      <c r="C90" t="str">
        <f>_xlfn.XLOOKUP($A90,'Audit Report'!$C:$C,'Audit Report'!F:F)&amp;""</f>
        <v/>
      </c>
      <c r="D90" t="str">
        <f>_xlfn.XLOOKUP($A90,'Audit Report'!$C:$C,'Audit Report'!G:G)&amp;""</f>
        <v/>
      </c>
      <c r="F90" t="str">
        <f>IF(LEFT(_xlfn.XLOOKUP($A90,'Audit Report'!$C:$C,'Audit Report'!N:N),4)="Pass","Yes","No")</f>
        <v>No</v>
      </c>
    </row>
    <row r="91" spans="2:6">
      <c r="C91" t="str">
        <f>_xlfn.XLOOKUP($A91,'Audit Report'!$C:$C,'Audit Report'!F:F)&amp;""</f>
        <v/>
      </c>
      <c r="D91" t="str">
        <f>_xlfn.XLOOKUP($A91,'Audit Report'!$C:$C,'Audit Report'!G:G)&amp;""</f>
        <v/>
      </c>
      <c r="F91" t="str">
        <f>IF(LEFT(_xlfn.XLOOKUP($A91,'Audit Report'!$C:$C,'Audit Report'!N:N),4)="Pass","Yes","No")</f>
        <v>No</v>
      </c>
    </row>
    <row r="92" spans="2:6">
      <c r="C92" t="str">
        <f>_xlfn.XLOOKUP($A92,'Audit Report'!$C:$C,'Audit Report'!F:F)&amp;""</f>
        <v/>
      </c>
      <c r="D92" t="str">
        <f>_xlfn.XLOOKUP($A92,'Audit Report'!$C:$C,'Audit Report'!G:G)&amp;""</f>
        <v/>
      </c>
      <c r="F92" t="str">
        <f>IF(LEFT(_xlfn.XLOOKUP($A92,'Audit Report'!$C:$C,'Audit Report'!N:N),4)="Pass","Yes","No")</f>
        <v>No</v>
      </c>
    </row>
    <row r="93" spans="2:6">
      <c r="C93" t="str">
        <f>_xlfn.XLOOKUP($A93,'Audit Report'!$C:$C,'Audit Report'!F:F)&amp;""</f>
        <v/>
      </c>
      <c r="D93" t="str">
        <f>_xlfn.XLOOKUP($A93,'Audit Report'!$C:$C,'Audit Report'!G:G)&amp;""</f>
        <v/>
      </c>
      <c r="F93" t="str">
        <f>IF(LEFT(_xlfn.XLOOKUP($A93,'Audit Report'!$C:$C,'Audit Report'!N:N),4)="Pass","Yes","No")</f>
        <v>No</v>
      </c>
    </row>
    <row r="94" spans="2:6">
      <c r="C94" t="str">
        <f>_xlfn.XLOOKUP($A94,'Audit Report'!$C:$C,'Audit Report'!F:F)&amp;""</f>
        <v/>
      </c>
      <c r="F94" t="str">
        <f>IF(LEFT(_xlfn.XLOOKUP($A94,'Audit Report'!$C:$C,'Audit Report'!N:N),4)="Pass","Yes","No")</f>
        <v>No</v>
      </c>
    </row>
    <row r="95" spans="2:6">
      <c r="C95" t="str">
        <f>_xlfn.XLOOKUP($A95,'Audit Report'!$C:$C,'Audit Report'!F:F)&amp;""</f>
        <v/>
      </c>
      <c r="F95" t="str">
        <f>IF(LEFT(_xlfn.XLOOKUP($A95,'Audit Report'!$C:$C,'Audit Report'!N:N),4)="Pass","Yes","No")</f>
        <v>No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540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CC01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/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CC02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/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CC03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/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CC04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/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CC05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/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CC06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/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CC07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/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CC08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/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CC09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/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CC10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/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CC11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/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CC12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/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CC13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/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CC14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/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CC15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/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CC16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/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CC17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/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CC18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/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CC19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/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CC20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/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CC21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/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CC22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ref="N3:N66" si="0">_xlfn.TEXTJOIN(", ",TRUE, L23, M23)</f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CC23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/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CC24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/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CC25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CC26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CC27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CC28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CC29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CC30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CC31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CC32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CC33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CC34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CC35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CC36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CC37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CC38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CC39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CC40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CC41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CC42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CC43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CC44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CC45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CC46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CC47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CC48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CC49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CC50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CC51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CC52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 t="s">
        <v>578</v>
      </c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CC53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CC54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CC55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ref="N56" si="1">_xlfn.TEXTJOIN(", ",TRUE, L56, M56)</f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CC56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CC57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CC58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CC59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CC60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CC61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CC62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CC63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CC64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CC65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CC66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2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CC67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2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CC68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2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CC69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2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CC70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2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CC71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2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CC72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2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CC73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2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CC74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2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CC75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2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CC76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2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CC77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2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CC78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2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CC79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2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CC80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2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CC81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2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CC82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2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CC83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2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CC84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2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CC85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2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CC86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2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CC87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2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CC88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2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CC89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2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CC90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2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CC91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2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CC92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2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CC93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2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CC94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2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CC95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2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CC96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2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CC97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2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CC98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2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CC99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2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CC100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2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CC101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2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CC102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2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CC103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2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CC104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2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CC105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2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CC106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2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CC107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2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CC108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2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CC109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2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CC110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2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CC111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2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CC112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2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CC113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2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CC114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2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CC115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2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CC116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2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CC117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2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CC118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2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CC119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2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CC120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2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CC121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2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CC122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2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CC123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2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CC124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2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CC125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2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CC126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2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CC127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2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CC128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2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CC129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2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CC130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0" si="3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CC131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3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CC132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3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CC133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3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CC134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3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CC135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3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CC136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3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CC137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3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CC138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3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CC139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3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CC140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3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CC141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3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CC142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3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CC143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3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CC144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3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CC145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3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CC146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3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CC147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3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CC148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3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CC149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3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CC150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3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CC151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3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CC152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3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CC153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3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CC154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3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CC155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3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CC156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3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CC157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3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CC158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3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CC159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3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CC160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3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CC161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3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CC162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3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CC163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3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CC164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3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CC165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3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CC166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3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CC167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3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CC168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3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CC169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3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CC170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3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CC171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3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CC172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3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CC173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3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CC174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3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CC175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3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CC176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3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CC177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3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CC178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3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CC179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3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CC180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3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CC181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3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CC182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3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CC183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3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CC184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3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CC185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3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CC186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3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CC187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3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CC188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3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CC189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3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 t="str">
        <f>_xlfn.TEXTJOIN("",TRUE,Input!$B$2,ROW(My_Audit!A190))</f>
        <v>CC190</v>
      </c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/>
      <c r="O191" s="38"/>
      <c r="P191" s="41"/>
      <c r="Q191" s="38"/>
      <c r="R191" s="38"/>
      <c r="S191" s="38"/>
      <c r="T191" s="38"/>
      <c r="U191" s="38"/>
    </row>
    <row r="192" spans="1:21">
      <c r="A192" s="43" t="str">
        <f>_xlfn.TEXTJOIN("",TRUE,Input!$B$2,ROW(My_Audit!A191))</f>
        <v>CC191</v>
      </c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/>
      <c r="O192" s="38"/>
      <c r="P192" s="41"/>
      <c r="Q192" s="38"/>
      <c r="R192" s="38"/>
      <c r="S192" s="38"/>
      <c r="T192" s="38"/>
      <c r="U192" s="38"/>
    </row>
    <row r="193" spans="1:21">
      <c r="A193" s="43" t="str">
        <f>_xlfn.TEXTJOIN("",TRUE,Input!$B$2,ROW(My_Audit!A192))</f>
        <v>CC192</v>
      </c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/>
      <c r="O193" s="38"/>
      <c r="P193" s="41"/>
      <c r="Q193" s="38"/>
      <c r="R193" s="38"/>
      <c r="S193" s="38"/>
      <c r="T193" s="38"/>
      <c r="U193" s="38"/>
    </row>
    <row r="194" spans="1:21">
      <c r="A194" s="43" t="str">
        <f>_xlfn.TEXTJOIN("",TRUE,Input!$B$2,ROW(My_Audit!A193))</f>
        <v>CC193</v>
      </c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/>
      <c r="O194" s="38"/>
      <c r="P194" s="41"/>
      <c r="Q194" s="38"/>
      <c r="R194" s="38"/>
      <c r="S194" s="38"/>
      <c r="T194" s="38"/>
      <c r="U194" s="38"/>
    </row>
    <row r="195" spans="1:21">
      <c r="A195" s="43" t="str">
        <f>_xlfn.TEXTJOIN("",TRUE,Input!$B$2,ROW(My_Audit!A194))</f>
        <v>CC194</v>
      </c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/>
      <c r="O195" s="38"/>
      <c r="P195" s="41"/>
      <c r="Q195" s="38"/>
      <c r="R195" s="38"/>
      <c r="S195" s="38"/>
      <c r="T195" s="38"/>
      <c r="U195" s="38"/>
    </row>
    <row r="196" spans="1:21">
      <c r="A196" s="43" t="str">
        <f>_xlfn.TEXTJOIN("",TRUE,Input!$B$2,ROW(My_Audit!A195))</f>
        <v>CC195</v>
      </c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/>
      <c r="O196" s="38"/>
      <c r="P196" s="41"/>
      <c r="Q196" s="38"/>
      <c r="R196" s="38"/>
      <c r="S196" s="38"/>
      <c r="T196" s="38"/>
      <c r="U196" s="38"/>
    </row>
    <row r="197" spans="1:21">
      <c r="A197" s="43" t="str">
        <f>_xlfn.TEXTJOIN("",TRUE,Input!$B$2,ROW(My_Audit!A196))</f>
        <v>CC196</v>
      </c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/>
      <c r="O197" s="38"/>
      <c r="P197" s="41"/>
      <c r="Q197" s="38"/>
      <c r="R197" s="38"/>
      <c r="S197" s="38"/>
      <c r="T197" s="38"/>
      <c r="U197" s="38"/>
    </row>
    <row r="198" spans="1:21">
      <c r="A198" s="43" t="str">
        <f>_xlfn.TEXTJOIN("",TRUE,Input!$B$2,ROW(My_Audit!A197))</f>
        <v>CC197</v>
      </c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/>
      <c r="O198" s="38"/>
      <c r="P198" s="41"/>
      <c r="Q198" s="38"/>
      <c r="R198" s="38"/>
      <c r="S198" s="38"/>
      <c r="T198" s="38"/>
      <c r="U198" s="38"/>
    </row>
    <row r="199" spans="1:21">
      <c r="A199" s="43" t="str">
        <f>_xlfn.TEXTJOIN("",TRUE,Input!$B$2,ROW(My_Audit!A198))</f>
        <v>CC198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/>
      <c r="O199" s="38"/>
      <c r="P199" s="41"/>
      <c r="Q199" s="38"/>
      <c r="R199" s="38"/>
      <c r="S199" s="38"/>
      <c r="T199" s="38"/>
      <c r="U199" s="38"/>
    </row>
    <row r="200" spans="1:21">
      <c r="A200" s="43" t="str">
        <f>_xlfn.TEXTJOIN("",TRUE,Input!$B$2,ROW(My_Audit!A199))</f>
        <v>CC199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/>
      <c r="O200" s="38"/>
      <c r="P200" s="41"/>
      <c r="Q200" s="38"/>
      <c r="R200" s="38"/>
      <c r="S200" s="38"/>
      <c r="T200" s="38"/>
      <c r="U200" s="38"/>
    </row>
    <row r="201" spans="1:21">
      <c r="A201" s="43" t="str">
        <f>_xlfn.TEXTJOIN("",TRUE,Input!$B$2,ROW(My_Audit!A200))</f>
        <v>CC200</v>
      </c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/>
      <c r="O201" s="38"/>
      <c r="P201" s="41"/>
      <c r="Q201" s="38"/>
      <c r="R201" s="38"/>
      <c r="S201" s="38"/>
      <c r="T201" s="38"/>
      <c r="U201" s="38"/>
    </row>
    <row r="202" spans="1:21">
      <c r="A202" s="43" t="str">
        <f>_xlfn.TEXTJOIN("",TRUE,Input!$B$2,ROW(My_Audit!A201))</f>
        <v>CC201</v>
      </c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/>
      <c r="O202" s="38"/>
      <c r="P202" s="41"/>
      <c r="Q202" s="38"/>
      <c r="R202" s="38"/>
      <c r="S202" s="38"/>
      <c r="T202" s="38"/>
      <c r="U202" s="38"/>
    </row>
    <row r="203" spans="1:21">
      <c r="A203" s="43" t="str">
        <f>_xlfn.TEXTJOIN("",TRUE,Input!$B$2,ROW(My_Audit!A202))</f>
        <v>CC202</v>
      </c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/>
      <c r="O203" s="38"/>
      <c r="P203" s="41"/>
      <c r="Q203" s="38"/>
      <c r="R203" s="38"/>
      <c r="S203" s="38"/>
      <c r="T203" s="38"/>
      <c r="U203" s="38"/>
    </row>
    <row r="204" spans="1:21">
      <c r="A204" s="43" t="str">
        <f>_xlfn.TEXTJOIN("",TRUE,Input!$B$2,ROW(My_Audit!A203))</f>
        <v>CC203</v>
      </c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/>
      <c r="O204" s="38"/>
      <c r="P204" s="41"/>
      <c r="Q204" s="38"/>
      <c r="R204" s="38"/>
      <c r="S204" s="38"/>
      <c r="T204" s="38"/>
      <c r="U204" s="38"/>
    </row>
    <row r="205" spans="1:21">
      <c r="A205" s="43" t="str">
        <f>_xlfn.TEXTJOIN("",TRUE,Input!$B$2,ROW(My_Audit!A204))</f>
        <v>CC204</v>
      </c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/>
      <c r="O205" s="38"/>
      <c r="P205" s="41"/>
      <c r="Q205" s="38"/>
      <c r="R205" s="38"/>
      <c r="S205" s="38"/>
      <c r="T205" s="38"/>
      <c r="U205" s="38"/>
    </row>
    <row r="206" spans="1:21">
      <c r="A206" s="43" t="str">
        <f>_xlfn.TEXTJOIN("",TRUE,Input!$B$2,ROW(My_Audit!A205))</f>
        <v>CC205</v>
      </c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/>
      <c r="O206" s="38"/>
      <c r="P206" s="41"/>
      <c r="Q206" s="38"/>
      <c r="R206" s="38"/>
      <c r="S206" s="38"/>
      <c r="T206" s="38"/>
      <c r="U206" s="38"/>
    </row>
    <row r="207" spans="1:21">
      <c r="A207" s="43" t="str">
        <f>_xlfn.TEXTJOIN("",TRUE,Input!$B$2,ROW(My_Audit!A206))</f>
        <v>CC206</v>
      </c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/>
      <c r="O207" s="38"/>
      <c r="P207" s="41"/>
      <c r="Q207" s="38"/>
      <c r="R207" s="38"/>
      <c r="S207" s="38"/>
      <c r="T207" s="38"/>
      <c r="U207" s="38"/>
    </row>
    <row r="208" spans="1:21">
      <c r="A208" s="43" t="str">
        <f>_xlfn.TEXTJOIN("",TRUE,Input!$B$2,ROW(My_Audit!A207))</f>
        <v>CC207</v>
      </c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/>
      <c r="O208" s="38"/>
      <c r="P208" s="41"/>
      <c r="Q208" s="38"/>
      <c r="R208" s="38"/>
      <c r="S208" s="38"/>
      <c r="T208" s="38"/>
      <c r="U208" s="38"/>
    </row>
    <row r="209" spans="1:21">
      <c r="A209" s="43" t="str">
        <f>_xlfn.TEXTJOIN("",TRUE,Input!$B$2,ROW(My_Audit!A208))</f>
        <v>CC208</v>
      </c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/>
      <c r="O209" s="38"/>
      <c r="P209" s="41"/>
      <c r="Q209" s="38"/>
      <c r="R209" s="38"/>
      <c r="S209" s="38"/>
      <c r="T209" s="38"/>
      <c r="U209" s="38"/>
    </row>
    <row r="210" spans="1:21">
      <c r="A210" s="43" t="str">
        <f>_xlfn.TEXTJOIN("",TRUE,Input!$B$2,ROW(My_Audit!A209))</f>
        <v>CC209</v>
      </c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/>
      <c r="O210" s="38"/>
      <c r="P210" s="41"/>
      <c r="Q210" s="38"/>
      <c r="R210" s="38"/>
      <c r="S210" s="38"/>
      <c r="T210" s="38"/>
      <c r="U210" s="38"/>
    </row>
    <row r="211" spans="1:21">
      <c r="A211" s="43" t="str">
        <f>_xlfn.TEXTJOIN("",TRUE,Input!$B$2,ROW(My_Audit!A210))</f>
        <v>CC210</v>
      </c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/>
      <c r="O211" s="38"/>
      <c r="P211" s="41"/>
      <c r="Q211" s="38"/>
      <c r="R211" s="38"/>
      <c r="S211" s="38"/>
      <c r="T211" s="38"/>
      <c r="U211" s="38"/>
    </row>
    <row r="212" spans="1:21">
      <c r="A212" s="43" t="str">
        <f>_xlfn.TEXTJOIN("",TRUE,Input!$B$2,ROW(My_Audit!A211))</f>
        <v>CC211</v>
      </c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/>
      <c r="O212" s="38"/>
      <c r="P212" s="41"/>
      <c r="Q212" s="38"/>
      <c r="R212" s="38"/>
      <c r="S212" s="38"/>
      <c r="T212" s="38"/>
      <c r="U212" s="38"/>
    </row>
    <row r="213" spans="1:21">
      <c r="A213" s="43" t="str">
        <f>_xlfn.TEXTJOIN("",TRUE,Input!$B$2,ROW(My_Audit!A212))</f>
        <v>CC212</v>
      </c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/>
      <c r="O213" s="38"/>
      <c r="P213" s="41"/>
      <c r="Q213" s="38"/>
      <c r="R213" s="38"/>
      <c r="S213" s="38"/>
      <c r="T213" s="38"/>
      <c r="U213" s="38"/>
    </row>
    <row r="214" spans="1:21">
      <c r="A214" s="43" t="str">
        <f>_xlfn.TEXTJOIN("",TRUE,Input!$B$2,ROW(My_Audit!A213))</f>
        <v>CC213</v>
      </c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/>
      <c r="O214" s="38"/>
      <c r="P214" s="41"/>
      <c r="Q214" s="38"/>
      <c r="R214" s="38"/>
      <c r="S214" s="38"/>
      <c r="T214" s="38"/>
      <c r="U214" s="38"/>
    </row>
    <row r="215" spans="1:21">
      <c r="A215" s="43" t="str">
        <f>_xlfn.TEXTJOIN("",TRUE,Input!$B$2,ROW(My_Audit!A214))</f>
        <v>CC214</v>
      </c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/>
      <c r="O215" s="38"/>
      <c r="P215" s="41"/>
      <c r="Q215" s="38"/>
      <c r="R215" s="38"/>
      <c r="S215" s="38"/>
      <c r="T215" s="38"/>
      <c r="U215" s="38"/>
    </row>
    <row r="216" spans="1:21">
      <c r="A216" s="43" t="str">
        <f>_xlfn.TEXTJOIN("",TRUE,Input!$B$2,ROW(My_Audit!A215))</f>
        <v>CC215</v>
      </c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/>
      <c r="O216" s="38"/>
      <c r="P216" s="41"/>
      <c r="Q216" s="38"/>
      <c r="R216" s="38"/>
      <c r="S216" s="38"/>
      <c r="T216" s="38"/>
      <c r="U216" s="38"/>
    </row>
    <row r="217" spans="1:21">
      <c r="A217" s="43" t="str">
        <f>_xlfn.TEXTJOIN("",TRUE,Input!$B$2,ROW(My_Audit!A216))</f>
        <v>CC216</v>
      </c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/>
      <c r="O217" s="38"/>
      <c r="P217" s="41"/>
      <c r="Q217" s="38"/>
      <c r="R217" s="38"/>
      <c r="S217" s="38"/>
      <c r="T217" s="38"/>
      <c r="U217" s="38"/>
    </row>
    <row r="218" spans="1:21">
      <c r="A218" s="43" t="str">
        <f>_xlfn.TEXTJOIN("",TRUE,Input!$B$2,ROW(My_Audit!A217))</f>
        <v>CC217</v>
      </c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/>
      <c r="O218" s="38"/>
      <c r="P218" s="41"/>
      <c r="Q218" s="38"/>
      <c r="R218" s="38"/>
      <c r="S218" s="38"/>
      <c r="T218" s="38"/>
      <c r="U218" s="38"/>
    </row>
    <row r="219" spans="1:21">
      <c r="A219" s="43" t="str">
        <f>_xlfn.TEXTJOIN("",TRUE,Input!$B$2,ROW(My_Audit!A218))</f>
        <v>CC218</v>
      </c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/>
      <c r="O219" s="38"/>
      <c r="P219" s="41"/>
      <c r="Q219" s="38"/>
      <c r="R219" s="38"/>
      <c r="S219" s="38"/>
      <c r="T219" s="38"/>
      <c r="U219" s="38"/>
    </row>
    <row r="220" spans="1:21">
      <c r="A220" s="43" t="str">
        <f>_xlfn.TEXTJOIN("",TRUE,Input!$B$2,ROW(My_Audit!A219))</f>
        <v>CC219</v>
      </c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/>
      <c r="O220" s="38"/>
      <c r="P220" s="41"/>
      <c r="Q220" s="38"/>
      <c r="R220" s="38"/>
      <c r="S220" s="38"/>
      <c r="T220" s="38"/>
      <c r="U220" s="38"/>
    </row>
    <row r="221" spans="1:21">
      <c r="A221" s="43" t="str">
        <f>_xlfn.TEXTJOIN("",TRUE,Input!$B$2,ROW(My_Audit!A220))</f>
        <v>CC220</v>
      </c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/>
      <c r="O221" s="38"/>
      <c r="P221" s="41"/>
      <c r="Q221" s="38"/>
      <c r="R221" s="38"/>
      <c r="S221" s="38"/>
      <c r="T221" s="38"/>
      <c r="U221" s="38"/>
    </row>
    <row r="222" spans="1:21">
      <c r="A222" s="43" t="str">
        <f>_xlfn.TEXTJOIN("",TRUE,Input!$B$2,ROW(My_Audit!A221))</f>
        <v>CC221</v>
      </c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/>
      <c r="O222" s="38"/>
      <c r="P222" s="41"/>
      <c r="Q222" s="38"/>
      <c r="R222" s="38"/>
      <c r="S222" s="38"/>
      <c r="T222" s="38"/>
      <c r="U222" s="38"/>
    </row>
    <row r="223" spans="1:21">
      <c r="A223" s="43" t="str">
        <f>_xlfn.TEXTJOIN("",TRUE,Input!$B$2,ROW(My_Audit!A222))</f>
        <v>CC222</v>
      </c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/>
      <c r="O223" s="38"/>
      <c r="P223" s="41"/>
      <c r="Q223" s="38"/>
      <c r="R223" s="38"/>
      <c r="S223" s="38"/>
      <c r="T223" s="38"/>
      <c r="U223" s="38"/>
    </row>
    <row r="224" spans="1:21">
      <c r="A224" s="43" t="str">
        <f>_xlfn.TEXTJOIN("",TRUE,Input!$B$2,ROW(My_Audit!A223))</f>
        <v>CC223</v>
      </c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/>
      <c r="O224" s="38"/>
      <c r="P224" s="41"/>
      <c r="Q224" s="38"/>
      <c r="R224" s="38"/>
      <c r="S224" s="38"/>
      <c r="T224" s="38"/>
      <c r="U224" s="38"/>
    </row>
    <row r="225" spans="1:21">
      <c r="A225" s="43" t="str">
        <f>_xlfn.TEXTJOIN("",TRUE,Input!$B$2,ROW(My_Audit!A224))</f>
        <v>CC224</v>
      </c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/>
      <c r="O225" s="38"/>
      <c r="P225" s="41"/>
      <c r="Q225" s="38"/>
      <c r="R225" s="38"/>
      <c r="S225" s="38"/>
      <c r="T225" s="38"/>
      <c r="U225" s="38"/>
    </row>
    <row r="226" spans="1:21">
      <c r="A226" s="43" t="str">
        <f>_xlfn.TEXTJOIN("",TRUE,Input!$B$2,ROW(My_Audit!A225))</f>
        <v>CC225</v>
      </c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/>
      <c r="O226" s="38"/>
      <c r="P226" s="41"/>
      <c r="Q226" s="38"/>
      <c r="R226" s="38"/>
      <c r="S226" s="38"/>
      <c r="T226" s="38"/>
      <c r="U226" s="38"/>
    </row>
    <row r="227" spans="1:21">
      <c r="A227" s="43" t="str">
        <f>_xlfn.TEXTJOIN("",TRUE,Input!$B$2,ROW(My_Audit!A226))</f>
        <v>CC226</v>
      </c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/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/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/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/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/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/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/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/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/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/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/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/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/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/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/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/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/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/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/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/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/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/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/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/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/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/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/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/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/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/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/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/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/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/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/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/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/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/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/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/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/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/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/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/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/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/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/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/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/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/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/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/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/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/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/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/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/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/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/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/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/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/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/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/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/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/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/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/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/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/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/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/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/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/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/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/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/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/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/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/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/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/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/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/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/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/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/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/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/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/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/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/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/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/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/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/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/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/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/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/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/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/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/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/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/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/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/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/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/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/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/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/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/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/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/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/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/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/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/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/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/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/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/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/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/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/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/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/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/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/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/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/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/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/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/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/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/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/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/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/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/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/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/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/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/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/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/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/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/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/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/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/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/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/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/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/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/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/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/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/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/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/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/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/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/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/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/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/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/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/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/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/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/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/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/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/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/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/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/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/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/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/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ref="N409:N450" si="4">_xlfn.TEXTJOIN(", ",TRUE, L409, M409)</f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4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4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4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4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4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4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4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4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4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4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4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4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4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4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4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4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4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4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4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4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4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4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4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4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4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4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4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4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4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4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4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4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4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4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4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4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4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4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4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4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4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5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5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5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5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5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5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abSelected="1" workbookViewId="0">
      <selection activeCell="A2" sqref="A2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542</v>
      </c>
    </row>
    <row r="2" spans="1:33">
      <c r="A2" s="34" t="s">
        <v>577</v>
      </c>
      <c r="B2" s="34" t="s">
        <v>586</v>
      </c>
      <c r="C2" s="34" t="s">
        <v>577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L10" sqref="L1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534</v>
      </c>
      <c r="C2" t="s">
        <v>535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535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L25" sqref="L25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_xlfn.XLOOKUP(B33,Input!J:J,Input!I:I)</f>
        <v>0</v>
      </c>
    </row>
    <row r="34" spans="1:18">
      <c r="A34" t="str" cm="1">
        <f t="array" ref="A34">IFERROR(_xlfn.TEXTSPLIT(Input!A35,"*"),"")</f>
        <v/>
      </c>
      <c r="R34">
        <f>_xlfn.XLOOKUP(B34,Input!J:J,Input!I:I)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M746"/>
  <sheetViews>
    <sheetView zoomScaleNormal="100" workbookViewId="0">
      <pane ySplit="1" topLeftCell="A2" activePane="bottomLeft" state="frozen"/>
      <selection activeCell="E1" sqref="E1"/>
      <selection pane="bottomLeft" activeCell="N3" sqref="N3"/>
    </sheetView>
  </sheetViews>
  <sheetFormatPr defaultRowHeight="15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</cols>
  <sheetData>
    <row r="1" spans="1:39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543</v>
      </c>
      <c r="P1" s="12" t="s">
        <v>11</v>
      </c>
      <c r="Q1" s="1" t="s">
        <v>544</v>
      </c>
      <c r="R1" s="12" t="s">
        <v>296</v>
      </c>
      <c r="S1" s="12" t="s">
        <v>538</v>
      </c>
      <c r="T1" s="12" t="s">
        <v>539</v>
      </c>
      <c r="U1" s="12" t="s">
        <v>536</v>
      </c>
      <c r="V1" s="12" t="s">
        <v>537</v>
      </c>
      <c r="W1" s="56" t="s">
        <v>18</v>
      </c>
      <c r="X1" s="56"/>
      <c r="Y1" s="56"/>
      <c r="Z1" s="56"/>
      <c r="AA1" s="56"/>
      <c r="AB1" s="56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</row>
    <row r="2" spans="1:39" ht="15.75" thickTop="1">
      <c r="A2" s="32" t="e">
        <f>_xlfn.XLOOKUP(B2,Input!J:J,Input!G:G)&amp;""</f>
        <v>#N/A</v>
      </c>
      <c r="B2" s="32" cm="1">
        <f t="array" ref="B2">_xlfn.UNIQUE(_xlfn._xlws.FILTER(Input!J2:J500,ISNA(MATCH(Input!J2:J500,MacReports!B:B,0))))</f>
        <v>0</v>
      </c>
      <c r="C2" s="32" t="e">
        <f>_xlfn.XLOOKUP(B2,Input!J:J,Input!H:H)&amp;""</f>
        <v>#N/A</v>
      </c>
      <c r="D2" s="42" t="e">
        <f>_xlfn.XLOOKUP(B2,Input!J:J,Input!F:F)</f>
        <v>#N/A</v>
      </c>
      <c r="E2" s="32" t="e">
        <f>_xlfn.XLOOKUP(D2,Models!H:H,Models!G:G,D2)</f>
        <v>#N/A</v>
      </c>
      <c r="F2" s="32" t="e">
        <f>_xlfn.XLOOKUP(B2,Input!J:J,Input!E:E)</f>
        <v>#N/A</v>
      </c>
      <c r="G2" s="32" t="e">
        <f>IF(F2="LENOVO",_xlfn.XLOOKUP(B2,Input!J:J,Input!K:K),_xlfn.XLOOKUP(B2,Input!J:J,Input!L:L))</f>
        <v>#N/A</v>
      </c>
      <c r="H2" s="32"/>
      <c r="I2" s="32"/>
      <c r="J2" s="32" t="str">
        <f>_xlfn.XLOOKUP(B2,CPU_Formula!A:A,CPU_Formula!I:I)</f>
        <v/>
      </c>
      <c r="K2" s="42" t="e">
        <f>INDEX(Input!$D$2:$AC$500,
       MATCH(B2, Input!$J$2:$J$500, 0),
       MATCH("Total Memory", Input!$D$1:$AC$1, 0))</f>
        <v>#N/A</v>
      </c>
      <c r="L2" s="42" t="e">
        <f>INDEX(Input!$D$2:$AC$500,
       MATCH(B2, Input!$J$2:$J$500, 0),
       MATCH("Memory Type", Input!$D$1:$AC$1, 0))</f>
        <v>#N/A</v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e">
        <f>_xlfn.TEXTJOIN(" ",TRUE,SUBSTITUTE(K2,"i",""),M2)</f>
        <v>#N/A</v>
      </c>
      <c r="O2" s="42" t="e">
        <f>INDEX(Input!$D$2:$AC$500,
       MATCH(B2, Input!$J$2:$J$500, 0),
       MATCH("Disk Interface Type", Input!$D$1:$AC$1, 0))</f>
        <v>#N/A</v>
      </c>
      <c r="P2" s="42" t="str" cm="1">
        <f t="array" ref="P2">IFERROR(_xlfn.TEXTJOIN(", ", TRUE, _xlfn._xlws.FILTER(
    INDEX(Input!$D$2:$AC$500,,MATCH("Disk Capacity",Input!$D$1:$AC$1,0)),
    Input!$J$2:$J$500=B2
)), "")</f>
        <v/>
      </c>
      <c r="Q2" s="32" t="e">
        <f>_xlfn.TEXTJOIN(" ",TRUE,P2,O2)</f>
        <v>#N/A</v>
      </c>
      <c r="R2" s="42" t="e">
        <f>_xlfn.LET(_xlpm.Result,INDEX(Input!$D$2:$AC$500,
       MATCH(B2, Input!$J$2:$J$500, 0),
       MATCH("Capacity", Input!$D$1:$AC$1, 0)),IF(_xlpm.Result="","",_xlpm.Result))</f>
        <v>#N/A</v>
      </c>
      <c r="S2" s="42" t="e" cm="1">
        <f t="array" ref="S2">_xlfn.TEXTSPLIT(R2," / ", ,TRUE,0,)</f>
        <v>#N/A</v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IFERROR(IF(_xlfn.XLOOKUP(B2,Input!J:J,Input!N:U)=0,"",
          _xlfn.XLOOKUP(B2,Input!J:J,Input!N:U)),"")</f>
        <v/>
      </c>
      <c r="X2" s="42"/>
      <c r="Y2" s="42"/>
      <c r="Z2" s="42"/>
      <c r="AA2" s="42"/>
      <c r="AB2" s="42"/>
      <c r="AC2" s="42"/>
      <c r="AD2" s="42"/>
      <c r="AE2" s="32" t="e">
        <f t="shared" ref="AE2:AE65" si="0">IF(E2="Laptop",_xlfn.TEXTJOIN(", ",TRUE,U2,V2,W2,X2,Y2,Z2,AA2,AB2), _xlfn.TEXTJOIN(", ",TRUE,W2,X2,Y2,Z2,AA2,AB2))</f>
        <v>#N/A</v>
      </c>
      <c r="AF2" s="32" t="str">
        <f>_xlfn.XLOOKUP(B:B,Disk_Pivot!G:G,Disk_Pivot!I:I)</f>
        <v>Yes x2</v>
      </c>
      <c r="AG2" s="32" t="str">
        <f>_xlfn.XLOOKUP(B2,Disk_Pivot!G:G,Disk_Pivot!N:N)</f>
        <v>Pass, Fail</v>
      </c>
      <c r="AH2" s="32"/>
      <c r="AI2" s="32"/>
      <c r="AJ2" s="32"/>
      <c r="AK2" s="32"/>
      <c r="AL2" s="32"/>
      <c r="AM2" s="32"/>
    </row>
    <row r="3" spans="1:39">
      <c r="A3" s="32" t="str">
        <f>_xlfn.XLOOKUP(B3,Input!J:J,Input!G:G)&amp;""</f>
        <v/>
      </c>
      <c r="B3" s="32"/>
      <c r="C3" s="32" t="str">
        <f>_xlfn.XLOOKUP(B3,Input!J:J,Input!H:H)&amp;""</f>
        <v/>
      </c>
      <c r="D3" s="42">
        <f>_xlfn.XLOOKUP(B3,Input!J:J,Input!F:F)</f>
        <v>0</v>
      </c>
      <c r="E3" s="32">
        <f>_xlfn.XLOOKUP(D3,Models!H:H,Models!G:G,D3)</f>
        <v>0</v>
      </c>
      <c r="F3" s="32">
        <f>_xlfn.XLOOKUP(B3,Input!J:J,Input!E:E)</f>
        <v>0</v>
      </c>
      <c r="G3" s="32">
        <f>IF(F3="LENOVO",_xlfn.XLOOKUP(B3,Input!J:J,Input!K:K),_xlfn.XLOOKUP(B3,Input!J:J,Input!L:L))</f>
        <v>0</v>
      </c>
      <c r="H3" s="32"/>
      <c r="I3" s="32"/>
      <c r="J3" s="32">
        <f>_xlfn.XLOOKUP(B3,CPU_Formula!A:A,CPU_Formula!I:I)</f>
        <v>0</v>
      </c>
      <c r="K3" s="42" t="e">
        <f>INDEX(Input!$D$2:$AC$500,
       MATCH(B3, Input!$J$2:$J$500, 0),
       MATCH("Total Memory", Input!$D$1:$AC$1, 0))</f>
        <v>#N/A</v>
      </c>
      <c r="L3" s="42" t="e">
        <f>INDEX(Input!$D$2:$AC$500,
       MATCH(B3, Input!$J$2:$J$500, 0),
       MATCH("Memory Type", Input!$D$1:$AC$1, 0))</f>
        <v>#N/A</v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e">
        <f>_xlfn.TEXTJOIN(" ",TRUE,SUBSTITUTE(K3,"i",""),M3)</f>
        <v>#N/A</v>
      </c>
      <c r="O3" s="42" t="e">
        <f>INDEX(Input!$D$2:$AC$500,
       MATCH(B3, Input!$J$2:$J$500, 0),
       MATCH("Disk Interface Type", Input!$D$1:$AC$1, 0))</f>
        <v>#N/A</v>
      </c>
      <c r="P3" s="42" t="str" cm="1">
        <f t="array" ref="P3">IFERROR(_xlfn.TEXTJOIN(", ", TRUE, _xlfn._xlws.FILTER(
    INDEX(Input!$D$2:$AC$500,,MATCH("Disk Capacity",Input!$D$1:$AC$1,0)),
    Input!$J$2:$J$500=B3
)), "")</f>
        <v/>
      </c>
      <c r="Q3" s="32" t="e">
        <f t="shared" ref="Q3:Q66" si="1">_xlfn.TEXTJOIN(" ",TRUE,P3,O3)</f>
        <v>#N/A</v>
      </c>
      <c r="R3" s="42" t="e">
        <f>_xlfn.LET(_xlpm.Result,INDEX(Input!$D$2:$AC$500,
       MATCH(B3, Input!$J$2:$J$500, 0),
       MATCH("Capacity", Input!$D$1:$AC$1, 0)),IF(_xlpm.Result="","",_xlpm.Result))</f>
        <v>#N/A</v>
      </c>
      <c r="S3" s="42" t="e" cm="1">
        <f t="array" ref="S3">_xlfn.TEXTSPLIT(R3," / ", ,TRUE,0,)</f>
        <v>#N/A</v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:AD3">IFERROR(IF(_xlfn.XLOOKUP(B3,Input!J:J,Input!N:U)=0,"",
          _xlfn.XLOOKUP(B3,Input!J:J,Input!N:U)),"")</f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42" t="str">
        <v/>
      </c>
      <c r="AE3" s="32" t="str">
        <f t="shared" si="0"/>
        <v/>
      </c>
      <c r="AF3" s="32" t="str">
        <f>_xlfn.XLOOKUP(B:B,Disk_Pivot!G:G,Disk_Pivot!I:I)</f>
        <v>Yes x2</v>
      </c>
      <c r="AG3" s="32" t="str">
        <f>_xlfn.XLOOKUP(B3,Disk_Pivot!G:G,Disk_Pivot!N:N)</f>
        <v>Pass, Fail</v>
      </c>
      <c r="AH3" s="32"/>
      <c r="AI3" s="32"/>
      <c r="AJ3" s="32"/>
      <c r="AK3" s="32"/>
      <c r="AL3" s="32"/>
      <c r="AM3" s="32"/>
    </row>
    <row r="4" spans="1:39">
      <c r="A4" s="32" t="str">
        <f>_xlfn.XLOOKUP(B4,Input!J:J,Input!G:G)&amp;""</f>
        <v/>
      </c>
      <c r="B4" s="32"/>
      <c r="C4" s="32" t="str">
        <f>_xlfn.XLOOKUP(B4,Input!J:J,Input!H:H)&amp;""</f>
        <v/>
      </c>
      <c r="D4" s="42">
        <f>_xlfn.XLOOKUP(B4,Input!J:J,Input!F:F)</f>
        <v>0</v>
      </c>
      <c r="E4" s="32">
        <f>_xlfn.XLOOKUP(D4,Models!H:H,Models!G:G,D4)</f>
        <v>0</v>
      </c>
      <c r="F4" s="32">
        <f>_xlfn.XLOOKUP(B4,Input!J:J,Input!E:E)</f>
        <v>0</v>
      </c>
      <c r="G4" s="32">
        <f>IF(F4="LENOVO",_xlfn.XLOOKUP(B4,Input!J:J,Input!K:K),_xlfn.XLOOKUP(B4,Input!J:J,Input!L:L))</f>
        <v>0</v>
      </c>
      <c r="H4" s="32"/>
      <c r="I4" s="32"/>
      <c r="J4" s="32">
        <f>_xlfn.XLOOKUP(B4,CPU_Formula!A:A,CPU_Formula!I:I)</f>
        <v>0</v>
      </c>
      <c r="K4" s="42" t="e">
        <f>INDEX(Input!$D$2:$AC$500,
       MATCH(B4, Input!$J$2:$J$500, 0),
       MATCH("Total Memory", Input!$D$1:$AC$1, 0))</f>
        <v>#N/A</v>
      </c>
      <c r="L4" s="42" t="e">
        <f>INDEX(Input!$D$2:$AC$500,
       MATCH(B4, Input!$J$2:$J$500, 0),
       MATCH("Memory Type", Input!$D$1:$AC$1, 0))</f>
        <v>#N/A</v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e">
        <f t="shared" ref="N4:N67" si="2">_xlfn.TEXTJOIN(" ",TRUE,SUBSTITUTE(K4,"i",""),M4)</f>
        <v>#N/A</v>
      </c>
      <c r="O4" s="42" t="e">
        <f>INDEX(Input!$D$2:$AC$500,
       MATCH(B4, Input!$J$2:$J$500, 0),
       MATCH("Disk Interface Type", Input!$D$1:$AC$1, 0))</f>
        <v>#N/A</v>
      </c>
      <c r="P4" s="42" t="str" cm="1">
        <f t="array" ref="P4">IFERROR(_xlfn.TEXTJOIN(", ", TRUE, _xlfn._xlws.FILTER(
    INDEX(Input!$D$2:$AC$500,,MATCH("Disk Capacity",Input!$D$1:$AC$1,0)),
    Input!$J$2:$J$500=B4
)), "")</f>
        <v/>
      </c>
      <c r="Q4" s="32" t="e">
        <f t="shared" si="1"/>
        <v>#N/A</v>
      </c>
      <c r="R4" s="42" t="e">
        <f>_xlfn.LET(_xlpm.Result,INDEX(Input!$D$2:$AC$500,
       MATCH(B4, Input!$J$2:$J$500, 0),
       MATCH("Capacity", Input!$D$1:$AC$1, 0)),IF(_xlpm.Result="","",_xlpm.Result))</f>
        <v>#N/A</v>
      </c>
      <c r="S4" s="42" t="e" cm="1">
        <f t="array" ref="S4">_xlfn.TEXTSPLIT(R4," / ", ,TRUE,0,)</f>
        <v>#N/A</v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:AD4">IFERROR(IF(_xlfn.XLOOKUP(B4,Input!J:J,Input!N:U)=0,"",
          _xlfn.XLOOKUP(B4,Input!J:J,Input!N:U)),"")</f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42" t="str">
        <v/>
      </c>
      <c r="AE4" s="32" t="str">
        <f t="shared" si="0"/>
        <v/>
      </c>
      <c r="AF4" s="32" t="str">
        <f>_xlfn.XLOOKUP(B:B,Disk_Pivot!G:G,Disk_Pivot!I:I)</f>
        <v>Yes x2</v>
      </c>
      <c r="AG4" s="32" t="str">
        <f>_xlfn.XLOOKUP(B4,Disk_Pivot!G:G,Disk_Pivot!N:N)</f>
        <v>Pass, Fail</v>
      </c>
      <c r="AH4" s="32"/>
      <c r="AI4" s="32"/>
      <c r="AJ4" s="32"/>
      <c r="AK4" s="32"/>
      <c r="AL4" s="32"/>
      <c r="AM4" s="32"/>
    </row>
    <row r="5" spans="1:39">
      <c r="A5" s="32" t="str">
        <f>_xlfn.XLOOKUP(B5,Input!J:J,Input!G:G)&amp;""</f>
        <v/>
      </c>
      <c r="B5" s="32"/>
      <c r="C5" s="32" t="str">
        <f>_xlfn.XLOOKUP(B5,Input!J:J,Input!H:H)&amp;""</f>
        <v/>
      </c>
      <c r="D5" s="42">
        <f>_xlfn.XLOOKUP(B5,Input!J:J,Input!F:F)</f>
        <v>0</v>
      </c>
      <c r="E5" s="32">
        <f>_xlfn.XLOOKUP(D5,Models!H:H,Models!G:G,D5)</f>
        <v>0</v>
      </c>
      <c r="F5" s="32">
        <f>_xlfn.XLOOKUP(B5,Input!J:J,Input!E:E)</f>
        <v>0</v>
      </c>
      <c r="G5" s="32">
        <f>IF(F5="LENOVO",_xlfn.XLOOKUP(B5,Input!J:J,Input!K:K),_xlfn.XLOOKUP(B5,Input!J:J,Input!L:L))</f>
        <v>0</v>
      </c>
      <c r="H5" s="32"/>
      <c r="I5" s="32"/>
      <c r="J5" s="32">
        <f>_xlfn.XLOOKUP(B5,CPU_Formula!A:A,CPU_Formula!I:I)</f>
        <v>0</v>
      </c>
      <c r="K5" s="42" t="e">
        <f>INDEX(Input!$D$2:$AC$500,
       MATCH(B5, Input!$J$2:$J$500, 0),
       MATCH("Total Memory", Input!$D$1:$AC$1, 0))</f>
        <v>#N/A</v>
      </c>
      <c r="L5" s="42" t="e">
        <f>INDEX(Input!$D$2:$AC$500,
       MATCH(B5, Input!$J$2:$J$500, 0),
       MATCH("Memory Type", Input!$D$1:$AC$1, 0))</f>
        <v>#N/A</v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e">
        <f t="shared" si="2"/>
        <v>#N/A</v>
      </c>
      <c r="O5" s="42" t="e">
        <f>INDEX(Input!$D$2:$AC$500,
       MATCH(B5, Input!$J$2:$J$500, 0),
       MATCH("Disk Interface Type", Input!$D$1:$AC$1, 0))</f>
        <v>#N/A</v>
      </c>
      <c r="P5" s="42" t="str" cm="1">
        <f t="array" ref="P5">IFERROR(_xlfn.TEXTJOIN(", ", TRUE, _xlfn._xlws.FILTER(
    INDEX(Input!$D$2:$AC$500,,MATCH("Disk Capacity",Input!$D$1:$AC$1,0)),
    Input!$J$2:$J$500=B5
)), "")</f>
        <v/>
      </c>
      <c r="Q5" s="32" t="e">
        <f t="shared" si="1"/>
        <v>#N/A</v>
      </c>
      <c r="R5" s="42" t="e">
        <f>_xlfn.LET(_xlpm.Result,INDEX(Input!$D$2:$AC$500,
       MATCH(B5, Input!$J$2:$J$500, 0),
       MATCH("Capacity", Input!$D$1:$AC$1, 0)),IF(_xlpm.Result="","",_xlpm.Result))</f>
        <v>#N/A</v>
      </c>
      <c r="S5" s="42" t="e" cm="1">
        <f t="array" ref="S5">_xlfn.TEXTSPLIT(R5," / ", ,TRUE,0,)</f>
        <v>#N/A</v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:AD5">IFERROR(IF(_xlfn.XLOOKUP(B5,Input!J:J,Input!N:U)=0,"",
          _xlfn.XLOOKUP(B5,Input!J:J,Input!N:U)),"")</f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42" t="str">
        <v/>
      </c>
      <c r="AE5" s="32" t="str">
        <f t="shared" si="0"/>
        <v/>
      </c>
      <c r="AF5" s="32" t="str">
        <f>_xlfn.XLOOKUP(B:B,Disk_Pivot!G:G,Disk_Pivot!I:I)</f>
        <v>Yes x2</v>
      </c>
      <c r="AG5" s="32" t="str">
        <f>_xlfn.XLOOKUP(B5,Disk_Pivot!G:G,Disk_Pivot!N:N)</f>
        <v>Pass, Fail</v>
      </c>
      <c r="AH5" s="32"/>
      <c r="AI5" s="32"/>
      <c r="AJ5" s="32"/>
      <c r="AK5" s="32"/>
      <c r="AL5" s="32"/>
      <c r="AM5" s="32"/>
    </row>
    <row r="6" spans="1:39">
      <c r="A6" s="32" t="str">
        <f>_xlfn.XLOOKUP(B6,Input!J:J,Input!G:G)&amp;""</f>
        <v/>
      </c>
      <c r="B6" s="32"/>
      <c r="C6" s="32" t="str">
        <f>_xlfn.XLOOKUP(B6,Input!J:J,Input!H:H)&amp;""</f>
        <v/>
      </c>
      <c r="D6" s="42">
        <f>_xlfn.XLOOKUP(B6,Input!J:J,Input!F:F)</f>
        <v>0</v>
      </c>
      <c r="E6" s="32">
        <f>_xlfn.XLOOKUP(D6,Models!H:H,Models!G:G,D6)</f>
        <v>0</v>
      </c>
      <c r="F6" s="32">
        <f>_xlfn.XLOOKUP(B6,Input!J:J,Input!E:E)</f>
        <v>0</v>
      </c>
      <c r="G6" s="32">
        <f>IF(F6="LENOVO",_xlfn.XLOOKUP(B6,Input!J:J,Input!K:K),_xlfn.XLOOKUP(B6,Input!J:J,Input!L:L))</f>
        <v>0</v>
      </c>
      <c r="H6" s="32"/>
      <c r="I6" s="32"/>
      <c r="J6" s="32">
        <f>_xlfn.XLOOKUP(B6,CPU_Formula!A:A,CPU_Formula!I:I)</f>
        <v>0</v>
      </c>
      <c r="K6" s="42" t="e">
        <f>INDEX(Input!$D$2:$AC$500,
       MATCH(B6, Input!$J$2:$J$500, 0),
       MATCH("Total Memory", Input!$D$1:$AC$1, 0))</f>
        <v>#N/A</v>
      </c>
      <c r="L6" s="42" t="e">
        <f>INDEX(Input!$D$2:$AC$500,
       MATCH(B6, Input!$J$2:$J$500, 0),
       MATCH("Memory Type", Input!$D$1:$AC$1, 0))</f>
        <v>#N/A</v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e">
        <f t="shared" si="2"/>
        <v>#N/A</v>
      </c>
      <c r="O6" s="42" t="e">
        <f>INDEX(Input!$D$2:$AC$500,
       MATCH(B6, Input!$J$2:$J$500, 0),
       MATCH("Disk Interface Type", Input!$D$1:$AC$1, 0))</f>
        <v>#N/A</v>
      </c>
      <c r="P6" s="42" t="str" cm="1">
        <f t="array" ref="P6">IFERROR(_xlfn.TEXTJOIN(", ", TRUE, _xlfn._xlws.FILTER(
    INDEX(Input!$D$2:$AC$500,,MATCH("Disk Capacity",Input!$D$1:$AC$1,0)),
    Input!$J$2:$J$500=B6
)), "")</f>
        <v/>
      </c>
      <c r="Q6" s="32" t="e">
        <f t="shared" si="1"/>
        <v>#N/A</v>
      </c>
      <c r="R6" s="42" t="e">
        <f>_xlfn.LET(_xlpm.Result,INDEX(Input!$D$2:$AC$500,
       MATCH(B6, Input!$J$2:$J$500, 0),
       MATCH("Capacity", Input!$D$1:$AC$1, 0)),IF(_xlpm.Result="","",_xlpm.Result))</f>
        <v>#N/A</v>
      </c>
      <c r="S6" s="42" t="e" cm="1">
        <f t="array" ref="S6">_xlfn.TEXTSPLIT(R6," / ", ,TRUE,0,)</f>
        <v>#N/A</v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:AD6">IFERROR(IF(_xlfn.XLOOKUP(B6,Input!J:J,Input!N:U)=0,"",
          _xlfn.XLOOKUP(B6,Input!J:J,Input!N:U)),"")</f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42" t="str">
        <v/>
      </c>
      <c r="AE6" s="32" t="str">
        <f t="shared" si="0"/>
        <v/>
      </c>
      <c r="AF6" s="32" t="str">
        <f>_xlfn.XLOOKUP(B:B,Disk_Pivot!G:G,Disk_Pivot!I:I)</f>
        <v>Yes x2</v>
      </c>
      <c r="AG6" s="32" t="str">
        <f>_xlfn.XLOOKUP(B6,Disk_Pivot!G:G,Disk_Pivot!N:N)</f>
        <v>Pass, Fail</v>
      </c>
      <c r="AH6" s="32"/>
      <c r="AI6" s="32"/>
      <c r="AJ6" s="32"/>
      <c r="AK6" s="32"/>
      <c r="AL6" s="32"/>
      <c r="AM6" s="32"/>
    </row>
    <row r="7" spans="1:39">
      <c r="A7" s="32" t="str">
        <f>_xlfn.XLOOKUP(B7,Input!J:J,Input!G:G)&amp;""</f>
        <v/>
      </c>
      <c r="B7" s="32"/>
      <c r="C7" s="32" t="str">
        <f>_xlfn.XLOOKUP(B7,Input!J:J,Input!H:H)&amp;""</f>
        <v/>
      </c>
      <c r="D7" s="42">
        <f>_xlfn.XLOOKUP(B7,Input!J:J,Input!F:F)</f>
        <v>0</v>
      </c>
      <c r="E7" s="32">
        <f>_xlfn.XLOOKUP(D7,Models!H:H,Models!G:G,D7)</f>
        <v>0</v>
      </c>
      <c r="F7" s="32">
        <f>_xlfn.XLOOKUP(B7,Input!J:J,Input!E:E)</f>
        <v>0</v>
      </c>
      <c r="G7" s="32">
        <f>IF(F7="LENOVO",_xlfn.XLOOKUP(B7,Input!J:J,Input!K:K),_xlfn.XLOOKUP(B7,Input!J:J,Input!L:L))</f>
        <v>0</v>
      </c>
      <c r="H7" s="32"/>
      <c r="I7" s="32"/>
      <c r="J7" s="32">
        <f>_xlfn.XLOOKUP(B7,CPU_Formula!A:A,CPU_Formula!I:I)</f>
        <v>0</v>
      </c>
      <c r="K7" s="42" t="e">
        <f>INDEX(Input!$D$2:$AC$500,
       MATCH(B7, Input!$J$2:$J$500, 0),
       MATCH("Total Memory", Input!$D$1:$AC$1, 0))</f>
        <v>#N/A</v>
      </c>
      <c r="L7" s="42" t="e">
        <f>INDEX(Input!$D$2:$AC$500,
       MATCH(B7, Input!$J$2:$J$500, 0),
       MATCH("Memory Type", Input!$D$1:$AC$1, 0))</f>
        <v>#N/A</v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e">
        <f t="shared" si="2"/>
        <v>#N/A</v>
      </c>
      <c r="O7" s="42" t="e">
        <f>INDEX(Input!$D$2:$AC$500,
       MATCH(B7, Input!$J$2:$J$500, 0),
       MATCH("Disk Interface Type", Input!$D$1:$AC$1, 0))</f>
        <v>#N/A</v>
      </c>
      <c r="P7" s="42" t="str" cm="1">
        <f t="array" ref="P7">IFERROR(_xlfn.TEXTJOIN(", ", TRUE, _xlfn._xlws.FILTER(
    INDEX(Input!$D$2:$AC$500,,MATCH("Disk Capacity",Input!$D$1:$AC$1,0)),
    Input!$J$2:$J$500=B7
)), "")</f>
        <v/>
      </c>
      <c r="Q7" s="32" t="e">
        <f t="shared" si="1"/>
        <v>#N/A</v>
      </c>
      <c r="R7" s="42" t="e">
        <f>_xlfn.LET(_xlpm.Result,INDEX(Input!$D$2:$AC$500,
       MATCH(B7, Input!$J$2:$J$500, 0),
       MATCH("Capacity", Input!$D$1:$AC$1, 0)),IF(_xlpm.Result="","",_xlpm.Result))</f>
        <v>#N/A</v>
      </c>
      <c r="S7" s="42" t="e" cm="1">
        <f t="array" ref="S7">_xlfn.TEXTSPLIT(R7," / ", ,TRUE,0,)</f>
        <v>#N/A</v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:AD7">IFERROR(IF(_xlfn.XLOOKUP(B7,Input!J:J,Input!N:U)=0,"",
          _xlfn.XLOOKUP(B7,Input!J:J,Input!N:U)),"")</f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42" t="str">
        <v/>
      </c>
      <c r="AE7" s="32" t="str">
        <f t="shared" si="0"/>
        <v/>
      </c>
      <c r="AF7" s="32" t="str">
        <f>_xlfn.XLOOKUP(B:B,Disk_Pivot!G:G,Disk_Pivot!I:I)</f>
        <v>Yes x2</v>
      </c>
      <c r="AG7" s="32" t="str">
        <f>_xlfn.XLOOKUP(B7,Disk_Pivot!G:G,Disk_Pivot!N:N)</f>
        <v>Pass, Fail</v>
      </c>
      <c r="AH7" s="32"/>
      <c r="AI7" s="32"/>
      <c r="AJ7" s="32"/>
      <c r="AK7" s="32"/>
      <c r="AL7" s="32"/>
      <c r="AM7" s="32"/>
    </row>
    <row r="8" spans="1:39">
      <c r="A8" s="32" t="str">
        <f>_xlfn.XLOOKUP(B8,Input!J:J,Input!G:G)&amp;""</f>
        <v/>
      </c>
      <c r="B8" s="32"/>
      <c r="C8" s="32" t="str">
        <f>_xlfn.XLOOKUP(B8,Input!J:J,Input!H:H)&amp;""</f>
        <v/>
      </c>
      <c r="D8" s="42">
        <f>_xlfn.XLOOKUP(B8,Input!J:J,Input!F:F)</f>
        <v>0</v>
      </c>
      <c r="E8" s="32">
        <f>_xlfn.XLOOKUP(D8,Models!H:H,Models!G:G,D8)</f>
        <v>0</v>
      </c>
      <c r="F8" s="32">
        <f>_xlfn.XLOOKUP(B8,Input!J:J,Input!E:E)</f>
        <v>0</v>
      </c>
      <c r="G8" s="32">
        <f>IF(F8="LENOVO",_xlfn.XLOOKUP(B8,Input!J:J,Input!K:K),_xlfn.XLOOKUP(B8,Input!J:J,Input!L:L))</f>
        <v>0</v>
      </c>
      <c r="H8" s="32"/>
      <c r="I8" s="32"/>
      <c r="J8" s="32">
        <f>_xlfn.XLOOKUP(B8,CPU_Formula!A:A,CPU_Formula!I:I)</f>
        <v>0</v>
      </c>
      <c r="K8" s="42" t="e">
        <f>INDEX(Input!$D$2:$AC$500,
       MATCH(B8, Input!$J$2:$J$500, 0),
       MATCH("Total Memory", Input!$D$1:$AC$1, 0))</f>
        <v>#N/A</v>
      </c>
      <c r="L8" s="42" t="e">
        <f>INDEX(Input!$D$2:$AC$500,
       MATCH(B8, Input!$J$2:$J$500, 0),
       MATCH("Memory Type", Input!$D$1:$AC$1, 0))</f>
        <v>#N/A</v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e">
        <f t="shared" si="2"/>
        <v>#N/A</v>
      </c>
      <c r="O8" s="42" t="e">
        <f>INDEX(Input!$D$2:$AC$500,
       MATCH(B8, Input!$J$2:$J$500, 0),
       MATCH("Disk Interface Type", Input!$D$1:$AC$1, 0))</f>
        <v>#N/A</v>
      </c>
      <c r="P8" s="42" t="str" cm="1">
        <f t="array" ref="P8">IFERROR(_xlfn.TEXTJOIN(", ", TRUE, _xlfn._xlws.FILTER(
    INDEX(Input!$D$2:$AC$500,,MATCH("Disk Capacity",Input!$D$1:$AC$1,0)),
    Input!$J$2:$J$500=B8
)), "")</f>
        <v/>
      </c>
      <c r="Q8" s="32" t="e">
        <f t="shared" si="1"/>
        <v>#N/A</v>
      </c>
      <c r="R8" s="42" t="e">
        <f>_xlfn.LET(_xlpm.Result,INDEX(Input!$D$2:$AC$500,
       MATCH(B8, Input!$J$2:$J$500, 0),
       MATCH("Capacity", Input!$D$1:$AC$1, 0)),IF(_xlpm.Result="","",_xlpm.Result))</f>
        <v>#N/A</v>
      </c>
      <c r="S8" s="42" t="e" cm="1">
        <f t="array" ref="S8">_xlfn.TEXTSPLIT(R8," / ", ,TRUE,0,)</f>
        <v>#N/A</v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:AD8">IFERROR(IF(_xlfn.XLOOKUP(B8,Input!J:J,Input!N:U)=0,"",
          _xlfn.XLOOKUP(B8,Input!J:J,Input!N:U)),"")</f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42" t="str">
        <v/>
      </c>
      <c r="AE8" s="32" t="str">
        <f t="shared" si="0"/>
        <v/>
      </c>
      <c r="AF8" s="32" t="str">
        <f>_xlfn.XLOOKUP(B:B,Disk_Pivot!G:G,Disk_Pivot!I:I)</f>
        <v>Yes x2</v>
      </c>
      <c r="AG8" s="32" t="str">
        <f>_xlfn.XLOOKUP(B8,Disk_Pivot!G:G,Disk_Pivot!N:N)</f>
        <v>Pass, Fail</v>
      </c>
      <c r="AH8" s="32"/>
      <c r="AI8" s="32"/>
      <c r="AJ8" s="32"/>
      <c r="AK8" s="32"/>
      <c r="AL8" s="32"/>
      <c r="AM8" s="32"/>
    </row>
    <row r="9" spans="1:39">
      <c r="A9" s="32" t="str">
        <f>_xlfn.XLOOKUP(B9,Input!J:J,Input!G:G)&amp;""</f>
        <v/>
      </c>
      <c r="B9" s="32"/>
      <c r="C9" s="32" t="str">
        <f>_xlfn.XLOOKUP(B9,Input!J:J,Input!H:H)&amp;""</f>
        <v/>
      </c>
      <c r="D9" s="42">
        <f>_xlfn.XLOOKUP(B9,Input!J:J,Input!F:F)</f>
        <v>0</v>
      </c>
      <c r="E9" s="32">
        <f>_xlfn.XLOOKUP(D9,Models!H:H,Models!G:G,D9)</f>
        <v>0</v>
      </c>
      <c r="F9" s="32">
        <f>_xlfn.XLOOKUP(B9,Input!J:J,Input!E:E)</f>
        <v>0</v>
      </c>
      <c r="G9" s="32">
        <f>IF(F9="LENOVO",_xlfn.XLOOKUP(B9,Input!J:J,Input!K:K),_xlfn.XLOOKUP(B9,Input!J:J,Input!L:L))</f>
        <v>0</v>
      </c>
      <c r="H9" s="32"/>
      <c r="I9" s="32"/>
      <c r="J9" s="32">
        <f>_xlfn.XLOOKUP(B9,CPU_Formula!A:A,CPU_Formula!I:I)</f>
        <v>0</v>
      </c>
      <c r="K9" s="42" t="e">
        <f>INDEX(Input!$D$2:$AC$500,
       MATCH(B9, Input!$J$2:$J$500, 0),
       MATCH("Total Memory", Input!$D$1:$AC$1, 0))</f>
        <v>#N/A</v>
      </c>
      <c r="L9" s="42" t="e">
        <f>INDEX(Input!$D$2:$AC$500,
       MATCH(B9, Input!$J$2:$J$500, 0),
       MATCH("Memory Type", Input!$D$1:$AC$1, 0))</f>
        <v>#N/A</v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e">
        <f t="shared" si="2"/>
        <v>#N/A</v>
      </c>
      <c r="O9" s="42" t="e">
        <f>INDEX(Input!$D$2:$AC$500,
       MATCH(B9, Input!$J$2:$J$500, 0),
       MATCH("Disk Interface Type", Input!$D$1:$AC$1, 0))</f>
        <v>#N/A</v>
      </c>
      <c r="P9" s="42" t="str" cm="1">
        <f t="array" ref="P9">IFERROR(_xlfn.TEXTJOIN(", ", TRUE, _xlfn._xlws.FILTER(
    INDEX(Input!$D$2:$AC$500,,MATCH("Disk Capacity",Input!$D$1:$AC$1,0)),
    Input!$J$2:$J$500=B9
)), "")</f>
        <v/>
      </c>
      <c r="Q9" s="32" t="e">
        <f t="shared" si="1"/>
        <v>#N/A</v>
      </c>
      <c r="R9" s="42" t="e">
        <f>_xlfn.LET(_xlpm.Result,INDEX(Input!$D$2:$AC$500,
       MATCH(B9, Input!$J$2:$J$500, 0),
       MATCH("Capacity", Input!$D$1:$AC$1, 0)),IF(_xlpm.Result="","",_xlpm.Result))</f>
        <v>#N/A</v>
      </c>
      <c r="S9" s="42" t="e" cm="1">
        <f t="array" ref="S9">_xlfn.TEXTSPLIT(R9," / ", ,TRUE,0,)</f>
        <v>#N/A</v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:AD9">IFERROR(IF(_xlfn.XLOOKUP(B9,Input!J:J,Input!N:U)=0,"",
          _xlfn.XLOOKUP(B9,Input!J:J,Input!N:U)),"")</f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42" t="str">
        <v/>
      </c>
      <c r="AE9" s="32" t="str">
        <f t="shared" si="0"/>
        <v/>
      </c>
      <c r="AF9" s="32" t="str">
        <f>_xlfn.XLOOKUP(B:B,Disk_Pivot!G:G,Disk_Pivot!I:I)</f>
        <v>Yes x2</v>
      </c>
      <c r="AG9" s="32" t="str">
        <f>_xlfn.XLOOKUP(B9,Disk_Pivot!G:G,Disk_Pivot!N:N)</f>
        <v>Pass, Fail</v>
      </c>
      <c r="AH9" s="32"/>
      <c r="AI9" s="32"/>
      <c r="AJ9" s="32"/>
      <c r="AK9" s="32"/>
      <c r="AL9" s="32"/>
      <c r="AM9" s="32"/>
    </row>
    <row r="10" spans="1:39">
      <c r="A10" s="32" t="str">
        <f>_xlfn.XLOOKUP(B10,Input!J:J,Input!G:G)&amp;""</f>
        <v/>
      </c>
      <c r="B10" s="32"/>
      <c r="C10" s="32" t="str">
        <f>_xlfn.XLOOKUP(B10,Input!J:J,Input!H:H)&amp;""</f>
        <v/>
      </c>
      <c r="D10" s="42">
        <f>_xlfn.XLOOKUP(B10,Input!J:J,Input!F:F)</f>
        <v>0</v>
      </c>
      <c r="E10" s="32">
        <f>_xlfn.XLOOKUP(D10,Models!H:H,Models!G:G,D10)</f>
        <v>0</v>
      </c>
      <c r="F10" s="32">
        <f>_xlfn.XLOOKUP(B10,Input!J:J,Input!E:E)</f>
        <v>0</v>
      </c>
      <c r="G10" s="32">
        <f>IF(F10="LENOVO",_xlfn.XLOOKUP(B10,Input!J:J,Input!K:K),_xlfn.XLOOKUP(B10,Input!J:J,Input!L:L))</f>
        <v>0</v>
      </c>
      <c r="H10" s="32"/>
      <c r="I10" s="32"/>
      <c r="J10" s="32">
        <f>_xlfn.XLOOKUP(B10,CPU_Formula!A:A,CPU_Formula!I:I)</f>
        <v>0</v>
      </c>
      <c r="K10" s="42" t="e">
        <f>INDEX(Input!$D$2:$AC$500,
       MATCH(B10, Input!$J$2:$J$500, 0),
       MATCH("Total Memory", Input!$D$1:$AC$1, 0))</f>
        <v>#N/A</v>
      </c>
      <c r="L10" s="42" t="e">
        <f>INDEX(Input!$D$2:$AC$500,
       MATCH(B10, Input!$J$2:$J$500, 0),
       MATCH("Memory Type", Input!$D$1:$AC$1, 0))</f>
        <v>#N/A</v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e">
        <f t="shared" si="2"/>
        <v>#N/A</v>
      </c>
      <c r="O10" s="42" t="e">
        <f>INDEX(Input!$D$2:$AC$500,
       MATCH(B10, Input!$J$2:$J$500, 0),
       MATCH("Disk Interface Type", Input!$D$1:$AC$1, 0))</f>
        <v>#N/A</v>
      </c>
      <c r="P10" s="42" t="str" cm="1">
        <f t="array" ref="P10">IFERROR(_xlfn.TEXTJOIN(", ", TRUE, _xlfn._xlws.FILTER(
    INDEX(Input!$D$2:$AC$500,,MATCH("Disk Capacity",Input!$D$1:$AC$1,0)),
    Input!$J$2:$J$500=B10
)), "")</f>
        <v/>
      </c>
      <c r="Q10" s="32" t="e">
        <f t="shared" si="1"/>
        <v>#N/A</v>
      </c>
      <c r="R10" s="42" t="e">
        <f>_xlfn.LET(_xlpm.Result,INDEX(Input!$D$2:$AC$500,
       MATCH(B10, Input!$J$2:$J$500, 0),
       MATCH("Capacity", Input!$D$1:$AC$1, 0)),IF(_xlpm.Result="","",_xlpm.Result))</f>
        <v>#N/A</v>
      </c>
      <c r="S10" s="42" t="e" cm="1">
        <f t="array" ref="S10">_xlfn.TEXTSPLIT(R10," / ", ,TRUE,0,)</f>
        <v>#N/A</v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:AD10">IFERROR(IF(_xlfn.XLOOKUP(B10,Input!J:J,Input!N:U)=0,"",
          _xlfn.XLOOKUP(B10,Input!J:J,Input!N:U)),"")</f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42" t="str">
        <v/>
      </c>
      <c r="AE10" s="32" t="str">
        <f t="shared" si="0"/>
        <v/>
      </c>
      <c r="AF10" s="32" t="str">
        <f>_xlfn.XLOOKUP(B:B,Disk_Pivot!G:G,Disk_Pivot!I:I)</f>
        <v>Yes x2</v>
      </c>
      <c r="AG10" s="32" t="str">
        <f>_xlfn.XLOOKUP(B10,Disk_Pivot!G:G,Disk_Pivot!N:N)</f>
        <v>Pass, Fail</v>
      </c>
      <c r="AH10" s="32"/>
      <c r="AI10" s="32"/>
      <c r="AJ10" s="32"/>
      <c r="AK10" s="32"/>
      <c r="AL10" s="32"/>
      <c r="AM10" s="32"/>
    </row>
    <row r="11" spans="1:39">
      <c r="A11" s="32" t="str">
        <f>_xlfn.XLOOKUP(B11,Input!J:J,Input!G:G)&amp;""</f>
        <v/>
      </c>
      <c r="B11" s="32"/>
      <c r="C11" s="32" t="str">
        <f>_xlfn.XLOOKUP(B11,Input!J:J,Input!H:H)&amp;""</f>
        <v/>
      </c>
      <c r="D11" s="42">
        <f>_xlfn.XLOOKUP(B11,Input!J:J,Input!F:F)</f>
        <v>0</v>
      </c>
      <c r="E11" s="32">
        <f>_xlfn.XLOOKUP(D11,Models!H:H,Models!G:G,D11)</f>
        <v>0</v>
      </c>
      <c r="F11" s="32">
        <f>_xlfn.XLOOKUP(B11,Input!J:J,Input!E:E)</f>
        <v>0</v>
      </c>
      <c r="G11" s="32">
        <f>IF(F11="LENOVO",_xlfn.XLOOKUP(B11,Input!J:J,Input!K:K),_xlfn.XLOOKUP(B11,Input!J:J,Input!L:L))</f>
        <v>0</v>
      </c>
      <c r="H11" s="32"/>
      <c r="I11" s="32"/>
      <c r="J11" s="32">
        <f>_xlfn.XLOOKUP(B11,CPU_Formula!A:A,CPU_Formula!I:I)</f>
        <v>0</v>
      </c>
      <c r="K11" s="42" t="e">
        <f>INDEX(Input!$D$2:$AC$500,
       MATCH(B11, Input!$J$2:$J$500, 0),
       MATCH("Total Memory", Input!$D$1:$AC$1, 0))</f>
        <v>#N/A</v>
      </c>
      <c r="L11" s="42" t="e">
        <f>INDEX(Input!$D$2:$AC$500,
       MATCH(B11, Input!$J$2:$J$500, 0),
       MATCH("Memory Type", Input!$D$1:$AC$1, 0))</f>
        <v>#N/A</v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e">
        <f t="shared" si="2"/>
        <v>#N/A</v>
      </c>
      <c r="O11" s="42" t="e">
        <f>INDEX(Input!$D$2:$AC$500,
       MATCH(B11, Input!$J$2:$J$500, 0),
       MATCH("Disk Interface Type", Input!$D$1:$AC$1, 0))</f>
        <v>#N/A</v>
      </c>
      <c r="P11" s="42" t="str" cm="1">
        <f t="array" ref="P11">IFERROR(_xlfn.TEXTJOIN(", ", TRUE, _xlfn._xlws.FILTER(
    INDEX(Input!$D$2:$AC$500,,MATCH("Disk Capacity",Input!$D$1:$AC$1,0)),
    Input!$J$2:$J$500=B11
)), "")</f>
        <v/>
      </c>
      <c r="Q11" s="32" t="e">
        <f t="shared" si="1"/>
        <v>#N/A</v>
      </c>
      <c r="R11" s="42" t="e">
        <f>_xlfn.LET(_xlpm.Result,INDEX(Input!$D$2:$AC$500,
       MATCH(B11, Input!$J$2:$J$500, 0),
       MATCH("Capacity", Input!$D$1:$AC$1, 0)),IF(_xlpm.Result="","",_xlpm.Result))</f>
        <v>#N/A</v>
      </c>
      <c r="S11" s="42" t="e" cm="1">
        <f t="array" ref="S11">_xlfn.TEXTSPLIT(R11," / ", ,TRUE,0,)</f>
        <v>#N/A</v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:AD11">IFERROR(IF(_xlfn.XLOOKUP(B11,Input!J:J,Input!N:U)=0,"",
          _xlfn.XLOOKUP(B11,Input!J:J,Input!N:U)),"")</f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42" t="str">
        <v/>
      </c>
      <c r="AE11" s="32" t="str">
        <f t="shared" si="0"/>
        <v/>
      </c>
      <c r="AF11" s="32" t="str">
        <f>_xlfn.XLOOKUP(B:B,Disk_Pivot!G:G,Disk_Pivot!I:I)</f>
        <v>Yes x2</v>
      </c>
      <c r="AG11" s="32" t="str">
        <f>_xlfn.XLOOKUP(B11,Disk_Pivot!G:G,Disk_Pivot!N:N)</f>
        <v>Pass, Fail</v>
      </c>
      <c r="AH11" s="32"/>
      <c r="AI11" s="32"/>
      <c r="AJ11" s="32"/>
      <c r="AK11" s="32"/>
      <c r="AL11" s="32"/>
      <c r="AM11" s="32"/>
    </row>
    <row r="12" spans="1:39">
      <c r="A12" s="32" t="str">
        <f>_xlfn.XLOOKUP(B12,Input!J:J,Input!G:G)&amp;""</f>
        <v/>
      </c>
      <c r="B12" s="32"/>
      <c r="C12" s="32" t="str">
        <f>_xlfn.XLOOKUP(B12,Input!J:J,Input!H:H)&amp;""</f>
        <v/>
      </c>
      <c r="D12" s="42">
        <f>_xlfn.XLOOKUP(B12,Input!J:J,Input!F:F)</f>
        <v>0</v>
      </c>
      <c r="E12" s="32">
        <f>_xlfn.XLOOKUP(D12,Models!H:H,Models!G:G,D12)</f>
        <v>0</v>
      </c>
      <c r="F12" s="32">
        <f>_xlfn.XLOOKUP(B12,Input!J:J,Input!E:E)</f>
        <v>0</v>
      </c>
      <c r="G12" s="32">
        <f>IF(F12="LENOVO",_xlfn.XLOOKUP(B12,Input!J:J,Input!K:K),_xlfn.XLOOKUP(B12,Input!J:J,Input!L:L))</f>
        <v>0</v>
      </c>
      <c r="H12" s="32"/>
      <c r="I12" s="32"/>
      <c r="J12" s="32">
        <f>_xlfn.XLOOKUP(B12,CPU_Formula!A:A,CPU_Formula!I:I)</f>
        <v>0</v>
      </c>
      <c r="K12" s="42" t="e">
        <f>INDEX(Input!$D$2:$AC$500,
       MATCH(B12, Input!$J$2:$J$500, 0),
       MATCH("Total Memory", Input!$D$1:$AC$1, 0))</f>
        <v>#N/A</v>
      </c>
      <c r="L12" s="42" t="e">
        <f>INDEX(Input!$D$2:$AC$500,
       MATCH(B12, Input!$J$2:$J$500, 0),
       MATCH("Memory Type", Input!$D$1:$AC$1, 0))</f>
        <v>#N/A</v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e">
        <f t="shared" si="2"/>
        <v>#N/A</v>
      </c>
      <c r="O12" s="42" t="e">
        <f>INDEX(Input!$D$2:$AC$500,
       MATCH(B12, Input!$J$2:$J$500, 0),
       MATCH("Disk Interface Type", Input!$D$1:$AC$1, 0))</f>
        <v>#N/A</v>
      </c>
      <c r="P12" s="42" t="str" cm="1">
        <f t="array" ref="P12">IFERROR(_xlfn.TEXTJOIN(", ", TRUE, _xlfn._xlws.FILTER(
    INDEX(Input!$D$2:$AC$500,,MATCH("Disk Capacity",Input!$D$1:$AC$1,0)),
    Input!$J$2:$J$500=B12
)), "")</f>
        <v/>
      </c>
      <c r="Q12" s="32" t="e">
        <f t="shared" si="1"/>
        <v>#N/A</v>
      </c>
      <c r="R12" s="42" t="e">
        <f>_xlfn.LET(_xlpm.Result,INDEX(Input!$D$2:$AC$500,
       MATCH(B12, Input!$J$2:$J$500, 0),
       MATCH("Capacity", Input!$D$1:$AC$1, 0)),IF(_xlpm.Result="","",_xlpm.Result))</f>
        <v>#N/A</v>
      </c>
      <c r="S12" s="42" t="e" cm="1">
        <f t="array" ref="S12">_xlfn.TEXTSPLIT(R12," / ", ,TRUE,0,)</f>
        <v>#N/A</v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:AD12">IFERROR(IF(_xlfn.XLOOKUP(B12,Input!J:J,Input!N:U)=0,"",
          _xlfn.XLOOKUP(B12,Input!J:J,Input!N:U)),"")</f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42" t="str">
        <v/>
      </c>
      <c r="AE12" s="32" t="str">
        <f t="shared" si="0"/>
        <v/>
      </c>
      <c r="AF12" s="32" t="str">
        <f>_xlfn.XLOOKUP(B:B,Disk_Pivot!G:G,Disk_Pivot!I:I)</f>
        <v>Yes x2</v>
      </c>
      <c r="AG12" s="32" t="str">
        <f>_xlfn.XLOOKUP(B12,Disk_Pivot!G:G,Disk_Pivot!N:N)</f>
        <v>Pass, Fail</v>
      </c>
      <c r="AH12" s="32"/>
      <c r="AI12" s="32"/>
      <c r="AJ12" s="32"/>
      <c r="AK12" s="32"/>
      <c r="AL12" s="32"/>
      <c r="AM12" s="32"/>
    </row>
    <row r="13" spans="1:39">
      <c r="A13" s="32" t="str">
        <f>_xlfn.XLOOKUP(B13,Input!J:J,Input!G:G)&amp;""</f>
        <v/>
      </c>
      <c r="B13" s="32"/>
      <c r="C13" s="32" t="str">
        <f>_xlfn.XLOOKUP(B13,Input!J:J,Input!H:H)&amp;""</f>
        <v/>
      </c>
      <c r="D13" s="42">
        <f>_xlfn.XLOOKUP(B13,Input!J:J,Input!F:F)</f>
        <v>0</v>
      </c>
      <c r="E13" s="32">
        <f>_xlfn.XLOOKUP(D13,Models!H:H,Models!G:G,D13)</f>
        <v>0</v>
      </c>
      <c r="F13" s="32">
        <f>_xlfn.XLOOKUP(B13,Input!J:J,Input!E:E)</f>
        <v>0</v>
      </c>
      <c r="G13" s="32">
        <f>IF(F13="LENOVO",_xlfn.XLOOKUP(B13,Input!J:J,Input!K:K),_xlfn.XLOOKUP(B13,Input!J:J,Input!L:L))</f>
        <v>0</v>
      </c>
      <c r="H13" s="32"/>
      <c r="I13" s="32"/>
      <c r="J13" s="32">
        <f>_xlfn.XLOOKUP(B13,CPU_Formula!A:A,CPU_Formula!I:I)</f>
        <v>0</v>
      </c>
      <c r="K13" s="42" t="e">
        <f>INDEX(Input!$D$2:$AC$500,
       MATCH(B13, Input!$J$2:$J$500, 0),
       MATCH("Total Memory", Input!$D$1:$AC$1, 0))</f>
        <v>#N/A</v>
      </c>
      <c r="L13" s="42" t="e">
        <f>INDEX(Input!$D$2:$AC$500,
       MATCH(B13, Input!$J$2:$J$500, 0),
       MATCH("Memory Type", Input!$D$1:$AC$1, 0))</f>
        <v>#N/A</v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e">
        <f t="shared" si="2"/>
        <v>#N/A</v>
      </c>
      <c r="O13" s="42" t="e">
        <f>INDEX(Input!$D$2:$AC$500,
       MATCH(B13, Input!$J$2:$J$500, 0),
       MATCH("Disk Interface Type", Input!$D$1:$AC$1, 0))</f>
        <v>#N/A</v>
      </c>
      <c r="P13" s="42" t="str" cm="1">
        <f t="array" ref="P13">IFERROR(_xlfn.TEXTJOIN(", ", TRUE, _xlfn._xlws.FILTER(
    INDEX(Input!$D$2:$AC$500,,MATCH("Disk Capacity",Input!$D$1:$AC$1,0)),
    Input!$J$2:$J$500=B13
)), "")</f>
        <v/>
      </c>
      <c r="Q13" s="32" t="e">
        <f t="shared" si="1"/>
        <v>#N/A</v>
      </c>
      <c r="R13" s="42" t="e">
        <f>_xlfn.LET(_xlpm.Result,INDEX(Input!$D$2:$AC$500,
       MATCH(B13, Input!$J$2:$J$500, 0),
       MATCH("Capacity", Input!$D$1:$AC$1, 0)),IF(_xlpm.Result="","",_xlpm.Result))</f>
        <v>#N/A</v>
      </c>
      <c r="S13" s="42" t="e" cm="1">
        <f t="array" ref="S13">_xlfn.TEXTSPLIT(R13," / ", ,TRUE,0,)</f>
        <v>#N/A</v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:AD13">IFERROR(IF(_xlfn.XLOOKUP(B13,Input!J:J,Input!N:U)=0,"",
          _xlfn.XLOOKUP(B13,Input!J:J,Input!N:U)),"")</f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42" t="str">
        <v/>
      </c>
      <c r="AE13" s="32" t="str">
        <f t="shared" si="0"/>
        <v/>
      </c>
      <c r="AF13" s="32" t="str">
        <f>_xlfn.XLOOKUP(B:B,Disk_Pivot!G:G,Disk_Pivot!I:I)</f>
        <v>Yes x2</v>
      </c>
      <c r="AG13" s="32" t="str">
        <f>_xlfn.XLOOKUP(B13,Disk_Pivot!G:G,Disk_Pivot!N:N)</f>
        <v>Pass, Fail</v>
      </c>
      <c r="AH13" s="32"/>
      <c r="AI13" s="32"/>
      <c r="AJ13" s="32"/>
      <c r="AK13" s="32"/>
      <c r="AL13" s="32"/>
      <c r="AM13" s="32"/>
    </row>
    <row r="14" spans="1:39">
      <c r="A14" s="32" t="str">
        <f>_xlfn.XLOOKUP(B14,Input!J:J,Input!G:G)&amp;""</f>
        <v/>
      </c>
      <c r="B14" s="32"/>
      <c r="C14" s="32" t="str">
        <f>_xlfn.XLOOKUP(B14,Input!J:J,Input!H:H)&amp;""</f>
        <v/>
      </c>
      <c r="D14" s="42">
        <f>_xlfn.XLOOKUP(B14,Input!J:J,Input!F:F)</f>
        <v>0</v>
      </c>
      <c r="E14" s="32">
        <f>_xlfn.XLOOKUP(D14,Models!H:H,Models!G:G,D14)</f>
        <v>0</v>
      </c>
      <c r="F14" s="32">
        <f>_xlfn.XLOOKUP(B14,Input!J:J,Input!E:E)</f>
        <v>0</v>
      </c>
      <c r="G14" s="32">
        <f>IF(F14="LENOVO",_xlfn.XLOOKUP(B14,Input!J:J,Input!K:K),_xlfn.XLOOKUP(B14,Input!J:J,Input!L:L))</f>
        <v>0</v>
      </c>
      <c r="H14" s="32"/>
      <c r="I14" s="32"/>
      <c r="J14" s="32">
        <f>_xlfn.XLOOKUP(B14,CPU_Formula!A:A,CPU_Formula!I:I)</f>
        <v>0</v>
      </c>
      <c r="K14" s="42" t="e">
        <f>INDEX(Input!$D$2:$AC$500,
       MATCH(B14, Input!$J$2:$J$500, 0),
       MATCH("Total Memory", Input!$D$1:$AC$1, 0))</f>
        <v>#N/A</v>
      </c>
      <c r="L14" s="42" t="e">
        <f>INDEX(Input!$D$2:$AC$500,
       MATCH(B14, Input!$J$2:$J$500, 0),
       MATCH("Memory Type", Input!$D$1:$AC$1, 0))</f>
        <v>#N/A</v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e">
        <f t="shared" si="2"/>
        <v>#N/A</v>
      </c>
      <c r="O14" s="42" t="e">
        <f>INDEX(Input!$D$2:$AC$500,
       MATCH(B14, Input!$J$2:$J$500, 0),
       MATCH("Disk Interface Type", Input!$D$1:$AC$1, 0))</f>
        <v>#N/A</v>
      </c>
      <c r="P14" s="42" t="str" cm="1">
        <f t="array" ref="P14">IFERROR(_xlfn.TEXTJOIN(", ", TRUE, _xlfn._xlws.FILTER(
    INDEX(Input!$D$2:$AC$500,,MATCH("Disk Capacity",Input!$D$1:$AC$1,0)),
    Input!$J$2:$J$500=B14
)), "")</f>
        <v/>
      </c>
      <c r="Q14" s="32" t="e">
        <f t="shared" si="1"/>
        <v>#N/A</v>
      </c>
      <c r="R14" s="42" t="e">
        <f>_xlfn.LET(_xlpm.Result,INDEX(Input!$D$2:$AC$500,
       MATCH(B14, Input!$J$2:$J$500, 0),
       MATCH("Capacity", Input!$D$1:$AC$1, 0)),IF(_xlpm.Result="","",_xlpm.Result))</f>
        <v>#N/A</v>
      </c>
      <c r="S14" s="42" t="e" cm="1">
        <f t="array" ref="S14">_xlfn.TEXTSPLIT(R14," / ", ,TRUE,0,)</f>
        <v>#N/A</v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:AD14">IFERROR(IF(_xlfn.XLOOKUP(B14,Input!J:J,Input!N:U)=0,"",
          _xlfn.XLOOKUP(B14,Input!J:J,Input!N:U)),"")</f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42" t="str">
        <v/>
      </c>
      <c r="AE14" s="32" t="str">
        <f t="shared" si="0"/>
        <v/>
      </c>
      <c r="AF14" s="32" t="str">
        <f>_xlfn.XLOOKUP(B:B,Disk_Pivot!G:G,Disk_Pivot!I:I)</f>
        <v>Yes x2</v>
      </c>
      <c r="AG14" s="32" t="str">
        <f>_xlfn.XLOOKUP(B14,Disk_Pivot!G:G,Disk_Pivot!N:N)</f>
        <v>Pass, Fail</v>
      </c>
      <c r="AH14" s="32"/>
      <c r="AI14" s="32"/>
      <c r="AJ14" s="32"/>
      <c r="AK14" s="32"/>
      <c r="AL14" s="32"/>
      <c r="AM14" s="32"/>
    </row>
    <row r="15" spans="1:39">
      <c r="A15" s="32" t="str">
        <f>_xlfn.XLOOKUP(B15,Input!J:J,Input!G:G)&amp;""</f>
        <v/>
      </c>
      <c r="B15" s="32"/>
      <c r="C15" s="32" t="str">
        <f>_xlfn.XLOOKUP(B15,Input!J:J,Input!H:H)&amp;""</f>
        <v/>
      </c>
      <c r="D15" s="42">
        <f>_xlfn.XLOOKUP(B15,Input!J:J,Input!F:F)</f>
        <v>0</v>
      </c>
      <c r="E15" s="32">
        <f>_xlfn.XLOOKUP(D15,Models!H:H,Models!G:G,D15)</f>
        <v>0</v>
      </c>
      <c r="F15" s="32">
        <f>_xlfn.XLOOKUP(B15,Input!J:J,Input!E:E)</f>
        <v>0</v>
      </c>
      <c r="G15" s="32">
        <f>IF(F15="LENOVO",_xlfn.XLOOKUP(B15,Input!J:J,Input!K:K),_xlfn.XLOOKUP(B15,Input!J:J,Input!L:L))</f>
        <v>0</v>
      </c>
      <c r="H15" s="32"/>
      <c r="I15" s="32"/>
      <c r="J15" s="32">
        <f>_xlfn.XLOOKUP(B15,CPU_Formula!A:A,CPU_Formula!I:I)</f>
        <v>0</v>
      </c>
      <c r="K15" s="42" t="e">
        <f>INDEX(Input!$D$2:$AC$500,
       MATCH(B15, Input!$J$2:$J$500, 0),
       MATCH("Total Memory", Input!$D$1:$AC$1, 0))</f>
        <v>#N/A</v>
      </c>
      <c r="L15" s="42" t="e">
        <f>INDEX(Input!$D$2:$AC$500,
       MATCH(B15, Input!$J$2:$J$500, 0),
       MATCH("Memory Type", Input!$D$1:$AC$1, 0))</f>
        <v>#N/A</v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e">
        <f t="shared" si="2"/>
        <v>#N/A</v>
      </c>
      <c r="O15" s="42" t="e">
        <f>INDEX(Input!$D$2:$AC$500,
       MATCH(B15, Input!$J$2:$J$500, 0),
       MATCH("Disk Interface Type", Input!$D$1:$AC$1, 0))</f>
        <v>#N/A</v>
      </c>
      <c r="P15" s="42" t="str" cm="1">
        <f t="array" ref="P15">IFERROR(_xlfn.TEXTJOIN(", ", TRUE, _xlfn._xlws.FILTER(
    INDEX(Input!$D$2:$AC$500,,MATCH("Disk Capacity",Input!$D$1:$AC$1,0)),
    Input!$J$2:$J$500=B15
)), "")</f>
        <v/>
      </c>
      <c r="Q15" s="32" t="e">
        <f t="shared" si="1"/>
        <v>#N/A</v>
      </c>
      <c r="R15" s="42" t="e">
        <f>_xlfn.LET(_xlpm.Result,INDEX(Input!$D$2:$AC$500,
       MATCH(B15, Input!$J$2:$J$500, 0),
       MATCH("Capacity", Input!$D$1:$AC$1, 0)),IF(_xlpm.Result="","",_xlpm.Result))</f>
        <v>#N/A</v>
      </c>
      <c r="S15" s="42" t="e" cm="1">
        <f t="array" ref="S15">_xlfn.TEXTSPLIT(R15," / ", ,TRUE,0,)</f>
        <v>#N/A</v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:AD15">IFERROR(IF(_xlfn.XLOOKUP(B15,Input!J:J,Input!N:U)=0,"",
          _xlfn.XLOOKUP(B15,Input!J:J,Input!N:U)),"")</f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42" t="str">
        <v/>
      </c>
      <c r="AE15" s="32" t="str">
        <f t="shared" si="0"/>
        <v/>
      </c>
      <c r="AF15" s="32" t="str">
        <f>_xlfn.XLOOKUP(B:B,Disk_Pivot!G:G,Disk_Pivot!I:I)</f>
        <v>Yes x2</v>
      </c>
      <c r="AG15" s="32" t="str">
        <f>_xlfn.XLOOKUP(B15,Disk_Pivot!G:G,Disk_Pivot!N:N)</f>
        <v>Pass, Fail</v>
      </c>
      <c r="AH15" s="32"/>
      <c r="AI15" s="32"/>
      <c r="AJ15" s="32"/>
      <c r="AK15" s="32"/>
      <c r="AL15" s="32"/>
      <c r="AM15" s="32"/>
    </row>
    <row r="16" spans="1:39">
      <c r="A16" s="32" t="str">
        <f>_xlfn.XLOOKUP(B16,Input!J:J,Input!G:G)&amp;""</f>
        <v/>
      </c>
      <c r="B16" s="32"/>
      <c r="C16" s="32" t="str">
        <f>_xlfn.XLOOKUP(B16,Input!J:J,Input!H:H)&amp;""</f>
        <v/>
      </c>
      <c r="D16" s="42">
        <f>_xlfn.XLOOKUP(B16,Input!J:J,Input!F:F)</f>
        <v>0</v>
      </c>
      <c r="E16" s="32">
        <f>_xlfn.XLOOKUP(D16,Models!H:H,Models!G:G,D16)</f>
        <v>0</v>
      </c>
      <c r="F16" s="32">
        <f>_xlfn.XLOOKUP(B16,Input!J:J,Input!E:E)</f>
        <v>0</v>
      </c>
      <c r="G16" s="32">
        <f>IF(F16="LENOVO",_xlfn.XLOOKUP(B16,Input!J:J,Input!K:K),_xlfn.XLOOKUP(B16,Input!J:J,Input!L:L))</f>
        <v>0</v>
      </c>
      <c r="H16" s="32"/>
      <c r="I16" s="32"/>
      <c r="J16" s="32">
        <f>_xlfn.XLOOKUP(B16,CPU_Formula!A:A,CPU_Formula!I:I)</f>
        <v>0</v>
      </c>
      <c r="K16" s="42" t="e">
        <f>INDEX(Input!$D$2:$AC$500,
       MATCH(B16, Input!$J$2:$J$500, 0),
       MATCH("Total Memory", Input!$D$1:$AC$1, 0))</f>
        <v>#N/A</v>
      </c>
      <c r="L16" s="42" t="e">
        <f>INDEX(Input!$D$2:$AC$500,
       MATCH(B16, Input!$J$2:$J$500, 0),
       MATCH("Memory Type", Input!$D$1:$AC$1, 0))</f>
        <v>#N/A</v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e">
        <f t="shared" si="2"/>
        <v>#N/A</v>
      </c>
      <c r="O16" s="42" t="e">
        <f>INDEX(Input!$D$2:$AC$500,
       MATCH(B16, Input!$J$2:$J$500, 0),
       MATCH("Disk Interface Type", Input!$D$1:$AC$1, 0))</f>
        <v>#N/A</v>
      </c>
      <c r="P16" s="42" t="str" cm="1">
        <f t="array" ref="P16">IFERROR(_xlfn.TEXTJOIN(", ", TRUE, _xlfn._xlws.FILTER(
    INDEX(Input!$D$2:$AC$500,,MATCH("Disk Capacity",Input!$D$1:$AC$1,0)),
    Input!$J$2:$J$500=B16
)), "")</f>
        <v/>
      </c>
      <c r="Q16" s="32" t="e">
        <f t="shared" si="1"/>
        <v>#N/A</v>
      </c>
      <c r="R16" s="42" t="e">
        <f>_xlfn.LET(_xlpm.Result,INDEX(Input!$D$2:$AC$500,
       MATCH(B16, Input!$J$2:$J$500, 0),
       MATCH("Capacity", Input!$D$1:$AC$1, 0)),IF(_xlpm.Result="","",_xlpm.Result))</f>
        <v>#N/A</v>
      </c>
      <c r="S16" s="42" t="e" cm="1">
        <f t="array" ref="S16">_xlfn.TEXTSPLIT(R16," / ", ,TRUE,0,)</f>
        <v>#N/A</v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:AD16">IFERROR(IF(_xlfn.XLOOKUP(B16,Input!J:J,Input!N:U)=0,"",
          _xlfn.XLOOKUP(B16,Input!J:J,Input!N:U)),"")</f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42" t="str">
        <v/>
      </c>
      <c r="AE16" s="32" t="str">
        <f t="shared" si="0"/>
        <v/>
      </c>
      <c r="AF16" s="32" t="str">
        <f>_xlfn.XLOOKUP(B:B,Disk_Pivot!G:G,Disk_Pivot!I:I)</f>
        <v>Yes x2</v>
      </c>
      <c r="AG16" s="32" t="str">
        <f>_xlfn.XLOOKUP(B16,Disk_Pivot!G:G,Disk_Pivot!N:N)</f>
        <v>Pass, Fail</v>
      </c>
      <c r="AH16" s="32"/>
      <c r="AI16" s="32"/>
      <c r="AJ16" s="32"/>
      <c r="AK16" s="32"/>
      <c r="AL16" s="32"/>
      <c r="AM16" s="32"/>
    </row>
    <row r="17" spans="1:39">
      <c r="A17" s="32" t="str">
        <f>_xlfn.XLOOKUP(B17,Input!J:J,Input!G:G)&amp;""</f>
        <v/>
      </c>
      <c r="B17" s="32"/>
      <c r="C17" s="32" t="str">
        <f>_xlfn.XLOOKUP(B17,Input!J:J,Input!H:H)&amp;""</f>
        <v/>
      </c>
      <c r="D17" s="42">
        <f>_xlfn.XLOOKUP(B17,Input!J:J,Input!F:F)</f>
        <v>0</v>
      </c>
      <c r="E17" s="32">
        <f>_xlfn.XLOOKUP(D17,Models!H:H,Models!G:G,D17)</f>
        <v>0</v>
      </c>
      <c r="F17" s="32">
        <f>_xlfn.XLOOKUP(B17,Input!J:J,Input!E:E)</f>
        <v>0</v>
      </c>
      <c r="G17" s="32">
        <f>IF(F17="LENOVO",_xlfn.XLOOKUP(B17,Input!J:J,Input!K:K),_xlfn.XLOOKUP(B17,Input!J:J,Input!L:L))</f>
        <v>0</v>
      </c>
      <c r="H17" s="32"/>
      <c r="I17" s="32"/>
      <c r="J17" s="32">
        <f>_xlfn.XLOOKUP(B17,CPU_Formula!A:A,CPU_Formula!I:I)</f>
        <v>0</v>
      </c>
      <c r="K17" s="42" t="e">
        <f>INDEX(Input!$D$2:$AC$500,
       MATCH(B17, Input!$J$2:$J$500, 0),
       MATCH("Total Memory", Input!$D$1:$AC$1, 0))</f>
        <v>#N/A</v>
      </c>
      <c r="L17" s="42" t="e">
        <f>INDEX(Input!$D$2:$AC$500,
       MATCH(B17, Input!$J$2:$J$500, 0),
       MATCH("Memory Type", Input!$D$1:$AC$1, 0))</f>
        <v>#N/A</v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e">
        <f t="shared" si="2"/>
        <v>#N/A</v>
      </c>
      <c r="O17" s="42" t="e">
        <f>INDEX(Input!$D$2:$AC$500,
       MATCH(B17, Input!$J$2:$J$500, 0),
       MATCH("Disk Interface Type", Input!$D$1:$AC$1, 0))</f>
        <v>#N/A</v>
      </c>
      <c r="P17" s="42" t="str" cm="1">
        <f t="array" ref="P17">IFERROR(_xlfn.TEXTJOIN(", ", TRUE, _xlfn._xlws.FILTER(
    INDEX(Input!$D$2:$AC$500,,MATCH("Disk Capacity",Input!$D$1:$AC$1,0)),
    Input!$J$2:$J$500=B17
)), "")</f>
        <v/>
      </c>
      <c r="Q17" s="32" t="e">
        <f t="shared" si="1"/>
        <v>#N/A</v>
      </c>
      <c r="R17" s="42" t="e">
        <f>_xlfn.LET(_xlpm.Result,INDEX(Input!$D$2:$AC$500,
       MATCH(B17, Input!$J$2:$J$500, 0),
       MATCH("Capacity", Input!$D$1:$AC$1, 0)),IF(_xlpm.Result="","",_xlpm.Result))</f>
        <v>#N/A</v>
      </c>
      <c r="S17" s="42" t="e" cm="1">
        <f t="array" ref="S17">_xlfn.TEXTSPLIT(R17," / ", ,TRUE,0,)</f>
        <v>#N/A</v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:AD17">IFERROR(IF(_xlfn.XLOOKUP(B17,Input!J:J,Input!N:U)=0,"",
          _xlfn.XLOOKUP(B17,Input!J:J,Input!N:U)),"")</f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42" t="str">
        <v/>
      </c>
      <c r="AE17" s="32" t="str">
        <f t="shared" si="0"/>
        <v/>
      </c>
      <c r="AF17" s="32" t="str">
        <f>_xlfn.XLOOKUP(B:B,Disk_Pivot!G:G,Disk_Pivot!I:I)</f>
        <v>Yes x2</v>
      </c>
      <c r="AG17" s="32" t="str">
        <f>_xlfn.XLOOKUP(B17,Disk_Pivot!G:G,Disk_Pivot!N:N)</f>
        <v>Pass, Fail</v>
      </c>
      <c r="AH17" s="32"/>
      <c r="AI17" s="32"/>
      <c r="AJ17" s="32"/>
      <c r="AK17" s="32"/>
      <c r="AL17" s="32"/>
      <c r="AM17" s="32"/>
    </row>
    <row r="18" spans="1:39">
      <c r="A18" s="32" t="str">
        <f>_xlfn.XLOOKUP(B18,Input!J:J,Input!G:G)&amp;""</f>
        <v/>
      </c>
      <c r="B18" s="32"/>
      <c r="C18" s="32" t="str">
        <f>_xlfn.XLOOKUP(B18,Input!J:J,Input!H:H)&amp;""</f>
        <v/>
      </c>
      <c r="D18" s="42">
        <f>_xlfn.XLOOKUP(B18,Input!J:J,Input!F:F)</f>
        <v>0</v>
      </c>
      <c r="E18" s="32">
        <f>_xlfn.XLOOKUP(D18,Models!H:H,Models!G:G,D18)</f>
        <v>0</v>
      </c>
      <c r="F18" s="32">
        <f>_xlfn.XLOOKUP(B18,Input!J:J,Input!E:E)</f>
        <v>0</v>
      </c>
      <c r="G18" s="32">
        <f>IF(F18="LENOVO",_xlfn.XLOOKUP(B18,Input!J:J,Input!K:K),_xlfn.XLOOKUP(B18,Input!J:J,Input!L:L))</f>
        <v>0</v>
      </c>
      <c r="H18" s="32"/>
      <c r="I18" s="32"/>
      <c r="J18" s="32">
        <f>_xlfn.XLOOKUP(B18,CPU_Formula!A:A,CPU_Formula!I:I)</f>
        <v>0</v>
      </c>
      <c r="K18" s="42" t="e">
        <f>INDEX(Input!$D$2:$AC$500,
       MATCH(B18, Input!$J$2:$J$500, 0),
       MATCH("Total Memory", Input!$D$1:$AC$1, 0))</f>
        <v>#N/A</v>
      </c>
      <c r="L18" s="42" t="e">
        <f>INDEX(Input!$D$2:$AC$500,
       MATCH(B18, Input!$J$2:$J$500, 0),
       MATCH("Memory Type", Input!$D$1:$AC$1, 0))</f>
        <v>#N/A</v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e">
        <f t="shared" si="2"/>
        <v>#N/A</v>
      </c>
      <c r="O18" s="42" t="e">
        <f>INDEX(Input!$D$2:$AC$500,
       MATCH(B18, Input!$J$2:$J$500, 0),
       MATCH("Disk Interface Type", Input!$D$1:$AC$1, 0))</f>
        <v>#N/A</v>
      </c>
      <c r="P18" s="42" t="str" cm="1">
        <f t="array" ref="P18">IFERROR(_xlfn.TEXTJOIN(", ", TRUE, _xlfn._xlws.FILTER(
    INDEX(Input!$D$2:$AC$500,,MATCH("Disk Capacity",Input!$D$1:$AC$1,0)),
    Input!$J$2:$J$500=B18
)), "")</f>
        <v/>
      </c>
      <c r="Q18" s="32" t="e">
        <f t="shared" si="1"/>
        <v>#N/A</v>
      </c>
      <c r="R18" s="42" t="e">
        <f>_xlfn.LET(_xlpm.Result,INDEX(Input!$D$2:$AC$500,
       MATCH(B18, Input!$J$2:$J$500, 0),
       MATCH("Capacity", Input!$D$1:$AC$1, 0)),IF(_xlpm.Result="","",_xlpm.Result))</f>
        <v>#N/A</v>
      </c>
      <c r="S18" s="42" t="e" cm="1">
        <f t="array" ref="S18">_xlfn.TEXTSPLIT(R18," / ", ,TRUE,0,)</f>
        <v>#N/A</v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:AD18">IFERROR(IF(_xlfn.XLOOKUP(B18,Input!J:J,Input!N:U)=0,"",
          _xlfn.XLOOKUP(B18,Input!J:J,Input!N:U)),"")</f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42" t="str">
        <v/>
      </c>
      <c r="AE18" s="32" t="str">
        <f t="shared" si="0"/>
        <v/>
      </c>
      <c r="AF18" s="32" t="str">
        <f>_xlfn.XLOOKUP(B:B,Disk_Pivot!G:G,Disk_Pivot!I:I)</f>
        <v>Yes x2</v>
      </c>
      <c r="AG18" s="32" t="str">
        <f>_xlfn.XLOOKUP(B18,Disk_Pivot!G:G,Disk_Pivot!N:N)</f>
        <v>Pass, Fail</v>
      </c>
      <c r="AH18" s="32"/>
      <c r="AI18" s="32"/>
      <c r="AJ18" s="32"/>
      <c r="AK18" s="32"/>
      <c r="AL18" s="32"/>
      <c r="AM18" s="32"/>
    </row>
    <row r="19" spans="1:39">
      <c r="A19" s="32" t="str">
        <f>_xlfn.XLOOKUP(B19,Input!J:J,Input!G:G)&amp;""</f>
        <v/>
      </c>
      <c r="B19" s="32"/>
      <c r="C19" s="32" t="str">
        <f>_xlfn.XLOOKUP(B19,Input!J:J,Input!H:H)&amp;""</f>
        <v/>
      </c>
      <c r="D19" s="42">
        <f>_xlfn.XLOOKUP(B19,Input!J:J,Input!F:F)</f>
        <v>0</v>
      </c>
      <c r="E19" s="32">
        <f>_xlfn.XLOOKUP(D19,Models!H:H,Models!G:G,D19)</f>
        <v>0</v>
      </c>
      <c r="F19" s="32">
        <f>_xlfn.XLOOKUP(B19,Input!J:J,Input!E:E)</f>
        <v>0</v>
      </c>
      <c r="G19" s="32">
        <f>IF(F19="LENOVO",_xlfn.XLOOKUP(B19,Input!J:J,Input!K:K),_xlfn.XLOOKUP(B19,Input!J:J,Input!L:L))</f>
        <v>0</v>
      </c>
      <c r="H19" s="32"/>
      <c r="I19" s="32"/>
      <c r="J19" s="32">
        <f>_xlfn.XLOOKUP(B19,CPU_Formula!A:A,CPU_Formula!I:I)</f>
        <v>0</v>
      </c>
      <c r="K19" s="42" t="e">
        <f>INDEX(Input!$D$2:$AC$500,
       MATCH(B19, Input!$J$2:$J$500, 0),
       MATCH("Total Memory", Input!$D$1:$AC$1, 0))</f>
        <v>#N/A</v>
      </c>
      <c r="L19" s="42" t="e">
        <f>INDEX(Input!$D$2:$AC$500,
       MATCH(B19, Input!$J$2:$J$500, 0),
       MATCH("Memory Type", Input!$D$1:$AC$1, 0))</f>
        <v>#N/A</v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e">
        <f t="shared" si="2"/>
        <v>#N/A</v>
      </c>
      <c r="O19" s="42" t="e">
        <f>INDEX(Input!$D$2:$AC$500,
       MATCH(B19, Input!$J$2:$J$500, 0),
       MATCH("Disk Interface Type", Input!$D$1:$AC$1, 0))</f>
        <v>#N/A</v>
      </c>
      <c r="P19" s="42" t="str" cm="1">
        <f t="array" ref="P19">IFERROR(_xlfn.TEXTJOIN(", ", TRUE, _xlfn._xlws.FILTER(
    INDEX(Input!$D$2:$AC$500,,MATCH("Disk Capacity",Input!$D$1:$AC$1,0)),
    Input!$J$2:$J$500=B19
)), "")</f>
        <v/>
      </c>
      <c r="Q19" s="32" t="e">
        <f t="shared" si="1"/>
        <v>#N/A</v>
      </c>
      <c r="R19" s="42" t="e">
        <f>_xlfn.LET(_xlpm.Result,INDEX(Input!$D$2:$AC$500,
       MATCH(B19, Input!$J$2:$J$500, 0),
       MATCH("Capacity", Input!$D$1:$AC$1, 0)),IF(_xlpm.Result="","",_xlpm.Result))</f>
        <v>#N/A</v>
      </c>
      <c r="S19" s="42" t="e" cm="1">
        <f t="array" ref="S19">_xlfn.TEXTSPLIT(R19," / ", ,TRUE,0,)</f>
        <v>#N/A</v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:AD19">IFERROR(IF(_xlfn.XLOOKUP(B19,Input!J:J,Input!N:U)=0,"",
          _xlfn.XLOOKUP(B19,Input!J:J,Input!N:U)),"")</f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42" t="str">
        <v/>
      </c>
      <c r="AE19" s="32" t="str">
        <f t="shared" si="0"/>
        <v/>
      </c>
      <c r="AF19" s="32" t="str">
        <f>_xlfn.XLOOKUP(B:B,Disk_Pivot!G:G,Disk_Pivot!I:I)</f>
        <v>Yes x2</v>
      </c>
      <c r="AG19" s="32" t="str">
        <f>_xlfn.XLOOKUP(B19,Disk_Pivot!G:G,Disk_Pivot!N:N)</f>
        <v>Pass, Fail</v>
      </c>
      <c r="AH19" s="32"/>
      <c r="AI19" s="32"/>
      <c r="AJ19" s="32"/>
      <c r="AK19" s="32"/>
      <c r="AL19" s="32"/>
      <c r="AM19" s="32"/>
    </row>
    <row r="20" spans="1:39">
      <c r="A20" s="32" t="str">
        <f>_xlfn.XLOOKUP(B20,Input!J:J,Input!G:G)&amp;""</f>
        <v/>
      </c>
      <c r="B20" s="32"/>
      <c r="C20" s="32" t="str">
        <f>_xlfn.XLOOKUP(B20,Input!J:J,Input!H:H)&amp;""</f>
        <v/>
      </c>
      <c r="D20" s="42">
        <f>_xlfn.XLOOKUP(B20,Input!J:J,Input!F:F)</f>
        <v>0</v>
      </c>
      <c r="E20" s="32">
        <f>_xlfn.XLOOKUP(D20,Models!H:H,Models!G:G,D20)</f>
        <v>0</v>
      </c>
      <c r="F20" s="32">
        <f>_xlfn.XLOOKUP(B20,Input!J:J,Input!E:E)</f>
        <v>0</v>
      </c>
      <c r="G20" s="32">
        <f>IF(F20="LENOVO",_xlfn.XLOOKUP(B20,Input!J:J,Input!K:K),_xlfn.XLOOKUP(B20,Input!J:J,Input!L:L))</f>
        <v>0</v>
      </c>
      <c r="H20" s="32"/>
      <c r="I20" s="32"/>
      <c r="J20" s="32">
        <f>_xlfn.XLOOKUP(B20,CPU_Formula!A:A,CPU_Formula!I:I)</f>
        <v>0</v>
      </c>
      <c r="K20" s="42" t="e">
        <f>INDEX(Input!$D$2:$AC$500,
       MATCH(B20, Input!$J$2:$J$500, 0),
       MATCH("Total Memory", Input!$D$1:$AC$1, 0))</f>
        <v>#N/A</v>
      </c>
      <c r="L20" s="42" t="e">
        <f>INDEX(Input!$D$2:$AC$500,
       MATCH(B20, Input!$J$2:$J$500, 0),
       MATCH("Memory Type", Input!$D$1:$AC$1, 0))</f>
        <v>#N/A</v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e">
        <f t="shared" si="2"/>
        <v>#N/A</v>
      </c>
      <c r="O20" s="42" t="e">
        <f>INDEX(Input!$D$2:$AC$500,
       MATCH(B20, Input!$J$2:$J$500, 0),
       MATCH("Disk Interface Type", Input!$D$1:$AC$1, 0))</f>
        <v>#N/A</v>
      </c>
      <c r="P20" s="42" t="str" cm="1">
        <f t="array" ref="P20">IFERROR(_xlfn.TEXTJOIN(", ", TRUE, _xlfn._xlws.FILTER(
    INDEX(Input!$D$2:$AC$500,,MATCH("Disk Capacity",Input!$D$1:$AC$1,0)),
    Input!$J$2:$J$500=B20
)), "")</f>
        <v/>
      </c>
      <c r="Q20" s="32" t="e">
        <f t="shared" si="1"/>
        <v>#N/A</v>
      </c>
      <c r="R20" s="42" t="e">
        <f>_xlfn.LET(_xlpm.Result,INDEX(Input!$D$2:$AC$500,
       MATCH(B20, Input!$J$2:$J$500, 0),
       MATCH("Capacity", Input!$D$1:$AC$1, 0)),IF(_xlpm.Result="","",_xlpm.Result))</f>
        <v>#N/A</v>
      </c>
      <c r="S20" s="42" t="e" cm="1">
        <f t="array" ref="S20">_xlfn.TEXTSPLIT(R20," / ", ,TRUE,0,)</f>
        <v>#N/A</v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:AD20">IFERROR(IF(_xlfn.XLOOKUP(B20,Input!J:J,Input!N:U)=0,"",
          _xlfn.XLOOKUP(B20,Input!J:J,Input!N:U)),"")</f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42" t="str">
        <v/>
      </c>
      <c r="AE20" s="32" t="str">
        <f t="shared" si="0"/>
        <v/>
      </c>
      <c r="AF20" s="32" t="str">
        <f>_xlfn.XLOOKUP(B:B,Disk_Pivot!G:G,Disk_Pivot!I:I)</f>
        <v>Yes x2</v>
      </c>
      <c r="AG20" s="32" t="str">
        <f>_xlfn.XLOOKUP(B20,Disk_Pivot!G:G,Disk_Pivot!N:N)</f>
        <v>Pass, Fail</v>
      </c>
      <c r="AH20" s="32"/>
      <c r="AI20" s="32"/>
      <c r="AJ20" s="32"/>
      <c r="AK20" s="32"/>
      <c r="AL20" s="32"/>
      <c r="AM20" s="32"/>
    </row>
    <row r="21" spans="1:39">
      <c r="A21" s="32" t="str">
        <f>_xlfn.XLOOKUP(B21,Input!J:J,Input!G:G)&amp;""</f>
        <v/>
      </c>
      <c r="B21" s="32"/>
      <c r="C21" s="32" t="str">
        <f>_xlfn.XLOOKUP(B21,Input!J:J,Input!H:H)&amp;""</f>
        <v/>
      </c>
      <c r="D21" s="42">
        <f>_xlfn.XLOOKUP(B21,Input!J:J,Input!F:F)</f>
        <v>0</v>
      </c>
      <c r="E21" s="32">
        <f>_xlfn.XLOOKUP(D21,Models!H:H,Models!G:G,D21)</f>
        <v>0</v>
      </c>
      <c r="F21" s="32">
        <f>_xlfn.XLOOKUP(B21,Input!J:J,Input!E:E)</f>
        <v>0</v>
      </c>
      <c r="G21" s="32">
        <f>IF(F21="LENOVO",_xlfn.XLOOKUP(B21,Input!J:J,Input!K:K),_xlfn.XLOOKUP(B21,Input!J:J,Input!L:L))</f>
        <v>0</v>
      </c>
      <c r="H21" s="32"/>
      <c r="I21" s="32"/>
      <c r="J21" s="32">
        <f>_xlfn.XLOOKUP(B21,CPU_Formula!A:A,CPU_Formula!I:I)</f>
        <v>0</v>
      </c>
      <c r="K21" s="42" t="e">
        <f>INDEX(Input!$D$2:$AC$500,
       MATCH(B21, Input!$J$2:$J$500, 0),
       MATCH("Total Memory", Input!$D$1:$AC$1, 0))</f>
        <v>#N/A</v>
      </c>
      <c r="L21" s="42" t="e">
        <f>INDEX(Input!$D$2:$AC$500,
       MATCH(B21, Input!$J$2:$J$500, 0),
       MATCH("Memory Type", Input!$D$1:$AC$1, 0))</f>
        <v>#N/A</v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e">
        <f t="shared" si="2"/>
        <v>#N/A</v>
      </c>
      <c r="O21" s="42" t="e">
        <f>INDEX(Input!$D$2:$AC$500,
       MATCH(B21, Input!$J$2:$J$500, 0),
       MATCH("Disk Interface Type", Input!$D$1:$AC$1, 0))</f>
        <v>#N/A</v>
      </c>
      <c r="P21" s="42" t="str" cm="1">
        <f t="array" ref="P21">IFERROR(_xlfn.TEXTJOIN(", ", TRUE, _xlfn._xlws.FILTER(
    INDEX(Input!$D$2:$AC$500,,MATCH("Disk Capacity",Input!$D$1:$AC$1,0)),
    Input!$J$2:$J$500=B21
)), "")</f>
        <v/>
      </c>
      <c r="Q21" s="32" t="e">
        <f t="shared" si="1"/>
        <v>#N/A</v>
      </c>
      <c r="R21" s="42" t="e">
        <f>_xlfn.LET(_xlpm.Result,INDEX(Input!$D$2:$AC$500,
       MATCH(B21, Input!$J$2:$J$500, 0),
       MATCH("Capacity", Input!$D$1:$AC$1, 0)),IF(_xlpm.Result="","",_xlpm.Result))</f>
        <v>#N/A</v>
      </c>
      <c r="S21" s="42" t="e" cm="1">
        <f t="array" ref="S21">_xlfn.TEXTSPLIT(R21," / ", ,TRUE,0,)</f>
        <v>#N/A</v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:AD21">IFERROR(IF(_xlfn.XLOOKUP(B21,Input!J:J,Input!N:U)=0,"",
          _xlfn.XLOOKUP(B21,Input!J:J,Input!N:U)),"")</f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42" t="str">
        <v/>
      </c>
      <c r="AE21" s="32" t="str">
        <f t="shared" si="0"/>
        <v/>
      </c>
      <c r="AF21" s="32" t="str">
        <f>_xlfn.XLOOKUP(B:B,Disk_Pivot!G:G,Disk_Pivot!I:I)</f>
        <v>Yes x2</v>
      </c>
      <c r="AG21" s="32" t="str">
        <f>_xlfn.XLOOKUP(B21,Disk_Pivot!G:G,Disk_Pivot!N:N)</f>
        <v>Pass, Fail</v>
      </c>
      <c r="AH21" s="32"/>
      <c r="AI21" s="32"/>
      <c r="AJ21" s="32"/>
      <c r="AK21" s="32"/>
      <c r="AL21" s="32"/>
      <c r="AM21" s="32"/>
    </row>
    <row r="22" spans="1:39">
      <c r="A22" s="32" t="str">
        <f>_xlfn.XLOOKUP(B22,Input!J:J,Input!G:G)&amp;""</f>
        <v/>
      </c>
      <c r="B22" s="32"/>
      <c r="C22" s="32" t="str">
        <f>_xlfn.XLOOKUP(B22,Input!J:J,Input!H:H)&amp;""</f>
        <v/>
      </c>
      <c r="D22" s="42">
        <f>_xlfn.XLOOKUP(B22,Input!J:J,Input!F:F)</f>
        <v>0</v>
      </c>
      <c r="E22" s="32">
        <f>_xlfn.XLOOKUP(D22,Models!H:H,Models!G:G,D22)</f>
        <v>0</v>
      </c>
      <c r="F22" s="32">
        <f>_xlfn.XLOOKUP(B22,Input!J:J,Input!E:E)</f>
        <v>0</v>
      </c>
      <c r="G22" s="32">
        <f>IF(F22="LENOVO",_xlfn.XLOOKUP(B22,Input!J:J,Input!K:K),_xlfn.XLOOKUP(B22,Input!J:J,Input!L:L))</f>
        <v>0</v>
      </c>
      <c r="H22" s="32"/>
      <c r="I22" s="32"/>
      <c r="J22" s="32">
        <f>_xlfn.XLOOKUP(B22,CPU_Formula!A:A,CPU_Formula!I:I)</f>
        <v>0</v>
      </c>
      <c r="K22" s="42" t="e">
        <f>INDEX(Input!$D$2:$AC$500,
       MATCH(B22, Input!$J$2:$J$500, 0),
       MATCH("Total Memory", Input!$D$1:$AC$1, 0))</f>
        <v>#N/A</v>
      </c>
      <c r="L22" s="42" t="e">
        <f>INDEX(Input!$D$2:$AC$500,
       MATCH(B22, Input!$J$2:$J$500, 0),
       MATCH("Memory Type", Input!$D$1:$AC$1, 0))</f>
        <v>#N/A</v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e">
        <f t="shared" si="2"/>
        <v>#N/A</v>
      </c>
      <c r="O22" s="42" t="e">
        <f>INDEX(Input!$D$2:$AC$500,
       MATCH(B22, Input!$J$2:$J$500, 0),
       MATCH("Disk Interface Type", Input!$D$1:$AC$1, 0))</f>
        <v>#N/A</v>
      </c>
      <c r="P22" s="42" t="str" cm="1">
        <f t="array" ref="P22">IFERROR(_xlfn.TEXTJOIN(", ", TRUE, _xlfn._xlws.FILTER(
    INDEX(Input!$D$2:$AC$500,,MATCH("Disk Capacity",Input!$D$1:$AC$1,0)),
    Input!$J$2:$J$500=B22
)), "")</f>
        <v/>
      </c>
      <c r="Q22" s="32" t="e">
        <f t="shared" si="1"/>
        <v>#N/A</v>
      </c>
      <c r="R22" s="42" t="e">
        <f>_xlfn.LET(_xlpm.Result,INDEX(Input!$D$2:$AC$500,
       MATCH(B22, Input!$J$2:$J$500, 0),
       MATCH("Capacity", Input!$D$1:$AC$1, 0)),IF(_xlpm.Result="","",_xlpm.Result))</f>
        <v>#N/A</v>
      </c>
      <c r="S22" s="42" t="e" cm="1">
        <f t="array" ref="S22">_xlfn.TEXTSPLIT(R22," / ", ,TRUE,0,)</f>
        <v>#N/A</v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:AD22">IFERROR(IF(_xlfn.XLOOKUP(B22,Input!J:J,Input!N:U)=0,"",
          _xlfn.XLOOKUP(B22,Input!J:J,Input!N:U)),"")</f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42" t="str">
        <v/>
      </c>
      <c r="AE22" s="32" t="str">
        <f t="shared" si="0"/>
        <v/>
      </c>
      <c r="AF22" s="32" t="str">
        <f>_xlfn.XLOOKUP(B:B,Disk_Pivot!G:G,Disk_Pivot!I:I)</f>
        <v>Yes x2</v>
      </c>
      <c r="AG22" s="32" t="str">
        <f>_xlfn.XLOOKUP(B22,Disk_Pivot!G:G,Disk_Pivot!N:N)</f>
        <v>Pass, Fail</v>
      </c>
      <c r="AH22" s="32"/>
      <c r="AI22" s="32"/>
      <c r="AJ22" s="32"/>
      <c r="AK22" s="32"/>
      <c r="AL22" s="32"/>
      <c r="AM22" s="32"/>
    </row>
    <row r="23" spans="1:39">
      <c r="A23" s="32" t="str">
        <f>_xlfn.XLOOKUP(B23,Input!J:J,Input!G:G)&amp;""</f>
        <v/>
      </c>
      <c r="B23" s="32"/>
      <c r="C23" s="32" t="str">
        <f>_xlfn.XLOOKUP(B23,Input!J:J,Input!H:H)&amp;""</f>
        <v/>
      </c>
      <c r="D23" s="42">
        <f>_xlfn.XLOOKUP(B23,Input!J:J,Input!F:F)</f>
        <v>0</v>
      </c>
      <c r="E23" s="32">
        <f>_xlfn.XLOOKUP(D23,Models!H:H,Models!G:G,D23)</f>
        <v>0</v>
      </c>
      <c r="F23" s="32">
        <f>_xlfn.XLOOKUP(B23,Input!J:J,Input!E:E)</f>
        <v>0</v>
      </c>
      <c r="G23" s="32">
        <f>IF(F23="LENOVO",_xlfn.XLOOKUP(B23,Input!J:J,Input!K:K),_xlfn.XLOOKUP(B23,Input!J:J,Input!L:L))</f>
        <v>0</v>
      </c>
      <c r="H23" s="32"/>
      <c r="I23" s="32"/>
      <c r="J23" s="32">
        <f>_xlfn.XLOOKUP(B23,CPU_Formula!A:A,CPU_Formula!I:I)</f>
        <v>0</v>
      </c>
      <c r="K23" s="42" t="e">
        <f>INDEX(Input!$D$2:$AC$500,
       MATCH(B23, Input!$J$2:$J$500, 0),
       MATCH("Total Memory", Input!$D$1:$AC$1, 0))</f>
        <v>#N/A</v>
      </c>
      <c r="L23" s="42" t="e">
        <f>INDEX(Input!$D$2:$AC$500,
       MATCH(B23, Input!$J$2:$J$500, 0),
       MATCH("Memory Type", Input!$D$1:$AC$1, 0))</f>
        <v>#N/A</v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e">
        <f t="shared" si="2"/>
        <v>#N/A</v>
      </c>
      <c r="O23" s="42" t="e">
        <f>INDEX(Input!$D$2:$AC$500,
       MATCH(B23, Input!$J$2:$J$500, 0),
       MATCH("Disk Interface Type", Input!$D$1:$AC$1, 0))</f>
        <v>#N/A</v>
      </c>
      <c r="P23" s="42" t="str" cm="1">
        <f t="array" ref="P23">IFERROR(_xlfn.TEXTJOIN(", ", TRUE, _xlfn._xlws.FILTER(
    INDEX(Input!$D$2:$AC$500,,MATCH("Disk Capacity",Input!$D$1:$AC$1,0)),
    Input!$J$2:$J$500=B23
)), "")</f>
        <v/>
      </c>
      <c r="Q23" s="32" t="e">
        <f t="shared" si="1"/>
        <v>#N/A</v>
      </c>
      <c r="R23" s="42" t="e">
        <f>_xlfn.LET(_xlpm.Result,INDEX(Input!$D$2:$AC$500,
       MATCH(B23, Input!$J$2:$J$500, 0),
       MATCH("Capacity", Input!$D$1:$AC$1, 0)),IF(_xlpm.Result="","",_xlpm.Result))</f>
        <v>#N/A</v>
      </c>
      <c r="S23" s="42" t="e" cm="1">
        <f t="array" ref="S23">_xlfn.TEXTSPLIT(R23," / ", ,TRUE,0,)</f>
        <v>#N/A</v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:AD23">IFERROR(IF(_xlfn.XLOOKUP(B23,Input!J:J,Input!N:U)=0,"",
          _xlfn.XLOOKUP(B23,Input!J:J,Input!N:U)),"")</f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42" t="str">
        <v/>
      </c>
      <c r="AE23" s="32" t="str">
        <f t="shared" si="0"/>
        <v/>
      </c>
      <c r="AF23" s="32" t="str">
        <f>_xlfn.XLOOKUP(B:B,Disk_Pivot!G:G,Disk_Pivot!I:I)</f>
        <v>Yes x2</v>
      </c>
      <c r="AG23" s="32" t="str">
        <f>_xlfn.XLOOKUP(B23,Disk_Pivot!G:G,Disk_Pivot!N:N)</f>
        <v>Pass, Fail</v>
      </c>
      <c r="AH23" s="32"/>
      <c r="AI23" s="32"/>
      <c r="AJ23" s="32"/>
      <c r="AK23" s="32"/>
      <c r="AL23" s="32"/>
      <c r="AM23" s="32"/>
    </row>
    <row r="24" spans="1:39">
      <c r="A24" s="32" t="str">
        <f>_xlfn.XLOOKUP(B24,Input!J:J,Input!G:G)&amp;""</f>
        <v/>
      </c>
      <c r="B24" s="32"/>
      <c r="C24" s="32" t="str">
        <f>_xlfn.XLOOKUP(B24,Input!J:J,Input!H:H)&amp;""</f>
        <v/>
      </c>
      <c r="D24" s="42">
        <f>_xlfn.XLOOKUP(B24,Input!J:J,Input!F:F)</f>
        <v>0</v>
      </c>
      <c r="E24" s="32">
        <f>_xlfn.XLOOKUP(D24,Models!H:H,Models!G:G,D24)</f>
        <v>0</v>
      </c>
      <c r="F24" s="32">
        <f>_xlfn.XLOOKUP(B24,Input!J:J,Input!E:E)</f>
        <v>0</v>
      </c>
      <c r="G24" s="32">
        <f>IF(F24="LENOVO",_xlfn.XLOOKUP(B24,Input!J:J,Input!K:K),_xlfn.XLOOKUP(B24,Input!J:J,Input!L:L))</f>
        <v>0</v>
      </c>
      <c r="H24" s="32"/>
      <c r="I24" s="32"/>
      <c r="J24" s="32">
        <f>_xlfn.XLOOKUP(B24,CPU_Formula!A:A,CPU_Formula!I:I)</f>
        <v>0</v>
      </c>
      <c r="K24" s="42" t="e">
        <f>INDEX(Input!$D$2:$AC$500,
       MATCH(B24, Input!$J$2:$J$500, 0),
       MATCH("Total Memory", Input!$D$1:$AC$1, 0))</f>
        <v>#N/A</v>
      </c>
      <c r="L24" s="42" t="e">
        <f>INDEX(Input!$D$2:$AC$500,
       MATCH(B24, Input!$J$2:$J$500, 0),
       MATCH("Memory Type", Input!$D$1:$AC$1, 0))</f>
        <v>#N/A</v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e">
        <f t="shared" si="2"/>
        <v>#N/A</v>
      </c>
      <c r="O24" s="42" t="e">
        <f>INDEX(Input!$D$2:$AC$500,
       MATCH(B24, Input!$J$2:$J$500, 0),
       MATCH("Disk Interface Type", Input!$D$1:$AC$1, 0))</f>
        <v>#N/A</v>
      </c>
      <c r="P24" s="42" t="str" cm="1">
        <f t="array" ref="P24">IFERROR(_xlfn.TEXTJOIN(", ", TRUE, _xlfn._xlws.FILTER(
    INDEX(Input!$D$2:$AC$500,,MATCH("Disk Capacity",Input!$D$1:$AC$1,0)),
    Input!$J$2:$J$500=B24
)), "")</f>
        <v/>
      </c>
      <c r="Q24" s="32" t="e">
        <f t="shared" si="1"/>
        <v>#N/A</v>
      </c>
      <c r="R24" s="42" t="e">
        <f>_xlfn.LET(_xlpm.Result,INDEX(Input!$D$2:$AC$500,
       MATCH(B24, Input!$J$2:$J$500, 0),
       MATCH("Capacity", Input!$D$1:$AC$1, 0)),IF(_xlpm.Result="","",_xlpm.Result))</f>
        <v>#N/A</v>
      </c>
      <c r="S24" s="42" t="e" cm="1">
        <f t="array" ref="S24">_xlfn.TEXTSPLIT(R24," / ", ,TRUE,0,)</f>
        <v>#N/A</v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:AD24">IFERROR(IF(_xlfn.XLOOKUP(B24,Input!J:J,Input!N:U)=0,"",
          _xlfn.XLOOKUP(B24,Input!J:J,Input!N:U)),"")</f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42" t="str">
        <v/>
      </c>
      <c r="AE24" s="32" t="str">
        <f t="shared" si="0"/>
        <v/>
      </c>
      <c r="AF24" s="32" t="str">
        <f>_xlfn.XLOOKUP(B:B,Disk_Pivot!G:G,Disk_Pivot!I:I)</f>
        <v>Yes x2</v>
      </c>
      <c r="AG24" s="32" t="str">
        <f>_xlfn.XLOOKUP(B24,Disk_Pivot!G:G,Disk_Pivot!N:N)</f>
        <v>Pass, Fail</v>
      </c>
      <c r="AH24" s="32"/>
      <c r="AI24" s="32"/>
      <c r="AJ24" s="32"/>
      <c r="AK24" s="32"/>
      <c r="AL24" s="32"/>
      <c r="AM24" s="32"/>
    </row>
    <row r="25" spans="1:39">
      <c r="A25" s="32" t="str">
        <f>_xlfn.XLOOKUP(B25,Input!J:J,Input!G:G)&amp;""</f>
        <v/>
      </c>
      <c r="B25" s="32"/>
      <c r="C25" s="32" t="str">
        <f>_xlfn.XLOOKUP(B25,Input!J:J,Input!H:H)&amp;""</f>
        <v/>
      </c>
      <c r="D25" s="42">
        <f>_xlfn.XLOOKUP(B25,Input!J:J,Input!F:F)</f>
        <v>0</v>
      </c>
      <c r="E25" s="32">
        <f>_xlfn.XLOOKUP(D25,Models!H:H,Models!G:G,D25)</f>
        <v>0</v>
      </c>
      <c r="F25" s="32">
        <f>_xlfn.XLOOKUP(B25,Input!J:J,Input!E:E)</f>
        <v>0</v>
      </c>
      <c r="G25" s="32">
        <f>IF(F25="LENOVO",_xlfn.XLOOKUP(B25,Input!J:J,Input!K:K),_xlfn.XLOOKUP(B25,Input!J:J,Input!L:L))</f>
        <v>0</v>
      </c>
      <c r="H25" s="32"/>
      <c r="I25" s="32"/>
      <c r="J25" s="32">
        <f>_xlfn.XLOOKUP(B25,CPU_Formula!A:A,CPU_Formula!I:I)</f>
        <v>0</v>
      </c>
      <c r="K25" s="42" t="e">
        <f>INDEX(Input!$D$2:$AC$500,
       MATCH(B25, Input!$J$2:$J$500, 0),
       MATCH("Total Memory", Input!$D$1:$AC$1, 0))</f>
        <v>#N/A</v>
      </c>
      <c r="L25" s="42" t="e">
        <f>INDEX(Input!$D$2:$AC$500,
       MATCH(B25, Input!$J$2:$J$500, 0),
       MATCH("Memory Type", Input!$D$1:$AC$1, 0))</f>
        <v>#N/A</v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e">
        <f t="shared" si="2"/>
        <v>#N/A</v>
      </c>
      <c r="O25" s="42" t="e">
        <f>INDEX(Input!$D$2:$AC$500,
       MATCH(B25, Input!$J$2:$J$500, 0),
       MATCH("Disk Interface Type", Input!$D$1:$AC$1, 0))</f>
        <v>#N/A</v>
      </c>
      <c r="P25" s="42" t="str" cm="1">
        <f t="array" ref="P25">IFERROR(_xlfn.TEXTJOIN(", ", TRUE, _xlfn._xlws.FILTER(
    INDEX(Input!$D$2:$AC$500,,MATCH("Disk Capacity",Input!$D$1:$AC$1,0)),
    Input!$J$2:$J$500=B25
)), "")</f>
        <v/>
      </c>
      <c r="Q25" s="32" t="e">
        <f t="shared" si="1"/>
        <v>#N/A</v>
      </c>
      <c r="R25" s="42" t="e">
        <f>_xlfn.LET(_xlpm.Result,INDEX(Input!$D$2:$AC$500,
       MATCH(B25, Input!$J$2:$J$500, 0),
       MATCH("Capacity", Input!$D$1:$AC$1, 0)),IF(_xlpm.Result="","",_xlpm.Result))</f>
        <v>#N/A</v>
      </c>
      <c r="S25" s="42" t="e" cm="1">
        <f t="array" ref="S25">_xlfn.TEXTSPLIT(R25," / ", ,TRUE,0,)</f>
        <v>#N/A</v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:AD25">IFERROR(IF(_xlfn.XLOOKUP(B25,Input!J:J,Input!N:U)=0,"",
          _xlfn.XLOOKUP(B25,Input!J:J,Input!N:U)),"")</f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42" t="str">
        <v/>
      </c>
      <c r="AE25" s="32" t="str">
        <f t="shared" si="0"/>
        <v/>
      </c>
      <c r="AF25" s="32" t="str">
        <f>_xlfn.XLOOKUP(B:B,Disk_Pivot!G:G,Disk_Pivot!I:I)</f>
        <v>Yes x2</v>
      </c>
      <c r="AG25" s="32" t="str">
        <f>_xlfn.XLOOKUP(B25,Disk_Pivot!G:G,Disk_Pivot!N:N)</f>
        <v>Pass, Fail</v>
      </c>
      <c r="AH25" s="32"/>
      <c r="AI25" s="32"/>
      <c r="AJ25" s="32"/>
      <c r="AK25" s="32"/>
      <c r="AL25" s="32"/>
      <c r="AM25" s="32"/>
    </row>
    <row r="26" spans="1:39">
      <c r="A26" s="32" t="str">
        <f>_xlfn.XLOOKUP(B26,Input!J:J,Input!G:G)&amp;""</f>
        <v/>
      </c>
      <c r="B26" s="32"/>
      <c r="C26" s="32" t="str">
        <f>_xlfn.XLOOKUP(B26,Input!J:J,Input!H:H)&amp;""</f>
        <v/>
      </c>
      <c r="D26" s="42">
        <f>_xlfn.XLOOKUP(B26,Input!J:J,Input!F:F)</f>
        <v>0</v>
      </c>
      <c r="E26" s="32">
        <f>_xlfn.XLOOKUP(D26,Models!H:H,Models!G:G,D26)</f>
        <v>0</v>
      </c>
      <c r="F26" s="32">
        <f>_xlfn.XLOOKUP(B26,Input!J:J,Input!E:E)</f>
        <v>0</v>
      </c>
      <c r="G26" s="32">
        <f>IF(F26="LENOVO",_xlfn.XLOOKUP(B26,Input!J:J,Input!K:K),_xlfn.XLOOKUP(B26,Input!J:J,Input!L:L))</f>
        <v>0</v>
      </c>
      <c r="H26" s="32"/>
      <c r="I26" s="32"/>
      <c r="J26" s="32">
        <f>_xlfn.XLOOKUP(B26,CPU_Formula!A:A,CPU_Formula!I:I)</f>
        <v>0</v>
      </c>
      <c r="K26" s="42" t="e">
        <f>INDEX(Input!$D$2:$AC$500,
       MATCH(B26, Input!$J$2:$J$500, 0),
       MATCH("Total Memory", Input!$D$1:$AC$1, 0))</f>
        <v>#N/A</v>
      </c>
      <c r="L26" s="42" t="e">
        <f>INDEX(Input!$D$2:$AC$500,
       MATCH(B26, Input!$J$2:$J$500, 0),
       MATCH("Memory Type", Input!$D$1:$AC$1, 0))</f>
        <v>#N/A</v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e">
        <f t="shared" si="2"/>
        <v>#N/A</v>
      </c>
      <c r="O26" s="42" t="e">
        <f>INDEX(Input!$D$2:$AC$500,
       MATCH(B26, Input!$J$2:$J$500, 0),
       MATCH("Disk Interface Type", Input!$D$1:$AC$1, 0))</f>
        <v>#N/A</v>
      </c>
      <c r="P26" s="42" t="str" cm="1">
        <f t="array" ref="P26">IFERROR(_xlfn.TEXTJOIN(", ", TRUE, _xlfn._xlws.FILTER(
    INDEX(Input!$D$2:$AC$500,,MATCH("Disk Capacity",Input!$D$1:$AC$1,0)),
    Input!$J$2:$J$500=B26
)), "")</f>
        <v/>
      </c>
      <c r="Q26" s="32" t="e">
        <f t="shared" si="1"/>
        <v>#N/A</v>
      </c>
      <c r="R26" s="42" t="e">
        <f>_xlfn.LET(_xlpm.Result,INDEX(Input!$D$2:$AC$500,
       MATCH(B26, Input!$J$2:$J$500, 0),
       MATCH("Capacity", Input!$D$1:$AC$1, 0)),IF(_xlpm.Result="","",_xlpm.Result))</f>
        <v>#N/A</v>
      </c>
      <c r="S26" s="42" t="e" cm="1">
        <f t="array" ref="S26">_xlfn.TEXTSPLIT(R26," / ", ,TRUE,0,)</f>
        <v>#N/A</v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:AD26">IFERROR(IF(_xlfn.XLOOKUP(B26,Input!J:J,Input!N:U)=0,"",
          _xlfn.XLOOKUP(B26,Input!J:J,Input!N:U)),"")</f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42" t="str">
        <v/>
      </c>
      <c r="AE26" s="32" t="str">
        <f t="shared" si="0"/>
        <v/>
      </c>
      <c r="AF26" s="32" t="str">
        <f>_xlfn.XLOOKUP(B:B,Disk_Pivot!G:G,Disk_Pivot!I:I)</f>
        <v>Yes x2</v>
      </c>
      <c r="AG26" s="32" t="str">
        <f>_xlfn.XLOOKUP(B26,Disk_Pivot!G:G,Disk_Pivot!N:N)</f>
        <v>Pass, Fail</v>
      </c>
      <c r="AH26" s="32"/>
      <c r="AI26" s="32"/>
      <c r="AJ26" s="32"/>
      <c r="AK26" s="32"/>
      <c r="AL26" s="32"/>
      <c r="AM26" s="32"/>
    </row>
    <row r="27" spans="1:39">
      <c r="A27" s="32" t="str">
        <f>_xlfn.XLOOKUP(B27,Input!J:J,Input!G:G)&amp;""</f>
        <v/>
      </c>
      <c r="B27" s="32"/>
      <c r="C27" s="32" t="str">
        <f>_xlfn.XLOOKUP(B27,Input!J:J,Input!H:H)&amp;""</f>
        <v/>
      </c>
      <c r="D27" s="42">
        <f>_xlfn.XLOOKUP(B27,Input!J:J,Input!F:F)</f>
        <v>0</v>
      </c>
      <c r="E27" s="32">
        <f>_xlfn.XLOOKUP(D27,Models!H:H,Models!G:G,D27)</f>
        <v>0</v>
      </c>
      <c r="F27" s="32">
        <f>_xlfn.XLOOKUP(B27,Input!J:J,Input!E:E)</f>
        <v>0</v>
      </c>
      <c r="G27" s="32">
        <f>IF(F27="LENOVO",_xlfn.XLOOKUP(B27,Input!J:J,Input!K:K),_xlfn.XLOOKUP(B27,Input!J:J,Input!L:L))</f>
        <v>0</v>
      </c>
      <c r="H27" s="32"/>
      <c r="I27" s="32"/>
      <c r="J27" s="32">
        <f>_xlfn.XLOOKUP(B27,CPU_Formula!A:A,CPU_Formula!I:I)</f>
        <v>0</v>
      </c>
      <c r="K27" s="42" t="e">
        <f>INDEX(Input!$D$2:$AC$500,
       MATCH(B27, Input!$J$2:$J$500, 0),
       MATCH("Total Memory", Input!$D$1:$AC$1, 0))</f>
        <v>#N/A</v>
      </c>
      <c r="L27" s="42" t="e">
        <f>INDEX(Input!$D$2:$AC$500,
       MATCH(B27, Input!$J$2:$J$500, 0),
       MATCH("Memory Type", Input!$D$1:$AC$1, 0))</f>
        <v>#N/A</v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e">
        <f t="shared" si="2"/>
        <v>#N/A</v>
      </c>
      <c r="O27" s="42" t="e">
        <f>INDEX(Input!$D$2:$AC$500,
       MATCH(B27, Input!$J$2:$J$500, 0),
       MATCH("Disk Interface Type", Input!$D$1:$AC$1, 0))</f>
        <v>#N/A</v>
      </c>
      <c r="P27" s="42" t="str" cm="1">
        <f t="array" ref="P27">IFERROR(_xlfn.TEXTJOIN(", ", TRUE, _xlfn._xlws.FILTER(
    INDEX(Input!$D$2:$AC$500,,MATCH("Disk Capacity",Input!$D$1:$AC$1,0)),
    Input!$J$2:$J$500=B27
)), "")</f>
        <v/>
      </c>
      <c r="Q27" s="32" t="e">
        <f t="shared" si="1"/>
        <v>#N/A</v>
      </c>
      <c r="R27" s="42" t="e">
        <f>_xlfn.LET(_xlpm.Result,INDEX(Input!$D$2:$AC$500,
       MATCH(B27, Input!$J$2:$J$500, 0),
       MATCH("Capacity", Input!$D$1:$AC$1, 0)),IF(_xlpm.Result="","",_xlpm.Result))</f>
        <v>#N/A</v>
      </c>
      <c r="S27" s="42" t="e" cm="1">
        <f t="array" ref="S27">_xlfn.TEXTSPLIT(R27," / ", ,TRUE,0,)</f>
        <v>#N/A</v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:AD27">IFERROR(IF(_xlfn.XLOOKUP(B27,Input!J:J,Input!N:U)=0,"",
          _xlfn.XLOOKUP(B27,Input!J:J,Input!N:U)),"")</f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42" t="str">
        <v/>
      </c>
      <c r="AE27" s="32" t="str">
        <f t="shared" si="0"/>
        <v/>
      </c>
      <c r="AF27" s="32" t="str">
        <f>_xlfn.XLOOKUP(B:B,Disk_Pivot!G:G,Disk_Pivot!I:I)</f>
        <v>Yes x2</v>
      </c>
      <c r="AG27" s="32" t="str">
        <f>_xlfn.XLOOKUP(B27,Disk_Pivot!G:G,Disk_Pivot!N:N)</f>
        <v>Pass, Fail</v>
      </c>
      <c r="AH27" s="32"/>
      <c r="AI27" s="32"/>
      <c r="AJ27" s="32"/>
      <c r="AK27" s="32"/>
      <c r="AL27" s="32"/>
      <c r="AM27" s="32"/>
    </row>
    <row r="28" spans="1:39">
      <c r="A28" s="32" t="str">
        <f>_xlfn.XLOOKUP(B28,Input!J:J,Input!G:G)&amp;""</f>
        <v/>
      </c>
      <c r="B28" s="32"/>
      <c r="C28" s="32" t="str">
        <f>_xlfn.XLOOKUP(B28,Input!J:J,Input!H:H)&amp;""</f>
        <v/>
      </c>
      <c r="D28" s="42">
        <f>_xlfn.XLOOKUP(B28,Input!J:J,Input!F:F)</f>
        <v>0</v>
      </c>
      <c r="E28" s="32">
        <f>_xlfn.XLOOKUP(D28,Models!H:H,Models!G:G,D28)</f>
        <v>0</v>
      </c>
      <c r="F28" s="32">
        <f>_xlfn.XLOOKUP(B28,Input!J:J,Input!E:E)</f>
        <v>0</v>
      </c>
      <c r="G28" s="32">
        <f>IF(F28="LENOVO",_xlfn.XLOOKUP(B28,Input!J:J,Input!K:K),_xlfn.XLOOKUP(B28,Input!J:J,Input!L:L))</f>
        <v>0</v>
      </c>
      <c r="H28" s="32"/>
      <c r="I28" s="32"/>
      <c r="J28" s="32">
        <f>_xlfn.XLOOKUP(B28,CPU_Formula!A:A,CPU_Formula!I:I)</f>
        <v>0</v>
      </c>
      <c r="K28" s="42" t="e">
        <f>INDEX(Input!$D$2:$AC$500,
       MATCH(B28, Input!$J$2:$J$500, 0),
       MATCH("Total Memory", Input!$D$1:$AC$1, 0))</f>
        <v>#N/A</v>
      </c>
      <c r="L28" s="42" t="e">
        <f>INDEX(Input!$D$2:$AC$500,
       MATCH(B28, Input!$J$2:$J$500, 0),
       MATCH("Memory Type", Input!$D$1:$AC$1, 0))</f>
        <v>#N/A</v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e">
        <f t="shared" si="2"/>
        <v>#N/A</v>
      </c>
      <c r="O28" s="42" t="e">
        <f>INDEX(Input!$D$2:$AC$500,
       MATCH(B28, Input!$J$2:$J$500, 0),
       MATCH("Disk Interface Type", Input!$D$1:$AC$1, 0))</f>
        <v>#N/A</v>
      </c>
      <c r="P28" s="42" t="str" cm="1">
        <f t="array" ref="P28">IFERROR(_xlfn.TEXTJOIN(", ", TRUE, _xlfn._xlws.FILTER(
    INDEX(Input!$D$2:$AC$500,,MATCH("Disk Capacity",Input!$D$1:$AC$1,0)),
    Input!$J$2:$J$500=B28
)), "")</f>
        <v/>
      </c>
      <c r="Q28" s="32" t="e">
        <f t="shared" si="1"/>
        <v>#N/A</v>
      </c>
      <c r="R28" s="42" t="e">
        <f>_xlfn.LET(_xlpm.Result,INDEX(Input!$D$2:$AC$500,
       MATCH(B28, Input!$J$2:$J$500, 0),
       MATCH("Capacity", Input!$D$1:$AC$1, 0)),IF(_xlpm.Result="","",_xlpm.Result))</f>
        <v>#N/A</v>
      </c>
      <c r="S28" s="42" t="e" cm="1">
        <f t="array" ref="S28">_xlfn.TEXTSPLIT(R28," / ", ,TRUE,0,)</f>
        <v>#N/A</v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:AD28">IFERROR(IF(_xlfn.XLOOKUP(B28,Input!J:J,Input!N:U)=0,"",
          _xlfn.XLOOKUP(B28,Input!J:J,Input!N:U)),"")</f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42" t="str">
        <v/>
      </c>
      <c r="AE28" s="32" t="str">
        <f t="shared" si="0"/>
        <v/>
      </c>
      <c r="AF28" s="32" t="str">
        <f>_xlfn.XLOOKUP(B:B,Disk_Pivot!G:G,Disk_Pivot!I:I)</f>
        <v>Yes x2</v>
      </c>
      <c r="AG28" s="32" t="str">
        <f>_xlfn.XLOOKUP(B28,Disk_Pivot!G:G,Disk_Pivot!N:N)</f>
        <v>Pass, Fail</v>
      </c>
      <c r="AH28" s="32"/>
      <c r="AI28" s="32"/>
      <c r="AJ28" s="32"/>
      <c r="AK28" s="32"/>
      <c r="AL28" s="32"/>
      <c r="AM28" s="32"/>
    </row>
    <row r="29" spans="1:39">
      <c r="A29" s="32" t="str">
        <f>_xlfn.XLOOKUP(B29,Input!J:J,Input!G:G)&amp;""</f>
        <v/>
      </c>
      <c r="B29" s="32"/>
      <c r="C29" s="32" t="str">
        <f>_xlfn.XLOOKUP(B29,Input!J:J,Input!H:H)&amp;""</f>
        <v/>
      </c>
      <c r="D29" s="42">
        <f>_xlfn.XLOOKUP(B29,Input!J:J,Input!F:F)</f>
        <v>0</v>
      </c>
      <c r="E29" s="32">
        <f>_xlfn.XLOOKUP(D29,Models!H:H,Models!G:G,D29)</f>
        <v>0</v>
      </c>
      <c r="F29" s="32">
        <f>_xlfn.XLOOKUP(B29,Input!J:J,Input!E:E)</f>
        <v>0</v>
      </c>
      <c r="G29" s="32">
        <f>IF(F29="LENOVO",_xlfn.XLOOKUP(B29,Input!J:J,Input!K:K),_xlfn.XLOOKUP(B29,Input!J:J,Input!L:L))</f>
        <v>0</v>
      </c>
      <c r="H29" s="32"/>
      <c r="I29" s="32"/>
      <c r="J29" s="32">
        <f>_xlfn.XLOOKUP(B29,CPU_Formula!A:A,CPU_Formula!I:I)</f>
        <v>0</v>
      </c>
      <c r="K29" s="42" t="e">
        <f>INDEX(Input!$D$2:$AC$500,
       MATCH(B29, Input!$J$2:$J$500, 0),
       MATCH("Total Memory", Input!$D$1:$AC$1, 0))</f>
        <v>#N/A</v>
      </c>
      <c r="L29" s="42" t="e">
        <f>INDEX(Input!$D$2:$AC$500,
       MATCH(B29, Input!$J$2:$J$500, 0),
       MATCH("Memory Type", Input!$D$1:$AC$1, 0))</f>
        <v>#N/A</v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e">
        <f t="shared" si="2"/>
        <v>#N/A</v>
      </c>
      <c r="O29" s="42" t="e">
        <f>INDEX(Input!$D$2:$AC$500,
       MATCH(B29, Input!$J$2:$J$500, 0),
       MATCH("Disk Interface Type", Input!$D$1:$AC$1, 0))</f>
        <v>#N/A</v>
      </c>
      <c r="P29" s="42" t="str" cm="1">
        <f t="array" ref="P29">IFERROR(_xlfn.TEXTJOIN(", ", TRUE, _xlfn._xlws.FILTER(
    INDEX(Input!$D$2:$AC$500,,MATCH("Disk Capacity",Input!$D$1:$AC$1,0)),
    Input!$J$2:$J$500=B29
)), "")</f>
        <v/>
      </c>
      <c r="Q29" s="32" t="e">
        <f t="shared" si="1"/>
        <v>#N/A</v>
      </c>
      <c r="R29" s="42" t="e">
        <f>_xlfn.LET(_xlpm.Result,INDEX(Input!$D$2:$AC$500,
       MATCH(B29, Input!$J$2:$J$500, 0),
       MATCH("Capacity", Input!$D$1:$AC$1, 0)),IF(_xlpm.Result="","",_xlpm.Result))</f>
        <v>#N/A</v>
      </c>
      <c r="S29" s="42" t="e" cm="1">
        <f t="array" ref="S29">_xlfn.TEXTSPLIT(R29," / ", ,TRUE,0,)</f>
        <v>#N/A</v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:AD29">IFERROR(IF(_xlfn.XLOOKUP(B29,Input!J:J,Input!N:U)=0,"",
          _xlfn.XLOOKUP(B29,Input!J:J,Input!N:U)),"")</f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42" t="str">
        <v/>
      </c>
      <c r="AE29" s="32" t="str">
        <f t="shared" si="0"/>
        <v/>
      </c>
      <c r="AF29" s="32" t="str">
        <f>_xlfn.XLOOKUP(B:B,Disk_Pivot!G:G,Disk_Pivot!I:I)</f>
        <v>Yes x2</v>
      </c>
      <c r="AG29" s="32" t="str">
        <f>_xlfn.XLOOKUP(B29,Disk_Pivot!G:G,Disk_Pivot!N:N)</f>
        <v>Pass, Fail</v>
      </c>
      <c r="AH29" s="32"/>
      <c r="AI29" s="32"/>
      <c r="AJ29" s="32"/>
      <c r="AK29" s="32"/>
      <c r="AL29" s="32"/>
      <c r="AM29" s="32"/>
    </row>
    <row r="30" spans="1:39">
      <c r="A30" s="32" t="str">
        <f>_xlfn.XLOOKUP(B30,Input!J:J,Input!G:G)&amp;""</f>
        <v/>
      </c>
      <c r="B30" s="32"/>
      <c r="C30" s="32" t="str">
        <f>_xlfn.XLOOKUP(B30,Input!J:J,Input!H:H)&amp;""</f>
        <v/>
      </c>
      <c r="D30" s="42">
        <f>_xlfn.XLOOKUP(B30,Input!J:J,Input!F:F)</f>
        <v>0</v>
      </c>
      <c r="E30" s="32">
        <f>_xlfn.XLOOKUP(D30,Models!H:H,Models!G:G,D30)</f>
        <v>0</v>
      </c>
      <c r="F30" s="32">
        <f>_xlfn.XLOOKUP(B30,Input!J:J,Input!E:E)</f>
        <v>0</v>
      </c>
      <c r="G30" s="32">
        <f>IF(F30="LENOVO",_xlfn.XLOOKUP(B30,Input!J:J,Input!K:K),_xlfn.XLOOKUP(B30,Input!J:J,Input!L:L))</f>
        <v>0</v>
      </c>
      <c r="H30" s="32"/>
      <c r="I30" s="32"/>
      <c r="J30" s="32">
        <f>_xlfn.XLOOKUP(B30,CPU_Formula!A:A,CPU_Formula!I:I)</f>
        <v>0</v>
      </c>
      <c r="K30" s="42" t="e">
        <f>INDEX(Input!$D$2:$AC$500,
       MATCH(B30, Input!$J$2:$J$500, 0),
       MATCH("Total Memory", Input!$D$1:$AC$1, 0))</f>
        <v>#N/A</v>
      </c>
      <c r="L30" s="42" t="e">
        <f>INDEX(Input!$D$2:$AC$500,
       MATCH(B30, Input!$J$2:$J$500, 0),
       MATCH("Memory Type", Input!$D$1:$AC$1, 0))</f>
        <v>#N/A</v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e">
        <f t="shared" si="2"/>
        <v>#N/A</v>
      </c>
      <c r="O30" s="42" t="e">
        <f>INDEX(Input!$D$2:$AC$500,
       MATCH(B30, Input!$J$2:$J$500, 0),
       MATCH("Disk Interface Type", Input!$D$1:$AC$1, 0))</f>
        <v>#N/A</v>
      </c>
      <c r="P30" s="42" t="str" cm="1">
        <f t="array" ref="P30">IFERROR(_xlfn.TEXTJOIN(", ", TRUE, _xlfn._xlws.FILTER(
    INDEX(Input!$D$2:$AC$500,,MATCH("Disk Capacity",Input!$D$1:$AC$1,0)),
    Input!$J$2:$J$500=B30
)), "")</f>
        <v/>
      </c>
      <c r="Q30" s="32" t="e">
        <f t="shared" si="1"/>
        <v>#N/A</v>
      </c>
      <c r="R30" s="42" t="e">
        <f>_xlfn.LET(_xlpm.Result,INDEX(Input!$D$2:$AC$500,
       MATCH(B30, Input!$J$2:$J$500, 0),
       MATCH("Capacity", Input!$D$1:$AC$1, 0)),IF(_xlpm.Result="","",_xlpm.Result))</f>
        <v>#N/A</v>
      </c>
      <c r="S30" s="42" t="e" cm="1">
        <f t="array" ref="S30">_xlfn.TEXTSPLIT(R30," / ", ,TRUE,0,)</f>
        <v>#N/A</v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:AD30">IFERROR(IF(_xlfn.XLOOKUP(B30,Input!J:J,Input!N:U)=0,"",
          _xlfn.XLOOKUP(B30,Input!J:J,Input!N:U)),"")</f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42" t="str">
        <v/>
      </c>
      <c r="AE30" s="32" t="str">
        <f t="shared" si="0"/>
        <v/>
      </c>
      <c r="AF30" s="32" t="str">
        <f>_xlfn.XLOOKUP(B:B,Disk_Pivot!G:G,Disk_Pivot!I:I)</f>
        <v>Yes x2</v>
      </c>
      <c r="AG30" s="32" t="str">
        <f>_xlfn.XLOOKUP(B30,Disk_Pivot!G:G,Disk_Pivot!N:N)</f>
        <v>Pass, Fail</v>
      </c>
      <c r="AH30" s="32"/>
      <c r="AI30" s="32"/>
      <c r="AJ30" s="32"/>
      <c r="AK30" s="32"/>
      <c r="AL30" s="32"/>
      <c r="AM30" s="32"/>
    </row>
    <row r="31" spans="1:39">
      <c r="A31" s="32" t="str">
        <f>_xlfn.XLOOKUP(B31,Input!J:J,Input!G:G)&amp;""</f>
        <v/>
      </c>
      <c r="B31" s="32"/>
      <c r="C31" s="32" t="str">
        <f>_xlfn.XLOOKUP(B31,Input!J:J,Input!H:H)&amp;""</f>
        <v/>
      </c>
      <c r="D31" s="42">
        <f>_xlfn.XLOOKUP(B31,Input!J:J,Input!F:F)</f>
        <v>0</v>
      </c>
      <c r="E31" s="32">
        <f>_xlfn.XLOOKUP(D31,Models!H:H,Models!G:G,D31)</f>
        <v>0</v>
      </c>
      <c r="F31" s="32">
        <f>_xlfn.XLOOKUP(B31,Input!J:J,Input!E:E)</f>
        <v>0</v>
      </c>
      <c r="G31" s="32">
        <f>IF(F31="LENOVO",_xlfn.XLOOKUP(B31,Input!J:J,Input!K:K),_xlfn.XLOOKUP(B31,Input!J:J,Input!L:L))</f>
        <v>0</v>
      </c>
      <c r="H31" s="32"/>
      <c r="I31" s="32"/>
      <c r="J31" s="32">
        <f>_xlfn.XLOOKUP(B31,CPU_Formula!A:A,CPU_Formula!I:I)</f>
        <v>0</v>
      </c>
      <c r="K31" s="42" t="e">
        <f>INDEX(Input!$D$2:$AC$500,
       MATCH(B31, Input!$J$2:$J$500, 0),
       MATCH("Total Memory", Input!$D$1:$AC$1, 0))</f>
        <v>#N/A</v>
      </c>
      <c r="L31" s="42" t="e">
        <f>INDEX(Input!$D$2:$AC$500,
       MATCH(B31, Input!$J$2:$J$500, 0),
       MATCH("Memory Type", Input!$D$1:$AC$1, 0))</f>
        <v>#N/A</v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e">
        <f t="shared" si="2"/>
        <v>#N/A</v>
      </c>
      <c r="O31" s="42" t="e">
        <f>INDEX(Input!$D$2:$AC$500,
       MATCH(B31, Input!$J$2:$J$500, 0),
       MATCH("Disk Interface Type", Input!$D$1:$AC$1, 0))</f>
        <v>#N/A</v>
      </c>
      <c r="P31" s="42" t="str" cm="1">
        <f t="array" ref="P31">IFERROR(_xlfn.TEXTJOIN(", ", TRUE, _xlfn._xlws.FILTER(
    INDEX(Input!$D$2:$AC$500,,MATCH("Disk Capacity",Input!$D$1:$AC$1,0)),
    Input!$J$2:$J$500=B31
)), "")</f>
        <v/>
      </c>
      <c r="Q31" s="32" t="e">
        <f t="shared" si="1"/>
        <v>#N/A</v>
      </c>
      <c r="R31" s="42" t="e">
        <f>_xlfn.LET(_xlpm.Result,INDEX(Input!$D$2:$AC$500,
       MATCH(B31, Input!$J$2:$J$500, 0),
       MATCH("Capacity", Input!$D$1:$AC$1, 0)),IF(_xlpm.Result="","",_xlpm.Result))</f>
        <v>#N/A</v>
      </c>
      <c r="S31" s="42" t="e" cm="1">
        <f t="array" ref="S31">_xlfn.TEXTSPLIT(R31," / ", ,TRUE,0,)</f>
        <v>#N/A</v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:AD31">IFERROR(IF(_xlfn.XLOOKUP(B31,Input!J:J,Input!N:U)=0,"",
          _xlfn.XLOOKUP(B31,Input!J:J,Input!N:U)),"")</f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42" t="str">
        <v/>
      </c>
      <c r="AE31" s="32" t="str">
        <f t="shared" si="0"/>
        <v/>
      </c>
      <c r="AF31" s="32" t="str">
        <f>_xlfn.XLOOKUP(B:B,Disk_Pivot!G:G,Disk_Pivot!I:I)</f>
        <v>Yes x2</v>
      </c>
      <c r="AG31" s="32" t="str">
        <f>_xlfn.XLOOKUP(B31,Disk_Pivot!G:G,Disk_Pivot!N:N)</f>
        <v>Pass, Fail</v>
      </c>
      <c r="AH31" s="32"/>
      <c r="AI31" s="32"/>
      <c r="AJ31" s="32"/>
      <c r="AK31" s="32"/>
      <c r="AL31" s="32"/>
      <c r="AM31" s="32"/>
    </row>
    <row r="32" spans="1:39">
      <c r="A32" s="32" t="str">
        <f>_xlfn.XLOOKUP(B32,Input!J:J,Input!G:G)&amp;""</f>
        <v/>
      </c>
      <c r="B32" s="32"/>
      <c r="C32" s="32" t="str">
        <f>_xlfn.XLOOKUP(B32,Input!J:J,Input!H:H)&amp;""</f>
        <v/>
      </c>
      <c r="D32" s="42">
        <f>_xlfn.XLOOKUP(B32,Input!J:J,Input!F:F)</f>
        <v>0</v>
      </c>
      <c r="E32" s="32">
        <f>_xlfn.XLOOKUP(D32,Models!H:H,Models!G:G,D32)</f>
        <v>0</v>
      </c>
      <c r="F32" s="32">
        <f>_xlfn.XLOOKUP(B32,Input!J:J,Input!E:E)</f>
        <v>0</v>
      </c>
      <c r="G32" s="32">
        <f>IF(F32="LENOVO",_xlfn.XLOOKUP(B32,Input!J:J,Input!K:K),_xlfn.XLOOKUP(B32,Input!J:J,Input!L:L))</f>
        <v>0</v>
      </c>
      <c r="H32" s="32"/>
      <c r="I32" s="32"/>
      <c r="J32" s="32">
        <f>_xlfn.XLOOKUP(B32,CPU_Formula!A:A,CPU_Formula!I:I)</f>
        <v>0</v>
      </c>
      <c r="K32" s="42" t="e">
        <f>INDEX(Input!$D$2:$AC$500,
       MATCH(B32, Input!$J$2:$J$500, 0),
       MATCH("Total Memory", Input!$D$1:$AC$1, 0))</f>
        <v>#N/A</v>
      </c>
      <c r="L32" s="42" t="e">
        <f>INDEX(Input!$D$2:$AC$500,
       MATCH(B32, Input!$J$2:$J$500, 0),
       MATCH("Memory Type", Input!$D$1:$AC$1, 0))</f>
        <v>#N/A</v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e">
        <f t="shared" si="2"/>
        <v>#N/A</v>
      </c>
      <c r="O32" s="42" t="e">
        <f>INDEX(Input!$D$2:$AC$500,
       MATCH(B32, Input!$J$2:$J$500, 0),
       MATCH("Disk Interface Type", Input!$D$1:$AC$1, 0))</f>
        <v>#N/A</v>
      </c>
      <c r="P32" s="42" t="str" cm="1">
        <f t="array" ref="P32">IFERROR(_xlfn.TEXTJOIN(", ", TRUE, _xlfn._xlws.FILTER(
    INDEX(Input!$D$2:$AC$500,,MATCH("Disk Capacity",Input!$D$1:$AC$1,0)),
    Input!$J$2:$J$500=B32
)), "")</f>
        <v/>
      </c>
      <c r="Q32" s="32" t="e">
        <f t="shared" si="1"/>
        <v>#N/A</v>
      </c>
      <c r="R32" s="42" t="e">
        <f>_xlfn.LET(_xlpm.Result,INDEX(Input!$D$2:$AC$500,
       MATCH(B32, Input!$J$2:$J$500, 0),
       MATCH("Capacity", Input!$D$1:$AC$1, 0)),IF(_xlpm.Result="","",_xlpm.Result))</f>
        <v>#N/A</v>
      </c>
      <c r="S32" s="42" t="e" cm="1">
        <f t="array" ref="S32">_xlfn.TEXTSPLIT(R32," / ", ,TRUE,0,)</f>
        <v>#N/A</v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:AD32">IFERROR(IF(_xlfn.XLOOKUP(B32,Input!J:J,Input!N:U)=0,"",
          _xlfn.XLOOKUP(B32,Input!J:J,Input!N:U)),"")</f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42" t="str">
        <v/>
      </c>
      <c r="AE32" s="32" t="str">
        <f t="shared" si="0"/>
        <v/>
      </c>
      <c r="AF32" s="32" t="str">
        <f>_xlfn.XLOOKUP(B:B,Disk_Pivot!G:G,Disk_Pivot!I:I)</f>
        <v>Yes x2</v>
      </c>
      <c r="AG32" s="32" t="str">
        <f>_xlfn.XLOOKUP(B32,Disk_Pivot!G:G,Disk_Pivot!N:N)</f>
        <v>Pass, Fail</v>
      </c>
      <c r="AH32" s="32"/>
      <c r="AI32" s="32"/>
      <c r="AJ32" s="32"/>
      <c r="AK32" s="32"/>
      <c r="AL32" s="32"/>
      <c r="AM32" s="32"/>
    </row>
    <row r="33" spans="1:39">
      <c r="A33" s="32" t="str">
        <f>_xlfn.XLOOKUP(B33,Input!J:J,Input!G:G)&amp;""</f>
        <v/>
      </c>
      <c r="B33" s="32"/>
      <c r="C33" s="32" t="str">
        <f>_xlfn.XLOOKUP(B33,Input!J:J,Input!H:H)&amp;""</f>
        <v/>
      </c>
      <c r="D33" s="42">
        <f>_xlfn.XLOOKUP(B33,Input!J:J,Input!F:F)</f>
        <v>0</v>
      </c>
      <c r="E33" s="32">
        <f>_xlfn.XLOOKUP(D33,Models!H:H,Models!G:G,D33)</f>
        <v>0</v>
      </c>
      <c r="F33" s="32">
        <f>_xlfn.XLOOKUP(B33,Input!J:J,Input!E:E)</f>
        <v>0</v>
      </c>
      <c r="G33" s="32">
        <f>IF(F33="LENOVO",_xlfn.XLOOKUP(B33,Input!J:J,Input!K:K),_xlfn.XLOOKUP(B33,Input!J:J,Input!L:L))</f>
        <v>0</v>
      </c>
      <c r="H33" s="32"/>
      <c r="I33" s="32"/>
      <c r="J33" s="32">
        <f>_xlfn.XLOOKUP(B33,CPU_Formula!A:A,CPU_Formula!I:I)</f>
        <v>0</v>
      </c>
      <c r="K33" s="42" t="e">
        <f>INDEX(Input!$D$2:$AC$500,
       MATCH(B33, Input!$J$2:$J$500, 0),
       MATCH("Total Memory", Input!$D$1:$AC$1, 0))</f>
        <v>#N/A</v>
      </c>
      <c r="L33" s="42" t="e">
        <f>INDEX(Input!$D$2:$AC$500,
       MATCH(B33, Input!$J$2:$J$500, 0),
       MATCH("Memory Type", Input!$D$1:$AC$1, 0))</f>
        <v>#N/A</v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e">
        <f t="shared" si="2"/>
        <v>#N/A</v>
      </c>
      <c r="O33" s="42" t="e">
        <f>INDEX(Input!$D$2:$AC$500,
       MATCH(B33, Input!$J$2:$J$500, 0),
       MATCH("Disk Interface Type", Input!$D$1:$AC$1, 0))</f>
        <v>#N/A</v>
      </c>
      <c r="P33" s="42" t="str" cm="1">
        <f t="array" ref="P33">IFERROR(_xlfn.TEXTJOIN(", ", TRUE, _xlfn._xlws.FILTER(
    INDEX(Input!$D$2:$AC$500,,MATCH("Disk Capacity",Input!$D$1:$AC$1,0)),
    Input!$J$2:$J$500=B33
)), "")</f>
        <v/>
      </c>
      <c r="Q33" s="32" t="e">
        <f t="shared" si="1"/>
        <v>#N/A</v>
      </c>
      <c r="R33" s="42" t="e">
        <f>_xlfn.LET(_xlpm.Result,INDEX(Input!$D$2:$AC$500,
       MATCH(B33, Input!$J$2:$J$500, 0),
       MATCH("Capacity", Input!$D$1:$AC$1, 0)),IF(_xlpm.Result="","",_xlpm.Result))</f>
        <v>#N/A</v>
      </c>
      <c r="S33" s="42" t="e" cm="1">
        <f t="array" ref="S33">_xlfn.TEXTSPLIT(R33," / ", ,TRUE,0,)</f>
        <v>#N/A</v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:AD33">IFERROR(IF(_xlfn.XLOOKUP(B33,Input!J:J,Input!N:U)=0,"",
          _xlfn.XLOOKUP(B33,Input!J:J,Input!N:U)),"")</f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42" t="str">
        <v/>
      </c>
      <c r="AE33" s="32" t="str">
        <f t="shared" si="0"/>
        <v/>
      </c>
      <c r="AF33" s="32" t="str">
        <f>_xlfn.XLOOKUP(B:B,Disk_Pivot!G:G,Disk_Pivot!I:I)</f>
        <v>Yes x2</v>
      </c>
      <c r="AG33" s="32" t="str">
        <f>_xlfn.XLOOKUP(B33,Disk_Pivot!G:G,Disk_Pivot!N:N)</f>
        <v>Pass, Fail</v>
      </c>
      <c r="AH33" s="32"/>
      <c r="AI33" s="32"/>
      <c r="AJ33" s="32"/>
      <c r="AK33" s="32"/>
      <c r="AL33" s="32"/>
      <c r="AM33" s="32"/>
    </row>
    <row r="34" spans="1:39">
      <c r="A34" s="32" t="str">
        <f>_xlfn.XLOOKUP(B34,Input!J:J,Input!G:G)&amp;""</f>
        <v/>
      </c>
      <c r="B34" s="32"/>
      <c r="C34" s="32" t="str">
        <f>_xlfn.XLOOKUP(B34,Input!J:J,Input!H:H)&amp;""</f>
        <v/>
      </c>
      <c r="D34" s="42">
        <f>_xlfn.XLOOKUP(B34,Input!J:J,Input!F:F)</f>
        <v>0</v>
      </c>
      <c r="E34" s="32">
        <f>_xlfn.XLOOKUP(D34,Models!H:H,Models!G:G,D34)</f>
        <v>0</v>
      </c>
      <c r="F34" s="32">
        <f>_xlfn.XLOOKUP(B34,Input!J:J,Input!E:E)</f>
        <v>0</v>
      </c>
      <c r="G34" s="32">
        <f>IF(F34="LENOVO",_xlfn.XLOOKUP(B34,Input!J:J,Input!K:K),_xlfn.XLOOKUP(B34,Input!J:J,Input!L:L))</f>
        <v>0</v>
      </c>
      <c r="H34" s="32"/>
      <c r="I34" s="32"/>
      <c r="J34" s="32">
        <f>_xlfn.XLOOKUP(B34,CPU_Formula!A:A,CPU_Formula!I:I)</f>
        <v>0</v>
      </c>
      <c r="K34" s="42" t="e">
        <f>INDEX(Input!$D$2:$AC$500,
       MATCH(B34, Input!$J$2:$J$500, 0),
       MATCH("Total Memory", Input!$D$1:$AC$1, 0))</f>
        <v>#N/A</v>
      </c>
      <c r="L34" s="42" t="e">
        <f>INDEX(Input!$D$2:$AC$500,
       MATCH(B34, Input!$J$2:$J$500, 0),
       MATCH("Memory Type", Input!$D$1:$AC$1, 0))</f>
        <v>#N/A</v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e">
        <f t="shared" si="2"/>
        <v>#N/A</v>
      </c>
      <c r="O34" s="42" t="e">
        <f>INDEX(Input!$D$2:$AC$500,
       MATCH(B34, Input!$J$2:$J$500, 0),
       MATCH("Disk Interface Type", Input!$D$1:$AC$1, 0))</f>
        <v>#N/A</v>
      </c>
      <c r="P34" s="42" t="str" cm="1">
        <f t="array" ref="P34">IFERROR(_xlfn.TEXTJOIN(", ", TRUE, _xlfn._xlws.FILTER(
    INDEX(Input!$D$2:$AC$500,,MATCH("Disk Capacity",Input!$D$1:$AC$1,0)),
    Input!$J$2:$J$500=B34
)), "")</f>
        <v/>
      </c>
      <c r="Q34" s="32" t="e">
        <f t="shared" si="1"/>
        <v>#N/A</v>
      </c>
      <c r="R34" s="42" t="e">
        <f>_xlfn.LET(_xlpm.Result,INDEX(Input!$D$2:$AC$500,
       MATCH(B34, Input!$J$2:$J$500, 0),
       MATCH("Capacity", Input!$D$1:$AC$1, 0)),IF(_xlpm.Result="","",_xlpm.Result))</f>
        <v>#N/A</v>
      </c>
      <c r="S34" s="42" t="e" cm="1">
        <f t="array" ref="S34">_xlfn.TEXTSPLIT(R34," / ", ,TRUE,0,)</f>
        <v>#N/A</v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:AD34">IFERROR(IF(_xlfn.XLOOKUP(B34,Input!J:J,Input!N:U)=0,"",
          _xlfn.XLOOKUP(B34,Input!J:J,Input!N:U)),"")</f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42" t="str">
        <v/>
      </c>
      <c r="AE34" s="32" t="str">
        <f t="shared" si="0"/>
        <v/>
      </c>
      <c r="AF34" s="32" t="str">
        <f>_xlfn.XLOOKUP(B:B,Disk_Pivot!G:G,Disk_Pivot!I:I)</f>
        <v>Yes x2</v>
      </c>
      <c r="AG34" s="32" t="str">
        <f>_xlfn.XLOOKUP(B34,Disk_Pivot!G:G,Disk_Pivot!N:N)</f>
        <v>Pass, Fail</v>
      </c>
      <c r="AH34" s="32"/>
      <c r="AI34" s="32"/>
      <c r="AJ34" s="32"/>
      <c r="AK34" s="32"/>
      <c r="AL34" s="32"/>
      <c r="AM34" s="32"/>
    </row>
    <row r="35" spans="1:39">
      <c r="A35" s="32" t="str">
        <f>_xlfn.XLOOKUP(B35,Input!J:J,Input!G:G)&amp;""</f>
        <v/>
      </c>
      <c r="B35" s="32"/>
      <c r="C35" s="32" t="str">
        <f>_xlfn.XLOOKUP(B35,Input!J:J,Input!H:H)&amp;""</f>
        <v/>
      </c>
      <c r="D35" s="42">
        <f>_xlfn.XLOOKUP(B35,Input!J:J,Input!F:F)</f>
        <v>0</v>
      </c>
      <c r="E35" s="32">
        <f>_xlfn.XLOOKUP(D35,Models!H:H,Models!G:G,D35)</f>
        <v>0</v>
      </c>
      <c r="F35" s="32">
        <f>_xlfn.XLOOKUP(B35,Input!J:J,Input!E:E)</f>
        <v>0</v>
      </c>
      <c r="G35" s="32">
        <f>IF(F35="LENOVO",_xlfn.XLOOKUP(B35,Input!J:J,Input!K:K),_xlfn.XLOOKUP(B35,Input!J:J,Input!L:L))</f>
        <v>0</v>
      </c>
      <c r="H35" s="32"/>
      <c r="I35" s="32"/>
      <c r="J35" s="32">
        <f>_xlfn.XLOOKUP(B35,CPU_Formula!A:A,CPU_Formula!I:I)</f>
        <v>0</v>
      </c>
      <c r="K35" s="42" t="e">
        <f>INDEX(Input!$D$2:$AC$500,
       MATCH(B35, Input!$J$2:$J$500, 0),
       MATCH("Total Memory", Input!$D$1:$AC$1, 0))</f>
        <v>#N/A</v>
      </c>
      <c r="L35" s="42" t="e">
        <f>INDEX(Input!$D$2:$AC$500,
       MATCH(B35, Input!$J$2:$J$500, 0),
       MATCH("Memory Type", Input!$D$1:$AC$1, 0))</f>
        <v>#N/A</v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e">
        <f t="shared" si="2"/>
        <v>#N/A</v>
      </c>
      <c r="O35" s="42" t="e">
        <f>INDEX(Input!$D$2:$AC$500,
       MATCH(B35, Input!$J$2:$J$500, 0),
       MATCH("Disk Interface Type", Input!$D$1:$AC$1, 0))</f>
        <v>#N/A</v>
      </c>
      <c r="P35" s="42" t="str" cm="1">
        <f t="array" ref="P35">IFERROR(_xlfn.TEXTJOIN(", ", TRUE, _xlfn._xlws.FILTER(
    INDEX(Input!$D$2:$AC$500,,MATCH("Disk Capacity",Input!$D$1:$AC$1,0)),
    Input!$J$2:$J$500=B35
)), "")</f>
        <v/>
      </c>
      <c r="Q35" s="32" t="e">
        <f t="shared" si="1"/>
        <v>#N/A</v>
      </c>
      <c r="R35" s="42" t="e">
        <f>_xlfn.LET(_xlpm.Result,INDEX(Input!$D$2:$AC$500,
       MATCH(B35, Input!$J$2:$J$500, 0),
       MATCH("Capacity", Input!$D$1:$AC$1, 0)),IF(_xlpm.Result="","",_xlpm.Result))</f>
        <v>#N/A</v>
      </c>
      <c r="S35" s="42" t="e" cm="1">
        <f t="array" ref="S35">_xlfn.TEXTSPLIT(R35," / ", ,TRUE,0,)</f>
        <v>#N/A</v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:AD35">IFERROR(IF(_xlfn.XLOOKUP(B35,Input!J:J,Input!N:U)=0,"",
          _xlfn.XLOOKUP(B35,Input!J:J,Input!N:U)),"")</f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42" t="str">
        <v/>
      </c>
      <c r="AE35" s="32" t="str">
        <f t="shared" si="0"/>
        <v/>
      </c>
      <c r="AF35" s="32" t="str">
        <f>_xlfn.XLOOKUP(B:B,Disk_Pivot!G:G,Disk_Pivot!I:I)</f>
        <v>Yes x2</v>
      </c>
      <c r="AG35" s="32" t="str">
        <f>_xlfn.XLOOKUP(B35,Disk_Pivot!G:G,Disk_Pivot!N:N)</f>
        <v>Pass, Fail</v>
      </c>
      <c r="AH35" s="32"/>
      <c r="AI35" s="32"/>
      <c r="AJ35" s="32"/>
      <c r="AK35" s="32"/>
      <c r="AL35" s="32"/>
      <c r="AM35" s="32"/>
    </row>
    <row r="36" spans="1:39">
      <c r="A36" s="32" t="str">
        <f>_xlfn.XLOOKUP(B36,Input!J:J,Input!G:G)&amp;""</f>
        <v/>
      </c>
      <c r="B36" s="32"/>
      <c r="C36" s="32" t="str">
        <f>_xlfn.XLOOKUP(B36,Input!J:J,Input!H:H)&amp;""</f>
        <v/>
      </c>
      <c r="D36" s="42">
        <f>_xlfn.XLOOKUP(B36,Input!J:J,Input!F:F)</f>
        <v>0</v>
      </c>
      <c r="E36" s="32">
        <f>_xlfn.XLOOKUP(D36,Models!H:H,Models!G:G,D36)</f>
        <v>0</v>
      </c>
      <c r="F36" s="32">
        <f>_xlfn.XLOOKUP(B36,Input!J:J,Input!E:E)</f>
        <v>0</v>
      </c>
      <c r="G36" s="32">
        <f>IF(F36="LENOVO",_xlfn.XLOOKUP(B36,Input!J:J,Input!K:K),_xlfn.XLOOKUP(B36,Input!J:J,Input!L:L))</f>
        <v>0</v>
      </c>
      <c r="H36" s="32"/>
      <c r="I36" s="32"/>
      <c r="J36" s="32">
        <f>_xlfn.XLOOKUP(B36,CPU_Formula!A:A,CPU_Formula!I:I)</f>
        <v>0</v>
      </c>
      <c r="K36" s="42" t="e">
        <f>INDEX(Input!$D$2:$AC$500,
       MATCH(B36, Input!$J$2:$J$500, 0),
       MATCH("Total Memory", Input!$D$1:$AC$1, 0))</f>
        <v>#N/A</v>
      </c>
      <c r="L36" s="42" t="e">
        <f>INDEX(Input!$D$2:$AC$500,
       MATCH(B36, Input!$J$2:$J$500, 0),
       MATCH("Memory Type", Input!$D$1:$AC$1, 0))</f>
        <v>#N/A</v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e">
        <f t="shared" si="2"/>
        <v>#N/A</v>
      </c>
      <c r="O36" s="42" t="e">
        <f>INDEX(Input!$D$2:$AC$500,
       MATCH(B36, Input!$J$2:$J$500, 0),
       MATCH("Disk Interface Type", Input!$D$1:$AC$1, 0))</f>
        <v>#N/A</v>
      </c>
      <c r="P36" s="42" t="str" cm="1">
        <f t="array" ref="P36">IFERROR(_xlfn.TEXTJOIN(", ", TRUE, _xlfn._xlws.FILTER(
    INDEX(Input!$D$2:$AC$500,,MATCH("Disk Capacity",Input!$D$1:$AC$1,0)),
    Input!$J$2:$J$500=B36
)), "")</f>
        <v/>
      </c>
      <c r="Q36" s="32" t="e">
        <f t="shared" si="1"/>
        <v>#N/A</v>
      </c>
      <c r="R36" s="42" t="e">
        <f>_xlfn.LET(_xlpm.Result,INDEX(Input!$D$2:$AC$500,
       MATCH(B36, Input!$J$2:$J$500, 0),
       MATCH("Capacity", Input!$D$1:$AC$1, 0)),IF(_xlpm.Result="","",_xlpm.Result))</f>
        <v>#N/A</v>
      </c>
      <c r="S36" s="42" t="e" cm="1">
        <f t="array" ref="S36">_xlfn.TEXTSPLIT(R36," / ", ,TRUE,0,)</f>
        <v>#N/A</v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:AD36">IFERROR(IF(_xlfn.XLOOKUP(B36,Input!J:J,Input!N:U)=0,"",
          _xlfn.XLOOKUP(B36,Input!J:J,Input!N:U)),"")</f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42" t="str">
        <v/>
      </c>
      <c r="AE36" s="32" t="str">
        <f t="shared" si="0"/>
        <v/>
      </c>
      <c r="AF36" s="32" t="str">
        <f>_xlfn.XLOOKUP(B:B,Disk_Pivot!G:G,Disk_Pivot!I:I)</f>
        <v>Yes x2</v>
      </c>
      <c r="AG36" s="32" t="str">
        <f>_xlfn.XLOOKUP(B36,Disk_Pivot!G:G,Disk_Pivot!N:N)</f>
        <v>Pass, Fail</v>
      </c>
      <c r="AH36" s="32"/>
      <c r="AI36" s="32"/>
      <c r="AJ36" s="32"/>
      <c r="AK36" s="32"/>
      <c r="AL36" s="32"/>
      <c r="AM36" s="32"/>
    </row>
    <row r="37" spans="1:39">
      <c r="A37" s="32" t="str">
        <f>_xlfn.XLOOKUP(B37,Input!J:J,Input!G:G)&amp;""</f>
        <v/>
      </c>
      <c r="B37" s="32"/>
      <c r="C37" s="32" t="str">
        <f>_xlfn.XLOOKUP(B37,Input!J:J,Input!H:H)&amp;""</f>
        <v/>
      </c>
      <c r="D37" s="42">
        <f>_xlfn.XLOOKUP(B37,Input!J:J,Input!F:F)</f>
        <v>0</v>
      </c>
      <c r="E37" s="32">
        <f>_xlfn.XLOOKUP(D37,Models!H:H,Models!G:G,D37)</f>
        <v>0</v>
      </c>
      <c r="F37" s="32">
        <f>_xlfn.XLOOKUP(B37,Input!J:J,Input!E:E)</f>
        <v>0</v>
      </c>
      <c r="G37" s="32">
        <f>IF(F37="LENOVO",_xlfn.XLOOKUP(B37,Input!J:J,Input!K:K),_xlfn.XLOOKUP(B37,Input!J:J,Input!L:L))</f>
        <v>0</v>
      </c>
      <c r="H37" s="32"/>
      <c r="I37" s="32"/>
      <c r="J37" s="32">
        <f>_xlfn.XLOOKUP(B37,CPU_Formula!A:A,CPU_Formula!I:I)</f>
        <v>0</v>
      </c>
      <c r="K37" s="42" t="e">
        <f>INDEX(Input!$D$2:$AC$500,
       MATCH(B37, Input!$J$2:$J$500, 0),
       MATCH("Total Memory", Input!$D$1:$AC$1, 0))</f>
        <v>#N/A</v>
      </c>
      <c r="L37" s="42" t="e">
        <f>INDEX(Input!$D$2:$AC$500,
       MATCH(B37, Input!$J$2:$J$500, 0),
       MATCH("Memory Type", Input!$D$1:$AC$1, 0))</f>
        <v>#N/A</v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e">
        <f t="shared" si="2"/>
        <v>#N/A</v>
      </c>
      <c r="O37" s="42" t="e">
        <f>INDEX(Input!$D$2:$AC$500,
       MATCH(B37, Input!$J$2:$J$500, 0),
       MATCH("Disk Interface Type", Input!$D$1:$AC$1, 0))</f>
        <v>#N/A</v>
      </c>
      <c r="P37" s="42" t="str" cm="1">
        <f t="array" ref="P37">IFERROR(_xlfn.TEXTJOIN(", ", TRUE, _xlfn._xlws.FILTER(
    INDEX(Input!$D$2:$AC$500,,MATCH("Disk Capacity",Input!$D$1:$AC$1,0)),
    Input!$J$2:$J$500=B37
)), "")</f>
        <v/>
      </c>
      <c r="Q37" s="32" t="e">
        <f t="shared" si="1"/>
        <v>#N/A</v>
      </c>
      <c r="R37" s="42" t="e">
        <f>_xlfn.LET(_xlpm.Result,INDEX(Input!$D$2:$AC$500,
       MATCH(B37, Input!$J$2:$J$500, 0),
       MATCH("Capacity", Input!$D$1:$AC$1, 0)),IF(_xlpm.Result="","",_xlpm.Result))</f>
        <v>#N/A</v>
      </c>
      <c r="S37" s="42" t="e" cm="1">
        <f t="array" ref="S37">_xlfn.TEXTSPLIT(R37," / ", ,TRUE,0,)</f>
        <v>#N/A</v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:AD37">IFERROR(IF(_xlfn.XLOOKUP(B37,Input!J:J,Input!N:U)=0,"",
          _xlfn.XLOOKUP(B37,Input!J:J,Input!N:U)),"")</f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42" t="str">
        <v/>
      </c>
      <c r="AE37" s="32" t="str">
        <f t="shared" si="0"/>
        <v/>
      </c>
      <c r="AF37" s="32" t="str">
        <f>_xlfn.XLOOKUP(B:B,Disk_Pivot!G:G,Disk_Pivot!I:I)</f>
        <v>Yes x2</v>
      </c>
      <c r="AG37" s="32" t="str">
        <f>_xlfn.XLOOKUP(B37,Disk_Pivot!G:G,Disk_Pivot!N:N)</f>
        <v>Pass, Fail</v>
      </c>
      <c r="AH37" s="32"/>
      <c r="AI37" s="32"/>
      <c r="AJ37" s="32"/>
      <c r="AK37" s="32"/>
      <c r="AL37" s="32"/>
      <c r="AM37" s="32"/>
    </row>
    <row r="38" spans="1:39">
      <c r="A38" s="32" t="str">
        <f>_xlfn.XLOOKUP(B38,Input!J:J,Input!G:G)&amp;""</f>
        <v/>
      </c>
      <c r="B38" s="32"/>
      <c r="C38" s="32" t="str">
        <f>_xlfn.XLOOKUP(B38,Input!J:J,Input!H:H)&amp;""</f>
        <v/>
      </c>
      <c r="D38" s="42">
        <f>_xlfn.XLOOKUP(B38,Input!J:J,Input!F:F)</f>
        <v>0</v>
      </c>
      <c r="E38" s="32">
        <f>_xlfn.XLOOKUP(D38,Models!H:H,Models!G:G,D38)</f>
        <v>0</v>
      </c>
      <c r="F38" s="32">
        <f>_xlfn.XLOOKUP(B38,Input!J:J,Input!E:E)</f>
        <v>0</v>
      </c>
      <c r="G38" s="32">
        <f>IF(F38="LENOVO",_xlfn.XLOOKUP(B38,Input!J:J,Input!K:K),_xlfn.XLOOKUP(B38,Input!J:J,Input!L:L))</f>
        <v>0</v>
      </c>
      <c r="H38" s="32"/>
      <c r="I38" s="32"/>
      <c r="J38" s="32">
        <f>_xlfn.XLOOKUP(B38,CPU_Formula!A:A,CPU_Formula!I:I)</f>
        <v>0</v>
      </c>
      <c r="K38" s="42" t="e">
        <f>INDEX(Input!$D$2:$AC$500,
       MATCH(B38, Input!$J$2:$J$500, 0),
       MATCH("Total Memory", Input!$D$1:$AC$1, 0))</f>
        <v>#N/A</v>
      </c>
      <c r="L38" s="42" t="e">
        <f>INDEX(Input!$D$2:$AC$500,
       MATCH(B38, Input!$J$2:$J$500, 0),
       MATCH("Memory Type", Input!$D$1:$AC$1, 0))</f>
        <v>#N/A</v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e">
        <f t="shared" si="2"/>
        <v>#N/A</v>
      </c>
      <c r="O38" s="42" t="e">
        <f>INDEX(Input!$D$2:$AC$500,
       MATCH(B38, Input!$J$2:$J$500, 0),
       MATCH("Disk Interface Type", Input!$D$1:$AC$1, 0))</f>
        <v>#N/A</v>
      </c>
      <c r="P38" s="42" t="str" cm="1">
        <f t="array" ref="P38">IFERROR(_xlfn.TEXTJOIN(", ", TRUE, _xlfn._xlws.FILTER(
    INDEX(Input!$D$2:$AC$500,,MATCH("Disk Capacity",Input!$D$1:$AC$1,0)),
    Input!$J$2:$J$500=B38
)), "")</f>
        <v/>
      </c>
      <c r="Q38" s="32" t="e">
        <f t="shared" si="1"/>
        <v>#N/A</v>
      </c>
      <c r="R38" s="42" t="e">
        <f>_xlfn.LET(_xlpm.Result,INDEX(Input!$D$2:$AC$500,
       MATCH(B38, Input!$J$2:$J$500, 0),
       MATCH("Capacity", Input!$D$1:$AC$1, 0)),IF(_xlpm.Result="","",_xlpm.Result))</f>
        <v>#N/A</v>
      </c>
      <c r="S38" s="42" t="e" cm="1">
        <f t="array" ref="S38">_xlfn.TEXTSPLIT(R38," / ", ,TRUE,0,)</f>
        <v>#N/A</v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:AD38">IFERROR(IF(_xlfn.XLOOKUP(B38,Input!J:J,Input!N:U)=0,"",
          _xlfn.XLOOKUP(B38,Input!J:J,Input!N:U)),"")</f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42" t="str">
        <v/>
      </c>
      <c r="AE38" s="32" t="str">
        <f t="shared" si="0"/>
        <v/>
      </c>
      <c r="AF38" s="32" t="str">
        <f>_xlfn.XLOOKUP(B:B,Disk_Pivot!G:G,Disk_Pivot!I:I)</f>
        <v>Yes x2</v>
      </c>
      <c r="AG38" s="32" t="str">
        <f>_xlfn.XLOOKUP(B38,Disk_Pivot!G:G,Disk_Pivot!N:N)</f>
        <v>Pass, Fail</v>
      </c>
      <c r="AH38" s="32"/>
      <c r="AI38" s="32"/>
      <c r="AJ38" s="32"/>
      <c r="AK38" s="32"/>
      <c r="AL38" s="32"/>
      <c r="AM38" s="32"/>
    </row>
    <row r="39" spans="1:39">
      <c r="A39" s="32" t="str">
        <f>_xlfn.XLOOKUP(B39,Input!J:J,Input!G:G)&amp;""</f>
        <v/>
      </c>
      <c r="B39" s="32"/>
      <c r="C39" s="32" t="str">
        <f>_xlfn.XLOOKUP(B39,Input!J:J,Input!H:H)&amp;""</f>
        <v/>
      </c>
      <c r="D39" s="42">
        <f>_xlfn.XLOOKUP(B39,Input!J:J,Input!F:F)</f>
        <v>0</v>
      </c>
      <c r="E39" s="32">
        <f>_xlfn.XLOOKUP(D39,Models!H:H,Models!G:G,D39)</f>
        <v>0</v>
      </c>
      <c r="F39" s="32">
        <f>_xlfn.XLOOKUP(B39,Input!J:J,Input!E:E)</f>
        <v>0</v>
      </c>
      <c r="G39" s="32">
        <f>IF(F39="LENOVO",_xlfn.XLOOKUP(B39,Input!J:J,Input!K:K),_xlfn.XLOOKUP(B39,Input!J:J,Input!L:L))</f>
        <v>0</v>
      </c>
      <c r="H39" s="32"/>
      <c r="I39" s="32"/>
      <c r="J39" s="32">
        <f>_xlfn.XLOOKUP(B39,CPU_Formula!A:A,CPU_Formula!I:I)</f>
        <v>0</v>
      </c>
      <c r="K39" s="42" t="e">
        <f>INDEX(Input!$D$2:$AC$500,
       MATCH(B39, Input!$J$2:$J$500, 0),
       MATCH("Total Memory", Input!$D$1:$AC$1, 0))</f>
        <v>#N/A</v>
      </c>
      <c r="L39" s="42" t="e">
        <f>INDEX(Input!$D$2:$AC$500,
       MATCH(B39, Input!$J$2:$J$500, 0),
       MATCH("Memory Type", Input!$D$1:$AC$1, 0))</f>
        <v>#N/A</v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e">
        <f t="shared" si="2"/>
        <v>#N/A</v>
      </c>
      <c r="O39" s="42" t="e">
        <f>INDEX(Input!$D$2:$AC$500,
       MATCH(B39, Input!$J$2:$J$500, 0),
       MATCH("Disk Interface Type", Input!$D$1:$AC$1, 0))</f>
        <v>#N/A</v>
      </c>
      <c r="P39" s="42" t="str" cm="1">
        <f t="array" ref="P39">IFERROR(_xlfn.TEXTJOIN(", ", TRUE, _xlfn._xlws.FILTER(
    INDEX(Input!$D$2:$AC$500,,MATCH("Disk Capacity",Input!$D$1:$AC$1,0)),
    Input!$J$2:$J$500=B39
)), "")</f>
        <v/>
      </c>
      <c r="Q39" s="32" t="e">
        <f t="shared" si="1"/>
        <v>#N/A</v>
      </c>
      <c r="R39" s="42" t="e">
        <f>_xlfn.LET(_xlpm.Result,INDEX(Input!$D$2:$AC$500,
       MATCH(B39, Input!$J$2:$J$500, 0),
       MATCH("Capacity", Input!$D$1:$AC$1, 0)),IF(_xlpm.Result="","",_xlpm.Result))</f>
        <v>#N/A</v>
      </c>
      <c r="S39" s="42" t="e" cm="1">
        <f t="array" ref="S39">_xlfn.TEXTSPLIT(R39," / ", ,TRUE,0,)</f>
        <v>#N/A</v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:AD39">IFERROR(IF(_xlfn.XLOOKUP(B39,Input!J:J,Input!N:U)=0,"",
          _xlfn.XLOOKUP(B39,Input!J:J,Input!N:U)),"")</f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42" t="str">
        <v/>
      </c>
      <c r="AE39" s="32" t="str">
        <f t="shared" si="0"/>
        <v/>
      </c>
      <c r="AF39" s="32" t="str">
        <f>_xlfn.XLOOKUP(B:B,Disk_Pivot!G:G,Disk_Pivot!I:I)</f>
        <v>Yes x2</v>
      </c>
      <c r="AG39" s="32" t="str">
        <f>_xlfn.XLOOKUP(B39,Disk_Pivot!G:G,Disk_Pivot!N:N)</f>
        <v>Pass, Fail</v>
      </c>
      <c r="AH39" s="32"/>
      <c r="AI39" s="32"/>
      <c r="AJ39" s="32"/>
      <c r="AK39" s="32"/>
      <c r="AL39" s="32"/>
      <c r="AM39" s="32"/>
    </row>
    <row r="40" spans="1:39">
      <c r="A40" s="32" t="str">
        <f>_xlfn.XLOOKUP(B40,Input!J:J,Input!G:G)&amp;""</f>
        <v/>
      </c>
      <c r="B40" s="32"/>
      <c r="C40" s="32" t="str">
        <f>_xlfn.XLOOKUP(B40,Input!J:J,Input!H:H)&amp;""</f>
        <v/>
      </c>
      <c r="D40" s="42">
        <f>_xlfn.XLOOKUP(B40,Input!J:J,Input!F:F)</f>
        <v>0</v>
      </c>
      <c r="E40" s="32">
        <f>_xlfn.XLOOKUP(D40,Models!H:H,Models!G:G,D40)</f>
        <v>0</v>
      </c>
      <c r="F40" s="32">
        <f>_xlfn.XLOOKUP(B40,Input!J:J,Input!E:E)</f>
        <v>0</v>
      </c>
      <c r="G40" s="32">
        <f>IF(F40="LENOVO",_xlfn.XLOOKUP(B40,Input!J:J,Input!K:K),_xlfn.XLOOKUP(B40,Input!J:J,Input!L:L))</f>
        <v>0</v>
      </c>
      <c r="H40" s="32"/>
      <c r="I40" s="32"/>
      <c r="J40" s="32">
        <f>_xlfn.XLOOKUP(B40,CPU_Formula!A:A,CPU_Formula!I:I)</f>
        <v>0</v>
      </c>
      <c r="K40" s="42" t="e">
        <f>INDEX(Input!$D$2:$AC$500,
       MATCH(B40, Input!$J$2:$J$500, 0),
       MATCH("Total Memory", Input!$D$1:$AC$1, 0))</f>
        <v>#N/A</v>
      </c>
      <c r="L40" s="42" t="e">
        <f>INDEX(Input!$D$2:$AC$500,
       MATCH(B40, Input!$J$2:$J$500, 0),
       MATCH("Memory Type", Input!$D$1:$AC$1, 0))</f>
        <v>#N/A</v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e">
        <f t="shared" si="2"/>
        <v>#N/A</v>
      </c>
      <c r="O40" s="42" t="e">
        <f>INDEX(Input!$D$2:$AC$500,
       MATCH(B40, Input!$J$2:$J$500, 0),
       MATCH("Disk Interface Type", Input!$D$1:$AC$1, 0))</f>
        <v>#N/A</v>
      </c>
      <c r="P40" s="42" t="str" cm="1">
        <f t="array" ref="P40">IFERROR(_xlfn.TEXTJOIN(", ", TRUE, _xlfn._xlws.FILTER(
    INDEX(Input!$D$2:$AC$500,,MATCH("Disk Capacity",Input!$D$1:$AC$1,0)),
    Input!$J$2:$J$500=B40
)), "")</f>
        <v/>
      </c>
      <c r="Q40" s="32" t="e">
        <f t="shared" si="1"/>
        <v>#N/A</v>
      </c>
      <c r="R40" s="42" t="e">
        <f>_xlfn.LET(_xlpm.Result,INDEX(Input!$D$2:$AC$500,
       MATCH(B40, Input!$J$2:$J$500, 0),
       MATCH("Capacity", Input!$D$1:$AC$1, 0)),IF(_xlpm.Result="","",_xlpm.Result))</f>
        <v>#N/A</v>
      </c>
      <c r="S40" s="42" t="e" cm="1">
        <f t="array" ref="S40">_xlfn.TEXTSPLIT(R40," / ", ,TRUE,0,)</f>
        <v>#N/A</v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:AD40">IFERROR(IF(_xlfn.XLOOKUP(B40,Input!J:J,Input!N:U)=0,"",
          _xlfn.XLOOKUP(B40,Input!J:J,Input!N:U)),"")</f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42" t="str">
        <v/>
      </c>
      <c r="AE40" s="32" t="str">
        <f t="shared" si="0"/>
        <v/>
      </c>
      <c r="AF40" s="32" t="str">
        <f>_xlfn.XLOOKUP(B:B,Disk_Pivot!G:G,Disk_Pivot!I:I)</f>
        <v>Yes x2</v>
      </c>
      <c r="AG40" s="32" t="str">
        <f>_xlfn.XLOOKUP(B40,Disk_Pivot!G:G,Disk_Pivot!N:N)</f>
        <v>Pass, Fail</v>
      </c>
      <c r="AH40" s="32"/>
      <c r="AI40" s="32"/>
      <c r="AJ40" s="32"/>
      <c r="AK40" s="32"/>
      <c r="AL40" s="32"/>
      <c r="AM40" s="32"/>
    </row>
    <row r="41" spans="1:39">
      <c r="A41" s="32" t="str">
        <f>_xlfn.XLOOKUP(B41,Input!J:J,Input!G:G)&amp;""</f>
        <v/>
      </c>
      <c r="B41" s="32"/>
      <c r="C41" s="32" t="str">
        <f>_xlfn.XLOOKUP(B41,Input!J:J,Input!H:H)&amp;""</f>
        <v/>
      </c>
      <c r="D41" s="42">
        <f>_xlfn.XLOOKUP(B41,Input!J:J,Input!F:F)</f>
        <v>0</v>
      </c>
      <c r="E41" s="32">
        <f>_xlfn.XLOOKUP(D41,Models!H:H,Models!G:G,D41)</f>
        <v>0</v>
      </c>
      <c r="F41" s="32">
        <f>_xlfn.XLOOKUP(B41,Input!J:J,Input!E:E)</f>
        <v>0</v>
      </c>
      <c r="G41" s="32">
        <f>IF(F41="LENOVO",_xlfn.XLOOKUP(B41,Input!J:J,Input!K:K),_xlfn.XLOOKUP(B41,Input!J:J,Input!L:L))</f>
        <v>0</v>
      </c>
      <c r="H41" s="32"/>
      <c r="I41" s="32"/>
      <c r="J41" s="32">
        <f>_xlfn.XLOOKUP(B41,CPU_Formula!A:A,CPU_Formula!I:I)</f>
        <v>0</v>
      </c>
      <c r="K41" s="42" t="e">
        <f>INDEX(Input!$D$2:$AC$500,
       MATCH(B41, Input!$J$2:$J$500, 0),
       MATCH("Total Memory", Input!$D$1:$AC$1, 0))</f>
        <v>#N/A</v>
      </c>
      <c r="L41" s="42" t="e">
        <f>INDEX(Input!$D$2:$AC$500,
       MATCH(B41, Input!$J$2:$J$500, 0),
       MATCH("Memory Type", Input!$D$1:$AC$1, 0))</f>
        <v>#N/A</v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e">
        <f t="shared" si="2"/>
        <v>#N/A</v>
      </c>
      <c r="O41" s="42" t="e">
        <f>INDEX(Input!$D$2:$AC$500,
       MATCH(B41, Input!$J$2:$J$500, 0),
       MATCH("Disk Interface Type", Input!$D$1:$AC$1, 0))</f>
        <v>#N/A</v>
      </c>
      <c r="P41" s="42" t="str" cm="1">
        <f t="array" ref="P41">IFERROR(_xlfn.TEXTJOIN(", ", TRUE, _xlfn._xlws.FILTER(
    INDEX(Input!$D$2:$AC$500,,MATCH("Disk Capacity",Input!$D$1:$AC$1,0)),
    Input!$J$2:$J$500=B41
)), "")</f>
        <v/>
      </c>
      <c r="Q41" s="32" t="e">
        <f t="shared" si="1"/>
        <v>#N/A</v>
      </c>
      <c r="R41" s="42" t="e">
        <f>_xlfn.LET(_xlpm.Result,INDEX(Input!$D$2:$AC$500,
       MATCH(B41, Input!$J$2:$J$500, 0),
       MATCH("Capacity", Input!$D$1:$AC$1, 0)),IF(_xlpm.Result="","",_xlpm.Result))</f>
        <v>#N/A</v>
      </c>
      <c r="S41" s="42" t="e" cm="1">
        <f t="array" ref="S41">_xlfn.TEXTSPLIT(R41," / ", ,TRUE,0,)</f>
        <v>#N/A</v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:AD41">IFERROR(IF(_xlfn.XLOOKUP(B41,Input!J:J,Input!N:U)=0,"",
          _xlfn.XLOOKUP(B41,Input!J:J,Input!N:U)),"")</f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42" t="str">
        <v/>
      </c>
      <c r="AE41" s="32" t="str">
        <f t="shared" si="0"/>
        <v/>
      </c>
      <c r="AF41" s="32" t="str">
        <f>_xlfn.XLOOKUP(B:B,Disk_Pivot!G:G,Disk_Pivot!I:I)</f>
        <v>Yes x2</v>
      </c>
      <c r="AG41" s="32" t="str">
        <f>_xlfn.XLOOKUP(B41,Disk_Pivot!G:G,Disk_Pivot!N:N)</f>
        <v>Pass, Fail</v>
      </c>
      <c r="AH41" s="32"/>
      <c r="AI41" s="32"/>
      <c r="AJ41" s="32"/>
      <c r="AK41" s="32"/>
      <c r="AL41" s="32"/>
      <c r="AM41" s="32"/>
    </row>
    <row r="42" spans="1:39">
      <c r="A42" s="32" t="str">
        <f>_xlfn.XLOOKUP(B42,Input!J:J,Input!G:G)&amp;""</f>
        <v/>
      </c>
      <c r="B42" s="32"/>
      <c r="C42" s="32" t="str">
        <f>_xlfn.XLOOKUP(B42,Input!J:J,Input!H:H)&amp;""</f>
        <v/>
      </c>
      <c r="D42" s="42">
        <f>_xlfn.XLOOKUP(B42,Input!J:J,Input!F:F)</f>
        <v>0</v>
      </c>
      <c r="E42" s="32">
        <f>_xlfn.XLOOKUP(D42,Models!H:H,Models!G:G,D42)</f>
        <v>0</v>
      </c>
      <c r="F42" s="32">
        <f>_xlfn.XLOOKUP(B42,Input!J:J,Input!E:E)</f>
        <v>0</v>
      </c>
      <c r="G42" s="32">
        <f>IF(F42="LENOVO",_xlfn.XLOOKUP(B42,Input!J:J,Input!K:K),_xlfn.XLOOKUP(B42,Input!J:J,Input!L:L))</f>
        <v>0</v>
      </c>
      <c r="H42" s="32"/>
      <c r="I42" s="32"/>
      <c r="J42" s="32">
        <f>_xlfn.XLOOKUP(B42,CPU_Formula!A:A,CPU_Formula!I:I)</f>
        <v>0</v>
      </c>
      <c r="K42" s="42" t="e">
        <f>INDEX(Input!$D$2:$AC$500,
       MATCH(B42, Input!$J$2:$J$500, 0),
       MATCH("Total Memory", Input!$D$1:$AC$1, 0))</f>
        <v>#N/A</v>
      </c>
      <c r="L42" s="42" t="e">
        <f>INDEX(Input!$D$2:$AC$500,
       MATCH(B42, Input!$J$2:$J$500, 0),
       MATCH("Memory Type", Input!$D$1:$AC$1, 0))</f>
        <v>#N/A</v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e">
        <f t="shared" si="2"/>
        <v>#N/A</v>
      </c>
      <c r="O42" s="42" t="e">
        <f>INDEX(Input!$D$2:$AC$500,
       MATCH(B42, Input!$J$2:$J$500, 0),
       MATCH("Disk Interface Type", Input!$D$1:$AC$1, 0))</f>
        <v>#N/A</v>
      </c>
      <c r="P42" s="42" t="str" cm="1">
        <f t="array" ref="P42">IFERROR(_xlfn.TEXTJOIN(", ", TRUE, _xlfn._xlws.FILTER(
    INDEX(Input!$D$2:$AC$500,,MATCH("Disk Capacity",Input!$D$1:$AC$1,0)),
    Input!$J$2:$J$500=B42
)), "")</f>
        <v/>
      </c>
      <c r="Q42" s="32" t="e">
        <f t="shared" si="1"/>
        <v>#N/A</v>
      </c>
      <c r="R42" s="42" t="e">
        <f>_xlfn.LET(_xlpm.Result,INDEX(Input!$D$2:$AC$500,
       MATCH(B42, Input!$J$2:$J$500, 0),
       MATCH("Capacity", Input!$D$1:$AC$1, 0)),IF(_xlpm.Result="","",_xlpm.Result))</f>
        <v>#N/A</v>
      </c>
      <c r="S42" s="42" t="e" cm="1">
        <f t="array" ref="S42">_xlfn.TEXTSPLIT(R42," / ", ,TRUE,0,)</f>
        <v>#N/A</v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:AD42">IFERROR(IF(_xlfn.XLOOKUP(B42,Input!J:J,Input!N:U)=0,"",
          _xlfn.XLOOKUP(B42,Input!J:J,Input!N:U)),"")</f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42" t="str">
        <v/>
      </c>
      <c r="AE42" s="32" t="str">
        <f t="shared" si="0"/>
        <v/>
      </c>
      <c r="AF42" s="32" t="str">
        <f>_xlfn.XLOOKUP(B:B,Disk_Pivot!G:G,Disk_Pivot!I:I)</f>
        <v>Yes x2</v>
      </c>
      <c r="AG42" s="32" t="str">
        <f>_xlfn.XLOOKUP(B42,Disk_Pivot!G:G,Disk_Pivot!N:N)</f>
        <v>Pass, Fail</v>
      </c>
      <c r="AH42" s="32"/>
      <c r="AI42" s="32"/>
      <c r="AJ42" s="32"/>
      <c r="AK42" s="32"/>
      <c r="AL42" s="32"/>
      <c r="AM42" s="32"/>
    </row>
    <row r="43" spans="1:39">
      <c r="A43" s="32" t="str">
        <f>_xlfn.XLOOKUP(B43,Input!J:J,Input!G:G)&amp;""</f>
        <v/>
      </c>
      <c r="B43" s="32"/>
      <c r="C43" s="32" t="str">
        <f>_xlfn.XLOOKUP(B43,Input!J:J,Input!H:H)&amp;""</f>
        <v/>
      </c>
      <c r="D43" s="42">
        <f>_xlfn.XLOOKUP(B43,Input!J:J,Input!F:F)</f>
        <v>0</v>
      </c>
      <c r="E43" s="32">
        <f>_xlfn.XLOOKUP(D43,Models!H:H,Models!G:G,D43)</f>
        <v>0</v>
      </c>
      <c r="F43" s="32">
        <f>_xlfn.XLOOKUP(B43,Input!J:J,Input!E:E)</f>
        <v>0</v>
      </c>
      <c r="G43" s="32">
        <f>IF(F43="LENOVO",_xlfn.XLOOKUP(B43,Input!J:J,Input!K:K),_xlfn.XLOOKUP(B43,Input!J:J,Input!L:L))</f>
        <v>0</v>
      </c>
      <c r="H43" s="32"/>
      <c r="I43" s="32"/>
      <c r="J43" s="32">
        <f>_xlfn.XLOOKUP(B43,CPU_Formula!A:A,CPU_Formula!I:I)</f>
        <v>0</v>
      </c>
      <c r="K43" s="42" t="e">
        <f>INDEX(Input!$D$2:$AC$500,
       MATCH(B43, Input!$J$2:$J$500, 0),
       MATCH("Total Memory", Input!$D$1:$AC$1, 0))</f>
        <v>#N/A</v>
      </c>
      <c r="L43" s="42" t="e">
        <f>INDEX(Input!$D$2:$AC$500,
       MATCH(B43, Input!$J$2:$J$500, 0),
       MATCH("Memory Type", Input!$D$1:$AC$1, 0))</f>
        <v>#N/A</v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e">
        <f t="shared" si="2"/>
        <v>#N/A</v>
      </c>
      <c r="O43" s="42" t="e">
        <f>INDEX(Input!$D$2:$AC$500,
       MATCH(B43, Input!$J$2:$J$500, 0),
       MATCH("Disk Interface Type", Input!$D$1:$AC$1, 0))</f>
        <v>#N/A</v>
      </c>
      <c r="P43" s="42" t="str" cm="1">
        <f t="array" ref="P43">IFERROR(_xlfn.TEXTJOIN(", ", TRUE, _xlfn._xlws.FILTER(
    INDEX(Input!$D$2:$AC$500,,MATCH("Disk Capacity",Input!$D$1:$AC$1,0)),
    Input!$J$2:$J$500=B43
)), "")</f>
        <v/>
      </c>
      <c r="Q43" s="32" t="e">
        <f t="shared" si="1"/>
        <v>#N/A</v>
      </c>
      <c r="R43" s="42" t="e">
        <f>_xlfn.LET(_xlpm.Result,INDEX(Input!$D$2:$AC$500,
       MATCH(B43, Input!$J$2:$J$500, 0),
       MATCH("Capacity", Input!$D$1:$AC$1, 0)),IF(_xlpm.Result="","",_xlpm.Result))</f>
        <v>#N/A</v>
      </c>
      <c r="S43" s="42" t="e" cm="1">
        <f t="array" ref="S43">_xlfn.TEXTSPLIT(R43," / ", ,TRUE,0,)</f>
        <v>#N/A</v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:AD43">IFERROR(IF(_xlfn.XLOOKUP(B43,Input!J:J,Input!N:U)=0,"",
          _xlfn.XLOOKUP(B43,Input!J:J,Input!N:U)),"")</f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42" t="str">
        <v/>
      </c>
      <c r="AE43" s="32" t="str">
        <f t="shared" si="0"/>
        <v/>
      </c>
      <c r="AF43" s="32" t="str">
        <f>_xlfn.XLOOKUP(B:B,Disk_Pivot!G:G,Disk_Pivot!I:I)</f>
        <v>Yes x2</v>
      </c>
      <c r="AG43" s="32" t="str">
        <f>_xlfn.XLOOKUP(B43,Disk_Pivot!G:G,Disk_Pivot!N:N)</f>
        <v>Pass, Fail</v>
      </c>
      <c r="AH43" s="32"/>
      <c r="AI43" s="32"/>
      <c r="AJ43" s="32"/>
      <c r="AK43" s="32"/>
      <c r="AL43" s="32"/>
      <c r="AM43" s="32"/>
    </row>
    <row r="44" spans="1:39">
      <c r="A44" s="32" t="str">
        <f>_xlfn.XLOOKUP(B44,Input!J:J,Input!G:G)&amp;""</f>
        <v/>
      </c>
      <c r="B44" s="32"/>
      <c r="C44" s="32" t="str">
        <f>_xlfn.XLOOKUP(B44,Input!J:J,Input!H:H)&amp;""</f>
        <v/>
      </c>
      <c r="D44" s="42">
        <f>_xlfn.XLOOKUP(B44,Input!J:J,Input!F:F)</f>
        <v>0</v>
      </c>
      <c r="E44" s="32">
        <f>_xlfn.XLOOKUP(D44,Models!H:H,Models!G:G,D44)</f>
        <v>0</v>
      </c>
      <c r="F44" s="32">
        <f>_xlfn.XLOOKUP(B44,Input!J:J,Input!E:E)</f>
        <v>0</v>
      </c>
      <c r="G44" s="32">
        <f>IF(F44="LENOVO",_xlfn.XLOOKUP(B44,Input!J:J,Input!K:K),_xlfn.XLOOKUP(B44,Input!J:J,Input!L:L))</f>
        <v>0</v>
      </c>
      <c r="H44" s="32"/>
      <c r="I44" s="32"/>
      <c r="J44" s="32">
        <f>_xlfn.XLOOKUP(B44,CPU_Formula!A:A,CPU_Formula!I:I)</f>
        <v>0</v>
      </c>
      <c r="K44" s="42" t="e">
        <f>INDEX(Input!$D$2:$AC$500,
       MATCH(B44, Input!$J$2:$J$500, 0),
       MATCH("Total Memory", Input!$D$1:$AC$1, 0))</f>
        <v>#N/A</v>
      </c>
      <c r="L44" s="42" t="e">
        <f>INDEX(Input!$D$2:$AC$500,
       MATCH(B44, Input!$J$2:$J$500, 0),
       MATCH("Memory Type", Input!$D$1:$AC$1, 0))</f>
        <v>#N/A</v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e">
        <f t="shared" si="2"/>
        <v>#N/A</v>
      </c>
      <c r="O44" s="42" t="e">
        <f>INDEX(Input!$D$2:$AC$500,
       MATCH(B44, Input!$J$2:$J$500, 0),
       MATCH("Disk Interface Type", Input!$D$1:$AC$1, 0))</f>
        <v>#N/A</v>
      </c>
      <c r="P44" s="42" t="str" cm="1">
        <f t="array" ref="P44">IFERROR(_xlfn.TEXTJOIN(", ", TRUE, _xlfn._xlws.FILTER(
    INDEX(Input!$D$2:$AC$500,,MATCH("Disk Capacity",Input!$D$1:$AC$1,0)),
    Input!$J$2:$J$500=B44
)), "")</f>
        <v/>
      </c>
      <c r="Q44" s="32" t="e">
        <f t="shared" si="1"/>
        <v>#N/A</v>
      </c>
      <c r="R44" s="42" t="e">
        <f>_xlfn.LET(_xlpm.Result,INDEX(Input!$D$2:$AC$500,
       MATCH(B44, Input!$J$2:$J$500, 0),
       MATCH("Capacity", Input!$D$1:$AC$1, 0)),IF(_xlpm.Result="","",_xlpm.Result))</f>
        <v>#N/A</v>
      </c>
      <c r="S44" s="42" t="e" cm="1">
        <f t="array" ref="S44">_xlfn.TEXTSPLIT(R44," / ", ,TRUE,0,)</f>
        <v>#N/A</v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:AD44">IFERROR(IF(_xlfn.XLOOKUP(B44,Input!J:J,Input!N:U)=0,"",
          _xlfn.XLOOKUP(B44,Input!J:J,Input!N:U)),"")</f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42" t="str">
        <v/>
      </c>
      <c r="AE44" s="32" t="str">
        <f t="shared" si="0"/>
        <v/>
      </c>
      <c r="AF44" s="32" t="str">
        <f>_xlfn.XLOOKUP(B:B,Disk_Pivot!G:G,Disk_Pivot!I:I)</f>
        <v>Yes x2</v>
      </c>
      <c r="AG44" s="32" t="str">
        <f>_xlfn.XLOOKUP(B44,Disk_Pivot!G:G,Disk_Pivot!N:N)</f>
        <v>Pass, Fail</v>
      </c>
      <c r="AH44" s="32"/>
      <c r="AI44" s="32"/>
      <c r="AJ44" s="32"/>
      <c r="AK44" s="32"/>
      <c r="AL44" s="32"/>
      <c r="AM44" s="32"/>
    </row>
    <row r="45" spans="1:39">
      <c r="A45" s="32" t="str">
        <f>_xlfn.XLOOKUP(B45,Input!J:J,Input!G:G)&amp;""</f>
        <v/>
      </c>
      <c r="B45" s="32"/>
      <c r="C45" s="32" t="str">
        <f>_xlfn.XLOOKUP(B45,Input!J:J,Input!H:H)&amp;""</f>
        <v/>
      </c>
      <c r="D45" s="42">
        <f>_xlfn.XLOOKUP(B45,Input!J:J,Input!F:F)</f>
        <v>0</v>
      </c>
      <c r="E45" s="32">
        <f>_xlfn.XLOOKUP(D45,Models!H:H,Models!G:G,D45)</f>
        <v>0</v>
      </c>
      <c r="F45" s="32">
        <f>_xlfn.XLOOKUP(B45,Input!J:J,Input!E:E)</f>
        <v>0</v>
      </c>
      <c r="G45" s="32">
        <f>IF(F45="LENOVO",_xlfn.XLOOKUP(B45,Input!J:J,Input!K:K),_xlfn.XLOOKUP(B45,Input!J:J,Input!L:L))</f>
        <v>0</v>
      </c>
      <c r="H45" s="32"/>
      <c r="I45" s="32"/>
      <c r="J45" s="32">
        <f>_xlfn.XLOOKUP(B45,CPU_Formula!A:A,CPU_Formula!I:I)</f>
        <v>0</v>
      </c>
      <c r="K45" s="42" t="e">
        <f>INDEX(Input!$D$2:$AC$500,
       MATCH(B45, Input!$J$2:$J$500, 0),
       MATCH("Total Memory", Input!$D$1:$AC$1, 0))</f>
        <v>#N/A</v>
      </c>
      <c r="L45" s="42" t="e">
        <f>INDEX(Input!$D$2:$AC$500,
       MATCH(B45, Input!$J$2:$J$500, 0),
       MATCH("Memory Type", Input!$D$1:$AC$1, 0))</f>
        <v>#N/A</v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e">
        <f t="shared" si="2"/>
        <v>#N/A</v>
      </c>
      <c r="O45" s="42" t="e">
        <f>INDEX(Input!$D$2:$AC$500,
       MATCH(B45, Input!$J$2:$J$500, 0),
       MATCH("Disk Interface Type", Input!$D$1:$AC$1, 0))</f>
        <v>#N/A</v>
      </c>
      <c r="P45" s="42" t="str" cm="1">
        <f t="array" ref="P45">IFERROR(_xlfn.TEXTJOIN(", ", TRUE, _xlfn._xlws.FILTER(
    INDEX(Input!$D$2:$AC$500,,MATCH("Disk Capacity",Input!$D$1:$AC$1,0)),
    Input!$J$2:$J$500=B45
)), "")</f>
        <v/>
      </c>
      <c r="Q45" s="32" t="e">
        <f t="shared" si="1"/>
        <v>#N/A</v>
      </c>
      <c r="R45" s="42" t="e">
        <f>_xlfn.LET(_xlpm.Result,INDEX(Input!$D$2:$AC$500,
       MATCH(B45, Input!$J$2:$J$500, 0),
       MATCH("Capacity", Input!$D$1:$AC$1, 0)),IF(_xlpm.Result="","",_xlpm.Result))</f>
        <v>#N/A</v>
      </c>
      <c r="S45" s="42" t="e" cm="1">
        <f t="array" ref="S45">_xlfn.TEXTSPLIT(R45," / ", ,TRUE,0,)</f>
        <v>#N/A</v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:AD45">IFERROR(IF(_xlfn.XLOOKUP(B45,Input!J:J,Input!N:U)=0,"",
          _xlfn.XLOOKUP(B45,Input!J:J,Input!N:U)),"")</f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42" t="str">
        <v/>
      </c>
      <c r="AE45" s="32" t="str">
        <f t="shared" si="0"/>
        <v/>
      </c>
      <c r="AF45" s="32" t="str">
        <f>_xlfn.XLOOKUP(B:B,Disk_Pivot!G:G,Disk_Pivot!I:I)</f>
        <v>Yes x2</v>
      </c>
      <c r="AG45" s="32" t="str">
        <f>_xlfn.XLOOKUP(B45,Disk_Pivot!G:G,Disk_Pivot!N:N)</f>
        <v>Pass, Fail</v>
      </c>
      <c r="AH45" s="32"/>
      <c r="AI45" s="32"/>
      <c r="AJ45" s="32"/>
      <c r="AK45" s="32"/>
      <c r="AL45" s="32"/>
      <c r="AM45" s="32"/>
    </row>
    <row r="46" spans="1:39">
      <c r="A46" s="32" t="str">
        <f>_xlfn.XLOOKUP(B46,Input!J:J,Input!G:G)&amp;""</f>
        <v/>
      </c>
      <c r="B46" s="32"/>
      <c r="C46" s="32" t="str">
        <f>_xlfn.XLOOKUP(B46,Input!J:J,Input!H:H)&amp;""</f>
        <v/>
      </c>
      <c r="D46" s="42">
        <f>_xlfn.XLOOKUP(B46,Input!J:J,Input!F:F)</f>
        <v>0</v>
      </c>
      <c r="E46" s="32">
        <f>_xlfn.XLOOKUP(D46,Models!H:H,Models!G:G,D46)</f>
        <v>0</v>
      </c>
      <c r="F46" s="32">
        <f>_xlfn.XLOOKUP(B46,Input!J:J,Input!E:E)</f>
        <v>0</v>
      </c>
      <c r="G46" s="32">
        <f>IF(F46="LENOVO",_xlfn.XLOOKUP(B46,Input!J:J,Input!K:K),_xlfn.XLOOKUP(B46,Input!J:J,Input!L:L))</f>
        <v>0</v>
      </c>
      <c r="H46" s="32"/>
      <c r="I46" s="32"/>
      <c r="J46" s="32">
        <f>_xlfn.XLOOKUP(B46,CPU_Formula!A:A,CPU_Formula!I:I)</f>
        <v>0</v>
      </c>
      <c r="K46" s="42" t="e">
        <f>INDEX(Input!$D$2:$AC$500,
       MATCH(B46, Input!$J$2:$J$500, 0),
       MATCH("Total Memory", Input!$D$1:$AC$1, 0))</f>
        <v>#N/A</v>
      </c>
      <c r="L46" s="42" t="e">
        <f>INDEX(Input!$D$2:$AC$500,
       MATCH(B46, Input!$J$2:$J$500, 0),
       MATCH("Memory Type", Input!$D$1:$AC$1, 0))</f>
        <v>#N/A</v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e">
        <f t="shared" si="2"/>
        <v>#N/A</v>
      </c>
      <c r="O46" s="42" t="e">
        <f>INDEX(Input!$D$2:$AC$500,
       MATCH(B46, Input!$J$2:$J$500, 0),
       MATCH("Disk Interface Type", Input!$D$1:$AC$1, 0))</f>
        <v>#N/A</v>
      </c>
      <c r="P46" s="42" t="str" cm="1">
        <f t="array" ref="P46">IFERROR(_xlfn.TEXTJOIN(", ", TRUE, _xlfn._xlws.FILTER(
    INDEX(Input!$D$2:$AC$500,,MATCH("Disk Capacity",Input!$D$1:$AC$1,0)),
    Input!$J$2:$J$500=B46
)), "")</f>
        <v/>
      </c>
      <c r="Q46" s="32" t="e">
        <f t="shared" si="1"/>
        <v>#N/A</v>
      </c>
      <c r="R46" s="42" t="e">
        <f>_xlfn.LET(_xlpm.Result,INDEX(Input!$D$2:$AC$500,
       MATCH(B46, Input!$J$2:$J$500, 0),
       MATCH("Capacity", Input!$D$1:$AC$1, 0)),IF(_xlpm.Result="","",_xlpm.Result))</f>
        <v>#N/A</v>
      </c>
      <c r="S46" s="42" t="e" cm="1">
        <f t="array" ref="S46">_xlfn.TEXTSPLIT(R46," / ", ,TRUE,0,)</f>
        <v>#N/A</v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:AD46">IFERROR(IF(_xlfn.XLOOKUP(B46,Input!J:J,Input!N:U)=0,"",
          _xlfn.XLOOKUP(B46,Input!J:J,Input!N:U)),"")</f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42" t="str">
        <v/>
      </c>
      <c r="AE46" s="32" t="str">
        <f t="shared" si="0"/>
        <v/>
      </c>
      <c r="AF46" s="32" t="str">
        <f>_xlfn.XLOOKUP(B:B,Disk_Pivot!G:G,Disk_Pivot!I:I)</f>
        <v>Yes x2</v>
      </c>
      <c r="AG46" s="32" t="str">
        <f>_xlfn.XLOOKUP(B46,Disk_Pivot!G:G,Disk_Pivot!N:N)</f>
        <v>Pass, Fail</v>
      </c>
      <c r="AH46" s="32"/>
      <c r="AI46" s="32"/>
      <c r="AJ46" s="32"/>
      <c r="AK46" s="32"/>
      <c r="AL46" s="32"/>
      <c r="AM46" s="32"/>
    </row>
    <row r="47" spans="1:39">
      <c r="A47" s="32" t="str">
        <f>_xlfn.XLOOKUP(B47,Input!J:J,Input!G:G)&amp;""</f>
        <v/>
      </c>
      <c r="B47" s="32"/>
      <c r="C47" s="32" t="str">
        <f>_xlfn.XLOOKUP(B47,Input!J:J,Input!H:H)&amp;""</f>
        <v/>
      </c>
      <c r="D47" s="42">
        <f>_xlfn.XLOOKUP(B47,Input!J:J,Input!F:F)</f>
        <v>0</v>
      </c>
      <c r="E47" s="32">
        <f>_xlfn.XLOOKUP(D47,Models!H:H,Models!G:G,D47)</f>
        <v>0</v>
      </c>
      <c r="F47" s="32">
        <f>_xlfn.XLOOKUP(B47,Input!J:J,Input!E:E)</f>
        <v>0</v>
      </c>
      <c r="G47" s="32">
        <f>IF(F47="LENOVO",_xlfn.XLOOKUP(B47,Input!J:J,Input!K:K),_xlfn.XLOOKUP(B47,Input!J:J,Input!L:L))</f>
        <v>0</v>
      </c>
      <c r="H47" s="32"/>
      <c r="I47" s="32"/>
      <c r="J47" s="32">
        <f>_xlfn.XLOOKUP(B47,CPU_Formula!A:A,CPU_Formula!I:I)</f>
        <v>0</v>
      </c>
      <c r="K47" s="42" t="e">
        <f>INDEX(Input!$D$2:$AC$500,
       MATCH(B47, Input!$J$2:$J$500, 0),
       MATCH("Total Memory", Input!$D$1:$AC$1, 0))</f>
        <v>#N/A</v>
      </c>
      <c r="L47" s="42" t="e">
        <f>INDEX(Input!$D$2:$AC$500,
       MATCH(B47, Input!$J$2:$J$500, 0),
       MATCH("Memory Type", Input!$D$1:$AC$1, 0))</f>
        <v>#N/A</v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e">
        <f t="shared" si="2"/>
        <v>#N/A</v>
      </c>
      <c r="O47" s="42" t="e">
        <f>INDEX(Input!$D$2:$AC$500,
       MATCH(B47, Input!$J$2:$J$500, 0),
       MATCH("Disk Interface Type", Input!$D$1:$AC$1, 0))</f>
        <v>#N/A</v>
      </c>
      <c r="P47" s="42" t="str" cm="1">
        <f t="array" ref="P47">IFERROR(_xlfn.TEXTJOIN(", ", TRUE, _xlfn._xlws.FILTER(
    INDEX(Input!$D$2:$AC$500,,MATCH("Disk Capacity",Input!$D$1:$AC$1,0)),
    Input!$J$2:$J$500=B47
)), "")</f>
        <v/>
      </c>
      <c r="Q47" s="32" t="e">
        <f t="shared" si="1"/>
        <v>#N/A</v>
      </c>
      <c r="R47" s="42" t="e">
        <f>_xlfn.LET(_xlpm.Result,INDEX(Input!$D$2:$AC$500,
       MATCH(B47, Input!$J$2:$J$500, 0),
       MATCH("Capacity", Input!$D$1:$AC$1, 0)),IF(_xlpm.Result="","",_xlpm.Result))</f>
        <v>#N/A</v>
      </c>
      <c r="S47" s="42" t="e" cm="1">
        <f t="array" ref="S47">_xlfn.TEXTSPLIT(R47," / ", ,TRUE,0,)</f>
        <v>#N/A</v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:AD47">IFERROR(IF(_xlfn.XLOOKUP(B47,Input!J:J,Input!N:U)=0,"",
          _xlfn.XLOOKUP(B47,Input!J:J,Input!N:U)),"")</f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42" t="str">
        <v/>
      </c>
      <c r="AE47" s="32" t="str">
        <f t="shared" si="0"/>
        <v/>
      </c>
      <c r="AF47" s="32" t="str">
        <f>_xlfn.XLOOKUP(B:B,Disk_Pivot!G:G,Disk_Pivot!I:I)</f>
        <v>Yes x2</v>
      </c>
      <c r="AG47" s="32" t="str">
        <f>_xlfn.XLOOKUP(B47,Disk_Pivot!G:G,Disk_Pivot!N:N)</f>
        <v>Pass, Fail</v>
      </c>
      <c r="AH47" s="32"/>
      <c r="AI47" s="32"/>
      <c r="AJ47" s="32"/>
      <c r="AK47" s="32"/>
      <c r="AL47" s="32"/>
      <c r="AM47" s="32"/>
    </row>
    <row r="48" spans="1:39">
      <c r="A48" s="32" t="str">
        <f>_xlfn.XLOOKUP(B48,Input!J:J,Input!G:G)&amp;""</f>
        <v/>
      </c>
      <c r="B48" s="32"/>
      <c r="C48" s="32" t="str">
        <f>_xlfn.XLOOKUP(B48,Input!J:J,Input!H:H)&amp;""</f>
        <v/>
      </c>
      <c r="D48" s="42">
        <f>_xlfn.XLOOKUP(B48,Input!J:J,Input!F:F)</f>
        <v>0</v>
      </c>
      <c r="E48" s="32">
        <f>_xlfn.XLOOKUP(D48,Models!H:H,Models!G:G,D48)</f>
        <v>0</v>
      </c>
      <c r="F48" s="32">
        <f>_xlfn.XLOOKUP(B48,Input!J:J,Input!E:E)</f>
        <v>0</v>
      </c>
      <c r="G48" s="32">
        <f>IF(F48="LENOVO",_xlfn.XLOOKUP(B48,Input!J:J,Input!K:K),_xlfn.XLOOKUP(B48,Input!J:J,Input!L:L))</f>
        <v>0</v>
      </c>
      <c r="H48" s="32"/>
      <c r="I48" s="32"/>
      <c r="J48" s="32">
        <f>_xlfn.XLOOKUP(B48,CPU_Formula!A:A,CPU_Formula!I:I)</f>
        <v>0</v>
      </c>
      <c r="K48" s="42" t="e">
        <f>INDEX(Input!$D$2:$AC$500,
       MATCH(B48, Input!$J$2:$J$500, 0),
       MATCH("Total Memory", Input!$D$1:$AC$1, 0))</f>
        <v>#N/A</v>
      </c>
      <c r="L48" s="42" t="e">
        <f>INDEX(Input!$D$2:$AC$500,
       MATCH(B48, Input!$J$2:$J$500, 0),
       MATCH("Memory Type", Input!$D$1:$AC$1, 0))</f>
        <v>#N/A</v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e">
        <f t="shared" si="2"/>
        <v>#N/A</v>
      </c>
      <c r="O48" s="42" t="e">
        <f>INDEX(Input!$D$2:$AC$500,
       MATCH(B48, Input!$J$2:$J$500, 0),
       MATCH("Disk Interface Type", Input!$D$1:$AC$1, 0))</f>
        <v>#N/A</v>
      </c>
      <c r="P48" s="42" t="str" cm="1">
        <f t="array" ref="P48">IFERROR(_xlfn.TEXTJOIN(", ", TRUE, _xlfn._xlws.FILTER(
    INDEX(Input!$D$2:$AC$500,,MATCH("Disk Capacity",Input!$D$1:$AC$1,0)),
    Input!$J$2:$J$500=B48
)), "")</f>
        <v/>
      </c>
      <c r="Q48" s="32" t="e">
        <f t="shared" si="1"/>
        <v>#N/A</v>
      </c>
      <c r="R48" s="42" t="e">
        <f>_xlfn.LET(_xlpm.Result,INDEX(Input!$D$2:$AC$500,
       MATCH(B48, Input!$J$2:$J$500, 0),
       MATCH("Capacity", Input!$D$1:$AC$1, 0)),IF(_xlpm.Result="","",_xlpm.Result))</f>
        <v>#N/A</v>
      </c>
      <c r="S48" s="42" t="e" cm="1">
        <f t="array" ref="S48">_xlfn.TEXTSPLIT(R48," / ", ,TRUE,0,)</f>
        <v>#N/A</v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:AD48">IFERROR(IF(_xlfn.XLOOKUP(B48,Input!J:J,Input!N:U)=0,"",
          _xlfn.XLOOKUP(B48,Input!J:J,Input!N:U)),"")</f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42" t="str">
        <v/>
      </c>
      <c r="AE48" s="32" t="str">
        <f t="shared" si="0"/>
        <v/>
      </c>
      <c r="AF48" s="32" t="str">
        <f>_xlfn.XLOOKUP(B:B,Disk_Pivot!G:G,Disk_Pivot!I:I)</f>
        <v>Yes x2</v>
      </c>
      <c r="AG48" s="32" t="str">
        <f>_xlfn.XLOOKUP(B48,Disk_Pivot!G:G,Disk_Pivot!N:N)</f>
        <v>Pass, Fail</v>
      </c>
      <c r="AH48" s="32"/>
      <c r="AI48" s="32"/>
      <c r="AJ48" s="32"/>
      <c r="AK48" s="32"/>
      <c r="AL48" s="32"/>
      <c r="AM48" s="32"/>
    </row>
    <row r="49" spans="1:39">
      <c r="A49" s="32" t="str">
        <f>_xlfn.XLOOKUP(B49,Input!J:J,Input!G:G)&amp;""</f>
        <v/>
      </c>
      <c r="B49" s="32"/>
      <c r="C49" s="32" t="str">
        <f>_xlfn.XLOOKUP(B49,Input!J:J,Input!H:H)&amp;""</f>
        <v/>
      </c>
      <c r="D49" s="42">
        <f>_xlfn.XLOOKUP(B49,Input!J:J,Input!F:F)</f>
        <v>0</v>
      </c>
      <c r="E49" s="32">
        <f>_xlfn.XLOOKUP(D49,Models!H:H,Models!G:G,D49)</f>
        <v>0</v>
      </c>
      <c r="F49" s="32">
        <f>_xlfn.XLOOKUP(B49,Input!J:J,Input!E:E)</f>
        <v>0</v>
      </c>
      <c r="G49" s="32">
        <f>IF(F49="LENOVO",_xlfn.XLOOKUP(B49,Input!J:J,Input!K:K),_xlfn.XLOOKUP(B49,Input!J:J,Input!L:L))</f>
        <v>0</v>
      </c>
      <c r="H49" s="32"/>
      <c r="I49" s="32"/>
      <c r="J49" s="32">
        <f>_xlfn.XLOOKUP(B49,CPU_Formula!A:A,CPU_Formula!I:I)</f>
        <v>0</v>
      </c>
      <c r="K49" s="42" t="e">
        <f>INDEX(Input!$D$2:$AC$500,
       MATCH(B49, Input!$J$2:$J$500, 0),
       MATCH("Total Memory", Input!$D$1:$AC$1, 0))</f>
        <v>#N/A</v>
      </c>
      <c r="L49" s="42" t="e">
        <f>INDEX(Input!$D$2:$AC$500,
       MATCH(B49, Input!$J$2:$J$500, 0),
       MATCH("Memory Type", Input!$D$1:$AC$1, 0))</f>
        <v>#N/A</v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e">
        <f t="shared" si="2"/>
        <v>#N/A</v>
      </c>
      <c r="O49" s="42" t="e">
        <f>INDEX(Input!$D$2:$AC$500,
       MATCH(B49, Input!$J$2:$J$500, 0),
       MATCH("Disk Interface Type", Input!$D$1:$AC$1, 0))</f>
        <v>#N/A</v>
      </c>
      <c r="P49" s="42" t="str" cm="1">
        <f t="array" ref="P49">IFERROR(_xlfn.TEXTJOIN(", ", TRUE, _xlfn._xlws.FILTER(
    INDEX(Input!$D$2:$AC$500,,MATCH("Disk Capacity",Input!$D$1:$AC$1,0)),
    Input!$J$2:$J$500=B49
)), "")</f>
        <v/>
      </c>
      <c r="Q49" s="32" t="e">
        <f t="shared" si="1"/>
        <v>#N/A</v>
      </c>
      <c r="R49" s="42" t="e">
        <f>_xlfn.LET(_xlpm.Result,INDEX(Input!$D$2:$AC$500,
       MATCH(B49, Input!$J$2:$J$500, 0),
       MATCH("Capacity", Input!$D$1:$AC$1, 0)),IF(_xlpm.Result="","",_xlpm.Result))</f>
        <v>#N/A</v>
      </c>
      <c r="S49" s="42" t="e" cm="1">
        <f t="array" ref="S49">_xlfn.TEXTSPLIT(R49," / ", ,TRUE,0,)</f>
        <v>#N/A</v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:AD49">IFERROR(IF(_xlfn.XLOOKUP(B49,Input!J:J,Input!N:U)=0,"",
          _xlfn.XLOOKUP(B49,Input!J:J,Input!N:U)),"")</f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42" t="str">
        <v/>
      </c>
      <c r="AE49" s="32" t="str">
        <f t="shared" si="0"/>
        <v/>
      </c>
      <c r="AF49" s="32" t="str">
        <f>_xlfn.XLOOKUP(B:B,Disk_Pivot!G:G,Disk_Pivot!I:I)</f>
        <v>Yes x2</v>
      </c>
      <c r="AG49" s="32" t="str">
        <f>_xlfn.XLOOKUP(B49,Disk_Pivot!G:G,Disk_Pivot!N:N)</f>
        <v>Pass, Fail</v>
      </c>
      <c r="AH49" s="32"/>
      <c r="AI49" s="32"/>
      <c r="AJ49" s="32"/>
      <c r="AK49" s="32"/>
      <c r="AL49" s="32"/>
      <c r="AM49" s="32"/>
    </row>
    <row r="50" spans="1:39">
      <c r="A50" s="32" t="str">
        <f>_xlfn.XLOOKUP(B50,Input!J:J,Input!G:G)&amp;""</f>
        <v/>
      </c>
      <c r="B50" s="32"/>
      <c r="C50" s="32" t="str">
        <f>_xlfn.XLOOKUP(B50,Input!J:J,Input!H:H)&amp;""</f>
        <v/>
      </c>
      <c r="D50" s="42">
        <f>_xlfn.XLOOKUP(B50,Input!J:J,Input!F:F)</f>
        <v>0</v>
      </c>
      <c r="E50" s="32">
        <f>_xlfn.XLOOKUP(D50,Models!H:H,Models!G:G,D50)</f>
        <v>0</v>
      </c>
      <c r="F50" s="32">
        <f>_xlfn.XLOOKUP(B50,Input!J:J,Input!E:E)</f>
        <v>0</v>
      </c>
      <c r="G50" s="32">
        <f>IF(F50="LENOVO",_xlfn.XLOOKUP(B50,Input!J:J,Input!K:K),_xlfn.XLOOKUP(B50,Input!J:J,Input!L:L))</f>
        <v>0</v>
      </c>
      <c r="H50" s="32"/>
      <c r="I50" s="32"/>
      <c r="J50" s="32">
        <f>_xlfn.XLOOKUP(B50,CPU_Formula!A:A,CPU_Formula!I:I)</f>
        <v>0</v>
      </c>
      <c r="K50" s="42" t="e">
        <f>INDEX(Input!$D$2:$AC$500,
       MATCH(B50, Input!$J$2:$J$500, 0),
       MATCH("Total Memory", Input!$D$1:$AC$1, 0))</f>
        <v>#N/A</v>
      </c>
      <c r="L50" s="42" t="e">
        <f>INDEX(Input!$D$2:$AC$500,
       MATCH(B50, Input!$J$2:$J$500, 0),
       MATCH("Memory Type", Input!$D$1:$AC$1, 0))</f>
        <v>#N/A</v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e">
        <f t="shared" si="2"/>
        <v>#N/A</v>
      </c>
      <c r="O50" s="42" t="e">
        <f>INDEX(Input!$D$2:$AC$500,
       MATCH(B50, Input!$J$2:$J$500, 0),
       MATCH("Disk Interface Type", Input!$D$1:$AC$1, 0))</f>
        <v>#N/A</v>
      </c>
      <c r="P50" s="42" t="str" cm="1">
        <f t="array" ref="P50">IFERROR(_xlfn.TEXTJOIN(", ", TRUE, _xlfn._xlws.FILTER(
    INDEX(Input!$D$2:$AC$500,,MATCH("Disk Capacity",Input!$D$1:$AC$1,0)),
    Input!$J$2:$J$500=B50
)), "")</f>
        <v/>
      </c>
      <c r="Q50" s="32" t="e">
        <f t="shared" si="1"/>
        <v>#N/A</v>
      </c>
      <c r="R50" s="42" t="e">
        <f>_xlfn.LET(_xlpm.Result,INDEX(Input!$D$2:$AC$500,
       MATCH(B50, Input!$J$2:$J$500, 0),
       MATCH("Capacity", Input!$D$1:$AC$1, 0)),IF(_xlpm.Result="","",_xlpm.Result))</f>
        <v>#N/A</v>
      </c>
      <c r="S50" s="42" t="e" cm="1">
        <f t="array" ref="S50">_xlfn.TEXTSPLIT(R50," / ", ,TRUE,0,)</f>
        <v>#N/A</v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:AD50">IFERROR(IF(_xlfn.XLOOKUP(B50,Input!J:J,Input!N:U)=0,"",
          _xlfn.XLOOKUP(B50,Input!J:J,Input!N:U)),"")</f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42" t="str">
        <v/>
      </c>
      <c r="AE50" s="32" t="str">
        <f t="shared" si="0"/>
        <v/>
      </c>
      <c r="AF50" s="32" t="str">
        <f>_xlfn.XLOOKUP(B:B,Disk_Pivot!G:G,Disk_Pivot!I:I)</f>
        <v>Yes x2</v>
      </c>
      <c r="AG50" s="32" t="str">
        <f>_xlfn.XLOOKUP(B50,Disk_Pivot!G:G,Disk_Pivot!N:N)</f>
        <v>Pass, Fail</v>
      </c>
      <c r="AH50" s="32"/>
      <c r="AI50" s="32"/>
      <c r="AJ50" s="32"/>
      <c r="AK50" s="32"/>
      <c r="AL50" s="32"/>
      <c r="AM50" s="32"/>
    </row>
    <row r="51" spans="1:39">
      <c r="A51" s="32" t="str">
        <f>_xlfn.XLOOKUP(B51,Input!J:J,Input!G:G)&amp;""</f>
        <v/>
      </c>
      <c r="B51" s="32"/>
      <c r="C51" s="32" t="str">
        <f>_xlfn.XLOOKUP(B51,Input!J:J,Input!H:H)&amp;""</f>
        <v/>
      </c>
      <c r="D51" s="42">
        <f>_xlfn.XLOOKUP(B51,Input!J:J,Input!F:F)</f>
        <v>0</v>
      </c>
      <c r="E51" s="32">
        <f>_xlfn.XLOOKUP(D51,Models!H:H,Models!G:G,D51)</f>
        <v>0</v>
      </c>
      <c r="F51" s="32">
        <f>_xlfn.XLOOKUP(B51,Input!J:J,Input!E:E)</f>
        <v>0</v>
      </c>
      <c r="G51" s="32">
        <f>IF(F51="LENOVO",_xlfn.XLOOKUP(B51,Input!J:J,Input!K:K),_xlfn.XLOOKUP(B51,Input!J:J,Input!L:L))</f>
        <v>0</v>
      </c>
      <c r="H51" s="32"/>
      <c r="I51" s="32"/>
      <c r="J51" s="32">
        <f>_xlfn.XLOOKUP(B51,CPU_Formula!A:A,CPU_Formula!I:I)</f>
        <v>0</v>
      </c>
      <c r="K51" s="42" t="e">
        <f>INDEX(Input!$D$2:$AC$500,
       MATCH(B51, Input!$J$2:$J$500, 0),
       MATCH("Total Memory", Input!$D$1:$AC$1, 0))</f>
        <v>#N/A</v>
      </c>
      <c r="L51" s="42" t="e">
        <f>INDEX(Input!$D$2:$AC$500,
       MATCH(B51, Input!$J$2:$J$500, 0),
       MATCH("Memory Type", Input!$D$1:$AC$1, 0))</f>
        <v>#N/A</v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e">
        <f t="shared" si="2"/>
        <v>#N/A</v>
      </c>
      <c r="O51" s="42" t="e">
        <f>INDEX(Input!$D$2:$AC$500,
       MATCH(B51, Input!$J$2:$J$500, 0),
       MATCH("Disk Interface Type", Input!$D$1:$AC$1, 0))</f>
        <v>#N/A</v>
      </c>
      <c r="P51" s="42" t="str" cm="1">
        <f t="array" ref="P51">IFERROR(_xlfn.TEXTJOIN(", ", TRUE, _xlfn._xlws.FILTER(
    INDEX(Input!$D$2:$AC$500,,MATCH("Disk Capacity",Input!$D$1:$AC$1,0)),
    Input!$J$2:$J$500=B51
)), "")</f>
        <v/>
      </c>
      <c r="Q51" s="32" t="e">
        <f t="shared" si="1"/>
        <v>#N/A</v>
      </c>
      <c r="R51" s="42" t="e">
        <f>_xlfn.LET(_xlpm.Result,INDEX(Input!$D$2:$AC$500,
       MATCH(B51, Input!$J$2:$J$500, 0),
       MATCH("Capacity", Input!$D$1:$AC$1, 0)),IF(_xlpm.Result="","",_xlpm.Result))</f>
        <v>#N/A</v>
      </c>
      <c r="S51" s="42" t="e" cm="1">
        <f t="array" ref="S51">_xlfn.TEXTSPLIT(R51," / ", ,TRUE,0,)</f>
        <v>#N/A</v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:AD51">IFERROR(IF(_xlfn.XLOOKUP(B51,Input!J:J,Input!N:U)=0,"",
          _xlfn.XLOOKUP(B51,Input!J:J,Input!N:U)),"")</f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42" t="str">
        <v/>
      </c>
      <c r="AE51" s="32" t="str">
        <f t="shared" si="0"/>
        <v/>
      </c>
      <c r="AF51" s="32" t="str">
        <f>_xlfn.XLOOKUP(B:B,Disk_Pivot!G:G,Disk_Pivot!I:I)</f>
        <v>Yes x2</v>
      </c>
      <c r="AG51" s="32" t="str">
        <f>_xlfn.XLOOKUP(B51,Disk_Pivot!G:G,Disk_Pivot!N:N)</f>
        <v>Pass, Fail</v>
      </c>
      <c r="AH51" s="32"/>
      <c r="AI51" s="32"/>
      <c r="AJ51" s="32"/>
      <c r="AK51" s="32"/>
      <c r="AL51" s="32"/>
      <c r="AM51" s="32"/>
    </row>
    <row r="52" spans="1:39">
      <c r="A52" s="32" t="str">
        <f>_xlfn.XLOOKUP(B52,Input!J:J,Input!G:G)&amp;""</f>
        <v/>
      </c>
      <c r="B52" s="32"/>
      <c r="C52" s="32" t="str">
        <f>_xlfn.XLOOKUP(B52,Input!J:J,Input!H:H)&amp;""</f>
        <v/>
      </c>
      <c r="D52" s="42">
        <f>_xlfn.XLOOKUP(B52,Input!J:J,Input!F:F)</f>
        <v>0</v>
      </c>
      <c r="E52" s="32">
        <f>_xlfn.XLOOKUP(D52,Models!H:H,Models!G:G,D52)</f>
        <v>0</v>
      </c>
      <c r="F52" s="32">
        <f>_xlfn.XLOOKUP(B52,Input!J:J,Input!E:E)</f>
        <v>0</v>
      </c>
      <c r="G52" s="32">
        <f>IF(F52="LENOVO",_xlfn.XLOOKUP(B52,Input!J:J,Input!K:K),_xlfn.XLOOKUP(B52,Input!J:J,Input!L:L))</f>
        <v>0</v>
      </c>
      <c r="H52" s="32"/>
      <c r="I52" s="32"/>
      <c r="J52" s="32">
        <f>_xlfn.XLOOKUP(B52,CPU_Formula!A:A,CPU_Formula!I:I)</f>
        <v>0</v>
      </c>
      <c r="K52" s="42" t="e">
        <f>INDEX(Input!$D$2:$AC$500,
       MATCH(B52, Input!$J$2:$J$500, 0),
       MATCH("Total Memory", Input!$D$1:$AC$1, 0))</f>
        <v>#N/A</v>
      </c>
      <c r="L52" s="42" t="e">
        <f>INDEX(Input!$D$2:$AC$500,
       MATCH(B52, Input!$J$2:$J$500, 0),
       MATCH("Memory Type", Input!$D$1:$AC$1, 0))</f>
        <v>#N/A</v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e">
        <f t="shared" si="2"/>
        <v>#N/A</v>
      </c>
      <c r="O52" s="42" t="e">
        <f>INDEX(Input!$D$2:$AC$500,
       MATCH(B52, Input!$J$2:$J$500, 0),
       MATCH("Disk Interface Type", Input!$D$1:$AC$1, 0))</f>
        <v>#N/A</v>
      </c>
      <c r="P52" s="42" t="str" cm="1">
        <f t="array" ref="P52">IFERROR(_xlfn.TEXTJOIN(", ", TRUE, _xlfn._xlws.FILTER(
    INDEX(Input!$D$2:$AC$500,,MATCH("Disk Capacity",Input!$D$1:$AC$1,0)),
    Input!$J$2:$J$500=B52
)), "")</f>
        <v/>
      </c>
      <c r="Q52" s="32" t="e">
        <f t="shared" si="1"/>
        <v>#N/A</v>
      </c>
      <c r="R52" s="42" t="e">
        <f>_xlfn.LET(_xlpm.Result,INDEX(Input!$D$2:$AC$500,
       MATCH(B52, Input!$J$2:$J$500, 0),
       MATCH("Capacity", Input!$D$1:$AC$1, 0)),IF(_xlpm.Result="","",_xlpm.Result))</f>
        <v>#N/A</v>
      </c>
      <c r="S52" s="42" t="e" cm="1">
        <f t="array" ref="S52">_xlfn.TEXTSPLIT(R52," / ", ,TRUE,0,)</f>
        <v>#N/A</v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:AD52">IFERROR(IF(_xlfn.XLOOKUP(B52,Input!J:J,Input!N:U)=0,"",
          _xlfn.XLOOKUP(B52,Input!J:J,Input!N:U)),"")</f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42" t="str">
        <v/>
      </c>
      <c r="AE52" s="32" t="str">
        <f t="shared" si="0"/>
        <v/>
      </c>
      <c r="AF52" s="32" t="str">
        <f>_xlfn.XLOOKUP(B:B,Disk_Pivot!G:G,Disk_Pivot!I:I)</f>
        <v>Yes x2</v>
      </c>
      <c r="AG52" s="32" t="str">
        <f>_xlfn.XLOOKUP(B52,Disk_Pivot!G:G,Disk_Pivot!N:N)</f>
        <v>Pass, Fail</v>
      </c>
      <c r="AH52" s="32"/>
      <c r="AI52" s="32"/>
      <c r="AJ52" s="32"/>
      <c r="AK52" s="32"/>
      <c r="AL52" s="32"/>
      <c r="AM52" s="32"/>
    </row>
    <row r="53" spans="1:39">
      <c r="A53" s="32" t="str">
        <f>_xlfn.XLOOKUP(B53,Input!J:J,Input!G:G)&amp;""</f>
        <v/>
      </c>
      <c r="B53" s="32"/>
      <c r="C53" s="32" t="str">
        <f>_xlfn.XLOOKUP(B53,Input!J:J,Input!H:H)&amp;""</f>
        <v/>
      </c>
      <c r="D53" s="42">
        <f>_xlfn.XLOOKUP(B53,Input!J:J,Input!F:F)</f>
        <v>0</v>
      </c>
      <c r="E53" s="32">
        <f>_xlfn.XLOOKUP(D53,Models!H:H,Models!G:G,D53)</f>
        <v>0</v>
      </c>
      <c r="F53" s="32">
        <f>_xlfn.XLOOKUP(B53,Input!J:J,Input!E:E)</f>
        <v>0</v>
      </c>
      <c r="G53" s="32">
        <f>IF(F53="LENOVO",_xlfn.XLOOKUP(B53,Input!J:J,Input!K:K),_xlfn.XLOOKUP(B53,Input!J:J,Input!L:L))</f>
        <v>0</v>
      </c>
      <c r="H53" s="32"/>
      <c r="I53" s="32"/>
      <c r="J53" s="32">
        <f>_xlfn.XLOOKUP(B53,CPU_Formula!A:A,CPU_Formula!I:I)</f>
        <v>0</v>
      </c>
      <c r="K53" s="42" t="e">
        <f>INDEX(Input!$D$2:$AC$500,
       MATCH(B53, Input!$J$2:$J$500, 0),
       MATCH("Total Memory", Input!$D$1:$AC$1, 0))</f>
        <v>#N/A</v>
      </c>
      <c r="L53" s="42" t="e">
        <f>INDEX(Input!$D$2:$AC$500,
       MATCH(B53, Input!$J$2:$J$500, 0),
       MATCH("Memory Type", Input!$D$1:$AC$1, 0))</f>
        <v>#N/A</v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e">
        <f t="shared" si="2"/>
        <v>#N/A</v>
      </c>
      <c r="O53" s="42" t="e">
        <f>INDEX(Input!$D$2:$AC$500,
       MATCH(B53, Input!$J$2:$J$500, 0),
       MATCH("Disk Interface Type", Input!$D$1:$AC$1, 0))</f>
        <v>#N/A</v>
      </c>
      <c r="P53" s="42" t="str" cm="1">
        <f t="array" ref="P53">IFERROR(_xlfn.TEXTJOIN(", ", TRUE, _xlfn._xlws.FILTER(
    INDEX(Input!$D$2:$AC$500,,MATCH("Disk Capacity",Input!$D$1:$AC$1,0)),
    Input!$J$2:$J$500=B53
)), "")</f>
        <v/>
      </c>
      <c r="Q53" s="32" t="e">
        <f t="shared" si="1"/>
        <v>#N/A</v>
      </c>
      <c r="R53" s="42" t="e">
        <f>_xlfn.LET(_xlpm.Result,INDEX(Input!$D$2:$AC$500,
       MATCH(B53, Input!$J$2:$J$500, 0),
       MATCH("Capacity", Input!$D$1:$AC$1, 0)),IF(_xlpm.Result="","",_xlpm.Result))</f>
        <v>#N/A</v>
      </c>
      <c r="S53" s="42" t="e" cm="1">
        <f t="array" ref="S53">_xlfn.TEXTSPLIT(R53," / ", ,TRUE,0,)</f>
        <v>#N/A</v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:AD53">IFERROR(IF(_xlfn.XLOOKUP(B53,Input!J:J,Input!N:U)=0,"",
          _xlfn.XLOOKUP(B53,Input!J:J,Input!N:U)),"")</f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42" t="str">
        <v/>
      </c>
      <c r="AE53" s="32" t="str">
        <f t="shared" si="0"/>
        <v/>
      </c>
      <c r="AF53" s="32" t="str">
        <f>_xlfn.XLOOKUP(B:B,Disk_Pivot!G:G,Disk_Pivot!I:I)</f>
        <v>Yes x2</v>
      </c>
      <c r="AG53" s="32" t="str">
        <f>_xlfn.XLOOKUP(B53,Disk_Pivot!G:G,Disk_Pivot!N:N)</f>
        <v>Pass, Fail</v>
      </c>
      <c r="AH53" s="32"/>
      <c r="AI53" s="32"/>
      <c r="AJ53" s="32"/>
      <c r="AK53" s="32"/>
      <c r="AL53" s="32"/>
      <c r="AM53" s="32"/>
    </row>
    <row r="54" spans="1:39">
      <c r="A54" s="32" t="str">
        <f>_xlfn.XLOOKUP(B54,Input!J:J,Input!G:G)&amp;""</f>
        <v/>
      </c>
      <c r="B54" s="32"/>
      <c r="C54" s="32" t="str">
        <f>_xlfn.XLOOKUP(B54,Input!J:J,Input!H:H)&amp;""</f>
        <v/>
      </c>
      <c r="D54" s="42">
        <f>_xlfn.XLOOKUP(B54,Input!J:J,Input!F:F)</f>
        <v>0</v>
      </c>
      <c r="E54" s="32">
        <f>_xlfn.XLOOKUP(D54,Models!H:H,Models!G:G,D54)</f>
        <v>0</v>
      </c>
      <c r="F54" s="32">
        <f>_xlfn.XLOOKUP(B54,Input!J:J,Input!E:E)</f>
        <v>0</v>
      </c>
      <c r="G54" s="32">
        <f>IF(F54="LENOVO",_xlfn.XLOOKUP(B54,Input!J:J,Input!K:K),_xlfn.XLOOKUP(B54,Input!J:J,Input!L:L))</f>
        <v>0</v>
      </c>
      <c r="H54" s="32"/>
      <c r="I54" s="32"/>
      <c r="J54" s="32">
        <f>_xlfn.XLOOKUP(B54,CPU_Formula!A:A,CPU_Formula!I:I)</f>
        <v>0</v>
      </c>
      <c r="K54" s="42" t="e">
        <f>INDEX(Input!$D$2:$AC$500,
       MATCH(B54, Input!$J$2:$J$500, 0),
       MATCH("Total Memory", Input!$D$1:$AC$1, 0))</f>
        <v>#N/A</v>
      </c>
      <c r="L54" s="42" t="e">
        <f>INDEX(Input!$D$2:$AC$500,
       MATCH(B54, Input!$J$2:$J$500, 0),
       MATCH("Memory Type", Input!$D$1:$AC$1, 0))</f>
        <v>#N/A</v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e">
        <f t="shared" si="2"/>
        <v>#N/A</v>
      </c>
      <c r="O54" s="42" t="e">
        <f>INDEX(Input!$D$2:$AC$500,
       MATCH(B54, Input!$J$2:$J$500, 0),
       MATCH("Disk Interface Type", Input!$D$1:$AC$1, 0))</f>
        <v>#N/A</v>
      </c>
      <c r="P54" s="42" t="str" cm="1">
        <f t="array" ref="P54">IFERROR(_xlfn.TEXTJOIN(", ", TRUE, _xlfn._xlws.FILTER(
    INDEX(Input!$D$2:$AC$500,,MATCH("Disk Capacity",Input!$D$1:$AC$1,0)),
    Input!$J$2:$J$500=B54
)), "")</f>
        <v/>
      </c>
      <c r="Q54" s="32" t="e">
        <f t="shared" si="1"/>
        <v>#N/A</v>
      </c>
      <c r="R54" s="42" t="e">
        <f>_xlfn.LET(_xlpm.Result,INDEX(Input!$D$2:$AC$500,
       MATCH(B54, Input!$J$2:$J$500, 0),
       MATCH("Capacity", Input!$D$1:$AC$1, 0)),IF(_xlpm.Result="","",_xlpm.Result))</f>
        <v>#N/A</v>
      </c>
      <c r="S54" s="42" t="e" cm="1">
        <f t="array" ref="S54">_xlfn.TEXTSPLIT(R54," / ", ,TRUE,0,)</f>
        <v>#N/A</v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:AD54">IFERROR(IF(_xlfn.XLOOKUP(B54,Input!J:J,Input!N:U)=0,"",
          _xlfn.XLOOKUP(B54,Input!J:J,Input!N:U)),"")</f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42" t="str">
        <v/>
      </c>
      <c r="AE54" s="32" t="str">
        <f t="shared" si="0"/>
        <v/>
      </c>
      <c r="AF54" s="32" t="str">
        <f>_xlfn.XLOOKUP(B:B,Disk_Pivot!G:G,Disk_Pivot!I:I)</f>
        <v>Yes x2</v>
      </c>
      <c r="AG54" s="32" t="str">
        <f>_xlfn.XLOOKUP(B54,Disk_Pivot!G:G,Disk_Pivot!N:N)</f>
        <v>Pass, Fail</v>
      </c>
      <c r="AH54" s="32"/>
      <c r="AI54" s="32"/>
      <c r="AJ54" s="32"/>
      <c r="AK54" s="32"/>
      <c r="AL54" s="32"/>
      <c r="AM54" s="32"/>
    </row>
    <row r="55" spans="1:39">
      <c r="A55" s="32" t="str">
        <f>_xlfn.XLOOKUP(B55,Input!J:J,Input!G:G)&amp;""</f>
        <v/>
      </c>
      <c r="B55" s="32"/>
      <c r="C55" s="32" t="str">
        <f>_xlfn.XLOOKUP(B55,Input!J:J,Input!H:H)&amp;""</f>
        <v/>
      </c>
      <c r="D55" s="42">
        <f>_xlfn.XLOOKUP(B55,Input!J:J,Input!F:F)</f>
        <v>0</v>
      </c>
      <c r="E55" s="32">
        <f>_xlfn.XLOOKUP(D55,Models!H:H,Models!G:G,D55)</f>
        <v>0</v>
      </c>
      <c r="F55" s="32">
        <f>_xlfn.XLOOKUP(B55,Input!J:J,Input!E:E)</f>
        <v>0</v>
      </c>
      <c r="G55" s="32">
        <f>IF(F55="LENOVO",_xlfn.XLOOKUP(B55,Input!J:J,Input!K:K),_xlfn.XLOOKUP(B55,Input!J:J,Input!L:L))</f>
        <v>0</v>
      </c>
      <c r="H55" s="32"/>
      <c r="I55" s="32"/>
      <c r="J55" s="32">
        <f>_xlfn.XLOOKUP(B55,CPU_Formula!A:A,CPU_Formula!I:I)</f>
        <v>0</v>
      </c>
      <c r="K55" s="42" t="e">
        <f>INDEX(Input!$D$2:$AC$500,
       MATCH(B55, Input!$J$2:$J$500, 0),
       MATCH("Total Memory", Input!$D$1:$AC$1, 0))</f>
        <v>#N/A</v>
      </c>
      <c r="L55" s="42" t="e">
        <f>INDEX(Input!$D$2:$AC$500,
       MATCH(B55, Input!$J$2:$J$500, 0),
       MATCH("Memory Type", Input!$D$1:$AC$1, 0))</f>
        <v>#N/A</v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e">
        <f t="shared" si="2"/>
        <v>#N/A</v>
      </c>
      <c r="O55" s="42" t="e">
        <f>INDEX(Input!$D$2:$AC$500,
       MATCH(B55, Input!$J$2:$J$500, 0),
       MATCH("Disk Interface Type", Input!$D$1:$AC$1, 0))</f>
        <v>#N/A</v>
      </c>
      <c r="P55" s="42" t="str" cm="1">
        <f t="array" ref="P55">IFERROR(_xlfn.TEXTJOIN(", ", TRUE, _xlfn._xlws.FILTER(
    INDEX(Input!$D$2:$AC$500,,MATCH("Disk Capacity",Input!$D$1:$AC$1,0)),
    Input!$J$2:$J$500=B55
)), "")</f>
        <v/>
      </c>
      <c r="Q55" s="32" t="e">
        <f t="shared" si="1"/>
        <v>#N/A</v>
      </c>
      <c r="R55" s="42" t="e">
        <f>_xlfn.LET(_xlpm.Result,INDEX(Input!$D$2:$AC$500,
       MATCH(B55, Input!$J$2:$J$500, 0),
       MATCH("Capacity", Input!$D$1:$AC$1, 0)),IF(_xlpm.Result="","",_xlpm.Result))</f>
        <v>#N/A</v>
      </c>
      <c r="S55" s="42" t="e" cm="1">
        <f t="array" ref="S55">_xlfn.TEXTSPLIT(R55," / ", ,TRUE,0,)</f>
        <v>#N/A</v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:AD55">IFERROR(IF(_xlfn.XLOOKUP(B55,Input!J:J,Input!N:U)=0,"",
          _xlfn.XLOOKUP(B55,Input!J:J,Input!N:U)),"")</f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42" t="str">
        <v/>
      </c>
      <c r="AE55" s="32" t="str">
        <f t="shared" si="0"/>
        <v/>
      </c>
      <c r="AF55" s="32" t="str">
        <f>_xlfn.XLOOKUP(B:B,Disk_Pivot!G:G,Disk_Pivot!I:I)</f>
        <v>Yes x2</v>
      </c>
      <c r="AG55" s="32" t="str">
        <f>_xlfn.XLOOKUP(B55,Disk_Pivot!G:G,Disk_Pivot!N:N)</f>
        <v>Pass, Fail</v>
      </c>
      <c r="AH55" s="32"/>
      <c r="AI55" s="32"/>
      <c r="AJ55" s="32"/>
      <c r="AK55" s="32"/>
      <c r="AL55" s="32"/>
      <c r="AM55" s="32"/>
    </row>
    <row r="56" spans="1:39">
      <c r="A56" s="32" t="str">
        <f>_xlfn.XLOOKUP(B56,Input!J:J,Input!G:G)&amp;""</f>
        <v/>
      </c>
      <c r="B56" s="32"/>
      <c r="C56" s="32" t="str">
        <f>_xlfn.XLOOKUP(B56,Input!J:J,Input!H:H)&amp;""</f>
        <v/>
      </c>
      <c r="D56" s="42">
        <f>_xlfn.XLOOKUP(B56,Input!J:J,Input!F:F)</f>
        <v>0</v>
      </c>
      <c r="E56" s="32">
        <f>_xlfn.XLOOKUP(D56,Models!H:H,Models!G:G,D56)</f>
        <v>0</v>
      </c>
      <c r="F56" s="32">
        <f>_xlfn.XLOOKUP(B56,Input!J:J,Input!E:E)</f>
        <v>0</v>
      </c>
      <c r="G56" s="32">
        <f>IF(F56="LENOVO",_xlfn.XLOOKUP(B56,Input!J:J,Input!K:K),_xlfn.XLOOKUP(B56,Input!J:J,Input!L:L))</f>
        <v>0</v>
      </c>
      <c r="H56" s="32"/>
      <c r="I56" s="32"/>
      <c r="J56" s="32">
        <f>_xlfn.XLOOKUP(B56,CPU_Formula!A:A,CPU_Formula!I:I)</f>
        <v>0</v>
      </c>
      <c r="K56" s="42" t="e">
        <f>INDEX(Input!$D$2:$AC$500,
       MATCH(B56, Input!$J$2:$J$500, 0),
       MATCH("Total Memory", Input!$D$1:$AC$1, 0))</f>
        <v>#N/A</v>
      </c>
      <c r="L56" s="42" t="e">
        <f>INDEX(Input!$D$2:$AC$500,
       MATCH(B56, Input!$J$2:$J$500, 0),
       MATCH("Memory Type", Input!$D$1:$AC$1, 0))</f>
        <v>#N/A</v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e">
        <f t="shared" si="2"/>
        <v>#N/A</v>
      </c>
      <c r="O56" s="42" t="e">
        <f>INDEX(Input!$D$2:$AC$500,
       MATCH(B56, Input!$J$2:$J$500, 0),
       MATCH("Disk Interface Type", Input!$D$1:$AC$1, 0))</f>
        <v>#N/A</v>
      </c>
      <c r="P56" s="42" t="str" cm="1">
        <f t="array" ref="P56">IFERROR(_xlfn.TEXTJOIN(", ", TRUE, _xlfn._xlws.FILTER(
    INDEX(Input!$D$2:$AC$500,,MATCH("Disk Capacity",Input!$D$1:$AC$1,0)),
    Input!$J$2:$J$500=B56
)), "")</f>
        <v/>
      </c>
      <c r="Q56" s="32" t="e">
        <f t="shared" si="1"/>
        <v>#N/A</v>
      </c>
      <c r="R56" s="42" t="e">
        <f>_xlfn.LET(_xlpm.Result,INDEX(Input!$D$2:$AC$500,
       MATCH(B56, Input!$J$2:$J$500, 0),
       MATCH("Capacity", Input!$D$1:$AC$1, 0)),IF(_xlpm.Result="","",_xlpm.Result))</f>
        <v>#N/A</v>
      </c>
      <c r="S56" s="42" t="e" cm="1">
        <f t="array" ref="S56">_xlfn.TEXTSPLIT(R56," / ", ,TRUE,0,)</f>
        <v>#N/A</v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:AD56">IFERROR(IF(_xlfn.XLOOKUP(B56,Input!J:J,Input!N:U)=0,"",
          _xlfn.XLOOKUP(B56,Input!J:J,Input!N:U)),"")</f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42" t="str">
        <v/>
      </c>
      <c r="AE56" s="32" t="str">
        <f t="shared" si="0"/>
        <v/>
      </c>
      <c r="AF56" s="32" t="str">
        <f>_xlfn.XLOOKUP(B:B,Disk_Pivot!G:G,Disk_Pivot!I:I)</f>
        <v>Yes x2</v>
      </c>
      <c r="AG56" s="32" t="str">
        <f>_xlfn.XLOOKUP(B56,Disk_Pivot!G:G,Disk_Pivot!N:N)</f>
        <v>Pass, Fail</v>
      </c>
      <c r="AH56" s="32"/>
      <c r="AI56" s="32"/>
      <c r="AJ56" s="32"/>
      <c r="AK56" s="32"/>
      <c r="AL56" s="32"/>
      <c r="AM56" s="32"/>
    </row>
    <row r="57" spans="1:39">
      <c r="A57" s="32" t="str">
        <f>_xlfn.XLOOKUP(B57,Input!J:J,Input!G:G)&amp;""</f>
        <v/>
      </c>
      <c r="B57" s="32"/>
      <c r="C57" s="32" t="str">
        <f>_xlfn.XLOOKUP(B57,Input!J:J,Input!H:H)&amp;""</f>
        <v/>
      </c>
      <c r="D57" s="42">
        <f>_xlfn.XLOOKUP(B57,Input!J:J,Input!F:F)</f>
        <v>0</v>
      </c>
      <c r="E57" s="32">
        <f>_xlfn.XLOOKUP(D57,Models!H:H,Models!G:G,D57)</f>
        <v>0</v>
      </c>
      <c r="F57" s="32">
        <f>_xlfn.XLOOKUP(B57,Input!J:J,Input!E:E)</f>
        <v>0</v>
      </c>
      <c r="G57" s="32">
        <f>IF(F57="LENOVO",_xlfn.XLOOKUP(B57,Input!J:J,Input!K:K),_xlfn.XLOOKUP(B57,Input!J:J,Input!L:L))</f>
        <v>0</v>
      </c>
      <c r="H57" s="32"/>
      <c r="I57" s="32"/>
      <c r="J57" s="32">
        <f>_xlfn.XLOOKUP(B57,CPU_Formula!A:A,CPU_Formula!I:I)</f>
        <v>0</v>
      </c>
      <c r="K57" s="42" t="e">
        <f>INDEX(Input!$D$2:$AC$500,
       MATCH(B57, Input!$J$2:$J$500, 0),
       MATCH("Total Memory", Input!$D$1:$AC$1, 0))</f>
        <v>#N/A</v>
      </c>
      <c r="L57" s="42" t="e">
        <f>INDEX(Input!$D$2:$AC$500,
       MATCH(B57, Input!$J$2:$J$500, 0),
       MATCH("Memory Type", Input!$D$1:$AC$1, 0))</f>
        <v>#N/A</v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e">
        <f t="shared" si="2"/>
        <v>#N/A</v>
      </c>
      <c r="O57" s="42" t="e">
        <f>INDEX(Input!$D$2:$AC$500,
       MATCH(B57, Input!$J$2:$J$500, 0),
       MATCH("Disk Interface Type", Input!$D$1:$AC$1, 0))</f>
        <v>#N/A</v>
      </c>
      <c r="P57" s="42" t="str" cm="1">
        <f t="array" ref="P57">IFERROR(_xlfn.TEXTJOIN(", ", TRUE, _xlfn._xlws.FILTER(
    INDEX(Input!$D$2:$AC$500,,MATCH("Disk Capacity",Input!$D$1:$AC$1,0)),
    Input!$J$2:$J$500=B57
)), "")</f>
        <v/>
      </c>
      <c r="Q57" s="32" t="e">
        <f t="shared" si="1"/>
        <v>#N/A</v>
      </c>
      <c r="R57" s="42" t="e">
        <f>_xlfn.LET(_xlpm.Result,INDEX(Input!$D$2:$AC$500,
       MATCH(B57, Input!$J$2:$J$500, 0),
       MATCH("Capacity", Input!$D$1:$AC$1, 0)),IF(_xlpm.Result="","",_xlpm.Result))</f>
        <v>#N/A</v>
      </c>
      <c r="S57" s="42" t="e" cm="1">
        <f t="array" ref="S57">_xlfn.TEXTSPLIT(R57," / ", ,TRUE,0,)</f>
        <v>#N/A</v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:AD57">IFERROR(IF(_xlfn.XLOOKUP(B57,Input!J:J,Input!N:U)=0,"",
          _xlfn.XLOOKUP(B57,Input!J:J,Input!N:U)),"")</f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42" t="str">
        <v/>
      </c>
      <c r="AE57" s="32" t="str">
        <f t="shared" si="0"/>
        <v/>
      </c>
      <c r="AF57" s="32" t="str">
        <f>_xlfn.XLOOKUP(B:B,Disk_Pivot!G:G,Disk_Pivot!I:I)</f>
        <v>Yes x2</v>
      </c>
      <c r="AG57" s="32" t="str">
        <f>_xlfn.XLOOKUP(B57,Disk_Pivot!G:G,Disk_Pivot!N:N)</f>
        <v>Pass, Fail</v>
      </c>
      <c r="AH57" s="32"/>
      <c r="AI57" s="32"/>
      <c r="AJ57" s="32"/>
      <c r="AK57" s="32"/>
      <c r="AL57" s="32"/>
      <c r="AM57" s="32"/>
    </row>
    <row r="58" spans="1:39">
      <c r="A58" s="32" t="str">
        <f>_xlfn.XLOOKUP(B58,Input!J:J,Input!G:G)&amp;""</f>
        <v/>
      </c>
      <c r="B58" s="32"/>
      <c r="C58" s="32" t="str">
        <f>_xlfn.XLOOKUP(B58,Input!J:J,Input!H:H)&amp;""</f>
        <v/>
      </c>
      <c r="D58" s="42">
        <f>_xlfn.XLOOKUP(B58,Input!J:J,Input!F:F)</f>
        <v>0</v>
      </c>
      <c r="E58" s="32">
        <f>_xlfn.XLOOKUP(D58,Models!H:H,Models!G:G,D58)</f>
        <v>0</v>
      </c>
      <c r="F58" s="32">
        <f>_xlfn.XLOOKUP(B58,Input!J:J,Input!E:E)</f>
        <v>0</v>
      </c>
      <c r="G58" s="32">
        <f>IF(F58="LENOVO",_xlfn.XLOOKUP(B58,Input!J:J,Input!K:K),_xlfn.XLOOKUP(B58,Input!J:J,Input!L:L))</f>
        <v>0</v>
      </c>
      <c r="H58" s="32"/>
      <c r="I58" s="32"/>
      <c r="J58" s="32">
        <f>_xlfn.XLOOKUP(B58,CPU_Formula!A:A,CPU_Formula!I:I)</f>
        <v>0</v>
      </c>
      <c r="K58" s="42" t="e">
        <f>INDEX(Input!$D$2:$AC$500,
       MATCH(B58, Input!$J$2:$J$500, 0),
       MATCH("Total Memory", Input!$D$1:$AC$1, 0))</f>
        <v>#N/A</v>
      </c>
      <c r="L58" s="42" t="e">
        <f>INDEX(Input!$D$2:$AC$500,
       MATCH(B58, Input!$J$2:$J$500, 0),
       MATCH("Memory Type", Input!$D$1:$AC$1, 0))</f>
        <v>#N/A</v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e">
        <f t="shared" si="2"/>
        <v>#N/A</v>
      </c>
      <c r="O58" s="42" t="e">
        <f>INDEX(Input!$D$2:$AC$500,
       MATCH(B58, Input!$J$2:$J$500, 0),
       MATCH("Disk Interface Type", Input!$D$1:$AC$1, 0))</f>
        <v>#N/A</v>
      </c>
      <c r="P58" s="42" t="str" cm="1">
        <f t="array" ref="P58">IFERROR(_xlfn.TEXTJOIN(", ", TRUE, _xlfn._xlws.FILTER(
    INDEX(Input!$D$2:$AC$500,,MATCH("Disk Capacity",Input!$D$1:$AC$1,0)),
    Input!$J$2:$J$500=B58
)), "")</f>
        <v/>
      </c>
      <c r="Q58" s="32" t="e">
        <f t="shared" si="1"/>
        <v>#N/A</v>
      </c>
      <c r="R58" s="42" t="e">
        <f>_xlfn.LET(_xlpm.Result,INDEX(Input!$D$2:$AC$500,
       MATCH(B58, Input!$J$2:$J$500, 0),
       MATCH("Capacity", Input!$D$1:$AC$1, 0)),IF(_xlpm.Result="","",_xlpm.Result))</f>
        <v>#N/A</v>
      </c>
      <c r="S58" s="42" t="e" cm="1">
        <f t="array" ref="S58">_xlfn.TEXTSPLIT(R58," / ", ,TRUE,0,)</f>
        <v>#N/A</v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:AD58">IFERROR(IF(_xlfn.XLOOKUP(B58,Input!J:J,Input!N:U)=0,"",
          _xlfn.XLOOKUP(B58,Input!J:J,Input!N:U)),"")</f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42" t="str">
        <v/>
      </c>
      <c r="AE58" s="32" t="str">
        <f t="shared" si="0"/>
        <v/>
      </c>
      <c r="AF58" s="32" t="str">
        <f>_xlfn.XLOOKUP(B:B,Disk_Pivot!G:G,Disk_Pivot!I:I)</f>
        <v>Yes x2</v>
      </c>
      <c r="AG58" s="32" t="str">
        <f>_xlfn.XLOOKUP(B58,Disk_Pivot!G:G,Disk_Pivot!N:N)</f>
        <v>Pass, Fail</v>
      </c>
      <c r="AH58" s="32"/>
      <c r="AI58" s="32"/>
      <c r="AJ58" s="32"/>
      <c r="AK58" s="32"/>
      <c r="AL58" s="32"/>
      <c r="AM58" s="32"/>
    </row>
    <row r="59" spans="1:39">
      <c r="A59" s="32" t="str">
        <f>_xlfn.XLOOKUP(B59,Input!J:J,Input!G:G)&amp;""</f>
        <v/>
      </c>
      <c r="B59" s="32"/>
      <c r="C59" s="32" t="str">
        <f>_xlfn.XLOOKUP(B59,Input!J:J,Input!H:H)&amp;""</f>
        <v/>
      </c>
      <c r="D59" s="42">
        <f>_xlfn.XLOOKUP(B59,Input!J:J,Input!F:F)</f>
        <v>0</v>
      </c>
      <c r="E59" s="32">
        <f>_xlfn.XLOOKUP(D59,Models!H:H,Models!G:G,D59)</f>
        <v>0</v>
      </c>
      <c r="F59" s="32">
        <f>_xlfn.XLOOKUP(B59,Input!J:J,Input!E:E)</f>
        <v>0</v>
      </c>
      <c r="G59" s="32">
        <f>IF(F59="LENOVO",_xlfn.XLOOKUP(B59,Input!J:J,Input!K:K),_xlfn.XLOOKUP(B59,Input!J:J,Input!L:L))</f>
        <v>0</v>
      </c>
      <c r="H59" s="32"/>
      <c r="I59" s="32"/>
      <c r="J59" s="32">
        <f>_xlfn.XLOOKUP(B59,CPU_Formula!A:A,CPU_Formula!I:I)</f>
        <v>0</v>
      </c>
      <c r="K59" s="42" t="e">
        <f>INDEX(Input!$D$2:$AC$500,
       MATCH(B59, Input!$J$2:$J$500, 0),
       MATCH("Total Memory", Input!$D$1:$AC$1, 0))</f>
        <v>#N/A</v>
      </c>
      <c r="L59" s="42" t="e">
        <f>INDEX(Input!$D$2:$AC$500,
       MATCH(B59, Input!$J$2:$J$500, 0),
       MATCH("Memory Type", Input!$D$1:$AC$1, 0))</f>
        <v>#N/A</v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e">
        <f t="shared" si="2"/>
        <v>#N/A</v>
      </c>
      <c r="O59" s="42" t="e">
        <f>INDEX(Input!$D$2:$AC$500,
       MATCH(B59, Input!$J$2:$J$500, 0),
       MATCH("Disk Interface Type", Input!$D$1:$AC$1, 0))</f>
        <v>#N/A</v>
      </c>
      <c r="P59" s="42" t="str" cm="1">
        <f t="array" ref="P59">IFERROR(_xlfn.TEXTJOIN(", ", TRUE, _xlfn._xlws.FILTER(
    INDEX(Input!$D$2:$AC$500,,MATCH("Disk Capacity",Input!$D$1:$AC$1,0)),
    Input!$J$2:$J$500=B59
)), "")</f>
        <v/>
      </c>
      <c r="Q59" s="32" t="e">
        <f t="shared" si="1"/>
        <v>#N/A</v>
      </c>
      <c r="R59" s="42" t="e">
        <f>_xlfn.LET(_xlpm.Result,INDEX(Input!$D$2:$AC$500,
       MATCH(B59, Input!$J$2:$J$500, 0),
       MATCH("Capacity", Input!$D$1:$AC$1, 0)),IF(_xlpm.Result="","",_xlpm.Result))</f>
        <v>#N/A</v>
      </c>
      <c r="S59" s="42" t="e" cm="1">
        <f t="array" ref="S59">_xlfn.TEXTSPLIT(R59," / ", ,TRUE,0,)</f>
        <v>#N/A</v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:AD59">IFERROR(IF(_xlfn.XLOOKUP(B59,Input!J:J,Input!N:U)=0,"",
          _xlfn.XLOOKUP(B59,Input!J:J,Input!N:U)),"")</f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42" t="str">
        <v/>
      </c>
      <c r="AE59" s="32" t="str">
        <f t="shared" si="0"/>
        <v/>
      </c>
      <c r="AF59" s="32" t="str">
        <f>_xlfn.XLOOKUP(B:B,Disk_Pivot!G:G,Disk_Pivot!I:I)</f>
        <v>Yes x2</v>
      </c>
      <c r="AG59" s="32" t="str">
        <f>_xlfn.XLOOKUP(B59,Disk_Pivot!G:G,Disk_Pivot!N:N)</f>
        <v>Pass, Fail</v>
      </c>
      <c r="AH59" s="32"/>
      <c r="AI59" s="32"/>
      <c r="AJ59" s="32"/>
      <c r="AK59" s="32"/>
      <c r="AL59" s="32"/>
      <c r="AM59" s="32"/>
    </row>
    <row r="60" spans="1:39">
      <c r="A60" s="32" t="str">
        <f>_xlfn.XLOOKUP(B60,Input!J:J,Input!G:G)&amp;""</f>
        <v/>
      </c>
      <c r="B60" s="32"/>
      <c r="C60" s="32" t="str">
        <f>_xlfn.XLOOKUP(B60,Input!J:J,Input!H:H)&amp;""</f>
        <v/>
      </c>
      <c r="D60" s="42">
        <f>_xlfn.XLOOKUP(B60,Input!J:J,Input!F:F)</f>
        <v>0</v>
      </c>
      <c r="E60" s="32">
        <f>_xlfn.XLOOKUP(D60,Models!H:H,Models!G:G,D60)</f>
        <v>0</v>
      </c>
      <c r="F60" s="32">
        <f>_xlfn.XLOOKUP(B60,Input!J:J,Input!E:E)</f>
        <v>0</v>
      </c>
      <c r="G60" s="32">
        <f>IF(F60="LENOVO",_xlfn.XLOOKUP(B60,Input!J:J,Input!K:K),_xlfn.XLOOKUP(B60,Input!J:J,Input!L:L))</f>
        <v>0</v>
      </c>
      <c r="H60" s="32"/>
      <c r="I60" s="32"/>
      <c r="J60" s="32">
        <f>_xlfn.XLOOKUP(B60,CPU_Formula!A:A,CPU_Formula!I:I)</f>
        <v>0</v>
      </c>
      <c r="K60" s="42" t="e">
        <f>INDEX(Input!$D$2:$AC$500,
       MATCH(B60, Input!$J$2:$J$500, 0),
       MATCH("Total Memory", Input!$D$1:$AC$1, 0))</f>
        <v>#N/A</v>
      </c>
      <c r="L60" s="42" t="e">
        <f>INDEX(Input!$D$2:$AC$500,
       MATCH(B60, Input!$J$2:$J$500, 0),
       MATCH("Memory Type", Input!$D$1:$AC$1, 0))</f>
        <v>#N/A</v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e">
        <f t="shared" si="2"/>
        <v>#N/A</v>
      </c>
      <c r="O60" s="42" t="e">
        <f>INDEX(Input!$D$2:$AC$500,
       MATCH(B60, Input!$J$2:$J$500, 0),
       MATCH("Disk Interface Type", Input!$D$1:$AC$1, 0))</f>
        <v>#N/A</v>
      </c>
      <c r="P60" s="42" t="str" cm="1">
        <f t="array" ref="P60">IFERROR(_xlfn.TEXTJOIN(", ", TRUE, _xlfn._xlws.FILTER(
    INDEX(Input!$D$2:$AC$500,,MATCH("Disk Capacity",Input!$D$1:$AC$1,0)),
    Input!$J$2:$J$500=B60
)), "")</f>
        <v/>
      </c>
      <c r="Q60" s="32" t="e">
        <f t="shared" si="1"/>
        <v>#N/A</v>
      </c>
      <c r="R60" s="42" t="e">
        <f>_xlfn.LET(_xlpm.Result,INDEX(Input!$D$2:$AC$500,
       MATCH(B60, Input!$J$2:$J$500, 0),
       MATCH("Capacity", Input!$D$1:$AC$1, 0)),IF(_xlpm.Result="","",_xlpm.Result))</f>
        <v>#N/A</v>
      </c>
      <c r="S60" s="42" t="e" cm="1">
        <f t="array" ref="S60">_xlfn.TEXTSPLIT(R60," / ", ,TRUE,0,)</f>
        <v>#N/A</v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:AD60">IFERROR(IF(_xlfn.XLOOKUP(B60,Input!J:J,Input!N:U)=0,"",
          _xlfn.XLOOKUP(B60,Input!J:J,Input!N:U)),"")</f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42" t="str">
        <v/>
      </c>
      <c r="AE60" s="32" t="str">
        <f t="shared" si="0"/>
        <v/>
      </c>
      <c r="AF60" s="32" t="str">
        <f>_xlfn.XLOOKUP(B:B,Disk_Pivot!G:G,Disk_Pivot!I:I)</f>
        <v>Yes x2</v>
      </c>
      <c r="AG60" s="32" t="str">
        <f>_xlfn.XLOOKUP(B60,Disk_Pivot!G:G,Disk_Pivot!N:N)</f>
        <v>Pass, Fail</v>
      </c>
      <c r="AH60" s="32"/>
      <c r="AI60" s="32"/>
      <c r="AJ60" s="32"/>
      <c r="AK60" s="32"/>
      <c r="AL60" s="32"/>
      <c r="AM60" s="32"/>
    </row>
    <row r="61" spans="1:39">
      <c r="A61" s="32" t="str">
        <f>_xlfn.XLOOKUP(B61,Input!J:J,Input!G:G)&amp;""</f>
        <v/>
      </c>
      <c r="B61" s="32"/>
      <c r="C61" s="32" t="str">
        <f>_xlfn.XLOOKUP(B61,Input!J:J,Input!H:H)&amp;""</f>
        <v/>
      </c>
      <c r="D61" s="42">
        <f>_xlfn.XLOOKUP(B61,Input!J:J,Input!F:F)</f>
        <v>0</v>
      </c>
      <c r="E61" s="32">
        <f>_xlfn.XLOOKUP(D61,Models!H:H,Models!G:G,D61)</f>
        <v>0</v>
      </c>
      <c r="F61" s="32">
        <f>_xlfn.XLOOKUP(B61,Input!J:J,Input!E:E)</f>
        <v>0</v>
      </c>
      <c r="G61" s="32">
        <f>IF(F61="LENOVO",_xlfn.XLOOKUP(B61,Input!J:J,Input!K:K),_xlfn.XLOOKUP(B61,Input!J:J,Input!L:L))</f>
        <v>0</v>
      </c>
      <c r="H61" s="32"/>
      <c r="I61" s="32"/>
      <c r="J61" s="32">
        <f>_xlfn.XLOOKUP(B61,CPU_Formula!A:A,CPU_Formula!I:I)</f>
        <v>0</v>
      </c>
      <c r="K61" s="42" t="e">
        <f>INDEX(Input!$D$2:$AC$500,
       MATCH(B61, Input!$J$2:$J$500, 0),
       MATCH("Total Memory", Input!$D$1:$AC$1, 0))</f>
        <v>#N/A</v>
      </c>
      <c r="L61" s="42" t="e">
        <f>INDEX(Input!$D$2:$AC$500,
       MATCH(B61, Input!$J$2:$J$500, 0),
       MATCH("Memory Type", Input!$D$1:$AC$1, 0))</f>
        <v>#N/A</v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e">
        <f t="shared" si="2"/>
        <v>#N/A</v>
      </c>
      <c r="O61" s="42" t="e">
        <f>INDEX(Input!$D$2:$AC$500,
       MATCH(B61, Input!$J$2:$J$500, 0),
       MATCH("Disk Interface Type", Input!$D$1:$AC$1, 0))</f>
        <v>#N/A</v>
      </c>
      <c r="P61" s="42" t="str" cm="1">
        <f t="array" ref="P61">IFERROR(_xlfn.TEXTJOIN(", ", TRUE, _xlfn._xlws.FILTER(
    INDEX(Input!$D$2:$AC$500,,MATCH("Disk Capacity",Input!$D$1:$AC$1,0)),
    Input!$J$2:$J$500=B61
)), "")</f>
        <v/>
      </c>
      <c r="Q61" s="32" t="e">
        <f t="shared" si="1"/>
        <v>#N/A</v>
      </c>
      <c r="R61" s="42" t="e">
        <f>_xlfn.LET(_xlpm.Result,INDEX(Input!$D$2:$AC$500,
       MATCH(B61, Input!$J$2:$J$500, 0),
       MATCH("Capacity", Input!$D$1:$AC$1, 0)),IF(_xlpm.Result="","",_xlpm.Result))</f>
        <v>#N/A</v>
      </c>
      <c r="S61" s="42" t="e" cm="1">
        <f t="array" ref="S61">_xlfn.TEXTSPLIT(R61," / ", ,TRUE,0,)</f>
        <v>#N/A</v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:AD61">IFERROR(IF(_xlfn.XLOOKUP(B61,Input!J:J,Input!N:U)=0,"",
          _xlfn.XLOOKUP(B61,Input!J:J,Input!N:U)),"")</f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42" t="str">
        <v/>
      </c>
      <c r="AE61" s="32" t="str">
        <f t="shared" si="0"/>
        <v/>
      </c>
      <c r="AF61" s="32" t="str">
        <f>_xlfn.XLOOKUP(B:B,Disk_Pivot!G:G,Disk_Pivot!I:I)</f>
        <v>Yes x2</v>
      </c>
      <c r="AG61" s="32" t="str">
        <f>_xlfn.XLOOKUP(B61,Disk_Pivot!G:G,Disk_Pivot!N:N)</f>
        <v>Pass, Fail</v>
      </c>
      <c r="AH61" s="32"/>
      <c r="AI61" s="32"/>
      <c r="AJ61" s="32"/>
      <c r="AK61" s="32"/>
      <c r="AL61" s="32"/>
      <c r="AM61" s="32"/>
    </row>
    <row r="62" spans="1:39">
      <c r="A62" s="32" t="str">
        <f>_xlfn.XLOOKUP(B62,Input!J:J,Input!G:G)&amp;""</f>
        <v/>
      </c>
      <c r="B62" s="32"/>
      <c r="C62" s="32" t="str">
        <f>_xlfn.XLOOKUP(B62,Input!J:J,Input!H:H)&amp;""</f>
        <v/>
      </c>
      <c r="D62" s="42">
        <f>_xlfn.XLOOKUP(B62,Input!J:J,Input!F:F)</f>
        <v>0</v>
      </c>
      <c r="E62" s="32">
        <f>_xlfn.XLOOKUP(D62,Models!H:H,Models!G:G,D62)</f>
        <v>0</v>
      </c>
      <c r="F62" s="32">
        <f>_xlfn.XLOOKUP(B62,Input!J:J,Input!E:E)</f>
        <v>0</v>
      </c>
      <c r="G62" s="32">
        <f>IF(F62="LENOVO",_xlfn.XLOOKUP(B62,Input!J:J,Input!K:K),_xlfn.XLOOKUP(B62,Input!J:J,Input!L:L))</f>
        <v>0</v>
      </c>
      <c r="H62" s="32"/>
      <c r="I62" s="32"/>
      <c r="J62" s="32">
        <f>_xlfn.XLOOKUP(B62,CPU_Formula!A:A,CPU_Formula!I:I)</f>
        <v>0</v>
      </c>
      <c r="K62" s="42" t="e">
        <f>INDEX(Input!$D$2:$AC$500,
       MATCH(B62, Input!$J$2:$J$500, 0),
       MATCH("Total Memory", Input!$D$1:$AC$1, 0))</f>
        <v>#N/A</v>
      </c>
      <c r="L62" s="42" t="e">
        <f>INDEX(Input!$D$2:$AC$500,
       MATCH(B62, Input!$J$2:$J$500, 0),
       MATCH("Memory Type", Input!$D$1:$AC$1, 0))</f>
        <v>#N/A</v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e">
        <f t="shared" si="2"/>
        <v>#N/A</v>
      </c>
      <c r="O62" s="42" t="e">
        <f>INDEX(Input!$D$2:$AC$500,
       MATCH(B62, Input!$J$2:$J$500, 0),
       MATCH("Disk Interface Type", Input!$D$1:$AC$1, 0))</f>
        <v>#N/A</v>
      </c>
      <c r="P62" s="42" t="str" cm="1">
        <f t="array" ref="P62">IFERROR(_xlfn.TEXTJOIN(", ", TRUE, _xlfn._xlws.FILTER(
    INDEX(Input!$D$2:$AC$500,,MATCH("Disk Capacity",Input!$D$1:$AC$1,0)),
    Input!$J$2:$J$500=B62
)), "")</f>
        <v/>
      </c>
      <c r="Q62" s="32" t="e">
        <f t="shared" si="1"/>
        <v>#N/A</v>
      </c>
      <c r="R62" s="42" t="e">
        <f>_xlfn.LET(_xlpm.Result,INDEX(Input!$D$2:$AC$500,
       MATCH(B62, Input!$J$2:$J$500, 0),
       MATCH("Capacity", Input!$D$1:$AC$1, 0)),IF(_xlpm.Result="","",_xlpm.Result))</f>
        <v>#N/A</v>
      </c>
      <c r="S62" s="42" t="e" cm="1">
        <f t="array" ref="S62">_xlfn.TEXTSPLIT(R62," / ", ,TRUE,0,)</f>
        <v>#N/A</v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:AD62">IFERROR(IF(_xlfn.XLOOKUP(B62,Input!J:J,Input!N:U)=0,"",
          _xlfn.XLOOKUP(B62,Input!J:J,Input!N:U)),"")</f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42" t="str">
        <v/>
      </c>
      <c r="AE62" s="32" t="str">
        <f t="shared" si="0"/>
        <v/>
      </c>
      <c r="AF62" s="32" t="str">
        <f>_xlfn.XLOOKUP(B:B,Disk_Pivot!G:G,Disk_Pivot!I:I)</f>
        <v>Yes x2</v>
      </c>
      <c r="AG62" s="32" t="str">
        <f>_xlfn.XLOOKUP(B62,Disk_Pivot!G:G,Disk_Pivot!N:N)</f>
        <v>Pass, Fail</v>
      </c>
      <c r="AH62" s="32"/>
      <c r="AI62" s="32"/>
      <c r="AJ62" s="32"/>
      <c r="AK62" s="32"/>
      <c r="AL62" s="32"/>
      <c r="AM62" s="32"/>
    </row>
    <row r="63" spans="1:39">
      <c r="A63" s="32" t="str">
        <f>_xlfn.XLOOKUP(B63,Input!J:J,Input!G:G)&amp;""</f>
        <v/>
      </c>
      <c r="B63" s="32"/>
      <c r="C63" s="32" t="str">
        <f>_xlfn.XLOOKUP(B63,Input!J:J,Input!H:H)&amp;""</f>
        <v/>
      </c>
      <c r="D63" s="42">
        <f>_xlfn.XLOOKUP(B63,Input!J:J,Input!F:F)</f>
        <v>0</v>
      </c>
      <c r="E63" s="32">
        <f>_xlfn.XLOOKUP(D63,Models!H:H,Models!G:G,D63)</f>
        <v>0</v>
      </c>
      <c r="F63" s="32">
        <f>_xlfn.XLOOKUP(B63,Input!J:J,Input!E:E)</f>
        <v>0</v>
      </c>
      <c r="G63" s="32">
        <f>IF(F63="LENOVO",_xlfn.XLOOKUP(B63,Input!J:J,Input!K:K),_xlfn.XLOOKUP(B63,Input!J:J,Input!L:L))</f>
        <v>0</v>
      </c>
      <c r="H63" s="32"/>
      <c r="I63" s="32"/>
      <c r="J63" s="32">
        <f>_xlfn.XLOOKUP(B63,CPU_Formula!A:A,CPU_Formula!I:I)</f>
        <v>0</v>
      </c>
      <c r="K63" s="42" t="e">
        <f>INDEX(Input!$D$2:$AC$500,
       MATCH(B63, Input!$J$2:$J$500, 0),
       MATCH("Total Memory", Input!$D$1:$AC$1, 0))</f>
        <v>#N/A</v>
      </c>
      <c r="L63" s="42" t="e">
        <f>INDEX(Input!$D$2:$AC$500,
       MATCH(B63, Input!$J$2:$J$500, 0),
       MATCH("Memory Type", Input!$D$1:$AC$1, 0))</f>
        <v>#N/A</v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e">
        <f t="shared" si="2"/>
        <v>#N/A</v>
      </c>
      <c r="O63" s="42" t="e">
        <f>INDEX(Input!$D$2:$AC$500,
       MATCH(B63, Input!$J$2:$J$500, 0),
       MATCH("Disk Interface Type", Input!$D$1:$AC$1, 0))</f>
        <v>#N/A</v>
      </c>
      <c r="P63" s="42" t="str" cm="1">
        <f t="array" ref="P63">IFERROR(_xlfn.TEXTJOIN(", ", TRUE, _xlfn._xlws.FILTER(
    INDEX(Input!$D$2:$AC$500,,MATCH("Disk Capacity",Input!$D$1:$AC$1,0)),
    Input!$J$2:$J$500=B63
)), "")</f>
        <v/>
      </c>
      <c r="Q63" s="32" t="e">
        <f t="shared" si="1"/>
        <v>#N/A</v>
      </c>
      <c r="R63" s="42" t="e">
        <f>_xlfn.LET(_xlpm.Result,INDEX(Input!$D$2:$AC$500,
       MATCH(B63, Input!$J$2:$J$500, 0),
       MATCH("Capacity", Input!$D$1:$AC$1, 0)),IF(_xlpm.Result="","",_xlpm.Result))</f>
        <v>#N/A</v>
      </c>
      <c r="S63" s="42" t="e" cm="1">
        <f t="array" ref="S63">_xlfn.TEXTSPLIT(R63," / ", ,TRUE,0,)</f>
        <v>#N/A</v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:AD63">IFERROR(IF(_xlfn.XLOOKUP(B63,Input!J:J,Input!N:U)=0,"",
          _xlfn.XLOOKUP(B63,Input!J:J,Input!N:U)),"")</f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42" t="str">
        <v/>
      </c>
      <c r="AE63" s="32" t="str">
        <f t="shared" si="0"/>
        <v/>
      </c>
      <c r="AF63" s="32" t="str">
        <f>_xlfn.XLOOKUP(B:B,Disk_Pivot!G:G,Disk_Pivot!I:I)</f>
        <v>Yes x2</v>
      </c>
      <c r="AG63" s="32" t="str">
        <f>_xlfn.XLOOKUP(B63,Disk_Pivot!G:G,Disk_Pivot!N:N)</f>
        <v>Pass, Fail</v>
      </c>
      <c r="AH63" s="32"/>
      <c r="AI63" s="32"/>
      <c r="AJ63" s="32"/>
      <c r="AK63" s="32"/>
      <c r="AL63" s="32"/>
      <c r="AM63" s="32"/>
    </row>
    <row r="64" spans="1:39">
      <c r="A64" s="32" t="str">
        <f>_xlfn.XLOOKUP(B64,Input!J:J,Input!G:G)&amp;""</f>
        <v/>
      </c>
      <c r="B64" s="32"/>
      <c r="C64" s="32" t="str">
        <f>_xlfn.XLOOKUP(B64,Input!J:J,Input!H:H)&amp;""</f>
        <v/>
      </c>
      <c r="D64" s="42">
        <f>_xlfn.XLOOKUP(B64,Input!J:J,Input!F:F)</f>
        <v>0</v>
      </c>
      <c r="E64" s="32">
        <f>_xlfn.XLOOKUP(D64,Models!H:H,Models!G:G,D64)</f>
        <v>0</v>
      </c>
      <c r="F64" s="32">
        <f>_xlfn.XLOOKUP(B64,Input!J:J,Input!E:E)</f>
        <v>0</v>
      </c>
      <c r="G64" s="32">
        <f>IF(F64="LENOVO",_xlfn.XLOOKUP(B64,Input!J:J,Input!K:K),_xlfn.XLOOKUP(B64,Input!J:J,Input!L:L))</f>
        <v>0</v>
      </c>
      <c r="H64" s="32"/>
      <c r="I64" s="32"/>
      <c r="J64" s="32">
        <f>_xlfn.XLOOKUP(B64,CPU_Formula!A:A,CPU_Formula!I:I)</f>
        <v>0</v>
      </c>
      <c r="K64" s="42" t="e">
        <f>INDEX(Input!$D$2:$AC$500,
       MATCH(B64, Input!$J$2:$J$500, 0),
       MATCH("Total Memory", Input!$D$1:$AC$1, 0))</f>
        <v>#N/A</v>
      </c>
      <c r="L64" s="42" t="e">
        <f>INDEX(Input!$D$2:$AC$500,
       MATCH(B64, Input!$J$2:$J$500, 0),
       MATCH("Memory Type", Input!$D$1:$AC$1, 0))</f>
        <v>#N/A</v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e">
        <f t="shared" si="2"/>
        <v>#N/A</v>
      </c>
      <c r="O64" s="42" t="e">
        <f>INDEX(Input!$D$2:$AC$500,
       MATCH(B64, Input!$J$2:$J$500, 0),
       MATCH("Disk Interface Type", Input!$D$1:$AC$1, 0))</f>
        <v>#N/A</v>
      </c>
      <c r="P64" s="42" t="str" cm="1">
        <f t="array" ref="P64">IFERROR(_xlfn.TEXTJOIN(", ", TRUE, _xlfn._xlws.FILTER(
    INDEX(Input!$D$2:$AC$500,,MATCH("Disk Capacity",Input!$D$1:$AC$1,0)),
    Input!$J$2:$J$500=B64
)), "")</f>
        <v/>
      </c>
      <c r="Q64" s="32" t="e">
        <f t="shared" si="1"/>
        <v>#N/A</v>
      </c>
      <c r="R64" s="42" t="e">
        <f>_xlfn.LET(_xlpm.Result,INDEX(Input!$D$2:$AC$500,
       MATCH(B64, Input!$J$2:$J$500, 0),
       MATCH("Capacity", Input!$D$1:$AC$1, 0)),IF(_xlpm.Result="","",_xlpm.Result))</f>
        <v>#N/A</v>
      </c>
      <c r="S64" s="42" t="e" cm="1">
        <f t="array" ref="S64">_xlfn.TEXTSPLIT(R64," / ", ,TRUE,0,)</f>
        <v>#N/A</v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:AD64">IFERROR(IF(_xlfn.XLOOKUP(B64,Input!J:J,Input!N:U)=0,"",
          _xlfn.XLOOKUP(B64,Input!J:J,Input!N:U)),"")</f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42" t="str">
        <v/>
      </c>
      <c r="AE64" s="32" t="str">
        <f t="shared" si="0"/>
        <v/>
      </c>
      <c r="AF64" s="32" t="str">
        <f>_xlfn.XLOOKUP(B:B,Disk_Pivot!G:G,Disk_Pivot!I:I)</f>
        <v>Yes x2</v>
      </c>
      <c r="AG64" s="32" t="str">
        <f>_xlfn.XLOOKUP(B64,Disk_Pivot!G:G,Disk_Pivot!N:N)</f>
        <v>Pass, Fail</v>
      </c>
      <c r="AH64" s="32"/>
      <c r="AI64" s="32"/>
      <c r="AJ64" s="32"/>
      <c r="AK64" s="32"/>
      <c r="AL64" s="32"/>
      <c r="AM64" s="32"/>
    </row>
    <row r="65" spans="1:39">
      <c r="A65" s="32" t="str">
        <f>_xlfn.XLOOKUP(B65,Input!J:J,Input!G:G)&amp;""</f>
        <v/>
      </c>
      <c r="B65" s="32"/>
      <c r="C65" s="32" t="str">
        <f>_xlfn.XLOOKUP(B65,Input!J:J,Input!H:H)&amp;""</f>
        <v/>
      </c>
      <c r="D65" s="42">
        <f>_xlfn.XLOOKUP(B65,Input!J:J,Input!F:F)</f>
        <v>0</v>
      </c>
      <c r="E65" s="32">
        <f>_xlfn.XLOOKUP(D65,Models!H:H,Models!G:G,D65)</f>
        <v>0</v>
      </c>
      <c r="F65" s="32">
        <f>_xlfn.XLOOKUP(B65,Input!J:J,Input!E:E)</f>
        <v>0</v>
      </c>
      <c r="G65" s="32">
        <f>IF(F65="LENOVO",_xlfn.XLOOKUP(B65,Input!J:J,Input!K:K),_xlfn.XLOOKUP(B65,Input!J:J,Input!L:L))</f>
        <v>0</v>
      </c>
      <c r="H65" s="32"/>
      <c r="I65" s="32"/>
      <c r="J65" s="32">
        <f>_xlfn.XLOOKUP(B65,CPU_Formula!A:A,CPU_Formula!I:I)</f>
        <v>0</v>
      </c>
      <c r="K65" s="42" t="e">
        <f>INDEX(Input!$D$2:$AC$500,
       MATCH(B65, Input!$J$2:$J$500, 0),
       MATCH("Total Memory", Input!$D$1:$AC$1, 0))</f>
        <v>#N/A</v>
      </c>
      <c r="L65" s="42" t="e">
        <f>INDEX(Input!$D$2:$AC$500,
       MATCH(B65, Input!$J$2:$J$500, 0),
       MATCH("Memory Type", Input!$D$1:$AC$1, 0))</f>
        <v>#N/A</v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e">
        <f t="shared" si="2"/>
        <v>#N/A</v>
      </c>
      <c r="O65" s="42" t="e">
        <f>INDEX(Input!$D$2:$AC$500,
       MATCH(B65, Input!$J$2:$J$500, 0),
       MATCH("Disk Interface Type", Input!$D$1:$AC$1, 0))</f>
        <v>#N/A</v>
      </c>
      <c r="P65" s="42" t="str" cm="1">
        <f t="array" ref="P65">IFERROR(_xlfn.TEXTJOIN(", ", TRUE, _xlfn._xlws.FILTER(
    INDEX(Input!$D$2:$AC$500,,MATCH("Disk Capacity",Input!$D$1:$AC$1,0)),
    Input!$J$2:$J$500=B65
)), "")</f>
        <v/>
      </c>
      <c r="Q65" s="32" t="e">
        <f t="shared" si="1"/>
        <v>#N/A</v>
      </c>
      <c r="R65" s="42" t="e">
        <f>_xlfn.LET(_xlpm.Result,INDEX(Input!$D$2:$AC$500,
       MATCH(B65, Input!$J$2:$J$500, 0),
       MATCH("Capacity", Input!$D$1:$AC$1, 0)),IF(_xlpm.Result="","",_xlpm.Result))</f>
        <v>#N/A</v>
      </c>
      <c r="S65" s="42" t="e" cm="1">
        <f t="array" ref="S65">_xlfn.TEXTSPLIT(R65," / ", ,TRUE,0,)</f>
        <v>#N/A</v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:AD65">IFERROR(IF(_xlfn.XLOOKUP(B65,Input!J:J,Input!N:U)=0,"",
          _xlfn.XLOOKUP(B65,Input!J:J,Input!N:U)),"")</f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42" t="str">
        <v/>
      </c>
      <c r="AE65" s="32" t="str">
        <f t="shared" si="0"/>
        <v/>
      </c>
      <c r="AF65" s="32" t="str">
        <f>_xlfn.XLOOKUP(B:B,Disk_Pivot!G:G,Disk_Pivot!I:I)</f>
        <v>Yes x2</v>
      </c>
      <c r="AG65" s="32" t="str">
        <f>_xlfn.XLOOKUP(B65,Disk_Pivot!G:G,Disk_Pivot!N:N)</f>
        <v>Pass, Fail</v>
      </c>
      <c r="AH65" s="32"/>
      <c r="AI65" s="32"/>
      <c r="AJ65" s="32"/>
      <c r="AK65" s="32"/>
      <c r="AL65" s="32"/>
      <c r="AM65" s="32"/>
    </row>
    <row r="66" spans="1:39">
      <c r="A66" s="32" t="str">
        <f>_xlfn.XLOOKUP(B66,Input!J:J,Input!G:G)&amp;""</f>
        <v/>
      </c>
      <c r="B66" s="32"/>
      <c r="C66" s="32" t="str">
        <f>_xlfn.XLOOKUP(B66,Input!J:J,Input!H:H)&amp;""</f>
        <v/>
      </c>
      <c r="D66" s="42">
        <f>_xlfn.XLOOKUP(B66,Input!J:J,Input!F:F)</f>
        <v>0</v>
      </c>
      <c r="E66" s="32">
        <f>_xlfn.XLOOKUP(D66,Models!H:H,Models!G:G,D66)</f>
        <v>0</v>
      </c>
      <c r="F66" s="32">
        <f>_xlfn.XLOOKUP(B66,Input!J:J,Input!E:E)</f>
        <v>0</v>
      </c>
      <c r="G66" s="32">
        <f>IF(F66="LENOVO",_xlfn.XLOOKUP(B66,Input!J:J,Input!K:K),_xlfn.XLOOKUP(B66,Input!J:J,Input!L:L))</f>
        <v>0</v>
      </c>
      <c r="H66" s="32"/>
      <c r="I66" s="32"/>
      <c r="J66" s="32">
        <f>_xlfn.XLOOKUP(B66,CPU_Formula!A:A,CPU_Formula!I:I)</f>
        <v>0</v>
      </c>
      <c r="K66" s="42" t="e">
        <f>INDEX(Input!$D$2:$AC$500,
       MATCH(B66, Input!$J$2:$J$500, 0),
       MATCH("Total Memory", Input!$D$1:$AC$1, 0))</f>
        <v>#N/A</v>
      </c>
      <c r="L66" s="42" t="e">
        <f>INDEX(Input!$D$2:$AC$500,
       MATCH(B66, Input!$J$2:$J$500, 0),
       MATCH("Memory Type", Input!$D$1:$AC$1, 0))</f>
        <v>#N/A</v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e">
        <f t="shared" si="2"/>
        <v>#N/A</v>
      </c>
      <c r="O66" s="42" t="e">
        <f>INDEX(Input!$D$2:$AC$500,
       MATCH(B66, Input!$J$2:$J$500, 0),
       MATCH("Disk Interface Type", Input!$D$1:$AC$1, 0))</f>
        <v>#N/A</v>
      </c>
      <c r="P66" s="42" t="str" cm="1">
        <f t="array" ref="P66">IFERROR(_xlfn.TEXTJOIN(", ", TRUE, _xlfn._xlws.FILTER(
    INDEX(Input!$D$2:$AC$500,,MATCH("Disk Capacity",Input!$D$1:$AC$1,0)),
    Input!$J$2:$J$500=B66
)), "")</f>
        <v/>
      </c>
      <c r="Q66" s="32" t="e">
        <f t="shared" si="1"/>
        <v>#N/A</v>
      </c>
      <c r="R66" s="42" t="e">
        <f>_xlfn.LET(_xlpm.Result,INDEX(Input!$D$2:$AC$500,
       MATCH(B66, Input!$J$2:$J$500, 0),
       MATCH("Capacity", Input!$D$1:$AC$1, 0)),IF(_xlpm.Result="","",_xlpm.Result))</f>
        <v>#N/A</v>
      </c>
      <c r="S66" s="42" t="e" cm="1">
        <f t="array" ref="S66">_xlfn.TEXTSPLIT(R66," / ", ,TRUE,0,)</f>
        <v>#N/A</v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:AD66">IFERROR(IF(_xlfn.XLOOKUP(B66,Input!J:J,Input!N:U)=0,"",
          _xlfn.XLOOKUP(B66,Input!J:J,Input!N:U)),"")</f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42" t="str">
        <v/>
      </c>
      <c r="AE66" s="32" t="str">
        <f t="shared" ref="AE66:AE129" si="3">IF(E66="Laptop",_xlfn.TEXTJOIN(", ",TRUE,U66,V66,W66,X66,Y66,Z66,AA66,AB66), _xlfn.TEXTJOIN(", ",TRUE,W66,X66,Y66,Z66,AA66,AB66))</f>
        <v/>
      </c>
      <c r="AF66" s="32" t="str">
        <f>_xlfn.XLOOKUP(B:B,Disk_Pivot!G:G,Disk_Pivot!I:I)</f>
        <v>Yes x2</v>
      </c>
      <c r="AG66" s="32" t="str">
        <f>_xlfn.XLOOKUP(B66,Disk_Pivot!G:G,Disk_Pivot!N:N)</f>
        <v>Pass, Fail</v>
      </c>
      <c r="AH66" s="32"/>
      <c r="AI66" s="32"/>
      <c r="AJ66" s="32"/>
      <c r="AK66" s="32"/>
      <c r="AL66" s="32"/>
      <c r="AM66" s="32"/>
    </row>
    <row r="67" spans="1:39">
      <c r="A67" s="32" t="str">
        <f>_xlfn.XLOOKUP(B67,Input!J:J,Input!G:G)&amp;""</f>
        <v/>
      </c>
      <c r="B67" s="32"/>
      <c r="C67" s="32" t="str">
        <f>_xlfn.XLOOKUP(B67,Input!J:J,Input!H:H)&amp;""</f>
        <v/>
      </c>
      <c r="D67" s="42">
        <f>_xlfn.XLOOKUP(B67,Input!J:J,Input!F:F)</f>
        <v>0</v>
      </c>
      <c r="E67" s="32">
        <f>_xlfn.XLOOKUP(D67,Models!H:H,Models!G:G,D67)</f>
        <v>0</v>
      </c>
      <c r="F67" s="32">
        <f>_xlfn.XLOOKUP(B67,Input!J:J,Input!E:E)</f>
        <v>0</v>
      </c>
      <c r="G67" s="32">
        <f>IF(F67="LENOVO",_xlfn.XLOOKUP(B67,Input!J:J,Input!K:K),_xlfn.XLOOKUP(B67,Input!J:J,Input!L:L))</f>
        <v>0</v>
      </c>
      <c r="H67" s="32"/>
      <c r="I67" s="32"/>
      <c r="J67" s="32">
        <f>_xlfn.XLOOKUP(B67,CPU_Formula!A:A,CPU_Formula!I:I)</f>
        <v>0</v>
      </c>
      <c r="K67" s="42" t="e">
        <f>INDEX(Input!$D$2:$AC$500,
       MATCH(B67, Input!$J$2:$J$500, 0),
       MATCH("Total Memory", Input!$D$1:$AC$1, 0))</f>
        <v>#N/A</v>
      </c>
      <c r="L67" s="42" t="e">
        <f>INDEX(Input!$D$2:$AC$500,
       MATCH(B67, Input!$J$2:$J$500, 0),
       MATCH("Memory Type", Input!$D$1:$AC$1, 0))</f>
        <v>#N/A</v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e">
        <f t="shared" si="2"/>
        <v>#N/A</v>
      </c>
      <c r="O67" s="42" t="e">
        <f>INDEX(Input!$D$2:$AC$500,
       MATCH(B67, Input!$J$2:$J$500, 0),
       MATCH("Disk Interface Type", Input!$D$1:$AC$1, 0))</f>
        <v>#N/A</v>
      </c>
      <c r="P67" s="42" t="str" cm="1">
        <f t="array" ref="P67">IFERROR(_xlfn.TEXTJOIN(", ", TRUE, _xlfn._xlws.FILTER(
    INDEX(Input!$D$2:$AC$500,,MATCH("Disk Capacity",Input!$D$1:$AC$1,0)),
    Input!$J$2:$J$500=B67
)), "")</f>
        <v/>
      </c>
      <c r="Q67" s="32" t="e">
        <f t="shared" ref="Q67:Q130" si="4">_xlfn.TEXTJOIN(" ",TRUE,P67,O67)</f>
        <v>#N/A</v>
      </c>
      <c r="R67" s="42" t="e">
        <f>_xlfn.LET(_xlpm.Result,INDEX(Input!$D$2:$AC$500,
       MATCH(B67, Input!$J$2:$J$500, 0),
       MATCH("Capacity", Input!$D$1:$AC$1, 0)),IF(_xlpm.Result="","",_xlpm.Result))</f>
        <v>#N/A</v>
      </c>
      <c r="S67" s="42" t="e" cm="1">
        <f t="array" ref="S67">_xlfn.TEXTSPLIT(R67," / ", ,TRUE,0,)</f>
        <v>#N/A</v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:AD67">IFERROR(IF(_xlfn.XLOOKUP(B67,Input!J:J,Input!N:U)=0,"",
          _xlfn.XLOOKUP(B67,Input!J:J,Input!N:U)),"")</f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42" t="str">
        <v/>
      </c>
      <c r="AE67" s="32" t="str">
        <f t="shared" si="3"/>
        <v/>
      </c>
      <c r="AF67" s="32" t="str">
        <f>_xlfn.XLOOKUP(B:B,Disk_Pivot!G:G,Disk_Pivot!I:I)</f>
        <v>Yes x2</v>
      </c>
      <c r="AG67" s="32" t="str">
        <f>_xlfn.XLOOKUP(B67,Disk_Pivot!G:G,Disk_Pivot!N:N)</f>
        <v>Pass, Fail</v>
      </c>
      <c r="AH67" s="32"/>
      <c r="AI67" s="32"/>
      <c r="AJ67" s="32"/>
      <c r="AK67" s="32"/>
      <c r="AL67" s="32"/>
      <c r="AM67" s="32"/>
    </row>
    <row r="68" spans="1:39">
      <c r="A68" s="32" t="str">
        <f>_xlfn.XLOOKUP(B68,Input!J:J,Input!G:G)&amp;""</f>
        <v/>
      </c>
      <c r="B68" s="32"/>
      <c r="C68" s="32" t="str">
        <f>_xlfn.XLOOKUP(B68,Input!J:J,Input!H:H)&amp;""</f>
        <v/>
      </c>
      <c r="D68" s="42">
        <f>_xlfn.XLOOKUP(B68,Input!J:J,Input!F:F)</f>
        <v>0</v>
      </c>
      <c r="E68" s="32">
        <f>_xlfn.XLOOKUP(D68,Models!H:H,Models!G:G,D68)</f>
        <v>0</v>
      </c>
      <c r="F68" s="32">
        <f>_xlfn.XLOOKUP(B68,Input!J:J,Input!E:E)</f>
        <v>0</v>
      </c>
      <c r="G68" s="32">
        <f>IF(F68="LENOVO",_xlfn.XLOOKUP(B68,Input!J:J,Input!K:K),_xlfn.XLOOKUP(B68,Input!J:J,Input!L:L))</f>
        <v>0</v>
      </c>
      <c r="H68" s="32"/>
      <c r="I68" s="32"/>
      <c r="J68" s="32">
        <f>_xlfn.XLOOKUP(B68,CPU_Formula!A:A,CPU_Formula!I:I)</f>
        <v>0</v>
      </c>
      <c r="K68" s="42" t="e">
        <f>INDEX(Input!$D$2:$AC$500,
       MATCH(B68, Input!$J$2:$J$500, 0),
       MATCH("Total Memory", Input!$D$1:$AC$1, 0))</f>
        <v>#N/A</v>
      </c>
      <c r="L68" s="42" t="e">
        <f>INDEX(Input!$D$2:$AC$500,
       MATCH(B68, Input!$J$2:$J$500, 0),
       MATCH("Memory Type", Input!$D$1:$AC$1, 0))</f>
        <v>#N/A</v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e">
        <f t="shared" ref="N68:N131" si="5">_xlfn.TEXTJOIN(" ",TRUE,SUBSTITUTE(K68,"i",""),M68)</f>
        <v>#N/A</v>
      </c>
      <c r="O68" s="42" t="e">
        <f>INDEX(Input!$D$2:$AC$500,
       MATCH(B68, Input!$J$2:$J$500, 0),
       MATCH("Disk Interface Type", Input!$D$1:$AC$1, 0))</f>
        <v>#N/A</v>
      </c>
      <c r="P68" s="42" t="str" cm="1">
        <f t="array" ref="P68">IFERROR(_xlfn.TEXTJOIN(", ", TRUE, _xlfn._xlws.FILTER(
    INDEX(Input!$D$2:$AC$500,,MATCH("Disk Capacity",Input!$D$1:$AC$1,0)),
    Input!$J$2:$J$500=B68
)), "")</f>
        <v/>
      </c>
      <c r="Q68" s="32" t="e">
        <f t="shared" si="4"/>
        <v>#N/A</v>
      </c>
      <c r="R68" s="42" t="e">
        <f>_xlfn.LET(_xlpm.Result,INDEX(Input!$D$2:$AC$500,
       MATCH(B68, Input!$J$2:$J$500, 0),
       MATCH("Capacity", Input!$D$1:$AC$1, 0)),IF(_xlpm.Result="","",_xlpm.Result))</f>
        <v>#N/A</v>
      </c>
      <c r="S68" s="42" t="e" cm="1">
        <f t="array" ref="S68">_xlfn.TEXTSPLIT(R68," / ", ,TRUE,0,)</f>
        <v>#N/A</v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:AD68">IFERROR(IF(_xlfn.XLOOKUP(B68,Input!J:J,Input!N:U)=0,"",
          _xlfn.XLOOKUP(B68,Input!J:J,Input!N:U)),"")</f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42" t="str">
        <v/>
      </c>
      <c r="AE68" s="32" t="str">
        <f t="shared" si="3"/>
        <v/>
      </c>
      <c r="AF68" s="32" t="str">
        <f>_xlfn.XLOOKUP(B:B,Disk_Pivot!G:G,Disk_Pivot!I:I)</f>
        <v>Yes x2</v>
      </c>
      <c r="AG68" s="32" t="str">
        <f>_xlfn.XLOOKUP(B68,Disk_Pivot!G:G,Disk_Pivot!N:N)</f>
        <v>Pass, Fail</v>
      </c>
      <c r="AH68" s="32"/>
      <c r="AI68" s="32"/>
      <c r="AJ68" s="32"/>
      <c r="AK68" s="32"/>
      <c r="AL68" s="32"/>
      <c r="AM68" s="32"/>
    </row>
    <row r="69" spans="1:39">
      <c r="A69" s="32" t="str">
        <f>_xlfn.XLOOKUP(B69,Input!J:J,Input!G:G)&amp;""</f>
        <v/>
      </c>
      <c r="B69" s="32"/>
      <c r="C69" s="32" t="str">
        <f>_xlfn.XLOOKUP(B69,Input!J:J,Input!H:H)&amp;""</f>
        <v/>
      </c>
      <c r="D69" s="42">
        <f>_xlfn.XLOOKUP(B69,Input!J:J,Input!F:F)</f>
        <v>0</v>
      </c>
      <c r="E69" s="32">
        <f>_xlfn.XLOOKUP(D69,Models!H:H,Models!G:G,D69)</f>
        <v>0</v>
      </c>
      <c r="F69" s="32">
        <f>_xlfn.XLOOKUP(B69,Input!J:J,Input!E:E)</f>
        <v>0</v>
      </c>
      <c r="G69" s="32">
        <f>IF(F69="LENOVO",_xlfn.XLOOKUP(B69,Input!J:J,Input!K:K),_xlfn.XLOOKUP(B69,Input!J:J,Input!L:L))</f>
        <v>0</v>
      </c>
      <c r="H69" s="32"/>
      <c r="I69" s="32"/>
      <c r="J69" s="32">
        <f>_xlfn.XLOOKUP(B69,CPU_Formula!A:A,CPU_Formula!I:I)</f>
        <v>0</v>
      </c>
      <c r="K69" s="42" t="e">
        <f>INDEX(Input!$D$2:$AC$500,
       MATCH(B69, Input!$J$2:$J$500, 0),
       MATCH("Total Memory", Input!$D$1:$AC$1, 0))</f>
        <v>#N/A</v>
      </c>
      <c r="L69" s="42" t="e">
        <f>INDEX(Input!$D$2:$AC$500,
       MATCH(B69, Input!$J$2:$J$500, 0),
       MATCH("Memory Type", Input!$D$1:$AC$1, 0))</f>
        <v>#N/A</v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e">
        <f t="shared" si="5"/>
        <v>#N/A</v>
      </c>
      <c r="O69" s="42" t="e">
        <f>INDEX(Input!$D$2:$AC$500,
       MATCH(B69, Input!$J$2:$J$500, 0),
       MATCH("Disk Interface Type", Input!$D$1:$AC$1, 0))</f>
        <v>#N/A</v>
      </c>
      <c r="P69" s="42" t="str" cm="1">
        <f t="array" ref="P69">IFERROR(_xlfn.TEXTJOIN(", ", TRUE, _xlfn._xlws.FILTER(
    INDEX(Input!$D$2:$AC$500,,MATCH("Disk Capacity",Input!$D$1:$AC$1,0)),
    Input!$J$2:$J$500=B69
)), "")</f>
        <v/>
      </c>
      <c r="Q69" s="32" t="e">
        <f t="shared" si="4"/>
        <v>#N/A</v>
      </c>
      <c r="R69" s="42" t="e">
        <f>_xlfn.LET(_xlpm.Result,INDEX(Input!$D$2:$AC$500,
       MATCH(B69, Input!$J$2:$J$500, 0),
       MATCH("Capacity", Input!$D$1:$AC$1, 0)),IF(_xlpm.Result="","",_xlpm.Result))</f>
        <v>#N/A</v>
      </c>
      <c r="S69" s="42" t="e" cm="1">
        <f t="array" ref="S69">_xlfn.TEXTSPLIT(R69," / ", ,TRUE,0,)</f>
        <v>#N/A</v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:AD69">IFERROR(IF(_xlfn.XLOOKUP(B69,Input!J:J,Input!N:U)=0,"",
          _xlfn.XLOOKUP(B69,Input!J:J,Input!N:U)),"")</f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42" t="str">
        <v/>
      </c>
      <c r="AE69" s="32" t="str">
        <f t="shared" si="3"/>
        <v/>
      </c>
      <c r="AF69" s="32" t="str">
        <f>_xlfn.XLOOKUP(B:B,Disk_Pivot!G:G,Disk_Pivot!I:I)</f>
        <v>Yes x2</v>
      </c>
      <c r="AG69" s="32" t="str">
        <f>_xlfn.XLOOKUP(B69,Disk_Pivot!G:G,Disk_Pivot!N:N)</f>
        <v>Pass, Fail</v>
      </c>
      <c r="AH69" s="32"/>
      <c r="AI69" s="32"/>
      <c r="AJ69" s="32"/>
      <c r="AK69" s="32"/>
      <c r="AL69" s="32"/>
      <c r="AM69" s="32"/>
    </row>
    <row r="70" spans="1:39">
      <c r="A70" s="32" t="str">
        <f>_xlfn.XLOOKUP(B70,Input!J:J,Input!G:G)&amp;""</f>
        <v/>
      </c>
      <c r="B70" s="32"/>
      <c r="C70" s="32" t="str">
        <f>_xlfn.XLOOKUP(B70,Input!J:J,Input!H:H)&amp;""</f>
        <v/>
      </c>
      <c r="D70" s="42">
        <f>_xlfn.XLOOKUP(B70,Input!J:J,Input!F:F)</f>
        <v>0</v>
      </c>
      <c r="E70" s="32">
        <f>_xlfn.XLOOKUP(D70,Models!H:H,Models!G:G,D70)</f>
        <v>0</v>
      </c>
      <c r="F70" s="32">
        <f>_xlfn.XLOOKUP(B70,Input!J:J,Input!E:E)</f>
        <v>0</v>
      </c>
      <c r="G70" s="32">
        <f>IF(F70="LENOVO",_xlfn.XLOOKUP(B70,Input!J:J,Input!K:K),_xlfn.XLOOKUP(B70,Input!J:J,Input!L:L))</f>
        <v>0</v>
      </c>
      <c r="H70" s="32"/>
      <c r="I70" s="32"/>
      <c r="J70" s="32">
        <f>_xlfn.XLOOKUP(B70,CPU_Formula!A:A,CPU_Formula!I:I)</f>
        <v>0</v>
      </c>
      <c r="K70" s="42" t="e">
        <f>INDEX(Input!$D$2:$AC$500,
       MATCH(B70, Input!$J$2:$J$500, 0),
       MATCH("Total Memory", Input!$D$1:$AC$1, 0))</f>
        <v>#N/A</v>
      </c>
      <c r="L70" s="42" t="e">
        <f>INDEX(Input!$D$2:$AC$500,
       MATCH(B70, Input!$J$2:$J$500, 0),
       MATCH("Memory Type", Input!$D$1:$AC$1, 0))</f>
        <v>#N/A</v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e">
        <f t="shared" si="5"/>
        <v>#N/A</v>
      </c>
      <c r="O70" s="42" t="e">
        <f>INDEX(Input!$D$2:$AC$500,
       MATCH(B70, Input!$J$2:$J$500, 0),
       MATCH("Disk Interface Type", Input!$D$1:$AC$1, 0))</f>
        <v>#N/A</v>
      </c>
      <c r="P70" s="42" t="str" cm="1">
        <f t="array" ref="P70">IFERROR(_xlfn.TEXTJOIN(", ", TRUE, _xlfn._xlws.FILTER(
    INDEX(Input!$D$2:$AC$500,,MATCH("Disk Capacity",Input!$D$1:$AC$1,0)),
    Input!$J$2:$J$500=B70
)), "")</f>
        <v/>
      </c>
      <c r="Q70" s="32" t="e">
        <f t="shared" si="4"/>
        <v>#N/A</v>
      </c>
      <c r="R70" s="42" t="e">
        <f>_xlfn.LET(_xlpm.Result,INDEX(Input!$D$2:$AC$500,
       MATCH(B70, Input!$J$2:$J$500, 0),
       MATCH("Capacity", Input!$D$1:$AC$1, 0)),IF(_xlpm.Result="","",_xlpm.Result))</f>
        <v>#N/A</v>
      </c>
      <c r="S70" s="42" t="e" cm="1">
        <f t="array" ref="S70">_xlfn.TEXTSPLIT(R70," / ", ,TRUE,0,)</f>
        <v>#N/A</v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:AD70">IFERROR(IF(_xlfn.XLOOKUP(B70,Input!J:J,Input!N:U)=0,"",
          _xlfn.XLOOKUP(B70,Input!J:J,Input!N:U)),"")</f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42" t="str">
        <v/>
      </c>
      <c r="AE70" s="32" t="str">
        <f t="shared" si="3"/>
        <v/>
      </c>
      <c r="AF70" s="32" t="str">
        <f>_xlfn.XLOOKUP(B:B,Disk_Pivot!G:G,Disk_Pivot!I:I)</f>
        <v>Yes x2</v>
      </c>
      <c r="AG70" s="32" t="str">
        <f>_xlfn.XLOOKUP(B70,Disk_Pivot!G:G,Disk_Pivot!N:N)</f>
        <v>Pass, Fail</v>
      </c>
      <c r="AH70" s="32"/>
      <c r="AI70" s="32"/>
      <c r="AJ70" s="32"/>
      <c r="AK70" s="32"/>
      <c r="AL70" s="32"/>
      <c r="AM70" s="32"/>
    </row>
    <row r="71" spans="1:39">
      <c r="A71" s="32" t="str">
        <f>_xlfn.XLOOKUP(B71,Input!J:J,Input!G:G)&amp;""</f>
        <v/>
      </c>
      <c r="B71" s="32"/>
      <c r="C71" s="32" t="str">
        <f>_xlfn.XLOOKUP(B71,Input!J:J,Input!H:H)&amp;""</f>
        <v/>
      </c>
      <c r="D71" s="42">
        <f>_xlfn.XLOOKUP(B71,Input!J:J,Input!F:F)</f>
        <v>0</v>
      </c>
      <c r="E71" s="32">
        <f>_xlfn.XLOOKUP(D71,Models!H:H,Models!G:G,D71)</f>
        <v>0</v>
      </c>
      <c r="F71" s="32">
        <f>_xlfn.XLOOKUP(B71,Input!J:J,Input!E:E)</f>
        <v>0</v>
      </c>
      <c r="G71" s="32">
        <f>IF(F71="LENOVO",_xlfn.XLOOKUP(B71,Input!J:J,Input!K:K),_xlfn.XLOOKUP(B71,Input!J:J,Input!L:L))</f>
        <v>0</v>
      </c>
      <c r="H71" s="32"/>
      <c r="I71" s="32"/>
      <c r="J71" s="32">
        <f>_xlfn.XLOOKUP(B71,CPU_Formula!A:A,CPU_Formula!I:I)</f>
        <v>0</v>
      </c>
      <c r="K71" s="42" t="e">
        <f>INDEX(Input!$D$2:$AC$500,
       MATCH(B71, Input!$J$2:$J$500, 0),
       MATCH("Total Memory", Input!$D$1:$AC$1, 0))</f>
        <v>#N/A</v>
      </c>
      <c r="L71" s="42" t="e">
        <f>INDEX(Input!$D$2:$AC$500,
       MATCH(B71, Input!$J$2:$J$500, 0),
       MATCH("Memory Type", Input!$D$1:$AC$1, 0))</f>
        <v>#N/A</v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e">
        <f t="shared" si="5"/>
        <v>#N/A</v>
      </c>
      <c r="O71" s="42" t="e">
        <f>INDEX(Input!$D$2:$AC$500,
       MATCH(B71, Input!$J$2:$J$500, 0),
       MATCH("Disk Interface Type", Input!$D$1:$AC$1, 0))</f>
        <v>#N/A</v>
      </c>
      <c r="P71" s="42" t="str" cm="1">
        <f t="array" ref="P71">IFERROR(_xlfn.TEXTJOIN(", ", TRUE, _xlfn._xlws.FILTER(
    INDEX(Input!$D$2:$AC$500,,MATCH("Disk Capacity",Input!$D$1:$AC$1,0)),
    Input!$J$2:$J$500=B71
)), "")</f>
        <v/>
      </c>
      <c r="Q71" s="32" t="e">
        <f t="shared" si="4"/>
        <v>#N/A</v>
      </c>
      <c r="R71" s="42" t="e">
        <f>_xlfn.LET(_xlpm.Result,INDEX(Input!$D$2:$AC$500,
       MATCH(B71, Input!$J$2:$J$500, 0),
       MATCH("Capacity", Input!$D$1:$AC$1, 0)),IF(_xlpm.Result="","",_xlpm.Result))</f>
        <v>#N/A</v>
      </c>
      <c r="S71" s="42" t="e" cm="1">
        <f t="array" ref="S71">_xlfn.TEXTSPLIT(R71," / ", ,TRUE,0,)</f>
        <v>#N/A</v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:AD71">IFERROR(IF(_xlfn.XLOOKUP(B71,Input!J:J,Input!N:U)=0,"",
          _xlfn.XLOOKUP(B71,Input!J:J,Input!N:U)),"")</f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42" t="str">
        <v/>
      </c>
      <c r="AE71" s="32" t="str">
        <f t="shared" si="3"/>
        <v/>
      </c>
      <c r="AF71" s="32" t="str">
        <f>_xlfn.XLOOKUP(B:B,Disk_Pivot!G:G,Disk_Pivot!I:I)</f>
        <v>Yes x2</v>
      </c>
      <c r="AG71" s="32" t="str">
        <f>_xlfn.XLOOKUP(B71,Disk_Pivot!G:G,Disk_Pivot!N:N)</f>
        <v>Pass, Fail</v>
      </c>
      <c r="AH71" s="32"/>
      <c r="AI71" s="32"/>
      <c r="AJ71" s="32"/>
      <c r="AK71" s="32"/>
      <c r="AL71" s="32"/>
      <c r="AM71" s="32"/>
    </row>
    <row r="72" spans="1:39">
      <c r="A72" s="32" t="str">
        <f>_xlfn.XLOOKUP(B72,Input!J:J,Input!G:G)&amp;""</f>
        <v/>
      </c>
      <c r="B72" s="32"/>
      <c r="C72" s="32" t="str">
        <f>_xlfn.XLOOKUP(B72,Input!J:J,Input!H:H)&amp;""</f>
        <v/>
      </c>
      <c r="D72" s="42">
        <f>_xlfn.XLOOKUP(B72,Input!J:J,Input!F:F)</f>
        <v>0</v>
      </c>
      <c r="E72" s="32">
        <f>_xlfn.XLOOKUP(D72,Models!H:H,Models!G:G,D72)</f>
        <v>0</v>
      </c>
      <c r="F72" s="32">
        <f>_xlfn.XLOOKUP(B72,Input!J:J,Input!E:E)</f>
        <v>0</v>
      </c>
      <c r="G72" s="32">
        <f>IF(F72="LENOVO",_xlfn.XLOOKUP(B72,Input!J:J,Input!K:K),_xlfn.XLOOKUP(B72,Input!J:J,Input!L:L))</f>
        <v>0</v>
      </c>
      <c r="H72" s="32"/>
      <c r="I72" s="32"/>
      <c r="J72" s="32">
        <f>_xlfn.XLOOKUP(B72,CPU_Formula!A:A,CPU_Formula!I:I)</f>
        <v>0</v>
      </c>
      <c r="K72" s="42" t="e">
        <f>INDEX(Input!$D$2:$AC$500,
       MATCH(B72, Input!$J$2:$J$500, 0),
       MATCH("Total Memory", Input!$D$1:$AC$1, 0))</f>
        <v>#N/A</v>
      </c>
      <c r="L72" s="42" t="e">
        <f>INDEX(Input!$D$2:$AC$500,
       MATCH(B72, Input!$J$2:$J$500, 0),
       MATCH("Memory Type", Input!$D$1:$AC$1, 0))</f>
        <v>#N/A</v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e">
        <f t="shared" si="5"/>
        <v>#N/A</v>
      </c>
      <c r="O72" s="42" t="e">
        <f>INDEX(Input!$D$2:$AC$500,
       MATCH(B72, Input!$J$2:$J$500, 0),
       MATCH("Disk Interface Type", Input!$D$1:$AC$1, 0))</f>
        <v>#N/A</v>
      </c>
      <c r="P72" s="42" t="str" cm="1">
        <f t="array" ref="P72">IFERROR(_xlfn.TEXTJOIN(", ", TRUE, _xlfn._xlws.FILTER(
    INDEX(Input!$D$2:$AC$500,,MATCH("Disk Capacity",Input!$D$1:$AC$1,0)),
    Input!$J$2:$J$500=B72
)), "")</f>
        <v/>
      </c>
      <c r="Q72" s="32" t="e">
        <f t="shared" si="4"/>
        <v>#N/A</v>
      </c>
      <c r="R72" s="42" t="e">
        <f>_xlfn.LET(_xlpm.Result,INDEX(Input!$D$2:$AC$500,
       MATCH(B72, Input!$J$2:$J$500, 0),
       MATCH("Capacity", Input!$D$1:$AC$1, 0)),IF(_xlpm.Result="","",_xlpm.Result))</f>
        <v>#N/A</v>
      </c>
      <c r="S72" s="42" t="e" cm="1">
        <f t="array" ref="S72">_xlfn.TEXTSPLIT(R72," / ", ,TRUE,0,)</f>
        <v>#N/A</v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:AD72">IFERROR(IF(_xlfn.XLOOKUP(B72,Input!J:J,Input!N:U)=0,"",
          _xlfn.XLOOKUP(B72,Input!J:J,Input!N:U)),"")</f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42" t="str">
        <v/>
      </c>
      <c r="AE72" s="32" t="str">
        <f t="shared" si="3"/>
        <v/>
      </c>
      <c r="AF72" s="32" t="str">
        <f>_xlfn.XLOOKUP(B:B,Disk_Pivot!G:G,Disk_Pivot!I:I)</f>
        <v>Yes x2</v>
      </c>
      <c r="AG72" s="32" t="str">
        <f>_xlfn.XLOOKUP(B72,Disk_Pivot!G:G,Disk_Pivot!N:N)</f>
        <v>Pass, Fail</v>
      </c>
      <c r="AH72" s="32"/>
      <c r="AI72" s="32"/>
      <c r="AJ72" s="32"/>
      <c r="AK72" s="32"/>
      <c r="AL72" s="32"/>
      <c r="AM72" s="32"/>
    </row>
    <row r="73" spans="1:39">
      <c r="A73" s="32" t="str">
        <f>_xlfn.XLOOKUP(B73,Input!J:J,Input!G:G)&amp;""</f>
        <v/>
      </c>
      <c r="B73" s="32"/>
      <c r="C73" s="32" t="str">
        <f>_xlfn.XLOOKUP(B73,Input!J:J,Input!H:H)&amp;""</f>
        <v/>
      </c>
      <c r="D73" s="42">
        <f>_xlfn.XLOOKUP(B73,Input!J:J,Input!F:F)</f>
        <v>0</v>
      </c>
      <c r="E73" s="32">
        <f>_xlfn.XLOOKUP(D73,Models!H:H,Models!G:G,D73)</f>
        <v>0</v>
      </c>
      <c r="F73" s="32">
        <f>_xlfn.XLOOKUP(B73,Input!J:J,Input!E:E)</f>
        <v>0</v>
      </c>
      <c r="G73" s="32">
        <f>IF(F73="LENOVO",_xlfn.XLOOKUP(B73,Input!J:J,Input!K:K),_xlfn.XLOOKUP(B73,Input!J:J,Input!L:L))</f>
        <v>0</v>
      </c>
      <c r="H73" s="32"/>
      <c r="I73" s="32"/>
      <c r="J73" s="32">
        <f>_xlfn.XLOOKUP(B73,CPU_Formula!A:A,CPU_Formula!I:I)</f>
        <v>0</v>
      </c>
      <c r="K73" s="42" t="e">
        <f>INDEX(Input!$D$2:$AC$500,
       MATCH(B73, Input!$J$2:$J$500, 0),
       MATCH("Total Memory", Input!$D$1:$AC$1, 0))</f>
        <v>#N/A</v>
      </c>
      <c r="L73" s="42" t="e">
        <f>INDEX(Input!$D$2:$AC$500,
       MATCH(B73, Input!$J$2:$J$500, 0),
       MATCH("Memory Type", Input!$D$1:$AC$1, 0))</f>
        <v>#N/A</v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e">
        <f t="shared" si="5"/>
        <v>#N/A</v>
      </c>
      <c r="O73" s="42" t="e">
        <f>INDEX(Input!$D$2:$AC$500,
       MATCH(B73, Input!$J$2:$J$500, 0),
       MATCH("Disk Interface Type", Input!$D$1:$AC$1, 0))</f>
        <v>#N/A</v>
      </c>
      <c r="P73" s="42" t="str" cm="1">
        <f t="array" ref="P73">IFERROR(_xlfn.TEXTJOIN(", ", TRUE, _xlfn._xlws.FILTER(
    INDEX(Input!$D$2:$AC$500,,MATCH("Disk Capacity",Input!$D$1:$AC$1,0)),
    Input!$J$2:$J$500=B73
)), "")</f>
        <v/>
      </c>
      <c r="Q73" s="32" t="e">
        <f t="shared" si="4"/>
        <v>#N/A</v>
      </c>
      <c r="R73" s="42" t="e">
        <f>_xlfn.LET(_xlpm.Result,INDEX(Input!$D$2:$AC$500,
       MATCH(B73, Input!$J$2:$J$500, 0),
       MATCH("Capacity", Input!$D$1:$AC$1, 0)),IF(_xlpm.Result="","",_xlpm.Result))</f>
        <v>#N/A</v>
      </c>
      <c r="S73" s="42" t="e" cm="1">
        <f t="array" ref="S73">_xlfn.TEXTSPLIT(R73," / ", ,TRUE,0,)</f>
        <v>#N/A</v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:AD73">IFERROR(IF(_xlfn.XLOOKUP(B73,Input!J:J,Input!N:U)=0,"",
          _xlfn.XLOOKUP(B73,Input!J:J,Input!N:U)),"")</f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42" t="str">
        <v/>
      </c>
      <c r="AE73" s="32" t="str">
        <f t="shared" si="3"/>
        <v/>
      </c>
      <c r="AF73" s="32" t="str">
        <f>_xlfn.XLOOKUP(B:B,Disk_Pivot!G:G,Disk_Pivot!I:I)</f>
        <v>Yes x2</v>
      </c>
      <c r="AG73" s="32" t="str">
        <f>_xlfn.XLOOKUP(B73,Disk_Pivot!G:G,Disk_Pivot!N:N)</f>
        <v>Pass, Fail</v>
      </c>
      <c r="AH73" s="32"/>
      <c r="AI73" s="32"/>
      <c r="AJ73" s="32"/>
      <c r="AK73" s="32"/>
      <c r="AL73" s="32"/>
      <c r="AM73" s="32"/>
    </row>
    <row r="74" spans="1:39">
      <c r="A74" s="32" t="str">
        <f>_xlfn.XLOOKUP(B74,Input!J:J,Input!G:G)&amp;""</f>
        <v/>
      </c>
      <c r="B74" s="32"/>
      <c r="C74" s="32" t="str">
        <f>_xlfn.XLOOKUP(B74,Input!J:J,Input!H:H)&amp;""</f>
        <v/>
      </c>
      <c r="D74" s="42">
        <f>_xlfn.XLOOKUP(B74,Input!J:J,Input!F:F)</f>
        <v>0</v>
      </c>
      <c r="E74" s="32">
        <f>_xlfn.XLOOKUP(D74,Models!H:H,Models!G:G,D74)</f>
        <v>0</v>
      </c>
      <c r="F74" s="32">
        <f>_xlfn.XLOOKUP(B74,Input!J:J,Input!E:E)</f>
        <v>0</v>
      </c>
      <c r="G74" s="32">
        <f>IF(F74="LENOVO",_xlfn.XLOOKUP(B74,Input!J:J,Input!K:K),_xlfn.XLOOKUP(B74,Input!J:J,Input!L:L))</f>
        <v>0</v>
      </c>
      <c r="H74" s="32"/>
      <c r="I74" s="32"/>
      <c r="J74" s="32">
        <f>_xlfn.XLOOKUP(B74,CPU_Formula!A:A,CPU_Formula!I:I)</f>
        <v>0</v>
      </c>
      <c r="K74" s="42" t="e">
        <f>INDEX(Input!$D$2:$AC$500,
       MATCH(B74, Input!$J$2:$J$500, 0),
       MATCH("Total Memory", Input!$D$1:$AC$1, 0))</f>
        <v>#N/A</v>
      </c>
      <c r="L74" s="42" t="e">
        <f>INDEX(Input!$D$2:$AC$500,
       MATCH(B74, Input!$J$2:$J$500, 0),
       MATCH("Memory Type", Input!$D$1:$AC$1, 0))</f>
        <v>#N/A</v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e">
        <f t="shared" si="5"/>
        <v>#N/A</v>
      </c>
      <c r="O74" s="42" t="e">
        <f>INDEX(Input!$D$2:$AC$500,
       MATCH(B74, Input!$J$2:$J$500, 0),
       MATCH("Disk Interface Type", Input!$D$1:$AC$1, 0))</f>
        <v>#N/A</v>
      </c>
      <c r="P74" s="42" t="str" cm="1">
        <f t="array" ref="P74">IFERROR(_xlfn.TEXTJOIN(", ", TRUE, _xlfn._xlws.FILTER(
    INDEX(Input!$D$2:$AC$500,,MATCH("Disk Capacity",Input!$D$1:$AC$1,0)),
    Input!$J$2:$J$500=B74
)), "")</f>
        <v/>
      </c>
      <c r="Q74" s="32" t="e">
        <f t="shared" si="4"/>
        <v>#N/A</v>
      </c>
      <c r="R74" s="42" t="e">
        <f>_xlfn.LET(_xlpm.Result,INDEX(Input!$D$2:$AC$500,
       MATCH(B74, Input!$J$2:$J$500, 0),
       MATCH("Capacity", Input!$D$1:$AC$1, 0)),IF(_xlpm.Result="","",_xlpm.Result))</f>
        <v>#N/A</v>
      </c>
      <c r="S74" s="42" t="e" cm="1">
        <f t="array" ref="S74">_xlfn.TEXTSPLIT(R74," / ", ,TRUE,0,)</f>
        <v>#N/A</v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:AD74">IFERROR(IF(_xlfn.XLOOKUP(B74,Input!J:J,Input!N:U)=0,"",
          _xlfn.XLOOKUP(B74,Input!J:J,Input!N:U)),"")</f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42" t="str">
        <v/>
      </c>
      <c r="AE74" s="32" t="str">
        <f t="shared" si="3"/>
        <v/>
      </c>
      <c r="AF74" s="32" t="str">
        <f>_xlfn.XLOOKUP(B:B,Disk_Pivot!G:G,Disk_Pivot!I:I)</f>
        <v>Yes x2</v>
      </c>
      <c r="AG74" s="32" t="str">
        <f>_xlfn.XLOOKUP(B74,Disk_Pivot!G:G,Disk_Pivot!N:N)</f>
        <v>Pass, Fail</v>
      </c>
      <c r="AH74" s="32"/>
      <c r="AI74" s="32"/>
      <c r="AJ74" s="32"/>
      <c r="AK74" s="32"/>
      <c r="AL74" s="32"/>
      <c r="AM74" s="32"/>
    </row>
    <row r="75" spans="1:39">
      <c r="A75" s="32" t="str">
        <f>_xlfn.XLOOKUP(B75,Input!J:J,Input!G:G)&amp;""</f>
        <v/>
      </c>
      <c r="B75" s="32"/>
      <c r="C75" s="32" t="str">
        <f>_xlfn.XLOOKUP(B75,Input!J:J,Input!H:H)&amp;""</f>
        <v/>
      </c>
      <c r="D75" s="42">
        <f>_xlfn.XLOOKUP(B75,Input!J:J,Input!F:F)</f>
        <v>0</v>
      </c>
      <c r="E75" s="32">
        <f>_xlfn.XLOOKUP(D75,Models!H:H,Models!G:G,D75)</f>
        <v>0</v>
      </c>
      <c r="F75" s="32">
        <f>_xlfn.XLOOKUP(B75,Input!J:J,Input!E:E)</f>
        <v>0</v>
      </c>
      <c r="G75" s="32">
        <f>IF(F75="LENOVO",_xlfn.XLOOKUP(B75,Input!J:J,Input!K:K),_xlfn.XLOOKUP(B75,Input!J:J,Input!L:L))</f>
        <v>0</v>
      </c>
      <c r="H75" s="32"/>
      <c r="I75" s="32"/>
      <c r="J75" s="32">
        <f>_xlfn.XLOOKUP(B75,CPU_Formula!A:A,CPU_Formula!I:I)</f>
        <v>0</v>
      </c>
      <c r="K75" s="42" t="e">
        <f>INDEX(Input!$D$2:$AC$500,
       MATCH(B75, Input!$J$2:$J$500, 0),
       MATCH("Total Memory", Input!$D$1:$AC$1, 0))</f>
        <v>#N/A</v>
      </c>
      <c r="L75" s="42" t="e">
        <f>INDEX(Input!$D$2:$AC$500,
       MATCH(B75, Input!$J$2:$J$500, 0),
       MATCH("Memory Type", Input!$D$1:$AC$1, 0))</f>
        <v>#N/A</v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e">
        <f t="shared" si="5"/>
        <v>#N/A</v>
      </c>
      <c r="O75" s="42" t="e">
        <f>INDEX(Input!$D$2:$AC$500,
       MATCH(B75, Input!$J$2:$J$500, 0),
       MATCH("Disk Interface Type", Input!$D$1:$AC$1, 0))</f>
        <v>#N/A</v>
      </c>
      <c r="P75" s="42" t="str" cm="1">
        <f t="array" ref="P75">IFERROR(_xlfn.TEXTJOIN(", ", TRUE, _xlfn._xlws.FILTER(
    INDEX(Input!$D$2:$AC$500,,MATCH("Disk Capacity",Input!$D$1:$AC$1,0)),
    Input!$J$2:$J$500=B75
)), "")</f>
        <v/>
      </c>
      <c r="Q75" s="32" t="e">
        <f t="shared" si="4"/>
        <v>#N/A</v>
      </c>
      <c r="R75" s="42" t="e">
        <f>_xlfn.LET(_xlpm.Result,INDEX(Input!$D$2:$AC$500,
       MATCH(B75, Input!$J$2:$J$500, 0),
       MATCH("Capacity", Input!$D$1:$AC$1, 0)),IF(_xlpm.Result="","",_xlpm.Result))</f>
        <v>#N/A</v>
      </c>
      <c r="S75" s="42" t="e" cm="1">
        <f t="array" ref="S75">_xlfn.TEXTSPLIT(R75," / ", ,TRUE,0,)</f>
        <v>#N/A</v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:AD75">IFERROR(IF(_xlfn.XLOOKUP(B75,Input!J:J,Input!N:U)=0,"",
          _xlfn.XLOOKUP(B75,Input!J:J,Input!N:U)),"")</f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42" t="str">
        <v/>
      </c>
      <c r="AE75" s="32" t="str">
        <f t="shared" si="3"/>
        <v/>
      </c>
      <c r="AF75" s="32" t="str">
        <f>_xlfn.XLOOKUP(B:B,Disk_Pivot!G:G,Disk_Pivot!I:I)</f>
        <v>Yes x2</v>
      </c>
      <c r="AG75" s="32" t="str">
        <f>_xlfn.XLOOKUP(B75,Disk_Pivot!G:G,Disk_Pivot!N:N)</f>
        <v>Pass, Fail</v>
      </c>
      <c r="AH75" s="32"/>
      <c r="AI75" s="32"/>
      <c r="AJ75" s="32"/>
      <c r="AK75" s="32"/>
      <c r="AL75" s="32"/>
      <c r="AM75" s="32"/>
    </row>
    <row r="76" spans="1:39">
      <c r="A76" s="32" t="str">
        <f>_xlfn.XLOOKUP(B76,Input!J:J,Input!G:G)&amp;""</f>
        <v/>
      </c>
      <c r="B76" s="32"/>
      <c r="C76" s="32" t="str">
        <f>_xlfn.XLOOKUP(B76,Input!J:J,Input!H:H)&amp;""</f>
        <v/>
      </c>
      <c r="D76" s="42">
        <f>_xlfn.XLOOKUP(B76,Input!J:J,Input!F:F)</f>
        <v>0</v>
      </c>
      <c r="E76" s="32">
        <f>_xlfn.XLOOKUP(D76,Models!H:H,Models!G:G,D76)</f>
        <v>0</v>
      </c>
      <c r="F76" s="32">
        <f>_xlfn.XLOOKUP(B76,Input!J:J,Input!E:E)</f>
        <v>0</v>
      </c>
      <c r="G76" s="32">
        <f>IF(F76="LENOVO",_xlfn.XLOOKUP(B76,Input!J:J,Input!K:K),_xlfn.XLOOKUP(B76,Input!J:J,Input!L:L))</f>
        <v>0</v>
      </c>
      <c r="H76" s="32"/>
      <c r="I76" s="32"/>
      <c r="J76" s="32">
        <f>_xlfn.XLOOKUP(B76,CPU_Formula!A:A,CPU_Formula!I:I)</f>
        <v>0</v>
      </c>
      <c r="K76" s="42" t="e">
        <f>INDEX(Input!$D$2:$AC$500,
       MATCH(B76, Input!$J$2:$J$500, 0),
       MATCH("Total Memory", Input!$D$1:$AC$1, 0))</f>
        <v>#N/A</v>
      </c>
      <c r="L76" s="42" t="e">
        <f>INDEX(Input!$D$2:$AC$500,
       MATCH(B76, Input!$J$2:$J$500, 0),
       MATCH("Memory Type", Input!$D$1:$AC$1, 0))</f>
        <v>#N/A</v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e">
        <f t="shared" si="5"/>
        <v>#N/A</v>
      </c>
      <c r="O76" s="42" t="e">
        <f>INDEX(Input!$D$2:$AC$500,
       MATCH(B76, Input!$J$2:$J$500, 0),
       MATCH("Disk Interface Type", Input!$D$1:$AC$1, 0))</f>
        <v>#N/A</v>
      </c>
      <c r="P76" s="42" t="str" cm="1">
        <f t="array" ref="P76">IFERROR(_xlfn.TEXTJOIN(", ", TRUE, _xlfn._xlws.FILTER(
    INDEX(Input!$D$2:$AC$500,,MATCH("Disk Capacity",Input!$D$1:$AC$1,0)),
    Input!$J$2:$J$500=B76
)), "")</f>
        <v/>
      </c>
      <c r="Q76" s="32" t="e">
        <f t="shared" si="4"/>
        <v>#N/A</v>
      </c>
      <c r="R76" s="42" t="e">
        <f>_xlfn.LET(_xlpm.Result,INDEX(Input!$D$2:$AC$500,
       MATCH(B76, Input!$J$2:$J$500, 0),
       MATCH("Capacity", Input!$D$1:$AC$1, 0)),IF(_xlpm.Result="","",_xlpm.Result))</f>
        <v>#N/A</v>
      </c>
      <c r="S76" s="42" t="e" cm="1">
        <f t="array" ref="S76">_xlfn.TEXTSPLIT(R76," / ", ,TRUE,0,)</f>
        <v>#N/A</v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:AD76">IFERROR(IF(_xlfn.XLOOKUP(B76,Input!J:J,Input!N:U)=0,"",
          _xlfn.XLOOKUP(B76,Input!J:J,Input!N:U)),"")</f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42" t="str">
        <v/>
      </c>
      <c r="AE76" s="32" t="str">
        <f t="shared" si="3"/>
        <v/>
      </c>
      <c r="AF76" s="32" t="str">
        <f>_xlfn.XLOOKUP(B:B,Disk_Pivot!G:G,Disk_Pivot!I:I)</f>
        <v>Yes x2</v>
      </c>
      <c r="AG76" s="32" t="str">
        <f>_xlfn.XLOOKUP(B76,Disk_Pivot!G:G,Disk_Pivot!N:N)</f>
        <v>Pass, Fail</v>
      </c>
      <c r="AH76" s="32"/>
      <c r="AI76" s="32"/>
      <c r="AJ76" s="32"/>
      <c r="AK76" s="32"/>
      <c r="AL76" s="32"/>
      <c r="AM76" s="32"/>
    </row>
    <row r="77" spans="1:39">
      <c r="A77" s="32" t="str">
        <f>_xlfn.XLOOKUP(B77,Input!J:J,Input!G:G)&amp;""</f>
        <v/>
      </c>
      <c r="B77" s="32"/>
      <c r="C77" s="32" t="str">
        <f>_xlfn.XLOOKUP(B77,Input!J:J,Input!H:H)&amp;""</f>
        <v/>
      </c>
      <c r="D77" s="42">
        <f>_xlfn.XLOOKUP(B77,Input!J:J,Input!F:F)</f>
        <v>0</v>
      </c>
      <c r="E77" s="32">
        <f>_xlfn.XLOOKUP(D77,Models!H:H,Models!G:G,D77)</f>
        <v>0</v>
      </c>
      <c r="F77" s="32">
        <f>_xlfn.XLOOKUP(B77,Input!J:J,Input!E:E)</f>
        <v>0</v>
      </c>
      <c r="G77" s="32">
        <f>IF(F77="LENOVO",_xlfn.XLOOKUP(B77,Input!J:J,Input!K:K),_xlfn.XLOOKUP(B77,Input!J:J,Input!L:L))</f>
        <v>0</v>
      </c>
      <c r="H77" s="32"/>
      <c r="I77" s="32"/>
      <c r="J77" s="32">
        <f>_xlfn.XLOOKUP(B77,CPU_Formula!A:A,CPU_Formula!I:I)</f>
        <v>0</v>
      </c>
      <c r="K77" s="42" t="e">
        <f>INDEX(Input!$D$2:$AC$500,
       MATCH(B77, Input!$J$2:$J$500, 0),
       MATCH("Total Memory", Input!$D$1:$AC$1, 0))</f>
        <v>#N/A</v>
      </c>
      <c r="L77" s="42" t="e">
        <f>INDEX(Input!$D$2:$AC$500,
       MATCH(B77, Input!$J$2:$J$500, 0),
       MATCH("Memory Type", Input!$D$1:$AC$1, 0))</f>
        <v>#N/A</v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e">
        <f t="shared" si="5"/>
        <v>#N/A</v>
      </c>
      <c r="O77" s="42" t="e">
        <f>INDEX(Input!$D$2:$AC$500,
       MATCH(B77, Input!$J$2:$J$500, 0),
       MATCH("Disk Interface Type", Input!$D$1:$AC$1, 0))</f>
        <v>#N/A</v>
      </c>
      <c r="P77" s="42" t="str" cm="1">
        <f t="array" ref="P77">IFERROR(_xlfn.TEXTJOIN(", ", TRUE, _xlfn._xlws.FILTER(
    INDEX(Input!$D$2:$AC$500,,MATCH("Disk Capacity",Input!$D$1:$AC$1,0)),
    Input!$J$2:$J$500=B77
)), "")</f>
        <v/>
      </c>
      <c r="Q77" s="32" t="e">
        <f t="shared" si="4"/>
        <v>#N/A</v>
      </c>
      <c r="R77" s="42" t="e">
        <f>_xlfn.LET(_xlpm.Result,INDEX(Input!$D$2:$AC$500,
       MATCH(B77, Input!$J$2:$J$500, 0),
       MATCH("Capacity", Input!$D$1:$AC$1, 0)),IF(_xlpm.Result="","",_xlpm.Result))</f>
        <v>#N/A</v>
      </c>
      <c r="S77" s="42" t="e" cm="1">
        <f t="array" ref="S77">_xlfn.TEXTSPLIT(R77," / ", ,TRUE,0,)</f>
        <v>#N/A</v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:AD77">IFERROR(IF(_xlfn.XLOOKUP(B77,Input!J:J,Input!N:U)=0,"",
          _xlfn.XLOOKUP(B77,Input!J:J,Input!N:U)),"")</f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42" t="str">
        <v/>
      </c>
      <c r="AE77" s="32" t="str">
        <f t="shared" si="3"/>
        <v/>
      </c>
      <c r="AF77" s="32" t="str">
        <f>_xlfn.XLOOKUP(B:B,Disk_Pivot!G:G,Disk_Pivot!I:I)</f>
        <v>Yes x2</v>
      </c>
      <c r="AG77" s="32" t="str">
        <f>_xlfn.XLOOKUP(B77,Disk_Pivot!G:G,Disk_Pivot!N:N)</f>
        <v>Pass, Fail</v>
      </c>
      <c r="AH77" s="32"/>
      <c r="AI77" s="32"/>
      <c r="AJ77" s="32"/>
      <c r="AK77" s="32"/>
      <c r="AL77" s="32"/>
      <c r="AM77" s="32"/>
    </row>
    <row r="78" spans="1:39">
      <c r="A78" s="32" t="str">
        <f>_xlfn.XLOOKUP(B78,Input!J:J,Input!G:G)&amp;""</f>
        <v/>
      </c>
      <c r="B78" s="32"/>
      <c r="C78" s="32" t="str">
        <f>_xlfn.XLOOKUP(B78,Input!J:J,Input!H:H)&amp;""</f>
        <v/>
      </c>
      <c r="D78" s="42">
        <f>_xlfn.XLOOKUP(B78,Input!J:J,Input!F:F)</f>
        <v>0</v>
      </c>
      <c r="E78" s="32">
        <f>_xlfn.XLOOKUP(D78,Models!H:H,Models!G:G,D78)</f>
        <v>0</v>
      </c>
      <c r="F78" s="32">
        <f>_xlfn.XLOOKUP(B78,Input!J:J,Input!E:E)</f>
        <v>0</v>
      </c>
      <c r="G78" s="32">
        <f>IF(F78="LENOVO",_xlfn.XLOOKUP(B78,Input!J:J,Input!K:K),_xlfn.XLOOKUP(B78,Input!J:J,Input!L:L))</f>
        <v>0</v>
      </c>
      <c r="H78" s="32"/>
      <c r="I78" s="32"/>
      <c r="J78" s="32">
        <f>_xlfn.XLOOKUP(B78,CPU_Formula!A:A,CPU_Formula!I:I)</f>
        <v>0</v>
      </c>
      <c r="K78" s="42" t="e">
        <f>INDEX(Input!$D$2:$AC$500,
       MATCH(B78, Input!$J$2:$J$500, 0),
       MATCH("Total Memory", Input!$D$1:$AC$1, 0))</f>
        <v>#N/A</v>
      </c>
      <c r="L78" s="42" t="e">
        <f>INDEX(Input!$D$2:$AC$500,
       MATCH(B78, Input!$J$2:$J$500, 0),
       MATCH("Memory Type", Input!$D$1:$AC$1, 0))</f>
        <v>#N/A</v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e">
        <f t="shared" si="5"/>
        <v>#N/A</v>
      </c>
      <c r="O78" s="42" t="e">
        <f>INDEX(Input!$D$2:$AC$500,
       MATCH(B78, Input!$J$2:$J$500, 0),
       MATCH("Disk Interface Type", Input!$D$1:$AC$1, 0))</f>
        <v>#N/A</v>
      </c>
      <c r="P78" s="42" t="str" cm="1">
        <f t="array" ref="P78">IFERROR(_xlfn.TEXTJOIN(", ", TRUE, _xlfn._xlws.FILTER(
    INDEX(Input!$D$2:$AC$500,,MATCH("Disk Capacity",Input!$D$1:$AC$1,0)),
    Input!$J$2:$J$500=B78
)), "")</f>
        <v/>
      </c>
      <c r="Q78" s="32" t="e">
        <f t="shared" si="4"/>
        <v>#N/A</v>
      </c>
      <c r="R78" s="42" t="e">
        <f>_xlfn.LET(_xlpm.Result,INDEX(Input!$D$2:$AC$500,
       MATCH(B78, Input!$J$2:$J$500, 0),
       MATCH("Capacity", Input!$D$1:$AC$1, 0)),IF(_xlpm.Result="","",_xlpm.Result))</f>
        <v>#N/A</v>
      </c>
      <c r="S78" s="42" t="e" cm="1">
        <f t="array" ref="S78">_xlfn.TEXTSPLIT(R78," / ", ,TRUE,0,)</f>
        <v>#N/A</v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:AD78">IFERROR(IF(_xlfn.XLOOKUP(B78,Input!J:J,Input!N:U)=0,"",
          _xlfn.XLOOKUP(B78,Input!J:J,Input!N:U)),"")</f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42" t="str">
        <v/>
      </c>
      <c r="AE78" s="32" t="str">
        <f t="shared" si="3"/>
        <v/>
      </c>
      <c r="AF78" s="32" t="str">
        <f>_xlfn.XLOOKUP(B:B,Disk_Pivot!G:G,Disk_Pivot!I:I)</f>
        <v>Yes x2</v>
      </c>
      <c r="AG78" s="32" t="str">
        <f>_xlfn.XLOOKUP(B78,Disk_Pivot!G:G,Disk_Pivot!N:N)</f>
        <v>Pass, Fail</v>
      </c>
      <c r="AH78" s="32"/>
      <c r="AI78" s="32"/>
      <c r="AJ78" s="32"/>
      <c r="AK78" s="32"/>
      <c r="AL78" s="32"/>
      <c r="AM78" s="32"/>
    </row>
    <row r="79" spans="1:39">
      <c r="A79" s="32" t="str">
        <f>_xlfn.XLOOKUP(B79,Input!J:J,Input!G:G)&amp;""</f>
        <v/>
      </c>
      <c r="B79" s="32"/>
      <c r="C79" s="32" t="str">
        <f>_xlfn.XLOOKUP(B79,Input!J:J,Input!H:H)&amp;""</f>
        <v/>
      </c>
      <c r="D79" s="42">
        <f>_xlfn.XLOOKUP(B79,Input!J:J,Input!F:F)</f>
        <v>0</v>
      </c>
      <c r="E79" s="32">
        <f>_xlfn.XLOOKUP(D79,Models!H:H,Models!G:G,D79)</f>
        <v>0</v>
      </c>
      <c r="F79" s="32">
        <f>_xlfn.XLOOKUP(B79,Input!J:J,Input!E:E)</f>
        <v>0</v>
      </c>
      <c r="G79" s="32">
        <f>IF(F79="LENOVO",_xlfn.XLOOKUP(B79,Input!J:J,Input!K:K),_xlfn.XLOOKUP(B79,Input!J:J,Input!L:L))</f>
        <v>0</v>
      </c>
      <c r="H79" s="32"/>
      <c r="I79" s="32"/>
      <c r="J79" s="32">
        <f>_xlfn.XLOOKUP(B79,CPU_Formula!A:A,CPU_Formula!I:I)</f>
        <v>0</v>
      </c>
      <c r="K79" s="42" t="e">
        <f>INDEX(Input!$D$2:$AC$500,
       MATCH(B79, Input!$J$2:$J$500, 0),
       MATCH("Total Memory", Input!$D$1:$AC$1, 0))</f>
        <v>#N/A</v>
      </c>
      <c r="L79" s="42" t="e">
        <f>INDEX(Input!$D$2:$AC$500,
       MATCH(B79, Input!$J$2:$J$500, 0),
       MATCH("Memory Type", Input!$D$1:$AC$1, 0))</f>
        <v>#N/A</v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e">
        <f t="shared" si="5"/>
        <v>#N/A</v>
      </c>
      <c r="O79" s="42" t="e">
        <f>INDEX(Input!$D$2:$AC$500,
       MATCH(B79, Input!$J$2:$J$500, 0),
       MATCH("Disk Interface Type", Input!$D$1:$AC$1, 0))</f>
        <v>#N/A</v>
      </c>
      <c r="P79" s="42" t="str" cm="1">
        <f t="array" ref="P79">IFERROR(_xlfn.TEXTJOIN(", ", TRUE, _xlfn._xlws.FILTER(
    INDEX(Input!$D$2:$AC$500,,MATCH("Disk Capacity",Input!$D$1:$AC$1,0)),
    Input!$J$2:$J$500=B79
)), "")</f>
        <v/>
      </c>
      <c r="Q79" s="32" t="e">
        <f t="shared" si="4"/>
        <v>#N/A</v>
      </c>
      <c r="R79" s="42" t="e">
        <f>_xlfn.LET(_xlpm.Result,INDEX(Input!$D$2:$AC$500,
       MATCH(B79, Input!$J$2:$J$500, 0),
       MATCH("Capacity", Input!$D$1:$AC$1, 0)),IF(_xlpm.Result="","",_xlpm.Result))</f>
        <v>#N/A</v>
      </c>
      <c r="S79" s="42" t="e" cm="1">
        <f t="array" ref="S79">_xlfn.TEXTSPLIT(R79," / ", ,TRUE,0,)</f>
        <v>#N/A</v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:AD79">IFERROR(IF(_xlfn.XLOOKUP(B79,Input!J:J,Input!N:U)=0,"",
          _xlfn.XLOOKUP(B79,Input!J:J,Input!N:U)),"")</f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42" t="str">
        <v/>
      </c>
      <c r="AE79" s="32" t="str">
        <f t="shared" si="3"/>
        <v/>
      </c>
      <c r="AF79" s="32" t="str">
        <f>_xlfn.XLOOKUP(B:B,Disk_Pivot!G:G,Disk_Pivot!I:I)</f>
        <v>Yes x2</v>
      </c>
      <c r="AG79" s="32" t="str">
        <f>_xlfn.XLOOKUP(B79,Disk_Pivot!G:G,Disk_Pivot!N:N)</f>
        <v>Pass, Fail</v>
      </c>
      <c r="AH79" s="32"/>
      <c r="AI79" s="32"/>
      <c r="AJ79" s="32"/>
      <c r="AK79" s="32"/>
      <c r="AL79" s="32"/>
      <c r="AM79" s="32"/>
    </row>
    <row r="80" spans="1:39">
      <c r="A80" s="32" t="str">
        <f>_xlfn.XLOOKUP(B80,Input!J:J,Input!G:G)&amp;""</f>
        <v/>
      </c>
      <c r="B80" s="32"/>
      <c r="C80" s="32" t="str">
        <f>_xlfn.XLOOKUP(B80,Input!J:J,Input!H:H)&amp;""</f>
        <v/>
      </c>
      <c r="D80" s="42">
        <f>_xlfn.XLOOKUP(B80,Input!J:J,Input!F:F)</f>
        <v>0</v>
      </c>
      <c r="E80" s="32">
        <f>_xlfn.XLOOKUP(D80,Models!H:H,Models!G:G,D80)</f>
        <v>0</v>
      </c>
      <c r="F80" s="32">
        <f>_xlfn.XLOOKUP(B80,Input!J:J,Input!E:E)</f>
        <v>0</v>
      </c>
      <c r="G80" s="32">
        <f>IF(F80="LENOVO",_xlfn.XLOOKUP(B80,Input!J:J,Input!K:K),_xlfn.XLOOKUP(B80,Input!J:J,Input!L:L))</f>
        <v>0</v>
      </c>
      <c r="H80" s="32"/>
      <c r="I80" s="32"/>
      <c r="J80" s="32">
        <f>_xlfn.XLOOKUP(B80,CPU_Formula!A:A,CPU_Formula!I:I)</f>
        <v>0</v>
      </c>
      <c r="K80" s="42" t="e">
        <f>INDEX(Input!$D$2:$AC$500,
       MATCH(B80, Input!$J$2:$J$500, 0),
       MATCH("Total Memory", Input!$D$1:$AC$1, 0))</f>
        <v>#N/A</v>
      </c>
      <c r="L80" s="42" t="e">
        <f>INDEX(Input!$D$2:$AC$500,
       MATCH(B80, Input!$J$2:$J$500, 0),
       MATCH("Memory Type", Input!$D$1:$AC$1, 0))</f>
        <v>#N/A</v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e">
        <f t="shared" si="5"/>
        <v>#N/A</v>
      </c>
      <c r="O80" s="42" t="e">
        <f>INDEX(Input!$D$2:$AC$500,
       MATCH(B80, Input!$J$2:$J$500, 0),
       MATCH("Disk Interface Type", Input!$D$1:$AC$1, 0))</f>
        <v>#N/A</v>
      </c>
      <c r="P80" s="42" t="str" cm="1">
        <f t="array" ref="P80">IFERROR(_xlfn.TEXTJOIN(", ", TRUE, _xlfn._xlws.FILTER(
    INDEX(Input!$D$2:$AC$500,,MATCH("Disk Capacity",Input!$D$1:$AC$1,0)),
    Input!$J$2:$J$500=B80
)), "")</f>
        <v/>
      </c>
      <c r="Q80" s="32" t="e">
        <f t="shared" si="4"/>
        <v>#N/A</v>
      </c>
      <c r="R80" s="42" t="e">
        <f>_xlfn.LET(_xlpm.Result,INDEX(Input!$D$2:$AC$500,
       MATCH(B80, Input!$J$2:$J$500, 0),
       MATCH("Capacity", Input!$D$1:$AC$1, 0)),IF(_xlpm.Result="","",_xlpm.Result))</f>
        <v>#N/A</v>
      </c>
      <c r="S80" s="42" t="e" cm="1">
        <f t="array" ref="S80">_xlfn.TEXTSPLIT(R80," / ", ,TRUE,0,)</f>
        <v>#N/A</v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:AD80">IFERROR(IF(_xlfn.XLOOKUP(B80,Input!J:J,Input!N:U)=0,"",
          _xlfn.XLOOKUP(B80,Input!J:J,Input!N:U)),"")</f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42" t="str">
        <v/>
      </c>
      <c r="AE80" s="32" t="str">
        <f t="shared" si="3"/>
        <v/>
      </c>
      <c r="AF80" s="32" t="str">
        <f>_xlfn.XLOOKUP(B:B,Disk_Pivot!G:G,Disk_Pivot!I:I)</f>
        <v>Yes x2</v>
      </c>
      <c r="AG80" s="32" t="str">
        <f>_xlfn.XLOOKUP(B80,Disk_Pivot!G:G,Disk_Pivot!N:N)</f>
        <v>Pass, Fail</v>
      </c>
      <c r="AH80" s="32"/>
      <c r="AI80" s="32"/>
      <c r="AJ80" s="32"/>
      <c r="AK80" s="32"/>
      <c r="AL80" s="32"/>
      <c r="AM80" s="32"/>
    </row>
    <row r="81" spans="1:39">
      <c r="A81" s="32" t="str">
        <f>_xlfn.XLOOKUP(B81,Input!J:J,Input!G:G)&amp;""</f>
        <v/>
      </c>
      <c r="B81" s="32"/>
      <c r="C81" s="32" t="str">
        <f>_xlfn.XLOOKUP(B81,Input!J:J,Input!H:H)&amp;""</f>
        <v/>
      </c>
      <c r="D81" s="42">
        <f>_xlfn.XLOOKUP(B81,Input!J:J,Input!F:F)</f>
        <v>0</v>
      </c>
      <c r="E81" s="32">
        <f>_xlfn.XLOOKUP(D81,Models!H:H,Models!G:G,D81)</f>
        <v>0</v>
      </c>
      <c r="F81" s="32">
        <f>_xlfn.XLOOKUP(B81,Input!J:J,Input!E:E)</f>
        <v>0</v>
      </c>
      <c r="G81" s="32">
        <f>IF(F81="LENOVO",_xlfn.XLOOKUP(B81,Input!J:J,Input!K:K),_xlfn.XLOOKUP(B81,Input!J:J,Input!L:L))</f>
        <v>0</v>
      </c>
      <c r="H81" s="32"/>
      <c r="I81" s="32"/>
      <c r="J81" s="32">
        <f>_xlfn.XLOOKUP(B81,CPU_Formula!A:A,CPU_Formula!I:I)</f>
        <v>0</v>
      </c>
      <c r="K81" s="42" t="e">
        <f>INDEX(Input!$D$2:$AC$500,
       MATCH(B81, Input!$J$2:$J$500, 0),
       MATCH("Total Memory", Input!$D$1:$AC$1, 0))</f>
        <v>#N/A</v>
      </c>
      <c r="L81" s="42" t="e">
        <f>INDEX(Input!$D$2:$AC$500,
       MATCH(B81, Input!$J$2:$J$500, 0),
       MATCH("Memory Type", Input!$D$1:$AC$1, 0))</f>
        <v>#N/A</v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e">
        <f t="shared" si="5"/>
        <v>#N/A</v>
      </c>
      <c r="O81" s="42" t="e">
        <f>INDEX(Input!$D$2:$AC$500,
       MATCH(B81, Input!$J$2:$J$500, 0),
       MATCH("Disk Interface Type", Input!$D$1:$AC$1, 0))</f>
        <v>#N/A</v>
      </c>
      <c r="P81" s="42" t="str" cm="1">
        <f t="array" ref="P81">IFERROR(_xlfn.TEXTJOIN(", ", TRUE, _xlfn._xlws.FILTER(
    INDEX(Input!$D$2:$AC$500,,MATCH("Disk Capacity",Input!$D$1:$AC$1,0)),
    Input!$J$2:$J$500=B81
)), "")</f>
        <v/>
      </c>
      <c r="Q81" s="32" t="e">
        <f t="shared" si="4"/>
        <v>#N/A</v>
      </c>
      <c r="R81" s="42" t="e">
        <f>_xlfn.LET(_xlpm.Result,INDEX(Input!$D$2:$AC$500,
       MATCH(B81, Input!$J$2:$J$500, 0),
       MATCH("Capacity", Input!$D$1:$AC$1, 0)),IF(_xlpm.Result="","",_xlpm.Result))</f>
        <v>#N/A</v>
      </c>
      <c r="S81" s="42" t="e" cm="1">
        <f t="array" ref="S81">_xlfn.TEXTSPLIT(R81," / ", ,TRUE,0,)</f>
        <v>#N/A</v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:AD81">IFERROR(IF(_xlfn.XLOOKUP(B81,Input!J:J,Input!N:U)=0,"",
          _xlfn.XLOOKUP(B81,Input!J:J,Input!N:U)),"")</f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42" t="str">
        <v/>
      </c>
      <c r="AE81" s="32" t="str">
        <f t="shared" si="3"/>
        <v/>
      </c>
      <c r="AF81" s="32" t="str">
        <f>_xlfn.XLOOKUP(B:B,Disk_Pivot!G:G,Disk_Pivot!I:I)</f>
        <v>Yes x2</v>
      </c>
      <c r="AG81" s="32" t="str">
        <f>_xlfn.XLOOKUP(B81,Disk_Pivot!G:G,Disk_Pivot!N:N)</f>
        <v>Pass, Fail</v>
      </c>
      <c r="AH81" s="32"/>
      <c r="AI81" s="32"/>
      <c r="AJ81" s="32"/>
      <c r="AK81" s="32"/>
      <c r="AL81" s="32"/>
      <c r="AM81" s="32"/>
    </row>
    <row r="82" spans="1:39">
      <c r="A82" s="32" t="str">
        <f>_xlfn.XLOOKUP(B82,Input!J:J,Input!G:G)&amp;""</f>
        <v/>
      </c>
      <c r="B82" s="32"/>
      <c r="C82" s="32" t="str">
        <f>_xlfn.XLOOKUP(B82,Input!J:J,Input!H:H)&amp;""</f>
        <v/>
      </c>
      <c r="D82" s="42">
        <f>_xlfn.XLOOKUP(B82,Input!J:J,Input!F:F)</f>
        <v>0</v>
      </c>
      <c r="E82" s="32">
        <f>_xlfn.XLOOKUP(D82,Models!H:H,Models!G:G,D82)</f>
        <v>0</v>
      </c>
      <c r="F82" s="32">
        <f>_xlfn.XLOOKUP(B82,Input!J:J,Input!E:E)</f>
        <v>0</v>
      </c>
      <c r="G82" s="32">
        <f>IF(F82="LENOVO",_xlfn.XLOOKUP(B82,Input!J:J,Input!K:K),_xlfn.XLOOKUP(B82,Input!J:J,Input!L:L))</f>
        <v>0</v>
      </c>
      <c r="H82" s="32"/>
      <c r="I82" s="32"/>
      <c r="J82" s="32">
        <f>_xlfn.XLOOKUP(B82,CPU_Formula!A:A,CPU_Formula!I:I)</f>
        <v>0</v>
      </c>
      <c r="K82" s="42" t="e">
        <f>INDEX(Input!$D$2:$AC$500,
       MATCH(B82, Input!$J$2:$J$500, 0),
       MATCH("Total Memory", Input!$D$1:$AC$1, 0))</f>
        <v>#N/A</v>
      </c>
      <c r="L82" s="42" t="e">
        <f>INDEX(Input!$D$2:$AC$500,
       MATCH(B82, Input!$J$2:$J$500, 0),
       MATCH("Memory Type", Input!$D$1:$AC$1, 0))</f>
        <v>#N/A</v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e">
        <f t="shared" si="5"/>
        <v>#N/A</v>
      </c>
      <c r="O82" s="42" t="e">
        <f>INDEX(Input!$D$2:$AC$500,
       MATCH(B82, Input!$J$2:$J$500, 0),
       MATCH("Disk Interface Type", Input!$D$1:$AC$1, 0))</f>
        <v>#N/A</v>
      </c>
      <c r="P82" s="42" t="str" cm="1">
        <f t="array" ref="P82">IFERROR(_xlfn.TEXTJOIN(", ", TRUE, _xlfn._xlws.FILTER(
    INDEX(Input!$D$2:$AC$500,,MATCH("Disk Capacity",Input!$D$1:$AC$1,0)),
    Input!$J$2:$J$500=B82
)), "")</f>
        <v/>
      </c>
      <c r="Q82" s="32" t="e">
        <f t="shared" si="4"/>
        <v>#N/A</v>
      </c>
      <c r="R82" s="42" t="e">
        <f>_xlfn.LET(_xlpm.Result,INDEX(Input!$D$2:$AC$500,
       MATCH(B82, Input!$J$2:$J$500, 0),
       MATCH("Capacity", Input!$D$1:$AC$1, 0)),IF(_xlpm.Result="","",_xlpm.Result))</f>
        <v>#N/A</v>
      </c>
      <c r="S82" s="42" t="e" cm="1">
        <f t="array" ref="S82">_xlfn.TEXTSPLIT(R82," / ", ,TRUE,0,)</f>
        <v>#N/A</v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:AD82">IFERROR(IF(_xlfn.XLOOKUP(B82,Input!J:J,Input!N:U)=0,"",
          _xlfn.XLOOKUP(B82,Input!J:J,Input!N:U)),"")</f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42" t="str">
        <v/>
      </c>
      <c r="AE82" s="32" t="str">
        <f t="shared" si="3"/>
        <v/>
      </c>
      <c r="AF82" s="32" t="str">
        <f>_xlfn.XLOOKUP(B:B,Disk_Pivot!G:G,Disk_Pivot!I:I)</f>
        <v>Yes x2</v>
      </c>
      <c r="AG82" s="32" t="str">
        <f>_xlfn.XLOOKUP(B82,Disk_Pivot!G:G,Disk_Pivot!N:N)</f>
        <v>Pass, Fail</v>
      </c>
      <c r="AH82" s="32"/>
      <c r="AI82" s="32"/>
      <c r="AJ82" s="32"/>
      <c r="AK82" s="32"/>
      <c r="AL82" s="32"/>
      <c r="AM82" s="32"/>
    </row>
    <row r="83" spans="1:39">
      <c r="A83" s="32" t="str">
        <f>_xlfn.XLOOKUP(B83,Input!J:J,Input!G:G)&amp;""</f>
        <v/>
      </c>
      <c r="B83" s="32"/>
      <c r="C83" s="32" t="str">
        <f>_xlfn.XLOOKUP(B83,Input!J:J,Input!H:H)&amp;""</f>
        <v/>
      </c>
      <c r="D83" s="42">
        <f>_xlfn.XLOOKUP(B83,Input!J:J,Input!F:F)</f>
        <v>0</v>
      </c>
      <c r="E83" s="32">
        <f>_xlfn.XLOOKUP(D83,Models!H:H,Models!G:G,D83)</f>
        <v>0</v>
      </c>
      <c r="F83" s="32">
        <f>_xlfn.XLOOKUP(B83,Input!J:J,Input!E:E)</f>
        <v>0</v>
      </c>
      <c r="G83" s="32">
        <f>IF(F83="LENOVO",_xlfn.XLOOKUP(B83,Input!J:J,Input!K:K),_xlfn.XLOOKUP(B83,Input!J:J,Input!L:L))</f>
        <v>0</v>
      </c>
      <c r="H83" s="32"/>
      <c r="I83" s="32"/>
      <c r="J83" s="32">
        <f>_xlfn.XLOOKUP(B83,CPU_Formula!A:A,CPU_Formula!I:I)</f>
        <v>0</v>
      </c>
      <c r="K83" s="42" t="e">
        <f>INDEX(Input!$D$2:$AC$500,
       MATCH(B83, Input!$J$2:$J$500, 0),
       MATCH("Total Memory", Input!$D$1:$AC$1, 0))</f>
        <v>#N/A</v>
      </c>
      <c r="L83" s="42" t="e">
        <f>INDEX(Input!$D$2:$AC$500,
       MATCH(B83, Input!$J$2:$J$500, 0),
       MATCH("Memory Type", Input!$D$1:$AC$1, 0))</f>
        <v>#N/A</v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e">
        <f t="shared" si="5"/>
        <v>#N/A</v>
      </c>
      <c r="O83" s="42" t="e">
        <f>INDEX(Input!$D$2:$AC$500,
       MATCH(B83, Input!$J$2:$J$500, 0),
       MATCH("Disk Interface Type", Input!$D$1:$AC$1, 0))</f>
        <v>#N/A</v>
      </c>
      <c r="P83" s="42" t="str" cm="1">
        <f t="array" ref="P83">IFERROR(_xlfn.TEXTJOIN(", ", TRUE, _xlfn._xlws.FILTER(
    INDEX(Input!$D$2:$AC$500,,MATCH("Disk Capacity",Input!$D$1:$AC$1,0)),
    Input!$J$2:$J$500=B83
)), "")</f>
        <v/>
      </c>
      <c r="Q83" s="32" t="e">
        <f t="shared" si="4"/>
        <v>#N/A</v>
      </c>
      <c r="R83" s="42" t="e">
        <f>_xlfn.LET(_xlpm.Result,INDEX(Input!$D$2:$AC$500,
       MATCH(B83, Input!$J$2:$J$500, 0),
       MATCH("Capacity", Input!$D$1:$AC$1, 0)),IF(_xlpm.Result="","",_xlpm.Result))</f>
        <v>#N/A</v>
      </c>
      <c r="S83" s="42" t="e" cm="1">
        <f t="array" ref="S83">_xlfn.TEXTSPLIT(R83," / ", ,TRUE,0,)</f>
        <v>#N/A</v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:AD83">IFERROR(IF(_xlfn.XLOOKUP(B83,Input!J:J,Input!N:U)=0,"",
          _xlfn.XLOOKUP(B83,Input!J:J,Input!N:U)),"")</f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42" t="str">
        <v/>
      </c>
      <c r="AE83" s="32" t="str">
        <f t="shared" si="3"/>
        <v/>
      </c>
      <c r="AF83" s="32" t="str">
        <f>_xlfn.XLOOKUP(B:B,Disk_Pivot!G:G,Disk_Pivot!I:I)</f>
        <v>Yes x2</v>
      </c>
      <c r="AG83" s="32" t="str">
        <f>_xlfn.XLOOKUP(B83,Disk_Pivot!G:G,Disk_Pivot!N:N)</f>
        <v>Pass, Fail</v>
      </c>
      <c r="AH83" s="32"/>
      <c r="AI83" s="32"/>
      <c r="AJ83" s="32"/>
      <c r="AK83" s="32"/>
      <c r="AL83" s="32"/>
      <c r="AM83" s="32"/>
    </row>
    <row r="84" spans="1:39">
      <c r="A84" s="32" t="str">
        <f>_xlfn.XLOOKUP(B84,Input!J:J,Input!G:G)&amp;""</f>
        <v/>
      </c>
      <c r="B84" s="32"/>
      <c r="C84" s="32" t="str">
        <f>_xlfn.XLOOKUP(B84,Input!J:J,Input!H:H)&amp;""</f>
        <v/>
      </c>
      <c r="D84" s="42">
        <f>_xlfn.XLOOKUP(B84,Input!J:J,Input!F:F)</f>
        <v>0</v>
      </c>
      <c r="E84" s="32">
        <f>_xlfn.XLOOKUP(D84,Models!H:H,Models!G:G,D84)</f>
        <v>0</v>
      </c>
      <c r="F84" s="32">
        <f>_xlfn.XLOOKUP(B84,Input!J:J,Input!E:E)</f>
        <v>0</v>
      </c>
      <c r="G84" s="32">
        <f>IF(F84="LENOVO",_xlfn.XLOOKUP(B84,Input!J:J,Input!K:K),_xlfn.XLOOKUP(B84,Input!J:J,Input!L:L))</f>
        <v>0</v>
      </c>
      <c r="H84" s="32"/>
      <c r="I84" s="32"/>
      <c r="J84" s="32">
        <f>_xlfn.XLOOKUP(B84,CPU_Formula!A:A,CPU_Formula!I:I)</f>
        <v>0</v>
      </c>
      <c r="K84" s="42" t="e">
        <f>INDEX(Input!$D$2:$AC$500,
       MATCH(B84, Input!$J$2:$J$500, 0),
       MATCH("Total Memory", Input!$D$1:$AC$1, 0))</f>
        <v>#N/A</v>
      </c>
      <c r="L84" s="42" t="e">
        <f>INDEX(Input!$D$2:$AC$500,
       MATCH(B84, Input!$J$2:$J$500, 0),
       MATCH("Memory Type", Input!$D$1:$AC$1, 0))</f>
        <v>#N/A</v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e">
        <f t="shared" si="5"/>
        <v>#N/A</v>
      </c>
      <c r="O84" s="42" t="e">
        <f>INDEX(Input!$D$2:$AC$500,
       MATCH(B84, Input!$J$2:$J$500, 0),
       MATCH("Disk Interface Type", Input!$D$1:$AC$1, 0))</f>
        <v>#N/A</v>
      </c>
      <c r="P84" s="42" t="str" cm="1">
        <f t="array" ref="P84">IFERROR(_xlfn.TEXTJOIN(", ", TRUE, _xlfn._xlws.FILTER(
    INDEX(Input!$D$2:$AC$500,,MATCH("Disk Capacity",Input!$D$1:$AC$1,0)),
    Input!$J$2:$J$500=B84
)), "")</f>
        <v/>
      </c>
      <c r="Q84" s="32" t="e">
        <f t="shared" si="4"/>
        <v>#N/A</v>
      </c>
      <c r="R84" s="42" t="e">
        <f>_xlfn.LET(_xlpm.Result,INDEX(Input!$D$2:$AC$500,
       MATCH(B84, Input!$J$2:$J$500, 0),
       MATCH("Capacity", Input!$D$1:$AC$1, 0)),IF(_xlpm.Result="","",_xlpm.Result))</f>
        <v>#N/A</v>
      </c>
      <c r="S84" s="42" t="e" cm="1">
        <f t="array" ref="S84">_xlfn.TEXTSPLIT(R84," / ", ,TRUE,0,)</f>
        <v>#N/A</v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:AD84">IFERROR(IF(_xlfn.XLOOKUP(B84,Input!J:J,Input!N:U)=0,"",
          _xlfn.XLOOKUP(B84,Input!J:J,Input!N:U)),"")</f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42" t="str">
        <v/>
      </c>
      <c r="AE84" s="32" t="str">
        <f t="shared" si="3"/>
        <v/>
      </c>
      <c r="AF84" s="32" t="str">
        <f>_xlfn.XLOOKUP(B:B,Disk_Pivot!G:G,Disk_Pivot!I:I)</f>
        <v>Yes x2</v>
      </c>
      <c r="AG84" s="32" t="str">
        <f>_xlfn.XLOOKUP(B84,Disk_Pivot!G:G,Disk_Pivot!N:N)</f>
        <v>Pass, Fail</v>
      </c>
      <c r="AH84" s="32"/>
      <c r="AI84" s="32"/>
      <c r="AJ84" s="32"/>
      <c r="AK84" s="32"/>
      <c r="AL84" s="32"/>
      <c r="AM84" s="32"/>
    </row>
    <row r="85" spans="1:39">
      <c r="A85" s="32" t="str">
        <f>_xlfn.XLOOKUP(B85,Input!J:J,Input!G:G)&amp;""</f>
        <v/>
      </c>
      <c r="B85" s="32"/>
      <c r="C85" s="32" t="str">
        <f>_xlfn.XLOOKUP(B85,Input!J:J,Input!H:H)&amp;""</f>
        <v/>
      </c>
      <c r="D85" s="42">
        <f>_xlfn.XLOOKUP(B85,Input!J:J,Input!F:F)</f>
        <v>0</v>
      </c>
      <c r="E85" s="32">
        <f>_xlfn.XLOOKUP(D85,Models!H:H,Models!G:G,D85)</f>
        <v>0</v>
      </c>
      <c r="F85" s="32">
        <f>_xlfn.XLOOKUP(B85,Input!J:J,Input!E:E)</f>
        <v>0</v>
      </c>
      <c r="G85" s="32">
        <f>IF(F85="LENOVO",_xlfn.XLOOKUP(B85,Input!J:J,Input!K:K),_xlfn.XLOOKUP(B85,Input!J:J,Input!L:L))</f>
        <v>0</v>
      </c>
      <c r="H85" s="32"/>
      <c r="I85" s="32"/>
      <c r="J85" s="32">
        <f>_xlfn.XLOOKUP(B85,CPU_Formula!A:A,CPU_Formula!I:I)</f>
        <v>0</v>
      </c>
      <c r="K85" s="42" t="e">
        <f>INDEX(Input!$D$2:$AC$500,
       MATCH(B85, Input!$J$2:$J$500, 0),
       MATCH("Total Memory", Input!$D$1:$AC$1, 0))</f>
        <v>#N/A</v>
      </c>
      <c r="L85" s="42" t="e">
        <f>INDEX(Input!$D$2:$AC$500,
       MATCH(B85, Input!$J$2:$J$500, 0),
       MATCH("Memory Type", Input!$D$1:$AC$1, 0))</f>
        <v>#N/A</v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e">
        <f t="shared" si="5"/>
        <v>#N/A</v>
      </c>
      <c r="O85" s="42" t="e">
        <f>INDEX(Input!$D$2:$AC$500,
       MATCH(B85, Input!$J$2:$J$500, 0),
       MATCH("Disk Interface Type", Input!$D$1:$AC$1, 0))</f>
        <v>#N/A</v>
      </c>
      <c r="P85" s="42" t="str" cm="1">
        <f t="array" ref="P85">IFERROR(_xlfn.TEXTJOIN(", ", TRUE, _xlfn._xlws.FILTER(
    INDEX(Input!$D$2:$AC$500,,MATCH("Disk Capacity",Input!$D$1:$AC$1,0)),
    Input!$J$2:$J$500=B85
)), "")</f>
        <v/>
      </c>
      <c r="Q85" s="32" t="e">
        <f t="shared" si="4"/>
        <v>#N/A</v>
      </c>
      <c r="R85" s="42" t="e">
        <f>_xlfn.LET(_xlpm.Result,INDEX(Input!$D$2:$AC$500,
       MATCH(B85, Input!$J$2:$J$500, 0),
       MATCH("Capacity", Input!$D$1:$AC$1, 0)),IF(_xlpm.Result="","",_xlpm.Result))</f>
        <v>#N/A</v>
      </c>
      <c r="S85" s="42" t="e" cm="1">
        <f t="array" ref="S85">_xlfn.TEXTSPLIT(R85," / ", ,TRUE,0,)</f>
        <v>#N/A</v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:AD85">IFERROR(IF(_xlfn.XLOOKUP(B85,Input!J:J,Input!N:U)=0,"",
          _xlfn.XLOOKUP(B85,Input!J:J,Input!N:U)),"")</f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42" t="str">
        <v/>
      </c>
      <c r="AE85" s="32" t="str">
        <f t="shared" si="3"/>
        <v/>
      </c>
      <c r="AF85" s="32" t="str">
        <f>_xlfn.XLOOKUP(B:B,Disk_Pivot!G:G,Disk_Pivot!I:I)</f>
        <v>Yes x2</v>
      </c>
      <c r="AG85" s="32" t="str">
        <f>_xlfn.XLOOKUP(B85,Disk_Pivot!G:G,Disk_Pivot!N:N)</f>
        <v>Pass, Fail</v>
      </c>
      <c r="AH85" s="32"/>
      <c r="AI85" s="32"/>
      <c r="AJ85" s="32"/>
      <c r="AK85" s="32"/>
      <c r="AL85" s="32"/>
      <c r="AM85" s="32"/>
    </row>
    <row r="86" spans="1:39">
      <c r="A86" s="32" t="str">
        <f>_xlfn.XLOOKUP(B86,Input!J:J,Input!G:G)&amp;""</f>
        <v/>
      </c>
      <c r="B86" s="32"/>
      <c r="C86" s="32" t="str">
        <f>_xlfn.XLOOKUP(B86,Input!J:J,Input!H:H)&amp;""</f>
        <v/>
      </c>
      <c r="D86" s="42">
        <f>_xlfn.XLOOKUP(B86,Input!J:J,Input!F:F)</f>
        <v>0</v>
      </c>
      <c r="E86" s="32">
        <f>_xlfn.XLOOKUP(D86,Models!H:H,Models!G:G,D86)</f>
        <v>0</v>
      </c>
      <c r="F86" s="32">
        <f>_xlfn.XLOOKUP(B86,Input!J:J,Input!E:E)</f>
        <v>0</v>
      </c>
      <c r="G86" s="32">
        <f>IF(F86="LENOVO",_xlfn.XLOOKUP(B86,Input!J:J,Input!K:K),_xlfn.XLOOKUP(B86,Input!J:J,Input!L:L))</f>
        <v>0</v>
      </c>
      <c r="H86" s="32"/>
      <c r="I86" s="32"/>
      <c r="J86" s="32">
        <f>_xlfn.XLOOKUP(B86,CPU_Formula!A:A,CPU_Formula!I:I)</f>
        <v>0</v>
      </c>
      <c r="K86" s="42" t="e">
        <f>INDEX(Input!$D$2:$AC$500,
       MATCH(B86, Input!$J$2:$J$500, 0),
       MATCH("Total Memory", Input!$D$1:$AC$1, 0))</f>
        <v>#N/A</v>
      </c>
      <c r="L86" s="42" t="e">
        <f>INDEX(Input!$D$2:$AC$500,
       MATCH(B86, Input!$J$2:$J$500, 0),
       MATCH("Memory Type", Input!$D$1:$AC$1, 0))</f>
        <v>#N/A</v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e">
        <f t="shared" si="5"/>
        <v>#N/A</v>
      </c>
      <c r="O86" s="42" t="e">
        <f>INDEX(Input!$D$2:$AC$500,
       MATCH(B86, Input!$J$2:$J$500, 0),
       MATCH("Disk Interface Type", Input!$D$1:$AC$1, 0))</f>
        <v>#N/A</v>
      </c>
      <c r="P86" s="42" t="str" cm="1">
        <f t="array" ref="P86">IFERROR(_xlfn.TEXTJOIN(", ", TRUE, _xlfn._xlws.FILTER(
    INDEX(Input!$D$2:$AC$500,,MATCH("Disk Capacity",Input!$D$1:$AC$1,0)),
    Input!$J$2:$J$500=B86
)), "")</f>
        <v/>
      </c>
      <c r="Q86" s="32" t="e">
        <f t="shared" si="4"/>
        <v>#N/A</v>
      </c>
      <c r="R86" s="42" t="e">
        <f>_xlfn.LET(_xlpm.Result,INDEX(Input!$D$2:$AC$500,
       MATCH(B86, Input!$J$2:$J$500, 0),
       MATCH("Capacity", Input!$D$1:$AC$1, 0)),IF(_xlpm.Result="","",_xlpm.Result))</f>
        <v>#N/A</v>
      </c>
      <c r="S86" s="42" t="e" cm="1">
        <f t="array" ref="S86">_xlfn.TEXTSPLIT(R86," / ", ,TRUE,0,)</f>
        <v>#N/A</v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:AD86">IFERROR(IF(_xlfn.XLOOKUP(B86,Input!J:J,Input!N:U)=0,"",
          _xlfn.XLOOKUP(B86,Input!J:J,Input!N:U)),"")</f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42" t="str">
        <v/>
      </c>
      <c r="AE86" s="32" t="str">
        <f t="shared" si="3"/>
        <v/>
      </c>
      <c r="AF86" s="32" t="str">
        <f>_xlfn.XLOOKUP(B:B,Disk_Pivot!G:G,Disk_Pivot!I:I)</f>
        <v>Yes x2</v>
      </c>
      <c r="AG86" s="32" t="str">
        <f>_xlfn.XLOOKUP(B86,Disk_Pivot!G:G,Disk_Pivot!N:N)</f>
        <v>Pass, Fail</v>
      </c>
      <c r="AH86" s="32"/>
      <c r="AI86" s="32"/>
      <c r="AJ86" s="32"/>
      <c r="AK86" s="32"/>
      <c r="AL86" s="32"/>
      <c r="AM86" s="32"/>
    </row>
    <row r="87" spans="1:39">
      <c r="A87" s="32" t="str">
        <f>_xlfn.XLOOKUP(B87,Input!J:J,Input!G:G)&amp;""</f>
        <v/>
      </c>
      <c r="B87" s="32"/>
      <c r="C87" s="32" t="str">
        <f>_xlfn.XLOOKUP(B87,Input!J:J,Input!H:H)&amp;""</f>
        <v/>
      </c>
      <c r="D87" s="42">
        <f>_xlfn.XLOOKUP(B87,Input!J:J,Input!F:F)</f>
        <v>0</v>
      </c>
      <c r="E87" s="32">
        <f>_xlfn.XLOOKUP(D87,Models!H:H,Models!G:G,D87)</f>
        <v>0</v>
      </c>
      <c r="F87" s="32">
        <f>_xlfn.XLOOKUP(B87,Input!J:J,Input!E:E)</f>
        <v>0</v>
      </c>
      <c r="G87" s="32">
        <f>IF(F87="LENOVO",_xlfn.XLOOKUP(B87,Input!J:J,Input!K:K),_xlfn.XLOOKUP(B87,Input!J:J,Input!L:L))</f>
        <v>0</v>
      </c>
      <c r="H87" s="32"/>
      <c r="I87" s="32"/>
      <c r="J87" s="32">
        <f>_xlfn.XLOOKUP(B87,CPU_Formula!A:A,CPU_Formula!I:I)</f>
        <v>0</v>
      </c>
      <c r="K87" s="42" t="e">
        <f>INDEX(Input!$D$2:$AC$500,
       MATCH(B87, Input!$J$2:$J$500, 0),
       MATCH("Total Memory", Input!$D$1:$AC$1, 0))</f>
        <v>#N/A</v>
      </c>
      <c r="L87" s="42" t="e">
        <f>INDEX(Input!$D$2:$AC$500,
       MATCH(B87, Input!$J$2:$J$500, 0),
       MATCH("Memory Type", Input!$D$1:$AC$1, 0))</f>
        <v>#N/A</v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e">
        <f t="shared" si="5"/>
        <v>#N/A</v>
      </c>
      <c r="O87" s="42" t="e">
        <f>INDEX(Input!$D$2:$AC$500,
       MATCH(B87, Input!$J$2:$J$500, 0),
       MATCH("Disk Interface Type", Input!$D$1:$AC$1, 0))</f>
        <v>#N/A</v>
      </c>
      <c r="P87" s="42" t="str" cm="1">
        <f t="array" ref="P87">IFERROR(_xlfn.TEXTJOIN(", ", TRUE, _xlfn._xlws.FILTER(
    INDEX(Input!$D$2:$AC$500,,MATCH("Disk Capacity",Input!$D$1:$AC$1,0)),
    Input!$J$2:$J$500=B87
)), "")</f>
        <v/>
      </c>
      <c r="Q87" s="32" t="e">
        <f t="shared" si="4"/>
        <v>#N/A</v>
      </c>
      <c r="R87" s="42" t="e">
        <f>_xlfn.LET(_xlpm.Result,INDEX(Input!$D$2:$AC$500,
       MATCH(B87, Input!$J$2:$J$500, 0),
       MATCH("Capacity", Input!$D$1:$AC$1, 0)),IF(_xlpm.Result="","",_xlpm.Result))</f>
        <v>#N/A</v>
      </c>
      <c r="S87" s="42" t="e" cm="1">
        <f t="array" ref="S87">_xlfn.TEXTSPLIT(R87," / ", ,TRUE,0,)</f>
        <v>#N/A</v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:AD87">IFERROR(IF(_xlfn.XLOOKUP(B87,Input!J:J,Input!N:U)=0,"",
          _xlfn.XLOOKUP(B87,Input!J:J,Input!N:U)),"")</f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42" t="str">
        <v/>
      </c>
      <c r="AE87" s="32" t="str">
        <f t="shared" si="3"/>
        <v/>
      </c>
      <c r="AF87" s="32" t="str">
        <f>_xlfn.XLOOKUP(B:B,Disk_Pivot!G:G,Disk_Pivot!I:I)</f>
        <v>Yes x2</v>
      </c>
      <c r="AG87" s="32" t="str">
        <f>_xlfn.XLOOKUP(B87,Disk_Pivot!G:G,Disk_Pivot!N:N)</f>
        <v>Pass, Fail</v>
      </c>
      <c r="AH87" s="32"/>
      <c r="AI87" s="32"/>
      <c r="AJ87" s="32"/>
      <c r="AK87" s="32"/>
      <c r="AL87" s="32"/>
      <c r="AM87" s="32"/>
    </row>
    <row r="88" spans="1:39">
      <c r="A88" s="32" t="str">
        <f>_xlfn.XLOOKUP(B88,Input!J:J,Input!G:G)&amp;""</f>
        <v/>
      </c>
      <c r="B88" s="32"/>
      <c r="C88" s="32" t="str">
        <f>_xlfn.XLOOKUP(B88,Input!J:J,Input!H:H)&amp;""</f>
        <v/>
      </c>
      <c r="D88" s="42">
        <f>_xlfn.XLOOKUP(B88,Input!J:J,Input!F:F)</f>
        <v>0</v>
      </c>
      <c r="E88" s="32">
        <f>_xlfn.XLOOKUP(D88,Models!H:H,Models!G:G,D88)</f>
        <v>0</v>
      </c>
      <c r="F88" s="32">
        <f>_xlfn.XLOOKUP(B88,Input!J:J,Input!E:E)</f>
        <v>0</v>
      </c>
      <c r="G88" s="32">
        <f>IF(F88="LENOVO",_xlfn.XLOOKUP(B88,Input!J:J,Input!K:K),_xlfn.XLOOKUP(B88,Input!J:J,Input!L:L))</f>
        <v>0</v>
      </c>
      <c r="H88" s="32"/>
      <c r="I88" s="32"/>
      <c r="J88" s="32">
        <f>_xlfn.XLOOKUP(B88,CPU_Formula!A:A,CPU_Formula!I:I)</f>
        <v>0</v>
      </c>
      <c r="K88" s="42" t="e">
        <f>INDEX(Input!$D$2:$AC$500,
       MATCH(B88, Input!$J$2:$J$500, 0),
       MATCH("Total Memory", Input!$D$1:$AC$1, 0))</f>
        <v>#N/A</v>
      </c>
      <c r="L88" s="42" t="e">
        <f>INDEX(Input!$D$2:$AC$500,
       MATCH(B88, Input!$J$2:$J$500, 0),
       MATCH("Memory Type", Input!$D$1:$AC$1, 0))</f>
        <v>#N/A</v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e">
        <f t="shared" si="5"/>
        <v>#N/A</v>
      </c>
      <c r="O88" s="42" t="e">
        <f>INDEX(Input!$D$2:$AC$500,
       MATCH(B88, Input!$J$2:$J$500, 0),
       MATCH("Disk Interface Type", Input!$D$1:$AC$1, 0))</f>
        <v>#N/A</v>
      </c>
      <c r="P88" s="42" t="str" cm="1">
        <f t="array" ref="P88">IFERROR(_xlfn.TEXTJOIN(", ", TRUE, _xlfn._xlws.FILTER(
    INDEX(Input!$D$2:$AC$500,,MATCH("Disk Capacity",Input!$D$1:$AC$1,0)),
    Input!$J$2:$J$500=B88
)), "")</f>
        <v/>
      </c>
      <c r="Q88" s="32" t="e">
        <f t="shared" si="4"/>
        <v>#N/A</v>
      </c>
      <c r="R88" s="42" t="e">
        <f>_xlfn.LET(_xlpm.Result,INDEX(Input!$D$2:$AC$500,
       MATCH(B88, Input!$J$2:$J$500, 0),
       MATCH("Capacity", Input!$D$1:$AC$1, 0)),IF(_xlpm.Result="","",_xlpm.Result))</f>
        <v>#N/A</v>
      </c>
      <c r="S88" s="42" t="e" cm="1">
        <f t="array" ref="S88">_xlfn.TEXTSPLIT(R88," / ", ,TRUE,0,)</f>
        <v>#N/A</v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:AD88">IFERROR(IF(_xlfn.XLOOKUP(B88,Input!J:J,Input!N:U)=0,"",
          _xlfn.XLOOKUP(B88,Input!J:J,Input!N:U)),"")</f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42" t="str">
        <v/>
      </c>
      <c r="AE88" s="32" t="str">
        <f t="shared" si="3"/>
        <v/>
      </c>
      <c r="AF88" s="32" t="str">
        <f>_xlfn.XLOOKUP(B:B,Disk_Pivot!G:G,Disk_Pivot!I:I)</f>
        <v>Yes x2</v>
      </c>
      <c r="AG88" s="32" t="str">
        <f>_xlfn.XLOOKUP(B88,Disk_Pivot!G:G,Disk_Pivot!N:N)</f>
        <v>Pass, Fail</v>
      </c>
      <c r="AH88" s="32"/>
      <c r="AI88" s="32"/>
      <c r="AJ88" s="32"/>
      <c r="AK88" s="32"/>
      <c r="AL88" s="32"/>
      <c r="AM88" s="32"/>
    </row>
    <row r="89" spans="1:39">
      <c r="A89" s="32" t="str">
        <f>_xlfn.XLOOKUP(B89,Input!J:J,Input!G:G)&amp;""</f>
        <v/>
      </c>
      <c r="B89" s="32"/>
      <c r="C89" s="32" t="str">
        <f>_xlfn.XLOOKUP(B89,Input!J:J,Input!H:H)&amp;""</f>
        <v/>
      </c>
      <c r="D89" s="42">
        <f>_xlfn.XLOOKUP(B89,Input!J:J,Input!F:F)</f>
        <v>0</v>
      </c>
      <c r="E89" s="32">
        <f>_xlfn.XLOOKUP(D89,Models!H:H,Models!G:G,D89)</f>
        <v>0</v>
      </c>
      <c r="F89" s="32">
        <f>_xlfn.XLOOKUP(B89,Input!J:J,Input!E:E)</f>
        <v>0</v>
      </c>
      <c r="G89" s="32">
        <f>IF(F89="LENOVO",_xlfn.XLOOKUP(B89,Input!J:J,Input!K:K),_xlfn.XLOOKUP(B89,Input!J:J,Input!L:L))</f>
        <v>0</v>
      </c>
      <c r="H89" s="32"/>
      <c r="I89" s="32"/>
      <c r="J89" s="32"/>
      <c r="K89" s="42" t="e">
        <f>INDEX(Input!$D$2:$AC$500,
       MATCH(B89, Input!$J$2:$J$500, 0),
       MATCH("Total Memory", Input!$D$1:$AC$1, 0))</f>
        <v>#N/A</v>
      </c>
      <c r="L89" s="42" t="e">
        <f>INDEX(Input!$D$2:$AC$500,
       MATCH(B89, Input!$J$2:$J$500, 0),
       MATCH("Memory Type", Input!$D$1:$AC$1, 0))</f>
        <v>#N/A</v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e">
        <f t="shared" si="5"/>
        <v>#N/A</v>
      </c>
      <c r="O89" s="42" t="e">
        <f>INDEX(Input!$D$2:$AC$500,
       MATCH(B89, Input!$J$2:$J$500, 0),
       MATCH("Disk Interface Type", Input!$D$1:$AC$1, 0))</f>
        <v>#N/A</v>
      </c>
      <c r="P89" s="42" t="str" cm="1">
        <f t="array" ref="P89">IFERROR(_xlfn.TEXTJOIN(", ", TRUE, _xlfn._xlws.FILTER(
    INDEX(Input!$D$2:$AC$500,,MATCH("Disk Capacity",Input!$D$1:$AC$1,0)),
    Input!$J$2:$J$500=B89
)), "")</f>
        <v/>
      </c>
      <c r="Q89" s="32" t="e">
        <f t="shared" si="4"/>
        <v>#N/A</v>
      </c>
      <c r="R89" s="42" t="e">
        <f>_xlfn.LET(_xlpm.Result,INDEX(Input!$D$2:$AC$500,
       MATCH(B89, Input!$J$2:$J$500, 0),
       MATCH("Capacity", Input!$D$1:$AC$1, 0)),IF(_xlpm.Result="","",_xlpm.Result))</f>
        <v>#N/A</v>
      </c>
      <c r="S89" s="42" t="e" cm="1">
        <f t="array" ref="S89">_xlfn.TEXTSPLIT(R89," / ", ,TRUE,0,)</f>
        <v>#N/A</v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:AD89">IFERROR(IF(_xlfn.XLOOKUP(B89,Input!J:J,Input!N:U)=0,"",
          _xlfn.XLOOKUP(B89,Input!J:J,Input!N:U)),"")</f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42" t="str">
        <v/>
      </c>
      <c r="AE89" s="32" t="str">
        <f t="shared" si="3"/>
        <v/>
      </c>
      <c r="AF89" s="32" t="str">
        <f>_xlfn.XLOOKUP(B:B,Disk_Pivot!G:G,Disk_Pivot!I:I)</f>
        <v>Yes x2</v>
      </c>
      <c r="AG89" s="32" t="str">
        <f>_xlfn.XLOOKUP(B89,Disk_Pivot!G:G,Disk_Pivot!N:N)</f>
        <v>Pass, Fail</v>
      </c>
      <c r="AH89" s="32"/>
      <c r="AI89" s="32"/>
      <c r="AJ89" s="32"/>
      <c r="AK89" s="32"/>
      <c r="AL89" s="32"/>
      <c r="AM89" s="32"/>
    </row>
    <row r="90" spans="1:39">
      <c r="A90" s="32" t="str">
        <f>_xlfn.XLOOKUP(B90,Input!J:J,Input!G:G)&amp;""</f>
        <v/>
      </c>
      <c r="B90" s="32"/>
      <c r="C90" s="32" t="str">
        <f>_xlfn.XLOOKUP(B90,Input!J:J,Input!H:H)&amp;""</f>
        <v/>
      </c>
      <c r="D90" s="42">
        <f>_xlfn.XLOOKUP(B90,Input!J:J,Input!F:F)</f>
        <v>0</v>
      </c>
      <c r="E90" s="32">
        <f>_xlfn.XLOOKUP(D90,Models!H:H,Models!G:G,D90)</f>
        <v>0</v>
      </c>
      <c r="F90" s="32">
        <f>_xlfn.XLOOKUP(B90,Input!J:J,Input!E:E)</f>
        <v>0</v>
      </c>
      <c r="G90" s="32">
        <f>IF(F90="LENOVO",_xlfn.XLOOKUP(B90,Input!J:J,Input!K:K),_xlfn.XLOOKUP(B90,Input!J:J,Input!L:L))</f>
        <v>0</v>
      </c>
      <c r="H90" s="32"/>
      <c r="I90" s="32"/>
      <c r="J90" s="32">
        <f>_xlfn.XLOOKUP(B90,CPU_Formula!A:A,CPU_Formula!I:I)</f>
        <v>0</v>
      </c>
      <c r="K90" s="42" t="e">
        <f>INDEX(Input!$D$2:$AC$500,
       MATCH(B90, Input!$J$2:$J$500, 0),
       MATCH("Total Memory", Input!$D$1:$AC$1, 0))</f>
        <v>#N/A</v>
      </c>
      <c r="L90" s="42" t="e">
        <f>INDEX(Input!$D$2:$AC$500,
       MATCH(B90, Input!$J$2:$J$500, 0),
       MATCH("Memory Type", Input!$D$1:$AC$1, 0))</f>
        <v>#N/A</v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e">
        <f t="shared" si="5"/>
        <v>#N/A</v>
      </c>
      <c r="O90" s="42" t="e">
        <f>INDEX(Input!$D$2:$AC$500,
       MATCH(B90, Input!$J$2:$J$500, 0),
       MATCH("Disk Interface Type", Input!$D$1:$AC$1, 0))</f>
        <v>#N/A</v>
      </c>
      <c r="P90" s="42" t="str" cm="1">
        <f t="array" ref="P90">IFERROR(_xlfn.TEXTJOIN(", ", TRUE, _xlfn._xlws.FILTER(
    INDEX(Input!$D$2:$AC$500,,MATCH("Disk Capacity",Input!$D$1:$AC$1,0)),
    Input!$J$2:$J$500=B90
)), "")</f>
        <v/>
      </c>
      <c r="Q90" s="32" t="e">
        <f t="shared" si="4"/>
        <v>#N/A</v>
      </c>
      <c r="R90" s="42" t="e">
        <f>_xlfn.LET(_xlpm.Result,INDEX(Input!$D$2:$AC$500,
       MATCH(B90, Input!$J$2:$J$500, 0),
       MATCH("Capacity", Input!$D$1:$AC$1, 0)),IF(_xlpm.Result="","",_xlpm.Result))</f>
        <v>#N/A</v>
      </c>
      <c r="S90" s="42" t="e" cm="1">
        <f t="array" ref="S90">_xlfn.TEXTSPLIT(R90," / ", ,TRUE,0,)</f>
        <v>#N/A</v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:AD90">IFERROR(IF(_xlfn.XLOOKUP(B90,Input!J:J,Input!N:U)=0,"",
          _xlfn.XLOOKUP(B90,Input!J:J,Input!N:U)),"")</f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42" t="str">
        <v/>
      </c>
      <c r="AE90" s="32" t="str">
        <f t="shared" si="3"/>
        <v/>
      </c>
      <c r="AF90" s="32" t="str">
        <f>_xlfn.XLOOKUP(B:B,Disk_Pivot!G:G,Disk_Pivot!I:I)</f>
        <v>Yes x2</v>
      </c>
      <c r="AG90" s="32" t="str">
        <f>_xlfn.XLOOKUP(B90,Disk_Pivot!G:G,Disk_Pivot!N:N)</f>
        <v>Pass, Fail</v>
      </c>
      <c r="AH90" s="32"/>
      <c r="AI90" s="32"/>
      <c r="AJ90" s="32"/>
      <c r="AK90" s="32"/>
      <c r="AL90" s="32"/>
      <c r="AM90" s="32"/>
    </row>
    <row r="91" spans="1:39">
      <c r="A91" s="32" t="str">
        <f>_xlfn.XLOOKUP(B91,Input!J:J,Input!G:G)&amp;""</f>
        <v/>
      </c>
      <c r="B91" s="32"/>
      <c r="C91" s="32" t="str">
        <f>_xlfn.XLOOKUP(B91,Input!J:J,Input!H:H)&amp;""</f>
        <v/>
      </c>
      <c r="D91" s="42">
        <f>_xlfn.XLOOKUP(B91,Input!J:J,Input!F:F)</f>
        <v>0</v>
      </c>
      <c r="E91" s="32">
        <f>_xlfn.XLOOKUP(D91,Models!H:H,Models!G:G,D91)</f>
        <v>0</v>
      </c>
      <c r="F91" s="32">
        <f>_xlfn.XLOOKUP(B91,Input!J:J,Input!E:E)</f>
        <v>0</v>
      </c>
      <c r="G91" s="32">
        <f>IF(F91="LENOVO",_xlfn.XLOOKUP(B91,Input!J:J,Input!K:K),_xlfn.XLOOKUP(B91,Input!J:J,Input!L:L))</f>
        <v>0</v>
      </c>
      <c r="H91" s="32"/>
      <c r="I91" s="32"/>
      <c r="J91" s="32">
        <f>_xlfn.XLOOKUP(B91,CPU_Formula!A:A,CPU_Formula!I:I)</f>
        <v>0</v>
      </c>
      <c r="K91" s="42" t="e">
        <f>INDEX(Input!$D$2:$AC$500,
       MATCH(B91, Input!$J$2:$J$500, 0),
       MATCH("Total Memory", Input!$D$1:$AC$1, 0))</f>
        <v>#N/A</v>
      </c>
      <c r="L91" s="42" t="e">
        <f>INDEX(Input!$D$2:$AC$500,
       MATCH(B91, Input!$J$2:$J$500, 0),
       MATCH("Memory Type", Input!$D$1:$AC$1, 0))</f>
        <v>#N/A</v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e">
        <f t="shared" si="5"/>
        <v>#N/A</v>
      </c>
      <c r="O91" s="42" t="e">
        <f>INDEX(Input!$D$2:$AC$500,
       MATCH(B91, Input!$J$2:$J$500, 0),
       MATCH("Disk Interface Type", Input!$D$1:$AC$1, 0))</f>
        <v>#N/A</v>
      </c>
      <c r="P91" s="42" t="str" cm="1">
        <f t="array" ref="P91">IFERROR(_xlfn.TEXTJOIN(", ", TRUE, _xlfn._xlws.FILTER(
    INDEX(Input!$D$2:$AC$500,,MATCH("Disk Capacity",Input!$D$1:$AC$1,0)),
    Input!$J$2:$J$500=B91
)), "")</f>
        <v/>
      </c>
      <c r="Q91" s="32" t="e">
        <f t="shared" si="4"/>
        <v>#N/A</v>
      </c>
      <c r="R91" s="42" t="e">
        <f>_xlfn.LET(_xlpm.Result,INDEX(Input!$D$2:$AC$500,
       MATCH(B91, Input!$J$2:$J$500, 0),
       MATCH("Capacity", Input!$D$1:$AC$1, 0)),IF(_xlpm.Result="","",_xlpm.Result))</f>
        <v>#N/A</v>
      </c>
      <c r="S91" s="42" t="e" cm="1">
        <f t="array" ref="S91">_xlfn.TEXTSPLIT(R91," / ", ,TRUE,0,)</f>
        <v>#N/A</v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:AD91">IFERROR(IF(_xlfn.XLOOKUP(B91,Input!J:J,Input!N:U)=0,"",
          _xlfn.XLOOKUP(B91,Input!J:J,Input!N:U)),"")</f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42" t="str">
        <v/>
      </c>
      <c r="AE91" s="32" t="str">
        <f t="shared" si="3"/>
        <v/>
      </c>
      <c r="AF91" s="32" t="str">
        <f>_xlfn.XLOOKUP(B:B,Disk_Pivot!G:G,Disk_Pivot!I:I)</f>
        <v>Yes x2</v>
      </c>
      <c r="AG91" s="32" t="str">
        <f>_xlfn.XLOOKUP(B91,Disk_Pivot!G:G,Disk_Pivot!N:N)</f>
        <v>Pass, Fail</v>
      </c>
      <c r="AH91" s="32"/>
      <c r="AI91" s="32"/>
      <c r="AJ91" s="32"/>
      <c r="AK91" s="32"/>
      <c r="AL91" s="32"/>
      <c r="AM91" s="32"/>
    </row>
    <row r="92" spans="1:39">
      <c r="A92" s="32" t="str">
        <f>_xlfn.XLOOKUP(B92,Input!J:J,Input!G:G)&amp;""</f>
        <v/>
      </c>
      <c r="B92" s="32"/>
      <c r="C92" s="32" t="str">
        <f>_xlfn.XLOOKUP(B92,Input!J:J,Input!H:H)&amp;""</f>
        <v/>
      </c>
      <c r="D92" s="42">
        <f>_xlfn.XLOOKUP(B92,Input!J:J,Input!F:F)</f>
        <v>0</v>
      </c>
      <c r="E92" s="32">
        <f>_xlfn.XLOOKUP(D92,Models!H:H,Models!G:G,D92)</f>
        <v>0</v>
      </c>
      <c r="F92" s="32">
        <f>_xlfn.XLOOKUP(B92,Input!J:J,Input!E:E)</f>
        <v>0</v>
      </c>
      <c r="G92" s="32">
        <f>IF(F92="LENOVO",_xlfn.XLOOKUP(B92,Input!J:J,Input!K:K),_xlfn.XLOOKUP(B92,Input!J:J,Input!L:L))</f>
        <v>0</v>
      </c>
      <c r="H92" s="32"/>
      <c r="I92" s="32"/>
      <c r="J92" s="32">
        <f>_xlfn.XLOOKUP(B92,CPU_Formula!A:A,CPU_Formula!I:I)</f>
        <v>0</v>
      </c>
      <c r="K92" s="42" t="e">
        <f>INDEX(Input!$D$2:$AC$500,
       MATCH(B92, Input!$J$2:$J$500, 0),
       MATCH("Total Memory", Input!$D$1:$AC$1, 0))</f>
        <v>#N/A</v>
      </c>
      <c r="L92" s="42" t="e">
        <f>INDEX(Input!$D$2:$AC$500,
       MATCH(B92, Input!$J$2:$J$500, 0),
       MATCH("Memory Type", Input!$D$1:$AC$1, 0))</f>
        <v>#N/A</v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e">
        <f t="shared" si="5"/>
        <v>#N/A</v>
      </c>
      <c r="O92" s="42" t="e">
        <f>INDEX(Input!$D$2:$AC$500,
       MATCH(B92, Input!$J$2:$J$500, 0),
       MATCH("Disk Interface Type", Input!$D$1:$AC$1, 0))</f>
        <v>#N/A</v>
      </c>
      <c r="P92" s="42" t="str" cm="1">
        <f t="array" ref="P92">IFERROR(_xlfn.TEXTJOIN(", ", TRUE, _xlfn._xlws.FILTER(
    INDEX(Input!$D$2:$AC$500,,MATCH("Disk Capacity",Input!$D$1:$AC$1,0)),
    Input!$J$2:$J$500=B92
)), "")</f>
        <v/>
      </c>
      <c r="Q92" s="32" t="e">
        <f t="shared" si="4"/>
        <v>#N/A</v>
      </c>
      <c r="R92" s="42" t="e">
        <f>_xlfn.LET(_xlpm.Result,INDEX(Input!$D$2:$AC$500,
       MATCH(B92, Input!$J$2:$J$500, 0),
       MATCH("Capacity", Input!$D$1:$AC$1, 0)),IF(_xlpm.Result="","",_xlpm.Result))</f>
        <v>#N/A</v>
      </c>
      <c r="S92" s="42" t="e" cm="1">
        <f t="array" ref="S92">_xlfn.TEXTSPLIT(R92," / ", ,TRUE,0,)</f>
        <v>#N/A</v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:AD92">IFERROR(IF(_xlfn.XLOOKUP(B92,Input!J:J,Input!N:U)=0,"",
          _xlfn.XLOOKUP(B92,Input!J:J,Input!N:U)),"")</f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42" t="str">
        <v/>
      </c>
      <c r="AE92" s="32" t="str">
        <f t="shared" si="3"/>
        <v/>
      </c>
      <c r="AF92" s="32" t="str">
        <f>_xlfn.XLOOKUP(B:B,Disk_Pivot!G:G,Disk_Pivot!I:I)</f>
        <v>Yes x2</v>
      </c>
      <c r="AG92" s="32" t="str">
        <f>_xlfn.XLOOKUP(B92,Disk_Pivot!G:G,Disk_Pivot!N:N)</f>
        <v>Pass, Fail</v>
      </c>
      <c r="AH92" s="32"/>
      <c r="AI92" s="32"/>
      <c r="AJ92" s="32"/>
      <c r="AK92" s="32"/>
      <c r="AL92" s="32"/>
      <c r="AM92" s="32"/>
    </row>
    <row r="93" spans="1:39">
      <c r="A93" s="32" t="str">
        <f>_xlfn.XLOOKUP(B93,Input!J:J,Input!G:G)&amp;""</f>
        <v/>
      </c>
      <c r="B93" s="32"/>
      <c r="C93" s="32" t="str">
        <f>_xlfn.XLOOKUP(B93,Input!J:J,Input!H:H)&amp;""</f>
        <v/>
      </c>
      <c r="D93" s="42">
        <f>_xlfn.XLOOKUP(B93,Input!J:J,Input!F:F)</f>
        <v>0</v>
      </c>
      <c r="E93" s="32">
        <f>_xlfn.XLOOKUP(D93,Models!H:H,Models!G:G,D93)</f>
        <v>0</v>
      </c>
      <c r="F93" s="32">
        <f>_xlfn.XLOOKUP(B93,Input!J:J,Input!E:E)</f>
        <v>0</v>
      </c>
      <c r="G93" s="32">
        <f>IF(F93="LENOVO",_xlfn.XLOOKUP(B93,Input!J:J,Input!K:K),_xlfn.XLOOKUP(B93,Input!J:J,Input!L:L))</f>
        <v>0</v>
      </c>
      <c r="H93" s="32"/>
      <c r="I93" s="32"/>
      <c r="J93" s="32">
        <f>_xlfn.XLOOKUP(B93,CPU_Formula!A:A,CPU_Formula!I:I)</f>
        <v>0</v>
      </c>
      <c r="K93" s="42" t="e">
        <f>INDEX(Input!$D$2:$AC$500,
       MATCH(B93, Input!$J$2:$J$500, 0),
       MATCH("Total Memory", Input!$D$1:$AC$1, 0))</f>
        <v>#N/A</v>
      </c>
      <c r="L93" s="42" t="e">
        <f>INDEX(Input!$D$2:$AC$500,
       MATCH(B93, Input!$J$2:$J$500, 0),
       MATCH("Memory Type", Input!$D$1:$AC$1, 0))</f>
        <v>#N/A</v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e">
        <f t="shared" si="5"/>
        <v>#N/A</v>
      </c>
      <c r="O93" s="42" t="e">
        <f>INDEX(Input!$D$2:$AC$500,
       MATCH(B93, Input!$J$2:$J$500, 0),
       MATCH("Disk Interface Type", Input!$D$1:$AC$1, 0))</f>
        <v>#N/A</v>
      </c>
      <c r="P93" s="42" t="str" cm="1">
        <f t="array" ref="P93">IFERROR(_xlfn.TEXTJOIN(", ", TRUE, _xlfn._xlws.FILTER(
    INDEX(Input!$D$2:$AC$500,,MATCH("Disk Capacity",Input!$D$1:$AC$1,0)),
    Input!$J$2:$J$500=B93
)), "")</f>
        <v/>
      </c>
      <c r="Q93" s="32" t="e">
        <f t="shared" si="4"/>
        <v>#N/A</v>
      </c>
      <c r="R93" s="42" t="e">
        <f>_xlfn.LET(_xlpm.Result,INDEX(Input!$D$2:$AC$500,
       MATCH(B93, Input!$J$2:$J$500, 0),
       MATCH("Capacity", Input!$D$1:$AC$1, 0)),IF(_xlpm.Result="","",_xlpm.Result))</f>
        <v>#N/A</v>
      </c>
      <c r="S93" s="42" t="e" cm="1">
        <f t="array" ref="S93">_xlfn.TEXTSPLIT(R93," / ", ,TRUE,0,)</f>
        <v>#N/A</v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:AD93">IFERROR(IF(_xlfn.XLOOKUP(B93,Input!J:J,Input!N:U)=0,"",
          _xlfn.XLOOKUP(B93,Input!J:J,Input!N:U)),"")</f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42" t="str">
        <v/>
      </c>
      <c r="AE93" s="32" t="str">
        <f t="shared" si="3"/>
        <v/>
      </c>
      <c r="AF93" s="32" t="str">
        <f>_xlfn.XLOOKUP(B:B,Disk_Pivot!G:G,Disk_Pivot!I:I)</f>
        <v>Yes x2</v>
      </c>
      <c r="AG93" s="32" t="str">
        <f>_xlfn.XLOOKUP(B93,Disk_Pivot!G:G,Disk_Pivot!N:N)</f>
        <v>Pass, Fail</v>
      </c>
      <c r="AH93" s="32"/>
      <c r="AI93" s="32"/>
      <c r="AJ93" s="32"/>
      <c r="AK93" s="32"/>
      <c r="AL93" s="32"/>
      <c r="AM93" s="32"/>
    </row>
    <row r="94" spans="1:39">
      <c r="A94" s="32" t="str">
        <f>_xlfn.XLOOKUP(B94,Input!J:J,Input!G:G)&amp;""</f>
        <v/>
      </c>
      <c r="B94" s="32"/>
      <c r="C94" s="32" t="str">
        <f>_xlfn.XLOOKUP(B94,Input!J:J,Input!H:H)&amp;""</f>
        <v/>
      </c>
      <c r="D94" s="42">
        <f>_xlfn.XLOOKUP(B94,Input!J:J,Input!F:F)</f>
        <v>0</v>
      </c>
      <c r="E94" s="32">
        <f>_xlfn.XLOOKUP(D94,Models!H:H,Models!G:G,D94)</f>
        <v>0</v>
      </c>
      <c r="F94" s="32">
        <f>_xlfn.XLOOKUP(B94,Input!J:J,Input!E:E)</f>
        <v>0</v>
      </c>
      <c r="G94" s="32">
        <f>IF(F94="LENOVO",_xlfn.XLOOKUP(B94,Input!J:J,Input!K:K),_xlfn.XLOOKUP(B94,Input!J:J,Input!L:L))</f>
        <v>0</v>
      </c>
      <c r="H94" s="32"/>
      <c r="I94" s="32"/>
      <c r="J94" s="32">
        <f>_xlfn.XLOOKUP(B94,CPU_Formula!A:A,CPU_Formula!I:I)</f>
        <v>0</v>
      </c>
      <c r="K94" s="42" t="e">
        <f>INDEX(Input!$D$2:$AC$500,
       MATCH(B94, Input!$J$2:$J$500, 0),
       MATCH("Total Memory", Input!$D$1:$AC$1, 0))</f>
        <v>#N/A</v>
      </c>
      <c r="L94" s="42" t="e">
        <f>INDEX(Input!$D$2:$AC$500,
       MATCH(B94, Input!$J$2:$J$500, 0),
       MATCH("Memory Type", Input!$D$1:$AC$1, 0))</f>
        <v>#N/A</v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e">
        <f t="shared" si="5"/>
        <v>#N/A</v>
      </c>
      <c r="O94" s="42" t="e">
        <f>INDEX(Input!$D$2:$AC$500,
       MATCH(B94, Input!$J$2:$J$500, 0),
       MATCH("Disk Interface Type", Input!$D$1:$AC$1, 0))</f>
        <v>#N/A</v>
      </c>
      <c r="P94" s="42" t="str" cm="1">
        <f t="array" ref="P94">IFERROR(_xlfn.TEXTJOIN(", ", TRUE, _xlfn._xlws.FILTER(
    INDEX(Input!$D$2:$AC$500,,MATCH("Disk Capacity",Input!$D$1:$AC$1,0)),
    Input!$J$2:$J$500=B94
)), "")</f>
        <v/>
      </c>
      <c r="Q94" s="32" t="e">
        <f t="shared" si="4"/>
        <v>#N/A</v>
      </c>
      <c r="R94" s="42" t="e">
        <f>_xlfn.LET(_xlpm.Result,INDEX(Input!$D$2:$AC$500,
       MATCH(B94, Input!$J$2:$J$500, 0),
       MATCH("Capacity", Input!$D$1:$AC$1, 0)),IF(_xlpm.Result="","",_xlpm.Result))</f>
        <v>#N/A</v>
      </c>
      <c r="S94" s="42" t="e" cm="1">
        <f t="array" ref="S94">_xlfn.TEXTSPLIT(R94," / ", ,TRUE,0,)</f>
        <v>#N/A</v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:AD94">IFERROR(IF(_xlfn.XLOOKUP(B94,Input!J:J,Input!N:U)=0,"",
          _xlfn.XLOOKUP(B94,Input!J:J,Input!N:U)),"")</f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42" t="str">
        <v/>
      </c>
      <c r="AE94" s="32" t="str">
        <f t="shared" si="3"/>
        <v/>
      </c>
      <c r="AF94" s="32" t="str">
        <f>_xlfn.XLOOKUP(B:B,Disk_Pivot!G:G,Disk_Pivot!I:I)</f>
        <v>Yes x2</v>
      </c>
      <c r="AG94" s="32" t="str">
        <f>_xlfn.XLOOKUP(B94,Disk_Pivot!G:G,Disk_Pivot!N:N)</f>
        <v>Pass, Fail</v>
      </c>
      <c r="AH94" s="32"/>
      <c r="AI94" s="32"/>
      <c r="AJ94" s="32"/>
      <c r="AK94" s="32"/>
      <c r="AL94" s="32"/>
      <c r="AM94" s="32"/>
    </row>
    <row r="95" spans="1:39">
      <c r="A95" s="32" t="str">
        <f>_xlfn.XLOOKUP(B95,Input!J:J,Input!G:G)&amp;""</f>
        <v/>
      </c>
      <c r="B95" s="32"/>
      <c r="C95" s="32" t="str">
        <f>_xlfn.XLOOKUP(B95,Input!J:J,Input!H:H)&amp;""</f>
        <v/>
      </c>
      <c r="D95" s="42">
        <f>_xlfn.XLOOKUP(B95,Input!J:J,Input!F:F)</f>
        <v>0</v>
      </c>
      <c r="E95" s="32">
        <f>_xlfn.XLOOKUP(D95,Models!H:H,Models!G:G,D95)</f>
        <v>0</v>
      </c>
      <c r="F95" s="32">
        <f>_xlfn.XLOOKUP(B95,Input!J:J,Input!E:E)</f>
        <v>0</v>
      </c>
      <c r="G95" s="32">
        <f>IF(F95="LENOVO",_xlfn.XLOOKUP(B95,Input!J:J,Input!K:K),_xlfn.XLOOKUP(B95,Input!J:J,Input!L:L))</f>
        <v>0</v>
      </c>
      <c r="H95" s="32"/>
      <c r="I95" s="32"/>
      <c r="J95" s="32">
        <f>_xlfn.XLOOKUP(B95,CPU_Formula!A:A,CPU_Formula!I:I)</f>
        <v>0</v>
      </c>
      <c r="K95" s="42" t="e">
        <f>INDEX(Input!$D$2:$AC$500,
       MATCH(B95, Input!$J$2:$J$500, 0),
       MATCH("Total Memory", Input!$D$1:$AC$1, 0))</f>
        <v>#N/A</v>
      </c>
      <c r="L95" s="42" t="e">
        <f>INDEX(Input!$D$2:$AC$500,
       MATCH(B95, Input!$J$2:$J$500, 0),
       MATCH("Memory Type", Input!$D$1:$AC$1, 0))</f>
        <v>#N/A</v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e">
        <f t="shared" si="5"/>
        <v>#N/A</v>
      </c>
      <c r="O95" s="42" t="e">
        <f>INDEX(Input!$D$2:$AC$500,
       MATCH(B95, Input!$J$2:$J$500, 0),
       MATCH("Disk Interface Type", Input!$D$1:$AC$1, 0))</f>
        <v>#N/A</v>
      </c>
      <c r="P95" s="42" t="str" cm="1">
        <f t="array" ref="P95">IFERROR(_xlfn.TEXTJOIN(", ", TRUE, _xlfn._xlws.FILTER(
    INDEX(Input!$D$2:$AC$500,,MATCH("Disk Capacity",Input!$D$1:$AC$1,0)),
    Input!$J$2:$J$500=B95
)), "")</f>
        <v/>
      </c>
      <c r="Q95" s="32" t="e">
        <f t="shared" si="4"/>
        <v>#N/A</v>
      </c>
      <c r="R95" s="42" t="e">
        <f>_xlfn.LET(_xlpm.Result,INDEX(Input!$D$2:$AC$500,
       MATCH(B95, Input!$J$2:$J$500, 0),
       MATCH("Capacity", Input!$D$1:$AC$1, 0)),IF(_xlpm.Result="","",_xlpm.Result))</f>
        <v>#N/A</v>
      </c>
      <c r="S95" s="42" t="e" cm="1">
        <f t="array" ref="S95">_xlfn.TEXTSPLIT(R95," / ", ,TRUE,0,)</f>
        <v>#N/A</v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:AD95">IFERROR(IF(_xlfn.XLOOKUP(B95,Input!J:J,Input!N:U)=0,"",
          _xlfn.XLOOKUP(B95,Input!J:J,Input!N:U)),"")</f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42" t="str">
        <v/>
      </c>
      <c r="AE95" s="32" t="str">
        <f t="shared" si="3"/>
        <v/>
      </c>
      <c r="AF95" s="32" t="str">
        <f>_xlfn.XLOOKUP(B:B,Disk_Pivot!G:G,Disk_Pivot!I:I)</f>
        <v>Yes x2</v>
      </c>
      <c r="AG95" s="32" t="str">
        <f>_xlfn.XLOOKUP(B95,Disk_Pivot!G:G,Disk_Pivot!N:N)</f>
        <v>Pass, Fail</v>
      </c>
      <c r="AH95" s="32"/>
      <c r="AI95" s="32"/>
      <c r="AJ95" s="32"/>
      <c r="AK95" s="32"/>
      <c r="AL95" s="32"/>
      <c r="AM95" s="32"/>
    </row>
    <row r="96" spans="1:39">
      <c r="A96" s="32" t="str">
        <f>_xlfn.XLOOKUP(B96,Input!J:J,Input!G:G)&amp;""</f>
        <v/>
      </c>
      <c r="B96" s="32"/>
      <c r="C96" s="32" t="str">
        <f>_xlfn.XLOOKUP(B96,Input!J:J,Input!H:H)&amp;""</f>
        <v/>
      </c>
      <c r="D96" s="42">
        <f>_xlfn.XLOOKUP(B96,Input!J:J,Input!F:F)</f>
        <v>0</v>
      </c>
      <c r="E96" s="32">
        <f>_xlfn.XLOOKUP(D96,Models!H:H,Models!G:G,D96)</f>
        <v>0</v>
      </c>
      <c r="F96" s="32">
        <f>_xlfn.XLOOKUP(B96,Input!J:J,Input!E:E)</f>
        <v>0</v>
      </c>
      <c r="G96" s="32">
        <f>IF(F96="LENOVO",_xlfn.XLOOKUP(B96,Input!J:J,Input!K:K),_xlfn.XLOOKUP(B96,Input!J:J,Input!L:L))</f>
        <v>0</v>
      </c>
      <c r="H96" s="32"/>
      <c r="I96" s="32"/>
      <c r="J96" s="32">
        <f>_xlfn.XLOOKUP(B96,CPU_Formula!A:A,CPU_Formula!I:I)</f>
        <v>0</v>
      </c>
      <c r="K96" s="42" t="e">
        <f>INDEX(Input!$D$2:$AC$500,
       MATCH(B96, Input!$J$2:$J$500, 0),
       MATCH("Total Memory", Input!$D$1:$AC$1, 0))</f>
        <v>#N/A</v>
      </c>
      <c r="L96" s="42" t="e">
        <f>INDEX(Input!$D$2:$AC$500,
       MATCH(B96, Input!$J$2:$J$500, 0),
       MATCH("Memory Type", Input!$D$1:$AC$1, 0))</f>
        <v>#N/A</v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e">
        <f t="shared" si="5"/>
        <v>#N/A</v>
      </c>
      <c r="O96" s="42" t="e">
        <f>INDEX(Input!$D$2:$AC$500,
       MATCH(B96, Input!$J$2:$J$500, 0),
       MATCH("Disk Interface Type", Input!$D$1:$AC$1, 0))</f>
        <v>#N/A</v>
      </c>
      <c r="P96" s="42" t="str" cm="1">
        <f t="array" ref="P96">IFERROR(_xlfn.TEXTJOIN(", ", TRUE, _xlfn._xlws.FILTER(
    INDEX(Input!$D$2:$AC$500,,MATCH("Disk Capacity",Input!$D$1:$AC$1,0)),
    Input!$J$2:$J$500=B96
)), "")</f>
        <v/>
      </c>
      <c r="Q96" s="32" t="e">
        <f t="shared" si="4"/>
        <v>#N/A</v>
      </c>
      <c r="R96" s="42" t="e">
        <f>_xlfn.LET(_xlpm.Result,INDEX(Input!$D$2:$AC$500,
       MATCH(B96, Input!$J$2:$J$500, 0),
       MATCH("Capacity", Input!$D$1:$AC$1, 0)),IF(_xlpm.Result="","",_xlpm.Result))</f>
        <v>#N/A</v>
      </c>
      <c r="S96" s="42" t="e" cm="1">
        <f t="array" ref="S96">_xlfn.TEXTSPLIT(R96," / ", ,TRUE,0,)</f>
        <v>#N/A</v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:AD96">IFERROR(IF(_xlfn.XLOOKUP(B96,Input!J:J,Input!N:U)=0,"",
          _xlfn.XLOOKUP(B96,Input!J:J,Input!N:U)),"")</f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42" t="str">
        <v/>
      </c>
      <c r="AE96" s="32" t="str">
        <f t="shared" si="3"/>
        <v/>
      </c>
      <c r="AF96" s="32" t="str">
        <f>_xlfn.XLOOKUP(B:B,Disk_Pivot!G:G,Disk_Pivot!I:I)</f>
        <v>Yes x2</v>
      </c>
      <c r="AG96" s="32" t="str">
        <f>_xlfn.XLOOKUP(B96,Disk_Pivot!G:G,Disk_Pivot!N:N)</f>
        <v>Pass, Fail</v>
      </c>
      <c r="AH96" s="32"/>
      <c r="AI96" s="32"/>
      <c r="AJ96" s="32"/>
      <c r="AK96" s="32"/>
      <c r="AL96" s="32"/>
      <c r="AM96" s="32"/>
    </row>
    <row r="97" spans="1:39">
      <c r="A97" s="32" t="str">
        <f>_xlfn.XLOOKUP(B97,Input!J:J,Input!G:G)&amp;""</f>
        <v/>
      </c>
      <c r="B97" s="32"/>
      <c r="C97" s="32" t="str">
        <f>_xlfn.XLOOKUP(B97,Input!J:J,Input!H:H)&amp;""</f>
        <v/>
      </c>
      <c r="D97" s="42">
        <f>_xlfn.XLOOKUP(B97,Input!J:J,Input!F:F)</f>
        <v>0</v>
      </c>
      <c r="E97" s="32">
        <f>_xlfn.XLOOKUP(D97,Models!H:H,Models!G:G,D97)</f>
        <v>0</v>
      </c>
      <c r="F97" s="32">
        <f>_xlfn.XLOOKUP(B97,Input!J:J,Input!E:E)</f>
        <v>0</v>
      </c>
      <c r="G97" s="32">
        <f>IF(F97="LENOVO",_xlfn.XLOOKUP(B97,Input!J:J,Input!K:K),_xlfn.XLOOKUP(B97,Input!J:J,Input!L:L))</f>
        <v>0</v>
      </c>
      <c r="H97" s="32"/>
      <c r="I97" s="32"/>
      <c r="J97" s="32">
        <f>_xlfn.XLOOKUP(B97,CPU_Formula!A:A,CPU_Formula!I:I)</f>
        <v>0</v>
      </c>
      <c r="K97" s="42" t="e">
        <f>INDEX(Input!$D$2:$AC$500,
       MATCH(B97, Input!$J$2:$J$500, 0),
       MATCH("Total Memory", Input!$D$1:$AC$1, 0))</f>
        <v>#N/A</v>
      </c>
      <c r="L97" s="42" t="e">
        <f>INDEX(Input!$D$2:$AC$500,
       MATCH(B97, Input!$J$2:$J$500, 0),
       MATCH("Memory Type", Input!$D$1:$AC$1, 0))</f>
        <v>#N/A</v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e">
        <f t="shared" si="5"/>
        <v>#N/A</v>
      </c>
      <c r="O97" s="42" t="e">
        <f>INDEX(Input!$D$2:$AC$500,
       MATCH(B97, Input!$J$2:$J$500, 0),
       MATCH("Disk Interface Type", Input!$D$1:$AC$1, 0))</f>
        <v>#N/A</v>
      </c>
      <c r="P97" s="42" t="str" cm="1">
        <f t="array" ref="P97">IFERROR(_xlfn.TEXTJOIN(", ", TRUE, _xlfn._xlws.FILTER(
    INDEX(Input!$D$2:$AC$500,,MATCH("Disk Capacity",Input!$D$1:$AC$1,0)),
    Input!$J$2:$J$500=B97
)), "")</f>
        <v/>
      </c>
      <c r="Q97" s="32" t="e">
        <f t="shared" si="4"/>
        <v>#N/A</v>
      </c>
      <c r="R97" s="42" t="e">
        <f>_xlfn.LET(_xlpm.Result,INDEX(Input!$D$2:$AC$500,
       MATCH(B97, Input!$J$2:$J$500, 0),
       MATCH("Capacity", Input!$D$1:$AC$1, 0)),IF(_xlpm.Result="","",_xlpm.Result))</f>
        <v>#N/A</v>
      </c>
      <c r="S97" s="42" t="e" cm="1">
        <f t="array" ref="S97">_xlfn.TEXTSPLIT(R97," / ", ,TRUE,0,)</f>
        <v>#N/A</v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:AD97">IFERROR(IF(_xlfn.XLOOKUP(B97,Input!J:J,Input!N:U)=0,"",
          _xlfn.XLOOKUP(B97,Input!J:J,Input!N:U)),"")</f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42" t="str">
        <v/>
      </c>
      <c r="AE97" s="32" t="str">
        <f t="shared" si="3"/>
        <v/>
      </c>
      <c r="AF97" s="32" t="str">
        <f>_xlfn.XLOOKUP(B:B,Disk_Pivot!G:G,Disk_Pivot!I:I)</f>
        <v>Yes x2</v>
      </c>
      <c r="AG97" s="32" t="str">
        <f>_xlfn.XLOOKUP(B97,Disk_Pivot!G:G,Disk_Pivot!N:N)</f>
        <v>Pass, Fail</v>
      </c>
      <c r="AH97" s="32"/>
      <c r="AI97" s="32"/>
      <c r="AJ97" s="32"/>
      <c r="AK97" s="32"/>
      <c r="AL97" s="32"/>
      <c r="AM97" s="32"/>
    </row>
    <row r="98" spans="1:39">
      <c r="A98" s="32" t="str">
        <f>_xlfn.XLOOKUP(B98,Input!J:J,Input!G:G)&amp;""</f>
        <v/>
      </c>
      <c r="B98" s="32"/>
      <c r="C98" s="32" t="str">
        <f>_xlfn.XLOOKUP(B98,Input!J:J,Input!H:H)&amp;""</f>
        <v/>
      </c>
      <c r="D98" s="42">
        <f>_xlfn.XLOOKUP(B98,Input!J:J,Input!F:F)</f>
        <v>0</v>
      </c>
      <c r="E98" s="32">
        <f>_xlfn.XLOOKUP(D98,Models!H:H,Models!G:G,D98)</f>
        <v>0</v>
      </c>
      <c r="F98" s="32">
        <f>_xlfn.XLOOKUP(B98,Input!J:J,Input!E:E)</f>
        <v>0</v>
      </c>
      <c r="G98" s="32">
        <f>IF(F98="LENOVO",_xlfn.XLOOKUP(B98,Input!J:J,Input!K:K),_xlfn.XLOOKUP(B98,Input!J:J,Input!L:L))</f>
        <v>0</v>
      </c>
      <c r="H98" s="32"/>
      <c r="I98" s="32"/>
      <c r="J98" s="32">
        <f>_xlfn.XLOOKUP(B98,CPU_Formula!A:A,CPU_Formula!I:I)</f>
        <v>0</v>
      </c>
      <c r="K98" s="42" t="e">
        <f>INDEX(Input!$D$2:$AC$500,
       MATCH(B98, Input!$J$2:$J$500, 0),
       MATCH("Total Memory", Input!$D$1:$AC$1, 0))</f>
        <v>#N/A</v>
      </c>
      <c r="L98" s="42" t="e">
        <f>INDEX(Input!$D$2:$AC$500,
       MATCH(B98, Input!$J$2:$J$500, 0),
       MATCH("Memory Type", Input!$D$1:$AC$1, 0))</f>
        <v>#N/A</v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e">
        <f t="shared" si="5"/>
        <v>#N/A</v>
      </c>
      <c r="O98" s="42" t="e">
        <f>INDEX(Input!$D$2:$AC$500,
       MATCH(B98, Input!$J$2:$J$500, 0),
       MATCH("Disk Interface Type", Input!$D$1:$AC$1, 0))</f>
        <v>#N/A</v>
      </c>
      <c r="P98" s="42" t="str" cm="1">
        <f t="array" ref="P98">IFERROR(_xlfn.TEXTJOIN(", ", TRUE, _xlfn._xlws.FILTER(
    INDEX(Input!$D$2:$AC$500,,MATCH("Disk Capacity",Input!$D$1:$AC$1,0)),
    Input!$J$2:$J$500=B98
)), "")</f>
        <v/>
      </c>
      <c r="Q98" s="32" t="e">
        <f t="shared" si="4"/>
        <v>#N/A</v>
      </c>
      <c r="R98" s="42" t="e">
        <f>_xlfn.LET(_xlpm.Result,INDEX(Input!$D$2:$AC$500,
       MATCH(B98, Input!$J$2:$J$500, 0),
       MATCH("Capacity", Input!$D$1:$AC$1, 0)),IF(_xlpm.Result="","",_xlpm.Result))</f>
        <v>#N/A</v>
      </c>
      <c r="S98" s="42" t="e" cm="1">
        <f t="array" ref="S98">_xlfn.TEXTSPLIT(R98," / ", ,TRUE,0,)</f>
        <v>#N/A</v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:AD98">IFERROR(IF(_xlfn.XLOOKUP(B98,Input!J:J,Input!N:U)=0,"",
          _xlfn.XLOOKUP(B98,Input!J:J,Input!N:U)),"")</f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42" t="str">
        <v/>
      </c>
      <c r="AE98" s="32" t="str">
        <f t="shared" si="3"/>
        <v/>
      </c>
      <c r="AF98" s="32" t="str">
        <f>_xlfn.XLOOKUP(B:B,Disk_Pivot!G:G,Disk_Pivot!I:I)</f>
        <v>Yes x2</v>
      </c>
      <c r="AG98" s="32" t="str">
        <f>_xlfn.XLOOKUP(B98,Disk_Pivot!G:G,Disk_Pivot!N:N)</f>
        <v>Pass, Fail</v>
      </c>
      <c r="AH98" s="32"/>
      <c r="AI98" s="32"/>
      <c r="AJ98" s="32"/>
      <c r="AK98" s="32"/>
      <c r="AL98" s="32"/>
      <c r="AM98" s="32"/>
    </row>
    <row r="99" spans="1:39">
      <c r="A99" s="32" t="str">
        <f>_xlfn.XLOOKUP(B99,Input!J:J,Input!G:G)&amp;""</f>
        <v/>
      </c>
      <c r="B99" s="32"/>
      <c r="C99" s="32" t="str">
        <f>_xlfn.XLOOKUP(B99,Input!J:J,Input!H:H)&amp;""</f>
        <v/>
      </c>
      <c r="D99" s="42">
        <f>_xlfn.XLOOKUP(B99,Input!J:J,Input!F:F)</f>
        <v>0</v>
      </c>
      <c r="E99" s="32">
        <f>_xlfn.XLOOKUP(D99,Models!H:H,Models!G:G,D99)</f>
        <v>0</v>
      </c>
      <c r="F99" s="32">
        <f>_xlfn.XLOOKUP(B99,Input!J:J,Input!E:E)</f>
        <v>0</v>
      </c>
      <c r="G99" s="32">
        <f>IF(F99="LENOVO",_xlfn.XLOOKUP(B99,Input!J:J,Input!K:K),_xlfn.XLOOKUP(B99,Input!J:J,Input!L:L))</f>
        <v>0</v>
      </c>
      <c r="H99" s="32"/>
      <c r="I99" s="32"/>
      <c r="J99" s="32">
        <f>_xlfn.XLOOKUP(B99,CPU_Formula!A:A,CPU_Formula!I:I)</f>
        <v>0</v>
      </c>
      <c r="K99" s="42" t="e">
        <f>INDEX(Input!$D$2:$AC$500,
       MATCH(B99, Input!$J$2:$J$500, 0),
       MATCH("Total Memory", Input!$D$1:$AC$1, 0))</f>
        <v>#N/A</v>
      </c>
      <c r="L99" s="42" t="e">
        <f>INDEX(Input!$D$2:$AC$500,
       MATCH(B99, Input!$J$2:$J$500, 0),
       MATCH("Memory Type", Input!$D$1:$AC$1, 0))</f>
        <v>#N/A</v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e">
        <f t="shared" si="5"/>
        <v>#N/A</v>
      </c>
      <c r="O99" s="42" t="e">
        <f>INDEX(Input!$D$2:$AC$500,
       MATCH(B99, Input!$J$2:$J$500, 0),
       MATCH("Disk Interface Type", Input!$D$1:$AC$1, 0))</f>
        <v>#N/A</v>
      </c>
      <c r="P99" s="42" t="str" cm="1">
        <f t="array" ref="P99">IFERROR(_xlfn.TEXTJOIN(", ", TRUE, _xlfn._xlws.FILTER(
    INDEX(Input!$D$2:$AC$500,,MATCH("Disk Capacity",Input!$D$1:$AC$1,0)),
    Input!$J$2:$J$500=B99
)), "")</f>
        <v/>
      </c>
      <c r="Q99" s="32" t="e">
        <f t="shared" si="4"/>
        <v>#N/A</v>
      </c>
      <c r="R99" s="42" t="e">
        <f>_xlfn.LET(_xlpm.Result,INDEX(Input!$D$2:$AC$500,
       MATCH(B99, Input!$J$2:$J$500, 0),
       MATCH("Capacity", Input!$D$1:$AC$1, 0)),IF(_xlpm.Result="","",_xlpm.Result))</f>
        <v>#N/A</v>
      </c>
      <c r="S99" s="42" t="e" cm="1">
        <f t="array" ref="S99">_xlfn.TEXTSPLIT(R99," / ", ,TRUE,0,)</f>
        <v>#N/A</v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:AD99">IFERROR(IF(_xlfn.XLOOKUP(B99,Input!J:J,Input!N:U)=0,"",
          _xlfn.XLOOKUP(B99,Input!J:J,Input!N:U)),"")</f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42" t="str">
        <v/>
      </c>
      <c r="AE99" s="32" t="str">
        <f t="shared" si="3"/>
        <v/>
      </c>
      <c r="AF99" s="32" t="str">
        <f>_xlfn.XLOOKUP(B:B,Disk_Pivot!G:G,Disk_Pivot!I:I)</f>
        <v>Yes x2</v>
      </c>
      <c r="AG99" s="32" t="str">
        <f>_xlfn.XLOOKUP(B99,Disk_Pivot!G:G,Disk_Pivot!N:N)</f>
        <v>Pass, Fail</v>
      </c>
      <c r="AH99" s="32"/>
      <c r="AI99" s="32"/>
      <c r="AJ99" s="32"/>
      <c r="AK99" s="32"/>
      <c r="AL99" s="32"/>
      <c r="AM99" s="32"/>
    </row>
    <row r="100" spans="1:39">
      <c r="A100" s="32" t="str">
        <f>_xlfn.XLOOKUP(B100,Input!J:J,Input!G:G)&amp;""</f>
        <v/>
      </c>
      <c r="B100" s="32"/>
      <c r="C100" s="32" t="str">
        <f>_xlfn.XLOOKUP(B100,Input!J:J,Input!H:H)&amp;""</f>
        <v/>
      </c>
      <c r="D100" s="42">
        <f>_xlfn.XLOOKUP(B100,Input!J:J,Input!F:F)</f>
        <v>0</v>
      </c>
      <c r="E100" s="32">
        <f>_xlfn.XLOOKUP(D100,Models!H:H,Models!G:G,D100)</f>
        <v>0</v>
      </c>
      <c r="F100" s="32">
        <f>_xlfn.XLOOKUP(B100,Input!J:J,Input!E:E)</f>
        <v>0</v>
      </c>
      <c r="G100" s="32">
        <f>IF(F100="LENOVO",_xlfn.XLOOKUP(B100,Input!J:J,Input!K:K),_xlfn.XLOOKUP(B100,Input!J:J,Input!L:L))</f>
        <v>0</v>
      </c>
      <c r="H100" s="32"/>
      <c r="I100" s="32"/>
      <c r="J100" s="32">
        <f>_xlfn.XLOOKUP(B100,CPU_Formula!A:A,CPU_Formula!I:I)</f>
        <v>0</v>
      </c>
      <c r="K100" s="42" t="e">
        <f>INDEX(Input!$D$2:$AC$500,
       MATCH(B100, Input!$J$2:$J$500, 0),
       MATCH("Total Memory", Input!$D$1:$AC$1, 0))</f>
        <v>#N/A</v>
      </c>
      <c r="L100" s="42" t="e">
        <f>INDEX(Input!$D$2:$AC$500,
       MATCH(B100, Input!$J$2:$J$500, 0),
       MATCH("Memory Type", Input!$D$1:$AC$1, 0))</f>
        <v>#N/A</v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e">
        <f t="shared" si="5"/>
        <v>#N/A</v>
      </c>
      <c r="O100" s="42" t="e">
        <f>INDEX(Input!$D$2:$AC$500,
       MATCH(B100, Input!$J$2:$J$500, 0),
       MATCH("Disk Interface Type", Input!$D$1:$AC$1, 0))</f>
        <v>#N/A</v>
      </c>
      <c r="P100" s="42" t="str" cm="1">
        <f t="array" ref="P100">IFERROR(_xlfn.TEXTJOIN(", ", TRUE, _xlfn._xlws.FILTER(
    INDEX(Input!$D$2:$AC$500,,MATCH("Disk Capacity",Input!$D$1:$AC$1,0)),
    Input!$J$2:$J$500=B100
)), "")</f>
        <v/>
      </c>
      <c r="Q100" s="32" t="e">
        <f t="shared" si="4"/>
        <v>#N/A</v>
      </c>
      <c r="R100" s="42" t="e">
        <f>_xlfn.LET(_xlpm.Result,INDEX(Input!$D$2:$AC$500,
       MATCH(B100, Input!$J$2:$J$500, 0),
       MATCH("Capacity", Input!$D$1:$AC$1, 0)),IF(_xlpm.Result="","",_xlpm.Result))</f>
        <v>#N/A</v>
      </c>
      <c r="S100" s="42" t="e" cm="1">
        <f t="array" ref="S100">_xlfn.TEXTSPLIT(R100," / ", ,TRUE,0,)</f>
        <v>#N/A</v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:AD100">IFERROR(IF(_xlfn.XLOOKUP(B100,Input!J:J,Input!N:U)=0,"",
          _xlfn.XLOOKUP(B100,Input!J:J,Input!N:U)),"")</f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42" t="str">
        <v/>
      </c>
      <c r="AE100" s="32" t="str">
        <f t="shared" si="3"/>
        <v/>
      </c>
      <c r="AF100" s="32" t="str">
        <f>_xlfn.XLOOKUP(B:B,Disk_Pivot!G:G,Disk_Pivot!I:I)</f>
        <v>Yes x2</v>
      </c>
      <c r="AG100" s="32" t="str">
        <f>_xlfn.XLOOKUP(B100,Disk_Pivot!G:G,Disk_Pivot!N:N)</f>
        <v>Pass, Fail</v>
      </c>
      <c r="AH100" s="32"/>
      <c r="AI100" s="32"/>
      <c r="AJ100" s="32"/>
      <c r="AK100" s="32"/>
      <c r="AL100" s="32"/>
      <c r="AM100" s="32"/>
    </row>
    <row r="101" spans="1:39">
      <c r="A101" s="32" t="str">
        <f>_xlfn.XLOOKUP(B101,Input!J:J,Input!G:G)&amp;""</f>
        <v/>
      </c>
      <c r="B101" s="32"/>
      <c r="C101" s="32" t="str">
        <f>_xlfn.XLOOKUP(B101,Input!J:J,Input!H:H)&amp;""</f>
        <v/>
      </c>
      <c r="D101" s="42">
        <f>_xlfn.XLOOKUP(B101,Input!J:J,Input!F:F)</f>
        <v>0</v>
      </c>
      <c r="E101" s="32">
        <f>_xlfn.XLOOKUP(D101,Models!H:H,Models!G:G,D101)</f>
        <v>0</v>
      </c>
      <c r="F101" s="32">
        <f>_xlfn.XLOOKUP(B101,Input!J:J,Input!E:E)</f>
        <v>0</v>
      </c>
      <c r="G101" s="32">
        <f>IF(F101="LENOVO",_xlfn.XLOOKUP(B101,Input!J:J,Input!K:K),_xlfn.XLOOKUP(B101,Input!J:J,Input!L:L))</f>
        <v>0</v>
      </c>
      <c r="H101" s="32"/>
      <c r="I101" s="32"/>
      <c r="J101" s="32">
        <f>_xlfn.XLOOKUP(B101,CPU_Formula!A:A,CPU_Formula!I:I)</f>
        <v>0</v>
      </c>
      <c r="K101" s="42" t="e">
        <f>INDEX(Input!$D$2:$AC$500,
       MATCH(B101, Input!$J$2:$J$500, 0),
       MATCH("Total Memory", Input!$D$1:$AC$1, 0))</f>
        <v>#N/A</v>
      </c>
      <c r="L101" s="42" t="e">
        <f>INDEX(Input!$D$2:$AC$500,
       MATCH(B101, Input!$J$2:$J$500, 0),
       MATCH("Memory Type", Input!$D$1:$AC$1, 0))</f>
        <v>#N/A</v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e">
        <f t="shared" si="5"/>
        <v>#N/A</v>
      </c>
      <c r="O101" s="42" t="e">
        <f>INDEX(Input!$D$2:$AC$500,
       MATCH(B101, Input!$J$2:$J$500, 0),
       MATCH("Disk Interface Type", Input!$D$1:$AC$1, 0))</f>
        <v>#N/A</v>
      </c>
      <c r="P101" s="42" t="str" cm="1">
        <f t="array" ref="P101">IFERROR(_xlfn.TEXTJOIN(", ", TRUE, _xlfn._xlws.FILTER(
    INDEX(Input!$D$2:$AC$500,,MATCH("Disk Capacity",Input!$D$1:$AC$1,0)),
    Input!$J$2:$J$500=B101
)), "")</f>
        <v/>
      </c>
      <c r="Q101" s="32" t="e">
        <f t="shared" si="4"/>
        <v>#N/A</v>
      </c>
      <c r="R101" s="42" t="e">
        <f>_xlfn.LET(_xlpm.Result,INDEX(Input!$D$2:$AC$500,
       MATCH(B101, Input!$J$2:$J$500, 0),
       MATCH("Capacity", Input!$D$1:$AC$1, 0)),IF(_xlpm.Result="","",_xlpm.Result))</f>
        <v>#N/A</v>
      </c>
      <c r="S101" s="42" t="e" cm="1">
        <f t="array" ref="S101">_xlfn.TEXTSPLIT(R101," / ", ,TRUE,0,)</f>
        <v>#N/A</v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:AD101">IFERROR(IF(_xlfn.XLOOKUP(B101,Input!J:J,Input!N:U)=0,"",
          _xlfn.XLOOKUP(B101,Input!J:J,Input!N:U)),"")</f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42" t="str">
        <v/>
      </c>
      <c r="AE101" s="32" t="str">
        <f t="shared" si="3"/>
        <v/>
      </c>
      <c r="AF101" s="32" t="str">
        <f>_xlfn.XLOOKUP(B:B,Disk_Pivot!G:G,Disk_Pivot!I:I)</f>
        <v>Yes x2</v>
      </c>
      <c r="AG101" s="32" t="str">
        <f>_xlfn.XLOOKUP(B101,Disk_Pivot!G:G,Disk_Pivot!N:N)</f>
        <v>Pass, Fail</v>
      </c>
      <c r="AH101" s="32"/>
      <c r="AI101" s="32"/>
      <c r="AJ101" s="32"/>
      <c r="AK101" s="32"/>
      <c r="AL101" s="32"/>
      <c r="AM101" s="32"/>
    </row>
    <row r="102" spans="1:39">
      <c r="A102" s="32" t="str">
        <f>_xlfn.XLOOKUP(B102,Input!J:J,Input!G:G)&amp;""</f>
        <v/>
      </c>
      <c r="B102" s="32"/>
      <c r="C102" s="32" t="str">
        <f>_xlfn.XLOOKUP(B102,Input!J:J,Input!H:H)&amp;""</f>
        <v/>
      </c>
      <c r="D102" s="42">
        <f>_xlfn.XLOOKUP(B102,Input!J:J,Input!F:F)</f>
        <v>0</v>
      </c>
      <c r="E102" s="32">
        <f>_xlfn.XLOOKUP(D102,Models!H:H,Models!G:G,D102)</f>
        <v>0</v>
      </c>
      <c r="F102" s="32">
        <f>_xlfn.XLOOKUP(B102,Input!J:J,Input!E:E)</f>
        <v>0</v>
      </c>
      <c r="G102" s="32">
        <f>IF(F102="LENOVO",_xlfn.XLOOKUP(B102,Input!J:J,Input!K:K),_xlfn.XLOOKUP(B102,Input!J:J,Input!L:L))</f>
        <v>0</v>
      </c>
      <c r="H102" s="32"/>
      <c r="I102" s="32"/>
      <c r="J102" s="32">
        <f>_xlfn.XLOOKUP(B102,CPU_Formula!A:A,CPU_Formula!I:I)</f>
        <v>0</v>
      </c>
      <c r="K102" s="42" t="e">
        <f>INDEX(Input!$D$2:$AC$500,
       MATCH(B102, Input!$J$2:$J$500, 0),
       MATCH("Total Memory", Input!$D$1:$AC$1, 0))</f>
        <v>#N/A</v>
      </c>
      <c r="L102" s="42" t="e">
        <f>INDEX(Input!$D$2:$AC$500,
       MATCH(B102, Input!$J$2:$J$500, 0),
       MATCH("Memory Type", Input!$D$1:$AC$1, 0))</f>
        <v>#N/A</v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e">
        <f t="shared" si="5"/>
        <v>#N/A</v>
      </c>
      <c r="O102" s="42" t="e">
        <f>INDEX(Input!$D$2:$AC$500,
       MATCH(B102, Input!$J$2:$J$500, 0),
       MATCH("Disk Interface Type", Input!$D$1:$AC$1, 0))</f>
        <v>#N/A</v>
      </c>
      <c r="P102" s="42" t="str" cm="1">
        <f t="array" ref="P102">IFERROR(_xlfn.TEXTJOIN(", ", TRUE, _xlfn._xlws.FILTER(
    INDEX(Input!$D$2:$AC$500,,MATCH("Disk Capacity",Input!$D$1:$AC$1,0)),
    Input!$J$2:$J$500=B102
)), "")</f>
        <v/>
      </c>
      <c r="Q102" s="32" t="e">
        <f t="shared" si="4"/>
        <v>#N/A</v>
      </c>
      <c r="R102" s="42" t="e">
        <f>_xlfn.LET(_xlpm.Result,INDEX(Input!$D$2:$AC$500,
       MATCH(B102, Input!$J$2:$J$500, 0),
       MATCH("Capacity", Input!$D$1:$AC$1, 0)),IF(_xlpm.Result="","",_xlpm.Result))</f>
        <v>#N/A</v>
      </c>
      <c r="S102" s="42" t="e" cm="1">
        <f t="array" ref="S102">_xlfn.TEXTSPLIT(R102," / ", ,TRUE,0,)</f>
        <v>#N/A</v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:AD102">IFERROR(IF(_xlfn.XLOOKUP(B102,Input!J:J,Input!N:U)=0,"",
          _xlfn.XLOOKUP(B102,Input!J:J,Input!N:U)),"")</f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42" t="str">
        <v/>
      </c>
      <c r="AE102" s="32" t="str">
        <f t="shared" si="3"/>
        <v/>
      </c>
      <c r="AF102" s="32" t="str">
        <f>_xlfn.XLOOKUP(B:B,Disk_Pivot!G:G,Disk_Pivot!I:I)</f>
        <v>Yes x2</v>
      </c>
      <c r="AG102" s="32" t="str">
        <f>_xlfn.XLOOKUP(B102,Disk_Pivot!G:G,Disk_Pivot!N:N)</f>
        <v>Pass, Fail</v>
      </c>
      <c r="AH102" s="32"/>
      <c r="AI102" s="32"/>
      <c r="AJ102" s="32"/>
      <c r="AK102" s="32"/>
      <c r="AL102" s="32"/>
      <c r="AM102" s="32"/>
    </row>
    <row r="103" spans="1:39">
      <c r="A103" s="32" t="str">
        <f>_xlfn.XLOOKUP(B103,Input!J:J,Input!G:G)&amp;""</f>
        <v/>
      </c>
      <c r="B103" s="32"/>
      <c r="C103" s="32" t="str">
        <f>_xlfn.XLOOKUP(B103,Input!J:J,Input!H:H)&amp;""</f>
        <v/>
      </c>
      <c r="D103" s="42">
        <f>_xlfn.XLOOKUP(B103,Input!J:J,Input!F:F)</f>
        <v>0</v>
      </c>
      <c r="E103" s="32">
        <f>_xlfn.XLOOKUP(D103,Models!H:H,Models!G:G,D103)</f>
        <v>0</v>
      </c>
      <c r="F103" s="32">
        <f>_xlfn.XLOOKUP(B103,Input!J:J,Input!E:E)</f>
        <v>0</v>
      </c>
      <c r="G103" s="32">
        <f>IF(F103="LENOVO",_xlfn.XLOOKUP(B103,Input!J:J,Input!K:K),_xlfn.XLOOKUP(B103,Input!J:J,Input!L:L))</f>
        <v>0</v>
      </c>
      <c r="H103" s="32"/>
      <c r="I103" s="32"/>
      <c r="J103" s="32">
        <f>_xlfn.XLOOKUP(B103,CPU_Formula!A:A,CPU_Formula!I:I)</f>
        <v>0</v>
      </c>
      <c r="K103" s="42" t="e">
        <f>INDEX(Input!$D$2:$AC$500,
       MATCH(B103, Input!$J$2:$J$500, 0),
       MATCH("Total Memory", Input!$D$1:$AC$1, 0))</f>
        <v>#N/A</v>
      </c>
      <c r="L103" s="42" t="e">
        <f>INDEX(Input!$D$2:$AC$500,
       MATCH(B103, Input!$J$2:$J$500, 0),
       MATCH("Memory Type", Input!$D$1:$AC$1, 0))</f>
        <v>#N/A</v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e">
        <f t="shared" si="5"/>
        <v>#N/A</v>
      </c>
      <c r="O103" s="42" t="e">
        <f>INDEX(Input!$D$2:$AC$500,
       MATCH(B103, Input!$J$2:$J$500, 0),
       MATCH("Disk Interface Type", Input!$D$1:$AC$1, 0))</f>
        <v>#N/A</v>
      </c>
      <c r="P103" s="42" t="str" cm="1">
        <f t="array" ref="P103">IFERROR(_xlfn.TEXTJOIN(", ", TRUE, _xlfn._xlws.FILTER(
    INDEX(Input!$D$2:$AC$500,,MATCH("Disk Capacity",Input!$D$1:$AC$1,0)),
    Input!$J$2:$J$500=B103
)), "")</f>
        <v/>
      </c>
      <c r="Q103" s="32" t="e">
        <f t="shared" si="4"/>
        <v>#N/A</v>
      </c>
      <c r="R103" s="42" t="e">
        <f>_xlfn.LET(_xlpm.Result,INDEX(Input!$D$2:$AC$500,
       MATCH(B103, Input!$J$2:$J$500, 0),
       MATCH("Capacity", Input!$D$1:$AC$1, 0)),IF(_xlpm.Result="","",_xlpm.Result))</f>
        <v>#N/A</v>
      </c>
      <c r="S103" s="42" t="e" cm="1">
        <f t="array" ref="S103">_xlfn.TEXTSPLIT(R103," / ", ,TRUE,0,)</f>
        <v>#N/A</v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:AD103">IFERROR(IF(_xlfn.XLOOKUP(B103,Input!J:J,Input!N:U)=0,"",
          _xlfn.XLOOKUP(B103,Input!J:J,Input!N:U)),"")</f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42" t="str">
        <v/>
      </c>
      <c r="AE103" s="32" t="str">
        <f t="shared" si="3"/>
        <v/>
      </c>
      <c r="AF103" s="32" t="str">
        <f>_xlfn.XLOOKUP(B:B,Disk_Pivot!G:G,Disk_Pivot!I:I)</f>
        <v>Yes x2</v>
      </c>
      <c r="AG103" s="32" t="str">
        <f>_xlfn.XLOOKUP(B103,Disk_Pivot!G:G,Disk_Pivot!N:N)</f>
        <v>Pass, Fail</v>
      </c>
      <c r="AH103" s="32"/>
      <c r="AI103" s="32"/>
      <c r="AJ103" s="32"/>
      <c r="AK103" s="32"/>
      <c r="AL103" s="32"/>
      <c r="AM103" s="32"/>
    </row>
    <row r="104" spans="1:39">
      <c r="A104" s="32" t="str">
        <f>_xlfn.XLOOKUP(B104,Input!J:J,Input!G:G)&amp;""</f>
        <v/>
      </c>
      <c r="B104" s="32"/>
      <c r="C104" s="32" t="str">
        <f>_xlfn.XLOOKUP(B104,Input!J:J,Input!H:H)&amp;""</f>
        <v/>
      </c>
      <c r="D104" s="42">
        <f>_xlfn.XLOOKUP(B104,Input!J:J,Input!F:F)</f>
        <v>0</v>
      </c>
      <c r="E104" s="32">
        <f>_xlfn.XLOOKUP(D104,Models!H:H,Models!G:G,D104)</f>
        <v>0</v>
      </c>
      <c r="F104" s="32">
        <f>_xlfn.XLOOKUP(B104,Input!J:J,Input!E:E)</f>
        <v>0</v>
      </c>
      <c r="G104" s="32">
        <f>IF(F104="LENOVO",_xlfn.XLOOKUP(B104,Input!J:J,Input!K:K),_xlfn.XLOOKUP(B104,Input!J:J,Input!L:L))</f>
        <v>0</v>
      </c>
      <c r="H104" s="32"/>
      <c r="I104" s="32"/>
      <c r="J104" s="32">
        <f>_xlfn.XLOOKUP(B104,CPU_Formula!A:A,CPU_Formula!I:I)</f>
        <v>0</v>
      </c>
      <c r="K104" s="42" t="e">
        <f>INDEX(Input!$D$2:$AC$500,
       MATCH(B104, Input!$J$2:$J$500, 0),
       MATCH("Total Memory", Input!$D$1:$AC$1, 0))</f>
        <v>#N/A</v>
      </c>
      <c r="L104" s="42" t="e">
        <f>INDEX(Input!$D$2:$AC$500,
       MATCH(B104, Input!$J$2:$J$500, 0),
       MATCH("Memory Type", Input!$D$1:$AC$1, 0))</f>
        <v>#N/A</v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e">
        <f t="shared" si="5"/>
        <v>#N/A</v>
      </c>
      <c r="O104" s="42" t="e">
        <f>INDEX(Input!$D$2:$AC$500,
       MATCH(B104, Input!$J$2:$J$500, 0),
       MATCH("Disk Interface Type", Input!$D$1:$AC$1, 0))</f>
        <v>#N/A</v>
      </c>
      <c r="P104" s="42" t="str" cm="1">
        <f t="array" ref="P104">IFERROR(_xlfn.TEXTJOIN(", ", TRUE, _xlfn._xlws.FILTER(
    INDEX(Input!$D$2:$AC$500,,MATCH("Disk Capacity",Input!$D$1:$AC$1,0)),
    Input!$J$2:$J$500=B104
)), "")</f>
        <v/>
      </c>
      <c r="Q104" s="32" t="e">
        <f t="shared" si="4"/>
        <v>#N/A</v>
      </c>
      <c r="R104" s="42" t="e">
        <f>_xlfn.LET(_xlpm.Result,INDEX(Input!$D$2:$AC$500,
       MATCH(B104, Input!$J$2:$J$500, 0),
       MATCH("Capacity", Input!$D$1:$AC$1, 0)),IF(_xlpm.Result="","",_xlpm.Result))</f>
        <v>#N/A</v>
      </c>
      <c r="S104" s="42" t="e" cm="1">
        <f t="array" ref="S104">_xlfn.TEXTSPLIT(R104," / ", ,TRUE,0,)</f>
        <v>#N/A</v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:AD104">IFERROR(IF(_xlfn.XLOOKUP(B104,Input!J:J,Input!N:U)=0,"",
          _xlfn.XLOOKUP(B104,Input!J:J,Input!N:U)),"")</f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42" t="str">
        <v/>
      </c>
      <c r="AE104" s="32" t="str">
        <f t="shared" si="3"/>
        <v/>
      </c>
      <c r="AF104" s="32" t="str">
        <f>_xlfn.XLOOKUP(B:B,Disk_Pivot!G:G,Disk_Pivot!I:I)</f>
        <v>Yes x2</v>
      </c>
      <c r="AG104" s="32" t="str">
        <f>_xlfn.XLOOKUP(B104,Disk_Pivot!G:G,Disk_Pivot!N:N)</f>
        <v>Pass, Fail</v>
      </c>
      <c r="AH104" s="32"/>
      <c r="AI104" s="32"/>
      <c r="AJ104" s="32"/>
      <c r="AK104" s="32"/>
      <c r="AL104" s="32"/>
      <c r="AM104" s="32"/>
    </row>
    <row r="105" spans="1:39">
      <c r="A105" s="32" t="str">
        <f>_xlfn.XLOOKUP(B105,Input!J:J,Input!G:G)&amp;""</f>
        <v/>
      </c>
      <c r="B105" s="32"/>
      <c r="C105" s="32" t="str">
        <f>_xlfn.XLOOKUP(B105,Input!J:J,Input!H:H)&amp;""</f>
        <v/>
      </c>
      <c r="D105" s="42">
        <f>_xlfn.XLOOKUP(B105,Input!J:J,Input!F:F)</f>
        <v>0</v>
      </c>
      <c r="E105" s="32">
        <f>_xlfn.XLOOKUP(D105,Models!H:H,Models!G:G,D105)</f>
        <v>0</v>
      </c>
      <c r="F105" s="32">
        <f>_xlfn.XLOOKUP(B105,Input!J:J,Input!E:E)</f>
        <v>0</v>
      </c>
      <c r="G105" s="32">
        <f>IF(F105="LENOVO",_xlfn.XLOOKUP(B105,Input!J:J,Input!K:K),_xlfn.XLOOKUP(B105,Input!J:J,Input!L:L))</f>
        <v>0</v>
      </c>
      <c r="H105" s="32"/>
      <c r="I105" s="32"/>
      <c r="J105" s="32">
        <f>_xlfn.XLOOKUP(B105,CPU_Formula!A:A,CPU_Formula!I:I)</f>
        <v>0</v>
      </c>
      <c r="K105" s="42" t="e">
        <f>INDEX(Input!$D$2:$AC$500,
       MATCH(B105, Input!$J$2:$J$500, 0),
       MATCH("Total Memory", Input!$D$1:$AC$1, 0))</f>
        <v>#N/A</v>
      </c>
      <c r="L105" s="42" t="e">
        <f>INDEX(Input!$D$2:$AC$500,
       MATCH(B105, Input!$J$2:$J$500, 0),
       MATCH("Memory Type", Input!$D$1:$AC$1, 0))</f>
        <v>#N/A</v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e">
        <f t="shared" si="5"/>
        <v>#N/A</v>
      </c>
      <c r="O105" s="42" t="e">
        <f>INDEX(Input!$D$2:$AC$500,
       MATCH(B105, Input!$J$2:$J$500, 0),
       MATCH("Disk Interface Type", Input!$D$1:$AC$1, 0))</f>
        <v>#N/A</v>
      </c>
      <c r="P105" s="42" t="str" cm="1">
        <f t="array" ref="P105">IFERROR(_xlfn.TEXTJOIN(", ", TRUE, _xlfn._xlws.FILTER(
    INDEX(Input!$D$2:$AC$500,,MATCH("Disk Capacity",Input!$D$1:$AC$1,0)),
    Input!$J$2:$J$500=B105
)), "")</f>
        <v/>
      </c>
      <c r="Q105" s="32" t="e">
        <f t="shared" si="4"/>
        <v>#N/A</v>
      </c>
      <c r="R105" s="42" t="e">
        <f>_xlfn.LET(_xlpm.Result,INDEX(Input!$D$2:$AC$500,
       MATCH(B105, Input!$J$2:$J$500, 0),
       MATCH("Capacity", Input!$D$1:$AC$1, 0)),IF(_xlpm.Result="","",_xlpm.Result))</f>
        <v>#N/A</v>
      </c>
      <c r="S105" s="42" t="e" cm="1">
        <f t="array" ref="S105">_xlfn.TEXTSPLIT(R105," / ", ,TRUE,0,)</f>
        <v>#N/A</v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:AD105">IFERROR(IF(_xlfn.XLOOKUP(B105,Input!J:J,Input!N:U)=0,"",
          _xlfn.XLOOKUP(B105,Input!J:J,Input!N:U)),"")</f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42" t="str">
        <v/>
      </c>
      <c r="AE105" s="32" t="str">
        <f t="shared" si="3"/>
        <v/>
      </c>
      <c r="AF105" s="32" t="str">
        <f>_xlfn.XLOOKUP(B:B,Disk_Pivot!G:G,Disk_Pivot!I:I)</f>
        <v>Yes x2</v>
      </c>
      <c r="AG105" s="32" t="str">
        <f>_xlfn.XLOOKUP(B105,Disk_Pivot!G:G,Disk_Pivot!N:N)</f>
        <v>Pass, Fail</v>
      </c>
      <c r="AH105" s="32"/>
      <c r="AI105" s="32"/>
      <c r="AJ105" s="32"/>
      <c r="AK105" s="32"/>
      <c r="AL105" s="32"/>
      <c r="AM105" s="32"/>
    </row>
    <row r="106" spans="1:39">
      <c r="A106" s="32" t="str">
        <f>_xlfn.XLOOKUP(B106,Input!J:J,Input!G:G)&amp;""</f>
        <v/>
      </c>
      <c r="B106" s="32"/>
      <c r="C106" s="32" t="str">
        <f>_xlfn.XLOOKUP(B106,Input!J:J,Input!H:H)&amp;""</f>
        <v/>
      </c>
      <c r="D106" s="42">
        <f>_xlfn.XLOOKUP(B106,Input!J:J,Input!F:F)</f>
        <v>0</v>
      </c>
      <c r="E106" s="32">
        <f>_xlfn.XLOOKUP(D106,Models!H:H,Models!G:G,D106)</f>
        <v>0</v>
      </c>
      <c r="F106" s="32">
        <f>_xlfn.XLOOKUP(B106,Input!J:J,Input!E:E)</f>
        <v>0</v>
      </c>
      <c r="G106" s="32">
        <f>IF(F106="LENOVO",_xlfn.XLOOKUP(B106,Input!J:J,Input!K:K),_xlfn.XLOOKUP(B106,Input!J:J,Input!L:L))</f>
        <v>0</v>
      </c>
      <c r="H106" s="32"/>
      <c r="I106" s="32"/>
      <c r="J106" s="32">
        <f>_xlfn.XLOOKUP(B106,CPU_Formula!A:A,CPU_Formula!I:I)</f>
        <v>0</v>
      </c>
      <c r="K106" s="42" t="e">
        <f>INDEX(Input!$D$2:$AC$500,
       MATCH(B106, Input!$J$2:$J$500, 0),
       MATCH("Total Memory", Input!$D$1:$AC$1, 0))</f>
        <v>#N/A</v>
      </c>
      <c r="L106" s="42" t="e">
        <f>INDEX(Input!$D$2:$AC$500,
       MATCH(B106, Input!$J$2:$J$500, 0),
       MATCH("Memory Type", Input!$D$1:$AC$1, 0))</f>
        <v>#N/A</v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e">
        <f t="shared" si="5"/>
        <v>#N/A</v>
      </c>
      <c r="O106" s="42" t="e">
        <f>INDEX(Input!$D$2:$AC$500,
       MATCH(B106, Input!$J$2:$J$500, 0),
       MATCH("Disk Interface Type", Input!$D$1:$AC$1, 0))</f>
        <v>#N/A</v>
      </c>
      <c r="P106" s="42" t="str" cm="1">
        <f t="array" ref="P106">IFERROR(_xlfn.TEXTJOIN(", ", TRUE, _xlfn._xlws.FILTER(
    INDEX(Input!$D$2:$AC$500,,MATCH("Disk Capacity",Input!$D$1:$AC$1,0)),
    Input!$J$2:$J$500=B106
)), "")</f>
        <v/>
      </c>
      <c r="Q106" s="32" t="e">
        <f t="shared" si="4"/>
        <v>#N/A</v>
      </c>
      <c r="R106" s="42" t="e">
        <f>_xlfn.LET(_xlpm.Result,INDEX(Input!$D$2:$AC$500,
       MATCH(B106, Input!$J$2:$J$500, 0),
       MATCH("Capacity", Input!$D$1:$AC$1, 0)),IF(_xlpm.Result="","",_xlpm.Result))</f>
        <v>#N/A</v>
      </c>
      <c r="S106" s="42" t="e" cm="1">
        <f t="array" ref="S106">_xlfn.TEXTSPLIT(R106," / ", ,TRUE,0,)</f>
        <v>#N/A</v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:AD106">IFERROR(IF(_xlfn.XLOOKUP(B106,Input!J:J,Input!N:U)=0,"",
          _xlfn.XLOOKUP(B106,Input!J:J,Input!N:U)),"")</f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42" t="str">
        <v/>
      </c>
      <c r="AE106" s="32" t="str">
        <f t="shared" si="3"/>
        <v/>
      </c>
      <c r="AF106" s="32" t="str">
        <f>_xlfn.XLOOKUP(B:B,Disk_Pivot!G:G,Disk_Pivot!I:I)</f>
        <v>Yes x2</v>
      </c>
      <c r="AG106" s="32" t="str">
        <f>_xlfn.XLOOKUP(B106,Disk_Pivot!G:G,Disk_Pivot!N:N)</f>
        <v>Pass, Fail</v>
      </c>
      <c r="AH106" s="32"/>
      <c r="AI106" s="32"/>
      <c r="AJ106" s="32"/>
      <c r="AK106" s="32"/>
      <c r="AL106" s="32"/>
      <c r="AM106" s="32"/>
    </row>
    <row r="107" spans="1:39">
      <c r="A107" s="32" t="str">
        <f>_xlfn.XLOOKUP(B107,Input!J:J,Input!G:G)&amp;""</f>
        <v/>
      </c>
      <c r="B107" s="32"/>
      <c r="C107" s="32" t="str">
        <f>_xlfn.XLOOKUP(B107,Input!J:J,Input!H:H)&amp;""</f>
        <v/>
      </c>
      <c r="D107" s="42">
        <f>_xlfn.XLOOKUP(B107,Input!J:J,Input!F:F)</f>
        <v>0</v>
      </c>
      <c r="E107" s="32">
        <f>_xlfn.XLOOKUP(D107,Models!H:H,Models!G:G,D107)</f>
        <v>0</v>
      </c>
      <c r="F107" s="32">
        <f>_xlfn.XLOOKUP(B107,Input!J:J,Input!E:E)</f>
        <v>0</v>
      </c>
      <c r="G107" s="32">
        <f>IF(F107="LENOVO",_xlfn.XLOOKUP(B107,Input!J:J,Input!K:K),_xlfn.XLOOKUP(B107,Input!J:J,Input!L:L))</f>
        <v>0</v>
      </c>
      <c r="H107" s="32"/>
      <c r="I107" s="32"/>
      <c r="J107" s="32">
        <f>_xlfn.XLOOKUP(B107,CPU_Formula!A:A,CPU_Formula!I:I)</f>
        <v>0</v>
      </c>
      <c r="K107" s="42" t="e">
        <f>INDEX(Input!$D$2:$AC$500,
       MATCH(B107, Input!$J$2:$J$500, 0),
       MATCH("Total Memory", Input!$D$1:$AC$1, 0))</f>
        <v>#N/A</v>
      </c>
      <c r="L107" s="42" t="e">
        <f>INDEX(Input!$D$2:$AC$500,
       MATCH(B107, Input!$J$2:$J$500, 0),
       MATCH("Memory Type", Input!$D$1:$AC$1, 0))</f>
        <v>#N/A</v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e">
        <f t="shared" si="5"/>
        <v>#N/A</v>
      </c>
      <c r="O107" s="42" t="e">
        <f>INDEX(Input!$D$2:$AC$500,
       MATCH(B107, Input!$J$2:$J$500, 0),
       MATCH("Disk Interface Type", Input!$D$1:$AC$1, 0))</f>
        <v>#N/A</v>
      </c>
      <c r="P107" s="42" t="str" cm="1">
        <f t="array" ref="P107">IFERROR(_xlfn.TEXTJOIN(", ", TRUE, _xlfn._xlws.FILTER(
    INDEX(Input!$D$2:$AC$500,,MATCH("Disk Capacity",Input!$D$1:$AC$1,0)),
    Input!$J$2:$J$500=B107
)), "")</f>
        <v/>
      </c>
      <c r="Q107" s="32" t="e">
        <f t="shared" si="4"/>
        <v>#N/A</v>
      </c>
      <c r="R107" s="42" t="e">
        <f>_xlfn.LET(_xlpm.Result,INDEX(Input!$D$2:$AC$500,
       MATCH(B107, Input!$J$2:$J$500, 0),
       MATCH("Capacity", Input!$D$1:$AC$1, 0)),IF(_xlpm.Result="","",_xlpm.Result))</f>
        <v>#N/A</v>
      </c>
      <c r="S107" s="42" t="e" cm="1">
        <f t="array" ref="S107">_xlfn.TEXTSPLIT(R107," / ", ,TRUE,0,)</f>
        <v>#N/A</v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:AD107">IFERROR(IF(_xlfn.XLOOKUP(B107,Input!J:J,Input!N:U)=0,"",
          _xlfn.XLOOKUP(B107,Input!J:J,Input!N:U)),"")</f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42" t="str">
        <v/>
      </c>
      <c r="AE107" s="32" t="str">
        <f t="shared" si="3"/>
        <v/>
      </c>
      <c r="AF107" s="32" t="str">
        <f>_xlfn.XLOOKUP(B:B,Disk_Pivot!G:G,Disk_Pivot!I:I)</f>
        <v>Yes x2</v>
      </c>
      <c r="AG107" s="32" t="str">
        <f>_xlfn.XLOOKUP(B107,Disk_Pivot!G:G,Disk_Pivot!N:N)</f>
        <v>Pass, Fail</v>
      </c>
      <c r="AH107" s="32"/>
      <c r="AI107" s="32"/>
      <c r="AJ107" s="32"/>
      <c r="AK107" s="32"/>
      <c r="AL107" s="32"/>
      <c r="AM107" s="32"/>
    </row>
    <row r="108" spans="1:39">
      <c r="A108" s="32" t="str">
        <f>_xlfn.XLOOKUP(B108,Input!J:J,Input!G:G)&amp;""</f>
        <v/>
      </c>
      <c r="B108" s="32"/>
      <c r="C108" s="32" t="str">
        <f>_xlfn.XLOOKUP(B108,Input!J:J,Input!H:H)&amp;""</f>
        <v/>
      </c>
      <c r="D108" s="42">
        <f>_xlfn.XLOOKUP(B108,Input!J:J,Input!F:F)</f>
        <v>0</v>
      </c>
      <c r="E108" s="32">
        <f>_xlfn.XLOOKUP(D108,Models!H:H,Models!G:G,D108)</f>
        <v>0</v>
      </c>
      <c r="F108" s="32">
        <f>_xlfn.XLOOKUP(B108,Input!J:J,Input!E:E)</f>
        <v>0</v>
      </c>
      <c r="G108" s="32">
        <f>IF(F108="LENOVO",_xlfn.XLOOKUP(B108,Input!J:J,Input!K:K),_xlfn.XLOOKUP(B108,Input!J:J,Input!L:L))</f>
        <v>0</v>
      </c>
      <c r="H108" s="32"/>
      <c r="I108" s="32"/>
      <c r="J108" s="32">
        <f>_xlfn.XLOOKUP(B108,CPU_Formula!A:A,CPU_Formula!I:I)</f>
        <v>0</v>
      </c>
      <c r="K108" s="42" t="e">
        <f>INDEX(Input!$D$2:$AC$500,
       MATCH(B108, Input!$J$2:$J$500, 0),
       MATCH("Total Memory", Input!$D$1:$AC$1, 0))</f>
        <v>#N/A</v>
      </c>
      <c r="L108" s="42" t="e">
        <f>INDEX(Input!$D$2:$AC$500,
       MATCH(B108, Input!$J$2:$J$500, 0),
       MATCH("Memory Type", Input!$D$1:$AC$1, 0))</f>
        <v>#N/A</v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e">
        <f t="shared" si="5"/>
        <v>#N/A</v>
      </c>
      <c r="O108" s="42" t="e">
        <f>INDEX(Input!$D$2:$AC$500,
       MATCH(B108, Input!$J$2:$J$500, 0),
       MATCH("Disk Interface Type", Input!$D$1:$AC$1, 0))</f>
        <v>#N/A</v>
      </c>
      <c r="P108" s="42" t="str" cm="1">
        <f t="array" ref="P108">IFERROR(_xlfn.TEXTJOIN(", ", TRUE, _xlfn._xlws.FILTER(
    INDEX(Input!$D$2:$AC$500,,MATCH("Disk Capacity",Input!$D$1:$AC$1,0)),
    Input!$J$2:$J$500=B108
)), "")</f>
        <v/>
      </c>
      <c r="Q108" s="32" t="e">
        <f t="shared" si="4"/>
        <v>#N/A</v>
      </c>
      <c r="R108" s="42" t="e">
        <f>_xlfn.LET(_xlpm.Result,INDEX(Input!$D$2:$AC$500,
       MATCH(B108, Input!$J$2:$J$500, 0),
       MATCH("Capacity", Input!$D$1:$AC$1, 0)),IF(_xlpm.Result="","",_xlpm.Result))</f>
        <v>#N/A</v>
      </c>
      <c r="S108" s="42" t="e" cm="1">
        <f t="array" ref="S108">_xlfn.TEXTSPLIT(R108," / ", ,TRUE,0,)</f>
        <v>#N/A</v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:AD108">IFERROR(IF(_xlfn.XLOOKUP(B108,Input!J:J,Input!N:U)=0,"",
          _xlfn.XLOOKUP(B108,Input!J:J,Input!N:U)),"")</f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42" t="str">
        <v/>
      </c>
      <c r="AE108" s="32" t="str">
        <f t="shared" si="3"/>
        <v/>
      </c>
      <c r="AF108" s="32" t="str">
        <f>_xlfn.XLOOKUP(B:B,Disk_Pivot!G:G,Disk_Pivot!I:I)</f>
        <v>Yes x2</v>
      </c>
      <c r="AG108" s="32" t="str">
        <f>_xlfn.XLOOKUP(B108,Disk_Pivot!G:G,Disk_Pivot!N:N)</f>
        <v>Pass, Fail</v>
      </c>
      <c r="AH108" s="32"/>
      <c r="AI108" s="32"/>
      <c r="AJ108" s="32"/>
      <c r="AK108" s="32"/>
      <c r="AL108" s="32"/>
      <c r="AM108" s="32"/>
    </row>
    <row r="109" spans="1:39">
      <c r="A109" s="32" t="str">
        <f>_xlfn.XLOOKUP(B109,Input!J:J,Input!G:G)&amp;""</f>
        <v/>
      </c>
      <c r="B109" s="32"/>
      <c r="C109" s="32" t="str">
        <f>_xlfn.XLOOKUP(B109,Input!J:J,Input!H:H)&amp;""</f>
        <v/>
      </c>
      <c r="D109" s="42">
        <f>_xlfn.XLOOKUP(B109,Input!J:J,Input!F:F)</f>
        <v>0</v>
      </c>
      <c r="E109" s="32">
        <f>_xlfn.XLOOKUP(D109,Models!H:H,Models!G:G,D109)</f>
        <v>0</v>
      </c>
      <c r="F109" s="32">
        <f>_xlfn.XLOOKUP(B109,Input!J:J,Input!E:E)</f>
        <v>0</v>
      </c>
      <c r="G109" s="32">
        <f>IF(F109="LENOVO",_xlfn.XLOOKUP(B109,Input!J:J,Input!K:K),_xlfn.XLOOKUP(B109,Input!J:J,Input!L:L))</f>
        <v>0</v>
      </c>
      <c r="H109" s="32"/>
      <c r="I109" s="32"/>
      <c r="J109" s="32">
        <f>_xlfn.XLOOKUP(B109,CPU_Formula!A:A,CPU_Formula!I:I)</f>
        <v>0</v>
      </c>
      <c r="K109" s="42" t="e">
        <f>INDEX(Input!$D$2:$AC$500,
       MATCH(B109, Input!$J$2:$J$500, 0),
       MATCH("Total Memory", Input!$D$1:$AC$1, 0))</f>
        <v>#N/A</v>
      </c>
      <c r="L109" s="42" t="e">
        <f>INDEX(Input!$D$2:$AC$500,
       MATCH(B109, Input!$J$2:$J$500, 0),
       MATCH("Memory Type", Input!$D$1:$AC$1, 0))</f>
        <v>#N/A</v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e">
        <f t="shared" si="5"/>
        <v>#N/A</v>
      </c>
      <c r="O109" s="42" t="e">
        <f>INDEX(Input!$D$2:$AC$500,
       MATCH(B109, Input!$J$2:$J$500, 0),
       MATCH("Disk Interface Type", Input!$D$1:$AC$1, 0))</f>
        <v>#N/A</v>
      </c>
      <c r="P109" s="42" t="str" cm="1">
        <f t="array" ref="P109">IFERROR(_xlfn.TEXTJOIN(", ", TRUE, _xlfn._xlws.FILTER(
    INDEX(Input!$D$2:$AC$500,,MATCH("Disk Capacity",Input!$D$1:$AC$1,0)),
    Input!$J$2:$J$500=B109
)), "")</f>
        <v/>
      </c>
      <c r="Q109" s="32" t="e">
        <f t="shared" si="4"/>
        <v>#N/A</v>
      </c>
      <c r="R109" s="42" t="e">
        <f>_xlfn.LET(_xlpm.Result,INDEX(Input!$D$2:$AC$500,
       MATCH(B109, Input!$J$2:$J$500, 0),
       MATCH("Capacity", Input!$D$1:$AC$1, 0)),IF(_xlpm.Result="","",_xlpm.Result))</f>
        <v>#N/A</v>
      </c>
      <c r="S109" s="42" t="e" cm="1">
        <f t="array" ref="S109">_xlfn.TEXTSPLIT(R109," / ", ,TRUE,0,)</f>
        <v>#N/A</v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:AD109">IFERROR(IF(_xlfn.XLOOKUP(B109,Input!J:J,Input!N:U)=0,"",
          _xlfn.XLOOKUP(B109,Input!J:J,Input!N:U)),"")</f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42" t="str">
        <v/>
      </c>
      <c r="AE109" s="32" t="str">
        <f t="shared" si="3"/>
        <v/>
      </c>
      <c r="AF109" s="32" t="str">
        <f>_xlfn.XLOOKUP(B:B,Disk_Pivot!G:G,Disk_Pivot!I:I)</f>
        <v>Yes x2</v>
      </c>
      <c r="AG109" s="32" t="str">
        <f>_xlfn.XLOOKUP(B109,Disk_Pivot!G:G,Disk_Pivot!N:N)</f>
        <v>Pass, Fail</v>
      </c>
      <c r="AH109" s="32"/>
      <c r="AI109" s="32"/>
      <c r="AJ109" s="32"/>
      <c r="AK109" s="32"/>
      <c r="AL109" s="32"/>
      <c r="AM109" s="32"/>
    </row>
    <row r="110" spans="1:39">
      <c r="A110" s="32" t="str">
        <f>_xlfn.XLOOKUP(B110,Input!J:J,Input!G:G)&amp;""</f>
        <v/>
      </c>
      <c r="B110" s="32"/>
      <c r="C110" s="32" t="str">
        <f>_xlfn.XLOOKUP(B110,Input!J:J,Input!H:H)&amp;""</f>
        <v/>
      </c>
      <c r="D110" s="42">
        <f>_xlfn.XLOOKUP(B110,Input!J:J,Input!F:F)</f>
        <v>0</v>
      </c>
      <c r="E110" s="32">
        <f>_xlfn.XLOOKUP(D110,Models!H:H,Models!G:G,D110)</f>
        <v>0</v>
      </c>
      <c r="F110" s="32">
        <f>_xlfn.XLOOKUP(B110,Input!J:J,Input!E:E)</f>
        <v>0</v>
      </c>
      <c r="G110" s="32">
        <f>IF(F110="LENOVO",_xlfn.XLOOKUP(B110,Input!J:J,Input!K:K),_xlfn.XLOOKUP(B110,Input!J:J,Input!L:L))</f>
        <v>0</v>
      </c>
      <c r="H110" s="32"/>
      <c r="I110" s="32"/>
      <c r="J110" s="32">
        <f>_xlfn.XLOOKUP(B110,CPU_Formula!A:A,CPU_Formula!I:I)</f>
        <v>0</v>
      </c>
      <c r="K110" s="42" t="e">
        <f>INDEX(Input!$D$2:$AC$500,
       MATCH(B110, Input!$J$2:$J$500, 0),
       MATCH("Total Memory", Input!$D$1:$AC$1, 0))</f>
        <v>#N/A</v>
      </c>
      <c r="L110" s="42" t="e">
        <f>INDEX(Input!$D$2:$AC$500,
       MATCH(B110, Input!$J$2:$J$500, 0),
       MATCH("Memory Type", Input!$D$1:$AC$1, 0))</f>
        <v>#N/A</v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e">
        <f t="shared" si="5"/>
        <v>#N/A</v>
      </c>
      <c r="O110" s="42" t="e">
        <f>INDEX(Input!$D$2:$AC$500,
       MATCH(B110, Input!$J$2:$J$500, 0),
       MATCH("Disk Interface Type", Input!$D$1:$AC$1, 0))</f>
        <v>#N/A</v>
      </c>
      <c r="P110" s="42" t="str" cm="1">
        <f t="array" ref="P110">IFERROR(_xlfn.TEXTJOIN(", ", TRUE, _xlfn._xlws.FILTER(
    INDEX(Input!$D$2:$AC$500,,MATCH("Disk Capacity",Input!$D$1:$AC$1,0)),
    Input!$J$2:$J$500=B110
)), "")</f>
        <v/>
      </c>
      <c r="Q110" s="32" t="e">
        <f t="shared" si="4"/>
        <v>#N/A</v>
      </c>
      <c r="R110" s="42" t="e">
        <f>_xlfn.LET(_xlpm.Result,INDEX(Input!$D$2:$AC$500,
       MATCH(B110, Input!$J$2:$J$500, 0),
       MATCH("Capacity", Input!$D$1:$AC$1, 0)),IF(_xlpm.Result="","",_xlpm.Result))</f>
        <v>#N/A</v>
      </c>
      <c r="S110" s="42" t="e" cm="1">
        <f t="array" ref="S110">_xlfn.TEXTSPLIT(R110," / ", ,TRUE,0,)</f>
        <v>#N/A</v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:AD110">IFERROR(IF(_xlfn.XLOOKUP(B110,Input!J:J,Input!N:U)=0,"",
          _xlfn.XLOOKUP(B110,Input!J:J,Input!N:U)),"")</f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42" t="str">
        <v/>
      </c>
      <c r="AE110" s="32" t="str">
        <f t="shared" si="3"/>
        <v/>
      </c>
      <c r="AF110" s="32" t="str">
        <f>_xlfn.XLOOKUP(B:B,Disk_Pivot!G:G,Disk_Pivot!I:I)</f>
        <v>Yes x2</v>
      </c>
      <c r="AG110" s="32" t="str">
        <f>_xlfn.XLOOKUP(B110,Disk_Pivot!G:G,Disk_Pivot!N:N)</f>
        <v>Pass, Fail</v>
      </c>
      <c r="AH110" s="32"/>
      <c r="AI110" s="32"/>
      <c r="AJ110" s="32"/>
      <c r="AK110" s="32"/>
      <c r="AL110" s="32"/>
      <c r="AM110" s="32"/>
    </row>
    <row r="111" spans="1:39">
      <c r="A111" s="32" t="str">
        <f>_xlfn.XLOOKUP(B111,Input!J:J,Input!G:G)&amp;""</f>
        <v/>
      </c>
      <c r="B111" s="32"/>
      <c r="C111" s="32" t="str">
        <f>_xlfn.XLOOKUP(B111,Input!J:J,Input!H:H)&amp;""</f>
        <v/>
      </c>
      <c r="D111" s="42">
        <f>_xlfn.XLOOKUP(B111,Input!J:J,Input!F:F)</f>
        <v>0</v>
      </c>
      <c r="E111" s="32">
        <f>_xlfn.XLOOKUP(D111,Models!H:H,Models!G:G,D111)</f>
        <v>0</v>
      </c>
      <c r="F111" s="32">
        <f>_xlfn.XLOOKUP(B111,Input!J:J,Input!E:E)</f>
        <v>0</v>
      </c>
      <c r="G111" s="32">
        <f>IF(F111="LENOVO",_xlfn.XLOOKUP(B111,Input!J:J,Input!K:K),_xlfn.XLOOKUP(B111,Input!J:J,Input!L:L))</f>
        <v>0</v>
      </c>
      <c r="H111" s="32"/>
      <c r="I111" s="32"/>
      <c r="J111" s="32">
        <f>_xlfn.XLOOKUP(B111,CPU_Formula!A:A,CPU_Formula!I:I)</f>
        <v>0</v>
      </c>
      <c r="K111" s="42" t="e">
        <f>INDEX(Input!$D$2:$AC$500,
       MATCH(B111, Input!$J$2:$J$500, 0),
       MATCH("Total Memory", Input!$D$1:$AC$1, 0))</f>
        <v>#N/A</v>
      </c>
      <c r="L111" s="42" t="e">
        <f>INDEX(Input!$D$2:$AC$500,
       MATCH(B111, Input!$J$2:$J$500, 0),
       MATCH("Memory Type", Input!$D$1:$AC$1, 0))</f>
        <v>#N/A</v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e">
        <f t="shared" si="5"/>
        <v>#N/A</v>
      </c>
      <c r="O111" s="42" t="e">
        <f>INDEX(Input!$D$2:$AC$500,
       MATCH(B111, Input!$J$2:$J$500, 0),
       MATCH("Disk Interface Type", Input!$D$1:$AC$1, 0))</f>
        <v>#N/A</v>
      </c>
      <c r="P111" s="42" t="str" cm="1">
        <f t="array" ref="P111">IFERROR(_xlfn.TEXTJOIN(", ", TRUE, _xlfn._xlws.FILTER(
    INDEX(Input!$D$2:$AC$500,,MATCH("Disk Capacity",Input!$D$1:$AC$1,0)),
    Input!$J$2:$J$500=B111
)), "")</f>
        <v/>
      </c>
      <c r="Q111" s="32" t="e">
        <f t="shared" si="4"/>
        <v>#N/A</v>
      </c>
      <c r="R111" s="42" t="e">
        <f>_xlfn.LET(_xlpm.Result,INDEX(Input!$D$2:$AC$500,
       MATCH(B111, Input!$J$2:$J$500, 0),
       MATCH("Capacity", Input!$D$1:$AC$1, 0)),IF(_xlpm.Result="","",_xlpm.Result))</f>
        <v>#N/A</v>
      </c>
      <c r="S111" s="42" t="e" cm="1">
        <f t="array" ref="S111">_xlfn.TEXTSPLIT(R111," / ", ,TRUE,0,)</f>
        <v>#N/A</v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:AD111">IFERROR(IF(_xlfn.XLOOKUP(B111,Input!J:J,Input!N:U)=0,"",
          _xlfn.XLOOKUP(B111,Input!J:J,Input!N:U)),"")</f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42" t="str">
        <v/>
      </c>
      <c r="AE111" s="32" t="str">
        <f t="shared" si="3"/>
        <v/>
      </c>
      <c r="AF111" s="32" t="str">
        <f>_xlfn.XLOOKUP(B:B,Disk_Pivot!G:G,Disk_Pivot!I:I)</f>
        <v>Yes x2</v>
      </c>
      <c r="AG111" s="32" t="str">
        <f>_xlfn.XLOOKUP(B111,Disk_Pivot!G:G,Disk_Pivot!N:N)</f>
        <v>Pass, Fail</v>
      </c>
      <c r="AH111" s="32"/>
      <c r="AI111" s="32"/>
      <c r="AJ111" s="32"/>
      <c r="AK111" s="32"/>
      <c r="AL111" s="32"/>
      <c r="AM111" s="32"/>
    </row>
    <row r="112" spans="1:39">
      <c r="A112" s="32" t="str">
        <f>_xlfn.XLOOKUP(B112,Input!J:J,Input!G:G)&amp;""</f>
        <v/>
      </c>
      <c r="B112" s="32"/>
      <c r="C112" s="32" t="str">
        <f>_xlfn.XLOOKUP(B112,Input!J:J,Input!H:H)&amp;""</f>
        <v/>
      </c>
      <c r="D112" s="42">
        <f>_xlfn.XLOOKUP(B112,Input!J:J,Input!F:F)</f>
        <v>0</v>
      </c>
      <c r="E112" s="32">
        <f>_xlfn.XLOOKUP(D112,Models!H:H,Models!G:G,D112)</f>
        <v>0</v>
      </c>
      <c r="F112" s="32">
        <f>_xlfn.XLOOKUP(B112,Input!J:J,Input!E:E)</f>
        <v>0</v>
      </c>
      <c r="G112" s="32">
        <f>IF(F112="LENOVO",_xlfn.XLOOKUP(B112,Input!J:J,Input!K:K),_xlfn.XLOOKUP(B112,Input!J:J,Input!L:L))</f>
        <v>0</v>
      </c>
      <c r="H112" s="32"/>
      <c r="I112" s="32"/>
      <c r="J112" s="32">
        <f>_xlfn.XLOOKUP(B112,CPU_Formula!A:A,CPU_Formula!I:I)</f>
        <v>0</v>
      </c>
      <c r="K112" s="42" t="e">
        <f>INDEX(Input!$D$2:$AC$500,
       MATCH(B112, Input!$J$2:$J$500, 0),
       MATCH("Total Memory", Input!$D$1:$AC$1, 0))</f>
        <v>#N/A</v>
      </c>
      <c r="L112" s="42" t="e">
        <f>INDEX(Input!$D$2:$AC$500,
       MATCH(B112, Input!$J$2:$J$500, 0),
       MATCH("Memory Type", Input!$D$1:$AC$1, 0))</f>
        <v>#N/A</v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e">
        <f t="shared" si="5"/>
        <v>#N/A</v>
      </c>
      <c r="O112" s="42" t="e">
        <f>INDEX(Input!$D$2:$AC$500,
       MATCH(B112, Input!$J$2:$J$500, 0),
       MATCH("Disk Interface Type", Input!$D$1:$AC$1, 0))</f>
        <v>#N/A</v>
      </c>
      <c r="P112" s="42" t="str" cm="1">
        <f t="array" ref="P112">IFERROR(_xlfn.TEXTJOIN(", ", TRUE, _xlfn._xlws.FILTER(
    INDEX(Input!$D$2:$AC$500,,MATCH("Disk Capacity",Input!$D$1:$AC$1,0)),
    Input!$J$2:$J$500=B112
)), "")</f>
        <v/>
      </c>
      <c r="Q112" s="32" t="e">
        <f t="shared" si="4"/>
        <v>#N/A</v>
      </c>
      <c r="R112" s="42" t="e">
        <f>_xlfn.LET(_xlpm.Result,INDEX(Input!$D$2:$AC$500,
       MATCH(B112, Input!$J$2:$J$500, 0),
       MATCH("Capacity", Input!$D$1:$AC$1, 0)),IF(_xlpm.Result="","",_xlpm.Result))</f>
        <v>#N/A</v>
      </c>
      <c r="S112" s="42" t="e" cm="1">
        <f t="array" ref="S112">_xlfn.TEXTSPLIT(R112," / ", ,TRUE,0,)</f>
        <v>#N/A</v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:AD112">IFERROR(IF(_xlfn.XLOOKUP(B112,Input!J:J,Input!N:U)=0,"",
          _xlfn.XLOOKUP(B112,Input!J:J,Input!N:U)),"")</f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42" t="str">
        <v/>
      </c>
      <c r="AE112" s="32" t="str">
        <f t="shared" si="3"/>
        <v/>
      </c>
      <c r="AF112" s="32" t="str">
        <f>_xlfn.XLOOKUP(B:B,Disk_Pivot!G:G,Disk_Pivot!I:I)</f>
        <v>Yes x2</v>
      </c>
      <c r="AG112" s="32" t="str">
        <f>_xlfn.XLOOKUP(B112,Disk_Pivot!G:G,Disk_Pivot!N:N)</f>
        <v>Pass, Fail</v>
      </c>
      <c r="AH112" s="32"/>
      <c r="AI112" s="32"/>
      <c r="AJ112" s="32"/>
      <c r="AK112" s="32"/>
      <c r="AL112" s="32"/>
      <c r="AM112" s="32"/>
    </row>
    <row r="113" spans="1:39">
      <c r="A113" s="32" t="str">
        <f>_xlfn.XLOOKUP(B113,Input!J:J,Input!G:G)&amp;""</f>
        <v/>
      </c>
      <c r="B113" s="32"/>
      <c r="C113" s="32" t="str">
        <f>_xlfn.XLOOKUP(B113,Input!J:J,Input!H:H)&amp;""</f>
        <v/>
      </c>
      <c r="D113" s="42">
        <f>_xlfn.XLOOKUP(B113,Input!J:J,Input!F:F)</f>
        <v>0</v>
      </c>
      <c r="E113" s="32">
        <f>_xlfn.XLOOKUP(D113,Models!H:H,Models!G:G,D113)</f>
        <v>0</v>
      </c>
      <c r="F113" s="32">
        <f>_xlfn.XLOOKUP(B113,Input!J:J,Input!E:E)</f>
        <v>0</v>
      </c>
      <c r="G113" s="32">
        <f>IF(F113="LENOVO",_xlfn.XLOOKUP(B113,Input!J:J,Input!K:K),_xlfn.XLOOKUP(B113,Input!J:J,Input!L:L))</f>
        <v>0</v>
      </c>
      <c r="H113" s="32"/>
      <c r="I113" s="32"/>
      <c r="J113" s="32">
        <f>_xlfn.XLOOKUP(B113,CPU_Formula!A:A,CPU_Formula!I:I)</f>
        <v>0</v>
      </c>
      <c r="K113" s="42" t="e">
        <f>INDEX(Input!$D$2:$AC$500,
       MATCH(B113, Input!$J$2:$J$500, 0),
       MATCH("Total Memory", Input!$D$1:$AC$1, 0))</f>
        <v>#N/A</v>
      </c>
      <c r="L113" s="42" t="e">
        <f>INDEX(Input!$D$2:$AC$500,
       MATCH(B113, Input!$J$2:$J$500, 0),
       MATCH("Memory Type", Input!$D$1:$AC$1, 0))</f>
        <v>#N/A</v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e">
        <f t="shared" si="5"/>
        <v>#N/A</v>
      </c>
      <c r="O113" s="42" t="e">
        <f>INDEX(Input!$D$2:$AC$500,
       MATCH(B113, Input!$J$2:$J$500, 0),
       MATCH("Disk Interface Type", Input!$D$1:$AC$1, 0))</f>
        <v>#N/A</v>
      </c>
      <c r="P113" s="42" t="str" cm="1">
        <f t="array" ref="P113">IFERROR(_xlfn.TEXTJOIN(", ", TRUE, _xlfn._xlws.FILTER(
    INDEX(Input!$D$2:$AC$500,,MATCH("Disk Capacity",Input!$D$1:$AC$1,0)),
    Input!$J$2:$J$500=B113
)), "")</f>
        <v/>
      </c>
      <c r="Q113" s="32" t="e">
        <f t="shared" si="4"/>
        <v>#N/A</v>
      </c>
      <c r="R113" s="42" t="e">
        <f>_xlfn.LET(_xlpm.Result,INDEX(Input!$D$2:$AC$500,
       MATCH(B113, Input!$J$2:$J$500, 0),
       MATCH("Capacity", Input!$D$1:$AC$1, 0)),IF(_xlpm.Result="","",_xlpm.Result))</f>
        <v>#N/A</v>
      </c>
      <c r="S113" s="42" t="e" cm="1">
        <f t="array" ref="S113">_xlfn.TEXTSPLIT(R113," / ", ,TRUE,0,)</f>
        <v>#N/A</v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:AD113">IFERROR(IF(_xlfn.XLOOKUP(B113,Input!J:J,Input!N:U)=0,"",
          _xlfn.XLOOKUP(B113,Input!J:J,Input!N:U)),"")</f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42" t="str">
        <v/>
      </c>
      <c r="AE113" s="32" t="str">
        <f t="shared" si="3"/>
        <v/>
      </c>
      <c r="AF113" s="32" t="str">
        <f>_xlfn.XLOOKUP(B:B,Disk_Pivot!G:G,Disk_Pivot!I:I)</f>
        <v>Yes x2</v>
      </c>
      <c r="AG113" s="32" t="str">
        <f>_xlfn.XLOOKUP(B113,Disk_Pivot!G:G,Disk_Pivot!N:N)</f>
        <v>Pass, Fail</v>
      </c>
      <c r="AH113" s="32"/>
      <c r="AI113" s="32"/>
      <c r="AJ113" s="32"/>
      <c r="AK113" s="32"/>
      <c r="AL113" s="32"/>
      <c r="AM113" s="32"/>
    </row>
    <row r="114" spans="1:39">
      <c r="A114" s="32" t="str">
        <f>_xlfn.XLOOKUP(B114,Input!J:J,Input!G:G)&amp;""</f>
        <v/>
      </c>
      <c r="B114" s="32"/>
      <c r="C114" s="32" t="str">
        <f>_xlfn.XLOOKUP(B114,Input!J:J,Input!H:H)&amp;""</f>
        <v/>
      </c>
      <c r="D114" s="42">
        <f>_xlfn.XLOOKUP(B114,Input!J:J,Input!F:F)</f>
        <v>0</v>
      </c>
      <c r="E114" s="32">
        <f>_xlfn.XLOOKUP(D114,Models!H:H,Models!G:G,D114)</f>
        <v>0</v>
      </c>
      <c r="F114" s="32">
        <f>_xlfn.XLOOKUP(B114,Input!J:J,Input!E:E)</f>
        <v>0</v>
      </c>
      <c r="G114" s="32">
        <f>IF(F114="LENOVO",_xlfn.XLOOKUP(B114,Input!J:J,Input!K:K),_xlfn.XLOOKUP(B114,Input!J:J,Input!L:L))</f>
        <v>0</v>
      </c>
      <c r="H114" s="32"/>
      <c r="I114" s="32"/>
      <c r="J114" s="32">
        <f>_xlfn.XLOOKUP(B114,CPU_Formula!A:A,CPU_Formula!I:I)</f>
        <v>0</v>
      </c>
      <c r="K114" s="42" t="e">
        <f>INDEX(Input!$D$2:$AC$500,
       MATCH(B114, Input!$J$2:$J$500, 0),
       MATCH("Total Memory", Input!$D$1:$AC$1, 0))</f>
        <v>#N/A</v>
      </c>
      <c r="L114" s="42" t="e">
        <f>INDEX(Input!$D$2:$AC$500,
       MATCH(B114, Input!$J$2:$J$500, 0),
       MATCH("Memory Type", Input!$D$1:$AC$1, 0))</f>
        <v>#N/A</v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e">
        <f t="shared" si="5"/>
        <v>#N/A</v>
      </c>
      <c r="O114" s="42" t="e">
        <f>INDEX(Input!$D$2:$AC$500,
       MATCH(B114, Input!$J$2:$J$500, 0),
       MATCH("Disk Interface Type", Input!$D$1:$AC$1, 0))</f>
        <v>#N/A</v>
      </c>
      <c r="P114" s="42" t="str" cm="1">
        <f t="array" ref="P114">IFERROR(_xlfn.TEXTJOIN(", ", TRUE, _xlfn._xlws.FILTER(
    INDEX(Input!$D$2:$AC$500,,MATCH("Disk Capacity",Input!$D$1:$AC$1,0)),
    Input!$J$2:$J$500=B114
)), "")</f>
        <v/>
      </c>
      <c r="Q114" s="32" t="e">
        <f t="shared" si="4"/>
        <v>#N/A</v>
      </c>
      <c r="R114" s="42" t="e">
        <f>_xlfn.LET(_xlpm.Result,INDEX(Input!$D$2:$AC$500,
       MATCH(B114, Input!$J$2:$J$500, 0),
       MATCH("Capacity", Input!$D$1:$AC$1, 0)),IF(_xlpm.Result="","",_xlpm.Result))</f>
        <v>#N/A</v>
      </c>
      <c r="S114" s="42" t="e" cm="1">
        <f t="array" ref="S114">_xlfn.TEXTSPLIT(R114," / ", ,TRUE,0,)</f>
        <v>#N/A</v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:AD114">IFERROR(IF(_xlfn.XLOOKUP(B114,Input!J:J,Input!N:U)=0,"",
          _xlfn.XLOOKUP(B114,Input!J:J,Input!N:U)),"")</f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42" t="str">
        <v/>
      </c>
      <c r="AE114" s="32" t="str">
        <f t="shared" si="3"/>
        <v/>
      </c>
      <c r="AF114" s="32" t="str">
        <f>_xlfn.XLOOKUP(B:B,Disk_Pivot!G:G,Disk_Pivot!I:I)</f>
        <v>Yes x2</v>
      </c>
      <c r="AG114" s="32" t="str">
        <f>_xlfn.XLOOKUP(B114,Disk_Pivot!G:G,Disk_Pivot!N:N)</f>
        <v>Pass, Fail</v>
      </c>
      <c r="AH114" s="32"/>
      <c r="AI114" s="32"/>
      <c r="AJ114" s="32"/>
      <c r="AK114" s="32"/>
      <c r="AL114" s="32"/>
      <c r="AM114" s="32"/>
    </row>
    <row r="115" spans="1:39">
      <c r="A115" s="32" t="str">
        <f>_xlfn.XLOOKUP(B115,Input!J:J,Input!G:G)&amp;""</f>
        <v/>
      </c>
      <c r="B115" s="32"/>
      <c r="C115" s="32" t="str">
        <f>_xlfn.XLOOKUP(B115,Input!J:J,Input!H:H)&amp;""</f>
        <v/>
      </c>
      <c r="D115" s="42">
        <f>_xlfn.XLOOKUP(B115,Input!J:J,Input!F:F)</f>
        <v>0</v>
      </c>
      <c r="E115" s="32">
        <f>_xlfn.XLOOKUP(D115,Models!H:H,Models!G:G,D115)</f>
        <v>0</v>
      </c>
      <c r="F115" s="32">
        <f>_xlfn.XLOOKUP(B115,Input!J:J,Input!E:E)</f>
        <v>0</v>
      </c>
      <c r="G115" s="32">
        <f>IF(F115="LENOVO",_xlfn.XLOOKUP(B115,Input!J:J,Input!K:K),_xlfn.XLOOKUP(B115,Input!J:J,Input!L:L))</f>
        <v>0</v>
      </c>
      <c r="H115" s="32"/>
      <c r="I115" s="32"/>
      <c r="J115" s="32">
        <f>_xlfn.XLOOKUP(B115,CPU_Formula!A:A,CPU_Formula!I:I)</f>
        <v>0</v>
      </c>
      <c r="K115" s="42" t="e">
        <f>INDEX(Input!$D$2:$AC$500,
       MATCH(B115, Input!$J$2:$J$500, 0),
       MATCH("Total Memory", Input!$D$1:$AC$1, 0))</f>
        <v>#N/A</v>
      </c>
      <c r="L115" s="42" t="e">
        <f>INDEX(Input!$D$2:$AC$500,
       MATCH(B115, Input!$J$2:$J$500, 0),
       MATCH("Memory Type", Input!$D$1:$AC$1, 0))</f>
        <v>#N/A</v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e">
        <f t="shared" si="5"/>
        <v>#N/A</v>
      </c>
      <c r="O115" s="42" t="e">
        <f>INDEX(Input!$D$2:$AC$500,
       MATCH(B115, Input!$J$2:$J$500, 0),
       MATCH("Disk Interface Type", Input!$D$1:$AC$1, 0))</f>
        <v>#N/A</v>
      </c>
      <c r="P115" s="42" t="str" cm="1">
        <f t="array" ref="P115">IFERROR(_xlfn.TEXTJOIN(", ", TRUE, _xlfn._xlws.FILTER(
    INDEX(Input!$D$2:$AC$500,,MATCH("Disk Capacity",Input!$D$1:$AC$1,0)),
    Input!$J$2:$J$500=B115
)), "")</f>
        <v/>
      </c>
      <c r="Q115" s="32" t="e">
        <f t="shared" si="4"/>
        <v>#N/A</v>
      </c>
      <c r="R115" s="42" t="e">
        <f>_xlfn.LET(_xlpm.Result,INDEX(Input!$D$2:$AC$500,
       MATCH(B115, Input!$J$2:$J$500, 0),
       MATCH("Capacity", Input!$D$1:$AC$1, 0)),IF(_xlpm.Result="","",_xlpm.Result))</f>
        <v>#N/A</v>
      </c>
      <c r="S115" s="42" t="e" cm="1">
        <f t="array" ref="S115">_xlfn.TEXTSPLIT(R115," / ", ,TRUE,0,)</f>
        <v>#N/A</v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:AD115">IFERROR(IF(_xlfn.XLOOKUP(B115,Input!J:J,Input!N:U)=0,"",
          _xlfn.XLOOKUP(B115,Input!J:J,Input!N:U)),"")</f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42" t="str">
        <v/>
      </c>
      <c r="AE115" s="32" t="str">
        <f t="shared" si="3"/>
        <v/>
      </c>
      <c r="AF115" s="32" t="str">
        <f>_xlfn.XLOOKUP(B:B,Disk_Pivot!G:G,Disk_Pivot!I:I)</f>
        <v>Yes x2</v>
      </c>
      <c r="AG115" s="32" t="str">
        <f>_xlfn.XLOOKUP(B115,Disk_Pivot!G:G,Disk_Pivot!N:N)</f>
        <v>Pass, Fail</v>
      </c>
      <c r="AH115" s="32"/>
      <c r="AI115" s="32"/>
      <c r="AJ115" s="32"/>
      <c r="AK115" s="32"/>
      <c r="AL115" s="32"/>
      <c r="AM115" s="32"/>
    </row>
    <row r="116" spans="1:39">
      <c r="A116" s="32" t="str">
        <f>_xlfn.XLOOKUP(B116,Input!J:J,Input!G:G)&amp;""</f>
        <v/>
      </c>
      <c r="B116" s="32"/>
      <c r="C116" s="32" t="str">
        <f>_xlfn.XLOOKUP(B116,Input!J:J,Input!H:H)&amp;""</f>
        <v/>
      </c>
      <c r="D116" s="42">
        <f>_xlfn.XLOOKUP(B116,Input!J:J,Input!F:F)</f>
        <v>0</v>
      </c>
      <c r="E116" s="32">
        <f>_xlfn.XLOOKUP(D116,Models!H:H,Models!G:G,D116)</f>
        <v>0</v>
      </c>
      <c r="F116" s="32">
        <f>_xlfn.XLOOKUP(B116,Input!J:J,Input!E:E)</f>
        <v>0</v>
      </c>
      <c r="G116" s="32">
        <f>IF(F116="LENOVO",_xlfn.XLOOKUP(B116,Input!J:J,Input!K:K),_xlfn.XLOOKUP(B116,Input!J:J,Input!L:L))</f>
        <v>0</v>
      </c>
      <c r="H116" s="32"/>
      <c r="I116" s="32"/>
      <c r="J116" s="32">
        <f>_xlfn.XLOOKUP(B116,CPU_Formula!A:A,CPU_Formula!I:I)</f>
        <v>0</v>
      </c>
      <c r="K116" s="42" t="e">
        <f>INDEX(Input!$D$2:$AC$500,
       MATCH(B116, Input!$J$2:$J$500, 0),
       MATCH("Total Memory", Input!$D$1:$AC$1, 0))</f>
        <v>#N/A</v>
      </c>
      <c r="L116" s="42" t="e">
        <f>INDEX(Input!$D$2:$AC$500,
       MATCH(B116, Input!$J$2:$J$500, 0),
       MATCH("Memory Type", Input!$D$1:$AC$1, 0))</f>
        <v>#N/A</v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e">
        <f t="shared" si="5"/>
        <v>#N/A</v>
      </c>
      <c r="O116" s="42" t="e">
        <f>INDEX(Input!$D$2:$AC$500,
       MATCH(B116, Input!$J$2:$J$500, 0),
       MATCH("Disk Interface Type", Input!$D$1:$AC$1, 0))</f>
        <v>#N/A</v>
      </c>
      <c r="P116" s="42" t="str" cm="1">
        <f t="array" ref="P116">IFERROR(_xlfn.TEXTJOIN(", ", TRUE, _xlfn._xlws.FILTER(
    INDEX(Input!$D$2:$AC$500,,MATCH("Disk Capacity",Input!$D$1:$AC$1,0)),
    Input!$J$2:$J$500=B116
)), "")</f>
        <v/>
      </c>
      <c r="Q116" s="32" t="e">
        <f t="shared" si="4"/>
        <v>#N/A</v>
      </c>
      <c r="R116" s="42" t="e">
        <f>_xlfn.LET(_xlpm.Result,INDEX(Input!$D$2:$AC$500,
       MATCH(B116, Input!$J$2:$J$500, 0),
       MATCH("Capacity", Input!$D$1:$AC$1, 0)),IF(_xlpm.Result="","",_xlpm.Result))</f>
        <v>#N/A</v>
      </c>
      <c r="S116" s="42" t="e" cm="1">
        <f t="array" ref="S116">_xlfn.TEXTSPLIT(R116," / ", ,TRUE,0,)</f>
        <v>#N/A</v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:AD116">IFERROR(IF(_xlfn.XLOOKUP(B116,Input!J:J,Input!N:U)=0,"",
          _xlfn.XLOOKUP(B116,Input!J:J,Input!N:U)),"")</f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42" t="str">
        <v/>
      </c>
      <c r="AE116" s="32" t="str">
        <f t="shared" si="3"/>
        <v/>
      </c>
      <c r="AF116" s="32" t="str">
        <f>_xlfn.XLOOKUP(B:B,Disk_Pivot!G:G,Disk_Pivot!I:I)</f>
        <v>Yes x2</v>
      </c>
      <c r="AG116" s="32" t="str">
        <f>_xlfn.XLOOKUP(B116,Disk_Pivot!G:G,Disk_Pivot!N:N)</f>
        <v>Pass, Fail</v>
      </c>
      <c r="AH116" s="32"/>
      <c r="AI116" s="32"/>
      <c r="AJ116" s="32"/>
      <c r="AK116" s="32"/>
      <c r="AL116" s="32"/>
      <c r="AM116" s="32"/>
    </row>
    <row r="117" spans="1:39">
      <c r="A117" s="32" t="str">
        <f>_xlfn.XLOOKUP(B117,Input!J:J,Input!G:G)&amp;""</f>
        <v/>
      </c>
      <c r="B117" s="32"/>
      <c r="C117" s="32" t="str">
        <f>_xlfn.XLOOKUP(B117,Input!J:J,Input!H:H)&amp;""</f>
        <v/>
      </c>
      <c r="D117" s="42">
        <f>_xlfn.XLOOKUP(B117,Input!J:J,Input!F:F)</f>
        <v>0</v>
      </c>
      <c r="E117" s="32">
        <f>_xlfn.XLOOKUP(D117,Models!H:H,Models!G:G,D117)</f>
        <v>0</v>
      </c>
      <c r="F117" s="32">
        <f>_xlfn.XLOOKUP(B117,Input!J:J,Input!E:E)</f>
        <v>0</v>
      </c>
      <c r="G117" s="32">
        <f>IF(F117="LENOVO",_xlfn.XLOOKUP(B117,Input!J:J,Input!K:K),_xlfn.XLOOKUP(B117,Input!J:J,Input!L:L))</f>
        <v>0</v>
      </c>
      <c r="H117" s="32"/>
      <c r="I117" s="32"/>
      <c r="J117" s="32">
        <f>_xlfn.XLOOKUP(B117,CPU_Formula!A:A,CPU_Formula!I:I)</f>
        <v>0</v>
      </c>
      <c r="K117" s="42" t="e">
        <f>INDEX(Input!$D$2:$AC$500,
       MATCH(B117, Input!$J$2:$J$500, 0),
       MATCH("Total Memory", Input!$D$1:$AC$1, 0))</f>
        <v>#N/A</v>
      </c>
      <c r="L117" s="42" t="e">
        <f>INDEX(Input!$D$2:$AC$500,
       MATCH(B117, Input!$J$2:$J$500, 0),
       MATCH("Memory Type", Input!$D$1:$AC$1, 0))</f>
        <v>#N/A</v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e">
        <f t="shared" si="5"/>
        <v>#N/A</v>
      </c>
      <c r="O117" s="42" t="e">
        <f>INDEX(Input!$D$2:$AC$500,
       MATCH(B117, Input!$J$2:$J$500, 0),
       MATCH("Disk Interface Type", Input!$D$1:$AC$1, 0))</f>
        <v>#N/A</v>
      </c>
      <c r="P117" s="42" t="str" cm="1">
        <f t="array" ref="P117">IFERROR(_xlfn.TEXTJOIN(", ", TRUE, _xlfn._xlws.FILTER(
    INDEX(Input!$D$2:$AC$500,,MATCH("Disk Capacity",Input!$D$1:$AC$1,0)),
    Input!$J$2:$J$500=B117
)), "")</f>
        <v/>
      </c>
      <c r="Q117" s="32" t="e">
        <f t="shared" si="4"/>
        <v>#N/A</v>
      </c>
      <c r="R117" s="42" t="e">
        <f>_xlfn.LET(_xlpm.Result,INDEX(Input!$D$2:$AC$500,
       MATCH(B117, Input!$J$2:$J$500, 0),
       MATCH("Capacity", Input!$D$1:$AC$1, 0)),IF(_xlpm.Result="","",_xlpm.Result))</f>
        <v>#N/A</v>
      </c>
      <c r="S117" s="42" t="e" cm="1">
        <f t="array" ref="S117">_xlfn.TEXTSPLIT(R117," / ", ,TRUE,0,)</f>
        <v>#N/A</v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:AD117">IFERROR(IF(_xlfn.XLOOKUP(B117,Input!J:J,Input!N:U)=0,"",
          _xlfn.XLOOKUP(B117,Input!J:J,Input!N:U)),"")</f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42" t="str">
        <v/>
      </c>
      <c r="AE117" s="32" t="str">
        <f t="shared" si="3"/>
        <v/>
      </c>
      <c r="AF117" s="32" t="str">
        <f>_xlfn.XLOOKUP(B:B,Disk_Pivot!G:G,Disk_Pivot!I:I)</f>
        <v>Yes x2</v>
      </c>
      <c r="AG117" s="32" t="str">
        <f>_xlfn.XLOOKUP(B117,Disk_Pivot!G:G,Disk_Pivot!N:N)</f>
        <v>Pass, Fail</v>
      </c>
      <c r="AH117" s="32"/>
      <c r="AI117" s="32"/>
      <c r="AJ117" s="32"/>
      <c r="AK117" s="32"/>
      <c r="AL117" s="32"/>
      <c r="AM117" s="32"/>
    </row>
    <row r="118" spans="1:39">
      <c r="A118" s="32" t="str">
        <f>_xlfn.XLOOKUP(B118,Input!J:J,Input!G:G)&amp;""</f>
        <v/>
      </c>
      <c r="B118" s="32"/>
      <c r="C118" s="32" t="str">
        <f>_xlfn.XLOOKUP(B118,Input!J:J,Input!H:H)&amp;""</f>
        <v/>
      </c>
      <c r="D118" s="42">
        <f>_xlfn.XLOOKUP(B118,Input!J:J,Input!F:F)</f>
        <v>0</v>
      </c>
      <c r="E118" s="32">
        <f>_xlfn.XLOOKUP(D118,Models!H:H,Models!G:G,D118)</f>
        <v>0</v>
      </c>
      <c r="F118" s="32">
        <f>_xlfn.XLOOKUP(B118,Input!J:J,Input!E:E)</f>
        <v>0</v>
      </c>
      <c r="G118" s="32">
        <f>IF(F118="LENOVO",_xlfn.XLOOKUP(B118,Input!J:J,Input!K:K),_xlfn.XLOOKUP(B118,Input!J:J,Input!L:L))</f>
        <v>0</v>
      </c>
      <c r="H118" s="32"/>
      <c r="I118" s="32"/>
      <c r="J118" s="32">
        <f>_xlfn.XLOOKUP(B118,CPU_Formula!A:A,CPU_Formula!I:I)</f>
        <v>0</v>
      </c>
      <c r="K118" s="42" t="e">
        <f>INDEX(Input!$D$2:$AC$500,
       MATCH(B118, Input!$J$2:$J$500, 0),
       MATCH("Total Memory", Input!$D$1:$AC$1, 0))</f>
        <v>#N/A</v>
      </c>
      <c r="L118" s="42" t="e">
        <f>INDEX(Input!$D$2:$AC$500,
       MATCH(B118, Input!$J$2:$J$500, 0),
       MATCH("Memory Type", Input!$D$1:$AC$1, 0))</f>
        <v>#N/A</v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e">
        <f t="shared" si="5"/>
        <v>#N/A</v>
      </c>
      <c r="O118" s="42" t="e">
        <f>INDEX(Input!$D$2:$AC$500,
       MATCH(B118, Input!$J$2:$J$500, 0),
       MATCH("Disk Interface Type", Input!$D$1:$AC$1, 0))</f>
        <v>#N/A</v>
      </c>
      <c r="P118" s="42" t="str" cm="1">
        <f t="array" ref="P118">IFERROR(_xlfn.TEXTJOIN(", ", TRUE, _xlfn._xlws.FILTER(
    INDEX(Input!$D$2:$AC$500,,MATCH("Disk Capacity",Input!$D$1:$AC$1,0)),
    Input!$J$2:$J$500=B118
)), "")</f>
        <v/>
      </c>
      <c r="Q118" s="32" t="e">
        <f t="shared" si="4"/>
        <v>#N/A</v>
      </c>
      <c r="R118" s="42" t="e">
        <f>_xlfn.LET(_xlpm.Result,INDEX(Input!$D$2:$AC$500,
       MATCH(B118, Input!$J$2:$J$500, 0),
       MATCH("Capacity", Input!$D$1:$AC$1, 0)),IF(_xlpm.Result="","",_xlpm.Result))</f>
        <v>#N/A</v>
      </c>
      <c r="S118" s="42" t="e" cm="1">
        <f t="array" ref="S118">_xlfn.TEXTSPLIT(R118," / ", ,TRUE,0,)</f>
        <v>#N/A</v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:AD118">IFERROR(IF(_xlfn.XLOOKUP(B118,Input!J:J,Input!N:U)=0,"",
          _xlfn.XLOOKUP(B118,Input!J:J,Input!N:U)),"")</f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42" t="str">
        <v/>
      </c>
      <c r="AE118" s="32" t="str">
        <f t="shared" si="3"/>
        <v/>
      </c>
      <c r="AF118" s="32" t="str">
        <f>_xlfn.XLOOKUP(B:B,Disk_Pivot!G:G,Disk_Pivot!I:I)</f>
        <v>Yes x2</v>
      </c>
      <c r="AG118" s="32" t="str">
        <f>_xlfn.XLOOKUP(B118,Disk_Pivot!G:G,Disk_Pivot!N:N)</f>
        <v>Pass, Fail</v>
      </c>
      <c r="AH118" s="32"/>
      <c r="AI118" s="32"/>
      <c r="AJ118" s="32"/>
      <c r="AK118" s="32"/>
      <c r="AL118" s="32"/>
      <c r="AM118" s="32"/>
    </row>
    <row r="119" spans="1:39">
      <c r="A119" s="32" t="str">
        <f>_xlfn.XLOOKUP(B119,Input!J:J,Input!G:G)&amp;""</f>
        <v/>
      </c>
      <c r="B119" s="32"/>
      <c r="C119" s="32" t="str">
        <f>_xlfn.XLOOKUP(B119,Input!J:J,Input!H:H)&amp;""</f>
        <v/>
      </c>
      <c r="D119" s="42">
        <f>_xlfn.XLOOKUP(B119,Input!J:J,Input!F:F)</f>
        <v>0</v>
      </c>
      <c r="E119" s="32">
        <f>_xlfn.XLOOKUP(D119,Models!H:H,Models!G:G,D119)</f>
        <v>0</v>
      </c>
      <c r="F119" s="32">
        <f>_xlfn.XLOOKUP(B119,Input!J:J,Input!E:E)</f>
        <v>0</v>
      </c>
      <c r="G119" s="32">
        <f>IF(F119="LENOVO",_xlfn.XLOOKUP(B119,Input!J:J,Input!K:K),_xlfn.XLOOKUP(B119,Input!J:J,Input!L:L))</f>
        <v>0</v>
      </c>
      <c r="H119" s="32"/>
      <c r="I119" s="32"/>
      <c r="J119" s="32">
        <f>_xlfn.XLOOKUP(B119,CPU_Formula!A:A,CPU_Formula!I:I)</f>
        <v>0</v>
      </c>
      <c r="K119" s="42" t="e">
        <f>INDEX(Input!$D$2:$AC$500,
       MATCH(B119, Input!$J$2:$J$500, 0),
       MATCH("Total Memory", Input!$D$1:$AC$1, 0))</f>
        <v>#N/A</v>
      </c>
      <c r="L119" s="42" t="e">
        <f>INDEX(Input!$D$2:$AC$500,
       MATCH(B119, Input!$J$2:$J$500, 0),
       MATCH("Memory Type", Input!$D$1:$AC$1, 0))</f>
        <v>#N/A</v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e">
        <f t="shared" si="5"/>
        <v>#N/A</v>
      </c>
      <c r="O119" s="42" t="e">
        <f>INDEX(Input!$D$2:$AC$500,
       MATCH(B119, Input!$J$2:$J$500, 0),
       MATCH("Disk Interface Type", Input!$D$1:$AC$1, 0))</f>
        <v>#N/A</v>
      </c>
      <c r="P119" s="42" t="str" cm="1">
        <f t="array" ref="P119">IFERROR(_xlfn.TEXTJOIN(", ", TRUE, _xlfn._xlws.FILTER(
    INDEX(Input!$D$2:$AC$500,,MATCH("Disk Capacity",Input!$D$1:$AC$1,0)),
    Input!$J$2:$J$500=B119
)), "")</f>
        <v/>
      </c>
      <c r="Q119" s="32" t="e">
        <f t="shared" si="4"/>
        <v>#N/A</v>
      </c>
      <c r="R119" s="42" t="e">
        <f>_xlfn.LET(_xlpm.Result,INDEX(Input!$D$2:$AC$500,
       MATCH(B119, Input!$J$2:$J$500, 0),
       MATCH("Capacity", Input!$D$1:$AC$1, 0)),IF(_xlpm.Result="","",_xlpm.Result))</f>
        <v>#N/A</v>
      </c>
      <c r="S119" s="42" t="e" cm="1">
        <f t="array" ref="S119">_xlfn.TEXTSPLIT(R119," / ", ,TRUE,0,)</f>
        <v>#N/A</v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:AD119">IFERROR(IF(_xlfn.XLOOKUP(B119,Input!J:J,Input!N:U)=0,"",
          _xlfn.XLOOKUP(B119,Input!J:J,Input!N:U)),"")</f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42" t="str">
        <v/>
      </c>
      <c r="AE119" s="32" t="str">
        <f t="shared" si="3"/>
        <v/>
      </c>
      <c r="AF119" s="32" t="str">
        <f>_xlfn.XLOOKUP(B:B,Disk_Pivot!G:G,Disk_Pivot!I:I)</f>
        <v>Yes x2</v>
      </c>
      <c r="AG119" s="32" t="str">
        <f>_xlfn.XLOOKUP(B119,Disk_Pivot!G:G,Disk_Pivot!N:N)</f>
        <v>Pass, Fail</v>
      </c>
      <c r="AH119" s="32"/>
      <c r="AI119" s="32"/>
      <c r="AJ119" s="32"/>
      <c r="AK119" s="32"/>
      <c r="AL119" s="32"/>
      <c r="AM119" s="32"/>
    </row>
    <row r="120" spans="1:39">
      <c r="A120" s="32" t="str">
        <f>_xlfn.XLOOKUP(B120,Input!J:J,Input!G:G)&amp;""</f>
        <v/>
      </c>
      <c r="B120" s="32"/>
      <c r="C120" s="32" t="str">
        <f>_xlfn.XLOOKUP(B120,Input!J:J,Input!H:H)&amp;""</f>
        <v/>
      </c>
      <c r="D120" s="42">
        <f>_xlfn.XLOOKUP(B120,Input!J:J,Input!F:F)</f>
        <v>0</v>
      </c>
      <c r="E120" s="32">
        <f>_xlfn.XLOOKUP(D120,Models!H:H,Models!G:G,D120)</f>
        <v>0</v>
      </c>
      <c r="F120" s="32">
        <f>_xlfn.XLOOKUP(B120,Input!J:J,Input!E:E)</f>
        <v>0</v>
      </c>
      <c r="G120" s="32">
        <f>IF(F120="LENOVO",_xlfn.XLOOKUP(B120,Input!J:J,Input!K:K),_xlfn.XLOOKUP(B120,Input!J:J,Input!L:L))</f>
        <v>0</v>
      </c>
      <c r="H120" s="32"/>
      <c r="I120" s="32"/>
      <c r="J120" s="32">
        <f>_xlfn.XLOOKUP(B120,CPU_Formula!A:A,CPU_Formula!I:I)</f>
        <v>0</v>
      </c>
      <c r="K120" s="42" t="e">
        <f>INDEX(Input!$D$2:$AC$500,
       MATCH(B120, Input!$J$2:$J$500, 0),
       MATCH("Total Memory", Input!$D$1:$AC$1, 0))</f>
        <v>#N/A</v>
      </c>
      <c r="L120" s="42" t="e">
        <f>INDEX(Input!$D$2:$AC$500,
       MATCH(B120, Input!$J$2:$J$500, 0),
       MATCH("Memory Type", Input!$D$1:$AC$1, 0))</f>
        <v>#N/A</v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e">
        <f t="shared" si="5"/>
        <v>#N/A</v>
      </c>
      <c r="O120" s="42" t="e">
        <f>INDEX(Input!$D$2:$AC$500,
       MATCH(B120, Input!$J$2:$J$500, 0),
       MATCH("Disk Interface Type", Input!$D$1:$AC$1, 0))</f>
        <v>#N/A</v>
      </c>
      <c r="P120" s="42" t="str" cm="1">
        <f t="array" ref="P120">IFERROR(_xlfn.TEXTJOIN(", ", TRUE, _xlfn._xlws.FILTER(
    INDEX(Input!$D$2:$AC$500,,MATCH("Disk Capacity",Input!$D$1:$AC$1,0)),
    Input!$J$2:$J$500=B120
)), "")</f>
        <v/>
      </c>
      <c r="Q120" s="32" t="e">
        <f t="shared" si="4"/>
        <v>#N/A</v>
      </c>
      <c r="R120" s="42" t="e">
        <f>_xlfn.LET(_xlpm.Result,INDEX(Input!$D$2:$AC$500,
       MATCH(B120, Input!$J$2:$J$500, 0),
       MATCH("Capacity", Input!$D$1:$AC$1, 0)),IF(_xlpm.Result="","",_xlpm.Result))</f>
        <v>#N/A</v>
      </c>
      <c r="S120" s="42" t="e" cm="1">
        <f t="array" ref="S120">_xlfn.TEXTSPLIT(R120," / ", ,TRUE,0,)</f>
        <v>#N/A</v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:AD120">IFERROR(IF(_xlfn.XLOOKUP(B120,Input!J:J,Input!N:U)=0,"",
          _xlfn.XLOOKUP(B120,Input!J:J,Input!N:U)),"")</f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42" t="str">
        <v/>
      </c>
      <c r="AE120" s="32" t="str">
        <f t="shared" si="3"/>
        <v/>
      </c>
      <c r="AF120" s="32" t="str">
        <f>_xlfn.XLOOKUP(B:B,Disk_Pivot!G:G,Disk_Pivot!I:I)</f>
        <v>Yes x2</v>
      </c>
      <c r="AG120" s="32" t="str">
        <f>_xlfn.XLOOKUP(B120,Disk_Pivot!G:G,Disk_Pivot!N:N)</f>
        <v>Pass, Fail</v>
      </c>
      <c r="AH120" s="32"/>
      <c r="AI120" s="32"/>
      <c r="AJ120" s="32"/>
      <c r="AK120" s="32"/>
      <c r="AL120" s="32"/>
      <c r="AM120" s="32"/>
    </row>
    <row r="121" spans="1:39">
      <c r="A121" s="32" t="str">
        <f>_xlfn.XLOOKUP(B121,Input!J:J,Input!G:G)&amp;""</f>
        <v/>
      </c>
      <c r="B121" s="32"/>
      <c r="C121" s="32" t="str">
        <f>_xlfn.XLOOKUP(B121,Input!J:J,Input!H:H)&amp;""</f>
        <v/>
      </c>
      <c r="D121" s="42">
        <f>_xlfn.XLOOKUP(B121,Input!J:J,Input!F:F)</f>
        <v>0</v>
      </c>
      <c r="E121" s="32">
        <f>_xlfn.XLOOKUP(D121,Models!H:H,Models!G:G,D121)</f>
        <v>0</v>
      </c>
      <c r="F121" s="32">
        <f>_xlfn.XLOOKUP(B121,Input!J:J,Input!E:E)</f>
        <v>0</v>
      </c>
      <c r="G121" s="32">
        <f>IF(F121="LENOVO",_xlfn.XLOOKUP(B121,Input!J:J,Input!K:K),_xlfn.XLOOKUP(B121,Input!J:J,Input!L:L))</f>
        <v>0</v>
      </c>
      <c r="H121" s="32"/>
      <c r="I121" s="32"/>
      <c r="J121" s="32">
        <f>_xlfn.XLOOKUP(B121,CPU_Formula!A:A,CPU_Formula!I:I)</f>
        <v>0</v>
      </c>
      <c r="K121" s="42" t="e">
        <f>INDEX(Input!$D$2:$AC$500,
       MATCH(B121, Input!$J$2:$J$500, 0),
       MATCH("Total Memory", Input!$D$1:$AC$1, 0))</f>
        <v>#N/A</v>
      </c>
      <c r="L121" s="42" t="e">
        <f>INDEX(Input!$D$2:$AC$500,
       MATCH(B121, Input!$J$2:$J$500, 0),
       MATCH("Memory Type", Input!$D$1:$AC$1, 0))</f>
        <v>#N/A</v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e">
        <f t="shared" si="5"/>
        <v>#N/A</v>
      </c>
      <c r="O121" s="42" t="e">
        <f>INDEX(Input!$D$2:$AC$500,
       MATCH(B121, Input!$J$2:$J$500, 0),
       MATCH("Disk Interface Type", Input!$D$1:$AC$1, 0))</f>
        <v>#N/A</v>
      </c>
      <c r="P121" s="42" t="str" cm="1">
        <f t="array" ref="P121">IFERROR(_xlfn.TEXTJOIN(", ", TRUE, _xlfn._xlws.FILTER(
    INDEX(Input!$D$2:$AC$500,,MATCH("Disk Capacity",Input!$D$1:$AC$1,0)),
    Input!$J$2:$J$500=B121
)), "")</f>
        <v/>
      </c>
      <c r="Q121" s="32" t="e">
        <f t="shared" si="4"/>
        <v>#N/A</v>
      </c>
      <c r="R121" s="42" t="e">
        <f>_xlfn.LET(_xlpm.Result,INDEX(Input!$D$2:$AC$500,
       MATCH(B121, Input!$J$2:$J$500, 0),
       MATCH("Capacity", Input!$D$1:$AC$1, 0)),IF(_xlpm.Result="","",_xlpm.Result))</f>
        <v>#N/A</v>
      </c>
      <c r="S121" s="42" t="e" cm="1">
        <f t="array" ref="S121">_xlfn.TEXTSPLIT(R121," / ", ,TRUE,0,)</f>
        <v>#N/A</v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:AD121">IFERROR(IF(_xlfn.XLOOKUP(B121,Input!J:J,Input!N:U)=0,"",
          _xlfn.XLOOKUP(B121,Input!J:J,Input!N:U)),"")</f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42" t="str">
        <v/>
      </c>
      <c r="AE121" s="32" t="str">
        <f t="shared" si="3"/>
        <v/>
      </c>
      <c r="AF121" s="32" t="str">
        <f>_xlfn.XLOOKUP(B:B,Disk_Pivot!G:G,Disk_Pivot!I:I)</f>
        <v>Yes x2</v>
      </c>
      <c r="AG121" s="32" t="str">
        <f>_xlfn.XLOOKUP(B121,Disk_Pivot!G:G,Disk_Pivot!N:N)</f>
        <v>Pass, Fail</v>
      </c>
      <c r="AH121" s="32"/>
      <c r="AI121" s="32"/>
      <c r="AJ121" s="32"/>
      <c r="AK121" s="32"/>
      <c r="AL121" s="32"/>
      <c r="AM121" s="32"/>
    </row>
    <row r="122" spans="1:39">
      <c r="A122" s="32" t="str">
        <f>_xlfn.XLOOKUP(B122,Input!J:J,Input!G:G)&amp;""</f>
        <v/>
      </c>
      <c r="B122" s="32"/>
      <c r="C122" s="32" t="str">
        <f>_xlfn.XLOOKUP(B122,Input!J:J,Input!H:H)&amp;""</f>
        <v/>
      </c>
      <c r="D122" s="42">
        <f>_xlfn.XLOOKUP(B122,Input!J:J,Input!F:F)</f>
        <v>0</v>
      </c>
      <c r="E122" s="32">
        <f>_xlfn.XLOOKUP(D122,Models!H:H,Models!G:G,D122)</f>
        <v>0</v>
      </c>
      <c r="F122" s="32">
        <f>_xlfn.XLOOKUP(B122,Input!J:J,Input!E:E)</f>
        <v>0</v>
      </c>
      <c r="G122" s="32">
        <f>IF(F122="LENOVO",_xlfn.XLOOKUP(B122,Input!J:J,Input!K:K),_xlfn.XLOOKUP(B122,Input!J:J,Input!L:L))</f>
        <v>0</v>
      </c>
      <c r="H122" s="32"/>
      <c r="I122" s="32"/>
      <c r="J122" s="32">
        <f>_xlfn.XLOOKUP(B122,CPU_Formula!A:A,CPU_Formula!I:I)</f>
        <v>0</v>
      </c>
      <c r="K122" s="42" t="e">
        <f>INDEX(Input!$D$2:$AC$500,
       MATCH(B122, Input!$J$2:$J$500, 0),
       MATCH("Total Memory", Input!$D$1:$AC$1, 0))</f>
        <v>#N/A</v>
      </c>
      <c r="L122" s="42" t="e">
        <f>INDEX(Input!$D$2:$AC$500,
       MATCH(B122, Input!$J$2:$J$500, 0),
       MATCH("Memory Type", Input!$D$1:$AC$1, 0))</f>
        <v>#N/A</v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e">
        <f t="shared" si="5"/>
        <v>#N/A</v>
      </c>
      <c r="O122" s="42" t="e">
        <f>INDEX(Input!$D$2:$AC$500,
       MATCH(B122, Input!$J$2:$J$500, 0),
       MATCH("Disk Interface Type", Input!$D$1:$AC$1, 0))</f>
        <v>#N/A</v>
      </c>
      <c r="P122" s="42" t="str" cm="1">
        <f t="array" ref="P122">IFERROR(_xlfn.TEXTJOIN(", ", TRUE, _xlfn._xlws.FILTER(
    INDEX(Input!$D$2:$AC$500,,MATCH("Disk Capacity",Input!$D$1:$AC$1,0)),
    Input!$J$2:$J$500=B122
)), "")</f>
        <v/>
      </c>
      <c r="Q122" s="32" t="e">
        <f t="shared" si="4"/>
        <v>#N/A</v>
      </c>
      <c r="R122" s="42" t="e">
        <f>_xlfn.LET(_xlpm.Result,INDEX(Input!$D$2:$AC$500,
       MATCH(B122, Input!$J$2:$J$500, 0),
       MATCH("Capacity", Input!$D$1:$AC$1, 0)),IF(_xlpm.Result="","",_xlpm.Result))</f>
        <v>#N/A</v>
      </c>
      <c r="S122" s="42" t="e" cm="1">
        <f t="array" ref="S122">_xlfn.TEXTSPLIT(R122," / ", ,TRUE,0,)</f>
        <v>#N/A</v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:AD122">IFERROR(IF(_xlfn.XLOOKUP(B122,Input!J:J,Input!N:U)=0,"",
          _xlfn.XLOOKUP(B122,Input!J:J,Input!N:U)),"")</f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42" t="str">
        <v/>
      </c>
      <c r="AE122" s="32" t="str">
        <f t="shared" si="3"/>
        <v/>
      </c>
      <c r="AF122" s="32" t="str">
        <f>_xlfn.XLOOKUP(B:B,Disk_Pivot!G:G,Disk_Pivot!I:I)</f>
        <v>Yes x2</v>
      </c>
      <c r="AG122" s="32" t="str">
        <f>_xlfn.XLOOKUP(B122,Disk_Pivot!G:G,Disk_Pivot!N:N)</f>
        <v>Pass, Fail</v>
      </c>
      <c r="AH122" s="32"/>
      <c r="AI122" s="32"/>
      <c r="AJ122" s="32"/>
      <c r="AK122" s="32"/>
      <c r="AL122" s="32"/>
      <c r="AM122" s="32"/>
    </row>
    <row r="123" spans="1:39">
      <c r="A123" s="32" t="str">
        <f>_xlfn.XLOOKUP(B123,Input!J:J,Input!G:G)&amp;""</f>
        <v/>
      </c>
      <c r="B123" s="32"/>
      <c r="C123" s="32" t="str">
        <f>_xlfn.XLOOKUP(B123,Input!J:J,Input!H:H)&amp;""</f>
        <v/>
      </c>
      <c r="D123" s="42">
        <f>_xlfn.XLOOKUP(B123,Input!J:J,Input!F:F)</f>
        <v>0</v>
      </c>
      <c r="E123" s="32">
        <f>_xlfn.XLOOKUP(D123,Models!H:H,Models!G:G,D123)</f>
        <v>0</v>
      </c>
      <c r="F123" s="32">
        <f>_xlfn.XLOOKUP(B123,Input!J:J,Input!E:E)</f>
        <v>0</v>
      </c>
      <c r="G123" s="32">
        <f>IF(F123="LENOVO",_xlfn.XLOOKUP(B123,Input!J:J,Input!K:K),_xlfn.XLOOKUP(B123,Input!J:J,Input!L:L))</f>
        <v>0</v>
      </c>
      <c r="H123" s="32"/>
      <c r="I123" s="32"/>
      <c r="J123" s="32">
        <f>_xlfn.XLOOKUP(B123,CPU_Formula!A:A,CPU_Formula!I:I)</f>
        <v>0</v>
      </c>
      <c r="K123" s="42" t="e">
        <f>INDEX(Input!$D$2:$AC$500,
       MATCH(B123, Input!$J$2:$J$500, 0),
       MATCH("Total Memory", Input!$D$1:$AC$1, 0))</f>
        <v>#N/A</v>
      </c>
      <c r="L123" s="42" t="e">
        <f>INDEX(Input!$D$2:$AC$500,
       MATCH(B123, Input!$J$2:$J$500, 0),
       MATCH("Memory Type", Input!$D$1:$AC$1, 0))</f>
        <v>#N/A</v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e">
        <f t="shared" si="5"/>
        <v>#N/A</v>
      </c>
      <c r="O123" s="42" t="e">
        <f>INDEX(Input!$D$2:$AC$500,
       MATCH(B123, Input!$J$2:$J$500, 0),
       MATCH("Disk Interface Type", Input!$D$1:$AC$1, 0))</f>
        <v>#N/A</v>
      </c>
      <c r="P123" s="42" t="str" cm="1">
        <f t="array" ref="P123">IFERROR(_xlfn.TEXTJOIN(", ", TRUE, _xlfn._xlws.FILTER(
    INDEX(Input!$D$2:$AC$500,,MATCH("Disk Capacity",Input!$D$1:$AC$1,0)),
    Input!$J$2:$J$500=B123
)), "")</f>
        <v/>
      </c>
      <c r="Q123" s="32" t="e">
        <f t="shared" si="4"/>
        <v>#N/A</v>
      </c>
      <c r="R123" s="42" t="e">
        <f>_xlfn.LET(_xlpm.Result,INDEX(Input!$D$2:$AC$500,
       MATCH(B123, Input!$J$2:$J$500, 0),
       MATCH("Capacity", Input!$D$1:$AC$1, 0)),IF(_xlpm.Result="","",_xlpm.Result))</f>
        <v>#N/A</v>
      </c>
      <c r="S123" s="42" t="e" cm="1">
        <f t="array" ref="S123">_xlfn.TEXTSPLIT(R123," / ", ,TRUE,0,)</f>
        <v>#N/A</v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:AD123">IFERROR(IF(_xlfn.XLOOKUP(B123,Input!J:J,Input!N:U)=0,"",
          _xlfn.XLOOKUP(B123,Input!J:J,Input!N:U)),"")</f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42" t="str">
        <v/>
      </c>
      <c r="AE123" s="32" t="str">
        <f t="shared" si="3"/>
        <v/>
      </c>
      <c r="AF123" s="32" t="str">
        <f>_xlfn.XLOOKUP(B:B,Disk_Pivot!G:G,Disk_Pivot!I:I)</f>
        <v>Yes x2</v>
      </c>
      <c r="AG123" s="32" t="str">
        <f>_xlfn.XLOOKUP(B123,Disk_Pivot!G:G,Disk_Pivot!N:N)</f>
        <v>Pass, Fail</v>
      </c>
      <c r="AH123" s="32"/>
      <c r="AI123" s="32"/>
      <c r="AJ123" s="32"/>
      <c r="AK123" s="32"/>
      <c r="AL123" s="32"/>
      <c r="AM123" s="32"/>
    </row>
    <row r="124" spans="1:39">
      <c r="A124" s="32" t="str">
        <f>_xlfn.XLOOKUP(B124,Input!J:J,Input!G:G)&amp;""</f>
        <v/>
      </c>
      <c r="B124" s="32"/>
      <c r="C124" s="32" t="str">
        <f>_xlfn.XLOOKUP(B124,Input!J:J,Input!H:H)&amp;""</f>
        <v/>
      </c>
      <c r="D124" s="42">
        <f>_xlfn.XLOOKUP(B124,Input!J:J,Input!F:F)</f>
        <v>0</v>
      </c>
      <c r="E124" s="32">
        <f>_xlfn.XLOOKUP(D124,Models!H:H,Models!G:G,D124)</f>
        <v>0</v>
      </c>
      <c r="F124" s="32">
        <f>_xlfn.XLOOKUP(B124,Input!J:J,Input!E:E)</f>
        <v>0</v>
      </c>
      <c r="G124" s="32">
        <f>IF(F124="LENOVO",_xlfn.XLOOKUP(B124,Input!J:J,Input!K:K),_xlfn.XLOOKUP(B124,Input!J:J,Input!L:L))</f>
        <v>0</v>
      </c>
      <c r="H124" s="32"/>
      <c r="I124" s="32"/>
      <c r="J124" s="32">
        <f>_xlfn.XLOOKUP(B124,CPU_Formula!A:A,CPU_Formula!I:I)</f>
        <v>0</v>
      </c>
      <c r="K124" s="42" t="e">
        <f>INDEX(Input!$D$2:$AC$500,
       MATCH(B124, Input!$J$2:$J$500, 0),
       MATCH("Total Memory", Input!$D$1:$AC$1, 0))</f>
        <v>#N/A</v>
      </c>
      <c r="L124" s="42" t="e">
        <f>INDEX(Input!$D$2:$AC$500,
       MATCH(B124, Input!$J$2:$J$500, 0),
       MATCH("Memory Type", Input!$D$1:$AC$1, 0))</f>
        <v>#N/A</v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e">
        <f t="shared" si="5"/>
        <v>#N/A</v>
      </c>
      <c r="O124" s="42" t="e">
        <f>INDEX(Input!$D$2:$AC$500,
       MATCH(B124, Input!$J$2:$J$500, 0),
       MATCH("Disk Interface Type", Input!$D$1:$AC$1, 0))</f>
        <v>#N/A</v>
      </c>
      <c r="P124" s="42" t="str" cm="1">
        <f t="array" ref="P124">IFERROR(_xlfn.TEXTJOIN(", ", TRUE, _xlfn._xlws.FILTER(
    INDEX(Input!$D$2:$AC$500,,MATCH("Disk Capacity",Input!$D$1:$AC$1,0)),
    Input!$J$2:$J$500=B124
)), "")</f>
        <v/>
      </c>
      <c r="Q124" s="32" t="e">
        <f t="shared" si="4"/>
        <v>#N/A</v>
      </c>
      <c r="R124" s="42" t="e">
        <f>_xlfn.LET(_xlpm.Result,INDEX(Input!$D$2:$AC$500,
       MATCH(B124, Input!$J$2:$J$500, 0),
       MATCH("Capacity", Input!$D$1:$AC$1, 0)),IF(_xlpm.Result="","",_xlpm.Result))</f>
        <v>#N/A</v>
      </c>
      <c r="S124" s="42" t="e" cm="1">
        <f t="array" ref="S124">_xlfn.TEXTSPLIT(R124," / ", ,TRUE,0,)</f>
        <v>#N/A</v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:AD124">IFERROR(IF(_xlfn.XLOOKUP(B124,Input!J:J,Input!N:U)=0,"",
          _xlfn.XLOOKUP(B124,Input!J:J,Input!N:U)),"")</f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42" t="str">
        <v/>
      </c>
      <c r="AE124" s="32" t="str">
        <f t="shared" si="3"/>
        <v/>
      </c>
      <c r="AF124" s="32" t="str">
        <f>_xlfn.XLOOKUP(B:B,Disk_Pivot!G:G,Disk_Pivot!I:I)</f>
        <v>Yes x2</v>
      </c>
      <c r="AG124" s="32" t="str">
        <f>_xlfn.XLOOKUP(B124,Disk_Pivot!G:G,Disk_Pivot!N:N)</f>
        <v>Pass, Fail</v>
      </c>
      <c r="AH124" s="32"/>
      <c r="AI124" s="32"/>
      <c r="AJ124" s="32"/>
      <c r="AK124" s="32"/>
      <c r="AL124" s="32"/>
      <c r="AM124" s="32"/>
    </row>
    <row r="125" spans="1:39">
      <c r="A125" s="32" t="str">
        <f>_xlfn.XLOOKUP(B125,Input!J:J,Input!G:G)&amp;""</f>
        <v/>
      </c>
      <c r="B125" s="32"/>
      <c r="C125" s="32" t="str">
        <f>_xlfn.XLOOKUP(B125,Input!J:J,Input!H:H)&amp;""</f>
        <v/>
      </c>
      <c r="D125" s="42">
        <f>_xlfn.XLOOKUP(B125,Input!J:J,Input!F:F)</f>
        <v>0</v>
      </c>
      <c r="E125" s="32">
        <f>_xlfn.XLOOKUP(D125,Models!H:H,Models!G:G,D125)</f>
        <v>0</v>
      </c>
      <c r="F125" s="32">
        <f>_xlfn.XLOOKUP(B125,Input!J:J,Input!E:E)</f>
        <v>0</v>
      </c>
      <c r="G125" s="32">
        <f>IF(F125="LENOVO",_xlfn.XLOOKUP(B125,Input!J:J,Input!K:K),_xlfn.XLOOKUP(B125,Input!J:J,Input!L:L))</f>
        <v>0</v>
      </c>
      <c r="H125" s="32"/>
      <c r="I125" s="32"/>
      <c r="J125" s="32">
        <f>_xlfn.XLOOKUP(B125,CPU_Formula!A:A,CPU_Formula!I:I)</f>
        <v>0</v>
      </c>
      <c r="K125" s="42" t="e">
        <f>INDEX(Input!$D$2:$AC$500,
       MATCH(B125, Input!$J$2:$J$500, 0),
       MATCH("Total Memory", Input!$D$1:$AC$1, 0))</f>
        <v>#N/A</v>
      </c>
      <c r="L125" s="42" t="e">
        <f>INDEX(Input!$D$2:$AC$500,
       MATCH(B125, Input!$J$2:$J$500, 0),
       MATCH("Memory Type", Input!$D$1:$AC$1, 0))</f>
        <v>#N/A</v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e">
        <f t="shared" si="5"/>
        <v>#N/A</v>
      </c>
      <c r="O125" s="42" t="e">
        <f>INDEX(Input!$D$2:$AC$500,
       MATCH(B125, Input!$J$2:$J$500, 0),
       MATCH("Disk Interface Type", Input!$D$1:$AC$1, 0))</f>
        <v>#N/A</v>
      </c>
      <c r="P125" s="42" t="str" cm="1">
        <f t="array" ref="P125">IFERROR(_xlfn.TEXTJOIN(", ", TRUE, _xlfn._xlws.FILTER(
    INDEX(Input!$D$2:$AC$500,,MATCH("Disk Capacity",Input!$D$1:$AC$1,0)),
    Input!$J$2:$J$500=B125
)), "")</f>
        <v/>
      </c>
      <c r="Q125" s="32" t="e">
        <f t="shared" si="4"/>
        <v>#N/A</v>
      </c>
      <c r="R125" s="42" t="e">
        <f>_xlfn.LET(_xlpm.Result,INDEX(Input!$D$2:$AC$500,
       MATCH(B125, Input!$J$2:$J$500, 0),
       MATCH("Capacity", Input!$D$1:$AC$1, 0)),IF(_xlpm.Result="","",_xlpm.Result))</f>
        <v>#N/A</v>
      </c>
      <c r="S125" s="42" t="e" cm="1">
        <f t="array" ref="S125">_xlfn.TEXTSPLIT(R125," / ", ,TRUE,0,)</f>
        <v>#N/A</v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:AD125">IFERROR(IF(_xlfn.XLOOKUP(B125,Input!J:J,Input!N:U)=0,"",
          _xlfn.XLOOKUP(B125,Input!J:J,Input!N:U)),"")</f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42" t="str">
        <v/>
      </c>
      <c r="AE125" s="32" t="str">
        <f t="shared" si="3"/>
        <v/>
      </c>
      <c r="AF125" s="32" t="str">
        <f>_xlfn.XLOOKUP(B:B,Disk_Pivot!G:G,Disk_Pivot!I:I)</f>
        <v>Yes x2</v>
      </c>
      <c r="AG125" s="32" t="str">
        <f>_xlfn.XLOOKUP(B125,Disk_Pivot!G:G,Disk_Pivot!N:N)</f>
        <v>Pass, Fail</v>
      </c>
      <c r="AH125" s="32"/>
      <c r="AI125" s="32"/>
      <c r="AJ125" s="32"/>
      <c r="AK125" s="32"/>
      <c r="AL125" s="32"/>
      <c r="AM125" s="32"/>
    </row>
    <row r="126" spans="1:39">
      <c r="A126" s="32" t="str">
        <f>_xlfn.XLOOKUP(B126,Input!J:J,Input!G:G)&amp;""</f>
        <v/>
      </c>
      <c r="B126" s="32"/>
      <c r="C126" s="32" t="str">
        <f>_xlfn.XLOOKUP(B126,Input!J:J,Input!H:H)&amp;""</f>
        <v/>
      </c>
      <c r="D126" s="42">
        <f>_xlfn.XLOOKUP(B126,Input!J:J,Input!F:F)</f>
        <v>0</v>
      </c>
      <c r="E126" s="32">
        <f>_xlfn.XLOOKUP(D126,Models!H:H,Models!G:G,D126)</f>
        <v>0</v>
      </c>
      <c r="F126" s="32">
        <f>_xlfn.XLOOKUP(B126,Input!J:J,Input!E:E)</f>
        <v>0</v>
      </c>
      <c r="G126" s="32">
        <f>IF(F126="LENOVO",_xlfn.XLOOKUP(B126,Input!J:J,Input!K:K),_xlfn.XLOOKUP(B126,Input!J:J,Input!L:L))</f>
        <v>0</v>
      </c>
      <c r="H126" s="32"/>
      <c r="I126" s="32"/>
      <c r="J126" s="32">
        <f>_xlfn.XLOOKUP(B126,CPU_Formula!A:A,CPU_Formula!I:I)</f>
        <v>0</v>
      </c>
      <c r="K126" s="42" t="e">
        <f>INDEX(Input!$D$2:$AC$500,
       MATCH(B126, Input!$J$2:$J$500, 0),
       MATCH("Total Memory", Input!$D$1:$AC$1, 0))</f>
        <v>#N/A</v>
      </c>
      <c r="L126" s="42" t="e">
        <f>INDEX(Input!$D$2:$AC$500,
       MATCH(B126, Input!$J$2:$J$500, 0),
       MATCH("Memory Type", Input!$D$1:$AC$1, 0))</f>
        <v>#N/A</v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e">
        <f t="shared" si="5"/>
        <v>#N/A</v>
      </c>
      <c r="O126" s="42" t="e">
        <f>INDEX(Input!$D$2:$AC$500,
       MATCH(B126, Input!$J$2:$J$500, 0),
       MATCH("Disk Interface Type", Input!$D$1:$AC$1, 0))</f>
        <v>#N/A</v>
      </c>
      <c r="P126" s="42" t="str" cm="1">
        <f t="array" ref="P126">IFERROR(_xlfn.TEXTJOIN(", ", TRUE, _xlfn._xlws.FILTER(
    INDEX(Input!$D$2:$AC$500,,MATCH("Disk Capacity",Input!$D$1:$AC$1,0)),
    Input!$J$2:$J$500=B126
)), "")</f>
        <v/>
      </c>
      <c r="Q126" s="32" t="e">
        <f t="shared" si="4"/>
        <v>#N/A</v>
      </c>
      <c r="R126" s="42" t="e">
        <f>_xlfn.LET(_xlpm.Result,INDEX(Input!$D$2:$AC$500,
       MATCH(B126, Input!$J$2:$J$500, 0),
       MATCH("Capacity", Input!$D$1:$AC$1, 0)),IF(_xlpm.Result="","",_xlpm.Result))</f>
        <v>#N/A</v>
      </c>
      <c r="S126" s="42" t="e" cm="1">
        <f t="array" ref="S126">_xlfn.TEXTSPLIT(R126," / ", ,TRUE,0,)</f>
        <v>#N/A</v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:AD126">IFERROR(IF(_xlfn.XLOOKUP(B126,Input!J:J,Input!N:U)=0,"",
          _xlfn.XLOOKUP(B126,Input!J:J,Input!N:U)),"")</f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42" t="str">
        <v/>
      </c>
      <c r="AE126" s="32" t="str">
        <f t="shared" si="3"/>
        <v/>
      </c>
      <c r="AF126" s="32" t="str">
        <f>_xlfn.XLOOKUP(B:B,Disk_Pivot!G:G,Disk_Pivot!I:I)</f>
        <v>Yes x2</v>
      </c>
      <c r="AG126" s="32" t="str">
        <f>_xlfn.XLOOKUP(B126,Disk_Pivot!G:G,Disk_Pivot!N:N)</f>
        <v>Pass, Fail</v>
      </c>
      <c r="AH126" s="32"/>
      <c r="AI126" s="32"/>
      <c r="AJ126" s="32"/>
      <c r="AK126" s="32"/>
      <c r="AL126" s="32"/>
      <c r="AM126" s="32"/>
    </row>
    <row r="127" spans="1:39">
      <c r="A127" s="32" t="str">
        <f>_xlfn.XLOOKUP(B127,Input!J:J,Input!G:G)&amp;""</f>
        <v/>
      </c>
      <c r="B127" s="32"/>
      <c r="C127" s="32" t="str">
        <f>_xlfn.XLOOKUP(B127,Input!J:J,Input!H:H)&amp;""</f>
        <v/>
      </c>
      <c r="D127" s="42">
        <f>_xlfn.XLOOKUP(B127,Input!J:J,Input!F:F)</f>
        <v>0</v>
      </c>
      <c r="E127" s="32">
        <f>_xlfn.XLOOKUP(D127,Models!H:H,Models!G:G,D127)</f>
        <v>0</v>
      </c>
      <c r="F127" s="32">
        <f>_xlfn.XLOOKUP(B127,Input!J:J,Input!E:E)</f>
        <v>0</v>
      </c>
      <c r="G127" s="32">
        <f>IF(F127="LENOVO",_xlfn.XLOOKUP(B127,Input!J:J,Input!K:K),_xlfn.XLOOKUP(B127,Input!J:J,Input!L:L))</f>
        <v>0</v>
      </c>
      <c r="H127" s="32"/>
      <c r="I127" s="32"/>
      <c r="J127" s="32">
        <f>_xlfn.XLOOKUP(B127,CPU_Formula!A:A,CPU_Formula!I:I)</f>
        <v>0</v>
      </c>
      <c r="K127" s="42" t="e">
        <f>INDEX(Input!$D$2:$AC$500,
       MATCH(B127, Input!$J$2:$J$500, 0),
       MATCH("Total Memory", Input!$D$1:$AC$1, 0))</f>
        <v>#N/A</v>
      </c>
      <c r="L127" s="42" t="e">
        <f>INDEX(Input!$D$2:$AC$500,
       MATCH(B127, Input!$J$2:$J$500, 0),
       MATCH("Memory Type", Input!$D$1:$AC$1, 0))</f>
        <v>#N/A</v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e">
        <f t="shared" si="5"/>
        <v>#N/A</v>
      </c>
      <c r="O127" s="42" t="e">
        <f>INDEX(Input!$D$2:$AC$500,
       MATCH(B127, Input!$J$2:$J$500, 0),
       MATCH("Disk Interface Type", Input!$D$1:$AC$1, 0))</f>
        <v>#N/A</v>
      </c>
      <c r="P127" s="42" t="str" cm="1">
        <f t="array" ref="P127">IFERROR(_xlfn.TEXTJOIN(", ", TRUE, _xlfn._xlws.FILTER(
    INDEX(Input!$D$2:$AC$500,,MATCH("Disk Capacity",Input!$D$1:$AC$1,0)),
    Input!$J$2:$J$500=B127
)), "")</f>
        <v/>
      </c>
      <c r="Q127" s="32" t="e">
        <f t="shared" si="4"/>
        <v>#N/A</v>
      </c>
      <c r="R127" s="42" t="e">
        <f>_xlfn.LET(_xlpm.Result,INDEX(Input!$D$2:$AC$500,
       MATCH(B127, Input!$J$2:$J$500, 0),
       MATCH("Capacity", Input!$D$1:$AC$1, 0)),IF(_xlpm.Result="","",_xlpm.Result))</f>
        <v>#N/A</v>
      </c>
      <c r="S127" s="42" t="e" cm="1">
        <f t="array" ref="S127">_xlfn.TEXTSPLIT(R127," / ", ,TRUE,0,)</f>
        <v>#N/A</v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:AD127">IFERROR(IF(_xlfn.XLOOKUP(B127,Input!J:J,Input!N:U)=0,"",
          _xlfn.XLOOKUP(B127,Input!J:J,Input!N:U)),"")</f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42" t="str">
        <v/>
      </c>
      <c r="AE127" s="32" t="str">
        <f t="shared" si="3"/>
        <v/>
      </c>
      <c r="AF127" s="32" t="str">
        <f>_xlfn.XLOOKUP(B:B,Disk_Pivot!G:G,Disk_Pivot!I:I)</f>
        <v>Yes x2</v>
      </c>
      <c r="AG127" s="32" t="str">
        <f>_xlfn.XLOOKUP(B127,Disk_Pivot!G:G,Disk_Pivot!N:N)</f>
        <v>Pass, Fail</v>
      </c>
      <c r="AH127" s="32"/>
      <c r="AI127" s="32"/>
      <c r="AJ127" s="32"/>
      <c r="AK127" s="32"/>
      <c r="AL127" s="32"/>
      <c r="AM127" s="32"/>
    </row>
    <row r="128" spans="1:39">
      <c r="A128" s="32" t="str">
        <f>_xlfn.XLOOKUP(B128,Input!J:J,Input!G:G)&amp;""</f>
        <v/>
      </c>
      <c r="B128" s="32"/>
      <c r="C128" s="32" t="str">
        <f>_xlfn.XLOOKUP(B128,Input!J:J,Input!H:H)&amp;""</f>
        <v/>
      </c>
      <c r="D128" s="42">
        <f>_xlfn.XLOOKUP(B128,Input!J:J,Input!F:F)</f>
        <v>0</v>
      </c>
      <c r="E128" s="32">
        <f>_xlfn.XLOOKUP(D128,Models!H:H,Models!G:G,D128)</f>
        <v>0</v>
      </c>
      <c r="F128" s="32">
        <f>_xlfn.XLOOKUP(B128,Input!J:J,Input!E:E)</f>
        <v>0</v>
      </c>
      <c r="G128" s="32">
        <f>IF(F128="LENOVO",_xlfn.XLOOKUP(B128,Input!J:J,Input!K:K),_xlfn.XLOOKUP(B128,Input!J:J,Input!L:L))</f>
        <v>0</v>
      </c>
      <c r="H128" s="32"/>
      <c r="I128" s="32"/>
      <c r="J128" s="32">
        <f>_xlfn.XLOOKUP(B128,CPU_Formula!A:A,CPU_Formula!I:I)</f>
        <v>0</v>
      </c>
      <c r="K128" s="42" t="e">
        <f>INDEX(Input!$D$2:$AC$500,
       MATCH(B128, Input!$J$2:$J$500, 0),
       MATCH("Total Memory", Input!$D$1:$AC$1, 0))</f>
        <v>#N/A</v>
      </c>
      <c r="L128" s="42" t="e">
        <f>INDEX(Input!$D$2:$AC$500,
       MATCH(B128, Input!$J$2:$J$500, 0),
       MATCH("Memory Type", Input!$D$1:$AC$1, 0))</f>
        <v>#N/A</v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e">
        <f t="shared" si="5"/>
        <v>#N/A</v>
      </c>
      <c r="O128" s="42" t="e">
        <f>INDEX(Input!$D$2:$AC$500,
       MATCH(B128, Input!$J$2:$J$500, 0),
       MATCH("Disk Interface Type", Input!$D$1:$AC$1, 0))</f>
        <v>#N/A</v>
      </c>
      <c r="P128" s="42" t="str" cm="1">
        <f t="array" ref="P128">IFERROR(_xlfn.TEXTJOIN(", ", TRUE, _xlfn._xlws.FILTER(
    INDEX(Input!$D$2:$AC$500,,MATCH("Disk Capacity",Input!$D$1:$AC$1,0)),
    Input!$J$2:$J$500=B128
)), "")</f>
        <v/>
      </c>
      <c r="Q128" s="32" t="e">
        <f t="shared" si="4"/>
        <v>#N/A</v>
      </c>
      <c r="R128" s="42" t="e">
        <f>_xlfn.LET(_xlpm.Result,INDEX(Input!$D$2:$AC$500,
       MATCH(B128, Input!$J$2:$J$500, 0),
       MATCH("Capacity", Input!$D$1:$AC$1, 0)),IF(_xlpm.Result="","",_xlpm.Result))</f>
        <v>#N/A</v>
      </c>
      <c r="S128" s="42" t="e" cm="1">
        <f t="array" ref="S128">_xlfn.TEXTSPLIT(R128," / ", ,TRUE,0,)</f>
        <v>#N/A</v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:AD128">IFERROR(IF(_xlfn.XLOOKUP(B128,Input!J:J,Input!N:U)=0,"",
          _xlfn.XLOOKUP(B128,Input!J:J,Input!N:U)),"")</f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42" t="str">
        <v/>
      </c>
      <c r="AE128" s="32" t="str">
        <f t="shared" si="3"/>
        <v/>
      </c>
      <c r="AF128" s="32" t="str">
        <f>_xlfn.XLOOKUP(B:B,Disk_Pivot!G:G,Disk_Pivot!I:I)</f>
        <v>Yes x2</v>
      </c>
      <c r="AG128" s="32" t="str">
        <f>_xlfn.XLOOKUP(B128,Disk_Pivot!G:G,Disk_Pivot!N:N)</f>
        <v>Pass, Fail</v>
      </c>
      <c r="AH128" s="32"/>
      <c r="AI128" s="32"/>
      <c r="AJ128" s="32"/>
      <c r="AK128" s="32"/>
      <c r="AL128" s="32"/>
      <c r="AM128" s="32"/>
    </row>
    <row r="129" spans="1:39">
      <c r="A129" s="32" t="str">
        <f>_xlfn.XLOOKUP(B129,Input!J:J,Input!G:G)&amp;""</f>
        <v/>
      </c>
      <c r="B129" s="32"/>
      <c r="C129" s="32" t="str">
        <f>_xlfn.XLOOKUP(B129,Input!J:J,Input!H:H)&amp;""</f>
        <v/>
      </c>
      <c r="D129" s="42">
        <f>_xlfn.XLOOKUP(B129,Input!J:J,Input!F:F)</f>
        <v>0</v>
      </c>
      <c r="E129" s="32">
        <f>_xlfn.XLOOKUP(D129,Models!H:H,Models!G:G,D129)</f>
        <v>0</v>
      </c>
      <c r="F129" s="32">
        <f>_xlfn.XLOOKUP(B129,Input!J:J,Input!E:E)</f>
        <v>0</v>
      </c>
      <c r="G129" s="32">
        <f>IF(F129="LENOVO",_xlfn.XLOOKUP(B129,Input!J:J,Input!K:K),_xlfn.XLOOKUP(B129,Input!J:J,Input!L:L))</f>
        <v>0</v>
      </c>
      <c r="H129" s="32"/>
      <c r="I129" s="32"/>
      <c r="J129" s="32">
        <f>_xlfn.XLOOKUP(B129,CPU_Formula!A:A,CPU_Formula!I:I)</f>
        <v>0</v>
      </c>
      <c r="K129" s="42" t="e">
        <f>INDEX(Input!$D$2:$AC$500,
       MATCH(B129, Input!$J$2:$J$500, 0),
       MATCH("Total Memory", Input!$D$1:$AC$1, 0))</f>
        <v>#N/A</v>
      </c>
      <c r="L129" s="42" t="e">
        <f>INDEX(Input!$D$2:$AC$500,
       MATCH(B129, Input!$J$2:$J$500, 0),
       MATCH("Memory Type", Input!$D$1:$AC$1, 0))</f>
        <v>#N/A</v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e">
        <f t="shared" si="5"/>
        <v>#N/A</v>
      </c>
      <c r="O129" s="42" t="e">
        <f>INDEX(Input!$D$2:$AC$500,
       MATCH(B129, Input!$J$2:$J$500, 0),
       MATCH("Disk Interface Type", Input!$D$1:$AC$1, 0))</f>
        <v>#N/A</v>
      </c>
      <c r="P129" s="42" t="str" cm="1">
        <f t="array" ref="P129">IFERROR(_xlfn.TEXTJOIN(", ", TRUE, _xlfn._xlws.FILTER(
    INDEX(Input!$D$2:$AC$500,,MATCH("Disk Capacity",Input!$D$1:$AC$1,0)),
    Input!$J$2:$J$500=B129
)), "")</f>
        <v/>
      </c>
      <c r="Q129" s="32" t="e">
        <f t="shared" si="4"/>
        <v>#N/A</v>
      </c>
      <c r="R129" s="42" t="e">
        <f>_xlfn.LET(_xlpm.Result,INDEX(Input!$D$2:$AC$500,
       MATCH(B129, Input!$J$2:$J$500, 0),
       MATCH("Capacity", Input!$D$1:$AC$1, 0)),IF(_xlpm.Result="","",_xlpm.Result))</f>
        <v>#N/A</v>
      </c>
      <c r="S129" s="42" t="e" cm="1">
        <f t="array" ref="S129">_xlfn.TEXTSPLIT(R129," / ", ,TRUE,0,)</f>
        <v>#N/A</v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:AD129">IFERROR(IF(_xlfn.XLOOKUP(B129,Input!J:J,Input!N:U)=0,"",
          _xlfn.XLOOKUP(B129,Input!J:J,Input!N:U)),"")</f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42" t="str">
        <v/>
      </c>
      <c r="AE129" s="32" t="str">
        <f t="shared" si="3"/>
        <v/>
      </c>
      <c r="AF129" s="32" t="str">
        <f>_xlfn.XLOOKUP(B:B,Disk_Pivot!G:G,Disk_Pivot!I:I)</f>
        <v>Yes x2</v>
      </c>
      <c r="AG129" s="32" t="str">
        <f>_xlfn.XLOOKUP(B129,Disk_Pivot!G:G,Disk_Pivot!N:N)</f>
        <v>Pass, Fail</v>
      </c>
      <c r="AH129" s="32"/>
      <c r="AI129" s="32"/>
      <c r="AJ129" s="32"/>
      <c r="AK129" s="32"/>
      <c r="AL129" s="32"/>
      <c r="AM129" s="32"/>
    </row>
    <row r="130" spans="1:39">
      <c r="A130" s="32" t="str">
        <f>_xlfn.XLOOKUP(B130,Input!J:J,Input!G:G)&amp;""</f>
        <v/>
      </c>
      <c r="B130" s="32"/>
      <c r="C130" s="32" t="str">
        <f>_xlfn.XLOOKUP(B130,Input!J:J,Input!H:H)&amp;""</f>
        <v/>
      </c>
      <c r="D130" s="42">
        <f>_xlfn.XLOOKUP(B130,Input!J:J,Input!F:F)</f>
        <v>0</v>
      </c>
      <c r="E130" s="32">
        <f>_xlfn.XLOOKUP(D130,Models!H:H,Models!G:G,D130)</f>
        <v>0</v>
      </c>
      <c r="F130" s="32">
        <f>_xlfn.XLOOKUP(B130,Input!J:J,Input!E:E)</f>
        <v>0</v>
      </c>
      <c r="G130" s="32">
        <f>IF(F130="LENOVO",_xlfn.XLOOKUP(B130,Input!J:J,Input!K:K),_xlfn.XLOOKUP(B130,Input!J:J,Input!L:L))</f>
        <v>0</v>
      </c>
      <c r="H130" s="32"/>
      <c r="I130" s="32"/>
      <c r="J130" s="32">
        <f>_xlfn.XLOOKUP(B130,CPU_Formula!A:A,CPU_Formula!I:I)</f>
        <v>0</v>
      </c>
      <c r="K130" s="42" t="e">
        <f>INDEX(Input!$D$2:$AC$500,
       MATCH(B130, Input!$J$2:$J$500, 0),
       MATCH("Total Memory", Input!$D$1:$AC$1, 0))</f>
        <v>#N/A</v>
      </c>
      <c r="L130" s="42" t="e">
        <f>INDEX(Input!$D$2:$AC$500,
       MATCH(B130, Input!$J$2:$J$500, 0),
       MATCH("Memory Type", Input!$D$1:$AC$1, 0))</f>
        <v>#N/A</v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e">
        <f t="shared" si="5"/>
        <v>#N/A</v>
      </c>
      <c r="O130" s="42" t="e">
        <f>INDEX(Input!$D$2:$AC$500,
       MATCH(B130, Input!$J$2:$J$500, 0),
       MATCH("Disk Interface Type", Input!$D$1:$AC$1, 0))</f>
        <v>#N/A</v>
      </c>
      <c r="P130" s="42" t="str" cm="1">
        <f t="array" ref="P130">IFERROR(_xlfn.TEXTJOIN(", ", TRUE, _xlfn._xlws.FILTER(
    INDEX(Input!$D$2:$AC$500,,MATCH("Disk Capacity",Input!$D$1:$AC$1,0)),
    Input!$J$2:$J$500=B130
)), "")</f>
        <v/>
      </c>
      <c r="Q130" s="32" t="e">
        <f t="shared" si="4"/>
        <v>#N/A</v>
      </c>
      <c r="R130" s="42" t="e">
        <f>_xlfn.LET(_xlpm.Result,INDEX(Input!$D$2:$AC$500,
       MATCH(B130, Input!$J$2:$J$500, 0),
       MATCH("Capacity", Input!$D$1:$AC$1, 0)),IF(_xlpm.Result="","",_xlpm.Result))</f>
        <v>#N/A</v>
      </c>
      <c r="S130" s="42" t="e" cm="1">
        <f t="array" ref="S130">_xlfn.TEXTSPLIT(R130," / ", ,TRUE,0,)</f>
        <v>#N/A</v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:AD130">IFERROR(IF(_xlfn.XLOOKUP(B130,Input!J:J,Input!N:U)=0,"",
          _xlfn.XLOOKUP(B130,Input!J:J,Input!N:U)),"")</f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42" t="str">
        <v/>
      </c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>
        <f>_xlfn.XLOOKUP(B:B,Disk_Pivot!G:G,Disk_Pivot!I:I)</f>
        <v>Yes x2</v>
      </c>
      <c r="AG130" s="32" t="str">
        <f>_xlfn.XLOOKUP(B130,Disk_Pivot!G:G,Disk_Pivot!N:N)</f>
        <v>Pass, Fail</v>
      </c>
      <c r="AH130" s="32"/>
      <c r="AI130" s="32"/>
      <c r="AJ130" s="32"/>
      <c r="AK130" s="32"/>
      <c r="AL130" s="32"/>
      <c r="AM130" s="32"/>
    </row>
    <row r="131" spans="1:39">
      <c r="A131" s="32" t="str">
        <f>_xlfn.XLOOKUP(B131,Input!J:J,Input!G:G)&amp;""</f>
        <v/>
      </c>
      <c r="B131" s="32"/>
      <c r="C131" s="32" t="str">
        <f>_xlfn.XLOOKUP(B131,Input!J:J,Input!H:H)&amp;""</f>
        <v/>
      </c>
      <c r="D131" s="42">
        <f>_xlfn.XLOOKUP(B131,Input!J:J,Input!F:F)</f>
        <v>0</v>
      </c>
      <c r="E131" s="32">
        <f>_xlfn.XLOOKUP(D131,Models!H:H,Models!G:G,D131)</f>
        <v>0</v>
      </c>
      <c r="F131" s="32">
        <f>_xlfn.XLOOKUP(B131,Input!J:J,Input!E:E)</f>
        <v>0</v>
      </c>
      <c r="G131" s="32">
        <f>IF(F131="LENOVO",_xlfn.XLOOKUP(B131,Input!J:J,Input!K:K),_xlfn.XLOOKUP(B131,Input!J:J,Input!L:L))</f>
        <v>0</v>
      </c>
      <c r="H131" s="32"/>
      <c r="I131" s="32"/>
      <c r="J131" s="32">
        <f>_xlfn.XLOOKUP(B131,CPU_Formula!A:A,CPU_Formula!I:I)</f>
        <v>0</v>
      </c>
      <c r="K131" s="42" t="e">
        <f>INDEX(Input!$D$2:$AC$500,
       MATCH(B131, Input!$J$2:$J$500, 0),
       MATCH("Total Memory", Input!$D$1:$AC$1, 0))</f>
        <v>#N/A</v>
      </c>
      <c r="L131" s="42" t="e">
        <f>INDEX(Input!$D$2:$AC$500,
       MATCH(B131, Input!$J$2:$J$500, 0),
       MATCH("Memory Type", Input!$D$1:$AC$1, 0))</f>
        <v>#N/A</v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e">
        <f t="shared" si="5"/>
        <v>#N/A</v>
      </c>
      <c r="O131" s="42" t="e">
        <f>INDEX(Input!$D$2:$AC$500,
       MATCH(B131, Input!$J$2:$J$500, 0),
       MATCH("Disk Interface Type", Input!$D$1:$AC$1, 0))</f>
        <v>#N/A</v>
      </c>
      <c r="P131" s="42" t="str" cm="1">
        <f t="array" ref="P131">IFERROR(_xlfn.TEXTJOIN(", ", TRUE, _xlfn._xlws.FILTER(
    INDEX(Input!$D$2:$AC$500,,MATCH("Disk Capacity",Input!$D$1:$AC$1,0)),
    Input!$J$2:$J$500=B131
)), "")</f>
        <v/>
      </c>
      <c r="Q131" s="32" t="e">
        <f t="shared" ref="Q131:Q194" si="7">_xlfn.TEXTJOIN(" ",TRUE,P131,O131)</f>
        <v>#N/A</v>
      </c>
      <c r="R131" s="42" t="e">
        <f>_xlfn.LET(_xlpm.Result,INDEX(Input!$D$2:$AC$500,
       MATCH(B131, Input!$J$2:$J$500, 0),
       MATCH("Capacity", Input!$D$1:$AC$1, 0)),IF(_xlpm.Result="","",_xlpm.Result))</f>
        <v>#N/A</v>
      </c>
      <c r="S131" s="42" t="e" cm="1">
        <f t="array" ref="S131">_xlfn.TEXTSPLIT(R131," / ", ,TRUE,0,)</f>
        <v>#N/A</v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:AD131">IFERROR(IF(_xlfn.XLOOKUP(B131,Input!J:J,Input!N:U)=0,"",
          _xlfn.XLOOKUP(B131,Input!J:J,Input!N:U)),"")</f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42" t="str">
        <v/>
      </c>
      <c r="AE131" s="32" t="str">
        <f t="shared" si="6"/>
        <v/>
      </c>
      <c r="AF131" s="32" t="str">
        <f>_xlfn.XLOOKUP(B:B,Disk_Pivot!G:G,Disk_Pivot!I:I)</f>
        <v>Yes x2</v>
      </c>
      <c r="AG131" s="32" t="str">
        <f>_xlfn.XLOOKUP(B131,Disk_Pivot!G:G,Disk_Pivot!N:N)</f>
        <v>Pass, Fail</v>
      </c>
      <c r="AH131" s="32"/>
      <c r="AI131" s="32"/>
      <c r="AJ131" s="32"/>
      <c r="AK131" s="32"/>
      <c r="AL131" s="32"/>
      <c r="AM131" s="32"/>
    </row>
    <row r="132" spans="1:39">
      <c r="A132" s="32" t="str">
        <f>_xlfn.XLOOKUP(B132,Input!J:J,Input!G:G)&amp;""</f>
        <v/>
      </c>
      <c r="B132" s="32"/>
      <c r="C132" s="32" t="str">
        <f>_xlfn.XLOOKUP(B132,Input!J:J,Input!H:H)&amp;""</f>
        <v/>
      </c>
      <c r="D132" s="42">
        <f>_xlfn.XLOOKUP(B132,Input!J:J,Input!F:F)</f>
        <v>0</v>
      </c>
      <c r="E132" s="32">
        <f>_xlfn.XLOOKUP(D132,Models!H:H,Models!G:G,D132)</f>
        <v>0</v>
      </c>
      <c r="F132" s="32">
        <f>_xlfn.XLOOKUP(B132,Input!J:J,Input!E:E)</f>
        <v>0</v>
      </c>
      <c r="G132" s="32">
        <f>IF(F132="LENOVO",_xlfn.XLOOKUP(B132,Input!J:J,Input!K:K),_xlfn.XLOOKUP(B132,Input!J:J,Input!L:L))</f>
        <v>0</v>
      </c>
      <c r="H132" s="32"/>
      <c r="I132" s="32"/>
      <c r="J132" s="32">
        <f>_xlfn.XLOOKUP(B132,CPU_Formula!A:A,CPU_Formula!I:I)</f>
        <v>0</v>
      </c>
      <c r="K132" s="42" t="e">
        <f>INDEX(Input!$D$2:$AC$500,
       MATCH(B132, Input!$J$2:$J$500, 0),
       MATCH("Total Memory", Input!$D$1:$AC$1, 0))</f>
        <v>#N/A</v>
      </c>
      <c r="L132" s="42" t="e">
        <f>INDEX(Input!$D$2:$AC$500,
       MATCH(B132, Input!$J$2:$J$500, 0),
       MATCH("Memory Type", Input!$D$1:$AC$1, 0))</f>
        <v>#N/A</v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e">
        <f t="shared" ref="N132:N195" si="8">_xlfn.TEXTJOIN(" ",TRUE,SUBSTITUTE(K132,"i",""),M132)</f>
        <v>#N/A</v>
      </c>
      <c r="O132" s="42" t="e">
        <f>INDEX(Input!$D$2:$AC$500,
       MATCH(B132, Input!$J$2:$J$500, 0),
       MATCH("Disk Interface Type", Input!$D$1:$AC$1, 0))</f>
        <v>#N/A</v>
      </c>
      <c r="P132" s="42" t="str" cm="1">
        <f t="array" ref="P132">IFERROR(_xlfn.TEXTJOIN(", ", TRUE, _xlfn._xlws.FILTER(
    INDEX(Input!$D$2:$AC$500,,MATCH("Disk Capacity",Input!$D$1:$AC$1,0)),
    Input!$J$2:$J$500=B132
)), "")</f>
        <v/>
      </c>
      <c r="Q132" s="32" t="e">
        <f t="shared" si="7"/>
        <v>#N/A</v>
      </c>
      <c r="R132" s="42" t="e">
        <f>_xlfn.LET(_xlpm.Result,INDEX(Input!$D$2:$AC$500,
       MATCH(B132, Input!$J$2:$J$500, 0),
       MATCH("Capacity", Input!$D$1:$AC$1, 0)),IF(_xlpm.Result="","",_xlpm.Result))</f>
        <v>#N/A</v>
      </c>
      <c r="S132" s="42" t="e" cm="1">
        <f t="array" ref="S132">_xlfn.TEXTSPLIT(R132," / ", ,TRUE,0,)</f>
        <v>#N/A</v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:AD132">IFERROR(IF(_xlfn.XLOOKUP(B132,Input!J:J,Input!N:U)=0,"",
          _xlfn.XLOOKUP(B132,Input!J:J,Input!N:U)),"")</f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42" t="str">
        <v/>
      </c>
      <c r="AE132" s="32" t="str">
        <f t="shared" si="6"/>
        <v/>
      </c>
      <c r="AF132" s="32" t="str">
        <f>_xlfn.XLOOKUP(B:B,Disk_Pivot!G:G,Disk_Pivot!I:I)</f>
        <v>Yes x2</v>
      </c>
      <c r="AG132" s="32" t="str">
        <f>_xlfn.XLOOKUP(B132,Disk_Pivot!G:G,Disk_Pivot!N:N)</f>
        <v>Pass, Fail</v>
      </c>
      <c r="AH132" s="32"/>
      <c r="AI132" s="32"/>
      <c r="AJ132" s="32"/>
      <c r="AK132" s="32"/>
      <c r="AL132" s="32"/>
      <c r="AM132" s="32"/>
    </row>
    <row r="133" spans="1:39">
      <c r="A133" s="32" t="str">
        <f>_xlfn.XLOOKUP(B133,Input!J:J,Input!G:G)&amp;""</f>
        <v/>
      </c>
      <c r="B133" s="32"/>
      <c r="C133" s="32" t="str">
        <f>_xlfn.XLOOKUP(B133,Input!J:J,Input!H:H)&amp;""</f>
        <v/>
      </c>
      <c r="D133" s="42">
        <f>_xlfn.XLOOKUP(B133,Input!J:J,Input!F:F)</f>
        <v>0</v>
      </c>
      <c r="E133" s="32">
        <f>_xlfn.XLOOKUP(D133,Models!H:H,Models!G:G,D133)</f>
        <v>0</v>
      </c>
      <c r="F133" s="32">
        <f>_xlfn.XLOOKUP(B133,Input!J:J,Input!E:E)</f>
        <v>0</v>
      </c>
      <c r="G133" s="32">
        <f>IF(F133="LENOVO",_xlfn.XLOOKUP(B133,Input!J:J,Input!K:K),_xlfn.XLOOKUP(B133,Input!J:J,Input!L:L))</f>
        <v>0</v>
      </c>
      <c r="H133" s="32"/>
      <c r="I133" s="32"/>
      <c r="J133" s="32">
        <f>_xlfn.XLOOKUP(B133,CPU_Formula!A:A,CPU_Formula!I:I)</f>
        <v>0</v>
      </c>
      <c r="K133" s="42" t="e">
        <f>INDEX(Input!$D$2:$AC$500,
       MATCH(B133, Input!$J$2:$J$500, 0),
       MATCH("Total Memory", Input!$D$1:$AC$1, 0))</f>
        <v>#N/A</v>
      </c>
      <c r="L133" s="42" t="e">
        <f>INDEX(Input!$D$2:$AC$500,
       MATCH(B133, Input!$J$2:$J$500, 0),
       MATCH("Memory Type", Input!$D$1:$AC$1, 0))</f>
        <v>#N/A</v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e">
        <f t="shared" si="8"/>
        <v>#N/A</v>
      </c>
      <c r="O133" s="42" t="e">
        <f>INDEX(Input!$D$2:$AC$500,
       MATCH(B133, Input!$J$2:$J$500, 0),
       MATCH("Disk Interface Type", Input!$D$1:$AC$1, 0))</f>
        <v>#N/A</v>
      </c>
      <c r="P133" s="42" t="str" cm="1">
        <f t="array" ref="P133">IFERROR(_xlfn.TEXTJOIN(", ", TRUE, _xlfn._xlws.FILTER(
    INDEX(Input!$D$2:$AC$500,,MATCH("Disk Capacity",Input!$D$1:$AC$1,0)),
    Input!$J$2:$J$500=B133
)), "")</f>
        <v/>
      </c>
      <c r="Q133" s="32" t="e">
        <f t="shared" si="7"/>
        <v>#N/A</v>
      </c>
      <c r="R133" s="42" t="e">
        <f>_xlfn.LET(_xlpm.Result,INDEX(Input!$D$2:$AC$500,
       MATCH(B133, Input!$J$2:$J$500, 0),
       MATCH("Capacity", Input!$D$1:$AC$1, 0)),IF(_xlpm.Result="","",_xlpm.Result))</f>
        <v>#N/A</v>
      </c>
      <c r="S133" s="42" t="e" cm="1">
        <f t="array" ref="S133">_xlfn.TEXTSPLIT(R133," / ", ,TRUE,0,)</f>
        <v>#N/A</v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:AD133">IFERROR(IF(_xlfn.XLOOKUP(B133,Input!J:J,Input!N:U)=0,"",
          _xlfn.XLOOKUP(B133,Input!J:J,Input!N:U)),"")</f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42" t="str">
        <v/>
      </c>
      <c r="AE133" s="32" t="str">
        <f t="shared" si="6"/>
        <v/>
      </c>
      <c r="AF133" s="32" t="str">
        <f>_xlfn.XLOOKUP(B:B,Disk_Pivot!G:G,Disk_Pivot!I:I)</f>
        <v>Yes x2</v>
      </c>
      <c r="AG133" s="32" t="str">
        <f>_xlfn.XLOOKUP(B133,Disk_Pivot!G:G,Disk_Pivot!N:N)</f>
        <v>Pass, Fail</v>
      </c>
      <c r="AH133" s="32"/>
      <c r="AI133" s="32"/>
      <c r="AJ133" s="32"/>
      <c r="AK133" s="32"/>
      <c r="AL133" s="32"/>
      <c r="AM133" s="32"/>
    </row>
    <row r="134" spans="1:39">
      <c r="A134" s="32" t="str">
        <f>_xlfn.XLOOKUP(B134,Input!J:J,Input!G:G)&amp;""</f>
        <v/>
      </c>
      <c r="B134" s="32"/>
      <c r="C134" s="32" t="str">
        <f>_xlfn.XLOOKUP(B134,Input!J:J,Input!H:H)&amp;""</f>
        <v/>
      </c>
      <c r="D134" s="42">
        <f>_xlfn.XLOOKUP(B134,Input!J:J,Input!F:F)</f>
        <v>0</v>
      </c>
      <c r="E134" s="32">
        <f>_xlfn.XLOOKUP(D134,Models!H:H,Models!G:G,D134)</f>
        <v>0</v>
      </c>
      <c r="F134" s="32">
        <f>_xlfn.XLOOKUP(B134,Input!J:J,Input!E:E)</f>
        <v>0</v>
      </c>
      <c r="G134" s="32">
        <f>IF(F134="LENOVO",_xlfn.XLOOKUP(B134,Input!J:J,Input!K:K),_xlfn.XLOOKUP(B134,Input!J:J,Input!L:L))</f>
        <v>0</v>
      </c>
      <c r="H134" s="32"/>
      <c r="I134" s="32"/>
      <c r="J134" s="32">
        <f>_xlfn.XLOOKUP(B134,CPU_Formula!A:A,CPU_Formula!I:I)</f>
        <v>0</v>
      </c>
      <c r="K134" s="42" t="e">
        <f>INDEX(Input!$D$2:$AC$500,
       MATCH(B134, Input!$J$2:$J$500, 0),
       MATCH("Total Memory", Input!$D$1:$AC$1, 0))</f>
        <v>#N/A</v>
      </c>
      <c r="L134" s="42" t="e">
        <f>INDEX(Input!$D$2:$AC$500,
       MATCH(B134, Input!$J$2:$J$500, 0),
       MATCH("Memory Type", Input!$D$1:$AC$1, 0))</f>
        <v>#N/A</v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e">
        <f t="shared" si="8"/>
        <v>#N/A</v>
      </c>
      <c r="O134" s="42" t="e">
        <f>INDEX(Input!$D$2:$AC$500,
       MATCH(B134, Input!$J$2:$J$500, 0),
       MATCH("Disk Interface Type", Input!$D$1:$AC$1, 0))</f>
        <v>#N/A</v>
      </c>
      <c r="P134" s="42" t="str" cm="1">
        <f t="array" ref="P134">IFERROR(_xlfn.TEXTJOIN(", ", TRUE, _xlfn._xlws.FILTER(
    INDEX(Input!$D$2:$AC$500,,MATCH("Disk Capacity",Input!$D$1:$AC$1,0)),
    Input!$J$2:$J$500=B134
)), "")</f>
        <v/>
      </c>
      <c r="Q134" s="32" t="e">
        <f t="shared" si="7"/>
        <v>#N/A</v>
      </c>
      <c r="R134" s="42" t="e">
        <f>_xlfn.LET(_xlpm.Result,INDEX(Input!$D$2:$AC$500,
       MATCH(B134, Input!$J$2:$J$500, 0),
       MATCH("Capacity", Input!$D$1:$AC$1, 0)),IF(_xlpm.Result="","",_xlpm.Result))</f>
        <v>#N/A</v>
      </c>
      <c r="S134" s="42" t="e" cm="1">
        <f t="array" ref="S134">_xlfn.TEXTSPLIT(R134," / ", ,TRUE,0,)</f>
        <v>#N/A</v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:AD134">IFERROR(IF(_xlfn.XLOOKUP(B134,Input!J:J,Input!N:U)=0,"",
          _xlfn.XLOOKUP(B134,Input!J:J,Input!N:U)),"")</f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42" t="str">
        <v/>
      </c>
      <c r="AE134" s="32" t="str">
        <f t="shared" si="6"/>
        <v/>
      </c>
      <c r="AF134" s="32" t="str">
        <f>_xlfn.XLOOKUP(B:B,Disk_Pivot!G:G,Disk_Pivot!I:I)</f>
        <v>Yes x2</v>
      </c>
      <c r="AG134" s="32" t="str">
        <f>_xlfn.XLOOKUP(B134,Disk_Pivot!G:G,Disk_Pivot!N:N)</f>
        <v>Pass, Fail</v>
      </c>
      <c r="AH134" s="32"/>
      <c r="AI134" s="32"/>
      <c r="AJ134" s="32"/>
      <c r="AK134" s="32"/>
      <c r="AL134" s="32"/>
      <c r="AM134" s="32"/>
    </row>
    <row r="135" spans="1:39">
      <c r="A135" s="32" t="str">
        <f>_xlfn.XLOOKUP(B135,Input!J:J,Input!G:G)&amp;""</f>
        <v/>
      </c>
      <c r="B135" s="32"/>
      <c r="C135" s="32" t="str">
        <f>_xlfn.XLOOKUP(B135,Input!J:J,Input!H:H)&amp;""</f>
        <v/>
      </c>
      <c r="D135" s="42">
        <f>_xlfn.XLOOKUP(B135,Input!J:J,Input!F:F)</f>
        <v>0</v>
      </c>
      <c r="E135" s="32">
        <f>_xlfn.XLOOKUP(D135,Models!H:H,Models!G:G,D135)</f>
        <v>0</v>
      </c>
      <c r="F135" s="32">
        <f>_xlfn.XLOOKUP(B135,Input!J:J,Input!E:E)</f>
        <v>0</v>
      </c>
      <c r="G135" s="32">
        <f>IF(F135="LENOVO",_xlfn.XLOOKUP(B135,Input!J:J,Input!K:K),_xlfn.XLOOKUP(B135,Input!J:J,Input!L:L))</f>
        <v>0</v>
      </c>
      <c r="H135" s="32"/>
      <c r="I135" s="32"/>
      <c r="J135" s="32">
        <f>_xlfn.XLOOKUP(B135,CPU_Formula!A:A,CPU_Formula!I:I)</f>
        <v>0</v>
      </c>
      <c r="K135" s="42" t="e">
        <f>INDEX(Input!$D$2:$AC$500,
       MATCH(B135, Input!$J$2:$J$500, 0),
       MATCH("Total Memory", Input!$D$1:$AC$1, 0))</f>
        <v>#N/A</v>
      </c>
      <c r="L135" s="42" t="e">
        <f>INDEX(Input!$D$2:$AC$500,
       MATCH(B135, Input!$J$2:$J$500, 0),
       MATCH("Memory Type", Input!$D$1:$AC$1, 0))</f>
        <v>#N/A</v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e">
        <f t="shared" si="8"/>
        <v>#N/A</v>
      </c>
      <c r="O135" s="42" t="e">
        <f>INDEX(Input!$D$2:$AC$500,
       MATCH(B135, Input!$J$2:$J$500, 0),
       MATCH("Disk Interface Type", Input!$D$1:$AC$1, 0))</f>
        <v>#N/A</v>
      </c>
      <c r="P135" s="42" t="str" cm="1">
        <f t="array" ref="P135">IFERROR(_xlfn.TEXTJOIN(", ", TRUE, _xlfn._xlws.FILTER(
    INDEX(Input!$D$2:$AC$500,,MATCH("Disk Capacity",Input!$D$1:$AC$1,0)),
    Input!$J$2:$J$500=B135
)), "")</f>
        <v/>
      </c>
      <c r="Q135" s="32" t="e">
        <f t="shared" si="7"/>
        <v>#N/A</v>
      </c>
      <c r="R135" s="42" t="e">
        <f>_xlfn.LET(_xlpm.Result,INDEX(Input!$D$2:$AC$500,
       MATCH(B135, Input!$J$2:$J$500, 0),
       MATCH("Capacity", Input!$D$1:$AC$1, 0)),IF(_xlpm.Result="","",_xlpm.Result))</f>
        <v>#N/A</v>
      </c>
      <c r="S135" s="42" t="e" cm="1">
        <f t="array" ref="S135">_xlfn.TEXTSPLIT(R135," / ", ,TRUE,0,)</f>
        <v>#N/A</v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:AD135">IFERROR(IF(_xlfn.XLOOKUP(B135,Input!J:J,Input!N:U)=0,"",
          _xlfn.XLOOKUP(B135,Input!J:J,Input!N:U)),"")</f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42" t="str">
        <v/>
      </c>
      <c r="AE135" s="32" t="str">
        <f t="shared" si="6"/>
        <v/>
      </c>
      <c r="AF135" s="32" t="str">
        <f>_xlfn.XLOOKUP(B:B,Disk_Pivot!G:G,Disk_Pivot!I:I)</f>
        <v>Yes x2</v>
      </c>
      <c r="AG135" s="32" t="str">
        <f>_xlfn.XLOOKUP(B135,Disk_Pivot!G:G,Disk_Pivot!N:N)</f>
        <v>Pass, Fail</v>
      </c>
      <c r="AH135" s="32"/>
      <c r="AI135" s="32"/>
      <c r="AJ135" s="32"/>
      <c r="AK135" s="32"/>
      <c r="AL135" s="32"/>
      <c r="AM135" s="32"/>
    </row>
    <row r="136" spans="1:39">
      <c r="A136" s="32" t="str">
        <f>_xlfn.XLOOKUP(B136,Input!J:J,Input!G:G)&amp;""</f>
        <v/>
      </c>
      <c r="B136" s="32"/>
      <c r="C136" s="32" t="str">
        <f>_xlfn.XLOOKUP(B136,Input!J:J,Input!H:H)&amp;""</f>
        <v/>
      </c>
      <c r="D136" s="42">
        <f>_xlfn.XLOOKUP(B136,Input!J:J,Input!F:F)</f>
        <v>0</v>
      </c>
      <c r="E136" s="32">
        <f>_xlfn.XLOOKUP(D136,Models!H:H,Models!G:G,D136)</f>
        <v>0</v>
      </c>
      <c r="F136" s="32">
        <f>_xlfn.XLOOKUP(B136,Input!J:J,Input!E:E)</f>
        <v>0</v>
      </c>
      <c r="G136" s="32">
        <f>IF(F136="LENOVO",_xlfn.XLOOKUP(B136,Input!J:J,Input!K:K),_xlfn.XLOOKUP(B136,Input!J:J,Input!L:L))</f>
        <v>0</v>
      </c>
      <c r="H136" s="32"/>
      <c r="I136" s="32"/>
      <c r="J136" s="32">
        <f>_xlfn.XLOOKUP(B136,CPU_Formula!A:A,CPU_Formula!I:I)</f>
        <v>0</v>
      </c>
      <c r="K136" s="42" t="e">
        <f>INDEX(Input!$D$2:$AC$500,
       MATCH(B136, Input!$J$2:$J$500, 0),
       MATCH("Total Memory", Input!$D$1:$AC$1, 0))</f>
        <v>#N/A</v>
      </c>
      <c r="L136" s="42" t="e">
        <f>INDEX(Input!$D$2:$AC$500,
       MATCH(B136, Input!$J$2:$J$500, 0),
       MATCH("Memory Type", Input!$D$1:$AC$1, 0))</f>
        <v>#N/A</v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e">
        <f t="shared" si="8"/>
        <v>#N/A</v>
      </c>
      <c r="O136" s="42" t="e">
        <f>INDEX(Input!$D$2:$AC$500,
       MATCH(B136, Input!$J$2:$J$500, 0),
       MATCH("Disk Interface Type", Input!$D$1:$AC$1, 0))</f>
        <v>#N/A</v>
      </c>
      <c r="P136" s="42" t="str" cm="1">
        <f t="array" ref="P136">IFERROR(_xlfn.TEXTJOIN(", ", TRUE, _xlfn._xlws.FILTER(
    INDEX(Input!$D$2:$AC$500,,MATCH("Disk Capacity",Input!$D$1:$AC$1,0)),
    Input!$J$2:$J$500=B136
)), "")</f>
        <v/>
      </c>
      <c r="Q136" s="32" t="e">
        <f t="shared" si="7"/>
        <v>#N/A</v>
      </c>
      <c r="R136" s="42" t="e">
        <f>_xlfn.LET(_xlpm.Result,INDEX(Input!$D$2:$AC$500,
       MATCH(B136, Input!$J$2:$J$500, 0),
       MATCH("Capacity", Input!$D$1:$AC$1, 0)),IF(_xlpm.Result="","",_xlpm.Result))</f>
        <v>#N/A</v>
      </c>
      <c r="S136" s="42" t="e" cm="1">
        <f t="array" ref="S136">_xlfn.TEXTSPLIT(R136," / ", ,TRUE,0,)</f>
        <v>#N/A</v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:AD136">IFERROR(IF(_xlfn.XLOOKUP(B136,Input!J:J,Input!N:U)=0,"",
          _xlfn.XLOOKUP(B136,Input!J:J,Input!N:U)),"")</f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42" t="str">
        <v/>
      </c>
      <c r="AE136" s="32" t="str">
        <f t="shared" si="6"/>
        <v/>
      </c>
      <c r="AF136" s="32" t="str">
        <f>_xlfn.XLOOKUP(B:B,Disk_Pivot!G:G,Disk_Pivot!I:I)</f>
        <v>Yes x2</v>
      </c>
      <c r="AG136" s="32" t="str">
        <f>_xlfn.XLOOKUP(B136,Disk_Pivot!G:G,Disk_Pivot!N:N)</f>
        <v>Pass, Fail</v>
      </c>
      <c r="AH136" s="32"/>
      <c r="AI136" s="32"/>
      <c r="AJ136" s="32"/>
      <c r="AK136" s="32"/>
      <c r="AL136" s="32"/>
      <c r="AM136" s="32"/>
    </row>
    <row r="137" spans="1:39">
      <c r="A137" s="32" t="str">
        <f>_xlfn.XLOOKUP(B137,Input!J:J,Input!G:G)&amp;""</f>
        <v/>
      </c>
      <c r="B137" s="32"/>
      <c r="C137" s="32" t="str">
        <f>_xlfn.XLOOKUP(B137,Input!J:J,Input!H:H)&amp;""</f>
        <v/>
      </c>
      <c r="D137" s="42">
        <f>_xlfn.XLOOKUP(B137,Input!J:J,Input!F:F)</f>
        <v>0</v>
      </c>
      <c r="E137" s="32">
        <f>_xlfn.XLOOKUP(D137,Models!H:H,Models!G:G,D137)</f>
        <v>0</v>
      </c>
      <c r="F137" s="32">
        <f>_xlfn.XLOOKUP(B137,Input!J:J,Input!E:E)</f>
        <v>0</v>
      </c>
      <c r="G137" s="32">
        <f>IF(F137="LENOVO",_xlfn.XLOOKUP(B137,Input!J:J,Input!K:K),_xlfn.XLOOKUP(B137,Input!J:J,Input!L:L))</f>
        <v>0</v>
      </c>
      <c r="H137" s="32"/>
      <c r="I137" s="32"/>
      <c r="J137" s="32">
        <f>_xlfn.XLOOKUP(B137,CPU_Formula!A:A,CPU_Formula!I:I)</f>
        <v>0</v>
      </c>
      <c r="K137" s="42" t="e">
        <f>INDEX(Input!$D$2:$AC$500,
       MATCH(B137, Input!$J$2:$J$500, 0),
       MATCH("Total Memory", Input!$D$1:$AC$1, 0))</f>
        <v>#N/A</v>
      </c>
      <c r="L137" s="42" t="e">
        <f>INDEX(Input!$D$2:$AC$500,
       MATCH(B137, Input!$J$2:$J$500, 0),
       MATCH("Memory Type", Input!$D$1:$AC$1, 0))</f>
        <v>#N/A</v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e">
        <f t="shared" si="8"/>
        <v>#N/A</v>
      </c>
      <c r="O137" s="42" t="e">
        <f>INDEX(Input!$D$2:$AC$500,
       MATCH(B137, Input!$J$2:$J$500, 0),
       MATCH("Disk Interface Type", Input!$D$1:$AC$1, 0))</f>
        <v>#N/A</v>
      </c>
      <c r="P137" s="42" t="str" cm="1">
        <f t="array" ref="P137">IFERROR(_xlfn.TEXTJOIN(", ", TRUE, _xlfn._xlws.FILTER(
    INDEX(Input!$D$2:$AC$500,,MATCH("Disk Capacity",Input!$D$1:$AC$1,0)),
    Input!$J$2:$J$500=B137
)), "")</f>
        <v/>
      </c>
      <c r="Q137" s="32" t="e">
        <f t="shared" si="7"/>
        <v>#N/A</v>
      </c>
      <c r="R137" s="42" t="e">
        <f>_xlfn.LET(_xlpm.Result,INDEX(Input!$D$2:$AC$500,
       MATCH(B137, Input!$J$2:$J$500, 0),
       MATCH("Capacity", Input!$D$1:$AC$1, 0)),IF(_xlpm.Result="","",_xlpm.Result))</f>
        <v>#N/A</v>
      </c>
      <c r="S137" s="42" t="e" cm="1">
        <f t="array" ref="S137">_xlfn.TEXTSPLIT(R137," / ", ,TRUE,0,)</f>
        <v>#N/A</v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:AD137">IFERROR(IF(_xlfn.XLOOKUP(B137,Input!J:J,Input!N:U)=0,"",
          _xlfn.XLOOKUP(B137,Input!J:J,Input!N:U)),"")</f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42" t="str">
        <v/>
      </c>
      <c r="AE137" s="32" t="str">
        <f t="shared" si="6"/>
        <v/>
      </c>
      <c r="AF137" s="32" t="str">
        <f>_xlfn.XLOOKUP(B:B,Disk_Pivot!G:G,Disk_Pivot!I:I)</f>
        <v>Yes x2</v>
      </c>
      <c r="AG137" s="32" t="str">
        <f>_xlfn.XLOOKUP(B137,Disk_Pivot!G:G,Disk_Pivot!N:N)</f>
        <v>Pass, Fail</v>
      </c>
      <c r="AH137" s="32"/>
      <c r="AI137" s="32"/>
      <c r="AJ137" s="32"/>
      <c r="AK137" s="32"/>
      <c r="AL137" s="32"/>
      <c r="AM137" s="32"/>
    </row>
    <row r="138" spans="1:39">
      <c r="A138" s="32" t="str">
        <f>_xlfn.XLOOKUP(B138,Input!J:J,Input!G:G)&amp;""</f>
        <v/>
      </c>
      <c r="B138" s="32"/>
      <c r="C138" s="32" t="str">
        <f>_xlfn.XLOOKUP(B138,Input!J:J,Input!H:H)&amp;""</f>
        <v/>
      </c>
      <c r="D138" s="42">
        <f>_xlfn.XLOOKUP(B138,Input!J:J,Input!F:F)</f>
        <v>0</v>
      </c>
      <c r="E138" s="32">
        <f>_xlfn.XLOOKUP(D138,Models!H:H,Models!G:G,D138)</f>
        <v>0</v>
      </c>
      <c r="F138" s="32">
        <f>_xlfn.XLOOKUP(B138,Input!J:J,Input!E:E)</f>
        <v>0</v>
      </c>
      <c r="G138" s="32">
        <f>IF(F138="LENOVO",_xlfn.XLOOKUP(B138,Input!J:J,Input!K:K),_xlfn.XLOOKUP(B138,Input!J:J,Input!L:L))</f>
        <v>0</v>
      </c>
      <c r="H138" s="32"/>
      <c r="I138" s="32"/>
      <c r="J138" s="32">
        <f>_xlfn.XLOOKUP(B138,CPU_Formula!A:A,CPU_Formula!I:I)</f>
        <v>0</v>
      </c>
      <c r="K138" s="42" t="e">
        <f>INDEX(Input!$D$2:$AC$500,
       MATCH(B138, Input!$J$2:$J$500, 0),
       MATCH("Total Memory", Input!$D$1:$AC$1, 0))</f>
        <v>#N/A</v>
      </c>
      <c r="L138" s="42" t="e">
        <f>INDEX(Input!$D$2:$AC$500,
       MATCH(B138, Input!$J$2:$J$500, 0),
       MATCH("Memory Type", Input!$D$1:$AC$1, 0))</f>
        <v>#N/A</v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e">
        <f t="shared" si="8"/>
        <v>#N/A</v>
      </c>
      <c r="O138" s="42" t="e">
        <f>INDEX(Input!$D$2:$AC$500,
       MATCH(B138, Input!$J$2:$J$500, 0),
       MATCH("Disk Interface Type", Input!$D$1:$AC$1, 0))</f>
        <v>#N/A</v>
      </c>
      <c r="P138" s="42" t="str" cm="1">
        <f t="array" ref="P138">IFERROR(_xlfn.TEXTJOIN(", ", TRUE, _xlfn._xlws.FILTER(
    INDEX(Input!$D$2:$AC$500,,MATCH("Disk Capacity",Input!$D$1:$AC$1,0)),
    Input!$J$2:$J$500=B138
)), "")</f>
        <v/>
      </c>
      <c r="Q138" s="32" t="e">
        <f t="shared" si="7"/>
        <v>#N/A</v>
      </c>
      <c r="R138" s="42" t="e">
        <f>_xlfn.LET(_xlpm.Result,INDEX(Input!$D$2:$AC$500,
       MATCH(B138, Input!$J$2:$J$500, 0),
       MATCH("Capacity", Input!$D$1:$AC$1, 0)),IF(_xlpm.Result="","",_xlpm.Result))</f>
        <v>#N/A</v>
      </c>
      <c r="S138" s="42" t="e" cm="1">
        <f t="array" ref="S138">_xlfn.TEXTSPLIT(R138," / ", ,TRUE,0,)</f>
        <v>#N/A</v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:AD138">IFERROR(IF(_xlfn.XLOOKUP(B138,Input!J:J,Input!N:U)=0,"",
          _xlfn.XLOOKUP(B138,Input!J:J,Input!N:U)),"")</f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42" t="str">
        <v/>
      </c>
      <c r="AE138" s="32" t="str">
        <f t="shared" si="6"/>
        <v/>
      </c>
      <c r="AF138" s="32" t="str">
        <f>_xlfn.XLOOKUP(B:B,Disk_Pivot!G:G,Disk_Pivot!I:I)</f>
        <v>Yes x2</v>
      </c>
      <c r="AG138" s="32" t="str">
        <f>_xlfn.XLOOKUP(B138,Disk_Pivot!G:G,Disk_Pivot!N:N)</f>
        <v>Pass, Fail</v>
      </c>
      <c r="AH138" s="32"/>
      <c r="AI138" s="32"/>
      <c r="AJ138" s="32"/>
      <c r="AK138" s="32"/>
      <c r="AL138" s="32"/>
      <c r="AM138" s="32"/>
    </row>
    <row r="139" spans="1:39">
      <c r="A139" s="32" t="str">
        <f>_xlfn.XLOOKUP(B139,Input!J:J,Input!G:G)&amp;""</f>
        <v/>
      </c>
      <c r="B139" s="32"/>
      <c r="C139" s="32" t="str">
        <f>_xlfn.XLOOKUP(B139,Input!J:J,Input!H:H)&amp;""</f>
        <v/>
      </c>
      <c r="D139" s="42">
        <f>_xlfn.XLOOKUP(B139,Input!J:J,Input!F:F)</f>
        <v>0</v>
      </c>
      <c r="E139" s="32">
        <f>_xlfn.XLOOKUP(D139,Models!H:H,Models!G:G,D139)</f>
        <v>0</v>
      </c>
      <c r="F139" s="32">
        <f>_xlfn.XLOOKUP(B139,Input!J:J,Input!E:E)</f>
        <v>0</v>
      </c>
      <c r="G139" s="32">
        <f>IF(F139="LENOVO",_xlfn.XLOOKUP(B139,Input!J:J,Input!K:K),_xlfn.XLOOKUP(B139,Input!J:J,Input!L:L))</f>
        <v>0</v>
      </c>
      <c r="H139" s="32"/>
      <c r="I139" s="32"/>
      <c r="J139" s="32">
        <f>_xlfn.XLOOKUP(B139,CPU_Formula!A:A,CPU_Formula!I:I)</f>
        <v>0</v>
      </c>
      <c r="K139" s="42" t="e">
        <f>INDEX(Input!$D$2:$AC$500,
       MATCH(B139, Input!$J$2:$J$500, 0),
       MATCH("Total Memory", Input!$D$1:$AC$1, 0))</f>
        <v>#N/A</v>
      </c>
      <c r="L139" s="42" t="e">
        <f>INDEX(Input!$D$2:$AC$500,
       MATCH(B139, Input!$J$2:$J$500, 0),
       MATCH("Memory Type", Input!$D$1:$AC$1, 0))</f>
        <v>#N/A</v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e">
        <f t="shared" si="8"/>
        <v>#N/A</v>
      </c>
      <c r="O139" s="42" t="e">
        <f>INDEX(Input!$D$2:$AC$500,
       MATCH(B139, Input!$J$2:$J$500, 0),
       MATCH("Disk Interface Type", Input!$D$1:$AC$1, 0))</f>
        <v>#N/A</v>
      </c>
      <c r="P139" s="42" t="str" cm="1">
        <f t="array" ref="P139">IFERROR(_xlfn.TEXTJOIN(", ", TRUE, _xlfn._xlws.FILTER(
    INDEX(Input!$D$2:$AC$500,,MATCH("Disk Capacity",Input!$D$1:$AC$1,0)),
    Input!$J$2:$J$500=B139
)), "")</f>
        <v/>
      </c>
      <c r="Q139" s="32" t="e">
        <f t="shared" si="7"/>
        <v>#N/A</v>
      </c>
      <c r="R139" s="42" t="e">
        <f>_xlfn.LET(_xlpm.Result,INDEX(Input!$D$2:$AC$500,
       MATCH(B139, Input!$J$2:$J$500, 0),
       MATCH("Capacity", Input!$D$1:$AC$1, 0)),IF(_xlpm.Result="","",_xlpm.Result))</f>
        <v>#N/A</v>
      </c>
      <c r="S139" s="42" t="e" cm="1">
        <f t="array" ref="S139">_xlfn.TEXTSPLIT(R139," / ", ,TRUE,0,)</f>
        <v>#N/A</v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:AD139">IFERROR(IF(_xlfn.XLOOKUP(B139,Input!J:J,Input!N:U)=0,"",
          _xlfn.XLOOKUP(B139,Input!J:J,Input!N:U)),"")</f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42" t="str">
        <v/>
      </c>
      <c r="AE139" s="32" t="str">
        <f t="shared" si="6"/>
        <v/>
      </c>
      <c r="AF139" s="32" t="str">
        <f>_xlfn.XLOOKUP(B:B,Disk_Pivot!G:G,Disk_Pivot!I:I)</f>
        <v>Yes x2</v>
      </c>
      <c r="AG139" s="32" t="str">
        <f>_xlfn.XLOOKUP(B139,Disk_Pivot!G:G,Disk_Pivot!N:N)</f>
        <v>Pass, Fail</v>
      </c>
      <c r="AH139" s="32"/>
      <c r="AI139" s="32"/>
      <c r="AJ139" s="32"/>
      <c r="AK139" s="32"/>
      <c r="AL139" s="32"/>
      <c r="AM139" s="32"/>
    </row>
    <row r="140" spans="1:39">
      <c r="A140" s="32" t="str">
        <f>_xlfn.XLOOKUP(B140,Input!J:J,Input!G:G)&amp;""</f>
        <v/>
      </c>
      <c r="B140" s="32"/>
      <c r="C140" s="32" t="str">
        <f>_xlfn.XLOOKUP(B140,Input!J:J,Input!H:H)&amp;""</f>
        <v/>
      </c>
      <c r="D140" s="42">
        <f>_xlfn.XLOOKUP(B140,Input!J:J,Input!F:F)</f>
        <v>0</v>
      </c>
      <c r="E140" s="32">
        <f>_xlfn.XLOOKUP(D140,Models!H:H,Models!G:G,D140)</f>
        <v>0</v>
      </c>
      <c r="F140" s="32">
        <f>_xlfn.XLOOKUP(B140,Input!J:J,Input!E:E)</f>
        <v>0</v>
      </c>
      <c r="G140" s="32">
        <f>IF(F140="LENOVO",_xlfn.XLOOKUP(B140,Input!J:J,Input!K:K),_xlfn.XLOOKUP(B140,Input!J:J,Input!L:L))</f>
        <v>0</v>
      </c>
      <c r="H140" s="32"/>
      <c r="I140" s="32"/>
      <c r="J140" s="32">
        <f>_xlfn.XLOOKUP(B140,CPU_Formula!A:A,CPU_Formula!I:I)</f>
        <v>0</v>
      </c>
      <c r="K140" s="42" t="e">
        <f>INDEX(Input!$D$2:$AC$500,
       MATCH(B140, Input!$J$2:$J$500, 0),
       MATCH("Total Memory", Input!$D$1:$AC$1, 0))</f>
        <v>#N/A</v>
      </c>
      <c r="L140" s="42" t="e">
        <f>INDEX(Input!$D$2:$AC$500,
       MATCH(B140, Input!$J$2:$J$500, 0),
       MATCH("Memory Type", Input!$D$1:$AC$1, 0))</f>
        <v>#N/A</v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e">
        <f t="shared" si="8"/>
        <v>#N/A</v>
      </c>
      <c r="O140" s="42" t="e">
        <f>INDEX(Input!$D$2:$AC$500,
       MATCH(B140, Input!$J$2:$J$500, 0),
       MATCH("Disk Interface Type", Input!$D$1:$AC$1, 0))</f>
        <v>#N/A</v>
      </c>
      <c r="P140" s="42" t="str" cm="1">
        <f t="array" ref="P140">IFERROR(_xlfn.TEXTJOIN(", ", TRUE, _xlfn._xlws.FILTER(
    INDEX(Input!$D$2:$AC$500,,MATCH("Disk Capacity",Input!$D$1:$AC$1,0)),
    Input!$J$2:$J$500=B140
)), "")</f>
        <v/>
      </c>
      <c r="Q140" s="32" t="e">
        <f t="shared" si="7"/>
        <v>#N/A</v>
      </c>
      <c r="R140" s="42" t="e">
        <f>_xlfn.LET(_xlpm.Result,INDEX(Input!$D$2:$AC$500,
       MATCH(B140, Input!$J$2:$J$500, 0),
       MATCH("Capacity", Input!$D$1:$AC$1, 0)),IF(_xlpm.Result="","",_xlpm.Result))</f>
        <v>#N/A</v>
      </c>
      <c r="S140" s="42" t="e" cm="1">
        <f t="array" ref="S140">_xlfn.TEXTSPLIT(R140," / ", ,TRUE,0,)</f>
        <v>#N/A</v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:AD140">IFERROR(IF(_xlfn.XLOOKUP(B140,Input!J:J,Input!N:U)=0,"",
          _xlfn.XLOOKUP(B140,Input!J:J,Input!N:U)),"")</f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42" t="str">
        <v/>
      </c>
      <c r="AE140" s="32" t="str">
        <f t="shared" si="6"/>
        <v/>
      </c>
      <c r="AF140" s="32" t="str">
        <f>_xlfn.XLOOKUP(B:B,Disk_Pivot!G:G,Disk_Pivot!I:I)</f>
        <v>Yes x2</v>
      </c>
      <c r="AG140" s="32" t="str">
        <f>_xlfn.XLOOKUP(B140,Disk_Pivot!G:G,Disk_Pivot!N:N)</f>
        <v>Pass, Fail</v>
      </c>
      <c r="AH140" s="32"/>
      <c r="AI140" s="32"/>
      <c r="AJ140" s="32"/>
      <c r="AK140" s="32"/>
      <c r="AL140" s="32"/>
      <c r="AM140" s="32"/>
    </row>
    <row r="141" spans="1:39">
      <c r="A141" s="32" t="str">
        <f>_xlfn.XLOOKUP(B141,Input!J:J,Input!G:G)&amp;""</f>
        <v/>
      </c>
      <c r="B141" s="32"/>
      <c r="C141" s="32" t="str">
        <f>_xlfn.XLOOKUP(B141,Input!J:J,Input!H:H)&amp;""</f>
        <v/>
      </c>
      <c r="D141" s="42">
        <f>_xlfn.XLOOKUP(B141,Input!J:J,Input!F:F)</f>
        <v>0</v>
      </c>
      <c r="E141" s="32">
        <f>_xlfn.XLOOKUP(D141,Models!H:H,Models!G:G,D141)</f>
        <v>0</v>
      </c>
      <c r="F141" s="32">
        <f>_xlfn.XLOOKUP(B141,Input!J:J,Input!E:E)</f>
        <v>0</v>
      </c>
      <c r="G141" s="32">
        <f>IF(F141="LENOVO",_xlfn.XLOOKUP(B141,Input!J:J,Input!K:K),_xlfn.XLOOKUP(B141,Input!J:J,Input!L:L))</f>
        <v>0</v>
      </c>
      <c r="H141" s="32"/>
      <c r="I141" s="32"/>
      <c r="J141" s="32">
        <f>_xlfn.XLOOKUP(B141,CPU_Formula!A:A,CPU_Formula!I:I)</f>
        <v>0</v>
      </c>
      <c r="K141" s="42" t="e">
        <f>INDEX(Input!$D$2:$AC$500,
       MATCH(B141, Input!$J$2:$J$500, 0),
       MATCH("Total Memory", Input!$D$1:$AC$1, 0))</f>
        <v>#N/A</v>
      </c>
      <c r="L141" s="42" t="e">
        <f>INDEX(Input!$D$2:$AC$500,
       MATCH(B141, Input!$J$2:$J$500, 0),
       MATCH("Memory Type", Input!$D$1:$AC$1, 0))</f>
        <v>#N/A</v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e">
        <f t="shared" si="8"/>
        <v>#N/A</v>
      </c>
      <c r="O141" s="42" t="e">
        <f>INDEX(Input!$D$2:$AC$500,
       MATCH(B141, Input!$J$2:$J$500, 0),
       MATCH("Disk Interface Type", Input!$D$1:$AC$1, 0))</f>
        <v>#N/A</v>
      </c>
      <c r="P141" s="42" t="str" cm="1">
        <f t="array" ref="P141">IFERROR(_xlfn.TEXTJOIN(", ", TRUE, _xlfn._xlws.FILTER(
    INDEX(Input!$D$2:$AC$500,,MATCH("Disk Capacity",Input!$D$1:$AC$1,0)),
    Input!$J$2:$J$500=B141
)), "")</f>
        <v/>
      </c>
      <c r="Q141" s="32" t="e">
        <f t="shared" si="7"/>
        <v>#N/A</v>
      </c>
      <c r="R141" s="42" t="e">
        <f>_xlfn.LET(_xlpm.Result,INDEX(Input!$D$2:$AC$500,
       MATCH(B141, Input!$J$2:$J$500, 0),
       MATCH("Capacity", Input!$D$1:$AC$1, 0)),IF(_xlpm.Result="","",_xlpm.Result))</f>
        <v>#N/A</v>
      </c>
      <c r="S141" s="42" t="e" cm="1">
        <f t="array" ref="S141">_xlfn.TEXTSPLIT(R141," / ", ,TRUE,0,)</f>
        <v>#N/A</v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:AD141">IFERROR(IF(_xlfn.XLOOKUP(B141,Input!J:J,Input!N:U)=0,"",
          _xlfn.XLOOKUP(B141,Input!J:J,Input!N:U)),"")</f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42" t="str">
        <v/>
      </c>
      <c r="AE141" s="32" t="str">
        <f t="shared" si="6"/>
        <v/>
      </c>
      <c r="AF141" s="32" t="str">
        <f>_xlfn.XLOOKUP(B:B,Disk_Pivot!G:G,Disk_Pivot!I:I)</f>
        <v>Yes x2</v>
      </c>
      <c r="AG141" s="32" t="str">
        <f>_xlfn.XLOOKUP(B141,Disk_Pivot!G:G,Disk_Pivot!N:N)</f>
        <v>Pass, Fail</v>
      </c>
      <c r="AH141" s="32"/>
      <c r="AI141" s="32"/>
      <c r="AJ141" s="32"/>
      <c r="AK141" s="32"/>
      <c r="AL141" s="32"/>
      <c r="AM141" s="32"/>
    </row>
    <row r="142" spans="1:39">
      <c r="A142" s="32" t="str">
        <f>_xlfn.XLOOKUP(B142,Input!J:J,Input!G:G)&amp;""</f>
        <v/>
      </c>
      <c r="B142" s="32"/>
      <c r="C142" s="32" t="str">
        <f>_xlfn.XLOOKUP(B142,Input!J:J,Input!H:H)&amp;""</f>
        <v/>
      </c>
      <c r="D142" s="42">
        <f>_xlfn.XLOOKUP(B142,Input!J:J,Input!F:F)</f>
        <v>0</v>
      </c>
      <c r="E142" s="32">
        <f>_xlfn.XLOOKUP(D142,Models!H:H,Models!G:G,D142)</f>
        <v>0</v>
      </c>
      <c r="F142" s="32">
        <f>_xlfn.XLOOKUP(B142,Input!J:J,Input!E:E)</f>
        <v>0</v>
      </c>
      <c r="G142" s="32">
        <f>IF(F142="LENOVO",_xlfn.XLOOKUP(B142,Input!J:J,Input!K:K),_xlfn.XLOOKUP(B142,Input!J:J,Input!L:L))</f>
        <v>0</v>
      </c>
      <c r="H142" s="32"/>
      <c r="I142" s="32"/>
      <c r="J142" s="32">
        <f>_xlfn.XLOOKUP(B142,CPU_Formula!A:A,CPU_Formula!I:I)</f>
        <v>0</v>
      </c>
      <c r="K142" s="42" t="e">
        <f>INDEX(Input!$D$2:$AC$500,
       MATCH(B142, Input!$J$2:$J$500, 0),
       MATCH("Total Memory", Input!$D$1:$AC$1, 0))</f>
        <v>#N/A</v>
      </c>
      <c r="L142" s="42" t="e">
        <f>INDEX(Input!$D$2:$AC$500,
       MATCH(B142, Input!$J$2:$J$500, 0),
       MATCH("Memory Type", Input!$D$1:$AC$1, 0))</f>
        <v>#N/A</v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e">
        <f t="shared" si="8"/>
        <v>#N/A</v>
      </c>
      <c r="O142" s="42" t="e">
        <f>INDEX(Input!$D$2:$AC$500,
       MATCH(B142, Input!$J$2:$J$500, 0),
       MATCH("Disk Interface Type", Input!$D$1:$AC$1, 0))</f>
        <v>#N/A</v>
      </c>
      <c r="P142" s="42" t="str" cm="1">
        <f t="array" ref="P142">IFERROR(_xlfn.TEXTJOIN(", ", TRUE, _xlfn._xlws.FILTER(
    INDEX(Input!$D$2:$AC$500,,MATCH("Disk Capacity",Input!$D$1:$AC$1,0)),
    Input!$J$2:$J$500=B142
)), "")</f>
        <v/>
      </c>
      <c r="Q142" s="32" t="e">
        <f t="shared" si="7"/>
        <v>#N/A</v>
      </c>
      <c r="R142" s="42" t="e">
        <f>_xlfn.LET(_xlpm.Result,INDEX(Input!$D$2:$AC$500,
       MATCH(B142, Input!$J$2:$J$500, 0),
       MATCH("Capacity", Input!$D$1:$AC$1, 0)),IF(_xlpm.Result="","",_xlpm.Result))</f>
        <v>#N/A</v>
      </c>
      <c r="S142" s="42" t="e" cm="1">
        <f t="array" ref="S142">_xlfn.TEXTSPLIT(R142," / ", ,TRUE,0,)</f>
        <v>#N/A</v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:AD142">IFERROR(IF(_xlfn.XLOOKUP(B142,Input!J:J,Input!N:U)=0,"",
          _xlfn.XLOOKUP(B142,Input!J:J,Input!N:U)),"")</f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42" t="str">
        <v/>
      </c>
      <c r="AE142" s="32" t="str">
        <f t="shared" si="6"/>
        <v/>
      </c>
      <c r="AF142" s="32" t="str">
        <f>_xlfn.XLOOKUP(B:B,Disk_Pivot!G:G,Disk_Pivot!I:I)</f>
        <v>Yes x2</v>
      </c>
      <c r="AG142" s="32" t="str">
        <f>_xlfn.XLOOKUP(B142,Disk_Pivot!G:G,Disk_Pivot!N:N)</f>
        <v>Pass, Fail</v>
      </c>
      <c r="AH142" s="32"/>
      <c r="AI142" s="32"/>
      <c r="AJ142" s="32"/>
      <c r="AK142" s="32"/>
      <c r="AL142" s="32"/>
      <c r="AM142" s="32"/>
    </row>
    <row r="143" spans="1:39">
      <c r="A143" s="32" t="str">
        <f>_xlfn.XLOOKUP(B143,Input!J:J,Input!G:G)&amp;""</f>
        <v/>
      </c>
      <c r="B143" s="32"/>
      <c r="C143" s="32" t="str">
        <f>_xlfn.XLOOKUP(B143,Input!J:J,Input!H:H)&amp;""</f>
        <v/>
      </c>
      <c r="D143" s="42">
        <f>_xlfn.XLOOKUP(B143,Input!J:J,Input!F:F)</f>
        <v>0</v>
      </c>
      <c r="E143" s="32">
        <f>_xlfn.XLOOKUP(D143,Models!H:H,Models!G:G,D143)</f>
        <v>0</v>
      </c>
      <c r="F143" s="32">
        <f>_xlfn.XLOOKUP(B143,Input!J:J,Input!E:E)</f>
        <v>0</v>
      </c>
      <c r="G143" s="32">
        <f>IF(F143="LENOVO",_xlfn.XLOOKUP(B143,Input!J:J,Input!K:K),_xlfn.XLOOKUP(B143,Input!J:J,Input!L:L))</f>
        <v>0</v>
      </c>
      <c r="H143" s="32"/>
      <c r="I143" s="32"/>
      <c r="J143" s="32">
        <f>_xlfn.XLOOKUP(B143,CPU_Formula!A:A,CPU_Formula!I:I)</f>
        <v>0</v>
      </c>
      <c r="K143" s="42" t="e">
        <f>INDEX(Input!$D$2:$AC$500,
       MATCH(B143, Input!$J$2:$J$500, 0),
       MATCH("Total Memory", Input!$D$1:$AC$1, 0))</f>
        <v>#N/A</v>
      </c>
      <c r="L143" s="42" t="e">
        <f>INDEX(Input!$D$2:$AC$500,
       MATCH(B143, Input!$J$2:$J$500, 0),
       MATCH("Memory Type", Input!$D$1:$AC$1, 0))</f>
        <v>#N/A</v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e">
        <f t="shared" si="8"/>
        <v>#N/A</v>
      </c>
      <c r="O143" s="42" t="e">
        <f>INDEX(Input!$D$2:$AC$500,
       MATCH(B143, Input!$J$2:$J$500, 0),
       MATCH("Disk Interface Type", Input!$D$1:$AC$1, 0))</f>
        <v>#N/A</v>
      </c>
      <c r="P143" s="42" t="str" cm="1">
        <f t="array" ref="P143">IFERROR(_xlfn.TEXTJOIN(", ", TRUE, _xlfn._xlws.FILTER(
    INDEX(Input!$D$2:$AC$500,,MATCH("Disk Capacity",Input!$D$1:$AC$1,0)),
    Input!$J$2:$J$500=B143
)), "")</f>
        <v/>
      </c>
      <c r="Q143" s="32" t="e">
        <f t="shared" si="7"/>
        <v>#N/A</v>
      </c>
      <c r="R143" s="42" t="e">
        <f>_xlfn.LET(_xlpm.Result,INDEX(Input!$D$2:$AC$500,
       MATCH(B143, Input!$J$2:$J$500, 0),
       MATCH("Capacity", Input!$D$1:$AC$1, 0)),IF(_xlpm.Result="","",_xlpm.Result))</f>
        <v>#N/A</v>
      </c>
      <c r="S143" s="42" t="e" cm="1">
        <f t="array" ref="S143">_xlfn.TEXTSPLIT(R143," / ", ,TRUE,0,)</f>
        <v>#N/A</v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:AD143">IFERROR(IF(_xlfn.XLOOKUP(B143,Input!J:J,Input!N:U)=0,"",
          _xlfn.XLOOKUP(B143,Input!J:J,Input!N:U)),"")</f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42" t="str">
        <v/>
      </c>
      <c r="AE143" s="32" t="str">
        <f t="shared" si="6"/>
        <v/>
      </c>
      <c r="AF143" s="32" t="str">
        <f>_xlfn.XLOOKUP(B:B,Disk_Pivot!G:G,Disk_Pivot!I:I)</f>
        <v>Yes x2</v>
      </c>
      <c r="AG143" s="32" t="str">
        <f>_xlfn.XLOOKUP(B143,Disk_Pivot!G:G,Disk_Pivot!N:N)</f>
        <v>Pass, Fail</v>
      </c>
      <c r="AH143" s="32"/>
      <c r="AI143" s="32"/>
      <c r="AJ143" s="32"/>
      <c r="AK143" s="32"/>
      <c r="AL143" s="32"/>
      <c r="AM143" s="32"/>
    </row>
    <row r="144" spans="1:39">
      <c r="A144" s="32" t="str">
        <f>_xlfn.XLOOKUP(B144,Input!J:J,Input!G:G)&amp;""</f>
        <v/>
      </c>
      <c r="B144" s="32"/>
      <c r="C144" s="32" t="str">
        <f>_xlfn.XLOOKUP(B144,Input!J:J,Input!H:H)&amp;""</f>
        <v/>
      </c>
      <c r="D144" s="42">
        <f>_xlfn.XLOOKUP(B144,Input!J:J,Input!F:F)</f>
        <v>0</v>
      </c>
      <c r="E144" s="32">
        <f>_xlfn.XLOOKUP(D144,Models!H:H,Models!G:G,D144)</f>
        <v>0</v>
      </c>
      <c r="F144" s="32">
        <f>_xlfn.XLOOKUP(B144,Input!J:J,Input!E:E)</f>
        <v>0</v>
      </c>
      <c r="G144" s="32">
        <f>IF(F144="LENOVO",_xlfn.XLOOKUP(B144,Input!J:J,Input!K:K),_xlfn.XLOOKUP(B144,Input!J:J,Input!L:L))</f>
        <v>0</v>
      </c>
      <c r="H144" s="32"/>
      <c r="I144" s="32"/>
      <c r="J144" s="32">
        <f>_xlfn.XLOOKUP(B144,CPU_Formula!A:A,CPU_Formula!I:I)</f>
        <v>0</v>
      </c>
      <c r="K144" s="42" t="e">
        <f>INDEX(Input!$D$2:$AC$500,
       MATCH(B144, Input!$J$2:$J$500, 0),
       MATCH("Total Memory", Input!$D$1:$AC$1, 0))</f>
        <v>#N/A</v>
      </c>
      <c r="L144" s="42" t="e">
        <f>INDEX(Input!$D$2:$AC$500,
       MATCH(B144, Input!$J$2:$J$500, 0),
       MATCH("Memory Type", Input!$D$1:$AC$1, 0))</f>
        <v>#N/A</v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e">
        <f t="shared" si="8"/>
        <v>#N/A</v>
      </c>
      <c r="O144" s="42" t="e">
        <f>INDEX(Input!$D$2:$AC$500,
       MATCH(B144, Input!$J$2:$J$500, 0),
       MATCH("Disk Interface Type", Input!$D$1:$AC$1, 0))</f>
        <v>#N/A</v>
      </c>
      <c r="P144" s="42" t="str" cm="1">
        <f t="array" ref="P144">IFERROR(_xlfn.TEXTJOIN(", ", TRUE, _xlfn._xlws.FILTER(
    INDEX(Input!$D$2:$AC$500,,MATCH("Disk Capacity",Input!$D$1:$AC$1,0)),
    Input!$J$2:$J$500=B144
)), "")</f>
        <v/>
      </c>
      <c r="Q144" s="32" t="e">
        <f t="shared" si="7"/>
        <v>#N/A</v>
      </c>
      <c r="R144" s="42" t="e">
        <f>_xlfn.LET(_xlpm.Result,INDEX(Input!$D$2:$AC$500,
       MATCH(B144, Input!$J$2:$J$500, 0),
       MATCH("Capacity", Input!$D$1:$AC$1, 0)),IF(_xlpm.Result="","",_xlpm.Result))</f>
        <v>#N/A</v>
      </c>
      <c r="S144" s="42" t="e" cm="1">
        <f t="array" ref="S144">_xlfn.TEXTSPLIT(R144," / ", ,TRUE,0,)</f>
        <v>#N/A</v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:AD144">IFERROR(IF(_xlfn.XLOOKUP(B144,Input!J:J,Input!N:U)=0,"",
          _xlfn.XLOOKUP(B144,Input!J:J,Input!N:U)),"")</f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42" t="str">
        <v/>
      </c>
      <c r="AE144" s="32" t="str">
        <f t="shared" si="6"/>
        <v/>
      </c>
      <c r="AF144" s="32" t="str">
        <f>_xlfn.XLOOKUP(B:B,Disk_Pivot!G:G,Disk_Pivot!I:I)</f>
        <v>Yes x2</v>
      </c>
      <c r="AG144" s="32" t="str">
        <f>_xlfn.XLOOKUP(B144,Disk_Pivot!G:G,Disk_Pivot!N:N)</f>
        <v>Pass, Fail</v>
      </c>
      <c r="AH144" s="32"/>
      <c r="AI144" s="32"/>
      <c r="AJ144" s="32"/>
      <c r="AK144" s="32"/>
      <c r="AL144" s="32"/>
      <c r="AM144" s="32"/>
    </row>
    <row r="145" spans="1:39">
      <c r="A145" s="32" t="str">
        <f>_xlfn.XLOOKUP(B145,Input!J:J,Input!G:G)&amp;""</f>
        <v/>
      </c>
      <c r="B145" s="32"/>
      <c r="C145" s="32" t="str">
        <f>_xlfn.XLOOKUP(B145,Input!J:J,Input!H:H)&amp;""</f>
        <v/>
      </c>
      <c r="D145" s="42">
        <f>_xlfn.XLOOKUP(B145,Input!J:J,Input!F:F)</f>
        <v>0</v>
      </c>
      <c r="E145" s="32">
        <f>_xlfn.XLOOKUP(D145,Models!H:H,Models!G:G,D145)</f>
        <v>0</v>
      </c>
      <c r="F145" s="32">
        <f>_xlfn.XLOOKUP(B145,Input!J:J,Input!E:E)</f>
        <v>0</v>
      </c>
      <c r="G145" s="32">
        <f>IF(F145="LENOVO",_xlfn.XLOOKUP(B145,Input!J:J,Input!K:K),_xlfn.XLOOKUP(B145,Input!J:J,Input!L:L))</f>
        <v>0</v>
      </c>
      <c r="H145" s="32"/>
      <c r="I145" s="32"/>
      <c r="J145" s="32">
        <f>_xlfn.XLOOKUP(B145,CPU_Formula!A:A,CPU_Formula!I:I)</f>
        <v>0</v>
      </c>
      <c r="K145" s="42" t="e">
        <f>INDEX(Input!$D$2:$AC$500,
       MATCH(B145, Input!$J$2:$J$500, 0),
       MATCH("Total Memory", Input!$D$1:$AC$1, 0))</f>
        <v>#N/A</v>
      </c>
      <c r="L145" s="42" t="e">
        <f>INDEX(Input!$D$2:$AC$500,
       MATCH(B145, Input!$J$2:$J$500, 0),
       MATCH("Memory Type", Input!$D$1:$AC$1, 0))</f>
        <v>#N/A</v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e">
        <f t="shared" si="8"/>
        <v>#N/A</v>
      </c>
      <c r="O145" s="42" t="e">
        <f>INDEX(Input!$D$2:$AC$500,
       MATCH(B145, Input!$J$2:$J$500, 0),
       MATCH("Disk Interface Type", Input!$D$1:$AC$1, 0))</f>
        <v>#N/A</v>
      </c>
      <c r="P145" s="42" t="str" cm="1">
        <f t="array" ref="P145">IFERROR(_xlfn.TEXTJOIN(", ", TRUE, _xlfn._xlws.FILTER(
    INDEX(Input!$D$2:$AC$500,,MATCH("Disk Capacity",Input!$D$1:$AC$1,0)),
    Input!$J$2:$J$500=B145
)), "")</f>
        <v/>
      </c>
      <c r="Q145" s="32" t="e">
        <f t="shared" si="7"/>
        <v>#N/A</v>
      </c>
      <c r="R145" s="42" t="e">
        <f>_xlfn.LET(_xlpm.Result,INDEX(Input!$D$2:$AC$500,
       MATCH(B145, Input!$J$2:$J$500, 0),
       MATCH("Capacity", Input!$D$1:$AC$1, 0)),IF(_xlpm.Result="","",_xlpm.Result))</f>
        <v>#N/A</v>
      </c>
      <c r="S145" s="42" t="e" cm="1">
        <f t="array" ref="S145">_xlfn.TEXTSPLIT(R145," / ", ,TRUE,0,)</f>
        <v>#N/A</v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:AD145">IFERROR(IF(_xlfn.XLOOKUP(B145,Input!J:J,Input!N:U)=0,"",
          _xlfn.XLOOKUP(B145,Input!J:J,Input!N:U)),"")</f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42" t="str">
        <v/>
      </c>
      <c r="AE145" s="32" t="str">
        <f t="shared" si="6"/>
        <v/>
      </c>
      <c r="AF145" s="32" t="str">
        <f>_xlfn.XLOOKUP(B:B,Disk_Pivot!G:G,Disk_Pivot!I:I)</f>
        <v>Yes x2</v>
      </c>
      <c r="AG145" s="32" t="str">
        <f>_xlfn.XLOOKUP(B145,Disk_Pivot!G:G,Disk_Pivot!N:N)</f>
        <v>Pass, Fail</v>
      </c>
      <c r="AH145" s="32"/>
      <c r="AI145" s="32"/>
      <c r="AJ145" s="32"/>
      <c r="AK145" s="32"/>
      <c r="AL145" s="32"/>
      <c r="AM145" s="32"/>
    </row>
    <row r="146" spans="1:39">
      <c r="A146" s="32" t="str">
        <f>_xlfn.XLOOKUP(B146,Input!J:J,Input!G:G)&amp;""</f>
        <v/>
      </c>
      <c r="B146" s="32"/>
      <c r="C146" s="32" t="str">
        <f>_xlfn.XLOOKUP(B146,Input!J:J,Input!H:H)&amp;""</f>
        <v/>
      </c>
      <c r="D146" s="42">
        <f>_xlfn.XLOOKUP(B146,Input!J:J,Input!F:F)</f>
        <v>0</v>
      </c>
      <c r="E146" s="32">
        <f>_xlfn.XLOOKUP(D146,Models!H:H,Models!G:G,D146)</f>
        <v>0</v>
      </c>
      <c r="F146" s="32">
        <f>_xlfn.XLOOKUP(B146,Input!J:J,Input!E:E)</f>
        <v>0</v>
      </c>
      <c r="G146" s="32">
        <f>IF(F146="LENOVO",_xlfn.XLOOKUP(B146,Input!J:J,Input!K:K),_xlfn.XLOOKUP(B146,Input!J:J,Input!L:L))</f>
        <v>0</v>
      </c>
      <c r="H146" s="32"/>
      <c r="I146" s="32"/>
      <c r="J146" s="32">
        <f>_xlfn.XLOOKUP(B146,CPU_Formula!A:A,CPU_Formula!I:I)</f>
        <v>0</v>
      </c>
      <c r="K146" s="42" t="e">
        <f>INDEX(Input!$D$2:$AC$500,
       MATCH(B146, Input!$J$2:$J$500, 0),
       MATCH("Total Memory", Input!$D$1:$AC$1, 0))</f>
        <v>#N/A</v>
      </c>
      <c r="L146" s="42" t="e">
        <f>INDEX(Input!$D$2:$AC$500,
       MATCH(B146, Input!$J$2:$J$500, 0),
       MATCH("Memory Type", Input!$D$1:$AC$1, 0))</f>
        <v>#N/A</v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e">
        <f t="shared" si="8"/>
        <v>#N/A</v>
      </c>
      <c r="O146" s="42" t="e">
        <f>INDEX(Input!$D$2:$AC$500,
       MATCH(B146, Input!$J$2:$J$500, 0),
       MATCH("Disk Interface Type", Input!$D$1:$AC$1, 0))</f>
        <v>#N/A</v>
      </c>
      <c r="P146" s="42" t="str" cm="1">
        <f t="array" ref="P146">IFERROR(_xlfn.TEXTJOIN(", ", TRUE, _xlfn._xlws.FILTER(
    INDEX(Input!$D$2:$AC$500,,MATCH("Disk Capacity",Input!$D$1:$AC$1,0)),
    Input!$J$2:$J$500=B146
)), "")</f>
        <v/>
      </c>
      <c r="Q146" s="32" t="e">
        <f t="shared" si="7"/>
        <v>#N/A</v>
      </c>
      <c r="R146" s="42" t="e">
        <f>_xlfn.LET(_xlpm.Result,INDEX(Input!$D$2:$AC$500,
       MATCH(B146, Input!$J$2:$J$500, 0),
       MATCH("Capacity", Input!$D$1:$AC$1, 0)),IF(_xlpm.Result="","",_xlpm.Result))</f>
        <v>#N/A</v>
      </c>
      <c r="S146" s="42" t="e" cm="1">
        <f t="array" ref="S146">_xlfn.TEXTSPLIT(R146," / ", ,TRUE,0,)</f>
        <v>#N/A</v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:AD146">IFERROR(IF(_xlfn.XLOOKUP(B146,Input!J:J,Input!N:U)=0,"",
          _xlfn.XLOOKUP(B146,Input!J:J,Input!N:U)),"")</f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42" t="str">
        <v/>
      </c>
      <c r="AE146" s="32" t="str">
        <f t="shared" si="6"/>
        <v/>
      </c>
      <c r="AF146" s="32" t="str">
        <f>_xlfn.XLOOKUP(B:B,Disk_Pivot!G:G,Disk_Pivot!I:I)</f>
        <v>Yes x2</v>
      </c>
      <c r="AG146" s="32" t="str">
        <f>_xlfn.XLOOKUP(B146,Disk_Pivot!G:G,Disk_Pivot!N:N)</f>
        <v>Pass, Fail</v>
      </c>
      <c r="AH146" s="32"/>
      <c r="AI146" s="32"/>
      <c r="AJ146" s="32"/>
      <c r="AK146" s="32"/>
      <c r="AL146" s="32"/>
      <c r="AM146" s="32"/>
    </row>
    <row r="147" spans="1:39">
      <c r="A147" s="32" t="str">
        <f>_xlfn.XLOOKUP(B147,Input!J:J,Input!G:G)&amp;""</f>
        <v/>
      </c>
      <c r="B147" s="32"/>
      <c r="C147" s="32" t="str">
        <f>_xlfn.XLOOKUP(B147,Input!J:J,Input!H:H)&amp;""</f>
        <v/>
      </c>
      <c r="D147" s="42">
        <f>_xlfn.XLOOKUP(B147,Input!J:J,Input!F:F)</f>
        <v>0</v>
      </c>
      <c r="E147" s="32">
        <f>_xlfn.XLOOKUP(D147,Models!H:H,Models!G:G,D147)</f>
        <v>0</v>
      </c>
      <c r="F147" s="32">
        <f>_xlfn.XLOOKUP(B147,Input!J:J,Input!E:E)</f>
        <v>0</v>
      </c>
      <c r="G147" s="32">
        <f>IF(F147="LENOVO",_xlfn.XLOOKUP(B147,Input!J:J,Input!K:K),_xlfn.XLOOKUP(B147,Input!J:J,Input!L:L))</f>
        <v>0</v>
      </c>
      <c r="H147" s="32"/>
      <c r="I147" s="32"/>
      <c r="J147" s="32">
        <f>_xlfn.XLOOKUP(B147,CPU_Formula!A:A,CPU_Formula!I:I)</f>
        <v>0</v>
      </c>
      <c r="K147" s="42" t="e">
        <f>INDEX(Input!$D$2:$AC$500,
       MATCH(B147, Input!$J$2:$J$500, 0),
       MATCH("Total Memory", Input!$D$1:$AC$1, 0))</f>
        <v>#N/A</v>
      </c>
      <c r="L147" s="42" t="e">
        <f>INDEX(Input!$D$2:$AC$500,
       MATCH(B147, Input!$J$2:$J$500, 0),
       MATCH("Memory Type", Input!$D$1:$AC$1, 0))</f>
        <v>#N/A</v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e">
        <f t="shared" si="8"/>
        <v>#N/A</v>
      </c>
      <c r="O147" s="42" t="e">
        <f>INDEX(Input!$D$2:$AC$500,
       MATCH(B147, Input!$J$2:$J$500, 0),
       MATCH("Disk Interface Type", Input!$D$1:$AC$1, 0))</f>
        <v>#N/A</v>
      </c>
      <c r="P147" s="42" t="str" cm="1">
        <f t="array" ref="P147">IFERROR(_xlfn.TEXTJOIN(", ", TRUE, _xlfn._xlws.FILTER(
    INDEX(Input!$D$2:$AC$500,,MATCH("Disk Capacity",Input!$D$1:$AC$1,0)),
    Input!$J$2:$J$500=B147
)), "")</f>
        <v/>
      </c>
      <c r="Q147" s="32" t="e">
        <f t="shared" si="7"/>
        <v>#N/A</v>
      </c>
      <c r="R147" s="42" t="e">
        <f>_xlfn.LET(_xlpm.Result,INDEX(Input!$D$2:$AC$500,
       MATCH(B147, Input!$J$2:$J$500, 0),
       MATCH("Capacity", Input!$D$1:$AC$1, 0)),IF(_xlpm.Result="","",_xlpm.Result))</f>
        <v>#N/A</v>
      </c>
      <c r="S147" s="42" t="e" cm="1">
        <f t="array" ref="S147">_xlfn.TEXTSPLIT(R147," / ", ,TRUE,0,)</f>
        <v>#N/A</v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:AD147">IFERROR(IF(_xlfn.XLOOKUP(B147,Input!J:J,Input!N:U)=0,"",
          _xlfn.XLOOKUP(B147,Input!J:J,Input!N:U)),"")</f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42" t="str">
        <v/>
      </c>
      <c r="AE147" s="32" t="str">
        <f t="shared" si="6"/>
        <v/>
      </c>
      <c r="AF147" s="32" t="str">
        <f>_xlfn.XLOOKUP(B:B,Disk_Pivot!G:G,Disk_Pivot!I:I)</f>
        <v>Yes x2</v>
      </c>
      <c r="AG147" s="32" t="str">
        <f>_xlfn.XLOOKUP(B147,Disk_Pivot!G:G,Disk_Pivot!N:N)</f>
        <v>Pass, Fail</v>
      </c>
      <c r="AH147" s="32"/>
      <c r="AI147" s="32"/>
      <c r="AJ147" s="32"/>
      <c r="AK147" s="32"/>
      <c r="AL147" s="32"/>
      <c r="AM147" s="32"/>
    </row>
    <row r="148" spans="1:39">
      <c r="A148" s="32" t="str">
        <f>_xlfn.XLOOKUP(B148,Input!J:J,Input!G:G)&amp;""</f>
        <v/>
      </c>
      <c r="B148" s="32"/>
      <c r="C148" s="32" t="str">
        <f>_xlfn.XLOOKUP(B148,Input!J:J,Input!H:H)&amp;""</f>
        <v/>
      </c>
      <c r="D148" s="42">
        <f>_xlfn.XLOOKUP(B148,Input!J:J,Input!F:F)</f>
        <v>0</v>
      </c>
      <c r="E148" s="32">
        <f>_xlfn.XLOOKUP(D148,Models!H:H,Models!G:G,D148)</f>
        <v>0</v>
      </c>
      <c r="F148" s="32">
        <f>_xlfn.XLOOKUP(B148,Input!J:J,Input!E:E)</f>
        <v>0</v>
      </c>
      <c r="G148" s="32">
        <f>IF(F148="LENOVO",_xlfn.XLOOKUP(B148,Input!J:J,Input!K:K),_xlfn.XLOOKUP(B148,Input!J:J,Input!L:L))</f>
        <v>0</v>
      </c>
      <c r="H148" s="32"/>
      <c r="I148" s="32"/>
      <c r="J148" s="32">
        <f>_xlfn.XLOOKUP(B148,CPU_Formula!A:A,CPU_Formula!I:I)</f>
        <v>0</v>
      </c>
      <c r="K148" s="42" t="e">
        <f>INDEX(Input!$D$2:$AC$500,
       MATCH(B148, Input!$J$2:$J$500, 0),
       MATCH("Total Memory", Input!$D$1:$AC$1, 0))</f>
        <v>#N/A</v>
      </c>
      <c r="L148" s="42" t="e">
        <f>INDEX(Input!$D$2:$AC$500,
       MATCH(B148, Input!$J$2:$J$500, 0),
       MATCH("Memory Type", Input!$D$1:$AC$1, 0))</f>
        <v>#N/A</v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e">
        <f t="shared" si="8"/>
        <v>#N/A</v>
      </c>
      <c r="O148" s="42" t="e">
        <f>INDEX(Input!$D$2:$AC$500,
       MATCH(B148, Input!$J$2:$J$500, 0),
       MATCH("Disk Interface Type", Input!$D$1:$AC$1, 0))</f>
        <v>#N/A</v>
      </c>
      <c r="P148" s="42" t="str" cm="1">
        <f t="array" ref="P148">IFERROR(_xlfn.TEXTJOIN(", ", TRUE, _xlfn._xlws.FILTER(
    INDEX(Input!$D$2:$AC$500,,MATCH("Disk Capacity",Input!$D$1:$AC$1,0)),
    Input!$J$2:$J$500=B148
)), "")</f>
        <v/>
      </c>
      <c r="Q148" s="32" t="e">
        <f t="shared" si="7"/>
        <v>#N/A</v>
      </c>
      <c r="R148" s="42" t="e">
        <f>_xlfn.LET(_xlpm.Result,INDEX(Input!$D$2:$AC$500,
       MATCH(B148, Input!$J$2:$J$500, 0),
       MATCH("Capacity", Input!$D$1:$AC$1, 0)),IF(_xlpm.Result="","",_xlpm.Result))</f>
        <v>#N/A</v>
      </c>
      <c r="S148" s="42" t="e" cm="1">
        <f t="array" ref="S148">_xlfn.TEXTSPLIT(R148," / ", ,TRUE,0,)</f>
        <v>#N/A</v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:AD148">IFERROR(IF(_xlfn.XLOOKUP(B148,Input!J:J,Input!N:U)=0,"",
          _xlfn.XLOOKUP(B148,Input!J:J,Input!N:U)),"")</f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42" t="str">
        <v/>
      </c>
      <c r="AE148" s="32" t="str">
        <f t="shared" si="6"/>
        <v/>
      </c>
      <c r="AF148" s="32" t="str">
        <f>_xlfn.XLOOKUP(B:B,Disk_Pivot!G:G,Disk_Pivot!I:I)</f>
        <v>Yes x2</v>
      </c>
      <c r="AG148" s="32" t="str">
        <f>_xlfn.XLOOKUP(B148,Disk_Pivot!G:G,Disk_Pivot!N:N)</f>
        <v>Pass, Fail</v>
      </c>
      <c r="AH148" s="32"/>
      <c r="AI148" s="32"/>
      <c r="AJ148" s="32"/>
      <c r="AK148" s="32"/>
      <c r="AL148" s="32"/>
      <c r="AM148" s="32"/>
    </row>
    <row r="149" spans="1:39">
      <c r="A149" s="32" t="str">
        <f>_xlfn.XLOOKUP(B149,Input!J:J,Input!G:G)&amp;""</f>
        <v/>
      </c>
      <c r="B149" s="32"/>
      <c r="C149" s="32" t="str">
        <f>_xlfn.XLOOKUP(B149,Input!J:J,Input!H:H)&amp;""</f>
        <v/>
      </c>
      <c r="D149" s="42">
        <f>_xlfn.XLOOKUP(B149,Input!J:J,Input!F:F)</f>
        <v>0</v>
      </c>
      <c r="E149" s="32">
        <f>_xlfn.XLOOKUP(D149,Models!H:H,Models!G:G,D149)</f>
        <v>0</v>
      </c>
      <c r="F149" s="32">
        <f>_xlfn.XLOOKUP(B149,Input!J:J,Input!E:E)</f>
        <v>0</v>
      </c>
      <c r="G149" s="32">
        <f>IF(F149="LENOVO",_xlfn.XLOOKUP(B149,Input!J:J,Input!K:K),_xlfn.XLOOKUP(B149,Input!J:J,Input!L:L))</f>
        <v>0</v>
      </c>
      <c r="H149" s="32"/>
      <c r="I149" s="32"/>
      <c r="J149" s="32">
        <f>_xlfn.XLOOKUP(B149,CPU_Formula!A:A,CPU_Formula!I:I)</f>
        <v>0</v>
      </c>
      <c r="K149" s="42" t="e">
        <f>INDEX(Input!$D$2:$AC$500,
       MATCH(B149, Input!$J$2:$J$500, 0),
       MATCH("Total Memory", Input!$D$1:$AC$1, 0))</f>
        <v>#N/A</v>
      </c>
      <c r="L149" s="42" t="e">
        <f>INDEX(Input!$D$2:$AC$500,
       MATCH(B149, Input!$J$2:$J$500, 0),
       MATCH("Memory Type", Input!$D$1:$AC$1, 0))</f>
        <v>#N/A</v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e">
        <f t="shared" si="8"/>
        <v>#N/A</v>
      </c>
      <c r="O149" s="42" t="e">
        <f>INDEX(Input!$D$2:$AC$500,
       MATCH(B149, Input!$J$2:$J$500, 0),
       MATCH("Disk Interface Type", Input!$D$1:$AC$1, 0))</f>
        <v>#N/A</v>
      </c>
      <c r="P149" s="42" t="str" cm="1">
        <f t="array" ref="P149">IFERROR(_xlfn.TEXTJOIN(", ", TRUE, _xlfn._xlws.FILTER(
    INDEX(Input!$D$2:$AC$500,,MATCH("Disk Capacity",Input!$D$1:$AC$1,0)),
    Input!$J$2:$J$500=B149
)), "")</f>
        <v/>
      </c>
      <c r="Q149" s="32" t="e">
        <f t="shared" si="7"/>
        <v>#N/A</v>
      </c>
      <c r="R149" s="42" t="e">
        <f>_xlfn.LET(_xlpm.Result,INDEX(Input!$D$2:$AC$500,
       MATCH(B149, Input!$J$2:$J$500, 0),
       MATCH("Capacity", Input!$D$1:$AC$1, 0)),IF(_xlpm.Result="","",_xlpm.Result))</f>
        <v>#N/A</v>
      </c>
      <c r="S149" s="42" t="e" cm="1">
        <f t="array" ref="S149">_xlfn.TEXTSPLIT(R149," / ", ,TRUE,0,)</f>
        <v>#N/A</v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:AD149">IFERROR(IF(_xlfn.XLOOKUP(B149,Input!J:J,Input!N:U)=0,"",
          _xlfn.XLOOKUP(B149,Input!J:J,Input!N:U)),"")</f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42" t="str">
        <v/>
      </c>
      <c r="AE149" s="32" t="str">
        <f t="shared" si="6"/>
        <v/>
      </c>
      <c r="AF149" s="32" t="str">
        <f>_xlfn.XLOOKUP(B:B,Disk_Pivot!G:G,Disk_Pivot!I:I)</f>
        <v>Yes x2</v>
      </c>
      <c r="AG149" s="32" t="str">
        <f>_xlfn.XLOOKUP(B149,Disk_Pivot!G:G,Disk_Pivot!N:N)</f>
        <v>Pass, Fail</v>
      </c>
      <c r="AH149" s="32"/>
      <c r="AI149" s="32"/>
      <c r="AJ149" s="32"/>
      <c r="AK149" s="32"/>
      <c r="AL149" s="32"/>
      <c r="AM149" s="32"/>
    </row>
    <row r="150" spans="1:39">
      <c r="A150" s="32" t="str">
        <f>_xlfn.XLOOKUP(B150,Input!J:J,Input!G:G)&amp;""</f>
        <v/>
      </c>
      <c r="B150" s="32"/>
      <c r="C150" s="32" t="str">
        <f>_xlfn.XLOOKUP(B150,Input!J:J,Input!H:H)&amp;""</f>
        <v/>
      </c>
      <c r="D150" s="42">
        <f>_xlfn.XLOOKUP(B150,Input!J:J,Input!F:F)</f>
        <v>0</v>
      </c>
      <c r="E150" s="32">
        <f>_xlfn.XLOOKUP(D150,Models!H:H,Models!G:G,D150)</f>
        <v>0</v>
      </c>
      <c r="F150" s="32">
        <f>_xlfn.XLOOKUP(B150,Input!J:J,Input!E:E)</f>
        <v>0</v>
      </c>
      <c r="G150" s="32">
        <f>IF(F150="LENOVO",_xlfn.XLOOKUP(B150,Input!J:J,Input!K:K),_xlfn.XLOOKUP(B150,Input!J:J,Input!L:L))</f>
        <v>0</v>
      </c>
      <c r="H150" s="32"/>
      <c r="I150" s="32"/>
      <c r="J150" s="32">
        <f>_xlfn.XLOOKUP(B150,CPU_Formula!A:A,CPU_Formula!I:I)</f>
        <v>0</v>
      </c>
      <c r="K150" s="42" t="e">
        <f>INDEX(Input!$D$2:$AC$500,
       MATCH(B150, Input!$J$2:$J$500, 0),
       MATCH("Total Memory", Input!$D$1:$AC$1, 0))</f>
        <v>#N/A</v>
      </c>
      <c r="L150" s="42" t="e">
        <f>INDEX(Input!$D$2:$AC$500,
       MATCH(B150, Input!$J$2:$J$500, 0),
       MATCH("Memory Type", Input!$D$1:$AC$1, 0))</f>
        <v>#N/A</v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e">
        <f t="shared" si="8"/>
        <v>#N/A</v>
      </c>
      <c r="O150" s="42" t="e">
        <f>INDEX(Input!$D$2:$AC$500,
       MATCH(B150, Input!$J$2:$J$500, 0),
       MATCH("Disk Interface Type", Input!$D$1:$AC$1, 0))</f>
        <v>#N/A</v>
      </c>
      <c r="P150" s="42" t="str" cm="1">
        <f t="array" ref="P150">IFERROR(_xlfn.TEXTJOIN(", ", TRUE, _xlfn._xlws.FILTER(
    INDEX(Input!$D$2:$AC$500,,MATCH("Disk Capacity",Input!$D$1:$AC$1,0)),
    Input!$J$2:$J$500=B150
)), "")</f>
        <v/>
      </c>
      <c r="Q150" s="32" t="e">
        <f t="shared" si="7"/>
        <v>#N/A</v>
      </c>
      <c r="R150" s="42" t="e">
        <f>_xlfn.LET(_xlpm.Result,INDEX(Input!$D$2:$AC$500,
       MATCH(B150, Input!$J$2:$J$500, 0),
       MATCH("Capacity", Input!$D$1:$AC$1, 0)),IF(_xlpm.Result="","",_xlpm.Result))</f>
        <v>#N/A</v>
      </c>
      <c r="S150" s="42" t="e" cm="1">
        <f t="array" ref="S150">_xlfn.TEXTSPLIT(R150," / ", ,TRUE,0,)</f>
        <v>#N/A</v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:AD150">IFERROR(IF(_xlfn.XLOOKUP(B150,Input!J:J,Input!N:U)=0,"",
          _xlfn.XLOOKUP(B150,Input!J:J,Input!N:U)),"")</f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42" t="str">
        <v/>
      </c>
      <c r="AE150" s="32" t="str">
        <f t="shared" si="6"/>
        <v/>
      </c>
      <c r="AF150" s="32" t="str">
        <f>_xlfn.XLOOKUP(B:B,Disk_Pivot!G:G,Disk_Pivot!I:I)</f>
        <v>Yes x2</v>
      </c>
      <c r="AG150" s="32" t="str">
        <f>_xlfn.XLOOKUP(B150,Disk_Pivot!G:G,Disk_Pivot!N:N)</f>
        <v>Pass, Fail</v>
      </c>
      <c r="AH150" s="32"/>
      <c r="AI150" s="32"/>
      <c r="AJ150" s="32"/>
      <c r="AK150" s="32"/>
      <c r="AL150" s="32"/>
      <c r="AM150" s="32"/>
    </row>
    <row r="151" spans="1:39">
      <c r="A151" s="32" t="str">
        <f>_xlfn.XLOOKUP(B151,Input!J:J,Input!G:G)&amp;""</f>
        <v/>
      </c>
      <c r="B151" s="32"/>
      <c r="C151" s="32" t="str">
        <f>_xlfn.XLOOKUP(B151,Input!J:J,Input!H:H)&amp;""</f>
        <v/>
      </c>
      <c r="D151" s="42">
        <f>_xlfn.XLOOKUP(B151,Input!J:J,Input!F:F)</f>
        <v>0</v>
      </c>
      <c r="E151" s="32">
        <f>_xlfn.XLOOKUP(D151,Models!H:H,Models!G:G,D151)</f>
        <v>0</v>
      </c>
      <c r="F151" s="32">
        <f>_xlfn.XLOOKUP(B151,Input!J:J,Input!E:E)</f>
        <v>0</v>
      </c>
      <c r="G151" s="32">
        <f>IF(F151="LENOVO",_xlfn.XLOOKUP(B151,Input!J:J,Input!K:K),_xlfn.XLOOKUP(B151,Input!J:J,Input!L:L))</f>
        <v>0</v>
      </c>
      <c r="H151" s="32"/>
      <c r="I151" s="32"/>
      <c r="J151" s="32">
        <f>_xlfn.XLOOKUP(B151,CPU_Formula!A:A,CPU_Formula!I:I)</f>
        <v>0</v>
      </c>
      <c r="K151" s="42" t="e">
        <f>INDEX(Input!$D$2:$AC$500,
       MATCH(B151, Input!$J$2:$J$500, 0),
       MATCH("Total Memory", Input!$D$1:$AC$1, 0))</f>
        <v>#N/A</v>
      </c>
      <c r="L151" s="42" t="e">
        <f>INDEX(Input!$D$2:$AC$500,
       MATCH(B151, Input!$J$2:$J$500, 0),
       MATCH("Memory Type", Input!$D$1:$AC$1, 0))</f>
        <v>#N/A</v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e">
        <f t="shared" si="8"/>
        <v>#N/A</v>
      </c>
      <c r="O151" s="42" t="e">
        <f>INDEX(Input!$D$2:$AC$500,
       MATCH(B151, Input!$J$2:$J$500, 0),
       MATCH("Disk Interface Type", Input!$D$1:$AC$1, 0))</f>
        <v>#N/A</v>
      </c>
      <c r="P151" s="42" t="str" cm="1">
        <f t="array" ref="P151">IFERROR(_xlfn.TEXTJOIN(", ", TRUE, _xlfn._xlws.FILTER(
    INDEX(Input!$D$2:$AC$500,,MATCH("Disk Capacity",Input!$D$1:$AC$1,0)),
    Input!$J$2:$J$500=B151
)), "")</f>
        <v/>
      </c>
      <c r="Q151" s="32" t="e">
        <f t="shared" si="7"/>
        <v>#N/A</v>
      </c>
      <c r="R151" s="42" t="e">
        <f>_xlfn.LET(_xlpm.Result,INDEX(Input!$D$2:$AC$500,
       MATCH(B151, Input!$J$2:$J$500, 0),
       MATCH("Capacity", Input!$D$1:$AC$1, 0)),IF(_xlpm.Result="","",_xlpm.Result))</f>
        <v>#N/A</v>
      </c>
      <c r="S151" s="42" t="e" cm="1">
        <f t="array" ref="S151">_xlfn.TEXTSPLIT(R151," / ", ,TRUE,0,)</f>
        <v>#N/A</v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:AD151">IFERROR(IF(_xlfn.XLOOKUP(B151,Input!J:J,Input!N:U)=0,"",
          _xlfn.XLOOKUP(B151,Input!J:J,Input!N:U)),"")</f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42" t="str">
        <v/>
      </c>
      <c r="AE151" s="32" t="str">
        <f t="shared" si="6"/>
        <v/>
      </c>
      <c r="AF151" s="32" t="str">
        <f>_xlfn.XLOOKUP(B:B,Disk_Pivot!G:G,Disk_Pivot!I:I)</f>
        <v>Yes x2</v>
      </c>
      <c r="AG151" s="32" t="str">
        <f>_xlfn.XLOOKUP(B151,Disk_Pivot!G:G,Disk_Pivot!N:N)</f>
        <v>Pass, Fail</v>
      </c>
      <c r="AH151" s="32"/>
      <c r="AI151" s="32"/>
      <c r="AJ151" s="32"/>
      <c r="AK151" s="32"/>
      <c r="AL151" s="32"/>
      <c r="AM151" s="32"/>
    </row>
    <row r="152" spans="1:39">
      <c r="A152" s="32" t="str">
        <f>_xlfn.XLOOKUP(B152,Input!J:J,Input!G:G)&amp;""</f>
        <v/>
      </c>
      <c r="B152" s="32"/>
      <c r="C152" s="32" t="str">
        <f>_xlfn.XLOOKUP(B152,Input!J:J,Input!H:H)&amp;""</f>
        <v/>
      </c>
      <c r="D152" s="42">
        <f>_xlfn.XLOOKUP(B152,Input!J:J,Input!F:F)</f>
        <v>0</v>
      </c>
      <c r="E152" s="32">
        <f>_xlfn.XLOOKUP(D152,Models!H:H,Models!G:G,D152)</f>
        <v>0</v>
      </c>
      <c r="F152" s="32">
        <f>_xlfn.XLOOKUP(B152,Input!J:J,Input!E:E)</f>
        <v>0</v>
      </c>
      <c r="G152" s="32">
        <f>IF(F152="LENOVO",_xlfn.XLOOKUP(B152,Input!J:J,Input!K:K),_xlfn.XLOOKUP(B152,Input!J:J,Input!L:L))</f>
        <v>0</v>
      </c>
      <c r="H152" s="32"/>
      <c r="I152" s="32"/>
      <c r="J152" s="32">
        <f>_xlfn.XLOOKUP(B152,CPU_Formula!A:A,CPU_Formula!I:I)</f>
        <v>0</v>
      </c>
      <c r="K152" s="42" t="e">
        <f>INDEX(Input!$D$2:$AC$500,
       MATCH(B152, Input!$J$2:$J$500, 0),
       MATCH("Total Memory", Input!$D$1:$AC$1, 0))</f>
        <v>#N/A</v>
      </c>
      <c r="L152" s="42" t="e">
        <f>INDEX(Input!$D$2:$AC$500,
       MATCH(B152, Input!$J$2:$J$500, 0),
       MATCH("Memory Type", Input!$D$1:$AC$1, 0))</f>
        <v>#N/A</v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e">
        <f t="shared" si="8"/>
        <v>#N/A</v>
      </c>
      <c r="O152" s="42" t="e">
        <f>INDEX(Input!$D$2:$AC$500,
       MATCH(B152, Input!$J$2:$J$500, 0),
       MATCH("Disk Interface Type", Input!$D$1:$AC$1, 0))</f>
        <v>#N/A</v>
      </c>
      <c r="P152" s="42" t="str" cm="1">
        <f t="array" ref="P152">IFERROR(_xlfn.TEXTJOIN(", ", TRUE, _xlfn._xlws.FILTER(
    INDEX(Input!$D$2:$AC$500,,MATCH("Disk Capacity",Input!$D$1:$AC$1,0)),
    Input!$J$2:$J$500=B152
)), "")</f>
        <v/>
      </c>
      <c r="Q152" s="32" t="e">
        <f t="shared" si="7"/>
        <v>#N/A</v>
      </c>
      <c r="R152" s="42" t="e">
        <f>_xlfn.LET(_xlpm.Result,INDEX(Input!$D$2:$AC$500,
       MATCH(B152, Input!$J$2:$J$500, 0),
       MATCH("Capacity", Input!$D$1:$AC$1, 0)),IF(_xlpm.Result="","",_xlpm.Result))</f>
        <v>#N/A</v>
      </c>
      <c r="S152" s="42" t="e" cm="1">
        <f t="array" ref="S152">_xlfn.TEXTSPLIT(R152," / ", ,TRUE,0,)</f>
        <v>#N/A</v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:AD152">IFERROR(IF(_xlfn.XLOOKUP(B152,Input!J:J,Input!N:U)=0,"",
          _xlfn.XLOOKUP(B152,Input!J:J,Input!N:U)),"")</f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42" t="str">
        <v/>
      </c>
      <c r="AE152" s="32" t="str">
        <f t="shared" si="6"/>
        <v/>
      </c>
      <c r="AF152" s="32" t="str">
        <f>_xlfn.XLOOKUP(B:B,Disk_Pivot!G:G,Disk_Pivot!I:I)</f>
        <v>Yes x2</v>
      </c>
      <c r="AG152" s="32" t="str">
        <f>_xlfn.XLOOKUP(B152,Disk_Pivot!G:G,Disk_Pivot!N:N)</f>
        <v>Pass, Fail</v>
      </c>
      <c r="AH152" s="32"/>
      <c r="AI152" s="32"/>
      <c r="AJ152" s="32"/>
      <c r="AK152" s="32"/>
      <c r="AL152" s="32"/>
      <c r="AM152" s="32"/>
    </row>
    <row r="153" spans="1:39">
      <c r="A153" s="32" t="str">
        <f>_xlfn.XLOOKUP(B153,Input!J:J,Input!G:G)&amp;""</f>
        <v/>
      </c>
      <c r="B153" s="32"/>
      <c r="C153" s="32" t="str">
        <f>_xlfn.XLOOKUP(B153,Input!J:J,Input!H:H)&amp;""</f>
        <v/>
      </c>
      <c r="D153" s="42">
        <f>_xlfn.XLOOKUP(B153,Input!J:J,Input!F:F)</f>
        <v>0</v>
      </c>
      <c r="E153" s="32">
        <f>_xlfn.XLOOKUP(D153,Models!H:H,Models!G:G,D153)</f>
        <v>0</v>
      </c>
      <c r="F153" s="32">
        <f>_xlfn.XLOOKUP(B153,Input!J:J,Input!E:E)</f>
        <v>0</v>
      </c>
      <c r="G153" s="32">
        <f>IF(F153="LENOVO",_xlfn.XLOOKUP(B153,Input!J:J,Input!K:K),_xlfn.XLOOKUP(B153,Input!J:J,Input!L:L))</f>
        <v>0</v>
      </c>
      <c r="H153" s="32"/>
      <c r="I153" s="32"/>
      <c r="J153" s="32">
        <f>_xlfn.XLOOKUP(B153,CPU_Formula!A:A,CPU_Formula!I:I)</f>
        <v>0</v>
      </c>
      <c r="K153" s="42" t="e">
        <f>INDEX(Input!$D$2:$AC$500,
       MATCH(B153, Input!$J$2:$J$500, 0),
       MATCH("Total Memory", Input!$D$1:$AC$1, 0))</f>
        <v>#N/A</v>
      </c>
      <c r="L153" s="42" t="e">
        <f>INDEX(Input!$D$2:$AC$500,
       MATCH(B153, Input!$J$2:$J$500, 0),
       MATCH("Memory Type", Input!$D$1:$AC$1, 0))</f>
        <v>#N/A</v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e">
        <f t="shared" si="8"/>
        <v>#N/A</v>
      </c>
      <c r="O153" s="42" t="e">
        <f>INDEX(Input!$D$2:$AC$500,
       MATCH(B153, Input!$J$2:$J$500, 0),
       MATCH("Disk Interface Type", Input!$D$1:$AC$1, 0))</f>
        <v>#N/A</v>
      </c>
      <c r="P153" s="42" t="str" cm="1">
        <f t="array" ref="P153">IFERROR(_xlfn.TEXTJOIN(", ", TRUE, _xlfn._xlws.FILTER(
    INDEX(Input!$D$2:$AC$500,,MATCH("Disk Capacity",Input!$D$1:$AC$1,0)),
    Input!$J$2:$J$500=B153
)), "")</f>
        <v/>
      </c>
      <c r="Q153" s="32" t="e">
        <f t="shared" si="7"/>
        <v>#N/A</v>
      </c>
      <c r="R153" s="42" t="e">
        <f>_xlfn.LET(_xlpm.Result,INDEX(Input!$D$2:$AC$500,
       MATCH(B153, Input!$J$2:$J$500, 0),
       MATCH("Capacity", Input!$D$1:$AC$1, 0)),IF(_xlpm.Result="","",_xlpm.Result))</f>
        <v>#N/A</v>
      </c>
      <c r="S153" s="42" t="e" cm="1">
        <f t="array" ref="S153">_xlfn.TEXTSPLIT(R153," / ", ,TRUE,0,)</f>
        <v>#N/A</v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:AD153">IFERROR(IF(_xlfn.XLOOKUP(B153,Input!J:J,Input!N:U)=0,"",
          _xlfn.XLOOKUP(B153,Input!J:J,Input!N:U)),"")</f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42" t="str">
        <v/>
      </c>
      <c r="AE153" s="32" t="str">
        <f t="shared" si="6"/>
        <v/>
      </c>
      <c r="AF153" s="32" t="str">
        <f>_xlfn.XLOOKUP(B:B,Disk_Pivot!G:G,Disk_Pivot!I:I)</f>
        <v>Yes x2</v>
      </c>
      <c r="AG153" s="32" t="str">
        <f>_xlfn.XLOOKUP(B153,Disk_Pivot!G:G,Disk_Pivot!N:N)</f>
        <v>Pass, Fail</v>
      </c>
      <c r="AH153" s="32"/>
      <c r="AI153" s="32"/>
      <c r="AJ153" s="32"/>
      <c r="AK153" s="32"/>
      <c r="AL153" s="32"/>
      <c r="AM153" s="32"/>
    </row>
    <row r="154" spans="1:39">
      <c r="A154" s="32" t="str">
        <f>_xlfn.XLOOKUP(B154,Input!J:J,Input!G:G)&amp;""</f>
        <v/>
      </c>
      <c r="B154" s="32"/>
      <c r="C154" s="32" t="str">
        <f>_xlfn.XLOOKUP(B154,Input!J:J,Input!H:H)&amp;""</f>
        <v/>
      </c>
      <c r="D154" s="42">
        <f>_xlfn.XLOOKUP(B154,Input!J:J,Input!F:F)</f>
        <v>0</v>
      </c>
      <c r="E154" s="32">
        <f>_xlfn.XLOOKUP(D154,Models!H:H,Models!G:G,D154)</f>
        <v>0</v>
      </c>
      <c r="F154" s="32">
        <f>_xlfn.XLOOKUP(B154,Input!J:J,Input!E:E)</f>
        <v>0</v>
      </c>
      <c r="G154" s="32">
        <f>IF(F154="LENOVO",_xlfn.XLOOKUP(B154,Input!J:J,Input!K:K),_xlfn.XLOOKUP(B154,Input!J:J,Input!L:L))</f>
        <v>0</v>
      </c>
      <c r="H154" s="32"/>
      <c r="I154" s="32"/>
      <c r="J154" s="32">
        <f>_xlfn.XLOOKUP(B154,CPU_Formula!A:A,CPU_Formula!I:I)</f>
        <v>0</v>
      </c>
      <c r="K154" s="42" t="e">
        <f>INDEX(Input!$D$2:$AC$500,
       MATCH(B154, Input!$J$2:$J$500, 0),
       MATCH("Total Memory", Input!$D$1:$AC$1, 0))</f>
        <v>#N/A</v>
      </c>
      <c r="L154" s="42" t="e">
        <f>INDEX(Input!$D$2:$AC$500,
       MATCH(B154, Input!$J$2:$J$500, 0),
       MATCH("Memory Type", Input!$D$1:$AC$1, 0))</f>
        <v>#N/A</v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e">
        <f t="shared" si="8"/>
        <v>#N/A</v>
      </c>
      <c r="O154" s="42" t="e">
        <f>INDEX(Input!$D$2:$AC$500,
       MATCH(B154, Input!$J$2:$J$500, 0),
       MATCH("Disk Interface Type", Input!$D$1:$AC$1, 0))</f>
        <v>#N/A</v>
      </c>
      <c r="P154" s="42" t="str" cm="1">
        <f t="array" ref="P154">IFERROR(_xlfn.TEXTJOIN(", ", TRUE, _xlfn._xlws.FILTER(
    INDEX(Input!$D$2:$AC$500,,MATCH("Disk Capacity",Input!$D$1:$AC$1,0)),
    Input!$J$2:$J$500=B154
)), "")</f>
        <v/>
      </c>
      <c r="Q154" s="32" t="e">
        <f t="shared" si="7"/>
        <v>#N/A</v>
      </c>
      <c r="R154" s="42" t="e">
        <f>_xlfn.LET(_xlpm.Result,INDEX(Input!$D$2:$AC$500,
       MATCH(B154, Input!$J$2:$J$500, 0),
       MATCH("Capacity", Input!$D$1:$AC$1, 0)),IF(_xlpm.Result="","",_xlpm.Result))</f>
        <v>#N/A</v>
      </c>
      <c r="S154" s="42" t="e" cm="1">
        <f t="array" ref="S154">_xlfn.TEXTSPLIT(R154," / ", ,TRUE,0,)</f>
        <v>#N/A</v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:AD154">IFERROR(IF(_xlfn.XLOOKUP(B154,Input!J:J,Input!N:U)=0,"",
          _xlfn.XLOOKUP(B154,Input!J:J,Input!N:U)),"")</f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42" t="str">
        <v/>
      </c>
      <c r="AE154" s="32" t="str">
        <f t="shared" si="6"/>
        <v/>
      </c>
      <c r="AF154" s="32" t="str">
        <f>_xlfn.XLOOKUP(B:B,Disk_Pivot!G:G,Disk_Pivot!I:I)</f>
        <v>Yes x2</v>
      </c>
      <c r="AG154" s="32" t="str">
        <f>_xlfn.XLOOKUP(B154,Disk_Pivot!G:G,Disk_Pivot!N:N)</f>
        <v>Pass, Fail</v>
      </c>
      <c r="AH154" s="32"/>
      <c r="AI154" s="32"/>
      <c r="AJ154" s="32"/>
      <c r="AK154" s="32"/>
      <c r="AL154" s="32"/>
      <c r="AM154" s="32"/>
    </row>
    <row r="155" spans="1:39">
      <c r="A155" s="32" t="str">
        <f>_xlfn.XLOOKUP(B155,Input!J:J,Input!G:G)&amp;""</f>
        <v/>
      </c>
      <c r="B155" s="32"/>
      <c r="C155" s="32" t="str">
        <f>_xlfn.XLOOKUP(B155,Input!J:J,Input!H:H)&amp;""</f>
        <v/>
      </c>
      <c r="D155" s="42">
        <f>_xlfn.XLOOKUP(B155,Input!J:J,Input!F:F)</f>
        <v>0</v>
      </c>
      <c r="E155" s="32">
        <f>_xlfn.XLOOKUP(D155,Models!H:H,Models!G:G,D155)</f>
        <v>0</v>
      </c>
      <c r="F155" s="32">
        <f>_xlfn.XLOOKUP(B155,Input!J:J,Input!E:E)</f>
        <v>0</v>
      </c>
      <c r="G155" s="32">
        <f>IF(F155="LENOVO",_xlfn.XLOOKUP(B155,Input!J:J,Input!K:K),_xlfn.XLOOKUP(B155,Input!J:J,Input!L:L))</f>
        <v>0</v>
      </c>
      <c r="H155" s="32"/>
      <c r="I155" s="32"/>
      <c r="J155" s="32">
        <f>_xlfn.XLOOKUP(B155,CPU_Formula!A:A,CPU_Formula!I:I)</f>
        <v>0</v>
      </c>
      <c r="K155" s="42" t="e">
        <f>INDEX(Input!$D$2:$AC$500,
       MATCH(B155, Input!$J$2:$J$500, 0),
       MATCH("Total Memory", Input!$D$1:$AC$1, 0))</f>
        <v>#N/A</v>
      </c>
      <c r="L155" s="42" t="e">
        <f>INDEX(Input!$D$2:$AC$500,
       MATCH(B155, Input!$J$2:$J$500, 0),
       MATCH("Memory Type", Input!$D$1:$AC$1, 0))</f>
        <v>#N/A</v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e">
        <f t="shared" si="8"/>
        <v>#N/A</v>
      </c>
      <c r="O155" s="42" t="e">
        <f>INDEX(Input!$D$2:$AC$500,
       MATCH(B155, Input!$J$2:$J$500, 0),
       MATCH("Disk Interface Type", Input!$D$1:$AC$1, 0))</f>
        <v>#N/A</v>
      </c>
      <c r="P155" s="42" t="str" cm="1">
        <f t="array" ref="P155">IFERROR(_xlfn.TEXTJOIN(", ", TRUE, _xlfn._xlws.FILTER(
    INDEX(Input!$D$2:$AC$500,,MATCH("Disk Capacity",Input!$D$1:$AC$1,0)),
    Input!$J$2:$J$500=B155
)), "")</f>
        <v/>
      </c>
      <c r="Q155" s="32" t="e">
        <f t="shared" si="7"/>
        <v>#N/A</v>
      </c>
      <c r="R155" s="42" t="e">
        <f>_xlfn.LET(_xlpm.Result,INDEX(Input!$D$2:$AC$500,
       MATCH(B155, Input!$J$2:$J$500, 0),
       MATCH("Capacity", Input!$D$1:$AC$1, 0)),IF(_xlpm.Result="","",_xlpm.Result))</f>
        <v>#N/A</v>
      </c>
      <c r="S155" s="42" t="e" cm="1">
        <f t="array" ref="S155">_xlfn.TEXTSPLIT(R155," / ", ,TRUE,0,)</f>
        <v>#N/A</v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:AD155">IFERROR(IF(_xlfn.XLOOKUP(B155,Input!J:J,Input!N:U)=0,"",
          _xlfn.XLOOKUP(B155,Input!J:J,Input!N:U)),"")</f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42" t="str">
        <v/>
      </c>
      <c r="AE155" s="32" t="str">
        <f t="shared" si="6"/>
        <v/>
      </c>
      <c r="AF155" s="32" t="str">
        <f>_xlfn.XLOOKUP(B:B,Disk_Pivot!G:G,Disk_Pivot!I:I)</f>
        <v>Yes x2</v>
      </c>
      <c r="AG155" s="32" t="str">
        <f>_xlfn.XLOOKUP(B155,Disk_Pivot!G:G,Disk_Pivot!N:N)</f>
        <v>Pass, Fail</v>
      </c>
      <c r="AH155" s="32"/>
      <c r="AI155" s="32"/>
      <c r="AJ155" s="32"/>
      <c r="AK155" s="32"/>
      <c r="AL155" s="32"/>
      <c r="AM155" s="32"/>
    </row>
    <row r="156" spans="1:39">
      <c r="A156" s="32" t="str">
        <f>_xlfn.XLOOKUP(B156,Input!J:J,Input!G:G)&amp;""</f>
        <v/>
      </c>
      <c r="B156" s="32"/>
      <c r="C156" s="32" t="str">
        <f>_xlfn.XLOOKUP(B156,Input!J:J,Input!H:H)&amp;""</f>
        <v/>
      </c>
      <c r="D156" s="42">
        <f>_xlfn.XLOOKUP(B156,Input!J:J,Input!F:F)</f>
        <v>0</v>
      </c>
      <c r="E156" s="32">
        <f>_xlfn.XLOOKUP(D156,Models!H:H,Models!G:G,D156)</f>
        <v>0</v>
      </c>
      <c r="F156" s="32">
        <f>_xlfn.XLOOKUP(B156,Input!J:J,Input!E:E)</f>
        <v>0</v>
      </c>
      <c r="G156" s="32">
        <f>IF(F156="LENOVO",_xlfn.XLOOKUP(B156,Input!J:J,Input!K:K),_xlfn.XLOOKUP(B156,Input!J:J,Input!L:L))</f>
        <v>0</v>
      </c>
      <c r="H156" s="32"/>
      <c r="I156" s="32"/>
      <c r="J156" s="32">
        <f>_xlfn.XLOOKUP(B156,CPU_Formula!A:A,CPU_Formula!I:I)</f>
        <v>0</v>
      </c>
      <c r="K156" s="42" t="e">
        <f>INDEX(Input!$D$2:$AC$500,
       MATCH(B156, Input!$J$2:$J$500, 0),
       MATCH("Total Memory", Input!$D$1:$AC$1, 0))</f>
        <v>#N/A</v>
      </c>
      <c r="L156" s="42" t="e">
        <f>INDEX(Input!$D$2:$AC$500,
       MATCH(B156, Input!$J$2:$J$500, 0),
       MATCH("Memory Type", Input!$D$1:$AC$1, 0))</f>
        <v>#N/A</v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e">
        <f t="shared" si="8"/>
        <v>#N/A</v>
      </c>
      <c r="O156" s="42" t="e">
        <f>INDEX(Input!$D$2:$AC$500,
       MATCH(B156, Input!$J$2:$J$500, 0),
       MATCH("Disk Interface Type", Input!$D$1:$AC$1, 0))</f>
        <v>#N/A</v>
      </c>
      <c r="P156" s="42" t="str" cm="1">
        <f t="array" ref="P156">IFERROR(_xlfn.TEXTJOIN(", ", TRUE, _xlfn._xlws.FILTER(
    INDEX(Input!$D$2:$AC$500,,MATCH("Disk Capacity",Input!$D$1:$AC$1,0)),
    Input!$J$2:$J$500=B156
)), "")</f>
        <v/>
      </c>
      <c r="Q156" s="32" t="e">
        <f t="shared" si="7"/>
        <v>#N/A</v>
      </c>
      <c r="R156" s="42" t="e">
        <f>_xlfn.LET(_xlpm.Result,INDEX(Input!$D$2:$AC$500,
       MATCH(B156, Input!$J$2:$J$500, 0),
       MATCH("Capacity", Input!$D$1:$AC$1, 0)),IF(_xlpm.Result="","",_xlpm.Result))</f>
        <v>#N/A</v>
      </c>
      <c r="S156" s="42" t="e" cm="1">
        <f t="array" ref="S156">_xlfn.TEXTSPLIT(R156," / ", ,TRUE,0,)</f>
        <v>#N/A</v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:AD156">IFERROR(IF(_xlfn.XLOOKUP(B156,Input!J:J,Input!N:U)=0,"",
          _xlfn.XLOOKUP(B156,Input!J:J,Input!N:U)),"")</f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42" t="str">
        <v/>
      </c>
      <c r="AE156" s="32" t="str">
        <f t="shared" si="6"/>
        <v/>
      </c>
      <c r="AF156" s="32" t="str">
        <f>_xlfn.XLOOKUP(B:B,Disk_Pivot!G:G,Disk_Pivot!I:I)</f>
        <v>Yes x2</v>
      </c>
      <c r="AG156" s="32" t="str">
        <f>_xlfn.XLOOKUP(B156,Disk_Pivot!G:G,Disk_Pivot!N:N)</f>
        <v>Pass, Fail</v>
      </c>
      <c r="AH156" s="32"/>
      <c r="AI156" s="32"/>
      <c r="AJ156" s="32"/>
      <c r="AK156" s="32"/>
      <c r="AL156" s="32"/>
      <c r="AM156" s="32"/>
    </row>
    <row r="157" spans="1:39">
      <c r="A157" s="32" t="str">
        <f>_xlfn.XLOOKUP(B157,Input!J:J,Input!G:G)&amp;""</f>
        <v/>
      </c>
      <c r="B157" s="32"/>
      <c r="C157" s="32" t="str">
        <f>_xlfn.XLOOKUP(B157,Input!J:J,Input!H:H)&amp;""</f>
        <v/>
      </c>
      <c r="D157" s="42">
        <f>_xlfn.XLOOKUP(B157,Input!J:J,Input!F:F)</f>
        <v>0</v>
      </c>
      <c r="E157" s="32">
        <f>_xlfn.XLOOKUP(D157,Models!H:H,Models!G:G,D157)</f>
        <v>0</v>
      </c>
      <c r="F157" s="32">
        <f>_xlfn.XLOOKUP(B157,Input!J:J,Input!E:E)</f>
        <v>0</v>
      </c>
      <c r="G157" s="32">
        <f>IF(F157="LENOVO",_xlfn.XLOOKUP(B157,Input!J:J,Input!K:K),_xlfn.XLOOKUP(B157,Input!J:J,Input!L:L))</f>
        <v>0</v>
      </c>
      <c r="H157" s="32"/>
      <c r="I157" s="32"/>
      <c r="J157" s="32">
        <f>_xlfn.XLOOKUP(B157,CPU_Formula!A:A,CPU_Formula!I:I)</f>
        <v>0</v>
      </c>
      <c r="K157" s="42" t="e">
        <f>INDEX(Input!$D$2:$AC$500,
       MATCH(B157, Input!$J$2:$J$500, 0),
       MATCH("Total Memory", Input!$D$1:$AC$1, 0))</f>
        <v>#N/A</v>
      </c>
      <c r="L157" s="42" t="e">
        <f>INDEX(Input!$D$2:$AC$500,
       MATCH(B157, Input!$J$2:$J$500, 0),
       MATCH("Memory Type", Input!$D$1:$AC$1, 0))</f>
        <v>#N/A</v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e">
        <f t="shared" si="8"/>
        <v>#N/A</v>
      </c>
      <c r="O157" s="42" t="e">
        <f>INDEX(Input!$D$2:$AC$500,
       MATCH(B157, Input!$J$2:$J$500, 0),
       MATCH("Disk Interface Type", Input!$D$1:$AC$1, 0))</f>
        <v>#N/A</v>
      </c>
      <c r="P157" s="42" t="str" cm="1">
        <f t="array" ref="P157">IFERROR(_xlfn.TEXTJOIN(", ", TRUE, _xlfn._xlws.FILTER(
    INDEX(Input!$D$2:$AC$500,,MATCH("Disk Capacity",Input!$D$1:$AC$1,0)),
    Input!$J$2:$J$500=B157
)), "")</f>
        <v/>
      </c>
      <c r="Q157" s="32" t="e">
        <f t="shared" si="7"/>
        <v>#N/A</v>
      </c>
      <c r="R157" s="42" t="e">
        <f>_xlfn.LET(_xlpm.Result,INDEX(Input!$D$2:$AC$500,
       MATCH(B157, Input!$J$2:$J$500, 0),
       MATCH("Capacity", Input!$D$1:$AC$1, 0)),IF(_xlpm.Result="","",_xlpm.Result))</f>
        <v>#N/A</v>
      </c>
      <c r="S157" s="42" t="e" cm="1">
        <f t="array" ref="S157">_xlfn.TEXTSPLIT(R157," / ", ,TRUE,0,)</f>
        <v>#N/A</v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:AD157">IFERROR(IF(_xlfn.XLOOKUP(B157,Input!J:J,Input!N:U)=0,"",
          _xlfn.XLOOKUP(B157,Input!J:J,Input!N:U)),"")</f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42" t="str">
        <v/>
      </c>
      <c r="AE157" s="32" t="str">
        <f t="shared" si="6"/>
        <v/>
      </c>
      <c r="AF157" s="32" t="str">
        <f>_xlfn.XLOOKUP(B:B,Disk_Pivot!G:G,Disk_Pivot!I:I)</f>
        <v>Yes x2</v>
      </c>
      <c r="AG157" s="32" t="str">
        <f>_xlfn.XLOOKUP(B157,Disk_Pivot!G:G,Disk_Pivot!N:N)</f>
        <v>Pass, Fail</v>
      </c>
      <c r="AH157" s="32"/>
      <c r="AI157" s="32"/>
      <c r="AJ157" s="32"/>
      <c r="AK157" s="32"/>
      <c r="AL157" s="32"/>
      <c r="AM157" s="32"/>
    </row>
    <row r="158" spans="1:39">
      <c r="A158" s="32" t="str">
        <f>_xlfn.XLOOKUP(B158,Input!J:J,Input!G:G)&amp;""</f>
        <v/>
      </c>
      <c r="B158" s="32"/>
      <c r="C158" s="32" t="str">
        <f>_xlfn.XLOOKUP(B158,Input!J:J,Input!H:H)&amp;""</f>
        <v/>
      </c>
      <c r="D158" s="42">
        <f>_xlfn.XLOOKUP(B158,Input!J:J,Input!F:F)</f>
        <v>0</v>
      </c>
      <c r="E158" s="32">
        <f>_xlfn.XLOOKUP(D158,Models!H:H,Models!G:G,D158)</f>
        <v>0</v>
      </c>
      <c r="F158" s="32">
        <f>_xlfn.XLOOKUP(B158,Input!J:J,Input!E:E)</f>
        <v>0</v>
      </c>
      <c r="G158" s="32">
        <f>IF(F158="LENOVO",_xlfn.XLOOKUP(B158,Input!J:J,Input!K:K),_xlfn.XLOOKUP(B158,Input!J:J,Input!L:L))</f>
        <v>0</v>
      </c>
      <c r="H158" s="32"/>
      <c r="I158" s="32"/>
      <c r="J158" s="32">
        <f>_xlfn.XLOOKUP(B158,CPU_Formula!A:A,CPU_Formula!I:I)</f>
        <v>0</v>
      </c>
      <c r="K158" s="42" t="e">
        <f>INDEX(Input!$D$2:$AC$500,
       MATCH(B158, Input!$J$2:$J$500, 0),
       MATCH("Total Memory", Input!$D$1:$AC$1, 0))</f>
        <v>#N/A</v>
      </c>
      <c r="L158" s="42" t="e">
        <f>INDEX(Input!$D$2:$AC$500,
       MATCH(B158, Input!$J$2:$J$500, 0),
       MATCH("Memory Type", Input!$D$1:$AC$1, 0))</f>
        <v>#N/A</v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e">
        <f t="shared" si="8"/>
        <v>#N/A</v>
      </c>
      <c r="O158" s="42" t="e">
        <f>INDEX(Input!$D$2:$AC$500,
       MATCH(B158, Input!$J$2:$J$500, 0),
       MATCH("Disk Interface Type", Input!$D$1:$AC$1, 0))</f>
        <v>#N/A</v>
      </c>
      <c r="P158" s="42" t="str" cm="1">
        <f t="array" ref="P158">IFERROR(_xlfn.TEXTJOIN(", ", TRUE, _xlfn._xlws.FILTER(
    INDEX(Input!$D$2:$AC$500,,MATCH("Disk Capacity",Input!$D$1:$AC$1,0)),
    Input!$J$2:$J$500=B158
)), "")</f>
        <v/>
      </c>
      <c r="Q158" s="32" t="e">
        <f t="shared" si="7"/>
        <v>#N/A</v>
      </c>
      <c r="R158" s="42" t="e">
        <f>_xlfn.LET(_xlpm.Result,INDEX(Input!$D$2:$AC$500,
       MATCH(B158, Input!$J$2:$J$500, 0),
       MATCH("Capacity", Input!$D$1:$AC$1, 0)),IF(_xlpm.Result="","",_xlpm.Result))</f>
        <v>#N/A</v>
      </c>
      <c r="S158" s="42" t="e" cm="1">
        <f t="array" ref="S158">_xlfn.TEXTSPLIT(R158," / ", ,TRUE,0,)</f>
        <v>#N/A</v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:AD158">IFERROR(IF(_xlfn.XLOOKUP(B158,Input!J:J,Input!N:U)=0,"",
          _xlfn.XLOOKUP(B158,Input!J:J,Input!N:U)),"")</f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42" t="str">
        <v/>
      </c>
      <c r="AE158" s="32" t="str">
        <f t="shared" si="6"/>
        <v/>
      </c>
      <c r="AF158" s="32" t="str">
        <f>_xlfn.XLOOKUP(B:B,Disk_Pivot!G:G,Disk_Pivot!I:I)</f>
        <v>Yes x2</v>
      </c>
      <c r="AG158" s="32" t="str">
        <f>_xlfn.XLOOKUP(B158,Disk_Pivot!G:G,Disk_Pivot!N:N)</f>
        <v>Pass, Fail</v>
      </c>
      <c r="AH158" s="32"/>
      <c r="AI158" s="32"/>
      <c r="AJ158" s="32"/>
      <c r="AK158" s="32"/>
      <c r="AL158" s="32"/>
      <c r="AM158" s="32"/>
    </row>
    <row r="159" spans="1:39">
      <c r="A159" s="32" t="str">
        <f>_xlfn.XLOOKUP(B159,Input!J:J,Input!G:G)&amp;""</f>
        <v/>
      </c>
      <c r="B159" s="32"/>
      <c r="C159" s="32" t="str">
        <f>_xlfn.XLOOKUP(B159,Input!J:J,Input!H:H)&amp;""</f>
        <v/>
      </c>
      <c r="D159" s="42">
        <f>_xlfn.XLOOKUP(B159,Input!J:J,Input!F:F)</f>
        <v>0</v>
      </c>
      <c r="E159" s="32">
        <f>_xlfn.XLOOKUP(D159,Models!H:H,Models!G:G,D159)</f>
        <v>0</v>
      </c>
      <c r="F159" s="32">
        <f>_xlfn.XLOOKUP(B159,Input!J:J,Input!E:E)</f>
        <v>0</v>
      </c>
      <c r="G159" s="32">
        <f>IF(F159="LENOVO",_xlfn.XLOOKUP(B159,Input!J:J,Input!K:K),_xlfn.XLOOKUP(B159,Input!J:J,Input!L:L))</f>
        <v>0</v>
      </c>
      <c r="H159" s="32"/>
      <c r="I159" s="32"/>
      <c r="J159" s="32">
        <f>_xlfn.XLOOKUP(B159,CPU_Formula!A:A,CPU_Formula!I:I)</f>
        <v>0</v>
      </c>
      <c r="K159" s="42" t="e">
        <f>INDEX(Input!$D$2:$AC$500,
       MATCH(B159, Input!$J$2:$J$500, 0),
       MATCH("Total Memory", Input!$D$1:$AC$1, 0))</f>
        <v>#N/A</v>
      </c>
      <c r="L159" s="42" t="e">
        <f>INDEX(Input!$D$2:$AC$500,
       MATCH(B159, Input!$J$2:$J$500, 0),
       MATCH("Memory Type", Input!$D$1:$AC$1, 0))</f>
        <v>#N/A</v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e">
        <f t="shared" si="8"/>
        <v>#N/A</v>
      </c>
      <c r="O159" s="42" t="e">
        <f>INDEX(Input!$D$2:$AC$500,
       MATCH(B159, Input!$J$2:$J$500, 0),
       MATCH("Disk Interface Type", Input!$D$1:$AC$1, 0))</f>
        <v>#N/A</v>
      </c>
      <c r="P159" s="42" t="str" cm="1">
        <f t="array" ref="P159">IFERROR(_xlfn.TEXTJOIN(", ", TRUE, _xlfn._xlws.FILTER(
    INDEX(Input!$D$2:$AC$500,,MATCH("Disk Capacity",Input!$D$1:$AC$1,0)),
    Input!$J$2:$J$500=B159
)), "")</f>
        <v/>
      </c>
      <c r="Q159" s="32" t="e">
        <f t="shared" si="7"/>
        <v>#N/A</v>
      </c>
      <c r="R159" s="42" t="e">
        <f>_xlfn.LET(_xlpm.Result,INDEX(Input!$D$2:$AC$500,
       MATCH(B159, Input!$J$2:$J$500, 0),
       MATCH("Capacity", Input!$D$1:$AC$1, 0)),IF(_xlpm.Result="","",_xlpm.Result))</f>
        <v>#N/A</v>
      </c>
      <c r="S159" s="42" t="e" cm="1">
        <f t="array" ref="S159">_xlfn.TEXTSPLIT(R159," / ", ,TRUE,0,)</f>
        <v>#N/A</v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:AD159">IFERROR(IF(_xlfn.XLOOKUP(B159,Input!J:J,Input!N:U)=0,"",
          _xlfn.XLOOKUP(B159,Input!J:J,Input!N:U)),"")</f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42" t="str">
        <v/>
      </c>
      <c r="AE159" s="32" t="str">
        <f t="shared" si="6"/>
        <v/>
      </c>
      <c r="AF159" s="32" t="str">
        <f>_xlfn.XLOOKUP(B:B,Disk_Pivot!G:G,Disk_Pivot!I:I)</f>
        <v>Yes x2</v>
      </c>
      <c r="AG159" s="32" t="str">
        <f>_xlfn.XLOOKUP(B159,Disk_Pivot!G:G,Disk_Pivot!N:N)</f>
        <v>Pass, Fail</v>
      </c>
      <c r="AH159" s="32"/>
      <c r="AI159" s="32"/>
      <c r="AJ159" s="32"/>
      <c r="AK159" s="32"/>
      <c r="AL159" s="32"/>
      <c r="AM159" s="32"/>
    </row>
    <row r="160" spans="1:39">
      <c r="A160" s="32" t="str">
        <f>_xlfn.XLOOKUP(B160,Input!J:J,Input!G:G)&amp;""</f>
        <v/>
      </c>
      <c r="B160" s="32"/>
      <c r="C160" s="32" t="str">
        <f>_xlfn.XLOOKUP(B160,Input!J:J,Input!H:H)&amp;""</f>
        <v/>
      </c>
      <c r="D160" s="42">
        <f>_xlfn.XLOOKUP(B160,Input!J:J,Input!F:F)</f>
        <v>0</v>
      </c>
      <c r="E160" s="32">
        <f>_xlfn.XLOOKUP(D160,Models!H:H,Models!G:G,D160)</f>
        <v>0</v>
      </c>
      <c r="F160" s="32">
        <f>_xlfn.XLOOKUP(B160,Input!J:J,Input!E:E)</f>
        <v>0</v>
      </c>
      <c r="G160" s="32">
        <f>IF(F160="LENOVO",_xlfn.XLOOKUP(B160,Input!J:J,Input!K:K),_xlfn.XLOOKUP(B160,Input!J:J,Input!L:L))</f>
        <v>0</v>
      </c>
      <c r="H160" s="32"/>
      <c r="I160" s="32"/>
      <c r="J160" s="32">
        <f>_xlfn.XLOOKUP(B160,CPU_Formula!A:A,CPU_Formula!I:I)</f>
        <v>0</v>
      </c>
      <c r="K160" s="42" t="e">
        <f>INDEX(Input!$D$2:$AC$500,
       MATCH(B160, Input!$J$2:$J$500, 0),
       MATCH("Total Memory", Input!$D$1:$AC$1, 0))</f>
        <v>#N/A</v>
      </c>
      <c r="L160" s="42" t="e">
        <f>INDEX(Input!$D$2:$AC$500,
       MATCH(B160, Input!$J$2:$J$500, 0),
       MATCH("Memory Type", Input!$D$1:$AC$1, 0))</f>
        <v>#N/A</v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e">
        <f t="shared" si="8"/>
        <v>#N/A</v>
      </c>
      <c r="O160" s="42" t="e">
        <f>INDEX(Input!$D$2:$AC$500,
       MATCH(B160, Input!$J$2:$J$500, 0),
       MATCH("Disk Interface Type", Input!$D$1:$AC$1, 0))</f>
        <v>#N/A</v>
      </c>
      <c r="P160" s="42" t="str" cm="1">
        <f t="array" ref="P160">IFERROR(_xlfn.TEXTJOIN(", ", TRUE, _xlfn._xlws.FILTER(
    INDEX(Input!$D$2:$AC$500,,MATCH("Disk Capacity",Input!$D$1:$AC$1,0)),
    Input!$J$2:$J$500=B160
)), "")</f>
        <v/>
      </c>
      <c r="Q160" s="32" t="e">
        <f t="shared" si="7"/>
        <v>#N/A</v>
      </c>
      <c r="R160" s="42" t="e">
        <f>_xlfn.LET(_xlpm.Result,INDEX(Input!$D$2:$AC$500,
       MATCH(B160, Input!$J$2:$J$500, 0),
       MATCH("Capacity", Input!$D$1:$AC$1, 0)),IF(_xlpm.Result="","",_xlpm.Result))</f>
        <v>#N/A</v>
      </c>
      <c r="S160" s="42" t="e" cm="1">
        <f t="array" ref="S160">_xlfn.TEXTSPLIT(R160," / ", ,TRUE,0,)</f>
        <v>#N/A</v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:AD160">IFERROR(IF(_xlfn.XLOOKUP(B160,Input!J:J,Input!N:U)=0,"",
          _xlfn.XLOOKUP(B160,Input!J:J,Input!N:U)),"")</f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42" t="str">
        <v/>
      </c>
      <c r="AE160" s="32" t="str">
        <f t="shared" si="6"/>
        <v/>
      </c>
      <c r="AF160" s="32" t="str">
        <f>_xlfn.XLOOKUP(B:B,Disk_Pivot!G:G,Disk_Pivot!I:I)</f>
        <v>Yes x2</v>
      </c>
      <c r="AG160" s="32" t="str">
        <f>_xlfn.XLOOKUP(B160,Disk_Pivot!G:G,Disk_Pivot!N:N)</f>
        <v>Pass, Fail</v>
      </c>
      <c r="AH160" s="32"/>
      <c r="AI160" s="32"/>
      <c r="AJ160" s="32"/>
      <c r="AK160" s="32"/>
      <c r="AL160" s="32"/>
      <c r="AM160" s="32"/>
    </row>
    <row r="161" spans="1:39">
      <c r="A161" s="32" t="str">
        <f>_xlfn.XLOOKUP(B161,Input!J:J,Input!G:G)&amp;""</f>
        <v/>
      </c>
      <c r="B161" s="32"/>
      <c r="C161" s="32" t="str">
        <f>_xlfn.XLOOKUP(B161,Input!J:J,Input!H:H)&amp;""</f>
        <v/>
      </c>
      <c r="D161" s="42">
        <f>_xlfn.XLOOKUP(B161,Input!J:J,Input!F:F)</f>
        <v>0</v>
      </c>
      <c r="E161" s="32">
        <f>_xlfn.XLOOKUP(D161,Models!H:H,Models!G:G,D161)</f>
        <v>0</v>
      </c>
      <c r="F161" s="32">
        <f>_xlfn.XLOOKUP(B161,Input!J:J,Input!E:E)</f>
        <v>0</v>
      </c>
      <c r="G161" s="32">
        <f>IF(F161="LENOVO",_xlfn.XLOOKUP(B161,Input!J:J,Input!K:K),_xlfn.XLOOKUP(B161,Input!J:J,Input!L:L))</f>
        <v>0</v>
      </c>
      <c r="H161" s="32"/>
      <c r="I161" s="32"/>
      <c r="J161" s="32">
        <f>_xlfn.XLOOKUP(B161,CPU_Formula!A:A,CPU_Formula!I:I)</f>
        <v>0</v>
      </c>
      <c r="K161" s="42" t="e">
        <f>INDEX(Input!$D$2:$AC$500,
       MATCH(B161, Input!$J$2:$J$500, 0),
       MATCH("Total Memory", Input!$D$1:$AC$1, 0))</f>
        <v>#N/A</v>
      </c>
      <c r="L161" s="42" t="e">
        <f>INDEX(Input!$D$2:$AC$500,
       MATCH(B161, Input!$J$2:$J$500, 0),
       MATCH("Memory Type", Input!$D$1:$AC$1, 0))</f>
        <v>#N/A</v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e">
        <f t="shared" si="8"/>
        <v>#N/A</v>
      </c>
      <c r="O161" s="42" t="e">
        <f>INDEX(Input!$D$2:$AC$500,
       MATCH(B161, Input!$J$2:$J$500, 0),
       MATCH("Disk Interface Type", Input!$D$1:$AC$1, 0))</f>
        <v>#N/A</v>
      </c>
      <c r="P161" s="42" t="str" cm="1">
        <f t="array" ref="P161">IFERROR(_xlfn.TEXTJOIN(", ", TRUE, _xlfn._xlws.FILTER(
    INDEX(Input!$D$2:$AC$500,,MATCH("Disk Capacity",Input!$D$1:$AC$1,0)),
    Input!$J$2:$J$500=B161
)), "")</f>
        <v/>
      </c>
      <c r="Q161" s="32" t="e">
        <f t="shared" si="7"/>
        <v>#N/A</v>
      </c>
      <c r="R161" s="42" t="e">
        <f>_xlfn.LET(_xlpm.Result,INDEX(Input!$D$2:$AC$500,
       MATCH(B161, Input!$J$2:$J$500, 0),
       MATCH("Capacity", Input!$D$1:$AC$1, 0)),IF(_xlpm.Result="","",_xlpm.Result))</f>
        <v>#N/A</v>
      </c>
      <c r="S161" s="42" t="e" cm="1">
        <f t="array" ref="S161">_xlfn.TEXTSPLIT(R161," / ", ,TRUE,0,)</f>
        <v>#N/A</v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:AD161">IFERROR(IF(_xlfn.XLOOKUP(B161,Input!J:J,Input!N:U)=0,"",
          _xlfn.XLOOKUP(B161,Input!J:J,Input!N:U)),"")</f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42" t="str">
        <v/>
      </c>
      <c r="AE161" s="32" t="str">
        <f t="shared" si="6"/>
        <v/>
      </c>
      <c r="AF161" s="32" t="str">
        <f>_xlfn.XLOOKUP(B:B,Disk_Pivot!G:G,Disk_Pivot!I:I)</f>
        <v>Yes x2</v>
      </c>
      <c r="AG161" s="32" t="str">
        <f>_xlfn.XLOOKUP(B161,Disk_Pivot!G:G,Disk_Pivot!N:N)</f>
        <v>Pass, Fail</v>
      </c>
      <c r="AH161" s="32"/>
      <c r="AI161" s="32"/>
      <c r="AJ161" s="32"/>
      <c r="AK161" s="32"/>
      <c r="AL161" s="32"/>
      <c r="AM161" s="32"/>
    </row>
    <row r="162" spans="1:39">
      <c r="A162" s="32" t="str">
        <f>_xlfn.XLOOKUP(B162,Input!J:J,Input!G:G)&amp;""</f>
        <v/>
      </c>
      <c r="B162" s="32"/>
      <c r="C162" s="32" t="str">
        <f>_xlfn.XLOOKUP(B162,Input!J:J,Input!H:H)&amp;""</f>
        <v/>
      </c>
      <c r="D162" s="42">
        <f>_xlfn.XLOOKUP(B162,Input!J:J,Input!F:F)</f>
        <v>0</v>
      </c>
      <c r="E162" s="32">
        <f>_xlfn.XLOOKUP(D162,Models!H:H,Models!G:G,D162)</f>
        <v>0</v>
      </c>
      <c r="F162" s="32">
        <f>_xlfn.XLOOKUP(B162,Input!J:J,Input!E:E)</f>
        <v>0</v>
      </c>
      <c r="G162" s="32">
        <f>IF(F162="LENOVO",_xlfn.XLOOKUP(B162,Input!J:J,Input!K:K),_xlfn.XLOOKUP(B162,Input!J:J,Input!L:L))</f>
        <v>0</v>
      </c>
      <c r="H162" s="32"/>
      <c r="I162" s="32"/>
      <c r="J162" s="32">
        <f>_xlfn.XLOOKUP(B162,CPU_Formula!A:A,CPU_Formula!I:I)</f>
        <v>0</v>
      </c>
      <c r="K162" s="42" t="e">
        <f>INDEX(Input!$D$2:$AC$500,
       MATCH(B162, Input!$J$2:$J$500, 0),
       MATCH("Total Memory", Input!$D$1:$AC$1, 0))</f>
        <v>#N/A</v>
      </c>
      <c r="L162" s="42" t="e">
        <f>INDEX(Input!$D$2:$AC$500,
       MATCH(B162, Input!$J$2:$J$500, 0),
       MATCH("Memory Type", Input!$D$1:$AC$1, 0))</f>
        <v>#N/A</v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e">
        <f t="shared" si="8"/>
        <v>#N/A</v>
      </c>
      <c r="O162" s="42" t="e">
        <f>INDEX(Input!$D$2:$AC$500,
       MATCH(B162, Input!$J$2:$J$500, 0),
       MATCH("Disk Interface Type", Input!$D$1:$AC$1, 0))</f>
        <v>#N/A</v>
      </c>
      <c r="P162" s="42" t="str" cm="1">
        <f t="array" ref="P162">IFERROR(_xlfn.TEXTJOIN(", ", TRUE, _xlfn._xlws.FILTER(
    INDEX(Input!$D$2:$AC$500,,MATCH("Disk Capacity",Input!$D$1:$AC$1,0)),
    Input!$J$2:$J$500=B162
)), "")</f>
        <v/>
      </c>
      <c r="Q162" s="32" t="e">
        <f t="shared" si="7"/>
        <v>#N/A</v>
      </c>
      <c r="R162" s="42" t="e">
        <f>_xlfn.LET(_xlpm.Result,INDEX(Input!$D$2:$AC$500,
       MATCH(B162, Input!$J$2:$J$500, 0),
       MATCH("Capacity", Input!$D$1:$AC$1, 0)),IF(_xlpm.Result="","",_xlpm.Result))</f>
        <v>#N/A</v>
      </c>
      <c r="S162" s="42" t="e" cm="1">
        <f t="array" ref="S162">_xlfn.TEXTSPLIT(R162," / ", ,TRUE,0,)</f>
        <v>#N/A</v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:AD162">IFERROR(IF(_xlfn.XLOOKUP(B162,Input!J:J,Input!N:U)=0,"",
          _xlfn.XLOOKUP(B162,Input!J:J,Input!N:U)),"")</f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42" t="str">
        <v/>
      </c>
      <c r="AE162" s="32" t="str">
        <f t="shared" si="6"/>
        <v/>
      </c>
      <c r="AF162" s="32" t="str">
        <f>_xlfn.XLOOKUP(B:B,Disk_Pivot!G:G,Disk_Pivot!I:I)</f>
        <v>Yes x2</v>
      </c>
      <c r="AG162" s="32" t="str">
        <f>_xlfn.XLOOKUP(B162,Disk_Pivot!G:G,Disk_Pivot!N:N)</f>
        <v>Pass, Fail</v>
      </c>
      <c r="AH162" s="32"/>
      <c r="AI162" s="32"/>
      <c r="AJ162" s="32"/>
      <c r="AK162" s="32"/>
      <c r="AL162" s="32"/>
      <c r="AM162" s="32"/>
    </row>
    <row r="163" spans="1:39">
      <c r="A163" s="32" t="str">
        <f>_xlfn.XLOOKUP(B163,Input!J:J,Input!G:G)&amp;""</f>
        <v/>
      </c>
      <c r="B163" s="32"/>
      <c r="C163" s="32" t="str">
        <f>_xlfn.XLOOKUP(B163,Input!J:J,Input!H:H)&amp;""</f>
        <v/>
      </c>
      <c r="D163" s="42">
        <f>_xlfn.XLOOKUP(B163,Input!J:J,Input!F:F)</f>
        <v>0</v>
      </c>
      <c r="E163" s="32">
        <f>_xlfn.XLOOKUP(D163,Models!H:H,Models!G:G,D163)</f>
        <v>0</v>
      </c>
      <c r="F163" s="32">
        <f>_xlfn.XLOOKUP(B163,Input!J:J,Input!E:E)</f>
        <v>0</v>
      </c>
      <c r="G163" s="32">
        <f>IF(F163="LENOVO",_xlfn.XLOOKUP(B163,Input!J:J,Input!K:K),_xlfn.XLOOKUP(B163,Input!J:J,Input!L:L))</f>
        <v>0</v>
      </c>
      <c r="H163" s="32"/>
      <c r="I163" s="32"/>
      <c r="J163" s="32">
        <f>_xlfn.XLOOKUP(B163,CPU_Formula!A:A,CPU_Formula!I:I)</f>
        <v>0</v>
      </c>
      <c r="K163" s="42" t="e">
        <f>INDEX(Input!$D$2:$AC$500,
       MATCH(B163, Input!$J$2:$J$500, 0),
       MATCH("Total Memory", Input!$D$1:$AC$1, 0))</f>
        <v>#N/A</v>
      </c>
      <c r="L163" s="42" t="e">
        <f>INDEX(Input!$D$2:$AC$500,
       MATCH(B163, Input!$J$2:$J$500, 0),
       MATCH("Memory Type", Input!$D$1:$AC$1, 0))</f>
        <v>#N/A</v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e">
        <f t="shared" si="8"/>
        <v>#N/A</v>
      </c>
      <c r="O163" s="42" t="e">
        <f>INDEX(Input!$D$2:$AC$500,
       MATCH(B163, Input!$J$2:$J$500, 0),
       MATCH("Disk Interface Type", Input!$D$1:$AC$1, 0))</f>
        <v>#N/A</v>
      </c>
      <c r="P163" s="42" t="str" cm="1">
        <f t="array" ref="P163">IFERROR(_xlfn.TEXTJOIN(", ", TRUE, _xlfn._xlws.FILTER(
    INDEX(Input!$D$2:$AC$500,,MATCH("Disk Capacity",Input!$D$1:$AC$1,0)),
    Input!$J$2:$J$500=B163
)), "")</f>
        <v/>
      </c>
      <c r="Q163" s="32" t="e">
        <f t="shared" si="7"/>
        <v>#N/A</v>
      </c>
      <c r="R163" s="42" t="e">
        <f>_xlfn.LET(_xlpm.Result,INDEX(Input!$D$2:$AC$500,
       MATCH(B163, Input!$J$2:$J$500, 0),
       MATCH("Capacity", Input!$D$1:$AC$1, 0)),IF(_xlpm.Result="","",_xlpm.Result))</f>
        <v>#N/A</v>
      </c>
      <c r="S163" s="42" t="e" cm="1">
        <f t="array" ref="S163">_xlfn.TEXTSPLIT(R163," / ", ,TRUE,0,)</f>
        <v>#N/A</v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:AD163">IFERROR(IF(_xlfn.XLOOKUP(B163,Input!J:J,Input!N:U)=0,"",
          _xlfn.XLOOKUP(B163,Input!J:J,Input!N:U)),"")</f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42" t="str">
        <v/>
      </c>
      <c r="AE163" s="32" t="str">
        <f t="shared" si="6"/>
        <v/>
      </c>
      <c r="AF163" s="32" t="str">
        <f>_xlfn.XLOOKUP(B:B,Disk_Pivot!G:G,Disk_Pivot!I:I)</f>
        <v>Yes x2</v>
      </c>
      <c r="AG163" s="32" t="str">
        <f>_xlfn.XLOOKUP(B163,Disk_Pivot!G:G,Disk_Pivot!N:N)</f>
        <v>Pass, Fail</v>
      </c>
      <c r="AH163" s="32"/>
      <c r="AI163" s="32"/>
      <c r="AJ163" s="32"/>
      <c r="AK163" s="32"/>
      <c r="AL163" s="32"/>
      <c r="AM163" s="32"/>
    </row>
    <row r="164" spans="1:39">
      <c r="A164" s="32" t="str">
        <f>_xlfn.XLOOKUP(B164,Input!J:J,Input!G:G)&amp;""</f>
        <v/>
      </c>
      <c r="B164" s="32"/>
      <c r="C164" s="32" t="str">
        <f>_xlfn.XLOOKUP(B164,Input!J:J,Input!H:H)&amp;""</f>
        <v/>
      </c>
      <c r="D164" s="42">
        <f>_xlfn.XLOOKUP(B164,Input!J:J,Input!F:F)</f>
        <v>0</v>
      </c>
      <c r="E164" s="32">
        <f>_xlfn.XLOOKUP(D164,Models!H:H,Models!G:G,D164)</f>
        <v>0</v>
      </c>
      <c r="F164" s="32">
        <f>_xlfn.XLOOKUP(B164,Input!J:J,Input!E:E)</f>
        <v>0</v>
      </c>
      <c r="G164" s="32">
        <f>IF(F164="LENOVO",_xlfn.XLOOKUP(B164,Input!J:J,Input!K:K),_xlfn.XLOOKUP(B164,Input!J:J,Input!L:L))</f>
        <v>0</v>
      </c>
      <c r="H164" s="32"/>
      <c r="I164" s="32"/>
      <c r="J164" s="32">
        <f>_xlfn.XLOOKUP(B164,CPU_Formula!A:A,CPU_Formula!I:I)</f>
        <v>0</v>
      </c>
      <c r="K164" s="42" t="e">
        <f>INDEX(Input!$D$2:$AC$500,
       MATCH(B164, Input!$J$2:$J$500, 0),
       MATCH("Total Memory", Input!$D$1:$AC$1, 0))</f>
        <v>#N/A</v>
      </c>
      <c r="L164" s="42" t="e">
        <f>INDEX(Input!$D$2:$AC$500,
       MATCH(B164, Input!$J$2:$J$500, 0),
       MATCH("Memory Type", Input!$D$1:$AC$1, 0))</f>
        <v>#N/A</v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e">
        <f t="shared" si="8"/>
        <v>#N/A</v>
      </c>
      <c r="O164" s="42" t="e">
        <f>INDEX(Input!$D$2:$AC$500,
       MATCH(B164, Input!$J$2:$J$500, 0),
       MATCH("Disk Interface Type", Input!$D$1:$AC$1, 0))</f>
        <v>#N/A</v>
      </c>
      <c r="P164" s="42" t="str" cm="1">
        <f t="array" ref="P164">IFERROR(_xlfn.TEXTJOIN(", ", TRUE, _xlfn._xlws.FILTER(
    INDEX(Input!$D$2:$AC$500,,MATCH("Disk Capacity",Input!$D$1:$AC$1,0)),
    Input!$J$2:$J$500=B164
)), "")</f>
        <v/>
      </c>
      <c r="Q164" s="32" t="e">
        <f t="shared" si="7"/>
        <v>#N/A</v>
      </c>
      <c r="R164" s="42" t="e">
        <f>_xlfn.LET(_xlpm.Result,INDEX(Input!$D$2:$AC$500,
       MATCH(B164, Input!$J$2:$J$500, 0),
       MATCH("Capacity", Input!$D$1:$AC$1, 0)),IF(_xlpm.Result="","",_xlpm.Result))</f>
        <v>#N/A</v>
      </c>
      <c r="S164" s="42" t="e" cm="1">
        <f t="array" ref="S164">_xlfn.TEXTSPLIT(R164," / ", ,TRUE,0,)</f>
        <v>#N/A</v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:AD164">IFERROR(IF(_xlfn.XLOOKUP(B164,Input!J:J,Input!N:U)=0,"",
          _xlfn.XLOOKUP(B164,Input!J:J,Input!N:U)),"")</f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42" t="str">
        <v/>
      </c>
      <c r="AE164" s="32" t="str">
        <f t="shared" si="6"/>
        <v/>
      </c>
      <c r="AF164" s="32" t="str">
        <f>_xlfn.XLOOKUP(B:B,Disk_Pivot!G:G,Disk_Pivot!I:I)</f>
        <v>Yes x2</v>
      </c>
      <c r="AG164" s="32" t="str">
        <f>_xlfn.XLOOKUP(B164,Disk_Pivot!G:G,Disk_Pivot!N:N)</f>
        <v>Pass, Fail</v>
      </c>
      <c r="AH164" s="32"/>
      <c r="AI164" s="32"/>
      <c r="AJ164" s="32"/>
      <c r="AK164" s="32"/>
      <c r="AL164" s="32"/>
      <c r="AM164" s="32"/>
    </row>
    <row r="165" spans="1:39">
      <c r="A165" s="32" t="str">
        <f>_xlfn.XLOOKUP(B165,Input!J:J,Input!G:G)&amp;""</f>
        <v/>
      </c>
      <c r="B165" s="32"/>
      <c r="C165" s="32" t="str">
        <f>_xlfn.XLOOKUP(B165,Input!J:J,Input!H:H)&amp;""</f>
        <v/>
      </c>
      <c r="D165" s="42">
        <f>_xlfn.XLOOKUP(B165,Input!J:J,Input!F:F)</f>
        <v>0</v>
      </c>
      <c r="E165" s="32">
        <f>_xlfn.XLOOKUP(D165,Models!H:H,Models!G:G,D165)</f>
        <v>0</v>
      </c>
      <c r="F165" s="32">
        <f>_xlfn.XLOOKUP(B165,Input!J:J,Input!E:E)</f>
        <v>0</v>
      </c>
      <c r="G165" s="32">
        <f>IF(F165="LENOVO",_xlfn.XLOOKUP(B165,Input!J:J,Input!K:K),_xlfn.XLOOKUP(B165,Input!J:J,Input!L:L))</f>
        <v>0</v>
      </c>
      <c r="H165" s="32"/>
      <c r="I165" s="32"/>
      <c r="J165" s="32">
        <f>_xlfn.XLOOKUP(B165,CPU_Formula!A:A,CPU_Formula!I:I)</f>
        <v>0</v>
      </c>
      <c r="K165" s="42" t="e">
        <f>INDEX(Input!$D$2:$AC$500,
       MATCH(B165, Input!$J$2:$J$500, 0),
       MATCH("Total Memory", Input!$D$1:$AC$1, 0))</f>
        <v>#N/A</v>
      </c>
      <c r="L165" s="42" t="e">
        <f>INDEX(Input!$D$2:$AC$500,
       MATCH(B165, Input!$J$2:$J$500, 0),
       MATCH("Memory Type", Input!$D$1:$AC$1, 0))</f>
        <v>#N/A</v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e">
        <f t="shared" si="8"/>
        <v>#N/A</v>
      </c>
      <c r="O165" s="42" t="e">
        <f>INDEX(Input!$D$2:$AC$500,
       MATCH(B165, Input!$J$2:$J$500, 0),
       MATCH("Disk Interface Type", Input!$D$1:$AC$1, 0))</f>
        <v>#N/A</v>
      </c>
      <c r="P165" s="42" t="str" cm="1">
        <f t="array" ref="P165">IFERROR(_xlfn.TEXTJOIN(", ", TRUE, _xlfn._xlws.FILTER(
    INDEX(Input!$D$2:$AC$500,,MATCH("Disk Capacity",Input!$D$1:$AC$1,0)),
    Input!$J$2:$J$500=B165
)), "")</f>
        <v/>
      </c>
      <c r="Q165" s="32" t="e">
        <f t="shared" si="7"/>
        <v>#N/A</v>
      </c>
      <c r="R165" s="42" t="e">
        <f>_xlfn.LET(_xlpm.Result,INDEX(Input!$D$2:$AC$500,
       MATCH(B165, Input!$J$2:$J$500, 0),
       MATCH("Capacity", Input!$D$1:$AC$1, 0)),IF(_xlpm.Result="","",_xlpm.Result))</f>
        <v>#N/A</v>
      </c>
      <c r="S165" s="42" t="e" cm="1">
        <f t="array" ref="S165">_xlfn.TEXTSPLIT(R165," / ", ,TRUE,0,)</f>
        <v>#N/A</v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:AD165">IFERROR(IF(_xlfn.XLOOKUP(B165,Input!J:J,Input!N:U)=0,"",
          _xlfn.XLOOKUP(B165,Input!J:J,Input!N:U)),"")</f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42" t="str">
        <v/>
      </c>
      <c r="AE165" s="32" t="str">
        <f t="shared" si="6"/>
        <v/>
      </c>
      <c r="AF165" s="32" t="str">
        <f>_xlfn.XLOOKUP(B:B,Disk_Pivot!G:G,Disk_Pivot!I:I)</f>
        <v>Yes x2</v>
      </c>
      <c r="AG165" s="32" t="str">
        <f>_xlfn.XLOOKUP(B165,Disk_Pivot!G:G,Disk_Pivot!N:N)</f>
        <v>Pass, Fail</v>
      </c>
      <c r="AH165" s="32"/>
      <c r="AI165" s="32"/>
      <c r="AJ165" s="32"/>
      <c r="AK165" s="32"/>
      <c r="AL165" s="32"/>
      <c r="AM165" s="32"/>
    </row>
    <row r="166" spans="1:39">
      <c r="A166" s="32" t="str">
        <f>_xlfn.XLOOKUP(B166,Input!J:J,Input!G:G)&amp;""</f>
        <v/>
      </c>
      <c r="B166" s="32"/>
      <c r="C166" s="32" t="str">
        <f>_xlfn.XLOOKUP(B166,Input!J:J,Input!H:H)&amp;""</f>
        <v/>
      </c>
      <c r="D166" s="42">
        <f>_xlfn.XLOOKUP(B166,Input!J:J,Input!F:F)</f>
        <v>0</v>
      </c>
      <c r="E166" s="32">
        <f>_xlfn.XLOOKUP(D166,Models!H:H,Models!G:G,D166)</f>
        <v>0</v>
      </c>
      <c r="F166" s="32">
        <f>_xlfn.XLOOKUP(B166,Input!J:J,Input!E:E)</f>
        <v>0</v>
      </c>
      <c r="G166" s="32">
        <f>IF(F166="LENOVO",_xlfn.XLOOKUP(B166,Input!J:J,Input!K:K),_xlfn.XLOOKUP(B166,Input!J:J,Input!L:L))</f>
        <v>0</v>
      </c>
      <c r="H166" s="32"/>
      <c r="I166" s="32"/>
      <c r="J166" s="32">
        <f>_xlfn.XLOOKUP(B166,CPU_Formula!A:A,CPU_Formula!I:I)</f>
        <v>0</v>
      </c>
      <c r="K166" s="42" t="e">
        <f>INDEX(Input!$D$2:$AC$500,
       MATCH(B166, Input!$J$2:$J$500, 0),
       MATCH("Total Memory", Input!$D$1:$AC$1, 0))</f>
        <v>#N/A</v>
      </c>
      <c r="L166" s="42" t="e">
        <f>INDEX(Input!$D$2:$AC$500,
       MATCH(B166, Input!$J$2:$J$500, 0),
       MATCH("Memory Type", Input!$D$1:$AC$1, 0))</f>
        <v>#N/A</v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e">
        <f t="shared" si="8"/>
        <v>#N/A</v>
      </c>
      <c r="O166" s="42" t="e">
        <f>INDEX(Input!$D$2:$AC$500,
       MATCH(B166, Input!$J$2:$J$500, 0),
       MATCH("Disk Interface Type", Input!$D$1:$AC$1, 0))</f>
        <v>#N/A</v>
      </c>
      <c r="P166" s="42" t="str" cm="1">
        <f t="array" ref="P166">IFERROR(_xlfn.TEXTJOIN(", ", TRUE, _xlfn._xlws.FILTER(
    INDEX(Input!$D$2:$AC$500,,MATCH("Disk Capacity",Input!$D$1:$AC$1,0)),
    Input!$J$2:$J$500=B166
)), "")</f>
        <v/>
      </c>
      <c r="Q166" s="32" t="e">
        <f t="shared" si="7"/>
        <v>#N/A</v>
      </c>
      <c r="R166" s="42" t="e">
        <f>_xlfn.LET(_xlpm.Result,INDEX(Input!$D$2:$AC$500,
       MATCH(B166, Input!$J$2:$J$500, 0),
       MATCH("Capacity", Input!$D$1:$AC$1, 0)),IF(_xlpm.Result="","",_xlpm.Result))</f>
        <v>#N/A</v>
      </c>
      <c r="S166" s="42" t="e" cm="1">
        <f t="array" ref="S166">_xlfn.TEXTSPLIT(R166," / ", ,TRUE,0,)</f>
        <v>#N/A</v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:AD166">IFERROR(IF(_xlfn.XLOOKUP(B166,Input!J:J,Input!N:U)=0,"",
          _xlfn.XLOOKUP(B166,Input!J:J,Input!N:U)),"")</f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42" t="str">
        <v/>
      </c>
      <c r="AE166" s="32" t="str">
        <f t="shared" si="6"/>
        <v/>
      </c>
      <c r="AF166" s="32" t="str">
        <f>_xlfn.XLOOKUP(B:B,Disk_Pivot!G:G,Disk_Pivot!I:I)</f>
        <v>Yes x2</v>
      </c>
      <c r="AG166" s="32" t="str">
        <f>_xlfn.XLOOKUP(B166,Disk_Pivot!G:G,Disk_Pivot!N:N)</f>
        <v>Pass, Fail</v>
      </c>
      <c r="AH166" s="32"/>
      <c r="AI166" s="32"/>
      <c r="AJ166" s="32"/>
      <c r="AK166" s="32"/>
      <c r="AL166" s="32"/>
      <c r="AM166" s="32"/>
    </row>
    <row r="167" spans="1:39">
      <c r="A167" s="32" t="str">
        <f>_xlfn.XLOOKUP(B167,Input!J:J,Input!G:G)&amp;""</f>
        <v/>
      </c>
      <c r="B167" s="32"/>
      <c r="C167" s="32" t="str">
        <f>_xlfn.XLOOKUP(B167,Input!J:J,Input!H:H)&amp;""</f>
        <v/>
      </c>
      <c r="D167" s="42">
        <f>_xlfn.XLOOKUP(B167,Input!J:J,Input!F:F)</f>
        <v>0</v>
      </c>
      <c r="E167" s="32">
        <f>_xlfn.XLOOKUP(D167,Models!H:H,Models!G:G,D167)</f>
        <v>0</v>
      </c>
      <c r="F167" s="32">
        <f>_xlfn.XLOOKUP(B167,Input!J:J,Input!E:E)</f>
        <v>0</v>
      </c>
      <c r="G167" s="32">
        <f>IF(F167="LENOVO",_xlfn.XLOOKUP(B167,Input!J:J,Input!K:K),_xlfn.XLOOKUP(B167,Input!J:J,Input!L:L))</f>
        <v>0</v>
      </c>
      <c r="H167" s="32"/>
      <c r="I167" s="32"/>
      <c r="J167" s="32">
        <f>_xlfn.XLOOKUP(B167,CPU_Formula!A:A,CPU_Formula!I:I)</f>
        <v>0</v>
      </c>
      <c r="K167" s="42" t="e">
        <f>INDEX(Input!$D$2:$AC$500,
       MATCH(B167, Input!$J$2:$J$500, 0),
       MATCH("Total Memory", Input!$D$1:$AC$1, 0))</f>
        <v>#N/A</v>
      </c>
      <c r="L167" s="42" t="e">
        <f>INDEX(Input!$D$2:$AC$500,
       MATCH(B167, Input!$J$2:$J$500, 0),
       MATCH("Memory Type", Input!$D$1:$AC$1, 0))</f>
        <v>#N/A</v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e">
        <f t="shared" si="8"/>
        <v>#N/A</v>
      </c>
      <c r="O167" s="42" t="e">
        <f>INDEX(Input!$D$2:$AC$500,
       MATCH(B167, Input!$J$2:$J$500, 0),
       MATCH("Disk Interface Type", Input!$D$1:$AC$1, 0))</f>
        <v>#N/A</v>
      </c>
      <c r="P167" s="42" t="str" cm="1">
        <f t="array" ref="P167">IFERROR(_xlfn.TEXTJOIN(", ", TRUE, _xlfn._xlws.FILTER(
    INDEX(Input!$D$2:$AC$500,,MATCH("Disk Capacity",Input!$D$1:$AC$1,0)),
    Input!$J$2:$J$500=B167
)), "")</f>
        <v/>
      </c>
      <c r="Q167" s="32" t="e">
        <f t="shared" si="7"/>
        <v>#N/A</v>
      </c>
      <c r="R167" s="42" t="e">
        <f>_xlfn.LET(_xlpm.Result,INDEX(Input!$D$2:$AC$500,
       MATCH(B167, Input!$J$2:$J$500, 0),
       MATCH("Capacity", Input!$D$1:$AC$1, 0)),IF(_xlpm.Result="","",_xlpm.Result))</f>
        <v>#N/A</v>
      </c>
      <c r="S167" s="42" t="e" cm="1">
        <f t="array" ref="S167">_xlfn.TEXTSPLIT(R167," / ", ,TRUE,0,)</f>
        <v>#N/A</v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:AD167">IFERROR(IF(_xlfn.XLOOKUP(B167,Input!J:J,Input!N:U)=0,"",
          _xlfn.XLOOKUP(B167,Input!J:J,Input!N:U)),"")</f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42" t="str">
        <v/>
      </c>
      <c r="AE167" s="32" t="str">
        <f t="shared" si="6"/>
        <v/>
      </c>
      <c r="AF167" s="32" t="str">
        <f>_xlfn.XLOOKUP(B:B,Disk_Pivot!G:G,Disk_Pivot!I:I)</f>
        <v>Yes x2</v>
      </c>
      <c r="AG167" s="32" t="str">
        <f>_xlfn.XLOOKUP(B167,Disk_Pivot!G:G,Disk_Pivot!N:N)</f>
        <v>Pass, Fail</v>
      </c>
      <c r="AH167" s="32"/>
      <c r="AI167" s="32"/>
      <c r="AJ167" s="32"/>
      <c r="AK167" s="32"/>
      <c r="AL167" s="32"/>
      <c r="AM167" s="32"/>
    </row>
    <row r="168" spans="1:39">
      <c r="A168" s="32" t="str">
        <f>_xlfn.XLOOKUP(B168,Input!J:J,Input!G:G)&amp;""</f>
        <v/>
      </c>
      <c r="B168" s="32"/>
      <c r="C168" s="32" t="str">
        <f>_xlfn.XLOOKUP(B168,Input!J:J,Input!H:H)&amp;""</f>
        <v/>
      </c>
      <c r="D168" s="42">
        <f>_xlfn.XLOOKUP(B168,Input!J:J,Input!F:F)</f>
        <v>0</v>
      </c>
      <c r="E168" s="32">
        <f>_xlfn.XLOOKUP(D168,Models!H:H,Models!G:G,D168)</f>
        <v>0</v>
      </c>
      <c r="F168" s="32">
        <f>_xlfn.XLOOKUP(B168,Input!J:J,Input!E:E)</f>
        <v>0</v>
      </c>
      <c r="G168" s="32">
        <f>IF(F168="LENOVO",_xlfn.XLOOKUP(B168,Input!J:J,Input!K:K),_xlfn.XLOOKUP(B168,Input!J:J,Input!L:L))</f>
        <v>0</v>
      </c>
      <c r="H168" s="32"/>
      <c r="I168" s="32"/>
      <c r="J168" s="32">
        <f>_xlfn.XLOOKUP(B168,CPU_Formula!A:A,CPU_Formula!I:I)</f>
        <v>0</v>
      </c>
      <c r="K168" s="42" t="e">
        <f>INDEX(Input!$D$2:$AC$500,
       MATCH(B168, Input!$J$2:$J$500, 0),
       MATCH("Total Memory", Input!$D$1:$AC$1, 0))</f>
        <v>#N/A</v>
      </c>
      <c r="L168" s="42" t="e">
        <f>INDEX(Input!$D$2:$AC$500,
       MATCH(B168, Input!$J$2:$J$500, 0),
       MATCH("Memory Type", Input!$D$1:$AC$1, 0))</f>
        <v>#N/A</v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e">
        <f t="shared" si="8"/>
        <v>#N/A</v>
      </c>
      <c r="O168" s="42" t="e">
        <f>INDEX(Input!$D$2:$AC$500,
       MATCH(B168, Input!$J$2:$J$500, 0),
       MATCH("Disk Interface Type", Input!$D$1:$AC$1, 0))</f>
        <v>#N/A</v>
      </c>
      <c r="P168" s="42" t="str" cm="1">
        <f t="array" ref="P168">IFERROR(_xlfn.TEXTJOIN(", ", TRUE, _xlfn._xlws.FILTER(
    INDEX(Input!$D$2:$AC$500,,MATCH("Disk Capacity",Input!$D$1:$AC$1,0)),
    Input!$J$2:$J$500=B168
)), "")</f>
        <v/>
      </c>
      <c r="Q168" s="32" t="e">
        <f t="shared" si="7"/>
        <v>#N/A</v>
      </c>
      <c r="R168" s="42" t="e">
        <f>_xlfn.LET(_xlpm.Result,INDEX(Input!$D$2:$AC$500,
       MATCH(B168, Input!$J$2:$J$500, 0),
       MATCH("Capacity", Input!$D$1:$AC$1, 0)),IF(_xlpm.Result="","",_xlpm.Result))</f>
        <v>#N/A</v>
      </c>
      <c r="S168" s="42" t="e" cm="1">
        <f t="array" ref="S168">_xlfn.TEXTSPLIT(R168," / ", ,TRUE,0,)</f>
        <v>#N/A</v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:AD168">IFERROR(IF(_xlfn.XLOOKUP(B168,Input!J:J,Input!N:U)=0,"",
          _xlfn.XLOOKUP(B168,Input!J:J,Input!N:U)),"")</f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42" t="str">
        <v/>
      </c>
      <c r="AE168" s="32" t="str">
        <f t="shared" si="6"/>
        <v/>
      </c>
      <c r="AF168" s="32" t="str">
        <f>_xlfn.XLOOKUP(B:B,Disk_Pivot!G:G,Disk_Pivot!I:I)</f>
        <v>Yes x2</v>
      </c>
      <c r="AG168" s="32" t="str">
        <f>_xlfn.XLOOKUP(B168,Disk_Pivot!G:G,Disk_Pivot!N:N)</f>
        <v>Pass, Fail</v>
      </c>
      <c r="AH168" s="32"/>
      <c r="AI168" s="32"/>
      <c r="AJ168" s="32"/>
      <c r="AK168" s="32"/>
      <c r="AL168" s="32"/>
      <c r="AM168" s="32"/>
    </row>
    <row r="169" spans="1:39">
      <c r="A169" s="32" t="str">
        <f>_xlfn.XLOOKUP(B169,Input!J:J,Input!G:G)&amp;""</f>
        <v/>
      </c>
      <c r="B169" s="32"/>
      <c r="C169" s="32" t="str">
        <f>_xlfn.XLOOKUP(B169,Input!J:J,Input!H:H)&amp;""</f>
        <v/>
      </c>
      <c r="D169" s="42">
        <f>_xlfn.XLOOKUP(B169,Input!J:J,Input!F:F)</f>
        <v>0</v>
      </c>
      <c r="E169" s="32">
        <f>_xlfn.XLOOKUP(D169,Models!H:H,Models!G:G,D169)</f>
        <v>0</v>
      </c>
      <c r="F169" s="32">
        <f>_xlfn.XLOOKUP(B169,Input!J:J,Input!E:E)</f>
        <v>0</v>
      </c>
      <c r="G169" s="32">
        <f>IF(F169="LENOVO",_xlfn.XLOOKUP(B169,Input!J:J,Input!K:K),_xlfn.XLOOKUP(B169,Input!J:J,Input!L:L))</f>
        <v>0</v>
      </c>
      <c r="H169" s="32"/>
      <c r="I169" s="32"/>
      <c r="J169" s="32">
        <f>_xlfn.XLOOKUP(B169,CPU_Formula!A:A,CPU_Formula!I:I)</f>
        <v>0</v>
      </c>
      <c r="K169" s="42" t="e">
        <f>INDEX(Input!$D$2:$AC$500,
       MATCH(B169, Input!$J$2:$J$500, 0),
       MATCH("Total Memory", Input!$D$1:$AC$1, 0))</f>
        <v>#N/A</v>
      </c>
      <c r="L169" s="42" t="e">
        <f>INDEX(Input!$D$2:$AC$500,
       MATCH(B169, Input!$J$2:$J$500, 0),
       MATCH("Memory Type", Input!$D$1:$AC$1, 0))</f>
        <v>#N/A</v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e">
        <f t="shared" si="8"/>
        <v>#N/A</v>
      </c>
      <c r="O169" s="42" t="e">
        <f>INDEX(Input!$D$2:$AC$500,
       MATCH(B169, Input!$J$2:$J$500, 0),
       MATCH("Disk Interface Type", Input!$D$1:$AC$1, 0))</f>
        <v>#N/A</v>
      </c>
      <c r="P169" s="42" t="str" cm="1">
        <f t="array" ref="P169">IFERROR(_xlfn.TEXTJOIN(", ", TRUE, _xlfn._xlws.FILTER(
    INDEX(Input!$D$2:$AC$500,,MATCH("Disk Capacity",Input!$D$1:$AC$1,0)),
    Input!$J$2:$J$500=B169
)), "")</f>
        <v/>
      </c>
      <c r="Q169" s="32" t="e">
        <f t="shared" si="7"/>
        <v>#N/A</v>
      </c>
      <c r="R169" s="42" t="e">
        <f>_xlfn.LET(_xlpm.Result,INDEX(Input!$D$2:$AC$500,
       MATCH(B169, Input!$J$2:$J$500, 0),
       MATCH("Capacity", Input!$D$1:$AC$1, 0)),IF(_xlpm.Result="","",_xlpm.Result))</f>
        <v>#N/A</v>
      </c>
      <c r="S169" s="42" t="e" cm="1">
        <f t="array" ref="S169">_xlfn.TEXTSPLIT(R169," / ", ,TRUE,0,)</f>
        <v>#N/A</v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:AD169">IFERROR(IF(_xlfn.XLOOKUP(B169,Input!J:J,Input!N:U)=0,"",
          _xlfn.XLOOKUP(B169,Input!J:J,Input!N:U)),"")</f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42" t="str">
        <v/>
      </c>
      <c r="AE169" s="32" t="str">
        <f t="shared" si="6"/>
        <v/>
      </c>
      <c r="AF169" s="32" t="str">
        <f>_xlfn.XLOOKUP(B:B,Disk_Pivot!G:G,Disk_Pivot!I:I)</f>
        <v>Yes x2</v>
      </c>
      <c r="AG169" s="32" t="str">
        <f>_xlfn.XLOOKUP(B169,Disk_Pivot!G:G,Disk_Pivot!N:N)</f>
        <v>Pass, Fail</v>
      </c>
      <c r="AH169" s="32"/>
      <c r="AI169" s="32"/>
      <c r="AJ169" s="32"/>
      <c r="AK169" s="32"/>
      <c r="AL169" s="32"/>
      <c r="AM169" s="32"/>
    </row>
    <row r="170" spans="1:39">
      <c r="A170" s="32" t="str">
        <f>_xlfn.XLOOKUP(B170,Input!J:J,Input!G:G)&amp;""</f>
        <v/>
      </c>
      <c r="B170" s="32"/>
      <c r="C170" s="32" t="str">
        <f>_xlfn.XLOOKUP(B170,Input!J:J,Input!H:H)&amp;""</f>
        <v/>
      </c>
      <c r="D170" s="42">
        <f>_xlfn.XLOOKUP(B170,Input!J:J,Input!F:F)</f>
        <v>0</v>
      </c>
      <c r="E170" s="32">
        <f>_xlfn.XLOOKUP(D170,Models!H:H,Models!G:G,D170)</f>
        <v>0</v>
      </c>
      <c r="F170" s="32">
        <f>_xlfn.XLOOKUP(B170,Input!J:J,Input!E:E)</f>
        <v>0</v>
      </c>
      <c r="G170" s="32">
        <f>IF(F170="LENOVO",_xlfn.XLOOKUP(B170,Input!J:J,Input!K:K),_xlfn.XLOOKUP(B170,Input!J:J,Input!L:L))</f>
        <v>0</v>
      </c>
      <c r="H170" s="32"/>
      <c r="I170" s="32"/>
      <c r="J170" s="32">
        <f>_xlfn.XLOOKUP(B170,CPU_Formula!A:A,CPU_Formula!I:I)</f>
        <v>0</v>
      </c>
      <c r="K170" s="42" t="e">
        <f>INDEX(Input!$D$2:$AC$500,
       MATCH(B170, Input!$J$2:$J$500, 0),
       MATCH("Total Memory", Input!$D$1:$AC$1, 0))</f>
        <v>#N/A</v>
      </c>
      <c r="L170" s="42" t="e">
        <f>INDEX(Input!$D$2:$AC$500,
       MATCH(B170, Input!$J$2:$J$500, 0),
       MATCH("Memory Type", Input!$D$1:$AC$1, 0))</f>
        <v>#N/A</v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e">
        <f t="shared" si="8"/>
        <v>#N/A</v>
      </c>
      <c r="O170" s="42" t="e">
        <f>INDEX(Input!$D$2:$AC$500,
       MATCH(B170, Input!$J$2:$J$500, 0),
       MATCH("Disk Interface Type", Input!$D$1:$AC$1, 0))</f>
        <v>#N/A</v>
      </c>
      <c r="P170" s="42" t="str" cm="1">
        <f t="array" ref="P170">IFERROR(_xlfn.TEXTJOIN(", ", TRUE, _xlfn._xlws.FILTER(
    INDEX(Input!$D$2:$AC$500,,MATCH("Disk Capacity",Input!$D$1:$AC$1,0)),
    Input!$J$2:$J$500=B170
)), "")</f>
        <v/>
      </c>
      <c r="Q170" s="32" t="e">
        <f t="shared" si="7"/>
        <v>#N/A</v>
      </c>
      <c r="R170" s="42" t="e">
        <f>_xlfn.LET(_xlpm.Result,INDEX(Input!$D$2:$AC$500,
       MATCH(B170, Input!$J$2:$J$500, 0),
       MATCH("Capacity", Input!$D$1:$AC$1, 0)),IF(_xlpm.Result="","",_xlpm.Result))</f>
        <v>#N/A</v>
      </c>
      <c r="S170" s="42" t="e" cm="1">
        <f t="array" ref="S170">_xlfn.TEXTSPLIT(R170," / ", ,TRUE,0,)</f>
        <v>#N/A</v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:AD170">IFERROR(IF(_xlfn.XLOOKUP(B170,Input!J:J,Input!N:U)=0,"",
          _xlfn.XLOOKUP(B170,Input!J:J,Input!N:U)),"")</f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42" t="str">
        <v/>
      </c>
      <c r="AE170" s="32" t="str">
        <f t="shared" si="6"/>
        <v/>
      </c>
      <c r="AF170" s="32" t="str">
        <f>_xlfn.XLOOKUP(B:B,Disk_Pivot!G:G,Disk_Pivot!I:I)</f>
        <v>Yes x2</v>
      </c>
      <c r="AG170" s="32" t="str">
        <f>_xlfn.XLOOKUP(B170,Disk_Pivot!G:G,Disk_Pivot!N:N)</f>
        <v>Pass, Fail</v>
      </c>
      <c r="AH170" s="32"/>
      <c r="AI170" s="32"/>
      <c r="AJ170" s="32"/>
      <c r="AK170" s="32"/>
      <c r="AL170" s="32"/>
      <c r="AM170" s="32"/>
    </row>
    <row r="171" spans="1:39">
      <c r="A171" s="32" t="str">
        <f>_xlfn.XLOOKUP(B171,Input!J:J,Input!G:G)&amp;""</f>
        <v/>
      </c>
      <c r="B171" s="32"/>
      <c r="C171" s="32" t="str">
        <f>_xlfn.XLOOKUP(B171,Input!J:J,Input!H:H)&amp;""</f>
        <v/>
      </c>
      <c r="D171" s="42">
        <f>_xlfn.XLOOKUP(B171,Input!J:J,Input!F:F)</f>
        <v>0</v>
      </c>
      <c r="E171" s="32">
        <f>_xlfn.XLOOKUP(D171,Models!H:H,Models!G:G,D171)</f>
        <v>0</v>
      </c>
      <c r="F171" s="32">
        <f>_xlfn.XLOOKUP(B171,Input!J:J,Input!E:E)</f>
        <v>0</v>
      </c>
      <c r="G171" s="32">
        <f>IF(F171="LENOVO",_xlfn.XLOOKUP(B171,Input!J:J,Input!K:K),_xlfn.XLOOKUP(B171,Input!J:J,Input!L:L))</f>
        <v>0</v>
      </c>
      <c r="H171" s="32"/>
      <c r="I171" s="32"/>
      <c r="J171" s="32">
        <f>_xlfn.XLOOKUP(B171,CPU_Formula!A:A,CPU_Formula!I:I)</f>
        <v>0</v>
      </c>
      <c r="K171" s="42" t="e">
        <f>INDEX(Input!$D$2:$AC$500,
       MATCH(B171, Input!$J$2:$J$500, 0),
       MATCH("Total Memory", Input!$D$1:$AC$1, 0))</f>
        <v>#N/A</v>
      </c>
      <c r="L171" s="42" t="e">
        <f>INDEX(Input!$D$2:$AC$500,
       MATCH(B171, Input!$J$2:$J$500, 0),
       MATCH("Memory Type", Input!$D$1:$AC$1, 0))</f>
        <v>#N/A</v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e">
        <f t="shared" si="8"/>
        <v>#N/A</v>
      </c>
      <c r="O171" s="42" t="e">
        <f>INDEX(Input!$D$2:$AC$500,
       MATCH(B171, Input!$J$2:$J$500, 0),
       MATCH("Disk Interface Type", Input!$D$1:$AC$1, 0))</f>
        <v>#N/A</v>
      </c>
      <c r="P171" s="42" t="str" cm="1">
        <f t="array" ref="P171">IFERROR(_xlfn.TEXTJOIN(", ", TRUE, _xlfn._xlws.FILTER(
    INDEX(Input!$D$2:$AC$500,,MATCH("Disk Capacity",Input!$D$1:$AC$1,0)),
    Input!$J$2:$J$500=B171
)), "")</f>
        <v/>
      </c>
      <c r="Q171" s="32" t="e">
        <f t="shared" si="7"/>
        <v>#N/A</v>
      </c>
      <c r="R171" s="42" t="e">
        <f>_xlfn.LET(_xlpm.Result,INDEX(Input!$D$2:$AC$500,
       MATCH(B171, Input!$J$2:$J$500, 0),
       MATCH("Capacity", Input!$D$1:$AC$1, 0)),IF(_xlpm.Result="","",_xlpm.Result))</f>
        <v>#N/A</v>
      </c>
      <c r="S171" s="42" t="e" cm="1">
        <f t="array" ref="S171">_xlfn.TEXTSPLIT(R171," / ", ,TRUE,0,)</f>
        <v>#N/A</v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:AD171">IFERROR(IF(_xlfn.XLOOKUP(B171,Input!J:J,Input!N:U)=0,"",
          _xlfn.XLOOKUP(B171,Input!J:J,Input!N:U)),"")</f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42" t="str">
        <v/>
      </c>
      <c r="AE171" s="32" t="str">
        <f t="shared" si="6"/>
        <v/>
      </c>
      <c r="AF171" s="32" t="str">
        <f>_xlfn.XLOOKUP(B:B,Disk_Pivot!G:G,Disk_Pivot!I:I)</f>
        <v>Yes x2</v>
      </c>
      <c r="AG171" s="32" t="str">
        <f>_xlfn.XLOOKUP(B171,Disk_Pivot!G:G,Disk_Pivot!N:N)</f>
        <v>Pass, Fail</v>
      </c>
      <c r="AH171" s="32"/>
      <c r="AI171" s="32"/>
      <c r="AJ171" s="32"/>
      <c r="AK171" s="32"/>
      <c r="AL171" s="32"/>
      <c r="AM171" s="32"/>
    </row>
    <row r="172" spans="1:39">
      <c r="A172" s="32" t="str">
        <f>_xlfn.XLOOKUP(B172,Input!J:J,Input!G:G)&amp;""</f>
        <v/>
      </c>
      <c r="B172" s="32"/>
      <c r="C172" s="32" t="str">
        <f>_xlfn.XLOOKUP(B172,Input!J:J,Input!H:H)&amp;""</f>
        <v/>
      </c>
      <c r="D172" s="42">
        <f>_xlfn.XLOOKUP(B172,Input!J:J,Input!F:F)</f>
        <v>0</v>
      </c>
      <c r="E172" s="32">
        <f>_xlfn.XLOOKUP(D172,Models!H:H,Models!G:G,D172)</f>
        <v>0</v>
      </c>
      <c r="F172" s="32">
        <f>_xlfn.XLOOKUP(B172,Input!J:J,Input!E:E)</f>
        <v>0</v>
      </c>
      <c r="G172" s="32">
        <f>IF(F172="LENOVO",_xlfn.XLOOKUP(B172,Input!J:J,Input!K:K),_xlfn.XLOOKUP(B172,Input!J:J,Input!L:L))</f>
        <v>0</v>
      </c>
      <c r="H172" s="32"/>
      <c r="I172" s="32"/>
      <c r="J172" s="32">
        <f>_xlfn.XLOOKUP(B172,CPU_Formula!A:A,CPU_Formula!I:I)</f>
        <v>0</v>
      </c>
      <c r="K172" s="42" t="e">
        <f>INDEX(Input!$D$2:$AC$500,
       MATCH(B172, Input!$J$2:$J$500, 0),
       MATCH("Total Memory", Input!$D$1:$AC$1, 0))</f>
        <v>#N/A</v>
      </c>
      <c r="L172" s="42" t="e">
        <f>INDEX(Input!$D$2:$AC$500,
       MATCH(B172, Input!$J$2:$J$500, 0),
       MATCH("Memory Type", Input!$D$1:$AC$1, 0))</f>
        <v>#N/A</v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e">
        <f t="shared" si="8"/>
        <v>#N/A</v>
      </c>
      <c r="O172" s="42" t="e">
        <f>INDEX(Input!$D$2:$AC$500,
       MATCH(B172, Input!$J$2:$J$500, 0),
       MATCH("Disk Interface Type", Input!$D$1:$AC$1, 0))</f>
        <v>#N/A</v>
      </c>
      <c r="P172" s="42" t="str" cm="1">
        <f t="array" ref="P172">IFERROR(_xlfn.TEXTJOIN(", ", TRUE, _xlfn._xlws.FILTER(
    INDEX(Input!$D$2:$AC$500,,MATCH("Disk Capacity",Input!$D$1:$AC$1,0)),
    Input!$J$2:$J$500=B172
)), "")</f>
        <v/>
      </c>
      <c r="Q172" s="32" t="e">
        <f t="shared" si="7"/>
        <v>#N/A</v>
      </c>
      <c r="R172" s="42" t="e">
        <f>_xlfn.LET(_xlpm.Result,INDEX(Input!$D$2:$AC$500,
       MATCH(B172, Input!$J$2:$J$500, 0),
       MATCH("Capacity", Input!$D$1:$AC$1, 0)),IF(_xlpm.Result="","",_xlpm.Result))</f>
        <v>#N/A</v>
      </c>
      <c r="S172" s="42" t="e" cm="1">
        <f t="array" ref="S172">_xlfn.TEXTSPLIT(R172," / ", ,TRUE,0,)</f>
        <v>#N/A</v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:AD172">IFERROR(IF(_xlfn.XLOOKUP(B172,Input!J:J,Input!N:U)=0,"",
          _xlfn.XLOOKUP(B172,Input!J:J,Input!N:U)),"")</f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42" t="str">
        <v/>
      </c>
      <c r="AE172" s="32" t="str">
        <f t="shared" si="6"/>
        <v/>
      </c>
      <c r="AF172" s="32" t="str">
        <f>_xlfn.XLOOKUP(B:B,Disk_Pivot!G:G,Disk_Pivot!I:I)</f>
        <v>Yes x2</v>
      </c>
      <c r="AG172" s="32" t="str">
        <f>_xlfn.XLOOKUP(B172,Disk_Pivot!G:G,Disk_Pivot!N:N)</f>
        <v>Pass, Fail</v>
      </c>
      <c r="AH172" s="32"/>
      <c r="AI172" s="32"/>
      <c r="AJ172" s="32"/>
      <c r="AK172" s="32"/>
      <c r="AL172" s="32"/>
      <c r="AM172" s="32"/>
    </row>
    <row r="173" spans="1:39">
      <c r="A173" s="32" t="str">
        <f>_xlfn.XLOOKUP(B173,Input!J:J,Input!G:G)&amp;""</f>
        <v/>
      </c>
      <c r="B173" s="32"/>
      <c r="C173" s="32" t="str">
        <f>_xlfn.XLOOKUP(B173,Input!J:J,Input!H:H)&amp;""</f>
        <v/>
      </c>
      <c r="D173" s="42">
        <f>_xlfn.XLOOKUP(B173,Input!J:J,Input!F:F)</f>
        <v>0</v>
      </c>
      <c r="E173" s="32">
        <f>_xlfn.XLOOKUP(D173,Models!H:H,Models!G:G,D173)</f>
        <v>0</v>
      </c>
      <c r="F173" s="32">
        <f>_xlfn.XLOOKUP(B173,Input!J:J,Input!E:E)</f>
        <v>0</v>
      </c>
      <c r="G173" s="32">
        <f>IF(F173="LENOVO",_xlfn.XLOOKUP(B173,Input!J:J,Input!K:K),_xlfn.XLOOKUP(B173,Input!J:J,Input!L:L))</f>
        <v>0</v>
      </c>
      <c r="H173" s="32"/>
      <c r="I173" s="32"/>
      <c r="J173" s="32">
        <f>_xlfn.XLOOKUP(B173,CPU_Formula!A:A,CPU_Formula!I:I)</f>
        <v>0</v>
      </c>
      <c r="K173" s="42" t="e">
        <f>INDEX(Input!$D$2:$AC$500,
       MATCH(B173, Input!$J$2:$J$500, 0),
       MATCH("Total Memory", Input!$D$1:$AC$1, 0))</f>
        <v>#N/A</v>
      </c>
      <c r="L173" s="42" t="e">
        <f>INDEX(Input!$D$2:$AC$500,
       MATCH(B173, Input!$J$2:$J$500, 0),
       MATCH("Memory Type", Input!$D$1:$AC$1, 0))</f>
        <v>#N/A</v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e">
        <f t="shared" si="8"/>
        <v>#N/A</v>
      </c>
      <c r="O173" s="42" t="e">
        <f>INDEX(Input!$D$2:$AC$500,
       MATCH(B173, Input!$J$2:$J$500, 0),
       MATCH("Disk Interface Type", Input!$D$1:$AC$1, 0))</f>
        <v>#N/A</v>
      </c>
      <c r="P173" s="42" t="str" cm="1">
        <f t="array" ref="P173">IFERROR(_xlfn.TEXTJOIN(", ", TRUE, _xlfn._xlws.FILTER(
    INDEX(Input!$D$2:$AC$500,,MATCH("Disk Capacity",Input!$D$1:$AC$1,0)),
    Input!$J$2:$J$500=B173
)), "")</f>
        <v/>
      </c>
      <c r="Q173" s="32" t="e">
        <f t="shared" si="7"/>
        <v>#N/A</v>
      </c>
      <c r="R173" s="42" t="e">
        <f>_xlfn.LET(_xlpm.Result,INDEX(Input!$D$2:$AC$500,
       MATCH(B173, Input!$J$2:$J$500, 0),
       MATCH("Capacity", Input!$D$1:$AC$1, 0)),IF(_xlpm.Result="","",_xlpm.Result))</f>
        <v>#N/A</v>
      </c>
      <c r="S173" s="42" t="e" cm="1">
        <f t="array" ref="S173">_xlfn.TEXTSPLIT(R173," / ", ,TRUE,0,)</f>
        <v>#N/A</v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:AD173">IFERROR(IF(_xlfn.XLOOKUP(B173,Input!J:J,Input!N:U)=0,"",
          _xlfn.XLOOKUP(B173,Input!J:J,Input!N:U)),"")</f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42" t="str">
        <v/>
      </c>
      <c r="AE173" s="32" t="str">
        <f t="shared" si="6"/>
        <v/>
      </c>
      <c r="AF173" s="32" t="str">
        <f>_xlfn.XLOOKUP(B:B,Disk_Pivot!G:G,Disk_Pivot!I:I)</f>
        <v>Yes x2</v>
      </c>
      <c r="AG173" s="32" t="str">
        <f>_xlfn.XLOOKUP(B173,Disk_Pivot!G:G,Disk_Pivot!N:N)</f>
        <v>Pass, Fail</v>
      </c>
      <c r="AH173" s="32"/>
      <c r="AI173" s="32"/>
      <c r="AJ173" s="32"/>
      <c r="AK173" s="32"/>
      <c r="AL173" s="32"/>
      <c r="AM173" s="32"/>
    </row>
    <row r="174" spans="1:39">
      <c r="A174" s="32" t="str">
        <f>_xlfn.XLOOKUP(B174,Input!J:J,Input!G:G)&amp;""</f>
        <v/>
      </c>
      <c r="B174" s="32"/>
      <c r="C174" s="32" t="str">
        <f>_xlfn.XLOOKUP(B174,Input!J:J,Input!H:H)&amp;""</f>
        <v/>
      </c>
      <c r="D174" s="42">
        <f>_xlfn.XLOOKUP(B174,Input!J:J,Input!F:F)</f>
        <v>0</v>
      </c>
      <c r="E174" s="32">
        <f>_xlfn.XLOOKUP(D174,Models!H:H,Models!G:G,D174)</f>
        <v>0</v>
      </c>
      <c r="F174" s="32">
        <f>_xlfn.XLOOKUP(B174,Input!J:J,Input!E:E)</f>
        <v>0</v>
      </c>
      <c r="G174" s="32">
        <f>IF(F174="LENOVO",_xlfn.XLOOKUP(B174,Input!J:J,Input!K:K),_xlfn.XLOOKUP(B174,Input!J:J,Input!L:L))</f>
        <v>0</v>
      </c>
      <c r="H174" s="32"/>
      <c r="I174" s="32"/>
      <c r="J174" s="32">
        <f>_xlfn.XLOOKUP(B174,CPU_Formula!A:A,CPU_Formula!I:I)</f>
        <v>0</v>
      </c>
      <c r="K174" s="42" t="e">
        <f>INDEX(Input!$D$2:$AC$500,
       MATCH(B174, Input!$J$2:$J$500, 0),
       MATCH("Total Memory", Input!$D$1:$AC$1, 0))</f>
        <v>#N/A</v>
      </c>
      <c r="L174" s="42" t="e">
        <f>INDEX(Input!$D$2:$AC$500,
       MATCH(B174, Input!$J$2:$J$500, 0),
       MATCH("Memory Type", Input!$D$1:$AC$1, 0))</f>
        <v>#N/A</v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e">
        <f t="shared" si="8"/>
        <v>#N/A</v>
      </c>
      <c r="O174" s="42" t="e">
        <f>INDEX(Input!$D$2:$AC$500,
       MATCH(B174, Input!$J$2:$J$500, 0),
       MATCH("Disk Interface Type", Input!$D$1:$AC$1, 0))</f>
        <v>#N/A</v>
      </c>
      <c r="P174" s="42" t="str" cm="1">
        <f t="array" ref="P174">IFERROR(_xlfn.TEXTJOIN(", ", TRUE, _xlfn._xlws.FILTER(
    INDEX(Input!$D$2:$AC$500,,MATCH("Disk Capacity",Input!$D$1:$AC$1,0)),
    Input!$J$2:$J$500=B174
)), "")</f>
        <v/>
      </c>
      <c r="Q174" s="32" t="e">
        <f t="shared" si="7"/>
        <v>#N/A</v>
      </c>
      <c r="R174" s="42" t="e">
        <f>_xlfn.LET(_xlpm.Result,INDEX(Input!$D$2:$AC$500,
       MATCH(B174, Input!$J$2:$J$500, 0),
       MATCH("Capacity", Input!$D$1:$AC$1, 0)),IF(_xlpm.Result="","",_xlpm.Result))</f>
        <v>#N/A</v>
      </c>
      <c r="S174" s="42" t="e" cm="1">
        <f t="array" ref="S174">_xlfn.TEXTSPLIT(R174," / ", ,TRUE,0,)</f>
        <v>#N/A</v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:AD174">IFERROR(IF(_xlfn.XLOOKUP(B174,Input!J:J,Input!N:U)=0,"",
          _xlfn.XLOOKUP(B174,Input!J:J,Input!N:U)),"")</f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42" t="str">
        <v/>
      </c>
      <c r="AE174" s="32" t="str">
        <f t="shared" si="6"/>
        <v/>
      </c>
      <c r="AF174" s="32" t="str">
        <f>_xlfn.XLOOKUP(B:B,Disk_Pivot!G:G,Disk_Pivot!I:I)</f>
        <v>Yes x2</v>
      </c>
      <c r="AG174" s="32" t="str">
        <f>_xlfn.XLOOKUP(B174,Disk_Pivot!G:G,Disk_Pivot!N:N)</f>
        <v>Pass, Fail</v>
      </c>
      <c r="AH174" s="32"/>
      <c r="AI174" s="32"/>
      <c r="AJ174" s="32"/>
      <c r="AK174" s="32"/>
      <c r="AL174" s="32"/>
      <c r="AM174" s="32"/>
    </row>
    <row r="175" spans="1:39">
      <c r="A175" s="32" t="str">
        <f>_xlfn.XLOOKUP(B175,Input!J:J,Input!G:G)&amp;""</f>
        <v/>
      </c>
      <c r="B175" s="32"/>
      <c r="C175" s="32" t="str">
        <f>_xlfn.XLOOKUP(B175,Input!J:J,Input!H:H)&amp;""</f>
        <v/>
      </c>
      <c r="D175" s="42">
        <f>_xlfn.XLOOKUP(B175,Input!J:J,Input!F:F)</f>
        <v>0</v>
      </c>
      <c r="E175" s="32">
        <f>_xlfn.XLOOKUP(D175,Models!H:H,Models!G:G,D175)</f>
        <v>0</v>
      </c>
      <c r="F175" s="32">
        <f>_xlfn.XLOOKUP(B175,Input!J:J,Input!E:E)</f>
        <v>0</v>
      </c>
      <c r="G175" s="32">
        <f>IF(F175="LENOVO",_xlfn.XLOOKUP(B175,Input!J:J,Input!K:K),_xlfn.XLOOKUP(B175,Input!J:J,Input!L:L))</f>
        <v>0</v>
      </c>
      <c r="H175" s="32"/>
      <c r="I175" s="32"/>
      <c r="J175" s="32">
        <f>_xlfn.XLOOKUP(B175,CPU_Formula!A:A,CPU_Formula!I:I)</f>
        <v>0</v>
      </c>
      <c r="K175" s="42" t="e">
        <f>INDEX(Input!$D$2:$AC$500,
       MATCH(B175, Input!$J$2:$J$500, 0),
       MATCH("Total Memory", Input!$D$1:$AC$1, 0))</f>
        <v>#N/A</v>
      </c>
      <c r="L175" s="42" t="e">
        <f>INDEX(Input!$D$2:$AC$500,
       MATCH(B175, Input!$J$2:$J$500, 0),
       MATCH("Memory Type", Input!$D$1:$AC$1, 0))</f>
        <v>#N/A</v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e">
        <f t="shared" si="8"/>
        <v>#N/A</v>
      </c>
      <c r="O175" s="42" t="e">
        <f>INDEX(Input!$D$2:$AC$500,
       MATCH(B175, Input!$J$2:$J$500, 0),
       MATCH("Disk Interface Type", Input!$D$1:$AC$1, 0))</f>
        <v>#N/A</v>
      </c>
      <c r="P175" s="42" t="str" cm="1">
        <f t="array" ref="P175">IFERROR(_xlfn.TEXTJOIN(", ", TRUE, _xlfn._xlws.FILTER(
    INDEX(Input!$D$2:$AC$500,,MATCH("Disk Capacity",Input!$D$1:$AC$1,0)),
    Input!$J$2:$J$500=B175
)), "")</f>
        <v/>
      </c>
      <c r="Q175" s="32" t="e">
        <f t="shared" si="7"/>
        <v>#N/A</v>
      </c>
      <c r="R175" s="42" t="e">
        <f>_xlfn.LET(_xlpm.Result,INDEX(Input!$D$2:$AC$500,
       MATCH(B175, Input!$J$2:$J$500, 0),
       MATCH("Capacity", Input!$D$1:$AC$1, 0)),IF(_xlpm.Result="","",_xlpm.Result))</f>
        <v>#N/A</v>
      </c>
      <c r="S175" s="42" t="e" cm="1">
        <f t="array" ref="S175">_xlfn.TEXTSPLIT(R175," / ", ,TRUE,0,)</f>
        <v>#N/A</v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:AD175">IFERROR(IF(_xlfn.XLOOKUP(B175,Input!J:J,Input!N:U)=0,"",
          _xlfn.XLOOKUP(B175,Input!J:J,Input!N:U)),"")</f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42" t="str">
        <v/>
      </c>
      <c r="AE175" s="32" t="str">
        <f t="shared" si="6"/>
        <v/>
      </c>
      <c r="AF175" s="32" t="str">
        <f>_xlfn.XLOOKUP(B:B,Disk_Pivot!G:G,Disk_Pivot!I:I)</f>
        <v>Yes x2</v>
      </c>
      <c r="AG175" s="32" t="str">
        <f>_xlfn.XLOOKUP(B175,Disk_Pivot!G:G,Disk_Pivot!N:N)</f>
        <v>Pass, Fail</v>
      </c>
      <c r="AH175" s="32"/>
      <c r="AI175" s="32"/>
      <c r="AJ175" s="32"/>
      <c r="AK175" s="32"/>
      <c r="AL175" s="32"/>
      <c r="AM175" s="32"/>
    </row>
    <row r="176" spans="1:39">
      <c r="A176" s="32" t="str">
        <f>_xlfn.XLOOKUP(B176,Input!J:J,Input!G:G)&amp;""</f>
        <v/>
      </c>
      <c r="B176" s="32"/>
      <c r="C176" s="32" t="str">
        <f>_xlfn.XLOOKUP(B176,Input!J:J,Input!H:H)&amp;""</f>
        <v/>
      </c>
      <c r="D176" s="42">
        <f>_xlfn.XLOOKUP(B176,Input!J:J,Input!F:F)</f>
        <v>0</v>
      </c>
      <c r="E176" s="32">
        <f>_xlfn.XLOOKUP(D176,Models!H:H,Models!G:G,D176)</f>
        <v>0</v>
      </c>
      <c r="F176" s="32">
        <f>_xlfn.XLOOKUP(B176,Input!J:J,Input!E:E)</f>
        <v>0</v>
      </c>
      <c r="G176" s="32">
        <f>IF(F176="LENOVO",_xlfn.XLOOKUP(B176,Input!J:J,Input!K:K),_xlfn.XLOOKUP(B176,Input!J:J,Input!L:L))</f>
        <v>0</v>
      </c>
      <c r="H176" s="32"/>
      <c r="I176" s="32"/>
      <c r="J176" s="32">
        <f>_xlfn.XLOOKUP(B176,CPU_Formula!A:A,CPU_Formula!I:I)</f>
        <v>0</v>
      </c>
      <c r="K176" s="42" t="e">
        <f>INDEX(Input!$D$2:$AC$500,
       MATCH(B176, Input!$J$2:$J$500, 0),
       MATCH("Total Memory", Input!$D$1:$AC$1, 0))</f>
        <v>#N/A</v>
      </c>
      <c r="L176" s="42" t="e">
        <f>INDEX(Input!$D$2:$AC$500,
       MATCH(B176, Input!$J$2:$J$500, 0),
       MATCH("Memory Type", Input!$D$1:$AC$1, 0))</f>
        <v>#N/A</v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e">
        <f t="shared" si="8"/>
        <v>#N/A</v>
      </c>
      <c r="O176" s="42" t="e">
        <f>INDEX(Input!$D$2:$AC$500,
       MATCH(B176, Input!$J$2:$J$500, 0),
       MATCH("Disk Interface Type", Input!$D$1:$AC$1, 0))</f>
        <v>#N/A</v>
      </c>
      <c r="P176" s="42" t="str" cm="1">
        <f t="array" ref="P176">IFERROR(_xlfn.TEXTJOIN(", ", TRUE, _xlfn._xlws.FILTER(
    INDEX(Input!$D$2:$AC$500,,MATCH("Disk Capacity",Input!$D$1:$AC$1,0)),
    Input!$J$2:$J$500=B176
)), "")</f>
        <v/>
      </c>
      <c r="Q176" s="32" t="e">
        <f t="shared" si="7"/>
        <v>#N/A</v>
      </c>
      <c r="R176" s="42" t="e">
        <f>_xlfn.LET(_xlpm.Result,INDEX(Input!$D$2:$AC$500,
       MATCH(B176, Input!$J$2:$J$500, 0),
       MATCH("Capacity", Input!$D$1:$AC$1, 0)),IF(_xlpm.Result="","",_xlpm.Result))</f>
        <v>#N/A</v>
      </c>
      <c r="S176" s="42" t="e" cm="1">
        <f t="array" ref="S176">_xlfn.TEXTSPLIT(R176," / ", ,TRUE,0,)</f>
        <v>#N/A</v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:AD176">IFERROR(IF(_xlfn.XLOOKUP(B176,Input!J:J,Input!N:U)=0,"",
          _xlfn.XLOOKUP(B176,Input!J:J,Input!N:U)),"")</f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42" t="str">
        <v/>
      </c>
      <c r="AE176" s="32" t="str">
        <f t="shared" si="6"/>
        <v/>
      </c>
      <c r="AF176" s="32" t="str">
        <f>_xlfn.XLOOKUP(B:B,Disk_Pivot!G:G,Disk_Pivot!I:I)</f>
        <v>Yes x2</v>
      </c>
      <c r="AG176" s="32" t="str">
        <f>_xlfn.XLOOKUP(B176,Disk_Pivot!G:G,Disk_Pivot!N:N)</f>
        <v>Pass, Fail</v>
      </c>
      <c r="AH176" s="32"/>
      <c r="AI176" s="32"/>
      <c r="AJ176" s="32"/>
      <c r="AK176" s="32"/>
      <c r="AL176" s="32"/>
      <c r="AM176" s="32"/>
    </row>
    <row r="177" spans="1:39">
      <c r="A177" s="32" t="str">
        <f>_xlfn.XLOOKUP(B177,Input!J:J,Input!G:G)&amp;""</f>
        <v/>
      </c>
      <c r="B177" s="32"/>
      <c r="C177" s="32" t="str">
        <f>_xlfn.XLOOKUP(B177,Input!J:J,Input!H:H)&amp;""</f>
        <v/>
      </c>
      <c r="D177" s="42">
        <f>_xlfn.XLOOKUP(B177,Input!J:J,Input!F:F)</f>
        <v>0</v>
      </c>
      <c r="E177" s="32">
        <f>_xlfn.XLOOKUP(D177,Models!H:H,Models!G:G,D177)</f>
        <v>0</v>
      </c>
      <c r="F177" s="32">
        <f>_xlfn.XLOOKUP(B177,Input!J:J,Input!E:E)</f>
        <v>0</v>
      </c>
      <c r="G177" s="32">
        <f>IF(F177="LENOVO",_xlfn.XLOOKUP(B177,Input!J:J,Input!K:K),_xlfn.XLOOKUP(B177,Input!J:J,Input!L:L))</f>
        <v>0</v>
      </c>
      <c r="H177" s="32"/>
      <c r="I177" s="32"/>
      <c r="J177" s="32">
        <f>_xlfn.XLOOKUP(B177,CPU_Formula!A:A,CPU_Formula!I:I)</f>
        <v>0</v>
      </c>
      <c r="K177" s="42" t="e">
        <f>INDEX(Input!$D$2:$AC$500,
       MATCH(B177, Input!$J$2:$J$500, 0),
       MATCH("Total Memory", Input!$D$1:$AC$1, 0))</f>
        <v>#N/A</v>
      </c>
      <c r="L177" s="42" t="e">
        <f>INDEX(Input!$D$2:$AC$500,
       MATCH(B177, Input!$J$2:$J$500, 0),
       MATCH("Memory Type", Input!$D$1:$AC$1, 0))</f>
        <v>#N/A</v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e">
        <f t="shared" si="8"/>
        <v>#N/A</v>
      </c>
      <c r="O177" s="42" t="e">
        <f>INDEX(Input!$D$2:$AC$500,
       MATCH(B177, Input!$J$2:$J$500, 0),
       MATCH("Disk Interface Type", Input!$D$1:$AC$1, 0))</f>
        <v>#N/A</v>
      </c>
      <c r="P177" s="42" t="str" cm="1">
        <f t="array" ref="P177">IFERROR(_xlfn.TEXTJOIN(", ", TRUE, _xlfn._xlws.FILTER(
    INDEX(Input!$D$2:$AC$500,,MATCH("Disk Capacity",Input!$D$1:$AC$1,0)),
    Input!$J$2:$J$500=B177
)), "")</f>
        <v/>
      </c>
      <c r="Q177" s="32" t="e">
        <f t="shared" si="7"/>
        <v>#N/A</v>
      </c>
      <c r="R177" s="42" t="e">
        <f>_xlfn.LET(_xlpm.Result,INDEX(Input!$D$2:$AC$500,
       MATCH(B177, Input!$J$2:$J$500, 0),
       MATCH("Capacity", Input!$D$1:$AC$1, 0)),IF(_xlpm.Result="","",_xlpm.Result))</f>
        <v>#N/A</v>
      </c>
      <c r="S177" s="42" t="e" cm="1">
        <f t="array" ref="S177">_xlfn.TEXTSPLIT(R177," / ", ,TRUE,0,)</f>
        <v>#N/A</v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:AD177">IFERROR(IF(_xlfn.XLOOKUP(B177,Input!J:J,Input!N:U)=0,"",
          _xlfn.XLOOKUP(B177,Input!J:J,Input!N:U)),"")</f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42" t="str">
        <v/>
      </c>
      <c r="AE177" s="32" t="str">
        <f t="shared" si="6"/>
        <v/>
      </c>
      <c r="AF177" s="32" t="str">
        <f>_xlfn.XLOOKUP(B:B,Disk_Pivot!G:G,Disk_Pivot!I:I)</f>
        <v>Yes x2</v>
      </c>
      <c r="AG177" s="32" t="str">
        <f>_xlfn.XLOOKUP(B177,Disk_Pivot!G:G,Disk_Pivot!N:N)</f>
        <v>Pass, Fail</v>
      </c>
      <c r="AH177" s="32"/>
      <c r="AI177" s="32"/>
      <c r="AJ177" s="32"/>
      <c r="AK177" s="32"/>
      <c r="AL177" s="32"/>
      <c r="AM177" s="32"/>
    </row>
    <row r="178" spans="1:39">
      <c r="A178" s="32" t="str">
        <f>_xlfn.XLOOKUP(B178,Input!J:J,Input!G:G)&amp;""</f>
        <v/>
      </c>
      <c r="B178" s="32"/>
      <c r="C178" s="32" t="str">
        <f>_xlfn.XLOOKUP(B178,Input!J:J,Input!H:H)&amp;""</f>
        <v/>
      </c>
      <c r="D178" s="42">
        <f>_xlfn.XLOOKUP(B178,Input!J:J,Input!F:F)</f>
        <v>0</v>
      </c>
      <c r="E178" s="32">
        <f>_xlfn.XLOOKUP(D178,Models!H:H,Models!G:G,D178)</f>
        <v>0</v>
      </c>
      <c r="F178" s="32">
        <f>_xlfn.XLOOKUP(B178,Input!J:J,Input!E:E)</f>
        <v>0</v>
      </c>
      <c r="G178" s="32">
        <f>IF(F178="LENOVO",_xlfn.XLOOKUP(B178,Input!J:J,Input!K:K),_xlfn.XLOOKUP(B178,Input!J:J,Input!L:L))</f>
        <v>0</v>
      </c>
      <c r="H178" s="32"/>
      <c r="I178" s="32"/>
      <c r="J178" s="32">
        <f>_xlfn.XLOOKUP(B178,CPU_Formula!A:A,CPU_Formula!I:I)</f>
        <v>0</v>
      </c>
      <c r="K178" s="42" t="e">
        <f>INDEX(Input!$D$2:$AC$500,
       MATCH(B178, Input!$J$2:$J$500, 0),
       MATCH("Total Memory", Input!$D$1:$AC$1, 0))</f>
        <v>#N/A</v>
      </c>
      <c r="L178" s="42" t="e">
        <f>INDEX(Input!$D$2:$AC$500,
       MATCH(B178, Input!$J$2:$J$500, 0),
       MATCH("Memory Type", Input!$D$1:$AC$1, 0))</f>
        <v>#N/A</v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e">
        <f t="shared" si="8"/>
        <v>#N/A</v>
      </c>
      <c r="O178" s="42" t="e">
        <f>INDEX(Input!$D$2:$AC$500,
       MATCH(B178, Input!$J$2:$J$500, 0),
       MATCH("Disk Interface Type", Input!$D$1:$AC$1, 0))</f>
        <v>#N/A</v>
      </c>
      <c r="P178" s="42" t="str" cm="1">
        <f t="array" ref="P178">IFERROR(_xlfn.TEXTJOIN(", ", TRUE, _xlfn._xlws.FILTER(
    INDEX(Input!$D$2:$AC$500,,MATCH("Disk Capacity",Input!$D$1:$AC$1,0)),
    Input!$J$2:$J$500=B178
)), "")</f>
        <v/>
      </c>
      <c r="Q178" s="32" t="e">
        <f t="shared" si="7"/>
        <v>#N/A</v>
      </c>
      <c r="R178" s="42" t="e">
        <f>_xlfn.LET(_xlpm.Result,INDEX(Input!$D$2:$AC$500,
       MATCH(B178, Input!$J$2:$J$500, 0),
       MATCH("Capacity", Input!$D$1:$AC$1, 0)),IF(_xlpm.Result="","",_xlpm.Result))</f>
        <v>#N/A</v>
      </c>
      <c r="S178" s="42" t="e" cm="1">
        <f t="array" ref="S178">_xlfn.TEXTSPLIT(R178," / ", ,TRUE,0,)</f>
        <v>#N/A</v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:AD178">IFERROR(IF(_xlfn.XLOOKUP(B178,Input!J:J,Input!N:U)=0,"",
          _xlfn.XLOOKUP(B178,Input!J:J,Input!N:U)),"")</f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42" t="str">
        <v/>
      </c>
      <c r="AE178" s="32" t="str">
        <f t="shared" si="6"/>
        <v/>
      </c>
      <c r="AF178" s="32" t="str">
        <f>_xlfn.XLOOKUP(B:B,Disk_Pivot!G:G,Disk_Pivot!I:I)</f>
        <v>Yes x2</v>
      </c>
      <c r="AG178" s="32" t="str">
        <f>_xlfn.XLOOKUP(B178,Disk_Pivot!G:G,Disk_Pivot!N:N)</f>
        <v>Pass, Fail</v>
      </c>
      <c r="AH178" s="32"/>
      <c r="AI178" s="32"/>
      <c r="AJ178" s="32"/>
      <c r="AK178" s="32"/>
      <c r="AL178" s="32"/>
      <c r="AM178" s="32"/>
    </row>
    <row r="179" spans="1:39">
      <c r="A179" s="32" t="str">
        <f>_xlfn.XLOOKUP(B179,Input!J:J,Input!G:G)&amp;""</f>
        <v/>
      </c>
      <c r="B179" s="32"/>
      <c r="C179" s="32" t="str">
        <f>_xlfn.XLOOKUP(B179,Input!J:J,Input!H:H)&amp;""</f>
        <v/>
      </c>
      <c r="D179" s="42">
        <f>_xlfn.XLOOKUP(B179,Input!J:J,Input!F:F)</f>
        <v>0</v>
      </c>
      <c r="E179" s="32">
        <f>_xlfn.XLOOKUP(D179,Models!H:H,Models!G:G,D179)</f>
        <v>0</v>
      </c>
      <c r="F179" s="32">
        <f>_xlfn.XLOOKUP(B179,Input!J:J,Input!E:E)</f>
        <v>0</v>
      </c>
      <c r="G179" s="32">
        <f>IF(F179="LENOVO",_xlfn.XLOOKUP(B179,Input!J:J,Input!K:K),_xlfn.XLOOKUP(B179,Input!J:J,Input!L:L))</f>
        <v>0</v>
      </c>
      <c r="H179" s="32"/>
      <c r="I179" s="32"/>
      <c r="J179" s="32">
        <f>_xlfn.XLOOKUP(B179,CPU_Formula!A:A,CPU_Formula!I:I)</f>
        <v>0</v>
      </c>
      <c r="K179" s="42" t="e">
        <f>INDEX(Input!$D$2:$AC$500,
       MATCH(B179, Input!$J$2:$J$500, 0),
       MATCH("Total Memory", Input!$D$1:$AC$1, 0))</f>
        <v>#N/A</v>
      </c>
      <c r="L179" s="42" t="e">
        <f>INDEX(Input!$D$2:$AC$500,
       MATCH(B179, Input!$J$2:$J$500, 0),
       MATCH("Memory Type", Input!$D$1:$AC$1, 0))</f>
        <v>#N/A</v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e">
        <f t="shared" si="8"/>
        <v>#N/A</v>
      </c>
      <c r="O179" s="42" t="e">
        <f>INDEX(Input!$D$2:$AC$500,
       MATCH(B179, Input!$J$2:$J$500, 0),
       MATCH("Disk Interface Type", Input!$D$1:$AC$1, 0))</f>
        <v>#N/A</v>
      </c>
      <c r="P179" s="42" t="str" cm="1">
        <f t="array" ref="P179">IFERROR(_xlfn.TEXTJOIN(", ", TRUE, _xlfn._xlws.FILTER(
    INDEX(Input!$D$2:$AC$500,,MATCH("Disk Capacity",Input!$D$1:$AC$1,0)),
    Input!$J$2:$J$500=B179
)), "")</f>
        <v/>
      </c>
      <c r="Q179" s="32" t="e">
        <f t="shared" si="7"/>
        <v>#N/A</v>
      </c>
      <c r="R179" s="42" t="e">
        <f>_xlfn.LET(_xlpm.Result,INDEX(Input!$D$2:$AC$500,
       MATCH(B179, Input!$J$2:$J$500, 0),
       MATCH("Capacity", Input!$D$1:$AC$1, 0)),IF(_xlpm.Result="","",_xlpm.Result))</f>
        <v>#N/A</v>
      </c>
      <c r="S179" s="42" t="e" cm="1">
        <f t="array" ref="S179">_xlfn.TEXTSPLIT(R179," / ", ,TRUE,0,)</f>
        <v>#N/A</v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:AD179">IFERROR(IF(_xlfn.XLOOKUP(B179,Input!J:J,Input!N:U)=0,"",
          _xlfn.XLOOKUP(B179,Input!J:J,Input!N:U)),"")</f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42" t="str">
        <v/>
      </c>
      <c r="AE179" s="32" t="str">
        <f t="shared" si="6"/>
        <v/>
      </c>
      <c r="AF179" s="32" t="str">
        <f>_xlfn.XLOOKUP(B:B,Disk_Pivot!G:G,Disk_Pivot!I:I)</f>
        <v>Yes x2</v>
      </c>
      <c r="AG179" s="32" t="str">
        <f>_xlfn.XLOOKUP(B179,Disk_Pivot!G:G,Disk_Pivot!N:N)</f>
        <v>Pass, Fail</v>
      </c>
      <c r="AH179" s="32"/>
      <c r="AI179" s="32"/>
      <c r="AJ179" s="32"/>
      <c r="AK179" s="32"/>
      <c r="AL179" s="32"/>
      <c r="AM179" s="32"/>
    </row>
    <row r="180" spans="1:39">
      <c r="A180" s="32" t="str">
        <f>_xlfn.XLOOKUP(B180,Input!J:J,Input!G:G)&amp;""</f>
        <v/>
      </c>
      <c r="B180" s="32"/>
      <c r="C180" s="32" t="str">
        <f>_xlfn.XLOOKUP(B180,Input!J:J,Input!H:H)&amp;""</f>
        <v/>
      </c>
      <c r="D180" s="42">
        <f>_xlfn.XLOOKUP(B180,Input!J:J,Input!F:F)</f>
        <v>0</v>
      </c>
      <c r="E180" s="32">
        <f>_xlfn.XLOOKUP(D180,Models!H:H,Models!G:G,D180)</f>
        <v>0</v>
      </c>
      <c r="F180" s="32">
        <f>_xlfn.XLOOKUP(B180,Input!J:J,Input!E:E)</f>
        <v>0</v>
      </c>
      <c r="G180" s="32">
        <f>IF(F180="LENOVO",_xlfn.XLOOKUP(B180,Input!J:J,Input!K:K),_xlfn.XLOOKUP(B180,Input!J:J,Input!L:L))</f>
        <v>0</v>
      </c>
      <c r="H180" s="32"/>
      <c r="I180" s="32"/>
      <c r="J180" s="32">
        <f>_xlfn.XLOOKUP(B180,CPU_Formula!A:A,CPU_Formula!I:I)</f>
        <v>0</v>
      </c>
      <c r="K180" s="42" t="e">
        <f>INDEX(Input!$D$2:$AC$500,
       MATCH(B180, Input!$J$2:$J$500, 0),
       MATCH("Total Memory", Input!$D$1:$AC$1, 0))</f>
        <v>#N/A</v>
      </c>
      <c r="L180" s="42" t="e">
        <f>INDEX(Input!$D$2:$AC$500,
       MATCH(B180, Input!$J$2:$J$500, 0),
       MATCH("Memory Type", Input!$D$1:$AC$1, 0))</f>
        <v>#N/A</v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e">
        <f t="shared" si="8"/>
        <v>#N/A</v>
      </c>
      <c r="O180" s="42" t="e">
        <f>INDEX(Input!$D$2:$AC$500,
       MATCH(B180, Input!$J$2:$J$500, 0),
       MATCH("Disk Interface Type", Input!$D$1:$AC$1, 0))</f>
        <v>#N/A</v>
      </c>
      <c r="P180" s="42" t="str" cm="1">
        <f t="array" ref="P180">IFERROR(_xlfn.TEXTJOIN(", ", TRUE, _xlfn._xlws.FILTER(
    INDEX(Input!$D$2:$AC$500,,MATCH("Disk Capacity",Input!$D$1:$AC$1,0)),
    Input!$J$2:$J$500=B180
)), "")</f>
        <v/>
      </c>
      <c r="Q180" s="32" t="e">
        <f t="shared" si="7"/>
        <v>#N/A</v>
      </c>
      <c r="R180" s="42" t="e">
        <f>_xlfn.LET(_xlpm.Result,INDEX(Input!$D$2:$AC$500,
       MATCH(B180, Input!$J$2:$J$500, 0),
       MATCH("Capacity", Input!$D$1:$AC$1, 0)),IF(_xlpm.Result="","",_xlpm.Result))</f>
        <v>#N/A</v>
      </c>
      <c r="S180" s="42" t="e" cm="1">
        <f t="array" ref="S180">_xlfn.TEXTSPLIT(R180," / ", ,TRUE,0,)</f>
        <v>#N/A</v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:AD180">IFERROR(IF(_xlfn.XLOOKUP(B180,Input!J:J,Input!N:U)=0,"",
          _xlfn.XLOOKUP(B180,Input!J:J,Input!N:U)),"")</f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42" t="str">
        <v/>
      </c>
      <c r="AE180" s="32" t="str">
        <f t="shared" si="6"/>
        <v/>
      </c>
      <c r="AF180" s="32" t="str">
        <f>_xlfn.XLOOKUP(B:B,Disk_Pivot!G:G,Disk_Pivot!I:I)</f>
        <v>Yes x2</v>
      </c>
      <c r="AG180" s="32" t="str">
        <f>_xlfn.XLOOKUP(B180,Disk_Pivot!G:G,Disk_Pivot!N:N)</f>
        <v>Pass, Fail</v>
      </c>
      <c r="AH180" s="32"/>
      <c r="AI180" s="32"/>
      <c r="AJ180" s="32"/>
      <c r="AK180" s="32"/>
      <c r="AL180" s="32"/>
      <c r="AM180" s="32"/>
    </row>
    <row r="181" spans="1:39">
      <c r="A181" s="32" t="str">
        <f>_xlfn.XLOOKUP(B181,Input!J:J,Input!G:G)&amp;""</f>
        <v/>
      </c>
      <c r="B181" s="32"/>
      <c r="C181" s="32" t="str">
        <f>_xlfn.XLOOKUP(B181,Input!J:J,Input!H:H)&amp;""</f>
        <v/>
      </c>
      <c r="D181" s="42">
        <f>_xlfn.XLOOKUP(B181,Input!J:J,Input!F:F)</f>
        <v>0</v>
      </c>
      <c r="E181" s="32">
        <f>_xlfn.XLOOKUP(D181,Models!H:H,Models!G:G,D181)</f>
        <v>0</v>
      </c>
      <c r="F181" s="32">
        <f>_xlfn.XLOOKUP(B181,Input!J:J,Input!E:E)</f>
        <v>0</v>
      </c>
      <c r="G181" s="32">
        <f>IF(F181="LENOVO",_xlfn.XLOOKUP(B181,Input!J:J,Input!K:K),_xlfn.XLOOKUP(B181,Input!J:J,Input!L:L))</f>
        <v>0</v>
      </c>
      <c r="H181" s="32"/>
      <c r="I181" s="32"/>
      <c r="J181" s="32">
        <f>_xlfn.XLOOKUP(B181,CPU_Formula!A:A,CPU_Formula!I:I)</f>
        <v>0</v>
      </c>
      <c r="K181" s="42" t="e">
        <f>INDEX(Input!$D$2:$AC$500,
       MATCH(B181, Input!$J$2:$J$500, 0),
       MATCH("Total Memory", Input!$D$1:$AC$1, 0))</f>
        <v>#N/A</v>
      </c>
      <c r="L181" s="42" t="e">
        <f>INDEX(Input!$D$2:$AC$500,
       MATCH(B181, Input!$J$2:$J$500, 0),
       MATCH("Memory Type", Input!$D$1:$AC$1, 0))</f>
        <v>#N/A</v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e">
        <f t="shared" si="8"/>
        <v>#N/A</v>
      </c>
      <c r="O181" s="42" t="e">
        <f>INDEX(Input!$D$2:$AC$500,
       MATCH(B181, Input!$J$2:$J$500, 0),
       MATCH("Disk Interface Type", Input!$D$1:$AC$1, 0))</f>
        <v>#N/A</v>
      </c>
      <c r="P181" s="42" t="str" cm="1">
        <f t="array" ref="P181">IFERROR(_xlfn.TEXTJOIN(", ", TRUE, _xlfn._xlws.FILTER(
    INDEX(Input!$D$2:$AC$500,,MATCH("Disk Capacity",Input!$D$1:$AC$1,0)),
    Input!$J$2:$J$500=B181
)), "")</f>
        <v/>
      </c>
      <c r="Q181" s="32" t="e">
        <f t="shared" si="7"/>
        <v>#N/A</v>
      </c>
      <c r="R181" s="42" t="e">
        <f>_xlfn.LET(_xlpm.Result,INDEX(Input!$D$2:$AC$500,
       MATCH(B181, Input!$J$2:$J$500, 0),
       MATCH("Capacity", Input!$D$1:$AC$1, 0)),IF(_xlpm.Result="","",_xlpm.Result))</f>
        <v>#N/A</v>
      </c>
      <c r="S181" s="42" t="e" cm="1">
        <f t="array" ref="S181">_xlfn.TEXTSPLIT(R181," / ", ,TRUE,0,)</f>
        <v>#N/A</v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:AD181">IFERROR(IF(_xlfn.XLOOKUP(B181,Input!J:J,Input!N:U)=0,"",
          _xlfn.XLOOKUP(B181,Input!J:J,Input!N:U)),"")</f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42" t="str">
        <v/>
      </c>
      <c r="AE181" s="32" t="str">
        <f t="shared" si="6"/>
        <v/>
      </c>
      <c r="AF181" s="32" t="str">
        <f>_xlfn.XLOOKUP(B:B,Disk_Pivot!G:G,Disk_Pivot!I:I)</f>
        <v>Yes x2</v>
      </c>
      <c r="AG181" s="32" t="str">
        <f>_xlfn.XLOOKUP(B181,Disk_Pivot!G:G,Disk_Pivot!N:N)</f>
        <v>Pass, Fail</v>
      </c>
      <c r="AH181" s="32"/>
      <c r="AI181" s="32"/>
      <c r="AJ181" s="32"/>
      <c r="AK181" s="32"/>
      <c r="AL181" s="32"/>
      <c r="AM181" s="32"/>
    </row>
    <row r="182" spans="1:39">
      <c r="A182" s="32" t="str">
        <f>_xlfn.XLOOKUP(B182,Input!J:J,Input!G:G)&amp;""</f>
        <v/>
      </c>
      <c r="B182" s="32"/>
      <c r="C182" s="32" t="str">
        <f>_xlfn.XLOOKUP(B182,Input!J:J,Input!H:H)&amp;""</f>
        <v/>
      </c>
      <c r="D182" s="42">
        <f>_xlfn.XLOOKUP(B182,Input!J:J,Input!F:F)</f>
        <v>0</v>
      </c>
      <c r="E182" s="32">
        <f>_xlfn.XLOOKUP(D182,Models!H:H,Models!G:G,D182)</f>
        <v>0</v>
      </c>
      <c r="F182" s="32">
        <f>_xlfn.XLOOKUP(B182,Input!J:J,Input!E:E)</f>
        <v>0</v>
      </c>
      <c r="G182" s="32">
        <f>IF(F182="LENOVO",_xlfn.XLOOKUP(B182,Input!J:J,Input!K:K),_xlfn.XLOOKUP(B182,Input!J:J,Input!L:L))</f>
        <v>0</v>
      </c>
      <c r="H182" s="32"/>
      <c r="I182" s="32"/>
      <c r="J182" s="32">
        <f>_xlfn.XLOOKUP(B182,CPU_Formula!A:A,CPU_Formula!I:I)</f>
        <v>0</v>
      </c>
      <c r="K182" s="42" t="e">
        <f>INDEX(Input!$D$2:$AC$500,
       MATCH(B182, Input!$J$2:$J$500, 0),
       MATCH("Total Memory", Input!$D$1:$AC$1, 0))</f>
        <v>#N/A</v>
      </c>
      <c r="L182" s="42" t="e">
        <f>INDEX(Input!$D$2:$AC$500,
       MATCH(B182, Input!$J$2:$J$500, 0),
       MATCH("Memory Type", Input!$D$1:$AC$1, 0))</f>
        <v>#N/A</v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e">
        <f t="shared" si="8"/>
        <v>#N/A</v>
      </c>
      <c r="O182" s="42" t="e">
        <f>INDEX(Input!$D$2:$AC$500,
       MATCH(B182, Input!$J$2:$J$500, 0),
       MATCH("Disk Interface Type", Input!$D$1:$AC$1, 0))</f>
        <v>#N/A</v>
      </c>
      <c r="P182" s="42" t="str" cm="1">
        <f t="array" ref="P182">IFERROR(_xlfn.TEXTJOIN(", ", TRUE, _xlfn._xlws.FILTER(
    INDEX(Input!$D$2:$AC$500,,MATCH("Disk Capacity",Input!$D$1:$AC$1,0)),
    Input!$J$2:$J$500=B182
)), "")</f>
        <v/>
      </c>
      <c r="Q182" s="32" t="e">
        <f t="shared" si="7"/>
        <v>#N/A</v>
      </c>
      <c r="R182" s="42" t="e">
        <f>_xlfn.LET(_xlpm.Result,INDEX(Input!$D$2:$AC$500,
       MATCH(B182, Input!$J$2:$J$500, 0),
       MATCH("Capacity", Input!$D$1:$AC$1, 0)),IF(_xlpm.Result="","",_xlpm.Result))</f>
        <v>#N/A</v>
      </c>
      <c r="S182" s="42" t="e" cm="1">
        <f t="array" ref="S182">_xlfn.TEXTSPLIT(R182," / ", ,TRUE,0,)</f>
        <v>#N/A</v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:AD182">IFERROR(IF(_xlfn.XLOOKUP(B182,Input!J:J,Input!N:U)=0,"",
          _xlfn.XLOOKUP(B182,Input!J:J,Input!N:U)),"")</f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42" t="str">
        <v/>
      </c>
      <c r="AE182" s="32" t="str">
        <f t="shared" si="6"/>
        <v/>
      </c>
      <c r="AF182" s="32" t="str">
        <f>_xlfn.XLOOKUP(B:B,Disk_Pivot!G:G,Disk_Pivot!I:I)</f>
        <v>Yes x2</v>
      </c>
      <c r="AG182" s="32" t="str">
        <f>_xlfn.XLOOKUP(B182,Disk_Pivot!G:G,Disk_Pivot!N:N)</f>
        <v>Pass, Fail</v>
      </c>
      <c r="AH182" s="32"/>
      <c r="AI182" s="32"/>
      <c r="AJ182" s="32"/>
      <c r="AK182" s="32"/>
      <c r="AL182" s="32"/>
      <c r="AM182" s="32"/>
    </row>
    <row r="183" spans="1:39">
      <c r="A183" s="32" t="str">
        <f>_xlfn.XLOOKUP(B183,Input!J:J,Input!G:G)&amp;""</f>
        <v/>
      </c>
      <c r="B183" s="32"/>
      <c r="C183" s="32" t="str">
        <f>_xlfn.XLOOKUP(B183,Input!J:J,Input!H:H)&amp;""</f>
        <v/>
      </c>
      <c r="D183" s="42">
        <f>_xlfn.XLOOKUP(B183,Input!J:J,Input!F:F)</f>
        <v>0</v>
      </c>
      <c r="E183" s="32">
        <f>_xlfn.XLOOKUP(D183,Models!H:H,Models!G:G,D183)</f>
        <v>0</v>
      </c>
      <c r="F183" s="32">
        <f>_xlfn.XLOOKUP(B183,Input!J:J,Input!E:E)</f>
        <v>0</v>
      </c>
      <c r="G183" s="32">
        <f>IF(F183="LENOVO",_xlfn.XLOOKUP(B183,Input!J:J,Input!K:K),_xlfn.XLOOKUP(B183,Input!J:J,Input!L:L))</f>
        <v>0</v>
      </c>
      <c r="H183" s="32"/>
      <c r="I183" s="32"/>
      <c r="J183" s="32">
        <f>_xlfn.XLOOKUP(B183,CPU_Formula!A:A,CPU_Formula!I:I)</f>
        <v>0</v>
      </c>
      <c r="K183" s="42" t="e">
        <f>INDEX(Input!$D$2:$AC$500,
       MATCH(B183, Input!$J$2:$J$500, 0),
       MATCH("Total Memory", Input!$D$1:$AC$1, 0))</f>
        <v>#N/A</v>
      </c>
      <c r="L183" s="42" t="e">
        <f>INDEX(Input!$D$2:$AC$500,
       MATCH(B183, Input!$J$2:$J$500, 0),
       MATCH("Memory Type", Input!$D$1:$AC$1, 0))</f>
        <v>#N/A</v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e">
        <f t="shared" si="8"/>
        <v>#N/A</v>
      </c>
      <c r="O183" s="42" t="e">
        <f>INDEX(Input!$D$2:$AC$500,
       MATCH(B183, Input!$J$2:$J$500, 0),
       MATCH("Disk Interface Type", Input!$D$1:$AC$1, 0))</f>
        <v>#N/A</v>
      </c>
      <c r="P183" s="42" t="str" cm="1">
        <f t="array" ref="P183">IFERROR(_xlfn.TEXTJOIN(", ", TRUE, _xlfn._xlws.FILTER(
    INDEX(Input!$D$2:$AC$500,,MATCH("Disk Capacity",Input!$D$1:$AC$1,0)),
    Input!$J$2:$J$500=B183
)), "")</f>
        <v/>
      </c>
      <c r="Q183" s="32" t="e">
        <f t="shared" si="7"/>
        <v>#N/A</v>
      </c>
      <c r="R183" s="42" t="e">
        <f>_xlfn.LET(_xlpm.Result,INDEX(Input!$D$2:$AC$500,
       MATCH(B183, Input!$J$2:$J$500, 0),
       MATCH("Capacity", Input!$D$1:$AC$1, 0)),IF(_xlpm.Result="","",_xlpm.Result))</f>
        <v>#N/A</v>
      </c>
      <c r="S183" s="42" t="e" cm="1">
        <f t="array" ref="S183">_xlfn.TEXTSPLIT(R183," / ", ,TRUE,0,)</f>
        <v>#N/A</v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:AD183">IFERROR(IF(_xlfn.XLOOKUP(B183,Input!J:J,Input!N:U)=0,"",
          _xlfn.XLOOKUP(B183,Input!J:J,Input!N:U)),"")</f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42" t="str">
        <v/>
      </c>
      <c r="AE183" s="32" t="str">
        <f t="shared" si="6"/>
        <v/>
      </c>
      <c r="AF183" s="32" t="str">
        <f>_xlfn.XLOOKUP(B:B,Disk_Pivot!G:G,Disk_Pivot!I:I)</f>
        <v>Yes x2</v>
      </c>
      <c r="AG183" s="32" t="str">
        <f>_xlfn.XLOOKUP(B183,Disk_Pivot!G:G,Disk_Pivot!N:N)</f>
        <v>Pass, Fail</v>
      </c>
      <c r="AH183" s="32"/>
      <c r="AI183" s="32"/>
      <c r="AJ183" s="32"/>
      <c r="AK183" s="32"/>
      <c r="AL183" s="32"/>
      <c r="AM183" s="32"/>
    </row>
    <row r="184" spans="1:39">
      <c r="A184" s="32" t="str">
        <f>_xlfn.XLOOKUP(B184,Input!J:J,Input!G:G)&amp;""</f>
        <v/>
      </c>
      <c r="B184" s="32"/>
      <c r="C184" s="32" t="str">
        <f>_xlfn.XLOOKUP(B184,Input!J:J,Input!H:H)&amp;""</f>
        <v/>
      </c>
      <c r="D184" s="42">
        <f>_xlfn.XLOOKUP(B184,Input!J:J,Input!F:F)</f>
        <v>0</v>
      </c>
      <c r="E184" s="32">
        <f>_xlfn.XLOOKUP(D184,Models!H:H,Models!G:G,D184)</f>
        <v>0</v>
      </c>
      <c r="F184" s="32">
        <f>_xlfn.XLOOKUP(B184,Input!J:J,Input!E:E)</f>
        <v>0</v>
      </c>
      <c r="G184" s="32">
        <f>IF(F184="LENOVO",_xlfn.XLOOKUP(B184,Input!J:J,Input!K:K),_xlfn.XLOOKUP(B184,Input!J:J,Input!L:L))</f>
        <v>0</v>
      </c>
      <c r="H184" s="32"/>
      <c r="I184" s="32"/>
      <c r="J184" s="32">
        <f>_xlfn.XLOOKUP(B184,CPU_Formula!A:A,CPU_Formula!I:I)</f>
        <v>0</v>
      </c>
      <c r="K184" s="42" t="e">
        <f>INDEX(Input!$D$2:$AC$500,
       MATCH(B184, Input!$J$2:$J$500, 0),
       MATCH("Total Memory", Input!$D$1:$AC$1, 0))</f>
        <v>#N/A</v>
      </c>
      <c r="L184" s="42" t="e">
        <f>INDEX(Input!$D$2:$AC$500,
       MATCH(B184, Input!$J$2:$J$500, 0),
       MATCH("Memory Type", Input!$D$1:$AC$1, 0))</f>
        <v>#N/A</v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e">
        <f t="shared" si="8"/>
        <v>#N/A</v>
      </c>
      <c r="O184" s="42" t="e">
        <f>INDEX(Input!$D$2:$AC$500,
       MATCH(B184, Input!$J$2:$J$500, 0),
       MATCH("Disk Interface Type", Input!$D$1:$AC$1, 0))</f>
        <v>#N/A</v>
      </c>
      <c r="P184" s="42" t="str" cm="1">
        <f t="array" ref="P184">IFERROR(_xlfn.TEXTJOIN(", ", TRUE, _xlfn._xlws.FILTER(
    INDEX(Input!$D$2:$AC$500,,MATCH("Disk Capacity",Input!$D$1:$AC$1,0)),
    Input!$J$2:$J$500=B184
)), "")</f>
        <v/>
      </c>
      <c r="Q184" s="32" t="e">
        <f t="shared" si="7"/>
        <v>#N/A</v>
      </c>
      <c r="R184" s="42" t="e">
        <f>_xlfn.LET(_xlpm.Result,INDEX(Input!$D$2:$AC$500,
       MATCH(B184, Input!$J$2:$J$500, 0),
       MATCH("Capacity", Input!$D$1:$AC$1, 0)),IF(_xlpm.Result="","",_xlpm.Result))</f>
        <v>#N/A</v>
      </c>
      <c r="S184" s="42" t="e" cm="1">
        <f t="array" ref="S184">_xlfn.TEXTSPLIT(R184," / ", ,TRUE,0,)</f>
        <v>#N/A</v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:AD184">IFERROR(IF(_xlfn.XLOOKUP(B184,Input!J:J,Input!N:U)=0,"",
          _xlfn.XLOOKUP(B184,Input!J:J,Input!N:U)),"")</f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42" t="str">
        <v/>
      </c>
      <c r="AE184" s="32" t="str">
        <f t="shared" si="6"/>
        <v/>
      </c>
      <c r="AF184" s="32" t="str">
        <f>_xlfn.XLOOKUP(B:B,Disk_Pivot!G:G,Disk_Pivot!I:I)</f>
        <v>Yes x2</v>
      </c>
      <c r="AG184" s="32" t="str">
        <f>_xlfn.XLOOKUP(B184,Disk_Pivot!G:G,Disk_Pivot!N:N)</f>
        <v>Pass, Fail</v>
      </c>
      <c r="AH184" s="32"/>
      <c r="AI184" s="32"/>
      <c r="AJ184" s="32"/>
      <c r="AK184" s="32"/>
      <c r="AL184" s="32"/>
      <c r="AM184" s="32"/>
    </row>
    <row r="185" spans="1:39">
      <c r="A185" s="32" t="str">
        <f>_xlfn.XLOOKUP(B185,Input!J:J,Input!G:G)&amp;""</f>
        <v/>
      </c>
      <c r="B185" s="32"/>
      <c r="C185" s="32" t="str">
        <f>_xlfn.XLOOKUP(B185,Input!J:J,Input!H:H)&amp;""</f>
        <v/>
      </c>
      <c r="D185" s="42">
        <f>_xlfn.XLOOKUP(B185,Input!J:J,Input!F:F)</f>
        <v>0</v>
      </c>
      <c r="E185" s="32">
        <f>_xlfn.XLOOKUP(D185,Models!H:H,Models!G:G,D185)</f>
        <v>0</v>
      </c>
      <c r="F185" s="32">
        <f>_xlfn.XLOOKUP(B185,Input!J:J,Input!E:E)</f>
        <v>0</v>
      </c>
      <c r="G185" s="32">
        <f>IF(F185="LENOVO",_xlfn.XLOOKUP(B185,Input!J:J,Input!K:K),_xlfn.XLOOKUP(B185,Input!J:J,Input!L:L))</f>
        <v>0</v>
      </c>
      <c r="H185" s="32"/>
      <c r="I185" s="32"/>
      <c r="J185" s="32">
        <f>_xlfn.XLOOKUP(B185,CPU_Formula!A:A,CPU_Formula!I:I)</f>
        <v>0</v>
      </c>
      <c r="K185" s="42" t="e">
        <f>INDEX(Input!$D$2:$AC$500,
       MATCH(B185, Input!$J$2:$J$500, 0),
       MATCH("Total Memory", Input!$D$1:$AC$1, 0))</f>
        <v>#N/A</v>
      </c>
      <c r="L185" s="42" t="e">
        <f>INDEX(Input!$D$2:$AC$500,
       MATCH(B185, Input!$J$2:$J$500, 0),
       MATCH("Memory Type", Input!$D$1:$AC$1, 0))</f>
        <v>#N/A</v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e">
        <f t="shared" si="8"/>
        <v>#N/A</v>
      </c>
      <c r="O185" s="42" t="e">
        <f>INDEX(Input!$D$2:$AC$500,
       MATCH(B185, Input!$J$2:$J$500, 0),
       MATCH("Disk Interface Type", Input!$D$1:$AC$1, 0))</f>
        <v>#N/A</v>
      </c>
      <c r="P185" s="42" t="str" cm="1">
        <f t="array" ref="P185">IFERROR(_xlfn.TEXTJOIN(", ", TRUE, _xlfn._xlws.FILTER(
    INDEX(Input!$D$2:$AC$500,,MATCH("Disk Capacity",Input!$D$1:$AC$1,0)),
    Input!$J$2:$J$500=B185
)), "")</f>
        <v/>
      </c>
      <c r="Q185" s="32" t="e">
        <f t="shared" si="7"/>
        <v>#N/A</v>
      </c>
      <c r="R185" s="42" t="e">
        <f>_xlfn.LET(_xlpm.Result,INDEX(Input!$D$2:$AC$500,
       MATCH(B185, Input!$J$2:$J$500, 0),
       MATCH("Capacity", Input!$D$1:$AC$1, 0)),IF(_xlpm.Result="","",_xlpm.Result))</f>
        <v>#N/A</v>
      </c>
      <c r="S185" s="42" t="e" cm="1">
        <f t="array" ref="S185">_xlfn.TEXTSPLIT(R185," / ", ,TRUE,0,)</f>
        <v>#N/A</v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:AD185">IFERROR(IF(_xlfn.XLOOKUP(B185,Input!J:J,Input!N:U)=0,"",
          _xlfn.XLOOKUP(B185,Input!J:J,Input!N:U)),"")</f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42" t="str">
        <v/>
      </c>
      <c r="AE185" s="32" t="str">
        <f t="shared" si="6"/>
        <v/>
      </c>
      <c r="AF185" s="32" t="str">
        <f>_xlfn.XLOOKUP(B:B,Disk_Pivot!G:G,Disk_Pivot!I:I)</f>
        <v>Yes x2</v>
      </c>
      <c r="AG185" s="32" t="str">
        <f>_xlfn.XLOOKUP(B185,Disk_Pivot!G:G,Disk_Pivot!N:N)</f>
        <v>Pass, Fail</v>
      </c>
      <c r="AH185" s="32"/>
      <c r="AI185" s="32"/>
      <c r="AJ185" s="32"/>
      <c r="AK185" s="32"/>
      <c r="AL185" s="32"/>
      <c r="AM185" s="32"/>
    </row>
    <row r="186" spans="1:39">
      <c r="A186" s="32" t="str">
        <f>_xlfn.XLOOKUP(B186,Input!J:J,Input!G:G)&amp;""</f>
        <v/>
      </c>
      <c r="B186" s="32"/>
      <c r="C186" s="32" t="str">
        <f>_xlfn.XLOOKUP(B186,Input!J:J,Input!H:H)&amp;""</f>
        <v/>
      </c>
      <c r="D186" s="42">
        <f>_xlfn.XLOOKUP(B186,Input!J:J,Input!F:F)</f>
        <v>0</v>
      </c>
      <c r="E186" s="32">
        <f>_xlfn.XLOOKUP(D186,Models!H:H,Models!G:G,D186)</f>
        <v>0</v>
      </c>
      <c r="F186" s="32">
        <f>_xlfn.XLOOKUP(B186,Input!J:J,Input!E:E)</f>
        <v>0</v>
      </c>
      <c r="G186" s="32">
        <f>IF(F186="LENOVO",_xlfn.XLOOKUP(B186,Input!J:J,Input!K:K),_xlfn.XLOOKUP(B186,Input!J:J,Input!L:L))</f>
        <v>0</v>
      </c>
      <c r="H186" s="32"/>
      <c r="I186" s="32"/>
      <c r="J186" s="32">
        <f>_xlfn.XLOOKUP(B186,CPU_Formula!A:A,CPU_Formula!I:I)</f>
        <v>0</v>
      </c>
      <c r="K186" s="42" t="e">
        <f>INDEX(Input!$D$2:$AC$500,
       MATCH(B186, Input!$J$2:$J$500, 0),
       MATCH("Total Memory", Input!$D$1:$AC$1, 0))</f>
        <v>#N/A</v>
      </c>
      <c r="L186" s="42" t="e">
        <f>INDEX(Input!$D$2:$AC$500,
       MATCH(B186, Input!$J$2:$J$500, 0),
       MATCH("Memory Type", Input!$D$1:$AC$1, 0))</f>
        <v>#N/A</v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e">
        <f t="shared" si="8"/>
        <v>#N/A</v>
      </c>
      <c r="O186" s="42" t="e">
        <f>INDEX(Input!$D$2:$AC$500,
       MATCH(B186, Input!$J$2:$J$500, 0),
       MATCH("Disk Interface Type", Input!$D$1:$AC$1, 0))</f>
        <v>#N/A</v>
      </c>
      <c r="P186" s="42" t="str" cm="1">
        <f t="array" ref="P186">IFERROR(_xlfn.TEXTJOIN(", ", TRUE, _xlfn._xlws.FILTER(
    INDEX(Input!$D$2:$AC$500,,MATCH("Disk Capacity",Input!$D$1:$AC$1,0)),
    Input!$J$2:$J$500=B186
)), "")</f>
        <v/>
      </c>
      <c r="Q186" s="32" t="e">
        <f t="shared" si="7"/>
        <v>#N/A</v>
      </c>
      <c r="R186" s="42" t="e">
        <f>_xlfn.LET(_xlpm.Result,INDEX(Input!$D$2:$AC$500,
       MATCH(B186, Input!$J$2:$J$500, 0),
       MATCH("Capacity", Input!$D$1:$AC$1, 0)),IF(_xlpm.Result="","",_xlpm.Result))</f>
        <v>#N/A</v>
      </c>
      <c r="S186" s="42" t="e" cm="1">
        <f t="array" ref="S186">_xlfn.TEXTSPLIT(R186," / ", ,TRUE,0,)</f>
        <v>#N/A</v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:AD186">IFERROR(IF(_xlfn.XLOOKUP(B186,Input!J:J,Input!N:U)=0,"",
          _xlfn.XLOOKUP(B186,Input!J:J,Input!N:U)),"")</f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42" t="str">
        <v/>
      </c>
      <c r="AE186" s="32" t="str">
        <f t="shared" si="6"/>
        <v/>
      </c>
      <c r="AF186" s="32" t="str">
        <f>_xlfn.XLOOKUP(B:B,Disk_Pivot!G:G,Disk_Pivot!I:I)</f>
        <v>Yes x2</v>
      </c>
      <c r="AG186" s="32" t="str">
        <f>_xlfn.XLOOKUP(B186,Disk_Pivot!G:G,Disk_Pivot!N:N)</f>
        <v>Pass, Fail</v>
      </c>
      <c r="AH186" s="32"/>
      <c r="AI186" s="32"/>
      <c r="AJ186" s="32"/>
      <c r="AK186" s="32"/>
      <c r="AL186" s="32"/>
      <c r="AM186" s="32"/>
    </row>
    <row r="187" spans="1:39">
      <c r="A187" s="32" t="str">
        <f>_xlfn.XLOOKUP(B187,Input!J:J,Input!G:G)&amp;""</f>
        <v/>
      </c>
      <c r="B187" s="32"/>
      <c r="C187" s="32" t="str">
        <f>_xlfn.XLOOKUP(B187,Input!J:J,Input!H:H)&amp;""</f>
        <v/>
      </c>
      <c r="D187" s="42">
        <f>_xlfn.XLOOKUP(B187,Input!J:J,Input!F:F)</f>
        <v>0</v>
      </c>
      <c r="E187" s="32">
        <f>_xlfn.XLOOKUP(D187,Models!H:H,Models!G:G,D187)</f>
        <v>0</v>
      </c>
      <c r="F187" s="32">
        <f>_xlfn.XLOOKUP(B187,Input!J:J,Input!E:E)</f>
        <v>0</v>
      </c>
      <c r="G187" s="32">
        <f>IF(F187="LENOVO",_xlfn.XLOOKUP(B187,Input!J:J,Input!K:K),_xlfn.XLOOKUP(B187,Input!J:J,Input!L:L))</f>
        <v>0</v>
      </c>
      <c r="H187" s="32"/>
      <c r="I187" s="32"/>
      <c r="J187" s="32">
        <f>_xlfn.XLOOKUP(B187,CPU_Formula!A:A,CPU_Formula!I:I)</f>
        <v>0</v>
      </c>
      <c r="K187" s="42" t="e">
        <f>INDEX(Input!$D$2:$AC$500,
       MATCH(B187, Input!$J$2:$J$500, 0),
       MATCH("Total Memory", Input!$D$1:$AC$1, 0))</f>
        <v>#N/A</v>
      </c>
      <c r="L187" s="42" t="e">
        <f>INDEX(Input!$D$2:$AC$500,
       MATCH(B187, Input!$J$2:$J$500, 0),
       MATCH("Memory Type", Input!$D$1:$AC$1, 0))</f>
        <v>#N/A</v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e">
        <f t="shared" si="8"/>
        <v>#N/A</v>
      </c>
      <c r="O187" s="42" t="e">
        <f>INDEX(Input!$D$2:$AC$500,
       MATCH(B187, Input!$J$2:$J$500, 0),
       MATCH("Disk Interface Type", Input!$D$1:$AC$1, 0))</f>
        <v>#N/A</v>
      </c>
      <c r="P187" s="42" t="str" cm="1">
        <f t="array" ref="P187">IFERROR(_xlfn.TEXTJOIN(", ", TRUE, _xlfn._xlws.FILTER(
    INDEX(Input!$D$2:$AC$500,,MATCH("Disk Capacity",Input!$D$1:$AC$1,0)),
    Input!$J$2:$J$500=B187
)), "")</f>
        <v/>
      </c>
      <c r="Q187" s="32" t="e">
        <f t="shared" si="7"/>
        <v>#N/A</v>
      </c>
      <c r="R187" s="42" t="e">
        <f>_xlfn.LET(_xlpm.Result,INDEX(Input!$D$2:$AC$500,
       MATCH(B187, Input!$J$2:$J$500, 0),
       MATCH("Capacity", Input!$D$1:$AC$1, 0)),IF(_xlpm.Result="","",_xlpm.Result))</f>
        <v>#N/A</v>
      </c>
      <c r="S187" s="42" t="e" cm="1">
        <f t="array" ref="S187">_xlfn.TEXTSPLIT(R187," / ", ,TRUE,0,)</f>
        <v>#N/A</v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:AD187">IFERROR(IF(_xlfn.XLOOKUP(B187,Input!J:J,Input!N:U)=0,"",
          _xlfn.XLOOKUP(B187,Input!J:J,Input!N:U)),"")</f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42" t="str">
        <v/>
      </c>
      <c r="AE187" s="32" t="str">
        <f t="shared" si="6"/>
        <v/>
      </c>
      <c r="AF187" s="32" t="str">
        <f>_xlfn.XLOOKUP(B:B,Disk_Pivot!G:G,Disk_Pivot!I:I)</f>
        <v>Yes x2</v>
      </c>
      <c r="AG187" s="32" t="str">
        <f>_xlfn.XLOOKUP(B187,Disk_Pivot!G:G,Disk_Pivot!N:N)</f>
        <v>Pass, Fail</v>
      </c>
      <c r="AH187" s="32"/>
      <c r="AI187" s="32"/>
      <c r="AJ187" s="32"/>
      <c r="AK187" s="32"/>
      <c r="AL187" s="32"/>
      <c r="AM187" s="32"/>
    </row>
    <row r="188" spans="1:39">
      <c r="A188" s="32" t="str">
        <f>_xlfn.XLOOKUP(B188,Input!J:J,Input!G:G)&amp;""</f>
        <v/>
      </c>
      <c r="B188" s="32"/>
      <c r="C188" s="32" t="str">
        <f>_xlfn.XLOOKUP(B188,Input!J:J,Input!H:H)&amp;""</f>
        <v/>
      </c>
      <c r="D188" s="42">
        <f>_xlfn.XLOOKUP(B188,Input!J:J,Input!F:F)</f>
        <v>0</v>
      </c>
      <c r="E188" s="32">
        <f>_xlfn.XLOOKUP(D188,Models!H:H,Models!G:G,D188)</f>
        <v>0</v>
      </c>
      <c r="F188" s="32">
        <f>_xlfn.XLOOKUP(B188,Input!J:J,Input!E:E)</f>
        <v>0</v>
      </c>
      <c r="G188" s="32">
        <f>IF(F188="LENOVO",_xlfn.XLOOKUP(B188,Input!J:J,Input!K:K),_xlfn.XLOOKUP(B188,Input!J:J,Input!L:L))</f>
        <v>0</v>
      </c>
      <c r="H188" s="32"/>
      <c r="I188" s="32"/>
      <c r="J188" s="32">
        <f>_xlfn.XLOOKUP(B188,CPU_Formula!A:A,CPU_Formula!I:I)</f>
        <v>0</v>
      </c>
      <c r="K188" s="42" t="e">
        <f>INDEX(Input!$D$2:$AC$500,
       MATCH(B188, Input!$J$2:$J$500, 0),
       MATCH("Total Memory", Input!$D$1:$AC$1, 0))</f>
        <v>#N/A</v>
      </c>
      <c r="L188" s="42" t="e">
        <f>INDEX(Input!$D$2:$AC$500,
       MATCH(B188, Input!$J$2:$J$500, 0),
       MATCH("Memory Type", Input!$D$1:$AC$1, 0))</f>
        <v>#N/A</v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e">
        <f t="shared" si="8"/>
        <v>#N/A</v>
      </c>
      <c r="O188" s="42" t="e">
        <f>INDEX(Input!$D$2:$AC$500,
       MATCH(B188, Input!$J$2:$J$500, 0),
       MATCH("Disk Interface Type", Input!$D$1:$AC$1, 0))</f>
        <v>#N/A</v>
      </c>
      <c r="P188" s="42" t="str" cm="1">
        <f t="array" ref="P188">IFERROR(_xlfn.TEXTJOIN(", ", TRUE, _xlfn._xlws.FILTER(
    INDEX(Input!$D$2:$AC$500,,MATCH("Disk Capacity",Input!$D$1:$AC$1,0)),
    Input!$J$2:$J$500=B188
)), "")</f>
        <v/>
      </c>
      <c r="Q188" s="32" t="e">
        <f t="shared" si="7"/>
        <v>#N/A</v>
      </c>
      <c r="R188" s="42" t="e">
        <f>_xlfn.LET(_xlpm.Result,INDEX(Input!$D$2:$AC$500,
       MATCH(B188, Input!$J$2:$J$500, 0),
       MATCH("Capacity", Input!$D$1:$AC$1, 0)),IF(_xlpm.Result="","",_xlpm.Result))</f>
        <v>#N/A</v>
      </c>
      <c r="S188" s="42" t="e" cm="1">
        <f t="array" ref="S188">_xlfn.TEXTSPLIT(R188," / ", ,TRUE,0,)</f>
        <v>#N/A</v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:AD188">IFERROR(IF(_xlfn.XLOOKUP(B188,Input!J:J,Input!N:U)=0,"",
          _xlfn.XLOOKUP(B188,Input!J:J,Input!N:U)),"")</f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42" t="str">
        <v/>
      </c>
      <c r="AE188" s="32" t="str">
        <f t="shared" si="6"/>
        <v/>
      </c>
      <c r="AF188" s="32" t="str">
        <f>_xlfn.XLOOKUP(B:B,Disk_Pivot!G:G,Disk_Pivot!I:I)</f>
        <v>Yes x2</v>
      </c>
      <c r="AG188" s="32" t="str">
        <f>_xlfn.XLOOKUP(B188,Disk_Pivot!G:G,Disk_Pivot!N:N)</f>
        <v>Pass, Fail</v>
      </c>
      <c r="AH188" s="32"/>
      <c r="AI188" s="32"/>
      <c r="AJ188" s="32"/>
      <c r="AK188" s="32"/>
      <c r="AL188" s="32"/>
      <c r="AM188" s="32"/>
    </row>
    <row r="189" spans="1:39">
      <c r="A189" s="32" t="str">
        <f>_xlfn.XLOOKUP(B189,Input!J:J,Input!G:G)&amp;""</f>
        <v/>
      </c>
      <c r="B189" s="32"/>
      <c r="C189" s="32" t="str">
        <f>_xlfn.XLOOKUP(B189,Input!J:J,Input!H:H)&amp;""</f>
        <v/>
      </c>
      <c r="D189" s="42">
        <f>_xlfn.XLOOKUP(B189,Input!J:J,Input!F:F)</f>
        <v>0</v>
      </c>
      <c r="E189" s="32">
        <f>_xlfn.XLOOKUP(D189,Models!H:H,Models!G:G,D189)</f>
        <v>0</v>
      </c>
      <c r="F189" s="32">
        <f>_xlfn.XLOOKUP(B189,Input!J:J,Input!E:E)</f>
        <v>0</v>
      </c>
      <c r="G189" s="32">
        <f>IF(F189="LENOVO",_xlfn.XLOOKUP(B189,Input!J:J,Input!K:K),_xlfn.XLOOKUP(B189,Input!J:J,Input!L:L))</f>
        <v>0</v>
      </c>
      <c r="H189" s="32"/>
      <c r="I189" s="32"/>
      <c r="J189" s="32">
        <f>_xlfn.XLOOKUP(B189,CPU_Formula!A:A,CPU_Formula!I:I)</f>
        <v>0</v>
      </c>
      <c r="K189" s="42" t="e">
        <f>INDEX(Input!$D$2:$AC$500,
       MATCH(B189, Input!$J$2:$J$500, 0),
       MATCH("Total Memory", Input!$D$1:$AC$1, 0))</f>
        <v>#N/A</v>
      </c>
      <c r="L189" s="42" t="e">
        <f>INDEX(Input!$D$2:$AC$500,
       MATCH(B189, Input!$J$2:$J$500, 0),
       MATCH("Memory Type", Input!$D$1:$AC$1, 0))</f>
        <v>#N/A</v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e">
        <f t="shared" si="8"/>
        <v>#N/A</v>
      </c>
      <c r="O189" s="42" t="e">
        <f>INDEX(Input!$D$2:$AC$500,
       MATCH(B189, Input!$J$2:$J$500, 0),
       MATCH("Disk Interface Type", Input!$D$1:$AC$1, 0))</f>
        <v>#N/A</v>
      </c>
      <c r="P189" s="42" t="str" cm="1">
        <f t="array" ref="P189">IFERROR(_xlfn.TEXTJOIN(", ", TRUE, _xlfn._xlws.FILTER(
    INDEX(Input!$D$2:$AC$500,,MATCH("Disk Capacity",Input!$D$1:$AC$1,0)),
    Input!$J$2:$J$500=B189
)), "")</f>
        <v/>
      </c>
      <c r="Q189" s="32" t="e">
        <f t="shared" si="7"/>
        <v>#N/A</v>
      </c>
      <c r="R189" s="42" t="e">
        <f>_xlfn.LET(_xlpm.Result,INDEX(Input!$D$2:$AC$500,
       MATCH(B189, Input!$J$2:$J$500, 0),
       MATCH("Capacity", Input!$D$1:$AC$1, 0)),IF(_xlpm.Result="","",_xlpm.Result))</f>
        <v>#N/A</v>
      </c>
      <c r="S189" s="42" t="e" cm="1">
        <f t="array" ref="S189">_xlfn.TEXTSPLIT(R189," / ", ,TRUE,0,)</f>
        <v>#N/A</v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:AD189">IFERROR(IF(_xlfn.XLOOKUP(B189,Input!J:J,Input!N:U)=0,"",
          _xlfn.XLOOKUP(B189,Input!J:J,Input!N:U)),"")</f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42" t="str">
        <v/>
      </c>
      <c r="AE189" s="32" t="str">
        <f t="shared" si="6"/>
        <v/>
      </c>
      <c r="AF189" s="32" t="str">
        <f>_xlfn.XLOOKUP(B:B,Disk_Pivot!G:G,Disk_Pivot!I:I)</f>
        <v>Yes x2</v>
      </c>
      <c r="AG189" s="32" t="str">
        <f>_xlfn.XLOOKUP(B189,Disk_Pivot!G:G,Disk_Pivot!N:N)</f>
        <v>Pass, Fail</v>
      </c>
      <c r="AH189" s="32"/>
      <c r="AI189" s="32"/>
      <c r="AJ189" s="32"/>
      <c r="AK189" s="32"/>
      <c r="AL189" s="32"/>
      <c r="AM189" s="32"/>
    </row>
    <row r="190" spans="1:39">
      <c r="A190" s="32" t="str">
        <f>_xlfn.XLOOKUP(B190,Input!J:J,Input!G:G)&amp;""</f>
        <v/>
      </c>
      <c r="B190" s="32"/>
      <c r="C190" s="32" t="str">
        <f>_xlfn.XLOOKUP(B190,Input!J:J,Input!H:H)&amp;""</f>
        <v/>
      </c>
      <c r="D190" s="42">
        <f>_xlfn.XLOOKUP(B190,Input!J:J,Input!F:F)</f>
        <v>0</v>
      </c>
      <c r="E190" s="32">
        <f>_xlfn.XLOOKUP(D190,Models!H:H,Models!G:G,D190)</f>
        <v>0</v>
      </c>
      <c r="F190" s="32">
        <f>_xlfn.XLOOKUP(B190,Input!J:J,Input!E:E)</f>
        <v>0</v>
      </c>
      <c r="G190" s="32">
        <f>IF(F190="LENOVO",_xlfn.XLOOKUP(B190,Input!J:J,Input!K:K),_xlfn.XLOOKUP(B190,Input!J:J,Input!L:L))</f>
        <v>0</v>
      </c>
      <c r="H190" s="32"/>
      <c r="I190" s="32"/>
      <c r="J190" s="32">
        <f>_xlfn.XLOOKUP(B190,CPU_Formula!A:A,CPU_Formula!I:I)</f>
        <v>0</v>
      </c>
      <c r="K190" s="42" t="e">
        <f>INDEX(Input!$D$2:$AC$500,
       MATCH(B190, Input!$J$2:$J$500, 0),
       MATCH("Total Memory", Input!$D$1:$AC$1, 0))</f>
        <v>#N/A</v>
      </c>
      <c r="L190" s="42" t="e">
        <f>INDEX(Input!$D$2:$AC$500,
       MATCH(B190, Input!$J$2:$J$500, 0),
       MATCH("Memory Type", Input!$D$1:$AC$1, 0))</f>
        <v>#N/A</v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e">
        <f t="shared" si="8"/>
        <v>#N/A</v>
      </c>
      <c r="O190" s="42" t="e">
        <f>INDEX(Input!$D$2:$AC$500,
       MATCH(B190, Input!$J$2:$J$500, 0),
       MATCH("Disk Interface Type", Input!$D$1:$AC$1, 0))</f>
        <v>#N/A</v>
      </c>
      <c r="P190" s="42" t="str" cm="1">
        <f t="array" ref="P190">IFERROR(_xlfn.TEXTJOIN(", ", TRUE, _xlfn._xlws.FILTER(
    INDEX(Input!$D$2:$AC$500,,MATCH("Disk Capacity",Input!$D$1:$AC$1,0)),
    Input!$J$2:$J$500=B190
)), "")</f>
        <v/>
      </c>
      <c r="Q190" s="32" t="e">
        <f t="shared" si="7"/>
        <v>#N/A</v>
      </c>
      <c r="R190" s="42" t="e">
        <f>_xlfn.LET(_xlpm.Result,INDEX(Input!$D$2:$AC$500,
       MATCH(B190, Input!$J$2:$J$500, 0),
       MATCH("Capacity", Input!$D$1:$AC$1, 0)),IF(_xlpm.Result="","",_xlpm.Result))</f>
        <v>#N/A</v>
      </c>
      <c r="S190" s="42" t="e" cm="1">
        <f t="array" ref="S190">_xlfn.TEXTSPLIT(R190," / ", ,TRUE,0,)</f>
        <v>#N/A</v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:AD190">IFERROR(IF(_xlfn.XLOOKUP(B190,Input!J:J,Input!N:U)=0,"",
          _xlfn.XLOOKUP(B190,Input!J:J,Input!N:U)),"")</f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42" t="str">
        <v/>
      </c>
      <c r="AE190" s="32" t="str">
        <f t="shared" si="6"/>
        <v/>
      </c>
      <c r="AF190" s="32" t="str">
        <f>_xlfn.XLOOKUP(B:B,Disk_Pivot!G:G,Disk_Pivot!I:I)</f>
        <v>Yes x2</v>
      </c>
      <c r="AG190" s="32" t="str">
        <f>_xlfn.XLOOKUP(B190,Disk_Pivot!G:G,Disk_Pivot!N:N)</f>
        <v>Pass, Fail</v>
      </c>
      <c r="AH190" s="32"/>
      <c r="AI190" s="32"/>
      <c r="AJ190" s="32"/>
      <c r="AK190" s="32"/>
      <c r="AL190" s="32"/>
      <c r="AM190" s="32"/>
    </row>
    <row r="191" spans="1:39">
      <c r="A191" s="32" t="str">
        <f>_xlfn.XLOOKUP(B191,Input!J:J,Input!G:G)&amp;""</f>
        <v/>
      </c>
      <c r="B191" s="32"/>
      <c r="C191" s="32" t="str">
        <f>_xlfn.XLOOKUP(B191,Input!J:J,Input!H:H)&amp;""</f>
        <v/>
      </c>
      <c r="D191" s="42">
        <f>_xlfn.XLOOKUP(B191,Input!J:J,Input!F:F)</f>
        <v>0</v>
      </c>
      <c r="E191" s="32">
        <f>_xlfn.XLOOKUP(D191,Models!H:H,Models!G:G,D191)</f>
        <v>0</v>
      </c>
      <c r="F191" s="32">
        <f>_xlfn.XLOOKUP(B191,Input!J:J,Input!E:E)</f>
        <v>0</v>
      </c>
      <c r="G191" s="32">
        <f>IF(F191="LENOVO",_xlfn.XLOOKUP(B191,Input!J:J,Input!K:K),_xlfn.XLOOKUP(B191,Input!J:J,Input!L:L))</f>
        <v>0</v>
      </c>
      <c r="H191" s="32"/>
      <c r="I191" s="32"/>
      <c r="J191" s="32">
        <f>_xlfn.XLOOKUP(B191,CPU_Formula!A:A,CPU_Formula!I:I)</f>
        <v>0</v>
      </c>
      <c r="K191" s="42" t="e">
        <f>INDEX(Input!$D$2:$AC$500,
       MATCH(B191, Input!$J$2:$J$500, 0),
       MATCH("Total Memory", Input!$D$1:$AC$1, 0))</f>
        <v>#N/A</v>
      </c>
      <c r="L191" s="42" t="e">
        <f>INDEX(Input!$D$2:$AC$500,
       MATCH(B191, Input!$J$2:$J$500, 0),
       MATCH("Memory Type", Input!$D$1:$AC$1, 0))</f>
        <v>#N/A</v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e">
        <f t="shared" si="8"/>
        <v>#N/A</v>
      </c>
      <c r="O191" s="42" t="e">
        <f>INDEX(Input!$D$2:$AC$500,
       MATCH(B191, Input!$J$2:$J$500, 0),
       MATCH("Disk Interface Type", Input!$D$1:$AC$1, 0))</f>
        <v>#N/A</v>
      </c>
      <c r="P191" s="42" t="str" cm="1">
        <f t="array" ref="P191">IFERROR(_xlfn.TEXTJOIN(", ", TRUE, _xlfn._xlws.FILTER(
    INDEX(Input!$D$2:$AC$500,,MATCH("Disk Capacity",Input!$D$1:$AC$1,0)),
    Input!$J$2:$J$500=B191
)), "")</f>
        <v/>
      </c>
      <c r="Q191" s="32" t="e">
        <f t="shared" si="7"/>
        <v>#N/A</v>
      </c>
      <c r="R191" s="42" t="e">
        <f>_xlfn.LET(_xlpm.Result,INDEX(Input!$D$2:$AC$500,
       MATCH(B191, Input!$J$2:$J$500, 0),
       MATCH("Capacity", Input!$D$1:$AC$1, 0)),IF(_xlpm.Result="","",_xlpm.Result))</f>
        <v>#N/A</v>
      </c>
      <c r="S191" s="42" t="e" cm="1">
        <f t="array" ref="S191">_xlfn.TEXTSPLIT(R191," / ", ,TRUE,0,)</f>
        <v>#N/A</v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:AD191">IFERROR(IF(_xlfn.XLOOKUP(B191,Input!J:J,Input!N:U)=0,"",
          _xlfn.XLOOKUP(B191,Input!J:J,Input!N:U)),"")</f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42" t="str">
        <v/>
      </c>
      <c r="AE191" s="32" t="str">
        <f t="shared" si="6"/>
        <v/>
      </c>
      <c r="AF191" s="32" t="str">
        <f>_xlfn.XLOOKUP(B:B,Disk_Pivot!G:G,Disk_Pivot!I:I)</f>
        <v>Yes x2</v>
      </c>
      <c r="AG191" s="32" t="str">
        <f>_xlfn.XLOOKUP(B191,Disk_Pivot!G:G,Disk_Pivot!N:N)</f>
        <v>Pass, Fail</v>
      </c>
      <c r="AH191" s="32"/>
      <c r="AI191" s="32"/>
      <c r="AJ191" s="32"/>
      <c r="AK191" s="32"/>
      <c r="AL191" s="32"/>
      <c r="AM191" s="32"/>
    </row>
    <row r="192" spans="1:39">
      <c r="A192" s="32" t="str">
        <f>_xlfn.XLOOKUP(B192,Input!J:J,Input!G:G)&amp;""</f>
        <v/>
      </c>
      <c r="B192" s="32"/>
      <c r="C192" s="32" t="str">
        <f>_xlfn.XLOOKUP(B192,Input!J:J,Input!H:H)&amp;""</f>
        <v/>
      </c>
      <c r="D192" s="42">
        <f>_xlfn.XLOOKUP(B192,Input!J:J,Input!F:F)</f>
        <v>0</v>
      </c>
      <c r="E192" s="32">
        <f>_xlfn.XLOOKUP(D192,Models!H:H,Models!G:G,D192)</f>
        <v>0</v>
      </c>
      <c r="F192" s="32">
        <f>_xlfn.XLOOKUP(B192,Input!J:J,Input!E:E)</f>
        <v>0</v>
      </c>
      <c r="G192" s="32">
        <f>IF(F192="LENOVO",_xlfn.XLOOKUP(B192,Input!J:J,Input!K:K),_xlfn.XLOOKUP(B192,Input!J:J,Input!L:L))</f>
        <v>0</v>
      </c>
      <c r="H192" s="32"/>
      <c r="I192" s="32"/>
      <c r="J192" s="32">
        <f>_xlfn.XLOOKUP(B192,CPU_Formula!A:A,CPU_Formula!I:I)</f>
        <v>0</v>
      </c>
      <c r="K192" s="42" t="e">
        <f>INDEX(Input!$D$2:$AC$500,
       MATCH(B192, Input!$J$2:$J$500, 0),
       MATCH("Total Memory", Input!$D$1:$AC$1, 0))</f>
        <v>#N/A</v>
      </c>
      <c r="L192" s="42" t="e">
        <f>INDEX(Input!$D$2:$AC$500,
       MATCH(B192, Input!$J$2:$J$500, 0),
       MATCH("Memory Type", Input!$D$1:$AC$1, 0))</f>
        <v>#N/A</v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e">
        <f t="shared" si="8"/>
        <v>#N/A</v>
      </c>
      <c r="O192" s="42" t="e">
        <f>INDEX(Input!$D$2:$AC$500,
       MATCH(B192, Input!$J$2:$J$500, 0),
       MATCH("Disk Interface Type", Input!$D$1:$AC$1, 0))</f>
        <v>#N/A</v>
      </c>
      <c r="P192" s="42" t="str" cm="1">
        <f t="array" ref="P192">IFERROR(_xlfn.TEXTJOIN(", ", TRUE, _xlfn._xlws.FILTER(
    INDEX(Input!$D$2:$AC$500,,MATCH("Disk Capacity",Input!$D$1:$AC$1,0)),
    Input!$J$2:$J$500=B192
)), "")</f>
        <v/>
      </c>
      <c r="Q192" s="32" t="e">
        <f t="shared" si="7"/>
        <v>#N/A</v>
      </c>
      <c r="R192" s="42" t="e">
        <f>_xlfn.LET(_xlpm.Result,INDEX(Input!$D$2:$AC$500,
       MATCH(B192, Input!$J$2:$J$500, 0),
       MATCH("Capacity", Input!$D$1:$AC$1, 0)),IF(_xlpm.Result="","",_xlpm.Result))</f>
        <v>#N/A</v>
      </c>
      <c r="S192" s="42" t="e" cm="1">
        <f t="array" ref="S192">_xlfn.TEXTSPLIT(R192," / ", ,TRUE,0,)</f>
        <v>#N/A</v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:AD192">IFERROR(IF(_xlfn.XLOOKUP(B192,Input!J:J,Input!N:U)=0,"",
          _xlfn.XLOOKUP(B192,Input!J:J,Input!N:U)),"")</f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42" t="str">
        <v/>
      </c>
      <c r="AE192" s="32" t="str">
        <f t="shared" si="6"/>
        <v/>
      </c>
      <c r="AF192" s="32" t="str">
        <f>_xlfn.XLOOKUP(B:B,Disk_Pivot!G:G,Disk_Pivot!I:I)</f>
        <v>Yes x2</v>
      </c>
      <c r="AG192" s="32" t="str">
        <f>_xlfn.XLOOKUP(B192,Disk_Pivot!G:G,Disk_Pivot!N:N)</f>
        <v>Pass, Fail</v>
      </c>
      <c r="AH192" s="32"/>
      <c r="AI192" s="32"/>
      <c r="AJ192" s="32"/>
      <c r="AK192" s="32"/>
      <c r="AL192" s="32"/>
      <c r="AM192" s="32"/>
    </row>
    <row r="193" spans="1:39">
      <c r="A193" s="32" t="str">
        <f>_xlfn.XLOOKUP(B193,Input!J:J,Input!G:G)&amp;""</f>
        <v/>
      </c>
      <c r="B193" s="32"/>
      <c r="C193" s="32" t="str">
        <f>_xlfn.XLOOKUP(B193,Input!J:J,Input!H:H)&amp;""</f>
        <v/>
      </c>
      <c r="D193" s="42">
        <f>_xlfn.XLOOKUP(B193,Input!J:J,Input!F:F)</f>
        <v>0</v>
      </c>
      <c r="E193" s="32">
        <f>_xlfn.XLOOKUP(D193,Models!H:H,Models!G:G,D193)</f>
        <v>0</v>
      </c>
      <c r="F193" s="32">
        <f>_xlfn.XLOOKUP(B193,Input!J:J,Input!E:E)</f>
        <v>0</v>
      </c>
      <c r="G193" s="32">
        <f>IF(F193="LENOVO",_xlfn.XLOOKUP(B193,Input!J:J,Input!K:K),_xlfn.XLOOKUP(B193,Input!J:J,Input!L:L))</f>
        <v>0</v>
      </c>
      <c r="H193" s="32"/>
      <c r="I193" s="32"/>
      <c r="J193" s="32">
        <f>_xlfn.XLOOKUP(B193,CPU_Formula!A:A,CPU_Formula!I:I)</f>
        <v>0</v>
      </c>
      <c r="K193" s="42" t="e">
        <f>INDEX(Input!$D$2:$AC$500,
       MATCH(B193, Input!$J$2:$J$500, 0),
       MATCH("Total Memory", Input!$D$1:$AC$1, 0))</f>
        <v>#N/A</v>
      </c>
      <c r="L193" s="42" t="e">
        <f>INDEX(Input!$D$2:$AC$500,
       MATCH(B193, Input!$J$2:$J$500, 0),
       MATCH("Memory Type", Input!$D$1:$AC$1, 0))</f>
        <v>#N/A</v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e">
        <f t="shared" si="8"/>
        <v>#N/A</v>
      </c>
      <c r="O193" s="42" t="e">
        <f>INDEX(Input!$D$2:$AC$500,
       MATCH(B193, Input!$J$2:$J$500, 0),
       MATCH("Disk Interface Type", Input!$D$1:$AC$1, 0))</f>
        <v>#N/A</v>
      </c>
      <c r="P193" s="42" t="str" cm="1">
        <f t="array" ref="P193">IFERROR(_xlfn.TEXTJOIN(", ", TRUE, _xlfn._xlws.FILTER(
    INDEX(Input!$D$2:$AC$500,,MATCH("Disk Capacity",Input!$D$1:$AC$1,0)),
    Input!$J$2:$J$500=B193
)), "")</f>
        <v/>
      </c>
      <c r="Q193" s="32" t="e">
        <f t="shared" si="7"/>
        <v>#N/A</v>
      </c>
      <c r="R193" s="42" t="e">
        <f>_xlfn.LET(_xlpm.Result,INDEX(Input!$D$2:$AC$500,
       MATCH(B193, Input!$J$2:$J$500, 0),
       MATCH("Capacity", Input!$D$1:$AC$1, 0)),IF(_xlpm.Result="","",_xlpm.Result))</f>
        <v>#N/A</v>
      </c>
      <c r="S193" s="42" t="e" cm="1">
        <f t="array" ref="S193">_xlfn.TEXTSPLIT(R193," / ", ,TRUE,0,)</f>
        <v>#N/A</v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:AD193">IFERROR(IF(_xlfn.XLOOKUP(B193,Input!J:J,Input!N:U)=0,"",
          _xlfn.XLOOKUP(B193,Input!J:J,Input!N:U)),"")</f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42" t="str">
        <v/>
      </c>
      <c r="AE193" s="32" t="str">
        <f t="shared" si="6"/>
        <v/>
      </c>
      <c r="AF193" s="32" t="str">
        <f>_xlfn.XLOOKUP(B:B,Disk_Pivot!G:G,Disk_Pivot!I:I)</f>
        <v>Yes x2</v>
      </c>
      <c r="AG193" s="32" t="str">
        <f>_xlfn.XLOOKUP(B193,Disk_Pivot!G:G,Disk_Pivot!N:N)</f>
        <v>Pass, Fail</v>
      </c>
      <c r="AH193" s="32"/>
      <c r="AI193" s="32"/>
      <c r="AJ193" s="32"/>
      <c r="AK193" s="32"/>
      <c r="AL193" s="32"/>
      <c r="AM193" s="32"/>
    </row>
    <row r="194" spans="1:39">
      <c r="A194" s="32" t="str">
        <f>_xlfn.XLOOKUP(B194,Input!J:J,Input!G:G)&amp;""</f>
        <v/>
      </c>
      <c r="B194" s="32"/>
      <c r="C194" s="32" t="str">
        <f>_xlfn.XLOOKUP(B194,Input!J:J,Input!H:H)&amp;""</f>
        <v/>
      </c>
      <c r="D194" s="42">
        <f>_xlfn.XLOOKUP(B194,Input!J:J,Input!F:F)</f>
        <v>0</v>
      </c>
      <c r="E194" s="32">
        <f>_xlfn.XLOOKUP(D194,Models!H:H,Models!G:G,D194)</f>
        <v>0</v>
      </c>
      <c r="F194" s="32">
        <f>_xlfn.XLOOKUP(B194,Input!J:J,Input!E:E)</f>
        <v>0</v>
      </c>
      <c r="G194" s="32">
        <f>IF(F194="LENOVO",_xlfn.XLOOKUP(B194,Input!J:J,Input!K:K),_xlfn.XLOOKUP(B194,Input!J:J,Input!L:L))</f>
        <v>0</v>
      </c>
      <c r="H194" s="32"/>
      <c r="I194" s="32"/>
      <c r="J194" s="32">
        <f>_xlfn.XLOOKUP(B194,CPU_Formula!A:A,CPU_Formula!I:I)</f>
        <v>0</v>
      </c>
      <c r="K194" s="42" t="e">
        <f>INDEX(Input!$D$2:$AC$500,
       MATCH(B194, Input!$J$2:$J$500, 0),
       MATCH("Total Memory", Input!$D$1:$AC$1, 0))</f>
        <v>#N/A</v>
      </c>
      <c r="L194" s="42" t="e">
        <f>INDEX(Input!$D$2:$AC$500,
       MATCH(B194, Input!$J$2:$J$500, 0),
       MATCH("Memory Type", Input!$D$1:$AC$1, 0))</f>
        <v>#N/A</v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e">
        <f t="shared" si="8"/>
        <v>#N/A</v>
      </c>
      <c r="O194" s="42" t="e">
        <f>INDEX(Input!$D$2:$AC$500,
       MATCH(B194, Input!$J$2:$J$500, 0),
       MATCH("Disk Interface Type", Input!$D$1:$AC$1, 0))</f>
        <v>#N/A</v>
      </c>
      <c r="P194" s="42" t="str" cm="1">
        <f t="array" ref="P194">IFERROR(_xlfn.TEXTJOIN(", ", TRUE, _xlfn._xlws.FILTER(
    INDEX(Input!$D$2:$AC$500,,MATCH("Disk Capacity",Input!$D$1:$AC$1,0)),
    Input!$J$2:$J$500=B194
)), "")</f>
        <v/>
      </c>
      <c r="Q194" s="32" t="e">
        <f t="shared" si="7"/>
        <v>#N/A</v>
      </c>
      <c r="R194" s="42" t="e">
        <f>_xlfn.LET(_xlpm.Result,INDEX(Input!$D$2:$AC$500,
       MATCH(B194, Input!$J$2:$J$500, 0),
       MATCH("Capacity", Input!$D$1:$AC$1, 0)),IF(_xlpm.Result="","",_xlpm.Result))</f>
        <v>#N/A</v>
      </c>
      <c r="S194" s="42" t="e" cm="1">
        <f t="array" ref="S194">_xlfn.TEXTSPLIT(R194," / ", ,TRUE,0,)</f>
        <v>#N/A</v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:AD194">IFERROR(IF(_xlfn.XLOOKUP(B194,Input!J:J,Input!N:U)=0,"",
          _xlfn.XLOOKUP(B194,Input!J:J,Input!N:U)),"")</f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42" t="str">
        <v/>
      </c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>
        <f>_xlfn.XLOOKUP(B:B,Disk_Pivot!G:G,Disk_Pivot!I:I)</f>
        <v>Yes x2</v>
      </c>
      <c r="AG194" s="32" t="str">
        <f>_xlfn.XLOOKUP(B194,Disk_Pivot!G:G,Disk_Pivot!N:N)</f>
        <v>Pass, Fail</v>
      </c>
      <c r="AH194" s="32"/>
      <c r="AI194" s="32"/>
      <c r="AJ194" s="32"/>
      <c r="AK194" s="32"/>
      <c r="AL194" s="32"/>
      <c r="AM194" s="32"/>
    </row>
    <row r="195" spans="1:39">
      <c r="A195" s="32" t="str">
        <f>_xlfn.XLOOKUP(B195,Input!J:J,Input!G:G)&amp;""</f>
        <v/>
      </c>
      <c r="B195" s="32"/>
      <c r="C195" s="32" t="str">
        <f>_xlfn.XLOOKUP(B195,Input!J:J,Input!H:H)&amp;""</f>
        <v/>
      </c>
      <c r="D195" s="42">
        <f>_xlfn.XLOOKUP(B195,Input!J:J,Input!F:F)</f>
        <v>0</v>
      </c>
      <c r="E195" s="32">
        <f>_xlfn.XLOOKUP(D195,Models!H:H,Models!G:G,D195)</f>
        <v>0</v>
      </c>
      <c r="F195" s="32">
        <f>_xlfn.XLOOKUP(B195,Input!J:J,Input!E:E)</f>
        <v>0</v>
      </c>
      <c r="G195" s="32">
        <f>IF(F195="LENOVO",_xlfn.XLOOKUP(B195,Input!J:J,Input!K:K),_xlfn.XLOOKUP(B195,Input!J:J,Input!L:L))</f>
        <v>0</v>
      </c>
      <c r="H195" s="32"/>
      <c r="I195" s="32"/>
      <c r="J195" s="32">
        <f>_xlfn.XLOOKUP(B195,CPU_Formula!A:A,CPU_Formula!I:I)</f>
        <v>0</v>
      </c>
      <c r="K195" s="42" t="e">
        <f>INDEX(Input!$D$2:$AC$500,
       MATCH(B195, Input!$J$2:$J$500, 0),
       MATCH("Total Memory", Input!$D$1:$AC$1, 0))</f>
        <v>#N/A</v>
      </c>
      <c r="L195" s="42" t="e">
        <f>INDEX(Input!$D$2:$AC$500,
       MATCH(B195, Input!$J$2:$J$500, 0),
       MATCH("Memory Type", Input!$D$1:$AC$1, 0))</f>
        <v>#N/A</v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e">
        <f t="shared" si="8"/>
        <v>#N/A</v>
      </c>
      <c r="O195" s="42" t="e">
        <f>INDEX(Input!$D$2:$AC$500,
       MATCH(B195, Input!$J$2:$J$500, 0),
       MATCH("Disk Interface Type", Input!$D$1:$AC$1, 0))</f>
        <v>#N/A</v>
      </c>
      <c r="P195" s="42" t="str" cm="1">
        <f t="array" ref="P195">IFERROR(_xlfn.TEXTJOIN(", ", TRUE, _xlfn._xlws.FILTER(
    INDEX(Input!$D$2:$AC$500,,MATCH("Disk Capacity",Input!$D$1:$AC$1,0)),
    Input!$J$2:$J$500=B195
)), "")</f>
        <v/>
      </c>
      <c r="Q195" s="32" t="e">
        <f t="shared" ref="Q195:Q258" si="10">_xlfn.TEXTJOIN(" ",TRUE,P195,O195)</f>
        <v>#N/A</v>
      </c>
      <c r="R195" s="42" t="e">
        <f>_xlfn.LET(_xlpm.Result,INDEX(Input!$D$2:$AC$500,
       MATCH(B195, Input!$J$2:$J$500, 0),
       MATCH("Capacity", Input!$D$1:$AC$1, 0)),IF(_xlpm.Result="","",_xlpm.Result))</f>
        <v>#N/A</v>
      </c>
      <c r="S195" s="42" t="e" cm="1">
        <f t="array" ref="S195">_xlfn.TEXTSPLIT(R195," / ", ,TRUE,0,)</f>
        <v>#N/A</v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:AD195">IFERROR(IF(_xlfn.XLOOKUP(B195,Input!J:J,Input!N:U)=0,"",
          _xlfn.XLOOKUP(B195,Input!J:J,Input!N:U)),"")</f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42" t="str">
        <v/>
      </c>
      <c r="AE195" s="32" t="str">
        <f t="shared" si="9"/>
        <v/>
      </c>
      <c r="AF195" s="32" t="str">
        <f>_xlfn.XLOOKUP(B:B,Disk_Pivot!G:G,Disk_Pivot!I:I)</f>
        <v>Yes x2</v>
      </c>
      <c r="AG195" s="32" t="str">
        <f>_xlfn.XLOOKUP(B195,Disk_Pivot!G:G,Disk_Pivot!N:N)</f>
        <v>Pass, Fail</v>
      </c>
      <c r="AH195" s="32"/>
      <c r="AI195" s="32"/>
      <c r="AJ195" s="32"/>
      <c r="AK195" s="32"/>
      <c r="AL195" s="32"/>
      <c r="AM195" s="32"/>
    </row>
    <row r="196" spans="1:39">
      <c r="A196" s="32" t="str">
        <f>_xlfn.XLOOKUP(B196,Input!J:J,Input!G:G)&amp;""</f>
        <v/>
      </c>
      <c r="B196" s="32"/>
      <c r="C196" s="32" t="str">
        <f>_xlfn.XLOOKUP(B196,Input!J:J,Input!H:H)&amp;""</f>
        <v/>
      </c>
      <c r="D196" s="42">
        <f>_xlfn.XLOOKUP(B196,Input!J:J,Input!F:F)</f>
        <v>0</v>
      </c>
      <c r="E196" s="32">
        <f>_xlfn.XLOOKUP(D196,Models!H:H,Models!G:G,D196)</f>
        <v>0</v>
      </c>
      <c r="F196" s="32">
        <f>_xlfn.XLOOKUP(B196,Input!J:J,Input!E:E)</f>
        <v>0</v>
      </c>
      <c r="G196" s="32">
        <f>IF(F196="LENOVO",_xlfn.XLOOKUP(B196,Input!J:J,Input!K:K),_xlfn.XLOOKUP(B196,Input!J:J,Input!L:L))</f>
        <v>0</v>
      </c>
      <c r="H196" s="32"/>
      <c r="I196" s="32"/>
      <c r="J196" s="32">
        <f>_xlfn.XLOOKUP(B196,CPU_Formula!A:A,CPU_Formula!I:I)</f>
        <v>0</v>
      </c>
      <c r="K196" s="42" t="e">
        <f>INDEX(Input!$D$2:$AC$500,
       MATCH(B196, Input!$J$2:$J$500, 0),
       MATCH("Total Memory", Input!$D$1:$AC$1, 0))</f>
        <v>#N/A</v>
      </c>
      <c r="L196" s="42" t="e">
        <f>INDEX(Input!$D$2:$AC$500,
       MATCH(B196, Input!$J$2:$J$500, 0),
       MATCH("Memory Type", Input!$D$1:$AC$1, 0))</f>
        <v>#N/A</v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e">
        <f t="shared" ref="N196:N259" si="11">_xlfn.TEXTJOIN(" ",TRUE,SUBSTITUTE(K196,"i",""),M196)</f>
        <v>#N/A</v>
      </c>
      <c r="O196" s="42" t="e">
        <f>INDEX(Input!$D$2:$AC$500,
       MATCH(B196, Input!$J$2:$J$500, 0),
       MATCH("Disk Interface Type", Input!$D$1:$AC$1, 0))</f>
        <v>#N/A</v>
      </c>
      <c r="P196" s="42" t="str" cm="1">
        <f t="array" ref="P196">IFERROR(_xlfn.TEXTJOIN(", ", TRUE, _xlfn._xlws.FILTER(
    INDEX(Input!$D$2:$AC$500,,MATCH("Disk Capacity",Input!$D$1:$AC$1,0)),
    Input!$J$2:$J$500=B196
)), "")</f>
        <v/>
      </c>
      <c r="Q196" s="32" t="e">
        <f t="shared" si="10"/>
        <v>#N/A</v>
      </c>
      <c r="R196" s="42" t="e">
        <f>_xlfn.LET(_xlpm.Result,INDEX(Input!$D$2:$AC$500,
       MATCH(B196, Input!$J$2:$J$500, 0),
       MATCH("Capacity", Input!$D$1:$AC$1, 0)),IF(_xlpm.Result="","",_xlpm.Result))</f>
        <v>#N/A</v>
      </c>
      <c r="S196" s="42" t="e" cm="1">
        <f t="array" ref="S196">_xlfn.TEXTSPLIT(R196," / ", ,TRUE,0,)</f>
        <v>#N/A</v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:AD196">IFERROR(IF(_xlfn.XLOOKUP(B196,Input!J:J,Input!N:U)=0,"",
          _xlfn.XLOOKUP(B196,Input!J:J,Input!N:U)),"")</f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42" t="str">
        <v/>
      </c>
      <c r="AE196" s="32" t="str">
        <f t="shared" si="9"/>
        <v/>
      </c>
      <c r="AF196" s="32" t="str">
        <f>_xlfn.XLOOKUP(B:B,Disk_Pivot!G:G,Disk_Pivot!I:I)</f>
        <v>Yes x2</v>
      </c>
      <c r="AG196" s="32" t="str">
        <f>_xlfn.XLOOKUP(B196,Disk_Pivot!G:G,Disk_Pivot!N:N)</f>
        <v>Pass, Fail</v>
      </c>
      <c r="AH196" s="32"/>
      <c r="AI196" s="32"/>
      <c r="AJ196" s="32"/>
      <c r="AK196" s="32"/>
      <c r="AL196" s="32"/>
      <c r="AM196" s="32"/>
    </row>
    <row r="197" spans="1:39">
      <c r="A197" s="32" t="str">
        <f>_xlfn.XLOOKUP(B197,Input!J:J,Input!G:G)&amp;""</f>
        <v/>
      </c>
      <c r="B197" s="32"/>
      <c r="C197" s="32" t="str">
        <f>_xlfn.XLOOKUP(B197,Input!J:J,Input!H:H)&amp;""</f>
        <v/>
      </c>
      <c r="D197" s="42">
        <f>_xlfn.XLOOKUP(B197,Input!J:J,Input!F:F)</f>
        <v>0</v>
      </c>
      <c r="E197" s="32">
        <f>_xlfn.XLOOKUP(D197,Models!H:H,Models!G:G,D197)</f>
        <v>0</v>
      </c>
      <c r="F197" s="32">
        <f>_xlfn.XLOOKUP(B197,Input!J:J,Input!E:E)</f>
        <v>0</v>
      </c>
      <c r="G197" s="32">
        <f>IF(F197="LENOVO",_xlfn.XLOOKUP(B197,Input!J:J,Input!K:K),_xlfn.XLOOKUP(B197,Input!J:J,Input!L:L))</f>
        <v>0</v>
      </c>
      <c r="H197" s="32"/>
      <c r="I197" s="32"/>
      <c r="J197" s="32">
        <f>_xlfn.XLOOKUP(B197,CPU_Formula!A:A,CPU_Formula!I:I)</f>
        <v>0</v>
      </c>
      <c r="K197" s="42" t="e">
        <f>INDEX(Input!$D$2:$AC$500,
       MATCH(B197, Input!$J$2:$J$500, 0),
       MATCH("Total Memory", Input!$D$1:$AC$1, 0))</f>
        <v>#N/A</v>
      </c>
      <c r="L197" s="42" t="e">
        <f>INDEX(Input!$D$2:$AC$500,
       MATCH(B197, Input!$J$2:$J$500, 0),
       MATCH("Memory Type", Input!$D$1:$AC$1, 0))</f>
        <v>#N/A</v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e">
        <f t="shared" si="11"/>
        <v>#N/A</v>
      </c>
      <c r="O197" s="42" t="e">
        <f>INDEX(Input!$D$2:$AC$500,
       MATCH(B197, Input!$J$2:$J$500, 0),
       MATCH("Disk Interface Type", Input!$D$1:$AC$1, 0))</f>
        <v>#N/A</v>
      </c>
      <c r="P197" s="42" t="str" cm="1">
        <f t="array" ref="P197">IFERROR(_xlfn.TEXTJOIN(", ", TRUE, _xlfn._xlws.FILTER(
    INDEX(Input!$D$2:$AC$500,,MATCH("Disk Capacity",Input!$D$1:$AC$1,0)),
    Input!$J$2:$J$500=B197
)), "")</f>
        <v/>
      </c>
      <c r="Q197" s="32" t="e">
        <f t="shared" si="10"/>
        <v>#N/A</v>
      </c>
      <c r="R197" s="42" t="e">
        <f>_xlfn.LET(_xlpm.Result,INDEX(Input!$D$2:$AC$500,
       MATCH(B197, Input!$J$2:$J$500, 0),
       MATCH("Capacity", Input!$D$1:$AC$1, 0)),IF(_xlpm.Result="","",_xlpm.Result))</f>
        <v>#N/A</v>
      </c>
      <c r="S197" s="42" t="e" cm="1">
        <f t="array" ref="S197">_xlfn.TEXTSPLIT(R197," / ", ,TRUE,0,)</f>
        <v>#N/A</v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:AD197">IFERROR(IF(_xlfn.XLOOKUP(B197,Input!J:J,Input!N:U)=0,"",
          _xlfn.XLOOKUP(B197,Input!J:J,Input!N:U)),"")</f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42" t="str">
        <v/>
      </c>
      <c r="AE197" s="32" t="str">
        <f t="shared" si="9"/>
        <v/>
      </c>
      <c r="AF197" s="32" t="str">
        <f>_xlfn.XLOOKUP(B:B,Disk_Pivot!G:G,Disk_Pivot!I:I)</f>
        <v>Yes x2</v>
      </c>
      <c r="AG197" s="32" t="str">
        <f>_xlfn.XLOOKUP(B197,Disk_Pivot!G:G,Disk_Pivot!N:N)</f>
        <v>Pass, Fail</v>
      </c>
      <c r="AH197" s="32"/>
      <c r="AI197" s="32"/>
      <c r="AJ197" s="32"/>
      <c r="AK197" s="32"/>
      <c r="AL197" s="32"/>
      <c r="AM197" s="32"/>
    </row>
    <row r="198" spans="1:39">
      <c r="A198" s="32" t="str">
        <f>_xlfn.XLOOKUP(B198,Input!J:J,Input!G:G)&amp;""</f>
        <v/>
      </c>
      <c r="B198" s="32"/>
      <c r="C198" s="32" t="str">
        <f>_xlfn.XLOOKUP(B198,Input!J:J,Input!H:H)&amp;""</f>
        <v/>
      </c>
      <c r="D198" s="42">
        <f>_xlfn.XLOOKUP(B198,Input!J:J,Input!F:F)</f>
        <v>0</v>
      </c>
      <c r="E198" s="32">
        <f>_xlfn.XLOOKUP(D198,Models!H:H,Models!G:G,D198)</f>
        <v>0</v>
      </c>
      <c r="F198" s="32">
        <f>_xlfn.XLOOKUP(B198,Input!J:J,Input!E:E)</f>
        <v>0</v>
      </c>
      <c r="G198" s="32">
        <f>IF(F198="LENOVO",_xlfn.XLOOKUP(B198,Input!J:J,Input!K:K),_xlfn.XLOOKUP(B198,Input!J:J,Input!L:L))</f>
        <v>0</v>
      </c>
      <c r="H198" s="32"/>
      <c r="I198" s="32"/>
      <c r="J198" s="32">
        <f>_xlfn.XLOOKUP(B198,CPU_Formula!A:A,CPU_Formula!I:I)</f>
        <v>0</v>
      </c>
      <c r="K198" s="42" t="e">
        <f>INDEX(Input!$D$2:$AC$500,
       MATCH(B198, Input!$J$2:$J$500, 0),
       MATCH("Total Memory", Input!$D$1:$AC$1, 0))</f>
        <v>#N/A</v>
      </c>
      <c r="L198" s="42" t="e">
        <f>INDEX(Input!$D$2:$AC$500,
       MATCH(B198, Input!$J$2:$J$500, 0),
       MATCH("Memory Type", Input!$D$1:$AC$1, 0))</f>
        <v>#N/A</v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e">
        <f t="shared" si="11"/>
        <v>#N/A</v>
      </c>
      <c r="O198" s="42" t="e">
        <f>INDEX(Input!$D$2:$AC$500,
       MATCH(B198, Input!$J$2:$J$500, 0),
       MATCH("Disk Interface Type", Input!$D$1:$AC$1, 0))</f>
        <v>#N/A</v>
      </c>
      <c r="P198" s="42" t="str" cm="1">
        <f t="array" ref="P198">IFERROR(_xlfn.TEXTJOIN(", ", TRUE, _xlfn._xlws.FILTER(
    INDEX(Input!$D$2:$AC$500,,MATCH("Disk Capacity",Input!$D$1:$AC$1,0)),
    Input!$J$2:$J$500=B198
)), "")</f>
        <v/>
      </c>
      <c r="Q198" s="32" t="e">
        <f t="shared" si="10"/>
        <v>#N/A</v>
      </c>
      <c r="R198" s="42" t="e">
        <f>_xlfn.LET(_xlpm.Result,INDEX(Input!$D$2:$AC$500,
       MATCH(B198, Input!$J$2:$J$500, 0),
       MATCH("Capacity", Input!$D$1:$AC$1, 0)),IF(_xlpm.Result="","",_xlpm.Result))</f>
        <v>#N/A</v>
      </c>
      <c r="S198" s="42" t="e" cm="1">
        <f t="array" ref="S198">_xlfn.TEXTSPLIT(R198," / ", ,TRUE,0,)</f>
        <v>#N/A</v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:AD198">IFERROR(IF(_xlfn.XLOOKUP(B198,Input!J:J,Input!N:U)=0,"",
          _xlfn.XLOOKUP(B198,Input!J:J,Input!N:U)),"")</f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42" t="str">
        <v/>
      </c>
      <c r="AE198" s="32" t="str">
        <f t="shared" si="9"/>
        <v/>
      </c>
      <c r="AF198" s="32" t="str">
        <f>_xlfn.XLOOKUP(B:B,Disk_Pivot!G:G,Disk_Pivot!I:I)</f>
        <v>Yes x2</v>
      </c>
      <c r="AG198" s="32" t="str">
        <f>_xlfn.XLOOKUP(B198,Disk_Pivot!G:G,Disk_Pivot!N:N)</f>
        <v>Pass, Fail</v>
      </c>
      <c r="AH198" s="32"/>
      <c r="AI198" s="32"/>
      <c r="AJ198" s="32"/>
      <c r="AK198" s="32"/>
      <c r="AL198" s="32"/>
      <c r="AM198" s="32"/>
    </row>
    <row r="199" spans="1:39">
      <c r="A199" s="32" t="str">
        <f>_xlfn.XLOOKUP(B199,Input!J:J,Input!G:G)&amp;""</f>
        <v/>
      </c>
      <c r="B199" s="32"/>
      <c r="C199" s="32" t="str">
        <f>_xlfn.XLOOKUP(B199,Input!J:J,Input!H:H)&amp;""</f>
        <v/>
      </c>
      <c r="D199" s="42">
        <f>_xlfn.XLOOKUP(B199,Input!J:J,Input!F:F)</f>
        <v>0</v>
      </c>
      <c r="E199" s="32">
        <f>_xlfn.XLOOKUP(D199,Models!H:H,Models!G:G,D199)</f>
        <v>0</v>
      </c>
      <c r="F199" s="32">
        <f>_xlfn.XLOOKUP(B199,Input!J:J,Input!E:E)</f>
        <v>0</v>
      </c>
      <c r="G199" s="32">
        <f>IF(F199="LENOVO",_xlfn.XLOOKUP(B199,Input!J:J,Input!K:K),_xlfn.XLOOKUP(B199,Input!J:J,Input!L:L))</f>
        <v>0</v>
      </c>
      <c r="H199" s="32"/>
      <c r="I199" s="32"/>
      <c r="J199" s="32">
        <f>_xlfn.XLOOKUP(B199,CPU_Formula!A:A,CPU_Formula!I:I)</f>
        <v>0</v>
      </c>
      <c r="K199" s="42" t="e">
        <f>INDEX(Input!$D$2:$AC$500,
       MATCH(B199, Input!$J$2:$J$500, 0),
       MATCH("Total Memory", Input!$D$1:$AC$1, 0))</f>
        <v>#N/A</v>
      </c>
      <c r="L199" s="42" t="e">
        <f>INDEX(Input!$D$2:$AC$500,
       MATCH(B199, Input!$J$2:$J$500, 0),
       MATCH("Memory Type", Input!$D$1:$AC$1, 0))</f>
        <v>#N/A</v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e">
        <f t="shared" si="11"/>
        <v>#N/A</v>
      </c>
      <c r="O199" s="42" t="e">
        <f>INDEX(Input!$D$2:$AC$500,
       MATCH(B199, Input!$J$2:$J$500, 0),
       MATCH("Disk Interface Type", Input!$D$1:$AC$1, 0))</f>
        <v>#N/A</v>
      </c>
      <c r="P199" s="42" t="str" cm="1">
        <f t="array" ref="P199">IFERROR(_xlfn.TEXTJOIN(", ", TRUE, _xlfn._xlws.FILTER(
    INDEX(Input!$D$2:$AC$500,,MATCH("Disk Capacity",Input!$D$1:$AC$1,0)),
    Input!$J$2:$J$500=B199
)), "")</f>
        <v/>
      </c>
      <c r="Q199" s="32" t="e">
        <f t="shared" si="10"/>
        <v>#N/A</v>
      </c>
      <c r="R199" s="42" t="e">
        <f>_xlfn.LET(_xlpm.Result,INDEX(Input!$D$2:$AC$500,
       MATCH(B199, Input!$J$2:$J$500, 0),
       MATCH("Capacity", Input!$D$1:$AC$1, 0)),IF(_xlpm.Result="","",_xlpm.Result))</f>
        <v>#N/A</v>
      </c>
      <c r="S199" s="42" t="e" cm="1">
        <f t="array" ref="S199">_xlfn.TEXTSPLIT(R199," / ", ,TRUE,0,)</f>
        <v>#N/A</v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:AD199">IFERROR(IF(_xlfn.XLOOKUP(B199,Input!J:J,Input!N:U)=0,"",
          _xlfn.XLOOKUP(B199,Input!J:J,Input!N:U)),"")</f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42" t="str">
        <v/>
      </c>
      <c r="AE199" s="32" t="str">
        <f t="shared" si="9"/>
        <v/>
      </c>
      <c r="AF199" s="32" t="str">
        <f>_xlfn.XLOOKUP(B:B,Disk_Pivot!G:G,Disk_Pivot!I:I)</f>
        <v>Yes x2</v>
      </c>
      <c r="AG199" s="32" t="str">
        <f>_xlfn.XLOOKUP(B199,Disk_Pivot!G:G,Disk_Pivot!N:N)</f>
        <v>Pass, Fail</v>
      </c>
      <c r="AH199" s="32"/>
      <c r="AI199" s="32"/>
      <c r="AJ199" s="32"/>
      <c r="AK199" s="32"/>
      <c r="AL199" s="32"/>
      <c r="AM199" s="32"/>
    </row>
    <row r="200" spans="1:39">
      <c r="A200" s="32" t="str">
        <f>_xlfn.XLOOKUP(B200,Input!J:J,Input!G:G)&amp;""</f>
        <v/>
      </c>
      <c r="B200" s="32"/>
      <c r="C200" s="32" t="str">
        <f>_xlfn.XLOOKUP(B200,Input!J:J,Input!H:H)&amp;""</f>
        <v/>
      </c>
      <c r="D200" s="42">
        <f>_xlfn.XLOOKUP(B200,Input!J:J,Input!F:F)</f>
        <v>0</v>
      </c>
      <c r="E200" s="32">
        <f>_xlfn.XLOOKUP(D200,Models!H:H,Models!G:G,D200)</f>
        <v>0</v>
      </c>
      <c r="F200" s="32">
        <f>_xlfn.XLOOKUP(B200,Input!J:J,Input!E:E)</f>
        <v>0</v>
      </c>
      <c r="G200" s="32">
        <f>IF(F200="LENOVO",_xlfn.XLOOKUP(B200,Input!J:J,Input!K:K),_xlfn.XLOOKUP(B200,Input!J:J,Input!L:L))</f>
        <v>0</v>
      </c>
      <c r="H200" s="32"/>
      <c r="I200" s="32"/>
      <c r="J200" s="32">
        <f>_xlfn.XLOOKUP(B200,CPU_Formula!A:A,CPU_Formula!I:I)</f>
        <v>0</v>
      </c>
      <c r="K200" s="42" t="e">
        <f>INDEX(Input!$D$2:$AC$500,
       MATCH(B200, Input!$J$2:$J$500, 0),
       MATCH("Total Memory", Input!$D$1:$AC$1, 0))</f>
        <v>#N/A</v>
      </c>
      <c r="L200" s="42" t="e">
        <f>INDEX(Input!$D$2:$AC$500,
       MATCH(B200, Input!$J$2:$J$500, 0),
       MATCH("Memory Type", Input!$D$1:$AC$1, 0))</f>
        <v>#N/A</v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e">
        <f t="shared" si="11"/>
        <v>#N/A</v>
      </c>
      <c r="O200" s="42" t="e">
        <f>INDEX(Input!$D$2:$AC$500,
       MATCH(B200, Input!$J$2:$J$500, 0),
       MATCH("Disk Interface Type", Input!$D$1:$AC$1, 0))</f>
        <v>#N/A</v>
      </c>
      <c r="P200" s="42" t="str" cm="1">
        <f t="array" ref="P200">IFERROR(_xlfn.TEXTJOIN(", ", TRUE, _xlfn._xlws.FILTER(
    INDEX(Input!$D$2:$AC$500,,MATCH("Disk Capacity",Input!$D$1:$AC$1,0)),
    Input!$J$2:$J$500=B200
)), "")</f>
        <v/>
      </c>
      <c r="Q200" s="32" t="e">
        <f t="shared" si="10"/>
        <v>#N/A</v>
      </c>
      <c r="R200" s="42" t="e">
        <f>_xlfn.LET(_xlpm.Result,INDEX(Input!$D$2:$AC$500,
       MATCH(B200, Input!$J$2:$J$500, 0),
       MATCH("Capacity", Input!$D$1:$AC$1, 0)),IF(_xlpm.Result="","",_xlpm.Result))</f>
        <v>#N/A</v>
      </c>
      <c r="S200" s="42" t="e" cm="1">
        <f t="array" ref="S200">_xlfn.TEXTSPLIT(R200," / ", ,TRUE,0,)</f>
        <v>#N/A</v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:AD200">IFERROR(IF(_xlfn.XLOOKUP(B200,Input!J:J,Input!N:U)=0,"",
          _xlfn.XLOOKUP(B200,Input!J:J,Input!N:U)),"")</f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42" t="str">
        <v/>
      </c>
      <c r="AE200" s="32" t="str">
        <f t="shared" si="9"/>
        <v/>
      </c>
      <c r="AF200" s="32" t="str">
        <f>_xlfn.XLOOKUP(B:B,Disk_Pivot!G:G,Disk_Pivot!I:I)</f>
        <v>Yes x2</v>
      </c>
      <c r="AG200" s="32" t="str">
        <f>_xlfn.XLOOKUP(B200,Disk_Pivot!G:G,Disk_Pivot!N:N)</f>
        <v>Pass, Fail</v>
      </c>
      <c r="AH200" s="32"/>
      <c r="AI200" s="32"/>
      <c r="AJ200" s="32"/>
      <c r="AK200" s="32"/>
      <c r="AL200" s="32"/>
      <c r="AM200" s="32"/>
    </row>
    <row r="201" spans="1:39">
      <c r="A201" s="32" t="str">
        <f>_xlfn.XLOOKUP(B201,Input!J:J,Input!G:G)&amp;""</f>
        <v/>
      </c>
      <c r="B201" s="32"/>
      <c r="C201" s="32" t="str">
        <f>_xlfn.XLOOKUP(B201,Input!J:J,Input!H:H)&amp;""</f>
        <v/>
      </c>
      <c r="D201" s="42">
        <f>_xlfn.XLOOKUP(B201,Input!J:J,Input!F:F)</f>
        <v>0</v>
      </c>
      <c r="E201" s="32">
        <f>_xlfn.XLOOKUP(D201,Models!H:H,Models!G:G,D201)</f>
        <v>0</v>
      </c>
      <c r="F201" s="32">
        <f>_xlfn.XLOOKUP(B201,Input!J:J,Input!E:E)</f>
        <v>0</v>
      </c>
      <c r="G201" s="32">
        <f>IF(F201="LENOVO",_xlfn.XLOOKUP(B201,Input!J:J,Input!K:K),_xlfn.XLOOKUP(B201,Input!J:J,Input!L:L))</f>
        <v>0</v>
      </c>
      <c r="H201" s="32"/>
      <c r="I201" s="32"/>
      <c r="J201" s="32">
        <f>_xlfn.XLOOKUP(B201,CPU_Formula!A:A,CPU_Formula!I:I)</f>
        <v>0</v>
      </c>
      <c r="K201" s="42" t="e">
        <f>INDEX(Input!$D$2:$AC$500,
       MATCH(B201, Input!$J$2:$J$500, 0),
       MATCH("Total Memory", Input!$D$1:$AC$1, 0))</f>
        <v>#N/A</v>
      </c>
      <c r="L201" s="42" t="e">
        <f>INDEX(Input!$D$2:$AC$500,
       MATCH(B201, Input!$J$2:$J$500, 0),
       MATCH("Memory Type", Input!$D$1:$AC$1, 0))</f>
        <v>#N/A</v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e">
        <f t="shared" si="11"/>
        <v>#N/A</v>
      </c>
      <c r="O201" s="42" t="e">
        <f>INDEX(Input!$D$2:$AC$500,
       MATCH(B201, Input!$J$2:$J$500, 0),
       MATCH("Disk Interface Type", Input!$D$1:$AC$1, 0))</f>
        <v>#N/A</v>
      </c>
      <c r="P201" s="42" t="str" cm="1">
        <f t="array" ref="P201">IFERROR(_xlfn.TEXTJOIN(", ", TRUE, _xlfn._xlws.FILTER(
    INDEX(Input!$D$2:$AC$500,,MATCH("Disk Capacity",Input!$D$1:$AC$1,0)),
    Input!$J$2:$J$500=B201
)), "")</f>
        <v/>
      </c>
      <c r="Q201" s="32" t="e">
        <f t="shared" si="10"/>
        <v>#N/A</v>
      </c>
      <c r="R201" s="42" t="e">
        <f>_xlfn.LET(_xlpm.Result,INDEX(Input!$D$2:$AC$500,
       MATCH(B201, Input!$J$2:$J$500, 0),
       MATCH("Capacity", Input!$D$1:$AC$1, 0)),IF(_xlpm.Result="","",_xlpm.Result))</f>
        <v>#N/A</v>
      </c>
      <c r="S201" s="42" t="e" cm="1">
        <f t="array" ref="S201">_xlfn.TEXTSPLIT(R201," / ", ,TRUE,0,)</f>
        <v>#N/A</v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:AD201">IFERROR(IF(_xlfn.XLOOKUP(B201,Input!J:J,Input!N:U)=0,"",
          _xlfn.XLOOKUP(B201,Input!J:J,Input!N:U)),"")</f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42" t="str">
        <v/>
      </c>
      <c r="AE201" s="32" t="str">
        <f t="shared" si="9"/>
        <v/>
      </c>
      <c r="AF201" s="32" t="str">
        <f>_xlfn.XLOOKUP(B:B,Disk_Pivot!G:G,Disk_Pivot!I:I)</f>
        <v>Yes x2</v>
      </c>
      <c r="AG201" s="32" t="str">
        <f>_xlfn.XLOOKUP(B201,Disk_Pivot!G:G,Disk_Pivot!N:N)</f>
        <v>Pass, Fail</v>
      </c>
      <c r="AH201" s="32"/>
      <c r="AI201" s="32"/>
      <c r="AJ201" s="32"/>
      <c r="AK201" s="32"/>
      <c r="AL201" s="32"/>
      <c r="AM201" s="32"/>
    </row>
    <row r="202" spans="1:39">
      <c r="A202" s="32" t="str">
        <f>_xlfn.XLOOKUP(B202,Input!J:J,Input!G:G)&amp;""</f>
        <v/>
      </c>
      <c r="B202" s="32"/>
      <c r="C202" s="32" t="str">
        <f>_xlfn.XLOOKUP(B202,Input!J:J,Input!H:H)&amp;""</f>
        <v/>
      </c>
      <c r="D202" s="42">
        <f>_xlfn.XLOOKUP(B202,Input!J:J,Input!F:F)</f>
        <v>0</v>
      </c>
      <c r="E202" s="32">
        <f>_xlfn.XLOOKUP(D202,Models!H:H,Models!G:G,D202)</f>
        <v>0</v>
      </c>
      <c r="F202" s="32">
        <f>_xlfn.XLOOKUP(B202,Input!J:J,Input!E:E)</f>
        <v>0</v>
      </c>
      <c r="G202" s="32">
        <f>IF(F202="LENOVO",_xlfn.XLOOKUP(B202,Input!J:J,Input!K:K),_xlfn.XLOOKUP(B202,Input!J:J,Input!L:L))</f>
        <v>0</v>
      </c>
      <c r="H202" s="32"/>
      <c r="I202" s="32"/>
      <c r="J202" s="32">
        <f>_xlfn.XLOOKUP(B202,CPU_Formula!A:A,CPU_Formula!I:I)</f>
        <v>0</v>
      </c>
      <c r="K202" s="42" t="e">
        <f>INDEX(Input!$D$2:$AC$500,
       MATCH(B202, Input!$J$2:$J$500, 0),
       MATCH("Total Memory", Input!$D$1:$AC$1, 0))</f>
        <v>#N/A</v>
      </c>
      <c r="L202" s="42" t="e">
        <f>INDEX(Input!$D$2:$AC$500,
       MATCH(B202, Input!$J$2:$J$500, 0),
       MATCH("Memory Type", Input!$D$1:$AC$1, 0))</f>
        <v>#N/A</v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e">
        <f t="shared" si="11"/>
        <v>#N/A</v>
      </c>
      <c r="O202" s="42" t="e">
        <f>INDEX(Input!$D$2:$AC$500,
       MATCH(B202, Input!$J$2:$J$500, 0),
       MATCH("Disk Interface Type", Input!$D$1:$AC$1, 0))</f>
        <v>#N/A</v>
      </c>
      <c r="P202" s="42" t="str" cm="1">
        <f t="array" ref="P202">IFERROR(_xlfn.TEXTJOIN(", ", TRUE, _xlfn._xlws.FILTER(
    INDEX(Input!$D$2:$AC$500,,MATCH("Disk Capacity",Input!$D$1:$AC$1,0)),
    Input!$J$2:$J$500=B202
)), "")</f>
        <v/>
      </c>
      <c r="Q202" s="32" t="e">
        <f t="shared" si="10"/>
        <v>#N/A</v>
      </c>
      <c r="R202" s="42" t="e">
        <f>_xlfn.LET(_xlpm.Result,INDEX(Input!$D$2:$AC$500,
       MATCH(B202, Input!$J$2:$J$500, 0),
       MATCH("Capacity", Input!$D$1:$AC$1, 0)),IF(_xlpm.Result="","",_xlpm.Result))</f>
        <v>#N/A</v>
      </c>
      <c r="S202" s="42" t="e" cm="1">
        <f t="array" ref="S202">_xlfn.TEXTSPLIT(R202," / ", ,TRUE,0,)</f>
        <v>#N/A</v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:AD202">IFERROR(IF(_xlfn.XLOOKUP(B202,Input!J:J,Input!N:U)=0,"",
          _xlfn.XLOOKUP(B202,Input!J:J,Input!N:U)),"")</f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42" t="str">
        <v/>
      </c>
      <c r="AE202" s="32" t="str">
        <f t="shared" si="9"/>
        <v/>
      </c>
      <c r="AF202" s="32" t="str">
        <f>_xlfn.XLOOKUP(B:B,Disk_Pivot!G:G,Disk_Pivot!I:I)</f>
        <v>Yes x2</v>
      </c>
      <c r="AG202" s="32" t="str">
        <f>_xlfn.XLOOKUP(B202,Disk_Pivot!G:G,Disk_Pivot!N:N)</f>
        <v>Pass, Fail</v>
      </c>
      <c r="AH202" s="32"/>
      <c r="AI202" s="32"/>
      <c r="AJ202" s="32"/>
      <c r="AK202" s="32"/>
      <c r="AL202" s="32"/>
      <c r="AM202" s="32"/>
    </row>
    <row r="203" spans="1:39">
      <c r="A203" s="32" t="str">
        <f>_xlfn.XLOOKUP(B203,Input!J:J,Input!G:G)&amp;""</f>
        <v/>
      </c>
      <c r="B203" s="32"/>
      <c r="C203" s="32" t="str">
        <f>_xlfn.XLOOKUP(B203,Input!J:J,Input!H:H)&amp;""</f>
        <v/>
      </c>
      <c r="D203" s="42">
        <f>_xlfn.XLOOKUP(B203,Input!J:J,Input!F:F)</f>
        <v>0</v>
      </c>
      <c r="E203" s="32">
        <f>_xlfn.XLOOKUP(D203,Models!H:H,Models!G:G,D203)</f>
        <v>0</v>
      </c>
      <c r="F203" s="32">
        <f>_xlfn.XLOOKUP(B203,Input!J:J,Input!E:E)</f>
        <v>0</v>
      </c>
      <c r="G203" s="32">
        <f>IF(F203="LENOVO",_xlfn.XLOOKUP(B203,Input!J:J,Input!K:K),_xlfn.XLOOKUP(B203,Input!J:J,Input!L:L))</f>
        <v>0</v>
      </c>
      <c r="H203" s="32"/>
      <c r="I203" s="32"/>
      <c r="J203" s="32">
        <f>_xlfn.XLOOKUP(B203,CPU_Formula!A:A,CPU_Formula!I:I)</f>
        <v>0</v>
      </c>
      <c r="K203" s="42" t="e">
        <f>INDEX(Input!$D$2:$AC$500,
       MATCH(B203, Input!$J$2:$J$500, 0),
       MATCH("Total Memory", Input!$D$1:$AC$1, 0))</f>
        <v>#N/A</v>
      </c>
      <c r="L203" s="42" t="e">
        <f>INDEX(Input!$D$2:$AC$500,
       MATCH(B203, Input!$J$2:$J$500, 0),
       MATCH("Memory Type", Input!$D$1:$AC$1, 0))</f>
        <v>#N/A</v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e">
        <f t="shared" si="11"/>
        <v>#N/A</v>
      </c>
      <c r="O203" s="42" t="e">
        <f>INDEX(Input!$D$2:$AC$500,
       MATCH(B203, Input!$J$2:$J$500, 0),
       MATCH("Disk Interface Type", Input!$D$1:$AC$1, 0))</f>
        <v>#N/A</v>
      </c>
      <c r="P203" s="42" t="str" cm="1">
        <f t="array" ref="P203">IFERROR(_xlfn.TEXTJOIN(", ", TRUE, _xlfn._xlws.FILTER(
    INDEX(Input!$D$2:$AC$500,,MATCH("Disk Capacity",Input!$D$1:$AC$1,0)),
    Input!$J$2:$J$500=B203
)), "")</f>
        <v/>
      </c>
      <c r="Q203" s="32" t="e">
        <f t="shared" si="10"/>
        <v>#N/A</v>
      </c>
      <c r="R203" s="42" t="e">
        <f>_xlfn.LET(_xlpm.Result,INDEX(Input!$D$2:$AC$500,
       MATCH(B203, Input!$J$2:$J$500, 0),
       MATCH("Capacity", Input!$D$1:$AC$1, 0)),IF(_xlpm.Result="","",_xlpm.Result))</f>
        <v>#N/A</v>
      </c>
      <c r="S203" s="42" t="e" cm="1">
        <f t="array" ref="S203">_xlfn.TEXTSPLIT(R203," / ", ,TRUE,0,)</f>
        <v>#N/A</v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:AD203">IFERROR(IF(_xlfn.XLOOKUP(B203,Input!J:J,Input!N:U)=0,"",
          _xlfn.XLOOKUP(B203,Input!J:J,Input!N:U)),"")</f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42" t="str">
        <v/>
      </c>
      <c r="AE203" s="32" t="str">
        <f t="shared" si="9"/>
        <v/>
      </c>
      <c r="AF203" s="32" t="str">
        <f>_xlfn.XLOOKUP(B:B,Disk_Pivot!G:G,Disk_Pivot!I:I)</f>
        <v>Yes x2</v>
      </c>
      <c r="AG203" s="32" t="str">
        <f>_xlfn.XLOOKUP(B203,Disk_Pivot!G:G,Disk_Pivot!N:N)</f>
        <v>Pass, Fail</v>
      </c>
      <c r="AH203" s="32"/>
      <c r="AI203" s="32"/>
      <c r="AJ203" s="32"/>
      <c r="AK203" s="32"/>
      <c r="AL203" s="32"/>
      <c r="AM203" s="32"/>
    </row>
    <row r="204" spans="1:39">
      <c r="A204" s="32" t="str">
        <f>_xlfn.XLOOKUP(B204,Input!J:J,Input!G:G)&amp;""</f>
        <v/>
      </c>
      <c r="B204" s="32"/>
      <c r="C204" s="32" t="str">
        <f>_xlfn.XLOOKUP(B204,Input!J:J,Input!H:H)&amp;""</f>
        <v/>
      </c>
      <c r="D204" s="42">
        <f>_xlfn.XLOOKUP(B204,Input!J:J,Input!F:F)</f>
        <v>0</v>
      </c>
      <c r="E204" s="32">
        <f>_xlfn.XLOOKUP(D204,Models!H:H,Models!G:G,D204)</f>
        <v>0</v>
      </c>
      <c r="F204" s="32">
        <f>_xlfn.XLOOKUP(B204,Input!J:J,Input!E:E)</f>
        <v>0</v>
      </c>
      <c r="G204" s="32">
        <f>IF(F204="LENOVO",_xlfn.XLOOKUP(B204,Input!J:J,Input!K:K),_xlfn.XLOOKUP(B204,Input!J:J,Input!L:L))</f>
        <v>0</v>
      </c>
      <c r="H204" s="32"/>
      <c r="I204" s="32"/>
      <c r="J204" s="32">
        <f>_xlfn.XLOOKUP(B204,CPU_Formula!A:A,CPU_Formula!I:I)</f>
        <v>0</v>
      </c>
      <c r="K204" s="42" t="e">
        <f>INDEX(Input!$D$2:$AC$500,
       MATCH(B204, Input!$J$2:$J$500, 0),
       MATCH("Total Memory", Input!$D$1:$AC$1, 0))</f>
        <v>#N/A</v>
      </c>
      <c r="L204" s="42" t="e">
        <f>INDEX(Input!$D$2:$AC$500,
       MATCH(B204, Input!$J$2:$J$500, 0),
       MATCH("Memory Type", Input!$D$1:$AC$1, 0))</f>
        <v>#N/A</v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e">
        <f t="shared" si="11"/>
        <v>#N/A</v>
      </c>
      <c r="O204" s="42" t="e">
        <f>INDEX(Input!$D$2:$AC$500,
       MATCH(B204, Input!$J$2:$J$500, 0),
       MATCH("Disk Interface Type", Input!$D$1:$AC$1, 0))</f>
        <v>#N/A</v>
      </c>
      <c r="P204" s="42" t="str" cm="1">
        <f t="array" ref="P204">IFERROR(_xlfn.TEXTJOIN(", ", TRUE, _xlfn._xlws.FILTER(
    INDEX(Input!$D$2:$AC$500,,MATCH("Disk Capacity",Input!$D$1:$AC$1,0)),
    Input!$J$2:$J$500=B204
)), "")</f>
        <v/>
      </c>
      <c r="Q204" s="32" t="e">
        <f t="shared" si="10"/>
        <v>#N/A</v>
      </c>
      <c r="R204" s="42" t="e">
        <f>_xlfn.LET(_xlpm.Result,INDEX(Input!$D$2:$AC$500,
       MATCH(B204, Input!$J$2:$J$500, 0),
       MATCH("Capacity", Input!$D$1:$AC$1, 0)),IF(_xlpm.Result="","",_xlpm.Result))</f>
        <v>#N/A</v>
      </c>
      <c r="S204" s="42" t="e" cm="1">
        <f t="array" ref="S204">_xlfn.TEXTSPLIT(R204," / ", ,TRUE,0,)</f>
        <v>#N/A</v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:AD204">IFERROR(IF(_xlfn.XLOOKUP(B204,Input!J:J,Input!N:U)=0,"",
          _xlfn.XLOOKUP(B204,Input!J:J,Input!N:U)),"")</f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42" t="str">
        <v/>
      </c>
      <c r="AE204" s="32" t="str">
        <f t="shared" si="9"/>
        <v/>
      </c>
      <c r="AF204" s="32" t="str">
        <f>_xlfn.XLOOKUP(B:B,Disk_Pivot!G:G,Disk_Pivot!I:I)</f>
        <v>Yes x2</v>
      </c>
      <c r="AG204" s="32" t="str">
        <f>_xlfn.XLOOKUP(B204,Disk_Pivot!G:G,Disk_Pivot!N:N)</f>
        <v>Pass, Fail</v>
      </c>
      <c r="AH204" s="32"/>
      <c r="AI204" s="32"/>
      <c r="AJ204" s="32"/>
      <c r="AK204" s="32"/>
      <c r="AL204" s="32"/>
      <c r="AM204" s="32"/>
    </row>
    <row r="205" spans="1:39">
      <c r="A205" s="32" t="str">
        <f>_xlfn.XLOOKUP(B205,Input!J:J,Input!G:G)&amp;""</f>
        <v/>
      </c>
      <c r="B205" s="32"/>
      <c r="C205" s="32" t="str">
        <f>_xlfn.XLOOKUP(B205,Input!J:J,Input!H:H)&amp;""</f>
        <v/>
      </c>
      <c r="D205" s="42">
        <f>_xlfn.XLOOKUP(B205,Input!J:J,Input!F:F)</f>
        <v>0</v>
      </c>
      <c r="E205" s="32">
        <f>_xlfn.XLOOKUP(D205,Models!H:H,Models!G:G,D205)</f>
        <v>0</v>
      </c>
      <c r="F205" s="32">
        <f>_xlfn.XLOOKUP(B205,Input!J:J,Input!E:E)</f>
        <v>0</v>
      </c>
      <c r="G205" s="32">
        <f>IF(F205="LENOVO",_xlfn.XLOOKUP(B205,Input!J:J,Input!K:K),_xlfn.XLOOKUP(B205,Input!J:J,Input!L:L))</f>
        <v>0</v>
      </c>
      <c r="H205" s="32"/>
      <c r="I205" s="32"/>
      <c r="J205" s="32">
        <f>_xlfn.XLOOKUP(B205,CPU_Formula!A:A,CPU_Formula!I:I)</f>
        <v>0</v>
      </c>
      <c r="K205" s="42" t="e">
        <f>INDEX(Input!$D$2:$AC$500,
       MATCH(B205, Input!$J$2:$J$500, 0),
       MATCH("Total Memory", Input!$D$1:$AC$1, 0))</f>
        <v>#N/A</v>
      </c>
      <c r="L205" s="42" t="e">
        <f>INDEX(Input!$D$2:$AC$500,
       MATCH(B205, Input!$J$2:$J$500, 0),
       MATCH("Memory Type", Input!$D$1:$AC$1, 0))</f>
        <v>#N/A</v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e">
        <f t="shared" si="11"/>
        <v>#N/A</v>
      </c>
      <c r="O205" s="42" t="e">
        <f>INDEX(Input!$D$2:$AC$500,
       MATCH(B205, Input!$J$2:$J$500, 0),
       MATCH("Disk Interface Type", Input!$D$1:$AC$1, 0))</f>
        <v>#N/A</v>
      </c>
      <c r="P205" s="42" t="str" cm="1">
        <f t="array" ref="P205">IFERROR(_xlfn.TEXTJOIN(", ", TRUE, _xlfn._xlws.FILTER(
    INDEX(Input!$D$2:$AC$500,,MATCH("Disk Capacity",Input!$D$1:$AC$1,0)),
    Input!$J$2:$J$500=B205
)), "")</f>
        <v/>
      </c>
      <c r="Q205" s="32" t="e">
        <f t="shared" si="10"/>
        <v>#N/A</v>
      </c>
      <c r="R205" s="42" t="e">
        <f>_xlfn.LET(_xlpm.Result,INDEX(Input!$D$2:$AC$500,
       MATCH(B205, Input!$J$2:$J$500, 0),
       MATCH("Capacity", Input!$D$1:$AC$1, 0)),IF(_xlpm.Result="","",_xlpm.Result))</f>
        <v>#N/A</v>
      </c>
      <c r="S205" s="42" t="e" cm="1">
        <f t="array" ref="S205">_xlfn.TEXTSPLIT(R205," / ", ,TRUE,0,)</f>
        <v>#N/A</v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:AD205">IFERROR(IF(_xlfn.XLOOKUP(B205,Input!J:J,Input!N:U)=0,"",
          _xlfn.XLOOKUP(B205,Input!J:J,Input!N:U)),"")</f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42" t="str">
        <v/>
      </c>
      <c r="AE205" s="32" t="str">
        <f t="shared" si="9"/>
        <v/>
      </c>
      <c r="AF205" s="32" t="str">
        <f>_xlfn.XLOOKUP(B:B,Disk_Pivot!G:G,Disk_Pivot!I:I)</f>
        <v>Yes x2</v>
      </c>
      <c r="AG205" s="32" t="str">
        <f>_xlfn.XLOOKUP(B205,Disk_Pivot!G:G,Disk_Pivot!N:N)</f>
        <v>Pass, Fail</v>
      </c>
      <c r="AH205" s="32"/>
      <c r="AI205" s="32"/>
      <c r="AJ205" s="32"/>
      <c r="AK205" s="32"/>
      <c r="AL205" s="32"/>
      <c r="AM205" s="32"/>
    </row>
    <row r="206" spans="1:39">
      <c r="A206" s="32" t="str">
        <f>_xlfn.XLOOKUP(B206,Input!J:J,Input!G:G)&amp;""</f>
        <v/>
      </c>
      <c r="B206" s="32"/>
      <c r="C206" s="32" t="str">
        <f>_xlfn.XLOOKUP(B206,Input!J:J,Input!H:H)&amp;""</f>
        <v/>
      </c>
      <c r="D206" s="42">
        <f>_xlfn.XLOOKUP(B206,Input!J:J,Input!F:F)</f>
        <v>0</v>
      </c>
      <c r="E206" s="32">
        <f>_xlfn.XLOOKUP(D206,Models!H:H,Models!G:G,D206)</f>
        <v>0</v>
      </c>
      <c r="F206" s="32">
        <f>_xlfn.XLOOKUP(B206,Input!J:J,Input!E:E)</f>
        <v>0</v>
      </c>
      <c r="G206" s="32">
        <f>IF(F206="LENOVO",_xlfn.XLOOKUP(B206,Input!J:J,Input!K:K),_xlfn.XLOOKUP(B206,Input!J:J,Input!L:L))</f>
        <v>0</v>
      </c>
      <c r="H206" s="32"/>
      <c r="I206" s="32"/>
      <c r="J206" s="32">
        <f>_xlfn.XLOOKUP(B206,CPU_Formula!A:A,CPU_Formula!I:I)</f>
        <v>0</v>
      </c>
      <c r="K206" s="42" t="e">
        <f>INDEX(Input!$D$2:$AC$500,
       MATCH(B206, Input!$J$2:$J$500, 0),
       MATCH("Total Memory", Input!$D$1:$AC$1, 0))</f>
        <v>#N/A</v>
      </c>
      <c r="L206" s="42" t="e">
        <f>INDEX(Input!$D$2:$AC$500,
       MATCH(B206, Input!$J$2:$J$500, 0),
       MATCH("Memory Type", Input!$D$1:$AC$1, 0))</f>
        <v>#N/A</v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e">
        <f t="shared" si="11"/>
        <v>#N/A</v>
      </c>
      <c r="O206" s="42" t="e">
        <f>INDEX(Input!$D$2:$AC$500,
       MATCH(B206, Input!$J$2:$J$500, 0),
       MATCH("Disk Interface Type", Input!$D$1:$AC$1, 0))</f>
        <v>#N/A</v>
      </c>
      <c r="P206" s="42" t="str" cm="1">
        <f t="array" ref="P206">IFERROR(_xlfn.TEXTJOIN(", ", TRUE, _xlfn._xlws.FILTER(
    INDEX(Input!$D$2:$AC$500,,MATCH("Disk Capacity",Input!$D$1:$AC$1,0)),
    Input!$J$2:$J$500=B206
)), "")</f>
        <v/>
      </c>
      <c r="Q206" s="32" t="e">
        <f t="shared" si="10"/>
        <v>#N/A</v>
      </c>
      <c r="R206" s="42" t="e">
        <f>_xlfn.LET(_xlpm.Result,INDEX(Input!$D$2:$AC$500,
       MATCH(B206, Input!$J$2:$J$500, 0),
       MATCH("Capacity", Input!$D$1:$AC$1, 0)),IF(_xlpm.Result="","",_xlpm.Result))</f>
        <v>#N/A</v>
      </c>
      <c r="S206" s="42" t="e" cm="1">
        <f t="array" ref="S206">_xlfn.TEXTSPLIT(R206," / ", ,TRUE,0,)</f>
        <v>#N/A</v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:AD206">IFERROR(IF(_xlfn.XLOOKUP(B206,Input!J:J,Input!N:U)=0,"",
          _xlfn.XLOOKUP(B206,Input!J:J,Input!N:U)),"")</f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42" t="str">
        <v/>
      </c>
      <c r="AE206" s="32" t="str">
        <f t="shared" si="9"/>
        <v/>
      </c>
      <c r="AF206" s="32" t="str">
        <f>_xlfn.XLOOKUP(B:B,Disk_Pivot!G:G,Disk_Pivot!I:I)</f>
        <v>Yes x2</v>
      </c>
      <c r="AG206" s="32" t="str">
        <f>_xlfn.XLOOKUP(B206,Disk_Pivot!G:G,Disk_Pivot!N:N)</f>
        <v>Pass, Fail</v>
      </c>
      <c r="AH206" s="32"/>
      <c r="AI206" s="32"/>
      <c r="AJ206" s="32"/>
      <c r="AK206" s="32"/>
      <c r="AL206" s="32"/>
      <c r="AM206" s="32"/>
    </row>
    <row r="207" spans="1:39">
      <c r="A207" s="32" t="str">
        <f>_xlfn.XLOOKUP(B207,Input!J:J,Input!G:G)&amp;""</f>
        <v/>
      </c>
      <c r="B207" s="32"/>
      <c r="C207" s="32" t="str">
        <f>_xlfn.XLOOKUP(B207,Input!J:J,Input!H:H)&amp;""</f>
        <v/>
      </c>
      <c r="D207" s="42">
        <f>_xlfn.XLOOKUP(B207,Input!J:J,Input!F:F)</f>
        <v>0</v>
      </c>
      <c r="E207" s="32">
        <f>_xlfn.XLOOKUP(D207,Models!H:H,Models!G:G,D207)</f>
        <v>0</v>
      </c>
      <c r="F207" s="32">
        <f>_xlfn.XLOOKUP(B207,Input!J:J,Input!E:E)</f>
        <v>0</v>
      </c>
      <c r="G207" s="32">
        <f>IF(F207="LENOVO",_xlfn.XLOOKUP(B207,Input!J:J,Input!K:K),_xlfn.XLOOKUP(B207,Input!J:J,Input!L:L))</f>
        <v>0</v>
      </c>
      <c r="H207" s="32"/>
      <c r="I207" s="32"/>
      <c r="J207" s="32">
        <f>_xlfn.XLOOKUP(B207,CPU_Formula!A:A,CPU_Formula!I:I)</f>
        <v>0</v>
      </c>
      <c r="K207" s="42" t="e">
        <f>INDEX(Input!$D$2:$AC$500,
       MATCH(B207, Input!$J$2:$J$500, 0),
       MATCH("Total Memory", Input!$D$1:$AC$1, 0))</f>
        <v>#N/A</v>
      </c>
      <c r="L207" s="42" t="e">
        <f>INDEX(Input!$D$2:$AC$500,
       MATCH(B207, Input!$J$2:$J$500, 0),
       MATCH("Memory Type", Input!$D$1:$AC$1, 0))</f>
        <v>#N/A</v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e">
        <f t="shared" si="11"/>
        <v>#N/A</v>
      </c>
      <c r="O207" s="42" t="e">
        <f>INDEX(Input!$D$2:$AC$500,
       MATCH(B207, Input!$J$2:$J$500, 0),
       MATCH("Disk Interface Type", Input!$D$1:$AC$1, 0))</f>
        <v>#N/A</v>
      </c>
      <c r="P207" s="42" t="str" cm="1">
        <f t="array" ref="P207">IFERROR(_xlfn.TEXTJOIN(", ", TRUE, _xlfn._xlws.FILTER(
    INDEX(Input!$D$2:$AC$500,,MATCH("Disk Capacity",Input!$D$1:$AC$1,0)),
    Input!$J$2:$J$500=B207
)), "")</f>
        <v/>
      </c>
      <c r="Q207" s="32" t="e">
        <f t="shared" si="10"/>
        <v>#N/A</v>
      </c>
      <c r="R207" s="42" t="e">
        <f>_xlfn.LET(_xlpm.Result,INDEX(Input!$D$2:$AC$500,
       MATCH(B207, Input!$J$2:$J$500, 0),
       MATCH("Capacity", Input!$D$1:$AC$1, 0)),IF(_xlpm.Result="","",_xlpm.Result))</f>
        <v>#N/A</v>
      </c>
      <c r="S207" s="42" t="e" cm="1">
        <f t="array" ref="S207">_xlfn.TEXTSPLIT(R207," / ", ,TRUE,0,)</f>
        <v>#N/A</v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:AD207">IFERROR(IF(_xlfn.XLOOKUP(B207,Input!J:J,Input!N:U)=0,"",
          _xlfn.XLOOKUP(B207,Input!J:J,Input!N:U)),"")</f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42" t="str">
        <v/>
      </c>
      <c r="AE207" s="32" t="str">
        <f t="shared" si="9"/>
        <v/>
      </c>
      <c r="AF207" s="32" t="str">
        <f>_xlfn.XLOOKUP(B:B,Disk_Pivot!G:G,Disk_Pivot!I:I)</f>
        <v>Yes x2</v>
      </c>
      <c r="AG207" s="32" t="str">
        <f>_xlfn.XLOOKUP(B207,Disk_Pivot!G:G,Disk_Pivot!N:N)</f>
        <v>Pass, Fail</v>
      </c>
      <c r="AH207" s="32"/>
      <c r="AI207" s="32"/>
      <c r="AJ207" s="32"/>
      <c r="AK207" s="32"/>
      <c r="AL207" s="32"/>
      <c r="AM207" s="32"/>
    </row>
    <row r="208" spans="1:39">
      <c r="A208" s="32" t="str">
        <f>_xlfn.XLOOKUP(B208,Input!J:J,Input!G:G)&amp;""</f>
        <v/>
      </c>
      <c r="B208" s="32"/>
      <c r="C208" s="32" t="str">
        <f>_xlfn.XLOOKUP(B208,Input!J:J,Input!H:H)&amp;""</f>
        <v/>
      </c>
      <c r="D208" s="42">
        <f>_xlfn.XLOOKUP(B208,Input!J:J,Input!F:F)</f>
        <v>0</v>
      </c>
      <c r="E208" s="32">
        <f>_xlfn.XLOOKUP(D208,Models!H:H,Models!G:G,D208)</f>
        <v>0</v>
      </c>
      <c r="F208" s="32">
        <f>_xlfn.XLOOKUP(B208,Input!J:J,Input!E:E)</f>
        <v>0</v>
      </c>
      <c r="G208" s="32">
        <f>IF(F208="LENOVO",_xlfn.XLOOKUP(B208,Input!J:J,Input!K:K),_xlfn.XLOOKUP(B208,Input!J:J,Input!L:L))</f>
        <v>0</v>
      </c>
      <c r="H208" s="32"/>
      <c r="I208" s="32"/>
      <c r="J208" s="32">
        <f>_xlfn.XLOOKUP(B208,CPU_Formula!A:A,CPU_Formula!I:I)</f>
        <v>0</v>
      </c>
      <c r="K208" s="42" t="e">
        <f>INDEX(Input!$D$2:$AC$500,
       MATCH(B208, Input!$J$2:$J$500, 0),
       MATCH("Total Memory", Input!$D$1:$AC$1, 0))</f>
        <v>#N/A</v>
      </c>
      <c r="L208" s="42" t="e">
        <f>INDEX(Input!$D$2:$AC$500,
       MATCH(B208, Input!$J$2:$J$500, 0),
       MATCH("Memory Type", Input!$D$1:$AC$1, 0))</f>
        <v>#N/A</v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e">
        <f t="shared" si="11"/>
        <v>#N/A</v>
      </c>
      <c r="O208" s="42" t="e">
        <f>INDEX(Input!$D$2:$AC$500,
       MATCH(B208, Input!$J$2:$J$500, 0),
       MATCH("Disk Interface Type", Input!$D$1:$AC$1, 0))</f>
        <v>#N/A</v>
      </c>
      <c r="P208" s="42" t="str" cm="1">
        <f t="array" ref="P208">IFERROR(_xlfn.TEXTJOIN(", ", TRUE, _xlfn._xlws.FILTER(
    INDEX(Input!$D$2:$AC$500,,MATCH("Disk Capacity",Input!$D$1:$AC$1,0)),
    Input!$J$2:$J$500=B208
)), "")</f>
        <v/>
      </c>
      <c r="Q208" s="32" t="e">
        <f t="shared" si="10"/>
        <v>#N/A</v>
      </c>
      <c r="R208" s="42" t="e">
        <f>_xlfn.LET(_xlpm.Result,INDEX(Input!$D$2:$AC$500,
       MATCH(B208, Input!$J$2:$J$500, 0),
       MATCH("Capacity", Input!$D$1:$AC$1, 0)),IF(_xlpm.Result="","",_xlpm.Result))</f>
        <v>#N/A</v>
      </c>
      <c r="S208" s="42" t="e" cm="1">
        <f t="array" ref="S208">_xlfn.TEXTSPLIT(R208," / ", ,TRUE,0,)</f>
        <v>#N/A</v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:AD208">IFERROR(IF(_xlfn.XLOOKUP(B208,Input!J:J,Input!N:U)=0,"",
          _xlfn.XLOOKUP(B208,Input!J:J,Input!N:U)),"")</f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42" t="str">
        <v/>
      </c>
      <c r="AE208" s="32" t="str">
        <f t="shared" si="9"/>
        <v/>
      </c>
      <c r="AF208" s="32" t="str">
        <f>_xlfn.XLOOKUP(B:B,Disk_Pivot!G:G,Disk_Pivot!I:I)</f>
        <v>Yes x2</v>
      </c>
      <c r="AG208" s="32" t="str">
        <f>_xlfn.XLOOKUP(B208,Disk_Pivot!G:G,Disk_Pivot!N:N)</f>
        <v>Pass, Fail</v>
      </c>
      <c r="AH208" s="32"/>
      <c r="AI208" s="32"/>
      <c r="AJ208" s="32"/>
      <c r="AK208" s="32"/>
      <c r="AL208" s="32"/>
      <c r="AM208" s="32"/>
    </row>
    <row r="209" spans="1:39">
      <c r="A209" s="32" t="str">
        <f>_xlfn.XLOOKUP(B209,Input!J:J,Input!G:G)&amp;""</f>
        <v/>
      </c>
      <c r="B209" s="32"/>
      <c r="C209" s="32" t="str">
        <f>_xlfn.XLOOKUP(B209,Input!J:J,Input!H:H)&amp;""</f>
        <v/>
      </c>
      <c r="D209" s="42">
        <f>_xlfn.XLOOKUP(B209,Input!J:J,Input!F:F)</f>
        <v>0</v>
      </c>
      <c r="E209" s="32">
        <f>_xlfn.XLOOKUP(D209,Models!H:H,Models!G:G,D209)</f>
        <v>0</v>
      </c>
      <c r="F209" s="32">
        <f>_xlfn.XLOOKUP(B209,Input!J:J,Input!E:E)</f>
        <v>0</v>
      </c>
      <c r="G209" s="32">
        <f>IF(F209="LENOVO",_xlfn.XLOOKUP(B209,Input!J:J,Input!K:K),_xlfn.XLOOKUP(B209,Input!J:J,Input!L:L))</f>
        <v>0</v>
      </c>
      <c r="H209" s="32"/>
      <c r="I209" s="32"/>
      <c r="J209" s="32">
        <f>_xlfn.XLOOKUP(B209,CPU_Formula!A:A,CPU_Formula!I:I)</f>
        <v>0</v>
      </c>
      <c r="K209" s="42" t="e">
        <f>INDEX(Input!$D$2:$AC$500,
       MATCH(B209, Input!$J$2:$J$500, 0),
       MATCH("Total Memory", Input!$D$1:$AC$1, 0))</f>
        <v>#N/A</v>
      </c>
      <c r="L209" s="42" t="e">
        <f>INDEX(Input!$D$2:$AC$500,
       MATCH(B209, Input!$J$2:$J$500, 0),
       MATCH("Memory Type", Input!$D$1:$AC$1, 0))</f>
        <v>#N/A</v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e">
        <f t="shared" si="11"/>
        <v>#N/A</v>
      </c>
      <c r="O209" s="42" t="e">
        <f>INDEX(Input!$D$2:$AC$500,
       MATCH(B209, Input!$J$2:$J$500, 0),
       MATCH("Disk Interface Type", Input!$D$1:$AC$1, 0))</f>
        <v>#N/A</v>
      </c>
      <c r="P209" s="42" t="str" cm="1">
        <f t="array" ref="P209">IFERROR(_xlfn.TEXTJOIN(", ", TRUE, _xlfn._xlws.FILTER(
    INDEX(Input!$D$2:$AC$500,,MATCH("Disk Capacity",Input!$D$1:$AC$1,0)),
    Input!$J$2:$J$500=B209
)), "")</f>
        <v/>
      </c>
      <c r="Q209" s="32" t="e">
        <f t="shared" si="10"/>
        <v>#N/A</v>
      </c>
      <c r="R209" s="42" t="e">
        <f>_xlfn.LET(_xlpm.Result,INDEX(Input!$D$2:$AC$500,
       MATCH(B209, Input!$J$2:$J$500, 0),
       MATCH("Capacity", Input!$D$1:$AC$1, 0)),IF(_xlpm.Result="","",_xlpm.Result))</f>
        <v>#N/A</v>
      </c>
      <c r="S209" s="42" t="e" cm="1">
        <f t="array" ref="S209">_xlfn.TEXTSPLIT(R209," / ", ,TRUE,0,)</f>
        <v>#N/A</v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:AD209">IFERROR(IF(_xlfn.XLOOKUP(B209,Input!J:J,Input!N:U)=0,"",
          _xlfn.XLOOKUP(B209,Input!J:J,Input!N:U)),"")</f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42" t="str">
        <v/>
      </c>
      <c r="AE209" s="32" t="str">
        <f t="shared" si="9"/>
        <v/>
      </c>
      <c r="AF209" s="32" t="str">
        <f>_xlfn.XLOOKUP(B:B,Disk_Pivot!G:G,Disk_Pivot!I:I)</f>
        <v>Yes x2</v>
      </c>
      <c r="AG209" s="32" t="str">
        <f>_xlfn.XLOOKUP(B209,Disk_Pivot!G:G,Disk_Pivot!N:N)</f>
        <v>Pass, Fail</v>
      </c>
      <c r="AH209" s="32"/>
      <c r="AI209" s="32"/>
      <c r="AJ209" s="32"/>
      <c r="AK209" s="32"/>
      <c r="AL209" s="32"/>
      <c r="AM209" s="32"/>
    </row>
    <row r="210" spans="1:39">
      <c r="A210" s="32" t="str">
        <f>_xlfn.XLOOKUP(B210,Input!J:J,Input!G:G)&amp;""</f>
        <v/>
      </c>
      <c r="B210" s="32"/>
      <c r="C210" s="32" t="str">
        <f>_xlfn.XLOOKUP(B210,Input!J:J,Input!H:H)&amp;""</f>
        <v/>
      </c>
      <c r="D210" s="42">
        <f>_xlfn.XLOOKUP(B210,Input!J:J,Input!F:F)</f>
        <v>0</v>
      </c>
      <c r="E210" s="32">
        <f>_xlfn.XLOOKUP(D210,Models!H:H,Models!G:G,D210)</f>
        <v>0</v>
      </c>
      <c r="F210" s="32">
        <f>_xlfn.XLOOKUP(B210,Input!J:J,Input!E:E)</f>
        <v>0</v>
      </c>
      <c r="G210" s="32">
        <f>IF(F210="LENOVO",_xlfn.XLOOKUP(B210,Input!J:J,Input!K:K),_xlfn.XLOOKUP(B210,Input!J:J,Input!L:L))</f>
        <v>0</v>
      </c>
      <c r="H210" s="32"/>
      <c r="I210" s="32"/>
      <c r="J210" s="32">
        <f>_xlfn.XLOOKUP(B210,CPU_Formula!A:A,CPU_Formula!I:I)</f>
        <v>0</v>
      </c>
      <c r="K210" s="42" t="e">
        <f>INDEX(Input!$D$2:$AC$500,
       MATCH(B210, Input!$J$2:$J$500, 0),
       MATCH("Total Memory", Input!$D$1:$AC$1, 0))</f>
        <v>#N/A</v>
      </c>
      <c r="L210" s="42" t="e">
        <f>INDEX(Input!$D$2:$AC$500,
       MATCH(B210, Input!$J$2:$J$500, 0),
       MATCH("Memory Type", Input!$D$1:$AC$1, 0))</f>
        <v>#N/A</v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e">
        <f t="shared" si="11"/>
        <v>#N/A</v>
      </c>
      <c r="O210" s="42" t="e">
        <f>INDEX(Input!$D$2:$AC$500,
       MATCH(B210, Input!$J$2:$J$500, 0),
       MATCH("Disk Interface Type", Input!$D$1:$AC$1, 0))</f>
        <v>#N/A</v>
      </c>
      <c r="P210" s="42" t="str" cm="1">
        <f t="array" ref="P210">IFERROR(_xlfn.TEXTJOIN(", ", TRUE, _xlfn._xlws.FILTER(
    INDEX(Input!$D$2:$AC$500,,MATCH("Disk Capacity",Input!$D$1:$AC$1,0)),
    Input!$J$2:$J$500=B210
)), "")</f>
        <v/>
      </c>
      <c r="Q210" s="32" t="e">
        <f t="shared" si="10"/>
        <v>#N/A</v>
      </c>
      <c r="R210" s="42" t="e">
        <f>_xlfn.LET(_xlpm.Result,INDEX(Input!$D$2:$AC$500,
       MATCH(B210, Input!$J$2:$J$500, 0),
       MATCH("Capacity", Input!$D$1:$AC$1, 0)),IF(_xlpm.Result="","",_xlpm.Result))</f>
        <v>#N/A</v>
      </c>
      <c r="S210" s="42" t="e" cm="1">
        <f t="array" ref="S210">_xlfn.TEXTSPLIT(R210," / ", ,TRUE,0,)</f>
        <v>#N/A</v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:AD210">IFERROR(IF(_xlfn.XLOOKUP(B210,Input!J:J,Input!N:U)=0,"",
          _xlfn.XLOOKUP(B210,Input!J:J,Input!N:U)),"")</f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42" t="str">
        <v/>
      </c>
      <c r="AE210" s="32" t="str">
        <f t="shared" si="9"/>
        <v/>
      </c>
      <c r="AF210" s="32" t="str">
        <f>_xlfn.XLOOKUP(B:B,Disk_Pivot!G:G,Disk_Pivot!I:I)</f>
        <v>Yes x2</v>
      </c>
      <c r="AG210" s="32" t="str">
        <f>_xlfn.XLOOKUP(B210,Disk_Pivot!G:G,Disk_Pivot!N:N)</f>
        <v>Pass, Fail</v>
      </c>
      <c r="AH210" s="32"/>
      <c r="AI210" s="32"/>
      <c r="AJ210" s="32"/>
      <c r="AK210" s="32"/>
      <c r="AL210" s="32"/>
      <c r="AM210" s="32"/>
    </row>
    <row r="211" spans="1:39">
      <c r="A211" s="32" t="str">
        <f>_xlfn.XLOOKUP(B211,Input!J:J,Input!G:G)&amp;""</f>
        <v/>
      </c>
      <c r="B211" s="32"/>
      <c r="C211" s="32" t="str">
        <f>_xlfn.XLOOKUP(B211,Input!J:J,Input!H:H)&amp;""</f>
        <v/>
      </c>
      <c r="D211" s="42">
        <f>_xlfn.XLOOKUP(B211,Input!J:J,Input!F:F)</f>
        <v>0</v>
      </c>
      <c r="E211" s="32">
        <f>_xlfn.XLOOKUP(D211,Models!H:H,Models!G:G,D211)</f>
        <v>0</v>
      </c>
      <c r="F211" s="32">
        <f>_xlfn.XLOOKUP(B211,Input!J:J,Input!E:E)</f>
        <v>0</v>
      </c>
      <c r="G211" s="32">
        <f>IF(F211="LENOVO",_xlfn.XLOOKUP(B211,Input!J:J,Input!K:K),_xlfn.XLOOKUP(B211,Input!J:J,Input!L:L))</f>
        <v>0</v>
      </c>
      <c r="H211" s="32"/>
      <c r="I211" s="32"/>
      <c r="J211" s="32">
        <f>_xlfn.XLOOKUP(B211,CPU_Formula!A:A,CPU_Formula!I:I)</f>
        <v>0</v>
      </c>
      <c r="K211" s="42" t="e">
        <f>INDEX(Input!$D$2:$AC$500,
       MATCH(B211, Input!$J$2:$J$500, 0),
       MATCH("Total Memory", Input!$D$1:$AC$1, 0))</f>
        <v>#N/A</v>
      </c>
      <c r="L211" s="42" t="e">
        <f>INDEX(Input!$D$2:$AC$500,
       MATCH(B211, Input!$J$2:$J$500, 0),
       MATCH("Memory Type", Input!$D$1:$AC$1, 0))</f>
        <v>#N/A</v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e">
        <f t="shared" si="11"/>
        <v>#N/A</v>
      </c>
      <c r="O211" s="42" t="e">
        <f>INDEX(Input!$D$2:$AC$500,
       MATCH(B211, Input!$J$2:$J$500, 0),
       MATCH("Disk Interface Type", Input!$D$1:$AC$1, 0))</f>
        <v>#N/A</v>
      </c>
      <c r="P211" s="42" t="str" cm="1">
        <f t="array" ref="P211">IFERROR(_xlfn.TEXTJOIN(", ", TRUE, _xlfn._xlws.FILTER(
    INDEX(Input!$D$2:$AC$500,,MATCH("Disk Capacity",Input!$D$1:$AC$1,0)),
    Input!$J$2:$J$500=B211
)), "")</f>
        <v/>
      </c>
      <c r="Q211" s="32" t="e">
        <f t="shared" si="10"/>
        <v>#N/A</v>
      </c>
      <c r="R211" s="42" t="e">
        <f>_xlfn.LET(_xlpm.Result,INDEX(Input!$D$2:$AC$500,
       MATCH(B211, Input!$J$2:$J$500, 0),
       MATCH("Capacity", Input!$D$1:$AC$1, 0)),IF(_xlpm.Result="","",_xlpm.Result))</f>
        <v>#N/A</v>
      </c>
      <c r="S211" s="42" t="e" cm="1">
        <f t="array" ref="S211">_xlfn.TEXTSPLIT(R211," / ", ,TRUE,0,)</f>
        <v>#N/A</v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:AD211">IFERROR(IF(_xlfn.XLOOKUP(B211,Input!J:J,Input!N:U)=0,"",
          _xlfn.XLOOKUP(B211,Input!J:J,Input!N:U)),"")</f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42" t="str">
        <v/>
      </c>
      <c r="AE211" s="32" t="str">
        <f t="shared" si="9"/>
        <v/>
      </c>
      <c r="AF211" s="32" t="str">
        <f>_xlfn.XLOOKUP(B:B,Disk_Pivot!G:G,Disk_Pivot!I:I)</f>
        <v>Yes x2</v>
      </c>
      <c r="AG211" s="32" t="str">
        <f>_xlfn.XLOOKUP(B211,Disk_Pivot!G:G,Disk_Pivot!N:N)</f>
        <v>Pass, Fail</v>
      </c>
      <c r="AH211" s="32"/>
      <c r="AI211" s="32"/>
      <c r="AJ211" s="32"/>
      <c r="AK211" s="32"/>
      <c r="AL211" s="32"/>
      <c r="AM211" s="32"/>
    </row>
    <row r="212" spans="1:39">
      <c r="A212" s="32" t="str">
        <f>_xlfn.XLOOKUP(B212,Input!J:J,Input!G:G)&amp;""</f>
        <v/>
      </c>
      <c r="B212" s="32"/>
      <c r="C212" s="32" t="str">
        <f>_xlfn.XLOOKUP(B212,Input!J:J,Input!H:H)&amp;""</f>
        <v/>
      </c>
      <c r="D212" s="42">
        <f>_xlfn.XLOOKUP(B212,Input!J:J,Input!F:F)</f>
        <v>0</v>
      </c>
      <c r="E212" s="32">
        <f>_xlfn.XLOOKUP(D212,Models!H:H,Models!G:G,D212)</f>
        <v>0</v>
      </c>
      <c r="F212" s="32">
        <f>_xlfn.XLOOKUP(B212,Input!J:J,Input!E:E)</f>
        <v>0</v>
      </c>
      <c r="G212" s="32">
        <f>IF(F212="LENOVO",_xlfn.XLOOKUP(B212,Input!J:J,Input!K:K),_xlfn.XLOOKUP(B212,Input!J:J,Input!L:L))</f>
        <v>0</v>
      </c>
      <c r="H212" s="32"/>
      <c r="I212" s="32"/>
      <c r="J212" s="32">
        <f>_xlfn.XLOOKUP(B212,CPU_Formula!A:A,CPU_Formula!I:I)</f>
        <v>0</v>
      </c>
      <c r="K212" s="42" t="e">
        <f>INDEX(Input!$D$2:$AC$500,
       MATCH(B212, Input!$J$2:$J$500, 0),
       MATCH("Total Memory", Input!$D$1:$AC$1, 0))</f>
        <v>#N/A</v>
      </c>
      <c r="L212" s="42" t="e">
        <f>INDEX(Input!$D$2:$AC$500,
       MATCH(B212, Input!$J$2:$J$500, 0),
       MATCH("Memory Type", Input!$D$1:$AC$1, 0))</f>
        <v>#N/A</v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e">
        <f t="shared" si="11"/>
        <v>#N/A</v>
      </c>
      <c r="O212" s="42" t="e">
        <f>INDEX(Input!$D$2:$AC$500,
       MATCH(B212, Input!$J$2:$J$500, 0),
       MATCH("Disk Interface Type", Input!$D$1:$AC$1, 0))</f>
        <v>#N/A</v>
      </c>
      <c r="P212" s="42" t="str" cm="1">
        <f t="array" ref="P212">IFERROR(_xlfn.TEXTJOIN(", ", TRUE, _xlfn._xlws.FILTER(
    INDEX(Input!$D$2:$AC$500,,MATCH("Disk Capacity",Input!$D$1:$AC$1,0)),
    Input!$J$2:$J$500=B212
)), "")</f>
        <v/>
      </c>
      <c r="Q212" s="32" t="e">
        <f t="shared" si="10"/>
        <v>#N/A</v>
      </c>
      <c r="R212" s="42" t="e">
        <f>_xlfn.LET(_xlpm.Result,INDEX(Input!$D$2:$AC$500,
       MATCH(B212, Input!$J$2:$J$500, 0),
       MATCH("Capacity", Input!$D$1:$AC$1, 0)),IF(_xlpm.Result="","",_xlpm.Result))</f>
        <v>#N/A</v>
      </c>
      <c r="S212" s="42" t="e" cm="1">
        <f t="array" ref="S212">_xlfn.TEXTSPLIT(R212," / ", ,TRUE,0,)</f>
        <v>#N/A</v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:AD212">IFERROR(IF(_xlfn.XLOOKUP(B212,Input!J:J,Input!N:U)=0,"",
          _xlfn.XLOOKUP(B212,Input!J:J,Input!N:U)),"")</f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42" t="str">
        <v/>
      </c>
      <c r="AE212" s="32" t="str">
        <f t="shared" si="9"/>
        <v/>
      </c>
      <c r="AF212" s="32" t="str">
        <f>_xlfn.XLOOKUP(B:B,Disk_Pivot!G:G,Disk_Pivot!I:I)</f>
        <v>Yes x2</v>
      </c>
      <c r="AG212" s="32" t="str">
        <f>_xlfn.XLOOKUP(B212,Disk_Pivot!G:G,Disk_Pivot!N:N)</f>
        <v>Pass, Fail</v>
      </c>
      <c r="AH212" s="32"/>
      <c r="AI212" s="32"/>
      <c r="AJ212" s="32"/>
      <c r="AK212" s="32"/>
      <c r="AL212" s="32"/>
      <c r="AM212" s="32"/>
    </row>
    <row r="213" spans="1:39">
      <c r="A213" s="32" t="str">
        <f>_xlfn.XLOOKUP(B213,Input!J:J,Input!G:G)&amp;""</f>
        <v/>
      </c>
      <c r="B213" s="32"/>
      <c r="C213" s="32" t="str">
        <f>_xlfn.XLOOKUP(B213,Input!J:J,Input!H:H)&amp;""</f>
        <v/>
      </c>
      <c r="D213" s="42">
        <f>_xlfn.XLOOKUP(B213,Input!J:J,Input!F:F)</f>
        <v>0</v>
      </c>
      <c r="E213" s="32">
        <f>_xlfn.XLOOKUP(D213,Models!H:H,Models!G:G,D213)</f>
        <v>0</v>
      </c>
      <c r="F213" s="32">
        <f>_xlfn.XLOOKUP(B213,Input!J:J,Input!E:E)</f>
        <v>0</v>
      </c>
      <c r="G213" s="32">
        <f>IF(F213="LENOVO",_xlfn.XLOOKUP(B213,Input!J:J,Input!K:K),_xlfn.XLOOKUP(B213,Input!J:J,Input!L:L))</f>
        <v>0</v>
      </c>
      <c r="H213" s="32"/>
      <c r="I213" s="32"/>
      <c r="J213" s="32">
        <f>_xlfn.XLOOKUP(B213,CPU_Formula!A:A,CPU_Formula!I:I)</f>
        <v>0</v>
      </c>
      <c r="K213" s="42" t="e">
        <f>INDEX(Input!$D$2:$AC$500,
       MATCH(B213, Input!$J$2:$J$500, 0),
       MATCH("Total Memory", Input!$D$1:$AC$1, 0))</f>
        <v>#N/A</v>
      </c>
      <c r="L213" s="42" t="e">
        <f>INDEX(Input!$D$2:$AC$500,
       MATCH(B213, Input!$J$2:$J$500, 0),
       MATCH("Memory Type", Input!$D$1:$AC$1, 0))</f>
        <v>#N/A</v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e">
        <f t="shared" si="11"/>
        <v>#N/A</v>
      </c>
      <c r="O213" s="42" t="e">
        <f>INDEX(Input!$D$2:$AC$500,
       MATCH(B213, Input!$J$2:$J$500, 0),
       MATCH("Disk Interface Type", Input!$D$1:$AC$1, 0))</f>
        <v>#N/A</v>
      </c>
      <c r="P213" s="42" t="str" cm="1">
        <f t="array" ref="P213">IFERROR(_xlfn.TEXTJOIN(", ", TRUE, _xlfn._xlws.FILTER(
    INDEX(Input!$D$2:$AC$500,,MATCH("Disk Capacity",Input!$D$1:$AC$1,0)),
    Input!$J$2:$J$500=B213
)), "")</f>
        <v/>
      </c>
      <c r="Q213" s="32" t="e">
        <f t="shared" si="10"/>
        <v>#N/A</v>
      </c>
      <c r="R213" s="42" t="e">
        <f>_xlfn.LET(_xlpm.Result,INDEX(Input!$D$2:$AC$500,
       MATCH(B213, Input!$J$2:$J$500, 0),
       MATCH("Capacity", Input!$D$1:$AC$1, 0)),IF(_xlpm.Result="","",_xlpm.Result))</f>
        <v>#N/A</v>
      </c>
      <c r="S213" s="42" t="e" cm="1">
        <f t="array" ref="S213">_xlfn.TEXTSPLIT(R213," / ", ,TRUE,0,)</f>
        <v>#N/A</v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:AD213">IFERROR(IF(_xlfn.XLOOKUP(B213,Input!J:J,Input!N:U)=0,"",
          _xlfn.XLOOKUP(B213,Input!J:J,Input!N:U)),"")</f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42" t="str">
        <v/>
      </c>
      <c r="AE213" s="32" t="str">
        <f t="shared" si="9"/>
        <v/>
      </c>
      <c r="AF213" s="32" t="str">
        <f>_xlfn.XLOOKUP(B:B,Disk_Pivot!G:G,Disk_Pivot!I:I)</f>
        <v>Yes x2</v>
      </c>
      <c r="AG213" s="32" t="str">
        <f>_xlfn.XLOOKUP(B213,Disk_Pivot!G:G,Disk_Pivot!N:N)</f>
        <v>Pass, Fail</v>
      </c>
      <c r="AH213" s="32"/>
      <c r="AI213" s="32"/>
      <c r="AJ213" s="32"/>
      <c r="AK213" s="32"/>
      <c r="AL213" s="32"/>
      <c r="AM213" s="32"/>
    </row>
    <row r="214" spans="1:39">
      <c r="A214" s="32" t="str">
        <f>_xlfn.XLOOKUP(B214,Input!J:J,Input!G:G)&amp;""</f>
        <v/>
      </c>
      <c r="B214" s="32"/>
      <c r="C214" s="32" t="str">
        <f>_xlfn.XLOOKUP(B214,Input!J:J,Input!H:H)&amp;""</f>
        <v/>
      </c>
      <c r="D214" s="42">
        <f>_xlfn.XLOOKUP(B214,Input!J:J,Input!F:F)</f>
        <v>0</v>
      </c>
      <c r="E214" s="32">
        <f>_xlfn.XLOOKUP(D214,Models!H:H,Models!G:G,D214)</f>
        <v>0</v>
      </c>
      <c r="F214" s="32">
        <f>_xlfn.XLOOKUP(B214,Input!J:J,Input!E:E)</f>
        <v>0</v>
      </c>
      <c r="G214" s="32">
        <f>IF(F214="LENOVO",_xlfn.XLOOKUP(B214,Input!J:J,Input!K:K),_xlfn.XLOOKUP(B214,Input!J:J,Input!L:L))</f>
        <v>0</v>
      </c>
      <c r="H214" s="32"/>
      <c r="I214" s="32"/>
      <c r="J214" s="32">
        <f>_xlfn.XLOOKUP(B214,CPU_Formula!A:A,CPU_Formula!I:I)</f>
        <v>0</v>
      </c>
      <c r="K214" s="42" t="e">
        <f>INDEX(Input!$D$2:$AC$500,
       MATCH(B214, Input!$J$2:$J$500, 0),
       MATCH("Total Memory", Input!$D$1:$AC$1, 0))</f>
        <v>#N/A</v>
      </c>
      <c r="L214" s="42" t="e">
        <f>INDEX(Input!$D$2:$AC$500,
       MATCH(B214, Input!$J$2:$J$500, 0),
       MATCH("Memory Type", Input!$D$1:$AC$1, 0))</f>
        <v>#N/A</v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e">
        <f t="shared" si="11"/>
        <v>#N/A</v>
      </c>
      <c r="O214" s="42" t="e">
        <f>INDEX(Input!$D$2:$AC$500,
       MATCH(B214, Input!$J$2:$J$500, 0),
       MATCH("Disk Interface Type", Input!$D$1:$AC$1, 0))</f>
        <v>#N/A</v>
      </c>
      <c r="P214" s="42" t="str" cm="1">
        <f t="array" ref="P214">IFERROR(_xlfn.TEXTJOIN(", ", TRUE, _xlfn._xlws.FILTER(
    INDEX(Input!$D$2:$AC$500,,MATCH("Disk Capacity",Input!$D$1:$AC$1,0)),
    Input!$J$2:$J$500=B214
)), "")</f>
        <v/>
      </c>
      <c r="Q214" s="32" t="e">
        <f t="shared" si="10"/>
        <v>#N/A</v>
      </c>
      <c r="R214" s="42" t="e">
        <f>_xlfn.LET(_xlpm.Result,INDEX(Input!$D$2:$AC$500,
       MATCH(B214, Input!$J$2:$J$500, 0),
       MATCH("Capacity", Input!$D$1:$AC$1, 0)),IF(_xlpm.Result="","",_xlpm.Result))</f>
        <v>#N/A</v>
      </c>
      <c r="S214" s="42" t="e" cm="1">
        <f t="array" ref="S214">_xlfn.TEXTSPLIT(R214," / ", ,TRUE,0,)</f>
        <v>#N/A</v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:AD214">IFERROR(IF(_xlfn.XLOOKUP(B214,Input!J:J,Input!N:U)=0,"",
          _xlfn.XLOOKUP(B214,Input!J:J,Input!N:U)),"")</f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42" t="str">
        <v/>
      </c>
      <c r="AE214" s="32" t="str">
        <f t="shared" si="9"/>
        <v/>
      </c>
      <c r="AF214" s="32" t="str">
        <f>_xlfn.XLOOKUP(B:B,Disk_Pivot!G:G,Disk_Pivot!I:I)</f>
        <v>Yes x2</v>
      </c>
      <c r="AG214" s="32" t="str">
        <f>_xlfn.XLOOKUP(B214,Disk_Pivot!G:G,Disk_Pivot!N:N)</f>
        <v>Pass, Fail</v>
      </c>
      <c r="AH214" s="32"/>
      <c r="AI214" s="32"/>
      <c r="AJ214" s="32"/>
      <c r="AK214" s="32"/>
      <c r="AL214" s="32"/>
      <c r="AM214" s="32"/>
    </row>
    <row r="215" spans="1:39">
      <c r="A215" s="32" t="str">
        <f>_xlfn.XLOOKUP(B215,Input!J:J,Input!G:G)&amp;""</f>
        <v/>
      </c>
      <c r="B215" s="32"/>
      <c r="C215" s="32" t="str">
        <f>_xlfn.XLOOKUP(B215,Input!J:J,Input!H:H)&amp;""</f>
        <v/>
      </c>
      <c r="D215" s="42">
        <f>_xlfn.XLOOKUP(B215,Input!J:J,Input!F:F)</f>
        <v>0</v>
      </c>
      <c r="E215" s="32">
        <f>_xlfn.XLOOKUP(D215,Models!H:H,Models!G:G,D215)</f>
        <v>0</v>
      </c>
      <c r="F215" s="32">
        <f>_xlfn.XLOOKUP(B215,Input!J:J,Input!E:E)</f>
        <v>0</v>
      </c>
      <c r="G215" s="32">
        <f>IF(F215="LENOVO",_xlfn.XLOOKUP(B215,Input!J:J,Input!K:K),_xlfn.XLOOKUP(B215,Input!J:J,Input!L:L))</f>
        <v>0</v>
      </c>
      <c r="H215" s="32"/>
      <c r="I215" s="32"/>
      <c r="J215" s="32">
        <f>_xlfn.XLOOKUP(B215,CPU_Formula!A:A,CPU_Formula!I:I)</f>
        <v>0</v>
      </c>
      <c r="K215" s="42" t="e">
        <f>INDEX(Input!$D$2:$AC$500,
       MATCH(B215, Input!$J$2:$J$500, 0),
       MATCH("Total Memory", Input!$D$1:$AC$1, 0))</f>
        <v>#N/A</v>
      </c>
      <c r="L215" s="42" t="e">
        <f>INDEX(Input!$D$2:$AC$500,
       MATCH(B215, Input!$J$2:$J$500, 0),
       MATCH("Memory Type", Input!$D$1:$AC$1, 0))</f>
        <v>#N/A</v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e">
        <f t="shared" si="11"/>
        <v>#N/A</v>
      </c>
      <c r="O215" s="42" t="e">
        <f>INDEX(Input!$D$2:$AC$500,
       MATCH(B215, Input!$J$2:$J$500, 0),
       MATCH("Disk Interface Type", Input!$D$1:$AC$1, 0))</f>
        <v>#N/A</v>
      </c>
      <c r="P215" s="42" t="str" cm="1">
        <f t="array" ref="P215">IFERROR(_xlfn.TEXTJOIN(", ", TRUE, _xlfn._xlws.FILTER(
    INDEX(Input!$D$2:$AC$500,,MATCH("Disk Capacity",Input!$D$1:$AC$1,0)),
    Input!$J$2:$J$500=B215
)), "")</f>
        <v/>
      </c>
      <c r="Q215" s="32" t="e">
        <f t="shared" si="10"/>
        <v>#N/A</v>
      </c>
      <c r="R215" s="42" t="e">
        <f>_xlfn.LET(_xlpm.Result,INDEX(Input!$D$2:$AC$500,
       MATCH(B215, Input!$J$2:$J$500, 0),
       MATCH("Capacity", Input!$D$1:$AC$1, 0)),IF(_xlpm.Result="","",_xlpm.Result))</f>
        <v>#N/A</v>
      </c>
      <c r="S215" s="42" t="e" cm="1">
        <f t="array" ref="S215">_xlfn.TEXTSPLIT(R215," / ", ,TRUE,0,)</f>
        <v>#N/A</v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:AD215">IFERROR(IF(_xlfn.XLOOKUP(B215,Input!J:J,Input!N:U)=0,"",
          _xlfn.XLOOKUP(B215,Input!J:J,Input!N:U)),"")</f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42" t="str">
        <v/>
      </c>
      <c r="AE215" s="32" t="str">
        <f t="shared" si="9"/>
        <v/>
      </c>
      <c r="AF215" s="32" t="str">
        <f>_xlfn.XLOOKUP(B:B,Disk_Pivot!G:G,Disk_Pivot!I:I)</f>
        <v>Yes x2</v>
      </c>
      <c r="AG215" s="32" t="str">
        <f>_xlfn.XLOOKUP(B215,Disk_Pivot!G:G,Disk_Pivot!N:N)</f>
        <v>Pass, Fail</v>
      </c>
      <c r="AH215" s="32"/>
      <c r="AI215" s="32"/>
      <c r="AJ215" s="32"/>
      <c r="AK215" s="32"/>
      <c r="AL215" s="32"/>
      <c r="AM215" s="32"/>
    </row>
    <row r="216" spans="1:39">
      <c r="A216" s="32" t="str">
        <f>_xlfn.XLOOKUP(B216,Input!J:J,Input!G:G)&amp;""</f>
        <v/>
      </c>
      <c r="B216" s="32"/>
      <c r="C216" s="32" t="str">
        <f>_xlfn.XLOOKUP(B216,Input!J:J,Input!H:H)&amp;""</f>
        <v/>
      </c>
      <c r="D216" s="42">
        <f>_xlfn.XLOOKUP(B216,Input!J:J,Input!F:F)</f>
        <v>0</v>
      </c>
      <c r="E216" s="32">
        <f>_xlfn.XLOOKUP(D216,Models!H:H,Models!G:G,D216)</f>
        <v>0</v>
      </c>
      <c r="F216" s="32">
        <f>_xlfn.XLOOKUP(B216,Input!J:J,Input!E:E)</f>
        <v>0</v>
      </c>
      <c r="G216" s="32">
        <f>IF(F216="LENOVO",_xlfn.XLOOKUP(B216,Input!J:J,Input!K:K),_xlfn.XLOOKUP(B216,Input!J:J,Input!L:L))</f>
        <v>0</v>
      </c>
      <c r="H216" s="32"/>
      <c r="I216" s="32"/>
      <c r="J216" s="32">
        <f>_xlfn.XLOOKUP(B216,CPU_Formula!A:A,CPU_Formula!I:I)</f>
        <v>0</v>
      </c>
      <c r="K216" s="42" t="e">
        <f>INDEX(Input!$D$2:$AC$500,
       MATCH(B216, Input!$J$2:$J$500, 0),
       MATCH("Total Memory", Input!$D$1:$AC$1, 0))</f>
        <v>#N/A</v>
      </c>
      <c r="L216" s="42" t="e">
        <f>INDEX(Input!$D$2:$AC$500,
       MATCH(B216, Input!$J$2:$J$500, 0),
       MATCH("Memory Type", Input!$D$1:$AC$1, 0))</f>
        <v>#N/A</v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e">
        <f t="shared" si="11"/>
        <v>#N/A</v>
      </c>
      <c r="O216" s="42" t="e">
        <f>INDEX(Input!$D$2:$AC$500,
       MATCH(B216, Input!$J$2:$J$500, 0),
       MATCH("Disk Interface Type", Input!$D$1:$AC$1, 0))</f>
        <v>#N/A</v>
      </c>
      <c r="P216" s="42" t="str" cm="1">
        <f t="array" ref="P216">IFERROR(_xlfn.TEXTJOIN(", ", TRUE, _xlfn._xlws.FILTER(
    INDEX(Input!$D$2:$AC$500,,MATCH("Disk Capacity",Input!$D$1:$AC$1,0)),
    Input!$J$2:$J$500=B216
)), "")</f>
        <v/>
      </c>
      <c r="Q216" s="32" t="e">
        <f t="shared" si="10"/>
        <v>#N/A</v>
      </c>
      <c r="R216" s="42" t="e">
        <f>_xlfn.LET(_xlpm.Result,INDEX(Input!$D$2:$AC$500,
       MATCH(B216, Input!$J$2:$J$500, 0),
       MATCH("Capacity", Input!$D$1:$AC$1, 0)),IF(_xlpm.Result="","",_xlpm.Result))</f>
        <v>#N/A</v>
      </c>
      <c r="S216" s="42" t="e" cm="1">
        <f t="array" ref="S216">_xlfn.TEXTSPLIT(R216," / ", ,TRUE,0,)</f>
        <v>#N/A</v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:AD216">IFERROR(IF(_xlfn.XLOOKUP(B216,Input!J:J,Input!N:U)=0,"",
          _xlfn.XLOOKUP(B216,Input!J:J,Input!N:U)),"")</f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42" t="str">
        <v/>
      </c>
      <c r="AE216" s="32" t="str">
        <f t="shared" si="9"/>
        <v/>
      </c>
      <c r="AF216" s="32" t="str">
        <f>_xlfn.XLOOKUP(B:B,Disk_Pivot!G:G,Disk_Pivot!I:I)</f>
        <v>Yes x2</v>
      </c>
      <c r="AG216" s="32" t="str">
        <f>_xlfn.XLOOKUP(B216,Disk_Pivot!G:G,Disk_Pivot!N:N)</f>
        <v>Pass, Fail</v>
      </c>
      <c r="AH216" s="32"/>
      <c r="AI216" s="32"/>
      <c r="AJ216" s="32"/>
      <c r="AK216" s="32"/>
      <c r="AL216" s="32"/>
      <c r="AM216" s="32"/>
    </row>
    <row r="217" spans="1:39">
      <c r="A217" s="32" t="str">
        <f>_xlfn.XLOOKUP(B217,Input!J:J,Input!G:G)&amp;""</f>
        <v/>
      </c>
      <c r="B217" s="32"/>
      <c r="C217" s="32" t="str">
        <f>_xlfn.XLOOKUP(B217,Input!J:J,Input!H:H)&amp;""</f>
        <v/>
      </c>
      <c r="D217" s="42">
        <f>_xlfn.XLOOKUP(B217,Input!J:J,Input!F:F)</f>
        <v>0</v>
      </c>
      <c r="E217" s="32">
        <f>_xlfn.XLOOKUP(D217,Models!H:H,Models!G:G,D217)</f>
        <v>0</v>
      </c>
      <c r="F217" s="32">
        <f>_xlfn.XLOOKUP(B217,Input!J:J,Input!E:E)</f>
        <v>0</v>
      </c>
      <c r="G217" s="32">
        <f>IF(F217="LENOVO",_xlfn.XLOOKUP(B217,Input!J:J,Input!K:K),_xlfn.XLOOKUP(B217,Input!J:J,Input!L:L))</f>
        <v>0</v>
      </c>
      <c r="H217" s="32"/>
      <c r="I217" s="32"/>
      <c r="J217" s="32">
        <f>_xlfn.XLOOKUP(B217,CPU_Formula!A:A,CPU_Formula!I:I)</f>
        <v>0</v>
      </c>
      <c r="K217" s="42" t="e">
        <f>INDEX(Input!$D$2:$AC$500,
       MATCH(B217, Input!$J$2:$J$500, 0),
       MATCH("Total Memory", Input!$D$1:$AC$1, 0))</f>
        <v>#N/A</v>
      </c>
      <c r="L217" s="42" t="e">
        <f>INDEX(Input!$D$2:$AC$500,
       MATCH(B217, Input!$J$2:$J$500, 0),
       MATCH("Memory Type", Input!$D$1:$AC$1, 0))</f>
        <v>#N/A</v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e">
        <f t="shared" si="11"/>
        <v>#N/A</v>
      </c>
      <c r="O217" s="42" t="e">
        <f>INDEX(Input!$D$2:$AC$500,
       MATCH(B217, Input!$J$2:$J$500, 0),
       MATCH("Disk Interface Type", Input!$D$1:$AC$1, 0))</f>
        <v>#N/A</v>
      </c>
      <c r="P217" s="42" t="str" cm="1">
        <f t="array" ref="P217">IFERROR(_xlfn.TEXTJOIN(", ", TRUE, _xlfn._xlws.FILTER(
    INDEX(Input!$D$2:$AC$500,,MATCH("Disk Capacity",Input!$D$1:$AC$1,0)),
    Input!$J$2:$J$500=B217
)), "")</f>
        <v/>
      </c>
      <c r="Q217" s="32" t="e">
        <f t="shared" si="10"/>
        <v>#N/A</v>
      </c>
      <c r="R217" s="42" t="e">
        <f>_xlfn.LET(_xlpm.Result,INDEX(Input!$D$2:$AC$500,
       MATCH(B217, Input!$J$2:$J$500, 0),
       MATCH("Capacity", Input!$D$1:$AC$1, 0)),IF(_xlpm.Result="","",_xlpm.Result))</f>
        <v>#N/A</v>
      </c>
      <c r="S217" s="42" t="e" cm="1">
        <f t="array" ref="S217">_xlfn.TEXTSPLIT(R217," / ", ,TRUE,0,)</f>
        <v>#N/A</v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:AD217">IFERROR(IF(_xlfn.XLOOKUP(B217,Input!J:J,Input!N:U)=0,"",
          _xlfn.XLOOKUP(B217,Input!J:J,Input!N:U)),"")</f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42" t="str">
        <v/>
      </c>
      <c r="AE217" s="32" t="str">
        <f t="shared" si="9"/>
        <v/>
      </c>
      <c r="AF217" s="32" t="str">
        <f>_xlfn.XLOOKUP(B:B,Disk_Pivot!G:G,Disk_Pivot!I:I)</f>
        <v>Yes x2</v>
      </c>
      <c r="AG217" s="32" t="str">
        <f>_xlfn.XLOOKUP(B217,Disk_Pivot!G:G,Disk_Pivot!N:N)</f>
        <v>Pass, Fail</v>
      </c>
      <c r="AH217" s="32"/>
      <c r="AI217" s="32"/>
      <c r="AJ217" s="32"/>
      <c r="AK217" s="32"/>
      <c r="AL217" s="32"/>
      <c r="AM217" s="32"/>
    </row>
    <row r="218" spans="1:39">
      <c r="A218" s="32" t="str">
        <f>_xlfn.XLOOKUP(B218,Input!J:J,Input!G:G)&amp;""</f>
        <v/>
      </c>
      <c r="B218" s="32"/>
      <c r="C218" s="32" t="str">
        <f>_xlfn.XLOOKUP(B218,Input!J:J,Input!H:H)&amp;""</f>
        <v/>
      </c>
      <c r="D218" s="42">
        <f>_xlfn.XLOOKUP(B218,Input!J:J,Input!F:F)</f>
        <v>0</v>
      </c>
      <c r="E218" s="32">
        <f>_xlfn.XLOOKUP(D218,Models!H:H,Models!G:G,D218)</f>
        <v>0</v>
      </c>
      <c r="F218" s="32">
        <f>_xlfn.XLOOKUP(B218,Input!J:J,Input!E:E)</f>
        <v>0</v>
      </c>
      <c r="G218" s="32">
        <f>IF(F218="LENOVO",_xlfn.XLOOKUP(B218,Input!J:J,Input!K:K),_xlfn.XLOOKUP(B218,Input!J:J,Input!L:L))</f>
        <v>0</v>
      </c>
      <c r="H218" s="32"/>
      <c r="I218" s="32"/>
      <c r="J218" s="32">
        <f>_xlfn.XLOOKUP(B218,CPU_Formula!A:A,CPU_Formula!I:I)</f>
        <v>0</v>
      </c>
      <c r="K218" s="42" t="e">
        <f>INDEX(Input!$D$2:$AC$500,
       MATCH(B218, Input!$J$2:$J$500, 0),
       MATCH("Total Memory", Input!$D$1:$AC$1, 0))</f>
        <v>#N/A</v>
      </c>
      <c r="L218" s="42" t="e">
        <f>INDEX(Input!$D$2:$AC$500,
       MATCH(B218, Input!$J$2:$J$500, 0),
       MATCH("Memory Type", Input!$D$1:$AC$1, 0))</f>
        <v>#N/A</v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e">
        <f t="shared" si="11"/>
        <v>#N/A</v>
      </c>
      <c r="O218" s="42" t="e">
        <f>INDEX(Input!$D$2:$AC$500,
       MATCH(B218, Input!$J$2:$J$500, 0),
       MATCH("Disk Interface Type", Input!$D$1:$AC$1, 0))</f>
        <v>#N/A</v>
      </c>
      <c r="P218" s="42" t="str" cm="1">
        <f t="array" ref="P218">IFERROR(_xlfn.TEXTJOIN(", ", TRUE, _xlfn._xlws.FILTER(
    INDEX(Input!$D$2:$AC$500,,MATCH("Disk Capacity",Input!$D$1:$AC$1,0)),
    Input!$J$2:$J$500=B218
)), "")</f>
        <v/>
      </c>
      <c r="Q218" s="32" t="e">
        <f t="shared" si="10"/>
        <v>#N/A</v>
      </c>
      <c r="R218" s="42" t="e">
        <f>_xlfn.LET(_xlpm.Result,INDEX(Input!$D$2:$AC$500,
       MATCH(B218, Input!$J$2:$J$500, 0),
       MATCH("Capacity", Input!$D$1:$AC$1, 0)),IF(_xlpm.Result="","",_xlpm.Result))</f>
        <v>#N/A</v>
      </c>
      <c r="S218" s="42" t="e" cm="1">
        <f t="array" ref="S218">_xlfn.TEXTSPLIT(R218," / ", ,TRUE,0,)</f>
        <v>#N/A</v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:AD218">IFERROR(IF(_xlfn.XLOOKUP(B218,Input!J:J,Input!N:U)=0,"",
          _xlfn.XLOOKUP(B218,Input!J:J,Input!N:U)),"")</f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42" t="str">
        <v/>
      </c>
      <c r="AE218" s="32" t="str">
        <f t="shared" si="9"/>
        <v/>
      </c>
      <c r="AF218" s="32" t="str">
        <f>_xlfn.XLOOKUP(B:B,Disk_Pivot!G:G,Disk_Pivot!I:I)</f>
        <v>Yes x2</v>
      </c>
      <c r="AG218" s="32" t="str">
        <f>_xlfn.XLOOKUP(B218,Disk_Pivot!G:G,Disk_Pivot!N:N)</f>
        <v>Pass, Fail</v>
      </c>
      <c r="AH218" s="32"/>
      <c r="AI218" s="32"/>
      <c r="AJ218" s="32"/>
      <c r="AK218" s="32"/>
      <c r="AL218" s="32"/>
      <c r="AM218" s="32"/>
    </row>
    <row r="219" spans="1:39">
      <c r="A219" s="32" t="str">
        <f>_xlfn.XLOOKUP(B219,Input!J:J,Input!G:G)&amp;""</f>
        <v/>
      </c>
      <c r="B219" s="32"/>
      <c r="C219" s="32" t="str">
        <f>_xlfn.XLOOKUP(B219,Input!J:J,Input!H:H)&amp;""</f>
        <v/>
      </c>
      <c r="D219" s="42">
        <f>_xlfn.XLOOKUP(B219,Input!J:J,Input!F:F)</f>
        <v>0</v>
      </c>
      <c r="E219" s="32">
        <f>_xlfn.XLOOKUP(D219,Models!H:H,Models!G:G,D219)</f>
        <v>0</v>
      </c>
      <c r="F219" s="32">
        <f>_xlfn.XLOOKUP(B219,Input!J:J,Input!E:E)</f>
        <v>0</v>
      </c>
      <c r="G219" s="32">
        <f>IF(F219="LENOVO",_xlfn.XLOOKUP(B219,Input!J:J,Input!K:K),_xlfn.XLOOKUP(B219,Input!J:J,Input!L:L))</f>
        <v>0</v>
      </c>
      <c r="H219" s="32"/>
      <c r="I219" s="32"/>
      <c r="J219" s="32">
        <f>_xlfn.XLOOKUP(B219,CPU_Formula!A:A,CPU_Formula!I:I)</f>
        <v>0</v>
      </c>
      <c r="K219" s="42" t="e">
        <f>INDEX(Input!$D$2:$AC$500,
       MATCH(B219, Input!$J$2:$J$500, 0),
       MATCH("Total Memory", Input!$D$1:$AC$1, 0))</f>
        <v>#N/A</v>
      </c>
      <c r="L219" s="42" t="e">
        <f>INDEX(Input!$D$2:$AC$500,
       MATCH(B219, Input!$J$2:$J$500, 0),
       MATCH("Memory Type", Input!$D$1:$AC$1, 0))</f>
        <v>#N/A</v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e">
        <f t="shared" si="11"/>
        <v>#N/A</v>
      </c>
      <c r="O219" s="42" t="e">
        <f>INDEX(Input!$D$2:$AC$500,
       MATCH(B219, Input!$J$2:$J$500, 0),
       MATCH("Disk Interface Type", Input!$D$1:$AC$1, 0))</f>
        <v>#N/A</v>
      </c>
      <c r="P219" s="42" t="str" cm="1">
        <f t="array" ref="P219">IFERROR(_xlfn.TEXTJOIN(", ", TRUE, _xlfn._xlws.FILTER(
    INDEX(Input!$D$2:$AC$500,,MATCH("Disk Capacity",Input!$D$1:$AC$1,0)),
    Input!$J$2:$J$500=B219
)), "")</f>
        <v/>
      </c>
      <c r="Q219" s="32" t="e">
        <f t="shared" si="10"/>
        <v>#N/A</v>
      </c>
      <c r="R219" s="42" t="e">
        <f>_xlfn.LET(_xlpm.Result,INDEX(Input!$D$2:$AC$500,
       MATCH(B219, Input!$J$2:$J$500, 0),
       MATCH("Capacity", Input!$D$1:$AC$1, 0)),IF(_xlpm.Result="","",_xlpm.Result))</f>
        <v>#N/A</v>
      </c>
      <c r="S219" s="42" t="e" cm="1">
        <f t="array" ref="S219">_xlfn.TEXTSPLIT(R219," / ", ,TRUE,0,)</f>
        <v>#N/A</v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:AD219">IFERROR(IF(_xlfn.XLOOKUP(B219,Input!J:J,Input!N:U)=0,"",
          _xlfn.XLOOKUP(B219,Input!J:J,Input!N:U)),"")</f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42" t="str">
        <v/>
      </c>
      <c r="AE219" s="32" t="str">
        <f t="shared" si="9"/>
        <v/>
      </c>
      <c r="AF219" s="32" t="str">
        <f>_xlfn.XLOOKUP(B:B,Disk_Pivot!G:G,Disk_Pivot!I:I)</f>
        <v>Yes x2</v>
      </c>
      <c r="AG219" s="32" t="str">
        <f>_xlfn.XLOOKUP(B219,Disk_Pivot!G:G,Disk_Pivot!N:N)</f>
        <v>Pass, Fail</v>
      </c>
      <c r="AH219" s="32"/>
      <c r="AI219" s="32"/>
      <c r="AJ219" s="32"/>
      <c r="AK219" s="32"/>
      <c r="AL219" s="32"/>
      <c r="AM219" s="32"/>
    </row>
    <row r="220" spans="1:39">
      <c r="A220" s="32" t="str">
        <f>_xlfn.XLOOKUP(B220,Input!J:J,Input!G:G)&amp;""</f>
        <v/>
      </c>
      <c r="B220" s="32"/>
      <c r="C220" s="32" t="str">
        <f>_xlfn.XLOOKUP(B220,Input!J:J,Input!H:H)&amp;""</f>
        <v/>
      </c>
      <c r="D220" s="42">
        <f>_xlfn.XLOOKUP(B220,Input!J:J,Input!F:F)</f>
        <v>0</v>
      </c>
      <c r="E220" s="32">
        <f>_xlfn.XLOOKUP(D220,Models!H:H,Models!G:G,D220)</f>
        <v>0</v>
      </c>
      <c r="F220" s="32">
        <f>_xlfn.XLOOKUP(B220,Input!J:J,Input!E:E)</f>
        <v>0</v>
      </c>
      <c r="G220" s="32">
        <f>IF(F220="LENOVO",_xlfn.XLOOKUP(B220,Input!J:J,Input!K:K),_xlfn.XLOOKUP(B220,Input!J:J,Input!L:L))</f>
        <v>0</v>
      </c>
      <c r="H220" s="32"/>
      <c r="I220" s="32"/>
      <c r="J220" s="32">
        <f>_xlfn.XLOOKUP(B220,CPU_Formula!A:A,CPU_Formula!I:I)</f>
        <v>0</v>
      </c>
      <c r="K220" s="42" t="e">
        <f>INDEX(Input!$D$2:$AC$500,
       MATCH(B220, Input!$J$2:$J$500, 0),
       MATCH("Total Memory", Input!$D$1:$AC$1, 0))</f>
        <v>#N/A</v>
      </c>
      <c r="L220" s="42" t="e">
        <f>INDEX(Input!$D$2:$AC$500,
       MATCH(B220, Input!$J$2:$J$500, 0),
       MATCH("Memory Type", Input!$D$1:$AC$1, 0))</f>
        <v>#N/A</v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e">
        <f t="shared" si="11"/>
        <v>#N/A</v>
      </c>
      <c r="O220" s="42" t="e">
        <f>INDEX(Input!$D$2:$AC$500,
       MATCH(B220, Input!$J$2:$J$500, 0),
       MATCH("Disk Interface Type", Input!$D$1:$AC$1, 0))</f>
        <v>#N/A</v>
      </c>
      <c r="P220" s="42" t="str" cm="1">
        <f t="array" ref="P220">IFERROR(_xlfn.TEXTJOIN(", ", TRUE, _xlfn._xlws.FILTER(
    INDEX(Input!$D$2:$AC$500,,MATCH("Disk Capacity",Input!$D$1:$AC$1,0)),
    Input!$J$2:$J$500=B220
)), "")</f>
        <v/>
      </c>
      <c r="Q220" s="32" t="e">
        <f t="shared" si="10"/>
        <v>#N/A</v>
      </c>
      <c r="R220" s="42" t="e">
        <f>_xlfn.LET(_xlpm.Result,INDEX(Input!$D$2:$AC$500,
       MATCH(B220, Input!$J$2:$J$500, 0),
       MATCH("Capacity", Input!$D$1:$AC$1, 0)),IF(_xlpm.Result="","",_xlpm.Result))</f>
        <v>#N/A</v>
      </c>
      <c r="S220" s="42" t="e" cm="1">
        <f t="array" ref="S220">_xlfn.TEXTSPLIT(R220," / ", ,TRUE,0,)</f>
        <v>#N/A</v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:AD220">IFERROR(IF(_xlfn.XLOOKUP(B220,Input!J:J,Input!N:U)=0,"",
          _xlfn.XLOOKUP(B220,Input!J:J,Input!N:U)),"")</f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42" t="str">
        <v/>
      </c>
      <c r="AE220" s="32" t="str">
        <f t="shared" si="9"/>
        <v/>
      </c>
      <c r="AF220" s="32" t="str">
        <f>_xlfn.XLOOKUP(B:B,Disk_Pivot!G:G,Disk_Pivot!I:I)</f>
        <v>Yes x2</v>
      </c>
      <c r="AG220" s="32" t="str">
        <f>_xlfn.XLOOKUP(B220,Disk_Pivot!G:G,Disk_Pivot!N:N)</f>
        <v>Pass, Fail</v>
      </c>
      <c r="AH220" s="32"/>
      <c r="AI220" s="32"/>
      <c r="AJ220" s="32"/>
      <c r="AK220" s="32"/>
      <c r="AL220" s="32"/>
      <c r="AM220" s="32"/>
    </row>
    <row r="221" spans="1:39">
      <c r="A221" s="32" t="str">
        <f>_xlfn.XLOOKUP(B221,Input!J:J,Input!G:G)&amp;""</f>
        <v/>
      </c>
      <c r="B221" s="32"/>
      <c r="C221" s="32" t="str">
        <f>_xlfn.XLOOKUP(B221,Input!J:J,Input!H:H)&amp;""</f>
        <v/>
      </c>
      <c r="D221" s="42">
        <f>_xlfn.XLOOKUP(B221,Input!J:J,Input!F:F)</f>
        <v>0</v>
      </c>
      <c r="E221" s="32">
        <f>_xlfn.XLOOKUP(D221,Models!H:H,Models!G:G,D221)</f>
        <v>0</v>
      </c>
      <c r="F221" s="32">
        <f>_xlfn.XLOOKUP(B221,Input!J:J,Input!E:E)</f>
        <v>0</v>
      </c>
      <c r="G221" s="32">
        <f>IF(F221="LENOVO",_xlfn.XLOOKUP(B221,Input!J:J,Input!K:K),_xlfn.XLOOKUP(B221,Input!J:J,Input!L:L))</f>
        <v>0</v>
      </c>
      <c r="H221" s="32"/>
      <c r="I221" s="32"/>
      <c r="J221" s="32">
        <f>_xlfn.XLOOKUP(B221,CPU_Formula!A:A,CPU_Formula!I:I)</f>
        <v>0</v>
      </c>
      <c r="K221" s="42" t="e">
        <f>INDEX(Input!$D$2:$AC$500,
       MATCH(B221, Input!$J$2:$J$500, 0),
       MATCH("Total Memory", Input!$D$1:$AC$1, 0))</f>
        <v>#N/A</v>
      </c>
      <c r="L221" s="42" t="e">
        <f>INDEX(Input!$D$2:$AC$500,
       MATCH(B221, Input!$J$2:$J$500, 0),
       MATCH("Memory Type", Input!$D$1:$AC$1, 0))</f>
        <v>#N/A</v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e">
        <f t="shared" si="11"/>
        <v>#N/A</v>
      </c>
      <c r="O221" s="42" t="e">
        <f>INDEX(Input!$D$2:$AC$500,
       MATCH(B221, Input!$J$2:$J$500, 0),
       MATCH("Disk Interface Type", Input!$D$1:$AC$1, 0))</f>
        <v>#N/A</v>
      </c>
      <c r="P221" s="42" t="str" cm="1">
        <f t="array" ref="P221">IFERROR(_xlfn.TEXTJOIN(", ", TRUE, _xlfn._xlws.FILTER(
    INDEX(Input!$D$2:$AC$500,,MATCH("Disk Capacity",Input!$D$1:$AC$1,0)),
    Input!$J$2:$J$500=B221
)), "")</f>
        <v/>
      </c>
      <c r="Q221" s="32" t="e">
        <f t="shared" si="10"/>
        <v>#N/A</v>
      </c>
      <c r="R221" s="42" t="e">
        <f>_xlfn.LET(_xlpm.Result,INDEX(Input!$D$2:$AC$500,
       MATCH(B221, Input!$J$2:$J$500, 0),
       MATCH("Capacity", Input!$D$1:$AC$1, 0)),IF(_xlpm.Result="","",_xlpm.Result))</f>
        <v>#N/A</v>
      </c>
      <c r="S221" s="42" t="e" cm="1">
        <f t="array" ref="S221">_xlfn.TEXTSPLIT(R221," / ", ,TRUE,0,)</f>
        <v>#N/A</v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:AD221">IFERROR(IF(_xlfn.XLOOKUP(B221,Input!J:J,Input!N:U)=0,"",
          _xlfn.XLOOKUP(B221,Input!J:J,Input!N:U)),"")</f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42" t="str">
        <v/>
      </c>
      <c r="AE221" s="32" t="str">
        <f t="shared" si="9"/>
        <v/>
      </c>
      <c r="AF221" s="32" t="str">
        <f>_xlfn.XLOOKUP(B:B,Disk_Pivot!G:G,Disk_Pivot!I:I)</f>
        <v>Yes x2</v>
      </c>
      <c r="AG221" s="32" t="str">
        <f>_xlfn.XLOOKUP(B221,Disk_Pivot!G:G,Disk_Pivot!N:N)</f>
        <v>Pass, Fail</v>
      </c>
      <c r="AH221" s="32"/>
      <c r="AI221" s="32"/>
      <c r="AJ221" s="32"/>
      <c r="AK221" s="32"/>
      <c r="AL221" s="32"/>
      <c r="AM221" s="32"/>
    </row>
    <row r="222" spans="1:39">
      <c r="A222" s="32" t="str">
        <f>_xlfn.XLOOKUP(B222,Input!J:J,Input!G:G)&amp;""</f>
        <v/>
      </c>
      <c r="B222" s="32"/>
      <c r="C222" s="32" t="str">
        <f>_xlfn.XLOOKUP(B222,Input!J:J,Input!H:H)&amp;""</f>
        <v/>
      </c>
      <c r="D222" s="42">
        <f>_xlfn.XLOOKUP(B222,Input!J:J,Input!F:F)</f>
        <v>0</v>
      </c>
      <c r="E222" s="32">
        <f>_xlfn.XLOOKUP(D222,Models!H:H,Models!G:G,D222)</f>
        <v>0</v>
      </c>
      <c r="F222" s="32">
        <f>_xlfn.XLOOKUP(B222,Input!J:J,Input!E:E)</f>
        <v>0</v>
      </c>
      <c r="G222" s="32">
        <f>IF(F222="LENOVO",_xlfn.XLOOKUP(B222,Input!J:J,Input!K:K),_xlfn.XLOOKUP(B222,Input!J:J,Input!L:L))</f>
        <v>0</v>
      </c>
      <c r="H222" s="32"/>
      <c r="I222" s="32"/>
      <c r="J222" s="32">
        <f>_xlfn.XLOOKUP(B222,CPU_Formula!A:A,CPU_Formula!I:I)</f>
        <v>0</v>
      </c>
      <c r="K222" s="42" t="e">
        <f>INDEX(Input!$D$2:$AC$500,
       MATCH(B222, Input!$J$2:$J$500, 0),
       MATCH("Total Memory", Input!$D$1:$AC$1, 0))</f>
        <v>#N/A</v>
      </c>
      <c r="L222" s="42" t="e">
        <f>INDEX(Input!$D$2:$AC$500,
       MATCH(B222, Input!$J$2:$J$500, 0),
       MATCH("Memory Type", Input!$D$1:$AC$1, 0))</f>
        <v>#N/A</v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e">
        <f t="shared" si="11"/>
        <v>#N/A</v>
      </c>
      <c r="O222" s="42" t="e">
        <f>INDEX(Input!$D$2:$AC$500,
       MATCH(B222, Input!$J$2:$J$500, 0),
       MATCH("Disk Interface Type", Input!$D$1:$AC$1, 0))</f>
        <v>#N/A</v>
      </c>
      <c r="P222" s="42" t="str" cm="1">
        <f t="array" ref="P222">IFERROR(_xlfn.TEXTJOIN(", ", TRUE, _xlfn._xlws.FILTER(
    INDEX(Input!$D$2:$AC$500,,MATCH("Disk Capacity",Input!$D$1:$AC$1,0)),
    Input!$J$2:$J$500=B222
)), "")</f>
        <v/>
      </c>
      <c r="Q222" s="32" t="e">
        <f t="shared" si="10"/>
        <v>#N/A</v>
      </c>
      <c r="R222" s="42" t="e">
        <f>_xlfn.LET(_xlpm.Result,INDEX(Input!$D$2:$AC$500,
       MATCH(B222, Input!$J$2:$J$500, 0),
       MATCH("Capacity", Input!$D$1:$AC$1, 0)),IF(_xlpm.Result="","",_xlpm.Result))</f>
        <v>#N/A</v>
      </c>
      <c r="S222" s="42" t="e" cm="1">
        <f t="array" ref="S222">_xlfn.TEXTSPLIT(R222," / ", ,TRUE,0,)</f>
        <v>#N/A</v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:AD222">IFERROR(IF(_xlfn.XLOOKUP(B222,Input!J:J,Input!N:U)=0,"",
          _xlfn.XLOOKUP(B222,Input!J:J,Input!N:U)),"")</f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42" t="str">
        <v/>
      </c>
      <c r="AE222" s="32" t="str">
        <f t="shared" si="9"/>
        <v/>
      </c>
      <c r="AF222" s="32" t="str">
        <f>_xlfn.XLOOKUP(B:B,Disk_Pivot!G:G,Disk_Pivot!I:I)</f>
        <v>Yes x2</v>
      </c>
      <c r="AG222" s="32" t="str">
        <f>_xlfn.XLOOKUP(B222,Disk_Pivot!G:G,Disk_Pivot!N:N)</f>
        <v>Pass, Fail</v>
      </c>
      <c r="AH222" s="32"/>
      <c r="AI222" s="32"/>
      <c r="AJ222" s="32"/>
      <c r="AK222" s="32"/>
      <c r="AL222" s="32"/>
      <c r="AM222" s="32"/>
    </row>
    <row r="223" spans="1:39">
      <c r="A223" s="32" t="str">
        <f>_xlfn.XLOOKUP(B223,Input!J:J,Input!G:G)&amp;""</f>
        <v/>
      </c>
      <c r="B223" s="32"/>
      <c r="C223" s="32" t="str">
        <f>_xlfn.XLOOKUP(B223,Input!J:J,Input!H:H)&amp;""</f>
        <v/>
      </c>
      <c r="D223" s="42">
        <f>_xlfn.XLOOKUP(B223,Input!J:J,Input!F:F)</f>
        <v>0</v>
      </c>
      <c r="E223" s="32">
        <f>_xlfn.XLOOKUP(D223,Models!H:H,Models!G:G,D223)</f>
        <v>0</v>
      </c>
      <c r="F223" s="32">
        <f>_xlfn.XLOOKUP(B223,Input!J:J,Input!E:E)</f>
        <v>0</v>
      </c>
      <c r="G223" s="32">
        <f>IF(F223="LENOVO",_xlfn.XLOOKUP(B223,Input!J:J,Input!K:K),_xlfn.XLOOKUP(B223,Input!J:J,Input!L:L))</f>
        <v>0</v>
      </c>
      <c r="H223" s="32"/>
      <c r="I223" s="32"/>
      <c r="J223" s="32">
        <f>_xlfn.XLOOKUP(B223,CPU_Formula!A:A,CPU_Formula!I:I)</f>
        <v>0</v>
      </c>
      <c r="K223" s="42" t="e">
        <f>INDEX(Input!$D$2:$AC$500,
       MATCH(B223, Input!$J$2:$J$500, 0),
       MATCH("Total Memory", Input!$D$1:$AC$1, 0))</f>
        <v>#N/A</v>
      </c>
      <c r="L223" s="42" t="e">
        <f>INDEX(Input!$D$2:$AC$500,
       MATCH(B223, Input!$J$2:$J$500, 0),
       MATCH("Memory Type", Input!$D$1:$AC$1, 0))</f>
        <v>#N/A</v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e">
        <f t="shared" si="11"/>
        <v>#N/A</v>
      </c>
      <c r="O223" s="42" t="e">
        <f>INDEX(Input!$D$2:$AC$500,
       MATCH(B223, Input!$J$2:$J$500, 0),
       MATCH("Disk Interface Type", Input!$D$1:$AC$1, 0))</f>
        <v>#N/A</v>
      </c>
      <c r="P223" s="42" t="str" cm="1">
        <f t="array" ref="P223">IFERROR(_xlfn.TEXTJOIN(", ", TRUE, _xlfn._xlws.FILTER(
    INDEX(Input!$D$2:$AC$500,,MATCH("Disk Capacity",Input!$D$1:$AC$1,0)),
    Input!$J$2:$J$500=B223
)), "")</f>
        <v/>
      </c>
      <c r="Q223" s="32" t="e">
        <f t="shared" si="10"/>
        <v>#N/A</v>
      </c>
      <c r="R223" s="42" t="e">
        <f>_xlfn.LET(_xlpm.Result,INDEX(Input!$D$2:$AC$500,
       MATCH(B223, Input!$J$2:$J$500, 0),
       MATCH("Capacity", Input!$D$1:$AC$1, 0)),IF(_xlpm.Result="","",_xlpm.Result))</f>
        <v>#N/A</v>
      </c>
      <c r="S223" s="42" t="e" cm="1">
        <f t="array" ref="S223">_xlfn.TEXTSPLIT(R223," / ", ,TRUE,0,)</f>
        <v>#N/A</v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:AD223">IFERROR(IF(_xlfn.XLOOKUP(B223,Input!J:J,Input!N:U)=0,"",
          _xlfn.XLOOKUP(B223,Input!J:J,Input!N:U)),"")</f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42" t="str">
        <v/>
      </c>
      <c r="AE223" s="32" t="str">
        <f t="shared" si="9"/>
        <v/>
      </c>
      <c r="AF223" s="32" t="str">
        <f>_xlfn.XLOOKUP(B:B,Disk_Pivot!G:G,Disk_Pivot!I:I)</f>
        <v>Yes x2</v>
      </c>
      <c r="AG223" s="32" t="str">
        <f>_xlfn.XLOOKUP(B223,Disk_Pivot!G:G,Disk_Pivot!N:N)</f>
        <v>Pass, Fail</v>
      </c>
      <c r="AH223" s="32"/>
      <c r="AI223" s="32"/>
      <c r="AJ223" s="32"/>
      <c r="AK223" s="32"/>
      <c r="AL223" s="32"/>
      <c r="AM223" s="32"/>
    </row>
    <row r="224" spans="1:39">
      <c r="A224" s="32" t="str">
        <f>_xlfn.XLOOKUP(B224,Input!J:J,Input!G:G)&amp;""</f>
        <v/>
      </c>
      <c r="B224" s="32"/>
      <c r="C224" s="32" t="str">
        <f>_xlfn.XLOOKUP(B224,Input!J:J,Input!H:H)&amp;""</f>
        <v/>
      </c>
      <c r="D224" s="42">
        <f>_xlfn.XLOOKUP(B224,Input!J:J,Input!F:F)</f>
        <v>0</v>
      </c>
      <c r="E224" s="32">
        <f>_xlfn.XLOOKUP(D224,Models!H:H,Models!G:G,D224)</f>
        <v>0</v>
      </c>
      <c r="F224" s="32">
        <f>_xlfn.XLOOKUP(B224,Input!J:J,Input!E:E)</f>
        <v>0</v>
      </c>
      <c r="G224" s="32">
        <f>IF(F224="LENOVO",_xlfn.XLOOKUP(B224,Input!J:J,Input!K:K),_xlfn.XLOOKUP(B224,Input!J:J,Input!L:L))</f>
        <v>0</v>
      </c>
      <c r="H224" s="32"/>
      <c r="I224" s="32"/>
      <c r="J224" s="32">
        <f>_xlfn.XLOOKUP(B224,CPU_Formula!A:A,CPU_Formula!I:I)</f>
        <v>0</v>
      </c>
      <c r="K224" s="42" t="e">
        <f>INDEX(Input!$D$2:$AC$500,
       MATCH(B224, Input!$J$2:$J$500, 0),
       MATCH("Total Memory", Input!$D$1:$AC$1, 0))</f>
        <v>#N/A</v>
      </c>
      <c r="L224" s="42" t="e">
        <f>INDEX(Input!$D$2:$AC$500,
       MATCH(B224, Input!$J$2:$J$500, 0),
       MATCH("Memory Type", Input!$D$1:$AC$1, 0))</f>
        <v>#N/A</v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e">
        <f t="shared" si="11"/>
        <v>#N/A</v>
      </c>
      <c r="O224" s="42" t="e">
        <f>INDEX(Input!$D$2:$AC$500,
       MATCH(B224, Input!$J$2:$J$500, 0),
       MATCH("Disk Interface Type", Input!$D$1:$AC$1, 0))</f>
        <v>#N/A</v>
      </c>
      <c r="P224" s="42" t="str" cm="1">
        <f t="array" ref="P224">IFERROR(_xlfn.TEXTJOIN(", ", TRUE, _xlfn._xlws.FILTER(
    INDEX(Input!$D$2:$AC$500,,MATCH("Disk Capacity",Input!$D$1:$AC$1,0)),
    Input!$J$2:$J$500=B224
)), "")</f>
        <v/>
      </c>
      <c r="Q224" s="32" t="e">
        <f t="shared" si="10"/>
        <v>#N/A</v>
      </c>
      <c r="R224" s="42" t="e">
        <f>_xlfn.LET(_xlpm.Result,INDEX(Input!$D$2:$AC$500,
       MATCH(B224, Input!$J$2:$J$500, 0),
       MATCH("Capacity", Input!$D$1:$AC$1, 0)),IF(_xlpm.Result="","",_xlpm.Result))</f>
        <v>#N/A</v>
      </c>
      <c r="S224" s="42" t="e" cm="1">
        <f t="array" ref="S224">_xlfn.TEXTSPLIT(R224," / ", ,TRUE,0,)</f>
        <v>#N/A</v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:AD224">IFERROR(IF(_xlfn.XLOOKUP(B224,Input!J:J,Input!N:U)=0,"",
          _xlfn.XLOOKUP(B224,Input!J:J,Input!N:U)),"")</f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42" t="str">
        <v/>
      </c>
      <c r="AE224" s="32" t="str">
        <f t="shared" si="9"/>
        <v/>
      </c>
      <c r="AF224" s="32" t="str">
        <f>_xlfn.XLOOKUP(B:B,Disk_Pivot!G:G,Disk_Pivot!I:I)</f>
        <v>Yes x2</v>
      </c>
      <c r="AG224" s="32" t="str">
        <f>_xlfn.XLOOKUP(B224,Disk_Pivot!G:G,Disk_Pivot!N:N)</f>
        <v>Pass, Fail</v>
      </c>
      <c r="AH224" s="32"/>
      <c r="AI224" s="32"/>
      <c r="AJ224" s="32"/>
      <c r="AK224" s="32"/>
      <c r="AL224" s="32"/>
      <c r="AM224" s="32"/>
    </row>
    <row r="225" spans="1:39">
      <c r="A225" s="32" t="str">
        <f>_xlfn.XLOOKUP(B225,Input!J:J,Input!G:G)&amp;""</f>
        <v/>
      </c>
      <c r="B225" s="32"/>
      <c r="C225" s="32" t="str">
        <f>_xlfn.XLOOKUP(B225,Input!J:J,Input!H:H)&amp;""</f>
        <v/>
      </c>
      <c r="D225" s="42">
        <f>_xlfn.XLOOKUP(B225,Input!J:J,Input!F:F)</f>
        <v>0</v>
      </c>
      <c r="E225" s="32">
        <f>_xlfn.XLOOKUP(D225,Models!H:H,Models!G:G,D225)</f>
        <v>0</v>
      </c>
      <c r="F225" s="32">
        <f>_xlfn.XLOOKUP(B225,Input!J:J,Input!E:E)</f>
        <v>0</v>
      </c>
      <c r="G225" s="32">
        <f>IF(F225="LENOVO",_xlfn.XLOOKUP(B225,Input!J:J,Input!K:K),_xlfn.XLOOKUP(B225,Input!J:J,Input!L:L))</f>
        <v>0</v>
      </c>
      <c r="H225" s="32"/>
      <c r="I225" s="32"/>
      <c r="J225" s="32">
        <f>_xlfn.XLOOKUP(B225,CPU_Formula!A:A,CPU_Formula!I:I)</f>
        <v>0</v>
      </c>
      <c r="K225" s="42" t="e">
        <f>INDEX(Input!$D$2:$AC$500,
       MATCH(B225, Input!$J$2:$J$500, 0),
       MATCH("Total Memory", Input!$D$1:$AC$1, 0))</f>
        <v>#N/A</v>
      </c>
      <c r="L225" s="42" t="e">
        <f>INDEX(Input!$D$2:$AC$500,
       MATCH(B225, Input!$J$2:$J$500, 0),
       MATCH("Memory Type", Input!$D$1:$AC$1, 0))</f>
        <v>#N/A</v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e">
        <f t="shared" si="11"/>
        <v>#N/A</v>
      </c>
      <c r="O225" s="42" t="e">
        <f>INDEX(Input!$D$2:$AC$500,
       MATCH(B225, Input!$J$2:$J$500, 0),
       MATCH("Disk Interface Type", Input!$D$1:$AC$1, 0))</f>
        <v>#N/A</v>
      </c>
      <c r="P225" s="42" t="str" cm="1">
        <f t="array" ref="P225">IFERROR(_xlfn.TEXTJOIN(", ", TRUE, _xlfn._xlws.FILTER(
    INDEX(Input!$D$2:$AC$500,,MATCH("Disk Capacity",Input!$D$1:$AC$1,0)),
    Input!$J$2:$J$500=B225
)), "")</f>
        <v/>
      </c>
      <c r="Q225" s="32" t="e">
        <f t="shared" si="10"/>
        <v>#N/A</v>
      </c>
      <c r="R225" s="42" t="e">
        <f>_xlfn.LET(_xlpm.Result,INDEX(Input!$D$2:$AC$500,
       MATCH(B225, Input!$J$2:$J$500, 0),
       MATCH("Capacity", Input!$D$1:$AC$1, 0)),IF(_xlpm.Result="","",_xlpm.Result))</f>
        <v>#N/A</v>
      </c>
      <c r="S225" s="42" t="e" cm="1">
        <f t="array" ref="S225">_xlfn.TEXTSPLIT(R225," / ", ,TRUE,0,)</f>
        <v>#N/A</v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:AD225">IFERROR(IF(_xlfn.XLOOKUP(B225,Input!J:J,Input!N:U)=0,"",
          _xlfn.XLOOKUP(B225,Input!J:J,Input!N:U)),"")</f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42" t="str">
        <v/>
      </c>
      <c r="AE225" s="32" t="str">
        <f t="shared" si="9"/>
        <v/>
      </c>
      <c r="AF225" s="32" t="str">
        <f>_xlfn.XLOOKUP(B:B,Disk_Pivot!G:G,Disk_Pivot!I:I)</f>
        <v>Yes x2</v>
      </c>
      <c r="AG225" s="32" t="str">
        <f>_xlfn.XLOOKUP(B225,Disk_Pivot!G:G,Disk_Pivot!N:N)</f>
        <v>Pass, Fail</v>
      </c>
      <c r="AH225" s="32"/>
      <c r="AI225" s="32"/>
      <c r="AJ225" s="32"/>
      <c r="AK225" s="32"/>
      <c r="AL225" s="32"/>
      <c r="AM225" s="32"/>
    </row>
    <row r="226" spans="1:39">
      <c r="A226" s="32" t="str">
        <f>_xlfn.XLOOKUP(B226,Input!J:J,Input!G:G)&amp;""</f>
        <v/>
      </c>
      <c r="B226" s="32"/>
      <c r="C226" s="32" t="str">
        <f>_xlfn.XLOOKUP(B226,Input!J:J,Input!H:H)&amp;""</f>
        <v/>
      </c>
      <c r="D226" s="42">
        <f>_xlfn.XLOOKUP(B226,Input!J:J,Input!F:F)</f>
        <v>0</v>
      </c>
      <c r="E226" s="32">
        <f>_xlfn.XLOOKUP(D226,Models!H:H,Models!G:G,D226)</f>
        <v>0</v>
      </c>
      <c r="F226" s="32">
        <f>_xlfn.XLOOKUP(B226,Input!J:J,Input!E:E)</f>
        <v>0</v>
      </c>
      <c r="G226" s="32">
        <f>IF(F226="LENOVO",_xlfn.XLOOKUP(B226,Input!J:J,Input!K:K),_xlfn.XLOOKUP(B226,Input!J:J,Input!L:L))</f>
        <v>0</v>
      </c>
      <c r="H226" s="32"/>
      <c r="I226" s="32"/>
      <c r="J226" s="32">
        <f>_xlfn.XLOOKUP(B226,CPU_Formula!A:A,CPU_Formula!I:I)</f>
        <v>0</v>
      </c>
      <c r="K226" s="42" t="e">
        <f>INDEX(Input!$D$2:$AC$500,
       MATCH(B226, Input!$J$2:$J$500, 0),
       MATCH("Total Memory", Input!$D$1:$AC$1, 0))</f>
        <v>#N/A</v>
      </c>
      <c r="L226" s="42" t="e">
        <f>INDEX(Input!$D$2:$AC$500,
       MATCH(B226, Input!$J$2:$J$500, 0),
       MATCH("Memory Type", Input!$D$1:$AC$1, 0))</f>
        <v>#N/A</v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e">
        <f t="shared" si="11"/>
        <v>#N/A</v>
      </c>
      <c r="O226" s="42" t="e">
        <f>INDEX(Input!$D$2:$AC$500,
       MATCH(B226, Input!$J$2:$J$500, 0),
       MATCH("Disk Interface Type", Input!$D$1:$AC$1, 0))</f>
        <v>#N/A</v>
      </c>
      <c r="P226" s="42" t="str" cm="1">
        <f t="array" ref="P226">IFERROR(_xlfn.TEXTJOIN(", ", TRUE, _xlfn._xlws.FILTER(
    INDEX(Input!$D$2:$AC$500,,MATCH("Disk Capacity",Input!$D$1:$AC$1,0)),
    Input!$J$2:$J$500=B226
)), "")</f>
        <v/>
      </c>
      <c r="Q226" s="32" t="e">
        <f t="shared" si="10"/>
        <v>#N/A</v>
      </c>
      <c r="R226" s="42" t="e">
        <f>_xlfn.LET(_xlpm.Result,INDEX(Input!$D$2:$AC$500,
       MATCH(B226, Input!$J$2:$J$500, 0),
       MATCH("Capacity", Input!$D$1:$AC$1, 0)),IF(_xlpm.Result="","",_xlpm.Result))</f>
        <v>#N/A</v>
      </c>
      <c r="S226" s="42" t="e" cm="1">
        <f t="array" ref="S226">_xlfn.TEXTSPLIT(R226," / ", ,TRUE,0,)</f>
        <v>#N/A</v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:AD226">IFERROR(IF(_xlfn.XLOOKUP(B226,Input!J:J,Input!N:U)=0,"",
          _xlfn.XLOOKUP(B226,Input!J:J,Input!N:U)),"")</f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42" t="str">
        <v/>
      </c>
      <c r="AE226" s="32" t="str">
        <f t="shared" si="9"/>
        <v/>
      </c>
      <c r="AF226" s="32" t="str">
        <f>_xlfn.XLOOKUP(B:B,Disk_Pivot!G:G,Disk_Pivot!I:I)</f>
        <v>Yes x2</v>
      </c>
      <c r="AG226" s="32" t="str">
        <f>_xlfn.XLOOKUP(B226,Disk_Pivot!G:G,Disk_Pivot!N:N)</f>
        <v>Pass, Fail</v>
      </c>
      <c r="AH226" s="32"/>
      <c r="AI226" s="32"/>
      <c r="AJ226" s="32"/>
      <c r="AK226" s="32"/>
      <c r="AL226" s="32"/>
      <c r="AM226" s="32"/>
    </row>
    <row r="227" spans="1:39">
      <c r="A227" s="32" t="str">
        <f>_xlfn.XLOOKUP(B227,Input!J:J,Input!G:G)&amp;""</f>
        <v/>
      </c>
      <c r="B227" s="32"/>
      <c r="C227" s="32" t="str">
        <f>_xlfn.XLOOKUP(B227,Input!J:J,Input!H:H)&amp;""</f>
        <v/>
      </c>
      <c r="D227" s="42">
        <f>_xlfn.XLOOKUP(B227,Input!J:J,Input!F:F)</f>
        <v>0</v>
      </c>
      <c r="E227" s="32">
        <f>_xlfn.XLOOKUP(D227,Models!H:H,Models!G:G,D227)</f>
        <v>0</v>
      </c>
      <c r="F227" s="32">
        <f>_xlfn.XLOOKUP(B227,Input!J:J,Input!E:E)</f>
        <v>0</v>
      </c>
      <c r="G227" s="32">
        <f>IF(F227="LENOVO",_xlfn.XLOOKUP(B227,Input!J:J,Input!K:K),_xlfn.XLOOKUP(B227,Input!J:J,Input!L:L))</f>
        <v>0</v>
      </c>
      <c r="H227" s="32"/>
      <c r="I227" s="32"/>
      <c r="J227" s="32">
        <f>_xlfn.XLOOKUP(B227,CPU_Formula!A:A,CPU_Formula!I:I)</f>
        <v>0</v>
      </c>
      <c r="K227" s="42" t="e">
        <f>INDEX(Input!$D$2:$AC$500,
       MATCH(B227, Input!$J$2:$J$500, 0),
       MATCH("Total Memory", Input!$D$1:$AC$1, 0))</f>
        <v>#N/A</v>
      </c>
      <c r="L227" s="42" t="e">
        <f>INDEX(Input!$D$2:$AC$500,
       MATCH(B227, Input!$J$2:$J$500, 0),
       MATCH("Memory Type", Input!$D$1:$AC$1, 0))</f>
        <v>#N/A</v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e">
        <f t="shared" si="11"/>
        <v>#N/A</v>
      </c>
      <c r="O227" s="42" t="e">
        <f>INDEX(Input!$D$2:$AC$500,
       MATCH(B227, Input!$J$2:$J$500, 0),
       MATCH("Disk Interface Type", Input!$D$1:$AC$1, 0))</f>
        <v>#N/A</v>
      </c>
      <c r="P227" s="42" t="str" cm="1">
        <f t="array" ref="P227">IFERROR(_xlfn.TEXTJOIN(", ", TRUE, _xlfn._xlws.FILTER(
    INDEX(Input!$D$2:$AC$500,,MATCH("Disk Capacity",Input!$D$1:$AC$1,0)),
    Input!$J$2:$J$500=B227
)), "")</f>
        <v/>
      </c>
      <c r="Q227" s="32" t="e">
        <f t="shared" si="10"/>
        <v>#N/A</v>
      </c>
      <c r="R227" s="42" t="e">
        <f>_xlfn.LET(_xlpm.Result,INDEX(Input!$D$2:$AC$500,
       MATCH(B227, Input!$J$2:$J$500, 0),
       MATCH("Capacity", Input!$D$1:$AC$1, 0)),IF(_xlpm.Result="","",_xlpm.Result))</f>
        <v>#N/A</v>
      </c>
      <c r="S227" s="42" t="e" cm="1">
        <f t="array" ref="S227">_xlfn.TEXTSPLIT(R227," / ", ,TRUE,0,)</f>
        <v>#N/A</v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:AD227">IFERROR(IF(_xlfn.XLOOKUP(B227,Input!J:J,Input!N:U)=0,"",
          _xlfn.XLOOKUP(B227,Input!J:J,Input!N:U)),"")</f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42" t="str">
        <v/>
      </c>
      <c r="AE227" s="32" t="str">
        <f t="shared" si="9"/>
        <v/>
      </c>
      <c r="AF227" s="32" t="str">
        <f>_xlfn.XLOOKUP(B:B,Disk_Pivot!G:G,Disk_Pivot!I:I)</f>
        <v>Yes x2</v>
      </c>
      <c r="AG227" s="32" t="str">
        <f>_xlfn.XLOOKUP(B227,Disk_Pivot!G:G,Disk_Pivot!N:N)</f>
        <v>Pass, Fail</v>
      </c>
      <c r="AH227" s="32"/>
      <c r="AI227" s="32"/>
      <c r="AJ227" s="32"/>
      <c r="AK227" s="32"/>
      <c r="AL227" s="32"/>
      <c r="AM227" s="32"/>
    </row>
    <row r="228" spans="1:39">
      <c r="A228" s="32" t="str">
        <f>_xlfn.XLOOKUP(B228,Input!J:J,Input!G:G)&amp;""</f>
        <v/>
      </c>
      <c r="B228" s="32"/>
      <c r="C228" s="32" t="str">
        <f>_xlfn.XLOOKUP(B228,Input!J:J,Input!H:H)&amp;""</f>
        <v/>
      </c>
      <c r="D228" s="42">
        <f>_xlfn.XLOOKUP(B228,Input!J:J,Input!F:F)</f>
        <v>0</v>
      </c>
      <c r="E228" s="32">
        <f>_xlfn.XLOOKUP(D228,Models!H:H,Models!G:G,D228)</f>
        <v>0</v>
      </c>
      <c r="F228" s="32">
        <f>_xlfn.XLOOKUP(B228,Input!J:J,Input!E:E)</f>
        <v>0</v>
      </c>
      <c r="G228" s="32">
        <f>IF(F228="LENOVO",_xlfn.XLOOKUP(B228,Input!J:J,Input!K:K),_xlfn.XLOOKUP(B228,Input!J:J,Input!L:L))</f>
        <v>0</v>
      </c>
      <c r="H228" s="32"/>
      <c r="I228" s="32"/>
      <c r="J228" s="32">
        <f>_xlfn.XLOOKUP(B228,CPU_Formula!A:A,CPU_Formula!I:I)</f>
        <v>0</v>
      </c>
      <c r="K228" s="42" t="e">
        <f>INDEX(Input!$D$2:$AC$500,
       MATCH(B228, Input!$J$2:$J$500, 0),
       MATCH("Total Memory", Input!$D$1:$AC$1, 0))</f>
        <v>#N/A</v>
      </c>
      <c r="L228" s="42" t="e">
        <f>INDEX(Input!$D$2:$AC$500,
       MATCH(B228, Input!$J$2:$J$500, 0),
       MATCH("Memory Type", Input!$D$1:$AC$1, 0))</f>
        <v>#N/A</v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e">
        <f t="shared" si="11"/>
        <v>#N/A</v>
      </c>
      <c r="O228" s="42" t="e">
        <f>INDEX(Input!$D$2:$AC$500,
       MATCH(B228, Input!$J$2:$J$500, 0),
       MATCH("Disk Interface Type", Input!$D$1:$AC$1, 0))</f>
        <v>#N/A</v>
      </c>
      <c r="P228" s="42" t="str" cm="1">
        <f t="array" ref="P228">IFERROR(_xlfn.TEXTJOIN(", ", TRUE, _xlfn._xlws.FILTER(
    INDEX(Input!$D$2:$AC$500,,MATCH("Disk Capacity",Input!$D$1:$AC$1,0)),
    Input!$J$2:$J$500=B228
)), "")</f>
        <v/>
      </c>
      <c r="Q228" s="32" t="e">
        <f t="shared" si="10"/>
        <v>#N/A</v>
      </c>
      <c r="R228" s="42" t="e">
        <f>_xlfn.LET(_xlpm.Result,INDEX(Input!$D$2:$AC$500,
       MATCH(B228, Input!$J$2:$J$500, 0),
       MATCH("Capacity", Input!$D$1:$AC$1, 0)),IF(_xlpm.Result="","",_xlpm.Result))</f>
        <v>#N/A</v>
      </c>
      <c r="S228" s="42" t="e" cm="1">
        <f t="array" ref="S228">_xlfn.TEXTSPLIT(R228," / ", ,TRUE,0,)</f>
        <v>#N/A</v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:AD228">IFERROR(IF(_xlfn.XLOOKUP(B228,Input!J:J,Input!N:U)=0,"",
          _xlfn.XLOOKUP(B228,Input!J:J,Input!N:U)),"")</f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42" t="str">
        <v/>
      </c>
      <c r="AE228" s="32" t="str">
        <f t="shared" si="9"/>
        <v/>
      </c>
      <c r="AF228" s="32" t="str">
        <f>_xlfn.XLOOKUP(B:B,Disk_Pivot!G:G,Disk_Pivot!I:I)</f>
        <v>Yes x2</v>
      </c>
      <c r="AG228" s="32" t="str">
        <f>_xlfn.XLOOKUP(B228,Disk_Pivot!G:G,Disk_Pivot!N:N)</f>
        <v>Pass, Fail</v>
      </c>
      <c r="AH228" s="32"/>
      <c r="AI228" s="32"/>
      <c r="AJ228" s="32"/>
      <c r="AK228" s="32"/>
      <c r="AL228" s="32"/>
      <c r="AM228" s="32"/>
    </row>
    <row r="229" spans="1:39">
      <c r="A229" s="32" t="str">
        <f>_xlfn.XLOOKUP(B229,Input!J:J,Input!G:G)&amp;""</f>
        <v/>
      </c>
      <c r="B229" s="32"/>
      <c r="C229" s="32" t="str">
        <f>_xlfn.XLOOKUP(B229,Input!J:J,Input!H:H)&amp;""</f>
        <v/>
      </c>
      <c r="D229" s="42">
        <f>_xlfn.XLOOKUP(B229,Input!J:J,Input!F:F)</f>
        <v>0</v>
      </c>
      <c r="E229" s="32">
        <f>_xlfn.XLOOKUP(D229,Models!H:H,Models!G:G,D229)</f>
        <v>0</v>
      </c>
      <c r="F229" s="32">
        <f>_xlfn.XLOOKUP(B229,Input!J:J,Input!E:E)</f>
        <v>0</v>
      </c>
      <c r="G229" s="32">
        <f>IF(F229="LENOVO",_xlfn.XLOOKUP(B229,Input!J:J,Input!K:K),_xlfn.XLOOKUP(B229,Input!J:J,Input!L:L))</f>
        <v>0</v>
      </c>
      <c r="H229" s="32"/>
      <c r="I229" s="32"/>
      <c r="J229" s="32">
        <f>_xlfn.XLOOKUP(B229,CPU_Formula!A:A,CPU_Formula!I:I)</f>
        <v>0</v>
      </c>
      <c r="K229" s="42" t="e">
        <f>INDEX(Input!$D$2:$AC$500,
       MATCH(B229, Input!$J$2:$J$500, 0),
       MATCH("Total Memory", Input!$D$1:$AC$1, 0))</f>
        <v>#N/A</v>
      </c>
      <c r="L229" s="42" t="e">
        <f>INDEX(Input!$D$2:$AC$500,
       MATCH(B229, Input!$J$2:$J$500, 0),
       MATCH("Memory Type", Input!$D$1:$AC$1, 0))</f>
        <v>#N/A</v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e">
        <f t="shared" si="11"/>
        <v>#N/A</v>
      </c>
      <c r="O229" s="42" t="e">
        <f>INDEX(Input!$D$2:$AC$500,
       MATCH(B229, Input!$J$2:$J$500, 0),
       MATCH("Disk Interface Type", Input!$D$1:$AC$1, 0))</f>
        <v>#N/A</v>
      </c>
      <c r="P229" s="42" t="str" cm="1">
        <f t="array" ref="P229">IFERROR(_xlfn.TEXTJOIN(", ", TRUE, _xlfn._xlws.FILTER(
    INDEX(Input!$D$2:$AC$500,,MATCH("Disk Capacity",Input!$D$1:$AC$1,0)),
    Input!$J$2:$J$500=B229
)), "")</f>
        <v/>
      </c>
      <c r="Q229" s="32" t="e">
        <f t="shared" si="10"/>
        <v>#N/A</v>
      </c>
      <c r="R229" s="42" t="e">
        <f>_xlfn.LET(_xlpm.Result,INDEX(Input!$D$2:$AC$500,
       MATCH(B229, Input!$J$2:$J$500, 0),
       MATCH("Capacity", Input!$D$1:$AC$1, 0)),IF(_xlpm.Result="","",_xlpm.Result))</f>
        <v>#N/A</v>
      </c>
      <c r="S229" s="42" t="e" cm="1">
        <f t="array" ref="S229">_xlfn.TEXTSPLIT(R229," / ", ,TRUE,0,)</f>
        <v>#N/A</v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:AD229">IFERROR(IF(_xlfn.XLOOKUP(B229,Input!J:J,Input!N:U)=0,"",
          _xlfn.XLOOKUP(B229,Input!J:J,Input!N:U)),"")</f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42" t="str">
        <v/>
      </c>
      <c r="AE229" s="32" t="str">
        <f t="shared" si="9"/>
        <v/>
      </c>
      <c r="AF229" s="32" t="str">
        <f>_xlfn.XLOOKUP(B:B,Disk_Pivot!G:G,Disk_Pivot!I:I)</f>
        <v>Yes x2</v>
      </c>
      <c r="AG229" s="32" t="str">
        <f>_xlfn.XLOOKUP(B229,Disk_Pivot!G:G,Disk_Pivot!N:N)</f>
        <v>Pass, Fail</v>
      </c>
      <c r="AH229" s="32"/>
      <c r="AI229" s="32"/>
      <c r="AJ229" s="32"/>
      <c r="AK229" s="32"/>
      <c r="AL229" s="32"/>
      <c r="AM229" s="32"/>
    </row>
    <row r="230" spans="1:39">
      <c r="A230" s="32" t="str">
        <f>_xlfn.XLOOKUP(B230,Input!J:J,Input!G:G)&amp;""</f>
        <v/>
      </c>
      <c r="B230" s="32"/>
      <c r="C230" s="32" t="str">
        <f>_xlfn.XLOOKUP(B230,Input!J:J,Input!H:H)&amp;""</f>
        <v/>
      </c>
      <c r="D230" s="42">
        <f>_xlfn.XLOOKUP(B230,Input!J:J,Input!F:F)</f>
        <v>0</v>
      </c>
      <c r="E230" s="32">
        <f>_xlfn.XLOOKUP(D230,Models!H:H,Models!G:G,D230)</f>
        <v>0</v>
      </c>
      <c r="F230" s="32">
        <f>_xlfn.XLOOKUP(B230,Input!J:J,Input!E:E)</f>
        <v>0</v>
      </c>
      <c r="G230" s="32">
        <f>IF(F230="LENOVO",_xlfn.XLOOKUP(B230,Input!J:J,Input!K:K),_xlfn.XLOOKUP(B230,Input!J:J,Input!L:L))</f>
        <v>0</v>
      </c>
      <c r="H230" s="32"/>
      <c r="I230" s="32"/>
      <c r="J230" s="32">
        <f>_xlfn.XLOOKUP(B230,CPU_Formula!A:A,CPU_Formula!I:I)</f>
        <v>0</v>
      </c>
      <c r="K230" s="42" t="e">
        <f>INDEX(Input!$D$2:$AC$500,
       MATCH(B230, Input!$J$2:$J$500, 0),
       MATCH("Total Memory", Input!$D$1:$AC$1, 0))</f>
        <v>#N/A</v>
      </c>
      <c r="L230" s="42" t="e">
        <f>INDEX(Input!$D$2:$AC$500,
       MATCH(B230, Input!$J$2:$J$500, 0),
       MATCH("Memory Type", Input!$D$1:$AC$1, 0))</f>
        <v>#N/A</v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e">
        <f t="shared" si="11"/>
        <v>#N/A</v>
      </c>
      <c r="O230" s="42" t="e">
        <f>INDEX(Input!$D$2:$AC$500,
       MATCH(B230, Input!$J$2:$J$500, 0),
       MATCH("Disk Interface Type", Input!$D$1:$AC$1, 0))</f>
        <v>#N/A</v>
      </c>
      <c r="P230" s="42" t="str" cm="1">
        <f t="array" ref="P230">IFERROR(_xlfn.TEXTJOIN(", ", TRUE, _xlfn._xlws.FILTER(
    INDEX(Input!$D$2:$AC$500,,MATCH("Disk Capacity",Input!$D$1:$AC$1,0)),
    Input!$J$2:$J$500=B230
)), "")</f>
        <v/>
      </c>
      <c r="Q230" s="32" t="e">
        <f t="shared" si="10"/>
        <v>#N/A</v>
      </c>
      <c r="R230" s="42" t="e">
        <f>_xlfn.LET(_xlpm.Result,INDEX(Input!$D$2:$AC$500,
       MATCH(B230, Input!$J$2:$J$500, 0),
       MATCH("Capacity", Input!$D$1:$AC$1, 0)),IF(_xlpm.Result="","",_xlpm.Result))</f>
        <v>#N/A</v>
      </c>
      <c r="S230" s="42" t="e" cm="1">
        <f t="array" ref="S230">_xlfn.TEXTSPLIT(R230," / ", ,TRUE,0,)</f>
        <v>#N/A</v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:AD230">IFERROR(IF(_xlfn.XLOOKUP(B230,Input!J:J,Input!N:U)=0,"",
          _xlfn.XLOOKUP(B230,Input!J:J,Input!N:U)),"")</f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42" t="str">
        <v/>
      </c>
      <c r="AE230" s="32" t="str">
        <f t="shared" si="9"/>
        <v/>
      </c>
      <c r="AF230" s="32" t="str">
        <f>_xlfn.XLOOKUP(B:B,Disk_Pivot!G:G,Disk_Pivot!I:I)</f>
        <v>Yes x2</v>
      </c>
      <c r="AG230" s="32" t="str">
        <f>_xlfn.XLOOKUP(B230,Disk_Pivot!G:G,Disk_Pivot!N:N)</f>
        <v>Pass, Fail</v>
      </c>
      <c r="AH230" s="32"/>
      <c r="AI230" s="32"/>
      <c r="AJ230" s="32"/>
      <c r="AK230" s="32"/>
      <c r="AL230" s="32"/>
      <c r="AM230" s="32"/>
    </row>
    <row r="231" spans="1:39">
      <c r="A231" s="32" t="str">
        <f>_xlfn.XLOOKUP(B231,Input!J:J,Input!G:G)&amp;""</f>
        <v/>
      </c>
      <c r="B231" s="32"/>
      <c r="C231" s="32" t="str">
        <f>_xlfn.XLOOKUP(B231,Input!J:J,Input!H:H)&amp;""</f>
        <v/>
      </c>
      <c r="D231" s="42">
        <f>_xlfn.XLOOKUP(B231,Input!J:J,Input!F:F)</f>
        <v>0</v>
      </c>
      <c r="E231" s="32">
        <f>_xlfn.XLOOKUP(D231,Models!H:H,Models!G:G,D231)</f>
        <v>0</v>
      </c>
      <c r="F231" s="32">
        <f>_xlfn.XLOOKUP(B231,Input!J:J,Input!E:E)</f>
        <v>0</v>
      </c>
      <c r="G231" s="32">
        <f>IF(F231="LENOVO",_xlfn.XLOOKUP(B231,Input!J:J,Input!K:K),_xlfn.XLOOKUP(B231,Input!J:J,Input!L:L))</f>
        <v>0</v>
      </c>
      <c r="H231" s="32"/>
      <c r="I231" s="32"/>
      <c r="J231" s="32">
        <f>_xlfn.XLOOKUP(B231,CPU_Formula!A:A,CPU_Formula!I:I)</f>
        <v>0</v>
      </c>
      <c r="K231" s="42" t="e">
        <f>INDEX(Input!$D$2:$AC$500,
       MATCH(B231, Input!$J$2:$J$500, 0),
       MATCH("Total Memory", Input!$D$1:$AC$1, 0))</f>
        <v>#N/A</v>
      </c>
      <c r="L231" s="42" t="e">
        <f>INDEX(Input!$D$2:$AC$500,
       MATCH(B231, Input!$J$2:$J$500, 0),
       MATCH("Memory Type", Input!$D$1:$AC$1, 0))</f>
        <v>#N/A</v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e">
        <f t="shared" si="11"/>
        <v>#N/A</v>
      </c>
      <c r="O231" s="42" t="e">
        <f>INDEX(Input!$D$2:$AC$500,
       MATCH(B231, Input!$J$2:$J$500, 0),
       MATCH("Disk Interface Type", Input!$D$1:$AC$1, 0))</f>
        <v>#N/A</v>
      </c>
      <c r="P231" s="42" t="str" cm="1">
        <f t="array" ref="P231">IFERROR(_xlfn.TEXTJOIN(", ", TRUE, _xlfn._xlws.FILTER(
    INDEX(Input!$D$2:$AC$500,,MATCH("Disk Capacity",Input!$D$1:$AC$1,0)),
    Input!$J$2:$J$500=B231
)), "")</f>
        <v/>
      </c>
      <c r="Q231" s="32" t="e">
        <f t="shared" si="10"/>
        <v>#N/A</v>
      </c>
      <c r="R231" s="42" t="e">
        <f>_xlfn.LET(_xlpm.Result,INDEX(Input!$D$2:$AC$500,
       MATCH(B231, Input!$J$2:$J$500, 0),
       MATCH("Capacity", Input!$D$1:$AC$1, 0)),IF(_xlpm.Result="","",_xlpm.Result))</f>
        <v>#N/A</v>
      </c>
      <c r="S231" s="42" t="e" cm="1">
        <f t="array" ref="S231">_xlfn.TEXTSPLIT(R231," / ", ,TRUE,0,)</f>
        <v>#N/A</v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:AD231">IFERROR(IF(_xlfn.XLOOKUP(B231,Input!J:J,Input!N:U)=0,"",
          _xlfn.XLOOKUP(B231,Input!J:J,Input!N:U)),"")</f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42" t="str">
        <v/>
      </c>
      <c r="AE231" s="32" t="str">
        <f t="shared" si="9"/>
        <v/>
      </c>
      <c r="AF231" s="32" t="str">
        <f>_xlfn.XLOOKUP(B:B,Disk_Pivot!G:G,Disk_Pivot!I:I)</f>
        <v>Yes x2</v>
      </c>
      <c r="AG231" s="32" t="str">
        <f>_xlfn.XLOOKUP(B231,Disk_Pivot!G:G,Disk_Pivot!N:N)</f>
        <v>Pass, Fail</v>
      </c>
      <c r="AH231" s="32"/>
      <c r="AI231" s="32"/>
      <c r="AJ231" s="32"/>
      <c r="AK231" s="32"/>
      <c r="AL231" s="32"/>
      <c r="AM231" s="32"/>
    </row>
    <row r="232" spans="1:39">
      <c r="A232" s="32" t="str">
        <f>_xlfn.XLOOKUP(B232,Input!J:J,Input!G:G)&amp;""</f>
        <v/>
      </c>
      <c r="B232" s="32"/>
      <c r="C232" s="32" t="str">
        <f>_xlfn.XLOOKUP(B232,Input!J:J,Input!H:H)&amp;""</f>
        <v/>
      </c>
      <c r="D232" s="42">
        <f>_xlfn.XLOOKUP(B232,Input!J:J,Input!F:F)</f>
        <v>0</v>
      </c>
      <c r="E232" s="32">
        <f>_xlfn.XLOOKUP(D232,Models!H:H,Models!G:G,D232)</f>
        <v>0</v>
      </c>
      <c r="F232" s="32">
        <f>_xlfn.XLOOKUP(B232,Input!J:J,Input!E:E)</f>
        <v>0</v>
      </c>
      <c r="G232" s="32">
        <f>IF(F232="LENOVO",_xlfn.XLOOKUP(B232,Input!J:J,Input!K:K),_xlfn.XLOOKUP(B232,Input!J:J,Input!L:L))</f>
        <v>0</v>
      </c>
      <c r="H232" s="32"/>
      <c r="I232" s="32"/>
      <c r="J232" s="32">
        <f>_xlfn.XLOOKUP(B232,CPU_Formula!A:A,CPU_Formula!I:I)</f>
        <v>0</v>
      </c>
      <c r="K232" s="42" t="e">
        <f>INDEX(Input!$D$2:$AC$500,
       MATCH(B232, Input!$J$2:$J$500, 0),
       MATCH("Total Memory", Input!$D$1:$AC$1, 0))</f>
        <v>#N/A</v>
      </c>
      <c r="L232" s="42" t="e">
        <f>INDEX(Input!$D$2:$AC$500,
       MATCH(B232, Input!$J$2:$J$500, 0),
       MATCH("Memory Type", Input!$D$1:$AC$1, 0))</f>
        <v>#N/A</v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e">
        <f t="shared" si="11"/>
        <v>#N/A</v>
      </c>
      <c r="O232" s="42" t="e">
        <f>INDEX(Input!$D$2:$AC$500,
       MATCH(B232, Input!$J$2:$J$500, 0),
       MATCH("Disk Interface Type", Input!$D$1:$AC$1, 0))</f>
        <v>#N/A</v>
      </c>
      <c r="P232" s="42" t="str" cm="1">
        <f t="array" ref="P232">IFERROR(_xlfn.TEXTJOIN(", ", TRUE, _xlfn._xlws.FILTER(
    INDEX(Input!$D$2:$AC$500,,MATCH("Disk Capacity",Input!$D$1:$AC$1,0)),
    Input!$J$2:$J$500=B232
)), "")</f>
        <v/>
      </c>
      <c r="Q232" s="32" t="e">
        <f t="shared" si="10"/>
        <v>#N/A</v>
      </c>
      <c r="R232" s="42" t="e">
        <f>_xlfn.LET(_xlpm.Result,INDEX(Input!$D$2:$AC$500,
       MATCH(B232, Input!$J$2:$J$500, 0),
       MATCH("Capacity", Input!$D$1:$AC$1, 0)),IF(_xlpm.Result="","",_xlpm.Result))</f>
        <v>#N/A</v>
      </c>
      <c r="S232" s="42" t="e" cm="1">
        <f t="array" ref="S232">_xlfn.TEXTSPLIT(R232," / ", ,TRUE,0,)</f>
        <v>#N/A</v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:AD232">IFERROR(IF(_xlfn.XLOOKUP(B232,Input!J:J,Input!N:U)=0,"",
          _xlfn.XLOOKUP(B232,Input!J:J,Input!N:U)),"")</f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42" t="str">
        <v/>
      </c>
      <c r="AE232" s="32" t="str">
        <f t="shared" si="9"/>
        <v/>
      </c>
      <c r="AF232" s="32" t="str">
        <f>_xlfn.XLOOKUP(B:B,Disk_Pivot!G:G,Disk_Pivot!I:I)</f>
        <v>Yes x2</v>
      </c>
      <c r="AG232" s="32" t="str">
        <f>_xlfn.XLOOKUP(B232,Disk_Pivot!G:G,Disk_Pivot!N:N)</f>
        <v>Pass, Fail</v>
      </c>
      <c r="AH232" s="32"/>
      <c r="AI232" s="32"/>
      <c r="AJ232" s="32"/>
      <c r="AK232" s="32"/>
      <c r="AL232" s="32"/>
      <c r="AM232" s="32"/>
    </row>
    <row r="233" spans="1:39">
      <c r="A233" s="32" t="str">
        <f>_xlfn.XLOOKUP(B233,Input!J:J,Input!G:G)&amp;""</f>
        <v/>
      </c>
      <c r="B233" s="32"/>
      <c r="C233" s="32" t="str">
        <f>_xlfn.XLOOKUP(B233,Input!J:J,Input!H:H)&amp;""</f>
        <v/>
      </c>
      <c r="D233" s="42">
        <f>_xlfn.XLOOKUP(B233,Input!J:J,Input!F:F)</f>
        <v>0</v>
      </c>
      <c r="E233" s="32">
        <f>_xlfn.XLOOKUP(D233,Models!H:H,Models!G:G,D233)</f>
        <v>0</v>
      </c>
      <c r="F233" s="32">
        <f>_xlfn.XLOOKUP(B233,Input!J:J,Input!E:E)</f>
        <v>0</v>
      </c>
      <c r="G233" s="32">
        <f>IF(F233="LENOVO",_xlfn.XLOOKUP(B233,Input!J:J,Input!K:K),_xlfn.XLOOKUP(B233,Input!J:J,Input!L:L))</f>
        <v>0</v>
      </c>
      <c r="H233" s="32"/>
      <c r="I233" s="32"/>
      <c r="J233" s="32">
        <f>_xlfn.XLOOKUP(B233,CPU_Formula!A:A,CPU_Formula!I:I)</f>
        <v>0</v>
      </c>
      <c r="K233" s="42" t="e">
        <f>INDEX(Input!$D$2:$AC$500,
       MATCH(B233, Input!$J$2:$J$500, 0),
       MATCH("Total Memory", Input!$D$1:$AC$1, 0))</f>
        <v>#N/A</v>
      </c>
      <c r="L233" s="42" t="e">
        <f>INDEX(Input!$D$2:$AC$500,
       MATCH(B233, Input!$J$2:$J$500, 0),
       MATCH("Memory Type", Input!$D$1:$AC$1, 0))</f>
        <v>#N/A</v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e">
        <f t="shared" si="11"/>
        <v>#N/A</v>
      </c>
      <c r="O233" s="42" t="e">
        <f>INDEX(Input!$D$2:$AC$500,
       MATCH(B233, Input!$J$2:$J$500, 0),
       MATCH("Disk Interface Type", Input!$D$1:$AC$1, 0))</f>
        <v>#N/A</v>
      </c>
      <c r="P233" s="42" t="str" cm="1">
        <f t="array" ref="P233">IFERROR(_xlfn.TEXTJOIN(", ", TRUE, _xlfn._xlws.FILTER(
    INDEX(Input!$D$2:$AC$500,,MATCH("Disk Capacity",Input!$D$1:$AC$1,0)),
    Input!$J$2:$J$500=B233
)), "")</f>
        <v/>
      </c>
      <c r="Q233" s="32" t="e">
        <f t="shared" si="10"/>
        <v>#N/A</v>
      </c>
      <c r="R233" s="42" t="e">
        <f>_xlfn.LET(_xlpm.Result,INDEX(Input!$D$2:$AC$500,
       MATCH(B233, Input!$J$2:$J$500, 0),
       MATCH("Capacity", Input!$D$1:$AC$1, 0)),IF(_xlpm.Result="","",_xlpm.Result))</f>
        <v>#N/A</v>
      </c>
      <c r="S233" s="42" t="e" cm="1">
        <f t="array" ref="S233">_xlfn.TEXTSPLIT(R233," / ", ,TRUE,0,)</f>
        <v>#N/A</v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:AD233">IFERROR(IF(_xlfn.XLOOKUP(B233,Input!J:J,Input!N:U)=0,"",
          _xlfn.XLOOKUP(B233,Input!J:J,Input!N:U)),"")</f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42" t="str">
        <v/>
      </c>
      <c r="AE233" s="32" t="str">
        <f t="shared" si="9"/>
        <v/>
      </c>
      <c r="AF233" s="32" t="str">
        <f>_xlfn.XLOOKUP(B:B,Disk_Pivot!G:G,Disk_Pivot!I:I)</f>
        <v>Yes x2</v>
      </c>
      <c r="AG233" s="32" t="str">
        <f>_xlfn.XLOOKUP(B233,Disk_Pivot!G:G,Disk_Pivot!N:N)</f>
        <v>Pass, Fail</v>
      </c>
      <c r="AH233" s="32"/>
      <c r="AI233" s="32"/>
      <c r="AJ233" s="32"/>
      <c r="AK233" s="32"/>
      <c r="AL233" s="32"/>
      <c r="AM233" s="32"/>
    </row>
    <row r="234" spans="1:39">
      <c r="A234" s="32" t="str">
        <f>_xlfn.XLOOKUP(B234,Input!J:J,Input!G:G)&amp;""</f>
        <v/>
      </c>
      <c r="B234" s="32"/>
      <c r="C234" s="32" t="str">
        <f>_xlfn.XLOOKUP(B234,Input!J:J,Input!H:H)&amp;""</f>
        <v/>
      </c>
      <c r="D234" s="42">
        <f>_xlfn.XLOOKUP(B234,Input!J:J,Input!F:F)</f>
        <v>0</v>
      </c>
      <c r="E234" s="32">
        <f>_xlfn.XLOOKUP(D234,Models!H:H,Models!G:G,D234)</f>
        <v>0</v>
      </c>
      <c r="F234" s="32">
        <f>_xlfn.XLOOKUP(B234,Input!J:J,Input!E:E)</f>
        <v>0</v>
      </c>
      <c r="G234" s="32">
        <f>IF(F234="LENOVO",_xlfn.XLOOKUP(B234,Input!J:J,Input!K:K),_xlfn.XLOOKUP(B234,Input!J:J,Input!L:L))</f>
        <v>0</v>
      </c>
      <c r="H234" s="32"/>
      <c r="I234" s="32"/>
      <c r="J234" s="32">
        <f>_xlfn.XLOOKUP(B234,CPU_Formula!A:A,CPU_Formula!I:I)</f>
        <v>0</v>
      </c>
      <c r="K234" s="42" t="e">
        <f>INDEX(Input!$D$2:$AC$500,
       MATCH(B234, Input!$J$2:$J$500, 0),
       MATCH("Total Memory", Input!$D$1:$AC$1, 0))</f>
        <v>#N/A</v>
      </c>
      <c r="L234" s="42" t="e">
        <f>INDEX(Input!$D$2:$AC$500,
       MATCH(B234, Input!$J$2:$J$500, 0),
       MATCH("Memory Type", Input!$D$1:$AC$1, 0))</f>
        <v>#N/A</v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e">
        <f t="shared" si="11"/>
        <v>#N/A</v>
      </c>
      <c r="O234" s="42" t="e">
        <f>INDEX(Input!$D$2:$AC$500,
       MATCH(B234, Input!$J$2:$J$500, 0),
       MATCH("Disk Interface Type", Input!$D$1:$AC$1, 0))</f>
        <v>#N/A</v>
      </c>
      <c r="P234" s="42" t="str" cm="1">
        <f t="array" ref="P234">IFERROR(_xlfn.TEXTJOIN(", ", TRUE, _xlfn._xlws.FILTER(
    INDEX(Input!$D$2:$AC$500,,MATCH("Disk Capacity",Input!$D$1:$AC$1,0)),
    Input!$J$2:$J$500=B234
)), "")</f>
        <v/>
      </c>
      <c r="Q234" s="32" t="e">
        <f t="shared" si="10"/>
        <v>#N/A</v>
      </c>
      <c r="R234" s="42" t="e">
        <f>_xlfn.LET(_xlpm.Result,INDEX(Input!$D$2:$AC$500,
       MATCH(B234, Input!$J$2:$J$500, 0),
       MATCH("Capacity", Input!$D$1:$AC$1, 0)),IF(_xlpm.Result="","",_xlpm.Result))</f>
        <v>#N/A</v>
      </c>
      <c r="S234" s="42" t="e" cm="1">
        <f t="array" ref="S234">_xlfn.TEXTSPLIT(R234," / ", ,TRUE,0,)</f>
        <v>#N/A</v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:AD234">IFERROR(IF(_xlfn.XLOOKUP(B234,Input!J:J,Input!N:U)=0,"",
          _xlfn.XLOOKUP(B234,Input!J:J,Input!N:U)),"")</f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42" t="str">
        <v/>
      </c>
      <c r="AE234" s="32" t="str">
        <f t="shared" si="9"/>
        <v/>
      </c>
      <c r="AF234" s="32" t="str">
        <f>_xlfn.XLOOKUP(B:B,Disk_Pivot!G:G,Disk_Pivot!I:I)</f>
        <v>Yes x2</v>
      </c>
      <c r="AG234" s="32" t="str">
        <f>_xlfn.XLOOKUP(B234,Disk_Pivot!G:G,Disk_Pivot!N:N)</f>
        <v>Pass, Fail</v>
      </c>
      <c r="AH234" s="32"/>
      <c r="AI234" s="32"/>
      <c r="AJ234" s="32"/>
      <c r="AK234" s="32"/>
      <c r="AL234" s="32"/>
      <c r="AM234" s="32"/>
    </row>
    <row r="235" spans="1:39">
      <c r="A235" s="32" t="str">
        <f>_xlfn.XLOOKUP(B235,Input!J:J,Input!G:G)&amp;""</f>
        <v/>
      </c>
      <c r="B235" s="32"/>
      <c r="C235" s="32" t="str">
        <f>_xlfn.XLOOKUP(B235,Input!J:J,Input!H:H)&amp;""</f>
        <v/>
      </c>
      <c r="D235" s="42">
        <f>_xlfn.XLOOKUP(B235,Input!J:J,Input!F:F)</f>
        <v>0</v>
      </c>
      <c r="E235" s="32">
        <f>_xlfn.XLOOKUP(D235,Models!H:H,Models!G:G,D235)</f>
        <v>0</v>
      </c>
      <c r="F235" s="32">
        <f>_xlfn.XLOOKUP(B235,Input!J:J,Input!E:E)</f>
        <v>0</v>
      </c>
      <c r="G235" s="32">
        <f>IF(F235="LENOVO",_xlfn.XLOOKUP(B235,Input!J:J,Input!K:K),_xlfn.XLOOKUP(B235,Input!J:J,Input!L:L))</f>
        <v>0</v>
      </c>
      <c r="H235" s="32"/>
      <c r="I235" s="32"/>
      <c r="J235" s="32">
        <f>_xlfn.XLOOKUP(B235,CPU_Formula!A:A,CPU_Formula!I:I)</f>
        <v>0</v>
      </c>
      <c r="K235" s="42" t="e">
        <f>INDEX(Input!$D$2:$AC$500,
       MATCH(B235, Input!$J$2:$J$500, 0),
       MATCH("Total Memory", Input!$D$1:$AC$1, 0))</f>
        <v>#N/A</v>
      </c>
      <c r="L235" s="42" t="e">
        <f>INDEX(Input!$D$2:$AC$500,
       MATCH(B235, Input!$J$2:$J$500, 0),
       MATCH("Memory Type", Input!$D$1:$AC$1, 0))</f>
        <v>#N/A</v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e">
        <f t="shared" si="11"/>
        <v>#N/A</v>
      </c>
      <c r="O235" s="42" t="e">
        <f>INDEX(Input!$D$2:$AC$500,
       MATCH(B235, Input!$J$2:$J$500, 0),
       MATCH("Disk Interface Type", Input!$D$1:$AC$1, 0))</f>
        <v>#N/A</v>
      </c>
      <c r="P235" s="42" t="str" cm="1">
        <f t="array" ref="P235">IFERROR(_xlfn.TEXTJOIN(", ", TRUE, _xlfn._xlws.FILTER(
    INDEX(Input!$D$2:$AC$500,,MATCH("Disk Capacity",Input!$D$1:$AC$1,0)),
    Input!$J$2:$J$500=B235
)), "")</f>
        <v/>
      </c>
      <c r="Q235" s="32" t="e">
        <f t="shared" si="10"/>
        <v>#N/A</v>
      </c>
      <c r="R235" s="42" t="e">
        <f>_xlfn.LET(_xlpm.Result,INDEX(Input!$D$2:$AC$500,
       MATCH(B235, Input!$J$2:$J$500, 0),
       MATCH("Capacity", Input!$D$1:$AC$1, 0)),IF(_xlpm.Result="","",_xlpm.Result))</f>
        <v>#N/A</v>
      </c>
      <c r="S235" s="42" t="e" cm="1">
        <f t="array" ref="S235">_xlfn.TEXTSPLIT(R235," / ", ,TRUE,0,)</f>
        <v>#N/A</v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:AD235">IFERROR(IF(_xlfn.XLOOKUP(B235,Input!J:J,Input!N:U)=0,"",
          _xlfn.XLOOKUP(B235,Input!J:J,Input!N:U)),"")</f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42" t="str">
        <v/>
      </c>
      <c r="AE235" s="32" t="str">
        <f t="shared" si="9"/>
        <v/>
      </c>
      <c r="AF235" s="32" t="str">
        <f>_xlfn.XLOOKUP(B:B,Disk_Pivot!G:G,Disk_Pivot!I:I)</f>
        <v>Yes x2</v>
      </c>
      <c r="AG235" s="32" t="str">
        <f>_xlfn.XLOOKUP(B235,Disk_Pivot!G:G,Disk_Pivot!N:N)</f>
        <v>Pass, Fail</v>
      </c>
      <c r="AH235" s="32"/>
      <c r="AI235" s="32"/>
      <c r="AJ235" s="32"/>
      <c r="AK235" s="32"/>
      <c r="AL235" s="32"/>
      <c r="AM235" s="32"/>
    </row>
    <row r="236" spans="1:39">
      <c r="A236" s="32" t="str">
        <f>_xlfn.XLOOKUP(B236,Input!J:J,Input!G:G)&amp;""</f>
        <v/>
      </c>
      <c r="B236" s="32"/>
      <c r="C236" s="32" t="str">
        <f>_xlfn.XLOOKUP(B236,Input!J:J,Input!H:H)&amp;""</f>
        <v/>
      </c>
      <c r="D236" s="42">
        <f>_xlfn.XLOOKUP(B236,Input!J:J,Input!F:F)</f>
        <v>0</v>
      </c>
      <c r="E236" s="32">
        <f>_xlfn.XLOOKUP(D236,Models!H:H,Models!G:G,D236)</f>
        <v>0</v>
      </c>
      <c r="F236" s="32">
        <f>_xlfn.XLOOKUP(B236,Input!J:J,Input!E:E)</f>
        <v>0</v>
      </c>
      <c r="G236" s="32">
        <f>IF(F236="LENOVO",_xlfn.XLOOKUP(B236,Input!J:J,Input!K:K),_xlfn.XLOOKUP(B236,Input!J:J,Input!L:L))</f>
        <v>0</v>
      </c>
      <c r="H236" s="32"/>
      <c r="I236" s="32"/>
      <c r="J236" s="32">
        <f>_xlfn.XLOOKUP(B236,CPU_Formula!A:A,CPU_Formula!I:I)</f>
        <v>0</v>
      </c>
      <c r="K236" s="42" t="e">
        <f>INDEX(Input!$D$2:$AC$500,
       MATCH(B236, Input!$J$2:$J$500, 0),
       MATCH("Total Memory", Input!$D$1:$AC$1, 0))</f>
        <v>#N/A</v>
      </c>
      <c r="L236" s="42" t="e">
        <f>INDEX(Input!$D$2:$AC$500,
       MATCH(B236, Input!$J$2:$J$500, 0),
       MATCH("Memory Type", Input!$D$1:$AC$1, 0))</f>
        <v>#N/A</v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e">
        <f t="shared" si="11"/>
        <v>#N/A</v>
      </c>
      <c r="O236" s="42" t="e">
        <f>INDEX(Input!$D$2:$AC$500,
       MATCH(B236, Input!$J$2:$J$500, 0),
       MATCH("Disk Interface Type", Input!$D$1:$AC$1, 0))</f>
        <v>#N/A</v>
      </c>
      <c r="P236" s="42" t="str" cm="1">
        <f t="array" ref="P236">IFERROR(_xlfn.TEXTJOIN(", ", TRUE, _xlfn._xlws.FILTER(
    INDEX(Input!$D$2:$AC$500,,MATCH("Disk Capacity",Input!$D$1:$AC$1,0)),
    Input!$J$2:$J$500=B236
)), "")</f>
        <v/>
      </c>
      <c r="Q236" s="32" t="e">
        <f t="shared" si="10"/>
        <v>#N/A</v>
      </c>
      <c r="R236" s="42" t="e">
        <f>_xlfn.LET(_xlpm.Result,INDEX(Input!$D$2:$AC$500,
       MATCH(B236, Input!$J$2:$J$500, 0),
       MATCH("Capacity", Input!$D$1:$AC$1, 0)),IF(_xlpm.Result="","",_xlpm.Result))</f>
        <v>#N/A</v>
      </c>
      <c r="S236" s="42" t="e" cm="1">
        <f t="array" ref="S236">_xlfn.TEXTSPLIT(R236," / ", ,TRUE,0,)</f>
        <v>#N/A</v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:AD236">IFERROR(IF(_xlfn.XLOOKUP(B236,Input!J:J,Input!N:U)=0,"",
          _xlfn.XLOOKUP(B236,Input!J:J,Input!N:U)),"")</f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42" t="str">
        <v/>
      </c>
      <c r="AE236" s="32" t="str">
        <f t="shared" si="9"/>
        <v/>
      </c>
      <c r="AF236" s="32" t="str">
        <f>_xlfn.XLOOKUP(B:B,Disk_Pivot!G:G,Disk_Pivot!I:I)</f>
        <v>Yes x2</v>
      </c>
      <c r="AG236" s="32" t="str">
        <f>_xlfn.XLOOKUP(B236,Disk_Pivot!G:G,Disk_Pivot!N:N)</f>
        <v>Pass, Fail</v>
      </c>
      <c r="AH236" s="32"/>
      <c r="AI236" s="32"/>
      <c r="AJ236" s="32"/>
      <c r="AK236" s="32"/>
      <c r="AL236" s="32"/>
      <c r="AM236" s="32"/>
    </row>
    <row r="237" spans="1:39">
      <c r="A237" s="32" t="str">
        <f>_xlfn.XLOOKUP(B237,Input!J:J,Input!G:G)&amp;""</f>
        <v/>
      </c>
      <c r="B237" s="32"/>
      <c r="C237" s="32" t="str">
        <f>_xlfn.XLOOKUP(B237,Input!J:J,Input!H:H)&amp;""</f>
        <v/>
      </c>
      <c r="D237" s="42">
        <f>_xlfn.XLOOKUP(B237,Input!J:J,Input!F:F)</f>
        <v>0</v>
      </c>
      <c r="E237" s="32">
        <f>_xlfn.XLOOKUP(D237,Models!H:H,Models!G:G,D237)</f>
        <v>0</v>
      </c>
      <c r="F237" s="32">
        <f>_xlfn.XLOOKUP(B237,Input!J:J,Input!E:E)</f>
        <v>0</v>
      </c>
      <c r="G237" s="32">
        <f>IF(F237="LENOVO",_xlfn.XLOOKUP(B237,Input!J:J,Input!K:K),_xlfn.XLOOKUP(B237,Input!J:J,Input!L:L))</f>
        <v>0</v>
      </c>
      <c r="H237" s="32"/>
      <c r="I237" s="32"/>
      <c r="J237" s="32">
        <f>_xlfn.XLOOKUP(B237,CPU_Formula!A:A,CPU_Formula!I:I)</f>
        <v>0</v>
      </c>
      <c r="K237" s="42" t="e">
        <f>INDEX(Input!$D$2:$AC$500,
       MATCH(B237, Input!$J$2:$J$500, 0),
       MATCH("Total Memory", Input!$D$1:$AC$1, 0))</f>
        <v>#N/A</v>
      </c>
      <c r="L237" s="42" t="e">
        <f>INDEX(Input!$D$2:$AC$500,
       MATCH(B237, Input!$J$2:$J$500, 0),
       MATCH("Memory Type", Input!$D$1:$AC$1, 0))</f>
        <v>#N/A</v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e">
        <f t="shared" si="11"/>
        <v>#N/A</v>
      </c>
      <c r="O237" s="42" t="e">
        <f>INDEX(Input!$D$2:$AC$500,
       MATCH(B237, Input!$J$2:$J$500, 0),
       MATCH("Disk Interface Type", Input!$D$1:$AC$1, 0))</f>
        <v>#N/A</v>
      </c>
      <c r="P237" s="42" t="str" cm="1">
        <f t="array" ref="P237">IFERROR(_xlfn.TEXTJOIN(", ", TRUE, _xlfn._xlws.FILTER(
    INDEX(Input!$D$2:$AC$500,,MATCH("Disk Capacity",Input!$D$1:$AC$1,0)),
    Input!$J$2:$J$500=B237
)), "")</f>
        <v/>
      </c>
      <c r="Q237" s="32" t="e">
        <f t="shared" si="10"/>
        <v>#N/A</v>
      </c>
      <c r="R237" s="42" t="e">
        <f>_xlfn.LET(_xlpm.Result,INDEX(Input!$D$2:$AC$500,
       MATCH(B237, Input!$J$2:$J$500, 0),
       MATCH("Capacity", Input!$D$1:$AC$1, 0)),IF(_xlpm.Result="","",_xlpm.Result))</f>
        <v>#N/A</v>
      </c>
      <c r="S237" s="42" t="e" cm="1">
        <f t="array" ref="S237">_xlfn.TEXTSPLIT(R237," / ", ,TRUE,0,)</f>
        <v>#N/A</v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:AD237">IFERROR(IF(_xlfn.XLOOKUP(B237,Input!J:J,Input!N:U)=0,"",
          _xlfn.XLOOKUP(B237,Input!J:J,Input!N:U)),"")</f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42" t="str">
        <v/>
      </c>
      <c r="AE237" s="32" t="str">
        <f t="shared" si="9"/>
        <v/>
      </c>
      <c r="AF237" s="32" t="str">
        <f>_xlfn.XLOOKUP(B:B,Disk_Pivot!G:G,Disk_Pivot!I:I)</f>
        <v>Yes x2</v>
      </c>
      <c r="AG237" s="32" t="str">
        <f>_xlfn.XLOOKUP(B237,Disk_Pivot!G:G,Disk_Pivot!N:N)</f>
        <v>Pass, Fail</v>
      </c>
      <c r="AH237" s="32"/>
      <c r="AI237" s="32"/>
      <c r="AJ237" s="32"/>
      <c r="AK237" s="32"/>
      <c r="AL237" s="32"/>
      <c r="AM237" s="32"/>
    </row>
    <row r="238" spans="1:39">
      <c r="A238" s="32" t="str">
        <f>_xlfn.XLOOKUP(B238,Input!J:J,Input!G:G)&amp;""</f>
        <v/>
      </c>
      <c r="B238" s="32"/>
      <c r="C238" s="32" t="str">
        <f>_xlfn.XLOOKUP(B238,Input!J:J,Input!H:H)&amp;""</f>
        <v/>
      </c>
      <c r="D238" s="42">
        <f>_xlfn.XLOOKUP(B238,Input!J:J,Input!F:F)</f>
        <v>0</v>
      </c>
      <c r="E238" s="32">
        <f>_xlfn.XLOOKUP(D238,Models!H:H,Models!G:G,D238)</f>
        <v>0</v>
      </c>
      <c r="F238" s="32">
        <f>_xlfn.XLOOKUP(B238,Input!J:J,Input!E:E)</f>
        <v>0</v>
      </c>
      <c r="G238" s="32">
        <f>IF(F238="LENOVO",_xlfn.XLOOKUP(B238,Input!J:J,Input!K:K),_xlfn.XLOOKUP(B238,Input!J:J,Input!L:L))</f>
        <v>0</v>
      </c>
      <c r="H238" s="32"/>
      <c r="I238" s="32"/>
      <c r="J238" s="32">
        <f>_xlfn.XLOOKUP(B238,CPU_Formula!A:A,CPU_Formula!I:I)</f>
        <v>0</v>
      </c>
      <c r="K238" s="42" t="e">
        <f>INDEX(Input!$D$2:$AC$500,
       MATCH(B238, Input!$J$2:$J$500, 0),
       MATCH("Total Memory", Input!$D$1:$AC$1, 0))</f>
        <v>#N/A</v>
      </c>
      <c r="L238" s="42" t="e">
        <f>INDEX(Input!$D$2:$AC$500,
       MATCH(B238, Input!$J$2:$J$500, 0),
       MATCH("Memory Type", Input!$D$1:$AC$1, 0))</f>
        <v>#N/A</v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e">
        <f t="shared" si="11"/>
        <v>#N/A</v>
      </c>
      <c r="O238" s="42" t="e">
        <f>INDEX(Input!$D$2:$AC$500,
       MATCH(B238, Input!$J$2:$J$500, 0),
       MATCH("Disk Interface Type", Input!$D$1:$AC$1, 0))</f>
        <v>#N/A</v>
      </c>
      <c r="P238" s="42" t="str" cm="1">
        <f t="array" ref="P238">IFERROR(_xlfn.TEXTJOIN(", ", TRUE, _xlfn._xlws.FILTER(
    INDEX(Input!$D$2:$AC$500,,MATCH("Disk Capacity",Input!$D$1:$AC$1,0)),
    Input!$J$2:$J$500=B238
)), "")</f>
        <v/>
      </c>
      <c r="Q238" s="32" t="e">
        <f t="shared" si="10"/>
        <v>#N/A</v>
      </c>
      <c r="R238" s="42" t="e">
        <f>_xlfn.LET(_xlpm.Result,INDEX(Input!$D$2:$AC$500,
       MATCH(B238, Input!$J$2:$J$500, 0),
       MATCH("Capacity", Input!$D$1:$AC$1, 0)),IF(_xlpm.Result="","",_xlpm.Result))</f>
        <v>#N/A</v>
      </c>
      <c r="S238" s="42" t="e" cm="1">
        <f t="array" ref="S238">_xlfn.TEXTSPLIT(R238," / ", ,TRUE,0,)</f>
        <v>#N/A</v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:AD238">IFERROR(IF(_xlfn.XLOOKUP(B238,Input!J:J,Input!N:U)=0,"",
          _xlfn.XLOOKUP(B238,Input!J:J,Input!N:U)),"")</f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42" t="str">
        <v/>
      </c>
      <c r="AE238" s="32" t="str">
        <f t="shared" si="9"/>
        <v/>
      </c>
      <c r="AF238" s="32" t="str">
        <f>_xlfn.XLOOKUP(B:B,Disk_Pivot!G:G,Disk_Pivot!I:I)</f>
        <v>Yes x2</v>
      </c>
      <c r="AG238" s="32" t="str">
        <f>_xlfn.XLOOKUP(B238,Disk_Pivot!G:G,Disk_Pivot!N:N)</f>
        <v>Pass, Fail</v>
      </c>
      <c r="AH238" s="32"/>
      <c r="AI238" s="32"/>
      <c r="AJ238" s="32"/>
      <c r="AK238" s="32"/>
      <c r="AL238" s="32"/>
      <c r="AM238" s="32"/>
    </row>
    <row r="239" spans="1:39">
      <c r="A239" s="32" t="str">
        <f>_xlfn.XLOOKUP(B239,Input!J:J,Input!G:G)&amp;""</f>
        <v/>
      </c>
      <c r="B239" s="32"/>
      <c r="C239" s="32" t="str">
        <f>_xlfn.XLOOKUP(B239,Input!J:J,Input!H:H)&amp;""</f>
        <v/>
      </c>
      <c r="D239" s="42">
        <f>_xlfn.XLOOKUP(B239,Input!J:J,Input!F:F)</f>
        <v>0</v>
      </c>
      <c r="E239" s="32">
        <f>_xlfn.XLOOKUP(D239,Models!H:H,Models!G:G,D239)</f>
        <v>0</v>
      </c>
      <c r="F239" s="32">
        <f>_xlfn.XLOOKUP(B239,Input!J:J,Input!E:E)</f>
        <v>0</v>
      </c>
      <c r="G239" s="32">
        <f>IF(F239="LENOVO",_xlfn.XLOOKUP(B239,Input!J:J,Input!K:K),_xlfn.XLOOKUP(B239,Input!J:J,Input!L:L))</f>
        <v>0</v>
      </c>
      <c r="H239" s="32"/>
      <c r="I239" s="32"/>
      <c r="J239" s="32">
        <f>_xlfn.XLOOKUP(B239,CPU_Formula!A:A,CPU_Formula!I:I)</f>
        <v>0</v>
      </c>
      <c r="K239" s="42" t="e">
        <f>INDEX(Input!$D$2:$AC$500,
       MATCH(B239, Input!$J$2:$J$500, 0),
       MATCH("Total Memory", Input!$D$1:$AC$1, 0))</f>
        <v>#N/A</v>
      </c>
      <c r="L239" s="42" t="e">
        <f>INDEX(Input!$D$2:$AC$500,
       MATCH(B239, Input!$J$2:$J$500, 0),
       MATCH("Memory Type", Input!$D$1:$AC$1, 0))</f>
        <v>#N/A</v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e">
        <f t="shared" si="11"/>
        <v>#N/A</v>
      </c>
      <c r="O239" s="42" t="e">
        <f>INDEX(Input!$D$2:$AC$500,
       MATCH(B239, Input!$J$2:$J$500, 0),
       MATCH("Disk Interface Type", Input!$D$1:$AC$1, 0))</f>
        <v>#N/A</v>
      </c>
      <c r="P239" s="42" t="str" cm="1">
        <f t="array" ref="P239">IFERROR(_xlfn.TEXTJOIN(", ", TRUE, _xlfn._xlws.FILTER(
    INDEX(Input!$D$2:$AC$500,,MATCH("Disk Capacity",Input!$D$1:$AC$1,0)),
    Input!$J$2:$J$500=B239
)), "")</f>
        <v/>
      </c>
      <c r="Q239" s="32" t="e">
        <f t="shared" si="10"/>
        <v>#N/A</v>
      </c>
      <c r="R239" s="42" t="e">
        <f>_xlfn.LET(_xlpm.Result,INDEX(Input!$D$2:$AC$500,
       MATCH(B239, Input!$J$2:$J$500, 0),
       MATCH("Capacity", Input!$D$1:$AC$1, 0)),IF(_xlpm.Result="","",_xlpm.Result))</f>
        <v>#N/A</v>
      </c>
      <c r="S239" s="42" t="e" cm="1">
        <f t="array" ref="S239">_xlfn.TEXTSPLIT(R239," / ", ,TRUE,0,)</f>
        <v>#N/A</v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:AD239">IFERROR(IF(_xlfn.XLOOKUP(B239,Input!J:J,Input!N:U)=0,"",
          _xlfn.XLOOKUP(B239,Input!J:J,Input!N:U)),"")</f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42" t="str">
        <v/>
      </c>
      <c r="AE239" s="32" t="str">
        <f t="shared" si="9"/>
        <v/>
      </c>
      <c r="AF239" s="32" t="str">
        <f>_xlfn.XLOOKUP(B:B,Disk_Pivot!G:G,Disk_Pivot!I:I)</f>
        <v>Yes x2</v>
      </c>
      <c r="AG239" s="32" t="str">
        <f>_xlfn.XLOOKUP(B239,Disk_Pivot!G:G,Disk_Pivot!N:N)</f>
        <v>Pass, Fail</v>
      </c>
      <c r="AH239" s="32"/>
      <c r="AI239" s="32"/>
      <c r="AJ239" s="32"/>
      <c r="AK239" s="32"/>
      <c r="AL239" s="32"/>
      <c r="AM239" s="32"/>
    </row>
    <row r="240" spans="1:39">
      <c r="A240" s="32" t="str">
        <f>_xlfn.XLOOKUP(B240,Input!J:J,Input!G:G)&amp;""</f>
        <v/>
      </c>
      <c r="B240" s="32"/>
      <c r="C240" s="32" t="str">
        <f>_xlfn.XLOOKUP(B240,Input!J:J,Input!H:H)&amp;""</f>
        <v/>
      </c>
      <c r="D240" s="42">
        <f>_xlfn.XLOOKUP(B240,Input!J:J,Input!F:F)</f>
        <v>0</v>
      </c>
      <c r="E240" s="32">
        <f>_xlfn.XLOOKUP(D240,Models!H:H,Models!G:G,D240)</f>
        <v>0</v>
      </c>
      <c r="F240" s="32">
        <f>_xlfn.XLOOKUP(B240,Input!J:J,Input!E:E)</f>
        <v>0</v>
      </c>
      <c r="G240" s="32">
        <f>IF(F240="LENOVO",_xlfn.XLOOKUP(B240,Input!J:J,Input!K:K),_xlfn.XLOOKUP(B240,Input!J:J,Input!L:L))</f>
        <v>0</v>
      </c>
      <c r="H240" s="32"/>
      <c r="I240" s="32"/>
      <c r="J240" s="32">
        <f>_xlfn.XLOOKUP(B240,CPU_Formula!A:A,CPU_Formula!I:I)</f>
        <v>0</v>
      </c>
      <c r="K240" s="42" t="e">
        <f>INDEX(Input!$D$2:$AC$500,
       MATCH(B240, Input!$J$2:$J$500, 0),
       MATCH("Total Memory", Input!$D$1:$AC$1, 0))</f>
        <v>#N/A</v>
      </c>
      <c r="L240" s="42" t="e">
        <f>INDEX(Input!$D$2:$AC$500,
       MATCH(B240, Input!$J$2:$J$500, 0),
       MATCH("Memory Type", Input!$D$1:$AC$1, 0))</f>
        <v>#N/A</v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e">
        <f t="shared" si="11"/>
        <v>#N/A</v>
      </c>
      <c r="O240" s="42" t="e">
        <f>INDEX(Input!$D$2:$AC$500,
       MATCH(B240, Input!$J$2:$J$500, 0),
       MATCH("Disk Interface Type", Input!$D$1:$AC$1, 0))</f>
        <v>#N/A</v>
      </c>
      <c r="P240" s="42" t="str" cm="1">
        <f t="array" ref="P240">IFERROR(_xlfn.TEXTJOIN(", ", TRUE, _xlfn._xlws.FILTER(
    INDEX(Input!$D$2:$AC$500,,MATCH("Disk Capacity",Input!$D$1:$AC$1,0)),
    Input!$J$2:$J$500=B240
)), "")</f>
        <v/>
      </c>
      <c r="Q240" s="32" t="e">
        <f t="shared" si="10"/>
        <v>#N/A</v>
      </c>
      <c r="R240" s="42" t="e">
        <f>_xlfn.LET(_xlpm.Result,INDEX(Input!$D$2:$AC$500,
       MATCH(B240, Input!$J$2:$J$500, 0),
       MATCH("Capacity", Input!$D$1:$AC$1, 0)),IF(_xlpm.Result="","",_xlpm.Result))</f>
        <v>#N/A</v>
      </c>
      <c r="S240" s="42" t="e" cm="1">
        <f t="array" ref="S240">_xlfn.TEXTSPLIT(R240," / ", ,TRUE,0,)</f>
        <v>#N/A</v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:AD240">IFERROR(IF(_xlfn.XLOOKUP(B240,Input!J:J,Input!N:U)=0,"",
          _xlfn.XLOOKUP(B240,Input!J:J,Input!N:U)),"")</f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42" t="str">
        <v/>
      </c>
      <c r="AE240" s="32" t="str">
        <f t="shared" si="9"/>
        <v/>
      </c>
      <c r="AF240" s="32" t="str">
        <f>_xlfn.XLOOKUP(B:B,Disk_Pivot!G:G,Disk_Pivot!I:I)</f>
        <v>Yes x2</v>
      </c>
      <c r="AG240" s="32" t="str">
        <f>_xlfn.XLOOKUP(B240,Disk_Pivot!G:G,Disk_Pivot!N:N)</f>
        <v>Pass, Fail</v>
      </c>
      <c r="AH240" s="32"/>
      <c r="AI240" s="32"/>
      <c r="AJ240" s="32"/>
      <c r="AK240" s="32"/>
      <c r="AL240" s="32"/>
      <c r="AM240" s="32"/>
    </row>
    <row r="241" spans="1:39">
      <c r="A241" s="32" t="str">
        <f>_xlfn.XLOOKUP(B241,Input!J:J,Input!G:G)&amp;""</f>
        <v/>
      </c>
      <c r="B241" s="32"/>
      <c r="C241" s="32" t="str">
        <f>_xlfn.XLOOKUP(B241,Input!J:J,Input!H:H)&amp;""</f>
        <v/>
      </c>
      <c r="D241" s="42">
        <f>_xlfn.XLOOKUP(B241,Input!J:J,Input!F:F)</f>
        <v>0</v>
      </c>
      <c r="E241" s="32">
        <f>_xlfn.XLOOKUP(D241,Models!H:H,Models!G:G,D241)</f>
        <v>0</v>
      </c>
      <c r="F241" s="32">
        <f>_xlfn.XLOOKUP(B241,Input!J:J,Input!E:E)</f>
        <v>0</v>
      </c>
      <c r="G241" s="32">
        <f>IF(F241="LENOVO",_xlfn.XLOOKUP(B241,Input!J:J,Input!K:K),_xlfn.XLOOKUP(B241,Input!J:J,Input!L:L))</f>
        <v>0</v>
      </c>
      <c r="H241" s="32"/>
      <c r="I241" s="32"/>
      <c r="J241" s="32">
        <f>_xlfn.XLOOKUP(B241,CPU_Formula!A:A,CPU_Formula!I:I)</f>
        <v>0</v>
      </c>
      <c r="K241" s="42" t="e">
        <f>INDEX(Input!$D$2:$AC$500,
       MATCH(B241, Input!$J$2:$J$500, 0),
       MATCH("Total Memory", Input!$D$1:$AC$1, 0))</f>
        <v>#N/A</v>
      </c>
      <c r="L241" s="42" t="e">
        <f>INDEX(Input!$D$2:$AC$500,
       MATCH(B241, Input!$J$2:$J$500, 0),
       MATCH("Memory Type", Input!$D$1:$AC$1, 0))</f>
        <v>#N/A</v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e">
        <f t="shared" si="11"/>
        <v>#N/A</v>
      </c>
      <c r="O241" s="42" t="e">
        <f>INDEX(Input!$D$2:$AC$500,
       MATCH(B241, Input!$J$2:$J$500, 0),
       MATCH("Disk Interface Type", Input!$D$1:$AC$1, 0))</f>
        <v>#N/A</v>
      </c>
      <c r="P241" s="42" t="str" cm="1">
        <f t="array" ref="P241">IFERROR(_xlfn.TEXTJOIN(", ", TRUE, _xlfn._xlws.FILTER(
    INDEX(Input!$D$2:$AC$500,,MATCH("Disk Capacity",Input!$D$1:$AC$1,0)),
    Input!$J$2:$J$500=B241
)), "")</f>
        <v/>
      </c>
      <c r="Q241" s="32" t="e">
        <f t="shared" si="10"/>
        <v>#N/A</v>
      </c>
      <c r="R241" s="42" t="e">
        <f>_xlfn.LET(_xlpm.Result,INDEX(Input!$D$2:$AC$500,
       MATCH(B241, Input!$J$2:$J$500, 0),
       MATCH("Capacity", Input!$D$1:$AC$1, 0)),IF(_xlpm.Result="","",_xlpm.Result))</f>
        <v>#N/A</v>
      </c>
      <c r="S241" s="42" t="e" cm="1">
        <f t="array" ref="S241">_xlfn.TEXTSPLIT(R241," / ", ,TRUE,0,)</f>
        <v>#N/A</v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:AD241">IFERROR(IF(_xlfn.XLOOKUP(B241,Input!J:J,Input!N:U)=0,"",
          _xlfn.XLOOKUP(B241,Input!J:J,Input!N:U)),"")</f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42" t="str">
        <v/>
      </c>
      <c r="AE241" s="32" t="str">
        <f t="shared" si="9"/>
        <v/>
      </c>
      <c r="AF241" s="32" t="str">
        <f>_xlfn.XLOOKUP(B:B,Disk_Pivot!G:G,Disk_Pivot!I:I)</f>
        <v>Yes x2</v>
      </c>
      <c r="AG241" s="32" t="str">
        <f>_xlfn.XLOOKUP(B241,Disk_Pivot!G:G,Disk_Pivot!N:N)</f>
        <v>Pass, Fail</v>
      </c>
      <c r="AH241" s="32"/>
      <c r="AI241" s="32"/>
      <c r="AJ241" s="32"/>
      <c r="AK241" s="32"/>
      <c r="AL241" s="32"/>
      <c r="AM241" s="32"/>
    </row>
    <row r="242" spans="1:39">
      <c r="A242" s="32" t="str">
        <f>_xlfn.XLOOKUP(B242,Input!J:J,Input!G:G)&amp;""</f>
        <v/>
      </c>
      <c r="B242" s="32"/>
      <c r="C242" s="32" t="str">
        <f>_xlfn.XLOOKUP(B242,Input!J:J,Input!H:H)&amp;""</f>
        <v/>
      </c>
      <c r="D242" s="42">
        <f>_xlfn.XLOOKUP(B242,Input!J:J,Input!F:F)</f>
        <v>0</v>
      </c>
      <c r="E242" s="32">
        <f>_xlfn.XLOOKUP(D242,Models!H:H,Models!G:G,D242)</f>
        <v>0</v>
      </c>
      <c r="F242" s="32">
        <f>_xlfn.XLOOKUP(B242,Input!J:J,Input!E:E)</f>
        <v>0</v>
      </c>
      <c r="G242" s="32">
        <f>IF(F242="LENOVO",_xlfn.XLOOKUP(B242,Input!J:J,Input!K:K),_xlfn.XLOOKUP(B242,Input!J:J,Input!L:L))</f>
        <v>0</v>
      </c>
      <c r="H242" s="32"/>
      <c r="I242" s="32"/>
      <c r="J242" s="32">
        <f>_xlfn.XLOOKUP(B242,CPU_Formula!A:A,CPU_Formula!I:I)</f>
        <v>0</v>
      </c>
      <c r="K242" s="42" t="e">
        <f>INDEX(Input!$D$2:$AC$500,
       MATCH(B242, Input!$J$2:$J$500, 0),
       MATCH("Total Memory", Input!$D$1:$AC$1, 0))</f>
        <v>#N/A</v>
      </c>
      <c r="L242" s="42" t="e">
        <f>INDEX(Input!$D$2:$AC$500,
       MATCH(B242, Input!$J$2:$J$500, 0),
       MATCH("Memory Type", Input!$D$1:$AC$1, 0))</f>
        <v>#N/A</v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e">
        <f t="shared" si="11"/>
        <v>#N/A</v>
      </c>
      <c r="O242" s="42" t="e">
        <f>INDEX(Input!$D$2:$AC$500,
       MATCH(B242, Input!$J$2:$J$500, 0),
       MATCH("Disk Interface Type", Input!$D$1:$AC$1, 0))</f>
        <v>#N/A</v>
      </c>
      <c r="P242" s="42" t="str" cm="1">
        <f t="array" ref="P242">IFERROR(_xlfn.TEXTJOIN(", ", TRUE, _xlfn._xlws.FILTER(
    INDEX(Input!$D$2:$AC$500,,MATCH("Disk Capacity",Input!$D$1:$AC$1,0)),
    Input!$J$2:$J$500=B242
)), "")</f>
        <v/>
      </c>
      <c r="Q242" s="32" t="e">
        <f t="shared" si="10"/>
        <v>#N/A</v>
      </c>
      <c r="R242" s="42" t="e">
        <f>_xlfn.LET(_xlpm.Result,INDEX(Input!$D$2:$AC$500,
       MATCH(B242, Input!$J$2:$J$500, 0),
       MATCH("Capacity", Input!$D$1:$AC$1, 0)),IF(_xlpm.Result="","",_xlpm.Result))</f>
        <v>#N/A</v>
      </c>
      <c r="S242" s="42" t="e" cm="1">
        <f t="array" ref="S242">_xlfn.TEXTSPLIT(R242," / ", ,TRUE,0,)</f>
        <v>#N/A</v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:AD242">IFERROR(IF(_xlfn.XLOOKUP(B242,Input!J:J,Input!N:U)=0,"",
          _xlfn.XLOOKUP(B242,Input!J:J,Input!N:U)),"")</f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42" t="str">
        <v/>
      </c>
      <c r="AE242" s="32" t="str">
        <f t="shared" si="9"/>
        <v/>
      </c>
      <c r="AF242" s="32" t="str">
        <f>_xlfn.XLOOKUP(B:B,Disk_Pivot!G:G,Disk_Pivot!I:I)</f>
        <v>Yes x2</v>
      </c>
      <c r="AG242" s="32" t="str">
        <f>_xlfn.XLOOKUP(B242,Disk_Pivot!G:G,Disk_Pivot!N:N)</f>
        <v>Pass, Fail</v>
      </c>
      <c r="AH242" s="32"/>
      <c r="AI242" s="32"/>
      <c r="AJ242" s="32"/>
      <c r="AK242" s="32"/>
      <c r="AL242" s="32"/>
      <c r="AM242" s="32"/>
    </row>
    <row r="243" spans="1:39">
      <c r="A243" s="32" t="str">
        <f>_xlfn.XLOOKUP(B243,Input!J:J,Input!G:G)&amp;""</f>
        <v/>
      </c>
      <c r="B243" s="32"/>
      <c r="C243" s="32" t="str">
        <f>_xlfn.XLOOKUP(B243,Input!J:J,Input!H:H)&amp;""</f>
        <v/>
      </c>
      <c r="D243" s="42">
        <f>_xlfn.XLOOKUP(B243,Input!J:J,Input!F:F)</f>
        <v>0</v>
      </c>
      <c r="E243" s="32">
        <f>_xlfn.XLOOKUP(D243,Models!H:H,Models!G:G,D243)</f>
        <v>0</v>
      </c>
      <c r="F243" s="32">
        <f>_xlfn.XLOOKUP(B243,Input!J:J,Input!E:E)</f>
        <v>0</v>
      </c>
      <c r="G243" s="32">
        <f>IF(F243="LENOVO",_xlfn.XLOOKUP(B243,Input!J:J,Input!K:K),_xlfn.XLOOKUP(B243,Input!J:J,Input!L:L))</f>
        <v>0</v>
      </c>
      <c r="H243" s="32"/>
      <c r="I243" s="32"/>
      <c r="J243" s="32">
        <f>_xlfn.XLOOKUP(B243,CPU_Formula!A:A,CPU_Formula!I:I)</f>
        <v>0</v>
      </c>
      <c r="K243" s="42" t="e">
        <f>INDEX(Input!$D$2:$AC$500,
       MATCH(B243, Input!$J$2:$J$500, 0),
       MATCH("Total Memory", Input!$D$1:$AC$1, 0))</f>
        <v>#N/A</v>
      </c>
      <c r="L243" s="42" t="e">
        <f>INDEX(Input!$D$2:$AC$500,
       MATCH(B243, Input!$J$2:$J$500, 0),
       MATCH("Memory Type", Input!$D$1:$AC$1, 0))</f>
        <v>#N/A</v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e">
        <f t="shared" si="11"/>
        <v>#N/A</v>
      </c>
      <c r="O243" s="42" t="e">
        <f>INDEX(Input!$D$2:$AC$500,
       MATCH(B243, Input!$J$2:$J$500, 0),
       MATCH("Disk Interface Type", Input!$D$1:$AC$1, 0))</f>
        <v>#N/A</v>
      </c>
      <c r="P243" s="42" t="str" cm="1">
        <f t="array" ref="P243">IFERROR(_xlfn.TEXTJOIN(", ", TRUE, _xlfn._xlws.FILTER(
    INDEX(Input!$D$2:$AC$500,,MATCH("Disk Capacity",Input!$D$1:$AC$1,0)),
    Input!$J$2:$J$500=B243
)), "")</f>
        <v/>
      </c>
      <c r="Q243" s="32" t="e">
        <f t="shared" si="10"/>
        <v>#N/A</v>
      </c>
      <c r="R243" s="42" t="e">
        <f>_xlfn.LET(_xlpm.Result,INDEX(Input!$D$2:$AC$500,
       MATCH(B243, Input!$J$2:$J$500, 0),
       MATCH("Capacity", Input!$D$1:$AC$1, 0)),IF(_xlpm.Result="","",_xlpm.Result))</f>
        <v>#N/A</v>
      </c>
      <c r="S243" s="42" t="e" cm="1">
        <f t="array" ref="S243">_xlfn.TEXTSPLIT(R243," / ", ,TRUE,0,)</f>
        <v>#N/A</v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:AD243">IFERROR(IF(_xlfn.XLOOKUP(B243,Input!J:J,Input!N:U)=0,"",
          _xlfn.XLOOKUP(B243,Input!J:J,Input!N:U)),"")</f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42" t="str">
        <v/>
      </c>
      <c r="AE243" s="32" t="str">
        <f t="shared" si="9"/>
        <v/>
      </c>
      <c r="AF243" s="32" t="str">
        <f>_xlfn.XLOOKUP(B:B,Disk_Pivot!G:G,Disk_Pivot!I:I)</f>
        <v>Yes x2</v>
      </c>
      <c r="AG243" s="32" t="str">
        <f>_xlfn.XLOOKUP(B243,Disk_Pivot!G:G,Disk_Pivot!N:N)</f>
        <v>Pass, Fail</v>
      </c>
      <c r="AH243" s="32"/>
      <c r="AI243" s="32"/>
      <c r="AJ243" s="32"/>
      <c r="AK243" s="32"/>
      <c r="AL243" s="32"/>
      <c r="AM243" s="32"/>
    </row>
    <row r="244" spans="1:39">
      <c r="A244" s="32" t="str">
        <f>_xlfn.XLOOKUP(B244,Input!J:J,Input!G:G)&amp;""</f>
        <v/>
      </c>
      <c r="B244" s="32"/>
      <c r="C244" s="32" t="str">
        <f>_xlfn.XLOOKUP(B244,Input!J:J,Input!H:H)&amp;""</f>
        <v/>
      </c>
      <c r="D244" s="42">
        <f>_xlfn.XLOOKUP(B244,Input!J:J,Input!F:F)</f>
        <v>0</v>
      </c>
      <c r="E244" s="32">
        <f>_xlfn.XLOOKUP(D244,Models!H:H,Models!G:G,D244)</f>
        <v>0</v>
      </c>
      <c r="F244" s="32">
        <f>_xlfn.XLOOKUP(B244,Input!J:J,Input!E:E)</f>
        <v>0</v>
      </c>
      <c r="G244" s="32">
        <f>IF(F244="LENOVO",_xlfn.XLOOKUP(B244,Input!J:J,Input!K:K),_xlfn.XLOOKUP(B244,Input!J:J,Input!L:L))</f>
        <v>0</v>
      </c>
      <c r="H244" s="32"/>
      <c r="I244" s="32"/>
      <c r="J244" s="32">
        <f>_xlfn.XLOOKUP(B244,CPU_Formula!A:A,CPU_Formula!I:I)</f>
        <v>0</v>
      </c>
      <c r="K244" s="42" t="e">
        <f>INDEX(Input!$D$2:$AC$500,
       MATCH(B244, Input!$J$2:$J$500, 0),
       MATCH("Total Memory", Input!$D$1:$AC$1, 0))</f>
        <v>#N/A</v>
      </c>
      <c r="L244" s="42" t="e">
        <f>INDEX(Input!$D$2:$AC$500,
       MATCH(B244, Input!$J$2:$J$500, 0),
       MATCH("Memory Type", Input!$D$1:$AC$1, 0))</f>
        <v>#N/A</v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e">
        <f t="shared" si="11"/>
        <v>#N/A</v>
      </c>
      <c r="O244" s="42" t="e">
        <f>INDEX(Input!$D$2:$AC$500,
       MATCH(B244, Input!$J$2:$J$500, 0),
       MATCH("Disk Interface Type", Input!$D$1:$AC$1, 0))</f>
        <v>#N/A</v>
      </c>
      <c r="P244" s="42" t="str" cm="1">
        <f t="array" ref="P244">IFERROR(_xlfn.TEXTJOIN(", ", TRUE, _xlfn._xlws.FILTER(
    INDEX(Input!$D$2:$AC$500,,MATCH("Disk Capacity",Input!$D$1:$AC$1,0)),
    Input!$J$2:$J$500=B244
)), "")</f>
        <v/>
      </c>
      <c r="Q244" s="32" t="e">
        <f t="shared" si="10"/>
        <v>#N/A</v>
      </c>
      <c r="R244" s="42" t="e">
        <f>_xlfn.LET(_xlpm.Result,INDEX(Input!$D$2:$AC$500,
       MATCH(B244, Input!$J$2:$J$500, 0),
       MATCH("Capacity", Input!$D$1:$AC$1, 0)),IF(_xlpm.Result="","",_xlpm.Result))</f>
        <v>#N/A</v>
      </c>
      <c r="S244" s="42" t="e" cm="1">
        <f t="array" ref="S244">_xlfn.TEXTSPLIT(R244," / ", ,TRUE,0,)</f>
        <v>#N/A</v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:AD244">IFERROR(IF(_xlfn.XLOOKUP(B244,Input!J:J,Input!N:U)=0,"",
          _xlfn.XLOOKUP(B244,Input!J:J,Input!N:U)),"")</f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42" t="str">
        <v/>
      </c>
      <c r="AE244" s="32" t="str">
        <f t="shared" si="9"/>
        <v/>
      </c>
      <c r="AF244" s="32" t="str">
        <f>_xlfn.XLOOKUP(B:B,Disk_Pivot!G:G,Disk_Pivot!I:I)</f>
        <v>Yes x2</v>
      </c>
      <c r="AG244" s="32" t="str">
        <f>_xlfn.XLOOKUP(B244,Disk_Pivot!G:G,Disk_Pivot!N:N)</f>
        <v>Pass, Fail</v>
      </c>
      <c r="AH244" s="32"/>
      <c r="AI244" s="32"/>
      <c r="AJ244" s="32"/>
      <c r="AK244" s="32"/>
      <c r="AL244" s="32"/>
      <c r="AM244" s="32"/>
    </row>
    <row r="245" spans="1:39">
      <c r="A245" s="32" t="str">
        <f>_xlfn.XLOOKUP(B245,Input!J:J,Input!G:G)&amp;""</f>
        <v/>
      </c>
      <c r="B245" s="32"/>
      <c r="C245" s="32" t="str">
        <f>_xlfn.XLOOKUP(B245,Input!J:J,Input!H:H)&amp;""</f>
        <v/>
      </c>
      <c r="D245" s="42">
        <f>_xlfn.XLOOKUP(B245,Input!J:J,Input!F:F)</f>
        <v>0</v>
      </c>
      <c r="E245" s="32">
        <f>_xlfn.XLOOKUP(D245,Models!H:H,Models!G:G,D245)</f>
        <v>0</v>
      </c>
      <c r="F245" s="32">
        <f>_xlfn.XLOOKUP(B245,Input!J:J,Input!E:E)</f>
        <v>0</v>
      </c>
      <c r="G245" s="32">
        <f>IF(F245="LENOVO",_xlfn.XLOOKUP(B245,Input!J:J,Input!K:K),_xlfn.XLOOKUP(B245,Input!J:J,Input!L:L))</f>
        <v>0</v>
      </c>
      <c r="H245" s="32"/>
      <c r="I245" s="32"/>
      <c r="J245" s="32">
        <f>_xlfn.XLOOKUP(B245,CPU_Formula!A:A,CPU_Formula!I:I)</f>
        <v>0</v>
      </c>
      <c r="K245" s="42" t="e">
        <f>INDEX(Input!$D$2:$AC$500,
       MATCH(B245, Input!$J$2:$J$500, 0),
       MATCH("Total Memory", Input!$D$1:$AC$1, 0))</f>
        <v>#N/A</v>
      </c>
      <c r="L245" s="42" t="e">
        <f>INDEX(Input!$D$2:$AC$500,
       MATCH(B245, Input!$J$2:$J$500, 0),
       MATCH("Memory Type", Input!$D$1:$AC$1, 0))</f>
        <v>#N/A</v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e">
        <f t="shared" si="11"/>
        <v>#N/A</v>
      </c>
      <c r="O245" s="42" t="e">
        <f>INDEX(Input!$D$2:$AC$500,
       MATCH(B245, Input!$J$2:$J$500, 0),
       MATCH("Disk Interface Type", Input!$D$1:$AC$1, 0))</f>
        <v>#N/A</v>
      </c>
      <c r="P245" s="42" t="str" cm="1">
        <f t="array" ref="P245">IFERROR(_xlfn.TEXTJOIN(", ", TRUE, _xlfn._xlws.FILTER(
    INDEX(Input!$D$2:$AC$500,,MATCH("Disk Capacity",Input!$D$1:$AC$1,0)),
    Input!$J$2:$J$500=B245
)), "")</f>
        <v/>
      </c>
      <c r="Q245" s="32" t="e">
        <f t="shared" si="10"/>
        <v>#N/A</v>
      </c>
      <c r="R245" s="42" t="e">
        <f>_xlfn.LET(_xlpm.Result,INDEX(Input!$D$2:$AC$500,
       MATCH(B245, Input!$J$2:$J$500, 0),
       MATCH("Capacity", Input!$D$1:$AC$1, 0)),IF(_xlpm.Result="","",_xlpm.Result))</f>
        <v>#N/A</v>
      </c>
      <c r="S245" s="42" t="e" cm="1">
        <f t="array" ref="S245">_xlfn.TEXTSPLIT(R245," / ", ,TRUE,0,)</f>
        <v>#N/A</v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:AD245">IFERROR(IF(_xlfn.XLOOKUP(B245,Input!J:J,Input!N:U)=0,"",
          _xlfn.XLOOKUP(B245,Input!J:J,Input!N:U)),"")</f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42" t="str">
        <v/>
      </c>
      <c r="AE245" s="32" t="str">
        <f t="shared" si="9"/>
        <v/>
      </c>
      <c r="AF245" s="32" t="str">
        <f>_xlfn.XLOOKUP(B:B,Disk_Pivot!G:G,Disk_Pivot!I:I)</f>
        <v>Yes x2</v>
      </c>
      <c r="AG245" s="32" t="str">
        <f>_xlfn.XLOOKUP(B245,Disk_Pivot!G:G,Disk_Pivot!N:N)</f>
        <v>Pass, Fail</v>
      </c>
      <c r="AH245" s="32"/>
      <c r="AI245" s="32"/>
      <c r="AJ245" s="32"/>
      <c r="AK245" s="32"/>
      <c r="AL245" s="32"/>
      <c r="AM245" s="32"/>
    </row>
    <row r="246" spans="1:39">
      <c r="A246" s="32" t="str">
        <f>_xlfn.XLOOKUP(B246,Input!J:J,Input!G:G)&amp;""</f>
        <v/>
      </c>
      <c r="B246" s="32"/>
      <c r="C246" s="32" t="str">
        <f>_xlfn.XLOOKUP(B246,Input!J:J,Input!H:H)&amp;""</f>
        <v/>
      </c>
      <c r="D246" s="42">
        <f>_xlfn.XLOOKUP(B246,Input!J:J,Input!F:F)</f>
        <v>0</v>
      </c>
      <c r="E246" s="32">
        <f>_xlfn.XLOOKUP(D246,Models!H:H,Models!G:G,D246)</f>
        <v>0</v>
      </c>
      <c r="F246" s="32">
        <f>_xlfn.XLOOKUP(B246,Input!J:J,Input!E:E)</f>
        <v>0</v>
      </c>
      <c r="G246" s="32">
        <f>IF(F246="LENOVO",_xlfn.XLOOKUP(B246,Input!J:J,Input!K:K),_xlfn.XLOOKUP(B246,Input!J:J,Input!L:L))</f>
        <v>0</v>
      </c>
      <c r="H246" s="32"/>
      <c r="I246" s="32"/>
      <c r="J246" s="32">
        <f>_xlfn.XLOOKUP(B246,CPU_Formula!A:A,CPU_Formula!I:I)</f>
        <v>0</v>
      </c>
      <c r="K246" s="42" t="e">
        <f>INDEX(Input!$D$2:$AC$500,
       MATCH(B246, Input!$J$2:$J$500, 0),
       MATCH("Total Memory", Input!$D$1:$AC$1, 0))</f>
        <v>#N/A</v>
      </c>
      <c r="L246" s="42" t="e">
        <f>INDEX(Input!$D$2:$AC$500,
       MATCH(B246, Input!$J$2:$J$500, 0),
       MATCH("Memory Type", Input!$D$1:$AC$1, 0))</f>
        <v>#N/A</v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e">
        <f t="shared" si="11"/>
        <v>#N/A</v>
      </c>
      <c r="O246" s="42" t="e">
        <f>INDEX(Input!$D$2:$AC$500,
       MATCH(B246, Input!$J$2:$J$500, 0),
       MATCH("Disk Interface Type", Input!$D$1:$AC$1, 0))</f>
        <v>#N/A</v>
      </c>
      <c r="P246" s="42" t="str" cm="1">
        <f t="array" ref="P246">IFERROR(_xlfn.TEXTJOIN(", ", TRUE, _xlfn._xlws.FILTER(
    INDEX(Input!$D$2:$AC$500,,MATCH("Disk Capacity",Input!$D$1:$AC$1,0)),
    Input!$J$2:$J$500=B246
)), "")</f>
        <v/>
      </c>
      <c r="Q246" s="32" t="e">
        <f t="shared" si="10"/>
        <v>#N/A</v>
      </c>
      <c r="R246" s="42" t="e">
        <f>_xlfn.LET(_xlpm.Result,INDEX(Input!$D$2:$AC$500,
       MATCH(B246, Input!$J$2:$J$500, 0),
       MATCH("Capacity", Input!$D$1:$AC$1, 0)),IF(_xlpm.Result="","",_xlpm.Result))</f>
        <v>#N/A</v>
      </c>
      <c r="S246" s="42" t="e" cm="1">
        <f t="array" ref="S246">_xlfn.TEXTSPLIT(R246," / ", ,TRUE,0,)</f>
        <v>#N/A</v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:AD246">IFERROR(IF(_xlfn.XLOOKUP(B246,Input!J:J,Input!N:U)=0,"",
          _xlfn.XLOOKUP(B246,Input!J:J,Input!N:U)),"")</f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42" t="str">
        <v/>
      </c>
      <c r="AE246" s="32" t="str">
        <f t="shared" si="9"/>
        <v/>
      </c>
      <c r="AF246" s="32" t="str">
        <f>_xlfn.XLOOKUP(B:B,Disk_Pivot!G:G,Disk_Pivot!I:I)</f>
        <v>Yes x2</v>
      </c>
      <c r="AG246" s="32" t="str">
        <f>_xlfn.XLOOKUP(B246,Disk_Pivot!G:G,Disk_Pivot!N:N)</f>
        <v>Pass, Fail</v>
      </c>
      <c r="AH246" s="32"/>
      <c r="AI246" s="32"/>
      <c r="AJ246" s="32"/>
      <c r="AK246" s="32"/>
      <c r="AL246" s="32"/>
      <c r="AM246" s="32"/>
    </row>
    <row r="247" spans="1:39">
      <c r="A247" s="32" t="str">
        <f>_xlfn.XLOOKUP(B247,Input!J:J,Input!G:G)&amp;""</f>
        <v/>
      </c>
      <c r="B247" s="32"/>
      <c r="C247" s="32" t="str">
        <f>_xlfn.XLOOKUP(B247,Input!J:J,Input!H:H)&amp;""</f>
        <v/>
      </c>
      <c r="D247" s="42">
        <f>_xlfn.XLOOKUP(B247,Input!J:J,Input!F:F)</f>
        <v>0</v>
      </c>
      <c r="E247" s="32">
        <f>_xlfn.XLOOKUP(D247,Models!H:H,Models!G:G,D247)</f>
        <v>0</v>
      </c>
      <c r="F247" s="32">
        <f>_xlfn.XLOOKUP(B247,Input!J:J,Input!E:E)</f>
        <v>0</v>
      </c>
      <c r="G247" s="32">
        <f>IF(F247="LENOVO",_xlfn.XLOOKUP(B247,Input!J:J,Input!K:K),_xlfn.XLOOKUP(B247,Input!J:J,Input!L:L))</f>
        <v>0</v>
      </c>
      <c r="H247" s="32"/>
      <c r="I247" s="32"/>
      <c r="J247" s="32">
        <f>_xlfn.XLOOKUP(B247,CPU_Formula!A:A,CPU_Formula!I:I)</f>
        <v>0</v>
      </c>
      <c r="K247" s="42" t="e">
        <f>INDEX(Input!$D$2:$AC$500,
       MATCH(B247, Input!$J$2:$J$500, 0),
       MATCH("Total Memory", Input!$D$1:$AC$1, 0))</f>
        <v>#N/A</v>
      </c>
      <c r="L247" s="42" t="e">
        <f>INDEX(Input!$D$2:$AC$500,
       MATCH(B247, Input!$J$2:$J$500, 0),
       MATCH("Memory Type", Input!$D$1:$AC$1, 0))</f>
        <v>#N/A</v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e">
        <f t="shared" si="11"/>
        <v>#N/A</v>
      </c>
      <c r="O247" s="42" t="e">
        <f>INDEX(Input!$D$2:$AC$500,
       MATCH(B247, Input!$J$2:$J$500, 0),
       MATCH("Disk Interface Type", Input!$D$1:$AC$1, 0))</f>
        <v>#N/A</v>
      </c>
      <c r="P247" s="42" t="str" cm="1">
        <f t="array" ref="P247">IFERROR(_xlfn.TEXTJOIN(", ", TRUE, _xlfn._xlws.FILTER(
    INDEX(Input!$D$2:$AC$500,,MATCH("Disk Capacity",Input!$D$1:$AC$1,0)),
    Input!$J$2:$J$500=B247
)), "")</f>
        <v/>
      </c>
      <c r="Q247" s="32" t="e">
        <f t="shared" si="10"/>
        <v>#N/A</v>
      </c>
      <c r="R247" s="42" t="e">
        <f>_xlfn.LET(_xlpm.Result,INDEX(Input!$D$2:$AC$500,
       MATCH(B247, Input!$J$2:$J$500, 0),
       MATCH("Capacity", Input!$D$1:$AC$1, 0)),IF(_xlpm.Result="","",_xlpm.Result))</f>
        <v>#N/A</v>
      </c>
      <c r="S247" s="42" t="e" cm="1">
        <f t="array" ref="S247">_xlfn.TEXTSPLIT(R247," / ", ,TRUE,0,)</f>
        <v>#N/A</v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:AD247">IFERROR(IF(_xlfn.XLOOKUP(B247,Input!J:J,Input!N:U)=0,"",
          _xlfn.XLOOKUP(B247,Input!J:J,Input!N:U)),"")</f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42" t="str">
        <v/>
      </c>
      <c r="AE247" s="32" t="str">
        <f t="shared" si="9"/>
        <v/>
      </c>
      <c r="AF247" s="32" t="str">
        <f>_xlfn.XLOOKUP(B:B,Disk_Pivot!G:G,Disk_Pivot!I:I)</f>
        <v>Yes x2</v>
      </c>
      <c r="AG247" s="32" t="str">
        <f>_xlfn.XLOOKUP(B247,Disk_Pivot!G:G,Disk_Pivot!N:N)</f>
        <v>Pass, Fail</v>
      </c>
      <c r="AH247" s="32"/>
      <c r="AI247" s="32"/>
      <c r="AJ247" s="32"/>
      <c r="AK247" s="32"/>
      <c r="AL247" s="32"/>
      <c r="AM247" s="32"/>
    </row>
    <row r="248" spans="1:39">
      <c r="A248" s="32" t="str">
        <f>_xlfn.XLOOKUP(B248,Input!J:J,Input!G:G)&amp;""</f>
        <v/>
      </c>
      <c r="B248" s="32"/>
      <c r="C248" s="32" t="str">
        <f>_xlfn.XLOOKUP(B248,Input!J:J,Input!H:H)&amp;""</f>
        <v/>
      </c>
      <c r="D248" s="42">
        <f>_xlfn.XLOOKUP(B248,Input!J:J,Input!F:F)</f>
        <v>0</v>
      </c>
      <c r="E248" s="32">
        <f>_xlfn.XLOOKUP(D248,Models!H:H,Models!G:G,D248)</f>
        <v>0</v>
      </c>
      <c r="F248" s="32">
        <f>_xlfn.XLOOKUP(B248,Input!J:J,Input!E:E)</f>
        <v>0</v>
      </c>
      <c r="G248" s="32">
        <f>IF(F248="LENOVO",_xlfn.XLOOKUP(B248,Input!J:J,Input!K:K),_xlfn.XLOOKUP(B248,Input!J:J,Input!L:L))</f>
        <v>0</v>
      </c>
      <c r="H248" s="32"/>
      <c r="I248" s="32"/>
      <c r="J248" s="32">
        <f>_xlfn.XLOOKUP(B248,CPU_Formula!A:A,CPU_Formula!I:I)</f>
        <v>0</v>
      </c>
      <c r="K248" s="42" t="e">
        <f>INDEX(Input!$D$2:$AC$500,
       MATCH(B248, Input!$J$2:$J$500, 0),
       MATCH("Total Memory", Input!$D$1:$AC$1, 0))</f>
        <v>#N/A</v>
      </c>
      <c r="L248" s="42" t="e">
        <f>INDEX(Input!$D$2:$AC$500,
       MATCH(B248, Input!$J$2:$J$500, 0),
       MATCH("Memory Type", Input!$D$1:$AC$1, 0))</f>
        <v>#N/A</v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e">
        <f t="shared" si="11"/>
        <v>#N/A</v>
      </c>
      <c r="O248" s="42" t="e">
        <f>INDEX(Input!$D$2:$AC$500,
       MATCH(B248, Input!$J$2:$J$500, 0),
       MATCH("Disk Interface Type", Input!$D$1:$AC$1, 0))</f>
        <v>#N/A</v>
      </c>
      <c r="P248" s="42" t="str" cm="1">
        <f t="array" ref="P248">IFERROR(_xlfn.TEXTJOIN(", ", TRUE, _xlfn._xlws.FILTER(
    INDEX(Input!$D$2:$AC$500,,MATCH("Disk Capacity",Input!$D$1:$AC$1,0)),
    Input!$J$2:$J$500=B248
)), "")</f>
        <v/>
      </c>
      <c r="Q248" s="32" t="e">
        <f t="shared" si="10"/>
        <v>#N/A</v>
      </c>
      <c r="R248" s="42" t="e">
        <f>_xlfn.LET(_xlpm.Result,INDEX(Input!$D$2:$AC$500,
       MATCH(B248, Input!$J$2:$J$500, 0),
       MATCH("Capacity", Input!$D$1:$AC$1, 0)),IF(_xlpm.Result="","",_xlpm.Result))</f>
        <v>#N/A</v>
      </c>
      <c r="S248" s="42" t="e" cm="1">
        <f t="array" ref="S248">_xlfn.TEXTSPLIT(R248," / ", ,TRUE,0,)</f>
        <v>#N/A</v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:AD248">IFERROR(IF(_xlfn.XLOOKUP(B248,Input!J:J,Input!N:U)=0,"",
          _xlfn.XLOOKUP(B248,Input!J:J,Input!N:U)),"")</f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42" t="str">
        <v/>
      </c>
      <c r="AE248" s="32" t="str">
        <f t="shared" si="9"/>
        <v/>
      </c>
      <c r="AF248" s="32" t="str">
        <f>_xlfn.XLOOKUP(B:B,Disk_Pivot!G:G,Disk_Pivot!I:I)</f>
        <v>Yes x2</v>
      </c>
      <c r="AG248" s="32" t="str">
        <f>_xlfn.XLOOKUP(B248,Disk_Pivot!G:G,Disk_Pivot!N:N)</f>
        <v>Pass, Fail</v>
      </c>
      <c r="AH248" s="32"/>
      <c r="AI248" s="32"/>
      <c r="AJ248" s="32"/>
      <c r="AK248" s="32"/>
      <c r="AL248" s="32"/>
      <c r="AM248" s="32"/>
    </row>
    <row r="249" spans="1:39">
      <c r="A249" s="32" t="str">
        <f>_xlfn.XLOOKUP(B249,Input!J:J,Input!G:G)&amp;""</f>
        <v/>
      </c>
      <c r="B249" s="32"/>
      <c r="C249" s="32" t="str">
        <f>_xlfn.XLOOKUP(B249,Input!J:J,Input!H:H)&amp;""</f>
        <v/>
      </c>
      <c r="D249" s="42">
        <f>_xlfn.XLOOKUP(B249,Input!J:J,Input!F:F)</f>
        <v>0</v>
      </c>
      <c r="E249" s="32">
        <f>_xlfn.XLOOKUP(D249,Models!H:H,Models!G:G,D249)</f>
        <v>0</v>
      </c>
      <c r="F249" s="32">
        <f>_xlfn.XLOOKUP(B249,Input!J:J,Input!E:E)</f>
        <v>0</v>
      </c>
      <c r="G249" s="32">
        <f>IF(F249="LENOVO",_xlfn.XLOOKUP(B249,Input!J:J,Input!K:K),_xlfn.XLOOKUP(B249,Input!J:J,Input!L:L))</f>
        <v>0</v>
      </c>
      <c r="H249" s="32"/>
      <c r="I249" s="32"/>
      <c r="J249" s="32">
        <f>_xlfn.XLOOKUP(B249,CPU_Formula!A:A,CPU_Formula!I:I)</f>
        <v>0</v>
      </c>
      <c r="K249" s="42" t="e">
        <f>INDEX(Input!$D$2:$AC$500,
       MATCH(B249, Input!$J$2:$J$500, 0),
       MATCH("Total Memory", Input!$D$1:$AC$1, 0))</f>
        <v>#N/A</v>
      </c>
      <c r="L249" s="42" t="e">
        <f>INDEX(Input!$D$2:$AC$500,
       MATCH(B249, Input!$J$2:$J$500, 0),
       MATCH("Memory Type", Input!$D$1:$AC$1, 0))</f>
        <v>#N/A</v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e">
        <f t="shared" si="11"/>
        <v>#N/A</v>
      </c>
      <c r="O249" s="42" t="e">
        <f>INDEX(Input!$D$2:$AC$500,
       MATCH(B249, Input!$J$2:$J$500, 0),
       MATCH("Disk Interface Type", Input!$D$1:$AC$1, 0))</f>
        <v>#N/A</v>
      </c>
      <c r="P249" s="42" t="str" cm="1">
        <f t="array" ref="P249">IFERROR(_xlfn.TEXTJOIN(", ", TRUE, _xlfn._xlws.FILTER(
    INDEX(Input!$D$2:$AC$500,,MATCH("Disk Capacity",Input!$D$1:$AC$1,0)),
    Input!$J$2:$J$500=B249
)), "")</f>
        <v/>
      </c>
      <c r="Q249" s="32" t="e">
        <f t="shared" si="10"/>
        <v>#N/A</v>
      </c>
      <c r="R249" s="42" t="e">
        <f>_xlfn.LET(_xlpm.Result,INDEX(Input!$D$2:$AC$500,
       MATCH(B249, Input!$J$2:$J$500, 0),
       MATCH("Capacity", Input!$D$1:$AC$1, 0)),IF(_xlpm.Result="","",_xlpm.Result))</f>
        <v>#N/A</v>
      </c>
      <c r="S249" s="42" t="e" cm="1">
        <f t="array" ref="S249">_xlfn.TEXTSPLIT(R249," / ", ,TRUE,0,)</f>
        <v>#N/A</v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:AD249">IFERROR(IF(_xlfn.XLOOKUP(B249,Input!J:J,Input!N:U)=0,"",
          _xlfn.XLOOKUP(B249,Input!J:J,Input!N:U)),"")</f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42" t="str">
        <v/>
      </c>
      <c r="AE249" s="32" t="str">
        <f t="shared" si="9"/>
        <v/>
      </c>
      <c r="AF249" s="32" t="str">
        <f>_xlfn.XLOOKUP(B:B,Disk_Pivot!G:G,Disk_Pivot!I:I)</f>
        <v>Yes x2</v>
      </c>
      <c r="AG249" s="32" t="str">
        <f>_xlfn.XLOOKUP(B249,Disk_Pivot!G:G,Disk_Pivot!N:N)</f>
        <v>Pass, Fail</v>
      </c>
      <c r="AH249" s="32"/>
      <c r="AI249" s="32"/>
      <c r="AJ249" s="32"/>
      <c r="AK249" s="32"/>
      <c r="AL249" s="32"/>
      <c r="AM249" s="32"/>
    </row>
    <row r="250" spans="1:39">
      <c r="A250" s="32" t="str">
        <f>_xlfn.XLOOKUP(B250,Input!J:J,Input!G:G)&amp;""</f>
        <v/>
      </c>
      <c r="B250" s="32"/>
      <c r="C250" s="32" t="str">
        <f>_xlfn.XLOOKUP(B250,Input!J:J,Input!H:H)&amp;""</f>
        <v/>
      </c>
      <c r="D250" s="42">
        <f>_xlfn.XLOOKUP(B250,Input!J:J,Input!F:F)</f>
        <v>0</v>
      </c>
      <c r="E250" s="32">
        <f>_xlfn.XLOOKUP(D250,Models!H:H,Models!G:G,D250)</f>
        <v>0</v>
      </c>
      <c r="F250" s="32">
        <f>_xlfn.XLOOKUP(B250,Input!J:J,Input!E:E)</f>
        <v>0</v>
      </c>
      <c r="G250" s="32">
        <f>IF(F250="LENOVO",_xlfn.XLOOKUP(B250,Input!J:J,Input!K:K),_xlfn.XLOOKUP(B250,Input!J:J,Input!L:L))</f>
        <v>0</v>
      </c>
      <c r="H250" s="32"/>
      <c r="I250" s="32"/>
      <c r="J250" s="32">
        <f>_xlfn.XLOOKUP(B250,CPU_Formula!A:A,CPU_Formula!I:I)</f>
        <v>0</v>
      </c>
      <c r="K250" s="42" t="e">
        <f>INDEX(Input!$D$2:$AC$500,
       MATCH(B250, Input!$J$2:$J$500, 0),
       MATCH("Total Memory", Input!$D$1:$AC$1, 0))</f>
        <v>#N/A</v>
      </c>
      <c r="L250" s="42" t="e">
        <f>INDEX(Input!$D$2:$AC$500,
       MATCH(B250, Input!$J$2:$J$500, 0),
       MATCH("Memory Type", Input!$D$1:$AC$1, 0))</f>
        <v>#N/A</v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e">
        <f t="shared" si="11"/>
        <v>#N/A</v>
      </c>
      <c r="O250" s="42" t="e">
        <f>INDEX(Input!$D$2:$AC$500,
       MATCH(B250, Input!$J$2:$J$500, 0),
       MATCH("Disk Interface Type", Input!$D$1:$AC$1, 0))</f>
        <v>#N/A</v>
      </c>
      <c r="P250" s="42" t="str" cm="1">
        <f t="array" ref="P250">IFERROR(_xlfn.TEXTJOIN(", ", TRUE, _xlfn._xlws.FILTER(
    INDEX(Input!$D$2:$AC$500,,MATCH("Disk Capacity",Input!$D$1:$AC$1,0)),
    Input!$J$2:$J$500=B250
)), "")</f>
        <v/>
      </c>
      <c r="Q250" s="32" t="e">
        <f t="shared" si="10"/>
        <v>#N/A</v>
      </c>
      <c r="R250" s="42" t="e">
        <f>_xlfn.LET(_xlpm.Result,INDEX(Input!$D$2:$AC$500,
       MATCH(B250, Input!$J$2:$J$500, 0),
       MATCH("Capacity", Input!$D$1:$AC$1, 0)),IF(_xlpm.Result="","",_xlpm.Result))</f>
        <v>#N/A</v>
      </c>
      <c r="S250" s="42" t="e" cm="1">
        <f t="array" ref="S250">_xlfn.TEXTSPLIT(R250," / ", ,TRUE,0,)</f>
        <v>#N/A</v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:AD250">IFERROR(IF(_xlfn.XLOOKUP(B250,Input!J:J,Input!N:U)=0,"",
          _xlfn.XLOOKUP(B250,Input!J:J,Input!N:U)),"")</f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42" t="str">
        <v/>
      </c>
      <c r="AE250" s="32" t="str">
        <f t="shared" si="9"/>
        <v/>
      </c>
      <c r="AF250" s="32" t="str">
        <f>_xlfn.XLOOKUP(B:B,Disk_Pivot!G:G,Disk_Pivot!I:I)</f>
        <v>Yes x2</v>
      </c>
      <c r="AG250" s="32" t="str">
        <f>_xlfn.XLOOKUP(B250,Disk_Pivot!G:G,Disk_Pivot!N:N)</f>
        <v>Pass, Fail</v>
      </c>
      <c r="AH250" s="32"/>
      <c r="AI250" s="32"/>
      <c r="AJ250" s="32"/>
      <c r="AK250" s="32"/>
      <c r="AL250" s="32"/>
      <c r="AM250" s="32"/>
    </row>
    <row r="251" spans="1:39">
      <c r="A251" s="32" t="str">
        <f>_xlfn.XLOOKUP(B251,Input!J:J,Input!G:G)&amp;""</f>
        <v/>
      </c>
      <c r="B251" s="32"/>
      <c r="C251" s="32" t="str">
        <f>_xlfn.XLOOKUP(B251,Input!J:J,Input!H:H)&amp;""</f>
        <v/>
      </c>
      <c r="D251" s="42">
        <f>_xlfn.XLOOKUP(B251,Input!J:J,Input!F:F)</f>
        <v>0</v>
      </c>
      <c r="E251" s="32">
        <f>_xlfn.XLOOKUP(D251,Models!H:H,Models!G:G,D251)</f>
        <v>0</v>
      </c>
      <c r="F251" s="32">
        <f>_xlfn.XLOOKUP(B251,Input!J:J,Input!E:E)</f>
        <v>0</v>
      </c>
      <c r="G251" s="32">
        <f>IF(F251="LENOVO",_xlfn.XLOOKUP(B251,Input!J:J,Input!K:K),_xlfn.XLOOKUP(B251,Input!J:J,Input!L:L))</f>
        <v>0</v>
      </c>
      <c r="H251" s="32"/>
      <c r="I251" s="32"/>
      <c r="J251" s="32">
        <f>_xlfn.XLOOKUP(B251,CPU_Formula!A:A,CPU_Formula!I:I)</f>
        <v>0</v>
      </c>
      <c r="K251" s="42" t="e">
        <f>INDEX(Input!$D$2:$AC$500,
       MATCH(B251, Input!$J$2:$J$500, 0),
       MATCH("Total Memory", Input!$D$1:$AC$1, 0))</f>
        <v>#N/A</v>
      </c>
      <c r="L251" s="42" t="e">
        <f>INDEX(Input!$D$2:$AC$500,
       MATCH(B251, Input!$J$2:$J$500, 0),
       MATCH("Memory Type", Input!$D$1:$AC$1, 0))</f>
        <v>#N/A</v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e">
        <f t="shared" si="11"/>
        <v>#N/A</v>
      </c>
      <c r="O251" s="42" t="e">
        <f>INDEX(Input!$D$2:$AC$500,
       MATCH(B251, Input!$J$2:$J$500, 0),
       MATCH("Disk Interface Type", Input!$D$1:$AC$1, 0))</f>
        <v>#N/A</v>
      </c>
      <c r="P251" s="42" t="str" cm="1">
        <f t="array" ref="P251">IFERROR(_xlfn.TEXTJOIN(", ", TRUE, _xlfn._xlws.FILTER(
    INDEX(Input!$D$2:$AC$500,,MATCH("Disk Capacity",Input!$D$1:$AC$1,0)),
    Input!$J$2:$J$500=B251
)), "")</f>
        <v/>
      </c>
      <c r="Q251" s="32" t="e">
        <f t="shared" si="10"/>
        <v>#N/A</v>
      </c>
      <c r="R251" s="42" t="e">
        <f>_xlfn.LET(_xlpm.Result,INDEX(Input!$D$2:$AC$500,
       MATCH(B251, Input!$J$2:$J$500, 0),
       MATCH("Capacity", Input!$D$1:$AC$1, 0)),IF(_xlpm.Result="","",_xlpm.Result))</f>
        <v>#N/A</v>
      </c>
      <c r="S251" s="42" t="e" cm="1">
        <f t="array" ref="S251">_xlfn.TEXTSPLIT(R251," / ", ,TRUE,0,)</f>
        <v>#N/A</v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:AD251">IFERROR(IF(_xlfn.XLOOKUP(B251,Input!J:J,Input!N:U)=0,"",
          _xlfn.XLOOKUP(B251,Input!J:J,Input!N:U)),"")</f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42" t="str">
        <v/>
      </c>
      <c r="AE251" s="32" t="str">
        <f t="shared" si="9"/>
        <v/>
      </c>
      <c r="AF251" s="32" t="str">
        <f>_xlfn.XLOOKUP(B:B,Disk_Pivot!G:G,Disk_Pivot!I:I)</f>
        <v>Yes x2</v>
      </c>
      <c r="AG251" s="32" t="str">
        <f>_xlfn.XLOOKUP(B251,Disk_Pivot!G:G,Disk_Pivot!N:N)</f>
        <v>Pass, Fail</v>
      </c>
      <c r="AH251" s="32"/>
      <c r="AI251" s="32"/>
      <c r="AJ251" s="32"/>
      <c r="AK251" s="32"/>
      <c r="AL251" s="32"/>
      <c r="AM251" s="32"/>
    </row>
    <row r="252" spans="1:39">
      <c r="A252" s="32" t="str">
        <f>_xlfn.XLOOKUP(B252,Input!J:J,Input!G:G)&amp;""</f>
        <v/>
      </c>
      <c r="B252" s="32"/>
      <c r="C252" s="32" t="str">
        <f>_xlfn.XLOOKUP(B252,Input!J:J,Input!H:H)&amp;""</f>
        <v/>
      </c>
      <c r="D252" s="42">
        <f>_xlfn.XLOOKUP(B252,Input!J:J,Input!F:F)</f>
        <v>0</v>
      </c>
      <c r="E252" s="32">
        <f>_xlfn.XLOOKUP(D252,Models!H:H,Models!G:G,D252)</f>
        <v>0</v>
      </c>
      <c r="F252" s="32">
        <f>_xlfn.XLOOKUP(B252,Input!J:J,Input!E:E)</f>
        <v>0</v>
      </c>
      <c r="G252" s="32">
        <f>IF(F252="LENOVO",_xlfn.XLOOKUP(B252,Input!J:J,Input!K:K),_xlfn.XLOOKUP(B252,Input!J:J,Input!L:L))</f>
        <v>0</v>
      </c>
      <c r="H252" s="32"/>
      <c r="I252" s="32"/>
      <c r="J252" s="32">
        <f>_xlfn.XLOOKUP(B252,CPU_Formula!A:A,CPU_Formula!I:I)</f>
        <v>0</v>
      </c>
      <c r="K252" s="42" t="e">
        <f>INDEX(Input!$D$2:$AC$500,
       MATCH(B252, Input!$J$2:$J$500, 0),
       MATCH("Total Memory", Input!$D$1:$AC$1, 0))</f>
        <v>#N/A</v>
      </c>
      <c r="L252" s="42" t="e">
        <f>INDEX(Input!$D$2:$AC$500,
       MATCH(B252, Input!$J$2:$J$500, 0),
       MATCH("Memory Type", Input!$D$1:$AC$1, 0))</f>
        <v>#N/A</v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e">
        <f t="shared" si="11"/>
        <v>#N/A</v>
      </c>
      <c r="O252" s="42" t="e">
        <f>INDEX(Input!$D$2:$AC$500,
       MATCH(B252, Input!$J$2:$J$500, 0),
       MATCH("Disk Interface Type", Input!$D$1:$AC$1, 0))</f>
        <v>#N/A</v>
      </c>
      <c r="P252" s="42" t="str" cm="1">
        <f t="array" ref="P252">IFERROR(_xlfn.TEXTJOIN(", ", TRUE, _xlfn._xlws.FILTER(
    INDEX(Input!$D$2:$AC$500,,MATCH("Disk Capacity",Input!$D$1:$AC$1,0)),
    Input!$J$2:$J$500=B252
)), "")</f>
        <v/>
      </c>
      <c r="Q252" s="32" t="e">
        <f t="shared" si="10"/>
        <v>#N/A</v>
      </c>
      <c r="R252" s="42" t="e">
        <f>_xlfn.LET(_xlpm.Result,INDEX(Input!$D$2:$AC$500,
       MATCH(B252, Input!$J$2:$J$500, 0),
       MATCH("Capacity", Input!$D$1:$AC$1, 0)),IF(_xlpm.Result="","",_xlpm.Result))</f>
        <v>#N/A</v>
      </c>
      <c r="S252" s="42" t="e" cm="1">
        <f t="array" ref="S252">_xlfn.TEXTSPLIT(R252," / ", ,TRUE,0,)</f>
        <v>#N/A</v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:AD252">IFERROR(IF(_xlfn.XLOOKUP(B252,Input!J:J,Input!N:U)=0,"",
          _xlfn.XLOOKUP(B252,Input!J:J,Input!N:U)),"")</f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42" t="str">
        <v/>
      </c>
      <c r="AE252" s="32" t="str">
        <f t="shared" si="9"/>
        <v/>
      </c>
      <c r="AF252" s="32" t="str">
        <f>_xlfn.XLOOKUP(B:B,Disk_Pivot!G:G,Disk_Pivot!I:I)</f>
        <v>Yes x2</v>
      </c>
      <c r="AG252" s="32" t="str">
        <f>_xlfn.XLOOKUP(B252,Disk_Pivot!G:G,Disk_Pivot!N:N)</f>
        <v>Pass, Fail</v>
      </c>
      <c r="AH252" s="32"/>
      <c r="AI252" s="32"/>
      <c r="AJ252" s="32"/>
      <c r="AK252" s="32"/>
      <c r="AL252" s="32"/>
      <c r="AM252" s="32"/>
    </row>
    <row r="253" spans="1:39">
      <c r="A253" s="32" t="str">
        <f>_xlfn.XLOOKUP(B253,Input!J:J,Input!G:G)&amp;""</f>
        <v/>
      </c>
      <c r="B253" s="32"/>
      <c r="C253" s="32" t="str">
        <f>_xlfn.XLOOKUP(B253,Input!J:J,Input!H:H)&amp;""</f>
        <v/>
      </c>
      <c r="D253" s="42">
        <f>_xlfn.XLOOKUP(B253,Input!J:J,Input!F:F)</f>
        <v>0</v>
      </c>
      <c r="E253" s="32">
        <f>_xlfn.XLOOKUP(D253,Models!H:H,Models!G:G,D253)</f>
        <v>0</v>
      </c>
      <c r="F253" s="32">
        <f>_xlfn.XLOOKUP(B253,Input!J:J,Input!E:E)</f>
        <v>0</v>
      </c>
      <c r="G253" s="32">
        <f>IF(F253="LENOVO",_xlfn.XLOOKUP(B253,Input!J:J,Input!K:K),_xlfn.XLOOKUP(B253,Input!J:J,Input!L:L))</f>
        <v>0</v>
      </c>
      <c r="H253" s="32"/>
      <c r="I253" s="32"/>
      <c r="J253" s="32">
        <f>_xlfn.XLOOKUP(B253,CPU_Formula!A:A,CPU_Formula!I:I)</f>
        <v>0</v>
      </c>
      <c r="K253" s="42" t="e">
        <f>INDEX(Input!$D$2:$AC$500,
       MATCH(B253, Input!$J$2:$J$500, 0),
       MATCH("Total Memory", Input!$D$1:$AC$1, 0))</f>
        <v>#N/A</v>
      </c>
      <c r="L253" s="42" t="e">
        <f>INDEX(Input!$D$2:$AC$500,
       MATCH(B253, Input!$J$2:$J$500, 0),
       MATCH("Memory Type", Input!$D$1:$AC$1, 0))</f>
        <v>#N/A</v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e">
        <f t="shared" si="11"/>
        <v>#N/A</v>
      </c>
      <c r="O253" s="42" t="e">
        <f>INDEX(Input!$D$2:$AC$500,
       MATCH(B253, Input!$J$2:$J$500, 0),
       MATCH("Disk Interface Type", Input!$D$1:$AC$1, 0))</f>
        <v>#N/A</v>
      </c>
      <c r="P253" s="42" t="str" cm="1">
        <f t="array" ref="P253">IFERROR(_xlfn.TEXTJOIN(", ", TRUE, _xlfn._xlws.FILTER(
    INDEX(Input!$D$2:$AC$500,,MATCH("Disk Capacity",Input!$D$1:$AC$1,0)),
    Input!$J$2:$J$500=B253
)), "")</f>
        <v/>
      </c>
      <c r="Q253" s="32" t="e">
        <f t="shared" si="10"/>
        <v>#N/A</v>
      </c>
      <c r="R253" s="42" t="e">
        <f>_xlfn.LET(_xlpm.Result,INDEX(Input!$D$2:$AC$500,
       MATCH(B253, Input!$J$2:$J$500, 0),
       MATCH("Capacity", Input!$D$1:$AC$1, 0)),IF(_xlpm.Result="","",_xlpm.Result))</f>
        <v>#N/A</v>
      </c>
      <c r="S253" s="42" t="e" cm="1">
        <f t="array" ref="S253">_xlfn.TEXTSPLIT(R253," / ", ,TRUE,0,)</f>
        <v>#N/A</v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:AB253">IFERROR(IF(_xlfn.XLOOKUP(B254,Input!J:J,Input!N:S)=0,"",
          _xlfn.XLOOKUP(B254,Input!J:J,Input!N:S)),"")</f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 t="str">
        <v/>
      </c>
      <c r="AC253" s="42"/>
      <c r="AD253" s="42"/>
      <c r="AE253" s="32" t="str">
        <f t="shared" si="9"/>
        <v/>
      </c>
      <c r="AF253" s="32"/>
      <c r="AG253" s="32"/>
      <c r="AH253" s="32"/>
      <c r="AI253" s="32"/>
      <c r="AJ253" s="32"/>
      <c r="AK253" s="32"/>
      <c r="AL253" s="32"/>
      <c r="AM253" s="32"/>
    </row>
    <row r="254" spans="1:39">
      <c r="A254" s="32" t="str">
        <f>_xlfn.XLOOKUP(B254,Input!J:J,Input!G:G)&amp;""</f>
        <v/>
      </c>
      <c r="B254" s="32"/>
      <c r="C254" s="32" t="str">
        <f>_xlfn.XLOOKUP(B254,Input!J:J,Input!H:H)&amp;""</f>
        <v/>
      </c>
      <c r="D254" s="42">
        <f>_xlfn.XLOOKUP(B254,Input!J:J,Input!F:F)</f>
        <v>0</v>
      </c>
      <c r="E254" s="32">
        <f>_xlfn.XLOOKUP(D254,Models!H:H,Models!G:G,D254)</f>
        <v>0</v>
      </c>
      <c r="F254" s="32">
        <f>_xlfn.XLOOKUP(B254,Input!J:J,Input!E:E)</f>
        <v>0</v>
      </c>
      <c r="G254" s="32">
        <f>IF(F254="LENOVO",_xlfn.XLOOKUP(B254,Input!J:J,Input!K:K),_xlfn.XLOOKUP(B254,Input!J:J,Input!L:L))</f>
        <v>0</v>
      </c>
      <c r="H254" s="32"/>
      <c r="I254" s="32"/>
      <c r="J254" s="32">
        <f>_xlfn.XLOOKUP(B254,CPU_Formula!A:A,CPU_Formula!I:I)</f>
        <v>0</v>
      </c>
      <c r="K254" s="42" t="e">
        <f>INDEX(Input!$D$2:$AC$500,
       MATCH(B254, Input!$J$2:$J$500, 0),
       MATCH("Total Memory", Input!$D$1:$AC$1, 0))</f>
        <v>#N/A</v>
      </c>
      <c r="L254" s="42" t="e">
        <f>INDEX(Input!$D$2:$AC$500,
       MATCH(B254, Input!$J$2:$J$500, 0),
       MATCH("Memory Type", Input!$D$1:$AC$1, 0))</f>
        <v>#N/A</v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e">
        <f t="shared" si="11"/>
        <v>#N/A</v>
      </c>
      <c r="O254" s="42" t="e">
        <f>INDEX(Input!$D$2:$AC$500,
       MATCH(B254, Input!$J$2:$J$500, 0),
       MATCH("Disk Interface Type", Input!$D$1:$AC$1, 0))</f>
        <v>#N/A</v>
      </c>
      <c r="P254" s="42" t="str" cm="1">
        <f t="array" ref="P254">IFERROR(_xlfn.TEXTJOIN(", ", TRUE, _xlfn._xlws.FILTER(
    INDEX(Input!$D$2:$AC$500,,MATCH("Disk Capacity",Input!$D$1:$AC$1,0)),
    Input!$J$2:$J$500=B254
)), "")</f>
        <v/>
      </c>
      <c r="Q254" s="32" t="e">
        <f t="shared" si="10"/>
        <v>#N/A</v>
      </c>
      <c r="R254" s="42" t="e">
        <f>_xlfn.LET(_xlpm.Result,INDEX(Input!$D$2:$AC$500,
       MATCH(B254, Input!$J$2:$J$500, 0),
       MATCH("Capacity", Input!$D$1:$AC$1, 0)),IF(_xlpm.Result="","",_xlpm.Result))</f>
        <v>#N/A</v>
      </c>
      <c r="S254" s="42" t="e" cm="1">
        <f t="array" ref="S254">_xlfn.TEXTSPLIT(R254," / ", ,TRUE,0,)</f>
        <v>#N/A</v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:AB254">IFERROR(IF(_xlfn.XLOOKUP(B255,Input!J:J,Input!N:S)=0,"",
          _xlfn.XLOOKUP(B255,Input!J:J,Input!N:S)),"")</f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 t="str">
        <v/>
      </c>
      <c r="AC254" s="42"/>
      <c r="AD254" s="42"/>
      <c r="AE254" s="32" t="str">
        <f t="shared" si="9"/>
        <v/>
      </c>
      <c r="AF254" s="32"/>
      <c r="AG254" s="32"/>
      <c r="AH254" s="32"/>
      <c r="AI254" s="32"/>
      <c r="AJ254" s="32"/>
      <c r="AK254" s="32"/>
      <c r="AL254" s="32"/>
      <c r="AM254" s="32"/>
    </row>
    <row r="255" spans="1:39">
      <c r="A255" s="32" t="str">
        <f>_xlfn.XLOOKUP(B255,Input!J:J,Input!G:G)&amp;""</f>
        <v/>
      </c>
      <c r="B255" s="32"/>
      <c r="C255" s="32" t="str">
        <f>_xlfn.XLOOKUP(B255,Input!J:J,Input!H:H)&amp;""</f>
        <v/>
      </c>
      <c r="D255" s="42">
        <f>_xlfn.XLOOKUP(B255,Input!J:J,Input!F:F)</f>
        <v>0</v>
      </c>
      <c r="E255" s="32">
        <f>_xlfn.XLOOKUP(D255,Models!H:H,Models!G:G,D255)</f>
        <v>0</v>
      </c>
      <c r="F255" s="32">
        <f>_xlfn.XLOOKUP(B255,Input!J:J,Input!E:E)</f>
        <v>0</v>
      </c>
      <c r="G255" s="32">
        <f>IF(F255="LENOVO",_xlfn.XLOOKUP(B255,Input!J:J,Input!K:K),_xlfn.XLOOKUP(B255,Input!J:J,Input!L:L))</f>
        <v>0</v>
      </c>
      <c r="H255" s="32"/>
      <c r="I255" s="32"/>
      <c r="J255" s="32">
        <f>_xlfn.XLOOKUP(B255,CPU_Formula!A:A,CPU_Formula!I:I)</f>
        <v>0</v>
      </c>
      <c r="K255" s="42" t="e">
        <f>INDEX(Input!$D$2:$AC$500,
       MATCH(B255, Input!$J$2:$J$500, 0),
       MATCH("Total Memory", Input!$D$1:$AC$1, 0))</f>
        <v>#N/A</v>
      </c>
      <c r="L255" s="42"/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e">
        <f t="shared" si="11"/>
        <v>#N/A</v>
      </c>
      <c r="O255" s="42" t="e">
        <f>INDEX(Input!$D$2:$AC$500,
       MATCH(B255, Input!$J$2:$J$500, 0),
       MATCH("Disk Interface Type", Input!$D$1:$AC$1, 0))</f>
        <v>#N/A</v>
      </c>
      <c r="P255" s="42" t="str" cm="1">
        <f t="array" ref="P255">IFERROR(_xlfn.TEXTJOIN(", ", TRUE, _xlfn._xlws.FILTER(
    INDEX(Input!$D$2:$AC$500,,MATCH("Disk Capacity",Input!$D$1:$AC$1,0)),
    Input!$J$2:$J$500=B255
)), "")</f>
        <v/>
      </c>
      <c r="Q255" s="32" t="e">
        <f t="shared" si="10"/>
        <v>#N/A</v>
      </c>
      <c r="R255" s="42" t="e">
        <f>_xlfn.LET(_xlpm.Result,INDEX(Input!$D$2:$AC$500,
       MATCH(B255, Input!$J$2:$J$500, 0),
       MATCH("Capacity", Input!$D$1:$AC$1, 0)),IF(_xlpm.Result="","",_xlpm.Result))</f>
        <v>#N/A</v>
      </c>
      <c r="S255" s="42" t="e" cm="1">
        <f t="array" ref="S255">_xlfn.TEXTSPLIT(R255," / ", ,TRUE,0,)</f>
        <v>#N/A</v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:AB255">IFERROR(IF(_xlfn.XLOOKUP(B256,Input!J:J,Input!N:S)=0,"",
          _xlfn.XLOOKUP(B256,Input!J:J,Input!N:S)),"")</f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 t="str">
        <v/>
      </c>
      <c r="AC255" s="42"/>
      <c r="AD255" s="42"/>
      <c r="AE255" s="32" t="str">
        <f t="shared" si="9"/>
        <v/>
      </c>
      <c r="AF255" s="32"/>
      <c r="AG255" s="32"/>
      <c r="AH255" s="32"/>
      <c r="AI255" s="32"/>
      <c r="AJ255" s="32"/>
      <c r="AK255" s="32"/>
      <c r="AL255" s="32"/>
      <c r="AM255" s="32"/>
    </row>
    <row r="256" spans="1:39">
      <c r="A256" s="32" t="str">
        <f>_xlfn.XLOOKUP(B256,Input!J:J,Input!G:G)&amp;""</f>
        <v/>
      </c>
      <c r="B256" s="32"/>
      <c r="C256" s="32" t="str">
        <f>_xlfn.XLOOKUP(B256,Input!J:J,Input!H:H)&amp;""</f>
        <v/>
      </c>
      <c r="D256" s="42">
        <f>_xlfn.XLOOKUP(B256,Input!J:J,Input!F:F)</f>
        <v>0</v>
      </c>
      <c r="E256" s="32">
        <f>_xlfn.XLOOKUP(D256,Models!H:H,Models!G:G,D256)</f>
        <v>0</v>
      </c>
      <c r="F256" s="32">
        <f>_xlfn.XLOOKUP(B256,Input!J:J,Input!E:E)</f>
        <v>0</v>
      </c>
      <c r="G256" s="32">
        <f>IF(F256="LENOVO",_xlfn.XLOOKUP(B256,Input!J:J,Input!K:K),_xlfn.XLOOKUP(B256,Input!J:J,Input!L:L))</f>
        <v>0</v>
      </c>
      <c r="H256" s="32"/>
      <c r="I256" s="32"/>
      <c r="J256" s="32">
        <f>_xlfn.XLOOKUP(B256,CPU_Formula!A:A,CPU_Formula!I:I)</f>
        <v>0</v>
      </c>
      <c r="K256" s="42" t="e">
        <f>INDEX(Input!$D$2:$AC$500,
       MATCH(B256, Input!$J$2:$J$500, 0),
       MATCH("Total Memory", Input!$D$1:$AC$1, 0))</f>
        <v>#N/A</v>
      </c>
      <c r="L256" s="42"/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e">
        <f t="shared" si="11"/>
        <v>#N/A</v>
      </c>
      <c r="O256" s="42" t="e">
        <f>INDEX(Input!$D$2:$AC$500,
       MATCH(B256, Input!$J$2:$J$500, 0),
       MATCH("Disk Interface Type", Input!$D$1:$AC$1, 0))</f>
        <v>#N/A</v>
      </c>
      <c r="P256" s="42" t="str" cm="1">
        <f t="array" ref="P256">IFERROR(_xlfn.TEXTJOIN(", ", TRUE, _xlfn._xlws.FILTER(
    INDEX(Input!$D$2:$AC$500,,MATCH("Disk Capacity",Input!$D$1:$AC$1,0)),
    Input!$J$2:$J$500=B256
)), "")</f>
        <v/>
      </c>
      <c r="Q256" s="32" t="e">
        <f t="shared" si="10"/>
        <v>#N/A</v>
      </c>
      <c r="R256" s="42" t="e">
        <f>_xlfn.LET(_xlpm.Result,INDEX(Input!$D$2:$AC$500,
       MATCH(B256, Input!$J$2:$J$500, 0),
       MATCH("Capacity", Input!$D$1:$AC$1, 0)),IF(_xlpm.Result="","",_xlpm.Result))</f>
        <v>#N/A</v>
      </c>
      <c r="S256" s="42" t="e" cm="1">
        <f t="array" ref="S256">_xlfn.TEXTSPLIT(R256," / ", ,TRUE,0,)</f>
        <v>#N/A</v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:AB256">IFERROR(IF(_xlfn.XLOOKUP(B257,Input!J:J,Input!N:S)=0,"",
          _xlfn.XLOOKUP(B257,Input!J:J,Input!N:S)),"")</f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 t="str">
        <v/>
      </c>
      <c r="AC256" s="42"/>
      <c r="AD256" s="42"/>
      <c r="AE256" s="32" t="str">
        <f t="shared" si="9"/>
        <v/>
      </c>
      <c r="AF256" s="32"/>
      <c r="AG256" s="32"/>
      <c r="AH256" s="32"/>
      <c r="AI256" s="32"/>
      <c r="AJ256" s="32"/>
      <c r="AK256" s="32"/>
      <c r="AL256" s="32"/>
      <c r="AM256" s="32"/>
    </row>
    <row r="257" spans="1:39">
      <c r="A257" s="32" t="str">
        <f>_xlfn.XLOOKUP(B257,Input!J:J,Input!G:G)&amp;""</f>
        <v/>
      </c>
      <c r="B257" s="32"/>
      <c r="C257" s="32" t="str">
        <f>_xlfn.XLOOKUP(B257,Input!J:J,Input!H:H)&amp;""</f>
        <v/>
      </c>
      <c r="D257" s="42">
        <f>_xlfn.XLOOKUP(B257,Input!J:J,Input!F:F)</f>
        <v>0</v>
      </c>
      <c r="E257" s="32">
        <f>_xlfn.XLOOKUP(D257,Models!H:H,Models!G:G,D257)</f>
        <v>0</v>
      </c>
      <c r="F257" s="32">
        <f>_xlfn.XLOOKUP(B257,Input!J:J,Input!E:E)</f>
        <v>0</v>
      </c>
      <c r="G257" s="32">
        <f>IF(F257="LENOVO",_xlfn.XLOOKUP(B257,Input!J:J,Input!K:K),_xlfn.XLOOKUP(B257,Input!J:J,Input!L:L))</f>
        <v>0</v>
      </c>
      <c r="H257" s="32"/>
      <c r="I257" s="32"/>
      <c r="J257" s="32">
        <f>_xlfn.XLOOKUP(B257,CPU_Formula!A:A,CPU_Formula!I:I)</f>
        <v>0</v>
      </c>
      <c r="K257" s="42" t="e">
        <f>INDEX(Input!$D$2:$AC$500,
       MATCH(B257, Input!$J$2:$J$500, 0),
       MATCH("Total Memory", Input!$D$1:$AC$1, 0))</f>
        <v>#N/A</v>
      </c>
      <c r="L257" s="42"/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e">
        <f t="shared" si="11"/>
        <v>#N/A</v>
      </c>
      <c r="O257" s="42" t="e">
        <f>INDEX(Input!$D$2:$AC$500,
       MATCH(B257, Input!$J$2:$J$500, 0),
       MATCH("Disk Interface Type", Input!$D$1:$AC$1, 0))</f>
        <v>#N/A</v>
      </c>
      <c r="P257" s="42" t="str" cm="1">
        <f t="array" ref="P257">IFERROR(_xlfn.TEXTJOIN(", ", TRUE, _xlfn._xlws.FILTER(
    INDEX(Input!$D$2:$AC$500,,MATCH("Disk Capacity",Input!$D$1:$AC$1,0)),
    Input!$J$2:$J$500=B257
)), "")</f>
        <v/>
      </c>
      <c r="Q257" s="32" t="e">
        <f t="shared" si="10"/>
        <v>#N/A</v>
      </c>
      <c r="R257" s="42" t="e">
        <f>_xlfn.LET(_xlpm.Result,INDEX(Input!$D$2:$AC$500,
       MATCH(B257, Input!$J$2:$J$500, 0),
       MATCH("Capacity", Input!$D$1:$AC$1, 0)),IF(_xlpm.Result="","",_xlpm.Result))</f>
        <v>#N/A</v>
      </c>
      <c r="S257" s="42" t="e" cm="1">
        <f t="array" ref="S257">_xlfn.TEXTSPLIT(R257," / ", ,TRUE,0,)</f>
        <v>#N/A</v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:AB257">IFERROR(IF(_xlfn.XLOOKUP(B258,Input!J:J,Input!N:S)=0,"",
          _xlfn.XLOOKUP(B258,Input!J:J,Input!N:S)),"")</f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 t="str">
        <v/>
      </c>
      <c r="AC257" s="42"/>
      <c r="AD257" s="42"/>
      <c r="AE257" s="32" t="str">
        <f t="shared" si="9"/>
        <v/>
      </c>
      <c r="AF257" s="32"/>
      <c r="AG257" s="32"/>
      <c r="AH257" s="32"/>
      <c r="AI257" s="32"/>
      <c r="AJ257" s="32"/>
      <c r="AK257" s="32"/>
      <c r="AL257" s="32"/>
      <c r="AM257" s="32"/>
    </row>
    <row r="258" spans="1:39">
      <c r="A258" s="32" t="str">
        <f>_xlfn.XLOOKUP(B258,Input!J:J,Input!G:G)&amp;""</f>
        <v/>
      </c>
      <c r="B258" s="32"/>
      <c r="C258" s="32" t="str">
        <f>_xlfn.XLOOKUP(B258,Input!J:J,Input!H:H)&amp;""</f>
        <v/>
      </c>
      <c r="D258" s="42">
        <f>_xlfn.XLOOKUP(B258,Input!J:J,Input!F:F)</f>
        <v>0</v>
      </c>
      <c r="E258" s="32">
        <f>_xlfn.XLOOKUP(D258,Models!H:H,Models!G:G,D258)</f>
        <v>0</v>
      </c>
      <c r="F258" s="32">
        <f>_xlfn.XLOOKUP(B258,Input!J:J,Input!E:E)</f>
        <v>0</v>
      </c>
      <c r="G258" s="32">
        <f>IF(F258="LENOVO",_xlfn.XLOOKUP(B258,Input!J:J,Input!K:K),_xlfn.XLOOKUP(B258,Input!J:J,Input!L:L))</f>
        <v>0</v>
      </c>
      <c r="H258" s="32"/>
      <c r="I258" s="32"/>
      <c r="J258" s="32">
        <f>_xlfn.XLOOKUP(B258,CPU_Formula!A:A,CPU_Formula!I:I)</f>
        <v>0</v>
      </c>
      <c r="K258" s="42" t="e">
        <f>INDEX(Input!$D$2:$AC$500,
       MATCH(B258, Input!$J$2:$J$500, 0),
       MATCH("Total Memory", Input!$D$1:$AC$1, 0))</f>
        <v>#N/A</v>
      </c>
      <c r="L258" s="42"/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e">
        <f t="shared" si="11"/>
        <v>#N/A</v>
      </c>
      <c r="O258" s="42" t="e">
        <f>INDEX(Input!$D$2:$AC$500,
       MATCH(B258, Input!$J$2:$J$500, 0),
       MATCH("Disk Interface Type", Input!$D$1:$AC$1, 0))</f>
        <v>#N/A</v>
      </c>
      <c r="P258" s="42" t="str" cm="1">
        <f t="array" ref="P258">IFERROR(_xlfn.TEXTJOIN(", ", TRUE, _xlfn._xlws.FILTER(
    INDEX(Input!$D$2:$AC$500,,MATCH("Disk Capacity",Input!$D$1:$AC$1,0)),
    Input!$J$2:$J$500=B258
)), "")</f>
        <v/>
      </c>
      <c r="Q258" s="32" t="e">
        <f t="shared" si="10"/>
        <v>#N/A</v>
      </c>
      <c r="R258" s="42" t="e">
        <f>_xlfn.LET(_xlpm.Result,INDEX(Input!$D$2:$AC$500,
       MATCH(B258, Input!$J$2:$J$500, 0),
       MATCH("Capacity", Input!$D$1:$AC$1, 0)),IF(_xlpm.Result="","",_xlpm.Result))</f>
        <v>#N/A</v>
      </c>
      <c r="S258" s="42" t="e" cm="1">
        <f t="array" ref="S258">_xlfn.TEXTSPLIT(R258," / ", ,TRUE,0,)</f>
        <v>#N/A</v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:AB258">IFERROR(IF(_xlfn.XLOOKUP(B259,Input!J:J,Input!N:S)=0,"",
          _xlfn.XLOOKUP(B259,Input!J:J,Input!N:S)),"")</f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 t="str">
        <v/>
      </c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/>
      <c r="AG258" s="32"/>
      <c r="AH258" s="32"/>
      <c r="AI258" s="32"/>
      <c r="AJ258" s="32"/>
      <c r="AK258" s="32"/>
      <c r="AL258" s="32"/>
      <c r="AM258" s="32"/>
    </row>
    <row r="259" spans="1:39">
      <c r="A259" s="32" t="str">
        <f>_xlfn.XLOOKUP(B259,Input!J:J,Input!G:G)&amp;""</f>
        <v/>
      </c>
      <c r="B259" s="32"/>
      <c r="C259" s="32" t="str">
        <f>_xlfn.XLOOKUP(B259,Input!J:J,Input!H:H)&amp;""</f>
        <v/>
      </c>
      <c r="D259" s="42">
        <f>_xlfn.XLOOKUP(B259,Input!J:J,Input!F:F)</f>
        <v>0</v>
      </c>
      <c r="E259" s="32">
        <f>_xlfn.XLOOKUP(D259,Models!H:H,Models!G:G,D259)</f>
        <v>0</v>
      </c>
      <c r="F259" s="32">
        <f>_xlfn.XLOOKUP(B259,Input!J:J,Input!E:E)</f>
        <v>0</v>
      </c>
      <c r="G259" s="32">
        <f>IF(F259="LENOVO",_xlfn.XLOOKUP(B259,Input!J:J,Input!K:K),_xlfn.XLOOKUP(B259,Input!J:J,Input!L:L))</f>
        <v>0</v>
      </c>
      <c r="H259" s="32"/>
      <c r="I259" s="32"/>
      <c r="J259" s="32">
        <f>_xlfn.XLOOKUP(B259,CPU_Formula!A:A,CPU_Formula!I:I)</f>
        <v>0</v>
      </c>
      <c r="K259" s="42" t="e">
        <f>INDEX(Input!$D$2:$AC$500,
       MATCH(B259, Input!$J$2:$J$500, 0),
       MATCH("Total Memory", Input!$D$1:$AC$1, 0))</f>
        <v>#N/A</v>
      </c>
      <c r="L259" s="42"/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e">
        <f t="shared" si="11"/>
        <v>#N/A</v>
      </c>
      <c r="O259" s="42" t="e">
        <f>INDEX(Input!$D$2:$AC$500,
       MATCH(B259, Input!$J$2:$J$500, 0),
       MATCH("Disk Interface Type", Input!$D$1:$AC$1, 0))</f>
        <v>#N/A</v>
      </c>
      <c r="P259" s="42" t="str" cm="1">
        <f t="array" ref="P259">IFERROR(_xlfn.TEXTJOIN(", ", TRUE, _xlfn._xlws.FILTER(
    INDEX(Input!$D$2:$AC$500,,MATCH("Disk Capacity",Input!$D$1:$AC$1,0)),
    Input!$J$2:$J$500=B259
)), "")</f>
        <v/>
      </c>
      <c r="Q259" s="32" t="e">
        <f t="shared" ref="Q259:Q322" si="13">_xlfn.TEXTJOIN(" ",TRUE,P259,O259)</f>
        <v>#N/A</v>
      </c>
      <c r="R259" s="42" t="e">
        <f>_xlfn.LET(_xlpm.Result,INDEX(Input!$D$2:$AC$500,
       MATCH(B259, Input!$J$2:$J$500, 0),
       MATCH("Capacity", Input!$D$1:$AC$1, 0)),IF(_xlpm.Result="","",_xlpm.Result))</f>
        <v>#N/A</v>
      </c>
      <c r="S259" s="42" t="e" cm="1">
        <f t="array" ref="S259">_xlfn.TEXTSPLIT(R259," / ", ,TRUE,0,)</f>
        <v>#N/A</v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:AB259">IFERROR(IF(_xlfn.XLOOKUP(B260,Input!J:J,Input!N:S)=0,"",
          _xlfn.XLOOKUP(B260,Input!J:J,Input!N:S)),"")</f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 t="str">
        <v/>
      </c>
      <c r="AC259" s="42"/>
      <c r="AD259" s="42"/>
      <c r="AE259" s="32" t="str">
        <f t="shared" si="12"/>
        <v/>
      </c>
      <c r="AF259" s="32"/>
      <c r="AG259" s="32"/>
      <c r="AH259" s="32"/>
      <c r="AI259" s="32"/>
      <c r="AJ259" s="32"/>
      <c r="AK259" s="32"/>
      <c r="AL259" s="32"/>
      <c r="AM259" s="32"/>
    </row>
    <row r="260" spans="1:39">
      <c r="A260" s="32" t="str">
        <f>_xlfn.XLOOKUP(B260,Input!J:J,Input!G:G)&amp;""</f>
        <v/>
      </c>
      <c r="B260" s="32"/>
      <c r="C260" s="32" t="str">
        <f>_xlfn.XLOOKUP(B260,Input!J:J,Input!H:H)&amp;""</f>
        <v/>
      </c>
      <c r="D260" s="42">
        <f>_xlfn.XLOOKUP(B260,Input!J:J,Input!F:F)</f>
        <v>0</v>
      </c>
      <c r="E260" s="32">
        <f>_xlfn.XLOOKUP(D260,Models!H:H,Models!G:G,D260)</f>
        <v>0</v>
      </c>
      <c r="F260" s="32">
        <f>_xlfn.XLOOKUP(B260,Input!J:J,Input!E:E)</f>
        <v>0</v>
      </c>
      <c r="G260" s="32">
        <f>IF(F260="LENOVO",_xlfn.XLOOKUP(B260,Input!J:J,Input!K:K),_xlfn.XLOOKUP(B260,Input!J:J,Input!L:L))</f>
        <v>0</v>
      </c>
      <c r="H260" s="32"/>
      <c r="I260" s="32"/>
      <c r="J260" s="32">
        <f>_xlfn.XLOOKUP(B260,CPU_Formula!A:A,CPU_Formula!I:I)</f>
        <v>0</v>
      </c>
      <c r="K260" s="42" t="e">
        <f>INDEX(Input!$D$2:$AC$500,
       MATCH(B260, Input!$J$2:$J$500, 0),
       MATCH("Total Memory", Input!$D$1:$AC$1, 0))</f>
        <v>#N/A</v>
      </c>
      <c r="L260" s="42"/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e">
        <f t="shared" ref="N260:N323" si="14">_xlfn.TEXTJOIN(" ",TRUE,SUBSTITUTE(K260,"i",""),M260)</f>
        <v>#N/A</v>
      </c>
      <c r="O260" s="42" t="e">
        <f>INDEX(Input!$D$2:$AC$500,
       MATCH(B260, Input!$J$2:$J$500, 0),
       MATCH("Disk Interface Type", Input!$D$1:$AC$1, 0))</f>
        <v>#N/A</v>
      </c>
      <c r="P260" s="42" t="str" cm="1">
        <f t="array" ref="P260">IFERROR(_xlfn.TEXTJOIN(", ", TRUE, _xlfn._xlws.FILTER(
    INDEX(Input!$D$2:$AC$500,,MATCH("Disk Capacity",Input!$D$1:$AC$1,0)),
    Input!$J$2:$J$500=B260
)), "")</f>
        <v/>
      </c>
      <c r="Q260" s="32" t="e">
        <f t="shared" si="13"/>
        <v>#N/A</v>
      </c>
      <c r="R260" s="42" t="e">
        <f>_xlfn.LET(_xlpm.Result,INDEX(Input!$D$2:$AC$500,
       MATCH(B260, Input!$J$2:$J$500, 0),
       MATCH("Capacity", Input!$D$1:$AC$1, 0)),IF(_xlpm.Result="","",_xlpm.Result))</f>
        <v>#N/A</v>
      </c>
      <c r="S260" s="42" t="e" cm="1">
        <f t="array" ref="S260">_xlfn.TEXTSPLIT(R260," / ", ,TRUE,0,)</f>
        <v>#N/A</v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/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/>
      <c r="AG260" s="32"/>
      <c r="AH260" s="32"/>
      <c r="AI260" s="32"/>
      <c r="AJ260" s="32"/>
      <c r="AK260" s="32"/>
      <c r="AL260" s="32"/>
      <c r="AM260" s="32"/>
    </row>
    <row r="261" spans="1:39">
      <c r="A261" s="32" t="str">
        <f>_xlfn.XLOOKUP(B261,Input!J:J,Input!G:G)&amp;""</f>
        <v/>
      </c>
      <c r="B261" s="32"/>
      <c r="C261" s="32" t="str">
        <f>_xlfn.XLOOKUP(B261,Input!J:J,Input!H:H)&amp;""</f>
        <v/>
      </c>
      <c r="D261" s="42">
        <f>_xlfn.XLOOKUP(B261,Input!J:J,Input!F:F)</f>
        <v>0</v>
      </c>
      <c r="E261" s="32">
        <f>_xlfn.XLOOKUP(D261,Models!H:H,Models!G:G,D261)</f>
        <v>0</v>
      </c>
      <c r="F261" s="32">
        <f>_xlfn.XLOOKUP(B261,Input!J:J,Input!E:E)</f>
        <v>0</v>
      </c>
      <c r="G261" s="32">
        <f>IF(F261="LENOVO",_xlfn.XLOOKUP(B261,Input!J:J,Input!K:K),_xlfn.XLOOKUP(B261,Input!J:J,Input!L:L))</f>
        <v>0</v>
      </c>
      <c r="H261" s="32"/>
      <c r="I261" s="32"/>
      <c r="J261" s="32"/>
      <c r="K261" s="42" t="e">
        <f>INDEX(Input!$D$2:$AC$500,
       MATCH(B261, Input!$J$2:$J$500, 0),
       MATCH("Total Memory", Input!$D$1:$AC$1, 0))</f>
        <v>#N/A</v>
      </c>
      <c r="L261" s="42"/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e">
        <f t="shared" si="14"/>
        <v>#N/A</v>
      </c>
      <c r="O261" s="42" t="e">
        <f>INDEX(Input!$D$2:$AC$500,
       MATCH(B261, Input!$J$2:$J$500, 0),
       MATCH("Disk Interface Type", Input!$D$1:$AC$1, 0))</f>
        <v>#N/A</v>
      </c>
      <c r="P261" s="42" t="str" cm="1">
        <f t="array" ref="P261">IFERROR(_xlfn.TEXTJOIN(", ", TRUE, _xlfn._xlws.FILTER(
    INDEX(Input!$D$2:$AC$500,,MATCH("Disk Capacity",Input!$D$1:$AC$1,0)),
    Input!$J$2:$J$500=B261
)), "")</f>
        <v/>
      </c>
      <c r="Q261" s="32" t="e">
        <f t="shared" si="13"/>
        <v>#N/A</v>
      </c>
      <c r="R261" s="42" t="e">
        <f>_xlfn.LET(_xlpm.Result,INDEX(Input!$D$2:$AC$500,
       MATCH(B261, Input!$J$2:$J$500, 0),
       MATCH("Capacity", Input!$D$1:$AC$1, 0)),IF(_xlpm.Result="","",_xlpm.Result))</f>
        <v>#N/A</v>
      </c>
      <c r="S261" s="42" t="e" cm="1">
        <f t="array" ref="S261">_xlfn.TEXTSPLIT(R261," / ", ,TRUE,0,)</f>
        <v>#N/A</v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/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/>
      <c r="AG261" s="32"/>
      <c r="AH261" s="32"/>
      <c r="AI261" s="32"/>
      <c r="AJ261" s="32"/>
      <c r="AK261" s="32"/>
      <c r="AL261" s="32"/>
      <c r="AM261" s="32"/>
    </row>
    <row r="262" spans="1:39">
      <c r="A262" s="32" t="str">
        <f>_xlfn.XLOOKUP(B262,Input!J:J,Input!G:G)&amp;""</f>
        <v/>
      </c>
      <c r="B262" s="32"/>
      <c r="C262" s="32" t="str">
        <f>_xlfn.XLOOKUP(B262,Input!J:J,Input!H:H)&amp;""</f>
        <v/>
      </c>
      <c r="D262" s="42">
        <f>_xlfn.XLOOKUP(B262,Input!J:J,Input!F:F)</f>
        <v>0</v>
      </c>
      <c r="E262" s="32">
        <f>_xlfn.XLOOKUP(D262,Models!H:H,Models!G:G,D262)</f>
        <v>0</v>
      </c>
      <c r="F262" s="32">
        <f>_xlfn.XLOOKUP(B262,Input!J:J,Input!E:E)</f>
        <v>0</v>
      </c>
      <c r="G262" s="32">
        <f>IF(F262="LENOVO",_xlfn.XLOOKUP(B262,Input!J:J,Input!K:K),_xlfn.XLOOKUP(B262,Input!J:J,Input!L:L))</f>
        <v>0</v>
      </c>
      <c r="H262" s="32"/>
      <c r="I262" s="32"/>
      <c r="J262" s="32"/>
      <c r="K262" s="42" t="e">
        <f>INDEX(Input!$D$2:$AC$500,
       MATCH(B262, Input!$J$2:$J$500, 0),
       MATCH("Total Memory", Input!$D$1:$AC$1, 0))</f>
        <v>#N/A</v>
      </c>
      <c r="L262" s="42"/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e">
        <f t="shared" si="14"/>
        <v>#N/A</v>
      </c>
      <c r="O262" s="42" t="e">
        <f>INDEX(Input!$D$2:$AC$500,
       MATCH(B262, Input!$J$2:$J$500, 0),
       MATCH("Disk Interface Type", Input!$D$1:$AC$1, 0))</f>
        <v>#N/A</v>
      </c>
      <c r="P262" s="42" t="str" cm="1">
        <f t="array" ref="P262">IFERROR(_xlfn.TEXTJOIN(", ", TRUE, _xlfn._xlws.FILTER(
    INDEX(Input!$D$2:$AC$500,,MATCH("Disk Capacity",Input!$D$1:$AC$1,0)),
    Input!$J$2:$J$500=B262
)), "")</f>
        <v/>
      </c>
      <c r="Q262" s="32" t="e">
        <f t="shared" si="13"/>
        <v>#N/A</v>
      </c>
      <c r="R262" s="42" t="e">
        <f>_xlfn.LET(_xlpm.Result,INDEX(Input!$D$2:$AC$500,
       MATCH(B262, Input!$J$2:$J$500, 0),
       MATCH("Capacity", Input!$D$1:$AC$1, 0)),IF(_xlpm.Result="","",_xlpm.Result))</f>
        <v>#N/A</v>
      </c>
      <c r="S262" s="42" t="e" cm="1">
        <f t="array" ref="S262">_xlfn.TEXTSPLIT(R262," / ", ,TRUE,0,)</f>
        <v>#N/A</v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/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/>
      <c r="AG262" s="32"/>
      <c r="AH262" s="32"/>
      <c r="AI262" s="32"/>
      <c r="AJ262" s="32"/>
      <c r="AK262" s="32"/>
      <c r="AL262" s="32"/>
      <c r="AM262" s="32"/>
    </row>
    <row r="263" spans="1:39">
      <c r="A263" s="32" t="str">
        <f>_xlfn.XLOOKUP(B263,Input!J:J,Input!G:G)&amp;""</f>
        <v/>
      </c>
      <c r="B263" s="32"/>
      <c r="C263" s="32" t="str">
        <f>_xlfn.XLOOKUP(B263,Input!J:J,Input!H:H)&amp;""</f>
        <v/>
      </c>
      <c r="D263" s="42">
        <f>_xlfn.XLOOKUP(B263,Input!J:J,Input!F:F)</f>
        <v>0</v>
      </c>
      <c r="E263" s="32">
        <f>_xlfn.XLOOKUP(D263,Models!H:H,Models!G:G,D263)</f>
        <v>0</v>
      </c>
      <c r="F263" s="32">
        <f>_xlfn.XLOOKUP(B263,Input!J:J,Input!E:E)</f>
        <v>0</v>
      </c>
      <c r="G263" s="32">
        <f>IF(F263="LENOVO",_xlfn.XLOOKUP(B263,Input!J:J,Input!K:K),_xlfn.XLOOKUP(B263,Input!J:J,Input!L:L))</f>
        <v>0</v>
      </c>
      <c r="H263" s="32"/>
      <c r="I263" s="32"/>
      <c r="J263" s="32"/>
      <c r="K263" s="42" t="e">
        <f>INDEX(Input!$D$2:$AC$500,
       MATCH(B263, Input!$J$2:$J$500, 0),
       MATCH("Total Memory", Input!$D$1:$AC$1, 0))</f>
        <v>#N/A</v>
      </c>
      <c r="L263" s="42"/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e">
        <f t="shared" si="14"/>
        <v>#N/A</v>
      </c>
      <c r="O263" s="42" t="e">
        <f>INDEX(Input!$D$2:$AC$500,
       MATCH(B263, Input!$J$2:$J$500, 0),
       MATCH("Disk Interface Type", Input!$D$1:$AC$1, 0))</f>
        <v>#N/A</v>
      </c>
      <c r="P263" s="42" t="str" cm="1">
        <f t="array" ref="P263">IFERROR(_xlfn.TEXTJOIN(", ", TRUE, _xlfn._xlws.FILTER(
    INDEX(Input!$D$2:$AC$500,,MATCH("Disk Capacity",Input!$D$1:$AC$1,0)),
    Input!$J$2:$J$500=B263
)), "")</f>
        <v/>
      </c>
      <c r="Q263" s="32" t="e">
        <f t="shared" si="13"/>
        <v>#N/A</v>
      </c>
      <c r="R263" s="42" t="e">
        <f>_xlfn.LET(_xlpm.Result,INDEX(Input!$D$2:$AC$500,
       MATCH(B263, Input!$J$2:$J$500, 0),
       MATCH("Capacity", Input!$D$1:$AC$1, 0)),IF(_xlpm.Result="","",_xlpm.Result))</f>
        <v>#N/A</v>
      </c>
      <c r="S263" s="42" t="e" cm="1">
        <f t="array" ref="S263">_xlfn.TEXTSPLIT(R263," / ", ,TRUE,0,)</f>
        <v>#N/A</v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/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/>
      <c r="AG263" s="32"/>
      <c r="AH263" s="32"/>
      <c r="AI263" s="32"/>
      <c r="AJ263" s="32"/>
      <c r="AK263" s="32"/>
      <c r="AL263" s="32"/>
      <c r="AM263" s="32"/>
    </row>
    <row r="264" spans="1:39">
      <c r="A264" s="32" t="str">
        <f>_xlfn.XLOOKUP(B264,Input!J:J,Input!G:G)&amp;""</f>
        <v/>
      </c>
      <c r="B264" s="32"/>
      <c r="C264" s="32" t="str">
        <f>_xlfn.XLOOKUP(B264,Input!J:J,Input!H:H)&amp;""</f>
        <v/>
      </c>
      <c r="D264" s="42">
        <f>_xlfn.XLOOKUP(B264,Input!J:J,Input!F:F)</f>
        <v>0</v>
      </c>
      <c r="E264" s="32">
        <f>_xlfn.XLOOKUP(D264,Models!H:H,Models!G:G,D264)</f>
        <v>0</v>
      </c>
      <c r="F264" s="32">
        <f>_xlfn.XLOOKUP(B264,Input!J:J,Input!E:E)</f>
        <v>0</v>
      </c>
      <c r="G264" s="32">
        <f>IF(F264="LENOVO",_xlfn.XLOOKUP(B264,Input!J:J,Input!K:K),_xlfn.XLOOKUP(B264,Input!J:J,Input!L:L))</f>
        <v>0</v>
      </c>
      <c r="H264" s="32"/>
      <c r="I264" s="32"/>
      <c r="J264" s="32"/>
      <c r="K264" s="42" t="e">
        <f>INDEX(Input!$D$2:$AC$500,
       MATCH(B264, Input!$J$2:$J$500, 0),
       MATCH("Total Memory", Input!$D$1:$AC$1, 0))</f>
        <v>#N/A</v>
      </c>
      <c r="L264" s="42"/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e">
        <f t="shared" si="14"/>
        <v>#N/A</v>
      </c>
      <c r="O264" s="42" t="e">
        <f>INDEX(Input!$D$2:$AC$500,
       MATCH(B264, Input!$J$2:$J$500, 0),
       MATCH("Disk Interface Type", Input!$D$1:$AC$1, 0))</f>
        <v>#N/A</v>
      </c>
      <c r="P264" s="42" t="str" cm="1">
        <f t="array" ref="P264">IFERROR(_xlfn.TEXTJOIN(", ", TRUE, _xlfn._xlws.FILTER(
    INDEX(Input!$D$2:$AC$500,,MATCH("Disk Capacity",Input!$D$1:$AC$1,0)),
    Input!$J$2:$J$500=B264
)), "")</f>
        <v/>
      </c>
      <c r="Q264" s="32" t="e">
        <f t="shared" si="13"/>
        <v>#N/A</v>
      </c>
      <c r="R264" s="42" t="e">
        <f>_xlfn.LET(_xlpm.Result,INDEX(Input!$D$2:$AC$500,
       MATCH(B264, Input!$J$2:$J$500, 0),
       MATCH("Capacity", Input!$D$1:$AC$1, 0)),IF(_xlpm.Result="","",_xlpm.Result))</f>
        <v>#N/A</v>
      </c>
      <c r="S264" s="42" t="e" cm="1">
        <f t="array" ref="S264">_xlfn.TEXTSPLIT(R264," / ", ,TRUE,0,)</f>
        <v>#N/A</v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/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/>
      <c r="AG264" s="32"/>
      <c r="AH264" s="32"/>
      <c r="AI264" s="32"/>
      <c r="AJ264" s="32"/>
      <c r="AK264" s="32"/>
      <c r="AL264" s="32"/>
      <c r="AM264" s="32"/>
    </row>
    <row r="265" spans="1:39">
      <c r="A265" s="32" t="str">
        <f>_xlfn.XLOOKUP(B265,Input!J:J,Input!G:G)&amp;""</f>
        <v/>
      </c>
      <c r="B265" s="32"/>
      <c r="C265" s="32" t="str">
        <f>_xlfn.XLOOKUP(B265,Input!J:J,Input!H:H)&amp;""</f>
        <v/>
      </c>
      <c r="D265" s="42">
        <f>_xlfn.XLOOKUP(B265,Input!J:J,Input!F:F)</f>
        <v>0</v>
      </c>
      <c r="E265" s="32">
        <f>_xlfn.XLOOKUP(D265,Models!H:H,Models!G:G,D265)</f>
        <v>0</v>
      </c>
      <c r="F265" s="32">
        <f>_xlfn.XLOOKUP(B265,Input!J:J,Input!E:E)</f>
        <v>0</v>
      </c>
      <c r="G265" s="32">
        <f>IF(F265="LENOVO",_xlfn.XLOOKUP(B265,Input!J:J,Input!K:K),_xlfn.XLOOKUP(B265,Input!J:J,Input!L:L))</f>
        <v>0</v>
      </c>
      <c r="H265" s="32"/>
      <c r="I265" s="32"/>
      <c r="J265" s="32"/>
      <c r="K265" s="42" t="e">
        <f>INDEX(Input!$D$2:$AC$500,
       MATCH(B265, Input!$J$2:$J$500, 0),
       MATCH("Total Memory", Input!$D$1:$AC$1, 0))</f>
        <v>#N/A</v>
      </c>
      <c r="L265" s="42"/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e">
        <f t="shared" si="14"/>
        <v>#N/A</v>
      </c>
      <c r="O265" s="42" t="e">
        <f>INDEX(Input!$D$2:$AC$500,
       MATCH(B265, Input!$J$2:$J$500, 0),
       MATCH("Disk Interface Type", Input!$D$1:$AC$1, 0))</f>
        <v>#N/A</v>
      </c>
      <c r="P265" s="42" t="str" cm="1">
        <f t="array" ref="P265">IFERROR(_xlfn.TEXTJOIN(", ", TRUE, _xlfn._xlws.FILTER(
    INDEX(Input!$D$2:$AC$500,,MATCH("Disk Capacity",Input!$D$1:$AC$1,0)),
    Input!$J$2:$J$500=B265
)), "")</f>
        <v/>
      </c>
      <c r="Q265" s="32" t="e">
        <f t="shared" si="13"/>
        <v>#N/A</v>
      </c>
      <c r="R265" s="42" t="e">
        <f>_xlfn.LET(_xlpm.Result,INDEX(Input!$D$2:$AC$500,
       MATCH(B265, Input!$J$2:$J$500, 0),
       MATCH("Capacity", Input!$D$1:$AC$1, 0)),IF(_xlpm.Result="","",_xlpm.Result))</f>
        <v>#N/A</v>
      </c>
      <c r="S265" s="42" t="e" cm="1">
        <f t="array" ref="S265">_xlfn.TEXTSPLIT(R265," / ", ,TRUE,0,)</f>
        <v>#N/A</v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/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/>
      <c r="AG265" s="32"/>
      <c r="AH265" s="32"/>
      <c r="AI265" s="32"/>
      <c r="AJ265" s="32"/>
      <c r="AK265" s="32"/>
      <c r="AL265" s="32"/>
      <c r="AM265" s="32"/>
    </row>
    <row r="266" spans="1:39">
      <c r="A266" s="32" t="str">
        <f>_xlfn.XLOOKUP(B266,Input!J:J,Input!G:G)&amp;""</f>
        <v/>
      </c>
      <c r="B266" s="32"/>
      <c r="C266" s="32" t="str">
        <f>_xlfn.XLOOKUP(B266,Input!J:J,Input!H:H)&amp;""</f>
        <v/>
      </c>
      <c r="D266" s="42">
        <f>_xlfn.XLOOKUP(B266,Input!J:J,Input!F:F)</f>
        <v>0</v>
      </c>
      <c r="E266" s="32">
        <f>_xlfn.XLOOKUP(D266,Models!H:H,Models!G:G,D266)</f>
        <v>0</v>
      </c>
      <c r="F266" s="32">
        <f>_xlfn.XLOOKUP(B266,Input!J:J,Input!E:E)</f>
        <v>0</v>
      </c>
      <c r="G266" s="32">
        <f>IF(F266="LENOVO",_xlfn.XLOOKUP(B266,Input!J:J,Input!K:K),_xlfn.XLOOKUP(B266,Input!J:J,Input!L:L))</f>
        <v>0</v>
      </c>
      <c r="H266" s="32"/>
      <c r="I266" s="32"/>
      <c r="J266" s="32"/>
      <c r="K266" s="42" t="e">
        <f>INDEX(Input!$D$2:$AC$500,
       MATCH(B266, Input!$J$2:$J$500, 0),
       MATCH("Total Memory", Input!$D$1:$AC$1, 0))</f>
        <v>#N/A</v>
      </c>
      <c r="L266" s="42"/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e">
        <f t="shared" si="14"/>
        <v>#N/A</v>
      </c>
      <c r="O266" s="42" t="e">
        <f>INDEX(Input!$D$2:$AC$500,
       MATCH(B266, Input!$J$2:$J$500, 0),
       MATCH("Disk Interface Type", Input!$D$1:$AC$1, 0))</f>
        <v>#N/A</v>
      </c>
      <c r="P266" s="42" t="str" cm="1">
        <f t="array" ref="P266">IFERROR(_xlfn.TEXTJOIN(", ", TRUE, _xlfn._xlws.FILTER(
    INDEX(Input!$D$2:$AC$500,,MATCH("Disk Capacity",Input!$D$1:$AC$1,0)),
    Input!$J$2:$J$500=B266
)), "")</f>
        <v/>
      </c>
      <c r="Q266" s="32" t="e">
        <f t="shared" si="13"/>
        <v>#N/A</v>
      </c>
      <c r="R266" s="42" t="e">
        <f>_xlfn.LET(_xlpm.Result,INDEX(Input!$D$2:$AC$500,
       MATCH(B266, Input!$J$2:$J$500, 0),
       MATCH("Capacity", Input!$D$1:$AC$1, 0)),IF(_xlpm.Result="","",_xlpm.Result))</f>
        <v>#N/A</v>
      </c>
      <c r="S266" s="42" t="e" cm="1">
        <f t="array" ref="S266">_xlfn.TEXTSPLIT(R266," / ", ,TRUE,0,)</f>
        <v>#N/A</v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/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/>
      <c r="AG266" s="32"/>
      <c r="AH266" s="32"/>
      <c r="AI266" s="32"/>
      <c r="AJ266" s="32"/>
      <c r="AK266" s="32"/>
      <c r="AL266" s="32"/>
      <c r="AM266" s="32"/>
    </row>
    <row r="267" spans="1:39">
      <c r="A267" s="32" t="str">
        <f>_xlfn.XLOOKUP(B267,Input!J:J,Input!G:G)&amp;""</f>
        <v/>
      </c>
      <c r="B267" s="32"/>
      <c r="C267" s="32" t="str">
        <f>_xlfn.XLOOKUP(B267,Input!J:J,Input!H:H)&amp;""</f>
        <v/>
      </c>
      <c r="D267" s="42">
        <f>_xlfn.XLOOKUP(B267,Input!J:J,Input!F:F)</f>
        <v>0</v>
      </c>
      <c r="E267" s="32">
        <f>_xlfn.XLOOKUP(D267,Models!H:H,Models!G:G,D267)</f>
        <v>0</v>
      </c>
      <c r="F267" s="32">
        <f>_xlfn.XLOOKUP(B267,Input!J:J,Input!E:E)</f>
        <v>0</v>
      </c>
      <c r="G267" s="32">
        <f>IF(F267="LENOVO",_xlfn.XLOOKUP(B267,Input!J:J,Input!K:K),_xlfn.XLOOKUP(B267,Input!J:J,Input!L:L))</f>
        <v>0</v>
      </c>
      <c r="H267" s="32"/>
      <c r="I267" s="32"/>
      <c r="J267" s="32"/>
      <c r="K267" s="42" t="e">
        <f>INDEX(Input!$D$2:$AC$500,
       MATCH(B267, Input!$J$2:$J$500, 0),
       MATCH("Total Memory", Input!$D$1:$AC$1, 0))</f>
        <v>#N/A</v>
      </c>
      <c r="L267" s="42"/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e">
        <f t="shared" si="14"/>
        <v>#N/A</v>
      </c>
      <c r="O267" s="42" t="e">
        <f>INDEX(Input!$D$2:$AC$500,
       MATCH(B267, Input!$J$2:$J$500, 0),
       MATCH("Disk Interface Type", Input!$D$1:$AC$1, 0))</f>
        <v>#N/A</v>
      </c>
      <c r="P267" s="42" t="str" cm="1">
        <f t="array" ref="P267">IFERROR(_xlfn.TEXTJOIN(", ", TRUE, _xlfn._xlws.FILTER(
    INDEX(Input!$D$2:$AC$500,,MATCH("Disk Capacity",Input!$D$1:$AC$1,0)),
    Input!$J$2:$J$500=B267
)), "")</f>
        <v/>
      </c>
      <c r="Q267" s="32" t="e">
        <f t="shared" si="13"/>
        <v>#N/A</v>
      </c>
      <c r="R267" s="42" t="e">
        <f>_xlfn.LET(_xlpm.Result,INDEX(Input!$D$2:$AC$500,
       MATCH(B267, Input!$J$2:$J$500, 0),
       MATCH("Capacity", Input!$D$1:$AC$1, 0)),IF(_xlpm.Result="","",_xlpm.Result))</f>
        <v>#N/A</v>
      </c>
      <c r="S267" s="42" t="e" cm="1">
        <f t="array" ref="S267">_xlfn.TEXTSPLIT(R267," / ", ,TRUE,0,)</f>
        <v>#N/A</v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/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/>
      <c r="AG267" s="32"/>
      <c r="AH267" s="32"/>
      <c r="AI267" s="32"/>
      <c r="AJ267" s="32"/>
      <c r="AK267" s="32"/>
      <c r="AL267" s="32"/>
      <c r="AM267" s="32"/>
    </row>
    <row r="268" spans="1:39">
      <c r="A268" s="32" t="str">
        <f>_xlfn.XLOOKUP(B268,Input!J:J,Input!G:G)&amp;""</f>
        <v/>
      </c>
      <c r="B268" s="32"/>
      <c r="C268" s="32" t="str">
        <f>_xlfn.XLOOKUP(B268,Input!J:J,Input!H:H)&amp;""</f>
        <v/>
      </c>
      <c r="D268" s="42">
        <f>_xlfn.XLOOKUP(B268,Input!J:J,Input!F:F)</f>
        <v>0</v>
      </c>
      <c r="E268" s="32">
        <f>_xlfn.XLOOKUP(D268,Models!H:H,Models!G:G,D268)</f>
        <v>0</v>
      </c>
      <c r="F268" s="32">
        <f>_xlfn.XLOOKUP(B268,Input!J:J,Input!E:E)</f>
        <v>0</v>
      </c>
      <c r="G268" s="32">
        <f>IF(F268="LENOVO",_xlfn.XLOOKUP(B268,Input!J:J,Input!K:K),_xlfn.XLOOKUP(B268,Input!J:J,Input!L:L))</f>
        <v>0</v>
      </c>
      <c r="H268" s="32"/>
      <c r="I268" s="32"/>
      <c r="J268" s="32"/>
      <c r="K268" s="42" t="e">
        <f>INDEX(Input!$D$2:$AC$500,
       MATCH(B268, Input!$J$2:$J$500, 0),
       MATCH("Total Memory", Input!$D$1:$AC$1, 0))</f>
        <v>#N/A</v>
      </c>
      <c r="L268" s="42"/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e">
        <f t="shared" si="14"/>
        <v>#N/A</v>
      </c>
      <c r="O268" s="42" t="e">
        <f>INDEX(Input!$D$2:$AC$500,
       MATCH(B268, Input!$J$2:$J$500, 0),
       MATCH("Disk Interface Type", Input!$D$1:$AC$1, 0))</f>
        <v>#N/A</v>
      </c>
      <c r="P268" s="42" t="str" cm="1">
        <f t="array" ref="P268">IFERROR(_xlfn.TEXTJOIN(", ", TRUE, _xlfn._xlws.FILTER(
    INDEX(Input!$D$2:$AC$500,,MATCH("Disk Capacity",Input!$D$1:$AC$1,0)),
    Input!$J$2:$J$500=B268
)), "")</f>
        <v/>
      </c>
      <c r="Q268" s="32" t="e">
        <f t="shared" si="13"/>
        <v>#N/A</v>
      </c>
      <c r="R268" s="42" t="e">
        <f>_xlfn.LET(_xlpm.Result,INDEX(Input!$D$2:$AC$500,
       MATCH(B268, Input!$J$2:$J$500, 0),
       MATCH("Capacity", Input!$D$1:$AC$1, 0)),IF(_xlpm.Result="","",_xlpm.Result))</f>
        <v>#N/A</v>
      </c>
      <c r="S268" s="42" t="e" cm="1">
        <f t="array" ref="S268">_xlfn.TEXTSPLIT(R268," / ", ,TRUE,0,)</f>
        <v>#N/A</v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/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/>
      <c r="AG268" s="32"/>
      <c r="AH268" s="32"/>
      <c r="AI268" s="32"/>
      <c r="AJ268" s="32"/>
      <c r="AK268" s="32"/>
      <c r="AL268" s="32"/>
      <c r="AM268" s="32"/>
    </row>
    <row r="269" spans="1:39">
      <c r="A269" s="32" t="str">
        <f>_xlfn.XLOOKUP(B269,Input!J:J,Input!G:G)&amp;""</f>
        <v/>
      </c>
      <c r="B269" s="32"/>
      <c r="C269" s="32" t="str">
        <f>_xlfn.XLOOKUP(B269,Input!J:J,Input!H:H)&amp;""</f>
        <v/>
      </c>
      <c r="D269" s="42">
        <f>_xlfn.XLOOKUP(B269,Input!J:J,Input!F:F)</f>
        <v>0</v>
      </c>
      <c r="E269" s="32">
        <f>_xlfn.XLOOKUP(D269,Models!H:H,Models!G:G,D269)</f>
        <v>0</v>
      </c>
      <c r="F269" s="32">
        <f>_xlfn.XLOOKUP(B269,Input!J:J,Input!E:E)</f>
        <v>0</v>
      </c>
      <c r="G269" s="32">
        <f>IF(F269="LENOVO",_xlfn.XLOOKUP(B269,Input!J:J,Input!K:K),_xlfn.XLOOKUP(B269,Input!J:J,Input!L:L))</f>
        <v>0</v>
      </c>
      <c r="H269" s="32"/>
      <c r="I269" s="32"/>
      <c r="J269" s="32"/>
      <c r="K269" s="42" t="e">
        <f>INDEX(Input!$D$2:$AC$500,
       MATCH(B269, Input!$J$2:$J$500, 0),
       MATCH("Total Memory", Input!$D$1:$AC$1, 0))</f>
        <v>#N/A</v>
      </c>
      <c r="L269" s="42"/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e">
        <f t="shared" si="14"/>
        <v>#N/A</v>
      </c>
      <c r="O269" s="42" t="e">
        <f>INDEX(Input!$D$2:$AC$500,
       MATCH(B269, Input!$J$2:$J$500, 0),
       MATCH("Disk Interface Type", Input!$D$1:$AC$1, 0))</f>
        <v>#N/A</v>
      </c>
      <c r="P269" s="42" t="str" cm="1">
        <f t="array" ref="P269">IFERROR(_xlfn.TEXTJOIN(", ", TRUE, _xlfn._xlws.FILTER(
    INDEX(Input!$D$2:$AC$500,,MATCH("Disk Capacity",Input!$D$1:$AC$1,0)),
    Input!$J$2:$J$500=B269
)), "")</f>
        <v/>
      </c>
      <c r="Q269" s="32" t="e">
        <f t="shared" si="13"/>
        <v>#N/A</v>
      </c>
      <c r="R269" s="42" t="e">
        <f>_xlfn.LET(_xlpm.Result,INDEX(Input!$D$2:$AC$500,
       MATCH(B269, Input!$J$2:$J$500, 0),
       MATCH("Capacity", Input!$D$1:$AC$1, 0)),IF(_xlpm.Result="","",_xlpm.Result))</f>
        <v>#N/A</v>
      </c>
      <c r="S269" s="42" t="e" cm="1">
        <f t="array" ref="S269">_xlfn.TEXTSPLIT(R269," / ", ,TRUE,0,)</f>
        <v>#N/A</v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/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/>
      <c r="AG269" s="32"/>
      <c r="AH269" s="32"/>
      <c r="AI269" s="32"/>
      <c r="AJ269" s="32"/>
      <c r="AK269" s="32"/>
      <c r="AL269" s="32"/>
      <c r="AM269" s="32"/>
    </row>
    <row r="270" spans="1:39">
      <c r="A270" s="32" t="str">
        <f>_xlfn.XLOOKUP(B270,Input!J:J,Input!G:G)&amp;""</f>
        <v/>
      </c>
      <c r="B270" s="32"/>
      <c r="C270" s="32" t="str">
        <f>_xlfn.XLOOKUP(B270,Input!J:J,Input!H:H)&amp;""</f>
        <v/>
      </c>
      <c r="D270" s="42">
        <f>_xlfn.XLOOKUP(B270,Input!J:J,Input!F:F)</f>
        <v>0</v>
      </c>
      <c r="E270" s="32">
        <f>_xlfn.XLOOKUP(D270,Models!H:H,Models!G:G,D270)</f>
        <v>0</v>
      </c>
      <c r="F270" s="32">
        <f>_xlfn.XLOOKUP(B270,Input!J:J,Input!E:E)</f>
        <v>0</v>
      </c>
      <c r="G270" s="32">
        <f>IF(F270="LENOVO",_xlfn.XLOOKUP(B270,Input!J:J,Input!K:K),_xlfn.XLOOKUP(B270,Input!J:J,Input!L:L))</f>
        <v>0</v>
      </c>
      <c r="H270" s="32"/>
      <c r="I270" s="32"/>
      <c r="J270" s="32"/>
      <c r="K270" s="42" t="e">
        <f>INDEX(Input!$D$2:$AC$500,
       MATCH(B270, Input!$J$2:$J$500, 0),
       MATCH("Total Memory", Input!$D$1:$AC$1, 0))</f>
        <v>#N/A</v>
      </c>
      <c r="L270" s="42"/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e">
        <f t="shared" si="14"/>
        <v>#N/A</v>
      </c>
      <c r="O270" s="42" t="e">
        <f>INDEX(Input!$D$2:$AC$500,
       MATCH(B270, Input!$J$2:$J$500, 0),
       MATCH("Disk Interface Type", Input!$D$1:$AC$1, 0))</f>
        <v>#N/A</v>
      </c>
      <c r="P270" s="42" t="str" cm="1">
        <f t="array" ref="P270">IFERROR(_xlfn.TEXTJOIN(", ", TRUE, _xlfn._xlws.FILTER(
    INDEX(Input!$D$2:$AC$500,,MATCH("Disk Capacity",Input!$D$1:$AC$1,0)),
    Input!$J$2:$J$500=B270
)), "")</f>
        <v/>
      </c>
      <c r="Q270" s="32" t="e">
        <f t="shared" si="13"/>
        <v>#N/A</v>
      </c>
      <c r="R270" s="42" t="e">
        <f>_xlfn.LET(_xlpm.Result,INDEX(Input!$D$2:$AC$500,
       MATCH(B270, Input!$J$2:$J$500, 0),
       MATCH("Capacity", Input!$D$1:$AC$1, 0)),IF(_xlpm.Result="","",_xlpm.Result))</f>
        <v>#N/A</v>
      </c>
      <c r="S270" s="42" t="e" cm="1">
        <f t="array" ref="S270">_xlfn.TEXTSPLIT(R270," / ", ,TRUE,0,)</f>
        <v>#N/A</v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/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/>
      <c r="AG270" s="32"/>
      <c r="AH270" s="32"/>
      <c r="AI270" s="32"/>
      <c r="AJ270" s="32"/>
      <c r="AK270" s="32"/>
      <c r="AL270" s="32"/>
      <c r="AM270" s="32"/>
    </row>
    <row r="271" spans="1:39">
      <c r="A271" s="32" t="str">
        <f>_xlfn.XLOOKUP(B271,Input!J:J,Input!G:G)&amp;""</f>
        <v/>
      </c>
      <c r="B271" s="32"/>
      <c r="C271" s="32" t="str">
        <f>_xlfn.XLOOKUP(B271,Input!J:J,Input!H:H)&amp;""</f>
        <v/>
      </c>
      <c r="D271" s="42">
        <f>_xlfn.XLOOKUP(B271,Input!J:J,Input!F:F)</f>
        <v>0</v>
      </c>
      <c r="E271" s="32">
        <f>_xlfn.XLOOKUP(D271,Models!H:H,Models!G:G,D271)</f>
        <v>0</v>
      </c>
      <c r="F271" s="32">
        <f>_xlfn.XLOOKUP(B271,Input!J:J,Input!E:E)</f>
        <v>0</v>
      </c>
      <c r="G271" s="32">
        <f>IF(F271="LENOVO",_xlfn.XLOOKUP(B271,Input!J:J,Input!K:K),_xlfn.XLOOKUP(B271,Input!J:J,Input!L:L))</f>
        <v>0</v>
      </c>
      <c r="H271" s="32"/>
      <c r="I271" s="32"/>
      <c r="J271" s="32"/>
      <c r="K271" s="42" t="e">
        <f>INDEX(Input!$D$2:$AC$500,
       MATCH(B271, Input!$J$2:$J$500, 0),
       MATCH("Total Memory", Input!$D$1:$AC$1, 0))</f>
        <v>#N/A</v>
      </c>
      <c r="L271" s="42"/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e">
        <f t="shared" si="14"/>
        <v>#N/A</v>
      </c>
      <c r="O271" s="42" t="e">
        <f>INDEX(Input!$D$2:$AC$500,
       MATCH(B271, Input!$J$2:$J$500, 0),
       MATCH("Disk Interface Type", Input!$D$1:$AC$1, 0))</f>
        <v>#N/A</v>
      </c>
      <c r="P271" s="42" t="str" cm="1">
        <f t="array" ref="P271">IFERROR(_xlfn.TEXTJOIN(", ", TRUE, _xlfn._xlws.FILTER(
    INDEX(Input!$D$2:$AC$500,,MATCH("Disk Capacity",Input!$D$1:$AC$1,0)),
    Input!$J$2:$J$500=B271
)), "")</f>
        <v/>
      </c>
      <c r="Q271" s="32" t="e">
        <f t="shared" si="13"/>
        <v>#N/A</v>
      </c>
      <c r="R271" s="42" t="e">
        <f>_xlfn.LET(_xlpm.Result,INDEX(Input!$D$2:$AC$500,
       MATCH(B271, Input!$J$2:$J$500, 0),
       MATCH("Capacity", Input!$D$1:$AC$1, 0)),IF(_xlpm.Result="","",_xlpm.Result))</f>
        <v>#N/A</v>
      </c>
      <c r="S271" s="42" t="e" cm="1">
        <f t="array" ref="S271">_xlfn.TEXTSPLIT(R271," / ", ,TRUE,0,)</f>
        <v>#N/A</v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/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/>
      <c r="AG271" s="32"/>
      <c r="AH271" s="32"/>
      <c r="AI271" s="32"/>
      <c r="AJ271" s="32"/>
      <c r="AK271" s="32"/>
      <c r="AL271" s="32"/>
      <c r="AM271" s="32"/>
    </row>
    <row r="272" spans="1:39">
      <c r="A272" s="32" t="str">
        <f>_xlfn.XLOOKUP(B272,Input!J:J,Input!G:G)&amp;""</f>
        <v/>
      </c>
      <c r="B272" s="32"/>
      <c r="C272" s="32" t="str">
        <f>_xlfn.XLOOKUP(B272,Input!J:J,Input!H:H)&amp;""</f>
        <v/>
      </c>
      <c r="D272" s="42">
        <f>_xlfn.XLOOKUP(B272,Input!J:J,Input!F:F)</f>
        <v>0</v>
      </c>
      <c r="E272" s="32">
        <f>_xlfn.XLOOKUP(D272,Models!H:H,Models!G:G,D272)</f>
        <v>0</v>
      </c>
      <c r="F272" s="32">
        <f>_xlfn.XLOOKUP(B272,Input!J:J,Input!E:E)</f>
        <v>0</v>
      </c>
      <c r="G272" s="32">
        <f>IF(F272="LENOVO",_xlfn.XLOOKUP(B272,Input!J:J,Input!K:K),_xlfn.XLOOKUP(B272,Input!J:J,Input!L:L))</f>
        <v>0</v>
      </c>
      <c r="H272" s="32"/>
      <c r="I272" s="32"/>
      <c r="J272" s="32"/>
      <c r="K272" s="42" t="e">
        <f>INDEX(Input!$D$2:$AC$500,
       MATCH(B272, Input!$J$2:$J$500, 0),
       MATCH("Total Memory", Input!$D$1:$AC$1, 0))</f>
        <v>#N/A</v>
      </c>
      <c r="L272" s="42"/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e">
        <f t="shared" si="14"/>
        <v>#N/A</v>
      </c>
      <c r="O272" s="42" t="e">
        <f>INDEX(Input!$D$2:$AC$500,
       MATCH(B272, Input!$J$2:$J$500, 0),
       MATCH("Disk Interface Type", Input!$D$1:$AC$1, 0))</f>
        <v>#N/A</v>
      </c>
      <c r="P272" s="42" t="str" cm="1">
        <f t="array" ref="P272">IFERROR(_xlfn.TEXTJOIN(", ", TRUE, _xlfn._xlws.FILTER(
    INDEX(Input!$D$2:$AC$500,,MATCH("Disk Capacity",Input!$D$1:$AC$1,0)),
    Input!$J$2:$J$500=B272
)), "")</f>
        <v/>
      </c>
      <c r="Q272" s="32" t="e">
        <f t="shared" si="13"/>
        <v>#N/A</v>
      </c>
      <c r="R272" s="42" t="e">
        <f>_xlfn.LET(_xlpm.Result,INDEX(Input!$D$2:$AC$500,
       MATCH(B272, Input!$J$2:$J$500, 0),
       MATCH("Capacity", Input!$D$1:$AC$1, 0)),IF(_xlpm.Result="","",_xlpm.Result))</f>
        <v>#N/A</v>
      </c>
      <c r="S272" s="42" t="e" cm="1">
        <f t="array" ref="S272">_xlfn.TEXTSPLIT(R272," / ", ,TRUE,0,)</f>
        <v>#N/A</v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/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/>
      <c r="AG272" s="32"/>
      <c r="AH272" s="32"/>
      <c r="AI272" s="32"/>
      <c r="AJ272" s="32"/>
      <c r="AK272" s="32"/>
      <c r="AL272" s="32"/>
      <c r="AM272" s="32"/>
    </row>
    <row r="273" spans="1:39">
      <c r="A273" s="32" t="str">
        <f>_xlfn.XLOOKUP(B273,Input!J:J,Input!G:G)&amp;""</f>
        <v/>
      </c>
      <c r="B273" s="32"/>
      <c r="C273" s="32" t="str">
        <f>_xlfn.XLOOKUP(B273,Input!J:J,Input!H:H)&amp;""</f>
        <v/>
      </c>
      <c r="D273" s="42">
        <f>_xlfn.XLOOKUP(B273,Input!J:J,Input!F:F)</f>
        <v>0</v>
      </c>
      <c r="E273" s="32">
        <f>_xlfn.XLOOKUP(D273,Models!H:H,Models!G:G,D273)</f>
        <v>0</v>
      </c>
      <c r="F273" s="32">
        <f>_xlfn.XLOOKUP(B273,Input!J:J,Input!E:E)</f>
        <v>0</v>
      </c>
      <c r="G273" s="32">
        <f>IF(F273="LENOVO",_xlfn.XLOOKUP(B273,Input!J:J,Input!K:K),_xlfn.XLOOKUP(B273,Input!J:J,Input!L:L))</f>
        <v>0</v>
      </c>
      <c r="H273" s="32"/>
      <c r="I273" s="32"/>
      <c r="J273" s="32"/>
      <c r="K273" s="42" t="e">
        <f>INDEX(Input!$D$2:$AC$500,
       MATCH(B273, Input!$J$2:$J$500, 0),
       MATCH("Total Memory", Input!$D$1:$AC$1, 0))</f>
        <v>#N/A</v>
      </c>
      <c r="L273" s="42"/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e">
        <f t="shared" si="14"/>
        <v>#N/A</v>
      </c>
      <c r="O273" s="42" t="e">
        <f>INDEX(Input!$D$2:$AC$500,
       MATCH(B273, Input!$J$2:$J$500, 0),
       MATCH("Disk Interface Type", Input!$D$1:$AC$1, 0))</f>
        <v>#N/A</v>
      </c>
      <c r="P273" s="42" t="str" cm="1">
        <f t="array" ref="P273">IFERROR(_xlfn.TEXTJOIN(", ", TRUE, _xlfn._xlws.FILTER(
    INDEX(Input!$D$2:$AC$500,,MATCH("Disk Capacity",Input!$D$1:$AC$1,0)),
    Input!$J$2:$J$500=B273
)), "")</f>
        <v/>
      </c>
      <c r="Q273" s="32" t="e">
        <f t="shared" si="13"/>
        <v>#N/A</v>
      </c>
      <c r="R273" s="42" t="e">
        <f>_xlfn.LET(_xlpm.Result,INDEX(Input!$D$2:$AC$500,
       MATCH(B273, Input!$J$2:$J$500, 0),
       MATCH("Capacity", Input!$D$1:$AC$1, 0)),IF(_xlpm.Result="","",_xlpm.Result))</f>
        <v>#N/A</v>
      </c>
      <c r="S273" s="42" t="e" cm="1">
        <f t="array" ref="S273">_xlfn.TEXTSPLIT(R273," / ", ,TRUE,0,)</f>
        <v>#N/A</v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/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/>
      <c r="AG273" s="32"/>
      <c r="AH273" s="32"/>
      <c r="AI273" s="32"/>
      <c r="AJ273" s="32"/>
      <c r="AK273" s="32"/>
      <c r="AL273" s="32"/>
      <c r="AM273" s="32"/>
    </row>
    <row r="274" spans="1:39">
      <c r="A274" s="32" t="str">
        <f>_xlfn.XLOOKUP(B274,Input!J:J,Input!G:G)&amp;""</f>
        <v/>
      </c>
      <c r="B274" s="32"/>
      <c r="C274" s="32" t="str">
        <f>_xlfn.XLOOKUP(B274,Input!J:J,Input!H:H)&amp;""</f>
        <v/>
      </c>
      <c r="D274" s="42">
        <f>_xlfn.XLOOKUP(B274,Input!J:J,Input!F:F)</f>
        <v>0</v>
      </c>
      <c r="E274" s="32">
        <f>_xlfn.XLOOKUP(D274,Models!H:H,Models!G:G,D274)</f>
        <v>0</v>
      </c>
      <c r="F274" s="32">
        <f>_xlfn.XLOOKUP(B274,Input!J:J,Input!E:E)</f>
        <v>0</v>
      </c>
      <c r="G274" s="32">
        <f>IF(F274="LENOVO",_xlfn.XLOOKUP(B274,Input!J:J,Input!K:K),_xlfn.XLOOKUP(B274,Input!J:J,Input!L:L))</f>
        <v>0</v>
      </c>
      <c r="H274" s="32"/>
      <c r="I274" s="32"/>
      <c r="J274" s="32"/>
      <c r="K274" s="42" t="e">
        <f>INDEX(Input!$D$2:$AC$500,
       MATCH(B274, Input!$J$2:$J$500, 0),
       MATCH("Total Memory", Input!$D$1:$AC$1, 0))</f>
        <v>#N/A</v>
      </c>
      <c r="L274" s="42"/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e">
        <f t="shared" si="14"/>
        <v>#N/A</v>
      </c>
      <c r="O274" s="42" t="e">
        <f>INDEX(Input!$D$2:$AC$500,
       MATCH(B274, Input!$J$2:$J$500, 0),
       MATCH("Disk Interface Type", Input!$D$1:$AC$1, 0))</f>
        <v>#N/A</v>
      </c>
      <c r="P274" s="42" t="str" cm="1">
        <f t="array" ref="P274">IFERROR(_xlfn.TEXTJOIN(", ", TRUE, _xlfn._xlws.FILTER(
    INDEX(Input!$D$2:$AC$500,,MATCH("Disk Capacity",Input!$D$1:$AC$1,0)),
    Input!$J$2:$J$500=B274
)), "")</f>
        <v/>
      </c>
      <c r="Q274" s="32" t="e">
        <f t="shared" si="13"/>
        <v>#N/A</v>
      </c>
      <c r="R274" s="42" t="e">
        <f>_xlfn.LET(_xlpm.Result,INDEX(Input!$D$2:$AC$500,
       MATCH(B274, Input!$J$2:$J$500, 0),
       MATCH("Capacity", Input!$D$1:$AC$1, 0)),IF(_xlpm.Result="","",_xlpm.Result))</f>
        <v>#N/A</v>
      </c>
      <c r="S274" s="42" t="e" cm="1">
        <f t="array" ref="S274">_xlfn.TEXTSPLIT(R274," / ", ,TRUE,0,)</f>
        <v>#N/A</v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/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/>
      <c r="AG274" s="32"/>
      <c r="AH274" s="32"/>
      <c r="AI274" s="32"/>
      <c r="AJ274" s="32"/>
      <c r="AK274" s="32"/>
      <c r="AL274" s="32"/>
      <c r="AM274" s="32"/>
    </row>
    <row r="275" spans="1:39">
      <c r="A275" s="32" t="str">
        <f>_xlfn.XLOOKUP(B275,Input!J:J,Input!G:G)&amp;""</f>
        <v/>
      </c>
      <c r="B275" s="32"/>
      <c r="C275" s="32" t="str">
        <f>_xlfn.XLOOKUP(B275,Input!J:J,Input!H:H)&amp;""</f>
        <v/>
      </c>
      <c r="D275" s="42">
        <f>_xlfn.XLOOKUP(B275,Input!J:J,Input!F:F)</f>
        <v>0</v>
      </c>
      <c r="E275" s="32">
        <f>_xlfn.XLOOKUP(D275,Models!H:H,Models!G:G,D275)</f>
        <v>0</v>
      </c>
      <c r="F275" s="32">
        <f>_xlfn.XLOOKUP(B275,Input!J:J,Input!E:E)</f>
        <v>0</v>
      </c>
      <c r="G275" s="32">
        <f>IF(F275="LENOVO",_xlfn.XLOOKUP(B275,Input!J:J,Input!K:K),_xlfn.XLOOKUP(B275,Input!J:J,Input!L:L))</f>
        <v>0</v>
      </c>
      <c r="H275" s="32"/>
      <c r="I275" s="32"/>
      <c r="J275" s="32"/>
      <c r="K275" s="42" t="e">
        <f>INDEX(Input!$D$2:$AC$500,
       MATCH(B275, Input!$J$2:$J$500, 0),
       MATCH("Total Memory", Input!$D$1:$AC$1, 0))</f>
        <v>#N/A</v>
      </c>
      <c r="L275" s="42"/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e">
        <f t="shared" si="14"/>
        <v>#N/A</v>
      </c>
      <c r="O275" s="42" t="e">
        <f>INDEX(Input!$D$2:$AC$500,
       MATCH(B275, Input!$J$2:$J$500, 0),
       MATCH("Disk Interface Type", Input!$D$1:$AC$1, 0))</f>
        <v>#N/A</v>
      </c>
      <c r="P275" s="42" t="str" cm="1">
        <f t="array" ref="P275">IFERROR(_xlfn.TEXTJOIN(", ", TRUE, _xlfn._xlws.FILTER(
    INDEX(Input!$D$2:$AC$500,,MATCH("Disk Capacity",Input!$D$1:$AC$1,0)),
    Input!$J$2:$J$500=B275
)), "")</f>
        <v/>
      </c>
      <c r="Q275" s="32" t="e">
        <f t="shared" si="13"/>
        <v>#N/A</v>
      </c>
      <c r="R275" s="42" t="e">
        <f>_xlfn.LET(_xlpm.Result,INDEX(Input!$D$2:$AC$500,
       MATCH(B275, Input!$J$2:$J$500, 0),
       MATCH("Capacity", Input!$D$1:$AC$1, 0)),IF(_xlpm.Result="","",_xlpm.Result))</f>
        <v>#N/A</v>
      </c>
      <c r="S275" s="42" t="e" cm="1">
        <f t="array" ref="S275">_xlfn.TEXTSPLIT(R275," / ", ,TRUE,0,)</f>
        <v>#N/A</v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/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/>
      <c r="AG275" s="32"/>
      <c r="AH275" s="32"/>
      <c r="AI275" s="32"/>
      <c r="AJ275" s="32"/>
      <c r="AK275" s="32"/>
      <c r="AL275" s="32"/>
      <c r="AM275" s="32"/>
    </row>
    <row r="276" spans="1:39">
      <c r="A276" s="32" t="str">
        <f>_xlfn.XLOOKUP(B276,Input!J:J,Input!G:G)&amp;""</f>
        <v/>
      </c>
      <c r="B276" s="32"/>
      <c r="C276" s="32" t="str">
        <f>_xlfn.XLOOKUP(B276,Input!J:J,Input!H:H)&amp;""</f>
        <v/>
      </c>
      <c r="D276" s="42">
        <f>_xlfn.XLOOKUP(B276,Input!J:J,Input!F:F)</f>
        <v>0</v>
      </c>
      <c r="E276" s="32">
        <f>_xlfn.XLOOKUP(D276,Models!H:H,Models!G:G,D276)</f>
        <v>0</v>
      </c>
      <c r="F276" s="32">
        <f>_xlfn.XLOOKUP(B276,Input!J:J,Input!E:E)</f>
        <v>0</v>
      </c>
      <c r="G276" s="32">
        <f>IF(F276="LENOVO",_xlfn.XLOOKUP(B276,Input!J:J,Input!K:K),_xlfn.XLOOKUP(B276,Input!J:J,Input!L:L))</f>
        <v>0</v>
      </c>
      <c r="H276" s="32"/>
      <c r="I276" s="32"/>
      <c r="J276" s="32"/>
      <c r="K276" s="42" t="e">
        <f>INDEX(Input!$D$2:$AC$500,
       MATCH(B276, Input!$J$2:$J$500, 0),
       MATCH("Total Memory", Input!$D$1:$AC$1, 0))</f>
        <v>#N/A</v>
      </c>
      <c r="L276" s="42"/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e">
        <f t="shared" si="14"/>
        <v>#N/A</v>
      </c>
      <c r="O276" s="42" t="e">
        <f>INDEX(Input!$D$2:$AC$500,
       MATCH(B276, Input!$J$2:$J$500, 0),
       MATCH("Disk Interface Type", Input!$D$1:$AC$1, 0))</f>
        <v>#N/A</v>
      </c>
      <c r="P276" s="42" t="str" cm="1">
        <f t="array" ref="P276">IFERROR(_xlfn.TEXTJOIN(", ", TRUE, _xlfn._xlws.FILTER(
    INDEX(Input!$D$2:$AC$500,,MATCH("Disk Capacity",Input!$D$1:$AC$1,0)),
    Input!$J$2:$J$500=B276
)), "")</f>
        <v/>
      </c>
      <c r="Q276" s="32" t="e">
        <f t="shared" si="13"/>
        <v>#N/A</v>
      </c>
      <c r="R276" s="42" t="e">
        <f>_xlfn.LET(_xlpm.Result,INDEX(Input!$D$2:$AC$500,
       MATCH(B276, Input!$J$2:$J$500, 0),
       MATCH("Capacity", Input!$D$1:$AC$1, 0)),IF(_xlpm.Result="","",_xlpm.Result))</f>
        <v>#N/A</v>
      </c>
      <c r="S276" s="42" t="e" cm="1">
        <f t="array" ref="S276">_xlfn.TEXTSPLIT(R276," / ", ,TRUE,0,)</f>
        <v>#N/A</v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/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/>
      <c r="AG276" s="32"/>
      <c r="AH276" s="32"/>
      <c r="AI276" s="32"/>
      <c r="AJ276" s="32"/>
      <c r="AK276" s="32"/>
      <c r="AL276" s="32"/>
      <c r="AM276" s="32"/>
    </row>
    <row r="277" spans="1:39">
      <c r="A277" s="32" t="str">
        <f>_xlfn.XLOOKUP(B277,Input!J:J,Input!G:G)&amp;""</f>
        <v/>
      </c>
      <c r="B277" s="32"/>
      <c r="C277" s="32" t="str">
        <f>_xlfn.XLOOKUP(B277,Input!J:J,Input!H:H)&amp;""</f>
        <v/>
      </c>
      <c r="D277" s="42">
        <f>_xlfn.XLOOKUP(B277,Input!J:J,Input!F:F)</f>
        <v>0</v>
      </c>
      <c r="E277" s="32">
        <f>_xlfn.XLOOKUP(D277,Models!H:H,Models!G:G,D277)</f>
        <v>0</v>
      </c>
      <c r="F277" s="32">
        <f>_xlfn.XLOOKUP(B277,Input!J:J,Input!E:E)</f>
        <v>0</v>
      </c>
      <c r="G277" s="32">
        <f>IF(F277="LENOVO",_xlfn.XLOOKUP(B277,Input!J:J,Input!K:K),_xlfn.XLOOKUP(B277,Input!J:J,Input!L:L))</f>
        <v>0</v>
      </c>
      <c r="H277" s="32"/>
      <c r="I277" s="32"/>
      <c r="J277" s="32"/>
      <c r="K277" s="42" t="e">
        <f>INDEX(Input!$D$2:$AC$500,
       MATCH(B277, Input!$J$2:$J$500, 0),
       MATCH("Total Memory", Input!$D$1:$AC$1, 0))</f>
        <v>#N/A</v>
      </c>
      <c r="L277" s="42"/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e">
        <f t="shared" si="14"/>
        <v>#N/A</v>
      </c>
      <c r="O277" s="42" t="e">
        <f>INDEX(Input!$D$2:$AC$500,
       MATCH(B277, Input!$J$2:$J$500, 0),
       MATCH("Disk Interface Type", Input!$D$1:$AC$1, 0))</f>
        <v>#N/A</v>
      </c>
      <c r="P277" s="42" t="str" cm="1">
        <f t="array" ref="P277">IFERROR(_xlfn.TEXTJOIN(", ", TRUE, _xlfn._xlws.FILTER(
    INDEX(Input!$D$2:$AC$500,,MATCH("Disk Capacity",Input!$D$1:$AC$1,0)),
    Input!$J$2:$J$500=B277
)), "")</f>
        <v/>
      </c>
      <c r="Q277" s="32" t="e">
        <f t="shared" si="13"/>
        <v>#N/A</v>
      </c>
      <c r="R277" s="42" t="e">
        <f>_xlfn.LET(_xlpm.Result,INDEX(Input!$D$2:$AC$500,
       MATCH(B277, Input!$J$2:$J$500, 0),
       MATCH("Capacity", Input!$D$1:$AC$1, 0)),IF(_xlpm.Result="","",_xlpm.Result))</f>
        <v>#N/A</v>
      </c>
      <c r="S277" s="42" t="e" cm="1">
        <f t="array" ref="S277">_xlfn.TEXTSPLIT(R277," / ", ,TRUE,0,)</f>
        <v>#N/A</v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/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/>
      <c r="AG277" s="32"/>
      <c r="AH277" s="32"/>
      <c r="AI277" s="32"/>
      <c r="AJ277" s="32"/>
      <c r="AK277" s="32"/>
      <c r="AL277" s="32"/>
      <c r="AM277" s="32"/>
    </row>
    <row r="278" spans="1:39">
      <c r="A278" s="32" t="str">
        <f>_xlfn.XLOOKUP(B278,Input!J:J,Input!G:G)&amp;""</f>
        <v/>
      </c>
      <c r="B278" s="32"/>
      <c r="C278" s="32" t="str">
        <f>_xlfn.XLOOKUP(B278,Input!J:J,Input!H:H)&amp;""</f>
        <v/>
      </c>
      <c r="D278" s="42">
        <f>_xlfn.XLOOKUP(B278,Input!J:J,Input!F:F)</f>
        <v>0</v>
      </c>
      <c r="E278" s="32">
        <f>_xlfn.XLOOKUP(D278,Models!H:H,Models!G:G,D278)</f>
        <v>0</v>
      </c>
      <c r="F278" s="32">
        <f>_xlfn.XLOOKUP(B278,Input!J:J,Input!E:E)</f>
        <v>0</v>
      </c>
      <c r="G278" s="32">
        <f>IF(F278="LENOVO",_xlfn.XLOOKUP(B278,Input!J:J,Input!K:K),_xlfn.XLOOKUP(B278,Input!J:J,Input!L:L))</f>
        <v>0</v>
      </c>
      <c r="H278" s="32"/>
      <c r="I278" s="32"/>
      <c r="J278" s="32"/>
      <c r="K278" s="42" t="e">
        <f>INDEX(Input!$D$2:$AC$500,
       MATCH(B278, Input!$J$2:$J$500, 0),
       MATCH("Total Memory", Input!$D$1:$AC$1, 0))</f>
        <v>#N/A</v>
      </c>
      <c r="L278" s="42"/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e">
        <f t="shared" si="14"/>
        <v>#N/A</v>
      </c>
      <c r="O278" s="42" t="e">
        <f>INDEX(Input!$D$2:$AC$500,
       MATCH(B278, Input!$J$2:$J$500, 0),
       MATCH("Disk Interface Type", Input!$D$1:$AC$1, 0))</f>
        <v>#N/A</v>
      </c>
      <c r="P278" s="42" t="str" cm="1">
        <f t="array" ref="P278">IFERROR(_xlfn.TEXTJOIN(", ", TRUE, _xlfn._xlws.FILTER(
    INDEX(Input!$D$2:$AC$500,,MATCH("Disk Capacity",Input!$D$1:$AC$1,0)),
    Input!$J$2:$J$500=B278
)), "")</f>
        <v/>
      </c>
      <c r="Q278" s="32" t="e">
        <f t="shared" si="13"/>
        <v>#N/A</v>
      </c>
      <c r="R278" s="42" t="e">
        <f>_xlfn.LET(_xlpm.Result,INDEX(Input!$D$2:$AC$500,
       MATCH(B278, Input!$J$2:$J$500, 0),
       MATCH("Capacity", Input!$D$1:$AC$1, 0)),IF(_xlpm.Result="","",_xlpm.Result))</f>
        <v>#N/A</v>
      </c>
      <c r="S278" s="42" t="e" cm="1">
        <f t="array" ref="S278">_xlfn.TEXTSPLIT(R278," / ", ,TRUE,0,)</f>
        <v>#N/A</v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/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/>
      <c r="AG278" s="32"/>
      <c r="AH278" s="32"/>
      <c r="AI278" s="32"/>
      <c r="AJ278" s="32"/>
      <c r="AK278" s="32"/>
      <c r="AL278" s="32"/>
      <c r="AM278" s="32"/>
    </row>
    <row r="279" spans="1:39">
      <c r="A279" s="32" t="str">
        <f>_xlfn.XLOOKUP(B279,Input!J:J,Input!G:G)&amp;""</f>
        <v/>
      </c>
      <c r="B279" s="32"/>
      <c r="C279" s="32" t="str">
        <f>_xlfn.XLOOKUP(B279,Input!J:J,Input!H:H)&amp;""</f>
        <v/>
      </c>
      <c r="D279" s="42">
        <f>_xlfn.XLOOKUP(B279,Input!J:J,Input!F:F)</f>
        <v>0</v>
      </c>
      <c r="E279" s="32">
        <f>_xlfn.XLOOKUP(D279,Models!H:H,Models!G:G,D279)</f>
        <v>0</v>
      </c>
      <c r="F279" s="32">
        <f>_xlfn.XLOOKUP(B279,Input!J:J,Input!E:E)</f>
        <v>0</v>
      </c>
      <c r="G279" s="32">
        <f>IF(F279="LENOVO",_xlfn.XLOOKUP(B279,Input!J:J,Input!K:K),_xlfn.XLOOKUP(B279,Input!J:J,Input!L:L))</f>
        <v>0</v>
      </c>
      <c r="H279" s="32"/>
      <c r="I279" s="32"/>
      <c r="J279" s="32"/>
      <c r="K279" s="42" t="e">
        <f>INDEX(Input!$D$2:$AC$500,
       MATCH(B279, Input!$J$2:$J$500, 0),
       MATCH("Total Memory", Input!$D$1:$AC$1, 0))</f>
        <v>#N/A</v>
      </c>
      <c r="L279" s="42"/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e">
        <f t="shared" si="14"/>
        <v>#N/A</v>
      </c>
      <c r="O279" s="42" t="e">
        <f>INDEX(Input!$D$2:$AC$500,
       MATCH(B279, Input!$J$2:$J$500, 0),
       MATCH("Disk Interface Type", Input!$D$1:$AC$1, 0))</f>
        <v>#N/A</v>
      </c>
      <c r="P279" s="42" t="str" cm="1">
        <f t="array" ref="P279">IFERROR(_xlfn.TEXTJOIN(", ", TRUE, _xlfn._xlws.FILTER(
    INDEX(Input!$D$2:$AC$500,,MATCH("Disk Capacity",Input!$D$1:$AC$1,0)),
    Input!$J$2:$J$500=B279
)), "")</f>
        <v/>
      </c>
      <c r="Q279" s="32" t="e">
        <f t="shared" si="13"/>
        <v>#N/A</v>
      </c>
      <c r="R279" s="42" t="e">
        <f>_xlfn.LET(_xlpm.Result,INDEX(Input!$D$2:$AC$500,
       MATCH(B279, Input!$J$2:$J$500, 0),
       MATCH("Capacity", Input!$D$1:$AC$1, 0)),IF(_xlpm.Result="","",_xlpm.Result))</f>
        <v>#N/A</v>
      </c>
      <c r="S279" s="42" t="e" cm="1">
        <f t="array" ref="S279">_xlfn.TEXTSPLIT(R279," / ", ,TRUE,0,)</f>
        <v>#N/A</v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/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/>
      <c r="AG279" s="32"/>
      <c r="AH279" s="32"/>
      <c r="AI279" s="32"/>
      <c r="AJ279" s="32"/>
      <c r="AK279" s="32"/>
      <c r="AL279" s="32"/>
      <c r="AM279" s="32"/>
    </row>
    <row r="280" spans="1:39">
      <c r="A280" s="32" t="str">
        <f>_xlfn.XLOOKUP(B280,Input!J:J,Input!G:G)&amp;""</f>
        <v/>
      </c>
      <c r="B280" s="32"/>
      <c r="C280" s="32" t="str">
        <f>_xlfn.XLOOKUP(B280,Input!J:J,Input!H:H)&amp;""</f>
        <v/>
      </c>
      <c r="D280" s="42">
        <f>_xlfn.XLOOKUP(B280,Input!J:J,Input!F:F)</f>
        <v>0</v>
      </c>
      <c r="E280" s="32">
        <f>_xlfn.XLOOKUP(D280,Models!H:H,Models!G:G,D280)</f>
        <v>0</v>
      </c>
      <c r="F280" s="32">
        <f>_xlfn.XLOOKUP(B280,Input!J:J,Input!E:E)</f>
        <v>0</v>
      </c>
      <c r="G280" s="32">
        <f>IF(F280="LENOVO",_xlfn.XLOOKUP(B280,Input!J:J,Input!K:K),_xlfn.XLOOKUP(B280,Input!J:J,Input!L:L))</f>
        <v>0</v>
      </c>
      <c r="H280" s="32"/>
      <c r="I280" s="32"/>
      <c r="J280" s="32"/>
      <c r="K280" s="42" t="e">
        <f>INDEX(Input!$D$2:$AC$500,
       MATCH(B280, Input!$J$2:$J$500, 0),
       MATCH("Total Memory", Input!$D$1:$AC$1, 0))</f>
        <v>#N/A</v>
      </c>
      <c r="L280" s="42"/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e">
        <f t="shared" si="14"/>
        <v>#N/A</v>
      </c>
      <c r="O280" s="42" t="e">
        <f>INDEX(Input!$D$2:$AC$500,
       MATCH(B280, Input!$J$2:$J$500, 0),
       MATCH("Disk Interface Type", Input!$D$1:$AC$1, 0))</f>
        <v>#N/A</v>
      </c>
      <c r="P280" s="42" t="str" cm="1">
        <f t="array" ref="P280">IFERROR(_xlfn.TEXTJOIN(", ", TRUE, _xlfn._xlws.FILTER(
    INDEX(Input!$D$2:$AC$500,,MATCH("Disk Capacity",Input!$D$1:$AC$1,0)),
    Input!$J$2:$J$500=B280
)), "")</f>
        <v/>
      </c>
      <c r="Q280" s="32" t="e">
        <f t="shared" si="13"/>
        <v>#N/A</v>
      </c>
      <c r="R280" s="42" t="e">
        <f>_xlfn.LET(_xlpm.Result,INDEX(Input!$D$2:$AC$500,
       MATCH(B280, Input!$J$2:$J$500, 0),
       MATCH("Capacity", Input!$D$1:$AC$1, 0)),IF(_xlpm.Result="","",_xlpm.Result))</f>
        <v>#N/A</v>
      </c>
      <c r="S280" s="42" t="e" cm="1">
        <f t="array" ref="S280">_xlfn.TEXTSPLIT(R280," / ", ,TRUE,0,)</f>
        <v>#N/A</v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/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/>
      <c r="AG280" s="32"/>
      <c r="AH280" s="32"/>
      <c r="AI280" s="32"/>
      <c r="AJ280" s="32"/>
      <c r="AK280" s="32"/>
      <c r="AL280" s="32"/>
      <c r="AM280" s="32"/>
    </row>
    <row r="281" spans="1:39">
      <c r="A281" s="32" t="str">
        <f>_xlfn.XLOOKUP(B281,Input!J:J,Input!G:G)&amp;""</f>
        <v/>
      </c>
      <c r="B281" s="32"/>
      <c r="C281" s="32" t="str">
        <f>_xlfn.XLOOKUP(B281,Input!J:J,Input!H:H)&amp;""</f>
        <v/>
      </c>
      <c r="D281" s="42">
        <f>_xlfn.XLOOKUP(B281,Input!J:J,Input!F:F)</f>
        <v>0</v>
      </c>
      <c r="E281" s="32">
        <f>_xlfn.XLOOKUP(D281,Models!H:H,Models!G:G,D281)</f>
        <v>0</v>
      </c>
      <c r="F281" s="32">
        <f>_xlfn.XLOOKUP(B281,Input!J:J,Input!E:E)</f>
        <v>0</v>
      </c>
      <c r="G281" s="32">
        <f>IF(F281="LENOVO",_xlfn.XLOOKUP(B281,Input!J:J,Input!K:K),_xlfn.XLOOKUP(B281,Input!J:J,Input!L:L))</f>
        <v>0</v>
      </c>
      <c r="H281" s="32"/>
      <c r="I281" s="32"/>
      <c r="J281" s="32"/>
      <c r="K281" s="42" t="e">
        <f>INDEX(Input!$D$2:$AC$500,
       MATCH(B281, Input!$J$2:$J$500, 0),
       MATCH("Total Memory", Input!$D$1:$AC$1, 0))</f>
        <v>#N/A</v>
      </c>
      <c r="L281" s="42"/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e">
        <f t="shared" si="14"/>
        <v>#N/A</v>
      </c>
      <c r="O281" s="42" t="e">
        <f>INDEX(Input!$D$2:$AC$500,
       MATCH(B281, Input!$J$2:$J$500, 0),
       MATCH("Disk Interface Type", Input!$D$1:$AC$1, 0))</f>
        <v>#N/A</v>
      </c>
      <c r="P281" s="42" t="str" cm="1">
        <f t="array" ref="P281">IFERROR(_xlfn.TEXTJOIN(", ", TRUE, _xlfn._xlws.FILTER(
    INDEX(Input!$D$2:$AC$500,,MATCH("Disk Capacity",Input!$D$1:$AC$1,0)),
    Input!$J$2:$J$500=B281
)), "")</f>
        <v/>
      </c>
      <c r="Q281" s="32" t="e">
        <f t="shared" si="13"/>
        <v>#N/A</v>
      </c>
      <c r="R281" s="42" t="e">
        <f>_xlfn.LET(_xlpm.Result,INDEX(Input!$D$2:$AC$500,
       MATCH(B281, Input!$J$2:$J$500, 0),
       MATCH("Capacity", Input!$D$1:$AC$1, 0)),IF(_xlpm.Result="","",_xlpm.Result))</f>
        <v>#N/A</v>
      </c>
      <c r="S281" s="42" t="e" cm="1">
        <f t="array" ref="S281">_xlfn.TEXTSPLIT(R281," / ", ,TRUE,0,)</f>
        <v>#N/A</v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/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/>
      <c r="AG281" s="32"/>
      <c r="AH281" s="32"/>
      <c r="AI281" s="32"/>
      <c r="AJ281" s="32"/>
      <c r="AK281" s="32"/>
      <c r="AL281" s="32"/>
      <c r="AM281" s="32"/>
    </row>
    <row r="282" spans="1:39">
      <c r="A282" s="32" t="str">
        <f>_xlfn.XLOOKUP(B282,Input!J:J,Input!G:G)&amp;""</f>
        <v/>
      </c>
      <c r="B282" s="32"/>
      <c r="C282" s="32" t="str">
        <f>_xlfn.XLOOKUP(B282,Input!J:J,Input!H:H)&amp;""</f>
        <v/>
      </c>
      <c r="D282" s="42">
        <f>_xlfn.XLOOKUP(B282,Input!J:J,Input!F:F)</f>
        <v>0</v>
      </c>
      <c r="E282" s="32">
        <f>_xlfn.XLOOKUP(D282,Models!H:H,Models!G:G,D282)</f>
        <v>0</v>
      </c>
      <c r="F282" s="32">
        <f>_xlfn.XLOOKUP(B282,Input!J:J,Input!E:E)</f>
        <v>0</v>
      </c>
      <c r="G282" s="32">
        <f>IF(F282="LENOVO",_xlfn.XLOOKUP(B282,Input!J:J,Input!K:K),_xlfn.XLOOKUP(B282,Input!J:J,Input!L:L))</f>
        <v>0</v>
      </c>
      <c r="H282" s="32"/>
      <c r="I282" s="32"/>
      <c r="J282" s="32"/>
      <c r="K282" s="42" t="e">
        <f>INDEX(Input!$D$2:$AC$500,
       MATCH(B282, Input!$J$2:$J$500, 0),
       MATCH("Total Memory", Input!$D$1:$AC$1, 0))</f>
        <v>#N/A</v>
      </c>
      <c r="L282" s="42"/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e">
        <f t="shared" si="14"/>
        <v>#N/A</v>
      </c>
      <c r="O282" s="42" t="e">
        <f>INDEX(Input!$D$2:$AC$500,
       MATCH(B282, Input!$J$2:$J$500, 0),
       MATCH("Disk Interface Type", Input!$D$1:$AC$1, 0))</f>
        <v>#N/A</v>
      </c>
      <c r="P282" s="42" t="str" cm="1">
        <f t="array" ref="P282">IFERROR(_xlfn.TEXTJOIN(", ", TRUE, _xlfn._xlws.FILTER(
    INDEX(Input!$D$2:$AC$500,,MATCH("Disk Capacity",Input!$D$1:$AC$1,0)),
    Input!$J$2:$J$500=B282
)), "")</f>
        <v/>
      </c>
      <c r="Q282" s="32" t="e">
        <f t="shared" si="13"/>
        <v>#N/A</v>
      </c>
      <c r="R282" s="42" t="e">
        <f>_xlfn.LET(_xlpm.Result,INDEX(Input!$D$2:$AC$500,
       MATCH(B282, Input!$J$2:$J$500, 0),
       MATCH("Capacity", Input!$D$1:$AC$1, 0)),IF(_xlpm.Result="","",_xlpm.Result))</f>
        <v>#N/A</v>
      </c>
      <c r="S282" s="42" t="e" cm="1">
        <f t="array" ref="S282">_xlfn.TEXTSPLIT(R282," / ", ,TRUE,0,)</f>
        <v>#N/A</v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/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/>
      <c r="AG282" s="32"/>
      <c r="AH282" s="32"/>
      <c r="AI282" s="32"/>
      <c r="AJ282" s="32"/>
      <c r="AK282" s="32"/>
      <c r="AL282" s="32"/>
      <c r="AM282" s="32"/>
    </row>
    <row r="283" spans="1:39">
      <c r="A283" s="32" t="str">
        <f>_xlfn.XLOOKUP(B283,Input!J:J,Input!G:G)&amp;""</f>
        <v/>
      </c>
      <c r="B283" s="32"/>
      <c r="C283" s="32" t="str">
        <f>_xlfn.XLOOKUP(B283,Input!J:J,Input!H:H)&amp;""</f>
        <v/>
      </c>
      <c r="D283" s="42">
        <f>_xlfn.XLOOKUP(B283,Input!J:J,Input!F:F)</f>
        <v>0</v>
      </c>
      <c r="E283" s="32">
        <f>_xlfn.XLOOKUP(D283,Models!H:H,Models!G:G,D283)</f>
        <v>0</v>
      </c>
      <c r="F283" s="32">
        <f>_xlfn.XLOOKUP(B283,Input!J:J,Input!E:E)</f>
        <v>0</v>
      </c>
      <c r="G283" s="32">
        <f>IF(F283="LENOVO",_xlfn.XLOOKUP(B283,Input!J:J,Input!K:K),_xlfn.XLOOKUP(B283,Input!J:J,Input!L:L))</f>
        <v>0</v>
      </c>
      <c r="H283" s="32"/>
      <c r="I283" s="32"/>
      <c r="J283" s="32"/>
      <c r="K283" s="42" t="e">
        <f>INDEX(Input!$D$2:$AC$500,
       MATCH(B283, Input!$J$2:$J$500, 0),
       MATCH("Total Memory", Input!$D$1:$AC$1, 0))</f>
        <v>#N/A</v>
      </c>
      <c r="L283" s="42"/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e">
        <f t="shared" si="14"/>
        <v>#N/A</v>
      </c>
      <c r="O283" s="42" t="e">
        <f>INDEX(Input!$D$2:$AC$500,
       MATCH(B283, Input!$J$2:$J$500, 0),
       MATCH("Disk Interface Type", Input!$D$1:$AC$1, 0))</f>
        <v>#N/A</v>
      </c>
      <c r="P283" s="42" t="str" cm="1">
        <f t="array" ref="P283">IFERROR(_xlfn.TEXTJOIN(", ", TRUE, _xlfn._xlws.FILTER(
    INDEX(Input!$D$2:$AC$500,,MATCH("Disk Capacity",Input!$D$1:$AC$1,0)),
    Input!$J$2:$J$500=B283
)), "")</f>
        <v/>
      </c>
      <c r="Q283" s="32" t="e">
        <f t="shared" si="13"/>
        <v>#N/A</v>
      </c>
      <c r="R283" s="42" t="e">
        <f>_xlfn.LET(_xlpm.Result,INDEX(Input!$D$2:$AC$500,
       MATCH(B283, Input!$J$2:$J$500, 0),
       MATCH("Capacity", Input!$D$1:$AC$1, 0)),IF(_xlpm.Result="","",_xlpm.Result))</f>
        <v>#N/A</v>
      </c>
      <c r="S283" s="42" t="e" cm="1">
        <f t="array" ref="S283">_xlfn.TEXTSPLIT(R283," / ", ,TRUE,0,)</f>
        <v>#N/A</v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/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/>
      <c r="AG283" s="32"/>
      <c r="AH283" s="32"/>
      <c r="AI283" s="32"/>
      <c r="AJ283" s="32"/>
      <c r="AK283" s="32"/>
      <c r="AL283" s="32"/>
      <c r="AM283" s="32"/>
    </row>
    <row r="284" spans="1:39">
      <c r="A284" s="32" t="str">
        <f>_xlfn.XLOOKUP(B284,Input!J:J,Input!G:G)&amp;""</f>
        <v/>
      </c>
      <c r="B284" s="32"/>
      <c r="C284" s="32" t="str">
        <f>_xlfn.XLOOKUP(B284,Input!J:J,Input!H:H)&amp;""</f>
        <v/>
      </c>
      <c r="D284" s="42">
        <f>_xlfn.XLOOKUP(B284,Input!J:J,Input!F:F)</f>
        <v>0</v>
      </c>
      <c r="E284" s="32">
        <f>_xlfn.XLOOKUP(D284,Models!H:H,Models!G:G,D284)</f>
        <v>0</v>
      </c>
      <c r="F284" s="32">
        <f>_xlfn.XLOOKUP(B284,Input!J:J,Input!E:E)</f>
        <v>0</v>
      </c>
      <c r="G284" s="32">
        <f>IF(F284="LENOVO",_xlfn.XLOOKUP(B284,Input!J:J,Input!K:K),_xlfn.XLOOKUP(B284,Input!J:J,Input!L:L))</f>
        <v>0</v>
      </c>
      <c r="H284" s="32"/>
      <c r="I284" s="32"/>
      <c r="J284" s="32"/>
      <c r="K284" s="42" t="e">
        <f>INDEX(Input!$D$2:$AC$500,
       MATCH(B284, Input!$J$2:$J$500, 0),
       MATCH("Total Memory", Input!$D$1:$AC$1, 0))</f>
        <v>#N/A</v>
      </c>
      <c r="L284" s="42"/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e">
        <f t="shared" si="14"/>
        <v>#N/A</v>
      </c>
      <c r="O284" s="42" t="e">
        <f>INDEX(Input!$D$2:$AC$500,
       MATCH(B284, Input!$J$2:$J$500, 0),
       MATCH("Disk Interface Type", Input!$D$1:$AC$1, 0))</f>
        <v>#N/A</v>
      </c>
      <c r="P284" s="42" t="str" cm="1">
        <f t="array" ref="P284">IFERROR(_xlfn.TEXTJOIN(", ", TRUE, _xlfn._xlws.FILTER(
    INDEX(Input!$D$2:$AC$500,,MATCH("Disk Capacity",Input!$D$1:$AC$1,0)),
    Input!$J$2:$J$500=B284
)), "")</f>
        <v/>
      </c>
      <c r="Q284" s="32" t="e">
        <f t="shared" si="13"/>
        <v>#N/A</v>
      </c>
      <c r="R284" s="42" t="e">
        <f>_xlfn.LET(_xlpm.Result,INDEX(Input!$D$2:$AC$500,
       MATCH(B284, Input!$J$2:$J$500, 0),
       MATCH("Capacity", Input!$D$1:$AC$1, 0)),IF(_xlpm.Result="","",_xlpm.Result))</f>
        <v>#N/A</v>
      </c>
      <c r="S284" s="42" t="e" cm="1">
        <f t="array" ref="S284">_xlfn.TEXTSPLIT(R284," / ", ,TRUE,0,)</f>
        <v>#N/A</v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/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/>
      <c r="AG284" s="32"/>
      <c r="AH284" s="32"/>
      <c r="AI284" s="32"/>
      <c r="AJ284" s="32"/>
      <c r="AK284" s="32"/>
      <c r="AL284" s="32"/>
      <c r="AM284" s="32"/>
    </row>
    <row r="285" spans="1:39">
      <c r="A285" s="32" t="str">
        <f>_xlfn.XLOOKUP(B285,Input!J:J,Input!G:G)&amp;""</f>
        <v/>
      </c>
      <c r="B285" s="32"/>
      <c r="C285" s="32" t="str">
        <f>_xlfn.XLOOKUP(B285,Input!J:J,Input!H:H)&amp;""</f>
        <v/>
      </c>
      <c r="D285" s="42">
        <f>_xlfn.XLOOKUP(B285,Input!J:J,Input!F:F)</f>
        <v>0</v>
      </c>
      <c r="E285" s="32">
        <f>_xlfn.XLOOKUP(D285,Models!H:H,Models!G:G,D285)</f>
        <v>0</v>
      </c>
      <c r="F285" s="32">
        <f>_xlfn.XLOOKUP(B285,Input!J:J,Input!E:E)</f>
        <v>0</v>
      </c>
      <c r="G285" s="32">
        <f>IF(F285="LENOVO",_xlfn.XLOOKUP(B285,Input!J:J,Input!K:K),_xlfn.XLOOKUP(B285,Input!J:J,Input!L:L))</f>
        <v>0</v>
      </c>
      <c r="H285" s="32"/>
      <c r="I285" s="32"/>
      <c r="J285" s="32"/>
      <c r="K285" s="42" t="e">
        <f>INDEX(Input!$D$2:$AC$500,
       MATCH(B285, Input!$J$2:$J$500, 0),
       MATCH("Total Memory", Input!$D$1:$AC$1, 0))</f>
        <v>#N/A</v>
      </c>
      <c r="L285" s="42"/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e">
        <f t="shared" si="14"/>
        <v>#N/A</v>
      </c>
      <c r="O285" s="42" t="e">
        <f>INDEX(Input!$D$2:$AC$500,
       MATCH(B285, Input!$J$2:$J$500, 0),
       MATCH("Disk Interface Type", Input!$D$1:$AC$1, 0))</f>
        <v>#N/A</v>
      </c>
      <c r="P285" s="42" t="str" cm="1">
        <f t="array" ref="P285">IFERROR(_xlfn.TEXTJOIN(", ", TRUE, _xlfn._xlws.FILTER(
    INDEX(Input!$D$2:$AC$500,,MATCH("Disk Capacity",Input!$D$1:$AC$1,0)),
    Input!$J$2:$J$500=B285
)), "")</f>
        <v/>
      </c>
      <c r="Q285" s="32" t="e">
        <f t="shared" si="13"/>
        <v>#N/A</v>
      </c>
      <c r="R285" s="42" t="e">
        <f>_xlfn.LET(_xlpm.Result,INDEX(Input!$D$2:$AC$500,
       MATCH(B285, Input!$J$2:$J$500, 0),
       MATCH("Capacity", Input!$D$1:$AC$1, 0)),IF(_xlpm.Result="","",_xlpm.Result))</f>
        <v>#N/A</v>
      </c>
      <c r="S285" s="42" t="e" cm="1">
        <f t="array" ref="S285">_xlfn.TEXTSPLIT(R285," / ", ,TRUE,0,)</f>
        <v>#N/A</v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/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/>
      <c r="AG285" s="32"/>
      <c r="AH285" s="32"/>
      <c r="AI285" s="32"/>
      <c r="AJ285" s="32"/>
      <c r="AK285" s="32"/>
      <c r="AL285" s="32"/>
      <c r="AM285" s="32"/>
    </row>
    <row r="286" spans="1:39">
      <c r="A286" s="32" t="str">
        <f>_xlfn.XLOOKUP(B286,Input!J:J,Input!G:G)&amp;""</f>
        <v/>
      </c>
      <c r="B286" s="32"/>
      <c r="C286" s="32" t="str">
        <f>_xlfn.XLOOKUP(B286,Input!J:J,Input!H:H)&amp;""</f>
        <v/>
      </c>
      <c r="D286" s="42">
        <f>_xlfn.XLOOKUP(B286,Input!J:J,Input!F:F)</f>
        <v>0</v>
      </c>
      <c r="E286" s="32">
        <f>_xlfn.XLOOKUP(D286,Models!H:H,Models!G:G,D286)</f>
        <v>0</v>
      </c>
      <c r="F286" s="32">
        <f>_xlfn.XLOOKUP(B286,Input!J:J,Input!E:E)</f>
        <v>0</v>
      </c>
      <c r="G286" s="32">
        <f>IF(F286="LENOVO",_xlfn.XLOOKUP(B286,Input!J:J,Input!K:K),_xlfn.XLOOKUP(B286,Input!J:J,Input!L:L))</f>
        <v>0</v>
      </c>
      <c r="H286" s="32"/>
      <c r="I286" s="32"/>
      <c r="J286" s="32"/>
      <c r="K286" s="42" t="e">
        <f>INDEX(Input!$D$2:$AC$500,
       MATCH(B286, Input!$J$2:$J$500, 0),
       MATCH("Total Memory", Input!$D$1:$AC$1, 0))</f>
        <v>#N/A</v>
      </c>
      <c r="L286" s="42"/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e">
        <f t="shared" si="14"/>
        <v>#N/A</v>
      </c>
      <c r="O286" s="42" t="e">
        <f>INDEX(Input!$D$2:$AC$500,
       MATCH(B286, Input!$J$2:$J$500, 0),
       MATCH("Disk Interface Type", Input!$D$1:$AC$1, 0))</f>
        <v>#N/A</v>
      </c>
      <c r="P286" s="42" t="str" cm="1">
        <f t="array" ref="P286">IFERROR(_xlfn.TEXTJOIN(", ", TRUE, _xlfn._xlws.FILTER(
    INDEX(Input!$D$2:$AC$500,,MATCH("Disk Capacity",Input!$D$1:$AC$1,0)),
    Input!$J$2:$J$500=B286
)), "")</f>
        <v/>
      </c>
      <c r="Q286" s="32" t="e">
        <f t="shared" si="13"/>
        <v>#N/A</v>
      </c>
      <c r="R286" s="42" t="e">
        <f>_xlfn.LET(_xlpm.Result,INDEX(Input!$D$2:$AC$500,
       MATCH(B286, Input!$J$2:$J$500, 0),
       MATCH("Capacity", Input!$D$1:$AC$1, 0)),IF(_xlpm.Result="","",_xlpm.Result))</f>
        <v>#N/A</v>
      </c>
      <c r="S286" s="42" t="e" cm="1">
        <f t="array" ref="S286">_xlfn.TEXTSPLIT(R286," / ", ,TRUE,0,)</f>
        <v>#N/A</v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/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/>
      <c r="AG286" s="32"/>
      <c r="AH286" s="32"/>
      <c r="AI286" s="32"/>
      <c r="AJ286" s="32"/>
      <c r="AK286" s="32"/>
      <c r="AL286" s="32"/>
      <c r="AM286" s="32"/>
    </row>
    <row r="287" spans="1:39">
      <c r="A287" s="32" t="str">
        <f>_xlfn.XLOOKUP(B287,Input!J:J,Input!G:G)&amp;""</f>
        <v/>
      </c>
      <c r="B287" s="32"/>
      <c r="C287" s="32" t="str">
        <f>_xlfn.XLOOKUP(B287,Input!J:J,Input!H:H)&amp;""</f>
        <v/>
      </c>
      <c r="D287" s="42">
        <f>_xlfn.XLOOKUP(B287,Input!J:J,Input!F:F)</f>
        <v>0</v>
      </c>
      <c r="E287" s="32">
        <f>_xlfn.XLOOKUP(D287,Models!H:H,Models!G:G,D287)</f>
        <v>0</v>
      </c>
      <c r="F287" s="32">
        <f>_xlfn.XLOOKUP(B287,Input!J:J,Input!E:E)</f>
        <v>0</v>
      </c>
      <c r="G287" s="32">
        <f>IF(F287="LENOVO",_xlfn.XLOOKUP(B287,Input!J:J,Input!K:K),_xlfn.XLOOKUP(B287,Input!J:J,Input!L:L))</f>
        <v>0</v>
      </c>
      <c r="H287" s="32"/>
      <c r="I287" s="32"/>
      <c r="J287" s="32"/>
      <c r="K287" s="42" t="e">
        <f>INDEX(Input!$D$2:$AC$500,
       MATCH(B287, Input!$J$2:$J$500, 0),
       MATCH("Total Memory", Input!$D$1:$AC$1, 0))</f>
        <v>#N/A</v>
      </c>
      <c r="L287" s="42"/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e">
        <f t="shared" si="14"/>
        <v>#N/A</v>
      </c>
      <c r="O287" s="42" t="e">
        <f>INDEX(Input!$D$2:$AC$500,
       MATCH(B287, Input!$J$2:$J$500, 0),
       MATCH("Disk Interface Type", Input!$D$1:$AC$1, 0))</f>
        <v>#N/A</v>
      </c>
      <c r="P287" s="42" t="str" cm="1">
        <f t="array" ref="P287">IFERROR(_xlfn.TEXTJOIN(", ", TRUE, _xlfn._xlws.FILTER(
    INDEX(Input!$D$2:$AC$500,,MATCH("Disk Capacity",Input!$D$1:$AC$1,0)),
    Input!$J$2:$J$500=B287
)), "")</f>
        <v/>
      </c>
      <c r="Q287" s="32" t="e">
        <f t="shared" si="13"/>
        <v>#N/A</v>
      </c>
      <c r="R287" s="42" t="e">
        <f>_xlfn.LET(_xlpm.Result,INDEX(Input!$D$2:$AC$500,
       MATCH(B287, Input!$J$2:$J$500, 0),
       MATCH("Capacity", Input!$D$1:$AC$1, 0)),IF(_xlpm.Result="","",_xlpm.Result))</f>
        <v>#N/A</v>
      </c>
      <c r="S287" s="42" t="e" cm="1">
        <f t="array" ref="S287">_xlfn.TEXTSPLIT(R287," / ", ,TRUE,0,)</f>
        <v>#N/A</v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/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/>
      <c r="AG287" s="32"/>
      <c r="AH287" s="32"/>
      <c r="AI287" s="32"/>
      <c r="AJ287" s="32"/>
      <c r="AK287" s="32"/>
      <c r="AL287" s="32"/>
      <c r="AM287" s="32"/>
    </row>
    <row r="288" spans="1:39">
      <c r="A288" s="32" t="str">
        <f>_xlfn.XLOOKUP(B288,Input!J:J,Input!G:G)&amp;""</f>
        <v/>
      </c>
      <c r="B288" s="32"/>
      <c r="C288" s="32" t="str">
        <f>_xlfn.XLOOKUP(B288,Input!J:J,Input!H:H)&amp;""</f>
        <v/>
      </c>
      <c r="D288" s="42">
        <f>_xlfn.XLOOKUP(B288,Input!J:J,Input!F:F)</f>
        <v>0</v>
      </c>
      <c r="E288" s="32">
        <f>_xlfn.XLOOKUP(D288,Models!H:H,Models!G:G,D288)</f>
        <v>0</v>
      </c>
      <c r="F288" s="32">
        <f>_xlfn.XLOOKUP(B288,Input!J:J,Input!E:E)</f>
        <v>0</v>
      </c>
      <c r="G288" s="32">
        <f>IF(F288="LENOVO",_xlfn.XLOOKUP(B288,Input!J:J,Input!K:K),_xlfn.XLOOKUP(B288,Input!J:J,Input!L:L))</f>
        <v>0</v>
      </c>
      <c r="H288" s="32"/>
      <c r="I288" s="32"/>
      <c r="J288" s="32"/>
      <c r="K288" s="42" t="e">
        <f>INDEX(Input!$D$2:$AC$500,
       MATCH(B288, Input!$J$2:$J$500, 0),
       MATCH("Total Memory", Input!$D$1:$AC$1, 0))</f>
        <v>#N/A</v>
      </c>
      <c r="L288" s="42"/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e">
        <f t="shared" si="14"/>
        <v>#N/A</v>
      </c>
      <c r="O288" s="42" t="e">
        <f>INDEX(Input!$D$2:$AC$500,
       MATCH(B288, Input!$J$2:$J$500, 0),
       MATCH("Disk Interface Type", Input!$D$1:$AC$1, 0))</f>
        <v>#N/A</v>
      </c>
      <c r="P288" s="42" t="str" cm="1">
        <f t="array" ref="P288">IFERROR(_xlfn.TEXTJOIN(", ", TRUE, _xlfn._xlws.FILTER(
    INDEX(Input!$D$2:$AC$500,,MATCH("Disk Capacity",Input!$D$1:$AC$1,0)),
    Input!$J$2:$J$500=B288
)), "")</f>
        <v/>
      </c>
      <c r="Q288" s="32" t="e">
        <f t="shared" si="13"/>
        <v>#N/A</v>
      </c>
      <c r="R288" s="42" t="e">
        <f>_xlfn.LET(_xlpm.Result,INDEX(Input!$D$2:$AC$500,
       MATCH(B288, Input!$J$2:$J$500, 0),
       MATCH("Capacity", Input!$D$1:$AC$1, 0)),IF(_xlpm.Result="","",_xlpm.Result))</f>
        <v>#N/A</v>
      </c>
      <c r="S288" s="42" t="e" cm="1">
        <f t="array" ref="S288">_xlfn.TEXTSPLIT(R288," / ", ,TRUE,0,)</f>
        <v>#N/A</v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/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/>
      <c r="AG288" s="32"/>
      <c r="AH288" s="32"/>
      <c r="AI288" s="32"/>
      <c r="AJ288" s="32"/>
      <c r="AK288" s="32"/>
      <c r="AL288" s="32"/>
      <c r="AM288" s="32"/>
    </row>
    <row r="289" spans="1:39">
      <c r="A289" s="32" t="str">
        <f>_xlfn.XLOOKUP(B289,Input!J:J,Input!G:G)&amp;""</f>
        <v/>
      </c>
      <c r="B289" s="32"/>
      <c r="C289" s="32" t="str">
        <f>_xlfn.XLOOKUP(B289,Input!J:J,Input!H:H)&amp;""</f>
        <v/>
      </c>
      <c r="D289" s="42">
        <f>_xlfn.XLOOKUP(B289,Input!J:J,Input!F:F)</f>
        <v>0</v>
      </c>
      <c r="E289" s="32">
        <f>_xlfn.XLOOKUP(D289,Models!H:H,Models!G:G,D289)</f>
        <v>0</v>
      </c>
      <c r="F289" s="32">
        <f>_xlfn.XLOOKUP(B289,Input!J:J,Input!E:E)</f>
        <v>0</v>
      </c>
      <c r="G289" s="32">
        <f>IF(F289="LENOVO",_xlfn.XLOOKUP(B289,Input!J:J,Input!K:K),_xlfn.XLOOKUP(B289,Input!J:J,Input!L:L))</f>
        <v>0</v>
      </c>
      <c r="H289" s="32"/>
      <c r="I289" s="32"/>
      <c r="J289" s="32"/>
      <c r="K289" s="42" t="e">
        <f>INDEX(Input!$D$2:$AC$500,
       MATCH(B289, Input!$J$2:$J$500, 0),
       MATCH("Total Memory", Input!$D$1:$AC$1, 0))</f>
        <v>#N/A</v>
      </c>
      <c r="L289" s="42"/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e">
        <f t="shared" si="14"/>
        <v>#N/A</v>
      </c>
      <c r="O289" s="42" t="e">
        <f>INDEX(Input!$D$2:$AC$500,
       MATCH(B289, Input!$J$2:$J$500, 0),
       MATCH("Disk Interface Type", Input!$D$1:$AC$1, 0))</f>
        <v>#N/A</v>
      </c>
      <c r="P289" s="42" t="str" cm="1">
        <f t="array" ref="P289">IFERROR(_xlfn.TEXTJOIN(", ", TRUE, _xlfn._xlws.FILTER(
    INDEX(Input!$D$2:$AC$500,,MATCH("Disk Capacity",Input!$D$1:$AC$1,0)),
    Input!$J$2:$J$500=B289
)), "")</f>
        <v/>
      </c>
      <c r="Q289" s="32" t="e">
        <f t="shared" si="13"/>
        <v>#N/A</v>
      </c>
      <c r="R289" s="42" t="e">
        <f>_xlfn.LET(_xlpm.Result,INDEX(Input!$D$2:$AC$500,
       MATCH(B289, Input!$J$2:$J$500, 0),
       MATCH("Capacity", Input!$D$1:$AC$1, 0)),IF(_xlpm.Result="","",_xlpm.Result))</f>
        <v>#N/A</v>
      </c>
      <c r="S289" s="42" t="e" cm="1">
        <f t="array" ref="S289">_xlfn.TEXTSPLIT(R289," / ", ,TRUE,0,)</f>
        <v>#N/A</v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/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/>
      <c r="AG289" s="32"/>
      <c r="AH289" s="32"/>
      <c r="AI289" s="32"/>
      <c r="AJ289" s="32"/>
      <c r="AK289" s="32"/>
      <c r="AL289" s="32"/>
      <c r="AM289" s="32"/>
    </row>
    <row r="290" spans="1:39">
      <c r="A290" s="32" t="str">
        <f>_xlfn.XLOOKUP(B290,Input!J:J,Input!G:G)&amp;""</f>
        <v/>
      </c>
      <c r="B290" s="32"/>
      <c r="C290" s="32" t="str">
        <f>_xlfn.XLOOKUP(B290,Input!J:J,Input!H:H)&amp;""</f>
        <v/>
      </c>
      <c r="D290" s="42">
        <f>_xlfn.XLOOKUP(B290,Input!J:J,Input!F:F)</f>
        <v>0</v>
      </c>
      <c r="E290" s="32">
        <f>_xlfn.XLOOKUP(D290,Models!H:H,Models!G:G,D290)</f>
        <v>0</v>
      </c>
      <c r="F290" s="32">
        <f>_xlfn.XLOOKUP(B290,Input!J:J,Input!E:E)</f>
        <v>0</v>
      </c>
      <c r="G290" s="32">
        <f>IF(F290="LENOVO",_xlfn.XLOOKUP(B290,Input!J:J,Input!K:K),_xlfn.XLOOKUP(B290,Input!J:J,Input!L:L))</f>
        <v>0</v>
      </c>
      <c r="H290" s="32"/>
      <c r="I290" s="32"/>
      <c r="J290" s="32"/>
      <c r="K290" s="42" t="e">
        <f>INDEX(Input!$D$2:$AC$500,
       MATCH(B290, Input!$J$2:$J$500, 0),
       MATCH("Total Memory", Input!$D$1:$AC$1, 0))</f>
        <v>#N/A</v>
      </c>
      <c r="L290" s="42"/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e">
        <f t="shared" si="14"/>
        <v>#N/A</v>
      </c>
      <c r="O290" s="42" t="e">
        <f>INDEX(Input!$D$2:$AC$500,
       MATCH(B290, Input!$J$2:$J$500, 0),
       MATCH("Disk Interface Type", Input!$D$1:$AC$1, 0))</f>
        <v>#N/A</v>
      </c>
      <c r="P290" s="42" t="str" cm="1">
        <f t="array" ref="P290">IFERROR(_xlfn.TEXTJOIN(", ", TRUE, _xlfn._xlws.FILTER(
    INDEX(Input!$D$2:$AC$500,,MATCH("Disk Capacity",Input!$D$1:$AC$1,0)),
    Input!$J$2:$J$500=B290
)), "")</f>
        <v/>
      </c>
      <c r="Q290" s="32" t="e">
        <f t="shared" si="13"/>
        <v>#N/A</v>
      </c>
      <c r="R290" s="42" t="e">
        <f>_xlfn.LET(_xlpm.Result,INDEX(Input!$D$2:$AC$500,
       MATCH(B290, Input!$J$2:$J$500, 0),
       MATCH("Capacity", Input!$D$1:$AC$1, 0)),IF(_xlpm.Result="","",_xlpm.Result))</f>
        <v>#N/A</v>
      </c>
      <c r="S290" s="42" t="e" cm="1">
        <f t="array" ref="S290">_xlfn.TEXTSPLIT(R290," / ", ,TRUE,0,)</f>
        <v>#N/A</v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/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/>
      <c r="AG290" s="32"/>
      <c r="AH290" s="32"/>
      <c r="AI290" s="32"/>
      <c r="AJ290" s="32"/>
      <c r="AK290" s="32"/>
      <c r="AL290" s="32"/>
      <c r="AM290" s="32"/>
    </row>
    <row r="291" spans="1:39">
      <c r="A291" s="32" t="str">
        <f>_xlfn.XLOOKUP(B291,Input!J:J,Input!G:G)&amp;""</f>
        <v/>
      </c>
      <c r="B291" s="32"/>
      <c r="C291" s="32" t="str">
        <f>_xlfn.XLOOKUP(B291,Input!J:J,Input!H:H)&amp;""</f>
        <v/>
      </c>
      <c r="D291" s="42">
        <f>_xlfn.XLOOKUP(B291,Input!J:J,Input!F:F)</f>
        <v>0</v>
      </c>
      <c r="E291" s="32">
        <f>_xlfn.XLOOKUP(D291,Models!H:H,Models!G:G,D291)</f>
        <v>0</v>
      </c>
      <c r="F291" s="32">
        <f>_xlfn.XLOOKUP(B291,Input!J:J,Input!E:E)</f>
        <v>0</v>
      </c>
      <c r="G291" s="32">
        <f>IF(F291="LENOVO",_xlfn.XLOOKUP(B291,Input!J:J,Input!K:K),_xlfn.XLOOKUP(B291,Input!J:J,Input!L:L))</f>
        <v>0</v>
      </c>
      <c r="H291" s="32"/>
      <c r="I291" s="32"/>
      <c r="J291" s="32"/>
      <c r="K291" s="42" t="e">
        <f>INDEX(Input!$D$2:$AC$500,
       MATCH(B291, Input!$J$2:$J$500, 0),
       MATCH("Total Memory", Input!$D$1:$AC$1, 0))</f>
        <v>#N/A</v>
      </c>
      <c r="L291" s="42"/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e">
        <f t="shared" si="14"/>
        <v>#N/A</v>
      </c>
      <c r="O291" s="42" t="e">
        <f>INDEX(Input!$D$2:$AC$500,
       MATCH(B291, Input!$J$2:$J$500, 0),
       MATCH("Disk Interface Type", Input!$D$1:$AC$1, 0))</f>
        <v>#N/A</v>
      </c>
      <c r="P291" s="42" t="str" cm="1">
        <f t="array" ref="P291">IFERROR(_xlfn.TEXTJOIN(", ", TRUE, _xlfn._xlws.FILTER(
    INDEX(Input!$D$2:$AC$500,,MATCH("Disk Capacity",Input!$D$1:$AC$1,0)),
    Input!$J$2:$J$500=B291
)), "")</f>
        <v/>
      </c>
      <c r="Q291" s="32" t="e">
        <f t="shared" si="13"/>
        <v>#N/A</v>
      </c>
      <c r="R291" s="42" t="e">
        <f>_xlfn.LET(_xlpm.Result,INDEX(Input!$D$2:$AC$500,
       MATCH(B291, Input!$J$2:$J$500, 0),
       MATCH("Capacity", Input!$D$1:$AC$1, 0)),IF(_xlpm.Result="","",_xlpm.Result))</f>
        <v>#N/A</v>
      </c>
      <c r="S291" s="42" t="e" cm="1">
        <f t="array" ref="S291">_xlfn.TEXTSPLIT(R291," / ", ,TRUE,0,)</f>
        <v>#N/A</v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/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/>
      <c r="AG291" s="32"/>
      <c r="AH291" s="32"/>
      <c r="AI291" s="32"/>
      <c r="AJ291" s="32"/>
      <c r="AK291" s="32"/>
      <c r="AL291" s="32"/>
      <c r="AM291" s="32"/>
    </row>
    <row r="292" spans="1:39">
      <c r="A292" s="32" t="str">
        <f>_xlfn.XLOOKUP(B292,Input!J:J,Input!G:G)&amp;""</f>
        <v/>
      </c>
      <c r="B292" s="32"/>
      <c r="C292" s="32" t="str">
        <f>_xlfn.XLOOKUP(B292,Input!J:J,Input!H:H)&amp;""</f>
        <v/>
      </c>
      <c r="D292" s="42">
        <f>_xlfn.XLOOKUP(B292,Input!J:J,Input!F:F)</f>
        <v>0</v>
      </c>
      <c r="E292" s="32">
        <f>_xlfn.XLOOKUP(D292,Models!H:H,Models!G:G,D292)</f>
        <v>0</v>
      </c>
      <c r="F292" s="32">
        <f>_xlfn.XLOOKUP(B292,Input!J:J,Input!E:E)</f>
        <v>0</v>
      </c>
      <c r="G292" s="32">
        <f>IF(F292="LENOVO",_xlfn.XLOOKUP(B292,Input!J:J,Input!K:K),_xlfn.XLOOKUP(B292,Input!J:J,Input!L:L))</f>
        <v>0</v>
      </c>
      <c r="H292" s="32"/>
      <c r="I292" s="32"/>
      <c r="J292" s="32"/>
      <c r="K292" s="42" t="e">
        <f>INDEX(Input!$D$2:$AC$500,
       MATCH(B292, Input!$J$2:$J$500, 0),
       MATCH("Total Memory", Input!$D$1:$AC$1, 0))</f>
        <v>#N/A</v>
      </c>
      <c r="L292" s="42"/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e">
        <f t="shared" si="14"/>
        <v>#N/A</v>
      </c>
      <c r="O292" s="42" t="e">
        <f>INDEX(Input!$D$2:$AC$500,
       MATCH(B292, Input!$J$2:$J$500, 0),
       MATCH("Disk Interface Type", Input!$D$1:$AC$1, 0))</f>
        <v>#N/A</v>
      </c>
      <c r="P292" s="42" t="str" cm="1">
        <f t="array" ref="P292">IFERROR(_xlfn.TEXTJOIN(", ", TRUE, _xlfn._xlws.FILTER(
    INDEX(Input!$D$2:$AC$500,,MATCH("Disk Capacity",Input!$D$1:$AC$1,0)),
    Input!$J$2:$J$500=B292
)), "")</f>
        <v/>
      </c>
      <c r="Q292" s="32" t="e">
        <f t="shared" si="13"/>
        <v>#N/A</v>
      </c>
      <c r="R292" s="42" t="e">
        <f>_xlfn.LET(_xlpm.Result,INDEX(Input!$D$2:$AC$500,
       MATCH(B292, Input!$J$2:$J$500, 0),
       MATCH("Capacity", Input!$D$1:$AC$1, 0)),IF(_xlpm.Result="","",_xlpm.Result))</f>
        <v>#N/A</v>
      </c>
      <c r="S292" s="42" t="e" cm="1">
        <f t="array" ref="S292">_xlfn.TEXTSPLIT(R292," / ", ,TRUE,0,)</f>
        <v>#N/A</v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/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/>
      <c r="AG292" s="32"/>
      <c r="AH292" s="32"/>
      <c r="AI292" s="32"/>
      <c r="AJ292" s="32"/>
      <c r="AK292" s="32"/>
      <c r="AL292" s="32"/>
      <c r="AM292" s="32"/>
    </row>
    <row r="293" spans="1:39">
      <c r="A293" s="32" t="str">
        <f>_xlfn.XLOOKUP(B293,Input!J:J,Input!G:G)&amp;""</f>
        <v/>
      </c>
      <c r="B293" s="32"/>
      <c r="C293" s="32" t="str">
        <f>_xlfn.XLOOKUP(B293,Input!J:J,Input!H:H)&amp;""</f>
        <v/>
      </c>
      <c r="D293" s="42">
        <f>_xlfn.XLOOKUP(B293,Input!J:J,Input!F:F)</f>
        <v>0</v>
      </c>
      <c r="E293" s="32">
        <f>_xlfn.XLOOKUP(D293,Models!H:H,Models!G:G,D293)</f>
        <v>0</v>
      </c>
      <c r="F293" s="32">
        <f>_xlfn.XLOOKUP(B293,Input!J:J,Input!E:E)</f>
        <v>0</v>
      </c>
      <c r="G293" s="32">
        <f>IF(F293="LENOVO",_xlfn.XLOOKUP(B293,Input!J:J,Input!K:K),_xlfn.XLOOKUP(B293,Input!J:J,Input!L:L))</f>
        <v>0</v>
      </c>
      <c r="H293" s="32"/>
      <c r="I293" s="32"/>
      <c r="J293" s="32"/>
      <c r="K293" s="42" t="e">
        <f>INDEX(Input!$D$2:$AC$500,
       MATCH(B293, Input!$J$2:$J$500, 0),
       MATCH("Total Memory", Input!$D$1:$AC$1, 0))</f>
        <v>#N/A</v>
      </c>
      <c r="L293" s="42"/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e">
        <f t="shared" si="14"/>
        <v>#N/A</v>
      </c>
      <c r="O293" s="42" t="e">
        <f>INDEX(Input!$D$2:$AC$500,
       MATCH(B293, Input!$J$2:$J$500, 0),
       MATCH("Disk Interface Type", Input!$D$1:$AC$1, 0))</f>
        <v>#N/A</v>
      </c>
      <c r="P293" s="42" t="str" cm="1">
        <f t="array" ref="P293">IFERROR(_xlfn.TEXTJOIN(", ", TRUE, _xlfn._xlws.FILTER(
    INDEX(Input!$D$2:$AC$500,,MATCH("Disk Capacity",Input!$D$1:$AC$1,0)),
    Input!$J$2:$J$500=B293
)), "")</f>
        <v/>
      </c>
      <c r="Q293" s="32" t="e">
        <f t="shared" si="13"/>
        <v>#N/A</v>
      </c>
      <c r="R293" s="42" t="e">
        <f>_xlfn.LET(_xlpm.Result,INDEX(Input!$D$2:$AC$500,
       MATCH(B293, Input!$J$2:$J$500, 0),
       MATCH("Capacity", Input!$D$1:$AC$1, 0)),IF(_xlpm.Result="","",_xlpm.Result))</f>
        <v>#N/A</v>
      </c>
      <c r="S293" s="42" t="e" cm="1">
        <f t="array" ref="S293">_xlfn.TEXTSPLIT(R293," / ", ,TRUE,0,)</f>
        <v>#N/A</v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/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/>
      <c r="AG293" s="32"/>
      <c r="AH293" s="32"/>
      <c r="AI293" s="32"/>
      <c r="AJ293" s="32"/>
      <c r="AK293" s="32"/>
      <c r="AL293" s="32"/>
      <c r="AM293" s="32"/>
    </row>
    <row r="294" spans="1:39">
      <c r="A294" s="32" t="str">
        <f>_xlfn.XLOOKUP(B294,Input!J:J,Input!G:G)&amp;""</f>
        <v/>
      </c>
      <c r="B294" s="32"/>
      <c r="C294" s="32" t="str">
        <f>_xlfn.XLOOKUP(B294,Input!J:J,Input!H:H)&amp;""</f>
        <v/>
      </c>
      <c r="D294" s="42">
        <f>_xlfn.XLOOKUP(B294,Input!J:J,Input!F:F)</f>
        <v>0</v>
      </c>
      <c r="E294" s="32">
        <f>_xlfn.XLOOKUP(D294,Models!H:H,Models!G:G,D294)</f>
        <v>0</v>
      </c>
      <c r="F294" s="32">
        <f>_xlfn.XLOOKUP(B294,Input!J:J,Input!E:E)</f>
        <v>0</v>
      </c>
      <c r="G294" s="32">
        <f>IF(F294="LENOVO",_xlfn.XLOOKUP(B294,Input!J:J,Input!K:K),_xlfn.XLOOKUP(B294,Input!J:J,Input!L:L))</f>
        <v>0</v>
      </c>
      <c r="H294" s="32"/>
      <c r="I294" s="32"/>
      <c r="J294" s="32"/>
      <c r="K294" s="42" t="e">
        <f>INDEX(Input!$D$2:$AC$500,
       MATCH(B294, Input!$J$2:$J$500, 0),
       MATCH("Total Memory", Input!$D$1:$AC$1, 0))</f>
        <v>#N/A</v>
      </c>
      <c r="L294" s="42"/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e">
        <f t="shared" si="14"/>
        <v>#N/A</v>
      </c>
      <c r="O294" s="42" t="e">
        <f>INDEX(Input!$D$2:$AC$500,
       MATCH(B294, Input!$J$2:$J$500, 0),
       MATCH("Disk Interface Type", Input!$D$1:$AC$1, 0))</f>
        <v>#N/A</v>
      </c>
      <c r="P294" s="42" t="str" cm="1">
        <f t="array" ref="P294">IFERROR(_xlfn.TEXTJOIN(", ", TRUE, _xlfn._xlws.FILTER(
    INDEX(Input!$D$2:$AC$500,,MATCH("Disk Capacity",Input!$D$1:$AC$1,0)),
    Input!$J$2:$J$500=B294
)), "")</f>
        <v/>
      </c>
      <c r="Q294" s="32" t="e">
        <f t="shared" si="13"/>
        <v>#N/A</v>
      </c>
      <c r="R294" s="42" t="e">
        <f>_xlfn.LET(_xlpm.Result,INDEX(Input!$D$2:$AC$500,
       MATCH(B294, Input!$J$2:$J$500, 0),
       MATCH("Capacity", Input!$D$1:$AC$1, 0)),IF(_xlpm.Result="","",_xlpm.Result))</f>
        <v>#N/A</v>
      </c>
      <c r="S294" s="42" t="e" cm="1">
        <f t="array" ref="S294">_xlfn.TEXTSPLIT(R294," / ", ,TRUE,0,)</f>
        <v>#N/A</v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/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/>
      <c r="AG294" s="32"/>
      <c r="AH294" s="32"/>
      <c r="AI294" s="32"/>
      <c r="AJ294" s="32"/>
      <c r="AK294" s="32"/>
      <c r="AL294" s="32"/>
      <c r="AM294" s="32"/>
    </row>
    <row r="295" spans="1:39">
      <c r="A295" s="32" t="str">
        <f>_xlfn.XLOOKUP(B295,Input!J:J,Input!G:G)&amp;""</f>
        <v/>
      </c>
      <c r="B295" s="32"/>
      <c r="C295" s="32" t="str">
        <f>_xlfn.XLOOKUP(B295,Input!J:J,Input!H:H)&amp;""</f>
        <v/>
      </c>
      <c r="D295" s="42">
        <f>_xlfn.XLOOKUP(B295,Input!J:J,Input!F:F)</f>
        <v>0</v>
      </c>
      <c r="E295" s="32">
        <f>_xlfn.XLOOKUP(D295,Models!H:H,Models!G:G,D295)</f>
        <v>0</v>
      </c>
      <c r="F295" s="32">
        <f>_xlfn.XLOOKUP(B295,Input!J:J,Input!E:E)</f>
        <v>0</v>
      </c>
      <c r="G295" s="32">
        <f>IF(F295="LENOVO",_xlfn.XLOOKUP(B295,Input!J:J,Input!K:K),_xlfn.XLOOKUP(B295,Input!J:J,Input!L:L))</f>
        <v>0</v>
      </c>
      <c r="H295" s="32"/>
      <c r="I295" s="32"/>
      <c r="J295" s="32"/>
      <c r="K295" s="42" t="e">
        <f>INDEX(Input!$D$2:$AC$500,
       MATCH(B295, Input!$J$2:$J$500, 0),
       MATCH("Total Memory", Input!$D$1:$AC$1, 0))</f>
        <v>#N/A</v>
      </c>
      <c r="L295" s="42"/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e">
        <f t="shared" si="14"/>
        <v>#N/A</v>
      </c>
      <c r="O295" s="42" t="e">
        <f>INDEX(Input!$D$2:$AC$500,
       MATCH(B295, Input!$J$2:$J$500, 0),
       MATCH("Disk Interface Type", Input!$D$1:$AC$1, 0))</f>
        <v>#N/A</v>
      </c>
      <c r="P295" s="42" t="str" cm="1">
        <f t="array" ref="P295">IFERROR(_xlfn.TEXTJOIN(", ", TRUE, _xlfn._xlws.FILTER(
    INDEX(Input!$D$2:$AC$500,,MATCH("Disk Capacity",Input!$D$1:$AC$1,0)),
    Input!$J$2:$J$500=B295
)), "")</f>
        <v/>
      </c>
      <c r="Q295" s="32" t="e">
        <f t="shared" si="13"/>
        <v>#N/A</v>
      </c>
      <c r="R295" s="42" t="e">
        <f>_xlfn.LET(_xlpm.Result,INDEX(Input!$D$2:$AC$500,
       MATCH(B295, Input!$J$2:$J$500, 0),
       MATCH("Capacity", Input!$D$1:$AC$1, 0)),IF(_xlpm.Result="","",_xlpm.Result))</f>
        <v>#N/A</v>
      </c>
      <c r="S295" s="42" t="e" cm="1">
        <f t="array" ref="S295">_xlfn.TEXTSPLIT(R295," / ", ,TRUE,0,)</f>
        <v>#N/A</v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/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/>
      <c r="AG295" s="32"/>
      <c r="AH295" s="32"/>
      <c r="AI295" s="32"/>
      <c r="AJ295" s="32"/>
      <c r="AK295" s="32"/>
      <c r="AL295" s="32"/>
      <c r="AM295" s="32"/>
    </row>
    <row r="296" spans="1:39">
      <c r="A296" s="32" t="str">
        <f>_xlfn.XLOOKUP(B296,Input!J:J,Input!G:G)&amp;""</f>
        <v/>
      </c>
      <c r="B296" s="32"/>
      <c r="C296" s="32" t="str">
        <f>_xlfn.XLOOKUP(B296,Input!J:J,Input!H:H)&amp;""</f>
        <v/>
      </c>
      <c r="D296" s="42">
        <f>_xlfn.XLOOKUP(B296,Input!J:J,Input!F:F)</f>
        <v>0</v>
      </c>
      <c r="E296" s="32">
        <f>_xlfn.XLOOKUP(D296,Models!H:H,Models!G:G,D296)</f>
        <v>0</v>
      </c>
      <c r="F296" s="32">
        <f>_xlfn.XLOOKUP(B296,Input!J:J,Input!E:E)</f>
        <v>0</v>
      </c>
      <c r="G296" s="32">
        <f>IF(F296="LENOVO",_xlfn.XLOOKUP(B296,Input!J:J,Input!K:K),_xlfn.XLOOKUP(B296,Input!J:J,Input!L:L))</f>
        <v>0</v>
      </c>
      <c r="H296" s="32"/>
      <c r="I296" s="32"/>
      <c r="J296" s="32"/>
      <c r="K296" s="42" t="e">
        <f>INDEX(Input!$D$2:$AC$500,
       MATCH(B296, Input!$J$2:$J$500, 0),
       MATCH("Total Memory", Input!$D$1:$AC$1, 0))</f>
        <v>#N/A</v>
      </c>
      <c r="L296" s="42"/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e">
        <f t="shared" si="14"/>
        <v>#N/A</v>
      </c>
      <c r="O296" s="42" t="e">
        <f>INDEX(Input!$D$2:$AC$500,
       MATCH(B296, Input!$J$2:$J$500, 0),
       MATCH("Disk Interface Type", Input!$D$1:$AC$1, 0))</f>
        <v>#N/A</v>
      </c>
      <c r="P296" s="42" t="str" cm="1">
        <f t="array" ref="P296">IFERROR(_xlfn.TEXTJOIN(", ", TRUE, _xlfn._xlws.FILTER(
    INDEX(Input!$D$2:$AC$500,,MATCH("Disk Capacity",Input!$D$1:$AC$1,0)),
    Input!$J$2:$J$500=B296
)), "")</f>
        <v/>
      </c>
      <c r="Q296" s="32" t="e">
        <f t="shared" si="13"/>
        <v>#N/A</v>
      </c>
      <c r="R296" s="42" t="e">
        <f>_xlfn.LET(_xlpm.Result,INDEX(Input!$D$2:$AC$500,
       MATCH(B296, Input!$J$2:$J$500, 0),
       MATCH("Capacity", Input!$D$1:$AC$1, 0)),IF(_xlpm.Result="","",_xlpm.Result))</f>
        <v>#N/A</v>
      </c>
      <c r="S296" s="42" t="e" cm="1">
        <f t="array" ref="S296">_xlfn.TEXTSPLIT(R296," / ", ,TRUE,0,)</f>
        <v>#N/A</v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/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/>
      <c r="AG296" s="32"/>
      <c r="AH296" s="32"/>
      <c r="AI296" s="32"/>
      <c r="AJ296" s="32"/>
      <c r="AK296" s="32"/>
      <c r="AL296" s="32"/>
      <c r="AM296" s="32"/>
    </row>
    <row r="297" spans="1:39">
      <c r="A297" s="32" t="str">
        <f>_xlfn.XLOOKUP(B297,Input!J:J,Input!G:G)&amp;""</f>
        <v/>
      </c>
      <c r="B297" s="32"/>
      <c r="C297" s="32" t="str">
        <f>_xlfn.XLOOKUP(B297,Input!J:J,Input!H:H)&amp;""</f>
        <v/>
      </c>
      <c r="D297" s="42">
        <f>_xlfn.XLOOKUP(B297,Input!J:J,Input!F:F)</f>
        <v>0</v>
      </c>
      <c r="E297" s="32">
        <f>_xlfn.XLOOKUP(D297,Models!H:H,Models!G:G,D297)</f>
        <v>0</v>
      </c>
      <c r="F297" s="32">
        <f>_xlfn.XLOOKUP(B297,Input!J:J,Input!E:E)</f>
        <v>0</v>
      </c>
      <c r="G297" s="32">
        <f>IF(F297="LENOVO",_xlfn.XLOOKUP(B297,Input!J:J,Input!K:K),_xlfn.XLOOKUP(B297,Input!J:J,Input!L:L))</f>
        <v>0</v>
      </c>
      <c r="H297" s="32"/>
      <c r="I297" s="32"/>
      <c r="J297" s="32"/>
      <c r="K297" s="42" t="e">
        <f>INDEX(Input!$D$2:$AC$500,
       MATCH(B297, Input!$J$2:$J$500, 0),
       MATCH("Total Memory", Input!$D$1:$AC$1, 0))</f>
        <v>#N/A</v>
      </c>
      <c r="L297" s="42"/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e">
        <f t="shared" si="14"/>
        <v>#N/A</v>
      </c>
      <c r="O297" s="42" t="e">
        <f>INDEX(Input!$D$2:$AC$500,
       MATCH(B297, Input!$J$2:$J$500, 0),
       MATCH("Disk Interface Type", Input!$D$1:$AC$1, 0))</f>
        <v>#N/A</v>
      </c>
      <c r="P297" s="42" t="str" cm="1">
        <f t="array" ref="P297">IFERROR(_xlfn.TEXTJOIN(", ", TRUE, _xlfn._xlws.FILTER(
    INDEX(Input!$D$2:$AC$500,,MATCH("Disk Capacity",Input!$D$1:$AC$1,0)),
    Input!$J$2:$J$500=B297
)), "")</f>
        <v/>
      </c>
      <c r="Q297" s="32" t="e">
        <f t="shared" si="13"/>
        <v>#N/A</v>
      </c>
      <c r="R297" s="42" t="e">
        <f>_xlfn.LET(_xlpm.Result,INDEX(Input!$D$2:$AC$500,
       MATCH(B297, Input!$J$2:$J$500, 0),
       MATCH("Capacity", Input!$D$1:$AC$1, 0)),IF(_xlpm.Result="","",_xlpm.Result))</f>
        <v>#N/A</v>
      </c>
      <c r="S297" s="42" t="e" cm="1">
        <f t="array" ref="S297">_xlfn.TEXTSPLIT(R297," / ", ,TRUE,0,)</f>
        <v>#N/A</v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/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/>
      <c r="AG297" s="32"/>
      <c r="AH297" s="32"/>
      <c r="AI297" s="32"/>
      <c r="AJ297" s="32"/>
      <c r="AK297" s="32"/>
      <c r="AL297" s="32"/>
      <c r="AM297" s="32"/>
    </row>
    <row r="298" spans="1:39">
      <c r="A298" s="32" t="str">
        <f>_xlfn.XLOOKUP(B298,Input!J:J,Input!G:G)&amp;""</f>
        <v/>
      </c>
      <c r="B298" s="32"/>
      <c r="C298" s="32" t="str">
        <f>_xlfn.XLOOKUP(B298,Input!J:J,Input!H:H)&amp;""</f>
        <v/>
      </c>
      <c r="D298" s="42">
        <f>_xlfn.XLOOKUP(B298,Input!J:J,Input!F:F)</f>
        <v>0</v>
      </c>
      <c r="E298" s="32">
        <f>_xlfn.XLOOKUP(D298,Models!H:H,Models!G:G,D298)</f>
        <v>0</v>
      </c>
      <c r="F298" s="32">
        <f>_xlfn.XLOOKUP(B298,Input!J:J,Input!E:E)</f>
        <v>0</v>
      </c>
      <c r="G298" s="32">
        <f>IF(F298="LENOVO",_xlfn.XLOOKUP(B298,Input!J:J,Input!K:K),_xlfn.XLOOKUP(B298,Input!J:J,Input!L:L))</f>
        <v>0</v>
      </c>
      <c r="H298" s="32"/>
      <c r="I298" s="32"/>
      <c r="J298" s="32"/>
      <c r="K298" s="42" t="e">
        <f>INDEX(Input!$D$2:$AC$500,
       MATCH(B298, Input!$J$2:$J$500, 0),
       MATCH("Total Memory", Input!$D$1:$AC$1, 0))</f>
        <v>#N/A</v>
      </c>
      <c r="L298" s="42"/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e">
        <f t="shared" si="14"/>
        <v>#N/A</v>
      </c>
      <c r="O298" s="42" t="e">
        <f>INDEX(Input!$D$2:$AC$500,
       MATCH(B298, Input!$J$2:$J$500, 0),
       MATCH("Disk Interface Type", Input!$D$1:$AC$1, 0))</f>
        <v>#N/A</v>
      </c>
      <c r="P298" s="42" t="str" cm="1">
        <f t="array" ref="P298">IFERROR(_xlfn.TEXTJOIN(", ", TRUE, _xlfn._xlws.FILTER(
    INDEX(Input!$D$2:$AC$500,,MATCH("Disk Capacity",Input!$D$1:$AC$1,0)),
    Input!$J$2:$J$500=B298
)), "")</f>
        <v/>
      </c>
      <c r="Q298" s="32" t="e">
        <f t="shared" si="13"/>
        <v>#N/A</v>
      </c>
      <c r="R298" s="42" t="e">
        <f>_xlfn.LET(_xlpm.Result,INDEX(Input!$D$2:$AC$500,
       MATCH(B298, Input!$J$2:$J$500, 0),
       MATCH("Capacity", Input!$D$1:$AC$1, 0)),IF(_xlpm.Result="","",_xlpm.Result))</f>
        <v>#N/A</v>
      </c>
      <c r="S298" s="42" t="e" cm="1">
        <f t="array" ref="S298">_xlfn.TEXTSPLIT(R298," / ", ,TRUE,0,)</f>
        <v>#N/A</v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/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/>
      <c r="AG298" s="32"/>
      <c r="AH298" s="32"/>
      <c r="AI298" s="32"/>
      <c r="AJ298" s="32"/>
      <c r="AK298" s="32"/>
      <c r="AL298" s="32"/>
      <c r="AM298" s="32"/>
    </row>
    <row r="299" spans="1:39">
      <c r="A299" s="32" t="str">
        <f>_xlfn.XLOOKUP(B299,Input!J:J,Input!G:G)&amp;""</f>
        <v/>
      </c>
      <c r="B299" s="32"/>
      <c r="C299" s="32" t="str">
        <f>_xlfn.XLOOKUP(B299,Input!J:J,Input!H:H)&amp;""</f>
        <v/>
      </c>
      <c r="D299" s="42">
        <f>_xlfn.XLOOKUP(B299,Input!J:J,Input!F:F)</f>
        <v>0</v>
      </c>
      <c r="E299" s="32">
        <f>_xlfn.XLOOKUP(D299,Models!H:H,Models!G:G,D299)</f>
        <v>0</v>
      </c>
      <c r="F299" s="32">
        <f>_xlfn.XLOOKUP(B299,Input!J:J,Input!E:E)</f>
        <v>0</v>
      </c>
      <c r="G299" s="32">
        <f>IF(F299="LENOVO",_xlfn.XLOOKUP(B299,Input!J:J,Input!K:K),_xlfn.XLOOKUP(B299,Input!J:J,Input!L:L))</f>
        <v>0</v>
      </c>
      <c r="H299" s="32"/>
      <c r="I299" s="32"/>
      <c r="J299" s="32"/>
      <c r="K299" s="42" t="e">
        <f>INDEX(Input!$D$2:$AC$500,
       MATCH(B299, Input!$J$2:$J$500, 0),
       MATCH("Total Memory", Input!$D$1:$AC$1, 0))</f>
        <v>#N/A</v>
      </c>
      <c r="L299" s="42"/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e">
        <f t="shared" si="14"/>
        <v>#N/A</v>
      </c>
      <c r="O299" s="42" t="e">
        <f>INDEX(Input!$D$2:$AC$500,
       MATCH(B299, Input!$J$2:$J$500, 0),
       MATCH("Disk Interface Type", Input!$D$1:$AC$1, 0))</f>
        <v>#N/A</v>
      </c>
      <c r="P299" s="42" t="str" cm="1">
        <f t="array" ref="P299">IFERROR(_xlfn.TEXTJOIN(", ", TRUE, _xlfn._xlws.FILTER(
    INDEX(Input!$D$2:$AC$500,,MATCH("Disk Capacity",Input!$D$1:$AC$1,0)),
    Input!$J$2:$J$500=B299
)), "")</f>
        <v/>
      </c>
      <c r="Q299" s="32" t="e">
        <f t="shared" si="13"/>
        <v>#N/A</v>
      </c>
      <c r="R299" s="42" t="e">
        <f>_xlfn.LET(_xlpm.Result,INDEX(Input!$D$2:$AC$500,
       MATCH(B299, Input!$J$2:$J$500, 0),
       MATCH("Capacity", Input!$D$1:$AC$1, 0)),IF(_xlpm.Result="","",_xlpm.Result))</f>
        <v>#N/A</v>
      </c>
      <c r="S299" s="42" t="e" cm="1">
        <f t="array" ref="S299">_xlfn.TEXTSPLIT(R299," / ", ,TRUE,0,)</f>
        <v>#N/A</v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/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/>
      <c r="AG299" s="32"/>
      <c r="AH299" s="32"/>
      <c r="AI299" s="32"/>
      <c r="AJ299" s="32"/>
      <c r="AK299" s="32"/>
      <c r="AL299" s="32"/>
      <c r="AM299" s="32"/>
    </row>
    <row r="300" spans="1:39">
      <c r="A300" s="32" t="str">
        <f>_xlfn.XLOOKUP(B300,Input!J:J,Input!G:G)&amp;""</f>
        <v/>
      </c>
      <c r="B300" s="32"/>
      <c r="C300" s="32" t="str">
        <f>_xlfn.XLOOKUP(B300,Input!J:J,Input!H:H)&amp;""</f>
        <v/>
      </c>
      <c r="D300" s="42">
        <f>_xlfn.XLOOKUP(B300,Input!J:J,Input!F:F)</f>
        <v>0</v>
      </c>
      <c r="E300" s="32">
        <f>_xlfn.XLOOKUP(D300,Models!H:H,Models!G:G,D300)</f>
        <v>0</v>
      </c>
      <c r="F300" s="32">
        <f>_xlfn.XLOOKUP(B300,Input!J:J,Input!E:E)</f>
        <v>0</v>
      </c>
      <c r="G300" s="32">
        <f>IF(F300="LENOVO",_xlfn.XLOOKUP(B300,Input!J:J,Input!K:K),_xlfn.XLOOKUP(B300,Input!J:J,Input!L:L))</f>
        <v>0</v>
      </c>
      <c r="H300" s="32"/>
      <c r="I300" s="32"/>
      <c r="J300" s="32"/>
      <c r="K300" s="42" t="e">
        <f>INDEX(Input!$D$2:$AC$500,
       MATCH(B300, Input!$J$2:$J$500, 0),
       MATCH("Total Memory", Input!$D$1:$AC$1, 0))</f>
        <v>#N/A</v>
      </c>
      <c r="L300" s="42"/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e">
        <f t="shared" si="14"/>
        <v>#N/A</v>
      </c>
      <c r="O300" s="42" t="e">
        <f>INDEX(Input!$D$2:$AC$500,
       MATCH(B300, Input!$J$2:$J$500, 0),
       MATCH("Disk Interface Type", Input!$D$1:$AC$1, 0))</f>
        <v>#N/A</v>
      </c>
      <c r="P300" s="42" t="str" cm="1">
        <f t="array" ref="P300">IFERROR(_xlfn.TEXTJOIN(", ", TRUE, _xlfn._xlws.FILTER(
    INDEX(Input!$D$2:$AC$500,,MATCH("Disk Capacity",Input!$D$1:$AC$1,0)),
    Input!$J$2:$J$500=B300
)), "")</f>
        <v/>
      </c>
      <c r="Q300" s="32" t="e">
        <f t="shared" si="13"/>
        <v>#N/A</v>
      </c>
      <c r="R300" s="42" t="e">
        <f>_xlfn.LET(_xlpm.Result,INDEX(Input!$D$2:$AC$500,
       MATCH(B300, Input!$J$2:$J$500, 0),
       MATCH("Capacity", Input!$D$1:$AC$1, 0)),IF(_xlpm.Result="","",_xlpm.Result))</f>
        <v>#N/A</v>
      </c>
      <c r="S300" s="42" t="e" cm="1">
        <f t="array" ref="S300">_xlfn.TEXTSPLIT(R300," / ", ,TRUE,0,)</f>
        <v>#N/A</v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/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/>
      <c r="AG300" s="32"/>
      <c r="AH300" s="32"/>
      <c r="AI300" s="32"/>
      <c r="AJ300" s="32"/>
      <c r="AK300" s="32"/>
      <c r="AL300" s="32"/>
      <c r="AM300" s="32"/>
    </row>
    <row r="301" spans="1:39">
      <c r="A301" s="32" t="str">
        <f>_xlfn.XLOOKUP(B301,Input!J:J,Input!G:G)&amp;""</f>
        <v/>
      </c>
      <c r="B301" s="32"/>
      <c r="C301" s="32" t="str">
        <f>_xlfn.XLOOKUP(B301,Input!J:J,Input!H:H)&amp;""</f>
        <v/>
      </c>
      <c r="D301" s="42">
        <f>_xlfn.XLOOKUP(B301,Input!J:J,Input!F:F)</f>
        <v>0</v>
      </c>
      <c r="E301" s="32">
        <f>_xlfn.XLOOKUP(D301,Models!H:H,Models!G:G,D301)</f>
        <v>0</v>
      </c>
      <c r="F301" s="32">
        <f>_xlfn.XLOOKUP(B301,Input!J:J,Input!E:E)</f>
        <v>0</v>
      </c>
      <c r="G301" s="32">
        <f>IF(F301="LENOVO",_xlfn.XLOOKUP(B301,Input!J:J,Input!K:K),_xlfn.XLOOKUP(B301,Input!J:J,Input!L:L))</f>
        <v>0</v>
      </c>
      <c r="H301" s="32"/>
      <c r="I301" s="32"/>
      <c r="J301" s="32"/>
      <c r="K301" s="42" t="e">
        <f>INDEX(Input!$D$2:$AC$500,
       MATCH(B301, Input!$J$2:$J$500, 0),
       MATCH("Total Memory", Input!$D$1:$AC$1, 0))</f>
        <v>#N/A</v>
      </c>
      <c r="L301" s="42"/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e">
        <f t="shared" si="14"/>
        <v>#N/A</v>
      </c>
      <c r="O301" s="42" t="e">
        <f>INDEX(Input!$D$2:$AC$500,
       MATCH(B301, Input!$J$2:$J$500, 0),
       MATCH("Disk Interface Type", Input!$D$1:$AC$1, 0))</f>
        <v>#N/A</v>
      </c>
      <c r="P301" s="42" t="str" cm="1">
        <f t="array" ref="P301">IFERROR(_xlfn.TEXTJOIN(", ", TRUE, _xlfn._xlws.FILTER(
    INDEX(Input!$D$2:$AC$500,,MATCH("Disk Capacity",Input!$D$1:$AC$1,0)),
    Input!$J$2:$J$500=B301
)), "")</f>
        <v/>
      </c>
      <c r="Q301" s="32" t="e">
        <f t="shared" si="13"/>
        <v>#N/A</v>
      </c>
      <c r="R301" s="42" t="e">
        <f>_xlfn.LET(_xlpm.Result,INDEX(Input!$D$2:$AC$500,
       MATCH(B301, Input!$J$2:$J$500, 0),
       MATCH("Capacity", Input!$D$1:$AC$1, 0)),IF(_xlpm.Result="","",_xlpm.Result))</f>
        <v>#N/A</v>
      </c>
      <c r="S301" s="42" t="e" cm="1">
        <f t="array" ref="S301">_xlfn.TEXTSPLIT(R301," / ", ,TRUE,0,)</f>
        <v>#N/A</v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/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/>
      <c r="AG301" s="32"/>
      <c r="AH301" s="32"/>
      <c r="AI301" s="32"/>
      <c r="AJ301" s="32"/>
      <c r="AK301" s="32"/>
      <c r="AL301" s="32"/>
      <c r="AM301" s="32"/>
    </row>
    <row r="302" spans="1:39">
      <c r="A302" s="32" t="str">
        <f>_xlfn.XLOOKUP(B302,Input!J:J,Input!G:G)&amp;""</f>
        <v/>
      </c>
      <c r="B302" s="32"/>
      <c r="C302" s="32" t="str">
        <f>_xlfn.XLOOKUP(B302,Input!J:J,Input!H:H)&amp;""</f>
        <v/>
      </c>
      <c r="D302" s="42">
        <f>_xlfn.XLOOKUP(B302,Input!J:J,Input!F:F)</f>
        <v>0</v>
      </c>
      <c r="E302" s="32">
        <f>_xlfn.XLOOKUP(D302,Models!H:H,Models!G:G,D302)</f>
        <v>0</v>
      </c>
      <c r="F302" s="32">
        <f>_xlfn.XLOOKUP(B302,Input!J:J,Input!E:E)</f>
        <v>0</v>
      </c>
      <c r="G302" s="32">
        <f>IF(F302="LENOVO",_xlfn.XLOOKUP(B302,Input!J:J,Input!K:K),_xlfn.XLOOKUP(B302,Input!J:J,Input!L:L))</f>
        <v>0</v>
      </c>
      <c r="H302" s="32"/>
      <c r="I302" s="32"/>
      <c r="J302" s="32"/>
      <c r="K302" s="42" t="e">
        <f>INDEX(Input!$D$2:$AC$500,
       MATCH(B302, Input!$J$2:$J$500, 0),
       MATCH("Total Memory", Input!$D$1:$AC$1, 0))</f>
        <v>#N/A</v>
      </c>
      <c r="L302" s="42"/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e">
        <f t="shared" si="14"/>
        <v>#N/A</v>
      </c>
      <c r="O302" s="42" t="e">
        <f>INDEX(Input!$D$2:$AC$500,
       MATCH(B302, Input!$J$2:$J$500, 0),
       MATCH("Disk Interface Type", Input!$D$1:$AC$1, 0))</f>
        <v>#N/A</v>
      </c>
      <c r="P302" s="42" t="str" cm="1">
        <f t="array" ref="P302">IFERROR(_xlfn.TEXTJOIN(", ", TRUE, _xlfn._xlws.FILTER(
    INDEX(Input!$D$2:$AC$500,,MATCH("Disk Capacity",Input!$D$1:$AC$1,0)),
    Input!$J$2:$J$500=B302
)), "")</f>
        <v/>
      </c>
      <c r="Q302" s="32" t="e">
        <f t="shared" si="13"/>
        <v>#N/A</v>
      </c>
      <c r="R302" s="42" t="e">
        <f>_xlfn.LET(_xlpm.Result,INDEX(Input!$D$2:$AC$500,
       MATCH(B302, Input!$J$2:$J$500, 0),
       MATCH("Capacity", Input!$D$1:$AC$1, 0)),IF(_xlpm.Result="","",_xlpm.Result))</f>
        <v>#N/A</v>
      </c>
      <c r="S302" s="42" t="e" cm="1">
        <f t="array" ref="S302">_xlfn.TEXTSPLIT(R302," / ", ,TRUE,0,)</f>
        <v>#N/A</v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/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/>
      <c r="AG302" s="32"/>
      <c r="AH302" s="32"/>
      <c r="AI302" s="32"/>
      <c r="AJ302" s="32"/>
      <c r="AK302" s="32"/>
      <c r="AL302" s="32"/>
      <c r="AM302" s="32"/>
    </row>
    <row r="303" spans="1:39">
      <c r="A303" s="32" t="str">
        <f>_xlfn.XLOOKUP(B303,Input!J:J,Input!G:G)&amp;""</f>
        <v/>
      </c>
      <c r="B303" s="32"/>
      <c r="C303" s="32" t="str">
        <f>_xlfn.XLOOKUP(B303,Input!J:J,Input!H:H)&amp;""</f>
        <v/>
      </c>
      <c r="D303" s="42">
        <f>_xlfn.XLOOKUP(B303,Input!J:J,Input!F:F)</f>
        <v>0</v>
      </c>
      <c r="E303" s="32">
        <f>_xlfn.XLOOKUP(D303,Models!H:H,Models!G:G,D303)</f>
        <v>0</v>
      </c>
      <c r="F303" s="32">
        <f>_xlfn.XLOOKUP(B303,Input!J:J,Input!E:E)</f>
        <v>0</v>
      </c>
      <c r="G303" s="32">
        <f>IF(F303="LENOVO",_xlfn.XLOOKUP(B303,Input!J:J,Input!K:K),_xlfn.XLOOKUP(B303,Input!J:J,Input!L:L))</f>
        <v>0</v>
      </c>
      <c r="H303" s="32"/>
      <c r="I303" s="32"/>
      <c r="J303" s="32"/>
      <c r="K303" s="42" t="e">
        <f>INDEX(Input!$D$2:$AC$500,
       MATCH(B303, Input!$J$2:$J$500, 0),
       MATCH("Total Memory", Input!$D$1:$AC$1, 0))</f>
        <v>#N/A</v>
      </c>
      <c r="L303" s="42"/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e">
        <f t="shared" si="14"/>
        <v>#N/A</v>
      </c>
      <c r="O303" s="42" t="e">
        <f>INDEX(Input!$D$2:$AC$500,
       MATCH(B303, Input!$J$2:$J$500, 0),
       MATCH("Disk Interface Type", Input!$D$1:$AC$1, 0))</f>
        <v>#N/A</v>
      </c>
      <c r="P303" s="42" t="str" cm="1">
        <f t="array" ref="P303">IFERROR(_xlfn.TEXTJOIN(", ", TRUE, _xlfn._xlws.FILTER(
    INDEX(Input!$D$2:$AC$500,,MATCH("Disk Capacity",Input!$D$1:$AC$1,0)),
    Input!$J$2:$J$500=B303
)), "")</f>
        <v/>
      </c>
      <c r="Q303" s="32" t="e">
        <f t="shared" si="13"/>
        <v>#N/A</v>
      </c>
      <c r="R303" s="42" t="e">
        <f>_xlfn.LET(_xlpm.Result,INDEX(Input!$D$2:$AC$500,
       MATCH(B303, Input!$J$2:$J$500, 0),
       MATCH("Capacity", Input!$D$1:$AC$1, 0)),IF(_xlpm.Result="","",_xlpm.Result))</f>
        <v>#N/A</v>
      </c>
      <c r="S303" s="42" t="e" cm="1">
        <f t="array" ref="S303">_xlfn.TEXTSPLIT(R303," / ", ,TRUE,0,)</f>
        <v>#N/A</v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/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/>
      <c r="AG303" s="32"/>
      <c r="AH303" s="32"/>
      <c r="AI303" s="32"/>
      <c r="AJ303" s="32"/>
      <c r="AK303" s="32"/>
      <c r="AL303" s="32"/>
      <c r="AM303" s="32"/>
    </row>
    <row r="304" spans="1:39">
      <c r="A304" s="32" t="str">
        <f>_xlfn.XLOOKUP(B304,Input!J:J,Input!G:G)&amp;""</f>
        <v/>
      </c>
      <c r="B304" s="32"/>
      <c r="C304" s="32" t="str">
        <f>_xlfn.XLOOKUP(B304,Input!J:J,Input!H:H)&amp;""</f>
        <v/>
      </c>
      <c r="D304" s="42">
        <f>_xlfn.XLOOKUP(B304,Input!J:J,Input!F:F)</f>
        <v>0</v>
      </c>
      <c r="E304" s="32">
        <f>_xlfn.XLOOKUP(D304,Models!H:H,Models!G:G,D304)</f>
        <v>0</v>
      </c>
      <c r="F304" s="32">
        <f>_xlfn.XLOOKUP(B304,Input!J:J,Input!E:E)</f>
        <v>0</v>
      </c>
      <c r="G304" s="32">
        <f>IF(F304="LENOVO",_xlfn.XLOOKUP(B304,Input!J:J,Input!K:K),_xlfn.XLOOKUP(B304,Input!J:J,Input!L:L))</f>
        <v>0</v>
      </c>
      <c r="H304" s="32"/>
      <c r="I304" s="32"/>
      <c r="J304" s="32"/>
      <c r="K304" s="42" t="e">
        <f>INDEX(Input!$D$2:$AC$500,
       MATCH(B304, Input!$J$2:$J$500, 0),
       MATCH("Total Memory", Input!$D$1:$AC$1, 0))</f>
        <v>#N/A</v>
      </c>
      <c r="L304" s="42"/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e">
        <f t="shared" si="14"/>
        <v>#N/A</v>
      </c>
      <c r="O304" s="42" t="e">
        <f>INDEX(Input!$D$2:$AC$500,
       MATCH(B304, Input!$J$2:$J$500, 0),
       MATCH("Disk Interface Type", Input!$D$1:$AC$1, 0))</f>
        <v>#N/A</v>
      </c>
      <c r="P304" s="42" t="str" cm="1">
        <f t="array" ref="P304">IFERROR(_xlfn.TEXTJOIN(", ", TRUE, _xlfn._xlws.FILTER(
    INDEX(Input!$D$2:$AC$500,,MATCH("Disk Capacity",Input!$D$1:$AC$1,0)),
    Input!$J$2:$J$500=B304
)), "")</f>
        <v/>
      </c>
      <c r="Q304" s="32" t="e">
        <f t="shared" si="13"/>
        <v>#N/A</v>
      </c>
      <c r="R304" s="42" t="e">
        <f>_xlfn.LET(_xlpm.Result,INDEX(Input!$D$2:$AC$500,
       MATCH(B304, Input!$J$2:$J$500, 0),
       MATCH("Capacity", Input!$D$1:$AC$1, 0)),IF(_xlpm.Result="","",_xlpm.Result))</f>
        <v>#N/A</v>
      </c>
      <c r="S304" s="42" t="e" cm="1">
        <f t="array" ref="S304">_xlfn.TEXTSPLIT(R304," / ", ,TRUE,0,)</f>
        <v>#N/A</v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/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/>
      <c r="AG304" s="32"/>
      <c r="AH304" s="32"/>
      <c r="AI304" s="32"/>
      <c r="AJ304" s="32"/>
      <c r="AK304" s="32"/>
      <c r="AL304" s="32"/>
      <c r="AM304" s="32"/>
    </row>
    <row r="305" spans="1:39">
      <c r="A305" s="32" t="str">
        <f>_xlfn.XLOOKUP(B305,Input!J:J,Input!G:G)&amp;""</f>
        <v/>
      </c>
      <c r="B305" s="32"/>
      <c r="C305" s="32" t="str">
        <f>_xlfn.XLOOKUP(B305,Input!J:J,Input!H:H)&amp;""</f>
        <v/>
      </c>
      <c r="D305" s="42">
        <f>_xlfn.XLOOKUP(B305,Input!J:J,Input!F:F)</f>
        <v>0</v>
      </c>
      <c r="E305" s="32">
        <f>_xlfn.XLOOKUP(D305,Models!H:H,Models!G:G,D305)</f>
        <v>0</v>
      </c>
      <c r="F305" s="32">
        <f>_xlfn.XLOOKUP(B305,Input!J:J,Input!E:E)</f>
        <v>0</v>
      </c>
      <c r="G305" s="32">
        <f>IF(F305="LENOVO",_xlfn.XLOOKUP(B305,Input!J:J,Input!K:K),_xlfn.XLOOKUP(B305,Input!J:J,Input!L:L))</f>
        <v>0</v>
      </c>
      <c r="H305" s="32"/>
      <c r="I305" s="32"/>
      <c r="J305" s="32"/>
      <c r="K305" s="42" t="e">
        <f>INDEX(Input!$D$2:$AC$500,
       MATCH(B305, Input!$J$2:$J$500, 0),
       MATCH("Total Memory", Input!$D$1:$AC$1, 0))</f>
        <v>#N/A</v>
      </c>
      <c r="L305" s="42"/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e">
        <f t="shared" si="14"/>
        <v>#N/A</v>
      </c>
      <c r="O305" s="42" t="e">
        <f>INDEX(Input!$D$2:$AC$500,
       MATCH(B305, Input!$J$2:$J$500, 0),
       MATCH("Disk Interface Type", Input!$D$1:$AC$1, 0))</f>
        <v>#N/A</v>
      </c>
      <c r="P305" s="42" t="str" cm="1">
        <f t="array" ref="P305">IFERROR(_xlfn.TEXTJOIN(", ", TRUE, _xlfn._xlws.FILTER(
    INDEX(Input!$D$2:$AC$500,,MATCH("Disk Capacity",Input!$D$1:$AC$1,0)),
    Input!$J$2:$J$500=B305
)), "")</f>
        <v/>
      </c>
      <c r="Q305" s="32" t="e">
        <f t="shared" si="13"/>
        <v>#N/A</v>
      </c>
      <c r="R305" s="42" t="e">
        <f>_xlfn.LET(_xlpm.Result,INDEX(Input!$D$2:$AC$500,
       MATCH(B305, Input!$J$2:$J$500, 0),
       MATCH("Capacity", Input!$D$1:$AC$1, 0)),IF(_xlpm.Result="","",_xlpm.Result))</f>
        <v>#N/A</v>
      </c>
      <c r="S305" s="42" t="e" cm="1">
        <f t="array" ref="S305">_xlfn.TEXTSPLIT(R305," / ", ,TRUE,0,)</f>
        <v>#N/A</v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/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/>
      <c r="AG305" s="32"/>
      <c r="AH305" s="32"/>
      <c r="AI305" s="32"/>
      <c r="AJ305" s="32"/>
      <c r="AK305" s="32"/>
      <c r="AL305" s="32"/>
      <c r="AM305" s="32"/>
    </row>
    <row r="306" spans="1:39">
      <c r="A306" s="32" t="str">
        <f>_xlfn.XLOOKUP(B306,Input!J:J,Input!G:G)&amp;""</f>
        <v/>
      </c>
      <c r="B306" s="32"/>
      <c r="C306" s="32" t="str">
        <f>_xlfn.XLOOKUP(B306,Input!J:J,Input!H:H)&amp;""</f>
        <v/>
      </c>
      <c r="D306" s="42">
        <f>_xlfn.XLOOKUP(B306,Input!J:J,Input!F:F)</f>
        <v>0</v>
      </c>
      <c r="E306" s="32">
        <f>_xlfn.XLOOKUP(D306,Models!H:H,Models!G:G,D306)</f>
        <v>0</v>
      </c>
      <c r="F306" s="32">
        <f>_xlfn.XLOOKUP(B306,Input!J:J,Input!E:E)</f>
        <v>0</v>
      </c>
      <c r="G306" s="32">
        <f>IF(F306="LENOVO",_xlfn.XLOOKUP(B306,Input!J:J,Input!K:K),_xlfn.XLOOKUP(B306,Input!J:J,Input!L:L))</f>
        <v>0</v>
      </c>
      <c r="H306" s="32"/>
      <c r="I306" s="32"/>
      <c r="J306" s="32"/>
      <c r="K306" s="42" t="e">
        <f>INDEX(Input!$D$2:$AC$500,
       MATCH(B306, Input!$J$2:$J$500, 0),
       MATCH("Total Memory", Input!$D$1:$AC$1, 0))</f>
        <v>#N/A</v>
      </c>
      <c r="L306" s="42"/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e">
        <f t="shared" si="14"/>
        <v>#N/A</v>
      </c>
      <c r="O306" s="42" t="e">
        <f>INDEX(Input!$D$2:$AC$500,
       MATCH(B306, Input!$J$2:$J$500, 0),
       MATCH("Disk Interface Type", Input!$D$1:$AC$1, 0))</f>
        <v>#N/A</v>
      </c>
      <c r="P306" s="42" t="str" cm="1">
        <f t="array" ref="P306">IFERROR(_xlfn.TEXTJOIN(", ", TRUE, _xlfn._xlws.FILTER(
    INDEX(Input!$D$2:$AC$500,,MATCH("Disk Capacity",Input!$D$1:$AC$1,0)),
    Input!$J$2:$J$500=B306
)), "")</f>
        <v/>
      </c>
      <c r="Q306" s="32" t="e">
        <f t="shared" si="13"/>
        <v>#N/A</v>
      </c>
      <c r="R306" s="42" t="e">
        <f>_xlfn.LET(_xlpm.Result,INDEX(Input!$D$2:$AC$500,
       MATCH(B306, Input!$J$2:$J$500, 0),
       MATCH("Capacity", Input!$D$1:$AC$1, 0)),IF(_xlpm.Result="","",_xlpm.Result))</f>
        <v>#N/A</v>
      </c>
      <c r="S306" s="42" t="e" cm="1">
        <f t="array" ref="S306">_xlfn.TEXTSPLIT(R306," / ", ,TRUE,0,)</f>
        <v>#N/A</v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/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/>
      <c r="AG306" s="32"/>
      <c r="AH306" s="32"/>
      <c r="AI306" s="32"/>
      <c r="AJ306" s="32"/>
      <c r="AK306" s="32"/>
      <c r="AL306" s="32"/>
      <c r="AM306" s="32"/>
    </row>
    <row r="307" spans="1:39">
      <c r="A307" s="32" t="str">
        <f>_xlfn.XLOOKUP(B307,Input!J:J,Input!G:G)&amp;""</f>
        <v/>
      </c>
      <c r="B307" s="32"/>
      <c r="C307" s="32" t="str">
        <f>_xlfn.XLOOKUP(B307,Input!J:J,Input!H:H)&amp;""</f>
        <v/>
      </c>
      <c r="D307" s="42">
        <f>_xlfn.XLOOKUP(B307,Input!J:J,Input!F:F)</f>
        <v>0</v>
      </c>
      <c r="E307" s="32">
        <f>_xlfn.XLOOKUP(D307,Models!H:H,Models!G:G,D307)</f>
        <v>0</v>
      </c>
      <c r="F307" s="32">
        <f>_xlfn.XLOOKUP(B307,Input!J:J,Input!E:E)</f>
        <v>0</v>
      </c>
      <c r="G307" s="32">
        <f>IF(F307="LENOVO",_xlfn.XLOOKUP(B307,Input!J:J,Input!K:K),_xlfn.XLOOKUP(B307,Input!J:J,Input!L:L))</f>
        <v>0</v>
      </c>
      <c r="H307" s="32"/>
      <c r="I307" s="32"/>
      <c r="J307" s="32"/>
      <c r="K307" s="42" t="e">
        <f>INDEX(Input!$D$2:$AC$500,
       MATCH(B307, Input!$J$2:$J$500, 0),
       MATCH("Total Memory", Input!$D$1:$AC$1, 0))</f>
        <v>#N/A</v>
      </c>
      <c r="L307" s="42"/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e">
        <f t="shared" si="14"/>
        <v>#N/A</v>
      </c>
      <c r="O307" s="42" t="e">
        <f>INDEX(Input!$D$2:$AC$500,
       MATCH(B307, Input!$J$2:$J$500, 0),
       MATCH("Disk Interface Type", Input!$D$1:$AC$1, 0))</f>
        <v>#N/A</v>
      </c>
      <c r="P307" s="42" t="str" cm="1">
        <f t="array" ref="P307">IFERROR(_xlfn.TEXTJOIN(", ", TRUE, _xlfn._xlws.FILTER(
    INDEX(Input!$D$2:$AC$500,,MATCH("Disk Capacity",Input!$D$1:$AC$1,0)),
    Input!$J$2:$J$500=B307
)), "")</f>
        <v/>
      </c>
      <c r="Q307" s="32" t="e">
        <f t="shared" si="13"/>
        <v>#N/A</v>
      </c>
      <c r="R307" s="42" t="e">
        <f>_xlfn.LET(_xlpm.Result,INDEX(Input!$D$2:$AC$500,
       MATCH(B307, Input!$J$2:$J$500, 0),
       MATCH("Capacity", Input!$D$1:$AC$1, 0)),IF(_xlpm.Result="","",_xlpm.Result))</f>
        <v>#N/A</v>
      </c>
      <c r="S307" s="42" t="e" cm="1">
        <f t="array" ref="S307">_xlfn.TEXTSPLIT(R307," / ", ,TRUE,0,)</f>
        <v>#N/A</v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/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/>
      <c r="AG307" s="32"/>
      <c r="AH307" s="32"/>
      <c r="AI307" s="32"/>
      <c r="AJ307" s="32"/>
      <c r="AK307" s="32"/>
      <c r="AL307" s="32"/>
      <c r="AM307" s="32"/>
    </row>
    <row r="308" spans="1:39">
      <c r="A308" s="32" t="str">
        <f>_xlfn.XLOOKUP(B308,Input!J:J,Input!G:G)&amp;""</f>
        <v/>
      </c>
      <c r="B308" s="32"/>
      <c r="C308" s="32" t="str">
        <f>_xlfn.XLOOKUP(B308,Input!J:J,Input!H:H)&amp;""</f>
        <v/>
      </c>
      <c r="D308" s="42">
        <f>_xlfn.XLOOKUP(B308,Input!J:J,Input!F:F)</f>
        <v>0</v>
      </c>
      <c r="E308" s="32">
        <f>_xlfn.XLOOKUP(D308,Models!H:H,Models!G:G,D308)</f>
        <v>0</v>
      </c>
      <c r="F308" s="32">
        <f>_xlfn.XLOOKUP(B308,Input!J:J,Input!E:E)</f>
        <v>0</v>
      </c>
      <c r="G308" s="32">
        <f>IF(F308="LENOVO",_xlfn.XLOOKUP(B308,Input!J:J,Input!K:K),_xlfn.XLOOKUP(B308,Input!J:J,Input!L:L))</f>
        <v>0</v>
      </c>
      <c r="H308" s="32"/>
      <c r="I308" s="32"/>
      <c r="J308" s="32"/>
      <c r="K308" s="42" t="e">
        <f>INDEX(Input!$D$2:$AC$500,
       MATCH(B308, Input!$J$2:$J$500, 0),
       MATCH("Total Memory", Input!$D$1:$AC$1, 0))</f>
        <v>#N/A</v>
      </c>
      <c r="L308" s="42"/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e">
        <f t="shared" si="14"/>
        <v>#N/A</v>
      </c>
      <c r="O308" s="42" t="e">
        <f>INDEX(Input!$D$2:$AC$500,
       MATCH(B308, Input!$J$2:$J$500, 0),
       MATCH("Disk Interface Type", Input!$D$1:$AC$1, 0))</f>
        <v>#N/A</v>
      </c>
      <c r="P308" s="42" t="str" cm="1">
        <f t="array" ref="P308">IFERROR(_xlfn.TEXTJOIN(", ", TRUE, _xlfn._xlws.FILTER(
    INDEX(Input!$D$2:$AC$500,,MATCH("Disk Capacity",Input!$D$1:$AC$1,0)),
    Input!$J$2:$J$500=B308
)), "")</f>
        <v/>
      </c>
      <c r="Q308" s="32" t="e">
        <f t="shared" si="13"/>
        <v>#N/A</v>
      </c>
      <c r="R308" s="42" t="e">
        <f>_xlfn.LET(_xlpm.Result,INDEX(Input!$D$2:$AC$500,
       MATCH(B308, Input!$J$2:$J$500, 0),
       MATCH("Capacity", Input!$D$1:$AC$1, 0)),IF(_xlpm.Result="","",_xlpm.Result))</f>
        <v>#N/A</v>
      </c>
      <c r="S308" s="42" t="e" cm="1">
        <f t="array" ref="S308">_xlfn.TEXTSPLIT(R308," / ", ,TRUE,0,)</f>
        <v>#N/A</v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/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/>
      <c r="AG308" s="32"/>
      <c r="AH308" s="32"/>
      <c r="AI308" s="32"/>
      <c r="AJ308" s="32"/>
      <c r="AK308" s="32"/>
      <c r="AL308" s="32"/>
      <c r="AM308" s="32"/>
    </row>
    <row r="309" spans="1:39">
      <c r="A309" s="32" t="str">
        <f>_xlfn.XLOOKUP(B309,Input!J:J,Input!G:G)&amp;""</f>
        <v/>
      </c>
      <c r="B309" s="32"/>
      <c r="C309" s="32" t="str">
        <f>_xlfn.XLOOKUP(B309,Input!J:J,Input!H:H)&amp;""</f>
        <v/>
      </c>
      <c r="D309" s="42">
        <f>_xlfn.XLOOKUP(B309,Input!J:J,Input!F:F)</f>
        <v>0</v>
      </c>
      <c r="E309" s="32">
        <f>_xlfn.XLOOKUP(D309,Models!H:H,Models!G:G,D309)</f>
        <v>0</v>
      </c>
      <c r="F309" s="32">
        <f>_xlfn.XLOOKUP(B309,Input!J:J,Input!E:E)</f>
        <v>0</v>
      </c>
      <c r="G309" s="32">
        <f>IF(F309="LENOVO",_xlfn.XLOOKUP(B309,Input!J:J,Input!K:K),_xlfn.XLOOKUP(B309,Input!J:J,Input!L:L))</f>
        <v>0</v>
      </c>
      <c r="H309" s="32"/>
      <c r="I309" s="32"/>
      <c r="J309" s="32"/>
      <c r="K309" s="42" t="e">
        <f>INDEX(Input!$D$2:$AC$500,
       MATCH(B309, Input!$J$2:$J$500, 0),
       MATCH("Total Memory", Input!$D$1:$AC$1, 0))</f>
        <v>#N/A</v>
      </c>
      <c r="L309" s="42"/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e">
        <f t="shared" si="14"/>
        <v>#N/A</v>
      </c>
      <c r="O309" s="42" t="e">
        <f>INDEX(Input!$D$2:$AC$500,
       MATCH(B309, Input!$J$2:$J$500, 0),
       MATCH("Disk Interface Type", Input!$D$1:$AC$1, 0))</f>
        <v>#N/A</v>
      </c>
      <c r="P309" s="42" t="str" cm="1">
        <f t="array" ref="P309">IFERROR(_xlfn.TEXTJOIN(", ", TRUE, _xlfn._xlws.FILTER(
    INDEX(Input!$D$2:$AC$500,,MATCH("Disk Capacity",Input!$D$1:$AC$1,0)),
    Input!$J$2:$J$500=B309
)), "")</f>
        <v/>
      </c>
      <c r="Q309" s="32" t="e">
        <f t="shared" si="13"/>
        <v>#N/A</v>
      </c>
      <c r="R309" s="42" t="e">
        <f>_xlfn.LET(_xlpm.Result,INDEX(Input!$D$2:$AC$500,
       MATCH(B309, Input!$J$2:$J$500, 0),
       MATCH("Capacity", Input!$D$1:$AC$1, 0)),IF(_xlpm.Result="","",_xlpm.Result))</f>
        <v>#N/A</v>
      </c>
      <c r="S309" s="42" t="e" cm="1">
        <f t="array" ref="S309">_xlfn.TEXTSPLIT(R309," / ", ,TRUE,0,)</f>
        <v>#N/A</v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/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/>
      <c r="AG309" s="32"/>
      <c r="AH309" s="32"/>
      <c r="AI309" s="32"/>
      <c r="AJ309" s="32"/>
      <c r="AK309" s="32"/>
      <c r="AL309" s="32"/>
      <c r="AM309" s="32"/>
    </row>
    <row r="310" spans="1:39">
      <c r="A310" s="32" t="str">
        <f>_xlfn.XLOOKUP(B310,Input!J:J,Input!G:G)&amp;""</f>
        <v/>
      </c>
      <c r="B310" s="32"/>
      <c r="C310" s="32" t="str">
        <f>_xlfn.XLOOKUP(B310,Input!J:J,Input!H:H)&amp;""</f>
        <v/>
      </c>
      <c r="D310" s="42">
        <f>_xlfn.XLOOKUP(B310,Input!J:J,Input!F:F)</f>
        <v>0</v>
      </c>
      <c r="E310" s="32">
        <f>_xlfn.XLOOKUP(D310,Models!H:H,Models!G:G,D310)</f>
        <v>0</v>
      </c>
      <c r="F310" s="32">
        <f>_xlfn.XLOOKUP(B310,Input!J:J,Input!E:E)</f>
        <v>0</v>
      </c>
      <c r="G310" s="32">
        <f>IF(F310="LENOVO",_xlfn.XLOOKUP(B310,Input!J:J,Input!K:K),_xlfn.XLOOKUP(B310,Input!J:J,Input!L:L))</f>
        <v>0</v>
      </c>
      <c r="H310" s="32"/>
      <c r="I310" s="32"/>
      <c r="J310" s="32"/>
      <c r="K310" s="42" t="e">
        <f>INDEX(Input!$D$2:$AC$500,
       MATCH(B310, Input!$J$2:$J$500, 0),
       MATCH("Total Memory", Input!$D$1:$AC$1, 0))</f>
        <v>#N/A</v>
      </c>
      <c r="L310" s="42"/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e">
        <f t="shared" si="14"/>
        <v>#N/A</v>
      </c>
      <c r="O310" s="42" t="e">
        <f>INDEX(Input!$D$2:$AC$500,
       MATCH(B310, Input!$J$2:$J$500, 0),
       MATCH("Disk Interface Type", Input!$D$1:$AC$1, 0))</f>
        <v>#N/A</v>
      </c>
      <c r="P310" s="42" t="str" cm="1">
        <f t="array" ref="P310">IFERROR(_xlfn.TEXTJOIN(", ", TRUE, _xlfn._xlws.FILTER(
    INDEX(Input!$D$2:$AC$500,,MATCH("Disk Capacity",Input!$D$1:$AC$1,0)),
    Input!$J$2:$J$500=B310
)), "")</f>
        <v/>
      </c>
      <c r="Q310" s="32" t="e">
        <f t="shared" si="13"/>
        <v>#N/A</v>
      </c>
      <c r="R310" s="42" t="e">
        <f>_xlfn.LET(_xlpm.Result,INDEX(Input!$D$2:$AC$500,
       MATCH(B310, Input!$J$2:$J$500, 0),
       MATCH("Capacity", Input!$D$1:$AC$1, 0)),IF(_xlpm.Result="","",_xlpm.Result))</f>
        <v>#N/A</v>
      </c>
      <c r="S310" s="42" t="e" cm="1">
        <f t="array" ref="S310">_xlfn.TEXTSPLIT(R310," / ", ,TRUE,0,)</f>
        <v>#N/A</v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/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/>
      <c r="AG310" s="32"/>
      <c r="AH310" s="32"/>
      <c r="AI310" s="32"/>
      <c r="AJ310" s="32"/>
      <c r="AK310" s="32"/>
      <c r="AL310" s="32"/>
      <c r="AM310" s="32"/>
    </row>
    <row r="311" spans="1:39">
      <c r="A311" s="32" t="str">
        <f>_xlfn.XLOOKUP(B311,Input!J:J,Input!G:G)&amp;""</f>
        <v/>
      </c>
      <c r="B311" s="32"/>
      <c r="C311" s="32" t="str">
        <f>_xlfn.XLOOKUP(B311,Input!J:J,Input!H:H)&amp;""</f>
        <v/>
      </c>
      <c r="D311" s="42">
        <f>_xlfn.XLOOKUP(B311,Input!J:J,Input!F:F)</f>
        <v>0</v>
      </c>
      <c r="E311" s="32">
        <f>_xlfn.XLOOKUP(D311,Models!H:H,Models!G:G,D311)</f>
        <v>0</v>
      </c>
      <c r="F311" s="32">
        <f>_xlfn.XLOOKUP(B311,Input!J:J,Input!E:E)</f>
        <v>0</v>
      </c>
      <c r="G311" s="32">
        <f>IF(F311="LENOVO",_xlfn.XLOOKUP(B311,Input!J:J,Input!K:K),_xlfn.XLOOKUP(B311,Input!J:J,Input!L:L))</f>
        <v>0</v>
      </c>
      <c r="H311" s="32"/>
      <c r="I311" s="32"/>
      <c r="J311" s="32"/>
      <c r="K311" s="42" t="e">
        <f>INDEX(Input!$D$2:$AC$500,
       MATCH(B311, Input!$J$2:$J$500, 0),
       MATCH("Total Memory", Input!$D$1:$AC$1, 0))</f>
        <v>#N/A</v>
      </c>
      <c r="L311" s="42"/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e">
        <f t="shared" si="14"/>
        <v>#N/A</v>
      </c>
      <c r="O311" s="42" t="e">
        <f>INDEX(Input!$D$2:$AC$500,
       MATCH(B311, Input!$J$2:$J$500, 0),
       MATCH("Disk Interface Type", Input!$D$1:$AC$1, 0))</f>
        <v>#N/A</v>
      </c>
      <c r="P311" s="42" t="str" cm="1">
        <f t="array" ref="P311">IFERROR(_xlfn.TEXTJOIN(", ", TRUE, _xlfn._xlws.FILTER(
    INDEX(Input!$D$2:$AC$500,,MATCH("Disk Capacity",Input!$D$1:$AC$1,0)),
    Input!$J$2:$J$500=B311
)), "")</f>
        <v/>
      </c>
      <c r="Q311" s="32" t="e">
        <f t="shared" si="13"/>
        <v>#N/A</v>
      </c>
      <c r="R311" s="42" t="e">
        <f>_xlfn.LET(_xlpm.Result,INDEX(Input!$D$2:$AC$500,
       MATCH(B311, Input!$J$2:$J$500, 0),
       MATCH("Capacity", Input!$D$1:$AC$1, 0)),IF(_xlpm.Result="","",_xlpm.Result))</f>
        <v>#N/A</v>
      </c>
      <c r="S311" s="42" t="e" cm="1">
        <f t="array" ref="S311">_xlfn.TEXTSPLIT(R311," / ", ,TRUE,0,)</f>
        <v>#N/A</v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/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/>
      <c r="AG311" s="32"/>
      <c r="AH311" s="32"/>
      <c r="AI311" s="32"/>
      <c r="AJ311" s="32"/>
      <c r="AK311" s="32"/>
      <c r="AL311" s="32"/>
      <c r="AM311" s="32"/>
    </row>
    <row r="312" spans="1:39">
      <c r="A312" s="32" t="str">
        <f>_xlfn.XLOOKUP(B312,Input!J:J,Input!G:G)&amp;""</f>
        <v/>
      </c>
      <c r="B312" s="32"/>
      <c r="C312" s="32" t="str">
        <f>_xlfn.XLOOKUP(B312,Input!J:J,Input!H:H)&amp;""</f>
        <v/>
      </c>
      <c r="D312" s="42">
        <f>_xlfn.XLOOKUP(B312,Input!J:J,Input!F:F)</f>
        <v>0</v>
      </c>
      <c r="E312" s="32">
        <f>_xlfn.XLOOKUP(D312,Models!H:H,Models!G:G,D312)</f>
        <v>0</v>
      </c>
      <c r="F312" s="32">
        <f>_xlfn.XLOOKUP(B312,Input!J:J,Input!E:E)</f>
        <v>0</v>
      </c>
      <c r="G312" s="32">
        <f>IF(F312="LENOVO",_xlfn.XLOOKUP(B312,Input!J:J,Input!K:K),_xlfn.XLOOKUP(B312,Input!J:J,Input!L:L))</f>
        <v>0</v>
      </c>
      <c r="H312" s="32"/>
      <c r="I312" s="32"/>
      <c r="J312" s="32"/>
      <c r="K312" s="42" t="e">
        <f>INDEX(Input!$D$2:$AC$500,
       MATCH(B312, Input!$J$2:$J$500, 0),
       MATCH("Total Memory", Input!$D$1:$AC$1, 0))</f>
        <v>#N/A</v>
      </c>
      <c r="L312" s="42"/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e">
        <f t="shared" si="14"/>
        <v>#N/A</v>
      </c>
      <c r="O312" s="42" t="e">
        <f>INDEX(Input!$D$2:$AC$500,
       MATCH(B312, Input!$J$2:$J$500, 0),
       MATCH("Disk Interface Type", Input!$D$1:$AC$1, 0))</f>
        <v>#N/A</v>
      </c>
      <c r="P312" s="42" t="str" cm="1">
        <f t="array" ref="P312">IFERROR(_xlfn.TEXTJOIN(", ", TRUE, _xlfn._xlws.FILTER(
    INDEX(Input!$D$2:$AC$500,,MATCH("Disk Capacity",Input!$D$1:$AC$1,0)),
    Input!$J$2:$J$500=B312
)), "")</f>
        <v/>
      </c>
      <c r="Q312" s="32" t="e">
        <f t="shared" si="13"/>
        <v>#N/A</v>
      </c>
      <c r="R312" s="42" t="e">
        <f>_xlfn.LET(_xlpm.Result,INDEX(Input!$D$2:$AC$500,
       MATCH(B312, Input!$J$2:$J$500, 0),
       MATCH("Capacity", Input!$D$1:$AC$1, 0)),IF(_xlpm.Result="","",_xlpm.Result))</f>
        <v>#N/A</v>
      </c>
      <c r="S312" s="42" t="e" cm="1">
        <f t="array" ref="S312">_xlfn.TEXTSPLIT(R312," / ", ,TRUE,0,)</f>
        <v>#N/A</v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/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/>
      <c r="AG312" s="32"/>
      <c r="AH312" s="32"/>
      <c r="AI312" s="32"/>
      <c r="AJ312" s="32"/>
      <c r="AK312" s="32"/>
      <c r="AL312" s="32"/>
      <c r="AM312" s="32"/>
    </row>
    <row r="313" spans="1:39">
      <c r="A313" s="32" t="str">
        <f>_xlfn.XLOOKUP(B313,Input!J:J,Input!G:G)&amp;""</f>
        <v/>
      </c>
      <c r="B313" s="32"/>
      <c r="C313" s="32" t="str">
        <f>_xlfn.XLOOKUP(B313,Input!J:J,Input!H:H)&amp;""</f>
        <v/>
      </c>
      <c r="D313" s="42">
        <f>_xlfn.XLOOKUP(B313,Input!J:J,Input!F:F)</f>
        <v>0</v>
      </c>
      <c r="E313" s="32">
        <f>_xlfn.XLOOKUP(D313,Models!H:H,Models!G:G,D313)</f>
        <v>0</v>
      </c>
      <c r="F313" s="32">
        <f>_xlfn.XLOOKUP(B313,Input!J:J,Input!E:E)</f>
        <v>0</v>
      </c>
      <c r="G313" s="32">
        <f>IF(F313="LENOVO",_xlfn.XLOOKUP(B313,Input!J:J,Input!K:K),_xlfn.XLOOKUP(B313,Input!J:J,Input!L:L))</f>
        <v>0</v>
      </c>
      <c r="H313" s="32"/>
      <c r="I313" s="32"/>
      <c r="J313" s="32"/>
      <c r="K313" s="42" t="e">
        <f>INDEX(Input!$D$2:$AC$500,
       MATCH(B313, Input!$J$2:$J$500, 0),
       MATCH("Total Memory", Input!$D$1:$AC$1, 0))</f>
        <v>#N/A</v>
      </c>
      <c r="L313" s="42"/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e">
        <f t="shared" si="14"/>
        <v>#N/A</v>
      </c>
      <c r="O313" s="42" t="e">
        <f>INDEX(Input!$D$2:$AC$500,
       MATCH(B313, Input!$J$2:$J$500, 0),
       MATCH("Disk Interface Type", Input!$D$1:$AC$1, 0))</f>
        <v>#N/A</v>
      </c>
      <c r="P313" s="42" t="str" cm="1">
        <f t="array" ref="P313">IFERROR(_xlfn.TEXTJOIN(", ", TRUE, _xlfn._xlws.FILTER(
    INDEX(Input!$D$2:$AC$500,,MATCH("Disk Capacity",Input!$D$1:$AC$1,0)),
    Input!$J$2:$J$500=B313
)), "")</f>
        <v/>
      </c>
      <c r="Q313" s="32" t="e">
        <f t="shared" si="13"/>
        <v>#N/A</v>
      </c>
      <c r="R313" s="42" t="e">
        <f>_xlfn.LET(_xlpm.Result,INDEX(Input!$D$2:$AC$500,
       MATCH(B313, Input!$J$2:$J$500, 0),
       MATCH("Capacity", Input!$D$1:$AC$1, 0)),IF(_xlpm.Result="","",_xlpm.Result))</f>
        <v>#N/A</v>
      </c>
      <c r="S313" s="42" t="e" cm="1">
        <f t="array" ref="S313">_xlfn.TEXTSPLIT(R313," / ", ,TRUE,0,)</f>
        <v>#N/A</v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/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/>
      <c r="AG313" s="32"/>
      <c r="AH313" s="32"/>
      <c r="AI313" s="32"/>
      <c r="AJ313" s="32"/>
      <c r="AK313" s="32"/>
      <c r="AL313" s="32"/>
      <c r="AM313" s="32"/>
    </row>
    <row r="314" spans="1:39">
      <c r="A314" s="32" t="str">
        <f>_xlfn.XLOOKUP(B314,Input!J:J,Input!G:G)&amp;""</f>
        <v/>
      </c>
      <c r="B314" s="32"/>
      <c r="C314" s="32" t="str">
        <f>_xlfn.XLOOKUP(B314,Input!J:J,Input!H:H)&amp;""</f>
        <v/>
      </c>
      <c r="D314" s="42">
        <f>_xlfn.XLOOKUP(B314,Input!J:J,Input!F:F)</f>
        <v>0</v>
      </c>
      <c r="E314" s="32">
        <f>_xlfn.XLOOKUP(D314,Models!H:H,Models!G:G,D314)</f>
        <v>0</v>
      </c>
      <c r="F314" s="32">
        <f>_xlfn.XLOOKUP(B314,Input!J:J,Input!E:E)</f>
        <v>0</v>
      </c>
      <c r="G314" s="32">
        <f>IF(F314="LENOVO",_xlfn.XLOOKUP(B314,Input!J:J,Input!K:K),_xlfn.XLOOKUP(B314,Input!J:J,Input!L:L))</f>
        <v>0</v>
      </c>
      <c r="H314" s="32"/>
      <c r="I314" s="32"/>
      <c r="J314" s="32"/>
      <c r="K314" s="42" t="e">
        <f>INDEX(Input!$D$2:$AC$500,
       MATCH(B314, Input!$J$2:$J$500, 0),
       MATCH("Total Memory", Input!$D$1:$AC$1, 0))</f>
        <v>#N/A</v>
      </c>
      <c r="L314" s="42"/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e">
        <f t="shared" si="14"/>
        <v>#N/A</v>
      </c>
      <c r="O314" s="42" t="e">
        <f>INDEX(Input!$D$2:$AC$500,
       MATCH(B314, Input!$J$2:$J$500, 0),
       MATCH("Disk Interface Type", Input!$D$1:$AC$1, 0))</f>
        <v>#N/A</v>
      </c>
      <c r="P314" s="42" t="str" cm="1">
        <f t="array" ref="P314">IFERROR(_xlfn.TEXTJOIN(", ", TRUE, _xlfn._xlws.FILTER(
    INDEX(Input!$D$2:$AC$500,,MATCH("Disk Capacity",Input!$D$1:$AC$1,0)),
    Input!$J$2:$J$500=B314
)), "")</f>
        <v/>
      </c>
      <c r="Q314" s="32" t="e">
        <f t="shared" si="13"/>
        <v>#N/A</v>
      </c>
      <c r="R314" s="42" t="e">
        <f>_xlfn.LET(_xlpm.Result,INDEX(Input!$D$2:$AC$500,
       MATCH(B314, Input!$J$2:$J$500, 0),
       MATCH("Capacity", Input!$D$1:$AC$1, 0)),IF(_xlpm.Result="","",_xlpm.Result))</f>
        <v>#N/A</v>
      </c>
      <c r="S314" s="42" t="e" cm="1">
        <f t="array" ref="S314">_xlfn.TEXTSPLIT(R314," / ", ,TRUE,0,)</f>
        <v>#N/A</v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/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/>
      <c r="AG314" s="32"/>
      <c r="AH314" s="32"/>
      <c r="AI314" s="32"/>
      <c r="AJ314" s="32"/>
      <c r="AK314" s="32"/>
      <c r="AL314" s="32"/>
      <c r="AM314" s="32"/>
    </row>
    <row r="315" spans="1:39">
      <c r="A315" s="32" t="str">
        <f>_xlfn.XLOOKUP(B315,Input!J:J,Input!G:G)&amp;""</f>
        <v/>
      </c>
      <c r="B315" s="32"/>
      <c r="C315" s="32" t="str">
        <f>_xlfn.XLOOKUP(B315,Input!J:J,Input!H:H)&amp;""</f>
        <v/>
      </c>
      <c r="D315" s="42">
        <f>_xlfn.XLOOKUP(B315,Input!J:J,Input!F:F)</f>
        <v>0</v>
      </c>
      <c r="E315" s="32">
        <f>_xlfn.XLOOKUP(D315,Models!H:H,Models!G:G,D315)</f>
        <v>0</v>
      </c>
      <c r="F315" s="32">
        <f>_xlfn.XLOOKUP(B315,Input!J:J,Input!E:E)</f>
        <v>0</v>
      </c>
      <c r="G315" s="32">
        <f>IF(F315="LENOVO",_xlfn.XLOOKUP(B315,Input!J:J,Input!K:K),_xlfn.XLOOKUP(B315,Input!J:J,Input!L:L))</f>
        <v>0</v>
      </c>
      <c r="H315" s="32"/>
      <c r="I315" s="32"/>
      <c r="J315" s="32"/>
      <c r="K315" s="42" t="e">
        <f>INDEX(Input!$D$2:$AC$500,
       MATCH(B315, Input!$J$2:$J$500, 0),
       MATCH("Total Memory", Input!$D$1:$AC$1, 0))</f>
        <v>#N/A</v>
      </c>
      <c r="L315" s="42"/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e">
        <f t="shared" si="14"/>
        <v>#N/A</v>
      </c>
      <c r="O315" s="42" t="e">
        <f>INDEX(Input!$D$2:$AC$500,
       MATCH(B315, Input!$J$2:$J$500, 0),
       MATCH("Disk Interface Type", Input!$D$1:$AC$1, 0))</f>
        <v>#N/A</v>
      </c>
      <c r="P315" s="42" t="str" cm="1">
        <f t="array" ref="P315">IFERROR(_xlfn.TEXTJOIN(", ", TRUE, _xlfn._xlws.FILTER(
    INDEX(Input!$D$2:$AC$500,,MATCH("Disk Capacity",Input!$D$1:$AC$1,0)),
    Input!$J$2:$J$500=B315
)), "")</f>
        <v/>
      </c>
      <c r="Q315" s="32" t="e">
        <f t="shared" si="13"/>
        <v>#N/A</v>
      </c>
      <c r="R315" s="42" t="e">
        <f>_xlfn.LET(_xlpm.Result,INDEX(Input!$D$2:$AC$500,
       MATCH(B315, Input!$J$2:$J$500, 0),
       MATCH("Capacity", Input!$D$1:$AC$1, 0)),IF(_xlpm.Result="","",_xlpm.Result))</f>
        <v>#N/A</v>
      </c>
      <c r="S315" s="42" t="e" cm="1">
        <f t="array" ref="S315">_xlfn.TEXTSPLIT(R315," / ", ,TRUE,0,)</f>
        <v>#N/A</v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/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/>
      <c r="AG315" s="32"/>
      <c r="AH315" s="32"/>
      <c r="AI315" s="32"/>
      <c r="AJ315" s="32"/>
      <c r="AK315" s="32"/>
      <c r="AL315" s="32"/>
      <c r="AM315" s="32"/>
    </row>
    <row r="316" spans="1:39">
      <c r="A316" s="32" t="str">
        <f>_xlfn.XLOOKUP(B316,Input!J:J,Input!G:G)&amp;""</f>
        <v/>
      </c>
      <c r="B316" s="32"/>
      <c r="C316" s="32" t="str">
        <f>_xlfn.XLOOKUP(B316,Input!J:J,Input!H:H)&amp;""</f>
        <v/>
      </c>
      <c r="D316" s="42">
        <f>_xlfn.XLOOKUP(B316,Input!J:J,Input!F:F)</f>
        <v>0</v>
      </c>
      <c r="E316" s="32">
        <f>_xlfn.XLOOKUP(D316,Models!H:H,Models!G:G,D316)</f>
        <v>0</v>
      </c>
      <c r="F316" s="32">
        <f>_xlfn.XLOOKUP(B316,Input!J:J,Input!E:E)</f>
        <v>0</v>
      </c>
      <c r="G316" s="32">
        <f>IF(F316="LENOVO",_xlfn.XLOOKUP(B316,Input!J:J,Input!K:K),_xlfn.XLOOKUP(B316,Input!J:J,Input!L:L))</f>
        <v>0</v>
      </c>
      <c r="H316" s="32"/>
      <c r="I316" s="32"/>
      <c r="J316" s="32"/>
      <c r="K316" s="42" t="e">
        <f>INDEX(Input!$D$2:$AC$500,
       MATCH(B316, Input!$J$2:$J$500, 0),
       MATCH("Total Memory", Input!$D$1:$AC$1, 0))</f>
        <v>#N/A</v>
      </c>
      <c r="L316" s="42"/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e">
        <f t="shared" si="14"/>
        <v>#N/A</v>
      </c>
      <c r="O316" s="42" t="e">
        <f>INDEX(Input!$D$2:$AC$500,
       MATCH(B316, Input!$J$2:$J$500, 0),
       MATCH("Disk Interface Type", Input!$D$1:$AC$1, 0))</f>
        <v>#N/A</v>
      </c>
      <c r="P316" s="42" t="str" cm="1">
        <f t="array" ref="P316">IFERROR(_xlfn.TEXTJOIN(", ", TRUE, _xlfn._xlws.FILTER(
    INDEX(Input!$D$2:$AC$500,,MATCH("Disk Capacity",Input!$D$1:$AC$1,0)),
    Input!$J$2:$J$500=B316
)), "")</f>
        <v/>
      </c>
      <c r="Q316" s="32" t="e">
        <f t="shared" si="13"/>
        <v>#N/A</v>
      </c>
      <c r="R316" s="42" t="e">
        <f>_xlfn.LET(_xlpm.Result,INDEX(Input!$D$2:$AC$500,
       MATCH(B316, Input!$J$2:$J$500, 0),
       MATCH("Capacity", Input!$D$1:$AC$1, 0)),IF(_xlpm.Result="","",_xlpm.Result))</f>
        <v>#N/A</v>
      </c>
      <c r="S316" s="42" t="e" cm="1">
        <f t="array" ref="S316">_xlfn.TEXTSPLIT(R316," / ", ,TRUE,0,)</f>
        <v>#N/A</v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/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/>
      <c r="AG316" s="32"/>
      <c r="AH316" s="32"/>
      <c r="AI316" s="32"/>
      <c r="AJ316" s="32"/>
      <c r="AK316" s="32"/>
      <c r="AL316" s="32"/>
      <c r="AM316" s="32"/>
    </row>
    <row r="317" spans="1:39">
      <c r="A317" s="32" t="str">
        <f>_xlfn.XLOOKUP(B317,Input!J:J,Input!G:G)&amp;""</f>
        <v/>
      </c>
      <c r="B317" s="32"/>
      <c r="C317" s="32" t="str">
        <f>_xlfn.XLOOKUP(B317,Input!J:J,Input!H:H)&amp;""</f>
        <v/>
      </c>
      <c r="D317" s="42">
        <f>_xlfn.XLOOKUP(B317,Input!J:J,Input!F:F)</f>
        <v>0</v>
      </c>
      <c r="E317" s="32">
        <f>_xlfn.XLOOKUP(D317,Models!H:H,Models!G:G,D317)</f>
        <v>0</v>
      </c>
      <c r="F317" s="32">
        <f>_xlfn.XLOOKUP(B317,Input!J:J,Input!E:E)</f>
        <v>0</v>
      </c>
      <c r="G317" s="32">
        <f>IF(F317="LENOVO",_xlfn.XLOOKUP(B317,Input!J:J,Input!K:K),_xlfn.XLOOKUP(B317,Input!J:J,Input!L:L))</f>
        <v>0</v>
      </c>
      <c r="H317" s="32"/>
      <c r="I317" s="32"/>
      <c r="J317" s="32"/>
      <c r="K317" s="42" t="e">
        <f>INDEX(Input!$D$2:$AC$500,
       MATCH(B317, Input!$J$2:$J$500, 0),
       MATCH("Total Memory", Input!$D$1:$AC$1, 0))</f>
        <v>#N/A</v>
      </c>
      <c r="L317" s="42"/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e">
        <f t="shared" si="14"/>
        <v>#N/A</v>
      </c>
      <c r="O317" s="42" t="e">
        <f>INDEX(Input!$D$2:$AC$500,
       MATCH(B317, Input!$J$2:$J$500, 0),
       MATCH("Disk Interface Type", Input!$D$1:$AC$1, 0))</f>
        <v>#N/A</v>
      </c>
      <c r="P317" s="42" t="str" cm="1">
        <f t="array" ref="P317">IFERROR(_xlfn.TEXTJOIN(", ", TRUE, _xlfn._xlws.FILTER(
    INDEX(Input!$D$2:$AC$500,,MATCH("Disk Capacity",Input!$D$1:$AC$1,0)),
    Input!$J$2:$J$500=B317
)), "")</f>
        <v/>
      </c>
      <c r="Q317" s="32" t="e">
        <f t="shared" si="13"/>
        <v>#N/A</v>
      </c>
      <c r="R317" s="42" t="e">
        <f>_xlfn.LET(_xlpm.Result,INDEX(Input!$D$2:$AC$500,
       MATCH(B317, Input!$J$2:$J$500, 0),
       MATCH("Capacity", Input!$D$1:$AC$1, 0)),IF(_xlpm.Result="","",_xlpm.Result))</f>
        <v>#N/A</v>
      </c>
      <c r="S317" s="42" t="e" cm="1">
        <f t="array" ref="S317">_xlfn.TEXTSPLIT(R317," / ", ,TRUE,0,)</f>
        <v>#N/A</v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/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/>
      <c r="AG317" s="32"/>
      <c r="AH317" s="32"/>
      <c r="AI317" s="32"/>
      <c r="AJ317" s="32"/>
      <c r="AK317" s="32"/>
      <c r="AL317" s="32"/>
      <c r="AM317" s="32"/>
    </row>
    <row r="318" spans="1:39">
      <c r="A318" s="32" t="str">
        <f>_xlfn.XLOOKUP(B318,Input!J:J,Input!G:G)&amp;""</f>
        <v/>
      </c>
      <c r="B318" s="32"/>
      <c r="C318" s="32" t="str">
        <f>_xlfn.XLOOKUP(B318,Input!J:J,Input!H:H)&amp;""</f>
        <v/>
      </c>
      <c r="D318" s="42">
        <f>_xlfn.XLOOKUP(B318,Input!J:J,Input!F:F)</f>
        <v>0</v>
      </c>
      <c r="E318" s="32">
        <f>_xlfn.XLOOKUP(D318,Models!H:H,Models!G:G,D318)</f>
        <v>0</v>
      </c>
      <c r="F318" s="32">
        <f>_xlfn.XLOOKUP(B318,Input!J:J,Input!E:E)</f>
        <v>0</v>
      </c>
      <c r="G318" s="32">
        <f>IF(F318="LENOVO",_xlfn.XLOOKUP(B318,Input!J:J,Input!K:K),_xlfn.XLOOKUP(B318,Input!J:J,Input!L:L))</f>
        <v>0</v>
      </c>
      <c r="H318" s="32"/>
      <c r="I318" s="32"/>
      <c r="J318" s="32"/>
      <c r="K318" s="42" t="e">
        <f>INDEX(Input!$D$2:$AC$500,
       MATCH(B318, Input!$J$2:$J$500, 0),
       MATCH("Total Memory", Input!$D$1:$AC$1, 0))</f>
        <v>#N/A</v>
      </c>
      <c r="L318" s="42"/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e">
        <f t="shared" si="14"/>
        <v>#N/A</v>
      </c>
      <c r="O318" s="42" t="e">
        <f>INDEX(Input!$D$2:$AC$500,
       MATCH(B318, Input!$J$2:$J$500, 0),
       MATCH("Disk Interface Type", Input!$D$1:$AC$1, 0))</f>
        <v>#N/A</v>
      </c>
      <c r="P318" s="42" t="str" cm="1">
        <f t="array" ref="P318">IFERROR(_xlfn.TEXTJOIN(", ", TRUE, _xlfn._xlws.FILTER(
    INDEX(Input!$D$2:$AC$500,,MATCH("Disk Capacity",Input!$D$1:$AC$1,0)),
    Input!$J$2:$J$500=B318
)), "")</f>
        <v/>
      </c>
      <c r="Q318" s="32" t="e">
        <f t="shared" si="13"/>
        <v>#N/A</v>
      </c>
      <c r="R318" s="42" t="e">
        <f>_xlfn.LET(_xlpm.Result,INDEX(Input!$D$2:$AC$500,
       MATCH(B318, Input!$J$2:$J$500, 0),
       MATCH("Capacity", Input!$D$1:$AC$1, 0)),IF(_xlpm.Result="","",_xlpm.Result))</f>
        <v>#N/A</v>
      </c>
      <c r="S318" s="42" t="e" cm="1">
        <f t="array" ref="S318">_xlfn.TEXTSPLIT(R318," / ", ,TRUE,0,)</f>
        <v>#N/A</v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/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/>
      <c r="AG318" s="32"/>
      <c r="AH318" s="32"/>
      <c r="AI318" s="32"/>
      <c r="AJ318" s="32"/>
      <c r="AK318" s="32"/>
      <c r="AL318" s="32"/>
      <c r="AM318" s="32"/>
    </row>
    <row r="319" spans="1:39">
      <c r="A319" s="32" t="str">
        <f>_xlfn.XLOOKUP(B319,Input!J:J,Input!G:G)&amp;""</f>
        <v/>
      </c>
      <c r="B319" s="32"/>
      <c r="C319" s="32" t="str">
        <f>_xlfn.XLOOKUP(B319,Input!J:J,Input!H:H)&amp;""</f>
        <v/>
      </c>
      <c r="D319" s="42">
        <f>_xlfn.XLOOKUP(B319,Input!J:J,Input!F:F)</f>
        <v>0</v>
      </c>
      <c r="E319" s="32">
        <f>_xlfn.XLOOKUP(D319,Models!H:H,Models!G:G,D319)</f>
        <v>0</v>
      </c>
      <c r="F319" s="32">
        <f>_xlfn.XLOOKUP(B319,Input!J:J,Input!E:E)</f>
        <v>0</v>
      </c>
      <c r="G319" s="32">
        <f>IF(F319="LENOVO",_xlfn.XLOOKUP(B319,Input!J:J,Input!K:K),_xlfn.XLOOKUP(B319,Input!J:J,Input!L:L))</f>
        <v>0</v>
      </c>
      <c r="H319" s="32"/>
      <c r="I319" s="32"/>
      <c r="J319" s="32"/>
      <c r="K319" s="42" t="e">
        <f>INDEX(Input!$D$2:$AC$500,
       MATCH(B319, Input!$J$2:$J$500, 0),
       MATCH("Total Memory", Input!$D$1:$AC$1, 0))</f>
        <v>#N/A</v>
      </c>
      <c r="L319" s="42"/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e">
        <f t="shared" si="14"/>
        <v>#N/A</v>
      </c>
      <c r="O319" s="42" t="e">
        <f>INDEX(Input!$D$2:$AC$500,
       MATCH(B319, Input!$J$2:$J$500, 0),
       MATCH("Disk Interface Type", Input!$D$1:$AC$1, 0))</f>
        <v>#N/A</v>
      </c>
      <c r="P319" s="42" t="str" cm="1">
        <f t="array" ref="P319">IFERROR(_xlfn.TEXTJOIN(", ", TRUE, _xlfn._xlws.FILTER(
    INDEX(Input!$D$2:$AC$500,,MATCH("Disk Capacity",Input!$D$1:$AC$1,0)),
    Input!$J$2:$J$500=B319
)), "")</f>
        <v/>
      </c>
      <c r="Q319" s="32" t="e">
        <f t="shared" si="13"/>
        <v>#N/A</v>
      </c>
      <c r="R319" s="42" t="e">
        <f>_xlfn.LET(_xlpm.Result,INDEX(Input!$D$2:$AC$500,
       MATCH(B319, Input!$J$2:$J$500, 0),
       MATCH("Capacity", Input!$D$1:$AC$1, 0)),IF(_xlpm.Result="","",_xlpm.Result))</f>
        <v>#N/A</v>
      </c>
      <c r="S319" s="42" t="e" cm="1">
        <f t="array" ref="S319">_xlfn.TEXTSPLIT(R319," / ", ,TRUE,0,)</f>
        <v>#N/A</v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/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/>
      <c r="AG319" s="32"/>
      <c r="AH319" s="32"/>
      <c r="AI319" s="32"/>
      <c r="AJ319" s="32"/>
      <c r="AK319" s="32"/>
      <c r="AL319" s="32"/>
      <c r="AM319" s="32"/>
    </row>
    <row r="320" spans="1:39">
      <c r="A320" s="32" t="str">
        <f>_xlfn.XLOOKUP(B320,Input!J:J,Input!G:G)&amp;""</f>
        <v/>
      </c>
      <c r="B320" s="32"/>
      <c r="C320" s="32" t="str">
        <f>_xlfn.XLOOKUP(B320,Input!J:J,Input!H:H)&amp;""</f>
        <v/>
      </c>
      <c r="D320" s="42">
        <f>_xlfn.XLOOKUP(B320,Input!J:J,Input!F:F)</f>
        <v>0</v>
      </c>
      <c r="E320" s="32">
        <f>_xlfn.XLOOKUP(D320,Models!H:H,Models!G:G,D320)</f>
        <v>0</v>
      </c>
      <c r="F320" s="32">
        <f>_xlfn.XLOOKUP(B320,Input!J:J,Input!E:E)</f>
        <v>0</v>
      </c>
      <c r="G320" s="32">
        <f>IF(F320="LENOVO",_xlfn.XLOOKUP(B320,Input!J:J,Input!K:K),_xlfn.XLOOKUP(B320,Input!J:J,Input!L:L))</f>
        <v>0</v>
      </c>
      <c r="H320" s="32"/>
      <c r="I320" s="32"/>
      <c r="J320" s="32"/>
      <c r="K320" s="42" t="e">
        <f>INDEX(Input!$D$2:$AC$500,
       MATCH(B320, Input!$J$2:$J$500, 0),
       MATCH("Total Memory", Input!$D$1:$AC$1, 0))</f>
        <v>#N/A</v>
      </c>
      <c r="L320" s="42"/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e">
        <f t="shared" si="14"/>
        <v>#N/A</v>
      </c>
      <c r="O320" s="42" t="e">
        <f>INDEX(Input!$D$2:$AC$500,
       MATCH(B320, Input!$J$2:$J$500, 0),
       MATCH("Disk Interface Type", Input!$D$1:$AC$1, 0))</f>
        <v>#N/A</v>
      </c>
      <c r="P320" s="42" t="str" cm="1">
        <f t="array" ref="P320">IFERROR(_xlfn.TEXTJOIN(", ", TRUE, _xlfn._xlws.FILTER(
    INDEX(Input!$D$2:$AC$500,,MATCH("Disk Capacity",Input!$D$1:$AC$1,0)),
    Input!$J$2:$J$500=B320
)), "")</f>
        <v/>
      </c>
      <c r="Q320" s="32" t="e">
        <f t="shared" si="13"/>
        <v>#N/A</v>
      </c>
      <c r="R320" s="42" t="e">
        <f>_xlfn.LET(_xlpm.Result,INDEX(Input!$D$2:$AC$500,
       MATCH(B320, Input!$J$2:$J$500, 0),
       MATCH("Capacity", Input!$D$1:$AC$1, 0)),IF(_xlpm.Result="","",_xlpm.Result))</f>
        <v>#N/A</v>
      </c>
      <c r="S320" s="42" t="e" cm="1">
        <f t="array" ref="S320">_xlfn.TEXTSPLIT(R320," / ", ,TRUE,0,)</f>
        <v>#N/A</v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/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/>
      <c r="AG320" s="32"/>
      <c r="AH320" s="32"/>
      <c r="AI320" s="32"/>
      <c r="AJ320" s="32"/>
      <c r="AK320" s="32"/>
      <c r="AL320" s="32"/>
      <c r="AM320" s="32"/>
    </row>
    <row r="321" spans="1:39">
      <c r="A321" s="32" t="str">
        <f>_xlfn.XLOOKUP(B321,Input!J:J,Input!G:G)&amp;""</f>
        <v/>
      </c>
      <c r="B321" s="32"/>
      <c r="C321" s="32" t="str">
        <f>_xlfn.XLOOKUP(B321,Input!J:J,Input!H:H)&amp;""</f>
        <v/>
      </c>
      <c r="D321" s="42">
        <f>_xlfn.XLOOKUP(B321,Input!J:J,Input!F:F)</f>
        <v>0</v>
      </c>
      <c r="E321" s="32">
        <f>_xlfn.XLOOKUP(D321,Models!H:H,Models!G:G,D321)</f>
        <v>0</v>
      </c>
      <c r="F321" s="32">
        <f>_xlfn.XLOOKUP(B321,Input!J:J,Input!E:E)</f>
        <v>0</v>
      </c>
      <c r="G321" s="32">
        <f>IF(F321="LENOVO",_xlfn.XLOOKUP(B321,Input!J:J,Input!K:K),_xlfn.XLOOKUP(B321,Input!J:J,Input!L:L))</f>
        <v>0</v>
      </c>
      <c r="H321" s="32"/>
      <c r="I321" s="32"/>
      <c r="J321" s="32"/>
      <c r="K321" s="42" t="e">
        <f>INDEX(Input!$D$2:$AC$500,
       MATCH(B321, Input!$J$2:$J$500, 0),
       MATCH("Total Memory", Input!$D$1:$AC$1, 0))</f>
        <v>#N/A</v>
      </c>
      <c r="L321" s="42"/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e">
        <f t="shared" si="14"/>
        <v>#N/A</v>
      </c>
      <c r="O321" s="42" t="e">
        <f>INDEX(Input!$D$2:$AC$500,
       MATCH(B321, Input!$J$2:$J$500, 0),
       MATCH("Disk Interface Type", Input!$D$1:$AC$1, 0))</f>
        <v>#N/A</v>
      </c>
      <c r="P321" s="42" t="str" cm="1">
        <f t="array" ref="P321">IFERROR(_xlfn.TEXTJOIN(", ", TRUE, _xlfn._xlws.FILTER(
    INDEX(Input!$D$2:$AC$500,,MATCH("Disk Capacity",Input!$D$1:$AC$1,0)),
    Input!$J$2:$J$500=B321
)), "")</f>
        <v/>
      </c>
      <c r="Q321" s="32" t="e">
        <f t="shared" si="13"/>
        <v>#N/A</v>
      </c>
      <c r="R321" s="42" t="e">
        <f>_xlfn.LET(_xlpm.Result,INDEX(Input!$D$2:$AC$500,
       MATCH(B321, Input!$J$2:$J$500, 0),
       MATCH("Capacity", Input!$D$1:$AC$1, 0)),IF(_xlpm.Result="","",_xlpm.Result))</f>
        <v>#N/A</v>
      </c>
      <c r="S321" s="42" t="e" cm="1">
        <f t="array" ref="S321">_xlfn.TEXTSPLIT(R321," / ", ,TRUE,0,)</f>
        <v>#N/A</v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/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/>
      <c r="AG321" s="32"/>
      <c r="AH321" s="32"/>
      <c r="AI321" s="32"/>
      <c r="AJ321" s="32"/>
      <c r="AK321" s="32"/>
      <c r="AL321" s="32"/>
      <c r="AM321" s="32"/>
    </row>
    <row r="322" spans="1:39">
      <c r="A322" s="32" t="str">
        <f>_xlfn.XLOOKUP(B322,Input!J:J,Input!G:G)&amp;""</f>
        <v/>
      </c>
      <c r="B322" s="32"/>
      <c r="C322" s="32" t="str">
        <f>_xlfn.XLOOKUP(B322,Input!J:J,Input!H:H)&amp;""</f>
        <v/>
      </c>
      <c r="D322" s="42">
        <f>_xlfn.XLOOKUP(B322,Input!J:J,Input!F:F)</f>
        <v>0</v>
      </c>
      <c r="E322" s="32">
        <f>_xlfn.XLOOKUP(D322,Models!H:H,Models!G:G,D322)</f>
        <v>0</v>
      </c>
      <c r="F322" s="32">
        <f>_xlfn.XLOOKUP(B322,Input!J:J,Input!E:E)</f>
        <v>0</v>
      </c>
      <c r="G322" s="32">
        <f>IF(F322="LENOVO",_xlfn.XLOOKUP(B322,Input!J:J,Input!K:K),_xlfn.XLOOKUP(B322,Input!J:J,Input!L:L))</f>
        <v>0</v>
      </c>
      <c r="H322" s="32"/>
      <c r="I322" s="32"/>
      <c r="J322" s="32"/>
      <c r="K322" s="42" t="e">
        <f>INDEX(Input!$D$2:$AC$500,
       MATCH(B322, Input!$J$2:$J$500, 0),
       MATCH("Total Memory", Input!$D$1:$AC$1, 0))</f>
        <v>#N/A</v>
      </c>
      <c r="L322" s="42"/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e">
        <f t="shared" si="14"/>
        <v>#N/A</v>
      </c>
      <c r="O322" s="42" t="e">
        <f>INDEX(Input!$D$2:$AC$500,
       MATCH(B322, Input!$J$2:$J$500, 0),
       MATCH("Disk Interface Type", Input!$D$1:$AC$1, 0))</f>
        <v>#N/A</v>
      </c>
      <c r="P322" s="42" t="str" cm="1">
        <f t="array" ref="P322">IFERROR(_xlfn.TEXTJOIN(", ", TRUE, _xlfn._xlws.FILTER(
    INDEX(Input!$D$2:$AC$500,,MATCH("Disk Capacity",Input!$D$1:$AC$1,0)),
    Input!$J$2:$J$500=B322
)), "")</f>
        <v/>
      </c>
      <c r="Q322" s="32" t="e">
        <f t="shared" si="13"/>
        <v>#N/A</v>
      </c>
      <c r="R322" s="42" t="e">
        <f>_xlfn.LET(_xlpm.Result,INDEX(Input!$D$2:$AC$500,
       MATCH(B322, Input!$J$2:$J$500, 0),
       MATCH("Capacity", Input!$D$1:$AC$1, 0)),IF(_xlpm.Result="","",_xlpm.Result))</f>
        <v>#N/A</v>
      </c>
      <c r="S322" s="42" t="e" cm="1">
        <f t="array" ref="S322">_xlfn.TEXTSPLIT(R322," / ", ,TRUE,0,)</f>
        <v>#N/A</v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/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/>
      <c r="AG322" s="32"/>
      <c r="AH322" s="32"/>
      <c r="AI322" s="32"/>
      <c r="AJ322" s="32"/>
      <c r="AK322" s="32"/>
      <c r="AL322" s="32"/>
      <c r="AM322" s="32"/>
    </row>
    <row r="323" spans="1:39">
      <c r="A323" s="32" t="str">
        <f>_xlfn.XLOOKUP(B323,Input!J:J,Input!G:G)&amp;""</f>
        <v/>
      </c>
      <c r="B323" s="32"/>
      <c r="C323" s="32" t="str">
        <f>_xlfn.XLOOKUP(B323,Input!J:J,Input!H:H)&amp;""</f>
        <v/>
      </c>
      <c r="D323" s="42">
        <f>_xlfn.XLOOKUP(B323,Input!J:J,Input!F:F)</f>
        <v>0</v>
      </c>
      <c r="E323" s="32">
        <f>_xlfn.XLOOKUP(D323,Models!H:H,Models!G:G,D323)</f>
        <v>0</v>
      </c>
      <c r="F323" s="32">
        <f>_xlfn.XLOOKUP(B323,Input!J:J,Input!E:E)</f>
        <v>0</v>
      </c>
      <c r="G323" s="32">
        <f>IF(F323="LENOVO",_xlfn.XLOOKUP(B323,Input!J:J,Input!K:K),_xlfn.XLOOKUP(B323,Input!J:J,Input!L:L))</f>
        <v>0</v>
      </c>
      <c r="H323" s="32"/>
      <c r="I323" s="32"/>
      <c r="J323" s="32"/>
      <c r="K323" s="42" t="e">
        <f>INDEX(Input!$D$2:$AC$500,
       MATCH(B323, Input!$J$2:$J$500, 0),
       MATCH("Total Memory", Input!$D$1:$AC$1, 0))</f>
        <v>#N/A</v>
      </c>
      <c r="L323" s="42"/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e">
        <f t="shared" si="14"/>
        <v>#N/A</v>
      </c>
      <c r="O323" s="42" t="e">
        <f>INDEX(Input!$D$2:$AC$500,
       MATCH(B323, Input!$J$2:$J$500, 0),
       MATCH("Disk Interface Type", Input!$D$1:$AC$1, 0))</f>
        <v>#N/A</v>
      </c>
      <c r="P323" s="42" t="str" cm="1">
        <f t="array" ref="P323">IFERROR(_xlfn.TEXTJOIN(", ", TRUE, _xlfn._xlws.FILTER(
    INDEX(Input!$D$2:$AC$500,,MATCH("Disk Capacity",Input!$D$1:$AC$1,0)),
    Input!$J$2:$J$500=B323
)), "")</f>
        <v/>
      </c>
      <c r="Q323" s="32" t="e">
        <f t="shared" ref="Q323:Q386" si="16">_xlfn.TEXTJOIN(" ",TRUE,P323,O323)</f>
        <v>#N/A</v>
      </c>
      <c r="R323" s="42" t="e">
        <f>_xlfn.LET(_xlpm.Result,INDEX(Input!$D$2:$AC$500,
       MATCH(B323, Input!$J$2:$J$500, 0),
       MATCH("Capacity", Input!$D$1:$AC$1, 0)),IF(_xlpm.Result="","",_xlpm.Result))</f>
        <v>#N/A</v>
      </c>
      <c r="S323" s="42" t="e" cm="1">
        <f t="array" ref="S323">_xlfn.TEXTSPLIT(R323," / ", ,TRUE,0,)</f>
        <v>#N/A</v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/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/>
      <c r="AG323" s="32"/>
      <c r="AH323" s="32"/>
      <c r="AI323" s="32"/>
      <c r="AJ323" s="32"/>
      <c r="AK323" s="32"/>
      <c r="AL323" s="32"/>
      <c r="AM323" s="32"/>
    </row>
    <row r="324" spans="1:39">
      <c r="A324" s="32" t="str">
        <f>_xlfn.XLOOKUP(B324,Input!J:J,Input!G:G)&amp;""</f>
        <v/>
      </c>
      <c r="B324" s="32"/>
      <c r="C324" s="32" t="str">
        <f>_xlfn.XLOOKUP(B324,Input!J:J,Input!H:H)&amp;""</f>
        <v/>
      </c>
      <c r="D324" s="42">
        <f>_xlfn.XLOOKUP(B324,Input!J:J,Input!F:F)</f>
        <v>0</v>
      </c>
      <c r="E324" s="32">
        <f>_xlfn.XLOOKUP(D324,Models!H:H,Models!G:G,D324)</f>
        <v>0</v>
      </c>
      <c r="F324" s="32">
        <f>_xlfn.XLOOKUP(B324,Input!J:J,Input!E:E)</f>
        <v>0</v>
      </c>
      <c r="G324" s="32">
        <f>IF(F324="LENOVO",_xlfn.XLOOKUP(B324,Input!J:J,Input!K:K),_xlfn.XLOOKUP(B324,Input!J:J,Input!L:L))</f>
        <v>0</v>
      </c>
      <c r="H324" s="32"/>
      <c r="I324" s="32"/>
      <c r="J324" s="32"/>
      <c r="K324" s="42" t="e">
        <f>INDEX(Input!$D$2:$AC$500,
       MATCH(B324, Input!$J$2:$J$500, 0),
       MATCH("Total Memory", Input!$D$1:$AC$1, 0))</f>
        <v>#N/A</v>
      </c>
      <c r="L324" s="42"/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e">
        <f t="shared" ref="N324:N387" si="17">_xlfn.TEXTJOIN(" ",TRUE,SUBSTITUTE(K324,"i",""),M324)</f>
        <v>#N/A</v>
      </c>
      <c r="O324" s="42" t="e">
        <f>INDEX(Input!$D$2:$AC$500,
       MATCH(B324, Input!$J$2:$J$500, 0),
       MATCH("Disk Interface Type", Input!$D$1:$AC$1, 0))</f>
        <v>#N/A</v>
      </c>
      <c r="P324" s="42" t="str" cm="1">
        <f t="array" ref="P324">IFERROR(_xlfn.TEXTJOIN(", ", TRUE, _xlfn._xlws.FILTER(
    INDEX(Input!$D$2:$AC$500,,MATCH("Disk Capacity",Input!$D$1:$AC$1,0)),
    Input!$J$2:$J$500=B324
)), "")</f>
        <v/>
      </c>
      <c r="Q324" s="32" t="e">
        <f t="shared" si="16"/>
        <v>#N/A</v>
      </c>
      <c r="R324" s="42" t="e">
        <f>_xlfn.LET(_xlpm.Result,INDEX(Input!$D$2:$AC$500,
       MATCH(B324, Input!$J$2:$J$500, 0),
       MATCH("Capacity", Input!$D$1:$AC$1, 0)),IF(_xlpm.Result="","",_xlpm.Result))</f>
        <v>#N/A</v>
      </c>
      <c r="S324" s="42" t="e" cm="1">
        <f t="array" ref="S324">_xlfn.TEXTSPLIT(R324," / ", ,TRUE,0,)</f>
        <v>#N/A</v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/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/>
      <c r="AG324" s="32"/>
      <c r="AH324" s="32"/>
      <c r="AI324" s="32"/>
      <c r="AJ324" s="32"/>
      <c r="AK324" s="32"/>
      <c r="AL324" s="32"/>
      <c r="AM324" s="32"/>
    </row>
    <row r="325" spans="1:39">
      <c r="A325" s="32" t="str">
        <f>_xlfn.XLOOKUP(B325,Input!J:J,Input!G:G)&amp;""</f>
        <v/>
      </c>
      <c r="B325" s="32"/>
      <c r="C325" s="32" t="str">
        <f>_xlfn.XLOOKUP(B325,Input!J:J,Input!H:H)&amp;""</f>
        <v/>
      </c>
      <c r="D325" s="42">
        <f>_xlfn.XLOOKUP(B325,Input!J:J,Input!F:F)</f>
        <v>0</v>
      </c>
      <c r="E325" s="32">
        <f>_xlfn.XLOOKUP(D325,Models!H:H,Models!G:G,D325)</f>
        <v>0</v>
      </c>
      <c r="F325" s="32">
        <f>_xlfn.XLOOKUP(B325,Input!J:J,Input!E:E)</f>
        <v>0</v>
      </c>
      <c r="G325" s="32">
        <f>IF(F325="LENOVO",_xlfn.XLOOKUP(B325,Input!J:J,Input!K:K),_xlfn.XLOOKUP(B325,Input!J:J,Input!L:L))</f>
        <v>0</v>
      </c>
      <c r="H325" s="32"/>
      <c r="I325" s="32"/>
      <c r="J325" s="32"/>
      <c r="K325" s="42" t="e">
        <f>INDEX(Input!$D$2:$AC$500,
       MATCH(B325, Input!$J$2:$J$500, 0),
       MATCH("Total Memory", Input!$D$1:$AC$1, 0))</f>
        <v>#N/A</v>
      </c>
      <c r="L325" s="42"/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e">
        <f t="shared" si="17"/>
        <v>#N/A</v>
      </c>
      <c r="O325" s="42" t="e">
        <f>INDEX(Input!$D$2:$AC$500,
       MATCH(B325, Input!$J$2:$J$500, 0),
       MATCH("Disk Interface Type", Input!$D$1:$AC$1, 0))</f>
        <v>#N/A</v>
      </c>
      <c r="P325" s="42" t="str" cm="1">
        <f t="array" ref="P325">IFERROR(_xlfn.TEXTJOIN(", ", TRUE, _xlfn._xlws.FILTER(
    INDEX(Input!$D$2:$AC$500,,MATCH("Disk Capacity",Input!$D$1:$AC$1,0)),
    Input!$J$2:$J$500=B325
)), "")</f>
        <v/>
      </c>
      <c r="Q325" s="32" t="e">
        <f t="shared" si="16"/>
        <v>#N/A</v>
      </c>
      <c r="R325" s="42" t="e">
        <f>_xlfn.LET(_xlpm.Result,INDEX(Input!$D$2:$AC$500,
       MATCH(B325, Input!$J$2:$J$500, 0),
       MATCH("Capacity", Input!$D$1:$AC$1, 0)),IF(_xlpm.Result="","",_xlpm.Result))</f>
        <v>#N/A</v>
      </c>
      <c r="S325" s="42" t="e" cm="1">
        <f t="array" ref="S325">_xlfn.TEXTSPLIT(R325," / ", ,TRUE,0,)</f>
        <v>#N/A</v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/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/>
      <c r="AG325" s="32"/>
      <c r="AH325" s="32"/>
      <c r="AI325" s="32"/>
      <c r="AJ325" s="32"/>
      <c r="AK325" s="32"/>
      <c r="AL325" s="32"/>
      <c r="AM325" s="32"/>
    </row>
    <row r="326" spans="1:39">
      <c r="A326" s="32" t="str">
        <f>_xlfn.XLOOKUP(B326,Input!J:J,Input!G:G)&amp;""</f>
        <v/>
      </c>
      <c r="B326" s="32"/>
      <c r="C326" s="32" t="str">
        <f>_xlfn.XLOOKUP(B326,Input!J:J,Input!H:H)&amp;""</f>
        <v/>
      </c>
      <c r="D326" s="42">
        <f>_xlfn.XLOOKUP(B326,Input!J:J,Input!F:F)</f>
        <v>0</v>
      </c>
      <c r="E326" s="32">
        <f>_xlfn.XLOOKUP(D326,Models!H:H,Models!G:G,D326)</f>
        <v>0</v>
      </c>
      <c r="F326" s="32">
        <f>_xlfn.XLOOKUP(B326,Input!J:J,Input!E:E)</f>
        <v>0</v>
      </c>
      <c r="G326" s="32">
        <f>IF(F326="LENOVO",_xlfn.XLOOKUP(B326,Input!J:J,Input!K:K),_xlfn.XLOOKUP(B326,Input!J:J,Input!L:L))</f>
        <v>0</v>
      </c>
      <c r="H326" s="32"/>
      <c r="I326" s="32"/>
      <c r="J326" s="32"/>
      <c r="K326" s="42" t="e">
        <f>INDEX(Input!$D$2:$AC$500,
       MATCH(B326, Input!$J$2:$J$500, 0),
       MATCH("Total Memory", Input!$D$1:$AC$1, 0))</f>
        <v>#N/A</v>
      </c>
      <c r="L326" s="42"/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e">
        <f t="shared" si="17"/>
        <v>#N/A</v>
      </c>
      <c r="O326" s="42" t="e">
        <f>INDEX(Input!$D$2:$AC$500,
       MATCH(B326, Input!$J$2:$J$500, 0),
       MATCH("Disk Interface Type", Input!$D$1:$AC$1, 0))</f>
        <v>#N/A</v>
      </c>
      <c r="P326" s="42" t="str" cm="1">
        <f t="array" ref="P326">IFERROR(_xlfn.TEXTJOIN(", ", TRUE, _xlfn._xlws.FILTER(
    INDEX(Input!$D$2:$AC$500,,MATCH("Disk Capacity",Input!$D$1:$AC$1,0)),
    Input!$J$2:$J$500=B326
)), "")</f>
        <v/>
      </c>
      <c r="Q326" s="32" t="e">
        <f t="shared" si="16"/>
        <v>#N/A</v>
      </c>
      <c r="R326" s="42" t="e">
        <f>_xlfn.LET(_xlpm.Result,INDEX(Input!$D$2:$AC$500,
       MATCH(B326, Input!$J$2:$J$500, 0),
       MATCH("Capacity", Input!$D$1:$AC$1, 0)),IF(_xlpm.Result="","",_xlpm.Result))</f>
        <v>#N/A</v>
      </c>
      <c r="S326" s="42" t="e" cm="1">
        <f t="array" ref="S326">_xlfn.TEXTSPLIT(R326," / ", ,TRUE,0,)</f>
        <v>#N/A</v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/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/>
      <c r="AG326" s="32"/>
      <c r="AH326" s="32"/>
      <c r="AI326" s="32"/>
      <c r="AJ326" s="32"/>
      <c r="AK326" s="32"/>
      <c r="AL326" s="32"/>
      <c r="AM326" s="32"/>
    </row>
    <row r="327" spans="1:39">
      <c r="A327" s="32" t="str">
        <f>_xlfn.XLOOKUP(B327,Input!J:J,Input!G:G)&amp;""</f>
        <v/>
      </c>
      <c r="B327" s="32"/>
      <c r="C327" s="32" t="str">
        <f>_xlfn.XLOOKUP(B327,Input!J:J,Input!H:H)&amp;""</f>
        <v/>
      </c>
      <c r="D327" s="42">
        <f>_xlfn.XLOOKUP(B327,Input!J:J,Input!F:F)</f>
        <v>0</v>
      </c>
      <c r="E327" s="32">
        <f>_xlfn.XLOOKUP(D327,Models!H:H,Models!G:G,D327)</f>
        <v>0</v>
      </c>
      <c r="F327" s="32">
        <f>_xlfn.XLOOKUP(B327,Input!J:J,Input!E:E)</f>
        <v>0</v>
      </c>
      <c r="G327" s="32">
        <f>IF(F327="LENOVO",_xlfn.XLOOKUP(B327,Input!J:J,Input!K:K),_xlfn.XLOOKUP(B327,Input!J:J,Input!L:L))</f>
        <v>0</v>
      </c>
      <c r="H327" s="32"/>
      <c r="I327" s="32"/>
      <c r="J327" s="32"/>
      <c r="K327" s="42" t="e">
        <f>INDEX(Input!$D$2:$AC$500,
       MATCH(B327, Input!$J$2:$J$500, 0),
       MATCH("Total Memory", Input!$D$1:$AC$1, 0))</f>
        <v>#N/A</v>
      </c>
      <c r="L327" s="42"/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e">
        <f t="shared" si="17"/>
        <v>#N/A</v>
      </c>
      <c r="O327" s="42" t="e">
        <f>INDEX(Input!$D$2:$AC$500,
       MATCH(B327, Input!$J$2:$J$500, 0),
       MATCH("Disk Interface Type", Input!$D$1:$AC$1, 0))</f>
        <v>#N/A</v>
      </c>
      <c r="P327" s="42" t="str" cm="1">
        <f t="array" ref="P327">IFERROR(_xlfn.TEXTJOIN(", ", TRUE, _xlfn._xlws.FILTER(
    INDEX(Input!$D$2:$AC$500,,MATCH("Disk Capacity",Input!$D$1:$AC$1,0)),
    Input!$J$2:$J$500=B327
)), "")</f>
        <v/>
      </c>
      <c r="Q327" s="32" t="e">
        <f t="shared" si="16"/>
        <v>#N/A</v>
      </c>
      <c r="R327" s="42" t="e">
        <f>_xlfn.LET(_xlpm.Result,INDEX(Input!$D$2:$AC$500,
       MATCH(B327, Input!$J$2:$J$500, 0),
       MATCH("Capacity", Input!$D$1:$AC$1, 0)),IF(_xlpm.Result="","",_xlpm.Result))</f>
        <v>#N/A</v>
      </c>
      <c r="S327" s="42" t="e" cm="1">
        <f t="array" ref="S327">_xlfn.TEXTSPLIT(R327," / ", ,TRUE,0,)</f>
        <v>#N/A</v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/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/>
      <c r="AG327" s="32"/>
      <c r="AH327" s="32"/>
      <c r="AI327" s="32"/>
      <c r="AJ327" s="32"/>
      <c r="AK327" s="32"/>
      <c r="AL327" s="32"/>
      <c r="AM327" s="32"/>
    </row>
    <row r="328" spans="1:39">
      <c r="A328" s="32" t="str">
        <f>_xlfn.XLOOKUP(B328,Input!J:J,Input!G:G)&amp;""</f>
        <v/>
      </c>
      <c r="B328" s="32"/>
      <c r="C328" s="32" t="str">
        <f>_xlfn.XLOOKUP(B328,Input!J:J,Input!H:H)&amp;""</f>
        <v/>
      </c>
      <c r="D328" s="42">
        <f>_xlfn.XLOOKUP(B328,Input!J:J,Input!F:F)</f>
        <v>0</v>
      </c>
      <c r="E328" s="32">
        <f>_xlfn.XLOOKUP(D328,Models!H:H,Models!G:G,D328)</f>
        <v>0</v>
      </c>
      <c r="F328" s="32">
        <f>_xlfn.XLOOKUP(B328,Input!J:J,Input!E:E)</f>
        <v>0</v>
      </c>
      <c r="G328" s="32">
        <f>IF(F328="LENOVO",_xlfn.XLOOKUP(B328,Input!J:J,Input!K:K),_xlfn.XLOOKUP(B328,Input!J:J,Input!L:L))</f>
        <v>0</v>
      </c>
      <c r="H328" s="32"/>
      <c r="I328" s="32"/>
      <c r="J328" s="32"/>
      <c r="K328" s="42" t="e">
        <f>INDEX(Input!$D$2:$AC$500,
       MATCH(B328, Input!$J$2:$J$500, 0),
       MATCH("Total Memory", Input!$D$1:$AC$1, 0))</f>
        <v>#N/A</v>
      </c>
      <c r="L328" s="42"/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e">
        <f t="shared" si="17"/>
        <v>#N/A</v>
      </c>
      <c r="O328" s="42" t="e">
        <f>INDEX(Input!$D$2:$AC$500,
       MATCH(B328, Input!$J$2:$J$500, 0),
       MATCH("Disk Interface Type", Input!$D$1:$AC$1, 0))</f>
        <v>#N/A</v>
      </c>
      <c r="P328" s="42" t="str" cm="1">
        <f t="array" ref="P328">IFERROR(_xlfn.TEXTJOIN(", ", TRUE, _xlfn._xlws.FILTER(
    INDEX(Input!$D$2:$AC$500,,MATCH("Disk Capacity",Input!$D$1:$AC$1,0)),
    Input!$J$2:$J$500=B328
)), "")</f>
        <v/>
      </c>
      <c r="Q328" s="32" t="e">
        <f t="shared" si="16"/>
        <v>#N/A</v>
      </c>
      <c r="R328" s="42" t="e">
        <f>_xlfn.LET(_xlpm.Result,INDEX(Input!$D$2:$AC$500,
       MATCH(B328, Input!$J$2:$J$500, 0),
       MATCH("Capacity", Input!$D$1:$AC$1, 0)),IF(_xlpm.Result="","",_xlpm.Result))</f>
        <v>#N/A</v>
      </c>
      <c r="S328" s="42" t="e" cm="1">
        <f t="array" ref="S328">_xlfn.TEXTSPLIT(R328," / ", ,TRUE,0,)</f>
        <v>#N/A</v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/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/>
      <c r="AG328" s="32"/>
      <c r="AH328" s="32"/>
      <c r="AI328" s="32"/>
      <c r="AJ328" s="32"/>
      <c r="AK328" s="32"/>
      <c r="AL328" s="32"/>
      <c r="AM328" s="32"/>
    </row>
    <row r="329" spans="1:39">
      <c r="A329" s="32" t="str">
        <f>_xlfn.XLOOKUP(B329,Input!J:J,Input!G:G)&amp;""</f>
        <v/>
      </c>
      <c r="B329" s="32"/>
      <c r="C329" s="32" t="str">
        <f>_xlfn.XLOOKUP(B329,Input!J:J,Input!H:H)&amp;""</f>
        <v/>
      </c>
      <c r="D329" s="42">
        <f>_xlfn.XLOOKUP(B329,Input!J:J,Input!F:F)</f>
        <v>0</v>
      </c>
      <c r="E329" s="32">
        <f>_xlfn.XLOOKUP(D329,Models!H:H,Models!G:G,D329)</f>
        <v>0</v>
      </c>
      <c r="F329" s="32">
        <f>_xlfn.XLOOKUP(B329,Input!J:J,Input!E:E)</f>
        <v>0</v>
      </c>
      <c r="G329" s="32">
        <f>IF(F329="LENOVO",_xlfn.XLOOKUP(B329,Input!J:J,Input!K:K),_xlfn.XLOOKUP(B329,Input!J:J,Input!L:L))</f>
        <v>0</v>
      </c>
      <c r="H329" s="32"/>
      <c r="I329" s="32"/>
      <c r="J329" s="32"/>
      <c r="K329" s="42" t="e">
        <f>INDEX(Input!$D$2:$AC$500,
       MATCH(B329, Input!$J$2:$J$500, 0),
       MATCH("Total Memory", Input!$D$1:$AC$1, 0))</f>
        <v>#N/A</v>
      </c>
      <c r="L329" s="42"/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e">
        <f t="shared" si="17"/>
        <v>#N/A</v>
      </c>
      <c r="O329" s="42" t="e">
        <f>INDEX(Input!$D$2:$AC$500,
       MATCH(B329, Input!$J$2:$J$500, 0),
       MATCH("Disk Interface Type", Input!$D$1:$AC$1, 0))</f>
        <v>#N/A</v>
      </c>
      <c r="P329" s="42" t="str" cm="1">
        <f t="array" ref="P329">IFERROR(_xlfn.TEXTJOIN(", ", TRUE, _xlfn._xlws.FILTER(
    INDEX(Input!$D$2:$AC$500,,MATCH("Disk Capacity",Input!$D$1:$AC$1,0)),
    Input!$J$2:$J$500=B329
)), "")</f>
        <v/>
      </c>
      <c r="Q329" s="32" t="e">
        <f t="shared" si="16"/>
        <v>#N/A</v>
      </c>
      <c r="R329" s="42" t="e">
        <f>_xlfn.LET(_xlpm.Result,INDEX(Input!$D$2:$AC$500,
       MATCH(B329, Input!$J$2:$J$500, 0),
       MATCH("Capacity", Input!$D$1:$AC$1, 0)),IF(_xlpm.Result="","",_xlpm.Result))</f>
        <v>#N/A</v>
      </c>
      <c r="S329" s="42" t="e" cm="1">
        <f t="array" ref="S329">_xlfn.TEXTSPLIT(R329," / ", ,TRUE,0,)</f>
        <v>#N/A</v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/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/>
      <c r="AG329" s="32"/>
      <c r="AH329" s="32"/>
      <c r="AI329" s="32"/>
      <c r="AJ329" s="32"/>
      <c r="AK329" s="32"/>
      <c r="AL329" s="32"/>
      <c r="AM329" s="32"/>
    </row>
    <row r="330" spans="1:39">
      <c r="A330" s="32" t="str">
        <f>_xlfn.XLOOKUP(B330,Input!J:J,Input!G:G)&amp;""</f>
        <v/>
      </c>
      <c r="B330" s="32"/>
      <c r="C330" s="32" t="str">
        <f>_xlfn.XLOOKUP(B330,Input!J:J,Input!H:H)&amp;""</f>
        <v/>
      </c>
      <c r="D330" s="42">
        <f>_xlfn.XLOOKUP(B330,Input!J:J,Input!F:F)</f>
        <v>0</v>
      </c>
      <c r="E330" s="32">
        <f>_xlfn.XLOOKUP(D330,Models!H:H,Models!G:G,D330)</f>
        <v>0</v>
      </c>
      <c r="F330" s="32">
        <f>_xlfn.XLOOKUP(B330,Input!J:J,Input!E:E)</f>
        <v>0</v>
      </c>
      <c r="G330" s="32">
        <f>IF(F330="LENOVO",_xlfn.XLOOKUP(B330,Input!J:J,Input!K:K),_xlfn.XLOOKUP(B330,Input!J:J,Input!L:L))</f>
        <v>0</v>
      </c>
      <c r="H330" s="32"/>
      <c r="I330" s="32"/>
      <c r="J330" s="32"/>
      <c r="K330" s="42" t="e">
        <f>INDEX(Input!$D$2:$AC$500,
       MATCH(B330, Input!$J$2:$J$500, 0),
       MATCH("Total Memory", Input!$D$1:$AC$1, 0))</f>
        <v>#N/A</v>
      </c>
      <c r="L330" s="42"/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e">
        <f t="shared" si="17"/>
        <v>#N/A</v>
      </c>
      <c r="O330" s="42" t="e">
        <f>INDEX(Input!$D$2:$AC$500,
       MATCH(B330, Input!$J$2:$J$500, 0),
       MATCH("Disk Interface Type", Input!$D$1:$AC$1, 0))</f>
        <v>#N/A</v>
      </c>
      <c r="P330" s="42" t="str" cm="1">
        <f t="array" ref="P330">IFERROR(_xlfn.TEXTJOIN(", ", TRUE, _xlfn._xlws.FILTER(
    INDEX(Input!$D$2:$AC$500,,MATCH("Disk Capacity",Input!$D$1:$AC$1,0)),
    Input!$J$2:$J$500=B330
)), "")</f>
        <v/>
      </c>
      <c r="Q330" s="32" t="e">
        <f t="shared" si="16"/>
        <v>#N/A</v>
      </c>
      <c r="R330" s="42" t="e">
        <f>_xlfn.LET(_xlpm.Result,INDEX(Input!$D$2:$AC$500,
       MATCH(B330, Input!$J$2:$J$500, 0),
       MATCH("Capacity", Input!$D$1:$AC$1, 0)),IF(_xlpm.Result="","",_xlpm.Result))</f>
        <v>#N/A</v>
      </c>
      <c r="S330" s="42" t="e" cm="1">
        <f t="array" ref="S330">_xlfn.TEXTSPLIT(R330," / ", ,TRUE,0,)</f>
        <v>#N/A</v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/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/>
      <c r="AG330" s="32"/>
      <c r="AH330" s="32"/>
      <c r="AI330" s="32"/>
      <c r="AJ330" s="32"/>
      <c r="AK330" s="32"/>
      <c r="AL330" s="32"/>
      <c r="AM330" s="32"/>
    </row>
    <row r="331" spans="1:39">
      <c r="A331" s="32" t="str">
        <f>_xlfn.XLOOKUP(B331,Input!J:J,Input!G:G)&amp;""</f>
        <v/>
      </c>
      <c r="B331" s="32"/>
      <c r="C331" s="32" t="str">
        <f>_xlfn.XLOOKUP(B331,Input!J:J,Input!H:H)&amp;""</f>
        <v/>
      </c>
      <c r="D331" s="42">
        <f>_xlfn.XLOOKUP(B331,Input!J:J,Input!F:F)</f>
        <v>0</v>
      </c>
      <c r="E331" s="32">
        <f>_xlfn.XLOOKUP(D331,Models!H:H,Models!G:G,D331)</f>
        <v>0</v>
      </c>
      <c r="F331" s="32">
        <f>_xlfn.XLOOKUP(B331,Input!J:J,Input!E:E)</f>
        <v>0</v>
      </c>
      <c r="G331" s="32">
        <f>IF(F331="LENOVO",_xlfn.XLOOKUP(B331,Input!J:J,Input!K:K),_xlfn.XLOOKUP(B331,Input!J:J,Input!L:L))</f>
        <v>0</v>
      </c>
      <c r="H331" s="32"/>
      <c r="I331" s="32"/>
      <c r="J331" s="32"/>
      <c r="K331" s="42" t="e">
        <f>INDEX(Input!$D$2:$AC$500,
       MATCH(B331, Input!$J$2:$J$500, 0),
       MATCH("Total Memory", Input!$D$1:$AC$1, 0))</f>
        <v>#N/A</v>
      </c>
      <c r="L331" s="42"/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e">
        <f t="shared" si="17"/>
        <v>#N/A</v>
      </c>
      <c r="O331" s="42" t="e">
        <f>INDEX(Input!$D$2:$AC$500,
       MATCH(B331, Input!$J$2:$J$500, 0),
       MATCH("Disk Interface Type", Input!$D$1:$AC$1, 0))</f>
        <v>#N/A</v>
      </c>
      <c r="P331" s="42" t="str" cm="1">
        <f t="array" ref="P331">IFERROR(_xlfn.TEXTJOIN(", ", TRUE, _xlfn._xlws.FILTER(
    INDEX(Input!$D$2:$AC$500,,MATCH("Disk Capacity",Input!$D$1:$AC$1,0)),
    Input!$J$2:$J$500=B331
)), "")</f>
        <v/>
      </c>
      <c r="Q331" s="32" t="e">
        <f t="shared" si="16"/>
        <v>#N/A</v>
      </c>
      <c r="R331" s="42" t="e">
        <f>_xlfn.LET(_xlpm.Result,INDEX(Input!$D$2:$AC$500,
       MATCH(B331, Input!$J$2:$J$500, 0),
       MATCH("Capacity", Input!$D$1:$AC$1, 0)),IF(_xlpm.Result="","",_xlpm.Result))</f>
        <v>#N/A</v>
      </c>
      <c r="S331" s="42" t="e" cm="1">
        <f t="array" ref="S331">_xlfn.TEXTSPLIT(R331," / ", ,TRUE,0,)</f>
        <v>#N/A</v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/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/>
      <c r="AG331" s="32"/>
      <c r="AH331" s="32"/>
      <c r="AI331" s="32"/>
      <c r="AJ331" s="32"/>
      <c r="AK331" s="32"/>
      <c r="AL331" s="32"/>
      <c r="AM331" s="32"/>
    </row>
    <row r="332" spans="1:39">
      <c r="A332" s="32" t="str">
        <f>_xlfn.XLOOKUP(B332,Input!J:J,Input!G:G)&amp;""</f>
        <v/>
      </c>
      <c r="B332" s="32"/>
      <c r="C332" s="32" t="str">
        <f>_xlfn.XLOOKUP(B332,Input!J:J,Input!H:H)&amp;""</f>
        <v/>
      </c>
      <c r="D332" s="42">
        <f>_xlfn.XLOOKUP(B332,Input!J:J,Input!F:F)</f>
        <v>0</v>
      </c>
      <c r="E332" s="32">
        <f>_xlfn.XLOOKUP(D332,Models!H:H,Models!G:G,D332)</f>
        <v>0</v>
      </c>
      <c r="F332" s="32">
        <f>_xlfn.XLOOKUP(B332,Input!J:J,Input!E:E)</f>
        <v>0</v>
      </c>
      <c r="G332" s="32">
        <f>IF(F332="LENOVO",_xlfn.XLOOKUP(B332,Input!J:J,Input!K:K),_xlfn.XLOOKUP(B332,Input!J:J,Input!L:L))</f>
        <v>0</v>
      </c>
      <c r="H332" s="32"/>
      <c r="I332" s="32"/>
      <c r="J332" s="32"/>
      <c r="K332" s="42" t="e">
        <f>INDEX(Input!$D$2:$AC$500,
       MATCH(B332, Input!$J$2:$J$500, 0),
       MATCH("Total Memory", Input!$D$1:$AC$1, 0))</f>
        <v>#N/A</v>
      </c>
      <c r="L332" s="42"/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e">
        <f t="shared" si="17"/>
        <v>#N/A</v>
      </c>
      <c r="O332" s="42" t="e">
        <f>INDEX(Input!$D$2:$AC$500,
       MATCH(B332, Input!$J$2:$J$500, 0),
       MATCH("Disk Interface Type", Input!$D$1:$AC$1, 0))</f>
        <v>#N/A</v>
      </c>
      <c r="P332" s="42" t="str" cm="1">
        <f t="array" ref="P332">IFERROR(_xlfn.TEXTJOIN(", ", TRUE, _xlfn._xlws.FILTER(
    INDEX(Input!$D$2:$AC$500,,MATCH("Disk Capacity",Input!$D$1:$AC$1,0)),
    Input!$J$2:$J$500=B332
)), "")</f>
        <v/>
      </c>
      <c r="Q332" s="32" t="e">
        <f t="shared" si="16"/>
        <v>#N/A</v>
      </c>
      <c r="R332" s="42" t="e">
        <f>_xlfn.LET(_xlpm.Result,INDEX(Input!$D$2:$AC$500,
       MATCH(B332, Input!$J$2:$J$500, 0),
       MATCH("Capacity", Input!$D$1:$AC$1, 0)),IF(_xlpm.Result="","",_xlpm.Result))</f>
        <v>#N/A</v>
      </c>
      <c r="S332" s="42" t="e" cm="1">
        <f t="array" ref="S332">_xlfn.TEXTSPLIT(R332," / ", ,TRUE,0,)</f>
        <v>#N/A</v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/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/>
      <c r="AG332" s="32"/>
      <c r="AH332" s="32"/>
      <c r="AI332" s="32"/>
      <c r="AJ332" s="32"/>
      <c r="AK332" s="32"/>
      <c r="AL332" s="32"/>
      <c r="AM332" s="32"/>
    </row>
    <row r="333" spans="1:39">
      <c r="A333" s="32" t="str">
        <f>_xlfn.XLOOKUP(B333,Input!J:J,Input!G:G)&amp;""</f>
        <v/>
      </c>
      <c r="B333" s="32"/>
      <c r="C333" s="32" t="str">
        <f>_xlfn.XLOOKUP(B333,Input!J:J,Input!H:H)&amp;""</f>
        <v/>
      </c>
      <c r="D333" s="42">
        <f>_xlfn.XLOOKUP(B333,Input!J:J,Input!F:F)</f>
        <v>0</v>
      </c>
      <c r="E333" s="32">
        <f>_xlfn.XLOOKUP(D333,Models!H:H,Models!G:G,D333)</f>
        <v>0</v>
      </c>
      <c r="F333" s="32">
        <f>_xlfn.XLOOKUP(B333,Input!J:J,Input!E:E)</f>
        <v>0</v>
      </c>
      <c r="G333" s="32">
        <f>IF(F333="LENOVO",_xlfn.XLOOKUP(B333,Input!J:J,Input!K:K),_xlfn.XLOOKUP(B333,Input!J:J,Input!L:L))</f>
        <v>0</v>
      </c>
      <c r="H333" s="32"/>
      <c r="I333" s="32"/>
      <c r="J333" s="32"/>
      <c r="K333" s="42" t="e">
        <f>INDEX(Input!$D$2:$AC$500,
       MATCH(B333, Input!$J$2:$J$500, 0),
       MATCH("Total Memory", Input!$D$1:$AC$1, 0))</f>
        <v>#N/A</v>
      </c>
      <c r="L333" s="42"/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e">
        <f t="shared" si="17"/>
        <v>#N/A</v>
      </c>
      <c r="O333" s="42" t="e">
        <f>INDEX(Input!$D$2:$AC$500,
       MATCH(B333, Input!$J$2:$J$500, 0),
       MATCH("Disk Interface Type", Input!$D$1:$AC$1, 0))</f>
        <v>#N/A</v>
      </c>
      <c r="P333" s="42" t="str" cm="1">
        <f t="array" ref="P333">IFERROR(_xlfn.TEXTJOIN(", ", TRUE, _xlfn._xlws.FILTER(
    INDEX(Input!$D$2:$AC$500,,MATCH("Disk Capacity",Input!$D$1:$AC$1,0)),
    Input!$J$2:$J$500=B333
)), "")</f>
        <v/>
      </c>
      <c r="Q333" s="32" t="e">
        <f t="shared" si="16"/>
        <v>#N/A</v>
      </c>
      <c r="R333" s="42" t="e">
        <f>_xlfn.LET(_xlpm.Result,INDEX(Input!$D$2:$AC$500,
       MATCH(B333, Input!$J$2:$J$500, 0),
       MATCH("Capacity", Input!$D$1:$AC$1, 0)),IF(_xlpm.Result="","",_xlpm.Result))</f>
        <v>#N/A</v>
      </c>
      <c r="S333" s="42" t="e" cm="1">
        <f t="array" ref="S333">_xlfn.TEXTSPLIT(R333," / ", ,TRUE,0,)</f>
        <v>#N/A</v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/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/>
      <c r="AG333" s="32"/>
      <c r="AH333" s="32"/>
      <c r="AI333" s="32"/>
      <c r="AJ333" s="32"/>
      <c r="AK333" s="32"/>
      <c r="AL333" s="32"/>
      <c r="AM333" s="32"/>
    </row>
    <row r="334" spans="1:39">
      <c r="A334" s="32" t="str">
        <f>_xlfn.XLOOKUP(B334,Input!J:J,Input!G:G)&amp;""</f>
        <v/>
      </c>
      <c r="B334" s="32"/>
      <c r="C334" s="32" t="str">
        <f>_xlfn.XLOOKUP(B334,Input!J:J,Input!H:H)&amp;""</f>
        <v/>
      </c>
      <c r="D334" s="42">
        <f>_xlfn.XLOOKUP(B334,Input!J:J,Input!F:F)</f>
        <v>0</v>
      </c>
      <c r="E334" s="32">
        <f>_xlfn.XLOOKUP(D334,Models!H:H,Models!G:G,D334)</f>
        <v>0</v>
      </c>
      <c r="F334" s="32">
        <f>_xlfn.XLOOKUP(B334,Input!J:J,Input!E:E)</f>
        <v>0</v>
      </c>
      <c r="G334" s="32">
        <f>IF(F334="LENOVO",_xlfn.XLOOKUP(B334,Input!J:J,Input!K:K),_xlfn.XLOOKUP(B334,Input!J:J,Input!L:L))</f>
        <v>0</v>
      </c>
      <c r="H334" s="32"/>
      <c r="I334" s="32"/>
      <c r="J334" s="32"/>
      <c r="K334" s="42" t="e">
        <f>INDEX(Input!$D$2:$AC$500,
       MATCH(B334, Input!$J$2:$J$500, 0),
       MATCH("Total Memory", Input!$D$1:$AC$1, 0))</f>
        <v>#N/A</v>
      </c>
      <c r="L334" s="42"/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e">
        <f t="shared" si="17"/>
        <v>#N/A</v>
      </c>
      <c r="O334" s="42" t="e">
        <f>INDEX(Input!$D$2:$AC$500,
       MATCH(B334, Input!$J$2:$J$500, 0),
       MATCH("Disk Interface Type", Input!$D$1:$AC$1, 0))</f>
        <v>#N/A</v>
      </c>
      <c r="P334" s="42" t="str" cm="1">
        <f t="array" ref="P334">IFERROR(_xlfn.TEXTJOIN(", ", TRUE, _xlfn._xlws.FILTER(
    INDEX(Input!$D$2:$AC$500,,MATCH("Disk Capacity",Input!$D$1:$AC$1,0)),
    Input!$J$2:$J$500=B334
)), "")</f>
        <v/>
      </c>
      <c r="Q334" s="32" t="e">
        <f t="shared" si="16"/>
        <v>#N/A</v>
      </c>
      <c r="R334" s="42" t="e">
        <f>_xlfn.LET(_xlpm.Result,INDEX(Input!$D$2:$AC$500,
       MATCH(B334, Input!$J$2:$J$500, 0),
       MATCH("Capacity", Input!$D$1:$AC$1, 0)),IF(_xlpm.Result="","",_xlpm.Result))</f>
        <v>#N/A</v>
      </c>
      <c r="S334" s="42" t="e" cm="1">
        <f t="array" ref="S334">_xlfn.TEXTSPLIT(R334," / ", ,TRUE,0,)</f>
        <v>#N/A</v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/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/>
      <c r="AG334" s="32"/>
      <c r="AH334" s="32"/>
      <c r="AI334" s="32"/>
      <c r="AJ334" s="32"/>
      <c r="AK334" s="32"/>
      <c r="AL334" s="32"/>
      <c r="AM334" s="32"/>
    </row>
    <row r="335" spans="1:39">
      <c r="A335" s="32" t="str">
        <f>_xlfn.XLOOKUP(B335,Input!J:J,Input!G:G)&amp;""</f>
        <v/>
      </c>
      <c r="B335" s="32"/>
      <c r="C335" s="32" t="str">
        <f>_xlfn.XLOOKUP(B335,Input!J:J,Input!H:H)&amp;""</f>
        <v/>
      </c>
      <c r="D335" s="42">
        <f>_xlfn.XLOOKUP(B335,Input!J:J,Input!F:F)</f>
        <v>0</v>
      </c>
      <c r="E335" s="32">
        <f>_xlfn.XLOOKUP(D335,Models!H:H,Models!G:G,D335)</f>
        <v>0</v>
      </c>
      <c r="F335" s="32">
        <f>_xlfn.XLOOKUP(B335,Input!J:J,Input!E:E)</f>
        <v>0</v>
      </c>
      <c r="G335" s="32">
        <f>IF(F335="LENOVO",_xlfn.XLOOKUP(B335,Input!J:J,Input!K:K),_xlfn.XLOOKUP(B335,Input!J:J,Input!L:L))</f>
        <v>0</v>
      </c>
      <c r="H335" s="32"/>
      <c r="I335" s="32"/>
      <c r="J335" s="32"/>
      <c r="K335" s="42" t="e">
        <f>INDEX(Input!$D$2:$AC$500,
       MATCH(B335, Input!$J$2:$J$500, 0),
       MATCH("Total Memory", Input!$D$1:$AC$1, 0))</f>
        <v>#N/A</v>
      </c>
      <c r="L335" s="42"/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e">
        <f t="shared" si="17"/>
        <v>#N/A</v>
      </c>
      <c r="O335" s="42" t="e">
        <f>INDEX(Input!$D$2:$AC$500,
       MATCH(B335, Input!$J$2:$J$500, 0),
       MATCH("Disk Interface Type", Input!$D$1:$AC$1, 0))</f>
        <v>#N/A</v>
      </c>
      <c r="P335" s="42" t="str" cm="1">
        <f t="array" ref="P335">IFERROR(_xlfn.TEXTJOIN(", ", TRUE, _xlfn._xlws.FILTER(
    INDEX(Input!$D$2:$AC$500,,MATCH("Disk Capacity",Input!$D$1:$AC$1,0)),
    Input!$J$2:$J$500=B335
)), "")</f>
        <v/>
      </c>
      <c r="Q335" s="32" t="e">
        <f t="shared" si="16"/>
        <v>#N/A</v>
      </c>
      <c r="R335" s="42" t="e">
        <f>_xlfn.LET(_xlpm.Result,INDEX(Input!$D$2:$AC$500,
       MATCH(B335, Input!$J$2:$J$500, 0),
       MATCH("Capacity", Input!$D$1:$AC$1, 0)),IF(_xlpm.Result="","",_xlpm.Result))</f>
        <v>#N/A</v>
      </c>
      <c r="S335" s="42" t="e" cm="1">
        <f t="array" ref="S335">_xlfn.TEXTSPLIT(R335," / ", ,TRUE,0,)</f>
        <v>#N/A</v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/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/>
      <c r="AG335" s="32"/>
      <c r="AH335" s="32"/>
      <c r="AI335" s="32"/>
      <c r="AJ335" s="32"/>
      <c r="AK335" s="32"/>
      <c r="AL335" s="32"/>
      <c r="AM335" s="32"/>
    </row>
    <row r="336" spans="1:39">
      <c r="A336" s="32" t="str">
        <f>_xlfn.XLOOKUP(B336,Input!J:J,Input!G:G)&amp;""</f>
        <v/>
      </c>
      <c r="B336" s="32"/>
      <c r="C336" s="32" t="str">
        <f>_xlfn.XLOOKUP(B336,Input!J:J,Input!H:H)&amp;""</f>
        <v/>
      </c>
      <c r="D336" s="42">
        <f>_xlfn.XLOOKUP(B336,Input!J:J,Input!F:F)</f>
        <v>0</v>
      </c>
      <c r="E336" s="32">
        <f>_xlfn.XLOOKUP(D336,Models!H:H,Models!G:G,D336)</f>
        <v>0</v>
      </c>
      <c r="F336" s="32">
        <f>_xlfn.XLOOKUP(B336,Input!J:J,Input!E:E)</f>
        <v>0</v>
      </c>
      <c r="G336" s="32">
        <f>IF(F336="LENOVO",_xlfn.XLOOKUP(B336,Input!J:J,Input!K:K),_xlfn.XLOOKUP(B336,Input!J:J,Input!L:L))</f>
        <v>0</v>
      </c>
      <c r="H336" s="32"/>
      <c r="I336" s="32"/>
      <c r="J336" s="32"/>
      <c r="K336" s="42" t="e">
        <f>INDEX(Input!$D$2:$AC$500,
       MATCH(B336, Input!$J$2:$J$500, 0),
       MATCH("Total Memory", Input!$D$1:$AC$1, 0))</f>
        <v>#N/A</v>
      </c>
      <c r="L336" s="42"/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e">
        <f t="shared" si="17"/>
        <v>#N/A</v>
      </c>
      <c r="O336" s="42" t="e">
        <f>INDEX(Input!$D$2:$AC$500,
       MATCH(B336, Input!$J$2:$J$500, 0),
       MATCH("Disk Interface Type", Input!$D$1:$AC$1, 0))</f>
        <v>#N/A</v>
      </c>
      <c r="P336" s="42" t="str" cm="1">
        <f t="array" ref="P336">IFERROR(_xlfn.TEXTJOIN(", ", TRUE, _xlfn._xlws.FILTER(
    INDEX(Input!$D$2:$AC$500,,MATCH("Disk Capacity",Input!$D$1:$AC$1,0)),
    Input!$J$2:$J$500=B336
)), "")</f>
        <v/>
      </c>
      <c r="Q336" s="32" t="e">
        <f t="shared" si="16"/>
        <v>#N/A</v>
      </c>
      <c r="R336" s="42" t="e">
        <f>_xlfn.LET(_xlpm.Result,INDEX(Input!$D$2:$AC$500,
       MATCH(B336, Input!$J$2:$J$500, 0),
       MATCH("Capacity", Input!$D$1:$AC$1, 0)),IF(_xlpm.Result="","",_xlpm.Result))</f>
        <v>#N/A</v>
      </c>
      <c r="S336" s="42" t="e" cm="1">
        <f t="array" ref="S336">_xlfn.TEXTSPLIT(R336," / ", ,TRUE,0,)</f>
        <v>#N/A</v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/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/>
      <c r="AG336" s="32"/>
      <c r="AH336" s="32"/>
      <c r="AI336" s="32"/>
      <c r="AJ336" s="32"/>
      <c r="AK336" s="32"/>
      <c r="AL336" s="32"/>
      <c r="AM336" s="32"/>
    </row>
    <row r="337" spans="1:39">
      <c r="A337" s="32" t="str">
        <f>_xlfn.XLOOKUP(B337,Input!J:J,Input!G:G)&amp;""</f>
        <v/>
      </c>
      <c r="B337" s="32"/>
      <c r="C337" s="32" t="str">
        <f>_xlfn.XLOOKUP(B337,Input!J:J,Input!H:H)&amp;""</f>
        <v/>
      </c>
      <c r="D337" s="42">
        <f>_xlfn.XLOOKUP(B337,Input!J:J,Input!F:F)</f>
        <v>0</v>
      </c>
      <c r="E337" s="32">
        <f>_xlfn.XLOOKUP(D337,Models!H:H,Models!G:G,D337)</f>
        <v>0</v>
      </c>
      <c r="F337" s="32">
        <f>_xlfn.XLOOKUP(B337,Input!J:J,Input!E:E)</f>
        <v>0</v>
      </c>
      <c r="G337" s="32">
        <f>IF(F337="LENOVO",_xlfn.XLOOKUP(B337,Input!J:J,Input!K:K),_xlfn.XLOOKUP(B337,Input!J:J,Input!L:L))</f>
        <v>0</v>
      </c>
      <c r="H337" s="32"/>
      <c r="I337" s="32"/>
      <c r="J337" s="32"/>
      <c r="K337" s="42" t="e">
        <f>INDEX(Input!$D$2:$AC$500,
       MATCH(B337, Input!$J$2:$J$500, 0),
       MATCH("Total Memory", Input!$D$1:$AC$1, 0))</f>
        <v>#N/A</v>
      </c>
      <c r="L337" s="42"/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e">
        <f t="shared" si="17"/>
        <v>#N/A</v>
      </c>
      <c r="O337" s="42" t="e">
        <f>INDEX(Input!$D$2:$AC$500,
       MATCH(B337, Input!$J$2:$J$500, 0),
       MATCH("Disk Interface Type", Input!$D$1:$AC$1, 0))</f>
        <v>#N/A</v>
      </c>
      <c r="P337" s="42" t="str" cm="1">
        <f t="array" ref="P337">IFERROR(_xlfn.TEXTJOIN(", ", TRUE, _xlfn._xlws.FILTER(
    INDEX(Input!$D$2:$AC$500,,MATCH("Disk Capacity",Input!$D$1:$AC$1,0)),
    Input!$J$2:$J$500=B337
)), "")</f>
        <v/>
      </c>
      <c r="Q337" s="32" t="e">
        <f t="shared" si="16"/>
        <v>#N/A</v>
      </c>
      <c r="R337" s="42" t="e">
        <f>_xlfn.LET(_xlpm.Result,INDEX(Input!$D$2:$AC$500,
       MATCH(B337, Input!$J$2:$J$500, 0),
       MATCH("Capacity", Input!$D$1:$AC$1, 0)),IF(_xlpm.Result="","",_xlpm.Result))</f>
        <v>#N/A</v>
      </c>
      <c r="S337" s="42" t="e" cm="1">
        <f t="array" ref="S337">_xlfn.TEXTSPLIT(R337," / ", ,TRUE,0,)</f>
        <v>#N/A</v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/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/>
      <c r="AG337" s="32"/>
      <c r="AH337" s="32"/>
      <c r="AI337" s="32"/>
      <c r="AJ337" s="32"/>
      <c r="AK337" s="32"/>
      <c r="AL337" s="32"/>
      <c r="AM337" s="32"/>
    </row>
    <row r="338" spans="1:39">
      <c r="A338" s="32" t="str">
        <f>_xlfn.XLOOKUP(B338,Input!J:J,Input!G:G)&amp;""</f>
        <v/>
      </c>
      <c r="B338" s="32"/>
      <c r="C338" s="32" t="str">
        <f>_xlfn.XLOOKUP(B338,Input!J:J,Input!H:H)&amp;""</f>
        <v/>
      </c>
      <c r="D338" s="42">
        <f>_xlfn.XLOOKUP(B338,Input!J:J,Input!F:F)</f>
        <v>0</v>
      </c>
      <c r="E338" s="32">
        <f>_xlfn.XLOOKUP(D338,Models!H:H,Models!G:G,D338)</f>
        <v>0</v>
      </c>
      <c r="F338" s="32">
        <f>_xlfn.XLOOKUP(B338,Input!J:J,Input!E:E)</f>
        <v>0</v>
      </c>
      <c r="G338" s="32">
        <f>IF(F338="LENOVO",_xlfn.XLOOKUP(B338,Input!J:J,Input!K:K),_xlfn.XLOOKUP(B338,Input!J:J,Input!L:L))</f>
        <v>0</v>
      </c>
      <c r="H338" s="32"/>
      <c r="I338" s="32"/>
      <c r="J338" s="32"/>
      <c r="K338" s="42" t="e">
        <f>INDEX(Input!$D$2:$AC$500,
       MATCH(B338, Input!$J$2:$J$500, 0),
       MATCH("Total Memory", Input!$D$1:$AC$1, 0))</f>
        <v>#N/A</v>
      </c>
      <c r="L338" s="42"/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e">
        <f t="shared" si="17"/>
        <v>#N/A</v>
      </c>
      <c r="O338" s="42" t="e">
        <f>INDEX(Input!$D$2:$AC$500,
       MATCH(B338, Input!$J$2:$J$500, 0),
       MATCH("Disk Interface Type", Input!$D$1:$AC$1, 0))</f>
        <v>#N/A</v>
      </c>
      <c r="P338" s="42" t="str" cm="1">
        <f t="array" ref="P338">IFERROR(_xlfn.TEXTJOIN(", ", TRUE, _xlfn._xlws.FILTER(
    INDEX(Input!$D$2:$AC$500,,MATCH("Disk Capacity",Input!$D$1:$AC$1,0)),
    Input!$J$2:$J$500=B338
)), "")</f>
        <v/>
      </c>
      <c r="Q338" s="32" t="e">
        <f t="shared" si="16"/>
        <v>#N/A</v>
      </c>
      <c r="R338" s="42" t="e">
        <f>_xlfn.LET(_xlpm.Result,INDEX(Input!$D$2:$AC$500,
       MATCH(B338, Input!$J$2:$J$500, 0),
       MATCH("Capacity", Input!$D$1:$AC$1, 0)),IF(_xlpm.Result="","",_xlpm.Result))</f>
        <v>#N/A</v>
      </c>
      <c r="S338" s="42" t="e" cm="1">
        <f t="array" ref="S338">_xlfn.TEXTSPLIT(R338," / ", ,TRUE,0,)</f>
        <v>#N/A</v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/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/>
      <c r="AG338" s="32"/>
      <c r="AH338" s="32"/>
      <c r="AI338" s="32"/>
      <c r="AJ338" s="32"/>
      <c r="AK338" s="32"/>
      <c r="AL338" s="32"/>
      <c r="AM338" s="32"/>
    </row>
    <row r="339" spans="1:39">
      <c r="A339" s="32" t="str">
        <f>_xlfn.XLOOKUP(B339,Input!J:J,Input!G:G)&amp;""</f>
        <v/>
      </c>
      <c r="B339" s="32"/>
      <c r="C339" s="32" t="str">
        <f>_xlfn.XLOOKUP(B339,Input!J:J,Input!H:H)&amp;""</f>
        <v/>
      </c>
      <c r="D339" s="42">
        <f>_xlfn.XLOOKUP(B339,Input!J:J,Input!F:F)</f>
        <v>0</v>
      </c>
      <c r="E339" s="32">
        <f>_xlfn.XLOOKUP(D339,Models!H:H,Models!G:G,D339)</f>
        <v>0</v>
      </c>
      <c r="F339" s="32">
        <f>_xlfn.XLOOKUP(B339,Input!J:J,Input!E:E)</f>
        <v>0</v>
      </c>
      <c r="G339" s="32">
        <f>IF(F339="LENOVO",_xlfn.XLOOKUP(B339,Input!J:J,Input!K:K),_xlfn.XLOOKUP(B339,Input!J:J,Input!L:L))</f>
        <v>0</v>
      </c>
      <c r="H339" s="32"/>
      <c r="I339" s="32"/>
      <c r="J339" s="32"/>
      <c r="K339" s="42" t="e">
        <f>INDEX(Input!$D$2:$AC$500,
       MATCH(B339, Input!$J$2:$J$500, 0),
       MATCH("Total Memory", Input!$D$1:$AC$1, 0))</f>
        <v>#N/A</v>
      </c>
      <c r="L339" s="42"/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e">
        <f t="shared" si="17"/>
        <v>#N/A</v>
      </c>
      <c r="O339" s="42" t="e">
        <f>INDEX(Input!$D$2:$AC$500,
       MATCH(B339, Input!$J$2:$J$500, 0),
       MATCH("Disk Interface Type", Input!$D$1:$AC$1, 0))</f>
        <v>#N/A</v>
      </c>
      <c r="P339" s="42" t="str" cm="1">
        <f t="array" ref="P339">IFERROR(_xlfn.TEXTJOIN(", ", TRUE, _xlfn._xlws.FILTER(
    INDEX(Input!$D$2:$AC$500,,MATCH("Disk Capacity",Input!$D$1:$AC$1,0)),
    Input!$J$2:$J$500=B339
)), "")</f>
        <v/>
      </c>
      <c r="Q339" s="32" t="e">
        <f t="shared" si="16"/>
        <v>#N/A</v>
      </c>
      <c r="R339" s="42" t="e">
        <f>_xlfn.LET(_xlpm.Result,INDEX(Input!$D$2:$AC$500,
       MATCH(B339, Input!$J$2:$J$500, 0),
       MATCH("Capacity", Input!$D$1:$AC$1, 0)),IF(_xlpm.Result="","",_xlpm.Result))</f>
        <v>#N/A</v>
      </c>
      <c r="S339" s="42" t="e" cm="1">
        <f t="array" ref="S339">_xlfn.TEXTSPLIT(R339," / ", ,TRUE,0,)</f>
        <v>#N/A</v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/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/>
      <c r="AG339" s="32"/>
      <c r="AH339" s="32"/>
      <c r="AI339" s="32"/>
      <c r="AJ339" s="32"/>
      <c r="AK339" s="32"/>
      <c r="AL339" s="32"/>
      <c r="AM339" s="32"/>
    </row>
    <row r="340" spans="1:39">
      <c r="A340" s="32" t="str">
        <f>_xlfn.XLOOKUP(B340,Input!J:J,Input!G:G)&amp;""</f>
        <v/>
      </c>
      <c r="B340" s="32"/>
      <c r="C340" s="32" t="str">
        <f>_xlfn.XLOOKUP(B340,Input!J:J,Input!H:H)&amp;""</f>
        <v/>
      </c>
      <c r="D340" s="42">
        <f>_xlfn.XLOOKUP(B340,Input!J:J,Input!F:F)</f>
        <v>0</v>
      </c>
      <c r="E340" s="32">
        <f>_xlfn.XLOOKUP(D340,Models!H:H,Models!G:G,D340)</f>
        <v>0</v>
      </c>
      <c r="F340" s="32">
        <f>_xlfn.XLOOKUP(B340,Input!J:J,Input!E:E)</f>
        <v>0</v>
      </c>
      <c r="G340" s="32">
        <f>IF(F340="LENOVO",_xlfn.XLOOKUP(B340,Input!J:J,Input!K:K),_xlfn.XLOOKUP(B340,Input!J:J,Input!L:L))</f>
        <v>0</v>
      </c>
      <c r="H340" s="32"/>
      <c r="I340" s="32"/>
      <c r="J340" s="32"/>
      <c r="K340" s="42" t="e">
        <f>INDEX(Input!$D$2:$AC$500,
       MATCH(B340, Input!$J$2:$J$500, 0),
       MATCH("Total Memory", Input!$D$1:$AC$1, 0))</f>
        <v>#N/A</v>
      </c>
      <c r="L340" s="42"/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e">
        <f t="shared" si="17"/>
        <v>#N/A</v>
      </c>
      <c r="O340" s="42" t="e">
        <f>INDEX(Input!$D$2:$AC$500,
       MATCH(B340, Input!$J$2:$J$500, 0),
       MATCH("Disk Interface Type", Input!$D$1:$AC$1, 0))</f>
        <v>#N/A</v>
      </c>
      <c r="P340" s="42" t="str" cm="1">
        <f t="array" ref="P340">IFERROR(_xlfn.TEXTJOIN(", ", TRUE, _xlfn._xlws.FILTER(
    INDEX(Input!$D$2:$AC$500,,MATCH("Disk Capacity",Input!$D$1:$AC$1,0)),
    Input!$J$2:$J$500=B340
)), "")</f>
        <v/>
      </c>
      <c r="Q340" s="32" t="e">
        <f t="shared" si="16"/>
        <v>#N/A</v>
      </c>
      <c r="R340" s="42" t="e">
        <f>_xlfn.LET(_xlpm.Result,INDEX(Input!$D$2:$AC$500,
       MATCH(B340, Input!$J$2:$J$500, 0),
       MATCH("Capacity", Input!$D$1:$AC$1, 0)),IF(_xlpm.Result="","",_xlpm.Result))</f>
        <v>#N/A</v>
      </c>
      <c r="S340" s="42" t="e" cm="1">
        <f t="array" ref="S340">_xlfn.TEXTSPLIT(R340," / ", ,TRUE,0,)</f>
        <v>#N/A</v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/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/>
      <c r="AG340" s="32"/>
      <c r="AH340" s="32"/>
      <c r="AI340" s="32"/>
      <c r="AJ340" s="32"/>
      <c r="AK340" s="32"/>
      <c r="AL340" s="32"/>
      <c r="AM340" s="32"/>
    </row>
    <row r="341" spans="1:39">
      <c r="A341" s="32" t="str">
        <f>_xlfn.XLOOKUP(B341,Input!J:J,Input!G:G)&amp;""</f>
        <v/>
      </c>
      <c r="B341" s="32"/>
      <c r="C341" s="32" t="str">
        <f>_xlfn.XLOOKUP(B341,Input!J:J,Input!H:H)&amp;""</f>
        <v/>
      </c>
      <c r="D341" s="42">
        <f>_xlfn.XLOOKUP(B341,Input!J:J,Input!F:F)</f>
        <v>0</v>
      </c>
      <c r="E341" s="32">
        <f>_xlfn.XLOOKUP(D341,Models!H:H,Models!G:G,D341)</f>
        <v>0</v>
      </c>
      <c r="F341" s="32">
        <f>_xlfn.XLOOKUP(B341,Input!J:J,Input!E:E)</f>
        <v>0</v>
      </c>
      <c r="G341" s="32">
        <f>IF(F341="LENOVO",_xlfn.XLOOKUP(B341,Input!J:J,Input!K:K),_xlfn.XLOOKUP(B341,Input!J:J,Input!L:L))</f>
        <v>0</v>
      </c>
      <c r="H341" s="32"/>
      <c r="I341" s="32"/>
      <c r="J341" s="32"/>
      <c r="K341" s="42" t="e">
        <f>INDEX(Input!$D$2:$AC$500,
       MATCH(B341, Input!$J$2:$J$500, 0),
       MATCH("Total Memory", Input!$D$1:$AC$1, 0))</f>
        <v>#N/A</v>
      </c>
      <c r="L341" s="42"/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e">
        <f t="shared" si="17"/>
        <v>#N/A</v>
      </c>
      <c r="O341" s="42" t="e">
        <f>INDEX(Input!$D$2:$AC$500,
       MATCH(B341, Input!$J$2:$J$500, 0),
       MATCH("Disk Interface Type", Input!$D$1:$AC$1, 0))</f>
        <v>#N/A</v>
      </c>
      <c r="P341" s="42" t="str" cm="1">
        <f t="array" ref="P341">IFERROR(_xlfn.TEXTJOIN(", ", TRUE, _xlfn._xlws.FILTER(
    INDEX(Input!$D$2:$AC$500,,MATCH("Disk Capacity",Input!$D$1:$AC$1,0)),
    Input!$J$2:$J$500=B341
)), "")</f>
        <v/>
      </c>
      <c r="Q341" s="32" t="e">
        <f t="shared" si="16"/>
        <v>#N/A</v>
      </c>
      <c r="R341" s="42" t="e">
        <f>_xlfn.LET(_xlpm.Result,INDEX(Input!$D$2:$AC$500,
       MATCH(B341, Input!$J$2:$J$500, 0),
       MATCH("Capacity", Input!$D$1:$AC$1, 0)),IF(_xlpm.Result="","",_xlpm.Result))</f>
        <v>#N/A</v>
      </c>
      <c r="S341" s="42" t="e" cm="1">
        <f t="array" ref="S341">_xlfn.TEXTSPLIT(R341," / ", ,TRUE,0,)</f>
        <v>#N/A</v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/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/>
      <c r="AG341" s="32"/>
      <c r="AH341" s="32"/>
      <c r="AI341" s="32"/>
      <c r="AJ341" s="32"/>
      <c r="AK341" s="32"/>
      <c r="AL341" s="32"/>
      <c r="AM341" s="32"/>
    </row>
    <row r="342" spans="1:39">
      <c r="A342" s="32" t="str">
        <f>_xlfn.XLOOKUP(B342,Input!J:J,Input!G:G)&amp;""</f>
        <v/>
      </c>
      <c r="B342" s="32"/>
      <c r="C342" s="32" t="str">
        <f>_xlfn.XLOOKUP(B342,Input!J:J,Input!H:H)&amp;""</f>
        <v/>
      </c>
      <c r="D342" s="42">
        <f>_xlfn.XLOOKUP(B342,Input!J:J,Input!F:F)</f>
        <v>0</v>
      </c>
      <c r="E342" s="32">
        <f>_xlfn.XLOOKUP(D342,Models!H:H,Models!G:G,D342)</f>
        <v>0</v>
      </c>
      <c r="F342" s="32">
        <f>_xlfn.XLOOKUP(B342,Input!J:J,Input!E:E)</f>
        <v>0</v>
      </c>
      <c r="G342" s="32">
        <f>IF(F342="LENOVO",_xlfn.XLOOKUP(B342,Input!J:J,Input!K:K),_xlfn.XLOOKUP(B342,Input!J:J,Input!L:L))</f>
        <v>0</v>
      </c>
      <c r="H342" s="32"/>
      <c r="I342" s="32"/>
      <c r="J342" s="32"/>
      <c r="K342" s="42" t="e">
        <f>INDEX(Input!$D$2:$AC$500,
       MATCH(B342, Input!$J$2:$J$500, 0),
       MATCH("Total Memory", Input!$D$1:$AC$1, 0))</f>
        <v>#N/A</v>
      </c>
      <c r="L342" s="42"/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e">
        <f t="shared" si="17"/>
        <v>#N/A</v>
      </c>
      <c r="O342" s="42" t="e">
        <f>INDEX(Input!$D$2:$AC$500,
       MATCH(B342, Input!$J$2:$J$500, 0),
       MATCH("Disk Interface Type", Input!$D$1:$AC$1, 0))</f>
        <v>#N/A</v>
      </c>
      <c r="P342" s="42" t="str" cm="1">
        <f t="array" ref="P342">IFERROR(_xlfn.TEXTJOIN(", ", TRUE, _xlfn._xlws.FILTER(
    INDEX(Input!$D$2:$AC$500,,MATCH("Disk Capacity",Input!$D$1:$AC$1,0)),
    Input!$J$2:$J$500=B342
)), "")</f>
        <v/>
      </c>
      <c r="Q342" s="32" t="e">
        <f t="shared" si="16"/>
        <v>#N/A</v>
      </c>
      <c r="R342" s="42" t="e">
        <f>_xlfn.LET(_xlpm.Result,INDEX(Input!$D$2:$AC$500,
       MATCH(B342, Input!$J$2:$J$500, 0),
       MATCH("Capacity", Input!$D$1:$AC$1, 0)),IF(_xlpm.Result="","",_xlpm.Result))</f>
        <v>#N/A</v>
      </c>
      <c r="S342" s="42" t="e" cm="1">
        <f t="array" ref="S342">_xlfn.TEXTSPLIT(R342," / ", ,TRUE,0,)</f>
        <v>#N/A</v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/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/>
      <c r="AG342" s="32"/>
      <c r="AH342" s="32"/>
      <c r="AI342" s="32"/>
      <c r="AJ342" s="32"/>
      <c r="AK342" s="32"/>
      <c r="AL342" s="32"/>
      <c r="AM342" s="32"/>
    </row>
    <row r="343" spans="1:39">
      <c r="A343" s="32" t="str">
        <f>_xlfn.XLOOKUP(B343,Input!J:J,Input!G:G)&amp;""</f>
        <v/>
      </c>
      <c r="B343" s="32"/>
      <c r="C343" s="32" t="str">
        <f>_xlfn.XLOOKUP(B343,Input!J:J,Input!H:H)&amp;""</f>
        <v/>
      </c>
      <c r="D343" s="42">
        <f>_xlfn.XLOOKUP(B343,Input!J:J,Input!F:F)</f>
        <v>0</v>
      </c>
      <c r="E343" s="32">
        <f>_xlfn.XLOOKUP(D343,Models!H:H,Models!G:G,D343)</f>
        <v>0</v>
      </c>
      <c r="F343" s="32">
        <f>_xlfn.XLOOKUP(B343,Input!J:J,Input!E:E)</f>
        <v>0</v>
      </c>
      <c r="G343" s="32">
        <f>IF(F343="LENOVO",_xlfn.XLOOKUP(B343,Input!J:J,Input!K:K),_xlfn.XLOOKUP(B343,Input!J:J,Input!L:L))</f>
        <v>0</v>
      </c>
      <c r="H343" s="32"/>
      <c r="I343" s="32"/>
      <c r="J343" s="32"/>
      <c r="K343" s="42" t="e">
        <f>INDEX(Input!$D$2:$AC$500,
       MATCH(B343, Input!$J$2:$J$500, 0),
       MATCH("Total Memory", Input!$D$1:$AC$1, 0))</f>
        <v>#N/A</v>
      </c>
      <c r="L343" s="42"/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e">
        <f t="shared" si="17"/>
        <v>#N/A</v>
      </c>
      <c r="O343" s="42" t="e">
        <f>INDEX(Input!$D$2:$AC$500,
       MATCH(B343, Input!$J$2:$J$500, 0),
       MATCH("Disk Interface Type", Input!$D$1:$AC$1, 0))</f>
        <v>#N/A</v>
      </c>
      <c r="P343" s="42" t="str" cm="1">
        <f t="array" ref="P343">IFERROR(_xlfn.TEXTJOIN(", ", TRUE, _xlfn._xlws.FILTER(
    INDEX(Input!$D$2:$AC$500,,MATCH("Disk Capacity",Input!$D$1:$AC$1,0)),
    Input!$J$2:$J$500=B343
)), "")</f>
        <v/>
      </c>
      <c r="Q343" s="32" t="e">
        <f t="shared" si="16"/>
        <v>#N/A</v>
      </c>
      <c r="R343" s="42" t="e">
        <f>_xlfn.LET(_xlpm.Result,INDEX(Input!$D$2:$AC$500,
       MATCH(B343, Input!$J$2:$J$500, 0),
       MATCH("Capacity", Input!$D$1:$AC$1, 0)),IF(_xlpm.Result="","",_xlpm.Result))</f>
        <v>#N/A</v>
      </c>
      <c r="S343" s="42" t="e" cm="1">
        <f t="array" ref="S343">_xlfn.TEXTSPLIT(R343," / ", ,TRUE,0,)</f>
        <v>#N/A</v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/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/>
      <c r="AG343" s="32"/>
      <c r="AH343" s="32"/>
      <c r="AI343" s="32"/>
      <c r="AJ343" s="32"/>
      <c r="AK343" s="32"/>
      <c r="AL343" s="32"/>
      <c r="AM343" s="32"/>
    </row>
    <row r="344" spans="1:39">
      <c r="A344" s="32" t="str">
        <f>_xlfn.XLOOKUP(B344,Input!J:J,Input!G:G)&amp;""</f>
        <v/>
      </c>
      <c r="B344" s="32"/>
      <c r="C344" s="32" t="str">
        <f>_xlfn.XLOOKUP(B344,Input!J:J,Input!H:H)&amp;""</f>
        <v/>
      </c>
      <c r="D344" s="42">
        <f>_xlfn.XLOOKUP(B344,Input!J:J,Input!F:F)</f>
        <v>0</v>
      </c>
      <c r="E344" s="32">
        <f>_xlfn.XLOOKUP(D344,Models!H:H,Models!G:G,D344)</f>
        <v>0</v>
      </c>
      <c r="F344" s="32">
        <f>_xlfn.XLOOKUP(B344,Input!J:J,Input!E:E)</f>
        <v>0</v>
      </c>
      <c r="G344" s="32">
        <f>IF(F344="LENOVO",_xlfn.XLOOKUP(B344,Input!J:J,Input!K:K),_xlfn.XLOOKUP(B344,Input!J:J,Input!L:L))</f>
        <v>0</v>
      </c>
      <c r="H344" s="32"/>
      <c r="I344" s="32"/>
      <c r="J344" s="32"/>
      <c r="K344" s="42" t="e">
        <f>INDEX(Input!$D$2:$AC$500,
       MATCH(B344, Input!$J$2:$J$500, 0),
       MATCH("Total Memory", Input!$D$1:$AC$1, 0))</f>
        <v>#N/A</v>
      </c>
      <c r="L344" s="42"/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e">
        <f t="shared" si="17"/>
        <v>#N/A</v>
      </c>
      <c r="O344" s="42" t="e">
        <f>INDEX(Input!$D$2:$AC$500,
       MATCH(B344, Input!$J$2:$J$500, 0),
       MATCH("Disk Interface Type", Input!$D$1:$AC$1, 0))</f>
        <v>#N/A</v>
      </c>
      <c r="P344" s="42" t="str" cm="1">
        <f t="array" ref="P344">IFERROR(_xlfn.TEXTJOIN(", ", TRUE, _xlfn._xlws.FILTER(
    INDEX(Input!$D$2:$AC$500,,MATCH("Disk Capacity",Input!$D$1:$AC$1,0)),
    Input!$J$2:$J$500=B344
)), "")</f>
        <v/>
      </c>
      <c r="Q344" s="32" t="e">
        <f t="shared" si="16"/>
        <v>#N/A</v>
      </c>
      <c r="R344" s="42" t="e">
        <f>_xlfn.LET(_xlpm.Result,INDEX(Input!$D$2:$AC$500,
       MATCH(B344, Input!$J$2:$J$500, 0),
       MATCH("Capacity", Input!$D$1:$AC$1, 0)),IF(_xlpm.Result="","",_xlpm.Result))</f>
        <v>#N/A</v>
      </c>
      <c r="S344" s="42" t="e" cm="1">
        <f t="array" ref="S344">_xlfn.TEXTSPLIT(R344," / ", ,TRUE,0,)</f>
        <v>#N/A</v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/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/>
      <c r="AG344" s="32"/>
      <c r="AH344" s="32"/>
      <c r="AI344" s="32"/>
      <c r="AJ344" s="32"/>
      <c r="AK344" s="32"/>
      <c r="AL344" s="32"/>
      <c r="AM344" s="32"/>
    </row>
    <row r="345" spans="1:39">
      <c r="A345" s="32" t="str">
        <f>_xlfn.XLOOKUP(B345,Input!J:J,Input!G:G)&amp;""</f>
        <v/>
      </c>
      <c r="B345" s="32"/>
      <c r="C345" s="32" t="str">
        <f>_xlfn.XLOOKUP(B345,Input!J:J,Input!H:H)&amp;""</f>
        <v/>
      </c>
      <c r="D345" s="42">
        <f>_xlfn.XLOOKUP(B345,Input!J:J,Input!F:F)</f>
        <v>0</v>
      </c>
      <c r="E345" s="32">
        <f>_xlfn.XLOOKUP(D345,Models!H:H,Models!G:G,D345)</f>
        <v>0</v>
      </c>
      <c r="F345" s="32">
        <f>_xlfn.XLOOKUP(B345,Input!J:J,Input!E:E)</f>
        <v>0</v>
      </c>
      <c r="G345" s="32">
        <f>IF(F345="LENOVO",_xlfn.XLOOKUP(B345,Input!J:J,Input!K:K),_xlfn.XLOOKUP(B345,Input!J:J,Input!L:L))</f>
        <v>0</v>
      </c>
      <c r="H345" s="32"/>
      <c r="I345" s="32"/>
      <c r="J345" s="32"/>
      <c r="K345" s="42" t="e">
        <f>INDEX(Input!$D$2:$AC$500,
       MATCH(B345, Input!$J$2:$J$500, 0),
       MATCH("Total Memory", Input!$D$1:$AC$1, 0))</f>
        <v>#N/A</v>
      </c>
      <c r="L345" s="42"/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e">
        <f t="shared" si="17"/>
        <v>#N/A</v>
      </c>
      <c r="O345" s="42" t="e">
        <f>INDEX(Input!$D$2:$AC$500,
       MATCH(B345, Input!$J$2:$J$500, 0),
       MATCH("Disk Interface Type", Input!$D$1:$AC$1, 0))</f>
        <v>#N/A</v>
      </c>
      <c r="P345" s="42" t="str" cm="1">
        <f t="array" ref="P345">IFERROR(_xlfn.TEXTJOIN(", ", TRUE, _xlfn._xlws.FILTER(
    INDEX(Input!$D$2:$AC$500,,MATCH("Disk Capacity",Input!$D$1:$AC$1,0)),
    Input!$J$2:$J$500=B345
)), "")</f>
        <v/>
      </c>
      <c r="Q345" s="32" t="e">
        <f t="shared" si="16"/>
        <v>#N/A</v>
      </c>
      <c r="R345" s="42" t="e">
        <f>_xlfn.LET(_xlpm.Result,INDEX(Input!$D$2:$AC$500,
       MATCH(B345, Input!$J$2:$J$500, 0),
       MATCH("Capacity", Input!$D$1:$AC$1, 0)),IF(_xlpm.Result="","",_xlpm.Result))</f>
        <v>#N/A</v>
      </c>
      <c r="S345" s="42" t="e" cm="1">
        <f t="array" ref="S345">_xlfn.TEXTSPLIT(R345," / ", ,TRUE,0,)</f>
        <v>#N/A</v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/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/>
      <c r="AG345" s="32"/>
      <c r="AH345" s="32"/>
      <c r="AI345" s="32"/>
      <c r="AJ345" s="32"/>
      <c r="AK345" s="32"/>
      <c r="AL345" s="32"/>
      <c r="AM345" s="32"/>
    </row>
    <row r="346" spans="1:39">
      <c r="A346" s="32" t="str">
        <f>_xlfn.XLOOKUP(B346,Input!J:J,Input!G:G)&amp;""</f>
        <v/>
      </c>
      <c r="B346" s="32"/>
      <c r="C346" s="32" t="str">
        <f>_xlfn.XLOOKUP(B346,Input!J:J,Input!H:H)&amp;""</f>
        <v/>
      </c>
      <c r="D346" s="42">
        <f>_xlfn.XLOOKUP(B346,Input!J:J,Input!F:F)</f>
        <v>0</v>
      </c>
      <c r="E346" s="32">
        <f>_xlfn.XLOOKUP(D346,Models!H:H,Models!G:G,D346)</f>
        <v>0</v>
      </c>
      <c r="F346" s="32">
        <f>_xlfn.XLOOKUP(B346,Input!J:J,Input!E:E)</f>
        <v>0</v>
      </c>
      <c r="G346" s="32">
        <f>IF(F346="LENOVO",_xlfn.XLOOKUP(B346,Input!J:J,Input!K:K),_xlfn.XLOOKUP(B346,Input!J:J,Input!L:L))</f>
        <v>0</v>
      </c>
      <c r="H346" s="32"/>
      <c r="I346" s="32"/>
      <c r="J346" s="32"/>
      <c r="K346" s="42" t="e">
        <f>INDEX(Input!$D$2:$AC$500,
       MATCH(B346, Input!$J$2:$J$500, 0),
       MATCH("Total Memory", Input!$D$1:$AC$1, 0))</f>
        <v>#N/A</v>
      </c>
      <c r="L346" s="42"/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e">
        <f t="shared" si="17"/>
        <v>#N/A</v>
      </c>
      <c r="O346" s="42" t="e">
        <f>INDEX(Input!$D$2:$AC$500,
       MATCH(B346, Input!$J$2:$J$500, 0),
       MATCH("Disk Interface Type", Input!$D$1:$AC$1, 0))</f>
        <v>#N/A</v>
      </c>
      <c r="P346" s="42" t="str" cm="1">
        <f t="array" ref="P346">IFERROR(_xlfn.TEXTJOIN(", ", TRUE, _xlfn._xlws.FILTER(
    INDEX(Input!$D$2:$AC$500,,MATCH("Disk Capacity",Input!$D$1:$AC$1,0)),
    Input!$J$2:$J$500=B346
)), "")</f>
        <v/>
      </c>
      <c r="Q346" s="32" t="e">
        <f t="shared" si="16"/>
        <v>#N/A</v>
      </c>
      <c r="R346" s="42" t="e">
        <f>_xlfn.LET(_xlpm.Result,INDEX(Input!$D$2:$AC$500,
       MATCH(B346, Input!$J$2:$J$500, 0),
       MATCH("Capacity", Input!$D$1:$AC$1, 0)),IF(_xlpm.Result="","",_xlpm.Result))</f>
        <v>#N/A</v>
      </c>
      <c r="S346" s="42" t="e" cm="1">
        <f t="array" ref="S346">_xlfn.TEXTSPLIT(R346," / ", ,TRUE,0,)</f>
        <v>#N/A</v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/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/>
      <c r="AG346" s="32"/>
      <c r="AH346" s="32"/>
      <c r="AI346" s="32"/>
      <c r="AJ346" s="32"/>
      <c r="AK346" s="32"/>
      <c r="AL346" s="32"/>
      <c r="AM346" s="32"/>
    </row>
    <row r="347" spans="1:39">
      <c r="A347" s="32" t="str">
        <f>_xlfn.XLOOKUP(B347,Input!J:J,Input!G:G)&amp;""</f>
        <v/>
      </c>
      <c r="B347" s="32"/>
      <c r="C347" s="32" t="str">
        <f>_xlfn.XLOOKUP(B347,Input!J:J,Input!H:H)&amp;""</f>
        <v/>
      </c>
      <c r="D347" s="42">
        <f>_xlfn.XLOOKUP(B347,Input!J:J,Input!F:F)</f>
        <v>0</v>
      </c>
      <c r="E347" s="32">
        <f>_xlfn.XLOOKUP(D347,Models!H:H,Models!G:G,D347)</f>
        <v>0</v>
      </c>
      <c r="F347" s="32">
        <f>_xlfn.XLOOKUP(B347,Input!J:J,Input!E:E)</f>
        <v>0</v>
      </c>
      <c r="G347" s="32">
        <f>IF(F347="LENOVO",_xlfn.XLOOKUP(B347,Input!J:J,Input!K:K),_xlfn.XLOOKUP(B347,Input!J:J,Input!L:L))</f>
        <v>0</v>
      </c>
      <c r="H347" s="32"/>
      <c r="I347" s="32"/>
      <c r="J347" s="32"/>
      <c r="K347" s="42" t="e">
        <f>INDEX(Input!$D$2:$AC$500,
       MATCH(B347, Input!$J$2:$J$500, 0),
       MATCH("Total Memory", Input!$D$1:$AC$1, 0))</f>
        <v>#N/A</v>
      </c>
      <c r="L347" s="42"/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e">
        <f t="shared" si="17"/>
        <v>#N/A</v>
      </c>
      <c r="O347" s="42" t="e">
        <f>INDEX(Input!$D$2:$AC$500,
       MATCH(B347, Input!$J$2:$J$500, 0),
       MATCH("Disk Interface Type", Input!$D$1:$AC$1, 0))</f>
        <v>#N/A</v>
      </c>
      <c r="P347" s="42" t="str" cm="1">
        <f t="array" ref="P347">IFERROR(_xlfn.TEXTJOIN(", ", TRUE, _xlfn._xlws.FILTER(
    INDEX(Input!$D$2:$AC$500,,MATCH("Disk Capacity",Input!$D$1:$AC$1,0)),
    Input!$J$2:$J$500=B347
)), "")</f>
        <v/>
      </c>
      <c r="Q347" s="32" t="e">
        <f t="shared" si="16"/>
        <v>#N/A</v>
      </c>
      <c r="R347" s="42" t="e">
        <f>_xlfn.LET(_xlpm.Result,INDEX(Input!$D$2:$AC$500,
       MATCH(B347, Input!$J$2:$J$500, 0),
       MATCH("Capacity", Input!$D$1:$AC$1, 0)),IF(_xlpm.Result="","",_xlpm.Result))</f>
        <v>#N/A</v>
      </c>
      <c r="S347" s="42" t="e" cm="1">
        <f t="array" ref="S347">_xlfn.TEXTSPLIT(R347," / ", ,TRUE,0,)</f>
        <v>#N/A</v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/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/>
      <c r="AG347" s="32"/>
      <c r="AH347" s="32"/>
      <c r="AI347" s="32"/>
      <c r="AJ347" s="32"/>
      <c r="AK347" s="32"/>
      <c r="AL347" s="32"/>
      <c r="AM347" s="32"/>
    </row>
    <row r="348" spans="1:39">
      <c r="A348" s="32" t="str">
        <f>_xlfn.XLOOKUP(B348,Input!J:J,Input!G:G)&amp;""</f>
        <v/>
      </c>
      <c r="B348" s="32"/>
      <c r="C348" s="32" t="str">
        <f>_xlfn.XLOOKUP(B348,Input!J:J,Input!H:H)&amp;""</f>
        <v/>
      </c>
      <c r="D348" s="42">
        <f>_xlfn.XLOOKUP(B348,Input!J:J,Input!F:F)</f>
        <v>0</v>
      </c>
      <c r="E348" s="32">
        <f>_xlfn.XLOOKUP(D348,Models!H:H,Models!G:G,D348)</f>
        <v>0</v>
      </c>
      <c r="F348" s="32">
        <f>_xlfn.XLOOKUP(B348,Input!J:J,Input!E:E)</f>
        <v>0</v>
      </c>
      <c r="G348" s="32">
        <f>IF(F348="LENOVO",_xlfn.XLOOKUP(B348,Input!J:J,Input!K:K),_xlfn.XLOOKUP(B348,Input!J:J,Input!L:L))</f>
        <v>0</v>
      </c>
      <c r="H348" s="32"/>
      <c r="I348" s="32"/>
      <c r="J348" s="32"/>
      <c r="K348" s="42" t="e">
        <f>INDEX(Input!$D$2:$AC$500,
       MATCH(B348, Input!$J$2:$J$500, 0),
       MATCH("Total Memory", Input!$D$1:$AC$1, 0))</f>
        <v>#N/A</v>
      </c>
      <c r="L348" s="42"/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e">
        <f t="shared" si="17"/>
        <v>#N/A</v>
      </c>
      <c r="O348" s="42" t="e">
        <f>INDEX(Input!$D$2:$AC$500,
       MATCH(B348, Input!$J$2:$J$500, 0),
       MATCH("Disk Interface Type", Input!$D$1:$AC$1, 0))</f>
        <v>#N/A</v>
      </c>
      <c r="P348" s="42" t="str" cm="1">
        <f t="array" ref="P348">IFERROR(_xlfn.TEXTJOIN(", ", TRUE, _xlfn._xlws.FILTER(
    INDEX(Input!$D$2:$AC$500,,MATCH("Disk Capacity",Input!$D$1:$AC$1,0)),
    Input!$J$2:$J$500=B348
)), "")</f>
        <v/>
      </c>
      <c r="Q348" s="32" t="e">
        <f t="shared" si="16"/>
        <v>#N/A</v>
      </c>
      <c r="R348" s="42" t="e">
        <f>_xlfn.LET(_xlpm.Result,INDEX(Input!$D$2:$AC$500,
       MATCH(B348, Input!$J$2:$J$500, 0),
       MATCH("Capacity", Input!$D$1:$AC$1, 0)),IF(_xlpm.Result="","",_xlpm.Result))</f>
        <v>#N/A</v>
      </c>
      <c r="S348" s="42" t="e" cm="1">
        <f t="array" ref="S348">_xlfn.TEXTSPLIT(R348," / ", ,TRUE,0,)</f>
        <v>#N/A</v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/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/>
      <c r="AG348" s="32"/>
      <c r="AH348" s="32"/>
      <c r="AI348" s="32"/>
      <c r="AJ348" s="32"/>
      <c r="AK348" s="32"/>
      <c r="AL348" s="32"/>
      <c r="AM348" s="32"/>
    </row>
    <row r="349" spans="1:39">
      <c r="A349" s="32" t="str">
        <f>_xlfn.XLOOKUP(B349,Input!J:J,Input!G:G)&amp;""</f>
        <v/>
      </c>
      <c r="B349" s="32"/>
      <c r="C349" s="32" t="str">
        <f>_xlfn.XLOOKUP(B349,Input!J:J,Input!H:H)&amp;""</f>
        <v/>
      </c>
      <c r="D349" s="42">
        <f>_xlfn.XLOOKUP(B349,Input!J:J,Input!F:F)</f>
        <v>0</v>
      </c>
      <c r="E349" s="32">
        <f>_xlfn.XLOOKUP(D349,Models!H:H,Models!G:G,D349)</f>
        <v>0</v>
      </c>
      <c r="F349" s="32">
        <f>_xlfn.XLOOKUP(B349,Input!J:J,Input!E:E)</f>
        <v>0</v>
      </c>
      <c r="G349" s="32">
        <f>IF(F349="LENOVO",_xlfn.XLOOKUP(B349,Input!J:J,Input!K:K),_xlfn.XLOOKUP(B349,Input!J:J,Input!L:L))</f>
        <v>0</v>
      </c>
      <c r="H349" s="32"/>
      <c r="I349" s="32"/>
      <c r="J349" s="32"/>
      <c r="K349" s="42" t="e">
        <f>INDEX(Input!$D$2:$AC$500,
       MATCH(B349, Input!$J$2:$J$500, 0),
       MATCH("Total Memory", Input!$D$1:$AC$1, 0))</f>
        <v>#N/A</v>
      </c>
      <c r="L349" s="42"/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e">
        <f t="shared" si="17"/>
        <v>#N/A</v>
      </c>
      <c r="O349" s="42" t="e">
        <f>INDEX(Input!$D$2:$AC$500,
       MATCH(B349, Input!$J$2:$J$500, 0),
       MATCH("Disk Interface Type", Input!$D$1:$AC$1, 0))</f>
        <v>#N/A</v>
      </c>
      <c r="P349" s="42" t="str" cm="1">
        <f t="array" ref="P349">IFERROR(_xlfn.TEXTJOIN(", ", TRUE, _xlfn._xlws.FILTER(
    INDEX(Input!$D$2:$AC$500,,MATCH("Disk Capacity",Input!$D$1:$AC$1,0)),
    Input!$J$2:$J$500=B349
)), "")</f>
        <v/>
      </c>
      <c r="Q349" s="32" t="e">
        <f t="shared" si="16"/>
        <v>#N/A</v>
      </c>
      <c r="R349" s="42" t="e">
        <f>_xlfn.LET(_xlpm.Result,INDEX(Input!$D$2:$AC$500,
       MATCH(B349, Input!$J$2:$J$500, 0),
       MATCH("Capacity", Input!$D$1:$AC$1, 0)),IF(_xlpm.Result="","",_xlpm.Result))</f>
        <v>#N/A</v>
      </c>
      <c r="S349" s="42" t="e" cm="1">
        <f t="array" ref="S349">_xlfn.TEXTSPLIT(R349," / ", ,TRUE,0,)</f>
        <v>#N/A</v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/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/>
      <c r="AG349" s="32"/>
      <c r="AH349" s="32"/>
      <c r="AI349" s="32"/>
      <c r="AJ349" s="32"/>
      <c r="AK349" s="32"/>
      <c r="AL349" s="32"/>
      <c r="AM349" s="32"/>
    </row>
    <row r="350" spans="1:39">
      <c r="A350" s="32" t="str">
        <f>_xlfn.XLOOKUP(B350,Input!J:J,Input!G:G)&amp;""</f>
        <v/>
      </c>
      <c r="B350" s="32"/>
      <c r="C350" s="32" t="str">
        <f>_xlfn.XLOOKUP(B350,Input!J:J,Input!H:H)&amp;""</f>
        <v/>
      </c>
      <c r="D350" s="42">
        <f>_xlfn.XLOOKUP(B350,Input!J:J,Input!F:F)</f>
        <v>0</v>
      </c>
      <c r="E350" s="32">
        <f>_xlfn.XLOOKUP(D350,Models!H:H,Models!G:G,D350)</f>
        <v>0</v>
      </c>
      <c r="F350" s="32">
        <f>_xlfn.XLOOKUP(B350,Input!J:J,Input!E:E)</f>
        <v>0</v>
      </c>
      <c r="G350" s="32">
        <f>IF(F350="LENOVO",_xlfn.XLOOKUP(B350,Input!J:J,Input!K:K),_xlfn.XLOOKUP(B350,Input!J:J,Input!L:L))</f>
        <v>0</v>
      </c>
      <c r="H350" s="32"/>
      <c r="I350" s="32"/>
      <c r="J350" s="32"/>
      <c r="K350" s="42" t="e">
        <f>INDEX(Input!$D$2:$AC$500,
       MATCH(B350, Input!$J$2:$J$500, 0),
       MATCH("Total Memory", Input!$D$1:$AC$1, 0))</f>
        <v>#N/A</v>
      </c>
      <c r="L350" s="42"/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e">
        <f t="shared" si="17"/>
        <v>#N/A</v>
      </c>
      <c r="O350" s="42" t="e">
        <f>INDEX(Input!$D$2:$AC$500,
       MATCH(B350, Input!$J$2:$J$500, 0),
       MATCH("Disk Interface Type", Input!$D$1:$AC$1, 0))</f>
        <v>#N/A</v>
      </c>
      <c r="P350" s="42" t="str" cm="1">
        <f t="array" ref="P350">IFERROR(_xlfn.TEXTJOIN(", ", TRUE, _xlfn._xlws.FILTER(
    INDEX(Input!$D$2:$AC$500,,MATCH("Disk Capacity",Input!$D$1:$AC$1,0)),
    Input!$J$2:$J$500=B350
)), "")</f>
        <v/>
      </c>
      <c r="Q350" s="32" t="e">
        <f t="shared" si="16"/>
        <v>#N/A</v>
      </c>
      <c r="R350" s="42" t="e">
        <f>_xlfn.LET(_xlpm.Result,INDEX(Input!$D$2:$AC$500,
       MATCH(B350, Input!$J$2:$J$500, 0),
       MATCH("Capacity", Input!$D$1:$AC$1, 0)),IF(_xlpm.Result="","",_xlpm.Result))</f>
        <v>#N/A</v>
      </c>
      <c r="S350" s="42" t="e" cm="1">
        <f t="array" ref="S350">_xlfn.TEXTSPLIT(R350," / ", ,TRUE,0,)</f>
        <v>#N/A</v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/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/>
      <c r="AG350" s="32"/>
      <c r="AH350" s="32"/>
      <c r="AI350" s="32"/>
      <c r="AJ350" s="32"/>
      <c r="AK350" s="32"/>
      <c r="AL350" s="32"/>
      <c r="AM350" s="32"/>
    </row>
    <row r="351" spans="1:39">
      <c r="A351" s="32" t="str">
        <f>_xlfn.XLOOKUP(B351,Input!J:J,Input!G:G)&amp;""</f>
        <v/>
      </c>
      <c r="B351" s="32"/>
      <c r="C351" s="32" t="str">
        <f>_xlfn.XLOOKUP(B351,Input!J:J,Input!H:H)&amp;""</f>
        <v/>
      </c>
      <c r="D351" s="42">
        <f>_xlfn.XLOOKUP(B351,Input!J:J,Input!F:F)</f>
        <v>0</v>
      </c>
      <c r="E351" s="32">
        <f>_xlfn.XLOOKUP(D351,Models!H:H,Models!G:G,D351)</f>
        <v>0</v>
      </c>
      <c r="F351" s="32">
        <f>_xlfn.XLOOKUP(B351,Input!J:J,Input!E:E)</f>
        <v>0</v>
      </c>
      <c r="G351" s="32">
        <f>IF(F351="LENOVO",_xlfn.XLOOKUP(B351,Input!J:J,Input!K:K),_xlfn.XLOOKUP(B351,Input!J:J,Input!L:L))</f>
        <v>0</v>
      </c>
      <c r="H351" s="32"/>
      <c r="I351" s="32"/>
      <c r="J351" s="32"/>
      <c r="K351" s="42" t="e">
        <f>INDEX(Input!$D$2:$AC$500,
       MATCH(B351, Input!$J$2:$J$500, 0),
       MATCH("Total Memory", Input!$D$1:$AC$1, 0))</f>
        <v>#N/A</v>
      </c>
      <c r="L351" s="42"/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e">
        <f t="shared" si="17"/>
        <v>#N/A</v>
      </c>
      <c r="O351" s="42" t="e">
        <f>INDEX(Input!$D$2:$AC$500,
       MATCH(B351, Input!$J$2:$J$500, 0),
       MATCH("Disk Interface Type", Input!$D$1:$AC$1, 0))</f>
        <v>#N/A</v>
      </c>
      <c r="P351" s="42" t="str" cm="1">
        <f t="array" ref="P351">IFERROR(_xlfn.TEXTJOIN(", ", TRUE, _xlfn._xlws.FILTER(
    INDEX(Input!$D$2:$AC$500,,MATCH("Disk Capacity",Input!$D$1:$AC$1,0)),
    Input!$J$2:$J$500=B351
)), "")</f>
        <v/>
      </c>
      <c r="Q351" s="32" t="e">
        <f t="shared" si="16"/>
        <v>#N/A</v>
      </c>
      <c r="R351" s="42" t="e">
        <f>_xlfn.LET(_xlpm.Result,INDEX(Input!$D$2:$AC$500,
       MATCH(B351, Input!$J$2:$J$500, 0),
       MATCH("Capacity", Input!$D$1:$AC$1, 0)),IF(_xlpm.Result="","",_xlpm.Result))</f>
        <v>#N/A</v>
      </c>
      <c r="S351" s="42" t="e" cm="1">
        <f t="array" ref="S351">_xlfn.TEXTSPLIT(R351," / ", ,TRUE,0,)</f>
        <v>#N/A</v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/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/>
      <c r="AG351" s="32"/>
      <c r="AH351" s="32"/>
      <c r="AI351" s="32"/>
      <c r="AJ351" s="32"/>
      <c r="AK351" s="32"/>
      <c r="AL351" s="32"/>
      <c r="AM351" s="32"/>
    </row>
    <row r="352" spans="1:39">
      <c r="A352" s="32" t="str">
        <f>_xlfn.XLOOKUP(B352,Input!J:J,Input!G:G)&amp;""</f>
        <v/>
      </c>
      <c r="B352" s="32"/>
      <c r="C352" s="32" t="str">
        <f>_xlfn.XLOOKUP(B352,Input!J:J,Input!H:H)&amp;""</f>
        <v/>
      </c>
      <c r="D352" s="42">
        <f>_xlfn.XLOOKUP(B352,Input!J:J,Input!F:F)</f>
        <v>0</v>
      </c>
      <c r="E352" s="32">
        <f>_xlfn.XLOOKUP(D352,Models!H:H,Models!G:G,D352)</f>
        <v>0</v>
      </c>
      <c r="F352" s="32">
        <f>_xlfn.XLOOKUP(B352,Input!J:J,Input!E:E)</f>
        <v>0</v>
      </c>
      <c r="G352" s="32">
        <f>IF(F352="LENOVO",_xlfn.XLOOKUP(B352,Input!J:J,Input!K:K),_xlfn.XLOOKUP(B352,Input!J:J,Input!L:L))</f>
        <v>0</v>
      </c>
      <c r="H352" s="32"/>
      <c r="I352" s="32"/>
      <c r="J352" s="32"/>
      <c r="K352" s="42" t="e">
        <f>INDEX(Input!$D$2:$AC$500,
       MATCH(B352, Input!$J$2:$J$500, 0),
       MATCH("Total Memory", Input!$D$1:$AC$1, 0))</f>
        <v>#N/A</v>
      </c>
      <c r="L352" s="42"/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e">
        <f t="shared" si="17"/>
        <v>#N/A</v>
      </c>
      <c r="O352" s="42" t="e">
        <f>INDEX(Input!$D$2:$AC$500,
       MATCH(B352, Input!$J$2:$J$500, 0),
       MATCH("Disk Interface Type", Input!$D$1:$AC$1, 0))</f>
        <v>#N/A</v>
      </c>
      <c r="P352" s="42" t="str" cm="1">
        <f t="array" ref="P352">IFERROR(_xlfn.TEXTJOIN(", ", TRUE, _xlfn._xlws.FILTER(
    INDEX(Input!$D$2:$AC$500,,MATCH("Disk Capacity",Input!$D$1:$AC$1,0)),
    Input!$J$2:$J$500=B352
)), "")</f>
        <v/>
      </c>
      <c r="Q352" s="32" t="e">
        <f t="shared" si="16"/>
        <v>#N/A</v>
      </c>
      <c r="R352" s="42" t="e">
        <f>_xlfn.LET(_xlpm.Result,INDEX(Input!$D$2:$AC$500,
       MATCH(B352, Input!$J$2:$J$500, 0),
       MATCH("Capacity", Input!$D$1:$AC$1, 0)),IF(_xlpm.Result="","",_xlpm.Result))</f>
        <v>#N/A</v>
      </c>
      <c r="S352" s="42" t="e" cm="1">
        <f t="array" ref="S352">_xlfn.TEXTSPLIT(R352," / ", ,TRUE,0,)</f>
        <v>#N/A</v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/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/>
      <c r="AG352" s="32"/>
      <c r="AH352" s="32"/>
      <c r="AI352" s="32"/>
      <c r="AJ352" s="32"/>
      <c r="AK352" s="32"/>
      <c r="AL352" s="32"/>
      <c r="AM352" s="32"/>
    </row>
    <row r="353" spans="1:39">
      <c r="A353" s="32" t="str">
        <f>_xlfn.XLOOKUP(B353,Input!J:J,Input!G:G)&amp;""</f>
        <v/>
      </c>
      <c r="B353" s="32"/>
      <c r="C353" s="32" t="str">
        <f>_xlfn.XLOOKUP(B353,Input!J:J,Input!H:H)&amp;""</f>
        <v/>
      </c>
      <c r="D353" s="42">
        <f>_xlfn.XLOOKUP(B353,Input!J:J,Input!F:F)</f>
        <v>0</v>
      </c>
      <c r="E353" s="32">
        <f>_xlfn.XLOOKUP(D353,Models!H:H,Models!G:G,D353)</f>
        <v>0</v>
      </c>
      <c r="F353" s="32">
        <f>_xlfn.XLOOKUP(B353,Input!J:J,Input!E:E)</f>
        <v>0</v>
      </c>
      <c r="G353" s="32">
        <f>IF(F353="LENOVO",_xlfn.XLOOKUP(B353,Input!J:J,Input!K:K),_xlfn.XLOOKUP(B353,Input!J:J,Input!L:L))</f>
        <v>0</v>
      </c>
      <c r="H353" s="32"/>
      <c r="I353" s="32"/>
      <c r="J353" s="32"/>
      <c r="K353" s="42" t="e">
        <f>INDEX(Input!$D$2:$AC$500,
       MATCH(B353, Input!$J$2:$J$500, 0),
       MATCH("Total Memory", Input!$D$1:$AC$1, 0))</f>
        <v>#N/A</v>
      </c>
      <c r="L353" s="42"/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e">
        <f t="shared" si="17"/>
        <v>#N/A</v>
      </c>
      <c r="O353" s="42" t="e">
        <f>INDEX(Input!$D$2:$AC$500,
       MATCH(B353, Input!$J$2:$J$500, 0),
       MATCH("Disk Interface Type", Input!$D$1:$AC$1, 0))</f>
        <v>#N/A</v>
      </c>
      <c r="P353" s="42" t="str" cm="1">
        <f t="array" ref="P353">IFERROR(_xlfn.TEXTJOIN(", ", TRUE, _xlfn._xlws.FILTER(
    INDEX(Input!$D$2:$AC$500,,MATCH("Disk Capacity",Input!$D$1:$AC$1,0)),
    Input!$J$2:$J$500=B353
)), "")</f>
        <v/>
      </c>
      <c r="Q353" s="32" t="e">
        <f t="shared" si="16"/>
        <v>#N/A</v>
      </c>
      <c r="R353" s="42" t="e">
        <f>_xlfn.LET(_xlpm.Result,INDEX(Input!$D$2:$AC$500,
       MATCH(B353, Input!$J$2:$J$500, 0),
       MATCH("Capacity", Input!$D$1:$AC$1, 0)),IF(_xlpm.Result="","",_xlpm.Result))</f>
        <v>#N/A</v>
      </c>
      <c r="S353" s="42" t="e" cm="1">
        <f t="array" ref="S353">_xlfn.TEXTSPLIT(R353," / ", ,TRUE,0,)</f>
        <v>#N/A</v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/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/>
      <c r="AG353" s="32"/>
      <c r="AH353" s="32"/>
      <c r="AI353" s="32"/>
      <c r="AJ353" s="32"/>
      <c r="AK353" s="32"/>
      <c r="AL353" s="32"/>
      <c r="AM353" s="32"/>
    </row>
    <row r="354" spans="1:39">
      <c r="A354" s="32" t="str">
        <f>_xlfn.XLOOKUP(B354,Input!J:J,Input!G:G)&amp;""</f>
        <v/>
      </c>
      <c r="B354" s="32"/>
      <c r="C354" s="32" t="str">
        <f>_xlfn.XLOOKUP(B354,Input!J:J,Input!H:H)&amp;""</f>
        <v/>
      </c>
      <c r="D354" s="42">
        <f>_xlfn.XLOOKUP(B354,Input!J:J,Input!F:F)</f>
        <v>0</v>
      </c>
      <c r="E354" s="32">
        <f>_xlfn.XLOOKUP(D354,Models!H:H,Models!G:G,D354)</f>
        <v>0</v>
      </c>
      <c r="F354" s="32">
        <f>_xlfn.XLOOKUP(B354,Input!J:J,Input!E:E)</f>
        <v>0</v>
      </c>
      <c r="G354" s="32">
        <f>IF(F354="LENOVO",_xlfn.XLOOKUP(B354,Input!J:J,Input!K:K),_xlfn.XLOOKUP(B354,Input!J:J,Input!L:L))</f>
        <v>0</v>
      </c>
      <c r="H354" s="32"/>
      <c r="I354" s="32"/>
      <c r="J354" s="32"/>
      <c r="K354" s="42" t="e">
        <f>INDEX(Input!$D$2:$AC$500,
       MATCH(B354, Input!$J$2:$J$500, 0),
       MATCH("Total Memory", Input!$D$1:$AC$1, 0))</f>
        <v>#N/A</v>
      </c>
      <c r="L354" s="42"/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e">
        <f t="shared" si="17"/>
        <v>#N/A</v>
      </c>
      <c r="O354" s="42" t="e">
        <f>INDEX(Input!$D$2:$AC$500,
       MATCH(B354, Input!$J$2:$J$500, 0),
       MATCH("Disk Interface Type", Input!$D$1:$AC$1, 0))</f>
        <v>#N/A</v>
      </c>
      <c r="P354" s="42" t="str" cm="1">
        <f t="array" ref="P354">IFERROR(_xlfn.TEXTJOIN(", ", TRUE, _xlfn._xlws.FILTER(
    INDEX(Input!$D$2:$AC$500,,MATCH("Disk Capacity",Input!$D$1:$AC$1,0)),
    Input!$J$2:$J$500=B354
)), "")</f>
        <v/>
      </c>
      <c r="Q354" s="32" t="e">
        <f t="shared" si="16"/>
        <v>#N/A</v>
      </c>
      <c r="R354" s="42" t="e">
        <f>_xlfn.LET(_xlpm.Result,INDEX(Input!$D$2:$AC$500,
       MATCH(B354, Input!$J$2:$J$500, 0),
       MATCH("Capacity", Input!$D$1:$AC$1, 0)),IF(_xlpm.Result="","",_xlpm.Result))</f>
        <v>#N/A</v>
      </c>
      <c r="S354" s="42" t="e" cm="1">
        <f t="array" ref="S354">_xlfn.TEXTSPLIT(R354," / ", ,TRUE,0,)</f>
        <v>#N/A</v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/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/>
      <c r="AG354" s="32"/>
      <c r="AH354" s="32"/>
      <c r="AI354" s="32"/>
      <c r="AJ354" s="32"/>
      <c r="AK354" s="32"/>
      <c r="AL354" s="32"/>
      <c r="AM354" s="32"/>
    </row>
    <row r="355" spans="1:39">
      <c r="A355" s="32" t="str">
        <f>_xlfn.XLOOKUP(B355,Input!J:J,Input!G:G)&amp;""</f>
        <v/>
      </c>
      <c r="B355" s="32"/>
      <c r="C355" s="32" t="str">
        <f>_xlfn.XLOOKUP(B355,Input!J:J,Input!H:H)&amp;""</f>
        <v/>
      </c>
      <c r="D355" s="42">
        <f>_xlfn.XLOOKUP(B355,Input!J:J,Input!F:F)</f>
        <v>0</v>
      </c>
      <c r="E355" s="32">
        <f>_xlfn.XLOOKUP(D355,Models!H:H,Models!G:G,D355)</f>
        <v>0</v>
      </c>
      <c r="F355" s="32">
        <f>_xlfn.XLOOKUP(B355,Input!J:J,Input!E:E)</f>
        <v>0</v>
      </c>
      <c r="G355" s="32">
        <f>IF(F355="LENOVO",_xlfn.XLOOKUP(B355,Input!J:J,Input!K:K),_xlfn.XLOOKUP(B355,Input!J:J,Input!L:L))</f>
        <v>0</v>
      </c>
      <c r="H355" s="32"/>
      <c r="I355" s="32"/>
      <c r="J355" s="32"/>
      <c r="K355" s="42" t="e">
        <f>INDEX(Input!$D$2:$AC$500,
       MATCH(B355, Input!$J$2:$J$500, 0),
       MATCH("Total Memory", Input!$D$1:$AC$1, 0))</f>
        <v>#N/A</v>
      </c>
      <c r="L355" s="42"/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e">
        <f t="shared" si="17"/>
        <v>#N/A</v>
      </c>
      <c r="O355" s="42" t="e">
        <f>INDEX(Input!$D$2:$AC$500,
       MATCH(B355, Input!$J$2:$J$500, 0),
       MATCH("Disk Interface Type", Input!$D$1:$AC$1, 0))</f>
        <v>#N/A</v>
      </c>
      <c r="P355" s="42" t="str" cm="1">
        <f t="array" ref="P355">IFERROR(_xlfn.TEXTJOIN(", ", TRUE, _xlfn._xlws.FILTER(
    INDEX(Input!$D$2:$AC$500,,MATCH("Disk Capacity",Input!$D$1:$AC$1,0)),
    Input!$J$2:$J$500=B355
)), "")</f>
        <v/>
      </c>
      <c r="Q355" s="32" t="e">
        <f t="shared" si="16"/>
        <v>#N/A</v>
      </c>
      <c r="R355" s="42" t="e">
        <f>_xlfn.LET(_xlpm.Result,INDEX(Input!$D$2:$AC$500,
       MATCH(B355, Input!$J$2:$J$500, 0),
       MATCH("Capacity", Input!$D$1:$AC$1, 0)),IF(_xlpm.Result="","",_xlpm.Result))</f>
        <v>#N/A</v>
      </c>
      <c r="S355" s="42" t="e" cm="1">
        <f t="array" ref="S355">_xlfn.TEXTSPLIT(R355," / ", ,TRUE,0,)</f>
        <v>#N/A</v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/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/>
      <c r="AG355" s="32"/>
      <c r="AH355" s="32"/>
      <c r="AI355" s="32"/>
      <c r="AJ355" s="32"/>
      <c r="AK355" s="32"/>
      <c r="AL355" s="32"/>
      <c r="AM355" s="32"/>
    </row>
    <row r="356" spans="1:39">
      <c r="A356" s="32" t="str">
        <f>_xlfn.XLOOKUP(B356,Input!J:J,Input!G:G)&amp;""</f>
        <v/>
      </c>
      <c r="B356" s="32"/>
      <c r="C356" s="32" t="str">
        <f>_xlfn.XLOOKUP(B356,Input!J:J,Input!H:H)&amp;""</f>
        <v/>
      </c>
      <c r="D356" s="42">
        <f>_xlfn.XLOOKUP(B356,Input!J:J,Input!F:F)</f>
        <v>0</v>
      </c>
      <c r="E356" s="32">
        <f>_xlfn.XLOOKUP(D356,Models!H:H,Models!G:G,D356)</f>
        <v>0</v>
      </c>
      <c r="F356" s="32">
        <f>_xlfn.XLOOKUP(B356,Input!J:J,Input!E:E)</f>
        <v>0</v>
      </c>
      <c r="G356" s="32">
        <f>IF(F356="LENOVO",_xlfn.XLOOKUP(B356,Input!J:J,Input!K:K),_xlfn.XLOOKUP(B356,Input!J:J,Input!L:L))</f>
        <v>0</v>
      </c>
      <c r="H356" s="32"/>
      <c r="I356" s="32"/>
      <c r="J356" s="32"/>
      <c r="K356" s="42" t="e">
        <f>INDEX(Input!$D$2:$AC$500,
       MATCH(B356, Input!$J$2:$J$500, 0),
       MATCH("Total Memory", Input!$D$1:$AC$1, 0))</f>
        <v>#N/A</v>
      </c>
      <c r="L356" s="42"/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e">
        <f t="shared" si="17"/>
        <v>#N/A</v>
      </c>
      <c r="O356" s="42" t="e">
        <f>INDEX(Input!$D$2:$AC$500,
       MATCH(B356, Input!$J$2:$J$500, 0),
       MATCH("Disk Interface Type", Input!$D$1:$AC$1, 0))</f>
        <v>#N/A</v>
      </c>
      <c r="P356" s="42" t="str" cm="1">
        <f t="array" ref="P356">IFERROR(_xlfn.TEXTJOIN(", ", TRUE, _xlfn._xlws.FILTER(
    INDEX(Input!$D$2:$AC$500,,MATCH("Disk Capacity",Input!$D$1:$AC$1,0)),
    Input!$J$2:$J$500=B356
)), "")</f>
        <v/>
      </c>
      <c r="Q356" s="32" t="e">
        <f t="shared" si="16"/>
        <v>#N/A</v>
      </c>
      <c r="R356" s="42" t="e">
        <f>_xlfn.LET(_xlpm.Result,INDEX(Input!$D$2:$AC$500,
       MATCH(B356, Input!$J$2:$J$500, 0),
       MATCH("Capacity", Input!$D$1:$AC$1, 0)),IF(_xlpm.Result="","",_xlpm.Result))</f>
        <v>#N/A</v>
      </c>
      <c r="S356" s="42" t="e" cm="1">
        <f t="array" ref="S356">_xlfn.TEXTSPLIT(R356," / ", ,TRUE,0,)</f>
        <v>#N/A</v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/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/>
      <c r="AG356" s="32"/>
      <c r="AH356" s="32"/>
      <c r="AI356" s="32"/>
      <c r="AJ356" s="32"/>
      <c r="AK356" s="32"/>
      <c r="AL356" s="32"/>
      <c r="AM356" s="32"/>
    </row>
    <row r="357" spans="1:39">
      <c r="A357" s="32" t="str">
        <f>_xlfn.XLOOKUP(B357,Input!J:J,Input!G:G)&amp;""</f>
        <v/>
      </c>
      <c r="B357" s="32"/>
      <c r="C357" s="32" t="str">
        <f>_xlfn.XLOOKUP(B357,Input!J:J,Input!H:H)&amp;""</f>
        <v/>
      </c>
      <c r="D357" s="42">
        <f>_xlfn.XLOOKUP(B357,Input!J:J,Input!F:F)</f>
        <v>0</v>
      </c>
      <c r="E357" s="32">
        <f>_xlfn.XLOOKUP(D357,Models!H:H,Models!G:G,D357)</f>
        <v>0</v>
      </c>
      <c r="F357" s="32">
        <f>_xlfn.XLOOKUP(B357,Input!J:J,Input!E:E)</f>
        <v>0</v>
      </c>
      <c r="G357" s="32">
        <f>IF(F357="LENOVO",_xlfn.XLOOKUP(B357,Input!J:J,Input!K:K),_xlfn.XLOOKUP(B357,Input!J:J,Input!L:L))</f>
        <v>0</v>
      </c>
      <c r="H357" s="32"/>
      <c r="I357" s="32"/>
      <c r="J357" s="32"/>
      <c r="K357" s="42" t="e">
        <f>INDEX(Input!$D$2:$AC$500,
       MATCH(B357, Input!$J$2:$J$500, 0),
       MATCH("Total Memory", Input!$D$1:$AC$1, 0))</f>
        <v>#N/A</v>
      </c>
      <c r="L357" s="42"/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e">
        <f t="shared" si="17"/>
        <v>#N/A</v>
      </c>
      <c r="O357" s="42" t="e">
        <f>INDEX(Input!$D$2:$AC$500,
       MATCH(B357, Input!$J$2:$J$500, 0),
       MATCH("Disk Interface Type", Input!$D$1:$AC$1, 0))</f>
        <v>#N/A</v>
      </c>
      <c r="P357" s="42" t="str" cm="1">
        <f t="array" ref="P357">IFERROR(_xlfn.TEXTJOIN(", ", TRUE, _xlfn._xlws.FILTER(
    INDEX(Input!$D$2:$AC$500,,MATCH("Disk Capacity",Input!$D$1:$AC$1,0)),
    Input!$J$2:$J$500=B357
)), "")</f>
        <v/>
      </c>
      <c r="Q357" s="32" t="e">
        <f t="shared" si="16"/>
        <v>#N/A</v>
      </c>
      <c r="R357" s="42" t="e">
        <f>_xlfn.LET(_xlpm.Result,INDEX(Input!$D$2:$AC$500,
       MATCH(B357, Input!$J$2:$J$500, 0),
       MATCH("Capacity", Input!$D$1:$AC$1, 0)),IF(_xlpm.Result="","",_xlpm.Result))</f>
        <v>#N/A</v>
      </c>
      <c r="S357" s="42" t="e" cm="1">
        <f t="array" ref="S357">_xlfn.TEXTSPLIT(R357," / ", ,TRUE,0,)</f>
        <v>#N/A</v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/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/>
      <c r="AG357" s="32"/>
      <c r="AH357" s="32"/>
      <c r="AI357" s="32"/>
      <c r="AJ357" s="32"/>
      <c r="AK357" s="32"/>
      <c r="AL357" s="32"/>
      <c r="AM357" s="32"/>
    </row>
    <row r="358" spans="1:39">
      <c r="A358" s="32" t="str">
        <f>_xlfn.XLOOKUP(B358,Input!J:J,Input!G:G)&amp;""</f>
        <v/>
      </c>
      <c r="B358" s="32"/>
      <c r="C358" s="32" t="str">
        <f>_xlfn.XLOOKUP(B358,Input!J:J,Input!H:H)&amp;""</f>
        <v/>
      </c>
      <c r="D358" s="42">
        <f>_xlfn.XLOOKUP(B358,Input!J:J,Input!F:F)</f>
        <v>0</v>
      </c>
      <c r="E358" s="32">
        <f>_xlfn.XLOOKUP(D358,Models!H:H,Models!G:G,D358)</f>
        <v>0</v>
      </c>
      <c r="F358" s="32">
        <f>_xlfn.XLOOKUP(B358,Input!J:J,Input!E:E)</f>
        <v>0</v>
      </c>
      <c r="G358" s="32">
        <f>IF(F358="LENOVO",_xlfn.XLOOKUP(B358,Input!J:J,Input!K:K),_xlfn.XLOOKUP(B358,Input!J:J,Input!L:L))</f>
        <v>0</v>
      </c>
      <c r="H358" s="32"/>
      <c r="I358" s="32"/>
      <c r="J358" s="32"/>
      <c r="K358" s="42" t="e">
        <f>INDEX(Input!$D$2:$AC$500,
       MATCH(B358, Input!$J$2:$J$500, 0),
       MATCH("Total Memory", Input!$D$1:$AC$1, 0))</f>
        <v>#N/A</v>
      </c>
      <c r="L358" s="42"/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e">
        <f t="shared" si="17"/>
        <v>#N/A</v>
      </c>
      <c r="O358" s="42" t="e">
        <f>INDEX(Input!$D$2:$AC$500,
       MATCH(B358, Input!$J$2:$J$500, 0),
       MATCH("Disk Interface Type", Input!$D$1:$AC$1, 0))</f>
        <v>#N/A</v>
      </c>
      <c r="P358" s="42" t="str" cm="1">
        <f t="array" ref="P358">IFERROR(_xlfn.TEXTJOIN(", ", TRUE, _xlfn._xlws.FILTER(
    INDEX(Input!$D$2:$AC$500,,MATCH("Disk Capacity",Input!$D$1:$AC$1,0)),
    Input!$J$2:$J$500=B358
)), "")</f>
        <v/>
      </c>
      <c r="Q358" s="32" t="e">
        <f t="shared" si="16"/>
        <v>#N/A</v>
      </c>
      <c r="R358" s="42" t="e">
        <f>_xlfn.LET(_xlpm.Result,INDEX(Input!$D$2:$AC$500,
       MATCH(B358, Input!$J$2:$J$500, 0),
       MATCH("Capacity", Input!$D$1:$AC$1, 0)),IF(_xlpm.Result="","",_xlpm.Result))</f>
        <v>#N/A</v>
      </c>
      <c r="S358" s="42" t="e" cm="1">
        <f t="array" ref="S358">_xlfn.TEXTSPLIT(R358," / ", ,TRUE,0,)</f>
        <v>#N/A</v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/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/>
      <c r="AG358" s="32"/>
      <c r="AH358" s="32"/>
      <c r="AI358" s="32"/>
      <c r="AJ358" s="32"/>
      <c r="AK358" s="32"/>
      <c r="AL358" s="32"/>
      <c r="AM358" s="32"/>
    </row>
    <row r="359" spans="1:39">
      <c r="A359" s="32" t="str">
        <f>_xlfn.XLOOKUP(B359,Input!J:J,Input!G:G)&amp;""</f>
        <v/>
      </c>
      <c r="B359" s="32"/>
      <c r="C359" s="32" t="str">
        <f>_xlfn.XLOOKUP(B359,Input!J:J,Input!H:H)&amp;""</f>
        <v/>
      </c>
      <c r="D359" s="42">
        <f>_xlfn.XLOOKUP(B359,Input!J:J,Input!F:F)</f>
        <v>0</v>
      </c>
      <c r="E359" s="32">
        <f>_xlfn.XLOOKUP(D359,Models!H:H,Models!G:G,D359)</f>
        <v>0</v>
      </c>
      <c r="F359" s="32">
        <f>_xlfn.XLOOKUP(B359,Input!J:J,Input!E:E)</f>
        <v>0</v>
      </c>
      <c r="G359" s="32">
        <f>IF(F359="LENOVO",_xlfn.XLOOKUP(B359,Input!J:J,Input!K:K),_xlfn.XLOOKUP(B359,Input!J:J,Input!L:L))</f>
        <v>0</v>
      </c>
      <c r="H359" s="32"/>
      <c r="I359" s="32"/>
      <c r="J359" s="32"/>
      <c r="K359" s="42" t="e">
        <f>INDEX(Input!$D$2:$AC$500,
       MATCH(B359, Input!$J$2:$J$500, 0),
       MATCH("Total Memory", Input!$D$1:$AC$1, 0))</f>
        <v>#N/A</v>
      </c>
      <c r="L359" s="42"/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e">
        <f t="shared" si="17"/>
        <v>#N/A</v>
      </c>
      <c r="O359" s="42" t="e">
        <f>INDEX(Input!$D$2:$AC$500,
       MATCH(B359, Input!$J$2:$J$500, 0),
       MATCH("Disk Interface Type", Input!$D$1:$AC$1, 0))</f>
        <v>#N/A</v>
      </c>
      <c r="P359" s="42" t="str" cm="1">
        <f t="array" ref="P359">IFERROR(_xlfn.TEXTJOIN(", ", TRUE, _xlfn._xlws.FILTER(
    INDEX(Input!$D$2:$AC$500,,MATCH("Disk Capacity",Input!$D$1:$AC$1,0)),
    Input!$J$2:$J$500=B359
)), "")</f>
        <v/>
      </c>
      <c r="Q359" s="32" t="e">
        <f t="shared" si="16"/>
        <v>#N/A</v>
      </c>
      <c r="R359" s="42" t="e">
        <f>_xlfn.LET(_xlpm.Result,INDEX(Input!$D$2:$AC$500,
       MATCH(B359, Input!$J$2:$J$500, 0),
       MATCH("Capacity", Input!$D$1:$AC$1, 0)),IF(_xlpm.Result="","",_xlpm.Result))</f>
        <v>#N/A</v>
      </c>
      <c r="S359" s="42" t="e" cm="1">
        <f t="array" ref="S359">_xlfn.TEXTSPLIT(R359," / ", ,TRUE,0,)</f>
        <v>#N/A</v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/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/>
      <c r="AG359" s="32"/>
      <c r="AH359" s="32"/>
      <c r="AI359" s="32"/>
      <c r="AJ359" s="32"/>
      <c r="AK359" s="32"/>
      <c r="AL359" s="32"/>
      <c r="AM359" s="32"/>
    </row>
    <row r="360" spans="1:39">
      <c r="A360" s="32" t="str">
        <f>_xlfn.XLOOKUP(B360,Input!J:J,Input!G:G)&amp;""</f>
        <v/>
      </c>
      <c r="B360" s="32"/>
      <c r="C360" s="32" t="str">
        <f>_xlfn.XLOOKUP(B360,Input!J:J,Input!H:H)&amp;""</f>
        <v/>
      </c>
      <c r="D360" s="42">
        <f>_xlfn.XLOOKUP(B360,Input!J:J,Input!F:F)</f>
        <v>0</v>
      </c>
      <c r="E360" s="32">
        <f>_xlfn.XLOOKUP(D360,Models!H:H,Models!G:G,D360)</f>
        <v>0</v>
      </c>
      <c r="F360" s="32">
        <f>_xlfn.XLOOKUP(B360,Input!J:J,Input!E:E)</f>
        <v>0</v>
      </c>
      <c r="G360" s="32">
        <f>IF(F360="LENOVO",_xlfn.XLOOKUP(B360,Input!J:J,Input!K:K),_xlfn.XLOOKUP(B360,Input!J:J,Input!L:L))</f>
        <v>0</v>
      </c>
      <c r="H360" s="32"/>
      <c r="I360" s="32"/>
      <c r="J360" s="32"/>
      <c r="K360" s="42" t="e">
        <f>INDEX(Input!$D$2:$AC$500,
       MATCH(B360, Input!$J$2:$J$500, 0),
       MATCH("Total Memory", Input!$D$1:$AC$1, 0))</f>
        <v>#N/A</v>
      </c>
      <c r="L360" s="42"/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e">
        <f t="shared" si="17"/>
        <v>#N/A</v>
      </c>
      <c r="O360" s="42" t="e">
        <f>INDEX(Input!$D$2:$AC$500,
       MATCH(B360, Input!$J$2:$J$500, 0),
       MATCH("Disk Interface Type", Input!$D$1:$AC$1, 0))</f>
        <v>#N/A</v>
      </c>
      <c r="P360" s="42" t="str" cm="1">
        <f t="array" ref="P360">IFERROR(_xlfn.TEXTJOIN(", ", TRUE, _xlfn._xlws.FILTER(
    INDEX(Input!$D$2:$AC$500,,MATCH("Disk Capacity",Input!$D$1:$AC$1,0)),
    Input!$J$2:$J$500=B360
)), "")</f>
        <v/>
      </c>
      <c r="Q360" s="32" t="e">
        <f t="shared" si="16"/>
        <v>#N/A</v>
      </c>
      <c r="R360" s="42" t="e">
        <f>_xlfn.LET(_xlpm.Result,INDEX(Input!$D$2:$AC$500,
       MATCH(B360, Input!$J$2:$J$500, 0),
       MATCH("Capacity", Input!$D$1:$AC$1, 0)),IF(_xlpm.Result="","",_xlpm.Result))</f>
        <v>#N/A</v>
      </c>
      <c r="S360" s="42" t="e" cm="1">
        <f t="array" ref="S360">_xlfn.TEXTSPLIT(R360," / ", ,TRUE,0,)</f>
        <v>#N/A</v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/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/>
      <c r="AG360" s="32"/>
      <c r="AH360" s="32"/>
      <c r="AI360" s="32"/>
      <c r="AJ360" s="32"/>
      <c r="AK360" s="32"/>
      <c r="AL360" s="32"/>
      <c r="AM360" s="32"/>
    </row>
    <row r="361" spans="1:39">
      <c r="A361" s="32" t="str">
        <f>_xlfn.XLOOKUP(B361,Input!J:J,Input!G:G)&amp;""</f>
        <v/>
      </c>
      <c r="B361" s="32"/>
      <c r="C361" s="32" t="str">
        <f>_xlfn.XLOOKUP(B361,Input!J:J,Input!H:H)&amp;""</f>
        <v/>
      </c>
      <c r="D361" s="42">
        <f>_xlfn.XLOOKUP(B361,Input!J:J,Input!F:F)</f>
        <v>0</v>
      </c>
      <c r="E361" s="32">
        <f>_xlfn.XLOOKUP(D361,Models!H:H,Models!G:G,D361)</f>
        <v>0</v>
      </c>
      <c r="F361" s="32">
        <f>_xlfn.XLOOKUP(B361,Input!J:J,Input!E:E)</f>
        <v>0</v>
      </c>
      <c r="G361" s="32">
        <f>IF(F361="LENOVO",_xlfn.XLOOKUP(B361,Input!J:J,Input!K:K),_xlfn.XLOOKUP(B361,Input!J:J,Input!L:L))</f>
        <v>0</v>
      </c>
      <c r="H361" s="32"/>
      <c r="I361" s="32"/>
      <c r="J361" s="32"/>
      <c r="K361" s="42" t="e">
        <f>INDEX(Input!$D$2:$AC$500,
       MATCH(B361, Input!$J$2:$J$500, 0),
       MATCH("Total Memory", Input!$D$1:$AC$1, 0))</f>
        <v>#N/A</v>
      </c>
      <c r="L361" s="42"/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e">
        <f t="shared" si="17"/>
        <v>#N/A</v>
      </c>
      <c r="O361" s="42" t="e">
        <f>INDEX(Input!$D$2:$AC$500,
       MATCH(B361, Input!$J$2:$J$500, 0),
       MATCH("Disk Interface Type", Input!$D$1:$AC$1, 0))</f>
        <v>#N/A</v>
      </c>
      <c r="P361" s="42" t="str" cm="1">
        <f t="array" ref="P361">IFERROR(_xlfn.TEXTJOIN(", ", TRUE, _xlfn._xlws.FILTER(
    INDEX(Input!$D$2:$AC$500,,MATCH("Disk Capacity",Input!$D$1:$AC$1,0)),
    Input!$J$2:$J$500=B361
)), "")</f>
        <v/>
      </c>
      <c r="Q361" s="32" t="e">
        <f t="shared" si="16"/>
        <v>#N/A</v>
      </c>
      <c r="R361" s="42" t="e">
        <f>_xlfn.LET(_xlpm.Result,INDEX(Input!$D$2:$AC$500,
       MATCH(B361, Input!$J$2:$J$500, 0),
       MATCH("Capacity", Input!$D$1:$AC$1, 0)),IF(_xlpm.Result="","",_xlpm.Result))</f>
        <v>#N/A</v>
      </c>
      <c r="S361" s="42" t="e" cm="1">
        <f t="array" ref="S361">_xlfn.TEXTSPLIT(R361," / ", ,TRUE,0,)</f>
        <v>#N/A</v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/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/>
      <c r="AG361" s="32"/>
      <c r="AH361" s="32"/>
      <c r="AI361" s="32"/>
      <c r="AJ361" s="32"/>
      <c r="AK361" s="32"/>
      <c r="AL361" s="32"/>
      <c r="AM361" s="32"/>
    </row>
    <row r="362" spans="1:39">
      <c r="A362" s="32" t="str">
        <f>_xlfn.XLOOKUP(B362,Input!J:J,Input!G:G)&amp;""</f>
        <v/>
      </c>
      <c r="B362" s="32"/>
      <c r="C362" s="32" t="str">
        <f>_xlfn.XLOOKUP(B362,Input!J:J,Input!H:H)&amp;""</f>
        <v/>
      </c>
      <c r="D362" s="42">
        <f>_xlfn.XLOOKUP(B362,Input!J:J,Input!F:F)</f>
        <v>0</v>
      </c>
      <c r="E362" s="32">
        <f>_xlfn.XLOOKUP(D362,Models!H:H,Models!G:G,D362)</f>
        <v>0</v>
      </c>
      <c r="F362" s="32">
        <f>_xlfn.XLOOKUP(B362,Input!J:J,Input!E:E)</f>
        <v>0</v>
      </c>
      <c r="G362" s="32">
        <f>IF(F362="LENOVO",_xlfn.XLOOKUP(B362,Input!J:J,Input!K:K),_xlfn.XLOOKUP(B362,Input!J:J,Input!L:L))</f>
        <v>0</v>
      </c>
      <c r="H362" s="32"/>
      <c r="I362" s="32"/>
      <c r="J362" s="32"/>
      <c r="K362" s="42" t="e">
        <f>INDEX(Input!$D$2:$AC$500,
       MATCH(B362, Input!$J$2:$J$500, 0),
       MATCH("Total Memory", Input!$D$1:$AC$1, 0))</f>
        <v>#N/A</v>
      </c>
      <c r="L362" s="42"/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e">
        <f t="shared" si="17"/>
        <v>#N/A</v>
      </c>
      <c r="O362" s="42" t="e">
        <f>INDEX(Input!$D$2:$AC$500,
       MATCH(B362, Input!$J$2:$J$500, 0),
       MATCH("Disk Interface Type", Input!$D$1:$AC$1, 0))</f>
        <v>#N/A</v>
      </c>
      <c r="P362" s="42" t="str" cm="1">
        <f t="array" ref="P362">IFERROR(_xlfn.TEXTJOIN(", ", TRUE, _xlfn._xlws.FILTER(
    INDEX(Input!$D$2:$AC$500,,MATCH("Disk Capacity",Input!$D$1:$AC$1,0)),
    Input!$J$2:$J$500=B362
)), "")</f>
        <v/>
      </c>
      <c r="Q362" s="32" t="e">
        <f t="shared" si="16"/>
        <v>#N/A</v>
      </c>
      <c r="R362" s="42" t="e">
        <f>_xlfn.LET(_xlpm.Result,INDEX(Input!$D$2:$AC$500,
       MATCH(B362, Input!$J$2:$J$500, 0),
       MATCH("Capacity", Input!$D$1:$AC$1, 0)),IF(_xlpm.Result="","",_xlpm.Result))</f>
        <v>#N/A</v>
      </c>
      <c r="S362" s="42" t="e" cm="1">
        <f t="array" ref="S362">_xlfn.TEXTSPLIT(R362," / ", ,TRUE,0,)</f>
        <v>#N/A</v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/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/>
      <c r="AG362" s="32"/>
      <c r="AH362" s="32"/>
      <c r="AI362" s="32"/>
      <c r="AJ362" s="32"/>
      <c r="AK362" s="32"/>
      <c r="AL362" s="32"/>
      <c r="AM362" s="32"/>
    </row>
    <row r="363" spans="1:39">
      <c r="A363" s="32" t="str">
        <f>_xlfn.XLOOKUP(B363,Input!J:J,Input!G:G)&amp;""</f>
        <v/>
      </c>
      <c r="B363" s="32"/>
      <c r="C363" s="32" t="str">
        <f>_xlfn.XLOOKUP(B363,Input!J:J,Input!H:H)&amp;""</f>
        <v/>
      </c>
      <c r="D363" s="42">
        <f>_xlfn.XLOOKUP(B363,Input!J:J,Input!F:F)</f>
        <v>0</v>
      </c>
      <c r="E363" s="32">
        <f>_xlfn.XLOOKUP(D363,Models!H:H,Models!G:G,D363)</f>
        <v>0</v>
      </c>
      <c r="F363" s="32">
        <f>_xlfn.XLOOKUP(B363,Input!J:J,Input!E:E)</f>
        <v>0</v>
      </c>
      <c r="G363" s="32">
        <f>IF(F363="LENOVO",_xlfn.XLOOKUP(B363,Input!J:J,Input!K:K),_xlfn.XLOOKUP(B363,Input!J:J,Input!L:L))</f>
        <v>0</v>
      </c>
      <c r="H363" s="32"/>
      <c r="I363" s="32"/>
      <c r="J363" s="32"/>
      <c r="K363" s="42" t="e">
        <f>INDEX(Input!$D$2:$AC$500,
       MATCH(B363, Input!$J$2:$J$500, 0),
       MATCH("Total Memory", Input!$D$1:$AC$1, 0))</f>
        <v>#N/A</v>
      </c>
      <c r="L363" s="42"/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e">
        <f t="shared" si="17"/>
        <v>#N/A</v>
      </c>
      <c r="O363" s="42" t="e">
        <f>INDEX(Input!$D$2:$AC$500,
       MATCH(B363, Input!$J$2:$J$500, 0),
       MATCH("Disk Interface Type", Input!$D$1:$AC$1, 0))</f>
        <v>#N/A</v>
      </c>
      <c r="P363" s="42" t="str" cm="1">
        <f t="array" ref="P363">IFERROR(_xlfn.TEXTJOIN(", ", TRUE, _xlfn._xlws.FILTER(
    INDEX(Input!$D$2:$AC$500,,MATCH("Disk Capacity",Input!$D$1:$AC$1,0)),
    Input!$J$2:$J$500=B363
)), "")</f>
        <v/>
      </c>
      <c r="Q363" s="32" t="e">
        <f t="shared" si="16"/>
        <v>#N/A</v>
      </c>
      <c r="R363" s="42" t="e">
        <f>_xlfn.LET(_xlpm.Result,INDEX(Input!$D$2:$AC$500,
       MATCH(B363, Input!$J$2:$J$500, 0),
       MATCH("Capacity", Input!$D$1:$AC$1, 0)),IF(_xlpm.Result="","",_xlpm.Result))</f>
        <v>#N/A</v>
      </c>
      <c r="S363" s="42" t="e" cm="1">
        <f t="array" ref="S363">_xlfn.TEXTSPLIT(R363," / ", ,TRUE,0,)</f>
        <v>#N/A</v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/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/>
      <c r="AG363" s="32"/>
      <c r="AH363" s="32"/>
      <c r="AI363" s="32"/>
      <c r="AJ363" s="32"/>
      <c r="AK363" s="32"/>
      <c r="AL363" s="32"/>
      <c r="AM363" s="32"/>
    </row>
    <row r="364" spans="1:39">
      <c r="A364" s="32" t="str">
        <f>_xlfn.XLOOKUP(B364,Input!J:J,Input!G:G)&amp;""</f>
        <v/>
      </c>
      <c r="B364" s="32"/>
      <c r="C364" s="32" t="str">
        <f>_xlfn.XLOOKUP(B364,Input!J:J,Input!H:H)&amp;""</f>
        <v/>
      </c>
      <c r="D364" s="42">
        <f>_xlfn.XLOOKUP(B364,Input!J:J,Input!F:F)</f>
        <v>0</v>
      </c>
      <c r="E364" s="32">
        <f>_xlfn.XLOOKUP(D364,Models!H:H,Models!G:G,D364)</f>
        <v>0</v>
      </c>
      <c r="F364" s="32">
        <f>_xlfn.XLOOKUP(B364,Input!J:J,Input!E:E)</f>
        <v>0</v>
      </c>
      <c r="G364" s="32">
        <f>IF(F364="LENOVO",_xlfn.XLOOKUP(B364,Input!J:J,Input!K:K),_xlfn.XLOOKUP(B364,Input!J:J,Input!L:L))</f>
        <v>0</v>
      </c>
      <c r="H364" s="32"/>
      <c r="I364" s="32"/>
      <c r="J364" s="32"/>
      <c r="K364" s="42" t="e">
        <f>INDEX(Input!$D$2:$AC$500,
       MATCH(B364, Input!$J$2:$J$500, 0),
       MATCH("Total Memory", Input!$D$1:$AC$1, 0))</f>
        <v>#N/A</v>
      </c>
      <c r="L364" s="42"/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e">
        <f t="shared" si="17"/>
        <v>#N/A</v>
      </c>
      <c r="O364" s="42" t="e">
        <f>INDEX(Input!$D$2:$AC$500,
       MATCH(B364, Input!$J$2:$J$500, 0),
       MATCH("Disk Interface Type", Input!$D$1:$AC$1, 0))</f>
        <v>#N/A</v>
      </c>
      <c r="P364" s="42" t="str" cm="1">
        <f t="array" ref="P364">IFERROR(_xlfn.TEXTJOIN(", ", TRUE, _xlfn._xlws.FILTER(
    INDEX(Input!$D$2:$AC$500,,MATCH("Disk Capacity",Input!$D$1:$AC$1,0)),
    Input!$J$2:$J$500=B364
)), "")</f>
        <v/>
      </c>
      <c r="Q364" s="32" t="e">
        <f t="shared" si="16"/>
        <v>#N/A</v>
      </c>
      <c r="R364" s="42" t="e">
        <f>_xlfn.LET(_xlpm.Result,INDEX(Input!$D$2:$AC$500,
       MATCH(B364, Input!$J$2:$J$500, 0),
       MATCH("Capacity", Input!$D$1:$AC$1, 0)),IF(_xlpm.Result="","",_xlpm.Result))</f>
        <v>#N/A</v>
      </c>
      <c r="S364" s="42" t="e" cm="1">
        <f t="array" ref="S364">_xlfn.TEXTSPLIT(R364," / ", ,TRUE,0,)</f>
        <v>#N/A</v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/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/>
      <c r="AG364" s="32"/>
      <c r="AH364" s="32"/>
      <c r="AI364" s="32"/>
      <c r="AJ364" s="32"/>
      <c r="AK364" s="32"/>
      <c r="AL364" s="32"/>
      <c r="AM364" s="32"/>
    </row>
    <row r="365" spans="1:39">
      <c r="A365" s="32" t="str">
        <f>_xlfn.XLOOKUP(B365,Input!J:J,Input!G:G)&amp;""</f>
        <v/>
      </c>
      <c r="B365" s="32"/>
      <c r="C365" s="32" t="str">
        <f>_xlfn.XLOOKUP(B365,Input!J:J,Input!H:H)&amp;""</f>
        <v/>
      </c>
      <c r="D365" s="42">
        <f>_xlfn.XLOOKUP(B365,Input!J:J,Input!F:F)</f>
        <v>0</v>
      </c>
      <c r="E365" s="32">
        <f>_xlfn.XLOOKUP(D365,Models!H:H,Models!G:G,D365)</f>
        <v>0</v>
      </c>
      <c r="F365" s="32">
        <f>_xlfn.XLOOKUP(B365,Input!J:J,Input!E:E)</f>
        <v>0</v>
      </c>
      <c r="G365" s="32">
        <f>IF(F365="LENOVO",_xlfn.XLOOKUP(B365,Input!J:J,Input!K:K),_xlfn.XLOOKUP(B365,Input!J:J,Input!L:L))</f>
        <v>0</v>
      </c>
      <c r="H365" s="32"/>
      <c r="I365" s="32"/>
      <c r="J365" s="32"/>
      <c r="K365" s="42" t="e">
        <f>INDEX(Input!$D$2:$AC$500,
       MATCH(B365, Input!$J$2:$J$500, 0),
       MATCH("Total Memory", Input!$D$1:$AC$1, 0))</f>
        <v>#N/A</v>
      </c>
      <c r="L365" s="42"/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e">
        <f t="shared" si="17"/>
        <v>#N/A</v>
      </c>
      <c r="O365" s="42" t="e">
        <f>INDEX(Input!$D$2:$AC$500,
       MATCH(B365, Input!$J$2:$J$500, 0),
       MATCH("Disk Interface Type", Input!$D$1:$AC$1, 0))</f>
        <v>#N/A</v>
      </c>
      <c r="P365" s="42" t="str" cm="1">
        <f t="array" ref="P365">IFERROR(_xlfn.TEXTJOIN(", ", TRUE, _xlfn._xlws.FILTER(
    INDEX(Input!$D$2:$AC$500,,MATCH("Disk Capacity",Input!$D$1:$AC$1,0)),
    Input!$J$2:$J$500=B365
)), "")</f>
        <v/>
      </c>
      <c r="Q365" s="32" t="e">
        <f t="shared" si="16"/>
        <v>#N/A</v>
      </c>
      <c r="R365" s="42" t="e">
        <f>_xlfn.LET(_xlpm.Result,INDEX(Input!$D$2:$AC$500,
       MATCH(B365, Input!$J$2:$J$500, 0),
       MATCH("Capacity", Input!$D$1:$AC$1, 0)),IF(_xlpm.Result="","",_xlpm.Result))</f>
        <v>#N/A</v>
      </c>
      <c r="S365" s="42" t="e" cm="1">
        <f t="array" ref="S365">_xlfn.TEXTSPLIT(R365," / ", ,TRUE,0,)</f>
        <v>#N/A</v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/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/>
      <c r="AG365" s="32"/>
      <c r="AH365" s="32"/>
      <c r="AI365" s="32"/>
      <c r="AJ365" s="32"/>
      <c r="AK365" s="32"/>
      <c r="AL365" s="32"/>
      <c r="AM365" s="32"/>
    </row>
    <row r="366" spans="1:39">
      <c r="A366" s="32" t="str">
        <f>_xlfn.XLOOKUP(B366,Input!J:J,Input!G:G)&amp;""</f>
        <v/>
      </c>
      <c r="B366" s="32"/>
      <c r="C366" s="32" t="str">
        <f>_xlfn.XLOOKUP(B366,Input!J:J,Input!H:H)&amp;""</f>
        <v/>
      </c>
      <c r="D366" s="42">
        <f>_xlfn.XLOOKUP(B366,Input!J:J,Input!F:F)</f>
        <v>0</v>
      </c>
      <c r="E366" s="32">
        <f>_xlfn.XLOOKUP(D366,Models!H:H,Models!G:G,D366)</f>
        <v>0</v>
      </c>
      <c r="F366" s="32">
        <f>_xlfn.XLOOKUP(B366,Input!J:J,Input!E:E)</f>
        <v>0</v>
      </c>
      <c r="G366" s="32">
        <f>IF(F366="LENOVO",_xlfn.XLOOKUP(B366,Input!J:J,Input!K:K),_xlfn.XLOOKUP(B366,Input!J:J,Input!L:L))</f>
        <v>0</v>
      </c>
      <c r="H366" s="32"/>
      <c r="I366" s="32"/>
      <c r="J366" s="32"/>
      <c r="K366" s="42" t="e">
        <f>INDEX(Input!$D$2:$AC$500,
       MATCH(B366, Input!$J$2:$J$500, 0),
       MATCH("Total Memory", Input!$D$1:$AC$1, 0))</f>
        <v>#N/A</v>
      </c>
      <c r="L366" s="42"/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e">
        <f t="shared" si="17"/>
        <v>#N/A</v>
      </c>
      <c r="O366" s="42" t="e">
        <f>INDEX(Input!$D$2:$AC$500,
       MATCH(B366, Input!$J$2:$J$500, 0),
       MATCH("Disk Interface Type", Input!$D$1:$AC$1, 0))</f>
        <v>#N/A</v>
      </c>
      <c r="P366" s="42" t="str" cm="1">
        <f t="array" ref="P366">IFERROR(_xlfn.TEXTJOIN(", ", TRUE, _xlfn._xlws.FILTER(
    INDEX(Input!$D$2:$AC$500,,MATCH("Disk Capacity",Input!$D$1:$AC$1,0)),
    Input!$J$2:$J$500=B366
)), "")</f>
        <v/>
      </c>
      <c r="Q366" s="32" t="e">
        <f t="shared" si="16"/>
        <v>#N/A</v>
      </c>
      <c r="R366" s="42" t="e">
        <f>_xlfn.LET(_xlpm.Result,INDEX(Input!$D$2:$AC$500,
       MATCH(B366, Input!$J$2:$J$500, 0),
       MATCH("Capacity", Input!$D$1:$AC$1, 0)),IF(_xlpm.Result="","",_xlpm.Result))</f>
        <v>#N/A</v>
      </c>
      <c r="S366" s="42" t="e" cm="1">
        <f t="array" ref="S366">_xlfn.TEXTSPLIT(R366," / ", ,TRUE,0,)</f>
        <v>#N/A</v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/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/>
      <c r="AG366" s="32"/>
      <c r="AH366" s="32"/>
      <c r="AI366" s="32"/>
      <c r="AJ366" s="32"/>
      <c r="AK366" s="32"/>
      <c r="AL366" s="32"/>
      <c r="AM366" s="32"/>
    </row>
    <row r="367" spans="1:39">
      <c r="A367" s="32" t="str">
        <f>_xlfn.XLOOKUP(B367,Input!J:J,Input!G:G)&amp;""</f>
        <v/>
      </c>
      <c r="B367" s="32"/>
      <c r="C367" s="32" t="str">
        <f>_xlfn.XLOOKUP(B367,Input!J:J,Input!H:H)&amp;""</f>
        <v/>
      </c>
      <c r="D367" s="42">
        <f>_xlfn.XLOOKUP(B367,Input!J:J,Input!F:F)</f>
        <v>0</v>
      </c>
      <c r="E367" s="32">
        <f>_xlfn.XLOOKUP(D367,Models!H:H,Models!G:G,D367)</f>
        <v>0</v>
      </c>
      <c r="F367" s="32">
        <f>_xlfn.XLOOKUP(B367,Input!J:J,Input!E:E)</f>
        <v>0</v>
      </c>
      <c r="G367" s="32">
        <f>IF(F367="LENOVO",_xlfn.XLOOKUP(B367,Input!J:J,Input!K:K),_xlfn.XLOOKUP(B367,Input!J:J,Input!L:L))</f>
        <v>0</v>
      </c>
      <c r="H367" s="32"/>
      <c r="I367" s="32"/>
      <c r="J367" s="32"/>
      <c r="K367" s="42" t="e">
        <f>INDEX(Input!$D$2:$AC$500,
       MATCH(B367, Input!$J$2:$J$500, 0),
       MATCH("Total Memory", Input!$D$1:$AC$1, 0))</f>
        <v>#N/A</v>
      </c>
      <c r="L367" s="42"/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e">
        <f t="shared" si="17"/>
        <v>#N/A</v>
      </c>
      <c r="O367" s="42" t="e">
        <f>INDEX(Input!$D$2:$AC$500,
       MATCH(B367, Input!$J$2:$J$500, 0),
       MATCH("Disk Interface Type", Input!$D$1:$AC$1, 0))</f>
        <v>#N/A</v>
      </c>
      <c r="P367" s="42" t="str" cm="1">
        <f t="array" ref="P367">IFERROR(_xlfn.TEXTJOIN(", ", TRUE, _xlfn._xlws.FILTER(
    INDEX(Input!$D$2:$AC$500,,MATCH("Disk Capacity",Input!$D$1:$AC$1,0)),
    Input!$J$2:$J$500=B367
)), "")</f>
        <v/>
      </c>
      <c r="Q367" s="32" t="e">
        <f t="shared" si="16"/>
        <v>#N/A</v>
      </c>
      <c r="R367" s="42" t="e">
        <f>_xlfn.LET(_xlpm.Result,INDEX(Input!$D$2:$AC$500,
       MATCH(B367, Input!$J$2:$J$500, 0),
       MATCH("Capacity", Input!$D$1:$AC$1, 0)),IF(_xlpm.Result="","",_xlpm.Result))</f>
        <v>#N/A</v>
      </c>
      <c r="S367" s="42" t="e" cm="1">
        <f t="array" ref="S367">_xlfn.TEXTSPLIT(R367," / ", ,TRUE,0,)</f>
        <v>#N/A</v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/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/>
      <c r="AG367" s="32"/>
      <c r="AH367" s="32"/>
      <c r="AI367" s="32"/>
      <c r="AJ367" s="32"/>
      <c r="AK367" s="32"/>
      <c r="AL367" s="32"/>
      <c r="AM367" s="32"/>
    </row>
    <row r="368" spans="1:39">
      <c r="A368" s="32" t="str">
        <f>_xlfn.XLOOKUP(B368,Input!J:J,Input!G:G)&amp;""</f>
        <v/>
      </c>
      <c r="B368" s="32"/>
      <c r="C368" s="32" t="str">
        <f>_xlfn.XLOOKUP(B368,Input!J:J,Input!H:H)&amp;""</f>
        <v/>
      </c>
      <c r="D368" s="42">
        <f>_xlfn.XLOOKUP(B368,Input!J:J,Input!F:F)</f>
        <v>0</v>
      </c>
      <c r="E368" s="32">
        <f>_xlfn.XLOOKUP(D368,Models!H:H,Models!G:G,D368)</f>
        <v>0</v>
      </c>
      <c r="F368" s="32">
        <f>_xlfn.XLOOKUP(B368,Input!J:J,Input!E:E)</f>
        <v>0</v>
      </c>
      <c r="G368" s="32">
        <f>IF(F368="LENOVO",_xlfn.XLOOKUP(B368,Input!J:J,Input!K:K),_xlfn.XLOOKUP(B368,Input!J:J,Input!L:L))</f>
        <v>0</v>
      </c>
      <c r="H368" s="32"/>
      <c r="I368" s="32"/>
      <c r="J368" s="32"/>
      <c r="K368" s="42" t="e">
        <f>INDEX(Input!$D$2:$AC$500,
       MATCH(B368, Input!$J$2:$J$500, 0),
       MATCH("Total Memory", Input!$D$1:$AC$1, 0))</f>
        <v>#N/A</v>
      </c>
      <c r="L368" s="42"/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e">
        <f t="shared" si="17"/>
        <v>#N/A</v>
      </c>
      <c r="O368" s="42" t="e">
        <f>INDEX(Input!$D$2:$AC$500,
       MATCH(B368, Input!$J$2:$J$500, 0),
       MATCH("Disk Interface Type", Input!$D$1:$AC$1, 0))</f>
        <v>#N/A</v>
      </c>
      <c r="P368" s="42" t="str" cm="1">
        <f t="array" ref="P368">IFERROR(_xlfn.TEXTJOIN(", ", TRUE, _xlfn._xlws.FILTER(
    INDEX(Input!$D$2:$AC$500,,MATCH("Disk Capacity",Input!$D$1:$AC$1,0)),
    Input!$J$2:$J$500=B368
)), "")</f>
        <v/>
      </c>
      <c r="Q368" s="32" t="e">
        <f t="shared" si="16"/>
        <v>#N/A</v>
      </c>
      <c r="R368" s="42" t="e">
        <f>_xlfn.LET(_xlpm.Result,INDEX(Input!$D$2:$AC$500,
       MATCH(B368, Input!$J$2:$J$500, 0),
       MATCH("Capacity", Input!$D$1:$AC$1, 0)),IF(_xlpm.Result="","",_xlpm.Result))</f>
        <v>#N/A</v>
      </c>
      <c r="S368" s="42" t="e" cm="1">
        <f t="array" ref="S368">_xlfn.TEXTSPLIT(R368," / ", ,TRUE,0,)</f>
        <v>#N/A</v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/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/>
      <c r="AG368" s="32"/>
      <c r="AH368" s="32"/>
      <c r="AI368" s="32"/>
      <c r="AJ368" s="32"/>
      <c r="AK368" s="32"/>
      <c r="AL368" s="32"/>
      <c r="AM368" s="32"/>
    </row>
    <row r="369" spans="1:39">
      <c r="A369" s="32" t="str">
        <f>_xlfn.XLOOKUP(B369,Input!J:J,Input!G:G)&amp;""</f>
        <v/>
      </c>
      <c r="B369" s="32"/>
      <c r="C369" s="32" t="str">
        <f>_xlfn.XLOOKUP(B369,Input!J:J,Input!H:H)&amp;""</f>
        <v/>
      </c>
      <c r="D369" s="42">
        <f>_xlfn.XLOOKUP(B369,Input!J:J,Input!F:F)</f>
        <v>0</v>
      </c>
      <c r="E369" s="32">
        <f>_xlfn.XLOOKUP(D369,Models!H:H,Models!G:G,D369)</f>
        <v>0</v>
      </c>
      <c r="F369" s="32">
        <f>_xlfn.XLOOKUP(B369,Input!J:J,Input!E:E)</f>
        <v>0</v>
      </c>
      <c r="G369" s="32">
        <f>IF(F369="LENOVO",_xlfn.XLOOKUP(B369,Input!J:J,Input!K:K),_xlfn.XLOOKUP(B369,Input!J:J,Input!L:L))</f>
        <v>0</v>
      </c>
      <c r="H369" s="32"/>
      <c r="I369" s="32"/>
      <c r="J369" s="32"/>
      <c r="K369" s="42" t="e">
        <f>INDEX(Input!$D$2:$AC$500,
       MATCH(B369, Input!$J$2:$J$500, 0),
       MATCH("Total Memory", Input!$D$1:$AC$1, 0))</f>
        <v>#N/A</v>
      </c>
      <c r="L369" s="42"/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e">
        <f t="shared" si="17"/>
        <v>#N/A</v>
      </c>
      <c r="O369" s="42" t="e">
        <f>INDEX(Input!$D$2:$AC$500,
       MATCH(B369, Input!$J$2:$J$500, 0),
       MATCH("Disk Interface Type", Input!$D$1:$AC$1, 0))</f>
        <v>#N/A</v>
      </c>
      <c r="P369" s="42" t="str" cm="1">
        <f t="array" ref="P369">IFERROR(_xlfn.TEXTJOIN(", ", TRUE, _xlfn._xlws.FILTER(
    INDEX(Input!$D$2:$AC$500,,MATCH("Disk Capacity",Input!$D$1:$AC$1,0)),
    Input!$J$2:$J$500=B369
)), "")</f>
        <v/>
      </c>
      <c r="Q369" s="32" t="e">
        <f t="shared" si="16"/>
        <v>#N/A</v>
      </c>
      <c r="R369" s="42" t="e">
        <f>_xlfn.LET(_xlpm.Result,INDEX(Input!$D$2:$AC$500,
       MATCH(B369, Input!$J$2:$J$500, 0),
       MATCH("Capacity", Input!$D$1:$AC$1, 0)),IF(_xlpm.Result="","",_xlpm.Result))</f>
        <v>#N/A</v>
      </c>
      <c r="S369" s="42" t="e" cm="1">
        <f t="array" ref="S369">_xlfn.TEXTSPLIT(R369," / ", ,TRUE,0,)</f>
        <v>#N/A</v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/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/>
      <c r="AG369" s="32"/>
      <c r="AH369" s="32"/>
      <c r="AI369" s="32"/>
      <c r="AJ369" s="32"/>
      <c r="AK369" s="32"/>
      <c r="AL369" s="32"/>
      <c r="AM369" s="32"/>
    </row>
    <row r="370" spans="1:39">
      <c r="A370" s="32" t="str">
        <f>_xlfn.XLOOKUP(B370,Input!J:J,Input!G:G)&amp;""</f>
        <v/>
      </c>
      <c r="B370" s="32"/>
      <c r="C370" s="32" t="str">
        <f>_xlfn.XLOOKUP(B370,Input!J:J,Input!H:H)&amp;""</f>
        <v/>
      </c>
      <c r="D370" s="42">
        <f>_xlfn.XLOOKUP(B370,Input!J:J,Input!F:F)</f>
        <v>0</v>
      </c>
      <c r="E370" s="32">
        <f>_xlfn.XLOOKUP(D370,Models!H:H,Models!G:G,D370)</f>
        <v>0</v>
      </c>
      <c r="F370" s="32">
        <f>_xlfn.XLOOKUP(B370,Input!J:J,Input!E:E)</f>
        <v>0</v>
      </c>
      <c r="G370" s="32">
        <f>IF(F370="LENOVO",_xlfn.XLOOKUP(B370,Input!J:J,Input!K:K),_xlfn.XLOOKUP(B370,Input!J:J,Input!L:L))</f>
        <v>0</v>
      </c>
      <c r="H370" s="32"/>
      <c r="I370" s="32"/>
      <c r="J370" s="32"/>
      <c r="K370" s="42" t="e">
        <f>INDEX(Input!$D$2:$AC$500,
       MATCH(B370, Input!$J$2:$J$500, 0),
       MATCH("Total Memory", Input!$D$1:$AC$1, 0))</f>
        <v>#N/A</v>
      </c>
      <c r="L370" s="42"/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e">
        <f t="shared" si="17"/>
        <v>#N/A</v>
      </c>
      <c r="O370" s="42" t="e">
        <f>INDEX(Input!$D$2:$AC$500,
       MATCH(B370, Input!$J$2:$J$500, 0),
       MATCH("Disk Interface Type", Input!$D$1:$AC$1, 0))</f>
        <v>#N/A</v>
      </c>
      <c r="P370" s="42" t="str" cm="1">
        <f t="array" ref="P370">IFERROR(_xlfn.TEXTJOIN(", ", TRUE, _xlfn._xlws.FILTER(
    INDEX(Input!$D$2:$AC$500,,MATCH("Disk Capacity",Input!$D$1:$AC$1,0)),
    Input!$J$2:$J$500=B370
)), "")</f>
        <v/>
      </c>
      <c r="Q370" s="32" t="e">
        <f t="shared" si="16"/>
        <v>#N/A</v>
      </c>
      <c r="R370" s="42" t="e">
        <f>_xlfn.LET(_xlpm.Result,INDEX(Input!$D$2:$AC$500,
       MATCH(B370, Input!$J$2:$J$500, 0),
       MATCH("Capacity", Input!$D$1:$AC$1, 0)),IF(_xlpm.Result="","",_xlpm.Result))</f>
        <v>#N/A</v>
      </c>
      <c r="S370" s="42" t="e" cm="1">
        <f t="array" ref="S370">_xlfn.TEXTSPLIT(R370," / ", ,TRUE,0,)</f>
        <v>#N/A</v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/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/>
      <c r="AG370" s="32"/>
      <c r="AH370" s="32"/>
      <c r="AI370" s="32"/>
      <c r="AJ370" s="32"/>
      <c r="AK370" s="32"/>
      <c r="AL370" s="32"/>
      <c r="AM370" s="32"/>
    </row>
    <row r="371" spans="1:39">
      <c r="A371" s="32" t="str">
        <f>_xlfn.XLOOKUP(B371,Input!J:J,Input!G:G)&amp;""</f>
        <v/>
      </c>
      <c r="B371" s="32"/>
      <c r="C371" s="32" t="str">
        <f>_xlfn.XLOOKUP(B371,Input!J:J,Input!H:H)&amp;""</f>
        <v/>
      </c>
      <c r="D371" s="42">
        <f>_xlfn.XLOOKUP(B371,Input!J:J,Input!F:F)</f>
        <v>0</v>
      </c>
      <c r="E371" s="32">
        <f>_xlfn.XLOOKUP(D371,Models!H:H,Models!G:G,D371)</f>
        <v>0</v>
      </c>
      <c r="F371" s="32">
        <f>_xlfn.XLOOKUP(B371,Input!J:J,Input!E:E)</f>
        <v>0</v>
      </c>
      <c r="G371" s="32">
        <f>IF(F371="LENOVO",_xlfn.XLOOKUP(B371,Input!J:J,Input!K:K),_xlfn.XLOOKUP(B371,Input!J:J,Input!L:L))</f>
        <v>0</v>
      </c>
      <c r="H371" s="32"/>
      <c r="I371" s="32"/>
      <c r="J371" s="32"/>
      <c r="K371" s="42" t="e">
        <f>INDEX(Input!$D$2:$AC$500,
       MATCH(B371, Input!$J$2:$J$500, 0),
       MATCH("Total Memory", Input!$D$1:$AC$1, 0))</f>
        <v>#N/A</v>
      </c>
      <c r="L371" s="42"/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e">
        <f t="shared" si="17"/>
        <v>#N/A</v>
      </c>
      <c r="O371" s="42" t="e">
        <f>INDEX(Input!$D$2:$AC$500,
       MATCH(B371, Input!$J$2:$J$500, 0),
       MATCH("Disk Interface Type", Input!$D$1:$AC$1, 0))</f>
        <v>#N/A</v>
      </c>
      <c r="P371" s="42" t="str" cm="1">
        <f t="array" ref="P371">IFERROR(_xlfn.TEXTJOIN(", ", TRUE, _xlfn._xlws.FILTER(
    INDEX(Input!$D$2:$AC$500,,MATCH("Disk Capacity",Input!$D$1:$AC$1,0)),
    Input!$J$2:$J$500=B371
)), "")</f>
        <v/>
      </c>
      <c r="Q371" s="32" t="e">
        <f t="shared" si="16"/>
        <v>#N/A</v>
      </c>
      <c r="R371" s="42" t="e">
        <f>_xlfn.LET(_xlpm.Result,INDEX(Input!$D$2:$AC$500,
       MATCH(B371, Input!$J$2:$J$500, 0),
       MATCH("Capacity", Input!$D$1:$AC$1, 0)),IF(_xlpm.Result="","",_xlpm.Result))</f>
        <v>#N/A</v>
      </c>
      <c r="S371" s="42" t="e" cm="1">
        <f t="array" ref="S371">_xlfn.TEXTSPLIT(R371," / ", ,TRUE,0,)</f>
        <v>#N/A</v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/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/>
      <c r="AG371" s="32"/>
      <c r="AH371" s="32"/>
      <c r="AI371" s="32"/>
      <c r="AJ371" s="32"/>
      <c r="AK371" s="32"/>
      <c r="AL371" s="32"/>
      <c r="AM371" s="32"/>
    </row>
    <row r="372" spans="1:39">
      <c r="A372" s="32" t="str">
        <f>_xlfn.XLOOKUP(B372,Input!J:J,Input!G:G)&amp;""</f>
        <v/>
      </c>
      <c r="B372" s="32"/>
      <c r="C372" s="32" t="str">
        <f>_xlfn.XLOOKUP(B372,Input!J:J,Input!H:H)&amp;""</f>
        <v/>
      </c>
      <c r="D372" s="42">
        <f>_xlfn.XLOOKUP(B372,Input!J:J,Input!F:F)</f>
        <v>0</v>
      </c>
      <c r="E372" s="32">
        <f>_xlfn.XLOOKUP(D372,Models!H:H,Models!G:G,D372)</f>
        <v>0</v>
      </c>
      <c r="F372" s="32">
        <f>_xlfn.XLOOKUP(B372,Input!J:J,Input!E:E)</f>
        <v>0</v>
      </c>
      <c r="G372" s="32">
        <f>IF(F372="LENOVO",_xlfn.XLOOKUP(B372,Input!J:J,Input!K:K),_xlfn.XLOOKUP(B372,Input!J:J,Input!L:L))</f>
        <v>0</v>
      </c>
      <c r="H372" s="32"/>
      <c r="I372" s="32"/>
      <c r="J372" s="32"/>
      <c r="K372" s="42" t="e">
        <f>INDEX(Input!$D$2:$AC$500,
       MATCH(B372, Input!$J$2:$J$500, 0),
       MATCH("Total Memory", Input!$D$1:$AC$1, 0))</f>
        <v>#N/A</v>
      </c>
      <c r="L372" s="42"/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e">
        <f t="shared" si="17"/>
        <v>#N/A</v>
      </c>
      <c r="O372" s="42" t="e">
        <f>INDEX(Input!$D$2:$AC$500,
       MATCH(B372, Input!$J$2:$J$500, 0),
       MATCH("Disk Interface Type", Input!$D$1:$AC$1, 0))</f>
        <v>#N/A</v>
      </c>
      <c r="P372" s="42" t="str" cm="1">
        <f t="array" ref="P372">IFERROR(_xlfn.TEXTJOIN(", ", TRUE, _xlfn._xlws.FILTER(
    INDEX(Input!$D$2:$AC$500,,MATCH("Disk Capacity",Input!$D$1:$AC$1,0)),
    Input!$J$2:$J$500=B372
)), "")</f>
        <v/>
      </c>
      <c r="Q372" s="32" t="e">
        <f t="shared" si="16"/>
        <v>#N/A</v>
      </c>
      <c r="R372" s="42" t="e">
        <f>_xlfn.LET(_xlpm.Result,INDEX(Input!$D$2:$AC$500,
       MATCH(B372, Input!$J$2:$J$500, 0),
       MATCH("Capacity", Input!$D$1:$AC$1, 0)),IF(_xlpm.Result="","",_xlpm.Result))</f>
        <v>#N/A</v>
      </c>
      <c r="S372" s="42" t="e" cm="1">
        <f t="array" ref="S372">_xlfn.TEXTSPLIT(R372," / ", ,TRUE,0,)</f>
        <v>#N/A</v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/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/>
      <c r="AG372" s="32"/>
      <c r="AH372" s="32"/>
      <c r="AI372" s="32"/>
      <c r="AJ372" s="32"/>
      <c r="AK372" s="32"/>
      <c r="AL372" s="32"/>
      <c r="AM372" s="32"/>
    </row>
    <row r="373" spans="1:39">
      <c r="A373" s="32" t="str">
        <f>_xlfn.XLOOKUP(B373,Input!J:J,Input!G:G)&amp;""</f>
        <v/>
      </c>
      <c r="B373" s="32"/>
      <c r="C373" s="32" t="str">
        <f>_xlfn.XLOOKUP(B373,Input!J:J,Input!H:H)&amp;""</f>
        <v/>
      </c>
      <c r="D373" s="42">
        <f>_xlfn.XLOOKUP(B373,Input!J:J,Input!F:F)</f>
        <v>0</v>
      </c>
      <c r="E373" s="32">
        <f>_xlfn.XLOOKUP(D373,Models!H:H,Models!G:G,D373)</f>
        <v>0</v>
      </c>
      <c r="F373" s="32">
        <f>_xlfn.XLOOKUP(B373,Input!J:J,Input!E:E)</f>
        <v>0</v>
      </c>
      <c r="G373" s="32">
        <f>IF(F373="LENOVO",_xlfn.XLOOKUP(B373,Input!J:J,Input!K:K),_xlfn.XLOOKUP(B373,Input!J:J,Input!L:L))</f>
        <v>0</v>
      </c>
      <c r="H373" s="32"/>
      <c r="I373" s="32"/>
      <c r="J373" s="32"/>
      <c r="K373" s="42" t="e">
        <f>INDEX(Input!$D$2:$AC$500,
       MATCH(B373, Input!$J$2:$J$500, 0),
       MATCH("Total Memory", Input!$D$1:$AC$1, 0))</f>
        <v>#N/A</v>
      </c>
      <c r="L373" s="42"/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e">
        <f t="shared" si="17"/>
        <v>#N/A</v>
      </c>
      <c r="O373" s="42" t="e">
        <f>INDEX(Input!$D$2:$AC$500,
       MATCH(B373, Input!$J$2:$J$500, 0),
       MATCH("Disk Interface Type", Input!$D$1:$AC$1, 0))</f>
        <v>#N/A</v>
      </c>
      <c r="P373" s="42" t="str" cm="1">
        <f t="array" ref="P373">IFERROR(_xlfn.TEXTJOIN(", ", TRUE, _xlfn._xlws.FILTER(
    INDEX(Input!$D$2:$AC$500,,MATCH("Disk Capacity",Input!$D$1:$AC$1,0)),
    Input!$J$2:$J$500=B373
)), "")</f>
        <v/>
      </c>
      <c r="Q373" s="32" t="e">
        <f t="shared" si="16"/>
        <v>#N/A</v>
      </c>
      <c r="R373" s="42" t="e">
        <f>_xlfn.LET(_xlpm.Result,INDEX(Input!$D$2:$AC$500,
       MATCH(B373, Input!$J$2:$J$500, 0),
       MATCH("Capacity", Input!$D$1:$AC$1, 0)),IF(_xlpm.Result="","",_xlpm.Result))</f>
        <v>#N/A</v>
      </c>
      <c r="S373" s="42" t="e" cm="1">
        <f t="array" ref="S373">_xlfn.TEXTSPLIT(R373," / ", ,TRUE,0,)</f>
        <v>#N/A</v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/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/>
      <c r="AG373" s="32"/>
      <c r="AH373" s="32"/>
      <c r="AI373" s="32"/>
      <c r="AJ373" s="32"/>
      <c r="AK373" s="32"/>
      <c r="AL373" s="32"/>
      <c r="AM373" s="32"/>
    </row>
    <row r="374" spans="1:39">
      <c r="A374" s="32" t="str">
        <f>_xlfn.XLOOKUP(B374,Input!J:J,Input!G:G)&amp;""</f>
        <v/>
      </c>
      <c r="B374" s="32"/>
      <c r="C374" s="32" t="str">
        <f>_xlfn.XLOOKUP(B374,Input!J:J,Input!H:H)&amp;""</f>
        <v/>
      </c>
      <c r="D374" s="42">
        <f>_xlfn.XLOOKUP(B374,Input!J:J,Input!F:F)</f>
        <v>0</v>
      </c>
      <c r="E374" s="32">
        <f>_xlfn.XLOOKUP(D374,Models!H:H,Models!G:G,D374)</f>
        <v>0</v>
      </c>
      <c r="F374" s="32">
        <f>_xlfn.XLOOKUP(B374,Input!J:J,Input!E:E)</f>
        <v>0</v>
      </c>
      <c r="G374" s="32">
        <f>IF(F374="LENOVO",_xlfn.XLOOKUP(B374,Input!J:J,Input!K:K),_xlfn.XLOOKUP(B374,Input!J:J,Input!L:L))</f>
        <v>0</v>
      </c>
      <c r="H374" s="32"/>
      <c r="I374" s="32"/>
      <c r="J374" s="32"/>
      <c r="K374" s="42" t="e">
        <f>INDEX(Input!$D$2:$AC$500,
       MATCH(B374, Input!$J$2:$J$500, 0),
       MATCH("Total Memory", Input!$D$1:$AC$1, 0))</f>
        <v>#N/A</v>
      </c>
      <c r="L374" s="42"/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e">
        <f t="shared" si="17"/>
        <v>#N/A</v>
      </c>
      <c r="O374" s="42" t="e">
        <f>INDEX(Input!$D$2:$AC$500,
       MATCH(B374, Input!$J$2:$J$500, 0),
       MATCH("Disk Interface Type", Input!$D$1:$AC$1, 0))</f>
        <v>#N/A</v>
      </c>
      <c r="P374" s="42" t="str" cm="1">
        <f t="array" ref="P374">IFERROR(_xlfn.TEXTJOIN(", ", TRUE, _xlfn._xlws.FILTER(
    INDEX(Input!$D$2:$AC$500,,MATCH("Disk Capacity",Input!$D$1:$AC$1,0)),
    Input!$J$2:$J$500=B374
)), "")</f>
        <v/>
      </c>
      <c r="Q374" s="32" t="e">
        <f t="shared" si="16"/>
        <v>#N/A</v>
      </c>
      <c r="R374" s="42" t="e">
        <f>_xlfn.LET(_xlpm.Result,INDEX(Input!$D$2:$AC$500,
       MATCH(B374, Input!$J$2:$J$500, 0),
       MATCH("Capacity", Input!$D$1:$AC$1, 0)),IF(_xlpm.Result="","",_xlpm.Result))</f>
        <v>#N/A</v>
      </c>
      <c r="S374" s="42" t="e" cm="1">
        <f t="array" ref="S374">_xlfn.TEXTSPLIT(R374," / ", ,TRUE,0,)</f>
        <v>#N/A</v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/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/>
      <c r="AG374" s="32"/>
      <c r="AH374" s="32"/>
      <c r="AI374" s="32"/>
      <c r="AJ374" s="32"/>
      <c r="AK374" s="32"/>
      <c r="AL374" s="32"/>
      <c r="AM374" s="32"/>
    </row>
    <row r="375" spans="1:39">
      <c r="A375" s="32" t="str">
        <f>_xlfn.XLOOKUP(B375,Input!J:J,Input!G:G)&amp;""</f>
        <v/>
      </c>
      <c r="B375" s="32"/>
      <c r="C375" s="32" t="str">
        <f>_xlfn.XLOOKUP(B375,Input!J:J,Input!H:H)&amp;""</f>
        <v/>
      </c>
      <c r="D375" s="42">
        <f>_xlfn.XLOOKUP(B375,Input!J:J,Input!F:F)</f>
        <v>0</v>
      </c>
      <c r="E375" s="32">
        <f>_xlfn.XLOOKUP(D375,Models!H:H,Models!G:G,D375)</f>
        <v>0</v>
      </c>
      <c r="F375" s="32">
        <f>_xlfn.XLOOKUP(B375,Input!J:J,Input!E:E)</f>
        <v>0</v>
      </c>
      <c r="G375" s="32">
        <f>IF(F375="LENOVO",_xlfn.XLOOKUP(B375,Input!J:J,Input!K:K),_xlfn.XLOOKUP(B375,Input!J:J,Input!L:L))</f>
        <v>0</v>
      </c>
      <c r="H375" s="32"/>
      <c r="I375" s="32"/>
      <c r="J375" s="32"/>
      <c r="K375" s="42" t="e">
        <f>INDEX(Input!$D$2:$AC$500,
       MATCH(B375, Input!$J$2:$J$500, 0),
       MATCH("Total Memory", Input!$D$1:$AC$1, 0))</f>
        <v>#N/A</v>
      </c>
      <c r="L375" s="42"/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e">
        <f t="shared" si="17"/>
        <v>#N/A</v>
      </c>
      <c r="O375" s="42" t="e">
        <f>INDEX(Input!$D$2:$AC$500,
       MATCH(B375, Input!$J$2:$J$500, 0),
       MATCH("Disk Interface Type", Input!$D$1:$AC$1, 0))</f>
        <v>#N/A</v>
      </c>
      <c r="P375" s="42" t="str" cm="1">
        <f t="array" ref="P375">IFERROR(_xlfn.TEXTJOIN(", ", TRUE, _xlfn._xlws.FILTER(
    INDEX(Input!$D$2:$AC$500,,MATCH("Disk Capacity",Input!$D$1:$AC$1,0)),
    Input!$J$2:$J$500=B375
)), "")</f>
        <v/>
      </c>
      <c r="Q375" s="32" t="e">
        <f t="shared" si="16"/>
        <v>#N/A</v>
      </c>
      <c r="R375" s="42" t="e">
        <f>_xlfn.LET(_xlpm.Result,INDEX(Input!$D$2:$AC$500,
       MATCH(B375, Input!$J$2:$J$500, 0),
       MATCH("Capacity", Input!$D$1:$AC$1, 0)),IF(_xlpm.Result="","",_xlpm.Result))</f>
        <v>#N/A</v>
      </c>
      <c r="S375" s="42" t="e" cm="1">
        <f t="array" ref="S375">_xlfn.TEXTSPLIT(R375," / ", ,TRUE,0,)</f>
        <v>#N/A</v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/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/>
      <c r="AG375" s="32"/>
      <c r="AH375" s="32"/>
      <c r="AI375" s="32"/>
      <c r="AJ375" s="32"/>
      <c r="AK375" s="32"/>
      <c r="AL375" s="32"/>
      <c r="AM375" s="32"/>
    </row>
    <row r="376" spans="1:39">
      <c r="A376" s="32" t="str">
        <f>_xlfn.XLOOKUP(B376,Input!J:J,Input!G:G)&amp;""</f>
        <v/>
      </c>
      <c r="B376" s="32"/>
      <c r="C376" s="32" t="str">
        <f>_xlfn.XLOOKUP(B376,Input!J:J,Input!H:H)&amp;""</f>
        <v/>
      </c>
      <c r="D376" s="42">
        <f>_xlfn.XLOOKUP(B376,Input!J:J,Input!F:F)</f>
        <v>0</v>
      </c>
      <c r="E376" s="32">
        <f>_xlfn.XLOOKUP(D376,Models!H:H,Models!G:G,D376)</f>
        <v>0</v>
      </c>
      <c r="F376" s="32">
        <f>_xlfn.XLOOKUP(B376,Input!J:J,Input!E:E)</f>
        <v>0</v>
      </c>
      <c r="G376" s="32">
        <f>IF(F376="LENOVO",_xlfn.XLOOKUP(B376,Input!J:J,Input!K:K),_xlfn.XLOOKUP(B376,Input!J:J,Input!L:L))</f>
        <v>0</v>
      </c>
      <c r="H376" s="32"/>
      <c r="I376" s="32"/>
      <c r="J376" s="32"/>
      <c r="K376" s="42" t="e">
        <f>INDEX(Input!$D$2:$AC$500,
       MATCH(B376, Input!$J$2:$J$500, 0),
       MATCH("Total Memory", Input!$D$1:$AC$1, 0))</f>
        <v>#N/A</v>
      </c>
      <c r="L376" s="42"/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e">
        <f t="shared" si="17"/>
        <v>#N/A</v>
      </c>
      <c r="O376" s="42" t="e">
        <f>INDEX(Input!$D$2:$AC$500,
       MATCH(B376, Input!$J$2:$J$500, 0),
       MATCH("Disk Interface Type", Input!$D$1:$AC$1, 0))</f>
        <v>#N/A</v>
      </c>
      <c r="P376" s="42" t="str" cm="1">
        <f t="array" ref="P376">IFERROR(_xlfn.TEXTJOIN(", ", TRUE, _xlfn._xlws.FILTER(
    INDEX(Input!$D$2:$AC$500,,MATCH("Disk Capacity",Input!$D$1:$AC$1,0)),
    Input!$J$2:$J$500=B376
)), "")</f>
        <v/>
      </c>
      <c r="Q376" s="32" t="e">
        <f t="shared" si="16"/>
        <v>#N/A</v>
      </c>
      <c r="R376" s="42" t="e">
        <f>_xlfn.LET(_xlpm.Result,INDEX(Input!$D$2:$AC$500,
       MATCH(B376, Input!$J$2:$J$500, 0),
       MATCH("Capacity", Input!$D$1:$AC$1, 0)),IF(_xlpm.Result="","",_xlpm.Result))</f>
        <v>#N/A</v>
      </c>
      <c r="S376" s="42" t="e" cm="1">
        <f t="array" ref="S376">_xlfn.TEXTSPLIT(R376," / ", ,TRUE,0,)</f>
        <v>#N/A</v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/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/>
      <c r="AG376" s="32"/>
      <c r="AH376" s="32"/>
      <c r="AI376" s="32"/>
      <c r="AJ376" s="32"/>
      <c r="AK376" s="32"/>
      <c r="AL376" s="32"/>
      <c r="AM376" s="32"/>
    </row>
    <row r="377" spans="1:39">
      <c r="A377" s="32" t="str">
        <f>_xlfn.XLOOKUP(B377,Input!J:J,Input!G:G)&amp;""</f>
        <v/>
      </c>
      <c r="B377" s="32"/>
      <c r="C377" s="32" t="str">
        <f>_xlfn.XLOOKUP(B377,Input!J:J,Input!H:H)&amp;""</f>
        <v/>
      </c>
      <c r="D377" s="42">
        <f>_xlfn.XLOOKUP(B377,Input!J:J,Input!F:F)</f>
        <v>0</v>
      </c>
      <c r="E377" s="32">
        <f>_xlfn.XLOOKUP(D377,Models!H:H,Models!G:G,D377)</f>
        <v>0</v>
      </c>
      <c r="F377" s="32">
        <f>_xlfn.XLOOKUP(B377,Input!J:J,Input!E:E)</f>
        <v>0</v>
      </c>
      <c r="G377" s="32">
        <f>IF(F377="LENOVO",_xlfn.XLOOKUP(B377,Input!J:J,Input!K:K),_xlfn.XLOOKUP(B377,Input!J:J,Input!L:L))</f>
        <v>0</v>
      </c>
      <c r="H377" s="32"/>
      <c r="I377" s="32"/>
      <c r="J377" s="32"/>
      <c r="K377" s="42" t="e">
        <f>INDEX(Input!$D$2:$AC$500,
       MATCH(B377, Input!$J$2:$J$500, 0),
       MATCH("Total Memory", Input!$D$1:$AC$1, 0))</f>
        <v>#N/A</v>
      </c>
      <c r="L377" s="42"/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e">
        <f t="shared" si="17"/>
        <v>#N/A</v>
      </c>
      <c r="O377" s="42" t="e">
        <f>INDEX(Input!$D$2:$AC$500,
       MATCH(B377, Input!$J$2:$J$500, 0),
       MATCH("Disk Interface Type", Input!$D$1:$AC$1, 0))</f>
        <v>#N/A</v>
      </c>
      <c r="P377" s="42" t="str" cm="1">
        <f t="array" ref="P377">IFERROR(_xlfn.TEXTJOIN(", ", TRUE, _xlfn._xlws.FILTER(
    INDEX(Input!$D$2:$AC$500,,MATCH("Disk Capacity",Input!$D$1:$AC$1,0)),
    Input!$J$2:$J$500=B377
)), "")</f>
        <v/>
      </c>
      <c r="Q377" s="32" t="e">
        <f t="shared" si="16"/>
        <v>#N/A</v>
      </c>
      <c r="R377" s="42" t="e">
        <f>_xlfn.LET(_xlpm.Result,INDEX(Input!$D$2:$AC$500,
       MATCH(B377, Input!$J$2:$J$500, 0),
       MATCH("Capacity", Input!$D$1:$AC$1, 0)),IF(_xlpm.Result="","",_xlpm.Result))</f>
        <v>#N/A</v>
      </c>
      <c r="S377" s="42" t="e" cm="1">
        <f t="array" ref="S377">_xlfn.TEXTSPLIT(R377," / ", ,TRUE,0,)</f>
        <v>#N/A</v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/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/>
      <c r="AG377" s="32"/>
      <c r="AH377" s="32"/>
      <c r="AI377" s="32"/>
      <c r="AJ377" s="32"/>
      <c r="AK377" s="32"/>
      <c r="AL377" s="32"/>
      <c r="AM377" s="32"/>
    </row>
    <row r="378" spans="1:39">
      <c r="A378" s="32" t="str">
        <f>_xlfn.XLOOKUP(B378,Input!J:J,Input!G:G)&amp;""</f>
        <v/>
      </c>
      <c r="B378" s="32"/>
      <c r="C378" s="32" t="str">
        <f>_xlfn.XLOOKUP(B378,Input!J:J,Input!H:H)&amp;""</f>
        <v/>
      </c>
      <c r="D378" s="42">
        <f>_xlfn.XLOOKUP(B378,Input!J:J,Input!F:F)</f>
        <v>0</v>
      </c>
      <c r="E378" s="32">
        <f>_xlfn.XLOOKUP(D378,Models!H:H,Models!G:G,D378)</f>
        <v>0</v>
      </c>
      <c r="F378" s="32">
        <f>_xlfn.XLOOKUP(B378,Input!J:J,Input!E:E)</f>
        <v>0</v>
      </c>
      <c r="G378" s="32">
        <f>IF(F378="LENOVO",_xlfn.XLOOKUP(B378,Input!J:J,Input!K:K),_xlfn.XLOOKUP(B378,Input!J:J,Input!L:L))</f>
        <v>0</v>
      </c>
      <c r="H378" s="32"/>
      <c r="I378" s="32"/>
      <c r="J378" s="32"/>
      <c r="K378" s="42" t="e">
        <f>INDEX(Input!$D$2:$AC$500,
       MATCH(B378, Input!$J$2:$J$500, 0),
       MATCH("Total Memory", Input!$D$1:$AC$1, 0))</f>
        <v>#N/A</v>
      </c>
      <c r="L378" s="42"/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e">
        <f t="shared" si="17"/>
        <v>#N/A</v>
      </c>
      <c r="O378" s="42" t="e">
        <f>INDEX(Input!$D$2:$AC$500,
       MATCH(B378, Input!$J$2:$J$500, 0),
       MATCH("Disk Interface Type", Input!$D$1:$AC$1, 0))</f>
        <v>#N/A</v>
      </c>
      <c r="P378" s="42" t="str" cm="1">
        <f t="array" ref="P378">IFERROR(_xlfn.TEXTJOIN(", ", TRUE, _xlfn._xlws.FILTER(
    INDEX(Input!$D$2:$AC$500,,MATCH("Disk Capacity",Input!$D$1:$AC$1,0)),
    Input!$J$2:$J$500=B378
)), "")</f>
        <v/>
      </c>
      <c r="Q378" s="32" t="e">
        <f t="shared" si="16"/>
        <v>#N/A</v>
      </c>
      <c r="R378" s="42" t="e">
        <f>_xlfn.LET(_xlpm.Result,INDEX(Input!$D$2:$AC$500,
       MATCH(B378, Input!$J$2:$J$500, 0),
       MATCH("Capacity", Input!$D$1:$AC$1, 0)),IF(_xlpm.Result="","",_xlpm.Result))</f>
        <v>#N/A</v>
      </c>
      <c r="S378" s="42" t="e" cm="1">
        <f t="array" ref="S378">_xlfn.TEXTSPLIT(R378," / ", ,TRUE,0,)</f>
        <v>#N/A</v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/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/>
      <c r="AG378" s="32"/>
      <c r="AH378" s="32"/>
      <c r="AI378" s="32"/>
      <c r="AJ378" s="32"/>
      <c r="AK378" s="32"/>
      <c r="AL378" s="32"/>
      <c r="AM378" s="32"/>
    </row>
    <row r="379" spans="1:39">
      <c r="A379" s="32" t="str">
        <f>_xlfn.XLOOKUP(B379,Input!J:J,Input!G:G)&amp;""</f>
        <v/>
      </c>
      <c r="B379" s="32"/>
      <c r="C379" s="32" t="str">
        <f>_xlfn.XLOOKUP(B379,Input!J:J,Input!H:H)&amp;""</f>
        <v/>
      </c>
      <c r="D379" s="42">
        <f>_xlfn.XLOOKUP(B379,Input!J:J,Input!F:F)</f>
        <v>0</v>
      </c>
      <c r="E379" s="32">
        <f>_xlfn.XLOOKUP(D379,Models!H:H,Models!G:G,D379)</f>
        <v>0</v>
      </c>
      <c r="F379" s="32">
        <f>_xlfn.XLOOKUP(B379,Input!J:J,Input!E:E)</f>
        <v>0</v>
      </c>
      <c r="G379" s="32">
        <f>IF(F379="LENOVO",_xlfn.XLOOKUP(B379,Input!J:J,Input!K:K),_xlfn.XLOOKUP(B379,Input!J:J,Input!L:L))</f>
        <v>0</v>
      </c>
      <c r="H379" s="32"/>
      <c r="I379" s="32"/>
      <c r="J379" s="32"/>
      <c r="K379" s="42" t="e">
        <f>INDEX(Input!$D$2:$AC$500,
       MATCH(B379, Input!$J$2:$J$500, 0),
       MATCH("Total Memory", Input!$D$1:$AC$1, 0))</f>
        <v>#N/A</v>
      </c>
      <c r="L379" s="42"/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e">
        <f t="shared" si="17"/>
        <v>#N/A</v>
      </c>
      <c r="O379" s="42" t="e">
        <f>INDEX(Input!$D$2:$AC$500,
       MATCH(B379, Input!$J$2:$J$500, 0),
       MATCH("Disk Interface Type", Input!$D$1:$AC$1, 0))</f>
        <v>#N/A</v>
      </c>
      <c r="P379" s="42" t="str" cm="1">
        <f t="array" ref="P379">IFERROR(_xlfn.TEXTJOIN(", ", TRUE, _xlfn._xlws.FILTER(
    INDEX(Input!$D$2:$AC$500,,MATCH("Disk Capacity",Input!$D$1:$AC$1,0)),
    Input!$J$2:$J$500=B379
)), "")</f>
        <v/>
      </c>
      <c r="Q379" s="32" t="e">
        <f t="shared" si="16"/>
        <v>#N/A</v>
      </c>
      <c r="R379" s="42" t="e">
        <f>_xlfn.LET(_xlpm.Result,INDEX(Input!$D$2:$AC$500,
       MATCH(B379, Input!$J$2:$J$500, 0),
       MATCH("Capacity", Input!$D$1:$AC$1, 0)),IF(_xlpm.Result="","",_xlpm.Result))</f>
        <v>#N/A</v>
      </c>
      <c r="S379" s="42" t="e" cm="1">
        <f t="array" ref="S379">_xlfn.TEXTSPLIT(R379," / ", ,TRUE,0,)</f>
        <v>#N/A</v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/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/>
      <c r="AG379" s="32"/>
      <c r="AH379" s="32"/>
      <c r="AI379" s="32"/>
      <c r="AJ379" s="32"/>
      <c r="AK379" s="32"/>
      <c r="AL379" s="32"/>
      <c r="AM379" s="32"/>
    </row>
    <row r="380" spans="1:39">
      <c r="A380" s="32" t="str">
        <f>_xlfn.XLOOKUP(B380,Input!J:J,Input!G:G)&amp;""</f>
        <v/>
      </c>
      <c r="B380" s="32"/>
      <c r="C380" s="32" t="str">
        <f>_xlfn.XLOOKUP(B380,Input!J:J,Input!H:H)&amp;""</f>
        <v/>
      </c>
      <c r="D380" s="42">
        <f>_xlfn.XLOOKUP(B380,Input!J:J,Input!F:F)</f>
        <v>0</v>
      </c>
      <c r="E380" s="32">
        <f>_xlfn.XLOOKUP(D380,Models!H:H,Models!G:G,D380)</f>
        <v>0</v>
      </c>
      <c r="F380" s="32">
        <f>_xlfn.XLOOKUP(B380,Input!J:J,Input!E:E)</f>
        <v>0</v>
      </c>
      <c r="G380" s="32">
        <f>IF(F380="LENOVO",_xlfn.XLOOKUP(B380,Input!J:J,Input!K:K),_xlfn.XLOOKUP(B380,Input!J:J,Input!L:L))</f>
        <v>0</v>
      </c>
      <c r="H380" s="32"/>
      <c r="I380" s="32"/>
      <c r="J380" s="32"/>
      <c r="K380" s="42" t="e">
        <f>INDEX(Input!$D$2:$AC$500,
       MATCH(B380, Input!$J$2:$J$500, 0),
       MATCH("Total Memory", Input!$D$1:$AC$1, 0))</f>
        <v>#N/A</v>
      </c>
      <c r="L380" s="42"/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e">
        <f t="shared" si="17"/>
        <v>#N/A</v>
      </c>
      <c r="O380" s="42" t="e">
        <f>INDEX(Input!$D$2:$AC$500,
       MATCH(B380, Input!$J$2:$J$500, 0),
       MATCH("Disk Interface Type", Input!$D$1:$AC$1, 0))</f>
        <v>#N/A</v>
      </c>
      <c r="P380" s="42" t="str" cm="1">
        <f t="array" ref="P380">IFERROR(_xlfn.TEXTJOIN(", ", TRUE, _xlfn._xlws.FILTER(
    INDEX(Input!$D$2:$AC$500,,MATCH("Disk Capacity",Input!$D$1:$AC$1,0)),
    Input!$J$2:$J$500=B380
)), "")</f>
        <v/>
      </c>
      <c r="Q380" s="32" t="e">
        <f t="shared" si="16"/>
        <v>#N/A</v>
      </c>
      <c r="R380" s="42" t="e">
        <f>_xlfn.LET(_xlpm.Result,INDEX(Input!$D$2:$AC$500,
       MATCH(B380, Input!$J$2:$J$500, 0),
       MATCH("Capacity", Input!$D$1:$AC$1, 0)),IF(_xlpm.Result="","",_xlpm.Result))</f>
        <v>#N/A</v>
      </c>
      <c r="S380" s="42" t="e" cm="1">
        <f t="array" ref="S380">_xlfn.TEXTSPLIT(R380," / ", ,TRUE,0,)</f>
        <v>#N/A</v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/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/>
      <c r="AG380" s="32"/>
      <c r="AH380" s="32"/>
      <c r="AI380" s="32"/>
      <c r="AJ380" s="32"/>
      <c r="AK380" s="32"/>
      <c r="AL380" s="32"/>
      <c r="AM380" s="32"/>
    </row>
    <row r="381" spans="1:39">
      <c r="A381" s="32" t="str">
        <f>_xlfn.XLOOKUP(B381,Input!J:J,Input!G:G)&amp;""</f>
        <v/>
      </c>
      <c r="B381" s="32"/>
      <c r="C381" s="32" t="str">
        <f>_xlfn.XLOOKUP(B381,Input!J:J,Input!H:H)&amp;""</f>
        <v/>
      </c>
      <c r="D381" s="42">
        <f>_xlfn.XLOOKUP(B381,Input!J:J,Input!F:F)</f>
        <v>0</v>
      </c>
      <c r="E381" s="32">
        <f>_xlfn.XLOOKUP(D381,Models!H:H,Models!G:G,D381)</f>
        <v>0</v>
      </c>
      <c r="F381" s="32">
        <f>_xlfn.XLOOKUP(B381,Input!J:J,Input!E:E)</f>
        <v>0</v>
      </c>
      <c r="G381" s="32">
        <f>IF(F381="LENOVO",_xlfn.XLOOKUP(B381,Input!J:J,Input!K:K),_xlfn.XLOOKUP(B381,Input!J:J,Input!L:L))</f>
        <v>0</v>
      </c>
      <c r="H381" s="32"/>
      <c r="I381" s="32"/>
      <c r="J381" s="32"/>
      <c r="K381" s="42" t="e">
        <f>INDEX(Input!$D$2:$AC$500,
       MATCH(B381, Input!$J$2:$J$500, 0),
       MATCH("Total Memory", Input!$D$1:$AC$1, 0))</f>
        <v>#N/A</v>
      </c>
      <c r="L381" s="42"/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e">
        <f t="shared" si="17"/>
        <v>#N/A</v>
      </c>
      <c r="O381" s="42" t="e">
        <f>INDEX(Input!$D$2:$AC$500,
       MATCH(B381, Input!$J$2:$J$500, 0),
       MATCH("Disk Interface Type", Input!$D$1:$AC$1, 0))</f>
        <v>#N/A</v>
      </c>
      <c r="P381" s="42" t="str" cm="1">
        <f t="array" ref="P381">IFERROR(_xlfn.TEXTJOIN(", ", TRUE, _xlfn._xlws.FILTER(
    INDEX(Input!$D$2:$AC$500,,MATCH("Disk Capacity",Input!$D$1:$AC$1,0)),
    Input!$J$2:$J$500=B381
)), "")</f>
        <v/>
      </c>
      <c r="Q381" s="32" t="e">
        <f t="shared" si="16"/>
        <v>#N/A</v>
      </c>
      <c r="R381" s="42" t="e">
        <f>_xlfn.LET(_xlpm.Result,INDEX(Input!$D$2:$AC$500,
       MATCH(B381, Input!$J$2:$J$500, 0),
       MATCH("Capacity", Input!$D$1:$AC$1, 0)),IF(_xlpm.Result="","",_xlpm.Result))</f>
        <v>#N/A</v>
      </c>
      <c r="S381" s="42" t="e" cm="1">
        <f t="array" ref="S381">_xlfn.TEXTSPLIT(R381," / ", ,TRUE,0,)</f>
        <v>#N/A</v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/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/>
      <c r="AG381" s="32"/>
      <c r="AH381" s="32"/>
      <c r="AI381" s="32"/>
      <c r="AJ381" s="32"/>
      <c r="AK381" s="32"/>
      <c r="AL381" s="32"/>
      <c r="AM381" s="32"/>
    </row>
    <row r="382" spans="1:39">
      <c r="A382" s="32" t="str">
        <f>_xlfn.XLOOKUP(B382,Input!J:J,Input!G:G)&amp;""</f>
        <v/>
      </c>
      <c r="B382" s="32"/>
      <c r="C382" s="32" t="str">
        <f>_xlfn.XLOOKUP(B382,Input!J:J,Input!H:H)&amp;""</f>
        <v/>
      </c>
      <c r="D382" s="42">
        <f>_xlfn.XLOOKUP(B382,Input!J:J,Input!F:F)</f>
        <v>0</v>
      </c>
      <c r="E382" s="32">
        <f>_xlfn.XLOOKUP(D382,Models!H:H,Models!G:G,D382)</f>
        <v>0</v>
      </c>
      <c r="F382" s="32">
        <f>_xlfn.XLOOKUP(B382,Input!J:J,Input!E:E)</f>
        <v>0</v>
      </c>
      <c r="G382" s="32">
        <f>IF(F382="LENOVO",_xlfn.XLOOKUP(B382,Input!J:J,Input!K:K),_xlfn.XLOOKUP(B382,Input!J:J,Input!L:L))</f>
        <v>0</v>
      </c>
      <c r="H382" s="32"/>
      <c r="I382" s="32"/>
      <c r="J382" s="32"/>
      <c r="K382" s="42" t="e">
        <f>INDEX(Input!$D$2:$AC$500,
       MATCH(B382, Input!$J$2:$J$500, 0),
       MATCH("Total Memory", Input!$D$1:$AC$1, 0))</f>
        <v>#N/A</v>
      </c>
      <c r="L382" s="42"/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e">
        <f t="shared" si="17"/>
        <v>#N/A</v>
      </c>
      <c r="O382" s="42" t="e">
        <f>INDEX(Input!$D$2:$AC$500,
       MATCH(B382, Input!$J$2:$J$500, 0),
       MATCH("Disk Interface Type", Input!$D$1:$AC$1, 0))</f>
        <v>#N/A</v>
      </c>
      <c r="P382" s="42" t="str" cm="1">
        <f t="array" ref="P382">IFERROR(_xlfn.TEXTJOIN(", ", TRUE, _xlfn._xlws.FILTER(
    INDEX(Input!$D$2:$AC$500,,MATCH("Disk Capacity",Input!$D$1:$AC$1,0)),
    Input!$J$2:$J$500=B382
)), "")</f>
        <v/>
      </c>
      <c r="Q382" s="32" t="e">
        <f t="shared" si="16"/>
        <v>#N/A</v>
      </c>
      <c r="R382" s="42" t="e">
        <f>_xlfn.LET(_xlpm.Result,INDEX(Input!$D$2:$AC$500,
       MATCH(B382, Input!$J$2:$J$500, 0),
       MATCH("Capacity", Input!$D$1:$AC$1, 0)),IF(_xlpm.Result="","",_xlpm.Result))</f>
        <v>#N/A</v>
      </c>
      <c r="S382" s="42" t="e" cm="1">
        <f t="array" ref="S382">_xlfn.TEXTSPLIT(R382," / ", ,TRUE,0,)</f>
        <v>#N/A</v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/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/>
      <c r="AG382" s="32"/>
      <c r="AH382" s="32"/>
      <c r="AI382" s="32"/>
      <c r="AJ382" s="32"/>
      <c r="AK382" s="32"/>
      <c r="AL382" s="32"/>
      <c r="AM382" s="32"/>
    </row>
    <row r="383" spans="1:39">
      <c r="A383" s="32" t="str">
        <f>_xlfn.XLOOKUP(B383,Input!J:J,Input!G:G)&amp;""</f>
        <v/>
      </c>
      <c r="B383" s="32"/>
      <c r="C383" s="32" t="str">
        <f>_xlfn.XLOOKUP(B383,Input!J:J,Input!H:H)&amp;""</f>
        <v/>
      </c>
      <c r="D383" s="42">
        <f>_xlfn.XLOOKUP(B383,Input!J:J,Input!F:F)</f>
        <v>0</v>
      </c>
      <c r="E383" s="32">
        <f>_xlfn.XLOOKUP(D383,Models!H:H,Models!G:G,D383)</f>
        <v>0</v>
      </c>
      <c r="F383" s="32">
        <f>_xlfn.XLOOKUP(B383,Input!J:J,Input!E:E)</f>
        <v>0</v>
      </c>
      <c r="G383" s="32">
        <f>IF(F383="LENOVO",_xlfn.XLOOKUP(B383,Input!J:J,Input!K:K),_xlfn.XLOOKUP(B383,Input!J:J,Input!L:L))</f>
        <v>0</v>
      </c>
      <c r="H383" s="32"/>
      <c r="I383" s="32"/>
      <c r="J383" s="32"/>
      <c r="K383" s="42" t="e">
        <f>INDEX(Input!$D$2:$AC$500,
       MATCH(B383, Input!$J$2:$J$500, 0),
       MATCH("Total Memory", Input!$D$1:$AC$1, 0))</f>
        <v>#N/A</v>
      </c>
      <c r="L383" s="42"/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e">
        <f t="shared" si="17"/>
        <v>#N/A</v>
      </c>
      <c r="O383" s="42" t="e">
        <f>INDEX(Input!$D$2:$AC$500,
       MATCH(B383, Input!$J$2:$J$500, 0),
       MATCH("Disk Interface Type", Input!$D$1:$AC$1, 0))</f>
        <v>#N/A</v>
      </c>
      <c r="P383" s="42" t="str" cm="1">
        <f t="array" ref="P383">IFERROR(_xlfn.TEXTJOIN(", ", TRUE, _xlfn._xlws.FILTER(
    INDEX(Input!$D$2:$AC$500,,MATCH("Disk Capacity",Input!$D$1:$AC$1,0)),
    Input!$J$2:$J$500=B383
)), "")</f>
        <v/>
      </c>
      <c r="Q383" s="32" t="e">
        <f t="shared" si="16"/>
        <v>#N/A</v>
      </c>
      <c r="R383" s="42" t="e">
        <f>_xlfn.LET(_xlpm.Result,INDEX(Input!$D$2:$AC$500,
       MATCH(B383, Input!$J$2:$J$500, 0),
       MATCH("Capacity", Input!$D$1:$AC$1, 0)),IF(_xlpm.Result="","",_xlpm.Result))</f>
        <v>#N/A</v>
      </c>
      <c r="S383" s="42" t="e" cm="1">
        <f t="array" ref="S383">_xlfn.TEXTSPLIT(R383," / ", ,TRUE,0,)</f>
        <v>#N/A</v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/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/>
      <c r="AG383" s="32"/>
      <c r="AH383" s="32"/>
      <c r="AI383" s="32"/>
      <c r="AJ383" s="32"/>
      <c r="AK383" s="32"/>
      <c r="AL383" s="32"/>
      <c r="AM383" s="32"/>
    </row>
    <row r="384" spans="1:39">
      <c r="A384" s="32" t="str">
        <f>_xlfn.XLOOKUP(B384,Input!J:J,Input!G:G)&amp;""</f>
        <v/>
      </c>
      <c r="B384" s="32"/>
      <c r="C384" s="32" t="str">
        <f>_xlfn.XLOOKUP(B384,Input!J:J,Input!H:H)&amp;""</f>
        <v/>
      </c>
      <c r="D384" s="42">
        <f>_xlfn.XLOOKUP(B384,Input!J:J,Input!F:F)</f>
        <v>0</v>
      </c>
      <c r="E384" s="32">
        <f>_xlfn.XLOOKUP(D384,Models!H:H,Models!G:G,D384)</f>
        <v>0</v>
      </c>
      <c r="F384" s="32">
        <f>_xlfn.XLOOKUP(B384,Input!J:J,Input!E:E)</f>
        <v>0</v>
      </c>
      <c r="G384" s="32">
        <f>IF(F384="LENOVO",_xlfn.XLOOKUP(B384,Input!J:J,Input!K:K),_xlfn.XLOOKUP(B384,Input!J:J,Input!L:L))</f>
        <v>0</v>
      </c>
      <c r="H384" s="32"/>
      <c r="I384" s="32"/>
      <c r="J384" s="32"/>
      <c r="K384" s="42" t="e">
        <f>INDEX(Input!$D$2:$AC$500,
       MATCH(B384, Input!$J$2:$J$500, 0),
       MATCH("Total Memory", Input!$D$1:$AC$1, 0))</f>
        <v>#N/A</v>
      </c>
      <c r="L384" s="42"/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e">
        <f t="shared" si="17"/>
        <v>#N/A</v>
      </c>
      <c r="O384" s="42" t="e">
        <f>INDEX(Input!$D$2:$AC$500,
       MATCH(B384, Input!$J$2:$J$500, 0),
       MATCH("Disk Interface Type", Input!$D$1:$AC$1, 0))</f>
        <v>#N/A</v>
      </c>
      <c r="P384" s="42" t="str" cm="1">
        <f t="array" ref="P384">IFERROR(_xlfn.TEXTJOIN(", ", TRUE, _xlfn._xlws.FILTER(
    INDEX(Input!$D$2:$AC$500,,MATCH("Disk Capacity",Input!$D$1:$AC$1,0)),
    Input!$J$2:$J$500=B384
)), "")</f>
        <v/>
      </c>
      <c r="Q384" s="32" t="e">
        <f t="shared" si="16"/>
        <v>#N/A</v>
      </c>
      <c r="R384" s="42" t="e">
        <f>_xlfn.LET(_xlpm.Result,INDEX(Input!$D$2:$AC$500,
       MATCH(B384, Input!$J$2:$J$500, 0),
       MATCH("Capacity", Input!$D$1:$AC$1, 0)),IF(_xlpm.Result="","",_xlpm.Result))</f>
        <v>#N/A</v>
      </c>
      <c r="S384" s="42" t="e" cm="1">
        <f t="array" ref="S384">_xlfn.TEXTSPLIT(R384," / ", ,TRUE,0,)</f>
        <v>#N/A</v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/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/>
      <c r="AG384" s="32"/>
      <c r="AH384" s="32"/>
      <c r="AI384" s="32"/>
      <c r="AJ384" s="32"/>
      <c r="AK384" s="32"/>
      <c r="AL384" s="32"/>
      <c r="AM384" s="32"/>
    </row>
    <row r="385" spans="1:39">
      <c r="A385" s="32" t="str">
        <f>_xlfn.XLOOKUP(B385,Input!J:J,Input!G:G)&amp;""</f>
        <v/>
      </c>
      <c r="B385" s="32"/>
      <c r="C385" s="32" t="str">
        <f>_xlfn.XLOOKUP(B385,Input!J:J,Input!H:H)&amp;""</f>
        <v/>
      </c>
      <c r="D385" s="42">
        <f>_xlfn.XLOOKUP(B385,Input!J:J,Input!F:F)</f>
        <v>0</v>
      </c>
      <c r="E385" s="32">
        <f>_xlfn.XLOOKUP(D385,Models!H:H,Models!G:G,D385)</f>
        <v>0</v>
      </c>
      <c r="F385" s="32">
        <f>_xlfn.XLOOKUP(B385,Input!J:J,Input!E:E)</f>
        <v>0</v>
      </c>
      <c r="G385" s="32">
        <f>IF(F385="LENOVO",_xlfn.XLOOKUP(B385,Input!J:J,Input!K:K),_xlfn.XLOOKUP(B385,Input!J:J,Input!L:L))</f>
        <v>0</v>
      </c>
      <c r="H385" s="32"/>
      <c r="I385" s="32"/>
      <c r="J385" s="32"/>
      <c r="K385" s="42" t="e">
        <f>INDEX(Input!$D$2:$AC$500,
       MATCH(B385, Input!$J$2:$J$500, 0),
       MATCH("Total Memory", Input!$D$1:$AC$1, 0))</f>
        <v>#N/A</v>
      </c>
      <c r="L385" s="42"/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e">
        <f t="shared" si="17"/>
        <v>#N/A</v>
      </c>
      <c r="O385" s="42" t="e">
        <f>INDEX(Input!$D$2:$AC$500,
       MATCH(B385, Input!$J$2:$J$500, 0),
       MATCH("Disk Interface Type", Input!$D$1:$AC$1, 0))</f>
        <v>#N/A</v>
      </c>
      <c r="P385" s="42" t="str" cm="1">
        <f t="array" ref="P385">IFERROR(_xlfn.TEXTJOIN(", ", TRUE, _xlfn._xlws.FILTER(
    INDEX(Input!$D$2:$AC$500,,MATCH("Disk Capacity",Input!$D$1:$AC$1,0)),
    Input!$J$2:$J$500=B385
)), "")</f>
        <v/>
      </c>
      <c r="Q385" s="32" t="e">
        <f t="shared" si="16"/>
        <v>#N/A</v>
      </c>
      <c r="R385" s="42" t="e">
        <f>_xlfn.LET(_xlpm.Result,INDEX(Input!$D$2:$AC$500,
       MATCH(B385, Input!$J$2:$J$500, 0),
       MATCH("Capacity", Input!$D$1:$AC$1, 0)),IF(_xlpm.Result="","",_xlpm.Result))</f>
        <v>#N/A</v>
      </c>
      <c r="S385" s="42" t="e" cm="1">
        <f t="array" ref="S385">_xlfn.TEXTSPLIT(R385," / ", ,TRUE,0,)</f>
        <v>#N/A</v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/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/>
      <c r="AG385" s="32"/>
      <c r="AH385" s="32"/>
      <c r="AI385" s="32"/>
      <c r="AJ385" s="32"/>
      <c r="AK385" s="32"/>
      <c r="AL385" s="32"/>
      <c r="AM385" s="32"/>
    </row>
    <row r="386" spans="1:39">
      <c r="A386" s="32" t="str">
        <f>_xlfn.XLOOKUP(B386,Input!J:J,Input!G:G)&amp;""</f>
        <v/>
      </c>
      <c r="B386" s="32"/>
      <c r="C386" s="32" t="str">
        <f>_xlfn.XLOOKUP(B386,Input!J:J,Input!H:H)&amp;""</f>
        <v/>
      </c>
      <c r="D386" s="42">
        <f>_xlfn.XLOOKUP(B386,Input!J:J,Input!F:F)</f>
        <v>0</v>
      </c>
      <c r="E386" s="32">
        <f>_xlfn.XLOOKUP(D386,Models!H:H,Models!G:G,D386)</f>
        <v>0</v>
      </c>
      <c r="F386" s="32">
        <f>_xlfn.XLOOKUP(B386,Input!J:J,Input!E:E)</f>
        <v>0</v>
      </c>
      <c r="G386" s="32">
        <f>IF(F386="LENOVO",_xlfn.XLOOKUP(B386,Input!J:J,Input!K:K),_xlfn.XLOOKUP(B386,Input!J:J,Input!L:L))</f>
        <v>0</v>
      </c>
      <c r="H386" s="32"/>
      <c r="I386" s="32"/>
      <c r="J386" s="32"/>
      <c r="K386" s="42" t="e">
        <f>INDEX(Input!$D$2:$AC$500,
       MATCH(B386, Input!$J$2:$J$500, 0),
       MATCH("Total Memory", Input!$D$1:$AC$1, 0))</f>
        <v>#N/A</v>
      </c>
      <c r="L386" s="42"/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e">
        <f t="shared" si="17"/>
        <v>#N/A</v>
      </c>
      <c r="O386" s="42" t="e">
        <f>INDEX(Input!$D$2:$AC$500,
       MATCH(B386, Input!$J$2:$J$500, 0),
       MATCH("Disk Interface Type", Input!$D$1:$AC$1, 0))</f>
        <v>#N/A</v>
      </c>
      <c r="P386" s="42" t="str" cm="1">
        <f t="array" ref="P386">IFERROR(_xlfn.TEXTJOIN(", ", TRUE, _xlfn._xlws.FILTER(
    INDEX(Input!$D$2:$AC$500,,MATCH("Disk Capacity",Input!$D$1:$AC$1,0)),
    Input!$J$2:$J$500=B386
)), "")</f>
        <v/>
      </c>
      <c r="Q386" s="32" t="e">
        <f t="shared" si="16"/>
        <v>#N/A</v>
      </c>
      <c r="R386" s="42" t="e">
        <f>_xlfn.LET(_xlpm.Result,INDEX(Input!$D$2:$AC$500,
       MATCH(B386, Input!$J$2:$J$500, 0),
       MATCH("Capacity", Input!$D$1:$AC$1, 0)),IF(_xlpm.Result="","",_xlpm.Result))</f>
        <v>#N/A</v>
      </c>
      <c r="S386" s="42" t="e" cm="1">
        <f t="array" ref="S386">_xlfn.TEXTSPLIT(R386," / ", ,TRUE,0,)</f>
        <v>#N/A</v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/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/>
      <c r="AG386" s="32"/>
      <c r="AH386" s="32"/>
      <c r="AI386" s="32"/>
      <c r="AJ386" s="32"/>
      <c r="AK386" s="32"/>
      <c r="AL386" s="32"/>
      <c r="AM386" s="32"/>
    </row>
    <row r="387" spans="1:39">
      <c r="A387" s="32" t="str">
        <f>_xlfn.XLOOKUP(B387,Input!J:J,Input!G:G)&amp;""</f>
        <v/>
      </c>
      <c r="B387" s="32"/>
      <c r="C387" s="32" t="str">
        <f>_xlfn.XLOOKUP(B387,Input!J:J,Input!H:H)&amp;""</f>
        <v/>
      </c>
      <c r="D387" s="42">
        <f>_xlfn.XLOOKUP(B387,Input!J:J,Input!F:F)</f>
        <v>0</v>
      </c>
      <c r="E387" s="32">
        <f>_xlfn.XLOOKUP(D387,Models!H:H,Models!G:G,D387)</f>
        <v>0</v>
      </c>
      <c r="F387" s="32">
        <f>_xlfn.XLOOKUP(B387,Input!J:J,Input!E:E)</f>
        <v>0</v>
      </c>
      <c r="G387" s="32">
        <f>IF(F387="LENOVO",_xlfn.XLOOKUP(B387,Input!J:J,Input!K:K),_xlfn.XLOOKUP(B387,Input!J:J,Input!L:L))</f>
        <v>0</v>
      </c>
      <c r="H387" s="32"/>
      <c r="I387" s="32"/>
      <c r="J387" s="32"/>
      <c r="K387" s="42" t="e">
        <f>INDEX(Input!$D$2:$AC$500,
       MATCH(B387, Input!$J$2:$J$500, 0),
       MATCH("Total Memory", Input!$D$1:$AC$1, 0))</f>
        <v>#N/A</v>
      </c>
      <c r="L387" s="42"/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e">
        <f t="shared" si="17"/>
        <v>#N/A</v>
      </c>
      <c r="O387" s="42" t="e">
        <f>INDEX(Input!$D$2:$AC$500,
       MATCH(B387, Input!$J$2:$J$500, 0),
       MATCH("Disk Interface Type", Input!$D$1:$AC$1, 0))</f>
        <v>#N/A</v>
      </c>
      <c r="P387" s="42" t="str" cm="1">
        <f t="array" ref="P387">IFERROR(_xlfn.TEXTJOIN(", ", TRUE, _xlfn._xlws.FILTER(
    INDEX(Input!$D$2:$AC$500,,MATCH("Disk Capacity",Input!$D$1:$AC$1,0)),
    Input!$J$2:$J$500=B387
)), "")</f>
        <v/>
      </c>
      <c r="Q387" s="32" t="e">
        <f t="shared" ref="Q387:Q450" si="19">_xlfn.TEXTJOIN(" ",TRUE,P387,O387)</f>
        <v>#N/A</v>
      </c>
      <c r="R387" s="42" t="e">
        <f>_xlfn.LET(_xlpm.Result,INDEX(Input!$D$2:$AC$500,
       MATCH(B387, Input!$J$2:$J$500, 0),
       MATCH("Capacity", Input!$D$1:$AC$1, 0)),IF(_xlpm.Result="","",_xlpm.Result))</f>
        <v>#N/A</v>
      </c>
      <c r="S387" s="42" t="e" cm="1">
        <f t="array" ref="S387">_xlfn.TEXTSPLIT(R387," / ", ,TRUE,0,)</f>
        <v>#N/A</v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/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/>
      <c r="AG387" s="32"/>
      <c r="AH387" s="32"/>
      <c r="AI387" s="32"/>
      <c r="AJ387" s="32"/>
      <c r="AK387" s="32"/>
      <c r="AL387" s="32"/>
      <c r="AM387" s="32"/>
    </row>
    <row r="388" spans="1:39">
      <c r="A388" s="32" t="str">
        <f>_xlfn.XLOOKUP(B388,Input!J:J,Input!G:G)&amp;""</f>
        <v/>
      </c>
      <c r="B388" s="32"/>
      <c r="C388" s="32" t="str">
        <f>_xlfn.XLOOKUP(B388,Input!J:J,Input!H:H)&amp;""</f>
        <v/>
      </c>
      <c r="D388" s="42">
        <f>_xlfn.XLOOKUP(B388,Input!J:J,Input!F:F)</f>
        <v>0</v>
      </c>
      <c r="E388" s="32">
        <f>_xlfn.XLOOKUP(D388,Models!H:H,Models!G:G,D388)</f>
        <v>0</v>
      </c>
      <c r="F388" s="32">
        <f>_xlfn.XLOOKUP(B388,Input!J:J,Input!E:E)</f>
        <v>0</v>
      </c>
      <c r="G388" s="32">
        <f>IF(F388="LENOVO",_xlfn.XLOOKUP(B388,Input!J:J,Input!K:K),_xlfn.XLOOKUP(B388,Input!J:J,Input!L:L))</f>
        <v>0</v>
      </c>
      <c r="H388" s="32"/>
      <c r="I388" s="32"/>
      <c r="J388" s="32"/>
      <c r="K388" s="42" t="e">
        <f>INDEX(Input!$D$2:$AC$500,
       MATCH(B388, Input!$J$2:$J$500, 0),
       MATCH("Total Memory", Input!$D$1:$AC$1, 0))</f>
        <v>#N/A</v>
      </c>
      <c r="L388" s="42"/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e">
        <f t="shared" ref="N388:N451" si="20">_xlfn.TEXTJOIN(" ",TRUE,SUBSTITUTE(K388,"i",""),M388)</f>
        <v>#N/A</v>
      </c>
      <c r="O388" s="42" t="e">
        <f>INDEX(Input!$D$2:$AC$500,
       MATCH(B388, Input!$J$2:$J$500, 0),
       MATCH("Disk Interface Type", Input!$D$1:$AC$1, 0))</f>
        <v>#N/A</v>
      </c>
      <c r="P388" s="42" t="str" cm="1">
        <f t="array" ref="P388">IFERROR(_xlfn.TEXTJOIN(", ", TRUE, _xlfn._xlws.FILTER(
    INDEX(Input!$D$2:$AC$500,,MATCH("Disk Capacity",Input!$D$1:$AC$1,0)),
    Input!$J$2:$J$500=B388
)), "")</f>
        <v/>
      </c>
      <c r="Q388" s="32" t="e">
        <f t="shared" si="19"/>
        <v>#N/A</v>
      </c>
      <c r="R388" s="42" t="e">
        <f>_xlfn.LET(_xlpm.Result,INDEX(Input!$D$2:$AC$500,
       MATCH(B388, Input!$J$2:$J$500, 0),
       MATCH("Capacity", Input!$D$1:$AC$1, 0)),IF(_xlpm.Result="","",_xlpm.Result))</f>
        <v>#N/A</v>
      </c>
      <c r="S388" s="42" t="e" cm="1">
        <f t="array" ref="S388">_xlfn.TEXTSPLIT(R388," / ", ,TRUE,0,)</f>
        <v>#N/A</v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/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/>
      <c r="AG388" s="32"/>
      <c r="AH388" s="32"/>
      <c r="AI388" s="32"/>
      <c r="AJ388" s="32"/>
      <c r="AK388" s="32"/>
      <c r="AL388" s="32"/>
      <c r="AM388" s="32"/>
    </row>
    <row r="389" spans="1:39">
      <c r="A389" s="32" t="str">
        <f>_xlfn.XLOOKUP(B389,Input!J:J,Input!G:G)&amp;""</f>
        <v/>
      </c>
      <c r="B389" s="32"/>
      <c r="C389" s="32" t="str">
        <f>_xlfn.XLOOKUP(B389,Input!J:J,Input!H:H)&amp;""</f>
        <v/>
      </c>
      <c r="D389" s="42">
        <f>_xlfn.XLOOKUP(B389,Input!J:J,Input!F:F)</f>
        <v>0</v>
      </c>
      <c r="E389" s="32">
        <f>_xlfn.XLOOKUP(D389,Models!H:H,Models!G:G,D389)</f>
        <v>0</v>
      </c>
      <c r="F389" s="32">
        <f>_xlfn.XLOOKUP(B389,Input!J:J,Input!E:E)</f>
        <v>0</v>
      </c>
      <c r="G389" s="32">
        <f>IF(F389="LENOVO",_xlfn.XLOOKUP(B389,Input!J:J,Input!K:K),_xlfn.XLOOKUP(B389,Input!J:J,Input!L:L))</f>
        <v>0</v>
      </c>
      <c r="H389" s="32"/>
      <c r="I389" s="32"/>
      <c r="J389" s="32"/>
      <c r="K389" s="42" t="e">
        <f>INDEX(Input!$D$2:$AC$500,
       MATCH(B389, Input!$J$2:$J$500, 0),
       MATCH("Total Memory", Input!$D$1:$AC$1, 0))</f>
        <v>#N/A</v>
      </c>
      <c r="L389" s="42"/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e">
        <f t="shared" si="20"/>
        <v>#N/A</v>
      </c>
      <c r="O389" s="42" t="e">
        <f>INDEX(Input!$D$2:$AC$500,
       MATCH(B389, Input!$J$2:$J$500, 0),
       MATCH("Disk Interface Type", Input!$D$1:$AC$1, 0))</f>
        <v>#N/A</v>
      </c>
      <c r="P389" s="42" t="str" cm="1">
        <f t="array" ref="P389">IFERROR(_xlfn.TEXTJOIN(", ", TRUE, _xlfn._xlws.FILTER(
    INDEX(Input!$D$2:$AC$500,,MATCH("Disk Capacity",Input!$D$1:$AC$1,0)),
    Input!$J$2:$J$500=B389
)), "")</f>
        <v/>
      </c>
      <c r="Q389" s="32" t="e">
        <f t="shared" si="19"/>
        <v>#N/A</v>
      </c>
      <c r="R389" s="42" t="e">
        <f>_xlfn.LET(_xlpm.Result,INDEX(Input!$D$2:$AC$500,
       MATCH(B389, Input!$J$2:$J$500, 0),
       MATCH("Capacity", Input!$D$1:$AC$1, 0)),IF(_xlpm.Result="","",_xlpm.Result))</f>
        <v>#N/A</v>
      </c>
      <c r="S389" s="42" t="e" cm="1">
        <f t="array" ref="S389">_xlfn.TEXTSPLIT(R389," / ", ,TRUE,0,)</f>
        <v>#N/A</v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/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/>
      <c r="AG389" s="32"/>
      <c r="AH389" s="32"/>
      <c r="AI389" s="32"/>
      <c r="AJ389" s="32"/>
      <c r="AK389" s="32"/>
      <c r="AL389" s="32"/>
      <c r="AM389" s="32"/>
    </row>
    <row r="390" spans="1:39">
      <c r="A390" s="32" t="str">
        <f>_xlfn.XLOOKUP(B390,Input!J:J,Input!G:G)&amp;""</f>
        <v/>
      </c>
      <c r="B390" s="32"/>
      <c r="C390" s="32" t="str">
        <f>_xlfn.XLOOKUP(B390,Input!J:J,Input!H:H)&amp;""</f>
        <v/>
      </c>
      <c r="D390" s="42">
        <f>_xlfn.XLOOKUP(B390,Input!J:J,Input!F:F)</f>
        <v>0</v>
      </c>
      <c r="E390" s="32">
        <f>_xlfn.XLOOKUP(D390,Models!H:H,Models!G:G,D390)</f>
        <v>0</v>
      </c>
      <c r="F390" s="32">
        <f>_xlfn.XLOOKUP(B390,Input!J:J,Input!E:E)</f>
        <v>0</v>
      </c>
      <c r="G390" s="32">
        <f>IF(F390="LENOVO",_xlfn.XLOOKUP(B390,Input!J:J,Input!K:K),_xlfn.XLOOKUP(B390,Input!J:J,Input!L:L))</f>
        <v>0</v>
      </c>
      <c r="H390" s="32"/>
      <c r="I390" s="32"/>
      <c r="J390" s="32"/>
      <c r="K390" s="42" t="e">
        <f>INDEX(Input!$D$2:$AC$500,
       MATCH(B390, Input!$J$2:$J$500, 0),
       MATCH("Total Memory", Input!$D$1:$AC$1, 0))</f>
        <v>#N/A</v>
      </c>
      <c r="L390" s="42"/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e">
        <f t="shared" si="20"/>
        <v>#N/A</v>
      </c>
      <c r="O390" s="42" t="e">
        <f>INDEX(Input!$D$2:$AC$500,
       MATCH(B390, Input!$J$2:$J$500, 0),
       MATCH("Disk Interface Type", Input!$D$1:$AC$1, 0))</f>
        <v>#N/A</v>
      </c>
      <c r="P390" s="42" t="str" cm="1">
        <f t="array" ref="P390">IFERROR(_xlfn.TEXTJOIN(", ", TRUE, _xlfn._xlws.FILTER(
    INDEX(Input!$D$2:$AC$500,,MATCH("Disk Capacity",Input!$D$1:$AC$1,0)),
    Input!$J$2:$J$500=B390
)), "")</f>
        <v/>
      </c>
      <c r="Q390" s="32" t="e">
        <f t="shared" si="19"/>
        <v>#N/A</v>
      </c>
      <c r="R390" s="42" t="e">
        <f>_xlfn.LET(_xlpm.Result,INDEX(Input!$D$2:$AC$500,
       MATCH(B390, Input!$J$2:$J$500, 0),
       MATCH("Capacity", Input!$D$1:$AC$1, 0)),IF(_xlpm.Result="","",_xlpm.Result))</f>
        <v>#N/A</v>
      </c>
      <c r="S390" s="42" t="e" cm="1">
        <f t="array" ref="S390">_xlfn.TEXTSPLIT(R390," / ", ,TRUE,0,)</f>
        <v>#N/A</v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/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/>
      <c r="AG390" s="32"/>
      <c r="AH390" s="32"/>
      <c r="AI390" s="32"/>
      <c r="AJ390" s="32"/>
      <c r="AK390" s="32"/>
      <c r="AL390" s="32"/>
      <c r="AM390" s="32"/>
    </row>
    <row r="391" spans="1:39">
      <c r="A391" s="32" t="str">
        <f>_xlfn.XLOOKUP(B391,Input!J:J,Input!G:G)&amp;""</f>
        <v/>
      </c>
      <c r="B391" s="32"/>
      <c r="C391" s="32" t="str">
        <f>_xlfn.XLOOKUP(B391,Input!J:J,Input!H:H)&amp;""</f>
        <v/>
      </c>
      <c r="D391" s="42">
        <f>_xlfn.XLOOKUP(B391,Input!J:J,Input!F:F)</f>
        <v>0</v>
      </c>
      <c r="E391" s="32">
        <f>_xlfn.XLOOKUP(D391,Models!H:H,Models!G:G,D391)</f>
        <v>0</v>
      </c>
      <c r="F391" s="32">
        <f>_xlfn.XLOOKUP(B391,Input!J:J,Input!E:E)</f>
        <v>0</v>
      </c>
      <c r="G391" s="32">
        <f>IF(F391="LENOVO",_xlfn.XLOOKUP(B391,Input!J:J,Input!K:K),_xlfn.XLOOKUP(B391,Input!J:J,Input!L:L))</f>
        <v>0</v>
      </c>
      <c r="H391" s="32"/>
      <c r="I391" s="32"/>
      <c r="J391" s="32"/>
      <c r="K391" s="42" t="e">
        <f>INDEX(Input!$D$2:$AC$500,
       MATCH(B391, Input!$J$2:$J$500, 0),
       MATCH("Total Memory", Input!$D$1:$AC$1, 0))</f>
        <v>#N/A</v>
      </c>
      <c r="L391" s="42"/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e">
        <f t="shared" si="20"/>
        <v>#N/A</v>
      </c>
      <c r="O391" s="42" t="e">
        <f>INDEX(Input!$D$2:$AC$500,
       MATCH(B391, Input!$J$2:$J$500, 0),
       MATCH("Disk Interface Type", Input!$D$1:$AC$1, 0))</f>
        <v>#N/A</v>
      </c>
      <c r="P391" s="42" t="str" cm="1">
        <f t="array" ref="P391">IFERROR(_xlfn.TEXTJOIN(", ", TRUE, _xlfn._xlws.FILTER(
    INDEX(Input!$D$2:$AC$500,,MATCH("Disk Capacity",Input!$D$1:$AC$1,0)),
    Input!$J$2:$J$500=B391
)), "")</f>
        <v/>
      </c>
      <c r="Q391" s="32" t="e">
        <f t="shared" si="19"/>
        <v>#N/A</v>
      </c>
      <c r="R391" s="42" t="e">
        <f>_xlfn.LET(_xlpm.Result,INDEX(Input!$D$2:$AC$500,
       MATCH(B391, Input!$J$2:$J$500, 0),
       MATCH("Capacity", Input!$D$1:$AC$1, 0)),IF(_xlpm.Result="","",_xlpm.Result))</f>
        <v>#N/A</v>
      </c>
      <c r="S391" s="42" t="e" cm="1">
        <f t="array" ref="S391">_xlfn.TEXTSPLIT(R391," / ", ,TRUE,0,)</f>
        <v>#N/A</v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/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/>
      <c r="AG391" s="32"/>
      <c r="AH391" s="32"/>
      <c r="AI391" s="32"/>
      <c r="AJ391" s="32"/>
      <c r="AK391" s="32"/>
      <c r="AL391" s="32"/>
      <c r="AM391" s="32"/>
    </row>
    <row r="392" spans="1:39">
      <c r="A392" s="32" t="str">
        <f>_xlfn.XLOOKUP(B392,Input!J:J,Input!G:G)&amp;""</f>
        <v/>
      </c>
      <c r="B392" s="32"/>
      <c r="C392" s="32" t="str">
        <f>_xlfn.XLOOKUP(B392,Input!J:J,Input!H:H)&amp;""</f>
        <v/>
      </c>
      <c r="D392" s="42">
        <f>_xlfn.XLOOKUP(B392,Input!J:J,Input!F:F)</f>
        <v>0</v>
      </c>
      <c r="E392" s="32">
        <f>_xlfn.XLOOKUP(D392,Models!H:H,Models!G:G,D392)</f>
        <v>0</v>
      </c>
      <c r="F392" s="32">
        <f>_xlfn.XLOOKUP(B392,Input!J:J,Input!E:E)</f>
        <v>0</v>
      </c>
      <c r="G392" s="32">
        <f>IF(F392="LENOVO",_xlfn.XLOOKUP(B392,Input!J:J,Input!K:K),_xlfn.XLOOKUP(B392,Input!J:J,Input!L:L))</f>
        <v>0</v>
      </c>
      <c r="H392" s="32"/>
      <c r="I392" s="32"/>
      <c r="J392" s="32"/>
      <c r="K392" s="42" t="e">
        <f>INDEX(Input!$D$2:$AC$500,
       MATCH(B392, Input!$J$2:$J$500, 0),
       MATCH("Total Memory", Input!$D$1:$AC$1, 0))</f>
        <v>#N/A</v>
      </c>
      <c r="L392" s="42"/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e">
        <f t="shared" si="20"/>
        <v>#N/A</v>
      </c>
      <c r="O392" s="42" t="e">
        <f>INDEX(Input!$D$2:$AC$500,
       MATCH(B392, Input!$J$2:$J$500, 0),
       MATCH("Disk Interface Type", Input!$D$1:$AC$1, 0))</f>
        <v>#N/A</v>
      </c>
      <c r="P392" s="42" t="str" cm="1">
        <f t="array" ref="P392">IFERROR(_xlfn.TEXTJOIN(", ", TRUE, _xlfn._xlws.FILTER(
    INDEX(Input!$D$2:$AC$500,,MATCH("Disk Capacity",Input!$D$1:$AC$1,0)),
    Input!$J$2:$J$500=B392
)), "")</f>
        <v/>
      </c>
      <c r="Q392" s="32" t="e">
        <f t="shared" si="19"/>
        <v>#N/A</v>
      </c>
      <c r="R392" s="42" t="e">
        <f>_xlfn.LET(_xlpm.Result,INDEX(Input!$D$2:$AC$500,
       MATCH(B392, Input!$J$2:$J$500, 0),
       MATCH("Capacity", Input!$D$1:$AC$1, 0)),IF(_xlpm.Result="","",_xlpm.Result))</f>
        <v>#N/A</v>
      </c>
      <c r="S392" s="42" t="e" cm="1">
        <f t="array" ref="S392">_xlfn.TEXTSPLIT(R392," / ", ,TRUE,0,)</f>
        <v>#N/A</v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/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/>
      <c r="AG392" s="32"/>
      <c r="AH392" s="32"/>
      <c r="AI392" s="32"/>
      <c r="AJ392" s="32"/>
      <c r="AK392" s="32"/>
      <c r="AL392" s="32"/>
      <c r="AM392" s="32"/>
    </row>
    <row r="393" spans="1:39">
      <c r="A393" s="32" t="str">
        <f>_xlfn.XLOOKUP(B393,Input!J:J,Input!G:G)&amp;""</f>
        <v/>
      </c>
      <c r="B393" s="32"/>
      <c r="C393" s="32" t="str">
        <f>_xlfn.XLOOKUP(B393,Input!J:J,Input!H:H)&amp;""</f>
        <v/>
      </c>
      <c r="D393" s="42">
        <f>_xlfn.XLOOKUP(B393,Input!J:J,Input!F:F)</f>
        <v>0</v>
      </c>
      <c r="E393" s="32">
        <f>_xlfn.XLOOKUP(D393,Models!H:H,Models!G:G,D393)</f>
        <v>0</v>
      </c>
      <c r="F393" s="32">
        <f>_xlfn.XLOOKUP(B393,Input!J:J,Input!E:E)</f>
        <v>0</v>
      </c>
      <c r="G393" s="32">
        <f>IF(F393="LENOVO",_xlfn.XLOOKUP(B393,Input!J:J,Input!K:K),_xlfn.XLOOKUP(B393,Input!J:J,Input!L:L))</f>
        <v>0</v>
      </c>
      <c r="H393" s="32"/>
      <c r="I393" s="32"/>
      <c r="J393" s="32"/>
      <c r="K393" s="42" t="e">
        <f>INDEX(Input!$D$2:$AC$500,
       MATCH(B393, Input!$J$2:$J$500, 0),
       MATCH("Total Memory", Input!$D$1:$AC$1, 0))</f>
        <v>#N/A</v>
      </c>
      <c r="L393" s="42"/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e">
        <f t="shared" si="20"/>
        <v>#N/A</v>
      </c>
      <c r="O393" s="42" t="e">
        <f>INDEX(Input!$D$2:$AC$500,
       MATCH(B393, Input!$J$2:$J$500, 0),
       MATCH("Disk Interface Type", Input!$D$1:$AC$1, 0))</f>
        <v>#N/A</v>
      </c>
      <c r="P393" s="42" t="str" cm="1">
        <f t="array" ref="P393">IFERROR(_xlfn.TEXTJOIN(", ", TRUE, _xlfn._xlws.FILTER(
    INDEX(Input!$D$2:$AC$500,,MATCH("Disk Capacity",Input!$D$1:$AC$1,0)),
    Input!$J$2:$J$500=B393
)), "")</f>
        <v/>
      </c>
      <c r="Q393" s="32" t="e">
        <f t="shared" si="19"/>
        <v>#N/A</v>
      </c>
      <c r="R393" s="42" t="e">
        <f>_xlfn.LET(_xlpm.Result,INDEX(Input!$D$2:$AC$500,
       MATCH(B393, Input!$J$2:$J$500, 0),
       MATCH("Capacity", Input!$D$1:$AC$1, 0)),IF(_xlpm.Result="","",_xlpm.Result))</f>
        <v>#N/A</v>
      </c>
      <c r="S393" s="42" t="e" cm="1">
        <f t="array" ref="S393">_xlfn.TEXTSPLIT(R393," / ", ,TRUE,0,)</f>
        <v>#N/A</v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/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/>
      <c r="AG393" s="32"/>
      <c r="AH393" s="32"/>
      <c r="AI393" s="32"/>
      <c r="AJ393" s="32"/>
      <c r="AK393" s="32"/>
      <c r="AL393" s="32"/>
      <c r="AM393" s="32"/>
    </row>
    <row r="394" spans="1:39">
      <c r="A394" s="32" t="str">
        <f>_xlfn.XLOOKUP(B394,Input!J:J,Input!G:G)&amp;""</f>
        <v/>
      </c>
      <c r="B394" s="32"/>
      <c r="C394" s="32" t="str">
        <f>_xlfn.XLOOKUP(B394,Input!J:J,Input!H:H)&amp;""</f>
        <v/>
      </c>
      <c r="D394" s="42">
        <f>_xlfn.XLOOKUP(B394,Input!J:J,Input!F:F)</f>
        <v>0</v>
      </c>
      <c r="E394" s="32">
        <f>_xlfn.XLOOKUP(D394,Models!H:H,Models!G:G,D394)</f>
        <v>0</v>
      </c>
      <c r="F394" s="32">
        <f>_xlfn.XLOOKUP(B394,Input!J:J,Input!E:E)</f>
        <v>0</v>
      </c>
      <c r="G394" s="32">
        <f>IF(F394="LENOVO",_xlfn.XLOOKUP(B394,Input!J:J,Input!K:K),_xlfn.XLOOKUP(B394,Input!J:J,Input!L:L))</f>
        <v>0</v>
      </c>
      <c r="H394" s="32"/>
      <c r="I394" s="32"/>
      <c r="J394" s="32"/>
      <c r="K394" s="42" t="e">
        <f>INDEX(Input!$D$2:$AC$500,
       MATCH(B394, Input!$J$2:$J$500, 0),
       MATCH("Total Memory", Input!$D$1:$AC$1, 0))</f>
        <v>#N/A</v>
      </c>
      <c r="L394" s="42"/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e">
        <f t="shared" si="20"/>
        <v>#N/A</v>
      </c>
      <c r="O394" s="42" t="e">
        <f>INDEX(Input!$D$2:$AC$500,
       MATCH(B394, Input!$J$2:$J$500, 0),
       MATCH("Disk Interface Type", Input!$D$1:$AC$1, 0))</f>
        <v>#N/A</v>
      </c>
      <c r="P394" s="42" t="str" cm="1">
        <f t="array" ref="P394">IFERROR(_xlfn.TEXTJOIN(", ", TRUE, _xlfn._xlws.FILTER(
    INDEX(Input!$D$2:$AC$500,,MATCH("Disk Capacity",Input!$D$1:$AC$1,0)),
    Input!$J$2:$J$500=B394
)), "")</f>
        <v/>
      </c>
      <c r="Q394" s="32" t="e">
        <f t="shared" si="19"/>
        <v>#N/A</v>
      </c>
      <c r="R394" s="42" t="e">
        <f>_xlfn.LET(_xlpm.Result,INDEX(Input!$D$2:$AC$500,
       MATCH(B394, Input!$J$2:$J$500, 0),
       MATCH("Capacity", Input!$D$1:$AC$1, 0)),IF(_xlpm.Result="","",_xlpm.Result))</f>
        <v>#N/A</v>
      </c>
      <c r="S394" s="42" t="e" cm="1">
        <f t="array" ref="S394">_xlfn.TEXTSPLIT(R394," / ", ,TRUE,0,)</f>
        <v>#N/A</v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/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/>
      <c r="AG394" s="32"/>
      <c r="AH394" s="32"/>
      <c r="AI394" s="32"/>
      <c r="AJ394" s="32"/>
      <c r="AK394" s="32"/>
      <c r="AL394" s="32"/>
      <c r="AM394" s="32"/>
    </row>
    <row r="395" spans="1:39">
      <c r="A395" s="32" t="str">
        <f>_xlfn.XLOOKUP(B395,Input!J:J,Input!G:G)&amp;""</f>
        <v/>
      </c>
      <c r="B395" s="32"/>
      <c r="C395" s="32" t="str">
        <f>_xlfn.XLOOKUP(B395,Input!J:J,Input!H:H)&amp;""</f>
        <v/>
      </c>
      <c r="D395" s="42">
        <f>_xlfn.XLOOKUP(B395,Input!J:J,Input!F:F)</f>
        <v>0</v>
      </c>
      <c r="E395" s="32">
        <f>_xlfn.XLOOKUP(D395,Models!H:H,Models!G:G,D395)</f>
        <v>0</v>
      </c>
      <c r="F395" s="32">
        <f>_xlfn.XLOOKUP(B395,Input!J:J,Input!E:E)</f>
        <v>0</v>
      </c>
      <c r="G395" s="32">
        <f>IF(F395="LENOVO",_xlfn.XLOOKUP(B395,Input!J:J,Input!K:K),_xlfn.XLOOKUP(B395,Input!J:J,Input!L:L))</f>
        <v>0</v>
      </c>
      <c r="H395" s="32"/>
      <c r="I395" s="32"/>
      <c r="J395" s="32"/>
      <c r="K395" s="42" t="e">
        <f>INDEX(Input!$D$2:$AC$500,
       MATCH(B395, Input!$J$2:$J$500, 0),
       MATCH("Total Memory", Input!$D$1:$AC$1, 0))</f>
        <v>#N/A</v>
      </c>
      <c r="L395" s="42"/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e">
        <f t="shared" si="20"/>
        <v>#N/A</v>
      </c>
      <c r="O395" s="42" t="e">
        <f>INDEX(Input!$D$2:$AC$500,
       MATCH(B395, Input!$J$2:$J$500, 0),
       MATCH("Disk Interface Type", Input!$D$1:$AC$1, 0))</f>
        <v>#N/A</v>
      </c>
      <c r="P395" s="42" t="str" cm="1">
        <f t="array" ref="P395">IFERROR(_xlfn.TEXTJOIN(", ", TRUE, _xlfn._xlws.FILTER(
    INDEX(Input!$D$2:$AC$500,,MATCH("Disk Capacity",Input!$D$1:$AC$1,0)),
    Input!$J$2:$J$500=B395
)), "")</f>
        <v/>
      </c>
      <c r="Q395" s="32" t="e">
        <f t="shared" si="19"/>
        <v>#N/A</v>
      </c>
      <c r="R395" s="42" t="e">
        <f>_xlfn.LET(_xlpm.Result,INDEX(Input!$D$2:$AC$500,
       MATCH(B395, Input!$J$2:$J$500, 0),
       MATCH("Capacity", Input!$D$1:$AC$1, 0)),IF(_xlpm.Result="","",_xlpm.Result))</f>
        <v>#N/A</v>
      </c>
      <c r="S395" s="42" t="e" cm="1">
        <f t="array" ref="S395">_xlfn.TEXTSPLIT(R395," / ", ,TRUE,0,)</f>
        <v>#N/A</v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/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/>
      <c r="AG395" s="32"/>
      <c r="AH395" s="32"/>
      <c r="AI395" s="32"/>
      <c r="AJ395" s="32"/>
      <c r="AK395" s="32"/>
      <c r="AL395" s="32"/>
      <c r="AM395" s="32"/>
    </row>
    <row r="396" spans="1:39">
      <c r="A396" s="32" t="str">
        <f>_xlfn.XLOOKUP(B396,Input!J:J,Input!G:G)&amp;""</f>
        <v/>
      </c>
      <c r="B396" s="32"/>
      <c r="C396" s="32" t="str">
        <f>_xlfn.XLOOKUP(B396,Input!J:J,Input!H:H)&amp;""</f>
        <v/>
      </c>
      <c r="D396" s="42">
        <f>_xlfn.XLOOKUP(B396,Input!J:J,Input!F:F)</f>
        <v>0</v>
      </c>
      <c r="E396" s="32">
        <f>_xlfn.XLOOKUP(D396,Models!H:H,Models!G:G,D396)</f>
        <v>0</v>
      </c>
      <c r="F396" s="32">
        <f>_xlfn.XLOOKUP(B396,Input!J:J,Input!E:E)</f>
        <v>0</v>
      </c>
      <c r="G396" s="32">
        <f>IF(F396="LENOVO",_xlfn.XLOOKUP(B396,Input!J:J,Input!K:K),_xlfn.XLOOKUP(B396,Input!J:J,Input!L:L))</f>
        <v>0</v>
      </c>
      <c r="H396" s="32"/>
      <c r="I396" s="32"/>
      <c r="J396" s="32"/>
      <c r="K396" s="42" t="e">
        <f>INDEX(Input!$D$2:$AC$500,
       MATCH(B396, Input!$J$2:$J$500, 0),
       MATCH("Total Memory", Input!$D$1:$AC$1, 0))</f>
        <v>#N/A</v>
      </c>
      <c r="L396" s="42"/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e">
        <f t="shared" si="20"/>
        <v>#N/A</v>
      </c>
      <c r="O396" s="42" t="e">
        <f>INDEX(Input!$D$2:$AC$500,
       MATCH(B396, Input!$J$2:$J$500, 0),
       MATCH("Disk Interface Type", Input!$D$1:$AC$1, 0))</f>
        <v>#N/A</v>
      </c>
      <c r="P396" s="42" t="str" cm="1">
        <f t="array" ref="P396">IFERROR(_xlfn.TEXTJOIN(", ", TRUE, _xlfn._xlws.FILTER(
    INDEX(Input!$D$2:$AC$500,,MATCH("Disk Capacity",Input!$D$1:$AC$1,0)),
    Input!$J$2:$J$500=B396
)), "")</f>
        <v/>
      </c>
      <c r="Q396" s="32" t="e">
        <f t="shared" si="19"/>
        <v>#N/A</v>
      </c>
      <c r="R396" s="42" t="e">
        <f>_xlfn.LET(_xlpm.Result,INDEX(Input!$D$2:$AC$500,
       MATCH(B396, Input!$J$2:$J$500, 0),
       MATCH("Capacity", Input!$D$1:$AC$1, 0)),IF(_xlpm.Result="","",_xlpm.Result))</f>
        <v>#N/A</v>
      </c>
      <c r="S396" s="42" t="e" cm="1">
        <f t="array" ref="S396">_xlfn.TEXTSPLIT(R396," / ", ,TRUE,0,)</f>
        <v>#N/A</v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/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/>
      <c r="AG396" s="32"/>
      <c r="AH396" s="32"/>
      <c r="AI396" s="32"/>
      <c r="AJ396" s="32"/>
      <c r="AK396" s="32"/>
      <c r="AL396" s="32"/>
      <c r="AM396" s="32"/>
    </row>
    <row r="397" spans="1:39">
      <c r="A397" s="32" t="str">
        <f>_xlfn.XLOOKUP(B397,Input!J:J,Input!G:G)&amp;""</f>
        <v/>
      </c>
      <c r="B397" s="32"/>
      <c r="C397" s="32" t="str">
        <f>_xlfn.XLOOKUP(B397,Input!J:J,Input!H:H)&amp;""</f>
        <v/>
      </c>
      <c r="D397" s="42">
        <f>_xlfn.XLOOKUP(B397,Input!J:J,Input!F:F)</f>
        <v>0</v>
      </c>
      <c r="E397" s="32">
        <f>_xlfn.XLOOKUP(D397,Models!H:H,Models!G:G,D397)</f>
        <v>0</v>
      </c>
      <c r="F397" s="32">
        <f>_xlfn.XLOOKUP(B397,Input!J:J,Input!E:E)</f>
        <v>0</v>
      </c>
      <c r="G397" s="32">
        <f>IF(F397="LENOVO",_xlfn.XLOOKUP(B397,Input!J:J,Input!K:K),_xlfn.XLOOKUP(B397,Input!J:J,Input!L:L))</f>
        <v>0</v>
      </c>
      <c r="H397" s="32"/>
      <c r="I397" s="32"/>
      <c r="J397" s="32"/>
      <c r="K397" s="42" t="e">
        <f>INDEX(Input!$D$2:$AC$500,
       MATCH(B397, Input!$J$2:$J$500, 0),
       MATCH("Total Memory", Input!$D$1:$AC$1, 0))</f>
        <v>#N/A</v>
      </c>
      <c r="L397" s="42"/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e">
        <f t="shared" si="20"/>
        <v>#N/A</v>
      </c>
      <c r="O397" s="42" t="e">
        <f>INDEX(Input!$D$2:$AC$500,
       MATCH(B397, Input!$J$2:$J$500, 0),
       MATCH("Disk Interface Type", Input!$D$1:$AC$1, 0))</f>
        <v>#N/A</v>
      </c>
      <c r="P397" s="42" t="str" cm="1">
        <f t="array" ref="P397">IFERROR(_xlfn.TEXTJOIN(", ", TRUE, _xlfn._xlws.FILTER(
    INDEX(Input!$D$2:$AC$500,,MATCH("Disk Capacity",Input!$D$1:$AC$1,0)),
    Input!$J$2:$J$500=B397
)), "")</f>
        <v/>
      </c>
      <c r="Q397" s="32" t="e">
        <f t="shared" si="19"/>
        <v>#N/A</v>
      </c>
      <c r="R397" s="42" t="e">
        <f>_xlfn.LET(_xlpm.Result,INDEX(Input!$D$2:$AC$500,
       MATCH(B397, Input!$J$2:$J$500, 0),
       MATCH("Capacity", Input!$D$1:$AC$1, 0)),IF(_xlpm.Result="","",_xlpm.Result))</f>
        <v>#N/A</v>
      </c>
      <c r="S397" s="42" t="e" cm="1">
        <f t="array" ref="S397">_xlfn.TEXTSPLIT(R397," / ", ,TRUE,0,)</f>
        <v>#N/A</v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/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/>
      <c r="AG397" s="32"/>
      <c r="AH397" s="32"/>
      <c r="AI397" s="32"/>
      <c r="AJ397" s="32"/>
      <c r="AK397" s="32"/>
      <c r="AL397" s="32"/>
      <c r="AM397" s="32"/>
    </row>
    <row r="398" spans="1:39">
      <c r="A398" s="32" t="str">
        <f>_xlfn.XLOOKUP(B398,Input!J:J,Input!G:G)&amp;""</f>
        <v/>
      </c>
      <c r="B398" s="32"/>
      <c r="C398" s="32" t="str">
        <f>_xlfn.XLOOKUP(B398,Input!J:J,Input!H:H)&amp;""</f>
        <v/>
      </c>
      <c r="D398" s="42">
        <f>_xlfn.XLOOKUP(B398,Input!J:J,Input!F:F)</f>
        <v>0</v>
      </c>
      <c r="E398" s="32">
        <f>_xlfn.XLOOKUP(D398,Models!H:H,Models!G:G,D398)</f>
        <v>0</v>
      </c>
      <c r="F398" s="32">
        <f>_xlfn.XLOOKUP(B398,Input!J:J,Input!E:E)</f>
        <v>0</v>
      </c>
      <c r="G398" s="32">
        <f>IF(F398="LENOVO",_xlfn.XLOOKUP(B398,Input!J:J,Input!K:K),_xlfn.XLOOKUP(B398,Input!J:J,Input!L:L))</f>
        <v>0</v>
      </c>
      <c r="H398" s="32"/>
      <c r="I398" s="32"/>
      <c r="J398" s="32"/>
      <c r="K398" s="42" t="e">
        <f>INDEX(Input!$D$2:$AC$500,
       MATCH(B398, Input!$J$2:$J$500, 0),
       MATCH("Total Memory", Input!$D$1:$AC$1, 0))</f>
        <v>#N/A</v>
      </c>
      <c r="L398" s="42"/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e">
        <f t="shared" si="20"/>
        <v>#N/A</v>
      </c>
      <c r="O398" s="42" t="e">
        <f>INDEX(Input!$D$2:$AC$500,
       MATCH(B398, Input!$J$2:$J$500, 0),
       MATCH("Disk Interface Type", Input!$D$1:$AC$1, 0))</f>
        <v>#N/A</v>
      </c>
      <c r="P398" s="42" t="str" cm="1">
        <f t="array" ref="P398">IFERROR(_xlfn.TEXTJOIN(", ", TRUE, _xlfn._xlws.FILTER(
    INDEX(Input!$D$2:$AC$500,,MATCH("Disk Capacity",Input!$D$1:$AC$1,0)),
    Input!$J$2:$J$500=B398
)), "")</f>
        <v/>
      </c>
      <c r="Q398" s="32" t="e">
        <f t="shared" si="19"/>
        <v>#N/A</v>
      </c>
      <c r="R398" s="42" t="e">
        <f>_xlfn.LET(_xlpm.Result,INDEX(Input!$D$2:$AC$500,
       MATCH(B398, Input!$J$2:$J$500, 0),
       MATCH("Capacity", Input!$D$1:$AC$1, 0)),IF(_xlpm.Result="","",_xlpm.Result))</f>
        <v>#N/A</v>
      </c>
      <c r="S398" s="42" t="e" cm="1">
        <f t="array" ref="S398">_xlfn.TEXTSPLIT(R398," / ", ,TRUE,0,)</f>
        <v>#N/A</v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/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/>
      <c r="AG398" s="32"/>
      <c r="AH398" s="32"/>
      <c r="AI398" s="32"/>
      <c r="AJ398" s="32"/>
      <c r="AK398" s="32"/>
      <c r="AL398" s="32"/>
      <c r="AM398" s="32"/>
    </row>
    <row r="399" spans="1:39">
      <c r="A399" s="32" t="str">
        <f>_xlfn.XLOOKUP(B399,Input!J:J,Input!G:G)&amp;""</f>
        <v/>
      </c>
      <c r="B399" s="32"/>
      <c r="C399" s="32" t="str">
        <f>_xlfn.XLOOKUP(B399,Input!J:J,Input!H:H)&amp;""</f>
        <v/>
      </c>
      <c r="D399" s="42">
        <f>_xlfn.XLOOKUP(B399,Input!J:J,Input!F:F)</f>
        <v>0</v>
      </c>
      <c r="E399" s="32">
        <f>_xlfn.XLOOKUP(D399,Models!H:H,Models!G:G,D399)</f>
        <v>0</v>
      </c>
      <c r="F399" s="32">
        <f>_xlfn.XLOOKUP(B399,Input!J:J,Input!E:E)</f>
        <v>0</v>
      </c>
      <c r="G399" s="32">
        <f>IF(F399="LENOVO",_xlfn.XLOOKUP(B399,Input!J:J,Input!K:K),_xlfn.XLOOKUP(B399,Input!J:J,Input!L:L))</f>
        <v>0</v>
      </c>
      <c r="H399" s="32"/>
      <c r="I399" s="32"/>
      <c r="J399" s="32"/>
      <c r="K399" s="42" t="e">
        <f>INDEX(Input!$D$2:$AC$500,
       MATCH(B399, Input!$J$2:$J$500, 0),
       MATCH("Total Memory", Input!$D$1:$AC$1, 0))</f>
        <v>#N/A</v>
      </c>
      <c r="L399" s="42"/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e">
        <f t="shared" si="20"/>
        <v>#N/A</v>
      </c>
      <c r="O399" s="42" t="e">
        <f>INDEX(Input!$D$2:$AC$500,
       MATCH(B399, Input!$J$2:$J$500, 0),
       MATCH("Disk Interface Type", Input!$D$1:$AC$1, 0))</f>
        <v>#N/A</v>
      </c>
      <c r="P399" s="42" t="str" cm="1">
        <f t="array" ref="P399">IFERROR(_xlfn.TEXTJOIN(", ", TRUE, _xlfn._xlws.FILTER(
    INDEX(Input!$D$2:$AC$500,,MATCH("Disk Capacity",Input!$D$1:$AC$1,0)),
    Input!$J$2:$J$500=B399
)), "")</f>
        <v/>
      </c>
      <c r="Q399" s="32" t="e">
        <f t="shared" si="19"/>
        <v>#N/A</v>
      </c>
      <c r="R399" s="42" t="e">
        <f>_xlfn.LET(_xlpm.Result,INDEX(Input!$D$2:$AC$500,
       MATCH(B399, Input!$J$2:$J$500, 0),
       MATCH("Capacity", Input!$D$1:$AC$1, 0)),IF(_xlpm.Result="","",_xlpm.Result))</f>
        <v>#N/A</v>
      </c>
      <c r="S399" s="42" t="e" cm="1">
        <f t="array" ref="S399">_xlfn.TEXTSPLIT(R399," / ", ,TRUE,0,)</f>
        <v>#N/A</v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/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/>
      <c r="AG399" s="32"/>
      <c r="AH399" s="32"/>
      <c r="AI399" s="32"/>
      <c r="AJ399" s="32"/>
      <c r="AK399" s="32"/>
      <c r="AL399" s="32"/>
      <c r="AM399" s="32"/>
    </row>
    <row r="400" spans="1:39">
      <c r="A400" s="32" t="str">
        <f>_xlfn.XLOOKUP(B400,Input!J:J,Input!G:G)&amp;""</f>
        <v/>
      </c>
      <c r="B400" s="32"/>
      <c r="C400" s="32" t="str">
        <f>_xlfn.XLOOKUP(B400,Input!J:J,Input!H:H)&amp;""</f>
        <v/>
      </c>
      <c r="D400" s="42">
        <f>_xlfn.XLOOKUP(B400,Input!J:J,Input!F:F)</f>
        <v>0</v>
      </c>
      <c r="E400" s="32">
        <f>_xlfn.XLOOKUP(D400,Models!H:H,Models!G:G,D400)</f>
        <v>0</v>
      </c>
      <c r="F400" s="32">
        <f>_xlfn.XLOOKUP(B400,Input!J:J,Input!E:E)</f>
        <v>0</v>
      </c>
      <c r="G400" s="32">
        <f>IF(F400="LENOVO",_xlfn.XLOOKUP(B400,Input!J:J,Input!K:K),_xlfn.XLOOKUP(B400,Input!J:J,Input!L:L))</f>
        <v>0</v>
      </c>
      <c r="H400" s="32"/>
      <c r="I400" s="32"/>
      <c r="J400" s="32"/>
      <c r="K400" s="42" t="e">
        <f>INDEX(Input!$D$2:$AC$500,
       MATCH(B400, Input!$J$2:$J$500, 0),
       MATCH("Total Memory", Input!$D$1:$AC$1, 0))</f>
        <v>#N/A</v>
      </c>
      <c r="L400" s="42"/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e">
        <f t="shared" si="20"/>
        <v>#N/A</v>
      </c>
      <c r="O400" s="42" t="e">
        <f>INDEX(Input!$D$2:$AC$500,
       MATCH(B400, Input!$J$2:$J$500, 0),
       MATCH("Disk Interface Type", Input!$D$1:$AC$1, 0))</f>
        <v>#N/A</v>
      </c>
      <c r="P400" s="42" t="str" cm="1">
        <f t="array" ref="P400">IFERROR(_xlfn.TEXTJOIN(", ", TRUE, _xlfn._xlws.FILTER(
    INDEX(Input!$D$2:$AC$500,,MATCH("Disk Capacity",Input!$D$1:$AC$1,0)),
    Input!$J$2:$J$500=B400
)), "")</f>
        <v/>
      </c>
      <c r="Q400" s="32" t="e">
        <f t="shared" si="19"/>
        <v>#N/A</v>
      </c>
      <c r="R400" s="42" t="e">
        <f>_xlfn.LET(_xlpm.Result,INDEX(Input!$D$2:$AC$500,
       MATCH(B400, Input!$J$2:$J$500, 0),
       MATCH("Capacity", Input!$D$1:$AC$1, 0)),IF(_xlpm.Result="","",_xlpm.Result))</f>
        <v>#N/A</v>
      </c>
      <c r="S400" s="42" t="e" cm="1">
        <f t="array" ref="S400">_xlfn.TEXTSPLIT(R400," / ", ,TRUE,0,)</f>
        <v>#N/A</v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/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/>
      <c r="AG400" s="32"/>
      <c r="AH400" s="32"/>
      <c r="AI400" s="32"/>
      <c r="AJ400" s="32"/>
      <c r="AK400" s="32"/>
      <c r="AL400" s="32"/>
      <c r="AM400" s="32"/>
    </row>
    <row r="401" spans="1:39">
      <c r="A401" s="32" t="str">
        <f>_xlfn.XLOOKUP(B401,Input!J:J,Input!G:G)&amp;""</f>
        <v/>
      </c>
      <c r="B401" s="32"/>
      <c r="C401" s="32" t="str">
        <f>_xlfn.XLOOKUP(B401,Input!J:J,Input!H:H)&amp;""</f>
        <v/>
      </c>
      <c r="D401" s="42">
        <f>_xlfn.XLOOKUP(B401,Input!J:J,Input!F:F)</f>
        <v>0</v>
      </c>
      <c r="E401" s="32">
        <f>_xlfn.XLOOKUP(D401,Models!H:H,Models!G:G,D401)</f>
        <v>0</v>
      </c>
      <c r="F401" s="32">
        <f>_xlfn.XLOOKUP(B401,Input!J:J,Input!E:E)</f>
        <v>0</v>
      </c>
      <c r="G401" s="32">
        <f>IF(F401="LENOVO",_xlfn.XLOOKUP(B401,Input!J:J,Input!K:K),_xlfn.XLOOKUP(B401,Input!J:J,Input!L:L))</f>
        <v>0</v>
      </c>
      <c r="H401" s="32"/>
      <c r="I401" s="32"/>
      <c r="J401" s="32"/>
      <c r="K401" s="42" t="e">
        <f>INDEX(Input!$D$2:$AC$500,
       MATCH(B401, Input!$J$2:$J$500, 0),
       MATCH("Total Memory", Input!$D$1:$AC$1, 0))</f>
        <v>#N/A</v>
      </c>
      <c r="L401" s="42"/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e">
        <f t="shared" si="20"/>
        <v>#N/A</v>
      </c>
      <c r="O401" s="42" t="e">
        <f>INDEX(Input!$D$2:$AC$500,
       MATCH(B401, Input!$J$2:$J$500, 0),
       MATCH("Disk Interface Type", Input!$D$1:$AC$1, 0))</f>
        <v>#N/A</v>
      </c>
      <c r="P401" s="42" t="str" cm="1">
        <f t="array" ref="P401">IFERROR(_xlfn.TEXTJOIN(", ", TRUE, _xlfn._xlws.FILTER(
    INDEX(Input!$D$2:$AC$500,,MATCH("Disk Capacity",Input!$D$1:$AC$1,0)),
    Input!$J$2:$J$500=B401
)), "")</f>
        <v/>
      </c>
      <c r="Q401" s="32" t="e">
        <f t="shared" si="19"/>
        <v>#N/A</v>
      </c>
      <c r="R401" s="42" t="e">
        <f>_xlfn.LET(_xlpm.Result,INDEX(Input!$D$2:$AC$500,
       MATCH(B401, Input!$J$2:$J$500, 0),
       MATCH("Capacity", Input!$D$1:$AC$1, 0)),IF(_xlpm.Result="","",_xlpm.Result))</f>
        <v>#N/A</v>
      </c>
      <c r="S401" s="42" t="e" cm="1">
        <f t="array" ref="S401">_xlfn.TEXTSPLIT(R401," / ", ,TRUE,0,)</f>
        <v>#N/A</v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/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/>
      <c r="AG401" s="32"/>
      <c r="AH401" s="32"/>
      <c r="AI401" s="32"/>
      <c r="AJ401" s="32"/>
      <c r="AK401" s="32"/>
      <c r="AL401" s="32"/>
      <c r="AM401" s="32"/>
    </row>
    <row r="402" spans="1:39">
      <c r="A402" s="32" t="str">
        <f>_xlfn.XLOOKUP(B402,Input!J:J,Input!G:G)&amp;""</f>
        <v/>
      </c>
      <c r="B402" s="32"/>
      <c r="C402" s="32" t="str">
        <f>_xlfn.XLOOKUP(B402,Input!J:J,Input!H:H)&amp;""</f>
        <v/>
      </c>
      <c r="D402" s="42">
        <f>_xlfn.XLOOKUP(B402,Input!J:J,Input!F:F)</f>
        <v>0</v>
      </c>
      <c r="E402" s="32">
        <f>_xlfn.XLOOKUP(D402,Models!H:H,Models!G:G,D402)</f>
        <v>0</v>
      </c>
      <c r="F402" s="32">
        <f>_xlfn.XLOOKUP(B402,Input!J:J,Input!E:E)</f>
        <v>0</v>
      </c>
      <c r="G402" s="32">
        <f>IF(F402="LENOVO",_xlfn.XLOOKUP(B402,Input!J:J,Input!K:K),_xlfn.XLOOKUP(B402,Input!J:J,Input!L:L))</f>
        <v>0</v>
      </c>
      <c r="H402" s="32"/>
      <c r="I402" s="32"/>
      <c r="J402" s="32"/>
      <c r="K402" s="42" t="e">
        <f>INDEX(Input!$D$2:$AC$500,
       MATCH(B402, Input!$J$2:$J$500, 0),
       MATCH("Total Memory", Input!$D$1:$AC$1, 0))</f>
        <v>#N/A</v>
      </c>
      <c r="L402" s="42"/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e">
        <f t="shared" si="20"/>
        <v>#N/A</v>
      </c>
      <c r="O402" s="42" t="e">
        <f>INDEX(Input!$D$2:$AC$500,
       MATCH(B402, Input!$J$2:$J$500, 0),
       MATCH("Disk Interface Type", Input!$D$1:$AC$1, 0))</f>
        <v>#N/A</v>
      </c>
      <c r="P402" s="42" t="str" cm="1">
        <f t="array" ref="P402">IFERROR(_xlfn.TEXTJOIN(", ", TRUE, _xlfn._xlws.FILTER(
    INDEX(Input!$D$2:$AC$500,,MATCH("Disk Capacity",Input!$D$1:$AC$1,0)),
    Input!$J$2:$J$500=B402
)), "")</f>
        <v/>
      </c>
      <c r="Q402" s="32" t="e">
        <f t="shared" si="19"/>
        <v>#N/A</v>
      </c>
      <c r="R402" s="42" t="e">
        <f>_xlfn.LET(_xlpm.Result,INDEX(Input!$D$2:$AC$500,
       MATCH(B402, Input!$J$2:$J$500, 0),
       MATCH("Capacity", Input!$D$1:$AC$1, 0)),IF(_xlpm.Result="","",_xlpm.Result))</f>
        <v>#N/A</v>
      </c>
      <c r="S402" s="42" t="e" cm="1">
        <f t="array" ref="S402">_xlfn.TEXTSPLIT(R402," / ", ,TRUE,0,)</f>
        <v>#N/A</v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/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/>
      <c r="AG402" s="32"/>
      <c r="AH402" s="32"/>
      <c r="AI402" s="32"/>
      <c r="AJ402" s="32"/>
      <c r="AK402" s="32"/>
      <c r="AL402" s="32"/>
      <c r="AM402" s="32"/>
    </row>
    <row r="403" spans="1:39">
      <c r="A403" s="32" t="str">
        <f>_xlfn.XLOOKUP(B403,Input!J:J,Input!G:G)&amp;""</f>
        <v/>
      </c>
      <c r="B403" s="32"/>
      <c r="C403" s="32" t="str">
        <f>_xlfn.XLOOKUP(B403,Input!J:J,Input!H:H)&amp;""</f>
        <v/>
      </c>
      <c r="D403" s="42">
        <f>_xlfn.XLOOKUP(B403,Input!J:J,Input!F:F)</f>
        <v>0</v>
      </c>
      <c r="E403" s="32">
        <f>_xlfn.XLOOKUP(D403,Models!H:H,Models!G:G,D403)</f>
        <v>0</v>
      </c>
      <c r="F403" s="32">
        <f>_xlfn.XLOOKUP(B403,Input!J:J,Input!E:E)</f>
        <v>0</v>
      </c>
      <c r="G403" s="32">
        <f>IF(F403="LENOVO",_xlfn.XLOOKUP(B403,Input!J:J,Input!K:K),_xlfn.XLOOKUP(B403,Input!J:J,Input!L:L))</f>
        <v>0</v>
      </c>
      <c r="H403" s="32"/>
      <c r="I403" s="32"/>
      <c r="J403" s="32"/>
      <c r="K403" s="42" t="e">
        <f>INDEX(Input!$D$2:$AC$500,
       MATCH(B403, Input!$J$2:$J$500, 0),
       MATCH("Total Memory", Input!$D$1:$AC$1, 0))</f>
        <v>#N/A</v>
      </c>
      <c r="L403" s="42"/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e">
        <f t="shared" si="20"/>
        <v>#N/A</v>
      </c>
      <c r="O403" s="42" t="e">
        <f>INDEX(Input!$D$2:$AC$500,
       MATCH(B403, Input!$J$2:$J$500, 0),
       MATCH("Disk Interface Type", Input!$D$1:$AC$1, 0))</f>
        <v>#N/A</v>
      </c>
      <c r="P403" s="42" t="str" cm="1">
        <f t="array" ref="P403">IFERROR(_xlfn.TEXTJOIN(", ", TRUE, _xlfn._xlws.FILTER(
    INDEX(Input!$D$2:$AC$500,,MATCH("Disk Capacity",Input!$D$1:$AC$1,0)),
    Input!$J$2:$J$500=B403
)), "")</f>
        <v/>
      </c>
      <c r="Q403" s="32" t="e">
        <f t="shared" si="19"/>
        <v>#N/A</v>
      </c>
      <c r="R403" s="42" t="e">
        <f>_xlfn.LET(_xlpm.Result,INDEX(Input!$D$2:$AC$500,
       MATCH(B403, Input!$J$2:$J$500, 0),
       MATCH("Capacity", Input!$D$1:$AC$1, 0)),IF(_xlpm.Result="","",_xlpm.Result))</f>
        <v>#N/A</v>
      </c>
      <c r="S403" s="42" t="e" cm="1">
        <f t="array" ref="S403">_xlfn.TEXTSPLIT(R403," / ", ,TRUE,0,)</f>
        <v>#N/A</v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/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/>
      <c r="AG403" s="32"/>
      <c r="AH403" s="32"/>
      <c r="AI403" s="32"/>
      <c r="AJ403" s="32"/>
      <c r="AK403" s="32"/>
      <c r="AL403" s="32"/>
      <c r="AM403" s="32"/>
    </row>
    <row r="404" spans="1:39">
      <c r="A404" s="32" t="str">
        <f>_xlfn.XLOOKUP(B404,Input!J:J,Input!G:G)&amp;""</f>
        <v/>
      </c>
      <c r="B404" s="32"/>
      <c r="C404" s="32" t="str">
        <f>_xlfn.XLOOKUP(B404,Input!J:J,Input!H:H)&amp;""</f>
        <v/>
      </c>
      <c r="D404" s="42">
        <f>_xlfn.XLOOKUP(B404,Input!J:J,Input!F:F)</f>
        <v>0</v>
      </c>
      <c r="E404" s="32">
        <f>_xlfn.XLOOKUP(D404,Models!H:H,Models!G:G,D404)</f>
        <v>0</v>
      </c>
      <c r="F404" s="32">
        <f>_xlfn.XLOOKUP(B404,Input!J:J,Input!E:E)</f>
        <v>0</v>
      </c>
      <c r="G404" s="32">
        <f>IF(F404="LENOVO",_xlfn.XLOOKUP(B404,Input!J:J,Input!K:K),_xlfn.XLOOKUP(B404,Input!J:J,Input!L:L))</f>
        <v>0</v>
      </c>
      <c r="H404" s="32"/>
      <c r="I404" s="32"/>
      <c r="J404" s="32"/>
      <c r="K404" s="42" t="e">
        <f>INDEX(Input!$D$2:$AC$500,
       MATCH(B404, Input!$J$2:$J$500, 0),
       MATCH("Total Memory", Input!$D$1:$AC$1, 0))</f>
        <v>#N/A</v>
      </c>
      <c r="L404" s="42"/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e">
        <f t="shared" si="20"/>
        <v>#N/A</v>
      </c>
      <c r="O404" s="42" t="e">
        <f>INDEX(Input!$D$2:$AC$500,
       MATCH(B404, Input!$J$2:$J$500, 0),
       MATCH("Disk Interface Type", Input!$D$1:$AC$1, 0))</f>
        <v>#N/A</v>
      </c>
      <c r="P404" s="42" t="str" cm="1">
        <f t="array" ref="P404">IFERROR(_xlfn.TEXTJOIN(", ", TRUE, _xlfn._xlws.FILTER(
    INDEX(Input!$D$2:$AC$500,,MATCH("Disk Capacity",Input!$D$1:$AC$1,0)),
    Input!$J$2:$J$500=B404
)), "")</f>
        <v/>
      </c>
      <c r="Q404" s="32" t="e">
        <f t="shared" si="19"/>
        <v>#N/A</v>
      </c>
      <c r="R404" s="42" t="e">
        <f>_xlfn.LET(_xlpm.Result,INDEX(Input!$D$2:$AC$500,
       MATCH(B404, Input!$J$2:$J$500, 0),
       MATCH("Capacity", Input!$D$1:$AC$1, 0)),IF(_xlpm.Result="","",_xlpm.Result))</f>
        <v>#N/A</v>
      </c>
      <c r="S404" s="42" t="e" cm="1">
        <f t="array" ref="S404">_xlfn.TEXTSPLIT(R404," / ", ,TRUE,0,)</f>
        <v>#N/A</v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/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/>
      <c r="AG404" s="32"/>
      <c r="AH404" s="32"/>
      <c r="AI404" s="32"/>
      <c r="AJ404" s="32"/>
      <c r="AK404" s="32"/>
      <c r="AL404" s="32"/>
      <c r="AM404" s="32"/>
    </row>
    <row r="405" spans="1:39">
      <c r="A405" s="32" t="str">
        <f>_xlfn.XLOOKUP(B405,Input!J:J,Input!G:G)&amp;""</f>
        <v/>
      </c>
      <c r="B405" s="32"/>
      <c r="C405" s="32" t="str">
        <f>_xlfn.XLOOKUP(B405,Input!J:J,Input!H:H)&amp;""</f>
        <v/>
      </c>
      <c r="D405" s="42">
        <f>_xlfn.XLOOKUP(B405,Input!J:J,Input!F:F)</f>
        <v>0</v>
      </c>
      <c r="E405" s="32">
        <f>_xlfn.XLOOKUP(D405,Models!H:H,Models!G:G,D405)</f>
        <v>0</v>
      </c>
      <c r="F405" s="32">
        <f>_xlfn.XLOOKUP(B405,Input!J:J,Input!E:E)</f>
        <v>0</v>
      </c>
      <c r="G405" s="32">
        <f>IF(F405="LENOVO",_xlfn.XLOOKUP(B405,Input!J:J,Input!K:K),_xlfn.XLOOKUP(B405,Input!J:J,Input!L:L))</f>
        <v>0</v>
      </c>
      <c r="H405" s="32"/>
      <c r="I405" s="32"/>
      <c r="J405" s="32"/>
      <c r="K405" s="42" t="e">
        <f>INDEX(Input!$D$2:$AC$500,
       MATCH(B405, Input!$J$2:$J$500, 0),
       MATCH("Total Memory", Input!$D$1:$AC$1, 0))</f>
        <v>#N/A</v>
      </c>
      <c r="L405" s="42"/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e">
        <f t="shared" si="20"/>
        <v>#N/A</v>
      </c>
      <c r="O405" s="42" t="e">
        <f>INDEX(Input!$D$2:$AC$500,
       MATCH(B405, Input!$J$2:$J$500, 0),
       MATCH("Disk Interface Type", Input!$D$1:$AC$1, 0))</f>
        <v>#N/A</v>
      </c>
      <c r="P405" s="42" t="str" cm="1">
        <f t="array" ref="P405">IFERROR(_xlfn.TEXTJOIN(", ", TRUE, _xlfn._xlws.FILTER(
    INDEX(Input!$D$2:$AC$500,,MATCH("Disk Capacity",Input!$D$1:$AC$1,0)),
    Input!$J$2:$J$500=B405
)), "")</f>
        <v/>
      </c>
      <c r="Q405" s="32" t="e">
        <f t="shared" si="19"/>
        <v>#N/A</v>
      </c>
      <c r="R405" s="42" t="e">
        <f>_xlfn.LET(_xlpm.Result,INDEX(Input!$D$2:$AC$500,
       MATCH(B405, Input!$J$2:$J$500, 0),
       MATCH("Capacity", Input!$D$1:$AC$1, 0)),IF(_xlpm.Result="","",_xlpm.Result))</f>
        <v>#N/A</v>
      </c>
      <c r="S405" s="42" t="e" cm="1">
        <f t="array" ref="S405">_xlfn.TEXTSPLIT(R405," / ", ,TRUE,0,)</f>
        <v>#N/A</v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/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/>
      <c r="AG405" s="32"/>
      <c r="AH405" s="32"/>
      <c r="AI405" s="32"/>
      <c r="AJ405" s="32"/>
      <c r="AK405" s="32"/>
      <c r="AL405" s="32"/>
      <c r="AM405" s="32"/>
    </row>
    <row r="406" spans="1:39">
      <c r="A406" s="32" t="str">
        <f>_xlfn.XLOOKUP(B406,Input!J:J,Input!G:G)&amp;""</f>
        <v/>
      </c>
      <c r="B406" s="32"/>
      <c r="C406" s="32" t="str">
        <f>_xlfn.XLOOKUP(B406,Input!J:J,Input!H:H)&amp;""</f>
        <v/>
      </c>
      <c r="D406" s="42">
        <f>_xlfn.XLOOKUP(B406,Input!J:J,Input!F:F)</f>
        <v>0</v>
      </c>
      <c r="E406" s="32">
        <f>_xlfn.XLOOKUP(D406,Models!H:H,Models!G:G,D406)</f>
        <v>0</v>
      </c>
      <c r="F406" s="32">
        <f>_xlfn.XLOOKUP(B406,Input!J:J,Input!E:E)</f>
        <v>0</v>
      </c>
      <c r="G406" s="32">
        <f>IF(F406="LENOVO",_xlfn.XLOOKUP(B406,Input!J:J,Input!K:K),_xlfn.XLOOKUP(B406,Input!J:J,Input!L:L))</f>
        <v>0</v>
      </c>
      <c r="H406" s="32"/>
      <c r="I406" s="32"/>
      <c r="J406" s="32"/>
      <c r="K406" s="42" t="e">
        <f>INDEX(Input!$D$2:$AC$500,
       MATCH(B406, Input!$J$2:$J$500, 0),
       MATCH("Total Memory", Input!$D$1:$AC$1, 0))</f>
        <v>#N/A</v>
      </c>
      <c r="L406" s="42"/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e">
        <f t="shared" si="20"/>
        <v>#N/A</v>
      </c>
      <c r="O406" s="42" t="e">
        <f>INDEX(Input!$D$2:$AC$500,
       MATCH(B406, Input!$J$2:$J$500, 0),
       MATCH("Disk Interface Type", Input!$D$1:$AC$1, 0))</f>
        <v>#N/A</v>
      </c>
      <c r="P406" s="42" t="str" cm="1">
        <f t="array" ref="P406">IFERROR(_xlfn.TEXTJOIN(", ", TRUE, _xlfn._xlws.FILTER(
    INDEX(Input!$D$2:$AC$500,,MATCH("Disk Capacity",Input!$D$1:$AC$1,0)),
    Input!$J$2:$J$500=B406
)), "")</f>
        <v/>
      </c>
      <c r="Q406" s="32" t="e">
        <f t="shared" si="19"/>
        <v>#N/A</v>
      </c>
      <c r="R406" s="42" t="e">
        <f>_xlfn.LET(_xlpm.Result,INDEX(Input!$D$2:$AC$500,
       MATCH(B406, Input!$J$2:$J$500, 0),
       MATCH("Capacity", Input!$D$1:$AC$1, 0)),IF(_xlpm.Result="","",_xlpm.Result))</f>
        <v>#N/A</v>
      </c>
      <c r="S406" s="42" t="e" cm="1">
        <f t="array" ref="S406">_xlfn.TEXTSPLIT(R406," / ", ,TRUE,0,)</f>
        <v>#N/A</v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/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/>
      <c r="AG406" s="32"/>
      <c r="AH406" s="32"/>
      <c r="AI406" s="32"/>
      <c r="AJ406" s="32"/>
      <c r="AK406" s="32"/>
      <c r="AL406" s="32"/>
      <c r="AM406" s="32"/>
    </row>
    <row r="407" spans="1:39">
      <c r="A407" s="32" t="str">
        <f>_xlfn.XLOOKUP(B407,Input!J:J,Input!G:G)&amp;""</f>
        <v/>
      </c>
      <c r="B407" s="32"/>
      <c r="C407" s="32" t="str">
        <f>_xlfn.XLOOKUP(B407,Input!J:J,Input!H:H)&amp;""</f>
        <v/>
      </c>
      <c r="D407" s="42">
        <f>_xlfn.XLOOKUP(B407,Input!J:J,Input!F:F)</f>
        <v>0</v>
      </c>
      <c r="E407" s="32">
        <f>_xlfn.XLOOKUP(D407,Models!H:H,Models!G:G,D407)</f>
        <v>0</v>
      </c>
      <c r="F407" s="32">
        <f>_xlfn.XLOOKUP(B407,Input!J:J,Input!E:E)</f>
        <v>0</v>
      </c>
      <c r="G407" s="32">
        <f>IF(F407="LENOVO",_xlfn.XLOOKUP(B407,Input!J:J,Input!K:K),_xlfn.XLOOKUP(B407,Input!J:J,Input!L:L))</f>
        <v>0</v>
      </c>
      <c r="H407" s="32"/>
      <c r="I407" s="32"/>
      <c r="J407" s="32"/>
      <c r="K407" s="42" t="e">
        <f>INDEX(Input!$D$2:$AC$500,
       MATCH(B407, Input!$J$2:$J$500, 0),
       MATCH("Total Memory", Input!$D$1:$AC$1, 0))</f>
        <v>#N/A</v>
      </c>
      <c r="L407" s="42"/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e">
        <f t="shared" si="20"/>
        <v>#N/A</v>
      </c>
      <c r="O407" s="42" t="e">
        <f>INDEX(Input!$D$2:$AC$500,
       MATCH(B407, Input!$J$2:$J$500, 0),
       MATCH("Disk Interface Type", Input!$D$1:$AC$1, 0))</f>
        <v>#N/A</v>
      </c>
      <c r="P407" s="42" t="str" cm="1">
        <f t="array" ref="P407">IFERROR(_xlfn.TEXTJOIN(", ", TRUE, _xlfn._xlws.FILTER(
    INDEX(Input!$D$2:$AC$500,,MATCH("Disk Capacity",Input!$D$1:$AC$1,0)),
    Input!$J$2:$J$500=B407
)), "")</f>
        <v/>
      </c>
      <c r="Q407" s="32" t="e">
        <f t="shared" si="19"/>
        <v>#N/A</v>
      </c>
      <c r="R407" s="42" t="e">
        <f>_xlfn.LET(_xlpm.Result,INDEX(Input!$D$2:$AC$500,
       MATCH(B407, Input!$J$2:$J$500, 0),
       MATCH("Capacity", Input!$D$1:$AC$1, 0)),IF(_xlpm.Result="","",_xlpm.Result))</f>
        <v>#N/A</v>
      </c>
      <c r="S407" s="42" t="e" cm="1">
        <f t="array" ref="S407">_xlfn.TEXTSPLIT(R407," / ", ,TRUE,0,)</f>
        <v>#N/A</v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/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/>
      <c r="AG407" s="32"/>
      <c r="AH407" s="32"/>
      <c r="AI407" s="32"/>
      <c r="AJ407" s="32"/>
      <c r="AK407" s="32"/>
      <c r="AL407" s="32"/>
      <c r="AM407" s="32"/>
    </row>
    <row r="408" spans="1:39">
      <c r="A408" s="32" t="str">
        <f>_xlfn.XLOOKUP(B408,Input!J:J,Input!G:G)&amp;""</f>
        <v/>
      </c>
      <c r="B408" s="32"/>
      <c r="C408" s="32" t="str">
        <f>_xlfn.XLOOKUP(B408,Input!J:J,Input!H:H)&amp;""</f>
        <v/>
      </c>
      <c r="D408" s="42">
        <f>_xlfn.XLOOKUP(B408,Input!J:J,Input!F:F)</f>
        <v>0</v>
      </c>
      <c r="E408" s="32">
        <f>_xlfn.XLOOKUP(D408,Models!H:H,Models!G:G,D408)</f>
        <v>0</v>
      </c>
      <c r="F408" s="32">
        <f>_xlfn.XLOOKUP(B408,Input!J:J,Input!E:E)</f>
        <v>0</v>
      </c>
      <c r="G408" s="32">
        <f>IF(F408="LENOVO",_xlfn.XLOOKUP(B408,Input!J:J,Input!K:K),_xlfn.XLOOKUP(B408,Input!J:J,Input!L:L))</f>
        <v>0</v>
      </c>
      <c r="H408" s="32"/>
      <c r="I408" s="32"/>
      <c r="J408" s="32"/>
      <c r="K408" s="42" t="e">
        <f>INDEX(Input!$D$2:$AC$500,
       MATCH(B408, Input!$J$2:$J$500, 0),
       MATCH("Total Memory", Input!$D$1:$AC$1, 0))</f>
        <v>#N/A</v>
      </c>
      <c r="L408" s="42"/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e">
        <f t="shared" si="20"/>
        <v>#N/A</v>
      </c>
      <c r="O408" s="42" t="e">
        <f>INDEX(Input!$D$2:$AC$500,
       MATCH(B408, Input!$J$2:$J$500, 0),
       MATCH("Disk Interface Type", Input!$D$1:$AC$1, 0))</f>
        <v>#N/A</v>
      </c>
      <c r="P408" s="42" t="str" cm="1">
        <f t="array" ref="P408">IFERROR(_xlfn.TEXTJOIN(", ", TRUE, _xlfn._xlws.FILTER(
    INDEX(Input!$D$2:$AC$500,,MATCH("Disk Capacity",Input!$D$1:$AC$1,0)),
    Input!$J$2:$J$500=B408
)), "")</f>
        <v/>
      </c>
      <c r="Q408" s="32" t="e">
        <f t="shared" si="19"/>
        <v>#N/A</v>
      </c>
      <c r="R408" s="42" t="e">
        <f>_xlfn.LET(_xlpm.Result,INDEX(Input!$D$2:$AC$500,
       MATCH(B408, Input!$J$2:$J$500, 0),
       MATCH("Capacity", Input!$D$1:$AC$1, 0)),IF(_xlpm.Result="","",_xlpm.Result))</f>
        <v>#N/A</v>
      </c>
      <c r="S408" s="42" t="e" cm="1">
        <f t="array" ref="S408">_xlfn.TEXTSPLIT(R408," / ", ,TRUE,0,)</f>
        <v>#N/A</v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/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/>
      <c r="AG408" s="32"/>
      <c r="AH408" s="32"/>
      <c r="AI408" s="32"/>
      <c r="AJ408" s="32"/>
      <c r="AK408" s="32"/>
      <c r="AL408" s="32"/>
      <c r="AM408" s="32"/>
    </row>
    <row r="409" spans="1:39">
      <c r="A409" s="32" t="str">
        <f>_xlfn.XLOOKUP(B409,Input!J:J,Input!G:G)&amp;""</f>
        <v/>
      </c>
      <c r="B409" s="32"/>
      <c r="C409" s="32" t="str">
        <f>_xlfn.XLOOKUP(B409,Input!J:J,Input!H:H)&amp;""</f>
        <v/>
      </c>
      <c r="D409" s="42">
        <f>_xlfn.XLOOKUP(B409,Input!J:J,Input!F:F)</f>
        <v>0</v>
      </c>
      <c r="E409" s="32">
        <f>_xlfn.XLOOKUP(D409,Models!H:H,Models!G:G,D409)</f>
        <v>0</v>
      </c>
      <c r="F409" s="32">
        <f>_xlfn.XLOOKUP(B409,Input!J:J,Input!E:E)</f>
        <v>0</v>
      </c>
      <c r="G409" s="32">
        <f>IF(F409="LENOVO",_xlfn.XLOOKUP(B409,Input!J:J,Input!K:K),_xlfn.XLOOKUP(B409,Input!J:J,Input!L:L))</f>
        <v>0</v>
      </c>
      <c r="H409" s="32"/>
      <c r="I409" s="32"/>
      <c r="J409" s="32"/>
      <c r="K409" s="42" t="e">
        <f>INDEX(Input!$D$2:$AC$500,
       MATCH(B409, Input!$J$2:$J$500, 0),
       MATCH("Total Memory", Input!$D$1:$AC$1, 0))</f>
        <v>#N/A</v>
      </c>
      <c r="L409" s="42"/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e">
        <f t="shared" si="20"/>
        <v>#N/A</v>
      </c>
      <c r="O409" s="42" t="e">
        <f>INDEX(Input!$D$2:$AC$500,
       MATCH(B409, Input!$J$2:$J$500, 0),
       MATCH("Disk Interface Type", Input!$D$1:$AC$1, 0))</f>
        <v>#N/A</v>
      </c>
      <c r="P409" s="42" t="str" cm="1">
        <f t="array" ref="P409">IFERROR(_xlfn.TEXTJOIN(", ", TRUE, _xlfn._xlws.FILTER(
    INDEX(Input!$D$2:$AC$500,,MATCH("Disk Capacity",Input!$D$1:$AC$1,0)),
    Input!$J$2:$J$500=B409
)), "")</f>
        <v/>
      </c>
      <c r="Q409" s="32" t="e">
        <f t="shared" si="19"/>
        <v>#N/A</v>
      </c>
      <c r="R409" s="42" t="e">
        <f>_xlfn.LET(_xlpm.Result,INDEX(Input!$D$2:$AC$500,
       MATCH(B409, Input!$J$2:$J$500, 0),
       MATCH("Capacity", Input!$D$1:$AC$1, 0)),IF(_xlpm.Result="","",_xlpm.Result))</f>
        <v>#N/A</v>
      </c>
      <c r="S409" s="42" t="e" cm="1">
        <f t="array" ref="S409">_xlfn.TEXTSPLIT(R409," / ", ,TRUE,0,)</f>
        <v>#N/A</v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/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/>
      <c r="AG409" s="32"/>
      <c r="AH409" s="32"/>
      <c r="AI409" s="32"/>
      <c r="AJ409" s="32"/>
      <c r="AK409" s="32"/>
      <c r="AL409" s="32"/>
      <c r="AM409" s="32"/>
    </row>
    <row r="410" spans="1:39">
      <c r="A410" s="32" t="str">
        <f>_xlfn.XLOOKUP(B410,Input!J:J,Input!G:G)&amp;""</f>
        <v/>
      </c>
      <c r="B410" s="32"/>
      <c r="C410" s="32" t="str">
        <f>_xlfn.XLOOKUP(B410,Input!J:J,Input!H:H)&amp;""</f>
        <v/>
      </c>
      <c r="D410" s="42">
        <f>_xlfn.XLOOKUP(B410,Input!J:J,Input!F:F)</f>
        <v>0</v>
      </c>
      <c r="E410" s="32">
        <f>_xlfn.XLOOKUP(D410,Models!H:H,Models!G:G,D410)</f>
        <v>0</v>
      </c>
      <c r="F410" s="32">
        <f>_xlfn.XLOOKUP(B410,Input!J:J,Input!E:E)</f>
        <v>0</v>
      </c>
      <c r="G410" s="32">
        <f>IF(F410="LENOVO",_xlfn.XLOOKUP(B410,Input!J:J,Input!K:K),_xlfn.XLOOKUP(B410,Input!J:J,Input!L:L))</f>
        <v>0</v>
      </c>
      <c r="H410" s="32"/>
      <c r="I410" s="32"/>
      <c r="J410" s="32"/>
      <c r="K410" s="42" t="e">
        <f>INDEX(Input!$D$2:$AC$500,
       MATCH(B410, Input!$J$2:$J$500, 0),
       MATCH("Total Memory", Input!$D$1:$AC$1, 0))</f>
        <v>#N/A</v>
      </c>
      <c r="L410" s="42"/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e">
        <f t="shared" si="20"/>
        <v>#N/A</v>
      </c>
      <c r="O410" s="42" t="e">
        <f>INDEX(Input!$D$2:$AC$500,
       MATCH(B410, Input!$J$2:$J$500, 0),
       MATCH("Disk Interface Type", Input!$D$1:$AC$1, 0))</f>
        <v>#N/A</v>
      </c>
      <c r="P410" s="42" t="str" cm="1">
        <f t="array" ref="P410">IFERROR(_xlfn.TEXTJOIN(", ", TRUE, _xlfn._xlws.FILTER(
    INDEX(Input!$D$2:$AC$500,,MATCH("Disk Capacity",Input!$D$1:$AC$1,0)),
    Input!$J$2:$J$500=B410
)), "")</f>
        <v/>
      </c>
      <c r="Q410" s="32" t="e">
        <f t="shared" si="19"/>
        <v>#N/A</v>
      </c>
      <c r="R410" s="42" t="e">
        <f>_xlfn.LET(_xlpm.Result,INDEX(Input!$D$2:$AC$500,
       MATCH(B410, Input!$J$2:$J$500, 0),
       MATCH("Capacity", Input!$D$1:$AC$1, 0)),IF(_xlpm.Result="","",_xlpm.Result))</f>
        <v>#N/A</v>
      </c>
      <c r="S410" s="42" t="e" cm="1">
        <f t="array" ref="S410">_xlfn.TEXTSPLIT(R410," / ", ,TRUE,0,)</f>
        <v>#N/A</v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/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/>
      <c r="AG410" s="32"/>
      <c r="AH410" s="32"/>
      <c r="AI410" s="32"/>
      <c r="AJ410" s="32"/>
      <c r="AK410" s="32"/>
      <c r="AL410" s="32"/>
      <c r="AM410" s="32"/>
    </row>
    <row r="411" spans="1:39">
      <c r="A411" s="32" t="str">
        <f>_xlfn.XLOOKUP(B411,Input!J:J,Input!G:G)&amp;""</f>
        <v/>
      </c>
      <c r="B411" s="32"/>
      <c r="C411" s="32" t="str">
        <f>_xlfn.XLOOKUP(B411,Input!J:J,Input!H:H)&amp;""</f>
        <v/>
      </c>
      <c r="D411" s="42">
        <f>_xlfn.XLOOKUP(B411,Input!J:J,Input!F:F)</f>
        <v>0</v>
      </c>
      <c r="E411" s="32">
        <f>_xlfn.XLOOKUP(D411,Models!H:H,Models!G:G,D411)</f>
        <v>0</v>
      </c>
      <c r="F411" s="32">
        <f>_xlfn.XLOOKUP(B411,Input!J:J,Input!E:E)</f>
        <v>0</v>
      </c>
      <c r="G411" s="32">
        <f>IF(F411="LENOVO",_xlfn.XLOOKUP(B411,Input!J:J,Input!K:K),_xlfn.XLOOKUP(B411,Input!J:J,Input!L:L))</f>
        <v>0</v>
      </c>
      <c r="H411" s="32"/>
      <c r="I411" s="32"/>
      <c r="J411" s="32"/>
      <c r="K411" s="42" t="e">
        <f>INDEX(Input!$D$2:$AC$500,
       MATCH(B411, Input!$J$2:$J$500, 0),
       MATCH("Total Memory", Input!$D$1:$AC$1, 0))</f>
        <v>#N/A</v>
      </c>
      <c r="L411" s="42"/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e">
        <f t="shared" si="20"/>
        <v>#N/A</v>
      </c>
      <c r="O411" s="42" t="e">
        <f>INDEX(Input!$D$2:$AC$500,
       MATCH(B411, Input!$J$2:$J$500, 0),
       MATCH("Disk Interface Type", Input!$D$1:$AC$1, 0))</f>
        <v>#N/A</v>
      </c>
      <c r="P411" s="42" t="str" cm="1">
        <f t="array" ref="P411">IFERROR(_xlfn.TEXTJOIN(", ", TRUE, _xlfn._xlws.FILTER(
    INDEX(Input!$D$2:$AC$500,,MATCH("Disk Capacity",Input!$D$1:$AC$1,0)),
    Input!$J$2:$J$500=B411
)), "")</f>
        <v/>
      </c>
      <c r="Q411" s="32" t="e">
        <f t="shared" si="19"/>
        <v>#N/A</v>
      </c>
      <c r="R411" s="42" t="e">
        <f>_xlfn.LET(_xlpm.Result,INDEX(Input!$D$2:$AC$500,
       MATCH(B411, Input!$J$2:$J$500, 0),
       MATCH("Capacity", Input!$D$1:$AC$1, 0)),IF(_xlpm.Result="","",_xlpm.Result))</f>
        <v>#N/A</v>
      </c>
      <c r="S411" s="42" t="e" cm="1">
        <f t="array" ref="S411">_xlfn.TEXTSPLIT(R411," / ", ,TRUE,0,)</f>
        <v>#N/A</v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/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/>
      <c r="AG411" s="32"/>
      <c r="AH411" s="32"/>
      <c r="AI411" s="32"/>
      <c r="AJ411" s="32"/>
      <c r="AK411" s="32"/>
      <c r="AL411" s="32"/>
      <c r="AM411" s="32"/>
    </row>
    <row r="412" spans="1:39">
      <c r="A412" s="32" t="str">
        <f>_xlfn.XLOOKUP(B412,Input!J:J,Input!G:G)&amp;""</f>
        <v/>
      </c>
      <c r="B412" s="32"/>
      <c r="C412" s="32" t="str">
        <f>_xlfn.XLOOKUP(B412,Input!J:J,Input!H:H)&amp;""</f>
        <v/>
      </c>
      <c r="D412" s="42">
        <f>_xlfn.XLOOKUP(B412,Input!J:J,Input!F:F)</f>
        <v>0</v>
      </c>
      <c r="E412" s="32">
        <f>_xlfn.XLOOKUP(D412,Models!H:H,Models!G:G,D412)</f>
        <v>0</v>
      </c>
      <c r="F412" s="32">
        <f>_xlfn.XLOOKUP(B412,Input!J:J,Input!E:E)</f>
        <v>0</v>
      </c>
      <c r="G412" s="32">
        <f>IF(F412="LENOVO",_xlfn.XLOOKUP(B412,Input!J:J,Input!K:K),_xlfn.XLOOKUP(B412,Input!J:J,Input!L:L))</f>
        <v>0</v>
      </c>
      <c r="H412" s="32"/>
      <c r="I412" s="32"/>
      <c r="J412" s="32"/>
      <c r="K412" s="42" t="e">
        <f>INDEX(Input!$D$2:$AC$500,
       MATCH(B412, Input!$J$2:$J$500, 0),
       MATCH("Total Memory", Input!$D$1:$AC$1, 0))</f>
        <v>#N/A</v>
      </c>
      <c r="L412" s="42"/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e">
        <f t="shared" si="20"/>
        <v>#N/A</v>
      </c>
      <c r="O412" s="42" t="e">
        <f>INDEX(Input!$D$2:$AC$500,
       MATCH(B412, Input!$J$2:$J$500, 0),
       MATCH("Disk Interface Type", Input!$D$1:$AC$1, 0))</f>
        <v>#N/A</v>
      </c>
      <c r="P412" s="42" t="str" cm="1">
        <f t="array" ref="P412">IFERROR(_xlfn.TEXTJOIN(", ", TRUE, _xlfn._xlws.FILTER(
    INDEX(Input!$D$2:$AC$500,,MATCH("Disk Capacity",Input!$D$1:$AC$1,0)),
    Input!$J$2:$J$500=B412
)), "")</f>
        <v/>
      </c>
      <c r="Q412" s="32" t="e">
        <f t="shared" si="19"/>
        <v>#N/A</v>
      </c>
      <c r="R412" s="42" t="e">
        <f>_xlfn.LET(_xlpm.Result,INDEX(Input!$D$2:$AC$500,
       MATCH(B412, Input!$J$2:$J$500, 0),
       MATCH("Capacity", Input!$D$1:$AC$1, 0)),IF(_xlpm.Result="","",_xlpm.Result))</f>
        <v>#N/A</v>
      </c>
      <c r="S412" s="42" t="e" cm="1">
        <f t="array" ref="S412">_xlfn.TEXTSPLIT(R412," / ", ,TRUE,0,)</f>
        <v>#N/A</v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/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/>
      <c r="AG412" s="32"/>
      <c r="AH412" s="32"/>
      <c r="AI412" s="32"/>
      <c r="AJ412" s="32"/>
      <c r="AK412" s="32"/>
      <c r="AL412" s="32"/>
      <c r="AM412" s="32"/>
    </row>
    <row r="413" spans="1:39">
      <c r="A413" s="32" t="str">
        <f>_xlfn.XLOOKUP(B413,Input!J:J,Input!G:G)&amp;""</f>
        <v/>
      </c>
      <c r="B413" s="32"/>
      <c r="C413" s="32" t="str">
        <f>_xlfn.XLOOKUP(B413,Input!J:J,Input!H:H)&amp;""</f>
        <v/>
      </c>
      <c r="D413" s="42">
        <f>_xlfn.XLOOKUP(B413,Input!J:J,Input!F:F)</f>
        <v>0</v>
      </c>
      <c r="E413" s="32">
        <f>_xlfn.XLOOKUP(D413,Models!H:H,Models!G:G,D413)</f>
        <v>0</v>
      </c>
      <c r="F413" s="32">
        <f>_xlfn.XLOOKUP(B413,Input!J:J,Input!E:E)</f>
        <v>0</v>
      </c>
      <c r="G413" s="32">
        <f>IF(F413="LENOVO",_xlfn.XLOOKUP(B413,Input!J:J,Input!K:K),_xlfn.XLOOKUP(B413,Input!J:J,Input!L:L))</f>
        <v>0</v>
      </c>
      <c r="H413" s="32"/>
      <c r="I413" s="32"/>
      <c r="J413" s="32"/>
      <c r="K413" s="42" t="e">
        <f>INDEX(Input!$D$2:$AC$500,
       MATCH(B413, Input!$J$2:$J$500, 0),
       MATCH("Total Memory", Input!$D$1:$AC$1, 0))</f>
        <v>#N/A</v>
      </c>
      <c r="L413" s="42"/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e">
        <f t="shared" si="20"/>
        <v>#N/A</v>
      </c>
      <c r="O413" s="42" t="e">
        <f>INDEX(Input!$D$2:$AC$500,
       MATCH(B413, Input!$J$2:$J$500, 0),
       MATCH("Disk Interface Type", Input!$D$1:$AC$1, 0))</f>
        <v>#N/A</v>
      </c>
      <c r="P413" s="42" t="str" cm="1">
        <f t="array" ref="P413">IFERROR(_xlfn.TEXTJOIN(", ", TRUE, _xlfn._xlws.FILTER(
    INDEX(Input!$D$2:$AC$500,,MATCH("Disk Capacity",Input!$D$1:$AC$1,0)),
    Input!$J$2:$J$500=B413
)), "")</f>
        <v/>
      </c>
      <c r="Q413" s="32" t="e">
        <f t="shared" si="19"/>
        <v>#N/A</v>
      </c>
      <c r="R413" s="42" t="e">
        <f>_xlfn.LET(_xlpm.Result,INDEX(Input!$D$2:$AC$500,
       MATCH(B413, Input!$J$2:$J$500, 0),
       MATCH("Capacity", Input!$D$1:$AC$1, 0)),IF(_xlpm.Result="","",_xlpm.Result))</f>
        <v>#N/A</v>
      </c>
      <c r="S413" s="42" t="e" cm="1">
        <f t="array" ref="S413">_xlfn.TEXTSPLIT(R413," / ", ,TRUE,0,)</f>
        <v>#N/A</v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/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/>
      <c r="AG413" s="32"/>
      <c r="AH413" s="32"/>
      <c r="AI413" s="32"/>
      <c r="AJ413" s="32"/>
      <c r="AK413" s="32"/>
      <c r="AL413" s="32"/>
      <c r="AM413" s="32"/>
    </row>
    <row r="414" spans="1:39">
      <c r="A414" s="32" t="str">
        <f>_xlfn.XLOOKUP(B414,Input!J:J,Input!G:G)&amp;""</f>
        <v/>
      </c>
      <c r="B414" s="32"/>
      <c r="C414" s="32" t="str">
        <f>_xlfn.XLOOKUP(B414,Input!J:J,Input!H:H)&amp;""</f>
        <v/>
      </c>
      <c r="D414" s="42">
        <f>_xlfn.XLOOKUP(B414,Input!J:J,Input!F:F)</f>
        <v>0</v>
      </c>
      <c r="E414" s="32">
        <f>_xlfn.XLOOKUP(D414,Models!H:H,Models!G:G,D414)</f>
        <v>0</v>
      </c>
      <c r="F414" s="32">
        <f>_xlfn.XLOOKUP(B414,Input!J:J,Input!E:E)</f>
        <v>0</v>
      </c>
      <c r="G414" s="32">
        <f>IF(F414="LENOVO",_xlfn.XLOOKUP(B414,Input!J:J,Input!K:K),_xlfn.XLOOKUP(B414,Input!J:J,Input!L:L))</f>
        <v>0</v>
      </c>
      <c r="H414" s="32"/>
      <c r="I414" s="32"/>
      <c r="J414" s="32"/>
      <c r="K414" s="42" t="e">
        <f>INDEX(Input!$D$2:$AC$500,
       MATCH(B414, Input!$J$2:$J$500, 0),
       MATCH("Total Memory", Input!$D$1:$AC$1, 0))</f>
        <v>#N/A</v>
      </c>
      <c r="L414" s="42"/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e">
        <f t="shared" si="20"/>
        <v>#N/A</v>
      </c>
      <c r="O414" s="42" t="e">
        <f>INDEX(Input!$D$2:$AC$500,
       MATCH(B414, Input!$J$2:$J$500, 0),
       MATCH("Disk Interface Type", Input!$D$1:$AC$1, 0))</f>
        <v>#N/A</v>
      </c>
      <c r="P414" s="42" t="str" cm="1">
        <f t="array" ref="P414">IFERROR(_xlfn.TEXTJOIN(", ", TRUE, _xlfn._xlws.FILTER(
    INDEX(Input!$D$2:$AC$500,,MATCH("Disk Capacity",Input!$D$1:$AC$1,0)),
    Input!$J$2:$J$500=B414
)), "")</f>
        <v/>
      </c>
      <c r="Q414" s="32" t="e">
        <f t="shared" si="19"/>
        <v>#N/A</v>
      </c>
      <c r="R414" s="42" t="e">
        <f>_xlfn.LET(_xlpm.Result,INDEX(Input!$D$2:$AC$500,
       MATCH(B414, Input!$J$2:$J$500, 0),
       MATCH("Capacity", Input!$D$1:$AC$1, 0)),IF(_xlpm.Result="","",_xlpm.Result))</f>
        <v>#N/A</v>
      </c>
      <c r="S414" s="42" t="e" cm="1">
        <f t="array" ref="S414">_xlfn.TEXTSPLIT(R414," / ", ,TRUE,0,)</f>
        <v>#N/A</v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/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/>
      <c r="AG414" s="32"/>
      <c r="AH414" s="32"/>
      <c r="AI414" s="32"/>
      <c r="AJ414" s="32"/>
      <c r="AK414" s="32"/>
      <c r="AL414" s="32"/>
      <c r="AM414" s="32"/>
    </row>
    <row r="415" spans="1:39">
      <c r="A415" s="32" t="str">
        <f>_xlfn.XLOOKUP(B415,Input!J:J,Input!G:G)&amp;""</f>
        <v/>
      </c>
      <c r="B415" s="32"/>
      <c r="C415" s="32" t="str">
        <f>_xlfn.XLOOKUP(B415,Input!J:J,Input!H:H)&amp;""</f>
        <v/>
      </c>
      <c r="D415" s="42">
        <f>_xlfn.XLOOKUP(B415,Input!J:J,Input!F:F)</f>
        <v>0</v>
      </c>
      <c r="E415" s="32">
        <f>_xlfn.XLOOKUP(D415,Models!H:H,Models!G:G,D415)</f>
        <v>0</v>
      </c>
      <c r="F415" s="32">
        <f>_xlfn.XLOOKUP(B415,Input!J:J,Input!E:E)</f>
        <v>0</v>
      </c>
      <c r="G415" s="32">
        <f>IF(F415="LENOVO",_xlfn.XLOOKUP(B415,Input!J:J,Input!K:K),_xlfn.XLOOKUP(B415,Input!J:J,Input!L:L))</f>
        <v>0</v>
      </c>
      <c r="H415" s="32"/>
      <c r="I415" s="32"/>
      <c r="J415" s="32"/>
      <c r="K415" s="42" t="e">
        <f>INDEX(Input!$D$2:$AC$500,
       MATCH(B415, Input!$J$2:$J$500, 0),
       MATCH("Total Memory", Input!$D$1:$AC$1, 0))</f>
        <v>#N/A</v>
      </c>
      <c r="L415" s="42"/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e">
        <f t="shared" si="20"/>
        <v>#N/A</v>
      </c>
      <c r="O415" s="42" t="e">
        <f>INDEX(Input!$D$2:$AC$500,
       MATCH(B415, Input!$J$2:$J$500, 0),
       MATCH("Disk Interface Type", Input!$D$1:$AC$1, 0))</f>
        <v>#N/A</v>
      </c>
      <c r="P415" s="42" t="str" cm="1">
        <f t="array" ref="P415">IFERROR(_xlfn.TEXTJOIN(", ", TRUE, _xlfn._xlws.FILTER(
    INDEX(Input!$D$2:$AC$500,,MATCH("Disk Capacity",Input!$D$1:$AC$1,0)),
    Input!$J$2:$J$500=B415
)), "")</f>
        <v/>
      </c>
      <c r="Q415" s="32" t="e">
        <f t="shared" si="19"/>
        <v>#N/A</v>
      </c>
      <c r="R415" s="42" t="e">
        <f>_xlfn.LET(_xlpm.Result,INDEX(Input!$D$2:$AC$500,
       MATCH(B415, Input!$J$2:$J$500, 0),
       MATCH("Capacity", Input!$D$1:$AC$1, 0)),IF(_xlpm.Result="","",_xlpm.Result))</f>
        <v>#N/A</v>
      </c>
      <c r="S415" s="42" t="e" cm="1">
        <f t="array" ref="S415">_xlfn.TEXTSPLIT(R415," / ", ,TRUE,0,)</f>
        <v>#N/A</v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/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/>
      <c r="AG415" s="32"/>
      <c r="AH415" s="32"/>
      <c r="AI415" s="32"/>
      <c r="AJ415" s="32"/>
      <c r="AK415" s="32"/>
      <c r="AL415" s="32"/>
      <c r="AM415" s="32"/>
    </row>
    <row r="416" spans="1:39">
      <c r="A416" s="32" t="str">
        <f>_xlfn.XLOOKUP(B416,Input!J:J,Input!G:G)&amp;""</f>
        <v/>
      </c>
      <c r="B416" s="32"/>
      <c r="C416" s="32" t="str">
        <f>_xlfn.XLOOKUP(B416,Input!J:J,Input!H:H)&amp;""</f>
        <v/>
      </c>
      <c r="D416" s="42">
        <f>_xlfn.XLOOKUP(B416,Input!J:J,Input!F:F)</f>
        <v>0</v>
      </c>
      <c r="E416" s="32">
        <f>_xlfn.XLOOKUP(D416,Models!H:H,Models!G:G,D416)</f>
        <v>0</v>
      </c>
      <c r="F416" s="32">
        <f>_xlfn.XLOOKUP(B416,Input!J:J,Input!E:E)</f>
        <v>0</v>
      </c>
      <c r="G416" s="32">
        <f>IF(F416="LENOVO",_xlfn.XLOOKUP(B416,Input!J:J,Input!K:K),_xlfn.XLOOKUP(B416,Input!J:J,Input!L:L))</f>
        <v>0</v>
      </c>
      <c r="H416" s="32"/>
      <c r="I416" s="32"/>
      <c r="J416" s="32"/>
      <c r="K416" s="42" t="e">
        <f>INDEX(Input!$D$2:$AC$500,
       MATCH(B416, Input!$J$2:$J$500, 0),
       MATCH("Total Memory", Input!$D$1:$AC$1, 0))</f>
        <v>#N/A</v>
      </c>
      <c r="L416" s="42"/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e">
        <f t="shared" si="20"/>
        <v>#N/A</v>
      </c>
      <c r="O416" s="42" t="e">
        <f>INDEX(Input!$D$2:$AC$500,
       MATCH(B416, Input!$J$2:$J$500, 0),
       MATCH("Disk Interface Type", Input!$D$1:$AC$1, 0))</f>
        <v>#N/A</v>
      </c>
      <c r="P416" s="42" t="str" cm="1">
        <f t="array" ref="P416">IFERROR(_xlfn.TEXTJOIN(", ", TRUE, _xlfn._xlws.FILTER(
    INDEX(Input!$D$2:$AC$500,,MATCH("Disk Capacity",Input!$D$1:$AC$1,0)),
    Input!$J$2:$J$500=B416
)), "")</f>
        <v/>
      </c>
      <c r="Q416" s="32" t="e">
        <f t="shared" si="19"/>
        <v>#N/A</v>
      </c>
      <c r="R416" s="42" t="e">
        <f>_xlfn.LET(_xlpm.Result,INDEX(Input!$D$2:$AC$500,
       MATCH(B416, Input!$J$2:$J$500, 0),
       MATCH("Capacity", Input!$D$1:$AC$1, 0)),IF(_xlpm.Result="","",_xlpm.Result))</f>
        <v>#N/A</v>
      </c>
      <c r="S416" s="42" t="e" cm="1">
        <f t="array" ref="S416">_xlfn.TEXTSPLIT(R416," / ", ,TRUE,0,)</f>
        <v>#N/A</v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/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/>
      <c r="AG416" s="32"/>
      <c r="AH416" s="32"/>
      <c r="AI416" s="32"/>
      <c r="AJ416" s="32"/>
      <c r="AK416" s="32"/>
      <c r="AL416" s="32"/>
      <c r="AM416" s="32"/>
    </row>
    <row r="417" spans="1:39">
      <c r="A417" s="32" t="str">
        <f>_xlfn.XLOOKUP(B417,Input!J:J,Input!G:G)&amp;""</f>
        <v/>
      </c>
      <c r="B417" s="32"/>
      <c r="C417" s="32" t="str">
        <f>_xlfn.XLOOKUP(B417,Input!J:J,Input!H:H)&amp;""</f>
        <v/>
      </c>
      <c r="D417" s="42">
        <f>_xlfn.XLOOKUP(B417,Input!J:J,Input!F:F)</f>
        <v>0</v>
      </c>
      <c r="E417" s="32">
        <f>_xlfn.XLOOKUP(D417,Models!H:H,Models!G:G,D417)</f>
        <v>0</v>
      </c>
      <c r="F417" s="32">
        <f>_xlfn.XLOOKUP(B417,Input!J:J,Input!E:E)</f>
        <v>0</v>
      </c>
      <c r="G417" s="32">
        <f>IF(F417="LENOVO",_xlfn.XLOOKUP(B417,Input!J:J,Input!K:K),_xlfn.XLOOKUP(B417,Input!J:J,Input!L:L))</f>
        <v>0</v>
      </c>
      <c r="H417" s="32"/>
      <c r="I417" s="32"/>
      <c r="J417" s="32"/>
      <c r="K417" s="42" t="e">
        <f>INDEX(Input!$D$2:$AC$500,
       MATCH(B417, Input!$J$2:$J$500, 0),
       MATCH("Total Memory", Input!$D$1:$AC$1, 0))</f>
        <v>#N/A</v>
      </c>
      <c r="L417" s="42"/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e">
        <f t="shared" si="20"/>
        <v>#N/A</v>
      </c>
      <c r="O417" s="42" t="e">
        <f>INDEX(Input!$D$2:$AC$500,
       MATCH(B417, Input!$J$2:$J$500, 0),
       MATCH("Disk Interface Type", Input!$D$1:$AC$1, 0))</f>
        <v>#N/A</v>
      </c>
      <c r="P417" s="42" t="str" cm="1">
        <f t="array" ref="P417">IFERROR(_xlfn.TEXTJOIN(", ", TRUE, _xlfn._xlws.FILTER(
    INDEX(Input!$D$2:$AC$500,,MATCH("Disk Capacity",Input!$D$1:$AC$1,0)),
    Input!$J$2:$J$500=B417
)), "")</f>
        <v/>
      </c>
      <c r="Q417" s="32" t="e">
        <f t="shared" si="19"/>
        <v>#N/A</v>
      </c>
      <c r="R417" s="42" t="e">
        <f>_xlfn.LET(_xlpm.Result,INDEX(Input!$D$2:$AC$500,
       MATCH(B417, Input!$J$2:$J$500, 0),
       MATCH("Capacity", Input!$D$1:$AC$1, 0)),IF(_xlpm.Result="","",_xlpm.Result))</f>
        <v>#N/A</v>
      </c>
      <c r="S417" s="42" t="e" cm="1">
        <f t="array" ref="S417">_xlfn.TEXTSPLIT(R417," / ", ,TRUE,0,)</f>
        <v>#N/A</v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/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/>
      <c r="AG417" s="32"/>
      <c r="AH417" s="32"/>
      <c r="AI417" s="32"/>
      <c r="AJ417" s="32"/>
      <c r="AK417" s="32"/>
      <c r="AL417" s="32"/>
      <c r="AM417" s="32"/>
    </row>
    <row r="418" spans="1:39">
      <c r="A418" s="32" t="str">
        <f>_xlfn.XLOOKUP(B418,Input!J:J,Input!G:G)&amp;""</f>
        <v/>
      </c>
      <c r="B418" s="32"/>
      <c r="C418" s="32" t="str">
        <f>_xlfn.XLOOKUP(B418,Input!J:J,Input!H:H)&amp;""</f>
        <v/>
      </c>
      <c r="D418" s="42">
        <f>_xlfn.XLOOKUP(B418,Input!J:J,Input!F:F)</f>
        <v>0</v>
      </c>
      <c r="E418" s="32">
        <f>_xlfn.XLOOKUP(D418,Models!H:H,Models!G:G,D418)</f>
        <v>0</v>
      </c>
      <c r="F418" s="32">
        <f>_xlfn.XLOOKUP(B418,Input!J:J,Input!E:E)</f>
        <v>0</v>
      </c>
      <c r="G418" s="32">
        <f>IF(F418="LENOVO",_xlfn.XLOOKUP(B418,Input!J:J,Input!K:K),_xlfn.XLOOKUP(B418,Input!J:J,Input!L:L))</f>
        <v>0</v>
      </c>
      <c r="H418" s="32"/>
      <c r="I418" s="32"/>
      <c r="J418" s="32"/>
      <c r="K418" s="42" t="e">
        <f>INDEX(Input!$D$2:$AC$500,
       MATCH(B418, Input!$J$2:$J$500, 0),
       MATCH("Total Memory", Input!$D$1:$AC$1, 0))</f>
        <v>#N/A</v>
      </c>
      <c r="L418" s="42"/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e">
        <f t="shared" si="20"/>
        <v>#N/A</v>
      </c>
      <c r="O418" s="42" t="e">
        <f>INDEX(Input!$D$2:$AC$500,
       MATCH(B418, Input!$J$2:$J$500, 0),
       MATCH("Disk Interface Type", Input!$D$1:$AC$1, 0))</f>
        <v>#N/A</v>
      </c>
      <c r="P418" s="42" t="str" cm="1">
        <f t="array" ref="P418">IFERROR(_xlfn.TEXTJOIN(", ", TRUE, _xlfn._xlws.FILTER(
    INDEX(Input!$D$2:$AC$500,,MATCH("Disk Capacity",Input!$D$1:$AC$1,0)),
    Input!$J$2:$J$500=B418
)), "")</f>
        <v/>
      </c>
      <c r="Q418" s="32" t="e">
        <f t="shared" si="19"/>
        <v>#N/A</v>
      </c>
      <c r="R418" s="42" t="e">
        <f>_xlfn.LET(_xlpm.Result,INDEX(Input!$D$2:$AC$500,
       MATCH(B418, Input!$J$2:$J$500, 0),
       MATCH("Capacity", Input!$D$1:$AC$1, 0)),IF(_xlpm.Result="","",_xlpm.Result))</f>
        <v>#N/A</v>
      </c>
      <c r="S418" s="42" t="e" cm="1">
        <f t="array" ref="S418">_xlfn.TEXTSPLIT(R418," / ", ,TRUE,0,)</f>
        <v>#N/A</v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/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/>
      <c r="AG418" s="32"/>
      <c r="AH418" s="32"/>
      <c r="AI418" s="32"/>
      <c r="AJ418" s="32"/>
      <c r="AK418" s="32"/>
      <c r="AL418" s="32"/>
      <c r="AM418" s="32"/>
    </row>
    <row r="419" spans="1:39">
      <c r="A419" s="32" t="str">
        <f>_xlfn.XLOOKUP(B419,Input!J:J,Input!G:G)&amp;""</f>
        <v/>
      </c>
      <c r="B419" s="32"/>
      <c r="C419" s="32" t="str">
        <f>_xlfn.XLOOKUP(B419,Input!J:J,Input!H:H)&amp;""</f>
        <v/>
      </c>
      <c r="D419" s="42">
        <f>_xlfn.XLOOKUP(B419,Input!J:J,Input!F:F)</f>
        <v>0</v>
      </c>
      <c r="E419" s="32">
        <f>_xlfn.XLOOKUP(D419,Models!H:H,Models!G:G,D419)</f>
        <v>0</v>
      </c>
      <c r="F419" s="32">
        <f>_xlfn.XLOOKUP(B419,Input!J:J,Input!E:E)</f>
        <v>0</v>
      </c>
      <c r="G419" s="32">
        <f>IF(F419="LENOVO",_xlfn.XLOOKUP(B419,Input!J:J,Input!K:K),_xlfn.XLOOKUP(B419,Input!J:J,Input!L:L))</f>
        <v>0</v>
      </c>
      <c r="H419" s="32"/>
      <c r="I419" s="32"/>
      <c r="J419" s="32"/>
      <c r="K419" s="42" t="e">
        <f>INDEX(Input!$D$2:$AC$500,
       MATCH(B419, Input!$J$2:$J$500, 0),
       MATCH("Total Memory", Input!$D$1:$AC$1, 0))</f>
        <v>#N/A</v>
      </c>
      <c r="L419" s="42"/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e">
        <f t="shared" si="20"/>
        <v>#N/A</v>
      </c>
      <c r="O419" s="42" t="e">
        <f>INDEX(Input!$D$2:$AC$500,
       MATCH(B419, Input!$J$2:$J$500, 0),
       MATCH("Disk Interface Type", Input!$D$1:$AC$1, 0))</f>
        <v>#N/A</v>
      </c>
      <c r="P419" s="42" t="str" cm="1">
        <f t="array" ref="P419">IFERROR(_xlfn.TEXTJOIN(", ", TRUE, _xlfn._xlws.FILTER(
    INDEX(Input!$D$2:$AC$500,,MATCH("Disk Capacity",Input!$D$1:$AC$1,0)),
    Input!$J$2:$J$500=B419
)), "")</f>
        <v/>
      </c>
      <c r="Q419" s="32" t="e">
        <f t="shared" si="19"/>
        <v>#N/A</v>
      </c>
      <c r="R419" s="42" t="e">
        <f>_xlfn.LET(_xlpm.Result,INDEX(Input!$D$2:$AC$500,
       MATCH(B419, Input!$J$2:$J$500, 0),
       MATCH("Capacity", Input!$D$1:$AC$1, 0)),IF(_xlpm.Result="","",_xlpm.Result))</f>
        <v>#N/A</v>
      </c>
      <c r="S419" s="42" t="e" cm="1">
        <f t="array" ref="S419">_xlfn.TEXTSPLIT(R419," / ", ,TRUE,0,)</f>
        <v>#N/A</v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/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/>
      <c r="AG419" s="32"/>
      <c r="AH419" s="32"/>
      <c r="AI419" s="32"/>
      <c r="AJ419" s="32"/>
      <c r="AK419" s="32"/>
      <c r="AL419" s="32"/>
      <c r="AM419" s="32"/>
    </row>
    <row r="420" spans="1:39">
      <c r="A420" s="32" t="str">
        <f>_xlfn.XLOOKUP(B420,Input!J:J,Input!G:G)&amp;""</f>
        <v/>
      </c>
      <c r="B420" s="32"/>
      <c r="C420" s="32" t="str">
        <f>_xlfn.XLOOKUP(B420,Input!J:J,Input!H:H)&amp;""</f>
        <v/>
      </c>
      <c r="D420" s="42">
        <f>_xlfn.XLOOKUP(B420,Input!J:J,Input!F:F)</f>
        <v>0</v>
      </c>
      <c r="E420" s="32">
        <f>_xlfn.XLOOKUP(D420,Models!H:H,Models!G:G,D420)</f>
        <v>0</v>
      </c>
      <c r="F420" s="32">
        <f>_xlfn.XLOOKUP(B420,Input!J:J,Input!E:E)</f>
        <v>0</v>
      </c>
      <c r="G420" s="32">
        <f>IF(F420="LENOVO",_xlfn.XLOOKUP(B420,Input!J:J,Input!K:K),_xlfn.XLOOKUP(B420,Input!J:J,Input!L:L))</f>
        <v>0</v>
      </c>
      <c r="H420" s="32"/>
      <c r="I420" s="32"/>
      <c r="J420" s="32"/>
      <c r="K420" s="42" t="e">
        <f>INDEX(Input!$D$2:$AC$500,
       MATCH(B420, Input!$J$2:$J$500, 0),
       MATCH("Total Memory", Input!$D$1:$AC$1, 0))</f>
        <v>#N/A</v>
      </c>
      <c r="L420" s="42"/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e">
        <f t="shared" si="20"/>
        <v>#N/A</v>
      </c>
      <c r="O420" s="42" t="e">
        <f>INDEX(Input!$D$2:$AC$500,
       MATCH(B420, Input!$J$2:$J$500, 0),
       MATCH("Disk Interface Type", Input!$D$1:$AC$1, 0))</f>
        <v>#N/A</v>
      </c>
      <c r="P420" s="42" t="str" cm="1">
        <f t="array" ref="P420">IFERROR(_xlfn.TEXTJOIN(", ", TRUE, _xlfn._xlws.FILTER(
    INDEX(Input!$D$2:$AC$500,,MATCH("Disk Capacity",Input!$D$1:$AC$1,0)),
    Input!$J$2:$J$500=B420
)), "")</f>
        <v/>
      </c>
      <c r="Q420" s="32" t="e">
        <f t="shared" si="19"/>
        <v>#N/A</v>
      </c>
      <c r="R420" s="42" t="e">
        <f>_xlfn.LET(_xlpm.Result,INDEX(Input!$D$2:$AC$500,
       MATCH(B420, Input!$J$2:$J$500, 0),
       MATCH("Capacity", Input!$D$1:$AC$1, 0)),IF(_xlpm.Result="","",_xlpm.Result))</f>
        <v>#N/A</v>
      </c>
      <c r="S420" s="42" t="e" cm="1">
        <f t="array" ref="S420">_xlfn.TEXTSPLIT(R420," / ", ,TRUE,0,)</f>
        <v>#N/A</v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/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/>
      <c r="AG420" s="32"/>
      <c r="AH420" s="32"/>
      <c r="AI420" s="32"/>
      <c r="AJ420" s="32"/>
      <c r="AK420" s="32"/>
      <c r="AL420" s="32"/>
      <c r="AM420" s="32"/>
    </row>
    <row r="421" spans="1:39">
      <c r="A421" s="32" t="str">
        <f>_xlfn.XLOOKUP(B421,Input!J:J,Input!G:G)&amp;""</f>
        <v/>
      </c>
      <c r="B421" s="32"/>
      <c r="C421" s="32" t="str">
        <f>_xlfn.XLOOKUP(B421,Input!J:J,Input!H:H)&amp;""</f>
        <v/>
      </c>
      <c r="D421" s="42">
        <f>_xlfn.XLOOKUP(B421,Input!J:J,Input!F:F)</f>
        <v>0</v>
      </c>
      <c r="E421" s="32">
        <f>_xlfn.XLOOKUP(D421,Models!H:H,Models!G:G,D421)</f>
        <v>0</v>
      </c>
      <c r="F421" s="32">
        <f>_xlfn.XLOOKUP(B421,Input!J:J,Input!E:E)</f>
        <v>0</v>
      </c>
      <c r="G421" s="32">
        <f>IF(F421="LENOVO",_xlfn.XLOOKUP(B421,Input!J:J,Input!K:K),_xlfn.XLOOKUP(B421,Input!J:J,Input!L:L))</f>
        <v>0</v>
      </c>
      <c r="H421" s="32"/>
      <c r="I421" s="32"/>
      <c r="J421" s="32"/>
      <c r="K421" s="42" t="e">
        <f>INDEX(Input!$D$2:$AC$500,
       MATCH(B421, Input!$J$2:$J$500, 0),
       MATCH("Total Memory", Input!$D$1:$AC$1, 0))</f>
        <v>#N/A</v>
      </c>
      <c r="L421" s="42"/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e">
        <f t="shared" si="20"/>
        <v>#N/A</v>
      </c>
      <c r="O421" s="42" t="e">
        <f>INDEX(Input!$D$2:$AC$500,
       MATCH(B421, Input!$J$2:$J$500, 0),
       MATCH("Disk Interface Type", Input!$D$1:$AC$1, 0))</f>
        <v>#N/A</v>
      </c>
      <c r="P421" s="42" t="str" cm="1">
        <f t="array" ref="P421">IFERROR(_xlfn.TEXTJOIN(", ", TRUE, _xlfn._xlws.FILTER(
    INDEX(Input!$D$2:$AC$500,,MATCH("Disk Capacity",Input!$D$1:$AC$1,0)),
    Input!$J$2:$J$500=B421
)), "")</f>
        <v/>
      </c>
      <c r="Q421" s="32" t="e">
        <f t="shared" si="19"/>
        <v>#N/A</v>
      </c>
      <c r="R421" s="42" t="e">
        <f>_xlfn.LET(_xlpm.Result,INDEX(Input!$D$2:$AC$500,
       MATCH(B421, Input!$J$2:$J$500, 0),
       MATCH("Capacity", Input!$D$1:$AC$1, 0)),IF(_xlpm.Result="","",_xlpm.Result))</f>
        <v>#N/A</v>
      </c>
      <c r="S421" s="42" t="e" cm="1">
        <f t="array" ref="S421">_xlfn.TEXTSPLIT(R421," / ", ,TRUE,0,)</f>
        <v>#N/A</v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/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/>
      <c r="AG421" s="32"/>
      <c r="AH421" s="32"/>
      <c r="AI421" s="32"/>
      <c r="AJ421" s="32"/>
      <c r="AK421" s="32"/>
      <c r="AL421" s="32"/>
      <c r="AM421" s="32"/>
    </row>
    <row r="422" spans="1:39">
      <c r="A422" s="32" t="str">
        <f>_xlfn.XLOOKUP(B422,Input!J:J,Input!G:G)&amp;""</f>
        <v/>
      </c>
      <c r="B422" s="32"/>
      <c r="C422" s="32" t="str">
        <f>_xlfn.XLOOKUP(B422,Input!J:J,Input!H:H)&amp;""</f>
        <v/>
      </c>
      <c r="D422" s="42">
        <f>_xlfn.XLOOKUP(B422,Input!J:J,Input!F:F)</f>
        <v>0</v>
      </c>
      <c r="E422" s="32">
        <f>_xlfn.XLOOKUP(D422,Models!H:H,Models!G:G,D422)</f>
        <v>0</v>
      </c>
      <c r="F422" s="32">
        <f>_xlfn.XLOOKUP(B422,Input!J:J,Input!E:E)</f>
        <v>0</v>
      </c>
      <c r="G422" s="32">
        <f>IF(F422="LENOVO",_xlfn.XLOOKUP(B422,Input!J:J,Input!K:K),_xlfn.XLOOKUP(B422,Input!J:J,Input!L:L))</f>
        <v>0</v>
      </c>
      <c r="H422" s="32"/>
      <c r="I422" s="32"/>
      <c r="J422" s="32"/>
      <c r="K422" s="42" t="e">
        <f>INDEX(Input!$D$2:$AC$500,
       MATCH(B422, Input!$J$2:$J$500, 0),
       MATCH("Total Memory", Input!$D$1:$AC$1, 0))</f>
        <v>#N/A</v>
      </c>
      <c r="L422" s="42"/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e">
        <f t="shared" si="20"/>
        <v>#N/A</v>
      </c>
      <c r="O422" s="42" t="e">
        <f>INDEX(Input!$D$2:$AC$500,
       MATCH(B422, Input!$J$2:$J$500, 0),
       MATCH("Disk Interface Type", Input!$D$1:$AC$1, 0))</f>
        <v>#N/A</v>
      </c>
      <c r="P422" s="42" t="str" cm="1">
        <f t="array" ref="P422">IFERROR(_xlfn.TEXTJOIN(", ", TRUE, _xlfn._xlws.FILTER(
    INDEX(Input!$D$2:$AC$500,,MATCH("Disk Capacity",Input!$D$1:$AC$1,0)),
    Input!$J$2:$J$500=B422
)), "")</f>
        <v/>
      </c>
      <c r="Q422" s="32" t="e">
        <f t="shared" si="19"/>
        <v>#N/A</v>
      </c>
      <c r="R422" s="42" t="e">
        <f>_xlfn.LET(_xlpm.Result,INDEX(Input!$D$2:$AC$500,
       MATCH(B422, Input!$J$2:$J$500, 0),
       MATCH("Capacity", Input!$D$1:$AC$1, 0)),IF(_xlpm.Result="","",_xlpm.Result))</f>
        <v>#N/A</v>
      </c>
      <c r="S422" s="42" t="e" cm="1">
        <f t="array" ref="S422">_xlfn.TEXTSPLIT(R422," / ", ,TRUE,0,)</f>
        <v>#N/A</v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/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/>
      <c r="AG422" s="32"/>
      <c r="AH422" s="32"/>
      <c r="AI422" s="32"/>
      <c r="AJ422" s="32"/>
      <c r="AK422" s="32"/>
      <c r="AL422" s="32"/>
      <c r="AM422" s="32"/>
    </row>
    <row r="423" spans="1:39">
      <c r="A423" s="32" t="str">
        <f>_xlfn.XLOOKUP(B423,Input!J:J,Input!G:G)&amp;""</f>
        <v/>
      </c>
      <c r="B423" s="32"/>
      <c r="C423" s="32" t="str">
        <f>_xlfn.XLOOKUP(B423,Input!J:J,Input!H:H)&amp;""</f>
        <v/>
      </c>
      <c r="D423" s="42">
        <f>_xlfn.XLOOKUP(B423,Input!J:J,Input!F:F)</f>
        <v>0</v>
      </c>
      <c r="E423" s="32">
        <f>_xlfn.XLOOKUP(D423,Models!H:H,Models!G:G,D423)</f>
        <v>0</v>
      </c>
      <c r="F423" s="32">
        <f>_xlfn.XLOOKUP(B423,Input!J:J,Input!E:E)</f>
        <v>0</v>
      </c>
      <c r="G423" s="32">
        <f>IF(F423="LENOVO",_xlfn.XLOOKUP(B423,Input!J:J,Input!K:K),_xlfn.XLOOKUP(B423,Input!J:J,Input!L:L))</f>
        <v>0</v>
      </c>
      <c r="H423" s="32"/>
      <c r="I423" s="32"/>
      <c r="J423" s="32"/>
      <c r="K423" s="42" t="e">
        <f>INDEX(Input!$D$2:$AC$500,
       MATCH(B423, Input!$J$2:$J$500, 0),
       MATCH("Total Memory", Input!$D$1:$AC$1, 0))</f>
        <v>#N/A</v>
      </c>
      <c r="L423" s="42"/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e">
        <f t="shared" si="20"/>
        <v>#N/A</v>
      </c>
      <c r="O423" s="42" t="e">
        <f>INDEX(Input!$D$2:$AC$500,
       MATCH(B423, Input!$J$2:$J$500, 0),
       MATCH("Disk Interface Type", Input!$D$1:$AC$1, 0))</f>
        <v>#N/A</v>
      </c>
      <c r="P423" s="42" t="str" cm="1">
        <f t="array" ref="P423">IFERROR(_xlfn.TEXTJOIN(", ", TRUE, _xlfn._xlws.FILTER(
    INDEX(Input!$D$2:$AC$500,,MATCH("Disk Capacity",Input!$D$1:$AC$1,0)),
    Input!$J$2:$J$500=B423
)), "")</f>
        <v/>
      </c>
      <c r="Q423" s="32" t="e">
        <f t="shared" si="19"/>
        <v>#N/A</v>
      </c>
      <c r="R423" s="42" t="e">
        <f>_xlfn.LET(_xlpm.Result,INDEX(Input!$D$2:$AC$500,
       MATCH(B423, Input!$J$2:$J$500, 0),
       MATCH("Capacity", Input!$D$1:$AC$1, 0)),IF(_xlpm.Result="","",_xlpm.Result))</f>
        <v>#N/A</v>
      </c>
      <c r="S423" s="42" t="e" cm="1">
        <f t="array" ref="S423">_xlfn.TEXTSPLIT(R423," / ", ,TRUE,0,)</f>
        <v>#N/A</v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/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/>
      <c r="AG423" s="32"/>
      <c r="AH423" s="32"/>
      <c r="AI423" s="32"/>
      <c r="AJ423" s="32"/>
      <c r="AK423" s="32"/>
      <c r="AL423" s="32"/>
      <c r="AM423" s="32"/>
    </row>
    <row r="424" spans="1:39">
      <c r="A424" s="32" t="str">
        <f>_xlfn.XLOOKUP(B424,Input!J:J,Input!G:G)&amp;""</f>
        <v/>
      </c>
      <c r="B424" s="32"/>
      <c r="C424" s="32" t="str">
        <f>_xlfn.XLOOKUP(B424,Input!J:J,Input!H:H)&amp;""</f>
        <v/>
      </c>
      <c r="D424" s="42">
        <f>_xlfn.XLOOKUP(B424,Input!J:J,Input!F:F)</f>
        <v>0</v>
      </c>
      <c r="E424" s="32">
        <f>_xlfn.XLOOKUP(D424,Models!H:H,Models!G:G,D424)</f>
        <v>0</v>
      </c>
      <c r="F424" s="32">
        <f>_xlfn.XLOOKUP(B424,Input!J:J,Input!E:E)</f>
        <v>0</v>
      </c>
      <c r="G424" s="32">
        <f>IF(F424="LENOVO",_xlfn.XLOOKUP(B424,Input!J:J,Input!K:K),_xlfn.XLOOKUP(B424,Input!J:J,Input!L:L))</f>
        <v>0</v>
      </c>
      <c r="H424" s="32"/>
      <c r="I424" s="32"/>
      <c r="J424" s="32"/>
      <c r="K424" s="42" t="e">
        <f>INDEX(Input!$D$2:$AC$500,
       MATCH(B424, Input!$J$2:$J$500, 0),
       MATCH("Total Memory", Input!$D$1:$AC$1, 0))</f>
        <v>#N/A</v>
      </c>
      <c r="L424" s="42"/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e">
        <f t="shared" si="20"/>
        <v>#N/A</v>
      </c>
      <c r="O424" s="42" t="e">
        <f>INDEX(Input!$D$2:$AC$500,
       MATCH(B424, Input!$J$2:$J$500, 0),
       MATCH("Disk Interface Type", Input!$D$1:$AC$1, 0))</f>
        <v>#N/A</v>
      </c>
      <c r="P424" s="42" t="str" cm="1">
        <f t="array" ref="P424">IFERROR(_xlfn.TEXTJOIN(", ", TRUE, _xlfn._xlws.FILTER(
    INDEX(Input!$D$2:$AC$500,,MATCH("Disk Capacity",Input!$D$1:$AC$1,0)),
    Input!$J$2:$J$500=B424
)), "")</f>
        <v/>
      </c>
      <c r="Q424" s="32" t="e">
        <f t="shared" si="19"/>
        <v>#N/A</v>
      </c>
      <c r="R424" s="42" t="e">
        <f>_xlfn.LET(_xlpm.Result,INDEX(Input!$D$2:$AC$500,
       MATCH(B424, Input!$J$2:$J$500, 0),
       MATCH("Capacity", Input!$D$1:$AC$1, 0)),IF(_xlpm.Result="","",_xlpm.Result))</f>
        <v>#N/A</v>
      </c>
      <c r="S424" s="42" t="e" cm="1">
        <f t="array" ref="S424">_xlfn.TEXTSPLIT(R424," / ", ,TRUE,0,)</f>
        <v>#N/A</v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/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/>
      <c r="AG424" s="32"/>
      <c r="AH424" s="32"/>
      <c r="AI424" s="32"/>
      <c r="AJ424" s="32"/>
      <c r="AK424" s="32"/>
      <c r="AL424" s="32"/>
      <c r="AM424" s="32"/>
    </row>
    <row r="425" spans="1:39">
      <c r="A425" s="32" t="str">
        <f>_xlfn.XLOOKUP(B425,Input!J:J,Input!G:G)&amp;""</f>
        <v/>
      </c>
      <c r="B425" s="32"/>
      <c r="C425" s="32" t="str">
        <f>_xlfn.XLOOKUP(B425,Input!J:J,Input!H:H)&amp;""</f>
        <v/>
      </c>
      <c r="D425" s="42">
        <f>_xlfn.XLOOKUP(B425,Input!J:J,Input!F:F)</f>
        <v>0</v>
      </c>
      <c r="E425" s="32">
        <f>_xlfn.XLOOKUP(D425,Models!H:H,Models!G:G,D425)</f>
        <v>0</v>
      </c>
      <c r="F425" s="32">
        <f>_xlfn.XLOOKUP(B425,Input!J:J,Input!E:E)</f>
        <v>0</v>
      </c>
      <c r="G425" s="32">
        <f>IF(F425="LENOVO",_xlfn.XLOOKUP(B425,Input!J:J,Input!K:K),_xlfn.XLOOKUP(B425,Input!J:J,Input!L:L))</f>
        <v>0</v>
      </c>
      <c r="H425" s="32"/>
      <c r="I425" s="32"/>
      <c r="J425" s="32"/>
      <c r="K425" s="42" t="e">
        <f>INDEX(Input!$D$2:$AC$500,
       MATCH(B425, Input!$J$2:$J$500, 0),
       MATCH("Total Memory", Input!$D$1:$AC$1, 0))</f>
        <v>#N/A</v>
      </c>
      <c r="L425" s="42"/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e">
        <f t="shared" si="20"/>
        <v>#N/A</v>
      </c>
      <c r="O425" s="42" t="e">
        <f>INDEX(Input!$D$2:$AC$500,
       MATCH(B425, Input!$J$2:$J$500, 0),
       MATCH("Disk Interface Type", Input!$D$1:$AC$1, 0))</f>
        <v>#N/A</v>
      </c>
      <c r="P425" s="42" t="str" cm="1">
        <f t="array" ref="P425">IFERROR(_xlfn.TEXTJOIN(", ", TRUE, _xlfn._xlws.FILTER(
    INDEX(Input!$D$2:$AC$500,,MATCH("Disk Capacity",Input!$D$1:$AC$1,0)),
    Input!$J$2:$J$500=B425
)), "")</f>
        <v/>
      </c>
      <c r="Q425" s="32" t="e">
        <f t="shared" si="19"/>
        <v>#N/A</v>
      </c>
      <c r="R425" s="42" t="e">
        <f>_xlfn.LET(_xlpm.Result,INDEX(Input!$D$2:$AC$500,
       MATCH(B425, Input!$J$2:$J$500, 0),
       MATCH("Capacity", Input!$D$1:$AC$1, 0)),IF(_xlpm.Result="","",_xlpm.Result))</f>
        <v>#N/A</v>
      </c>
      <c r="S425" s="42" t="e" cm="1">
        <f t="array" ref="S425">_xlfn.TEXTSPLIT(R425," / ", ,TRUE,0,)</f>
        <v>#N/A</v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/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/>
      <c r="AG425" s="32"/>
      <c r="AH425" s="32"/>
      <c r="AI425" s="32"/>
      <c r="AJ425" s="32"/>
      <c r="AK425" s="32"/>
      <c r="AL425" s="32"/>
      <c r="AM425" s="32"/>
    </row>
    <row r="426" spans="1:39">
      <c r="A426" s="32" t="str">
        <f>_xlfn.XLOOKUP(B426,Input!J:J,Input!G:G)&amp;""</f>
        <v/>
      </c>
      <c r="B426" s="32"/>
      <c r="C426" s="32" t="str">
        <f>_xlfn.XLOOKUP(B426,Input!J:J,Input!H:H)&amp;""</f>
        <v/>
      </c>
      <c r="D426" s="42">
        <f>_xlfn.XLOOKUP(B426,Input!J:J,Input!F:F)</f>
        <v>0</v>
      </c>
      <c r="E426" s="32">
        <f>_xlfn.XLOOKUP(D426,Models!H:H,Models!G:G,D426)</f>
        <v>0</v>
      </c>
      <c r="F426" s="32">
        <f>_xlfn.XLOOKUP(B426,Input!J:J,Input!E:E)</f>
        <v>0</v>
      </c>
      <c r="G426" s="32">
        <f>IF(F426="LENOVO",_xlfn.XLOOKUP(B426,Input!J:J,Input!K:K),_xlfn.XLOOKUP(B426,Input!J:J,Input!L:L))</f>
        <v>0</v>
      </c>
      <c r="H426" s="32"/>
      <c r="I426" s="32"/>
      <c r="J426" s="32"/>
      <c r="K426" s="42" t="e">
        <f>INDEX(Input!$D$2:$AC$500,
       MATCH(B426, Input!$J$2:$J$500, 0),
       MATCH("Total Memory", Input!$D$1:$AC$1, 0))</f>
        <v>#N/A</v>
      </c>
      <c r="L426" s="42"/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e">
        <f t="shared" si="20"/>
        <v>#N/A</v>
      </c>
      <c r="O426" s="42" t="e">
        <f>INDEX(Input!$D$2:$AC$500,
       MATCH(B426, Input!$J$2:$J$500, 0),
       MATCH("Disk Interface Type", Input!$D$1:$AC$1, 0))</f>
        <v>#N/A</v>
      </c>
      <c r="P426" s="42" t="str" cm="1">
        <f t="array" ref="P426">IFERROR(_xlfn.TEXTJOIN(", ", TRUE, _xlfn._xlws.FILTER(
    INDEX(Input!$D$2:$AC$500,,MATCH("Disk Capacity",Input!$D$1:$AC$1,0)),
    Input!$J$2:$J$500=B426
)), "")</f>
        <v/>
      </c>
      <c r="Q426" s="32" t="e">
        <f t="shared" si="19"/>
        <v>#N/A</v>
      </c>
      <c r="R426" s="42" t="e">
        <f>_xlfn.LET(_xlpm.Result,INDEX(Input!$D$2:$AC$500,
       MATCH(B426, Input!$J$2:$J$500, 0),
       MATCH("Capacity", Input!$D$1:$AC$1, 0)),IF(_xlpm.Result="","",_xlpm.Result))</f>
        <v>#N/A</v>
      </c>
      <c r="S426" s="42" t="e" cm="1">
        <f t="array" ref="S426">_xlfn.TEXTSPLIT(R426," / ", ,TRUE,0,)</f>
        <v>#N/A</v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/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/>
      <c r="AG426" s="32"/>
      <c r="AH426" s="32"/>
      <c r="AI426" s="32"/>
      <c r="AJ426" s="32"/>
      <c r="AK426" s="32"/>
      <c r="AL426" s="32"/>
      <c r="AM426" s="32"/>
    </row>
    <row r="427" spans="1:39">
      <c r="A427" s="32" t="str">
        <f>_xlfn.XLOOKUP(B427,Input!J:J,Input!G:G)&amp;""</f>
        <v/>
      </c>
      <c r="B427" s="32"/>
      <c r="C427" s="32" t="str">
        <f>_xlfn.XLOOKUP(B427,Input!J:J,Input!H:H)&amp;""</f>
        <v/>
      </c>
      <c r="D427" s="42">
        <f>_xlfn.XLOOKUP(B427,Input!J:J,Input!F:F)</f>
        <v>0</v>
      </c>
      <c r="E427" s="32">
        <f>_xlfn.XLOOKUP(D427,Models!H:H,Models!G:G,D427)</f>
        <v>0</v>
      </c>
      <c r="F427" s="32">
        <f>_xlfn.XLOOKUP(B427,Input!J:J,Input!E:E)</f>
        <v>0</v>
      </c>
      <c r="G427" s="32">
        <f>IF(F427="LENOVO",_xlfn.XLOOKUP(B427,Input!J:J,Input!K:K),_xlfn.XLOOKUP(B427,Input!J:J,Input!L:L))</f>
        <v>0</v>
      </c>
      <c r="H427" s="32"/>
      <c r="I427" s="32"/>
      <c r="J427" s="32"/>
      <c r="K427" s="42" t="e">
        <f>INDEX(Input!$D$2:$AC$500,
       MATCH(B427, Input!$J$2:$J$500, 0),
       MATCH("Total Memory", Input!$D$1:$AC$1, 0))</f>
        <v>#N/A</v>
      </c>
      <c r="L427" s="42"/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e">
        <f t="shared" si="20"/>
        <v>#N/A</v>
      </c>
      <c r="O427" s="42" t="e">
        <f>INDEX(Input!$D$2:$AC$500,
       MATCH(B427, Input!$J$2:$J$500, 0),
       MATCH("Disk Interface Type", Input!$D$1:$AC$1, 0))</f>
        <v>#N/A</v>
      </c>
      <c r="P427" s="42" t="str" cm="1">
        <f t="array" ref="P427">IFERROR(_xlfn.TEXTJOIN(", ", TRUE, _xlfn._xlws.FILTER(
    INDEX(Input!$D$2:$AC$500,,MATCH("Disk Capacity",Input!$D$1:$AC$1,0)),
    Input!$J$2:$J$500=B427
)), "")</f>
        <v/>
      </c>
      <c r="Q427" s="32" t="e">
        <f t="shared" si="19"/>
        <v>#N/A</v>
      </c>
      <c r="R427" s="42" t="e">
        <f>_xlfn.LET(_xlpm.Result,INDEX(Input!$D$2:$AC$500,
       MATCH(B427, Input!$J$2:$J$500, 0),
       MATCH("Capacity", Input!$D$1:$AC$1, 0)),IF(_xlpm.Result="","",_xlpm.Result))</f>
        <v>#N/A</v>
      </c>
      <c r="S427" s="42" t="e" cm="1">
        <f t="array" ref="S427">_xlfn.TEXTSPLIT(R427," / ", ,TRUE,0,)</f>
        <v>#N/A</v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/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/>
      <c r="AG427" s="32"/>
      <c r="AH427" s="32"/>
      <c r="AI427" s="32"/>
      <c r="AJ427" s="32"/>
      <c r="AK427" s="32"/>
      <c r="AL427" s="32"/>
      <c r="AM427" s="32"/>
    </row>
    <row r="428" spans="1:39">
      <c r="A428" s="32" t="str">
        <f>_xlfn.XLOOKUP(B428,Input!J:J,Input!G:G)&amp;""</f>
        <v/>
      </c>
      <c r="B428" s="32"/>
      <c r="C428" s="32" t="str">
        <f>_xlfn.XLOOKUP(B428,Input!J:J,Input!H:H)&amp;""</f>
        <v/>
      </c>
      <c r="D428" s="42">
        <f>_xlfn.XLOOKUP(B428,Input!J:J,Input!F:F)</f>
        <v>0</v>
      </c>
      <c r="E428" s="32">
        <f>_xlfn.XLOOKUP(D428,Models!H:H,Models!G:G,D428)</f>
        <v>0</v>
      </c>
      <c r="F428" s="32">
        <f>_xlfn.XLOOKUP(B428,Input!J:J,Input!E:E)</f>
        <v>0</v>
      </c>
      <c r="G428" s="32">
        <f>IF(F428="LENOVO",_xlfn.XLOOKUP(B428,Input!J:J,Input!K:K),_xlfn.XLOOKUP(B428,Input!J:J,Input!L:L))</f>
        <v>0</v>
      </c>
      <c r="H428" s="32"/>
      <c r="I428" s="32"/>
      <c r="J428" s="32"/>
      <c r="K428" s="42" t="e">
        <f>INDEX(Input!$D$2:$AC$500,
       MATCH(B428, Input!$J$2:$J$500, 0),
       MATCH("Total Memory", Input!$D$1:$AC$1, 0))</f>
        <v>#N/A</v>
      </c>
      <c r="L428" s="42"/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e">
        <f t="shared" si="20"/>
        <v>#N/A</v>
      </c>
      <c r="O428" s="42" t="e">
        <f>INDEX(Input!$D$2:$AC$500,
       MATCH(B428, Input!$J$2:$J$500, 0),
       MATCH("Disk Interface Type", Input!$D$1:$AC$1, 0))</f>
        <v>#N/A</v>
      </c>
      <c r="P428" s="42" t="str" cm="1">
        <f t="array" ref="P428">IFERROR(_xlfn.TEXTJOIN(", ", TRUE, _xlfn._xlws.FILTER(
    INDEX(Input!$D$2:$AC$500,,MATCH("Disk Capacity",Input!$D$1:$AC$1,0)),
    Input!$J$2:$J$500=B428
)), "")</f>
        <v/>
      </c>
      <c r="Q428" s="32" t="e">
        <f t="shared" si="19"/>
        <v>#N/A</v>
      </c>
      <c r="R428" s="42" t="e">
        <f>_xlfn.LET(_xlpm.Result,INDEX(Input!$D$2:$AC$500,
       MATCH(B428, Input!$J$2:$J$500, 0),
       MATCH("Capacity", Input!$D$1:$AC$1, 0)),IF(_xlpm.Result="","",_xlpm.Result))</f>
        <v>#N/A</v>
      </c>
      <c r="S428" s="42" t="e" cm="1">
        <f t="array" ref="S428">_xlfn.TEXTSPLIT(R428," / ", ,TRUE,0,)</f>
        <v>#N/A</v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/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/>
      <c r="AG428" s="32"/>
      <c r="AH428" s="32"/>
      <c r="AI428" s="32"/>
      <c r="AJ428" s="32"/>
      <c r="AK428" s="32"/>
      <c r="AL428" s="32"/>
      <c r="AM428" s="32"/>
    </row>
    <row r="429" spans="1:39">
      <c r="A429" s="32" t="str">
        <f>_xlfn.XLOOKUP(B429,Input!J:J,Input!G:G)&amp;""</f>
        <v/>
      </c>
      <c r="B429" s="32"/>
      <c r="C429" s="32" t="str">
        <f>_xlfn.XLOOKUP(B429,Input!J:J,Input!H:H)&amp;""</f>
        <v/>
      </c>
      <c r="D429" s="42">
        <f>_xlfn.XLOOKUP(B429,Input!J:J,Input!F:F)</f>
        <v>0</v>
      </c>
      <c r="E429" s="32">
        <f>_xlfn.XLOOKUP(D429,Models!H:H,Models!G:G,D429)</f>
        <v>0</v>
      </c>
      <c r="F429" s="32">
        <f>_xlfn.XLOOKUP(B429,Input!J:J,Input!E:E)</f>
        <v>0</v>
      </c>
      <c r="G429" s="32">
        <f>IF(F429="LENOVO",_xlfn.XLOOKUP(B429,Input!J:J,Input!K:K),_xlfn.XLOOKUP(B429,Input!J:J,Input!L:L))</f>
        <v>0</v>
      </c>
      <c r="H429" s="32"/>
      <c r="I429" s="32"/>
      <c r="J429" s="32"/>
      <c r="K429" s="42" t="e">
        <f>INDEX(Input!$D$2:$AC$500,
       MATCH(B429, Input!$J$2:$J$500, 0),
       MATCH("Total Memory", Input!$D$1:$AC$1, 0))</f>
        <v>#N/A</v>
      </c>
      <c r="L429" s="42"/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e">
        <f t="shared" si="20"/>
        <v>#N/A</v>
      </c>
      <c r="O429" s="42" t="e">
        <f>INDEX(Input!$D$2:$AC$500,
       MATCH(B429, Input!$J$2:$J$500, 0),
       MATCH("Disk Interface Type", Input!$D$1:$AC$1, 0))</f>
        <v>#N/A</v>
      </c>
      <c r="P429" s="42" t="str" cm="1">
        <f t="array" ref="P429">IFERROR(_xlfn.TEXTJOIN(", ", TRUE, _xlfn._xlws.FILTER(
    INDEX(Input!$D$2:$AC$500,,MATCH("Disk Capacity",Input!$D$1:$AC$1,0)),
    Input!$J$2:$J$500=B429
)), "")</f>
        <v/>
      </c>
      <c r="Q429" s="32" t="e">
        <f t="shared" si="19"/>
        <v>#N/A</v>
      </c>
      <c r="R429" s="42" t="e">
        <f>_xlfn.LET(_xlpm.Result,INDEX(Input!$D$2:$AC$500,
       MATCH(B429, Input!$J$2:$J$500, 0),
       MATCH("Capacity", Input!$D$1:$AC$1, 0)),IF(_xlpm.Result="","",_xlpm.Result))</f>
        <v>#N/A</v>
      </c>
      <c r="S429" s="42" t="e" cm="1">
        <f t="array" ref="S429">_xlfn.TEXTSPLIT(R429," / ", ,TRUE,0,)</f>
        <v>#N/A</v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/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/>
      <c r="AG429" s="32"/>
      <c r="AH429" s="32"/>
      <c r="AI429" s="32"/>
      <c r="AJ429" s="32"/>
      <c r="AK429" s="32"/>
      <c r="AL429" s="32"/>
      <c r="AM429" s="32"/>
    </row>
    <row r="430" spans="1:39">
      <c r="A430" s="32" t="str">
        <f>_xlfn.XLOOKUP(B430,Input!J:J,Input!G:G)&amp;""</f>
        <v/>
      </c>
      <c r="B430" s="32"/>
      <c r="C430" s="32" t="str">
        <f>_xlfn.XLOOKUP(B430,Input!J:J,Input!H:H)&amp;""</f>
        <v/>
      </c>
      <c r="D430" s="42">
        <f>_xlfn.XLOOKUP(B430,Input!J:J,Input!F:F)</f>
        <v>0</v>
      </c>
      <c r="E430" s="32">
        <f>_xlfn.XLOOKUP(D430,Models!H:H,Models!G:G,D430)</f>
        <v>0</v>
      </c>
      <c r="F430" s="32">
        <f>_xlfn.XLOOKUP(B430,Input!J:J,Input!E:E)</f>
        <v>0</v>
      </c>
      <c r="G430" s="32">
        <f>IF(F430="LENOVO",_xlfn.XLOOKUP(B430,Input!J:J,Input!K:K),_xlfn.XLOOKUP(B430,Input!J:J,Input!L:L))</f>
        <v>0</v>
      </c>
      <c r="H430" s="32"/>
      <c r="I430" s="32"/>
      <c r="J430" s="32"/>
      <c r="K430" s="42" t="e">
        <f>INDEX(Input!$D$2:$AC$500,
       MATCH(B430, Input!$J$2:$J$500, 0),
       MATCH("Total Memory", Input!$D$1:$AC$1, 0))</f>
        <v>#N/A</v>
      </c>
      <c r="L430" s="42"/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e">
        <f t="shared" si="20"/>
        <v>#N/A</v>
      </c>
      <c r="O430" s="42" t="e">
        <f>INDEX(Input!$D$2:$AC$500,
       MATCH(B430, Input!$J$2:$J$500, 0),
       MATCH("Disk Interface Type", Input!$D$1:$AC$1, 0))</f>
        <v>#N/A</v>
      </c>
      <c r="P430" s="42" t="str" cm="1">
        <f t="array" ref="P430">IFERROR(_xlfn.TEXTJOIN(", ", TRUE, _xlfn._xlws.FILTER(
    INDEX(Input!$D$2:$AC$500,,MATCH("Disk Capacity",Input!$D$1:$AC$1,0)),
    Input!$J$2:$J$500=B430
)), "")</f>
        <v/>
      </c>
      <c r="Q430" s="32" t="e">
        <f t="shared" si="19"/>
        <v>#N/A</v>
      </c>
      <c r="R430" s="42" t="e">
        <f>_xlfn.LET(_xlpm.Result,INDEX(Input!$D$2:$AC$500,
       MATCH(B430, Input!$J$2:$J$500, 0),
       MATCH("Capacity", Input!$D$1:$AC$1, 0)),IF(_xlpm.Result="","",_xlpm.Result))</f>
        <v>#N/A</v>
      </c>
      <c r="S430" s="42" t="e" cm="1">
        <f t="array" ref="S430">_xlfn.TEXTSPLIT(R430," / ", ,TRUE,0,)</f>
        <v>#N/A</v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/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/>
      <c r="AG430" s="32"/>
      <c r="AH430" s="32"/>
      <c r="AI430" s="32"/>
      <c r="AJ430" s="32"/>
      <c r="AK430" s="32"/>
      <c r="AL430" s="32"/>
      <c r="AM430" s="32"/>
    </row>
    <row r="431" spans="1:39">
      <c r="A431" s="32" t="str">
        <f>_xlfn.XLOOKUP(B431,Input!J:J,Input!G:G)&amp;""</f>
        <v/>
      </c>
      <c r="B431" s="32"/>
      <c r="C431" s="32" t="str">
        <f>_xlfn.XLOOKUP(B431,Input!J:J,Input!H:H)&amp;""</f>
        <v/>
      </c>
      <c r="D431" s="42">
        <f>_xlfn.XLOOKUP(B431,Input!J:J,Input!F:F)</f>
        <v>0</v>
      </c>
      <c r="E431" s="32">
        <f>_xlfn.XLOOKUP(D431,Models!H:H,Models!G:G,D431)</f>
        <v>0</v>
      </c>
      <c r="F431" s="32">
        <f>_xlfn.XLOOKUP(B431,Input!J:J,Input!E:E)</f>
        <v>0</v>
      </c>
      <c r="G431" s="32">
        <f>IF(F431="LENOVO",_xlfn.XLOOKUP(B431,Input!J:J,Input!K:K),_xlfn.XLOOKUP(B431,Input!J:J,Input!L:L))</f>
        <v>0</v>
      </c>
      <c r="H431" s="32"/>
      <c r="I431" s="32"/>
      <c r="J431" s="32"/>
      <c r="K431" s="42" t="e">
        <f>INDEX(Input!$D$2:$AC$500,
       MATCH(B431, Input!$J$2:$J$500, 0),
       MATCH("Total Memory", Input!$D$1:$AC$1, 0))</f>
        <v>#N/A</v>
      </c>
      <c r="L431" s="42"/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e">
        <f t="shared" si="20"/>
        <v>#N/A</v>
      </c>
      <c r="O431" s="42" t="e">
        <f>INDEX(Input!$D$2:$AC$500,
       MATCH(B431, Input!$J$2:$J$500, 0),
       MATCH("Disk Interface Type", Input!$D$1:$AC$1, 0))</f>
        <v>#N/A</v>
      </c>
      <c r="P431" s="42" t="str" cm="1">
        <f t="array" ref="P431">IFERROR(_xlfn.TEXTJOIN(", ", TRUE, _xlfn._xlws.FILTER(
    INDEX(Input!$D$2:$AC$500,,MATCH("Disk Capacity",Input!$D$1:$AC$1,0)),
    Input!$J$2:$J$500=B431
)), "")</f>
        <v/>
      </c>
      <c r="Q431" s="32" t="e">
        <f t="shared" si="19"/>
        <v>#N/A</v>
      </c>
      <c r="R431" s="42" t="e">
        <f>_xlfn.LET(_xlpm.Result,INDEX(Input!$D$2:$AC$500,
       MATCH(B431, Input!$J$2:$J$500, 0),
       MATCH("Capacity", Input!$D$1:$AC$1, 0)),IF(_xlpm.Result="","",_xlpm.Result))</f>
        <v>#N/A</v>
      </c>
      <c r="S431" s="42" t="e" cm="1">
        <f t="array" ref="S431">_xlfn.TEXTSPLIT(R431," / ", ,TRUE,0,)</f>
        <v>#N/A</v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/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/>
      <c r="AG431" s="32"/>
      <c r="AH431" s="32"/>
      <c r="AI431" s="32"/>
      <c r="AJ431" s="32"/>
      <c r="AK431" s="32"/>
      <c r="AL431" s="32"/>
      <c r="AM431" s="32"/>
    </row>
    <row r="432" spans="1:39">
      <c r="A432" s="32" t="str">
        <f>_xlfn.XLOOKUP(B432,Input!J:J,Input!G:G)&amp;""</f>
        <v/>
      </c>
      <c r="B432" s="32"/>
      <c r="C432" s="32" t="str">
        <f>_xlfn.XLOOKUP(B432,Input!J:J,Input!H:H)&amp;""</f>
        <v/>
      </c>
      <c r="D432" s="42">
        <f>_xlfn.XLOOKUP(B432,Input!J:J,Input!F:F)</f>
        <v>0</v>
      </c>
      <c r="E432" s="32">
        <f>_xlfn.XLOOKUP(D432,Models!H:H,Models!G:G,D432)</f>
        <v>0</v>
      </c>
      <c r="F432" s="32">
        <f>_xlfn.XLOOKUP(B432,Input!J:J,Input!E:E)</f>
        <v>0</v>
      </c>
      <c r="G432" s="32">
        <f>IF(F432="LENOVO",_xlfn.XLOOKUP(B432,Input!J:J,Input!K:K),_xlfn.XLOOKUP(B432,Input!J:J,Input!L:L))</f>
        <v>0</v>
      </c>
      <c r="H432" s="32"/>
      <c r="I432" s="32"/>
      <c r="J432" s="32"/>
      <c r="K432" s="42" t="e">
        <f>INDEX(Input!$D$2:$AC$500,
       MATCH(B432, Input!$J$2:$J$500, 0),
       MATCH("Total Memory", Input!$D$1:$AC$1, 0))</f>
        <v>#N/A</v>
      </c>
      <c r="L432" s="42"/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e">
        <f t="shared" si="20"/>
        <v>#N/A</v>
      </c>
      <c r="O432" s="42" t="e">
        <f>INDEX(Input!$D$2:$AC$500,
       MATCH(B432, Input!$J$2:$J$500, 0),
       MATCH("Disk Interface Type", Input!$D$1:$AC$1, 0))</f>
        <v>#N/A</v>
      </c>
      <c r="P432" s="42" t="str" cm="1">
        <f t="array" ref="P432">IFERROR(_xlfn.TEXTJOIN(", ", TRUE, _xlfn._xlws.FILTER(
    INDEX(Input!$D$2:$AC$500,,MATCH("Disk Capacity",Input!$D$1:$AC$1,0)),
    Input!$J$2:$J$500=B432
)), "")</f>
        <v/>
      </c>
      <c r="Q432" s="32" t="e">
        <f t="shared" si="19"/>
        <v>#N/A</v>
      </c>
      <c r="R432" s="42" t="e">
        <f>_xlfn.LET(_xlpm.Result,INDEX(Input!$D$2:$AC$500,
       MATCH(B432, Input!$J$2:$J$500, 0),
       MATCH("Capacity", Input!$D$1:$AC$1, 0)),IF(_xlpm.Result="","",_xlpm.Result))</f>
        <v>#N/A</v>
      </c>
      <c r="S432" s="42" t="e" cm="1">
        <f t="array" ref="S432">_xlfn.TEXTSPLIT(R432," / ", ,TRUE,0,)</f>
        <v>#N/A</v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/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/>
      <c r="AG432" s="32"/>
      <c r="AH432" s="32"/>
      <c r="AI432" s="32"/>
      <c r="AJ432" s="32"/>
      <c r="AK432" s="32"/>
      <c r="AL432" s="32"/>
      <c r="AM432" s="32"/>
    </row>
    <row r="433" spans="1:39">
      <c r="A433" s="32" t="str">
        <f>_xlfn.XLOOKUP(B433,Input!J:J,Input!G:G)&amp;""</f>
        <v/>
      </c>
      <c r="B433" s="32"/>
      <c r="C433" s="32" t="str">
        <f>_xlfn.XLOOKUP(B433,Input!J:J,Input!H:H)&amp;""</f>
        <v/>
      </c>
      <c r="D433" s="42">
        <f>_xlfn.XLOOKUP(B433,Input!J:J,Input!F:F)</f>
        <v>0</v>
      </c>
      <c r="E433" s="32">
        <f>_xlfn.XLOOKUP(D433,Models!H:H,Models!G:G,D433)</f>
        <v>0</v>
      </c>
      <c r="F433" s="32">
        <f>_xlfn.XLOOKUP(B433,Input!J:J,Input!E:E)</f>
        <v>0</v>
      </c>
      <c r="G433" s="32">
        <f>IF(F433="LENOVO",_xlfn.XLOOKUP(B433,Input!J:J,Input!K:K),_xlfn.XLOOKUP(B433,Input!J:J,Input!L:L))</f>
        <v>0</v>
      </c>
      <c r="H433" s="32"/>
      <c r="I433" s="32"/>
      <c r="J433" s="32"/>
      <c r="K433" s="42" t="e">
        <f>INDEX(Input!$D$2:$AC$500,
       MATCH(B433, Input!$J$2:$J$500, 0),
       MATCH("Total Memory", Input!$D$1:$AC$1, 0))</f>
        <v>#N/A</v>
      </c>
      <c r="L433" s="42"/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e">
        <f t="shared" si="20"/>
        <v>#N/A</v>
      </c>
      <c r="O433" s="42" t="e">
        <f>INDEX(Input!$D$2:$AC$500,
       MATCH(B433, Input!$J$2:$J$500, 0),
       MATCH("Disk Interface Type", Input!$D$1:$AC$1, 0))</f>
        <v>#N/A</v>
      </c>
      <c r="P433" s="42" t="str" cm="1">
        <f t="array" ref="P433">IFERROR(_xlfn.TEXTJOIN(", ", TRUE, _xlfn._xlws.FILTER(
    INDEX(Input!$D$2:$AC$500,,MATCH("Disk Capacity",Input!$D$1:$AC$1,0)),
    Input!$J$2:$J$500=B433
)), "")</f>
        <v/>
      </c>
      <c r="Q433" s="32" t="e">
        <f t="shared" si="19"/>
        <v>#N/A</v>
      </c>
      <c r="R433" s="42" t="e">
        <f>_xlfn.LET(_xlpm.Result,INDEX(Input!$D$2:$AC$500,
       MATCH(B433, Input!$J$2:$J$500, 0),
       MATCH("Capacity", Input!$D$1:$AC$1, 0)),IF(_xlpm.Result="","",_xlpm.Result))</f>
        <v>#N/A</v>
      </c>
      <c r="S433" s="42" t="e" cm="1">
        <f t="array" ref="S433">_xlfn.TEXTSPLIT(R433," / ", ,TRUE,0,)</f>
        <v>#N/A</v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/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/>
      <c r="AG433" s="32"/>
      <c r="AH433" s="32"/>
      <c r="AI433" s="32"/>
      <c r="AJ433" s="32"/>
      <c r="AK433" s="32"/>
      <c r="AL433" s="32"/>
      <c r="AM433" s="32"/>
    </row>
    <row r="434" spans="1:39">
      <c r="A434" s="32" t="str">
        <f>_xlfn.XLOOKUP(B434,Input!J:J,Input!G:G)&amp;""</f>
        <v/>
      </c>
      <c r="B434" s="32"/>
      <c r="C434" s="32" t="str">
        <f>_xlfn.XLOOKUP(B434,Input!J:J,Input!H:H)&amp;""</f>
        <v/>
      </c>
      <c r="D434" s="42">
        <f>_xlfn.XLOOKUP(B434,Input!J:J,Input!F:F)</f>
        <v>0</v>
      </c>
      <c r="E434" s="32">
        <f>_xlfn.XLOOKUP(D434,Models!H:H,Models!G:G,D434)</f>
        <v>0</v>
      </c>
      <c r="F434" s="32">
        <f>_xlfn.XLOOKUP(B434,Input!J:J,Input!E:E)</f>
        <v>0</v>
      </c>
      <c r="G434" s="32">
        <f>IF(F434="LENOVO",_xlfn.XLOOKUP(B434,Input!J:J,Input!K:K),_xlfn.XLOOKUP(B434,Input!J:J,Input!L:L))</f>
        <v>0</v>
      </c>
      <c r="H434" s="32"/>
      <c r="I434" s="32"/>
      <c r="J434" s="32"/>
      <c r="K434" s="42" t="e">
        <f>INDEX(Input!$D$2:$AC$500,
       MATCH(B434, Input!$J$2:$J$500, 0),
       MATCH("Total Memory", Input!$D$1:$AC$1, 0))</f>
        <v>#N/A</v>
      </c>
      <c r="L434" s="42"/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e">
        <f t="shared" si="20"/>
        <v>#N/A</v>
      </c>
      <c r="O434" s="42" t="e">
        <f>INDEX(Input!$D$2:$AC$500,
       MATCH(B434, Input!$J$2:$J$500, 0),
       MATCH("Disk Interface Type", Input!$D$1:$AC$1, 0))</f>
        <v>#N/A</v>
      </c>
      <c r="P434" s="42" t="str" cm="1">
        <f t="array" ref="P434">IFERROR(_xlfn.TEXTJOIN(", ", TRUE, _xlfn._xlws.FILTER(
    INDEX(Input!$D$2:$AC$500,,MATCH("Disk Capacity",Input!$D$1:$AC$1,0)),
    Input!$J$2:$J$500=B434
)), "")</f>
        <v/>
      </c>
      <c r="Q434" s="32" t="e">
        <f t="shared" si="19"/>
        <v>#N/A</v>
      </c>
      <c r="R434" s="42" t="e">
        <f>_xlfn.LET(_xlpm.Result,INDEX(Input!$D$2:$AC$500,
       MATCH(B434, Input!$J$2:$J$500, 0),
       MATCH("Capacity", Input!$D$1:$AC$1, 0)),IF(_xlpm.Result="","",_xlpm.Result))</f>
        <v>#N/A</v>
      </c>
      <c r="S434" s="42" t="e" cm="1">
        <f t="array" ref="S434">_xlfn.TEXTSPLIT(R434," / ", ,TRUE,0,)</f>
        <v>#N/A</v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/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/>
      <c r="AG434" s="32"/>
      <c r="AH434" s="32"/>
      <c r="AI434" s="32"/>
      <c r="AJ434" s="32"/>
      <c r="AK434" s="32"/>
      <c r="AL434" s="32"/>
      <c r="AM434" s="32"/>
    </row>
    <row r="435" spans="1:39">
      <c r="A435" s="32" t="str">
        <f>_xlfn.XLOOKUP(B435,Input!J:J,Input!G:G)&amp;""</f>
        <v/>
      </c>
      <c r="B435" s="32"/>
      <c r="C435" s="32" t="str">
        <f>_xlfn.XLOOKUP(B435,Input!J:J,Input!H:H)&amp;""</f>
        <v/>
      </c>
      <c r="D435" s="42">
        <f>_xlfn.XLOOKUP(B435,Input!J:J,Input!F:F)</f>
        <v>0</v>
      </c>
      <c r="E435" s="32">
        <f>_xlfn.XLOOKUP(D435,Models!H:H,Models!G:G,D435)</f>
        <v>0</v>
      </c>
      <c r="F435" s="32">
        <f>_xlfn.XLOOKUP(B435,Input!J:J,Input!E:E)</f>
        <v>0</v>
      </c>
      <c r="G435" s="32">
        <f>IF(F435="LENOVO",_xlfn.XLOOKUP(B435,Input!J:J,Input!K:K),_xlfn.XLOOKUP(B435,Input!J:J,Input!L:L))</f>
        <v>0</v>
      </c>
      <c r="H435" s="32"/>
      <c r="I435" s="32"/>
      <c r="J435" s="32"/>
      <c r="K435" s="42" t="e">
        <f>INDEX(Input!$D$2:$AC$500,
       MATCH(B435, Input!$J$2:$J$500, 0),
       MATCH("Total Memory", Input!$D$1:$AC$1, 0))</f>
        <v>#N/A</v>
      </c>
      <c r="L435" s="42"/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e">
        <f t="shared" si="20"/>
        <v>#N/A</v>
      </c>
      <c r="O435" s="42" t="e">
        <f>INDEX(Input!$D$2:$AC$500,
       MATCH(B435, Input!$J$2:$J$500, 0),
       MATCH("Disk Interface Type", Input!$D$1:$AC$1, 0))</f>
        <v>#N/A</v>
      </c>
      <c r="P435" s="42" t="str" cm="1">
        <f t="array" ref="P435">IFERROR(_xlfn.TEXTJOIN(", ", TRUE, _xlfn._xlws.FILTER(
    INDEX(Input!$D$2:$AC$500,,MATCH("Disk Capacity",Input!$D$1:$AC$1,0)),
    Input!$J$2:$J$500=B435
)), "")</f>
        <v/>
      </c>
      <c r="Q435" s="32" t="e">
        <f t="shared" si="19"/>
        <v>#N/A</v>
      </c>
      <c r="R435" s="42" t="e">
        <f>_xlfn.LET(_xlpm.Result,INDEX(Input!$D$2:$AC$500,
       MATCH(B435, Input!$J$2:$J$500, 0),
       MATCH("Capacity", Input!$D$1:$AC$1, 0)),IF(_xlpm.Result="","",_xlpm.Result))</f>
        <v>#N/A</v>
      </c>
      <c r="S435" s="42"/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/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/>
      <c r="AG435" s="32"/>
      <c r="AH435" s="32"/>
      <c r="AI435" s="32"/>
      <c r="AJ435" s="32"/>
      <c r="AK435" s="32"/>
      <c r="AL435" s="32"/>
      <c r="AM435" s="32"/>
    </row>
    <row r="436" spans="1:39">
      <c r="A436" s="32" t="str">
        <f>_xlfn.XLOOKUP(B436,Input!J:J,Input!G:G)&amp;""</f>
        <v/>
      </c>
      <c r="B436" s="32"/>
      <c r="C436" s="32" t="str">
        <f>_xlfn.XLOOKUP(B436,Input!J:J,Input!H:H)&amp;""</f>
        <v/>
      </c>
      <c r="D436" s="42">
        <f>_xlfn.XLOOKUP(B436,Input!J:J,Input!F:F)</f>
        <v>0</v>
      </c>
      <c r="E436" s="32">
        <f>_xlfn.XLOOKUP(D436,Models!H:H,Models!G:G,D436)</f>
        <v>0</v>
      </c>
      <c r="F436" s="32">
        <f>_xlfn.XLOOKUP(B436,Input!J:J,Input!E:E)</f>
        <v>0</v>
      </c>
      <c r="G436" s="32">
        <f>IF(F436="LENOVO",_xlfn.XLOOKUP(B436,Input!J:J,Input!K:K),_xlfn.XLOOKUP(B436,Input!J:J,Input!L:L))</f>
        <v>0</v>
      </c>
      <c r="H436" s="32"/>
      <c r="I436" s="32"/>
      <c r="J436" s="32"/>
      <c r="K436" s="42" t="e">
        <f>INDEX(Input!$D$2:$AC$500,
       MATCH(B436, Input!$J$2:$J$500, 0),
       MATCH("Total Memory", Input!$D$1:$AC$1, 0))</f>
        <v>#N/A</v>
      </c>
      <c r="L436" s="42"/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e">
        <f t="shared" si="20"/>
        <v>#N/A</v>
      </c>
      <c r="O436" s="42" t="e">
        <f>INDEX(Input!$D$2:$AC$500,
       MATCH(B436, Input!$J$2:$J$500, 0),
       MATCH("Disk Interface Type", Input!$D$1:$AC$1, 0))</f>
        <v>#N/A</v>
      </c>
      <c r="P436" s="42" t="str" cm="1">
        <f t="array" ref="P436">IFERROR(_xlfn.TEXTJOIN(", ", TRUE, _xlfn._xlws.FILTER(
    INDEX(Input!$D$2:$AC$500,,MATCH("Disk Capacity",Input!$D$1:$AC$1,0)),
    Input!$J$2:$J$500=B436
)), "")</f>
        <v/>
      </c>
      <c r="Q436" s="32" t="e">
        <f t="shared" si="19"/>
        <v>#N/A</v>
      </c>
      <c r="R436" s="42" t="e">
        <f>_xlfn.LET(_xlpm.Result,INDEX(Input!$D$2:$AC$500,
       MATCH(B436, Input!$J$2:$J$500, 0),
       MATCH("Capacity", Input!$D$1:$AC$1, 0)),IF(_xlpm.Result="","",_xlpm.Result))</f>
        <v>#N/A</v>
      </c>
      <c r="S436" s="42"/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/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/>
      <c r="AG436" s="32"/>
      <c r="AH436" s="32"/>
      <c r="AI436" s="32"/>
      <c r="AJ436" s="32"/>
      <c r="AK436" s="32"/>
      <c r="AL436" s="32"/>
      <c r="AM436" s="32"/>
    </row>
    <row r="437" spans="1:39">
      <c r="A437" s="32" t="str">
        <f>_xlfn.XLOOKUP(B437,Input!J:J,Input!G:G)&amp;""</f>
        <v/>
      </c>
      <c r="B437" s="32"/>
      <c r="C437" s="32" t="str">
        <f>_xlfn.XLOOKUP(B437,Input!J:J,Input!H:H)&amp;""</f>
        <v/>
      </c>
      <c r="D437" s="42">
        <f>_xlfn.XLOOKUP(B437,Input!J:J,Input!F:F)</f>
        <v>0</v>
      </c>
      <c r="E437" s="32">
        <f>_xlfn.XLOOKUP(D437,Models!H:H,Models!G:G,D437)</f>
        <v>0</v>
      </c>
      <c r="F437" s="32">
        <f>_xlfn.XLOOKUP(B437,Input!J:J,Input!E:E)</f>
        <v>0</v>
      </c>
      <c r="G437" s="32">
        <f>IF(F437="LENOVO",_xlfn.XLOOKUP(B437,Input!J:J,Input!K:K),_xlfn.XLOOKUP(B437,Input!J:J,Input!L:L))</f>
        <v>0</v>
      </c>
      <c r="H437" s="32"/>
      <c r="I437" s="32"/>
      <c r="J437" s="32"/>
      <c r="K437" s="42" t="e">
        <f>INDEX(Input!$D$2:$AC$500,
       MATCH(B437, Input!$J$2:$J$500, 0),
       MATCH("Total Memory", Input!$D$1:$AC$1, 0))</f>
        <v>#N/A</v>
      </c>
      <c r="L437" s="42"/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e">
        <f t="shared" si="20"/>
        <v>#N/A</v>
      </c>
      <c r="O437" s="42" t="e">
        <f>INDEX(Input!$D$2:$AC$500,
       MATCH(B437, Input!$J$2:$J$500, 0),
       MATCH("Disk Interface Type", Input!$D$1:$AC$1, 0))</f>
        <v>#N/A</v>
      </c>
      <c r="P437" s="42" t="str" cm="1">
        <f t="array" ref="P437">IFERROR(_xlfn.TEXTJOIN(", ", TRUE, _xlfn._xlws.FILTER(
    INDEX(Input!$D$2:$AC$500,,MATCH("Disk Capacity",Input!$D$1:$AC$1,0)),
    Input!$J$2:$J$500=B437
)), "")</f>
        <v/>
      </c>
      <c r="Q437" s="32" t="e">
        <f t="shared" si="19"/>
        <v>#N/A</v>
      </c>
      <c r="R437" s="42" t="e">
        <f>_xlfn.LET(_xlpm.Result,INDEX(Input!$D$2:$AC$500,
       MATCH(B437, Input!$J$2:$J$500, 0),
       MATCH("Capacity", Input!$D$1:$AC$1, 0)),IF(_xlpm.Result="","",_xlpm.Result))</f>
        <v>#N/A</v>
      </c>
      <c r="S437" s="42"/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/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/>
      <c r="AG437" s="32"/>
      <c r="AH437" s="32"/>
      <c r="AI437" s="32"/>
      <c r="AJ437" s="32"/>
      <c r="AK437" s="32"/>
      <c r="AL437" s="32"/>
      <c r="AM437" s="32"/>
    </row>
    <row r="438" spans="1:39">
      <c r="A438" s="32" t="str">
        <f>_xlfn.XLOOKUP(B438,Input!J:J,Input!G:G)&amp;""</f>
        <v/>
      </c>
      <c r="B438" s="32"/>
      <c r="C438" s="32" t="str">
        <f>_xlfn.XLOOKUP(B438,Input!J:J,Input!H:H)&amp;""</f>
        <v/>
      </c>
      <c r="D438" s="42">
        <f>_xlfn.XLOOKUP(B438,Input!J:J,Input!F:F)</f>
        <v>0</v>
      </c>
      <c r="E438" s="32">
        <f>_xlfn.XLOOKUP(D438,Models!H:H,Models!G:G,D438)</f>
        <v>0</v>
      </c>
      <c r="F438" s="32">
        <f>_xlfn.XLOOKUP(B438,Input!J:J,Input!E:E)</f>
        <v>0</v>
      </c>
      <c r="G438" s="32">
        <f>IF(F438="LENOVO",_xlfn.XLOOKUP(B438,Input!J:J,Input!K:K),_xlfn.XLOOKUP(B438,Input!J:J,Input!L:L))</f>
        <v>0</v>
      </c>
      <c r="H438" s="32"/>
      <c r="I438" s="32"/>
      <c r="J438" s="32"/>
      <c r="K438" s="42" t="e">
        <f>INDEX(Input!$D$2:$AC$500,
       MATCH(B438, Input!$J$2:$J$500, 0),
       MATCH("Total Memory", Input!$D$1:$AC$1, 0))</f>
        <v>#N/A</v>
      </c>
      <c r="L438" s="42"/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e">
        <f t="shared" si="20"/>
        <v>#N/A</v>
      </c>
      <c r="O438" s="42" t="e">
        <f>INDEX(Input!$D$2:$AC$500,
       MATCH(B438, Input!$J$2:$J$500, 0),
       MATCH("Disk Interface Type", Input!$D$1:$AC$1, 0))</f>
        <v>#N/A</v>
      </c>
      <c r="P438" s="42" t="str" cm="1">
        <f t="array" ref="P438">IFERROR(_xlfn.TEXTJOIN(", ", TRUE, _xlfn._xlws.FILTER(
    INDEX(Input!$D$2:$AC$500,,MATCH("Disk Capacity",Input!$D$1:$AC$1,0)),
    Input!$J$2:$J$500=B438
)), "")</f>
        <v/>
      </c>
      <c r="Q438" s="32" t="e">
        <f t="shared" si="19"/>
        <v>#N/A</v>
      </c>
      <c r="R438" s="42" t="e">
        <f>_xlfn.LET(_xlpm.Result,INDEX(Input!$D$2:$AC$500,
       MATCH(B438, Input!$J$2:$J$500, 0),
       MATCH("Capacity", Input!$D$1:$AC$1, 0)),IF(_xlpm.Result="","",_xlpm.Result))</f>
        <v>#N/A</v>
      </c>
      <c r="S438" s="42"/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/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/>
      <c r="AG438" s="32"/>
      <c r="AH438" s="32"/>
      <c r="AI438" s="32"/>
      <c r="AJ438" s="32"/>
      <c r="AK438" s="32"/>
      <c r="AL438" s="32"/>
      <c r="AM438" s="32"/>
    </row>
    <row r="439" spans="1:39">
      <c r="A439" s="32" t="str">
        <f>_xlfn.XLOOKUP(B439,Input!J:J,Input!G:G)&amp;""</f>
        <v/>
      </c>
      <c r="B439" s="32"/>
      <c r="C439" s="32" t="str">
        <f>_xlfn.XLOOKUP(B439,Input!J:J,Input!H:H)&amp;""</f>
        <v/>
      </c>
      <c r="D439" s="42">
        <f>_xlfn.XLOOKUP(B439,Input!J:J,Input!F:F)</f>
        <v>0</v>
      </c>
      <c r="E439" s="32">
        <f>_xlfn.XLOOKUP(D439,Models!H:H,Models!G:G,D439)</f>
        <v>0</v>
      </c>
      <c r="F439" s="32">
        <f>_xlfn.XLOOKUP(B439,Input!J:J,Input!E:E)</f>
        <v>0</v>
      </c>
      <c r="G439" s="32">
        <f>IF(F439="LENOVO",_xlfn.XLOOKUP(B439,Input!J:J,Input!K:K),_xlfn.XLOOKUP(B439,Input!J:J,Input!L:L))</f>
        <v>0</v>
      </c>
      <c r="H439" s="32"/>
      <c r="I439" s="32"/>
      <c r="J439" s="32"/>
      <c r="K439" s="42" t="e">
        <f>INDEX(Input!$D$2:$AC$500,
       MATCH(B439, Input!$J$2:$J$500, 0),
       MATCH("Total Memory", Input!$D$1:$AC$1, 0))</f>
        <v>#N/A</v>
      </c>
      <c r="L439" s="42"/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e">
        <f t="shared" si="20"/>
        <v>#N/A</v>
      </c>
      <c r="O439" s="42" t="e">
        <f>INDEX(Input!$D$2:$AC$500,
       MATCH(B439, Input!$J$2:$J$500, 0),
       MATCH("Disk Interface Type", Input!$D$1:$AC$1, 0))</f>
        <v>#N/A</v>
      </c>
      <c r="P439" s="42" t="str" cm="1">
        <f t="array" ref="P439">IFERROR(_xlfn.TEXTJOIN(", ", TRUE, _xlfn._xlws.FILTER(
    INDEX(Input!$D$2:$AC$500,,MATCH("Disk Capacity",Input!$D$1:$AC$1,0)),
    Input!$J$2:$J$500=B439
)), "")</f>
        <v/>
      </c>
      <c r="Q439" s="32" t="e">
        <f t="shared" si="19"/>
        <v>#N/A</v>
      </c>
      <c r="R439" s="42" t="e">
        <f>_xlfn.LET(_xlpm.Result,INDEX(Input!$D$2:$AC$500,
       MATCH(B439, Input!$J$2:$J$500, 0),
       MATCH("Capacity", Input!$D$1:$AC$1, 0)),IF(_xlpm.Result="","",_xlpm.Result))</f>
        <v>#N/A</v>
      </c>
      <c r="S439" s="42"/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/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/>
      <c r="AG439" s="32"/>
      <c r="AH439" s="32"/>
      <c r="AI439" s="32"/>
      <c r="AJ439" s="32"/>
      <c r="AK439" s="32"/>
      <c r="AL439" s="32"/>
      <c r="AM439" s="32"/>
    </row>
    <row r="440" spans="1:39">
      <c r="A440" s="32" t="str">
        <f>_xlfn.XLOOKUP(B440,Input!J:J,Input!G:G)&amp;""</f>
        <v/>
      </c>
      <c r="B440" s="32"/>
      <c r="C440" s="32" t="str">
        <f>_xlfn.XLOOKUP(B440,Input!J:J,Input!H:H)&amp;""</f>
        <v/>
      </c>
      <c r="D440" s="42">
        <f>_xlfn.XLOOKUP(B440,Input!J:J,Input!F:F)</f>
        <v>0</v>
      </c>
      <c r="E440" s="32">
        <f>_xlfn.XLOOKUP(D440,Models!H:H,Models!G:G,D440)</f>
        <v>0</v>
      </c>
      <c r="F440" s="32">
        <f>_xlfn.XLOOKUP(B440,Input!J:J,Input!E:E)</f>
        <v>0</v>
      </c>
      <c r="G440" s="32">
        <f>IF(F440="LENOVO",_xlfn.XLOOKUP(B440,Input!J:J,Input!K:K),_xlfn.XLOOKUP(B440,Input!J:J,Input!L:L))</f>
        <v>0</v>
      </c>
      <c r="H440" s="32"/>
      <c r="I440" s="32"/>
      <c r="J440" s="32"/>
      <c r="K440" s="42" t="e">
        <f>INDEX(Input!$D$2:$AC$500,
       MATCH(B440, Input!$J$2:$J$500, 0),
       MATCH("Total Memory", Input!$D$1:$AC$1, 0))</f>
        <v>#N/A</v>
      </c>
      <c r="L440" s="42"/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e">
        <f t="shared" si="20"/>
        <v>#N/A</v>
      </c>
      <c r="O440" s="42" t="e">
        <f>INDEX(Input!$D$2:$AC$500,
       MATCH(B440, Input!$J$2:$J$500, 0),
       MATCH("Disk Interface Type", Input!$D$1:$AC$1, 0))</f>
        <v>#N/A</v>
      </c>
      <c r="P440" s="42" t="str" cm="1">
        <f t="array" ref="P440">IFERROR(_xlfn.TEXTJOIN(", ", TRUE, _xlfn._xlws.FILTER(
    INDEX(Input!$D$2:$AC$500,,MATCH("Disk Capacity",Input!$D$1:$AC$1,0)),
    Input!$J$2:$J$500=B440
)), "")</f>
        <v/>
      </c>
      <c r="Q440" s="32" t="e">
        <f t="shared" si="19"/>
        <v>#N/A</v>
      </c>
      <c r="R440" s="42" t="e">
        <f>_xlfn.LET(_xlpm.Result,INDEX(Input!$D$2:$AC$500,
       MATCH(B440, Input!$J$2:$J$500, 0),
       MATCH("Capacity", Input!$D$1:$AC$1, 0)),IF(_xlpm.Result="","",_xlpm.Result))</f>
        <v>#N/A</v>
      </c>
      <c r="S440" s="42"/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/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/>
      <c r="AG440" s="32"/>
      <c r="AH440" s="32"/>
      <c r="AI440" s="32"/>
      <c r="AJ440" s="32"/>
      <c r="AK440" s="32"/>
      <c r="AL440" s="32"/>
      <c r="AM440" s="32"/>
    </row>
    <row r="441" spans="1:39">
      <c r="A441" s="32" t="str">
        <f>_xlfn.XLOOKUP(B441,Input!J:J,Input!G:G)&amp;""</f>
        <v/>
      </c>
      <c r="B441" s="32"/>
      <c r="C441" s="32" t="str">
        <f>_xlfn.XLOOKUP(B441,Input!J:J,Input!H:H)&amp;""</f>
        <v/>
      </c>
      <c r="D441" s="42">
        <f>_xlfn.XLOOKUP(B441,Input!J:J,Input!F:F)</f>
        <v>0</v>
      </c>
      <c r="E441" s="32">
        <f>_xlfn.XLOOKUP(D441,Models!H:H,Models!G:G,D441)</f>
        <v>0</v>
      </c>
      <c r="F441" s="32">
        <f>_xlfn.XLOOKUP(B441,Input!J:J,Input!E:E)</f>
        <v>0</v>
      </c>
      <c r="G441" s="32">
        <f>IF(F441="LENOVO",_xlfn.XLOOKUP(B441,Input!J:J,Input!K:K),_xlfn.XLOOKUP(B441,Input!J:J,Input!L:L))</f>
        <v>0</v>
      </c>
      <c r="H441" s="32"/>
      <c r="I441" s="32"/>
      <c r="J441" s="32"/>
      <c r="K441" s="42" t="e">
        <f>INDEX(Input!$D$2:$AC$500,
       MATCH(B441, Input!$J$2:$J$500, 0),
       MATCH("Total Memory", Input!$D$1:$AC$1, 0))</f>
        <v>#N/A</v>
      </c>
      <c r="L441" s="42"/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e">
        <f t="shared" si="20"/>
        <v>#N/A</v>
      </c>
      <c r="O441" s="42" t="e">
        <f>INDEX(Input!$D$2:$AC$500,
       MATCH(B441, Input!$J$2:$J$500, 0),
       MATCH("Disk Interface Type", Input!$D$1:$AC$1, 0))</f>
        <v>#N/A</v>
      </c>
      <c r="P441" s="42" t="str" cm="1">
        <f t="array" ref="P441">IFERROR(_xlfn.TEXTJOIN(", ", TRUE, _xlfn._xlws.FILTER(
    INDEX(Input!$D$2:$AC$500,,MATCH("Disk Capacity",Input!$D$1:$AC$1,0)),
    Input!$J$2:$J$500=B441
)), "")</f>
        <v/>
      </c>
      <c r="Q441" s="32" t="e">
        <f t="shared" si="19"/>
        <v>#N/A</v>
      </c>
      <c r="R441" s="42" t="e">
        <f>_xlfn.LET(_xlpm.Result,INDEX(Input!$D$2:$AC$500,
       MATCH(B441, Input!$J$2:$J$500, 0),
       MATCH("Capacity", Input!$D$1:$AC$1, 0)),IF(_xlpm.Result="","",_xlpm.Result))</f>
        <v>#N/A</v>
      </c>
      <c r="S441" s="42"/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/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/>
      <c r="AG441" s="32"/>
      <c r="AH441" s="32"/>
      <c r="AI441" s="32"/>
      <c r="AJ441" s="32"/>
      <c r="AK441" s="32"/>
      <c r="AL441" s="32"/>
      <c r="AM441" s="32"/>
    </row>
    <row r="442" spans="1:39">
      <c r="A442" s="32" t="str">
        <f>_xlfn.XLOOKUP(B442,Input!J:J,Input!G:G)&amp;""</f>
        <v/>
      </c>
      <c r="B442" s="32"/>
      <c r="C442" s="32" t="str">
        <f>_xlfn.XLOOKUP(B442,Input!J:J,Input!H:H)&amp;""</f>
        <v/>
      </c>
      <c r="D442" s="42">
        <f>_xlfn.XLOOKUP(B442,Input!J:J,Input!F:F)</f>
        <v>0</v>
      </c>
      <c r="E442" s="32">
        <f>_xlfn.XLOOKUP(D442,Models!H:H,Models!G:G,D442)</f>
        <v>0</v>
      </c>
      <c r="F442" s="32">
        <f>_xlfn.XLOOKUP(B442,Input!J:J,Input!E:E)</f>
        <v>0</v>
      </c>
      <c r="G442" s="32">
        <f>IF(F442="LENOVO",_xlfn.XLOOKUP(B442,Input!J:J,Input!K:K),_xlfn.XLOOKUP(B442,Input!J:J,Input!L:L))</f>
        <v>0</v>
      </c>
      <c r="H442" s="32"/>
      <c r="I442" s="32"/>
      <c r="J442" s="32"/>
      <c r="K442" s="42" t="e">
        <f>INDEX(Input!$D$2:$AC$500,
       MATCH(B442, Input!$J$2:$J$500, 0),
       MATCH("Total Memory", Input!$D$1:$AC$1, 0))</f>
        <v>#N/A</v>
      </c>
      <c r="L442" s="42"/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e">
        <f t="shared" si="20"/>
        <v>#N/A</v>
      </c>
      <c r="O442" s="42" t="e">
        <f>INDEX(Input!$D$2:$AC$500,
       MATCH(B442, Input!$J$2:$J$500, 0),
       MATCH("Disk Interface Type", Input!$D$1:$AC$1, 0))</f>
        <v>#N/A</v>
      </c>
      <c r="P442" s="42" t="str" cm="1">
        <f t="array" ref="P442">IFERROR(_xlfn.TEXTJOIN(", ", TRUE, _xlfn._xlws.FILTER(
    INDEX(Input!$D$2:$AC$500,,MATCH("Disk Capacity",Input!$D$1:$AC$1,0)),
    Input!$J$2:$J$500=B442
)), "")</f>
        <v/>
      </c>
      <c r="Q442" s="32" t="e">
        <f t="shared" si="19"/>
        <v>#N/A</v>
      </c>
      <c r="R442" s="42" t="e">
        <f>_xlfn.LET(_xlpm.Result,INDEX(Input!$D$2:$AC$500,
       MATCH(B442, Input!$J$2:$J$500, 0),
       MATCH("Capacity", Input!$D$1:$AC$1, 0)),IF(_xlpm.Result="","",_xlpm.Result))</f>
        <v>#N/A</v>
      </c>
      <c r="S442" s="42"/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/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/>
      <c r="AG442" s="32"/>
      <c r="AH442" s="32"/>
      <c r="AI442" s="32"/>
      <c r="AJ442" s="32"/>
      <c r="AK442" s="32"/>
      <c r="AL442" s="32"/>
      <c r="AM442" s="32"/>
    </row>
    <row r="443" spans="1:39">
      <c r="A443" s="32" t="str">
        <f>_xlfn.XLOOKUP(B443,Input!J:J,Input!G:G)&amp;""</f>
        <v/>
      </c>
      <c r="B443" s="32"/>
      <c r="C443" s="32" t="str">
        <f>_xlfn.XLOOKUP(B443,Input!J:J,Input!H:H)&amp;""</f>
        <v/>
      </c>
      <c r="D443" s="42">
        <f>_xlfn.XLOOKUP(B443,Input!J:J,Input!F:F)</f>
        <v>0</v>
      </c>
      <c r="E443" s="32">
        <f>_xlfn.XLOOKUP(D443,Models!H:H,Models!G:G,D443)</f>
        <v>0</v>
      </c>
      <c r="F443" s="32">
        <f>_xlfn.XLOOKUP(B443,Input!J:J,Input!E:E)</f>
        <v>0</v>
      </c>
      <c r="G443" s="32">
        <f>IF(F443="LENOVO",_xlfn.XLOOKUP(B443,Input!J:J,Input!K:K),_xlfn.XLOOKUP(B443,Input!J:J,Input!L:L))</f>
        <v>0</v>
      </c>
      <c r="H443" s="32"/>
      <c r="I443" s="32"/>
      <c r="J443" s="32"/>
      <c r="K443" s="42" t="e">
        <f>INDEX(Input!$D$2:$AC$500,
       MATCH(B443, Input!$J$2:$J$500, 0),
       MATCH("Total Memory", Input!$D$1:$AC$1, 0))</f>
        <v>#N/A</v>
      </c>
      <c r="L443" s="42"/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e">
        <f t="shared" si="20"/>
        <v>#N/A</v>
      </c>
      <c r="O443" s="42" t="e">
        <f>INDEX(Input!$D$2:$AC$500,
       MATCH(B443, Input!$J$2:$J$500, 0),
       MATCH("Disk Interface Type", Input!$D$1:$AC$1, 0))</f>
        <v>#N/A</v>
      </c>
      <c r="P443" s="42" t="str" cm="1">
        <f t="array" ref="P443">IFERROR(_xlfn.TEXTJOIN(", ", TRUE, _xlfn._xlws.FILTER(
    INDEX(Input!$D$2:$AC$500,,MATCH("Disk Capacity",Input!$D$1:$AC$1,0)),
    Input!$J$2:$J$500=B443
)), "")</f>
        <v/>
      </c>
      <c r="Q443" s="32" t="e">
        <f t="shared" si="19"/>
        <v>#N/A</v>
      </c>
      <c r="R443" s="42" t="e">
        <f>_xlfn.LET(_xlpm.Result,INDEX(Input!$D$2:$AC$500,
       MATCH(B443, Input!$J$2:$J$500, 0),
       MATCH("Capacity", Input!$D$1:$AC$1, 0)),IF(_xlpm.Result="","",_xlpm.Result))</f>
        <v>#N/A</v>
      </c>
      <c r="S443" s="42"/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/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/>
      <c r="AG443" s="32"/>
      <c r="AH443" s="32"/>
      <c r="AI443" s="32"/>
      <c r="AJ443" s="32"/>
      <c r="AK443" s="32"/>
      <c r="AL443" s="32"/>
      <c r="AM443" s="32"/>
    </row>
    <row r="444" spans="1:39">
      <c r="A444" s="32" t="str">
        <f>_xlfn.XLOOKUP(B444,Input!J:J,Input!G:G)&amp;""</f>
        <v/>
      </c>
      <c r="B444" s="32"/>
      <c r="C444" s="32" t="str">
        <f>_xlfn.XLOOKUP(B444,Input!J:J,Input!H:H)&amp;""</f>
        <v/>
      </c>
      <c r="D444" s="42">
        <f>_xlfn.XLOOKUP(B444,Input!J:J,Input!F:F)</f>
        <v>0</v>
      </c>
      <c r="E444" s="32">
        <f>_xlfn.XLOOKUP(D444,Models!H:H,Models!G:G,D444)</f>
        <v>0</v>
      </c>
      <c r="F444" s="32">
        <f>_xlfn.XLOOKUP(B444,Input!J:J,Input!E:E)</f>
        <v>0</v>
      </c>
      <c r="G444" s="32">
        <f>IF(F444="LENOVO",_xlfn.XLOOKUP(B444,Input!J:J,Input!K:K),_xlfn.XLOOKUP(B444,Input!J:J,Input!L:L))</f>
        <v>0</v>
      </c>
      <c r="H444" s="32"/>
      <c r="I444" s="32"/>
      <c r="J444" s="32"/>
      <c r="K444" s="42" t="e">
        <f>INDEX(Input!$D$2:$AC$500,
       MATCH(B444, Input!$J$2:$J$500, 0),
       MATCH("Total Memory", Input!$D$1:$AC$1, 0))</f>
        <v>#N/A</v>
      </c>
      <c r="L444" s="42"/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e">
        <f t="shared" si="20"/>
        <v>#N/A</v>
      </c>
      <c r="O444" s="42" t="e">
        <f>INDEX(Input!$D$2:$AC$500,
       MATCH(B444, Input!$J$2:$J$500, 0),
       MATCH("Disk Interface Type", Input!$D$1:$AC$1, 0))</f>
        <v>#N/A</v>
      </c>
      <c r="P444" s="42" t="str" cm="1">
        <f t="array" ref="P444">IFERROR(_xlfn.TEXTJOIN(", ", TRUE, _xlfn._xlws.FILTER(
    INDEX(Input!$D$2:$AC$500,,MATCH("Disk Capacity",Input!$D$1:$AC$1,0)),
    Input!$J$2:$J$500=B444
)), "")</f>
        <v/>
      </c>
      <c r="Q444" s="32" t="e">
        <f t="shared" si="19"/>
        <v>#N/A</v>
      </c>
      <c r="R444" s="42" t="e">
        <f>_xlfn.LET(_xlpm.Result,INDEX(Input!$D$2:$AC$500,
       MATCH(B444, Input!$J$2:$J$500, 0),
       MATCH("Capacity", Input!$D$1:$AC$1, 0)),IF(_xlpm.Result="","",_xlpm.Result))</f>
        <v>#N/A</v>
      </c>
      <c r="S444" s="42"/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/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/>
      <c r="AG444" s="32"/>
      <c r="AH444" s="32"/>
      <c r="AI444" s="32"/>
      <c r="AJ444" s="32"/>
      <c r="AK444" s="32"/>
      <c r="AL444" s="32"/>
      <c r="AM444" s="32"/>
    </row>
    <row r="445" spans="1:39">
      <c r="A445" s="32" t="str">
        <f>_xlfn.XLOOKUP(B445,Input!J:J,Input!G:G)&amp;""</f>
        <v/>
      </c>
      <c r="B445" s="32"/>
      <c r="C445" s="32" t="str">
        <f>_xlfn.XLOOKUP(B445,Input!J:J,Input!H:H)&amp;""</f>
        <v/>
      </c>
      <c r="D445" s="42">
        <f>_xlfn.XLOOKUP(B445,Input!J:J,Input!F:F)</f>
        <v>0</v>
      </c>
      <c r="E445" s="32">
        <f>_xlfn.XLOOKUP(D445,Models!H:H,Models!G:G,D445)</f>
        <v>0</v>
      </c>
      <c r="F445" s="32">
        <f>_xlfn.XLOOKUP(B445,Input!J:J,Input!E:E)</f>
        <v>0</v>
      </c>
      <c r="G445" s="32">
        <f>IF(F445="LENOVO",_xlfn.XLOOKUP(B445,Input!J:J,Input!K:K),_xlfn.XLOOKUP(B445,Input!J:J,Input!L:L))</f>
        <v>0</v>
      </c>
      <c r="H445" s="32"/>
      <c r="I445" s="32"/>
      <c r="J445" s="32"/>
      <c r="K445" s="42" t="e">
        <f>INDEX(Input!$D$2:$AC$500,
       MATCH(B445, Input!$J$2:$J$500, 0),
       MATCH("Total Memory", Input!$D$1:$AC$1, 0))</f>
        <v>#N/A</v>
      </c>
      <c r="L445" s="42"/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e">
        <f t="shared" si="20"/>
        <v>#N/A</v>
      </c>
      <c r="O445" s="42" t="e">
        <f>INDEX(Input!$D$2:$AC$500,
       MATCH(B445, Input!$J$2:$J$500, 0),
       MATCH("Disk Interface Type", Input!$D$1:$AC$1, 0))</f>
        <v>#N/A</v>
      </c>
      <c r="P445" s="42" t="str" cm="1">
        <f t="array" ref="P445">IFERROR(_xlfn.TEXTJOIN(", ", TRUE, _xlfn._xlws.FILTER(
    INDEX(Input!$D$2:$AC$500,,MATCH("Disk Capacity",Input!$D$1:$AC$1,0)),
    Input!$J$2:$J$500=B445
)), "")</f>
        <v/>
      </c>
      <c r="Q445" s="32" t="e">
        <f t="shared" si="19"/>
        <v>#N/A</v>
      </c>
      <c r="R445" s="42" t="e">
        <f>_xlfn.LET(_xlpm.Result,INDEX(Input!$D$2:$AC$500,
       MATCH(B445, Input!$J$2:$J$500, 0),
       MATCH("Capacity", Input!$D$1:$AC$1, 0)),IF(_xlpm.Result="","",_xlpm.Result))</f>
        <v>#N/A</v>
      </c>
      <c r="S445" s="42"/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/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/>
      <c r="AG445" s="32"/>
      <c r="AH445" s="32"/>
      <c r="AI445" s="32"/>
      <c r="AJ445" s="32"/>
      <c r="AK445" s="32"/>
      <c r="AL445" s="32"/>
      <c r="AM445" s="32"/>
    </row>
    <row r="446" spans="1:39">
      <c r="A446" s="32" t="str">
        <f>_xlfn.XLOOKUP(B446,Input!J:J,Input!G:G)&amp;""</f>
        <v/>
      </c>
      <c r="B446" s="32"/>
      <c r="C446" s="32" t="str">
        <f>_xlfn.XLOOKUP(B446,Input!J:J,Input!H:H)&amp;""</f>
        <v/>
      </c>
      <c r="D446" s="42">
        <f>_xlfn.XLOOKUP(B446,Input!J:J,Input!F:F)</f>
        <v>0</v>
      </c>
      <c r="E446" s="32">
        <f>_xlfn.XLOOKUP(D446,Models!H:H,Models!G:G,D446)</f>
        <v>0</v>
      </c>
      <c r="F446" s="32">
        <f>_xlfn.XLOOKUP(B446,Input!J:J,Input!E:E)</f>
        <v>0</v>
      </c>
      <c r="G446" s="32">
        <f>IF(F446="LENOVO",_xlfn.XLOOKUP(B446,Input!J:J,Input!K:K),_xlfn.XLOOKUP(B446,Input!J:J,Input!L:L))</f>
        <v>0</v>
      </c>
      <c r="H446" s="32"/>
      <c r="I446" s="32"/>
      <c r="J446" s="32"/>
      <c r="K446" s="42" t="e">
        <f>INDEX(Input!$D$2:$AC$500,
       MATCH(B446, Input!$J$2:$J$500, 0),
       MATCH("Total Memory", Input!$D$1:$AC$1, 0))</f>
        <v>#N/A</v>
      </c>
      <c r="L446" s="42"/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e">
        <f t="shared" si="20"/>
        <v>#N/A</v>
      </c>
      <c r="O446" s="42" t="e">
        <f>INDEX(Input!$D$2:$AC$500,
       MATCH(B446, Input!$J$2:$J$500, 0),
       MATCH("Disk Interface Type", Input!$D$1:$AC$1, 0))</f>
        <v>#N/A</v>
      </c>
      <c r="P446" s="42" t="str" cm="1">
        <f t="array" ref="P446">IFERROR(_xlfn.TEXTJOIN(", ", TRUE, _xlfn._xlws.FILTER(
    INDEX(Input!$D$2:$AC$500,,MATCH("Disk Capacity",Input!$D$1:$AC$1,0)),
    Input!$J$2:$J$500=B446
)), "")</f>
        <v/>
      </c>
      <c r="Q446" s="32" t="e">
        <f t="shared" si="19"/>
        <v>#N/A</v>
      </c>
      <c r="R446" s="42" t="e">
        <f>_xlfn.LET(_xlpm.Result,INDEX(Input!$D$2:$AC$500,
       MATCH(B446, Input!$J$2:$J$500, 0),
       MATCH("Capacity", Input!$D$1:$AC$1, 0)),IF(_xlpm.Result="","",_xlpm.Result))</f>
        <v>#N/A</v>
      </c>
      <c r="S446" s="42"/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/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/>
      <c r="AG446" s="32"/>
      <c r="AH446" s="32"/>
      <c r="AI446" s="32"/>
      <c r="AJ446" s="32"/>
      <c r="AK446" s="32"/>
      <c r="AL446" s="32"/>
      <c r="AM446" s="32"/>
    </row>
    <row r="447" spans="1:39">
      <c r="A447" s="32" t="str">
        <f>_xlfn.XLOOKUP(B447,Input!J:J,Input!G:G)&amp;""</f>
        <v/>
      </c>
      <c r="B447" s="32"/>
      <c r="C447" s="32" t="str">
        <f>_xlfn.XLOOKUP(B447,Input!J:J,Input!H:H)&amp;""</f>
        <v/>
      </c>
      <c r="D447" s="42">
        <f>_xlfn.XLOOKUP(B447,Input!J:J,Input!F:F)</f>
        <v>0</v>
      </c>
      <c r="E447" s="32">
        <f>_xlfn.XLOOKUP(D447,Models!H:H,Models!G:G,D447)</f>
        <v>0</v>
      </c>
      <c r="F447" s="32">
        <f>_xlfn.XLOOKUP(B447,Input!J:J,Input!E:E)</f>
        <v>0</v>
      </c>
      <c r="G447" s="32">
        <f>IF(F447="LENOVO",_xlfn.XLOOKUP(B447,Input!J:J,Input!K:K),_xlfn.XLOOKUP(B447,Input!J:J,Input!L:L))</f>
        <v>0</v>
      </c>
      <c r="H447" s="32"/>
      <c r="I447" s="32"/>
      <c r="J447" s="32"/>
      <c r="K447" s="42" t="e">
        <f>INDEX(Input!$D$2:$AC$500,
       MATCH(B447, Input!$J$2:$J$500, 0),
       MATCH("Total Memory", Input!$D$1:$AC$1, 0))</f>
        <v>#N/A</v>
      </c>
      <c r="L447" s="42"/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e">
        <f t="shared" si="20"/>
        <v>#N/A</v>
      </c>
      <c r="O447" s="42" t="e">
        <f>INDEX(Input!$D$2:$AC$500,
       MATCH(B447, Input!$J$2:$J$500, 0),
       MATCH("Disk Interface Type", Input!$D$1:$AC$1, 0))</f>
        <v>#N/A</v>
      </c>
      <c r="P447" s="42" t="str" cm="1">
        <f t="array" ref="P447">IFERROR(_xlfn.TEXTJOIN(", ", TRUE, _xlfn._xlws.FILTER(
    INDEX(Input!$D$2:$AC$500,,MATCH("Disk Capacity",Input!$D$1:$AC$1,0)),
    Input!$J$2:$J$500=B447
)), "")</f>
        <v/>
      </c>
      <c r="Q447" s="32" t="e">
        <f t="shared" si="19"/>
        <v>#N/A</v>
      </c>
      <c r="R447" s="42" t="e">
        <f>_xlfn.LET(_xlpm.Result,INDEX(Input!$D$2:$AC$500,
       MATCH(B447, Input!$J$2:$J$500, 0),
       MATCH("Capacity", Input!$D$1:$AC$1, 0)),IF(_xlpm.Result="","",_xlpm.Result))</f>
        <v>#N/A</v>
      </c>
      <c r="S447" s="42"/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/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/>
      <c r="AG447" s="32"/>
      <c r="AH447" s="32"/>
      <c r="AI447" s="32"/>
      <c r="AJ447" s="32"/>
      <c r="AK447" s="32"/>
      <c r="AL447" s="32"/>
      <c r="AM447" s="32"/>
    </row>
    <row r="448" spans="1:39">
      <c r="A448" s="32" t="str">
        <f>_xlfn.XLOOKUP(B448,Input!J:J,Input!G:G)&amp;""</f>
        <v/>
      </c>
      <c r="B448" s="32"/>
      <c r="C448" s="32" t="str">
        <f>_xlfn.XLOOKUP(B448,Input!J:J,Input!H:H)&amp;""</f>
        <v/>
      </c>
      <c r="D448" s="42">
        <f>_xlfn.XLOOKUP(B448,Input!J:J,Input!F:F)</f>
        <v>0</v>
      </c>
      <c r="E448" s="32">
        <f>_xlfn.XLOOKUP(D448,Models!H:H,Models!G:G,D448)</f>
        <v>0</v>
      </c>
      <c r="F448" s="32">
        <f>_xlfn.XLOOKUP(B448,Input!J:J,Input!E:E)</f>
        <v>0</v>
      </c>
      <c r="G448" s="32">
        <f>IF(F448="LENOVO",_xlfn.XLOOKUP(B448,Input!J:J,Input!K:K),_xlfn.XLOOKUP(B448,Input!J:J,Input!L:L))</f>
        <v>0</v>
      </c>
      <c r="H448" s="32"/>
      <c r="I448" s="32"/>
      <c r="J448" s="32"/>
      <c r="K448" s="42" t="e">
        <f>INDEX(Input!$D$2:$AC$500,
       MATCH(B448, Input!$J$2:$J$500, 0),
       MATCH("Total Memory", Input!$D$1:$AC$1, 0))</f>
        <v>#N/A</v>
      </c>
      <c r="L448" s="42"/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e">
        <f t="shared" si="20"/>
        <v>#N/A</v>
      </c>
      <c r="O448" s="42" t="e">
        <f>INDEX(Input!$D$2:$AC$500,
       MATCH(B448, Input!$J$2:$J$500, 0),
       MATCH("Disk Interface Type", Input!$D$1:$AC$1, 0))</f>
        <v>#N/A</v>
      </c>
      <c r="P448" s="42" t="str" cm="1">
        <f t="array" ref="P448">IFERROR(_xlfn.TEXTJOIN(", ", TRUE, _xlfn._xlws.FILTER(
    INDEX(Input!$D$2:$AC$500,,MATCH("Disk Capacity",Input!$D$1:$AC$1,0)),
    Input!$J$2:$J$500=B448
)), "")</f>
        <v/>
      </c>
      <c r="Q448" s="32" t="e">
        <f t="shared" si="19"/>
        <v>#N/A</v>
      </c>
      <c r="R448" s="42" t="e">
        <f>_xlfn.LET(_xlpm.Result,INDEX(Input!$D$2:$AC$500,
       MATCH(B448, Input!$J$2:$J$500, 0),
       MATCH("Capacity", Input!$D$1:$AC$1, 0)),IF(_xlpm.Result="","",_xlpm.Result))</f>
        <v>#N/A</v>
      </c>
      <c r="S448" s="42"/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/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/>
      <c r="AG448" s="32"/>
      <c r="AH448" s="32"/>
      <c r="AI448" s="32"/>
      <c r="AJ448" s="32"/>
      <c r="AK448" s="32"/>
      <c r="AL448" s="32"/>
      <c r="AM448" s="32"/>
    </row>
    <row r="449" spans="1:39">
      <c r="A449" s="32" t="str">
        <f>_xlfn.XLOOKUP(B449,Input!J:J,Input!G:G)&amp;""</f>
        <v/>
      </c>
      <c r="B449" s="32"/>
      <c r="C449" s="32" t="str">
        <f>_xlfn.XLOOKUP(B449,Input!J:J,Input!H:H)&amp;""</f>
        <v/>
      </c>
      <c r="D449" s="42">
        <f>_xlfn.XLOOKUP(B449,Input!J:J,Input!F:F)</f>
        <v>0</v>
      </c>
      <c r="E449" s="32">
        <f>_xlfn.XLOOKUP(D449,Models!H:H,Models!G:G,D449)</f>
        <v>0</v>
      </c>
      <c r="F449" s="32">
        <f>_xlfn.XLOOKUP(B449,Input!J:J,Input!E:E)</f>
        <v>0</v>
      </c>
      <c r="G449" s="32">
        <f>IF(F449="LENOVO",_xlfn.XLOOKUP(B449,Input!J:J,Input!K:K),_xlfn.XLOOKUP(B449,Input!J:J,Input!L:L))</f>
        <v>0</v>
      </c>
      <c r="H449" s="32"/>
      <c r="I449" s="32"/>
      <c r="J449" s="32"/>
      <c r="K449" s="42" t="e">
        <f>INDEX(Input!$D$2:$AC$500,
       MATCH(B449, Input!$J$2:$J$500, 0),
       MATCH("Total Memory", Input!$D$1:$AC$1, 0))</f>
        <v>#N/A</v>
      </c>
      <c r="L449" s="42"/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e">
        <f t="shared" si="20"/>
        <v>#N/A</v>
      </c>
      <c r="O449" s="42" t="e">
        <f>INDEX(Input!$D$2:$AC$500,
       MATCH(B449, Input!$J$2:$J$500, 0),
       MATCH("Disk Interface Type", Input!$D$1:$AC$1, 0))</f>
        <v>#N/A</v>
      </c>
      <c r="P449" s="42" t="str" cm="1">
        <f t="array" ref="P449">IFERROR(_xlfn.TEXTJOIN(", ", TRUE, _xlfn._xlws.FILTER(
    INDEX(Input!$D$2:$AC$500,,MATCH("Disk Capacity",Input!$D$1:$AC$1,0)),
    Input!$J$2:$J$500=B449
)), "")</f>
        <v/>
      </c>
      <c r="Q449" s="32" t="e">
        <f t="shared" si="19"/>
        <v>#N/A</v>
      </c>
      <c r="R449" s="42" t="e">
        <f>_xlfn.LET(_xlpm.Result,INDEX(Input!$D$2:$AC$500,
       MATCH(B449, Input!$J$2:$J$500, 0),
       MATCH("Capacity", Input!$D$1:$AC$1, 0)),IF(_xlpm.Result="","",_xlpm.Result))</f>
        <v>#N/A</v>
      </c>
      <c r="S449" s="42"/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/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/>
      <c r="AG449" s="32"/>
      <c r="AH449" s="32"/>
      <c r="AI449" s="32"/>
      <c r="AJ449" s="32"/>
      <c r="AK449" s="32"/>
      <c r="AL449" s="32"/>
      <c r="AM449" s="32"/>
    </row>
    <row r="450" spans="1:39">
      <c r="A450" s="32" t="str">
        <f>_xlfn.XLOOKUP(B450,Input!J:J,Input!G:G)&amp;""</f>
        <v/>
      </c>
      <c r="B450" s="32"/>
      <c r="C450" s="32" t="str">
        <f>_xlfn.XLOOKUP(B450,Input!J:J,Input!H:H)&amp;""</f>
        <v/>
      </c>
      <c r="D450" s="42">
        <f>_xlfn.XLOOKUP(B450,Input!J:J,Input!F:F)</f>
        <v>0</v>
      </c>
      <c r="E450" s="32">
        <f>_xlfn.XLOOKUP(D450,Models!H:H,Models!G:G,D450)</f>
        <v>0</v>
      </c>
      <c r="F450" s="32">
        <f>_xlfn.XLOOKUP(B450,Input!J:J,Input!E:E)</f>
        <v>0</v>
      </c>
      <c r="G450" s="32">
        <f>IF(F450="LENOVO",_xlfn.XLOOKUP(B450,Input!J:J,Input!K:K),_xlfn.XLOOKUP(B450,Input!J:J,Input!L:L))</f>
        <v>0</v>
      </c>
      <c r="H450" s="32"/>
      <c r="I450" s="32"/>
      <c r="J450" s="32"/>
      <c r="K450" s="42" t="e">
        <f>INDEX(Input!$D$2:$AC$500,
       MATCH(B450, Input!$J$2:$J$500, 0),
       MATCH("Total Memory", Input!$D$1:$AC$1, 0))</f>
        <v>#N/A</v>
      </c>
      <c r="L450" s="42"/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e">
        <f t="shared" si="20"/>
        <v>#N/A</v>
      </c>
      <c r="O450" s="42" t="e">
        <f>INDEX(Input!$D$2:$AC$500,
       MATCH(B450, Input!$J$2:$J$500, 0),
       MATCH("Disk Interface Type", Input!$D$1:$AC$1, 0))</f>
        <v>#N/A</v>
      </c>
      <c r="P450" s="42" t="str" cm="1">
        <f t="array" ref="P450">IFERROR(_xlfn.TEXTJOIN(", ", TRUE, _xlfn._xlws.FILTER(
    INDEX(Input!$D$2:$AC$500,,MATCH("Disk Capacity",Input!$D$1:$AC$1,0)),
    Input!$J$2:$J$500=B450
)), "")</f>
        <v/>
      </c>
      <c r="Q450" s="32" t="e">
        <f t="shared" si="19"/>
        <v>#N/A</v>
      </c>
      <c r="R450" s="42" t="e">
        <f>_xlfn.LET(_xlpm.Result,INDEX(Input!$D$2:$AC$500,
       MATCH(B450, Input!$J$2:$J$500, 0),
       MATCH("Capacity", Input!$D$1:$AC$1, 0)),IF(_xlpm.Result="","",_xlpm.Result))</f>
        <v>#N/A</v>
      </c>
      <c r="S450" s="42"/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/>
      <c r="X450" s="42"/>
      <c r="Y450" s="42"/>
      <c r="Z450" s="42"/>
      <c r="AA450" s="42"/>
      <c r="AB450" s="42"/>
      <c r="AC450" s="42"/>
      <c r="AD450" s="42"/>
      <c r="AE450" s="32" t="str">
        <f t="shared" ref="AE450:AE513" si="21">IF(E450="Laptop",_xlfn.TEXTJOIN(", ",TRUE,U450,V450,W450,X450,Y450,Z450,AA450,AB450), _xlfn.TEXTJOIN(", ",TRUE,W450,X450,Y450,Z450,AA450,AB450))</f>
        <v/>
      </c>
      <c r="AF450" s="32"/>
      <c r="AG450" s="32"/>
      <c r="AH450" s="32"/>
      <c r="AI450" s="32"/>
      <c r="AJ450" s="32"/>
      <c r="AK450" s="32"/>
      <c r="AL450" s="32"/>
      <c r="AM450" s="32"/>
    </row>
    <row r="451" spans="1:39">
      <c r="A451" s="32" t="str">
        <f>_xlfn.XLOOKUP(B451,Input!J:J,Input!G:G)&amp;""</f>
        <v/>
      </c>
      <c r="B451" s="32"/>
      <c r="C451" s="32" t="str">
        <f>_xlfn.XLOOKUP(B451,Input!J:J,Input!H:H)&amp;""</f>
        <v/>
      </c>
      <c r="D451" s="42">
        <f>_xlfn.XLOOKUP(B451,Input!J:J,Input!F:F)</f>
        <v>0</v>
      </c>
      <c r="E451" s="32">
        <f>_xlfn.XLOOKUP(D451,Models!H:H,Models!G:G,D451)</f>
        <v>0</v>
      </c>
      <c r="F451" s="32">
        <f>_xlfn.XLOOKUP(B451,Input!J:J,Input!E:E)</f>
        <v>0</v>
      </c>
      <c r="G451" s="32">
        <f>IF(F451="LENOVO",_xlfn.XLOOKUP(B451,Input!J:J,Input!K:K),_xlfn.XLOOKUP(B451,Input!J:J,Input!L:L))</f>
        <v>0</v>
      </c>
      <c r="H451" s="32"/>
      <c r="I451" s="32"/>
      <c r="J451" s="32"/>
      <c r="K451" s="42" t="e">
        <f>INDEX(Input!$D$2:$AC$500,
       MATCH(B451, Input!$J$2:$J$500, 0),
       MATCH("Total Memory", Input!$D$1:$AC$1, 0))</f>
        <v>#N/A</v>
      </c>
      <c r="L451" s="42"/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e">
        <f t="shared" si="20"/>
        <v>#N/A</v>
      </c>
      <c r="O451" s="42" t="e">
        <f>INDEX(Input!$D$2:$AC$500,
       MATCH(B451, Input!$J$2:$J$500, 0),
       MATCH("Disk Interface Type", Input!$D$1:$AC$1, 0))</f>
        <v>#N/A</v>
      </c>
      <c r="P451" s="42" t="str" cm="1">
        <f t="array" ref="P451">IFERROR(_xlfn.TEXTJOIN(", ", TRUE, _xlfn._xlws.FILTER(
    INDEX(Input!$D$2:$AC$500,,MATCH("Disk Capacity",Input!$D$1:$AC$1,0)),
    Input!$J$2:$J$500=B451
)), "")</f>
        <v/>
      </c>
      <c r="Q451" s="32" t="e">
        <f t="shared" ref="Q451:Q514" si="22">_xlfn.TEXTJOIN(" ",TRUE,P451,O451)</f>
        <v>#N/A</v>
      </c>
      <c r="R451" s="42" t="e">
        <f>_xlfn.LET(_xlpm.Result,INDEX(Input!$D$2:$AC$500,
       MATCH(B451, Input!$J$2:$J$500, 0),
       MATCH("Capacity", Input!$D$1:$AC$1, 0)),IF(_xlpm.Result="","",_xlpm.Result))</f>
        <v>#N/A</v>
      </c>
      <c r="S451" s="42"/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/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/>
      <c r="AG451" s="32"/>
      <c r="AH451" s="32"/>
      <c r="AI451" s="32"/>
      <c r="AJ451" s="32"/>
      <c r="AK451" s="32"/>
      <c r="AL451" s="32"/>
      <c r="AM451" s="32"/>
    </row>
    <row r="452" spans="1:39">
      <c r="A452" s="32" t="str">
        <f>_xlfn.XLOOKUP(B452,Input!J:J,Input!G:G)&amp;""</f>
        <v/>
      </c>
      <c r="B452" s="32"/>
      <c r="C452" s="32" t="str">
        <f>_xlfn.XLOOKUP(B452,Input!J:J,Input!H:H)&amp;""</f>
        <v/>
      </c>
      <c r="D452" s="42">
        <f>_xlfn.XLOOKUP(B452,Input!J:J,Input!F:F)</f>
        <v>0</v>
      </c>
      <c r="E452" s="32">
        <f>_xlfn.XLOOKUP(D452,Models!H:H,Models!G:G,D452)</f>
        <v>0</v>
      </c>
      <c r="F452" s="32">
        <f>_xlfn.XLOOKUP(B452,Input!J:J,Input!E:E)</f>
        <v>0</v>
      </c>
      <c r="G452" s="32">
        <f>IF(F452="LENOVO",_xlfn.XLOOKUP(B452,Input!J:J,Input!K:K),_xlfn.XLOOKUP(B452,Input!J:J,Input!L:L))</f>
        <v>0</v>
      </c>
      <c r="H452" s="32"/>
      <c r="I452" s="32"/>
      <c r="J452" s="32"/>
      <c r="K452" s="42" t="e">
        <f>INDEX(Input!$D$2:$AC$500,
       MATCH(B452, Input!$J$2:$J$500, 0),
       MATCH("Total Memory", Input!$D$1:$AC$1, 0))</f>
        <v>#N/A</v>
      </c>
      <c r="L452" s="42"/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e">
        <f t="shared" ref="N452:N515" si="23">_xlfn.TEXTJOIN(" ",TRUE,SUBSTITUTE(K452,"i",""),M452)</f>
        <v>#N/A</v>
      </c>
      <c r="O452" s="42" t="e">
        <f>INDEX(Input!$D$2:$AC$500,
       MATCH(B452, Input!$J$2:$J$500, 0),
       MATCH("Disk Interface Type", Input!$D$1:$AC$1, 0))</f>
        <v>#N/A</v>
      </c>
      <c r="P452" s="42" t="str" cm="1">
        <f t="array" ref="P452">IFERROR(_xlfn.TEXTJOIN(", ", TRUE, _xlfn._xlws.FILTER(
    INDEX(Input!$D$2:$AC$500,,MATCH("Disk Capacity",Input!$D$1:$AC$1,0)),
    Input!$J$2:$J$500=B452
)), "")</f>
        <v/>
      </c>
      <c r="Q452" s="32" t="e">
        <f t="shared" si="22"/>
        <v>#N/A</v>
      </c>
      <c r="R452" s="42" t="e">
        <f>_xlfn.LET(_xlpm.Result,INDEX(Input!$D$2:$AC$500,
       MATCH(B452, Input!$J$2:$J$500, 0),
       MATCH("Capacity", Input!$D$1:$AC$1, 0)),IF(_xlpm.Result="","",_xlpm.Result))</f>
        <v>#N/A</v>
      </c>
      <c r="S452" s="42"/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/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/>
      <c r="AG452" s="32"/>
      <c r="AH452" s="32"/>
      <c r="AI452" s="32"/>
      <c r="AJ452" s="32"/>
      <c r="AK452" s="32"/>
      <c r="AL452" s="32"/>
      <c r="AM452" s="32"/>
    </row>
    <row r="453" spans="1:39">
      <c r="A453" s="32" t="str">
        <f>_xlfn.XLOOKUP(B453,Input!J:J,Input!G:G)&amp;""</f>
        <v/>
      </c>
      <c r="B453" s="32"/>
      <c r="C453" s="32" t="str">
        <f>_xlfn.XLOOKUP(B453,Input!J:J,Input!H:H)&amp;""</f>
        <v/>
      </c>
      <c r="D453" s="42">
        <f>_xlfn.XLOOKUP(B453,Input!J:J,Input!F:F)</f>
        <v>0</v>
      </c>
      <c r="E453" s="32">
        <f>_xlfn.XLOOKUP(D453,Models!H:H,Models!G:G,D453)</f>
        <v>0</v>
      </c>
      <c r="F453" s="32">
        <f>_xlfn.XLOOKUP(B453,Input!J:J,Input!E:E)</f>
        <v>0</v>
      </c>
      <c r="G453" s="32">
        <f>IF(F453="LENOVO",_xlfn.XLOOKUP(B453,Input!J:J,Input!K:K),_xlfn.XLOOKUP(B453,Input!J:J,Input!L:L))</f>
        <v>0</v>
      </c>
      <c r="H453" s="32"/>
      <c r="I453" s="32"/>
      <c r="J453" s="32"/>
      <c r="K453" s="42" t="e">
        <f>INDEX(Input!$D$2:$AC$500,
       MATCH(B453, Input!$J$2:$J$500, 0),
       MATCH("Total Memory", Input!$D$1:$AC$1, 0))</f>
        <v>#N/A</v>
      </c>
      <c r="L453" s="42"/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e">
        <f t="shared" si="23"/>
        <v>#N/A</v>
      </c>
      <c r="O453" s="42" t="e">
        <f>INDEX(Input!$D$2:$AC$500,
       MATCH(B453, Input!$J$2:$J$500, 0),
       MATCH("Disk Interface Type", Input!$D$1:$AC$1, 0))</f>
        <v>#N/A</v>
      </c>
      <c r="P453" s="42" t="str" cm="1">
        <f t="array" ref="P453">IFERROR(_xlfn.TEXTJOIN(", ", TRUE, _xlfn._xlws.FILTER(
    INDEX(Input!$D$2:$AC$500,,MATCH("Disk Capacity",Input!$D$1:$AC$1,0)),
    Input!$J$2:$J$500=B453
)), "")</f>
        <v/>
      </c>
      <c r="Q453" s="32" t="e">
        <f t="shared" si="22"/>
        <v>#N/A</v>
      </c>
      <c r="R453" s="42" t="e">
        <f>_xlfn.LET(_xlpm.Result,INDEX(Input!$D$2:$AC$500,
       MATCH(B453, Input!$J$2:$J$500, 0),
       MATCH("Capacity", Input!$D$1:$AC$1, 0)),IF(_xlpm.Result="","",_xlpm.Result))</f>
        <v>#N/A</v>
      </c>
      <c r="S453" s="42"/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/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/>
      <c r="AG453" s="32"/>
      <c r="AH453" s="32"/>
      <c r="AI453" s="32"/>
      <c r="AJ453" s="32"/>
      <c r="AK453" s="32"/>
      <c r="AL453" s="32"/>
      <c r="AM453" s="32"/>
    </row>
    <row r="454" spans="1:39">
      <c r="A454" s="32" t="str">
        <f>_xlfn.XLOOKUP(B454,Input!J:J,Input!G:G)&amp;""</f>
        <v/>
      </c>
      <c r="B454" s="32"/>
      <c r="C454" s="32" t="str">
        <f>_xlfn.XLOOKUP(B454,Input!J:J,Input!H:H)&amp;""</f>
        <v/>
      </c>
      <c r="D454" s="42">
        <f>_xlfn.XLOOKUP(B454,Input!J:J,Input!F:F)</f>
        <v>0</v>
      </c>
      <c r="E454" s="32">
        <f>_xlfn.XLOOKUP(D454,Models!H:H,Models!G:G,D454)</f>
        <v>0</v>
      </c>
      <c r="F454" s="32">
        <f>_xlfn.XLOOKUP(B454,Input!J:J,Input!E:E)</f>
        <v>0</v>
      </c>
      <c r="G454" s="32">
        <f>IF(F454="LENOVO",_xlfn.XLOOKUP(B454,Input!J:J,Input!K:K),_xlfn.XLOOKUP(B454,Input!J:J,Input!L:L))</f>
        <v>0</v>
      </c>
      <c r="H454" s="32"/>
      <c r="I454" s="32"/>
      <c r="J454" s="32"/>
      <c r="K454" s="42" t="e">
        <f>INDEX(Input!$D$2:$AC$500,
       MATCH(B454, Input!$J$2:$J$500, 0),
       MATCH("Total Memory", Input!$D$1:$AC$1, 0))</f>
        <v>#N/A</v>
      </c>
      <c r="L454" s="42"/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e">
        <f t="shared" si="23"/>
        <v>#N/A</v>
      </c>
      <c r="O454" s="42" t="e">
        <f>INDEX(Input!$D$2:$AC$500,
       MATCH(B454, Input!$J$2:$J$500, 0),
       MATCH("Disk Interface Type", Input!$D$1:$AC$1, 0))</f>
        <v>#N/A</v>
      </c>
      <c r="P454" s="42" t="str" cm="1">
        <f t="array" ref="P454">IFERROR(_xlfn.TEXTJOIN(", ", TRUE, _xlfn._xlws.FILTER(
    INDEX(Input!$D$2:$AC$500,,MATCH("Disk Capacity",Input!$D$1:$AC$1,0)),
    Input!$J$2:$J$500=B454
)), "")</f>
        <v/>
      </c>
      <c r="Q454" s="32" t="e">
        <f t="shared" si="22"/>
        <v>#N/A</v>
      </c>
      <c r="R454" s="42" t="e">
        <f>_xlfn.LET(_xlpm.Result,INDEX(Input!$D$2:$AC$500,
       MATCH(B454, Input!$J$2:$J$500, 0),
       MATCH("Capacity", Input!$D$1:$AC$1, 0)),IF(_xlpm.Result="","",_xlpm.Result))</f>
        <v>#N/A</v>
      </c>
      <c r="S454" s="42"/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/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/>
      <c r="AG454" s="32"/>
      <c r="AH454" s="32"/>
      <c r="AI454" s="32"/>
      <c r="AJ454" s="32"/>
      <c r="AK454" s="32"/>
      <c r="AL454" s="32"/>
      <c r="AM454" s="32"/>
    </row>
    <row r="455" spans="1:39">
      <c r="A455" s="32" t="str">
        <f>_xlfn.XLOOKUP(B455,Input!J:J,Input!G:G)&amp;""</f>
        <v/>
      </c>
      <c r="B455" s="32"/>
      <c r="C455" s="32" t="str">
        <f>_xlfn.XLOOKUP(B455,Input!J:J,Input!H:H)&amp;""</f>
        <v/>
      </c>
      <c r="D455" s="42">
        <f>_xlfn.XLOOKUP(B455,Input!J:J,Input!F:F)</f>
        <v>0</v>
      </c>
      <c r="E455" s="32">
        <f>_xlfn.XLOOKUP(D455,Models!H:H,Models!G:G,D455)</f>
        <v>0</v>
      </c>
      <c r="F455" s="32">
        <f>_xlfn.XLOOKUP(B455,Input!J:J,Input!E:E)</f>
        <v>0</v>
      </c>
      <c r="G455" s="32">
        <f>IF(F455="LENOVO",_xlfn.XLOOKUP(B455,Input!J:J,Input!K:K),_xlfn.XLOOKUP(B455,Input!J:J,Input!L:L))</f>
        <v>0</v>
      </c>
      <c r="H455" s="32"/>
      <c r="I455" s="32"/>
      <c r="J455" s="32"/>
      <c r="K455" s="42" t="e">
        <f>INDEX(Input!$D$2:$AC$500,
       MATCH(B455, Input!$J$2:$J$500, 0),
       MATCH("Total Memory", Input!$D$1:$AC$1, 0))</f>
        <v>#N/A</v>
      </c>
      <c r="L455" s="42"/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e">
        <f t="shared" si="23"/>
        <v>#N/A</v>
      </c>
      <c r="O455" s="42" t="e">
        <f>INDEX(Input!$D$2:$AC$500,
       MATCH(B455, Input!$J$2:$J$500, 0),
       MATCH("Disk Interface Type", Input!$D$1:$AC$1, 0))</f>
        <v>#N/A</v>
      </c>
      <c r="P455" s="42" t="str" cm="1">
        <f t="array" ref="P455">IFERROR(_xlfn.TEXTJOIN(", ", TRUE, _xlfn._xlws.FILTER(
    INDEX(Input!$D$2:$AC$500,,MATCH("Disk Capacity",Input!$D$1:$AC$1,0)),
    Input!$J$2:$J$500=B455
)), "")</f>
        <v/>
      </c>
      <c r="Q455" s="32" t="e">
        <f t="shared" si="22"/>
        <v>#N/A</v>
      </c>
      <c r="R455" s="42" t="e">
        <f>_xlfn.LET(_xlpm.Result,INDEX(Input!$D$2:$AC$500,
       MATCH(B455, Input!$J$2:$J$500, 0),
       MATCH("Capacity", Input!$D$1:$AC$1, 0)),IF(_xlpm.Result="","",_xlpm.Result))</f>
        <v>#N/A</v>
      </c>
      <c r="S455" s="42"/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/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/>
      <c r="AG455" s="32"/>
      <c r="AH455" s="32"/>
      <c r="AI455" s="32"/>
      <c r="AJ455" s="32"/>
      <c r="AK455" s="32"/>
      <c r="AL455" s="32"/>
      <c r="AM455" s="32"/>
    </row>
    <row r="456" spans="1:39">
      <c r="A456" s="32" t="str">
        <f>_xlfn.XLOOKUP(B456,Input!J:J,Input!G:G)&amp;""</f>
        <v/>
      </c>
      <c r="B456" s="32"/>
      <c r="C456" s="32" t="str">
        <f>_xlfn.XLOOKUP(B456,Input!J:J,Input!H:H)&amp;""</f>
        <v/>
      </c>
      <c r="D456" s="42">
        <f>_xlfn.XLOOKUP(B456,Input!J:J,Input!F:F)</f>
        <v>0</v>
      </c>
      <c r="E456" s="32">
        <f>_xlfn.XLOOKUP(D456,Models!H:H,Models!G:G,D456)</f>
        <v>0</v>
      </c>
      <c r="F456" s="32">
        <f>_xlfn.XLOOKUP(B456,Input!J:J,Input!E:E)</f>
        <v>0</v>
      </c>
      <c r="G456" s="32">
        <f>IF(F456="LENOVO",_xlfn.XLOOKUP(B456,Input!J:J,Input!K:K),_xlfn.XLOOKUP(B456,Input!J:J,Input!L:L))</f>
        <v>0</v>
      </c>
      <c r="H456" s="32"/>
      <c r="I456" s="32"/>
      <c r="J456" s="32"/>
      <c r="K456" s="42" t="e">
        <f>INDEX(Input!$D$2:$AC$500,
       MATCH(B456, Input!$J$2:$J$500, 0),
       MATCH("Total Memory", Input!$D$1:$AC$1, 0))</f>
        <v>#N/A</v>
      </c>
      <c r="L456" s="42"/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e">
        <f t="shared" si="23"/>
        <v>#N/A</v>
      </c>
      <c r="O456" s="42" t="e">
        <f>INDEX(Input!$D$2:$AC$500,
       MATCH(B456, Input!$J$2:$J$500, 0),
       MATCH("Disk Interface Type", Input!$D$1:$AC$1, 0))</f>
        <v>#N/A</v>
      </c>
      <c r="P456" s="42" t="str" cm="1">
        <f t="array" ref="P456">IFERROR(_xlfn.TEXTJOIN(", ", TRUE, _xlfn._xlws.FILTER(
    INDEX(Input!$D$2:$AC$500,,MATCH("Disk Capacity",Input!$D$1:$AC$1,0)),
    Input!$J$2:$J$500=B456
)), "")</f>
        <v/>
      </c>
      <c r="Q456" s="32" t="e">
        <f t="shared" si="22"/>
        <v>#N/A</v>
      </c>
      <c r="R456" s="42" t="e">
        <f>_xlfn.LET(_xlpm.Result,INDEX(Input!$D$2:$AC$500,
       MATCH(B456, Input!$J$2:$J$500, 0),
       MATCH("Capacity", Input!$D$1:$AC$1, 0)),IF(_xlpm.Result="","",_xlpm.Result))</f>
        <v>#N/A</v>
      </c>
      <c r="S456" s="42"/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/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/>
      <c r="AG456" s="32"/>
      <c r="AH456" s="32"/>
      <c r="AI456" s="32"/>
      <c r="AJ456" s="32"/>
      <c r="AK456" s="32"/>
      <c r="AL456" s="32"/>
      <c r="AM456" s="32"/>
    </row>
    <row r="457" spans="1:39">
      <c r="A457" s="32" t="str">
        <f>_xlfn.XLOOKUP(B457,Input!J:J,Input!G:G)&amp;""</f>
        <v/>
      </c>
      <c r="B457" s="32"/>
      <c r="C457" s="32" t="str">
        <f>_xlfn.XLOOKUP(B457,Input!J:J,Input!H:H)&amp;""</f>
        <v/>
      </c>
      <c r="D457" s="42">
        <f>_xlfn.XLOOKUP(B457,Input!J:J,Input!F:F)</f>
        <v>0</v>
      </c>
      <c r="E457" s="32">
        <f>_xlfn.XLOOKUP(D457,Models!H:H,Models!G:G,D457)</f>
        <v>0</v>
      </c>
      <c r="F457" s="32">
        <f>_xlfn.XLOOKUP(B457,Input!J:J,Input!E:E)</f>
        <v>0</v>
      </c>
      <c r="G457" s="32">
        <f>IF(F457="LENOVO",_xlfn.XLOOKUP(B457,Input!J:J,Input!K:K),_xlfn.XLOOKUP(B457,Input!J:J,Input!L:L))</f>
        <v>0</v>
      </c>
      <c r="H457" s="32"/>
      <c r="I457" s="32"/>
      <c r="J457" s="32"/>
      <c r="K457" s="42" t="e">
        <f>INDEX(Input!$D$2:$AC$500,
       MATCH(B457, Input!$J$2:$J$500, 0),
       MATCH("Total Memory", Input!$D$1:$AC$1, 0))</f>
        <v>#N/A</v>
      </c>
      <c r="L457" s="42"/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e">
        <f t="shared" si="23"/>
        <v>#N/A</v>
      </c>
      <c r="O457" s="42" t="e">
        <f>INDEX(Input!$D$2:$AC$500,
       MATCH(B457, Input!$J$2:$J$500, 0),
       MATCH("Disk Interface Type", Input!$D$1:$AC$1, 0))</f>
        <v>#N/A</v>
      </c>
      <c r="P457" s="42" t="str" cm="1">
        <f t="array" ref="P457">IFERROR(_xlfn.TEXTJOIN(", ", TRUE, _xlfn._xlws.FILTER(
    INDEX(Input!$D$2:$AC$500,,MATCH("Disk Capacity",Input!$D$1:$AC$1,0)),
    Input!$J$2:$J$500=B457
)), "")</f>
        <v/>
      </c>
      <c r="Q457" s="32" t="e">
        <f t="shared" si="22"/>
        <v>#N/A</v>
      </c>
      <c r="R457" s="42" t="e">
        <f>_xlfn.LET(_xlpm.Result,INDEX(Input!$D$2:$AC$500,
       MATCH(B457, Input!$J$2:$J$500, 0),
       MATCH("Capacity", Input!$D$1:$AC$1, 0)),IF(_xlpm.Result="","",_xlpm.Result))</f>
        <v>#N/A</v>
      </c>
      <c r="S457" s="42"/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/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/>
      <c r="AG457" s="32"/>
      <c r="AH457" s="32"/>
      <c r="AI457" s="32"/>
      <c r="AJ457" s="32"/>
      <c r="AK457" s="32"/>
      <c r="AL457" s="32"/>
      <c r="AM457" s="32"/>
    </row>
    <row r="458" spans="1:39">
      <c r="A458" s="32" t="str">
        <f>_xlfn.XLOOKUP(B458,Input!J:J,Input!G:G)&amp;""</f>
        <v/>
      </c>
      <c r="B458" s="32"/>
      <c r="C458" s="32" t="str">
        <f>_xlfn.XLOOKUP(B458,Input!J:J,Input!H:H)&amp;""</f>
        <v/>
      </c>
      <c r="D458" s="42">
        <f>_xlfn.XLOOKUP(B458,Input!J:J,Input!F:F)</f>
        <v>0</v>
      </c>
      <c r="E458" s="32">
        <f>_xlfn.XLOOKUP(D458,Models!H:H,Models!G:G,D458)</f>
        <v>0</v>
      </c>
      <c r="F458" s="32">
        <f>_xlfn.XLOOKUP(B458,Input!J:J,Input!E:E)</f>
        <v>0</v>
      </c>
      <c r="G458" s="32">
        <f>IF(F458="LENOVO",_xlfn.XLOOKUP(B458,Input!J:J,Input!K:K),_xlfn.XLOOKUP(B458,Input!J:J,Input!L:L))</f>
        <v>0</v>
      </c>
      <c r="H458" s="32"/>
      <c r="I458" s="32"/>
      <c r="J458" s="32"/>
      <c r="K458" s="42" t="e">
        <f>INDEX(Input!$D$2:$AC$500,
       MATCH(B458, Input!$J$2:$J$500, 0),
       MATCH("Total Memory", Input!$D$1:$AC$1, 0))</f>
        <v>#N/A</v>
      </c>
      <c r="L458" s="42"/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e">
        <f t="shared" si="23"/>
        <v>#N/A</v>
      </c>
      <c r="O458" s="42" t="e">
        <f>INDEX(Input!$D$2:$AC$500,
       MATCH(B458, Input!$J$2:$J$500, 0),
       MATCH("Disk Interface Type", Input!$D$1:$AC$1, 0))</f>
        <v>#N/A</v>
      </c>
      <c r="P458" s="42" t="str" cm="1">
        <f t="array" ref="P458">IFERROR(_xlfn.TEXTJOIN(", ", TRUE, _xlfn._xlws.FILTER(
    INDEX(Input!$D$2:$AC$500,,MATCH("Disk Capacity",Input!$D$1:$AC$1,0)),
    Input!$J$2:$J$500=B458
)), "")</f>
        <v/>
      </c>
      <c r="Q458" s="32" t="e">
        <f t="shared" si="22"/>
        <v>#N/A</v>
      </c>
      <c r="R458" s="42" t="e">
        <f>_xlfn.LET(_xlpm.Result,INDEX(Input!$D$2:$AC$500,
       MATCH(B458, Input!$J$2:$J$500, 0),
       MATCH("Capacity", Input!$D$1:$AC$1, 0)),IF(_xlpm.Result="","",_xlpm.Result))</f>
        <v>#N/A</v>
      </c>
      <c r="S458" s="42"/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/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/>
      <c r="AG458" s="32"/>
      <c r="AH458" s="32"/>
      <c r="AI458" s="32"/>
      <c r="AJ458" s="32"/>
      <c r="AK458" s="32"/>
      <c r="AL458" s="32"/>
      <c r="AM458" s="32"/>
    </row>
    <row r="459" spans="1:39">
      <c r="A459" s="32" t="str">
        <f>_xlfn.XLOOKUP(B459,Input!J:J,Input!G:G)&amp;""</f>
        <v/>
      </c>
      <c r="B459" s="32"/>
      <c r="C459" s="32" t="str">
        <f>_xlfn.XLOOKUP(B459,Input!J:J,Input!H:H)&amp;""</f>
        <v/>
      </c>
      <c r="D459" s="42">
        <f>_xlfn.XLOOKUP(B459,Input!J:J,Input!F:F)</f>
        <v>0</v>
      </c>
      <c r="E459" s="32">
        <f>_xlfn.XLOOKUP(D459,Models!H:H,Models!G:G,D459)</f>
        <v>0</v>
      </c>
      <c r="F459" s="32">
        <f>_xlfn.XLOOKUP(B459,Input!J:J,Input!E:E)</f>
        <v>0</v>
      </c>
      <c r="G459" s="32">
        <f>IF(F459="LENOVO",_xlfn.XLOOKUP(B459,Input!J:J,Input!K:K),_xlfn.XLOOKUP(B459,Input!J:J,Input!L:L))</f>
        <v>0</v>
      </c>
      <c r="H459" s="32"/>
      <c r="I459" s="32"/>
      <c r="J459" s="32"/>
      <c r="K459" s="42" t="e">
        <f>INDEX(Input!$D$2:$AC$500,
       MATCH(B459, Input!$J$2:$J$500, 0),
       MATCH("Total Memory", Input!$D$1:$AC$1, 0))</f>
        <v>#N/A</v>
      </c>
      <c r="L459" s="42"/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e">
        <f t="shared" si="23"/>
        <v>#N/A</v>
      </c>
      <c r="O459" s="42" t="e">
        <f>INDEX(Input!$D$2:$AC$500,
       MATCH(B459, Input!$J$2:$J$500, 0),
       MATCH("Disk Interface Type", Input!$D$1:$AC$1, 0))</f>
        <v>#N/A</v>
      </c>
      <c r="P459" s="42" t="str" cm="1">
        <f t="array" ref="P459">IFERROR(_xlfn.TEXTJOIN(", ", TRUE, _xlfn._xlws.FILTER(
    INDEX(Input!$D$2:$AC$500,,MATCH("Disk Capacity",Input!$D$1:$AC$1,0)),
    Input!$J$2:$J$500=B459
)), "")</f>
        <v/>
      </c>
      <c r="Q459" s="32" t="e">
        <f t="shared" si="22"/>
        <v>#N/A</v>
      </c>
      <c r="R459" s="42" t="e">
        <f>_xlfn.LET(_xlpm.Result,INDEX(Input!$D$2:$AC$500,
       MATCH(B459, Input!$J$2:$J$500, 0),
       MATCH("Capacity", Input!$D$1:$AC$1, 0)),IF(_xlpm.Result="","",_xlpm.Result))</f>
        <v>#N/A</v>
      </c>
      <c r="S459" s="42"/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/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/>
      <c r="AG459" s="32"/>
      <c r="AH459" s="32"/>
      <c r="AI459" s="32"/>
      <c r="AJ459" s="32"/>
      <c r="AK459" s="32"/>
      <c r="AL459" s="32"/>
      <c r="AM459" s="32"/>
    </row>
    <row r="460" spans="1:39">
      <c r="A460" s="32" t="str">
        <f>_xlfn.XLOOKUP(B460,Input!J:J,Input!G:G)&amp;""</f>
        <v/>
      </c>
      <c r="B460" s="32"/>
      <c r="C460" s="32" t="str">
        <f>_xlfn.XLOOKUP(B460,Input!J:J,Input!H:H)&amp;""</f>
        <v/>
      </c>
      <c r="D460" s="42">
        <f>_xlfn.XLOOKUP(B460,Input!J:J,Input!F:F)</f>
        <v>0</v>
      </c>
      <c r="E460" s="32">
        <f>_xlfn.XLOOKUP(D460,Models!H:H,Models!G:G,D460)</f>
        <v>0</v>
      </c>
      <c r="F460" s="32">
        <f>_xlfn.XLOOKUP(B460,Input!J:J,Input!E:E)</f>
        <v>0</v>
      </c>
      <c r="G460" s="32">
        <f>IF(F460="LENOVO",_xlfn.XLOOKUP(B460,Input!J:J,Input!K:K),_xlfn.XLOOKUP(B460,Input!J:J,Input!L:L))</f>
        <v>0</v>
      </c>
      <c r="H460" s="32"/>
      <c r="I460" s="32"/>
      <c r="J460" s="32"/>
      <c r="K460" s="42" t="e">
        <f>INDEX(Input!$D$2:$AC$500,
       MATCH(B460, Input!$J$2:$J$500, 0),
       MATCH("Total Memory", Input!$D$1:$AC$1, 0))</f>
        <v>#N/A</v>
      </c>
      <c r="L460" s="42"/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e">
        <f t="shared" si="23"/>
        <v>#N/A</v>
      </c>
      <c r="O460" s="42" t="e">
        <f>INDEX(Input!$D$2:$AC$500,
       MATCH(B460, Input!$J$2:$J$500, 0),
       MATCH("Disk Interface Type", Input!$D$1:$AC$1, 0))</f>
        <v>#N/A</v>
      </c>
      <c r="P460" s="42" t="str" cm="1">
        <f t="array" ref="P460">IFERROR(_xlfn.TEXTJOIN(", ", TRUE, _xlfn._xlws.FILTER(
    INDEX(Input!$D$2:$AC$500,,MATCH("Disk Capacity",Input!$D$1:$AC$1,0)),
    Input!$J$2:$J$500=B460
)), "")</f>
        <v/>
      </c>
      <c r="Q460" s="32" t="e">
        <f t="shared" si="22"/>
        <v>#N/A</v>
      </c>
      <c r="R460" s="42" t="e">
        <f>_xlfn.LET(_xlpm.Result,INDEX(Input!$D$2:$AC$500,
       MATCH(B460, Input!$J$2:$J$500, 0),
       MATCH("Capacity", Input!$D$1:$AC$1, 0)),IF(_xlpm.Result="","",_xlpm.Result))</f>
        <v>#N/A</v>
      </c>
      <c r="S460" s="42"/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/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/>
      <c r="AG460" s="32"/>
      <c r="AH460" s="32"/>
      <c r="AI460" s="32"/>
      <c r="AJ460" s="32"/>
      <c r="AK460" s="32"/>
      <c r="AL460" s="32"/>
      <c r="AM460" s="32"/>
    </row>
    <row r="461" spans="1:39">
      <c r="A461" s="32" t="str">
        <f>_xlfn.XLOOKUP(B461,Input!J:J,Input!G:G)&amp;""</f>
        <v/>
      </c>
      <c r="B461" s="32"/>
      <c r="C461" s="32" t="str">
        <f>_xlfn.XLOOKUP(B461,Input!J:J,Input!H:H)&amp;""</f>
        <v/>
      </c>
      <c r="D461" s="42">
        <f>_xlfn.XLOOKUP(B461,Input!J:J,Input!F:F)</f>
        <v>0</v>
      </c>
      <c r="E461" s="32">
        <f>_xlfn.XLOOKUP(D461,Models!H:H,Models!G:G,D461)</f>
        <v>0</v>
      </c>
      <c r="F461" s="32">
        <f>_xlfn.XLOOKUP(B461,Input!J:J,Input!E:E)</f>
        <v>0</v>
      </c>
      <c r="G461" s="32">
        <f>IF(F461="LENOVO",_xlfn.XLOOKUP(B461,Input!J:J,Input!K:K),_xlfn.XLOOKUP(B461,Input!J:J,Input!L:L))</f>
        <v>0</v>
      </c>
      <c r="H461" s="32"/>
      <c r="I461" s="32"/>
      <c r="J461" s="32"/>
      <c r="K461" s="42" t="e">
        <f>INDEX(Input!$D$2:$AC$500,
       MATCH(B461, Input!$J$2:$J$500, 0),
       MATCH("Total Memory", Input!$D$1:$AC$1, 0))</f>
        <v>#N/A</v>
      </c>
      <c r="L461" s="42"/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e">
        <f t="shared" si="23"/>
        <v>#N/A</v>
      </c>
      <c r="O461" s="42" t="e">
        <f>INDEX(Input!$D$2:$AC$500,
       MATCH(B461, Input!$J$2:$J$500, 0),
       MATCH("Disk Interface Type", Input!$D$1:$AC$1, 0))</f>
        <v>#N/A</v>
      </c>
      <c r="P461" s="42" t="str" cm="1">
        <f t="array" ref="P461">IFERROR(_xlfn.TEXTJOIN(", ", TRUE, _xlfn._xlws.FILTER(
    INDEX(Input!$D$2:$AC$500,,MATCH("Disk Capacity",Input!$D$1:$AC$1,0)),
    Input!$J$2:$J$500=B461
)), "")</f>
        <v/>
      </c>
      <c r="Q461" s="32" t="e">
        <f t="shared" si="22"/>
        <v>#N/A</v>
      </c>
      <c r="R461" s="42" t="e">
        <f>_xlfn.LET(_xlpm.Result,INDEX(Input!$D$2:$AC$500,
       MATCH(B461, Input!$J$2:$J$500, 0),
       MATCH("Capacity", Input!$D$1:$AC$1, 0)),IF(_xlpm.Result="","",_xlpm.Result))</f>
        <v>#N/A</v>
      </c>
      <c r="S461" s="42"/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/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/>
      <c r="AG461" s="32"/>
      <c r="AH461" s="32"/>
      <c r="AI461" s="32"/>
      <c r="AJ461" s="32"/>
      <c r="AK461" s="32"/>
      <c r="AL461" s="32"/>
      <c r="AM461" s="32"/>
    </row>
    <row r="462" spans="1:39">
      <c r="A462" s="32" t="str">
        <f>_xlfn.XLOOKUP(B462,Input!J:J,Input!G:G)&amp;""</f>
        <v/>
      </c>
      <c r="B462" s="32"/>
      <c r="C462" s="32" t="str">
        <f>_xlfn.XLOOKUP(B462,Input!J:J,Input!H:H)&amp;""</f>
        <v/>
      </c>
      <c r="D462" s="42">
        <f>_xlfn.XLOOKUP(B462,Input!J:J,Input!F:F)</f>
        <v>0</v>
      </c>
      <c r="E462" s="32">
        <f>_xlfn.XLOOKUP(D462,Models!H:H,Models!G:G,D462)</f>
        <v>0</v>
      </c>
      <c r="F462" s="32">
        <f>_xlfn.XLOOKUP(B462,Input!J:J,Input!E:E)</f>
        <v>0</v>
      </c>
      <c r="G462" s="32">
        <f>IF(F462="LENOVO",_xlfn.XLOOKUP(B462,Input!J:J,Input!K:K),_xlfn.XLOOKUP(B462,Input!J:J,Input!L:L))</f>
        <v>0</v>
      </c>
      <c r="H462" s="32"/>
      <c r="I462" s="32"/>
      <c r="J462" s="32"/>
      <c r="K462" s="42" t="e">
        <f>INDEX(Input!$D$2:$AC$500,
       MATCH(B462, Input!$J$2:$J$500, 0),
       MATCH("Total Memory", Input!$D$1:$AC$1, 0))</f>
        <v>#N/A</v>
      </c>
      <c r="L462" s="42"/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e">
        <f t="shared" si="23"/>
        <v>#N/A</v>
      </c>
      <c r="O462" s="42" t="e">
        <f>INDEX(Input!$D$2:$AC$500,
       MATCH(B462, Input!$J$2:$J$500, 0),
       MATCH("Disk Interface Type", Input!$D$1:$AC$1, 0))</f>
        <v>#N/A</v>
      </c>
      <c r="P462" s="42" t="str" cm="1">
        <f t="array" ref="P462">IFERROR(_xlfn.TEXTJOIN(", ", TRUE, _xlfn._xlws.FILTER(
    INDEX(Input!$D$2:$AC$500,,MATCH("Disk Capacity",Input!$D$1:$AC$1,0)),
    Input!$J$2:$J$500=B462
)), "")</f>
        <v/>
      </c>
      <c r="Q462" s="32" t="e">
        <f t="shared" si="22"/>
        <v>#N/A</v>
      </c>
      <c r="R462" s="42" t="e">
        <f>_xlfn.LET(_xlpm.Result,INDEX(Input!$D$2:$AC$500,
       MATCH(B462, Input!$J$2:$J$500, 0),
       MATCH("Capacity", Input!$D$1:$AC$1, 0)),IF(_xlpm.Result="","",_xlpm.Result))</f>
        <v>#N/A</v>
      </c>
      <c r="S462" s="42"/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/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/>
      <c r="AG462" s="32"/>
      <c r="AH462" s="32"/>
      <c r="AI462" s="32"/>
      <c r="AJ462" s="32"/>
      <c r="AK462" s="32"/>
      <c r="AL462" s="32"/>
      <c r="AM462" s="32"/>
    </row>
    <row r="463" spans="1:39">
      <c r="A463" s="32" t="str">
        <f>_xlfn.XLOOKUP(B463,Input!J:J,Input!G:G)&amp;""</f>
        <v/>
      </c>
      <c r="B463" s="32"/>
      <c r="C463" s="32" t="str">
        <f>_xlfn.XLOOKUP(B463,Input!J:J,Input!H:H)&amp;""</f>
        <v/>
      </c>
      <c r="D463" s="42">
        <f>_xlfn.XLOOKUP(B463,Input!J:J,Input!F:F)</f>
        <v>0</v>
      </c>
      <c r="E463" s="32">
        <f>_xlfn.XLOOKUP(D463,Models!H:H,Models!G:G,D463)</f>
        <v>0</v>
      </c>
      <c r="F463" s="32">
        <f>_xlfn.XLOOKUP(B463,Input!J:J,Input!E:E)</f>
        <v>0</v>
      </c>
      <c r="G463" s="32">
        <f>IF(F463="LENOVO",_xlfn.XLOOKUP(B463,Input!J:J,Input!K:K),_xlfn.XLOOKUP(B463,Input!J:J,Input!L:L))</f>
        <v>0</v>
      </c>
      <c r="H463" s="32"/>
      <c r="I463" s="32"/>
      <c r="J463" s="32"/>
      <c r="K463" s="42" t="e">
        <f>INDEX(Input!$D$2:$AC$500,
       MATCH(B463, Input!$J$2:$J$500, 0),
       MATCH("Total Memory", Input!$D$1:$AC$1, 0))</f>
        <v>#N/A</v>
      </c>
      <c r="L463" s="42"/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e">
        <f t="shared" si="23"/>
        <v>#N/A</v>
      </c>
      <c r="O463" s="42" t="e">
        <f>INDEX(Input!$D$2:$AC$500,
       MATCH(B463, Input!$J$2:$J$500, 0),
       MATCH("Disk Interface Type", Input!$D$1:$AC$1, 0))</f>
        <v>#N/A</v>
      </c>
      <c r="P463" s="42" t="str" cm="1">
        <f t="array" ref="P463">IFERROR(_xlfn.TEXTJOIN(", ", TRUE, _xlfn._xlws.FILTER(
    INDEX(Input!$D$2:$AC$500,,MATCH("Disk Capacity",Input!$D$1:$AC$1,0)),
    Input!$J$2:$J$500=B463
)), "")</f>
        <v/>
      </c>
      <c r="Q463" s="32" t="e">
        <f t="shared" si="22"/>
        <v>#N/A</v>
      </c>
      <c r="R463" s="42" t="e">
        <f>_xlfn.LET(_xlpm.Result,INDEX(Input!$D$2:$AC$500,
       MATCH(B463, Input!$J$2:$J$500, 0),
       MATCH("Capacity", Input!$D$1:$AC$1, 0)),IF(_xlpm.Result="","",_xlpm.Result))</f>
        <v>#N/A</v>
      </c>
      <c r="S463" s="42"/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/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/>
      <c r="AG463" s="32"/>
      <c r="AH463" s="32"/>
      <c r="AI463" s="32"/>
      <c r="AJ463" s="32"/>
      <c r="AK463" s="32"/>
      <c r="AL463" s="32"/>
      <c r="AM463" s="32"/>
    </row>
    <row r="464" spans="1:39">
      <c r="A464" s="32" t="str">
        <f>_xlfn.XLOOKUP(B464,Input!J:J,Input!G:G)&amp;""</f>
        <v/>
      </c>
      <c r="B464" s="32"/>
      <c r="C464" s="32" t="str">
        <f>_xlfn.XLOOKUP(B464,Input!J:J,Input!H:H)&amp;""</f>
        <v/>
      </c>
      <c r="D464" s="42">
        <f>_xlfn.XLOOKUP(B464,Input!J:J,Input!F:F)</f>
        <v>0</v>
      </c>
      <c r="E464" s="32">
        <f>_xlfn.XLOOKUP(D464,Models!H:H,Models!G:G,D464)</f>
        <v>0</v>
      </c>
      <c r="F464" s="32">
        <f>_xlfn.XLOOKUP(B464,Input!J:J,Input!E:E)</f>
        <v>0</v>
      </c>
      <c r="G464" s="32">
        <f>IF(F464="LENOVO",_xlfn.XLOOKUP(B464,Input!J:J,Input!K:K),_xlfn.XLOOKUP(B464,Input!J:J,Input!L:L))</f>
        <v>0</v>
      </c>
      <c r="H464" s="32"/>
      <c r="I464" s="32"/>
      <c r="J464" s="32"/>
      <c r="K464" s="42" t="e">
        <f>INDEX(Input!$D$2:$AC$500,
       MATCH(B464, Input!$J$2:$J$500, 0),
       MATCH("Total Memory", Input!$D$1:$AC$1, 0))</f>
        <v>#N/A</v>
      </c>
      <c r="L464" s="42"/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e">
        <f t="shared" si="23"/>
        <v>#N/A</v>
      </c>
      <c r="O464" s="42" t="e">
        <f>INDEX(Input!$D$2:$AC$500,
       MATCH(B464, Input!$J$2:$J$500, 0),
       MATCH("Disk Interface Type", Input!$D$1:$AC$1, 0))</f>
        <v>#N/A</v>
      </c>
      <c r="P464" s="42" t="str" cm="1">
        <f t="array" ref="P464">IFERROR(_xlfn.TEXTJOIN(", ", TRUE, _xlfn._xlws.FILTER(
    INDEX(Input!$D$2:$AC$500,,MATCH("Disk Capacity",Input!$D$1:$AC$1,0)),
    Input!$J$2:$J$500=B464
)), "")</f>
        <v/>
      </c>
      <c r="Q464" s="32" t="e">
        <f t="shared" si="22"/>
        <v>#N/A</v>
      </c>
      <c r="R464" s="42" t="e">
        <f>_xlfn.LET(_xlpm.Result,INDEX(Input!$D$2:$AC$500,
       MATCH(B464, Input!$J$2:$J$500, 0),
       MATCH("Capacity", Input!$D$1:$AC$1, 0)),IF(_xlpm.Result="","",_xlpm.Result))</f>
        <v>#N/A</v>
      </c>
      <c r="S464" s="42"/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/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/>
      <c r="AG464" s="32"/>
      <c r="AH464" s="32"/>
      <c r="AI464" s="32"/>
      <c r="AJ464" s="32"/>
      <c r="AK464" s="32"/>
      <c r="AL464" s="32"/>
      <c r="AM464" s="32"/>
    </row>
    <row r="465" spans="1:39">
      <c r="A465" s="32" t="str">
        <f>_xlfn.XLOOKUP(B465,Input!J:J,Input!G:G)&amp;""</f>
        <v/>
      </c>
      <c r="B465" s="32"/>
      <c r="C465" s="32" t="str">
        <f>_xlfn.XLOOKUP(B465,Input!J:J,Input!H:H)&amp;""</f>
        <v/>
      </c>
      <c r="D465" s="42">
        <f>_xlfn.XLOOKUP(B465,Input!J:J,Input!F:F)</f>
        <v>0</v>
      </c>
      <c r="E465" s="32">
        <f>_xlfn.XLOOKUP(D465,Models!H:H,Models!G:G,D465)</f>
        <v>0</v>
      </c>
      <c r="F465" s="32">
        <f>_xlfn.XLOOKUP(B465,Input!J:J,Input!E:E)</f>
        <v>0</v>
      </c>
      <c r="G465" s="32">
        <f>IF(F465="LENOVO",_xlfn.XLOOKUP(B465,Input!J:J,Input!K:K),_xlfn.XLOOKUP(B465,Input!J:J,Input!L:L))</f>
        <v>0</v>
      </c>
      <c r="H465" s="32"/>
      <c r="I465" s="32"/>
      <c r="J465" s="32"/>
      <c r="K465" s="42" t="e">
        <f>INDEX(Input!$D$2:$AC$500,
       MATCH(B465, Input!$J$2:$J$500, 0),
       MATCH("Total Memory", Input!$D$1:$AC$1, 0))</f>
        <v>#N/A</v>
      </c>
      <c r="L465" s="42"/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e">
        <f t="shared" si="23"/>
        <v>#N/A</v>
      </c>
      <c r="O465" s="42" t="e">
        <f>INDEX(Input!$D$2:$AC$500,
       MATCH(B465, Input!$J$2:$J$500, 0),
       MATCH("Disk Interface Type", Input!$D$1:$AC$1, 0))</f>
        <v>#N/A</v>
      </c>
      <c r="P465" s="42" t="str" cm="1">
        <f t="array" ref="P465">IFERROR(_xlfn.TEXTJOIN(", ", TRUE, _xlfn._xlws.FILTER(
    INDEX(Input!$D$2:$AC$500,,MATCH("Disk Capacity",Input!$D$1:$AC$1,0)),
    Input!$J$2:$J$500=B465
)), "")</f>
        <v/>
      </c>
      <c r="Q465" s="32" t="e">
        <f t="shared" si="22"/>
        <v>#N/A</v>
      </c>
      <c r="R465" s="42" t="e">
        <f>_xlfn.LET(_xlpm.Result,INDEX(Input!$D$2:$AC$500,
       MATCH(B465, Input!$J$2:$J$500, 0),
       MATCH("Capacity", Input!$D$1:$AC$1, 0)),IF(_xlpm.Result="","",_xlpm.Result))</f>
        <v>#N/A</v>
      </c>
      <c r="S465" s="42"/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/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/>
      <c r="AG465" s="32"/>
      <c r="AH465" s="32"/>
      <c r="AI465" s="32"/>
      <c r="AJ465" s="32"/>
      <c r="AK465" s="32"/>
      <c r="AL465" s="32"/>
      <c r="AM465" s="32"/>
    </row>
    <row r="466" spans="1:39">
      <c r="A466" s="32" t="str">
        <f>_xlfn.XLOOKUP(B466,Input!J:J,Input!G:G)&amp;""</f>
        <v/>
      </c>
      <c r="B466" s="32"/>
      <c r="C466" s="32" t="str">
        <f>_xlfn.XLOOKUP(B466,Input!J:J,Input!H:H)&amp;""</f>
        <v/>
      </c>
      <c r="D466" s="42">
        <f>_xlfn.XLOOKUP(B466,Input!J:J,Input!F:F)</f>
        <v>0</v>
      </c>
      <c r="E466" s="32">
        <f>_xlfn.XLOOKUP(D466,Models!H:H,Models!G:G,D466)</f>
        <v>0</v>
      </c>
      <c r="F466" s="32">
        <f>_xlfn.XLOOKUP(B466,Input!J:J,Input!E:E)</f>
        <v>0</v>
      </c>
      <c r="G466" s="32">
        <f>IF(F466="LENOVO",_xlfn.XLOOKUP(B466,Input!J:J,Input!K:K),_xlfn.XLOOKUP(B466,Input!J:J,Input!L:L))</f>
        <v>0</v>
      </c>
      <c r="H466" s="32"/>
      <c r="I466" s="32"/>
      <c r="J466" s="32"/>
      <c r="K466" s="42" t="e">
        <f>INDEX(Input!$D$2:$AC$500,
       MATCH(B466, Input!$J$2:$J$500, 0),
       MATCH("Total Memory", Input!$D$1:$AC$1, 0))</f>
        <v>#N/A</v>
      </c>
      <c r="L466" s="42"/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e">
        <f t="shared" si="23"/>
        <v>#N/A</v>
      </c>
      <c r="O466" s="42" t="e">
        <f>INDEX(Input!$D$2:$AC$500,
       MATCH(B466, Input!$J$2:$J$500, 0),
       MATCH("Disk Interface Type", Input!$D$1:$AC$1, 0))</f>
        <v>#N/A</v>
      </c>
      <c r="P466" s="42" t="str" cm="1">
        <f t="array" ref="P466">IFERROR(_xlfn.TEXTJOIN(", ", TRUE, _xlfn._xlws.FILTER(
    INDEX(Input!$D$2:$AC$500,,MATCH("Disk Capacity",Input!$D$1:$AC$1,0)),
    Input!$J$2:$J$500=B466
)), "")</f>
        <v/>
      </c>
      <c r="Q466" s="32" t="e">
        <f t="shared" si="22"/>
        <v>#N/A</v>
      </c>
      <c r="R466" s="42" t="e">
        <f>_xlfn.LET(_xlpm.Result,INDEX(Input!$D$2:$AC$500,
       MATCH(B466, Input!$J$2:$J$500, 0),
       MATCH("Capacity", Input!$D$1:$AC$1, 0)),IF(_xlpm.Result="","",_xlpm.Result))</f>
        <v>#N/A</v>
      </c>
      <c r="S466" s="42"/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/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/>
      <c r="AG466" s="32"/>
      <c r="AH466" s="32"/>
      <c r="AI466" s="32"/>
      <c r="AJ466" s="32"/>
      <c r="AK466" s="32"/>
      <c r="AL466" s="32"/>
      <c r="AM466" s="32"/>
    </row>
    <row r="467" spans="1:39">
      <c r="A467" s="32" t="str">
        <f>_xlfn.XLOOKUP(B467,Input!J:J,Input!G:G)&amp;""</f>
        <v/>
      </c>
      <c r="B467" s="32"/>
      <c r="C467" s="32" t="str">
        <f>_xlfn.XLOOKUP(B467,Input!J:J,Input!H:H)&amp;""</f>
        <v/>
      </c>
      <c r="D467" s="42">
        <f>_xlfn.XLOOKUP(B467,Input!J:J,Input!F:F)</f>
        <v>0</v>
      </c>
      <c r="E467" s="32">
        <f>_xlfn.XLOOKUP(D467,Models!H:H,Models!G:G,D467)</f>
        <v>0</v>
      </c>
      <c r="F467" s="32">
        <f>_xlfn.XLOOKUP(B467,Input!J:J,Input!E:E)</f>
        <v>0</v>
      </c>
      <c r="G467" s="32">
        <f>IF(F467="LENOVO",_xlfn.XLOOKUP(B467,Input!J:J,Input!K:K),_xlfn.XLOOKUP(B467,Input!J:J,Input!L:L))</f>
        <v>0</v>
      </c>
      <c r="H467" s="32"/>
      <c r="I467" s="32"/>
      <c r="J467" s="32"/>
      <c r="K467" s="42" t="e">
        <f>INDEX(Input!$D$2:$AC$500,
       MATCH(B467, Input!$J$2:$J$500, 0),
       MATCH("Total Memory", Input!$D$1:$AC$1, 0))</f>
        <v>#N/A</v>
      </c>
      <c r="L467" s="42"/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e">
        <f t="shared" si="23"/>
        <v>#N/A</v>
      </c>
      <c r="O467" s="42" t="e">
        <f>INDEX(Input!$D$2:$AC$500,
       MATCH(B467, Input!$J$2:$J$500, 0),
       MATCH("Disk Interface Type", Input!$D$1:$AC$1, 0))</f>
        <v>#N/A</v>
      </c>
      <c r="P467" s="42" t="str" cm="1">
        <f t="array" ref="P467">IFERROR(_xlfn.TEXTJOIN(", ", TRUE, _xlfn._xlws.FILTER(
    INDEX(Input!$D$2:$AC$500,,MATCH("Disk Capacity",Input!$D$1:$AC$1,0)),
    Input!$J$2:$J$500=B467
)), "")</f>
        <v/>
      </c>
      <c r="Q467" s="32" t="e">
        <f t="shared" si="22"/>
        <v>#N/A</v>
      </c>
      <c r="R467" s="42" t="e">
        <f>_xlfn.LET(_xlpm.Result,INDEX(Input!$D$2:$AC$500,
       MATCH(B467, Input!$J$2:$J$500, 0),
       MATCH("Capacity", Input!$D$1:$AC$1, 0)),IF(_xlpm.Result="","",_xlpm.Result))</f>
        <v>#N/A</v>
      </c>
      <c r="S467" s="42"/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/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/>
      <c r="AG467" s="32"/>
      <c r="AH467" s="32"/>
      <c r="AI467" s="32"/>
      <c r="AJ467" s="32"/>
      <c r="AK467" s="32"/>
      <c r="AL467" s="32"/>
      <c r="AM467" s="32"/>
    </row>
    <row r="468" spans="1:39">
      <c r="A468" s="32" t="str">
        <f>_xlfn.XLOOKUP(B468,Input!J:J,Input!G:G)&amp;""</f>
        <v/>
      </c>
      <c r="B468" s="32"/>
      <c r="C468" s="32" t="str">
        <f>_xlfn.XLOOKUP(B468,Input!J:J,Input!H:H)&amp;""</f>
        <v/>
      </c>
      <c r="D468" s="42">
        <f>_xlfn.XLOOKUP(B468,Input!J:J,Input!F:F)</f>
        <v>0</v>
      </c>
      <c r="E468" s="32">
        <f>_xlfn.XLOOKUP(D468,Models!H:H,Models!G:G,D468)</f>
        <v>0</v>
      </c>
      <c r="F468" s="32">
        <f>_xlfn.XLOOKUP(B468,Input!J:J,Input!E:E)</f>
        <v>0</v>
      </c>
      <c r="G468" s="32">
        <f>IF(F468="LENOVO",_xlfn.XLOOKUP(B468,Input!J:J,Input!K:K),_xlfn.XLOOKUP(B468,Input!J:J,Input!L:L))</f>
        <v>0</v>
      </c>
      <c r="H468" s="32"/>
      <c r="I468" s="32"/>
      <c r="J468" s="32"/>
      <c r="K468" s="42" t="e">
        <f>INDEX(Input!$D$2:$AC$500,
       MATCH(B468, Input!$J$2:$J$500, 0),
       MATCH("Total Memory", Input!$D$1:$AC$1, 0))</f>
        <v>#N/A</v>
      </c>
      <c r="L468" s="42"/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e">
        <f t="shared" si="23"/>
        <v>#N/A</v>
      </c>
      <c r="O468" s="42" t="e">
        <f>INDEX(Input!$D$2:$AC$500,
       MATCH(B468, Input!$J$2:$J$500, 0),
       MATCH("Disk Interface Type", Input!$D$1:$AC$1, 0))</f>
        <v>#N/A</v>
      </c>
      <c r="P468" s="42" t="str" cm="1">
        <f t="array" ref="P468">IFERROR(_xlfn.TEXTJOIN(", ", TRUE, _xlfn._xlws.FILTER(
    INDEX(Input!$D$2:$AC$500,,MATCH("Disk Capacity",Input!$D$1:$AC$1,0)),
    Input!$J$2:$J$500=B468
)), "")</f>
        <v/>
      </c>
      <c r="Q468" s="32" t="e">
        <f t="shared" si="22"/>
        <v>#N/A</v>
      </c>
      <c r="R468" s="42" t="e">
        <f>_xlfn.LET(_xlpm.Result,INDEX(Input!$D$2:$AC$500,
       MATCH(B468, Input!$J$2:$J$500, 0),
       MATCH("Capacity", Input!$D$1:$AC$1, 0)),IF(_xlpm.Result="","",_xlpm.Result))</f>
        <v>#N/A</v>
      </c>
      <c r="S468" s="42"/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/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/>
      <c r="AG468" s="32"/>
      <c r="AH468" s="32"/>
      <c r="AI468" s="32"/>
      <c r="AJ468" s="32"/>
      <c r="AK468" s="32"/>
      <c r="AL468" s="32"/>
      <c r="AM468" s="32"/>
    </row>
    <row r="469" spans="1:39">
      <c r="A469" s="32" t="str">
        <f>_xlfn.XLOOKUP(B469,Input!J:J,Input!G:G)&amp;""</f>
        <v/>
      </c>
      <c r="B469" s="32"/>
      <c r="C469" s="32" t="str">
        <f>_xlfn.XLOOKUP(B469,Input!J:J,Input!H:H)&amp;""</f>
        <v/>
      </c>
      <c r="D469" s="42">
        <f>_xlfn.XLOOKUP(B469,Input!J:J,Input!F:F)</f>
        <v>0</v>
      </c>
      <c r="E469" s="32">
        <f>_xlfn.XLOOKUP(D469,Models!H:H,Models!G:G,D469)</f>
        <v>0</v>
      </c>
      <c r="F469" s="32">
        <f>_xlfn.XLOOKUP(B469,Input!J:J,Input!E:E)</f>
        <v>0</v>
      </c>
      <c r="G469" s="32">
        <f>IF(F469="LENOVO",_xlfn.XLOOKUP(B469,Input!J:J,Input!K:K),_xlfn.XLOOKUP(B469,Input!J:J,Input!L:L))</f>
        <v>0</v>
      </c>
      <c r="H469" s="32"/>
      <c r="I469" s="32"/>
      <c r="J469" s="32"/>
      <c r="K469" s="42" t="e">
        <f>INDEX(Input!$D$2:$AC$500,
       MATCH(B469, Input!$J$2:$J$500, 0),
       MATCH("Total Memory", Input!$D$1:$AC$1, 0))</f>
        <v>#N/A</v>
      </c>
      <c r="L469" s="42"/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e">
        <f t="shared" si="23"/>
        <v>#N/A</v>
      </c>
      <c r="O469" s="42" t="e">
        <f>INDEX(Input!$D$2:$AC$500,
       MATCH(B469, Input!$J$2:$J$500, 0),
       MATCH("Disk Interface Type", Input!$D$1:$AC$1, 0))</f>
        <v>#N/A</v>
      </c>
      <c r="P469" s="42" t="str" cm="1">
        <f t="array" ref="P469">IFERROR(_xlfn.TEXTJOIN(", ", TRUE, _xlfn._xlws.FILTER(
    INDEX(Input!$D$2:$AC$500,,MATCH("Disk Capacity",Input!$D$1:$AC$1,0)),
    Input!$J$2:$J$500=B469
)), "")</f>
        <v/>
      </c>
      <c r="Q469" s="32" t="e">
        <f t="shared" si="22"/>
        <v>#N/A</v>
      </c>
      <c r="R469" s="42" t="e">
        <f>_xlfn.LET(_xlpm.Result,INDEX(Input!$D$2:$AC$500,
       MATCH(B469, Input!$J$2:$J$500, 0),
       MATCH("Capacity", Input!$D$1:$AC$1, 0)),IF(_xlpm.Result="","",_xlpm.Result))</f>
        <v>#N/A</v>
      </c>
      <c r="S469" s="42"/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/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/>
      <c r="AG469" s="32"/>
      <c r="AH469" s="32"/>
      <c r="AI469" s="32"/>
      <c r="AJ469" s="32"/>
      <c r="AK469" s="32"/>
      <c r="AL469" s="32"/>
      <c r="AM469" s="32"/>
    </row>
    <row r="470" spans="1:39">
      <c r="A470" s="32" t="str">
        <f>_xlfn.XLOOKUP(B470,Input!J:J,Input!G:G)&amp;""</f>
        <v/>
      </c>
      <c r="B470" s="32"/>
      <c r="C470" s="32" t="str">
        <f>_xlfn.XLOOKUP(B470,Input!J:J,Input!H:H)&amp;""</f>
        <v/>
      </c>
      <c r="D470" s="42">
        <f>_xlfn.XLOOKUP(B470,Input!J:J,Input!F:F)</f>
        <v>0</v>
      </c>
      <c r="E470" s="32">
        <f>_xlfn.XLOOKUP(D470,Models!H:H,Models!G:G,D470)</f>
        <v>0</v>
      </c>
      <c r="F470" s="32">
        <f>_xlfn.XLOOKUP(B470,Input!J:J,Input!E:E)</f>
        <v>0</v>
      </c>
      <c r="G470" s="32">
        <f>IF(F470="LENOVO",_xlfn.XLOOKUP(B470,Input!J:J,Input!K:K),_xlfn.XLOOKUP(B470,Input!J:J,Input!L:L))</f>
        <v>0</v>
      </c>
      <c r="H470" s="32"/>
      <c r="I470" s="32"/>
      <c r="J470" s="32"/>
      <c r="K470" s="42" t="e">
        <f>INDEX(Input!$D$2:$AC$500,
       MATCH(B470, Input!$J$2:$J$500, 0),
       MATCH("Total Memory", Input!$D$1:$AC$1, 0))</f>
        <v>#N/A</v>
      </c>
      <c r="L470" s="42"/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e">
        <f t="shared" si="23"/>
        <v>#N/A</v>
      </c>
      <c r="O470" s="42" t="e">
        <f>INDEX(Input!$D$2:$AC$500,
       MATCH(B470, Input!$J$2:$J$500, 0),
       MATCH("Disk Interface Type", Input!$D$1:$AC$1, 0))</f>
        <v>#N/A</v>
      </c>
      <c r="P470" s="42" t="str" cm="1">
        <f t="array" ref="P470">IFERROR(_xlfn.TEXTJOIN(", ", TRUE, _xlfn._xlws.FILTER(
    INDEX(Input!$D$2:$AC$500,,MATCH("Disk Capacity",Input!$D$1:$AC$1,0)),
    Input!$J$2:$J$500=B470
)), "")</f>
        <v/>
      </c>
      <c r="Q470" s="32" t="e">
        <f t="shared" si="22"/>
        <v>#N/A</v>
      </c>
      <c r="R470" s="42" t="e">
        <f>_xlfn.LET(_xlpm.Result,INDEX(Input!$D$2:$AC$500,
       MATCH(B470, Input!$J$2:$J$500, 0),
       MATCH("Capacity", Input!$D$1:$AC$1, 0)),IF(_xlpm.Result="","",_xlpm.Result))</f>
        <v>#N/A</v>
      </c>
      <c r="S470" s="42"/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/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/>
      <c r="AG470" s="32"/>
      <c r="AH470" s="32"/>
      <c r="AI470" s="32"/>
      <c r="AJ470" s="32"/>
      <c r="AK470" s="32"/>
      <c r="AL470" s="32"/>
      <c r="AM470" s="32"/>
    </row>
    <row r="471" spans="1:39">
      <c r="A471" s="32" t="str">
        <f>_xlfn.XLOOKUP(B471,Input!J:J,Input!G:G)&amp;""</f>
        <v/>
      </c>
      <c r="B471" s="32"/>
      <c r="C471" s="32" t="str">
        <f>_xlfn.XLOOKUP(B471,Input!J:J,Input!H:H)&amp;""</f>
        <v/>
      </c>
      <c r="D471" s="42">
        <f>_xlfn.XLOOKUP(B471,Input!J:J,Input!F:F)</f>
        <v>0</v>
      </c>
      <c r="E471" s="32">
        <f>_xlfn.XLOOKUP(D471,Models!H:H,Models!G:G,D471)</f>
        <v>0</v>
      </c>
      <c r="F471" s="32">
        <f>_xlfn.XLOOKUP(B471,Input!J:J,Input!E:E)</f>
        <v>0</v>
      </c>
      <c r="G471" s="32">
        <f>IF(F471="LENOVO",_xlfn.XLOOKUP(B471,Input!J:J,Input!K:K),_xlfn.XLOOKUP(B471,Input!J:J,Input!L:L))</f>
        <v>0</v>
      </c>
      <c r="H471" s="32"/>
      <c r="I471" s="32"/>
      <c r="J471" s="32"/>
      <c r="K471" s="42" t="e">
        <f>INDEX(Input!$D$2:$AC$500,
       MATCH(B471, Input!$J$2:$J$500, 0),
       MATCH("Total Memory", Input!$D$1:$AC$1, 0))</f>
        <v>#N/A</v>
      </c>
      <c r="L471" s="42"/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e">
        <f t="shared" si="23"/>
        <v>#N/A</v>
      </c>
      <c r="O471" s="42" t="e">
        <f>INDEX(Input!$D$2:$AC$500,
       MATCH(B471, Input!$J$2:$J$500, 0),
       MATCH("Disk Interface Type", Input!$D$1:$AC$1, 0))</f>
        <v>#N/A</v>
      </c>
      <c r="P471" s="42" t="str" cm="1">
        <f t="array" ref="P471">IFERROR(_xlfn.TEXTJOIN(", ", TRUE, _xlfn._xlws.FILTER(
    INDEX(Input!$D$2:$AC$500,,MATCH("Disk Capacity",Input!$D$1:$AC$1,0)),
    Input!$J$2:$J$500=B471
)), "")</f>
        <v/>
      </c>
      <c r="Q471" s="32" t="e">
        <f t="shared" si="22"/>
        <v>#N/A</v>
      </c>
      <c r="R471" s="42" t="e">
        <f>_xlfn.LET(_xlpm.Result,INDEX(Input!$D$2:$AC$500,
       MATCH(B471, Input!$J$2:$J$500, 0),
       MATCH("Capacity", Input!$D$1:$AC$1, 0)),IF(_xlpm.Result="","",_xlpm.Result))</f>
        <v>#N/A</v>
      </c>
      <c r="S471" s="42"/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/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/>
      <c r="AG471" s="32"/>
      <c r="AH471" s="32"/>
      <c r="AI471" s="32"/>
      <c r="AJ471" s="32"/>
      <c r="AK471" s="32"/>
      <c r="AL471" s="32"/>
      <c r="AM471" s="32"/>
    </row>
    <row r="472" spans="1:39">
      <c r="A472" s="32" t="str">
        <f>_xlfn.XLOOKUP(B472,Input!J:J,Input!G:G)&amp;""</f>
        <v/>
      </c>
      <c r="B472" s="32"/>
      <c r="C472" s="32" t="str">
        <f>_xlfn.XLOOKUP(B472,Input!J:J,Input!H:H)&amp;""</f>
        <v/>
      </c>
      <c r="D472" s="42">
        <f>_xlfn.XLOOKUP(B472,Input!J:J,Input!F:F)</f>
        <v>0</v>
      </c>
      <c r="E472" s="32">
        <f>_xlfn.XLOOKUP(D472,Models!H:H,Models!G:G,D472)</f>
        <v>0</v>
      </c>
      <c r="F472" s="32">
        <f>_xlfn.XLOOKUP(B472,Input!J:J,Input!E:E)</f>
        <v>0</v>
      </c>
      <c r="G472" s="32">
        <f>IF(F472="LENOVO",_xlfn.XLOOKUP(B472,Input!J:J,Input!K:K),_xlfn.XLOOKUP(B472,Input!J:J,Input!L:L))</f>
        <v>0</v>
      </c>
      <c r="H472" s="32"/>
      <c r="I472" s="32"/>
      <c r="J472" s="32"/>
      <c r="K472" s="42" t="e">
        <f>INDEX(Input!$D$2:$AC$500,
       MATCH(B472, Input!$J$2:$J$500, 0),
       MATCH("Total Memory", Input!$D$1:$AC$1, 0))</f>
        <v>#N/A</v>
      </c>
      <c r="L472" s="42"/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e">
        <f t="shared" si="23"/>
        <v>#N/A</v>
      </c>
      <c r="O472" s="42" t="e">
        <f>INDEX(Input!$D$2:$AC$500,
       MATCH(B472, Input!$J$2:$J$500, 0),
       MATCH("Disk Interface Type", Input!$D$1:$AC$1, 0))</f>
        <v>#N/A</v>
      </c>
      <c r="P472" s="42" t="str" cm="1">
        <f t="array" ref="P472">IFERROR(_xlfn.TEXTJOIN(", ", TRUE, _xlfn._xlws.FILTER(
    INDEX(Input!$D$2:$AC$500,,MATCH("Disk Capacity",Input!$D$1:$AC$1,0)),
    Input!$J$2:$J$500=B472
)), "")</f>
        <v/>
      </c>
      <c r="Q472" s="32" t="e">
        <f t="shared" si="22"/>
        <v>#N/A</v>
      </c>
      <c r="R472" s="42" t="e">
        <f>_xlfn.LET(_xlpm.Result,INDEX(Input!$D$2:$AC$500,
       MATCH(B472, Input!$J$2:$J$500, 0),
       MATCH("Capacity", Input!$D$1:$AC$1, 0)),IF(_xlpm.Result="","",_xlpm.Result))</f>
        <v>#N/A</v>
      </c>
      <c r="S472" s="42"/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/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/>
      <c r="AG472" s="32"/>
      <c r="AH472" s="32"/>
      <c r="AI472" s="32"/>
      <c r="AJ472" s="32"/>
      <c r="AK472" s="32"/>
      <c r="AL472" s="32"/>
      <c r="AM472" s="32"/>
    </row>
    <row r="473" spans="1:39">
      <c r="A473" s="32" t="str">
        <f>_xlfn.XLOOKUP(B473,Input!J:J,Input!G:G)&amp;""</f>
        <v/>
      </c>
      <c r="B473" s="32"/>
      <c r="C473" s="32" t="str">
        <f>_xlfn.XLOOKUP(B473,Input!J:J,Input!H:H)&amp;""</f>
        <v/>
      </c>
      <c r="D473" s="42">
        <f>_xlfn.XLOOKUP(B473,Input!J:J,Input!F:F)</f>
        <v>0</v>
      </c>
      <c r="E473" s="32">
        <f>_xlfn.XLOOKUP(D473,Models!H:H,Models!G:G,D473)</f>
        <v>0</v>
      </c>
      <c r="F473" s="32">
        <f>_xlfn.XLOOKUP(B473,Input!J:J,Input!E:E)</f>
        <v>0</v>
      </c>
      <c r="G473" s="32">
        <f>IF(F473="LENOVO",_xlfn.XLOOKUP(B473,Input!J:J,Input!K:K),_xlfn.XLOOKUP(B473,Input!J:J,Input!L:L))</f>
        <v>0</v>
      </c>
      <c r="H473" s="32"/>
      <c r="I473" s="32"/>
      <c r="J473" s="32"/>
      <c r="K473" s="42" t="e">
        <f>INDEX(Input!$D$2:$AC$500,
       MATCH(B473, Input!$J$2:$J$500, 0),
       MATCH("Total Memory", Input!$D$1:$AC$1, 0))</f>
        <v>#N/A</v>
      </c>
      <c r="L473" s="42"/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e">
        <f t="shared" si="23"/>
        <v>#N/A</v>
      </c>
      <c r="O473" s="42" t="e">
        <f>INDEX(Input!$D$2:$AC$500,
       MATCH(B473, Input!$J$2:$J$500, 0),
       MATCH("Disk Interface Type", Input!$D$1:$AC$1, 0))</f>
        <v>#N/A</v>
      </c>
      <c r="P473" s="42" t="str" cm="1">
        <f t="array" ref="P473">IFERROR(_xlfn.TEXTJOIN(", ", TRUE, _xlfn._xlws.FILTER(
    INDEX(Input!$D$2:$AC$500,,MATCH("Disk Capacity",Input!$D$1:$AC$1,0)),
    Input!$J$2:$J$500=B473
)), "")</f>
        <v/>
      </c>
      <c r="Q473" s="32" t="e">
        <f t="shared" si="22"/>
        <v>#N/A</v>
      </c>
      <c r="R473" s="42" t="e">
        <f>_xlfn.LET(_xlpm.Result,INDEX(Input!$D$2:$AC$500,
       MATCH(B473, Input!$J$2:$J$500, 0),
       MATCH("Capacity", Input!$D$1:$AC$1, 0)),IF(_xlpm.Result="","",_xlpm.Result))</f>
        <v>#N/A</v>
      </c>
      <c r="S473" s="42"/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/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/>
      <c r="AG473" s="32"/>
      <c r="AH473" s="32"/>
      <c r="AI473" s="32"/>
      <c r="AJ473" s="32"/>
      <c r="AK473" s="32"/>
      <c r="AL473" s="32"/>
      <c r="AM473" s="32"/>
    </row>
    <row r="474" spans="1:39">
      <c r="A474" s="32" t="str">
        <f>_xlfn.XLOOKUP(B474,Input!J:J,Input!G:G)&amp;""</f>
        <v/>
      </c>
      <c r="B474" s="32"/>
      <c r="C474" s="32" t="str">
        <f>_xlfn.XLOOKUP(B474,Input!J:J,Input!H:H)&amp;""</f>
        <v/>
      </c>
      <c r="D474" s="42">
        <f>_xlfn.XLOOKUP(B474,Input!J:J,Input!F:F)</f>
        <v>0</v>
      </c>
      <c r="E474" s="32">
        <f>_xlfn.XLOOKUP(D474,Models!H:H,Models!G:G,D474)</f>
        <v>0</v>
      </c>
      <c r="F474" s="32">
        <f>_xlfn.XLOOKUP(B474,Input!J:J,Input!E:E)</f>
        <v>0</v>
      </c>
      <c r="G474" s="32">
        <f>IF(F474="LENOVO",_xlfn.XLOOKUP(B474,Input!J:J,Input!K:K),_xlfn.XLOOKUP(B474,Input!J:J,Input!L:L))</f>
        <v>0</v>
      </c>
      <c r="H474" s="32"/>
      <c r="I474" s="32"/>
      <c r="J474" s="32"/>
      <c r="K474" s="42" t="e">
        <f>INDEX(Input!$D$2:$AC$500,
       MATCH(B474, Input!$J$2:$J$500, 0),
       MATCH("Total Memory", Input!$D$1:$AC$1, 0))</f>
        <v>#N/A</v>
      </c>
      <c r="L474" s="42"/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e">
        <f t="shared" si="23"/>
        <v>#N/A</v>
      </c>
      <c r="O474" s="42" t="e">
        <f>INDEX(Input!$D$2:$AC$500,
       MATCH(B474, Input!$J$2:$J$500, 0),
       MATCH("Disk Interface Type", Input!$D$1:$AC$1, 0))</f>
        <v>#N/A</v>
      </c>
      <c r="P474" s="42" t="str" cm="1">
        <f t="array" ref="P474">IFERROR(_xlfn.TEXTJOIN(", ", TRUE, _xlfn._xlws.FILTER(
    INDEX(Input!$D$2:$AC$500,,MATCH("Disk Capacity",Input!$D$1:$AC$1,0)),
    Input!$J$2:$J$500=B474
)), "")</f>
        <v/>
      </c>
      <c r="Q474" s="32" t="e">
        <f t="shared" si="22"/>
        <v>#N/A</v>
      </c>
      <c r="R474" s="42" t="e">
        <f>_xlfn.LET(_xlpm.Result,INDEX(Input!$D$2:$AC$500,
       MATCH(B474, Input!$J$2:$J$500, 0),
       MATCH("Capacity", Input!$D$1:$AC$1, 0)),IF(_xlpm.Result="","",_xlpm.Result))</f>
        <v>#N/A</v>
      </c>
      <c r="S474" s="42"/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/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/>
      <c r="AG474" s="32"/>
      <c r="AH474" s="32"/>
      <c r="AI474" s="32"/>
      <c r="AJ474" s="32"/>
      <c r="AK474" s="32"/>
      <c r="AL474" s="32"/>
      <c r="AM474" s="32"/>
    </row>
    <row r="475" spans="1:39">
      <c r="A475" s="32" t="str">
        <f>_xlfn.XLOOKUP(B475,Input!J:J,Input!G:G)&amp;""</f>
        <v/>
      </c>
      <c r="B475" s="32"/>
      <c r="C475" s="32" t="str">
        <f>_xlfn.XLOOKUP(B475,Input!J:J,Input!H:H)&amp;""</f>
        <v/>
      </c>
      <c r="D475" s="42">
        <f>_xlfn.XLOOKUP(B475,Input!J:J,Input!F:F)</f>
        <v>0</v>
      </c>
      <c r="E475" s="32">
        <f>_xlfn.XLOOKUP(D475,Models!H:H,Models!G:G,D475)</f>
        <v>0</v>
      </c>
      <c r="F475" s="32">
        <f>_xlfn.XLOOKUP(B475,Input!J:J,Input!E:E)</f>
        <v>0</v>
      </c>
      <c r="G475" s="32">
        <f>IF(F475="LENOVO",_xlfn.XLOOKUP(B475,Input!J:J,Input!K:K),_xlfn.XLOOKUP(B475,Input!J:J,Input!L:L))</f>
        <v>0</v>
      </c>
      <c r="H475" s="32"/>
      <c r="I475" s="32"/>
      <c r="J475" s="32"/>
      <c r="K475" s="42" t="e">
        <f>INDEX(Input!$D$2:$AC$500,
       MATCH(B475, Input!$J$2:$J$500, 0),
       MATCH("Total Memory", Input!$D$1:$AC$1, 0))</f>
        <v>#N/A</v>
      </c>
      <c r="L475" s="42"/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e">
        <f t="shared" si="23"/>
        <v>#N/A</v>
      </c>
      <c r="O475" s="42" t="e">
        <f>INDEX(Input!$D$2:$AC$500,
       MATCH(B475, Input!$J$2:$J$500, 0),
       MATCH("Disk Interface Type", Input!$D$1:$AC$1, 0))</f>
        <v>#N/A</v>
      </c>
      <c r="P475" s="42" t="str" cm="1">
        <f t="array" ref="P475">IFERROR(_xlfn.TEXTJOIN(", ", TRUE, _xlfn._xlws.FILTER(
    INDEX(Input!$D$2:$AC$500,,MATCH("Disk Capacity",Input!$D$1:$AC$1,0)),
    Input!$J$2:$J$500=B475
)), "")</f>
        <v/>
      </c>
      <c r="Q475" s="32" t="e">
        <f t="shared" si="22"/>
        <v>#N/A</v>
      </c>
      <c r="R475" s="42" t="e">
        <f>_xlfn.LET(_xlpm.Result,INDEX(Input!$D$2:$AC$500,
       MATCH(B475, Input!$J$2:$J$500, 0),
       MATCH("Capacity", Input!$D$1:$AC$1, 0)),IF(_xlpm.Result="","",_xlpm.Result))</f>
        <v>#N/A</v>
      </c>
      <c r="S475" s="42"/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/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/>
      <c r="AG475" s="32"/>
      <c r="AH475" s="32"/>
      <c r="AI475" s="32"/>
      <c r="AJ475" s="32"/>
      <c r="AK475" s="32"/>
      <c r="AL475" s="32"/>
      <c r="AM475" s="32"/>
    </row>
    <row r="476" spans="1:39">
      <c r="A476" s="32" t="str">
        <f>_xlfn.XLOOKUP(B476,Input!J:J,Input!G:G)&amp;""</f>
        <v/>
      </c>
      <c r="B476" s="32"/>
      <c r="C476" s="32" t="str">
        <f>_xlfn.XLOOKUP(B476,Input!J:J,Input!H:H)&amp;""</f>
        <v/>
      </c>
      <c r="D476" s="42">
        <f>_xlfn.XLOOKUP(B476,Input!J:J,Input!F:F)</f>
        <v>0</v>
      </c>
      <c r="E476" s="32">
        <f>_xlfn.XLOOKUP(D476,Models!H:H,Models!G:G,D476)</f>
        <v>0</v>
      </c>
      <c r="F476" s="32">
        <f>_xlfn.XLOOKUP(B476,Input!J:J,Input!E:E)</f>
        <v>0</v>
      </c>
      <c r="G476" s="32">
        <f>IF(F476="LENOVO",_xlfn.XLOOKUP(B476,Input!J:J,Input!K:K),_xlfn.XLOOKUP(B476,Input!J:J,Input!L:L))</f>
        <v>0</v>
      </c>
      <c r="H476" s="32"/>
      <c r="I476" s="32"/>
      <c r="J476" s="32"/>
      <c r="K476" s="42" t="e">
        <f>INDEX(Input!$D$2:$AC$500,
       MATCH(B476, Input!$J$2:$J$500, 0),
       MATCH("Total Memory", Input!$D$1:$AC$1, 0))</f>
        <v>#N/A</v>
      </c>
      <c r="L476" s="42"/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e">
        <f t="shared" si="23"/>
        <v>#N/A</v>
      </c>
      <c r="O476" s="42" t="e">
        <f>INDEX(Input!$D$2:$AC$500,
       MATCH(B476, Input!$J$2:$J$500, 0),
       MATCH("Disk Interface Type", Input!$D$1:$AC$1, 0))</f>
        <v>#N/A</v>
      </c>
      <c r="P476" s="42" t="str" cm="1">
        <f t="array" ref="P476">IFERROR(_xlfn.TEXTJOIN(", ", TRUE, _xlfn._xlws.FILTER(
    INDEX(Input!$D$2:$AC$500,,MATCH("Disk Capacity",Input!$D$1:$AC$1,0)),
    Input!$J$2:$J$500=B476
)), "")</f>
        <v/>
      </c>
      <c r="Q476" s="32" t="e">
        <f t="shared" si="22"/>
        <v>#N/A</v>
      </c>
      <c r="R476" s="42" t="e">
        <f>_xlfn.LET(_xlpm.Result,INDEX(Input!$D$2:$AC$500,
       MATCH(B476, Input!$J$2:$J$500, 0),
       MATCH("Capacity", Input!$D$1:$AC$1, 0)),IF(_xlpm.Result="","",_xlpm.Result))</f>
        <v>#N/A</v>
      </c>
      <c r="S476" s="42"/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/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/>
      <c r="AG476" s="32"/>
      <c r="AH476" s="32"/>
      <c r="AI476" s="32"/>
      <c r="AJ476" s="32"/>
      <c r="AK476" s="32"/>
      <c r="AL476" s="32"/>
      <c r="AM476" s="32"/>
    </row>
    <row r="477" spans="1:39">
      <c r="A477" s="32" t="str">
        <f>_xlfn.XLOOKUP(B477,Input!J:J,Input!G:G)&amp;""</f>
        <v/>
      </c>
      <c r="B477" s="32"/>
      <c r="C477" s="32" t="str">
        <f>_xlfn.XLOOKUP(B477,Input!J:J,Input!H:H)&amp;""</f>
        <v/>
      </c>
      <c r="D477" s="42">
        <f>_xlfn.XLOOKUP(B477,Input!J:J,Input!F:F)</f>
        <v>0</v>
      </c>
      <c r="E477" s="32">
        <f>_xlfn.XLOOKUP(D477,Models!H:H,Models!G:G,D477)</f>
        <v>0</v>
      </c>
      <c r="F477" s="32">
        <f>_xlfn.XLOOKUP(B477,Input!J:J,Input!E:E)</f>
        <v>0</v>
      </c>
      <c r="G477" s="32">
        <f>IF(F477="LENOVO",_xlfn.XLOOKUP(B477,Input!J:J,Input!K:K),_xlfn.XLOOKUP(B477,Input!J:J,Input!L:L))</f>
        <v>0</v>
      </c>
      <c r="H477" s="32"/>
      <c r="I477" s="32"/>
      <c r="J477" s="32"/>
      <c r="K477" s="42" t="e">
        <f>INDEX(Input!$D$2:$AC$500,
       MATCH(B477, Input!$J$2:$J$500, 0),
       MATCH("Total Memory", Input!$D$1:$AC$1, 0))</f>
        <v>#N/A</v>
      </c>
      <c r="L477" s="42"/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e">
        <f t="shared" si="23"/>
        <v>#N/A</v>
      </c>
      <c r="O477" s="42" t="e">
        <f>INDEX(Input!$D$2:$AC$500,
       MATCH(B477, Input!$J$2:$J$500, 0),
       MATCH("Disk Interface Type", Input!$D$1:$AC$1, 0))</f>
        <v>#N/A</v>
      </c>
      <c r="P477" s="42" t="str" cm="1">
        <f t="array" ref="P477">IFERROR(_xlfn.TEXTJOIN(", ", TRUE, _xlfn._xlws.FILTER(
    INDEX(Input!$D$2:$AC$500,,MATCH("Disk Capacity",Input!$D$1:$AC$1,0)),
    Input!$J$2:$J$500=B477
)), "")</f>
        <v/>
      </c>
      <c r="Q477" s="32" t="e">
        <f t="shared" si="22"/>
        <v>#N/A</v>
      </c>
      <c r="R477" s="42" t="e">
        <f>_xlfn.LET(_xlpm.Result,INDEX(Input!$D$2:$AC$500,
       MATCH(B477, Input!$J$2:$J$500, 0),
       MATCH("Capacity", Input!$D$1:$AC$1, 0)),IF(_xlpm.Result="","",_xlpm.Result))</f>
        <v>#N/A</v>
      </c>
      <c r="S477" s="42"/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/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/>
      <c r="AG477" s="32"/>
      <c r="AH477" s="32"/>
      <c r="AI477" s="32"/>
      <c r="AJ477" s="32"/>
      <c r="AK477" s="32"/>
      <c r="AL477" s="32"/>
      <c r="AM477" s="32"/>
    </row>
    <row r="478" spans="1:39">
      <c r="A478" s="32" t="str">
        <f>_xlfn.XLOOKUP(B478,Input!J:J,Input!G:G)&amp;""</f>
        <v/>
      </c>
      <c r="B478" s="32"/>
      <c r="C478" s="32" t="str">
        <f>_xlfn.XLOOKUP(B478,Input!J:J,Input!H:H)&amp;""</f>
        <v/>
      </c>
      <c r="D478" s="42">
        <f>_xlfn.XLOOKUP(B478,Input!J:J,Input!F:F)</f>
        <v>0</v>
      </c>
      <c r="E478" s="32">
        <f>_xlfn.XLOOKUP(D478,Models!H:H,Models!G:G,D478)</f>
        <v>0</v>
      </c>
      <c r="F478" s="32">
        <f>_xlfn.XLOOKUP(B478,Input!J:J,Input!E:E)</f>
        <v>0</v>
      </c>
      <c r="G478" s="32">
        <f>IF(F478="LENOVO",_xlfn.XLOOKUP(B478,Input!J:J,Input!K:K),_xlfn.XLOOKUP(B478,Input!J:J,Input!L:L))</f>
        <v>0</v>
      </c>
      <c r="H478" s="32"/>
      <c r="I478" s="32"/>
      <c r="J478" s="32"/>
      <c r="K478" s="42" t="e">
        <f>INDEX(Input!$D$2:$AC$500,
       MATCH(B478, Input!$J$2:$J$500, 0),
       MATCH("Total Memory", Input!$D$1:$AC$1, 0))</f>
        <v>#N/A</v>
      </c>
      <c r="L478" s="42"/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e">
        <f t="shared" si="23"/>
        <v>#N/A</v>
      </c>
      <c r="O478" s="42" t="e">
        <f>INDEX(Input!$D$2:$AC$500,
       MATCH(B478, Input!$J$2:$J$500, 0),
       MATCH("Disk Interface Type", Input!$D$1:$AC$1, 0))</f>
        <v>#N/A</v>
      </c>
      <c r="P478" s="42" t="str" cm="1">
        <f t="array" ref="P478">IFERROR(_xlfn.TEXTJOIN(", ", TRUE, _xlfn._xlws.FILTER(
    INDEX(Input!$D$2:$AC$500,,MATCH("Disk Capacity",Input!$D$1:$AC$1,0)),
    Input!$J$2:$J$500=B478
)), "")</f>
        <v/>
      </c>
      <c r="Q478" s="32" t="e">
        <f t="shared" si="22"/>
        <v>#N/A</v>
      </c>
      <c r="R478" s="42" t="e">
        <f>_xlfn.LET(_xlpm.Result,INDEX(Input!$D$2:$AC$500,
       MATCH(B478, Input!$J$2:$J$500, 0),
       MATCH("Capacity", Input!$D$1:$AC$1, 0)),IF(_xlpm.Result="","",_xlpm.Result))</f>
        <v>#N/A</v>
      </c>
      <c r="S478" s="42"/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/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/>
      <c r="AG478" s="32"/>
      <c r="AH478" s="32"/>
      <c r="AI478" s="32"/>
      <c r="AJ478" s="32"/>
      <c r="AK478" s="32"/>
      <c r="AL478" s="32"/>
      <c r="AM478" s="32"/>
    </row>
    <row r="479" spans="1:39">
      <c r="A479" s="32" t="str">
        <f>_xlfn.XLOOKUP(B479,Input!J:J,Input!G:G)&amp;""</f>
        <v/>
      </c>
      <c r="B479" s="32"/>
      <c r="C479" s="32" t="str">
        <f>_xlfn.XLOOKUP(B479,Input!J:J,Input!H:H)&amp;""</f>
        <v/>
      </c>
      <c r="D479" s="42">
        <f>_xlfn.XLOOKUP(B479,Input!J:J,Input!F:F)</f>
        <v>0</v>
      </c>
      <c r="E479" s="32">
        <f>_xlfn.XLOOKUP(D479,Models!H:H,Models!G:G,D479)</f>
        <v>0</v>
      </c>
      <c r="F479" s="32">
        <f>_xlfn.XLOOKUP(B479,Input!J:J,Input!E:E)</f>
        <v>0</v>
      </c>
      <c r="G479" s="32">
        <f>IF(F479="LENOVO",_xlfn.XLOOKUP(B479,Input!J:J,Input!K:K),_xlfn.XLOOKUP(B479,Input!J:J,Input!L:L))</f>
        <v>0</v>
      </c>
      <c r="H479" s="32"/>
      <c r="I479" s="32"/>
      <c r="J479" s="32"/>
      <c r="K479" s="42" t="e">
        <f>INDEX(Input!$D$2:$AC$500,
       MATCH(B479, Input!$J$2:$J$500, 0),
       MATCH("Total Memory", Input!$D$1:$AC$1, 0))</f>
        <v>#N/A</v>
      </c>
      <c r="L479" s="42"/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e">
        <f t="shared" si="23"/>
        <v>#N/A</v>
      </c>
      <c r="O479" s="42" t="e">
        <f>INDEX(Input!$D$2:$AC$500,
       MATCH(B479, Input!$J$2:$J$500, 0),
       MATCH("Disk Interface Type", Input!$D$1:$AC$1, 0))</f>
        <v>#N/A</v>
      </c>
      <c r="P479" s="42" t="str" cm="1">
        <f t="array" ref="P479">IFERROR(_xlfn.TEXTJOIN(", ", TRUE, _xlfn._xlws.FILTER(
    INDEX(Input!$D$2:$AC$500,,MATCH("Disk Capacity",Input!$D$1:$AC$1,0)),
    Input!$J$2:$J$500=B479
)), "")</f>
        <v/>
      </c>
      <c r="Q479" s="32" t="e">
        <f t="shared" si="22"/>
        <v>#N/A</v>
      </c>
      <c r="R479" s="42" t="e">
        <f>_xlfn.LET(_xlpm.Result,INDEX(Input!$D$2:$AC$500,
       MATCH(B479, Input!$J$2:$J$500, 0),
       MATCH("Capacity", Input!$D$1:$AC$1, 0)),IF(_xlpm.Result="","",_xlpm.Result))</f>
        <v>#N/A</v>
      </c>
      <c r="S479" s="42"/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/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/>
      <c r="AG479" s="32"/>
      <c r="AH479" s="32"/>
      <c r="AI479" s="32"/>
      <c r="AJ479" s="32"/>
      <c r="AK479" s="32"/>
      <c r="AL479" s="32"/>
      <c r="AM479" s="32"/>
    </row>
    <row r="480" spans="1:39">
      <c r="A480" s="32" t="str">
        <f>_xlfn.XLOOKUP(B480,Input!J:J,Input!G:G)&amp;""</f>
        <v/>
      </c>
      <c r="B480" s="32"/>
      <c r="C480" s="32" t="str">
        <f>_xlfn.XLOOKUP(B480,Input!J:J,Input!H:H)&amp;""</f>
        <v/>
      </c>
      <c r="D480" s="42">
        <f>_xlfn.XLOOKUP(B480,Input!J:J,Input!F:F)</f>
        <v>0</v>
      </c>
      <c r="E480" s="32">
        <f>_xlfn.XLOOKUP(D480,Models!H:H,Models!G:G,D480)</f>
        <v>0</v>
      </c>
      <c r="F480" s="32">
        <f>_xlfn.XLOOKUP(B480,Input!J:J,Input!E:E)</f>
        <v>0</v>
      </c>
      <c r="G480" s="32">
        <f>IF(F480="LENOVO",_xlfn.XLOOKUP(B480,Input!J:J,Input!K:K),_xlfn.XLOOKUP(B480,Input!J:J,Input!L:L))</f>
        <v>0</v>
      </c>
      <c r="H480" s="32"/>
      <c r="I480" s="32"/>
      <c r="J480" s="32"/>
      <c r="K480" s="42" t="e">
        <f>INDEX(Input!$D$2:$AC$500,
       MATCH(B480, Input!$J$2:$J$500, 0),
       MATCH("Total Memory", Input!$D$1:$AC$1, 0))</f>
        <v>#N/A</v>
      </c>
      <c r="L480" s="42"/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e">
        <f t="shared" si="23"/>
        <v>#N/A</v>
      </c>
      <c r="O480" s="42" t="e">
        <f>INDEX(Input!$D$2:$AC$500,
       MATCH(B480, Input!$J$2:$J$500, 0),
       MATCH("Disk Interface Type", Input!$D$1:$AC$1, 0))</f>
        <v>#N/A</v>
      </c>
      <c r="P480" s="42" t="str" cm="1">
        <f t="array" ref="P480">IFERROR(_xlfn.TEXTJOIN(", ", TRUE, _xlfn._xlws.FILTER(
    INDEX(Input!$D$2:$AC$500,,MATCH("Disk Capacity",Input!$D$1:$AC$1,0)),
    Input!$J$2:$J$500=B480
)), "")</f>
        <v/>
      </c>
      <c r="Q480" s="32" t="e">
        <f t="shared" si="22"/>
        <v>#N/A</v>
      </c>
      <c r="R480" s="42" t="e">
        <f>_xlfn.LET(_xlpm.Result,INDEX(Input!$D$2:$AC$500,
       MATCH(B480, Input!$J$2:$J$500, 0),
       MATCH("Capacity", Input!$D$1:$AC$1, 0)),IF(_xlpm.Result="","",_xlpm.Result))</f>
        <v>#N/A</v>
      </c>
      <c r="S480" s="42"/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/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/>
      <c r="AG480" s="32"/>
      <c r="AH480" s="32"/>
      <c r="AI480" s="32"/>
      <c r="AJ480" s="32"/>
      <c r="AK480" s="32"/>
      <c r="AL480" s="32"/>
      <c r="AM480" s="32"/>
    </row>
    <row r="481" spans="1:39">
      <c r="A481" s="32" t="str">
        <f>_xlfn.XLOOKUP(B481,Input!J:J,Input!G:G)&amp;""</f>
        <v/>
      </c>
      <c r="B481" s="32"/>
      <c r="C481" s="32" t="str">
        <f>_xlfn.XLOOKUP(B481,Input!J:J,Input!H:H)&amp;""</f>
        <v/>
      </c>
      <c r="D481" s="42">
        <f>_xlfn.XLOOKUP(B481,Input!J:J,Input!F:F)</f>
        <v>0</v>
      </c>
      <c r="E481" s="32">
        <f>_xlfn.XLOOKUP(D481,Models!H:H,Models!G:G,D481)</f>
        <v>0</v>
      </c>
      <c r="F481" s="32">
        <f>_xlfn.XLOOKUP(B481,Input!J:J,Input!E:E)</f>
        <v>0</v>
      </c>
      <c r="G481" s="32">
        <f>IF(F481="LENOVO",_xlfn.XLOOKUP(B481,Input!J:J,Input!K:K),_xlfn.XLOOKUP(B481,Input!J:J,Input!L:L))</f>
        <v>0</v>
      </c>
      <c r="H481" s="32"/>
      <c r="I481" s="32"/>
      <c r="J481" s="32"/>
      <c r="K481" s="42" t="e">
        <f>INDEX(Input!$D$2:$AC$500,
       MATCH(B481, Input!$J$2:$J$500, 0),
       MATCH("Total Memory", Input!$D$1:$AC$1, 0))</f>
        <v>#N/A</v>
      </c>
      <c r="L481" s="42"/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e">
        <f t="shared" si="23"/>
        <v>#N/A</v>
      </c>
      <c r="O481" s="42" t="e">
        <f>INDEX(Input!$D$2:$AC$500,
       MATCH(B481, Input!$J$2:$J$500, 0),
       MATCH("Disk Interface Type", Input!$D$1:$AC$1, 0))</f>
        <v>#N/A</v>
      </c>
      <c r="P481" s="42" t="str" cm="1">
        <f t="array" ref="P481">IFERROR(_xlfn.TEXTJOIN(", ", TRUE, _xlfn._xlws.FILTER(
    INDEX(Input!$D$2:$AC$500,,MATCH("Disk Capacity",Input!$D$1:$AC$1,0)),
    Input!$J$2:$J$500=B481
)), "")</f>
        <v/>
      </c>
      <c r="Q481" s="32" t="e">
        <f t="shared" si="22"/>
        <v>#N/A</v>
      </c>
      <c r="R481" s="42" t="e">
        <f>_xlfn.LET(_xlpm.Result,INDEX(Input!$D$2:$AC$500,
       MATCH(B481, Input!$J$2:$J$500, 0),
       MATCH("Capacity", Input!$D$1:$AC$1, 0)),IF(_xlpm.Result="","",_xlpm.Result))</f>
        <v>#N/A</v>
      </c>
      <c r="S481" s="42"/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/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/>
      <c r="AG481" s="32"/>
      <c r="AH481" s="32"/>
      <c r="AI481" s="32"/>
      <c r="AJ481" s="32"/>
      <c r="AK481" s="32"/>
      <c r="AL481" s="32"/>
      <c r="AM481" s="32"/>
    </row>
    <row r="482" spans="1:39">
      <c r="A482" s="32" t="str">
        <f>_xlfn.XLOOKUP(B482,Input!J:J,Input!G:G)&amp;""</f>
        <v/>
      </c>
      <c r="B482" s="32"/>
      <c r="C482" s="32" t="str">
        <f>_xlfn.XLOOKUP(B482,Input!J:J,Input!H:H)&amp;""</f>
        <v/>
      </c>
      <c r="D482" s="42">
        <f>_xlfn.XLOOKUP(B482,Input!J:J,Input!F:F)</f>
        <v>0</v>
      </c>
      <c r="E482" s="32">
        <f>_xlfn.XLOOKUP(D482,Models!H:H,Models!G:G,D482)</f>
        <v>0</v>
      </c>
      <c r="F482" s="32">
        <f>_xlfn.XLOOKUP(B482,Input!J:J,Input!E:E)</f>
        <v>0</v>
      </c>
      <c r="G482" s="32">
        <f>IF(F482="LENOVO",_xlfn.XLOOKUP(B482,Input!J:J,Input!K:K),_xlfn.XLOOKUP(B482,Input!J:J,Input!L:L))</f>
        <v>0</v>
      </c>
      <c r="H482" s="32"/>
      <c r="I482" s="32"/>
      <c r="J482" s="32"/>
      <c r="K482" s="42" t="e">
        <f>INDEX(Input!$D$2:$AC$500,
       MATCH(B482, Input!$J$2:$J$500, 0),
       MATCH("Total Memory", Input!$D$1:$AC$1, 0))</f>
        <v>#N/A</v>
      </c>
      <c r="L482" s="42"/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e">
        <f t="shared" si="23"/>
        <v>#N/A</v>
      </c>
      <c r="O482" s="42" t="e">
        <f>INDEX(Input!$D$2:$AC$500,
       MATCH(B482, Input!$J$2:$J$500, 0),
       MATCH("Disk Interface Type", Input!$D$1:$AC$1, 0))</f>
        <v>#N/A</v>
      </c>
      <c r="P482" s="42" t="str" cm="1">
        <f t="array" ref="P482">IFERROR(_xlfn.TEXTJOIN(", ", TRUE, _xlfn._xlws.FILTER(
    INDEX(Input!$D$2:$AC$500,,MATCH("Disk Capacity",Input!$D$1:$AC$1,0)),
    Input!$J$2:$J$500=B482
)), "")</f>
        <v/>
      </c>
      <c r="Q482" s="32" t="e">
        <f t="shared" si="22"/>
        <v>#N/A</v>
      </c>
      <c r="R482" s="42" t="e">
        <f>_xlfn.LET(_xlpm.Result,INDEX(Input!$D$2:$AC$500,
       MATCH(B482, Input!$J$2:$J$500, 0),
       MATCH("Capacity", Input!$D$1:$AC$1, 0)),IF(_xlpm.Result="","",_xlpm.Result))</f>
        <v>#N/A</v>
      </c>
      <c r="S482" s="42"/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/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/>
      <c r="AG482" s="32"/>
      <c r="AH482" s="32"/>
      <c r="AI482" s="32"/>
      <c r="AJ482" s="32"/>
      <c r="AK482" s="32"/>
      <c r="AL482" s="32"/>
      <c r="AM482" s="32"/>
    </row>
    <row r="483" spans="1:39">
      <c r="A483" s="32" t="str">
        <f>_xlfn.XLOOKUP(B483,Input!J:J,Input!G:G)&amp;""</f>
        <v/>
      </c>
      <c r="B483" s="32"/>
      <c r="C483" s="32" t="str">
        <f>_xlfn.XLOOKUP(B483,Input!J:J,Input!H:H)&amp;""</f>
        <v/>
      </c>
      <c r="D483" s="42">
        <f>_xlfn.XLOOKUP(B483,Input!J:J,Input!F:F)</f>
        <v>0</v>
      </c>
      <c r="E483" s="32">
        <f>_xlfn.XLOOKUP(D483,Models!H:H,Models!G:G,D483)</f>
        <v>0</v>
      </c>
      <c r="F483" s="32">
        <f>_xlfn.XLOOKUP(B483,Input!J:J,Input!E:E)</f>
        <v>0</v>
      </c>
      <c r="G483" s="32">
        <f>IF(F483="LENOVO",_xlfn.XLOOKUP(B483,Input!J:J,Input!K:K),_xlfn.XLOOKUP(B483,Input!J:J,Input!L:L))</f>
        <v>0</v>
      </c>
      <c r="H483" s="32"/>
      <c r="I483" s="32"/>
      <c r="J483" s="32"/>
      <c r="K483" s="42" t="e">
        <f>INDEX(Input!$D$2:$AC$500,
       MATCH(B483, Input!$J$2:$J$500, 0),
       MATCH("Total Memory", Input!$D$1:$AC$1, 0))</f>
        <v>#N/A</v>
      </c>
      <c r="L483" s="42"/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e">
        <f t="shared" si="23"/>
        <v>#N/A</v>
      </c>
      <c r="O483" s="42" t="e">
        <f>INDEX(Input!$D$2:$AC$500,
       MATCH(B483, Input!$J$2:$J$500, 0),
       MATCH("Disk Interface Type", Input!$D$1:$AC$1, 0))</f>
        <v>#N/A</v>
      </c>
      <c r="P483" s="42" t="str" cm="1">
        <f t="array" ref="P483">IFERROR(_xlfn.TEXTJOIN(", ", TRUE, _xlfn._xlws.FILTER(
    INDEX(Input!$D$2:$AC$500,,MATCH("Disk Capacity",Input!$D$1:$AC$1,0)),
    Input!$J$2:$J$500=B483
)), "")</f>
        <v/>
      </c>
      <c r="Q483" s="32" t="e">
        <f t="shared" si="22"/>
        <v>#N/A</v>
      </c>
      <c r="R483" s="42" t="e">
        <f>_xlfn.LET(_xlpm.Result,INDEX(Input!$D$2:$AC$500,
       MATCH(B483, Input!$J$2:$J$500, 0),
       MATCH("Capacity", Input!$D$1:$AC$1, 0)),IF(_xlpm.Result="","",_xlpm.Result))</f>
        <v>#N/A</v>
      </c>
      <c r="S483" s="42"/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/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/>
      <c r="AG483" s="32"/>
      <c r="AH483" s="32"/>
      <c r="AI483" s="32"/>
      <c r="AJ483" s="32"/>
      <c r="AK483" s="32"/>
      <c r="AL483" s="32"/>
      <c r="AM483" s="32"/>
    </row>
    <row r="484" spans="1:39">
      <c r="A484" s="32" t="str">
        <f>_xlfn.XLOOKUP(B484,Input!J:J,Input!G:G)&amp;""</f>
        <v/>
      </c>
      <c r="B484" s="32"/>
      <c r="C484" s="32" t="str">
        <f>_xlfn.XLOOKUP(B484,Input!J:J,Input!H:H)&amp;""</f>
        <v/>
      </c>
      <c r="D484" s="42">
        <f>_xlfn.XLOOKUP(B484,Input!J:J,Input!F:F)</f>
        <v>0</v>
      </c>
      <c r="E484" s="32">
        <f>_xlfn.XLOOKUP(D484,Models!H:H,Models!G:G,D484)</f>
        <v>0</v>
      </c>
      <c r="F484" s="32">
        <f>_xlfn.XLOOKUP(B484,Input!J:J,Input!E:E)</f>
        <v>0</v>
      </c>
      <c r="G484" s="32">
        <f>IF(F484="LENOVO",_xlfn.XLOOKUP(B484,Input!J:J,Input!K:K),_xlfn.XLOOKUP(B484,Input!J:J,Input!L:L))</f>
        <v>0</v>
      </c>
      <c r="H484" s="32"/>
      <c r="I484" s="32"/>
      <c r="J484" s="32"/>
      <c r="K484" s="42" t="e">
        <f>INDEX(Input!$D$2:$AC$500,
       MATCH(B484, Input!$J$2:$J$500, 0),
       MATCH("Total Memory", Input!$D$1:$AC$1, 0))</f>
        <v>#N/A</v>
      </c>
      <c r="L484" s="42"/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e">
        <f t="shared" si="23"/>
        <v>#N/A</v>
      </c>
      <c r="O484" s="42" t="e">
        <f>INDEX(Input!$D$2:$AC$500,
       MATCH(B484, Input!$J$2:$J$500, 0),
       MATCH("Disk Interface Type", Input!$D$1:$AC$1, 0))</f>
        <v>#N/A</v>
      </c>
      <c r="P484" s="42" t="str" cm="1">
        <f t="array" ref="P484">IFERROR(_xlfn.TEXTJOIN(", ", TRUE, _xlfn._xlws.FILTER(
    INDEX(Input!$D$2:$AC$500,,MATCH("Disk Capacity",Input!$D$1:$AC$1,0)),
    Input!$J$2:$J$500=B484
)), "")</f>
        <v/>
      </c>
      <c r="Q484" s="32" t="e">
        <f t="shared" si="22"/>
        <v>#N/A</v>
      </c>
      <c r="R484" s="42" t="e">
        <f>_xlfn.LET(_xlpm.Result,INDEX(Input!$D$2:$AC$500,
       MATCH(B484, Input!$J$2:$J$500, 0),
       MATCH("Capacity", Input!$D$1:$AC$1, 0)),IF(_xlpm.Result="","",_xlpm.Result))</f>
        <v>#N/A</v>
      </c>
      <c r="S484" s="42"/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/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/>
      <c r="AG484" s="32"/>
      <c r="AH484" s="32"/>
      <c r="AI484" s="32"/>
      <c r="AJ484" s="32"/>
      <c r="AK484" s="32"/>
      <c r="AL484" s="32"/>
      <c r="AM484" s="32"/>
    </row>
    <row r="485" spans="1:39">
      <c r="A485" s="32" t="str">
        <f>_xlfn.XLOOKUP(B485,Input!J:J,Input!G:G)&amp;""</f>
        <v/>
      </c>
      <c r="B485" s="32"/>
      <c r="C485" s="32" t="str">
        <f>_xlfn.XLOOKUP(B485,Input!J:J,Input!H:H)&amp;""</f>
        <v/>
      </c>
      <c r="D485" s="42">
        <f>_xlfn.XLOOKUP(B485,Input!J:J,Input!F:F)</f>
        <v>0</v>
      </c>
      <c r="E485" s="32">
        <f>_xlfn.XLOOKUP(D485,Models!H:H,Models!G:G,D485)</f>
        <v>0</v>
      </c>
      <c r="F485" s="32">
        <f>_xlfn.XLOOKUP(B485,Input!J:J,Input!E:E)</f>
        <v>0</v>
      </c>
      <c r="G485" s="32">
        <f>IF(F485="LENOVO",_xlfn.XLOOKUP(B485,Input!J:J,Input!K:K),_xlfn.XLOOKUP(B485,Input!J:J,Input!L:L))</f>
        <v>0</v>
      </c>
      <c r="H485" s="32"/>
      <c r="I485" s="32"/>
      <c r="J485" s="32"/>
      <c r="K485" s="42" t="e">
        <f>INDEX(Input!$D$2:$AC$500,
       MATCH(B485, Input!$J$2:$J$500, 0),
       MATCH("Total Memory", Input!$D$1:$AC$1, 0))</f>
        <v>#N/A</v>
      </c>
      <c r="L485" s="42"/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e">
        <f t="shared" si="23"/>
        <v>#N/A</v>
      </c>
      <c r="O485" s="42" t="e">
        <f>INDEX(Input!$D$2:$AC$500,
       MATCH(B485, Input!$J$2:$J$500, 0),
       MATCH("Disk Interface Type", Input!$D$1:$AC$1, 0))</f>
        <v>#N/A</v>
      </c>
      <c r="P485" s="42" t="str" cm="1">
        <f t="array" ref="P485">IFERROR(_xlfn.TEXTJOIN(", ", TRUE, _xlfn._xlws.FILTER(
    INDEX(Input!$D$2:$AC$500,,MATCH("Disk Capacity",Input!$D$1:$AC$1,0)),
    Input!$J$2:$J$500=B485
)), "")</f>
        <v/>
      </c>
      <c r="Q485" s="32" t="e">
        <f t="shared" si="22"/>
        <v>#N/A</v>
      </c>
      <c r="R485" s="42" t="e">
        <f>_xlfn.LET(_xlpm.Result,INDEX(Input!$D$2:$AC$500,
       MATCH(B485, Input!$J$2:$J$500, 0),
       MATCH("Capacity", Input!$D$1:$AC$1, 0)),IF(_xlpm.Result="","",_xlpm.Result))</f>
        <v>#N/A</v>
      </c>
      <c r="S485" s="42"/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/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/>
      <c r="AG485" s="32"/>
      <c r="AH485" s="32"/>
      <c r="AI485" s="32"/>
      <c r="AJ485" s="32"/>
      <c r="AK485" s="32"/>
      <c r="AL485" s="32"/>
      <c r="AM485" s="32"/>
    </row>
    <row r="486" spans="1:39">
      <c r="A486" s="32" t="str">
        <f>_xlfn.XLOOKUP(B486,Input!J:J,Input!G:G)&amp;""</f>
        <v/>
      </c>
      <c r="B486" s="32"/>
      <c r="C486" s="32" t="str">
        <f>_xlfn.XLOOKUP(B486,Input!J:J,Input!H:H)&amp;""</f>
        <v/>
      </c>
      <c r="D486" s="42">
        <f>_xlfn.XLOOKUP(B486,Input!J:J,Input!F:F)</f>
        <v>0</v>
      </c>
      <c r="E486" s="32">
        <f>_xlfn.XLOOKUP(D486,Models!H:H,Models!G:G,D486)</f>
        <v>0</v>
      </c>
      <c r="F486" s="32">
        <f>_xlfn.XLOOKUP(B486,Input!J:J,Input!E:E)</f>
        <v>0</v>
      </c>
      <c r="G486" s="32">
        <f>IF(F486="LENOVO",_xlfn.XLOOKUP(B486,Input!J:J,Input!K:K),_xlfn.XLOOKUP(B486,Input!J:J,Input!L:L))</f>
        <v>0</v>
      </c>
      <c r="H486" s="32"/>
      <c r="I486" s="32"/>
      <c r="J486" s="32"/>
      <c r="K486" s="42" t="e">
        <f>INDEX(Input!$D$2:$AC$500,
       MATCH(B486, Input!$J$2:$J$500, 0),
       MATCH("Total Memory", Input!$D$1:$AC$1, 0))</f>
        <v>#N/A</v>
      </c>
      <c r="L486" s="42"/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e">
        <f t="shared" si="23"/>
        <v>#N/A</v>
      </c>
      <c r="O486" s="42" t="e">
        <f>INDEX(Input!$D$2:$AC$500,
       MATCH(B486, Input!$J$2:$J$500, 0),
       MATCH("Disk Interface Type", Input!$D$1:$AC$1, 0))</f>
        <v>#N/A</v>
      </c>
      <c r="P486" s="42" t="str" cm="1">
        <f t="array" ref="P486">IFERROR(_xlfn.TEXTJOIN(", ", TRUE, _xlfn._xlws.FILTER(
    INDEX(Input!$D$2:$AC$500,,MATCH("Disk Capacity",Input!$D$1:$AC$1,0)),
    Input!$J$2:$J$500=B486
)), "")</f>
        <v/>
      </c>
      <c r="Q486" s="32" t="e">
        <f t="shared" si="22"/>
        <v>#N/A</v>
      </c>
      <c r="R486" s="42" t="e">
        <f>_xlfn.LET(_xlpm.Result,INDEX(Input!$D$2:$AC$500,
       MATCH(B486, Input!$J$2:$J$500, 0),
       MATCH("Capacity", Input!$D$1:$AC$1, 0)),IF(_xlpm.Result="","",_xlpm.Result))</f>
        <v>#N/A</v>
      </c>
      <c r="S486" s="42"/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/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/>
      <c r="AG486" s="32"/>
      <c r="AH486" s="32"/>
      <c r="AI486" s="32"/>
      <c r="AJ486" s="32"/>
      <c r="AK486" s="32"/>
      <c r="AL486" s="32"/>
      <c r="AM486" s="32"/>
    </row>
    <row r="487" spans="1:39">
      <c r="A487" s="32" t="str">
        <f>_xlfn.XLOOKUP(B487,Input!J:J,Input!G:G)&amp;""</f>
        <v/>
      </c>
      <c r="B487" s="32"/>
      <c r="C487" s="32" t="str">
        <f>_xlfn.XLOOKUP(B487,Input!J:J,Input!H:H)&amp;""</f>
        <v/>
      </c>
      <c r="D487" s="42">
        <f>_xlfn.XLOOKUP(B487,Input!J:J,Input!F:F)</f>
        <v>0</v>
      </c>
      <c r="E487" s="32">
        <f>_xlfn.XLOOKUP(D487,Models!H:H,Models!G:G,D487)</f>
        <v>0</v>
      </c>
      <c r="F487" s="32">
        <f>_xlfn.XLOOKUP(B487,Input!J:J,Input!E:E)</f>
        <v>0</v>
      </c>
      <c r="G487" s="32">
        <f>IF(F487="LENOVO",_xlfn.XLOOKUP(B487,Input!J:J,Input!K:K),_xlfn.XLOOKUP(B487,Input!J:J,Input!L:L))</f>
        <v>0</v>
      </c>
      <c r="H487" s="32"/>
      <c r="I487" s="32"/>
      <c r="J487" s="32"/>
      <c r="K487" s="42" t="e">
        <f>INDEX(Input!$D$2:$AC$500,
       MATCH(B487, Input!$J$2:$J$500, 0),
       MATCH("Total Memory", Input!$D$1:$AC$1, 0))</f>
        <v>#N/A</v>
      </c>
      <c r="L487" s="42"/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e">
        <f t="shared" si="23"/>
        <v>#N/A</v>
      </c>
      <c r="O487" s="42" t="e">
        <f>INDEX(Input!$D$2:$AC$500,
       MATCH(B487, Input!$J$2:$J$500, 0),
       MATCH("Disk Interface Type", Input!$D$1:$AC$1, 0))</f>
        <v>#N/A</v>
      </c>
      <c r="P487" s="42" t="str" cm="1">
        <f t="array" ref="P487">IFERROR(_xlfn.TEXTJOIN(", ", TRUE, _xlfn._xlws.FILTER(
    INDEX(Input!$D$2:$AC$500,,MATCH("Disk Capacity",Input!$D$1:$AC$1,0)),
    Input!$J$2:$J$500=B487
)), "")</f>
        <v/>
      </c>
      <c r="Q487" s="32" t="e">
        <f t="shared" si="22"/>
        <v>#N/A</v>
      </c>
      <c r="R487" s="42" t="e">
        <f>_xlfn.LET(_xlpm.Result,INDEX(Input!$D$2:$AC$500,
       MATCH(B487, Input!$J$2:$J$500, 0),
       MATCH("Capacity", Input!$D$1:$AC$1, 0)),IF(_xlpm.Result="","",_xlpm.Result))</f>
        <v>#N/A</v>
      </c>
      <c r="S487" s="42"/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/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/>
      <c r="AG487" s="32"/>
      <c r="AH487" s="32"/>
      <c r="AI487" s="32"/>
      <c r="AJ487" s="32"/>
      <c r="AK487" s="32"/>
      <c r="AL487" s="32"/>
      <c r="AM487" s="32"/>
    </row>
    <row r="488" spans="1:39">
      <c r="A488" s="32" t="str">
        <f>_xlfn.XLOOKUP(B488,Input!J:J,Input!G:G)&amp;""</f>
        <v/>
      </c>
      <c r="B488" s="32"/>
      <c r="C488" s="32" t="str">
        <f>_xlfn.XLOOKUP(B488,Input!J:J,Input!H:H)&amp;""</f>
        <v/>
      </c>
      <c r="D488" s="42">
        <f>_xlfn.XLOOKUP(B488,Input!J:J,Input!F:F)</f>
        <v>0</v>
      </c>
      <c r="E488" s="32">
        <f>_xlfn.XLOOKUP(D488,Models!H:H,Models!G:G,D488)</f>
        <v>0</v>
      </c>
      <c r="F488" s="32">
        <f>_xlfn.XLOOKUP(B488,Input!J:J,Input!E:E)</f>
        <v>0</v>
      </c>
      <c r="G488" s="32">
        <f>IF(F488="LENOVO",_xlfn.XLOOKUP(B488,Input!J:J,Input!K:K),_xlfn.XLOOKUP(B488,Input!J:J,Input!L:L))</f>
        <v>0</v>
      </c>
      <c r="H488" s="32"/>
      <c r="I488" s="32"/>
      <c r="J488" s="32"/>
      <c r="K488" s="42" t="e">
        <f>INDEX(Input!$D$2:$AC$500,
       MATCH(B488, Input!$J$2:$J$500, 0),
       MATCH("Total Memory", Input!$D$1:$AC$1, 0))</f>
        <v>#N/A</v>
      </c>
      <c r="L488" s="42"/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e">
        <f t="shared" si="23"/>
        <v>#N/A</v>
      </c>
      <c r="O488" s="42" t="e">
        <f>INDEX(Input!$D$2:$AC$500,
       MATCH(B488, Input!$J$2:$J$500, 0),
       MATCH("Disk Interface Type", Input!$D$1:$AC$1, 0))</f>
        <v>#N/A</v>
      </c>
      <c r="P488" s="42" t="str" cm="1">
        <f t="array" ref="P488">IFERROR(_xlfn.TEXTJOIN(", ", TRUE, _xlfn._xlws.FILTER(
    INDEX(Input!$D$2:$AC$500,,MATCH("Disk Capacity",Input!$D$1:$AC$1,0)),
    Input!$J$2:$J$500=B488
)), "")</f>
        <v/>
      </c>
      <c r="Q488" s="32" t="e">
        <f t="shared" si="22"/>
        <v>#N/A</v>
      </c>
      <c r="R488" s="42" t="e">
        <f>_xlfn.LET(_xlpm.Result,INDEX(Input!$D$2:$AC$500,
       MATCH(B488, Input!$J$2:$J$500, 0),
       MATCH("Capacity", Input!$D$1:$AC$1, 0)),IF(_xlpm.Result="","",_xlpm.Result))</f>
        <v>#N/A</v>
      </c>
      <c r="S488" s="42"/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/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/>
      <c r="AG488" s="32"/>
      <c r="AH488" s="32"/>
      <c r="AI488" s="32"/>
      <c r="AJ488" s="32"/>
      <c r="AK488" s="32"/>
      <c r="AL488" s="32"/>
      <c r="AM488" s="32"/>
    </row>
    <row r="489" spans="1:39">
      <c r="A489" s="32" t="str">
        <f>_xlfn.XLOOKUP(B489,Input!J:J,Input!G:G)&amp;""</f>
        <v/>
      </c>
      <c r="B489" s="32"/>
      <c r="C489" s="32" t="str">
        <f>_xlfn.XLOOKUP(B489,Input!J:J,Input!H:H)&amp;""</f>
        <v/>
      </c>
      <c r="D489" s="42">
        <f>_xlfn.XLOOKUP(B489,Input!J:J,Input!F:F)</f>
        <v>0</v>
      </c>
      <c r="E489" s="32">
        <f>_xlfn.XLOOKUP(D489,Models!H:H,Models!G:G,D489)</f>
        <v>0</v>
      </c>
      <c r="F489" s="32">
        <f>_xlfn.XLOOKUP(B489,Input!J:J,Input!E:E)</f>
        <v>0</v>
      </c>
      <c r="G489" s="32">
        <f>IF(F489="LENOVO",_xlfn.XLOOKUP(B489,Input!J:J,Input!K:K),_xlfn.XLOOKUP(B489,Input!J:J,Input!L:L))</f>
        <v>0</v>
      </c>
      <c r="H489" s="32"/>
      <c r="I489" s="32"/>
      <c r="J489" s="32"/>
      <c r="K489" s="42" t="e">
        <f>INDEX(Input!$D$2:$AC$500,
       MATCH(B489, Input!$J$2:$J$500, 0),
       MATCH("Total Memory", Input!$D$1:$AC$1, 0))</f>
        <v>#N/A</v>
      </c>
      <c r="L489" s="42"/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e">
        <f t="shared" si="23"/>
        <v>#N/A</v>
      </c>
      <c r="O489" s="42" t="e">
        <f>INDEX(Input!$D$2:$AC$500,
       MATCH(B489, Input!$J$2:$J$500, 0),
       MATCH("Disk Interface Type", Input!$D$1:$AC$1, 0))</f>
        <v>#N/A</v>
      </c>
      <c r="P489" s="42" t="str" cm="1">
        <f t="array" ref="P489">IFERROR(_xlfn.TEXTJOIN(", ", TRUE, _xlfn._xlws.FILTER(
    INDEX(Input!$D$2:$AC$500,,MATCH("Disk Capacity",Input!$D$1:$AC$1,0)),
    Input!$J$2:$J$500=B489
)), "")</f>
        <v/>
      </c>
      <c r="Q489" s="32" t="e">
        <f t="shared" si="22"/>
        <v>#N/A</v>
      </c>
      <c r="R489" s="42" t="e">
        <f>_xlfn.LET(_xlpm.Result,INDEX(Input!$D$2:$AC$500,
       MATCH(B489, Input!$J$2:$J$500, 0),
       MATCH("Capacity", Input!$D$1:$AC$1, 0)),IF(_xlpm.Result="","",_xlpm.Result))</f>
        <v>#N/A</v>
      </c>
      <c r="S489" s="42"/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/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/>
      <c r="AG489" s="32"/>
      <c r="AH489" s="32"/>
      <c r="AI489" s="32"/>
      <c r="AJ489" s="32"/>
      <c r="AK489" s="32"/>
      <c r="AL489" s="32"/>
      <c r="AM489" s="32"/>
    </row>
    <row r="490" spans="1:39">
      <c r="A490" s="32" t="str">
        <f>_xlfn.XLOOKUP(B490,Input!J:J,Input!G:G)&amp;""</f>
        <v/>
      </c>
      <c r="B490" s="32"/>
      <c r="C490" s="32" t="str">
        <f>_xlfn.XLOOKUP(B490,Input!J:J,Input!H:H)&amp;""</f>
        <v/>
      </c>
      <c r="D490" s="42">
        <f>_xlfn.XLOOKUP(B490,Input!J:J,Input!F:F)</f>
        <v>0</v>
      </c>
      <c r="E490" s="32">
        <f>_xlfn.XLOOKUP(D490,Models!H:H,Models!G:G,D490)</f>
        <v>0</v>
      </c>
      <c r="F490" s="32">
        <f>_xlfn.XLOOKUP(B490,Input!J:J,Input!E:E)</f>
        <v>0</v>
      </c>
      <c r="G490" s="32">
        <f>IF(F490="LENOVO",_xlfn.XLOOKUP(B490,Input!J:J,Input!K:K),_xlfn.XLOOKUP(B490,Input!J:J,Input!L:L))</f>
        <v>0</v>
      </c>
      <c r="H490" s="32"/>
      <c r="I490" s="32"/>
      <c r="J490" s="32"/>
      <c r="K490" s="42" t="e">
        <f>INDEX(Input!$D$2:$AC$500,
       MATCH(B490, Input!$J$2:$J$500, 0),
       MATCH("Total Memory", Input!$D$1:$AC$1, 0))</f>
        <v>#N/A</v>
      </c>
      <c r="L490" s="42"/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e">
        <f t="shared" si="23"/>
        <v>#N/A</v>
      </c>
      <c r="O490" s="42" t="e">
        <f>INDEX(Input!$D$2:$AC$500,
       MATCH(B490, Input!$J$2:$J$500, 0),
       MATCH("Disk Interface Type", Input!$D$1:$AC$1, 0))</f>
        <v>#N/A</v>
      </c>
      <c r="P490" s="42" t="str" cm="1">
        <f t="array" ref="P490">IFERROR(_xlfn.TEXTJOIN(", ", TRUE, _xlfn._xlws.FILTER(
    INDEX(Input!$D$2:$AC$500,,MATCH("Disk Capacity",Input!$D$1:$AC$1,0)),
    Input!$J$2:$J$500=B490
)), "")</f>
        <v/>
      </c>
      <c r="Q490" s="32" t="e">
        <f t="shared" si="22"/>
        <v>#N/A</v>
      </c>
      <c r="R490" s="42" t="e">
        <f>_xlfn.LET(_xlpm.Result,INDEX(Input!$D$2:$AC$500,
       MATCH(B490, Input!$J$2:$J$500, 0),
       MATCH("Capacity", Input!$D$1:$AC$1, 0)),IF(_xlpm.Result="","",_xlpm.Result))</f>
        <v>#N/A</v>
      </c>
      <c r="S490" s="42"/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/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/>
      <c r="AG490" s="32"/>
      <c r="AH490" s="32"/>
      <c r="AI490" s="32"/>
      <c r="AJ490" s="32"/>
      <c r="AK490" s="32"/>
      <c r="AL490" s="32"/>
      <c r="AM490" s="32"/>
    </row>
    <row r="491" spans="1:39">
      <c r="A491" s="32" t="str">
        <f>_xlfn.XLOOKUP(B491,Input!J:J,Input!G:G)&amp;""</f>
        <v/>
      </c>
      <c r="B491" s="32"/>
      <c r="C491" s="32" t="str">
        <f>_xlfn.XLOOKUP(B491,Input!J:J,Input!H:H)&amp;""</f>
        <v/>
      </c>
      <c r="D491" s="42">
        <f>_xlfn.XLOOKUP(B491,Input!J:J,Input!F:F)</f>
        <v>0</v>
      </c>
      <c r="E491" s="32">
        <f>_xlfn.XLOOKUP(D491,Models!H:H,Models!G:G,D491)</f>
        <v>0</v>
      </c>
      <c r="F491" s="32">
        <f>_xlfn.XLOOKUP(B491,Input!J:J,Input!E:E)</f>
        <v>0</v>
      </c>
      <c r="G491" s="32">
        <f>IF(F491="LENOVO",_xlfn.XLOOKUP(B491,Input!J:J,Input!K:K),_xlfn.XLOOKUP(B491,Input!J:J,Input!L:L))</f>
        <v>0</v>
      </c>
      <c r="H491" s="32"/>
      <c r="I491" s="32"/>
      <c r="J491" s="32"/>
      <c r="K491" s="42" t="e">
        <f>INDEX(Input!$D$2:$AC$500,
       MATCH(B491, Input!$J$2:$J$500, 0),
       MATCH("Total Memory", Input!$D$1:$AC$1, 0))</f>
        <v>#N/A</v>
      </c>
      <c r="L491" s="42"/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e">
        <f t="shared" si="23"/>
        <v>#N/A</v>
      </c>
      <c r="O491" s="42" t="e">
        <f>INDEX(Input!$D$2:$AC$500,
       MATCH(B491, Input!$J$2:$J$500, 0),
       MATCH("Disk Interface Type", Input!$D$1:$AC$1, 0))</f>
        <v>#N/A</v>
      </c>
      <c r="P491" s="42" t="str" cm="1">
        <f t="array" ref="P491">IFERROR(_xlfn.TEXTJOIN(", ", TRUE, _xlfn._xlws.FILTER(
    INDEX(Input!$D$2:$AC$500,,MATCH("Disk Capacity",Input!$D$1:$AC$1,0)),
    Input!$J$2:$J$500=B491
)), "")</f>
        <v/>
      </c>
      <c r="Q491" s="32" t="e">
        <f t="shared" si="22"/>
        <v>#N/A</v>
      </c>
      <c r="R491" s="42" t="e">
        <f>_xlfn.LET(_xlpm.Result,INDEX(Input!$D$2:$AC$500,
       MATCH(B491, Input!$J$2:$J$500, 0),
       MATCH("Capacity", Input!$D$1:$AC$1, 0)),IF(_xlpm.Result="","",_xlpm.Result))</f>
        <v>#N/A</v>
      </c>
      <c r="S491" s="42"/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/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/>
      <c r="AG491" s="32"/>
      <c r="AH491" s="32"/>
      <c r="AI491" s="32"/>
      <c r="AJ491" s="32"/>
      <c r="AK491" s="32"/>
      <c r="AL491" s="32"/>
      <c r="AM491" s="32"/>
    </row>
    <row r="492" spans="1:39">
      <c r="A492" s="32" t="str">
        <f>_xlfn.XLOOKUP(B492,Input!J:J,Input!G:G)&amp;""</f>
        <v/>
      </c>
      <c r="B492" s="32"/>
      <c r="C492" s="32" t="str">
        <f>_xlfn.XLOOKUP(B492,Input!J:J,Input!H:H)&amp;""</f>
        <v/>
      </c>
      <c r="D492" s="42">
        <f>_xlfn.XLOOKUP(B492,Input!J:J,Input!F:F)</f>
        <v>0</v>
      </c>
      <c r="E492" s="32">
        <f>_xlfn.XLOOKUP(D492,Models!H:H,Models!G:G,D492)</f>
        <v>0</v>
      </c>
      <c r="F492" s="32">
        <f>_xlfn.XLOOKUP(B492,Input!J:J,Input!E:E)</f>
        <v>0</v>
      </c>
      <c r="G492" s="32">
        <f>IF(F492="LENOVO",_xlfn.XLOOKUP(B492,Input!J:J,Input!K:K),_xlfn.XLOOKUP(B492,Input!J:J,Input!L:L))</f>
        <v>0</v>
      </c>
      <c r="H492" s="32"/>
      <c r="I492" s="32"/>
      <c r="J492" s="32"/>
      <c r="K492" s="42" t="e">
        <f>INDEX(Input!$D$2:$AC$500,
       MATCH(B492, Input!$J$2:$J$500, 0),
       MATCH("Total Memory", Input!$D$1:$AC$1, 0))</f>
        <v>#N/A</v>
      </c>
      <c r="L492" s="42"/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e">
        <f t="shared" si="23"/>
        <v>#N/A</v>
      </c>
      <c r="O492" s="42" t="e">
        <f>INDEX(Input!$D$2:$AC$500,
       MATCH(B492, Input!$J$2:$J$500, 0),
       MATCH("Disk Interface Type", Input!$D$1:$AC$1, 0))</f>
        <v>#N/A</v>
      </c>
      <c r="P492" s="42" t="str" cm="1">
        <f t="array" ref="P492">IFERROR(_xlfn.TEXTJOIN(", ", TRUE, _xlfn._xlws.FILTER(
    INDEX(Input!$D$2:$AC$500,,MATCH("Disk Capacity",Input!$D$1:$AC$1,0)),
    Input!$J$2:$J$500=B492
)), "")</f>
        <v/>
      </c>
      <c r="Q492" s="32" t="e">
        <f t="shared" si="22"/>
        <v>#N/A</v>
      </c>
      <c r="R492" s="42" t="e">
        <f>_xlfn.LET(_xlpm.Result,INDEX(Input!$D$2:$AC$500,
       MATCH(B492, Input!$J$2:$J$500, 0),
       MATCH("Capacity", Input!$D$1:$AC$1, 0)),IF(_xlpm.Result="","",_xlpm.Result))</f>
        <v>#N/A</v>
      </c>
      <c r="S492" s="42"/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/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/>
      <c r="AG492" s="32"/>
      <c r="AH492" s="32"/>
      <c r="AI492" s="32"/>
      <c r="AJ492" s="32"/>
      <c r="AK492" s="32"/>
      <c r="AL492" s="32"/>
      <c r="AM492" s="32"/>
    </row>
    <row r="493" spans="1:39">
      <c r="A493" s="32" t="str">
        <f>_xlfn.XLOOKUP(B493,Input!J:J,Input!G:G)&amp;""</f>
        <v/>
      </c>
      <c r="B493" s="32"/>
      <c r="C493" s="32" t="str">
        <f>_xlfn.XLOOKUP(B493,Input!J:J,Input!H:H)&amp;""</f>
        <v/>
      </c>
      <c r="D493" s="42">
        <f>_xlfn.XLOOKUP(B493,Input!J:J,Input!F:F)</f>
        <v>0</v>
      </c>
      <c r="E493" s="32">
        <f>_xlfn.XLOOKUP(D493,Models!H:H,Models!G:G,D493)</f>
        <v>0</v>
      </c>
      <c r="F493" s="32">
        <f>_xlfn.XLOOKUP(B493,Input!J:J,Input!E:E)</f>
        <v>0</v>
      </c>
      <c r="G493" s="32">
        <f>IF(F493="LENOVO",_xlfn.XLOOKUP(B493,Input!J:J,Input!K:K),_xlfn.XLOOKUP(B493,Input!J:J,Input!L:L))</f>
        <v>0</v>
      </c>
      <c r="H493" s="32"/>
      <c r="I493" s="32"/>
      <c r="J493" s="32"/>
      <c r="K493" s="42" t="e">
        <f>INDEX(Input!$D$2:$AC$500,
       MATCH(B493, Input!$J$2:$J$500, 0),
       MATCH("Total Memory", Input!$D$1:$AC$1, 0))</f>
        <v>#N/A</v>
      </c>
      <c r="L493" s="42"/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e">
        <f t="shared" si="23"/>
        <v>#N/A</v>
      </c>
      <c r="O493" s="42" t="e">
        <f>INDEX(Input!$D$2:$AC$500,
       MATCH(B493, Input!$J$2:$J$500, 0),
       MATCH("Disk Interface Type", Input!$D$1:$AC$1, 0))</f>
        <v>#N/A</v>
      </c>
      <c r="P493" s="42" t="str" cm="1">
        <f t="array" ref="P493">IFERROR(_xlfn.TEXTJOIN(", ", TRUE, _xlfn._xlws.FILTER(
    INDEX(Input!$D$2:$AC$500,,MATCH("Disk Capacity",Input!$D$1:$AC$1,0)),
    Input!$J$2:$J$500=B493
)), "")</f>
        <v/>
      </c>
      <c r="Q493" s="32" t="e">
        <f t="shared" si="22"/>
        <v>#N/A</v>
      </c>
      <c r="R493" s="42" t="e">
        <f>_xlfn.LET(_xlpm.Result,INDEX(Input!$D$2:$AC$500,
       MATCH(B493, Input!$J$2:$J$500, 0),
       MATCH("Capacity", Input!$D$1:$AC$1, 0)),IF(_xlpm.Result="","",_xlpm.Result))</f>
        <v>#N/A</v>
      </c>
      <c r="S493" s="42"/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/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/>
      <c r="AG493" s="32"/>
      <c r="AH493" s="32"/>
      <c r="AI493" s="32"/>
      <c r="AJ493" s="32"/>
      <c r="AK493" s="32"/>
      <c r="AL493" s="32"/>
      <c r="AM493" s="32"/>
    </row>
    <row r="494" spans="1:39">
      <c r="A494" s="32" t="str">
        <f>_xlfn.XLOOKUP(B494,Input!J:J,Input!G:G)&amp;""</f>
        <v/>
      </c>
      <c r="B494" s="32"/>
      <c r="C494" s="32" t="str">
        <f>_xlfn.XLOOKUP(B494,Input!J:J,Input!H:H)&amp;""</f>
        <v/>
      </c>
      <c r="D494" s="42">
        <f>_xlfn.XLOOKUP(B494,Input!J:J,Input!F:F)</f>
        <v>0</v>
      </c>
      <c r="E494" s="32">
        <f>_xlfn.XLOOKUP(D494,Models!H:H,Models!G:G,D494)</f>
        <v>0</v>
      </c>
      <c r="F494" s="32">
        <f>_xlfn.XLOOKUP(B494,Input!J:J,Input!E:E)</f>
        <v>0</v>
      </c>
      <c r="G494" s="32">
        <f>IF(F494="LENOVO",_xlfn.XLOOKUP(B494,Input!J:J,Input!K:K),_xlfn.XLOOKUP(B494,Input!J:J,Input!L:L))</f>
        <v>0</v>
      </c>
      <c r="H494" s="32"/>
      <c r="I494" s="32"/>
      <c r="J494" s="32"/>
      <c r="K494" s="42" t="e">
        <f>INDEX(Input!$D$2:$AC$500,
       MATCH(B494, Input!$J$2:$J$500, 0),
       MATCH("Total Memory", Input!$D$1:$AC$1, 0))</f>
        <v>#N/A</v>
      </c>
      <c r="L494" s="42"/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e">
        <f t="shared" si="23"/>
        <v>#N/A</v>
      </c>
      <c r="O494" s="42" t="e">
        <f>INDEX(Input!$D$2:$AC$500,
       MATCH(B494, Input!$J$2:$J$500, 0),
       MATCH("Disk Interface Type", Input!$D$1:$AC$1, 0))</f>
        <v>#N/A</v>
      </c>
      <c r="P494" s="42" t="str" cm="1">
        <f t="array" ref="P494">IFERROR(_xlfn.TEXTJOIN(", ", TRUE, _xlfn._xlws.FILTER(
    INDEX(Input!$D$2:$AC$500,,MATCH("Disk Capacity",Input!$D$1:$AC$1,0)),
    Input!$J$2:$J$500=B494
)), "")</f>
        <v/>
      </c>
      <c r="Q494" s="32" t="e">
        <f t="shared" si="22"/>
        <v>#N/A</v>
      </c>
      <c r="R494" s="42" t="e">
        <f>_xlfn.LET(_xlpm.Result,INDEX(Input!$D$2:$AC$500,
       MATCH(B494, Input!$J$2:$J$500, 0),
       MATCH("Capacity", Input!$D$1:$AC$1, 0)),IF(_xlpm.Result="","",_xlpm.Result))</f>
        <v>#N/A</v>
      </c>
      <c r="S494" s="42"/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/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/>
      <c r="AG494" s="32"/>
      <c r="AH494" s="32"/>
      <c r="AI494" s="32"/>
      <c r="AJ494" s="32"/>
      <c r="AK494" s="32"/>
      <c r="AL494" s="32"/>
      <c r="AM494" s="32"/>
    </row>
    <row r="495" spans="1:39">
      <c r="A495" s="32" t="str">
        <f>_xlfn.XLOOKUP(B495,Input!J:J,Input!G:G)&amp;""</f>
        <v/>
      </c>
      <c r="B495" s="32"/>
      <c r="C495" s="32" t="str">
        <f>_xlfn.XLOOKUP(B495,Input!J:J,Input!H:H)&amp;""</f>
        <v/>
      </c>
      <c r="D495" s="42">
        <f>_xlfn.XLOOKUP(B495,Input!J:J,Input!F:F)</f>
        <v>0</v>
      </c>
      <c r="E495" s="32">
        <f>_xlfn.XLOOKUP(D495,Models!H:H,Models!G:G,D495)</f>
        <v>0</v>
      </c>
      <c r="F495" s="32">
        <f>_xlfn.XLOOKUP(B495,Input!J:J,Input!E:E)</f>
        <v>0</v>
      </c>
      <c r="G495" s="32">
        <f>IF(F495="LENOVO",_xlfn.XLOOKUP(B495,Input!J:J,Input!K:K),_xlfn.XLOOKUP(B495,Input!J:J,Input!L:L))</f>
        <v>0</v>
      </c>
      <c r="H495" s="32"/>
      <c r="I495" s="32"/>
      <c r="J495" s="32"/>
      <c r="K495" s="42" t="e">
        <f>INDEX(Input!$D$2:$AC$500,
       MATCH(B495, Input!$J$2:$J$500, 0),
       MATCH("Total Memory", Input!$D$1:$AC$1, 0))</f>
        <v>#N/A</v>
      </c>
      <c r="L495" s="42"/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e">
        <f t="shared" si="23"/>
        <v>#N/A</v>
      </c>
      <c r="O495" s="42" t="e">
        <f>INDEX(Input!$D$2:$AC$500,
       MATCH(B495, Input!$J$2:$J$500, 0),
       MATCH("Disk Interface Type", Input!$D$1:$AC$1, 0))</f>
        <v>#N/A</v>
      </c>
      <c r="P495" s="42" t="str" cm="1">
        <f t="array" ref="P495">IFERROR(_xlfn.TEXTJOIN(", ", TRUE, _xlfn._xlws.FILTER(
    INDEX(Input!$D$2:$AC$500,,MATCH("Disk Capacity",Input!$D$1:$AC$1,0)),
    Input!$J$2:$J$500=B495
)), "")</f>
        <v/>
      </c>
      <c r="Q495" s="32" t="e">
        <f t="shared" si="22"/>
        <v>#N/A</v>
      </c>
      <c r="R495" s="42" t="e">
        <f>_xlfn.LET(_xlpm.Result,INDEX(Input!$D$2:$AC$500,
       MATCH(B495, Input!$J$2:$J$500, 0),
       MATCH("Capacity", Input!$D$1:$AC$1, 0)),IF(_xlpm.Result="","",_xlpm.Result))</f>
        <v>#N/A</v>
      </c>
      <c r="S495" s="42"/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/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/>
      <c r="AG495" s="32"/>
      <c r="AH495" s="32"/>
      <c r="AI495" s="32"/>
      <c r="AJ495" s="32"/>
      <c r="AK495" s="32"/>
      <c r="AL495" s="32"/>
      <c r="AM495" s="32"/>
    </row>
    <row r="496" spans="1:39">
      <c r="A496" s="32" t="str">
        <f>_xlfn.XLOOKUP(B496,Input!J:J,Input!G:G)&amp;""</f>
        <v/>
      </c>
      <c r="B496" s="32"/>
      <c r="C496" s="32" t="str">
        <f>_xlfn.XLOOKUP(B496,Input!J:J,Input!H:H)&amp;""</f>
        <v/>
      </c>
      <c r="D496" s="42">
        <f>_xlfn.XLOOKUP(B496,Input!J:J,Input!F:F)</f>
        <v>0</v>
      </c>
      <c r="E496" s="32">
        <f>_xlfn.XLOOKUP(D496,Models!H:H,Models!G:G,D496)</f>
        <v>0</v>
      </c>
      <c r="F496" s="32">
        <f>_xlfn.XLOOKUP(B496,Input!J:J,Input!E:E)</f>
        <v>0</v>
      </c>
      <c r="G496" s="32">
        <f>IF(F496="LENOVO",_xlfn.XLOOKUP(B496,Input!J:J,Input!K:K),_xlfn.XLOOKUP(B496,Input!J:J,Input!L:L))</f>
        <v>0</v>
      </c>
      <c r="H496" s="32"/>
      <c r="I496" s="32"/>
      <c r="J496" s="32"/>
      <c r="K496" s="42" t="e">
        <f>INDEX(Input!$D$2:$AC$500,
       MATCH(B496, Input!$J$2:$J$500, 0),
       MATCH("Total Memory", Input!$D$1:$AC$1, 0))</f>
        <v>#N/A</v>
      </c>
      <c r="L496" s="42"/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e">
        <f t="shared" si="23"/>
        <v>#N/A</v>
      </c>
      <c r="O496" s="42" t="e">
        <f>INDEX(Input!$D$2:$AC$500,
       MATCH(B496, Input!$J$2:$J$500, 0),
       MATCH("Disk Interface Type", Input!$D$1:$AC$1, 0))</f>
        <v>#N/A</v>
      </c>
      <c r="P496" s="42" t="str" cm="1">
        <f t="array" ref="P496">IFERROR(_xlfn.TEXTJOIN(", ", TRUE, _xlfn._xlws.FILTER(
    INDEX(Input!$D$2:$AC$500,,MATCH("Disk Capacity",Input!$D$1:$AC$1,0)),
    Input!$J$2:$J$500=B496
)), "")</f>
        <v/>
      </c>
      <c r="Q496" s="32" t="e">
        <f t="shared" si="22"/>
        <v>#N/A</v>
      </c>
      <c r="R496" s="42" t="e">
        <f>_xlfn.LET(_xlpm.Result,INDEX(Input!$D$2:$AC$500,
       MATCH(B496, Input!$J$2:$J$500, 0),
       MATCH("Capacity", Input!$D$1:$AC$1, 0)),IF(_xlpm.Result="","",_xlpm.Result))</f>
        <v>#N/A</v>
      </c>
      <c r="S496" s="42"/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/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/>
      <c r="AG496" s="32"/>
      <c r="AH496" s="32"/>
      <c r="AI496" s="32"/>
      <c r="AJ496" s="32"/>
      <c r="AK496" s="32"/>
      <c r="AL496" s="32"/>
      <c r="AM496" s="32"/>
    </row>
    <row r="497" spans="1:39">
      <c r="A497" s="32" t="str">
        <f>_xlfn.XLOOKUP(B497,Input!J:J,Input!G:G)&amp;""</f>
        <v/>
      </c>
      <c r="B497" s="32"/>
      <c r="C497" s="32" t="str">
        <f>_xlfn.XLOOKUP(B497,Input!J:J,Input!H:H)&amp;""</f>
        <v/>
      </c>
      <c r="D497" s="42">
        <f>_xlfn.XLOOKUP(B497,Input!J:J,Input!F:F)</f>
        <v>0</v>
      </c>
      <c r="E497" s="32">
        <f>_xlfn.XLOOKUP(D497,Models!H:H,Models!G:G,D497)</f>
        <v>0</v>
      </c>
      <c r="F497" s="32">
        <f>_xlfn.XLOOKUP(B497,Input!J:J,Input!E:E)</f>
        <v>0</v>
      </c>
      <c r="G497" s="32">
        <f>IF(F497="LENOVO",_xlfn.XLOOKUP(B497,Input!J:J,Input!K:K),_xlfn.XLOOKUP(B497,Input!J:J,Input!L:L))</f>
        <v>0</v>
      </c>
      <c r="H497" s="32"/>
      <c r="I497" s="32"/>
      <c r="J497" s="32"/>
      <c r="K497" s="42" t="e">
        <f>INDEX(Input!$D$2:$AC$500,
       MATCH(B497, Input!$J$2:$J$500, 0),
       MATCH("Total Memory", Input!$D$1:$AC$1, 0))</f>
        <v>#N/A</v>
      </c>
      <c r="L497" s="42"/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e">
        <f t="shared" si="23"/>
        <v>#N/A</v>
      </c>
      <c r="O497" s="42" t="e">
        <f>INDEX(Input!$D$2:$AC$500,
       MATCH(B497, Input!$J$2:$J$500, 0),
       MATCH("Disk Interface Type", Input!$D$1:$AC$1, 0))</f>
        <v>#N/A</v>
      </c>
      <c r="P497" s="42" t="str" cm="1">
        <f t="array" ref="P497">IFERROR(_xlfn.TEXTJOIN(", ", TRUE, _xlfn._xlws.FILTER(
    INDEX(Input!$D$2:$AC$500,,MATCH("Disk Capacity",Input!$D$1:$AC$1,0)),
    Input!$J$2:$J$500=B497
)), "")</f>
        <v/>
      </c>
      <c r="Q497" s="32" t="e">
        <f t="shared" si="22"/>
        <v>#N/A</v>
      </c>
      <c r="R497" s="42" t="e">
        <f>_xlfn.LET(_xlpm.Result,INDEX(Input!$D$2:$AC$500,
       MATCH(B497, Input!$J$2:$J$500, 0),
       MATCH("Capacity", Input!$D$1:$AC$1, 0)),IF(_xlpm.Result="","",_xlpm.Result))</f>
        <v>#N/A</v>
      </c>
      <c r="S497" s="42"/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/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/>
      <c r="AG497" s="32"/>
      <c r="AH497" s="32"/>
      <c r="AI497" s="32"/>
      <c r="AJ497" s="32"/>
      <c r="AK497" s="32"/>
      <c r="AL497" s="32"/>
      <c r="AM497" s="32"/>
    </row>
    <row r="498" spans="1:39">
      <c r="A498" s="32" t="str">
        <f>_xlfn.XLOOKUP(B498,Input!J:J,Input!G:G)&amp;""</f>
        <v/>
      </c>
      <c r="B498" s="32"/>
      <c r="C498" s="32" t="str">
        <f>_xlfn.XLOOKUP(B498,Input!J:J,Input!H:H)&amp;""</f>
        <v/>
      </c>
      <c r="D498" s="42">
        <f>_xlfn.XLOOKUP(B498,Input!J:J,Input!F:F)</f>
        <v>0</v>
      </c>
      <c r="E498" s="32">
        <f>_xlfn.XLOOKUP(D498,Models!H:H,Models!G:G,D498)</f>
        <v>0</v>
      </c>
      <c r="F498" s="32">
        <f>_xlfn.XLOOKUP(B498,Input!J:J,Input!E:E)</f>
        <v>0</v>
      </c>
      <c r="G498" s="32">
        <f>IF(F498="LENOVO",_xlfn.XLOOKUP(B498,Input!J:J,Input!K:K),_xlfn.XLOOKUP(B498,Input!J:J,Input!L:L))</f>
        <v>0</v>
      </c>
      <c r="H498" s="32"/>
      <c r="I498" s="32"/>
      <c r="J498" s="32"/>
      <c r="K498" s="42" t="e">
        <f>INDEX(Input!$D$2:$AC$500,
       MATCH(B498, Input!$J$2:$J$500, 0),
       MATCH("Total Memory", Input!$D$1:$AC$1, 0))</f>
        <v>#N/A</v>
      </c>
      <c r="L498" s="42"/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e">
        <f t="shared" si="23"/>
        <v>#N/A</v>
      </c>
      <c r="O498" s="42" t="e">
        <f>INDEX(Input!$D$2:$AC$500,
       MATCH(B498, Input!$J$2:$J$500, 0),
       MATCH("Disk Interface Type", Input!$D$1:$AC$1, 0))</f>
        <v>#N/A</v>
      </c>
      <c r="P498" s="42" t="str" cm="1">
        <f t="array" ref="P498">IFERROR(_xlfn.TEXTJOIN(", ", TRUE, _xlfn._xlws.FILTER(
    INDEX(Input!$D$2:$AC$500,,MATCH("Disk Capacity",Input!$D$1:$AC$1,0)),
    Input!$J$2:$J$500=B498
)), "")</f>
        <v/>
      </c>
      <c r="Q498" s="32" t="e">
        <f t="shared" si="22"/>
        <v>#N/A</v>
      </c>
      <c r="R498" s="42" t="e">
        <f>_xlfn.LET(_xlpm.Result,INDEX(Input!$D$2:$AC$500,
       MATCH(B498, Input!$J$2:$J$500, 0),
       MATCH("Capacity", Input!$D$1:$AC$1, 0)),IF(_xlpm.Result="","",_xlpm.Result))</f>
        <v>#N/A</v>
      </c>
      <c r="S498" s="42"/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/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/>
      <c r="AG498" s="32"/>
      <c r="AH498" s="32"/>
      <c r="AI498" s="32"/>
      <c r="AJ498" s="32"/>
      <c r="AK498" s="32"/>
      <c r="AL498" s="32"/>
      <c r="AM498" s="32"/>
    </row>
    <row r="499" spans="1:39">
      <c r="A499" s="32" t="str">
        <f>_xlfn.XLOOKUP(B499,Input!J:J,Input!G:G)&amp;""</f>
        <v/>
      </c>
      <c r="B499" s="32"/>
      <c r="C499" s="32" t="str">
        <f>_xlfn.XLOOKUP(B499,Input!J:J,Input!H:H)&amp;""</f>
        <v/>
      </c>
      <c r="D499" s="42">
        <f>_xlfn.XLOOKUP(B499,Input!J:J,Input!F:F)</f>
        <v>0</v>
      </c>
      <c r="E499" s="32">
        <f>_xlfn.XLOOKUP(D499,Models!H:H,Models!G:G,D499)</f>
        <v>0</v>
      </c>
      <c r="F499" s="32">
        <f>_xlfn.XLOOKUP(B499,Input!J:J,Input!E:E)</f>
        <v>0</v>
      </c>
      <c r="G499" s="32">
        <f>IF(F499="LENOVO",_xlfn.XLOOKUP(B499,Input!J:J,Input!K:K),_xlfn.XLOOKUP(B499,Input!J:J,Input!L:L))</f>
        <v>0</v>
      </c>
      <c r="H499" s="32"/>
      <c r="I499" s="32"/>
      <c r="J499" s="32"/>
      <c r="K499" s="42" t="e">
        <f>INDEX(Input!$D$2:$AC$500,
       MATCH(B499, Input!$J$2:$J$500, 0),
       MATCH("Total Memory", Input!$D$1:$AC$1, 0))</f>
        <v>#N/A</v>
      </c>
      <c r="L499" s="42"/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e">
        <f t="shared" si="23"/>
        <v>#N/A</v>
      </c>
      <c r="O499" s="42" t="e">
        <f>INDEX(Input!$D$2:$AC$500,
       MATCH(B499, Input!$J$2:$J$500, 0),
       MATCH("Disk Interface Type", Input!$D$1:$AC$1, 0))</f>
        <v>#N/A</v>
      </c>
      <c r="P499" s="42" t="str" cm="1">
        <f t="array" ref="P499">IFERROR(_xlfn.TEXTJOIN(", ", TRUE, _xlfn._xlws.FILTER(
    INDEX(Input!$D$2:$AC$500,,MATCH("Disk Capacity",Input!$D$1:$AC$1,0)),
    Input!$J$2:$J$500=B499
)), "")</f>
        <v/>
      </c>
      <c r="Q499" s="32" t="e">
        <f t="shared" si="22"/>
        <v>#N/A</v>
      </c>
      <c r="R499" s="42" t="e">
        <f>_xlfn.LET(_xlpm.Result,INDEX(Input!$D$2:$AC$500,
       MATCH(B499, Input!$J$2:$J$500, 0),
       MATCH("Capacity", Input!$D$1:$AC$1, 0)),IF(_xlpm.Result="","",_xlpm.Result))</f>
        <v>#N/A</v>
      </c>
      <c r="S499" s="42"/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/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/>
      <c r="AG499" s="32"/>
      <c r="AH499" s="32"/>
      <c r="AI499" s="32"/>
      <c r="AJ499" s="32"/>
      <c r="AK499" s="32"/>
      <c r="AL499" s="32"/>
      <c r="AM499" s="32"/>
    </row>
    <row r="500" spans="1:39">
      <c r="A500" s="32" t="str">
        <f>_xlfn.XLOOKUP(B500,Input!J:J,Input!G:G)&amp;""</f>
        <v/>
      </c>
      <c r="B500" s="32"/>
      <c r="C500" s="32" t="str">
        <f>_xlfn.XLOOKUP(B500,Input!J:J,Input!H:H)&amp;""</f>
        <v/>
      </c>
      <c r="D500" s="42">
        <f>_xlfn.XLOOKUP(B500,Input!J:J,Input!F:F)</f>
        <v>0</v>
      </c>
      <c r="E500" s="32">
        <f>_xlfn.XLOOKUP(D500,Models!H:H,Models!G:G,D500)</f>
        <v>0</v>
      </c>
      <c r="F500" s="32">
        <f>_xlfn.XLOOKUP(B500,Input!J:J,Input!E:E)</f>
        <v>0</v>
      </c>
      <c r="G500" s="32">
        <f>IF(F500="LENOVO",_xlfn.XLOOKUP(B500,Input!J:J,Input!K:K),_xlfn.XLOOKUP(B500,Input!J:J,Input!L:L))</f>
        <v>0</v>
      </c>
      <c r="H500" s="32"/>
      <c r="I500" s="32"/>
      <c r="J500" s="32"/>
      <c r="K500" s="42" t="e">
        <f>INDEX(Input!$D$2:$AC$500,
       MATCH(B500, Input!$J$2:$J$500, 0),
       MATCH("Total Memory", Input!$D$1:$AC$1, 0))</f>
        <v>#N/A</v>
      </c>
      <c r="L500" s="42"/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e">
        <f t="shared" si="23"/>
        <v>#N/A</v>
      </c>
      <c r="O500" s="42" t="e">
        <f>INDEX(Input!$D$2:$AC$500,
       MATCH(B500, Input!$J$2:$J$500, 0),
       MATCH("Disk Interface Type", Input!$D$1:$AC$1, 0))</f>
        <v>#N/A</v>
      </c>
      <c r="P500" s="42" t="str" cm="1">
        <f t="array" ref="P500">IFERROR(_xlfn.TEXTJOIN(", ", TRUE, _xlfn._xlws.FILTER(
    INDEX(Input!$D$2:$AC$500,,MATCH("Disk Capacity",Input!$D$1:$AC$1,0)),
    Input!$J$2:$J$500=B500
)), "")</f>
        <v/>
      </c>
      <c r="Q500" s="32" t="e">
        <f t="shared" si="22"/>
        <v>#N/A</v>
      </c>
      <c r="R500" s="42" t="e">
        <f>_xlfn.LET(_xlpm.Result,INDEX(Input!$D$2:$AC$500,
       MATCH(B500, Input!$J$2:$J$500, 0),
       MATCH("Capacity", Input!$D$1:$AC$1, 0)),IF(_xlpm.Result="","",_xlpm.Result))</f>
        <v>#N/A</v>
      </c>
      <c r="S500" s="42"/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/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/>
      <c r="AG500" s="32"/>
      <c r="AH500" s="32"/>
      <c r="AI500" s="32"/>
      <c r="AJ500" s="32"/>
      <c r="AK500" s="32"/>
      <c r="AL500" s="32"/>
      <c r="AM500" s="32"/>
    </row>
    <row r="501" spans="1:39">
      <c r="A501" s="32" t="str">
        <f>_xlfn.XLOOKUP(B501,Input!J:J,Input!G:G)&amp;""</f>
        <v/>
      </c>
      <c r="B501" s="32"/>
      <c r="C501" s="32" t="str">
        <f>_xlfn.XLOOKUP(B501,Input!J:J,Input!H:H)&amp;""</f>
        <v/>
      </c>
      <c r="D501" s="42">
        <f>_xlfn.XLOOKUP(B501,Input!J:J,Input!F:F)</f>
        <v>0</v>
      </c>
      <c r="E501" s="32">
        <f>_xlfn.XLOOKUP(D501,Models!H:H,Models!G:G,D501)</f>
        <v>0</v>
      </c>
      <c r="F501" s="32">
        <f>_xlfn.XLOOKUP(B501,Input!J:J,Input!E:E)</f>
        <v>0</v>
      </c>
      <c r="G501" s="32">
        <f>IF(F501="LENOVO",_xlfn.XLOOKUP(B501,Input!J:J,Input!K:K),_xlfn.XLOOKUP(B501,Input!J:J,Input!L:L))</f>
        <v>0</v>
      </c>
      <c r="H501" s="32"/>
      <c r="I501" s="32"/>
      <c r="J501" s="32"/>
      <c r="K501" s="42" t="e">
        <f>INDEX(Input!$D$2:$AC$500,
       MATCH(B501, Input!$J$2:$J$500, 0),
       MATCH("Total Memory", Input!$D$1:$AC$1, 0))</f>
        <v>#N/A</v>
      </c>
      <c r="L501" s="42"/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e">
        <f t="shared" si="23"/>
        <v>#N/A</v>
      </c>
      <c r="O501" s="42" t="e">
        <f>INDEX(Input!$D$2:$AC$500,
       MATCH(B501, Input!$J$2:$J$500, 0),
       MATCH("Disk Interface Type", Input!$D$1:$AC$1, 0))</f>
        <v>#N/A</v>
      </c>
      <c r="P501" s="42" t="str" cm="1">
        <f t="array" ref="P501">IFERROR(_xlfn.TEXTJOIN(", ", TRUE, _xlfn._xlws.FILTER(
    INDEX(Input!$D$2:$AC$500,,MATCH("Disk Capacity",Input!$D$1:$AC$1,0)),
    Input!$J$2:$J$500=B501
)), "")</f>
        <v/>
      </c>
      <c r="Q501" s="32" t="e">
        <f t="shared" si="22"/>
        <v>#N/A</v>
      </c>
      <c r="R501" s="42" t="e">
        <f>_xlfn.LET(_xlpm.Result,INDEX(Input!$D$2:$AC$500,
       MATCH(B501, Input!$J$2:$J$500, 0),
       MATCH("Capacity", Input!$D$1:$AC$1, 0)),IF(_xlpm.Result="","",_xlpm.Result))</f>
        <v>#N/A</v>
      </c>
      <c r="S501" s="42"/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/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/>
      <c r="AG501" s="32"/>
      <c r="AH501" s="32"/>
      <c r="AI501" s="32"/>
      <c r="AJ501" s="32"/>
      <c r="AK501" s="32"/>
      <c r="AL501" s="32"/>
      <c r="AM501" s="32"/>
    </row>
    <row r="502" spans="1:39">
      <c r="A502" s="32" t="str">
        <f>_xlfn.XLOOKUP(B502,Input!J:J,Input!G:G)&amp;""</f>
        <v/>
      </c>
      <c r="B502" s="32"/>
      <c r="C502" s="32" t="str">
        <f>_xlfn.XLOOKUP(B502,Input!J:J,Input!H:H)&amp;""</f>
        <v/>
      </c>
      <c r="D502" s="42">
        <f>_xlfn.XLOOKUP(B502,Input!J:J,Input!F:F)</f>
        <v>0</v>
      </c>
      <c r="E502" s="32">
        <f>_xlfn.XLOOKUP(D502,Models!H:H,Models!G:G,D502)</f>
        <v>0</v>
      </c>
      <c r="F502" s="32">
        <f>_xlfn.XLOOKUP(B502,Input!J:J,Input!E:E)</f>
        <v>0</v>
      </c>
      <c r="G502" s="32">
        <f>IF(F502="LENOVO",_xlfn.XLOOKUP(B502,Input!J:J,Input!K:K),_xlfn.XLOOKUP(B502,Input!J:J,Input!L:L))</f>
        <v>0</v>
      </c>
      <c r="H502" s="32"/>
      <c r="I502" s="32"/>
      <c r="J502" s="32"/>
      <c r="K502" s="42" t="e">
        <f>INDEX(Input!$D$2:$AC$500,
       MATCH(B502, Input!$J$2:$J$500, 0),
       MATCH("Total Memory", Input!$D$1:$AC$1, 0))</f>
        <v>#N/A</v>
      </c>
      <c r="L502" s="42"/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e">
        <f t="shared" si="23"/>
        <v>#N/A</v>
      </c>
      <c r="O502" s="42" t="e">
        <f>INDEX(Input!$D$2:$AC$500,
       MATCH(B502, Input!$J$2:$J$500, 0),
       MATCH("Disk Interface Type", Input!$D$1:$AC$1, 0))</f>
        <v>#N/A</v>
      </c>
      <c r="P502" s="42" t="str" cm="1">
        <f t="array" ref="P502">IFERROR(_xlfn.TEXTJOIN(", ", TRUE, _xlfn._xlws.FILTER(
    INDEX(Input!$D$2:$AC$500,,MATCH("Disk Capacity",Input!$D$1:$AC$1,0)),
    Input!$J$2:$J$500=B502
)), "")</f>
        <v/>
      </c>
      <c r="Q502" s="32" t="e">
        <f t="shared" si="22"/>
        <v>#N/A</v>
      </c>
      <c r="R502" s="42" t="e">
        <f>_xlfn.LET(_xlpm.Result,INDEX(Input!$D$2:$AC$500,
       MATCH(B502, Input!$J$2:$J$500, 0),
       MATCH("Capacity", Input!$D$1:$AC$1, 0)),IF(_xlpm.Result="","",_xlpm.Result))</f>
        <v>#N/A</v>
      </c>
      <c r="S502" s="42"/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/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/>
      <c r="AG502" s="32"/>
      <c r="AH502" s="32"/>
      <c r="AI502" s="32"/>
      <c r="AJ502" s="32"/>
      <c r="AK502" s="32"/>
      <c r="AL502" s="32"/>
      <c r="AM502" s="32"/>
    </row>
    <row r="503" spans="1:39">
      <c r="A503" s="32" t="str">
        <f>_xlfn.XLOOKUP(B503,Input!J:J,Input!G:G)&amp;""</f>
        <v/>
      </c>
      <c r="B503" s="32"/>
      <c r="C503" s="32" t="str">
        <f>_xlfn.XLOOKUP(B503,Input!J:J,Input!H:H)&amp;""</f>
        <v/>
      </c>
      <c r="D503" s="42">
        <f>_xlfn.XLOOKUP(B503,Input!J:J,Input!F:F)</f>
        <v>0</v>
      </c>
      <c r="E503" s="32">
        <f>_xlfn.XLOOKUP(D503,Models!H:H,Models!G:G,D503)</f>
        <v>0</v>
      </c>
      <c r="F503" s="32">
        <f>_xlfn.XLOOKUP(B503,Input!J:J,Input!E:E)</f>
        <v>0</v>
      </c>
      <c r="G503" s="32">
        <f>IF(F503="LENOVO",_xlfn.XLOOKUP(B503,Input!J:J,Input!K:K),_xlfn.XLOOKUP(B503,Input!J:J,Input!L:L))</f>
        <v>0</v>
      </c>
      <c r="H503" s="32"/>
      <c r="I503" s="32"/>
      <c r="J503" s="32"/>
      <c r="K503" s="42" t="e">
        <f>INDEX(Input!$D$2:$AC$500,
       MATCH(B503, Input!$J$2:$J$500, 0),
       MATCH("Total Memory", Input!$D$1:$AC$1, 0))</f>
        <v>#N/A</v>
      </c>
      <c r="L503" s="42"/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e">
        <f t="shared" si="23"/>
        <v>#N/A</v>
      </c>
      <c r="O503" s="42" t="e">
        <f>INDEX(Input!$D$2:$AC$500,
       MATCH(B503, Input!$J$2:$J$500, 0),
       MATCH("Disk Interface Type", Input!$D$1:$AC$1, 0))</f>
        <v>#N/A</v>
      </c>
      <c r="P503" s="42" t="str" cm="1">
        <f t="array" ref="P503">IFERROR(_xlfn.TEXTJOIN(", ", TRUE, _xlfn._xlws.FILTER(
    INDEX(Input!$D$2:$AC$500,,MATCH("Disk Capacity",Input!$D$1:$AC$1,0)),
    Input!$J$2:$J$500=B503
)), "")</f>
        <v/>
      </c>
      <c r="Q503" s="32" t="e">
        <f t="shared" si="22"/>
        <v>#N/A</v>
      </c>
      <c r="R503" s="42" t="e">
        <f>_xlfn.LET(_xlpm.Result,INDEX(Input!$D$2:$AC$500,
       MATCH(B503, Input!$J$2:$J$500, 0),
       MATCH("Capacity", Input!$D$1:$AC$1, 0)),IF(_xlpm.Result="","",_xlpm.Result))</f>
        <v>#N/A</v>
      </c>
      <c r="S503" s="42"/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/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/>
      <c r="AG503" s="32"/>
      <c r="AH503" s="32"/>
      <c r="AI503" s="32"/>
      <c r="AJ503" s="32"/>
      <c r="AK503" s="32"/>
      <c r="AL503" s="32"/>
      <c r="AM503" s="32"/>
    </row>
    <row r="504" spans="1:39">
      <c r="A504" s="32" t="str">
        <f>_xlfn.XLOOKUP(B504,Input!J:J,Input!G:G)&amp;""</f>
        <v/>
      </c>
      <c r="B504" s="32"/>
      <c r="C504" s="32" t="str">
        <f>_xlfn.XLOOKUP(B504,Input!J:J,Input!H:H)&amp;""</f>
        <v/>
      </c>
      <c r="D504" s="42">
        <f>_xlfn.XLOOKUP(B504,Input!J:J,Input!F:F)</f>
        <v>0</v>
      </c>
      <c r="E504" s="32">
        <f>_xlfn.XLOOKUP(D504,Models!H:H,Models!G:G,D504)</f>
        <v>0</v>
      </c>
      <c r="F504" s="32">
        <f>_xlfn.XLOOKUP(B504,Input!J:J,Input!E:E)</f>
        <v>0</v>
      </c>
      <c r="G504" s="32">
        <f>IF(F504="LENOVO",_xlfn.XLOOKUP(B504,Input!J:J,Input!K:K),_xlfn.XLOOKUP(B504,Input!J:J,Input!L:L))</f>
        <v>0</v>
      </c>
      <c r="H504" s="32"/>
      <c r="I504" s="32"/>
      <c r="J504" s="32"/>
      <c r="K504" s="42" t="e">
        <f>INDEX(Input!$D$2:$AC$500,
       MATCH(B504, Input!$J$2:$J$500, 0),
       MATCH("Total Memory", Input!$D$1:$AC$1, 0))</f>
        <v>#N/A</v>
      </c>
      <c r="L504" s="42"/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e">
        <f t="shared" si="23"/>
        <v>#N/A</v>
      </c>
      <c r="O504" s="42" t="e">
        <f>INDEX(Input!$D$2:$AC$500,
       MATCH(B504, Input!$J$2:$J$500, 0),
       MATCH("Disk Interface Type", Input!$D$1:$AC$1, 0))</f>
        <v>#N/A</v>
      </c>
      <c r="P504" s="42" t="str" cm="1">
        <f t="array" ref="P504">IFERROR(_xlfn.TEXTJOIN(", ", TRUE, _xlfn._xlws.FILTER(
    INDEX(Input!$D$2:$AC$500,,MATCH("Disk Capacity",Input!$D$1:$AC$1,0)),
    Input!$J$2:$J$500=B504
)), "")</f>
        <v/>
      </c>
      <c r="Q504" s="32" t="e">
        <f t="shared" si="22"/>
        <v>#N/A</v>
      </c>
      <c r="R504" s="42" t="e">
        <f>_xlfn.LET(_xlpm.Result,INDEX(Input!$D$2:$AC$500,
       MATCH(B504, Input!$J$2:$J$500, 0),
       MATCH("Capacity", Input!$D$1:$AC$1, 0)),IF(_xlpm.Result="","",_xlpm.Result))</f>
        <v>#N/A</v>
      </c>
      <c r="S504" s="42"/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/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/>
      <c r="AG504" s="32"/>
      <c r="AH504" s="32"/>
      <c r="AI504" s="32"/>
      <c r="AJ504" s="32"/>
      <c r="AK504" s="32"/>
      <c r="AL504" s="32"/>
      <c r="AM504" s="32"/>
    </row>
    <row r="505" spans="1:39">
      <c r="A505" s="32" t="str">
        <f>_xlfn.XLOOKUP(B505,Input!J:J,Input!G:G)&amp;""</f>
        <v/>
      </c>
      <c r="B505" s="32"/>
      <c r="C505" s="32" t="str">
        <f>_xlfn.XLOOKUP(B505,Input!J:J,Input!H:H)&amp;""</f>
        <v/>
      </c>
      <c r="D505" s="42">
        <f>_xlfn.XLOOKUP(B505,Input!J:J,Input!F:F)</f>
        <v>0</v>
      </c>
      <c r="E505" s="32">
        <f>_xlfn.XLOOKUP(D505,Models!H:H,Models!G:G,D505)</f>
        <v>0</v>
      </c>
      <c r="F505" s="32">
        <f>_xlfn.XLOOKUP(B505,Input!J:J,Input!E:E)</f>
        <v>0</v>
      </c>
      <c r="G505" s="32">
        <f>IF(F505="LENOVO",_xlfn.XLOOKUP(B505,Input!J:J,Input!K:K),_xlfn.XLOOKUP(B505,Input!J:J,Input!L:L))</f>
        <v>0</v>
      </c>
      <c r="H505" s="32"/>
      <c r="I505" s="32"/>
      <c r="J505" s="32"/>
      <c r="K505" s="42" t="e">
        <f>INDEX(Input!$D$2:$AC$500,
       MATCH(B505, Input!$J$2:$J$500, 0),
       MATCH("Total Memory", Input!$D$1:$AC$1, 0))</f>
        <v>#N/A</v>
      </c>
      <c r="L505" s="42"/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e">
        <f t="shared" si="23"/>
        <v>#N/A</v>
      </c>
      <c r="O505" s="42" t="e">
        <f>INDEX(Input!$D$2:$AC$500,
       MATCH(B505, Input!$J$2:$J$500, 0),
       MATCH("Disk Interface Type", Input!$D$1:$AC$1, 0))</f>
        <v>#N/A</v>
      </c>
      <c r="P505" s="42" t="str" cm="1">
        <f t="array" ref="P505">IFERROR(_xlfn.TEXTJOIN(", ", TRUE, _xlfn._xlws.FILTER(
    INDEX(Input!$D$2:$AC$500,,MATCH("Disk Capacity",Input!$D$1:$AC$1,0)),
    Input!$J$2:$J$500=B505
)), "")</f>
        <v/>
      </c>
      <c r="Q505" s="32" t="e">
        <f t="shared" si="22"/>
        <v>#N/A</v>
      </c>
      <c r="R505" s="42" t="e">
        <f>_xlfn.LET(_xlpm.Result,INDEX(Input!$D$2:$AC$500,
       MATCH(B505, Input!$J$2:$J$500, 0),
       MATCH("Capacity", Input!$D$1:$AC$1, 0)),IF(_xlpm.Result="","",_xlpm.Result))</f>
        <v>#N/A</v>
      </c>
      <c r="S505" s="42"/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/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/>
      <c r="AG505" s="32"/>
      <c r="AH505" s="32"/>
      <c r="AI505" s="32"/>
      <c r="AJ505" s="32"/>
      <c r="AK505" s="32"/>
      <c r="AL505" s="32"/>
      <c r="AM505" s="32"/>
    </row>
    <row r="506" spans="1:39">
      <c r="A506" s="32" t="str">
        <f>_xlfn.XLOOKUP(B506,Input!J:J,Input!G:G)&amp;""</f>
        <v/>
      </c>
      <c r="B506" s="32"/>
      <c r="C506" s="32" t="str">
        <f>_xlfn.XLOOKUP(B506,Input!J:J,Input!H:H)&amp;""</f>
        <v/>
      </c>
      <c r="D506" s="42">
        <f>_xlfn.XLOOKUP(B506,Input!J:J,Input!F:F)</f>
        <v>0</v>
      </c>
      <c r="E506" s="32">
        <f>_xlfn.XLOOKUP(D506,Models!H:H,Models!G:G,D506)</f>
        <v>0</v>
      </c>
      <c r="F506" s="32">
        <f>_xlfn.XLOOKUP(B506,Input!J:J,Input!E:E)</f>
        <v>0</v>
      </c>
      <c r="G506" s="32">
        <f>IF(F506="LENOVO",_xlfn.XLOOKUP(B506,Input!J:J,Input!K:K),_xlfn.XLOOKUP(B506,Input!J:J,Input!L:L))</f>
        <v>0</v>
      </c>
      <c r="H506" s="32"/>
      <c r="I506" s="32"/>
      <c r="J506" s="32"/>
      <c r="K506" s="42" t="e">
        <f>INDEX(Input!$D$2:$AC$500,
       MATCH(B506, Input!$J$2:$J$500, 0),
       MATCH("Total Memory", Input!$D$1:$AC$1, 0))</f>
        <v>#N/A</v>
      </c>
      <c r="L506" s="42"/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e">
        <f t="shared" si="23"/>
        <v>#N/A</v>
      </c>
      <c r="O506" s="42" t="e">
        <f>INDEX(Input!$D$2:$AC$500,
       MATCH(B506, Input!$J$2:$J$500, 0),
       MATCH("Disk Interface Type", Input!$D$1:$AC$1, 0))</f>
        <v>#N/A</v>
      </c>
      <c r="P506" s="42" t="str" cm="1">
        <f t="array" ref="P506">IFERROR(_xlfn.TEXTJOIN(", ", TRUE, _xlfn._xlws.FILTER(
    INDEX(Input!$D$2:$AC$500,,MATCH("Disk Capacity",Input!$D$1:$AC$1,0)),
    Input!$J$2:$J$500=B506
)), "")</f>
        <v/>
      </c>
      <c r="Q506" s="32" t="e">
        <f t="shared" si="22"/>
        <v>#N/A</v>
      </c>
      <c r="R506" s="42" t="e">
        <f>_xlfn.LET(_xlpm.Result,INDEX(Input!$D$2:$AC$500,
       MATCH(B506, Input!$J$2:$J$500, 0),
       MATCH("Capacity", Input!$D$1:$AC$1, 0)),IF(_xlpm.Result="","",_xlpm.Result))</f>
        <v>#N/A</v>
      </c>
      <c r="S506" s="42"/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/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/>
      <c r="AG506" s="32"/>
      <c r="AH506" s="32"/>
      <c r="AI506" s="32"/>
      <c r="AJ506" s="32"/>
      <c r="AK506" s="32"/>
      <c r="AL506" s="32"/>
      <c r="AM506" s="32"/>
    </row>
    <row r="507" spans="1:39">
      <c r="A507" s="32" t="str">
        <f>_xlfn.XLOOKUP(B507,Input!J:J,Input!G:G)&amp;""</f>
        <v/>
      </c>
      <c r="B507" s="32"/>
      <c r="C507" s="32" t="str">
        <f>_xlfn.XLOOKUP(B507,Input!J:J,Input!H:H)&amp;""</f>
        <v/>
      </c>
      <c r="D507" s="42">
        <f>_xlfn.XLOOKUP(B507,Input!J:J,Input!F:F)</f>
        <v>0</v>
      </c>
      <c r="E507" s="32">
        <f>_xlfn.XLOOKUP(D507,Models!H:H,Models!G:G,D507)</f>
        <v>0</v>
      </c>
      <c r="F507" s="32">
        <f>_xlfn.XLOOKUP(B507,Input!J:J,Input!E:E)</f>
        <v>0</v>
      </c>
      <c r="G507" s="32">
        <f>IF(F507="LENOVO",_xlfn.XLOOKUP(B507,Input!J:J,Input!K:K),_xlfn.XLOOKUP(B507,Input!J:J,Input!L:L))</f>
        <v>0</v>
      </c>
      <c r="H507" s="32"/>
      <c r="I507" s="32"/>
      <c r="J507" s="32"/>
      <c r="K507" s="42" t="e">
        <f>INDEX(Input!$D$2:$AC$500,
       MATCH(B507, Input!$J$2:$J$500, 0),
       MATCH("Total Memory", Input!$D$1:$AC$1, 0))</f>
        <v>#N/A</v>
      </c>
      <c r="L507" s="42"/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e">
        <f t="shared" si="23"/>
        <v>#N/A</v>
      </c>
      <c r="O507" s="42" t="e">
        <f>INDEX(Input!$D$2:$AC$500,
       MATCH(B507, Input!$J$2:$J$500, 0),
       MATCH("Disk Interface Type", Input!$D$1:$AC$1, 0))</f>
        <v>#N/A</v>
      </c>
      <c r="P507" s="42" t="str" cm="1">
        <f t="array" ref="P507">IFERROR(_xlfn.TEXTJOIN(", ", TRUE, _xlfn._xlws.FILTER(
    INDEX(Input!$D$2:$AC$500,,MATCH("Disk Capacity",Input!$D$1:$AC$1,0)),
    Input!$J$2:$J$500=B507
)), "")</f>
        <v/>
      </c>
      <c r="Q507" s="32" t="e">
        <f t="shared" si="22"/>
        <v>#N/A</v>
      </c>
      <c r="R507" s="42" t="e">
        <f>_xlfn.LET(_xlpm.Result,INDEX(Input!$D$2:$AC$500,
       MATCH(B507, Input!$J$2:$J$500, 0),
       MATCH("Capacity", Input!$D$1:$AC$1, 0)),IF(_xlpm.Result="","",_xlpm.Result))</f>
        <v>#N/A</v>
      </c>
      <c r="S507" s="42"/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/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/>
      <c r="AG507" s="32"/>
      <c r="AH507" s="32"/>
      <c r="AI507" s="32"/>
      <c r="AJ507" s="32"/>
      <c r="AK507" s="32"/>
      <c r="AL507" s="32"/>
      <c r="AM507" s="32"/>
    </row>
    <row r="508" spans="1:39">
      <c r="A508" s="32" t="str">
        <f>_xlfn.XLOOKUP(B508,Input!J:J,Input!G:G)&amp;""</f>
        <v/>
      </c>
      <c r="B508" s="32"/>
      <c r="C508" s="32" t="str">
        <f>_xlfn.XLOOKUP(B508,Input!J:J,Input!H:H)&amp;""</f>
        <v/>
      </c>
      <c r="D508" s="42">
        <f>_xlfn.XLOOKUP(B508,Input!J:J,Input!F:F)</f>
        <v>0</v>
      </c>
      <c r="E508" s="32">
        <f>_xlfn.XLOOKUP(D508,Models!H:H,Models!G:G,D508)</f>
        <v>0</v>
      </c>
      <c r="F508" s="32">
        <f>_xlfn.XLOOKUP(B508,Input!J:J,Input!E:E)</f>
        <v>0</v>
      </c>
      <c r="G508" s="32">
        <f>IF(F508="LENOVO",_xlfn.XLOOKUP(B508,Input!J:J,Input!K:K),_xlfn.XLOOKUP(B508,Input!J:J,Input!L:L))</f>
        <v>0</v>
      </c>
      <c r="H508" s="32"/>
      <c r="I508" s="32"/>
      <c r="J508" s="32"/>
      <c r="K508" s="42" t="e">
        <f>INDEX(Input!$D$2:$AC$500,
       MATCH(B508, Input!$J$2:$J$500, 0),
       MATCH("Total Memory", Input!$D$1:$AC$1, 0))</f>
        <v>#N/A</v>
      </c>
      <c r="L508" s="42"/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e">
        <f t="shared" si="23"/>
        <v>#N/A</v>
      </c>
      <c r="O508" s="42" t="e">
        <f>INDEX(Input!$D$2:$AC$500,
       MATCH(B508, Input!$J$2:$J$500, 0),
       MATCH("Disk Interface Type", Input!$D$1:$AC$1, 0))</f>
        <v>#N/A</v>
      </c>
      <c r="P508" s="42" t="str" cm="1">
        <f t="array" ref="P508">IFERROR(_xlfn.TEXTJOIN(", ", TRUE, _xlfn._xlws.FILTER(
    INDEX(Input!$D$2:$AC$500,,MATCH("Disk Capacity",Input!$D$1:$AC$1,0)),
    Input!$J$2:$J$500=B508
)), "")</f>
        <v/>
      </c>
      <c r="Q508" s="32" t="e">
        <f t="shared" si="22"/>
        <v>#N/A</v>
      </c>
      <c r="R508" s="42" t="e">
        <f>_xlfn.LET(_xlpm.Result,INDEX(Input!$D$2:$AC$500,
       MATCH(B508, Input!$J$2:$J$500, 0),
       MATCH("Capacity", Input!$D$1:$AC$1, 0)),IF(_xlpm.Result="","",_xlpm.Result))</f>
        <v>#N/A</v>
      </c>
      <c r="S508" s="42"/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/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/>
      <c r="AG508" s="32"/>
      <c r="AH508" s="32"/>
      <c r="AI508" s="32"/>
      <c r="AJ508" s="32"/>
      <c r="AK508" s="32"/>
      <c r="AL508" s="32"/>
      <c r="AM508" s="32"/>
    </row>
    <row r="509" spans="1:39">
      <c r="A509" s="32" t="str">
        <f>_xlfn.XLOOKUP(B509,Input!J:J,Input!G:G)&amp;""</f>
        <v/>
      </c>
      <c r="B509" s="32"/>
      <c r="C509" s="32" t="str">
        <f>_xlfn.XLOOKUP(B509,Input!J:J,Input!H:H)&amp;""</f>
        <v/>
      </c>
      <c r="D509" s="42">
        <f>_xlfn.XLOOKUP(B509,Input!J:J,Input!F:F)</f>
        <v>0</v>
      </c>
      <c r="E509" s="32">
        <f>_xlfn.XLOOKUP(D509,Models!H:H,Models!G:G,D509)</f>
        <v>0</v>
      </c>
      <c r="F509" s="32">
        <f>_xlfn.XLOOKUP(B509,Input!J:J,Input!E:E)</f>
        <v>0</v>
      </c>
      <c r="G509" s="32">
        <f>IF(F509="LENOVO",_xlfn.XLOOKUP(B509,Input!J:J,Input!K:K),_xlfn.XLOOKUP(B509,Input!J:J,Input!L:L))</f>
        <v>0</v>
      </c>
      <c r="H509" s="32"/>
      <c r="I509" s="32"/>
      <c r="J509" s="32"/>
      <c r="K509" s="42" t="e">
        <f>INDEX(Input!$D$2:$AC$500,
       MATCH(B509, Input!$J$2:$J$500, 0),
       MATCH("Total Memory", Input!$D$1:$AC$1, 0))</f>
        <v>#N/A</v>
      </c>
      <c r="L509" s="42"/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e">
        <f t="shared" si="23"/>
        <v>#N/A</v>
      </c>
      <c r="O509" s="42" t="e">
        <f>INDEX(Input!$D$2:$AC$500,
       MATCH(B509, Input!$J$2:$J$500, 0),
       MATCH("Disk Interface Type", Input!$D$1:$AC$1, 0))</f>
        <v>#N/A</v>
      </c>
      <c r="P509" s="42" t="str" cm="1">
        <f t="array" ref="P509">IFERROR(_xlfn.TEXTJOIN(", ", TRUE, _xlfn._xlws.FILTER(
    INDEX(Input!$D$2:$AC$500,,MATCH("Disk Capacity",Input!$D$1:$AC$1,0)),
    Input!$J$2:$J$500=B509
)), "")</f>
        <v/>
      </c>
      <c r="Q509" s="32" t="e">
        <f t="shared" si="22"/>
        <v>#N/A</v>
      </c>
      <c r="R509" s="42" t="e">
        <f>_xlfn.LET(_xlpm.Result,INDEX(Input!$D$2:$AC$500,
       MATCH(B509, Input!$J$2:$J$500, 0),
       MATCH("Capacity", Input!$D$1:$AC$1, 0)),IF(_xlpm.Result="","",_xlpm.Result))</f>
        <v>#N/A</v>
      </c>
      <c r="S509" s="42"/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/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/>
      <c r="AG509" s="32"/>
      <c r="AH509" s="32"/>
      <c r="AI509" s="32"/>
      <c r="AJ509" s="32"/>
      <c r="AK509" s="32"/>
      <c r="AL509" s="32"/>
      <c r="AM509" s="32"/>
    </row>
    <row r="510" spans="1:39">
      <c r="A510" s="32" t="str">
        <f>_xlfn.XLOOKUP(B510,Input!J:J,Input!G:G)&amp;""</f>
        <v/>
      </c>
      <c r="B510" s="32"/>
      <c r="C510" s="32" t="str">
        <f>_xlfn.XLOOKUP(B510,Input!J:J,Input!H:H)&amp;""</f>
        <v/>
      </c>
      <c r="D510" s="42">
        <f>_xlfn.XLOOKUP(B510,Input!J:J,Input!F:F)</f>
        <v>0</v>
      </c>
      <c r="E510" s="32">
        <f>_xlfn.XLOOKUP(D510,Models!H:H,Models!G:G,D510)</f>
        <v>0</v>
      </c>
      <c r="F510" s="32">
        <f>_xlfn.XLOOKUP(B510,Input!J:J,Input!E:E)</f>
        <v>0</v>
      </c>
      <c r="G510" s="32">
        <f>IF(F510="LENOVO",_xlfn.XLOOKUP(B510,Input!J:J,Input!K:K),_xlfn.XLOOKUP(B510,Input!J:J,Input!L:L))</f>
        <v>0</v>
      </c>
      <c r="H510" s="32"/>
      <c r="I510" s="32"/>
      <c r="J510" s="32"/>
      <c r="K510" s="42" t="e">
        <f>INDEX(Input!$D$2:$AC$500,
       MATCH(B510, Input!$J$2:$J$500, 0),
       MATCH("Total Memory", Input!$D$1:$AC$1, 0))</f>
        <v>#N/A</v>
      </c>
      <c r="L510" s="42"/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e">
        <f t="shared" si="23"/>
        <v>#N/A</v>
      </c>
      <c r="O510" s="42" t="e">
        <f>INDEX(Input!$D$2:$AC$500,
       MATCH(B510, Input!$J$2:$J$500, 0),
       MATCH("Disk Interface Type", Input!$D$1:$AC$1, 0))</f>
        <v>#N/A</v>
      </c>
      <c r="P510" s="42" t="str" cm="1">
        <f t="array" ref="P510">IFERROR(_xlfn.TEXTJOIN(", ", TRUE, _xlfn._xlws.FILTER(
    INDEX(Input!$D$2:$AC$500,,MATCH("Disk Capacity",Input!$D$1:$AC$1,0)),
    Input!$J$2:$J$500=B510
)), "")</f>
        <v/>
      </c>
      <c r="Q510" s="32" t="e">
        <f t="shared" si="22"/>
        <v>#N/A</v>
      </c>
      <c r="R510" s="42" t="e">
        <f>_xlfn.LET(_xlpm.Result,INDEX(Input!$D$2:$AC$500,
       MATCH(B510, Input!$J$2:$J$500, 0),
       MATCH("Capacity", Input!$D$1:$AC$1, 0)),IF(_xlpm.Result="","",_xlpm.Result))</f>
        <v>#N/A</v>
      </c>
      <c r="S510" s="42"/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/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/>
      <c r="AG510" s="32"/>
      <c r="AH510" s="32"/>
      <c r="AI510" s="32"/>
      <c r="AJ510" s="32"/>
      <c r="AK510" s="32"/>
      <c r="AL510" s="32"/>
      <c r="AM510" s="32"/>
    </row>
    <row r="511" spans="1:39">
      <c r="A511" s="32" t="str">
        <f>_xlfn.XLOOKUP(B511,Input!J:J,Input!G:G)&amp;""</f>
        <v/>
      </c>
      <c r="B511" s="32"/>
      <c r="C511" s="32" t="str">
        <f>_xlfn.XLOOKUP(B511,Input!J:J,Input!H:H)&amp;""</f>
        <v/>
      </c>
      <c r="D511" s="42">
        <f>_xlfn.XLOOKUP(B511,Input!J:J,Input!F:F)</f>
        <v>0</v>
      </c>
      <c r="E511" s="32">
        <f>_xlfn.XLOOKUP(D511,Models!H:H,Models!G:G,D511)</f>
        <v>0</v>
      </c>
      <c r="F511" s="32">
        <f>_xlfn.XLOOKUP(B511,Input!J:J,Input!E:E)</f>
        <v>0</v>
      </c>
      <c r="G511" s="32">
        <f>IF(F511="LENOVO",_xlfn.XLOOKUP(B511,Input!J:J,Input!K:K),_xlfn.XLOOKUP(B511,Input!J:J,Input!L:L))</f>
        <v>0</v>
      </c>
      <c r="H511" s="32"/>
      <c r="I511" s="32"/>
      <c r="J511" s="32"/>
      <c r="K511" s="42" t="e">
        <f>INDEX(Input!$D$2:$AC$500,
       MATCH(B511, Input!$J$2:$J$500, 0),
       MATCH("Total Memory", Input!$D$1:$AC$1, 0))</f>
        <v>#N/A</v>
      </c>
      <c r="L511" s="42"/>
      <c r="M511" s="42" t="str" cm="1">
        <f t="array" ref="M511">IFERROR(_xlfn.FILTERXML("&lt;t&gt;&lt;s&gt;" &amp; SUBSTITUTE(L511," / ","&lt;/s&gt;&lt;s&gt;") &amp; "&lt;/s&gt;&lt;/t&gt;","(//s[contains(.,'DDR')])[1]"),"")</f>
        <v/>
      </c>
      <c r="N511" s="32" t="e">
        <f t="shared" si="23"/>
        <v>#N/A</v>
      </c>
      <c r="O511" s="42" t="e">
        <f>INDEX(Input!$D$2:$AC$500,
       MATCH(B511, Input!$J$2:$J$500, 0),
       MATCH("Disk Interface Type", Input!$D$1:$AC$1, 0))</f>
        <v>#N/A</v>
      </c>
      <c r="P511" s="42" t="str" cm="1">
        <f t="array" ref="P511">IFERROR(_xlfn.TEXTJOIN(", ", TRUE, _xlfn._xlws.FILTER(
    INDEX(Input!$D$2:$AC$500,,MATCH("Disk Capacity",Input!$D$1:$AC$1,0)),
    Input!$J$2:$J$500=B511
)), "")</f>
        <v/>
      </c>
      <c r="Q511" s="32" t="e">
        <f t="shared" si="22"/>
        <v>#N/A</v>
      </c>
      <c r="R511" s="42" t="e">
        <f>_xlfn.LET(_xlpm.Result,INDEX(Input!$D$2:$AC$500,
       MATCH(B511, Input!$J$2:$J$500, 0),
       MATCH("Capacity", Input!$D$1:$AC$1, 0)),IF(_xlpm.Result="","",_xlpm.Result))</f>
        <v>#N/A</v>
      </c>
      <c r="S511" s="42"/>
      <c r="T511" s="42"/>
      <c r="U511" s="42" t="str" cm="1">
        <f t="array" ref="U511">IFERROR(_xlfn.IFS(
S511="","",
--S511&lt;55,"Battery Defect",
--S511&lt;=69,"Battery D",
--S511&lt;=80,"Battery C",
--S511&gt;80,""
),"")</f>
        <v/>
      </c>
      <c r="V511" s="42" t="str" cm="1">
        <f t="array" ref="V511">IFERROR(_xlfn.IFS(
T511="","",
--T511&lt;55,"Battery Defect",
--T511&lt;=69,"Battery D",
--T511&lt;=80,"Battery C",
--T511&gt;80,""
),"")</f>
        <v/>
      </c>
      <c r="W511" s="42"/>
      <c r="X511" s="42"/>
      <c r="Y511" s="42"/>
      <c r="Z511" s="42"/>
      <c r="AA511" s="42"/>
      <c r="AB511" s="42"/>
      <c r="AC511" s="42"/>
      <c r="AD511" s="42"/>
      <c r="AE511" s="32" t="str">
        <f t="shared" si="21"/>
        <v/>
      </c>
      <c r="AF511" s="32"/>
      <c r="AG511" s="32"/>
      <c r="AH511" s="32"/>
      <c r="AI511" s="32"/>
      <c r="AJ511" s="32"/>
      <c r="AK511" s="32"/>
      <c r="AL511" s="32"/>
      <c r="AM511" s="32"/>
    </row>
    <row r="512" spans="1:39">
      <c r="A512" s="32" t="str">
        <f>_xlfn.XLOOKUP(B512,Input!J:J,Input!G:G)&amp;""</f>
        <v/>
      </c>
      <c r="B512" s="32"/>
      <c r="C512" s="32" t="str">
        <f>_xlfn.XLOOKUP(B512,Input!J:J,Input!H:H)&amp;""</f>
        <v/>
      </c>
      <c r="D512" s="42">
        <f>_xlfn.XLOOKUP(B512,Input!J:J,Input!F:F)</f>
        <v>0</v>
      </c>
      <c r="E512" s="32">
        <f>_xlfn.XLOOKUP(D512,Models!H:H,Models!G:G,D512)</f>
        <v>0</v>
      </c>
      <c r="F512" s="32">
        <f>_xlfn.XLOOKUP(B512,Input!J:J,Input!E:E)</f>
        <v>0</v>
      </c>
      <c r="G512" s="32">
        <f>IF(F512="LENOVO",_xlfn.XLOOKUP(B512,Input!J:J,Input!K:K),_xlfn.XLOOKUP(B512,Input!J:J,Input!L:L))</f>
        <v>0</v>
      </c>
      <c r="H512" s="32"/>
      <c r="I512" s="32"/>
      <c r="J512" s="32"/>
      <c r="K512" s="42" t="e">
        <f>INDEX(Input!$D$2:$AC$500,
       MATCH(B512, Input!$J$2:$J$500, 0),
       MATCH("Total Memory", Input!$D$1:$AC$1, 0))</f>
        <v>#N/A</v>
      </c>
      <c r="L512" s="42"/>
      <c r="M512" s="42" t="str" cm="1">
        <f t="array" ref="M512">IFERROR(_xlfn.FILTERXML("&lt;t&gt;&lt;s&gt;" &amp; SUBSTITUTE(L512," / ","&lt;/s&gt;&lt;s&gt;") &amp; "&lt;/s&gt;&lt;/t&gt;","(//s[contains(.,'DDR')])[1]"),"")</f>
        <v/>
      </c>
      <c r="N512" s="32" t="e">
        <f t="shared" si="23"/>
        <v>#N/A</v>
      </c>
      <c r="O512" s="42" t="e">
        <f>INDEX(Input!$D$2:$AC$500,
       MATCH(B512, Input!$J$2:$J$500, 0),
       MATCH("Disk Interface Type", Input!$D$1:$AC$1, 0))</f>
        <v>#N/A</v>
      </c>
      <c r="P512" s="42" t="str" cm="1">
        <f t="array" ref="P512">IFERROR(_xlfn.TEXTJOIN(", ", TRUE, _xlfn._xlws.FILTER(
    INDEX(Input!$D$2:$AC$500,,MATCH("Disk Capacity",Input!$D$1:$AC$1,0)),
    Input!$J$2:$J$500=B512
)), "")</f>
        <v/>
      </c>
      <c r="Q512" s="32" t="e">
        <f t="shared" si="22"/>
        <v>#N/A</v>
      </c>
      <c r="R512" s="42" t="e">
        <f>_xlfn.LET(_xlpm.Result,INDEX(Input!$D$2:$AC$500,
       MATCH(B512, Input!$J$2:$J$500, 0),
       MATCH("Capacity", Input!$D$1:$AC$1, 0)),IF(_xlpm.Result="","",_xlpm.Result))</f>
        <v>#N/A</v>
      </c>
      <c r="S512" s="42"/>
      <c r="T512" s="42"/>
      <c r="U512" s="42" t="str" cm="1">
        <f t="array" ref="U512">IFERROR(_xlfn.IFS(
S512="","",
--S512&lt;55,"Battery Defect",
--S512&lt;=69,"Battery D",
--S512&lt;=80,"Battery C",
--S512&gt;80,""
),"")</f>
        <v/>
      </c>
      <c r="V512" s="42" t="str" cm="1">
        <f t="array" ref="V512">IFERROR(_xlfn.IFS(
T512="","",
--T512&lt;55,"Battery Defect",
--T512&lt;=69,"Battery D",
--T512&lt;=80,"Battery C",
--T512&gt;80,""
),"")</f>
        <v/>
      </c>
      <c r="W512" s="42"/>
      <c r="X512" s="42"/>
      <c r="Y512" s="42"/>
      <c r="Z512" s="42"/>
      <c r="AA512" s="42"/>
      <c r="AB512" s="42"/>
      <c r="AC512" s="42"/>
      <c r="AD512" s="42"/>
      <c r="AE512" s="32" t="str">
        <f t="shared" si="21"/>
        <v/>
      </c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 t="str">
        <f>_xlfn.XLOOKUP(B513,Input!J:J,Input!G:G)&amp;""</f>
        <v/>
      </c>
      <c r="B513" s="32"/>
      <c r="C513" s="32" t="str">
        <f>_xlfn.XLOOKUP(B513,Input!J:J,Input!H:H)&amp;""</f>
        <v/>
      </c>
      <c r="D513" s="42">
        <f>_xlfn.XLOOKUP(B513,Input!J:J,Input!F:F)</f>
        <v>0</v>
      </c>
      <c r="E513" s="32">
        <f>_xlfn.XLOOKUP(D513,Models!H:H,Models!G:G,D513)</f>
        <v>0</v>
      </c>
      <c r="F513" s="32">
        <f>_xlfn.XLOOKUP(B513,Input!J:J,Input!E:E)</f>
        <v>0</v>
      </c>
      <c r="G513" s="32">
        <f>IF(F513="LENOVO",_xlfn.XLOOKUP(B513,Input!J:J,Input!K:K),_xlfn.XLOOKUP(B513,Input!J:J,Input!L:L))</f>
        <v>0</v>
      </c>
      <c r="H513" s="32"/>
      <c r="I513" s="32"/>
      <c r="J513" s="32"/>
      <c r="K513" s="42" t="e">
        <f>INDEX(Input!$D$2:$AC$500,
       MATCH(B513, Input!$J$2:$J$500, 0),
       MATCH("Total Memory", Input!$D$1:$AC$1, 0))</f>
        <v>#N/A</v>
      </c>
      <c r="L513" s="42"/>
      <c r="M513" s="42" t="str" cm="1">
        <f t="array" ref="M513">IFERROR(_xlfn.FILTERXML("&lt;t&gt;&lt;s&gt;" &amp; SUBSTITUTE(L513," / ","&lt;/s&gt;&lt;s&gt;") &amp; "&lt;/s&gt;&lt;/t&gt;","(//s[contains(.,'DDR')])[1]"),"")</f>
        <v/>
      </c>
      <c r="N513" s="32" t="e">
        <f t="shared" si="23"/>
        <v>#N/A</v>
      </c>
      <c r="O513" s="42" t="e">
        <f>INDEX(Input!$D$2:$AC$500,
       MATCH(B513, Input!$J$2:$J$500, 0),
       MATCH("Disk Interface Type", Input!$D$1:$AC$1, 0))</f>
        <v>#N/A</v>
      </c>
      <c r="P513" s="42" t="str" cm="1">
        <f t="array" ref="P513">IFERROR(_xlfn.TEXTJOIN(", ", TRUE, _xlfn._xlws.FILTER(
    INDEX(Input!$D$2:$AC$500,,MATCH("Disk Capacity",Input!$D$1:$AC$1,0)),
    Input!$J$2:$J$500=B513
)), "")</f>
        <v/>
      </c>
      <c r="Q513" s="32" t="e">
        <f t="shared" si="22"/>
        <v>#N/A</v>
      </c>
      <c r="R513" s="42" t="e">
        <f>_xlfn.LET(_xlpm.Result,INDEX(Input!$D$2:$AC$500,
       MATCH(B513, Input!$J$2:$J$500, 0),
       MATCH("Capacity", Input!$D$1:$AC$1, 0)),IF(_xlpm.Result="","",_xlpm.Result))</f>
        <v>#N/A</v>
      </c>
      <c r="S513" s="42"/>
      <c r="T513" s="42"/>
      <c r="U513" s="42" t="str" cm="1">
        <f t="array" ref="U513">IFERROR(_xlfn.IFS(
S513="","",
--S513&lt;55,"Battery Defect",
--S513&lt;=69,"Battery D",
--S513&lt;=80,"Battery C",
--S513&gt;80,""
),"")</f>
        <v/>
      </c>
      <c r="V513" s="42" t="str" cm="1">
        <f t="array" ref="V513">IFERROR(_xlfn.IFS(
T513="","",
--T513&lt;55,"Battery Defect",
--T513&lt;=69,"Battery D",
--T513&lt;=80,"Battery C",
--T513&gt;80,""
),"")</f>
        <v/>
      </c>
      <c r="W513" s="42"/>
      <c r="X513" s="42"/>
      <c r="Y513" s="42"/>
      <c r="Z513" s="42"/>
      <c r="AA513" s="42"/>
      <c r="AB513" s="42"/>
      <c r="AC513" s="42"/>
      <c r="AD513" s="42"/>
      <c r="AE513" s="32" t="str">
        <f t="shared" si="21"/>
        <v/>
      </c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 t="str">
        <f>_xlfn.XLOOKUP(B514,Input!J:J,Input!G:G)&amp;""</f>
        <v/>
      </c>
      <c r="B514" s="32"/>
      <c r="C514" s="32" t="str">
        <f>_xlfn.XLOOKUP(B514,Input!J:J,Input!H:H)&amp;""</f>
        <v/>
      </c>
      <c r="D514" s="42">
        <f>_xlfn.XLOOKUP(B514,Input!J:J,Input!F:F)</f>
        <v>0</v>
      </c>
      <c r="E514" s="32">
        <f>_xlfn.XLOOKUP(D514,Models!H:H,Models!G:G,D514)</f>
        <v>0</v>
      </c>
      <c r="F514" s="32">
        <f>_xlfn.XLOOKUP(B514,Input!J:J,Input!E:E)</f>
        <v>0</v>
      </c>
      <c r="G514" s="32">
        <f>IF(F514="LENOVO",_xlfn.XLOOKUP(B514,Input!J:J,Input!K:K),_xlfn.XLOOKUP(B514,Input!J:J,Input!L:L))</f>
        <v>0</v>
      </c>
      <c r="H514" s="32"/>
      <c r="I514" s="32"/>
      <c r="J514" s="32"/>
      <c r="K514" s="42" t="e">
        <f>INDEX(Input!$D$2:$AC$500,
       MATCH(B514, Input!$J$2:$J$500, 0),
       MATCH("Total Memory", Input!$D$1:$AC$1, 0))</f>
        <v>#N/A</v>
      </c>
      <c r="L514" s="42"/>
      <c r="M514" s="42" t="str" cm="1">
        <f t="array" ref="M514">IFERROR(_xlfn.FILTERXML("&lt;t&gt;&lt;s&gt;" &amp; SUBSTITUTE(L514," / ","&lt;/s&gt;&lt;s&gt;") &amp; "&lt;/s&gt;&lt;/t&gt;","(//s[contains(.,'DDR')])[1]"),"")</f>
        <v/>
      </c>
      <c r="N514" s="32" t="e">
        <f t="shared" si="23"/>
        <v>#N/A</v>
      </c>
      <c r="O514" s="42" t="e">
        <f>INDEX(Input!$D$2:$AC$500,
       MATCH(B514, Input!$J$2:$J$500, 0),
       MATCH("Disk Interface Type", Input!$D$1:$AC$1, 0))</f>
        <v>#N/A</v>
      </c>
      <c r="P514" s="42" t="str" cm="1">
        <f t="array" ref="P514">IFERROR(_xlfn.TEXTJOIN(", ", TRUE, _xlfn._xlws.FILTER(
    INDEX(Input!$D$2:$AC$500,,MATCH("Disk Capacity",Input!$D$1:$AC$1,0)),
    Input!$J$2:$J$500=B514
)), "")</f>
        <v/>
      </c>
      <c r="Q514" s="32" t="e">
        <f t="shared" si="22"/>
        <v>#N/A</v>
      </c>
      <c r="R514" s="42" t="e">
        <f>_xlfn.LET(_xlpm.Result,INDEX(Input!$D$2:$AC$500,
       MATCH(B514, Input!$J$2:$J$500, 0),
       MATCH("Capacity", Input!$D$1:$AC$1, 0)),IF(_xlpm.Result="","",_xlpm.Result))</f>
        <v>#N/A</v>
      </c>
      <c r="S514" s="42"/>
      <c r="T514" s="42"/>
      <c r="U514" s="42" t="str" cm="1">
        <f t="array" ref="U514">IFERROR(_xlfn.IFS(
S514="","",
--S514&lt;55,"Battery Defect",
--S514&lt;=69,"Battery D",
--S514&lt;=80,"Battery C",
--S514&gt;80,""
),"")</f>
        <v/>
      </c>
      <c r="V514" s="42" t="str" cm="1">
        <f t="array" ref="V514">IFERROR(_xlfn.IFS(
T514="","",
--T514&lt;55,"Battery Defect",
--T514&lt;=69,"Battery D",
--T514&lt;=80,"Battery C",
--T514&gt;80,""
),"")</f>
        <v/>
      </c>
      <c r="W514" s="42"/>
      <c r="X514" s="42"/>
      <c r="Y514" s="42"/>
      <c r="Z514" s="42"/>
      <c r="AA514" s="42"/>
      <c r="AB514" s="42"/>
      <c r="AC514" s="42"/>
      <c r="AD514" s="42"/>
      <c r="AE514" s="32" t="str">
        <f t="shared" ref="AE514:AE574" si="24">IF(E514="Laptop",_xlfn.TEXTJOIN(", ",TRUE,U514,V514,W514,X514,Y514,Z514,AA514,AB514), _xlfn.TEXTJOIN(", ",TRUE,W514,X514,Y514,Z514,AA514,AB514))</f>
        <v/>
      </c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 t="str">
        <f>_xlfn.XLOOKUP(B515,Input!J:J,Input!G:G)&amp;""</f>
        <v/>
      </c>
      <c r="B515" s="32"/>
      <c r="C515" s="32" t="str">
        <f>_xlfn.XLOOKUP(B515,Input!J:J,Input!H:H)&amp;""</f>
        <v/>
      </c>
      <c r="D515" s="42">
        <f>_xlfn.XLOOKUP(B515,Input!J:J,Input!F:F)</f>
        <v>0</v>
      </c>
      <c r="E515" s="32">
        <f>_xlfn.XLOOKUP(D515,Models!H:H,Models!G:G,D515)</f>
        <v>0</v>
      </c>
      <c r="F515" s="32">
        <f>_xlfn.XLOOKUP(B515,Input!J:J,Input!E:E)</f>
        <v>0</v>
      </c>
      <c r="G515" s="32">
        <f>IF(F515="LENOVO",_xlfn.XLOOKUP(B515,Input!J:J,Input!K:K),_xlfn.XLOOKUP(B515,Input!J:J,Input!L:L))</f>
        <v>0</v>
      </c>
      <c r="H515" s="32"/>
      <c r="I515" s="32"/>
      <c r="J515" s="32"/>
      <c r="K515" s="42" t="e">
        <f>INDEX(Input!$D$2:$AC$500,
       MATCH(B515, Input!$J$2:$J$500, 0),
       MATCH("Total Memory", Input!$D$1:$AC$1, 0))</f>
        <v>#N/A</v>
      </c>
      <c r="L515" s="42"/>
      <c r="M515" s="42" t="str" cm="1">
        <f t="array" ref="M515">IFERROR(_xlfn.FILTERXML("&lt;t&gt;&lt;s&gt;" &amp; SUBSTITUTE(L515," / ","&lt;/s&gt;&lt;s&gt;") &amp; "&lt;/s&gt;&lt;/t&gt;","(//s[contains(.,'DDR')])[1]"),"")</f>
        <v/>
      </c>
      <c r="N515" s="32" t="e">
        <f t="shared" si="23"/>
        <v>#N/A</v>
      </c>
      <c r="O515" s="42" t="e">
        <f>INDEX(Input!$D$2:$AC$500,
       MATCH(B515, Input!$J$2:$J$500, 0),
       MATCH("Disk Interface Type", Input!$D$1:$AC$1, 0))</f>
        <v>#N/A</v>
      </c>
      <c r="P515" s="42" t="str" cm="1">
        <f t="array" ref="P515">IFERROR(_xlfn.TEXTJOIN(", ", TRUE, _xlfn._xlws.FILTER(
    INDEX(Input!$D$2:$AC$500,,MATCH("Disk Capacity",Input!$D$1:$AC$1,0)),
    Input!$J$2:$J$500=B515
)), "")</f>
        <v/>
      </c>
      <c r="Q515" s="32" t="e">
        <f t="shared" ref="Q515:Q569" si="25">_xlfn.TEXTJOIN(" ",TRUE,P515,O515)</f>
        <v>#N/A</v>
      </c>
      <c r="R515" s="42" t="e">
        <f>_xlfn.LET(_xlpm.Result,INDEX(Input!$D$2:$AC$500,
       MATCH(B515, Input!$J$2:$J$500, 0),
       MATCH("Capacity", Input!$D$1:$AC$1, 0)),IF(_xlpm.Result="","",_xlpm.Result))</f>
        <v>#N/A</v>
      </c>
      <c r="S515" s="42"/>
      <c r="T515" s="42"/>
      <c r="U515" s="42" t="str" cm="1">
        <f t="array" ref="U515">IFERROR(_xlfn.IFS(
S515="","",
--S515&lt;55,"Battery Defect",
--S515&lt;=69,"Battery D",
--S515&lt;=80,"Battery C",
--S515&gt;80,""
),"")</f>
        <v/>
      </c>
      <c r="V515" s="42" t="str" cm="1">
        <f t="array" ref="V515">IFERROR(_xlfn.IFS(
T515="","",
--T515&lt;55,"Battery Defect",
--T515&lt;=69,"Battery D",
--T515&lt;=80,"Battery C",
--T515&gt;80,""
),"")</f>
        <v/>
      </c>
      <c r="W515" s="42"/>
      <c r="X515" s="42"/>
      <c r="Y515" s="42"/>
      <c r="Z515" s="42"/>
      <c r="AA515" s="42"/>
      <c r="AB515" s="42"/>
      <c r="AC515" s="42"/>
      <c r="AD515" s="42"/>
      <c r="AE515" s="32" t="str">
        <f t="shared" si="24"/>
        <v/>
      </c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 t="str">
        <f>_xlfn.XLOOKUP(B516,Input!J:J,Input!G:G)&amp;""</f>
        <v/>
      </c>
      <c r="B516" s="32"/>
      <c r="C516" s="32" t="str">
        <f>_xlfn.XLOOKUP(B516,Input!J:J,Input!H:H)&amp;""</f>
        <v/>
      </c>
      <c r="D516" s="42">
        <f>_xlfn.XLOOKUP(B516,Input!J:J,Input!F:F)</f>
        <v>0</v>
      </c>
      <c r="E516" s="32">
        <f>_xlfn.XLOOKUP(D516,Models!H:H,Models!G:G,D516)</f>
        <v>0</v>
      </c>
      <c r="F516" s="32">
        <f>_xlfn.XLOOKUP(B516,Input!J:J,Input!E:E)</f>
        <v>0</v>
      </c>
      <c r="G516" s="32">
        <f>IF(F516="LENOVO",_xlfn.XLOOKUP(B516,Input!J:J,Input!K:K),_xlfn.XLOOKUP(B516,Input!J:J,Input!L:L))</f>
        <v>0</v>
      </c>
      <c r="H516" s="32"/>
      <c r="I516" s="32"/>
      <c r="J516" s="32"/>
      <c r="K516" s="42" t="e">
        <f>INDEX(Input!$D$2:$AC$500,
       MATCH(B516, Input!$J$2:$J$500, 0),
       MATCH("Total Memory", Input!$D$1:$AC$1, 0))</f>
        <v>#N/A</v>
      </c>
      <c r="L516" s="42"/>
      <c r="M516" s="42" t="str" cm="1">
        <f t="array" ref="M516">IFERROR(_xlfn.FILTERXML("&lt;t&gt;&lt;s&gt;" &amp; SUBSTITUTE(L516," / ","&lt;/s&gt;&lt;s&gt;") &amp; "&lt;/s&gt;&lt;/t&gt;","(//s[contains(.,'DDR')])[1]"),"")</f>
        <v/>
      </c>
      <c r="N516" s="32" t="e">
        <f t="shared" ref="N516:N579" si="26">_xlfn.TEXTJOIN(" ",TRUE,SUBSTITUTE(K516,"i",""),M516)</f>
        <v>#N/A</v>
      </c>
      <c r="O516" s="42" t="e">
        <f>INDEX(Input!$D$2:$AC$500,
       MATCH(B516, Input!$J$2:$J$500, 0),
       MATCH("Disk Interface Type", Input!$D$1:$AC$1, 0))</f>
        <v>#N/A</v>
      </c>
      <c r="P516" s="42" t="str" cm="1">
        <f t="array" ref="P516">IFERROR(_xlfn.TEXTJOIN(", ", TRUE, _xlfn._xlws.FILTER(
    INDEX(Input!$D$2:$AC$500,,MATCH("Disk Capacity",Input!$D$1:$AC$1,0)),
    Input!$J$2:$J$500=B516
)), "")</f>
        <v/>
      </c>
      <c r="Q516" s="32" t="e">
        <f t="shared" si="25"/>
        <v>#N/A</v>
      </c>
      <c r="R516" s="42" t="e">
        <f>_xlfn.LET(_xlpm.Result,INDEX(Input!$D$2:$AC$500,
       MATCH(B516, Input!$J$2:$J$500, 0),
       MATCH("Capacity", Input!$D$1:$AC$1, 0)),IF(_xlpm.Result="","",_xlpm.Result))</f>
        <v>#N/A</v>
      </c>
      <c r="S516" s="42"/>
      <c r="T516" s="42"/>
      <c r="U516" s="42" t="str" cm="1">
        <f t="array" ref="U516">IFERROR(_xlfn.IFS(
S516="","",
--S516&lt;55,"Battery Defect",
--S516&lt;=69,"Battery D",
--S516&lt;=80,"Battery C",
--S516&gt;80,""
),"")</f>
        <v/>
      </c>
      <c r="V516" s="42" t="str" cm="1">
        <f t="array" ref="V516">IFERROR(_xlfn.IFS(
T516="","",
--T516&lt;55,"Battery Defect",
--T516&lt;=69,"Battery D",
--T516&lt;=80,"Battery C",
--T516&gt;80,""
),"")</f>
        <v/>
      </c>
      <c r="W516" s="42"/>
      <c r="X516" s="42"/>
      <c r="Y516" s="42"/>
      <c r="Z516" s="42"/>
      <c r="AA516" s="42"/>
      <c r="AB516" s="42"/>
      <c r="AC516" s="42"/>
      <c r="AD516" s="42"/>
      <c r="AE516" s="32" t="str">
        <f t="shared" si="24"/>
        <v/>
      </c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 t="str">
        <f>_xlfn.XLOOKUP(B517,Input!J:J,Input!G:G)&amp;""</f>
        <v/>
      </c>
      <c r="B517" s="32"/>
      <c r="C517" s="32" t="str">
        <f>_xlfn.XLOOKUP(B517,Input!J:J,Input!H:H)&amp;""</f>
        <v/>
      </c>
      <c r="D517" s="42">
        <f>_xlfn.XLOOKUP(B517,Input!J:J,Input!F:F)</f>
        <v>0</v>
      </c>
      <c r="E517" s="32">
        <f>_xlfn.XLOOKUP(D517,Models!H:H,Models!G:G,D517)</f>
        <v>0</v>
      </c>
      <c r="F517" s="32">
        <f>_xlfn.XLOOKUP(B517,Input!J:J,Input!E:E)</f>
        <v>0</v>
      </c>
      <c r="G517" s="32">
        <f>IF(F517="LENOVO",_xlfn.XLOOKUP(B517,Input!J:J,Input!K:K),_xlfn.XLOOKUP(B517,Input!J:J,Input!L:L))</f>
        <v>0</v>
      </c>
      <c r="H517" s="32"/>
      <c r="I517" s="32"/>
      <c r="J517" s="32"/>
      <c r="K517" s="42" t="e">
        <f>INDEX(Input!$D$2:$AC$500,
       MATCH(B517, Input!$J$2:$J$500, 0),
       MATCH("Total Memory", Input!$D$1:$AC$1, 0))</f>
        <v>#N/A</v>
      </c>
      <c r="L517" s="42"/>
      <c r="M517" s="42" t="str" cm="1">
        <f t="array" ref="M517">IFERROR(_xlfn.FILTERXML("&lt;t&gt;&lt;s&gt;" &amp; SUBSTITUTE(L517," / ","&lt;/s&gt;&lt;s&gt;") &amp; "&lt;/s&gt;&lt;/t&gt;","(//s[contains(.,'DDR')])[1]"),"")</f>
        <v/>
      </c>
      <c r="N517" s="32" t="e">
        <f t="shared" si="26"/>
        <v>#N/A</v>
      </c>
      <c r="O517" s="42" t="e">
        <f>INDEX(Input!$D$2:$AC$500,
       MATCH(B517, Input!$J$2:$J$500, 0),
       MATCH("Disk Interface Type", Input!$D$1:$AC$1, 0))</f>
        <v>#N/A</v>
      </c>
      <c r="P517" s="42" t="str" cm="1">
        <f t="array" ref="P517">IFERROR(_xlfn.TEXTJOIN(", ", TRUE, _xlfn._xlws.FILTER(
    INDEX(Input!$D$2:$AC$500,,MATCH("Disk Capacity",Input!$D$1:$AC$1,0)),
    Input!$J$2:$J$500=B517
)), "")</f>
        <v/>
      </c>
      <c r="Q517" s="32" t="e">
        <f t="shared" si="25"/>
        <v>#N/A</v>
      </c>
      <c r="R517" s="42" t="e">
        <f>_xlfn.LET(_xlpm.Result,INDEX(Input!$D$2:$AC$500,
       MATCH(B517, Input!$J$2:$J$500, 0),
       MATCH("Capacity", Input!$D$1:$AC$1, 0)),IF(_xlpm.Result="","",_xlpm.Result))</f>
        <v>#N/A</v>
      </c>
      <c r="S517" s="42"/>
      <c r="T517" s="42"/>
      <c r="U517" s="42" t="str" cm="1">
        <f t="array" ref="U517">IFERROR(_xlfn.IFS(
S517="","",
--S517&lt;55,"Battery Defect",
--S517&lt;=69,"Battery D",
--S517&lt;=80,"Battery C",
--S517&gt;80,""
),"")</f>
        <v/>
      </c>
      <c r="V517" s="42" t="str" cm="1">
        <f t="array" ref="V517">IFERROR(_xlfn.IFS(
T517="","",
--T517&lt;55,"Battery Defect",
--T517&lt;=69,"Battery D",
--T517&lt;=80,"Battery C",
--T517&gt;80,""
),"")</f>
        <v/>
      </c>
      <c r="W517" s="42"/>
      <c r="X517" s="42"/>
      <c r="Y517" s="42"/>
      <c r="Z517" s="42"/>
      <c r="AA517" s="42"/>
      <c r="AB517" s="42"/>
      <c r="AC517" s="42"/>
      <c r="AD517" s="42"/>
      <c r="AE517" s="32" t="str">
        <f t="shared" si="24"/>
        <v/>
      </c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 t="str">
        <f>_xlfn.XLOOKUP(B518,Input!J:J,Input!G:G)&amp;""</f>
        <v/>
      </c>
      <c r="B518" s="32"/>
      <c r="C518" s="32" t="str">
        <f>_xlfn.XLOOKUP(B518,Input!J:J,Input!H:H)&amp;""</f>
        <v/>
      </c>
      <c r="D518" s="42">
        <f>_xlfn.XLOOKUP(B518,Input!J:J,Input!F:F)</f>
        <v>0</v>
      </c>
      <c r="E518" s="32">
        <f>_xlfn.XLOOKUP(D518,Models!H:H,Models!G:G,D518)</f>
        <v>0</v>
      </c>
      <c r="F518" s="32">
        <f>_xlfn.XLOOKUP(B518,Input!J:J,Input!E:E)</f>
        <v>0</v>
      </c>
      <c r="G518" s="32">
        <f>IF(F518="LENOVO",_xlfn.XLOOKUP(B518,Input!J:J,Input!K:K),_xlfn.XLOOKUP(B518,Input!J:J,Input!L:L))</f>
        <v>0</v>
      </c>
      <c r="H518" s="32"/>
      <c r="I518" s="32"/>
      <c r="J518" s="32"/>
      <c r="K518" s="42" t="e">
        <f>INDEX(Input!$D$2:$AC$500,
       MATCH(B518, Input!$J$2:$J$500, 0),
       MATCH("Total Memory", Input!$D$1:$AC$1, 0))</f>
        <v>#N/A</v>
      </c>
      <c r="L518" s="42"/>
      <c r="M518" s="42" t="str" cm="1">
        <f t="array" ref="M518">IFERROR(_xlfn.FILTERXML("&lt;t&gt;&lt;s&gt;" &amp; SUBSTITUTE(L518," / ","&lt;/s&gt;&lt;s&gt;") &amp; "&lt;/s&gt;&lt;/t&gt;","(//s[contains(.,'DDR')])[1]"),"")</f>
        <v/>
      </c>
      <c r="N518" s="32" t="e">
        <f t="shared" si="26"/>
        <v>#N/A</v>
      </c>
      <c r="O518" s="42" t="e">
        <f>INDEX(Input!$D$2:$AC$500,
       MATCH(B518, Input!$J$2:$J$500, 0),
       MATCH("Disk Interface Type", Input!$D$1:$AC$1, 0))</f>
        <v>#N/A</v>
      </c>
      <c r="P518" s="42" t="str" cm="1">
        <f t="array" ref="P518">IFERROR(_xlfn.TEXTJOIN(", ", TRUE, _xlfn._xlws.FILTER(
    INDEX(Input!$D$2:$AC$500,,MATCH("Disk Capacity",Input!$D$1:$AC$1,0)),
    Input!$J$2:$J$500=B518
)), "")</f>
        <v/>
      </c>
      <c r="Q518" s="32" t="e">
        <f t="shared" si="25"/>
        <v>#N/A</v>
      </c>
      <c r="R518" s="42" t="e">
        <f>_xlfn.LET(_xlpm.Result,INDEX(Input!$D$2:$AC$500,
       MATCH(B518, Input!$J$2:$J$500, 0),
       MATCH("Capacity", Input!$D$1:$AC$1, 0)),IF(_xlpm.Result="","",_xlpm.Result))</f>
        <v>#N/A</v>
      </c>
      <c r="S518" s="42"/>
      <c r="T518" s="42"/>
      <c r="U518" s="42" t="str" cm="1">
        <f t="array" ref="U518">IFERROR(_xlfn.IFS(
S518="","",
--S518&lt;55,"Battery Defect",
--S518&lt;=69,"Battery D",
--S518&lt;=80,"Battery C",
--S518&gt;80,""
),"")</f>
        <v/>
      </c>
      <c r="V518" s="42" t="str" cm="1">
        <f t="array" ref="V518">IFERROR(_xlfn.IFS(
T518="","",
--T518&lt;55,"Battery Defect",
--T518&lt;=69,"Battery D",
--T518&lt;=80,"Battery C",
--T518&gt;80,""
),"")</f>
        <v/>
      </c>
      <c r="W518" s="42"/>
      <c r="X518" s="42"/>
      <c r="Y518" s="42"/>
      <c r="Z518" s="42"/>
      <c r="AA518" s="42"/>
      <c r="AB518" s="42"/>
      <c r="AC518" s="42"/>
      <c r="AD518" s="42"/>
      <c r="AE518" s="32" t="str">
        <f t="shared" si="24"/>
        <v/>
      </c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 t="str">
        <f>_xlfn.XLOOKUP(B519,Input!J:J,Input!G:G)&amp;""</f>
        <v/>
      </c>
      <c r="B519" s="32"/>
      <c r="C519" s="32" t="str">
        <f>_xlfn.XLOOKUP(B519,Input!J:J,Input!H:H)&amp;""</f>
        <v/>
      </c>
      <c r="D519" s="42">
        <f>_xlfn.XLOOKUP(B519,Input!J:J,Input!F:F)</f>
        <v>0</v>
      </c>
      <c r="E519" s="32">
        <f>_xlfn.XLOOKUP(D519,Models!H:H,Models!G:G,D519)</f>
        <v>0</v>
      </c>
      <c r="F519" s="32">
        <f>_xlfn.XLOOKUP(B519,Input!J:J,Input!E:E)</f>
        <v>0</v>
      </c>
      <c r="G519" s="32">
        <f>IF(F519="LENOVO",_xlfn.XLOOKUP(B519,Input!J:J,Input!K:K),_xlfn.XLOOKUP(B519,Input!J:J,Input!L:L))</f>
        <v>0</v>
      </c>
      <c r="H519" s="32"/>
      <c r="I519" s="32"/>
      <c r="J519" s="32"/>
      <c r="K519" s="42" t="e">
        <f>INDEX(Input!$D$2:$AC$500,
       MATCH(B519, Input!$J$2:$J$500, 0),
       MATCH("Total Memory", Input!$D$1:$AC$1, 0))</f>
        <v>#N/A</v>
      </c>
      <c r="L519" s="42"/>
      <c r="M519" s="42" t="str" cm="1">
        <f t="array" ref="M519">IFERROR(_xlfn.FILTERXML("&lt;t&gt;&lt;s&gt;" &amp; SUBSTITUTE(L519," / ","&lt;/s&gt;&lt;s&gt;") &amp; "&lt;/s&gt;&lt;/t&gt;","(//s[contains(.,'DDR')])[1]"),"")</f>
        <v/>
      </c>
      <c r="N519" s="32" t="e">
        <f t="shared" si="26"/>
        <v>#N/A</v>
      </c>
      <c r="O519" s="42" t="e">
        <f>INDEX(Input!$D$2:$AC$500,
       MATCH(B519, Input!$J$2:$J$500, 0),
       MATCH("Disk Interface Type", Input!$D$1:$AC$1, 0))</f>
        <v>#N/A</v>
      </c>
      <c r="P519" s="42" t="str" cm="1">
        <f t="array" ref="P519">IFERROR(_xlfn.TEXTJOIN(", ", TRUE, _xlfn._xlws.FILTER(
    INDEX(Input!$D$2:$AC$500,,MATCH("Disk Capacity",Input!$D$1:$AC$1,0)),
    Input!$J$2:$J$500=B519
)), "")</f>
        <v/>
      </c>
      <c r="Q519" s="32" t="e">
        <f t="shared" si="25"/>
        <v>#N/A</v>
      </c>
      <c r="R519" s="42" t="e">
        <f>_xlfn.LET(_xlpm.Result,INDEX(Input!$D$2:$AC$500,
       MATCH(B519, Input!$J$2:$J$500, 0),
       MATCH("Capacity", Input!$D$1:$AC$1, 0)),IF(_xlpm.Result="","",_xlpm.Result))</f>
        <v>#N/A</v>
      </c>
      <c r="S519" s="42"/>
      <c r="T519" s="42"/>
      <c r="U519" s="42" t="str" cm="1">
        <f t="array" ref="U519">IFERROR(_xlfn.IFS(
S519="","",
--S519&lt;55,"Battery Defect",
--S519&lt;=69,"Battery D",
--S519&lt;=80,"Battery C",
--S519&gt;80,""
),"")</f>
        <v/>
      </c>
      <c r="V519" s="42" t="str" cm="1">
        <f t="array" ref="V519">IFERROR(_xlfn.IFS(
T519="","",
--T519&lt;55,"Battery Defect",
--T519&lt;=69,"Battery D",
--T519&lt;=80,"Battery C",
--T519&gt;80,""
),"")</f>
        <v/>
      </c>
      <c r="W519" s="42"/>
      <c r="X519" s="42"/>
      <c r="Y519" s="42"/>
      <c r="Z519" s="42"/>
      <c r="AA519" s="42"/>
      <c r="AB519" s="42"/>
      <c r="AC519" s="42"/>
      <c r="AD519" s="42"/>
      <c r="AE519" s="32" t="str">
        <f t="shared" si="24"/>
        <v/>
      </c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 t="str">
        <f>_xlfn.XLOOKUP(B520,Input!J:J,Input!G:G)&amp;""</f>
        <v/>
      </c>
      <c r="B520" s="32"/>
      <c r="C520" s="32" t="str">
        <f>_xlfn.XLOOKUP(B520,Input!J:J,Input!H:H)&amp;""</f>
        <v/>
      </c>
      <c r="D520" s="42">
        <f>_xlfn.XLOOKUP(B520,Input!J:J,Input!F:F)</f>
        <v>0</v>
      </c>
      <c r="E520" s="32">
        <f>_xlfn.XLOOKUP(D520,Models!H:H,Models!G:G,D520)</f>
        <v>0</v>
      </c>
      <c r="F520" s="32">
        <f>_xlfn.XLOOKUP(B520,Input!J:J,Input!E:E)</f>
        <v>0</v>
      </c>
      <c r="G520" s="32">
        <f>IF(F520="LENOVO",_xlfn.XLOOKUP(B520,Input!J:J,Input!K:K),_xlfn.XLOOKUP(B520,Input!J:J,Input!L:L))</f>
        <v>0</v>
      </c>
      <c r="H520" s="32"/>
      <c r="I520" s="32"/>
      <c r="J520" s="32"/>
      <c r="K520" s="42" t="e">
        <f>INDEX(Input!$D$2:$AC$500,
       MATCH(B520, Input!$J$2:$J$500, 0),
       MATCH("Total Memory", Input!$D$1:$AC$1, 0))</f>
        <v>#N/A</v>
      </c>
      <c r="L520" s="42"/>
      <c r="M520" s="42" t="str" cm="1">
        <f t="array" ref="M520">IFERROR(_xlfn.FILTERXML("&lt;t&gt;&lt;s&gt;" &amp; SUBSTITUTE(L520," / ","&lt;/s&gt;&lt;s&gt;") &amp; "&lt;/s&gt;&lt;/t&gt;","(//s[contains(.,'DDR')])[1]"),"")</f>
        <v/>
      </c>
      <c r="N520" s="32" t="e">
        <f t="shared" si="26"/>
        <v>#N/A</v>
      </c>
      <c r="O520" s="42" t="e">
        <f>INDEX(Input!$D$2:$AC$500,
       MATCH(B520, Input!$J$2:$J$500, 0),
       MATCH("Disk Interface Type", Input!$D$1:$AC$1, 0))</f>
        <v>#N/A</v>
      </c>
      <c r="P520" s="42" t="str" cm="1">
        <f t="array" ref="P520">IFERROR(_xlfn.TEXTJOIN(", ", TRUE, _xlfn._xlws.FILTER(
    INDEX(Input!$D$2:$AC$500,,MATCH("Disk Capacity",Input!$D$1:$AC$1,0)),
    Input!$J$2:$J$500=B520
)), "")</f>
        <v/>
      </c>
      <c r="Q520" s="32" t="e">
        <f t="shared" si="25"/>
        <v>#N/A</v>
      </c>
      <c r="R520" s="42" t="e">
        <f>_xlfn.LET(_xlpm.Result,INDEX(Input!$D$2:$AC$500,
       MATCH(B520, Input!$J$2:$J$500, 0),
       MATCH("Capacity", Input!$D$1:$AC$1, 0)),IF(_xlpm.Result="","",_xlpm.Result))</f>
        <v>#N/A</v>
      </c>
      <c r="S520" s="42"/>
      <c r="T520" s="42"/>
      <c r="U520" s="42" t="str" cm="1">
        <f t="array" ref="U520">IFERROR(_xlfn.IFS(
S520="","",
--S520&lt;55,"Battery Defect",
--S520&lt;=69,"Battery D",
--S520&lt;=80,"Battery C",
--S520&gt;80,""
),"")</f>
        <v/>
      </c>
      <c r="V520" s="42" t="str" cm="1">
        <f t="array" ref="V520">IFERROR(_xlfn.IFS(
T520="","",
--T520&lt;55,"Battery Defect",
--T520&lt;=69,"Battery D",
--T520&lt;=80,"Battery C",
--T520&gt;80,""
),"")</f>
        <v/>
      </c>
      <c r="W520" s="42"/>
      <c r="X520" s="42"/>
      <c r="Y520" s="42"/>
      <c r="Z520" s="42"/>
      <c r="AA520" s="42"/>
      <c r="AB520" s="42"/>
      <c r="AC520" s="42"/>
      <c r="AD520" s="42"/>
      <c r="AE520" s="32" t="str">
        <f t="shared" si="24"/>
        <v/>
      </c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 t="str">
        <f>_xlfn.XLOOKUP(B521,Input!J:J,Input!G:G)&amp;""</f>
        <v/>
      </c>
      <c r="B521" s="32"/>
      <c r="C521" s="32" t="str">
        <f>_xlfn.XLOOKUP(B521,Input!J:J,Input!H:H)&amp;""</f>
        <v/>
      </c>
      <c r="D521" s="42">
        <f>_xlfn.XLOOKUP(B521,Input!J:J,Input!F:F)</f>
        <v>0</v>
      </c>
      <c r="E521" s="32">
        <f>_xlfn.XLOOKUP(D521,Models!H:H,Models!G:G,D521)</f>
        <v>0</v>
      </c>
      <c r="F521" s="32">
        <f>_xlfn.XLOOKUP(B521,Input!J:J,Input!E:E)</f>
        <v>0</v>
      </c>
      <c r="G521" s="32">
        <f>IF(F521="LENOVO",_xlfn.XLOOKUP(B521,Input!J:J,Input!K:K),_xlfn.XLOOKUP(B521,Input!J:J,Input!L:L))</f>
        <v>0</v>
      </c>
      <c r="H521" s="32"/>
      <c r="I521" s="32"/>
      <c r="J521" s="32"/>
      <c r="K521" s="42" t="e">
        <f>INDEX(Input!$D$2:$AC$500,
       MATCH(B521, Input!$J$2:$J$500, 0),
       MATCH("Total Memory", Input!$D$1:$AC$1, 0))</f>
        <v>#N/A</v>
      </c>
      <c r="L521" s="42"/>
      <c r="M521" s="42" t="str" cm="1">
        <f t="array" ref="M521">IFERROR(_xlfn.FILTERXML("&lt;t&gt;&lt;s&gt;" &amp; SUBSTITUTE(L521," / ","&lt;/s&gt;&lt;s&gt;") &amp; "&lt;/s&gt;&lt;/t&gt;","(//s[contains(.,'DDR')])[1]"),"")</f>
        <v/>
      </c>
      <c r="N521" s="32" t="e">
        <f t="shared" si="26"/>
        <v>#N/A</v>
      </c>
      <c r="O521" s="42" t="e">
        <f>INDEX(Input!$D$2:$AC$500,
       MATCH(B521, Input!$J$2:$J$500, 0),
       MATCH("Disk Interface Type", Input!$D$1:$AC$1, 0))</f>
        <v>#N/A</v>
      </c>
      <c r="P521" s="42" t="str" cm="1">
        <f t="array" ref="P521">IFERROR(_xlfn.TEXTJOIN(", ", TRUE, _xlfn._xlws.FILTER(
    INDEX(Input!$D$2:$AC$500,,MATCH("Disk Capacity",Input!$D$1:$AC$1,0)),
    Input!$J$2:$J$500=B521
)), "")</f>
        <v/>
      </c>
      <c r="Q521" s="32" t="e">
        <f t="shared" si="25"/>
        <v>#N/A</v>
      </c>
      <c r="R521" s="42" t="e">
        <f>_xlfn.LET(_xlpm.Result,INDEX(Input!$D$2:$AC$500,
       MATCH(B521, Input!$J$2:$J$500, 0),
       MATCH("Capacity", Input!$D$1:$AC$1, 0)),IF(_xlpm.Result="","",_xlpm.Result))</f>
        <v>#N/A</v>
      </c>
      <c r="S521" s="42"/>
      <c r="T521" s="42"/>
      <c r="U521" s="42" t="str" cm="1">
        <f t="array" ref="U521">IFERROR(_xlfn.IFS(
S521="","",
--S521&lt;55,"Battery Defect",
--S521&lt;=69,"Battery D",
--S521&lt;=80,"Battery C",
--S521&gt;80,""
),"")</f>
        <v/>
      </c>
      <c r="V521" s="42" t="str" cm="1">
        <f t="array" ref="V521">IFERROR(_xlfn.IFS(
T521="","",
--T521&lt;55,"Battery Defect",
--T521&lt;=69,"Battery D",
--T521&lt;=80,"Battery C",
--T521&gt;80,""
),"")</f>
        <v/>
      </c>
      <c r="W521" s="42"/>
      <c r="X521" s="42"/>
      <c r="Y521" s="42"/>
      <c r="Z521" s="42"/>
      <c r="AA521" s="42"/>
      <c r="AB521" s="42"/>
      <c r="AC521" s="42"/>
      <c r="AD521" s="42"/>
      <c r="AE521" s="32" t="str">
        <f t="shared" si="24"/>
        <v/>
      </c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 t="str">
        <f>_xlfn.XLOOKUP(B522,Input!J:J,Input!G:G)&amp;""</f>
        <v/>
      </c>
      <c r="B522" s="32"/>
      <c r="C522" s="32" t="str">
        <f>_xlfn.XLOOKUP(B522,Input!J:J,Input!H:H)&amp;""</f>
        <v/>
      </c>
      <c r="D522" s="42">
        <f>_xlfn.XLOOKUP(B522,Input!J:J,Input!F:F)</f>
        <v>0</v>
      </c>
      <c r="E522" s="32">
        <f>_xlfn.XLOOKUP(D522,Models!H:H,Models!G:G,D522)</f>
        <v>0</v>
      </c>
      <c r="F522" s="32">
        <f>_xlfn.XLOOKUP(B522,Input!J:J,Input!E:E)</f>
        <v>0</v>
      </c>
      <c r="G522" s="32">
        <f>IF(F522="LENOVO",_xlfn.XLOOKUP(B522,Input!J:J,Input!K:K),_xlfn.XLOOKUP(B522,Input!J:J,Input!L:L))</f>
        <v>0</v>
      </c>
      <c r="H522" s="32"/>
      <c r="I522" s="32"/>
      <c r="J522" s="32"/>
      <c r="K522" s="42" t="e">
        <f>INDEX(Input!$D$2:$AC$500,
       MATCH(B522, Input!$J$2:$J$500, 0),
       MATCH("Total Memory", Input!$D$1:$AC$1, 0))</f>
        <v>#N/A</v>
      </c>
      <c r="L522" s="42"/>
      <c r="M522" s="42" t="str" cm="1">
        <f t="array" ref="M522">IFERROR(_xlfn.FILTERXML("&lt;t&gt;&lt;s&gt;" &amp; SUBSTITUTE(L522," / ","&lt;/s&gt;&lt;s&gt;") &amp; "&lt;/s&gt;&lt;/t&gt;","(//s[contains(.,'DDR')])[1]"),"")</f>
        <v/>
      </c>
      <c r="N522" s="32" t="e">
        <f t="shared" si="26"/>
        <v>#N/A</v>
      </c>
      <c r="O522" s="42" t="e">
        <f>INDEX(Input!$D$2:$AC$500,
       MATCH(B522, Input!$J$2:$J$500, 0),
       MATCH("Disk Interface Type", Input!$D$1:$AC$1, 0))</f>
        <v>#N/A</v>
      </c>
      <c r="P522" s="42" t="str" cm="1">
        <f t="array" ref="P522">IFERROR(_xlfn.TEXTJOIN(", ", TRUE, _xlfn._xlws.FILTER(
    INDEX(Input!$D$2:$AC$500,,MATCH("Disk Capacity",Input!$D$1:$AC$1,0)),
    Input!$J$2:$J$500=B522
)), "")</f>
        <v/>
      </c>
      <c r="Q522" s="32" t="e">
        <f t="shared" si="25"/>
        <v>#N/A</v>
      </c>
      <c r="R522" s="42" t="e">
        <f>_xlfn.LET(_xlpm.Result,INDEX(Input!$D$2:$AC$500,
       MATCH(B522, Input!$J$2:$J$500, 0),
       MATCH("Capacity", Input!$D$1:$AC$1, 0)),IF(_xlpm.Result="","",_xlpm.Result))</f>
        <v>#N/A</v>
      </c>
      <c r="S522" s="42"/>
      <c r="T522" s="42"/>
      <c r="U522" s="42" t="str" cm="1">
        <f t="array" ref="U522">IFERROR(_xlfn.IFS(
S522="","",
--S522&lt;55,"Battery Defect",
--S522&lt;=69,"Battery D",
--S522&lt;=80,"Battery C",
--S522&gt;80,""
),"")</f>
        <v/>
      </c>
      <c r="V522" s="42" t="str" cm="1">
        <f t="array" ref="V522">IFERROR(_xlfn.IFS(
T522="","",
--T522&lt;55,"Battery Defect",
--T522&lt;=69,"Battery D",
--T522&lt;=80,"Battery C",
--T522&gt;80,""
),"")</f>
        <v/>
      </c>
      <c r="W522" s="42"/>
      <c r="X522" s="42"/>
      <c r="Y522" s="42"/>
      <c r="Z522" s="42"/>
      <c r="AA522" s="42"/>
      <c r="AB522" s="42"/>
      <c r="AC522" s="42"/>
      <c r="AD522" s="42"/>
      <c r="AE522" s="32" t="str">
        <f t="shared" si="24"/>
        <v/>
      </c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 t="str">
        <f>_xlfn.XLOOKUP(B523,Input!J:J,Input!G:G)&amp;""</f>
        <v/>
      </c>
      <c r="B523" s="32"/>
      <c r="C523" s="32" t="str">
        <f>_xlfn.XLOOKUP(B523,Input!J:J,Input!H:H)&amp;""</f>
        <v/>
      </c>
      <c r="D523" s="42">
        <f>_xlfn.XLOOKUP(B523,Input!J:J,Input!F:F)</f>
        <v>0</v>
      </c>
      <c r="E523" s="32">
        <f>_xlfn.XLOOKUP(D523,Models!H:H,Models!G:G,D523)</f>
        <v>0</v>
      </c>
      <c r="F523" s="32">
        <f>_xlfn.XLOOKUP(B523,Input!J:J,Input!E:E)</f>
        <v>0</v>
      </c>
      <c r="G523" s="32">
        <f>IF(F523="LENOVO",_xlfn.XLOOKUP(B523,Input!J:J,Input!K:K),_xlfn.XLOOKUP(B523,Input!J:J,Input!L:L))</f>
        <v>0</v>
      </c>
      <c r="H523" s="32"/>
      <c r="I523" s="32"/>
      <c r="J523" s="32"/>
      <c r="K523" s="42" t="e">
        <f>INDEX(Input!$D$2:$AC$500,
       MATCH(B523, Input!$J$2:$J$500, 0),
       MATCH("Total Memory", Input!$D$1:$AC$1, 0))</f>
        <v>#N/A</v>
      </c>
      <c r="L523" s="42"/>
      <c r="M523" s="42" t="str" cm="1">
        <f t="array" ref="M523">IFERROR(_xlfn.FILTERXML("&lt;t&gt;&lt;s&gt;" &amp; SUBSTITUTE(L523," / ","&lt;/s&gt;&lt;s&gt;") &amp; "&lt;/s&gt;&lt;/t&gt;","(//s[contains(.,'DDR')])[1]"),"")</f>
        <v/>
      </c>
      <c r="N523" s="32" t="e">
        <f t="shared" si="26"/>
        <v>#N/A</v>
      </c>
      <c r="O523" s="42" t="e">
        <f>INDEX(Input!$D$2:$AC$500,
       MATCH(B523, Input!$J$2:$J$500, 0),
       MATCH("Disk Interface Type", Input!$D$1:$AC$1, 0))</f>
        <v>#N/A</v>
      </c>
      <c r="P523" s="42" t="str" cm="1">
        <f t="array" ref="P523">IFERROR(_xlfn.TEXTJOIN(", ", TRUE, _xlfn._xlws.FILTER(
    INDEX(Input!$D$2:$AC$500,,MATCH("Disk Capacity",Input!$D$1:$AC$1,0)),
    Input!$J$2:$J$500=B523
)), "")</f>
        <v/>
      </c>
      <c r="Q523" s="32" t="e">
        <f t="shared" si="25"/>
        <v>#N/A</v>
      </c>
      <c r="R523" s="42" t="e">
        <f>_xlfn.LET(_xlpm.Result,INDEX(Input!$D$2:$AC$500,
       MATCH(B523, Input!$J$2:$J$500, 0),
       MATCH("Capacity", Input!$D$1:$AC$1, 0)),IF(_xlpm.Result="","",_xlpm.Result))</f>
        <v>#N/A</v>
      </c>
      <c r="S523" s="42"/>
      <c r="T523" s="42"/>
      <c r="U523" s="42" t="str" cm="1">
        <f t="array" ref="U523">IFERROR(_xlfn.IFS(
S523="","",
--S523&lt;55,"Battery Defect",
--S523&lt;=69,"Battery D",
--S523&lt;=80,"Battery C",
--S523&gt;80,""
),"")</f>
        <v/>
      </c>
      <c r="V523" s="42" t="str" cm="1">
        <f t="array" ref="V523">IFERROR(_xlfn.IFS(
T523="","",
--T523&lt;55,"Battery Defect",
--T523&lt;=69,"Battery D",
--T523&lt;=80,"Battery C",
--T523&gt;80,""
),"")</f>
        <v/>
      </c>
      <c r="W523" s="42"/>
      <c r="X523" s="42"/>
      <c r="Y523" s="42"/>
      <c r="Z523" s="42"/>
      <c r="AA523" s="42"/>
      <c r="AB523" s="42"/>
      <c r="AC523" s="42"/>
      <c r="AD523" s="42"/>
      <c r="AE523" s="32" t="str">
        <f t="shared" si="24"/>
        <v/>
      </c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 t="str">
        <f>_xlfn.XLOOKUP(B524,Input!J:J,Input!G:G)&amp;""</f>
        <v/>
      </c>
      <c r="B524" s="32"/>
      <c r="C524" s="32" t="str">
        <f>_xlfn.XLOOKUP(B524,Input!J:J,Input!H:H)&amp;""</f>
        <v/>
      </c>
      <c r="D524" s="42">
        <f>_xlfn.XLOOKUP(B524,Input!J:J,Input!F:F)</f>
        <v>0</v>
      </c>
      <c r="E524" s="32">
        <f>_xlfn.XLOOKUP(D524,Models!H:H,Models!G:G,D524)</f>
        <v>0</v>
      </c>
      <c r="F524" s="32">
        <f>_xlfn.XLOOKUP(B524,Input!J:J,Input!E:E)</f>
        <v>0</v>
      </c>
      <c r="G524" s="32">
        <f>IF(F524="LENOVO",_xlfn.XLOOKUP(B524,Input!J:J,Input!K:K),_xlfn.XLOOKUP(B524,Input!J:J,Input!L:L))</f>
        <v>0</v>
      </c>
      <c r="H524" s="32"/>
      <c r="I524" s="32"/>
      <c r="J524" s="32"/>
      <c r="K524" s="42" t="e">
        <f>INDEX(Input!$D$2:$AC$500,
       MATCH(B524, Input!$J$2:$J$500, 0),
       MATCH("Total Memory", Input!$D$1:$AC$1, 0))</f>
        <v>#N/A</v>
      </c>
      <c r="L524" s="42"/>
      <c r="M524" s="42" t="str" cm="1">
        <f t="array" ref="M524">IFERROR(_xlfn.FILTERXML("&lt;t&gt;&lt;s&gt;" &amp; SUBSTITUTE(L524," / ","&lt;/s&gt;&lt;s&gt;") &amp; "&lt;/s&gt;&lt;/t&gt;","(//s[contains(.,'DDR')])[1]"),"")</f>
        <v/>
      </c>
      <c r="N524" s="32" t="e">
        <f t="shared" si="26"/>
        <v>#N/A</v>
      </c>
      <c r="O524" s="42" t="e">
        <f>INDEX(Input!$D$2:$AC$500,
       MATCH(B524, Input!$J$2:$J$500, 0),
       MATCH("Disk Interface Type", Input!$D$1:$AC$1, 0))</f>
        <v>#N/A</v>
      </c>
      <c r="P524" s="42" t="str" cm="1">
        <f t="array" ref="P524">IFERROR(_xlfn.TEXTJOIN(", ", TRUE, _xlfn._xlws.FILTER(
    INDEX(Input!$D$2:$AC$500,,MATCH("Disk Capacity",Input!$D$1:$AC$1,0)),
    Input!$J$2:$J$500=B524
)), "")</f>
        <v/>
      </c>
      <c r="Q524" s="32" t="e">
        <f t="shared" si="25"/>
        <v>#N/A</v>
      </c>
      <c r="R524" s="42" t="e">
        <f>_xlfn.LET(_xlpm.Result,INDEX(Input!$D$2:$AC$500,
       MATCH(B524, Input!$J$2:$J$500, 0),
       MATCH("Capacity", Input!$D$1:$AC$1, 0)),IF(_xlpm.Result="","",_xlpm.Result))</f>
        <v>#N/A</v>
      </c>
      <c r="S524" s="42"/>
      <c r="T524" s="42"/>
      <c r="U524" s="42" t="str" cm="1">
        <f t="array" ref="U524">IFERROR(_xlfn.IFS(
S524="","",
--S524&lt;55,"Battery Defect",
--S524&lt;=69,"Battery D",
--S524&lt;=80,"Battery C",
--S524&gt;80,""
),"")</f>
        <v/>
      </c>
      <c r="V524" s="42" t="str" cm="1">
        <f t="array" ref="V524">IFERROR(_xlfn.IFS(
T524="","",
--T524&lt;55,"Battery Defect",
--T524&lt;=69,"Battery D",
--T524&lt;=80,"Battery C",
--T524&gt;80,""
),"")</f>
        <v/>
      </c>
      <c r="W524" s="42"/>
      <c r="X524" s="42"/>
      <c r="Y524" s="42"/>
      <c r="Z524" s="42"/>
      <c r="AA524" s="42"/>
      <c r="AB524" s="42"/>
      <c r="AC524" s="42"/>
      <c r="AD524" s="42"/>
      <c r="AE524" s="32" t="str">
        <f t="shared" si="24"/>
        <v/>
      </c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 t="str">
        <f>_xlfn.XLOOKUP(B525,Input!J:J,Input!G:G)&amp;""</f>
        <v/>
      </c>
      <c r="B525" s="32"/>
      <c r="C525" s="32" t="str">
        <f>_xlfn.XLOOKUP(B525,Input!J:J,Input!H:H)&amp;""</f>
        <v/>
      </c>
      <c r="D525" s="42">
        <f>_xlfn.XLOOKUP(B525,Input!J:J,Input!F:F)</f>
        <v>0</v>
      </c>
      <c r="E525" s="32">
        <f>_xlfn.XLOOKUP(D525,Models!H:H,Models!G:G,D525)</f>
        <v>0</v>
      </c>
      <c r="F525" s="32">
        <f>_xlfn.XLOOKUP(B525,Input!J:J,Input!E:E)</f>
        <v>0</v>
      </c>
      <c r="G525" s="32">
        <f>IF(F525="LENOVO",_xlfn.XLOOKUP(B525,Input!J:J,Input!K:K),_xlfn.XLOOKUP(B525,Input!J:J,Input!L:L))</f>
        <v>0</v>
      </c>
      <c r="H525" s="32"/>
      <c r="I525" s="32"/>
      <c r="J525" s="32"/>
      <c r="K525" s="42" t="e">
        <f>INDEX(Input!$D$2:$AC$500,
       MATCH(B525, Input!$J$2:$J$500, 0),
       MATCH("Total Memory", Input!$D$1:$AC$1, 0))</f>
        <v>#N/A</v>
      </c>
      <c r="L525" s="42"/>
      <c r="M525" s="42" t="str" cm="1">
        <f t="array" ref="M525">IFERROR(_xlfn.FILTERXML("&lt;t&gt;&lt;s&gt;" &amp; SUBSTITUTE(L525," / ","&lt;/s&gt;&lt;s&gt;") &amp; "&lt;/s&gt;&lt;/t&gt;","(//s[contains(.,'DDR')])[1]"),"")</f>
        <v/>
      </c>
      <c r="N525" s="32" t="e">
        <f t="shared" si="26"/>
        <v>#N/A</v>
      </c>
      <c r="O525" s="42" t="e">
        <f>INDEX(Input!$D$2:$AC$500,
       MATCH(B525, Input!$J$2:$J$500, 0),
       MATCH("Disk Interface Type", Input!$D$1:$AC$1, 0))</f>
        <v>#N/A</v>
      </c>
      <c r="P525" s="42" t="str" cm="1">
        <f t="array" ref="P525">IFERROR(_xlfn.TEXTJOIN(", ", TRUE, _xlfn._xlws.FILTER(
    INDEX(Input!$D$2:$AC$500,,MATCH("Disk Capacity",Input!$D$1:$AC$1,0)),
    Input!$J$2:$J$500=B525
)), "")</f>
        <v/>
      </c>
      <c r="Q525" s="32" t="e">
        <f t="shared" si="25"/>
        <v>#N/A</v>
      </c>
      <c r="R525" s="42" t="e">
        <f>_xlfn.LET(_xlpm.Result,INDEX(Input!$D$2:$AC$500,
       MATCH(B525, Input!$J$2:$J$500, 0),
       MATCH("Capacity", Input!$D$1:$AC$1, 0)),IF(_xlpm.Result="","",_xlpm.Result))</f>
        <v>#N/A</v>
      </c>
      <c r="S525" s="42"/>
      <c r="T525" s="42"/>
      <c r="U525" s="42" t="str" cm="1">
        <f t="array" ref="U525">IFERROR(_xlfn.IFS(
S525="","",
--S525&lt;55,"Battery Defect",
--S525&lt;=69,"Battery D",
--S525&lt;=80,"Battery C",
--S525&gt;80,""
),"")</f>
        <v/>
      </c>
      <c r="V525" s="42" t="str" cm="1">
        <f t="array" ref="V525">IFERROR(_xlfn.IFS(
T525="","",
--T525&lt;55,"Battery Defect",
--T525&lt;=69,"Battery D",
--T525&lt;=80,"Battery C",
--T525&gt;80,""
),"")</f>
        <v/>
      </c>
      <c r="W525" s="42"/>
      <c r="X525" s="42"/>
      <c r="Y525" s="42"/>
      <c r="Z525" s="42"/>
      <c r="AA525" s="42"/>
      <c r="AB525" s="42"/>
      <c r="AC525" s="42"/>
      <c r="AD525" s="42"/>
      <c r="AE525" s="32" t="str">
        <f t="shared" si="24"/>
        <v/>
      </c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 t="str">
        <f>_xlfn.XLOOKUP(B526,Input!J:J,Input!G:G)&amp;""</f>
        <v/>
      </c>
      <c r="B526" s="32"/>
      <c r="C526" s="32" t="str">
        <f>_xlfn.XLOOKUP(B526,Input!J:J,Input!H:H)&amp;""</f>
        <v/>
      </c>
      <c r="D526" s="42">
        <f>_xlfn.XLOOKUP(B526,Input!J:J,Input!F:F)</f>
        <v>0</v>
      </c>
      <c r="E526" s="32">
        <f>_xlfn.XLOOKUP(D526,Models!H:H,Models!G:G,D526)</f>
        <v>0</v>
      </c>
      <c r="F526" s="32">
        <f>_xlfn.XLOOKUP(B526,Input!J:J,Input!E:E)</f>
        <v>0</v>
      </c>
      <c r="G526" s="32">
        <f>IF(F526="LENOVO",_xlfn.XLOOKUP(B526,Input!J:J,Input!K:K),_xlfn.XLOOKUP(B526,Input!J:J,Input!L:L))</f>
        <v>0</v>
      </c>
      <c r="H526" s="32"/>
      <c r="I526" s="32"/>
      <c r="J526" s="32"/>
      <c r="K526" s="42" t="e">
        <f>INDEX(Input!$D$2:$AC$500,
       MATCH(B526, Input!$J$2:$J$500, 0),
       MATCH("Total Memory", Input!$D$1:$AC$1, 0))</f>
        <v>#N/A</v>
      </c>
      <c r="L526" s="42"/>
      <c r="M526" s="42" t="str" cm="1">
        <f t="array" ref="M526">IFERROR(_xlfn.FILTERXML("&lt;t&gt;&lt;s&gt;" &amp; SUBSTITUTE(L526," / ","&lt;/s&gt;&lt;s&gt;") &amp; "&lt;/s&gt;&lt;/t&gt;","(//s[contains(.,'DDR')])[1]"),"")</f>
        <v/>
      </c>
      <c r="N526" s="32" t="e">
        <f t="shared" si="26"/>
        <v>#N/A</v>
      </c>
      <c r="O526" s="42" t="e">
        <f>INDEX(Input!$D$2:$AC$500,
       MATCH(B526, Input!$J$2:$J$500, 0),
       MATCH("Disk Interface Type", Input!$D$1:$AC$1, 0))</f>
        <v>#N/A</v>
      </c>
      <c r="P526" s="42" t="str" cm="1">
        <f t="array" ref="P526">IFERROR(_xlfn.TEXTJOIN(", ", TRUE, _xlfn._xlws.FILTER(
    INDEX(Input!$D$2:$AC$500,,MATCH("Disk Capacity",Input!$D$1:$AC$1,0)),
    Input!$J$2:$J$500=B526
)), "")</f>
        <v/>
      </c>
      <c r="Q526" s="32" t="e">
        <f t="shared" si="25"/>
        <v>#N/A</v>
      </c>
      <c r="R526" s="42" t="e">
        <f>_xlfn.LET(_xlpm.Result,INDEX(Input!$D$2:$AC$500,
       MATCH(B526, Input!$J$2:$J$500, 0),
       MATCH("Capacity", Input!$D$1:$AC$1, 0)),IF(_xlpm.Result="","",_xlpm.Result))</f>
        <v>#N/A</v>
      </c>
      <c r="S526" s="42"/>
      <c r="T526" s="42"/>
      <c r="U526" s="42" t="str" cm="1">
        <f t="array" ref="U526">IFERROR(_xlfn.IFS(
S526="","",
--S526&lt;55,"Battery Defect",
--S526&lt;=69,"Battery D",
--S526&lt;=80,"Battery C",
--S526&gt;80,""
),"")</f>
        <v/>
      </c>
      <c r="V526" s="42" t="str" cm="1">
        <f t="array" ref="V526">IFERROR(_xlfn.IFS(
T526="","",
--T526&lt;55,"Battery Defect",
--T526&lt;=69,"Battery D",
--T526&lt;=80,"Battery C",
--T526&gt;80,""
),"")</f>
        <v/>
      </c>
      <c r="W526" s="42"/>
      <c r="X526" s="42"/>
      <c r="Y526" s="42"/>
      <c r="Z526" s="42"/>
      <c r="AA526" s="42"/>
      <c r="AB526" s="42"/>
      <c r="AC526" s="42"/>
      <c r="AD526" s="42"/>
      <c r="AE526" s="32" t="str">
        <f t="shared" si="24"/>
        <v/>
      </c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 t="str">
        <f>_xlfn.XLOOKUP(B527,Input!J:J,Input!G:G)&amp;""</f>
        <v/>
      </c>
      <c r="B527" s="32"/>
      <c r="C527" s="32" t="str">
        <f>_xlfn.XLOOKUP(B527,Input!J:J,Input!H:H)&amp;""</f>
        <v/>
      </c>
      <c r="D527" s="42">
        <f>_xlfn.XLOOKUP(B527,Input!J:J,Input!F:F)</f>
        <v>0</v>
      </c>
      <c r="E527" s="32">
        <f>_xlfn.XLOOKUP(D527,Models!H:H,Models!G:G,D527)</f>
        <v>0</v>
      </c>
      <c r="F527" s="32">
        <f>_xlfn.XLOOKUP(B527,Input!J:J,Input!E:E)</f>
        <v>0</v>
      </c>
      <c r="G527" s="32">
        <f>IF(F527="LENOVO",_xlfn.XLOOKUP(B527,Input!J:J,Input!K:K),_xlfn.XLOOKUP(B527,Input!J:J,Input!L:L))</f>
        <v>0</v>
      </c>
      <c r="H527" s="32"/>
      <c r="I527" s="32"/>
      <c r="J527" s="32"/>
      <c r="K527" s="42" t="e">
        <f>INDEX(Input!$D$2:$AC$500,
       MATCH(B527, Input!$J$2:$J$500, 0),
       MATCH("Total Memory", Input!$D$1:$AC$1, 0))</f>
        <v>#N/A</v>
      </c>
      <c r="L527" s="42"/>
      <c r="M527" s="42" t="str" cm="1">
        <f t="array" ref="M527">IFERROR(_xlfn.FILTERXML("&lt;t&gt;&lt;s&gt;" &amp; SUBSTITUTE(L527," / ","&lt;/s&gt;&lt;s&gt;") &amp; "&lt;/s&gt;&lt;/t&gt;","(//s[contains(.,'DDR')])[1]"),"")</f>
        <v/>
      </c>
      <c r="N527" s="32" t="e">
        <f t="shared" si="26"/>
        <v>#N/A</v>
      </c>
      <c r="O527" s="42" t="e">
        <f>INDEX(Input!$D$2:$AC$500,
       MATCH(B527, Input!$J$2:$J$500, 0),
       MATCH("Disk Interface Type", Input!$D$1:$AC$1, 0))</f>
        <v>#N/A</v>
      </c>
      <c r="P527" s="42" t="str" cm="1">
        <f t="array" ref="P527">IFERROR(_xlfn.TEXTJOIN(", ", TRUE, _xlfn._xlws.FILTER(
    INDEX(Input!$D$2:$AC$500,,MATCH("Disk Capacity",Input!$D$1:$AC$1,0)),
    Input!$J$2:$J$500=B527
)), "")</f>
        <v/>
      </c>
      <c r="Q527" s="32" t="e">
        <f t="shared" si="25"/>
        <v>#N/A</v>
      </c>
      <c r="R527" s="42" t="e">
        <f>_xlfn.LET(_xlpm.Result,INDEX(Input!$D$2:$AC$500,
       MATCH(B527, Input!$J$2:$J$500, 0),
       MATCH("Capacity", Input!$D$1:$AC$1, 0)),IF(_xlpm.Result="","",_xlpm.Result))</f>
        <v>#N/A</v>
      </c>
      <c r="S527" s="42"/>
      <c r="T527" s="42"/>
      <c r="U527" s="42" t="str" cm="1">
        <f t="array" ref="U527">IFERROR(_xlfn.IFS(
S527="","",
--S527&lt;55,"Battery Defect",
--S527&lt;=69,"Battery D",
--S527&lt;=80,"Battery C",
--S527&gt;80,""
),"")</f>
        <v/>
      </c>
      <c r="V527" s="42" t="str" cm="1">
        <f t="array" ref="V527">IFERROR(_xlfn.IFS(
T527="","",
--T527&lt;55,"Battery Defect",
--T527&lt;=69,"Battery D",
--T527&lt;=80,"Battery C",
--T527&gt;80,""
),"")</f>
        <v/>
      </c>
      <c r="W527" s="42"/>
      <c r="X527" s="42"/>
      <c r="Y527" s="42"/>
      <c r="Z527" s="42"/>
      <c r="AA527" s="42"/>
      <c r="AB527" s="42"/>
      <c r="AC527" s="42"/>
      <c r="AD527" s="42"/>
      <c r="AE527" s="32" t="str">
        <f t="shared" si="24"/>
        <v/>
      </c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 t="str">
        <f>_xlfn.XLOOKUP(B528,Input!J:J,Input!G:G)&amp;""</f>
        <v/>
      </c>
      <c r="B528" s="32"/>
      <c r="C528" s="32" t="str">
        <f>_xlfn.XLOOKUP(B528,Input!J:J,Input!H:H)&amp;""</f>
        <v/>
      </c>
      <c r="D528" s="42">
        <f>_xlfn.XLOOKUP(B528,Input!J:J,Input!F:F)</f>
        <v>0</v>
      </c>
      <c r="E528" s="32">
        <f>_xlfn.XLOOKUP(D528,Models!H:H,Models!G:G,D528)</f>
        <v>0</v>
      </c>
      <c r="F528" s="32">
        <f>_xlfn.XLOOKUP(B528,Input!J:J,Input!E:E)</f>
        <v>0</v>
      </c>
      <c r="G528" s="32">
        <f>IF(F528="LENOVO",_xlfn.XLOOKUP(B528,Input!J:J,Input!K:K),_xlfn.XLOOKUP(B528,Input!J:J,Input!L:L))</f>
        <v>0</v>
      </c>
      <c r="H528" s="32"/>
      <c r="I528" s="32"/>
      <c r="J528" s="32"/>
      <c r="K528" s="42" t="e">
        <f>INDEX(Input!$D$2:$AC$500,
       MATCH(B528, Input!$J$2:$J$500, 0),
       MATCH("Total Memory", Input!$D$1:$AC$1, 0))</f>
        <v>#N/A</v>
      </c>
      <c r="L528" s="42"/>
      <c r="M528" s="42" t="str" cm="1">
        <f t="array" ref="M528">IFERROR(_xlfn.FILTERXML("&lt;t&gt;&lt;s&gt;" &amp; SUBSTITUTE(L528," / ","&lt;/s&gt;&lt;s&gt;") &amp; "&lt;/s&gt;&lt;/t&gt;","(//s[contains(.,'DDR')])[1]"),"")</f>
        <v/>
      </c>
      <c r="N528" s="32" t="e">
        <f t="shared" si="26"/>
        <v>#N/A</v>
      </c>
      <c r="O528" s="42" t="e">
        <f>INDEX(Input!$D$2:$AC$500,
       MATCH(B528, Input!$J$2:$J$500, 0),
       MATCH("Disk Interface Type", Input!$D$1:$AC$1, 0))</f>
        <v>#N/A</v>
      </c>
      <c r="P528" s="42" t="str" cm="1">
        <f t="array" ref="P528">IFERROR(_xlfn.TEXTJOIN(", ", TRUE, _xlfn._xlws.FILTER(
    INDEX(Input!$D$2:$AC$500,,MATCH("Disk Capacity",Input!$D$1:$AC$1,0)),
    Input!$J$2:$J$500=B528
)), "")</f>
        <v/>
      </c>
      <c r="Q528" s="32" t="e">
        <f t="shared" si="25"/>
        <v>#N/A</v>
      </c>
      <c r="R528" s="42" t="e">
        <f>_xlfn.LET(_xlpm.Result,INDEX(Input!$D$2:$AC$500,
       MATCH(B528, Input!$J$2:$J$500, 0),
       MATCH("Capacity", Input!$D$1:$AC$1, 0)),IF(_xlpm.Result="","",_xlpm.Result))</f>
        <v>#N/A</v>
      </c>
      <c r="S528" s="42"/>
      <c r="T528" s="42"/>
      <c r="U528" s="42" t="str" cm="1">
        <f t="array" ref="U528">IFERROR(_xlfn.IFS(
S528="","",
--S528&lt;55,"Battery Defect",
--S528&lt;=69,"Battery D",
--S528&lt;=80,"Battery C",
--S528&gt;80,""
),"")</f>
        <v/>
      </c>
      <c r="V528" s="42" t="str" cm="1">
        <f t="array" ref="V528">IFERROR(_xlfn.IFS(
T528="","",
--T528&lt;55,"Battery Defect",
--T528&lt;=69,"Battery D",
--T528&lt;=80,"Battery C",
--T528&gt;80,""
),"")</f>
        <v/>
      </c>
      <c r="W528" s="42"/>
      <c r="X528" s="42"/>
      <c r="Y528" s="42"/>
      <c r="Z528" s="42"/>
      <c r="AA528" s="42"/>
      <c r="AB528" s="42"/>
      <c r="AC528" s="42"/>
      <c r="AD528" s="42"/>
      <c r="AE528" s="32" t="str">
        <f t="shared" si="24"/>
        <v/>
      </c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 t="str">
        <f>_xlfn.XLOOKUP(B529,Input!J:J,Input!G:G)&amp;""</f>
        <v/>
      </c>
      <c r="B529" s="32"/>
      <c r="C529" s="32" t="str">
        <f>_xlfn.XLOOKUP(B529,Input!J:J,Input!H:H)&amp;""</f>
        <v/>
      </c>
      <c r="D529" s="42">
        <f>_xlfn.XLOOKUP(B529,Input!J:J,Input!F:F)</f>
        <v>0</v>
      </c>
      <c r="E529" s="32">
        <f>_xlfn.XLOOKUP(D529,Models!H:H,Models!G:G,D529)</f>
        <v>0</v>
      </c>
      <c r="F529" s="32">
        <f>_xlfn.XLOOKUP(B529,Input!J:J,Input!E:E)</f>
        <v>0</v>
      </c>
      <c r="G529" s="32">
        <f>IF(F529="LENOVO",_xlfn.XLOOKUP(B529,Input!J:J,Input!K:K),_xlfn.XLOOKUP(B529,Input!J:J,Input!L:L))</f>
        <v>0</v>
      </c>
      <c r="H529" s="32"/>
      <c r="I529" s="32"/>
      <c r="J529" s="32"/>
      <c r="K529" s="42" t="e">
        <f>INDEX(Input!$D$2:$AC$500,
       MATCH(B529, Input!$J$2:$J$500, 0),
       MATCH("Total Memory", Input!$D$1:$AC$1, 0))</f>
        <v>#N/A</v>
      </c>
      <c r="L529" s="42"/>
      <c r="M529" s="42" t="str" cm="1">
        <f t="array" ref="M529">IFERROR(_xlfn.FILTERXML("&lt;t&gt;&lt;s&gt;" &amp; SUBSTITUTE(L529," / ","&lt;/s&gt;&lt;s&gt;") &amp; "&lt;/s&gt;&lt;/t&gt;","(//s[contains(.,'DDR')])[1]"),"")</f>
        <v/>
      </c>
      <c r="N529" s="32" t="e">
        <f t="shared" si="26"/>
        <v>#N/A</v>
      </c>
      <c r="O529" s="42" t="e">
        <f>INDEX(Input!$D$2:$AC$500,
       MATCH(B529, Input!$J$2:$J$500, 0),
       MATCH("Disk Interface Type", Input!$D$1:$AC$1, 0))</f>
        <v>#N/A</v>
      </c>
      <c r="P529" s="42" t="str" cm="1">
        <f t="array" ref="P529">IFERROR(_xlfn.TEXTJOIN(", ", TRUE, _xlfn._xlws.FILTER(
    INDEX(Input!$D$2:$AC$500,,MATCH("Disk Capacity",Input!$D$1:$AC$1,0)),
    Input!$J$2:$J$500=B529
)), "")</f>
        <v/>
      </c>
      <c r="Q529" s="32" t="e">
        <f t="shared" si="25"/>
        <v>#N/A</v>
      </c>
      <c r="R529" s="42" t="e">
        <f>_xlfn.LET(_xlpm.Result,INDEX(Input!$D$2:$AC$500,
       MATCH(B529, Input!$J$2:$J$500, 0),
       MATCH("Capacity", Input!$D$1:$AC$1, 0)),IF(_xlpm.Result="","",_xlpm.Result))</f>
        <v>#N/A</v>
      </c>
      <c r="S529" s="42"/>
      <c r="T529" s="42"/>
      <c r="U529" s="42" t="str" cm="1">
        <f t="array" ref="U529">IFERROR(_xlfn.IFS(
S529="","",
--S529&lt;55,"Battery Defect",
--S529&lt;=69,"Battery D",
--S529&lt;=80,"Battery C",
--S529&gt;80,""
),"")</f>
        <v/>
      </c>
      <c r="V529" s="42" t="str" cm="1">
        <f t="array" ref="V529">IFERROR(_xlfn.IFS(
T529="","",
--T529&lt;55,"Battery Defect",
--T529&lt;=69,"Battery D",
--T529&lt;=80,"Battery C",
--T529&gt;80,""
),"")</f>
        <v/>
      </c>
      <c r="W529" s="42"/>
      <c r="X529" s="42"/>
      <c r="Y529" s="42"/>
      <c r="Z529" s="42"/>
      <c r="AA529" s="42"/>
      <c r="AB529" s="42"/>
      <c r="AC529" s="42"/>
      <c r="AD529" s="42"/>
      <c r="AE529" s="32" t="str">
        <f t="shared" si="24"/>
        <v/>
      </c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 t="str">
        <f>_xlfn.XLOOKUP(B530,Input!J:J,Input!G:G)&amp;""</f>
        <v/>
      </c>
      <c r="B530" s="32"/>
      <c r="C530" s="32" t="str">
        <f>_xlfn.XLOOKUP(B530,Input!J:J,Input!H:H)&amp;""</f>
        <v/>
      </c>
      <c r="D530" s="42">
        <f>_xlfn.XLOOKUP(B530,Input!J:J,Input!F:F)</f>
        <v>0</v>
      </c>
      <c r="E530" s="32">
        <f>_xlfn.XLOOKUP(D530,Models!H:H,Models!G:G,D530)</f>
        <v>0</v>
      </c>
      <c r="F530" s="32">
        <f>_xlfn.XLOOKUP(B530,Input!J:J,Input!E:E)</f>
        <v>0</v>
      </c>
      <c r="G530" s="32">
        <f>IF(F530="LENOVO",_xlfn.XLOOKUP(B530,Input!J:J,Input!K:K),_xlfn.XLOOKUP(B530,Input!J:J,Input!L:L))</f>
        <v>0</v>
      </c>
      <c r="H530" s="32"/>
      <c r="I530" s="32"/>
      <c r="J530" s="32"/>
      <c r="K530" s="42" t="e">
        <f>INDEX(Input!$D$2:$AC$500,
       MATCH(B530, Input!$J$2:$J$500, 0),
       MATCH("Total Memory", Input!$D$1:$AC$1, 0))</f>
        <v>#N/A</v>
      </c>
      <c r="L530" s="42"/>
      <c r="M530" s="42" t="str" cm="1">
        <f t="array" ref="M530">IFERROR(_xlfn.FILTERXML("&lt;t&gt;&lt;s&gt;" &amp; SUBSTITUTE(L530," / ","&lt;/s&gt;&lt;s&gt;") &amp; "&lt;/s&gt;&lt;/t&gt;","(//s[contains(.,'DDR')])[1]"),"")</f>
        <v/>
      </c>
      <c r="N530" s="32" t="e">
        <f t="shared" si="26"/>
        <v>#N/A</v>
      </c>
      <c r="O530" s="42" t="e">
        <f>INDEX(Input!$D$2:$AC$500,
       MATCH(B530, Input!$J$2:$J$500, 0),
       MATCH("Disk Interface Type", Input!$D$1:$AC$1, 0))</f>
        <v>#N/A</v>
      </c>
      <c r="P530" s="42" t="str" cm="1">
        <f t="array" ref="P530">IFERROR(_xlfn.TEXTJOIN(", ", TRUE, _xlfn._xlws.FILTER(
    INDEX(Input!$D$2:$AC$500,,MATCH("Disk Capacity",Input!$D$1:$AC$1,0)),
    Input!$J$2:$J$500=B530
)), "")</f>
        <v/>
      </c>
      <c r="Q530" s="32" t="e">
        <f t="shared" si="25"/>
        <v>#N/A</v>
      </c>
      <c r="R530" s="42" t="e">
        <f>_xlfn.LET(_xlpm.Result,INDEX(Input!$D$2:$AC$500,
       MATCH(B530, Input!$J$2:$J$500, 0),
       MATCH("Capacity", Input!$D$1:$AC$1, 0)),IF(_xlpm.Result="","",_xlpm.Result))</f>
        <v>#N/A</v>
      </c>
      <c r="S530" s="42"/>
      <c r="T530" s="42"/>
      <c r="U530" s="42" t="str" cm="1">
        <f t="array" ref="U530">IFERROR(_xlfn.IFS(
S530="","",
--S530&lt;55,"Battery Defect",
--S530&lt;=69,"Battery D",
--S530&lt;=80,"Battery C",
--S530&gt;80,""
),"")</f>
        <v/>
      </c>
      <c r="V530" s="42" t="str" cm="1">
        <f t="array" ref="V530">IFERROR(_xlfn.IFS(
T530="","",
--T530&lt;55,"Battery Defect",
--T530&lt;=69,"Battery D",
--T530&lt;=80,"Battery C",
--T530&gt;80,""
),"")</f>
        <v/>
      </c>
      <c r="W530" s="42"/>
      <c r="X530" s="42"/>
      <c r="Y530" s="42"/>
      <c r="Z530" s="42"/>
      <c r="AA530" s="42"/>
      <c r="AB530" s="42"/>
      <c r="AC530" s="42"/>
      <c r="AD530" s="42"/>
      <c r="AE530" s="32" t="str">
        <f t="shared" si="24"/>
        <v/>
      </c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 t="str">
        <f>_xlfn.XLOOKUP(B531,Input!J:J,Input!G:G)&amp;""</f>
        <v/>
      </c>
      <c r="B531" s="32"/>
      <c r="C531" s="32" t="str">
        <f>_xlfn.XLOOKUP(B531,Input!J:J,Input!H:H)&amp;""</f>
        <v/>
      </c>
      <c r="D531" s="42">
        <f>_xlfn.XLOOKUP(B531,Input!J:J,Input!F:F)</f>
        <v>0</v>
      </c>
      <c r="E531" s="32">
        <f>_xlfn.XLOOKUP(D531,Models!H:H,Models!G:G,D531)</f>
        <v>0</v>
      </c>
      <c r="F531" s="32">
        <f>_xlfn.XLOOKUP(B531,Input!J:J,Input!E:E)</f>
        <v>0</v>
      </c>
      <c r="G531" s="32">
        <f>IF(F531="LENOVO",_xlfn.XLOOKUP(B531,Input!J:J,Input!K:K),_xlfn.XLOOKUP(B531,Input!J:J,Input!L:L))</f>
        <v>0</v>
      </c>
      <c r="H531" s="32"/>
      <c r="I531" s="32"/>
      <c r="J531" s="32"/>
      <c r="K531" s="42" t="e">
        <f>INDEX(Input!$D$2:$AC$500,
       MATCH(B531, Input!$J$2:$J$500, 0),
       MATCH("Total Memory", Input!$D$1:$AC$1, 0))</f>
        <v>#N/A</v>
      </c>
      <c r="L531" s="42"/>
      <c r="M531" s="42" t="str" cm="1">
        <f t="array" ref="M531">IFERROR(_xlfn.FILTERXML("&lt;t&gt;&lt;s&gt;" &amp; SUBSTITUTE(L531," / ","&lt;/s&gt;&lt;s&gt;") &amp; "&lt;/s&gt;&lt;/t&gt;","(//s[contains(.,'DDR')])[1]"),"")</f>
        <v/>
      </c>
      <c r="N531" s="32" t="e">
        <f t="shared" si="26"/>
        <v>#N/A</v>
      </c>
      <c r="O531" s="42" t="e">
        <f>INDEX(Input!$D$2:$AC$500,
       MATCH(B531, Input!$J$2:$J$500, 0),
       MATCH("Disk Interface Type", Input!$D$1:$AC$1, 0))</f>
        <v>#N/A</v>
      </c>
      <c r="P531" s="42" t="str" cm="1">
        <f t="array" ref="P531">IFERROR(_xlfn.TEXTJOIN(", ", TRUE, _xlfn._xlws.FILTER(
    INDEX(Input!$D$2:$AC$500,,MATCH("Disk Capacity",Input!$D$1:$AC$1,0)),
    Input!$J$2:$J$500=B531
)), "")</f>
        <v/>
      </c>
      <c r="Q531" s="32" t="e">
        <f t="shared" si="25"/>
        <v>#N/A</v>
      </c>
      <c r="R531" s="42" t="e">
        <f>_xlfn.LET(_xlpm.Result,INDEX(Input!$D$2:$AC$500,
       MATCH(B531, Input!$J$2:$J$500, 0),
       MATCH("Capacity", Input!$D$1:$AC$1, 0)),IF(_xlpm.Result="","",_xlpm.Result))</f>
        <v>#N/A</v>
      </c>
      <c r="S531" s="42"/>
      <c r="T531" s="42"/>
      <c r="U531" s="42" t="str" cm="1">
        <f t="array" ref="U531">IFERROR(_xlfn.IFS(
S531="","",
--S531&lt;55,"Battery Defect",
--S531&lt;=69,"Battery D",
--S531&lt;=80,"Battery C",
--S531&gt;80,""
),"")</f>
        <v/>
      </c>
      <c r="V531" s="42" t="str" cm="1">
        <f t="array" ref="V531">IFERROR(_xlfn.IFS(
T531="","",
--T531&lt;55,"Battery Defect",
--T531&lt;=69,"Battery D",
--T531&lt;=80,"Battery C",
--T531&gt;80,""
),"")</f>
        <v/>
      </c>
      <c r="W531" s="42"/>
      <c r="X531" s="42"/>
      <c r="Y531" s="42"/>
      <c r="Z531" s="42"/>
      <c r="AA531" s="42"/>
      <c r="AB531" s="42"/>
      <c r="AC531" s="42"/>
      <c r="AD531" s="42"/>
      <c r="AE531" s="32" t="str">
        <f t="shared" si="24"/>
        <v/>
      </c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 t="str">
        <f>_xlfn.XLOOKUP(B532,Input!J:J,Input!G:G)&amp;""</f>
        <v/>
      </c>
      <c r="B532" s="32"/>
      <c r="C532" s="32" t="str">
        <f>_xlfn.XLOOKUP(B532,Input!J:J,Input!H:H)&amp;""</f>
        <v/>
      </c>
      <c r="D532" s="42">
        <f>_xlfn.XLOOKUP(B532,Input!J:J,Input!F:F)</f>
        <v>0</v>
      </c>
      <c r="E532" s="32">
        <f>_xlfn.XLOOKUP(D532,Models!H:H,Models!G:G,D532)</f>
        <v>0</v>
      </c>
      <c r="F532" s="32">
        <f>_xlfn.XLOOKUP(B532,Input!J:J,Input!E:E)</f>
        <v>0</v>
      </c>
      <c r="G532" s="32">
        <f>IF(F532="LENOVO",_xlfn.XLOOKUP(B532,Input!J:J,Input!K:K),_xlfn.XLOOKUP(B532,Input!J:J,Input!L:L))</f>
        <v>0</v>
      </c>
      <c r="H532" s="32"/>
      <c r="I532" s="32"/>
      <c r="J532" s="32"/>
      <c r="K532" s="42" t="e">
        <f>INDEX(Input!$D$2:$AC$500,
       MATCH(B532, Input!$J$2:$J$500, 0),
       MATCH("Total Memory", Input!$D$1:$AC$1, 0))</f>
        <v>#N/A</v>
      </c>
      <c r="L532" s="42"/>
      <c r="M532" s="42" t="str" cm="1">
        <f t="array" ref="M532">IFERROR(_xlfn.FILTERXML("&lt;t&gt;&lt;s&gt;" &amp; SUBSTITUTE(L532," / ","&lt;/s&gt;&lt;s&gt;") &amp; "&lt;/s&gt;&lt;/t&gt;","(//s[contains(.,'DDR')])[1]"),"")</f>
        <v/>
      </c>
      <c r="N532" s="32" t="e">
        <f t="shared" si="26"/>
        <v>#N/A</v>
      </c>
      <c r="O532" s="42" t="e">
        <f>INDEX(Input!$D$2:$AC$500,
       MATCH(B532, Input!$J$2:$J$500, 0),
       MATCH("Disk Interface Type", Input!$D$1:$AC$1, 0))</f>
        <v>#N/A</v>
      </c>
      <c r="P532" s="42" t="str" cm="1">
        <f t="array" ref="P532">IFERROR(_xlfn.TEXTJOIN(", ", TRUE, _xlfn._xlws.FILTER(
    INDEX(Input!$D$2:$AC$500,,MATCH("Disk Capacity",Input!$D$1:$AC$1,0)),
    Input!$J$2:$J$500=B532
)), "")</f>
        <v/>
      </c>
      <c r="Q532" s="32" t="e">
        <f t="shared" si="25"/>
        <v>#N/A</v>
      </c>
      <c r="R532" s="42" t="e">
        <f>_xlfn.LET(_xlpm.Result,INDEX(Input!$D$2:$AC$500,
       MATCH(B532, Input!$J$2:$J$500, 0),
       MATCH("Capacity", Input!$D$1:$AC$1, 0)),IF(_xlpm.Result="","",_xlpm.Result))</f>
        <v>#N/A</v>
      </c>
      <c r="S532" s="42"/>
      <c r="T532" s="42"/>
      <c r="U532" s="42" t="str" cm="1">
        <f t="array" ref="U532">IFERROR(_xlfn.IFS(
S532="","",
--S532&lt;55,"Battery Defect",
--S532&lt;=69,"Battery D",
--S532&lt;=80,"Battery C",
--S532&gt;80,""
),"")</f>
        <v/>
      </c>
      <c r="V532" s="42" t="str" cm="1">
        <f t="array" ref="V532">IFERROR(_xlfn.IFS(
T532="","",
--T532&lt;55,"Battery Defect",
--T532&lt;=69,"Battery D",
--T532&lt;=80,"Battery C",
--T532&gt;80,""
),"")</f>
        <v/>
      </c>
      <c r="W532" s="42"/>
      <c r="X532" s="42"/>
      <c r="Y532" s="42"/>
      <c r="Z532" s="42"/>
      <c r="AA532" s="42"/>
      <c r="AB532" s="42"/>
      <c r="AC532" s="42"/>
      <c r="AD532" s="42"/>
      <c r="AE532" s="32" t="str">
        <f t="shared" si="24"/>
        <v/>
      </c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 t="str">
        <f>_xlfn.XLOOKUP(B533,Input!J:J,Input!G:G)&amp;""</f>
        <v/>
      </c>
      <c r="B533" s="32"/>
      <c r="C533" s="32" t="str">
        <f>_xlfn.XLOOKUP(B533,Input!J:J,Input!H:H)&amp;""</f>
        <v/>
      </c>
      <c r="D533" s="42">
        <f>_xlfn.XLOOKUP(B533,Input!J:J,Input!F:F)</f>
        <v>0</v>
      </c>
      <c r="E533" s="32">
        <f>_xlfn.XLOOKUP(D533,Models!H:H,Models!G:G,D533)</f>
        <v>0</v>
      </c>
      <c r="F533" s="32">
        <f>_xlfn.XLOOKUP(B533,Input!J:J,Input!E:E)</f>
        <v>0</v>
      </c>
      <c r="G533" s="32">
        <f>IF(F533="LENOVO",_xlfn.XLOOKUP(B533,Input!J:J,Input!K:K),_xlfn.XLOOKUP(B533,Input!J:J,Input!L:L))</f>
        <v>0</v>
      </c>
      <c r="H533" s="32"/>
      <c r="I533" s="32"/>
      <c r="J533" s="32"/>
      <c r="K533" s="42" t="e">
        <f>INDEX(Input!$D$2:$AC$500,
       MATCH(B533, Input!$J$2:$J$500, 0),
       MATCH("Total Memory", Input!$D$1:$AC$1, 0))</f>
        <v>#N/A</v>
      </c>
      <c r="L533" s="42"/>
      <c r="M533" s="42" t="str" cm="1">
        <f t="array" ref="M533">IFERROR(_xlfn.FILTERXML("&lt;t&gt;&lt;s&gt;" &amp; SUBSTITUTE(L533," / ","&lt;/s&gt;&lt;s&gt;") &amp; "&lt;/s&gt;&lt;/t&gt;","(//s[contains(.,'DDR')])[1]"),"")</f>
        <v/>
      </c>
      <c r="N533" s="32" t="e">
        <f t="shared" si="26"/>
        <v>#N/A</v>
      </c>
      <c r="O533" s="42" t="e">
        <f>INDEX(Input!$D$2:$AC$500,
       MATCH(B533, Input!$J$2:$J$500, 0),
       MATCH("Disk Interface Type", Input!$D$1:$AC$1, 0))</f>
        <v>#N/A</v>
      </c>
      <c r="P533" s="42" t="str" cm="1">
        <f t="array" ref="P533">IFERROR(_xlfn.TEXTJOIN(", ", TRUE, _xlfn._xlws.FILTER(
    INDEX(Input!$D$2:$AC$500,,MATCH("Disk Capacity",Input!$D$1:$AC$1,0)),
    Input!$J$2:$J$500=B533
)), "")</f>
        <v/>
      </c>
      <c r="Q533" s="32" t="e">
        <f t="shared" si="25"/>
        <v>#N/A</v>
      </c>
      <c r="R533" s="42" t="e">
        <f>_xlfn.LET(_xlpm.Result,INDEX(Input!$D$2:$AC$500,
       MATCH(B533, Input!$J$2:$J$500, 0),
       MATCH("Capacity", Input!$D$1:$AC$1, 0)),IF(_xlpm.Result="","",_xlpm.Result))</f>
        <v>#N/A</v>
      </c>
      <c r="S533" s="42"/>
      <c r="T533" s="42"/>
      <c r="U533" s="42" t="str" cm="1">
        <f t="array" ref="U533">IFERROR(_xlfn.IFS(
S533="","",
--S533&lt;55,"Battery Defect",
--S533&lt;=69,"Battery D",
--S533&lt;=80,"Battery C",
--S533&gt;80,""
),"")</f>
        <v/>
      </c>
      <c r="V533" s="42" t="str" cm="1">
        <f t="array" ref="V533">IFERROR(_xlfn.IFS(
T533="","",
--T533&lt;55,"Battery Defect",
--T533&lt;=69,"Battery D",
--T533&lt;=80,"Battery C",
--T533&gt;80,""
),"")</f>
        <v/>
      </c>
      <c r="W533" s="42"/>
      <c r="X533" s="42"/>
      <c r="Y533" s="42"/>
      <c r="Z533" s="42"/>
      <c r="AA533" s="42"/>
      <c r="AB533" s="42"/>
      <c r="AC533" s="42"/>
      <c r="AD533" s="42"/>
      <c r="AE533" s="32" t="str">
        <f t="shared" si="24"/>
        <v/>
      </c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 t="str">
        <f>_xlfn.XLOOKUP(B534,Input!J:J,Input!G:G)&amp;""</f>
        <v/>
      </c>
      <c r="B534" s="32"/>
      <c r="C534" s="32" t="str">
        <f>_xlfn.XLOOKUP(B534,Input!J:J,Input!H:H)&amp;""</f>
        <v/>
      </c>
      <c r="D534" s="42">
        <f>_xlfn.XLOOKUP(B534,Input!J:J,Input!F:F)</f>
        <v>0</v>
      </c>
      <c r="E534" s="32">
        <f>_xlfn.XLOOKUP(D534,Models!H:H,Models!G:G,D534)</f>
        <v>0</v>
      </c>
      <c r="F534" s="32">
        <f>_xlfn.XLOOKUP(B534,Input!J:J,Input!E:E)</f>
        <v>0</v>
      </c>
      <c r="G534" s="32">
        <f>IF(F534="LENOVO",_xlfn.XLOOKUP(B534,Input!J:J,Input!K:K),_xlfn.XLOOKUP(B534,Input!J:J,Input!L:L))</f>
        <v>0</v>
      </c>
      <c r="H534" s="32"/>
      <c r="I534" s="32"/>
      <c r="J534" s="32"/>
      <c r="K534" s="42" t="e">
        <f>INDEX(Input!$D$2:$AC$500,
       MATCH(B534, Input!$J$2:$J$500, 0),
       MATCH("Total Memory", Input!$D$1:$AC$1, 0))</f>
        <v>#N/A</v>
      </c>
      <c r="L534" s="42"/>
      <c r="M534" s="42" t="str" cm="1">
        <f t="array" ref="M534">IFERROR(_xlfn.FILTERXML("&lt;t&gt;&lt;s&gt;" &amp; SUBSTITUTE(L534," / ","&lt;/s&gt;&lt;s&gt;") &amp; "&lt;/s&gt;&lt;/t&gt;","(//s[contains(.,'DDR')])[1]"),"")</f>
        <v/>
      </c>
      <c r="N534" s="32" t="e">
        <f t="shared" si="26"/>
        <v>#N/A</v>
      </c>
      <c r="O534" s="42" t="e">
        <f>INDEX(Input!$D$2:$AC$500,
       MATCH(B534, Input!$J$2:$J$500, 0),
       MATCH("Disk Interface Type", Input!$D$1:$AC$1, 0))</f>
        <v>#N/A</v>
      </c>
      <c r="P534" s="42" t="str" cm="1">
        <f t="array" ref="P534">IFERROR(_xlfn.TEXTJOIN(", ", TRUE, _xlfn._xlws.FILTER(
    INDEX(Input!$D$2:$AC$500,,MATCH("Disk Capacity",Input!$D$1:$AC$1,0)),
    Input!$J$2:$J$500=B534
)), "")</f>
        <v/>
      </c>
      <c r="Q534" s="32" t="e">
        <f t="shared" si="25"/>
        <v>#N/A</v>
      </c>
      <c r="R534" s="42" t="e">
        <f>_xlfn.LET(_xlpm.Result,INDEX(Input!$D$2:$AC$500,
       MATCH(B534, Input!$J$2:$J$500, 0),
       MATCH("Capacity", Input!$D$1:$AC$1, 0)),IF(_xlpm.Result="","",_xlpm.Result))</f>
        <v>#N/A</v>
      </c>
      <c r="S534" s="42"/>
      <c r="T534" s="42"/>
      <c r="U534" s="42" t="str" cm="1">
        <f t="array" ref="U534">IFERROR(_xlfn.IFS(
S534="","",
--S534&lt;55,"Battery Defect",
--S534&lt;=69,"Battery D",
--S534&lt;=80,"Battery C",
--S534&gt;80,""
),"")</f>
        <v/>
      </c>
      <c r="V534" s="42" t="str" cm="1">
        <f t="array" ref="V534">IFERROR(_xlfn.IFS(
T534="","",
--T534&lt;55,"Battery Defect",
--T534&lt;=69,"Battery D",
--T534&lt;=80,"Battery C",
--T534&gt;80,""
),"")</f>
        <v/>
      </c>
      <c r="W534" s="42"/>
      <c r="X534" s="42"/>
      <c r="Y534" s="42"/>
      <c r="Z534" s="42"/>
      <c r="AA534" s="42"/>
      <c r="AB534" s="42"/>
      <c r="AC534" s="42"/>
      <c r="AD534" s="42"/>
      <c r="AE534" s="32" t="str">
        <f t="shared" si="24"/>
        <v/>
      </c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 t="str">
        <f>_xlfn.XLOOKUP(B535,Input!J:J,Input!G:G)&amp;""</f>
        <v/>
      </c>
      <c r="B535" s="32"/>
      <c r="C535" s="32" t="str">
        <f>_xlfn.XLOOKUP(B535,Input!J:J,Input!H:H)&amp;""</f>
        <v/>
      </c>
      <c r="D535" s="42">
        <f>_xlfn.XLOOKUP(B535,Input!J:J,Input!F:F)</f>
        <v>0</v>
      </c>
      <c r="E535" s="32">
        <f>_xlfn.XLOOKUP(D535,Models!H:H,Models!G:G,D535)</f>
        <v>0</v>
      </c>
      <c r="F535" s="32">
        <f>_xlfn.XLOOKUP(B535,Input!J:J,Input!E:E)</f>
        <v>0</v>
      </c>
      <c r="G535" s="32">
        <f>IF(F535="LENOVO",_xlfn.XLOOKUP(B535,Input!J:J,Input!K:K),_xlfn.XLOOKUP(B535,Input!J:J,Input!L:L))</f>
        <v>0</v>
      </c>
      <c r="H535" s="32"/>
      <c r="I535" s="32"/>
      <c r="J535" s="32"/>
      <c r="K535" s="42" t="e">
        <f>INDEX(Input!$D$2:$AC$500,
       MATCH(B535, Input!$J$2:$J$500, 0),
       MATCH("Total Memory", Input!$D$1:$AC$1, 0))</f>
        <v>#N/A</v>
      </c>
      <c r="L535" s="42"/>
      <c r="M535" s="42" t="str" cm="1">
        <f t="array" ref="M535">IFERROR(_xlfn.FILTERXML("&lt;t&gt;&lt;s&gt;" &amp; SUBSTITUTE(L535," / ","&lt;/s&gt;&lt;s&gt;") &amp; "&lt;/s&gt;&lt;/t&gt;","(//s[contains(.,'DDR')])[1]"),"")</f>
        <v/>
      </c>
      <c r="N535" s="32" t="e">
        <f t="shared" si="26"/>
        <v>#N/A</v>
      </c>
      <c r="O535" s="42" t="e">
        <f>INDEX(Input!$D$2:$AC$500,
       MATCH(B535, Input!$J$2:$J$500, 0),
       MATCH("Disk Interface Type", Input!$D$1:$AC$1, 0))</f>
        <v>#N/A</v>
      </c>
      <c r="P535" s="42" t="str" cm="1">
        <f t="array" ref="P535">IFERROR(_xlfn.TEXTJOIN(", ", TRUE, _xlfn._xlws.FILTER(
    INDEX(Input!$D$2:$AC$500,,MATCH("Disk Capacity",Input!$D$1:$AC$1,0)),
    Input!$J$2:$J$500=B535
)), "")</f>
        <v/>
      </c>
      <c r="Q535" s="32" t="e">
        <f t="shared" si="25"/>
        <v>#N/A</v>
      </c>
      <c r="R535" s="42" t="e">
        <f>_xlfn.LET(_xlpm.Result,INDEX(Input!$D$2:$AC$500,
       MATCH(B535, Input!$J$2:$J$500, 0),
       MATCH("Capacity", Input!$D$1:$AC$1, 0)),IF(_xlpm.Result="","",_xlpm.Result))</f>
        <v>#N/A</v>
      </c>
      <c r="S535" s="42"/>
      <c r="T535" s="42"/>
      <c r="U535" s="42" t="str" cm="1">
        <f t="array" ref="U535">IFERROR(_xlfn.IFS(
S535="","",
--S535&lt;55,"Battery Defect",
--S535&lt;=69,"Battery D",
--S535&lt;=80,"Battery C",
--S535&gt;80,""
),"")</f>
        <v/>
      </c>
      <c r="V535" s="42" t="str" cm="1">
        <f t="array" ref="V535">IFERROR(_xlfn.IFS(
T535="","",
--T535&lt;55,"Battery Defect",
--T535&lt;=69,"Battery D",
--T535&lt;=80,"Battery C",
--T535&gt;80,""
),"")</f>
        <v/>
      </c>
      <c r="W535" s="42"/>
      <c r="X535" s="42"/>
      <c r="Y535" s="42"/>
      <c r="Z535" s="42"/>
      <c r="AA535" s="42"/>
      <c r="AB535" s="42"/>
      <c r="AC535" s="42"/>
      <c r="AD535" s="42"/>
      <c r="AE535" s="32" t="str">
        <f t="shared" si="24"/>
        <v/>
      </c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 t="str">
        <f>_xlfn.XLOOKUP(B536,Input!J:J,Input!G:G)&amp;""</f>
        <v/>
      </c>
      <c r="B536" s="32"/>
      <c r="C536" s="32" t="str">
        <f>_xlfn.XLOOKUP(B536,Input!J:J,Input!H:H)&amp;""</f>
        <v/>
      </c>
      <c r="D536" s="42">
        <f>_xlfn.XLOOKUP(B536,Input!J:J,Input!F:F)</f>
        <v>0</v>
      </c>
      <c r="E536" s="32">
        <f>_xlfn.XLOOKUP(D536,Models!H:H,Models!G:G,D536)</f>
        <v>0</v>
      </c>
      <c r="F536" s="32">
        <f>_xlfn.XLOOKUP(B536,Input!J:J,Input!E:E)</f>
        <v>0</v>
      </c>
      <c r="G536" s="32">
        <f>IF(F536="LENOVO",_xlfn.XLOOKUP(B536,Input!J:J,Input!K:K),_xlfn.XLOOKUP(B536,Input!J:J,Input!L:L))</f>
        <v>0</v>
      </c>
      <c r="H536" s="32"/>
      <c r="I536" s="32"/>
      <c r="J536" s="32"/>
      <c r="K536" s="42" t="e">
        <f>INDEX(Input!$D$2:$AC$500,
       MATCH(B536, Input!$J$2:$J$500, 0),
       MATCH("Total Memory", Input!$D$1:$AC$1, 0))</f>
        <v>#N/A</v>
      </c>
      <c r="L536" s="42"/>
      <c r="M536" s="42" t="str" cm="1">
        <f t="array" ref="M536">IFERROR(_xlfn.FILTERXML("&lt;t&gt;&lt;s&gt;" &amp; SUBSTITUTE(L536," / ","&lt;/s&gt;&lt;s&gt;") &amp; "&lt;/s&gt;&lt;/t&gt;","(//s[contains(.,'DDR')])[1]"),"")</f>
        <v/>
      </c>
      <c r="N536" s="32" t="e">
        <f t="shared" si="26"/>
        <v>#N/A</v>
      </c>
      <c r="O536" s="42" t="e">
        <f>INDEX(Input!$D$2:$AC$500,
       MATCH(B536, Input!$J$2:$J$500, 0),
       MATCH("Disk Interface Type", Input!$D$1:$AC$1, 0))</f>
        <v>#N/A</v>
      </c>
      <c r="P536" s="42" t="str" cm="1">
        <f t="array" ref="P536">IFERROR(_xlfn.TEXTJOIN(", ", TRUE, _xlfn._xlws.FILTER(
    INDEX(Input!$D$2:$AC$500,,MATCH("Disk Capacity",Input!$D$1:$AC$1,0)),
    Input!$J$2:$J$500=B536
)), "")</f>
        <v/>
      </c>
      <c r="Q536" s="32" t="e">
        <f t="shared" si="25"/>
        <v>#N/A</v>
      </c>
      <c r="R536" s="42" t="e">
        <f>_xlfn.LET(_xlpm.Result,INDEX(Input!$D$2:$AC$500,
       MATCH(B536, Input!$J$2:$J$500, 0),
       MATCH("Capacity", Input!$D$1:$AC$1, 0)),IF(_xlpm.Result="","",_xlpm.Result))</f>
        <v>#N/A</v>
      </c>
      <c r="S536" s="42"/>
      <c r="T536" s="42"/>
      <c r="U536" s="42" t="str" cm="1">
        <f t="array" ref="U536">IFERROR(_xlfn.IFS(
S536="","",
--S536&lt;55,"Battery Defect",
--S536&lt;=69,"Battery D",
--S536&lt;=80,"Battery C",
--S536&gt;80,""
),"")</f>
        <v/>
      </c>
      <c r="V536" s="42" t="str" cm="1">
        <f t="array" ref="V536">IFERROR(_xlfn.IFS(
T536="","",
--T536&lt;55,"Battery Defect",
--T536&lt;=69,"Battery D",
--T536&lt;=80,"Battery C",
--T536&gt;80,""
),"")</f>
        <v/>
      </c>
      <c r="W536" s="42"/>
      <c r="X536" s="42"/>
      <c r="Y536" s="42"/>
      <c r="Z536" s="42"/>
      <c r="AA536" s="42"/>
      <c r="AB536" s="42"/>
      <c r="AC536" s="42"/>
      <c r="AD536" s="42"/>
      <c r="AE536" s="32" t="str">
        <f t="shared" si="24"/>
        <v/>
      </c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 t="str">
        <f>_xlfn.XLOOKUP(B537,Input!J:J,Input!G:G)&amp;""</f>
        <v/>
      </c>
      <c r="B537" s="32"/>
      <c r="C537" s="32" t="str">
        <f>_xlfn.XLOOKUP(B537,Input!J:J,Input!H:H)&amp;""</f>
        <v/>
      </c>
      <c r="D537" s="42">
        <f>_xlfn.XLOOKUP(B537,Input!J:J,Input!F:F)</f>
        <v>0</v>
      </c>
      <c r="E537" s="32">
        <f>_xlfn.XLOOKUP(D537,Models!H:H,Models!G:G,D537)</f>
        <v>0</v>
      </c>
      <c r="F537" s="32">
        <f>_xlfn.XLOOKUP(B537,Input!J:J,Input!E:E)</f>
        <v>0</v>
      </c>
      <c r="G537" s="32">
        <f>IF(F537="LENOVO",_xlfn.XLOOKUP(B537,Input!J:J,Input!K:K),_xlfn.XLOOKUP(B537,Input!J:J,Input!L:L))</f>
        <v>0</v>
      </c>
      <c r="H537" s="32"/>
      <c r="I537" s="32"/>
      <c r="J537" s="32"/>
      <c r="K537" s="42" t="e">
        <f>INDEX(Input!$D$2:$AC$500,
       MATCH(B537, Input!$J$2:$J$500, 0),
       MATCH("Total Memory", Input!$D$1:$AC$1, 0))</f>
        <v>#N/A</v>
      </c>
      <c r="L537" s="42"/>
      <c r="M537" s="42" t="str" cm="1">
        <f t="array" ref="M537">IFERROR(_xlfn.FILTERXML("&lt;t&gt;&lt;s&gt;" &amp; SUBSTITUTE(L537," / ","&lt;/s&gt;&lt;s&gt;") &amp; "&lt;/s&gt;&lt;/t&gt;","(//s[contains(.,'DDR')])[1]"),"")</f>
        <v/>
      </c>
      <c r="N537" s="32" t="e">
        <f t="shared" si="26"/>
        <v>#N/A</v>
      </c>
      <c r="O537" s="42" t="e">
        <f>INDEX(Input!$D$2:$AC$500,
       MATCH(B537, Input!$J$2:$J$500, 0),
       MATCH("Disk Interface Type", Input!$D$1:$AC$1, 0))</f>
        <v>#N/A</v>
      </c>
      <c r="P537" s="42" t="str" cm="1">
        <f t="array" ref="P537">IFERROR(_xlfn.TEXTJOIN(", ", TRUE, _xlfn._xlws.FILTER(
    INDEX(Input!$D$2:$AC$500,,MATCH("Disk Capacity",Input!$D$1:$AC$1,0)),
    Input!$J$2:$J$500=B537
)), "")</f>
        <v/>
      </c>
      <c r="Q537" s="32" t="e">
        <f t="shared" si="25"/>
        <v>#N/A</v>
      </c>
      <c r="R537" s="42" t="e">
        <f>_xlfn.LET(_xlpm.Result,INDEX(Input!$D$2:$AC$500,
       MATCH(B537, Input!$J$2:$J$500, 0),
       MATCH("Capacity", Input!$D$1:$AC$1, 0)),IF(_xlpm.Result="","",_xlpm.Result))</f>
        <v>#N/A</v>
      </c>
      <c r="S537" s="42"/>
      <c r="T537" s="42"/>
      <c r="U537" s="42" t="str" cm="1">
        <f t="array" ref="U537">IFERROR(_xlfn.IFS(
S537="","",
--S537&lt;55,"Battery Defect",
--S537&lt;=69,"Battery D",
--S537&lt;=80,"Battery C",
--S537&gt;80,""
),"")</f>
        <v/>
      </c>
      <c r="V537" s="42" t="str" cm="1">
        <f t="array" ref="V537">IFERROR(_xlfn.IFS(
T537="","",
--T537&lt;55,"Battery Defect",
--T537&lt;=69,"Battery D",
--T537&lt;=80,"Battery C",
--T537&gt;80,""
),"")</f>
        <v/>
      </c>
      <c r="W537" s="42"/>
      <c r="X537" s="42"/>
      <c r="Y537" s="42"/>
      <c r="Z537" s="42"/>
      <c r="AA537" s="42"/>
      <c r="AB537" s="42"/>
      <c r="AC537" s="42"/>
      <c r="AD537" s="42"/>
      <c r="AE537" s="32" t="str">
        <f t="shared" si="24"/>
        <v/>
      </c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 t="str">
        <f>_xlfn.XLOOKUP(B538,Input!J:J,Input!G:G)&amp;""</f>
        <v/>
      </c>
      <c r="B538" s="32"/>
      <c r="C538" s="32" t="str">
        <f>_xlfn.XLOOKUP(B538,Input!J:J,Input!H:H)&amp;""</f>
        <v/>
      </c>
      <c r="D538" s="42">
        <f>_xlfn.XLOOKUP(B538,Input!J:J,Input!F:F)</f>
        <v>0</v>
      </c>
      <c r="E538" s="32">
        <f>_xlfn.XLOOKUP(D538,Models!H:H,Models!G:G,D538)</f>
        <v>0</v>
      </c>
      <c r="F538" s="32">
        <f>_xlfn.XLOOKUP(B538,Input!J:J,Input!E:E)</f>
        <v>0</v>
      </c>
      <c r="G538" s="32">
        <f>IF(F538="LENOVO",_xlfn.XLOOKUP(B538,Input!J:J,Input!K:K),_xlfn.XLOOKUP(B538,Input!J:J,Input!L:L))</f>
        <v>0</v>
      </c>
      <c r="H538" s="32"/>
      <c r="I538" s="32"/>
      <c r="J538" s="32"/>
      <c r="K538" s="42" t="e">
        <f>INDEX(Input!$D$2:$AC$500,
       MATCH(B538, Input!$J$2:$J$500, 0),
       MATCH("Total Memory", Input!$D$1:$AC$1, 0))</f>
        <v>#N/A</v>
      </c>
      <c r="L538" s="42"/>
      <c r="M538" s="42" t="str" cm="1">
        <f t="array" ref="M538">IFERROR(_xlfn.FILTERXML("&lt;t&gt;&lt;s&gt;" &amp; SUBSTITUTE(L538," / ","&lt;/s&gt;&lt;s&gt;") &amp; "&lt;/s&gt;&lt;/t&gt;","(//s[contains(.,'DDR')])[1]"),"")</f>
        <v/>
      </c>
      <c r="N538" s="32" t="e">
        <f t="shared" si="26"/>
        <v>#N/A</v>
      </c>
      <c r="O538" s="42" t="e">
        <f>INDEX(Input!$D$2:$AC$500,
       MATCH(B538, Input!$J$2:$J$500, 0),
       MATCH("Disk Interface Type", Input!$D$1:$AC$1, 0))</f>
        <v>#N/A</v>
      </c>
      <c r="P538" s="42" t="str" cm="1">
        <f t="array" ref="P538">IFERROR(_xlfn.TEXTJOIN(", ", TRUE, _xlfn._xlws.FILTER(
    INDEX(Input!$D$2:$AC$500,,MATCH("Disk Capacity",Input!$D$1:$AC$1,0)),
    Input!$J$2:$J$500=B538
)), "")</f>
        <v/>
      </c>
      <c r="Q538" s="32" t="e">
        <f t="shared" si="25"/>
        <v>#N/A</v>
      </c>
      <c r="R538" s="42" t="e">
        <f>_xlfn.LET(_xlpm.Result,INDEX(Input!$D$2:$AC$500,
       MATCH(B538, Input!$J$2:$J$500, 0),
       MATCH("Capacity", Input!$D$1:$AC$1, 0)),IF(_xlpm.Result="","",_xlpm.Result))</f>
        <v>#N/A</v>
      </c>
      <c r="S538" s="42"/>
      <c r="T538" s="42"/>
      <c r="U538" s="42" t="str" cm="1">
        <f t="array" ref="U538">IFERROR(_xlfn.IFS(
S538="","",
--S538&lt;55,"Battery Defect",
--S538&lt;=69,"Battery D",
--S538&lt;=80,"Battery C",
--S538&gt;80,""
),"")</f>
        <v/>
      </c>
      <c r="V538" s="42" t="str" cm="1">
        <f t="array" ref="V538">IFERROR(_xlfn.IFS(
T538="","",
--T538&lt;55,"Battery Defect",
--T538&lt;=69,"Battery D",
--T538&lt;=80,"Battery C",
--T538&gt;80,""
),"")</f>
        <v/>
      </c>
      <c r="W538" s="42"/>
      <c r="X538" s="42"/>
      <c r="Y538" s="42"/>
      <c r="Z538" s="42"/>
      <c r="AA538" s="42"/>
      <c r="AB538" s="42"/>
      <c r="AC538" s="42"/>
      <c r="AD538" s="42"/>
      <c r="AE538" s="32" t="str">
        <f t="shared" si="24"/>
        <v/>
      </c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 t="str">
        <f>_xlfn.XLOOKUP(B539,Input!J:J,Input!G:G)&amp;""</f>
        <v/>
      </c>
      <c r="B539" s="32"/>
      <c r="C539" s="32" t="str">
        <f>_xlfn.XLOOKUP(B539,Input!J:J,Input!H:H)&amp;""</f>
        <v/>
      </c>
      <c r="D539" s="42">
        <f>_xlfn.XLOOKUP(B539,Input!J:J,Input!F:F)</f>
        <v>0</v>
      </c>
      <c r="E539" s="32">
        <f>_xlfn.XLOOKUP(D539,Models!H:H,Models!G:G,D539)</f>
        <v>0</v>
      </c>
      <c r="F539" s="32">
        <f>_xlfn.XLOOKUP(B539,Input!J:J,Input!E:E)</f>
        <v>0</v>
      </c>
      <c r="G539" s="32">
        <f>IF(F539="LENOVO",_xlfn.XLOOKUP(B539,Input!J:J,Input!K:K),_xlfn.XLOOKUP(B539,Input!J:J,Input!L:L))</f>
        <v>0</v>
      </c>
      <c r="H539" s="32"/>
      <c r="I539" s="32"/>
      <c r="J539" s="32"/>
      <c r="K539" s="42" t="e">
        <f>INDEX(Input!$D$2:$AC$500,
       MATCH(B539, Input!$J$2:$J$500, 0),
       MATCH("Total Memory", Input!$D$1:$AC$1, 0))</f>
        <v>#N/A</v>
      </c>
      <c r="L539" s="42"/>
      <c r="M539" s="42" t="str" cm="1">
        <f t="array" ref="M539">IFERROR(_xlfn.FILTERXML("&lt;t&gt;&lt;s&gt;" &amp; SUBSTITUTE(L539," / ","&lt;/s&gt;&lt;s&gt;") &amp; "&lt;/s&gt;&lt;/t&gt;","(//s[contains(.,'DDR')])[1]"),"")</f>
        <v/>
      </c>
      <c r="N539" s="32" t="e">
        <f t="shared" si="26"/>
        <v>#N/A</v>
      </c>
      <c r="O539" s="42" t="e">
        <f>INDEX(Input!$D$2:$AC$500,
       MATCH(B539, Input!$J$2:$J$500, 0),
       MATCH("Disk Interface Type", Input!$D$1:$AC$1, 0))</f>
        <v>#N/A</v>
      </c>
      <c r="P539" s="42" t="str" cm="1">
        <f t="array" ref="P539">IFERROR(_xlfn.TEXTJOIN(", ", TRUE, _xlfn._xlws.FILTER(
    INDEX(Input!$D$2:$AC$500,,MATCH("Disk Capacity",Input!$D$1:$AC$1,0)),
    Input!$J$2:$J$500=B539
)), "")</f>
        <v/>
      </c>
      <c r="Q539" s="32" t="e">
        <f t="shared" si="25"/>
        <v>#N/A</v>
      </c>
      <c r="R539" s="42" t="e">
        <f>_xlfn.LET(_xlpm.Result,INDEX(Input!$D$2:$AC$500,
       MATCH(B539, Input!$J$2:$J$500, 0),
       MATCH("Capacity", Input!$D$1:$AC$1, 0)),IF(_xlpm.Result="","",_xlpm.Result))</f>
        <v>#N/A</v>
      </c>
      <c r="S539" s="42"/>
      <c r="T539" s="42"/>
      <c r="U539" s="42" t="str" cm="1">
        <f t="array" ref="U539">IFERROR(_xlfn.IFS(
S539="","",
--S539&lt;55,"Battery Defect",
--S539&lt;=69,"Battery D",
--S539&lt;=80,"Battery C",
--S539&gt;80,""
),"")</f>
        <v/>
      </c>
      <c r="V539" s="42" t="str" cm="1">
        <f t="array" ref="V539">IFERROR(_xlfn.IFS(
T539="","",
--T539&lt;55,"Battery Defect",
--T539&lt;=69,"Battery D",
--T539&lt;=80,"Battery C",
--T539&gt;80,""
),"")</f>
        <v/>
      </c>
      <c r="W539" s="42"/>
      <c r="X539" s="42"/>
      <c r="Y539" s="42"/>
      <c r="Z539" s="42"/>
      <c r="AA539" s="42"/>
      <c r="AB539" s="42"/>
      <c r="AC539" s="42"/>
      <c r="AD539" s="42"/>
      <c r="AE539" s="32" t="str">
        <f t="shared" si="24"/>
        <v/>
      </c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 t="str">
        <f>_xlfn.XLOOKUP(B540,Input!J:J,Input!G:G)&amp;""</f>
        <v/>
      </c>
      <c r="B540" s="32"/>
      <c r="C540" s="32" t="str">
        <f>_xlfn.XLOOKUP(B540,Input!J:J,Input!H:H)&amp;""</f>
        <v/>
      </c>
      <c r="D540" s="42">
        <f>_xlfn.XLOOKUP(B540,Input!J:J,Input!F:F)</f>
        <v>0</v>
      </c>
      <c r="E540" s="32">
        <f>_xlfn.XLOOKUP(D540,Models!H:H,Models!G:G,D540)</f>
        <v>0</v>
      </c>
      <c r="F540" s="32">
        <f>_xlfn.XLOOKUP(B540,Input!J:J,Input!E:E)</f>
        <v>0</v>
      </c>
      <c r="G540" s="32">
        <f>IF(F540="LENOVO",_xlfn.XLOOKUP(B540,Input!J:J,Input!K:K),_xlfn.XLOOKUP(B540,Input!J:J,Input!L:L))</f>
        <v>0</v>
      </c>
      <c r="H540" s="32"/>
      <c r="I540" s="32"/>
      <c r="J540" s="32"/>
      <c r="K540" s="42" t="e">
        <f>INDEX(Input!$D$2:$AC$500,
       MATCH(B540, Input!$J$2:$J$500, 0),
       MATCH("Total Memory", Input!$D$1:$AC$1, 0))</f>
        <v>#N/A</v>
      </c>
      <c r="L540" s="42"/>
      <c r="M540" s="42" t="str" cm="1">
        <f t="array" ref="M540">IFERROR(_xlfn.FILTERXML("&lt;t&gt;&lt;s&gt;" &amp; SUBSTITUTE(L540," / ","&lt;/s&gt;&lt;s&gt;") &amp; "&lt;/s&gt;&lt;/t&gt;","(//s[contains(.,'DDR')])[1]"),"")</f>
        <v/>
      </c>
      <c r="N540" s="32" t="e">
        <f t="shared" si="26"/>
        <v>#N/A</v>
      </c>
      <c r="O540" s="42" t="e">
        <f>INDEX(Input!$D$2:$AC$500,
       MATCH(B540, Input!$J$2:$J$500, 0),
       MATCH("Disk Interface Type", Input!$D$1:$AC$1, 0))</f>
        <v>#N/A</v>
      </c>
      <c r="P540" s="42" t="str" cm="1">
        <f t="array" ref="P540">IFERROR(_xlfn.TEXTJOIN(", ", TRUE, _xlfn._xlws.FILTER(
    INDEX(Input!$D$2:$AC$500,,MATCH("Disk Capacity",Input!$D$1:$AC$1,0)),
    Input!$J$2:$J$500=B540
)), "")</f>
        <v/>
      </c>
      <c r="Q540" s="32" t="e">
        <f t="shared" si="25"/>
        <v>#N/A</v>
      </c>
      <c r="R540" s="42" t="e">
        <f>_xlfn.LET(_xlpm.Result,INDEX(Input!$D$2:$AC$500,
       MATCH(B540, Input!$J$2:$J$500, 0),
       MATCH("Capacity", Input!$D$1:$AC$1, 0)),IF(_xlpm.Result="","",_xlpm.Result))</f>
        <v>#N/A</v>
      </c>
      <c r="S540" s="42"/>
      <c r="T540" s="42"/>
      <c r="U540" s="42" t="str" cm="1">
        <f t="array" ref="U540">IFERROR(_xlfn.IFS(
S540="","",
--S540&lt;55,"Battery Defect",
--S540&lt;=69,"Battery D",
--S540&lt;=80,"Battery C",
--S540&gt;80,""
),"")</f>
        <v/>
      </c>
      <c r="V540" s="42" t="str" cm="1">
        <f t="array" ref="V540">IFERROR(_xlfn.IFS(
T540="","",
--T540&lt;55,"Battery Defect",
--T540&lt;=69,"Battery D",
--T540&lt;=80,"Battery C",
--T540&gt;80,""
),"")</f>
        <v/>
      </c>
      <c r="W540" s="42"/>
      <c r="X540" s="42"/>
      <c r="Y540" s="42"/>
      <c r="Z540" s="42"/>
      <c r="AA540" s="42"/>
      <c r="AB540" s="42"/>
      <c r="AC540" s="42"/>
      <c r="AD540" s="42"/>
      <c r="AE540" s="32" t="str">
        <f t="shared" si="24"/>
        <v/>
      </c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 t="str">
        <f>_xlfn.XLOOKUP(B541,Input!J:J,Input!G:G)&amp;""</f>
        <v/>
      </c>
      <c r="B541" s="32"/>
      <c r="C541" s="32" t="str">
        <f>_xlfn.XLOOKUP(B541,Input!J:J,Input!H:H)&amp;""</f>
        <v/>
      </c>
      <c r="D541" s="42">
        <f>_xlfn.XLOOKUP(B541,Input!J:J,Input!F:F)</f>
        <v>0</v>
      </c>
      <c r="E541" s="32">
        <f>_xlfn.XLOOKUP(D541,Models!H:H,Models!G:G,D541)</f>
        <v>0</v>
      </c>
      <c r="F541" s="32">
        <f>_xlfn.XLOOKUP(B541,Input!J:J,Input!E:E)</f>
        <v>0</v>
      </c>
      <c r="G541" s="32">
        <f>IF(F541="LENOVO",_xlfn.XLOOKUP(B541,Input!J:J,Input!K:K),_xlfn.XLOOKUP(B541,Input!J:J,Input!L:L))</f>
        <v>0</v>
      </c>
      <c r="H541" s="32"/>
      <c r="I541" s="32"/>
      <c r="J541" s="32"/>
      <c r="K541" s="42" t="e">
        <f>INDEX(Input!$D$2:$AC$500,
       MATCH(B541, Input!$J$2:$J$500, 0),
       MATCH("Total Memory", Input!$D$1:$AC$1, 0))</f>
        <v>#N/A</v>
      </c>
      <c r="L541" s="42"/>
      <c r="M541" s="42" t="str" cm="1">
        <f t="array" ref="M541">IFERROR(_xlfn.FILTERXML("&lt;t&gt;&lt;s&gt;" &amp; SUBSTITUTE(L541," / ","&lt;/s&gt;&lt;s&gt;") &amp; "&lt;/s&gt;&lt;/t&gt;","(//s[contains(.,'DDR')])[1]"),"")</f>
        <v/>
      </c>
      <c r="N541" s="32" t="e">
        <f t="shared" si="26"/>
        <v>#N/A</v>
      </c>
      <c r="O541" s="42" t="e">
        <f>INDEX(Input!$D$2:$AC$500,
       MATCH(B541, Input!$J$2:$J$500, 0),
       MATCH("Disk Interface Type", Input!$D$1:$AC$1, 0))</f>
        <v>#N/A</v>
      </c>
      <c r="P541" s="42" t="str" cm="1">
        <f t="array" ref="P541">IFERROR(_xlfn.TEXTJOIN(", ", TRUE, _xlfn._xlws.FILTER(
    INDEX(Input!$D$2:$AC$500,,MATCH("Disk Capacity",Input!$D$1:$AC$1,0)),
    Input!$J$2:$J$500=B541
)), "")</f>
        <v/>
      </c>
      <c r="Q541" s="32" t="e">
        <f t="shared" si="25"/>
        <v>#N/A</v>
      </c>
      <c r="R541" s="42" t="e">
        <f>_xlfn.LET(_xlpm.Result,INDEX(Input!$D$2:$AC$500,
       MATCH(B541, Input!$J$2:$J$500, 0),
       MATCH("Capacity", Input!$D$1:$AC$1, 0)),IF(_xlpm.Result="","",_xlpm.Result))</f>
        <v>#N/A</v>
      </c>
      <c r="S541" s="42"/>
      <c r="T541" s="42"/>
      <c r="U541" s="42" t="str" cm="1">
        <f t="array" ref="U541">IFERROR(_xlfn.IFS(
S541="","",
--S541&lt;55,"Battery Defect",
--S541&lt;=69,"Battery D",
--S541&lt;=80,"Battery C",
--S541&gt;80,""
),"")</f>
        <v/>
      </c>
      <c r="V541" s="42" t="str" cm="1">
        <f t="array" ref="V541">IFERROR(_xlfn.IFS(
T541="","",
--T541&lt;55,"Battery Defect",
--T541&lt;=69,"Battery D",
--T541&lt;=80,"Battery C",
--T541&gt;80,""
),"")</f>
        <v/>
      </c>
      <c r="W541" s="42"/>
      <c r="X541" s="42"/>
      <c r="Y541" s="42"/>
      <c r="Z541" s="42"/>
      <c r="AA541" s="42"/>
      <c r="AB541" s="42"/>
      <c r="AC541" s="42"/>
      <c r="AD541" s="42"/>
      <c r="AE541" s="32" t="str">
        <f t="shared" si="24"/>
        <v/>
      </c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 t="str">
        <f>_xlfn.XLOOKUP(B542,Input!J:J,Input!G:G)&amp;""</f>
        <v/>
      </c>
      <c r="B542" s="32"/>
      <c r="C542" s="32" t="str">
        <f>_xlfn.XLOOKUP(B542,Input!J:J,Input!H:H)&amp;""</f>
        <v/>
      </c>
      <c r="D542" s="42">
        <f>_xlfn.XLOOKUP(B542,Input!J:J,Input!F:F)</f>
        <v>0</v>
      </c>
      <c r="E542" s="32">
        <f>_xlfn.XLOOKUP(D542,Models!H:H,Models!G:G,D542)</f>
        <v>0</v>
      </c>
      <c r="F542" s="32">
        <f>_xlfn.XLOOKUP(B542,Input!J:J,Input!E:E)</f>
        <v>0</v>
      </c>
      <c r="G542" s="32">
        <f>IF(F542="LENOVO",_xlfn.XLOOKUP(B542,Input!J:J,Input!K:K),_xlfn.XLOOKUP(B542,Input!J:J,Input!L:L))</f>
        <v>0</v>
      </c>
      <c r="H542" s="32"/>
      <c r="I542" s="32"/>
      <c r="J542" s="32"/>
      <c r="K542" s="42" t="e">
        <f>INDEX(Input!$D$2:$AC$500,
       MATCH(B542, Input!$J$2:$J$500, 0),
       MATCH("Total Memory", Input!$D$1:$AC$1, 0))</f>
        <v>#N/A</v>
      </c>
      <c r="L542" s="42"/>
      <c r="M542" s="42" t="str" cm="1">
        <f t="array" ref="M542">IFERROR(_xlfn.FILTERXML("&lt;t&gt;&lt;s&gt;" &amp; SUBSTITUTE(L542," / ","&lt;/s&gt;&lt;s&gt;") &amp; "&lt;/s&gt;&lt;/t&gt;","(//s[contains(.,'DDR')])[1]"),"")</f>
        <v/>
      </c>
      <c r="N542" s="32" t="e">
        <f t="shared" si="26"/>
        <v>#N/A</v>
      </c>
      <c r="O542" s="42" t="e">
        <f>INDEX(Input!$D$2:$AC$500,
       MATCH(B542, Input!$J$2:$J$500, 0),
       MATCH("Disk Interface Type", Input!$D$1:$AC$1, 0))</f>
        <v>#N/A</v>
      </c>
      <c r="P542" s="42" t="str" cm="1">
        <f t="array" ref="P542">IFERROR(_xlfn.TEXTJOIN(", ", TRUE, _xlfn._xlws.FILTER(
    INDEX(Input!$D$2:$AC$500,,MATCH("Disk Capacity",Input!$D$1:$AC$1,0)),
    Input!$J$2:$J$500=B542
)), "")</f>
        <v/>
      </c>
      <c r="Q542" s="32" t="e">
        <f t="shared" si="25"/>
        <v>#N/A</v>
      </c>
      <c r="R542" s="42" t="e">
        <f>_xlfn.LET(_xlpm.Result,INDEX(Input!$D$2:$AC$500,
       MATCH(B542, Input!$J$2:$J$500, 0),
       MATCH("Capacity", Input!$D$1:$AC$1, 0)),IF(_xlpm.Result="","",_xlpm.Result))</f>
        <v>#N/A</v>
      </c>
      <c r="S542" s="42"/>
      <c r="T542" s="42"/>
      <c r="U542" s="42" t="str" cm="1">
        <f t="array" ref="U542">IFERROR(_xlfn.IFS(
S542="","",
--S542&lt;55,"Battery Defect",
--S542&lt;=69,"Battery D",
--S542&lt;=80,"Battery C",
--S542&gt;80,""
),"")</f>
        <v/>
      </c>
      <c r="V542" s="42" t="str" cm="1">
        <f t="array" ref="V542">IFERROR(_xlfn.IFS(
T542="","",
--T542&lt;55,"Battery Defect",
--T542&lt;=69,"Battery D",
--T542&lt;=80,"Battery C",
--T542&gt;80,""
),"")</f>
        <v/>
      </c>
      <c r="W542" s="42"/>
      <c r="X542" s="42"/>
      <c r="Y542" s="42"/>
      <c r="Z542" s="42"/>
      <c r="AA542" s="42"/>
      <c r="AB542" s="42"/>
      <c r="AC542" s="42"/>
      <c r="AD542" s="42"/>
      <c r="AE542" s="32" t="str">
        <f t="shared" si="24"/>
        <v/>
      </c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 t="str">
        <f>_xlfn.XLOOKUP(B543,Input!J:J,Input!G:G)&amp;""</f>
        <v/>
      </c>
      <c r="B543" s="32"/>
      <c r="C543" s="32" t="str">
        <f>_xlfn.XLOOKUP(B543,Input!J:J,Input!H:H)&amp;""</f>
        <v/>
      </c>
      <c r="D543" s="42">
        <f>_xlfn.XLOOKUP(B543,Input!J:J,Input!F:F)</f>
        <v>0</v>
      </c>
      <c r="E543" s="32">
        <f>_xlfn.XLOOKUP(D543,Models!H:H,Models!G:G,D543)</f>
        <v>0</v>
      </c>
      <c r="F543" s="32">
        <f>_xlfn.XLOOKUP(B543,Input!J:J,Input!E:E)</f>
        <v>0</v>
      </c>
      <c r="G543" s="32">
        <f>IF(F543="LENOVO",_xlfn.XLOOKUP(B543,Input!J:J,Input!K:K),_xlfn.XLOOKUP(B543,Input!J:J,Input!L:L))</f>
        <v>0</v>
      </c>
      <c r="H543" s="32"/>
      <c r="I543" s="32"/>
      <c r="J543" s="32"/>
      <c r="K543" s="42" t="e">
        <f>INDEX(Input!$D$2:$AC$500,
       MATCH(B543, Input!$J$2:$J$500, 0),
       MATCH("Total Memory", Input!$D$1:$AC$1, 0))</f>
        <v>#N/A</v>
      </c>
      <c r="L543" s="42"/>
      <c r="M543" s="42" t="str" cm="1">
        <f t="array" ref="M543">IFERROR(_xlfn.FILTERXML("&lt;t&gt;&lt;s&gt;" &amp; SUBSTITUTE(L543," / ","&lt;/s&gt;&lt;s&gt;") &amp; "&lt;/s&gt;&lt;/t&gt;","(//s[contains(.,'DDR')])[1]"),"")</f>
        <v/>
      </c>
      <c r="N543" s="32" t="e">
        <f t="shared" si="26"/>
        <v>#N/A</v>
      </c>
      <c r="O543" s="42" t="e">
        <f>INDEX(Input!$D$2:$AC$500,
       MATCH(B543, Input!$J$2:$J$500, 0),
       MATCH("Disk Interface Type", Input!$D$1:$AC$1, 0))</f>
        <v>#N/A</v>
      </c>
      <c r="P543" s="42" t="str" cm="1">
        <f t="array" ref="P543">IFERROR(_xlfn.TEXTJOIN(", ", TRUE, _xlfn._xlws.FILTER(
    INDEX(Input!$D$2:$AC$500,,MATCH("Disk Capacity",Input!$D$1:$AC$1,0)),
    Input!$J$2:$J$500=B543
)), "")</f>
        <v/>
      </c>
      <c r="Q543" s="32" t="e">
        <f t="shared" si="25"/>
        <v>#N/A</v>
      </c>
      <c r="R543" s="42" t="e">
        <f>_xlfn.LET(_xlpm.Result,INDEX(Input!$D$2:$AC$500,
       MATCH(B543, Input!$J$2:$J$500, 0),
       MATCH("Capacity", Input!$D$1:$AC$1, 0)),IF(_xlpm.Result="","",_xlpm.Result))</f>
        <v>#N/A</v>
      </c>
      <c r="S543" s="42"/>
      <c r="T543" s="42"/>
      <c r="U543" s="42" t="str" cm="1">
        <f t="array" ref="U543">IFERROR(_xlfn.IFS(
S543="","",
--S543&lt;55,"Battery Defect",
--S543&lt;=69,"Battery D",
--S543&lt;=80,"Battery C",
--S543&gt;80,""
),"")</f>
        <v/>
      </c>
      <c r="V543" s="42" t="str" cm="1">
        <f t="array" ref="V543">IFERROR(_xlfn.IFS(
T543="","",
--T543&lt;55,"Battery Defect",
--T543&lt;=69,"Battery D",
--T543&lt;=80,"Battery C",
--T543&gt;80,""
),"")</f>
        <v/>
      </c>
      <c r="W543" s="42"/>
      <c r="X543" s="42"/>
      <c r="Y543" s="42"/>
      <c r="Z543" s="42"/>
      <c r="AA543" s="42"/>
      <c r="AB543" s="42"/>
      <c r="AC543" s="42"/>
      <c r="AD543" s="42"/>
      <c r="AE543" s="32" t="str">
        <f t="shared" si="24"/>
        <v/>
      </c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 t="str">
        <f>_xlfn.XLOOKUP(B544,Input!J:J,Input!G:G)&amp;""</f>
        <v/>
      </c>
      <c r="B544" s="32"/>
      <c r="C544" s="32" t="str">
        <f>_xlfn.XLOOKUP(B544,Input!J:J,Input!H:H)&amp;""</f>
        <v/>
      </c>
      <c r="D544" s="42">
        <f>_xlfn.XLOOKUP(B544,Input!J:J,Input!F:F)</f>
        <v>0</v>
      </c>
      <c r="E544" s="32">
        <f>_xlfn.XLOOKUP(D544,Models!H:H,Models!G:G,D544)</f>
        <v>0</v>
      </c>
      <c r="F544" s="32">
        <f>_xlfn.XLOOKUP(B544,Input!J:J,Input!E:E)</f>
        <v>0</v>
      </c>
      <c r="G544" s="32">
        <f>IF(F544="LENOVO",_xlfn.XLOOKUP(B544,Input!J:J,Input!K:K),_xlfn.XLOOKUP(B544,Input!J:J,Input!L:L))</f>
        <v>0</v>
      </c>
      <c r="H544" s="32"/>
      <c r="I544" s="32"/>
      <c r="J544" s="32"/>
      <c r="K544" s="42" t="e">
        <f>INDEX(Input!$D$2:$AC$500,
       MATCH(B544, Input!$J$2:$J$500, 0),
       MATCH("Total Memory", Input!$D$1:$AC$1, 0))</f>
        <v>#N/A</v>
      </c>
      <c r="L544" s="42"/>
      <c r="M544" s="42" t="str" cm="1">
        <f t="array" ref="M544">IFERROR(_xlfn.FILTERXML("&lt;t&gt;&lt;s&gt;" &amp; SUBSTITUTE(L544," / ","&lt;/s&gt;&lt;s&gt;") &amp; "&lt;/s&gt;&lt;/t&gt;","(//s[contains(.,'DDR')])[1]"),"")</f>
        <v/>
      </c>
      <c r="N544" s="32" t="e">
        <f t="shared" si="26"/>
        <v>#N/A</v>
      </c>
      <c r="O544" s="42" t="e">
        <f>INDEX(Input!$D$2:$AC$500,
       MATCH(B544, Input!$J$2:$J$500, 0),
       MATCH("Disk Interface Type", Input!$D$1:$AC$1, 0))</f>
        <v>#N/A</v>
      </c>
      <c r="P544" s="42" t="str" cm="1">
        <f t="array" ref="P544">IFERROR(_xlfn.TEXTJOIN(", ", TRUE, _xlfn._xlws.FILTER(
    INDEX(Input!$D$2:$AC$500,,MATCH("Disk Capacity",Input!$D$1:$AC$1,0)),
    Input!$J$2:$J$500=B544
)), "")</f>
        <v/>
      </c>
      <c r="Q544" s="32" t="e">
        <f t="shared" si="25"/>
        <v>#N/A</v>
      </c>
      <c r="R544" s="42" t="e">
        <f>_xlfn.LET(_xlpm.Result,INDEX(Input!$D$2:$AC$500,
       MATCH(B544, Input!$J$2:$J$500, 0),
       MATCH("Capacity", Input!$D$1:$AC$1, 0)),IF(_xlpm.Result="","",_xlpm.Result))</f>
        <v>#N/A</v>
      </c>
      <c r="S544" s="42"/>
      <c r="T544" s="42"/>
      <c r="U544" s="42" t="str" cm="1">
        <f t="array" ref="U544">IFERROR(_xlfn.IFS(
S544="","",
--S544&lt;55,"Battery Defect",
--S544&lt;=69,"Battery D",
--S544&lt;=80,"Battery C",
--S544&gt;80,""
),"")</f>
        <v/>
      </c>
      <c r="V544" s="42" t="str" cm="1">
        <f t="array" ref="V544">IFERROR(_xlfn.IFS(
T544="","",
--T544&lt;55,"Battery Defect",
--T544&lt;=69,"Battery D",
--T544&lt;=80,"Battery C",
--T544&gt;80,""
),"")</f>
        <v/>
      </c>
      <c r="W544" s="42"/>
      <c r="X544" s="42"/>
      <c r="Y544" s="42"/>
      <c r="Z544" s="42"/>
      <c r="AA544" s="42"/>
      <c r="AB544" s="42"/>
      <c r="AC544" s="42"/>
      <c r="AD544" s="42"/>
      <c r="AE544" s="32" t="str">
        <f t="shared" si="24"/>
        <v/>
      </c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 t="str">
        <f>_xlfn.XLOOKUP(B545,Input!J:J,Input!G:G)&amp;""</f>
        <v/>
      </c>
      <c r="B545" s="32"/>
      <c r="C545" s="32" t="str">
        <f>_xlfn.XLOOKUP(B545,Input!J:J,Input!H:H)&amp;""</f>
        <v/>
      </c>
      <c r="D545" s="42">
        <f>_xlfn.XLOOKUP(B545,Input!J:J,Input!F:F)</f>
        <v>0</v>
      </c>
      <c r="E545" s="32">
        <f>_xlfn.XLOOKUP(D545,Models!H:H,Models!G:G,D545)</f>
        <v>0</v>
      </c>
      <c r="F545" s="32">
        <f>_xlfn.XLOOKUP(B545,Input!J:J,Input!E:E)</f>
        <v>0</v>
      </c>
      <c r="G545" s="32">
        <f>IF(F545="LENOVO",_xlfn.XLOOKUP(B545,Input!J:J,Input!K:K),_xlfn.XLOOKUP(B545,Input!J:J,Input!L:L))</f>
        <v>0</v>
      </c>
      <c r="H545" s="32"/>
      <c r="I545" s="32"/>
      <c r="J545" s="32"/>
      <c r="K545" s="42" t="e">
        <f>INDEX(Input!$D$2:$AC$500,
       MATCH(B545, Input!$J$2:$J$500, 0),
       MATCH("Total Memory", Input!$D$1:$AC$1, 0))</f>
        <v>#N/A</v>
      </c>
      <c r="L545" s="42"/>
      <c r="M545" s="42" t="str" cm="1">
        <f t="array" ref="M545">IFERROR(_xlfn.FILTERXML("&lt;t&gt;&lt;s&gt;" &amp; SUBSTITUTE(L545," / ","&lt;/s&gt;&lt;s&gt;") &amp; "&lt;/s&gt;&lt;/t&gt;","(//s[contains(.,'DDR')])[1]"),"")</f>
        <v/>
      </c>
      <c r="N545" s="32" t="e">
        <f t="shared" si="26"/>
        <v>#N/A</v>
      </c>
      <c r="O545" s="42" t="e">
        <f>INDEX(Input!$D$2:$AC$500,
       MATCH(B545, Input!$J$2:$J$500, 0),
       MATCH("Disk Interface Type", Input!$D$1:$AC$1, 0))</f>
        <v>#N/A</v>
      </c>
      <c r="P545" s="42" t="str" cm="1">
        <f t="array" ref="P545">IFERROR(_xlfn.TEXTJOIN(", ", TRUE, _xlfn._xlws.FILTER(
    INDEX(Input!$D$2:$AC$500,,MATCH("Disk Capacity",Input!$D$1:$AC$1,0)),
    Input!$J$2:$J$500=B545
)), "")</f>
        <v/>
      </c>
      <c r="Q545" s="32" t="e">
        <f t="shared" si="25"/>
        <v>#N/A</v>
      </c>
      <c r="R545" s="42" t="e">
        <f>_xlfn.LET(_xlpm.Result,INDEX(Input!$D$2:$AC$500,
       MATCH(B545, Input!$J$2:$J$500, 0),
       MATCH("Capacity", Input!$D$1:$AC$1, 0)),IF(_xlpm.Result="","",_xlpm.Result))</f>
        <v>#N/A</v>
      </c>
      <c r="S545" s="42"/>
      <c r="T545" s="42"/>
      <c r="U545" s="42" t="str" cm="1">
        <f t="array" ref="U545">IFERROR(_xlfn.IFS(
S545="","",
--S545&lt;55,"Battery Defect",
--S545&lt;=69,"Battery D",
--S545&lt;=80,"Battery C",
--S545&gt;80,""
),"")</f>
        <v/>
      </c>
      <c r="V545" s="42" t="str" cm="1">
        <f t="array" ref="V545">IFERROR(_xlfn.IFS(
T545="","",
--T545&lt;55,"Battery Defect",
--T545&lt;=69,"Battery D",
--T545&lt;=80,"Battery C",
--T545&gt;80,""
),"")</f>
        <v/>
      </c>
      <c r="W545" s="42"/>
      <c r="X545" s="42"/>
      <c r="Y545" s="42"/>
      <c r="Z545" s="42"/>
      <c r="AA545" s="42"/>
      <c r="AB545" s="42"/>
      <c r="AC545" s="42"/>
      <c r="AD545" s="42"/>
      <c r="AE545" s="32" t="str">
        <f t="shared" si="24"/>
        <v/>
      </c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 t="str">
        <f>_xlfn.XLOOKUP(B546,Input!J:J,Input!G:G)&amp;""</f>
        <v/>
      </c>
      <c r="B546" s="32"/>
      <c r="C546" s="32" t="str">
        <f>_xlfn.XLOOKUP(B546,Input!J:J,Input!H:H)&amp;""</f>
        <v/>
      </c>
      <c r="D546" s="42">
        <f>_xlfn.XLOOKUP(B546,Input!J:J,Input!F:F)</f>
        <v>0</v>
      </c>
      <c r="E546" s="32">
        <f>_xlfn.XLOOKUP(D546,Models!H:H,Models!G:G,D546)</f>
        <v>0</v>
      </c>
      <c r="F546" s="32">
        <f>_xlfn.XLOOKUP(B546,Input!J:J,Input!E:E)</f>
        <v>0</v>
      </c>
      <c r="G546" s="32">
        <f>IF(F546="LENOVO",_xlfn.XLOOKUP(B546,Input!J:J,Input!K:K),_xlfn.XLOOKUP(B546,Input!J:J,Input!L:L))</f>
        <v>0</v>
      </c>
      <c r="H546" s="32"/>
      <c r="I546" s="32"/>
      <c r="J546" s="32"/>
      <c r="K546" s="42" t="e">
        <f>INDEX(Input!$D$2:$AC$500,
       MATCH(B546, Input!$J$2:$J$500, 0),
       MATCH("Total Memory", Input!$D$1:$AC$1, 0))</f>
        <v>#N/A</v>
      </c>
      <c r="L546" s="42"/>
      <c r="M546" s="42" t="str" cm="1">
        <f t="array" ref="M546">IFERROR(_xlfn.FILTERXML("&lt;t&gt;&lt;s&gt;" &amp; SUBSTITUTE(L546," / ","&lt;/s&gt;&lt;s&gt;") &amp; "&lt;/s&gt;&lt;/t&gt;","(//s[contains(.,'DDR')])[1]"),"")</f>
        <v/>
      </c>
      <c r="N546" s="32" t="e">
        <f t="shared" si="26"/>
        <v>#N/A</v>
      </c>
      <c r="O546" s="42" t="e">
        <f>INDEX(Input!$D$2:$AC$500,
       MATCH(B546, Input!$J$2:$J$500, 0),
       MATCH("Disk Interface Type", Input!$D$1:$AC$1, 0))</f>
        <v>#N/A</v>
      </c>
      <c r="P546" s="42" t="str" cm="1">
        <f t="array" ref="P546">IFERROR(_xlfn.TEXTJOIN(", ", TRUE, _xlfn._xlws.FILTER(
    INDEX(Input!$D$2:$AC$500,,MATCH("Disk Capacity",Input!$D$1:$AC$1,0)),
    Input!$J$2:$J$500=B546
)), "")</f>
        <v/>
      </c>
      <c r="Q546" s="32" t="e">
        <f t="shared" si="25"/>
        <v>#N/A</v>
      </c>
      <c r="R546" s="42" t="e">
        <f>_xlfn.LET(_xlpm.Result,INDEX(Input!$D$2:$AC$500,
       MATCH(B546, Input!$J$2:$J$500, 0),
       MATCH("Capacity", Input!$D$1:$AC$1, 0)),IF(_xlpm.Result="","",_xlpm.Result))</f>
        <v>#N/A</v>
      </c>
      <c r="S546" s="42"/>
      <c r="T546" s="42"/>
      <c r="U546" s="42" t="str" cm="1">
        <f t="array" ref="U546">IFERROR(_xlfn.IFS(
S546="","",
--S546&lt;55,"Battery Defect",
--S546&lt;=69,"Battery D",
--S546&lt;=80,"Battery C",
--S546&gt;80,""
),"")</f>
        <v/>
      </c>
      <c r="V546" s="42" t="str" cm="1">
        <f t="array" ref="V546">IFERROR(_xlfn.IFS(
T546="","",
--T546&lt;55,"Battery Defect",
--T546&lt;=69,"Battery D",
--T546&lt;=80,"Battery C",
--T546&gt;80,""
),"")</f>
        <v/>
      </c>
      <c r="W546" s="42"/>
      <c r="X546" s="42"/>
      <c r="Y546" s="42"/>
      <c r="Z546" s="42"/>
      <c r="AA546" s="42"/>
      <c r="AB546" s="42"/>
      <c r="AC546" s="42"/>
      <c r="AD546" s="42"/>
      <c r="AE546" s="32" t="str">
        <f t="shared" si="24"/>
        <v/>
      </c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 t="str">
        <f>_xlfn.XLOOKUP(B547,Input!J:J,Input!G:G)&amp;""</f>
        <v/>
      </c>
      <c r="B547" s="32"/>
      <c r="C547" s="32" t="str">
        <f>_xlfn.XLOOKUP(B547,Input!J:J,Input!H:H)&amp;""</f>
        <v/>
      </c>
      <c r="D547" s="42">
        <f>_xlfn.XLOOKUP(B547,Input!J:J,Input!F:F)</f>
        <v>0</v>
      </c>
      <c r="E547" s="32">
        <f>_xlfn.XLOOKUP(D547,Models!H:H,Models!G:G,D547)</f>
        <v>0</v>
      </c>
      <c r="F547" s="32">
        <f>_xlfn.XLOOKUP(B547,Input!J:J,Input!E:E)</f>
        <v>0</v>
      </c>
      <c r="G547" s="32">
        <f>IF(F547="LENOVO",_xlfn.XLOOKUP(B547,Input!J:J,Input!K:K),_xlfn.XLOOKUP(B547,Input!J:J,Input!L:L))</f>
        <v>0</v>
      </c>
      <c r="H547" s="32"/>
      <c r="I547" s="32"/>
      <c r="J547" s="32"/>
      <c r="K547" s="42" t="e">
        <f>INDEX(Input!$D$2:$AC$500,
       MATCH(B547, Input!$J$2:$J$500, 0),
       MATCH("Total Memory", Input!$D$1:$AC$1, 0))</f>
        <v>#N/A</v>
      </c>
      <c r="L547" s="42"/>
      <c r="M547" s="42" t="str" cm="1">
        <f t="array" ref="M547">IFERROR(_xlfn.FILTERXML("&lt;t&gt;&lt;s&gt;" &amp; SUBSTITUTE(L547," / ","&lt;/s&gt;&lt;s&gt;") &amp; "&lt;/s&gt;&lt;/t&gt;","(//s[contains(.,'DDR')])[1]"),"")</f>
        <v/>
      </c>
      <c r="N547" s="32" t="e">
        <f t="shared" si="26"/>
        <v>#N/A</v>
      </c>
      <c r="O547" s="42" t="e">
        <f>INDEX(Input!$D$2:$AC$500,
       MATCH(B547, Input!$J$2:$J$500, 0),
       MATCH("Disk Interface Type", Input!$D$1:$AC$1, 0))</f>
        <v>#N/A</v>
      </c>
      <c r="P547" s="42" t="str" cm="1">
        <f t="array" ref="P547">IFERROR(_xlfn.TEXTJOIN(", ", TRUE, _xlfn._xlws.FILTER(
    INDEX(Input!$D$2:$AC$500,,MATCH("Disk Capacity",Input!$D$1:$AC$1,0)),
    Input!$J$2:$J$500=B547
)), "")</f>
        <v/>
      </c>
      <c r="Q547" s="32" t="e">
        <f t="shared" si="25"/>
        <v>#N/A</v>
      </c>
      <c r="R547" s="42" t="e">
        <f>_xlfn.LET(_xlpm.Result,INDEX(Input!$D$2:$AC$500,
       MATCH(B547, Input!$J$2:$J$500, 0),
       MATCH("Capacity", Input!$D$1:$AC$1, 0)),IF(_xlpm.Result="","",_xlpm.Result))</f>
        <v>#N/A</v>
      </c>
      <c r="S547" s="42"/>
      <c r="T547" s="42"/>
      <c r="U547" s="42" t="str" cm="1">
        <f t="array" ref="U547">IFERROR(_xlfn.IFS(
S547="","",
--S547&lt;55,"Battery Defect",
--S547&lt;=69,"Battery D",
--S547&lt;=80,"Battery C",
--S547&gt;80,""
),"")</f>
        <v/>
      </c>
      <c r="V547" s="42" t="str" cm="1">
        <f t="array" ref="V547">IFERROR(_xlfn.IFS(
T547="","",
--T547&lt;55,"Battery Defect",
--T547&lt;=69,"Battery D",
--T547&lt;=80,"Battery C",
--T547&gt;80,""
),"")</f>
        <v/>
      </c>
      <c r="W547" s="42"/>
      <c r="X547" s="42"/>
      <c r="Y547" s="42"/>
      <c r="Z547" s="42"/>
      <c r="AA547" s="42"/>
      <c r="AB547" s="42"/>
      <c r="AC547" s="42"/>
      <c r="AD547" s="42"/>
      <c r="AE547" s="32" t="str">
        <f t="shared" si="24"/>
        <v/>
      </c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 t="str">
        <f>_xlfn.XLOOKUP(B548,Input!J:J,Input!G:G)&amp;""</f>
        <v/>
      </c>
      <c r="B548" s="32"/>
      <c r="C548" s="32" t="str">
        <f>_xlfn.XLOOKUP(B548,Input!J:J,Input!H:H)&amp;""</f>
        <v/>
      </c>
      <c r="D548" s="42">
        <f>_xlfn.XLOOKUP(B548,Input!J:J,Input!F:F)</f>
        <v>0</v>
      </c>
      <c r="E548" s="32">
        <f>_xlfn.XLOOKUP(D548,Models!H:H,Models!G:G,D548)</f>
        <v>0</v>
      </c>
      <c r="F548" s="32">
        <f>_xlfn.XLOOKUP(B548,Input!J:J,Input!E:E)</f>
        <v>0</v>
      </c>
      <c r="G548" s="32">
        <f>IF(F548="LENOVO",_xlfn.XLOOKUP(B548,Input!J:J,Input!K:K),_xlfn.XLOOKUP(B548,Input!J:J,Input!L:L))</f>
        <v>0</v>
      </c>
      <c r="H548" s="32"/>
      <c r="I548" s="32"/>
      <c r="J548" s="32"/>
      <c r="K548" s="42" t="e">
        <f>INDEX(Input!$D$2:$AC$500,
       MATCH(B548, Input!$J$2:$J$500, 0),
       MATCH("Total Memory", Input!$D$1:$AC$1, 0))</f>
        <v>#N/A</v>
      </c>
      <c r="L548" s="42"/>
      <c r="M548" s="42" t="str" cm="1">
        <f t="array" ref="M548">IFERROR(_xlfn.FILTERXML("&lt;t&gt;&lt;s&gt;" &amp; SUBSTITUTE(L548," / ","&lt;/s&gt;&lt;s&gt;") &amp; "&lt;/s&gt;&lt;/t&gt;","(//s[contains(.,'DDR')])[1]"),"")</f>
        <v/>
      </c>
      <c r="N548" s="32" t="e">
        <f t="shared" si="26"/>
        <v>#N/A</v>
      </c>
      <c r="O548" s="42" t="e">
        <f>INDEX(Input!$D$2:$AC$500,
       MATCH(B548, Input!$J$2:$J$500, 0),
       MATCH("Disk Interface Type", Input!$D$1:$AC$1, 0))</f>
        <v>#N/A</v>
      </c>
      <c r="P548" s="42" t="str" cm="1">
        <f t="array" ref="P548">IFERROR(_xlfn.TEXTJOIN(", ", TRUE, _xlfn._xlws.FILTER(
    INDEX(Input!$D$2:$AC$500,,MATCH("Disk Capacity",Input!$D$1:$AC$1,0)),
    Input!$J$2:$J$500=B548
)), "")</f>
        <v/>
      </c>
      <c r="Q548" s="32" t="e">
        <f t="shared" si="25"/>
        <v>#N/A</v>
      </c>
      <c r="R548" s="42" t="e">
        <f>_xlfn.LET(_xlpm.Result,INDEX(Input!$D$2:$AC$500,
       MATCH(B548, Input!$J$2:$J$500, 0),
       MATCH("Capacity", Input!$D$1:$AC$1, 0)),IF(_xlpm.Result="","",_xlpm.Result))</f>
        <v>#N/A</v>
      </c>
      <c r="S548" s="42"/>
      <c r="T548" s="42"/>
      <c r="U548" s="42" t="str" cm="1">
        <f t="array" ref="U548">IFERROR(_xlfn.IFS(
S548="","",
--S548&lt;55,"Battery Defect",
--S548&lt;=69,"Battery D",
--S548&lt;=80,"Battery C",
--S548&gt;80,""
),"")</f>
        <v/>
      </c>
      <c r="V548" s="42" t="str" cm="1">
        <f t="array" ref="V548">IFERROR(_xlfn.IFS(
T548="","",
--T548&lt;55,"Battery Defect",
--T548&lt;=69,"Battery D",
--T548&lt;=80,"Battery C",
--T548&gt;80,""
),"")</f>
        <v/>
      </c>
      <c r="W548" s="42"/>
      <c r="X548" s="42"/>
      <c r="Y548" s="42"/>
      <c r="Z548" s="42"/>
      <c r="AA548" s="42"/>
      <c r="AB548" s="42"/>
      <c r="AC548" s="42"/>
      <c r="AD548" s="42"/>
      <c r="AE548" s="32" t="str">
        <f t="shared" si="24"/>
        <v/>
      </c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 t="str">
        <f>_xlfn.XLOOKUP(B549,Input!J:J,Input!G:G)&amp;""</f>
        <v/>
      </c>
      <c r="B549" s="32"/>
      <c r="C549" s="32" t="str">
        <f>_xlfn.XLOOKUP(B549,Input!J:J,Input!H:H)&amp;""</f>
        <v/>
      </c>
      <c r="D549" s="42">
        <f>_xlfn.XLOOKUP(B549,Input!J:J,Input!F:F)</f>
        <v>0</v>
      </c>
      <c r="E549" s="32">
        <f>_xlfn.XLOOKUP(D549,Models!H:H,Models!G:G,D549)</f>
        <v>0</v>
      </c>
      <c r="F549" s="32">
        <f>_xlfn.XLOOKUP(B549,Input!J:J,Input!E:E)</f>
        <v>0</v>
      </c>
      <c r="G549" s="32">
        <f>IF(F549="LENOVO",_xlfn.XLOOKUP(B549,Input!J:J,Input!K:K),_xlfn.XLOOKUP(B549,Input!J:J,Input!L:L))</f>
        <v>0</v>
      </c>
      <c r="H549" s="32"/>
      <c r="I549" s="32"/>
      <c r="J549" s="32"/>
      <c r="K549" s="42" t="e">
        <f>INDEX(Input!$D$2:$AC$500,
       MATCH(B549, Input!$J$2:$J$500, 0),
       MATCH("Total Memory", Input!$D$1:$AC$1, 0))</f>
        <v>#N/A</v>
      </c>
      <c r="L549" s="42"/>
      <c r="M549" s="42" t="str" cm="1">
        <f t="array" ref="M549">IFERROR(_xlfn.FILTERXML("&lt;t&gt;&lt;s&gt;" &amp; SUBSTITUTE(L549," / ","&lt;/s&gt;&lt;s&gt;") &amp; "&lt;/s&gt;&lt;/t&gt;","(//s[contains(.,'DDR')])[1]"),"")</f>
        <v/>
      </c>
      <c r="N549" s="32" t="e">
        <f t="shared" si="26"/>
        <v>#N/A</v>
      </c>
      <c r="O549" s="42" t="e">
        <f>INDEX(Input!$D$2:$AC$500,
       MATCH(B549, Input!$J$2:$J$500, 0),
       MATCH("Disk Interface Type", Input!$D$1:$AC$1, 0))</f>
        <v>#N/A</v>
      </c>
      <c r="P549" s="42" t="str" cm="1">
        <f t="array" ref="P549">IFERROR(_xlfn.TEXTJOIN(", ", TRUE, _xlfn._xlws.FILTER(
    INDEX(Input!$D$2:$AC$500,,MATCH("Disk Capacity",Input!$D$1:$AC$1,0)),
    Input!$J$2:$J$500=B549
)), "")</f>
        <v/>
      </c>
      <c r="Q549" s="32" t="e">
        <f t="shared" si="25"/>
        <v>#N/A</v>
      </c>
      <c r="R549" s="42" t="e">
        <f>_xlfn.LET(_xlpm.Result,INDEX(Input!$D$2:$AC$500,
       MATCH(B549, Input!$J$2:$J$500, 0),
       MATCH("Capacity", Input!$D$1:$AC$1, 0)),IF(_xlpm.Result="","",_xlpm.Result))</f>
        <v>#N/A</v>
      </c>
      <c r="S549" s="42"/>
      <c r="T549" s="42"/>
      <c r="U549" s="42" t="str" cm="1">
        <f t="array" ref="U549">IFERROR(_xlfn.IFS(
S549="","",
--S549&lt;55,"Battery Defect",
--S549&lt;=69,"Battery D",
--S549&lt;=80,"Battery C",
--S549&gt;80,""
),"")</f>
        <v/>
      </c>
      <c r="V549" s="42" t="str" cm="1">
        <f t="array" ref="V549">IFERROR(_xlfn.IFS(
T549="","",
--T549&lt;55,"Battery Defect",
--T549&lt;=69,"Battery D",
--T549&lt;=80,"Battery C",
--T549&gt;80,""
),"")</f>
        <v/>
      </c>
      <c r="W549" s="42"/>
      <c r="X549" s="42"/>
      <c r="Y549" s="42"/>
      <c r="Z549" s="42"/>
      <c r="AA549" s="42"/>
      <c r="AB549" s="42"/>
      <c r="AC549" s="42"/>
      <c r="AD549" s="42"/>
      <c r="AE549" s="32" t="str">
        <f t="shared" si="24"/>
        <v/>
      </c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 t="str">
        <f>_xlfn.XLOOKUP(B550,Input!J:J,Input!G:G)&amp;""</f>
        <v/>
      </c>
      <c r="B550" s="32"/>
      <c r="C550" s="32" t="str">
        <f>_xlfn.XLOOKUP(B550,Input!J:J,Input!H:H)&amp;""</f>
        <v/>
      </c>
      <c r="D550" s="42">
        <f>_xlfn.XLOOKUP(B550,Input!J:J,Input!F:F)</f>
        <v>0</v>
      </c>
      <c r="E550" s="32">
        <f>_xlfn.XLOOKUP(D550,Models!H:H,Models!G:G,D550)</f>
        <v>0</v>
      </c>
      <c r="F550" s="32">
        <f>_xlfn.XLOOKUP(B550,Input!J:J,Input!E:E)</f>
        <v>0</v>
      </c>
      <c r="G550" s="32">
        <f>IF(F550="LENOVO",_xlfn.XLOOKUP(B550,Input!J:J,Input!K:K),_xlfn.XLOOKUP(B550,Input!J:J,Input!L:L))</f>
        <v>0</v>
      </c>
      <c r="H550" s="32"/>
      <c r="I550" s="32"/>
      <c r="J550" s="32"/>
      <c r="K550" s="42" t="e">
        <f>INDEX(Input!$D$2:$AC$500,
       MATCH(B550, Input!$J$2:$J$500, 0),
       MATCH("Total Memory", Input!$D$1:$AC$1, 0))</f>
        <v>#N/A</v>
      </c>
      <c r="L550" s="42"/>
      <c r="M550" s="42" t="str" cm="1">
        <f t="array" ref="M550">IFERROR(_xlfn.FILTERXML("&lt;t&gt;&lt;s&gt;" &amp; SUBSTITUTE(L550," / ","&lt;/s&gt;&lt;s&gt;") &amp; "&lt;/s&gt;&lt;/t&gt;","(//s[contains(.,'DDR')])[1]"),"")</f>
        <v/>
      </c>
      <c r="N550" s="32" t="e">
        <f t="shared" si="26"/>
        <v>#N/A</v>
      </c>
      <c r="O550" s="42" t="e">
        <f>INDEX(Input!$D$2:$AC$500,
       MATCH(B550, Input!$J$2:$J$500, 0),
       MATCH("Disk Interface Type", Input!$D$1:$AC$1, 0))</f>
        <v>#N/A</v>
      </c>
      <c r="P550" s="42" t="str" cm="1">
        <f t="array" ref="P550">IFERROR(_xlfn.TEXTJOIN(", ", TRUE, _xlfn._xlws.FILTER(
    INDEX(Input!$D$2:$AC$500,,MATCH("Disk Capacity",Input!$D$1:$AC$1,0)),
    Input!$J$2:$J$500=B550
)), "")</f>
        <v/>
      </c>
      <c r="Q550" s="32" t="e">
        <f t="shared" si="25"/>
        <v>#N/A</v>
      </c>
      <c r="R550" s="42" t="e">
        <f>_xlfn.LET(_xlpm.Result,INDEX(Input!$D$2:$AC$500,
       MATCH(B550, Input!$J$2:$J$500, 0),
       MATCH("Capacity", Input!$D$1:$AC$1, 0)),IF(_xlpm.Result="","",_xlpm.Result))</f>
        <v>#N/A</v>
      </c>
      <c r="S550" s="42"/>
      <c r="T550" s="42"/>
      <c r="U550" s="42" t="str" cm="1">
        <f t="array" ref="U550">IFERROR(_xlfn.IFS(
S550="","",
--S550&lt;55,"Battery Defect",
--S550&lt;=69,"Battery D",
--S550&lt;=80,"Battery C",
--S550&gt;80,""
),"")</f>
        <v/>
      </c>
      <c r="V550" s="42" t="str" cm="1">
        <f t="array" ref="V550">IFERROR(_xlfn.IFS(
T550="","",
--T550&lt;55,"Battery Defect",
--T550&lt;=69,"Battery D",
--T550&lt;=80,"Battery C",
--T550&gt;80,""
),"")</f>
        <v/>
      </c>
      <c r="W550" s="42"/>
      <c r="X550" s="42"/>
      <c r="Y550" s="42"/>
      <c r="Z550" s="42"/>
      <c r="AA550" s="42"/>
      <c r="AB550" s="42"/>
      <c r="AC550" s="42"/>
      <c r="AD550" s="42"/>
      <c r="AE550" s="32" t="str">
        <f t="shared" si="24"/>
        <v/>
      </c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 t="str">
        <f>_xlfn.XLOOKUP(B551,Input!J:J,Input!G:G)&amp;""</f>
        <v/>
      </c>
      <c r="B551" s="32"/>
      <c r="C551" s="32" t="str">
        <f>_xlfn.XLOOKUP(B551,Input!J:J,Input!H:H)&amp;""</f>
        <v/>
      </c>
      <c r="D551" s="42">
        <f>_xlfn.XLOOKUP(B551,Input!J:J,Input!F:F)</f>
        <v>0</v>
      </c>
      <c r="E551" s="32">
        <f>_xlfn.XLOOKUP(D551,Models!H:H,Models!G:G,D551)</f>
        <v>0</v>
      </c>
      <c r="F551" s="32">
        <f>_xlfn.XLOOKUP(B551,Input!J:J,Input!E:E)</f>
        <v>0</v>
      </c>
      <c r="G551" s="32">
        <f>IF(F551="LENOVO",_xlfn.XLOOKUP(B551,Input!J:J,Input!K:K),_xlfn.XLOOKUP(B551,Input!J:J,Input!L:L))</f>
        <v>0</v>
      </c>
      <c r="H551" s="32"/>
      <c r="I551" s="32"/>
      <c r="J551" s="32"/>
      <c r="K551" s="42" t="e">
        <f>INDEX(Input!$D$2:$AC$500,
       MATCH(B551, Input!$J$2:$J$500, 0),
       MATCH("Total Memory", Input!$D$1:$AC$1, 0))</f>
        <v>#N/A</v>
      </c>
      <c r="L551" s="42"/>
      <c r="M551" s="42" t="str" cm="1">
        <f t="array" ref="M551">IFERROR(_xlfn.FILTERXML("&lt;t&gt;&lt;s&gt;" &amp; SUBSTITUTE(L551," / ","&lt;/s&gt;&lt;s&gt;") &amp; "&lt;/s&gt;&lt;/t&gt;","(//s[contains(.,'DDR')])[1]"),"")</f>
        <v/>
      </c>
      <c r="N551" s="32" t="e">
        <f t="shared" si="26"/>
        <v>#N/A</v>
      </c>
      <c r="O551" s="42" t="e">
        <f>INDEX(Input!$D$2:$AC$500,
       MATCH(B551, Input!$J$2:$J$500, 0),
       MATCH("Disk Interface Type", Input!$D$1:$AC$1, 0))</f>
        <v>#N/A</v>
      </c>
      <c r="P551" s="42" t="str" cm="1">
        <f t="array" ref="P551">IFERROR(_xlfn.TEXTJOIN(", ", TRUE, _xlfn._xlws.FILTER(
    INDEX(Input!$D$2:$AC$500,,MATCH("Disk Capacity",Input!$D$1:$AC$1,0)),
    Input!$J$2:$J$500=B551
)), "")</f>
        <v/>
      </c>
      <c r="Q551" s="32" t="e">
        <f t="shared" si="25"/>
        <v>#N/A</v>
      </c>
      <c r="R551" s="42" t="e">
        <f>_xlfn.LET(_xlpm.Result,INDEX(Input!$D$2:$AC$500,
       MATCH(B551, Input!$J$2:$J$500, 0),
       MATCH("Capacity", Input!$D$1:$AC$1, 0)),IF(_xlpm.Result="","",_xlpm.Result))</f>
        <v>#N/A</v>
      </c>
      <c r="S551" s="42"/>
      <c r="T551" s="42"/>
      <c r="U551" s="42" t="str" cm="1">
        <f t="array" ref="U551">IFERROR(_xlfn.IFS(
S551="","",
--S551&lt;55,"Battery Defect",
--S551&lt;=69,"Battery D",
--S551&lt;=80,"Battery C",
--S551&gt;80,""
),"")</f>
        <v/>
      </c>
      <c r="V551" s="42" t="str" cm="1">
        <f t="array" ref="V551">IFERROR(_xlfn.IFS(
T551="","",
--T551&lt;55,"Battery Defect",
--T551&lt;=69,"Battery D",
--T551&lt;=80,"Battery C",
--T551&gt;80,""
),"")</f>
        <v/>
      </c>
      <c r="W551" s="42"/>
      <c r="X551" s="42"/>
      <c r="Y551" s="42"/>
      <c r="Z551" s="42"/>
      <c r="AA551" s="42"/>
      <c r="AB551" s="42"/>
      <c r="AC551" s="42"/>
      <c r="AD551" s="42"/>
      <c r="AE551" s="32" t="str">
        <f t="shared" si="24"/>
        <v/>
      </c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 t="str">
        <f>_xlfn.XLOOKUP(B552,Input!J:J,Input!G:G)&amp;""</f>
        <v/>
      </c>
      <c r="B552" s="32"/>
      <c r="C552" s="32" t="str">
        <f>_xlfn.XLOOKUP(B552,Input!J:J,Input!H:H)&amp;""</f>
        <v/>
      </c>
      <c r="D552" s="42">
        <f>_xlfn.XLOOKUP(B552,Input!J:J,Input!F:F)</f>
        <v>0</v>
      </c>
      <c r="E552" s="32">
        <f>_xlfn.XLOOKUP(D552,Models!H:H,Models!G:G,D552)</f>
        <v>0</v>
      </c>
      <c r="F552" s="32">
        <f>_xlfn.XLOOKUP(B552,Input!J:J,Input!E:E)</f>
        <v>0</v>
      </c>
      <c r="G552" s="32">
        <f>IF(F552="LENOVO",_xlfn.XLOOKUP(B552,Input!J:J,Input!K:K),_xlfn.XLOOKUP(B552,Input!J:J,Input!L:L))</f>
        <v>0</v>
      </c>
      <c r="H552" s="32"/>
      <c r="I552" s="32"/>
      <c r="J552" s="32"/>
      <c r="K552" s="42" t="e">
        <f>INDEX(Input!$D$2:$AC$500,
       MATCH(B552, Input!$J$2:$J$500, 0),
       MATCH("Total Memory", Input!$D$1:$AC$1, 0))</f>
        <v>#N/A</v>
      </c>
      <c r="L552" s="42"/>
      <c r="M552" s="42" t="str" cm="1">
        <f t="array" ref="M552">IFERROR(_xlfn.FILTERXML("&lt;t&gt;&lt;s&gt;" &amp; SUBSTITUTE(L552," / ","&lt;/s&gt;&lt;s&gt;") &amp; "&lt;/s&gt;&lt;/t&gt;","(//s[contains(.,'DDR')])[1]"),"")</f>
        <v/>
      </c>
      <c r="N552" s="32" t="e">
        <f t="shared" si="26"/>
        <v>#N/A</v>
      </c>
      <c r="O552" s="42" t="e">
        <f>INDEX(Input!$D$2:$AC$500,
       MATCH(B552, Input!$J$2:$J$500, 0),
       MATCH("Disk Interface Type", Input!$D$1:$AC$1, 0))</f>
        <v>#N/A</v>
      </c>
      <c r="P552" s="42" t="str" cm="1">
        <f t="array" ref="P552">IFERROR(_xlfn.TEXTJOIN(", ", TRUE, _xlfn._xlws.FILTER(
    INDEX(Input!$D$2:$AC$500,,MATCH("Disk Capacity",Input!$D$1:$AC$1,0)),
    Input!$J$2:$J$500=B552
)), "")</f>
        <v/>
      </c>
      <c r="Q552" s="32" t="e">
        <f t="shared" si="25"/>
        <v>#N/A</v>
      </c>
      <c r="R552" s="42" t="e">
        <f>_xlfn.LET(_xlpm.Result,INDEX(Input!$D$2:$AC$500,
       MATCH(B552, Input!$J$2:$J$500, 0),
       MATCH("Capacity", Input!$D$1:$AC$1, 0)),IF(_xlpm.Result="","",_xlpm.Result))</f>
        <v>#N/A</v>
      </c>
      <c r="S552" s="42"/>
      <c r="T552" s="42"/>
      <c r="U552" s="42" t="str" cm="1">
        <f t="array" ref="U552">IFERROR(_xlfn.IFS(
S552="","",
--S552&lt;55,"Battery Defect",
--S552&lt;=69,"Battery D",
--S552&lt;=80,"Battery C",
--S552&gt;80,""
),"")</f>
        <v/>
      </c>
      <c r="V552" s="42" t="str" cm="1">
        <f t="array" ref="V552">IFERROR(_xlfn.IFS(
T552="","",
--T552&lt;55,"Battery Defect",
--T552&lt;=69,"Battery D",
--T552&lt;=80,"Battery C",
--T552&gt;80,""
),"")</f>
        <v/>
      </c>
      <c r="W552" s="42"/>
      <c r="X552" s="42"/>
      <c r="Y552" s="42"/>
      <c r="Z552" s="42"/>
      <c r="AA552" s="42"/>
      <c r="AB552" s="42"/>
      <c r="AC552" s="42"/>
      <c r="AD552" s="42"/>
      <c r="AE552" s="32" t="str">
        <f t="shared" si="24"/>
        <v/>
      </c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 t="str">
        <f>_xlfn.XLOOKUP(B553,Input!J:J,Input!G:G)&amp;""</f>
        <v/>
      </c>
      <c r="B553" s="32"/>
      <c r="C553" s="32" t="str">
        <f>_xlfn.XLOOKUP(B553,Input!J:J,Input!H:H)&amp;""</f>
        <v/>
      </c>
      <c r="D553" s="42">
        <f>_xlfn.XLOOKUP(B553,Input!J:J,Input!F:F)</f>
        <v>0</v>
      </c>
      <c r="E553" s="32">
        <f>_xlfn.XLOOKUP(D553,Models!H:H,Models!G:G,D553)</f>
        <v>0</v>
      </c>
      <c r="F553" s="32">
        <f>_xlfn.XLOOKUP(B553,Input!J:J,Input!E:E)</f>
        <v>0</v>
      </c>
      <c r="G553" s="32">
        <f>IF(F553="LENOVO",_xlfn.XLOOKUP(B553,Input!J:J,Input!K:K),_xlfn.XLOOKUP(B553,Input!J:J,Input!L:L))</f>
        <v>0</v>
      </c>
      <c r="H553" s="32"/>
      <c r="I553" s="32"/>
      <c r="J553" s="32"/>
      <c r="K553" s="42" t="e">
        <f>INDEX(Input!$D$2:$AC$500,
       MATCH(B553, Input!$J$2:$J$500, 0),
       MATCH("Total Memory", Input!$D$1:$AC$1, 0))</f>
        <v>#N/A</v>
      </c>
      <c r="L553" s="42"/>
      <c r="M553" s="42" t="str" cm="1">
        <f t="array" ref="M553">IFERROR(_xlfn.FILTERXML("&lt;t&gt;&lt;s&gt;" &amp; SUBSTITUTE(L553," / ","&lt;/s&gt;&lt;s&gt;") &amp; "&lt;/s&gt;&lt;/t&gt;","(//s[contains(.,'DDR')])[1]"),"")</f>
        <v/>
      </c>
      <c r="N553" s="32" t="e">
        <f t="shared" si="26"/>
        <v>#N/A</v>
      </c>
      <c r="O553" s="42" t="e">
        <f>INDEX(Input!$D$2:$AC$500,
       MATCH(B553, Input!$J$2:$J$500, 0),
       MATCH("Disk Interface Type", Input!$D$1:$AC$1, 0))</f>
        <v>#N/A</v>
      </c>
      <c r="P553" s="42" t="str" cm="1">
        <f t="array" ref="P553">IFERROR(_xlfn.TEXTJOIN(", ", TRUE, _xlfn._xlws.FILTER(
    INDEX(Input!$D$2:$AC$500,,MATCH("Disk Capacity",Input!$D$1:$AC$1,0)),
    Input!$J$2:$J$500=B553
)), "")</f>
        <v/>
      </c>
      <c r="Q553" s="32" t="e">
        <f t="shared" si="25"/>
        <v>#N/A</v>
      </c>
      <c r="R553" s="42" t="e">
        <f>_xlfn.LET(_xlpm.Result,INDEX(Input!$D$2:$AC$500,
       MATCH(B553, Input!$J$2:$J$500, 0),
       MATCH("Capacity", Input!$D$1:$AC$1, 0)),IF(_xlpm.Result="","",_xlpm.Result))</f>
        <v>#N/A</v>
      </c>
      <c r="S553" s="42"/>
      <c r="T553" s="42"/>
      <c r="U553" s="42" t="str" cm="1">
        <f t="array" ref="U553">IFERROR(_xlfn.IFS(
S553="","",
--S553&lt;55,"Battery Defect",
--S553&lt;=69,"Battery D",
--S553&lt;=80,"Battery C",
--S553&gt;80,""
),"")</f>
        <v/>
      </c>
      <c r="V553" s="42" t="str" cm="1">
        <f t="array" ref="V553">IFERROR(_xlfn.IFS(
T553="","",
--T553&lt;55,"Battery Defect",
--T553&lt;=69,"Battery D",
--T553&lt;=80,"Battery C",
--T553&gt;80,""
),"")</f>
        <v/>
      </c>
      <c r="W553" s="42"/>
      <c r="X553" s="42"/>
      <c r="Y553" s="42"/>
      <c r="Z553" s="42"/>
      <c r="AA553" s="42"/>
      <c r="AB553" s="42"/>
      <c r="AC553" s="42"/>
      <c r="AD553" s="42"/>
      <c r="AE553" s="32" t="str">
        <f t="shared" si="24"/>
        <v/>
      </c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 t="str">
        <f>_xlfn.XLOOKUP(B554,Input!J:J,Input!G:G)&amp;""</f>
        <v/>
      </c>
      <c r="B554" s="32"/>
      <c r="C554" s="32" t="str">
        <f>_xlfn.XLOOKUP(B554,Input!J:J,Input!H:H)&amp;""</f>
        <v/>
      </c>
      <c r="D554" s="42">
        <f>_xlfn.XLOOKUP(B554,Input!J:J,Input!F:F)</f>
        <v>0</v>
      </c>
      <c r="E554" s="32">
        <f>_xlfn.XLOOKUP(D554,Models!H:H,Models!G:G,D554)</f>
        <v>0</v>
      </c>
      <c r="F554" s="32">
        <f>_xlfn.XLOOKUP(B554,Input!J:J,Input!E:E)</f>
        <v>0</v>
      </c>
      <c r="G554" s="32">
        <f>IF(F554="LENOVO",_xlfn.XLOOKUP(B554,Input!J:J,Input!K:K),_xlfn.XLOOKUP(B554,Input!J:J,Input!L:L))</f>
        <v>0</v>
      </c>
      <c r="H554" s="32"/>
      <c r="I554" s="32"/>
      <c r="J554" s="32"/>
      <c r="K554" s="42" t="e">
        <f>INDEX(Input!$D$2:$AC$500,
       MATCH(B554, Input!$J$2:$J$500, 0),
       MATCH("Total Memory", Input!$D$1:$AC$1, 0))</f>
        <v>#N/A</v>
      </c>
      <c r="L554" s="42"/>
      <c r="M554" s="42" t="str" cm="1">
        <f t="array" ref="M554">IFERROR(_xlfn.FILTERXML("&lt;t&gt;&lt;s&gt;" &amp; SUBSTITUTE(L554," / ","&lt;/s&gt;&lt;s&gt;") &amp; "&lt;/s&gt;&lt;/t&gt;","(//s[contains(.,'DDR')])[1]"),"")</f>
        <v/>
      </c>
      <c r="N554" s="32" t="e">
        <f t="shared" si="26"/>
        <v>#N/A</v>
      </c>
      <c r="O554" s="42" t="e">
        <f>INDEX(Input!$D$2:$AC$500,
       MATCH(B554, Input!$J$2:$J$500, 0),
       MATCH("Disk Interface Type", Input!$D$1:$AC$1, 0))</f>
        <v>#N/A</v>
      </c>
      <c r="P554" s="42" t="str" cm="1">
        <f t="array" ref="P554">IFERROR(_xlfn.TEXTJOIN(", ", TRUE, _xlfn._xlws.FILTER(
    INDEX(Input!$D$2:$AC$500,,MATCH("Disk Capacity",Input!$D$1:$AC$1,0)),
    Input!$J$2:$J$500=B554
)), "")</f>
        <v/>
      </c>
      <c r="Q554" s="32" t="e">
        <f t="shared" si="25"/>
        <v>#N/A</v>
      </c>
      <c r="R554" s="42" t="e">
        <f>_xlfn.LET(_xlpm.Result,INDEX(Input!$D$2:$AC$500,
       MATCH(B554, Input!$J$2:$J$500, 0),
       MATCH("Capacity", Input!$D$1:$AC$1, 0)),IF(_xlpm.Result="","",_xlpm.Result))</f>
        <v>#N/A</v>
      </c>
      <c r="S554" s="42"/>
      <c r="T554" s="42"/>
      <c r="U554" s="42" t="str" cm="1">
        <f t="array" ref="U554">IFERROR(_xlfn.IFS(
S554="","",
--S554&lt;55,"Battery Defect",
--S554&lt;=69,"Battery D",
--S554&lt;=80,"Battery C",
--S554&gt;80,""
),"")</f>
        <v/>
      </c>
      <c r="V554" s="42" t="str" cm="1">
        <f t="array" ref="V554">IFERROR(_xlfn.IFS(
T554="","",
--T554&lt;55,"Battery Defect",
--T554&lt;=69,"Battery D",
--T554&lt;=80,"Battery C",
--T554&gt;80,""
),"")</f>
        <v/>
      </c>
      <c r="W554" s="42"/>
      <c r="X554" s="42"/>
      <c r="Y554" s="42"/>
      <c r="Z554" s="42"/>
      <c r="AA554" s="42"/>
      <c r="AB554" s="42"/>
      <c r="AC554" s="42"/>
      <c r="AD554" s="42"/>
      <c r="AE554" s="32" t="str">
        <f t="shared" si="24"/>
        <v/>
      </c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 t="str">
        <f>_xlfn.XLOOKUP(B555,Input!J:J,Input!G:G)&amp;""</f>
        <v/>
      </c>
      <c r="B555" s="32"/>
      <c r="C555" s="32" t="str">
        <f>_xlfn.XLOOKUP(B555,Input!J:J,Input!H:H)&amp;""</f>
        <v/>
      </c>
      <c r="D555" s="42">
        <f>_xlfn.XLOOKUP(B555,Input!J:J,Input!F:F)</f>
        <v>0</v>
      </c>
      <c r="E555" s="32">
        <f>_xlfn.XLOOKUP(D555,Models!H:H,Models!G:G,D555)</f>
        <v>0</v>
      </c>
      <c r="F555" s="32">
        <f>_xlfn.XLOOKUP(B555,Input!J:J,Input!E:E)</f>
        <v>0</v>
      </c>
      <c r="G555" s="32">
        <f>IF(F555="LENOVO",_xlfn.XLOOKUP(B555,Input!J:J,Input!K:K),_xlfn.XLOOKUP(B555,Input!J:J,Input!L:L))</f>
        <v>0</v>
      </c>
      <c r="H555" s="32"/>
      <c r="I555" s="32"/>
      <c r="J555" s="32"/>
      <c r="K555" s="42" t="e">
        <f>INDEX(Input!$D$2:$AC$500,
       MATCH(B555, Input!$J$2:$J$500, 0),
       MATCH("Total Memory", Input!$D$1:$AC$1, 0))</f>
        <v>#N/A</v>
      </c>
      <c r="L555" s="42"/>
      <c r="M555" s="42" t="str" cm="1">
        <f t="array" ref="M555">IFERROR(_xlfn.FILTERXML("&lt;t&gt;&lt;s&gt;" &amp; SUBSTITUTE(L555," / ","&lt;/s&gt;&lt;s&gt;") &amp; "&lt;/s&gt;&lt;/t&gt;","(//s[contains(.,'DDR')])[1]"),"")</f>
        <v/>
      </c>
      <c r="N555" s="32" t="e">
        <f t="shared" si="26"/>
        <v>#N/A</v>
      </c>
      <c r="O555" s="42" t="e">
        <f>INDEX(Input!$D$2:$AC$500,
       MATCH(B555, Input!$J$2:$J$500, 0),
       MATCH("Disk Interface Type", Input!$D$1:$AC$1, 0))</f>
        <v>#N/A</v>
      </c>
      <c r="P555" s="42" t="str" cm="1">
        <f t="array" ref="P555">IFERROR(_xlfn.TEXTJOIN(", ", TRUE, _xlfn._xlws.FILTER(
    INDEX(Input!$D$2:$AC$500,,MATCH("Disk Capacity",Input!$D$1:$AC$1,0)),
    Input!$J$2:$J$500=B555
)), "")</f>
        <v/>
      </c>
      <c r="Q555" s="32" t="e">
        <f t="shared" si="25"/>
        <v>#N/A</v>
      </c>
      <c r="R555" s="42" t="e">
        <f>_xlfn.LET(_xlpm.Result,INDEX(Input!$D$2:$AC$500,
       MATCH(B555, Input!$J$2:$J$500, 0),
       MATCH("Capacity", Input!$D$1:$AC$1, 0)),IF(_xlpm.Result="","",_xlpm.Result))</f>
        <v>#N/A</v>
      </c>
      <c r="S555" s="42"/>
      <c r="T555" s="42"/>
      <c r="U555" s="42" t="str" cm="1">
        <f t="array" ref="U555">IFERROR(_xlfn.IFS(
S555="","",
--S555&lt;55,"Battery Defect",
--S555&lt;=69,"Battery D",
--S555&lt;=80,"Battery C",
--S555&gt;80,""
),"")</f>
        <v/>
      </c>
      <c r="V555" s="42" t="str" cm="1">
        <f t="array" ref="V555">IFERROR(_xlfn.IFS(
T555="","",
--T555&lt;55,"Battery Defect",
--T555&lt;=69,"Battery D",
--T555&lt;=80,"Battery C",
--T555&gt;80,""
),"")</f>
        <v/>
      </c>
      <c r="W555" s="42"/>
      <c r="X555" s="42"/>
      <c r="Y555" s="42"/>
      <c r="Z555" s="42"/>
      <c r="AA555" s="42"/>
      <c r="AB555" s="42"/>
      <c r="AC555" s="42"/>
      <c r="AD555" s="42"/>
      <c r="AE555" s="32" t="str">
        <f t="shared" si="24"/>
        <v/>
      </c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 t="str">
        <f>_xlfn.XLOOKUP(B556,Input!J:J,Input!G:G)&amp;""</f>
        <v/>
      </c>
      <c r="B556" s="32"/>
      <c r="C556" s="32" t="str">
        <f>_xlfn.XLOOKUP(B556,Input!J:J,Input!H:H)&amp;""</f>
        <v/>
      </c>
      <c r="D556" s="42">
        <f>_xlfn.XLOOKUP(B556,Input!J:J,Input!F:F)</f>
        <v>0</v>
      </c>
      <c r="E556" s="32">
        <f>_xlfn.XLOOKUP(D556,Models!H:H,Models!G:G,D556)</f>
        <v>0</v>
      </c>
      <c r="F556" s="32">
        <f>_xlfn.XLOOKUP(B556,Input!J:J,Input!E:E)</f>
        <v>0</v>
      </c>
      <c r="G556" s="32">
        <f>IF(F556="LENOVO",_xlfn.XLOOKUP(B556,Input!J:J,Input!K:K),_xlfn.XLOOKUP(B556,Input!J:J,Input!L:L))</f>
        <v>0</v>
      </c>
      <c r="H556" s="32"/>
      <c r="I556" s="32"/>
      <c r="J556" s="32"/>
      <c r="K556" s="42" t="e">
        <f>INDEX(Input!$D$2:$AC$500,
       MATCH(B556, Input!$J$2:$J$500, 0),
       MATCH("Total Memory", Input!$D$1:$AC$1, 0))</f>
        <v>#N/A</v>
      </c>
      <c r="L556" s="42"/>
      <c r="M556" s="42" t="str" cm="1">
        <f t="array" ref="M556">IFERROR(_xlfn.FILTERXML("&lt;t&gt;&lt;s&gt;" &amp; SUBSTITUTE(L556," / ","&lt;/s&gt;&lt;s&gt;") &amp; "&lt;/s&gt;&lt;/t&gt;","(//s[contains(.,'DDR')])[1]"),"")</f>
        <v/>
      </c>
      <c r="N556" s="32" t="e">
        <f t="shared" si="26"/>
        <v>#N/A</v>
      </c>
      <c r="O556" s="42" t="e">
        <f>INDEX(Input!$D$2:$AC$500,
       MATCH(B556, Input!$J$2:$J$500, 0),
       MATCH("Disk Interface Type", Input!$D$1:$AC$1, 0))</f>
        <v>#N/A</v>
      </c>
      <c r="P556" s="42" t="str" cm="1">
        <f t="array" ref="P556">IFERROR(_xlfn.TEXTJOIN(", ", TRUE, _xlfn._xlws.FILTER(
    INDEX(Input!$D$2:$AC$500,,MATCH("Disk Capacity",Input!$D$1:$AC$1,0)),
    Input!$J$2:$J$500=B556
)), "")</f>
        <v/>
      </c>
      <c r="Q556" s="32" t="e">
        <f t="shared" si="25"/>
        <v>#N/A</v>
      </c>
      <c r="R556" s="42" t="e">
        <f>_xlfn.LET(_xlpm.Result,INDEX(Input!$D$2:$AC$500,
       MATCH(B556, Input!$J$2:$J$500, 0),
       MATCH("Capacity", Input!$D$1:$AC$1, 0)),IF(_xlpm.Result="","",_xlpm.Result))</f>
        <v>#N/A</v>
      </c>
      <c r="S556" s="42"/>
      <c r="T556" s="42"/>
      <c r="U556" s="42" t="str" cm="1">
        <f t="array" ref="U556">IFERROR(_xlfn.IFS(
S556="","",
--S556&lt;55,"Battery Defect",
--S556&lt;=69,"Battery D",
--S556&lt;=80,"Battery C",
--S556&gt;80,""
),"")</f>
        <v/>
      </c>
      <c r="V556" s="42" t="str" cm="1">
        <f t="array" ref="V556">IFERROR(_xlfn.IFS(
T556="","",
--T556&lt;55,"Battery Defect",
--T556&lt;=69,"Battery D",
--T556&lt;=80,"Battery C",
--T556&gt;80,""
),"")</f>
        <v/>
      </c>
      <c r="W556" s="42"/>
      <c r="X556" s="42"/>
      <c r="Y556" s="42"/>
      <c r="Z556" s="42"/>
      <c r="AA556" s="42"/>
      <c r="AB556" s="42"/>
      <c r="AC556" s="42"/>
      <c r="AD556" s="42"/>
      <c r="AE556" s="32" t="str">
        <f t="shared" si="24"/>
        <v/>
      </c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 t="str">
        <f>_xlfn.XLOOKUP(B557,Input!J:J,Input!G:G)&amp;""</f>
        <v/>
      </c>
      <c r="B557" s="32"/>
      <c r="C557" s="32" t="str">
        <f>_xlfn.XLOOKUP(B557,Input!J:J,Input!H:H)&amp;""</f>
        <v/>
      </c>
      <c r="D557" s="42">
        <f>_xlfn.XLOOKUP(B557,Input!J:J,Input!F:F)</f>
        <v>0</v>
      </c>
      <c r="E557" s="32"/>
      <c r="F557" s="32"/>
      <c r="G557" s="32"/>
      <c r="H557" s="32"/>
      <c r="I557" s="32"/>
      <c r="J557" s="32"/>
      <c r="K557" s="42"/>
      <c r="L557" s="42"/>
      <c r="M557" s="42" t="str" cm="1">
        <f t="array" ref="M557">IFERROR(_xlfn.FILTERXML("&lt;t&gt;&lt;s&gt;" &amp; SUBSTITUTE(L557," / ","&lt;/s&gt;&lt;s&gt;") &amp; "&lt;/s&gt;&lt;/t&gt;","(//s[contains(.,'DDR')])[1]"),"")</f>
        <v/>
      </c>
      <c r="N557" s="32" t="str">
        <f t="shared" si="26"/>
        <v/>
      </c>
      <c r="O557" s="42" t="e">
        <f>INDEX(Input!$D$2:$AC$500,
       MATCH(B557, Input!$J$2:$J$500, 0),
       MATCH("Disk Interface Type", Input!$D$1:$AC$1, 0))</f>
        <v>#N/A</v>
      </c>
      <c r="P557" s="42" t="str" cm="1">
        <f t="array" ref="P557">IFERROR(_xlfn.TEXTJOIN(", ", TRUE, _xlfn._xlws.FILTER(
    INDEX(Input!$D$2:$AC$500,,MATCH("Disk Capacity",Input!$D$1:$AC$1,0)),
    Input!$J$2:$J$500=B557
)), "")</f>
        <v/>
      </c>
      <c r="Q557" s="32" t="e">
        <f t="shared" si="25"/>
        <v>#N/A</v>
      </c>
      <c r="R557" s="42" t="e">
        <f>_xlfn.LET(_xlpm.Result,INDEX(Input!$D$2:$AC$500,
       MATCH(B557, Input!$J$2:$J$500, 0),
       MATCH("Capacity", Input!$D$1:$AC$1, 0)),IF(_xlpm.Result="","",_xlpm.Result))</f>
        <v>#N/A</v>
      </c>
      <c r="S557" s="42"/>
      <c r="T557" s="42"/>
      <c r="U557" s="42" t="str" cm="1">
        <f t="array" ref="U557">IFERROR(_xlfn.IFS(
S557="","",
--S557&lt;55,"Battery Defect",
--S557&lt;=69,"Battery D",
--S557&lt;=80,"Battery C",
--S557&gt;80,""
),"")</f>
        <v/>
      </c>
      <c r="V557" s="42" t="str" cm="1">
        <f t="array" ref="V557">IFERROR(_xlfn.IFS(
T557="","",
--T557&lt;55,"Battery Defect",
--T557&lt;=69,"Battery D",
--T557&lt;=80,"Battery C",
--T557&gt;80,""
),"")</f>
        <v/>
      </c>
      <c r="W557" s="42"/>
      <c r="X557" s="42"/>
      <c r="Y557" s="42"/>
      <c r="Z557" s="42"/>
      <c r="AA557" s="42"/>
      <c r="AB557" s="42"/>
      <c r="AC557" s="42"/>
      <c r="AD557" s="42"/>
      <c r="AE557" s="32" t="str">
        <f t="shared" si="24"/>
        <v/>
      </c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 t="str">
        <f>_xlfn.XLOOKUP(B558,Input!J:J,Input!G:G)&amp;""</f>
        <v/>
      </c>
      <c r="B558" s="32"/>
      <c r="C558" s="32" t="str">
        <f>_xlfn.XLOOKUP(B558,Input!J:J,Input!H:H)&amp;""</f>
        <v/>
      </c>
      <c r="D558" s="42">
        <f>_xlfn.XLOOKUP(B558,Input!J:J,Input!F:F)</f>
        <v>0</v>
      </c>
      <c r="E558" s="32"/>
      <c r="F558" s="32"/>
      <c r="G558" s="32"/>
      <c r="H558" s="32"/>
      <c r="I558" s="32"/>
      <c r="J558" s="32"/>
      <c r="K558" s="42"/>
      <c r="L558" s="42"/>
      <c r="M558" s="42" t="str" cm="1">
        <f t="array" ref="M558">IFERROR(_xlfn.FILTERXML("&lt;t&gt;&lt;s&gt;" &amp; SUBSTITUTE(L558," / ","&lt;/s&gt;&lt;s&gt;") &amp; "&lt;/s&gt;&lt;/t&gt;","(//s[contains(.,'DDR')])[1]"),"")</f>
        <v/>
      </c>
      <c r="N558" s="32" t="str">
        <f t="shared" si="26"/>
        <v/>
      </c>
      <c r="O558" s="42" t="e">
        <f>INDEX(Input!$D$2:$AC$500,
       MATCH(B558, Input!$J$2:$J$500, 0),
       MATCH("Disk Interface Type", Input!$D$1:$AC$1, 0))</f>
        <v>#N/A</v>
      </c>
      <c r="P558" s="42" t="str" cm="1">
        <f t="array" ref="P558">IFERROR(_xlfn.TEXTJOIN(", ", TRUE, _xlfn._xlws.FILTER(
    INDEX(Input!$D$2:$AC$500,,MATCH("Disk Capacity",Input!$D$1:$AC$1,0)),
    Input!$J$2:$J$500=B558
)), "")</f>
        <v/>
      </c>
      <c r="Q558" s="32" t="e">
        <f t="shared" si="25"/>
        <v>#N/A</v>
      </c>
      <c r="R558" s="42" t="e">
        <f>_xlfn.LET(_xlpm.Result,INDEX(Input!$D$2:$AC$500,
       MATCH(B558, Input!$J$2:$J$500, 0),
       MATCH("Capacity", Input!$D$1:$AC$1, 0)),IF(_xlpm.Result="","",_xlpm.Result))</f>
        <v>#N/A</v>
      </c>
      <c r="S558" s="42"/>
      <c r="T558" s="42"/>
      <c r="U558" s="42" t="str" cm="1">
        <f t="array" ref="U558">IFERROR(_xlfn.IFS(
S558="","",
--S558&lt;55,"Battery Defect",
--S558&lt;=69,"Battery D",
--S558&lt;=80,"Battery C",
--S558&gt;80,""
),"")</f>
        <v/>
      </c>
      <c r="V558" s="42" t="str" cm="1">
        <f t="array" ref="V558">IFERROR(_xlfn.IFS(
T558="","",
--T558&lt;55,"Battery Defect",
--T558&lt;=69,"Battery D",
--T558&lt;=80,"Battery C",
--T558&gt;80,""
),"")</f>
        <v/>
      </c>
      <c r="W558" s="42"/>
      <c r="X558" s="42"/>
      <c r="Y558" s="42"/>
      <c r="Z558" s="42"/>
      <c r="AA558" s="42"/>
      <c r="AB558" s="42"/>
      <c r="AC558" s="42"/>
      <c r="AD558" s="42"/>
      <c r="AE558" s="32" t="str">
        <f t="shared" si="24"/>
        <v/>
      </c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 t="str">
        <f>_xlfn.XLOOKUP(B559,Input!J:J,Input!G:G)&amp;""</f>
        <v/>
      </c>
      <c r="B559" s="32"/>
      <c r="C559" s="32" t="str">
        <f>_xlfn.XLOOKUP(B559,Input!J:J,Input!H:H)&amp;""</f>
        <v/>
      </c>
      <c r="D559" s="42"/>
      <c r="E559" s="32"/>
      <c r="F559" s="32"/>
      <c r="G559" s="32"/>
      <c r="H559" s="32"/>
      <c r="I559" s="32"/>
      <c r="J559" s="32"/>
      <c r="K559" s="42"/>
      <c r="L559" s="42"/>
      <c r="M559" s="42" t="str" cm="1">
        <f t="array" ref="M559">IFERROR(_xlfn.FILTERXML("&lt;t&gt;&lt;s&gt;" &amp; SUBSTITUTE(L559," / ","&lt;/s&gt;&lt;s&gt;") &amp; "&lt;/s&gt;&lt;/t&gt;","(//s[contains(.,'DDR')])[1]"),"")</f>
        <v/>
      </c>
      <c r="N559" s="32" t="str">
        <f t="shared" si="26"/>
        <v/>
      </c>
      <c r="O559" s="42" t="e">
        <f>INDEX(Input!$D$2:$AC$500,
       MATCH(B559, Input!$J$2:$J$500, 0),
       MATCH("Disk Interface Type", Input!$D$1:$AC$1, 0))</f>
        <v>#N/A</v>
      </c>
      <c r="P559" s="42" t="str" cm="1">
        <f t="array" ref="P559">IFERROR(_xlfn.TEXTJOIN(", ", TRUE, _xlfn._xlws.FILTER(
    INDEX(Input!$D$2:$AC$500,,MATCH("Disk Capacity",Input!$D$1:$AC$1,0)),
    Input!$J$2:$J$500=B559
)), "")</f>
        <v/>
      </c>
      <c r="Q559" s="32" t="e">
        <f t="shared" si="25"/>
        <v>#N/A</v>
      </c>
      <c r="R559" s="42" t="e">
        <f>_xlfn.LET(_xlpm.Result,INDEX(Input!$D$2:$AC$500,
       MATCH(B559, Input!$J$2:$J$500, 0),
       MATCH("Capacity", Input!$D$1:$AC$1, 0)),IF(_xlpm.Result="","",_xlpm.Result))</f>
        <v>#N/A</v>
      </c>
      <c r="S559" s="42"/>
      <c r="T559" s="42"/>
      <c r="U559" s="42" t="str" cm="1">
        <f t="array" ref="U559">IFERROR(_xlfn.IFS(
S559="","",
--S559&lt;55,"Battery Defect",
--S559&lt;=69,"Battery D",
--S559&lt;=80,"Battery C",
--S559&gt;80,""
),"")</f>
        <v/>
      </c>
      <c r="V559" s="42" t="str" cm="1">
        <f t="array" ref="V559">IFERROR(_xlfn.IFS(
T559="","",
--T559&lt;55,"Battery Defect",
--T559&lt;=69,"Battery D",
--T559&lt;=80,"Battery C",
--T559&gt;80,""
),"")</f>
        <v/>
      </c>
      <c r="W559" s="42"/>
      <c r="X559" s="42"/>
      <c r="Y559" s="42"/>
      <c r="Z559" s="42"/>
      <c r="AA559" s="42"/>
      <c r="AB559" s="42"/>
      <c r="AC559" s="42"/>
      <c r="AD559" s="42"/>
      <c r="AE559" s="32" t="str">
        <f t="shared" si="24"/>
        <v/>
      </c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 t="str">
        <f>_xlfn.XLOOKUP(B560,Input!J:J,Input!G:G)&amp;""</f>
        <v/>
      </c>
      <c r="B560" s="32"/>
      <c r="C560" s="32" t="str">
        <f>_xlfn.XLOOKUP(B560,Input!J:J,Input!H:H)&amp;""</f>
        <v/>
      </c>
      <c r="D560" s="42"/>
      <c r="E560" s="32"/>
      <c r="F560" s="32"/>
      <c r="G560" s="32"/>
      <c r="H560" s="32"/>
      <c r="I560" s="32"/>
      <c r="J560" s="32"/>
      <c r="K560" s="42"/>
      <c r="L560" s="42"/>
      <c r="M560" s="42" t="str" cm="1">
        <f t="array" ref="M560">IFERROR(_xlfn.FILTERXML("&lt;t&gt;&lt;s&gt;" &amp; SUBSTITUTE(L560," / ","&lt;/s&gt;&lt;s&gt;") &amp; "&lt;/s&gt;&lt;/t&gt;","(//s[contains(.,'DDR')])[1]"),"")</f>
        <v/>
      </c>
      <c r="N560" s="32" t="str">
        <f t="shared" si="26"/>
        <v/>
      </c>
      <c r="O560" s="42" t="e">
        <f>INDEX(Input!$D$2:$AC$500,
       MATCH(B560, Input!$J$2:$J$500, 0),
       MATCH("Disk Interface Type", Input!$D$1:$AC$1, 0))</f>
        <v>#N/A</v>
      </c>
      <c r="P560" s="42" t="str" cm="1">
        <f t="array" ref="P560">IFERROR(_xlfn.TEXTJOIN(", ", TRUE, _xlfn._xlws.FILTER(
    INDEX(Input!$D$2:$AC$500,,MATCH("Disk Capacity",Input!$D$1:$AC$1,0)),
    Input!$J$2:$J$500=B560
)), "")</f>
        <v/>
      </c>
      <c r="Q560" s="32" t="e">
        <f t="shared" si="25"/>
        <v>#N/A</v>
      </c>
      <c r="R560" s="42" t="e">
        <f>_xlfn.LET(_xlpm.Result,INDEX(Input!$D$2:$AC$500,
       MATCH(B560, Input!$J$2:$J$500, 0),
       MATCH("Capacity", Input!$D$1:$AC$1, 0)),IF(_xlpm.Result="","",_xlpm.Result))</f>
        <v>#N/A</v>
      </c>
      <c r="S560" s="42"/>
      <c r="T560" s="42"/>
      <c r="U560" s="42" t="str" cm="1">
        <f t="array" ref="U560">IFERROR(_xlfn.IFS(
S560="","",
--S560&lt;55,"Battery Defect",
--S560&lt;=69,"Battery D",
--S560&lt;=80,"Battery C",
--S560&gt;80,""
),"")</f>
        <v/>
      </c>
      <c r="V560" s="42" t="str" cm="1">
        <f t="array" ref="V560">IFERROR(_xlfn.IFS(
T560="","",
--T560&lt;55,"Battery Defect",
--T560&lt;=69,"Battery D",
--T560&lt;=80,"Battery C",
--T560&gt;80,""
),"")</f>
        <v/>
      </c>
      <c r="W560" s="42"/>
      <c r="X560" s="42"/>
      <c r="Y560" s="42"/>
      <c r="Z560" s="42"/>
      <c r="AA560" s="42"/>
      <c r="AB560" s="42"/>
      <c r="AC560" s="42"/>
      <c r="AD560" s="42"/>
      <c r="AE560" s="32" t="str">
        <f t="shared" si="24"/>
        <v/>
      </c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 t="str">
        <f>_xlfn.XLOOKUP(B561,Input!J:J,Input!G:G)&amp;""</f>
        <v/>
      </c>
      <c r="B561" s="32"/>
      <c r="C561" s="32" t="str">
        <f>_xlfn.XLOOKUP(B561,Input!J:J,Input!H:H)&amp;""</f>
        <v/>
      </c>
      <c r="D561" s="42"/>
      <c r="E561" s="32"/>
      <c r="F561" s="32"/>
      <c r="G561" s="32"/>
      <c r="H561" s="32"/>
      <c r="I561" s="32"/>
      <c r="J561" s="32"/>
      <c r="K561" s="42"/>
      <c r="L561" s="42"/>
      <c r="M561" s="42" t="str" cm="1">
        <f t="array" ref="M561">IFERROR(_xlfn.FILTERXML("&lt;t&gt;&lt;s&gt;" &amp; SUBSTITUTE(L561," / ","&lt;/s&gt;&lt;s&gt;") &amp; "&lt;/s&gt;&lt;/t&gt;","(//s[contains(.,'DDR')])[1]"),"")</f>
        <v/>
      </c>
      <c r="N561" s="32" t="str">
        <f t="shared" si="26"/>
        <v/>
      </c>
      <c r="O561" s="42" t="e">
        <f>INDEX(Input!$D$2:$AC$500,
       MATCH(B561, Input!$J$2:$J$500, 0),
       MATCH("Disk Interface Type", Input!$D$1:$AC$1, 0))</f>
        <v>#N/A</v>
      </c>
      <c r="P561" s="42" t="str" cm="1">
        <f t="array" ref="P561">IFERROR(_xlfn.TEXTJOIN(", ", TRUE, _xlfn._xlws.FILTER(
    INDEX(Input!$D$2:$AC$500,,MATCH("Disk Capacity",Input!$D$1:$AC$1,0)),
    Input!$J$2:$J$500=B561
)), "")</f>
        <v/>
      </c>
      <c r="Q561" s="32" t="e">
        <f t="shared" si="25"/>
        <v>#N/A</v>
      </c>
      <c r="R561" s="42" t="e">
        <f>_xlfn.LET(_xlpm.Result,INDEX(Input!$D$2:$AC$500,
       MATCH(B561, Input!$J$2:$J$500, 0),
       MATCH("Capacity", Input!$D$1:$AC$1, 0)),IF(_xlpm.Result="","",_xlpm.Result))</f>
        <v>#N/A</v>
      </c>
      <c r="S561" s="42"/>
      <c r="T561" s="42"/>
      <c r="U561" s="42" t="str" cm="1">
        <f t="array" ref="U561">IFERROR(_xlfn.IFS(
S561="","",
--S561&lt;55,"Battery Defect",
--S561&lt;=69,"Battery D",
--S561&lt;=80,"Battery C",
--S561&gt;80,""
),"")</f>
        <v/>
      </c>
      <c r="V561" s="42" t="str" cm="1">
        <f t="array" ref="V561">IFERROR(_xlfn.IFS(
T561="","",
--T561&lt;55,"Battery Defect",
--T561&lt;=69,"Battery D",
--T561&lt;=80,"Battery C",
--T561&gt;80,""
),"")</f>
        <v/>
      </c>
      <c r="W561" s="42"/>
      <c r="X561" s="42"/>
      <c r="Y561" s="42"/>
      <c r="Z561" s="42"/>
      <c r="AA561" s="42"/>
      <c r="AB561" s="42"/>
      <c r="AC561" s="42"/>
      <c r="AD561" s="42"/>
      <c r="AE561" s="32" t="str">
        <f t="shared" si="24"/>
        <v/>
      </c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 t="str">
        <f>_xlfn.XLOOKUP(B562,Input!J:J,Input!G:G)&amp;""</f>
        <v/>
      </c>
      <c r="B562" s="32"/>
      <c r="C562" s="32" t="str">
        <f>_xlfn.XLOOKUP(B562,Input!J:J,Input!H:H)&amp;""</f>
        <v/>
      </c>
      <c r="D562" s="42"/>
      <c r="E562" s="32"/>
      <c r="F562" s="32"/>
      <c r="G562" s="32"/>
      <c r="H562" s="32"/>
      <c r="I562" s="32"/>
      <c r="J562" s="32"/>
      <c r="K562" s="42"/>
      <c r="L562" s="42"/>
      <c r="M562" s="42" t="str" cm="1">
        <f t="array" ref="M562">IFERROR(_xlfn.FILTERXML("&lt;t&gt;&lt;s&gt;" &amp; SUBSTITUTE(L562," / ","&lt;/s&gt;&lt;s&gt;") &amp; "&lt;/s&gt;&lt;/t&gt;","(//s[contains(.,'DDR')])[1]"),"")</f>
        <v/>
      </c>
      <c r="N562" s="32" t="str">
        <f t="shared" si="26"/>
        <v/>
      </c>
      <c r="O562" s="42" t="e">
        <f>INDEX(Input!$D$2:$AC$500,
       MATCH(B562, Input!$J$2:$J$500, 0),
       MATCH("Disk Interface Type", Input!$D$1:$AC$1, 0))</f>
        <v>#N/A</v>
      </c>
      <c r="P562" s="42" t="str" cm="1">
        <f t="array" ref="P562">IFERROR(_xlfn.TEXTJOIN(", ", TRUE, _xlfn._xlws.FILTER(
    INDEX(Input!$D$2:$AC$500,,MATCH("Disk Capacity",Input!$D$1:$AC$1,0)),
    Input!$J$2:$J$500=B562
)), "")</f>
        <v/>
      </c>
      <c r="Q562" s="32" t="e">
        <f t="shared" si="25"/>
        <v>#N/A</v>
      </c>
      <c r="R562" s="42" t="e">
        <f>_xlfn.LET(_xlpm.Result,INDEX(Input!$D$2:$AC$500,
       MATCH(B562, Input!$J$2:$J$500, 0),
       MATCH("Capacity", Input!$D$1:$AC$1, 0)),IF(_xlpm.Result="","",_xlpm.Result))</f>
        <v>#N/A</v>
      </c>
      <c r="S562" s="42"/>
      <c r="T562" s="42"/>
      <c r="U562" s="42" t="str" cm="1">
        <f t="array" ref="U562">IFERROR(_xlfn.IFS(
S562="","",
--S562&lt;55,"Battery Defect",
--S562&lt;=69,"Battery D",
--S562&lt;=80,"Battery C",
--S562&gt;80,""
),"")</f>
        <v/>
      </c>
      <c r="V562" s="42" t="str" cm="1">
        <f t="array" ref="V562">IFERROR(_xlfn.IFS(
T562="","",
--T562&lt;55,"Battery Defect",
--T562&lt;=69,"Battery D",
--T562&lt;=80,"Battery C",
--T562&gt;80,""
),"")</f>
        <v/>
      </c>
      <c r="W562" s="42"/>
      <c r="X562" s="42"/>
      <c r="Y562" s="42"/>
      <c r="Z562" s="42"/>
      <c r="AA562" s="42"/>
      <c r="AB562" s="42"/>
      <c r="AC562" s="42"/>
      <c r="AD562" s="42"/>
      <c r="AE562" s="32" t="str">
        <f t="shared" si="24"/>
        <v/>
      </c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 t="str">
        <f>_xlfn.XLOOKUP(B563,Input!J:J,Input!G:G)&amp;""</f>
        <v/>
      </c>
      <c r="B563" s="32"/>
      <c r="C563" s="32" t="str">
        <f>_xlfn.XLOOKUP(B563,Input!J:J,Input!H:H)&amp;""</f>
        <v/>
      </c>
      <c r="D563" s="42"/>
      <c r="E563" s="32"/>
      <c r="F563" s="32"/>
      <c r="G563" s="32"/>
      <c r="H563" s="32"/>
      <c r="I563" s="32"/>
      <c r="J563" s="32"/>
      <c r="K563" s="42"/>
      <c r="L563" s="42"/>
      <c r="M563" s="42" t="str" cm="1">
        <f t="array" ref="M563">IFERROR(_xlfn.FILTERXML("&lt;t&gt;&lt;s&gt;" &amp; SUBSTITUTE(L563," / ","&lt;/s&gt;&lt;s&gt;") &amp; "&lt;/s&gt;&lt;/t&gt;","(//s[contains(.,'DDR')])[1]"),"")</f>
        <v/>
      </c>
      <c r="N563" s="32" t="str">
        <f t="shared" si="26"/>
        <v/>
      </c>
      <c r="O563" s="42" t="e">
        <f>INDEX(Input!$D$2:$AC$500,
       MATCH(B563, Input!$J$2:$J$500, 0),
       MATCH("Disk Interface Type", Input!$D$1:$AC$1, 0))</f>
        <v>#N/A</v>
      </c>
      <c r="P563" s="42" t="str" cm="1">
        <f t="array" ref="P563">IFERROR(_xlfn.TEXTJOIN(", ", TRUE, _xlfn._xlws.FILTER(
    INDEX(Input!$D$2:$AC$500,,MATCH("Disk Capacity",Input!$D$1:$AC$1,0)),
    Input!$J$2:$J$500=B563
)), "")</f>
        <v/>
      </c>
      <c r="Q563" s="32" t="e">
        <f t="shared" si="25"/>
        <v>#N/A</v>
      </c>
      <c r="R563" s="42" t="e">
        <f>_xlfn.LET(_xlpm.Result,INDEX(Input!$D$2:$AC$500,
       MATCH(B563, Input!$J$2:$J$500, 0),
       MATCH("Capacity", Input!$D$1:$AC$1, 0)),IF(_xlpm.Result="","",_xlpm.Result))</f>
        <v>#N/A</v>
      </c>
      <c r="S563" s="42"/>
      <c r="T563" s="42"/>
      <c r="U563" s="42" t="str" cm="1">
        <f t="array" ref="U563">IFERROR(_xlfn.IFS(
S563="","",
--S563&lt;55,"Battery Defect",
--S563&lt;=69,"Battery D",
--S563&lt;=80,"Battery C",
--S563&gt;80,""
),"")</f>
        <v/>
      </c>
      <c r="V563" s="42" t="str" cm="1">
        <f t="array" ref="V563">IFERROR(_xlfn.IFS(
T563="","",
--T563&lt;55,"Battery Defect",
--T563&lt;=69,"Battery D",
--T563&lt;=80,"Battery C",
--T563&gt;80,""
),"")</f>
        <v/>
      </c>
      <c r="W563" s="42"/>
      <c r="X563" s="42"/>
      <c r="Y563" s="42"/>
      <c r="Z563" s="42"/>
      <c r="AA563" s="42"/>
      <c r="AB563" s="42"/>
      <c r="AC563" s="42"/>
      <c r="AD563" s="42"/>
      <c r="AE563" s="32" t="str">
        <f t="shared" si="24"/>
        <v/>
      </c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 t="str">
        <f>_xlfn.XLOOKUP(B564,Input!J:J,Input!G:G)&amp;""</f>
        <v/>
      </c>
      <c r="B564" s="32"/>
      <c r="C564" s="32" t="str">
        <f>_xlfn.XLOOKUP(B564,Input!J:J,Input!H:H)&amp;""</f>
        <v/>
      </c>
      <c r="D564" s="42"/>
      <c r="E564" s="32"/>
      <c r="F564" s="32"/>
      <c r="G564" s="32"/>
      <c r="H564" s="32"/>
      <c r="I564" s="32"/>
      <c r="J564" s="32"/>
      <c r="K564" s="42"/>
      <c r="L564" s="42"/>
      <c r="M564" s="42" t="str" cm="1">
        <f t="array" ref="M564">IFERROR(_xlfn.FILTERXML("&lt;t&gt;&lt;s&gt;" &amp; SUBSTITUTE(L564," / ","&lt;/s&gt;&lt;s&gt;") &amp; "&lt;/s&gt;&lt;/t&gt;","(//s[contains(.,'DDR')])[1]"),"")</f>
        <v/>
      </c>
      <c r="N564" s="32" t="str">
        <f t="shared" si="26"/>
        <v/>
      </c>
      <c r="O564" s="42" t="e">
        <f>INDEX(Input!$D$2:$AC$500,
       MATCH(B564, Input!$J$2:$J$500, 0),
       MATCH("Disk Interface Type", Input!$D$1:$AC$1, 0))</f>
        <v>#N/A</v>
      </c>
      <c r="P564" s="42" t="str" cm="1">
        <f t="array" ref="P564">IFERROR(_xlfn.TEXTJOIN(", ", TRUE, _xlfn._xlws.FILTER(
    INDEX(Input!$D$2:$AC$500,,MATCH("Disk Capacity",Input!$D$1:$AC$1,0)),
    Input!$J$2:$J$500=B564
)), "")</f>
        <v/>
      </c>
      <c r="Q564" s="32" t="e">
        <f t="shared" si="25"/>
        <v>#N/A</v>
      </c>
      <c r="R564" s="42" t="e">
        <f>_xlfn.LET(_xlpm.Result,INDEX(Input!$D$2:$AC$500,
       MATCH(B564, Input!$J$2:$J$500, 0),
       MATCH("Capacity", Input!$D$1:$AC$1, 0)),IF(_xlpm.Result="","",_xlpm.Result))</f>
        <v>#N/A</v>
      </c>
      <c r="S564" s="42"/>
      <c r="T564" s="42"/>
      <c r="U564" s="42" t="str" cm="1">
        <f t="array" ref="U564">IFERROR(_xlfn.IFS(
S564="","",
--S564&lt;55,"Battery Defect",
--S564&lt;=69,"Battery D",
--S564&lt;=80,"Battery C",
--S564&gt;80,""
),"")</f>
        <v/>
      </c>
      <c r="V564" s="42" t="str" cm="1">
        <f t="array" ref="V564">IFERROR(_xlfn.IFS(
T564="","",
--T564&lt;55,"Battery Defect",
--T564&lt;=69,"Battery D",
--T564&lt;=80,"Battery C",
--T564&gt;80,""
),"")</f>
        <v/>
      </c>
      <c r="W564" s="42"/>
      <c r="X564" s="42"/>
      <c r="Y564" s="42"/>
      <c r="Z564" s="42"/>
      <c r="AA564" s="42"/>
      <c r="AB564" s="42"/>
      <c r="AC564" s="42"/>
      <c r="AD564" s="42"/>
      <c r="AE564" s="32" t="str">
        <f t="shared" si="24"/>
        <v/>
      </c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 t="str">
        <f>_xlfn.XLOOKUP(B565,Input!J:J,Input!G:G)&amp;""</f>
        <v/>
      </c>
      <c r="B565" s="32"/>
      <c r="C565" s="32" t="str">
        <f>_xlfn.XLOOKUP(B565,Input!J:J,Input!H:H)&amp;""</f>
        <v/>
      </c>
      <c r="D565" s="42"/>
      <c r="E565" s="32"/>
      <c r="F565" s="32"/>
      <c r="G565" s="32"/>
      <c r="H565" s="32"/>
      <c r="I565" s="32"/>
      <c r="J565" s="32"/>
      <c r="K565" s="42"/>
      <c r="L565" s="42"/>
      <c r="M565" s="42" t="str" cm="1">
        <f t="array" ref="M565">IFERROR(_xlfn.FILTERXML("&lt;t&gt;&lt;s&gt;" &amp; SUBSTITUTE(L565," / ","&lt;/s&gt;&lt;s&gt;") &amp; "&lt;/s&gt;&lt;/t&gt;","(//s[contains(.,'DDR')])[1]"),"")</f>
        <v/>
      </c>
      <c r="N565" s="32" t="str">
        <f t="shared" si="26"/>
        <v/>
      </c>
      <c r="O565" s="42" t="e">
        <f>INDEX(Input!$D$2:$AC$500,
       MATCH(B565, Input!$J$2:$J$500, 0),
       MATCH("Disk Interface Type", Input!$D$1:$AC$1, 0))</f>
        <v>#N/A</v>
      </c>
      <c r="P565" s="42" t="str" cm="1">
        <f t="array" ref="P565">IFERROR(_xlfn.TEXTJOIN(", ", TRUE, _xlfn._xlws.FILTER(
    INDEX(Input!$D$2:$AC$500,,MATCH("Disk Capacity",Input!$D$1:$AC$1,0)),
    Input!$J$2:$J$500=B565
)), "")</f>
        <v/>
      </c>
      <c r="Q565" s="32" t="e">
        <f t="shared" si="25"/>
        <v>#N/A</v>
      </c>
      <c r="R565" s="42"/>
      <c r="S565" s="42"/>
      <c r="T565" s="42"/>
      <c r="U565" s="42" t="str" cm="1">
        <f t="array" ref="U565">IFERROR(_xlfn.IFS(
S565="","",
--S565&lt;55,"Battery Defect",
--S565&lt;=69,"Battery D",
--S565&lt;=80,"Battery C",
--S565&gt;80,""
),"")</f>
        <v/>
      </c>
      <c r="V565" s="42" t="str" cm="1">
        <f t="array" ref="V565">IFERROR(_xlfn.IFS(
T565="","",
--T565&lt;55,"Battery Defect",
--T565&lt;=69,"Battery D",
--T565&lt;=80,"Battery C",
--T565&gt;80,""
),"")</f>
        <v/>
      </c>
      <c r="W565" s="42"/>
      <c r="X565" s="42"/>
      <c r="Y565" s="42"/>
      <c r="Z565" s="42"/>
      <c r="AA565" s="42"/>
      <c r="AB565" s="42"/>
      <c r="AC565" s="42"/>
      <c r="AD565" s="42"/>
      <c r="AE565" s="32" t="str">
        <f t="shared" si="24"/>
        <v/>
      </c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 t="str">
        <f>_xlfn.XLOOKUP(B566,Input!J:J,Input!G:G)&amp;""</f>
        <v/>
      </c>
      <c r="B566" s="32"/>
      <c r="C566" s="32" t="str">
        <f>_xlfn.XLOOKUP(B566,Input!J:J,Input!H:H)&amp;""</f>
        <v/>
      </c>
      <c r="D566" s="42"/>
      <c r="E566" s="32"/>
      <c r="F566" s="32"/>
      <c r="G566" s="32"/>
      <c r="H566" s="32"/>
      <c r="I566" s="32"/>
      <c r="J566" s="32"/>
      <c r="K566" s="42"/>
      <c r="L566" s="42"/>
      <c r="M566" s="42" t="str" cm="1">
        <f t="array" ref="M566">IFERROR(_xlfn.FILTERXML("&lt;t&gt;&lt;s&gt;" &amp; SUBSTITUTE(L566," / ","&lt;/s&gt;&lt;s&gt;") &amp; "&lt;/s&gt;&lt;/t&gt;","(//s[contains(.,'DDR')])[1]"),"")</f>
        <v/>
      </c>
      <c r="N566" s="32" t="str">
        <f t="shared" si="26"/>
        <v/>
      </c>
      <c r="O566" s="42" t="e">
        <f>INDEX(Input!$D$2:$AC$500,
       MATCH(B566, Input!$J$2:$J$500, 0),
       MATCH("Disk Interface Type", Input!$D$1:$AC$1, 0))</f>
        <v>#N/A</v>
      </c>
      <c r="P566" s="42" t="str" cm="1">
        <f t="array" ref="P566">IFERROR(_xlfn.TEXTJOIN(", ", TRUE, _xlfn._xlws.FILTER(
    INDEX(Input!$D$2:$AC$500,,MATCH("Disk Capacity",Input!$D$1:$AC$1,0)),
    Input!$J$2:$J$500=B566
)), "")</f>
        <v/>
      </c>
      <c r="Q566" s="32" t="e">
        <f t="shared" si="25"/>
        <v>#N/A</v>
      </c>
      <c r="R566" s="42"/>
      <c r="S566" s="42"/>
      <c r="T566" s="42"/>
      <c r="U566" s="42" t="str" cm="1">
        <f t="array" ref="U566">IFERROR(_xlfn.IFS(
S566="","",
--S566&lt;55,"Battery Defect",
--S566&lt;=69,"Battery D",
--S566&lt;=80,"Battery C",
--S566&gt;80,""
),"")</f>
        <v/>
      </c>
      <c r="V566" s="42" t="str" cm="1">
        <f t="array" ref="V566">IFERROR(_xlfn.IFS(
T566="","",
--T566&lt;55,"Battery Defect",
--T566&lt;=69,"Battery D",
--T566&lt;=80,"Battery C",
--T566&gt;80,""
),"")</f>
        <v/>
      </c>
      <c r="W566" s="42"/>
      <c r="X566" s="42"/>
      <c r="Y566" s="42"/>
      <c r="Z566" s="42"/>
      <c r="AA566" s="42"/>
      <c r="AB566" s="42"/>
      <c r="AC566" s="42"/>
      <c r="AD566" s="42"/>
      <c r="AE566" s="32" t="str">
        <f t="shared" si="24"/>
        <v/>
      </c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 t="str">
        <f>_xlfn.XLOOKUP(B567,Input!J:J,Input!G:G)&amp;""</f>
        <v/>
      </c>
      <c r="B567" s="32"/>
      <c r="C567" s="32" t="str">
        <f>_xlfn.XLOOKUP(B567,Input!J:J,Input!H:H)&amp;""</f>
        <v/>
      </c>
      <c r="D567" s="42"/>
      <c r="E567" s="32"/>
      <c r="F567" s="32"/>
      <c r="G567" s="32"/>
      <c r="H567" s="32"/>
      <c r="I567" s="32"/>
      <c r="J567" s="32"/>
      <c r="K567" s="42"/>
      <c r="L567" s="42"/>
      <c r="M567" s="42" t="str" cm="1">
        <f t="array" ref="M567">IFERROR(_xlfn.FILTERXML("&lt;t&gt;&lt;s&gt;" &amp; SUBSTITUTE(L567," / ","&lt;/s&gt;&lt;s&gt;") &amp; "&lt;/s&gt;&lt;/t&gt;","(//s[contains(.,'DDR')])[1]"),"")</f>
        <v/>
      </c>
      <c r="N567" s="32" t="str">
        <f t="shared" si="26"/>
        <v/>
      </c>
      <c r="O567" s="42" t="e">
        <f>INDEX(Input!$D$2:$AC$500,
       MATCH(B567, Input!$J$2:$J$500, 0),
       MATCH("Disk Interface Type", Input!$D$1:$AC$1, 0))</f>
        <v>#N/A</v>
      </c>
      <c r="P567" s="42"/>
      <c r="Q567" s="32" t="e">
        <f t="shared" si="25"/>
        <v>#N/A</v>
      </c>
      <c r="R567" s="42"/>
      <c r="S567" s="42"/>
      <c r="T567" s="42"/>
      <c r="U567" s="42" t="str" cm="1">
        <f t="array" ref="U567">IFERROR(_xlfn.IFS(
S567="","",
--S567&lt;55,"Battery Defect",
--S567&lt;=69,"Battery D",
--S567&lt;=80,"Battery C",
--S567&gt;80,""
),"")</f>
        <v/>
      </c>
      <c r="V567" s="42" t="str" cm="1">
        <f t="array" ref="V567">IFERROR(_xlfn.IFS(
T567="","",
--T567&lt;55,"Battery Defect",
--T567&lt;=69,"Battery D",
--T567&lt;=80,"Battery C",
--T567&gt;80,""
),"")</f>
        <v/>
      </c>
      <c r="W567" s="42"/>
      <c r="X567" s="42"/>
      <c r="Y567" s="42"/>
      <c r="Z567" s="42"/>
      <c r="AA567" s="42"/>
      <c r="AB567" s="42"/>
      <c r="AC567" s="42"/>
      <c r="AD567" s="42"/>
      <c r="AE567" s="32" t="str">
        <f t="shared" si="24"/>
        <v/>
      </c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 t="str">
        <f>_xlfn.XLOOKUP(B568,Input!J:J,Input!G:G)&amp;""</f>
        <v/>
      </c>
      <c r="B568" s="32"/>
      <c r="C568" s="32" t="str">
        <f>_xlfn.XLOOKUP(B568,Input!J:J,Input!H:H)&amp;""</f>
        <v/>
      </c>
      <c r="D568" s="42"/>
      <c r="E568" s="32"/>
      <c r="F568" s="32"/>
      <c r="G568" s="32"/>
      <c r="H568" s="32"/>
      <c r="I568" s="32"/>
      <c r="J568" s="32"/>
      <c r="K568" s="42"/>
      <c r="L568" s="42"/>
      <c r="M568" s="42" t="str" cm="1">
        <f t="array" ref="M568">IFERROR(_xlfn.FILTERXML("&lt;t&gt;&lt;s&gt;" &amp; SUBSTITUTE(L568," / ","&lt;/s&gt;&lt;s&gt;") &amp; "&lt;/s&gt;&lt;/t&gt;","(//s[contains(.,'DDR')])[1]"),"")</f>
        <v/>
      </c>
      <c r="N568" s="32" t="str">
        <f t="shared" si="26"/>
        <v/>
      </c>
      <c r="O568" s="42" t="e">
        <f>INDEX(Input!$D$2:$AC$500,
       MATCH(B568, Input!$J$2:$J$500, 0),
       MATCH("Disk Interface Type", Input!$D$1:$AC$1, 0))</f>
        <v>#N/A</v>
      </c>
      <c r="P568" s="42"/>
      <c r="Q568" s="32" t="e">
        <f t="shared" si="25"/>
        <v>#N/A</v>
      </c>
      <c r="R568" s="42"/>
      <c r="S568" s="42"/>
      <c r="T568" s="42"/>
      <c r="U568" s="42" t="str" cm="1">
        <f t="array" ref="U568">IFERROR(_xlfn.IFS(
S568="","",
--S568&lt;55,"Battery Defect",
--S568&lt;=69,"Battery D",
--S568&lt;=80,"Battery C",
--S568&gt;80,""
),"")</f>
        <v/>
      </c>
      <c r="V568" s="42" t="str" cm="1">
        <f t="array" ref="V568">IFERROR(_xlfn.IFS(
T568="","",
--T568&lt;55,"Battery Defect",
--T568&lt;=69,"Battery D",
--T568&lt;=80,"Battery C",
--T568&gt;80,""
),"")</f>
        <v/>
      </c>
      <c r="W568" s="42"/>
      <c r="X568" s="42"/>
      <c r="Y568" s="42"/>
      <c r="Z568" s="42"/>
      <c r="AA568" s="42"/>
      <c r="AB568" s="42"/>
      <c r="AC568" s="42"/>
      <c r="AD568" s="42"/>
      <c r="AE568" s="32" t="str">
        <f t="shared" si="24"/>
        <v/>
      </c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 t="str">
        <f>_xlfn.XLOOKUP(B569,Input!J:J,Input!G:G)&amp;""</f>
        <v/>
      </c>
      <c r="B569" s="32"/>
      <c r="C569" s="32" t="str">
        <f>_xlfn.XLOOKUP(B569,Input!J:J,Input!H:H)&amp;""</f>
        <v/>
      </c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 t="str">
        <f t="shared" si="26"/>
        <v/>
      </c>
      <c r="O569" s="42" t="e">
        <f>INDEX(Input!$D$2:$AC$500,
       MATCH(B569, Input!$J$2:$J$500, 0),
       MATCH("Disk Interface Type", Input!$D$1:$AC$1, 0))</f>
        <v>#N/A</v>
      </c>
      <c r="P569" s="42"/>
      <c r="Q569" s="32" t="e">
        <f t="shared" si="25"/>
        <v>#N/A</v>
      </c>
      <c r="R569" s="42"/>
      <c r="S569" s="42"/>
      <c r="T569" s="42"/>
      <c r="U569" s="42" t="str" cm="1">
        <f t="array" ref="U569">IFERROR(_xlfn.IFS(
S569="","",
--S569&lt;55,"Battery Defect",
--S569&lt;=69,"Battery D",
--S569&lt;=80,"Battery C",
--S569&gt;80,""
),"")</f>
        <v/>
      </c>
      <c r="V569" s="42" t="str" cm="1">
        <f t="array" ref="V569">IFERROR(_xlfn.IFS(
T569="","",
--T569&lt;55,"Battery Defect",
--T569&lt;=69,"Battery D",
--T569&lt;=80,"Battery C",
--T569&gt;80,""
),"")</f>
        <v/>
      </c>
      <c r="W569" s="42"/>
      <c r="X569" s="42"/>
      <c r="Y569" s="42"/>
      <c r="Z569" s="42"/>
      <c r="AA569" s="42"/>
      <c r="AB569" s="42"/>
      <c r="AC569" s="42"/>
      <c r="AD569" s="42"/>
      <c r="AE569" s="32" t="str">
        <f t="shared" si="24"/>
        <v/>
      </c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 t="str">
        <f>_xlfn.XLOOKUP(B570,Input!J:J,Input!G:G)&amp;""</f>
        <v/>
      </c>
      <c r="B570" s="32"/>
      <c r="C570" s="32" t="str">
        <f>_xlfn.XLOOKUP(B570,Input!J:J,Input!H:H)&amp;""</f>
        <v/>
      </c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 t="str">
        <f t="shared" si="26"/>
        <v/>
      </c>
      <c r="O570" s="42" t="e">
        <f>INDEX(Input!$D$2:$AC$500,
       MATCH(B570, Input!$J$2:$J$500, 0),
       MATCH("Disk Interface Type", Input!$D$1:$AC$1, 0))</f>
        <v>#N/A</v>
      </c>
      <c r="P570" s="42"/>
      <c r="Q570" s="32"/>
      <c r="R570" s="42"/>
      <c r="S570" s="42"/>
      <c r="T570" s="42"/>
      <c r="U570" s="42" t="str" cm="1">
        <f t="array" ref="U570">IFERROR(_xlfn.IFS(
S570="","",
--S570&lt;55,"Battery Defect",
--S570&lt;=69,"Battery D",
--S570&lt;=80,"Battery C",
--S570&gt;80,""
),"")</f>
        <v/>
      </c>
      <c r="V570" s="42" t="str" cm="1">
        <f t="array" ref="V570">IFERROR(_xlfn.IFS(
T570="","",
--T570&lt;55,"Battery Defect",
--T570&lt;=69,"Battery D",
--T570&lt;=80,"Battery C",
--T570&gt;80,""
),"")</f>
        <v/>
      </c>
      <c r="W570" s="42"/>
      <c r="X570" s="42"/>
      <c r="Y570" s="42"/>
      <c r="Z570" s="42"/>
      <c r="AA570" s="42"/>
      <c r="AB570" s="42"/>
      <c r="AC570" s="42"/>
      <c r="AD570" s="42"/>
      <c r="AE570" s="32" t="str">
        <f t="shared" si="24"/>
        <v/>
      </c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 t="str">
        <f>_xlfn.XLOOKUP(B571,Input!J:J,Input!G:G)&amp;""</f>
        <v/>
      </c>
      <c r="B571" s="32"/>
      <c r="C571" s="32" t="str">
        <f>_xlfn.XLOOKUP(B571,Input!J:J,Input!H:H)&amp;""</f>
        <v/>
      </c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 t="str">
        <f t="shared" si="26"/>
        <v/>
      </c>
      <c r="O571" s="42" t="e">
        <f>INDEX(Input!$D$2:$AC$500,
       MATCH(B571, Input!$J$2:$J$500, 0),
       MATCH("Disk Interface Type", Input!$D$1:$AC$1, 0))</f>
        <v>#N/A</v>
      </c>
      <c r="P571" s="42"/>
      <c r="Q571" s="32"/>
      <c r="R571" s="42"/>
      <c r="S571" s="42"/>
      <c r="T571" s="42"/>
      <c r="U571" s="42" t="str" cm="1">
        <f t="array" ref="U571">IFERROR(_xlfn.IFS(
S571="","",
--S571&lt;55,"Battery Defect",
--S571&lt;=69,"Battery D",
--S571&lt;=80,"Battery C",
--S571&gt;80,""
),"")</f>
        <v/>
      </c>
      <c r="V571" s="42" t="str" cm="1">
        <f t="array" ref="V571">IFERROR(_xlfn.IFS(
T571="","",
--T571&lt;55,"Battery Defect",
--T571&lt;=69,"Battery D",
--T571&lt;=80,"Battery C",
--T571&gt;80,""
),"")</f>
        <v/>
      </c>
      <c r="W571" s="42"/>
      <c r="X571" s="42"/>
      <c r="Y571" s="42"/>
      <c r="Z571" s="42"/>
      <c r="AA571" s="42"/>
      <c r="AB571" s="42"/>
      <c r="AC571" s="42"/>
      <c r="AD571" s="42"/>
      <c r="AE571" s="32" t="str">
        <f t="shared" si="24"/>
        <v/>
      </c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 t="str">
        <f>_xlfn.XLOOKUP(B572,Input!J:J,Input!G:G)&amp;""</f>
        <v/>
      </c>
      <c r="B572" s="32"/>
      <c r="C572" s="32" t="str">
        <f>_xlfn.XLOOKUP(B572,Input!J:J,Input!H:H)&amp;""</f>
        <v/>
      </c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 t="str">
        <f t="shared" si="26"/>
        <v/>
      </c>
      <c r="O572" s="42" t="e">
        <f>INDEX(Input!$D$2:$AC$500,
       MATCH(B572, Input!$J$2:$J$500, 0),
       MATCH("Disk Interface Type", Input!$D$1:$AC$1, 0))</f>
        <v>#N/A</v>
      </c>
      <c r="P572" s="42"/>
      <c r="Q572" s="32"/>
      <c r="R572" s="42"/>
      <c r="S572" s="42"/>
      <c r="T572" s="42"/>
      <c r="U572" s="42" t="str" cm="1">
        <f t="array" ref="U572">IFERROR(_xlfn.IFS(
S572="","",
--S572&lt;55,"Battery Defect",
--S572&lt;=69,"Battery D",
--S572&lt;=80,"Battery C",
--S572&gt;80,""
),"")</f>
        <v/>
      </c>
      <c r="V572" s="42" t="str" cm="1">
        <f t="array" ref="V572">IFERROR(_xlfn.IFS(
T572="","",
--T572&lt;55,"Battery Defect",
--T572&lt;=69,"Battery D",
--T572&lt;=80,"Battery C",
--T572&gt;80,""
),"")</f>
        <v/>
      </c>
      <c r="W572" s="42"/>
      <c r="X572" s="42"/>
      <c r="Y572" s="42"/>
      <c r="Z572" s="42"/>
      <c r="AA572" s="42"/>
      <c r="AB572" s="42"/>
      <c r="AC572" s="42"/>
      <c r="AD572" s="42"/>
      <c r="AE572" s="32" t="str">
        <f t="shared" si="24"/>
        <v/>
      </c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 t="str">
        <f>_xlfn.XLOOKUP(B573,Input!J:J,Input!G:G)&amp;""</f>
        <v/>
      </c>
      <c r="B573" s="32"/>
      <c r="C573" s="32" t="str">
        <f>_xlfn.XLOOKUP(B573,Input!J:J,Input!H:H)&amp;""</f>
        <v/>
      </c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 t="str">
        <f t="shared" si="26"/>
        <v/>
      </c>
      <c r="O573" s="42"/>
      <c r="P573" s="42"/>
      <c r="Q573" s="32"/>
      <c r="R573" s="42"/>
      <c r="S573" s="42"/>
      <c r="T573" s="42"/>
      <c r="U573" s="42" t="str" cm="1">
        <f t="array" ref="U573">IFERROR(_xlfn.IFS(
S573="","",
--S573&lt;55,"Battery Defect",
--S573&lt;=69,"Battery D",
--S573&lt;=80,"Battery C",
--S573&gt;80,""
),"")</f>
        <v/>
      </c>
      <c r="V573" s="42" t="str" cm="1">
        <f t="array" ref="V573">IFERROR(_xlfn.IFS(
T573="","",
--T573&lt;55,"Battery Defect",
--T573&lt;=69,"Battery D",
--T573&lt;=80,"Battery C",
--T573&gt;80,""
),"")</f>
        <v/>
      </c>
      <c r="W573" s="42"/>
      <c r="X573" s="42"/>
      <c r="Y573" s="42"/>
      <c r="Z573" s="42"/>
      <c r="AA573" s="42"/>
      <c r="AB573" s="42"/>
      <c r="AC573" s="42"/>
      <c r="AD573" s="42"/>
      <c r="AE573" s="32" t="str">
        <f t="shared" si="24"/>
        <v/>
      </c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 t="str">
        <f>_xlfn.XLOOKUP(B574,Input!J:J,Input!G:G)&amp;""</f>
        <v/>
      </c>
      <c r="B574" s="32"/>
      <c r="C574" s="32" t="str">
        <f>_xlfn.XLOOKUP(B574,Input!J:J,Input!H:H)&amp;""</f>
        <v/>
      </c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 t="str">
        <f t="shared" si="26"/>
        <v/>
      </c>
      <c r="O574" s="42"/>
      <c r="P574" s="42"/>
      <c r="Q574" s="32"/>
      <c r="R574" s="42"/>
      <c r="S574" s="42"/>
      <c r="T574" s="42"/>
      <c r="U574" s="42" t="str" cm="1">
        <f t="array" ref="U574">IFERROR(_xlfn.IFS(
S574="","",
--S574&lt;55,"Battery Defect",
--S574&lt;=69,"Battery D",
--S574&lt;=80,"Battery C",
--S574&gt;80,""
),"")</f>
        <v/>
      </c>
      <c r="V574" s="42" t="str" cm="1">
        <f t="array" ref="V574">IFERROR(_xlfn.IFS(
T574="","",
--T574&lt;55,"Battery Defect",
--T574&lt;=69,"Battery D",
--T574&lt;=80,"Battery C",
--T574&gt;80,""
),"")</f>
        <v/>
      </c>
      <c r="W574" s="42"/>
      <c r="X574" s="42"/>
      <c r="Y574" s="42"/>
      <c r="Z574" s="42"/>
      <c r="AA574" s="42"/>
      <c r="AB574" s="42"/>
      <c r="AC574" s="42"/>
      <c r="AD574" s="42"/>
      <c r="AE574" s="32" t="str">
        <f t="shared" si="24"/>
        <v/>
      </c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 t="str">
        <f>_xlfn.XLOOKUP(B575,Input!J:J,Input!G:G)&amp;""</f>
        <v/>
      </c>
      <c r="B575" s="32"/>
      <c r="C575" s="32" t="str">
        <f>_xlfn.XLOOKUP(B575,Input!J:J,Input!H:H)&amp;""</f>
        <v/>
      </c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 t="str">
        <f t="shared" si="26"/>
        <v/>
      </c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 t="str">
        <f>_xlfn.XLOOKUP(B576,Input!J:J,Input!G:G)&amp;""</f>
        <v/>
      </c>
      <c r="B576" s="32"/>
      <c r="C576" s="32" t="str">
        <f>_xlfn.XLOOKUP(B576,Input!J:J,Input!H:H)&amp;""</f>
        <v/>
      </c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 t="str">
        <f t="shared" si="26"/>
        <v/>
      </c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 t="str">
        <f>_xlfn.XLOOKUP(B577,Input!J:J,Input!G:G)&amp;""</f>
        <v/>
      </c>
      <c r="C577" s="32" t="str">
        <f>_xlfn.XLOOKUP(B577,Input!J:J,Input!H:H)&amp;""</f>
        <v/>
      </c>
      <c r="N577" s="32" t="str">
        <f t="shared" si="26"/>
        <v/>
      </c>
    </row>
    <row r="578" spans="1:14">
      <c r="A578" s="32" t="str">
        <f>_xlfn.XLOOKUP(B578,Input!J:J,Input!G:G)&amp;""</f>
        <v/>
      </c>
      <c r="C578" s="32" t="str">
        <f>_xlfn.XLOOKUP(B578,Input!J:J,Input!H:H)&amp;""</f>
        <v/>
      </c>
      <c r="N578" s="32" t="str">
        <f t="shared" si="26"/>
        <v/>
      </c>
    </row>
    <row r="579" spans="1:14">
      <c r="A579" s="32" t="str">
        <f>_xlfn.XLOOKUP(B579,Input!J:J,Input!G:G)&amp;""</f>
        <v/>
      </c>
      <c r="C579" s="32" t="str">
        <f>_xlfn.XLOOKUP(B579,Input!J:J,Input!H:H)&amp;""</f>
        <v/>
      </c>
      <c r="N579" s="32" t="str">
        <f t="shared" si="26"/>
        <v/>
      </c>
    </row>
    <row r="580" spans="1:14">
      <c r="A580" s="32" t="str">
        <f>_xlfn.XLOOKUP(B580,Input!J:J,Input!G:G)&amp;""</f>
        <v/>
      </c>
      <c r="C580" s="32" t="str">
        <f>_xlfn.XLOOKUP(B580,Input!J:J,Input!H:H)&amp;""</f>
        <v/>
      </c>
      <c r="N580" s="32" t="str">
        <f t="shared" ref="N580:N643" si="27">_xlfn.TEXTJOIN(" ",TRUE,SUBSTITUTE(K580,"i",""),M580)</f>
        <v/>
      </c>
    </row>
    <row r="581" spans="1:14">
      <c r="A581" s="32" t="str">
        <f>_xlfn.XLOOKUP(B581,Input!J:J,Input!G:G)&amp;""</f>
        <v/>
      </c>
      <c r="C581" s="32" t="str">
        <f>_xlfn.XLOOKUP(B581,Input!J:J,Input!H:H)&amp;""</f>
        <v/>
      </c>
      <c r="N581" s="32" t="str">
        <f t="shared" si="27"/>
        <v/>
      </c>
    </row>
    <row r="582" spans="1:14">
      <c r="A582" s="32" t="str">
        <f>_xlfn.XLOOKUP(B582,Input!J:J,Input!G:G)&amp;""</f>
        <v/>
      </c>
      <c r="C582" s="32" t="str">
        <f>_xlfn.XLOOKUP(B582,Input!J:J,Input!H:H)&amp;""</f>
        <v/>
      </c>
      <c r="N582" s="32" t="str">
        <f t="shared" si="27"/>
        <v/>
      </c>
    </row>
    <row r="583" spans="1:14">
      <c r="A583" s="32" t="str">
        <f>_xlfn.XLOOKUP(B583,Input!J:J,Input!G:G)&amp;""</f>
        <v/>
      </c>
      <c r="C583" s="32" t="str">
        <f>_xlfn.XLOOKUP(B583,Input!J:J,Input!H:H)&amp;""</f>
        <v/>
      </c>
      <c r="N583" s="32" t="str">
        <f t="shared" si="27"/>
        <v/>
      </c>
    </row>
    <row r="584" spans="1:14">
      <c r="A584" s="32" t="str">
        <f>_xlfn.XLOOKUP(B584,Input!J:J,Input!G:G)&amp;""</f>
        <v/>
      </c>
      <c r="C584" s="32" t="str">
        <f>_xlfn.XLOOKUP(B584,Input!J:J,Input!H:H)&amp;""</f>
        <v/>
      </c>
      <c r="N584" s="32" t="str">
        <f t="shared" si="27"/>
        <v/>
      </c>
    </row>
    <row r="585" spans="1:14">
      <c r="A585" s="32" t="str">
        <f>_xlfn.XLOOKUP(B585,Input!J:J,Input!G:G)&amp;""</f>
        <v/>
      </c>
      <c r="C585" s="32" t="str">
        <f>_xlfn.XLOOKUP(B585,Input!J:J,Input!H:H)&amp;""</f>
        <v/>
      </c>
      <c r="N585" s="32" t="str">
        <f t="shared" si="27"/>
        <v/>
      </c>
    </row>
    <row r="586" spans="1:14">
      <c r="A586" s="32" t="str">
        <f>_xlfn.XLOOKUP(B586,Input!J:J,Input!G:G)&amp;""</f>
        <v/>
      </c>
      <c r="C586" s="32" t="str">
        <f>_xlfn.XLOOKUP(B586,Input!J:J,Input!H:H)&amp;""</f>
        <v/>
      </c>
      <c r="N586" s="32" t="str">
        <f t="shared" si="27"/>
        <v/>
      </c>
    </row>
    <row r="587" spans="1:14">
      <c r="A587" s="32" t="str">
        <f>_xlfn.XLOOKUP(B587,Input!J:J,Input!G:G)&amp;""</f>
        <v/>
      </c>
      <c r="C587" s="32" t="str">
        <f>_xlfn.XLOOKUP(B587,Input!J:J,Input!H:H)&amp;""</f>
        <v/>
      </c>
      <c r="N587" s="32" t="str">
        <f t="shared" si="27"/>
        <v/>
      </c>
    </row>
    <row r="588" spans="1:14">
      <c r="A588" s="32" t="str">
        <f>_xlfn.XLOOKUP(B588,Input!J:J,Input!G:G)&amp;""</f>
        <v/>
      </c>
      <c r="C588" s="32" t="str">
        <f>_xlfn.XLOOKUP(B588,Input!J:J,Input!H:H)&amp;""</f>
        <v/>
      </c>
      <c r="N588" s="32" t="str">
        <f t="shared" si="27"/>
        <v/>
      </c>
    </row>
    <row r="589" spans="1:14">
      <c r="A589" s="32" t="str">
        <f>_xlfn.XLOOKUP(B589,Input!J:J,Input!G:G)&amp;""</f>
        <v/>
      </c>
      <c r="C589" s="32" t="str">
        <f>_xlfn.XLOOKUP(B589,Input!J:J,Input!H:H)&amp;""</f>
        <v/>
      </c>
      <c r="N589" s="32" t="str">
        <f t="shared" si="27"/>
        <v/>
      </c>
    </row>
    <row r="590" spans="1:14">
      <c r="A590" s="32" t="str">
        <f>_xlfn.XLOOKUP(B590,Input!J:J,Input!G:G)&amp;""</f>
        <v/>
      </c>
      <c r="C590" s="32" t="str">
        <f>_xlfn.XLOOKUP(B590,Input!J:J,Input!H:H)&amp;""</f>
        <v/>
      </c>
      <c r="N590" s="32" t="str">
        <f t="shared" si="27"/>
        <v/>
      </c>
    </row>
    <row r="591" spans="1:14">
      <c r="A591" s="32" t="str">
        <f>_xlfn.XLOOKUP(B591,Input!J:J,Input!G:G)&amp;""</f>
        <v/>
      </c>
      <c r="C591" s="32" t="str">
        <f>_xlfn.XLOOKUP(B591,Input!J:J,Input!H:H)&amp;""</f>
        <v/>
      </c>
      <c r="N591" s="32" t="str">
        <f t="shared" si="27"/>
        <v/>
      </c>
    </row>
    <row r="592" spans="1:14">
      <c r="A592" s="32" t="str">
        <f>_xlfn.XLOOKUP(B592,Input!J:J,Input!G:G)&amp;""</f>
        <v/>
      </c>
      <c r="C592" s="32" t="str">
        <f>_xlfn.XLOOKUP(B592,Input!J:J,Input!H:H)&amp;""</f>
        <v/>
      </c>
      <c r="N592" s="32" t="str">
        <f t="shared" si="27"/>
        <v/>
      </c>
    </row>
    <row r="593" spans="1:14">
      <c r="A593" s="32" t="str">
        <f>_xlfn.XLOOKUP(B593,Input!J:J,Input!G:G)&amp;""</f>
        <v/>
      </c>
      <c r="C593" s="32" t="str">
        <f>_xlfn.XLOOKUP(B593,Input!J:J,Input!H:H)&amp;""</f>
        <v/>
      </c>
      <c r="N593" s="32" t="str">
        <f t="shared" si="27"/>
        <v/>
      </c>
    </row>
    <row r="594" spans="1:14">
      <c r="A594" s="32" t="str">
        <f>_xlfn.XLOOKUP(B594,Input!J:J,Input!G:G)&amp;""</f>
        <v/>
      </c>
      <c r="C594" s="32" t="str">
        <f>_xlfn.XLOOKUP(B594,Input!J:J,Input!H:H)&amp;""</f>
        <v/>
      </c>
      <c r="N594" s="32" t="str">
        <f t="shared" si="27"/>
        <v/>
      </c>
    </row>
    <row r="595" spans="1:14">
      <c r="A595" s="32" t="str">
        <f>_xlfn.XLOOKUP(B595,Input!J:J,Input!G:G)&amp;""</f>
        <v/>
      </c>
      <c r="C595" s="32" t="str">
        <f>_xlfn.XLOOKUP(B595,Input!J:J,Input!H:H)&amp;""</f>
        <v/>
      </c>
      <c r="N595" s="32" t="str">
        <f t="shared" si="27"/>
        <v/>
      </c>
    </row>
    <row r="596" spans="1:14">
      <c r="A596" s="32" t="str">
        <f>_xlfn.XLOOKUP(B596,Input!J:J,Input!G:G)&amp;""</f>
        <v/>
      </c>
      <c r="C596" s="32" t="str">
        <f>_xlfn.XLOOKUP(B596,Input!J:J,Input!H:H)&amp;""</f>
        <v/>
      </c>
      <c r="N596" s="32" t="str">
        <f t="shared" si="27"/>
        <v/>
      </c>
    </row>
    <row r="597" spans="1:14">
      <c r="A597" s="32" t="str">
        <f>_xlfn.XLOOKUP(B597,Input!J:J,Input!G:G)&amp;""</f>
        <v/>
      </c>
      <c r="C597" s="32" t="str">
        <f>_xlfn.XLOOKUP(B597,Input!J:J,Input!H:H)&amp;""</f>
        <v/>
      </c>
      <c r="N597" s="32" t="str">
        <f t="shared" si="27"/>
        <v/>
      </c>
    </row>
    <row r="598" spans="1:14">
      <c r="A598" s="32" t="str">
        <f>_xlfn.XLOOKUP(B598,Input!J:J,Input!G:G)&amp;""</f>
        <v/>
      </c>
      <c r="C598" s="32" t="str">
        <f>_xlfn.XLOOKUP(B598,Input!J:J,Input!H:H)&amp;""</f>
        <v/>
      </c>
      <c r="N598" s="32" t="str">
        <f t="shared" si="27"/>
        <v/>
      </c>
    </row>
    <row r="599" spans="1:14">
      <c r="A599" s="32" t="str">
        <f>_xlfn.XLOOKUP(B599,Input!J:J,Input!G:G)&amp;""</f>
        <v/>
      </c>
      <c r="C599" s="32" t="str">
        <f>_xlfn.XLOOKUP(B599,Input!J:J,Input!H:H)&amp;""</f>
        <v/>
      </c>
      <c r="N599" s="32" t="str">
        <f t="shared" si="27"/>
        <v/>
      </c>
    </row>
    <row r="600" spans="1:14">
      <c r="A600" s="32" t="str">
        <f>_xlfn.XLOOKUP(B600,Input!J:J,Input!G:G)&amp;""</f>
        <v/>
      </c>
      <c r="C600" s="32" t="str">
        <f>_xlfn.XLOOKUP(B600,Input!J:J,Input!H:H)&amp;""</f>
        <v/>
      </c>
      <c r="N600" s="32" t="str">
        <f t="shared" si="27"/>
        <v/>
      </c>
    </row>
    <row r="601" spans="1:14">
      <c r="A601" s="32" t="str">
        <f>_xlfn.XLOOKUP(B601,Input!J:J,Input!G:G)&amp;""</f>
        <v/>
      </c>
      <c r="C601" s="32" t="str">
        <f>_xlfn.XLOOKUP(B601,Input!J:J,Input!H:H)&amp;""</f>
        <v/>
      </c>
      <c r="N601" s="32" t="str">
        <f t="shared" si="27"/>
        <v/>
      </c>
    </row>
    <row r="602" spans="1:14">
      <c r="A602" s="32" t="str">
        <f>_xlfn.XLOOKUP(B602,Input!J:J,Input!G:G)&amp;""</f>
        <v/>
      </c>
      <c r="C602" s="32" t="str">
        <f>_xlfn.XLOOKUP(B602,Input!J:J,Input!H:H)&amp;""</f>
        <v/>
      </c>
      <c r="N602" s="32" t="str">
        <f t="shared" si="27"/>
        <v/>
      </c>
    </row>
    <row r="603" spans="1:14">
      <c r="A603" s="32" t="str">
        <f>_xlfn.XLOOKUP(B603,Input!J:J,Input!G:G)&amp;""</f>
        <v/>
      </c>
      <c r="C603" s="32" t="str">
        <f>_xlfn.XLOOKUP(B603,Input!J:J,Input!H:H)&amp;""</f>
        <v/>
      </c>
      <c r="N603" s="32" t="str">
        <f t="shared" si="27"/>
        <v/>
      </c>
    </row>
    <row r="604" spans="1:14">
      <c r="A604" s="32" t="str">
        <f>_xlfn.XLOOKUP(B604,Input!J:J,Input!G:G)&amp;""</f>
        <v/>
      </c>
      <c r="C604" s="32" t="str">
        <f>_xlfn.XLOOKUP(B604,Input!J:J,Input!H:H)&amp;""</f>
        <v/>
      </c>
      <c r="N604" s="32" t="str">
        <f t="shared" si="27"/>
        <v/>
      </c>
    </row>
    <row r="605" spans="1:14">
      <c r="A605" s="32" t="str">
        <f>_xlfn.XLOOKUP(B605,Input!J:J,Input!G:G)&amp;""</f>
        <v/>
      </c>
      <c r="C605" s="32" t="str">
        <f>_xlfn.XLOOKUP(B605,Input!J:J,Input!H:H)&amp;""</f>
        <v/>
      </c>
      <c r="N605" s="32" t="str">
        <f t="shared" si="27"/>
        <v/>
      </c>
    </row>
    <row r="606" spans="1:14">
      <c r="A606" s="32" t="str">
        <f>_xlfn.XLOOKUP(B606,Input!J:J,Input!G:G)&amp;""</f>
        <v/>
      </c>
      <c r="C606" s="32" t="str">
        <f>_xlfn.XLOOKUP(B606,Input!J:J,Input!H:H)&amp;""</f>
        <v/>
      </c>
      <c r="N606" s="32" t="str">
        <f t="shared" si="27"/>
        <v/>
      </c>
    </row>
    <row r="607" spans="1:14">
      <c r="A607" s="32" t="str">
        <f>_xlfn.XLOOKUP(B607,Input!J:J,Input!G:G)&amp;""</f>
        <v/>
      </c>
      <c r="C607" s="32" t="str">
        <f>_xlfn.XLOOKUP(B607,Input!J:J,Input!H:H)&amp;""</f>
        <v/>
      </c>
      <c r="N607" s="32" t="str">
        <f t="shared" si="27"/>
        <v/>
      </c>
    </row>
    <row r="608" spans="1:14">
      <c r="A608" s="32" t="str">
        <f>_xlfn.XLOOKUP(B608,Input!J:J,Input!G:G)&amp;""</f>
        <v/>
      </c>
      <c r="C608" s="32" t="str">
        <f>_xlfn.XLOOKUP(B608,Input!J:J,Input!H:H)&amp;""</f>
        <v/>
      </c>
      <c r="N608" s="32" t="str">
        <f t="shared" si="27"/>
        <v/>
      </c>
    </row>
    <row r="609" spans="1:14">
      <c r="A609" s="32" t="str">
        <f>_xlfn.XLOOKUP(B609,Input!J:J,Input!G:G)&amp;""</f>
        <v/>
      </c>
      <c r="C609" s="32" t="str">
        <f>_xlfn.XLOOKUP(B609,Input!J:J,Input!H:H)&amp;""</f>
        <v/>
      </c>
      <c r="N609" s="32" t="str">
        <f t="shared" si="27"/>
        <v/>
      </c>
    </row>
    <row r="610" spans="1:14">
      <c r="A610" s="32" t="str">
        <f>_xlfn.XLOOKUP(B610,Input!J:J,Input!G:G)&amp;""</f>
        <v/>
      </c>
      <c r="C610" s="32" t="str">
        <f>_xlfn.XLOOKUP(B610,Input!J:J,Input!H:H)&amp;""</f>
        <v/>
      </c>
      <c r="N610" s="32" t="str">
        <f t="shared" si="27"/>
        <v/>
      </c>
    </row>
    <row r="611" spans="1:14">
      <c r="A611" s="32" t="str">
        <f>_xlfn.XLOOKUP(B611,Input!J:J,Input!G:G)&amp;""</f>
        <v/>
      </c>
      <c r="C611" s="32" t="str">
        <f>_xlfn.XLOOKUP(B611,Input!J:J,Input!H:H)&amp;""</f>
        <v/>
      </c>
      <c r="N611" s="32" t="str">
        <f t="shared" si="27"/>
        <v/>
      </c>
    </row>
    <row r="612" spans="1:14">
      <c r="A612" s="32" t="str">
        <f>_xlfn.XLOOKUP(B612,Input!J:J,Input!G:G)&amp;""</f>
        <v/>
      </c>
      <c r="C612" s="32" t="str">
        <f>_xlfn.XLOOKUP(B612,Input!J:J,Input!H:H)&amp;""</f>
        <v/>
      </c>
      <c r="N612" s="32" t="str">
        <f t="shared" si="27"/>
        <v/>
      </c>
    </row>
    <row r="613" spans="1:14">
      <c r="A613" s="32" t="str">
        <f>_xlfn.XLOOKUP(B613,Input!J:J,Input!G:G)&amp;""</f>
        <v/>
      </c>
      <c r="C613" s="32" t="str">
        <f>_xlfn.XLOOKUP(B613,Input!J:J,Input!H:H)&amp;""</f>
        <v/>
      </c>
      <c r="N613" s="32" t="str">
        <f t="shared" si="27"/>
        <v/>
      </c>
    </row>
    <row r="614" spans="1:14">
      <c r="A614" s="32" t="str">
        <f>_xlfn.XLOOKUP(B614,Input!J:J,Input!G:G)&amp;""</f>
        <v/>
      </c>
      <c r="C614" s="32" t="str">
        <f>_xlfn.XLOOKUP(B614,Input!J:J,Input!H:H)&amp;""</f>
        <v/>
      </c>
      <c r="N614" s="32" t="str">
        <f t="shared" si="27"/>
        <v/>
      </c>
    </row>
    <row r="615" spans="1:14">
      <c r="A615" s="32" t="str">
        <f>_xlfn.XLOOKUP(B615,Input!J:J,Input!G:G)&amp;""</f>
        <v/>
      </c>
      <c r="C615" s="32" t="str">
        <f>_xlfn.XLOOKUP(B615,Input!J:J,Input!H:H)&amp;""</f>
        <v/>
      </c>
      <c r="N615" s="32" t="str">
        <f t="shared" si="27"/>
        <v/>
      </c>
    </row>
    <row r="616" spans="1:14">
      <c r="A616" s="32" t="str">
        <f>_xlfn.XLOOKUP(B616,Input!J:J,Input!G:G)&amp;""</f>
        <v/>
      </c>
      <c r="C616" s="32" t="str">
        <f>_xlfn.XLOOKUP(B616,Input!J:J,Input!H:H)&amp;""</f>
        <v/>
      </c>
      <c r="N616" s="32" t="str">
        <f t="shared" si="27"/>
        <v/>
      </c>
    </row>
    <row r="617" spans="1:14">
      <c r="A617" s="32" t="str">
        <f>_xlfn.XLOOKUP(B617,Input!J:J,Input!G:G)&amp;""</f>
        <v/>
      </c>
      <c r="C617" s="32" t="str">
        <f>_xlfn.XLOOKUP(B617,Input!J:J,Input!H:H)&amp;""</f>
        <v/>
      </c>
      <c r="N617" s="32" t="str">
        <f t="shared" si="27"/>
        <v/>
      </c>
    </row>
    <row r="618" spans="1:14">
      <c r="A618" s="32" t="str">
        <f>_xlfn.XLOOKUP(B618,Input!J:J,Input!G:G)&amp;""</f>
        <v/>
      </c>
      <c r="C618" s="32" t="str">
        <f>_xlfn.XLOOKUP(B618,Input!J:J,Input!H:H)&amp;""</f>
        <v/>
      </c>
      <c r="N618" s="32" t="str">
        <f t="shared" si="27"/>
        <v/>
      </c>
    </row>
    <row r="619" spans="1:14">
      <c r="A619" s="32" t="str">
        <f>_xlfn.XLOOKUP(B619,Input!J:J,Input!G:G)&amp;""</f>
        <v/>
      </c>
      <c r="C619" s="32" t="str">
        <f>_xlfn.XLOOKUP(B619,Input!J:J,Input!H:H)&amp;""</f>
        <v/>
      </c>
      <c r="N619" s="32" t="str">
        <f t="shared" si="27"/>
        <v/>
      </c>
    </row>
    <row r="620" spans="1:14">
      <c r="A620" s="32" t="str">
        <f>_xlfn.XLOOKUP(B620,Input!J:J,Input!G:G)&amp;""</f>
        <v/>
      </c>
      <c r="C620" s="32" t="str">
        <f>_xlfn.XLOOKUP(B620,Input!J:J,Input!H:H)&amp;""</f>
        <v/>
      </c>
      <c r="N620" s="32" t="str">
        <f t="shared" si="27"/>
        <v/>
      </c>
    </row>
    <row r="621" spans="1:14">
      <c r="A621" s="32" t="str">
        <f>_xlfn.XLOOKUP(B621,Input!J:J,Input!G:G)&amp;""</f>
        <v/>
      </c>
      <c r="C621" s="32" t="str">
        <f>_xlfn.XLOOKUP(B621,Input!J:J,Input!H:H)&amp;""</f>
        <v/>
      </c>
      <c r="N621" s="32" t="str">
        <f t="shared" si="27"/>
        <v/>
      </c>
    </row>
    <row r="622" spans="1:14">
      <c r="A622" s="32" t="str">
        <f>_xlfn.XLOOKUP(B622,Input!J:J,Input!G:G)&amp;""</f>
        <v/>
      </c>
      <c r="C622" s="32" t="str">
        <f>_xlfn.XLOOKUP(B622,Input!J:J,Input!H:H)&amp;""</f>
        <v/>
      </c>
      <c r="N622" s="32" t="str">
        <f t="shared" si="27"/>
        <v/>
      </c>
    </row>
    <row r="623" spans="1:14">
      <c r="A623" s="32" t="str">
        <f>_xlfn.XLOOKUP(B623,Input!J:J,Input!G:G)&amp;""</f>
        <v/>
      </c>
      <c r="C623" s="32" t="str">
        <f>_xlfn.XLOOKUP(B623,Input!J:J,Input!H:H)&amp;""</f>
        <v/>
      </c>
      <c r="N623" s="32" t="str">
        <f t="shared" si="27"/>
        <v/>
      </c>
    </row>
    <row r="624" spans="1:14">
      <c r="A624" s="32" t="str">
        <f>_xlfn.XLOOKUP(B624,Input!J:J,Input!G:G)&amp;""</f>
        <v/>
      </c>
      <c r="C624" s="32" t="str">
        <f>_xlfn.XLOOKUP(B624,Input!J:J,Input!H:H)&amp;""</f>
        <v/>
      </c>
      <c r="N624" s="32" t="str">
        <f t="shared" si="27"/>
        <v/>
      </c>
    </row>
    <row r="625" spans="1:14">
      <c r="A625" s="32" t="str">
        <f>_xlfn.XLOOKUP(B625,Input!J:J,Input!G:G)&amp;""</f>
        <v/>
      </c>
      <c r="C625" s="32" t="str">
        <f>_xlfn.XLOOKUP(B625,Input!J:J,Input!H:H)&amp;""</f>
        <v/>
      </c>
      <c r="N625" s="32" t="str">
        <f t="shared" si="27"/>
        <v/>
      </c>
    </row>
    <row r="626" spans="1:14">
      <c r="A626" s="32" t="str">
        <f>_xlfn.XLOOKUP(B626,Input!J:J,Input!G:G)&amp;""</f>
        <v/>
      </c>
      <c r="C626" s="32" t="str">
        <f>_xlfn.XLOOKUP(B626,Input!J:J,Input!H:H)&amp;""</f>
        <v/>
      </c>
      <c r="N626" s="32" t="str">
        <f t="shared" si="27"/>
        <v/>
      </c>
    </row>
    <row r="627" spans="1:14">
      <c r="A627" s="32" t="str">
        <f>_xlfn.XLOOKUP(B627,Input!J:J,Input!G:G)&amp;""</f>
        <v/>
      </c>
      <c r="C627" s="32" t="str">
        <f>_xlfn.XLOOKUP(B627,Input!J:J,Input!H:H)&amp;""</f>
        <v/>
      </c>
      <c r="N627" s="32" t="str">
        <f t="shared" si="27"/>
        <v/>
      </c>
    </row>
    <row r="628" spans="1:14">
      <c r="A628" s="32" t="str">
        <f>_xlfn.XLOOKUP(B628,Input!J:J,Input!G:G)&amp;""</f>
        <v/>
      </c>
      <c r="C628" s="32" t="str">
        <f>_xlfn.XLOOKUP(B628,Input!J:J,Input!H:H)&amp;""</f>
        <v/>
      </c>
      <c r="N628" s="32" t="str">
        <f t="shared" si="27"/>
        <v/>
      </c>
    </row>
    <row r="629" spans="1:14">
      <c r="A629" s="32" t="str">
        <f>_xlfn.XLOOKUP(B629,Input!J:J,Input!G:G)&amp;""</f>
        <v/>
      </c>
      <c r="C629" s="32" t="str">
        <f>_xlfn.XLOOKUP(B629,Input!J:J,Input!H:H)&amp;""</f>
        <v/>
      </c>
      <c r="N629" s="32" t="str">
        <f t="shared" si="27"/>
        <v/>
      </c>
    </row>
    <row r="630" spans="1:14">
      <c r="A630" s="32" t="str">
        <f>_xlfn.XLOOKUP(B630,Input!J:J,Input!G:G)&amp;""</f>
        <v/>
      </c>
      <c r="C630" s="32" t="str">
        <f>_xlfn.XLOOKUP(B630,Input!J:J,Input!H:H)&amp;""</f>
        <v/>
      </c>
      <c r="N630" s="32" t="str">
        <f t="shared" si="27"/>
        <v/>
      </c>
    </row>
    <row r="631" spans="1:14">
      <c r="A631" s="32" t="str">
        <f>_xlfn.XLOOKUP(B631,Input!J:J,Input!G:G)&amp;""</f>
        <v/>
      </c>
      <c r="C631" s="32" t="str">
        <f>_xlfn.XLOOKUP(B631,Input!J:J,Input!H:H)&amp;""</f>
        <v/>
      </c>
      <c r="N631" s="32" t="str">
        <f t="shared" si="27"/>
        <v/>
      </c>
    </row>
    <row r="632" spans="1:14">
      <c r="A632" s="32" t="str">
        <f>_xlfn.XLOOKUP(B632,Input!J:J,Input!G:G)&amp;""</f>
        <v/>
      </c>
      <c r="C632" s="32" t="str">
        <f>_xlfn.XLOOKUP(B632,Input!J:J,Input!H:H)&amp;""</f>
        <v/>
      </c>
      <c r="N632" s="32" t="str">
        <f t="shared" si="27"/>
        <v/>
      </c>
    </row>
    <row r="633" spans="1:14">
      <c r="A633" s="32" t="str">
        <f>_xlfn.XLOOKUP(B633,Input!J:J,Input!G:G)&amp;""</f>
        <v/>
      </c>
      <c r="C633" s="32" t="str">
        <f>_xlfn.XLOOKUP(B633,Input!J:J,Input!H:H)&amp;""</f>
        <v/>
      </c>
      <c r="N633" s="32" t="str">
        <f t="shared" si="27"/>
        <v/>
      </c>
    </row>
    <row r="634" spans="1:14">
      <c r="A634" s="32" t="str">
        <f>_xlfn.XLOOKUP(B634,Input!J:J,Input!G:G)&amp;""</f>
        <v/>
      </c>
      <c r="C634" s="32" t="str">
        <f>_xlfn.XLOOKUP(B634,Input!J:J,Input!H:H)&amp;""</f>
        <v/>
      </c>
      <c r="N634" s="32" t="str">
        <f t="shared" si="27"/>
        <v/>
      </c>
    </row>
    <row r="635" spans="1:14">
      <c r="A635" s="32" t="str">
        <f>_xlfn.XLOOKUP(B635,Input!J:J,Input!G:G)&amp;""</f>
        <v/>
      </c>
      <c r="C635" s="32" t="str">
        <f>_xlfn.XLOOKUP(B635,Input!J:J,Input!H:H)&amp;""</f>
        <v/>
      </c>
      <c r="N635" s="32" t="str">
        <f t="shared" si="27"/>
        <v/>
      </c>
    </row>
    <row r="636" spans="1:14">
      <c r="A636" s="32" t="str">
        <f>_xlfn.XLOOKUP(B636,Input!J:J,Input!G:G)&amp;""</f>
        <v/>
      </c>
      <c r="C636" s="32" t="str">
        <f>_xlfn.XLOOKUP(B636,Input!J:J,Input!H:H)&amp;""</f>
        <v/>
      </c>
      <c r="N636" s="32" t="str">
        <f t="shared" si="27"/>
        <v/>
      </c>
    </row>
    <row r="637" spans="1:14">
      <c r="A637" s="32" t="str">
        <f>_xlfn.XLOOKUP(B637,Input!J:J,Input!G:G)&amp;""</f>
        <v/>
      </c>
      <c r="C637" s="32" t="str">
        <f>_xlfn.XLOOKUP(B637,Input!J:J,Input!H:H)&amp;""</f>
        <v/>
      </c>
      <c r="N637" s="32" t="str">
        <f t="shared" si="27"/>
        <v/>
      </c>
    </row>
    <row r="638" spans="1:14">
      <c r="A638" s="32" t="str">
        <f>_xlfn.XLOOKUP(B638,Input!J:J,Input!G:G)&amp;""</f>
        <v/>
      </c>
      <c r="C638" s="32" t="str">
        <f>_xlfn.XLOOKUP(B638,Input!J:J,Input!H:H)&amp;""</f>
        <v/>
      </c>
      <c r="N638" s="32" t="str">
        <f t="shared" si="27"/>
        <v/>
      </c>
    </row>
    <row r="639" spans="1:14">
      <c r="A639" s="32" t="str">
        <f>_xlfn.XLOOKUP(B639,Input!J:J,Input!G:G)&amp;""</f>
        <v/>
      </c>
      <c r="C639" s="32" t="str">
        <f>_xlfn.XLOOKUP(B639,Input!J:J,Input!H:H)&amp;""</f>
        <v/>
      </c>
      <c r="N639" s="32" t="str">
        <f t="shared" si="27"/>
        <v/>
      </c>
    </row>
    <row r="640" spans="1:14">
      <c r="A640" s="32" t="str">
        <f>_xlfn.XLOOKUP(B640,Input!J:J,Input!G:G)&amp;""</f>
        <v/>
      </c>
      <c r="C640" s="32" t="str">
        <f>_xlfn.XLOOKUP(B640,Input!J:J,Input!H:H)&amp;""</f>
        <v/>
      </c>
      <c r="N640" s="32" t="str">
        <f t="shared" si="27"/>
        <v/>
      </c>
    </row>
    <row r="641" spans="1:14">
      <c r="A641" s="32" t="str">
        <f>_xlfn.XLOOKUP(B641,Input!J:J,Input!G:G)&amp;""</f>
        <v/>
      </c>
      <c r="C641" s="32" t="str">
        <f>_xlfn.XLOOKUP(B641,Input!J:J,Input!H:H)&amp;""</f>
        <v/>
      </c>
      <c r="N641" s="32" t="str">
        <f t="shared" si="27"/>
        <v/>
      </c>
    </row>
    <row r="642" spans="1:14">
      <c r="A642" s="32" t="str">
        <f>_xlfn.XLOOKUP(B642,Input!J:J,Input!G:G)&amp;""</f>
        <v/>
      </c>
      <c r="C642" s="32" t="str">
        <f>_xlfn.XLOOKUP(B642,Input!J:J,Input!H:H)&amp;""</f>
        <v/>
      </c>
      <c r="N642" s="32" t="str">
        <f t="shared" si="27"/>
        <v/>
      </c>
    </row>
    <row r="643" spans="1:14">
      <c r="A643" s="32" t="str">
        <f>_xlfn.XLOOKUP(B643,Input!J:J,Input!G:G)&amp;""</f>
        <v/>
      </c>
      <c r="C643" s="32" t="str">
        <f>_xlfn.XLOOKUP(B643,Input!J:J,Input!H:H)&amp;""</f>
        <v/>
      </c>
      <c r="N643" s="32" t="str">
        <f t="shared" si="27"/>
        <v/>
      </c>
    </row>
    <row r="644" spans="1:14">
      <c r="A644" s="32" t="str">
        <f>_xlfn.XLOOKUP(B644,Input!J:J,Input!G:G)&amp;""</f>
        <v/>
      </c>
      <c r="C644" s="32" t="str">
        <f>_xlfn.XLOOKUP(B644,Input!J:J,Input!H:H)&amp;""</f>
        <v/>
      </c>
      <c r="N644" s="32" t="str">
        <f t="shared" ref="N644:N661" si="28">_xlfn.TEXTJOIN(" ",TRUE,SUBSTITUTE(K644,"i",""),M644)</f>
        <v/>
      </c>
    </row>
    <row r="645" spans="1:14">
      <c r="A645" s="32" t="str">
        <f>_xlfn.XLOOKUP(B645,Input!J:J,Input!G:G)&amp;""</f>
        <v/>
      </c>
      <c r="C645" s="32" t="str">
        <f>_xlfn.XLOOKUP(B645,Input!J:J,Input!H:H)&amp;""</f>
        <v/>
      </c>
      <c r="N645" s="32" t="str">
        <f t="shared" si="28"/>
        <v/>
      </c>
    </row>
    <row r="646" spans="1:14">
      <c r="A646" s="32" t="str">
        <f>_xlfn.XLOOKUP(B646,Input!J:J,Input!G:G)&amp;""</f>
        <v/>
      </c>
      <c r="C646" s="32" t="str">
        <f>_xlfn.XLOOKUP(B646,Input!J:J,Input!H:H)&amp;""</f>
        <v/>
      </c>
      <c r="N646" s="32" t="str">
        <f t="shared" si="28"/>
        <v/>
      </c>
    </row>
    <row r="647" spans="1:14">
      <c r="A647" s="32" t="str">
        <f>_xlfn.XLOOKUP(B647,Input!J:J,Input!G:G)&amp;""</f>
        <v/>
      </c>
      <c r="C647" s="32" t="str">
        <f>_xlfn.XLOOKUP(B647,Input!J:J,Input!H:H)&amp;""</f>
        <v/>
      </c>
      <c r="N647" s="32" t="str">
        <f t="shared" si="28"/>
        <v/>
      </c>
    </row>
    <row r="648" spans="1:14">
      <c r="A648" s="32" t="str">
        <f>_xlfn.XLOOKUP(B648,Input!J:J,Input!G:G)&amp;""</f>
        <v/>
      </c>
      <c r="C648" s="32" t="str">
        <f>_xlfn.XLOOKUP(B648,Input!J:J,Input!H:H)&amp;""</f>
        <v/>
      </c>
      <c r="N648" s="32" t="str">
        <f t="shared" si="28"/>
        <v/>
      </c>
    </row>
    <row r="649" spans="1:14">
      <c r="A649" s="32" t="str">
        <f>_xlfn.XLOOKUP(B649,Input!J:J,Input!G:G)&amp;""</f>
        <v/>
      </c>
      <c r="C649" s="32" t="str">
        <f>_xlfn.XLOOKUP(B649,Input!J:J,Input!H:H)&amp;""</f>
        <v/>
      </c>
      <c r="N649" s="32" t="str">
        <f t="shared" si="28"/>
        <v/>
      </c>
    </row>
    <row r="650" spans="1:14">
      <c r="A650" s="32" t="str">
        <f>_xlfn.XLOOKUP(B650,Input!J:J,Input!G:G)&amp;""</f>
        <v/>
      </c>
      <c r="C650" s="32" t="str">
        <f>_xlfn.XLOOKUP(B650,Input!J:J,Input!H:H)&amp;""</f>
        <v/>
      </c>
      <c r="N650" s="32" t="str">
        <f t="shared" si="28"/>
        <v/>
      </c>
    </row>
    <row r="651" spans="1:14">
      <c r="A651" s="32" t="str">
        <f>_xlfn.XLOOKUP(B651,Input!J:J,Input!G:G)&amp;""</f>
        <v/>
      </c>
      <c r="C651" s="32" t="str">
        <f>_xlfn.XLOOKUP(B651,Input!J:J,Input!H:H)&amp;""</f>
        <v/>
      </c>
      <c r="N651" s="32" t="str">
        <f t="shared" si="28"/>
        <v/>
      </c>
    </row>
    <row r="652" spans="1:14">
      <c r="A652" s="32" t="str">
        <f>_xlfn.XLOOKUP(B652,Input!J:J,Input!G:G)&amp;""</f>
        <v/>
      </c>
      <c r="C652" s="32" t="str">
        <f>_xlfn.XLOOKUP(B652,Input!J:J,Input!H:H)&amp;""</f>
        <v/>
      </c>
      <c r="N652" s="32" t="str">
        <f t="shared" si="28"/>
        <v/>
      </c>
    </row>
    <row r="653" spans="1:14">
      <c r="A653" s="32" t="str">
        <f>_xlfn.XLOOKUP(B653,Input!J:J,Input!G:G)&amp;""</f>
        <v/>
      </c>
      <c r="C653" s="32" t="str">
        <f>_xlfn.XLOOKUP(B653,Input!J:J,Input!H:H)&amp;""</f>
        <v/>
      </c>
      <c r="N653" s="32" t="str">
        <f t="shared" si="28"/>
        <v/>
      </c>
    </row>
    <row r="654" spans="1:14">
      <c r="A654" s="32" t="str">
        <f>_xlfn.XLOOKUP(B654,Input!J:J,Input!G:G)&amp;""</f>
        <v/>
      </c>
      <c r="C654" s="32" t="str">
        <f>_xlfn.XLOOKUP(B654,Input!J:J,Input!H:H)&amp;""</f>
        <v/>
      </c>
      <c r="N654" s="32" t="str">
        <f t="shared" si="28"/>
        <v/>
      </c>
    </row>
    <row r="655" spans="1:14">
      <c r="A655" s="32" t="str">
        <f>_xlfn.XLOOKUP(B655,Input!J:J,Input!G:G)&amp;""</f>
        <v/>
      </c>
      <c r="C655" s="32" t="str">
        <f>_xlfn.XLOOKUP(B655,Input!J:J,Input!H:H)&amp;""</f>
        <v/>
      </c>
      <c r="N655" s="32" t="str">
        <f t="shared" si="28"/>
        <v/>
      </c>
    </row>
    <row r="656" spans="1:14">
      <c r="A656" s="32" t="str">
        <f>_xlfn.XLOOKUP(B656,Input!J:J,Input!G:G)&amp;""</f>
        <v/>
      </c>
      <c r="N656" s="32" t="str">
        <f t="shared" si="28"/>
        <v/>
      </c>
    </row>
    <row r="657" spans="1:14">
      <c r="A657" s="32" t="str">
        <f>_xlfn.XLOOKUP(B657,Input!J:J,Input!G:G)&amp;""</f>
        <v/>
      </c>
      <c r="N657" s="32" t="str">
        <f t="shared" si="28"/>
        <v/>
      </c>
    </row>
    <row r="658" spans="1:14">
      <c r="A658" s="32" t="str">
        <f>_xlfn.XLOOKUP(B658,Input!J:J,Input!G:G)&amp;""</f>
        <v/>
      </c>
      <c r="N658" s="32" t="str">
        <f t="shared" si="28"/>
        <v/>
      </c>
    </row>
    <row r="659" spans="1:14">
      <c r="A659" s="32" t="str">
        <f>_xlfn.XLOOKUP(B659,Input!J:J,Input!G:G)&amp;""</f>
        <v/>
      </c>
      <c r="N659" s="32" t="str">
        <f t="shared" si="28"/>
        <v/>
      </c>
    </row>
    <row r="660" spans="1:14">
      <c r="A660" s="32" t="str">
        <f>_xlfn.XLOOKUP(B660,Input!J:J,Input!G:G)&amp;""</f>
        <v/>
      </c>
      <c r="N660" s="32" t="str">
        <f t="shared" si="28"/>
        <v/>
      </c>
    </row>
    <row r="661" spans="1:14">
      <c r="A661" s="32" t="str">
        <f>_xlfn.XLOOKUP(B661,Input!J:J,Input!G:G)&amp;""</f>
        <v/>
      </c>
      <c r="N661" s="32" t="str">
        <f t="shared" si="28"/>
        <v/>
      </c>
    </row>
    <row r="662" spans="1:14">
      <c r="A662" s="32" t="str">
        <f>_xlfn.XLOOKUP(B662,Input!J:J,Input!G:G)&amp;""</f>
        <v/>
      </c>
    </row>
    <row r="663" spans="1:14">
      <c r="A663" s="32" t="str">
        <f>_xlfn.XLOOKUP(B663,Input!J:J,Input!G:G)&amp;""</f>
        <v/>
      </c>
    </row>
    <row r="664" spans="1:14">
      <c r="A664" s="32" t="str">
        <f>_xlfn.XLOOKUP(B664,Input!J:J,Input!G:G)&amp;""</f>
        <v/>
      </c>
    </row>
    <row r="665" spans="1:14">
      <c r="A665" s="32" t="str">
        <f>_xlfn.XLOOKUP(B665,Input!J:J,Input!G:G)&amp;""</f>
        <v/>
      </c>
    </row>
    <row r="666" spans="1:14">
      <c r="A666" s="32" t="str">
        <f>_xlfn.XLOOKUP(B666,Input!J:J,Input!G:G)&amp;""</f>
        <v/>
      </c>
    </row>
    <row r="667" spans="1:14">
      <c r="A667" s="32" t="str">
        <f>_xlfn.XLOOKUP(B667,Input!J:J,Input!G:G)&amp;""</f>
        <v/>
      </c>
    </row>
    <row r="668" spans="1:14">
      <c r="A668" s="32" t="str">
        <f>_xlfn.XLOOKUP(B668,Input!J:J,Input!G:G)&amp;""</f>
        <v/>
      </c>
    </row>
    <row r="669" spans="1:14">
      <c r="A669" s="32" t="str">
        <f>_xlfn.XLOOKUP(B669,Input!J:J,Input!G:G)&amp;""</f>
        <v/>
      </c>
    </row>
    <row r="670" spans="1:14">
      <c r="A670" s="32" t="str">
        <f>_xlfn.XLOOKUP(B670,Input!J:J,Input!G:G)&amp;""</f>
        <v/>
      </c>
    </row>
    <row r="671" spans="1:14">
      <c r="A671" s="32" t="str">
        <f>_xlfn.XLOOKUP(B671,Input!J:J,Input!G:G)&amp;""</f>
        <v/>
      </c>
    </row>
    <row r="672" spans="1:14">
      <c r="A672" s="32" t="str">
        <f>_xlfn.XLOOKUP(B672,Input!J:J,Input!G:G)&amp;""</f>
        <v/>
      </c>
    </row>
    <row r="673" spans="1:1">
      <c r="A673" s="32" t="str">
        <f>_xlfn.XLOOKUP(B673,Input!J:J,Input!G:G)&amp;""</f>
        <v/>
      </c>
    </row>
    <row r="674" spans="1:1">
      <c r="A674" s="32" t="str">
        <f>_xlfn.XLOOKUP(B674,Input!J:J,Input!G:G)&amp;""</f>
        <v/>
      </c>
    </row>
    <row r="675" spans="1:1">
      <c r="A675" s="32" t="str">
        <f>_xlfn.XLOOKUP(B675,Input!J:J,Input!G:G)&amp;""</f>
        <v/>
      </c>
    </row>
    <row r="676" spans="1:1">
      <c r="A676" s="32" t="str">
        <f>_xlfn.XLOOKUP(B676,Input!J:J,Input!G:G)&amp;""</f>
        <v/>
      </c>
    </row>
    <row r="677" spans="1:1">
      <c r="A677" s="32" t="str">
        <f>_xlfn.XLOOKUP(B677,Input!J:J,Input!G:G)&amp;""</f>
        <v/>
      </c>
    </row>
    <row r="678" spans="1:1">
      <c r="A678" s="32" t="str">
        <f>_xlfn.XLOOKUP(B678,Input!J:J,Input!G:G)&amp;""</f>
        <v/>
      </c>
    </row>
    <row r="679" spans="1:1">
      <c r="A679" s="32" t="str">
        <f>_xlfn.XLOOKUP(B679,Input!J:J,Input!G:G)&amp;""</f>
        <v/>
      </c>
    </row>
    <row r="680" spans="1:1">
      <c r="A680" s="32" t="str">
        <f>_xlfn.XLOOKUP(B680,Input!J:J,Input!G:G)&amp;""</f>
        <v/>
      </c>
    </row>
    <row r="681" spans="1:1">
      <c r="A681" s="32" t="str">
        <f>_xlfn.XLOOKUP(B681,Input!J:J,Input!G:G)&amp;""</f>
        <v/>
      </c>
    </row>
    <row r="682" spans="1:1">
      <c r="A682" s="32" t="str">
        <f>_xlfn.XLOOKUP(B682,Input!J:J,Input!G:G)&amp;""</f>
        <v/>
      </c>
    </row>
    <row r="683" spans="1:1">
      <c r="A683" s="32" t="str">
        <f>_xlfn.XLOOKUP(B683,Input!J:J,Input!G:G)&amp;""</f>
        <v/>
      </c>
    </row>
    <row r="684" spans="1:1">
      <c r="A684" s="32" t="str">
        <f>_xlfn.XLOOKUP(B684,Input!J:J,Input!G:G)&amp;""</f>
        <v/>
      </c>
    </row>
    <row r="685" spans="1:1">
      <c r="A685" s="32" t="str">
        <f>_xlfn.XLOOKUP(B685,Input!J:J,Input!G:G)&amp;""</f>
        <v/>
      </c>
    </row>
    <row r="686" spans="1:1">
      <c r="A686" s="32" t="str">
        <f>_xlfn.XLOOKUP(B686,Input!J:J,Input!G:G)&amp;""</f>
        <v/>
      </c>
    </row>
    <row r="687" spans="1:1">
      <c r="A687" s="32" t="str">
        <f>_xlfn.XLOOKUP(B687,Input!J:J,Input!G:G)&amp;""</f>
        <v/>
      </c>
    </row>
    <row r="688" spans="1:1">
      <c r="A688" s="32" t="str">
        <f>_xlfn.XLOOKUP(B688,Input!J:J,Input!G:G)&amp;""</f>
        <v/>
      </c>
    </row>
    <row r="689" spans="1:1">
      <c r="A689" s="32" t="str">
        <f>_xlfn.XLOOKUP(B689,Input!J:J,Input!G:G)&amp;""</f>
        <v/>
      </c>
    </row>
    <row r="690" spans="1:1">
      <c r="A690" s="32" t="str">
        <f>_xlfn.XLOOKUP(B690,Input!J:J,Input!G:G)&amp;""</f>
        <v/>
      </c>
    </row>
    <row r="691" spans="1:1">
      <c r="A691" s="32" t="str">
        <f>_xlfn.XLOOKUP(B691,Input!J:J,Input!G:G)&amp;""</f>
        <v/>
      </c>
    </row>
    <row r="692" spans="1:1">
      <c r="A692" s="32" t="str">
        <f>_xlfn.XLOOKUP(B692,Input!J:J,Input!G:G)&amp;""</f>
        <v/>
      </c>
    </row>
    <row r="693" spans="1:1">
      <c r="A693" s="32" t="str">
        <f>_xlfn.XLOOKUP(B693,Input!J:J,Input!G:G)&amp;""</f>
        <v/>
      </c>
    </row>
    <row r="694" spans="1:1">
      <c r="A694" s="32" t="str">
        <f>_xlfn.XLOOKUP(B694,Input!J:J,Input!G:G)&amp;""</f>
        <v/>
      </c>
    </row>
    <row r="695" spans="1:1">
      <c r="A695" s="32" t="str">
        <f>_xlfn.XLOOKUP(B695,Input!J:J,Input!G:G)&amp;""</f>
        <v/>
      </c>
    </row>
    <row r="696" spans="1:1">
      <c r="A696" s="32" t="str">
        <f>_xlfn.XLOOKUP(B696,Input!J:J,Input!G:G)&amp;""</f>
        <v/>
      </c>
    </row>
    <row r="697" spans="1:1">
      <c r="A697" s="32" t="str">
        <f>_xlfn.XLOOKUP(B697,Input!J:J,Input!G:G)&amp;""</f>
        <v/>
      </c>
    </row>
    <row r="698" spans="1:1">
      <c r="A698" s="32" t="str">
        <f>_xlfn.XLOOKUP(B698,Input!J:J,Input!G:G)&amp;""</f>
        <v/>
      </c>
    </row>
    <row r="699" spans="1:1">
      <c r="A699" s="32" t="str">
        <f>_xlfn.XLOOKUP(B699,Input!J:J,Input!G:G)&amp;""</f>
        <v/>
      </c>
    </row>
    <row r="700" spans="1:1">
      <c r="A700" s="32" t="str">
        <f>_xlfn.XLOOKUP(B700,Input!J:J,Input!G:G)&amp;""</f>
        <v/>
      </c>
    </row>
    <row r="701" spans="1:1">
      <c r="A701" s="32" t="str">
        <f>_xlfn.XLOOKUP(B701,Input!J:J,Input!G:G)&amp;""</f>
        <v/>
      </c>
    </row>
    <row r="702" spans="1:1">
      <c r="A702" s="32" t="str">
        <f>_xlfn.XLOOKUP(B702,Input!J:J,Input!G:G)&amp;""</f>
        <v/>
      </c>
    </row>
    <row r="703" spans="1:1">
      <c r="A703" s="32" t="str">
        <f>_xlfn.XLOOKUP(B703,Input!J:J,Input!G:G)&amp;""</f>
        <v/>
      </c>
    </row>
    <row r="704" spans="1:1">
      <c r="A704" s="32" t="str">
        <f>_xlfn.XLOOKUP(B704,Input!J:J,Input!G:G)&amp;""</f>
        <v/>
      </c>
    </row>
    <row r="705" spans="1:1">
      <c r="A705" s="32" t="str">
        <f>_xlfn.XLOOKUP(B705,Input!J:J,Input!G:G)&amp;""</f>
        <v/>
      </c>
    </row>
    <row r="706" spans="1:1">
      <c r="A706" s="32" t="str">
        <f>_xlfn.XLOOKUP(B706,Input!J:J,Input!G:G)&amp;""</f>
        <v/>
      </c>
    </row>
    <row r="707" spans="1:1">
      <c r="A707" s="32" t="str">
        <f>_xlfn.XLOOKUP(B707,Input!J:J,Input!G:G)&amp;""</f>
        <v/>
      </c>
    </row>
    <row r="708" spans="1:1">
      <c r="A708" s="32" t="str">
        <f>_xlfn.XLOOKUP(B708,Input!J:J,Input!G:G)&amp;""</f>
        <v/>
      </c>
    </row>
    <row r="709" spans="1:1">
      <c r="A709" s="32" t="str">
        <f>_xlfn.XLOOKUP(B709,Input!J:J,Input!G:G)&amp;""</f>
        <v/>
      </c>
    </row>
    <row r="710" spans="1:1">
      <c r="A710" s="32" t="str">
        <f>_xlfn.XLOOKUP(B710,Input!J:J,Input!G:G)&amp;""</f>
        <v/>
      </c>
    </row>
    <row r="711" spans="1:1">
      <c r="A711" s="32" t="str">
        <f>_xlfn.XLOOKUP(B711,Input!J:J,Input!G:G)&amp;""</f>
        <v/>
      </c>
    </row>
    <row r="712" spans="1:1">
      <c r="A712" s="32" t="str">
        <f>_xlfn.XLOOKUP(B712,Input!J:J,Input!G:G)&amp;""</f>
        <v/>
      </c>
    </row>
    <row r="713" spans="1:1">
      <c r="A713" s="32" t="str">
        <f>_xlfn.XLOOKUP(B713,Input!J:J,Input!G:G)&amp;""</f>
        <v/>
      </c>
    </row>
    <row r="714" spans="1:1">
      <c r="A714" s="32" t="str">
        <f>_xlfn.XLOOKUP(B714,Input!J:J,Input!G:G)&amp;""</f>
        <v/>
      </c>
    </row>
    <row r="715" spans="1:1">
      <c r="A715" s="32" t="str">
        <f>_xlfn.XLOOKUP(B715,Input!J:J,Input!G:G)&amp;""</f>
        <v/>
      </c>
    </row>
    <row r="716" spans="1:1">
      <c r="A716" s="32" t="str">
        <f>_xlfn.XLOOKUP(B716,Input!J:J,Input!G:G)&amp;""</f>
        <v/>
      </c>
    </row>
    <row r="717" spans="1:1">
      <c r="A717" s="32" t="str">
        <f>_xlfn.XLOOKUP(B717,Input!J:J,Input!G:G)&amp;""</f>
        <v/>
      </c>
    </row>
    <row r="718" spans="1:1">
      <c r="A718" s="32" t="str">
        <f>_xlfn.XLOOKUP(B718,Input!J:J,Input!G:G)&amp;""</f>
        <v/>
      </c>
    </row>
    <row r="719" spans="1:1">
      <c r="A719" s="32" t="str">
        <f>_xlfn.XLOOKUP(B719,Input!J:J,Input!G:G)&amp;""</f>
        <v/>
      </c>
    </row>
    <row r="720" spans="1:1">
      <c r="A720" s="32" t="str">
        <f>_xlfn.XLOOKUP(B720,Input!J:J,Input!G:G)&amp;""</f>
        <v/>
      </c>
    </row>
    <row r="721" spans="1:1">
      <c r="A721" s="32" t="str">
        <f>_xlfn.XLOOKUP(B721,Input!J:J,Input!G:G)&amp;""</f>
        <v/>
      </c>
    </row>
    <row r="722" spans="1:1">
      <c r="A722" s="32" t="str">
        <f>_xlfn.XLOOKUP(B722,Input!J:J,Input!G:G)&amp;""</f>
        <v/>
      </c>
    </row>
    <row r="723" spans="1:1">
      <c r="A723" s="32" t="str">
        <f>_xlfn.XLOOKUP(B723,Input!J:J,Input!G:G)&amp;""</f>
        <v/>
      </c>
    </row>
    <row r="724" spans="1:1">
      <c r="A724" s="32" t="str">
        <f>_xlfn.XLOOKUP(B724,Input!J:J,Input!G:G)&amp;""</f>
        <v/>
      </c>
    </row>
    <row r="725" spans="1:1">
      <c r="A725" s="32" t="str">
        <f>_xlfn.XLOOKUP(B725,Input!J:J,Input!G:G)&amp;""</f>
        <v/>
      </c>
    </row>
    <row r="726" spans="1:1">
      <c r="A726" s="32" t="str">
        <f>_xlfn.XLOOKUP(B726,Input!J:J,Input!G:G)&amp;""</f>
        <v/>
      </c>
    </row>
    <row r="727" spans="1:1">
      <c r="A727" s="32" t="str">
        <f>_xlfn.XLOOKUP(B727,Input!J:J,Input!G:G)&amp;""</f>
        <v/>
      </c>
    </row>
    <row r="728" spans="1:1">
      <c r="A728" s="32" t="str">
        <f>_xlfn.XLOOKUP(B728,Input!J:J,Input!G:G)&amp;""</f>
        <v/>
      </c>
    </row>
    <row r="729" spans="1:1">
      <c r="A729" s="32" t="str">
        <f>_xlfn.XLOOKUP(B729,Input!J:J,Input!G:G)&amp;""</f>
        <v/>
      </c>
    </row>
    <row r="730" spans="1:1">
      <c r="A730" s="32" t="str">
        <f>_xlfn.XLOOKUP(B730,Input!J:J,Input!G:G)&amp;""</f>
        <v/>
      </c>
    </row>
    <row r="731" spans="1:1">
      <c r="A731" s="32" t="str">
        <f>_xlfn.XLOOKUP(B731,Input!J:J,Input!G:G)&amp;""</f>
        <v/>
      </c>
    </row>
    <row r="732" spans="1:1">
      <c r="A732" s="32" t="str">
        <f>_xlfn.XLOOKUP(B732,Input!J:J,Input!G:G)&amp;""</f>
        <v/>
      </c>
    </row>
    <row r="733" spans="1:1">
      <c r="A733" s="32" t="str">
        <f>_xlfn.XLOOKUP(B733,Input!J:J,Input!G:G)&amp;""</f>
        <v/>
      </c>
    </row>
    <row r="734" spans="1:1">
      <c r="A734" s="32" t="str">
        <f>_xlfn.XLOOKUP(B734,Input!J:J,Input!G:G)&amp;""</f>
        <v/>
      </c>
    </row>
    <row r="735" spans="1:1">
      <c r="A735" s="32" t="str">
        <f>_xlfn.XLOOKUP(B735,Input!J:J,Input!G:G)&amp;""</f>
        <v/>
      </c>
    </row>
    <row r="736" spans="1:1">
      <c r="A736" s="32" t="str">
        <f>_xlfn.XLOOKUP(B736,Input!J:J,Input!G:G)&amp;""</f>
        <v/>
      </c>
    </row>
    <row r="737" spans="1:1">
      <c r="A737" s="32" t="str">
        <f>_xlfn.XLOOKUP(B737,Input!J:J,Input!G:G)&amp;""</f>
        <v/>
      </c>
    </row>
    <row r="738" spans="1:1">
      <c r="A738" s="32" t="str">
        <f>_xlfn.XLOOKUP(B738,Input!J:J,Input!G:G)&amp;""</f>
        <v/>
      </c>
    </row>
    <row r="739" spans="1:1">
      <c r="A739" s="32" t="str">
        <f>_xlfn.XLOOKUP(B739,Input!J:J,Input!G:G)&amp;""</f>
        <v/>
      </c>
    </row>
    <row r="740" spans="1:1">
      <c r="A740" s="32" t="str">
        <f>_xlfn.XLOOKUP(B740,Input!J:J,Input!G:G)&amp;""</f>
        <v/>
      </c>
    </row>
    <row r="741" spans="1:1">
      <c r="A741" s="32" t="str">
        <f>_xlfn.XLOOKUP(B741,Input!J:J,Input!G:G)&amp;""</f>
        <v/>
      </c>
    </row>
    <row r="742" spans="1:1">
      <c r="A742" s="32" t="str">
        <f>_xlfn.XLOOKUP(B742,Input!J:J,Input!G:G)&amp;""</f>
        <v/>
      </c>
    </row>
    <row r="743" spans="1:1">
      <c r="A743" s="32" t="str">
        <f>_xlfn.XLOOKUP(B743,Input!J:J,Input!G:G)&amp;""</f>
        <v/>
      </c>
    </row>
    <row r="744" spans="1:1">
      <c r="A744" s="32" t="str">
        <f>_xlfn.XLOOKUP(B744,Input!J:J,Input!G:G)&amp;""</f>
        <v/>
      </c>
    </row>
    <row r="745" spans="1:1">
      <c r="A745" s="32" t="str">
        <f>_xlfn.XLOOKUP(B745,Input!J:J,Input!G:G)&amp;""</f>
        <v/>
      </c>
    </row>
    <row r="746" spans="1:1">
      <c r="A746" s="32" t="str">
        <f>_xlfn.XLOOKUP(B746,Input!J:J,Input!G:G)&amp;""</f>
        <v/>
      </c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56</v>
      </c>
      <c r="B1" s="12" t="s">
        <v>284</v>
      </c>
      <c r="C1" s="12" t="s">
        <v>532</v>
      </c>
      <c r="D1" s="12" t="s">
        <v>280</v>
      </c>
      <c r="E1" s="12" t="s">
        <v>281</v>
      </c>
      <c r="F1" s="12" t="s">
        <v>533</v>
      </c>
      <c r="G1" s="12" t="s">
        <v>282</v>
      </c>
      <c r="H1" s="12" t="s">
        <v>283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A923"/>
  <sheetViews>
    <sheetView topLeftCell="B1" workbookViewId="0">
      <selection activeCell="H2" sqref="H2"/>
    </sheetView>
  </sheetViews>
  <sheetFormatPr defaultRowHeight="15"/>
  <cols>
    <col min="2" max="2" width="19.42578125" customWidth="1"/>
    <col min="6" max="6" width="21.85546875" style="13" customWidth="1"/>
    <col min="7" max="7" width="19.28515625" customWidth="1"/>
    <col min="10" max="10" width="12.42578125" customWidth="1"/>
    <col min="11" max="11" width="14.28515625" style="59" bestFit="1" customWidth="1"/>
    <col min="12" max="12" width="14.28515625" customWidth="1"/>
    <col min="14" max="15" width="16" style="13" customWidth="1"/>
    <col min="16" max="18" width="35.28515625" style="13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27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2" t="s">
        <v>272</v>
      </c>
      <c r="G1" s="1" t="s">
        <v>6</v>
      </c>
      <c r="H1" s="1" t="s">
        <v>7</v>
      </c>
      <c r="I1" s="1" t="s">
        <v>8</v>
      </c>
      <c r="J1" s="1" t="s">
        <v>9</v>
      </c>
      <c r="K1" s="58" t="s">
        <v>579</v>
      </c>
      <c r="L1" s="1" t="s">
        <v>10</v>
      </c>
      <c r="M1" s="1" t="s">
        <v>11</v>
      </c>
      <c r="N1" s="12" t="s">
        <v>274</v>
      </c>
      <c r="O1" s="12" t="s">
        <v>273</v>
      </c>
      <c r="P1" s="12" t="s">
        <v>18</v>
      </c>
      <c r="Q1" s="12" t="s">
        <v>275</v>
      </c>
      <c r="R1" s="12" t="s">
        <v>276</v>
      </c>
      <c r="S1" s="17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7" t="s">
        <v>487</v>
      </c>
    </row>
    <row r="2" spans="1:27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str">
        <f>_xlfn.XLOOKUP(B2,MacReports!B:B,MacReports!E:E,"")</f>
        <v/>
      </c>
      <c r="F2" s="13">
        <f>MacReports!F2</f>
        <v>0</v>
      </c>
      <c r="G2">
        <f>_xlfn.XLOOKUP(F2,Models!A:A,Models!B:B,F2)</f>
        <v>0</v>
      </c>
      <c r="H2" t="e">
        <f>_xlfn.XLOOKUP(F2,Models!A:A,Models!E:E)</f>
        <v>#N/A</v>
      </c>
      <c r="I2" t="e">
        <f>_xlfn.XLOOKUP(F2,Models!A:A,Models!D:D)</f>
        <v>#N/A</v>
      </c>
      <c r="J2">
        <f>MacReports!G2</f>
        <v>0</v>
      </c>
      <c r="K2" s="59">
        <f>MacReports!H2</f>
        <v>0</v>
      </c>
      <c r="L2" t="str">
        <f>IFERROR(LEFT(K2,FIND(" ",K2)-1)&amp;" GB DDR"&amp;MID(K2,FIND("DDR",K2)+3,1), K2&amp;"")</f>
        <v>0</v>
      </c>
      <c r="M2" s="15">
        <f>MacReports!I2</f>
        <v>0</v>
      </c>
      <c r="N2" s="16" t="str" cm="1">
        <f t="array" ref="N2">_xlfn.IFS(
   --MacReports!N2&lt;55,"Battery Defect",
  -- MacReports!N2&lt;=69,"Battery D",
  --MacReports!N2&lt;=80,"Battery C",
 --MacReports!N2&gt;80,""
)</f>
        <v>Battery Defect</v>
      </c>
      <c r="O2" s="16" t="str">
        <f>IF(MacReports!J2="Service","Battery Service","")</f>
        <v/>
      </c>
      <c r="P2" s="13">
        <f>MacReports!Q2</f>
        <v>0</v>
      </c>
      <c r="Q2" s="13" t="str">
        <f>IF(MacReports!K2="Enabled","Apple ID Lock","")</f>
        <v/>
      </c>
      <c r="R2" s="13" t="str">
        <f>IF(MacReports!M2="Remote Lock","Remote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_xlfn.XLOOKUP(B2,Disk_Pivot!G:G,Disk_Pivot!N:N)</f>
        <v>Pass, Fail</v>
      </c>
      <c r="U2" t="str">
        <f>IF(T2="Fail",MacReports!O2,"")</f>
        <v/>
      </c>
      <c r="AA2" t="str">
        <f>_xlfn.TEXTJOIN(", ",TRUE,Q2,R2)</f>
        <v/>
      </c>
    </row>
    <row r="3" spans="1:27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str">
        <f>_xlfn.XLOOKUP(B3,MacReports!B:B,MacReports!E:E,"")</f>
        <v/>
      </c>
      <c r="F3" s="13">
        <f>MacReports!F3</f>
        <v>0</v>
      </c>
      <c r="G3" t="e">
        <f>_xlfn.XLOOKUP(F3,Models!A:A,Models!B:B)</f>
        <v>#N/A</v>
      </c>
      <c r="H3" t="e">
        <f>_xlfn.XLOOKUP(F3,Models!A:A,Models!E:E)</f>
        <v>#N/A</v>
      </c>
      <c r="I3" t="e">
        <f>_xlfn.XLOOKUP(F3,Models!A:A,Models!D:D)</f>
        <v>#N/A</v>
      </c>
      <c r="J3">
        <f>MacReports!G3</f>
        <v>0</v>
      </c>
      <c r="K3" s="59">
        <f>MacReports!H3</f>
        <v>0</v>
      </c>
      <c r="L3" t="str">
        <f t="shared" ref="L3:L66" si="1">IFERROR(LEFT(K3,FIND(" ",K3)-1)&amp;" GB DDR"&amp;MID(K3,FIND("DDR",K3)+3,1), K3&amp;"")</f>
        <v>0</v>
      </c>
      <c r="M3" s="15">
        <f>MacReports!I3</f>
        <v>0</v>
      </c>
      <c r="N3" s="16" t="str" cm="1">
        <f t="array" ref="N3">_xlfn.IFS(
   --MacReports!N3&lt;55,"Battery Defect",
  -- MacReports!N3&lt;=69,"Battery D",
  --MacReports!N3&lt;=80,"Battery C",
 --MacReports!N3&gt;80,""
)</f>
        <v>Battery Defect</v>
      </c>
      <c r="O3" s="16" t="str">
        <f>IF(MacReports!J3="Service","Battery Service","")</f>
        <v/>
      </c>
      <c r="P3" s="13">
        <f>MacReports!Q3</f>
        <v>0</v>
      </c>
      <c r="Q3" s="13" t="str">
        <f>IF(MacReports!K3="Enabled","Apple ID Lock","")</f>
        <v/>
      </c>
      <c r="R3" s="13" t="str">
        <f>IF(MacReports!M3="Remote Lock","Remote Locked","")</f>
        <v/>
      </c>
      <c r="S3" t="str">
        <f t="shared" si="0"/>
        <v>Battery Defect, 0</v>
      </c>
      <c r="T3" t="str">
        <f>_xlfn.XLOOKUP(B3,Disk_Pivot!G:G,Disk_Pivot!N:N)</f>
        <v>Pass, Fail</v>
      </c>
      <c r="U3" t="str">
        <f>IF(T3="Fail",MacReports!O3,"")</f>
        <v/>
      </c>
      <c r="AA3" t="str">
        <f t="shared" ref="AA3:AA34" si="2">_xlfn.TEXTJOIN(", ",TRUE,Q3,R3)</f>
        <v/>
      </c>
    </row>
    <row r="4" spans="1:27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str">
        <f>_xlfn.XLOOKUP(B4,MacReports!B:B,MacReports!E:E,"")</f>
        <v/>
      </c>
      <c r="F4" s="13">
        <f>MacReports!F4</f>
        <v>0</v>
      </c>
      <c r="G4" t="e">
        <f>_xlfn.XLOOKUP(F4,Models!A:A,Models!B:B)</f>
        <v>#N/A</v>
      </c>
      <c r="H4" t="e">
        <f>_xlfn.XLOOKUP(F4,Models!A:A,Models!E:E)</f>
        <v>#N/A</v>
      </c>
      <c r="I4" t="e">
        <f>_xlfn.XLOOKUP(F4,Models!A:A,Models!D:D)</f>
        <v>#N/A</v>
      </c>
      <c r="J4">
        <f>MacReports!G4</f>
        <v>0</v>
      </c>
      <c r="K4" s="59">
        <f>MacReports!H4</f>
        <v>0</v>
      </c>
      <c r="L4" t="str">
        <f t="shared" si="1"/>
        <v>0</v>
      </c>
      <c r="M4" s="15">
        <f>MacReports!I4</f>
        <v>0</v>
      </c>
      <c r="N4" s="16" t="str" cm="1">
        <f t="array" ref="N4">_xlfn.IFS(
   --MacReports!N4&lt;55,"Battery Defect",
  -- MacReports!N4&lt;=69,"Battery D",
  --MacReports!N4&lt;=80,"Battery C",
 --MacReports!N4&gt;80,""
)</f>
        <v>Battery Defect</v>
      </c>
      <c r="O4" s="16" t="str">
        <f>IF(MacReports!J4="Service","Battery Service","")</f>
        <v/>
      </c>
      <c r="P4" s="13">
        <f>MacReports!Q4</f>
        <v>0</v>
      </c>
      <c r="Q4" s="13" t="str">
        <f>IF(MacReports!K4="Enabled","Apple ID Lock","")</f>
        <v/>
      </c>
      <c r="R4" s="13" t="str">
        <f>IF(MacReports!M4="Remote Lock","Remote Locked","")</f>
        <v/>
      </c>
      <c r="S4" t="str">
        <f t="shared" si="0"/>
        <v>Battery Defect, 0</v>
      </c>
      <c r="T4" t="str">
        <f>_xlfn.XLOOKUP(B4,Disk_Pivot!G:G,Disk_Pivot!N:N)</f>
        <v>Pass, Fail</v>
      </c>
      <c r="U4" t="str">
        <f>IF(T4="Fail",MacReports!O4,"")</f>
        <v/>
      </c>
      <c r="AA4" t="str">
        <f t="shared" si="2"/>
        <v/>
      </c>
    </row>
    <row r="5" spans="1:27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str">
        <f>_xlfn.XLOOKUP(B5,MacReports!B:B,MacReports!E:E,"")</f>
        <v/>
      </c>
      <c r="F5" s="13">
        <f>MacReports!F5</f>
        <v>0</v>
      </c>
      <c r="G5" t="e">
        <f>_xlfn.XLOOKUP(F5,Models!A:A,Models!B:B)</f>
        <v>#N/A</v>
      </c>
      <c r="H5" t="e">
        <f>_xlfn.XLOOKUP(F5,Models!A:A,Models!E:E)</f>
        <v>#N/A</v>
      </c>
      <c r="I5" t="e">
        <f>_xlfn.XLOOKUP(F5,Models!A:A,Models!D:D)</f>
        <v>#N/A</v>
      </c>
      <c r="J5">
        <f>MacReports!G5</f>
        <v>0</v>
      </c>
      <c r="K5" s="59">
        <f>MacReports!H5</f>
        <v>0</v>
      </c>
      <c r="L5" t="str">
        <f t="shared" si="1"/>
        <v>0</v>
      </c>
      <c r="M5" s="15">
        <f>MacReports!I5</f>
        <v>0</v>
      </c>
      <c r="N5" s="16" t="str" cm="1">
        <f t="array" ref="N5">_xlfn.IFS(
   --MacReports!N5&lt;55,"Battery Defect",
  -- MacReports!N5&lt;=69,"Battery D",
  --MacReports!N5&lt;=80,"Battery C",
 --MacReports!N5&gt;80,""
)</f>
        <v>Battery Defect</v>
      </c>
      <c r="O5" s="16" t="str">
        <f>IF(MacReports!J5="Service","Battery Service","")</f>
        <v/>
      </c>
      <c r="P5" s="13">
        <f>MacReports!Q5</f>
        <v>0</v>
      </c>
      <c r="Q5" s="13" t="str">
        <f>IF(MacReports!K5="Enabled","Apple ID Lock","")</f>
        <v/>
      </c>
      <c r="R5" s="13" t="str">
        <f>IF(MacReports!M5="Remote Lock","Remote Locked","")</f>
        <v/>
      </c>
      <c r="S5" t="str">
        <f t="shared" si="0"/>
        <v>Battery Defect, 0</v>
      </c>
      <c r="T5" t="str">
        <f>_xlfn.XLOOKUP(B5,Disk_Pivot!G:G,Disk_Pivot!N:N)</f>
        <v>Pass, Fail</v>
      </c>
      <c r="U5" t="str">
        <f>IF(T5="Fail",MacReports!O5,"")</f>
        <v/>
      </c>
      <c r="AA5" t="str">
        <f t="shared" si="2"/>
        <v/>
      </c>
    </row>
    <row r="6" spans="1:27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str">
        <f>_xlfn.XLOOKUP(B6,MacReports!B:B,MacReports!E:E,"")</f>
        <v/>
      </c>
      <c r="F6" s="13">
        <f>MacReports!F6</f>
        <v>0</v>
      </c>
      <c r="G6" t="e">
        <f>_xlfn.XLOOKUP(F6,Models!A:A,Models!B:B)</f>
        <v>#N/A</v>
      </c>
      <c r="H6" t="e">
        <f>_xlfn.XLOOKUP(F6,Models!A:A,Models!E:E)</f>
        <v>#N/A</v>
      </c>
      <c r="I6" t="e">
        <f>_xlfn.XLOOKUP(F6,Models!A:A,Models!D:D)</f>
        <v>#N/A</v>
      </c>
      <c r="J6">
        <f>MacReports!G6</f>
        <v>0</v>
      </c>
      <c r="K6" s="59">
        <f>MacReports!H6</f>
        <v>0</v>
      </c>
      <c r="L6" t="str">
        <f t="shared" si="1"/>
        <v>0</v>
      </c>
      <c r="M6" s="15">
        <f>MacReports!I6</f>
        <v>0</v>
      </c>
      <c r="N6" s="16" t="str" cm="1">
        <f t="array" ref="N6">_xlfn.IFS(
   --MacReports!N6&lt;55,"Battery Defect",
  -- MacReports!N6&lt;=69,"Battery D",
  --MacReports!N6&lt;=80,"Battery C",
 --MacReports!N6&gt;80,""
)</f>
        <v>Battery Defect</v>
      </c>
      <c r="O6" s="16" t="str">
        <f>IF(MacReports!J6="Service","Battery Service","")</f>
        <v/>
      </c>
      <c r="P6" s="13">
        <f>MacReports!Q6</f>
        <v>0</v>
      </c>
      <c r="Q6" s="13" t="str">
        <f>IF(MacReports!K6="Enabled","Apple ID Lock","")</f>
        <v/>
      </c>
      <c r="R6" s="13" t="str">
        <f>IF(MacReports!M6="Remote Lock","Remote Locked","")</f>
        <v/>
      </c>
      <c r="S6" t="str">
        <f t="shared" si="0"/>
        <v>Battery Defect, 0</v>
      </c>
      <c r="T6" t="str">
        <f>_xlfn.XLOOKUP(B6,Disk_Pivot!G:G,Disk_Pivot!N:N)</f>
        <v>Pass, Fail</v>
      </c>
      <c r="U6" t="str">
        <f>IF(T6="Fail",MacReports!O6,"")</f>
        <v/>
      </c>
      <c r="AA6" t="str">
        <f t="shared" si="2"/>
        <v/>
      </c>
    </row>
    <row r="7" spans="1:27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str">
        <f>_xlfn.XLOOKUP(B7,MacReports!B:B,MacReports!E:E,"")</f>
        <v/>
      </c>
      <c r="F7" s="13">
        <f>MacReports!F7</f>
        <v>0</v>
      </c>
      <c r="G7" t="e">
        <f>_xlfn.XLOOKUP(F7,Models!A:A,Models!B:B)</f>
        <v>#N/A</v>
      </c>
      <c r="H7" t="e">
        <f>_xlfn.XLOOKUP(F7,Models!A:A,Models!E:E)</f>
        <v>#N/A</v>
      </c>
      <c r="I7" t="e">
        <f>_xlfn.XLOOKUP(F7,Models!A:A,Models!D:D)</f>
        <v>#N/A</v>
      </c>
      <c r="J7">
        <f>MacReports!G7</f>
        <v>0</v>
      </c>
      <c r="K7" s="59">
        <f>MacReports!H7</f>
        <v>0</v>
      </c>
      <c r="L7" t="str">
        <f t="shared" si="1"/>
        <v>0</v>
      </c>
      <c r="M7" s="15">
        <f>MacReports!I7</f>
        <v>0</v>
      </c>
      <c r="N7" s="16" t="str" cm="1">
        <f t="array" ref="N7">_xlfn.IFS(
   --MacReports!N7&lt;55,"Battery Defect",
  -- MacReports!N7&lt;=69,"Battery D",
  --MacReports!N7&lt;=80,"Battery C",
 --MacReports!N7&gt;80,""
)</f>
        <v>Battery Defect</v>
      </c>
      <c r="O7" s="16" t="str">
        <f>IF(MacReports!J7="Service","Battery Service","")</f>
        <v/>
      </c>
      <c r="P7" s="13">
        <f>MacReports!Q7</f>
        <v>0</v>
      </c>
      <c r="Q7" s="13" t="str">
        <f>IF(MacReports!K7="Enabled","Apple ID Lock","")</f>
        <v/>
      </c>
      <c r="R7" s="13" t="str">
        <f>IF(MacReports!M7="Remote Lock","Remote Locked","")</f>
        <v/>
      </c>
      <c r="S7" t="str">
        <f t="shared" si="0"/>
        <v>Battery Defect, 0</v>
      </c>
      <c r="T7" t="str">
        <f>_xlfn.XLOOKUP(B7,Disk_Pivot!G:G,Disk_Pivot!N:N)</f>
        <v>Pass, Fail</v>
      </c>
      <c r="U7" t="str">
        <f>IF(T7="Fail",MacReports!O7,"")</f>
        <v/>
      </c>
      <c r="AA7" t="str">
        <f t="shared" si="2"/>
        <v/>
      </c>
    </row>
    <row r="8" spans="1:27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str">
        <f>_xlfn.XLOOKUP(B8,MacReports!B:B,MacReports!E:E,"")</f>
        <v/>
      </c>
      <c r="F8" s="13">
        <f>MacReports!F8</f>
        <v>0</v>
      </c>
      <c r="G8" t="e">
        <f>_xlfn.XLOOKUP(F8,Models!A:A,Models!B:B)</f>
        <v>#N/A</v>
      </c>
      <c r="H8" t="e">
        <f>_xlfn.XLOOKUP(F8,Models!A:A,Models!E:E)</f>
        <v>#N/A</v>
      </c>
      <c r="I8" t="e">
        <f>_xlfn.XLOOKUP(F8,Models!A:A,Models!D:D)</f>
        <v>#N/A</v>
      </c>
      <c r="J8">
        <f>MacReports!G8</f>
        <v>0</v>
      </c>
      <c r="K8" s="59">
        <f>MacReports!H8</f>
        <v>0</v>
      </c>
      <c r="L8" t="str">
        <f t="shared" si="1"/>
        <v>0</v>
      </c>
      <c r="M8" s="15">
        <f>MacReports!I8</f>
        <v>0</v>
      </c>
      <c r="N8" s="16" t="str" cm="1">
        <f t="array" ref="N8">_xlfn.IFS(
   --MacReports!N8&lt;55,"Battery Defect",
  -- MacReports!N8&lt;=69,"Battery D",
  --MacReports!N8&lt;=80,"Battery C",
 --MacReports!N8&gt;80,""
)</f>
        <v>Battery Defect</v>
      </c>
      <c r="O8" s="16" t="str">
        <f>IF(MacReports!J8="Service","Battery Service","")</f>
        <v/>
      </c>
      <c r="P8" s="13">
        <f>MacReports!Q8</f>
        <v>0</v>
      </c>
      <c r="Q8" s="13" t="str">
        <f>IF(MacReports!K8="Enabled","Apple ID Lock","")</f>
        <v/>
      </c>
      <c r="R8" s="13" t="str">
        <f>IF(MacReports!M8="Remote Lock","Remote Locked","")</f>
        <v/>
      </c>
      <c r="S8" t="str">
        <f t="shared" si="0"/>
        <v>Battery Defect, 0</v>
      </c>
      <c r="T8" t="str">
        <f>_xlfn.XLOOKUP(B8,Disk_Pivot!G:G,Disk_Pivot!N:N)</f>
        <v>Pass, Fail</v>
      </c>
      <c r="U8" t="str">
        <f>IF(T8="Fail",MacReports!O8,"")</f>
        <v/>
      </c>
      <c r="AA8" t="str">
        <f t="shared" si="2"/>
        <v/>
      </c>
    </row>
    <row r="9" spans="1:27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str">
        <f>_xlfn.XLOOKUP(B9,MacReports!B:B,MacReports!E:E,"")</f>
        <v/>
      </c>
      <c r="F9" s="13">
        <f>MacReports!F9</f>
        <v>0</v>
      </c>
      <c r="G9" t="e">
        <f>_xlfn.XLOOKUP(F9,Models!A:A,Models!B:B)</f>
        <v>#N/A</v>
      </c>
      <c r="H9" t="e">
        <f>_xlfn.XLOOKUP(F9,Models!A:A,Models!E:E)</f>
        <v>#N/A</v>
      </c>
      <c r="I9" t="e">
        <f>_xlfn.XLOOKUP(F9,Models!A:A,Models!D:D)</f>
        <v>#N/A</v>
      </c>
      <c r="J9">
        <f>MacReports!G9</f>
        <v>0</v>
      </c>
      <c r="K9" s="59">
        <f>MacReports!H9</f>
        <v>0</v>
      </c>
      <c r="L9" t="str">
        <f t="shared" si="1"/>
        <v>0</v>
      </c>
      <c r="M9" s="15">
        <f>MacReports!I9</f>
        <v>0</v>
      </c>
      <c r="N9" s="16" t="str" cm="1">
        <f t="array" ref="N9">_xlfn.IFS(
   --MacReports!N9&lt;55,"Battery Defect",
  -- MacReports!N9&lt;=69,"Battery D",
  --MacReports!N9&lt;=80,"Battery C",
 --MacReports!N9&gt;80,""
)</f>
        <v>Battery Defect</v>
      </c>
      <c r="O9" s="16" t="str">
        <f>IF(MacReports!J9="Service","Battery Service","")</f>
        <v/>
      </c>
      <c r="P9" s="13">
        <f>MacReports!Q9</f>
        <v>0</v>
      </c>
      <c r="Q9" s="13" t="str">
        <f>IF(MacReports!K9="Enabled","Apple ID Lock","")</f>
        <v/>
      </c>
      <c r="R9" s="13" t="str">
        <f>IF(MacReports!M9="Remote Lock","Remote Locked","")</f>
        <v/>
      </c>
      <c r="S9" t="str">
        <f t="shared" si="0"/>
        <v>Battery Defect, 0</v>
      </c>
      <c r="T9" t="str">
        <f>_xlfn.XLOOKUP(B9,Disk_Pivot!G:G,Disk_Pivot!N:N)</f>
        <v>Pass, Fail</v>
      </c>
      <c r="U9" t="str">
        <f>IF(T9="Fail",MacReports!O9,"")</f>
        <v/>
      </c>
      <c r="AA9" t="str">
        <f t="shared" si="2"/>
        <v/>
      </c>
    </row>
    <row r="10" spans="1:27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str">
        <f>_xlfn.XLOOKUP(B10,MacReports!B:B,MacReports!E:E,"")</f>
        <v/>
      </c>
      <c r="F10" s="13">
        <f>MacReports!F10</f>
        <v>0</v>
      </c>
      <c r="G10" t="e">
        <f>_xlfn.XLOOKUP(F10,Models!A:A,Models!B:B)</f>
        <v>#N/A</v>
      </c>
      <c r="H10" t="e">
        <f>_xlfn.XLOOKUP(F10,Models!A:A,Models!E:E)</f>
        <v>#N/A</v>
      </c>
      <c r="I10" t="e">
        <f>_xlfn.XLOOKUP(F10,Models!A:A,Models!D:D)</f>
        <v>#N/A</v>
      </c>
      <c r="J10">
        <f>MacReports!G10</f>
        <v>0</v>
      </c>
      <c r="K10" s="59">
        <f>MacReports!H10</f>
        <v>0</v>
      </c>
      <c r="L10" t="str">
        <f t="shared" si="1"/>
        <v>0</v>
      </c>
      <c r="M10" s="15">
        <f>MacReports!I10</f>
        <v>0</v>
      </c>
      <c r="N10" s="16" t="str" cm="1">
        <f t="array" ref="N10">_xlfn.IFS(
   --MacReports!N10&lt;55,"Battery Defect",
  -- MacReports!N10&lt;=69,"Battery D",
  --MacReports!N10&lt;=80,"Battery C",
 --MacReports!N10&gt;80,""
)</f>
        <v>Battery Defect</v>
      </c>
      <c r="O10" s="16" t="str">
        <f>IF(MacReports!J10="Service","Battery Service","")</f>
        <v/>
      </c>
      <c r="P10" s="13">
        <f>MacReports!Q10</f>
        <v>0</v>
      </c>
      <c r="Q10" s="13" t="str">
        <f>IF(MacReports!K10="Enabled","Apple ID Lock","")</f>
        <v/>
      </c>
      <c r="R10" s="13" t="str">
        <f>IF(MacReports!M10="Remote Lock","Remote Locked","")</f>
        <v/>
      </c>
      <c r="S10" t="str">
        <f t="shared" ref="S10:S34" si="3">_xlfn.TEXTJOIN(", ",TRUE,Q10,R10,N10,O10,P10)</f>
        <v>Battery Defect, 0</v>
      </c>
      <c r="T10" t="str">
        <f>_xlfn.XLOOKUP(B10,Disk_Pivot!G:G,Disk_Pivot!N:N)</f>
        <v>Pass, Fail</v>
      </c>
      <c r="U10" t="str">
        <f>IF(T10="Fail",MacReports!O10,"")</f>
        <v/>
      </c>
      <c r="AA10" t="str">
        <f t="shared" si="2"/>
        <v/>
      </c>
    </row>
    <row r="11" spans="1:27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str">
        <f>_xlfn.XLOOKUP(B11,MacReports!B:B,MacReports!E:E,"")</f>
        <v/>
      </c>
      <c r="F11" s="13">
        <f>MacReports!F11</f>
        <v>0</v>
      </c>
      <c r="G11" t="e">
        <f>_xlfn.XLOOKUP(F11,Models!A:A,Models!B:B)</f>
        <v>#N/A</v>
      </c>
      <c r="H11" t="e">
        <f>_xlfn.XLOOKUP(F11,Models!A:A,Models!E:E)</f>
        <v>#N/A</v>
      </c>
      <c r="I11" t="e">
        <f>_xlfn.XLOOKUP(F11,Models!A:A,Models!D:D)</f>
        <v>#N/A</v>
      </c>
      <c r="J11">
        <f>MacReports!G11</f>
        <v>0</v>
      </c>
      <c r="K11" s="59">
        <f>MacReports!H11</f>
        <v>0</v>
      </c>
      <c r="L11" t="str">
        <f t="shared" si="1"/>
        <v>0</v>
      </c>
      <c r="M11" s="15">
        <f>MacReports!I11</f>
        <v>0</v>
      </c>
      <c r="N11" s="16" t="str" cm="1">
        <f t="array" ref="N11">_xlfn.IFS(
   --MacReports!N11&lt;55,"Battery Defect",
  -- MacReports!N11&lt;=69,"Battery D",
  --MacReports!N11&lt;=80,"Battery C",
 --MacReports!N11&gt;80,""
)</f>
        <v>Battery Defect</v>
      </c>
      <c r="O11" s="16" t="str">
        <f>IF(MacReports!J11="Service","Battery Service","")</f>
        <v/>
      </c>
      <c r="P11" s="13">
        <f>MacReports!Q11</f>
        <v>0</v>
      </c>
      <c r="Q11" s="13" t="str">
        <f>IF(MacReports!K11="Enabled","Apple ID Lock","")</f>
        <v/>
      </c>
      <c r="R11" s="13" t="str">
        <f>IF(MacReports!M11="Remote Lock","Remote Locked","")</f>
        <v/>
      </c>
      <c r="S11" t="str">
        <f t="shared" si="3"/>
        <v>Battery Defect, 0</v>
      </c>
      <c r="T11" t="str">
        <f>_xlfn.XLOOKUP(B11,Disk_Pivot!G:G,Disk_Pivot!N:N)</f>
        <v>Pass, Fail</v>
      </c>
      <c r="U11" t="str">
        <f>IF(T11="Fail",MacReports!O11,"")</f>
        <v/>
      </c>
      <c r="AA11" t="str">
        <f t="shared" si="2"/>
        <v/>
      </c>
    </row>
    <row r="12" spans="1:27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str">
        <f>_xlfn.XLOOKUP(B12,MacReports!B:B,MacReports!E:E,"")</f>
        <v/>
      </c>
      <c r="F12" s="13">
        <f>MacReports!F12</f>
        <v>0</v>
      </c>
      <c r="G12" t="e">
        <f>_xlfn.XLOOKUP(F12,Models!A:A,Models!B:B)</f>
        <v>#N/A</v>
      </c>
      <c r="H12" t="e">
        <f>_xlfn.XLOOKUP(F12,Models!A:A,Models!E:E)</f>
        <v>#N/A</v>
      </c>
      <c r="I12" t="e">
        <f>_xlfn.XLOOKUP(F12,Models!A:A,Models!D:D)</f>
        <v>#N/A</v>
      </c>
      <c r="J12">
        <f>MacReports!G12</f>
        <v>0</v>
      </c>
      <c r="K12" s="59">
        <f>MacReports!H12</f>
        <v>0</v>
      </c>
      <c r="L12" t="str">
        <f t="shared" si="1"/>
        <v>0</v>
      </c>
      <c r="M12" s="15">
        <f>MacReports!I12</f>
        <v>0</v>
      </c>
      <c r="N12" s="16" t="str" cm="1">
        <f t="array" ref="N12">_xlfn.IFS(
   --MacReports!N12&lt;55,"Battery Defect",
  -- MacReports!N12&lt;=69,"Battery D",
  --MacReports!N12&lt;=80,"Battery C",
 --MacReports!N12&gt;80,""
)</f>
        <v>Battery Defect</v>
      </c>
      <c r="O12" s="16" t="str">
        <f>IF(MacReports!J12="Service","Battery Service","")</f>
        <v/>
      </c>
      <c r="P12" s="13">
        <f>MacReports!Q12</f>
        <v>0</v>
      </c>
      <c r="Q12" s="13" t="str">
        <f>IF(MacReports!K12="Enabled","Apple ID Lock","")</f>
        <v/>
      </c>
      <c r="R12" s="13" t="str">
        <f>IF(MacReports!M12="Remote Lock","Remote Locked","")</f>
        <v/>
      </c>
      <c r="S12" t="str">
        <f t="shared" si="3"/>
        <v>Battery Defect, 0</v>
      </c>
      <c r="T12" t="str">
        <f>_xlfn.XLOOKUP(B12,Disk_Pivot!G:G,Disk_Pivot!N:N)</f>
        <v>Pass, Fail</v>
      </c>
      <c r="U12" t="str">
        <f>IF(T12="Fail",MacReports!O12,"")</f>
        <v/>
      </c>
      <c r="AA12" t="str">
        <f t="shared" si="2"/>
        <v/>
      </c>
    </row>
    <row r="13" spans="1:27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str">
        <f>_xlfn.XLOOKUP(B13,MacReports!B:B,MacReports!E:E,"")</f>
        <v/>
      </c>
      <c r="F13" s="13">
        <f>MacReports!F13</f>
        <v>0</v>
      </c>
      <c r="G13" t="e">
        <f>_xlfn.XLOOKUP(F13,Models!A:A,Models!B:B)</f>
        <v>#N/A</v>
      </c>
      <c r="H13" t="e">
        <f>_xlfn.XLOOKUP(F13,Models!A:A,Models!E:E)</f>
        <v>#N/A</v>
      </c>
      <c r="I13" t="e">
        <f>_xlfn.XLOOKUP(F13,Models!A:A,Models!D:D)</f>
        <v>#N/A</v>
      </c>
      <c r="J13">
        <f>MacReports!G13</f>
        <v>0</v>
      </c>
      <c r="K13" s="59">
        <f>MacReports!H13</f>
        <v>0</v>
      </c>
      <c r="L13" t="str">
        <f t="shared" si="1"/>
        <v>0</v>
      </c>
      <c r="M13" s="15">
        <f>MacReports!I13</f>
        <v>0</v>
      </c>
      <c r="N13" s="16" t="str" cm="1">
        <f t="array" ref="N13">_xlfn.IFS(
   --MacReports!N13&lt;55,"Battery Defect",
  -- MacReports!N13&lt;=69,"Battery D",
  --MacReports!N13&lt;=80,"Battery C",
 --MacReports!N13&gt;80,""
)</f>
        <v>Battery Defect</v>
      </c>
      <c r="O13" s="16" t="str">
        <f>IF(MacReports!J13="Service","Battery Service","")</f>
        <v/>
      </c>
      <c r="P13" s="13">
        <f>MacReports!Q13</f>
        <v>0</v>
      </c>
      <c r="Q13" s="13" t="str">
        <f>IF(MacReports!K13="Enabled","Apple ID Lock","")</f>
        <v/>
      </c>
      <c r="R13" s="13" t="str">
        <f>IF(MacReports!M13="Remote Lock","Remote Locked","")</f>
        <v/>
      </c>
      <c r="S13" t="str">
        <f t="shared" si="3"/>
        <v>Battery Defect, 0</v>
      </c>
      <c r="T13" t="str">
        <f>_xlfn.XLOOKUP(B13,Disk_Pivot!G:G,Disk_Pivot!N:N)</f>
        <v>Pass, Fail</v>
      </c>
      <c r="U13" t="str">
        <f>IF(T13="Fail",MacReports!O13,"")</f>
        <v/>
      </c>
      <c r="AA13" t="str">
        <f t="shared" si="2"/>
        <v/>
      </c>
    </row>
    <row r="14" spans="1:27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str">
        <f>_xlfn.XLOOKUP(B14,MacReports!B:B,MacReports!E:E,"")</f>
        <v/>
      </c>
      <c r="F14" s="13">
        <f>MacReports!F14</f>
        <v>0</v>
      </c>
      <c r="G14" t="e">
        <f>_xlfn.XLOOKUP(F14,Models!A:A,Models!B:B)</f>
        <v>#N/A</v>
      </c>
      <c r="H14" t="e">
        <f>_xlfn.XLOOKUP(F14,Models!A:A,Models!E:E)</f>
        <v>#N/A</v>
      </c>
      <c r="I14" t="e">
        <f>_xlfn.XLOOKUP(F14,Models!A:A,Models!D:D)</f>
        <v>#N/A</v>
      </c>
      <c r="J14">
        <f>MacReports!G14</f>
        <v>0</v>
      </c>
      <c r="K14" s="59">
        <f>MacReports!H14</f>
        <v>0</v>
      </c>
      <c r="L14" t="str">
        <f t="shared" si="1"/>
        <v>0</v>
      </c>
      <c r="M14" s="15">
        <f>MacReports!I14</f>
        <v>0</v>
      </c>
      <c r="N14" s="16" t="str" cm="1">
        <f t="array" ref="N14">_xlfn.IFS(
   --MacReports!N14&lt;55,"Battery Defect",
  -- MacReports!N14&lt;=69,"Battery D",
  --MacReports!N14&lt;=80,"Battery C",
 --MacReports!N14&gt;80,""
)</f>
        <v>Battery Defect</v>
      </c>
      <c r="O14" s="16" t="str">
        <f>IF(MacReports!J14="Service","Battery Service","")</f>
        <v/>
      </c>
      <c r="P14" s="13">
        <f>MacReports!Q14</f>
        <v>0</v>
      </c>
      <c r="Q14" s="13" t="str">
        <f>IF(MacReports!K14="Enabled","Apple ID Lock","")</f>
        <v/>
      </c>
      <c r="R14" s="13" t="str">
        <f>IF(MacReports!M14="Remote Lock","Remote Locked","")</f>
        <v/>
      </c>
      <c r="S14" t="str">
        <f t="shared" si="3"/>
        <v>Battery Defect, 0</v>
      </c>
      <c r="T14" t="str">
        <f>_xlfn.XLOOKUP(B14,Disk_Pivot!G:G,Disk_Pivot!N:N)</f>
        <v>Pass, Fail</v>
      </c>
      <c r="U14" t="str">
        <f>IF(T14="Fail",MacReports!O14,"")</f>
        <v/>
      </c>
      <c r="AA14" t="str">
        <f t="shared" si="2"/>
        <v/>
      </c>
    </row>
    <row r="15" spans="1:27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str">
        <f>_xlfn.XLOOKUP(B15,MacReports!B:B,MacReports!E:E,"")</f>
        <v/>
      </c>
      <c r="F15" s="13">
        <f>MacReports!F15</f>
        <v>0</v>
      </c>
      <c r="G15" t="e">
        <f>_xlfn.XLOOKUP(F15,Models!A:A,Models!B:B)</f>
        <v>#N/A</v>
      </c>
      <c r="H15" t="e">
        <f>_xlfn.XLOOKUP(F15,Models!A:A,Models!E:E)</f>
        <v>#N/A</v>
      </c>
      <c r="I15" t="e">
        <f>_xlfn.XLOOKUP(F15,Models!A:A,Models!D:D)</f>
        <v>#N/A</v>
      </c>
      <c r="J15">
        <f>MacReports!G15</f>
        <v>0</v>
      </c>
      <c r="K15" s="59">
        <f>MacReports!H15</f>
        <v>0</v>
      </c>
      <c r="L15" t="str">
        <f t="shared" si="1"/>
        <v>0</v>
      </c>
      <c r="M15" s="15">
        <f>MacReports!I15</f>
        <v>0</v>
      </c>
      <c r="N15" s="16" t="str" cm="1">
        <f t="array" ref="N15">_xlfn.IFS(
   --MacReports!N15&lt;55,"Battery Defect",
  -- MacReports!N15&lt;=69,"Battery D",
  --MacReports!N15&lt;=80,"Battery C",
 --MacReports!N15&gt;80,""
)</f>
        <v>Battery Defect</v>
      </c>
      <c r="O15" s="16" t="str">
        <f>IF(MacReports!J15="Service","Battery Service","")</f>
        <v/>
      </c>
      <c r="P15" s="13">
        <f>MacReports!Q15</f>
        <v>0</v>
      </c>
      <c r="Q15" s="13" t="str">
        <f>IF(MacReports!K15="Enabled","Apple ID Lock","")</f>
        <v/>
      </c>
      <c r="R15" s="13" t="str">
        <f>IF(MacReports!M15="Remote Lock","Remote Locked","")</f>
        <v/>
      </c>
      <c r="S15" t="str">
        <f t="shared" si="3"/>
        <v>Battery Defect, 0</v>
      </c>
      <c r="T15" t="str">
        <f>_xlfn.XLOOKUP(B15,Disk_Pivot!G:G,Disk_Pivot!N:N)</f>
        <v>Pass, Fail</v>
      </c>
      <c r="U15" t="str">
        <f>IF(T15="Fail",MacReports!O15,"")</f>
        <v/>
      </c>
      <c r="AA15" t="str">
        <f t="shared" si="2"/>
        <v/>
      </c>
    </row>
    <row r="16" spans="1:27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str">
        <f>_xlfn.XLOOKUP(B16,MacReports!B:B,MacReports!E:E,"")</f>
        <v/>
      </c>
      <c r="F16" s="13">
        <f>MacReports!F16</f>
        <v>0</v>
      </c>
      <c r="G16" t="e">
        <f>_xlfn.XLOOKUP(F16,Models!A:A,Models!B:B)</f>
        <v>#N/A</v>
      </c>
      <c r="H16" t="e">
        <f>_xlfn.XLOOKUP(F16,Models!A:A,Models!E:E)</f>
        <v>#N/A</v>
      </c>
      <c r="I16" t="e">
        <f>_xlfn.XLOOKUP(F16,Models!A:A,Models!D:D)</f>
        <v>#N/A</v>
      </c>
      <c r="J16">
        <f>MacReports!G16</f>
        <v>0</v>
      </c>
      <c r="K16" s="59">
        <f>MacReports!H16</f>
        <v>0</v>
      </c>
      <c r="L16" t="str">
        <f t="shared" si="1"/>
        <v>0</v>
      </c>
      <c r="M16" s="15">
        <f>MacReports!I16</f>
        <v>0</v>
      </c>
      <c r="N16" s="16" t="str" cm="1">
        <f t="array" ref="N16">_xlfn.IFS(
   --MacReports!N16&lt;55,"Battery Defect",
  -- MacReports!N16&lt;=69,"Battery D",
  --MacReports!N16&lt;=80,"Battery C",
 --MacReports!N16&gt;80,""
)</f>
        <v>Battery Defect</v>
      </c>
      <c r="O16" s="16" t="str">
        <f>IF(MacReports!J16="Service","Battery Service","")</f>
        <v/>
      </c>
      <c r="P16" s="13">
        <f>MacReports!Q16</f>
        <v>0</v>
      </c>
      <c r="Q16" s="13" t="str">
        <f>IF(MacReports!K16="Enabled","Apple ID Lock","")</f>
        <v/>
      </c>
      <c r="R16" s="13" t="str">
        <f>IF(MacReports!M16="Remote Lock","Remote Locked","")</f>
        <v/>
      </c>
      <c r="S16" t="str">
        <f t="shared" si="3"/>
        <v>Battery Defect, 0</v>
      </c>
      <c r="T16" t="str">
        <f>_xlfn.XLOOKUP(B16,Disk_Pivot!G:G,Disk_Pivot!N:N)</f>
        <v>Pass, Fail</v>
      </c>
      <c r="U16" t="str">
        <f>IF(T16="Fail",MacReports!O16,"")</f>
        <v/>
      </c>
      <c r="AA16" t="str">
        <f t="shared" si="2"/>
        <v/>
      </c>
    </row>
    <row r="17" spans="1:27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str">
        <f>_xlfn.XLOOKUP(B17,MacReports!B:B,MacReports!E:E,"")</f>
        <v/>
      </c>
      <c r="F17" s="13">
        <f>MacReports!F17</f>
        <v>0</v>
      </c>
      <c r="G17" t="e">
        <f>_xlfn.XLOOKUP(F17,Models!A:A,Models!B:B)</f>
        <v>#N/A</v>
      </c>
      <c r="H17" t="e">
        <f>_xlfn.XLOOKUP(F17,Models!A:A,Models!E:E)</f>
        <v>#N/A</v>
      </c>
      <c r="I17" t="e">
        <f>_xlfn.XLOOKUP(F17,Models!A:A,Models!D:D)</f>
        <v>#N/A</v>
      </c>
      <c r="J17">
        <f>MacReports!G17</f>
        <v>0</v>
      </c>
      <c r="K17" s="59">
        <f>MacReports!H17</f>
        <v>0</v>
      </c>
      <c r="L17" t="str">
        <f t="shared" si="1"/>
        <v>0</v>
      </c>
      <c r="M17" s="15">
        <f>MacReports!I17</f>
        <v>0</v>
      </c>
      <c r="N17" s="16" t="str" cm="1">
        <f t="array" ref="N17">_xlfn.IFS(
   --MacReports!N17&lt;55,"Battery Defect",
  -- MacReports!N17&lt;=69,"Battery D",
  --MacReports!N17&lt;=80,"Battery C",
 --MacReports!N17&gt;80,""
)</f>
        <v>Battery Defect</v>
      </c>
      <c r="O17" s="16" t="str">
        <f>IF(MacReports!J17="Service","Battery Service","")</f>
        <v/>
      </c>
      <c r="P17" s="13">
        <f>MacReports!Q17</f>
        <v>0</v>
      </c>
      <c r="Q17" s="13" t="str">
        <f>IF(MacReports!K17="Enabled","Apple ID Lock","")</f>
        <v/>
      </c>
      <c r="R17" s="13" t="str">
        <f>IF(MacReports!M17="Remote Lock","Remote Locked","")</f>
        <v/>
      </c>
      <c r="S17" t="str">
        <f t="shared" si="3"/>
        <v>Battery Defect, 0</v>
      </c>
      <c r="T17" t="str">
        <f>_xlfn.XLOOKUP(B17,Disk_Pivot!G:G,Disk_Pivot!N:N)</f>
        <v>Pass, Fail</v>
      </c>
      <c r="U17" t="str">
        <f>IF(T17="Fail",MacReports!O17,"")</f>
        <v/>
      </c>
      <c r="AA17" t="str">
        <f t="shared" si="2"/>
        <v/>
      </c>
    </row>
    <row r="18" spans="1:27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str">
        <f>_xlfn.XLOOKUP(B18,MacReports!B:B,MacReports!E:E,"")</f>
        <v/>
      </c>
      <c r="F18" s="13">
        <f>MacReports!F18</f>
        <v>0</v>
      </c>
      <c r="G18" t="e">
        <f>_xlfn.XLOOKUP(F18,Models!A:A,Models!B:B)</f>
        <v>#N/A</v>
      </c>
      <c r="H18" t="e">
        <f>_xlfn.XLOOKUP(F18,Models!A:A,Models!E:E)</f>
        <v>#N/A</v>
      </c>
      <c r="I18" t="e">
        <f>_xlfn.XLOOKUP(F18,Models!A:A,Models!D:D)</f>
        <v>#N/A</v>
      </c>
      <c r="J18">
        <f>MacReports!G18</f>
        <v>0</v>
      </c>
      <c r="K18" s="59">
        <f>MacReports!H18</f>
        <v>0</v>
      </c>
      <c r="L18" t="str">
        <f t="shared" si="1"/>
        <v>0</v>
      </c>
      <c r="M18" s="15">
        <f>MacReports!I18</f>
        <v>0</v>
      </c>
      <c r="N18" s="16" t="str" cm="1">
        <f t="array" ref="N18">_xlfn.IFS(
   --MacReports!N18&lt;55,"Battery Defect",
  -- MacReports!N18&lt;=69,"Battery D",
  --MacReports!N18&lt;=80,"Battery C",
 --MacReports!N18&gt;80,""
)</f>
        <v>Battery Defect</v>
      </c>
      <c r="O18" s="16" t="str">
        <f>IF(MacReports!J18="Service","Battery Service","")</f>
        <v/>
      </c>
      <c r="P18" s="13">
        <f>MacReports!Q18</f>
        <v>0</v>
      </c>
      <c r="Q18" s="13" t="str">
        <f>IF(MacReports!K18="Enabled","Apple ID Lock","")</f>
        <v/>
      </c>
      <c r="R18" s="13" t="str">
        <f>IF(MacReports!M18="Remote Lock","Remote Locked","")</f>
        <v/>
      </c>
      <c r="S18" t="str">
        <f t="shared" si="3"/>
        <v>Battery Defect, 0</v>
      </c>
      <c r="T18" t="str">
        <f>_xlfn.XLOOKUP(B18,Disk_Pivot!G:G,Disk_Pivot!N:N)</f>
        <v>Pass, Fail</v>
      </c>
      <c r="U18" t="str">
        <f>IF(T18="Fail",MacReports!O18,"")</f>
        <v/>
      </c>
      <c r="AA18" t="str">
        <f t="shared" si="2"/>
        <v/>
      </c>
    </row>
    <row r="19" spans="1:27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str">
        <f>_xlfn.XLOOKUP(B19,MacReports!B:B,MacReports!E:E,"")</f>
        <v/>
      </c>
      <c r="F19" s="13">
        <f>MacReports!F19</f>
        <v>0</v>
      </c>
      <c r="G19" t="e">
        <f>_xlfn.XLOOKUP(F19,Models!A:A,Models!B:B)</f>
        <v>#N/A</v>
      </c>
      <c r="H19" t="e">
        <f>_xlfn.XLOOKUP(F19,Models!A:A,Models!E:E)</f>
        <v>#N/A</v>
      </c>
      <c r="I19" t="e">
        <f>_xlfn.XLOOKUP(F19,Models!A:A,Models!D:D)</f>
        <v>#N/A</v>
      </c>
      <c r="J19">
        <f>MacReports!G19</f>
        <v>0</v>
      </c>
      <c r="K19" s="59">
        <f>MacReports!H19</f>
        <v>0</v>
      </c>
      <c r="L19" t="str">
        <f t="shared" si="1"/>
        <v>0</v>
      </c>
      <c r="M19" s="15">
        <f>MacReports!I19</f>
        <v>0</v>
      </c>
      <c r="N19" s="16" t="str" cm="1">
        <f t="array" ref="N19">_xlfn.IFS(
   --MacReports!N19&lt;55,"Battery Defect",
  -- MacReports!N19&lt;=69,"Battery D",
  --MacReports!N19&lt;=80,"Battery C",
 --MacReports!N19&gt;80,""
)</f>
        <v>Battery Defect</v>
      </c>
      <c r="O19" s="16" t="str">
        <f>IF(MacReports!J19="Service","Battery Service","")</f>
        <v/>
      </c>
      <c r="P19" s="13">
        <f>MacReports!Q19</f>
        <v>0</v>
      </c>
      <c r="Q19" s="13" t="str">
        <f>IF(MacReports!K19="Enabled","Apple ID Lock","")</f>
        <v/>
      </c>
      <c r="R19" s="13" t="str">
        <f>IF(MacReports!M19="Remote Lock","Remote Locked","")</f>
        <v/>
      </c>
      <c r="S19" t="str">
        <f t="shared" si="3"/>
        <v>Battery Defect, 0</v>
      </c>
      <c r="T19" t="str">
        <f>_xlfn.XLOOKUP(B19,Disk_Pivot!G:G,Disk_Pivot!N:N)</f>
        <v>Pass, Fail</v>
      </c>
      <c r="U19" t="str">
        <f>IF(T19="Fail",MacReports!O19,"")</f>
        <v/>
      </c>
      <c r="AA19" t="str">
        <f t="shared" si="2"/>
        <v/>
      </c>
    </row>
    <row r="20" spans="1:27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str">
        <f>_xlfn.XLOOKUP(B20,MacReports!B:B,MacReports!E:E,"")</f>
        <v/>
      </c>
      <c r="F20" s="13">
        <f>MacReports!F20</f>
        <v>0</v>
      </c>
      <c r="G20" t="e">
        <f>_xlfn.XLOOKUP(F20,Models!A:A,Models!B:B)</f>
        <v>#N/A</v>
      </c>
      <c r="H20" t="e">
        <f>_xlfn.XLOOKUP(F20,Models!A:A,Models!E:E)</f>
        <v>#N/A</v>
      </c>
      <c r="I20" t="e">
        <f>_xlfn.XLOOKUP(F20,Models!A:A,Models!D:D)</f>
        <v>#N/A</v>
      </c>
      <c r="J20">
        <f>MacReports!G20</f>
        <v>0</v>
      </c>
      <c r="K20" s="59">
        <f>MacReports!H20</f>
        <v>0</v>
      </c>
      <c r="L20" t="str">
        <f t="shared" si="1"/>
        <v>0</v>
      </c>
      <c r="M20" s="15">
        <f>MacReports!I20</f>
        <v>0</v>
      </c>
      <c r="N20" s="16" t="str" cm="1">
        <f t="array" ref="N20">_xlfn.IFS(
   --MacReports!N20&lt;55,"Battery Defect",
  -- MacReports!N20&lt;=69,"Battery D",
  --MacReports!N20&lt;=80,"Battery C",
 --MacReports!N20&gt;80,""
)</f>
        <v>Battery Defect</v>
      </c>
      <c r="O20" s="16" t="str">
        <f>IF(MacReports!J20="Service","Battery Service","")</f>
        <v/>
      </c>
      <c r="P20" s="13">
        <f>MacReports!Q20</f>
        <v>0</v>
      </c>
      <c r="Q20" s="13" t="str">
        <f>IF(MacReports!K20="Enabled","Apple ID Lock","")</f>
        <v/>
      </c>
      <c r="R20" s="13" t="str">
        <f>IF(MacReports!M20="Remote Lock","Remote Locked","")</f>
        <v/>
      </c>
      <c r="S20" t="str">
        <f t="shared" si="3"/>
        <v>Battery Defect, 0</v>
      </c>
      <c r="T20" t="str">
        <f>_xlfn.XLOOKUP(B20,Disk_Pivot!G:G,Disk_Pivot!N:N)</f>
        <v>Pass, Fail</v>
      </c>
      <c r="U20" t="str">
        <f>IF(T20="Fail",MacReports!O20,"")</f>
        <v/>
      </c>
      <c r="AA20" t="str">
        <f t="shared" si="2"/>
        <v/>
      </c>
    </row>
    <row r="21" spans="1:27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str">
        <f>_xlfn.XLOOKUP(B21,MacReports!B:B,MacReports!E:E,"")</f>
        <v/>
      </c>
      <c r="F21" s="13">
        <f>MacReports!F21</f>
        <v>0</v>
      </c>
      <c r="G21" t="e">
        <f>_xlfn.XLOOKUP(F21,Models!A:A,Models!B:B)</f>
        <v>#N/A</v>
      </c>
      <c r="H21" t="e">
        <f>_xlfn.XLOOKUP(F21,Models!A:A,Models!E:E)</f>
        <v>#N/A</v>
      </c>
      <c r="I21" t="e">
        <f>_xlfn.XLOOKUP(F21,Models!A:A,Models!D:D)</f>
        <v>#N/A</v>
      </c>
      <c r="J21">
        <f>MacReports!G21</f>
        <v>0</v>
      </c>
      <c r="K21" s="59">
        <f>MacReports!H21</f>
        <v>0</v>
      </c>
      <c r="L21" t="str">
        <f t="shared" si="1"/>
        <v>0</v>
      </c>
      <c r="M21" s="15">
        <f>MacReports!I21</f>
        <v>0</v>
      </c>
      <c r="N21" s="16" t="str" cm="1">
        <f t="array" ref="N21">_xlfn.IFS(
   --MacReports!N21&lt;55,"Battery Defect",
  -- MacReports!N21&lt;=69,"Battery D",
  --MacReports!N21&lt;=80,"Battery C",
 --MacReports!N21&gt;80,""
)</f>
        <v>Battery Defect</v>
      </c>
      <c r="O21" s="16" t="str">
        <f>IF(MacReports!J21="Service","Battery Service","")</f>
        <v/>
      </c>
      <c r="P21" s="13">
        <f>MacReports!Q21</f>
        <v>0</v>
      </c>
      <c r="Q21" s="13" t="str">
        <f>IF(MacReports!K21="Enabled","Apple ID Lock","")</f>
        <v/>
      </c>
      <c r="R21" s="13" t="str">
        <f>IF(MacReports!M21="Remote Lock","Remote Locked","")</f>
        <v/>
      </c>
      <c r="S21" t="str">
        <f t="shared" si="3"/>
        <v>Battery Defect, 0</v>
      </c>
      <c r="T21" t="str">
        <f>_xlfn.XLOOKUP(B21,Disk_Pivot!G:G,Disk_Pivot!N:N)</f>
        <v>Pass, Fail</v>
      </c>
      <c r="U21" t="str">
        <f>IF(T21="Fail",MacReports!O21,"")</f>
        <v/>
      </c>
      <c r="AA21" t="str">
        <f t="shared" si="2"/>
        <v/>
      </c>
    </row>
    <row r="22" spans="1:27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str">
        <f>_xlfn.XLOOKUP(B22,MacReports!B:B,MacReports!E:E,"")</f>
        <v/>
      </c>
      <c r="F22" s="13">
        <f>MacReports!F22</f>
        <v>0</v>
      </c>
      <c r="G22" t="e">
        <f>_xlfn.XLOOKUP(F22,Models!A:A,Models!B:B)</f>
        <v>#N/A</v>
      </c>
      <c r="H22" t="e">
        <f>_xlfn.XLOOKUP(F22,Models!A:A,Models!E:E)</f>
        <v>#N/A</v>
      </c>
      <c r="I22" t="e">
        <f>_xlfn.XLOOKUP(F22,Models!A:A,Models!D:D)</f>
        <v>#N/A</v>
      </c>
      <c r="J22">
        <f>MacReports!G22</f>
        <v>0</v>
      </c>
      <c r="K22" s="59">
        <f>MacReports!H22</f>
        <v>0</v>
      </c>
      <c r="L22" t="str">
        <f t="shared" si="1"/>
        <v>0</v>
      </c>
      <c r="M22" s="15">
        <f>MacReports!I22</f>
        <v>0</v>
      </c>
      <c r="N22" s="16" t="str" cm="1">
        <f t="array" ref="N22">_xlfn.IFS(
   --MacReports!N22&lt;55,"Battery Defect",
  -- MacReports!N22&lt;=69,"Battery D",
  --MacReports!N22&lt;=80,"Battery C",
 --MacReports!N22&gt;80,""
)</f>
        <v>Battery Defect</v>
      </c>
      <c r="O22" s="16" t="str">
        <f>IF(MacReports!J22="Service","Battery Service","")</f>
        <v/>
      </c>
      <c r="P22" s="13">
        <f>MacReports!Q22</f>
        <v>0</v>
      </c>
      <c r="Q22" s="13" t="str">
        <f>IF(MacReports!K22="Enabled","Apple ID Lock","")</f>
        <v/>
      </c>
      <c r="R22" s="13" t="str">
        <f>IF(MacReports!M22="Remote Lock","Remote Locked","")</f>
        <v/>
      </c>
      <c r="S22" t="str">
        <f t="shared" si="3"/>
        <v>Battery Defect, 0</v>
      </c>
      <c r="T22" t="str">
        <f>_xlfn.XLOOKUP(B22,Disk_Pivot!G:G,Disk_Pivot!N:N)</f>
        <v>Pass, Fail</v>
      </c>
      <c r="U22" t="str">
        <f>IF(T22="Fail",MacReports!O22,"")</f>
        <v/>
      </c>
      <c r="AA22" t="str">
        <f t="shared" si="2"/>
        <v/>
      </c>
    </row>
    <row r="23" spans="1:27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str">
        <f>_xlfn.XLOOKUP(B23,MacReports!B:B,MacReports!E:E,"")</f>
        <v/>
      </c>
      <c r="F23" s="13">
        <f>MacReports!F23</f>
        <v>0</v>
      </c>
      <c r="G23" t="e">
        <f>_xlfn.XLOOKUP(F23,Models!A:A,Models!B:B)</f>
        <v>#N/A</v>
      </c>
      <c r="H23" t="e">
        <f>_xlfn.XLOOKUP(F23,Models!A:A,Models!E:E)</f>
        <v>#N/A</v>
      </c>
      <c r="I23" t="e">
        <f>_xlfn.XLOOKUP(F23,Models!A:A,Models!D:D)</f>
        <v>#N/A</v>
      </c>
      <c r="J23">
        <f>MacReports!G23</f>
        <v>0</v>
      </c>
      <c r="K23" s="59">
        <f>MacReports!H23</f>
        <v>0</v>
      </c>
      <c r="L23" t="str">
        <f t="shared" si="1"/>
        <v>0</v>
      </c>
      <c r="M23" s="15">
        <f>MacReports!I23</f>
        <v>0</v>
      </c>
      <c r="N23" s="16" t="str" cm="1">
        <f t="array" ref="N23">_xlfn.IFS(
   --MacReports!N23&lt;55,"Battery Defect",
  -- MacReports!N23&lt;=69,"Battery D",
  --MacReports!N23&lt;=80,"Battery C",
 --MacReports!N23&gt;80,""
)</f>
        <v>Battery Defect</v>
      </c>
      <c r="O23" s="16" t="str">
        <f>IF(MacReports!J23="Service","Battery Service","")</f>
        <v/>
      </c>
      <c r="P23" s="13">
        <f>MacReports!Q23</f>
        <v>0</v>
      </c>
      <c r="Q23" s="13" t="str">
        <f>IF(MacReports!K23="Enabled","Apple ID Lock","")</f>
        <v/>
      </c>
      <c r="R23" s="13" t="str">
        <f>IF(MacReports!M23="Remote Lock","Remote Locked","")</f>
        <v/>
      </c>
      <c r="S23" t="str">
        <f t="shared" si="3"/>
        <v>Battery Defect, 0</v>
      </c>
      <c r="T23" t="str">
        <f>_xlfn.XLOOKUP(B23,Disk_Pivot!G:G,Disk_Pivot!N:N)</f>
        <v>Pass, Fail</v>
      </c>
      <c r="U23" t="str">
        <f>IF(T23="Fail",MacReports!O23,"")</f>
        <v/>
      </c>
      <c r="AA23" t="str">
        <f t="shared" si="2"/>
        <v/>
      </c>
    </row>
    <row r="24" spans="1:27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str">
        <f>_xlfn.XLOOKUP(B24,MacReports!B:B,MacReports!E:E,"")</f>
        <v/>
      </c>
      <c r="F24" s="13">
        <f>MacReports!F24</f>
        <v>0</v>
      </c>
      <c r="G24" t="e">
        <f>_xlfn.XLOOKUP(F24,Models!A:A,Models!B:B)</f>
        <v>#N/A</v>
      </c>
      <c r="H24" t="e">
        <f>_xlfn.XLOOKUP(F24,Models!A:A,Models!E:E)</f>
        <v>#N/A</v>
      </c>
      <c r="I24" t="e">
        <f>_xlfn.XLOOKUP(F24,Models!A:A,Models!D:D)</f>
        <v>#N/A</v>
      </c>
      <c r="J24">
        <f>MacReports!G24</f>
        <v>0</v>
      </c>
      <c r="K24" s="59">
        <f>MacReports!H24</f>
        <v>0</v>
      </c>
      <c r="L24" t="str">
        <f t="shared" si="1"/>
        <v>0</v>
      </c>
      <c r="M24" s="15">
        <f>MacReports!I24</f>
        <v>0</v>
      </c>
      <c r="N24" s="16" t="str" cm="1">
        <f t="array" ref="N24">_xlfn.IFS(
   --MacReports!N24&lt;55,"Battery Defect",
  -- MacReports!N24&lt;=69,"Battery D",
  --MacReports!N24&lt;=80,"Battery C",
 --MacReports!N24&gt;80,""
)</f>
        <v>Battery Defect</v>
      </c>
      <c r="O24" s="16" t="str">
        <f>IF(MacReports!J24="Service","Battery Service","")</f>
        <v/>
      </c>
      <c r="P24" s="13">
        <f>MacReports!Q24</f>
        <v>0</v>
      </c>
      <c r="Q24" s="13" t="str">
        <f>IF(MacReports!K24="Enabled","Apple ID Lock","")</f>
        <v/>
      </c>
      <c r="R24" s="13" t="str">
        <f>IF(MacReports!M24="Remote Lock","Remote Locked","")</f>
        <v/>
      </c>
      <c r="S24" t="str">
        <f t="shared" si="3"/>
        <v>Battery Defect, 0</v>
      </c>
      <c r="T24" t="str">
        <f>_xlfn.XLOOKUP(B24,Disk_Pivot!G:G,Disk_Pivot!N:N)</f>
        <v>Pass, Fail</v>
      </c>
      <c r="U24" t="str">
        <f>IF(T24="Fail",MacReports!O24,"")</f>
        <v/>
      </c>
      <c r="AA24" t="str">
        <f t="shared" si="2"/>
        <v/>
      </c>
    </row>
    <row r="25" spans="1:27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str">
        <f>_xlfn.XLOOKUP(B25,MacReports!B:B,MacReports!E:E,"")</f>
        <v/>
      </c>
      <c r="F25" s="13">
        <f>MacReports!F25</f>
        <v>0</v>
      </c>
      <c r="G25" t="e">
        <f>_xlfn.XLOOKUP(F25,Models!A:A,Models!B:B)</f>
        <v>#N/A</v>
      </c>
      <c r="H25" t="e">
        <f>_xlfn.XLOOKUP(F25,Models!A:A,Models!E:E)</f>
        <v>#N/A</v>
      </c>
      <c r="I25" t="e">
        <f>_xlfn.XLOOKUP(F25,Models!A:A,Models!D:D)</f>
        <v>#N/A</v>
      </c>
      <c r="J25">
        <f>MacReports!G25</f>
        <v>0</v>
      </c>
      <c r="K25" s="59">
        <f>MacReports!H25</f>
        <v>0</v>
      </c>
      <c r="L25" t="str">
        <f t="shared" si="1"/>
        <v>0</v>
      </c>
      <c r="M25" s="15">
        <f>MacReports!I25</f>
        <v>0</v>
      </c>
      <c r="N25" s="16" t="str" cm="1">
        <f t="array" ref="N25">_xlfn.IFS(
   --MacReports!N25&lt;55,"Battery Defect",
  -- MacReports!N25&lt;=69,"Battery D",
  --MacReports!N25&lt;=80,"Battery C",
 --MacReports!N25&gt;80,""
)</f>
        <v>Battery Defect</v>
      </c>
      <c r="O25" s="16" t="str">
        <f>IF(MacReports!J25="Service","Battery Service","")</f>
        <v/>
      </c>
      <c r="P25" s="13">
        <f>MacReports!Q25</f>
        <v>0</v>
      </c>
      <c r="Q25" s="13" t="str">
        <f>IF(MacReports!K25="Enabled","Apple ID Lock","")</f>
        <v/>
      </c>
      <c r="R25" s="13" t="str">
        <f>IF(MacReports!M25="Remote Lock","Remote Locked","")</f>
        <v/>
      </c>
      <c r="S25" t="str">
        <f t="shared" si="3"/>
        <v>Battery Defect, 0</v>
      </c>
      <c r="T25" t="str">
        <f>_xlfn.XLOOKUP(B25,Disk_Pivot!G:G,Disk_Pivot!N:N)</f>
        <v>Pass, Fail</v>
      </c>
      <c r="U25" t="str">
        <f>IF(T25="Fail",MacReports!O25,"")</f>
        <v/>
      </c>
      <c r="AA25" t="str">
        <f t="shared" si="2"/>
        <v/>
      </c>
    </row>
    <row r="26" spans="1:27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str">
        <f>_xlfn.XLOOKUP(B26,MacReports!B:B,MacReports!E:E,"")</f>
        <v/>
      </c>
      <c r="F26" s="13">
        <f>MacReports!F26</f>
        <v>0</v>
      </c>
      <c r="G26" t="e">
        <f>_xlfn.XLOOKUP(F26,Models!A:A,Models!B:B)</f>
        <v>#N/A</v>
      </c>
      <c r="H26" t="e">
        <f>_xlfn.XLOOKUP(F26,Models!A:A,Models!E:E)</f>
        <v>#N/A</v>
      </c>
      <c r="I26" t="e">
        <f>_xlfn.XLOOKUP(F26,Models!A:A,Models!D:D)</f>
        <v>#N/A</v>
      </c>
      <c r="J26">
        <f>MacReports!G26</f>
        <v>0</v>
      </c>
      <c r="K26" s="59">
        <f>MacReports!H26</f>
        <v>0</v>
      </c>
      <c r="L26" t="str">
        <f t="shared" si="1"/>
        <v>0</v>
      </c>
      <c r="M26" s="15">
        <f>MacReports!I26</f>
        <v>0</v>
      </c>
      <c r="N26" s="16" t="str" cm="1">
        <f t="array" ref="N26">_xlfn.IFS(
   --MacReports!N26&lt;55,"Battery Defect",
  -- MacReports!N26&lt;=69,"Battery D",
  --MacReports!N26&lt;=80,"Battery C",
 --MacReports!N26&gt;80,""
)</f>
        <v>Battery Defect</v>
      </c>
      <c r="O26" s="16" t="str">
        <f>IF(MacReports!J26="Service","Battery Service","")</f>
        <v/>
      </c>
      <c r="P26" s="13">
        <f>MacReports!Q26</f>
        <v>0</v>
      </c>
      <c r="Q26" s="13" t="str">
        <f>IF(MacReports!K26="Enabled","Apple ID Lock","")</f>
        <v/>
      </c>
      <c r="R26" s="13" t="str">
        <f>IF(MacReports!M26="Remote Lock","Remote Locked","")</f>
        <v/>
      </c>
      <c r="S26" t="str">
        <f t="shared" si="3"/>
        <v>Battery Defect, 0</v>
      </c>
      <c r="T26" t="str">
        <f>_xlfn.XLOOKUP(B26,Disk_Pivot!G:G,Disk_Pivot!N:N)</f>
        <v>Pass, Fail</v>
      </c>
      <c r="U26" t="str">
        <f>IF(T26="Fail",MacReports!O26,"")</f>
        <v/>
      </c>
      <c r="AA26" t="str">
        <f t="shared" si="2"/>
        <v/>
      </c>
    </row>
    <row r="27" spans="1:27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str">
        <f>_xlfn.XLOOKUP(B27,MacReports!B:B,MacReports!E:E,"")</f>
        <v/>
      </c>
      <c r="F27" s="13">
        <f>MacReports!F27</f>
        <v>0</v>
      </c>
      <c r="G27" t="e">
        <f>_xlfn.XLOOKUP(F27,Models!A:A,Models!B:B)</f>
        <v>#N/A</v>
      </c>
      <c r="H27" t="e">
        <f>_xlfn.XLOOKUP(F27,Models!A:A,Models!E:E)</f>
        <v>#N/A</v>
      </c>
      <c r="I27" t="e">
        <f>_xlfn.XLOOKUP(F27,Models!A:A,Models!D:D)</f>
        <v>#N/A</v>
      </c>
      <c r="J27">
        <f>MacReports!G27</f>
        <v>0</v>
      </c>
      <c r="K27" s="59">
        <f>MacReports!H27</f>
        <v>0</v>
      </c>
      <c r="L27" t="str">
        <f t="shared" si="1"/>
        <v>0</v>
      </c>
      <c r="M27" s="15">
        <f>MacReports!I27</f>
        <v>0</v>
      </c>
      <c r="N27" s="16" t="str" cm="1">
        <f t="array" ref="N27">_xlfn.IFS(
   --MacReports!N27&lt;55,"Battery Defect",
  -- MacReports!N27&lt;=69,"Battery D",
  --MacReports!N27&lt;=80,"Battery C",
 --MacReports!N27&gt;80,""
)</f>
        <v>Battery Defect</v>
      </c>
      <c r="O27" s="16" t="str">
        <f>IF(MacReports!J27="Service","Battery Service","")</f>
        <v/>
      </c>
      <c r="P27" s="13">
        <f>MacReports!Q27</f>
        <v>0</v>
      </c>
      <c r="Q27" s="13" t="str">
        <f>IF(MacReports!K27="Enabled","Apple ID Lock","")</f>
        <v/>
      </c>
      <c r="R27" s="13" t="str">
        <f>IF(MacReports!M27="Remote Lock","Remote Locked","")</f>
        <v/>
      </c>
      <c r="S27" t="str">
        <f t="shared" si="3"/>
        <v>Battery Defect, 0</v>
      </c>
      <c r="T27" t="str">
        <f>_xlfn.XLOOKUP(B27,Disk_Pivot!G:G,Disk_Pivot!N:N)</f>
        <v>Pass, Fail</v>
      </c>
      <c r="U27" t="str">
        <f>IF(T27="Fail",MacReports!O27,"")</f>
        <v/>
      </c>
      <c r="AA27" t="str">
        <f t="shared" si="2"/>
        <v/>
      </c>
    </row>
    <row r="28" spans="1:27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str">
        <f>_xlfn.XLOOKUP(B28,MacReports!B:B,MacReports!E:E,"")</f>
        <v/>
      </c>
      <c r="F28" s="13">
        <f>MacReports!F28</f>
        <v>0</v>
      </c>
      <c r="G28" t="e">
        <f>_xlfn.XLOOKUP(F28,Models!A:A,Models!B:B)</f>
        <v>#N/A</v>
      </c>
      <c r="H28" t="e">
        <f>_xlfn.XLOOKUP(F28,Models!A:A,Models!E:E)</f>
        <v>#N/A</v>
      </c>
      <c r="I28" t="e">
        <f>_xlfn.XLOOKUP(F28,Models!A:A,Models!D:D)</f>
        <v>#N/A</v>
      </c>
      <c r="J28">
        <f>MacReports!G28</f>
        <v>0</v>
      </c>
      <c r="K28" s="59">
        <f>MacReports!H28</f>
        <v>0</v>
      </c>
      <c r="L28" t="str">
        <f t="shared" si="1"/>
        <v>0</v>
      </c>
      <c r="M28" s="15">
        <f>MacReports!I28</f>
        <v>0</v>
      </c>
      <c r="N28" s="16" t="str" cm="1">
        <f t="array" ref="N28">_xlfn.IFS(
   --MacReports!N28&lt;55,"Battery Defect",
  -- MacReports!N28&lt;=69,"Battery D",
  --MacReports!N28&lt;=80,"Battery C",
 --MacReports!N28&gt;80,""
)</f>
        <v>Battery Defect</v>
      </c>
      <c r="O28" s="16" t="str">
        <f>IF(MacReports!J28="Service","Battery Service","")</f>
        <v/>
      </c>
      <c r="P28" s="13">
        <f>MacReports!Q28</f>
        <v>0</v>
      </c>
      <c r="Q28" s="13" t="str">
        <f>IF(MacReports!K28="Enabled","Apple ID Lock","")</f>
        <v/>
      </c>
      <c r="R28" s="13" t="str">
        <f>IF(MacReports!M28="Remote Lock","Remote Locked","")</f>
        <v/>
      </c>
      <c r="S28" t="str">
        <f t="shared" si="3"/>
        <v>Battery Defect, 0</v>
      </c>
      <c r="T28" t="str">
        <f>_xlfn.XLOOKUP(B28,Disk_Pivot!G:G,Disk_Pivot!N:N)</f>
        <v>Pass, Fail</v>
      </c>
      <c r="U28" t="str">
        <f>IF(T28="Fail",MacReports!O28,"")</f>
        <v/>
      </c>
      <c r="AA28" t="str">
        <f t="shared" si="2"/>
        <v/>
      </c>
    </row>
    <row r="29" spans="1:27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str">
        <f>_xlfn.XLOOKUP(B29,MacReports!B:B,MacReports!E:E,"")</f>
        <v/>
      </c>
      <c r="F29" s="13">
        <f>MacReports!F29</f>
        <v>0</v>
      </c>
      <c r="G29" t="e">
        <f>_xlfn.XLOOKUP(F29,Models!A:A,Models!B:B)</f>
        <v>#N/A</v>
      </c>
      <c r="H29" t="e">
        <f>_xlfn.XLOOKUP(F29,Models!A:A,Models!E:E)</f>
        <v>#N/A</v>
      </c>
      <c r="I29" t="e">
        <f>_xlfn.XLOOKUP(F29,Models!A:A,Models!D:D)</f>
        <v>#N/A</v>
      </c>
      <c r="J29">
        <f>MacReports!G29</f>
        <v>0</v>
      </c>
      <c r="K29" s="59">
        <f>MacReports!H29</f>
        <v>0</v>
      </c>
      <c r="L29" t="str">
        <f t="shared" si="1"/>
        <v>0</v>
      </c>
      <c r="M29" s="15">
        <f>MacReports!I29</f>
        <v>0</v>
      </c>
      <c r="N29" s="16" t="str" cm="1">
        <f t="array" ref="N29">_xlfn.IFS(
   --MacReports!N29&lt;55,"Battery Defect",
  -- MacReports!N29&lt;=69,"Battery D",
  --MacReports!N29&lt;=80,"Battery C",
 --MacReports!N29&gt;80,""
)</f>
        <v>Battery Defect</v>
      </c>
      <c r="O29" s="16" t="str">
        <f>IF(MacReports!J29="Service","Battery Service","")</f>
        <v/>
      </c>
      <c r="P29" s="13">
        <f>MacReports!Q29</f>
        <v>0</v>
      </c>
      <c r="Q29" s="13" t="str">
        <f>IF(MacReports!K29="Enabled","Apple ID Lock","")</f>
        <v/>
      </c>
      <c r="R29" s="13" t="str">
        <f>IF(MacReports!M29="Remote Lock","Remote Locked","")</f>
        <v/>
      </c>
      <c r="S29" t="str">
        <f t="shared" si="3"/>
        <v>Battery Defect, 0</v>
      </c>
      <c r="T29" t="str">
        <f>_xlfn.XLOOKUP(B29,Disk_Pivot!G:G,Disk_Pivot!N:N)</f>
        <v>Pass, Fail</v>
      </c>
      <c r="U29" t="str">
        <f>IF(T29="Fail",MacReports!O29,"")</f>
        <v/>
      </c>
      <c r="AA29" t="str">
        <f t="shared" si="2"/>
        <v/>
      </c>
    </row>
    <row r="30" spans="1:27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str">
        <f>_xlfn.XLOOKUP(B30,MacReports!B:B,MacReports!E:E,"")</f>
        <v/>
      </c>
      <c r="F30" s="13">
        <f>MacReports!F30</f>
        <v>0</v>
      </c>
      <c r="G30" t="e">
        <f>_xlfn.XLOOKUP(F30,Models!A:A,Models!B:B)</f>
        <v>#N/A</v>
      </c>
      <c r="H30" t="e">
        <f>_xlfn.XLOOKUP(F30,Models!A:A,Models!E:E)</f>
        <v>#N/A</v>
      </c>
      <c r="I30" t="e">
        <f>_xlfn.XLOOKUP(F30,Models!A:A,Models!D:D)</f>
        <v>#N/A</v>
      </c>
      <c r="J30">
        <f>MacReports!G30</f>
        <v>0</v>
      </c>
      <c r="K30" s="59">
        <f>MacReports!H30</f>
        <v>0</v>
      </c>
      <c r="L30" t="str">
        <f t="shared" si="1"/>
        <v>0</v>
      </c>
      <c r="M30" s="15">
        <f>MacReports!I30</f>
        <v>0</v>
      </c>
      <c r="N30" s="16" t="str" cm="1">
        <f t="array" ref="N30">_xlfn.IFS(
   --MacReports!N30&lt;55,"Battery Defect",
  -- MacReports!N30&lt;=69,"Battery D",
  --MacReports!N30&lt;=80,"Battery C",
 --MacReports!N30&gt;80,""
)</f>
        <v>Battery Defect</v>
      </c>
      <c r="O30" s="16" t="str">
        <f>IF(MacReports!J30="Service","Battery Service","")</f>
        <v/>
      </c>
      <c r="P30" s="13">
        <f>MacReports!Q30</f>
        <v>0</v>
      </c>
      <c r="Q30" s="13" t="str">
        <f>IF(MacReports!K30="Enabled","Apple ID Lock","")</f>
        <v/>
      </c>
      <c r="R30" s="13" t="str">
        <f>IF(MacReports!M30="Remote Lock","Remote Locked","")</f>
        <v/>
      </c>
      <c r="S30" t="str">
        <f t="shared" si="3"/>
        <v>Battery Defect, 0</v>
      </c>
      <c r="T30" t="str">
        <f>_xlfn.XLOOKUP(B30,Disk_Pivot!G:G,Disk_Pivot!N:N)</f>
        <v>Pass, Fail</v>
      </c>
      <c r="U30" t="str">
        <f>IF(T30="Fail",MacReports!O30,"")</f>
        <v/>
      </c>
      <c r="AA30" t="str">
        <f t="shared" si="2"/>
        <v/>
      </c>
    </row>
    <row r="31" spans="1:27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str">
        <f>_xlfn.XLOOKUP(B31,MacReports!B:B,MacReports!E:E,"")</f>
        <v/>
      </c>
      <c r="F31" s="13">
        <f>MacReports!F31</f>
        <v>0</v>
      </c>
      <c r="G31" t="e">
        <f>_xlfn.XLOOKUP(F31,Models!A:A,Models!B:B)</f>
        <v>#N/A</v>
      </c>
      <c r="H31" t="e">
        <f>_xlfn.XLOOKUP(F31,Models!A:A,Models!E:E)</f>
        <v>#N/A</v>
      </c>
      <c r="I31" t="e">
        <f>_xlfn.XLOOKUP(F31,Models!A:A,Models!D:D)</f>
        <v>#N/A</v>
      </c>
      <c r="J31">
        <f>MacReports!G31</f>
        <v>0</v>
      </c>
      <c r="K31" s="59">
        <f>MacReports!H31</f>
        <v>0</v>
      </c>
      <c r="L31" t="str">
        <f t="shared" si="1"/>
        <v>0</v>
      </c>
      <c r="M31" s="15">
        <f>MacReports!I31</f>
        <v>0</v>
      </c>
      <c r="N31" s="16" t="str" cm="1">
        <f t="array" ref="N31">_xlfn.IFS(
   --MacReports!N31&lt;55,"Battery Defect",
  -- MacReports!N31&lt;=69,"Battery D",
  --MacReports!N31&lt;=80,"Battery C",
 --MacReports!N31&gt;80,""
)</f>
        <v>Battery Defect</v>
      </c>
      <c r="O31" s="16" t="str">
        <f>IF(MacReports!J31="Service","Battery Service","")</f>
        <v/>
      </c>
      <c r="P31" s="13">
        <f>MacReports!Q31</f>
        <v>0</v>
      </c>
      <c r="Q31" s="13" t="str">
        <f>IF(MacReports!K31="Enabled","Apple ID Lock","")</f>
        <v/>
      </c>
      <c r="R31" s="13" t="str">
        <f>IF(MacReports!M31="Remote Lock","Remote Locked","")</f>
        <v/>
      </c>
      <c r="S31" t="str">
        <f t="shared" si="3"/>
        <v>Battery Defect, 0</v>
      </c>
      <c r="T31" t="str">
        <f>_xlfn.XLOOKUP(B31,Disk_Pivot!G:G,Disk_Pivot!N:N)</f>
        <v>Pass, Fail</v>
      </c>
      <c r="U31" t="str">
        <f>IF(T31="Fail",MacReports!O31,"")</f>
        <v/>
      </c>
      <c r="AA31" t="str">
        <f t="shared" si="2"/>
        <v/>
      </c>
    </row>
    <row r="32" spans="1:27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str">
        <f>_xlfn.XLOOKUP(B32,MacReports!B:B,MacReports!E:E,"")</f>
        <v/>
      </c>
      <c r="F32" s="13">
        <f>MacReports!F32</f>
        <v>0</v>
      </c>
      <c r="G32" t="e">
        <f>_xlfn.XLOOKUP(F32,Models!A:A,Models!B:B)</f>
        <v>#N/A</v>
      </c>
      <c r="H32" t="e">
        <f>_xlfn.XLOOKUP(F32,Models!A:A,Models!E:E)</f>
        <v>#N/A</v>
      </c>
      <c r="I32" t="e">
        <f>_xlfn.XLOOKUP(F32,Models!A:A,Models!D:D)</f>
        <v>#N/A</v>
      </c>
      <c r="J32">
        <f>MacReports!G32</f>
        <v>0</v>
      </c>
      <c r="K32" s="59">
        <f>MacReports!H32</f>
        <v>0</v>
      </c>
      <c r="L32" t="str">
        <f t="shared" si="1"/>
        <v>0</v>
      </c>
      <c r="M32" s="15">
        <f>MacReports!I32</f>
        <v>0</v>
      </c>
      <c r="N32" s="16" t="str" cm="1">
        <f t="array" ref="N32">_xlfn.IFS(
   --MacReports!N32&lt;55,"Battery Defect",
  -- MacReports!N32&lt;=69,"Battery D",
  --MacReports!N32&lt;=80,"Battery C",
 --MacReports!N32&gt;80,""
)</f>
        <v>Battery Defect</v>
      </c>
      <c r="O32" s="16" t="str">
        <f>IF(MacReports!J32="Service","Battery Service","")</f>
        <v/>
      </c>
      <c r="P32" s="13">
        <f>MacReports!Q32</f>
        <v>0</v>
      </c>
      <c r="Q32" s="13" t="str">
        <f>IF(MacReports!K32="Enabled","Apple ID Lock","")</f>
        <v/>
      </c>
      <c r="R32" s="13" t="str">
        <f>IF(MacReports!M32="Remote Lock","Remote Locked","")</f>
        <v/>
      </c>
      <c r="S32" t="str">
        <f t="shared" si="3"/>
        <v>Battery Defect, 0</v>
      </c>
      <c r="T32" t="str">
        <f>_xlfn.XLOOKUP(B32,Disk_Pivot!G:G,Disk_Pivot!N:N)</f>
        <v>Pass, Fail</v>
      </c>
      <c r="U32" t="str">
        <f>IF(T32="Fail",MacReports!O32,"")</f>
        <v/>
      </c>
      <c r="AA32" t="str">
        <f t="shared" si="2"/>
        <v/>
      </c>
    </row>
    <row r="33" spans="1:27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str">
        <f>_xlfn.XLOOKUP(B33,MacReports!B:B,MacReports!E:E,"")</f>
        <v/>
      </c>
      <c r="F33" s="13">
        <f>MacReports!F33</f>
        <v>0</v>
      </c>
      <c r="G33" t="e">
        <f>_xlfn.XLOOKUP(F33,Models!A:A,Models!B:B)</f>
        <v>#N/A</v>
      </c>
      <c r="H33" t="e">
        <f>_xlfn.XLOOKUP(F33,Models!A:A,Models!E:E)</f>
        <v>#N/A</v>
      </c>
      <c r="I33" t="e">
        <f>_xlfn.XLOOKUP(F33,Models!A:A,Models!D:D)</f>
        <v>#N/A</v>
      </c>
      <c r="J33">
        <f>MacReports!G33</f>
        <v>0</v>
      </c>
      <c r="K33" s="59">
        <f>MacReports!H33</f>
        <v>0</v>
      </c>
      <c r="L33" t="str">
        <f t="shared" si="1"/>
        <v>0</v>
      </c>
      <c r="M33" s="15">
        <f>MacReports!I33</f>
        <v>0</v>
      </c>
      <c r="N33" s="16" t="str" cm="1">
        <f t="array" ref="N33">_xlfn.IFS(
   --MacReports!N33&lt;55,"Battery Defect",
  -- MacReports!N33&lt;=69,"Battery D",
  --MacReports!N33&lt;=80,"Battery C",
 --MacReports!N33&gt;80,""
)</f>
        <v>Battery Defect</v>
      </c>
      <c r="O33" s="16" t="str">
        <f>IF(MacReports!J33="Service","Battery Service","")</f>
        <v/>
      </c>
      <c r="P33" s="13">
        <f>MacReports!Q33</f>
        <v>0</v>
      </c>
      <c r="Q33" s="13" t="str">
        <f>IF(MacReports!K33="Enabled","Apple ID Lock","")</f>
        <v/>
      </c>
      <c r="R33" s="13" t="str">
        <f>IF(MacReports!M33="Remote Lock","Remote Locked","")</f>
        <v/>
      </c>
      <c r="S33" t="str">
        <f t="shared" si="3"/>
        <v>Battery Defect, 0</v>
      </c>
      <c r="T33" t="str">
        <f>_xlfn.XLOOKUP(B33,Disk_Pivot!G:G,Disk_Pivot!N:N)</f>
        <v>Pass, Fail</v>
      </c>
      <c r="U33" t="str">
        <f>IF(T33="Fail",MacReports!O33,"")</f>
        <v/>
      </c>
      <c r="AA33" t="str">
        <f t="shared" si="2"/>
        <v/>
      </c>
    </row>
    <row r="34" spans="1:27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str">
        <f>_xlfn.XLOOKUP(B34,MacReports!B:B,MacReports!E:E,"")</f>
        <v/>
      </c>
      <c r="F34" s="13">
        <f>MacReports!F34</f>
        <v>0</v>
      </c>
      <c r="G34" t="e">
        <f>_xlfn.XLOOKUP(F34,Models!A:A,Models!B:B)</f>
        <v>#N/A</v>
      </c>
      <c r="H34" t="e">
        <f>_xlfn.XLOOKUP(F34,Models!A:A,Models!E:E)</f>
        <v>#N/A</v>
      </c>
      <c r="I34" t="e">
        <f>_xlfn.XLOOKUP(F34,Models!A:A,Models!D:D)</f>
        <v>#N/A</v>
      </c>
      <c r="J34">
        <f>MacReports!G34</f>
        <v>0</v>
      </c>
      <c r="K34" s="59">
        <f>MacReports!H34</f>
        <v>0</v>
      </c>
      <c r="L34" t="str">
        <f t="shared" si="1"/>
        <v>0</v>
      </c>
      <c r="M34" s="15">
        <f>MacReports!I34</f>
        <v>0</v>
      </c>
      <c r="N34" s="16" t="str" cm="1">
        <f t="array" ref="N34">_xlfn.IFS(
   --MacReports!N34&lt;55,"Battery Defect",
  -- MacReports!N34&lt;=69,"Battery D",
  --MacReports!N34&lt;=80,"Battery C",
 --MacReports!N34&gt;80,""
)</f>
        <v>Battery Defect</v>
      </c>
      <c r="O34" s="16" t="str">
        <f>IF(MacReports!J34="Service","Battery Service","")</f>
        <v/>
      </c>
      <c r="P34" s="13">
        <f>MacReports!Q34</f>
        <v>0</v>
      </c>
      <c r="Q34" s="13" t="str">
        <f>IF(MacReports!K34="Enabled","Apple ID Lock","")</f>
        <v/>
      </c>
      <c r="R34" s="13" t="str">
        <f>IF(MacReports!M34="Remote Lock","Remote Locked","")</f>
        <v/>
      </c>
      <c r="S34" t="str">
        <f t="shared" si="3"/>
        <v>Battery Defect, 0</v>
      </c>
      <c r="T34" t="str">
        <f>_xlfn.XLOOKUP(B34,Disk_Pivot!G:G,Disk_Pivot!N:N)</f>
        <v>Pass, Fail</v>
      </c>
      <c r="U34" t="str">
        <f>IF(T34="Fail",MacReports!O34,"")</f>
        <v/>
      </c>
      <c r="AA34" t="str">
        <f t="shared" si="2"/>
        <v/>
      </c>
    </row>
    <row r="35" spans="1:27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str">
        <f>_xlfn.XLOOKUP(B35,MacReports!B:B,MacReports!E:E,"")</f>
        <v/>
      </c>
      <c r="F35" s="13">
        <f>MacReports!F35</f>
        <v>0</v>
      </c>
      <c r="G35" t="e">
        <f>_xlfn.XLOOKUP(F35,Models!A:A,Models!B:B)</f>
        <v>#N/A</v>
      </c>
      <c r="H35" t="e">
        <f>_xlfn.XLOOKUP(F35,Models!A:A,Models!E:E)</f>
        <v>#N/A</v>
      </c>
      <c r="I35" t="e">
        <f>_xlfn.XLOOKUP(F35,Models!A:A,Models!D:D)</f>
        <v>#N/A</v>
      </c>
      <c r="J35">
        <f>MacReports!G35</f>
        <v>0</v>
      </c>
      <c r="K35" s="59">
        <f>MacReports!H35</f>
        <v>0</v>
      </c>
      <c r="L35" t="str">
        <f t="shared" si="1"/>
        <v>0</v>
      </c>
      <c r="M35" s="15">
        <f>MacReports!I35</f>
        <v>0</v>
      </c>
      <c r="N35" s="16" t="str" cm="1">
        <f t="array" ref="N35">_xlfn.IFS(
   --MacReports!N35&lt;55,"Battery Defect",
  -- MacReports!N35&lt;=69,"Battery D",
  --MacReports!N35&lt;=80,"Battery C",
 --MacReports!N35&gt;80,""
)</f>
        <v>Battery Defect</v>
      </c>
      <c r="O35" s="16" t="str">
        <f>IF(MacReports!J35="Service","Battery Service","")</f>
        <v/>
      </c>
      <c r="P35" s="13">
        <f>MacReports!Q35</f>
        <v>0</v>
      </c>
      <c r="Q35" s="13" t="str">
        <f>IF(MacReports!K35="Enabled","Apple ID Lock","")</f>
        <v/>
      </c>
      <c r="R35" s="13" t="str">
        <f>IF(MacReports!M35="Remote Lock","Remote Locked","")</f>
        <v/>
      </c>
      <c r="S35" t="str">
        <f t="shared" ref="S35:S98" si="4">_xlfn.TEXTJOIN(", ",TRUE,Q35,R35,N35,O35,P35)</f>
        <v>Battery Defect, 0</v>
      </c>
      <c r="T35" t="str">
        <f>_xlfn.XLOOKUP(B35,Disk_Pivot!G:G,Disk_Pivot!N:N)</f>
        <v>Pass, Fail</v>
      </c>
      <c r="U35" t="str">
        <f>IF(T35="Fail",MacReports!O35,"")</f>
        <v/>
      </c>
      <c r="AA35" t="str">
        <f t="shared" ref="AA35:AA98" si="5">_xlfn.TEXTJOIN(", ",TRUE,Q35,R35)</f>
        <v/>
      </c>
    </row>
    <row r="36" spans="1:27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str">
        <f>_xlfn.XLOOKUP(B36,MacReports!B:B,MacReports!E:E,"")</f>
        <v/>
      </c>
      <c r="F36" s="13">
        <f>MacReports!F36</f>
        <v>0</v>
      </c>
      <c r="G36" t="e">
        <f>_xlfn.XLOOKUP(F36,Models!A:A,Models!B:B)</f>
        <v>#N/A</v>
      </c>
      <c r="H36" t="e">
        <f>_xlfn.XLOOKUP(F36,Models!A:A,Models!E:E)</f>
        <v>#N/A</v>
      </c>
      <c r="I36" t="e">
        <f>_xlfn.XLOOKUP(F36,Models!A:A,Models!D:D)</f>
        <v>#N/A</v>
      </c>
      <c r="J36">
        <f>MacReports!G36</f>
        <v>0</v>
      </c>
      <c r="K36" s="59">
        <f>MacReports!H36</f>
        <v>0</v>
      </c>
      <c r="L36" t="str">
        <f t="shared" si="1"/>
        <v>0</v>
      </c>
      <c r="M36" s="15">
        <f>MacReports!I36</f>
        <v>0</v>
      </c>
      <c r="N36" s="16" t="str" cm="1">
        <f t="array" ref="N36">_xlfn.IFS(
   --MacReports!N36&lt;55,"Battery Defect",
  -- MacReports!N36&lt;=69,"Battery D",
  --MacReports!N36&lt;=80,"Battery C",
 --MacReports!N36&gt;80,""
)</f>
        <v>Battery Defect</v>
      </c>
      <c r="O36" s="16" t="str">
        <f>IF(MacReports!J36="Service","Battery Service","")</f>
        <v/>
      </c>
      <c r="P36" s="13">
        <f>MacReports!Q36</f>
        <v>0</v>
      </c>
      <c r="Q36" s="13" t="str">
        <f>IF(MacReports!K36="Enabled","Apple ID Lock","")</f>
        <v/>
      </c>
      <c r="R36" s="13" t="str">
        <f>IF(MacReports!M36="Remote Lock","Remote Locked","")</f>
        <v/>
      </c>
      <c r="S36" t="str">
        <f t="shared" si="4"/>
        <v>Battery Defect, 0</v>
      </c>
      <c r="T36" t="str">
        <f>_xlfn.XLOOKUP(B36,Disk_Pivot!G:G,Disk_Pivot!N:N)</f>
        <v>Pass, Fail</v>
      </c>
      <c r="U36" t="str">
        <f>IF(T36="Fail",MacReports!O36,"")</f>
        <v/>
      </c>
      <c r="AA36" t="str">
        <f t="shared" si="5"/>
        <v/>
      </c>
    </row>
    <row r="37" spans="1:27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str">
        <f>_xlfn.XLOOKUP(B37,MacReports!B:B,MacReports!E:E,"")</f>
        <v/>
      </c>
      <c r="F37" s="13">
        <f>MacReports!F37</f>
        <v>0</v>
      </c>
      <c r="G37" t="e">
        <f>_xlfn.XLOOKUP(F37,Models!A:A,Models!B:B)</f>
        <v>#N/A</v>
      </c>
      <c r="H37" t="e">
        <f>_xlfn.XLOOKUP(F37,Models!A:A,Models!E:E)</f>
        <v>#N/A</v>
      </c>
      <c r="I37" t="e">
        <f>_xlfn.XLOOKUP(F37,Models!A:A,Models!D:D)</f>
        <v>#N/A</v>
      </c>
      <c r="J37">
        <f>MacReports!G37</f>
        <v>0</v>
      </c>
      <c r="K37" s="59">
        <f>MacReports!H37</f>
        <v>0</v>
      </c>
      <c r="L37" t="str">
        <f t="shared" si="1"/>
        <v>0</v>
      </c>
      <c r="M37" s="15">
        <f>MacReports!I37</f>
        <v>0</v>
      </c>
      <c r="N37" s="16" t="str" cm="1">
        <f t="array" ref="N37">_xlfn.IFS(
   --MacReports!N37&lt;55,"Battery Defect",
  -- MacReports!N37&lt;=69,"Battery D",
  --MacReports!N37&lt;=80,"Battery C",
 --MacReports!N37&gt;80,""
)</f>
        <v>Battery Defect</v>
      </c>
      <c r="O37" s="16" t="str">
        <f>IF(MacReports!J37="Service","Battery Service","")</f>
        <v/>
      </c>
      <c r="P37" s="13">
        <f>MacReports!Q37</f>
        <v>0</v>
      </c>
      <c r="Q37" s="13" t="str">
        <f>IF(MacReports!K37="Enabled","Apple ID Lock","")</f>
        <v/>
      </c>
      <c r="R37" s="13" t="str">
        <f>IF(MacReports!M37="Remote Lock","Remote Locked","")</f>
        <v/>
      </c>
      <c r="S37" t="str">
        <f t="shared" si="4"/>
        <v>Battery Defect, 0</v>
      </c>
      <c r="T37" t="str">
        <f>_xlfn.XLOOKUP(B37,Disk_Pivot!G:G,Disk_Pivot!N:N)</f>
        <v>Pass, Fail</v>
      </c>
      <c r="U37" t="str">
        <f>IF(T37="Fail",MacReports!O37,"")</f>
        <v/>
      </c>
      <c r="AA37" t="str">
        <f t="shared" si="5"/>
        <v/>
      </c>
    </row>
    <row r="38" spans="1:27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str">
        <f>_xlfn.XLOOKUP(B38,MacReports!B:B,MacReports!E:E,"")</f>
        <v/>
      </c>
      <c r="F38" s="13">
        <f>MacReports!F38</f>
        <v>0</v>
      </c>
      <c r="G38" t="e">
        <f>_xlfn.XLOOKUP(F38,Models!A:A,Models!B:B)</f>
        <v>#N/A</v>
      </c>
      <c r="H38" t="e">
        <f>_xlfn.XLOOKUP(F38,Models!A:A,Models!E:E)</f>
        <v>#N/A</v>
      </c>
      <c r="I38" t="e">
        <f>_xlfn.XLOOKUP(F38,Models!A:A,Models!D:D)</f>
        <v>#N/A</v>
      </c>
      <c r="J38">
        <f>MacReports!G38</f>
        <v>0</v>
      </c>
      <c r="K38" s="59">
        <f>MacReports!H38</f>
        <v>0</v>
      </c>
      <c r="L38" t="str">
        <f t="shared" si="1"/>
        <v>0</v>
      </c>
      <c r="M38" s="15">
        <f>MacReports!I38</f>
        <v>0</v>
      </c>
      <c r="N38" s="16" t="str" cm="1">
        <f t="array" ref="N38">_xlfn.IFS(
   --MacReports!N38&lt;55,"Battery Defect",
  -- MacReports!N38&lt;=69,"Battery D",
  --MacReports!N38&lt;=80,"Battery C",
 --MacReports!N38&gt;80,""
)</f>
        <v>Battery Defect</v>
      </c>
      <c r="O38" s="16" t="str">
        <f>IF(MacReports!J38="Service","Battery Service","")</f>
        <v/>
      </c>
      <c r="P38" s="13">
        <f>MacReports!Q38</f>
        <v>0</v>
      </c>
      <c r="Q38" s="13" t="str">
        <f>IF(MacReports!K38="Enabled","Apple ID Lock","")</f>
        <v/>
      </c>
      <c r="R38" s="13" t="str">
        <f>IF(MacReports!M38="Remote Lock","Remote Locked","")</f>
        <v/>
      </c>
      <c r="S38" t="str">
        <f t="shared" si="4"/>
        <v>Battery Defect, 0</v>
      </c>
      <c r="T38" t="str">
        <f>_xlfn.XLOOKUP(B38,Disk_Pivot!G:G,Disk_Pivot!N:N)</f>
        <v>Pass, Fail</v>
      </c>
      <c r="U38" t="str">
        <f>IF(T38="Fail",MacReports!O38,"")</f>
        <v/>
      </c>
      <c r="AA38" t="str">
        <f t="shared" si="5"/>
        <v/>
      </c>
    </row>
    <row r="39" spans="1:27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str">
        <f>_xlfn.XLOOKUP(B39,MacReports!B:B,MacReports!E:E,"")</f>
        <v/>
      </c>
      <c r="F39" s="13">
        <f>MacReports!F39</f>
        <v>0</v>
      </c>
      <c r="G39" t="e">
        <f>_xlfn.XLOOKUP(F39,Models!A:A,Models!B:B)</f>
        <v>#N/A</v>
      </c>
      <c r="H39" t="e">
        <f>_xlfn.XLOOKUP(F39,Models!A:A,Models!E:E)</f>
        <v>#N/A</v>
      </c>
      <c r="I39" t="e">
        <f>_xlfn.XLOOKUP(F39,Models!A:A,Models!D:D)</f>
        <v>#N/A</v>
      </c>
      <c r="J39">
        <f>MacReports!G39</f>
        <v>0</v>
      </c>
      <c r="K39" s="59">
        <f>MacReports!H39</f>
        <v>0</v>
      </c>
      <c r="L39" t="str">
        <f t="shared" si="1"/>
        <v>0</v>
      </c>
      <c r="M39" s="15">
        <f>MacReports!I39</f>
        <v>0</v>
      </c>
      <c r="N39" s="16" t="str" cm="1">
        <f t="array" ref="N39">_xlfn.IFS(
   --MacReports!N39&lt;55,"Battery Defect",
  -- MacReports!N39&lt;=69,"Battery D",
  --MacReports!N39&lt;=80,"Battery C",
 --MacReports!N39&gt;80,""
)</f>
        <v>Battery Defect</v>
      </c>
      <c r="O39" s="16" t="str">
        <f>IF(MacReports!J39="Service","Battery Service","")</f>
        <v/>
      </c>
      <c r="P39" s="13">
        <f>MacReports!Q39</f>
        <v>0</v>
      </c>
      <c r="Q39" s="13" t="str">
        <f>IF(MacReports!K39="Enabled","Apple ID Lock","")</f>
        <v/>
      </c>
      <c r="R39" s="13" t="str">
        <f>IF(MacReports!M39="Remote Lock","Remote Locked","")</f>
        <v/>
      </c>
      <c r="S39" t="str">
        <f t="shared" si="4"/>
        <v>Battery Defect, 0</v>
      </c>
      <c r="T39" t="str">
        <f>_xlfn.XLOOKUP(B39,Disk_Pivot!G:G,Disk_Pivot!N:N)</f>
        <v>Pass, Fail</v>
      </c>
      <c r="U39" t="str">
        <f>IF(T39="Fail",MacReports!O39,"")</f>
        <v/>
      </c>
      <c r="AA39" t="str">
        <f t="shared" si="5"/>
        <v/>
      </c>
    </row>
    <row r="40" spans="1:27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str">
        <f>_xlfn.XLOOKUP(B40,MacReports!B:B,MacReports!E:E,"")</f>
        <v/>
      </c>
      <c r="F40" s="13">
        <f>MacReports!F40</f>
        <v>0</v>
      </c>
      <c r="G40" t="e">
        <f>_xlfn.XLOOKUP(F40,Models!A:A,Models!B:B)</f>
        <v>#N/A</v>
      </c>
      <c r="H40" t="e">
        <f>_xlfn.XLOOKUP(F40,Models!A:A,Models!E:E)</f>
        <v>#N/A</v>
      </c>
      <c r="I40" t="e">
        <f>_xlfn.XLOOKUP(F40,Models!A:A,Models!D:D)</f>
        <v>#N/A</v>
      </c>
      <c r="J40">
        <f>MacReports!G40</f>
        <v>0</v>
      </c>
      <c r="K40" s="59">
        <f>MacReports!H40</f>
        <v>0</v>
      </c>
      <c r="L40" t="str">
        <f t="shared" si="1"/>
        <v>0</v>
      </c>
      <c r="M40" s="15">
        <f>MacReports!I40</f>
        <v>0</v>
      </c>
      <c r="N40" s="16" t="str" cm="1">
        <f t="array" ref="N40">_xlfn.IFS(
   --MacReports!N40&lt;55,"Battery Defect",
  -- MacReports!N40&lt;=69,"Battery D",
  --MacReports!N40&lt;=80,"Battery C",
 --MacReports!N40&gt;80,""
)</f>
        <v>Battery Defect</v>
      </c>
      <c r="O40" s="16" t="str">
        <f>IF(MacReports!J40="Service","Battery Service","")</f>
        <v/>
      </c>
      <c r="P40" s="13">
        <f>MacReports!Q40</f>
        <v>0</v>
      </c>
      <c r="Q40" s="13" t="str">
        <f>IF(MacReports!K40="Enabled","Apple ID Lock","")</f>
        <v/>
      </c>
      <c r="R40" s="13" t="str">
        <f>IF(MacReports!M40="Remote Lock","Remote Locked","")</f>
        <v/>
      </c>
      <c r="S40" t="str">
        <f t="shared" si="4"/>
        <v>Battery Defect, 0</v>
      </c>
      <c r="T40" t="str">
        <f>_xlfn.XLOOKUP(B40,Disk_Pivot!G:G,Disk_Pivot!N:N)</f>
        <v>Pass, Fail</v>
      </c>
      <c r="U40" t="str">
        <f>IF(T40="Fail",MacReports!O40,"")</f>
        <v/>
      </c>
      <c r="AA40" t="str">
        <f t="shared" si="5"/>
        <v/>
      </c>
    </row>
    <row r="41" spans="1:27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str">
        <f>_xlfn.XLOOKUP(B41,MacReports!B:B,MacReports!E:E,"")</f>
        <v/>
      </c>
      <c r="F41" s="13">
        <f>MacReports!F41</f>
        <v>0</v>
      </c>
      <c r="G41" t="e">
        <f>_xlfn.XLOOKUP(F41,Models!A:A,Models!B:B)</f>
        <v>#N/A</v>
      </c>
      <c r="H41" t="e">
        <f>_xlfn.XLOOKUP(F41,Models!A:A,Models!E:E)</f>
        <v>#N/A</v>
      </c>
      <c r="I41" t="e">
        <f>_xlfn.XLOOKUP(F41,Models!A:A,Models!D:D)</f>
        <v>#N/A</v>
      </c>
      <c r="J41">
        <f>MacReports!G41</f>
        <v>0</v>
      </c>
      <c r="K41" s="59">
        <f>MacReports!H41</f>
        <v>0</v>
      </c>
      <c r="L41" t="str">
        <f t="shared" si="1"/>
        <v>0</v>
      </c>
      <c r="M41" s="15">
        <f>MacReports!I41</f>
        <v>0</v>
      </c>
      <c r="N41" s="16" t="str" cm="1">
        <f t="array" ref="N41">_xlfn.IFS(
   --MacReports!N41&lt;55,"Battery Defect",
  -- MacReports!N41&lt;=69,"Battery D",
  --MacReports!N41&lt;=80,"Battery C",
 --MacReports!N41&gt;80,""
)</f>
        <v>Battery Defect</v>
      </c>
      <c r="O41" s="16" t="str">
        <f>IF(MacReports!J41="Service","Battery Service","")</f>
        <v/>
      </c>
      <c r="P41" s="13">
        <f>MacReports!Q41</f>
        <v>0</v>
      </c>
      <c r="Q41" s="13" t="str">
        <f>IF(MacReports!K41="Enabled","Apple ID Lock","")</f>
        <v/>
      </c>
      <c r="R41" s="13" t="str">
        <f>IF(MacReports!M41="Remote Lock","Remote Locked","")</f>
        <v/>
      </c>
      <c r="S41" t="str">
        <f t="shared" si="4"/>
        <v>Battery Defect, 0</v>
      </c>
      <c r="T41" t="str">
        <f>_xlfn.XLOOKUP(B41,Disk_Pivot!G:G,Disk_Pivot!N:N)</f>
        <v>Pass, Fail</v>
      </c>
      <c r="U41" t="str">
        <f>IF(T41="Fail",MacReports!O41,"")</f>
        <v/>
      </c>
      <c r="AA41" t="str">
        <f t="shared" si="5"/>
        <v/>
      </c>
    </row>
    <row r="42" spans="1:27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str">
        <f>_xlfn.XLOOKUP(B42,MacReports!B:B,MacReports!E:E,"")</f>
        <v/>
      </c>
      <c r="F42" s="13">
        <f>MacReports!F42</f>
        <v>0</v>
      </c>
      <c r="G42" t="e">
        <f>_xlfn.XLOOKUP(F42,Models!A:A,Models!B:B)</f>
        <v>#N/A</v>
      </c>
      <c r="H42" t="e">
        <f>_xlfn.XLOOKUP(F42,Models!A:A,Models!E:E)</f>
        <v>#N/A</v>
      </c>
      <c r="I42" t="e">
        <f>_xlfn.XLOOKUP(F42,Models!A:A,Models!D:D)</f>
        <v>#N/A</v>
      </c>
      <c r="J42">
        <f>MacReports!G42</f>
        <v>0</v>
      </c>
      <c r="K42" s="59">
        <f>MacReports!H42</f>
        <v>0</v>
      </c>
      <c r="L42" t="str">
        <f t="shared" si="1"/>
        <v>0</v>
      </c>
      <c r="M42" s="15">
        <f>MacReports!I42</f>
        <v>0</v>
      </c>
      <c r="N42" s="16" t="str" cm="1">
        <f t="array" ref="N42">_xlfn.IFS(
   --MacReports!N42&lt;55,"Battery Defect",
  -- MacReports!N42&lt;=69,"Battery D",
  --MacReports!N42&lt;=80,"Battery C",
 --MacReports!N42&gt;80,""
)</f>
        <v>Battery Defect</v>
      </c>
      <c r="O42" s="16" t="str">
        <f>IF(MacReports!J42="Service","Battery Service","")</f>
        <v/>
      </c>
      <c r="P42" s="13">
        <f>MacReports!Q42</f>
        <v>0</v>
      </c>
      <c r="Q42" s="13" t="str">
        <f>IF(MacReports!K42="Enabled","Apple ID Lock","")</f>
        <v/>
      </c>
      <c r="R42" s="13" t="str">
        <f>IF(MacReports!M42="Remote Lock","Remote Locked","")</f>
        <v/>
      </c>
      <c r="S42" t="str">
        <f t="shared" si="4"/>
        <v>Battery Defect, 0</v>
      </c>
      <c r="T42" t="str">
        <f>_xlfn.XLOOKUP(B42,Disk_Pivot!G:G,Disk_Pivot!N:N)</f>
        <v>Pass, Fail</v>
      </c>
      <c r="U42" t="str">
        <f>IF(T42="Fail",MacReports!O42,"")</f>
        <v/>
      </c>
      <c r="AA42" t="str">
        <f t="shared" si="5"/>
        <v/>
      </c>
    </row>
    <row r="43" spans="1:27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str">
        <f>_xlfn.XLOOKUP(B43,MacReports!B:B,MacReports!E:E,"")</f>
        <v/>
      </c>
      <c r="F43" s="13">
        <f>MacReports!F43</f>
        <v>0</v>
      </c>
      <c r="G43" t="e">
        <f>_xlfn.XLOOKUP(F43,Models!A:A,Models!B:B)</f>
        <v>#N/A</v>
      </c>
      <c r="H43" t="e">
        <f>_xlfn.XLOOKUP(F43,Models!A:A,Models!E:E)</f>
        <v>#N/A</v>
      </c>
      <c r="I43" t="e">
        <f>_xlfn.XLOOKUP(F43,Models!A:A,Models!D:D)</f>
        <v>#N/A</v>
      </c>
      <c r="J43">
        <f>MacReports!G43</f>
        <v>0</v>
      </c>
      <c r="K43" s="59">
        <f>MacReports!H43</f>
        <v>0</v>
      </c>
      <c r="L43" t="str">
        <f t="shared" si="1"/>
        <v>0</v>
      </c>
      <c r="M43" s="15">
        <f>MacReports!I43</f>
        <v>0</v>
      </c>
      <c r="N43" s="16" t="str" cm="1">
        <f t="array" ref="N43">_xlfn.IFS(
   --MacReports!N43&lt;55,"Battery Defect",
  -- MacReports!N43&lt;=69,"Battery D",
  --MacReports!N43&lt;=80,"Battery C",
 --MacReports!N43&gt;80,""
)</f>
        <v>Battery Defect</v>
      </c>
      <c r="O43" s="16" t="str">
        <f>IF(MacReports!J43="Service","Battery Service","")</f>
        <v/>
      </c>
      <c r="P43" s="13">
        <f>MacReports!Q43</f>
        <v>0</v>
      </c>
      <c r="Q43" s="13" t="str">
        <f>IF(MacReports!K43="Enabled","Apple ID Lock","")</f>
        <v/>
      </c>
      <c r="R43" s="13" t="str">
        <f>IF(MacReports!M43="Remote Lock","Remote Locked","")</f>
        <v/>
      </c>
      <c r="S43" t="str">
        <f t="shared" si="4"/>
        <v>Battery Defect, 0</v>
      </c>
      <c r="T43" t="str">
        <f>_xlfn.XLOOKUP(B43,Disk_Pivot!G:G,Disk_Pivot!N:N)</f>
        <v>Pass, Fail</v>
      </c>
      <c r="U43" t="str">
        <f>IF(T43="Fail",MacReports!O43,"")</f>
        <v/>
      </c>
      <c r="AA43" t="str">
        <f t="shared" si="5"/>
        <v/>
      </c>
    </row>
    <row r="44" spans="1:27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str">
        <f>_xlfn.XLOOKUP(B44,MacReports!B:B,MacReports!E:E,"")</f>
        <v/>
      </c>
      <c r="F44" s="13">
        <f>MacReports!F44</f>
        <v>0</v>
      </c>
      <c r="G44" t="e">
        <f>_xlfn.XLOOKUP(F44,Models!A:A,Models!B:B)</f>
        <v>#N/A</v>
      </c>
      <c r="H44" t="e">
        <f>_xlfn.XLOOKUP(F44,Models!A:A,Models!E:E)</f>
        <v>#N/A</v>
      </c>
      <c r="I44" t="e">
        <f>_xlfn.XLOOKUP(F44,Models!A:A,Models!D:D)</f>
        <v>#N/A</v>
      </c>
      <c r="J44">
        <f>MacReports!G44</f>
        <v>0</v>
      </c>
      <c r="K44" s="59">
        <f>MacReports!H44</f>
        <v>0</v>
      </c>
      <c r="L44" t="str">
        <f t="shared" si="1"/>
        <v>0</v>
      </c>
      <c r="M44" s="15">
        <f>MacReports!I44</f>
        <v>0</v>
      </c>
      <c r="N44" s="16" t="str" cm="1">
        <f t="array" ref="N44">_xlfn.IFS(
   --MacReports!N44&lt;55,"Battery Defect",
  -- MacReports!N44&lt;=69,"Battery D",
  --MacReports!N44&lt;=80,"Battery C",
 --MacReports!N44&gt;80,""
)</f>
        <v>Battery Defect</v>
      </c>
      <c r="O44" s="16" t="str">
        <f>IF(MacReports!J44="Service","Battery Service","")</f>
        <v/>
      </c>
      <c r="P44" s="13">
        <f>MacReports!Q44</f>
        <v>0</v>
      </c>
      <c r="Q44" s="13" t="str">
        <f>IF(MacReports!K44="Enabled","Apple ID Lock","")</f>
        <v/>
      </c>
      <c r="R44" s="13" t="str">
        <f>IF(MacReports!M44="Remote Lock","Remote Locked","")</f>
        <v/>
      </c>
      <c r="S44" t="str">
        <f t="shared" si="4"/>
        <v>Battery Defect, 0</v>
      </c>
      <c r="T44" t="str">
        <f>_xlfn.XLOOKUP(B44,Disk_Pivot!G:G,Disk_Pivot!N:N)</f>
        <v>Pass, Fail</v>
      </c>
      <c r="U44" t="str">
        <f>IF(T44="Fail",MacReports!O44,"")</f>
        <v/>
      </c>
      <c r="AA44" t="str">
        <f t="shared" si="5"/>
        <v/>
      </c>
    </row>
    <row r="45" spans="1:27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str">
        <f>_xlfn.XLOOKUP(B45,MacReports!B:B,MacReports!E:E,"")</f>
        <v/>
      </c>
      <c r="F45" s="13">
        <f>MacReports!F45</f>
        <v>0</v>
      </c>
      <c r="G45" t="e">
        <f>_xlfn.XLOOKUP(F45,Models!A:A,Models!B:B)</f>
        <v>#N/A</v>
      </c>
      <c r="H45" t="e">
        <f>_xlfn.XLOOKUP(F45,Models!A:A,Models!E:E)</f>
        <v>#N/A</v>
      </c>
      <c r="I45" t="e">
        <f>_xlfn.XLOOKUP(F45,Models!A:A,Models!D:D)</f>
        <v>#N/A</v>
      </c>
      <c r="J45">
        <f>MacReports!G45</f>
        <v>0</v>
      </c>
      <c r="K45" s="59">
        <f>MacReports!H45</f>
        <v>0</v>
      </c>
      <c r="L45" t="str">
        <f t="shared" si="1"/>
        <v>0</v>
      </c>
      <c r="M45" s="15">
        <f>MacReports!I45</f>
        <v>0</v>
      </c>
      <c r="N45" s="16" t="str" cm="1">
        <f t="array" ref="N45">_xlfn.IFS(
   --MacReports!N45&lt;55,"Battery Defect",
  -- MacReports!N45&lt;=69,"Battery D",
  --MacReports!N45&lt;=80,"Battery C",
 --MacReports!N45&gt;80,""
)</f>
        <v>Battery Defect</v>
      </c>
      <c r="O45" s="16" t="str">
        <f>IF(MacReports!J45="Service","Battery Service","")</f>
        <v/>
      </c>
      <c r="P45" s="13">
        <f>MacReports!Q45</f>
        <v>0</v>
      </c>
      <c r="Q45" s="13" t="str">
        <f>IF(MacReports!K45="Enabled","Apple ID Lock","")</f>
        <v/>
      </c>
      <c r="R45" s="13" t="str">
        <f>IF(MacReports!M45="Remote Lock","Remote Locked","")</f>
        <v/>
      </c>
      <c r="S45" t="str">
        <f t="shared" si="4"/>
        <v>Battery Defect, 0</v>
      </c>
      <c r="T45" t="str">
        <f>_xlfn.XLOOKUP(B45,Disk_Pivot!G:G,Disk_Pivot!N:N)</f>
        <v>Pass, Fail</v>
      </c>
      <c r="U45" t="str">
        <f>IF(T45="Fail",MacReports!O45,"")</f>
        <v/>
      </c>
      <c r="AA45" t="str">
        <f t="shared" si="5"/>
        <v/>
      </c>
    </row>
    <row r="46" spans="1:27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str">
        <f>_xlfn.XLOOKUP(B46,MacReports!B:B,MacReports!E:E,"")</f>
        <v/>
      </c>
      <c r="F46" s="13">
        <f>MacReports!F46</f>
        <v>0</v>
      </c>
      <c r="G46" t="e">
        <f>_xlfn.XLOOKUP(F46,Models!A:A,Models!B:B)</f>
        <v>#N/A</v>
      </c>
      <c r="H46" t="e">
        <f>_xlfn.XLOOKUP(F46,Models!A:A,Models!E:E)</f>
        <v>#N/A</v>
      </c>
      <c r="I46" t="e">
        <f>_xlfn.XLOOKUP(F46,Models!A:A,Models!D:D)</f>
        <v>#N/A</v>
      </c>
      <c r="J46">
        <f>MacReports!G46</f>
        <v>0</v>
      </c>
      <c r="K46" s="59">
        <f>MacReports!H46</f>
        <v>0</v>
      </c>
      <c r="L46" t="str">
        <f t="shared" si="1"/>
        <v>0</v>
      </c>
      <c r="M46" s="15">
        <f>MacReports!I46</f>
        <v>0</v>
      </c>
      <c r="N46" s="16" t="str" cm="1">
        <f t="array" ref="N46">_xlfn.IFS(
   --MacReports!N46&lt;55,"Battery Defect",
  -- MacReports!N46&lt;=69,"Battery D",
  --MacReports!N46&lt;=80,"Battery C",
 --MacReports!N46&gt;80,""
)</f>
        <v>Battery Defect</v>
      </c>
      <c r="O46" s="16" t="str">
        <f>IF(MacReports!J46="Service","Battery Service","")</f>
        <v/>
      </c>
      <c r="P46" s="13">
        <f>MacReports!Q46</f>
        <v>0</v>
      </c>
      <c r="Q46" s="13" t="str">
        <f>IF(MacReports!K46="Enabled","Apple ID Lock","")</f>
        <v/>
      </c>
      <c r="R46" s="13" t="str">
        <f>IF(MacReports!M46="Remote Lock","Remote Locked","")</f>
        <v/>
      </c>
      <c r="S46" t="str">
        <f t="shared" si="4"/>
        <v>Battery Defect, 0</v>
      </c>
      <c r="T46" t="str">
        <f>_xlfn.XLOOKUP(B46,Disk_Pivot!G:G,Disk_Pivot!N:N)</f>
        <v>Pass, Fail</v>
      </c>
      <c r="U46" t="str">
        <f>IF(T46="Fail",MacReports!O46,"")</f>
        <v/>
      </c>
      <c r="AA46" t="str">
        <f t="shared" si="5"/>
        <v/>
      </c>
    </row>
    <row r="47" spans="1:27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str">
        <f>_xlfn.XLOOKUP(B47,MacReports!B:B,MacReports!E:E,"")</f>
        <v/>
      </c>
      <c r="F47" s="13">
        <f>MacReports!F47</f>
        <v>0</v>
      </c>
      <c r="G47" t="e">
        <f>_xlfn.XLOOKUP(F47,Models!A:A,Models!B:B)</f>
        <v>#N/A</v>
      </c>
      <c r="H47" t="e">
        <f>_xlfn.XLOOKUP(F47,Models!A:A,Models!E:E)</f>
        <v>#N/A</v>
      </c>
      <c r="I47" t="e">
        <f>_xlfn.XLOOKUP(F47,Models!A:A,Models!D:D)</f>
        <v>#N/A</v>
      </c>
      <c r="J47">
        <f>MacReports!G47</f>
        <v>0</v>
      </c>
      <c r="K47" s="59">
        <f>MacReports!H47</f>
        <v>0</v>
      </c>
      <c r="L47" t="str">
        <f t="shared" si="1"/>
        <v>0</v>
      </c>
      <c r="M47" s="15">
        <f>MacReports!I47</f>
        <v>0</v>
      </c>
      <c r="N47" s="16" t="str" cm="1">
        <f t="array" ref="N47">_xlfn.IFS(
   --MacReports!N47&lt;55,"Battery Defect",
  -- MacReports!N47&lt;=69,"Battery D",
  --MacReports!N47&lt;=80,"Battery C",
 --MacReports!N47&gt;80,""
)</f>
        <v>Battery Defect</v>
      </c>
      <c r="O47" s="16" t="str">
        <f>IF(MacReports!J47="Service","Battery Service","")</f>
        <v/>
      </c>
      <c r="P47" s="13">
        <f>MacReports!Q47</f>
        <v>0</v>
      </c>
      <c r="Q47" s="13" t="str">
        <f>IF(MacReports!K47="Enabled","Apple ID Lock","")</f>
        <v/>
      </c>
      <c r="R47" s="13" t="str">
        <f>IF(MacReports!M47="Remote Lock","Remote Locked","")</f>
        <v/>
      </c>
      <c r="S47" t="str">
        <f t="shared" si="4"/>
        <v>Battery Defect, 0</v>
      </c>
      <c r="T47" t="str">
        <f>_xlfn.XLOOKUP(B47,Disk_Pivot!G:G,Disk_Pivot!N:N)</f>
        <v>Pass, Fail</v>
      </c>
      <c r="U47" t="str">
        <f>IF(T47="Fail",MacReports!O47,"")</f>
        <v/>
      </c>
      <c r="AA47" t="str">
        <f t="shared" si="5"/>
        <v/>
      </c>
    </row>
    <row r="48" spans="1:27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str">
        <f>_xlfn.XLOOKUP(B48,MacReports!B:B,MacReports!E:E,"")</f>
        <v/>
      </c>
      <c r="F48" s="13">
        <f>MacReports!F48</f>
        <v>0</v>
      </c>
      <c r="G48" t="e">
        <f>_xlfn.XLOOKUP(F48,Models!A:A,Models!B:B)</f>
        <v>#N/A</v>
      </c>
      <c r="H48" t="e">
        <f>_xlfn.XLOOKUP(F48,Models!A:A,Models!E:E)</f>
        <v>#N/A</v>
      </c>
      <c r="I48" t="e">
        <f>_xlfn.XLOOKUP(F48,Models!A:A,Models!D:D)</f>
        <v>#N/A</v>
      </c>
      <c r="J48">
        <f>MacReports!G48</f>
        <v>0</v>
      </c>
      <c r="K48" s="59">
        <f>MacReports!H48</f>
        <v>0</v>
      </c>
      <c r="L48" t="str">
        <f t="shared" si="1"/>
        <v>0</v>
      </c>
      <c r="M48" s="15">
        <f>MacReports!I48</f>
        <v>0</v>
      </c>
      <c r="N48" s="16" t="str" cm="1">
        <f t="array" ref="N48">_xlfn.IFS(
   --MacReports!N48&lt;55,"Battery Defect",
  -- MacReports!N48&lt;=69,"Battery D",
  --MacReports!N48&lt;=80,"Battery C",
 --MacReports!N48&gt;80,""
)</f>
        <v>Battery Defect</v>
      </c>
      <c r="O48" s="16" t="str">
        <f>IF(MacReports!J48="Service","Battery Service","")</f>
        <v/>
      </c>
      <c r="P48" s="13">
        <f>MacReports!Q48</f>
        <v>0</v>
      </c>
      <c r="Q48" s="13" t="str">
        <f>IF(MacReports!K48="Enabled","Apple ID Lock","")</f>
        <v/>
      </c>
      <c r="R48" s="13" t="str">
        <f>IF(MacReports!M48="Remote Lock","Remote Locked","")</f>
        <v/>
      </c>
      <c r="S48" t="str">
        <f t="shared" si="4"/>
        <v>Battery Defect, 0</v>
      </c>
      <c r="T48" t="str">
        <f>_xlfn.XLOOKUP(B48,Disk_Pivot!G:G,Disk_Pivot!N:N)</f>
        <v>Pass, Fail</v>
      </c>
      <c r="U48" t="str">
        <f>IF(T48="Fail",MacReports!O48,"")</f>
        <v/>
      </c>
      <c r="AA48" t="str">
        <f t="shared" si="5"/>
        <v/>
      </c>
    </row>
    <row r="49" spans="1:27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str">
        <f>_xlfn.XLOOKUP(B49,MacReports!B:B,MacReports!E:E,"")</f>
        <v/>
      </c>
      <c r="F49" s="13">
        <f>MacReports!F49</f>
        <v>0</v>
      </c>
      <c r="G49" t="e">
        <f>_xlfn.XLOOKUP(F49,Models!A:A,Models!B:B)</f>
        <v>#N/A</v>
      </c>
      <c r="H49" t="e">
        <f>_xlfn.XLOOKUP(F49,Models!A:A,Models!E:E)</f>
        <v>#N/A</v>
      </c>
      <c r="I49" t="e">
        <f>_xlfn.XLOOKUP(F49,Models!A:A,Models!D:D)</f>
        <v>#N/A</v>
      </c>
      <c r="J49">
        <f>MacReports!G49</f>
        <v>0</v>
      </c>
      <c r="K49" s="59">
        <f>MacReports!H49</f>
        <v>0</v>
      </c>
      <c r="L49" t="str">
        <f t="shared" si="1"/>
        <v>0</v>
      </c>
      <c r="M49" s="15">
        <f>MacReports!I49</f>
        <v>0</v>
      </c>
      <c r="N49" s="16" t="str" cm="1">
        <f t="array" ref="N49">_xlfn.IFS(
   --MacReports!N49&lt;55,"Battery Defect",
  -- MacReports!N49&lt;=69,"Battery D",
  --MacReports!N49&lt;=80,"Battery C",
 --MacReports!N49&gt;80,""
)</f>
        <v>Battery Defect</v>
      </c>
      <c r="O49" s="16" t="str">
        <f>IF(MacReports!J49="Service","Battery Service","")</f>
        <v/>
      </c>
      <c r="P49" s="13">
        <f>MacReports!Q49</f>
        <v>0</v>
      </c>
      <c r="Q49" s="13" t="str">
        <f>IF(MacReports!K49="Enabled","Apple ID Lock","")</f>
        <v/>
      </c>
      <c r="R49" s="13" t="str">
        <f>IF(MacReports!M49="Remote Lock","Remote Locked","")</f>
        <v/>
      </c>
      <c r="S49" t="str">
        <f t="shared" si="4"/>
        <v>Battery Defect, 0</v>
      </c>
      <c r="T49" t="str">
        <f>_xlfn.XLOOKUP(B49,Disk_Pivot!G:G,Disk_Pivot!N:N)</f>
        <v>Pass, Fail</v>
      </c>
      <c r="U49" t="str">
        <f>IF(T49="Fail",MacReports!O49,"")</f>
        <v/>
      </c>
      <c r="AA49" t="str">
        <f t="shared" si="5"/>
        <v/>
      </c>
    </row>
    <row r="50" spans="1:27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str">
        <f>_xlfn.XLOOKUP(B50,MacReports!B:B,MacReports!E:E,"")</f>
        <v/>
      </c>
      <c r="F50" s="13">
        <f>MacReports!F50</f>
        <v>0</v>
      </c>
      <c r="G50" t="e">
        <f>_xlfn.XLOOKUP(F50,Models!A:A,Models!B:B)</f>
        <v>#N/A</v>
      </c>
      <c r="H50" t="e">
        <f>_xlfn.XLOOKUP(F50,Models!A:A,Models!E:E)</f>
        <v>#N/A</v>
      </c>
      <c r="I50" t="e">
        <f>_xlfn.XLOOKUP(F50,Models!A:A,Models!D:D)</f>
        <v>#N/A</v>
      </c>
      <c r="J50">
        <f>MacReports!G50</f>
        <v>0</v>
      </c>
      <c r="K50" s="59">
        <f>MacReports!H50</f>
        <v>0</v>
      </c>
      <c r="L50" t="str">
        <f t="shared" si="1"/>
        <v>0</v>
      </c>
      <c r="M50" s="15">
        <f>MacReports!I50</f>
        <v>0</v>
      </c>
      <c r="N50" s="16" t="str" cm="1">
        <f t="array" ref="N50">_xlfn.IFS(
   --MacReports!N50&lt;55,"Battery Defect",
  -- MacReports!N50&lt;=69,"Battery D",
  --MacReports!N50&lt;=80,"Battery C",
 --MacReports!N50&gt;80,""
)</f>
        <v>Battery Defect</v>
      </c>
      <c r="O50" s="16" t="str">
        <f>IF(MacReports!J50="Service","Battery Service","")</f>
        <v/>
      </c>
      <c r="P50" s="13">
        <f>MacReports!Q50</f>
        <v>0</v>
      </c>
      <c r="Q50" s="13" t="str">
        <f>IF(MacReports!K50="Enabled","Apple ID Lock","")</f>
        <v/>
      </c>
      <c r="R50" s="13" t="str">
        <f>IF(MacReports!M50="Remote Lock","Remote Locked","")</f>
        <v/>
      </c>
      <c r="S50" t="str">
        <f t="shared" si="4"/>
        <v>Battery Defect, 0</v>
      </c>
      <c r="T50" t="str">
        <f>_xlfn.XLOOKUP(B50,Disk_Pivot!G:G,Disk_Pivot!N:N)</f>
        <v>Pass, Fail</v>
      </c>
      <c r="U50" t="str">
        <f>IF(T50="Fail",MacReports!O50,"")</f>
        <v/>
      </c>
      <c r="AA50" t="str">
        <f t="shared" si="5"/>
        <v/>
      </c>
    </row>
    <row r="51" spans="1:27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str">
        <f>_xlfn.XLOOKUP(B51,MacReports!B:B,MacReports!E:E,"")</f>
        <v/>
      </c>
      <c r="F51" s="13">
        <f>MacReports!F51</f>
        <v>0</v>
      </c>
      <c r="G51" t="e">
        <f>_xlfn.XLOOKUP(F51,Models!A:A,Models!B:B)</f>
        <v>#N/A</v>
      </c>
      <c r="H51" t="e">
        <f>_xlfn.XLOOKUP(F51,Models!A:A,Models!E:E)</f>
        <v>#N/A</v>
      </c>
      <c r="I51" t="e">
        <f>_xlfn.XLOOKUP(F51,Models!A:A,Models!D:D)</f>
        <v>#N/A</v>
      </c>
      <c r="J51">
        <f>MacReports!G51</f>
        <v>0</v>
      </c>
      <c r="K51" s="59">
        <f>MacReports!H51</f>
        <v>0</v>
      </c>
      <c r="L51" t="str">
        <f t="shared" si="1"/>
        <v>0</v>
      </c>
      <c r="M51" s="15">
        <f>MacReports!I51</f>
        <v>0</v>
      </c>
      <c r="N51" s="16" t="str" cm="1">
        <f t="array" ref="N51">_xlfn.IFS(
   --MacReports!N51&lt;55,"Battery Defect",
  -- MacReports!N51&lt;=69,"Battery D",
  --MacReports!N51&lt;=80,"Battery C",
 --MacReports!N51&gt;80,""
)</f>
        <v>Battery Defect</v>
      </c>
      <c r="O51" s="16" t="str">
        <f>IF(MacReports!J51="Service","Battery Service","")</f>
        <v/>
      </c>
      <c r="P51" s="13">
        <f>MacReports!Q51</f>
        <v>0</v>
      </c>
      <c r="Q51" s="13" t="str">
        <f>IF(MacReports!K51="Enabled","Apple ID Lock","")</f>
        <v/>
      </c>
      <c r="R51" s="13" t="str">
        <f>IF(MacReports!M51="Remote Lock","Remote Locked","")</f>
        <v/>
      </c>
      <c r="S51" t="str">
        <f t="shared" si="4"/>
        <v>Battery Defect, 0</v>
      </c>
      <c r="T51" t="str">
        <f>_xlfn.XLOOKUP(B51,Disk_Pivot!G:G,Disk_Pivot!N:N)</f>
        <v>Pass, Fail</v>
      </c>
      <c r="U51" t="str">
        <f>IF(T51="Fail",MacReports!O51,"")</f>
        <v/>
      </c>
      <c r="AA51" t="str">
        <f t="shared" si="5"/>
        <v/>
      </c>
    </row>
    <row r="52" spans="1:27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str">
        <f>_xlfn.XLOOKUP(B52,MacReports!B:B,MacReports!E:E,"")</f>
        <v/>
      </c>
      <c r="F52" s="13">
        <f>MacReports!F52</f>
        <v>0</v>
      </c>
      <c r="G52" t="e">
        <f>_xlfn.XLOOKUP(F52,Models!A:A,Models!B:B)</f>
        <v>#N/A</v>
      </c>
      <c r="H52" t="e">
        <f>_xlfn.XLOOKUP(F52,Models!A:A,Models!E:E)</f>
        <v>#N/A</v>
      </c>
      <c r="I52" t="e">
        <f>_xlfn.XLOOKUP(F52,Models!A:A,Models!D:D)</f>
        <v>#N/A</v>
      </c>
      <c r="J52">
        <f>MacReports!G52</f>
        <v>0</v>
      </c>
      <c r="K52" s="59">
        <f>MacReports!H52</f>
        <v>0</v>
      </c>
      <c r="L52" t="str">
        <f t="shared" si="1"/>
        <v>0</v>
      </c>
      <c r="M52" s="15">
        <f>MacReports!I52</f>
        <v>0</v>
      </c>
      <c r="N52" s="16" t="str" cm="1">
        <f t="array" ref="N52">_xlfn.IFS(
   --MacReports!N52&lt;55,"Battery Defect",
  -- MacReports!N52&lt;=69,"Battery D",
  --MacReports!N52&lt;=80,"Battery C",
 --MacReports!N52&gt;80,""
)</f>
        <v>Battery Defect</v>
      </c>
      <c r="O52" s="16" t="str">
        <f>IF(MacReports!J52="Service","Battery Service","")</f>
        <v/>
      </c>
      <c r="P52" s="13">
        <f>MacReports!Q52</f>
        <v>0</v>
      </c>
      <c r="Q52" s="13" t="str">
        <f>IF(MacReports!K52="Enabled","Apple ID Lock","")</f>
        <v/>
      </c>
      <c r="R52" s="13" t="str">
        <f>IF(MacReports!M52="Remote Lock","Remote Locked","")</f>
        <v/>
      </c>
      <c r="S52" t="str">
        <f t="shared" si="4"/>
        <v>Battery Defect, 0</v>
      </c>
      <c r="T52" t="str">
        <f>_xlfn.XLOOKUP(B52,Disk_Pivot!G:G,Disk_Pivot!N:N)</f>
        <v>Pass, Fail</v>
      </c>
      <c r="U52" t="str">
        <f>IF(T52="Fail",MacReports!O52,"")</f>
        <v/>
      </c>
      <c r="AA52" t="str">
        <f t="shared" si="5"/>
        <v/>
      </c>
    </row>
    <row r="53" spans="1:27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str">
        <f>_xlfn.XLOOKUP(B53,MacReports!B:B,MacReports!E:E,"")</f>
        <v/>
      </c>
      <c r="F53" s="13">
        <f>MacReports!F53</f>
        <v>0</v>
      </c>
      <c r="G53" t="e">
        <f>_xlfn.XLOOKUP(F53,Models!A:A,Models!B:B)</f>
        <v>#N/A</v>
      </c>
      <c r="H53" t="e">
        <f>_xlfn.XLOOKUP(F53,Models!A:A,Models!E:E)</f>
        <v>#N/A</v>
      </c>
      <c r="I53" t="e">
        <f>_xlfn.XLOOKUP(F53,Models!A:A,Models!D:D)</f>
        <v>#N/A</v>
      </c>
      <c r="J53">
        <f>MacReports!G53</f>
        <v>0</v>
      </c>
      <c r="K53" s="59">
        <f>MacReports!H53</f>
        <v>0</v>
      </c>
      <c r="L53" t="str">
        <f t="shared" si="1"/>
        <v>0</v>
      </c>
      <c r="M53" s="15">
        <f>MacReports!I53</f>
        <v>0</v>
      </c>
      <c r="N53" s="16" t="str" cm="1">
        <f t="array" ref="N53">_xlfn.IFS(
   --MacReports!N53&lt;55,"Battery Defect",
  -- MacReports!N53&lt;=69,"Battery D",
  --MacReports!N53&lt;=80,"Battery C",
 --MacReports!N53&gt;80,""
)</f>
        <v>Battery Defect</v>
      </c>
      <c r="O53" s="16" t="str">
        <f>IF(MacReports!J53="Service","Battery Service","")</f>
        <v/>
      </c>
      <c r="P53" s="13">
        <f>MacReports!Q53</f>
        <v>0</v>
      </c>
      <c r="Q53" s="13" t="str">
        <f>IF(MacReports!K53="Enabled","Apple ID Lock","")</f>
        <v/>
      </c>
      <c r="R53" s="13" t="str">
        <f>IF(MacReports!M53="Remote Lock","Remote Locked","")</f>
        <v/>
      </c>
      <c r="S53" t="str">
        <f t="shared" si="4"/>
        <v>Battery Defect, 0</v>
      </c>
      <c r="T53" t="str">
        <f>_xlfn.XLOOKUP(B53,Disk_Pivot!G:G,Disk_Pivot!N:N)</f>
        <v>Pass, Fail</v>
      </c>
      <c r="U53" t="str">
        <f>IF(T53="Fail",MacReports!O53,"")</f>
        <v/>
      </c>
      <c r="AA53" t="str">
        <f t="shared" si="5"/>
        <v/>
      </c>
    </row>
    <row r="54" spans="1:27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str">
        <f>_xlfn.XLOOKUP(B54,MacReports!B:B,MacReports!E:E,"")</f>
        <v/>
      </c>
      <c r="F54" s="13">
        <f>MacReports!F54</f>
        <v>0</v>
      </c>
      <c r="G54" t="e">
        <f>_xlfn.XLOOKUP(F54,Models!A:A,Models!B:B)</f>
        <v>#N/A</v>
      </c>
      <c r="H54" t="e">
        <f>_xlfn.XLOOKUP(F54,Models!A:A,Models!E:E)</f>
        <v>#N/A</v>
      </c>
      <c r="I54" t="e">
        <f>_xlfn.XLOOKUP(F54,Models!A:A,Models!D:D)</f>
        <v>#N/A</v>
      </c>
      <c r="J54">
        <f>MacReports!G54</f>
        <v>0</v>
      </c>
      <c r="K54" s="59">
        <f>MacReports!H54</f>
        <v>0</v>
      </c>
      <c r="L54" t="str">
        <f t="shared" si="1"/>
        <v>0</v>
      </c>
      <c r="M54" s="15">
        <f>MacReports!I54</f>
        <v>0</v>
      </c>
      <c r="N54" s="16" t="str" cm="1">
        <f t="array" ref="N54">_xlfn.IFS(
   --MacReports!N54&lt;55,"Battery Defect",
  -- MacReports!N54&lt;=69,"Battery D",
  --MacReports!N54&lt;=80,"Battery C",
 --MacReports!N54&gt;80,""
)</f>
        <v>Battery Defect</v>
      </c>
      <c r="O54" s="16" t="str">
        <f>IF(MacReports!J54="Service","Battery Service","")</f>
        <v/>
      </c>
      <c r="P54" s="13">
        <f>MacReports!Q54</f>
        <v>0</v>
      </c>
      <c r="Q54" s="13" t="str">
        <f>IF(MacReports!K54="Enabled","Apple ID Lock","")</f>
        <v/>
      </c>
      <c r="R54" s="13" t="str">
        <f>IF(MacReports!M54="Remote Lock","Remote Locked","")</f>
        <v/>
      </c>
      <c r="S54" t="str">
        <f t="shared" si="4"/>
        <v>Battery Defect, 0</v>
      </c>
      <c r="T54" t="str">
        <f>_xlfn.XLOOKUP(B54,Disk_Pivot!G:G,Disk_Pivot!N:N)</f>
        <v>Pass, Fail</v>
      </c>
      <c r="U54" t="str">
        <f>IF(T54="Fail",MacReports!O54,"")</f>
        <v/>
      </c>
      <c r="AA54" t="str">
        <f t="shared" si="5"/>
        <v/>
      </c>
    </row>
    <row r="55" spans="1:27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str">
        <f>_xlfn.XLOOKUP(B55,MacReports!B:B,MacReports!E:E,"")</f>
        <v/>
      </c>
      <c r="F55" s="13">
        <f>MacReports!F55</f>
        <v>0</v>
      </c>
      <c r="G55" t="e">
        <f>_xlfn.XLOOKUP(F55,Models!A:A,Models!B:B)</f>
        <v>#N/A</v>
      </c>
      <c r="H55" t="e">
        <f>_xlfn.XLOOKUP(F55,Models!A:A,Models!E:E)</f>
        <v>#N/A</v>
      </c>
      <c r="I55" t="e">
        <f>_xlfn.XLOOKUP(F55,Models!A:A,Models!D:D)</f>
        <v>#N/A</v>
      </c>
      <c r="J55">
        <f>MacReports!G55</f>
        <v>0</v>
      </c>
      <c r="K55" s="59">
        <f>MacReports!H55</f>
        <v>0</v>
      </c>
      <c r="L55" t="str">
        <f t="shared" si="1"/>
        <v>0</v>
      </c>
      <c r="M55" s="15">
        <f>MacReports!I55</f>
        <v>0</v>
      </c>
      <c r="N55" s="16" t="str" cm="1">
        <f t="array" ref="N55">_xlfn.IFS(
   --MacReports!N55&lt;55,"Battery Defect",
  -- MacReports!N55&lt;=69,"Battery D",
  --MacReports!N55&lt;=80,"Battery C",
 --MacReports!N55&gt;80,""
)</f>
        <v>Battery Defect</v>
      </c>
      <c r="O55" s="16" t="str">
        <f>IF(MacReports!J55="Service","Battery Service","")</f>
        <v/>
      </c>
      <c r="P55" s="13">
        <f>MacReports!Q55</f>
        <v>0</v>
      </c>
      <c r="Q55" s="13" t="str">
        <f>IF(MacReports!K55="Enabled","Apple ID Lock","")</f>
        <v/>
      </c>
      <c r="R55" s="13" t="str">
        <f>IF(MacReports!M55="Remote Lock","Remote Locked","")</f>
        <v/>
      </c>
      <c r="S55" t="str">
        <f t="shared" si="4"/>
        <v>Battery Defect, 0</v>
      </c>
      <c r="T55" t="str">
        <f>_xlfn.XLOOKUP(B55,Disk_Pivot!G:G,Disk_Pivot!N:N)</f>
        <v>Pass, Fail</v>
      </c>
      <c r="U55" t="str">
        <f>IF(T55="Fail",MacReports!O55,"")</f>
        <v/>
      </c>
      <c r="AA55" t="str">
        <f t="shared" si="5"/>
        <v/>
      </c>
    </row>
    <row r="56" spans="1:27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str">
        <f>_xlfn.XLOOKUP(B56,MacReports!B:B,MacReports!E:E,"")</f>
        <v/>
      </c>
      <c r="F56" s="13">
        <f>MacReports!F56</f>
        <v>0</v>
      </c>
      <c r="G56" t="e">
        <f>_xlfn.XLOOKUP(F56,Models!A:A,Models!B:B)</f>
        <v>#N/A</v>
      </c>
      <c r="H56" t="e">
        <f>_xlfn.XLOOKUP(F56,Models!A:A,Models!E:E)</f>
        <v>#N/A</v>
      </c>
      <c r="I56" t="e">
        <f>_xlfn.XLOOKUP(F56,Models!A:A,Models!D:D)</f>
        <v>#N/A</v>
      </c>
      <c r="J56">
        <f>MacReports!G56</f>
        <v>0</v>
      </c>
      <c r="K56" s="59">
        <f>MacReports!H56</f>
        <v>0</v>
      </c>
      <c r="L56" t="str">
        <f t="shared" si="1"/>
        <v>0</v>
      </c>
      <c r="M56" s="15">
        <f>MacReports!I56</f>
        <v>0</v>
      </c>
      <c r="N56" s="16" t="str" cm="1">
        <f t="array" ref="N56">_xlfn.IFS(
   --MacReports!N56&lt;55,"Battery Defect",
  -- MacReports!N56&lt;=69,"Battery D",
  --MacReports!N56&lt;=80,"Battery C",
 --MacReports!N56&gt;80,""
)</f>
        <v>Battery Defect</v>
      </c>
      <c r="O56" s="16" t="str">
        <f>IF(MacReports!J56="Service","Battery Service","")</f>
        <v/>
      </c>
      <c r="P56" s="13">
        <f>MacReports!Q56</f>
        <v>0</v>
      </c>
      <c r="Q56" s="13" t="str">
        <f>IF(MacReports!K56="Enabled","Apple ID Lock","")</f>
        <v/>
      </c>
      <c r="R56" s="13" t="str">
        <f>IF(MacReports!M56="Remote Lock","Remote Locked","")</f>
        <v/>
      </c>
      <c r="S56" t="str">
        <f t="shared" si="4"/>
        <v>Battery Defect, 0</v>
      </c>
      <c r="T56" t="str">
        <f>_xlfn.XLOOKUP(B56,Disk_Pivot!G:G,Disk_Pivot!N:N)</f>
        <v>Pass, Fail</v>
      </c>
      <c r="U56" t="str">
        <f>IF(T56="Fail",MacReports!O56,"")</f>
        <v/>
      </c>
      <c r="AA56" t="str">
        <f t="shared" si="5"/>
        <v/>
      </c>
    </row>
    <row r="57" spans="1:27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str">
        <f>_xlfn.XLOOKUP(B57,MacReports!B:B,MacReports!E:E,"")</f>
        <v/>
      </c>
      <c r="F57" s="13">
        <f>MacReports!F57</f>
        <v>0</v>
      </c>
      <c r="G57" t="e">
        <f>_xlfn.XLOOKUP(F57,Models!A:A,Models!B:B)</f>
        <v>#N/A</v>
      </c>
      <c r="H57" t="e">
        <f>_xlfn.XLOOKUP(F57,Models!A:A,Models!E:E)</f>
        <v>#N/A</v>
      </c>
      <c r="I57" t="e">
        <f>_xlfn.XLOOKUP(F57,Models!A:A,Models!D:D)</f>
        <v>#N/A</v>
      </c>
      <c r="J57">
        <f>MacReports!G57</f>
        <v>0</v>
      </c>
      <c r="K57" s="59">
        <f>MacReports!H57</f>
        <v>0</v>
      </c>
      <c r="L57" t="str">
        <f t="shared" si="1"/>
        <v>0</v>
      </c>
      <c r="M57" s="15">
        <f>MacReports!I57</f>
        <v>0</v>
      </c>
      <c r="N57" s="16" t="str" cm="1">
        <f t="array" ref="N57">_xlfn.IFS(
   --MacReports!N57&lt;55,"Battery Defect",
  -- MacReports!N57&lt;=69,"Battery D",
  --MacReports!N57&lt;=80,"Battery C",
 --MacReports!N57&gt;80,""
)</f>
        <v>Battery Defect</v>
      </c>
      <c r="O57" s="16" t="str">
        <f>IF(MacReports!J57="Service","Battery Service","")</f>
        <v/>
      </c>
      <c r="P57" s="13">
        <f>MacReports!Q57</f>
        <v>0</v>
      </c>
      <c r="Q57" s="13" t="str">
        <f>IF(MacReports!K57="Enabled","Apple ID Lock","")</f>
        <v/>
      </c>
      <c r="R57" s="13" t="str">
        <f>IF(MacReports!M57="Remote Lock","Remote Locked","")</f>
        <v/>
      </c>
      <c r="S57" t="str">
        <f t="shared" si="4"/>
        <v>Battery Defect, 0</v>
      </c>
      <c r="T57" t="str">
        <f>_xlfn.XLOOKUP(B57,Disk_Pivot!G:G,Disk_Pivot!N:N)</f>
        <v>Pass, Fail</v>
      </c>
      <c r="U57" t="str">
        <f>IF(T57="Fail",MacReports!O57,"")</f>
        <v/>
      </c>
      <c r="AA57" t="str">
        <f t="shared" si="5"/>
        <v/>
      </c>
    </row>
    <row r="58" spans="1:27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str">
        <f>_xlfn.XLOOKUP(B58,MacReports!B:B,MacReports!E:E,"")</f>
        <v/>
      </c>
      <c r="F58" s="13">
        <f>MacReports!F58</f>
        <v>0</v>
      </c>
      <c r="G58" t="e">
        <f>_xlfn.XLOOKUP(F58,Models!A:A,Models!B:B)</f>
        <v>#N/A</v>
      </c>
      <c r="H58" t="e">
        <f>_xlfn.XLOOKUP(F58,Models!A:A,Models!E:E)</f>
        <v>#N/A</v>
      </c>
      <c r="I58" t="e">
        <f>_xlfn.XLOOKUP(F58,Models!A:A,Models!D:D)</f>
        <v>#N/A</v>
      </c>
      <c r="J58">
        <f>MacReports!G58</f>
        <v>0</v>
      </c>
      <c r="K58" s="59">
        <f>MacReports!H58</f>
        <v>0</v>
      </c>
      <c r="L58" t="str">
        <f t="shared" si="1"/>
        <v>0</v>
      </c>
      <c r="M58" s="15">
        <f>MacReports!I58</f>
        <v>0</v>
      </c>
      <c r="N58" s="16" t="str" cm="1">
        <f t="array" ref="N58">_xlfn.IFS(
   --MacReports!N58&lt;55,"Battery Defect",
  -- MacReports!N58&lt;=69,"Battery D",
  --MacReports!N58&lt;=80,"Battery C",
 --MacReports!N58&gt;80,""
)</f>
        <v>Battery Defect</v>
      </c>
      <c r="O58" s="16" t="str">
        <f>IF(MacReports!J58="Service","Battery Service","")</f>
        <v/>
      </c>
      <c r="P58" s="13">
        <f>MacReports!Q58</f>
        <v>0</v>
      </c>
      <c r="Q58" s="13" t="str">
        <f>IF(MacReports!K58="Enabled","Apple ID Lock","")</f>
        <v/>
      </c>
      <c r="R58" s="13" t="str">
        <f>IF(MacReports!M58="Remote Lock","Remote Locked","")</f>
        <v/>
      </c>
      <c r="S58" t="str">
        <f t="shared" si="4"/>
        <v>Battery Defect, 0</v>
      </c>
      <c r="T58" t="str">
        <f>_xlfn.XLOOKUP(B58,Disk_Pivot!G:G,Disk_Pivot!N:N)</f>
        <v>Pass, Fail</v>
      </c>
      <c r="U58" t="str">
        <f>IF(T58="Fail",MacReports!O58,"")</f>
        <v/>
      </c>
      <c r="AA58" t="str">
        <f t="shared" si="5"/>
        <v/>
      </c>
    </row>
    <row r="59" spans="1:27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str">
        <f>_xlfn.XLOOKUP(B59,MacReports!B:B,MacReports!E:E,"")</f>
        <v/>
      </c>
      <c r="F59" s="13">
        <f>MacReports!F59</f>
        <v>0</v>
      </c>
      <c r="G59" t="e">
        <f>_xlfn.XLOOKUP(F59,Models!A:A,Models!B:B)</f>
        <v>#N/A</v>
      </c>
      <c r="H59" t="e">
        <f>_xlfn.XLOOKUP(F59,Models!A:A,Models!E:E)</f>
        <v>#N/A</v>
      </c>
      <c r="I59" t="e">
        <f>_xlfn.XLOOKUP(F59,Models!A:A,Models!D:D)</f>
        <v>#N/A</v>
      </c>
      <c r="J59">
        <f>MacReports!G59</f>
        <v>0</v>
      </c>
      <c r="K59" s="59">
        <f>MacReports!H59</f>
        <v>0</v>
      </c>
      <c r="L59" t="str">
        <f t="shared" si="1"/>
        <v>0</v>
      </c>
      <c r="M59" s="15">
        <f>MacReports!I59</f>
        <v>0</v>
      </c>
      <c r="N59" s="16" t="str" cm="1">
        <f t="array" ref="N59">_xlfn.IFS(
   --MacReports!N59&lt;55,"Battery Defect",
  -- MacReports!N59&lt;=69,"Battery D",
  --MacReports!N59&lt;=80,"Battery C",
 --MacReports!N59&gt;80,""
)</f>
        <v>Battery Defect</v>
      </c>
      <c r="O59" s="16" t="str">
        <f>IF(MacReports!J59="Service","Battery Service","")</f>
        <v/>
      </c>
      <c r="P59" s="13">
        <f>MacReports!Q59</f>
        <v>0</v>
      </c>
      <c r="Q59" s="13" t="str">
        <f>IF(MacReports!K59="Enabled","Apple ID Lock","")</f>
        <v/>
      </c>
      <c r="R59" s="13" t="str">
        <f>IF(MacReports!M59="Remote Lock","Remote Locked","")</f>
        <v/>
      </c>
      <c r="S59" t="str">
        <f t="shared" si="4"/>
        <v>Battery Defect, 0</v>
      </c>
      <c r="T59" t="str">
        <f>_xlfn.XLOOKUP(B59,Disk_Pivot!G:G,Disk_Pivot!N:N)</f>
        <v>Pass, Fail</v>
      </c>
      <c r="U59" t="str">
        <f>IF(T59="Fail",MacReports!O59,"")</f>
        <v/>
      </c>
      <c r="AA59" t="str">
        <f t="shared" si="5"/>
        <v/>
      </c>
    </row>
    <row r="60" spans="1:27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str">
        <f>_xlfn.XLOOKUP(B60,MacReports!B:B,MacReports!E:E,"")</f>
        <v/>
      </c>
      <c r="F60" s="13">
        <f>MacReports!F60</f>
        <v>0</v>
      </c>
      <c r="G60" t="e">
        <f>_xlfn.XLOOKUP(F60,Models!A:A,Models!B:B)</f>
        <v>#N/A</v>
      </c>
      <c r="H60" t="e">
        <f>_xlfn.XLOOKUP(F60,Models!A:A,Models!E:E)</f>
        <v>#N/A</v>
      </c>
      <c r="I60" t="e">
        <f>_xlfn.XLOOKUP(F60,Models!A:A,Models!D:D)</f>
        <v>#N/A</v>
      </c>
      <c r="J60">
        <f>MacReports!G60</f>
        <v>0</v>
      </c>
      <c r="K60" s="59">
        <f>MacReports!H60</f>
        <v>0</v>
      </c>
      <c r="L60" t="str">
        <f t="shared" si="1"/>
        <v>0</v>
      </c>
      <c r="M60" s="15">
        <f>MacReports!I60</f>
        <v>0</v>
      </c>
      <c r="N60" s="16" t="str" cm="1">
        <f t="array" ref="N60">_xlfn.IFS(
   --MacReports!N60&lt;55,"Battery Defect",
  -- MacReports!N60&lt;=69,"Battery D",
  --MacReports!N60&lt;=80,"Battery C",
 --MacReports!N60&gt;80,""
)</f>
        <v>Battery Defect</v>
      </c>
      <c r="O60" s="16" t="str">
        <f>IF(MacReports!J60="Service","Battery Service","")</f>
        <v/>
      </c>
      <c r="P60" s="13">
        <f>MacReports!Q60</f>
        <v>0</v>
      </c>
      <c r="Q60" s="13" t="str">
        <f>IF(MacReports!K60="Enabled","Apple ID Lock","")</f>
        <v/>
      </c>
      <c r="R60" s="13" t="str">
        <f>IF(MacReports!M60="Remote Lock","Remote Locked","")</f>
        <v/>
      </c>
      <c r="S60" t="str">
        <f t="shared" si="4"/>
        <v>Battery Defect, 0</v>
      </c>
      <c r="T60" t="str">
        <f>_xlfn.XLOOKUP(B60,Disk_Pivot!G:G,Disk_Pivot!N:N)</f>
        <v>Pass, Fail</v>
      </c>
      <c r="U60" t="str">
        <f>IF(T60="Fail",MacReports!O60,"")</f>
        <v/>
      </c>
      <c r="AA60" t="str">
        <f t="shared" si="5"/>
        <v/>
      </c>
    </row>
    <row r="61" spans="1:27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str">
        <f>_xlfn.XLOOKUP(B61,MacReports!B:B,MacReports!E:E,"")</f>
        <v/>
      </c>
      <c r="F61" s="13">
        <f>MacReports!F61</f>
        <v>0</v>
      </c>
      <c r="G61" t="e">
        <f>_xlfn.XLOOKUP(F61,Models!A:A,Models!B:B)</f>
        <v>#N/A</v>
      </c>
      <c r="H61" t="e">
        <f>_xlfn.XLOOKUP(F61,Models!A:A,Models!E:E)</f>
        <v>#N/A</v>
      </c>
      <c r="I61" t="e">
        <f>_xlfn.XLOOKUP(F61,Models!A:A,Models!D:D)</f>
        <v>#N/A</v>
      </c>
      <c r="J61">
        <f>MacReports!G61</f>
        <v>0</v>
      </c>
      <c r="K61" s="59">
        <f>MacReports!H61</f>
        <v>0</v>
      </c>
      <c r="L61" t="str">
        <f t="shared" si="1"/>
        <v>0</v>
      </c>
      <c r="M61" s="15">
        <f>MacReports!I61</f>
        <v>0</v>
      </c>
      <c r="N61" s="16" t="str" cm="1">
        <f t="array" ref="N61">_xlfn.IFS(
   --MacReports!N61&lt;55,"Battery Defect",
  -- MacReports!N61&lt;=69,"Battery D",
  --MacReports!N61&lt;=80,"Battery C",
 --MacReports!N61&gt;80,""
)</f>
        <v>Battery Defect</v>
      </c>
      <c r="O61" s="16" t="str">
        <f>IF(MacReports!J61="Service","Battery Service","")</f>
        <v/>
      </c>
      <c r="P61" s="13">
        <f>MacReports!Q61</f>
        <v>0</v>
      </c>
      <c r="Q61" s="13" t="str">
        <f>IF(MacReports!K61="Enabled","Apple ID Lock","")</f>
        <v/>
      </c>
      <c r="R61" s="13" t="str">
        <f>IF(MacReports!M61="Remote Lock","Remote Locked","")</f>
        <v/>
      </c>
      <c r="S61" t="str">
        <f t="shared" si="4"/>
        <v>Battery Defect, 0</v>
      </c>
      <c r="T61" t="str">
        <f>_xlfn.XLOOKUP(B61,Disk_Pivot!G:G,Disk_Pivot!N:N)</f>
        <v>Pass, Fail</v>
      </c>
      <c r="U61" t="str">
        <f>IF(T61="Fail",MacReports!O61,"")</f>
        <v/>
      </c>
      <c r="AA61" t="str">
        <f t="shared" si="5"/>
        <v/>
      </c>
    </row>
    <row r="62" spans="1:27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str">
        <f>_xlfn.XLOOKUP(B62,MacReports!B:B,MacReports!E:E,"")</f>
        <v/>
      </c>
      <c r="F62" s="13">
        <f>MacReports!F62</f>
        <v>0</v>
      </c>
      <c r="G62" t="e">
        <f>_xlfn.XLOOKUP(F62,Models!A:A,Models!B:B)</f>
        <v>#N/A</v>
      </c>
      <c r="H62" t="e">
        <f>_xlfn.XLOOKUP(F62,Models!A:A,Models!E:E)</f>
        <v>#N/A</v>
      </c>
      <c r="I62" t="e">
        <f>_xlfn.XLOOKUP(F62,Models!A:A,Models!D:D)</f>
        <v>#N/A</v>
      </c>
      <c r="J62">
        <f>MacReports!G62</f>
        <v>0</v>
      </c>
      <c r="K62" s="59">
        <f>MacReports!H62</f>
        <v>0</v>
      </c>
      <c r="L62" t="str">
        <f t="shared" si="1"/>
        <v>0</v>
      </c>
      <c r="M62" s="15">
        <f>MacReports!I62</f>
        <v>0</v>
      </c>
      <c r="N62" s="16" t="str" cm="1">
        <f t="array" ref="N62">_xlfn.IFS(
   --MacReports!N62&lt;55,"Battery Defect",
  -- MacReports!N62&lt;=69,"Battery D",
  --MacReports!N62&lt;=80,"Battery C",
 --MacReports!N62&gt;80,""
)</f>
        <v>Battery Defect</v>
      </c>
      <c r="O62" s="16" t="str">
        <f>IF(MacReports!J62="Service","Battery Service","")</f>
        <v/>
      </c>
      <c r="P62" s="13">
        <f>MacReports!Q62</f>
        <v>0</v>
      </c>
      <c r="Q62" s="13" t="str">
        <f>IF(MacReports!K62="Enabled","Apple ID Lock","")</f>
        <v/>
      </c>
      <c r="R62" s="13" t="str">
        <f>IF(MacReports!M62="Remote Lock","Remote Locked","")</f>
        <v/>
      </c>
      <c r="S62" t="str">
        <f t="shared" si="4"/>
        <v>Battery Defect, 0</v>
      </c>
      <c r="T62" t="str">
        <f>_xlfn.XLOOKUP(B62,Disk_Pivot!G:G,Disk_Pivot!N:N)</f>
        <v>Pass, Fail</v>
      </c>
      <c r="U62" t="str">
        <f>IF(T62="Fail",MacReports!O62,"")</f>
        <v/>
      </c>
      <c r="AA62" t="str">
        <f t="shared" si="5"/>
        <v/>
      </c>
    </row>
    <row r="63" spans="1:27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str">
        <f>_xlfn.XLOOKUP(B63,MacReports!B:B,MacReports!E:E,"")</f>
        <v/>
      </c>
      <c r="F63" s="13">
        <f>MacReports!F63</f>
        <v>0</v>
      </c>
      <c r="G63" t="e">
        <f>_xlfn.XLOOKUP(F63,Models!A:A,Models!B:B)</f>
        <v>#N/A</v>
      </c>
      <c r="H63" t="e">
        <f>_xlfn.XLOOKUP(F63,Models!A:A,Models!E:E)</f>
        <v>#N/A</v>
      </c>
      <c r="I63" t="e">
        <f>_xlfn.XLOOKUP(F63,Models!A:A,Models!D:D)</f>
        <v>#N/A</v>
      </c>
      <c r="J63">
        <f>MacReports!G63</f>
        <v>0</v>
      </c>
      <c r="K63" s="59">
        <f>MacReports!H63</f>
        <v>0</v>
      </c>
      <c r="L63" t="str">
        <f t="shared" si="1"/>
        <v>0</v>
      </c>
      <c r="M63" s="15">
        <f>MacReports!I63</f>
        <v>0</v>
      </c>
      <c r="N63" s="16" t="str" cm="1">
        <f t="array" ref="N63">_xlfn.IFS(
   --MacReports!N63&lt;55,"Battery Defect",
  -- MacReports!N63&lt;=69,"Battery D",
  --MacReports!N63&lt;=80,"Battery C",
 --MacReports!N63&gt;80,""
)</f>
        <v>Battery Defect</v>
      </c>
      <c r="O63" s="16" t="str">
        <f>IF(MacReports!J63="Service","Battery Service","")</f>
        <v/>
      </c>
      <c r="P63" s="13">
        <f>MacReports!Q63</f>
        <v>0</v>
      </c>
      <c r="Q63" s="13" t="str">
        <f>IF(MacReports!K63="Enabled","Apple ID Lock","")</f>
        <v/>
      </c>
      <c r="R63" s="13" t="str">
        <f>IF(MacReports!M63="Remote Lock","Remote Locked","")</f>
        <v/>
      </c>
      <c r="S63" t="str">
        <f t="shared" si="4"/>
        <v>Battery Defect, 0</v>
      </c>
      <c r="T63" t="str">
        <f>_xlfn.XLOOKUP(B63,Disk_Pivot!G:G,Disk_Pivot!N:N)</f>
        <v>Pass, Fail</v>
      </c>
      <c r="U63" t="str">
        <f>IF(T63="Fail",MacReports!O63,"")</f>
        <v/>
      </c>
      <c r="AA63" t="str">
        <f t="shared" si="5"/>
        <v/>
      </c>
    </row>
    <row r="64" spans="1:27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str">
        <f>_xlfn.XLOOKUP(B64,MacReports!B:B,MacReports!E:E,"")</f>
        <v/>
      </c>
      <c r="F64" s="13">
        <f>MacReports!F64</f>
        <v>0</v>
      </c>
      <c r="G64" t="e">
        <f>_xlfn.XLOOKUP(F64,Models!A:A,Models!B:B)</f>
        <v>#N/A</v>
      </c>
      <c r="H64" t="e">
        <f>_xlfn.XLOOKUP(F64,Models!A:A,Models!E:E)</f>
        <v>#N/A</v>
      </c>
      <c r="I64" t="e">
        <f>_xlfn.XLOOKUP(F64,Models!A:A,Models!D:D)</f>
        <v>#N/A</v>
      </c>
      <c r="J64">
        <f>MacReports!G64</f>
        <v>0</v>
      </c>
      <c r="K64" s="59">
        <f>MacReports!H64</f>
        <v>0</v>
      </c>
      <c r="L64" t="str">
        <f t="shared" si="1"/>
        <v>0</v>
      </c>
      <c r="M64" s="15">
        <f>MacReports!I64</f>
        <v>0</v>
      </c>
      <c r="N64" s="16" t="str" cm="1">
        <f t="array" ref="N64">_xlfn.IFS(
   --MacReports!N64&lt;55,"Battery Defect",
  -- MacReports!N64&lt;=69,"Battery D",
  --MacReports!N64&lt;=80,"Battery C",
 --MacReports!N64&gt;80,""
)</f>
        <v>Battery Defect</v>
      </c>
      <c r="O64" s="16" t="str">
        <f>IF(MacReports!J64="Service","Battery Service","")</f>
        <v/>
      </c>
      <c r="P64" s="13">
        <f>MacReports!Q64</f>
        <v>0</v>
      </c>
      <c r="Q64" s="13" t="str">
        <f>IF(MacReports!K64="Enabled","Apple ID Lock","")</f>
        <v/>
      </c>
      <c r="R64" s="13" t="str">
        <f>IF(MacReports!M64="Remote Lock","Remote Locked","")</f>
        <v/>
      </c>
      <c r="S64" t="str">
        <f t="shared" si="4"/>
        <v>Battery Defect, 0</v>
      </c>
      <c r="T64" t="str">
        <f>_xlfn.XLOOKUP(B64,Disk_Pivot!G:G,Disk_Pivot!N:N)</f>
        <v>Pass, Fail</v>
      </c>
      <c r="U64" t="str">
        <f>IF(T64="Fail",MacReports!O64,"")</f>
        <v/>
      </c>
      <c r="AA64" t="str">
        <f t="shared" si="5"/>
        <v/>
      </c>
    </row>
    <row r="65" spans="1:27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str">
        <f>_xlfn.XLOOKUP(B65,MacReports!B:B,MacReports!E:E,"")</f>
        <v/>
      </c>
      <c r="F65" s="13">
        <f>MacReports!F65</f>
        <v>0</v>
      </c>
      <c r="G65" t="e">
        <f>_xlfn.XLOOKUP(F65,Models!A:A,Models!B:B)</f>
        <v>#N/A</v>
      </c>
      <c r="H65" t="e">
        <f>_xlfn.XLOOKUP(F65,Models!A:A,Models!E:E)</f>
        <v>#N/A</v>
      </c>
      <c r="I65" t="e">
        <f>_xlfn.XLOOKUP(F65,Models!A:A,Models!D:D)</f>
        <v>#N/A</v>
      </c>
      <c r="J65">
        <f>MacReports!G65</f>
        <v>0</v>
      </c>
      <c r="K65" s="59">
        <f>MacReports!H65</f>
        <v>0</v>
      </c>
      <c r="L65" t="str">
        <f t="shared" si="1"/>
        <v>0</v>
      </c>
      <c r="M65" s="15">
        <f>MacReports!I65</f>
        <v>0</v>
      </c>
      <c r="N65" s="16" t="str" cm="1">
        <f t="array" ref="N65">_xlfn.IFS(
   --MacReports!N65&lt;55,"Battery Defect",
  -- MacReports!N65&lt;=69,"Battery D",
  --MacReports!N65&lt;=80,"Battery C",
 --MacReports!N65&gt;80,""
)</f>
        <v>Battery Defect</v>
      </c>
      <c r="O65" s="16" t="str">
        <f>IF(MacReports!J65="Service","Battery Service","")</f>
        <v/>
      </c>
      <c r="P65" s="13">
        <f>MacReports!Q65</f>
        <v>0</v>
      </c>
      <c r="Q65" s="13" t="str">
        <f>IF(MacReports!K65="Enabled","Apple ID Lock","")</f>
        <v/>
      </c>
      <c r="R65" s="13" t="str">
        <f>IF(MacReports!M65="Remote Lock","Remote Locked","")</f>
        <v/>
      </c>
      <c r="S65" t="str">
        <f t="shared" si="4"/>
        <v>Battery Defect, 0</v>
      </c>
      <c r="T65" t="str">
        <f>_xlfn.XLOOKUP(B65,Disk_Pivot!G:G,Disk_Pivot!N:N)</f>
        <v>Pass, Fail</v>
      </c>
      <c r="U65" t="str">
        <f>IF(T65="Fail",MacReports!O65,"")</f>
        <v/>
      </c>
      <c r="AA65" t="str">
        <f t="shared" si="5"/>
        <v/>
      </c>
    </row>
    <row r="66" spans="1:27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str">
        <f>_xlfn.XLOOKUP(B66,MacReports!B:B,MacReports!E:E,"")</f>
        <v/>
      </c>
      <c r="F66" s="13">
        <f>MacReports!F66</f>
        <v>0</v>
      </c>
      <c r="G66" t="e">
        <f>_xlfn.XLOOKUP(F66,Models!A:A,Models!B:B)</f>
        <v>#N/A</v>
      </c>
      <c r="H66" t="e">
        <f>_xlfn.XLOOKUP(F66,Models!A:A,Models!E:E)</f>
        <v>#N/A</v>
      </c>
      <c r="I66" t="e">
        <f>_xlfn.XLOOKUP(F66,Models!A:A,Models!D:D)</f>
        <v>#N/A</v>
      </c>
      <c r="J66">
        <f>MacReports!G66</f>
        <v>0</v>
      </c>
      <c r="K66" s="59">
        <f>MacReports!H66</f>
        <v>0</v>
      </c>
      <c r="L66" t="str">
        <f t="shared" si="1"/>
        <v>0</v>
      </c>
      <c r="M66" s="15">
        <f>MacReports!I66</f>
        <v>0</v>
      </c>
      <c r="N66" s="16" t="str" cm="1">
        <f t="array" ref="N66">_xlfn.IFS(
   --MacReports!N66&lt;55,"Battery Defect",
  -- MacReports!N66&lt;=69,"Battery D",
  --MacReports!N66&lt;=80,"Battery C",
 --MacReports!N66&gt;80,""
)</f>
        <v>Battery Defect</v>
      </c>
      <c r="O66" s="16" t="str">
        <f>IF(MacReports!J66="Service","Battery Service","")</f>
        <v/>
      </c>
      <c r="P66" s="13">
        <f>MacReports!Q66</f>
        <v>0</v>
      </c>
      <c r="Q66" s="13" t="str">
        <f>IF(MacReports!K66="Enabled","Apple ID Lock","")</f>
        <v/>
      </c>
      <c r="R66" s="13" t="str">
        <f>IF(MacReports!M66="Remote Lock","Remote Locked","")</f>
        <v/>
      </c>
      <c r="S66" t="str">
        <f t="shared" si="4"/>
        <v>Battery Defect, 0</v>
      </c>
      <c r="T66" t="str">
        <f>_xlfn.XLOOKUP(B66,Disk_Pivot!G:G,Disk_Pivot!N:N)</f>
        <v>Pass, Fail</v>
      </c>
      <c r="U66" t="str">
        <f>IF(T66="Fail",MacReports!O66,"")</f>
        <v/>
      </c>
      <c r="AA66" t="str">
        <f t="shared" si="5"/>
        <v/>
      </c>
    </row>
    <row r="67" spans="1:27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str">
        <f>_xlfn.XLOOKUP(B67,MacReports!B:B,MacReports!E:E,"")</f>
        <v/>
      </c>
      <c r="F67" s="13">
        <f>MacReports!F67</f>
        <v>0</v>
      </c>
      <c r="G67" t="e">
        <f>_xlfn.XLOOKUP(F67,Models!A:A,Models!B:B)</f>
        <v>#N/A</v>
      </c>
      <c r="H67" t="e">
        <f>_xlfn.XLOOKUP(F67,Models!A:A,Models!E:E)</f>
        <v>#N/A</v>
      </c>
      <c r="I67" t="e">
        <f>_xlfn.XLOOKUP(F67,Models!A:A,Models!D:D)</f>
        <v>#N/A</v>
      </c>
      <c r="J67">
        <f>MacReports!G67</f>
        <v>0</v>
      </c>
      <c r="K67" s="59">
        <f>MacReports!H67</f>
        <v>0</v>
      </c>
      <c r="L67" t="str">
        <f t="shared" ref="L67:L130" si="6">IFERROR(LEFT(K67,FIND(" ",K67)-1)&amp;" GB DDR"&amp;MID(K67,FIND("DDR",K67)+3,1), K67&amp;"")</f>
        <v>0</v>
      </c>
      <c r="M67" s="15">
        <f>MacReports!I67</f>
        <v>0</v>
      </c>
      <c r="N67" s="16" t="str" cm="1">
        <f t="array" ref="N67">_xlfn.IFS(
   --MacReports!N67&lt;55,"Battery Defect",
  -- MacReports!N67&lt;=69,"Battery D",
  --MacReports!N67&lt;=80,"Battery C",
 --MacReports!N67&gt;80,""
)</f>
        <v>Battery Defect</v>
      </c>
      <c r="O67" s="16" t="str">
        <f>IF(MacReports!J67="Service","Battery Service","")</f>
        <v/>
      </c>
      <c r="P67" s="13">
        <f>MacReports!Q67</f>
        <v>0</v>
      </c>
      <c r="Q67" s="13" t="str">
        <f>IF(MacReports!K67="Enabled","Apple ID Lock","")</f>
        <v/>
      </c>
      <c r="R67" s="13" t="str">
        <f>IF(MacReports!M67="Remote Lock","Remote Locked","")</f>
        <v/>
      </c>
      <c r="S67" t="str">
        <f t="shared" si="4"/>
        <v>Battery Defect, 0</v>
      </c>
      <c r="T67" t="str">
        <f>_xlfn.XLOOKUP(B67,Disk_Pivot!G:G,Disk_Pivot!N:N)</f>
        <v>Pass, Fail</v>
      </c>
      <c r="U67" t="str">
        <f>IF(T67="Fail",MacReports!O67,"")</f>
        <v/>
      </c>
      <c r="AA67" t="str">
        <f t="shared" si="5"/>
        <v/>
      </c>
    </row>
    <row r="68" spans="1:27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str">
        <f>_xlfn.XLOOKUP(B68,MacReports!B:B,MacReports!E:E,"")</f>
        <v/>
      </c>
      <c r="F68" s="13">
        <f>MacReports!F68</f>
        <v>0</v>
      </c>
      <c r="G68" t="e">
        <f>_xlfn.XLOOKUP(F68,Models!A:A,Models!B:B)</f>
        <v>#N/A</v>
      </c>
      <c r="H68" t="e">
        <f>_xlfn.XLOOKUP(F68,Models!A:A,Models!E:E)</f>
        <v>#N/A</v>
      </c>
      <c r="I68" t="e">
        <f>_xlfn.XLOOKUP(F68,Models!A:A,Models!D:D)</f>
        <v>#N/A</v>
      </c>
      <c r="J68">
        <f>MacReports!G68</f>
        <v>0</v>
      </c>
      <c r="K68" s="59">
        <f>MacReports!H68</f>
        <v>0</v>
      </c>
      <c r="L68" t="str">
        <f t="shared" si="6"/>
        <v>0</v>
      </c>
      <c r="M68" s="15">
        <f>MacReports!I68</f>
        <v>0</v>
      </c>
      <c r="N68" s="16" t="str" cm="1">
        <f t="array" ref="N68">_xlfn.IFS(
   --MacReports!N68&lt;55,"Battery Defect",
  -- MacReports!N68&lt;=69,"Battery D",
  --MacReports!N68&lt;=80,"Battery C",
 --MacReports!N68&gt;80,""
)</f>
        <v>Battery Defect</v>
      </c>
      <c r="O68" s="16" t="str">
        <f>IF(MacReports!J68="Service","Battery Service","")</f>
        <v/>
      </c>
      <c r="P68" s="13">
        <f>MacReports!Q68</f>
        <v>0</v>
      </c>
      <c r="Q68" s="13" t="str">
        <f>IF(MacReports!K68="Enabled","Apple ID Lock","")</f>
        <v/>
      </c>
      <c r="R68" s="13" t="str">
        <f>IF(MacReports!M68="Remote Lock","Remote Locked","")</f>
        <v/>
      </c>
      <c r="S68" t="str">
        <f t="shared" si="4"/>
        <v>Battery Defect, 0</v>
      </c>
      <c r="T68" t="str">
        <f>_xlfn.XLOOKUP(B68,Disk_Pivot!G:G,Disk_Pivot!N:N)</f>
        <v>Pass, Fail</v>
      </c>
      <c r="U68" t="str">
        <f>IF(T68="Fail",MacReports!O68,"")</f>
        <v/>
      </c>
      <c r="AA68" t="str">
        <f t="shared" si="5"/>
        <v/>
      </c>
    </row>
    <row r="69" spans="1:27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str">
        <f>_xlfn.XLOOKUP(B69,MacReports!B:B,MacReports!E:E,"")</f>
        <v/>
      </c>
      <c r="F69" s="13">
        <f>MacReports!F69</f>
        <v>0</v>
      </c>
      <c r="G69" t="e">
        <f>_xlfn.XLOOKUP(F69,Models!A:A,Models!B:B)</f>
        <v>#N/A</v>
      </c>
      <c r="H69" t="e">
        <f>_xlfn.XLOOKUP(F69,Models!A:A,Models!E:E)</f>
        <v>#N/A</v>
      </c>
      <c r="I69" t="e">
        <f>_xlfn.XLOOKUP(F69,Models!A:A,Models!D:D)</f>
        <v>#N/A</v>
      </c>
      <c r="J69">
        <f>MacReports!G69</f>
        <v>0</v>
      </c>
      <c r="K69" s="59">
        <f>MacReports!H69</f>
        <v>0</v>
      </c>
      <c r="L69" t="str">
        <f t="shared" si="6"/>
        <v>0</v>
      </c>
      <c r="M69" s="15">
        <f>MacReports!I69</f>
        <v>0</v>
      </c>
      <c r="N69" s="16" t="str" cm="1">
        <f t="array" ref="N69">_xlfn.IFS(
   --MacReports!N69&lt;55,"Battery Defect",
  -- MacReports!N69&lt;=69,"Battery D",
  --MacReports!N69&lt;=80,"Battery C",
 --MacReports!N69&gt;80,""
)</f>
        <v>Battery Defect</v>
      </c>
      <c r="O69" s="16" t="str">
        <f>IF(MacReports!J69="Service","Battery Service","")</f>
        <v/>
      </c>
      <c r="P69" s="13">
        <f>MacReports!Q69</f>
        <v>0</v>
      </c>
      <c r="Q69" s="13" t="str">
        <f>IF(MacReports!K69="Enabled","Apple ID Lock","")</f>
        <v/>
      </c>
      <c r="R69" s="13" t="str">
        <f>IF(MacReports!M69="Remote Lock","Remote Locked","")</f>
        <v/>
      </c>
      <c r="S69" t="str">
        <f t="shared" si="4"/>
        <v>Battery Defect, 0</v>
      </c>
      <c r="T69" t="str">
        <f>_xlfn.XLOOKUP(B69,Disk_Pivot!G:G,Disk_Pivot!N:N)</f>
        <v>Pass, Fail</v>
      </c>
      <c r="U69" t="str">
        <f>IF(T69="Fail",MacReports!O69,"")</f>
        <v/>
      </c>
      <c r="AA69" t="str">
        <f t="shared" si="5"/>
        <v/>
      </c>
    </row>
    <row r="70" spans="1:27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str">
        <f>_xlfn.XLOOKUP(B70,MacReports!B:B,MacReports!E:E,"")</f>
        <v/>
      </c>
      <c r="F70" s="13">
        <f>MacReports!F70</f>
        <v>0</v>
      </c>
      <c r="G70" t="e">
        <f>_xlfn.XLOOKUP(F70,Models!A:A,Models!B:B)</f>
        <v>#N/A</v>
      </c>
      <c r="H70" t="e">
        <f>_xlfn.XLOOKUP(F70,Models!A:A,Models!E:E)</f>
        <v>#N/A</v>
      </c>
      <c r="I70" t="e">
        <f>_xlfn.XLOOKUP(F70,Models!A:A,Models!D:D)</f>
        <v>#N/A</v>
      </c>
      <c r="J70">
        <f>MacReports!G70</f>
        <v>0</v>
      </c>
      <c r="K70" s="59">
        <f>MacReports!H70</f>
        <v>0</v>
      </c>
      <c r="L70" t="str">
        <f t="shared" si="6"/>
        <v>0</v>
      </c>
      <c r="M70" s="15">
        <f>MacReports!I70</f>
        <v>0</v>
      </c>
      <c r="N70" s="16" t="str" cm="1">
        <f t="array" ref="N70">_xlfn.IFS(
   --MacReports!N70&lt;55,"Battery Defect",
  -- MacReports!N70&lt;=69,"Battery D",
  --MacReports!N70&lt;=80,"Battery C",
 --MacReports!N70&gt;80,""
)</f>
        <v>Battery Defect</v>
      </c>
      <c r="O70" s="16" t="str">
        <f>IF(MacReports!J70="Service","Battery Service","")</f>
        <v/>
      </c>
      <c r="P70" s="13">
        <f>MacReports!Q70</f>
        <v>0</v>
      </c>
      <c r="Q70" s="13" t="str">
        <f>IF(MacReports!K70="Enabled","Apple ID Lock","")</f>
        <v/>
      </c>
      <c r="R70" s="13" t="str">
        <f>IF(MacReports!M70="Remote Lock","Remote Locked","")</f>
        <v/>
      </c>
      <c r="S70" t="str">
        <f t="shared" si="4"/>
        <v>Battery Defect, 0</v>
      </c>
      <c r="T70" t="str">
        <f>_xlfn.XLOOKUP(B70,Disk_Pivot!G:G,Disk_Pivot!N:N)</f>
        <v>Pass, Fail</v>
      </c>
      <c r="U70" t="str">
        <f>IF(T70="Fail",MacReports!O70,"")</f>
        <v/>
      </c>
      <c r="AA70" t="str">
        <f t="shared" si="5"/>
        <v/>
      </c>
    </row>
    <row r="71" spans="1:27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str">
        <f>_xlfn.XLOOKUP(B71,MacReports!B:B,MacReports!E:E,"")</f>
        <v/>
      </c>
      <c r="F71" s="13">
        <f>MacReports!F71</f>
        <v>0</v>
      </c>
      <c r="G71" t="e">
        <f>_xlfn.XLOOKUP(F71,Models!A:A,Models!B:B)</f>
        <v>#N/A</v>
      </c>
      <c r="H71" t="e">
        <f>_xlfn.XLOOKUP(F71,Models!A:A,Models!E:E)</f>
        <v>#N/A</v>
      </c>
      <c r="I71" t="e">
        <f>_xlfn.XLOOKUP(F71,Models!A:A,Models!D:D)</f>
        <v>#N/A</v>
      </c>
      <c r="J71">
        <f>MacReports!G71</f>
        <v>0</v>
      </c>
      <c r="K71" s="59">
        <f>MacReports!H71</f>
        <v>0</v>
      </c>
      <c r="L71" t="str">
        <f t="shared" si="6"/>
        <v>0</v>
      </c>
      <c r="M71" s="15">
        <f>MacReports!I71</f>
        <v>0</v>
      </c>
      <c r="N71" s="16" t="str" cm="1">
        <f t="array" ref="N71">_xlfn.IFS(
   --MacReports!N71&lt;55,"Battery Defect",
  -- MacReports!N71&lt;=69,"Battery D",
  --MacReports!N71&lt;=80,"Battery C",
 --MacReports!N71&gt;80,""
)</f>
        <v>Battery Defect</v>
      </c>
      <c r="O71" s="16" t="str">
        <f>IF(MacReports!J71="Service","Battery Service","")</f>
        <v/>
      </c>
      <c r="P71" s="13">
        <f>MacReports!Q71</f>
        <v>0</v>
      </c>
      <c r="Q71" s="13" t="str">
        <f>IF(MacReports!K71="Enabled","Apple ID Lock","")</f>
        <v/>
      </c>
      <c r="R71" s="13" t="str">
        <f>IF(MacReports!M71="Remote Lock","Remote Locked","")</f>
        <v/>
      </c>
      <c r="S71" t="str">
        <f t="shared" si="4"/>
        <v>Battery Defect, 0</v>
      </c>
      <c r="T71" t="str">
        <f>_xlfn.XLOOKUP(B71,Disk_Pivot!G:G,Disk_Pivot!N:N)</f>
        <v>Pass, Fail</v>
      </c>
      <c r="U71" t="str">
        <f>IF(T71="Fail",MacReports!O71,"")</f>
        <v/>
      </c>
      <c r="AA71" t="str">
        <f t="shared" si="5"/>
        <v/>
      </c>
    </row>
    <row r="72" spans="1:27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str">
        <f>_xlfn.XLOOKUP(B72,MacReports!B:B,MacReports!E:E,"")</f>
        <v/>
      </c>
      <c r="F72" s="13">
        <f>MacReports!F72</f>
        <v>0</v>
      </c>
      <c r="G72" t="e">
        <f>_xlfn.XLOOKUP(F72,Models!A:A,Models!B:B)</f>
        <v>#N/A</v>
      </c>
      <c r="H72" t="e">
        <f>_xlfn.XLOOKUP(F72,Models!A:A,Models!E:E)</f>
        <v>#N/A</v>
      </c>
      <c r="I72" t="e">
        <f>_xlfn.XLOOKUP(F72,Models!A:A,Models!D:D)</f>
        <v>#N/A</v>
      </c>
      <c r="J72">
        <f>MacReports!G72</f>
        <v>0</v>
      </c>
      <c r="K72" s="59">
        <f>MacReports!H72</f>
        <v>0</v>
      </c>
      <c r="L72" t="str">
        <f t="shared" si="6"/>
        <v>0</v>
      </c>
      <c r="M72" s="15">
        <f>MacReports!I72</f>
        <v>0</v>
      </c>
      <c r="N72" s="16" t="str" cm="1">
        <f t="array" ref="N72">_xlfn.IFS(
   --MacReports!N72&lt;55,"Battery Defect",
  -- MacReports!N72&lt;=69,"Battery D",
  --MacReports!N72&lt;=80,"Battery C",
 --MacReports!N72&gt;80,""
)</f>
        <v>Battery Defect</v>
      </c>
      <c r="O72" s="16" t="str">
        <f>IF(MacReports!J72="Service","Battery Service","")</f>
        <v/>
      </c>
      <c r="P72" s="13">
        <f>MacReports!Q72</f>
        <v>0</v>
      </c>
      <c r="Q72" s="13" t="str">
        <f>IF(MacReports!K72="Enabled","Apple ID Lock","")</f>
        <v/>
      </c>
      <c r="R72" s="13" t="str">
        <f>IF(MacReports!M72="Remote Lock","Remote Locked","")</f>
        <v/>
      </c>
      <c r="S72" t="str">
        <f t="shared" si="4"/>
        <v>Battery Defect, 0</v>
      </c>
      <c r="T72" t="str">
        <f>_xlfn.XLOOKUP(B72,Disk_Pivot!G:G,Disk_Pivot!N:N)</f>
        <v>Pass, Fail</v>
      </c>
      <c r="U72" t="str">
        <f>IF(T72="Fail",MacReports!O72,"")</f>
        <v/>
      </c>
      <c r="AA72" t="str">
        <f t="shared" si="5"/>
        <v/>
      </c>
    </row>
    <row r="73" spans="1:27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str">
        <f>_xlfn.XLOOKUP(B73,MacReports!B:B,MacReports!E:E,"")</f>
        <v/>
      </c>
      <c r="F73" s="13">
        <f>MacReports!F73</f>
        <v>0</v>
      </c>
      <c r="G73" t="e">
        <f>_xlfn.XLOOKUP(F73,Models!A:A,Models!B:B)</f>
        <v>#N/A</v>
      </c>
      <c r="H73" t="e">
        <f>_xlfn.XLOOKUP(F73,Models!A:A,Models!E:E)</f>
        <v>#N/A</v>
      </c>
      <c r="I73" t="e">
        <f>_xlfn.XLOOKUP(F73,Models!A:A,Models!D:D)</f>
        <v>#N/A</v>
      </c>
      <c r="J73">
        <f>MacReports!G73</f>
        <v>0</v>
      </c>
      <c r="K73" s="59">
        <f>MacReports!H73</f>
        <v>0</v>
      </c>
      <c r="L73" t="str">
        <f t="shared" si="6"/>
        <v>0</v>
      </c>
      <c r="M73" s="15">
        <f>MacReports!I73</f>
        <v>0</v>
      </c>
      <c r="N73" s="16" t="str" cm="1">
        <f t="array" ref="N73">_xlfn.IFS(
   --MacReports!N73&lt;55,"Battery Defect",
  -- MacReports!N73&lt;=69,"Battery D",
  --MacReports!N73&lt;=80,"Battery C",
 --MacReports!N73&gt;80,""
)</f>
        <v>Battery Defect</v>
      </c>
      <c r="O73" s="16" t="str">
        <f>IF(MacReports!J73="Service","Battery Service","")</f>
        <v/>
      </c>
      <c r="P73" s="13">
        <f>MacReports!Q73</f>
        <v>0</v>
      </c>
      <c r="Q73" s="13" t="str">
        <f>IF(MacReports!K73="Enabled","Apple ID Lock","")</f>
        <v/>
      </c>
      <c r="R73" s="13" t="str">
        <f>IF(MacReports!M73="Remote Lock","Remote Locked","")</f>
        <v/>
      </c>
      <c r="S73" t="str">
        <f t="shared" si="4"/>
        <v>Battery Defect, 0</v>
      </c>
      <c r="T73" t="str">
        <f>_xlfn.XLOOKUP(B73,Disk_Pivot!G:G,Disk_Pivot!N:N)</f>
        <v>Pass, Fail</v>
      </c>
      <c r="U73" t="str">
        <f>IF(T73="Fail",MacReports!O73,"")</f>
        <v/>
      </c>
      <c r="AA73" t="str">
        <f t="shared" si="5"/>
        <v/>
      </c>
    </row>
    <row r="74" spans="1:27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str">
        <f>_xlfn.XLOOKUP(B74,MacReports!B:B,MacReports!E:E,"")</f>
        <v/>
      </c>
      <c r="F74" s="13">
        <f>MacReports!F74</f>
        <v>0</v>
      </c>
      <c r="G74" t="e">
        <f>_xlfn.XLOOKUP(F74,Models!A:A,Models!B:B)</f>
        <v>#N/A</v>
      </c>
      <c r="H74" t="e">
        <f>_xlfn.XLOOKUP(F74,Models!A:A,Models!E:E)</f>
        <v>#N/A</v>
      </c>
      <c r="I74" t="e">
        <f>_xlfn.XLOOKUP(F74,Models!A:A,Models!D:D)</f>
        <v>#N/A</v>
      </c>
      <c r="J74">
        <f>MacReports!G74</f>
        <v>0</v>
      </c>
      <c r="K74" s="59">
        <f>MacReports!H74</f>
        <v>0</v>
      </c>
      <c r="L74" t="str">
        <f t="shared" si="6"/>
        <v>0</v>
      </c>
      <c r="M74" s="15">
        <f>MacReports!I74</f>
        <v>0</v>
      </c>
      <c r="N74" s="16" t="str" cm="1">
        <f t="array" ref="N74">_xlfn.IFS(
   --MacReports!N74&lt;55,"Battery Defect",
  -- MacReports!N74&lt;=69,"Battery D",
  --MacReports!N74&lt;=80,"Battery C",
 --MacReports!N74&gt;80,""
)</f>
        <v>Battery Defect</v>
      </c>
      <c r="O74" s="16" t="str">
        <f>IF(MacReports!J74="Service","Battery Service","")</f>
        <v/>
      </c>
      <c r="P74" s="13">
        <f>MacReports!Q74</f>
        <v>0</v>
      </c>
      <c r="Q74" s="13" t="str">
        <f>IF(MacReports!K74="Enabled","Apple ID Lock","")</f>
        <v/>
      </c>
      <c r="R74" s="13" t="str">
        <f>IF(MacReports!M74="Remote Lock","Remote Locked","")</f>
        <v/>
      </c>
      <c r="S74" t="str">
        <f t="shared" si="4"/>
        <v>Battery Defect, 0</v>
      </c>
      <c r="T74" t="str">
        <f>_xlfn.XLOOKUP(B74,Disk_Pivot!G:G,Disk_Pivot!N:N)</f>
        <v>Pass, Fail</v>
      </c>
      <c r="U74" t="str">
        <f>IF(T74="Fail",MacReports!O74,"")</f>
        <v/>
      </c>
      <c r="AA74" t="str">
        <f t="shared" si="5"/>
        <v/>
      </c>
    </row>
    <row r="75" spans="1:27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str">
        <f>_xlfn.XLOOKUP(B75,MacReports!B:B,MacReports!E:E,"")</f>
        <v/>
      </c>
      <c r="F75" s="13">
        <f>MacReports!F75</f>
        <v>0</v>
      </c>
      <c r="G75" t="e">
        <f>_xlfn.XLOOKUP(F75,Models!A:A,Models!B:B)</f>
        <v>#N/A</v>
      </c>
      <c r="H75" t="e">
        <f>_xlfn.XLOOKUP(F75,Models!A:A,Models!E:E)</f>
        <v>#N/A</v>
      </c>
      <c r="I75" t="e">
        <f>_xlfn.XLOOKUP(F75,Models!A:A,Models!D:D)</f>
        <v>#N/A</v>
      </c>
      <c r="J75">
        <f>MacReports!G75</f>
        <v>0</v>
      </c>
      <c r="K75" s="59">
        <f>MacReports!H75</f>
        <v>0</v>
      </c>
      <c r="L75" t="str">
        <f t="shared" si="6"/>
        <v>0</v>
      </c>
      <c r="M75" s="15">
        <f>MacReports!I75</f>
        <v>0</v>
      </c>
      <c r="N75" s="16" t="str" cm="1">
        <f t="array" ref="N75">_xlfn.IFS(
   --MacReports!N75&lt;55,"Battery Defect",
  -- MacReports!N75&lt;=69,"Battery D",
  --MacReports!N75&lt;=80,"Battery C",
 --MacReports!N75&gt;80,""
)</f>
        <v>Battery Defect</v>
      </c>
      <c r="O75" s="16" t="str">
        <f>IF(MacReports!J75="Service","Battery Service","")</f>
        <v/>
      </c>
      <c r="P75" s="13">
        <f>MacReports!Q75</f>
        <v>0</v>
      </c>
      <c r="Q75" s="13" t="str">
        <f>IF(MacReports!K75="Enabled","Apple ID Lock","")</f>
        <v/>
      </c>
      <c r="R75" s="13" t="str">
        <f>IF(MacReports!M75="Remote Lock","Remote Locked","")</f>
        <v/>
      </c>
      <c r="S75" t="str">
        <f t="shared" si="4"/>
        <v>Battery Defect, 0</v>
      </c>
      <c r="T75" t="str">
        <f>_xlfn.XLOOKUP(B75,Disk_Pivot!G:G,Disk_Pivot!N:N)</f>
        <v>Pass, Fail</v>
      </c>
      <c r="U75" t="str">
        <f>IF(T75="Fail",MacReports!O75,"")</f>
        <v/>
      </c>
      <c r="AA75" t="str">
        <f t="shared" si="5"/>
        <v/>
      </c>
    </row>
    <row r="76" spans="1:27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str">
        <f>_xlfn.XLOOKUP(B76,MacReports!B:B,MacReports!E:E,"")</f>
        <v/>
      </c>
      <c r="F76" s="13">
        <f>MacReports!F76</f>
        <v>0</v>
      </c>
      <c r="G76" t="e">
        <f>_xlfn.XLOOKUP(F76,Models!A:A,Models!B:B)</f>
        <v>#N/A</v>
      </c>
      <c r="H76" t="e">
        <f>_xlfn.XLOOKUP(F76,Models!A:A,Models!E:E)</f>
        <v>#N/A</v>
      </c>
      <c r="I76" t="e">
        <f>_xlfn.XLOOKUP(F76,Models!A:A,Models!D:D)</f>
        <v>#N/A</v>
      </c>
      <c r="J76">
        <f>MacReports!G76</f>
        <v>0</v>
      </c>
      <c r="K76" s="59">
        <f>MacReports!H76</f>
        <v>0</v>
      </c>
      <c r="L76" t="str">
        <f t="shared" si="6"/>
        <v>0</v>
      </c>
      <c r="M76" s="15">
        <f>MacReports!I76</f>
        <v>0</v>
      </c>
      <c r="N76" s="16" t="str" cm="1">
        <f t="array" ref="N76">_xlfn.IFS(
   --MacReports!N76&lt;55,"Battery Defect",
  -- MacReports!N76&lt;=69,"Battery D",
  --MacReports!N76&lt;=80,"Battery C",
 --MacReports!N76&gt;80,""
)</f>
        <v>Battery Defect</v>
      </c>
      <c r="O76" s="16" t="str">
        <f>IF(MacReports!J76="Service","Battery Service","")</f>
        <v/>
      </c>
      <c r="P76" s="13">
        <f>MacReports!Q76</f>
        <v>0</v>
      </c>
      <c r="Q76" s="13" t="str">
        <f>IF(MacReports!K76="Enabled","Apple ID Lock","")</f>
        <v/>
      </c>
      <c r="R76" s="13" t="str">
        <f>IF(MacReports!M76="Remote Lock","Remote Locked","")</f>
        <v/>
      </c>
      <c r="S76" t="str">
        <f t="shared" si="4"/>
        <v>Battery Defect, 0</v>
      </c>
      <c r="T76" t="str">
        <f>_xlfn.XLOOKUP(B76,Disk_Pivot!G:G,Disk_Pivot!N:N)</f>
        <v>Pass, Fail</v>
      </c>
      <c r="U76" t="str">
        <f>IF(T76="Fail",MacReports!O76,"")</f>
        <v/>
      </c>
      <c r="AA76" t="str">
        <f t="shared" si="5"/>
        <v/>
      </c>
    </row>
    <row r="77" spans="1:27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str">
        <f>_xlfn.XLOOKUP(B77,MacReports!B:B,MacReports!E:E,"")</f>
        <v/>
      </c>
      <c r="F77" s="13">
        <f>MacReports!F77</f>
        <v>0</v>
      </c>
      <c r="G77" t="e">
        <f>_xlfn.XLOOKUP(F77,Models!A:A,Models!B:B)</f>
        <v>#N/A</v>
      </c>
      <c r="H77" t="e">
        <f>_xlfn.XLOOKUP(F77,Models!A:A,Models!E:E)</f>
        <v>#N/A</v>
      </c>
      <c r="I77" t="e">
        <f>_xlfn.XLOOKUP(F77,Models!A:A,Models!D:D)</f>
        <v>#N/A</v>
      </c>
      <c r="J77">
        <f>MacReports!G77</f>
        <v>0</v>
      </c>
      <c r="K77" s="59">
        <f>MacReports!H77</f>
        <v>0</v>
      </c>
      <c r="L77" t="str">
        <f t="shared" si="6"/>
        <v>0</v>
      </c>
      <c r="M77" s="15">
        <f>MacReports!I77</f>
        <v>0</v>
      </c>
      <c r="N77" s="16" t="str" cm="1">
        <f t="array" ref="N77">_xlfn.IFS(
   --MacReports!N77&lt;55,"Battery Defect",
  -- MacReports!N77&lt;=69,"Battery D",
  --MacReports!N77&lt;=80,"Battery C",
 --MacReports!N77&gt;80,""
)</f>
        <v>Battery Defect</v>
      </c>
      <c r="O77" s="16" t="str">
        <f>IF(MacReports!J77="Service","Battery Service","")</f>
        <v/>
      </c>
      <c r="P77" s="13">
        <f>MacReports!Q77</f>
        <v>0</v>
      </c>
      <c r="Q77" s="13" t="str">
        <f>IF(MacReports!K77="Enabled","Apple ID Lock","")</f>
        <v/>
      </c>
      <c r="R77" s="13" t="str">
        <f>IF(MacReports!M77="Remote Lock","Remote Locked","")</f>
        <v/>
      </c>
      <c r="S77" t="str">
        <f t="shared" si="4"/>
        <v>Battery Defect, 0</v>
      </c>
      <c r="T77" t="str">
        <f>_xlfn.XLOOKUP(B77,Disk_Pivot!G:G,Disk_Pivot!N:N)</f>
        <v>Pass, Fail</v>
      </c>
      <c r="U77" t="str">
        <f>IF(T77="Fail",MacReports!O77,"")</f>
        <v/>
      </c>
      <c r="AA77" t="str">
        <f t="shared" si="5"/>
        <v/>
      </c>
    </row>
    <row r="78" spans="1:27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str">
        <f>_xlfn.XLOOKUP(B78,MacReports!B:B,MacReports!E:E,"")</f>
        <v/>
      </c>
      <c r="F78" s="13">
        <f>MacReports!F78</f>
        <v>0</v>
      </c>
      <c r="G78" t="e">
        <f>_xlfn.XLOOKUP(F78,Models!A:A,Models!B:B)</f>
        <v>#N/A</v>
      </c>
      <c r="H78" t="e">
        <f>_xlfn.XLOOKUP(F78,Models!A:A,Models!E:E)</f>
        <v>#N/A</v>
      </c>
      <c r="I78" t="e">
        <f>_xlfn.XLOOKUP(F78,Models!A:A,Models!D:D)</f>
        <v>#N/A</v>
      </c>
      <c r="J78">
        <f>MacReports!G78</f>
        <v>0</v>
      </c>
      <c r="K78" s="59">
        <f>MacReports!H78</f>
        <v>0</v>
      </c>
      <c r="L78" t="str">
        <f t="shared" si="6"/>
        <v>0</v>
      </c>
      <c r="M78" s="15">
        <f>MacReports!I78</f>
        <v>0</v>
      </c>
      <c r="N78" s="16" t="str" cm="1">
        <f t="array" ref="N78">_xlfn.IFS(
   --MacReports!N78&lt;55,"Battery Defect",
  -- MacReports!N78&lt;=69,"Battery D",
  --MacReports!N78&lt;=80,"Battery C",
 --MacReports!N78&gt;80,""
)</f>
        <v>Battery Defect</v>
      </c>
      <c r="O78" s="16" t="str">
        <f>IF(MacReports!J78="Service","Battery Service","")</f>
        <v/>
      </c>
      <c r="P78" s="13">
        <f>MacReports!Q78</f>
        <v>0</v>
      </c>
      <c r="Q78" s="13" t="str">
        <f>IF(MacReports!K78="Enabled","Apple ID Lock","")</f>
        <v/>
      </c>
      <c r="R78" s="13" t="str">
        <f>IF(MacReports!M78="Remote Lock","Remote Locked","")</f>
        <v/>
      </c>
      <c r="S78" t="str">
        <f t="shared" si="4"/>
        <v>Battery Defect, 0</v>
      </c>
      <c r="T78" t="str">
        <f>_xlfn.XLOOKUP(B78,Disk_Pivot!G:G,Disk_Pivot!N:N)</f>
        <v>Pass, Fail</v>
      </c>
      <c r="U78" t="str">
        <f>IF(T78="Fail",MacReports!O78,"")</f>
        <v/>
      </c>
      <c r="AA78" t="str">
        <f t="shared" si="5"/>
        <v/>
      </c>
    </row>
    <row r="79" spans="1:27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str">
        <f>_xlfn.XLOOKUP(B79,MacReports!B:B,MacReports!E:E,"")</f>
        <v/>
      </c>
      <c r="F79" s="13">
        <f>MacReports!F79</f>
        <v>0</v>
      </c>
      <c r="G79" t="e">
        <f>_xlfn.XLOOKUP(F79,Models!A:A,Models!B:B)</f>
        <v>#N/A</v>
      </c>
      <c r="H79" t="e">
        <f>_xlfn.XLOOKUP(F79,Models!A:A,Models!E:E)</f>
        <v>#N/A</v>
      </c>
      <c r="I79" t="e">
        <f>_xlfn.XLOOKUP(F79,Models!A:A,Models!D:D)</f>
        <v>#N/A</v>
      </c>
      <c r="J79">
        <f>MacReports!G79</f>
        <v>0</v>
      </c>
      <c r="K79" s="59">
        <f>MacReports!H79</f>
        <v>0</v>
      </c>
      <c r="L79" t="str">
        <f t="shared" si="6"/>
        <v>0</v>
      </c>
      <c r="M79" s="15">
        <f>MacReports!I79</f>
        <v>0</v>
      </c>
      <c r="N79" s="16" t="str" cm="1">
        <f t="array" ref="N79">_xlfn.IFS(
   --MacReports!N79&lt;55,"Battery Defect",
  -- MacReports!N79&lt;=69,"Battery D",
  --MacReports!N79&lt;=80,"Battery C",
 --MacReports!N79&gt;80,""
)</f>
        <v>Battery Defect</v>
      </c>
      <c r="O79" s="16" t="str">
        <f>IF(MacReports!J79="Service","Battery Service","")</f>
        <v/>
      </c>
      <c r="P79" s="13">
        <f>MacReports!Q79</f>
        <v>0</v>
      </c>
      <c r="Q79" s="13" t="str">
        <f>IF(MacReports!K79="Enabled","Apple ID Lock","")</f>
        <v/>
      </c>
      <c r="R79" s="13" t="str">
        <f>IF(MacReports!M79="Remote Lock","Remote Locked","")</f>
        <v/>
      </c>
      <c r="S79" t="str">
        <f t="shared" si="4"/>
        <v>Battery Defect, 0</v>
      </c>
      <c r="T79" t="str">
        <f>_xlfn.XLOOKUP(B79,Disk_Pivot!G:G,Disk_Pivot!N:N)</f>
        <v>Pass, Fail</v>
      </c>
      <c r="U79" t="str">
        <f>IF(T79="Fail",MacReports!O79,"")</f>
        <v/>
      </c>
      <c r="AA79" t="str">
        <f t="shared" si="5"/>
        <v/>
      </c>
    </row>
    <row r="80" spans="1:27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str">
        <f>_xlfn.XLOOKUP(B80,MacReports!B:B,MacReports!E:E,"")</f>
        <v/>
      </c>
      <c r="F80" s="13">
        <f>MacReports!F80</f>
        <v>0</v>
      </c>
      <c r="G80" t="e">
        <f>_xlfn.XLOOKUP(F80,Models!A:A,Models!B:B)</f>
        <v>#N/A</v>
      </c>
      <c r="H80" t="e">
        <f>_xlfn.XLOOKUP(F80,Models!A:A,Models!E:E)</f>
        <v>#N/A</v>
      </c>
      <c r="I80" t="e">
        <f>_xlfn.XLOOKUP(F80,Models!A:A,Models!D:D)</f>
        <v>#N/A</v>
      </c>
      <c r="J80">
        <f>MacReports!G80</f>
        <v>0</v>
      </c>
      <c r="K80" s="59">
        <f>MacReports!H80</f>
        <v>0</v>
      </c>
      <c r="L80" t="str">
        <f t="shared" si="6"/>
        <v>0</v>
      </c>
      <c r="M80" s="15">
        <f>MacReports!I80</f>
        <v>0</v>
      </c>
      <c r="N80" s="16" t="str" cm="1">
        <f t="array" ref="N80">_xlfn.IFS(
   --MacReports!N80&lt;55,"Battery Defect",
  -- MacReports!N80&lt;=69,"Battery D",
  --MacReports!N80&lt;=80,"Battery C",
 --MacReports!N80&gt;80,""
)</f>
        <v>Battery Defect</v>
      </c>
      <c r="O80" s="16" t="str">
        <f>IF(MacReports!J80="Service","Battery Service","")</f>
        <v/>
      </c>
      <c r="P80" s="13">
        <f>MacReports!Q80</f>
        <v>0</v>
      </c>
      <c r="Q80" s="13" t="str">
        <f>IF(MacReports!K80="Enabled","Apple ID Lock","")</f>
        <v/>
      </c>
      <c r="R80" s="13" t="str">
        <f>IF(MacReports!M80="Remote Lock","Remote Locked","")</f>
        <v/>
      </c>
      <c r="S80" t="str">
        <f t="shared" si="4"/>
        <v>Battery Defect, 0</v>
      </c>
      <c r="T80" t="str">
        <f>_xlfn.XLOOKUP(B80,Disk_Pivot!G:G,Disk_Pivot!N:N)</f>
        <v>Pass, Fail</v>
      </c>
      <c r="U80" t="str">
        <f>IF(T80="Fail",MacReports!O80,"")</f>
        <v/>
      </c>
      <c r="AA80" t="str">
        <f t="shared" si="5"/>
        <v/>
      </c>
    </row>
    <row r="81" spans="1:27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str">
        <f>_xlfn.XLOOKUP(B81,MacReports!B:B,MacReports!E:E,"")</f>
        <v/>
      </c>
      <c r="F81" s="13">
        <f>MacReports!F81</f>
        <v>0</v>
      </c>
      <c r="G81" t="e">
        <f>_xlfn.XLOOKUP(F81,Models!A:A,Models!B:B)</f>
        <v>#N/A</v>
      </c>
      <c r="H81" t="e">
        <f>_xlfn.XLOOKUP(F81,Models!A:A,Models!E:E)</f>
        <v>#N/A</v>
      </c>
      <c r="I81" t="e">
        <f>_xlfn.XLOOKUP(F81,Models!A:A,Models!D:D)</f>
        <v>#N/A</v>
      </c>
      <c r="J81">
        <f>MacReports!G81</f>
        <v>0</v>
      </c>
      <c r="K81" s="59">
        <f>MacReports!H81</f>
        <v>0</v>
      </c>
      <c r="L81" t="str">
        <f t="shared" si="6"/>
        <v>0</v>
      </c>
      <c r="M81" s="15">
        <f>MacReports!I81</f>
        <v>0</v>
      </c>
      <c r="N81" s="16" t="str" cm="1">
        <f t="array" ref="N81">_xlfn.IFS(
   --MacReports!N81&lt;55,"Battery Defect",
  -- MacReports!N81&lt;=69,"Battery D",
  --MacReports!N81&lt;=80,"Battery C",
 --MacReports!N81&gt;80,""
)</f>
        <v>Battery Defect</v>
      </c>
      <c r="O81" s="16" t="str">
        <f>IF(MacReports!J81="Service","Battery Service","")</f>
        <v/>
      </c>
      <c r="P81" s="13">
        <f>MacReports!Q81</f>
        <v>0</v>
      </c>
      <c r="Q81" s="13" t="str">
        <f>IF(MacReports!K81="Enabled","Apple ID Lock","")</f>
        <v/>
      </c>
      <c r="R81" s="13" t="str">
        <f>IF(MacReports!M81="Remote Lock","Remote Locked","")</f>
        <v/>
      </c>
      <c r="S81" t="str">
        <f t="shared" si="4"/>
        <v>Battery Defect, 0</v>
      </c>
      <c r="T81" t="str">
        <f>_xlfn.XLOOKUP(B81,Disk_Pivot!G:G,Disk_Pivot!N:N)</f>
        <v>Pass, Fail</v>
      </c>
      <c r="U81" t="str">
        <f>IF(T81="Fail",MacReports!O81,"")</f>
        <v/>
      </c>
      <c r="AA81" t="str">
        <f t="shared" si="5"/>
        <v/>
      </c>
    </row>
    <row r="82" spans="1:27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str">
        <f>_xlfn.XLOOKUP(B82,MacReports!B:B,MacReports!E:E,"")</f>
        <v/>
      </c>
      <c r="F82" s="13">
        <f>MacReports!F82</f>
        <v>0</v>
      </c>
      <c r="G82" t="e">
        <f>_xlfn.XLOOKUP(F82,Models!A:A,Models!B:B)</f>
        <v>#N/A</v>
      </c>
      <c r="H82" t="e">
        <f>_xlfn.XLOOKUP(F82,Models!A:A,Models!E:E)</f>
        <v>#N/A</v>
      </c>
      <c r="I82" t="e">
        <f>_xlfn.XLOOKUP(F82,Models!A:A,Models!D:D)</f>
        <v>#N/A</v>
      </c>
      <c r="J82">
        <f>MacReports!G82</f>
        <v>0</v>
      </c>
      <c r="K82" s="59">
        <f>MacReports!H82</f>
        <v>0</v>
      </c>
      <c r="L82" t="str">
        <f t="shared" si="6"/>
        <v>0</v>
      </c>
      <c r="M82" s="15">
        <f>MacReports!I82</f>
        <v>0</v>
      </c>
      <c r="N82" s="16" t="str" cm="1">
        <f t="array" ref="N82">_xlfn.IFS(
   --MacReports!N82&lt;55,"Battery Defect",
  -- MacReports!N82&lt;=69,"Battery D",
  --MacReports!N82&lt;=80,"Battery C",
 --MacReports!N82&gt;80,""
)</f>
        <v>Battery Defect</v>
      </c>
      <c r="O82" s="16" t="str">
        <f>IF(MacReports!J82="Service","Battery Service","")</f>
        <v/>
      </c>
      <c r="P82" s="13">
        <f>MacReports!Q82</f>
        <v>0</v>
      </c>
      <c r="Q82" s="13" t="str">
        <f>IF(MacReports!K82="Enabled","Apple ID Lock","")</f>
        <v/>
      </c>
      <c r="R82" s="13" t="str">
        <f>IF(MacReports!M82="Remote Lock","Remote Locked","")</f>
        <v/>
      </c>
      <c r="S82" t="str">
        <f t="shared" si="4"/>
        <v>Battery Defect, 0</v>
      </c>
      <c r="T82" t="str">
        <f>_xlfn.XLOOKUP(B82,Disk_Pivot!G:G,Disk_Pivot!N:N)</f>
        <v>Pass, Fail</v>
      </c>
      <c r="U82" t="str">
        <f>IF(T82="Fail",MacReports!O82,"")</f>
        <v/>
      </c>
      <c r="AA82" t="str">
        <f t="shared" si="5"/>
        <v/>
      </c>
    </row>
    <row r="83" spans="1:27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str">
        <f>_xlfn.XLOOKUP(B83,MacReports!B:B,MacReports!E:E,"")</f>
        <v/>
      </c>
      <c r="F83" s="13">
        <f>MacReports!F83</f>
        <v>0</v>
      </c>
      <c r="G83" t="e">
        <f>_xlfn.XLOOKUP(F83,Models!A:A,Models!B:B)</f>
        <v>#N/A</v>
      </c>
      <c r="H83" t="e">
        <f>_xlfn.XLOOKUP(F83,Models!A:A,Models!E:E)</f>
        <v>#N/A</v>
      </c>
      <c r="I83" t="e">
        <f>_xlfn.XLOOKUP(F83,Models!A:A,Models!D:D)</f>
        <v>#N/A</v>
      </c>
      <c r="J83">
        <f>MacReports!G83</f>
        <v>0</v>
      </c>
      <c r="K83" s="59">
        <f>MacReports!H83</f>
        <v>0</v>
      </c>
      <c r="L83" t="str">
        <f t="shared" si="6"/>
        <v>0</v>
      </c>
      <c r="M83" s="15">
        <f>MacReports!I83</f>
        <v>0</v>
      </c>
      <c r="N83" s="16" t="str" cm="1">
        <f t="array" ref="N83">_xlfn.IFS(
   --MacReports!N83&lt;55,"Battery Defect",
  -- MacReports!N83&lt;=69,"Battery D",
  --MacReports!N83&lt;=80,"Battery C",
 --MacReports!N83&gt;80,""
)</f>
        <v>Battery Defect</v>
      </c>
      <c r="O83" s="16" t="str">
        <f>IF(MacReports!J83="Service","Battery Service","")</f>
        <v/>
      </c>
      <c r="P83" s="13">
        <f>MacReports!Q83</f>
        <v>0</v>
      </c>
      <c r="Q83" s="13" t="str">
        <f>IF(MacReports!K83="Enabled","Apple ID Lock","")</f>
        <v/>
      </c>
      <c r="R83" s="13" t="str">
        <f>IF(MacReports!M83="Remote Lock","Remote Locked","")</f>
        <v/>
      </c>
      <c r="S83" t="str">
        <f t="shared" si="4"/>
        <v>Battery Defect, 0</v>
      </c>
      <c r="T83" t="str">
        <f>_xlfn.XLOOKUP(B83,Disk_Pivot!G:G,Disk_Pivot!N:N)</f>
        <v>Pass, Fail</v>
      </c>
      <c r="U83" t="str">
        <f>IF(T83="Fail",MacReports!O83,"")</f>
        <v/>
      </c>
      <c r="AA83" t="str">
        <f t="shared" si="5"/>
        <v/>
      </c>
    </row>
    <row r="84" spans="1:27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str">
        <f>_xlfn.XLOOKUP(B84,MacReports!B:B,MacReports!E:E,"")</f>
        <v/>
      </c>
      <c r="F84" s="13">
        <f>MacReports!F84</f>
        <v>0</v>
      </c>
      <c r="G84" t="e">
        <f>_xlfn.XLOOKUP(F84,Models!A:A,Models!B:B)</f>
        <v>#N/A</v>
      </c>
      <c r="H84" t="e">
        <f>_xlfn.XLOOKUP(F84,Models!A:A,Models!E:E)</f>
        <v>#N/A</v>
      </c>
      <c r="I84" t="e">
        <f>_xlfn.XLOOKUP(F84,Models!A:A,Models!D:D)</f>
        <v>#N/A</v>
      </c>
      <c r="J84">
        <f>MacReports!G84</f>
        <v>0</v>
      </c>
      <c r="K84" s="59">
        <f>MacReports!H84</f>
        <v>0</v>
      </c>
      <c r="L84" t="str">
        <f t="shared" si="6"/>
        <v>0</v>
      </c>
      <c r="M84" s="15">
        <f>MacReports!I84</f>
        <v>0</v>
      </c>
      <c r="N84" s="16" t="str" cm="1">
        <f t="array" ref="N84">_xlfn.IFS(
   --MacReports!N84&lt;55,"Battery Defect",
  -- MacReports!N84&lt;=69,"Battery D",
  --MacReports!N84&lt;=80,"Battery C",
 --MacReports!N84&gt;80,""
)</f>
        <v>Battery Defect</v>
      </c>
      <c r="O84" s="16" t="str">
        <f>IF(MacReports!J84="Service","Battery Service","")</f>
        <v/>
      </c>
      <c r="P84" s="13">
        <f>MacReports!Q84</f>
        <v>0</v>
      </c>
      <c r="Q84" s="13" t="str">
        <f>IF(MacReports!K84="Enabled","Apple ID Lock","")</f>
        <v/>
      </c>
      <c r="R84" s="13" t="str">
        <f>IF(MacReports!M84="Remote Lock","Remote Locked","")</f>
        <v/>
      </c>
      <c r="S84" t="str">
        <f t="shared" si="4"/>
        <v>Battery Defect, 0</v>
      </c>
      <c r="T84" t="str">
        <f>_xlfn.XLOOKUP(B84,Disk_Pivot!G:G,Disk_Pivot!N:N)</f>
        <v>Pass, Fail</v>
      </c>
      <c r="U84" t="str">
        <f>IF(T84="Fail",MacReports!O84,"")</f>
        <v/>
      </c>
      <c r="AA84" t="str">
        <f t="shared" si="5"/>
        <v/>
      </c>
    </row>
    <row r="85" spans="1:27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str">
        <f>_xlfn.XLOOKUP(B85,MacReports!B:B,MacReports!E:E,"")</f>
        <v/>
      </c>
      <c r="F85" s="13">
        <f>MacReports!F85</f>
        <v>0</v>
      </c>
      <c r="G85" t="e">
        <f>_xlfn.XLOOKUP(F85,Models!A:A,Models!B:B)</f>
        <v>#N/A</v>
      </c>
      <c r="H85" t="e">
        <f>_xlfn.XLOOKUP(F85,Models!A:A,Models!E:E)</f>
        <v>#N/A</v>
      </c>
      <c r="I85" t="e">
        <f>_xlfn.XLOOKUP(F85,Models!A:A,Models!D:D)</f>
        <v>#N/A</v>
      </c>
      <c r="J85">
        <f>MacReports!G85</f>
        <v>0</v>
      </c>
      <c r="K85" s="59">
        <f>MacReports!H85</f>
        <v>0</v>
      </c>
      <c r="L85" t="str">
        <f t="shared" si="6"/>
        <v>0</v>
      </c>
      <c r="M85" s="15">
        <f>MacReports!I85</f>
        <v>0</v>
      </c>
      <c r="N85" s="16" t="str" cm="1">
        <f t="array" ref="N85">_xlfn.IFS(
   --MacReports!N85&lt;55,"Battery Defect",
  -- MacReports!N85&lt;=69,"Battery D",
  --MacReports!N85&lt;=80,"Battery C",
 --MacReports!N85&gt;80,""
)</f>
        <v>Battery Defect</v>
      </c>
      <c r="O85" s="16" t="str">
        <f>IF(MacReports!J85="Service","Battery Service","")</f>
        <v/>
      </c>
      <c r="P85" s="13">
        <f>MacReports!Q85</f>
        <v>0</v>
      </c>
      <c r="Q85" s="13" t="str">
        <f>IF(MacReports!K85="Enabled","Apple ID Lock","")</f>
        <v/>
      </c>
      <c r="R85" s="13" t="str">
        <f>IF(MacReports!M85="Remote Lock","Remote Locked","")</f>
        <v/>
      </c>
      <c r="S85" t="str">
        <f t="shared" si="4"/>
        <v>Battery Defect, 0</v>
      </c>
      <c r="T85" t="str">
        <f>_xlfn.XLOOKUP(B85,Disk_Pivot!G:G,Disk_Pivot!N:N)</f>
        <v>Pass, Fail</v>
      </c>
      <c r="U85" t="str">
        <f>IF(T85="Fail",MacReports!O85,"")</f>
        <v/>
      </c>
      <c r="AA85" t="str">
        <f t="shared" si="5"/>
        <v/>
      </c>
    </row>
    <row r="86" spans="1:27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str">
        <f>_xlfn.XLOOKUP(B86,MacReports!B:B,MacReports!E:E,"")</f>
        <v/>
      </c>
      <c r="F86" s="13">
        <f>MacReports!F86</f>
        <v>0</v>
      </c>
      <c r="G86" t="e">
        <f>_xlfn.XLOOKUP(F86,Models!A:A,Models!B:B)</f>
        <v>#N/A</v>
      </c>
      <c r="H86" t="e">
        <f>_xlfn.XLOOKUP(F86,Models!A:A,Models!E:E)</f>
        <v>#N/A</v>
      </c>
      <c r="I86" t="e">
        <f>_xlfn.XLOOKUP(F86,Models!A:A,Models!D:D)</f>
        <v>#N/A</v>
      </c>
      <c r="J86">
        <f>MacReports!G86</f>
        <v>0</v>
      </c>
      <c r="K86" s="59">
        <f>MacReports!H86</f>
        <v>0</v>
      </c>
      <c r="L86" t="str">
        <f t="shared" si="6"/>
        <v>0</v>
      </c>
      <c r="M86" s="15">
        <f>MacReports!I86</f>
        <v>0</v>
      </c>
      <c r="N86" s="16" t="str" cm="1">
        <f t="array" ref="N86">_xlfn.IFS(
   --MacReports!N86&lt;55,"Battery Defect",
  -- MacReports!N86&lt;=69,"Battery D",
  --MacReports!N86&lt;=80,"Battery C",
 --MacReports!N86&gt;80,""
)</f>
        <v>Battery Defect</v>
      </c>
      <c r="O86" s="16" t="str">
        <f>IF(MacReports!J86="Service","Battery Service","")</f>
        <v/>
      </c>
      <c r="P86" s="13">
        <f>MacReports!Q86</f>
        <v>0</v>
      </c>
      <c r="Q86" s="13" t="str">
        <f>IF(MacReports!K86="Enabled","Apple ID Lock","")</f>
        <v/>
      </c>
      <c r="R86" s="13" t="str">
        <f>IF(MacReports!M86="Remote Lock","Remote Locked","")</f>
        <v/>
      </c>
      <c r="S86" t="str">
        <f t="shared" si="4"/>
        <v>Battery Defect, 0</v>
      </c>
      <c r="T86" t="str">
        <f>_xlfn.XLOOKUP(B86,Disk_Pivot!G:G,Disk_Pivot!N:N)</f>
        <v>Pass, Fail</v>
      </c>
      <c r="U86" t="str">
        <f>IF(T86="Fail",MacReports!O86,"")</f>
        <v/>
      </c>
      <c r="AA86" t="str">
        <f t="shared" si="5"/>
        <v/>
      </c>
    </row>
    <row r="87" spans="1:27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str">
        <f>_xlfn.XLOOKUP(B87,MacReports!B:B,MacReports!E:E,"")</f>
        <v/>
      </c>
      <c r="F87" s="13">
        <f>MacReports!F87</f>
        <v>0</v>
      </c>
      <c r="G87" t="e">
        <f>_xlfn.XLOOKUP(F87,Models!A:A,Models!B:B)</f>
        <v>#N/A</v>
      </c>
      <c r="H87" t="e">
        <f>_xlfn.XLOOKUP(F87,Models!A:A,Models!E:E)</f>
        <v>#N/A</v>
      </c>
      <c r="I87" t="e">
        <f>_xlfn.XLOOKUP(F87,Models!A:A,Models!D:D)</f>
        <v>#N/A</v>
      </c>
      <c r="J87">
        <f>MacReports!G87</f>
        <v>0</v>
      </c>
      <c r="K87" s="59">
        <f>MacReports!H87</f>
        <v>0</v>
      </c>
      <c r="L87" t="str">
        <f t="shared" si="6"/>
        <v>0</v>
      </c>
      <c r="M87" s="15">
        <f>MacReports!I87</f>
        <v>0</v>
      </c>
      <c r="N87" s="16" t="str" cm="1">
        <f t="array" ref="N87">_xlfn.IFS(
   --MacReports!N87&lt;55,"Battery Defect",
  -- MacReports!N87&lt;=69,"Battery D",
  --MacReports!N87&lt;=80,"Battery C",
 --MacReports!N87&gt;80,""
)</f>
        <v>Battery Defect</v>
      </c>
      <c r="O87" s="16" t="str">
        <f>IF(MacReports!J87="Service","Battery Service","")</f>
        <v/>
      </c>
      <c r="P87" s="13">
        <f>MacReports!Q87</f>
        <v>0</v>
      </c>
      <c r="Q87" s="13" t="str">
        <f>IF(MacReports!K87="Enabled","Apple ID Lock","")</f>
        <v/>
      </c>
      <c r="R87" s="13" t="str">
        <f>IF(MacReports!M87="Remote Lock","Remote Locked","")</f>
        <v/>
      </c>
      <c r="S87" t="str">
        <f t="shared" si="4"/>
        <v>Battery Defect, 0</v>
      </c>
      <c r="T87" t="str">
        <f>_xlfn.XLOOKUP(B87,Disk_Pivot!G:G,Disk_Pivot!N:N)</f>
        <v>Pass, Fail</v>
      </c>
      <c r="U87" t="str">
        <f>IF(T87="Fail",MacReports!O87,"")</f>
        <v/>
      </c>
      <c r="AA87" t="str">
        <f t="shared" si="5"/>
        <v/>
      </c>
    </row>
    <row r="88" spans="1:27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str">
        <f>_xlfn.XLOOKUP(B88,MacReports!B:B,MacReports!E:E,"")</f>
        <v/>
      </c>
      <c r="F88" s="13">
        <f>MacReports!F88</f>
        <v>0</v>
      </c>
      <c r="G88" t="e">
        <f>_xlfn.XLOOKUP(F88,Models!A:A,Models!B:B)</f>
        <v>#N/A</v>
      </c>
      <c r="H88" t="e">
        <f>_xlfn.XLOOKUP(F88,Models!A:A,Models!E:E)</f>
        <v>#N/A</v>
      </c>
      <c r="I88" t="e">
        <f>_xlfn.XLOOKUP(F88,Models!A:A,Models!D:D)</f>
        <v>#N/A</v>
      </c>
      <c r="J88">
        <f>MacReports!G88</f>
        <v>0</v>
      </c>
      <c r="K88" s="59">
        <f>MacReports!H88</f>
        <v>0</v>
      </c>
      <c r="L88" t="str">
        <f t="shared" si="6"/>
        <v>0</v>
      </c>
      <c r="M88" s="15">
        <f>MacReports!I88</f>
        <v>0</v>
      </c>
      <c r="N88" s="16" t="str" cm="1">
        <f t="array" ref="N88">_xlfn.IFS(
   --MacReports!N88&lt;55,"Battery Defect",
  -- MacReports!N88&lt;=69,"Battery D",
  --MacReports!N88&lt;=80,"Battery C",
 --MacReports!N88&gt;80,""
)</f>
        <v>Battery Defect</v>
      </c>
      <c r="O88" s="16" t="str">
        <f>IF(MacReports!J88="Service","Battery Service","")</f>
        <v/>
      </c>
      <c r="P88" s="13">
        <f>MacReports!Q88</f>
        <v>0</v>
      </c>
      <c r="Q88" s="13" t="str">
        <f>IF(MacReports!K88="Enabled","Apple ID Lock","")</f>
        <v/>
      </c>
      <c r="R88" s="13" t="str">
        <f>IF(MacReports!M88="Remote Lock","Remote Locked","")</f>
        <v/>
      </c>
      <c r="S88" t="str">
        <f t="shared" si="4"/>
        <v>Battery Defect, 0</v>
      </c>
      <c r="T88" t="str">
        <f>_xlfn.XLOOKUP(B88,Disk_Pivot!G:G,Disk_Pivot!N:N)</f>
        <v>Pass, Fail</v>
      </c>
      <c r="U88" t="str">
        <f>IF(T88="Fail",MacReports!O88,"")</f>
        <v/>
      </c>
      <c r="AA88" t="str">
        <f t="shared" si="5"/>
        <v/>
      </c>
    </row>
    <row r="89" spans="1:27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str">
        <f>_xlfn.XLOOKUP(B89,MacReports!B:B,MacReports!E:E,"")</f>
        <v/>
      </c>
      <c r="F89" s="13">
        <f>MacReports!F89</f>
        <v>0</v>
      </c>
      <c r="G89" t="e">
        <f>_xlfn.XLOOKUP(F89,Models!A:A,Models!B:B)</f>
        <v>#N/A</v>
      </c>
      <c r="H89" t="e">
        <f>_xlfn.XLOOKUP(F89,Models!A:A,Models!E:E)</f>
        <v>#N/A</v>
      </c>
      <c r="I89" t="e">
        <f>_xlfn.XLOOKUP(F89,Models!A:A,Models!D:D)</f>
        <v>#N/A</v>
      </c>
      <c r="J89">
        <f>MacReports!G89</f>
        <v>0</v>
      </c>
      <c r="K89" s="59">
        <f>MacReports!H89</f>
        <v>0</v>
      </c>
      <c r="L89" t="str">
        <f t="shared" si="6"/>
        <v>0</v>
      </c>
      <c r="M89" s="15">
        <f>MacReports!I89</f>
        <v>0</v>
      </c>
      <c r="N89" s="16" t="str" cm="1">
        <f t="array" ref="N89">_xlfn.IFS(
   --MacReports!N89&lt;55,"Battery Defect",
  -- MacReports!N89&lt;=69,"Battery D",
  --MacReports!N89&lt;=80,"Battery C",
 --MacReports!N89&gt;80,""
)</f>
        <v>Battery Defect</v>
      </c>
      <c r="O89" s="16" t="str">
        <f>IF(MacReports!J89="Service","Battery Service","")</f>
        <v/>
      </c>
      <c r="P89" s="13">
        <f>MacReports!Q89</f>
        <v>0</v>
      </c>
      <c r="Q89" s="13" t="str">
        <f>IF(MacReports!K89="Enabled","Apple ID Lock","")</f>
        <v/>
      </c>
      <c r="R89" s="13" t="str">
        <f>IF(MacReports!M89="Remote Lock","Remote Locked","")</f>
        <v/>
      </c>
      <c r="S89" t="str">
        <f t="shared" si="4"/>
        <v>Battery Defect, 0</v>
      </c>
      <c r="T89" t="str">
        <f>_xlfn.XLOOKUP(B89,Disk_Pivot!G:G,Disk_Pivot!N:N)</f>
        <v>Pass, Fail</v>
      </c>
      <c r="U89" t="str">
        <f>IF(T89="Fail",MacReports!O89,"")</f>
        <v/>
      </c>
      <c r="AA89" t="str">
        <f t="shared" si="5"/>
        <v/>
      </c>
    </row>
    <row r="90" spans="1:27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str">
        <f>_xlfn.XLOOKUP(B90,MacReports!B:B,MacReports!E:E,"")</f>
        <v/>
      </c>
      <c r="F90" s="13">
        <f>MacReports!F90</f>
        <v>0</v>
      </c>
      <c r="G90" t="e">
        <f>_xlfn.XLOOKUP(F90,Models!A:A,Models!B:B)</f>
        <v>#N/A</v>
      </c>
      <c r="H90" t="e">
        <f>_xlfn.XLOOKUP(F90,Models!A:A,Models!E:E)</f>
        <v>#N/A</v>
      </c>
      <c r="I90" t="e">
        <f>_xlfn.XLOOKUP(F90,Models!A:A,Models!D:D)</f>
        <v>#N/A</v>
      </c>
      <c r="J90">
        <f>MacReports!G90</f>
        <v>0</v>
      </c>
      <c r="K90" s="59">
        <f>MacReports!H90</f>
        <v>0</v>
      </c>
      <c r="L90" t="str">
        <f t="shared" si="6"/>
        <v>0</v>
      </c>
      <c r="M90" s="15">
        <f>MacReports!I90</f>
        <v>0</v>
      </c>
      <c r="N90" s="16" t="str" cm="1">
        <f t="array" ref="N90">_xlfn.IFS(
   --MacReports!N90&lt;55,"Battery Defect",
  -- MacReports!N90&lt;=69,"Battery D",
  --MacReports!N90&lt;=80,"Battery C",
 --MacReports!N90&gt;80,""
)</f>
        <v>Battery Defect</v>
      </c>
      <c r="O90" s="16" t="str">
        <f>IF(MacReports!J90="Service","Battery Service","")</f>
        <v/>
      </c>
      <c r="P90" s="13">
        <f>MacReports!Q90</f>
        <v>0</v>
      </c>
      <c r="Q90" s="13" t="str">
        <f>IF(MacReports!K90="Enabled","Apple ID Lock","")</f>
        <v/>
      </c>
      <c r="R90" s="13" t="str">
        <f>IF(MacReports!M90="Remote Lock","Remote Locked","")</f>
        <v/>
      </c>
      <c r="S90" t="str">
        <f t="shared" si="4"/>
        <v>Battery Defect, 0</v>
      </c>
      <c r="T90" t="str">
        <f>_xlfn.XLOOKUP(B90,Disk_Pivot!G:G,Disk_Pivot!N:N)</f>
        <v>Pass, Fail</v>
      </c>
      <c r="U90" t="str">
        <f>IF(T90="Fail",MacReports!O90,"")</f>
        <v/>
      </c>
      <c r="AA90" t="str">
        <f t="shared" si="5"/>
        <v/>
      </c>
    </row>
    <row r="91" spans="1:27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str">
        <f>_xlfn.XLOOKUP(B91,MacReports!B:B,MacReports!E:E,"")</f>
        <v/>
      </c>
      <c r="F91" s="13">
        <f>MacReports!F91</f>
        <v>0</v>
      </c>
      <c r="G91" t="e">
        <f>_xlfn.XLOOKUP(F91,Models!A:A,Models!B:B)</f>
        <v>#N/A</v>
      </c>
      <c r="H91" t="e">
        <f>_xlfn.XLOOKUP(F91,Models!A:A,Models!E:E)</f>
        <v>#N/A</v>
      </c>
      <c r="I91" t="e">
        <f>_xlfn.XLOOKUP(F91,Models!A:A,Models!D:D)</f>
        <v>#N/A</v>
      </c>
      <c r="J91">
        <f>MacReports!G91</f>
        <v>0</v>
      </c>
      <c r="K91" s="59">
        <f>MacReports!H91</f>
        <v>0</v>
      </c>
      <c r="L91" t="str">
        <f t="shared" si="6"/>
        <v>0</v>
      </c>
      <c r="M91" s="15">
        <f>MacReports!I91</f>
        <v>0</v>
      </c>
      <c r="N91" s="16" t="str" cm="1">
        <f t="array" ref="N91">_xlfn.IFS(
   --MacReports!N91&lt;55,"Battery Defect",
  -- MacReports!N91&lt;=69,"Battery D",
  --MacReports!N91&lt;=80,"Battery C",
 --MacReports!N91&gt;80,""
)</f>
        <v>Battery Defect</v>
      </c>
      <c r="O91" s="16" t="str">
        <f>IF(MacReports!J91="Service","Battery Service","")</f>
        <v/>
      </c>
      <c r="P91" s="13">
        <f>MacReports!Q91</f>
        <v>0</v>
      </c>
      <c r="Q91" s="13" t="str">
        <f>IF(MacReports!K91="Enabled","Apple ID Lock","")</f>
        <v/>
      </c>
      <c r="R91" s="13" t="str">
        <f>IF(MacReports!M91="Remote Lock","Remote Locked","")</f>
        <v/>
      </c>
      <c r="S91" t="str">
        <f t="shared" si="4"/>
        <v>Battery Defect, 0</v>
      </c>
      <c r="T91" t="str">
        <f>_xlfn.XLOOKUP(B91,Disk_Pivot!G:G,Disk_Pivot!N:N)</f>
        <v>Pass, Fail</v>
      </c>
      <c r="U91" t="str">
        <f>IF(T91="Fail",MacReports!O91,"")</f>
        <v/>
      </c>
      <c r="AA91" t="str">
        <f t="shared" si="5"/>
        <v/>
      </c>
    </row>
    <row r="92" spans="1:27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str">
        <f>_xlfn.XLOOKUP(B92,MacReports!B:B,MacReports!E:E,"")</f>
        <v/>
      </c>
      <c r="F92" s="13">
        <f>MacReports!F92</f>
        <v>0</v>
      </c>
      <c r="G92" t="e">
        <f>_xlfn.XLOOKUP(F92,Models!A:A,Models!B:B)</f>
        <v>#N/A</v>
      </c>
      <c r="H92" t="e">
        <f>_xlfn.XLOOKUP(F92,Models!A:A,Models!E:E)</f>
        <v>#N/A</v>
      </c>
      <c r="I92" t="e">
        <f>_xlfn.XLOOKUP(F92,Models!A:A,Models!D:D)</f>
        <v>#N/A</v>
      </c>
      <c r="J92">
        <f>MacReports!G92</f>
        <v>0</v>
      </c>
      <c r="K92" s="59">
        <f>MacReports!H92</f>
        <v>0</v>
      </c>
      <c r="L92" t="str">
        <f t="shared" si="6"/>
        <v>0</v>
      </c>
      <c r="M92" s="15">
        <f>MacReports!I92</f>
        <v>0</v>
      </c>
      <c r="N92" s="16" t="str" cm="1">
        <f t="array" ref="N92">_xlfn.IFS(
   --MacReports!N92&lt;55,"Battery Defect",
  -- MacReports!N92&lt;=69,"Battery D",
  --MacReports!N92&lt;=80,"Battery C",
 --MacReports!N92&gt;80,""
)</f>
        <v>Battery Defect</v>
      </c>
      <c r="O92" s="16" t="str">
        <f>IF(MacReports!J92="Service","Battery Service","")</f>
        <v/>
      </c>
      <c r="P92" s="13">
        <f>MacReports!Q92</f>
        <v>0</v>
      </c>
      <c r="Q92" s="13" t="str">
        <f>IF(MacReports!K92="Enabled","Apple ID Lock","")</f>
        <v/>
      </c>
      <c r="R92" s="13" t="str">
        <f>IF(MacReports!M92="Remote Lock","Remote Locked","")</f>
        <v/>
      </c>
      <c r="S92" t="str">
        <f t="shared" si="4"/>
        <v>Battery Defect, 0</v>
      </c>
      <c r="T92" t="str">
        <f>_xlfn.XLOOKUP(B92,Disk_Pivot!G:G,Disk_Pivot!N:N)</f>
        <v>Pass, Fail</v>
      </c>
      <c r="U92" t="str">
        <f>IF(T92="Fail",MacReports!O92,"")</f>
        <v/>
      </c>
      <c r="AA92" t="str">
        <f t="shared" si="5"/>
        <v/>
      </c>
    </row>
    <row r="93" spans="1:27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str">
        <f>_xlfn.XLOOKUP(B93,MacReports!B:B,MacReports!E:E,"")</f>
        <v/>
      </c>
      <c r="F93" s="13">
        <f>MacReports!F93</f>
        <v>0</v>
      </c>
      <c r="G93" t="e">
        <f>_xlfn.XLOOKUP(F93,Models!A:A,Models!B:B)</f>
        <v>#N/A</v>
      </c>
      <c r="H93" t="e">
        <f>_xlfn.XLOOKUP(F93,Models!A:A,Models!E:E)</f>
        <v>#N/A</v>
      </c>
      <c r="I93" t="e">
        <f>_xlfn.XLOOKUP(F93,Models!A:A,Models!D:D)</f>
        <v>#N/A</v>
      </c>
      <c r="J93">
        <f>MacReports!G93</f>
        <v>0</v>
      </c>
      <c r="K93" s="59">
        <f>MacReports!H93</f>
        <v>0</v>
      </c>
      <c r="L93" t="str">
        <f t="shared" si="6"/>
        <v>0</v>
      </c>
      <c r="M93" s="15">
        <f>MacReports!I93</f>
        <v>0</v>
      </c>
      <c r="N93" s="16" t="str" cm="1">
        <f t="array" ref="N93">_xlfn.IFS(
   --MacReports!N93&lt;55,"Battery Defect",
  -- MacReports!N93&lt;=69,"Battery D",
  --MacReports!N93&lt;=80,"Battery C",
 --MacReports!N93&gt;80,""
)</f>
        <v>Battery Defect</v>
      </c>
      <c r="O93" s="16" t="str">
        <f>IF(MacReports!J93="Service","Battery Service","")</f>
        <v/>
      </c>
      <c r="P93" s="13">
        <f>MacReports!Q93</f>
        <v>0</v>
      </c>
      <c r="Q93" s="13" t="str">
        <f>IF(MacReports!K93="Enabled","Apple ID Lock","")</f>
        <v/>
      </c>
      <c r="R93" s="13" t="str">
        <f>IF(MacReports!M93="Remote Lock","Remote Locked","")</f>
        <v/>
      </c>
      <c r="S93" t="str">
        <f t="shared" si="4"/>
        <v>Battery Defect, 0</v>
      </c>
      <c r="T93" t="str">
        <f>_xlfn.XLOOKUP(B93,Disk_Pivot!G:G,Disk_Pivot!N:N)</f>
        <v>Pass, Fail</v>
      </c>
      <c r="U93" t="str">
        <f>IF(T93="Fail",MacReports!O93,"")</f>
        <v/>
      </c>
      <c r="AA93" t="str">
        <f t="shared" si="5"/>
        <v/>
      </c>
    </row>
    <row r="94" spans="1:27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str">
        <f>_xlfn.XLOOKUP(B94,MacReports!B:B,MacReports!E:E,"")</f>
        <v/>
      </c>
      <c r="F94" s="13">
        <f>MacReports!F94</f>
        <v>0</v>
      </c>
      <c r="G94" t="e">
        <f>_xlfn.XLOOKUP(F94,Models!A:A,Models!B:B)</f>
        <v>#N/A</v>
      </c>
      <c r="H94" t="e">
        <f>_xlfn.XLOOKUP(F94,Models!A:A,Models!E:E)</f>
        <v>#N/A</v>
      </c>
      <c r="I94" t="e">
        <f>_xlfn.XLOOKUP(F94,Models!A:A,Models!D:D)</f>
        <v>#N/A</v>
      </c>
      <c r="J94">
        <f>MacReports!G94</f>
        <v>0</v>
      </c>
      <c r="K94" s="59">
        <f>MacReports!H94</f>
        <v>0</v>
      </c>
      <c r="L94" t="str">
        <f t="shared" si="6"/>
        <v>0</v>
      </c>
      <c r="M94" s="15">
        <f>MacReports!I94</f>
        <v>0</v>
      </c>
      <c r="N94" s="16" t="str" cm="1">
        <f t="array" ref="N94">_xlfn.IFS(
   --MacReports!N94&lt;55,"Battery Defect",
  -- MacReports!N94&lt;=69,"Battery D",
  --MacReports!N94&lt;=80,"Battery C",
 --MacReports!N94&gt;80,""
)</f>
        <v>Battery Defect</v>
      </c>
      <c r="O94" s="16" t="str">
        <f>IF(MacReports!J94="Service","Battery Service","")</f>
        <v/>
      </c>
      <c r="P94" s="13">
        <f>MacReports!Q94</f>
        <v>0</v>
      </c>
      <c r="Q94" s="13" t="str">
        <f>IF(MacReports!K94="Enabled","Apple ID Lock","")</f>
        <v/>
      </c>
      <c r="R94" s="13" t="str">
        <f>IF(MacReports!M94="Remote Lock","Remote Locked","")</f>
        <v/>
      </c>
      <c r="S94" t="str">
        <f t="shared" si="4"/>
        <v>Battery Defect, 0</v>
      </c>
      <c r="T94" t="str">
        <f>_xlfn.XLOOKUP(B94,Disk_Pivot!G:G,Disk_Pivot!N:N)</f>
        <v>Pass, Fail</v>
      </c>
      <c r="U94" t="str">
        <f>IF(T94="Fail",MacReports!O94,"")</f>
        <v/>
      </c>
      <c r="AA94" t="str">
        <f t="shared" si="5"/>
        <v/>
      </c>
    </row>
    <row r="95" spans="1:27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str">
        <f>_xlfn.XLOOKUP(B95,MacReports!B:B,MacReports!E:E,"")</f>
        <v/>
      </c>
      <c r="F95" s="13">
        <f>MacReports!F95</f>
        <v>0</v>
      </c>
      <c r="G95" t="e">
        <f>_xlfn.XLOOKUP(F95,Models!A:A,Models!B:B)</f>
        <v>#N/A</v>
      </c>
      <c r="H95" t="e">
        <f>_xlfn.XLOOKUP(F95,Models!A:A,Models!E:E)</f>
        <v>#N/A</v>
      </c>
      <c r="I95" t="e">
        <f>_xlfn.XLOOKUP(F95,Models!A:A,Models!D:D)</f>
        <v>#N/A</v>
      </c>
      <c r="J95">
        <f>MacReports!G95</f>
        <v>0</v>
      </c>
      <c r="K95" s="59">
        <f>MacReports!H95</f>
        <v>0</v>
      </c>
      <c r="L95" t="str">
        <f t="shared" si="6"/>
        <v>0</v>
      </c>
      <c r="M95" s="15">
        <f>MacReports!I95</f>
        <v>0</v>
      </c>
      <c r="N95" s="16" t="str" cm="1">
        <f t="array" ref="N95">_xlfn.IFS(
   --MacReports!N95&lt;55,"Battery Defect",
  -- MacReports!N95&lt;=69,"Battery D",
  --MacReports!N95&lt;=80,"Battery C",
 --MacReports!N95&gt;80,""
)</f>
        <v>Battery Defect</v>
      </c>
      <c r="O95" s="16" t="str">
        <f>IF(MacReports!J95="Service","Battery Service","")</f>
        <v/>
      </c>
      <c r="P95" s="13">
        <f>MacReports!Q95</f>
        <v>0</v>
      </c>
      <c r="Q95" s="13" t="str">
        <f>IF(MacReports!K95="Enabled","Apple ID Lock","")</f>
        <v/>
      </c>
      <c r="R95" s="13" t="str">
        <f>IF(MacReports!M95="Remote Lock","Remote Locked","")</f>
        <v/>
      </c>
      <c r="S95" t="str">
        <f t="shared" si="4"/>
        <v>Battery Defect, 0</v>
      </c>
      <c r="T95" t="str">
        <f>_xlfn.XLOOKUP(B95,Disk_Pivot!G:G,Disk_Pivot!N:N)</f>
        <v>Pass, Fail</v>
      </c>
      <c r="U95" t="str">
        <f>IF(T95="Fail",MacReports!O95,"")</f>
        <v/>
      </c>
      <c r="AA95" t="str">
        <f t="shared" si="5"/>
        <v/>
      </c>
    </row>
    <row r="96" spans="1:27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str">
        <f>_xlfn.XLOOKUP(B96,MacReports!B:B,MacReports!E:E,"")</f>
        <v/>
      </c>
      <c r="F96" s="13">
        <f>MacReports!F96</f>
        <v>0</v>
      </c>
      <c r="G96" t="e">
        <f>_xlfn.XLOOKUP(F96,Models!A:A,Models!B:B)</f>
        <v>#N/A</v>
      </c>
      <c r="H96" t="e">
        <f>_xlfn.XLOOKUP(F96,Models!A:A,Models!E:E)</f>
        <v>#N/A</v>
      </c>
      <c r="I96" t="e">
        <f>_xlfn.XLOOKUP(F96,Models!A:A,Models!D:D)</f>
        <v>#N/A</v>
      </c>
      <c r="J96">
        <f>MacReports!G96</f>
        <v>0</v>
      </c>
      <c r="K96" s="59">
        <f>MacReports!H96</f>
        <v>0</v>
      </c>
      <c r="L96" t="str">
        <f t="shared" si="6"/>
        <v>0</v>
      </c>
      <c r="M96" s="15">
        <f>MacReports!I96</f>
        <v>0</v>
      </c>
      <c r="N96" s="16" t="str" cm="1">
        <f t="array" ref="N96">_xlfn.IFS(
   --MacReports!N96&lt;55,"Battery Defect",
  -- MacReports!N96&lt;=69,"Battery D",
  --MacReports!N96&lt;=80,"Battery C",
 --MacReports!N96&gt;80,""
)</f>
        <v>Battery Defect</v>
      </c>
      <c r="O96" s="16" t="str">
        <f>IF(MacReports!J96="Service","Battery Service","")</f>
        <v/>
      </c>
      <c r="P96" s="13">
        <f>MacReports!Q96</f>
        <v>0</v>
      </c>
      <c r="Q96" s="13" t="str">
        <f>IF(MacReports!K96="Enabled","Apple ID Lock","")</f>
        <v/>
      </c>
      <c r="R96" s="13" t="str">
        <f>IF(MacReports!M96="Remote Lock","Remote Locked","")</f>
        <v/>
      </c>
      <c r="S96" t="str">
        <f t="shared" si="4"/>
        <v>Battery Defect, 0</v>
      </c>
      <c r="T96" t="str">
        <f>_xlfn.XLOOKUP(B96,Disk_Pivot!G:G,Disk_Pivot!N:N)</f>
        <v>Pass, Fail</v>
      </c>
      <c r="U96" t="str">
        <f>IF(T96="Fail",MacReports!O96,"")</f>
        <v/>
      </c>
      <c r="AA96" t="str">
        <f t="shared" si="5"/>
        <v/>
      </c>
    </row>
    <row r="97" spans="1:27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str">
        <f>_xlfn.XLOOKUP(B97,MacReports!B:B,MacReports!E:E,"")</f>
        <v/>
      </c>
      <c r="F97" s="13">
        <f>MacReports!F97</f>
        <v>0</v>
      </c>
      <c r="G97" t="e">
        <f>_xlfn.XLOOKUP(F97,Models!A:A,Models!B:B)</f>
        <v>#N/A</v>
      </c>
      <c r="H97" t="e">
        <f>_xlfn.XLOOKUP(F97,Models!A:A,Models!E:E)</f>
        <v>#N/A</v>
      </c>
      <c r="I97" t="e">
        <f>_xlfn.XLOOKUP(F97,Models!A:A,Models!D:D)</f>
        <v>#N/A</v>
      </c>
      <c r="J97">
        <f>MacReports!G97</f>
        <v>0</v>
      </c>
      <c r="K97" s="59">
        <f>MacReports!H97</f>
        <v>0</v>
      </c>
      <c r="L97" t="str">
        <f t="shared" si="6"/>
        <v>0</v>
      </c>
      <c r="M97" s="15">
        <f>MacReports!I97</f>
        <v>0</v>
      </c>
      <c r="N97" s="16" t="str" cm="1">
        <f t="array" ref="N97">_xlfn.IFS(
   --MacReports!N97&lt;55,"Battery Defect",
  -- MacReports!N97&lt;=69,"Battery D",
  --MacReports!N97&lt;=80,"Battery C",
 --MacReports!N97&gt;80,""
)</f>
        <v>Battery Defect</v>
      </c>
      <c r="O97" s="16" t="str">
        <f>IF(MacReports!J97="Service","Battery Service","")</f>
        <v/>
      </c>
      <c r="P97" s="13">
        <f>MacReports!Q97</f>
        <v>0</v>
      </c>
      <c r="Q97" s="13" t="str">
        <f>IF(MacReports!K97="Enabled","Apple ID Lock","")</f>
        <v/>
      </c>
      <c r="R97" s="13" t="str">
        <f>IF(MacReports!M97="Remote Lock","Remote Locked","")</f>
        <v/>
      </c>
      <c r="S97" t="str">
        <f t="shared" si="4"/>
        <v>Battery Defect, 0</v>
      </c>
      <c r="T97" t="str">
        <f>_xlfn.XLOOKUP(B97,Disk_Pivot!G:G,Disk_Pivot!N:N)</f>
        <v>Pass, Fail</v>
      </c>
      <c r="U97" t="str">
        <f>IF(T97="Fail",MacReports!O97,"")</f>
        <v/>
      </c>
      <c r="AA97" t="str">
        <f t="shared" si="5"/>
        <v/>
      </c>
    </row>
    <row r="98" spans="1:27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str">
        <f>_xlfn.XLOOKUP(B98,MacReports!B:B,MacReports!E:E,"")</f>
        <v/>
      </c>
      <c r="F98" s="13">
        <f>MacReports!F98</f>
        <v>0</v>
      </c>
      <c r="G98" t="e">
        <f>_xlfn.XLOOKUP(F98,Models!A:A,Models!B:B)</f>
        <v>#N/A</v>
      </c>
      <c r="H98" t="e">
        <f>_xlfn.XLOOKUP(F98,Models!A:A,Models!E:E)</f>
        <v>#N/A</v>
      </c>
      <c r="I98" t="e">
        <f>_xlfn.XLOOKUP(F98,Models!A:A,Models!D:D)</f>
        <v>#N/A</v>
      </c>
      <c r="J98">
        <f>MacReports!G98</f>
        <v>0</v>
      </c>
      <c r="K98" s="59">
        <f>MacReports!H98</f>
        <v>0</v>
      </c>
      <c r="L98" t="str">
        <f t="shared" si="6"/>
        <v>0</v>
      </c>
      <c r="M98" s="15">
        <f>MacReports!I98</f>
        <v>0</v>
      </c>
      <c r="N98" s="16" t="str" cm="1">
        <f t="array" ref="N98">_xlfn.IFS(
   --MacReports!N98&lt;55,"Battery Defect",
  -- MacReports!N98&lt;=69,"Battery D",
  --MacReports!N98&lt;=80,"Battery C",
 --MacReports!N98&gt;80,""
)</f>
        <v>Battery Defect</v>
      </c>
      <c r="O98" s="16" t="str">
        <f>IF(MacReports!J98="Service","Battery Service","")</f>
        <v/>
      </c>
      <c r="P98" s="13">
        <f>MacReports!Q98</f>
        <v>0</v>
      </c>
      <c r="Q98" s="13" t="str">
        <f>IF(MacReports!K98="Enabled","Apple ID Lock","")</f>
        <v/>
      </c>
      <c r="R98" s="13" t="str">
        <f>IF(MacReports!M98="Remote Lock","Remote Locked","")</f>
        <v/>
      </c>
      <c r="S98" t="str">
        <f t="shared" si="4"/>
        <v>Battery Defect, 0</v>
      </c>
      <c r="T98" t="str">
        <f>_xlfn.XLOOKUP(B98,Disk_Pivot!G:G,Disk_Pivot!N:N)</f>
        <v>Pass, Fail</v>
      </c>
      <c r="U98" t="str">
        <f>IF(T98="Fail",MacReports!O98,"")</f>
        <v/>
      </c>
      <c r="AA98" t="str">
        <f t="shared" si="5"/>
        <v/>
      </c>
    </row>
    <row r="99" spans="1:27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str">
        <f>_xlfn.XLOOKUP(B99,MacReports!B:B,MacReports!E:E,"")</f>
        <v/>
      </c>
      <c r="F99" s="13">
        <f>MacReports!F99</f>
        <v>0</v>
      </c>
      <c r="G99" t="e">
        <f>_xlfn.XLOOKUP(F99,Models!A:A,Models!B:B)</f>
        <v>#N/A</v>
      </c>
      <c r="H99" t="e">
        <f>_xlfn.XLOOKUP(F99,Models!A:A,Models!E:E)</f>
        <v>#N/A</v>
      </c>
      <c r="I99" t="e">
        <f>_xlfn.XLOOKUP(F99,Models!A:A,Models!D:D)</f>
        <v>#N/A</v>
      </c>
      <c r="J99">
        <f>MacReports!G99</f>
        <v>0</v>
      </c>
      <c r="K99" s="59">
        <f>MacReports!H99</f>
        <v>0</v>
      </c>
      <c r="L99" t="str">
        <f t="shared" si="6"/>
        <v>0</v>
      </c>
      <c r="M99" s="15">
        <f>MacReports!I99</f>
        <v>0</v>
      </c>
      <c r="N99" s="16" t="str" cm="1">
        <f t="array" ref="N99">_xlfn.IFS(
   --MacReports!N99&lt;55,"Battery Defect",
  -- MacReports!N99&lt;=69,"Battery D",
  --MacReports!N99&lt;=80,"Battery C",
 --MacReports!N99&gt;80,""
)</f>
        <v>Battery Defect</v>
      </c>
      <c r="O99" s="16" t="str">
        <f>IF(MacReports!J99="Service","Battery Service","")</f>
        <v/>
      </c>
      <c r="P99" s="13">
        <f>MacReports!Q99</f>
        <v>0</v>
      </c>
      <c r="Q99" s="13" t="str">
        <f>IF(MacReports!K99="Enabled","Apple ID Lock","")</f>
        <v/>
      </c>
      <c r="R99" s="13" t="str">
        <f>IF(MacReports!M99="Remote Lock","Remote Locked","")</f>
        <v/>
      </c>
      <c r="S99" t="str">
        <f t="shared" ref="S99:S162" si="7">_xlfn.TEXTJOIN(", ",TRUE,Q99,R99,N99,O99,P99)</f>
        <v>Battery Defect, 0</v>
      </c>
      <c r="T99" t="str">
        <f>_xlfn.XLOOKUP(B99,Disk_Pivot!G:G,Disk_Pivot!N:N)</f>
        <v>Pass, Fail</v>
      </c>
      <c r="U99" t="str">
        <f>IF(T99="Fail",MacReports!O99,"")</f>
        <v/>
      </c>
      <c r="AA99" t="str">
        <f t="shared" ref="AA99:AA162" si="8">_xlfn.TEXTJOIN(", ",TRUE,Q99,R99)</f>
        <v/>
      </c>
    </row>
    <row r="100" spans="1:27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str">
        <f>_xlfn.XLOOKUP(B100,MacReports!B:B,MacReports!E:E,"")</f>
        <v/>
      </c>
      <c r="F100" s="13">
        <f>MacReports!F100</f>
        <v>0</v>
      </c>
      <c r="G100" t="e">
        <f>_xlfn.XLOOKUP(F100,Models!A:A,Models!B:B)</f>
        <v>#N/A</v>
      </c>
      <c r="H100" t="e">
        <f>_xlfn.XLOOKUP(F100,Models!A:A,Models!E:E)</f>
        <v>#N/A</v>
      </c>
      <c r="I100" t="e">
        <f>_xlfn.XLOOKUP(F100,Models!A:A,Models!D:D)</f>
        <v>#N/A</v>
      </c>
      <c r="J100">
        <f>MacReports!G100</f>
        <v>0</v>
      </c>
      <c r="K100" s="59">
        <f>MacReports!H100</f>
        <v>0</v>
      </c>
      <c r="L100" t="str">
        <f t="shared" si="6"/>
        <v>0</v>
      </c>
      <c r="M100" s="15">
        <f>MacReports!I100</f>
        <v>0</v>
      </c>
      <c r="N100" s="16" t="str" cm="1">
        <f t="array" ref="N100">_xlfn.IFS(
   --MacReports!N100&lt;55,"Battery Defect",
  -- MacReports!N100&lt;=69,"Battery D",
  --MacReports!N100&lt;=80,"Battery C",
 --MacReports!N100&gt;80,""
)</f>
        <v>Battery Defect</v>
      </c>
      <c r="O100" s="16" t="str">
        <f>IF(MacReports!J100="Service","Battery Service","")</f>
        <v/>
      </c>
      <c r="P100" s="13">
        <f>MacReports!Q100</f>
        <v>0</v>
      </c>
      <c r="Q100" s="13" t="str">
        <f>IF(MacReports!K100="Enabled","Apple ID Lock","")</f>
        <v/>
      </c>
      <c r="R100" s="13" t="str">
        <f>IF(MacReports!M100="Remote Lock","Remote Locked","")</f>
        <v/>
      </c>
      <c r="S100" t="str">
        <f t="shared" si="7"/>
        <v>Battery Defect, 0</v>
      </c>
      <c r="T100" t="str">
        <f>_xlfn.XLOOKUP(B100,Disk_Pivot!G:G,Disk_Pivot!N:N)</f>
        <v>Pass, Fail</v>
      </c>
      <c r="U100" t="str">
        <f>IF(T100="Fail",MacReports!O100,"")</f>
        <v/>
      </c>
      <c r="AA100" t="str">
        <f t="shared" si="8"/>
        <v/>
      </c>
    </row>
    <row r="101" spans="1:27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str">
        <f>_xlfn.XLOOKUP(B101,MacReports!B:B,MacReports!E:E,"")</f>
        <v/>
      </c>
      <c r="F101" s="13">
        <f>MacReports!F101</f>
        <v>0</v>
      </c>
      <c r="G101" t="e">
        <f>_xlfn.XLOOKUP(F101,Models!A:A,Models!B:B)</f>
        <v>#N/A</v>
      </c>
      <c r="H101" t="e">
        <f>_xlfn.XLOOKUP(F101,Models!A:A,Models!E:E)</f>
        <v>#N/A</v>
      </c>
      <c r="I101" t="e">
        <f>_xlfn.XLOOKUP(F101,Models!A:A,Models!D:D)</f>
        <v>#N/A</v>
      </c>
      <c r="J101">
        <f>MacReports!G101</f>
        <v>0</v>
      </c>
      <c r="K101" s="59">
        <f>MacReports!H101</f>
        <v>0</v>
      </c>
      <c r="L101" t="str">
        <f t="shared" si="6"/>
        <v>0</v>
      </c>
      <c r="M101" s="15">
        <f>MacReports!I101</f>
        <v>0</v>
      </c>
      <c r="N101" s="16" t="str" cm="1">
        <f t="array" ref="N101">_xlfn.IFS(
   --MacReports!N101&lt;55,"Battery Defect",
  -- MacReports!N101&lt;=69,"Battery D",
  --MacReports!N101&lt;=80,"Battery C",
 --MacReports!N101&gt;80,""
)</f>
        <v>Battery Defect</v>
      </c>
      <c r="O101" s="16" t="str">
        <f>IF(MacReports!J101="Service","Battery Service","")</f>
        <v/>
      </c>
      <c r="P101" s="13">
        <f>MacReports!Q101</f>
        <v>0</v>
      </c>
      <c r="Q101" s="13" t="str">
        <f>IF(MacReports!K101="Enabled","Apple ID Lock","")</f>
        <v/>
      </c>
      <c r="R101" s="13" t="str">
        <f>IF(MacReports!M101="Remote Lock","Remote Locked","")</f>
        <v/>
      </c>
      <c r="S101" t="str">
        <f t="shared" si="7"/>
        <v>Battery Defect, 0</v>
      </c>
      <c r="T101" t="str">
        <f>_xlfn.XLOOKUP(B101,Disk_Pivot!G:G,Disk_Pivot!N:N)</f>
        <v>Pass, Fail</v>
      </c>
      <c r="U101" t="str">
        <f>IF(T101="Fail",MacReports!O101,"")</f>
        <v/>
      </c>
      <c r="AA101" t="str">
        <f t="shared" si="8"/>
        <v/>
      </c>
    </row>
    <row r="102" spans="1:27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str">
        <f>_xlfn.XLOOKUP(B102,MacReports!B:B,MacReports!E:E,"")</f>
        <v/>
      </c>
      <c r="F102" s="13">
        <f>MacReports!F102</f>
        <v>0</v>
      </c>
      <c r="G102" t="e">
        <f>_xlfn.XLOOKUP(F102,Models!A:A,Models!B:B)</f>
        <v>#N/A</v>
      </c>
      <c r="H102" t="e">
        <f>_xlfn.XLOOKUP(F102,Models!A:A,Models!E:E)</f>
        <v>#N/A</v>
      </c>
      <c r="I102" t="e">
        <f>_xlfn.XLOOKUP(F102,Models!A:A,Models!D:D)</f>
        <v>#N/A</v>
      </c>
      <c r="J102">
        <f>MacReports!G102</f>
        <v>0</v>
      </c>
      <c r="K102" s="59">
        <f>MacReports!H102</f>
        <v>0</v>
      </c>
      <c r="L102" t="str">
        <f t="shared" si="6"/>
        <v>0</v>
      </c>
      <c r="M102" s="15">
        <f>MacReports!I102</f>
        <v>0</v>
      </c>
      <c r="N102" s="16" t="str" cm="1">
        <f t="array" ref="N102">_xlfn.IFS(
   --MacReports!N102&lt;55,"Battery Defect",
  -- MacReports!N102&lt;=69,"Battery D",
  --MacReports!N102&lt;=80,"Battery C",
 --MacReports!N102&gt;80,""
)</f>
        <v>Battery Defect</v>
      </c>
      <c r="O102" s="16" t="str">
        <f>IF(MacReports!J102="Service","Battery Service","")</f>
        <v/>
      </c>
      <c r="P102" s="13">
        <f>MacReports!Q102</f>
        <v>0</v>
      </c>
      <c r="Q102" s="13" t="str">
        <f>IF(MacReports!K102="Enabled","Apple ID Lock","")</f>
        <v/>
      </c>
      <c r="R102" s="13" t="str">
        <f>IF(MacReports!M102="Remote Lock","Remote Locked","")</f>
        <v/>
      </c>
      <c r="S102" t="str">
        <f t="shared" si="7"/>
        <v>Battery Defect, 0</v>
      </c>
      <c r="T102" t="str">
        <f>_xlfn.XLOOKUP(B102,Disk_Pivot!G:G,Disk_Pivot!N:N)</f>
        <v>Pass, Fail</v>
      </c>
      <c r="U102" t="str">
        <f>IF(T102="Fail",MacReports!O102,"")</f>
        <v/>
      </c>
      <c r="AA102" t="str">
        <f t="shared" si="8"/>
        <v/>
      </c>
    </row>
    <row r="103" spans="1:27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str">
        <f>_xlfn.XLOOKUP(B103,MacReports!B:B,MacReports!E:E,"")</f>
        <v/>
      </c>
      <c r="F103" s="13">
        <f>MacReports!F103</f>
        <v>0</v>
      </c>
      <c r="G103" t="e">
        <f>_xlfn.XLOOKUP(F103,Models!A:A,Models!B:B)</f>
        <v>#N/A</v>
      </c>
      <c r="H103" t="e">
        <f>_xlfn.XLOOKUP(F103,Models!A:A,Models!E:E)</f>
        <v>#N/A</v>
      </c>
      <c r="I103" t="e">
        <f>_xlfn.XLOOKUP(F103,Models!A:A,Models!D:D)</f>
        <v>#N/A</v>
      </c>
      <c r="J103">
        <f>MacReports!G103</f>
        <v>0</v>
      </c>
      <c r="K103" s="59">
        <f>MacReports!H103</f>
        <v>0</v>
      </c>
      <c r="L103" t="str">
        <f t="shared" si="6"/>
        <v>0</v>
      </c>
      <c r="M103" s="15">
        <f>MacReports!I103</f>
        <v>0</v>
      </c>
      <c r="N103" s="16" t="str" cm="1">
        <f t="array" ref="N103">_xlfn.IFS(
   --MacReports!N103&lt;55,"Battery Defect",
  -- MacReports!N103&lt;=69,"Battery D",
  --MacReports!N103&lt;=80,"Battery C",
 --MacReports!N103&gt;80,""
)</f>
        <v>Battery Defect</v>
      </c>
      <c r="O103" s="16" t="str">
        <f>IF(MacReports!J103="Service","Battery Service","")</f>
        <v/>
      </c>
      <c r="P103" s="13">
        <f>MacReports!Q103</f>
        <v>0</v>
      </c>
      <c r="Q103" s="13" t="str">
        <f>IF(MacReports!K103="Enabled","Apple ID Lock","")</f>
        <v/>
      </c>
      <c r="R103" s="13" t="str">
        <f>IF(MacReports!M103="Remote Lock","Remote Locked","")</f>
        <v/>
      </c>
      <c r="S103" t="str">
        <f t="shared" si="7"/>
        <v>Battery Defect, 0</v>
      </c>
      <c r="T103" t="str">
        <f>_xlfn.XLOOKUP(B103,Disk_Pivot!G:G,Disk_Pivot!N:N)</f>
        <v>Pass, Fail</v>
      </c>
      <c r="U103" t="str">
        <f>IF(T103="Fail",MacReports!O103,"")</f>
        <v/>
      </c>
      <c r="AA103" t="str">
        <f t="shared" si="8"/>
        <v/>
      </c>
    </row>
    <row r="104" spans="1:27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str">
        <f>_xlfn.XLOOKUP(B104,MacReports!B:B,MacReports!E:E,"")</f>
        <v/>
      </c>
      <c r="F104" s="13">
        <f>MacReports!F104</f>
        <v>0</v>
      </c>
      <c r="G104" t="e">
        <f>_xlfn.XLOOKUP(F104,Models!A:A,Models!B:B)</f>
        <v>#N/A</v>
      </c>
      <c r="H104" t="e">
        <f>_xlfn.XLOOKUP(F104,Models!A:A,Models!E:E)</f>
        <v>#N/A</v>
      </c>
      <c r="I104" t="e">
        <f>_xlfn.XLOOKUP(F104,Models!A:A,Models!D:D)</f>
        <v>#N/A</v>
      </c>
      <c r="J104">
        <f>MacReports!G104</f>
        <v>0</v>
      </c>
      <c r="K104" s="59">
        <f>MacReports!H104</f>
        <v>0</v>
      </c>
      <c r="L104" t="str">
        <f t="shared" si="6"/>
        <v>0</v>
      </c>
      <c r="M104" s="15">
        <f>MacReports!I104</f>
        <v>0</v>
      </c>
      <c r="N104" s="16" t="str" cm="1">
        <f t="array" ref="N104">_xlfn.IFS(
   --MacReports!N104&lt;55,"Battery Defect",
  -- MacReports!N104&lt;=69,"Battery D",
  --MacReports!N104&lt;=80,"Battery C",
 --MacReports!N104&gt;80,""
)</f>
        <v>Battery Defect</v>
      </c>
      <c r="O104" s="16" t="str">
        <f>IF(MacReports!J104="Service","Battery Service","")</f>
        <v/>
      </c>
      <c r="P104" s="13">
        <f>MacReports!Q104</f>
        <v>0</v>
      </c>
      <c r="Q104" s="13" t="str">
        <f>IF(MacReports!K104="Enabled","Apple ID Lock","")</f>
        <v/>
      </c>
      <c r="R104" s="13" t="str">
        <f>IF(MacReports!M104="Remote Lock","Remote Locked","")</f>
        <v/>
      </c>
      <c r="S104" t="str">
        <f t="shared" si="7"/>
        <v>Battery Defect, 0</v>
      </c>
      <c r="T104" t="str">
        <f>_xlfn.XLOOKUP(B104,Disk_Pivot!G:G,Disk_Pivot!N:N)</f>
        <v>Pass, Fail</v>
      </c>
      <c r="U104" t="str">
        <f>IF(T104="Fail",MacReports!O104,"")</f>
        <v/>
      </c>
      <c r="AA104" t="str">
        <f t="shared" si="8"/>
        <v/>
      </c>
    </row>
    <row r="105" spans="1:27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str">
        <f>_xlfn.XLOOKUP(B105,MacReports!B:B,MacReports!E:E,"")</f>
        <v/>
      </c>
      <c r="F105" s="13">
        <f>MacReports!F105</f>
        <v>0</v>
      </c>
      <c r="G105" t="e">
        <f>_xlfn.XLOOKUP(F105,Models!A:A,Models!B:B)</f>
        <v>#N/A</v>
      </c>
      <c r="H105" t="e">
        <f>_xlfn.XLOOKUP(F105,Models!A:A,Models!E:E)</f>
        <v>#N/A</v>
      </c>
      <c r="I105" t="e">
        <f>_xlfn.XLOOKUP(F105,Models!A:A,Models!D:D)</f>
        <v>#N/A</v>
      </c>
      <c r="J105">
        <f>MacReports!G105</f>
        <v>0</v>
      </c>
      <c r="K105" s="59">
        <f>MacReports!H105</f>
        <v>0</v>
      </c>
      <c r="L105" t="str">
        <f t="shared" si="6"/>
        <v>0</v>
      </c>
      <c r="M105" s="15">
        <f>MacReports!I105</f>
        <v>0</v>
      </c>
      <c r="N105" s="16" t="str" cm="1">
        <f t="array" ref="N105">_xlfn.IFS(
   --MacReports!N105&lt;55,"Battery Defect",
  -- MacReports!N105&lt;=69,"Battery D",
  --MacReports!N105&lt;=80,"Battery C",
 --MacReports!N105&gt;80,""
)</f>
        <v>Battery Defect</v>
      </c>
      <c r="O105" s="16" t="str">
        <f>IF(MacReports!J105="Service","Battery Service","")</f>
        <v/>
      </c>
      <c r="P105" s="13">
        <f>MacReports!Q105</f>
        <v>0</v>
      </c>
      <c r="Q105" s="13" t="str">
        <f>IF(MacReports!K105="Enabled","Apple ID Lock","")</f>
        <v/>
      </c>
      <c r="R105" s="13" t="str">
        <f>IF(MacReports!M105="Remote Lock","Remote Locked","")</f>
        <v/>
      </c>
      <c r="S105" t="str">
        <f t="shared" si="7"/>
        <v>Battery Defect, 0</v>
      </c>
      <c r="T105" t="str">
        <f>_xlfn.XLOOKUP(B105,Disk_Pivot!G:G,Disk_Pivot!N:N)</f>
        <v>Pass, Fail</v>
      </c>
      <c r="U105" t="str">
        <f>IF(T105="Fail",MacReports!O105,"")</f>
        <v/>
      </c>
      <c r="AA105" t="str">
        <f t="shared" si="8"/>
        <v/>
      </c>
    </row>
    <row r="106" spans="1:27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str">
        <f>_xlfn.XLOOKUP(B106,MacReports!B:B,MacReports!E:E,"")</f>
        <v/>
      </c>
      <c r="F106" s="13">
        <f>MacReports!F106</f>
        <v>0</v>
      </c>
      <c r="G106" t="e">
        <f>_xlfn.XLOOKUP(F106,Models!A:A,Models!B:B)</f>
        <v>#N/A</v>
      </c>
      <c r="H106" t="e">
        <f>_xlfn.XLOOKUP(F106,Models!A:A,Models!E:E)</f>
        <v>#N/A</v>
      </c>
      <c r="I106" t="e">
        <f>_xlfn.XLOOKUP(F106,Models!A:A,Models!D:D)</f>
        <v>#N/A</v>
      </c>
      <c r="J106">
        <f>MacReports!G106</f>
        <v>0</v>
      </c>
      <c r="K106" s="59">
        <f>MacReports!H106</f>
        <v>0</v>
      </c>
      <c r="L106" t="str">
        <f t="shared" si="6"/>
        <v>0</v>
      </c>
      <c r="M106" s="15">
        <f>MacReports!I106</f>
        <v>0</v>
      </c>
      <c r="N106" s="16" t="str" cm="1">
        <f t="array" ref="N106">_xlfn.IFS(
   --MacReports!N106&lt;55,"Battery Defect",
  -- MacReports!N106&lt;=69,"Battery D",
  --MacReports!N106&lt;=80,"Battery C",
 --MacReports!N106&gt;80,""
)</f>
        <v>Battery Defect</v>
      </c>
      <c r="O106" s="16" t="str">
        <f>IF(MacReports!J106="Service","Battery Service","")</f>
        <v/>
      </c>
      <c r="P106" s="13">
        <f>MacReports!Q106</f>
        <v>0</v>
      </c>
      <c r="Q106" s="13" t="str">
        <f>IF(MacReports!K106="Enabled","Apple ID Lock","")</f>
        <v/>
      </c>
      <c r="R106" s="13" t="str">
        <f>IF(MacReports!M106="Remote Lock","Remote Locked","")</f>
        <v/>
      </c>
      <c r="S106" t="str">
        <f t="shared" si="7"/>
        <v>Battery Defect, 0</v>
      </c>
      <c r="T106" t="str">
        <f>_xlfn.XLOOKUP(B106,Disk_Pivot!G:G,Disk_Pivot!N:N)</f>
        <v>Pass, Fail</v>
      </c>
      <c r="U106" t="str">
        <f>IF(T106="Fail",MacReports!O106,"")</f>
        <v/>
      </c>
      <c r="AA106" t="str">
        <f t="shared" si="8"/>
        <v/>
      </c>
    </row>
    <row r="107" spans="1:27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str">
        <f>_xlfn.XLOOKUP(B107,MacReports!B:B,MacReports!E:E,"")</f>
        <v/>
      </c>
      <c r="F107" s="13">
        <f>MacReports!F107</f>
        <v>0</v>
      </c>
      <c r="G107" t="e">
        <f>_xlfn.XLOOKUP(F107,Models!A:A,Models!B:B)</f>
        <v>#N/A</v>
      </c>
      <c r="H107" t="e">
        <f>_xlfn.XLOOKUP(F107,Models!A:A,Models!E:E)</f>
        <v>#N/A</v>
      </c>
      <c r="I107" t="e">
        <f>_xlfn.XLOOKUP(F107,Models!A:A,Models!D:D)</f>
        <v>#N/A</v>
      </c>
      <c r="J107">
        <f>MacReports!G107</f>
        <v>0</v>
      </c>
      <c r="K107" s="59">
        <f>MacReports!H107</f>
        <v>0</v>
      </c>
      <c r="L107" t="str">
        <f t="shared" si="6"/>
        <v>0</v>
      </c>
      <c r="M107" s="15">
        <f>MacReports!I107</f>
        <v>0</v>
      </c>
      <c r="N107" s="16" t="str" cm="1">
        <f t="array" ref="N107">_xlfn.IFS(
   --MacReports!N107&lt;55,"Battery Defect",
  -- MacReports!N107&lt;=69,"Battery D",
  --MacReports!N107&lt;=80,"Battery C",
 --MacReports!N107&gt;80,""
)</f>
        <v>Battery Defect</v>
      </c>
      <c r="O107" s="16" t="str">
        <f>IF(MacReports!J107="Service","Battery Service","")</f>
        <v/>
      </c>
      <c r="P107" s="13">
        <f>MacReports!Q107</f>
        <v>0</v>
      </c>
      <c r="Q107" s="13" t="str">
        <f>IF(MacReports!K107="Enabled","Apple ID Lock","")</f>
        <v/>
      </c>
      <c r="R107" s="13" t="str">
        <f>IF(MacReports!M107="Remote Lock","Remote Locked","")</f>
        <v/>
      </c>
      <c r="S107" t="str">
        <f t="shared" si="7"/>
        <v>Battery Defect, 0</v>
      </c>
      <c r="T107" t="str">
        <f>_xlfn.XLOOKUP(B107,Disk_Pivot!G:G,Disk_Pivot!N:N)</f>
        <v>Pass, Fail</v>
      </c>
      <c r="U107" t="str">
        <f>IF(T107="Fail",MacReports!O107,"")</f>
        <v/>
      </c>
      <c r="AA107" t="str">
        <f t="shared" si="8"/>
        <v/>
      </c>
    </row>
    <row r="108" spans="1:27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str">
        <f>_xlfn.XLOOKUP(B108,MacReports!B:B,MacReports!E:E,"")</f>
        <v/>
      </c>
      <c r="F108" s="13">
        <f>MacReports!F108</f>
        <v>0</v>
      </c>
      <c r="G108" t="e">
        <f>_xlfn.XLOOKUP(F108,Models!A:A,Models!B:B)</f>
        <v>#N/A</v>
      </c>
      <c r="H108" t="e">
        <f>_xlfn.XLOOKUP(F108,Models!A:A,Models!E:E)</f>
        <v>#N/A</v>
      </c>
      <c r="I108" t="e">
        <f>_xlfn.XLOOKUP(F108,Models!A:A,Models!D:D)</f>
        <v>#N/A</v>
      </c>
      <c r="J108">
        <f>MacReports!G108</f>
        <v>0</v>
      </c>
      <c r="K108" s="59">
        <f>MacReports!H108</f>
        <v>0</v>
      </c>
      <c r="L108" t="str">
        <f t="shared" si="6"/>
        <v>0</v>
      </c>
      <c r="M108" s="15">
        <f>MacReports!I108</f>
        <v>0</v>
      </c>
      <c r="N108" s="16" t="str" cm="1">
        <f t="array" ref="N108">_xlfn.IFS(
   --MacReports!N108&lt;55,"Battery Defect",
  -- MacReports!N108&lt;=69,"Battery D",
  --MacReports!N108&lt;=80,"Battery C",
 --MacReports!N108&gt;80,""
)</f>
        <v>Battery Defect</v>
      </c>
      <c r="O108" s="16" t="str">
        <f>IF(MacReports!J108="Service","Battery Service","")</f>
        <v/>
      </c>
      <c r="P108" s="13">
        <f>MacReports!Q108</f>
        <v>0</v>
      </c>
      <c r="Q108" s="13" t="str">
        <f>IF(MacReports!K108="Enabled","Apple ID Lock","")</f>
        <v/>
      </c>
      <c r="R108" s="13" t="str">
        <f>IF(MacReports!M108="Remote Lock","Remote Locked","")</f>
        <v/>
      </c>
      <c r="S108" t="str">
        <f t="shared" si="7"/>
        <v>Battery Defect, 0</v>
      </c>
      <c r="T108" t="str">
        <f>_xlfn.XLOOKUP(B108,Disk_Pivot!G:G,Disk_Pivot!N:N)</f>
        <v>Pass, Fail</v>
      </c>
      <c r="U108" t="str">
        <f>IF(T108="Fail",MacReports!O108,"")</f>
        <v/>
      </c>
      <c r="AA108" t="str">
        <f t="shared" si="8"/>
        <v/>
      </c>
    </row>
    <row r="109" spans="1:27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str">
        <f>_xlfn.XLOOKUP(B109,MacReports!B:B,MacReports!E:E,"")</f>
        <v/>
      </c>
      <c r="F109" s="13">
        <f>MacReports!F109</f>
        <v>0</v>
      </c>
      <c r="G109" t="e">
        <f>_xlfn.XLOOKUP(F109,Models!A:A,Models!B:B)</f>
        <v>#N/A</v>
      </c>
      <c r="H109" t="e">
        <f>_xlfn.XLOOKUP(F109,Models!A:A,Models!E:E)</f>
        <v>#N/A</v>
      </c>
      <c r="I109" t="e">
        <f>_xlfn.XLOOKUP(F109,Models!A:A,Models!D:D)</f>
        <v>#N/A</v>
      </c>
      <c r="J109">
        <f>MacReports!G109</f>
        <v>0</v>
      </c>
      <c r="K109" s="59">
        <f>MacReports!H109</f>
        <v>0</v>
      </c>
      <c r="L109" t="str">
        <f t="shared" si="6"/>
        <v>0</v>
      </c>
      <c r="M109" s="15">
        <f>MacReports!I109</f>
        <v>0</v>
      </c>
      <c r="N109" s="16" t="str" cm="1">
        <f t="array" ref="N109">_xlfn.IFS(
   --MacReports!N109&lt;55,"Battery Defect",
  -- MacReports!N109&lt;=69,"Battery D",
  --MacReports!N109&lt;=80,"Battery C",
 --MacReports!N109&gt;80,""
)</f>
        <v>Battery Defect</v>
      </c>
      <c r="O109" s="16" t="str">
        <f>IF(MacReports!J109="Service","Battery Service","")</f>
        <v/>
      </c>
      <c r="P109" s="13">
        <f>MacReports!Q109</f>
        <v>0</v>
      </c>
      <c r="Q109" s="13" t="str">
        <f>IF(MacReports!K109="Enabled","Apple ID Lock","")</f>
        <v/>
      </c>
      <c r="R109" s="13" t="str">
        <f>IF(MacReports!M109="Remote Lock","Remote Locked","")</f>
        <v/>
      </c>
      <c r="S109" t="str">
        <f t="shared" si="7"/>
        <v>Battery Defect, 0</v>
      </c>
      <c r="T109" t="str">
        <f>_xlfn.XLOOKUP(B109,Disk_Pivot!G:G,Disk_Pivot!N:N)</f>
        <v>Pass, Fail</v>
      </c>
      <c r="U109" t="str">
        <f>IF(T109="Fail",MacReports!O109,"")</f>
        <v/>
      </c>
      <c r="AA109" t="str">
        <f t="shared" si="8"/>
        <v/>
      </c>
    </row>
    <row r="110" spans="1:27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str">
        <f>_xlfn.XLOOKUP(B110,MacReports!B:B,MacReports!E:E,"")</f>
        <v/>
      </c>
      <c r="F110" s="13">
        <f>MacReports!F110</f>
        <v>0</v>
      </c>
      <c r="G110" t="e">
        <f>_xlfn.XLOOKUP(F110,Models!A:A,Models!B:B)</f>
        <v>#N/A</v>
      </c>
      <c r="H110" t="e">
        <f>_xlfn.XLOOKUP(F110,Models!A:A,Models!E:E)</f>
        <v>#N/A</v>
      </c>
      <c r="I110" t="e">
        <f>_xlfn.XLOOKUP(F110,Models!A:A,Models!D:D)</f>
        <v>#N/A</v>
      </c>
      <c r="J110">
        <f>MacReports!G110</f>
        <v>0</v>
      </c>
      <c r="K110" s="59">
        <f>MacReports!H110</f>
        <v>0</v>
      </c>
      <c r="L110" t="str">
        <f t="shared" si="6"/>
        <v>0</v>
      </c>
      <c r="M110" s="15">
        <f>MacReports!I110</f>
        <v>0</v>
      </c>
      <c r="N110" s="16" t="str" cm="1">
        <f t="array" ref="N110">_xlfn.IFS(
   --MacReports!N110&lt;55,"Battery Defect",
  -- MacReports!N110&lt;=69,"Battery D",
  --MacReports!N110&lt;=80,"Battery C",
 --MacReports!N110&gt;80,""
)</f>
        <v>Battery Defect</v>
      </c>
      <c r="O110" s="16" t="str">
        <f>IF(MacReports!J110="Service","Battery Service","")</f>
        <v/>
      </c>
      <c r="P110" s="13">
        <f>MacReports!Q110</f>
        <v>0</v>
      </c>
      <c r="Q110" s="13" t="str">
        <f>IF(MacReports!K110="Enabled","Apple ID Lock","")</f>
        <v/>
      </c>
      <c r="R110" s="13" t="str">
        <f>IF(MacReports!M110="Remote Lock","Remote Locked","")</f>
        <v/>
      </c>
      <c r="S110" t="str">
        <f t="shared" si="7"/>
        <v>Battery Defect, 0</v>
      </c>
      <c r="T110" t="str">
        <f>_xlfn.XLOOKUP(B110,Disk_Pivot!G:G,Disk_Pivot!N:N)</f>
        <v>Pass, Fail</v>
      </c>
      <c r="U110" t="str">
        <f>IF(T110="Fail",MacReports!O110,"")</f>
        <v/>
      </c>
      <c r="AA110" t="str">
        <f t="shared" si="8"/>
        <v/>
      </c>
    </row>
    <row r="111" spans="1:27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str">
        <f>_xlfn.XLOOKUP(B111,MacReports!B:B,MacReports!E:E,"")</f>
        <v/>
      </c>
      <c r="F111" s="13">
        <f>MacReports!F111</f>
        <v>0</v>
      </c>
      <c r="G111" t="e">
        <f>_xlfn.XLOOKUP(F111,Models!A:A,Models!B:B)</f>
        <v>#N/A</v>
      </c>
      <c r="H111" t="e">
        <f>_xlfn.XLOOKUP(F111,Models!A:A,Models!E:E)</f>
        <v>#N/A</v>
      </c>
      <c r="I111" t="e">
        <f>_xlfn.XLOOKUP(F111,Models!A:A,Models!D:D)</f>
        <v>#N/A</v>
      </c>
      <c r="J111">
        <f>MacReports!G111</f>
        <v>0</v>
      </c>
      <c r="K111" s="59">
        <f>MacReports!H111</f>
        <v>0</v>
      </c>
      <c r="L111" t="str">
        <f t="shared" si="6"/>
        <v>0</v>
      </c>
      <c r="M111" s="15">
        <f>MacReports!I111</f>
        <v>0</v>
      </c>
      <c r="N111" s="16" t="str" cm="1">
        <f t="array" ref="N111">_xlfn.IFS(
   --MacReports!N111&lt;55,"Battery Defect",
  -- MacReports!N111&lt;=69,"Battery D",
  --MacReports!N111&lt;=80,"Battery C",
 --MacReports!N111&gt;80,""
)</f>
        <v>Battery Defect</v>
      </c>
      <c r="O111" s="16" t="str">
        <f>IF(MacReports!J111="Service","Battery Service","")</f>
        <v/>
      </c>
      <c r="P111" s="13">
        <f>MacReports!Q111</f>
        <v>0</v>
      </c>
      <c r="Q111" s="13" t="str">
        <f>IF(MacReports!K111="Enabled","Apple ID Lock","")</f>
        <v/>
      </c>
      <c r="R111" s="13" t="str">
        <f>IF(MacReports!M111="Remote Lock","Remote Locked","")</f>
        <v/>
      </c>
      <c r="S111" t="str">
        <f t="shared" si="7"/>
        <v>Battery Defect, 0</v>
      </c>
      <c r="T111" t="str">
        <f>_xlfn.XLOOKUP(B111,Disk_Pivot!G:G,Disk_Pivot!N:N)</f>
        <v>Pass, Fail</v>
      </c>
      <c r="U111" t="str">
        <f>IF(T111="Fail",MacReports!O111,"")</f>
        <v/>
      </c>
      <c r="AA111" t="str">
        <f t="shared" si="8"/>
        <v/>
      </c>
    </row>
    <row r="112" spans="1:27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str">
        <f>_xlfn.XLOOKUP(B112,MacReports!B:B,MacReports!E:E,"")</f>
        <v/>
      </c>
      <c r="F112" s="13">
        <f>MacReports!F112</f>
        <v>0</v>
      </c>
      <c r="G112" t="e">
        <f>_xlfn.XLOOKUP(F112,Models!A:A,Models!B:B)</f>
        <v>#N/A</v>
      </c>
      <c r="H112" t="e">
        <f>_xlfn.XLOOKUP(F112,Models!A:A,Models!E:E)</f>
        <v>#N/A</v>
      </c>
      <c r="I112" t="e">
        <f>_xlfn.XLOOKUP(F112,Models!A:A,Models!D:D)</f>
        <v>#N/A</v>
      </c>
      <c r="J112">
        <f>MacReports!G112</f>
        <v>0</v>
      </c>
      <c r="K112" s="59">
        <f>MacReports!H112</f>
        <v>0</v>
      </c>
      <c r="L112" t="str">
        <f t="shared" si="6"/>
        <v>0</v>
      </c>
      <c r="M112" s="15">
        <f>MacReports!I112</f>
        <v>0</v>
      </c>
      <c r="N112" s="16" t="str" cm="1">
        <f t="array" ref="N112">_xlfn.IFS(
   --MacReports!N112&lt;55,"Battery Defect",
  -- MacReports!N112&lt;=69,"Battery D",
  --MacReports!N112&lt;=80,"Battery C",
 --MacReports!N112&gt;80,""
)</f>
        <v>Battery Defect</v>
      </c>
      <c r="O112" s="16" t="str">
        <f>IF(MacReports!J112="Service","Battery Service","")</f>
        <v/>
      </c>
      <c r="P112" s="13">
        <f>MacReports!Q112</f>
        <v>0</v>
      </c>
      <c r="Q112" s="13" t="str">
        <f>IF(MacReports!K112="Enabled","Apple ID Lock","")</f>
        <v/>
      </c>
      <c r="R112" s="13" t="str">
        <f>IF(MacReports!M112="Remote Lock","Remote Locked","")</f>
        <v/>
      </c>
      <c r="S112" t="str">
        <f t="shared" si="7"/>
        <v>Battery Defect, 0</v>
      </c>
      <c r="T112" t="str">
        <f>_xlfn.XLOOKUP(B112,Disk_Pivot!G:G,Disk_Pivot!N:N)</f>
        <v>Pass, Fail</v>
      </c>
      <c r="U112" t="str">
        <f>IF(T112="Fail",MacReports!O112,"")</f>
        <v/>
      </c>
      <c r="AA112" t="str">
        <f t="shared" si="8"/>
        <v/>
      </c>
    </row>
    <row r="113" spans="1:27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str">
        <f>_xlfn.XLOOKUP(B113,MacReports!B:B,MacReports!E:E,"")</f>
        <v/>
      </c>
      <c r="F113" s="13">
        <f>MacReports!F113</f>
        <v>0</v>
      </c>
      <c r="G113" t="e">
        <f>_xlfn.XLOOKUP(F113,Models!A:A,Models!B:B)</f>
        <v>#N/A</v>
      </c>
      <c r="H113" t="e">
        <f>_xlfn.XLOOKUP(F113,Models!A:A,Models!E:E)</f>
        <v>#N/A</v>
      </c>
      <c r="I113" t="e">
        <f>_xlfn.XLOOKUP(F113,Models!A:A,Models!D:D)</f>
        <v>#N/A</v>
      </c>
      <c r="J113">
        <f>MacReports!G113</f>
        <v>0</v>
      </c>
      <c r="K113" s="59">
        <f>MacReports!H113</f>
        <v>0</v>
      </c>
      <c r="L113" t="str">
        <f t="shared" si="6"/>
        <v>0</v>
      </c>
      <c r="M113" s="15">
        <f>MacReports!I113</f>
        <v>0</v>
      </c>
      <c r="N113" s="16" t="str" cm="1">
        <f t="array" ref="N113">_xlfn.IFS(
   --MacReports!N113&lt;55,"Battery Defect",
  -- MacReports!N113&lt;=69,"Battery D",
  --MacReports!N113&lt;=80,"Battery C",
 --MacReports!N113&gt;80,""
)</f>
        <v>Battery Defect</v>
      </c>
      <c r="O113" s="16" t="str">
        <f>IF(MacReports!J113="Service","Battery Service","")</f>
        <v/>
      </c>
      <c r="P113" s="13">
        <f>MacReports!Q113</f>
        <v>0</v>
      </c>
      <c r="Q113" s="13" t="str">
        <f>IF(MacReports!K113="Enabled","Apple ID Lock","")</f>
        <v/>
      </c>
      <c r="R113" s="13" t="str">
        <f>IF(MacReports!M113="Remote Lock","Remote Locked","")</f>
        <v/>
      </c>
      <c r="S113" t="str">
        <f t="shared" si="7"/>
        <v>Battery Defect, 0</v>
      </c>
      <c r="T113" t="str">
        <f>_xlfn.XLOOKUP(B113,Disk_Pivot!G:G,Disk_Pivot!N:N)</f>
        <v>Pass, Fail</v>
      </c>
      <c r="U113" t="str">
        <f>IF(T113="Fail",MacReports!O113,"")</f>
        <v/>
      </c>
      <c r="AA113" t="str">
        <f t="shared" si="8"/>
        <v/>
      </c>
    </row>
    <row r="114" spans="1:27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str">
        <f>_xlfn.XLOOKUP(B114,MacReports!B:B,MacReports!E:E,"")</f>
        <v/>
      </c>
      <c r="F114" s="13">
        <f>MacReports!F114</f>
        <v>0</v>
      </c>
      <c r="G114" t="e">
        <f>_xlfn.XLOOKUP(F114,Models!A:A,Models!B:B)</f>
        <v>#N/A</v>
      </c>
      <c r="H114" t="e">
        <f>_xlfn.XLOOKUP(F114,Models!A:A,Models!E:E)</f>
        <v>#N/A</v>
      </c>
      <c r="I114" t="e">
        <f>_xlfn.XLOOKUP(F114,Models!A:A,Models!D:D)</f>
        <v>#N/A</v>
      </c>
      <c r="J114">
        <f>MacReports!G114</f>
        <v>0</v>
      </c>
      <c r="K114" s="59">
        <f>MacReports!H114</f>
        <v>0</v>
      </c>
      <c r="L114" t="str">
        <f t="shared" si="6"/>
        <v>0</v>
      </c>
      <c r="M114" s="15">
        <f>MacReports!I114</f>
        <v>0</v>
      </c>
      <c r="N114" s="16" t="str" cm="1">
        <f t="array" ref="N114">_xlfn.IFS(
   --MacReports!N114&lt;55,"Battery Defect",
  -- MacReports!N114&lt;=69,"Battery D",
  --MacReports!N114&lt;=80,"Battery C",
 --MacReports!N114&gt;80,""
)</f>
        <v>Battery Defect</v>
      </c>
      <c r="O114" s="16" t="str">
        <f>IF(MacReports!J114="Service","Battery Service","")</f>
        <v/>
      </c>
      <c r="P114" s="13">
        <f>MacReports!Q114</f>
        <v>0</v>
      </c>
      <c r="Q114" s="13" t="str">
        <f>IF(MacReports!K114="Enabled","Apple ID Lock","")</f>
        <v/>
      </c>
      <c r="R114" s="13" t="str">
        <f>IF(MacReports!M114="Remote Lock","Remote Locked","")</f>
        <v/>
      </c>
      <c r="S114" t="str">
        <f t="shared" si="7"/>
        <v>Battery Defect, 0</v>
      </c>
      <c r="T114" t="str">
        <f>_xlfn.XLOOKUP(B114,Disk_Pivot!G:G,Disk_Pivot!N:N)</f>
        <v>Pass, Fail</v>
      </c>
      <c r="U114" t="str">
        <f>IF(T114="Fail",MacReports!O114,"")</f>
        <v/>
      </c>
      <c r="AA114" t="str">
        <f t="shared" si="8"/>
        <v/>
      </c>
    </row>
    <row r="115" spans="1:27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str">
        <f>_xlfn.XLOOKUP(B115,MacReports!B:B,MacReports!E:E,"")</f>
        <v/>
      </c>
      <c r="F115" s="13">
        <f>MacReports!F115</f>
        <v>0</v>
      </c>
      <c r="G115" t="e">
        <f>_xlfn.XLOOKUP(F115,Models!A:A,Models!B:B)</f>
        <v>#N/A</v>
      </c>
      <c r="H115" t="e">
        <f>_xlfn.XLOOKUP(F115,Models!A:A,Models!E:E)</f>
        <v>#N/A</v>
      </c>
      <c r="I115" t="e">
        <f>_xlfn.XLOOKUP(F115,Models!A:A,Models!D:D)</f>
        <v>#N/A</v>
      </c>
      <c r="J115">
        <f>MacReports!G115</f>
        <v>0</v>
      </c>
      <c r="K115" s="59">
        <f>MacReports!H115</f>
        <v>0</v>
      </c>
      <c r="L115" t="str">
        <f t="shared" si="6"/>
        <v>0</v>
      </c>
      <c r="M115" s="15">
        <f>MacReports!I115</f>
        <v>0</v>
      </c>
      <c r="N115" s="16" t="str" cm="1">
        <f t="array" ref="N115">_xlfn.IFS(
   --MacReports!N115&lt;55,"Battery Defect",
  -- MacReports!N115&lt;=69,"Battery D",
  --MacReports!N115&lt;=80,"Battery C",
 --MacReports!N115&gt;80,""
)</f>
        <v>Battery Defect</v>
      </c>
      <c r="O115" s="16" t="str">
        <f>IF(MacReports!J115="Service","Battery Service","")</f>
        <v/>
      </c>
      <c r="P115" s="13">
        <f>MacReports!Q115</f>
        <v>0</v>
      </c>
      <c r="Q115" s="13" t="str">
        <f>IF(MacReports!K115="Enabled","Apple ID Lock","")</f>
        <v/>
      </c>
      <c r="R115" s="13" t="str">
        <f>IF(MacReports!M115="Remote Lock","Remote Locked","")</f>
        <v/>
      </c>
      <c r="S115" t="str">
        <f t="shared" si="7"/>
        <v>Battery Defect, 0</v>
      </c>
      <c r="T115" t="str">
        <f>_xlfn.XLOOKUP(B115,Disk_Pivot!G:G,Disk_Pivot!N:N)</f>
        <v>Pass, Fail</v>
      </c>
      <c r="U115" t="str">
        <f>IF(T115="Fail",MacReports!O115,"")</f>
        <v/>
      </c>
      <c r="AA115" t="str">
        <f t="shared" si="8"/>
        <v/>
      </c>
    </row>
    <row r="116" spans="1:27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str">
        <f>_xlfn.XLOOKUP(B116,MacReports!B:B,MacReports!E:E,"")</f>
        <v/>
      </c>
      <c r="F116" s="13">
        <f>MacReports!F116</f>
        <v>0</v>
      </c>
      <c r="G116" t="e">
        <f>_xlfn.XLOOKUP(F116,Models!A:A,Models!B:B)</f>
        <v>#N/A</v>
      </c>
      <c r="H116" t="e">
        <f>_xlfn.XLOOKUP(F116,Models!A:A,Models!E:E)</f>
        <v>#N/A</v>
      </c>
      <c r="I116" t="e">
        <f>_xlfn.XLOOKUP(F116,Models!A:A,Models!D:D)</f>
        <v>#N/A</v>
      </c>
      <c r="J116">
        <f>MacReports!G116</f>
        <v>0</v>
      </c>
      <c r="K116" s="59">
        <f>MacReports!H116</f>
        <v>0</v>
      </c>
      <c r="L116" t="str">
        <f t="shared" si="6"/>
        <v>0</v>
      </c>
      <c r="M116" s="15">
        <f>MacReports!I116</f>
        <v>0</v>
      </c>
      <c r="N116" s="16" t="str" cm="1">
        <f t="array" ref="N116">_xlfn.IFS(
   --MacReports!N116&lt;55,"Battery Defect",
  -- MacReports!N116&lt;=69,"Battery D",
  --MacReports!N116&lt;=80,"Battery C",
 --MacReports!N116&gt;80,""
)</f>
        <v>Battery Defect</v>
      </c>
      <c r="O116" s="16" t="str">
        <f>IF(MacReports!J116="Service","Battery Service","")</f>
        <v/>
      </c>
      <c r="P116" s="13">
        <f>MacReports!Q116</f>
        <v>0</v>
      </c>
      <c r="Q116" s="13" t="str">
        <f>IF(MacReports!K116="Enabled","Apple ID Lock","")</f>
        <v/>
      </c>
      <c r="R116" s="13" t="str">
        <f>IF(MacReports!M116="Remote Lock","Remote Locked","")</f>
        <v/>
      </c>
      <c r="S116" t="str">
        <f t="shared" si="7"/>
        <v>Battery Defect, 0</v>
      </c>
      <c r="T116" t="str">
        <f>_xlfn.XLOOKUP(B116,Disk_Pivot!G:G,Disk_Pivot!N:N)</f>
        <v>Pass, Fail</v>
      </c>
      <c r="U116" t="str">
        <f>IF(T116="Fail",MacReports!O116,"")</f>
        <v/>
      </c>
      <c r="AA116" t="str">
        <f t="shared" si="8"/>
        <v/>
      </c>
    </row>
    <row r="117" spans="1:27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str">
        <f>_xlfn.XLOOKUP(B117,MacReports!B:B,MacReports!E:E,"")</f>
        <v/>
      </c>
      <c r="F117" s="13">
        <f>MacReports!F117</f>
        <v>0</v>
      </c>
      <c r="G117" t="e">
        <f>_xlfn.XLOOKUP(F117,Models!A:A,Models!B:B)</f>
        <v>#N/A</v>
      </c>
      <c r="H117" t="e">
        <f>_xlfn.XLOOKUP(F117,Models!A:A,Models!E:E)</f>
        <v>#N/A</v>
      </c>
      <c r="I117" t="e">
        <f>_xlfn.XLOOKUP(F117,Models!A:A,Models!D:D)</f>
        <v>#N/A</v>
      </c>
      <c r="J117">
        <f>MacReports!G117</f>
        <v>0</v>
      </c>
      <c r="K117" s="59">
        <f>MacReports!H117</f>
        <v>0</v>
      </c>
      <c r="L117" t="str">
        <f t="shared" si="6"/>
        <v>0</v>
      </c>
      <c r="M117" s="15">
        <f>MacReports!I117</f>
        <v>0</v>
      </c>
      <c r="N117" s="16" t="str" cm="1">
        <f t="array" ref="N117">_xlfn.IFS(
   --MacReports!N117&lt;55,"Battery Defect",
  -- MacReports!N117&lt;=69,"Battery D",
  --MacReports!N117&lt;=80,"Battery C",
 --MacReports!N117&gt;80,""
)</f>
        <v>Battery Defect</v>
      </c>
      <c r="O117" s="16" t="str">
        <f>IF(MacReports!J117="Service","Battery Service","")</f>
        <v/>
      </c>
      <c r="P117" s="13">
        <f>MacReports!Q117</f>
        <v>0</v>
      </c>
      <c r="Q117" s="13" t="str">
        <f>IF(MacReports!K117="Enabled","Apple ID Lock","")</f>
        <v/>
      </c>
      <c r="R117" s="13" t="str">
        <f>IF(MacReports!M117="Remote Lock","Remote Locked","")</f>
        <v/>
      </c>
      <c r="S117" t="str">
        <f t="shared" si="7"/>
        <v>Battery Defect, 0</v>
      </c>
      <c r="T117" t="str">
        <f>_xlfn.XLOOKUP(B117,Disk_Pivot!G:G,Disk_Pivot!N:N)</f>
        <v>Pass, Fail</v>
      </c>
      <c r="U117" t="str">
        <f>IF(T117="Fail",MacReports!O117,"")</f>
        <v/>
      </c>
      <c r="AA117" t="str">
        <f t="shared" si="8"/>
        <v/>
      </c>
    </row>
    <row r="118" spans="1:27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str">
        <f>_xlfn.XLOOKUP(B118,MacReports!B:B,MacReports!E:E,"")</f>
        <v/>
      </c>
      <c r="F118" s="13">
        <f>MacReports!F118</f>
        <v>0</v>
      </c>
      <c r="G118" t="e">
        <f>_xlfn.XLOOKUP(F118,Models!A:A,Models!B:B)</f>
        <v>#N/A</v>
      </c>
      <c r="H118" t="e">
        <f>_xlfn.XLOOKUP(F118,Models!A:A,Models!E:E)</f>
        <v>#N/A</v>
      </c>
      <c r="I118" t="e">
        <f>_xlfn.XLOOKUP(F118,Models!A:A,Models!D:D)</f>
        <v>#N/A</v>
      </c>
      <c r="J118">
        <f>MacReports!G118</f>
        <v>0</v>
      </c>
      <c r="K118" s="59">
        <f>MacReports!H118</f>
        <v>0</v>
      </c>
      <c r="L118" t="str">
        <f t="shared" si="6"/>
        <v>0</v>
      </c>
      <c r="M118" s="15">
        <f>MacReports!I118</f>
        <v>0</v>
      </c>
      <c r="N118" s="16" t="str" cm="1">
        <f t="array" ref="N118">_xlfn.IFS(
   --MacReports!N118&lt;55,"Battery Defect",
  -- MacReports!N118&lt;=69,"Battery D",
  --MacReports!N118&lt;=80,"Battery C",
 --MacReports!N118&gt;80,""
)</f>
        <v>Battery Defect</v>
      </c>
      <c r="O118" s="16" t="str">
        <f>IF(MacReports!J118="Service","Battery Service","")</f>
        <v/>
      </c>
      <c r="P118" s="13">
        <f>MacReports!Q118</f>
        <v>0</v>
      </c>
      <c r="Q118" s="13" t="str">
        <f>IF(MacReports!K118="Enabled","Apple ID Lock","")</f>
        <v/>
      </c>
      <c r="R118" s="13" t="str">
        <f>IF(MacReports!M118="Remote Lock","Remote Locked","")</f>
        <v/>
      </c>
      <c r="S118" t="str">
        <f t="shared" si="7"/>
        <v>Battery Defect, 0</v>
      </c>
      <c r="T118" t="str">
        <f>_xlfn.XLOOKUP(B118,Disk_Pivot!G:G,Disk_Pivot!N:N)</f>
        <v>Pass, Fail</v>
      </c>
      <c r="U118" t="str">
        <f>IF(T118="Fail",MacReports!O118,"")</f>
        <v/>
      </c>
      <c r="AA118" t="str">
        <f t="shared" si="8"/>
        <v/>
      </c>
    </row>
    <row r="119" spans="1:27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str">
        <f>_xlfn.XLOOKUP(B119,MacReports!B:B,MacReports!E:E,"")</f>
        <v/>
      </c>
      <c r="F119" s="13">
        <f>MacReports!F119</f>
        <v>0</v>
      </c>
      <c r="G119" t="e">
        <f>_xlfn.XLOOKUP(F119,Models!A:A,Models!B:B)</f>
        <v>#N/A</v>
      </c>
      <c r="H119" t="e">
        <f>_xlfn.XLOOKUP(F119,Models!A:A,Models!E:E)</f>
        <v>#N/A</v>
      </c>
      <c r="I119" t="e">
        <f>_xlfn.XLOOKUP(F119,Models!A:A,Models!D:D)</f>
        <v>#N/A</v>
      </c>
      <c r="J119">
        <f>MacReports!G119</f>
        <v>0</v>
      </c>
      <c r="K119" s="59">
        <f>MacReports!H119</f>
        <v>0</v>
      </c>
      <c r="L119" t="str">
        <f t="shared" si="6"/>
        <v>0</v>
      </c>
      <c r="M119" s="15">
        <f>MacReports!I119</f>
        <v>0</v>
      </c>
      <c r="N119" s="16" t="str" cm="1">
        <f t="array" ref="N119">_xlfn.IFS(
   --MacReports!N119&lt;55,"Battery Defect",
  -- MacReports!N119&lt;=69,"Battery D",
  --MacReports!N119&lt;=80,"Battery C",
 --MacReports!N119&gt;80,""
)</f>
        <v>Battery Defect</v>
      </c>
      <c r="O119" s="16" t="str">
        <f>IF(MacReports!J119="Service","Battery Service","")</f>
        <v/>
      </c>
      <c r="P119" s="13">
        <f>MacReports!Q119</f>
        <v>0</v>
      </c>
      <c r="Q119" s="13" t="str">
        <f>IF(MacReports!K119="Enabled","Apple ID Lock","")</f>
        <v/>
      </c>
      <c r="R119" s="13" t="str">
        <f>IF(MacReports!M119="Remote Lock","Remote Locked","")</f>
        <v/>
      </c>
      <c r="S119" t="str">
        <f t="shared" si="7"/>
        <v>Battery Defect, 0</v>
      </c>
      <c r="T119" t="str">
        <f>_xlfn.XLOOKUP(B119,Disk_Pivot!G:G,Disk_Pivot!N:N)</f>
        <v>Pass, Fail</v>
      </c>
      <c r="U119" t="str">
        <f>IF(T119="Fail",MacReports!O119,"")</f>
        <v/>
      </c>
      <c r="AA119" t="str">
        <f t="shared" si="8"/>
        <v/>
      </c>
    </row>
    <row r="120" spans="1:27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str">
        <f>_xlfn.XLOOKUP(B120,MacReports!B:B,MacReports!E:E,"")</f>
        <v/>
      </c>
      <c r="F120" s="13">
        <f>MacReports!F120</f>
        <v>0</v>
      </c>
      <c r="G120" t="e">
        <f>_xlfn.XLOOKUP(F120,Models!A:A,Models!B:B)</f>
        <v>#N/A</v>
      </c>
      <c r="H120" t="e">
        <f>_xlfn.XLOOKUP(F120,Models!A:A,Models!E:E)</f>
        <v>#N/A</v>
      </c>
      <c r="I120" t="e">
        <f>_xlfn.XLOOKUP(F120,Models!A:A,Models!D:D)</f>
        <v>#N/A</v>
      </c>
      <c r="J120">
        <f>MacReports!G120</f>
        <v>0</v>
      </c>
      <c r="K120" s="59">
        <f>MacReports!H120</f>
        <v>0</v>
      </c>
      <c r="L120" t="str">
        <f t="shared" si="6"/>
        <v>0</v>
      </c>
      <c r="M120" s="15">
        <f>MacReports!I120</f>
        <v>0</v>
      </c>
      <c r="N120" s="16" t="str" cm="1">
        <f t="array" ref="N120">_xlfn.IFS(
   --MacReports!N120&lt;55,"Battery Defect",
  -- MacReports!N120&lt;=69,"Battery D",
  --MacReports!N120&lt;=80,"Battery C",
 --MacReports!N120&gt;80,""
)</f>
        <v>Battery Defect</v>
      </c>
      <c r="O120" s="16" t="str">
        <f>IF(MacReports!J120="Service","Battery Service","")</f>
        <v/>
      </c>
      <c r="P120" s="13">
        <f>MacReports!Q120</f>
        <v>0</v>
      </c>
      <c r="Q120" s="13" t="str">
        <f>IF(MacReports!K120="Enabled","Apple ID Lock","")</f>
        <v/>
      </c>
      <c r="R120" s="13" t="str">
        <f>IF(MacReports!M120="Remote Lock","Remote Locked","")</f>
        <v/>
      </c>
      <c r="S120" t="str">
        <f t="shared" si="7"/>
        <v>Battery Defect, 0</v>
      </c>
      <c r="T120" t="str">
        <f>_xlfn.XLOOKUP(B120,Disk_Pivot!G:G,Disk_Pivot!N:N)</f>
        <v>Pass, Fail</v>
      </c>
      <c r="U120" t="str">
        <f>IF(T120="Fail",MacReports!O120,"")</f>
        <v/>
      </c>
      <c r="AA120" t="str">
        <f t="shared" si="8"/>
        <v/>
      </c>
    </row>
    <row r="121" spans="1:27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str">
        <f>_xlfn.XLOOKUP(B121,MacReports!B:B,MacReports!E:E,"")</f>
        <v/>
      </c>
      <c r="F121" s="13">
        <f>MacReports!F121</f>
        <v>0</v>
      </c>
      <c r="G121" t="e">
        <f>_xlfn.XLOOKUP(F121,Models!A:A,Models!B:B)</f>
        <v>#N/A</v>
      </c>
      <c r="H121" t="e">
        <f>_xlfn.XLOOKUP(F121,Models!A:A,Models!E:E)</f>
        <v>#N/A</v>
      </c>
      <c r="I121" t="e">
        <f>_xlfn.XLOOKUP(F121,Models!A:A,Models!D:D)</f>
        <v>#N/A</v>
      </c>
      <c r="J121">
        <f>MacReports!G121</f>
        <v>0</v>
      </c>
      <c r="K121" s="59">
        <f>MacReports!H121</f>
        <v>0</v>
      </c>
      <c r="L121" t="str">
        <f t="shared" si="6"/>
        <v>0</v>
      </c>
      <c r="M121" s="15">
        <f>MacReports!I121</f>
        <v>0</v>
      </c>
      <c r="N121" s="16" t="str" cm="1">
        <f t="array" ref="N121">_xlfn.IFS(
   --MacReports!N121&lt;55,"Battery Defect",
  -- MacReports!N121&lt;=69,"Battery D",
  --MacReports!N121&lt;=80,"Battery C",
 --MacReports!N121&gt;80,""
)</f>
        <v>Battery Defect</v>
      </c>
      <c r="O121" s="16" t="str">
        <f>IF(MacReports!J121="Service","Battery Service","")</f>
        <v/>
      </c>
      <c r="P121" s="13">
        <f>MacReports!Q121</f>
        <v>0</v>
      </c>
      <c r="Q121" s="13" t="str">
        <f>IF(MacReports!K121="Enabled","Apple ID Lock","")</f>
        <v/>
      </c>
      <c r="R121" s="13" t="str">
        <f>IF(MacReports!M121="Remote Lock","Remote Locked","")</f>
        <v/>
      </c>
      <c r="S121" t="str">
        <f t="shared" si="7"/>
        <v>Battery Defect, 0</v>
      </c>
      <c r="T121" t="str">
        <f>_xlfn.XLOOKUP(B121,Disk_Pivot!G:G,Disk_Pivot!N:N)</f>
        <v>Pass, Fail</v>
      </c>
      <c r="U121" t="str">
        <f>IF(T121="Fail",MacReports!O121,"")</f>
        <v/>
      </c>
      <c r="AA121" t="str">
        <f t="shared" si="8"/>
        <v/>
      </c>
    </row>
    <row r="122" spans="1:27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str">
        <f>_xlfn.XLOOKUP(B122,MacReports!B:B,MacReports!E:E,"")</f>
        <v/>
      </c>
      <c r="F122" s="13">
        <f>MacReports!F122</f>
        <v>0</v>
      </c>
      <c r="G122" t="e">
        <f>_xlfn.XLOOKUP(F122,Models!A:A,Models!B:B)</f>
        <v>#N/A</v>
      </c>
      <c r="H122" t="e">
        <f>_xlfn.XLOOKUP(F122,Models!A:A,Models!E:E)</f>
        <v>#N/A</v>
      </c>
      <c r="I122" t="e">
        <f>_xlfn.XLOOKUP(F122,Models!A:A,Models!D:D)</f>
        <v>#N/A</v>
      </c>
      <c r="J122">
        <f>MacReports!G122</f>
        <v>0</v>
      </c>
      <c r="K122" s="59">
        <f>MacReports!H122</f>
        <v>0</v>
      </c>
      <c r="L122" t="str">
        <f t="shared" si="6"/>
        <v>0</v>
      </c>
      <c r="M122" s="15">
        <f>MacReports!I122</f>
        <v>0</v>
      </c>
      <c r="N122" s="16" t="str" cm="1">
        <f t="array" ref="N122">_xlfn.IFS(
   --MacReports!N122&lt;55,"Battery Defect",
  -- MacReports!N122&lt;=69,"Battery D",
  --MacReports!N122&lt;=80,"Battery C",
 --MacReports!N122&gt;80,""
)</f>
        <v>Battery Defect</v>
      </c>
      <c r="O122" s="16" t="str">
        <f>IF(MacReports!J122="Service","Battery Service","")</f>
        <v/>
      </c>
      <c r="P122" s="13">
        <f>MacReports!Q122</f>
        <v>0</v>
      </c>
      <c r="Q122" s="13" t="str">
        <f>IF(MacReports!K122="Enabled","Apple ID Lock","")</f>
        <v/>
      </c>
      <c r="R122" s="13" t="str">
        <f>IF(MacReports!M122="Remote Lock","Remote Locked","")</f>
        <v/>
      </c>
      <c r="S122" t="str">
        <f t="shared" si="7"/>
        <v>Battery Defect, 0</v>
      </c>
      <c r="T122" t="str">
        <f>_xlfn.XLOOKUP(B122,Disk_Pivot!G:G,Disk_Pivot!N:N)</f>
        <v>Pass, Fail</v>
      </c>
      <c r="U122" t="str">
        <f>IF(T122="Fail",MacReports!O122,"")</f>
        <v/>
      </c>
      <c r="AA122" t="str">
        <f t="shared" si="8"/>
        <v/>
      </c>
    </row>
    <row r="123" spans="1:27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str">
        <f>_xlfn.XLOOKUP(B123,MacReports!B:B,MacReports!E:E,"")</f>
        <v/>
      </c>
      <c r="F123" s="13">
        <f>MacReports!F123</f>
        <v>0</v>
      </c>
      <c r="G123" t="e">
        <f>_xlfn.XLOOKUP(F123,Models!A:A,Models!B:B)</f>
        <v>#N/A</v>
      </c>
      <c r="H123" t="e">
        <f>_xlfn.XLOOKUP(F123,Models!A:A,Models!E:E)</f>
        <v>#N/A</v>
      </c>
      <c r="I123" t="e">
        <f>_xlfn.XLOOKUP(F123,Models!A:A,Models!D:D)</f>
        <v>#N/A</v>
      </c>
      <c r="J123">
        <f>MacReports!G123</f>
        <v>0</v>
      </c>
      <c r="K123" s="59">
        <f>MacReports!H123</f>
        <v>0</v>
      </c>
      <c r="L123" t="str">
        <f t="shared" si="6"/>
        <v>0</v>
      </c>
      <c r="M123" s="15">
        <f>MacReports!I123</f>
        <v>0</v>
      </c>
      <c r="N123" s="16" t="str" cm="1">
        <f t="array" ref="N123">_xlfn.IFS(
   --MacReports!N123&lt;55,"Battery Defect",
  -- MacReports!N123&lt;=69,"Battery D",
  --MacReports!N123&lt;=80,"Battery C",
 --MacReports!N123&gt;80,""
)</f>
        <v>Battery Defect</v>
      </c>
      <c r="O123" s="16" t="str">
        <f>IF(MacReports!J123="Service","Battery Service","")</f>
        <v/>
      </c>
      <c r="P123" s="13">
        <f>MacReports!Q123</f>
        <v>0</v>
      </c>
      <c r="Q123" s="13" t="str">
        <f>IF(MacReports!K123="Enabled","Apple ID Lock","")</f>
        <v/>
      </c>
      <c r="R123" s="13" t="str">
        <f>IF(MacReports!M123="Remote Lock","Remote Locked","")</f>
        <v/>
      </c>
      <c r="S123" t="str">
        <f t="shared" si="7"/>
        <v>Battery Defect, 0</v>
      </c>
      <c r="T123" t="str">
        <f>_xlfn.XLOOKUP(B123,Disk_Pivot!G:G,Disk_Pivot!N:N)</f>
        <v>Pass, Fail</v>
      </c>
      <c r="U123" t="str">
        <f>IF(T123="Fail",MacReports!O123,"")</f>
        <v/>
      </c>
      <c r="AA123" t="str">
        <f t="shared" si="8"/>
        <v/>
      </c>
    </row>
    <row r="124" spans="1:27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str">
        <f>_xlfn.XLOOKUP(B124,MacReports!B:B,MacReports!E:E,"")</f>
        <v/>
      </c>
      <c r="F124" s="13">
        <f>MacReports!F124</f>
        <v>0</v>
      </c>
      <c r="G124" t="e">
        <f>_xlfn.XLOOKUP(F124,Models!A:A,Models!B:B)</f>
        <v>#N/A</v>
      </c>
      <c r="H124" t="e">
        <f>_xlfn.XLOOKUP(F124,Models!A:A,Models!E:E)</f>
        <v>#N/A</v>
      </c>
      <c r="I124" t="e">
        <f>_xlfn.XLOOKUP(F124,Models!A:A,Models!D:D)</f>
        <v>#N/A</v>
      </c>
      <c r="J124">
        <f>MacReports!G124</f>
        <v>0</v>
      </c>
      <c r="K124" s="59">
        <f>MacReports!H124</f>
        <v>0</v>
      </c>
      <c r="L124" t="str">
        <f t="shared" si="6"/>
        <v>0</v>
      </c>
      <c r="M124" s="15">
        <f>MacReports!I124</f>
        <v>0</v>
      </c>
      <c r="N124" s="16" t="str" cm="1">
        <f t="array" ref="N124">_xlfn.IFS(
   --MacReports!N124&lt;55,"Battery Defect",
  -- MacReports!N124&lt;=69,"Battery D",
  --MacReports!N124&lt;=80,"Battery C",
 --MacReports!N124&gt;80,""
)</f>
        <v>Battery Defect</v>
      </c>
      <c r="O124" s="16" t="str">
        <f>IF(MacReports!J124="Service","Battery Service","")</f>
        <v/>
      </c>
      <c r="P124" s="13">
        <f>MacReports!Q124</f>
        <v>0</v>
      </c>
      <c r="Q124" s="13" t="str">
        <f>IF(MacReports!K124="Enabled","Apple ID Lock","")</f>
        <v/>
      </c>
      <c r="R124" s="13" t="str">
        <f>IF(MacReports!M124="Remote Lock","Remote Locked","")</f>
        <v/>
      </c>
      <c r="S124" t="str">
        <f t="shared" si="7"/>
        <v>Battery Defect, 0</v>
      </c>
      <c r="T124" t="str">
        <f>_xlfn.XLOOKUP(B124,Disk_Pivot!G:G,Disk_Pivot!N:N)</f>
        <v>Pass, Fail</v>
      </c>
      <c r="U124" t="str">
        <f>IF(T124="Fail",MacReports!O124,"")</f>
        <v/>
      </c>
      <c r="AA124" t="str">
        <f t="shared" si="8"/>
        <v/>
      </c>
    </row>
    <row r="125" spans="1:27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str">
        <f>_xlfn.XLOOKUP(B125,MacReports!B:B,MacReports!E:E,"")</f>
        <v/>
      </c>
      <c r="F125" s="13">
        <f>MacReports!F125</f>
        <v>0</v>
      </c>
      <c r="G125" t="e">
        <f>_xlfn.XLOOKUP(F125,Models!A:A,Models!B:B)</f>
        <v>#N/A</v>
      </c>
      <c r="H125" t="e">
        <f>_xlfn.XLOOKUP(F125,Models!A:A,Models!E:E)</f>
        <v>#N/A</v>
      </c>
      <c r="I125" t="e">
        <f>_xlfn.XLOOKUP(F125,Models!A:A,Models!D:D)</f>
        <v>#N/A</v>
      </c>
      <c r="J125">
        <f>MacReports!G125</f>
        <v>0</v>
      </c>
      <c r="K125" s="59">
        <f>MacReports!H125</f>
        <v>0</v>
      </c>
      <c r="L125" t="str">
        <f t="shared" si="6"/>
        <v>0</v>
      </c>
      <c r="M125" s="15">
        <f>MacReports!I125</f>
        <v>0</v>
      </c>
      <c r="N125" s="16" t="str" cm="1">
        <f t="array" ref="N125">_xlfn.IFS(
   --MacReports!N125&lt;55,"Battery Defect",
  -- MacReports!N125&lt;=69,"Battery D",
  --MacReports!N125&lt;=80,"Battery C",
 --MacReports!N125&gt;80,""
)</f>
        <v>Battery Defect</v>
      </c>
      <c r="O125" s="16" t="str">
        <f>IF(MacReports!J125="Service","Battery Service","")</f>
        <v/>
      </c>
      <c r="P125" s="13">
        <f>MacReports!Q125</f>
        <v>0</v>
      </c>
      <c r="Q125" s="13" t="str">
        <f>IF(MacReports!K125="Enabled","Apple ID Lock","")</f>
        <v/>
      </c>
      <c r="R125" s="13" t="str">
        <f>IF(MacReports!M125="Remote Lock","Remote Locked","")</f>
        <v/>
      </c>
      <c r="S125" t="str">
        <f t="shared" si="7"/>
        <v>Battery Defect, 0</v>
      </c>
      <c r="T125" t="str">
        <f>_xlfn.XLOOKUP(B125,Disk_Pivot!G:G,Disk_Pivot!N:N)</f>
        <v>Pass, Fail</v>
      </c>
      <c r="U125" t="str">
        <f>IF(T125="Fail",MacReports!O125,"")</f>
        <v/>
      </c>
      <c r="AA125" t="str">
        <f t="shared" si="8"/>
        <v/>
      </c>
    </row>
    <row r="126" spans="1:27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str">
        <f>_xlfn.XLOOKUP(B126,MacReports!B:B,MacReports!E:E,"")</f>
        <v/>
      </c>
      <c r="F126" s="13">
        <f>MacReports!F126</f>
        <v>0</v>
      </c>
      <c r="G126" t="e">
        <f>_xlfn.XLOOKUP(F126,Models!A:A,Models!B:B)</f>
        <v>#N/A</v>
      </c>
      <c r="H126" t="e">
        <f>_xlfn.XLOOKUP(F126,Models!A:A,Models!E:E)</f>
        <v>#N/A</v>
      </c>
      <c r="I126" t="e">
        <f>_xlfn.XLOOKUP(F126,Models!A:A,Models!D:D)</f>
        <v>#N/A</v>
      </c>
      <c r="J126">
        <f>MacReports!G126</f>
        <v>0</v>
      </c>
      <c r="K126" s="59">
        <f>MacReports!H126</f>
        <v>0</v>
      </c>
      <c r="L126" t="str">
        <f t="shared" si="6"/>
        <v>0</v>
      </c>
      <c r="M126" s="15">
        <f>MacReports!I126</f>
        <v>0</v>
      </c>
      <c r="N126" s="16" t="str" cm="1">
        <f t="array" ref="N126">_xlfn.IFS(
   --MacReports!N126&lt;55,"Battery Defect",
  -- MacReports!N126&lt;=69,"Battery D",
  --MacReports!N126&lt;=80,"Battery C",
 --MacReports!N126&gt;80,""
)</f>
        <v>Battery Defect</v>
      </c>
      <c r="O126" s="16" t="str">
        <f>IF(MacReports!J126="Service","Battery Service","")</f>
        <v/>
      </c>
      <c r="P126" s="13">
        <f>MacReports!Q126</f>
        <v>0</v>
      </c>
      <c r="Q126" s="13" t="str">
        <f>IF(MacReports!K126="Enabled","Apple ID Lock","")</f>
        <v/>
      </c>
      <c r="R126" s="13" t="str">
        <f>IF(MacReports!M126="Remote Lock","Remote Locked","")</f>
        <v/>
      </c>
      <c r="S126" t="str">
        <f t="shared" si="7"/>
        <v>Battery Defect, 0</v>
      </c>
      <c r="T126" t="str">
        <f>_xlfn.XLOOKUP(B126,Disk_Pivot!G:G,Disk_Pivot!N:N)</f>
        <v>Pass, Fail</v>
      </c>
      <c r="U126" t="str">
        <f>IF(T126="Fail",MacReports!O126,"")</f>
        <v/>
      </c>
      <c r="AA126" t="str">
        <f t="shared" si="8"/>
        <v/>
      </c>
    </row>
    <row r="127" spans="1:27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str">
        <f>_xlfn.XLOOKUP(B127,MacReports!B:B,MacReports!E:E,"")</f>
        <v/>
      </c>
      <c r="F127" s="13">
        <f>MacReports!F127</f>
        <v>0</v>
      </c>
      <c r="G127" t="e">
        <f>_xlfn.XLOOKUP(F127,Models!A:A,Models!B:B)</f>
        <v>#N/A</v>
      </c>
      <c r="H127" t="e">
        <f>_xlfn.XLOOKUP(F127,Models!A:A,Models!E:E)</f>
        <v>#N/A</v>
      </c>
      <c r="I127" t="e">
        <f>_xlfn.XLOOKUP(F127,Models!A:A,Models!D:D)</f>
        <v>#N/A</v>
      </c>
      <c r="J127">
        <f>MacReports!G127</f>
        <v>0</v>
      </c>
      <c r="K127" s="59">
        <f>MacReports!H127</f>
        <v>0</v>
      </c>
      <c r="L127" t="str">
        <f t="shared" si="6"/>
        <v>0</v>
      </c>
      <c r="M127" s="15">
        <f>MacReports!I127</f>
        <v>0</v>
      </c>
      <c r="N127" s="16" t="str" cm="1">
        <f t="array" ref="N127">_xlfn.IFS(
   --MacReports!N127&lt;55,"Battery Defect",
  -- MacReports!N127&lt;=69,"Battery D",
  --MacReports!N127&lt;=80,"Battery C",
 --MacReports!N127&gt;80,""
)</f>
        <v>Battery Defect</v>
      </c>
      <c r="O127" s="16" t="str">
        <f>IF(MacReports!J127="Service","Battery Service","")</f>
        <v/>
      </c>
      <c r="P127" s="13">
        <f>MacReports!Q127</f>
        <v>0</v>
      </c>
      <c r="Q127" s="13" t="str">
        <f>IF(MacReports!K127="Enabled","Apple ID Lock","")</f>
        <v/>
      </c>
      <c r="R127" s="13" t="str">
        <f>IF(MacReports!M127="Remote Lock","Remote Locked","")</f>
        <v/>
      </c>
      <c r="S127" t="str">
        <f t="shared" si="7"/>
        <v>Battery Defect, 0</v>
      </c>
      <c r="T127" t="str">
        <f>_xlfn.XLOOKUP(B127,Disk_Pivot!G:G,Disk_Pivot!N:N)</f>
        <v>Pass, Fail</v>
      </c>
      <c r="U127" t="str">
        <f>IF(T127="Fail",MacReports!O127,"")</f>
        <v/>
      </c>
      <c r="AA127" t="str">
        <f t="shared" si="8"/>
        <v/>
      </c>
    </row>
    <row r="128" spans="1:27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str">
        <f>_xlfn.XLOOKUP(B128,MacReports!B:B,MacReports!E:E,"")</f>
        <v/>
      </c>
      <c r="F128" s="13">
        <f>MacReports!F128</f>
        <v>0</v>
      </c>
      <c r="G128" t="e">
        <f>_xlfn.XLOOKUP(F128,Models!A:A,Models!B:B)</f>
        <v>#N/A</v>
      </c>
      <c r="H128" t="e">
        <f>_xlfn.XLOOKUP(F128,Models!A:A,Models!E:E)</f>
        <v>#N/A</v>
      </c>
      <c r="I128" t="e">
        <f>_xlfn.XLOOKUP(F128,Models!A:A,Models!D:D)</f>
        <v>#N/A</v>
      </c>
      <c r="J128">
        <f>MacReports!G128</f>
        <v>0</v>
      </c>
      <c r="K128" s="59">
        <f>MacReports!H128</f>
        <v>0</v>
      </c>
      <c r="L128" t="str">
        <f t="shared" si="6"/>
        <v>0</v>
      </c>
      <c r="M128" s="15">
        <f>MacReports!I128</f>
        <v>0</v>
      </c>
      <c r="N128" s="16" t="str" cm="1">
        <f t="array" ref="N128">_xlfn.IFS(
   --MacReports!N128&lt;55,"Battery Defect",
  -- MacReports!N128&lt;=69,"Battery D",
  --MacReports!N128&lt;=80,"Battery C",
 --MacReports!N128&gt;80,""
)</f>
        <v>Battery Defect</v>
      </c>
      <c r="O128" s="16" t="str">
        <f>IF(MacReports!J128="Service","Battery Service","")</f>
        <v/>
      </c>
      <c r="P128" s="13">
        <f>MacReports!Q128</f>
        <v>0</v>
      </c>
      <c r="Q128" s="13" t="str">
        <f>IF(MacReports!K128="Enabled","Apple ID Lock","")</f>
        <v/>
      </c>
      <c r="R128" s="13" t="str">
        <f>IF(MacReports!M128="Remote Lock","Remote Locked","")</f>
        <v/>
      </c>
      <c r="S128" t="str">
        <f t="shared" si="7"/>
        <v>Battery Defect, 0</v>
      </c>
      <c r="T128" t="str">
        <f>_xlfn.XLOOKUP(B128,Disk_Pivot!G:G,Disk_Pivot!N:N)</f>
        <v>Pass, Fail</v>
      </c>
      <c r="U128" t="str">
        <f>IF(T128="Fail",MacReports!O128,"")</f>
        <v/>
      </c>
      <c r="AA128" t="str">
        <f t="shared" si="8"/>
        <v/>
      </c>
    </row>
    <row r="129" spans="1:27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str">
        <f>_xlfn.XLOOKUP(B129,MacReports!B:B,MacReports!E:E,"")</f>
        <v/>
      </c>
      <c r="F129" s="13">
        <f>MacReports!F129</f>
        <v>0</v>
      </c>
      <c r="G129" t="e">
        <f>_xlfn.XLOOKUP(F129,Models!A:A,Models!B:B)</f>
        <v>#N/A</v>
      </c>
      <c r="H129" t="e">
        <f>_xlfn.XLOOKUP(F129,Models!A:A,Models!E:E)</f>
        <v>#N/A</v>
      </c>
      <c r="I129" t="e">
        <f>_xlfn.XLOOKUP(F129,Models!A:A,Models!D:D)</f>
        <v>#N/A</v>
      </c>
      <c r="J129">
        <f>MacReports!G129</f>
        <v>0</v>
      </c>
      <c r="K129" s="59">
        <f>MacReports!H129</f>
        <v>0</v>
      </c>
      <c r="L129" t="str">
        <f t="shared" si="6"/>
        <v>0</v>
      </c>
      <c r="M129" s="15">
        <f>MacReports!I129</f>
        <v>0</v>
      </c>
      <c r="N129" s="16" t="str" cm="1">
        <f t="array" ref="N129">_xlfn.IFS(
   --MacReports!N129&lt;55,"Battery Defect",
  -- MacReports!N129&lt;=69,"Battery D",
  --MacReports!N129&lt;=80,"Battery C",
 --MacReports!N129&gt;80,""
)</f>
        <v>Battery Defect</v>
      </c>
      <c r="O129" s="16" t="str">
        <f>IF(MacReports!J129="Service","Battery Service","")</f>
        <v/>
      </c>
      <c r="P129" s="13">
        <f>MacReports!Q129</f>
        <v>0</v>
      </c>
      <c r="Q129" s="13" t="str">
        <f>IF(MacReports!K129="Enabled","Apple ID Lock","")</f>
        <v/>
      </c>
      <c r="R129" s="13" t="str">
        <f>IF(MacReports!M129="Remote Lock","Remote Locked","")</f>
        <v/>
      </c>
      <c r="S129" t="str">
        <f t="shared" si="7"/>
        <v>Battery Defect, 0</v>
      </c>
      <c r="T129" t="str">
        <f>_xlfn.XLOOKUP(B129,Disk_Pivot!G:G,Disk_Pivot!N:N)</f>
        <v>Pass, Fail</v>
      </c>
      <c r="U129" t="str">
        <f>IF(T129="Fail",MacReports!O129,"")</f>
        <v/>
      </c>
      <c r="AA129" t="str">
        <f t="shared" si="8"/>
        <v/>
      </c>
    </row>
    <row r="130" spans="1:27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str">
        <f>_xlfn.XLOOKUP(B130,MacReports!B:B,MacReports!E:E,"")</f>
        <v/>
      </c>
      <c r="F130" s="13">
        <f>MacReports!F130</f>
        <v>0</v>
      </c>
      <c r="G130" t="e">
        <f>_xlfn.XLOOKUP(F130,Models!A:A,Models!B:B)</f>
        <v>#N/A</v>
      </c>
      <c r="H130" t="e">
        <f>_xlfn.XLOOKUP(F130,Models!A:A,Models!E:E)</f>
        <v>#N/A</v>
      </c>
      <c r="I130" t="e">
        <f>_xlfn.XLOOKUP(F130,Models!A:A,Models!D:D)</f>
        <v>#N/A</v>
      </c>
      <c r="J130">
        <f>MacReports!G130</f>
        <v>0</v>
      </c>
      <c r="K130" s="59">
        <f>MacReports!H130</f>
        <v>0</v>
      </c>
      <c r="L130" t="str">
        <f t="shared" si="6"/>
        <v>0</v>
      </c>
      <c r="M130" s="15">
        <f>MacReports!I130</f>
        <v>0</v>
      </c>
      <c r="N130" s="16" t="str" cm="1">
        <f t="array" ref="N130">_xlfn.IFS(
   --MacReports!N130&lt;55,"Battery Defect",
  -- MacReports!N130&lt;=69,"Battery D",
  --MacReports!N130&lt;=80,"Battery C",
 --MacReports!N130&gt;80,""
)</f>
        <v>Battery Defect</v>
      </c>
      <c r="O130" s="16" t="str">
        <f>IF(MacReports!J130="Service","Battery Service","")</f>
        <v/>
      </c>
      <c r="P130" s="13">
        <f>MacReports!Q130</f>
        <v>0</v>
      </c>
      <c r="Q130" s="13" t="str">
        <f>IF(MacReports!K130="Enabled","Apple ID Lock","")</f>
        <v/>
      </c>
      <c r="R130" s="13" t="str">
        <f>IF(MacReports!M130="Remote Lock","Remote Locked","")</f>
        <v/>
      </c>
      <c r="S130" t="str">
        <f t="shared" si="7"/>
        <v>Battery Defect, 0</v>
      </c>
      <c r="T130" t="str">
        <f>_xlfn.XLOOKUP(B130,Disk_Pivot!G:G,Disk_Pivot!N:N)</f>
        <v>Pass, Fail</v>
      </c>
      <c r="U130" t="str">
        <f>IF(T130="Fail",MacReports!O130,"")</f>
        <v/>
      </c>
      <c r="AA130" t="str">
        <f t="shared" si="8"/>
        <v/>
      </c>
    </row>
    <row r="131" spans="1:27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str">
        <f>_xlfn.XLOOKUP(B131,MacReports!B:B,MacReports!E:E,"")</f>
        <v/>
      </c>
      <c r="F131" s="13">
        <f>MacReports!F131</f>
        <v>0</v>
      </c>
      <c r="G131" t="e">
        <f>_xlfn.XLOOKUP(F131,Models!A:A,Models!B:B)</f>
        <v>#N/A</v>
      </c>
      <c r="H131" t="e">
        <f>_xlfn.XLOOKUP(F131,Models!A:A,Models!E:E)</f>
        <v>#N/A</v>
      </c>
      <c r="I131" t="e">
        <f>_xlfn.XLOOKUP(F131,Models!A:A,Models!D:D)</f>
        <v>#N/A</v>
      </c>
      <c r="J131">
        <f>MacReports!G131</f>
        <v>0</v>
      </c>
      <c r="K131" s="59">
        <f>MacReports!H131</f>
        <v>0</v>
      </c>
      <c r="L131" t="str">
        <f t="shared" ref="L131:L194" si="9">IFERROR(LEFT(K131,FIND(" ",K131)-1)&amp;" GB DDR"&amp;MID(K131,FIND("DDR",K131)+3,1), K131&amp;"")</f>
        <v>0</v>
      </c>
      <c r="M131" s="15">
        <f>MacReports!I131</f>
        <v>0</v>
      </c>
      <c r="N131" s="16" t="str" cm="1">
        <f t="array" ref="N131">_xlfn.IFS(
   --MacReports!N131&lt;55,"Battery Defect",
  -- MacReports!N131&lt;=69,"Battery D",
  --MacReports!N131&lt;=80,"Battery C",
 --MacReports!N131&gt;80,""
)</f>
        <v>Battery Defect</v>
      </c>
      <c r="O131" s="16" t="str">
        <f>IF(MacReports!J131="Service","Battery Service","")</f>
        <v/>
      </c>
      <c r="P131" s="13">
        <f>MacReports!Q131</f>
        <v>0</v>
      </c>
      <c r="Q131" s="13" t="str">
        <f>IF(MacReports!K131="Enabled","Apple ID Lock","")</f>
        <v/>
      </c>
      <c r="R131" s="13" t="str">
        <f>IF(MacReports!M131="Remote Lock","Remote Locked","")</f>
        <v/>
      </c>
      <c r="S131" t="str">
        <f t="shared" si="7"/>
        <v>Battery Defect, 0</v>
      </c>
      <c r="T131" t="str">
        <f>_xlfn.XLOOKUP(B131,Disk_Pivot!G:G,Disk_Pivot!N:N)</f>
        <v>Pass, Fail</v>
      </c>
      <c r="U131" t="str">
        <f>IF(T131="Fail",MacReports!O131,"")</f>
        <v/>
      </c>
      <c r="AA131" t="str">
        <f t="shared" si="8"/>
        <v/>
      </c>
    </row>
    <row r="132" spans="1:27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str">
        <f>_xlfn.XLOOKUP(B132,MacReports!B:B,MacReports!E:E,"")</f>
        <v/>
      </c>
      <c r="F132" s="13">
        <f>MacReports!F132</f>
        <v>0</v>
      </c>
      <c r="G132" t="e">
        <f>_xlfn.XLOOKUP(F132,Models!A:A,Models!B:B)</f>
        <v>#N/A</v>
      </c>
      <c r="H132" t="e">
        <f>_xlfn.XLOOKUP(F132,Models!A:A,Models!E:E)</f>
        <v>#N/A</v>
      </c>
      <c r="I132" t="e">
        <f>_xlfn.XLOOKUP(F132,Models!A:A,Models!D:D)</f>
        <v>#N/A</v>
      </c>
      <c r="J132">
        <f>MacReports!G132</f>
        <v>0</v>
      </c>
      <c r="K132" s="59">
        <f>MacReports!H132</f>
        <v>0</v>
      </c>
      <c r="L132" t="str">
        <f t="shared" si="9"/>
        <v>0</v>
      </c>
      <c r="M132" s="15">
        <f>MacReports!I132</f>
        <v>0</v>
      </c>
      <c r="N132" s="16" t="str" cm="1">
        <f t="array" ref="N132">_xlfn.IFS(
   --MacReports!N132&lt;55,"Battery Defect",
  -- MacReports!N132&lt;=69,"Battery D",
  --MacReports!N132&lt;=80,"Battery C",
 --MacReports!N132&gt;80,""
)</f>
        <v>Battery Defect</v>
      </c>
      <c r="O132" s="16" t="str">
        <f>IF(MacReports!J132="Service","Battery Service","")</f>
        <v/>
      </c>
      <c r="P132" s="13">
        <f>MacReports!Q132</f>
        <v>0</v>
      </c>
      <c r="Q132" s="13" t="str">
        <f>IF(MacReports!K132="Enabled","Apple ID Lock","")</f>
        <v/>
      </c>
      <c r="R132" s="13" t="str">
        <f>IF(MacReports!M132="Remote Lock","Remote Locked","")</f>
        <v/>
      </c>
      <c r="S132" t="str">
        <f t="shared" si="7"/>
        <v>Battery Defect, 0</v>
      </c>
      <c r="T132" t="str">
        <f>_xlfn.XLOOKUP(B132,Disk_Pivot!G:G,Disk_Pivot!N:N)</f>
        <v>Pass, Fail</v>
      </c>
      <c r="U132" t="str">
        <f>IF(T132="Fail",MacReports!O132,"")</f>
        <v/>
      </c>
      <c r="AA132" t="str">
        <f t="shared" si="8"/>
        <v/>
      </c>
    </row>
    <row r="133" spans="1:27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str">
        <f>_xlfn.XLOOKUP(B133,MacReports!B:B,MacReports!E:E,"")</f>
        <v/>
      </c>
      <c r="F133" s="13">
        <f>MacReports!F133</f>
        <v>0</v>
      </c>
      <c r="G133" t="e">
        <f>_xlfn.XLOOKUP(F133,Models!A:A,Models!B:B)</f>
        <v>#N/A</v>
      </c>
      <c r="H133" t="e">
        <f>_xlfn.XLOOKUP(F133,Models!A:A,Models!E:E)</f>
        <v>#N/A</v>
      </c>
      <c r="I133" t="e">
        <f>_xlfn.XLOOKUP(F133,Models!A:A,Models!D:D)</f>
        <v>#N/A</v>
      </c>
      <c r="J133">
        <f>MacReports!G133</f>
        <v>0</v>
      </c>
      <c r="K133" s="59">
        <f>MacReports!H133</f>
        <v>0</v>
      </c>
      <c r="L133" t="str">
        <f t="shared" si="9"/>
        <v>0</v>
      </c>
      <c r="M133" s="15">
        <f>MacReports!I133</f>
        <v>0</v>
      </c>
      <c r="N133" s="16" t="str" cm="1">
        <f t="array" ref="N133">_xlfn.IFS(
   --MacReports!N133&lt;55,"Battery Defect",
  -- MacReports!N133&lt;=69,"Battery D",
  --MacReports!N133&lt;=80,"Battery C",
 --MacReports!N133&gt;80,""
)</f>
        <v>Battery Defect</v>
      </c>
      <c r="O133" s="16" t="str">
        <f>IF(MacReports!J133="Service","Battery Service","")</f>
        <v/>
      </c>
      <c r="P133" s="13">
        <f>MacReports!Q133</f>
        <v>0</v>
      </c>
      <c r="Q133" s="13" t="str">
        <f>IF(MacReports!K133="Enabled","Apple ID Lock","")</f>
        <v/>
      </c>
      <c r="R133" s="13" t="str">
        <f>IF(MacReports!M133="Remote Lock","Remote Locked","")</f>
        <v/>
      </c>
      <c r="S133" t="str">
        <f t="shared" si="7"/>
        <v>Battery Defect, 0</v>
      </c>
      <c r="T133" t="str">
        <f>_xlfn.XLOOKUP(B133,Disk_Pivot!G:G,Disk_Pivot!N:N)</f>
        <v>Pass, Fail</v>
      </c>
      <c r="U133" t="str">
        <f>IF(T133="Fail",MacReports!O133,"")</f>
        <v/>
      </c>
      <c r="AA133" t="str">
        <f t="shared" si="8"/>
        <v/>
      </c>
    </row>
    <row r="134" spans="1:27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str">
        <f>_xlfn.XLOOKUP(B134,MacReports!B:B,MacReports!E:E,"")</f>
        <v/>
      </c>
      <c r="F134" s="13">
        <f>MacReports!F134</f>
        <v>0</v>
      </c>
      <c r="G134" t="e">
        <f>_xlfn.XLOOKUP(F134,Models!A:A,Models!B:B)</f>
        <v>#N/A</v>
      </c>
      <c r="H134" t="e">
        <f>_xlfn.XLOOKUP(F134,Models!A:A,Models!E:E)</f>
        <v>#N/A</v>
      </c>
      <c r="I134" t="e">
        <f>_xlfn.XLOOKUP(F134,Models!A:A,Models!D:D)</f>
        <v>#N/A</v>
      </c>
      <c r="J134">
        <f>MacReports!G134</f>
        <v>0</v>
      </c>
      <c r="K134" s="59">
        <f>MacReports!H134</f>
        <v>0</v>
      </c>
      <c r="L134" t="str">
        <f t="shared" si="9"/>
        <v>0</v>
      </c>
      <c r="M134" s="15">
        <f>MacReports!I134</f>
        <v>0</v>
      </c>
      <c r="N134" s="16" t="str" cm="1">
        <f t="array" ref="N134">_xlfn.IFS(
   --MacReports!N134&lt;55,"Battery Defect",
  -- MacReports!N134&lt;=69,"Battery D",
  --MacReports!N134&lt;=80,"Battery C",
 --MacReports!N134&gt;80,""
)</f>
        <v>Battery Defect</v>
      </c>
      <c r="O134" s="16" t="str">
        <f>IF(MacReports!J134="Service","Battery Service","")</f>
        <v/>
      </c>
      <c r="P134" s="13">
        <f>MacReports!Q134</f>
        <v>0</v>
      </c>
      <c r="Q134" s="13" t="str">
        <f>IF(MacReports!K134="Enabled","Apple ID Lock","")</f>
        <v/>
      </c>
      <c r="R134" s="13" t="str">
        <f>IF(MacReports!M134="Remote Lock","Remote Locked","")</f>
        <v/>
      </c>
      <c r="S134" t="str">
        <f t="shared" si="7"/>
        <v>Battery Defect, 0</v>
      </c>
      <c r="T134" t="str">
        <f>_xlfn.XLOOKUP(B134,Disk_Pivot!G:G,Disk_Pivot!N:N)</f>
        <v>Pass, Fail</v>
      </c>
      <c r="U134" t="str">
        <f>IF(T134="Fail",MacReports!O134,"")</f>
        <v/>
      </c>
      <c r="AA134" t="str">
        <f t="shared" si="8"/>
        <v/>
      </c>
    </row>
    <row r="135" spans="1:27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str">
        <f>_xlfn.XLOOKUP(B135,MacReports!B:B,MacReports!E:E,"")</f>
        <v/>
      </c>
      <c r="F135" s="13">
        <f>MacReports!F135</f>
        <v>0</v>
      </c>
      <c r="G135" t="e">
        <f>_xlfn.XLOOKUP(F135,Models!A:A,Models!B:B)</f>
        <v>#N/A</v>
      </c>
      <c r="H135" t="e">
        <f>_xlfn.XLOOKUP(F135,Models!A:A,Models!E:E)</f>
        <v>#N/A</v>
      </c>
      <c r="I135" t="e">
        <f>_xlfn.XLOOKUP(F135,Models!A:A,Models!D:D)</f>
        <v>#N/A</v>
      </c>
      <c r="J135">
        <f>MacReports!G135</f>
        <v>0</v>
      </c>
      <c r="K135" s="59">
        <f>MacReports!H135</f>
        <v>0</v>
      </c>
      <c r="L135" t="str">
        <f t="shared" si="9"/>
        <v>0</v>
      </c>
      <c r="M135" s="15">
        <f>MacReports!I135</f>
        <v>0</v>
      </c>
      <c r="N135" s="16" t="str" cm="1">
        <f t="array" ref="N135">_xlfn.IFS(
   --MacReports!N135&lt;55,"Battery Defect",
  -- MacReports!N135&lt;=69,"Battery D",
  --MacReports!N135&lt;=80,"Battery C",
 --MacReports!N135&gt;80,""
)</f>
        <v>Battery Defect</v>
      </c>
      <c r="O135" s="16" t="str">
        <f>IF(MacReports!J135="Service","Battery Service","")</f>
        <v/>
      </c>
      <c r="P135" s="13">
        <f>MacReports!Q135</f>
        <v>0</v>
      </c>
      <c r="Q135" s="13" t="str">
        <f>IF(MacReports!K135="Enabled","Apple ID Lock","")</f>
        <v/>
      </c>
      <c r="R135" s="13" t="str">
        <f>IF(MacReports!M135="Remote Lock","Remote Locked","")</f>
        <v/>
      </c>
      <c r="S135" t="str">
        <f t="shared" si="7"/>
        <v>Battery Defect, 0</v>
      </c>
      <c r="T135" t="str">
        <f>_xlfn.XLOOKUP(B135,Disk_Pivot!G:G,Disk_Pivot!N:N)</f>
        <v>Pass, Fail</v>
      </c>
      <c r="U135" t="str">
        <f>IF(T135="Fail",MacReports!O135,"")</f>
        <v/>
      </c>
      <c r="AA135" t="str">
        <f t="shared" si="8"/>
        <v/>
      </c>
    </row>
    <row r="136" spans="1:27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str">
        <f>_xlfn.XLOOKUP(B136,MacReports!B:B,MacReports!E:E,"")</f>
        <v/>
      </c>
      <c r="F136" s="13">
        <f>MacReports!F136</f>
        <v>0</v>
      </c>
      <c r="G136" t="e">
        <f>_xlfn.XLOOKUP(F136,Models!A:A,Models!B:B)</f>
        <v>#N/A</v>
      </c>
      <c r="H136" t="e">
        <f>_xlfn.XLOOKUP(F136,Models!A:A,Models!E:E)</f>
        <v>#N/A</v>
      </c>
      <c r="I136" t="e">
        <f>_xlfn.XLOOKUP(F136,Models!A:A,Models!D:D)</f>
        <v>#N/A</v>
      </c>
      <c r="J136">
        <f>MacReports!G136</f>
        <v>0</v>
      </c>
      <c r="K136" s="59">
        <f>MacReports!H136</f>
        <v>0</v>
      </c>
      <c r="L136" t="str">
        <f t="shared" si="9"/>
        <v>0</v>
      </c>
      <c r="M136" s="15">
        <f>MacReports!I136</f>
        <v>0</v>
      </c>
      <c r="N136" s="16" t="str" cm="1">
        <f t="array" ref="N136">_xlfn.IFS(
   --MacReports!N136&lt;55,"Battery Defect",
  -- MacReports!N136&lt;=69,"Battery D",
  --MacReports!N136&lt;=80,"Battery C",
 --MacReports!N136&gt;80,""
)</f>
        <v>Battery Defect</v>
      </c>
      <c r="O136" s="16" t="str">
        <f>IF(MacReports!J136="Service","Battery Service","")</f>
        <v/>
      </c>
      <c r="P136" s="13">
        <f>MacReports!Q136</f>
        <v>0</v>
      </c>
      <c r="Q136" s="13" t="str">
        <f>IF(MacReports!K136="Enabled","Apple ID Lock","")</f>
        <v/>
      </c>
      <c r="R136" s="13" t="str">
        <f>IF(MacReports!M136="Remote Lock","Remote Locked","")</f>
        <v/>
      </c>
      <c r="S136" t="str">
        <f t="shared" si="7"/>
        <v>Battery Defect, 0</v>
      </c>
      <c r="T136" t="str">
        <f>_xlfn.XLOOKUP(B136,Disk_Pivot!G:G,Disk_Pivot!N:N)</f>
        <v>Pass, Fail</v>
      </c>
      <c r="U136" t="str">
        <f>IF(T136="Fail",MacReports!O136,"")</f>
        <v/>
      </c>
      <c r="AA136" t="str">
        <f t="shared" si="8"/>
        <v/>
      </c>
    </row>
    <row r="137" spans="1:27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str">
        <f>_xlfn.XLOOKUP(B137,MacReports!B:B,MacReports!E:E,"")</f>
        <v/>
      </c>
      <c r="F137" s="13">
        <f>MacReports!F137</f>
        <v>0</v>
      </c>
      <c r="G137" t="e">
        <f>_xlfn.XLOOKUP(F137,Models!A:A,Models!B:B)</f>
        <v>#N/A</v>
      </c>
      <c r="H137" t="e">
        <f>_xlfn.XLOOKUP(F137,Models!A:A,Models!E:E)</f>
        <v>#N/A</v>
      </c>
      <c r="I137" t="e">
        <f>_xlfn.XLOOKUP(F137,Models!A:A,Models!D:D)</f>
        <v>#N/A</v>
      </c>
      <c r="J137">
        <f>MacReports!G137</f>
        <v>0</v>
      </c>
      <c r="K137" s="59">
        <f>MacReports!H137</f>
        <v>0</v>
      </c>
      <c r="L137" t="str">
        <f t="shared" si="9"/>
        <v>0</v>
      </c>
      <c r="M137" s="15">
        <f>MacReports!I137</f>
        <v>0</v>
      </c>
      <c r="N137" s="16" t="str" cm="1">
        <f t="array" ref="N137">_xlfn.IFS(
   --MacReports!N137&lt;55,"Battery Defect",
  -- MacReports!N137&lt;=69,"Battery D",
  --MacReports!N137&lt;=80,"Battery C",
 --MacReports!N137&gt;80,""
)</f>
        <v>Battery Defect</v>
      </c>
      <c r="O137" s="16" t="str">
        <f>IF(MacReports!J137="Service","Battery Service","")</f>
        <v/>
      </c>
      <c r="P137" s="13">
        <f>MacReports!Q137</f>
        <v>0</v>
      </c>
      <c r="Q137" s="13" t="str">
        <f>IF(MacReports!K137="Enabled","Apple ID Lock","")</f>
        <v/>
      </c>
      <c r="R137" s="13" t="str">
        <f>IF(MacReports!M137="Remote Lock","Remote Locked","")</f>
        <v/>
      </c>
      <c r="S137" t="str">
        <f t="shared" si="7"/>
        <v>Battery Defect, 0</v>
      </c>
      <c r="T137" t="str">
        <f>_xlfn.XLOOKUP(B137,Disk_Pivot!G:G,Disk_Pivot!N:N)</f>
        <v>Pass, Fail</v>
      </c>
      <c r="U137" t="str">
        <f>IF(T137="Fail",MacReports!O137,"")</f>
        <v/>
      </c>
      <c r="AA137" t="str">
        <f t="shared" si="8"/>
        <v/>
      </c>
    </row>
    <row r="138" spans="1:27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str">
        <f>_xlfn.XLOOKUP(B138,MacReports!B:B,MacReports!E:E,"")</f>
        <v/>
      </c>
      <c r="F138" s="13">
        <f>MacReports!F138</f>
        <v>0</v>
      </c>
      <c r="G138" t="e">
        <f>_xlfn.XLOOKUP(F138,Models!A:A,Models!B:B)</f>
        <v>#N/A</v>
      </c>
      <c r="H138" t="e">
        <f>_xlfn.XLOOKUP(F138,Models!A:A,Models!E:E)</f>
        <v>#N/A</v>
      </c>
      <c r="I138" t="e">
        <f>_xlfn.XLOOKUP(F138,Models!A:A,Models!D:D)</f>
        <v>#N/A</v>
      </c>
      <c r="J138">
        <f>MacReports!G138</f>
        <v>0</v>
      </c>
      <c r="K138" s="59">
        <f>MacReports!H138</f>
        <v>0</v>
      </c>
      <c r="L138" t="str">
        <f t="shared" si="9"/>
        <v>0</v>
      </c>
      <c r="M138" s="15">
        <f>MacReports!I138</f>
        <v>0</v>
      </c>
      <c r="N138" s="16" t="str" cm="1">
        <f t="array" ref="N138">_xlfn.IFS(
   --MacReports!N138&lt;55,"Battery Defect",
  -- MacReports!N138&lt;=69,"Battery D",
  --MacReports!N138&lt;=80,"Battery C",
 --MacReports!N138&gt;80,""
)</f>
        <v>Battery Defect</v>
      </c>
      <c r="O138" s="16" t="str">
        <f>IF(MacReports!J138="Service","Battery Service","")</f>
        <v/>
      </c>
      <c r="P138" s="13">
        <f>MacReports!Q138</f>
        <v>0</v>
      </c>
      <c r="Q138" s="13" t="str">
        <f>IF(MacReports!K138="Enabled","Apple ID Lock","")</f>
        <v/>
      </c>
      <c r="R138" s="13" t="str">
        <f>IF(MacReports!M138="Remote Lock","Remote Locked","")</f>
        <v/>
      </c>
      <c r="S138" t="str">
        <f t="shared" si="7"/>
        <v>Battery Defect, 0</v>
      </c>
      <c r="T138" t="str">
        <f>_xlfn.XLOOKUP(B138,Disk_Pivot!G:G,Disk_Pivot!N:N)</f>
        <v>Pass, Fail</v>
      </c>
      <c r="U138" t="str">
        <f>IF(T138="Fail",MacReports!O138,"")</f>
        <v/>
      </c>
      <c r="AA138" t="str">
        <f t="shared" si="8"/>
        <v/>
      </c>
    </row>
    <row r="139" spans="1:27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str">
        <f>_xlfn.XLOOKUP(B139,MacReports!B:B,MacReports!E:E,"")</f>
        <v/>
      </c>
      <c r="F139" s="13">
        <f>MacReports!F139</f>
        <v>0</v>
      </c>
      <c r="G139" t="e">
        <f>_xlfn.XLOOKUP(F139,Models!A:A,Models!B:B)</f>
        <v>#N/A</v>
      </c>
      <c r="H139" t="e">
        <f>_xlfn.XLOOKUP(F139,Models!A:A,Models!E:E)</f>
        <v>#N/A</v>
      </c>
      <c r="I139" t="e">
        <f>_xlfn.XLOOKUP(F139,Models!A:A,Models!D:D)</f>
        <v>#N/A</v>
      </c>
      <c r="J139">
        <f>MacReports!G139</f>
        <v>0</v>
      </c>
      <c r="K139" s="59">
        <f>MacReports!H139</f>
        <v>0</v>
      </c>
      <c r="L139" t="str">
        <f t="shared" si="9"/>
        <v>0</v>
      </c>
      <c r="M139" s="15">
        <f>MacReports!I139</f>
        <v>0</v>
      </c>
      <c r="N139" s="16" t="str" cm="1">
        <f t="array" ref="N139">_xlfn.IFS(
   --MacReports!N139&lt;55,"Battery Defect",
  -- MacReports!N139&lt;=69,"Battery D",
  --MacReports!N139&lt;=80,"Battery C",
 --MacReports!N139&gt;80,""
)</f>
        <v>Battery Defect</v>
      </c>
      <c r="O139" s="16" t="str">
        <f>IF(MacReports!J139="Service","Battery Service","")</f>
        <v/>
      </c>
      <c r="P139" s="13">
        <f>MacReports!Q139</f>
        <v>0</v>
      </c>
      <c r="Q139" s="13" t="str">
        <f>IF(MacReports!K139="Enabled","Apple ID Lock","")</f>
        <v/>
      </c>
      <c r="R139" s="13" t="str">
        <f>IF(MacReports!M139="Remote Lock","Remote Locked","")</f>
        <v/>
      </c>
      <c r="S139" t="str">
        <f t="shared" si="7"/>
        <v>Battery Defect, 0</v>
      </c>
      <c r="T139" t="str">
        <f>_xlfn.XLOOKUP(B139,Disk_Pivot!G:G,Disk_Pivot!N:N)</f>
        <v>Pass, Fail</v>
      </c>
      <c r="U139" t="str">
        <f>IF(T139="Fail",MacReports!O139,"")</f>
        <v/>
      </c>
      <c r="AA139" t="str">
        <f t="shared" si="8"/>
        <v/>
      </c>
    </row>
    <row r="140" spans="1:27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str">
        <f>_xlfn.XLOOKUP(B140,MacReports!B:B,MacReports!E:E,"")</f>
        <v/>
      </c>
      <c r="F140" s="13">
        <f>MacReports!F140</f>
        <v>0</v>
      </c>
      <c r="G140" t="e">
        <f>_xlfn.XLOOKUP(F140,Models!A:A,Models!B:B)</f>
        <v>#N/A</v>
      </c>
      <c r="H140" t="e">
        <f>_xlfn.XLOOKUP(F140,Models!A:A,Models!E:E)</f>
        <v>#N/A</v>
      </c>
      <c r="I140" t="e">
        <f>_xlfn.XLOOKUP(F140,Models!A:A,Models!D:D)</f>
        <v>#N/A</v>
      </c>
      <c r="J140">
        <f>MacReports!G140</f>
        <v>0</v>
      </c>
      <c r="K140" s="59">
        <f>MacReports!H140</f>
        <v>0</v>
      </c>
      <c r="L140" t="str">
        <f t="shared" si="9"/>
        <v>0</v>
      </c>
      <c r="M140" s="15">
        <f>MacReports!I140</f>
        <v>0</v>
      </c>
      <c r="N140" s="16" t="str" cm="1">
        <f t="array" ref="N140">_xlfn.IFS(
   --MacReports!N140&lt;55,"Battery Defect",
  -- MacReports!N140&lt;=69,"Battery D",
  --MacReports!N140&lt;=80,"Battery C",
 --MacReports!N140&gt;80,""
)</f>
        <v>Battery Defect</v>
      </c>
      <c r="O140" s="16" t="str">
        <f>IF(MacReports!J140="Service","Battery Service","")</f>
        <v/>
      </c>
      <c r="P140" s="13">
        <f>MacReports!Q140</f>
        <v>0</v>
      </c>
      <c r="Q140" s="13" t="str">
        <f>IF(MacReports!K140="Enabled","Apple ID Lock","")</f>
        <v/>
      </c>
      <c r="R140" s="13" t="str">
        <f>IF(MacReports!M140="Remote Lock","Remote Locked","")</f>
        <v/>
      </c>
      <c r="S140" t="str">
        <f t="shared" si="7"/>
        <v>Battery Defect, 0</v>
      </c>
      <c r="T140" t="str">
        <f>_xlfn.XLOOKUP(B140,Disk_Pivot!G:G,Disk_Pivot!N:N)</f>
        <v>Pass, Fail</v>
      </c>
      <c r="U140" t="str">
        <f>IF(T140="Fail",MacReports!O140,"")</f>
        <v/>
      </c>
      <c r="AA140" t="str">
        <f t="shared" si="8"/>
        <v/>
      </c>
    </row>
    <row r="141" spans="1:27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str">
        <f>_xlfn.XLOOKUP(B141,MacReports!B:B,MacReports!E:E,"")</f>
        <v/>
      </c>
      <c r="F141" s="13">
        <f>MacReports!F141</f>
        <v>0</v>
      </c>
      <c r="G141" t="e">
        <f>_xlfn.XLOOKUP(F141,Models!A:A,Models!B:B)</f>
        <v>#N/A</v>
      </c>
      <c r="H141" t="e">
        <f>_xlfn.XLOOKUP(F141,Models!A:A,Models!E:E)</f>
        <v>#N/A</v>
      </c>
      <c r="I141" t="e">
        <f>_xlfn.XLOOKUP(F141,Models!A:A,Models!D:D)</f>
        <v>#N/A</v>
      </c>
      <c r="J141">
        <f>MacReports!G141</f>
        <v>0</v>
      </c>
      <c r="K141" s="59">
        <f>MacReports!H141</f>
        <v>0</v>
      </c>
      <c r="L141" t="str">
        <f t="shared" si="9"/>
        <v>0</v>
      </c>
      <c r="M141" s="15">
        <f>MacReports!I141</f>
        <v>0</v>
      </c>
      <c r="N141" s="16" t="str" cm="1">
        <f t="array" ref="N141">_xlfn.IFS(
   --MacReports!N141&lt;55,"Battery Defect",
  -- MacReports!N141&lt;=69,"Battery D",
  --MacReports!N141&lt;=80,"Battery C",
 --MacReports!N141&gt;80,""
)</f>
        <v>Battery Defect</v>
      </c>
      <c r="O141" s="16" t="str">
        <f>IF(MacReports!J141="Service","Battery Service","")</f>
        <v/>
      </c>
      <c r="P141" s="13">
        <f>MacReports!Q141</f>
        <v>0</v>
      </c>
      <c r="Q141" s="13" t="str">
        <f>IF(MacReports!K141="Enabled","Apple ID Lock","")</f>
        <v/>
      </c>
      <c r="R141" s="13" t="str">
        <f>IF(MacReports!M141="Remote Lock","Remote Locked","")</f>
        <v/>
      </c>
      <c r="S141" t="str">
        <f t="shared" si="7"/>
        <v>Battery Defect, 0</v>
      </c>
      <c r="T141" t="str">
        <f>_xlfn.XLOOKUP(B141,Disk_Pivot!G:G,Disk_Pivot!N:N)</f>
        <v>Pass, Fail</v>
      </c>
      <c r="U141" t="str">
        <f>IF(T141="Fail",MacReports!O141,"")</f>
        <v/>
      </c>
      <c r="AA141" t="str">
        <f t="shared" si="8"/>
        <v/>
      </c>
    </row>
    <row r="142" spans="1:27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str">
        <f>_xlfn.XLOOKUP(B142,MacReports!B:B,MacReports!E:E,"")</f>
        <v/>
      </c>
      <c r="F142" s="13">
        <f>MacReports!F142</f>
        <v>0</v>
      </c>
      <c r="G142" t="e">
        <f>_xlfn.XLOOKUP(F142,Models!A:A,Models!B:B)</f>
        <v>#N/A</v>
      </c>
      <c r="H142" t="e">
        <f>_xlfn.XLOOKUP(F142,Models!A:A,Models!E:E)</f>
        <v>#N/A</v>
      </c>
      <c r="I142" t="e">
        <f>_xlfn.XLOOKUP(F142,Models!A:A,Models!D:D)</f>
        <v>#N/A</v>
      </c>
      <c r="J142">
        <f>MacReports!G142</f>
        <v>0</v>
      </c>
      <c r="K142" s="59">
        <f>MacReports!H142</f>
        <v>0</v>
      </c>
      <c r="L142" t="str">
        <f t="shared" si="9"/>
        <v>0</v>
      </c>
      <c r="M142" s="15">
        <f>MacReports!I142</f>
        <v>0</v>
      </c>
      <c r="N142" s="16" t="str" cm="1">
        <f t="array" ref="N142">_xlfn.IFS(
   --MacReports!N142&lt;55,"Battery Defect",
  -- MacReports!N142&lt;=69,"Battery D",
  --MacReports!N142&lt;=80,"Battery C",
 --MacReports!N142&gt;80,""
)</f>
        <v>Battery Defect</v>
      </c>
      <c r="O142" s="16" t="str">
        <f>IF(MacReports!J142="Service","Battery Service","")</f>
        <v/>
      </c>
      <c r="P142" s="13">
        <f>MacReports!Q142</f>
        <v>0</v>
      </c>
      <c r="Q142" s="13" t="str">
        <f>IF(MacReports!K142="Enabled","Apple ID Lock","")</f>
        <v/>
      </c>
      <c r="R142" s="13" t="str">
        <f>IF(MacReports!M142="Remote Lock","Remote Locked","")</f>
        <v/>
      </c>
      <c r="S142" t="str">
        <f t="shared" si="7"/>
        <v>Battery Defect, 0</v>
      </c>
      <c r="T142" t="str">
        <f>_xlfn.XLOOKUP(B142,Disk_Pivot!G:G,Disk_Pivot!N:N)</f>
        <v>Pass, Fail</v>
      </c>
      <c r="U142" t="str">
        <f>IF(T142="Fail",MacReports!O142,"")</f>
        <v/>
      </c>
      <c r="AA142" t="str">
        <f t="shared" si="8"/>
        <v/>
      </c>
    </row>
    <row r="143" spans="1:27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str">
        <f>_xlfn.XLOOKUP(B143,MacReports!B:B,MacReports!E:E,"")</f>
        <v/>
      </c>
      <c r="F143" s="13">
        <f>MacReports!F143</f>
        <v>0</v>
      </c>
      <c r="G143" t="e">
        <f>_xlfn.XLOOKUP(F143,Models!A:A,Models!B:B)</f>
        <v>#N/A</v>
      </c>
      <c r="H143" t="e">
        <f>_xlfn.XLOOKUP(F143,Models!A:A,Models!E:E)</f>
        <v>#N/A</v>
      </c>
      <c r="I143" t="e">
        <f>_xlfn.XLOOKUP(F143,Models!A:A,Models!D:D)</f>
        <v>#N/A</v>
      </c>
      <c r="J143">
        <f>MacReports!G143</f>
        <v>0</v>
      </c>
      <c r="K143" s="59">
        <f>MacReports!H143</f>
        <v>0</v>
      </c>
      <c r="L143" t="str">
        <f t="shared" si="9"/>
        <v>0</v>
      </c>
      <c r="M143" s="15">
        <f>MacReports!I143</f>
        <v>0</v>
      </c>
      <c r="N143" s="16" t="str" cm="1">
        <f t="array" ref="N143">_xlfn.IFS(
   --MacReports!N143&lt;55,"Battery Defect",
  -- MacReports!N143&lt;=69,"Battery D",
  --MacReports!N143&lt;=80,"Battery C",
 --MacReports!N143&gt;80,""
)</f>
        <v>Battery Defect</v>
      </c>
      <c r="O143" s="16" t="str">
        <f>IF(MacReports!J143="Service","Battery Service","")</f>
        <v/>
      </c>
      <c r="P143" s="13">
        <f>MacReports!Q143</f>
        <v>0</v>
      </c>
      <c r="Q143" s="13" t="str">
        <f>IF(MacReports!K143="Enabled","Apple ID Lock","")</f>
        <v/>
      </c>
      <c r="R143" s="13" t="str">
        <f>IF(MacReports!M143="Remote Lock","Remote Locked","")</f>
        <v/>
      </c>
      <c r="S143" t="str">
        <f t="shared" si="7"/>
        <v>Battery Defect, 0</v>
      </c>
      <c r="T143" t="str">
        <f>_xlfn.XLOOKUP(B143,Disk_Pivot!G:G,Disk_Pivot!N:N)</f>
        <v>Pass, Fail</v>
      </c>
      <c r="U143" t="str">
        <f>IF(T143="Fail",MacReports!O143,"")</f>
        <v/>
      </c>
      <c r="AA143" t="str">
        <f t="shared" si="8"/>
        <v/>
      </c>
    </row>
    <row r="144" spans="1:27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str">
        <f>_xlfn.XLOOKUP(B144,MacReports!B:B,MacReports!E:E,"")</f>
        <v/>
      </c>
      <c r="F144" s="13">
        <f>MacReports!F144</f>
        <v>0</v>
      </c>
      <c r="G144" t="e">
        <f>_xlfn.XLOOKUP(F144,Models!A:A,Models!B:B)</f>
        <v>#N/A</v>
      </c>
      <c r="H144" t="e">
        <f>_xlfn.XLOOKUP(F144,Models!A:A,Models!E:E)</f>
        <v>#N/A</v>
      </c>
      <c r="I144" t="e">
        <f>_xlfn.XLOOKUP(F144,Models!A:A,Models!D:D)</f>
        <v>#N/A</v>
      </c>
      <c r="J144">
        <f>MacReports!G144</f>
        <v>0</v>
      </c>
      <c r="K144" s="59">
        <f>MacReports!H144</f>
        <v>0</v>
      </c>
      <c r="L144" t="str">
        <f t="shared" si="9"/>
        <v>0</v>
      </c>
      <c r="M144" s="15">
        <f>MacReports!I144</f>
        <v>0</v>
      </c>
      <c r="N144" s="16" t="str" cm="1">
        <f t="array" ref="N144">_xlfn.IFS(
   --MacReports!N144&lt;55,"Battery Defect",
  -- MacReports!N144&lt;=69,"Battery D",
  --MacReports!N144&lt;=80,"Battery C",
 --MacReports!N144&gt;80,""
)</f>
        <v>Battery Defect</v>
      </c>
      <c r="O144" s="16" t="str">
        <f>IF(MacReports!J144="Service","Battery Service","")</f>
        <v/>
      </c>
      <c r="P144" s="13">
        <f>MacReports!Q144</f>
        <v>0</v>
      </c>
      <c r="Q144" s="13" t="str">
        <f>IF(MacReports!K144="Enabled","Apple ID Lock","")</f>
        <v/>
      </c>
      <c r="R144" s="13" t="str">
        <f>IF(MacReports!M144="Remote Lock","Remote Locked","")</f>
        <v/>
      </c>
      <c r="S144" t="str">
        <f t="shared" si="7"/>
        <v>Battery Defect, 0</v>
      </c>
      <c r="T144" t="str">
        <f>_xlfn.XLOOKUP(B144,Disk_Pivot!G:G,Disk_Pivot!N:N)</f>
        <v>Pass, Fail</v>
      </c>
      <c r="U144" t="str">
        <f>IF(T144="Fail",MacReports!O144,"")</f>
        <v/>
      </c>
      <c r="AA144" t="str">
        <f t="shared" si="8"/>
        <v/>
      </c>
    </row>
    <row r="145" spans="1:27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str">
        <f>_xlfn.XLOOKUP(B145,MacReports!B:B,MacReports!E:E,"")</f>
        <v/>
      </c>
      <c r="F145" s="13">
        <f>MacReports!F145</f>
        <v>0</v>
      </c>
      <c r="G145" t="e">
        <f>_xlfn.XLOOKUP(F145,Models!A:A,Models!B:B)</f>
        <v>#N/A</v>
      </c>
      <c r="H145" t="e">
        <f>_xlfn.XLOOKUP(F145,Models!A:A,Models!E:E)</f>
        <v>#N/A</v>
      </c>
      <c r="I145" t="e">
        <f>_xlfn.XLOOKUP(F145,Models!A:A,Models!D:D)</f>
        <v>#N/A</v>
      </c>
      <c r="J145">
        <f>MacReports!G145</f>
        <v>0</v>
      </c>
      <c r="K145" s="59">
        <f>MacReports!H145</f>
        <v>0</v>
      </c>
      <c r="L145" t="str">
        <f t="shared" si="9"/>
        <v>0</v>
      </c>
      <c r="M145" s="15">
        <f>MacReports!I145</f>
        <v>0</v>
      </c>
      <c r="N145" s="16" t="str" cm="1">
        <f t="array" ref="N145">_xlfn.IFS(
   --MacReports!N145&lt;55,"Battery Defect",
  -- MacReports!N145&lt;=69,"Battery D",
  --MacReports!N145&lt;=80,"Battery C",
 --MacReports!N145&gt;80,""
)</f>
        <v>Battery Defect</v>
      </c>
      <c r="O145" s="16" t="str">
        <f>IF(MacReports!J145="Service","Battery Service","")</f>
        <v/>
      </c>
      <c r="P145" s="13">
        <f>MacReports!Q145</f>
        <v>0</v>
      </c>
      <c r="Q145" s="13" t="str">
        <f>IF(MacReports!K145="Enabled","Apple ID Lock","")</f>
        <v/>
      </c>
      <c r="R145" s="13" t="str">
        <f>IF(MacReports!M145="Remote Lock","Remote Locked","")</f>
        <v/>
      </c>
      <c r="S145" t="str">
        <f t="shared" si="7"/>
        <v>Battery Defect, 0</v>
      </c>
      <c r="T145" t="str">
        <f>_xlfn.XLOOKUP(B145,Disk_Pivot!G:G,Disk_Pivot!N:N)</f>
        <v>Pass, Fail</v>
      </c>
      <c r="U145" t="str">
        <f>IF(T145="Fail",MacReports!O145,"")</f>
        <v/>
      </c>
      <c r="AA145" t="str">
        <f t="shared" si="8"/>
        <v/>
      </c>
    </row>
    <row r="146" spans="1:27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str">
        <f>_xlfn.XLOOKUP(B146,MacReports!B:B,MacReports!E:E,"")</f>
        <v/>
      </c>
      <c r="F146" s="13">
        <f>MacReports!F146</f>
        <v>0</v>
      </c>
      <c r="G146" t="e">
        <f>_xlfn.XLOOKUP(F146,Models!A:A,Models!B:B)</f>
        <v>#N/A</v>
      </c>
      <c r="H146" t="e">
        <f>_xlfn.XLOOKUP(F146,Models!A:A,Models!E:E)</f>
        <v>#N/A</v>
      </c>
      <c r="I146" t="e">
        <f>_xlfn.XLOOKUP(F146,Models!A:A,Models!D:D)</f>
        <v>#N/A</v>
      </c>
      <c r="J146">
        <f>MacReports!G146</f>
        <v>0</v>
      </c>
      <c r="K146" s="59">
        <f>MacReports!H146</f>
        <v>0</v>
      </c>
      <c r="L146" t="str">
        <f t="shared" si="9"/>
        <v>0</v>
      </c>
      <c r="M146" s="15">
        <f>MacReports!I146</f>
        <v>0</v>
      </c>
      <c r="N146" s="16" t="str" cm="1">
        <f t="array" ref="N146">_xlfn.IFS(
   --MacReports!N146&lt;55,"Battery Defect",
  -- MacReports!N146&lt;=69,"Battery D",
  --MacReports!N146&lt;=80,"Battery C",
 --MacReports!N146&gt;80,""
)</f>
        <v>Battery Defect</v>
      </c>
      <c r="O146" s="16" t="str">
        <f>IF(MacReports!J146="Service","Battery Service","")</f>
        <v/>
      </c>
      <c r="P146" s="13">
        <f>MacReports!Q146</f>
        <v>0</v>
      </c>
      <c r="Q146" s="13" t="str">
        <f>IF(MacReports!K146="Enabled","Apple ID Lock","")</f>
        <v/>
      </c>
      <c r="R146" s="13" t="str">
        <f>IF(MacReports!M146="Remote Lock","Remote Locked","")</f>
        <v/>
      </c>
      <c r="S146" t="str">
        <f t="shared" si="7"/>
        <v>Battery Defect, 0</v>
      </c>
      <c r="T146" t="str">
        <f>_xlfn.XLOOKUP(B146,Disk_Pivot!G:G,Disk_Pivot!N:N)</f>
        <v>Pass, Fail</v>
      </c>
      <c r="U146" t="str">
        <f>IF(T146="Fail",MacReports!O146,"")</f>
        <v/>
      </c>
      <c r="AA146" t="str">
        <f t="shared" si="8"/>
        <v/>
      </c>
    </row>
    <row r="147" spans="1:27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str">
        <f>_xlfn.XLOOKUP(B147,MacReports!B:B,MacReports!E:E,"")</f>
        <v/>
      </c>
      <c r="F147" s="13">
        <f>MacReports!F147</f>
        <v>0</v>
      </c>
      <c r="G147" t="e">
        <f>_xlfn.XLOOKUP(F147,Models!A:A,Models!B:B)</f>
        <v>#N/A</v>
      </c>
      <c r="H147" t="e">
        <f>_xlfn.XLOOKUP(F147,Models!A:A,Models!E:E)</f>
        <v>#N/A</v>
      </c>
      <c r="I147" t="e">
        <f>_xlfn.XLOOKUP(F147,Models!A:A,Models!D:D)</f>
        <v>#N/A</v>
      </c>
      <c r="J147">
        <f>MacReports!G147</f>
        <v>0</v>
      </c>
      <c r="K147" s="59">
        <f>MacReports!H147</f>
        <v>0</v>
      </c>
      <c r="L147" t="str">
        <f t="shared" si="9"/>
        <v>0</v>
      </c>
      <c r="M147" s="15">
        <f>MacReports!I147</f>
        <v>0</v>
      </c>
      <c r="N147" s="16" t="str" cm="1">
        <f t="array" ref="N147">_xlfn.IFS(
   --MacReports!N147&lt;55,"Battery Defect",
  -- MacReports!N147&lt;=69,"Battery D",
  --MacReports!N147&lt;=80,"Battery C",
 --MacReports!N147&gt;80,""
)</f>
        <v>Battery Defect</v>
      </c>
      <c r="O147" s="16" t="str">
        <f>IF(MacReports!J147="Service","Battery Service","")</f>
        <v/>
      </c>
      <c r="P147" s="13">
        <f>MacReports!Q147</f>
        <v>0</v>
      </c>
      <c r="Q147" s="13" t="str">
        <f>IF(MacReports!K147="Enabled","Apple ID Lock","")</f>
        <v/>
      </c>
      <c r="R147" s="13" t="str">
        <f>IF(MacReports!M147="Remote Lock","Remote Locked","")</f>
        <v/>
      </c>
      <c r="S147" t="str">
        <f t="shared" si="7"/>
        <v>Battery Defect, 0</v>
      </c>
      <c r="T147" t="str">
        <f>_xlfn.XLOOKUP(B147,Disk_Pivot!G:G,Disk_Pivot!N:N)</f>
        <v>Pass, Fail</v>
      </c>
      <c r="U147" t="str">
        <f>IF(T147="Fail",MacReports!O147,"")</f>
        <v/>
      </c>
      <c r="AA147" t="str">
        <f t="shared" si="8"/>
        <v/>
      </c>
    </row>
    <row r="148" spans="1:27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str">
        <f>_xlfn.XLOOKUP(B148,MacReports!B:B,MacReports!E:E,"")</f>
        <v/>
      </c>
      <c r="F148" s="13">
        <f>MacReports!F148</f>
        <v>0</v>
      </c>
      <c r="G148" t="e">
        <f>_xlfn.XLOOKUP(F148,Models!A:A,Models!B:B)</f>
        <v>#N/A</v>
      </c>
      <c r="H148" t="e">
        <f>_xlfn.XLOOKUP(F148,Models!A:A,Models!E:E)</f>
        <v>#N/A</v>
      </c>
      <c r="I148" t="e">
        <f>_xlfn.XLOOKUP(F148,Models!A:A,Models!D:D)</f>
        <v>#N/A</v>
      </c>
      <c r="J148">
        <f>MacReports!G148</f>
        <v>0</v>
      </c>
      <c r="K148" s="59">
        <f>MacReports!H148</f>
        <v>0</v>
      </c>
      <c r="L148" t="str">
        <f t="shared" si="9"/>
        <v>0</v>
      </c>
      <c r="M148" s="15">
        <f>MacReports!I148</f>
        <v>0</v>
      </c>
      <c r="N148" s="16" t="str" cm="1">
        <f t="array" ref="N148">_xlfn.IFS(
   --MacReports!N148&lt;55,"Battery Defect",
  -- MacReports!N148&lt;=69,"Battery D",
  --MacReports!N148&lt;=80,"Battery C",
 --MacReports!N148&gt;80,""
)</f>
        <v>Battery Defect</v>
      </c>
      <c r="O148" s="16" t="str">
        <f>IF(MacReports!J148="Service","Battery Service","")</f>
        <v/>
      </c>
      <c r="P148" s="13">
        <f>MacReports!Q148</f>
        <v>0</v>
      </c>
      <c r="Q148" s="13" t="str">
        <f>IF(MacReports!K148="Enabled","Apple ID Lock","")</f>
        <v/>
      </c>
      <c r="R148" s="13" t="str">
        <f>IF(MacReports!M148="Remote Lock","Remote Locked","")</f>
        <v/>
      </c>
      <c r="S148" t="str">
        <f t="shared" si="7"/>
        <v>Battery Defect, 0</v>
      </c>
      <c r="T148" t="str">
        <f>_xlfn.XLOOKUP(B148,Disk_Pivot!G:G,Disk_Pivot!N:N)</f>
        <v>Pass, Fail</v>
      </c>
      <c r="U148" t="str">
        <f>IF(T148="Fail",MacReports!O148,"")</f>
        <v/>
      </c>
      <c r="AA148" t="str">
        <f t="shared" si="8"/>
        <v/>
      </c>
    </row>
    <row r="149" spans="1:27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str">
        <f>_xlfn.XLOOKUP(B149,MacReports!B:B,MacReports!E:E,"")</f>
        <v/>
      </c>
      <c r="F149" s="13">
        <f>MacReports!F149</f>
        <v>0</v>
      </c>
      <c r="G149" t="e">
        <f>_xlfn.XLOOKUP(F149,Models!A:A,Models!B:B)</f>
        <v>#N/A</v>
      </c>
      <c r="H149" t="e">
        <f>_xlfn.XLOOKUP(F149,Models!A:A,Models!E:E)</f>
        <v>#N/A</v>
      </c>
      <c r="I149" t="e">
        <f>_xlfn.XLOOKUP(F149,Models!A:A,Models!D:D)</f>
        <v>#N/A</v>
      </c>
      <c r="J149">
        <f>MacReports!G149</f>
        <v>0</v>
      </c>
      <c r="K149" s="59">
        <f>MacReports!H149</f>
        <v>0</v>
      </c>
      <c r="L149" t="str">
        <f t="shared" si="9"/>
        <v>0</v>
      </c>
      <c r="M149" s="15">
        <f>MacReports!I149</f>
        <v>0</v>
      </c>
      <c r="N149" s="16" t="str" cm="1">
        <f t="array" ref="N149">_xlfn.IFS(
   --MacReports!N149&lt;55,"Battery Defect",
  -- MacReports!N149&lt;=69,"Battery D",
  --MacReports!N149&lt;=80,"Battery C",
 --MacReports!N149&gt;80,""
)</f>
        <v>Battery Defect</v>
      </c>
      <c r="O149" s="16" t="str">
        <f>IF(MacReports!J149="Service","Battery Service","")</f>
        <v/>
      </c>
      <c r="P149" s="13">
        <f>MacReports!Q149</f>
        <v>0</v>
      </c>
      <c r="Q149" s="13" t="str">
        <f>IF(MacReports!K149="Enabled","Apple ID Lock","")</f>
        <v/>
      </c>
      <c r="R149" s="13" t="str">
        <f>IF(MacReports!M149="Remote Lock","Remote Locked","")</f>
        <v/>
      </c>
      <c r="S149" t="str">
        <f t="shared" si="7"/>
        <v>Battery Defect, 0</v>
      </c>
      <c r="T149" t="str">
        <f>_xlfn.XLOOKUP(B149,Disk_Pivot!G:G,Disk_Pivot!N:N)</f>
        <v>Pass, Fail</v>
      </c>
      <c r="U149" t="str">
        <f>IF(T149="Fail",MacReports!O149,"")</f>
        <v/>
      </c>
      <c r="AA149" t="str">
        <f t="shared" si="8"/>
        <v/>
      </c>
    </row>
    <row r="150" spans="1:27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str">
        <f>_xlfn.XLOOKUP(B150,MacReports!B:B,MacReports!E:E,"")</f>
        <v/>
      </c>
      <c r="F150" s="13">
        <f>MacReports!F150</f>
        <v>0</v>
      </c>
      <c r="G150" t="e">
        <f>_xlfn.XLOOKUP(F150,Models!A:A,Models!B:B)</f>
        <v>#N/A</v>
      </c>
      <c r="H150" t="e">
        <f>_xlfn.XLOOKUP(F150,Models!A:A,Models!E:E)</f>
        <v>#N/A</v>
      </c>
      <c r="I150" t="e">
        <f>_xlfn.XLOOKUP(F150,Models!A:A,Models!D:D)</f>
        <v>#N/A</v>
      </c>
      <c r="J150">
        <f>MacReports!G150</f>
        <v>0</v>
      </c>
      <c r="K150" s="59">
        <f>MacReports!H150</f>
        <v>0</v>
      </c>
      <c r="L150" t="str">
        <f t="shared" si="9"/>
        <v>0</v>
      </c>
      <c r="M150" s="15">
        <f>MacReports!I150</f>
        <v>0</v>
      </c>
      <c r="N150" s="16" t="str" cm="1">
        <f t="array" ref="N150">_xlfn.IFS(
   --MacReports!N150&lt;55,"Battery Defect",
  -- MacReports!N150&lt;=69,"Battery D",
  --MacReports!N150&lt;=80,"Battery C",
 --MacReports!N150&gt;80,""
)</f>
        <v>Battery Defect</v>
      </c>
      <c r="O150" s="16" t="str">
        <f>IF(MacReports!J150="Service","Battery Service","")</f>
        <v/>
      </c>
      <c r="P150" s="13">
        <f>MacReports!Q150</f>
        <v>0</v>
      </c>
      <c r="Q150" s="13" t="str">
        <f>IF(MacReports!K150="Enabled","Apple ID Lock","")</f>
        <v/>
      </c>
      <c r="R150" s="13" t="str">
        <f>IF(MacReports!M150="Remote Lock","Remote Locked","")</f>
        <v/>
      </c>
      <c r="S150" t="str">
        <f t="shared" si="7"/>
        <v>Battery Defect, 0</v>
      </c>
      <c r="T150" t="str">
        <f>_xlfn.XLOOKUP(B150,Disk_Pivot!G:G,Disk_Pivot!N:N)</f>
        <v>Pass, Fail</v>
      </c>
      <c r="U150" t="str">
        <f>IF(T150="Fail",MacReports!O150,"")</f>
        <v/>
      </c>
      <c r="AA150" t="str">
        <f t="shared" si="8"/>
        <v/>
      </c>
    </row>
    <row r="151" spans="1:27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str">
        <f>_xlfn.XLOOKUP(B151,MacReports!B:B,MacReports!E:E,"")</f>
        <v/>
      </c>
      <c r="F151" s="13">
        <f>MacReports!F151</f>
        <v>0</v>
      </c>
      <c r="G151" t="e">
        <f>_xlfn.XLOOKUP(F151,Models!A:A,Models!B:B)</f>
        <v>#N/A</v>
      </c>
      <c r="H151" t="e">
        <f>_xlfn.XLOOKUP(F151,Models!A:A,Models!E:E)</f>
        <v>#N/A</v>
      </c>
      <c r="I151" t="e">
        <f>_xlfn.XLOOKUP(F151,Models!A:A,Models!D:D)</f>
        <v>#N/A</v>
      </c>
      <c r="J151">
        <f>MacReports!G151</f>
        <v>0</v>
      </c>
      <c r="K151" s="59">
        <f>MacReports!H151</f>
        <v>0</v>
      </c>
      <c r="L151" t="str">
        <f t="shared" si="9"/>
        <v>0</v>
      </c>
      <c r="M151" s="15">
        <f>MacReports!I151</f>
        <v>0</v>
      </c>
      <c r="N151" s="16" t="str" cm="1">
        <f t="array" ref="N151">_xlfn.IFS(
   --MacReports!N151&lt;55,"Battery Defect",
  -- MacReports!N151&lt;=69,"Battery D",
  --MacReports!N151&lt;=80,"Battery C",
 --MacReports!N151&gt;80,""
)</f>
        <v>Battery Defect</v>
      </c>
      <c r="O151" s="16" t="str">
        <f>IF(MacReports!J151="Service","Battery Service","")</f>
        <v/>
      </c>
      <c r="P151" s="13">
        <f>MacReports!Q151</f>
        <v>0</v>
      </c>
      <c r="Q151" s="13" t="str">
        <f>IF(MacReports!K151="Enabled","Apple ID Lock","")</f>
        <v/>
      </c>
      <c r="R151" s="13" t="str">
        <f>IF(MacReports!M151="Remote Lock","Remote Locked","")</f>
        <v/>
      </c>
      <c r="S151" t="str">
        <f t="shared" si="7"/>
        <v>Battery Defect, 0</v>
      </c>
      <c r="T151" t="str">
        <f>_xlfn.XLOOKUP(B151,Disk_Pivot!G:G,Disk_Pivot!N:N)</f>
        <v>Pass, Fail</v>
      </c>
      <c r="U151" t="str">
        <f>IF(T151="Fail",MacReports!O151,"")</f>
        <v/>
      </c>
      <c r="AA151" t="str">
        <f t="shared" si="8"/>
        <v/>
      </c>
    </row>
    <row r="152" spans="1:27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str">
        <f>_xlfn.XLOOKUP(B152,MacReports!B:B,MacReports!E:E,"")</f>
        <v/>
      </c>
      <c r="F152" s="13">
        <f>MacReports!F152</f>
        <v>0</v>
      </c>
      <c r="G152" t="e">
        <f>_xlfn.XLOOKUP(F152,Models!A:A,Models!B:B)</f>
        <v>#N/A</v>
      </c>
      <c r="H152" t="e">
        <f>_xlfn.XLOOKUP(F152,Models!A:A,Models!E:E)</f>
        <v>#N/A</v>
      </c>
      <c r="I152" t="e">
        <f>_xlfn.XLOOKUP(F152,Models!A:A,Models!D:D)</f>
        <v>#N/A</v>
      </c>
      <c r="J152">
        <f>MacReports!G152</f>
        <v>0</v>
      </c>
      <c r="K152" s="59">
        <f>MacReports!H152</f>
        <v>0</v>
      </c>
      <c r="L152" t="str">
        <f t="shared" si="9"/>
        <v>0</v>
      </c>
      <c r="M152" s="15">
        <f>MacReports!I152</f>
        <v>0</v>
      </c>
      <c r="N152" s="16" t="str" cm="1">
        <f t="array" ref="N152">_xlfn.IFS(
   --MacReports!N152&lt;55,"Battery Defect",
  -- MacReports!N152&lt;=69,"Battery D",
  --MacReports!N152&lt;=80,"Battery C",
 --MacReports!N152&gt;80,""
)</f>
        <v>Battery Defect</v>
      </c>
      <c r="O152" s="16" t="str">
        <f>IF(MacReports!J152="Service","Battery Service","")</f>
        <v/>
      </c>
      <c r="P152" s="13">
        <f>MacReports!Q152</f>
        <v>0</v>
      </c>
      <c r="Q152" s="13" t="str">
        <f>IF(MacReports!K152="Enabled","Apple ID Lock","")</f>
        <v/>
      </c>
      <c r="R152" s="13" t="str">
        <f>IF(MacReports!M152="Remote Lock","Remote Locked","")</f>
        <v/>
      </c>
      <c r="S152" t="str">
        <f t="shared" si="7"/>
        <v>Battery Defect, 0</v>
      </c>
      <c r="T152" t="str">
        <f>_xlfn.XLOOKUP(B152,Disk_Pivot!G:G,Disk_Pivot!N:N)</f>
        <v>Pass, Fail</v>
      </c>
      <c r="U152" t="str">
        <f>IF(T152="Fail",MacReports!O152,"")</f>
        <v/>
      </c>
      <c r="AA152" t="str">
        <f t="shared" si="8"/>
        <v/>
      </c>
    </row>
    <row r="153" spans="1:27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str">
        <f>_xlfn.XLOOKUP(B153,MacReports!B:B,MacReports!E:E,"")</f>
        <v/>
      </c>
      <c r="F153" s="13">
        <f>MacReports!F153</f>
        <v>0</v>
      </c>
      <c r="G153" t="e">
        <f>_xlfn.XLOOKUP(F153,Models!A:A,Models!B:B)</f>
        <v>#N/A</v>
      </c>
      <c r="H153" t="e">
        <f>_xlfn.XLOOKUP(F153,Models!A:A,Models!E:E)</f>
        <v>#N/A</v>
      </c>
      <c r="I153" t="e">
        <f>_xlfn.XLOOKUP(F153,Models!A:A,Models!D:D)</f>
        <v>#N/A</v>
      </c>
      <c r="J153">
        <f>MacReports!G153</f>
        <v>0</v>
      </c>
      <c r="K153" s="59">
        <f>MacReports!H153</f>
        <v>0</v>
      </c>
      <c r="L153" t="str">
        <f t="shared" si="9"/>
        <v>0</v>
      </c>
      <c r="M153" s="15">
        <f>MacReports!I153</f>
        <v>0</v>
      </c>
      <c r="N153" s="16" t="str" cm="1">
        <f t="array" ref="N153">_xlfn.IFS(
   --MacReports!N153&lt;55,"Battery Defect",
  -- MacReports!N153&lt;=69,"Battery D",
  --MacReports!N153&lt;=80,"Battery C",
 --MacReports!N153&gt;80,""
)</f>
        <v>Battery Defect</v>
      </c>
      <c r="O153" s="16" t="str">
        <f>IF(MacReports!J153="Service","Battery Service","")</f>
        <v/>
      </c>
      <c r="P153" s="13">
        <f>MacReports!Q153</f>
        <v>0</v>
      </c>
      <c r="Q153" s="13" t="str">
        <f>IF(MacReports!K153="Enabled","Apple ID Lock","")</f>
        <v/>
      </c>
      <c r="R153" s="13" t="str">
        <f>IF(MacReports!M153="Remote Lock","Remote Locked","")</f>
        <v/>
      </c>
      <c r="S153" t="str">
        <f t="shared" si="7"/>
        <v>Battery Defect, 0</v>
      </c>
      <c r="T153" t="str">
        <f>_xlfn.XLOOKUP(B153,Disk_Pivot!G:G,Disk_Pivot!N:N)</f>
        <v>Pass, Fail</v>
      </c>
      <c r="U153" t="str">
        <f>IF(T153="Fail",MacReports!O153,"")</f>
        <v/>
      </c>
      <c r="AA153" t="str">
        <f t="shared" si="8"/>
        <v/>
      </c>
    </row>
    <row r="154" spans="1:27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str">
        <f>_xlfn.XLOOKUP(B154,MacReports!B:B,MacReports!E:E,"")</f>
        <v/>
      </c>
      <c r="F154" s="13">
        <f>MacReports!F154</f>
        <v>0</v>
      </c>
      <c r="G154" t="e">
        <f>_xlfn.XLOOKUP(F154,Models!A:A,Models!B:B)</f>
        <v>#N/A</v>
      </c>
      <c r="H154" t="e">
        <f>_xlfn.XLOOKUP(F154,Models!A:A,Models!E:E)</f>
        <v>#N/A</v>
      </c>
      <c r="I154" t="e">
        <f>_xlfn.XLOOKUP(F154,Models!A:A,Models!D:D)</f>
        <v>#N/A</v>
      </c>
      <c r="J154">
        <f>MacReports!G154</f>
        <v>0</v>
      </c>
      <c r="K154" s="59">
        <f>MacReports!H154</f>
        <v>0</v>
      </c>
      <c r="L154" t="str">
        <f t="shared" si="9"/>
        <v>0</v>
      </c>
      <c r="M154" s="15">
        <f>MacReports!I154</f>
        <v>0</v>
      </c>
      <c r="N154" s="16" t="str" cm="1">
        <f t="array" ref="N154">_xlfn.IFS(
   --MacReports!N154&lt;55,"Battery Defect",
  -- MacReports!N154&lt;=69,"Battery D",
  --MacReports!N154&lt;=80,"Battery C",
 --MacReports!N154&gt;80,""
)</f>
        <v>Battery Defect</v>
      </c>
      <c r="O154" s="16" t="str">
        <f>IF(MacReports!J154="Service","Battery Service","")</f>
        <v/>
      </c>
      <c r="P154" s="13">
        <f>MacReports!Q154</f>
        <v>0</v>
      </c>
      <c r="Q154" s="13" t="str">
        <f>IF(MacReports!K154="Enabled","Apple ID Lock","")</f>
        <v/>
      </c>
      <c r="R154" s="13" t="str">
        <f>IF(MacReports!M154="Remote Lock","Remote Locked","")</f>
        <v/>
      </c>
      <c r="S154" t="str">
        <f t="shared" si="7"/>
        <v>Battery Defect, 0</v>
      </c>
      <c r="T154" t="str">
        <f>_xlfn.XLOOKUP(B154,Disk_Pivot!G:G,Disk_Pivot!N:N)</f>
        <v>Pass, Fail</v>
      </c>
      <c r="U154" t="str">
        <f>IF(T154="Fail",MacReports!O154,"")</f>
        <v/>
      </c>
      <c r="AA154" t="str">
        <f t="shared" si="8"/>
        <v/>
      </c>
    </row>
    <row r="155" spans="1:27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str">
        <f>_xlfn.XLOOKUP(B155,MacReports!B:B,MacReports!E:E,"")</f>
        <v/>
      </c>
      <c r="F155" s="13">
        <f>MacReports!F155</f>
        <v>0</v>
      </c>
      <c r="G155" t="e">
        <f>_xlfn.XLOOKUP(F155,Models!A:A,Models!B:B)</f>
        <v>#N/A</v>
      </c>
      <c r="H155" t="e">
        <f>_xlfn.XLOOKUP(F155,Models!A:A,Models!E:E)</f>
        <v>#N/A</v>
      </c>
      <c r="I155" t="e">
        <f>_xlfn.XLOOKUP(F155,Models!A:A,Models!D:D)</f>
        <v>#N/A</v>
      </c>
      <c r="J155">
        <f>MacReports!G155</f>
        <v>0</v>
      </c>
      <c r="K155" s="59">
        <f>MacReports!H155</f>
        <v>0</v>
      </c>
      <c r="L155" t="str">
        <f t="shared" si="9"/>
        <v>0</v>
      </c>
      <c r="M155" s="15">
        <f>MacReports!I155</f>
        <v>0</v>
      </c>
      <c r="N155" s="16" t="str" cm="1">
        <f t="array" ref="N155">_xlfn.IFS(
   --MacReports!N155&lt;55,"Battery Defect",
  -- MacReports!N155&lt;=69,"Battery D",
  --MacReports!N155&lt;=80,"Battery C",
 --MacReports!N155&gt;80,""
)</f>
        <v>Battery Defect</v>
      </c>
      <c r="O155" s="16" t="str">
        <f>IF(MacReports!J155="Service","Battery Service","")</f>
        <v/>
      </c>
      <c r="P155" s="13">
        <f>MacReports!Q155</f>
        <v>0</v>
      </c>
      <c r="Q155" s="13" t="str">
        <f>IF(MacReports!K155="Enabled","Apple ID Lock","")</f>
        <v/>
      </c>
      <c r="R155" s="13" t="str">
        <f>IF(MacReports!M155="Remote Lock","Remote Locked","")</f>
        <v/>
      </c>
      <c r="S155" t="str">
        <f t="shared" si="7"/>
        <v>Battery Defect, 0</v>
      </c>
      <c r="T155" t="str">
        <f>_xlfn.XLOOKUP(B155,Disk_Pivot!G:G,Disk_Pivot!N:N)</f>
        <v>Pass, Fail</v>
      </c>
      <c r="U155" t="str">
        <f>IF(T155="Fail",MacReports!O155,"")</f>
        <v/>
      </c>
      <c r="AA155" t="str">
        <f t="shared" si="8"/>
        <v/>
      </c>
    </row>
    <row r="156" spans="1:27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str">
        <f>_xlfn.XLOOKUP(B156,MacReports!B:B,MacReports!E:E,"")</f>
        <v/>
      </c>
      <c r="F156" s="13">
        <f>MacReports!F156</f>
        <v>0</v>
      </c>
      <c r="G156" t="e">
        <f>_xlfn.XLOOKUP(F156,Models!A:A,Models!B:B)</f>
        <v>#N/A</v>
      </c>
      <c r="H156" t="e">
        <f>_xlfn.XLOOKUP(F156,Models!A:A,Models!E:E)</f>
        <v>#N/A</v>
      </c>
      <c r="I156" t="e">
        <f>_xlfn.XLOOKUP(F156,Models!A:A,Models!D:D)</f>
        <v>#N/A</v>
      </c>
      <c r="J156">
        <f>MacReports!G156</f>
        <v>0</v>
      </c>
      <c r="K156" s="59">
        <f>MacReports!H156</f>
        <v>0</v>
      </c>
      <c r="L156" t="str">
        <f t="shared" si="9"/>
        <v>0</v>
      </c>
      <c r="M156" s="15">
        <f>MacReports!I156</f>
        <v>0</v>
      </c>
      <c r="N156" s="16" t="str" cm="1">
        <f t="array" ref="N156">_xlfn.IFS(
   --MacReports!N156&lt;55,"Battery Defect",
  -- MacReports!N156&lt;=69,"Battery D",
  --MacReports!N156&lt;=80,"Battery C",
 --MacReports!N156&gt;80,""
)</f>
        <v>Battery Defect</v>
      </c>
      <c r="O156" s="16" t="str">
        <f>IF(MacReports!J156="Service","Battery Service","")</f>
        <v/>
      </c>
      <c r="P156" s="13">
        <f>MacReports!Q156</f>
        <v>0</v>
      </c>
      <c r="Q156" s="13" t="str">
        <f>IF(MacReports!K156="Enabled","Apple ID Lock","")</f>
        <v/>
      </c>
      <c r="R156" s="13" t="str">
        <f>IF(MacReports!M156="Remote Lock","Remote Locked","")</f>
        <v/>
      </c>
      <c r="S156" t="str">
        <f t="shared" si="7"/>
        <v>Battery Defect, 0</v>
      </c>
      <c r="T156" t="str">
        <f>_xlfn.XLOOKUP(B156,Disk_Pivot!G:G,Disk_Pivot!N:N)</f>
        <v>Pass, Fail</v>
      </c>
      <c r="U156" t="str">
        <f>IF(T156="Fail",MacReports!O156,"")</f>
        <v/>
      </c>
      <c r="AA156" t="str">
        <f t="shared" si="8"/>
        <v/>
      </c>
    </row>
    <row r="157" spans="1:27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str">
        <f>_xlfn.XLOOKUP(B157,MacReports!B:B,MacReports!E:E,"")</f>
        <v/>
      </c>
      <c r="F157" s="13">
        <f>MacReports!F157</f>
        <v>0</v>
      </c>
      <c r="G157" t="e">
        <f>_xlfn.XLOOKUP(F157,Models!A:A,Models!B:B)</f>
        <v>#N/A</v>
      </c>
      <c r="H157" t="e">
        <f>_xlfn.XLOOKUP(F157,Models!A:A,Models!E:E)</f>
        <v>#N/A</v>
      </c>
      <c r="I157" t="e">
        <f>_xlfn.XLOOKUP(F157,Models!A:A,Models!D:D)</f>
        <v>#N/A</v>
      </c>
      <c r="J157">
        <f>MacReports!G157</f>
        <v>0</v>
      </c>
      <c r="K157" s="59">
        <f>MacReports!H157</f>
        <v>0</v>
      </c>
      <c r="L157" t="str">
        <f t="shared" si="9"/>
        <v>0</v>
      </c>
      <c r="M157" s="15">
        <f>MacReports!I157</f>
        <v>0</v>
      </c>
      <c r="N157" s="16" t="str" cm="1">
        <f t="array" ref="N157">_xlfn.IFS(
   --MacReports!N157&lt;55,"Battery Defect",
  -- MacReports!N157&lt;=69,"Battery D",
  --MacReports!N157&lt;=80,"Battery C",
 --MacReports!N157&gt;80,""
)</f>
        <v>Battery Defect</v>
      </c>
      <c r="O157" s="16" t="str">
        <f>IF(MacReports!J157="Service","Battery Service","")</f>
        <v/>
      </c>
      <c r="P157" s="13">
        <f>MacReports!Q157</f>
        <v>0</v>
      </c>
      <c r="Q157" s="13" t="str">
        <f>IF(MacReports!K157="Enabled","Apple ID Lock","")</f>
        <v/>
      </c>
      <c r="R157" s="13" t="str">
        <f>IF(MacReports!M157="Remote Lock","Remote Locked","")</f>
        <v/>
      </c>
      <c r="S157" t="str">
        <f t="shared" si="7"/>
        <v>Battery Defect, 0</v>
      </c>
      <c r="T157" t="str">
        <f>_xlfn.XLOOKUP(B157,Disk_Pivot!G:G,Disk_Pivot!N:N)</f>
        <v>Pass, Fail</v>
      </c>
      <c r="U157" t="str">
        <f>IF(T157="Fail",MacReports!O157,"")</f>
        <v/>
      </c>
      <c r="AA157" t="str">
        <f t="shared" si="8"/>
        <v/>
      </c>
    </row>
    <row r="158" spans="1:27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str">
        <f>_xlfn.XLOOKUP(B158,MacReports!B:B,MacReports!E:E,"")</f>
        <v/>
      </c>
      <c r="F158" s="13">
        <f>MacReports!F158</f>
        <v>0</v>
      </c>
      <c r="G158" t="e">
        <f>_xlfn.XLOOKUP(F158,Models!A:A,Models!B:B)</f>
        <v>#N/A</v>
      </c>
      <c r="H158" t="e">
        <f>_xlfn.XLOOKUP(F158,Models!A:A,Models!E:E)</f>
        <v>#N/A</v>
      </c>
      <c r="I158" t="e">
        <f>_xlfn.XLOOKUP(F158,Models!A:A,Models!D:D)</f>
        <v>#N/A</v>
      </c>
      <c r="J158">
        <f>MacReports!G158</f>
        <v>0</v>
      </c>
      <c r="K158" s="59">
        <f>MacReports!H158</f>
        <v>0</v>
      </c>
      <c r="L158" t="str">
        <f t="shared" si="9"/>
        <v>0</v>
      </c>
      <c r="M158" s="15">
        <f>MacReports!I158</f>
        <v>0</v>
      </c>
      <c r="N158" s="16" t="str" cm="1">
        <f t="array" ref="N158">_xlfn.IFS(
   --MacReports!N158&lt;55,"Battery Defect",
  -- MacReports!N158&lt;=69,"Battery D",
  --MacReports!N158&lt;=80,"Battery C",
 --MacReports!N158&gt;80,""
)</f>
        <v>Battery Defect</v>
      </c>
      <c r="O158" s="16" t="str">
        <f>IF(MacReports!J158="Service","Battery Service","")</f>
        <v/>
      </c>
      <c r="P158" s="13">
        <f>MacReports!Q158</f>
        <v>0</v>
      </c>
      <c r="Q158" s="13" t="str">
        <f>IF(MacReports!K158="Enabled","Apple ID Lock","")</f>
        <v/>
      </c>
      <c r="R158" s="13" t="str">
        <f>IF(MacReports!M158="Remote Lock","Remote Locked","")</f>
        <v/>
      </c>
      <c r="S158" t="str">
        <f t="shared" si="7"/>
        <v>Battery Defect, 0</v>
      </c>
      <c r="T158" t="str">
        <f>_xlfn.XLOOKUP(B158,Disk_Pivot!G:G,Disk_Pivot!N:N)</f>
        <v>Pass, Fail</v>
      </c>
      <c r="U158" t="str">
        <f>IF(T158="Fail",MacReports!O158,"")</f>
        <v/>
      </c>
      <c r="AA158" t="str">
        <f t="shared" si="8"/>
        <v/>
      </c>
    </row>
    <row r="159" spans="1:27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str">
        <f>_xlfn.XLOOKUP(B159,MacReports!B:B,MacReports!E:E,"")</f>
        <v/>
      </c>
      <c r="F159" s="13">
        <f>MacReports!F159</f>
        <v>0</v>
      </c>
      <c r="G159" t="e">
        <f>_xlfn.XLOOKUP(F159,Models!A:A,Models!B:B)</f>
        <v>#N/A</v>
      </c>
      <c r="H159" t="e">
        <f>_xlfn.XLOOKUP(F159,Models!A:A,Models!E:E)</f>
        <v>#N/A</v>
      </c>
      <c r="I159" t="e">
        <f>_xlfn.XLOOKUP(F159,Models!A:A,Models!D:D)</f>
        <v>#N/A</v>
      </c>
      <c r="J159">
        <f>MacReports!G159</f>
        <v>0</v>
      </c>
      <c r="K159" s="59">
        <f>MacReports!H159</f>
        <v>0</v>
      </c>
      <c r="L159" t="str">
        <f t="shared" si="9"/>
        <v>0</v>
      </c>
      <c r="M159" s="15">
        <f>MacReports!I159</f>
        <v>0</v>
      </c>
      <c r="N159" s="16" t="str" cm="1">
        <f t="array" ref="N159">_xlfn.IFS(
   --MacReports!N159&lt;55,"Battery Defect",
  -- MacReports!N159&lt;=69,"Battery D",
  --MacReports!N159&lt;=80,"Battery C",
 --MacReports!N159&gt;80,""
)</f>
        <v>Battery Defect</v>
      </c>
      <c r="O159" s="16" t="str">
        <f>IF(MacReports!J159="Service","Battery Service","")</f>
        <v/>
      </c>
      <c r="P159" s="13">
        <f>MacReports!Q159</f>
        <v>0</v>
      </c>
      <c r="Q159" s="13" t="str">
        <f>IF(MacReports!K159="Enabled","Apple ID Lock","")</f>
        <v/>
      </c>
      <c r="R159" s="13" t="str">
        <f>IF(MacReports!M159="Remote Lock","Remote Locked","")</f>
        <v/>
      </c>
      <c r="S159" t="str">
        <f t="shared" si="7"/>
        <v>Battery Defect, 0</v>
      </c>
      <c r="T159" t="str">
        <f>_xlfn.XLOOKUP(B159,Disk_Pivot!G:G,Disk_Pivot!N:N)</f>
        <v>Pass, Fail</v>
      </c>
      <c r="U159" t="str">
        <f>IF(T159="Fail",MacReports!O159,"")</f>
        <v/>
      </c>
      <c r="AA159" t="str">
        <f t="shared" si="8"/>
        <v/>
      </c>
    </row>
    <row r="160" spans="1:27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str">
        <f>_xlfn.XLOOKUP(B160,MacReports!B:B,MacReports!E:E,"")</f>
        <v/>
      </c>
      <c r="F160" s="13">
        <f>MacReports!F160</f>
        <v>0</v>
      </c>
      <c r="G160" t="e">
        <f>_xlfn.XLOOKUP(F160,Models!A:A,Models!B:B)</f>
        <v>#N/A</v>
      </c>
      <c r="H160" t="e">
        <f>_xlfn.XLOOKUP(F160,Models!A:A,Models!E:E)</f>
        <v>#N/A</v>
      </c>
      <c r="I160" t="e">
        <f>_xlfn.XLOOKUP(F160,Models!A:A,Models!D:D)</f>
        <v>#N/A</v>
      </c>
      <c r="J160">
        <f>MacReports!G160</f>
        <v>0</v>
      </c>
      <c r="K160" s="59">
        <f>MacReports!H160</f>
        <v>0</v>
      </c>
      <c r="L160" t="str">
        <f t="shared" si="9"/>
        <v>0</v>
      </c>
      <c r="M160" s="15">
        <f>MacReports!I160</f>
        <v>0</v>
      </c>
      <c r="N160" s="16" t="str" cm="1">
        <f t="array" ref="N160">_xlfn.IFS(
   --MacReports!N160&lt;55,"Battery Defect",
  -- MacReports!N160&lt;=69,"Battery D",
  --MacReports!N160&lt;=80,"Battery C",
 --MacReports!N160&gt;80,""
)</f>
        <v>Battery Defect</v>
      </c>
      <c r="O160" s="16" t="str">
        <f>IF(MacReports!J160="Service","Battery Service","")</f>
        <v/>
      </c>
      <c r="P160" s="13">
        <f>MacReports!Q160</f>
        <v>0</v>
      </c>
      <c r="Q160" s="13" t="str">
        <f>IF(MacReports!K160="Enabled","Apple ID Lock","")</f>
        <v/>
      </c>
      <c r="R160" s="13" t="str">
        <f>IF(MacReports!M160="Remote Lock","Remote Locked","")</f>
        <v/>
      </c>
      <c r="S160" t="str">
        <f t="shared" si="7"/>
        <v>Battery Defect, 0</v>
      </c>
      <c r="T160" t="str">
        <f>_xlfn.XLOOKUP(B160,Disk_Pivot!G:G,Disk_Pivot!N:N)</f>
        <v>Pass, Fail</v>
      </c>
      <c r="U160" t="str">
        <f>IF(T160="Fail",MacReports!O160,"")</f>
        <v/>
      </c>
      <c r="AA160" t="str">
        <f t="shared" si="8"/>
        <v/>
      </c>
    </row>
    <row r="161" spans="1:27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str">
        <f>_xlfn.XLOOKUP(B161,MacReports!B:B,MacReports!E:E,"")</f>
        <v/>
      </c>
      <c r="F161" s="13">
        <f>MacReports!F161</f>
        <v>0</v>
      </c>
      <c r="G161" t="e">
        <f>_xlfn.XLOOKUP(F161,Models!A:A,Models!B:B)</f>
        <v>#N/A</v>
      </c>
      <c r="H161" t="e">
        <f>_xlfn.XLOOKUP(F161,Models!A:A,Models!E:E)</f>
        <v>#N/A</v>
      </c>
      <c r="I161" t="e">
        <f>_xlfn.XLOOKUP(F161,Models!A:A,Models!D:D)</f>
        <v>#N/A</v>
      </c>
      <c r="J161">
        <f>MacReports!G161</f>
        <v>0</v>
      </c>
      <c r="K161" s="59">
        <f>MacReports!H161</f>
        <v>0</v>
      </c>
      <c r="L161" t="str">
        <f t="shared" si="9"/>
        <v>0</v>
      </c>
      <c r="M161" s="15">
        <f>MacReports!I161</f>
        <v>0</v>
      </c>
      <c r="N161" s="16" t="str" cm="1">
        <f t="array" ref="N161">_xlfn.IFS(
   --MacReports!N161&lt;55,"Battery Defect",
  -- MacReports!N161&lt;=69,"Battery D",
  --MacReports!N161&lt;=80,"Battery C",
 --MacReports!N161&gt;80,""
)</f>
        <v>Battery Defect</v>
      </c>
      <c r="O161" s="16" t="str">
        <f>IF(MacReports!J161="Service","Battery Service","")</f>
        <v/>
      </c>
      <c r="P161" s="13">
        <f>MacReports!Q161</f>
        <v>0</v>
      </c>
      <c r="Q161" s="13" t="str">
        <f>IF(MacReports!K161="Enabled","Apple ID Lock","")</f>
        <v/>
      </c>
      <c r="R161" s="13" t="str">
        <f>IF(MacReports!M161="Remote Lock","Remote Locked","")</f>
        <v/>
      </c>
      <c r="S161" t="str">
        <f t="shared" si="7"/>
        <v>Battery Defect, 0</v>
      </c>
      <c r="T161" t="str">
        <f>_xlfn.XLOOKUP(B161,Disk_Pivot!G:G,Disk_Pivot!N:N)</f>
        <v>Pass, Fail</v>
      </c>
      <c r="U161" t="str">
        <f>IF(T161="Fail",MacReports!O161,"")</f>
        <v/>
      </c>
      <c r="AA161" t="str">
        <f t="shared" si="8"/>
        <v/>
      </c>
    </row>
    <row r="162" spans="1:27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str">
        <f>_xlfn.XLOOKUP(B162,MacReports!B:B,MacReports!E:E,"")</f>
        <v/>
      </c>
      <c r="F162" s="13">
        <f>MacReports!F162</f>
        <v>0</v>
      </c>
      <c r="G162" t="e">
        <f>_xlfn.XLOOKUP(F162,Models!A:A,Models!B:B)</f>
        <v>#N/A</v>
      </c>
      <c r="H162" t="e">
        <f>_xlfn.XLOOKUP(F162,Models!A:A,Models!E:E)</f>
        <v>#N/A</v>
      </c>
      <c r="I162" t="e">
        <f>_xlfn.XLOOKUP(F162,Models!A:A,Models!D:D)</f>
        <v>#N/A</v>
      </c>
      <c r="J162">
        <f>MacReports!G162</f>
        <v>0</v>
      </c>
      <c r="K162" s="59">
        <f>MacReports!H162</f>
        <v>0</v>
      </c>
      <c r="L162" t="str">
        <f t="shared" si="9"/>
        <v>0</v>
      </c>
      <c r="M162" s="15">
        <f>MacReports!I162</f>
        <v>0</v>
      </c>
      <c r="N162" s="16" t="str" cm="1">
        <f t="array" ref="N162">_xlfn.IFS(
   --MacReports!N162&lt;55,"Battery Defect",
  -- MacReports!N162&lt;=69,"Battery D",
  --MacReports!N162&lt;=80,"Battery C",
 --MacReports!N162&gt;80,""
)</f>
        <v>Battery Defect</v>
      </c>
      <c r="O162" s="16" t="str">
        <f>IF(MacReports!J162="Service","Battery Service","")</f>
        <v/>
      </c>
      <c r="P162" s="13">
        <f>MacReports!Q162</f>
        <v>0</v>
      </c>
      <c r="Q162" s="13" t="str">
        <f>IF(MacReports!K162="Enabled","Apple ID Lock","")</f>
        <v/>
      </c>
      <c r="R162" s="13" t="str">
        <f>IF(MacReports!M162="Remote Lock","Remote Locked","")</f>
        <v/>
      </c>
      <c r="S162" t="str">
        <f t="shared" si="7"/>
        <v>Battery Defect, 0</v>
      </c>
      <c r="T162" t="str">
        <f>_xlfn.XLOOKUP(B162,Disk_Pivot!G:G,Disk_Pivot!N:N)</f>
        <v>Pass, Fail</v>
      </c>
      <c r="U162" t="str">
        <f>IF(T162="Fail",MacReports!O162,"")</f>
        <v/>
      </c>
      <c r="AA162" t="str">
        <f t="shared" si="8"/>
        <v/>
      </c>
    </row>
    <row r="163" spans="1:27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str">
        <f>_xlfn.XLOOKUP(B163,MacReports!B:B,MacReports!E:E,"")</f>
        <v/>
      </c>
      <c r="F163" s="13">
        <f>MacReports!F163</f>
        <v>0</v>
      </c>
      <c r="G163" t="e">
        <f>_xlfn.XLOOKUP(F163,Models!A:A,Models!B:B)</f>
        <v>#N/A</v>
      </c>
      <c r="H163" t="e">
        <f>_xlfn.XLOOKUP(F163,Models!A:A,Models!E:E)</f>
        <v>#N/A</v>
      </c>
      <c r="I163" t="e">
        <f>_xlfn.XLOOKUP(F163,Models!A:A,Models!D:D)</f>
        <v>#N/A</v>
      </c>
      <c r="J163">
        <f>MacReports!G163</f>
        <v>0</v>
      </c>
      <c r="K163" s="59">
        <f>MacReports!H163</f>
        <v>0</v>
      </c>
      <c r="L163" t="str">
        <f t="shared" si="9"/>
        <v>0</v>
      </c>
      <c r="M163" s="15">
        <f>MacReports!I163</f>
        <v>0</v>
      </c>
      <c r="N163" s="16" t="str" cm="1">
        <f t="array" ref="N163">_xlfn.IFS(
   --MacReports!N163&lt;55,"Battery Defect",
  -- MacReports!N163&lt;=69,"Battery D",
  --MacReports!N163&lt;=80,"Battery C",
 --MacReports!N163&gt;80,""
)</f>
        <v>Battery Defect</v>
      </c>
      <c r="O163" s="16" t="str">
        <f>IF(MacReports!J163="Service","Battery Service","")</f>
        <v/>
      </c>
      <c r="P163" s="13">
        <f>MacReports!Q163</f>
        <v>0</v>
      </c>
      <c r="Q163" s="13" t="str">
        <f>IF(MacReports!K163="Enabled","Apple ID Lock","")</f>
        <v/>
      </c>
      <c r="R163" s="13" t="str">
        <f>IF(MacReports!M163="Remote Lock","Remote Locked","")</f>
        <v/>
      </c>
      <c r="S163" t="str">
        <f t="shared" ref="S163:S226" si="10">_xlfn.TEXTJOIN(", ",TRUE,Q163,R163,N163,O163,P163)</f>
        <v>Battery Defect, 0</v>
      </c>
      <c r="T163" t="str">
        <f>_xlfn.XLOOKUP(B163,Disk_Pivot!G:G,Disk_Pivot!N:N)</f>
        <v>Pass, Fail</v>
      </c>
      <c r="U163" t="str">
        <f>IF(T163="Fail",MacReports!O163,"")</f>
        <v/>
      </c>
      <c r="AA163" t="str">
        <f t="shared" ref="AA163:AA226" si="11">_xlfn.TEXTJOIN(", ",TRUE,Q163,R163)</f>
        <v/>
      </c>
    </row>
    <row r="164" spans="1:27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str">
        <f>_xlfn.XLOOKUP(B164,MacReports!B:B,MacReports!E:E,"")</f>
        <v/>
      </c>
      <c r="F164" s="13">
        <f>MacReports!F164</f>
        <v>0</v>
      </c>
      <c r="G164" t="e">
        <f>_xlfn.XLOOKUP(F164,Models!A:A,Models!B:B)</f>
        <v>#N/A</v>
      </c>
      <c r="H164" t="e">
        <f>_xlfn.XLOOKUP(F164,Models!A:A,Models!E:E)</f>
        <v>#N/A</v>
      </c>
      <c r="I164" t="e">
        <f>_xlfn.XLOOKUP(F164,Models!A:A,Models!D:D)</f>
        <v>#N/A</v>
      </c>
      <c r="J164">
        <f>MacReports!G164</f>
        <v>0</v>
      </c>
      <c r="K164" s="59">
        <f>MacReports!H164</f>
        <v>0</v>
      </c>
      <c r="L164" t="str">
        <f t="shared" si="9"/>
        <v>0</v>
      </c>
      <c r="M164" s="15">
        <f>MacReports!I164</f>
        <v>0</v>
      </c>
      <c r="N164" s="16" t="str" cm="1">
        <f t="array" ref="N164">_xlfn.IFS(
   --MacReports!N164&lt;55,"Battery Defect",
  -- MacReports!N164&lt;=69,"Battery D",
  --MacReports!N164&lt;=80,"Battery C",
 --MacReports!N164&gt;80,""
)</f>
        <v>Battery Defect</v>
      </c>
      <c r="O164" s="16" t="str">
        <f>IF(MacReports!J164="Service","Battery Service","")</f>
        <v/>
      </c>
      <c r="P164" s="13">
        <f>MacReports!Q164</f>
        <v>0</v>
      </c>
      <c r="Q164" s="13" t="str">
        <f>IF(MacReports!K164="Enabled","Apple ID Lock","")</f>
        <v/>
      </c>
      <c r="R164" s="13" t="str">
        <f>IF(MacReports!M164="Remote Lock","Remote Locked","")</f>
        <v/>
      </c>
      <c r="S164" t="str">
        <f t="shared" si="10"/>
        <v>Battery Defect, 0</v>
      </c>
      <c r="T164" t="str">
        <f>_xlfn.XLOOKUP(B164,Disk_Pivot!G:G,Disk_Pivot!N:N)</f>
        <v>Pass, Fail</v>
      </c>
      <c r="U164" t="str">
        <f>IF(T164="Fail",MacReports!O164,"")</f>
        <v/>
      </c>
      <c r="AA164" t="str">
        <f t="shared" si="11"/>
        <v/>
      </c>
    </row>
    <row r="165" spans="1:27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str">
        <f>_xlfn.XLOOKUP(B165,MacReports!B:B,MacReports!E:E,"")</f>
        <v/>
      </c>
      <c r="F165" s="13">
        <f>MacReports!F165</f>
        <v>0</v>
      </c>
      <c r="G165" t="e">
        <f>_xlfn.XLOOKUP(F165,Models!A:A,Models!B:B)</f>
        <v>#N/A</v>
      </c>
      <c r="H165" t="e">
        <f>_xlfn.XLOOKUP(F165,Models!A:A,Models!E:E)</f>
        <v>#N/A</v>
      </c>
      <c r="I165" t="e">
        <f>_xlfn.XLOOKUP(F165,Models!A:A,Models!D:D)</f>
        <v>#N/A</v>
      </c>
      <c r="J165">
        <f>MacReports!G165</f>
        <v>0</v>
      </c>
      <c r="K165" s="59">
        <f>MacReports!H165</f>
        <v>0</v>
      </c>
      <c r="L165" t="str">
        <f t="shared" si="9"/>
        <v>0</v>
      </c>
      <c r="M165" s="15">
        <f>MacReports!I165</f>
        <v>0</v>
      </c>
      <c r="N165" s="16" t="str" cm="1">
        <f t="array" ref="N165">_xlfn.IFS(
   --MacReports!N165&lt;55,"Battery Defect",
  -- MacReports!N165&lt;=69,"Battery D",
  --MacReports!N165&lt;=80,"Battery C",
 --MacReports!N165&gt;80,""
)</f>
        <v>Battery Defect</v>
      </c>
      <c r="O165" s="16" t="str">
        <f>IF(MacReports!J165="Service","Battery Service","")</f>
        <v/>
      </c>
      <c r="P165" s="13">
        <f>MacReports!Q165</f>
        <v>0</v>
      </c>
      <c r="Q165" s="13" t="str">
        <f>IF(MacReports!K165="Enabled","Apple ID Lock","")</f>
        <v/>
      </c>
      <c r="R165" s="13" t="str">
        <f>IF(MacReports!M165="Remote Lock","Remote Locked","")</f>
        <v/>
      </c>
      <c r="S165" t="str">
        <f t="shared" si="10"/>
        <v>Battery Defect, 0</v>
      </c>
      <c r="T165" t="str">
        <f>_xlfn.XLOOKUP(B165,Disk_Pivot!G:G,Disk_Pivot!N:N)</f>
        <v>Pass, Fail</v>
      </c>
      <c r="U165" t="str">
        <f>IF(T165="Fail",MacReports!O165,"")</f>
        <v/>
      </c>
      <c r="AA165" t="str">
        <f t="shared" si="11"/>
        <v/>
      </c>
    </row>
    <row r="166" spans="1:27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str">
        <f>_xlfn.XLOOKUP(B166,MacReports!B:B,MacReports!E:E,"")</f>
        <v/>
      </c>
      <c r="F166" s="13">
        <f>MacReports!F166</f>
        <v>0</v>
      </c>
      <c r="G166" t="e">
        <f>_xlfn.XLOOKUP(F166,Models!A:A,Models!B:B)</f>
        <v>#N/A</v>
      </c>
      <c r="H166" t="e">
        <f>_xlfn.XLOOKUP(F166,Models!A:A,Models!E:E)</f>
        <v>#N/A</v>
      </c>
      <c r="I166" t="e">
        <f>_xlfn.XLOOKUP(F166,Models!A:A,Models!D:D)</f>
        <v>#N/A</v>
      </c>
      <c r="J166">
        <f>MacReports!G166</f>
        <v>0</v>
      </c>
      <c r="K166" s="59">
        <f>MacReports!H166</f>
        <v>0</v>
      </c>
      <c r="L166" t="str">
        <f t="shared" si="9"/>
        <v>0</v>
      </c>
      <c r="M166" s="15">
        <f>MacReports!I166</f>
        <v>0</v>
      </c>
      <c r="N166" s="16" t="str" cm="1">
        <f t="array" ref="N166">_xlfn.IFS(
   --MacReports!N166&lt;55,"Battery Defect",
  -- MacReports!N166&lt;=69,"Battery D",
  --MacReports!N166&lt;=80,"Battery C",
 --MacReports!N166&gt;80,""
)</f>
        <v>Battery Defect</v>
      </c>
      <c r="O166" s="16" t="str">
        <f>IF(MacReports!J166="Service","Battery Service","")</f>
        <v/>
      </c>
      <c r="P166" s="13">
        <f>MacReports!Q166</f>
        <v>0</v>
      </c>
      <c r="Q166" s="13" t="str">
        <f>IF(MacReports!K166="Enabled","Apple ID Lock","")</f>
        <v/>
      </c>
      <c r="R166" s="13" t="str">
        <f>IF(MacReports!M166="Remote Lock","Remote Locked","")</f>
        <v/>
      </c>
      <c r="S166" t="str">
        <f t="shared" si="10"/>
        <v>Battery Defect, 0</v>
      </c>
      <c r="T166" t="str">
        <f>_xlfn.XLOOKUP(B166,Disk_Pivot!G:G,Disk_Pivot!N:N)</f>
        <v>Pass, Fail</v>
      </c>
      <c r="U166" t="str">
        <f>IF(T166="Fail",MacReports!O166,"")</f>
        <v/>
      </c>
      <c r="AA166" t="str">
        <f t="shared" si="11"/>
        <v/>
      </c>
    </row>
    <row r="167" spans="1:27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str">
        <f>_xlfn.XLOOKUP(B167,MacReports!B:B,MacReports!E:E,"")</f>
        <v/>
      </c>
      <c r="F167" s="13">
        <f>MacReports!F167</f>
        <v>0</v>
      </c>
      <c r="G167" t="e">
        <f>_xlfn.XLOOKUP(F167,Models!A:A,Models!B:B)</f>
        <v>#N/A</v>
      </c>
      <c r="H167" t="e">
        <f>_xlfn.XLOOKUP(F167,Models!A:A,Models!E:E)</f>
        <v>#N/A</v>
      </c>
      <c r="I167" t="e">
        <f>_xlfn.XLOOKUP(F167,Models!A:A,Models!D:D)</f>
        <v>#N/A</v>
      </c>
      <c r="J167">
        <f>MacReports!G167</f>
        <v>0</v>
      </c>
      <c r="K167" s="59">
        <f>MacReports!H167</f>
        <v>0</v>
      </c>
      <c r="L167" t="str">
        <f t="shared" si="9"/>
        <v>0</v>
      </c>
      <c r="M167" s="15">
        <f>MacReports!I167</f>
        <v>0</v>
      </c>
      <c r="N167" s="16" t="str" cm="1">
        <f t="array" ref="N167">_xlfn.IFS(
   --MacReports!N167&lt;55,"Battery Defect",
  -- MacReports!N167&lt;=69,"Battery D",
  --MacReports!N167&lt;=80,"Battery C",
 --MacReports!N167&gt;80,""
)</f>
        <v>Battery Defect</v>
      </c>
      <c r="O167" s="16" t="str">
        <f>IF(MacReports!J167="Service","Battery Service","")</f>
        <v/>
      </c>
      <c r="P167" s="13">
        <f>MacReports!Q167</f>
        <v>0</v>
      </c>
      <c r="Q167" s="13" t="str">
        <f>IF(MacReports!K167="Enabled","Apple ID Lock","")</f>
        <v/>
      </c>
      <c r="R167" s="13" t="str">
        <f>IF(MacReports!M167="Remote Lock","Remote Locked","")</f>
        <v/>
      </c>
      <c r="S167" t="str">
        <f t="shared" si="10"/>
        <v>Battery Defect, 0</v>
      </c>
      <c r="T167" t="str">
        <f>_xlfn.XLOOKUP(B167,Disk_Pivot!G:G,Disk_Pivot!N:N)</f>
        <v>Pass, Fail</v>
      </c>
      <c r="U167" t="str">
        <f>IF(T167="Fail",MacReports!O167,"")</f>
        <v/>
      </c>
      <c r="AA167" t="str">
        <f t="shared" si="11"/>
        <v/>
      </c>
    </row>
    <row r="168" spans="1:27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str">
        <f>_xlfn.XLOOKUP(B168,MacReports!B:B,MacReports!E:E,"")</f>
        <v/>
      </c>
      <c r="F168" s="13">
        <f>MacReports!F168</f>
        <v>0</v>
      </c>
      <c r="G168" t="e">
        <f>_xlfn.XLOOKUP(F168,Models!A:A,Models!B:B)</f>
        <v>#N/A</v>
      </c>
      <c r="H168" t="e">
        <f>_xlfn.XLOOKUP(F168,Models!A:A,Models!E:E)</f>
        <v>#N/A</v>
      </c>
      <c r="I168" t="e">
        <f>_xlfn.XLOOKUP(F168,Models!A:A,Models!D:D)</f>
        <v>#N/A</v>
      </c>
      <c r="J168">
        <f>MacReports!G168</f>
        <v>0</v>
      </c>
      <c r="K168" s="59">
        <f>MacReports!H168</f>
        <v>0</v>
      </c>
      <c r="L168" t="str">
        <f t="shared" si="9"/>
        <v>0</v>
      </c>
      <c r="M168" s="15">
        <f>MacReports!I168</f>
        <v>0</v>
      </c>
      <c r="N168" s="16" t="str" cm="1">
        <f t="array" ref="N168">_xlfn.IFS(
   --MacReports!N168&lt;55,"Battery Defect",
  -- MacReports!N168&lt;=69,"Battery D",
  --MacReports!N168&lt;=80,"Battery C",
 --MacReports!N168&gt;80,""
)</f>
        <v>Battery Defect</v>
      </c>
      <c r="O168" s="16" t="str">
        <f>IF(MacReports!J168="Service","Battery Service","")</f>
        <v/>
      </c>
      <c r="P168" s="13">
        <f>MacReports!Q168</f>
        <v>0</v>
      </c>
      <c r="Q168" s="13" t="str">
        <f>IF(MacReports!K168="Enabled","Apple ID Lock","")</f>
        <v/>
      </c>
      <c r="R168" s="13" t="str">
        <f>IF(MacReports!M168="Remote Lock","Remote Locked","")</f>
        <v/>
      </c>
      <c r="S168" t="str">
        <f t="shared" si="10"/>
        <v>Battery Defect, 0</v>
      </c>
      <c r="T168" t="str">
        <f>_xlfn.XLOOKUP(B168,Disk_Pivot!G:G,Disk_Pivot!N:N)</f>
        <v>Pass, Fail</v>
      </c>
      <c r="U168" t="str">
        <f>IF(T168="Fail",MacReports!O168,"")</f>
        <v/>
      </c>
      <c r="AA168" t="str">
        <f t="shared" si="11"/>
        <v/>
      </c>
    </row>
    <row r="169" spans="1:27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str">
        <f>_xlfn.XLOOKUP(B169,MacReports!B:B,MacReports!E:E,"")</f>
        <v/>
      </c>
      <c r="F169" s="13">
        <f>MacReports!F169</f>
        <v>0</v>
      </c>
      <c r="G169" t="e">
        <f>_xlfn.XLOOKUP(F169,Models!A:A,Models!B:B)</f>
        <v>#N/A</v>
      </c>
      <c r="H169" t="e">
        <f>_xlfn.XLOOKUP(F169,Models!A:A,Models!E:E)</f>
        <v>#N/A</v>
      </c>
      <c r="I169" t="e">
        <f>_xlfn.XLOOKUP(F169,Models!A:A,Models!D:D)</f>
        <v>#N/A</v>
      </c>
      <c r="J169">
        <f>MacReports!G169</f>
        <v>0</v>
      </c>
      <c r="K169" s="59">
        <f>MacReports!H169</f>
        <v>0</v>
      </c>
      <c r="L169" t="str">
        <f t="shared" si="9"/>
        <v>0</v>
      </c>
      <c r="M169" s="15">
        <f>MacReports!I169</f>
        <v>0</v>
      </c>
      <c r="N169" s="16" t="str" cm="1">
        <f t="array" ref="N169">_xlfn.IFS(
   --MacReports!N169&lt;55,"Battery Defect",
  -- MacReports!N169&lt;=69,"Battery D",
  --MacReports!N169&lt;=80,"Battery C",
 --MacReports!N169&gt;80,""
)</f>
        <v>Battery Defect</v>
      </c>
      <c r="O169" s="16" t="str">
        <f>IF(MacReports!J169="Service","Battery Service","")</f>
        <v/>
      </c>
      <c r="P169" s="13">
        <f>MacReports!Q169</f>
        <v>0</v>
      </c>
      <c r="Q169" s="13" t="str">
        <f>IF(MacReports!K169="Enabled","Apple ID Lock","")</f>
        <v/>
      </c>
      <c r="R169" s="13" t="str">
        <f>IF(MacReports!M169="Remote Lock","Remote Locked","")</f>
        <v/>
      </c>
      <c r="S169" t="str">
        <f t="shared" si="10"/>
        <v>Battery Defect, 0</v>
      </c>
      <c r="T169" t="str">
        <f>_xlfn.XLOOKUP(B169,Disk_Pivot!G:G,Disk_Pivot!N:N)</f>
        <v>Pass, Fail</v>
      </c>
      <c r="U169" t="str">
        <f>IF(T169="Fail",MacReports!O169,"")</f>
        <v/>
      </c>
      <c r="AA169" t="str">
        <f t="shared" si="11"/>
        <v/>
      </c>
    </row>
    <row r="170" spans="1:27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str">
        <f>_xlfn.XLOOKUP(B170,MacReports!B:B,MacReports!E:E,"")</f>
        <v/>
      </c>
      <c r="F170" s="13">
        <f>MacReports!F170</f>
        <v>0</v>
      </c>
      <c r="G170" t="e">
        <f>_xlfn.XLOOKUP(F170,Models!A:A,Models!B:B)</f>
        <v>#N/A</v>
      </c>
      <c r="H170" t="e">
        <f>_xlfn.XLOOKUP(F170,Models!A:A,Models!E:E)</f>
        <v>#N/A</v>
      </c>
      <c r="I170" t="e">
        <f>_xlfn.XLOOKUP(F170,Models!A:A,Models!D:D)</f>
        <v>#N/A</v>
      </c>
      <c r="J170">
        <f>MacReports!G170</f>
        <v>0</v>
      </c>
      <c r="K170" s="59">
        <f>MacReports!H170</f>
        <v>0</v>
      </c>
      <c r="L170" t="str">
        <f t="shared" si="9"/>
        <v>0</v>
      </c>
      <c r="M170" s="15">
        <f>MacReports!I170</f>
        <v>0</v>
      </c>
      <c r="N170" s="16" t="str" cm="1">
        <f t="array" ref="N170">_xlfn.IFS(
   --MacReports!N170&lt;55,"Battery Defect",
  -- MacReports!N170&lt;=69,"Battery D",
  --MacReports!N170&lt;=80,"Battery C",
 --MacReports!N170&gt;80,""
)</f>
        <v>Battery Defect</v>
      </c>
      <c r="O170" s="16" t="str">
        <f>IF(MacReports!J170="Service","Battery Service","")</f>
        <v/>
      </c>
      <c r="P170" s="13">
        <f>MacReports!Q170</f>
        <v>0</v>
      </c>
      <c r="Q170" s="13" t="str">
        <f>IF(MacReports!K170="Enabled","Apple ID Lock","")</f>
        <v/>
      </c>
      <c r="R170" s="13" t="str">
        <f>IF(MacReports!M170="Remote Lock","Remote Locked","")</f>
        <v/>
      </c>
      <c r="S170" t="str">
        <f t="shared" si="10"/>
        <v>Battery Defect, 0</v>
      </c>
      <c r="T170" t="str">
        <f>_xlfn.XLOOKUP(B170,Disk_Pivot!G:G,Disk_Pivot!N:N)</f>
        <v>Pass, Fail</v>
      </c>
      <c r="U170" t="str">
        <f>IF(T170="Fail",MacReports!O170,"")</f>
        <v/>
      </c>
      <c r="AA170" t="str">
        <f t="shared" si="11"/>
        <v/>
      </c>
    </row>
    <row r="171" spans="1:27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str">
        <f>_xlfn.XLOOKUP(B171,MacReports!B:B,MacReports!E:E,"")</f>
        <v/>
      </c>
      <c r="F171" s="13">
        <f>MacReports!F171</f>
        <v>0</v>
      </c>
      <c r="G171" t="e">
        <f>_xlfn.XLOOKUP(F171,Models!A:A,Models!B:B)</f>
        <v>#N/A</v>
      </c>
      <c r="H171" t="e">
        <f>_xlfn.XLOOKUP(F171,Models!A:A,Models!E:E)</f>
        <v>#N/A</v>
      </c>
      <c r="I171" t="e">
        <f>_xlfn.XLOOKUP(F171,Models!A:A,Models!D:D)</f>
        <v>#N/A</v>
      </c>
      <c r="J171">
        <f>MacReports!G171</f>
        <v>0</v>
      </c>
      <c r="K171" s="59">
        <f>MacReports!H171</f>
        <v>0</v>
      </c>
      <c r="L171" t="str">
        <f t="shared" si="9"/>
        <v>0</v>
      </c>
      <c r="M171" s="15">
        <f>MacReports!I171</f>
        <v>0</v>
      </c>
      <c r="N171" s="16" t="str" cm="1">
        <f t="array" ref="N171">_xlfn.IFS(
   --MacReports!N171&lt;55,"Battery Defect",
  -- MacReports!N171&lt;=69,"Battery D",
  --MacReports!N171&lt;=80,"Battery C",
 --MacReports!N171&gt;80,""
)</f>
        <v>Battery Defect</v>
      </c>
      <c r="O171" s="16" t="str">
        <f>IF(MacReports!J171="Service","Battery Service","")</f>
        <v/>
      </c>
      <c r="P171" s="13">
        <f>MacReports!Q171</f>
        <v>0</v>
      </c>
      <c r="Q171" s="13" t="str">
        <f>IF(MacReports!K171="Enabled","Apple ID Lock","")</f>
        <v/>
      </c>
      <c r="R171" s="13" t="str">
        <f>IF(MacReports!M171="Remote Lock","Remote Locked","")</f>
        <v/>
      </c>
      <c r="S171" t="str">
        <f t="shared" si="10"/>
        <v>Battery Defect, 0</v>
      </c>
      <c r="T171" t="str">
        <f>_xlfn.XLOOKUP(B171,Disk_Pivot!G:G,Disk_Pivot!N:N)</f>
        <v>Pass, Fail</v>
      </c>
      <c r="U171" t="str">
        <f>IF(T171="Fail",MacReports!O171,"")</f>
        <v/>
      </c>
      <c r="AA171" t="str">
        <f t="shared" si="11"/>
        <v/>
      </c>
    </row>
    <row r="172" spans="1:27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str">
        <f>_xlfn.XLOOKUP(B172,MacReports!B:B,MacReports!E:E,"")</f>
        <v/>
      </c>
      <c r="F172" s="13">
        <f>MacReports!F172</f>
        <v>0</v>
      </c>
      <c r="G172" t="e">
        <f>_xlfn.XLOOKUP(F172,Models!A:A,Models!B:B)</f>
        <v>#N/A</v>
      </c>
      <c r="H172" t="e">
        <f>_xlfn.XLOOKUP(F172,Models!A:A,Models!E:E)</f>
        <v>#N/A</v>
      </c>
      <c r="I172" t="e">
        <f>_xlfn.XLOOKUP(F172,Models!A:A,Models!D:D)</f>
        <v>#N/A</v>
      </c>
      <c r="J172">
        <f>MacReports!G172</f>
        <v>0</v>
      </c>
      <c r="K172" s="59">
        <f>MacReports!H172</f>
        <v>0</v>
      </c>
      <c r="L172" t="str">
        <f t="shared" si="9"/>
        <v>0</v>
      </c>
      <c r="M172" s="15">
        <f>MacReports!I172</f>
        <v>0</v>
      </c>
      <c r="N172" s="16" t="str" cm="1">
        <f t="array" ref="N172">_xlfn.IFS(
   --MacReports!N172&lt;55,"Battery Defect",
  -- MacReports!N172&lt;=69,"Battery D",
  --MacReports!N172&lt;=80,"Battery C",
 --MacReports!N172&gt;80,""
)</f>
        <v>Battery Defect</v>
      </c>
      <c r="O172" s="16" t="str">
        <f>IF(MacReports!J172="Service","Battery Service","")</f>
        <v/>
      </c>
      <c r="P172" s="13">
        <f>MacReports!Q172</f>
        <v>0</v>
      </c>
      <c r="Q172" s="13" t="str">
        <f>IF(MacReports!K172="Enabled","Apple ID Lock","")</f>
        <v/>
      </c>
      <c r="R172" s="13" t="str">
        <f>IF(MacReports!M172="Remote Lock","Remote Locked","")</f>
        <v/>
      </c>
      <c r="S172" t="str">
        <f t="shared" si="10"/>
        <v>Battery Defect, 0</v>
      </c>
      <c r="T172" t="str">
        <f>_xlfn.XLOOKUP(B172,Disk_Pivot!G:G,Disk_Pivot!N:N)</f>
        <v>Pass, Fail</v>
      </c>
      <c r="U172" t="str">
        <f>IF(T172="Fail",MacReports!O172,"")</f>
        <v/>
      </c>
      <c r="AA172" t="str">
        <f t="shared" si="11"/>
        <v/>
      </c>
    </row>
    <row r="173" spans="1:27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str">
        <f>_xlfn.XLOOKUP(B173,MacReports!B:B,MacReports!E:E,"")</f>
        <v/>
      </c>
      <c r="F173" s="13">
        <f>MacReports!F173</f>
        <v>0</v>
      </c>
      <c r="G173" t="e">
        <f>_xlfn.XLOOKUP(F173,Models!A:A,Models!B:B)</f>
        <v>#N/A</v>
      </c>
      <c r="H173" t="e">
        <f>_xlfn.XLOOKUP(F173,Models!A:A,Models!E:E)</f>
        <v>#N/A</v>
      </c>
      <c r="I173" t="e">
        <f>_xlfn.XLOOKUP(F173,Models!A:A,Models!D:D)</f>
        <v>#N/A</v>
      </c>
      <c r="J173">
        <f>MacReports!G173</f>
        <v>0</v>
      </c>
      <c r="K173" s="59">
        <f>MacReports!H173</f>
        <v>0</v>
      </c>
      <c r="L173" t="str">
        <f t="shared" si="9"/>
        <v>0</v>
      </c>
      <c r="M173" s="15">
        <f>MacReports!I173</f>
        <v>0</v>
      </c>
      <c r="N173" s="16" t="str" cm="1">
        <f t="array" ref="N173">_xlfn.IFS(
   --MacReports!N173&lt;55,"Battery Defect",
  -- MacReports!N173&lt;=69,"Battery D",
  --MacReports!N173&lt;=80,"Battery C",
 --MacReports!N173&gt;80,""
)</f>
        <v>Battery Defect</v>
      </c>
      <c r="O173" s="16" t="str">
        <f>IF(MacReports!J173="Service","Battery Service","")</f>
        <v/>
      </c>
      <c r="P173" s="13">
        <f>MacReports!Q173</f>
        <v>0</v>
      </c>
      <c r="Q173" s="13" t="str">
        <f>IF(MacReports!K173="Enabled","Apple ID Lock","")</f>
        <v/>
      </c>
      <c r="R173" s="13" t="str">
        <f>IF(MacReports!M173="Remote Lock","Remote Locked","")</f>
        <v/>
      </c>
      <c r="S173" t="str">
        <f t="shared" si="10"/>
        <v>Battery Defect, 0</v>
      </c>
      <c r="T173" t="str">
        <f>_xlfn.XLOOKUP(B173,Disk_Pivot!G:G,Disk_Pivot!N:N)</f>
        <v>Pass, Fail</v>
      </c>
      <c r="U173" t="str">
        <f>IF(T173="Fail",MacReports!O173,"")</f>
        <v/>
      </c>
      <c r="AA173" t="str">
        <f t="shared" si="11"/>
        <v/>
      </c>
    </row>
    <row r="174" spans="1:27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str">
        <f>_xlfn.XLOOKUP(B174,MacReports!B:B,MacReports!E:E,"")</f>
        <v/>
      </c>
      <c r="F174" s="13">
        <f>MacReports!F174</f>
        <v>0</v>
      </c>
      <c r="G174" t="e">
        <f>_xlfn.XLOOKUP(F174,Models!A:A,Models!B:B)</f>
        <v>#N/A</v>
      </c>
      <c r="H174" t="e">
        <f>_xlfn.XLOOKUP(F174,Models!A:A,Models!E:E)</f>
        <v>#N/A</v>
      </c>
      <c r="I174" t="e">
        <f>_xlfn.XLOOKUP(F174,Models!A:A,Models!D:D)</f>
        <v>#N/A</v>
      </c>
      <c r="J174">
        <f>MacReports!G174</f>
        <v>0</v>
      </c>
      <c r="K174" s="59">
        <f>MacReports!H174</f>
        <v>0</v>
      </c>
      <c r="L174" t="str">
        <f t="shared" si="9"/>
        <v>0</v>
      </c>
      <c r="M174" s="15">
        <f>MacReports!I174</f>
        <v>0</v>
      </c>
      <c r="N174" s="16" t="str" cm="1">
        <f t="array" ref="N174">_xlfn.IFS(
   --MacReports!N174&lt;55,"Battery Defect",
  -- MacReports!N174&lt;=69,"Battery D",
  --MacReports!N174&lt;=80,"Battery C",
 --MacReports!N174&gt;80,""
)</f>
        <v>Battery Defect</v>
      </c>
      <c r="O174" s="16" t="str">
        <f>IF(MacReports!J174="Service","Battery Service","")</f>
        <v/>
      </c>
      <c r="P174" s="13">
        <f>MacReports!Q174</f>
        <v>0</v>
      </c>
      <c r="Q174" s="13" t="str">
        <f>IF(MacReports!K174="Enabled","Apple ID Lock","")</f>
        <v/>
      </c>
      <c r="R174" s="13" t="str">
        <f>IF(MacReports!M174="Remote Lock","Remote Locked","")</f>
        <v/>
      </c>
      <c r="S174" t="str">
        <f t="shared" si="10"/>
        <v>Battery Defect, 0</v>
      </c>
      <c r="T174" t="str">
        <f>_xlfn.XLOOKUP(B174,Disk_Pivot!G:G,Disk_Pivot!N:N)</f>
        <v>Pass, Fail</v>
      </c>
      <c r="U174" t="str">
        <f>IF(T174="Fail",MacReports!O174,"")</f>
        <v/>
      </c>
      <c r="AA174" t="str">
        <f t="shared" si="11"/>
        <v/>
      </c>
    </row>
    <row r="175" spans="1:27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str">
        <f>_xlfn.XLOOKUP(B175,MacReports!B:B,MacReports!E:E,"")</f>
        <v/>
      </c>
      <c r="F175" s="13">
        <f>MacReports!F175</f>
        <v>0</v>
      </c>
      <c r="G175" t="e">
        <f>_xlfn.XLOOKUP(F175,Models!A:A,Models!B:B)</f>
        <v>#N/A</v>
      </c>
      <c r="H175" t="e">
        <f>_xlfn.XLOOKUP(F175,Models!A:A,Models!E:E)</f>
        <v>#N/A</v>
      </c>
      <c r="I175" t="e">
        <f>_xlfn.XLOOKUP(F175,Models!A:A,Models!D:D)</f>
        <v>#N/A</v>
      </c>
      <c r="J175">
        <f>MacReports!G175</f>
        <v>0</v>
      </c>
      <c r="K175" s="59">
        <f>MacReports!H175</f>
        <v>0</v>
      </c>
      <c r="L175" t="str">
        <f t="shared" si="9"/>
        <v>0</v>
      </c>
      <c r="M175" s="15">
        <f>MacReports!I175</f>
        <v>0</v>
      </c>
      <c r="N175" s="16" t="str" cm="1">
        <f t="array" ref="N175">_xlfn.IFS(
   --MacReports!N175&lt;55,"Battery Defect",
  -- MacReports!N175&lt;=69,"Battery D",
  --MacReports!N175&lt;=80,"Battery C",
 --MacReports!N175&gt;80,""
)</f>
        <v>Battery Defect</v>
      </c>
      <c r="O175" s="16" t="str">
        <f>IF(MacReports!J175="Service","Battery Service","")</f>
        <v/>
      </c>
      <c r="P175" s="13">
        <f>MacReports!Q175</f>
        <v>0</v>
      </c>
      <c r="Q175" s="13" t="str">
        <f>IF(MacReports!K175="Enabled","Apple ID Lock","")</f>
        <v/>
      </c>
      <c r="R175" s="13" t="str">
        <f>IF(MacReports!M175="Remote Lock","Remote Locked","")</f>
        <v/>
      </c>
      <c r="S175" t="str">
        <f t="shared" si="10"/>
        <v>Battery Defect, 0</v>
      </c>
      <c r="T175" t="str">
        <f>_xlfn.XLOOKUP(B175,Disk_Pivot!G:G,Disk_Pivot!N:N)</f>
        <v>Pass, Fail</v>
      </c>
      <c r="U175" t="str">
        <f>IF(T175="Fail",MacReports!O175,"")</f>
        <v/>
      </c>
      <c r="AA175" t="str">
        <f t="shared" si="11"/>
        <v/>
      </c>
    </row>
    <row r="176" spans="1:27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str">
        <f>_xlfn.XLOOKUP(B176,MacReports!B:B,MacReports!E:E,"")</f>
        <v/>
      </c>
      <c r="F176" s="13">
        <f>MacReports!F176</f>
        <v>0</v>
      </c>
      <c r="G176" t="e">
        <f>_xlfn.XLOOKUP(F176,Models!A:A,Models!B:B)</f>
        <v>#N/A</v>
      </c>
      <c r="H176" t="e">
        <f>_xlfn.XLOOKUP(F176,Models!A:A,Models!E:E)</f>
        <v>#N/A</v>
      </c>
      <c r="I176" t="e">
        <f>_xlfn.XLOOKUP(F176,Models!A:A,Models!D:D)</f>
        <v>#N/A</v>
      </c>
      <c r="J176">
        <f>MacReports!G176</f>
        <v>0</v>
      </c>
      <c r="K176" s="59">
        <f>MacReports!H176</f>
        <v>0</v>
      </c>
      <c r="L176" t="str">
        <f t="shared" si="9"/>
        <v>0</v>
      </c>
      <c r="M176" s="15">
        <f>MacReports!I176</f>
        <v>0</v>
      </c>
      <c r="N176" s="16" t="str" cm="1">
        <f t="array" ref="N176">_xlfn.IFS(
   --MacReports!N176&lt;55,"Battery Defect",
  -- MacReports!N176&lt;=69,"Battery D",
  --MacReports!N176&lt;=80,"Battery C",
 --MacReports!N176&gt;80,""
)</f>
        <v>Battery Defect</v>
      </c>
      <c r="O176" s="16" t="str">
        <f>IF(MacReports!J176="Service","Battery Service","")</f>
        <v/>
      </c>
      <c r="P176" s="13">
        <f>MacReports!Q176</f>
        <v>0</v>
      </c>
      <c r="Q176" s="13" t="str">
        <f>IF(MacReports!K176="Enabled","Apple ID Lock","")</f>
        <v/>
      </c>
      <c r="R176" s="13" t="str">
        <f>IF(MacReports!M176="Remote Lock","Remote Locked","")</f>
        <v/>
      </c>
      <c r="S176" t="str">
        <f t="shared" si="10"/>
        <v>Battery Defect, 0</v>
      </c>
      <c r="T176" t="str">
        <f>_xlfn.XLOOKUP(B176,Disk_Pivot!G:G,Disk_Pivot!N:N)</f>
        <v>Pass, Fail</v>
      </c>
      <c r="U176" t="str">
        <f>IF(T176="Fail",MacReports!O176,"")</f>
        <v/>
      </c>
      <c r="AA176" t="str">
        <f t="shared" si="11"/>
        <v/>
      </c>
    </row>
    <row r="177" spans="1:27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str">
        <f>_xlfn.XLOOKUP(B177,MacReports!B:B,MacReports!E:E,"")</f>
        <v/>
      </c>
      <c r="F177" s="13">
        <f>MacReports!F177</f>
        <v>0</v>
      </c>
      <c r="G177" t="e">
        <f>_xlfn.XLOOKUP(F177,Models!A:A,Models!B:B)</f>
        <v>#N/A</v>
      </c>
      <c r="H177" t="e">
        <f>_xlfn.XLOOKUP(F177,Models!A:A,Models!E:E)</f>
        <v>#N/A</v>
      </c>
      <c r="I177" t="e">
        <f>_xlfn.XLOOKUP(F177,Models!A:A,Models!D:D)</f>
        <v>#N/A</v>
      </c>
      <c r="J177">
        <f>MacReports!G177</f>
        <v>0</v>
      </c>
      <c r="K177" s="59">
        <f>MacReports!H177</f>
        <v>0</v>
      </c>
      <c r="L177" t="str">
        <f t="shared" si="9"/>
        <v>0</v>
      </c>
      <c r="M177" s="15">
        <f>MacReports!I177</f>
        <v>0</v>
      </c>
      <c r="N177" s="16" t="str" cm="1">
        <f t="array" ref="N177">_xlfn.IFS(
   --MacReports!N177&lt;55,"Battery Defect",
  -- MacReports!N177&lt;=69,"Battery D",
  --MacReports!N177&lt;=80,"Battery C",
 --MacReports!N177&gt;80,""
)</f>
        <v>Battery Defect</v>
      </c>
      <c r="O177" s="16" t="str">
        <f>IF(MacReports!J177="Service","Battery Service","")</f>
        <v/>
      </c>
      <c r="P177" s="13">
        <f>MacReports!Q177</f>
        <v>0</v>
      </c>
      <c r="Q177" s="13" t="str">
        <f>IF(MacReports!K177="Enabled","Apple ID Lock","")</f>
        <v/>
      </c>
      <c r="R177" s="13" t="str">
        <f>IF(MacReports!M177="Remote Lock","Remote Locked","")</f>
        <v/>
      </c>
      <c r="S177" t="str">
        <f t="shared" si="10"/>
        <v>Battery Defect, 0</v>
      </c>
      <c r="T177" t="str">
        <f>_xlfn.XLOOKUP(B177,Disk_Pivot!G:G,Disk_Pivot!N:N)</f>
        <v>Pass, Fail</v>
      </c>
      <c r="U177" t="str">
        <f>IF(T177="Fail",MacReports!O177,"")</f>
        <v/>
      </c>
      <c r="AA177" t="str">
        <f t="shared" si="11"/>
        <v/>
      </c>
    </row>
    <row r="178" spans="1:27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str">
        <f>_xlfn.XLOOKUP(B178,MacReports!B:B,MacReports!E:E,"")</f>
        <v/>
      </c>
      <c r="F178" s="13">
        <f>MacReports!F178</f>
        <v>0</v>
      </c>
      <c r="G178" t="e">
        <f>_xlfn.XLOOKUP(F178,Models!A:A,Models!B:B)</f>
        <v>#N/A</v>
      </c>
      <c r="H178" t="e">
        <f>_xlfn.XLOOKUP(F178,Models!A:A,Models!E:E)</f>
        <v>#N/A</v>
      </c>
      <c r="I178" t="e">
        <f>_xlfn.XLOOKUP(F178,Models!A:A,Models!D:D)</f>
        <v>#N/A</v>
      </c>
      <c r="J178">
        <f>MacReports!G178</f>
        <v>0</v>
      </c>
      <c r="K178" s="59">
        <f>MacReports!H178</f>
        <v>0</v>
      </c>
      <c r="L178" t="str">
        <f t="shared" si="9"/>
        <v>0</v>
      </c>
      <c r="M178" s="15">
        <f>MacReports!I178</f>
        <v>0</v>
      </c>
      <c r="N178" s="16" t="str" cm="1">
        <f t="array" ref="N178">_xlfn.IFS(
   --MacReports!N178&lt;55,"Battery Defect",
  -- MacReports!N178&lt;=69,"Battery D",
  --MacReports!N178&lt;=80,"Battery C",
 --MacReports!N178&gt;80,""
)</f>
        <v>Battery Defect</v>
      </c>
      <c r="O178" s="16" t="str">
        <f>IF(MacReports!J178="Service","Battery Service","")</f>
        <v/>
      </c>
      <c r="P178" s="13">
        <f>MacReports!Q178</f>
        <v>0</v>
      </c>
      <c r="Q178" s="13" t="str">
        <f>IF(MacReports!K178="Enabled","Apple ID Lock","")</f>
        <v/>
      </c>
      <c r="R178" s="13" t="str">
        <f>IF(MacReports!M178="Remote Lock","Remote Locked","")</f>
        <v/>
      </c>
      <c r="S178" t="str">
        <f t="shared" si="10"/>
        <v>Battery Defect, 0</v>
      </c>
      <c r="T178" t="str">
        <f>_xlfn.XLOOKUP(B178,Disk_Pivot!G:G,Disk_Pivot!N:N)</f>
        <v>Pass, Fail</v>
      </c>
      <c r="U178" t="str">
        <f>IF(T178="Fail",MacReports!O178,"")</f>
        <v/>
      </c>
      <c r="AA178" t="str">
        <f t="shared" si="11"/>
        <v/>
      </c>
    </row>
    <row r="179" spans="1:27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str">
        <f>_xlfn.XLOOKUP(B179,MacReports!B:B,MacReports!E:E,"")</f>
        <v/>
      </c>
      <c r="F179" s="13">
        <f>MacReports!F179</f>
        <v>0</v>
      </c>
      <c r="G179" t="e">
        <f>_xlfn.XLOOKUP(F179,Models!A:A,Models!B:B)</f>
        <v>#N/A</v>
      </c>
      <c r="H179" t="e">
        <f>_xlfn.XLOOKUP(F179,Models!A:A,Models!E:E)</f>
        <v>#N/A</v>
      </c>
      <c r="I179" t="e">
        <f>_xlfn.XLOOKUP(F179,Models!A:A,Models!D:D)</f>
        <v>#N/A</v>
      </c>
      <c r="J179">
        <f>MacReports!G179</f>
        <v>0</v>
      </c>
      <c r="K179" s="59">
        <f>MacReports!H179</f>
        <v>0</v>
      </c>
      <c r="L179" t="str">
        <f t="shared" si="9"/>
        <v>0</v>
      </c>
      <c r="M179" s="15">
        <f>MacReports!I179</f>
        <v>0</v>
      </c>
      <c r="N179" s="16" t="str" cm="1">
        <f t="array" ref="N179">_xlfn.IFS(
   --MacReports!N179&lt;55,"Battery Defect",
  -- MacReports!N179&lt;=69,"Battery D",
  --MacReports!N179&lt;=80,"Battery C",
 --MacReports!N179&gt;80,""
)</f>
        <v>Battery Defect</v>
      </c>
      <c r="O179" s="16" t="str">
        <f>IF(MacReports!J179="Service","Battery Service","")</f>
        <v/>
      </c>
      <c r="P179" s="13">
        <f>MacReports!Q179</f>
        <v>0</v>
      </c>
      <c r="Q179" s="13" t="str">
        <f>IF(MacReports!K179="Enabled","Apple ID Lock","")</f>
        <v/>
      </c>
      <c r="R179" s="13" t="str">
        <f>IF(MacReports!M179="Remote Lock","Remote Locked","")</f>
        <v/>
      </c>
      <c r="S179" t="str">
        <f t="shared" si="10"/>
        <v>Battery Defect, 0</v>
      </c>
      <c r="T179" t="str">
        <f>_xlfn.XLOOKUP(B179,Disk_Pivot!G:G,Disk_Pivot!N:N)</f>
        <v>Pass, Fail</v>
      </c>
      <c r="U179" t="str">
        <f>IF(T179="Fail",MacReports!O179,"")</f>
        <v/>
      </c>
      <c r="AA179" t="str">
        <f t="shared" si="11"/>
        <v/>
      </c>
    </row>
    <row r="180" spans="1:27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str">
        <f>_xlfn.XLOOKUP(B180,MacReports!B:B,MacReports!E:E,"")</f>
        <v/>
      </c>
      <c r="F180" s="13">
        <f>MacReports!F180</f>
        <v>0</v>
      </c>
      <c r="G180" t="e">
        <f>_xlfn.XLOOKUP(F180,Models!A:A,Models!B:B)</f>
        <v>#N/A</v>
      </c>
      <c r="H180" t="e">
        <f>_xlfn.XLOOKUP(F180,Models!A:A,Models!E:E)</f>
        <v>#N/A</v>
      </c>
      <c r="I180" t="e">
        <f>_xlfn.XLOOKUP(F180,Models!A:A,Models!D:D)</f>
        <v>#N/A</v>
      </c>
      <c r="J180">
        <f>MacReports!G180</f>
        <v>0</v>
      </c>
      <c r="K180" s="59">
        <f>MacReports!H180</f>
        <v>0</v>
      </c>
      <c r="L180" t="str">
        <f t="shared" si="9"/>
        <v>0</v>
      </c>
      <c r="M180" s="15">
        <f>MacReports!I180</f>
        <v>0</v>
      </c>
      <c r="N180" s="16" t="str" cm="1">
        <f t="array" ref="N180">_xlfn.IFS(
   --MacReports!N180&lt;55,"Battery Defect",
  -- MacReports!N180&lt;=69,"Battery D",
  --MacReports!N180&lt;=80,"Battery C",
 --MacReports!N180&gt;80,""
)</f>
        <v>Battery Defect</v>
      </c>
      <c r="O180" s="16" t="str">
        <f>IF(MacReports!J180="Service","Battery Service","")</f>
        <v/>
      </c>
      <c r="P180" s="13">
        <f>MacReports!Q180</f>
        <v>0</v>
      </c>
      <c r="Q180" s="13" t="str">
        <f>IF(MacReports!K180="Enabled","Apple ID Lock","")</f>
        <v/>
      </c>
      <c r="R180" s="13" t="str">
        <f>IF(MacReports!M180="Remote Lock","Remote Locked","")</f>
        <v/>
      </c>
      <c r="S180" t="str">
        <f t="shared" si="10"/>
        <v>Battery Defect, 0</v>
      </c>
      <c r="T180" t="str">
        <f>_xlfn.XLOOKUP(B180,Disk_Pivot!G:G,Disk_Pivot!N:N)</f>
        <v>Pass, Fail</v>
      </c>
      <c r="U180" t="str">
        <f>IF(T180="Fail",MacReports!O180,"")</f>
        <v/>
      </c>
      <c r="AA180" t="str">
        <f t="shared" si="11"/>
        <v/>
      </c>
    </row>
    <row r="181" spans="1:27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str">
        <f>_xlfn.XLOOKUP(B181,MacReports!B:B,MacReports!E:E,"")</f>
        <v/>
      </c>
      <c r="F181" s="13">
        <f>MacReports!F181</f>
        <v>0</v>
      </c>
      <c r="G181" t="e">
        <f>_xlfn.XLOOKUP(F181,Models!A:A,Models!B:B)</f>
        <v>#N/A</v>
      </c>
      <c r="H181" t="e">
        <f>_xlfn.XLOOKUP(F181,Models!A:A,Models!E:E)</f>
        <v>#N/A</v>
      </c>
      <c r="I181" t="e">
        <f>_xlfn.XLOOKUP(F181,Models!A:A,Models!D:D)</f>
        <v>#N/A</v>
      </c>
      <c r="J181">
        <f>MacReports!G181</f>
        <v>0</v>
      </c>
      <c r="K181" s="59">
        <f>MacReports!H181</f>
        <v>0</v>
      </c>
      <c r="L181" t="str">
        <f t="shared" si="9"/>
        <v>0</v>
      </c>
      <c r="M181" s="15">
        <f>MacReports!I181</f>
        <v>0</v>
      </c>
      <c r="N181" s="16" t="str" cm="1">
        <f t="array" ref="N181">_xlfn.IFS(
   --MacReports!N181&lt;55,"Battery Defect",
  -- MacReports!N181&lt;=69,"Battery D",
  --MacReports!N181&lt;=80,"Battery C",
 --MacReports!N181&gt;80,""
)</f>
        <v>Battery Defect</v>
      </c>
      <c r="O181" s="16" t="str">
        <f>IF(MacReports!J181="Service","Battery Service","")</f>
        <v/>
      </c>
      <c r="P181" s="13">
        <f>MacReports!Q181</f>
        <v>0</v>
      </c>
      <c r="Q181" s="13" t="str">
        <f>IF(MacReports!K181="Enabled","Apple ID Lock","")</f>
        <v/>
      </c>
      <c r="R181" s="13" t="str">
        <f>IF(MacReports!M181="Remote Lock","Remote Locked","")</f>
        <v/>
      </c>
      <c r="S181" t="str">
        <f t="shared" si="10"/>
        <v>Battery Defect, 0</v>
      </c>
      <c r="T181" t="str">
        <f>_xlfn.XLOOKUP(B181,Disk_Pivot!G:G,Disk_Pivot!N:N)</f>
        <v>Pass, Fail</v>
      </c>
      <c r="U181" t="str">
        <f>IF(T181="Fail",MacReports!O181,"")</f>
        <v/>
      </c>
      <c r="AA181" t="str">
        <f t="shared" si="11"/>
        <v/>
      </c>
    </row>
    <row r="182" spans="1:27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str">
        <f>_xlfn.XLOOKUP(B182,MacReports!B:B,MacReports!E:E,"")</f>
        <v/>
      </c>
      <c r="F182" s="13">
        <f>MacReports!F182</f>
        <v>0</v>
      </c>
      <c r="G182" t="e">
        <f>_xlfn.XLOOKUP(F182,Models!A:A,Models!B:B)</f>
        <v>#N/A</v>
      </c>
      <c r="H182" t="e">
        <f>_xlfn.XLOOKUP(F182,Models!A:A,Models!E:E)</f>
        <v>#N/A</v>
      </c>
      <c r="I182" t="e">
        <f>_xlfn.XLOOKUP(F182,Models!A:A,Models!D:D)</f>
        <v>#N/A</v>
      </c>
      <c r="J182">
        <f>MacReports!G182</f>
        <v>0</v>
      </c>
      <c r="K182" s="59">
        <f>MacReports!H182</f>
        <v>0</v>
      </c>
      <c r="L182" t="str">
        <f t="shared" si="9"/>
        <v>0</v>
      </c>
      <c r="M182" s="15">
        <f>MacReports!I182</f>
        <v>0</v>
      </c>
      <c r="N182" s="16" t="str" cm="1">
        <f t="array" ref="N182">_xlfn.IFS(
   --MacReports!N182&lt;55,"Battery Defect",
  -- MacReports!N182&lt;=69,"Battery D",
  --MacReports!N182&lt;=80,"Battery C",
 --MacReports!N182&gt;80,""
)</f>
        <v>Battery Defect</v>
      </c>
      <c r="O182" s="16" t="str">
        <f>IF(MacReports!J182="Service","Battery Service","")</f>
        <v/>
      </c>
      <c r="P182" s="13">
        <f>MacReports!Q182</f>
        <v>0</v>
      </c>
      <c r="Q182" s="13" t="str">
        <f>IF(MacReports!K182="Enabled","Apple ID Lock","")</f>
        <v/>
      </c>
      <c r="R182" s="13" t="str">
        <f>IF(MacReports!M182="Remote Lock","Remote Locked","")</f>
        <v/>
      </c>
      <c r="S182" t="str">
        <f t="shared" si="10"/>
        <v>Battery Defect, 0</v>
      </c>
      <c r="T182" t="str">
        <f>_xlfn.XLOOKUP(B182,Disk_Pivot!G:G,Disk_Pivot!N:N)</f>
        <v>Pass, Fail</v>
      </c>
      <c r="U182" t="str">
        <f>IF(T182="Fail",MacReports!O182,"")</f>
        <v/>
      </c>
      <c r="AA182" t="str">
        <f t="shared" si="11"/>
        <v/>
      </c>
    </row>
    <row r="183" spans="1:27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str">
        <f>_xlfn.XLOOKUP(B183,MacReports!B:B,MacReports!E:E,"")</f>
        <v/>
      </c>
      <c r="F183" s="13">
        <f>MacReports!F183</f>
        <v>0</v>
      </c>
      <c r="G183" t="e">
        <f>_xlfn.XLOOKUP(F183,Models!A:A,Models!B:B)</f>
        <v>#N/A</v>
      </c>
      <c r="H183" t="e">
        <f>_xlfn.XLOOKUP(F183,Models!A:A,Models!E:E)</f>
        <v>#N/A</v>
      </c>
      <c r="I183" t="e">
        <f>_xlfn.XLOOKUP(F183,Models!A:A,Models!D:D)</f>
        <v>#N/A</v>
      </c>
      <c r="J183">
        <f>MacReports!G183</f>
        <v>0</v>
      </c>
      <c r="K183" s="59">
        <f>MacReports!H183</f>
        <v>0</v>
      </c>
      <c r="L183" t="str">
        <f t="shared" si="9"/>
        <v>0</v>
      </c>
      <c r="M183" s="15">
        <f>MacReports!I183</f>
        <v>0</v>
      </c>
      <c r="N183" s="16" t="str" cm="1">
        <f t="array" ref="N183">_xlfn.IFS(
   --MacReports!N183&lt;55,"Battery Defect",
  -- MacReports!N183&lt;=69,"Battery D",
  --MacReports!N183&lt;=80,"Battery C",
 --MacReports!N183&gt;80,""
)</f>
        <v>Battery Defect</v>
      </c>
      <c r="O183" s="16" t="str">
        <f>IF(MacReports!J183="Service","Battery Service","")</f>
        <v/>
      </c>
      <c r="P183" s="13">
        <f>MacReports!Q183</f>
        <v>0</v>
      </c>
      <c r="Q183" s="13" t="str">
        <f>IF(MacReports!K183="Enabled","Apple ID Lock","")</f>
        <v/>
      </c>
      <c r="R183" s="13" t="str">
        <f>IF(MacReports!M183="Remote Lock","Remote Locked","")</f>
        <v/>
      </c>
      <c r="S183" t="str">
        <f t="shared" si="10"/>
        <v>Battery Defect, 0</v>
      </c>
      <c r="T183" t="str">
        <f>_xlfn.XLOOKUP(B183,Disk_Pivot!G:G,Disk_Pivot!N:N)</f>
        <v>Pass, Fail</v>
      </c>
      <c r="U183" t="str">
        <f>IF(T183="Fail",MacReports!O183,"")</f>
        <v/>
      </c>
      <c r="AA183" t="str">
        <f t="shared" si="11"/>
        <v/>
      </c>
    </row>
    <row r="184" spans="1:27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str">
        <f>_xlfn.XLOOKUP(B184,MacReports!B:B,MacReports!E:E,"")</f>
        <v/>
      </c>
      <c r="F184" s="13">
        <f>MacReports!F184</f>
        <v>0</v>
      </c>
      <c r="G184" t="e">
        <f>_xlfn.XLOOKUP(F184,Models!A:A,Models!B:B)</f>
        <v>#N/A</v>
      </c>
      <c r="H184" t="e">
        <f>_xlfn.XLOOKUP(F184,Models!A:A,Models!E:E)</f>
        <v>#N/A</v>
      </c>
      <c r="I184" t="e">
        <f>_xlfn.XLOOKUP(F184,Models!A:A,Models!D:D)</f>
        <v>#N/A</v>
      </c>
      <c r="J184">
        <f>MacReports!G184</f>
        <v>0</v>
      </c>
      <c r="K184" s="59">
        <f>MacReports!H184</f>
        <v>0</v>
      </c>
      <c r="L184" t="str">
        <f t="shared" si="9"/>
        <v>0</v>
      </c>
      <c r="M184" s="15">
        <f>MacReports!I184</f>
        <v>0</v>
      </c>
      <c r="N184" s="16" t="str" cm="1">
        <f t="array" ref="N184">_xlfn.IFS(
   --MacReports!N184&lt;55,"Battery Defect",
  -- MacReports!N184&lt;=69,"Battery D",
  --MacReports!N184&lt;=80,"Battery C",
 --MacReports!N184&gt;80,""
)</f>
        <v>Battery Defect</v>
      </c>
      <c r="O184" s="16" t="str">
        <f>IF(MacReports!J184="Service","Battery Service","")</f>
        <v/>
      </c>
      <c r="P184" s="13">
        <f>MacReports!Q184</f>
        <v>0</v>
      </c>
      <c r="Q184" s="13" t="str">
        <f>IF(MacReports!K184="Enabled","Apple ID Lock","")</f>
        <v/>
      </c>
      <c r="R184" s="13" t="str">
        <f>IF(MacReports!M184="Remote Lock","Remote Locked","")</f>
        <v/>
      </c>
      <c r="S184" t="str">
        <f t="shared" si="10"/>
        <v>Battery Defect, 0</v>
      </c>
      <c r="T184" t="str">
        <f>_xlfn.XLOOKUP(B184,Disk_Pivot!G:G,Disk_Pivot!N:N)</f>
        <v>Pass, Fail</v>
      </c>
      <c r="U184" t="str">
        <f>IF(T184="Fail",MacReports!O184,"")</f>
        <v/>
      </c>
      <c r="AA184" t="str">
        <f t="shared" si="11"/>
        <v/>
      </c>
    </row>
    <row r="185" spans="1:27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str">
        <f>_xlfn.XLOOKUP(B185,MacReports!B:B,MacReports!E:E,"")</f>
        <v/>
      </c>
      <c r="F185" s="13">
        <f>MacReports!F185</f>
        <v>0</v>
      </c>
      <c r="G185" t="e">
        <f>_xlfn.XLOOKUP(F185,Models!A:A,Models!B:B)</f>
        <v>#N/A</v>
      </c>
      <c r="H185" t="e">
        <f>_xlfn.XLOOKUP(F185,Models!A:A,Models!E:E)</f>
        <v>#N/A</v>
      </c>
      <c r="I185" t="e">
        <f>_xlfn.XLOOKUP(F185,Models!A:A,Models!D:D)</f>
        <v>#N/A</v>
      </c>
      <c r="J185">
        <f>MacReports!G185</f>
        <v>0</v>
      </c>
      <c r="K185" s="59">
        <f>MacReports!H185</f>
        <v>0</v>
      </c>
      <c r="L185" t="str">
        <f t="shared" si="9"/>
        <v>0</v>
      </c>
      <c r="M185" s="15">
        <f>MacReports!I185</f>
        <v>0</v>
      </c>
      <c r="N185" s="16" t="str" cm="1">
        <f t="array" ref="N185">_xlfn.IFS(
   --MacReports!N185&lt;55,"Battery Defect",
  -- MacReports!N185&lt;=69,"Battery D",
  --MacReports!N185&lt;=80,"Battery C",
 --MacReports!N185&gt;80,""
)</f>
        <v>Battery Defect</v>
      </c>
      <c r="O185" s="16" t="str">
        <f>IF(MacReports!J185="Service","Battery Service","")</f>
        <v/>
      </c>
      <c r="P185" s="13">
        <f>MacReports!Q185</f>
        <v>0</v>
      </c>
      <c r="Q185" s="13" t="str">
        <f>IF(MacReports!K185="Enabled","Apple ID Lock","")</f>
        <v/>
      </c>
      <c r="R185" s="13" t="str">
        <f>IF(MacReports!M185="Remote Lock","Remote Locked","")</f>
        <v/>
      </c>
      <c r="S185" t="str">
        <f t="shared" si="10"/>
        <v>Battery Defect, 0</v>
      </c>
      <c r="T185" t="str">
        <f>_xlfn.XLOOKUP(B185,Disk_Pivot!G:G,Disk_Pivot!N:N)</f>
        <v>Pass, Fail</v>
      </c>
      <c r="U185" t="str">
        <f>IF(T185="Fail",MacReports!O185,"")</f>
        <v/>
      </c>
      <c r="AA185" t="str">
        <f t="shared" si="11"/>
        <v/>
      </c>
    </row>
    <row r="186" spans="1:27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str">
        <f>_xlfn.XLOOKUP(B186,MacReports!B:B,MacReports!E:E,"")</f>
        <v/>
      </c>
      <c r="F186" s="13">
        <f>MacReports!F186</f>
        <v>0</v>
      </c>
      <c r="G186" t="e">
        <f>_xlfn.XLOOKUP(F186,Models!A:A,Models!B:B)</f>
        <v>#N/A</v>
      </c>
      <c r="H186" t="e">
        <f>_xlfn.XLOOKUP(F186,Models!A:A,Models!E:E)</f>
        <v>#N/A</v>
      </c>
      <c r="I186" t="e">
        <f>_xlfn.XLOOKUP(F186,Models!A:A,Models!D:D)</f>
        <v>#N/A</v>
      </c>
      <c r="J186">
        <f>MacReports!G186</f>
        <v>0</v>
      </c>
      <c r="K186" s="59">
        <f>MacReports!H186</f>
        <v>0</v>
      </c>
      <c r="L186" t="str">
        <f t="shared" si="9"/>
        <v>0</v>
      </c>
      <c r="M186" s="15">
        <f>MacReports!I186</f>
        <v>0</v>
      </c>
      <c r="N186" s="16" t="str" cm="1">
        <f t="array" ref="N186">_xlfn.IFS(
   --MacReports!N186&lt;55,"Battery Defect",
  -- MacReports!N186&lt;=69,"Battery D",
  --MacReports!N186&lt;=80,"Battery C",
 --MacReports!N186&gt;80,""
)</f>
        <v>Battery Defect</v>
      </c>
      <c r="O186" s="16" t="str">
        <f>IF(MacReports!J186="Service","Battery Service","")</f>
        <v/>
      </c>
      <c r="P186" s="13">
        <f>MacReports!Q186</f>
        <v>0</v>
      </c>
      <c r="Q186" s="13" t="str">
        <f>IF(MacReports!K186="Enabled","Apple ID Lock","")</f>
        <v/>
      </c>
      <c r="R186" s="13" t="str">
        <f>IF(MacReports!M186="Remote Lock","Remote Locked","")</f>
        <v/>
      </c>
      <c r="S186" t="str">
        <f t="shared" si="10"/>
        <v>Battery Defect, 0</v>
      </c>
      <c r="T186" t="str">
        <f>_xlfn.XLOOKUP(B186,Disk_Pivot!G:G,Disk_Pivot!N:N)</f>
        <v>Pass, Fail</v>
      </c>
      <c r="U186" t="str">
        <f>IF(T186="Fail",MacReports!O186,"")</f>
        <v/>
      </c>
      <c r="AA186" t="str">
        <f t="shared" si="11"/>
        <v/>
      </c>
    </row>
    <row r="187" spans="1:27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str">
        <f>_xlfn.XLOOKUP(B187,MacReports!B:B,MacReports!E:E,"")</f>
        <v/>
      </c>
      <c r="F187" s="13">
        <f>MacReports!F187</f>
        <v>0</v>
      </c>
      <c r="G187" t="e">
        <f>_xlfn.XLOOKUP(F187,Models!A:A,Models!B:B)</f>
        <v>#N/A</v>
      </c>
      <c r="H187" t="e">
        <f>_xlfn.XLOOKUP(F187,Models!A:A,Models!E:E)</f>
        <v>#N/A</v>
      </c>
      <c r="I187" t="e">
        <f>_xlfn.XLOOKUP(F187,Models!A:A,Models!D:D)</f>
        <v>#N/A</v>
      </c>
      <c r="J187">
        <f>MacReports!G187</f>
        <v>0</v>
      </c>
      <c r="K187" s="59">
        <f>MacReports!H187</f>
        <v>0</v>
      </c>
      <c r="L187" t="str">
        <f t="shared" si="9"/>
        <v>0</v>
      </c>
      <c r="M187" s="15">
        <f>MacReports!I187</f>
        <v>0</v>
      </c>
      <c r="N187" s="16" t="str" cm="1">
        <f t="array" ref="N187">_xlfn.IFS(
   --MacReports!N187&lt;55,"Battery Defect",
  -- MacReports!N187&lt;=69,"Battery D",
  --MacReports!N187&lt;=80,"Battery C",
 --MacReports!N187&gt;80,""
)</f>
        <v>Battery Defect</v>
      </c>
      <c r="O187" s="16" t="str">
        <f>IF(MacReports!J187="Service","Battery Service","")</f>
        <v/>
      </c>
      <c r="P187" s="13">
        <f>MacReports!Q187</f>
        <v>0</v>
      </c>
      <c r="Q187" s="13" t="str">
        <f>IF(MacReports!K187="Enabled","Apple ID Lock","")</f>
        <v/>
      </c>
      <c r="R187" s="13" t="str">
        <f>IF(MacReports!M187="Remote Lock","Remote Locked","")</f>
        <v/>
      </c>
      <c r="S187" t="str">
        <f t="shared" si="10"/>
        <v>Battery Defect, 0</v>
      </c>
      <c r="T187" t="str">
        <f>_xlfn.XLOOKUP(B187,Disk_Pivot!G:G,Disk_Pivot!N:N)</f>
        <v>Pass, Fail</v>
      </c>
      <c r="U187" t="str">
        <f>IF(T187="Fail",MacReports!O187,"")</f>
        <v/>
      </c>
      <c r="AA187" t="str">
        <f t="shared" si="11"/>
        <v/>
      </c>
    </row>
    <row r="188" spans="1:27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str">
        <f>_xlfn.XLOOKUP(B188,MacReports!B:B,MacReports!E:E,"")</f>
        <v/>
      </c>
      <c r="F188" s="13">
        <f>MacReports!F188</f>
        <v>0</v>
      </c>
      <c r="G188" t="e">
        <f>_xlfn.XLOOKUP(F188,Models!A:A,Models!B:B)</f>
        <v>#N/A</v>
      </c>
      <c r="H188" t="e">
        <f>_xlfn.XLOOKUP(F188,Models!A:A,Models!E:E)</f>
        <v>#N/A</v>
      </c>
      <c r="I188" t="e">
        <f>_xlfn.XLOOKUP(F188,Models!A:A,Models!D:D)</f>
        <v>#N/A</v>
      </c>
      <c r="J188">
        <f>MacReports!G188</f>
        <v>0</v>
      </c>
      <c r="K188" s="59">
        <f>MacReports!H188</f>
        <v>0</v>
      </c>
      <c r="L188" t="str">
        <f t="shared" si="9"/>
        <v>0</v>
      </c>
      <c r="M188" s="15">
        <f>MacReports!I188</f>
        <v>0</v>
      </c>
      <c r="N188" s="16" t="str" cm="1">
        <f t="array" ref="N188">_xlfn.IFS(
   --MacReports!N188&lt;55,"Battery Defect",
  -- MacReports!N188&lt;=69,"Battery D",
  --MacReports!N188&lt;=80,"Battery C",
 --MacReports!N188&gt;80,""
)</f>
        <v>Battery Defect</v>
      </c>
      <c r="O188" s="16" t="str">
        <f>IF(MacReports!J188="Service","Battery Service","")</f>
        <v/>
      </c>
      <c r="P188" s="13">
        <f>MacReports!Q188</f>
        <v>0</v>
      </c>
      <c r="Q188" s="13" t="str">
        <f>IF(MacReports!K188="Enabled","Apple ID Lock","")</f>
        <v/>
      </c>
      <c r="R188" s="13" t="str">
        <f>IF(MacReports!M188="Remote Lock","Remote Locked","")</f>
        <v/>
      </c>
      <c r="S188" t="str">
        <f t="shared" si="10"/>
        <v>Battery Defect, 0</v>
      </c>
      <c r="T188" t="str">
        <f>_xlfn.XLOOKUP(B188,Disk_Pivot!G:G,Disk_Pivot!N:N)</f>
        <v>Pass, Fail</v>
      </c>
      <c r="U188" t="str">
        <f>IF(T188="Fail",MacReports!O188,"")</f>
        <v/>
      </c>
      <c r="AA188" t="str">
        <f t="shared" si="11"/>
        <v/>
      </c>
    </row>
    <row r="189" spans="1:27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str">
        <f>_xlfn.XLOOKUP(B189,MacReports!B:B,MacReports!E:E,"")</f>
        <v/>
      </c>
      <c r="F189" s="13">
        <f>MacReports!F189</f>
        <v>0</v>
      </c>
      <c r="G189" t="e">
        <f>_xlfn.XLOOKUP(F189,Models!A:A,Models!B:B)</f>
        <v>#N/A</v>
      </c>
      <c r="H189" t="e">
        <f>_xlfn.XLOOKUP(F189,Models!A:A,Models!E:E)</f>
        <v>#N/A</v>
      </c>
      <c r="I189" t="e">
        <f>_xlfn.XLOOKUP(F189,Models!A:A,Models!D:D)</f>
        <v>#N/A</v>
      </c>
      <c r="J189">
        <f>MacReports!G189</f>
        <v>0</v>
      </c>
      <c r="K189" s="59">
        <f>MacReports!H189</f>
        <v>0</v>
      </c>
      <c r="L189" t="str">
        <f t="shared" si="9"/>
        <v>0</v>
      </c>
      <c r="M189" s="15">
        <f>MacReports!I189</f>
        <v>0</v>
      </c>
      <c r="N189" s="16" t="str" cm="1">
        <f t="array" ref="N189">_xlfn.IFS(
   --MacReports!N189&lt;55,"Battery Defect",
  -- MacReports!N189&lt;=69,"Battery D",
  --MacReports!N189&lt;=80,"Battery C",
 --MacReports!N189&gt;80,""
)</f>
        <v>Battery Defect</v>
      </c>
      <c r="O189" s="16" t="str">
        <f>IF(MacReports!J189="Service","Battery Service","")</f>
        <v/>
      </c>
      <c r="P189" s="13">
        <f>MacReports!Q189</f>
        <v>0</v>
      </c>
      <c r="Q189" s="13" t="str">
        <f>IF(MacReports!K189="Enabled","Apple ID Lock","")</f>
        <v/>
      </c>
      <c r="R189" s="13" t="str">
        <f>IF(MacReports!M189="Remote Lock","Remote Locked","")</f>
        <v/>
      </c>
      <c r="S189" t="str">
        <f t="shared" si="10"/>
        <v>Battery Defect, 0</v>
      </c>
      <c r="T189" t="str">
        <f>_xlfn.XLOOKUP(B189,Disk_Pivot!G:G,Disk_Pivot!N:N)</f>
        <v>Pass, Fail</v>
      </c>
      <c r="U189" t="str">
        <f>IF(T189="Fail",MacReports!O189,"")</f>
        <v/>
      </c>
      <c r="AA189" t="str">
        <f t="shared" si="11"/>
        <v/>
      </c>
    </row>
    <row r="190" spans="1:27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str">
        <f>_xlfn.XLOOKUP(B190,MacReports!B:B,MacReports!E:E,"")</f>
        <v/>
      </c>
      <c r="F190" s="13">
        <f>MacReports!F190</f>
        <v>0</v>
      </c>
      <c r="G190" t="e">
        <f>_xlfn.XLOOKUP(F190,Models!A:A,Models!B:B)</f>
        <v>#N/A</v>
      </c>
      <c r="H190" t="e">
        <f>_xlfn.XLOOKUP(F190,Models!A:A,Models!E:E)</f>
        <v>#N/A</v>
      </c>
      <c r="I190" t="e">
        <f>_xlfn.XLOOKUP(F190,Models!A:A,Models!D:D)</f>
        <v>#N/A</v>
      </c>
      <c r="J190">
        <f>MacReports!G190</f>
        <v>0</v>
      </c>
      <c r="K190" s="59">
        <f>MacReports!H190</f>
        <v>0</v>
      </c>
      <c r="L190" t="str">
        <f t="shared" si="9"/>
        <v>0</v>
      </c>
      <c r="M190" s="15">
        <f>MacReports!I190</f>
        <v>0</v>
      </c>
      <c r="N190" s="16" t="str" cm="1">
        <f t="array" ref="N190">_xlfn.IFS(
   --MacReports!N190&lt;55,"Battery Defect",
  -- MacReports!N190&lt;=69,"Battery D",
  --MacReports!N190&lt;=80,"Battery C",
 --MacReports!N190&gt;80,""
)</f>
        <v>Battery Defect</v>
      </c>
      <c r="O190" s="16" t="str">
        <f>IF(MacReports!J190="Service","Battery Service","")</f>
        <v/>
      </c>
      <c r="P190" s="13">
        <f>MacReports!Q190</f>
        <v>0</v>
      </c>
      <c r="Q190" s="13" t="str">
        <f>IF(MacReports!K190="Enabled","Apple ID Lock","")</f>
        <v/>
      </c>
      <c r="R190" s="13" t="str">
        <f>IF(MacReports!M190="Remote Lock","Remote Locked","")</f>
        <v/>
      </c>
      <c r="S190" t="str">
        <f t="shared" si="10"/>
        <v>Battery Defect, 0</v>
      </c>
      <c r="T190" t="str">
        <f>_xlfn.XLOOKUP(B190,Disk_Pivot!G:G,Disk_Pivot!N:N)</f>
        <v>Pass, Fail</v>
      </c>
      <c r="U190" t="str">
        <f>IF(T190="Fail",MacReports!O190,"")</f>
        <v/>
      </c>
      <c r="AA190" t="str">
        <f t="shared" si="11"/>
        <v/>
      </c>
    </row>
    <row r="191" spans="1:27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str">
        <f>_xlfn.XLOOKUP(B191,MacReports!B:B,MacReports!E:E,"")</f>
        <v/>
      </c>
      <c r="F191" s="13">
        <f>MacReports!F191</f>
        <v>0</v>
      </c>
      <c r="G191" t="e">
        <f>_xlfn.XLOOKUP(F191,Models!A:A,Models!B:B)</f>
        <v>#N/A</v>
      </c>
      <c r="H191" t="e">
        <f>_xlfn.XLOOKUP(F191,Models!A:A,Models!E:E)</f>
        <v>#N/A</v>
      </c>
      <c r="I191" t="e">
        <f>_xlfn.XLOOKUP(F191,Models!A:A,Models!D:D)</f>
        <v>#N/A</v>
      </c>
      <c r="J191">
        <f>MacReports!G191</f>
        <v>0</v>
      </c>
      <c r="K191" s="59">
        <f>MacReports!H191</f>
        <v>0</v>
      </c>
      <c r="L191" t="str">
        <f t="shared" si="9"/>
        <v>0</v>
      </c>
      <c r="M191" s="15">
        <f>MacReports!I191</f>
        <v>0</v>
      </c>
      <c r="N191" s="16" t="str" cm="1">
        <f t="array" ref="N191">_xlfn.IFS(
   --MacReports!N191&lt;55,"Battery Defect",
  -- MacReports!N191&lt;=69,"Battery D",
  --MacReports!N191&lt;=80,"Battery C",
 --MacReports!N191&gt;80,""
)</f>
        <v>Battery Defect</v>
      </c>
      <c r="O191" s="16" t="str">
        <f>IF(MacReports!J191="Service","Battery Service","")</f>
        <v/>
      </c>
      <c r="P191" s="13">
        <f>MacReports!Q191</f>
        <v>0</v>
      </c>
      <c r="Q191" s="13" t="str">
        <f>IF(MacReports!K191="Enabled","Apple ID Lock","")</f>
        <v/>
      </c>
      <c r="R191" s="13" t="str">
        <f>IF(MacReports!M191="Remote Lock","Remote Locked","")</f>
        <v/>
      </c>
      <c r="S191" t="str">
        <f t="shared" si="10"/>
        <v>Battery Defect, 0</v>
      </c>
      <c r="T191" t="str">
        <f>_xlfn.XLOOKUP(B191,Disk_Pivot!G:G,Disk_Pivot!N:N)</f>
        <v>Pass, Fail</v>
      </c>
      <c r="U191" t="str">
        <f>IF(T191="Fail",MacReports!O191,"")</f>
        <v/>
      </c>
      <c r="AA191" t="str">
        <f t="shared" si="11"/>
        <v/>
      </c>
    </row>
    <row r="192" spans="1:27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str">
        <f>_xlfn.XLOOKUP(B192,MacReports!B:B,MacReports!E:E,"")</f>
        <v/>
      </c>
      <c r="F192" s="13">
        <f>MacReports!F192</f>
        <v>0</v>
      </c>
      <c r="G192" t="e">
        <f>_xlfn.XLOOKUP(F192,Models!A:A,Models!B:B)</f>
        <v>#N/A</v>
      </c>
      <c r="H192" t="e">
        <f>_xlfn.XLOOKUP(F192,Models!A:A,Models!E:E)</f>
        <v>#N/A</v>
      </c>
      <c r="I192" t="e">
        <f>_xlfn.XLOOKUP(F192,Models!A:A,Models!D:D)</f>
        <v>#N/A</v>
      </c>
      <c r="J192">
        <f>MacReports!G192</f>
        <v>0</v>
      </c>
      <c r="K192" s="59">
        <f>MacReports!H192</f>
        <v>0</v>
      </c>
      <c r="L192" t="str">
        <f t="shared" si="9"/>
        <v>0</v>
      </c>
      <c r="M192" s="15">
        <f>MacReports!I192</f>
        <v>0</v>
      </c>
      <c r="N192" s="16" t="str" cm="1">
        <f t="array" ref="N192">_xlfn.IFS(
   --MacReports!N192&lt;55,"Battery Defect",
  -- MacReports!N192&lt;=69,"Battery D",
  --MacReports!N192&lt;=80,"Battery C",
 --MacReports!N192&gt;80,""
)</f>
        <v>Battery Defect</v>
      </c>
      <c r="O192" s="16" t="str">
        <f>IF(MacReports!J192="Service","Battery Service","")</f>
        <v/>
      </c>
      <c r="P192" s="13">
        <f>MacReports!Q192</f>
        <v>0</v>
      </c>
      <c r="Q192" s="13" t="str">
        <f>IF(MacReports!K192="Enabled","Apple ID Lock","")</f>
        <v/>
      </c>
      <c r="R192" s="13" t="str">
        <f>IF(MacReports!M192="Remote Lock","Remote Locked","")</f>
        <v/>
      </c>
      <c r="S192" t="str">
        <f t="shared" si="10"/>
        <v>Battery Defect, 0</v>
      </c>
      <c r="T192" t="str">
        <f>_xlfn.XLOOKUP(B192,Disk_Pivot!G:G,Disk_Pivot!N:N)</f>
        <v>Pass, Fail</v>
      </c>
      <c r="U192" t="str">
        <f>IF(T192="Fail",MacReports!O192,"")</f>
        <v/>
      </c>
      <c r="AA192" t="str">
        <f t="shared" si="11"/>
        <v/>
      </c>
    </row>
    <row r="193" spans="1:27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str">
        <f>_xlfn.XLOOKUP(B193,MacReports!B:B,MacReports!E:E,"")</f>
        <v/>
      </c>
      <c r="F193" s="13">
        <f>MacReports!F193</f>
        <v>0</v>
      </c>
      <c r="G193" t="e">
        <f>_xlfn.XLOOKUP(F193,Models!A:A,Models!B:B)</f>
        <v>#N/A</v>
      </c>
      <c r="H193" t="e">
        <f>_xlfn.XLOOKUP(F193,Models!A:A,Models!E:E)</f>
        <v>#N/A</v>
      </c>
      <c r="I193" t="e">
        <f>_xlfn.XLOOKUP(F193,Models!A:A,Models!D:D)</f>
        <v>#N/A</v>
      </c>
      <c r="J193">
        <f>MacReports!G193</f>
        <v>0</v>
      </c>
      <c r="K193" s="59">
        <f>MacReports!H193</f>
        <v>0</v>
      </c>
      <c r="L193" t="str">
        <f t="shared" si="9"/>
        <v>0</v>
      </c>
      <c r="M193" s="15">
        <f>MacReports!I193</f>
        <v>0</v>
      </c>
      <c r="N193" s="16" t="str" cm="1">
        <f t="array" ref="N193">_xlfn.IFS(
   --MacReports!N193&lt;55,"Battery Defect",
  -- MacReports!N193&lt;=69,"Battery D",
  --MacReports!N193&lt;=80,"Battery C",
 --MacReports!N193&gt;80,""
)</f>
        <v>Battery Defect</v>
      </c>
      <c r="O193" s="16" t="str">
        <f>IF(MacReports!J193="Service","Battery Service","")</f>
        <v/>
      </c>
      <c r="P193" s="13">
        <f>MacReports!Q193</f>
        <v>0</v>
      </c>
      <c r="Q193" s="13" t="str">
        <f>IF(MacReports!K193="Enabled","Apple ID Lock","")</f>
        <v/>
      </c>
      <c r="R193" s="13" t="str">
        <f>IF(MacReports!M193="Remote Lock","Remote Locked","")</f>
        <v/>
      </c>
      <c r="S193" t="str">
        <f t="shared" si="10"/>
        <v>Battery Defect, 0</v>
      </c>
      <c r="T193" t="str">
        <f>_xlfn.XLOOKUP(B193,Disk_Pivot!G:G,Disk_Pivot!N:N)</f>
        <v>Pass, Fail</v>
      </c>
      <c r="U193" t="str">
        <f>IF(T193="Fail",MacReports!O193,"")</f>
        <v/>
      </c>
      <c r="AA193" t="str">
        <f t="shared" si="11"/>
        <v/>
      </c>
    </row>
    <row r="194" spans="1:27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str">
        <f>_xlfn.XLOOKUP(B194,MacReports!B:B,MacReports!E:E,"")</f>
        <v/>
      </c>
      <c r="F194" s="13">
        <f>MacReports!F194</f>
        <v>0</v>
      </c>
      <c r="G194" t="e">
        <f>_xlfn.XLOOKUP(F194,Models!A:A,Models!B:B)</f>
        <v>#N/A</v>
      </c>
      <c r="H194" t="e">
        <f>_xlfn.XLOOKUP(F194,Models!A:A,Models!E:E)</f>
        <v>#N/A</v>
      </c>
      <c r="I194" t="e">
        <f>_xlfn.XLOOKUP(F194,Models!A:A,Models!D:D)</f>
        <v>#N/A</v>
      </c>
      <c r="J194">
        <f>MacReports!G194</f>
        <v>0</v>
      </c>
      <c r="K194" s="59">
        <f>MacReports!H194</f>
        <v>0</v>
      </c>
      <c r="L194" t="str">
        <f t="shared" si="9"/>
        <v>0</v>
      </c>
      <c r="M194" s="15">
        <f>MacReports!I194</f>
        <v>0</v>
      </c>
      <c r="N194" s="16" t="str" cm="1">
        <f t="array" ref="N194">_xlfn.IFS(
   --MacReports!N194&lt;55,"Battery Defect",
  -- MacReports!N194&lt;=69,"Battery D",
  --MacReports!N194&lt;=80,"Battery C",
 --MacReports!N194&gt;80,""
)</f>
        <v>Battery Defect</v>
      </c>
      <c r="O194" s="16" t="str">
        <f>IF(MacReports!J194="Service","Battery Service","")</f>
        <v/>
      </c>
      <c r="P194" s="13">
        <f>MacReports!Q194</f>
        <v>0</v>
      </c>
      <c r="Q194" s="13" t="str">
        <f>IF(MacReports!K194="Enabled","Apple ID Lock","")</f>
        <v/>
      </c>
      <c r="R194" s="13" t="str">
        <f>IF(MacReports!M194="Remote Lock","Remote Locked","")</f>
        <v/>
      </c>
      <c r="S194" t="str">
        <f t="shared" si="10"/>
        <v>Battery Defect, 0</v>
      </c>
      <c r="T194" t="str">
        <f>_xlfn.XLOOKUP(B194,Disk_Pivot!G:G,Disk_Pivot!N:N)</f>
        <v>Pass, Fail</v>
      </c>
      <c r="U194" t="str">
        <f>IF(T194="Fail",MacReports!O194,"")</f>
        <v/>
      </c>
      <c r="AA194" t="str">
        <f t="shared" si="11"/>
        <v/>
      </c>
    </row>
    <row r="195" spans="1:27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str">
        <f>_xlfn.XLOOKUP(B195,MacReports!B:B,MacReports!E:E,"")</f>
        <v/>
      </c>
      <c r="F195" s="13">
        <f>MacReports!F195</f>
        <v>0</v>
      </c>
      <c r="G195" t="e">
        <f>_xlfn.XLOOKUP(F195,Models!A:A,Models!B:B)</f>
        <v>#N/A</v>
      </c>
      <c r="H195" t="e">
        <f>_xlfn.XLOOKUP(F195,Models!A:A,Models!E:E)</f>
        <v>#N/A</v>
      </c>
      <c r="I195" t="e">
        <f>_xlfn.XLOOKUP(F195,Models!A:A,Models!D:D)</f>
        <v>#N/A</v>
      </c>
      <c r="J195">
        <f>MacReports!G195</f>
        <v>0</v>
      </c>
      <c r="K195" s="59">
        <f>MacReports!H195</f>
        <v>0</v>
      </c>
      <c r="L195" t="str">
        <f t="shared" ref="L195:L258" si="12">IFERROR(LEFT(K195,FIND(" ",K195)-1)&amp;" GB DDR"&amp;MID(K195,FIND("DDR",K195)+3,1), K195&amp;"")</f>
        <v>0</v>
      </c>
      <c r="M195" s="15">
        <f>MacReports!I195</f>
        <v>0</v>
      </c>
      <c r="N195" s="16" t="str" cm="1">
        <f t="array" ref="N195">_xlfn.IFS(
   --MacReports!N195&lt;55,"Battery Defect",
  -- MacReports!N195&lt;=69,"Battery D",
  --MacReports!N195&lt;=80,"Battery C",
 --MacReports!N195&gt;80,""
)</f>
        <v>Battery Defect</v>
      </c>
      <c r="O195" s="16" t="str">
        <f>IF(MacReports!J195="Service","Battery Service","")</f>
        <v/>
      </c>
      <c r="P195" s="13">
        <f>MacReports!Q195</f>
        <v>0</v>
      </c>
      <c r="Q195" s="13" t="str">
        <f>IF(MacReports!K195="Enabled","Apple ID Lock","")</f>
        <v/>
      </c>
      <c r="R195" s="13" t="str">
        <f>IF(MacReports!M195="Remote Lock","Remote Locked","")</f>
        <v/>
      </c>
      <c r="S195" t="str">
        <f t="shared" si="10"/>
        <v>Battery Defect, 0</v>
      </c>
      <c r="T195" t="str">
        <f>_xlfn.XLOOKUP(B195,Disk_Pivot!G:G,Disk_Pivot!N:N)</f>
        <v>Pass, Fail</v>
      </c>
      <c r="U195" t="str">
        <f>IF(T195="Fail",MacReports!O195,"")</f>
        <v/>
      </c>
      <c r="AA195" t="str">
        <f t="shared" si="11"/>
        <v/>
      </c>
    </row>
    <row r="196" spans="1:27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str">
        <f>_xlfn.XLOOKUP(B196,MacReports!B:B,MacReports!E:E,"")</f>
        <v/>
      </c>
      <c r="F196" s="13">
        <f>MacReports!F196</f>
        <v>0</v>
      </c>
      <c r="G196" t="e">
        <f>_xlfn.XLOOKUP(F196,Models!A:A,Models!B:B)</f>
        <v>#N/A</v>
      </c>
      <c r="H196" t="e">
        <f>_xlfn.XLOOKUP(F196,Models!A:A,Models!E:E)</f>
        <v>#N/A</v>
      </c>
      <c r="I196" t="e">
        <f>_xlfn.XLOOKUP(F196,Models!A:A,Models!D:D)</f>
        <v>#N/A</v>
      </c>
      <c r="J196">
        <f>MacReports!G196</f>
        <v>0</v>
      </c>
      <c r="K196" s="59">
        <f>MacReports!H196</f>
        <v>0</v>
      </c>
      <c r="L196" t="str">
        <f t="shared" si="12"/>
        <v>0</v>
      </c>
      <c r="M196" s="15">
        <f>MacReports!I196</f>
        <v>0</v>
      </c>
      <c r="N196" s="16" t="str" cm="1">
        <f t="array" ref="N196">_xlfn.IFS(
   --MacReports!N196&lt;55,"Battery Defect",
  -- MacReports!N196&lt;=69,"Battery D",
  --MacReports!N196&lt;=80,"Battery C",
 --MacReports!N196&gt;80,""
)</f>
        <v>Battery Defect</v>
      </c>
      <c r="O196" s="16" t="str">
        <f>IF(MacReports!J196="Service","Battery Service","")</f>
        <v/>
      </c>
      <c r="P196" s="13">
        <f>MacReports!Q196</f>
        <v>0</v>
      </c>
      <c r="Q196" s="13" t="str">
        <f>IF(MacReports!K196="Enabled","Apple ID Lock","")</f>
        <v/>
      </c>
      <c r="R196" s="13" t="str">
        <f>IF(MacReports!M196="Remote Lock","Remote Locked","")</f>
        <v/>
      </c>
      <c r="S196" t="str">
        <f t="shared" si="10"/>
        <v>Battery Defect, 0</v>
      </c>
      <c r="T196" t="str">
        <f>_xlfn.XLOOKUP(B196,Disk_Pivot!G:G,Disk_Pivot!N:N)</f>
        <v>Pass, Fail</v>
      </c>
      <c r="U196" t="str">
        <f>IF(T196="Fail",MacReports!O196,"")</f>
        <v/>
      </c>
      <c r="AA196" t="str">
        <f t="shared" si="11"/>
        <v/>
      </c>
    </row>
    <row r="197" spans="1:27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str">
        <f>_xlfn.XLOOKUP(B197,MacReports!B:B,MacReports!E:E,"")</f>
        <v/>
      </c>
      <c r="F197" s="13">
        <f>MacReports!F197</f>
        <v>0</v>
      </c>
      <c r="G197" t="e">
        <f>_xlfn.XLOOKUP(F197,Models!A:A,Models!B:B)</f>
        <v>#N/A</v>
      </c>
      <c r="H197" t="e">
        <f>_xlfn.XLOOKUP(F197,Models!A:A,Models!E:E)</f>
        <v>#N/A</v>
      </c>
      <c r="I197" t="e">
        <f>_xlfn.XLOOKUP(F197,Models!A:A,Models!D:D)</f>
        <v>#N/A</v>
      </c>
      <c r="J197">
        <f>MacReports!G197</f>
        <v>0</v>
      </c>
      <c r="K197" s="59">
        <f>MacReports!H197</f>
        <v>0</v>
      </c>
      <c r="L197" t="str">
        <f t="shared" si="12"/>
        <v>0</v>
      </c>
      <c r="M197" s="15">
        <f>MacReports!I197</f>
        <v>0</v>
      </c>
      <c r="N197" s="16" t="str" cm="1">
        <f t="array" ref="N197">_xlfn.IFS(
   --MacReports!N197&lt;55,"Battery Defect",
  -- MacReports!N197&lt;=69,"Battery D",
  --MacReports!N197&lt;=80,"Battery C",
 --MacReports!N197&gt;80,""
)</f>
        <v>Battery Defect</v>
      </c>
      <c r="O197" s="16" t="str">
        <f>IF(MacReports!J197="Service","Battery Service","")</f>
        <v/>
      </c>
      <c r="P197" s="13">
        <f>MacReports!Q197</f>
        <v>0</v>
      </c>
      <c r="Q197" s="13" t="str">
        <f>IF(MacReports!K197="Enabled","Apple ID Lock","")</f>
        <v/>
      </c>
      <c r="R197" s="13" t="str">
        <f>IF(MacReports!M197="Remote Lock","Remote Locked","")</f>
        <v/>
      </c>
      <c r="S197" t="str">
        <f t="shared" si="10"/>
        <v>Battery Defect, 0</v>
      </c>
      <c r="T197" t="str">
        <f>_xlfn.XLOOKUP(B197,Disk_Pivot!G:G,Disk_Pivot!N:N)</f>
        <v>Pass, Fail</v>
      </c>
      <c r="U197" t="str">
        <f>IF(T197="Fail",MacReports!O197,"")</f>
        <v/>
      </c>
      <c r="AA197" t="str">
        <f t="shared" si="11"/>
        <v/>
      </c>
    </row>
    <row r="198" spans="1:27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str">
        <f>_xlfn.XLOOKUP(B198,MacReports!B:B,MacReports!E:E,"")</f>
        <v/>
      </c>
      <c r="F198" s="13">
        <f>MacReports!F198</f>
        <v>0</v>
      </c>
      <c r="G198" t="e">
        <f>_xlfn.XLOOKUP(F198,Models!A:A,Models!B:B)</f>
        <v>#N/A</v>
      </c>
      <c r="H198" t="e">
        <f>_xlfn.XLOOKUP(F198,Models!A:A,Models!E:E)</f>
        <v>#N/A</v>
      </c>
      <c r="I198" t="e">
        <f>_xlfn.XLOOKUP(F198,Models!A:A,Models!D:D)</f>
        <v>#N/A</v>
      </c>
      <c r="J198">
        <f>MacReports!G198</f>
        <v>0</v>
      </c>
      <c r="K198" s="59">
        <f>MacReports!H198</f>
        <v>0</v>
      </c>
      <c r="L198" t="str">
        <f t="shared" si="12"/>
        <v>0</v>
      </c>
      <c r="M198" s="15">
        <f>MacReports!I198</f>
        <v>0</v>
      </c>
      <c r="N198" s="16" t="str" cm="1">
        <f t="array" ref="N198">_xlfn.IFS(
   --MacReports!N198&lt;55,"Battery Defect",
  -- MacReports!N198&lt;=69,"Battery D",
  --MacReports!N198&lt;=80,"Battery C",
 --MacReports!N198&gt;80,""
)</f>
        <v>Battery Defect</v>
      </c>
      <c r="O198" s="16" t="str">
        <f>IF(MacReports!J198="Service","Battery Service","")</f>
        <v/>
      </c>
      <c r="P198" s="13">
        <f>MacReports!Q198</f>
        <v>0</v>
      </c>
      <c r="Q198" s="13" t="str">
        <f>IF(MacReports!K198="Enabled","Apple ID Lock","")</f>
        <v/>
      </c>
      <c r="R198" s="13" t="str">
        <f>IF(MacReports!M198="Remote Lock","Remote Locked","")</f>
        <v/>
      </c>
      <c r="S198" t="str">
        <f t="shared" si="10"/>
        <v>Battery Defect, 0</v>
      </c>
      <c r="T198" t="str">
        <f>_xlfn.XLOOKUP(B198,Disk_Pivot!G:G,Disk_Pivot!N:N)</f>
        <v>Pass, Fail</v>
      </c>
      <c r="U198" t="str">
        <f>IF(T198="Fail",MacReports!O198,"")</f>
        <v/>
      </c>
      <c r="AA198" t="str">
        <f t="shared" si="11"/>
        <v/>
      </c>
    </row>
    <row r="199" spans="1:27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str">
        <f>_xlfn.XLOOKUP(B199,MacReports!B:B,MacReports!E:E,"")</f>
        <v/>
      </c>
      <c r="F199" s="13">
        <f>MacReports!F199</f>
        <v>0</v>
      </c>
      <c r="G199" t="e">
        <f>_xlfn.XLOOKUP(F199,Models!A:A,Models!B:B)</f>
        <v>#N/A</v>
      </c>
      <c r="H199" t="e">
        <f>_xlfn.XLOOKUP(F199,Models!A:A,Models!E:E)</f>
        <v>#N/A</v>
      </c>
      <c r="I199" t="e">
        <f>_xlfn.XLOOKUP(F199,Models!A:A,Models!D:D)</f>
        <v>#N/A</v>
      </c>
      <c r="J199">
        <f>MacReports!G199</f>
        <v>0</v>
      </c>
      <c r="K199" s="59">
        <f>MacReports!H199</f>
        <v>0</v>
      </c>
      <c r="L199" t="str">
        <f t="shared" si="12"/>
        <v>0</v>
      </c>
      <c r="M199" s="15">
        <f>MacReports!I199</f>
        <v>0</v>
      </c>
      <c r="N199" s="16" t="str" cm="1">
        <f t="array" ref="N199">_xlfn.IFS(
   --MacReports!N199&lt;55,"Battery Defect",
  -- MacReports!N199&lt;=69,"Battery D",
  --MacReports!N199&lt;=80,"Battery C",
 --MacReports!N199&gt;80,""
)</f>
        <v>Battery Defect</v>
      </c>
      <c r="O199" s="16" t="str">
        <f>IF(MacReports!J199="Service","Battery Service","")</f>
        <v/>
      </c>
      <c r="P199" s="13">
        <f>MacReports!Q199</f>
        <v>0</v>
      </c>
      <c r="Q199" s="13" t="str">
        <f>IF(MacReports!K199="Enabled","Apple ID Lock","")</f>
        <v/>
      </c>
      <c r="R199" s="13" t="str">
        <f>IF(MacReports!M199="Remote Lock","Remote Locked","")</f>
        <v/>
      </c>
      <c r="S199" t="str">
        <f t="shared" si="10"/>
        <v>Battery Defect, 0</v>
      </c>
      <c r="T199" t="str">
        <f>_xlfn.XLOOKUP(B199,Disk_Pivot!G:G,Disk_Pivot!N:N)</f>
        <v>Pass, Fail</v>
      </c>
      <c r="U199" t="str">
        <f>IF(T199="Fail",MacReports!O199,"")</f>
        <v/>
      </c>
      <c r="AA199" t="str">
        <f t="shared" si="11"/>
        <v/>
      </c>
    </row>
    <row r="200" spans="1:27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str">
        <f>_xlfn.XLOOKUP(B200,MacReports!B:B,MacReports!E:E,"")</f>
        <v/>
      </c>
      <c r="F200" s="13">
        <f>MacReports!F200</f>
        <v>0</v>
      </c>
      <c r="G200" t="e">
        <f>_xlfn.XLOOKUP(F200,Models!A:A,Models!B:B)</f>
        <v>#N/A</v>
      </c>
      <c r="H200" t="e">
        <f>_xlfn.XLOOKUP(F200,Models!A:A,Models!E:E)</f>
        <v>#N/A</v>
      </c>
      <c r="I200" t="e">
        <f>_xlfn.XLOOKUP(F200,Models!A:A,Models!D:D)</f>
        <v>#N/A</v>
      </c>
      <c r="J200">
        <f>MacReports!G200</f>
        <v>0</v>
      </c>
      <c r="K200" s="59">
        <f>MacReports!H200</f>
        <v>0</v>
      </c>
      <c r="L200" t="str">
        <f t="shared" si="12"/>
        <v>0</v>
      </c>
      <c r="M200" s="15">
        <f>MacReports!I200</f>
        <v>0</v>
      </c>
      <c r="N200" s="16" t="str" cm="1">
        <f t="array" ref="N200">_xlfn.IFS(
   --MacReports!N200&lt;55,"Battery Defect",
  -- MacReports!N200&lt;=69,"Battery D",
  --MacReports!N200&lt;=80,"Battery C",
 --MacReports!N200&gt;80,""
)</f>
        <v>Battery Defect</v>
      </c>
      <c r="O200" s="16" t="str">
        <f>IF(MacReports!J200="Service","Battery Service","")</f>
        <v/>
      </c>
      <c r="P200" s="13">
        <f>MacReports!Q200</f>
        <v>0</v>
      </c>
      <c r="Q200" s="13" t="str">
        <f>IF(MacReports!K200="Enabled","Apple ID Lock","")</f>
        <v/>
      </c>
      <c r="R200" s="13" t="str">
        <f>IF(MacReports!M200="Remote Lock","Remote Locked","")</f>
        <v/>
      </c>
      <c r="S200" t="str">
        <f t="shared" si="10"/>
        <v>Battery Defect, 0</v>
      </c>
      <c r="T200" t="str">
        <f>_xlfn.XLOOKUP(B200,Disk_Pivot!G:G,Disk_Pivot!N:N)</f>
        <v>Pass, Fail</v>
      </c>
      <c r="U200" t="str">
        <f>IF(T200="Fail",MacReports!O200,"")</f>
        <v/>
      </c>
      <c r="AA200" t="str">
        <f t="shared" si="11"/>
        <v/>
      </c>
    </row>
    <row r="201" spans="1:27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str">
        <f>_xlfn.XLOOKUP(B201,MacReports!B:B,MacReports!E:E,"")</f>
        <v/>
      </c>
      <c r="F201" s="13">
        <f>MacReports!F201</f>
        <v>0</v>
      </c>
      <c r="G201" t="e">
        <f>_xlfn.XLOOKUP(F201,Models!A:A,Models!B:B)</f>
        <v>#N/A</v>
      </c>
      <c r="H201" t="e">
        <f>_xlfn.XLOOKUP(F201,Models!A:A,Models!E:E)</f>
        <v>#N/A</v>
      </c>
      <c r="I201" t="e">
        <f>_xlfn.XLOOKUP(F201,Models!A:A,Models!D:D)</f>
        <v>#N/A</v>
      </c>
      <c r="J201">
        <f>MacReports!G201</f>
        <v>0</v>
      </c>
      <c r="K201" s="59">
        <f>MacReports!H201</f>
        <v>0</v>
      </c>
      <c r="L201" t="str">
        <f t="shared" si="12"/>
        <v>0</v>
      </c>
      <c r="M201" s="15">
        <f>MacReports!I201</f>
        <v>0</v>
      </c>
      <c r="N201" s="16" t="str" cm="1">
        <f t="array" ref="N201">_xlfn.IFS(
   --MacReports!N201&lt;55,"Battery Defect",
  -- MacReports!N201&lt;=69,"Battery D",
  --MacReports!N201&lt;=80,"Battery C",
 --MacReports!N201&gt;80,""
)</f>
        <v>Battery Defect</v>
      </c>
      <c r="O201" s="16" t="str">
        <f>IF(MacReports!J201="Service","Battery Service","")</f>
        <v/>
      </c>
      <c r="P201" s="13">
        <f>MacReports!Q201</f>
        <v>0</v>
      </c>
      <c r="Q201" s="13" t="str">
        <f>IF(MacReports!K201="Enabled","Apple ID Lock","")</f>
        <v/>
      </c>
      <c r="R201" s="13" t="str">
        <f>IF(MacReports!M201="Remote Lock","Remote Locked","")</f>
        <v/>
      </c>
      <c r="S201" t="str">
        <f t="shared" si="10"/>
        <v>Battery Defect, 0</v>
      </c>
      <c r="T201" t="str">
        <f>_xlfn.XLOOKUP(B201,Disk_Pivot!G:G,Disk_Pivot!N:N)</f>
        <v>Pass, Fail</v>
      </c>
      <c r="U201" t="str">
        <f>IF(T201="Fail",MacReports!O201,"")</f>
        <v/>
      </c>
      <c r="AA201" t="str">
        <f t="shared" si="11"/>
        <v/>
      </c>
    </row>
    <row r="202" spans="1:27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str">
        <f>_xlfn.XLOOKUP(B202,MacReports!B:B,MacReports!E:E,"")</f>
        <v/>
      </c>
      <c r="F202" s="13">
        <f>MacReports!F202</f>
        <v>0</v>
      </c>
      <c r="G202" t="e">
        <f>_xlfn.XLOOKUP(F202,Models!A:A,Models!B:B)</f>
        <v>#N/A</v>
      </c>
      <c r="H202" t="e">
        <f>_xlfn.XLOOKUP(F202,Models!A:A,Models!E:E)</f>
        <v>#N/A</v>
      </c>
      <c r="I202" t="e">
        <f>_xlfn.XLOOKUP(F202,Models!A:A,Models!D:D)</f>
        <v>#N/A</v>
      </c>
      <c r="J202">
        <f>MacReports!G202</f>
        <v>0</v>
      </c>
      <c r="K202" s="59">
        <f>MacReports!H202</f>
        <v>0</v>
      </c>
      <c r="L202" t="str">
        <f t="shared" si="12"/>
        <v>0</v>
      </c>
      <c r="M202" s="15">
        <f>MacReports!I202</f>
        <v>0</v>
      </c>
      <c r="N202" s="16" t="str" cm="1">
        <f t="array" ref="N202">_xlfn.IFS(
   --MacReports!N202&lt;55,"Battery Defect",
  -- MacReports!N202&lt;=69,"Battery D",
  --MacReports!N202&lt;=80,"Battery C",
 --MacReports!N202&gt;80,""
)</f>
        <v>Battery Defect</v>
      </c>
      <c r="O202" s="16" t="str">
        <f>IF(MacReports!J202="Service","Battery Service","")</f>
        <v/>
      </c>
      <c r="P202" s="13">
        <f>MacReports!Q202</f>
        <v>0</v>
      </c>
      <c r="Q202" s="13" t="str">
        <f>IF(MacReports!K202="Enabled","Apple ID Lock","")</f>
        <v/>
      </c>
      <c r="R202" s="13" t="str">
        <f>IF(MacReports!M202="Remote Lock","Remote Locked","")</f>
        <v/>
      </c>
      <c r="S202" t="str">
        <f t="shared" si="10"/>
        <v>Battery Defect, 0</v>
      </c>
      <c r="T202" t="str">
        <f>_xlfn.XLOOKUP(B202,Disk_Pivot!G:G,Disk_Pivot!N:N)</f>
        <v>Pass, Fail</v>
      </c>
      <c r="U202" t="str">
        <f>IF(T202="Fail",MacReports!O202,"")</f>
        <v/>
      </c>
      <c r="AA202" t="str">
        <f t="shared" si="11"/>
        <v/>
      </c>
    </row>
    <row r="203" spans="1:27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str">
        <f>_xlfn.XLOOKUP(B203,MacReports!B:B,MacReports!E:E,"")</f>
        <v/>
      </c>
      <c r="F203" s="13">
        <f>MacReports!F203</f>
        <v>0</v>
      </c>
      <c r="G203" t="e">
        <f>_xlfn.XLOOKUP(F203,Models!A:A,Models!B:B)</f>
        <v>#N/A</v>
      </c>
      <c r="H203" t="e">
        <f>_xlfn.XLOOKUP(F203,Models!A:A,Models!E:E)</f>
        <v>#N/A</v>
      </c>
      <c r="I203" t="e">
        <f>_xlfn.XLOOKUP(F203,Models!A:A,Models!D:D)</f>
        <v>#N/A</v>
      </c>
      <c r="J203">
        <f>MacReports!G203</f>
        <v>0</v>
      </c>
      <c r="K203" s="59">
        <f>MacReports!H203</f>
        <v>0</v>
      </c>
      <c r="L203" t="str">
        <f t="shared" si="12"/>
        <v>0</v>
      </c>
      <c r="M203" s="15">
        <f>MacReports!I203</f>
        <v>0</v>
      </c>
      <c r="N203" s="16" t="str" cm="1">
        <f t="array" ref="N203">_xlfn.IFS(
   --MacReports!N203&lt;55,"Battery Defect",
  -- MacReports!N203&lt;=69,"Battery D",
  --MacReports!N203&lt;=80,"Battery C",
 --MacReports!N203&gt;80,""
)</f>
        <v>Battery Defect</v>
      </c>
      <c r="O203" s="16" t="str">
        <f>IF(MacReports!J203="Service","Battery Service","")</f>
        <v/>
      </c>
      <c r="P203" s="13">
        <f>MacReports!Q203</f>
        <v>0</v>
      </c>
      <c r="Q203" s="13" t="str">
        <f>IF(MacReports!K203="Enabled","Apple ID Lock","")</f>
        <v/>
      </c>
      <c r="R203" s="13" t="str">
        <f>IF(MacReports!M203="Remote Lock","Remote Locked","")</f>
        <v/>
      </c>
      <c r="S203" t="str">
        <f t="shared" si="10"/>
        <v>Battery Defect, 0</v>
      </c>
      <c r="T203" t="str">
        <f>_xlfn.XLOOKUP(B203,Disk_Pivot!G:G,Disk_Pivot!N:N)</f>
        <v>Pass, Fail</v>
      </c>
      <c r="U203" t="str">
        <f>IF(T203="Fail",MacReports!O203,"")</f>
        <v/>
      </c>
      <c r="AA203" t="str">
        <f t="shared" si="11"/>
        <v/>
      </c>
    </row>
    <row r="204" spans="1:27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str">
        <f>_xlfn.XLOOKUP(B204,MacReports!B:B,MacReports!E:E,"")</f>
        <v/>
      </c>
      <c r="F204" s="13">
        <f>MacReports!F204</f>
        <v>0</v>
      </c>
      <c r="G204" t="e">
        <f>_xlfn.XLOOKUP(F204,Models!A:A,Models!B:B)</f>
        <v>#N/A</v>
      </c>
      <c r="H204" t="e">
        <f>_xlfn.XLOOKUP(F204,Models!A:A,Models!E:E)</f>
        <v>#N/A</v>
      </c>
      <c r="I204" t="e">
        <f>_xlfn.XLOOKUP(F204,Models!A:A,Models!D:D)</f>
        <v>#N/A</v>
      </c>
      <c r="J204">
        <f>MacReports!G204</f>
        <v>0</v>
      </c>
      <c r="K204" s="59">
        <f>MacReports!H204</f>
        <v>0</v>
      </c>
      <c r="L204" t="str">
        <f t="shared" si="12"/>
        <v>0</v>
      </c>
      <c r="M204" s="15">
        <f>MacReports!I204</f>
        <v>0</v>
      </c>
      <c r="N204" s="16" t="str" cm="1">
        <f t="array" ref="N204">_xlfn.IFS(
   --MacReports!N204&lt;55,"Battery Defect",
  -- MacReports!N204&lt;=69,"Battery D",
  --MacReports!N204&lt;=80,"Battery C",
 --MacReports!N204&gt;80,""
)</f>
        <v>Battery Defect</v>
      </c>
      <c r="O204" s="16" t="str">
        <f>IF(MacReports!J204="Service","Battery Service","")</f>
        <v/>
      </c>
      <c r="P204" s="13">
        <f>MacReports!Q204</f>
        <v>0</v>
      </c>
      <c r="Q204" s="13" t="str">
        <f>IF(MacReports!K204="Enabled","Apple ID Lock","")</f>
        <v/>
      </c>
      <c r="R204" s="13" t="str">
        <f>IF(MacReports!M204="Remote Lock","Remote Locked","")</f>
        <v/>
      </c>
      <c r="S204" t="str">
        <f t="shared" si="10"/>
        <v>Battery Defect, 0</v>
      </c>
      <c r="T204" t="str">
        <f>_xlfn.XLOOKUP(B204,Disk_Pivot!G:G,Disk_Pivot!N:N)</f>
        <v>Pass, Fail</v>
      </c>
      <c r="U204" t="str">
        <f>IF(T204="Fail",MacReports!O204,"")</f>
        <v/>
      </c>
      <c r="AA204" t="str">
        <f t="shared" si="11"/>
        <v/>
      </c>
    </row>
    <row r="205" spans="1:27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str">
        <f>_xlfn.XLOOKUP(B205,MacReports!B:B,MacReports!E:E,"")</f>
        <v/>
      </c>
      <c r="F205" s="13">
        <f>MacReports!F205</f>
        <v>0</v>
      </c>
      <c r="G205" t="e">
        <f>_xlfn.XLOOKUP(F205,Models!A:A,Models!B:B)</f>
        <v>#N/A</v>
      </c>
      <c r="H205" t="e">
        <f>_xlfn.XLOOKUP(F205,Models!A:A,Models!E:E)</f>
        <v>#N/A</v>
      </c>
      <c r="I205" t="e">
        <f>_xlfn.XLOOKUP(F205,Models!A:A,Models!D:D)</f>
        <v>#N/A</v>
      </c>
      <c r="J205">
        <f>MacReports!G205</f>
        <v>0</v>
      </c>
      <c r="K205" s="59">
        <f>MacReports!H205</f>
        <v>0</v>
      </c>
      <c r="L205" t="str">
        <f t="shared" si="12"/>
        <v>0</v>
      </c>
      <c r="M205" s="15">
        <f>MacReports!I205</f>
        <v>0</v>
      </c>
      <c r="N205" s="16" t="str" cm="1">
        <f t="array" ref="N205">_xlfn.IFS(
   --MacReports!N205&lt;55,"Battery Defect",
  -- MacReports!N205&lt;=69,"Battery D",
  --MacReports!N205&lt;=80,"Battery C",
 --MacReports!N205&gt;80,""
)</f>
        <v>Battery Defect</v>
      </c>
      <c r="O205" s="16" t="str">
        <f>IF(MacReports!J205="Service","Battery Service","")</f>
        <v/>
      </c>
      <c r="P205" s="13">
        <f>MacReports!Q205</f>
        <v>0</v>
      </c>
      <c r="Q205" s="13" t="str">
        <f>IF(MacReports!K205="Enabled","Apple ID Lock","")</f>
        <v/>
      </c>
      <c r="R205" s="13" t="str">
        <f>IF(MacReports!M205="Remote Lock","Remote Locked","")</f>
        <v/>
      </c>
      <c r="S205" t="str">
        <f t="shared" si="10"/>
        <v>Battery Defect, 0</v>
      </c>
      <c r="T205" t="str">
        <f>_xlfn.XLOOKUP(B205,Disk_Pivot!G:G,Disk_Pivot!N:N)</f>
        <v>Pass, Fail</v>
      </c>
      <c r="U205" t="str">
        <f>IF(T205="Fail",MacReports!O205,"")</f>
        <v/>
      </c>
      <c r="AA205" t="str">
        <f t="shared" si="11"/>
        <v/>
      </c>
    </row>
    <row r="206" spans="1:27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str">
        <f>_xlfn.XLOOKUP(B206,MacReports!B:B,MacReports!E:E,"")</f>
        <v/>
      </c>
      <c r="F206" s="13">
        <f>MacReports!F206</f>
        <v>0</v>
      </c>
      <c r="G206" t="e">
        <f>_xlfn.XLOOKUP(F206,Models!A:A,Models!B:B)</f>
        <v>#N/A</v>
      </c>
      <c r="H206" t="e">
        <f>_xlfn.XLOOKUP(F206,Models!A:A,Models!E:E)</f>
        <v>#N/A</v>
      </c>
      <c r="I206" t="e">
        <f>_xlfn.XLOOKUP(F206,Models!A:A,Models!D:D)</f>
        <v>#N/A</v>
      </c>
      <c r="J206">
        <f>MacReports!G206</f>
        <v>0</v>
      </c>
      <c r="K206" s="59">
        <f>MacReports!H206</f>
        <v>0</v>
      </c>
      <c r="L206" t="str">
        <f t="shared" si="12"/>
        <v>0</v>
      </c>
      <c r="M206" s="15">
        <f>MacReports!I206</f>
        <v>0</v>
      </c>
      <c r="N206" s="16" t="str" cm="1">
        <f t="array" ref="N206">_xlfn.IFS(
   --MacReports!N206&lt;55,"Battery Defect",
  -- MacReports!N206&lt;=69,"Battery D",
  --MacReports!N206&lt;=80,"Battery C",
 --MacReports!N206&gt;80,""
)</f>
        <v>Battery Defect</v>
      </c>
      <c r="O206" s="16" t="str">
        <f>IF(MacReports!J206="Service","Battery Service","")</f>
        <v/>
      </c>
      <c r="P206" s="13">
        <f>MacReports!Q206</f>
        <v>0</v>
      </c>
      <c r="Q206" s="13" t="str">
        <f>IF(MacReports!K206="Enabled","Apple ID Lock","")</f>
        <v/>
      </c>
      <c r="R206" s="13" t="str">
        <f>IF(MacReports!M206="Remote Lock","Remote Locked","")</f>
        <v/>
      </c>
      <c r="S206" t="str">
        <f t="shared" si="10"/>
        <v>Battery Defect, 0</v>
      </c>
      <c r="T206" t="str">
        <f>_xlfn.XLOOKUP(B206,Disk_Pivot!G:G,Disk_Pivot!N:N)</f>
        <v>Pass, Fail</v>
      </c>
      <c r="U206" t="str">
        <f>IF(T206="Fail",MacReports!O206,"")</f>
        <v/>
      </c>
      <c r="AA206" t="str">
        <f t="shared" si="11"/>
        <v/>
      </c>
    </row>
    <row r="207" spans="1:27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str">
        <f>_xlfn.XLOOKUP(B207,MacReports!B:B,MacReports!E:E,"")</f>
        <v/>
      </c>
      <c r="F207" s="13">
        <f>MacReports!F207</f>
        <v>0</v>
      </c>
      <c r="G207" t="e">
        <f>_xlfn.XLOOKUP(F207,Models!A:A,Models!B:B)</f>
        <v>#N/A</v>
      </c>
      <c r="H207" t="e">
        <f>_xlfn.XLOOKUP(F207,Models!A:A,Models!E:E)</f>
        <v>#N/A</v>
      </c>
      <c r="I207" t="e">
        <f>_xlfn.XLOOKUP(F207,Models!A:A,Models!D:D)</f>
        <v>#N/A</v>
      </c>
      <c r="J207">
        <f>MacReports!G207</f>
        <v>0</v>
      </c>
      <c r="K207" s="59">
        <f>MacReports!H207</f>
        <v>0</v>
      </c>
      <c r="L207" t="str">
        <f t="shared" si="12"/>
        <v>0</v>
      </c>
      <c r="M207" s="15">
        <f>MacReports!I207</f>
        <v>0</v>
      </c>
      <c r="N207" s="16" t="str" cm="1">
        <f t="array" ref="N207">_xlfn.IFS(
   --MacReports!N207&lt;55,"Battery Defect",
  -- MacReports!N207&lt;=69,"Battery D",
  --MacReports!N207&lt;=80,"Battery C",
 --MacReports!N207&gt;80,""
)</f>
        <v>Battery Defect</v>
      </c>
      <c r="O207" s="16" t="str">
        <f>IF(MacReports!J207="Service","Battery Service","")</f>
        <v/>
      </c>
      <c r="P207" s="13">
        <f>MacReports!Q207</f>
        <v>0</v>
      </c>
      <c r="Q207" s="13" t="str">
        <f>IF(MacReports!K207="Enabled","Apple ID Lock","")</f>
        <v/>
      </c>
      <c r="R207" s="13" t="str">
        <f>IF(MacReports!M207="Remote Lock","Remote Locked","")</f>
        <v/>
      </c>
      <c r="S207" t="str">
        <f t="shared" si="10"/>
        <v>Battery Defect, 0</v>
      </c>
      <c r="T207" t="str">
        <f>_xlfn.XLOOKUP(B207,Disk_Pivot!G:G,Disk_Pivot!N:N)</f>
        <v>Pass, Fail</v>
      </c>
      <c r="U207" t="str">
        <f>IF(T207="Fail",MacReports!O207,"")</f>
        <v/>
      </c>
      <c r="AA207" t="str">
        <f t="shared" si="11"/>
        <v/>
      </c>
    </row>
    <row r="208" spans="1:27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str">
        <f>_xlfn.XLOOKUP(B208,MacReports!B:B,MacReports!E:E,"")</f>
        <v/>
      </c>
      <c r="F208" s="13">
        <f>MacReports!F208</f>
        <v>0</v>
      </c>
      <c r="G208" t="e">
        <f>_xlfn.XLOOKUP(F208,Models!A:A,Models!B:B)</f>
        <v>#N/A</v>
      </c>
      <c r="H208" t="e">
        <f>_xlfn.XLOOKUP(F208,Models!A:A,Models!E:E)</f>
        <v>#N/A</v>
      </c>
      <c r="I208" t="e">
        <f>_xlfn.XLOOKUP(F208,Models!A:A,Models!D:D)</f>
        <v>#N/A</v>
      </c>
      <c r="J208">
        <f>MacReports!G208</f>
        <v>0</v>
      </c>
      <c r="K208" s="59">
        <f>MacReports!H208</f>
        <v>0</v>
      </c>
      <c r="L208" t="str">
        <f t="shared" si="12"/>
        <v>0</v>
      </c>
      <c r="M208" s="15">
        <f>MacReports!I208</f>
        <v>0</v>
      </c>
      <c r="N208" s="16" t="str" cm="1">
        <f t="array" ref="N208">_xlfn.IFS(
   --MacReports!N208&lt;55,"Battery Defect",
  -- MacReports!N208&lt;=69,"Battery D",
  --MacReports!N208&lt;=80,"Battery C",
 --MacReports!N208&gt;80,""
)</f>
        <v>Battery Defect</v>
      </c>
      <c r="O208" s="16" t="str">
        <f>IF(MacReports!J208="Service","Battery Service","")</f>
        <v/>
      </c>
      <c r="P208" s="13">
        <f>MacReports!Q208</f>
        <v>0</v>
      </c>
      <c r="Q208" s="13" t="str">
        <f>IF(MacReports!K208="Enabled","Apple ID Lock","")</f>
        <v/>
      </c>
      <c r="R208" s="13" t="str">
        <f>IF(MacReports!M208="Remote Lock","Remote Locked","")</f>
        <v/>
      </c>
      <c r="S208" t="str">
        <f t="shared" si="10"/>
        <v>Battery Defect, 0</v>
      </c>
      <c r="T208" t="str">
        <f>_xlfn.XLOOKUP(B208,Disk_Pivot!G:G,Disk_Pivot!N:N)</f>
        <v>Pass, Fail</v>
      </c>
      <c r="U208" t="str">
        <f>IF(T208="Fail",MacReports!O208,"")</f>
        <v/>
      </c>
      <c r="AA208" t="str">
        <f t="shared" si="11"/>
        <v/>
      </c>
    </row>
    <row r="209" spans="1:27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str">
        <f>_xlfn.XLOOKUP(B209,MacReports!B:B,MacReports!E:E,"")</f>
        <v/>
      </c>
      <c r="F209" s="13">
        <f>MacReports!F209</f>
        <v>0</v>
      </c>
      <c r="G209" t="e">
        <f>_xlfn.XLOOKUP(F209,Models!A:A,Models!B:B)</f>
        <v>#N/A</v>
      </c>
      <c r="H209" t="e">
        <f>_xlfn.XLOOKUP(F209,Models!A:A,Models!E:E)</f>
        <v>#N/A</v>
      </c>
      <c r="I209" t="e">
        <f>_xlfn.XLOOKUP(F209,Models!A:A,Models!D:D)</f>
        <v>#N/A</v>
      </c>
      <c r="J209">
        <f>MacReports!G209</f>
        <v>0</v>
      </c>
      <c r="K209" s="59">
        <f>MacReports!H209</f>
        <v>0</v>
      </c>
      <c r="L209" t="str">
        <f t="shared" si="12"/>
        <v>0</v>
      </c>
      <c r="M209" s="15">
        <f>MacReports!I209</f>
        <v>0</v>
      </c>
      <c r="N209" s="16" t="str" cm="1">
        <f t="array" ref="N209">_xlfn.IFS(
   --MacReports!N209&lt;55,"Battery Defect",
  -- MacReports!N209&lt;=69,"Battery D",
  --MacReports!N209&lt;=80,"Battery C",
 --MacReports!N209&gt;80,""
)</f>
        <v>Battery Defect</v>
      </c>
      <c r="O209" s="16" t="str">
        <f>IF(MacReports!J209="Service","Battery Service","")</f>
        <v/>
      </c>
      <c r="P209" s="13">
        <f>MacReports!Q209</f>
        <v>0</v>
      </c>
      <c r="Q209" s="13" t="str">
        <f>IF(MacReports!K209="Enabled","Apple ID Lock","")</f>
        <v/>
      </c>
      <c r="R209" s="13" t="str">
        <f>IF(MacReports!M209="Remote Lock","Remote Locked","")</f>
        <v/>
      </c>
      <c r="S209" t="str">
        <f t="shared" si="10"/>
        <v>Battery Defect, 0</v>
      </c>
      <c r="T209" t="str">
        <f>_xlfn.XLOOKUP(B209,Disk_Pivot!G:G,Disk_Pivot!N:N)</f>
        <v>Pass, Fail</v>
      </c>
      <c r="U209" t="str">
        <f>IF(T209="Fail",MacReports!O209,"")</f>
        <v/>
      </c>
      <c r="AA209" t="str">
        <f t="shared" si="11"/>
        <v/>
      </c>
    </row>
    <row r="210" spans="1:27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str">
        <f>_xlfn.XLOOKUP(B210,MacReports!B:B,MacReports!E:E,"")</f>
        <v/>
      </c>
      <c r="F210" s="13">
        <f>MacReports!F210</f>
        <v>0</v>
      </c>
      <c r="G210" t="e">
        <f>_xlfn.XLOOKUP(F210,Models!A:A,Models!B:B)</f>
        <v>#N/A</v>
      </c>
      <c r="H210" t="e">
        <f>_xlfn.XLOOKUP(F210,Models!A:A,Models!E:E)</f>
        <v>#N/A</v>
      </c>
      <c r="I210" t="e">
        <f>_xlfn.XLOOKUP(F210,Models!A:A,Models!D:D)</f>
        <v>#N/A</v>
      </c>
      <c r="J210">
        <f>MacReports!G210</f>
        <v>0</v>
      </c>
      <c r="K210" s="59">
        <f>MacReports!H210</f>
        <v>0</v>
      </c>
      <c r="L210" t="str">
        <f t="shared" si="12"/>
        <v>0</v>
      </c>
      <c r="M210" s="15">
        <f>MacReports!I210</f>
        <v>0</v>
      </c>
      <c r="N210" s="16" t="str" cm="1">
        <f t="array" ref="N210">_xlfn.IFS(
   --MacReports!N210&lt;55,"Battery Defect",
  -- MacReports!N210&lt;=69,"Battery D",
  --MacReports!N210&lt;=80,"Battery C",
 --MacReports!N210&gt;80,""
)</f>
        <v>Battery Defect</v>
      </c>
      <c r="O210" s="16" t="str">
        <f>IF(MacReports!J210="Service","Battery Service","")</f>
        <v/>
      </c>
      <c r="P210" s="13">
        <f>MacReports!Q210</f>
        <v>0</v>
      </c>
      <c r="Q210" s="13" t="str">
        <f>IF(MacReports!K210="Enabled","Apple ID Lock","")</f>
        <v/>
      </c>
      <c r="R210" s="13" t="str">
        <f>IF(MacReports!M210="Remote Lock","Remote Locked","")</f>
        <v/>
      </c>
      <c r="S210" t="str">
        <f t="shared" si="10"/>
        <v>Battery Defect, 0</v>
      </c>
      <c r="T210" t="str">
        <f>_xlfn.XLOOKUP(B210,Disk_Pivot!G:G,Disk_Pivot!N:N)</f>
        <v>Pass, Fail</v>
      </c>
      <c r="U210" t="str">
        <f>IF(T210="Fail",MacReports!O210,"")</f>
        <v/>
      </c>
      <c r="AA210" t="str">
        <f t="shared" si="11"/>
        <v/>
      </c>
    </row>
    <row r="211" spans="1:27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str">
        <f>_xlfn.XLOOKUP(B211,MacReports!B:B,MacReports!E:E,"")</f>
        <v/>
      </c>
      <c r="F211" s="13">
        <f>MacReports!F211</f>
        <v>0</v>
      </c>
      <c r="G211" t="e">
        <f>_xlfn.XLOOKUP(F211,Models!A:A,Models!B:B)</f>
        <v>#N/A</v>
      </c>
      <c r="H211" t="e">
        <f>_xlfn.XLOOKUP(F211,Models!A:A,Models!E:E)</f>
        <v>#N/A</v>
      </c>
      <c r="I211" t="e">
        <f>_xlfn.XLOOKUP(F211,Models!A:A,Models!D:D)</f>
        <v>#N/A</v>
      </c>
      <c r="J211">
        <f>MacReports!G211</f>
        <v>0</v>
      </c>
      <c r="K211" s="59">
        <f>MacReports!H211</f>
        <v>0</v>
      </c>
      <c r="L211" t="str">
        <f t="shared" si="12"/>
        <v>0</v>
      </c>
      <c r="M211" s="15">
        <f>MacReports!I211</f>
        <v>0</v>
      </c>
      <c r="N211" s="16" t="str" cm="1">
        <f t="array" ref="N211">_xlfn.IFS(
   --MacReports!N211&lt;55,"Battery Defect",
  -- MacReports!N211&lt;=69,"Battery D",
  --MacReports!N211&lt;=80,"Battery C",
 --MacReports!N211&gt;80,""
)</f>
        <v>Battery Defect</v>
      </c>
      <c r="O211" s="16" t="str">
        <f>IF(MacReports!J211="Service","Battery Service","")</f>
        <v/>
      </c>
      <c r="P211" s="13">
        <f>MacReports!Q211</f>
        <v>0</v>
      </c>
      <c r="Q211" s="13" t="str">
        <f>IF(MacReports!K211="Enabled","Apple ID Lock","")</f>
        <v/>
      </c>
      <c r="R211" s="13" t="str">
        <f>IF(MacReports!M211="Remote Lock","Remote Locked","")</f>
        <v/>
      </c>
      <c r="S211" t="str">
        <f t="shared" si="10"/>
        <v>Battery Defect, 0</v>
      </c>
      <c r="T211" t="str">
        <f>_xlfn.XLOOKUP(B211,Disk_Pivot!G:G,Disk_Pivot!N:N)</f>
        <v>Pass, Fail</v>
      </c>
      <c r="U211" t="str">
        <f>IF(T211="Fail",MacReports!O211,"")</f>
        <v/>
      </c>
      <c r="AA211" t="str">
        <f t="shared" si="11"/>
        <v/>
      </c>
    </row>
    <row r="212" spans="1:27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str">
        <f>_xlfn.XLOOKUP(B212,MacReports!B:B,MacReports!E:E,"")</f>
        <v/>
      </c>
      <c r="F212" s="13">
        <f>MacReports!F212</f>
        <v>0</v>
      </c>
      <c r="G212" t="e">
        <f>_xlfn.XLOOKUP(F212,Models!A:A,Models!B:B)</f>
        <v>#N/A</v>
      </c>
      <c r="H212" t="e">
        <f>_xlfn.XLOOKUP(F212,Models!A:A,Models!E:E)</f>
        <v>#N/A</v>
      </c>
      <c r="I212" t="e">
        <f>_xlfn.XLOOKUP(F212,Models!A:A,Models!D:D)</f>
        <v>#N/A</v>
      </c>
      <c r="J212">
        <f>MacReports!G212</f>
        <v>0</v>
      </c>
      <c r="K212" s="59">
        <f>MacReports!H212</f>
        <v>0</v>
      </c>
      <c r="L212" t="str">
        <f t="shared" si="12"/>
        <v>0</v>
      </c>
      <c r="M212" s="15">
        <f>MacReports!I212</f>
        <v>0</v>
      </c>
      <c r="N212" s="16" t="str" cm="1">
        <f t="array" ref="N212">_xlfn.IFS(
   --MacReports!N212&lt;55,"Battery Defect",
  -- MacReports!N212&lt;=69,"Battery D",
  --MacReports!N212&lt;=80,"Battery C",
 --MacReports!N212&gt;80,""
)</f>
        <v>Battery Defect</v>
      </c>
      <c r="O212" s="16" t="str">
        <f>IF(MacReports!J212="Service","Battery Service","")</f>
        <v/>
      </c>
      <c r="P212" s="13">
        <f>MacReports!Q212</f>
        <v>0</v>
      </c>
      <c r="Q212" s="13" t="str">
        <f>IF(MacReports!K212="Enabled","Apple ID Lock","")</f>
        <v/>
      </c>
      <c r="R212" s="13" t="str">
        <f>IF(MacReports!M212="Remote Lock","Remote Locked","")</f>
        <v/>
      </c>
      <c r="S212" t="str">
        <f t="shared" si="10"/>
        <v>Battery Defect, 0</v>
      </c>
      <c r="T212" t="str">
        <f>_xlfn.XLOOKUP(B212,Disk_Pivot!G:G,Disk_Pivot!N:N)</f>
        <v>Pass, Fail</v>
      </c>
      <c r="U212" t="str">
        <f>IF(T212="Fail",MacReports!O212,"")</f>
        <v/>
      </c>
      <c r="AA212" t="str">
        <f t="shared" si="11"/>
        <v/>
      </c>
    </row>
    <row r="213" spans="1:27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str">
        <f>_xlfn.XLOOKUP(B213,MacReports!B:B,MacReports!E:E,"")</f>
        <v/>
      </c>
      <c r="F213" s="13">
        <f>MacReports!F213</f>
        <v>0</v>
      </c>
      <c r="G213" t="e">
        <f>_xlfn.XLOOKUP(F213,Models!A:A,Models!B:B)</f>
        <v>#N/A</v>
      </c>
      <c r="H213" t="e">
        <f>_xlfn.XLOOKUP(F213,Models!A:A,Models!E:E)</f>
        <v>#N/A</v>
      </c>
      <c r="I213" t="e">
        <f>_xlfn.XLOOKUP(F213,Models!A:A,Models!D:D)</f>
        <v>#N/A</v>
      </c>
      <c r="J213">
        <f>MacReports!G213</f>
        <v>0</v>
      </c>
      <c r="K213" s="59">
        <f>MacReports!H213</f>
        <v>0</v>
      </c>
      <c r="L213" t="str">
        <f t="shared" si="12"/>
        <v>0</v>
      </c>
      <c r="M213" s="15">
        <f>MacReports!I213</f>
        <v>0</v>
      </c>
      <c r="N213" s="16" t="str" cm="1">
        <f t="array" ref="N213">_xlfn.IFS(
   --MacReports!N213&lt;55,"Battery Defect",
  -- MacReports!N213&lt;=69,"Battery D",
  --MacReports!N213&lt;=80,"Battery C",
 --MacReports!N213&gt;80,""
)</f>
        <v>Battery Defect</v>
      </c>
      <c r="O213" s="16" t="str">
        <f>IF(MacReports!J213="Service","Battery Service","")</f>
        <v/>
      </c>
      <c r="P213" s="13">
        <f>MacReports!Q213</f>
        <v>0</v>
      </c>
      <c r="Q213" s="13" t="str">
        <f>IF(MacReports!K213="Enabled","Apple ID Lock","")</f>
        <v/>
      </c>
      <c r="R213" s="13" t="str">
        <f>IF(MacReports!M213="Remote Lock","Remote Locked","")</f>
        <v/>
      </c>
      <c r="S213" t="str">
        <f t="shared" si="10"/>
        <v>Battery Defect, 0</v>
      </c>
      <c r="T213" t="str">
        <f>_xlfn.XLOOKUP(B213,Disk_Pivot!G:G,Disk_Pivot!N:N)</f>
        <v>Pass, Fail</v>
      </c>
      <c r="U213" t="str">
        <f>IF(T213="Fail",MacReports!O213,"")</f>
        <v/>
      </c>
      <c r="AA213" t="str">
        <f t="shared" si="11"/>
        <v/>
      </c>
    </row>
    <row r="214" spans="1:27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str">
        <f>_xlfn.XLOOKUP(B214,MacReports!B:B,MacReports!E:E,"")</f>
        <v/>
      </c>
      <c r="F214" s="13">
        <f>MacReports!F214</f>
        <v>0</v>
      </c>
      <c r="G214" t="e">
        <f>_xlfn.XLOOKUP(F214,Models!A:A,Models!B:B)</f>
        <v>#N/A</v>
      </c>
      <c r="H214" t="e">
        <f>_xlfn.XLOOKUP(F214,Models!A:A,Models!E:E)</f>
        <v>#N/A</v>
      </c>
      <c r="I214" t="e">
        <f>_xlfn.XLOOKUP(F214,Models!A:A,Models!D:D)</f>
        <v>#N/A</v>
      </c>
      <c r="J214">
        <f>MacReports!G214</f>
        <v>0</v>
      </c>
      <c r="K214" s="59">
        <f>MacReports!H214</f>
        <v>0</v>
      </c>
      <c r="L214" t="str">
        <f t="shared" si="12"/>
        <v>0</v>
      </c>
      <c r="M214" s="15">
        <f>MacReports!I214</f>
        <v>0</v>
      </c>
      <c r="N214" s="16" t="str" cm="1">
        <f t="array" ref="N214">_xlfn.IFS(
   --MacReports!N214&lt;55,"Battery Defect",
  -- MacReports!N214&lt;=69,"Battery D",
  --MacReports!N214&lt;=80,"Battery C",
 --MacReports!N214&gt;80,""
)</f>
        <v>Battery Defect</v>
      </c>
      <c r="O214" s="16" t="str">
        <f>IF(MacReports!J214="Service","Battery Service","")</f>
        <v/>
      </c>
      <c r="P214" s="13">
        <f>MacReports!Q214</f>
        <v>0</v>
      </c>
      <c r="Q214" s="13" t="str">
        <f>IF(MacReports!K214="Enabled","Apple ID Lock","")</f>
        <v/>
      </c>
      <c r="R214" s="13" t="str">
        <f>IF(MacReports!M214="Remote Lock","Remote Locked","")</f>
        <v/>
      </c>
      <c r="S214" t="str">
        <f t="shared" si="10"/>
        <v>Battery Defect, 0</v>
      </c>
      <c r="T214" t="str">
        <f>_xlfn.XLOOKUP(B214,Disk_Pivot!G:G,Disk_Pivot!N:N)</f>
        <v>Pass, Fail</v>
      </c>
      <c r="U214" t="str">
        <f>IF(T214="Fail",MacReports!O214,"")</f>
        <v/>
      </c>
      <c r="AA214" t="str">
        <f t="shared" si="11"/>
        <v/>
      </c>
    </row>
    <row r="215" spans="1:27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str">
        <f>_xlfn.XLOOKUP(B215,MacReports!B:B,MacReports!E:E,"")</f>
        <v/>
      </c>
      <c r="F215" s="13">
        <f>MacReports!F215</f>
        <v>0</v>
      </c>
      <c r="G215" t="e">
        <f>_xlfn.XLOOKUP(F215,Models!A:A,Models!B:B)</f>
        <v>#N/A</v>
      </c>
      <c r="H215" t="e">
        <f>_xlfn.XLOOKUP(F215,Models!A:A,Models!E:E)</f>
        <v>#N/A</v>
      </c>
      <c r="I215" t="e">
        <f>_xlfn.XLOOKUP(F215,Models!A:A,Models!D:D)</f>
        <v>#N/A</v>
      </c>
      <c r="J215">
        <f>MacReports!G215</f>
        <v>0</v>
      </c>
      <c r="K215" s="59">
        <f>MacReports!H215</f>
        <v>0</v>
      </c>
      <c r="L215" t="str">
        <f t="shared" si="12"/>
        <v>0</v>
      </c>
      <c r="M215" s="15">
        <f>MacReports!I215</f>
        <v>0</v>
      </c>
      <c r="N215" s="16" t="str" cm="1">
        <f t="array" ref="N215">_xlfn.IFS(
   --MacReports!N215&lt;55,"Battery Defect",
  -- MacReports!N215&lt;=69,"Battery D",
  --MacReports!N215&lt;=80,"Battery C",
 --MacReports!N215&gt;80,""
)</f>
        <v>Battery Defect</v>
      </c>
      <c r="O215" s="16" t="str">
        <f>IF(MacReports!J215="Service","Battery Service","")</f>
        <v/>
      </c>
      <c r="P215" s="13">
        <f>MacReports!Q215</f>
        <v>0</v>
      </c>
      <c r="Q215" s="13" t="str">
        <f>IF(MacReports!K215="Enabled","Apple ID Lock","")</f>
        <v/>
      </c>
      <c r="R215" s="13" t="str">
        <f>IF(MacReports!M215="Remote Lock","Remote Locked","")</f>
        <v/>
      </c>
      <c r="S215" t="str">
        <f t="shared" si="10"/>
        <v>Battery Defect, 0</v>
      </c>
      <c r="T215" t="str">
        <f>_xlfn.XLOOKUP(B215,Disk_Pivot!G:G,Disk_Pivot!N:N)</f>
        <v>Pass, Fail</v>
      </c>
      <c r="U215" t="str">
        <f>IF(T215="Fail",MacReports!O215,"")</f>
        <v/>
      </c>
      <c r="AA215" t="str">
        <f t="shared" si="11"/>
        <v/>
      </c>
    </row>
    <row r="216" spans="1:27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str">
        <f>_xlfn.XLOOKUP(B216,MacReports!B:B,MacReports!E:E,"")</f>
        <v/>
      </c>
      <c r="F216" s="13">
        <f>MacReports!F216</f>
        <v>0</v>
      </c>
      <c r="G216" t="e">
        <f>_xlfn.XLOOKUP(F216,Models!A:A,Models!B:B)</f>
        <v>#N/A</v>
      </c>
      <c r="H216" t="e">
        <f>_xlfn.XLOOKUP(F216,Models!A:A,Models!E:E)</f>
        <v>#N/A</v>
      </c>
      <c r="I216" t="e">
        <f>_xlfn.XLOOKUP(F216,Models!A:A,Models!D:D)</f>
        <v>#N/A</v>
      </c>
      <c r="J216">
        <f>MacReports!G216</f>
        <v>0</v>
      </c>
      <c r="K216" s="59">
        <f>MacReports!H216</f>
        <v>0</v>
      </c>
      <c r="L216" t="str">
        <f t="shared" si="12"/>
        <v>0</v>
      </c>
      <c r="M216" s="15">
        <f>MacReports!I216</f>
        <v>0</v>
      </c>
      <c r="N216" s="16" t="str" cm="1">
        <f t="array" ref="N216">_xlfn.IFS(
   --MacReports!N216&lt;55,"Battery Defect",
  -- MacReports!N216&lt;=69,"Battery D",
  --MacReports!N216&lt;=80,"Battery C",
 --MacReports!N216&gt;80,""
)</f>
        <v>Battery Defect</v>
      </c>
      <c r="O216" s="16" t="str">
        <f>IF(MacReports!J216="Service","Battery Service","")</f>
        <v/>
      </c>
      <c r="P216" s="13">
        <f>MacReports!Q216</f>
        <v>0</v>
      </c>
      <c r="Q216" s="13" t="str">
        <f>IF(MacReports!K216="Enabled","Apple ID Lock","")</f>
        <v/>
      </c>
      <c r="R216" s="13" t="str">
        <f>IF(MacReports!M216="Remote Lock","Remote Locked","")</f>
        <v/>
      </c>
      <c r="S216" t="str">
        <f t="shared" si="10"/>
        <v>Battery Defect, 0</v>
      </c>
      <c r="T216" t="str">
        <f>_xlfn.XLOOKUP(B216,Disk_Pivot!G:G,Disk_Pivot!N:N)</f>
        <v>Pass, Fail</v>
      </c>
      <c r="U216" t="str">
        <f>IF(T216="Fail",MacReports!O216,"")</f>
        <v/>
      </c>
      <c r="AA216" t="str">
        <f t="shared" si="11"/>
        <v/>
      </c>
    </row>
    <row r="217" spans="1:27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str">
        <f>_xlfn.XLOOKUP(B217,MacReports!B:B,MacReports!E:E,"")</f>
        <v/>
      </c>
      <c r="F217" s="13">
        <f>MacReports!F217</f>
        <v>0</v>
      </c>
      <c r="G217" t="e">
        <f>_xlfn.XLOOKUP(F217,Models!A:A,Models!B:B)</f>
        <v>#N/A</v>
      </c>
      <c r="H217" t="e">
        <f>_xlfn.XLOOKUP(F217,Models!A:A,Models!E:E)</f>
        <v>#N/A</v>
      </c>
      <c r="I217" t="e">
        <f>_xlfn.XLOOKUP(F217,Models!A:A,Models!D:D)</f>
        <v>#N/A</v>
      </c>
      <c r="J217">
        <f>MacReports!G217</f>
        <v>0</v>
      </c>
      <c r="K217" s="59">
        <f>MacReports!H217</f>
        <v>0</v>
      </c>
      <c r="L217" t="str">
        <f t="shared" si="12"/>
        <v>0</v>
      </c>
      <c r="M217" s="15">
        <f>MacReports!I217</f>
        <v>0</v>
      </c>
      <c r="N217" s="16" t="str" cm="1">
        <f t="array" ref="N217">_xlfn.IFS(
   --MacReports!N217&lt;55,"Battery Defect",
  -- MacReports!N217&lt;=69,"Battery D",
  --MacReports!N217&lt;=80,"Battery C",
 --MacReports!N217&gt;80,""
)</f>
        <v>Battery Defect</v>
      </c>
      <c r="O217" s="16" t="str">
        <f>IF(MacReports!J217="Service","Battery Service","")</f>
        <v/>
      </c>
      <c r="P217" s="13">
        <f>MacReports!Q217</f>
        <v>0</v>
      </c>
      <c r="Q217" s="13" t="str">
        <f>IF(MacReports!K217="Enabled","Apple ID Lock","")</f>
        <v/>
      </c>
      <c r="R217" s="13" t="str">
        <f>IF(MacReports!M217="Remote Lock","Remote Locked","")</f>
        <v/>
      </c>
      <c r="S217" t="str">
        <f t="shared" si="10"/>
        <v>Battery Defect, 0</v>
      </c>
      <c r="T217" t="str">
        <f>_xlfn.XLOOKUP(B217,Disk_Pivot!G:G,Disk_Pivot!N:N)</f>
        <v>Pass, Fail</v>
      </c>
      <c r="U217" t="str">
        <f>IF(T217="Fail",MacReports!O217,"")</f>
        <v/>
      </c>
      <c r="AA217" t="str">
        <f t="shared" si="11"/>
        <v/>
      </c>
    </row>
    <row r="218" spans="1:27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str">
        <f>_xlfn.XLOOKUP(B218,MacReports!B:B,MacReports!E:E,"")</f>
        <v/>
      </c>
      <c r="F218" s="13">
        <f>MacReports!F218</f>
        <v>0</v>
      </c>
      <c r="G218" t="e">
        <f>_xlfn.XLOOKUP(F218,Models!A:A,Models!B:B)</f>
        <v>#N/A</v>
      </c>
      <c r="H218" t="e">
        <f>_xlfn.XLOOKUP(F218,Models!A:A,Models!E:E)</f>
        <v>#N/A</v>
      </c>
      <c r="I218" t="e">
        <f>_xlfn.XLOOKUP(F218,Models!A:A,Models!D:D)</f>
        <v>#N/A</v>
      </c>
      <c r="J218">
        <f>MacReports!G218</f>
        <v>0</v>
      </c>
      <c r="K218" s="59">
        <f>MacReports!H218</f>
        <v>0</v>
      </c>
      <c r="L218" t="str">
        <f t="shared" si="12"/>
        <v>0</v>
      </c>
      <c r="M218" s="15">
        <f>MacReports!I218</f>
        <v>0</v>
      </c>
      <c r="N218" s="16" t="str" cm="1">
        <f t="array" ref="N218">_xlfn.IFS(
   --MacReports!N218&lt;55,"Battery Defect",
  -- MacReports!N218&lt;=69,"Battery D",
  --MacReports!N218&lt;=80,"Battery C",
 --MacReports!N218&gt;80,""
)</f>
        <v>Battery Defect</v>
      </c>
      <c r="O218" s="16" t="str">
        <f>IF(MacReports!J218="Service","Battery Service","")</f>
        <v/>
      </c>
      <c r="P218" s="13">
        <f>MacReports!Q218</f>
        <v>0</v>
      </c>
      <c r="Q218" s="13" t="str">
        <f>IF(MacReports!K218="Enabled","Apple ID Lock","")</f>
        <v/>
      </c>
      <c r="R218" s="13" t="str">
        <f>IF(MacReports!M218="Remote Lock","Remote Locked","")</f>
        <v/>
      </c>
      <c r="S218" t="str">
        <f t="shared" si="10"/>
        <v>Battery Defect, 0</v>
      </c>
      <c r="T218" t="str">
        <f>_xlfn.XLOOKUP(B218,Disk_Pivot!G:G,Disk_Pivot!N:N)</f>
        <v>Pass, Fail</v>
      </c>
      <c r="U218" t="str">
        <f>IF(T218="Fail",MacReports!O218,"")</f>
        <v/>
      </c>
      <c r="AA218" t="str">
        <f t="shared" si="11"/>
        <v/>
      </c>
    </row>
    <row r="219" spans="1:27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str">
        <f>_xlfn.XLOOKUP(B219,MacReports!B:B,MacReports!E:E,"")</f>
        <v/>
      </c>
      <c r="F219" s="13">
        <f>MacReports!F219</f>
        <v>0</v>
      </c>
      <c r="G219" t="e">
        <f>_xlfn.XLOOKUP(F219,Models!A:A,Models!B:B)</f>
        <v>#N/A</v>
      </c>
      <c r="H219" t="e">
        <f>_xlfn.XLOOKUP(F219,Models!A:A,Models!E:E)</f>
        <v>#N/A</v>
      </c>
      <c r="I219" t="e">
        <f>_xlfn.XLOOKUP(F219,Models!A:A,Models!D:D)</f>
        <v>#N/A</v>
      </c>
      <c r="J219">
        <f>MacReports!G219</f>
        <v>0</v>
      </c>
      <c r="K219" s="59">
        <f>MacReports!H219</f>
        <v>0</v>
      </c>
      <c r="L219" t="str">
        <f t="shared" si="12"/>
        <v>0</v>
      </c>
      <c r="M219" s="15">
        <f>MacReports!I219</f>
        <v>0</v>
      </c>
      <c r="N219" s="16" t="str" cm="1">
        <f t="array" ref="N219">_xlfn.IFS(
   --MacReports!N219&lt;55,"Battery Defect",
  -- MacReports!N219&lt;=69,"Battery D",
  --MacReports!N219&lt;=80,"Battery C",
 --MacReports!N219&gt;80,""
)</f>
        <v>Battery Defect</v>
      </c>
      <c r="O219" s="16" t="str">
        <f>IF(MacReports!J219="Service","Battery Service","")</f>
        <v/>
      </c>
      <c r="P219" s="13">
        <f>MacReports!Q219</f>
        <v>0</v>
      </c>
      <c r="Q219" s="13" t="str">
        <f>IF(MacReports!K219="Enabled","Apple ID Lock","")</f>
        <v/>
      </c>
      <c r="R219" s="13" t="str">
        <f>IF(MacReports!M219="Remote Lock","Remote Locked","")</f>
        <v/>
      </c>
      <c r="S219" t="str">
        <f t="shared" si="10"/>
        <v>Battery Defect, 0</v>
      </c>
      <c r="T219" t="str">
        <f>_xlfn.XLOOKUP(B219,Disk_Pivot!G:G,Disk_Pivot!N:N)</f>
        <v>Pass, Fail</v>
      </c>
      <c r="U219" t="str">
        <f>IF(T219="Fail",MacReports!O219,"")</f>
        <v/>
      </c>
      <c r="AA219" t="str">
        <f t="shared" si="11"/>
        <v/>
      </c>
    </row>
    <row r="220" spans="1:27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str">
        <f>_xlfn.XLOOKUP(B220,MacReports!B:B,MacReports!E:E,"")</f>
        <v/>
      </c>
      <c r="F220" s="13">
        <f>MacReports!F220</f>
        <v>0</v>
      </c>
      <c r="G220" t="e">
        <f>_xlfn.XLOOKUP(F220,Models!A:A,Models!B:B)</f>
        <v>#N/A</v>
      </c>
      <c r="H220" t="e">
        <f>_xlfn.XLOOKUP(F220,Models!A:A,Models!E:E)</f>
        <v>#N/A</v>
      </c>
      <c r="I220" t="e">
        <f>_xlfn.XLOOKUP(F220,Models!A:A,Models!D:D)</f>
        <v>#N/A</v>
      </c>
      <c r="J220">
        <f>MacReports!G220</f>
        <v>0</v>
      </c>
      <c r="K220" s="59">
        <f>MacReports!H220</f>
        <v>0</v>
      </c>
      <c r="L220" t="str">
        <f t="shared" si="12"/>
        <v>0</v>
      </c>
      <c r="M220" s="15">
        <f>MacReports!I220</f>
        <v>0</v>
      </c>
      <c r="N220" s="16" t="str" cm="1">
        <f t="array" ref="N220">_xlfn.IFS(
   --MacReports!N220&lt;55,"Battery Defect",
  -- MacReports!N220&lt;=69,"Battery D",
  --MacReports!N220&lt;=80,"Battery C",
 --MacReports!N220&gt;80,""
)</f>
        <v>Battery Defect</v>
      </c>
      <c r="O220" s="16" t="str">
        <f>IF(MacReports!J220="Service","Battery Service","")</f>
        <v/>
      </c>
      <c r="P220" s="13">
        <f>MacReports!Q220</f>
        <v>0</v>
      </c>
      <c r="Q220" s="13" t="str">
        <f>IF(MacReports!K220="Enabled","Apple ID Lock","")</f>
        <v/>
      </c>
      <c r="R220" s="13" t="str">
        <f>IF(MacReports!M220="Remote Lock","Remote Locked","")</f>
        <v/>
      </c>
      <c r="S220" t="str">
        <f t="shared" si="10"/>
        <v>Battery Defect, 0</v>
      </c>
      <c r="T220" t="str">
        <f>_xlfn.XLOOKUP(B220,Disk_Pivot!G:G,Disk_Pivot!N:N)</f>
        <v>Pass, Fail</v>
      </c>
      <c r="U220" t="str">
        <f>IF(T220="Fail",MacReports!O220,"")</f>
        <v/>
      </c>
      <c r="AA220" t="str">
        <f t="shared" si="11"/>
        <v/>
      </c>
    </row>
    <row r="221" spans="1:27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str">
        <f>_xlfn.XLOOKUP(B221,MacReports!B:B,MacReports!E:E,"")</f>
        <v/>
      </c>
      <c r="F221" s="13">
        <f>MacReports!F221</f>
        <v>0</v>
      </c>
      <c r="G221" t="e">
        <f>_xlfn.XLOOKUP(F221,Models!A:A,Models!B:B)</f>
        <v>#N/A</v>
      </c>
      <c r="H221" t="e">
        <f>_xlfn.XLOOKUP(F221,Models!A:A,Models!E:E)</f>
        <v>#N/A</v>
      </c>
      <c r="I221" t="e">
        <f>_xlfn.XLOOKUP(F221,Models!A:A,Models!D:D)</f>
        <v>#N/A</v>
      </c>
      <c r="J221">
        <f>MacReports!G221</f>
        <v>0</v>
      </c>
      <c r="K221" s="59">
        <f>MacReports!H221</f>
        <v>0</v>
      </c>
      <c r="L221" t="str">
        <f t="shared" si="12"/>
        <v>0</v>
      </c>
      <c r="M221" s="15">
        <f>MacReports!I221</f>
        <v>0</v>
      </c>
      <c r="N221" s="16" t="str" cm="1">
        <f t="array" ref="N221">_xlfn.IFS(
   --MacReports!N221&lt;55,"Battery Defect",
  -- MacReports!N221&lt;=69,"Battery D",
  --MacReports!N221&lt;=80,"Battery C",
 --MacReports!N221&gt;80,""
)</f>
        <v>Battery Defect</v>
      </c>
      <c r="O221" s="16" t="str">
        <f>IF(MacReports!J221="Service","Battery Service","")</f>
        <v/>
      </c>
      <c r="P221" s="13">
        <f>MacReports!Q221</f>
        <v>0</v>
      </c>
      <c r="Q221" s="13" t="str">
        <f>IF(MacReports!K221="Enabled","Apple ID Lock","")</f>
        <v/>
      </c>
      <c r="R221" s="13" t="str">
        <f>IF(MacReports!M221="Remote Lock","Remote Locked","")</f>
        <v/>
      </c>
      <c r="S221" t="str">
        <f t="shared" si="10"/>
        <v>Battery Defect, 0</v>
      </c>
      <c r="T221" t="str">
        <f>_xlfn.XLOOKUP(B221,Disk_Pivot!G:G,Disk_Pivot!N:N)</f>
        <v>Pass, Fail</v>
      </c>
      <c r="U221" t="str">
        <f>IF(T221="Fail",MacReports!O221,"")</f>
        <v/>
      </c>
      <c r="AA221" t="str">
        <f t="shared" si="11"/>
        <v/>
      </c>
    </row>
    <row r="222" spans="1:27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str">
        <f>_xlfn.XLOOKUP(B222,MacReports!B:B,MacReports!E:E,"")</f>
        <v/>
      </c>
      <c r="F222" s="13">
        <f>MacReports!F222</f>
        <v>0</v>
      </c>
      <c r="G222" t="e">
        <f>_xlfn.XLOOKUP(F222,Models!A:A,Models!B:B)</f>
        <v>#N/A</v>
      </c>
      <c r="H222" t="e">
        <f>_xlfn.XLOOKUP(F222,Models!A:A,Models!E:E)</f>
        <v>#N/A</v>
      </c>
      <c r="I222" t="e">
        <f>_xlfn.XLOOKUP(F222,Models!A:A,Models!D:D)</f>
        <v>#N/A</v>
      </c>
      <c r="J222">
        <f>MacReports!G222</f>
        <v>0</v>
      </c>
      <c r="K222" s="59">
        <f>MacReports!H222</f>
        <v>0</v>
      </c>
      <c r="L222" t="str">
        <f t="shared" si="12"/>
        <v>0</v>
      </c>
      <c r="M222" s="15">
        <f>MacReports!I222</f>
        <v>0</v>
      </c>
      <c r="N222" s="16" t="str" cm="1">
        <f t="array" ref="N222">_xlfn.IFS(
   --MacReports!N222&lt;55,"Battery Defect",
  -- MacReports!N222&lt;=69,"Battery D",
  --MacReports!N222&lt;=80,"Battery C",
 --MacReports!N222&gt;80,""
)</f>
        <v>Battery Defect</v>
      </c>
      <c r="O222" s="16" t="str">
        <f>IF(MacReports!J222="Service","Battery Service","")</f>
        <v/>
      </c>
      <c r="P222" s="13">
        <f>MacReports!Q222</f>
        <v>0</v>
      </c>
      <c r="Q222" s="13" t="str">
        <f>IF(MacReports!K222="Enabled","Apple ID Lock","")</f>
        <v/>
      </c>
      <c r="R222" s="13" t="str">
        <f>IF(MacReports!M222="Remote Lock","Remote Locked","")</f>
        <v/>
      </c>
      <c r="S222" t="str">
        <f t="shared" si="10"/>
        <v>Battery Defect, 0</v>
      </c>
      <c r="T222" t="str">
        <f>_xlfn.XLOOKUP(B222,Disk_Pivot!G:G,Disk_Pivot!N:N)</f>
        <v>Pass, Fail</v>
      </c>
      <c r="U222" t="str">
        <f>IF(T222="Fail",MacReports!O222,"")</f>
        <v/>
      </c>
      <c r="AA222" t="str">
        <f t="shared" si="11"/>
        <v/>
      </c>
    </row>
    <row r="223" spans="1:27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str">
        <f>_xlfn.XLOOKUP(B223,MacReports!B:B,MacReports!E:E,"")</f>
        <v/>
      </c>
      <c r="F223" s="13">
        <f>MacReports!F223</f>
        <v>0</v>
      </c>
      <c r="G223" t="e">
        <f>_xlfn.XLOOKUP(F223,Models!A:A,Models!B:B)</f>
        <v>#N/A</v>
      </c>
      <c r="H223" t="e">
        <f>_xlfn.XLOOKUP(F223,Models!A:A,Models!E:E)</f>
        <v>#N/A</v>
      </c>
      <c r="I223" t="e">
        <f>_xlfn.XLOOKUP(F223,Models!A:A,Models!D:D)</f>
        <v>#N/A</v>
      </c>
      <c r="J223">
        <f>MacReports!G223</f>
        <v>0</v>
      </c>
      <c r="K223" s="59">
        <f>MacReports!H223</f>
        <v>0</v>
      </c>
      <c r="L223" t="str">
        <f t="shared" si="12"/>
        <v>0</v>
      </c>
      <c r="M223" s="15">
        <f>MacReports!I223</f>
        <v>0</v>
      </c>
      <c r="N223" s="16" t="str" cm="1">
        <f t="array" ref="N223">_xlfn.IFS(
   --MacReports!N223&lt;55,"Battery Defect",
  -- MacReports!N223&lt;=69,"Battery D",
  --MacReports!N223&lt;=80,"Battery C",
 --MacReports!N223&gt;80,""
)</f>
        <v>Battery Defect</v>
      </c>
      <c r="O223" s="16" t="str">
        <f>IF(MacReports!J223="Service","Battery Service","")</f>
        <v/>
      </c>
      <c r="P223" s="13">
        <f>MacReports!Q223</f>
        <v>0</v>
      </c>
      <c r="Q223" s="13" t="str">
        <f>IF(MacReports!K223="Enabled","Apple ID Lock","")</f>
        <v/>
      </c>
      <c r="R223" s="13" t="str">
        <f>IF(MacReports!M223="Remote Lock","Remote Locked","")</f>
        <v/>
      </c>
      <c r="S223" t="str">
        <f t="shared" si="10"/>
        <v>Battery Defect, 0</v>
      </c>
      <c r="T223" t="str">
        <f>_xlfn.XLOOKUP(B223,Disk_Pivot!G:G,Disk_Pivot!N:N)</f>
        <v>Pass, Fail</v>
      </c>
      <c r="U223" t="str">
        <f>IF(T223="Fail",MacReports!O223,"")</f>
        <v/>
      </c>
      <c r="AA223" t="str">
        <f t="shared" si="11"/>
        <v/>
      </c>
    </row>
    <row r="224" spans="1:27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str">
        <f>_xlfn.XLOOKUP(B224,MacReports!B:B,MacReports!E:E,"")</f>
        <v/>
      </c>
      <c r="F224" s="13">
        <f>MacReports!F224</f>
        <v>0</v>
      </c>
      <c r="G224" t="e">
        <f>_xlfn.XLOOKUP(F224,Models!A:A,Models!B:B)</f>
        <v>#N/A</v>
      </c>
      <c r="H224" t="e">
        <f>_xlfn.XLOOKUP(F224,Models!A:A,Models!E:E)</f>
        <v>#N/A</v>
      </c>
      <c r="I224" t="e">
        <f>_xlfn.XLOOKUP(F224,Models!A:A,Models!D:D)</f>
        <v>#N/A</v>
      </c>
      <c r="J224">
        <f>MacReports!G224</f>
        <v>0</v>
      </c>
      <c r="K224" s="59">
        <f>MacReports!H224</f>
        <v>0</v>
      </c>
      <c r="L224" t="str">
        <f t="shared" si="12"/>
        <v>0</v>
      </c>
      <c r="M224" s="15">
        <f>MacReports!I224</f>
        <v>0</v>
      </c>
      <c r="N224" s="16" t="str" cm="1">
        <f t="array" ref="N224">_xlfn.IFS(
   --MacReports!N224&lt;55,"Battery Defect",
  -- MacReports!N224&lt;=69,"Battery D",
  --MacReports!N224&lt;=80,"Battery C",
 --MacReports!N224&gt;80,""
)</f>
        <v>Battery Defect</v>
      </c>
      <c r="O224" s="16" t="str">
        <f>IF(MacReports!J224="Service","Battery Service","")</f>
        <v/>
      </c>
      <c r="P224" s="13">
        <f>MacReports!Q224</f>
        <v>0</v>
      </c>
      <c r="Q224" s="13" t="str">
        <f>IF(MacReports!K224="Enabled","Apple ID Lock","")</f>
        <v/>
      </c>
      <c r="R224" s="13" t="str">
        <f>IF(MacReports!M224="Remote Lock","Remote Locked","")</f>
        <v/>
      </c>
      <c r="S224" t="str">
        <f t="shared" si="10"/>
        <v>Battery Defect, 0</v>
      </c>
      <c r="T224" t="str">
        <f>_xlfn.XLOOKUP(B224,Disk_Pivot!G:G,Disk_Pivot!N:N)</f>
        <v>Pass, Fail</v>
      </c>
      <c r="U224" t="str">
        <f>IF(T224="Fail",MacReports!O224,"")</f>
        <v/>
      </c>
      <c r="AA224" t="str">
        <f t="shared" si="11"/>
        <v/>
      </c>
    </row>
    <row r="225" spans="1:27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str">
        <f>_xlfn.XLOOKUP(B225,MacReports!B:B,MacReports!E:E,"")</f>
        <v/>
      </c>
      <c r="F225" s="13">
        <f>MacReports!F225</f>
        <v>0</v>
      </c>
      <c r="G225" t="e">
        <f>_xlfn.XLOOKUP(F225,Models!A:A,Models!B:B)</f>
        <v>#N/A</v>
      </c>
      <c r="H225" t="e">
        <f>_xlfn.XLOOKUP(F225,Models!A:A,Models!E:E)</f>
        <v>#N/A</v>
      </c>
      <c r="I225" t="e">
        <f>_xlfn.XLOOKUP(F225,Models!A:A,Models!D:D)</f>
        <v>#N/A</v>
      </c>
      <c r="J225">
        <f>MacReports!G225</f>
        <v>0</v>
      </c>
      <c r="K225" s="59">
        <f>MacReports!H225</f>
        <v>0</v>
      </c>
      <c r="L225" t="str">
        <f t="shared" si="12"/>
        <v>0</v>
      </c>
      <c r="M225" s="15">
        <f>MacReports!I225</f>
        <v>0</v>
      </c>
      <c r="N225" s="16" t="str" cm="1">
        <f t="array" ref="N225">_xlfn.IFS(
   --MacReports!N225&lt;55,"Battery Defect",
  -- MacReports!N225&lt;=69,"Battery D",
  --MacReports!N225&lt;=80,"Battery C",
 --MacReports!N225&gt;80,""
)</f>
        <v>Battery Defect</v>
      </c>
      <c r="O225" s="16" t="str">
        <f>IF(MacReports!J225="Service","Battery Service","")</f>
        <v/>
      </c>
      <c r="P225" s="13">
        <f>MacReports!Q225</f>
        <v>0</v>
      </c>
      <c r="Q225" s="13" t="str">
        <f>IF(MacReports!K225="Enabled","Apple ID Lock","")</f>
        <v/>
      </c>
      <c r="R225" s="13" t="str">
        <f>IF(MacReports!M225="Remote Lock","Remote Locked","")</f>
        <v/>
      </c>
      <c r="S225" t="str">
        <f t="shared" si="10"/>
        <v>Battery Defect, 0</v>
      </c>
      <c r="T225" t="str">
        <f>_xlfn.XLOOKUP(B225,Disk_Pivot!G:G,Disk_Pivot!N:N)</f>
        <v>Pass, Fail</v>
      </c>
      <c r="U225" t="str">
        <f>IF(T225="Fail",MacReports!O225,"")</f>
        <v/>
      </c>
      <c r="AA225" t="str">
        <f t="shared" si="11"/>
        <v/>
      </c>
    </row>
    <row r="226" spans="1:27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str">
        <f>_xlfn.XLOOKUP(B226,MacReports!B:B,MacReports!E:E,"")</f>
        <v/>
      </c>
      <c r="F226" s="13">
        <f>MacReports!F226</f>
        <v>0</v>
      </c>
      <c r="G226" t="e">
        <f>_xlfn.XLOOKUP(F226,Models!A:A,Models!B:B)</f>
        <v>#N/A</v>
      </c>
      <c r="H226" t="e">
        <f>_xlfn.XLOOKUP(F226,Models!A:A,Models!E:E)</f>
        <v>#N/A</v>
      </c>
      <c r="I226" t="e">
        <f>_xlfn.XLOOKUP(F226,Models!A:A,Models!D:D)</f>
        <v>#N/A</v>
      </c>
      <c r="J226">
        <f>MacReports!G226</f>
        <v>0</v>
      </c>
      <c r="K226" s="59">
        <f>MacReports!H226</f>
        <v>0</v>
      </c>
      <c r="L226" t="str">
        <f t="shared" si="12"/>
        <v>0</v>
      </c>
      <c r="M226" s="15">
        <f>MacReports!I226</f>
        <v>0</v>
      </c>
      <c r="N226" s="16" t="str" cm="1">
        <f t="array" ref="N226">_xlfn.IFS(
   --MacReports!N226&lt;55,"Battery Defect",
  -- MacReports!N226&lt;=69,"Battery D",
  --MacReports!N226&lt;=80,"Battery C",
 --MacReports!N226&gt;80,""
)</f>
        <v>Battery Defect</v>
      </c>
      <c r="O226" s="16" t="str">
        <f>IF(MacReports!J226="Service","Battery Service","")</f>
        <v/>
      </c>
      <c r="P226" s="13">
        <f>MacReports!Q226</f>
        <v>0</v>
      </c>
      <c r="Q226" s="13" t="str">
        <f>IF(MacReports!K226="Enabled","Apple ID Lock","")</f>
        <v/>
      </c>
      <c r="R226" s="13" t="str">
        <f>IF(MacReports!M226="Remote Lock","Remote Locked","")</f>
        <v/>
      </c>
      <c r="S226" t="str">
        <f t="shared" si="10"/>
        <v>Battery Defect, 0</v>
      </c>
      <c r="T226" t="str">
        <f>_xlfn.XLOOKUP(B226,Disk_Pivot!G:G,Disk_Pivot!N:N)</f>
        <v>Pass, Fail</v>
      </c>
      <c r="U226" t="str">
        <f>IF(T226="Fail",MacReports!O226,"")</f>
        <v/>
      </c>
      <c r="AA226" t="str">
        <f t="shared" si="11"/>
        <v/>
      </c>
    </row>
    <row r="227" spans="1:27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str">
        <f>_xlfn.XLOOKUP(B227,MacReports!B:B,MacReports!E:E,"")</f>
        <v/>
      </c>
      <c r="F227" s="13">
        <f>MacReports!F227</f>
        <v>0</v>
      </c>
      <c r="G227" t="e">
        <f>_xlfn.XLOOKUP(F227,Models!A:A,Models!B:B)</f>
        <v>#N/A</v>
      </c>
      <c r="H227" t="e">
        <f>_xlfn.XLOOKUP(F227,Models!A:A,Models!E:E)</f>
        <v>#N/A</v>
      </c>
      <c r="I227" t="e">
        <f>_xlfn.XLOOKUP(F227,Models!A:A,Models!D:D)</f>
        <v>#N/A</v>
      </c>
      <c r="J227">
        <f>MacReports!G227</f>
        <v>0</v>
      </c>
      <c r="K227" s="59">
        <f>MacReports!H227</f>
        <v>0</v>
      </c>
      <c r="L227" t="str">
        <f t="shared" si="12"/>
        <v>0</v>
      </c>
      <c r="M227" s="15">
        <f>MacReports!I227</f>
        <v>0</v>
      </c>
      <c r="N227" s="16" t="str" cm="1">
        <f t="array" ref="N227">_xlfn.IFS(
   --MacReports!N227&lt;55,"Battery Defect",
  -- MacReports!N227&lt;=69,"Battery D",
  --MacReports!N227&lt;=80,"Battery C",
 --MacReports!N227&gt;80,""
)</f>
        <v>Battery Defect</v>
      </c>
      <c r="O227" s="16" t="str">
        <f>IF(MacReports!J227="Service","Battery Service","")</f>
        <v/>
      </c>
      <c r="P227" s="13">
        <f>MacReports!Q227</f>
        <v>0</v>
      </c>
      <c r="Q227" s="13" t="str">
        <f>IF(MacReports!K227="Enabled","Apple ID Lock","")</f>
        <v/>
      </c>
      <c r="R227" s="13" t="str">
        <f>IF(MacReports!M227="Remote Lock","Remote Locked","")</f>
        <v/>
      </c>
      <c r="S227" t="str">
        <f t="shared" ref="S227:S290" si="13">_xlfn.TEXTJOIN(", ",TRUE,Q227,R227,N227,O227,P227)</f>
        <v>Battery Defect, 0</v>
      </c>
      <c r="T227" t="str">
        <f>_xlfn.XLOOKUP(B227,Disk_Pivot!G:G,Disk_Pivot!N:N)</f>
        <v>Pass, Fail</v>
      </c>
      <c r="U227" t="str">
        <f>IF(T227="Fail",MacReports!O227,"")</f>
        <v/>
      </c>
      <c r="AA227" t="str">
        <f t="shared" ref="AA227:AA290" si="14">_xlfn.TEXTJOIN(", ",TRUE,Q227,R227)</f>
        <v/>
      </c>
    </row>
    <row r="228" spans="1:27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str">
        <f>_xlfn.XLOOKUP(B228,MacReports!B:B,MacReports!E:E,"")</f>
        <v/>
      </c>
      <c r="F228" s="13">
        <f>MacReports!F228</f>
        <v>0</v>
      </c>
      <c r="G228" t="e">
        <f>_xlfn.XLOOKUP(F228,Models!A:A,Models!B:B)</f>
        <v>#N/A</v>
      </c>
      <c r="H228" t="e">
        <f>_xlfn.XLOOKUP(F228,Models!A:A,Models!E:E)</f>
        <v>#N/A</v>
      </c>
      <c r="I228" t="e">
        <f>_xlfn.XLOOKUP(F228,Models!A:A,Models!D:D)</f>
        <v>#N/A</v>
      </c>
      <c r="J228">
        <f>MacReports!G228</f>
        <v>0</v>
      </c>
      <c r="K228" s="59">
        <f>MacReports!H228</f>
        <v>0</v>
      </c>
      <c r="L228" t="str">
        <f t="shared" si="12"/>
        <v>0</v>
      </c>
      <c r="M228" s="15">
        <f>MacReports!I228</f>
        <v>0</v>
      </c>
      <c r="N228" s="16" t="str" cm="1">
        <f t="array" ref="N228">_xlfn.IFS(
   --MacReports!N228&lt;55,"Battery Defect",
  -- MacReports!N228&lt;=69,"Battery D",
  --MacReports!N228&lt;=80,"Battery C",
 --MacReports!N228&gt;80,""
)</f>
        <v>Battery Defect</v>
      </c>
      <c r="O228" s="16" t="str">
        <f>IF(MacReports!J228="Service","Battery Service","")</f>
        <v/>
      </c>
      <c r="P228" s="13">
        <f>MacReports!Q228</f>
        <v>0</v>
      </c>
      <c r="Q228" s="13" t="str">
        <f>IF(MacReports!K228="Enabled","Apple ID Lock","")</f>
        <v/>
      </c>
      <c r="R228" s="13" t="str">
        <f>IF(MacReports!M228="Remote Lock","Remote Locked","")</f>
        <v/>
      </c>
      <c r="S228" t="str">
        <f t="shared" si="13"/>
        <v>Battery Defect, 0</v>
      </c>
      <c r="T228" t="str">
        <f>_xlfn.XLOOKUP(B228,Disk_Pivot!G:G,Disk_Pivot!N:N)</f>
        <v>Pass, Fail</v>
      </c>
      <c r="U228" t="str">
        <f>IF(T228="Fail",MacReports!O228,"")</f>
        <v/>
      </c>
      <c r="AA228" t="str">
        <f t="shared" si="14"/>
        <v/>
      </c>
    </row>
    <row r="229" spans="1:27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str">
        <f>_xlfn.XLOOKUP(B229,MacReports!B:B,MacReports!E:E,"")</f>
        <v/>
      </c>
      <c r="F229" s="13">
        <f>MacReports!F229</f>
        <v>0</v>
      </c>
      <c r="G229" t="e">
        <f>_xlfn.XLOOKUP(F229,Models!A:A,Models!B:B)</f>
        <v>#N/A</v>
      </c>
      <c r="H229" t="e">
        <f>_xlfn.XLOOKUP(F229,Models!A:A,Models!E:E)</f>
        <v>#N/A</v>
      </c>
      <c r="I229" t="e">
        <f>_xlfn.XLOOKUP(F229,Models!A:A,Models!D:D)</f>
        <v>#N/A</v>
      </c>
      <c r="J229">
        <f>MacReports!G229</f>
        <v>0</v>
      </c>
      <c r="K229" s="59">
        <f>MacReports!H229</f>
        <v>0</v>
      </c>
      <c r="L229" t="str">
        <f t="shared" si="12"/>
        <v>0</v>
      </c>
      <c r="M229" s="15">
        <f>MacReports!I229</f>
        <v>0</v>
      </c>
      <c r="N229" s="16" t="str" cm="1">
        <f t="array" ref="N229">_xlfn.IFS(
   --MacReports!N229&lt;55,"Battery Defect",
  -- MacReports!N229&lt;=69,"Battery D",
  --MacReports!N229&lt;=80,"Battery C",
 --MacReports!N229&gt;80,""
)</f>
        <v>Battery Defect</v>
      </c>
      <c r="O229" s="16" t="str">
        <f>IF(MacReports!J229="Service","Battery Service","")</f>
        <v/>
      </c>
      <c r="P229" s="13">
        <f>MacReports!Q229</f>
        <v>0</v>
      </c>
      <c r="Q229" s="13" t="str">
        <f>IF(MacReports!K229="Enabled","Apple ID Lock","")</f>
        <v/>
      </c>
      <c r="R229" s="13" t="str">
        <f>IF(MacReports!M229="Remote Lock","Remote Locked","")</f>
        <v/>
      </c>
      <c r="S229" t="str">
        <f t="shared" si="13"/>
        <v>Battery Defect, 0</v>
      </c>
      <c r="T229" t="str">
        <f>_xlfn.XLOOKUP(B229,Disk_Pivot!G:G,Disk_Pivot!N:N)</f>
        <v>Pass, Fail</v>
      </c>
      <c r="U229" t="str">
        <f>IF(T229="Fail",MacReports!O229,"")</f>
        <v/>
      </c>
      <c r="AA229" t="str">
        <f t="shared" si="14"/>
        <v/>
      </c>
    </row>
    <row r="230" spans="1:27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str">
        <f>_xlfn.XLOOKUP(B230,MacReports!B:B,MacReports!E:E,"")</f>
        <v/>
      </c>
      <c r="F230" s="13">
        <f>MacReports!F230</f>
        <v>0</v>
      </c>
      <c r="G230" t="e">
        <f>_xlfn.XLOOKUP(F230,Models!A:A,Models!B:B)</f>
        <v>#N/A</v>
      </c>
      <c r="H230" t="e">
        <f>_xlfn.XLOOKUP(F230,Models!A:A,Models!E:E)</f>
        <v>#N/A</v>
      </c>
      <c r="I230" t="e">
        <f>_xlfn.XLOOKUP(F230,Models!A:A,Models!D:D)</f>
        <v>#N/A</v>
      </c>
      <c r="J230">
        <f>MacReports!G230</f>
        <v>0</v>
      </c>
      <c r="K230" s="59">
        <f>MacReports!H230</f>
        <v>0</v>
      </c>
      <c r="L230" t="str">
        <f t="shared" si="12"/>
        <v>0</v>
      </c>
      <c r="M230" s="15">
        <f>MacReports!I230</f>
        <v>0</v>
      </c>
      <c r="N230" s="16" t="str" cm="1">
        <f t="array" ref="N230">_xlfn.IFS(
   --MacReports!N230&lt;55,"Battery Defect",
  -- MacReports!N230&lt;=69,"Battery D",
  --MacReports!N230&lt;=80,"Battery C",
 --MacReports!N230&gt;80,""
)</f>
        <v>Battery Defect</v>
      </c>
      <c r="O230" s="16" t="str">
        <f>IF(MacReports!J230="Service","Battery Service","")</f>
        <v/>
      </c>
      <c r="P230" s="13">
        <f>MacReports!Q230</f>
        <v>0</v>
      </c>
      <c r="Q230" s="13" t="str">
        <f>IF(MacReports!K230="Enabled","Apple ID Lock","")</f>
        <v/>
      </c>
      <c r="R230" s="13" t="str">
        <f>IF(MacReports!M230="Remote Lock","Remote Locked","")</f>
        <v/>
      </c>
      <c r="S230" t="str">
        <f t="shared" si="13"/>
        <v>Battery Defect, 0</v>
      </c>
      <c r="T230" t="str">
        <f>_xlfn.XLOOKUP(B230,Disk_Pivot!G:G,Disk_Pivot!N:N)</f>
        <v>Pass, Fail</v>
      </c>
      <c r="U230" t="str">
        <f>IF(T230="Fail",MacReports!O230,"")</f>
        <v/>
      </c>
      <c r="AA230" t="str">
        <f t="shared" si="14"/>
        <v/>
      </c>
    </row>
    <row r="231" spans="1:27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str">
        <f>_xlfn.XLOOKUP(B231,MacReports!B:B,MacReports!E:E,"")</f>
        <v/>
      </c>
      <c r="F231" s="13">
        <f>MacReports!F231</f>
        <v>0</v>
      </c>
      <c r="G231" t="e">
        <f>_xlfn.XLOOKUP(F231,Models!A:A,Models!B:B)</f>
        <v>#N/A</v>
      </c>
      <c r="H231" t="e">
        <f>_xlfn.XLOOKUP(F231,Models!A:A,Models!E:E)</f>
        <v>#N/A</v>
      </c>
      <c r="I231" t="e">
        <f>_xlfn.XLOOKUP(F231,Models!A:A,Models!D:D)</f>
        <v>#N/A</v>
      </c>
      <c r="J231">
        <f>MacReports!G231</f>
        <v>0</v>
      </c>
      <c r="K231" s="59">
        <f>MacReports!H231</f>
        <v>0</v>
      </c>
      <c r="L231" t="str">
        <f t="shared" si="12"/>
        <v>0</v>
      </c>
      <c r="M231" s="15">
        <f>MacReports!I231</f>
        <v>0</v>
      </c>
      <c r="N231" s="16" t="str" cm="1">
        <f t="array" ref="N231">_xlfn.IFS(
   --MacReports!N231&lt;55,"Battery Defect",
  -- MacReports!N231&lt;=69,"Battery D",
  --MacReports!N231&lt;=80,"Battery C",
 --MacReports!N231&gt;80,""
)</f>
        <v>Battery Defect</v>
      </c>
      <c r="O231" s="16" t="str">
        <f>IF(MacReports!J231="Service","Battery Service","")</f>
        <v/>
      </c>
      <c r="P231" s="13">
        <f>MacReports!Q231</f>
        <v>0</v>
      </c>
      <c r="Q231" s="13" t="str">
        <f>IF(MacReports!K231="Enabled","Apple ID Lock","")</f>
        <v/>
      </c>
      <c r="R231" s="13" t="str">
        <f>IF(MacReports!M231="Remote Lock","Remote Locked","")</f>
        <v/>
      </c>
      <c r="S231" t="str">
        <f t="shared" si="13"/>
        <v>Battery Defect, 0</v>
      </c>
      <c r="T231" t="str">
        <f>_xlfn.XLOOKUP(B231,Disk_Pivot!G:G,Disk_Pivot!N:N)</f>
        <v>Pass, Fail</v>
      </c>
      <c r="U231" t="str">
        <f>IF(T231="Fail",MacReports!O231,"")</f>
        <v/>
      </c>
      <c r="AA231" t="str">
        <f t="shared" si="14"/>
        <v/>
      </c>
    </row>
    <row r="232" spans="1:27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str">
        <f>_xlfn.XLOOKUP(B232,MacReports!B:B,MacReports!E:E,"")</f>
        <v/>
      </c>
      <c r="F232" s="13">
        <f>MacReports!F232</f>
        <v>0</v>
      </c>
      <c r="G232" t="e">
        <f>_xlfn.XLOOKUP(F232,Models!A:A,Models!B:B)</f>
        <v>#N/A</v>
      </c>
      <c r="H232" t="e">
        <f>_xlfn.XLOOKUP(F232,Models!A:A,Models!E:E)</f>
        <v>#N/A</v>
      </c>
      <c r="I232" t="e">
        <f>_xlfn.XLOOKUP(F232,Models!A:A,Models!D:D)</f>
        <v>#N/A</v>
      </c>
      <c r="J232">
        <f>MacReports!G232</f>
        <v>0</v>
      </c>
      <c r="K232" s="59">
        <f>MacReports!H232</f>
        <v>0</v>
      </c>
      <c r="L232" t="str">
        <f t="shared" si="12"/>
        <v>0</v>
      </c>
      <c r="M232" s="15">
        <f>MacReports!I232</f>
        <v>0</v>
      </c>
      <c r="N232" s="16" t="str" cm="1">
        <f t="array" ref="N232">_xlfn.IFS(
   --MacReports!N232&lt;55,"Battery Defect",
  -- MacReports!N232&lt;=69,"Battery D",
  --MacReports!N232&lt;=80,"Battery C",
 --MacReports!N232&gt;80,""
)</f>
        <v>Battery Defect</v>
      </c>
      <c r="O232" s="16" t="str">
        <f>IF(MacReports!J232="Service","Battery Service","")</f>
        <v/>
      </c>
      <c r="P232" s="13">
        <f>MacReports!Q232</f>
        <v>0</v>
      </c>
      <c r="Q232" s="13" t="str">
        <f>IF(MacReports!K232="Enabled","Apple ID Lock","")</f>
        <v/>
      </c>
      <c r="R232" s="13" t="str">
        <f>IF(MacReports!M232="Remote Lock","Remote Locked","")</f>
        <v/>
      </c>
      <c r="S232" t="str">
        <f t="shared" si="13"/>
        <v>Battery Defect, 0</v>
      </c>
      <c r="T232" t="str">
        <f>_xlfn.XLOOKUP(B232,Disk_Pivot!G:G,Disk_Pivot!N:N)</f>
        <v>Pass, Fail</v>
      </c>
      <c r="U232" t="str">
        <f>IF(T232="Fail",MacReports!O232,"")</f>
        <v/>
      </c>
      <c r="AA232" t="str">
        <f t="shared" si="14"/>
        <v/>
      </c>
    </row>
    <row r="233" spans="1:27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str">
        <f>_xlfn.XLOOKUP(B233,MacReports!B:B,MacReports!E:E,"")</f>
        <v/>
      </c>
      <c r="F233" s="13">
        <f>MacReports!F233</f>
        <v>0</v>
      </c>
      <c r="G233" t="e">
        <f>_xlfn.XLOOKUP(F233,Models!A:A,Models!B:B)</f>
        <v>#N/A</v>
      </c>
      <c r="H233" t="e">
        <f>_xlfn.XLOOKUP(F233,Models!A:A,Models!E:E)</f>
        <v>#N/A</v>
      </c>
      <c r="I233" t="e">
        <f>_xlfn.XLOOKUP(F233,Models!A:A,Models!D:D)</f>
        <v>#N/A</v>
      </c>
      <c r="J233">
        <f>MacReports!G233</f>
        <v>0</v>
      </c>
      <c r="K233" s="59">
        <f>MacReports!H233</f>
        <v>0</v>
      </c>
      <c r="L233" t="str">
        <f t="shared" si="12"/>
        <v>0</v>
      </c>
      <c r="M233" s="15">
        <f>MacReports!I233</f>
        <v>0</v>
      </c>
      <c r="N233" s="16" t="str" cm="1">
        <f t="array" ref="N233">_xlfn.IFS(
   --MacReports!N233&lt;55,"Battery Defect",
  -- MacReports!N233&lt;=69,"Battery D",
  --MacReports!N233&lt;=80,"Battery C",
 --MacReports!N233&gt;80,""
)</f>
        <v>Battery Defect</v>
      </c>
      <c r="O233" s="16" t="str">
        <f>IF(MacReports!J233="Service","Battery Service","")</f>
        <v/>
      </c>
      <c r="P233" s="13">
        <f>MacReports!Q233</f>
        <v>0</v>
      </c>
      <c r="Q233" s="13" t="str">
        <f>IF(MacReports!K233="Enabled","Apple ID Lock","")</f>
        <v/>
      </c>
      <c r="R233" s="13" t="str">
        <f>IF(MacReports!M233="Remote Lock","Remote Locked","")</f>
        <v/>
      </c>
      <c r="S233" t="str">
        <f t="shared" si="13"/>
        <v>Battery Defect, 0</v>
      </c>
      <c r="T233" t="str">
        <f>_xlfn.XLOOKUP(B233,Disk_Pivot!G:G,Disk_Pivot!N:N)</f>
        <v>Pass, Fail</v>
      </c>
      <c r="U233" t="str">
        <f>IF(T233="Fail",MacReports!O233,"")</f>
        <v/>
      </c>
      <c r="AA233" t="str">
        <f t="shared" si="14"/>
        <v/>
      </c>
    </row>
    <row r="234" spans="1:27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str">
        <f>_xlfn.XLOOKUP(B234,MacReports!B:B,MacReports!E:E,"")</f>
        <v/>
      </c>
      <c r="F234" s="13">
        <f>MacReports!F234</f>
        <v>0</v>
      </c>
      <c r="G234" t="e">
        <f>_xlfn.XLOOKUP(F234,Models!A:A,Models!B:B)</f>
        <v>#N/A</v>
      </c>
      <c r="H234" t="e">
        <f>_xlfn.XLOOKUP(F234,Models!A:A,Models!E:E)</f>
        <v>#N/A</v>
      </c>
      <c r="I234" t="e">
        <f>_xlfn.XLOOKUP(F234,Models!A:A,Models!D:D)</f>
        <v>#N/A</v>
      </c>
      <c r="J234">
        <f>MacReports!G234</f>
        <v>0</v>
      </c>
      <c r="K234" s="59">
        <f>MacReports!H234</f>
        <v>0</v>
      </c>
      <c r="L234" t="str">
        <f t="shared" si="12"/>
        <v>0</v>
      </c>
      <c r="M234" s="15">
        <f>MacReports!I234</f>
        <v>0</v>
      </c>
      <c r="N234" s="16" t="str" cm="1">
        <f t="array" ref="N234">_xlfn.IFS(
   --MacReports!N234&lt;55,"Battery Defect",
  -- MacReports!N234&lt;=69,"Battery D",
  --MacReports!N234&lt;=80,"Battery C",
 --MacReports!N234&gt;80,""
)</f>
        <v>Battery Defect</v>
      </c>
      <c r="O234" s="16" t="str">
        <f>IF(MacReports!J234="Service","Battery Service","")</f>
        <v/>
      </c>
      <c r="P234" s="13">
        <f>MacReports!Q234</f>
        <v>0</v>
      </c>
      <c r="Q234" s="13" t="str">
        <f>IF(MacReports!K234="Enabled","Apple ID Lock","")</f>
        <v/>
      </c>
      <c r="R234" s="13" t="str">
        <f>IF(MacReports!M234="Remote Lock","Remote Locked","")</f>
        <v/>
      </c>
      <c r="S234" t="str">
        <f t="shared" si="13"/>
        <v>Battery Defect, 0</v>
      </c>
      <c r="T234" t="str">
        <f>_xlfn.XLOOKUP(B234,Disk_Pivot!G:G,Disk_Pivot!N:N)</f>
        <v>Pass, Fail</v>
      </c>
      <c r="U234" t="str">
        <f>IF(T234="Fail",MacReports!O234,"")</f>
        <v/>
      </c>
      <c r="AA234" t="str">
        <f t="shared" si="14"/>
        <v/>
      </c>
    </row>
    <row r="235" spans="1:27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str">
        <f>_xlfn.XLOOKUP(B235,MacReports!B:B,MacReports!E:E,"")</f>
        <v/>
      </c>
      <c r="F235" s="13">
        <f>MacReports!F235</f>
        <v>0</v>
      </c>
      <c r="G235" t="e">
        <f>_xlfn.XLOOKUP(F235,Models!A:A,Models!B:B)</f>
        <v>#N/A</v>
      </c>
      <c r="H235" t="e">
        <f>_xlfn.XLOOKUP(F235,Models!A:A,Models!E:E)</f>
        <v>#N/A</v>
      </c>
      <c r="I235" t="e">
        <f>_xlfn.XLOOKUP(F235,Models!A:A,Models!D:D)</f>
        <v>#N/A</v>
      </c>
      <c r="J235">
        <f>MacReports!G235</f>
        <v>0</v>
      </c>
      <c r="K235" s="59">
        <f>MacReports!H235</f>
        <v>0</v>
      </c>
      <c r="L235" t="str">
        <f t="shared" si="12"/>
        <v>0</v>
      </c>
      <c r="M235" s="15">
        <f>MacReports!I235</f>
        <v>0</v>
      </c>
      <c r="N235" s="16" t="str" cm="1">
        <f t="array" ref="N235">_xlfn.IFS(
   --MacReports!N235&lt;55,"Battery Defect",
  -- MacReports!N235&lt;=69,"Battery D",
  --MacReports!N235&lt;=80,"Battery C",
 --MacReports!N235&gt;80,""
)</f>
        <v>Battery Defect</v>
      </c>
      <c r="O235" s="16" t="str">
        <f>IF(MacReports!J235="Service","Battery Service","")</f>
        <v/>
      </c>
      <c r="P235" s="13">
        <f>MacReports!Q235</f>
        <v>0</v>
      </c>
      <c r="Q235" s="13" t="str">
        <f>IF(MacReports!K235="Enabled","Apple ID Lock","")</f>
        <v/>
      </c>
      <c r="R235" s="13" t="str">
        <f>IF(MacReports!M235="Remote Lock","Remote Locked","")</f>
        <v/>
      </c>
      <c r="S235" t="str">
        <f t="shared" si="13"/>
        <v>Battery Defect, 0</v>
      </c>
      <c r="T235" t="str">
        <f>_xlfn.XLOOKUP(B235,Disk_Pivot!G:G,Disk_Pivot!N:N)</f>
        <v>Pass, Fail</v>
      </c>
      <c r="U235" t="str">
        <f>IF(T235="Fail",MacReports!O235,"")</f>
        <v/>
      </c>
      <c r="AA235" t="str">
        <f t="shared" si="14"/>
        <v/>
      </c>
    </row>
    <row r="236" spans="1:27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str">
        <f>_xlfn.XLOOKUP(B236,MacReports!B:B,MacReports!E:E,"")</f>
        <v/>
      </c>
      <c r="F236" s="13">
        <f>MacReports!F236</f>
        <v>0</v>
      </c>
      <c r="G236" t="e">
        <f>_xlfn.XLOOKUP(F236,Models!A:A,Models!B:B)</f>
        <v>#N/A</v>
      </c>
      <c r="H236" t="e">
        <f>_xlfn.XLOOKUP(F236,Models!A:A,Models!E:E)</f>
        <v>#N/A</v>
      </c>
      <c r="I236" t="e">
        <f>_xlfn.XLOOKUP(F236,Models!A:A,Models!D:D)</f>
        <v>#N/A</v>
      </c>
      <c r="J236">
        <f>MacReports!G236</f>
        <v>0</v>
      </c>
      <c r="K236" s="59">
        <f>MacReports!H236</f>
        <v>0</v>
      </c>
      <c r="L236" t="str">
        <f t="shared" si="12"/>
        <v>0</v>
      </c>
      <c r="M236" s="15">
        <f>MacReports!I236</f>
        <v>0</v>
      </c>
      <c r="N236" s="16" t="str" cm="1">
        <f t="array" ref="N236">_xlfn.IFS(
   --MacReports!N236&lt;55,"Battery Defect",
  -- MacReports!N236&lt;=69,"Battery D",
  --MacReports!N236&lt;=80,"Battery C",
 --MacReports!N236&gt;80,""
)</f>
        <v>Battery Defect</v>
      </c>
      <c r="O236" s="16" t="str">
        <f>IF(MacReports!J236="Service","Battery Service","")</f>
        <v/>
      </c>
      <c r="P236" s="13">
        <f>MacReports!Q236</f>
        <v>0</v>
      </c>
      <c r="Q236" s="13" t="str">
        <f>IF(MacReports!K236="Enabled","Apple ID Lock","")</f>
        <v/>
      </c>
      <c r="R236" s="13" t="str">
        <f>IF(MacReports!M236="Remote Lock","Remote Locked","")</f>
        <v/>
      </c>
      <c r="S236" t="str">
        <f t="shared" si="13"/>
        <v>Battery Defect, 0</v>
      </c>
      <c r="T236" t="str">
        <f>_xlfn.XLOOKUP(B236,Disk_Pivot!G:G,Disk_Pivot!N:N)</f>
        <v>Pass, Fail</v>
      </c>
      <c r="U236" t="str">
        <f>IF(T236="Fail",MacReports!O236,"")</f>
        <v/>
      </c>
      <c r="AA236" t="str">
        <f t="shared" si="14"/>
        <v/>
      </c>
    </row>
    <row r="237" spans="1:27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str">
        <f>_xlfn.XLOOKUP(B237,MacReports!B:B,MacReports!E:E,"")</f>
        <v/>
      </c>
      <c r="F237" s="13">
        <f>MacReports!F237</f>
        <v>0</v>
      </c>
      <c r="G237" t="e">
        <f>_xlfn.XLOOKUP(F237,Models!A:A,Models!B:B)</f>
        <v>#N/A</v>
      </c>
      <c r="H237" t="e">
        <f>_xlfn.XLOOKUP(F237,Models!A:A,Models!E:E)</f>
        <v>#N/A</v>
      </c>
      <c r="I237" t="e">
        <f>_xlfn.XLOOKUP(F237,Models!A:A,Models!D:D)</f>
        <v>#N/A</v>
      </c>
      <c r="J237">
        <f>MacReports!G237</f>
        <v>0</v>
      </c>
      <c r="K237" s="59">
        <f>MacReports!H237</f>
        <v>0</v>
      </c>
      <c r="L237" t="str">
        <f t="shared" si="12"/>
        <v>0</v>
      </c>
      <c r="M237" s="15">
        <f>MacReports!I237</f>
        <v>0</v>
      </c>
      <c r="N237" s="16" t="str" cm="1">
        <f t="array" ref="N237">_xlfn.IFS(
   --MacReports!N237&lt;55,"Battery Defect",
  -- MacReports!N237&lt;=69,"Battery D",
  --MacReports!N237&lt;=80,"Battery C",
 --MacReports!N237&gt;80,""
)</f>
        <v>Battery Defect</v>
      </c>
      <c r="O237" s="16" t="str">
        <f>IF(MacReports!J237="Service","Battery Service","")</f>
        <v/>
      </c>
      <c r="P237" s="13">
        <f>MacReports!Q237</f>
        <v>0</v>
      </c>
      <c r="Q237" s="13" t="str">
        <f>IF(MacReports!K237="Enabled","Apple ID Lock","")</f>
        <v/>
      </c>
      <c r="R237" s="13" t="str">
        <f>IF(MacReports!M237="Remote Lock","Remote Locked","")</f>
        <v/>
      </c>
      <c r="S237" t="str">
        <f t="shared" si="13"/>
        <v>Battery Defect, 0</v>
      </c>
      <c r="T237" t="str">
        <f>_xlfn.XLOOKUP(B237,Disk_Pivot!G:G,Disk_Pivot!N:N)</f>
        <v>Pass, Fail</v>
      </c>
      <c r="U237" t="str">
        <f>IF(T237="Fail",MacReports!O237,"")</f>
        <v/>
      </c>
      <c r="AA237" t="str">
        <f t="shared" si="14"/>
        <v/>
      </c>
    </row>
    <row r="238" spans="1:27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str">
        <f>_xlfn.XLOOKUP(B238,MacReports!B:B,MacReports!E:E,"")</f>
        <v/>
      </c>
      <c r="F238" s="13">
        <f>MacReports!F238</f>
        <v>0</v>
      </c>
      <c r="G238" t="e">
        <f>_xlfn.XLOOKUP(F238,Models!A:A,Models!B:B)</f>
        <v>#N/A</v>
      </c>
      <c r="H238" t="e">
        <f>_xlfn.XLOOKUP(F238,Models!A:A,Models!E:E)</f>
        <v>#N/A</v>
      </c>
      <c r="I238" t="e">
        <f>_xlfn.XLOOKUP(F238,Models!A:A,Models!D:D)</f>
        <v>#N/A</v>
      </c>
      <c r="J238">
        <f>MacReports!G238</f>
        <v>0</v>
      </c>
      <c r="K238" s="59">
        <f>MacReports!H238</f>
        <v>0</v>
      </c>
      <c r="L238" t="str">
        <f t="shared" si="12"/>
        <v>0</v>
      </c>
      <c r="M238" s="15">
        <f>MacReports!I238</f>
        <v>0</v>
      </c>
      <c r="N238" s="16" t="str" cm="1">
        <f t="array" ref="N238">_xlfn.IFS(
   --MacReports!N238&lt;55,"Battery Defect",
  -- MacReports!N238&lt;=69,"Battery D",
  --MacReports!N238&lt;=80,"Battery C",
 --MacReports!N238&gt;80,""
)</f>
        <v>Battery Defect</v>
      </c>
      <c r="O238" s="16" t="str">
        <f>IF(MacReports!J238="Service","Battery Service","")</f>
        <v/>
      </c>
      <c r="P238" s="13">
        <f>MacReports!Q238</f>
        <v>0</v>
      </c>
      <c r="Q238" s="13" t="str">
        <f>IF(MacReports!K238="Enabled","Apple ID Lock","")</f>
        <v/>
      </c>
      <c r="R238" s="13" t="str">
        <f>IF(MacReports!M238="Remote Lock","Remote Locked","")</f>
        <v/>
      </c>
      <c r="S238" t="str">
        <f t="shared" si="13"/>
        <v>Battery Defect, 0</v>
      </c>
      <c r="T238" t="str">
        <f>_xlfn.XLOOKUP(B238,Disk_Pivot!G:G,Disk_Pivot!N:N)</f>
        <v>Pass, Fail</v>
      </c>
      <c r="U238" t="str">
        <f>IF(T238="Fail",MacReports!O238,"")</f>
        <v/>
      </c>
      <c r="AA238" t="str">
        <f t="shared" si="14"/>
        <v/>
      </c>
    </row>
    <row r="239" spans="1:27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str">
        <f>_xlfn.XLOOKUP(B239,MacReports!B:B,MacReports!E:E,"")</f>
        <v/>
      </c>
      <c r="F239" s="13">
        <f>MacReports!F239</f>
        <v>0</v>
      </c>
      <c r="G239" t="e">
        <f>_xlfn.XLOOKUP(F239,Models!A:A,Models!B:B)</f>
        <v>#N/A</v>
      </c>
      <c r="H239" t="e">
        <f>_xlfn.XLOOKUP(F239,Models!A:A,Models!E:E)</f>
        <v>#N/A</v>
      </c>
      <c r="I239" t="e">
        <f>_xlfn.XLOOKUP(F239,Models!A:A,Models!D:D)</f>
        <v>#N/A</v>
      </c>
      <c r="J239">
        <f>MacReports!G239</f>
        <v>0</v>
      </c>
      <c r="K239" s="59">
        <f>MacReports!H239</f>
        <v>0</v>
      </c>
      <c r="L239" t="str">
        <f t="shared" si="12"/>
        <v>0</v>
      </c>
      <c r="M239" s="15">
        <f>MacReports!I239</f>
        <v>0</v>
      </c>
      <c r="N239" s="16" t="str" cm="1">
        <f t="array" ref="N239">_xlfn.IFS(
   --MacReports!N239&lt;55,"Battery Defect",
  -- MacReports!N239&lt;=69,"Battery D",
  --MacReports!N239&lt;=80,"Battery C",
 --MacReports!N239&gt;80,""
)</f>
        <v>Battery Defect</v>
      </c>
      <c r="O239" s="16" t="str">
        <f>IF(MacReports!J239="Service","Battery Service","")</f>
        <v/>
      </c>
      <c r="P239" s="13">
        <f>MacReports!Q239</f>
        <v>0</v>
      </c>
      <c r="Q239" s="13" t="str">
        <f>IF(MacReports!K239="Enabled","Apple ID Lock","")</f>
        <v/>
      </c>
      <c r="R239" s="13" t="str">
        <f>IF(MacReports!M239="Remote Lock","Remote Locked","")</f>
        <v/>
      </c>
      <c r="S239" t="str">
        <f t="shared" si="13"/>
        <v>Battery Defect, 0</v>
      </c>
      <c r="T239" t="str">
        <f>_xlfn.XLOOKUP(B239,Disk_Pivot!G:G,Disk_Pivot!N:N)</f>
        <v>Pass, Fail</v>
      </c>
      <c r="U239" t="str">
        <f>IF(T239="Fail",MacReports!O239,"")</f>
        <v/>
      </c>
      <c r="AA239" t="str">
        <f t="shared" si="14"/>
        <v/>
      </c>
    </row>
    <row r="240" spans="1:27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str">
        <f>_xlfn.XLOOKUP(B240,MacReports!B:B,MacReports!E:E,"")</f>
        <v/>
      </c>
      <c r="F240" s="13">
        <f>MacReports!F240</f>
        <v>0</v>
      </c>
      <c r="G240" t="e">
        <f>_xlfn.XLOOKUP(F240,Models!A:A,Models!B:B)</f>
        <v>#N/A</v>
      </c>
      <c r="H240" t="e">
        <f>_xlfn.XLOOKUP(F240,Models!A:A,Models!E:E)</f>
        <v>#N/A</v>
      </c>
      <c r="I240" t="e">
        <f>_xlfn.XLOOKUP(F240,Models!A:A,Models!D:D)</f>
        <v>#N/A</v>
      </c>
      <c r="J240">
        <f>MacReports!G240</f>
        <v>0</v>
      </c>
      <c r="K240" s="59">
        <f>MacReports!H240</f>
        <v>0</v>
      </c>
      <c r="L240" t="str">
        <f t="shared" si="12"/>
        <v>0</v>
      </c>
      <c r="M240" s="15">
        <f>MacReports!I240</f>
        <v>0</v>
      </c>
      <c r="N240" s="16" t="str" cm="1">
        <f t="array" ref="N240">_xlfn.IFS(
   --MacReports!N240&lt;55,"Battery Defect",
  -- MacReports!N240&lt;=69,"Battery D",
  --MacReports!N240&lt;=80,"Battery C",
 --MacReports!N240&gt;80,""
)</f>
        <v>Battery Defect</v>
      </c>
      <c r="O240" s="16" t="str">
        <f>IF(MacReports!J240="Service","Battery Service","")</f>
        <v/>
      </c>
      <c r="P240" s="13">
        <f>MacReports!Q240</f>
        <v>0</v>
      </c>
      <c r="Q240" s="13" t="str">
        <f>IF(MacReports!K240="Enabled","Apple ID Lock","")</f>
        <v/>
      </c>
      <c r="R240" s="13" t="str">
        <f>IF(MacReports!M240="Remote Lock","Remote Locked","")</f>
        <v/>
      </c>
      <c r="S240" t="str">
        <f t="shared" si="13"/>
        <v>Battery Defect, 0</v>
      </c>
      <c r="T240" t="str">
        <f>_xlfn.XLOOKUP(B240,Disk_Pivot!G:G,Disk_Pivot!N:N)</f>
        <v>Pass, Fail</v>
      </c>
      <c r="U240" t="str">
        <f>IF(T240="Fail",MacReports!O240,"")</f>
        <v/>
      </c>
      <c r="AA240" t="str">
        <f t="shared" si="14"/>
        <v/>
      </c>
    </row>
    <row r="241" spans="1:27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str">
        <f>_xlfn.XLOOKUP(B241,MacReports!B:B,MacReports!E:E,"")</f>
        <v/>
      </c>
      <c r="F241" s="13">
        <f>MacReports!F241</f>
        <v>0</v>
      </c>
      <c r="G241" t="e">
        <f>_xlfn.XLOOKUP(F241,Models!A:A,Models!B:B)</f>
        <v>#N/A</v>
      </c>
      <c r="H241" t="e">
        <f>_xlfn.XLOOKUP(F241,Models!A:A,Models!E:E)</f>
        <v>#N/A</v>
      </c>
      <c r="I241" t="e">
        <f>_xlfn.XLOOKUP(F241,Models!A:A,Models!D:D)</f>
        <v>#N/A</v>
      </c>
      <c r="J241">
        <f>MacReports!G241</f>
        <v>0</v>
      </c>
      <c r="K241" s="59">
        <f>MacReports!H241</f>
        <v>0</v>
      </c>
      <c r="L241" t="str">
        <f t="shared" si="12"/>
        <v>0</v>
      </c>
      <c r="M241" s="15">
        <f>MacReports!I241</f>
        <v>0</v>
      </c>
      <c r="N241" s="16" t="str" cm="1">
        <f t="array" ref="N241">_xlfn.IFS(
   --MacReports!N241&lt;55,"Battery Defect",
  -- MacReports!N241&lt;=69,"Battery D",
  --MacReports!N241&lt;=80,"Battery C",
 --MacReports!N241&gt;80,""
)</f>
        <v>Battery Defect</v>
      </c>
      <c r="O241" s="16" t="str">
        <f>IF(MacReports!J241="Service","Battery Service","")</f>
        <v/>
      </c>
      <c r="P241" s="13">
        <f>MacReports!Q241</f>
        <v>0</v>
      </c>
      <c r="Q241" s="13" t="str">
        <f>IF(MacReports!K241="Enabled","Apple ID Lock","")</f>
        <v/>
      </c>
      <c r="R241" s="13" t="str">
        <f>IF(MacReports!M241="Remote Lock","Remote Locked","")</f>
        <v/>
      </c>
      <c r="S241" t="str">
        <f t="shared" si="13"/>
        <v>Battery Defect, 0</v>
      </c>
      <c r="T241" t="str">
        <f>_xlfn.XLOOKUP(B241,Disk_Pivot!G:G,Disk_Pivot!N:N)</f>
        <v>Pass, Fail</v>
      </c>
      <c r="U241" t="str">
        <f>IF(T241="Fail",MacReports!O241,"")</f>
        <v/>
      </c>
      <c r="AA241" t="str">
        <f t="shared" si="14"/>
        <v/>
      </c>
    </row>
    <row r="242" spans="1:27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str">
        <f>_xlfn.XLOOKUP(B242,MacReports!B:B,MacReports!E:E,"")</f>
        <v/>
      </c>
      <c r="F242" s="13">
        <f>MacReports!F242</f>
        <v>0</v>
      </c>
      <c r="G242" t="e">
        <f>_xlfn.XLOOKUP(F242,Models!A:A,Models!B:B)</f>
        <v>#N/A</v>
      </c>
      <c r="H242" t="e">
        <f>_xlfn.XLOOKUP(F242,Models!A:A,Models!E:E)</f>
        <v>#N/A</v>
      </c>
      <c r="I242" t="e">
        <f>_xlfn.XLOOKUP(F242,Models!A:A,Models!D:D)</f>
        <v>#N/A</v>
      </c>
      <c r="J242">
        <f>MacReports!G242</f>
        <v>0</v>
      </c>
      <c r="K242" s="59">
        <f>MacReports!H242</f>
        <v>0</v>
      </c>
      <c r="L242" t="str">
        <f t="shared" si="12"/>
        <v>0</v>
      </c>
      <c r="M242" s="15">
        <f>MacReports!I242</f>
        <v>0</v>
      </c>
      <c r="N242" s="16" t="str" cm="1">
        <f t="array" ref="N242">_xlfn.IFS(
   --MacReports!N242&lt;55,"Battery Defect",
  -- MacReports!N242&lt;=69,"Battery D",
  --MacReports!N242&lt;=80,"Battery C",
 --MacReports!N242&gt;80,""
)</f>
        <v>Battery Defect</v>
      </c>
      <c r="O242" s="16" t="str">
        <f>IF(MacReports!J242="Service","Battery Service","")</f>
        <v/>
      </c>
      <c r="P242" s="13">
        <f>MacReports!Q242</f>
        <v>0</v>
      </c>
      <c r="Q242" s="13" t="str">
        <f>IF(MacReports!K242="Enabled","Apple ID Lock","")</f>
        <v/>
      </c>
      <c r="R242" s="13" t="str">
        <f>IF(MacReports!M242="Remote Lock","Remote Locked","")</f>
        <v/>
      </c>
      <c r="S242" t="str">
        <f t="shared" si="13"/>
        <v>Battery Defect, 0</v>
      </c>
      <c r="T242" t="str">
        <f>_xlfn.XLOOKUP(B242,Disk_Pivot!G:G,Disk_Pivot!N:N)</f>
        <v>Pass, Fail</v>
      </c>
      <c r="U242" t="str">
        <f>IF(T242="Fail",MacReports!O242,"")</f>
        <v/>
      </c>
      <c r="AA242" t="str">
        <f t="shared" si="14"/>
        <v/>
      </c>
    </row>
    <row r="243" spans="1:27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str">
        <f>_xlfn.XLOOKUP(B243,MacReports!B:B,MacReports!E:E,"")</f>
        <v/>
      </c>
      <c r="F243" s="13">
        <f>MacReports!F243</f>
        <v>0</v>
      </c>
      <c r="G243" t="e">
        <f>_xlfn.XLOOKUP(F243,Models!A:A,Models!B:B)</f>
        <v>#N/A</v>
      </c>
      <c r="H243" t="e">
        <f>_xlfn.XLOOKUP(F243,Models!A:A,Models!E:E)</f>
        <v>#N/A</v>
      </c>
      <c r="I243" t="e">
        <f>_xlfn.XLOOKUP(F243,Models!A:A,Models!D:D)</f>
        <v>#N/A</v>
      </c>
      <c r="J243">
        <f>MacReports!G243</f>
        <v>0</v>
      </c>
      <c r="K243" s="59">
        <f>MacReports!H243</f>
        <v>0</v>
      </c>
      <c r="L243" t="str">
        <f t="shared" si="12"/>
        <v>0</v>
      </c>
      <c r="M243" s="15">
        <f>MacReports!I243</f>
        <v>0</v>
      </c>
      <c r="N243" s="16" t="str" cm="1">
        <f t="array" ref="N243">_xlfn.IFS(
   --MacReports!N243&lt;55,"Battery Defect",
  -- MacReports!N243&lt;=69,"Battery D",
  --MacReports!N243&lt;=80,"Battery C",
 --MacReports!N243&gt;80,""
)</f>
        <v>Battery Defect</v>
      </c>
      <c r="O243" s="16" t="str">
        <f>IF(MacReports!J243="Service","Battery Service","")</f>
        <v/>
      </c>
      <c r="P243" s="13">
        <f>MacReports!Q243</f>
        <v>0</v>
      </c>
      <c r="Q243" s="13" t="str">
        <f>IF(MacReports!K243="Enabled","Apple ID Lock","")</f>
        <v/>
      </c>
      <c r="R243" s="13" t="str">
        <f>IF(MacReports!M243="Remote Lock","Remote Locked","")</f>
        <v/>
      </c>
      <c r="S243" t="str">
        <f t="shared" si="13"/>
        <v>Battery Defect, 0</v>
      </c>
      <c r="T243" t="str">
        <f>_xlfn.XLOOKUP(B243,Disk_Pivot!G:G,Disk_Pivot!N:N)</f>
        <v>Pass, Fail</v>
      </c>
      <c r="U243" t="str">
        <f>IF(T243="Fail",MacReports!O243,"")</f>
        <v/>
      </c>
      <c r="AA243" t="str">
        <f t="shared" si="14"/>
        <v/>
      </c>
    </row>
    <row r="244" spans="1:27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str">
        <f>_xlfn.XLOOKUP(B244,MacReports!B:B,MacReports!E:E,"")</f>
        <v/>
      </c>
      <c r="F244" s="13">
        <f>MacReports!F244</f>
        <v>0</v>
      </c>
      <c r="G244" t="e">
        <f>_xlfn.XLOOKUP(F244,Models!A:A,Models!B:B)</f>
        <v>#N/A</v>
      </c>
      <c r="H244" t="e">
        <f>_xlfn.XLOOKUP(F244,Models!A:A,Models!E:E)</f>
        <v>#N/A</v>
      </c>
      <c r="I244" t="e">
        <f>_xlfn.XLOOKUP(F244,Models!A:A,Models!D:D)</f>
        <v>#N/A</v>
      </c>
      <c r="J244">
        <f>MacReports!G244</f>
        <v>0</v>
      </c>
      <c r="K244" s="59">
        <f>MacReports!H244</f>
        <v>0</v>
      </c>
      <c r="L244" t="str">
        <f t="shared" si="12"/>
        <v>0</v>
      </c>
      <c r="M244" s="15">
        <f>MacReports!I244</f>
        <v>0</v>
      </c>
      <c r="N244" s="16" t="str" cm="1">
        <f t="array" ref="N244">_xlfn.IFS(
   --MacReports!N244&lt;55,"Battery Defect",
  -- MacReports!N244&lt;=69,"Battery D",
  --MacReports!N244&lt;=80,"Battery C",
 --MacReports!N244&gt;80,""
)</f>
        <v>Battery Defect</v>
      </c>
      <c r="O244" s="16" t="str">
        <f>IF(MacReports!J244="Service","Battery Service","")</f>
        <v/>
      </c>
      <c r="P244" s="13">
        <f>MacReports!Q244</f>
        <v>0</v>
      </c>
      <c r="Q244" s="13" t="str">
        <f>IF(MacReports!K244="Enabled","Apple ID Lock","")</f>
        <v/>
      </c>
      <c r="R244" s="13" t="str">
        <f>IF(MacReports!M244="Remote Lock","Remote Locked","")</f>
        <v/>
      </c>
      <c r="S244" t="str">
        <f t="shared" si="13"/>
        <v>Battery Defect, 0</v>
      </c>
      <c r="T244" t="str">
        <f>_xlfn.XLOOKUP(B244,Disk_Pivot!G:G,Disk_Pivot!N:N)</f>
        <v>Pass, Fail</v>
      </c>
      <c r="U244" t="str">
        <f>IF(T244="Fail",MacReports!O244,"")</f>
        <v/>
      </c>
      <c r="AA244" t="str">
        <f t="shared" si="14"/>
        <v/>
      </c>
    </row>
    <row r="245" spans="1:27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str">
        <f>_xlfn.XLOOKUP(B245,MacReports!B:B,MacReports!E:E,"")</f>
        <v/>
      </c>
      <c r="F245" s="13">
        <f>MacReports!F245</f>
        <v>0</v>
      </c>
      <c r="G245" t="e">
        <f>_xlfn.XLOOKUP(F245,Models!A:A,Models!B:B)</f>
        <v>#N/A</v>
      </c>
      <c r="H245" t="e">
        <f>_xlfn.XLOOKUP(F245,Models!A:A,Models!E:E)</f>
        <v>#N/A</v>
      </c>
      <c r="I245" t="e">
        <f>_xlfn.XLOOKUP(F245,Models!A:A,Models!D:D)</f>
        <v>#N/A</v>
      </c>
      <c r="J245">
        <f>MacReports!G245</f>
        <v>0</v>
      </c>
      <c r="K245" s="59">
        <f>MacReports!H245</f>
        <v>0</v>
      </c>
      <c r="L245" t="str">
        <f t="shared" si="12"/>
        <v>0</v>
      </c>
      <c r="M245" s="15">
        <f>MacReports!I245</f>
        <v>0</v>
      </c>
      <c r="N245" s="16" t="str" cm="1">
        <f t="array" ref="N245">_xlfn.IFS(
   --MacReports!N245&lt;55,"Battery Defect",
  -- MacReports!N245&lt;=69,"Battery D",
  --MacReports!N245&lt;=80,"Battery C",
 --MacReports!N245&gt;80,""
)</f>
        <v>Battery Defect</v>
      </c>
      <c r="O245" s="16" t="str">
        <f>IF(MacReports!J245="Service","Battery Service","")</f>
        <v/>
      </c>
      <c r="P245" s="13">
        <f>MacReports!Q245</f>
        <v>0</v>
      </c>
      <c r="Q245" s="13" t="str">
        <f>IF(MacReports!K245="Enabled","Apple ID Lock","")</f>
        <v/>
      </c>
      <c r="R245" s="13" t="str">
        <f>IF(MacReports!M245="Remote Lock","Remote Locked","")</f>
        <v/>
      </c>
      <c r="S245" t="str">
        <f t="shared" si="13"/>
        <v>Battery Defect, 0</v>
      </c>
      <c r="T245" t="str">
        <f>_xlfn.XLOOKUP(B245,Disk_Pivot!G:G,Disk_Pivot!N:N)</f>
        <v>Pass, Fail</v>
      </c>
      <c r="U245" t="str">
        <f>IF(T245="Fail",MacReports!O245,"")</f>
        <v/>
      </c>
      <c r="AA245" t="str">
        <f t="shared" si="14"/>
        <v/>
      </c>
    </row>
    <row r="246" spans="1:27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str">
        <f>_xlfn.XLOOKUP(B246,MacReports!B:B,MacReports!E:E,"")</f>
        <v/>
      </c>
      <c r="F246" s="13">
        <f>MacReports!F246</f>
        <v>0</v>
      </c>
      <c r="G246" t="e">
        <f>_xlfn.XLOOKUP(F246,Models!A:A,Models!B:B)</f>
        <v>#N/A</v>
      </c>
      <c r="H246" t="e">
        <f>_xlfn.XLOOKUP(F246,Models!A:A,Models!E:E)</f>
        <v>#N/A</v>
      </c>
      <c r="I246" t="e">
        <f>_xlfn.XLOOKUP(F246,Models!A:A,Models!D:D)</f>
        <v>#N/A</v>
      </c>
      <c r="J246">
        <f>MacReports!G246</f>
        <v>0</v>
      </c>
      <c r="K246" s="59">
        <f>MacReports!H246</f>
        <v>0</v>
      </c>
      <c r="L246" t="str">
        <f t="shared" si="12"/>
        <v>0</v>
      </c>
      <c r="M246" s="15">
        <f>MacReports!I246</f>
        <v>0</v>
      </c>
      <c r="N246" s="16" t="str" cm="1">
        <f t="array" ref="N246">_xlfn.IFS(
   --MacReports!N246&lt;55,"Battery Defect",
  -- MacReports!N246&lt;=69,"Battery D",
  --MacReports!N246&lt;=80,"Battery C",
 --MacReports!N246&gt;80,""
)</f>
        <v>Battery Defect</v>
      </c>
      <c r="O246" s="16" t="str">
        <f>IF(MacReports!J246="Service","Battery Service","")</f>
        <v/>
      </c>
      <c r="P246" s="13">
        <f>MacReports!Q246</f>
        <v>0</v>
      </c>
      <c r="Q246" s="13" t="str">
        <f>IF(MacReports!K246="Enabled","Apple ID Lock","")</f>
        <v/>
      </c>
      <c r="R246" s="13" t="str">
        <f>IF(MacReports!M246="Remote Lock","Remote Locked","")</f>
        <v/>
      </c>
      <c r="S246" t="str">
        <f t="shared" si="13"/>
        <v>Battery Defect, 0</v>
      </c>
      <c r="T246" t="str">
        <f>_xlfn.XLOOKUP(B246,Disk_Pivot!G:G,Disk_Pivot!N:N)</f>
        <v>Pass, Fail</v>
      </c>
      <c r="U246" t="str">
        <f>IF(T246="Fail",MacReports!O246,"")</f>
        <v/>
      </c>
      <c r="AA246" t="str">
        <f t="shared" si="14"/>
        <v/>
      </c>
    </row>
    <row r="247" spans="1:27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str">
        <f>_xlfn.XLOOKUP(B247,MacReports!B:B,MacReports!E:E,"")</f>
        <v/>
      </c>
      <c r="F247" s="13">
        <f>MacReports!F247</f>
        <v>0</v>
      </c>
      <c r="G247" t="e">
        <f>_xlfn.XLOOKUP(F247,Models!A:A,Models!B:B)</f>
        <v>#N/A</v>
      </c>
      <c r="H247" t="e">
        <f>_xlfn.XLOOKUP(F247,Models!A:A,Models!E:E)</f>
        <v>#N/A</v>
      </c>
      <c r="I247" t="e">
        <f>_xlfn.XLOOKUP(F247,Models!A:A,Models!D:D)</f>
        <v>#N/A</v>
      </c>
      <c r="J247">
        <f>MacReports!G247</f>
        <v>0</v>
      </c>
      <c r="K247" s="59">
        <f>MacReports!H247</f>
        <v>0</v>
      </c>
      <c r="L247" t="str">
        <f t="shared" si="12"/>
        <v>0</v>
      </c>
      <c r="M247" s="15">
        <f>MacReports!I247</f>
        <v>0</v>
      </c>
      <c r="N247" s="16" t="str" cm="1">
        <f t="array" ref="N247">_xlfn.IFS(
   --MacReports!N247&lt;55,"Battery Defect",
  -- MacReports!N247&lt;=69,"Battery D",
  --MacReports!N247&lt;=80,"Battery C",
 --MacReports!N247&gt;80,""
)</f>
        <v>Battery Defect</v>
      </c>
      <c r="O247" s="16" t="str">
        <f>IF(MacReports!J247="Service","Battery Service","")</f>
        <v/>
      </c>
      <c r="P247" s="13">
        <f>MacReports!Q247</f>
        <v>0</v>
      </c>
      <c r="Q247" s="13" t="str">
        <f>IF(MacReports!K247="Enabled","Apple ID Lock","")</f>
        <v/>
      </c>
      <c r="R247" s="13" t="str">
        <f>IF(MacReports!M247="Remote Lock","Remote Locked","")</f>
        <v/>
      </c>
      <c r="S247" t="str">
        <f t="shared" si="13"/>
        <v>Battery Defect, 0</v>
      </c>
      <c r="T247" t="str">
        <f>_xlfn.XLOOKUP(B247,Disk_Pivot!G:G,Disk_Pivot!N:N)</f>
        <v>Pass, Fail</v>
      </c>
      <c r="U247" t="str">
        <f>IF(T247="Fail",MacReports!O247,"")</f>
        <v/>
      </c>
      <c r="AA247" t="str">
        <f t="shared" si="14"/>
        <v/>
      </c>
    </row>
    <row r="248" spans="1:27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str">
        <f>_xlfn.XLOOKUP(B248,MacReports!B:B,MacReports!E:E,"")</f>
        <v/>
      </c>
      <c r="F248" s="13">
        <f>MacReports!F248</f>
        <v>0</v>
      </c>
      <c r="G248" t="e">
        <f>_xlfn.XLOOKUP(F248,Models!A:A,Models!B:B)</f>
        <v>#N/A</v>
      </c>
      <c r="H248" t="e">
        <f>_xlfn.XLOOKUP(F248,Models!A:A,Models!E:E)</f>
        <v>#N/A</v>
      </c>
      <c r="I248" t="e">
        <f>_xlfn.XLOOKUP(F248,Models!A:A,Models!D:D)</f>
        <v>#N/A</v>
      </c>
      <c r="J248">
        <f>MacReports!G248</f>
        <v>0</v>
      </c>
      <c r="K248" s="59">
        <f>MacReports!H248</f>
        <v>0</v>
      </c>
      <c r="L248" t="str">
        <f t="shared" si="12"/>
        <v>0</v>
      </c>
      <c r="M248" s="15">
        <f>MacReports!I248</f>
        <v>0</v>
      </c>
      <c r="N248" s="16" t="str" cm="1">
        <f t="array" ref="N248">_xlfn.IFS(
   --MacReports!N248&lt;55,"Battery Defect",
  -- MacReports!N248&lt;=69,"Battery D",
  --MacReports!N248&lt;=80,"Battery C",
 --MacReports!N248&gt;80,""
)</f>
        <v>Battery Defect</v>
      </c>
      <c r="O248" s="16" t="str">
        <f>IF(MacReports!J248="Service","Battery Service","")</f>
        <v/>
      </c>
      <c r="P248" s="13">
        <f>MacReports!Q248</f>
        <v>0</v>
      </c>
      <c r="Q248" s="13" t="str">
        <f>IF(MacReports!K248="Enabled","Apple ID Lock","")</f>
        <v/>
      </c>
      <c r="R248" s="13" t="str">
        <f>IF(MacReports!M248="Remote Lock","Remote Locked","")</f>
        <v/>
      </c>
      <c r="S248" t="str">
        <f t="shared" si="13"/>
        <v>Battery Defect, 0</v>
      </c>
      <c r="T248" t="str">
        <f>_xlfn.XLOOKUP(B248,Disk_Pivot!G:G,Disk_Pivot!N:N)</f>
        <v>Pass, Fail</v>
      </c>
      <c r="U248" t="str">
        <f>IF(T248="Fail",MacReports!O248,"")</f>
        <v/>
      </c>
      <c r="AA248" t="str">
        <f t="shared" si="14"/>
        <v/>
      </c>
    </row>
    <row r="249" spans="1:27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str">
        <f>_xlfn.XLOOKUP(B249,MacReports!B:B,MacReports!E:E,"")</f>
        <v/>
      </c>
      <c r="F249" s="13">
        <f>MacReports!F249</f>
        <v>0</v>
      </c>
      <c r="G249" t="e">
        <f>_xlfn.XLOOKUP(F249,Models!A:A,Models!B:B)</f>
        <v>#N/A</v>
      </c>
      <c r="H249" t="e">
        <f>_xlfn.XLOOKUP(F249,Models!A:A,Models!E:E)</f>
        <v>#N/A</v>
      </c>
      <c r="I249" t="e">
        <f>_xlfn.XLOOKUP(F249,Models!A:A,Models!D:D)</f>
        <v>#N/A</v>
      </c>
      <c r="J249">
        <f>MacReports!G249</f>
        <v>0</v>
      </c>
      <c r="K249" s="59">
        <f>MacReports!H249</f>
        <v>0</v>
      </c>
      <c r="L249" t="str">
        <f t="shared" si="12"/>
        <v>0</v>
      </c>
      <c r="M249" s="15">
        <f>MacReports!I249</f>
        <v>0</v>
      </c>
      <c r="N249" s="16" t="str" cm="1">
        <f t="array" ref="N249">_xlfn.IFS(
   --MacReports!N249&lt;55,"Battery Defect",
  -- MacReports!N249&lt;=69,"Battery D",
  --MacReports!N249&lt;=80,"Battery C",
 --MacReports!N249&gt;80,""
)</f>
        <v>Battery Defect</v>
      </c>
      <c r="O249" s="16" t="str">
        <f>IF(MacReports!J249="Service","Battery Service","")</f>
        <v/>
      </c>
      <c r="P249" s="13">
        <f>MacReports!Q249</f>
        <v>0</v>
      </c>
      <c r="Q249" s="13" t="str">
        <f>IF(MacReports!K249="Enabled","Apple ID Lock","")</f>
        <v/>
      </c>
      <c r="R249" s="13" t="str">
        <f>IF(MacReports!M249="Remote Lock","Remote Locked","")</f>
        <v/>
      </c>
      <c r="S249" t="str">
        <f t="shared" si="13"/>
        <v>Battery Defect, 0</v>
      </c>
      <c r="T249" t="str">
        <f>_xlfn.XLOOKUP(B249,Disk_Pivot!G:G,Disk_Pivot!N:N)</f>
        <v>Pass, Fail</v>
      </c>
      <c r="U249" t="str">
        <f>IF(T249="Fail",MacReports!O249,"")</f>
        <v/>
      </c>
      <c r="AA249" t="str">
        <f t="shared" si="14"/>
        <v/>
      </c>
    </row>
    <row r="250" spans="1:27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str">
        <f>_xlfn.XLOOKUP(B250,MacReports!B:B,MacReports!E:E,"")</f>
        <v/>
      </c>
      <c r="F250" s="13">
        <f>MacReports!F250</f>
        <v>0</v>
      </c>
      <c r="G250" t="e">
        <f>_xlfn.XLOOKUP(F250,Models!A:A,Models!B:B)</f>
        <v>#N/A</v>
      </c>
      <c r="H250" t="e">
        <f>_xlfn.XLOOKUP(F250,Models!A:A,Models!E:E)</f>
        <v>#N/A</v>
      </c>
      <c r="I250" t="e">
        <f>_xlfn.XLOOKUP(F250,Models!A:A,Models!D:D)</f>
        <v>#N/A</v>
      </c>
      <c r="J250">
        <f>MacReports!G250</f>
        <v>0</v>
      </c>
      <c r="K250" s="59">
        <f>MacReports!H250</f>
        <v>0</v>
      </c>
      <c r="L250" t="str">
        <f t="shared" si="12"/>
        <v>0</v>
      </c>
      <c r="M250" s="15">
        <f>MacReports!I250</f>
        <v>0</v>
      </c>
      <c r="N250" s="16" t="str" cm="1">
        <f t="array" ref="N250">_xlfn.IFS(
   --MacReports!N250&lt;55,"Battery Defect",
  -- MacReports!N250&lt;=69,"Battery D",
  --MacReports!N250&lt;=80,"Battery C",
 --MacReports!N250&gt;80,""
)</f>
        <v>Battery Defect</v>
      </c>
      <c r="O250" s="16" t="str">
        <f>IF(MacReports!J250="Service","Battery Service","")</f>
        <v/>
      </c>
      <c r="P250" s="13">
        <f>MacReports!Q250</f>
        <v>0</v>
      </c>
      <c r="Q250" s="13" t="str">
        <f>IF(MacReports!K250="Enabled","Apple ID Lock","")</f>
        <v/>
      </c>
      <c r="R250" s="13" t="str">
        <f>IF(MacReports!M250="Remote Lock","Remote Locked","")</f>
        <v/>
      </c>
      <c r="S250" t="str">
        <f t="shared" si="13"/>
        <v>Battery Defect, 0</v>
      </c>
      <c r="T250" t="str">
        <f>_xlfn.XLOOKUP(B250,Disk_Pivot!G:G,Disk_Pivot!N:N)</f>
        <v>Pass, Fail</v>
      </c>
      <c r="U250" t="str">
        <f>IF(T250="Fail",MacReports!O250,"")</f>
        <v/>
      </c>
      <c r="AA250" t="str">
        <f t="shared" si="14"/>
        <v/>
      </c>
    </row>
    <row r="251" spans="1:27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str">
        <f>_xlfn.XLOOKUP(B251,MacReports!B:B,MacReports!E:E,"")</f>
        <v/>
      </c>
      <c r="F251" s="13">
        <f>MacReports!F251</f>
        <v>0</v>
      </c>
      <c r="G251" t="e">
        <f>_xlfn.XLOOKUP(F251,Models!A:A,Models!B:B)</f>
        <v>#N/A</v>
      </c>
      <c r="H251" t="e">
        <f>_xlfn.XLOOKUP(F251,Models!A:A,Models!E:E)</f>
        <v>#N/A</v>
      </c>
      <c r="I251" t="e">
        <f>_xlfn.XLOOKUP(F251,Models!A:A,Models!D:D)</f>
        <v>#N/A</v>
      </c>
      <c r="J251">
        <f>MacReports!G251</f>
        <v>0</v>
      </c>
      <c r="K251" s="59">
        <f>MacReports!H251</f>
        <v>0</v>
      </c>
      <c r="L251" t="str">
        <f t="shared" si="12"/>
        <v>0</v>
      </c>
      <c r="M251" s="15">
        <f>MacReports!I251</f>
        <v>0</v>
      </c>
      <c r="N251" s="16" t="str" cm="1">
        <f t="array" ref="N251">_xlfn.IFS(
   --MacReports!N251&lt;55,"Battery Defect",
  -- MacReports!N251&lt;=69,"Battery D",
  --MacReports!N251&lt;=80,"Battery C",
 --MacReports!N251&gt;80,""
)</f>
        <v>Battery Defect</v>
      </c>
      <c r="O251" s="16" t="str">
        <f>IF(MacReports!J251="Service","Battery Service","")</f>
        <v/>
      </c>
      <c r="P251" s="13">
        <f>MacReports!Q251</f>
        <v>0</v>
      </c>
      <c r="Q251" s="13" t="str">
        <f>IF(MacReports!K251="Enabled","Apple ID Lock","")</f>
        <v/>
      </c>
      <c r="R251" s="13" t="str">
        <f>IF(MacReports!M251="Remote Lock","Remote Locked","")</f>
        <v/>
      </c>
      <c r="S251" t="str">
        <f t="shared" si="13"/>
        <v>Battery Defect, 0</v>
      </c>
      <c r="T251" t="str">
        <f>_xlfn.XLOOKUP(B251,Disk_Pivot!G:G,Disk_Pivot!N:N)</f>
        <v>Pass, Fail</v>
      </c>
      <c r="U251" t="str">
        <f>IF(T251="Fail",MacReports!O251,"")</f>
        <v/>
      </c>
      <c r="AA251" t="str">
        <f t="shared" si="14"/>
        <v/>
      </c>
    </row>
    <row r="252" spans="1:27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str">
        <f>_xlfn.XLOOKUP(B252,MacReports!B:B,MacReports!E:E,"")</f>
        <v/>
      </c>
      <c r="F252" s="13">
        <f>MacReports!F252</f>
        <v>0</v>
      </c>
      <c r="G252" t="e">
        <f>_xlfn.XLOOKUP(F252,Models!A:A,Models!B:B)</f>
        <v>#N/A</v>
      </c>
      <c r="H252" t="e">
        <f>_xlfn.XLOOKUP(F252,Models!A:A,Models!E:E)</f>
        <v>#N/A</v>
      </c>
      <c r="I252" t="e">
        <f>_xlfn.XLOOKUP(F252,Models!A:A,Models!D:D)</f>
        <v>#N/A</v>
      </c>
      <c r="J252">
        <f>MacReports!G252</f>
        <v>0</v>
      </c>
      <c r="K252" s="59">
        <f>MacReports!H252</f>
        <v>0</v>
      </c>
      <c r="L252" t="str">
        <f t="shared" si="12"/>
        <v>0</v>
      </c>
      <c r="M252" s="15">
        <f>MacReports!I252</f>
        <v>0</v>
      </c>
      <c r="N252" s="16" t="str" cm="1">
        <f t="array" ref="N252">_xlfn.IFS(
   --MacReports!N252&lt;55,"Battery Defect",
  -- MacReports!N252&lt;=69,"Battery D",
  --MacReports!N252&lt;=80,"Battery C",
 --MacReports!N252&gt;80,""
)</f>
        <v>Battery Defect</v>
      </c>
      <c r="O252" s="16" t="str">
        <f>IF(MacReports!J252="Service","Battery Service","")</f>
        <v/>
      </c>
      <c r="P252" s="13">
        <f>MacReports!Q252</f>
        <v>0</v>
      </c>
      <c r="Q252" s="13" t="str">
        <f>IF(MacReports!K252="Enabled","Apple ID Lock","")</f>
        <v/>
      </c>
      <c r="R252" s="13" t="str">
        <f>IF(MacReports!M252="Remote Lock","Remote Locked","")</f>
        <v/>
      </c>
      <c r="S252" t="str">
        <f t="shared" si="13"/>
        <v>Battery Defect, 0</v>
      </c>
      <c r="T252" t="str">
        <f>_xlfn.XLOOKUP(B252,Disk_Pivot!G:G,Disk_Pivot!N:N)</f>
        <v>Pass, Fail</v>
      </c>
      <c r="U252" t="str">
        <f>IF(T252="Fail",MacReports!O252,"")</f>
        <v/>
      </c>
      <c r="AA252" t="str">
        <f t="shared" si="14"/>
        <v/>
      </c>
    </row>
    <row r="253" spans="1:27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str">
        <f>_xlfn.XLOOKUP(B253,MacReports!B:B,MacReports!E:E,"")</f>
        <v/>
      </c>
      <c r="F253" s="13">
        <f>MacReports!F253</f>
        <v>0</v>
      </c>
      <c r="G253" t="e">
        <f>_xlfn.XLOOKUP(F253,Models!A:A,Models!B:B)</f>
        <v>#N/A</v>
      </c>
      <c r="H253" t="e">
        <f>_xlfn.XLOOKUP(F253,Models!A:A,Models!E:E)</f>
        <v>#N/A</v>
      </c>
      <c r="I253" t="e">
        <f>_xlfn.XLOOKUP(F253,Models!A:A,Models!D:D)</f>
        <v>#N/A</v>
      </c>
      <c r="J253">
        <f>MacReports!G253</f>
        <v>0</v>
      </c>
      <c r="K253" s="59">
        <f>MacReports!H253</f>
        <v>0</v>
      </c>
      <c r="L253" t="str">
        <f t="shared" si="12"/>
        <v>0</v>
      </c>
      <c r="M253" s="15">
        <f>MacReports!I253</f>
        <v>0</v>
      </c>
      <c r="N253" s="16" t="str" cm="1">
        <f t="array" ref="N253">_xlfn.IFS(
   --MacReports!N253&lt;55,"Battery Defect",
  -- MacReports!N253&lt;=69,"Battery D",
  --MacReports!N253&lt;=80,"Battery C",
 --MacReports!N253&gt;80,""
)</f>
        <v>Battery Defect</v>
      </c>
      <c r="O253" s="16" t="str">
        <f>IF(MacReports!J253="Service","Battery Service","")</f>
        <v/>
      </c>
      <c r="P253" s="13">
        <f>MacReports!Q253</f>
        <v>0</v>
      </c>
      <c r="Q253" s="13" t="str">
        <f>IF(MacReports!K253="Enabled","Apple ID Lock","")</f>
        <v/>
      </c>
      <c r="R253" s="13" t="str">
        <f>IF(MacReports!M253="Remote Lock","Remote Locked","")</f>
        <v/>
      </c>
      <c r="S253" t="str">
        <f t="shared" si="13"/>
        <v>Battery Defect, 0</v>
      </c>
      <c r="T253" t="str">
        <f>_xlfn.XLOOKUP(B253,Disk_Pivot!G:G,Disk_Pivot!N:N)</f>
        <v>Pass, Fail</v>
      </c>
      <c r="U253" t="str">
        <f>IF(T253="Fail",MacReports!O253,"")</f>
        <v/>
      </c>
      <c r="AA253" t="str">
        <f t="shared" si="14"/>
        <v/>
      </c>
    </row>
    <row r="254" spans="1:27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str">
        <f>_xlfn.XLOOKUP(B254,MacReports!B:B,MacReports!E:E,"")</f>
        <v/>
      </c>
      <c r="F254" s="13">
        <f>MacReports!F254</f>
        <v>0</v>
      </c>
      <c r="G254" t="e">
        <f>_xlfn.XLOOKUP(F254,Models!A:A,Models!B:B)</f>
        <v>#N/A</v>
      </c>
      <c r="H254" t="e">
        <f>_xlfn.XLOOKUP(F254,Models!A:A,Models!E:E)</f>
        <v>#N/A</v>
      </c>
      <c r="I254" t="e">
        <f>_xlfn.XLOOKUP(F254,Models!A:A,Models!D:D)</f>
        <v>#N/A</v>
      </c>
      <c r="J254">
        <f>MacReports!G254</f>
        <v>0</v>
      </c>
      <c r="K254" s="59">
        <f>MacReports!H254</f>
        <v>0</v>
      </c>
      <c r="L254" t="str">
        <f t="shared" si="12"/>
        <v>0</v>
      </c>
      <c r="M254" s="15">
        <f>MacReports!I254</f>
        <v>0</v>
      </c>
      <c r="N254" s="16" t="str" cm="1">
        <f t="array" ref="N254">_xlfn.IFS(
   --MacReports!N254&lt;55,"Battery Defect",
  -- MacReports!N254&lt;=69,"Battery D",
  --MacReports!N254&lt;=80,"Battery C",
 --MacReports!N254&gt;80,""
)</f>
        <v>Battery Defect</v>
      </c>
      <c r="O254" s="16" t="str">
        <f>IF(MacReports!J254="Service","Battery Service","")</f>
        <v/>
      </c>
      <c r="P254" s="13">
        <f>MacReports!Q254</f>
        <v>0</v>
      </c>
      <c r="Q254" s="13" t="str">
        <f>IF(MacReports!K254="Enabled","Apple ID Lock","")</f>
        <v/>
      </c>
      <c r="R254" s="13" t="str">
        <f>IF(MacReports!M254="Remote Lock","Remote Locked","")</f>
        <v/>
      </c>
      <c r="S254" t="str">
        <f t="shared" si="13"/>
        <v>Battery Defect, 0</v>
      </c>
      <c r="T254" t="str">
        <f>_xlfn.XLOOKUP(B254,Disk_Pivot!G:G,Disk_Pivot!N:N)</f>
        <v>Pass, Fail</v>
      </c>
      <c r="U254" t="str">
        <f>IF(T254="Fail",MacReports!O254,"")</f>
        <v/>
      </c>
      <c r="AA254" t="str">
        <f t="shared" si="14"/>
        <v/>
      </c>
    </row>
    <row r="255" spans="1:27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str">
        <f>_xlfn.XLOOKUP(B255,MacReports!B:B,MacReports!E:E,"")</f>
        <v/>
      </c>
      <c r="F255" s="13">
        <f>MacReports!F255</f>
        <v>0</v>
      </c>
      <c r="G255" t="e">
        <f>_xlfn.XLOOKUP(F255,Models!A:A,Models!B:B)</f>
        <v>#N/A</v>
      </c>
      <c r="H255" t="e">
        <f>_xlfn.XLOOKUP(F255,Models!A:A,Models!E:E)</f>
        <v>#N/A</v>
      </c>
      <c r="I255" t="e">
        <f>_xlfn.XLOOKUP(F255,Models!A:A,Models!D:D)</f>
        <v>#N/A</v>
      </c>
      <c r="J255">
        <f>MacReports!G255</f>
        <v>0</v>
      </c>
      <c r="K255" s="59">
        <f>MacReports!H255</f>
        <v>0</v>
      </c>
      <c r="L255" t="str">
        <f t="shared" si="12"/>
        <v>0</v>
      </c>
      <c r="M255" s="15">
        <f>MacReports!I255</f>
        <v>0</v>
      </c>
      <c r="N255" s="16" t="str" cm="1">
        <f t="array" ref="N255">_xlfn.IFS(
   --MacReports!N255&lt;55,"Battery Defect",
  -- MacReports!N255&lt;=69,"Battery D",
  --MacReports!N255&lt;=80,"Battery C",
 --MacReports!N255&gt;80,""
)</f>
        <v>Battery Defect</v>
      </c>
      <c r="O255" s="16" t="str">
        <f>IF(MacReports!J255="Service","Battery Service","")</f>
        <v/>
      </c>
      <c r="P255" s="13">
        <f>MacReports!Q255</f>
        <v>0</v>
      </c>
      <c r="Q255" s="13" t="str">
        <f>IF(MacReports!K255="Enabled","Apple ID Lock","")</f>
        <v/>
      </c>
      <c r="R255" s="13" t="str">
        <f>IF(MacReports!M255="Remote Lock","Remote Locked","")</f>
        <v/>
      </c>
      <c r="S255" t="str">
        <f t="shared" si="13"/>
        <v>Battery Defect, 0</v>
      </c>
      <c r="T255" t="str">
        <f>_xlfn.XLOOKUP(B255,Disk_Pivot!G:G,Disk_Pivot!N:N)</f>
        <v>Pass, Fail</v>
      </c>
      <c r="U255" t="str">
        <f>IF(T255="Fail",MacReports!O255,"")</f>
        <v/>
      </c>
      <c r="AA255" t="str">
        <f t="shared" si="14"/>
        <v/>
      </c>
    </row>
    <row r="256" spans="1:27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str">
        <f>_xlfn.XLOOKUP(B256,MacReports!B:B,MacReports!E:E,"")</f>
        <v/>
      </c>
      <c r="F256" s="13">
        <f>MacReports!F256</f>
        <v>0</v>
      </c>
      <c r="G256" t="e">
        <f>_xlfn.XLOOKUP(F256,Models!A:A,Models!B:B)</f>
        <v>#N/A</v>
      </c>
      <c r="H256" t="e">
        <f>_xlfn.XLOOKUP(F256,Models!A:A,Models!E:E)</f>
        <v>#N/A</v>
      </c>
      <c r="I256" t="e">
        <f>_xlfn.XLOOKUP(F256,Models!A:A,Models!D:D)</f>
        <v>#N/A</v>
      </c>
      <c r="J256">
        <f>MacReports!G256</f>
        <v>0</v>
      </c>
      <c r="K256" s="59">
        <f>MacReports!H256</f>
        <v>0</v>
      </c>
      <c r="L256" t="str">
        <f t="shared" si="12"/>
        <v>0</v>
      </c>
      <c r="M256" s="15">
        <f>MacReports!I256</f>
        <v>0</v>
      </c>
      <c r="N256" s="16" t="str" cm="1">
        <f t="array" ref="N256">_xlfn.IFS(
   --MacReports!N256&lt;55,"Battery Defect",
  -- MacReports!N256&lt;=69,"Battery D",
  --MacReports!N256&lt;=80,"Battery C",
 --MacReports!N256&gt;80,""
)</f>
        <v>Battery Defect</v>
      </c>
      <c r="O256" s="16" t="str">
        <f>IF(MacReports!J256="Service","Battery Service","")</f>
        <v/>
      </c>
      <c r="P256" s="13">
        <f>MacReports!Q256</f>
        <v>0</v>
      </c>
      <c r="Q256" s="13" t="str">
        <f>IF(MacReports!K256="Enabled","Apple ID Lock","")</f>
        <v/>
      </c>
      <c r="R256" s="13" t="str">
        <f>IF(MacReports!M256="Remote Lock","Remote Locked","")</f>
        <v/>
      </c>
      <c r="S256" t="str">
        <f t="shared" si="13"/>
        <v>Battery Defect, 0</v>
      </c>
      <c r="T256" t="str">
        <f>_xlfn.XLOOKUP(B256,Disk_Pivot!G:G,Disk_Pivot!N:N)</f>
        <v>Pass, Fail</v>
      </c>
      <c r="U256" t="str">
        <f>IF(T256="Fail",MacReports!O256,"")</f>
        <v/>
      </c>
      <c r="AA256" t="str">
        <f t="shared" si="14"/>
        <v/>
      </c>
    </row>
    <row r="257" spans="1:27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str">
        <f>_xlfn.XLOOKUP(B257,MacReports!B:B,MacReports!E:E,"")</f>
        <v/>
      </c>
      <c r="F257" s="13">
        <f>MacReports!F257</f>
        <v>0</v>
      </c>
      <c r="G257" t="e">
        <f>_xlfn.XLOOKUP(F257,Models!A:A,Models!B:B)</f>
        <v>#N/A</v>
      </c>
      <c r="H257" t="e">
        <f>_xlfn.XLOOKUP(F257,Models!A:A,Models!E:E)</f>
        <v>#N/A</v>
      </c>
      <c r="I257" t="e">
        <f>_xlfn.XLOOKUP(F257,Models!A:A,Models!D:D)</f>
        <v>#N/A</v>
      </c>
      <c r="J257">
        <f>MacReports!G257</f>
        <v>0</v>
      </c>
      <c r="K257" s="59">
        <f>MacReports!H257</f>
        <v>0</v>
      </c>
      <c r="L257" t="str">
        <f t="shared" si="12"/>
        <v>0</v>
      </c>
      <c r="M257" s="15">
        <f>MacReports!I257</f>
        <v>0</v>
      </c>
      <c r="N257" s="16" t="str" cm="1">
        <f t="array" ref="N257">_xlfn.IFS(
   --MacReports!N257&lt;55,"Battery Defect",
  -- MacReports!N257&lt;=69,"Battery D",
  --MacReports!N257&lt;=80,"Battery C",
 --MacReports!N257&gt;80,""
)</f>
        <v>Battery Defect</v>
      </c>
      <c r="O257" s="16" t="str">
        <f>IF(MacReports!J257="Service","Battery Service","")</f>
        <v/>
      </c>
      <c r="P257" s="13">
        <f>MacReports!Q257</f>
        <v>0</v>
      </c>
      <c r="Q257" s="13" t="str">
        <f>IF(MacReports!K257="Enabled","Apple ID Lock","")</f>
        <v/>
      </c>
      <c r="R257" s="13" t="str">
        <f>IF(MacReports!M257="Remote Lock","Remote Locked","")</f>
        <v/>
      </c>
      <c r="S257" t="str">
        <f t="shared" si="13"/>
        <v>Battery Defect, 0</v>
      </c>
      <c r="T257" t="str">
        <f>_xlfn.XLOOKUP(B257,Disk_Pivot!G:G,Disk_Pivot!N:N)</f>
        <v>Pass, Fail</v>
      </c>
      <c r="U257" t="str">
        <f>IF(T257="Fail",MacReports!O257,"")</f>
        <v/>
      </c>
      <c r="AA257" t="str">
        <f t="shared" si="14"/>
        <v/>
      </c>
    </row>
    <row r="258" spans="1:27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str">
        <f>_xlfn.XLOOKUP(B258,MacReports!B:B,MacReports!E:E,"")</f>
        <v/>
      </c>
      <c r="F258" s="13">
        <f>MacReports!F258</f>
        <v>0</v>
      </c>
      <c r="G258" t="e">
        <f>_xlfn.XLOOKUP(F258,Models!A:A,Models!B:B)</f>
        <v>#N/A</v>
      </c>
      <c r="H258" t="e">
        <f>_xlfn.XLOOKUP(F258,Models!A:A,Models!E:E)</f>
        <v>#N/A</v>
      </c>
      <c r="I258" t="e">
        <f>_xlfn.XLOOKUP(F258,Models!A:A,Models!D:D)</f>
        <v>#N/A</v>
      </c>
      <c r="J258">
        <f>MacReports!G258</f>
        <v>0</v>
      </c>
      <c r="K258" s="59">
        <f>MacReports!H258</f>
        <v>0</v>
      </c>
      <c r="L258" t="str">
        <f t="shared" si="12"/>
        <v>0</v>
      </c>
      <c r="M258" s="15">
        <f>MacReports!I258</f>
        <v>0</v>
      </c>
      <c r="N258" s="16" t="str" cm="1">
        <f t="array" ref="N258">_xlfn.IFS(
   --MacReports!N258&lt;55,"Battery Defect",
  -- MacReports!N258&lt;=69,"Battery D",
  --MacReports!N258&lt;=80,"Battery C",
 --MacReports!N258&gt;80,""
)</f>
        <v>Battery Defect</v>
      </c>
      <c r="O258" s="16" t="str">
        <f>IF(MacReports!J258="Service","Battery Service","")</f>
        <v/>
      </c>
      <c r="P258" s="13">
        <f>MacReports!Q258</f>
        <v>0</v>
      </c>
      <c r="Q258" s="13" t="str">
        <f>IF(MacReports!K258="Enabled","Apple ID Lock","")</f>
        <v/>
      </c>
      <c r="R258" s="13" t="str">
        <f>IF(MacReports!M258="Remote Lock","Remote Locked","")</f>
        <v/>
      </c>
      <c r="S258" t="str">
        <f t="shared" si="13"/>
        <v>Battery Defect, 0</v>
      </c>
      <c r="T258" t="str">
        <f>_xlfn.XLOOKUP(B258,Disk_Pivot!G:G,Disk_Pivot!N:N)</f>
        <v>Pass, Fail</v>
      </c>
      <c r="U258" t="str">
        <f>IF(T258="Fail",MacReports!O258,"")</f>
        <v/>
      </c>
      <c r="AA258" t="str">
        <f t="shared" si="14"/>
        <v/>
      </c>
    </row>
    <row r="259" spans="1:27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str">
        <f>_xlfn.XLOOKUP(B259,MacReports!B:B,MacReports!E:E,"")</f>
        <v/>
      </c>
      <c r="F259" s="13">
        <f>MacReports!F259</f>
        <v>0</v>
      </c>
      <c r="G259" t="e">
        <f>_xlfn.XLOOKUP(F259,Models!A:A,Models!B:B)</f>
        <v>#N/A</v>
      </c>
      <c r="H259" t="e">
        <f>_xlfn.XLOOKUP(F259,Models!A:A,Models!E:E)</f>
        <v>#N/A</v>
      </c>
      <c r="I259" t="e">
        <f>_xlfn.XLOOKUP(F259,Models!A:A,Models!D:D)</f>
        <v>#N/A</v>
      </c>
      <c r="J259">
        <f>MacReports!G259</f>
        <v>0</v>
      </c>
      <c r="K259" s="59">
        <f>MacReports!H259</f>
        <v>0</v>
      </c>
      <c r="L259" t="str">
        <f t="shared" ref="L259:L322" si="15">IFERROR(LEFT(K259,FIND(" ",K259)-1)&amp;" GB DDR"&amp;MID(K259,FIND("DDR",K259)+3,1), K259&amp;"")</f>
        <v>0</v>
      </c>
      <c r="M259" s="15">
        <f>MacReports!I259</f>
        <v>0</v>
      </c>
      <c r="N259" s="16" t="str" cm="1">
        <f t="array" ref="N259">_xlfn.IFS(
   --MacReports!N259&lt;55,"Battery Defect",
  -- MacReports!N259&lt;=69,"Battery D",
  --MacReports!N259&lt;=80,"Battery C",
 --MacReports!N259&gt;80,""
)</f>
        <v>Battery Defect</v>
      </c>
      <c r="O259" s="16" t="str">
        <f>IF(MacReports!J259="Service","Battery Service","")</f>
        <v/>
      </c>
      <c r="P259" s="13">
        <f>MacReports!Q259</f>
        <v>0</v>
      </c>
      <c r="Q259" s="13" t="str">
        <f>IF(MacReports!K259="Enabled","Apple ID Lock","")</f>
        <v/>
      </c>
      <c r="R259" s="13" t="str">
        <f>IF(MacReports!M259="Remote Lock","Remote Locked","")</f>
        <v/>
      </c>
      <c r="S259" t="str">
        <f t="shared" si="13"/>
        <v>Battery Defect, 0</v>
      </c>
      <c r="T259" t="str">
        <f>_xlfn.XLOOKUP(B259,Disk_Pivot!G:G,Disk_Pivot!N:N)</f>
        <v>Pass, Fail</v>
      </c>
      <c r="U259" t="str">
        <f>IF(T259="Fail",MacReports!O259,"")</f>
        <v/>
      </c>
      <c r="AA259" t="str">
        <f t="shared" si="14"/>
        <v/>
      </c>
    </row>
    <row r="260" spans="1:27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str">
        <f>_xlfn.XLOOKUP(B260,MacReports!B:B,MacReports!E:E,"")</f>
        <v/>
      </c>
      <c r="F260" s="13">
        <f>MacReports!F260</f>
        <v>0</v>
      </c>
      <c r="G260" t="e">
        <f>_xlfn.XLOOKUP(F260,Models!A:A,Models!B:B)</f>
        <v>#N/A</v>
      </c>
      <c r="H260" t="e">
        <f>_xlfn.XLOOKUP(F260,Models!A:A,Models!E:E)</f>
        <v>#N/A</v>
      </c>
      <c r="I260" t="e">
        <f>_xlfn.XLOOKUP(F260,Models!A:A,Models!D:D)</f>
        <v>#N/A</v>
      </c>
      <c r="J260">
        <f>MacReports!G260</f>
        <v>0</v>
      </c>
      <c r="K260" s="59">
        <f>MacReports!H260</f>
        <v>0</v>
      </c>
      <c r="L260" t="str">
        <f t="shared" si="15"/>
        <v>0</v>
      </c>
      <c r="M260" s="15">
        <f>MacReports!I260</f>
        <v>0</v>
      </c>
      <c r="N260" s="16" t="str" cm="1">
        <f t="array" ref="N260">_xlfn.IFS(
   --MacReports!N260&lt;55,"Battery Defect",
  -- MacReports!N260&lt;=69,"Battery D",
  --MacReports!N260&lt;=80,"Battery C",
 --MacReports!N260&gt;80,""
)</f>
        <v>Battery Defect</v>
      </c>
      <c r="O260" s="16" t="str">
        <f>IF(MacReports!J260="Service","Battery Service","")</f>
        <v/>
      </c>
      <c r="P260" s="13">
        <f>MacReports!Q260</f>
        <v>0</v>
      </c>
      <c r="Q260" s="13" t="str">
        <f>IF(MacReports!K260="Enabled","Apple ID Lock","")</f>
        <v/>
      </c>
      <c r="R260" s="13" t="str">
        <f>IF(MacReports!M260="Remote Lock","Remote Locked","")</f>
        <v/>
      </c>
      <c r="S260" t="str">
        <f t="shared" si="13"/>
        <v>Battery Defect, 0</v>
      </c>
      <c r="T260" t="str">
        <f>_xlfn.XLOOKUP(B260,Disk_Pivot!G:G,Disk_Pivot!N:N)</f>
        <v>Pass, Fail</v>
      </c>
      <c r="U260" t="str">
        <f>IF(T260="Fail",MacReports!O260,"")</f>
        <v/>
      </c>
      <c r="AA260" t="str">
        <f t="shared" si="14"/>
        <v/>
      </c>
    </row>
    <row r="261" spans="1:27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str">
        <f>_xlfn.XLOOKUP(B261,MacReports!B:B,MacReports!E:E,"")</f>
        <v/>
      </c>
      <c r="F261" s="13">
        <f>MacReports!F261</f>
        <v>0</v>
      </c>
      <c r="G261" t="e">
        <f>_xlfn.XLOOKUP(F261,Models!A:A,Models!B:B)</f>
        <v>#N/A</v>
      </c>
      <c r="H261" t="e">
        <f>_xlfn.XLOOKUP(F261,Models!A:A,Models!E:E)</f>
        <v>#N/A</v>
      </c>
      <c r="I261" t="e">
        <f>_xlfn.XLOOKUP(F261,Models!A:A,Models!D:D)</f>
        <v>#N/A</v>
      </c>
      <c r="J261">
        <f>MacReports!G261</f>
        <v>0</v>
      </c>
      <c r="K261" s="59">
        <f>MacReports!H261</f>
        <v>0</v>
      </c>
      <c r="L261" t="str">
        <f t="shared" si="15"/>
        <v>0</v>
      </c>
      <c r="M261" s="15">
        <f>MacReports!I261</f>
        <v>0</v>
      </c>
      <c r="N261" s="16" t="str" cm="1">
        <f t="array" ref="N261">_xlfn.IFS(
   --MacReports!N261&lt;55,"Battery Defect",
  -- MacReports!N261&lt;=69,"Battery D",
  --MacReports!N261&lt;=80,"Battery C",
 --MacReports!N261&gt;80,""
)</f>
        <v>Battery Defect</v>
      </c>
      <c r="O261" s="16" t="str">
        <f>IF(MacReports!J261="Service","Battery Service","")</f>
        <v/>
      </c>
      <c r="P261" s="13">
        <f>MacReports!Q261</f>
        <v>0</v>
      </c>
      <c r="Q261" s="13" t="str">
        <f>IF(MacReports!K261="Enabled","Apple ID Lock","")</f>
        <v/>
      </c>
      <c r="R261" s="13" t="str">
        <f>IF(MacReports!M261="Remote Lock","Remote Locked","")</f>
        <v/>
      </c>
      <c r="S261" t="str">
        <f t="shared" si="13"/>
        <v>Battery Defect, 0</v>
      </c>
      <c r="T261" t="str">
        <f>_xlfn.XLOOKUP(B261,Disk_Pivot!G:G,Disk_Pivot!N:N)</f>
        <v>Pass, Fail</v>
      </c>
      <c r="U261" t="str">
        <f>IF(T261="Fail",MacReports!O261,"")</f>
        <v/>
      </c>
      <c r="AA261" t="str">
        <f t="shared" si="14"/>
        <v/>
      </c>
    </row>
    <row r="262" spans="1:27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str">
        <f>_xlfn.XLOOKUP(B262,MacReports!B:B,MacReports!E:E,"")</f>
        <v/>
      </c>
      <c r="F262" s="13">
        <f>MacReports!F262</f>
        <v>0</v>
      </c>
      <c r="G262" t="e">
        <f>_xlfn.XLOOKUP(F262,Models!A:A,Models!B:B)</f>
        <v>#N/A</v>
      </c>
      <c r="H262" t="e">
        <f>_xlfn.XLOOKUP(F262,Models!A:A,Models!E:E)</f>
        <v>#N/A</v>
      </c>
      <c r="I262" t="e">
        <f>_xlfn.XLOOKUP(F262,Models!A:A,Models!D:D)</f>
        <v>#N/A</v>
      </c>
      <c r="J262">
        <f>MacReports!G262</f>
        <v>0</v>
      </c>
      <c r="K262" s="59">
        <f>MacReports!H262</f>
        <v>0</v>
      </c>
      <c r="L262" t="str">
        <f t="shared" si="15"/>
        <v>0</v>
      </c>
      <c r="M262" s="15">
        <f>MacReports!I262</f>
        <v>0</v>
      </c>
      <c r="N262" s="16" t="str" cm="1">
        <f t="array" ref="N262">_xlfn.IFS(
   --MacReports!N262&lt;55,"Battery Defect",
  -- MacReports!N262&lt;=69,"Battery D",
  --MacReports!N262&lt;=80,"Battery C",
 --MacReports!N262&gt;80,""
)</f>
        <v>Battery Defect</v>
      </c>
      <c r="O262" s="16" t="str">
        <f>IF(MacReports!J262="Service","Battery Service","")</f>
        <v/>
      </c>
      <c r="P262" s="13">
        <f>MacReports!Q262</f>
        <v>0</v>
      </c>
      <c r="Q262" s="13" t="str">
        <f>IF(MacReports!K262="Enabled","Apple ID Lock","")</f>
        <v/>
      </c>
      <c r="R262" s="13" t="str">
        <f>IF(MacReports!M262="Remote Lock","Remote Locked","")</f>
        <v/>
      </c>
      <c r="S262" t="str">
        <f t="shared" si="13"/>
        <v>Battery Defect, 0</v>
      </c>
      <c r="T262" t="str">
        <f>_xlfn.XLOOKUP(B262,Disk_Pivot!G:G,Disk_Pivot!N:N)</f>
        <v>Pass, Fail</v>
      </c>
      <c r="U262" t="str">
        <f>IF(T262="Fail",MacReports!O262,"")</f>
        <v/>
      </c>
      <c r="AA262" t="str">
        <f t="shared" si="14"/>
        <v/>
      </c>
    </row>
    <row r="263" spans="1:27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str">
        <f>_xlfn.XLOOKUP(B263,MacReports!B:B,MacReports!E:E,"")</f>
        <v/>
      </c>
      <c r="F263" s="13">
        <f>MacReports!F263</f>
        <v>0</v>
      </c>
      <c r="G263" t="e">
        <f>_xlfn.XLOOKUP(F263,Models!A:A,Models!B:B)</f>
        <v>#N/A</v>
      </c>
      <c r="H263" t="e">
        <f>_xlfn.XLOOKUP(F263,Models!A:A,Models!E:E)</f>
        <v>#N/A</v>
      </c>
      <c r="I263" t="e">
        <f>_xlfn.XLOOKUP(F263,Models!A:A,Models!D:D)</f>
        <v>#N/A</v>
      </c>
      <c r="J263">
        <f>MacReports!G263</f>
        <v>0</v>
      </c>
      <c r="K263" s="59">
        <f>MacReports!H263</f>
        <v>0</v>
      </c>
      <c r="L263" t="str">
        <f t="shared" si="15"/>
        <v>0</v>
      </c>
      <c r="M263" s="15">
        <f>MacReports!I263</f>
        <v>0</v>
      </c>
      <c r="N263" s="16" t="str" cm="1">
        <f t="array" ref="N263">_xlfn.IFS(
   --MacReports!N263&lt;55,"Battery Defect",
  -- MacReports!N263&lt;=69,"Battery D",
  --MacReports!N263&lt;=80,"Battery C",
 --MacReports!N263&gt;80,""
)</f>
        <v>Battery Defect</v>
      </c>
      <c r="O263" s="16" t="str">
        <f>IF(MacReports!J263="Service","Battery Service","")</f>
        <v/>
      </c>
      <c r="P263" s="13">
        <f>MacReports!Q263</f>
        <v>0</v>
      </c>
      <c r="Q263" s="13" t="str">
        <f>IF(MacReports!K263="Enabled","Apple ID Lock","")</f>
        <v/>
      </c>
      <c r="R263" s="13" t="str">
        <f>IF(MacReports!M263="Remote Lock","Remote Locked","")</f>
        <v/>
      </c>
      <c r="S263" t="str">
        <f t="shared" si="13"/>
        <v>Battery Defect, 0</v>
      </c>
      <c r="T263" t="str">
        <f>_xlfn.XLOOKUP(B263,Disk_Pivot!G:G,Disk_Pivot!N:N)</f>
        <v>Pass, Fail</v>
      </c>
      <c r="U263" t="str">
        <f>IF(T263="Fail",MacReports!O263,"")</f>
        <v/>
      </c>
      <c r="AA263" t="str">
        <f t="shared" si="14"/>
        <v/>
      </c>
    </row>
    <row r="264" spans="1:27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str">
        <f>_xlfn.XLOOKUP(B264,MacReports!B:B,MacReports!E:E,"")</f>
        <v/>
      </c>
      <c r="F264" s="13">
        <f>MacReports!F264</f>
        <v>0</v>
      </c>
      <c r="G264" t="e">
        <f>_xlfn.XLOOKUP(F264,Models!A:A,Models!B:B)</f>
        <v>#N/A</v>
      </c>
      <c r="H264" t="e">
        <f>_xlfn.XLOOKUP(F264,Models!A:A,Models!E:E)</f>
        <v>#N/A</v>
      </c>
      <c r="I264" t="e">
        <f>_xlfn.XLOOKUP(F264,Models!A:A,Models!D:D)</f>
        <v>#N/A</v>
      </c>
      <c r="J264">
        <f>MacReports!G264</f>
        <v>0</v>
      </c>
      <c r="K264" s="59">
        <f>MacReports!H264</f>
        <v>0</v>
      </c>
      <c r="L264" t="str">
        <f t="shared" si="15"/>
        <v>0</v>
      </c>
      <c r="M264" s="15">
        <f>MacReports!I264</f>
        <v>0</v>
      </c>
      <c r="N264" s="16" t="str" cm="1">
        <f t="array" ref="N264">_xlfn.IFS(
   --MacReports!N264&lt;55,"Battery Defect",
  -- MacReports!N264&lt;=69,"Battery D",
  --MacReports!N264&lt;=80,"Battery C",
 --MacReports!N264&gt;80,""
)</f>
        <v>Battery Defect</v>
      </c>
      <c r="O264" s="16" t="str">
        <f>IF(MacReports!J264="Service","Battery Service","")</f>
        <v/>
      </c>
      <c r="P264" s="13">
        <f>MacReports!Q264</f>
        <v>0</v>
      </c>
      <c r="Q264" s="13" t="str">
        <f>IF(MacReports!K264="Enabled","Apple ID Lock","")</f>
        <v/>
      </c>
      <c r="R264" s="13" t="str">
        <f>IF(MacReports!M264="Remote Lock","Remote Locked","")</f>
        <v/>
      </c>
      <c r="S264" t="str">
        <f t="shared" si="13"/>
        <v>Battery Defect, 0</v>
      </c>
      <c r="T264" t="str">
        <f>_xlfn.XLOOKUP(B264,Disk_Pivot!G:G,Disk_Pivot!N:N)</f>
        <v>Pass, Fail</v>
      </c>
      <c r="U264" t="str">
        <f>IF(T264="Fail",MacReports!O264,"")</f>
        <v/>
      </c>
      <c r="AA264" t="str">
        <f t="shared" si="14"/>
        <v/>
      </c>
    </row>
    <row r="265" spans="1:27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str">
        <f>_xlfn.XLOOKUP(B265,MacReports!B:B,MacReports!E:E,"")</f>
        <v/>
      </c>
      <c r="F265" s="13">
        <f>MacReports!F265</f>
        <v>0</v>
      </c>
      <c r="G265" t="e">
        <f>_xlfn.XLOOKUP(F265,Models!A:A,Models!B:B)</f>
        <v>#N/A</v>
      </c>
      <c r="H265" t="e">
        <f>_xlfn.XLOOKUP(F265,Models!A:A,Models!E:E)</f>
        <v>#N/A</v>
      </c>
      <c r="I265" t="e">
        <f>_xlfn.XLOOKUP(F265,Models!A:A,Models!D:D)</f>
        <v>#N/A</v>
      </c>
      <c r="J265">
        <f>MacReports!G265</f>
        <v>0</v>
      </c>
      <c r="K265" s="59">
        <f>MacReports!H265</f>
        <v>0</v>
      </c>
      <c r="L265" t="str">
        <f t="shared" si="15"/>
        <v>0</v>
      </c>
      <c r="M265" s="15">
        <f>MacReports!I265</f>
        <v>0</v>
      </c>
      <c r="N265" s="16" t="str" cm="1">
        <f t="array" ref="N265">_xlfn.IFS(
   --MacReports!N265&lt;55,"Battery Defect",
  -- MacReports!N265&lt;=69,"Battery D",
  --MacReports!N265&lt;=80,"Battery C",
 --MacReports!N265&gt;80,""
)</f>
        <v>Battery Defect</v>
      </c>
      <c r="O265" s="16" t="str">
        <f>IF(MacReports!J265="Service","Battery Service","")</f>
        <v/>
      </c>
      <c r="P265" s="13">
        <f>MacReports!Q265</f>
        <v>0</v>
      </c>
      <c r="Q265" s="13" t="str">
        <f>IF(MacReports!K265="Enabled","Apple ID Lock","")</f>
        <v/>
      </c>
      <c r="R265" s="13" t="str">
        <f>IF(MacReports!M265="Remote Lock","Remote Locked","")</f>
        <v/>
      </c>
      <c r="S265" t="str">
        <f t="shared" si="13"/>
        <v>Battery Defect, 0</v>
      </c>
      <c r="T265" t="str">
        <f>_xlfn.XLOOKUP(B265,Disk_Pivot!G:G,Disk_Pivot!N:N)</f>
        <v>Pass, Fail</v>
      </c>
      <c r="U265" t="str">
        <f>IF(T265="Fail",MacReports!O265,"")</f>
        <v/>
      </c>
      <c r="AA265" t="str">
        <f t="shared" si="14"/>
        <v/>
      </c>
    </row>
    <row r="266" spans="1:27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str">
        <f>_xlfn.XLOOKUP(B266,MacReports!B:B,MacReports!E:E,"")</f>
        <v/>
      </c>
      <c r="F266" s="13">
        <f>MacReports!F266</f>
        <v>0</v>
      </c>
      <c r="G266" t="e">
        <f>_xlfn.XLOOKUP(F266,Models!A:A,Models!B:B)</f>
        <v>#N/A</v>
      </c>
      <c r="H266" t="e">
        <f>_xlfn.XLOOKUP(F266,Models!A:A,Models!E:E)</f>
        <v>#N/A</v>
      </c>
      <c r="I266" t="e">
        <f>_xlfn.XLOOKUP(F266,Models!A:A,Models!D:D)</f>
        <v>#N/A</v>
      </c>
      <c r="J266">
        <f>MacReports!G266</f>
        <v>0</v>
      </c>
      <c r="K266" s="59">
        <f>MacReports!H266</f>
        <v>0</v>
      </c>
      <c r="L266" t="str">
        <f t="shared" si="15"/>
        <v>0</v>
      </c>
      <c r="M266" s="15">
        <f>MacReports!I266</f>
        <v>0</v>
      </c>
      <c r="N266" s="16" t="str" cm="1">
        <f t="array" ref="N266">_xlfn.IFS(
   --MacReports!N266&lt;55,"Battery Defect",
  -- MacReports!N266&lt;=69,"Battery D",
  --MacReports!N266&lt;=80,"Battery C",
 --MacReports!N266&gt;80,""
)</f>
        <v>Battery Defect</v>
      </c>
      <c r="O266" s="16" t="str">
        <f>IF(MacReports!J266="Service","Battery Service","")</f>
        <v/>
      </c>
      <c r="P266" s="13">
        <f>MacReports!Q266</f>
        <v>0</v>
      </c>
      <c r="Q266" s="13" t="str">
        <f>IF(MacReports!K266="Enabled","Apple ID Lock","")</f>
        <v/>
      </c>
      <c r="R266" s="13" t="str">
        <f>IF(MacReports!M266="Remote Lock","Remote Locked","")</f>
        <v/>
      </c>
      <c r="S266" t="str">
        <f t="shared" si="13"/>
        <v>Battery Defect, 0</v>
      </c>
      <c r="T266" t="str">
        <f>_xlfn.XLOOKUP(B266,Disk_Pivot!G:G,Disk_Pivot!N:N)</f>
        <v>Pass, Fail</v>
      </c>
      <c r="U266" t="str">
        <f>IF(T266="Fail",MacReports!O266,"")</f>
        <v/>
      </c>
      <c r="AA266" t="str">
        <f t="shared" si="14"/>
        <v/>
      </c>
    </row>
    <row r="267" spans="1:27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str">
        <f>_xlfn.XLOOKUP(B267,MacReports!B:B,MacReports!E:E,"")</f>
        <v/>
      </c>
      <c r="F267" s="13">
        <f>MacReports!F267</f>
        <v>0</v>
      </c>
      <c r="G267" t="e">
        <f>_xlfn.XLOOKUP(F267,Models!A:A,Models!B:B)</f>
        <v>#N/A</v>
      </c>
      <c r="H267" t="e">
        <f>_xlfn.XLOOKUP(F267,Models!A:A,Models!E:E)</f>
        <v>#N/A</v>
      </c>
      <c r="I267" t="e">
        <f>_xlfn.XLOOKUP(F267,Models!A:A,Models!D:D)</f>
        <v>#N/A</v>
      </c>
      <c r="J267">
        <f>MacReports!G267</f>
        <v>0</v>
      </c>
      <c r="K267" s="59">
        <f>MacReports!H267</f>
        <v>0</v>
      </c>
      <c r="L267" t="str">
        <f t="shared" si="15"/>
        <v>0</v>
      </c>
      <c r="M267" s="15">
        <f>MacReports!I267</f>
        <v>0</v>
      </c>
      <c r="N267" s="16" t="str" cm="1">
        <f t="array" ref="N267">_xlfn.IFS(
   --MacReports!N267&lt;55,"Battery Defect",
  -- MacReports!N267&lt;=69,"Battery D",
  --MacReports!N267&lt;=80,"Battery C",
 --MacReports!N267&gt;80,""
)</f>
        <v>Battery Defect</v>
      </c>
      <c r="O267" s="16" t="str">
        <f>IF(MacReports!J267="Service","Battery Service","")</f>
        <v/>
      </c>
      <c r="P267" s="13">
        <f>MacReports!Q267</f>
        <v>0</v>
      </c>
      <c r="Q267" s="13" t="str">
        <f>IF(MacReports!K267="Enabled","Apple ID Lock","")</f>
        <v/>
      </c>
      <c r="R267" s="13" t="str">
        <f>IF(MacReports!M267="Remote Lock","Remote Locked","")</f>
        <v/>
      </c>
      <c r="S267" t="str">
        <f t="shared" si="13"/>
        <v>Battery Defect, 0</v>
      </c>
      <c r="T267" t="str">
        <f>_xlfn.XLOOKUP(B267,Disk_Pivot!G:G,Disk_Pivot!N:N)</f>
        <v>Pass, Fail</v>
      </c>
      <c r="U267" t="str">
        <f>IF(T267="Fail",MacReports!O267,"")</f>
        <v/>
      </c>
      <c r="AA267" t="str">
        <f t="shared" si="14"/>
        <v/>
      </c>
    </row>
    <row r="268" spans="1:27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str">
        <f>_xlfn.XLOOKUP(B268,MacReports!B:B,MacReports!E:E,"")</f>
        <v/>
      </c>
      <c r="F268" s="13">
        <f>MacReports!F268</f>
        <v>0</v>
      </c>
      <c r="G268" t="e">
        <f>_xlfn.XLOOKUP(F268,Models!A:A,Models!B:B)</f>
        <v>#N/A</v>
      </c>
      <c r="H268" t="e">
        <f>_xlfn.XLOOKUP(F268,Models!A:A,Models!E:E)</f>
        <v>#N/A</v>
      </c>
      <c r="I268" t="e">
        <f>_xlfn.XLOOKUP(F268,Models!A:A,Models!D:D)</f>
        <v>#N/A</v>
      </c>
      <c r="J268">
        <f>MacReports!G268</f>
        <v>0</v>
      </c>
      <c r="K268" s="59">
        <f>MacReports!H268</f>
        <v>0</v>
      </c>
      <c r="L268" t="str">
        <f t="shared" si="15"/>
        <v>0</v>
      </c>
      <c r="M268" s="15">
        <f>MacReports!I268</f>
        <v>0</v>
      </c>
      <c r="N268" s="16" t="str" cm="1">
        <f t="array" ref="N268">_xlfn.IFS(
   --MacReports!N268&lt;55,"Battery Defect",
  -- MacReports!N268&lt;=69,"Battery D",
  --MacReports!N268&lt;=80,"Battery C",
 --MacReports!N268&gt;80,""
)</f>
        <v>Battery Defect</v>
      </c>
      <c r="O268" s="16" t="str">
        <f>IF(MacReports!J268="Service","Battery Service","")</f>
        <v/>
      </c>
      <c r="P268" s="13">
        <f>MacReports!Q268</f>
        <v>0</v>
      </c>
      <c r="Q268" s="13" t="str">
        <f>IF(MacReports!K268="Enabled","Apple ID Lock","")</f>
        <v/>
      </c>
      <c r="R268" s="13" t="str">
        <f>IF(MacReports!M268="Remote Lock","Remote Locked","")</f>
        <v/>
      </c>
      <c r="S268" t="str">
        <f t="shared" si="13"/>
        <v>Battery Defect, 0</v>
      </c>
      <c r="T268" t="str">
        <f>_xlfn.XLOOKUP(B268,Disk_Pivot!G:G,Disk_Pivot!N:N)</f>
        <v>Pass, Fail</v>
      </c>
      <c r="U268" t="str">
        <f>IF(T268="Fail",MacReports!O268,"")</f>
        <v/>
      </c>
      <c r="AA268" t="str">
        <f t="shared" si="14"/>
        <v/>
      </c>
    </row>
    <row r="269" spans="1:27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str">
        <f>_xlfn.XLOOKUP(B269,MacReports!B:B,MacReports!E:E,"")</f>
        <v/>
      </c>
      <c r="F269" s="13">
        <f>MacReports!F269</f>
        <v>0</v>
      </c>
      <c r="G269" t="e">
        <f>_xlfn.XLOOKUP(F269,Models!A:A,Models!B:B)</f>
        <v>#N/A</v>
      </c>
      <c r="H269" t="e">
        <f>_xlfn.XLOOKUP(F269,Models!A:A,Models!E:E)</f>
        <v>#N/A</v>
      </c>
      <c r="I269" t="e">
        <f>_xlfn.XLOOKUP(F269,Models!A:A,Models!D:D)</f>
        <v>#N/A</v>
      </c>
      <c r="J269">
        <f>MacReports!G269</f>
        <v>0</v>
      </c>
      <c r="K269" s="59">
        <f>MacReports!H269</f>
        <v>0</v>
      </c>
      <c r="L269" t="str">
        <f t="shared" si="15"/>
        <v>0</v>
      </c>
      <c r="M269" s="15">
        <f>MacReports!I269</f>
        <v>0</v>
      </c>
      <c r="N269" s="16" t="str" cm="1">
        <f t="array" ref="N269">_xlfn.IFS(
   --MacReports!N269&lt;55,"Battery Defect",
  -- MacReports!N269&lt;=69,"Battery D",
  --MacReports!N269&lt;=80,"Battery C",
 --MacReports!N269&gt;80,""
)</f>
        <v>Battery Defect</v>
      </c>
      <c r="O269" s="16" t="str">
        <f>IF(MacReports!J269="Service","Battery Service","")</f>
        <v/>
      </c>
      <c r="P269" s="13">
        <f>MacReports!Q269</f>
        <v>0</v>
      </c>
      <c r="Q269" s="13" t="str">
        <f>IF(MacReports!K269="Enabled","Apple ID Lock","")</f>
        <v/>
      </c>
      <c r="R269" s="13" t="str">
        <f>IF(MacReports!M269="Remote Lock","Remote Locked","")</f>
        <v/>
      </c>
      <c r="S269" t="str">
        <f t="shared" si="13"/>
        <v>Battery Defect, 0</v>
      </c>
      <c r="T269" t="str">
        <f>_xlfn.XLOOKUP(B269,Disk_Pivot!G:G,Disk_Pivot!N:N)</f>
        <v>Pass, Fail</v>
      </c>
      <c r="U269" t="str">
        <f>IF(T269="Fail",MacReports!O269,"")</f>
        <v/>
      </c>
      <c r="AA269" t="str">
        <f t="shared" si="14"/>
        <v/>
      </c>
    </row>
    <row r="270" spans="1:27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str">
        <f>_xlfn.XLOOKUP(B270,MacReports!B:B,MacReports!E:E,"")</f>
        <v/>
      </c>
      <c r="F270" s="13">
        <f>MacReports!F270</f>
        <v>0</v>
      </c>
      <c r="G270" t="e">
        <f>_xlfn.XLOOKUP(F270,Models!A:A,Models!B:B)</f>
        <v>#N/A</v>
      </c>
      <c r="H270" t="e">
        <f>_xlfn.XLOOKUP(F270,Models!A:A,Models!E:E)</f>
        <v>#N/A</v>
      </c>
      <c r="I270" t="e">
        <f>_xlfn.XLOOKUP(F270,Models!A:A,Models!D:D)</f>
        <v>#N/A</v>
      </c>
      <c r="J270">
        <f>MacReports!G270</f>
        <v>0</v>
      </c>
      <c r="K270" s="59">
        <f>MacReports!H270</f>
        <v>0</v>
      </c>
      <c r="L270" t="str">
        <f t="shared" si="15"/>
        <v>0</v>
      </c>
      <c r="M270" s="15">
        <f>MacReports!I270</f>
        <v>0</v>
      </c>
      <c r="N270" s="16" t="str" cm="1">
        <f t="array" ref="N270">_xlfn.IFS(
   --MacReports!N270&lt;55,"Battery Defect",
  -- MacReports!N270&lt;=69,"Battery D",
  --MacReports!N270&lt;=80,"Battery C",
 --MacReports!N270&gt;80,""
)</f>
        <v>Battery Defect</v>
      </c>
      <c r="O270" s="16" t="str">
        <f>IF(MacReports!J270="Service","Battery Service","")</f>
        <v/>
      </c>
      <c r="P270" s="13">
        <f>MacReports!Q270</f>
        <v>0</v>
      </c>
      <c r="Q270" s="13" t="str">
        <f>IF(MacReports!K270="Enabled","Apple ID Lock","")</f>
        <v/>
      </c>
      <c r="R270" s="13" t="str">
        <f>IF(MacReports!M270="Remote Lock","Remote Locked","")</f>
        <v/>
      </c>
      <c r="S270" t="str">
        <f t="shared" si="13"/>
        <v>Battery Defect, 0</v>
      </c>
      <c r="T270" t="str">
        <f>_xlfn.XLOOKUP(B270,Disk_Pivot!G:G,Disk_Pivot!N:N)</f>
        <v>Pass, Fail</v>
      </c>
      <c r="U270" t="str">
        <f>IF(T270="Fail",MacReports!O270,"")</f>
        <v/>
      </c>
      <c r="AA270" t="str">
        <f t="shared" si="14"/>
        <v/>
      </c>
    </row>
    <row r="271" spans="1:27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str">
        <f>_xlfn.XLOOKUP(B271,MacReports!B:B,MacReports!E:E,"")</f>
        <v/>
      </c>
      <c r="F271" s="13">
        <f>MacReports!F271</f>
        <v>0</v>
      </c>
      <c r="G271" t="e">
        <f>_xlfn.XLOOKUP(F271,Models!A:A,Models!B:B)</f>
        <v>#N/A</v>
      </c>
      <c r="H271" t="e">
        <f>_xlfn.XLOOKUP(F271,Models!A:A,Models!E:E)</f>
        <v>#N/A</v>
      </c>
      <c r="I271" t="e">
        <f>_xlfn.XLOOKUP(F271,Models!A:A,Models!D:D)</f>
        <v>#N/A</v>
      </c>
      <c r="J271">
        <f>MacReports!G271</f>
        <v>0</v>
      </c>
      <c r="K271" s="59">
        <f>MacReports!H271</f>
        <v>0</v>
      </c>
      <c r="L271" t="str">
        <f t="shared" si="15"/>
        <v>0</v>
      </c>
      <c r="M271" s="15">
        <f>MacReports!I271</f>
        <v>0</v>
      </c>
      <c r="N271" s="16" t="str" cm="1">
        <f t="array" ref="N271">_xlfn.IFS(
   --MacReports!N271&lt;55,"Battery Defect",
  -- MacReports!N271&lt;=69,"Battery D",
  --MacReports!N271&lt;=80,"Battery C",
 --MacReports!N271&gt;80,""
)</f>
        <v>Battery Defect</v>
      </c>
      <c r="O271" s="16" t="str">
        <f>IF(MacReports!J271="Service","Battery Service","")</f>
        <v/>
      </c>
      <c r="P271" s="13">
        <f>MacReports!Q271</f>
        <v>0</v>
      </c>
      <c r="Q271" s="13" t="str">
        <f>IF(MacReports!K271="Enabled","Apple ID Lock","")</f>
        <v/>
      </c>
      <c r="R271" s="13" t="str">
        <f>IF(MacReports!M271="Remote Lock","Remote Locked","")</f>
        <v/>
      </c>
      <c r="S271" t="str">
        <f t="shared" si="13"/>
        <v>Battery Defect, 0</v>
      </c>
      <c r="T271" t="str">
        <f>_xlfn.XLOOKUP(B271,Disk_Pivot!G:G,Disk_Pivot!N:N)</f>
        <v>Pass, Fail</v>
      </c>
      <c r="U271" t="str">
        <f>IF(T271="Fail",MacReports!O271,"")</f>
        <v/>
      </c>
      <c r="AA271" t="str">
        <f t="shared" si="14"/>
        <v/>
      </c>
    </row>
    <row r="272" spans="1:27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str">
        <f>_xlfn.XLOOKUP(B272,MacReports!B:B,MacReports!E:E,"")</f>
        <v/>
      </c>
      <c r="F272" s="13">
        <f>MacReports!F272</f>
        <v>0</v>
      </c>
      <c r="G272" t="e">
        <f>_xlfn.XLOOKUP(F272,Models!A:A,Models!B:B)</f>
        <v>#N/A</v>
      </c>
      <c r="H272" t="e">
        <f>_xlfn.XLOOKUP(F272,Models!A:A,Models!E:E)</f>
        <v>#N/A</v>
      </c>
      <c r="I272" t="e">
        <f>_xlfn.XLOOKUP(F272,Models!A:A,Models!D:D)</f>
        <v>#N/A</v>
      </c>
      <c r="J272">
        <f>MacReports!G272</f>
        <v>0</v>
      </c>
      <c r="K272" s="59">
        <f>MacReports!H272</f>
        <v>0</v>
      </c>
      <c r="L272" t="str">
        <f t="shared" si="15"/>
        <v>0</v>
      </c>
      <c r="M272" s="15">
        <f>MacReports!I272</f>
        <v>0</v>
      </c>
      <c r="N272" s="16" t="str" cm="1">
        <f t="array" ref="N272">_xlfn.IFS(
   --MacReports!N272&lt;55,"Battery Defect",
  -- MacReports!N272&lt;=69,"Battery D",
  --MacReports!N272&lt;=80,"Battery C",
 --MacReports!N272&gt;80,""
)</f>
        <v>Battery Defect</v>
      </c>
      <c r="O272" s="16" t="str">
        <f>IF(MacReports!J272="Service","Battery Service","")</f>
        <v/>
      </c>
      <c r="P272" s="13">
        <f>MacReports!Q272</f>
        <v>0</v>
      </c>
      <c r="Q272" s="13" t="str">
        <f>IF(MacReports!K272="Enabled","Apple ID Lock","")</f>
        <v/>
      </c>
      <c r="R272" s="13" t="str">
        <f>IF(MacReports!M272="Remote Lock","Remote Locked","")</f>
        <v/>
      </c>
      <c r="S272" t="str">
        <f t="shared" si="13"/>
        <v>Battery Defect, 0</v>
      </c>
      <c r="T272" t="str">
        <f>_xlfn.XLOOKUP(B272,Disk_Pivot!G:G,Disk_Pivot!N:N)</f>
        <v>Pass, Fail</v>
      </c>
      <c r="U272" t="str">
        <f>IF(T272="Fail",MacReports!O272,"")</f>
        <v/>
      </c>
      <c r="AA272" t="str">
        <f t="shared" si="14"/>
        <v/>
      </c>
    </row>
    <row r="273" spans="1:27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str">
        <f>_xlfn.XLOOKUP(B273,MacReports!B:B,MacReports!E:E,"")</f>
        <v/>
      </c>
      <c r="F273" s="13">
        <f>MacReports!F273</f>
        <v>0</v>
      </c>
      <c r="G273" t="e">
        <f>_xlfn.XLOOKUP(F273,Models!A:A,Models!B:B)</f>
        <v>#N/A</v>
      </c>
      <c r="H273" t="e">
        <f>_xlfn.XLOOKUP(F273,Models!A:A,Models!E:E)</f>
        <v>#N/A</v>
      </c>
      <c r="I273" t="e">
        <f>_xlfn.XLOOKUP(F273,Models!A:A,Models!D:D)</f>
        <v>#N/A</v>
      </c>
      <c r="J273">
        <f>MacReports!G273</f>
        <v>0</v>
      </c>
      <c r="K273" s="59">
        <f>MacReports!H273</f>
        <v>0</v>
      </c>
      <c r="L273" t="str">
        <f t="shared" si="15"/>
        <v>0</v>
      </c>
      <c r="M273" s="15">
        <f>MacReports!I273</f>
        <v>0</v>
      </c>
      <c r="N273" s="16" t="str" cm="1">
        <f t="array" ref="N273">_xlfn.IFS(
   --MacReports!N273&lt;55,"Battery Defect",
  -- MacReports!N273&lt;=69,"Battery D",
  --MacReports!N273&lt;=80,"Battery C",
 --MacReports!N273&gt;80,""
)</f>
        <v>Battery Defect</v>
      </c>
      <c r="O273" s="16" t="str">
        <f>IF(MacReports!J273="Service","Battery Service","")</f>
        <v/>
      </c>
      <c r="P273" s="13">
        <f>MacReports!Q273</f>
        <v>0</v>
      </c>
      <c r="Q273" s="13" t="str">
        <f>IF(MacReports!K273="Enabled","Apple ID Lock","")</f>
        <v/>
      </c>
      <c r="R273" s="13" t="str">
        <f>IF(MacReports!M273="Remote Lock","Remote Locked","")</f>
        <v/>
      </c>
      <c r="S273" t="str">
        <f t="shared" si="13"/>
        <v>Battery Defect, 0</v>
      </c>
      <c r="T273" t="str">
        <f>_xlfn.XLOOKUP(B273,Disk_Pivot!G:G,Disk_Pivot!N:N)</f>
        <v>Pass, Fail</v>
      </c>
      <c r="U273" t="str">
        <f>IF(T273="Fail",MacReports!O273,"")</f>
        <v/>
      </c>
      <c r="AA273" t="str">
        <f t="shared" si="14"/>
        <v/>
      </c>
    </row>
    <row r="274" spans="1:27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str">
        <f>_xlfn.XLOOKUP(B274,MacReports!B:B,MacReports!E:E,"")</f>
        <v/>
      </c>
      <c r="F274" s="13">
        <f>MacReports!F274</f>
        <v>0</v>
      </c>
      <c r="G274" t="e">
        <f>_xlfn.XLOOKUP(F274,Models!A:A,Models!B:B)</f>
        <v>#N/A</v>
      </c>
      <c r="H274" t="e">
        <f>_xlfn.XLOOKUP(F274,Models!A:A,Models!E:E)</f>
        <v>#N/A</v>
      </c>
      <c r="I274" t="e">
        <f>_xlfn.XLOOKUP(F274,Models!A:A,Models!D:D)</f>
        <v>#N/A</v>
      </c>
      <c r="J274">
        <f>MacReports!G274</f>
        <v>0</v>
      </c>
      <c r="K274" s="59">
        <f>MacReports!H274</f>
        <v>0</v>
      </c>
      <c r="L274" t="str">
        <f t="shared" si="15"/>
        <v>0</v>
      </c>
      <c r="M274" s="15">
        <f>MacReports!I274</f>
        <v>0</v>
      </c>
      <c r="N274" s="16" t="str" cm="1">
        <f t="array" ref="N274">_xlfn.IFS(
   --MacReports!N274&lt;55,"Battery Defect",
  -- MacReports!N274&lt;=69,"Battery D",
  --MacReports!N274&lt;=80,"Battery C",
 --MacReports!N274&gt;80,""
)</f>
        <v>Battery Defect</v>
      </c>
      <c r="O274" s="16" t="str">
        <f>IF(MacReports!J274="Service","Battery Service","")</f>
        <v/>
      </c>
      <c r="P274" s="13">
        <f>MacReports!Q274</f>
        <v>0</v>
      </c>
      <c r="Q274" s="13" t="str">
        <f>IF(MacReports!K274="Enabled","Apple ID Lock","")</f>
        <v/>
      </c>
      <c r="R274" s="13" t="str">
        <f>IF(MacReports!M274="Remote Lock","Remote Locked","")</f>
        <v/>
      </c>
      <c r="S274" t="str">
        <f t="shared" si="13"/>
        <v>Battery Defect, 0</v>
      </c>
      <c r="T274" t="str">
        <f>_xlfn.XLOOKUP(B274,Disk_Pivot!G:G,Disk_Pivot!N:N)</f>
        <v>Pass, Fail</v>
      </c>
      <c r="U274" t="str">
        <f>IF(T274="Fail",MacReports!O274,"")</f>
        <v/>
      </c>
      <c r="AA274" t="str">
        <f t="shared" si="14"/>
        <v/>
      </c>
    </row>
    <row r="275" spans="1:27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str">
        <f>_xlfn.XLOOKUP(B275,MacReports!B:B,MacReports!E:E,"")</f>
        <v/>
      </c>
      <c r="F275" s="13">
        <f>MacReports!F275</f>
        <v>0</v>
      </c>
      <c r="G275" t="e">
        <f>_xlfn.XLOOKUP(F275,Models!A:A,Models!B:B)</f>
        <v>#N/A</v>
      </c>
      <c r="H275" t="e">
        <f>_xlfn.XLOOKUP(F275,Models!A:A,Models!E:E)</f>
        <v>#N/A</v>
      </c>
      <c r="I275" t="e">
        <f>_xlfn.XLOOKUP(F275,Models!A:A,Models!D:D)</f>
        <v>#N/A</v>
      </c>
      <c r="J275">
        <f>MacReports!G275</f>
        <v>0</v>
      </c>
      <c r="K275" s="59">
        <f>MacReports!H275</f>
        <v>0</v>
      </c>
      <c r="L275" t="str">
        <f t="shared" si="15"/>
        <v>0</v>
      </c>
      <c r="M275" s="15">
        <f>MacReports!I275</f>
        <v>0</v>
      </c>
      <c r="N275" s="16" t="str" cm="1">
        <f t="array" ref="N275">_xlfn.IFS(
   --MacReports!N275&lt;55,"Battery Defect",
  -- MacReports!N275&lt;=69,"Battery D",
  --MacReports!N275&lt;=80,"Battery C",
 --MacReports!N275&gt;80,""
)</f>
        <v>Battery Defect</v>
      </c>
      <c r="O275" s="16" t="str">
        <f>IF(MacReports!J275="Service","Battery Service","")</f>
        <v/>
      </c>
      <c r="P275" s="13">
        <f>MacReports!Q275</f>
        <v>0</v>
      </c>
      <c r="Q275" s="13" t="str">
        <f>IF(MacReports!K275="Enabled","Apple ID Lock","")</f>
        <v/>
      </c>
      <c r="R275" s="13" t="str">
        <f>IF(MacReports!M275="Remote Lock","Remote Locked","")</f>
        <v/>
      </c>
      <c r="S275" t="str">
        <f t="shared" si="13"/>
        <v>Battery Defect, 0</v>
      </c>
      <c r="T275" t="str">
        <f>_xlfn.XLOOKUP(B275,Disk_Pivot!G:G,Disk_Pivot!N:N)</f>
        <v>Pass, Fail</v>
      </c>
      <c r="U275" t="str">
        <f>IF(T275="Fail",MacReports!O275,"")</f>
        <v/>
      </c>
      <c r="AA275" t="str">
        <f t="shared" si="14"/>
        <v/>
      </c>
    </row>
    <row r="276" spans="1:27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str">
        <f>_xlfn.XLOOKUP(B276,MacReports!B:B,MacReports!E:E,"")</f>
        <v/>
      </c>
      <c r="F276" s="13">
        <f>MacReports!F276</f>
        <v>0</v>
      </c>
      <c r="G276" t="e">
        <f>_xlfn.XLOOKUP(F276,Models!A:A,Models!B:B)</f>
        <v>#N/A</v>
      </c>
      <c r="H276" t="e">
        <f>_xlfn.XLOOKUP(F276,Models!A:A,Models!E:E)</f>
        <v>#N/A</v>
      </c>
      <c r="I276" t="e">
        <f>_xlfn.XLOOKUP(F276,Models!A:A,Models!D:D)</f>
        <v>#N/A</v>
      </c>
      <c r="J276">
        <f>MacReports!G276</f>
        <v>0</v>
      </c>
      <c r="K276" s="59">
        <f>MacReports!H276</f>
        <v>0</v>
      </c>
      <c r="L276" t="str">
        <f t="shared" si="15"/>
        <v>0</v>
      </c>
      <c r="M276" s="15">
        <f>MacReports!I276</f>
        <v>0</v>
      </c>
      <c r="N276" s="16" t="str" cm="1">
        <f t="array" ref="N276">_xlfn.IFS(
   --MacReports!N276&lt;55,"Battery Defect",
  -- MacReports!N276&lt;=69,"Battery D",
  --MacReports!N276&lt;=80,"Battery C",
 --MacReports!N276&gt;80,""
)</f>
        <v>Battery Defect</v>
      </c>
      <c r="O276" s="16" t="str">
        <f>IF(MacReports!J276="Service","Battery Service","")</f>
        <v/>
      </c>
      <c r="P276" s="13">
        <f>MacReports!Q276</f>
        <v>0</v>
      </c>
      <c r="Q276" s="13" t="str">
        <f>IF(MacReports!K276="Enabled","Apple ID Lock","")</f>
        <v/>
      </c>
      <c r="R276" s="13" t="str">
        <f>IF(MacReports!M276="Remote Lock","Remote Locked","")</f>
        <v/>
      </c>
      <c r="S276" t="str">
        <f t="shared" si="13"/>
        <v>Battery Defect, 0</v>
      </c>
      <c r="T276" t="str">
        <f>_xlfn.XLOOKUP(B276,Disk_Pivot!G:G,Disk_Pivot!N:N)</f>
        <v>Pass, Fail</v>
      </c>
      <c r="U276" t="str">
        <f>IF(T276="Fail",MacReports!O276,"")</f>
        <v/>
      </c>
      <c r="AA276" t="str">
        <f t="shared" si="14"/>
        <v/>
      </c>
    </row>
    <row r="277" spans="1:27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str">
        <f>_xlfn.XLOOKUP(B277,MacReports!B:B,MacReports!E:E,"")</f>
        <v/>
      </c>
      <c r="F277" s="13">
        <f>MacReports!F277</f>
        <v>0</v>
      </c>
      <c r="G277" t="e">
        <f>_xlfn.XLOOKUP(F277,Models!A:A,Models!B:B)</f>
        <v>#N/A</v>
      </c>
      <c r="H277" t="e">
        <f>_xlfn.XLOOKUP(F277,Models!A:A,Models!E:E)</f>
        <v>#N/A</v>
      </c>
      <c r="I277" t="e">
        <f>_xlfn.XLOOKUP(F277,Models!A:A,Models!D:D)</f>
        <v>#N/A</v>
      </c>
      <c r="J277">
        <f>MacReports!G277</f>
        <v>0</v>
      </c>
      <c r="K277" s="59">
        <f>MacReports!H277</f>
        <v>0</v>
      </c>
      <c r="L277" t="str">
        <f t="shared" si="15"/>
        <v>0</v>
      </c>
      <c r="M277" s="15">
        <f>MacReports!I277</f>
        <v>0</v>
      </c>
      <c r="N277" s="16" t="str" cm="1">
        <f t="array" ref="N277">_xlfn.IFS(
   --MacReports!N277&lt;55,"Battery Defect",
  -- MacReports!N277&lt;=69,"Battery D",
  --MacReports!N277&lt;=80,"Battery C",
 --MacReports!N277&gt;80,""
)</f>
        <v>Battery Defect</v>
      </c>
      <c r="O277" s="16" t="str">
        <f>IF(MacReports!J277="Service","Battery Service","")</f>
        <v/>
      </c>
      <c r="P277" s="13">
        <f>MacReports!Q277</f>
        <v>0</v>
      </c>
      <c r="Q277" s="13" t="str">
        <f>IF(MacReports!K277="Enabled","Apple ID Lock","")</f>
        <v/>
      </c>
      <c r="R277" s="13" t="str">
        <f>IF(MacReports!M277="Remote Lock","Remote Locked","")</f>
        <v/>
      </c>
      <c r="S277" t="str">
        <f t="shared" si="13"/>
        <v>Battery Defect, 0</v>
      </c>
      <c r="T277" t="str">
        <f>_xlfn.XLOOKUP(B277,Disk_Pivot!G:G,Disk_Pivot!N:N)</f>
        <v>Pass, Fail</v>
      </c>
      <c r="U277" t="str">
        <f>IF(T277="Fail",MacReports!O277,"")</f>
        <v/>
      </c>
      <c r="AA277" t="str">
        <f t="shared" si="14"/>
        <v/>
      </c>
    </row>
    <row r="278" spans="1:27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str">
        <f>_xlfn.XLOOKUP(B278,MacReports!B:B,MacReports!E:E,"")</f>
        <v/>
      </c>
      <c r="F278" s="13">
        <f>MacReports!F278</f>
        <v>0</v>
      </c>
      <c r="G278" t="e">
        <f>_xlfn.XLOOKUP(F278,Models!A:A,Models!B:B)</f>
        <v>#N/A</v>
      </c>
      <c r="H278" t="e">
        <f>_xlfn.XLOOKUP(F278,Models!A:A,Models!E:E)</f>
        <v>#N/A</v>
      </c>
      <c r="I278" t="e">
        <f>_xlfn.XLOOKUP(F278,Models!A:A,Models!D:D)</f>
        <v>#N/A</v>
      </c>
      <c r="J278">
        <f>MacReports!G278</f>
        <v>0</v>
      </c>
      <c r="K278" s="59">
        <f>MacReports!H278</f>
        <v>0</v>
      </c>
      <c r="L278" t="str">
        <f t="shared" si="15"/>
        <v>0</v>
      </c>
      <c r="M278" s="15">
        <f>MacReports!I278</f>
        <v>0</v>
      </c>
      <c r="N278" s="16" t="str" cm="1">
        <f t="array" ref="N278">_xlfn.IFS(
   --MacReports!N278&lt;55,"Battery Defect",
  -- MacReports!N278&lt;=69,"Battery D",
  --MacReports!N278&lt;=80,"Battery C",
 --MacReports!N278&gt;80,""
)</f>
        <v>Battery Defect</v>
      </c>
      <c r="O278" s="16" t="str">
        <f>IF(MacReports!J278="Service","Battery Service","")</f>
        <v/>
      </c>
      <c r="P278" s="13">
        <f>MacReports!Q278</f>
        <v>0</v>
      </c>
      <c r="Q278" s="13" t="str">
        <f>IF(MacReports!K278="Enabled","Apple ID Lock","")</f>
        <v/>
      </c>
      <c r="R278" s="13" t="str">
        <f>IF(MacReports!M278="Remote Lock","Remote Locked","")</f>
        <v/>
      </c>
      <c r="S278" t="str">
        <f t="shared" si="13"/>
        <v>Battery Defect, 0</v>
      </c>
      <c r="T278" t="str">
        <f>_xlfn.XLOOKUP(B278,Disk_Pivot!G:G,Disk_Pivot!N:N)</f>
        <v>Pass, Fail</v>
      </c>
      <c r="U278" t="str">
        <f>IF(T278="Fail",MacReports!O278,"")</f>
        <v/>
      </c>
      <c r="AA278" t="str">
        <f t="shared" si="14"/>
        <v/>
      </c>
    </row>
    <row r="279" spans="1:27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str">
        <f>_xlfn.XLOOKUP(B279,MacReports!B:B,MacReports!E:E,"")</f>
        <v/>
      </c>
      <c r="F279" s="13">
        <f>MacReports!F279</f>
        <v>0</v>
      </c>
      <c r="G279" t="e">
        <f>_xlfn.XLOOKUP(F279,Models!A:A,Models!B:B)</f>
        <v>#N/A</v>
      </c>
      <c r="H279" t="e">
        <f>_xlfn.XLOOKUP(F279,Models!A:A,Models!E:E)</f>
        <v>#N/A</v>
      </c>
      <c r="I279" t="e">
        <f>_xlfn.XLOOKUP(F279,Models!A:A,Models!D:D)</f>
        <v>#N/A</v>
      </c>
      <c r="J279">
        <f>MacReports!G279</f>
        <v>0</v>
      </c>
      <c r="K279" s="59">
        <f>MacReports!H279</f>
        <v>0</v>
      </c>
      <c r="L279" t="str">
        <f t="shared" si="15"/>
        <v>0</v>
      </c>
      <c r="M279" s="15">
        <f>MacReports!I279</f>
        <v>0</v>
      </c>
      <c r="N279" s="16" t="str" cm="1">
        <f t="array" ref="N279">_xlfn.IFS(
   --MacReports!N279&lt;55,"Battery Defect",
  -- MacReports!N279&lt;=69,"Battery D",
  --MacReports!N279&lt;=80,"Battery C",
 --MacReports!N279&gt;80,""
)</f>
        <v>Battery Defect</v>
      </c>
      <c r="O279" s="16" t="str">
        <f>IF(MacReports!J279="Service","Battery Service","")</f>
        <v/>
      </c>
      <c r="P279" s="13">
        <f>MacReports!Q279</f>
        <v>0</v>
      </c>
      <c r="Q279" s="13" t="str">
        <f>IF(MacReports!K279="Enabled","Apple ID Lock","")</f>
        <v/>
      </c>
      <c r="R279" s="13" t="str">
        <f>IF(MacReports!M279="Remote Lock","Remote Locked","")</f>
        <v/>
      </c>
      <c r="S279" t="str">
        <f t="shared" si="13"/>
        <v>Battery Defect, 0</v>
      </c>
      <c r="T279" t="str">
        <f>_xlfn.XLOOKUP(B279,Disk_Pivot!G:G,Disk_Pivot!N:N)</f>
        <v>Pass, Fail</v>
      </c>
      <c r="U279" t="str">
        <f>IF(T279="Fail",MacReports!O279,"")</f>
        <v/>
      </c>
      <c r="AA279" t="str">
        <f t="shared" si="14"/>
        <v/>
      </c>
    </row>
    <row r="280" spans="1:27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str">
        <f>_xlfn.XLOOKUP(B280,MacReports!B:B,MacReports!E:E,"")</f>
        <v/>
      </c>
      <c r="F280" s="13">
        <f>MacReports!F280</f>
        <v>0</v>
      </c>
      <c r="G280" t="e">
        <f>_xlfn.XLOOKUP(F280,Models!A:A,Models!B:B)</f>
        <v>#N/A</v>
      </c>
      <c r="H280" t="e">
        <f>_xlfn.XLOOKUP(F280,Models!A:A,Models!E:E)</f>
        <v>#N/A</v>
      </c>
      <c r="I280" t="e">
        <f>_xlfn.XLOOKUP(F280,Models!A:A,Models!D:D)</f>
        <v>#N/A</v>
      </c>
      <c r="J280">
        <f>MacReports!G280</f>
        <v>0</v>
      </c>
      <c r="K280" s="59">
        <f>MacReports!H280</f>
        <v>0</v>
      </c>
      <c r="L280" t="str">
        <f t="shared" si="15"/>
        <v>0</v>
      </c>
      <c r="M280" s="15">
        <f>MacReports!I280</f>
        <v>0</v>
      </c>
      <c r="N280" s="16" t="str" cm="1">
        <f t="array" ref="N280">_xlfn.IFS(
   --MacReports!N280&lt;55,"Battery Defect",
  -- MacReports!N280&lt;=69,"Battery D",
  --MacReports!N280&lt;=80,"Battery C",
 --MacReports!N280&gt;80,""
)</f>
        <v>Battery Defect</v>
      </c>
      <c r="O280" s="16" t="str">
        <f>IF(MacReports!J280="Service","Battery Service","")</f>
        <v/>
      </c>
      <c r="P280" s="13">
        <f>MacReports!Q280</f>
        <v>0</v>
      </c>
      <c r="Q280" s="13" t="str">
        <f>IF(MacReports!K280="Enabled","Apple ID Lock","")</f>
        <v/>
      </c>
      <c r="R280" s="13" t="str">
        <f>IF(MacReports!M280="Remote Lock","Remote Locked","")</f>
        <v/>
      </c>
      <c r="S280" t="str">
        <f t="shared" si="13"/>
        <v>Battery Defect, 0</v>
      </c>
      <c r="T280" t="str">
        <f>_xlfn.XLOOKUP(B280,Disk_Pivot!G:G,Disk_Pivot!N:N)</f>
        <v>Pass, Fail</v>
      </c>
      <c r="U280" t="str">
        <f>IF(T280="Fail",MacReports!O280,"")</f>
        <v/>
      </c>
      <c r="AA280" t="str">
        <f t="shared" si="14"/>
        <v/>
      </c>
    </row>
    <row r="281" spans="1:27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str">
        <f>_xlfn.XLOOKUP(B281,MacReports!B:B,MacReports!E:E,"")</f>
        <v/>
      </c>
      <c r="F281" s="13">
        <f>MacReports!F281</f>
        <v>0</v>
      </c>
      <c r="G281" t="e">
        <f>_xlfn.XLOOKUP(F281,Models!A:A,Models!B:B)</f>
        <v>#N/A</v>
      </c>
      <c r="H281" t="e">
        <f>_xlfn.XLOOKUP(F281,Models!A:A,Models!E:E)</f>
        <v>#N/A</v>
      </c>
      <c r="I281" t="e">
        <f>_xlfn.XLOOKUP(F281,Models!A:A,Models!D:D)</f>
        <v>#N/A</v>
      </c>
      <c r="J281">
        <f>MacReports!G281</f>
        <v>0</v>
      </c>
      <c r="K281" s="59">
        <f>MacReports!H281</f>
        <v>0</v>
      </c>
      <c r="L281" t="str">
        <f t="shared" si="15"/>
        <v>0</v>
      </c>
      <c r="M281" s="15">
        <f>MacReports!I281</f>
        <v>0</v>
      </c>
      <c r="N281" s="16" t="str" cm="1">
        <f t="array" ref="N281">_xlfn.IFS(
   --MacReports!N281&lt;55,"Battery Defect",
  -- MacReports!N281&lt;=69,"Battery D",
  --MacReports!N281&lt;=80,"Battery C",
 --MacReports!N281&gt;80,""
)</f>
        <v>Battery Defect</v>
      </c>
      <c r="O281" s="16" t="str">
        <f>IF(MacReports!J281="Service","Battery Service","")</f>
        <v/>
      </c>
      <c r="P281" s="13">
        <f>MacReports!Q281</f>
        <v>0</v>
      </c>
      <c r="Q281" s="13" t="str">
        <f>IF(MacReports!K281="Enabled","Apple ID Lock","")</f>
        <v/>
      </c>
      <c r="R281" s="13" t="str">
        <f>IF(MacReports!M281="Remote Lock","Remote Locked","")</f>
        <v/>
      </c>
      <c r="S281" t="str">
        <f t="shared" si="13"/>
        <v>Battery Defect, 0</v>
      </c>
      <c r="T281" t="str">
        <f>_xlfn.XLOOKUP(B281,Disk_Pivot!G:G,Disk_Pivot!N:N)</f>
        <v>Pass, Fail</v>
      </c>
      <c r="U281" t="str">
        <f>IF(T281="Fail",MacReports!O281,"")</f>
        <v/>
      </c>
      <c r="AA281" t="str">
        <f t="shared" si="14"/>
        <v/>
      </c>
    </row>
    <row r="282" spans="1:27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str">
        <f>_xlfn.XLOOKUP(B282,MacReports!B:B,MacReports!E:E,"")</f>
        <v/>
      </c>
      <c r="F282" s="13">
        <f>MacReports!F282</f>
        <v>0</v>
      </c>
      <c r="G282" t="e">
        <f>_xlfn.XLOOKUP(F282,Models!A:A,Models!B:B)</f>
        <v>#N/A</v>
      </c>
      <c r="H282" t="e">
        <f>_xlfn.XLOOKUP(F282,Models!A:A,Models!E:E)</f>
        <v>#N/A</v>
      </c>
      <c r="I282" t="e">
        <f>_xlfn.XLOOKUP(F282,Models!A:A,Models!D:D)</f>
        <v>#N/A</v>
      </c>
      <c r="J282">
        <f>MacReports!G282</f>
        <v>0</v>
      </c>
      <c r="K282" s="59">
        <f>MacReports!H282</f>
        <v>0</v>
      </c>
      <c r="L282" t="str">
        <f t="shared" si="15"/>
        <v>0</v>
      </c>
      <c r="M282" s="15">
        <f>MacReports!I282</f>
        <v>0</v>
      </c>
      <c r="N282" s="16" t="str" cm="1">
        <f t="array" ref="N282">_xlfn.IFS(
   --MacReports!N282&lt;55,"Battery Defect",
  -- MacReports!N282&lt;=69,"Battery D",
  --MacReports!N282&lt;=80,"Battery C",
 --MacReports!N282&gt;80,""
)</f>
        <v>Battery Defect</v>
      </c>
      <c r="O282" s="16" t="str">
        <f>IF(MacReports!J282="Service","Battery Service","")</f>
        <v/>
      </c>
      <c r="P282" s="13">
        <f>MacReports!Q282</f>
        <v>0</v>
      </c>
      <c r="Q282" s="13" t="str">
        <f>IF(MacReports!K282="Enabled","Apple ID Lock","")</f>
        <v/>
      </c>
      <c r="R282" s="13" t="str">
        <f>IF(MacReports!M282="Remote Lock","Remote Locked","")</f>
        <v/>
      </c>
      <c r="S282" t="str">
        <f t="shared" si="13"/>
        <v>Battery Defect, 0</v>
      </c>
      <c r="T282" t="str">
        <f>_xlfn.XLOOKUP(B282,Disk_Pivot!G:G,Disk_Pivot!N:N)</f>
        <v>Pass, Fail</v>
      </c>
      <c r="U282" t="str">
        <f>IF(T282="Fail",MacReports!O282,"")</f>
        <v/>
      </c>
      <c r="AA282" t="str">
        <f t="shared" si="14"/>
        <v/>
      </c>
    </row>
    <row r="283" spans="1:27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str">
        <f>_xlfn.XLOOKUP(B283,MacReports!B:B,MacReports!E:E,"")</f>
        <v/>
      </c>
      <c r="F283" s="13">
        <f>MacReports!F283</f>
        <v>0</v>
      </c>
      <c r="G283" t="e">
        <f>_xlfn.XLOOKUP(F283,Models!A:A,Models!B:B)</f>
        <v>#N/A</v>
      </c>
      <c r="H283" t="e">
        <f>_xlfn.XLOOKUP(F283,Models!A:A,Models!E:E)</f>
        <v>#N/A</v>
      </c>
      <c r="I283" t="e">
        <f>_xlfn.XLOOKUP(F283,Models!A:A,Models!D:D)</f>
        <v>#N/A</v>
      </c>
      <c r="J283">
        <f>MacReports!G283</f>
        <v>0</v>
      </c>
      <c r="K283" s="59">
        <f>MacReports!H283</f>
        <v>0</v>
      </c>
      <c r="L283" t="str">
        <f t="shared" si="15"/>
        <v>0</v>
      </c>
      <c r="M283" s="15">
        <f>MacReports!I283</f>
        <v>0</v>
      </c>
      <c r="N283" s="16" t="str" cm="1">
        <f t="array" ref="N283">_xlfn.IFS(
   --MacReports!N283&lt;55,"Battery Defect",
  -- MacReports!N283&lt;=69,"Battery D",
  --MacReports!N283&lt;=80,"Battery C",
 --MacReports!N283&gt;80,""
)</f>
        <v>Battery Defect</v>
      </c>
      <c r="O283" s="16" t="str">
        <f>IF(MacReports!J283="Service","Battery Service","")</f>
        <v/>
      </c>
      <c r="P283" s="13">
        <f>MacReports!Q283</f>
        <v>0</v>
      </c>
      <c r="Q283" s="13" t="str">
        <f>IF(MacReports!K283="Enabled","Apple ID Lock","")</f>
        <v/>
      </c>
      <c r="R283" s="13" t="str">
        <f>IF(MacReports!M283="Remote Lock","Remote Locked","")</f>
        <v/>
      </c>
      <c r="S283" t="str">
        <f t="shared" si="13"/>
        <v>Battery Defect, 0</v>
      </c>
      <c r="T283" t="str">
        <f>_xlfn.XLOOKUP(B283,Disk_Pivot!G:G,Disk_Pivot!N:N)</f>
        <v>Pass, Fail</v>
      </c>
      <c r="U283" t="str">
        <f>IF(T283="Fail",MacReports!O283,"")</f>
        <v/>
      </c>
      <c r="AA283" t="str">
        <f t="shared" si="14"/>
        <v/>
      </c>
    </row>
    <row r="284" spans="1:27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str">
        <f>_xlfn.XLOOKUP(B284,MacReports!B:B,MacReports!E:E,"")</f>
        <v/>
      </c>
      <c r="F284" s="13">
        <f>MacReports!F284</f>
        <v>0</v>
      </c>
      <c r="G284" t="e">
        <f>_xlfn.XLOOKUP(F284,Models!A:A,Models!B:B)</f>
        <v>#N/A</v>
      </c>
      <c r="H284" t="e">
        <f>_xlfn.XLOOKUP(F284,Models!A:A,Models!E:E)</f>
        <v>#N/A</v>
      </c>
      <c r="I284" t="e">
        <f>_xlfn.XLOOKUP(F284,Models!A:A,Models!D:D)</f>
        <v>#N/A</v>
      </c>
      <c r="J284">
        <f>MacReports!G284</f>
        <v>0</v>
      </c>
      <c r="K284" s="59">
        <f>MacReports!H284</f>
        <v>0</v>
      </c>
      <c r="L284" t="str">
        <f t="shared" si="15"/>
        <v>0</v>
      </c>
      <c r="M284" s="15">
        <f>MacReports!I284</f>
        <v>0</v>
      </c>
      <c r="N284" s="16" t="str" cm="1">
        <f t="array" ref="N284">_xlfn.IFS(
   --MacReports!N284&lt;55,"Battery Defect",
  -- MacReports!N284&lt;=69,"Battery D",
  --MacReports!N284&lt;=80,"Battery C",
 --MacReports!N284&gt;80,""
)</f>
        <v>Battery Defect</v>
      </c>
      <c r="O284" s="16" t="str">
        <f>IF(MacReports!J284="Service","Battery Service","")</f>
        <v/>
      </c>
      <c r="P284" s="13">
        <f>MacReports!Q284</f>
        <v>0</v>
      </c>
      <c r="Q284" s="13" t="str">
        <f>IF(MacReports!K284="Enabled","Apple ID Lock","")</f>
        <v/>
      </c>
      <c r="R284" s="13" t="str">
        <f>IF(MacReports!M284="Remote Lock","Remote Locked","")</f>
        <v/>
      </c>
      <c r="S284" t="str">
        <f t="shared" si="13"/>
        <v>Battery Defect, 0</v>
      </c>
      <c r="T284" t="str">
        <f>_xlfn.XLOOKUP(B284,Disk_Pivot!G:G,Disk_Pivot!N:N)</f>
        <v>Pass, Fail</v>
      </c>
      <c r="U284" t="str">
        <f>IF(T284="Fail",MacReports!O284,"")</f>
        <v/>
      </c>
      <c r="AA284" t="str">
        <f t="shared" si="14"/>
        <v/>
      </c>
    </row>
    <row r="285" spans="1:27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str">
        <f>_xlfn.XLOOKUP(B285,MacReports!B:B,MacReports!E:E,"")</f>
        <v/>
      </c>
      <c r="F285" s="13">
        <f>MacReports!F285</f>
        <v>0</v>
      </c>
      <c r="G285" t="e">
        <f>_xlfn.XLOOKUP(F285,Models!A:A,Models!B:B)</f>
        <v>#N/A</v>
      </c>
      <c r="H285" t="e">
        <f>_xlfn.XLOOKUP(F285,Models!A:A,Models!E:E)</f>
        <v>#N/A</v>
      </c>
      <c r="I285" t="e">
        <f>_xlfn.XLOOKUP(F285,Models!A:A,Models!D:D)</f>
        <v>#N/A</v>
      </c>
      <c r="J285">
        <f>MacReports!G285</f>
        <v>0</v>
      </c>
      <c r="K285" s="59">
        <f>MacReports!H285</f>
        <v>0</v>
      </c>
      <c r="L285" t="str">
        <f t="shared" si="15"/>
        <v>0</v>
      </c>
      <c r="M285" s="15">
        <f>MacReports!I285</f>
        <v>0</v>
      </c>
      <c r="N285" s="16" t="str" cm="1">
        <f t="array" ref="N285">_xlfn.IFS(
   --MacReports!N285&lt;55,"Battery Defect",
  -- MacReports!N285&lt;=69,"Battery D",
  --MacReports!N285&lt;=80,"Battery C",
 --MacReports!N285&gt;80,""
)</f>
        <v>Battery Defect</v>
      </c>
      <c r="O285" s="16" t="str">
        <f>IF(MacReports!J285="Service","Battery Service","")</f>
        <v/>
      </c>
      <c r="P285" s="13">
        <f>MacReports!Q285</f>
        <v>0</v>
      </c>
      <c r="Q285" s="13" t="str">
        <f>IF(MacReports!K285="Enabled","Apple ID Lock","")</f>
        <v/>
      </c>
      <c r="R285" s="13" t="str">
        <f>IF(MacReports!M285="Remote Lock","Remote Locked","")</f>
        <v/>
      </c>
      <c r="S285" t="str">
        <f t="shared" si="13"/>
        <v>Battery Defect, 0</v>
      </c>
      <c r="T285" t="str">
        <f>_xlfn.XLOOKUP(B285,Disk_Pivot!G:G,Disk_Pivot!N:N)</f>
        <v>Pass, Fail</v>
      </c>
      <c r="U285" t="str">
        <f>IF(T285="Fail",MacReports!O285,"")</f>
        <v/>
      </c>
      <c r="AA285" t="str">
        <f t="shared" si="14"/>
        <v/>
      </c>
    </row>
    <row r="286" spans="1:27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str">
        <f>_xlfn.XLOOKUP(B286,MacReports!B:B,MacReports!E:E,"")</f>
        <v/>
      </c>
      <c r="F286" s="13">
        <f>MacReports!F286</f>
        <v>0</v>
      </c>
      <c r="G286" t="e">
        <f>_xlfn.XLOOKUP(F286,Models!A:A,Models!B:B)</f>
        <v>#N/A</v>
      </c>
      <c r="H286" t="e">
        <f>_xlfn.XLOOKUP(F286,Models!A:A,Models!E:E)</f>
        <v>#N/A</v>
      </c>
      <c r="I286" t="e">
        <f>_xlfn.XLOOKUP(F286,Models!A:A,Models!D:D)</f>
        <v>#N/A</v>
      </c>
      <c r="J286">
        <f>MacReports!G286</f>
        <v>0</v>
      </c>
      <c r="K286" s="59">
        <f>MacReports!H286</f>
        <v>0</v>
      </c>
      <c r="L286" t="str">
        <f t="shared" si="15"/>
        <v>0</v>
      </c>
      <c r="M286" s="15">
        <f>MacReports!I286</f>
        <v>0</v>
      </c>
      <c r="N286" s="16" t="str" cm="1">
        <f t="array" ref="N286">_xlfn.IFS(
   --MacReports!N286&lt;55,"Battery Defect",
  -- MacReports!N286&lt;=69,"Battery D",
  --MacReports!N286&lt;=80,"Battery C",
 --MacReports!N286&gt;80,""
)</f>
        <v>Battery Defect</v>
      </c>
      <c r="O286" s="16" t="str">
        <f>IF(MacReports!J286="Service","Battery Service","")</f>
        <v/>
      </c>
      <c r="P286" s="13">
        <f>MacReports!Q286</f>
        <v>0</v>
      </c>
      <c r="Q286" s="13" t="str">
        <f>IF(MacReports!K286="Enabled","Apple ID Lock","")</f>
        <v/>
      </c>
      <c r="R286" s="13" t="str">
        <f>IF(MacReports!M286="Remote Lock","Remote Locked","")</f>
        <v/>
      </c>
      <c r="S286" t="str">
        <f t="shared" si="13"/>
        <v>Battery Defect, 0</v>
      </c>
      <c r="T286" t="str">
        <f>_xlfn.XLOOKUP(B286,Disk_Pivot!G:G,Disk_Pivot!N:N)</f>
        <v>Pass, Fail</v>
      </c>
      <c r="U286" t="str">
        <f>IF(T286="Fail",MacReports!O286,"")</f>
        <v/>
      </c>
      <c r="AA286" t="str">
        <f t="shared" si="14"/>
        <v/>
      </c>
    </row>
    <row r="287" spans="1:27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str">
        <f>_xlfn.XLOOKUP(B287,MacReports!B:B,MacReports!E:E,"")</f>
        <v/>
      </c>
      <c r="F287" s="13">
        <f>MacReports!F287</f>
        <v>0</v>
      </c>
      <c r="G287" t="e">
        <f>_xlfn.XLOOKUP(F287,Models!A:A,Models!B:B)</f>
        <v>#N/A</v>
      </c>
      <c r="H287" t="e">
        <f>_xlfn.XLOOKUP(F287,Models!A:A,Models!E:E)</f>
        <v>#N/A</v>
      </c>
      <c r="I287" t="e">
        <f>_xlfn.XLOOKUP(F287,Models!A:A,Models!D:D)</f>
        <v>#N/A</v>
      </c>
      <c r="J287">
        <f>MacReports!G287</f>
        <v>0</v>
      </c>
      <c r="K287" s="59">
        <f>MacReports!H287</f>
        <v>0</v>
      </c>
      <c r="L287" t="str">
        <f t="shared" si="15"/>
        <v>0</v>
      </c>
      <c r="M287" s="15">
        <f>MacReports!I287</f>
        <v>0</v>
      </c>
      <c r="N287" s="16" t="str" cm="1">
        <f t="array" ref="N287">_xlfn.IFS(
   --MacReports!N287&lt;55,"Battery Defect",
  -- MacReports!N287&lt;=69,"Battery D",
  --MacReports!N287&lt;=80,"Battery C",
 --MacReports!N287&gt;80,""
)</f>
        <v>Battery Defect</v>
      </c>
      <c r="O287" s="16" t="str">
        <f>IF(MacReports!J287="Service","Battery Service","")</f>
        <v/>
      </c>
      <c r="P287" s="13">
        <f>MacReports!Q287</f>
        <v>0</v>
      </c>
      <c r="Q287" s="13" t="str">
        <f>IF(MacReports!K287="Enabled","Apple ID Lock","")</f>
        <v/>
      </c>
      <c r="R287" s="13" t="str">
        <f>IF(MacReports!M287="Remote Lock","Remote Locked","")</f>
        <v/>
      </c>
      <c r="S287" t="str">
        <f t="shared" si="13"/>
        <v>Battery Defect, 0</v>
      </c>
      <c r="T287" t="str">
        <f>_xlfn.XLOOKUP(B287,Disk_Pivot!G:G,Disk_Pivot!N:N)</f>
        <v>Pass, Fail</v>
      </c>
      <c r="U287" t="str">
        <f>IF(T287="Fail",MacReports!O287,"")</f>
        <v/>
      </c>
      <c r="AA287" t="str">
        <f t="shared" si="14"/>
        <v/>
      </c>
    </row>
    <row r="288" spans="1:27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str">
        <f>_xlfn.XLOOKUP(B288,MacReports!B:B,MacReports!E:E,"")</f>
        <v/>
      </c>
      <c r="F288" s="13">
        <f>MacReports!F288</f>
        <v>0</v>
      </c>
      <c r="G288" t="e">
        <f>_xlfn.XLOOKUP(F288,Models!A:A,Models!B:B)</f>
        <v>#N/A</v>
      </c>
      <c r="H288" t="e">
        <f>_xlfn.XLOOKUP(F288,Models!A:A,Models!E:E)</f>
        <v>#N/A</v>
      </c>
      <c r="I288" t="e">
        <f>_xlfn.XLOOKUP(F288,Models!A:A,Models!D:D)</f>
        <v>#N/A</v>
      </c>
      <c r="J288">
        <f>MacReports!G288</f>
        <v>0</v>
      </c>
      <c r="K288" s="59">
        <f>MacReports!H288</f>
        <v>0</v>
      </c>
      <c r="L288" t="str">
        <f t="shared" si="15"/>
        <v>0</v>
      </c>
      <c r="M288" s="15">
        <f>MacReports!I288</f>
        <v>0</v>
      </c>
      <c r="N288" s="16" t="str" cm="1">
        <f t="array" ref="N288">_xlfn.IFS(
   --MacReports!N288&lt;55,"Battery Defect",
  -- MacReports!N288&lt;=69,"Battery D",
  --MacReports!N288&lt;=80,"Battery C",
 --MacReports!N288&gt;80,""
)</f>
        <v>Battery Defect</v>
      </c>
      <c r="O288" s="16" t="str">
        <f>IF(MacReports!J288="Service","Battery Service","")</f>
        <v/>
      </c>
      <c r="P288" s="13">
        <f>MacReports!Q288</f>
        <v>0</v>
      </c>
      <c r="Q288" s="13" t="str">
        <f>IF(MacReports!K288="Enabled","Apple ID Lock","")</f>
        <v/>
      </c>
      <c r="R288" s="13" t="str">
        <f>IF(MacReports!M288="Remote Lock","Remote Locked","")</f>
        <v/>
      </c>
      <c r="S288" t="str">
        <f t="shared" si="13"/>
        <v>Battery Defect, 0</v>
      </c>
      <c r="T288" t="str">
        <f>_xlfn.XLOOKUP(B288,Disk_Pivot!G:G,Disk_Pivot!N:N)</f>
        <v>Pass, Fail</v>
      </c>
      <c r="U288" t="str">
        <f>IF(T288="Fail",MacReports!O288,"")</f>
        <v/>
      </c>
      <c r="AA288" t="str">
        <f t="shared" si="14"/>
        <v/>
      </c>
    </row>
    <row r="289" spans="1:27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str">
        <f>_xlfn.XLOOKUP(B289,MacReports!B:B,MacReports!E:E,"")</f>
        <v/>
      </c>
      <c r="F289" s="13">
        <f>MacReports!F289</f>
        <v>0</v>
      </c>
      <c r="G289" t="e">
        <f>_xlfn.XLOOKUP(F289,Models!A:A,Models!B:B)</f>
        <v>#N/A</v>
      </c>
      <c r="H289" t="e">
        <f>_xlfn.XLOOKUP(F289,Models!A:A,Models!E:E)</f>
        <v>#N/A</v>
      </c>
      <c r="I289" t="e">
        <f>_xlfn.XLOOKUP(F289,Models!A:A,Models!D:D)</f>
        <v>#N/A</v>
      </c>
      <c r="J289">
        <f>MacReports!G289</f>
        <v>0</v>
      </c>
      <c r="K289" s="59">
        <f>MacReports!H289</f>
        <v>0</v>
      </c>
      <c r="L289" t="str">
        <f t="shared" si="15"/>
        <v>0</v>
      </c>
      <c r="M289" s="15">
        <f>MacReports!I289</f>
        <v>0</v>
      </c>
      <c r="N289" s="16" t="str" cm="1">
        <f t="array" ref="N289">_xlfn.IFS(
   --MacReports!N289&lt;55,"Battery Defect",
  -- MacReports!N289&lt;=69,"Battery D",
  --MacReports!N289&lt;=80,"Battery C",
 --MacReports!N289&gt;80,""
)</f>
        <v>Battery Defect</v>
      </c>
      <c r="O289" s="16" t="str">
        <f>IF(MacReports!J289="Service","Battery Service","")</f>
        <v/>
      </c>
      <c r="P289" s="13">
        <f>MacReports!Q289</f>
        <v>0</v>
      </c>
      <c r="Q289" s="13" t="str">
        <f>IF(MacReports!K289="Enabled","Apple ID Lock","")</f>
        <v/>
      </c>
      <c r="R289" s="13" t="str">
        <f>IF(MacReports!M289="Remote Lock","Remote Locked","")</f>
        <v/>
      </c>
      <c r="S289" t="str">
        <f t="shared" si="13"/>
        <v>Battery Defect, 0</v>
      </c>
      <c r="T289" t="str">
        <f>_xlfn.XLOOKUP(B289,Disk_Pivot!G:G,Disk_Pivot!N:N)</f>
        <v>Pass, Fail</v>
      </c>
      <c r="U289" t="str">
        <f>IF(T289="Fail",MacReports!O289,"")</f>
        <v/>
      </c>
      <c r="AA289" t="str">
        <f t="shared" si="14"/>
        <v/>
      </c>
    </row>
    <row r="290" spans="1:27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str">
        <f>_xlfn.XLOOKUP(B290,MacReports!B:B,MacReports!E:E,"")</f>
        <v/>
      </c>
      <c r="F290" s="13">
        <f>MacReports!F290</f>
        <v>0</v>
      </c>
      <c r="G290" t="e">
        <f>_xlfn.XLOOKUP(F290,Models!A:A,Models!B:B)</f>
        <v>#N/A</v>
      </c>
      <c r="H290" t="e">
        <f>_xlfn.XLOOKUP(F290,Models!A:A,Models!E:E)</f>
        <v>#N/A</v>
      </c>
      <c r="I290" t="e">
        <f>_xlfn.XLOOKUP(F290,Models!A:A,Models!D:D)</f>
        <v>#N/A</v>
      </c>
      <c r="J290">
        <f>MacReports!G290</f>
        <v>0</v>
      </c>
      <c r="K290" s="59">
        <f>MacReports!H290</f>
        <v>0</v>
      </c>
      <c r="L290" t="str">
        <f t="shared" si="15"/>
        <v>0</v>
      </c>
      <c r="M290" s="15">
        <f>MacReports!I290</f>
        <v>0</v>
      </c>
      <c r="N290" s="16" t="str" cm="1">
        <f t="array" ref="N290">_xlfn.IFS(
   --MacReports!N290&lt;55,"Battery Defect",
  -- MacReports!N290&lt;=69,"Battery D",
  --MacReports!N290&lt;=80,"Battery C",
 --MacReports!N290&gt;80,""
)</f>
        <v>Battery Defect</v>
      </c>
      <c r="O290" s="16" t="str">
        <f>IF(MacReports!J290="Service","Battery Service","")</f>
        <v/>
      </c>
      <c r="P290" s="13">
        <f>MacReports!Q290</f>
        <v>0</v>
      </c>
      <c r="Q290" s="13" t="str">
        <f>IF(MacReports!K290="Enabled","Apple ID Lock","")</f>
        <v/>
      </c>
      <c r="R290" s="13" t="str">
        <f>IF(MacReports!M290="Remote Lock","Remote Locked","")</f>
        <v/>
      </c>
      <c r="S290" t="str">
        <f t="shared" si="13"/>
        <v>Battery Defect, 0</v>
      </c>
      <c r="T290" t="str">
        <f>_xlfn.XLOOKUP(B290,Disk_Pivot!G:G,Disk_Pivot!N:N)</f>
        <v>Pass, Fail</v>
      </c>
      <c r="U290" t="str">
        <f>IF(T290="Fail",MacReports!O290,"")</f>
        <v/>
      </c>
      <c r="AA290" t="str">
        <f t="shared" si="14"/>
        <v/>
      </c>
    </row>
    <row r="291" spans="1:27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str">
        <f>_xlfn.XLOOKUP(B291,MacReports!B:B,MacReports!E:E,"")</f>
        <v/>
      </c>
      <c r="F291" s="13">
        <f>MacReports!F291</f>
        <v>0</v>
      </c>
      <c r="G291" t="e">
        <f>_xlfn.XLOOKUP(F291,Models!A:A,Models!B:B)</f>
        <v>#N/A</v>
      </c>
      <c r="H291" t="e">
        <f>_xlfn.XLOOKUP(F291,Models!A:A,Models!E:E)</f>
        <v>#N/A</v>
      </c>
      <c r="I291" t="e">
        <f>_xlfn.XLOOKUP(F291,Models!A:A,Models!D:D)</f>
        <v>#N/A</v>
      </c>
      <c r="J291">
        <f>MacReports!G291</f>
        <v>0</v>
      </c>
      <c r="K291" s="59">
        <f>MacReports!H291</f>
        <v>0</v>
      </c>
      <c r="L291" t="str">
        <f t="shared" si="15"/>
        <v>0</v>
      </c>
      <c r="M291" s="15">
        <f>MacReports!I291</f>
        <v>0</v>
      </c>
      <c r="N291" s="16" t="str" cm="1">
        <f t="array" ref="N291">_xlfn.IFS(
   --MacReports!N291&lt;55,"Battery Defect",
  -- MacReports!N291&lt;=69,"Battery D",
  --MacReports!N291&lt;=80,"Battery C",
 --MacReports!N291&gt;80,""
)</f>
        <v>Battery Defect</v>
      </c>
      <c r="O291" s="16" t="str">
        <f>IF(MacReports!J291="Service","Battery Service","")</f>
        <v/>
      </c>
      <c r="P291" s="13">
        <f>MacReports!Q291</f>
        <v>0</v>
      </c>
      <c r="Q291" s="13" t="str">
        <f>IF(MacReports!K291="Enabled","Apple ID Lock","")</f>
        <v/>
      </c>
      <c r="R291" s="13" t="str">
        <f>IF(MacReports!M291="Remote Lock","Remote Locked","")</f>
        <v/>
      </c>
      <c r="S291" t="str">
        <f t="shared" ref="S291:S354" si="16">_xlfn.TEXTJOIN(", ",TRUE,Q291,R291,N291,O291,P291)</f>
        <v>Battery Defect, 0</v>
      </c>
      <c r="T291" t="str">
        <f>_xlfn.XLOOKUP(B291,Disk_Pivot!G:G,Disk_Pivot!N:N)</f>
        <v>Pass, Fail</v>
      </c>
      <c r="U291" t="str">
        <f>IF(T291="Fail",MacReports!O291,"")</f>
        <v/>
      </c>
      <c r="AA291" t="str">
        <f t="shared" ref="AA291:AA354" si="17">_xlfn.TEXTJOIN(", ",TRUE,Q291,R291)</f>
        <v/>
      </c>
    </row>
    <row r="292" spans="1:27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str">
        <f>_xlfn.XLOOKUP(B292,MacReports!B:B,MacReports!E:E,"")</f>
        <v/>
      </c>
      <c r="F292" s="13">
        <f>MacReports!F292</f>
        <v>0</v>
      </c>
      <c r="G292" t="e">
        <f>_xlfn.XLOOKUP(F292,Models!A:A,Models!B:B)</f>
        <v>#N/A</v>
      </c>
      <c r="H292" t="e">
        <f>_xlfn.XLOOKUP(F292,Models!A:A,Models!E:E)</f>
        <v>#N/A</v>
      </c>
      <c r="I292" t="e">
        <f>_xlfn.XLOOKUP(F292,Models!A:A,Models!D:D)</f>
        <v>#N/A</v>
      </c>
      <c r="J292">
        <f>MacReports!G292</f>
        <v>0</v>
      </c>
      <c r="K292" s="59">
        <f>MacReports!H292</f>
        <v>0</v>
      </c>
      <c r="L292" t="str">
        <f t="shared" si="15"/>
        <v>0</v>
      </c>
      <c r="M292" s="15">
        <f>MacReports!I292</f>
        <v>0</v>
      </c>
      <c r="N292" s="16" t="str" cm="1">
        <f t="array" ref="N292">_xlfn.IFS(
   --MacReports!N292&lt;55,"Battery Defect",
  -- MacReports!N292&lt;=69,"Battery D",
  --MacReports!N292&lt;=80,"Battery C",
 --MacReports!N292&gt;80,""
)</f>
        <v>Battery Defect</v>
      </c>
      <c r="O292" s="16" t="str">
        <f>IF(MacReports!J292="Service","Battery Service","")</f>
        <v/>
      </c>
      <c r="P292" s="13">
        <f>MacReports!Q292</f>
        <v>0</v>
      </c>
      <c r="Q292" s="13" t="str">
        <f>IF(MacReports!K292="Enabled","Apple ID Lock","")</f>
        <v/>
      </c>
      <c r="R292" s="13" t="str">
        <f>IF(MacReports!M292="Remote Lock","Remote Locked","")</f>
        <v/>
      </c>
      <c r="S292" t="str">
        <f t="shared" si="16"/>
        <v>Battery Defect, 0</v>
      </c>
      <c r="T292" t="str">
        <f>_xlfn.XLOOKUP(B292,Disk_Pivot!G:G,Disk_Pivot!N:N)</f>
        <v>Pass, Fail</v>
      </c>
      <c r="U292" t="str">
        <f>IF(T292="Fail",MacReports!O292,"")</f>
        <v/>
      </c>
      <c r="AA292" t="str">
        <f t="shared" si="17"/>
        <v/>
      </c>
    </row>
    <row r="293" spans="1:27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str">
        <f>_xlfn.XLOOKUP(B293,MacReports!B:B,MacReports!E:E,"")</f>
        <v/>
      </c>
      <c r="F293" s="13">
        <f>MacReports!F293</f>
        <v>0</v>
      </c>
      <c r="G293" t="e">
        <f>_xlfn.XLOOKUP(F293,Models!A:A,Models!B:B)</f>
        <v>#N/A</v>
      </c>
      <c r="H293" t="e">
        <f>_xlfn.XLOOKUP(F293,Models!A:A,Models!E:E)</f>
        <v>#N/A</v>
      </c>
      <c r="I293" t="e">
        <f>_xlfn.XLOOKUP(F293,Models!A:A,Models!D:D)</f>
        <v>#N/A</v>
      </c>
      <c r="J293">
        <f>MacReports!G293</f>
        <v>0</v>
      </c>
      <c r="K293" s="59">
        <f>MacReports!H293</f>
        <v>0</v>
      </c>
      <c r="L293" t="str">
        <f t="shared" si="15"/>
        <v>0</v>
      </c>
      <c r="M293" s="15">
        <f>MacReports!I293</f>
        <v>0</v>
      </c>
      <c r="N293" s="16" t="str" cm="1">
        <f t="array" ref="N293">_xlfn.IFS(
   --MacReports!N293&lt;55,"Battery Defect",
  -- MacReports!N293&lt;=69,"Battery D",
  --MacReports!N293&lt;=80,"Battery C",
 --MacReports!N293&gt;80,""
)</f>
        <v>Battery Defect</v>
      </c>
      <c r="O293" s="16" t="str">
        <f>IF(MacReports!J293="Service","Battery Service","")</f>
        <v/>
      </c>
      <c r="P293" s="13">
        <f>MacReports!Q293</f>
        <v>0</v>
      </c>
      <c r="Q293" s="13" t="str">
        <f>IF(MacReports!K293="Enabled","Apple ID Lock","")</f>
        <v/>
      </c>
      <c r="R293" s="13" t="str">
        <f>IF(MacReports!M293="Remote Lock","Remote Locked","")</f>
        <v/>
      </c>
      <c r="S293" t="str">
        <f t="shared" si="16"/>
        <v>Battery Defect, 0</v>
      </c>
      <c r="T293" t="str">
        <f>_xlfn.XLOOKUP(B293,Disk_Pivot!G:G,Disk_Pivot!N:N)</f>
        <v>Pass, Fail</v>
      </c>
      <c r="U293" t="str">
        <f>IF(T293="Fail",MacReports!O293,"")</f>
        <v/>
      </c>
      <c r="AA293" t="str">
        <f t="shared" si="17"/>
        <v/>
      </c>
    </row>
    <row r="294" spans="1:27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str">
        <f>_xlfn.XLOOKUP(B294,MacReports!B:B,MacReports!E:E,"")</f>
        <v/>
      </c>
      <c r="F294" s="13">
        <f>MacReports!F294</f>
        <v>0</v>
      </c>
      <c r="G294" t="e">
        <f>_xlfn.XLOOKUP(F294,Models!A:A,Models!B:B)</f>
        <v>#N/A</v>
      </c>
      <c r="H294" t="e">
        <f>_xlfn.XLOOKUP(F294,Models!A:A,Models!E:E)</f>
        <v>#N/A</v>
      </c>
      <c r="I294" t="e">
        <f>_xlfn.XLOOKUP(F294,Models!A:A,Models!D:D)</f>
        <v>#N/A</v>
      </c>
      <c r="J294">
        <f>MacReports!G294</f>
        <v>0</v>
      </c>
      <c r="K294" s="59">
        <f>MacReports!H294</f>
        <v>0</v>
      </c>
      <c r="L294" t="str">
        <f t="shared" si="15"/>
        <v>0</v>
      </c>
      <c r="M294" s="15">
        <f>MacReports!I294</f>
        <v>0</v>
      </c>
      <c r="N294" s="16" t="str" cm="1">
        <f t="array" ref="N294">_xlfn.IFS(
   --MacReports!N294&lt;55,"Battery Defect",
  -- MacReports!N294&lt;=69,"Battery D",
  --MacReports!N294&lt;=80,"Battery C",
 --MacReports!N294&gt;80,""
)</f>
        <v>Battery Defect</v>
      </c>
      <c r="O294" s="16" t="str">
        <f>IF(MacReports!J294="Service","Battery Service","")</f>
        <v/>
      </c>
      <c r="P294" s="13">
        <f>MacReports!Q294</f>
        <v>0</v>
      </c>
      <c r="Q294" s="13" t="str">
        <f>IF(MacReports!K294="Enabled","Apple ID Lock","")</f>
        <v/>
      </c>
      <c r="R294" s="13" t="str">
        <f>IF(MacReports!M294="Remote Lock","Remote Locked","")</f>
        <v/>
      </c>
      <c r="S294" t="str">
        <f t="shared" si="16"/>
        <v>Battery Defect, 0</v>
      </c>
      <c r="T294" t="str">
        <f>_xlfn.XLOOKUP(B294,Disk_Pivot!G:G,Disk_Pivot!N:N)</f>
        <v>Pass, Fail</v>
      </c>
      <c r="U294" t="str">
        <f>IF(T294="Fail",MacReports!O294,"")</f>
        <v/>
      </c>
      <c r="AA294" t="str">
        <f t="shared" si="17"/>
        <v/>
      </c>
    </row>
    <row r="295" spans="1:27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str">
        <f>_xlfn.XLOOKUP(B295,MacReports!B:B,MacReports!E:E,"")</f>
        <v/>
      </c>
      <c r="F295" s="13">
        <f>MacReports!F295</f>
        <v>0</v>
      </c>
      <c r="G295" t="e">
        <f>_xlfn.XLOOKUP(F295,Models!A:A,Models!B:B)</f>
        <v>#N/A</v>
      </c>
      <c r="H295" t="e">
        <f>_xlfn.XLOOKUP(F295,Models!A:A,Models!E:E)</f>
        <v>#N/A</v>
      </c>
      <c r="I295" t="e">
        <f>_xlfn.XLOOKUP(F295,Models!A:A,Models!D:D)</f>
        <v>#N/A</v>
      </c>
      <c r="J295">
        <f>MacReports!G295</f>
        <v>0</v>
      </c>
      <c r="K295" s="59">
        <f>MacReports!H295</f>
        <v>0</v>
      </c>
      <c r="L295" t="str">
        <f t="shared" si="15"/>
        <v>0</v>
      </c>
      <c r="M295" s="15">
        <f>MacReports!I295</f>
        <v>0</v>
      </c>
      <c r="N295" s="16" t="str" cm="1">
        <f t="array" ref="N295">_xlfn.IFS(
   --MacReports!N295&lt;55,"Battery Defect",
  -- MacReports!N295&lt;=69,"Battery D",
  --MacReports!N295&lt;=80,"Battery C",
 --MacReports!N295&gt;80,""
)</f>
        <v>Battery Defect</v>
      </c>
      <c r="O295" s="16" t="str">
        <f>IF(MacReports!J295="Service","Battery Service","")</f>
        <v/>
      </c>
      <c r="P295" s="13">
        <f>MacReports!Q295</f>
        <v>0</v>
      </c>
      <c r="Q295" s="13" t="str">
        <f>IF(MacReports!K295="Enabled","Apple ID Lock","")</f>
        <v/>
      </c>
      <c r="R295" s="13" t="str">
        <f>IF(MacReports!M295="Remote Lock","Remote Locked","")</f>
        <v/>
      </c>
      <c r="S295" t="str">
        <f t="shared" si="16"/>
        <v>Battery Defect, 0</v>
      </c>
      <c r="T295" t="str">
        <f>_xlfn.XLOOKUP(B295,Disk_Pivot!G:G,Disk_Pivot!N:N)</f>
        <v>Pass, Fail</v>
      </c>
      <c r="U295" t="str">
        <f>IF(T295="Fail",MacReports!O295,"")</f>
        <v/>
      </c>
      <c r="AA295" t="str">
        <f t="shared" si="17"/>
        <v/>
      </c>
    </row>
    <row r="296" spans="1:27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str">
        <f>_xlfn.XLOOKUP(B296,MacReports!B:B,MacReports!E:E,"")</f>
        <v/>
      </c>
      <c r="F296" s="13">
        <f>MacReports!F296</f>
        <v>0</v>
      </c>
      <c r="G296" t="e">
        <f>_xlfn.XLOOKUP(F296,Models!A:A,Models!B:B)</f>
        <v>#N/A</v>
      </c>
      <c r="H296" t="e">
        <f>_xlfn.XLOOKUP(F296,Models!A:A,Models!E:E)</f>
        <v>#N/A</v>
      </c>
      <c r="I296" t="e">
        <f>_xlfn.XLOOKUP(F296,Models!A:A,Models!D:D)</f>
        <v>#N/A</v>
      </c>
      <c r="J296">
        <f>MacReports!G296</f>
        <v>0</v>
      </c>
      <c r="K296" s="59">
        <f>MacReports!H296</f>
        <v>0</v>
      </c>
      <c r="L296" t="str">
        <f t="shared" si="15"/>
        <v>0</v>
      </c>
      <c r="M296" s="15">
        <f>MacReports!I296</f>
        <v>0</v>
      </c>
      <c r="N296" s="16" t="str" cm="1">
        <f t="array" ref="N296">_xlfn.IFS(
   --MacReports!N296&lt;55,"Battery Defect",
  -- MacReports!N296&lt;=69,"Battery D",
  --MacReports!N296&lt;=80,"Battery C",
 --MacReports!N296&gt;80,""
)</f>
        <v>Battery Defect</v>
      </c>
      <c r="O296" s="16" t="str">
        <f>IF(MacReports!J296="Service","Battery Service","")</f>
        <v/>
      </c>
      <c r="P296" s="13">
        <f>MacReports!Q296</f>
        <v>0</v>
      </c>
      <c r="Q296" s="13" t="str">
        <f>IF(MacReports!K296="Enabled","Apple ID Lock","")</f>
        <v/>
      </c>
      <c r="R296" s="13" t="str">
        <f>IF(MacReports!M296="Remote Lock","Remote Locked","")</f>
        <v/>
      </c>
      <c r="S296" t="str">
        <f t="shared" si="16"/>
        <v>Battery Defect, 0</v>
      </c>
      <c r="T296" t="str">
        <f>_xlfn.XLOOKUP(B296,Disk_Pivot!G:G,Disk_Pivot!N:N)</f>
        <v>Pass, Fail</v>
      </c>
      <c r="U296" t="str">
        <f>IF(T296="Fail",MacReports!O296,"")</f>
        <v/>
      </c>
      <c r="AA296" t="str">
        <f t="shared" si="17"/>
        <v/>
      </c>
    </row>
    <row r="297" spans="1:27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str">
        <f>_xlfn.XLOOKUP(B297,MacReports!B:B,MacReports!E:E,"")</f>
        <v/>
      </c>
      <c r="F297" s="13">
        <f>MacReports!F297</f>
        <v>0</v>
      </c>
      <c r="G297" t="e">
        <f>_xlfn.XLOOKUP(F297,Models!A:A,Models!B:B)</f>
        <v>#N/A</v>
      </c>
      <c r="H297" t="e">
        <f>_xlfn.XLOOKUP(F297,Models!A:A,Models!E:E)</f>
        <v>#N/A</v>
      </c>
      <c r="I297" t="e">
        <f>_xlfn.XLOOKUP(F297,Models!A:A,Models!D:D)</f>
        <v>#N/A</v>
      </c>
      <c r="J297">
        <f>MacReports!G297</f>
        <v>0</v>
      </c>
      <c r="K297" s="59">
        <f>MacReports!H297</f>
        <v>0</v>
      </c>
      <c r="L297" t="str">
        <f t="shared" si="15"/>
        <v>0</v>
      </c>
      <c r="M297" s="15">
        <f>MacReports!I297</f>
        <v>0</v>
      </c>
      <c r="N297" s="16" t="str" cm="1">
        <f t="array" ref="N297">_xlfn.IFS(
   --MacReports!N297&lt;55,"Battery Defect",
  -- MacReports!N297&lt;=69,"Battery D",
  --MacReports!N297&lt;=80,"Battery C",
 --MacReports!N297&gt;80,""
)</f>
        <v>Battery Defect</v>
      </c>
      <c r="O297" s="16" t="str">
        <f>IF(MacReports!J297="Service","Battery Service","")</f>
        <v/>
      </c>
      <c r="P297" s="13">
        <f>MacReports!Q297</f>
        <v>0</v>
      </c>
      <c r="Q297" s="13" t="str">
        <f>IF(MacReports!K297="Enabled","Apple ID Lock","")</f>
        <v/>
      </c>
      <c r="R297" s="13" t="str">
        <f>IF(MacReports!M297="Remote Lock","Remote Locked","")</f>
        <v/>
      </c>
      <c r="S297" t="str">
        <f t="shared" si="16"/>
        <v>Battery Defect, 0</v>
      </c>
      <c r="T297" t="str">
        <f>_xlfn.XLOOKUP(B297,Disk_Pivot!G:G,Disk_Pivot!N:N)</f>
        <v>Pass, Fail</v>
      </c>
      <c r="U297" t="str">
        <f>IF(T297="Fail",MacReports!O297,"")</f>
        <v/>
      </c>
      <c r="AA297" t="str">
        <f t="shared" si="17"/>
        <v/>
      </c>
    </row>
    <row r="298" spans="1:27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str">
        <f>_xlfn.XLOOKUP(B298,MacReports!B:B,MacReports!E:E,"")</f>
        <v/>
      </c>
      <c r="F298" s="13">
        <f>MacReports!F298</f>
        <v>0</v>
      </c>
      <c r="G298" t="e">
        <f>_xlfn.XLOOKUP(F298,Models!A:A,Models!B:B)</f>
        <v>#N/A</v>
      </c>
      <c r="H298" t="e">
        <f>_xlfn.XLOOKUP(F298,Models!A:A,Models!E:E)</f>
        <v>#N/A</v>
      </c>
      <c r="I298" t="e">
        <f>_xlfn.XLOOKUP(F298,Models!A:A,Models!D:D)</f>
        <v>#N/A</v>
      </c>
      <c r="J298">
        <f>MacReports!G298</f>
        <v>0</v>
      </c>
      <c r="K298" s="59">
        <f>MacReports!H298</f>
        <v>0</v>
      </c>
      <c r="L298" t="str">
        <f t="shared" si="15"/>
        <v>0</v>
      </c>
      <c r="M298" s="15">
        <f>MacReports!I298</f>
        <v>0</v>
      </c>
      <c r="N298" s="16" t="str" cm="1">
        <f t="array" ref="N298">_xlfn.IFS(
   --MacReports!N298&lt;55,"Battery Defect",
  -- MacReports!N298&lt;=69,"Battery D",
  --MacReports!N298&lt;=80,"Battery C",
 --MacReports!N298&gt;80,""
)</f>
        <v>Battery Defect</v>
      </c>
      <c r="O298" s="16" t="str">
        <f>IF(MacReports!J298="Service","Battery Service","")</f>
        <v/>
      </c>
      <c r="P298" s="13">
        <f>MacReports!Q298</f>
        <v>0</v>
      </c>
      <c r="Q298" s="13" t="str">
        <f>IF(MacReports!K298="Enabled","Apple ID Lock","")</f>
        <v/>
      </c>
      <c r="R298" s="13" t="str">
        <f>IF(MacReports!M298="Remote Lock","Remote Locked","")</f>
        <v/>
      </c>
      <c r="S298" t="str">
        <f t="shared" si="16"/>
        <v>Battery Defect, 0</v>
      </c>
      <c r="T298" t="str">
        <f>_xlfn.XLOOKUP(B298,Disk_Pivot!G:G,Disk_Pivot!N:N)</f>
        <v>Pass, Fail</v>
      </c>
      <c r="U298" t="str">
        <f>IF(T298="Fail",MacReports!O298,"")</f>
        <v/>
      </c>
      <c r="AA298" t="str">
        <f t="shared" si="17"/>
        <v/>
      </c>
    </row>
    <row r="299" spans="1:27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str">
        <f>_xlfn.XLOOKUP(B299,MacReports!B:B,MacReports!E:E,"")</f>
        <v/>
      </c>
      <c r="F299" s="13">
        <f>MacReports!F299</f>
        <v>0</v>
      </c>
      <c r="G299" t="e">
        <f>_xlfn.XLOOKUP(F299,Models!A:A,Models!B:B)</f>
        <v>#N/A</v>
      </c>
      <c r="H299" t="e">
        <f>_xlfn.XLOOKUP(F299,Models!A:A,Models!E:E)</f>
        <v>#N/A</v>
      </c>
      <c r="I299" t="e">
        <f>_xlfn.XLOOKUP(F299,Models!A:A,Models!D:D)</f>
        <v>#N/A</v>
      </c>
      <c r="J299">
        <f>MacReports!G299</f>
        <v>0</v>
      </c>
      <c r="K299" s="59">
        <f>MacReports!H299</f>
        <v>0</v>
      </c>
      <c r="L299" t="str">
        <f t="shared" si="15"/>
        <v>0</v>
      </c>
      <c r="M299" s="15">
        <f>MacReports!I299</f>
        <v>0</v>
      </c>
      <c r="N299" s="16" t="str" cm="1">
        <f t="array" ref="N299">_xlfn.IFS(
   --MacReports!N299&lt;55,"Battery Defect",
  -- MacReports!N299&lt;=69,"Battery D",
  --MacReports!N299&lt;=80,"Battery C",
 --MacReports!N299&gt;80,""
)</f>
        <v>Battery Defect</v>
      </c>
      <c r="O299" s="16" t="str">
        <f>IF(MacReports!J299="Service","Battery Service","")</f>
        <v/>
      </c>
      <c r="P299" s="13">
        <f>MacReports!Q299</f>
        <v>0</v>
      </c>
      <c r="Q299" s="13" t="str">
        <f>IF(MacReports!K299="Enabled","Apple ID Lock","")</f>
        <v/>
      </c>
      <c r="R299" s="13" t="str">
        <f>IF(MacReports!M299="Remote Lock","Remote Locked","")</f>
        <v/>
      </c>
      <c r="S299" t="str">
        <f t="shared" si="16"/>
        <v>Battery Defect, 0</v>
      </c>
      <c r="T299" t="str">
        <f>_xlfn.XLOOKUP(B299,Disk_Pivot!G:G,Disk_Pivot!N:N)</f>
        <v>Pass, Fail</v>
      </c>
      <c r="U299" t="str">
        <f>IF(T299="Fail",MacReports!O299,"")</f>
        <v/>
      </c>
      <c r="AA299" t="str">
        <f t="shared" si="17"/>
        <v/>
      </c>
    </row>
    <row r="300" spans="1:27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str">
        <f>_xlfn.XLOOKUP(B300,MacReports!B:B,MacReports!E:E,"")</f>
        <v/>
      </c>
      <c r="F300" s="13">
        <f>MacReports!F300</f>
        <v>0</v>
      </c>
      <c r="G300" t="e">
        <f>_xlfn.XLOOKUP(F300,Models!A:A,Models!B:B)</f>
        <v>#N/A</v>
      </c>
      <c r="H300" t="e">
        <f>_xlfn.XLOOKUP(F300,Models!A:A,Models!E:E)</f>
        <v>#N/A</v>
      </c>
      <c r="I300" t="e">
        <f>_xlfn.XLOOKUP(F300,Models!A:A,Models!D:D)</f>
        <v>#N/A</v>
      </c>
      <c r="J300">
        <f>MacReports!G300</f>
        <v>0</v>
      </c>
      <c r="K300" s="59">
        <f>MacReports!H300</f>
        <v>0</v>
      </c>
      <c r="L300" t="str">
        <f t="shared" si="15"/>
        <v>0</v>
      </c>
      <c r="M300" s="15">
        <f>MacReports!I300</f>
        <v>0</v>
      </c>
      <c r="N300" s="16" t="str" cm="1">
        <f t="array" ref="N300">_xlfn.IFS(
   --MacReports!N300&lt;55,"Battery Defect",
  -- MacReports!N300&lt;=69,"Battery D",
  --MacReports!N300&lt;=80,"Battery C",
 --MacReports!N300&gt;80,""
)</f>
        <v>Battery Defect</v>
      </c>
      <c r="O300" s="16" t="str">
        <f>IF(MacReports!J300="Service","Battery Service","")</f>
        <v/>
      </c>
      <c r="P300" s="13">
        <f>MacReports!Q300</f>
        <v>0</v>
      </c>
      <c r="Q300" s="13" t="str">
        <f>IF(MacReports!K300="Enabled","Apple ID Lock","")</f>
        <v/>
      </c>
      <c r="R300" s="13" t="str">
        <f>IF(MacReports!M300="Remote Lock","Remote Locked","")</f>
        <v/>
      </c>
      <c r="S300" t="str">
        <f t="shared" si="16"/>
        <v>Battery Defect, 0</v>
      </c>
      <c r="T300" t="str">
        <f>_xlfn.XLOOKUP(B300,Disk_Pivot!G:G,Disk_Pivot!N:N)</f>
        <v>Pass, Fail</v>
      </c>
      <c r="U300" t="str">
        <f>IF(T300="Fail",MacReports!O300,"")</f>
        <v/>
      </c>
      <c r="AA300" t="str">
        <f t="shared" si="17"/>
        <v/>
      </c>
    </row>
    <row r="301" spans="1:27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str">
        <f>_xlfn.XLOOKUP(B301,MacReports!B:B,MacReports!E:E,"")</f>
        <v/>
      </c>
      <c r="F301" s="13">
        <f>MacReports!F301</f>
        <v>0</v>
      </c>
      <c r="G301" t="e">
        <f>_xlfn.XLOOKUP(F301,Models!A:A,Models!B:B)</f>
        <v>#N/A</v>
      </c>
      <c r="H301" t="e">
        <f>_xlfn.XLOOKUP(F301,Models!A:A,Models!E:E)</f>
        <v>#N/A</v>
      </c>
      <c r="I301" t="e">
        <f>_xlfn.XLOOKUP(F301,Models!A:A,Models!D:D)</f>
        <v>#N/A</v>
      </c>
      <c r="J301">
        <f>MacReports!G301</f>
        <v>0</v>
      </c>
      <c r="K301" s="59">
        <f>MacReports!H301</f>
        <v>0</v>
      </c>
      <c r="L301" t="str">
        <f t="shared" si="15"/>
        <v>0</v>
      </c>
      <c r="M301" s="15">
        <f>MacReports!I301</f>
        <v>0</v>
      </c>
      <c r="N301" s="16" t="str" cm="1">
        <f t="array" ref="N301">_xlfn.IFS(
   --MacReports!N301&lt;55,"Battery Defect",
  -- MacReports!N301&lt;=69,"Battery D",
  --MacReports!N301&lt;=80,"Battery C",
 --MacReports!N301&gt;80,""
)</f>
        <v>Battery Defect</v>
      </c>
      <c r="O301" s="16" t="str">
        <f>IF(MacReports!J301="Service","Battery Service","")</f>
        <v/>
      </c>
      <c r="P301" s="13">
        <f>MacReports!Q301</f>
        <v>0</v>
      </c>
      <c r="Q301" s="13" t="str">
        <f>IF(MacReports!K301="Enabled","Apple ID Lock","")</f>
        <v/>
      </c>
      <c r="R301" s="13" t="str">
        <f>IF(MacReports!M301="Remote Lock","Remote Locked","")</f>
        <v/>
      </c>
      <c r="S301" t="str">
        <f t="shared" si="16"/>
        <v>Battery Defect, 0</v>
      </c>
      <c r="T301" t="str">
        <f>_xlfn.XLOOKUP(B301,Disk_Pivot!G:G,Disk_Pivot!N:N)</f>
        <v>Pass, Fail</v>
      </c>
      <c r="U301" t="str">
        <f>IF(T301="Fail",MacReports!O301,"")</f>
        <v/>
      </c>
      <c r="AA301" t="str">
        <f t="shared" si="17"/>
        <v/>
      </c>
    </row>
    <row r="302" spans="1:27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str">
        <f>_xlfn.XLOOKUP(B302,MacReports!B:B,MacReports!E:E,"")</f>
        <v/>
      </c>
      <c r="F302" s="13">
        <f>MacReports!F302</f>
        <v>0</v>
      </c>
      <c r="G302" t="e">
        <f>_xlfn.XLOOKUP(F302,Models!A:A,Models!B:B)</f>
        <v>#N/A</v>
      </c>
      <c r="H302" t="e">
        <f>_xlfn.XLOOKUP(F302,Models!A:A,Models!E:E)</f>
        <v>#N/A</v>
      </c>
      <c r="I302" t="e">
        <f>_xlfn.XLOOKUP(F302,Models!A:A,Models!D:D)</f>
        <v>#N/A</v>
      </c>
      <c r="J302">
        <f>MacReports!G302</f>
        <v>0</v>
      </c>
      <c r="K302" s="59">
        <f>MacReports!H302</f>
        <v>0</v>
      </c>
      <c r="L302" t="str">
        <f t="shared" si="15"/>
        <v>0</v>
      </c>
      <c r="M302" s="15">
        <f>MacReports!I302</f>
        <v>0</v>
      </c>
      <c r="N302" s="16" t="str" cm="1">
        <f t="array" ref="N302">_xlfn.IFS(
   --MacReports!N302&lt;55,"Battery Defect",
  -- MacReports!N302&lt;=69,"Battery D",
  --MacReports!N302&lt;=80,"Battery C",
 --MacReports!N302&gt;80,""
)</f>
        <v>Battery Defect</v>
      </c>
      <c r="O302" s="16" t="str">
        <f>IF(MacReports!J302="Service","Battery Service","")</f>
        <v/>
      </c>
      <c r="P302" s="13">
        <f>MacReports!Q302</f>
        <v>0</v>
      </c>
      <c r="Q302" s="13" t="str">
        <f>IF(MacReports!K302="Enabled","Apple ID Lock","")</f>
        <v/>
      </c>
      <c r="R302" s="13" t="str">
        <f>IF(MacReports!M302="Remote Lock","Remote Locked","")</f>
        <v/>
      </c>
      <c r="S302" t="str">
        <f t="shared" si="16"/>
        <v>Battery Defect, 0</v>
      </c>
      <c r="T302" t="str">
        <f>_xlfn.XLOOKUP(B302,Disk_Pivot!G:G,Disk_Pivot!N:N)</f>
        <v>Pass, Fail</v>
      </c>
      <c r="U302" t="str">
        <f>IF(T302="Fail",MacReports!O302,"")</f>
        <v/>
      </c>
      <c r="AA302" t="str">
        <f t="shared" si="17"/>
        <v/>
      </c>
    </row>
    <row r="303" spans="1:27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str">
        <f>_xlfn.XLOOKUP(B303,MacReports!B:B,MacReports!E:E,"")</f>
        <v/>
      </c>
      <c r="F303" s="13">
        <f>MacReports!F303</f>
        <v>0</v>
      </c>
      <c r="G303" t="e">
        <f>_xlfn.XLOOKUP(F303,Models!A:A,Models!B:B)</f>
        <v>#N/A</v>
      </c>
      <c r="H303" t="e">
        <f>_xlfn.XLOOKUP(F303,Models!A:A,Models!E:E)</f>
        <v>#N/A</v>
      </c>
      <c r="I303" t="e">
        <f>_xlfn.XLOOKUP(F303,Models!A:A,Models!D:D)</f>
        <v>#N/A</v>
      </c>
      <c r="J303">
        <f>MacReports!G303</f>
        <v>0</v>
      </c>
      <c r="K303" s="59">
        <f>MacReports!H303</f>
        <v>0</v>
      </c>
      <c r="L303" t="str">
        <f t="shared" si="15"/>
        <v>0</v>
      </c>
      <c r="M303" s="15">
        <f>MacReports!I303</f>
        <v>0</v>
      </c>
      <c r="N303" s="16" t="str" cm="1">
        <f t="array" ref="N303">_xlfn.IFS(
   --MacReports!N303&lt;55,"Battery Defect",
  -- MacReports!N303&lt;=69,"Battery D",
  --MacReports!N303&lt;=80,"Battery C",
 --MacReports!N303&gt;80,""
)</f>
        <v>Battery Defect</v>
      </c>
      <c r="O303" s="16" t="str">
        <f>IF(MacReports!J303="Service","Battery Service","")</f>
        <v/>
      </c>
      <c r="P303" s="13">
        <f>MacReports!Q303</f>
        <v>0</v>
      </c>
      <c r="Q303" s="13" t="str">
        <f>IF(MacReports!K303="Enabled","Apple ID Lock","")</f>
        <v/>
      </c>
      <c r="R303" s="13" t="str">
        <f>IF(MacReports!M303="Remote Lock","Remote Locked","")</f>
        <v/>
      </c>
      <c r="S303" t="str">
        <f t="shared" si="16"/>
        <v>Battery Defect, 0</v>
      </c>
      <c r="T303" t="str">
        <f>_xlfn.XLOOKUP(B303,Disk_Pivot!G:G,Disk_Pivot!N:N)</f>
        <v>Pass, Fail</v>
      </c>
      <c r="U303" t="str">
        <f>IF(T303="Fail",MacReports!O303,"")</f>
        <v/>
      </c>
      <c r="AA303" t="str">
        <f t="shared" si="17"/>
        <v/>
      </c>
    </row>
    <row r="304" spans="1:27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str">
        <f>_xlfn.XLOOKUP(B304,MacReports!B:B,MacReports!E:E,"")</f>
        <v/>
      </c>
      <c r="F304" s="13">
        <f>MacReports!F304</f>
        <v>0</v>
      </c>
      <c r="G304" t="e">
        <f>_xlfn.XLOOKUP(F304,Models!A:A,Models!B:B)</f>
        <v>#N/A</v>
      </c>
      <c r="H304" t="e">
        <f>_xlfn.XLOOKUP(F304,Models!A:A,Models!E:E)</f>
        <v>#N/A</v>
      </c>
      <c r="I304" t="e">
        <f>_xlfn.XLOOKUP(F304,Models!A:A,Models!D:D)</f>
        <v>#N/A</v>
      </c>
      <c r="J304">
        <f>MacReports!G304</f>
        <v>0</v>
      </c>
      <c r="K304" s="59">
        <f>MacReports!H304</f>
        <v>0</v>
      </c>
      <c r="L304" t="str">
        <f t="shared" si="15"/>
        <v>0</v>
      </c>
      <c r="M304" s="15">
        <f>MacReports!I304</f>
        <v>0</v>
      </c>
      <c r="N304" s="16" t="str" cm="1">
        <f t="array" ref="N304">_xlfn.IFS(
   --MacReports!N304&lt;55,"Battery Defect",
  -- MacReports!N304&lt;=69,"Battery D",
  --MacReports!N304&lt;=80,"Battery C",
 --MacReports!N304&gt;80,""
)</f>
        <v>Battery Defect</v>
      </c>
      <c r="O304" s="16" t="str">
        <f>IF(MacReports!J304="Service","Battery Service","")</f>
        <v/>
      </c>
      <c r="P304" s="13">
        <f>MacReports!Q304</f>
        <v>0</v>
      </c>
      <c r="Q304" s="13" t="str">
        <f>IF(MacReports!K304="Enabled","Apple ID Lock","")</f>
        <v/>
      </c>
      <c r="R304" s="13" t="str">
        <f>IF(MacReports!M304="Remote Lock","Remote Locked","")</f>
        <v/>
      </c>
      <c r="S304" t="str">
        <f t="shared" si="16"/>
        <v>Battery Defect, 0</v>
      </c>
      <c r="T304" t="str">
        <f>_xlfn.XLOOKUP(B304,Disk_Pivot!G:G,Disk_Pivot!N:N)</f>
        <v>Pass, Fail</v>
      </c>
      <c r="U304" t="str">
        <f>IF(T304="Fail",MacReports!O304,"")</f>
        <v/>
      </c>
      <c r="AA304" t="str">
        <f t="shared" si="17"/>
        <v/>
      </c>
    </row>
    <row r="305" spans="1:27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str">
        <f>_xlfn.XLOOKUP(B305,MacReports!B:B,MacReports!E:E,"")</f>
        <v/>
      </c>
      <c r="F305" s="13">
        <f>MacReports!F305</f>
        <v>0</v>
      </c>
      <c r="G305" t="e">
        <f>_xlfn.XLOOKUP(F305,Models!A:A,Models!B:B)</f>
        <v>#N/A</v>
      </c>
      <c r="H305" t="e">
        <f>_xlfn.XLOOKUP(F305,Models!A:A,Models!E:E)</f>
        <v>#N/A</v>
      </c>
      <c r="I305" t="e">
        <f>_xlfn.XLOOKUP(F305,Models!A:A,Models!D:D)</f>
        <v>#N/A</v>
      </c>
      <c r="J305">
        <f>MacReports!G305</f>
        <v>0</v>
      </c>
      <c r="K305" s="59">
        <f>MacReports!H305</f>
        <v>0</v>
      </c>
      <c r="L305" t="str">
        <f t="shared" si="15"/>
        <v>0</v>
      </c>
      <c r="M305" s="15">
        <f>MacReports!I305</f>
        <v>0</v>
      </c>
      <c r="N305" s="16" t="str" cm="1">
        <f t="array" ref="N305">_xlfn.IFS(
   --MacReports!N305&lt;55,"Battery Defect",
  -- MacReports!N305&lt;=69,"Battery D",
  --MacReports!N305&lt;=80,"Battery C",
 --MacReports!N305&gt;80,""
)</f>
        <v>Battery Defect</v>
      </c>
      <c r="O305" s="16" t="str">
        <f>IF(MacReports!J305="Service","Battery Service","")</f>
        <v/>
      </c>
      <c r="P305" s="13">
        <f>MacReports!Q305</f>
        <v>0</v>
      </c>
      <c r="Q305" s="13" t="str">
        <f>IF(MacReports!K305="Enabled","Apple ID Lock","")</f>
        <v/>
      </c>
      <c r="R305" s="13" t="str">
        <f>IF(MacReports!M305="Remote Lock","Remote Locked","")</f>
        <v/>
      </c>
      <c r="S305" t="str">
        <f t="shared" si="16"/>
        <v>Battery Defect, 0</v>
      </c>
      <c r="T305" t="str">
        <f>_xlfn.XLOOKUP(B305,Disk_Pivot!G:G,Disk_Pivot!N:N)</f>
        <v>Pass, Fail</v>
      </c>
      <c r="U305" t="str">
        <f>IF(T305="Fail",MacReports!O305,"")</f>
        <v/>
      </c>
      <c r="AA305" t="str">
        <f t="shared" si="17"/>
        <v/>
      </c>
    </row>
    <row r="306" spans="1:27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str">
        <f>_xlfn.XLOOKUP(B306,MacReports!B:B,MacReports!E:E,"")</f>
        <v/>
      </c>
      <c r="F306" s="13">
        <f>MacReports!F306</f>
        <v>0</v>
      </c>
      <c r="G306" t="e">
        <f>_xlfn.XLOOKUP(F306,Models!A:A,Models!B:B)</f>
        <v>#N/A</v>
      </c>
      <c r="H306" t="e">
        <f>_xlfn.XLOOKUP(F306,Models!A:A,Models!E:E)</f>
        <v>#N/A</v>
      </c>
      <c r="I306" t="e">
        <f>_xlfn.XLOOKUP(F306,Models!A:A,Models!D:D)</f>
        <v>#N/A</v>
      </c>
      <c r="J306">
        <f>MacReports!G306</f>
        <v>0</v>
      </c>
      <c r="K306" s="59">
        <f>MacReports!H306</f>
        <v>0</v>
      </c>
      <c r="L306" t="str">
        <f t="shared" si="15"/>
        <v>0</v>
      </c>
      <c r="M306" s="15">
        <f>MacReports!I306</f>
        <v>0</v>
      </c>
      <c r="N306" s="16" t="str" cm="1">
        <f t="array" ref="N306">_xlfn.IFS(
   --MacReports!N306&lt;55,"Battery Defect",
  -- MacReports!N306&lt;=69,"Battery D",
  --MacReports!N306&lt;=80,"Battery C",
 --MacReports!N306&gt;80,""
)</f>
        <v>Battery Defect</v>
      </c>
      <c r="O306" s="16" t="str">
        <f>IF(MacReports!J306="Service","Battery Service","")</f>
        <v/>
      </c>
      <c r="P306" s="13">
        <f>MacReports!Q306</f>
        <v>0</v>
      </c>
      <c r="Q306" s="13" t="str">
        <f>IF(MacReports!K306="Enabled","Apple ID Lock","")</f>
        <v/>
      </c>
      <c r="R306" s="13" t="str">
        <f>IF(MacReports!M306="Remote Lock","Remote Locked","")</f>
        <v/>
      </c>
      <c r="S306" t="str">
        <f t="shared" si="16"/>
        <v>Battery Defect, 0</v>
      </c>
      <c r="T306" t="str">
        <f>_xlfn.XLOOKUP(B306,Disk_Pivot!G:G,Disk_Pivot!N:N)</f>
        <v>Pass, Fail</v>
      </c>
      <c r="U306" t="str">
        <f>IF(T306="Fail",MacReports!O306,"")</f>
        <v/>
      </c>
      <c r="AA306" t="str">
        <f t="shared" si="17"/>
        <v/>
      </c>
    </row>
    <row r="307" spans="1:27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str">
        <f>_xlfn.XLOOKUP(B307,MacReports!B:B,MacReports!E:E,"")</f>
        <v/>
      </c>
      <c r="F307" s="13">
        <f>MacReports!F307</f>
        <v>0</v>
      </c>
      <c r="G307" t="e">
        <f>_xlfn.XLOOKUP(F307,Models!A:A,Models!B:B)</f>
        <v>#N/A</v>
      </c>
      <c r="H307" t="e">
        <f>_xlfn.XLOOKUP(F307,Models!A:A,Models!E:E)</f>
        <v>#N/A</v>
      </c>
      <c r="I307" t="e">
        <f>_xlfn.XLOOKUP(F307,Models!A:A,Models!D:D)</f>
        <v>#N/A</v>
      </c>
      <c r="J307">
        <f>MacReports!G307</f>
        <v>0</v>
      </c>
      <c r="K307" s="59">
        <f>MacReports!H307</f>
        <v>0</v>
      </c>
      <c r="L307" t="str">
        <f t="shared" si="15"/>
        <v>0</v>
      </c>
      <c r="M307" s="15">
        <f>MacReports!I307</f>
        <v>0</v>
      </c>
      <c r="N307" s="16" t="str" cm="1">
        <f t="array" ref="N307">_xlfn.IFS(
   --MacReports!N307&lt;55,"Battery Defect",
  -- MacReports!N307&lt;=69,"Battery D",
  --MacReports!N307&lt;=80,"Battery C",
 --MacReports!N307&gt;80,""
)</f>
        <v>Battery Defect</v>
      </c>
      <c r="O307" s="16" t="str">
        <f>IF(MacReports!J307="Service","Battery Service","")</f>
        <v/>
      </c>
      <c r="P307" s="13">
        <f>MacReports!Q307</f>
        <v>0</v>
      </c>
      <c r="Q307" s="13" t="str">
        <f>IF(MacReports!K307="Enabled","Apple ID Lock","")</f>
        <v/>
      </c>
      <c r="R307" s="13" t="str">
        <f>IF(MacReports!M307="Remote Lock","Remote Locked","")</f>
        <v/>
      </c>
      <c r="S307" t="str">
        <f t="shared" si="16"/>
        <v>Battery Defect, 0</v>
      </c>
      <c r="T307" t="str">
        <f>_xlfn.XLOOKUP(B307,Disk_Pivot!G:G,Disk_Pivot!N:N)</f>
        <v>Pass, Fail</v>
      </c>
      <c r="U307" t="str">
        <f>IF(T307="Fail",MacReports!O307,"")</f>
        <v/>
      </c>
      <c r="AA307" t="str">
        <f t="shared" si="17"/>
        <v/>
      </c>
    </row>
    <row r="308" spans="1:27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str">
        <f>_xlfn.XLOOKUP(B308,MacReports!B:B,MacReports!E:E,"")</f>
        <v/>
      </c>
      <c r="F308" s="13">
        <f>MacReports!F308</f>
        <v>0</v>
      </c>
      <c r="G308" t="e">
        <f>_xlfn.XLOOKUP(F308,Models!A:A,Models!B:B)</f>
        <v>#N/A</v>
      </c>
      <c r="H308" t="e">
        <f>_xlfn.XLOOKUP(F308,Models!A:A,Models!E:E)</f>
        <v>#N/A</v>
      </c>
      <c r="I308" t="e">
        <f>_xlfn.XLOOKUP(F308,Models!A:A,Models!D:D)</f>
        <v>#N/A</v>
      </c>
      <c r="J308">
        <f>MacReports!G308</f>
        <v>0</v>
      </c>
      <c r="K308" s="59">
        <f>MacReports!H308</f>
        <v>0</v>
      </c>
      <c r="L308" t="str">
        <f t="shared" si="15"/>
        <v>0</v>
      </c>
      <c r="M308" s="15">
        <f>MacReports!I308</f>
        <v>0</v>
      </c>
      <c r="N308" s="16" t="str" cm="1">
        <f t="array" ref="N308">_xlfn.IFS(
   --MacReports!N308&lt;55,"Battery Defect",
  -- MacReports!N308&lt;=69,"Battery D",
  --MacReports!N308&lt;=80,"Battery C",
 --MacReports!N308&gt;80,""
)</f>
        <v>Battery Defect</v>
      </c>
      <c r="O308" s="16" t="str">
        <f>IF(MacReports!J308="Service","Battery Service","")</f>
        <v/>
      </c>
      <c r="P308" s="13">
        <f>MacReports!Q308</f>
        <v>0</v>
      </c>
      <c r="Q308" s="13" t="str">
        <f>IF(MacReports!K308="Enabled","Apple ID Lock","")</f>
        <v/>
      </c>
      <c r="R308" s="13" t="str">
        <f>IF(MacReports!M308="Remote Lock","Remote Locked","")</f>
        <v/>
      </c>
      <c r="S308" t="str">
        <f t="shared" si="16"/>
        <v>Battery Defect, 0</v>
      </c>
      <c r="T308" t="str">
        <f>_xlfn.XLOOKUP(B308,Disk_Pivot!G:G,Disk_Pivot!N:N)</f>
        <v>Pass, Fail</v>
      </c>
      <c r="U308" t="str">
        <f>IF(T308="Fail",MacReports!O308,"")</f>
        <v/>
      </c>
      <c r="AA308" t="str">
        <f t="shared" si="17"/>
        <v/>
      </c>
    </row>
    <row r="309" spans="1:27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str">
        <f>_xlfn.XLOOKUP(B309,MacReports!B:B,MacReports!E:E,"")</f>
        <v/>
      </c>
      <c r="F309" s="13">
        <f>MacReports!F309</f>
        <v>0</v>
      </c>
      <c r="G309" t="e">
        <f>_xlfn.XLOOKUP(F309,Models!A:A,Models!B:B)</f>
        <v>#N/A</v>
      </c>
      <c r="H309" t="e">
        <f>_xlfn.XLOOKUP(F309,Models!A:A,Models!E:E)</f>
        <v>#N/A</v>
      </c>
      <c r="I309" t="e">
        <f>_xlfn.XLOOKUP(F309,Models!A:A,Models!D:D)</f>
        <v>#N/A</v>
      </c>
      <c r="J309">
        <f>MacReports!G309</f>
        <v>0</v>
      </c>
      <c r="K309" s="59">
        <f>MacReports!H309</f>
        <v>0</v>
      </c>
      <c r="L309" t="str">
        <f t="shared" si="15"/>
        <v>0</v>
      </c>
      <c r="M309" s="15">
        <f>MacReports!I309</f>
        <v>0</v>
      </c>
      <c r="N309" s="16" t="str" cm="1">
        <f t="array" ref="N309">_xlfn.IFS(
   --MacReports!N309&lt;55,"Battery Defect",
  -- MacReports!N309&lt;=69,"Battery D",
  --MacReports!N309&lt;=80,"Battery C",
 --MacReports!N309&gt;80,""
)</f>
        <v>Battery Defect</v>
      </c>
      <c r="O309" s="16" t="str">
        <f>IF(MacReports!J309="Service","Battery Service","")</f>
        <v/>
      </c>
      <c r="P309" s="13">
        <f>MacReports!Q309</f>
        <v>0</v>
      </c>
      <c r="Q309" s="13" t="str">
        <f>IF(MacReports!K309="Enabled","Apple ID Lock","")</f>
        <v/>
      </c>
      <c r="R309" s="13" t="str">
        <f>IF(MacReports!M309="Remote Lock","Remote Locked","")</f>
        <v/>
      </c>
      <c r="S309" t="str">
        <f t="shared" si="16"/>
        <v>Battery Defect, 0</v>
      </c>
      <c r="T309" t="str">
        <f>_xlfn.XLOOKUP(B309,Disk_Pivot!G:G,Disk_Pivot!N:N)</f>
        <v>Pass, Fail</v>
      </c>
      <c r="U309" t="str">
        <f>IF(T309="Fail",MacReports!O309,"")</f>
        <v/>
      </c>
      <c r="AA309" t="str">
        <f t="shared" si="17"/>
        <v/>
      </c>
    </row>
    <row r="310" spans="1:27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str">
        <f>_xlfn.XLOOKUP(B310,MacReports!B:B,MacReports!E:E,"")</f>
        <v/>
      </c>
      <c r="F310" s="13">
        <f>MacReports!F310</f>
        <v>0</v>
      </c>
      <c r="G310" t="e">
        <f>_xlfn.XLOOKUP(F310,Models!A:A,Models!B:B)</f>
        <v>#N/A</v>
      </c>
      <c r="H310" t="e">
        <f>_xlfn.XLOOKUP(F310,Models!A:A,Models!E:E)</f>
        <v>#N/A</v>
      </c>
      <c r="I310" t="e">
        <f>_xlfn.XLOOKUP(F310,Models!A:A,Models!D:D)</f>
        <v>#N/A</v>
      </c>
      <c r="J310">
        <f>MacReports!G310</f>
        <v>0</v>
      </c>
      <c r="K310" s="59">
        <f>MacReports!H310</f>
        <v>0</v>
      </c>
      <c r="L310" t="str">
        <f t="shared" si="15"/>
        <v>0</v>
      </c>
      <c r="M310" s="15">
        <f>MacReports!I310</f>
        <v>0</v>
      </c>
      <c r="N310" s="16" t="str" cm="1">
        <f t="array" ref="N310">_xlfn.IFS(
   --MacReports!N310&lt;55,"Battery Defect",
  -- MacReports!N310&lt;=69,"Battery D",
  --MacReports!N310&lt;=80,"Battery C",
 --MacReports!N310&gt;80,""
)</f>
        <v>Battery Defect</v>
      </c>
      <c r="O310" s="16" t="str">
        <f>IF(MacReports!J310="Service","Battery Service","")</f>
        <v/>
      </c>
      <c r="P310" s="13">
        <f>MacReports!Q310</f>
        <v>0</v>
      </c>
      <c r="Q310" s="13" t="str">
        <f>IF(MacReports!K310="Enabled","Apple ID Lock","")</f>
        <v/>
      </c>
      <c r="R310" s="13" t="str">
        <f>IF(MacReports!M310="Remote Lock","Remote Locked","")</f>
        <v/>
      </c>
      <c r="S310" t="str">
        <f t="shared" si="16"/>
        <v>Battery Defect, 0</v>
      </c>
      <c r="T310" t="str">
        <f>_xlfn.XLOOKUP(B310,Disk_Pivot!G:G,Disk_Pivot!N:N)</f>
        <v>Pass, Fail</v>
      </c>
      <c r="U310" t="str">
        <f>IF(T310="Fail",MacReports!O310,"")</f>
        <v/>
      </c>
      <c r="AA310" t="str">
        <f t="shared" si="17"/>
        <v/>
      </c>
    </row>
    <row r="311" spans="1:27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str">
        <f>_xlfn.XLOOKUP(B311,MacReports!B:B,MacReports!E:E,"")</f>
        <v/>
      </c>
      <c r="F311" s="13">
        <f>MacReports!F311</f>
        <v>0</v>
      </c>
      <c r="G311" t="e">
        <f>_xlfn.XLOOKUP(F311,Models!A:A,Models!B:B)</f>
        <v>#N/A</v>
      </c>
      <c r="H311" t="e">
        <f>_xlfn.XLOOKUP(F311,Models!A:A,Models!E:E)</f>
        <v>#N/A</v>
      </c>
      <c r="I311" t="e">
        <f>_xlfn.XLOOKUP(F311,Models!A:A,Models!D:D)</f>
        <v>#N/A</v>
      </c>
      <c r="J311">
        <f>MacReports!G311</f>
        <v>0</v>
      </c>
      <c r="K311" s="59">
        <f>MacReports!H311</f>
        <v>0</v>
      </c>
      <c r="L311" t="str">
        <f t="shared" si="15"/>
        <v>0</v>
      </c>
      <c r="M311" s="15">
        <f>MacReports!I311</f>
        <v>0</v>
      </c>
      <c r="N311" s="16" t="str" cm="1">
        <f t="array" ref="N311">_xlfn.IFS(
   --MacReports!N311&lt;55,"Battery Defect",
  -- MacReports!N311&lt;=69,"Battery D",
  --MacReports!N311&lt;=80,"Battery C",
 --MacReports!N311&gt;80,""
)</f>
        <v>Battery Defect</v>
      </c>
      <c r="O311" s="16" t="str">
        <f>IF(MacReports!J311="Service","Battery Service","")</f>
        <v/>
      </c>
      <c r="P311" s="13">
        <f>MacReports!Q311</f>
        <v>0</v>
      </c>
      <c r="Q311" s="13" t="str">
        <f>IF(MacReports!K311="Enabled","Apple ID Lock","")</f>
        <v/>
      </c>
      <c r="R311" s="13" t="str">
        <f>IF(MacReports!M311="Remote Lock","Remote Locked","")</f>
        <v/>
      </c>
      <c r="S311" t="str">
        <f t="shared" si="16"/>
        <v>Battery Defect, 0</v>
      </c>
      <c r="T311" t="str">
        <f>_xlfn.XLOOKUP(B311,Disk_Pivot!G:G,Disk_Pivot!N:N)</f>
        <v>Pass, Fail</v>
      </c>
      <c r="U311" t="str">
        <f>IF(T311="Fail",MacReports!O311,"")</f>
        <v/>
      </c>
      <c r="AA311" t="str">
        <f t="shared" si="17"/>
        <v/>
      </c>
    </row>
    <row r="312" spans="1:27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str">
        <f>_xlfn.XLOOKUP(B312,MacReports!B:B,MacReports!E:E,"")</f>
        <v/>
      </c>
      <c r="F312" s="13">
        <f>MacReports!F312</f>
        <v>0</v>
      </c>
      <c r="G312" t="e">
        <f>_xlfn.XLOOKUP(F312,Models!A:A,Models!B:B)</f>
        <v>#N/A</v>
      </c>
      <c r="H312" t="e">
        <f>_xlfn.XLOOKUP(F312,Models!A:A,Models!E:E)</f>
        <v>#N/A</v>
      </c>
      <c r="I312" t="e">
        <f>_xlfn.XLOOKUP(F312,Models!A:A,Models!D:D)</f>
        <v>#N/A</v>
      </c>
      <c r="J312">
        <f>MacReports!G312</f>
        <v>0</v>
      </c>
      <c r="K312" s="59">
        <f>MacReports!H312</f>
        <v>0</v>
      </c>
      <c r="L312" t="str">
        <f t="shared" si="15"/>
        <v>0</v>
      </c>
      <c r="M312" s="15">
        <f>MacReports!I312</f>
        <v>0</v>
      </c>
      <c r="N312" s="16" t="str" cm="1">
        <f t="array" ref="N312">_xlfn.IFS(
   --MacReports!N312&lt;55,"Battery Defect",
  -- MacReports!N312&lt;=69,"Battery D",
  --MacReports!N312&lt;=80,"Battery C",
 --MacReports!N312&gt;80,""
)</f>
        <v>Battery Defect</v>
      </c>
      <c r="O312" s="16" t="str">
        <f>IF(MacReports!J312="Service","Battery Service","")</f>
        <v/>
      </c>
      <c r="P312" s="13">
        <f>MacReports!Q312</f>
        <v>0</v>
      </c>
      <c r="Q312" s="13" t="str">
        <f>IF(MacReports!K312="Enabled","Apple ID Lock","")</f>
        <v/>
      </c>
      <c r="R312" s="13" t="str">
        <f>IF(MacReports!M312="Remote Lock","Remote Locked","")</f>
        <v/>
      </c>
      <c r="S312" t="str">
        <f t="shared" si="16"/>
        <v>Battery Defect, 0</v>
      </c>
      <c r="T312" t="str">
        <f>_xlfn.XLOOKUP(B312,Disk_Pivot!G:G,Disk_Pivot!N:N)</f>
        <v>Pass, Fail</v>
      </c>
      <c r="U312" t="str">
        <f>IF(T312="Fail",MacReports!O312,"")</f>
        <v/>
      </c>
      <c r="AA312" t="str">
        <f t="shared" si="17"/>
        <v/>
      </c>
    </row>
    <row r="313" spans="1:27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str">
        <f>_xlfn.XLOOKUP(B313,MacReports!B:B,MacReports!E:E,"")</f>
        <v/>
      </c>
      <c r="F313" s="13">
        <f>MacReports!F313</f>
        <v>0</v>
      </c>
      <c r="G313" t="e">
        <f>_xlfn.XLOOKUP(F313,Models!A:A,Models!B:B)</f>
        <v>#N/A</v>
      </c>
      <c r="H313" t="e">
        <f>_xlfn.XLOOKUP(F313,Models!A:A,Models!E:E)</f>
        <v>#N/A</v>
      </c>
      <c r="I313" t="e">
        <f>_xlfn.XLOOKUP(F313,Models!A:A,Models!D:D)</f>
        <v>#N/A</v>
      </c>
      <c r="J313">
        <f>MacReports!G313</f>
        <v>0</v>
      </c>
      <c r="K313" s="59">
        <f>MacReports!H313</f>
        <v>0</v>
      </c>
      <c r="L313" t="str">
        <f t="shared" si="15"/>
        <v>0</v>
      </c>
      <c r="M313" s="15">
        <f>MacReports!I313</f>
        <v>0</v>
      </c>
      <c r="N313" s="16" t="str" cm="1">
        <f t="array" ref="N313">_xlfn.IFS(
   --MacReports!N313&lt;55,"Battery Defect",
  -- MacReports!N313&lt;=69,"Battery D",
  --MacReports!N313&lt;=80,"Battery C",
 --MacReports!N313&gt;80,""
)</f>
        <v>Battery Defect</v>
      </c>
      <c r="O313" s="16" t="str">
        <f>IF(MacReports!J313="Service","Battery Service","")</f>
        <v/>
      </c>
      <c r="P313" s="13">
        <f>MacReports!Q313</f>
        <v>0</v>
      </c>
      <c r="Q313" s="13" t="str">
        <f>IF(MacReports!K313="Enabled","Apple ID Lock","")</f>
        <v/>
      </c>
      <c r="R313" s="13" t="str">
        <f>IF(MacReports!M313="Remote Lock","Remote Locked","")</f>
        <v/>
      </c>
      <c r="S313" t="str">
        <f t="shared" si="16"/>
        <v>Battery Defect, 0</v>
      </c>
      <c r="T313" t="str">
        <f>_xlfn.XLOOKUP(B313,Disk_Pivot!G:G,Disk_Pivot!N:N)</f>
        <v>Pass, Fail</v>
      </c>
      <c r="U313" t="str">
        <f>IF(T313="Fail",MacReports!O313,"")</f>
        <v/>
      </c>
      <c r="AA313" t="str">
        <f t="shared" si="17"/>
        <v/>
      </c>
    </row>
    <row r="314" spans="1:27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str">
        <f>_xlfn.XLOOKUP(B314,MacReports!B:B,MacReports!E:E,"")</f>
        <v/>
      </c>
      <c r="F314" s="13">
        <f>MacReports!F314</f>
        <v>0</v>
      </c>
      <c r="G314" t="e">
        <f>_xlfn.XLOOKUP(F314,Models!A:A,Models!B:B)</f>
        <v>#N/A</v>
      </c>
      <c r="H314" t="e">
        <f>_xlfn.XLOOKUP(F314,Models!A:A,Models!E:E)</f>
        <v>#N/A</v>
      </c>
      <c r="I314" t="e">
        <f>_xlfn.XLOOKUP(F314,Models!A:A,Models!D:D)</f>
        <v>#N/A</v>
      </c>
      <c r="J314">
        <f>MacReports!G314</f>
        <v>0</v>
      </c>
      <c r="K314" s="59">
        <f>MacReports!H314</f>
        <v>0</v>
      </c>
      <c r="L314" t="str">
        <f t="shared" si="15"/>
        <v>0</v>
      </c>
      <c r="M314" s="15">
        <f>MacReports!I314</f>
        <v>0</v>
      </c>
      <c r="N314" s="16" t="str" cm="1">
        <f t="array" ref="N314">_xlfn.IFS(
   --MacReports!N314&lt;55,"Battery Defect",
  -- MacReports!N314&lt;=69,"Battery D",
  --MacReports!N314&lt;=80,"Battery C",
 --MacReports!N314&gt;80,""
)</f>
        <v>Battery Defect</v>
      </c>
      <c r="O314" s="16" t="str">
        <f>IF(MacReports!J314="Service","Battery Service","")</f>
        <v/>
      </c>
      <c r="P314" s="13">
        <f>MacReports!Q314</f>
        <v>0</v>
      </c>
      <c r="Q314" s="13" t="str">
        <f>IF(MacReports!K314="Enabled","Apple ID Lock","")</f>
        <v/>
      </c>
      <c r="R314" s="13" t="str">
        <f>IF(MacReports!M314="Remote Lock","Remote Locked","")</f>
        <v/>
      </c>
      <c r="S314" t="str">
        <f t="shared" si="16"/>
        <v>Battery Defect, 0</v>
      </c>
      <c r="T314" t="str">
        <f>_xlfn.XLOOKUP(B314,Disk_Pivot!G:G,Disk_Pivot!N:N)</f>
        <v>Pass, Fail</v>
      </c>
      <c r="U314" t="str">
        <f>IF(T314="Fail",MacReports!O314,"")</f>
        <v/>
      </c>
      <c r="AA314" t="str">
        <f t="shared" si="17"/>
        <v/>
      </c>
    </row>
    <row r="315" spans="1:27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str">
        <f>_xlfn.XLOOKUP(B315,MacReports!B:B,MacReports!E:E,"")</f>
        <v/>
      </c>
      <c r="F315" s="13">
        <f>MacReports!F315</f>
        <v>0</v>
      </c>
      <c r="G315" t="e">
        <f>_xlfn.XLOOKUP(F315,Models!A:A,Models!B:B)</f>
        <v>#N/A</v>
      </c>
      <c r="H315" t="e">
        <f>_xlfn.XLOOKUP(F315,Models!A:A,Models!E:E)</f>
        <v>#N/A</v>
      </c>
      <c r="I315" t="e">
        <f>_xlfn.XLOOKUP(F315,Models!A:A,Models!D:D)</f>
        <v>#N/A</v>
      </c>
      <c r="J315">
        <f>MacReports!G315</f>
        <v>0</v>
      </c>
      <c r="K315" s="59">
        <f>MacReports!H315</f>
        <v>0</v>
      </c>
      <c r="L315" t="str">
        <f t="shared" si="15"/>
        <v>0</v>
      </c>
      <c r="M315" s="15">
        <f>MacReports!I315</f>
        <v>0</v>
      </c>
      <c r="N315" s="16" t="str" cm="1">
        <f t="array" ref="N315">_xlfn.IFS(
   --MacReports!N315&lt;55,"Battery Defect",
  -- MacReports!N315&lt;=69,"Battery D",
  --MacReports!N315&lt;=80,"Battery C",
 --MacReports!N315&gt;80,""
)</f>
        <v>Battery Defect</v>
      </c>
      <c r="O315" s="16" t="str">
        <f>IF(MacReports!J315="Service","Battery Service","")</f>
        <v/>
      </c>
      <c r="P315" s="13">
        <f>MacReports!Q315</f>
        <v>0</v>
      </c>
      <c r="Q315" s="13" t="str">
        <f>IF(MacReports!K315="Enabled","Apple ID Lock","")</f>
        <v/>
      </c>
      <c r="R315" s="13" t="str">
        <f>IF(MacReports!M315="Remote Lock","Remote Locked","")</f>
        <v/>
      </c>
      <c r="S315" t="str">
        <f t="shared" si="16"/>
        <v>Battery Defect, 0</v>
      </c>
      <c r="T315" t="str">
        <f>_xlfn.XLOOKUP(B315,Disk_Pivot!G:G,Disk_Pivot!N:N)</f>
        <v>Pass, Fail</v>
      </c>
      <c r="U315" t="str">
        <f>IF(T315="Fail",MacReports!O315,"")</f>
        <v/>
      </c>
      <c r="AA315" t="str">
        <f t="shared" si="17"/>
        <v/>
      </c>
    </row>
    <row r="316" spans="1:27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str">
        <f>_xlfn.XLOOKUP(B316,MacReports!B:B,MacReports!E:E,"")</f>
        <v/>
      </c>
      <c r="F316" s="13">
        <f>MacReports!F316</f>
        <v>0</v>
      </c>
      <c r="G316" t="e">
        <f>_xlfn.XLOOKUP(F316,Models!A:A,Models!B:B)</f>
        <v>#N/A</v>
      </c>
      <c r="H316" t="e">
        <f>_xlfn.XLOOKUP(F316,Models!A:A,Models!E:E)</f>
        <v>#N/A</v>
      </c>
      <c r="I316" t="e">
        <f>_xlfn.XLOOKUP(F316,Models!A:A,Models!D:D)</f>
        <v>#N/A</v>
      </c>
      <c r="J316">
        <f>MacReports!G316</f>
        <v>0</v>
      </c>
      <c r="K316" s="59">
        <f>MacReports!H316</f>
        <v>0</v>
      </c>
      <c r="L316" t="str">
        <f t="shared" si="15"/>
        <v>0</v>
      </c>
      <c r="M316" s="15">
        <f>MacReports!I316</f>
        <v>0</v>
      </c>
      <c r="N316" s="16" t="str" cm="1">
        <f t="array" ref="N316">_xlfn.IFS(
   --MacReports!N316&lt;55,"Battery Defect",
  -- MacReports!N316&lt;=69,"Battery D",
  --MacReports!N316&lt;=80,"Battery C",
 --MacReports!N316&gt;80,""
)</f>
        <v>Battery Defect</v>
      </c>
      <c r="O316" s="16" t="str">
        <f>IF(MacReports!J316="Service","Battery Service","")</f>
        <v/>
      </c>
      <c r="P316" s="13">
        <f>MacReports!Q316</f>
        <v>0</v>
      </c>
      <c r="Q316" s="13" t="str">
        <f>IF(MacReports!K316="Enabled","Apple ID Lock","")</f>
        <v/>
      </c>
      <c r="R316" s="13" t="str">
        <f>IF(MacReports!M316="Remote Lock","Remote Locked","")</f>
        <v/>
      </c>
      <c r="S316" t="str">
        <f t="shared" si="16"/>
        <v>Battery Defect, 0</v>
      </c>
      <c r="T316" t="str">
        <f>_xlfn.XLOOKUP(B316,Disk_Pivot!G:G,Disk_Pivot!N:N)</f>
        <v>Pass, Fail</v>
      </c>
      <c r="U316" t="str">
        <f>IF(T316="Fail",MacReports!O316,"")</f>
        <v/>
      </c>
      <c r="AA316" t="str">
        <f t="shared" si="17"/>
        <v/>
      </c>
    </row>
    <row r="317" spans="1:27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str">
        <f>_xlfn.XLOOKUP(B317,MacReports!B:B,MacReports!E:E,"")</f>
        <v/>
      </c>
      <c r="F317" s="13">
        <f>MacReports!F317</f>
        <v>0</v>
      </c>
      <c r="G317" t="e">
        <f>_xlfn.XLOOKUP(F317,Models!A:A,Models!B:B)</f>
        <v>#N/A</v>
      </c>
      <c r="H317" t="e">
        <f>_xlfn.XLOOKUP(F317,Models!A:A,Models!E:E)</f>
        <v>#N/A</v>
      </c>
      <c r="I317" t="e">
        <f>_xlfn.XLOOKUP(F317,Models!A:A,Models!D:D)</f>
        <v>#N/A</v>
      </c>
      <c r="J317">
        <f>MacReports!G317</f>
        <v>0</v>
      </c>
      <c r="K317" s="59">
        <f>MacReports!H317</f>
        <v>0</v>
      </c>
      <c r="L317" t="str">
        <f t="shared" si="15"/>
        <v>0</v>
      </c>
      <c r="M317" s="15">
        <f>MacReports!I317</f>
        <v>0</v>
      </c>
      <c r="N317" s="16" t="str" cm="1">
        <f t="array" ref="N317">_xlfn.IFS(
   --MacReports!N317&lt;55,"Battery Defect",
  -- MacReports!N317&lt;=69,"Battery D",
  --MacReports!N317&lt;=80,"Battery C",
 --MacReports!N317&gt;80,""
)</f>
        <v>Battery Defect</v>
      </c>
      <c r="O317" s="16" t="str">
        <f>IF(MacReports!J317="Service","Battery Service","")</f>
        <v/>
      </c>
      <c r="P317" s="13">
        <f>MacReports!Q317</f>
        <v>0</v>
      </c>
      <c r="Q317" s="13" t="str">
        <f>IF(MacReports!K317="Enabled","Apple ID Lock","")</f>
        <v/>
      </c>
      <c r="R317" s="13" t="str">
        <f>IF(MacReports!M317="Remote Lock","Remote Locked","")</f>
        <v/>
      </c>
      <c r="S317" t="str">
        <f t="shared" si="16"/>
        <v>Battery Defect, 0</v>
      </c>
      <c r="T317" t="str">
        <f>_xlfn.XLOOKUP(B317,Disk_Pivot!G:G,Disk_Pivot!N:N)</f>
        <v>Pass, Fail</v>
      </c>
      <c r="U317" t="str">
        <f>IF(T317="Fail",MacReports!O317,"")</f>
        <v/>
      </c>
      <c r="AA317" t="str">
        <f t="shared" si="17"/>
        <v/>
      </c>
    </row>
    <row r="318" spans="1:27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str">
        <f>_xlfn.XLOOKUP(B318,MacReports!B:B,MacReports!E:E,"")</f>
        <v/>
      </c>
      <c r="F318" s="13">
        <f>MacReports!F318</f>
        <v>0</v>
      </c>
      <c r="G318" t="e">
        <f>_xlfn.XLOOKUP(F318,Models!A:A,Models!B:B)</f>
        <v>#N/A</v>
      </c>
      <c r="H318" t="e">
        <f>_xlfn.XLOOKUP(F318,Models!A:A,Models!E:E)</f>
        <v>#N/A</v>
      </c>
      <c r="I318" t="e">
        <f>_xlfn.XLOOKUP(F318,Models!A:A,Models!D:D)</f>
        <v>#N/A</v>
      </c>
      <c r="J318">
        <f>MacReports!G318</f>
        <v>0</v>
      </c>
      <c r="K318" s="59">
        <f>MacReports!H318</f>
        <v>0</v>
      </c>
      <c r="L318" t="str">
        <f t="shared" si="15"/>
        <v>0</v>
      </c>
      <c r="M318" s="15">
        <f>MacReports!I318</f>
        <v>0</v>
      </c>
      <c r="N318" s="16" t="str" cm="1">
        <f t="array" ref="N318">_xlfn.IFS(
   --MacReports!N318&lt;55,"Battery Defect",
  -- MacReports!N318&lt;=69,"Battery D",
  --MacReports!N318&lt;=80,"Battery C",
 --MacReports!N318&gt;80,""
)</f>
        <v>Battery Defect</v>
      </c>
      <c r="O318" s="16" t="str">
        <f>IF(MacReports!J318="Service","Battery Service","")</f>
        <v/>
      </c>
      <c r="P318" s="13">
        <f>MacReports!Q318</f>
        <v>0</v>
      </c>
      <c r="Q318" s="13" t="str">
        <f>IF(MacReports!K318="Enabled","Apple ID Lock","")</f>
        <v/>
      </c>
      <c r="R318" s="13" t="str">
        <f>IF(MacReports!M318="Remote Lock","Remote Locked","")</f>
        <v/>
      </c>
      <c r="S318" t="str">
        <f t="shared" si="16"/>
        <v>Battery Defect, 0</v>
      </c>
      <c r="T318" t="str">
        <f>_xlfn.XLOOKUP(B318,Disk_Pivot!G:G,Disk_Pivot!N:N)</f>
        <v>Pass, Fail</v>
      </c>
      <c r="U318" t="str">
        <f>IF(T318="Fail",MacReports!O318,"")</f>
        <v/>
      </c>
      <c r="AA318" t="str">
        <f t="shared" si="17"/>
        <v/>
      </c>
    </row>
    <row r="319" spans="1:27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str">
        <f>_xlfn.XLOOKUP(B319,MacReports!B:B,MacReports!E:E,"")</f>
        <v/>
      </c>
      <c r="F319" s="13">
        <f>MacReports!F319</f>
        <v>0</v>
      </c>
      <c r="G319" t="e">
        <f>_xlfn.XLOOKUP(F319,Models!A:A,Models!B:B)</f>
        <v>#N/A</v>
      </c>
      <c r="H319" t="e">
        <f>_xlfn.XLOOKUP(F319,Models!A:A,Models!E:E)</f>
        <v>#N/A</v>
      </c>
      <c r="I319" t="e">
        <f>_xlfn.XLOOKUP(F319,Models!A:A,Models!D:D)</f>
        <v>#N/A</v>
      </c>
      <c r="J319">
        <f>MacReports!G319</f>
        <v>0</v>
      </c>
      <c r="K319" s="59">
        <f>MacReports!H319</f>
        <v>0</v>
      </c>
      <c r="L319" t="str">
        <f t="shared" si="15"/>
        <v>0</v>
      </c>
      <c r="M319" s="15">
        <f>MacReports!I319</f>
        <v>0</v>
      </c>
      <c r="N319" s="16" t="str" cm="1">
        <f t="array" ref="N319">_xlfn.IFS(
   --MacReports!N319&lt;55,"Battery Defect",
  -- MacReports!N319&lt;=69,"Battery D",
  --MacReports!N319&lt;=80,"Battery C",
 --MacReports!N319&gt;80,""
)</f>
        <v>Battery Defect</v>
      </c>
      <c r="O319" s="16" t="str">
        <f>IF(MacReports!J319="Service","Battery Service","")</f>
        <v/>
      </c>
      <c r="P319" s="13">
        <f>MacReports!Q319</f>
        <v>0</v>
      </c>
      <c r="Q319" s="13" t="str">
        <f>IF(MacReports!K319="Enabled","Apple ID Lock","")</f>
        <v/>
      </c>
      <c r="R319" s="13" t="str">
        <f>IF(MacReports!M319="Remote Lock","Remote Locked","")</f>
        <v/>
      </c>
      <c r="S319" t="str">
        <f t="shared" si="16"/>
        <v>Battery Defect, 0</v>
      </c>
      <c r="T319" t="str">
        <f>_xlfn.XLOOKUP(B319,Disk_Pivot!G:G,Disk_Pivot!N:N)</f>
        <v>Pass, Fail</v>
      </c>
      <c r="U319" t="str">
        <f>IF(T319="Fail",MacReports!O319,"")</f>
        <v/>
      </c>
      <c r="AA319" t="str">
        <f t="shared" si="17"/>
        <v/>
      </c>
    </row>
    <row r="320" spans="1:27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str">
        <f>_xlfn.XLOOKUP(B320,MacReports!B:B,MacReports!E:E,"")</f>
        <v/>
      </c>
      <c r="F320" s="13">
        <f>MacReports!F320</f>
        <v>0</v>
      </c>
      <c r="G320" t="e">
        <f>_xlfn.XLOOKUP(F320,Models!A:A,Models!B:B)</f>
        <v>#N/A</v>
      </c>
      <c r="H320" t="e">
        <f>_xlfn.XLOOKUP(F320,Models!A:A,Models!E:E)</f>
        <v>#N/A</v>
      </c>
      <c r="I320" t="e">
        <f>_xlfn.XLOOKUP(F320,Models!A:A,Models!D:D)</f>
        <v>#N/A</v>
      </c>
      <c r="J320">
        <f>MacReports!G320</f>
        <v>0</v>
      </c>
      <c r="K320" s="59">
        <f>MacReports!H320</f>
        <v>0</v>
      </c>
      <c r="L320" t="str">
        <f t="shared" si="15"/>
        <v>0</v>
      </c>
      <c r="M320" s="15">
        <f>MacReports!I320</f>
        <v>0</v>
      </c>
      <c r="N320" s="16" t="str" cm="1">
        <f t="array" ref="N320">_xlfn.IFS(
   --MacReports!N320&lt;55,"Battery Defect",
  -- MacReports!N320&lt;=69,"Battery D",
  --MacReports!N320&lt;=80,"Battery C",
 --MacReports!N320&gt;80,""
)</f>
        <v>Battery Defect</v>
      </c>
      <c r="O320" s="16" t="str">
        <f>IF(MacReports!J320="Service","Battery Service","")</f>
        <v/>
      </c>
      <c r="P320" s="13">
        <f>MacReports!Q320</f>
        <v>0</v>
      </c>
      <c r="Q320" s="13" t="str">
        <f>IF(MacReports!K320="Enabled","Apple ID Lock","")</f>
        <v/>
      </c>
      <c r="R320" s="13" t="str">
        <f>IF(MacReports!M320="Remote Lock","Remote Locked","")</f>
        <v/>
      </c>
      <c r="S320" t="str">
        <f t="shared" si="16"/>
        <v>Battery Defect, 0</v>
      </c>
      <c r="T320" t="str">
        <f>_xlfn.XLOOKUP(B320,Disk_Pivot!G:G,Disk_Pivot!N:N)</f>
        <v>Pass, Fail</v>
      </c>
      <c r="U320" t="str">
        <f>IF(T320="Fail",MacReports!O320,"")</f>
        <v/>
      </c>
      <c r="AA320" t="str">
        <f t="shared" si="17"/>
        <v/>
      </c>
    </row>
    <row r="321" spans="1:27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str">
        <f>_xlfn.XLOOKUP(B321,MacReports!B:B,MacReports!E:E,"")</f>
        <v/>
      </c>
      <c r="F321" s="13">
        <f>MacReports!F321</f>
        <v>0</v>
      </c>
      <c r="G321" t="e">
        <f>_xlfn.XLOOKUP(F321,Models!A:A,Models!B:B)</f>
        <v>#N/A</v>
      </c>
      <c r="H321" t="e">
        <f>_xlfn.XLOOKUP(F321,Models!A:A,Models!E:E)</f>
        <v>#N/A</v>
      </c>
      <c r="I321" t="e">
        <f>_xlfn.XLOOKUP(F321,Models!A:A,Models!D:D)</f>
        <v>#N/A</v>
      </c>
      <c r="J321">
        <f>MacReports!G321</f>
        <v>0</v>
      </c>
      <c r="K321" s="59">
        <f>MacReports!H321</f>
        <v>0</v>
      </c>
      <c r="L321" t="str">
        <f t="shared" si="15"/>
        <v>0</v>
      </c>
      <c r="M321" s="15">
        <f>MacReports!I321</f>
        <v>0</v>
      </c>
      <c r="N321" s="16" t="str" cm="1">
        <f t="array" ref="N321">_xlfn.IFS(
   --MacReports!N321&lt;55,"Battery Defect",
  -- MacReports!N321&lt;=69,"Battery D",
  --MacReports!N321&lt;=80,"Battery C",
 --MacReports!N321&gt;80,""
)</f>
        <v>Battery Defect</v>
      </c>
      <c r="O321" s="16" t="str">
        <f>IF(MacReports!J321="Service","Battery Service","")</f>
        <v/>
      </c>
      <c r="P321" s="13">
        <f>MacReports!Q321</f>
        <v>0</v>
      </c>
      <c r="Q321" s="13" t="str">
        <f>IF(MacReports!K321="Enabled","Apple ID Lock","")</f>
        <v/>
      </c>
      <c r="R321" s="13" t="str">
        <f>IF(MacReports!M321="Remote Lock","Remote Locked","")</f>
        <v/>
      </c>
      <c r="S321" t="str">
        <f t="shared" si="16"/>
        <v>Battery Defect, 0</v>
      </c>
      <c r="T321" t="str">
        <f>_xlfn.XLOOKUP(B321,Disk_Pivot!G:G,Disk_Pivot!N:N)</f>
        <v>Pass, Fail</v>
      </c>
      <c r="U321" t="str">
        <f>IF(T321="Fail",MacReports!O321,"")</f>
        <v/>
      </c>
      <c r="AA321" t="str">
        <f t="shared" si="17"/>
        <v/>
      </c>
    </row>
    <row r="322" spans="1:27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str">
        <f>_xlfn.XLOOKUP(B322,MacReports!B:B,MacReports!E:E,"")</f>
        <v/>
      </c>
      <c r="F322" s="13">
        <f>MacReports!F322</f>
        <v>0</v>
      </c>
      <c r="G322" t="e">
        <f>_xlfn.XLOOKUP(F322,Models!A:A,Models!B:B)</f>
        <v>#N/A</v>
      </c>
      <c r="H322" t="e">
        <f>_xlfn.XLOOKUP(F322,Models!A:A,Models!E:E)</f>
        <v>#N/A</v>
      </c>
      <c r="I322" t="e">
        <f>_xlfn.XLOOKUP(F322,Models!A:A,Models!D:D)</f>
        <v>#N/A</v>
      </c>
      <c r="J322">
        <f>MacReports!G322</f>
        <v>0</v>
      </c>
      <c r="K322" s="59">
        <f>MacReports!H322</f>
        <v>0</v>
      </c>
      <c r="L322" t="str">
        <f t="shared" si="15"/>
        <v>0</v>
      </c>
      <c r="M322" s="15">
        <f>MacReports!I322</f>
        <v>0</v>
      </c>
      <c r="N322" s="16" t="str" cm="1">
        <f t="array" ref="N322">_xlfn.IFS(
   --MacReports!N322&lt;55,"Battery Defect",
  -- MacReports!N322&lt;=69,"Battery D",
  --MacReports!N322&lt;=80,"Battery C",
 --MacReports!N322&gt;80,""
)</f>
        <v>Battery Defect</v>
      </c>
      <c r="O322" s="16" t="str">
        <f>IF(MacReports!J322="Service","Battery Service","")</f>
        <v/>
      </c>
      <c r="P322" s="13">
        <f>MacReports!Q322</f>
        <v>0</v>
      </c>
      <c r="Q322" s="13" t="str">
        <f>IF(MacReports!K322="Enabled","Apple ID Lock","")</f>
        <v/>
      </c>
      <c r="R322" s="13" t="str">
        <f>IF(MacReports!M322="Remote Lock","Remote Locked","")</f>
        <v/>
      </c>
      <c r="S322" t="str">
        <f t="shared" si="16"/>
        <v>Battery Defect, 0</v>
      </c>
      <c r="T322" t="str">
        <f>_xlfn.XLOOKUP(B322,Disk_Pivot!G:G,Disk_Pivot!N:N)</f>
        <v>Pass, Fail</v>
      </c>
      <c r="U322" t="str">
        <f>IF(T322="Fail",MacReports!O322,"")</f>
        <v/>
      </c>
      <c r="AA322" t="str">
        <f t="shared" si="17"/>
        <v/>
      </c>
    </row>
    <row r="323" spans="1:27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str">
        <f>_xlfn.XLOOKUP(B323,MacReports!B:B,MacReports!E:E,"")</f>
        <v/>
      </c>
      <c r="F323" s="13">
        <f>MacReports!F323</f>
        <v>0</v>
      </c>
      <c r="G323" t="e">
        <f>_xlfn.XLOOKUP(F323,Models!A:A,Models!B:B)</f>
        <v>#N/A</v>
      </c>
      <c r="H323" t="e">
        <f>_xlfn.XLOOKUP(F323,Models!A:A,Models!E:E)</f>
        <v>#N/A</v>
      </c>
      <c r="I323" t="e">
        <f>_xlfn.XLOOKUP(F323,Models!A:A,Models!D:D)</f>
        <v>#N/A</v>
      </c>
      <c r="J323">
        <f>MacReports!G323</f>
        <v>0</v>
      </c>
      <c r="K323" s="59">
        <f>MacReports!H323</f>
        <v>0</v>
      </c>
      <c r="L323" t="str">
        <f t="shared" ref="L323:L386" si="18">IFERROR(LEFT(K323,FIND(" ",K323)-1)&amp;" GB DDR"&amp;MID(K323,FIND("DDR",K323)+3,1), K323&amp;"")</f>
        <v>0</v>
      </c>
      <c r="M323" s="15">
        <f>MacReports!I323</f>
        <v>0</v>
      </c>
      <c r="N323" s="16" t="str" cm="1">
        <f t="array" ref="N323">_xlfn.IFS(
   --MacReports!N323&lt;55,"Battery Defect",
  -- MacReports!N323&lt;=69,"Battery D",
  --MacReports!N323&lt;=80,"Battery C",
 --MacReports!N323&gt;80,""
)</f>
        <v>Battery Defect</v>
      </c>
      <c r="O323" s="16" t="str">
        <f>IF(MacReports!J323="Service","Battery Service","")</f>
        <v/>
      </c>
      <c r="P323" s="13">
        <f>MacReports!Q323</f>
        <v>0</v>
      </c>
      <c r="Q323" s="13" t="str">
        <f>IF(MacReports!K323="Enabled","Apple ID Lock","")</f>
        <v/>
      </c>
      <c r="R323" s="13" t="str">
        <f>IF(MacReports!M323="Remote Lock","Remote Locked","")</f>
        <v/>
      </c>
      <c r="S323" t="str">
        <f t="shared" si="16"/>
        <v>Battery Defect, 0</v>
      </c>
      <c r="T323" t="str">
        <f>_xlfn.XLOOKUP(B323,Disk_Pivot!G:G,Disk_Pivot!N:N)</f>
        <v>Pass, Fail</v>
      </c>
      <c r="U323" t="str">
        <f>IF(T323="Fail",MacReports!O323,"")</f>
        <v/>
      </c>
      <c r="AA323" t="str">
        <f t="shared" si="17"/>
        <v/>
      </c>
    </row>
    <row r="324" spans="1:27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str">
        <f>_xlfn.XLOOKUP(B324,MacReports!B:B,MacReports!E:E,"")</f>
        <v/>
      </c>
      <c r="F324" s="13">
        <f>MacReports!F324</f>
        <v>0</v>
      </c>
      <c r="G324" t="e">
        <f>_xlfn.XLOOKUP(F324,Models!A:A,Models!B:B)</f>
        <v>#N/A</v>
      </c>
      <c r="H324" t="e">
        <f>_xlfn.XLOOKUP(F324,Models!A:A,Models!E:E)</f>
        <v>#N/A</v>
      </c>
      <c r="I324" t="e">
        <f>_xlfn.XLOOKUP(F324,Models!A:A,Models!D:D)</f>
        <v>#N/A</v>
      </c>
      <c r="J324">
        <f>MacReports!G324</f>
        <v>0</v>
      </c>
      <c r="K324" s="59">
        <f>MacReports!H324</f>
        <v>0</v>
      </c>
      <c r="L324" t="str">
        <f t="shared" si="18"/>
        <v>0</v>
      </c>
      <c r="M324" s="15">
        <f>MacReports!I324</f>
        <v>0</v>
      </c>
      <c r="N324" s="16" t="str" cm="1">
        <f t="array" ref="N324">_xlfn.IFS(
   --MacReports!N324&lt;55,"Battery Defect",
  -- MacReports!N324&lt;=69,"Battery D",
  --MacReports!N324&lt;=80,"Battery C",
 --MacReports!N324&gt;80,""
)</f>
        <v>Battery Defect</v>
      </c>
      <c r="O324" s="16" t="str">
        <f>IF(MacReports!J324="Service","Battery Service","")</f>
        <v/>
      </c>
      <c r="P324" s="13">
        <f>MacReports!Q324</f>
        <v>0</v>
      </c>
      <c r="Q324" s="13" t="str">
        <f>IF(MacReports!K324="Enabled","Apple ID Lock","")</f>
        <v/>
      </c>
      <c r="R324" s="13" t="str">
        <f>IF(MacReports!M324="Remote Lock","Remote Locked","")</f>
        <v/>
      </c>
      <c r="S324" t="str">
        <f t="shared" si="16"/>
        <v>Battery Defect, 0</v>
      </c>
      <c r="T324" t="str">
        <f>_xlfn.XLOOKUP(B324,Disk_Pivot!G:G,Disk_Pivot!N:N)</f>
        <v>Pass, Fail</v>
      </c>
      <c r="U324" t="str">
        <f>IF(T324="Fail",MacReports!O324,"")</f>
        <v/>
      </c>
      <c r="AA324" t="str">
        <f t="shared" si="17"/>
        <v/>
      </c>
    </row>
    <row r="325" spans="1:27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str">
        <f>_xlfn.XLOOKUP(B325,MacReports!B:B,MacReports!E:E,"")</f>
        <v/>
      </c>
      <c r="F325" s="13">
        <f>MacReports!F325</f>
        <v>0</v>
      </c>
      <c r="G325" t="e">
        <f>_xlfn.XLOOKUP(F325,Models!A:A,Models!B:B)</f>
        <v>#N/A</v>
      </c>
      <c r="H325" t="e">
        <f>_xlfn.XLOOKUP(F325,Models!A:A,Models!E:E)</f>
        <v>#N/A</v>
      </c>
      <c r="I325" t="e">
        <f>_xlfn.XLOOKUP(F325,Models!A:A,Models!D:D)</f>
        <v>#N/A</v>
      </c>
      <c r="J325">
        <f>MacReports!G325</f>
        <v>0</v>
      </c>
      <c r="K325" s="59">
        <f>MacReports!H325</f>
        <v>0</v>
      </c>
      <c r="L325" t="str">
        <f t="shared" si="18"/>
        <v>0</v>
      </c>
      <c r="M325" s="15">
        <f>MacReports!I325</f>
        <v>0</v>
      </c>
      <c r="N325" s="16" t="str" cm="1">
        <f t="array" ref="N325">_xlfn.IFS(
   --MacReports!N325&lt;55,"Battery Defect",
  -- MacReports!N325&lt;=69,"Battery D",
  --MacReports!N325&lt;=80,"Battery C",
 --MacReports!N325&gt;80,""
)</f>
        <v>Battery Defect</v>
      </c>
      <c r="O325" s="16" t="str">
        <f>IF(MacReports!J325="Service","Battery Service","")</f>
        <v/>
      </c>
      <c r="P325" s="13">
        <f>MacReports!Q325</f>
        <v>0</v>
      </c>
      <c r="Q325" s="13" t="str">
        <f>IF(MacReports!K325="Enabled","Apple ID Lock","")</f>
        <v/>
      </c>
      <c r="R325" s="13" t="str">
        <f>IF(MacReports!M325="Remote Lock","Remote Locked","")</f>
        <v/>
      </c>
      <c r="S325" t="str">
        <f t="shared" si="16"/>
        <v>Battery Defect, 0</v>
      </c>
      <c r="T325" t="str">
        <f>_xlfn.XLOOKUP(B325,Disk_Pivot!G:G,Disk_Pivot!N:N)</f>
        <v>Pass, Fail</v>
      </c>
      <c r="U325" t="str">
        <f>IF(T325="Fail",MacReports!O325,"")</f>
        <v/>
      </c>
      <c r="AA325" t="str">
        <f t="shared" si="17"/>
        <v/>
      </c>
    </row>
    <row r="326" spans="1:27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str">
        <f>_xlfn.XLOOKUP(B326,MacReports!B:B,MacReports!E:E,"")</f>
        <v/>
      </c>
      <c r="F326" s="13">
        <f>MacReports!F326</f>
        <v>0</v>
      </c>
      <c r="G326" t="e">
        <f>_xlfn.XLOOKUP(F326,Models!A:A,Models!B:B)</f>
        <v>#N/A</v>
      </c>
      <c r="H326" t="e">
        <f>_xlfn.XLOOKUP(F326,Models!A:A,Models!E:E)</f>
        <v>#N/A</v>
      </c>
      <c r="I326" t="e">
        <f>_xlfn.XLOOKUP(F326,Models!A:A,Models!D:D)</f>
        <v>#N/A</v>
      </c>
      <c r="J326">
        <f>MacReports!G326</f>
        <v>0</v>
      </c>
      <c r="K326" s="59">
        <f>MacReports!H326</f>
        <v>0</v>
      </c>
      <c r="L326" t="str">
        <f t="shared" si="18"/>
        <v>0</v>
      </c>
      <c r="M326" s="15">
        <f>MacReports!I326</f>
        <v>0</v>
      </c>
      <c r="N326" s="16" t="str" cm="1">
        <f t="array" ref="N326">_xlfn.IFS(
   --MacReports!N326&lt;55,"Battery Defect",
  -- MacReports!N326&lt;=69,"Battery D",
  --MacReports!N326&lt;=80,"Battery C",
 --MacReports!N326&gt;80,""
)</f>
        <v>Battery Defect</v>
      </c>
      <c r="O326" s="16" t="str">
        <f>IF(MacReports!J326="Service","Battery Service","")</f>
        <v/>
      </c>
      <c r="P326" s="13">
        <f>MacReports!Q326</f>
        <v>0</v>
      </c>
      <c r="Q326" s="13" t="str">
        <f>IF(MacReports!K326="Enabled","Apple ID Lock","")</f>
        <v/>
      </c>
      <c r="R326" s="13" t="str">
        <f>IF(MacReports!M326="Remote Lock","Remote Locked","")</f>
        <v/>
      </c>
      <c r="S326" t="str">
        <f t="shared" si="16"/>
        <v>Battery Defect, 0</v>
      </c>
      <c r="T326" t="str">
        <f>_xlfn.XLOOKUP(B326,Disk_Pivot!G:G,Disk_Pivot!N:N)</f>
        <v>Pass, Fail</v>
      </c>
      <c r="U326" t="str">
        <f>IF(T326="Fail",MacReports!O326,"")</f>
        <v/>
      </c>
      <c r="AA326" t="str">
        <f t="shared" si="17"/>
        <v/>
      </c>
    </row>
    <row r="327" spans="1:27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str">
        <f>_xlfn.XLOOKUP(B327,MacReports!B:B,MacReports!E:E,"")</f>
        <v/>
      </c>
      <c r="F327" s="13">
        <f>MacReports!F327</f>
        <v>0</v>
      </c>
      <c r="G327" t="e">
        <f>_xlfn.XLOOKUP(F327,Models!A:A,Models!B:B)</f>
        <v>#N/A</v>
      </c>
      <c r="H327" t="e">
        <f>_xlfn.XLOOKUP(F327,Models!A:A,Models!E:E)</f>
        <v>#N/A</v>
      </c>
      <c r="I327" t="e">
        <f>_xlfn.XLOOKUP(F327,Models!A:A,Models!D:D)</f>
        <v>#N/A</v>
      </c>
      <c r="J327">
        <f>MacReports!G327</f>
        <v>0</v>
      </c>
      <c r="K327" s="59">
        <f>MacReports!H327</f>
        <v>0</v>
      </c>
      <c r="L327" t="str">
        <f t="shared" si="18"/>
        <v>0</v>
      </c>
      <c r="M327" s="15">
        <f>MacReports!I327</f>
        <v>0</v>
      </c>
      <c r="N327" s="16" t="str" cm="1">
        <f t="array" ref="N327">_xlfn.IFS(
   --MacReports!N327&lt;55,"Battery Defect",
  -- MacReports!N327&lt;=69,"Battery D",
  --MacReports!N327&lt;=80,"Battery C",
 --MacReports!N327&gt;80,""
)</f>
        <v>Battery Defect</v>
      </c>
      <c r="O327" s="16" t="str">
        <f>IF(MacReports!J327="Service","Battery Service","")</f>
        <v/>
      </c>
      <c r="P327" s="13">
        <f>MacReports!Q327</f>
        <v>0</v>
      </c>
      <c r="Q327" s="13" t="str">
        <f>IF(MacReports!K327="Enabled","Apple ID Lock","")</f>
        <v/>
      </c>
      <c r="R327" s="13" t="str">
        <f>IF(MacReports!M327="Remote Lock","Remote Locked","")</f>
        <v/>
      </c>
      <c r="S327" t="str">
        <f t="shared" si="16"/>
        <v>Battery Defect, 0</v>
      </c>
      <c r="T327" t="str">
        <f>_xlfn.XLOOKUP(B327,Disk_Pivot!G:G,Disk_Pivot!N:N)</f>
        <v>Pass, Fail</v>
      </c>
      <c r="U327" t="str">
        <f>IF(T327="Fail",MacReports!O327,"")</f>
        <v/>
      </c>
      <c r="AA327" t="str">
        <f t="shared" si="17"/>
        <v/>
      </c>
    </row>
    <row r="328" spans="1:27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str">
        <f>_xlfn.XLOOKUP(B328,MacReports!B:B,MacReports!E:E,"")</f>
        <v/>
      </c>
      <c r="F328" s="13">
        <f>MacReports!F328</f>
        <v>0</v>
      </c>
      <c r="G328" t="e">
        <f>_xlfn.XLOOKUP(F328,Models!A:A,Models!B:B)</f>
        <v>#N/A</v>
      </c>
      <c r="H328" t="e">
        <f>_xlfn.XLOOKUP(F328,Models!A:A,Models!E:E)</f>
        <v>#N/A</v>
      </c>
      <c r="I328" t="e">
        <f>_xlfn.XLOOKUP(F328,Models!A:A,Models!D:D)</f>
        <v>#N/A</v>
      </c>
      <c r="J328">
        <f>MacReports!G328</f>
        <v>0</v>
      </c>
      <c r="K328" s="59">
        <f>MacReports!H328</f>
        <v>0</v>
      </c>
      <c r="L328" t="str">
        <f t="shared" si="18"/>
        <v>0</v>
      </c>
      <c r="M328" s="15">
        <f>MacReports!I328</f>
        <v>0</v>
      </c>
      <c r="N328" s="16" t="str" cm="1">
        <f t="array" ref="N328">_xlfn.IFS(
   --MacReports!N328&lt;55,"Battery Defect",
  -- MacReports!N328&lt;=69,"Battery D",
  --MacReports!N328&lt;=80,"Battery C",
 --MacReports!N328&gt;80,""
)</f>
        <v>Battery Defect</v>
      </c>
      <c r="O328" s="16" t="str">
        <f>IF(MacReports!J328="Service","Battery Service","")</f>
        <v/>
      </c>
      <c r="P328" s="13">
        <f>MacReports!Q328</f>
        <v>0</v>
      </c>
      <c r="Q328" s="13" t="str">
        <f>IF(MacReports!K328="Enabled","Apple ID Lock","")</f>
        <v/>
      </c>
      <c r="R328" s="13" t="str">
        <f>IF(MacReports!M328="Remote Lock","Remote Locked","")</f>
        <v/>
      </c>
      <c r="S328" t="str">
        <f t="shared" si="16"/>
        <v>Battery Defect, 0</v>
      </c>
      <c r="T328" t="str">
        <f>_xlfn.XLOOKUP(B328,Disk_Pivot!G:G,Disk_Pivot!N:N)</f>
        <v>Pass, Fail</v>
      </c>
      <c r="U328" t="str">
        <f>IF(T328="Fail",MacReports!O328,"")</f>
        <v/>
      </c>
      <c r="AA328" t="str">
        <f t="shared" si="17"/>
        <v/>
      </c>
    </row>
    <row r="329" spans="1:27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str">
        <f>_xlfn.XLOOKUP(B329,MacReports!B:B,MacReports!E:E,"")</f>
        <v/>
      </c>
      <c r="F329" s="13">
        <f>MacReports!F329</f>
        <v>0</v>
      </c>
      <c r="G329" t="e">
        <f>_xlfn.XLOOKUP(F329,Models!A:A,Models!B:B)</f>
        <v>#N/A</v>
      </c>
      <c r="H329" t="e">
        <f>_xlfn.XLOOKUP(F329,Models!A:A,Models!E:E)</f>
        <v>#N/A</v>
      </c>
      <c r="I329" t="e">
        <f>_xlfn.XLOOKUP(F329,Models!A:A,Models!D:D)</f>
        <v>#N/A</v>
      </c>
      <c r="J329">
        <f>MacReports!G329</f>
        <v>0</v>
      </c>
      <c r="K329" s="59">
        <f>MacReports!H329</f>
        <v>0</v>
      </c>
      <c r="L329" t="str">
        <f t="shared" si="18"/>
        <v>0</v>
      </c>
      <c r="M329" s="15">
        <f>MacReports!I329</f>
        <v>0</v>
      </c>
      <c r="N329" s="16" t="str" cm="1">
        <f t="array" ref="N329">_xlfn.IFS(
   --MacReports!N329&lt;55,"Battery Defect",
  -- MacReports!N329&lt;=69,"Battery D",
  --MacReports!N329&lt;=80,"Battery C",
 --MacReports!N329&gt;80,""
)</f>
        <v>Battery Defect</v>
      </c>
      <c r="O329" s="16" t="str">
        <f>IF(MacReports!J329="Service","Battery Service","")</f>
        <v/>
      </c>
      <c r="P329" s="13">
        <f>MacReports!Q329</f>
        <v>0</v>
      </c>
      <c r="Q329" s="13" t="str">
        <f>IF(MacReports!K329="Enabled","Apple ID Lock","")</f>
        <v/>
      </c>
      <c r="R329" s="13" t="str">
        <f>IF(MacReports!M329="Remote Lock","Remote Locked","")</f>
        <v/>
      </c>
      <c r="S329" t="str">
        <f t="shared" si="16"/>
        <v>Battery Defect, 0</v>
      </c>
      <c r="T329" t="str">
        <f>_xlfn.XLOOKUP(B329,Disk_Pivot!G:G,Disk_Pivot!N:N)</f>
        <v>Pass, Fail</v>
      </c>
      <c r="U329" t="str">
        <f>IF(T329="Fail",MacReports!O329,"")</f>
        <v/>
      </c>
      <c r="AA329" t="str">
        <f t="shared" si="17"/>
        <v/>
      </c>
    </row>
    <row r="330" spans="1:27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str">
        <f>_xlfn.XLOOKUP(B330,MacReports!B:B,MacReports!E:E,"")</f>
        <v/>
      </c>
      <c r="F330" s="13">
        <f>MacReports!F330</f>
        <v>0</v>
      </c>
      <c r="G330" t="e">
        <f>_xlfn.XLOOKUP(F330,Models!A:A,Models!B:B)</f>
        <v>#N/A</v>
      </c>
      <c r="H330" t="e">
        <f>_xlfn.XLOOKUP(F330,Models!A:A,Models!E:E)</f>
        <v>#N/A</v>
      </c>
      <c r="I330" t="e">
        <f>_xlfn.XLOOKUP(F330,Models!A:A,Models!D:D)</f>
        <v>#N/A</v>
      </c>
      <c r="J330">
        <f>MacReports!G330</f>
        <v>0</v>
      </c>
      <c r="K330" s="59">
        <f>MacReports!H330</f>
        <v>0</v>
      </c>
      <c r="L330" t="str">
        <f t="shared" si="18"/>
        <v>0</v>
      </c>
      <c r="M330" s="15">
        <f>MacReports!I330</f>
        <v>0</v>
      </c>
      <c r="N330" s="16" t="str" cm="1">
        <f t="array" ref="N330">_xlfn.IFS(
   --MacReports!N330&lt;55,"Battery Defect",
  -- MacReports!N330&lt;=69,"Battery D",
  --MacReports!N330&lt;=80,"Battery C",
 --MacReports!N330&gt;80,""
)</f>
        <v>Battery Defect</v>
      </c>
      <c r="O330" s="16" t="str">
        <f>IF(MacReports!J330="Service","Battery Service","")</f>
        <v/>
      </c>
      <c r="P330" s="13">
        <f>MacReports!Q330</f>
        <v>0</v>
      </c>
      <c r="Q330" s="13" t="str">
        <f>IF(MacReports!K330="Enabled","Apple ID Lock","")</f>
        <v/>
      </c>
      <c r="R330" s="13" t="str">
        <f>IF(MacReports!M330="Remote Lock","Remote Locked","")</f>
        <v/>
      </c>
      <c r="S330" t="str">
        <f t="shared" si="16"/>
        <v>Battery Defect, 0</v>
      </c>
      <c r="T330" t="str">
        <f>_xlfn.XLOOKUP(B330,Disk_Pivot!G:G,Disk_Pivot!N:N)</f>
        <v>Pass, Fail</v>
      </c>
      <c r="U330" t="str">
        <f>IF(T330="Fail",MacReports!O330,"")</f>
        <v/>
      </c>
      <c r="AA330" t="str">
        <f t="shared" si="17"/>
        <v/>
      </c>
    </row>
    <row r="331" spans="1:27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str">
        <f>_xlfn.XLOOKUP(B331,MacReports!B:B,MacReports!E:E,"")</f>
        <v/>
      </c>
      <c r="F331" s="13">
        <f>MacReports!F331</f>
        <v>0</v>
      </c>
      <c r="G331" t="e">
        <f>_xlfn.XLOOKUP(F331,Models!A:A,Models!B:B)</f>
        <v>#N/A</v>
      </c>
      <c r="H331" t="e">
        <f>_xlfn.XLOOKUP(F331,Models!A:A,Models!E:E)</f>
        <v>#N/A</v>
      </c>
      <c r="I331" t="e">
        <f>_xlfn.XLOOKUP(F331,Models!A:A,Models!D:D)</f>
        <v>#N/A</v>
      </c>
      <c r="J331">
        <f>MacReports!G331</f>
        <v>0</v>
      </c>
      <c r="K331" s="59">
        <f>MacReports!H331</f>
        <v>0</v>
      </c>
      <c r="L331" t="str">
        <f t="shared" si="18"/>
        <v>0</v>
      </c>
      <c r="M331" s="15">
        <f>MacReports!I331</f>
        <v>0</v>
      </c>
      <c r="N331" s="16" t="str" cm="1">
        <f t="array" ref="N331">_xlfn.IFS(
   --MacReports!N331&lt;55,"Battery Defect",
  -- MacReports!N331&lt;=69,"Battery D",
  --MacReports!N331&lt;=80,"Battery C",
 --MacReports!N331&gt;80,""
)</f>
        <v>Battery Defect</v>
      </c>
      <c r="O331" s="16" t="str">
        <f>IF(MacReports!J331="Service","Battery Service","")</f>
        <v/>
      </c>
      <c r="P331" s="13">
        <f>MacReports!Q331</f>
        <v>0</v>
      </c>
      <c r="Q331" s="13" t="str">
        <f>IF(MacReports!K331="Enabled","Apple ID Lock","")</f>
        <v/>
      </c>
      <c r="R331" s="13" t="str">
        <f>IF(MacReports!M331="Remote Lock","Remote Locked","")</f>
        <v/>
      </c>
      <c r="S331" t="str">
        <f t="shared" si="16"/>
        <v>Battery Defect, 0</v>
      </c>
      <c r="T331" t="str">
        <f>_xlfn.XLOOKUP(B331,Disk_Pivot!G:G,Disk_Pivot!N:N)</f>
        <v>Pass, Fail</v>
      </c>
      <c r="U331" t="str">
        <f>IF(T331="Fail",MacReports!O331,"")</f>
        <v/>
      </c>
      <c r="AA331" t="str">
        <f t="shared" si="17"/>
        <v/>
      </c>
    </row>
    <row r="332" spans="1:27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str">
        <f>_xlfn.XLOOKUP(B332,MacReports!B:B,MacReports!E:E,"")</f>
        <v/>
      </c>
      <c r="F332" s="13">
        <f>MacReports!F332</f>
        <v>0</v>
      </c>
      <c r="G332" t="e">
        <f>_xlfn.XLOOKUP(F332,Models!A:A,Models!B:B)</f>
        <v>#N/A</v>
      </c>
      <c r="H332" t="e">
        <f>_xlfn.XLOOKUP(F332,Models!A:A,Models!E:E)</f>
        <v>#N/A</v>
      </c>
      <c r="I332" t="e">
        <f>_xlfn.XLOOKUP(F332,Models!A:A,Models!D:D)</f>
        <v>#N/A</v>
      </c>
      <c r="J332">
        <f>MacReports!G332</f>
        <v>0</v>
      </c>
      <c r="K332" s="59">
        <f>MacReports!H332</f>
        <v>0</v>
      </c>
      <c r="L332" t="str">
        <f t="shared" si="18"/>
        <v>0</v>
      </c>
      <c r="M332" s="15">
        <f>MacReports!I332</f>
        <v>0</v>
      </c>
      <c r="N332" s="16" t="str" cm="1">
        <f t="array" ref="N332">_xlfn.IFS(
   --MacReports!N332&lt;55,"Battery Defect",
  -- MacReports!N332&lt;=69,"Battery D",
  --MacReports!N332&lt;=80,"Battery C",
 --MacReports!N332&gt;80,""
)</f>
        <v>Battery Defect</v>
      </c>
      <c r="O332" s="16" t="str">
        <f>IF(MacReports!J332="Service","Battery Service","")</f>
        <v/>
      </c>
      <c r="P332" s="13">
        <f>MacReports!Q332</f>
        <v>0</v>
      </c>
      <c r="Q332" s="13" t="str">
        <f>IF(MacReports!K332="Enabled","Apple ID Lock","")</f>
        <v/>
      </c>
      <c r="R332" s="13" t="str">
        <f>IF(MacReports!M332="Remote Lock","Remote Locked","")</f>
        <v/>
      </c>
      <c r="S332" t="str">
        <f t="shared" si="16"/>
        <v>Battery Defect, 0</v>
      </c>
      <c r="T332" t="str">
        <f>_xlfn.XLOOKUP(B332,Disk_Pivot!G:G,Disk_Pivot!N:N)</f>
        <v>Pass, Fail</v>
      </c>
      <c r="U332" t="str">
        <f>IF(T332="Fail",MacReports!O332,"")</f>
        <v/>
      </c>
      <c r="AA332" t="str">
        <f t="shared" si="17"/>
        <v/>
      </c>
    </row>
    <row r="333" spans="1:27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str">
        <f>_xlfn.XLOOKUP(B333,MacReports!B:B,MacReports!E:E,"")</f>
        <v/>
      </c>
      <c r="F333" s="13">
        <f>MacReports!F333</f>
        <v>0</v>
      </c>
      <c r="G333" t="e">
        <f>_xlfn.XLOOKUP(F333,Models!A:A,Models!B:B)</f>
        <v>#N/A</v>
      </c>
      <c r="H333" t="e">
        <f>_xlfn.XLOOKUP(F333,Models!A:A,Models!E:E)</f>
        <v>#N/A</v>
      </c>
      <c r="I333" t="e">
        <f>_xlfn.XLOOKUP(F333,Models!A:A,Models!D:D)</f>
        <v>#N/A</v>
      </c>
      <c r="J333">
        <f>MacReports!G333</f>
        <v>0</v>
      </c>
      <c r="K333" s="59">
        <f>MacReports!H333</f>
        <v>0</v>
      </c>
      <c r="L333" t="str">
        <f t="shared" si="18"/>
        <v>0</v>
      </c>
      <c r="M333" s="15">
        <f>MacReports!I333</f>
        <v>0</v>
      </c>
      <c r="N333" s="16" t="str" cm="1">
        <f t="array" ref="N333">_xlfn.IFS(
   --MacReports!N333&lt;55,"Battery Defect",
  -- MacReports!N333&lt;=69,"Battery D",
  --MacReports!N333&lt;=80,"Battery C",
 --MacReports!N333&gt;80,""
)</f>
        <v>Battery Defect</v>
      </c>
      <c r="O333" s="16" t="str">
        <f>IF(MacReports!J333="Service","Battery Service","")</f>
        <v/>
      </c>
      <c r="P333" s="13">
        <f>MacReports!Q333</f>
        <v>0</v>
      </c>
      <c r="Q333" s="13" t="str">
        <f>IF(MacReports!K333="Enabled","Apple ID Lock","")</f>
        <v/>
      </c>
      <c r="R333" s="13" t="str">
        <f>IF(MacReports!M333="Remote Lock","Remote Locked","")</f>
        <v/>
      </c>
      <c r="S333" t="str">
        <f t="shared" si="16"/>
        <v>Battery Defect, 0</v>
      </c>
      <c r="T333" t="str">
        <f>_xlfn.XLOOKUP(B333,Disk_Pivot!G:G,Disk_Pivot!N:N)</f>
        <v>Pass, Fail</v>
      </c>
      <c r="U333" t="str">
        <f>IF(T333="Fail",MacReports!O333,"")</f>
        <v/>
      </c>
      <c r="AA333" t="str">
        <f t="shared" si="17"/>
        <v/>
      </c>
    </row>
    <row r="334" spans="1:27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str">
        <f>_xlfn.XLOOKUP(B334,MacReports!B:B,MacReports!E:E,"")</f>
        <v/>
      </c>
      <c r="F334" s="13">
        <f>MacReports!F334</f>
        <v>0</v>
      </c>
      <c r="G334" t="e">
        <f>_xlfn.XLOOKUP(F334,Models!A:A,Models!B:B)</f>
        <v>#N/A</v>
      </c>
      <c r="H334" t="e">
        <f>_xlfn.XLOOKUP(F334,Models!A:A,Models!E:E)</f>
        <v>#N/A</v>
      </c>
      <c r="I334" t="e">
        <f>_xlfn.XLOOKUP(F334,Models!A:A,Models!D:D)</f>
        <v>#N/A</v>
      </c>
      <c r="J334">
        <f>MacReports!G334</f>
        <v>0</v>
      </c>
      <c r="K334" s="59">
        <f>MacReports!H334</f>
        <v>0</v>
      </c>
      <c r="L334" t="str">
        <f t="shared" si="18"/>
        <v>0</v>
      </c>
      <c r="M334" s="15">
        <f>MacReports!I334</f>
        <v>0</v>
      </c>
      <c r="N334" s="16" t="str" cm="1">
        <f t="array" ref="N334">_xlfn.IFS(
   --MacReports!N334&lt;55,"Battery Defect",
  -- MacReports!N334&lt;=69,"Battery D",
  --MacReports!N334&lt;=80,"Battery C",
 --MacReports!N334&gt;80,""
)</f>
        <v>Battery Defect</v>
      </c>
      <c r="O334" s="16" t="str">
        <f>IF(MacReports!J334="Service","Battery Service","")</f>
        <v/>
      </c>
      <c r="P334" s="13">
        <f>MacReports!Q334</f>
        <v>0</v>
      </c>
      <c r="Q334" s="13" t="str">
        <f>IF(MacReports!K334="Enabled","Apple ID Lock","")</f>
        <v/>
      </c>
      <c r="R334" s="13" t="str">
        <f>IF(MacReports!M334="Remote Lock","Remote Locked","")</f>
        <v/>
      </c>
      <c r="S334" t="str">
        <f t="shared" si="16"/>
        <v>Battery Defect, 0</v>
      </c>
      <c r="T334" t="str">
        <f>_xlfn.XLOOKUP(B334,Disk_Pivot!G:G,Disk_Pivot!N:N)</f>
        <v>Pass, Fail</v>
      </c>
      <c r="U334" t="str">
        <f>IF(T334="Fail",MacReports!O334,"")</f>
        <v/>
      </c>
      <c r="AA334" t="str">
        <f t="shared" si="17"/>
        <v/>
      </c>
    </row>
    <row r="335" spans="1:27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str">
        <f>_xlfn.XLOOKUP(B335,MacReports!B:B,MacReports!E:E,"")</f>
        <v/>
      </c>
      <c r="F335" s="13">
        <f>MacReports!F335</f>
        <v>0</v>
      </c>
      <c r="G335" t="e">
        <f>_xlfn.XLOOKUP(F335,Models!A:A,Models!B:B)</f>
        <v>#N/A</v>
      </c>
      <c r="H335" t="e">
        <f>_xlfn.XLOOKUP(F335,Models!A:A,Models!E:E)</f>
        <v>#N/A</v>
      </c>
      <c r="I335" t="e">
        <f>_xlfn.XLOOKUP(F335,Models!A:A,Models!D:D)</f>
        <v>#N/A</v>
      </c>
      <c r="J335">
        <f>MacReports!G335</f>
        <v>0</v>
      </c>
      <c r="K335" s="59">
        <f>MacReports!H335</f>
        <v>0</v>
      </c>
      <c r="L335" t="str">
        <f t="shared" si="18"/>
        <v>0</v>
      </c>
      <c r="M335" s="15">
        <f>MacReports!I335</f>
        <v>0</v>
      </c>
      <c r="N335" s="16" t="str" cm="1">
        <f t="array" ref="N335">_xlfn.IFS(
   --MacReports!N335&lt;55,"Battery Defect",
  -- MacReports!N335&lt;=69,"Battery D",
  --MacReports!N335&lt;=80,"Battery C",
 --MacReports!N335&gt;80,""
)</f>
        <v>Battery Defect</v>
      </c>
      <c r="O335" s="16" t="str">
        <f>IF(MacReports!J335="Service","Battery Service","")</f>
        <v/>
      </c>
      <c r="P335" s="13">
        <f>MacReports!Q335</f>
        <v>0</v>
      </c>
      <c r="Q335" s="13" t="str">
        <f>IF(MacReports!K335="Enabled","Apple ID Lock","")</f>
        <v/>
      </c>
      <c r="R335" s="13" t="str">
        <f>IF(MacReports!M335="Remote Lock","Remote Locked","")</f>
        <v/>
      </c>
      <c r="S335" t="str">
        <f t="shared" si="16"/>
        <v>Battery Defect, 0</v>
      </c>
      <c r="T335" t="str">
        <f>_xlfn.XLOOKUP(B335,Disk_Pivot!G:G,Disk_Pivot!N:N)</f>
        <v>Pass, Fail</v>
      </c>
      <c r="U335" t="str">
        <f>IF(T335="Fail",MacReports!O335,"")</f>
        <v/>
      </c>
      <c r="AA335" t="str">
        <f t="shared" si="17"/>
        <v/>
      </c>
    </row>
    <row r="336" spans="1:27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str">
        <f>_xlfn.XLOOKUP(B336,MacReports!B:B,MacReports!E:E,"")</f>
        <v/>
      </c>
      <c r="F336" s="13">
        <f>MacReports!F336</f>
        <v>0</v>
      </c>
      <c r="G336" t="e">
        <f>_xlfn.XLOOKUP(F336,Models!A:A,Models!B:B)</f>
        <v>#N/A</v>
      </c>
      <c r="H336" t="e">
        <f>_xlfn.XLOOKUP(F336,Models!A:A,Models!E:E)</f>
        <v>#N/A</v>
      </c>
      <c r="I336" t="e">
        <f>_xlfn.XLOOKUP(F336,Models!A:A,Models!D:D)</f>
        <v>#N/A</v>
      </c>
      <c r="J336">
        <f>MacReports!G336</f>
        <v>0</v>
      </c>
      <c r="K336" s="59">
        <f>MacReports!H336</f>
        <v>0</v>
      </c>
      <c r="L336" t="str">
        <f t="shared" si="18"/>
        <v>0</v>
      </c>
      <c r="M336" s="15">
        <f>MacReports!I336</f>
        <v>0</v>
      </c>
      <c r="N336" s="16" t="str" cm="1">
        <f t="array" ref="N336">_xlfn.IFS(
   --MacReports!N336&lt;55,"Battery Defect",
  -- MacReports!N336&lt;=69,"Battery D",
  --MacReports!N336&lt;=80,"Battery C",
 --MacReports!N336&gt;80,""
)</f>
        <v>Battery Defect</v>
      </c>
      <c r="O336" s="16" t="str">
        <f>IF(MacReports!J336="Service","Battery Service","")</f>
        <v/>
      </c>
      <c r="P336" s="13">
        <f>MacReports!Q336</f>
        <v>0</v>
      </c>
      <c r="Q336" s="13" t="str">
        <f>IF(MacReports!K336="Enabled","Apple ID Lock","")</f>
        <v/>
      </c>
      <c r="R336" s="13" t="str">
        <f>IF(MacReports!M336="Remote Lock","Remote Locked","")</f>
        <v/>
      </c>
      <c r="S336" t="str">
        <f t="shared" si="16"/>
        <v>Battery Defect, 0</v>
      </c>
      <c r="T336" t="str">
        <f>_xlfn.XLOOKUP(B336,Disk_Pivot!G:G,Disk_Pivot!N:N)</f>
        <v>Pass, Fail</v>
      </c>
      <c r="U336" t="str">
        <f>IF(T336="Fail",MacReports!O336,"")</f>
        <v/>
      </c>
      <c r="AA336" t="str">
        <f t="shared" si="17"/>
        <v/>
      </c>
    </row>
    <row r="337" spans="1:27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str">
        <f>_xlfn.XLOOKUP(B337,MacReports!B:B,MacReports!E:E,"")</f>
        <v/>
      </c>
      <c r="F337" s="13">
        <f>MacReports!F337</f>
        <v>0</v>
      </c>
      <c r="G337" t="e">
        <f>_xlfn.XLOOKUP(F337,Models!A:A,Models!B:B)</f>
        <v>#N/A</v>
      </c>
      <c r="H337" t="e">
        <f>_xlfn.XLOOKUP(F337,Models!A:A,Models!E:E)</f>
        <v>#N/A</v>
      </c>
      <c r="I337" t="e">
        <f>_xlfn.XLOOKUP(F337,Models!A:A,Models!D:D)</f>
        <v>#N/A</v>
      </c>
      <c r="J337">
        <f>MacReports!G337</f>
        <v>0</v>
      </c>
      <c r="K337" s="59">
        <f>MacReports!H337</f>
        <v>0</v>
      </c>
      <c r="L337" t="str">
        <f t="shared" si="18"/>
        <v>0</v>
      </c>
      <c r="M337" s="15">
        <f>MacReports!I337</f>
        <v>0</v>
      </c>
      <c r="N337" s="16" t="str" cm="1">
        <f t="array" ref="N337">_xlfn.IFS(
   --MacReports!N337&lt;55,"Battery Defect",
  -- MacReports!N337&lt;=69,"Battery D",
  --MacReports!N337&lt;=80,"Battery C",
 --MacReports!N337&gt;80,""
)</f>
        <v>Battery Defect</v>
      </c>
      <c r="O337" s="16" t="str">
        <f>IF(MacReports!J337="Service","Battery Service","")</f>
        <v/>
      </c>
      <c r="P337" s="13">
        <f>MacReports!Q337</f>
        <v>0</v>
      </c>
      <c r="Q337" s="13" t="str">
        <f>IF(MacReports!K337="Enabled","Apple ID Lock","")</f>
        <v/>
      </c>
      <c r="R337" s="13" t="str">
        <f>IF(MacReports!M337="Remote Lock","Remote Locked","")</f>
        <v/>
      </c>
      <c r="S337" t="str">
        <f t="shared" si="16"/>
        <v>Battery Defect, 0</v>
      </c>
      <c r="T337" t="str">
        <f>_xlfn.XLOOKUP(B337,Disk_Pivot!G:G,Disk_Pivot!N:N)</f>
        <v>Pass, Fail</v>
      </c>
      <c r="U337" t="str">
        <f>IF(T337="Fail",MacReports!O337,"")</f>
        <v/>
      </c>
      <c r="AA337" t="str">
        <f t="shared" si="17"/>
        <v/>
      </c>
    </row>
    <row r="338" spans="1:27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str">
        <f>_xlfn.XLOOKUP(B338,MacReports!B:B,MacReports!E:E,"")</f>
        <v/>
      </c>
      <c r="F338" s="13">
        <f>MacReports!F338</f>
        <v>0</v>
      </c>
      <c r="G338" t="e">
        <f>_xlfn.XLOOKUP(F338,Models!A:A,Models!B:B)</f>
        <v>#N/A</v>
      </c>
      <c r="H338" t="e">
        <f>_xlfn.XLOOKUP(F338,Models!A:A,Models!E:E)</f>
        <v>#N/A</v>
      </c>
      <c r="I338" t="e">
        <f>_xlfn.XLOOKUP(F338,Models!A:A,Models!D:D)</f>
        <v>#N/A</v>
      </c>
      <c r="J338">
        <f>MacReports!G338</f>
        <v>0</v>
      </c>
      <c r="K338" s="59">
        <f>MacReports!H338</f>
        <v>0</v>
      </c>
      <c r="L338" t="str">
        <f t="shared" si="18"/>
        <v>0</v>
      </c>
      <c r="M338" s="15">
        <f>MacReports!I338</f>
        <v>0</v>
      </c>
      <c r="N338" s="16" t="str" cm="1">
        <f t="array" ref="N338">_xlfn.IFS(
   --MacReports!N338&lt;55,"Battery Defect",
  -- MacReports!N338&lt;=69,"Battery D",
  --MacReports!N338&lt;=80,"Battery C",
 --MacReports!N338&gt;80,""
)</f>
        <v>Battery Defect</v>
      </c>
      <c r="O338" s="16" t="str">
        <f>IF(MacReports!J338="Service","Battery Service","")</f>
        <v/>
      </c>
      <c r="P338" s="13">
        <f>MacReports!Q338</f>
        <v>0</v>
      </c>
      <c r="Q338" s="13" t="str">
        <f>IF(MacReports!K338="Enabled","Apple ID Lock","")</f>
        <v/>
      </c>
      <c r="R338" s="13" t="str">
        <f>IF(MacReports!M338="Remote Lock","Remote Locked","")</f>
        <v/>
      </c>
      <c r="S338" t="str">
        <f t="shared" si="16"/>
        <v>Battery Defect, 0</v>
      </c>
      <c r="T338" t="str">
        <f>_xlfn.XLOOKUP(B338,Disk_Pivot!G:G,Disk_Pivot!N:N)</f>
        <v>Pass, Fail</v>
      </c>
      <c r="U338" t="str">
        <f>IF(T338="Fail",MacReports!O338,"")</f>
        <v/>
      </c>
      <c r="AA338" t="str">
        <f t="shared" si="17"/>
        <v/>
      </c>
    </row>
    <row r="339" spans="1:27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str">
        <f>_xlfn.XLOOKUP(B339,MacReports!B:B,MacReports!E:E,"")</f>
        <v/>
      </c>
      <c r="F339" s="13">
        <f>MacReports!F339</f>
        <v>0</v>
      </c>
      <c r="G339" t="e">
        <f>_xlfn.XLOOKUP(F339,Models!A:A,Models!B:B)</f>
        <v>#N/A</v>
      </c>
      <c r="H339" t="e">
        <f>_xlfn.XLOOKUP(F339,Models!A:A,Models!E:E)</f>
        <v>#N/A</v>
      </c>
      <c r="I339" t="e">
        <f>_xlfn.XLOOKUP(F339,Models!A:A,Models!D:D)</f>
        <v>#N/A</v>
      </c>
      <c r="J339">
        <f>MacReports!G339</f>
        <v>0</v>
      </c>
      <c r="K339" s="59">
        <f>MacReports!H339</f>
        <v>0</v>
      </c>
      <c r="L339" t="str">
        <f t="shared" si="18"/>
        <v>0</v>
      </c>
      <c r="M339" s="15">
        <f>MacReports!I339</f>
        <v>0</v>
      </c>
      <c r="N339" s="16" t="str" cm="1">
        <f t="array" ref="N339">_xlfn.IFS(
   --MacReports!N339&lt;55,"Battery Defect",
  -- MacReports!N339&lt;=69,"Battery D",
  --MacReports!N339&lt;=80,"Battery C",
 --MacReports!N339&gt;80,""
)</f>
        <v>Battery Defect</v>
      </c>
      <c r="O339" s="16" t="str">
        <f>IF(MacReports!J339="Service","Battery Service","")</f>
        <v/>
      </c>
      <c r="P339" s="13">
        <f>MacReports!Q339</f>
        <v>0</v>
      </c>
      <c r="Q339" s="13" t="str">
        <f>IF(MacReports!K339="Enabled","Apple ID Lock","")</f>
        <v/>
      </c>
      <c r="R339" s="13" t="str">
        <f>IF(MacReports!M339="Remote Lock","Remote Locked","")</f>
        <v/>
      </c>
      <c r="S339" t="str">
        <f t="shared" si="16"/>
        <v>Battery Defect, 0</v>
      </c>
      <c r="T339" t="str">
        <f>_xlfn.XLOOKUP(B339,Disk_Pivot!G:G,Disk_Pivot!N:N)</f>
        <v>Pass, Fail</v>
      </c>
      <c r="U339" t="str">
        <f>IF(T339="Fail",MacReports!O339,"")</f>
        <v/>
      </c>
      <c r="AA339" t="str">
        <f t="shared" si="17"/>
        <v/>
      </c>
    </row>
    <row r="340" spans="1:27">
      <c r="A340">
        <f>MacReports!A340</f>
        <v>0</v>
      </c>
      <c r="B340">
        <f>MacReports!B340</f>
        <v>0</v>
      </c>
      <c r="C340">
        <f>MacReports!D340</f>
        <v>0</v>
      </c>
      <c r="E340" t="str">
        <f>_xlfn.XLOOKUP(B340,MacReports!B:B,MacReports!E:E,"")</f>
        <v/>
      </c>
      <c r="F340" s="13">
        <f>MacReports!F340</f>
        <v>0</v>
      </c>
      <c r="G340" t="e">
        <f>_xlfn.XLOOKUP(F340,Models!A:A,Models!B:B)</f>
        <v>#N/A</v>
      </c>
      <c r="H340" t="e">
        <f>_xlfn.XLOOKUP(F340,Models!A:A,Models!E:E)</f>
        <v>#N/A</v>
      </c>
      <c r="I340" t="e">
        <f>_xlfn.XLOOKUP(F340,Models!A:A,Models!D:D)</f>
        <v>#N/A</v>
      </c>
      <c r="J340">
        <f>MacReports!G340</f>
        <v>0</v>
      </c>
      <c r="K340" s="59">
        <f>MacReports!H340</f>
        <v>0</v>
      </c>
      <c r="L340" t="str">
        <f t="shared" si="18"/>
        <v>0</v>
      </c>
      <c r="M340" s="15">
        <f>MacReports!I340</f>
        <v>0</v>
      </c>
      <c r="N340" s="16" t="str" cm="1">
        <f t="array" ref="N340">_xlfn.IFS(
   --MacReports!N340&lt;55,"Battery Defect",
  -- MacReports!N340&lt;=69,"Battery D",
  --MacReports!N340&lt;=80,"Battery C",
 --MacReports!N340&gt;80,""
)</f>
        <v>Battery Defect</v>
      </c>
      <c r="O340" s="16" t="str">
        <f>IF(MacReports!J340="Service","Battery Service","")</f>
        <v/>
      </c>
      <c r="P340" s="13">
        <f>MacReports!Q340</f>
        <v>0</v>
      </c>
      <c r="Q340" s="13" t="str">
        <f>IF(MacReports!K340="Enabled","Apple ID Lock","")</f>
        <v/>
      </c>
      <c r="R340" s="13" t="str">
        <f>IF(MacReports!M340="Remote Lock","Remote Locked","")</f>
        <v/>
      </c>
      <c r="S340" t="str">
        <f t="shared" si="16"/>
        <v>Battery Defect, 0</v>
      </c>
      <c r="T340" t="str">
        <f>_xlfn.XLOOKUP(B340,Disk_Pivot!G:G,Disk_Pivot!N:N)</f>
        <v>Pass, Fail</v>
      </c>
      <c r="U340" t="str">
        <f>IF(T340="Fail",MacReports!O340,"")</f>
        <v/>
      </c>
      <c r="AA340" t="str">
        <f t="shared" si="17"/>
        <v/>
      </c>
    </row>
    <row r="341" spans="1:27">
      <c r="A341">
        <f>MacReports!A341</f>
        <v>0</v>
      </c>
      <c r="B341">
        <f>MacReports!B341</f>
        <v>0</v>
      </c>
      <c r="C341">
        <f>MacReports!D341</f>
        <v>0</v>
      </c>
      <c r="E341" t="str">
        <f>_xlfn.XLOOKUP(B341,MacReports!B:B,MacReports!E:E,"")</f>
        <v/>
      </c>
      <c r="F341" s="13">
        <f>MacReports!F341</f>
        <v>0</v>
      </c>
      <c r="G341" t="e">
        <f>_xlfn.XLOOKUP(F341,Models!A:A,Models!B:B)</f>
        <v>#N/A</v>
      </c>
      <c r="H341" t="e">
        <f>_xlfn.XLOOKUP(F341,Models!A:A,Models!E:E)</f>
        <v>#N/A</v>
      </c>
      <c r="I341" t="e">
        <f>_xlfn.XLOOKUP(F341,Models!A:A,Models!D:D)</f>
        <v>#N/A</v>
      </c>
      <c r="J341">
        <f>MacReports!G341</f>
        <v>0</v>
      </c>
      <c r="K341" s="59">
        <f>MacReports!H341</f>
        <v>0</v>
      </c>
      <c r="L341" t="str">
        <f t="shared" si="18"/>
        <v>0</v>
      </c>
      <c r="M341" s="15">
        <f>MacReports!I341</f>
        <v>0</v>
      </c>
      <c r="N341" s="16" t="str" cm="1">
        <f t="array" ref="N341">_xlfn.IFS(
   --MacReports!N341&lt;55,"Battery Defect",
  -- MacReports!N341&lt;=69,"Battery D",
  --MacReports!N341&lt;=80,"Battery C",
 --MacReports!N341&gt;80,""
)</f>
        <v>Battery Defect</v>
      </c>
      <c r="O341" s="16" t="str">
        <f>IF(MacReports!J341="Service","Battery Service","")</f>
        <v/>
      </c>
      <c r="P341" s="13">
        <f>MacReports!Q341</f>
        <v>0</v>
      </c>
      <c r="Q341" s="13" t="str">
        <f>IF(MacReports!K341="Enabled","Apple ID Lock","")</f>
        <v/>
      </c>
      <c r="R341" s="13" t="str">
        <f>IF(MacReports!M341="Remote Lock","Remote Locked","")</f>
        <v/>
      </c>
      <c r="S341" t="str">
        <f t="shared" si="16"/>
        <v>Battery Defect, 0</v>
      </c>
      <c r="T341" t="str">
        <f>_xlfn.XLOOKUP(B341,Disk_Pivot!G:G,Disk_Pivot!N:N)</f>
        <v>Pass, Fail</v>
      </c>
      <c r="U341" t="str">
        <f>IF(T341="Fail",MacReports!O341,"")</f>
        <v/>
      </c>
      <c r="AA341" t="str">
        <f t="shared" si="17"/>
        <v/>
      </c>
    </row>
    <row r="342" spans="1:27">
      <c r="A342">
        <f>MacReports!A342</f>
        <v>0</v>
      </c>
      <c r="B342">
        <f>MacReports!B342</f>
        <v>0</v>
      </c>
      <c r="C342">
        <f>MacReports!D342</f>
        <v>0</v>
      </c>
      <c r="E342" t="str">
        <f>_xlfn.XLOOKUP(B342,MacReports!B:B,MacReports!E:E,"")</f>
        <v/>
      </c>
      <c r="F342" s="13">
        <f>MacReports!F342</f>
        <v>0</v>
      </c>
      <c r="G342" t="e">
        <f>_xlfn.XLOOKUP(F342,Models!A:A,Models!B:B)</f>
        <v>#N/A</v>
      </c>
      <c r="H342" t="e">
        <f>_xlfn.XLOOKUP(F342,Models!A:A,Models!E:E)</f>
        <v>#N/A</v>
      </c>
      <c r="I342" t="e">
        <f>_xlfn.XLOOKUP(F342,Models!A:A,Models!D:D)</f>
        <v>#N/A</v>
      </c>
      <c r="J342">
        <f>MacReports!G342</f>
        <v>0</v>
      </c>
      <c r="K342" s="59">
        <f>MacReports!H342</f>
        <v>0</v>
      </c>
      <c r="L342" t="str">
        <f t="shared" si="18"/>
        <v>0</v>
      </c>
      <c r="M342" s="15">
        <f>MacReports!I342</f>
        <v>0</v>
      </c>
      <c r="N342" s="16" t="str" cm="1">
        <f t="array" ref="N342">_xlfn.IFS(
   --MacReports!N342&lt;55,"Battery Defect",
  -- MacReports!N342&lt;=69,"Battery D",
  --MacReports!N342&lt;=80,"Battery C",
 --MacReports!N342&gt;80,""
)</f>
        <v>Battery Defect</v>
      </c>
      <c r="O342" s="16" t="str">
        <f>IF(MacReports!J342="Service","Battery Service","")</f>
        <v/>
      </c>
      <c r="P342" s="13">
        <f>MacReports!Q342</f>
        <v>0</v>
      </c>
      <c r="Q342" s="13" t="str">
        <f>IF(MacReports!K342="Enabled","Apple ID Lock","")</f>
        <v/>
      </c>
      <c r="R342" s="13" t="str">
        <f>IF(MacReports!M342="Remote Lock","Remote Locked","")</f>
        <v/>
      </c>
      <c r="S342" t="str">
        <f t="shared" si="16"/>
        <v>Battery Defect, 0</v>
      </c>
      <c r="T342" t="str">
        <f>_xlfn.XLOOKUP(B342,Disk_Pivot!G:G,Disk_Pivot!N:N)</f>
        <v>Pass, Fail</v>
      </c>
      <c r="U342" t="str">
        <f>IF(T342="Fail",MacReports!O342,"")</f>
        <v/>
      </c>
      <c r="AA342" t="str">
        <f t="shared" si="17"/>
        <v/>
      </c>
    </row>
    <row r="343" spans="1:27">
      <c r="A343">
        <f>MacReports!A343</f>
        <v>0</v>
      </c>
      <c r="B343">
        <f>MacReports!B343</f>
        <v>0</v>
      </c>
      <c r="C343">
        <f>MacReports!D343</f>
        <v>0</v>
      </c>
      <c r="E343" t="str">
        <f>_xlfn.XLOOKUP(B343,MacReports!B:B,MacReports!E:E,"")</f>
        <v/>
      </c>
      <c r="F343" s="13">
        <f>MacReports!F343</f>
        <v>0</v>
      </c>
      <c r="G343" t="e">
        <f>_xlfn.XLOOKUP(F343,Models!A:A,Models!B:B)</f>
        <v>#N/A</v>
      </c>
      <c r="H343" t="e">
        <f>_xlfn.XLOOKUP(F343,Models!A:A,Models!E:E)</f>
        <v>#N/A</v>
      </c>
      <c r="I343" t="e">
        <f>_xlfn.XLOOKUP(F343,Models!A:A,Models!D:D)</f>
        <v>#N/A</v>
      </c>
      <c r="J343">
        <f>MacReports!G343</f>
        <v>0</v>
      </c>
      <c r="K343" s="59">
        <f>MacReports!H343</f>
        <v>0</v>
      </c>
      <c r="L343" t="str">
        <f t="shared" si="18"/>
        <v>0</v>
      </c>
      <c r="M343" s="15">
        <f>MacReports!I343</f>
        <v>0</v>
      </c>
      <c r="N343" s="16" t="str" cm="1">
        <f t="array" ref="N343">_xlfn.IFS(
   --MacReports!N343&lt;55,"Battery Defect",
  -- MacReports!N343&lt;=69,"Battery D",
  --MacReports!N343&lt;=80,"Battery C",
 --MacReports!N343&gt;80,""
)</f>
        <v>Battery Defect</v>
      </c>
      <c r="O343" s="16" t="str">
        <f>IF(MacReports!J343="Service","Battery Service","")</f>
        <v/>
      </c>
      <c r="P343" s="13">
        <f>MacReports!Q343</f>
        <v>0</v>
      </c>
      <c r="Q343" s="13" t="str">
        <f>IF(MacReports!K343="Enabled","Apple ID Lock","")</f>
        <v/>
      </c>
      <c r="R343" s="13" t="str">
        <f>IF(MacReports!M343="Remote Lock","Remote Locked","")</f>
        <v/>
      </c>
      <c r="S343" t="str">
        <f t="shared" si="16"/>
        <v>Battery Defect, 0</v>
      </c>
      <c r="T343" t="str">
        <f>_xlfn.XLOOKUP(B343,Disk_Pivot!G:G,Disk_Pivot!N:N)</f>
        <v>Pass, Fail</v>
      </c>
      <c r="U343" t="str">
        <f>IF(T343="Fail",MacReports!O343,"")</f>
        <v/>
      </c>
      <c r="AA343" t="str">
        <f t="shared" si="17"/>
        <v/>
      </c>
    </row>
    <row r="344" spans="1:27">
      <c r="A344">
        <f>MacReports!A344</f>
        <v>0</v>
      </c>
      <c r="B344">
        <f>MacReports!B344</f>
        <v>0</v>
      </c>
      <c r="C344">
        <f>MacReports!D344</f>
        <v>0</v>
      </c>
      <c r="E344" t="str">
        <f>_xlfn.XLOOKUP(B344,MacReports!B:B,MacReports!E:E,"")</f>
        <v/>
      </c>
      <c r="F344" s="13">
        <f>MacReports!F344</f>
        <v>0</v>
      </c>
      <c r="G344" t="e">
        <f>_xlfn.XLOOKUP(F344,Models!A:A,Models!B:B)</f>
        <v>#N/A</v>
      </c>
      <c r="H344" t="e">
        <f>_xlfn.XLOOKUP(F344,Models!A:A,Models!E:E)</f>
        <v>#N/A</v>
      </c>
      <c r="I344" t="e">
        <f>_xlfn.XLOOKUP(F344,Models!A:A,Models!D:D)</f>
        <v>#N/A</v>
      </c>
      <c r="J344">
        <f>MacReports!G344</f>
        <v>0</v>
      </c>
      <c r="K344" s="59">
        <f>MacReports!H344</f>
        <v>0</v>
      </c>
      <c r="L344" t="str">
        <f t="shared" si="18"/>
        <v>0</v>
      </c>
      <c r="M344" s="15">
        <f>MacReports!I344</f>
        <v>0</v>
      </c>
      <c r="N344" s="16" t="str" cm="1">
        <f t="array" ref="N344">_xlfn.IFS(
   --MacReports!N344&lt;55,"Battery Defect",
  -- MacReports!N344&lt;=69,"Battery D",
  --MacReports!N344&lt;=80,"Battery C",
 --MacReports!N344&gt;80,""
)</f>
        <v>Battery Defect</v>
      </c>
      <c r="O344" s="16" t="str">
        <f>IF(MacReports!J344="Service","Battery Service","")</f>
        <v/>
      </c>
      <c r="P344" s="13">
        <f>MacReports!Q344</f>
        <v>0</v>
      </c>
      <c r="Q344" s="13" t="str">
        <f>IF(MacReports!K344="Enabled","Apple ID Lock","")</f>
        <v/>
      </c>
      <c r="R344" s="13" t="str">
        <f>IF(MacReports!M344="Remote Lock","Remote Locked","")</f>
        <v/>
      </c>
      <c r="S344" t="str">
        <f t="shared" si="16"/>
        <v>Battery Defect, 0</v>
      </c>
      <c r="T344" t="str">
        <f>_xlfn.XLOOKUP(B344,Disk_Pivot!G:G,Disk_Pivot!N:N)</f>
        <v>Pass, Fail</v>
      </c>
      <c r="U344" t="str">
        <f>IF(T344="Fail",MacReports!O344,"")</f>
        <v/>
      </c>
      <c r="AA344" t="str">
        <f t="shared" si="17"/>
        <v/>
      </c>
    </row>
    <row r="345" spans="1:27">
      <c r="A345">
        <f>MacReports!A345</f>
        <v>0</v>
      </c>
      <c r="B345">
        <f>MacReports!B345</f>
        <v>0</v>
      </c>
      <c r="C345">
        <f>MacReports!D345</f>
        <v>0</v>
      </c>
      <c r="E345" t="str">
        <f>_xlfn.XLOOKUP(B345,MacReports!B:B,MacReports!E:E,"")</f>
        <v/>
      </c>
      <c r="F345" s="13">
        <f>MacReports!F345</f>
        <v>0</v>
      </c>
      <c r="G345" t="e">
        <f>_xlfn.XLOOKUP(F345,Models!A:A,Models!B:B)</f>
        <v>#N/A</v>
      </c>
      <c r="H345" t="e">
        <f>_xlfn.XLOOKUP(F345,Models!A:A,Models!E:E)</f>
        <v>#N/A</v>
      </c>
      <c r="I345" t="e">
        <f>_xlfn.XLOOKUP(F345,Models!A:A,Models!D:D)</f>
        <v>#N/A</v>
      </c>
      <c r="J345">
        <f>MacReports!G345</f>
        <v>0</v>
      </c>
      <c r="K345" s="59">
        <f>MacReports!H345</f>
        <v>0</v>
      </c>
      <c r="L345" t="str">
        <f t="shared" si="18"/>
        <v>0</v>
      </c>
      <c r="M345" s="15">
        <f>MacReports!I345</f>
        <v>0</v>
      </c>
      <c r="N345" s="16" t="str" cm="1">
        <f t="array" ref="N345">_xlfn.IFS(
   --MacReports!N345&lt;55,"Battery Defect",
  -- MacReports!N345&lt;=69,"Battery D",
  --MacReports!N345&lt;=80,"Battery C",
 --MacReports!N345&gt;80,""
)</f>
        <v>Battery Defect</v>
      </c>
      <c r="O345" s="16" t="str">
        <f>IF(MacReports!J345="Service","Battery Service","")</f>
        <v/>
      </c>
      <c r="P345" s="13">
        <f>MacReports!Q345</f>
        <v>0</v>
      </c>
      <c r="Q345" s="13" t="str">
        <f>IF(MacReports!K345="Enabled","Apple ID Lock","")</f>
        <v/>
      </c>
      <c r="R345" s="13" t="str">
        <f>IF(MacReports!M345="Remote Lock","Remote Locked","")</f>
        <v/>
      </c>
      <c r="S345" t="str">
        <f t="shared" si="16"/>
        <v>Battery Defect, 0</v>
      </c>
      <c r="T345" t="str">
        <f>_xlfn.XLOOKUP(B345,Disk_Pivot!G:G,Disk_Pivot!N:N)</f>
        <v>Pass, Fail</v>
      </c>
      <c r="U345" t="str">
        <f>IF(T345="Fail",MacReports!O345,"")</f>
        <v/>
      </c>
      <c r="AA345" t="str">
        <f t="shared" si="17"/>
        <v/>
      </c>
    </row>
    <row r="346" spans="1:27">
      <c r="A346">
        <f>MacReports!A346</f>
        <v>0</v>
      </c>
      <c r="B346">
        <f>MacReports!B346</f>
        <v>0</v>
      </c>
      <c r="C346">
        <f>MacReports!D346</f>
        <v>0</v>
      </c>
      <c r="E346" t="str">
        <f>_xlfn.XLOOKUP(B346,MacReports!B:B,MacReports!E:E,"")</f>
        <v/>
      </c>
      <c r="F346" s="13">
        <f>MacReports!F346</f>
        <v>0</v>
      </c>
      <c r="G346" t="e">
        <f>_xlfn.XLOOKUP(F346,Models!A:A,Models!B:B)</f>
        <v>#N/A</v>
      </c>
      <c r="H346" t="e">
        <f>_xlfn.XLOOKUP(F346,Models!A:A,Models!E:E)</f>
        <v>#N/A</v>
      </c>
      <c r="I346" t="e">
        <f>_xlfn.XLOOKUP(F346,Models!A:A,Models!D:D)</f>
        <v>#N/A</v>
      </c>
      <c r="J346">
        <f>MacReports!G346</f>
        <v>0</v>
      </c>
      <c r="K346" s="59">
        <f>MacReports!H346</f>
        <v>0</v>
      </c>
      <c r="L346" t="str">
        <f t="shared" si="18"/>
        <v>0</v>
      </c>
      <c r="M346" s="15">
        <f>MacReports!I346</f>
        <v>0</v>
      </c>
      <c r="N346" s="16" t="str" cm="1">
        <f t="array" ref="N346">_xlfn.IFS(
   --MacReports!N346&lt;55,"Battery Defect",
  -- MacReports!N346&lt;=69,"Battery D",
  --MacReports!N346&lt;=80,"Battery C",
 --MacReports!N346&gt;80,""
)</f>
        <v>Battery Defect</v>
      </c>
      <c r="O346" s="16" t="str">
        <f>IF(MacReports!J346="Service","Battery Service","")</f>
        <v/>
      </c>
      <c r="P346" s="13">
        <f>MacReports!Q346</f>
        <v>0</v>
      </c>
      <c r="Q346" s="13" t="str">
        <f>IF(MacReports!K346="Enabled","Apple ID Lock","")</f>
        <v/>
      </c>
      <c r="R346" s="13" t="str">
        <f>IF(MacReports!M346="Remote Lock","Remote Locked","")</f>
        <v/>
      </c>
      <c r="S346" t="str">
        <f t="shared" si="16"/>
        <v>Battery Defect, 0</v>
      </c>
      <c r="T346" t="str">
        <f>_xlfn.XLOOKUP(B346,Disk_Pivot!G:G,Disk_Pivot!N:N)</f>
        <v>Pass, Fail</v>
      </c>
      <c r="U346" t="str">
        <f>IF(T346="Fail",MacReports!O346,"")</f>
        <v/>
      </c>
      <c r="AA346" t="str">
        <f t="shared" si="17"/>
        <v/>
      </c>
    </row>
    <row r="347" spans="1:27">
      <c r="A347">
        <f>MacReports!A347</f>
        <v>0</v>
      </c>
      <c r="B347">
        <f>MacReports!B347</f>
        <v>0</v>
      </c>
      <c r="C347">
        <f>MacReports!D347</f>
        <v>0</v>
      </c>
      <c r="E347" t="str">
        <f>_xlfn.XLOOKUP(B347,MacReports!B:B,MacReports!E:E,"")</f>
        <v/>
      </c>
      <c r="F347" s="13">
        <f>MacReports!F347</f>
        <v>0</v>
      </c>
      <c r="G347" t="e">
        <f>_xlfn.XLOOKUP(F347,Models!A:A,Models!B:B)</f>
        <v>#N/A</v>
      </c>
      <c r="H347" t="e">
        <f>_xlfn.XLOOKUP(F347,Models!A:A,Models!E:E)</f>
        <v>#N/A</v>
      </c>
      <c r="I347" t="e">
        <f>_xlfn.XLOOKUP(F347,Models!A:A,Models!D:D)</f>
        <v>#N/A</v>
      </c>
      <c r="J347">
        <f>MacReports!G347</f>
        <v>0</v>
      </c>
      <c r="K347" s="59">
        <f>MacReports!H347</f>
        <v>0</v>
      </c>
      <c r="L347" t="str">
        <f t="shared" si="18"/>
        <v>0</v>
      </c>
      <c r="M347" s="15">
        <f>MacReports!I347</f>
        <v>0</v>
      </c>
      <c r="N347" s="16" t="str" cm="1">
        <f t="array" ref="N347">_xlfn.IFS(
   --MacReports!N347&lt;55,"Battery Defect",
  -- MacReports!N347&lt;=69,"Battery D",
  --MacReports!N347&lt;=80,"Battery C",
 --MacReports!N347&gt;80,""
)</f>
        <v>Battery Defect</v>
      </c>
      <c r="O347" s="16" t="str">
        <f>IF(MacReports!J347="Service","Battery Service","")</f>
        <v/>
      </c>
      <c r="P347" s="13">
        <f>MacReports!Q347</f>
        <v>0</v>
      </c>
      <c r="Q347" s="13" t="str">
        <f>IF(MacReports!K347="Enabled","Apple ID Lock","")</f>
        <v/>
      </c>
      <c r="R347" s="13" t="str">
        <f>IF(MacReports!M347="Remote Lock","Remote Locked","")</f>
        <v/>
      </c>
      <c r="S347" t="str">
        <f t="shared" si="16"/>
        <v>Battery Defect, 0</v>
      </c>
      <c r="T347" t="str">
        <f>_xlfn.XLOOKUP(B347,Disk_Pivot!G:G,Disk_Pivot!N:N)</f>
        <v>Pass, Fail</v>
      </c>
      <c r="U347" t="str">
        <f>IF(T347="Fail",MacReports!O347,"")</f>
        <v/>
      </c>
      <c r="AA347" t="str">
        <f t="shared" si="17"/>
        <v/>
      </c>
    </row>
    <row r="348" spans="1:27">
      <c r="A348">
        <f>MacReports!A348</f>
        <v>0</v>
      </c>
      <c r="B348">
        <f>MacReports!B348</f>
        <v>0</v>
      </c>
      <c r="C348">
        <f>MacReports!D348</f>
        <v>0</v>
      </c>
      <c r="E348" t="str">
        <f>_xlfn.XLOOKUP(B348,MacReports!B:B,MacReports!E:E,"")</f>
        <v/>
      </c>
      <c r="F348" s="13">
        <f>MacReports!F348</f>
        <v>0</v>
      </c>
      <c r="G348" t="e">
        <f>_xlfn.XLOOKUP(F348,Models!A:A,Models!B:B)</f>
        <v>#N/A</v>
      </c>
      <c r="H348" t="e">
        <f>_xlfn.XLOOKUP(F348,Models!A:A,Models!E:E)</f>
        <v>#N/A</v>
      </c>
      <c r="I348" t="e">
        <f>_xlfn.XLOOKUP(F348,Models!A:A,Models!D:D)</f>
        <v>#N/A</v>
      </c>
      <c r="J348">
        <f>MacReports!G348</f>
        <v>0</v>
      </c>
      <c r="K348" s="59">
        <f>MacReports!H348</f>
        <v>0</v>
      </c>
      <c r="L348" t="str">
        <f t="shared" si="18"/>
        <v>0</v>
      </c>
      <c r="M348" s="15">
        <f>MacReports!I348</f>
        <v>0</v>
      </c>
      <c r="N348" s="16" t="str" cm="1">
        <f t="array" ref="N348">_xlfn.IFS(
   --MacReports!N348&lt;55,"Battery Defect",
  -- MacReports!N348&lt;=69,"Battery D",
  --MacReports!N348&lt;=80,"Battery C",
 --MacReports!N348&gt;80,""
)</f>
        <v>Battery Defect</v>
      </c>
      <c r="O348" s="16" t="str">
        <f>IF(MacReports!J348="Service","Battery Service","")</f>
        <v/>
      </c>
      <c r="P348" s="13">
        <f>MacReports!Q348</f>
        <v>0</v>
      </c>
      <c r="Q348" s="13" t="str">
        <f>IF(MacReports!K348="Enabled","Apple ID Lock","")</f>
        <v/>
      </c>
      <c r="R348" s="13" t="str">
        <f>IF(MacReports!M348="Remote Lock","Remote Locked","")</f>
        <v/>
      </c>
      <c r="S348" t="str">
        <f t="shared" si="16"/>
        <v>Battery Defect, 0</v>
      </c>
      <c r="T348" t="str">
        <f>_xlfn.XLOOKUP(B348,Disk_Pivot!G:G,Disk_Pivot!N:N)</f>
        <v>Pass, Fail</v>
      </c>
      <c r="U348" t="str">
        <f>IF(T348="Fail",MacReports!O348,"")</f>
        <v/>
      </c>
      <c r="AA348" t="str">
        <f t="shared" si="17"/>
        <v/>
      </c>
    </row>
    <row r="349" spans="1:27">
      <c r="A349">
        <f>MacReports!A349</f>
        <v>0</v>
      </c>
      <c r="B349">
        <f>MacReports!B349</f>
        <v>0</v>
      </c>
      <c r="C349">
        <f>MacReports!D349</f>
        <v>0</v>
      </c>
      <c r="E349" t="str">
        <f>_xlfn.XLOOKUP(B349,MacReports!B:B,MacReports!E:E,"")</f>
        <v/>
      </c>
      <c r="F349" s="13">
        <f>MacReports!F349</f>
        <v>0</v>
      </c>
      <c r="G349" t="e">
        <f>_xlfn.XLOOKUP(F349,Models!A:A,Models!B:B)</f>
        <v>#N/A</v>
      </c>
      <c r="H349" t="e">
        <f>_xlfn.XLOOKUP(F349,Models!A:A,Models!E:E)</f>
        <v>#N/A</v>
      </c>
      <c r="I349" t="e">
        <f>_xlfn.XLOOKUP(F349,Models!A:A,Models!D:D)</f>
        <v>#N/A</v>
      </c>
      <c r="J349">
        <f>MacReports!G349</f>
        <v>0</v>
      </c>
      <c r="K349" s="59">
        <f>MacReports!H349</f>
        <v>0</v>
      </c>
      <c r="L349" t="str">
        <f t="shared" si="18"/>
        <v>0</v>
      </c>
      <c r="M349" s="15">
        <f>MacReports!I349</f>
        <v>0</v>
      </c>
      <c r="N349" s="16" t="str" cm="1">
        <f t="array" ref="N349">_xlfn.IFS(
   --MacReports!N349&lt;55,"Battery Defect",
  -- MacReports!N349&lt;=69,"Battery D",
  --MacReports!N349&lt;=80,"Battery C",
 --MacReports!N349&gt;80,""
)</f>
        <v>Battery Defect</v>
      </c>
      <c r="O349" s="16" t="str">
        <f>IF(MacReports!J349="Service","Battery Service","")</f>
        <v/>
      </c>
      <c r="P349" s="13">
        <f>MacReports!Q349</f>
        <v>0</v>
      </c>
      <c r="Q349" s="13" t="str">
        <f>IF(MacReports!K349="Enabled","Apple ID Lock","")</f>
        <v/>
      </c>
      <c r="R349" s="13" t="str">
        <f>IF(MacReports!M349="Remote Lock","Remote Locked","")</f>
        <v/>
      </c>
      <c r="S349" t="str">
        <f t="shared" si="16"/>
        <v>Battery Defect, 0</v>
      </c>
      <c r="T349" t="str">
        <f>_xlfn.XLOOKUP(B349,Disk_Pivot!G:G,Disk_Pivot!N:N)</f>
        <v>Pass, Fail</v>
      </c>
      <c r="U349" t="str">
        <f>IF(T349="Fail",MacReports!O349,"")</f>
        <v/>
      </c>
      <c r="AA349" t="str">
        <f t="shared" si="17"/>
        <v/>
      </c>
    </row>
    <row r="350" spans="1:27">
      <c r="A350">
        <f>MacReports!A350</f>
        <v>0</v>
      </c>
      <c r="B350">
        <f>MacReports!B350</f>
        <v>0</v>
      </c>
      <c r="C350">
        <f>MacReports!D350</f>
        <v>0</v>
      </c>
      <c r="E350" t="str">
        <f>_xlfn.XLOOKUP(B350,MacReports!B:B,MacReports!E:E,"")</f>
        <v/>
      </c>
      <c r="F350" s="13">
        <f>MacReports!F350</f>
        <v>0</v>
      </c>
      <c r="G350" t="e">
        <f>_xlfn.XLOOKUP(F350,Models!A:A,Models!B:B)</f>
        <v>#N/A</v>
      </c>
      <c r="H350" t="e">
        <f>_xlfn.XLOOKUP(F350,Models!A:A,Models!E:E)</f>
        <v>#N/A</v>
      </c>
      <c r="I350" t="e">
        <f>_xlfn.XLOOKUP(F350,Models!A:A,Models!D:D)</f>
        <v>#N/A</v>
      </c>
      <c r="J350">
        <f>MacReports!G350</f>
        <v>0</v>
      </c>
      <c r="K350" s="59">
        <f>MacReports!H350</f>
        <v>0</v>
      </c>
      <c r="L350" t="str">
        <f t="shared" si="18"/>
        <v>0</v>
      </c>
      <c r="M350" s="15">
        <f>MacReports!I350</f>
        <v>0</v>
      </c>
      <c r="N350" s="16" t="str" cm="1">
        <f t="array" ref="N350">_xlfn.IFS(
   --MacReports!N350&lt;55,"Battery Defect",
  -- MacReports!N350&lt;=69,"Battery D",
  --MacReports!N350&lt;=80,"Battery C",
 --MacReports!N350&gt;80,""
)</f>
        <v>Battery Defect</v>
      </c>
      <c r="O350" s="16" t="str">
        <f>IF(MacReports!J350="Service","Battery Service","")</f>
        <v/>
      </c>
      <c r="P350" s="13">
        <f>MacReports!Q350</f>
        <v>0</v>
      </c>
      <c r="Q350" s="13" t="str">
        <f>IF(MacReports!K350="Enabled","Apple ID Lock","")</f>
        <v/>
      </c>
      <c r="R350" s="13" t="str">
        <f>IF(MacReports!M350="Remote Lock","Remote Locked","")</f>
        <v/>
      </c>
      <c r="S350" t="str">
        <f t="shared" si="16"/>
        <v>Battery Defect, 0</v>
      </c>
      <c r="T350" t="str">
        <f>_xlfn.XLOOKUP(B350,Disk_Pivot!G:G,Disk_Pivot!N:N)</f>
        <v>Pass, Fail</v>
      </c>
      <c r="U350" t="str">
        <f>IF(T350="Fail",MacReports!O350,"")</f>
        <v/>
      </c>
      <c r="AA350" t="str">
        <f t="shared" si="17"/>
        <v/>
      </c>
    </row>
    <row r="351" spans="1:27">
      <c r="A351">
        <f>MacReports!A351</f>
        <v>0</v>
      </c>
      <c r="B351">
        <f>MacReports!B351</f>
        <v>0</v>
      </c>
      <c r="C351">
        <f>MacReports!D351</f>
        <v>0</v>
      </c>
      <c r="E351" t="str">
        <f>_xlfn.XLOOKUP(B351,MacReports!B:B,MacReports!E:E,"")</f>
        <v/>
      </c>
      <c r="F351" s="13">
        <f>MacReports!F351</f>
        <v>0</v>
      </c>
      <c r="G351" t="e">
        <f>_xlfn.XLOOKUP(F351,Models!A:A,Models!B:B)</f>
        <v>#N/A</v>
      </c>
      <c r="H351" t="e">
        <f>_xlfn.XLOOKUP(F351,Models!A:A,Models!E:E)</f>
        <v>#N/A</v>
      </c>
      <c r="I351" t="e">
        <f>_xlfn.XLOOKUP(F351,Models!A:A,Models!D:D)</f>
        <v>#N/A</v>
      </c>
      <c r="J351">
        <f>MacReports!G351</f>
        <v>0</v>
      </c>
      <c r="K351" s="59">
        <f>MacReports!H351</f>
        <v>0</v>
      </c>
      <c r="L351" t="str">
        <f t="shared" si="18"/>
        <v>0</v>
      </c>
      <c r="M351" s="15">
        <f>MacReports!I351</f>
        <v>0</v>
      </c>
      <c r="N351" s="16" t="str" cm="1">
        <f t="array" ref="N351">_xlfn.IFS(
   --MacReports!N351&lt;55,"Battery Defect",
  -- MacReports!N351&lt;=69,"Battery D",
  --MacReports!N351&lt;=80,"Battery C",
 --MacReports!N351&gt;80,""
)</f>
        <v>Battery Defect</v>
      </c>
      <c r="O351" s="16" t="str">
        <f>IF(MacReports!J351="Service","Battery Service","")</f>
        <v/>
      </c>
      <c r="P351" s="13">
        <f>MacReports!Q351</f>
        <v>0</v>
      </c>
      <c r="Q351" s="13" t="str">
        <f>IF(MacReports!K351="Enabled","Apple ID Lock","")</f>
        <v/>
      </c>
      <c r="R351" s="13" t="str">
        <f>IF(MacReports!M351="Remote Lock","Remote Locked","")</f>
        <v/>
      </c>
      <c r="S351" t="str">
        <f t="shared" si="16"/>
        <v>Battery Defect, 0</v>
      </c>
      <c r="T351" t="str">
        <f>_xlfn.XLOOKUP(B351,Disk_Pivot!G:G,Disk_Pivot!N:N)</f>
        <v>Pass, Fail</v>
      </c>
      <c r="U351" t="str">
        <f>IF(T351="Fail",MacReports!O351,"")</f>
        <v/>
      </c>
      <c r="AA351" t="str">
        <f t="shared" si="17"/>
        <v/>
      </c>
    </row>
    <row r="352" spans="1:27">
      <c r="A352">
        <f>MacReports!A352</f>
        <v>0</v>
      </c>
      <c r="B352">
        <f>MacReports!B352</f>
        <v>0</v>
      </c>
      <c r="C352">
        <f>MacReports!D352</f>
        <v>0</v>
      </c>
      <c r="E352" t="str">
        <f>_xlfn.XLOOKUP(B352,MacReports!B:B,MacReports!E:E,"")</f>
        <v/>
      </c>
      <c r="F352" s="13">
        <f>MacReports!F352</f>
        <v>0</v>
      </c>
      <c r="G352" t="e">
        <f>_xlfn.XLOOKUP(F352,Models!A:A,Models!B:B)</f>
        <v>#N/A</v>
      </c>
      <c r="H352" t="e">
        <f>_xlfn.XLOOKUP(F352,Models!A:A,Models!E:E)</f>
        <v>#N/A</v>
      </c>
      <c r="I352" t="e">
        <f>_xlfn.XLOOKUP(F352,Models!A:A,Models!D:D)</f>
        <v>#N/A</v>
      </c>
      <c r="J352">
        <f>MacReports!G352</f>
        <v>0</v>
      </c>
      <c r="K352" s="59">
        <f>MacReports!H352</f>
        <v>0</v>
      </c>
      <c r="L352" t="str">
        <f t="shared" si="18"/>
        <v>0</v>
      </c>
      <c r="M352" s="15">
        <f>MacReports!I352</f>
        <v>0</v>
      </c>
      <c r="N352" s="16" t="str" cm="1">
        <f t="array" ref="N352">_xlfn.IFS(
   --MacReports!N352&lt;55,"Battery Defect",
  -- MacReports!N352&lt;=69,"Battery D",
  --MacReports!N352&lt;=80,"Battery C",
 --MacReports!N352&gt;80,""
)</f>
        <v>Battery Defect</v>
      </c>
      <c r="O352" s="16" t="str">
        <f>IF(MacReports!J352="Service","Battery Service","")</f>
        <v/>
      </c>
      <c r="P352" s="13">
        <f>MacReports!Q352</f>
        <v>0</v>
      </c>
      <c r="Q352" s="13" t="str">
        <f>IF(MacReports!K352="Enabled","Apple ID Lock","")</f>
        <v/>
      </c>
      <c r="R352" s="13" t="str">
        <f>IF(MacReports!M352="Remote Lock","Remote Locked","")</f>
        <v/>
      </c>
      <c r="S352" t="str">
        <f t="shared" si="16"/>
        <v>Battery Defect, 0</v>
      </c>
      <c r="T352" t="str">
        <f>_xlfn.XLOOKUP(B352,Disk_Pivot!G:G,Disk_Pivot!N:N)</f>
        <v>Pass, Fail</v>
      </c>
      <c r="U352" t="str">
        <f>IF(T352="Fail",MacReports!O352,"")</f>
        <v/>
      </c>
      <c r="AA352" t="str">
        <f t="shared" si="17"/>
        <v/>
      </c>
    </row>
    <row r="353" spans="1:27">
      <c r="A353">
        <f>MacReports!A353</f>
        <v>0</v>
      </c>
      <c r="B353">
        <f>MacReports!B353</f>
        <v>0</v>
      </c>
      <c r="C353">
        <f>MacReports!D353</f>
        <v>0</v>
      </c>
      <c r="E353" t="str">
        <f>_xlfn.XLOOKUP(B353,MacReports!B:B,MacReports!E:E,"")</f>
        <v/>
      </c>
      <c r="F353" s="13">
        <f>MacReports!F353</f>
        <v>0</v>
      </c>
      <c r="G353" t="e">
        <f>_xlfn.XLOOKUP(F353,Models!A:A,Models!B:B)</f>
        <v>#N/A</v>
      </c>
      <c r="H353" t="e">
        <f>_xlfn.XLOOKUP(F353,Models!A:A,Models!E:E)</f>
        <v>#N/A</v>
      </c>
      <c r="I353" t="e">
        <f>_xlfn.XLOOKUP(F353,Models!A:A,Models!D:D)</f>
        <v>#N/A</v>
      </c>
      <c r="J353">
        <f>MacReports!G353</f>
        <v>0</v>
      </c>
      <c r="K353" s="59">
        <f>MacReports!H353</f>
        <v>0</v>
      </c>
      <c r="L353" t="str">
        <f t="shared" si="18"/>
        <v>0</v>
      </c>
      <c r="M353" s="15">
        <f>MacReports!I353</f>
        <v>0</v>
      </c>
      <c r="N353" s="16" t="str" cm="1">
        <f t="array" ref="N353">_xlfn.IFS(
   --MacReports!N353&lt;55,"Battery Defect",
  -- MacReports!N353&lt;=69,"Battery D",
  --MacReports!N353&lt;=80,"Battery C",
 --MacReports!N353&gt;80,""
)</f>
        <v>Battery Defect</v>
      </c>
      <c r="O353" s="16" t="str">
        <f>IF(MacReports!J353="Service","Battery Service","")</f>
        <v/>
      </c>
      <c r="P353" s="13">
        <f>MacReports!Q353</f>
        <v>0</v>
      </c>
      <c r="Q353" s="13" t="str">
        <f>IF(MacReports!K353="Enabled","Apple ID Lock","")</f>
        <v/>
      </c>
      <c r="R353" s="13" t="str">
        <f>IF(MacReports!M353="Remote Lock","Remote Locked","")</f>
        <v/>
      </c>
      <c r="S353" t="str">
        <f t="shared" si="16"/>
        <v>Battery Defect, 0</v>
      </c>
      <c r="T353" t="str">
        <f>_xlfn.XLOOKUP(B353,Disk_Pivot!G:G,Disk_Pivot!N:N)</f>
        <v>Pass, Fail</v>
      </c>
      <c r="U353" t="str">
        <f>IF(T353="Fail",MacReports!O353,"")</f>
        <v/>
      </c>
      <c r="AA353" t="str">
        <f t="shared" si="17"/>
        <v/>
      </c>
    </row>
    <row r="354" spans="1:27">
      <c r="A354">
        <f>MacReports!A354</f>
        <v>0</v>
      </c>
      <c r="B354">
        <f>MacReports!B354</f>
        <v>0</v>
      </c>
      <c r="C354">
        <f>MacReports!D354</f>
        <v>0</v>
      </c>
      <c r="E354" t="str">
        <f>_xlfn.XLOOKUP(B354,MacReports!B:B,MacReports!E:E,"")</f>
        <v/>
      </c>
      <c r="F354" s="13">
        <f>MacReports!F354</f>
        <v>0</v>
      </c>
      <c r="G354" t="e">
        <f>_xlfn.XLOOKUP(F354,Models!A:A,Models!B:B)</f>
        <v>#N/A</v>
      </c>
      <c r="H354" t="e">
        <f>_xlfn.XLOOKUP(F354,Models!A:A,Models!E:E)</f>
        <v>#N/A</v>
      </c>
      <c r="I354" t="e">
        <f>_xlfn.XLOOKUP(F354,Models!A:A,Models!D:D)</f>
        <v>#N/A</v>
      </c>
      <c r="J354">
        <f>MacReports!G354</f>
        <v>0</v>
      </c>
      <c r="K354" s="59">
        <f>MacReports!H354</f>
        <v>0</v>
      </c>
      <c r="L354" t="str">
        <f t="shared" si="18"/>
        <v>0</v>
      </c>
      <c r="M354" s="15">
        <f>MacReports!I354</f>
        <v>0</v>
      </c>
      <c r="N354" s="16" t="str" cm="1">
        <f t="array" ref="N354">_xlfn.IFS(
   --MacReports!N354&lt;55,"Battery Defect",
  -- MacReports!N354&lt;=69,"Battery D",
  --MacReports!N354&lt;=80,"Battery C",
 --MacReports!N354&gt;80,""
)</f>
        <v>Battery Defect</v>
      </c>
      <c r="O354" s="16" t="str">
        <f>IF(MacReports!J354="Service","Battery Service","")</f>
        <v/>
      </c>
      <c r="P354" s="13">
        <f>MacReports!Q354</f>
        <v>0</v>
      </c>
      <c r="Q354" s="13" t="str">
        <f>IF(MacReports!K354="Enabled","Apple ID Lock","")</f>
        <v/>
      </c>
      <c r="R354" s="13" t="str">
        <f>IF(MacReports!M354="Remote Lock","Remote Locked","")</f>
        <v/>
      </c>
      <c r="S354" t="str">
        <f t="shared" si="16"/>
        <v>Battery Defect, 0</v>
      </c>
      <c r="T354" t="str">
        <f>_xlfn.XLOOKUP(B354,Disk_Pivot!G:G,Disk_Pivot!N:N)</f>
        <v>Pass, Fail</v>
      </c>
      <c r="U354" t="str">
        <f>IF(T354="Fail",MacReports!O354,"")</f>
        <v/>
      </c>
      <c r="AA354" t="str">
        <f t="shared" si="17"/>
        <v/>
      </c>
    </row>
    <row r="355" spans="1:27">
      <c r="A355">
        <f>MacReports!A355</f>
        <v>0</v>
      </c>
      <c r="B355">
        <f>MacReports!B355</f>
        <v>0</v>
      </c>
      <c r="C355">
        <f>MacReports!D355</f>
        <v>0</v>
      </c>
      <c r="E355" t="str">
        <f>_xlfn.XLOOKUP(B355,MacReports!B:B,MacReports!E:E,"")</f>
        <v/>
      </c>
      <c r="F355" s="13">
        <f>MacReports!F355</f>
        <v>0</v>
      </c>
      <c r="G355" t="e">
        <f>_xlfn.XLOOKUP(F355,Models!A:A,Models!B:B)</f>
        <v>#N/A</v>
      </c>
      <c r="H355" t="e">
        <f>_xlfn.XLOOKUP(F355,Models!A:A,Models!E:E)</f>
        <v>#N/A</v>
      </c>
      <c r="I355" t="e">
        <f>_xlfn.XLOOKUP(F355,Models!A:A,Models!D:D)</f>
        <v>#N/A</v>
      </c>
      <c r="J355">
        <f>MacReports!G355</f>
        <v>0</v>
      </c>
      <c r="K355" s="59">
        <f>MacReports!H355</f>
        <v>0</v>
      </c>
      <c r="L355" t="str">
        <f t="shared" si="18"/>
        <v>0</v>
      </c>
      <c r="M355" s="15">
        <f>MacReports!I355</f>
        <v>0</v>
      </c>
      <c r="N355" s="16" t="str" cm="1">
        <f t="array" ref="N355">_xlfn.IFS(
   --MacReports!N355&lt;55,"Battery Defect",
  -- MacReports!N355&lt;=69,"Battery D",
  --MacReports!N355&lt;=80,"Battery C",
 --MacReports!N355&gt;80,""
)</f>
        <v>Battery Defect</v>
      </c>
      <c r="O355" s="16" t="str">
        <f>IF(MacReports!J355="Service","Battery Service","")</f>
        <v/>
      </c>
      <c r="P355" s="13">
        <f>MacReports!Q355</f>
        <v>0</v>
      </c>
      <c r="Q355" s="13" t="str">
        <f>IF(MacReports!K355="Enabled","Apple ID Lock","")</f>
        <v/>
      </c>
      <c r="R355" s="13" t="str">
        <f>IF(MacReports!M355="Remote Lock","Remote Locked","")</f>
        <v/>
      </c>
      <c r="S355" t="str">
        <f t="shared" ref="S355:S387" si="19">_xlfn.TEXTJOIN(", ",TRUE,Q355,R355,N355,O355,P355)</f>
        <v>Battery Defect, 0</v>
      </c>
      <c r="T355" t="str">
        <f>_xlfn.XLOOKUP(B355,Disk_Pivot!G:G,Disk_Pivot!N:N)</f>
        <v>Pass, Fail</v>
      </c>
      <c r="U355" t="str">
        <f>IF(T355="Fail",MacReports!O355,"")</f>
        <v/>
      </c>
      <c r="AA355" t="str">
        <f t="shared" ref="AA355:AA387" si="20">_xlfn.TEXTJOIN(", ",TRUE,Q355,R355)</f>
        <v/>
      </c>
    </row>
    <row r="356" spans="1:27">
      <c r="A356">
        <f>MacReports!A356</f>
        <v>0</v>
      </c>
      <c r="B356">
        <f>MacReports!B356</f>
        <v>0</v>
      </c>
      <c r="C356">
        <f>MacReports!D356</f>
        <v>0</v>
      </c>
      <c r="E356" t="str">
        <f>_xlfn.XLOOKUP(B356,MacReports!B:B,MacReports!E:E,"")</f>
        <v/>
      </c>
      <c r="F356" s="13">
        <f>MacReports!F356</f>
        <v>0</v>
      </c>
      <c r="G356" t="e">
        <f>_xlfn.XLOOKUP(F356,Models!A:A,Models!B:B)</f>
        <v>#N/A</v>
      </c>
      <c r="H356" t="e">
        <f>_xlfn.XLOOKUP(F356,Models!A:A,Models!E:E)</f>
        <v>#N/A</v>
      </c>
      <c r="I356" t="e">
        <f>_xlfn.XLOOKUP(F356,Models!A:A,Models!D:D)</f>
        <v>#N/A</v>
      </c>
      <c r="J356">
        <f>MacReports!G356</f>
        <v>0</v>
      </c>
      <c r="K356" s="59">
        <f>MacReports!H356</f>
        <v>0</v>
      </c>
      <c r="L356" t="str">
        <f t="shared" si="18"/>
        <v>0</v>
      </c>
      <c r="M356" s="15">
        <f>MacReports!I356</f>
        <v>0</v>
      </c>
      <c r="N356" s="16" t="str" cm="1">
        <f t="array" ref="N356">_xlfn.IFS(
   --MacReports!N356&lt;55,"Battery Defect",
  -- MacReports!N356&lt;=69,"Battery D",
  --MacReports!N356&lt;=80,"Battery C",
 --MacReports!N356&gt;80,""
)</f>
        <v>Battery Defect</v>
      </c>
      <c r="O356" s="16" t="str">
        <f>IF(MacReports!J356="Service","Battery Service","")</f>
        <v/>
      </c>
      <c r="P356" s="13">
        <f>MacReports!Q356</f>
        <v>0</v>
      </c>
      <c r="Q356" s="13" t="str">
        <f>IF(MacReports!K356="Enabled","Apple ID Lock","")</f>
        <v/>
      </c>
      <c r="R356" s="13" t="str">
        <f>IF(MacReports!M356="Remote Lock","Remote Locked","")</f>
        <v/>
      </c>
      <c r="S356" t="str">
        <f t="shared" si="19"/>
        <v>Battery Defect, 0</v>
      </c>
      <c r="T356" t="str">
        <f>_xlfn.XLOOKUP(B356,Disk_Pivot!G:G,Disk_Pivot!N:N)</f>
        <v>Pass, Fail</v>
      </c>
      <c r="U356" t="str">
        <f>IF(T356="Fail",MacReports!O356,"")</f>
        <v/>
      </c>
      <c r="AA356" t="str">
        <f t="shared" si="20"/>
        <v/>
      </c>
    </row>
    <row r="357" spans="1:27">
      <c r="A357">
        <f>MacReports!A357</f>
        <v>0</v>
      </c>
      <c r="B357">
        <f>MacReports!B357</f>
        <v>0</v>
      </c>
      <c r="C357">
        <f>MacReports!D357</f>
        <v>0</v>
      </c>
      <c r="E357" t="str">
        <f>_xlfn.XLOOKUP(B357,MacReports!B:B,MacReports!E:E,"")</f>
        <v/>
      </c>
      <c r="F357" s="13">
        <f>MacReports!F357</f>
        <v>0</v>
      </c>
      <c r="G357" t="e">
        <f>_xlfn.XLOOKUP(F357,Models!A:A,Models!B:B)</f>
        <v>#N/A</v>
      </c>
      <c r="H357" t="e">
        <f>_xlfn.XLOOKUP(F357,Models!A:A,Models!E:E)</f>
        <v>#N/A</v>
      </c>
      <c r="I357" t="e">
        <f>_xlfn.XLOOKUP(F357,Models!A:A,Models!D:D)</f>
        <v>#N/A</v>
      </c>
      <c r="J357">
        <f>MacReports!G357</f>
        <v>0</v>
      </c>
      <c r="K357" s="59">
        <f>MacReports!H357</f>
        <v>0</v>
      </c>
      <c r="L357" t="str">
        <f t="shared" si="18"/>
        <v>0</v>
      </c>
      <c r="M357" s="15">
        <f>MacReports!I357</f>
        <v>0</v>
      </c>
      <c r="N357" s="16" t="str" cm="1">
        <f t="array" ref="N357">_xlfn.IFS(
   --MacReports!N357&lt;55,"Battery Defect",
  -- MacReports!N357&lt;=69,"Battery D",
  --MacReports!N357&lt;=80,"Battery C",
 --MacReports!N357&gt;80,""
)</f>
        <v>Battery Defect</v>
      </c>
      <c r="O357" s="16" t="str">
        <f>IF(MacReports!J357="Service","Battery Service","")</f>
        <v/>
      </c>
      <c r="P357" s="13">
        <f>MacReports!Q357</f>
        <v>0</v>
      </c>
      <c r="Q357" s="13" t="str">
        <f>IF(MacReports!K357="Enabled","Apple ID Lock","")</f>
        <v/>
      </c>
      <c r="R357" s="13" t="str">
        <f>IF(MacReports!M357="Remote Lock","Remote Locked","")</f>
        <v/>
      </c>
      <c r="S357" t="str">
        <f t="shared" si="19"/>
        <v>Battery Defect, 0</v>
      </c>
      <c r="T357" t="str">
        <f>_xlfn.XLOOKUP(B357,Disk_Pivot!G:G,Disk_Pivot!N:N)</f>
        <v>Pass, Fail</v>
      </c>
      <c r="U357" t="str">
        <f>IF(T357="Fail",MacReports!O357,"")</f>
        <v/>
      </c>
      <c r="AA357" t="str">
        <f t="shared" si="20"/>
        <v/>
      </c>
    </row>
    <row r="358" spans="1:27">
      <c r="A358">
        <f>MacReports!A358</f>
        <v>0</v>
      </c>
      <c r="B358">
        <f>MacReports!B358</f>
        <v>0</v>
      </c>
      <c r="C358">
        <f>MacReports!D358</f>
        <v>0</v>
      </c>
      <c r="E358" t="str">
        <f>_xlfn.XLOOKUP(B358,MacReports!B:B,MacReports!E:E,"")</f>
        <v/>
      </c>
      <c r="F358" s="13">
        <f>MacReports!F358</f>
        <v>0</v>
      </c>
      <c r="G358" t="e">
        <f>_xlfn.XLOOKUP(F358,Models!A:A,Models!B:B)</f>
        <v>#N/A</v>
      </c>
      <c r="H358" t="e">
        <f>_xlfn.XLOOKUP(F358,Models!A:A,Models!E:E)</f>
        <v>#N/A</v>
      </c>
      <c r="I358" t="e">
        <f>_xlfn.XLOOKUP(F358,Models!A:A,Models!D:D)</f>
        <v>#N/A</v>
      </c>
      <c r="J358">
        <f>MacReports!G358</f>
        <v>0</v>
      </c>
      <c r="K358" s="59">
        <f>MacReports!H358</f>
        <v>0</v>
      </c>
      <c r="L358" t="str">
        <f t="shared" si="18"/>
        <v>0</v>
      </c>
      <c r="M358" s="15">
        <f>MacReports!I358</f>
        <v>0</v>
      </c>
      <c r="N358" s="16" t="str" cm="1">
        <f t="array" ref="N358">_xlfn.IFS(
   --MacReports!N358&lt;55,"Battery Defect",
  -- MacReports!N358&lt;=69,"Battery D",
  --MacReports!N358&lt;=80,"Battery C",
 --MacReports!N358&gt;80,""
)</f>
        <v>Battery Defect</v>
      </c>
      <c r="O358" s="16" t="str">
        <f>IF(MacReports!J358="Service","Battery Service","")</f>
        <v/>
      </c>
      <c r="P358" s="13">
        <f>MacReports!Q358</f>
        <v>0</v>
      </c>
      <c r="Q358" s="13" t="str">
        <f>IF(MacReports!K358="Enabled","Apple ID Lock","")</f>
        <v/>
      </c>
      <c r="R358" s="13" t="str">
        <f>IF(MacReports!M358="Remote Lock","Remote Locked","")</f>
        <v/>
      </c>
      <c r="S358" t="str">
        <f t="shared" si="19"/>
        <v>Battery Defect, 0</v>
      </c>
      <c r="T358" t="str">
        <f>_xlfn.XLOOKUP(B358,Disk_Pivot!G:G,Disk_Pivot!N:N)</f>
        <v>Pass, Fail</v>
      </c>
      <c r="U358" t="str">
        <f>IF(T358="Fail",MacReports!O358,"")</f>
        <v/>
      </c>
      <c r="AA358" t="str">
        <f t="shared" si="20"/>
        <v/>
      </c>
    </row>
    <row r="359" spans="1:27">
      <c r="A359">
        <f>MacReports!A359</f>
        <v>0</v>
      </c>
      <c r="B359">
        <f>MacReports!B359</f>
        <v>0</v>
      </c>
      <c r="C359">
        <f>MacReports!D359</f>
        <v>0</v>
      </c>
      <c r="E359" t="str">
        <f>_xlfn.XLOOKUP(B359,MacReports!B:B,MacReports!E:E,"")</f>
        <v/>
      </c>
      <c r="F359" s="13">
        <f>MacReports!F359</f>
        <v>0</v>
      </c>
      <c r="G359" t="e">
        <f>_xlfn.XLOOKUP(F359,Models!A:A,Models!B:B)</f>
        <v>#N/A</v>
      </c>
      <c r="H359" t="e">
        <f>_xlfn.XLOOKUP(F359,Models!A:A,Models!E:E)</f>
        <v>#N/A</v>
      </c>
      <c r="I359" t="e">
        <f>_xlfn.XLOOKUP(F359,Models!A:A,Models!D:D)</f>
        <v>#N/A</v>
      </c>
      <c r="J359">
        <f>MacReports!G359</f>
        <v>0</v>
      </c>
      <c r="K359" s="59">
        <f>MacReports!H359</f>
        <v>0</v>
      </c>
      <c r="L359" t="str">
        <f t="shared" si="18"/>
        <v>0</v>
      </c>
      <c r="M359" s="15">
        <f>MacReports!I359</f>
        <v>0</v>
      </c>
      <c r="N359" s="16" t="str" cm="1">
        <f t="array" ref="N359">_xlfn.IFS(
   --MacReports!N359&lt;55,"Battery Defect",
  -- MacReports!N359&lt;=69,"Battery D",
  --MacReports!N359&lt;=80,"Battery C",
 --MacReports!N359&gt;80,""
)</f>
        <v>Battery Defect</v>
      </c>
      <c r="O359" s="16" t="str">
        <f>IF(MacReports!J359="Service","Battery Service","")</f>
        <v/>
      </c>
      <c r="P359" s="13">
        <f>MacReports!Q359</f>
        <v>0</v>
      </c>
      <c r="Q359" s="13" t="str">
        <f>IF(MacReports!K359="Enabled","Apple ID Lock","")</f>
        <v/>
      </c>
      <c r="R359" s="13" t="str">
        <f>IF(MacReports!M359="Remote Lock","Remote Locked","")</f>
        <v/>
      </c>
      <c r="S359" t="str">
        <f t="shared" si="19"/>
        <v>Battery Defect, 0</v>
      </c>
      <c r="T359" t="str">
        <f>_xlfn.XLOOKUP(B359,Disk_Pivot!G:G,Disk_Pivot!N:N)</f>
        <v>Pass, Fail</v>
      </c>
      <c r="U359" t="str">
        <f>IF(T359="Fail",MacReports!O359,"")</f>
        <v/>
      </c>
      <c r="AA359" t="str">
        <f t="shared" si="20"/>
        <v/>
      </c>
    </row>
    <row r="360" spans="1:27">
      <c r="A360">
        <f>MacReports!A360</f>
        <v>0</v>
      </c>
      <c r="B360">
        <f>MacReports!B360</f>
        <v>0</v>
      </c>
      <c r="C360">
        <f>MacReports!D360</f>
        <v>0</v>
      </c>
      <c r="E360" t="str">
        <f>_xlfn.XLOOKUP(B360,MacReports!B:B,MacReports!E:E,"")</f>
        <v/>
      </c>
      <c r="F360" s="13">
        <f>MacReports!F360</f>
        <v>0</v>
      </c>
      <c r="G360" t="e">
        <f>_xlfn.XLOOKUP(F360,Models!A:A,Models!B:B)</f>
        <v>#N/A</v>
      </c>
      <c r="H360" t="e">
        <f>_xlfn.XLOOKUP(F360,Models!A:A,Models!E:E)</f>
        <v>#N/A</v>
      </c>
      <c r="I360" t="e">
        <f>_xlfn.XLOOKUP(F360,Models!A:A,Models!D:D)</f>
        <v>#N/A</v>
      </c>
      <c r="J360">
        <f>MacReports!G360</f>
        <v>0</v>
      </c>
      <c r="K360" s="59">
        <f>MacReports!H360</f>
        <v>0</v>
      </c>
      <c r="L360" t="str">
        <f t="shared" si="18"/>
        <v>0</v>
      </c>
      <c r="M360" s="15">
        <f>MacReports!I360</f>
        <v>0</v>
      </c>
      <c r="N360" s="16" t="str" cm="1">
        <f t="array" ref="N360">_xlfn.IFS(
   --MacReports!N360&lt;55,"Battery Defect",
  -- MacReports!N360&lt;=69,"Battery D",
  --MacReports!N360&lt;=80,"Battery C",
 --MacReports!N360&gt;80,""
)</f>
        <v>Battery Defect</v>
      </c>
      <c r="O360" s="16" t="str">
        <f>IF(MacReports!J360="Service","Battery Service","")</f>
        <v/>
      </c>
      <c r="P360" s="13">
        <f>MacReports!Q360</f>
        <v>0</v>
      </c>
      <c r="Q360" s="13" t="str">
        <f>IF(MacReports!K360="Enabled","Apple ID Lock","")</f>
        <v/>
      </c>
      <c r="R360" s="13" t="str">
        <f>IF(MacReports!M360="Remote Lock","Remote Locked","")</f>
        <v/>
      </c>
      <c r="S360" t="str">
        <f t="shared" si="19"/>
        <v>Battery Defect, 0</v>
      </c>
      <c r="T360" t="str">
        <f>_xlfn.XLOOKUP(B360,Disk_Pivot!G:G,Disk_Pivot!N:N)</f>
        <v>Pass, Fail</v>
      </c>
      <c r="U360" t="str">
        <f>IF(T360="Fail",MacReports!O360,"")</f>
        <v/>
      </c>
      <c r="AA360" t="str">
        <f t="shared" si="20"/>
        <v/>
      </c>
    </row>
    <row r="361" spans="1:27">
      <c r="A361">
        <f>MacReports!A361</f>
        <v>0</v>
      </c>
      <c r="B361">
        <f>MacReports!B361</f>
        <v>0</v>
      </c>
      <c r="C361">
        <f>MacReports!D361</f>
        <v>0</v>
      </c>
      <c r="E361" t="str">
        <f>_xlfn.XLOOKUP(B361,MacReports!B:B,MacReports!E:E,"")</f>
        <v/>
      </c>
      <c r="F361" s="13">
        <f>MacReports!F361</f>
        <v>0</v>
      </c>
      <c r="G361" t="e">
        <f>_xlfn.XLOOKUP(F361,Models!A:A,Models!B:B)</f>
        <v>#N/A</v>
      </c>
      <c r="H361" t="e">
        <f>_xlfn.XLOOKUP(F361,Models!A:A,Models!E:E)</f>
        <v>#N/A</v>
      </c>
      <c r="I361" t="e">
        <f>_xlfn.XLOOKUP(F361,Models!A:A,Models!D:D)</f>
        <v>#N/A</v>
      </c>
      <c r="J361">
        <f>MacReports!G361</f>
        <v>0</v>
      </c>
      <c r="K361" s="59">
        <f>MacReports!H361</f>
        <v>0</v>
      </c>
      <c r="L361" t="str">
        <f t="shared" si="18"/>
        <v>0</v>
      </c>
      <c r="M361" s="15">
        <f>MacReports!I361</f>
        <v>0</v>
      </c>
      <c r="N361" s="16" t="str" cm="1">
        <f t="array" ref="N361">_xlfn.IFS(
   --MacReports!N361&lt;55,"Battery Defect",
  -- MacReports!N361&lt;=69,"Battery D",
  --MacReports!N361&lt;=80,"Battery C",
 --MacReports!N361&gt;80,""
)</f>
        <v>Battery Defect</v>
      </c>
      <c r="O361" s="16" t="str">
        <f>IF(MacReports!J361="Service","Battery Service","")</f>
        <v/>
      </c>
      <c r="P361" s="13">
        <f>MacReports!Q361</f>
        <v>0</v>
      </c>
      <c r="Q361" s="13" t="str">
        <f>IF(MacReports!K361="Enabled","Apple ID Lock","")</f>
        <v/>
      </c>
      <c r="R361" s="13" t="str">
        <f>IF(MacReports!M361="Remote Lock","Remote Locked","")</f>
        <v/>
      </c>
      <c r="S361" t="str">
        <f t="shared" si="19"/>
        <v>Battery Defect, 0</v>
      </c>
      <c r="T361" t="str">
        <f>_xlfn.XLOOKUP(B361,Disk_Pivot!G:G,Disk_Pivot!N:N)</f>
        <v>Pass, Fail</v>
      </c>
      <c r="U361" t="str">
        <f>IF(T361="Fail",MacReports!O361,"")</f>
        <v/>
      </c>
      <c r="AA361" t="str">
        <f t="shared" si="20"/>
        <v/>
      </c>
    </row>
    <row r="362" spans="1:27">
      <c r="A362">
        <f>MacReports!A362</f>
        <v>0</v>
      </c>
      <c r="B362">
        <f>MacReports!B362</f>
        <v>0</v>
      </c>
      <c r="C362">
        <f>MacReports!D362</f>
        <v>0</v>
      </c>
      <c r="E362" t="str">
        <f>_xlfn.XLOOKUP(B362,MacReports!B:B,MacReports!E:E,"")</f>
        <v/>
      </c>
      <c r="F362" s="13">
        <f>MacReports!F362</f>
        <v>0</v>
      </c>
      <c r="G362" t="e">
        <f>_xlfn.XLOOKUP(F362,Models!A:A,Models!B:B)</f>
        <v>#N/A</v>
      </c>
      <c r="H362" t="e">
        <f>_xlfn.XLOOKUP(F362,Models!A:A,Models!E:E)</f>
        <v>#N/A</v>
      </c>
      <c r="I362" t="e">
        <f>_xlfn.XLOOKUP(F362,Models!A:A,Models!D:D)</f>
        <v>#N/A</v>
      </c>
      <c r="J362">
        <f>MacReports!G362</f>
        <v>0</v>
      </c>
      <c r="K362" s="59">
        <f>MacReports!H362</f>
        <v>0</v>
      </c>
      <c r="L362" t="str">
        <f t="shared" si="18"/>
        <v>0</v>
      </c>
      <c r="M362" s="15">
        <f>MacReports!I362</f>
        <v>0</v>
      </c>
      <c r="N362" s="16" t="str" cm="1">
        <f t="array" ref="N362">_xlfn.IFS(
   --MacReports!N362&lt;55,"Battery Defect",
  -- MacReports!N362&lt;=69,"Battery D",
  --MacReports!N362&lt;=80,"Battery C",
 --MacReports!N362&gt;80,""
)</f>
        <v>Battery Defect</v>
      </c>
      <c r="O362" s="16" t="str">
        <f>IF(MacReports!J362="Service","Battery Service","")</f>
        <v/>
      </c>
      <c r="P362" s="13">
        <f>MacReports!Q362</f>
        <v>0</v>
      </c>
      <c r="Q362" s="13" t="str">
        <f>IF(MacReports!K362="Enabled","Apple ID Lock","")</f>
        <v/>
      </c>
      <c r="R362" s="13" t="str">
        <f>IF(MacReports!M362="Remote Lock","Remote Locked","")</f>
        <v/>
      </c>
      <c r="S362" t="str">
        <f t="shared" si="19"/>
        <v>Battery Defect, 0</v>
      </c>
      <c r="T362" t="str">
        <f>_xlfn.XLOOKUP(B362,Disk_Pivot!G:G,Disk_Pivot!N:N)</f>
        <v>Pass, Fail</v>
      </c>
      <c r="U362" t="str">
        <f>IF(T362="Fail",MacReports!O362,"")</f>
        <v/>
      </c>
      <c r="AA362" t="str">
        <f t="shared" si="20"/>
        <v/>
      </c>
    </row>
    <row r="363" spans="1:27">
      <c r="A363">
        <f>MacReports!A363</f>
        <v>0</v>
      </c>
      <c r="B363">
        <f>MacReports!B363</f>
        <v>0</v>
      </c>
      <c r="C363">
        <f>MacReports!D363</f>
        <v>0</v>
      </c>
      <c r="E363" t="str">
        <f>_xlfn.XLOOKUP(B363,MacReports!B:B,MacReports!E:E,"")</f>
        <v/>
      </c>
      <c r="F363" s="13">
        <f>MacReports!F363</f>
        <v>0</v>
      </c>
      <c r="G363" t="e">
        <f>_xlfn.XLOOKUP(F363,Models!A:A,Models!B:B)</f>
        <v>#N/A</v>
      </c>
      <c r="H363" t="e">
        <f>_xlfn.XLOOKUP(F363,Models!A:A,Models!E:E)</f>
        <v>#N/A</v>
      </c>
      <c r="I363" t="e">
        <f>_xlfn.XLOOKUP(F363,Models!A:A,Models!D:D)</f>
        <v>#N/A</v>
      </c>
      <c r="J363">
        <f>MacReports!G363</f>
        <v>0</v>
      </c>
      <c r="K363" s="59">
        <f>MacReports!H363</f>
        <v>0</v>
      </c>
      <c r="L363" t="str">
        <f t="shared" si="18"/>
        <v>0</v>
      </c>
      <c r="M363" s="15">
        <f>MacReports!I363</f>
        <v>0</v>
      </c>
      <c r="N363" s="16" t="str" cm="1">
        <f t="array" ref="N363">_xlfn.IFS(
   --MacReports!N363&lt;55,"Battery Defect",
  -- MacReports!N363&lt;=69,"Battery D",
  --MacReports!N363&lt;=80,"Battery C",
 --MacReports!N363&gt;80,""
)</f>
        <v>Battery Defect</v>
      </c>
      <c r="O363" s="16" t="str">
        <f>IF(MacReports!J363="Service","Battery Service","")</f>
        <v/>
      </c>
      <c r="P363" s="13">
        <f>MacReports!Q363</f>
        <v>0</v>
      </c>
      <c r="Q363" s="13" t="str">
        <f>IF(MacReports!K363="Enabled","Apple ID Lock","")</f>
        <v/>
      </c>
      <c r="R363" s="13" t="str">
        <f>IF(MacReports!M363="Remote Lock","Remote Locked","")</f>
        <v/>
      </c>
      <c r="S363" t="str">
        <f t="shared" si="19"/>
        <v>Battery Defect, 0</v>
      </c>
      <c r="T363" t="str">
        <f>_xlfn.XLOOKUP(B363,Disk_Pivot!G:G,Disk_Pivot!N:N)</f>
        <v>Pass, Fail</v>
      </c>
      <c r="U363" t="str">
        <f>IF(T363="Fail",MacReports!O363,"")</f>
        <v/>
      </c>
      <c r="AA363" t="str">
        <f t="shared" si="20"/>
        <v/>
      </c>
    </row>
    <row r="364" spans="1:27">
      <c r="A364">
        <f>MacReports!A364</f>
        <v>0</v>
      </c>
      <c r="B364">
        <f>MacReports!B364</f>
        <v>0</v>
      </c>
      <c r="C364">
        <f>MacReports!D364</f>
        <v>0</v>
      </c>
      <c r="E364" t="str">
        <f>_xlfn.XLOOKUP(B364,MacReports!B:B,MacReports!E:E,"")</f>
        <v/>
      </c>
      <c r="F364" s="13">
        <f>MacReports!F364</f>
        <v>0</v>
      </c>
      <c r="G364" t="e">
        <f>_xlfn.XLOOKUP(F364,Models!A:A,Models!B:B)</f>
        <v>#N/A</v>
      </c>
      <c r="H364" t="e">
        <f>_xlfn.XLOOKUP(F364,Models!A:A,Models!E:E)</f>
        <v>#N/A</v>
      </c>
      <c r="I364" t="e">
        <f>_xlfn.XLOOKUP(F364,Models!A:A,Models!D:D)</f>
        <v>#N/A</v>
      </c>
      <c r="J364">
        <f>MacReports!G364</f>
        <v>0</v>
      </c>
      <c r="K364" s="59">
        <f>MacReports!H364</f>
        <v>0</v>
      </c>
      <c r="L364" t="str">
        <f t="shared" si="18"/>
        <v>0</v>
      </c>
      <c r="M364" s="15">
        <f>MacReports!I364</f>
        <v>0</v>
      </c>
      <c r="N364" s="16" t="str" cm="1">
        <f t="array" ref="N364">_xlfn.IFS(
   --MacReports!N364&lt;55,"Battery Defect",
  -- MacReports!N364&lt;=69,"Battery D",
  --MacReports!N364&lt;=80,"Battery C",
 --MacReports!N364&gt;80,""
)</f>
        <v>Battery Defect</v>
      </c>
      <c r="O364" s="16" t="str">
        <f>IF(MacReports!J364="Service","Battery Service","")</f>
        <v/>
      </c>
      <c r="P364" s="13">
        <f>MacReports!Q364</f>
        <v>0</v>
      </c>
      <c r="Q364" s="13" t="str">
        <f>IF(MacReports!K364="Enabled","Apple ID Lock","")</f>
        <v/>
      </c>
      <c r="R364" s="13" t="str">
        <f>IF(MacReports!M364="Remote Lock","Remote Locked","")</f>
        <v/>
      </c>
      <c r="S364" t="str">
        <f t="shared" si="19"/>
        <v>Battery Defect, 0</v>
      </c>
      <c r="T364" t="str">
        <f>_xlfn.XLOOKUP(B364,Disk_Pivot!G:G,Disk_Pivot!N:N)</f>
        <v>Pass, Fail</v>
      </c>
      <c r="U364" t="str">
        <f>IF(T364="Fail",MacReports!O364,"")</f>
        <v/>
      </c>
      <c r="AA364" t="str">
        <f t="shared" si="20"/>
        <v/>
      </c>
    </row>
    <row r="365" spans="1:27">
      <c r="A365">
        <f>MacReports!A365</f>
        <v>0</v>
      </c>
      <c r="B365">
        <f>MacReports!B365</f>
        <v>0</v>
      </c>
      <c r="C365">
        <f>MacReports!D365</f>
        <v>0</v>
      </c>
      <c r="E365" t="str">
        <f>_xlfn.XLOOKUP(B365,MacReports!B:B,MacReports!E:E,"")</f>
        <v/>
      </c>
      <c r="F365" s="13">
        <f>MacReports!F365</f>
        <v>0</v>
      </c>
      <c r="G365" t="e">
        <f>_xlfn.XLOOKUP(F365,Models!A:A,Models!B:B)</f>
        <v>#N/A</v>
      </c>
      <c r="H365" t="e">
        <f>_xlfn.XLOOKUP(F365,Models!A:A,Models!E:E)</f>
        <v>#N/A</v>
      </c>
      <c r="I365" t="e">
        <f>_xlfn.XLOOKUP(F365,Models!A:A,Models!D:D)</f>
        <v>#N/A</v>
      </c>
      <c r="J365">
        <f>MacReports!G365</f>
        <v>0</v>
      </c>
      <c r="K365" s="59">
        <f>MacReports!H365</f>
        <v>0</v>
      </c>
      <c r="L365" t="str">
        <f t="shared" si="18"/>
        <v>0</v>
      </c>
      <c r="M365" s="15">
        <f>MacReports!I365</f>
        <v>0</v>
      </c>
      <c r="N365" s="16" t="str" cm="1">
        <f t="array" ref="N365">_xlfn.IFS(
   --MacReports!N365&lt;55,"Battery Defect",
  -- MacReports!N365&lt;=69,"Battery D",
  --MacReports!N365&lt;=80,"Battery C",
 --MacReports!N365&gt;80,""
)</f>
        <v>Battery Defect</v>
      </c>
      <c r="O365" s="16" t="str">
        <f>IF(MacReports!J365="Service","Battery Service","")</f>
        <v/>
      </c>
      <c r="P365" s="13">
        <f>MacReports!Q365</f>
        <v>0</v>
      </c>
      <c r="Q365" s="13" t="str">
        <f>IF(MacReports!K365="Enabled","Apple ID Lock","")</f>
        <v/>
      </c>
      <c r="R365" s="13" t="str">
        <f>IF(MacReports!M365="Remote Lock","Remote Locked","")</f>
        <v/>
      </c>
      <c r="S365" t="str">
        <f t="shared" si="19"/>
        <v>Battery Defect, 0</v>
      </c>
      <c r="T365" t="str">
        <f>_xlfn.XLOOKUP(B365,Disk_Pivot!G:G,Disk_Pivot!N:N)</f>
        <v>Pass, Fail</v>
      </c>
      <c r="U365" t="str">
        <f>IF(T365="Fail",MacReports!O365,"")</f>
        <v/>
      </c>
      <c r="AA365" t="str">
        <f t="shared" si="20"/>
        <v/>
      </c>
    </row>
    <row r="366" spans="1:27">
      <c r="A366">
        <f>MacReports!A366</f>
        <v>0</v>
      </c>
      <c r="B366">
        <f>MacReports!B366</f>
        <v>0</v>
      </c>
      <c r="C366">
        <f>MacReports!D366</f>
        <v>0</v>
      </c>
      <c r="E366" t="str">
        <f>_xlfn.XLOOKUP(B366,MacReports!B:B,MacReports!E:E,"")</f>
        <v/>
      </c>
      <c r="F366" s="13">
        <f>MacReports!F366</f>
        <v>0</v>
      </c>
      <c r="G366" t="e">
        <f>_xlfn.XLOOKUP(F366,Models!A:A,Models!B:B)</f>
        <v>#N/A</v>
      </c>
      <c r="H366" t="e">
        <f>_xlfn.XLOOKUP(F366,Models!A:A,Models!E:E)</f>
        <v>#N/A</v>
      </c>
      <c r="I366" t="e">
        <f>_xlfn.XLOOKUP(F366,Models!A:A,Models!D:D)</f>
        <v>#N/A</v>
      </c>
      <c r="J366">
        <f>MacReports!G366</f>
        <v>0</v>
      </c>
      <c r="K366" s="59">
        <f>MacReports!H366</f>
        <v>0</v>
      </c>
      <c r="L366" t="str">
        <f t="shared" si="18"/>
        <v>0</v>
      </c>
      <c r="M366" s="15">
        <f>MacReports!I366</f>
        <v>0</v>
      </c>
      <c r="N366" s="16" t="str" cm="1">
        <f t="array" ref="N366">_xlfn.IFS(
   --MacReports!N366&lt;55,"Battery Defect",
  -- MacReports!N366&lt;=69,"Battery D",
  --MacReports!N366&lt;=80,"Battery C",
 --MacReports!N366&gt;80,""
)</f>
        <v>Battery Defect</v>
      </c>
      <c r="O366" s="16" t="str">
        <f>IF(MacReports!J366="Service","Battery Service","")</f>
        <v/>
      </c>
      <c r="P366" s="13">
        <f>MacReports!Q366</f>
        <v>0</v>
      </c>
      <c r="Q366" s="13" t="str">
        <f>IF(MacReports!K366="Enabled","Apple ID Lock","")</f>
        <v/>
      </c>
      <c r="R366" s="13" t="str">
        <f>IF(MacReports!M366="Remote Lock","Remote Locked","")</f>
        <v/>
      </c>
      <c r="S366" t="str">
        <f t="shared" si="19"/>
        <v>Battery Defect, 0</v>
      </c>
      <c r="T366" t="str">
        <f>_xlfn.XLOOKUP(B366,Disk_Pivot!G:G,Disk_Pivot!N:N)</f>
        <v>Pass, Fail</v>
      </c>
      <c r="U366" t="str">
        <f>IF(T366="Fail",MacReports!O366,"")</f>
        <v/>
      </c>
      <c r="AA366" t="str">
        <f t="shared" si="20"/>
        <v/>
      </c>
    </row>
    <row r="367" spans="1:27">
      <c r="A367">
        <f>MacReports!A367</f>
        <v>0</v>
      </c>
      <c r="B367">
        <f>MacReports!B367</f>
        <v>0</v>
      </c>
      <c r="C367">
        <f>MacReports!D367</f>
        <v>0</v>
      </c>
      <c r="E367" t="str">
        <f>_xlfn.XLOOKUP(B367,MacReports!B:B,MacReports!E:E,"")</f>
        <v/>
      </c>
      <c r="F367" s="13">
        <f>MacReports!F367</f>
        <v>0</v>
      </c>
      <c r="G367" t="e">
        <f>_xlfn.XLOOKUP(F367,Models!A:A,Models!B:B)</f>
        <v>#N/A</v>
      </c>
      <c r="H367" t="e">
        <f>_xlfn.XLOOKUP(F367,Models!A:A,Models!E:E)</f>
        <v>#N/A</v>
      </c>
      <c r="I367" t="e">
        <f>_xlfn.XLOOKUP(F367,Models!A:A,Models!D:D)</f>
        <v>#N/A</v>
      </c>
      <c r="J367">
        <f>MacReports!G367</f>
        <v>0</v>
      </c>
      <c r="K367" s="59">
        <f>MacReports!H367</f>
        <v>0</v>
      </c>
      <c r="L367" t="str">
        <f t="shared" si="18"/>
        <v>0</v>
      </c>
      <c r="M367" s="15">
        <f>MacReports!I367</f>
        <v>0</v>
      </c>
      <c r="N367" s="16" t="str" cm="1">
        <f t="array" ref="N367">_xlfn.IFS(
   --MacReports!N367&lt;55,"Battery Defect",
  -- MacReports!N367&lt;=69,"Battery D",
  --MacReports!N367&lt;=80,"Battery C",
 --MacReports!N367&gt;80,""
)</f>
        <v>Battery Defect</v>
      </c>
      <c r="O367" s="16" t="str">
        <f>IF(MacReports!J367="Service","Battery Service","")</f>
        <v/>
      </c>
      <c r="P367" s="13">
        <f>MacReports!Q367</f>
        <v>0</v>
      </c>
      <c r="Q367" s="13" t="str">
        <f>IF(MacReports!K367="Enabled","Apple ID Lock","")</f>
        <v/>
      </c>
      <c r="R367" s="13" t="str">
        <f>IF(MacReports!M367="Remote Lock","Remote Locked","")</f>
        <v/>
      </c>
      <c r="S367" t="str">
        <f t="shared" si="19"/>
        <v>Battery Defect, 0</v>
      </c>
      <c r="T367" t="str">
        <f>_xlfn.XLOOKUP(B367,Disk_Pivot!G:G,Disk_Pivot!N:N)</f>
        <v>Pass, Fail</v>
      </c>
      <c r="U367" t="str">
        <f>IF(T367="Fail",MacReports!O367,"")</f>
        <v/>
      </c>
      <c r="AA367" t="str">
        <f t="shared" si="20"/>
        <v/>
      </c>
    </row>
    <row r="368" spans="1:27">
      <c r="A368">
        <f>MacReports!A368</f>
        <v>0</v>
      </c>
      <c r="B368">
        <f>MacReports!B368</f>
        <v>0</v>
      </c>
      <c r="C368">
        <f>MacReports!D368</f>
        <v>0</v>
      </c>
      <c r="E368" t="str">
        <f>_xlfn.XLOOKUP(B368,MacReports!B:B,MacReports!E:E,"")</f>
        <v/>
      </c>
      <c r="F368" s="13">
        <f>MacReports!F368</f>
        <v>0</v>
      </c>
      <c r="G368" t="e">
        <f>_xlfn.XLOOKUP(F368,Models!A:A,Models!B:B)</f>
        <v>#N/A</v>
      </c>
      <c r="H368" t="e">
        <f>_xlfn.XLOOKUP(F368,Models!A:A,Models!E:E)</f>
        <v>#N/A</v>
      </c>
      <c r="I368" t="e">
        <f>_xlfn.XLOOKUP(F368,Models!A:A,Models!D:D)</f>
        <v>#N/A</v>
      </c>
      <c r="J368">
        <f>MacReports!G368</f>
        <v>0</v>
      </c>
      <c r="K368" s="59">
        <f>MacReports!H368</f>
        <v>0</v>
      </c>
      <c r="L368" t="str">
        <f t="shared" si="18"/>
        <v>0</v>
      </c>
      <c r="M368" s="15">
        <f>MacReports!I368</f>
        <v>0</v>
      </c>
      <c r="N368" s="16" t="str" cm="1">
        <f t="array" ref="N368">_xlfn.IFS(
   --MacReports!N368&lt;55,"Battery Defect",
  -- MacReports!N368&lt;=69,"Battery D",
  --MacReports!N368&lt;=80,"Battery C",
 --MacReports!N368&gt;80,""
)</f>
        <v>Battery Defect</v>
      </c>
      <c r="O368" s="16" t="str">
        <f>IF(MacReports!J368="Service","Battery Service","")</f>
        <v/>
      </c>
      <c r="P368" s="13">
        <f>MacReports!Q368</f>
        <v>0</v>
      </c>
      <c r="Q368" s="13" t="str">
        <f>IF(MacReports!K368="Enabled","Apple ID Lock","")</f>
        <v/>
      </c>
      <c r="R368" s="13" t="str">
        <f>IF(MacReports!M368="Remote Lock","Remote Locked","")</f>
        <v/>
      </c>
      <c r="S368" t="str">
        <f t="shared" si="19"/>
        <v>Battery Defect, 0</v>
      </c>
      <c r="T368" t="str">
        <f>_xlfn.XLOOKUP(B368,Disk_Pivot!G:G,Disk_Pivot!N:N)</f>
        <v>Pass, Fail</v>
      </c>
      <c r="U368" t="str">
        <f>IF(T368="Fail",MacReports!O368,"")</f>
        <v/>
      </c>
      <c r="AA368" t="str">
        <f t="shared" si="20"/>
        <v/>
      </c>
    </row>
    <row r="369" spans="1:27">
      <c r="A369">
        <f>MacReports!A369</f>
        <v>0</v>
      </c>
      <c r="B369">
        <f>MacReports!B369</f>
        <v>0</v>
      </c>
      <c r="C369">
        <f>MacReports!D369</f>
        <v>0</v>
      </c>
      <c r="E369" t="str">
        <f>_xlfn.XLOOKUP(B369,MacReports!B:B,MacReports!E:E,"")</f>
        <v/>
      </c>
      <c r="F369" s="13">
        <f>MacReports!F369</f>
        <v>0</v>
      </c>
      <c r="G369" t="e">
        <f>_xlfn.XLOOKUP(F369,Models!A:A,Models!B:B)</f>
        <v>#N/A</v>
      </c>
      <c r="H369" t="e">
        <f>_xlfn.XLOOKUP(F369,Models!A:A,Models!E:E)</f>
        <v>#N/A</v>
      </c>
      <c r="I369" t="e">
        <f>_xlfn.XLOOKUP(F369,Models!A:A,Models!D:D)</f>
        <v>#N/A</v>
      </c>
      <c r="J369">
        <f>MacReports!G369</f>
        <v>0</v>
      </c>
      <c r="K369" s="59">
        <f>MacReports!H369</f>
        <v>0</v>
      </c>
      <c r="L369" t="str">
        <f t="shared" si="18"/>
        <v>0</v>
      </c>
      <c r="M369" s="15">
        <f>MacReports!I369</f>
        <v>0</v>
      </c>
      <c r="N369" s="16" t="str" cm="1">
        <f t="array" ref="N369">_xlfn.IFS(
   --MacReports!N369&lt;55,"Battery Defect",
  -- MacReports!N369&lt;=69,"Battery D",
  --MacReports!N369&lt;=80,"Battery C",
 --MacReports!N369&gt;80,""
)</f>
        <v>Battery Defect</v>
      </c>
      <c r="O369" s="16" t="str">
        <f>IF(MacReports!J369="Service","Battery Service","")</f>
        <v/>
      </c>
      <c r="P369" s="13">
        <f>MacReports!Q369</f>
        <v>0</v>
      </c>
      <c r="Q369" s="13" t="str">
        <f>IF(MacReports!K369="Enabled","Apple ID Lock","")</f>
        <v/>
      </c>
      <c r="R369" s="13" t="str">
        <f>IF(MacReports!M369="Remote Lock","Remote Locked","")</f>
        <v/>
      </c>
      <c r="S369" t="str">
        <f t="shared" si="19"/>
        <v>Battery Defect, 0</v>
      </c>
      <c r="T369" t="str">
        <f>_xlfn.XLOOKUP(B369,Disk_Pivot!G:G,Disk_Pivot!N:N)</f>
        <v>Pass, Fail</v>
      </c>
      <c r="U369" t="str">
        <f>IF(T369="Fail",MacReports!O369,"")</f>
        <v/>
      </c>
      <c r="AA369" t="str">
        <f t="shared" si="20"/>
        <v/>
      </c>
    </row>
    <row r="370" spans="1:27">
      <c r="A370">
        <f>MacReports!A370</f>
        <v>0</v>
      </c>
      <c r="B370">
        <f>MacReports!B370</f>
        <v>0</v>
      </c>
      <c r="C370">
        <f>MacReports!D370</f>
        <v>0</v>
      </c>
      <c r="E370" t="str">
        <f>_xlfn.XLOOKUP(B370,MacReports!B:B,MacReports!E:E,"")</f>
        <v/>
      </c>
      <c r="F370" s="13">
        <f>MacReports!F370</f>
        <v>0</v>
      </c>
      <c r="G370" t="e">
        <f>_xlfn.XLOOKUP(F370,Models!A:A,Models!B:B)</f>
        <v>#N/A</v>
      </c>
      <c r="H370" t="e">
        <f>_xlfn.XLOOKUP(F370,Models!A:A,Models!E:E)</f>
        <v>#N/A</v>
      </c>
      <c r="I370" t="e">
        <f>_xlfn.XLOOKUP(F370,Models!A:A,Models!D:D)</f>
        <v>#N/A</v>
      </c>
      <c r="J370">
        <f>MacReports!G370</f>
        <v>0</v>
      </c>
      <c r="K370" s="59">
        <f>MacReports!H370</f>
        <v>0</v>
      </c>
      <c r="L370" t="str">
        <f t="shared" si="18"/>
        <v>0</v>
      </c>
      <c r="M370" s="15">
        <f>MacReports!I370</f>
        <v>0</v>
      </c>
      <c r="N370" s="16" t="str" cm="1">
        <f t="array" ref="N370">_xlfn.IFS(
   --MacReports!N370&lt;55,"Battery Defect",
  -- MacReports!N370&lt;=69,"Battery D",
  --MacReports!N370&lt;=80,"Battery C",
 --MacReports!N370&gt;80,""
)</f>
        <v>Battery Defect</v>
      </c>
      <c r="O370" s="16" t="str">
        <f>IF(MacReports!J370="Service","Battery Service","")</f>
        <v/>
      </c>
      <c r="P370" s="13">
        <f>MacReports!Q370</f>
        <v>0</v>
      </c>
      <c r="Q370" s="13" t="str">
        <f>IF(MacReports!K370="Enabled","Apple ID Lock","")</f>
        <v/>
      </c>
      <c r="R370" s="13" t="str">
        <f>IF(MacReports!M370="Remote Lock","Remote Locked","")</f>
        <v/>
      </c>
      <c r="S370" t="str">
        <f t="shared" si="19"/>
        <v>Battery Defect, 0</v>
      </c>
      <c r="T370" t="str">
        <f>_xlfn.XLOOKUP(B370,Disk_Pivot!G:G,Disk_Pivot!N:N)</f>
        <v>Pass, Fail</v>
      </c>
      <c r="U370" t="str">
        <f>IF(T370="Fail",MacReports!O370,"")</f>
        <v/>
      </c>
      <c r="AA370" t="str">
        <f t="shared" si="20"/>
        <v/>
      </c>
    </row>
    <row r="371" spans="1:27">
      <c r="A371">
        <f>MacReports!A371</f>
        <v>0</v>
      </c>
      <c r="B371">
        <f>MacReports!B371</f>
        <v>0</v>
      </c>
      <c r="C371">
        <f>MacReports!D371</f>
        <v>0</v>
      </c>
      <c r="E371" t="str">
        <f>_xlfn.XLOOKUP(B371,MacReports!B:B,MacReports!E:E,"")</f>
        <v/>
      </c>
      <c r="F371" s="13">
        <f>MacReports!F371</f>
        <v>0</v>
      </c>
      <c r="G371" t="e">
        <f>_xlfn.XLOOKUP(F371,Models!A:A,Models!B:B)</f>
        <v>#N/A</v>
      </c>
      <c r="H371" t="e">
        <f>_xlfn.XLOOKUP(F371,Models!A:A,Models!E:E)</f>
        <v>#N/A</v>
      </c>
      <c r="I371" t="e">
        <f>_xlfn.XLOOKUP(F371,Models!A:A,Models!D:D)</f>
        <v>#N/A</v>
      </c>
      <c r="J371">
        <f>MacReports!G371</f>
        <v>0</v>
      </c>
      <c r="K371" s="59">
        <f>MacReports!H371</f>
        <v>0</v>
      </c>
      <c r="L371" t="str">
        <f t="shared" si="18"/>
        <v>0</v>
      </c>
      <c r="M371" s="15">
        <f>MacReports!I371</f>
        <v>0</v>
      </c>
      <c r="N371" s="16" t="str" cm="1">
        <f t="array" ref="N371">_xlfn.IFS(
   --MacReports!N371&lt;55,"Battery Defect",
  -- MacReports!N371&lt;=69,"Battery D",
  --MacReports!N371&lt;=80,"Battery C",
 --MacReports!N371&gt;80,""
)</f>
        <v>Battery Defect</v>
      </c>
      <c r="O371" s="16" t="str">
        <f>IF(MacReports!J371="Service","Battery Service","")</f>
        <v/>
      </c>
      <c r="P371" s="13">
        <f>MacReports!Q371</f>
        <v>0</v>
      </c>
      <c r="Q371" s="13" t="str">
        <f>IF(MacReports!K371="Enabled","Apple ID Lock","")</f>
        <v/>
      </c>
      <c r="R371" s="13" t="str">
        <f>IF(MacReports!M371="Remote Lock","Remote Locked","")</f>
        <v/>
      </c>
      <c r="S371" t="str">
        <f t="shared" si="19"/>
        <v>Battery Defect, 0</v>
      </c>
      <c r="T371" t="str">
        <f>_xlfn.XLOOKUP(B371,Disk_Pivot!G:G,Disk_Pivot!N:N)</f>
        <v>Pass, Fail</v>
      </c>
      <c r="U371" t="str">
        <f>IF(T371="Fail",MacReports!O371,"")</f>
        <v/>
      </c>
      <c r="AA371" t="str">
        <f t="shared" si="20"/>
        <v/>
      </c>
    </row>
    <row r="372" spans="1:27">
      <c r="A372">
        <f>MacReports!A372</f>
        <v>0</v>
      </c>
      <c r="B372">
        <f>MacReports!B372</f>
        <v>0</v>
      </c>
      <c r="C372">
        <f>MacReports!D372</f>
        <v>0</v>
      </c>
      <c r="E372" t="str">
        <f>_xlfn.XLOOKUP(B372,MacReports!B:B,MacReports!E:E,"")</f>
        <v/>
      </c>
      <c r="F372" s="13">
        <f>MacReports!F372</f>
        <v>0</v>
      </c>
      <c r="G372" t="e">
        <f>_xlfn.XLOOKUP(F372,Models!A:A,Models!B:B)</f>
        <v>#N/A</v>
      </c>
      <c r="H372" t="e">
        <f>_xlfn.XLOOKUP(F372,Models!A:A,Models!E:E)</f>
        <v>#N/A</v>
      </c>
      <c r="I372" t="e">
        <f>_xlfn.XLOOKUP(F372,Models!A:A,Models!D:D)</f>
        <v>#N/A</v>
      </c>
      <c r="J372">
        <f>MacReports!G372</f>
        <v>0</v>
      </c>
      <c r="K372" s="59">
        <f>MacReports!H372</f>
        <v>0</v>
      </c>
      <c r="L372" t="str">
        <f t="shared" si="18"/>
        <v>0</v>
      </c>
      <c r="M372" s="15">
        <f>MacReports!I372</f>
        <v>0</v>
      </c>
      <c r="N372" s="16" t="str" cm="1">
        <f t="array" ref="N372">_xlfn.IFS(
   --MacReports!N372&lt;55,"Battery Defect",
  -- MacReports!N372&lt;=69,"Battery D",
  --MacReports!N372&lt;=80,"Battery C",
 --MacReports!N372&gt;80,""
)</f>
        <v>Battery Defect</v>
      </c>
      <c r="O372" s="16" t="str">
        <f>IF(MacReports!J372="Service","Battery Service","")</f>
        <v/>
      </c>
      <c r="P372" s="13">
        <f>MacReports!Q372</f>
        <v>0</v>
      </c>
      <c r="Q372" s="13" t="str">
        <f>IF(MacReports!K372="Enabled","Apple ID Lock","")</f>
        <v/>
      </c>
      <c r="R372" s="13" t="str">
        <f>IF(MacReports!M372="Remote Lock","Remote Locked","")</f>
        <v/>
      </c>
      <c r="S372" t="str">
        <f t="shared" si="19"/>
        <v>Battery Defect, 0</v>
      </c>
      <c r="T372" t="str">
        <f>_xlfn.XLOOKUP(B372,Disk_Pivot!G:G,Disk_Pivot!N:N)</f>
        <v>Pass, Fail</v>
      </c>
      <c r="U372" t="str">
        <f>IF(T372="Fail",MacReports!O372,"")</f>
        <v/>
      </c>
      <c r="AA372" t="str">
        <f t="shared" si="20"/>
        <v/>
      </c>
    </row>
    <row r="373" spans="1:27">
      <c r="A373">
        <f>MacReports!A373</f>
        <v>0</v>
      </c>
      <c r="B373">
        <f>MacReports!B373</f>
        <v>0</v>
      </c>
      <c r="C373">
        <f>MacReports!D373</f>
        <v>0</v>
      </c>
      <c r="E373" t="str">
        <f>_xlfn.XLOOKUP(B373,MacReports!B:B,MacReports!E:E,"")</f>
        <v/>
      </c>
      <c r="F373" s="13">
        <f>MacReports!F373</f>
        <v>0</v>
      </c>
      <c r="G373" t="e">
        <f>_xlfn.XLOOKUP(F373,Models!A:A,Models!B:B)</f>
        <v>#N/A</v>
      </c>
      <c r="H373" t="e">
        <f>_xlfn.XLOOKUP(F373,Models!A:A,Models!E:E)</f>
        <v>#N/A</v>
      </c>
      <c r="I373" t="e">
        <f>_xlfn.XLOOKUP(F373,Models!A:A,Models!D:D)</f>
        <v>#N/A</v>
      </c>
      <c r="J373">
        <f>MacReports!G373</f>
        <v>0</v>
      </c>
      <c r="K373" s="59">
        <f>MacReports!H373</f>
        <v>0</v>
      </c>
      <c r="L373" t="str">
        <f t="shared" si="18"/>
        <v>0</v>
      </c>
      <c r="M373" s="15">
        <f>MacReports!I373</f>
        <v>0</v>
      </c>
      <c r="N373" s="16" t="str" cm="1">
        <f t="array" ref="N373">_xlfn.IFS(
   --MacReports!N373&lt;55,"Battery Defect",
  -- MacReports!N373&lt;=69,"Battery D",
  --MacReports!N373&lt;=80,"Battery C",
 --MacReports!N373&gt;80,""
)</f>
        <v>Battery Defect</v>
      </c>
      <c r="O373" s="16" t="str">
        <f>IF(MacReports!J373="Service","Battery Service","")</f>
        <v/>
      </c>
      <c r="P373" s="13">
        <f>MacReports!Q373</f>
        <v>0</v>
      </c>
      <c r="Q373" s="13" t="str">
        <f>IF(MacReports!K373="Enabled","Apple ID Lock","")</f>
        <v/>
      </c>
      <c r="R373" s="13" t="str">
        <f>IF(MacReports!M373="Remote Lock","Remote Locked","")</f>
        <v/>
      </c>
      <c r="S373" t="str">
        <f t="shared" si="19"/>
        <v>Battery Defect, 0</v>
      </c>
      <c r="T373" t="str">
        <f>_xlfn.XLOOKUP(B373,Disk_Pivot!G:G,Disk_Pivot!N:N)</f>
        <v>Pass, Fail</v>
      </c>
      <c r="U373" t="str">
        <f>IF(T373="Fail",MacReports!O373,"")</f>
        <v/>
      </c>
      <c r="AA373" t="str">
        <f t="shared" si="20"/>
        <v/>
      </c>
    </row>
    <row r="374" spans="1:27">
      <c r="A374">
        <f>MacReports!A374</f>
        <v>0</v>
      </c>
      <c r="B374">
        <f>MacReports!B374</f>
        <v>0</v>
      </c>
      <c r="C374">
        <f>MacReports!D374</f>
        <v>0</v>
      </c>
      <c r="E374" t="str">
        <f>_xlfn.XLOOKUP(B374,MacReports!B:B,MacReports!E:E,"")</f>
        <v/>
      </c>
      <c r="F374" s="13">
        <f>MacReports!F374</f>
        <v>0</v>
      </c>
      <c r="G374" t="e">
        <f>_xlfn.XLOOKUP(F374,Models!A:A,Models!B:B)</f>
        <v>#N/A</v>
      </c>
      <c r="H374" t="e">
        <f>_xlfn.XLOOKUP(F374,Models!A:A,Models!E:E)</f>
        <v>#N/A</v>
      </c>
      <c r="I374" t="e">
        <f>_xlfn.XLOOKUP(F374,Models!A:A,Models!D:D)</f>
        <v>#N/A</v>
      </c>
      <c r="J374">
        <f>MacReports!G374</f>
        <v>0</v>
      </c>
      <c r="K374" s="59">
        <f>MacReports!H374</f>
        <v>0</v>
      </c>
      <c r="L374" t="str">
        <f t="shared" si="18"/>
        <v>0</v>
      </c>
      <c r="M374" s="15">
        <f>MacReports!I374</f>
        <v>0</v>
      </c>
      <c r="N374" s="16" t="str" cm="1">
        <f t="array" ref="N374">_xlfn.IFS(
   --MacReports!N374&lt;55,"Battery Defect",
  -- MacReports!N374&lt;=69,"Battery D",
  --MacReports!N374&lt;=80,"Battery C",
 --MacReports!N374&gt;80,""
)</f>
        <v>Battery Defect</v>
      </c>
      <c r="O374" s="16" t="str">
        <f>IF(MacReports!J374="Service","Battery Service","")</f>
        <v/>
      </c>
      <c r="P374" s="13">
        <f>MacReports!Q374</f>
        <v>0</v>
      </c>
      <c r="Q374" s="13" t="str">
        <f>IF(MacReports!K374="Enabled","Apple ID Lock","")</f>
        <v/>
      </c>
      <c r="R374" s="13" t="str">
        <f>IF(MacReports!M374="Remote Lock","Remote Locked","")</f>
        <v/>
      </c>
      <c r="S374" t="str">
        <f t="shared" si="19"/>
        <v>Battery Defect, 0</v>
      </c>
      <c r="T374" t="str">
        <f>_xlfn.XLOOKUP(B374,Disk_Pivot!G:G,Disk_Pivot!N:N)</f>
        <v>Pass, Fail</v>
      </c>
      <c r="U374" t="str">
        <f>IF(T374="Fail",MacReports!O374,"")</f>
        <v/>
      </c>
      <c r="AA374" t="str">
        <f t="shared" si="20"/>
        <v/>
      </c>
    </row>
    <row r="375" spans="1:27">
      <c r="A375">
        <f>MacReports!A375</f>
        <v>0</v>
      </c>
      <c r="B375">
        <f>MacReports!B375</f>
        <v>0</v>
      </c>
      <c r="C375">
        <f>MacReports!D375</f>
        <v>0</v>
      </c>
      <c r="E375" t="str">
        <f>_xlfn.XLOOKUP(B375,MacReports!B:B,MacReports!E:E,"")</f>
        <v/>
      </c>
      <c r="F375" s="13">
        <f>MacReports!F375</f>
        <v>0</v>
      </c>
      <c r="G375" t="e">
        <f>_xlfn.XLOOKUP(F375,Models!A:A,Models!B:B)</f>
        <v>#N/A</v>
      </c>
      <c r="H375" t="e">
        <f>_xlfn.XLOOKUP(F375,Models!A:A,Models!E:E)</f>
        <v>#N/A</v>
      </c>
      <c r="I375" t="e">
        <f>_xlfn.XLOOKUP(F375,Models!A:A,Models!D:D)</f>
        <v>#N/A</v>
      </c>
      <c r="J375">
        <f>MacReports!G375</f>
        <v>0</v>
      </c>
      <c r="K375" s="59">
        <f>MacReports!H375</f>
        <v>0</v>
      </c>
      <c r="L375" t="str">
        <f t="shared" si="18"/>
        <v>0</v>
      </c>
      <c r="M375" s="15">
        <f>MacReports!I375</f>
        <v>0</v>
      </c>
      <c r="N375" s="16" t="str" cm="1">
        <f t="array" ref="N375">_xlfn.IFS(
   --MacReports!N375&lt;55,"Battery Defect",
  -- MacReports!N375&lt;=69,"Battery D",
  --MacReports!N375&lt;=80,"Battery C",
 --MacReports!N375&gt;80,""
)</f>
        <v>Battery Defect</v>
      </c>
      <c r="O375" s="16" t="str">
        <f>IF(MacReports!J375="Service","Battery Service","")</f>
        <v/>
      </c>
      <c r="P375" s="13">
        <f>MacReports!Q375</f>
        <v>0</v>
      </c>
      <c r="Q375" s="13" t="str">
        <f>IF(MacReports!K375="Enabled","Apple ID Lock","")</f>
        <v/>
      </c>
      <c r="R375" s="13" t="str">
        <f>IF(MacReports!M375="Remote Lock","Remote Locked","")</f>
        <v/>
      </c>
      <c r="S375" t="str">
        <f t="shared" si="19"/>
        <v>Battery Defect, 0</v>
      </c>
      <c r="T375" t="str">
        <f>_xlfn.XLOOKUP(B375,Disk_Pivot!G:G,Disk_Pivot!N:N)</f>
        <v>Pass, Fail</v>
      </c>
      <c r="U375" t="str">
        <f>IF(T375="Fail",MacReports!O375,"")</f>
        <v/>
      </c>
      <c r="AA375" t="str">
        <f t="shared" si="20"/>
        <v/>
      </c>
    </row>
    <row r="376" spans="1:27">
      <c r="A376">
        <f>MacReports!A376</f>
        <v>0</v>
      </c>
      <c r="B376">
        <f>MacReports!B376</f>
        <v>0</v>
      </c>
      <c r="C376">
        <f>MacReports!D376</f>
        <v>0</v>
      </c>
      <c r="E376" t="str">
        <f>_xlfn.XLOOKUP(B376,MacReports!B:B,MacReports!E:E,"")</f>
        <v/>
      </c>
      <c r="F376" s="13">
        <f>MacReports!F376</f>
        <v>0</v>
      </c>
      <c r="G376" t="e">
        <f>_xlfn.XLOOKUP(F376,Models!A:A,Models!B:B)</f>
        <v>#N/A</v>
      </c>
      <c r="H376" t="e">
        <f>_xlfn.XLOOKUP(F376,Models!A:A,Models!E:E)</f>
        <v>#N/A</v>
      </c>
      <c r="I376" t="e">
        <f>_xlfn.XLOOKUP(F376,Models!A:A,Models!D:D)</f>
        <v>#N/A</v>
      </c>
      <c r="J376">
        <f>MacReports!G376</f>
        <v>0</v>
      </c>
      <c r="K376" s="59">
        <f>MacReports!H376</f>
        <v>0</v>
      </c>
      <c r="L376" t="str">
        <f t="shared" si="18"/>
        <v>0</v>
      </c>
      <c r="M376" s="15">
        <f>MacReports!I376</f>
        <v>0</v>
      </c>
      <c r="N376" s="16" t="str" cm="1">
        <f t="array" ref="N376">_xlfn.IFS(
   --MacReports!N376&lt;55,"Battery Defect",
  -- MacReports!N376&lt;=69,"Battery D",
  --MacReports!N376&lt;=80,"Battery C",
 --MacReports!N376&gt;80,""
)</f>
        <v>Battery Defect</v>
      </c>
      <c r="O376" s="16" t="str">
        <f>IF(MacReports!J376="Service","Battery Service","")</f>
        <v/>
      </c>
      <c r="P376" s="13">
        <f>MacReports!Q376</f>
        <v>0</v>
      </c>
      <c r="Q376" s="13" t="str">
        <f>IF(MacReports!K376="Enabled","Apple ID Lock","")</f>
        <v/>
      </c>
      <c r="R376" s="13" t="str">
        <f>IF(MacReports!M376="Remote Lock","Remote Locked","")</f>
        <v/>
      </c>
      <c r="S376" t="str">
        <f t="shared" si="19"/>
        <v>Battery Defect, 0</v>
      </c>
      <c r="T376" t="str">
        <f>_xlfn.XLOOKUP(B376,Disk_Pivot!G:G,Disk_Pivot!N:N)</f>
        <v>Pass, Fail</v>
      </c>
      <c r="U376" t="str">
        <f>IF(T376="Fail",MacReports!O376,"")</f>
        <v/>
      </c>
      <c r="AA376" t="str">
        <f t="shared" si="20"/>
        <v/>
      </c>
    </row>
    <row r="377" spans="1:27">
      <c r="A377">
        <f>MacReports!A377</f>
        <v>0</v>
      </c>
      <c r="B377">
        <f>MacReports!B377</f>
        <v>0</v>
      </c>
      <c r="C377">
        <f>MacReports!D377</f>
        <v>0</v>
      </c>
      <c r="E377" t="str">
        <f>_xlfn.XLOOKUP(B377,MacReports!B:B,MacReports!E:E,"")</f>
        <v/>
      </c>
      <c r="F377" s="13">
        <f>MacReports!F377</f>
        <v>0</v>
      </c>
      <c r="G377" t="e">
        <f>_xlfn.XLOOKUP(F377,Models!A:A,Models!B:B)</f>
        <v>#N/A</v>
      </c>
      <c r="H377" t="e">
        <f>_xlfn.XLOOKUP(F377,Models!A:A,Models!E:E)</f>
        <v>#N/A</v>
      </c>
      <c r="I377" t="e">
        <f>_xlfn.XLOOKUP(F377,Models!A:A,Models!D:D)</f>
        <v>#N/A</v>
      </c>
      <c r="J377">
        <f>MacReports!G377</f>
        <v>0</v>
      </c>
      <c r="K377" s="59">
        <f>MacReports!H377</f>
        <v>0</v>
      </c>
      <c r="L377" t="str">
        <f t="shared" si="18"/>
        <v>0</v>
      </c>
      <c r="M377" s="15">
        <f>MacReports!I377</f>
        <v>0</v>
      </c>
      <c r="N377" s="16" t="str" cm="1">
        <f t="array" ref="N377">_xlfn.IFS(
   --MacReports!N377&lt;55,"Battery Defect",
  -- MacReports!N377&lt;=69,"Battery D",
  --MacReports!N377&lt;=80,"Battery C",
 --MacReports!N377&gt;80,""
)</f>
        <v>Battery Defect</v>
      </c>
      <c r="O377" s="16" t="str">
        <f>IF(MacReports!J377="Service","Battery Service","")</f>
        <v/>
      </c>
      <c r="P377" s="13">
        <f>MacReports!Q377</f>
        <v>0</v>
      </c>
      <c r="Q377" s="13" t="str">
        <f>IF(MacReports!K377="Enabled","Apple ID Lock","")</f>
        <v/>
      </c>
      <c r="R377" s="13" t="str">
        <f>IF(MacReports!M377="Remote Lock","Remote Locked","")</f>
        <v/>
      </c>
      <c r="S377" t="str">
        <f t="shared" si="19"/>
        <v>Battery Defect, 0</v>
      </c>
      <c r="T377" t="str">
        <f>_xlfn.XLOOKUP(B377,Disk_Pivot!G:G,Disk_Pivot!N:N)</f>
        <v>Pass, Fail</v>
      </c>
      <c r="U377" t="str">
        <f>IF(T377="Fail",MacReports!O377,"")</f>
        <v/>
      </c>
      <c r="AA377" t="str">
        <f t="shared" si="20"/>
        <v/>
      </c>
    </row>
    <row r="378" spans="1:27">
      <c r="A378">
        <f>MacReports!A378</f>
        <v>0</v>
      </c>
      <c r="B378">
        <f>MacReports!B378</f>
        <v>0</v>
      </c>
      <c r="C378">
        <f>MacReports!D378</f>
        <v>0</v>
      </c>
      <c r="E378" t="str">
        <f>_xlfn.XLOOKUP(B378,MacReports!B:B,MacReports!E:E,"")</f>
        <v/>
      </c>
      <c r="F378" s="13">
        <f>MacReports!F378</f>
        <v>0</v>
      </c>
      <c r="G378" t="e">
        <f>_xlfn.XLOOKUP(F378,Models!A:A,Models!B:B)</f>
        <v>#N/A</v>
      </c>
      <c r="H378" t="e">
        <f>_xlfn.XLOOKUP(F378,Models!A:A,Models!E:E)</f>
        <v>#N/A</v>
      </c>
      <c r="I378" t="e">
        <f>_xlfn.XLOOKUP(F378,Models!A:A,Models!D:D)</f>
        <v>#N/A</v>
      </c>
      <c r="J378">
        <f>MacReports!G378</f>
        <v>0</v>
      </c>
      <c r="K378" s="59">
        <f>MacReports!H378</f>
        <v>0</v>
      </c>
      <c r="L378" t="str">
        <f t="shared" si="18"/>
        <v>0</v>
      </c>
      <c r="M378" s="15">
        <f>MacReports!I378</f>
        <v>0</v>
      </c>
      <c r="N378" s="16" t="str" cm="1">
        <f t="array" ref="N378">_xlfn.IFS(
   --MacReports!N378&lt;55,"Battery Defect",
  -- MacReports!N378&lt;=69,"Battery D",
  --MacReports!N378&lt;=80,"Battery C",
 --MacReports!N378&gt;80,""
)</f>
        <v>Battery Defect</v>
      </c>
      <c r="O378" s="16" t="str">
        <f>IF(MacReports!J378="Service","Battery Service","")</f>
        <v/>
      </c>
      <c r="P378" s="13">
        <f>MacReports!Q378</f>
        <v>0</v>
      </c>
      <c r="Q378" s="13" t="str">
        <f>IF(MacReports!K378="Enabled","Apple ID Lock","")</f>
        <v/>
      </c>
      <c r="R378" s="13" t="str">
        <f>IF(MacReports!M378="Remote Lock","Remote Locked","")</f>
        <v/>
      </c>
      <c r="S378" t="str">
        <f t="shared" si="19"/>
        <v>Battery Defect, 0</v>
      </c>
      <c r="T378" t="str">
        <f>_xlfn.XLOOKUP(B378,Disk_Pivot!G:G,Disk_Pivot!N:N)</f>
        <v>Pass, Fail</v>
      </c>
      <c r="U378" t="str">
        <f>IF(T378="Fail",MacReports!O378,"")</f>
        <v/>
      </c>
      <c r="AA378" t="str">
        <f t="shared" si="20"/>
        <v/>
      </c>
    </row>
    <row r="379" spans="1:27">
      <c r="A379">
        <f>MacReports!A379</f>
        <v>0</v>
      </c>
      <c r="B379">
        <f>MacReports!B379</f>
        <v>0</v>
      </c>
      <c r="C379">
        <f>MacReports!D379</f>
        <v>0</v>
      </c>
      <c r="E379" t="str">
        <f>_xlfn.XLOOKUP(B379,MacReports!B:B,MacReports!E:E,"")</f>
        <v/>
      </c>
      <c r="F379" s="13">
        <f>MacReports!F379</f>
        <v>0</v>
      </c>
      <c r="G379" t="e">
        <f>_xlfn.XLOOKUP(F379,Models!A:A,Models!B:B)</f>
        <v>#N/A</v>
      </c>
      <c r="H379" t="e">
        <f>_xlfn.XLOOKUP(F379,Models!A:A,Models!E:E)</f>
        <v>#N/A</v>
      </c>
      <c r="I379" t="e">
        <f>_xlfn.XLOOKUP(F379,Models!A:A,Models!D:D)</f>
        <v>#N/A</v>
      </c>
      <c r="J379">
        <f>MacReports!G379</f>
        <v>0</v>
      </c>
      <c r="K379" s="59">
        <f>MacReports!H379</f>
        <v>0</v>
      </c>
      <c r="L379" t="str">
        <f t="shared" si="18"/>
        <v>0</v>
      </c>
      <c r="M379" s="15">
        <f>MacReports!I379</f>
        <v>0</v>
      </c>
      <c r="N379" s="16" t="str" cm="1">
        <f t="array" ref="N379">_xlfn.IFS(
   --MacReports!N379&lt;55,"Battery Defect",
  -- MacReports!N379&lt;=69,"Battery D",
  --MacReports!N379&lt;=80,"Battery C",
 --MacReports!N379&gt;80,""
)</f>
        <v>Battery Defect</v>
      </c>
      <c r="O379" s="16" t="str">
        <f>IF(MacReports!J379="Service","Battery Service","")</f>
        <v/>
      </c>
      <c r="P379" s="13">
        <f>MacReports!Q379</f>
        <v>0</v>
      </c>
      <c r="Q379" s="13" t="str">
        <f>IF(MacReports!K379="Enabled","Apple ID Lock","")</f>
        <v/>
      </c>
      <c r="R379" s="13" t="str">
        <f>IF(MacReports!M379="Remote Lock","Remote Locked","")</f>
        <v/>
      </c>
      <c r="S379" t="str">
        <f t="shared" si="19"/>
        <v>Battery Defect, 0</v>
      </c>
      <c r="T379" t="str">
        <f>_xlfn.XLOOKUP(B379,Disk_Pivot!G:G,Disk_Pivot!N:N)</f>
        <v>Pass, Fail</v>
      </c>
      <c r="U379" t="str">
        <f>IF(T379="Fail",MacReports!O379,"")</f>
        <v/>
      </c>
      <c r="AA379" t="str">
        <f t="shared" si="20"/>
        <v/>
      </c>
    </row>
    <row r="380" spans="1:27">
      <c r="A380">
        <f>MacReports!A380</f>
        <v>0</v>
      </c>
      <c r="B380">
        <f>MacReports!B380</f>
        <v>0</v>
      </c>
      <c r="C380">
        <f>MacReports!D380</f>
        <v>0</v>
      </c>
      <c r="E380" t="str">
        <f>_xlfn.XLOOKUP(B380,MacReports!B:B,MacReports!E:E,"")</f>
        <v/>
      </c>
      <c r="F380" s="13">
        <f>MacReports!F380</f>
        <v>0</v>
      </c>
      <c r="G380" t="e">
        <f>_xlfn.XLOOKUP(F380,Models!A:A,Models!B:B)</f>
        <v>#N/A</v>
      </c>
      <c r="H380" t="e">
        <f>_xlfn.XLOOKUP(F380,Models!A:A,Models!E:E)</f>
        <v>#N/A</v>
      </c>
      <c r="I380" t="e">
        <f>_xlfn.XLOOKUP(F380,Models!A:A,Models!D:D)</f>
        <v>#N/A</v>
      </c>
      <c r="J380">
        <f>MacReports!G380</f>
        <v>0</v>
      </c>
      <c r="K380" s="59">
        <f>MacReports!H380</f>
        <v>0</v>
      </c>
      <c r="L380" t="str">
        <f t="shared" si="18"/>
        <v>0</v>
      </c>
      <c r="M380" s="15">
        <f>MacReports!I380</f>
        <v>0</v>
      </c>
      <c r="N380" s="16" t="str" cm="1">
        <f t="array" ref="N380">_xlfn.IFS(
   --MacReports!N380&lt;55,"Battery Defect",
  -- MacReports!N380&lt;=69,"Battery D",
  --MacReports!N380&lt;=80,"Battery C",
 --MacReports!N380&gt;80,""
)</f>
        <v>Battery Defect</v>
      </c>
      <c r="O380" s="16" t="str">
        <f>IF(MacReports!J380="Service","Battery Service","")</f>
        <v/>
      </c>
      <c r="P380" s="13">
        <f>MacReports!Q380</f>
        <v>0</v>
      </c>
      <c r="Q380" s="13" t="str">
        <f>IF(MacReports!K380="Enabled","Apple ID Lock","")</f>
        <v/>
      </c>
      <c r="R380" s="13" t="str">
        <f>IF(MacReports!M380="Remote Lock","Remote Locked","")</f>
        <v/>
      </c>
      <c r="S380" t="str">
        <f t="shared" si="19"/>
        <v>Battery Defect, 0</v>
      </c>
      <c r="T380" t="str">
        <f>_xlfn.XLOOKUP(B380,Disk_Pivot!G:G,Disk_Pivot!N:N)</f>
        <v>Pass, Fail</v>
      </c>
      <c r="U380" t="str">
        <f>IF(T380="Fail",MacReports!O380,"")</f>
        <v/>
      </c>
      <c r="AA380" t="str">
        <f t="shared" si="20"/>
        <v/>
      </c>
    </row>
    <row r="381" spans="1:27">
      <c r="A381">
        <f>MacReports!A381</f>
        <v>0</v>
      </c>
      <c r="B381">
        <f>MacReports!B381</f>
        <v>0</v>
      </c>
      <c r="C381">
        <f>MacReports!D381</f>
        <v>0</v>
      </c>
      <c r="E381" t="str">
        <f>_xlfn.XLOOKUP(B381,MacReports!B:B,MacReports!E:E,"")</f>
        <v/>
      </c>
      <c r="F381" s="13">
        <f>MacReports!F381</f>
        <v>0</v>
      </c>
      <c r="G381" t="e">
        <f>_xlfn.XLOOKUP(F381,Models!A:A,Models!B:B)</f>
        <v>#N/A</v>
      </c>
      <c r="H381" t="e">
        <f>_xlfn.XLOOKUP(F381,Models!A:A,Models!E:E)</f>
        <v>#N/A</v>
      </c>
      <c r="I381" t="e">
        <f>_xlfn.XLOOKUP(F381,Models!A:A,Models!D:D)</f>
        <v>#N/A</v>
      </c>
      <c r="J381">
        <f>MacReports!G381</f>
        <v>0</v>
      </c>
      <c r="K381" s="59">
        <f>MacReports!H381</f>
        <v>0</v>
      </c>
      <c r="L381" t="str">
        <f t="shared" si="18"/>
        <v>0</v>
      </c>
      <c r="M381" s="15">
        <f>MacReports!I381</f>
        <v>0</v>
      </c>
      <c r="N381" s="16" t="str" cm="1">
        <f t="array" ref="N381">_xlfn.IFS(
   --MacReports!N381&lt;55,"Battery Defect",
  -- MacReports!N381&lt;=69,"Battery D",
  --MacReports!N381&lt;=80,"Battery C",
 --MacReports!N381&gt;80,""
)</f>
        <v>Battery Defect</v>
      </c>
      <c r="O381" s="16" t="str">
        <f>IF(MacReports!J381="Service","Battery Service","")</f>
        <v/>
      </c>
      <c r="P381" s="13">
        <f>MacReports!Q381</f>
        <v>0</v>
      </c>
      <c r="Q381" s="13" t="str">
        <f>IF(MacReports!K381="Enabled","Apple ID Lock","")</f>
        <v/>
      </c>
      <c r="R381" s="13" t="str">
        <f>IF(MacReports!M381="Remote Lock","Remote Locked","")</f>
        <v/>
      </c>
      <c r="S381" t="str">
        <f t="shared" si="19"/>
        <v>Battery Defect, 0</v>
      </c>
      <c r="T381" t="str">
        <f>_xlfn.XLOOKUP(B381,Disk_Pivot!G:G,Disk_Pivot!N:N)</f>
        <v>Pass, Fail</v>
      </c>
      <c r="U381" t="str">
        <f>IF(T381="Fail",MacReports!O381,"")</f>
        <v/>
      </c>
      <c r="AA381" t="str">
        <f t="shared" si="20"/>
        <v/>
      </c>
    </row>
    <row r="382" spans="1:27">
      <c r="A382">
        <f>MacReports!A382</f>
        <v>0</v>
      </c>
      <c r="B382">
        <f>MacReports!B382</f>
        <v>0</v>
      </c>
      <c r="C382">
        <f>MacReports!D382</f>
        <v>0</v>
      </c>
      <c r="E382" t="str">
        <f>_xlfn.XLOOKUP(B382,MacReports!B:B,MacReports!E:E,"")</f>
        <v/>
      </c>
      <c r="F382" s="13">
        <f>MacReports!F382</f>
        <v>0</v>
      </c>
      <c r="G382" t="e">
        <f>_xlfn.XLOOKUP(F382,Models!A:A,Models!B:B)</f>
        <v>#N/A</v>
      </c>
      <c r="H382" t="e">
        <f>_xlfn.XLOOKUP(F382,Models!A:A,Models!E:E)</f>
        <v>#N/A</v>
      </c>
      <c r="I382" t="e">
        <f>_xlfn.XLOOKUP(F382,Models!A:A,Models!D:D)</f>
        <v>#N/A</v>
      </c>
      <c r="J382">
        <f>MacReports!G382</f>
        <v>0</v>
      </c>
      <c r="K382" s="59">
        <f>MacReports!H382</f>
        <v>0</v>
      </c>
      <c r="L382" t="str">
        <f t="shared" si="18"/>
        <v>0</v>
      </c>
      <c r="M382" s="15">
        <f>MacReports!I382</f>
        <v>0</v>
      </c>
      <c r="N382" s="16" t="str" cm="1">
        <f t="array" ref="N382">_xlfn.IFS(
   --MacReports!N382&lt;55,"Battery Defect",
  -- MacReports!N382&lt;=69,"Battery D",
  --MacReports!N382&lt;=80,"Battery C",
 --MacReports!N382&gt;80,""
)</f>
        <v>Battery Defect</v>
      </c>
      <c r="O382" s="16" t="str">
        <f>IF(MacReports!J382="Service","Battery Service","")</f>
        <v/>
      </c>
      <c r="P382" s="13">
        <f>MacReports!Q382</f>
        <v>0</v>
      </c>
      <c r="Q382" s="13" t="str">
        <f>IF(MacReports!K382="Enabled","Apple ID Lock","")</f>
        <v/>
      </c>
      <c r="R382" s="13" t="str">
        <f>IF(MacReports!M382="Remote Lock","Remote Locked","")</f>
        <v/>
      </c>
      <c r="S382" t="str">
        <f t="shared" si="19"/>
        <v>Battery Defect, 0</v>
      </c>
      <c r="T382" t="str">
        <f>_xlfn.XLOOKUP(B382,Disk_Pivot!G:G,Disk_Pivot!N:N)</f>
        <v>Pass, Fail</v>
      </c>
      <c r="U382" t="str">
        <f>IF(T382="Fail",MacReports!O382,"")</f>
        <v/>
      </c>
      <c r="AA382" t="str">
        <f t="shared" si="20"/>
        <v/>
      </c>
    </row>
    <row r="383" spans="1:27">
      <c r="A383">
        <f>MacReports!A383</f>
        <v>0</v>
      </c>
      <c r="B383">
        <f>MacReports!B383</f>
        <v>0</v>
      </c>
      <c r="C383">
        <f>MacReports!D383</f>
        <v>0</v>
      </c>
      <c r="E383" t="str">
        <f>_xlfn.XLOOKUP(B383,MacReports!B:B,MacReports!E:E,"")</f>
        <v/>
      </c>
      <c r="F383" s="13">
        <f>MacReports!F383</f>
        <v>0</v>
      </c>
      <c r="G383" t="e">
        <f>_xlfn.XLOOKUP(F383,Models!A:A,Models!B:B)</f>
        <v>#N/A</v>
      </c>
      <c r="H383" t="e">
        <f>_xlfn.XLOOKUP(F383,Models!A:A,Models!E:E)</f>
        <v>#N/A</v>
      </c>
      <c r="I383" t="e">
        <f>_xlfn.XLOOKUP(F383,Models!A:A,Models!D:D)</f>
        <v>#N/A</v>
      </c>
      <c r="J383">
        <f>MacReports!G383</f>
        <v>0</v>
      </c>
      <c r="K383" s="59">
        <f>MacReports!H383</f>
        <v>0</v>
      </c>
      <c r="L383" t="str">
        <f t="shared" si="18"/>
        <v>0</v>
      </c>
      <c r="M383" s="15">
        <f>MacReports!I383</f>
        <v>0</v>
      </c>
      <c r="N383" s="16" t="str" cm="1">
        <f t="array" ref="N383">_xlfn.IFS(
   --MacReports!N383&lt;55,"Battery Defect",
  -- MacReports!N383&lt;=69,"Battery D",
  --MacReports!N383&lt;=80,"Battery C",
 --MacReports!N383&gt;80,""
)</f>
        <v>Battery Defect</v>
      </c>
      <c r="O383" s="16" t="str">
        <f>IF(MacReports!J383="Service","Battery Service","")</f>
        <v/>
      </c>
      <c r="P383" s="13">
        <f>MacReports!Q383</f>
        <v>0</v>
      </c>
      <c r="Q383" s="13" t="str">
        <f>IF(MacReports!K383="Enabled","Apple ID Lock","")</f>
        <v/>
      </c>
      <c r="R383" s="13" t="str">
        <f>IF(MacReports!M383="Remote Lock","Remote Locked","")</f>
        <v/>
      </c>
      <c r="S383" t="str">
        <f t="shared" si="19"/>
        <v>Battery Defect, 0</v>
      </c>
      <c r="T383" t="str">
        <f>_xlfn.XLOOKUP(B383,Disk_Pivot!G:G,Disk_Pivot!N:N)</f>
        <v>Pass, Fail</v>
      </c>
      <c r="U383" t="str">
        <f>IF(T383="Fail",MacReports!O383,"")</f>
        <v/>
      </c>
      <c r="AA383" t="str">
        <f t="shared" si="20"/>
        <v/>
      </c>
    </row>
    <row r="384" spans="1:27">
      <c r="A384">
        <f>MacReports!A384</f>
        <v>0</v>
      </c>
      <c r="B384">
        <f>MacReports!B384</f>
        <v>0</v>
      </c>
      <c r="C384">
        <f>MacReports!D384</f>
        <v>0</v>
      </c>
      <c r="E384" t="str">
        <f>_xlfn.XLOOKUP(B384,MacReports!B:B,MacReports!E:E,"")</f>
        <v/>
      </c>
      <c r="F384" s="13">
        <f>MacReports!F384</f>
        <v>0</v>
      </c>
      <c r="G384" t="e">
        <f>_xlfn.XLOOKUP(F384,Models!A:A,Models!B:B)</f>
        <v>#N/A</v>
      </c>
      <c r="H384" t="e">
        <f>_xlfn.XLOOKUP(F384,Models!A:A,Models!E:E)</f>
        <v>#N/A</v>
      </c>
      <c r="I384" t="e">
        <f>_xlfn.XLOOKUP(F384,Models!A:A,Models!D:D)</f>
        <v>#N/A</v>
      </c>
      <c r="J384">
        <f>MacReports!G384</f>
        <v>0</v>
      </c>
      <c r="K384" s="59">
        <f>MacReports!H384</f>
        <v>0</v>
      </c>
      <c r="L384" t="str">
        <f t="shared" si="18"/>
        <v>0</v>
      </c>
      <c r="M384" s="15">
        <f>MacReports!I384</f>
        <v>0</v>
      </c>
      <c r="N384" s="16" t="str" cm="1">
        <f t="array" ref="N384">_xlfn.IFS(
   --MacReports!N384&lt;55,"Battery Defect",
  -- MacReports!N384&lt;=69,"Battery D",
  --MacReports!N384&lt;=80,"Battery C",
 --MacReports!N384&gt;80,""
)</f>
        <v>Battery Defect</v>
      </c>
      <c r="O384" s="16" t="str">
        <f>IF(MacReports!J384="Service","Battery Service","")</f>
        <v/>
      </c>
      <c r="P384" s="13">
        <f>MacReports!Q384</f>
        <v>0</v>
      </c>
      <c r="Q384" s="13" t="str">
        <f>IF(MacReports!K384="Enabled","Apple ID Lock","")</f>
        <v/>
      </c>
      <c r="R384" s="13" t="str">
        <f>IF(MacReports!M384="Remote Lock","Remote Locked","")</f>
        <v/>
      </c>
      <c r="S384" t="str">
        <f t="shared" si="19"/>
        <v>Battery Defect, 0</v>
      </c>
      <c r="T384" t="str">
        <f>_xlfn.XLOOKUP(B384,Disk_Pivot!G:G,Disk_Pivot!N:N)</f>
        <v>Pass, Fail</v>
      </c>
      <c r="U384" t="str">
        <f>IF(T384="Fail",MacReports!O384,"")</f>
        <v/>
      </c>
      <c r="AA384" t="str">
        <f t="shared" si="20"/>
        <v/>
      </c>
    </row>
    <row r="385" spans="1:27">
      <c r="A385">
        <f>MacReports!A385</f>
        <v>0</v>
      </c>
      <c r="B385">
        <f>MacReports!B385</f>
        <v>0</v>
      </c>
      <c r="C385">
        <f>MacReports!D385</f>
        <v>0</v>
      </c>
      <c r="E385" t="str">
        <f>_xlfn.XLOOKUP(B385,MacReports!B:B,MacReports!E:E,"")</f>
        <v/>
      </c>
      <c r="F385" s="13">
        <f>MacReports!F385</f>
        <v>0</v>
      </c>
      <c r="G385" t="e">
        <f>_xlfn.XLOOKUP(F385,Models!A:A,Models!B:B)</f>
        <v>#N/A</v>
      </c>
      <c r="H385" t="e">
        <f>_xlfn.XLOOKUP(F385,Models!A:A,Models!E:E)</f>
        <v>#N/A</v>
      </c>
      <c r="I385" t="e">
        <f>_xlfn.XLOOKUP(F385,Models!A:A,Models!D:D)</f>
        <v>#N/A</v>
      </c>
      <c r="J385">
        <f>MacReports!G385</f>
        <v>0</v>
      </c>
      <c r="K385" s="59">
        <f>MacReports!H385</f>
        <v>0</v>
      </c>
      <c r="L385" t="str">
        <f t="shared" si="18"/>
        <v>0</v>
      </c>
      <c r="M385" s="15">
        <f>MacReports!I385</f>
        <v>0</v>
      </c>
      <c r="N385" s="16" t="str" cm="1">
        <f t="array" ref="N385">_xlfn.IFS(
   --MacReports!N385&lt;55,"Battery Defect",
  -- MacReports!N385&lt;=69,"Battery D",
  --MacReports!N385&lt;=80,"Battery C",
 --MacReports!N385&gt;80,""
)</f>
        <v>Battery Defect</v>
      </c>
      <c r="O385" s="16" t="str">
        <f>IF(MacReports!J385="Service","Battery Service","")</f>
        <v/>
      </c>
      <c r="P385" s="13">
        <f>MacReports!Q385</f>
        <v>0</v>
      </c>
      <c r="Q385" s="13" t="str">
        <f>IF(MacReports!K385="Enabled","Apple ID Lock","")</f>
        <v/>
      </c>
      <c r="R385" s="13" t="str">
        <f>IF(MacReports!M385="Remote Lock","Remote Locked","")</f>
        <v/>
      </c>
      <c r="S385" t="str">
        <f t="shared" si="19"/>
        <v>Battery Defect, 0</v>
      </c>
      <c r="T385" t="str">
        <f>_xlfn.XLOOKUP(B385,Disk_Pivot!G:G,Disk_Pivot!N:N)</f>
        <v>Pass, Fail</v>
      </c>
      <c r="U385" t="str">
        <f>IF(T385="Fail",MacReports!O385,"")</f>
        <v/>
      </c>
      <c r="AA385" t="str">
        <f t="shared" si="20"/>
        <v/>
      </c>
    </row>
    <row r="386" spans="1:27">
      <c r="A386">
        <f>MacReports!A386</f>
        <v>0</v>
      </c>
      <c r="B386">
        <f>MacReports!B386</f>
        <v>0</v>
      </c>
      <c r="C386">
        <f>MacReports!D386</f>
        <v>0</v>
      </c>
      <c r="E386" t="str">
        <f>_xlfn.XLOOKUP(B386,MacReports!B:B,MacReports!E:E,"")</f>
        <v/>
      </c>
      <c r="F386" s="13">
        <f>MacReports!F386</f>
        <v>0</v>
      </c>
      <c r="G386" t="e">
        <f>_xlfn.XLOOKUP(F386,Models!A:A,Models!B:B)</f>
        <v>#N/A</v>
      </c>
      <c r="H386" t="e">
        <f>_xlfn.XLOOKUP(F386,Models!A:A,Models!E:E)</f>
        <v>#N/A</v>
      </c>
      <c r="I386" t="e">
        <f>_xlfn.XLOOKUP(F386,Models!A:A,Models!D:D)</f>
        <v>#N/A</v>
      </c>
      <c r="J386">
        <f>MacReports!G386</f>
        <v>0</v>
      </c>
      <c r="K386" s="59">
        <f>MacReports!H386</f>
        <v>0</v>
      </c>
      <c r="L386" t="str">
        <f t="shared" si="18"/>
        <v>0</v>
      </c>
      <c r="M386" s="15">
        <f>MacReports!I386</f>
        <v>0</v>
      </c>
      <c r="N386" s="16" t="str" cm="1">
        <f t="array" ref="N386">_xlfn.IFS(
   --MacReports!N386&lt;55,"Battery Defect",
  -- MacReports!N386&lt;=69,"Battery D",
  --MacReports!N386&lt;=80,"Battery C",
 --MacReports!N386&gt;80,""
)</f>
        <v>Battery Defect</v>
      </c>
      <c r="O386" s="16" t="str">
        <f>IF(MacReports!J386="Service","Battery Service","")</f>
        <v/>
      </c>
      <c r="P386" s="13">
        <f>MacReports!Q386</f>
        <v>0</v>
      </c>
      <c r="Q386" s="13" t="str">
        <f>IF(MacReports!K386="Enabled","Apple ID Lock","")</f>
        <v/>
      </c>
      <c r="R386" s="13" t="str">
        <f>IF(MacReports!M386="Remote Lock","Remote Locked","")</f>
        <v/>
      </c>
      <c r="S386" t="str">
        <f t="shared" si="19"/>
        <v>Battery Defect, 0</v>
      </c>
      <c r="T386" t="str">
        <f>_xlfn.XLOOKUP(B386,Disk_Pivot!G:G,Disk_Pivot!N:N)</f>
        <v>Pass, Fail</v>
      </c>
      <c r="U386" t="str">
        <f>IF(T386="Fail",MacReports!O386,"")</f>
        <v/>
      </c>
      <c r="AA386" t="str">
        <f t="shared" si="20"/>
        <v/>
      </c>
    </row>
    <row r="387" spans="1:27">
      <c r="A387">
        <f>MacReports!A387</f>
        <v>0</v>
      </c>
      <c r="B387">
        <f>MacReports!B387</f>
        <v>0</v>
      </c>
      <c r="C387">
        <f>MacReports!D387</f>
        <v>0</v>
      </c>
      <c r="E387" t="str">
        <f>_xlfn.XLOOKUP(B387,MacReports!B:B,MacReports!E:E,"")</f>
        <v/>
      </c>
      <c r="F387" s="13">
        <f>MacReports!F387</f>
        <v>0</v>
      </c>
      <c r="G387" t="e">
        <f>_xlfn.XLOOKUP(F387,Models!A:A,Models!B:B)</f>
        <v>#N/A</v>
      </c>
      <c r="H387" t="e">
        <f>_xlfn.XLOOKUP(F387,Models!A:A,Models!E:E)</f>
        <v>#N/A</v>
      </c>
      <c r="I387" t="e">
        <f>_xlfn.XLOOKUP(F387,Models!A:A,Models!D:D)</f>
        <v>#N/A</v>
      </c>
      <c r="J387">
        <f>MacReports!G387</f>
        <v>0</v>
      </c>
      <c r="K387" s="59">
        <f>MacReports!H387</f>
        <v>0</v>
      </c>
      <c r="L387" t="str">
        <f t="shared" ref="L387:L450" si="21">IFERROR(LEFT(K387,FIND(" ",K387)-1)&amp;" GB DDR"&amp;MID(K387,FIND("DDR",K387)+3,1), K387&amp;"")</f>
        <v>0</v>
      </c>
      <c r="M387" s="15">
        <f>MacReports!I387</f>
        <v>0</v>
      </c>
      <c r="N387" s="16" t="str" cm="1">
        <f t="array" ref="N387">_xlfn.IFS(
   --MacReports!N387&lt;55,"Battery Defect",
  -- MacReports!N387&lt;=69,"Battery D",
  --MacReports!N387&lt;=80,"Battery C",
 --MacReports!N387&gt;80,""
)</f>
        <v>Battery Defect</v>
      </c>
      <c r="O387" s="16" t="str">
        <f>IF(MacReports!J387="Service","Battery Service","")</f>
        <v/>
      </c>
      <c r="P387" s="13">
        <f>MacReports!Q387</f>
        <v>0</v>
      </c>
      <c r="Q387" s="13" t="str">
        <f>IF(MacReports!K387="Enabled","Apple ID Lock","")</f>
        <v/>
      </c>
      <c r="R387" s="13" t="str">
        <f>IF(MacReports!M387="Remote Lock","Remote Locked","")</f>
        <v/>
      </c>
      <c r="S387" t="str">
        <f t="shared" si="19"/>
        <v>Battery Defect, 0</v>
      </c>
      <c r="T387" t="str">
        <f>_xlfn.XLOOKUP(B387,Disk_Pivot!G:G,Disk_Pivot!N:N)</f>
        <v>Pass, Fail</v>
      </c>
      <c r="U387" t="str">
        <f>IF(T387="Fail",MacReports!O387,"")</f>
        <v/>
      </c>
      <c r="AA387" t="str">
        <f t="shared" si="20"/>
        <v/>
      </c>
    </row>
    <row r="388" spans="1:27">
      <c r="E388" t="str">
        <f>_xlfn.XLOOKUP(B388,MacReports!B:B,MacReports!E:E,"")</f>
        <v/>
      </c>
      <c r="L388" t="str">
        <f t="shared" si="21"/>
        <v/>
      </c>
      <c r="M388" s="15">
        <f>MacReports!I388</f>
        <v>0</v>
      </c>
      <c r="R388" s="13" t="str">
        <f>IF(MacReports!M388="Remote Lock","Remote Locked","")</f>
        <v/>
      </c>
    </row>
    <row r="389" spans="1:27">
      <c r="E389" t="str">
        <f>_xlfn.XLOOKUP(B389,MacReports!B:B,MacReports!E:E,"")</f>
        <v/>
      </c>
      <c r="L389" t="str">
        <f t="shared" si="21"/>
        <v/>
      </c>
      <c r="M389" s="15">
        <f>MacReports!I389</f>
        <v>0</v>
      </c>
      <c r="R389" s="13" t="str">
        <f>IF(MacReports!M389="Remote Lock","Remote Locked","")</f>
        <v/>
      </c>
    </row>
    <row r="390" spans="1:27">
      <c r="E390" t="str">
        <f>_xlfn.XLOOKUP(B390,MacReports!B:B,MacReports!E:E,"")</f>
        <v/>
      </c>
      <c r="L390" t="str">
        <f t="shared" si="21"/>
        <v/>
      </c>
      <c r="M390" s="15">
        <f>MacReports!I390</f>
        <v>0</v>
      </c>
      <c r="R390" s="13" t="str">
        <f>IF(MacReports!M390="Remote Lock","Remote Locked","")</f>
        <v/>
      </c>
    </row>
    <row r="391" spans="1:27">
      <c r="E391" t="str">
        <f>_xlfn.XLOOKUP(B391,MacReports!B:B,MacReports!E:E,"")</f>
        <v/>
      </c>
      <c r="L391" t="str">
        <f t="shared" si="21"/>
        <v/>
      </c>
      <c r="M391" s="15">
        <f>MacReports!I391</f>
        <v>0</v>
      </c>
      <c r="R391" s="13" t="str">
        <f>IF(MacReports!M391="Remote Lock","Remote Locked","")</f>
        <v/>
      </c>
    </row>
    <row r="392" spans="1:27">
      <c r="E392" t="str">
        <f>_xlfn.XLOOKUP(B392,MacReports!B:B,MacReports!E:E,"")</f>
        <v/>
      </c>
      <c r="L392" t="str">
        <f t="shared" si="21"/>
        <v/>
      </c>
      <c r="M392" s="15">
        <f>MacReports!I392</f>
        <v>0</v>
      </c>
      <c r="R392" s="13" t="str">
        <f>IF(MacReports!M392="Remote Lock","Remote Locked","")</f>
        <v/>
      </c>
    </row>
    <row r="393" spans="1:27">
      <c r="E393" t="str">
        <f>_xlfn.XLOOKUP(B393,MacReports!B:B,MacReports!E:E,"")</f>
        <v/>
      </c>
      <c r="L393" t="str">
        <f t="shared" si="21"/>
        <v/>
      </c>
      <c r="M393" s="15">
        <f>MacReports!I393</f>
        <v>0</v>
      </c>
      <c r="R393" s="13" t="str">
        <f>IF(MacReports!M393="Remote Lock","Remote Locked","")</f>
        <v/>
      </c>
    </row>
    <row r="394" spans="1:27">
      <c r="E394" t="str">
        <f>_xlfn.XLOOKUP(B394,MacReports!B:B,MacReports!E:E,"")</f>
        <v/>
      </c>
      <c r="L394" t="str">
        <f t="shared" si="21"/>
        <v/>
      </c>
      <c r="M394" s="15">
        <f>MacReports!I394</f>
        <v>0</v>
      </c>
      <c r="R394" s="13" t="str">
        <f>IF(MacReports!M394="Remote Lock","Remote Locked","")</f>
        <v/>
      </c>
    </row>
    <row r="395" spans="1:27">
      <c r="E395" t="str">
        <f>_xlfn.XLOOKUP(B395,MacReports!B:B,MacReports!E:E,"")</f>
        <v/>
      </c>
      <c r="L395" t="str">
        <f t="shared" si="21"/>
        <v/>
      </c>
      <c r="M395" s="15">
        <f>MacReports!I395</f>
        <v>0</v>
      </c>
      <c r="R395" s="13" t="str">
        <f>IF(MacReports!M395="Remote Lock","Remote Locked","")</f>
        <v/>
      </c>
    </row>
    <row r="396" spans="1:27">
      <c r="E396" t="str">
        <f>_xlfn.XLOOKUP(B396,MacReports!B:B,MacReports!E:E,"")</f>
        <v/>
      </c>
      <c r="L396" t="str">
        <f t="shared" si="21"/>
        <v/>
      </c>
      <c r="M396" s="15">
        <f>MacReports!I396</f>
        <v>0</v>
      </c>
      <c r="R396" s="13" t="str">
        <f>IF(MacReports!M396="Remote Lock","Remote Locked","")</f>
        <v/>
      </c>
    </row>
    <row r="397" spans="1:27">
      <c r="E397" t="str">
        <f>_xlfn.XLOOKUP(B397,MacReports!B:B,MacReports!E:E,"")</f>
        <v/>
      </c>
      <c r="L397" t="str">
        <f t="shared" si="21"/>
        <v/>
      </c>
      <c r="M397" s="15">
        <f>MacReports!I397</f>
        <v>0</v>
      </c>
      <c r="R397" s="13" t="str">
        <f>IF(MacReports!M397="Remote Lock","Remote Locked","")</f>
        <v/>
      </c>
    </row>
    <row r="398" spans="1:27">
      <c r="E398" t="str">
        <f>_xlfn.XLOOKUP(B398,MacReports!B:B,MacReports!E:E,"")</f>
        <v/>
      </c>
      <c r="L398" t="str">
        <f t="shared" si="21"/>
        <v/>
      </c>
      <c r="M398" s="15">
        <f>MacReports!I398</f>
        <v>0</v>
      </c>
      <c r="R398" s="13" t="str">
        <f>IF(MacReports!M398="Remote Lock","Remote Locked","")</f>
        <v/>
      </c>
    </row>
    <row r="399" spans="1:27">
      <c r="E399" t="str">
        <f>_xlfn.XLOOKUP(B399,MacReports!B:B,MacReports!E:E,"")</f>
        <v/>
      </c>
      <c r="L399" t="str">
        <f t="shared" si="21"/>
        <v/>
      </c>
      <c r="M399" s="15">
        <f>MacReports!I399</f>
        <v>0</v>
      </c>
      <c r="R399" s="13" t="str">
        <f>IF(MacReports!M399="Remote Lock","Remote Locked","")</f>
        <v/>
      </c>
    </row>
    <row r="400" spans="1:27">
      <c r="E400" t="str">
        <f>_xlfn.XLOOKUP(B400,MacReports!B:B,MacReports!E:E,"")</f>
        <v/>
      </c>
      <c r="L400" t="str">
        <f t="shared" si="21"/>
        <v/>
      </c>
      <c r="M400" s="15">
        <f>MacReports!I400</f>
        <v>0</v>
      </c>
      <c r="R400" s="13" t="str">
        <f>IF(MacReports!M400="Remote Lock","Remote Locked","")</f>
        <v/>
      </c>
    </row>
    <row r="401" spans="5:18">
      <c r="E401" t="str">
        <f>_xlfn.XLOOKUP(B401,MacReports!B:B,MacReports!E:E,"")</f>
        <v/>
      </c>
      <c r="L401" t="str">
        <f t="shared" si="21"/>
        <v/>
      </c>
      <c r="M401" s="15">
        <f>MacReports!I401</f>
        <v>0</v>
      </c>
      <c r="R401" s="13" t="str">
        <f>IF(MacReports!M401="Remote Lock","Remote Locked","")</f>
        <v/>
      </c>
    </row>
    <row r="402" spans="5:18">
      <c r="E402" t="str">
        <f>_xlfn.XLOOKUP(B402,MacReports!B:B,MacReports!E:E,"")</f>
        <v/>
      </c>
      <c r="L402" t="str">
        <f t="shared" si="21"/>
        <v/>
      </c>
      <c r="M402" s="15">
        <f>MacReports!I402</f>
        <v>0</v>
      </c>
      <c r="R402" s="13" t="str">
        <f>IF(MacReports!M402="Remote Lock","Remote Locked","")</f>
        <v/>
      </c>
    </row>
    <row r="403" spans="5:18">
      <c r="E403" t="str">
        <f>_xlfn.XLOOKUP(B403,MacReports!B:B,MacReports!E:E,"")</f>
        <v/>
      </c>
      <c r="L403" t="str">
        <f t="shared" si="21"/>
        <v/>
      </c>
      <c r="M403" s="15">
        <f>MacReports!I403</f>
        <v>0</v>
      </c>
      <c r="R403" s="13" t="str">
        <f>IF(MacReports!M403="Remote Lock","Remote Locked","")</f>
        <v/>
      </c>
    </row>
    <row r="404" spans="5:18">
      <c r="E404" t="str">
        <f>_xlfn.XLOOKUP(B404,MacReports!B:B,MacReports!E:E,"")</f>
        <v/>
      </c>
      <c r="L404" t="str">
        <f t="shared" si="21"/>
        <v/>
      </c>
      <c r="M404" s="15">
        <f>MacReports!I404</f>
        <v>0</v>
      </c>
      <c r="R404" s="13" t="str">
        <f>IF(MacReports!M404="Remote Lock","Remote Locked","")</f>
        <v/>
      </c>
    </row>
    <row r="405" spans="5:18">
      <c r="E405" t="str">
        <f>_xlfn.XLOOKUP(B405,MacReports!B:B,MacReports!E:E,"")</f>
        <v/>
      </c>
      <c r="L405" t="str">
        <f t="shared" si="21"/>
        <v/>
      </c>
      <c r="M405" s="15">
        <f>MacReports!I405</f>
        <v>0</v>
      </c>
      <c r="R405" s="13" t="str">
        <f>IF(MacReports!M405="Remote Lock","Remote Locked","")</f>
        <v/>
      </c>
    </row>
    <row r="406" spans="5:18">
      <c r="E406" t="str">
        <f>_xlfn.XLOOKUP(B406,MacReports!B:B,MacReports!E:E,"")</f>
        <v/>
      </c>
      <c r="L406" t="str">
        <f t="shared" si="21"/>
        <v/>
      </c>
      <c r="M406" s="15">
        <f>MacReports!I406</f>
        <v>0</v>
      </c>
      <c r="R406" s="13" t="str">
        <f>IF(MacReports!M406="Remote Lock","Remote Locked","")</f>
        <v/>
      </c>
    </row>
    <row r="407" spans="5:18">
      <c r="E407" t="str">
        <f>_xlfn.XLOOKUP(B407,MacReports!B:B,MacReports!E:E,"")</f>
        <v/>
      </c>
      <c r="L407" t="str">
        <f t="shared" si="21"/>
        <v/>
      </c>
      <c r="M407" s="15">
        <f>MacReports!I407</f>
        <v>0</v>
      </c>
      <c r="R407" s="13" t="str">
        <f>IF(MacReports!M407="Remote Lock","Remote Locked","")</f>
        <v/>
      </c>
    </row>
    <row r="408" spans="5:18">
      <c r="E408" t="str">
        <f>_xlfn.XLOOKUP(B408,MacReports!B:B,MacReports!E:E,"")</f>
        <v/>
      </c>
      <c r="L408" t="str">
        <f t="shared" si="21"/>
        <v/>
      </c>
      <c r="M408" s="15">
        <f>MacReports!I408</f>
        <v>0</v>
      </c>
      <c r="R408" s="13" t="str">
        <f>IF(MacReports!M408="Remote Lock","Remote Locked","")</f>
        <v/>
      </c>
    </row>
    <row r="409" spans="5:18">
      <c r="E409" t="str">
        <f>_xlfn.XLOOKUP(B409,MacReports!B:B,MacReports!E:E,"")</f>
        <v/>
      </c>
      <c r="L409" t="str">
        <f t="shared" si="21"/>
        <v/>
      </c>
      <c r="M409" s="15">
        <f>MacReports!I409</f>
        <v>0</v>
      </c>
      <c r="R409" s="13" t="str">
        <f>IF(MacReports!M409="Remote Lock","Remote Locked","")</f>
        <v/>
      </c>
    </row>
    <row r="410" spans="5:18">
      <c r="E410" t="str">
        <f>_xlfn.XLOOKUP(B410,MacReports!B:B,MacReports!E:E,"")</f>
        <v/>
      </c>
      <c r="L410" t="str">
        <f t="shared" si="21"/>
        <v/>
      </c>
      <c r="M410" s="15">
        <f>MacReports!I410</f>
        <v>0</v>
      </c>
      <c r="R410" s="13" t="str">
        <f>IF(MacReports!M410="Remote Lock","Remote Locked","")</f>
        <v/>
      </c>
    </row>
    <row r="411" spans="5:18">
      <c r="E411" t="str">
        <f>_xlfn.XLOOKUP(B411,MacReports!B:B,MacReports!E:E,"")</f>
        <v/>
      </c>
      <c r="L411" t="str">
        <f t="shared" si="21"/>
        <v/>
      </c>
      <c r="M411" s="15">
        <f>MacReports!I411</f>
        <v>0</v>
      </c>
      <c r="R411" s="13" t="str">
        <f>IF(MacReports!M411="Remote Lock","Remote Locked","")</f>
        <v/>
      </c>
    </row>
    <row r="412" spans="5:18">
      <c r="E412" t="str">
        <f>_xlfn.XLOOKUP(B412,MacReports!B:B,MacReports!E:E,"")</f>
        <v/>
      </c>
      <c r="L412" t="str">
        <f t="shared" si="21"/>
        <v/>
      </c>
      <c r="M412" s="15">
        <f>MacReports!I412</f>
        <v>0</v>
      </c>
      <c r="R412" s="13" t="str">
        <f>IF(MacReports!M412="Remote Lock","Remote Locked","")</f>
        <v/>
      </c>
    </row>
    <row r="413" spans="5:18">
      <c r="E413" t="str">
        <f>_xlfn.XLOOKUP(B413,MacReports!B:B,MacReports!E:E,"")</f>
        <v/>
      </c>
      <c r="L413" t="str">
        <f t="shared" si="21"/>
        <v/>
      </c>
      <c r="M413" s="15">
        <f>MacReports!I413</f>
        <v>0</v>
      </c>
      <c r="R413" s="13" t="str">
        <f>IF(MacReports!M413="Remote Lock","Remote Locked","")</f>
        <v/>
      </c>
    </row>
    <row r="414" spans="5:18">
      <c r="E414" t="str">
        <f>_xlfn.XLOOKUP(B414,MacReports!B:B,MacReports!E:E,"")</f>
        <v/>
      </c>
      <c r="L414" t="str">
        <f t="shared" si="21"/>
        <v/>
      </c>
      <c r="M414" s="15">
        <f>MacReports!I414</f>
        <v>0</v>
      </c>
      <c r="R414" s="13" t="str">
        <f>IF(MacReports!M414="Remote Lock","Remote Locked","")</f>
        <v/>
      </c>
    </row>
    <row r="415" spans="5:18">
      <c r="E415" t="str">
        <f>_xlfn.XLOOKUP(B415,MacReports!B:B,MacReports!E:E,"")</f>
        <v/>
      </c>
      <c r="L415" t="str">
        <f t="shared" si="21"/>
        <v/>
      </c>
      <c r="M415" s="15">
        <f>MacReports!I415</f>
        <v>0</v>
      </c>
      <c r="R415" s="13" t="str">
        <f>IF(MacReports!M415="Remote Lock","Remote Locked","")</f>
        <v/>
      </c>
    </row>
    <row r="416" spans="5:18">
      <c r="E416" t="str">
        <f>_xlfn.XLOOKUP(B416,MacReports!B:B,MacReports!E:E,"")</f>
        <v/>
      </c>
      <c r="L416" t="str">
        <f t="shared" si="21"/>
        <v/>
      </c>
      <c r="M416" s="15">
        <f>MacReports!I416</f>
        <v>0</v>
      </c>
      <c r="R416" s="13" t="str">
        <f>IF(MacReports!M416="Remote Lock","Remote Locked","")</f>
        <v/>
      </c>
    </row>
    <row r="417" spans="5:18">
      <c r="E417" t="str">
        <f>_xlfn.XLOOKUP(B417,MacReports!B:B,MacReports!E:E,"")</f>
        <v/>
      </c>
      <c r="L417" t="str">
        <f t="shared" si="21"/>
        <v/>
      </c>
      <c r="M417" s="15">
        <f>MacReports!I417</f>
        <v>0</v>
      </c>
      <c r="R417" s="13" t="str">
        <f>IF(MacReports!M417="Remote Lock","Remote Locked","")</f>
        <v/>
      </c>
    </row>
    <row r="418" spans="5:18">
      <c r="E418" t="str">
        <f>_xlfn.XLOOKUP(B418,MacReports!B:B,MacReports!E:E,"")</f>
        <v/>
      </c>
      <c r="L418" t="str">
        <f t="shared" si="21"/>
        <v/>
      </c>
      <c r="M418" s="15">
        <f>MacReports!I418</f>
        <v>0</v>
      </c>
      <c r="R418" s="13" t="str">
        <f>IF(MacReports!M418="Remote Lock","Remote Locked","")</f>
        <v/>
      </c>
    </row>
    <row r="419" spans="5:18">
      <c r="E419" t="str">
        <f>_xlfn.XLOOKUP(B419,MacReports!B:B,MacReports!E:E,"")</f>
        <v/>
      </c>
      <c r="L419" t="str">
        <f t="shared" si="21"/>
        <v/>
      </c>
      <c r="M419" s="15">
        <f>MacReports!I419</f>
        <v>0</v>
      </c>
      <c r="R419" s="13" t="str">
        <f>IF(MacReports!M419="Remote Lock","Remote Locked","")</f>
        <v/>
      </c>
    </row>
    <row r="420" spans="5:18">
      <c r="E420" t="str">
        <f>_xlfn.XLOOKUP(B420,MacReports!B:B,MacReports!E:E,"")</f>
        <v/>
      </c>
      <c r="L420" t="str">
        <f t="shared" si="21"/>
        <v/>
      </c>
      <c r="M420" s="15">
        <f>MacReports!I420</f>
        <v>0</v>
      </c>
      <c r="R420" s="13" t="str">
        <f>IF(MacReports!M420="Remote Lock","Remote Locked","")</f>
        <v/>
      </c>
    </row>
    <row r="421" spans="5:18">
      <c r="E421" t="str">
        <f>_xlfn.XLOOKUP(B421,MacReports!B:B,MacReports!E:E,"")</f>
        <v/>
      </c>
      <c r="L421" t="str">
        <f t="shared" si="21"/>
        <v/>
      </c>
      <c r="M421" s="15">
        <f>MacReports!I421</f>
        <v>0</v>
      </c>
      <c r="R421" s="13" t="str">
        <f>IF(MacReports!M421="Remote Lock","Remote Locked","")</f>
        <v/>
      </c>
    </row>
    <row r="422" spans="5:18">
      <c r="E422" t="str">
        <f>_xlfn.XLOOKUP(B422,MacReports!B:B,MacReports!E:E,"")</f>
        <v/>
      </c>
      <c r="L422" t="str">
        <f t="shared" si="21"/>
        <v/>
      </c>
      <c r="M422" s="15">
        <f>MacReports!I422</f>
        <v>0</v>
      </c>
      <c r="R422" s="13" t="str">
        <f>IF(MacReports!M422="Remote Lock","Remote Locked","")</f>
        <v/>
      </c>
    </row>
    <row r="423" spans="5:18">
      <c r="E423" t="str">
        <f>_xlfn.XLOOKUP(B423,MacReports!B:B,MacReports!E:E,"")</f>
        <v/>
      </c>
      <c r="L423" t="str">
        <f t="shared" si="21"/>
        <v/>
      </c>
      <c r="M423" s="15">
        <f>MacReports!I423</f>
        <v>0</v>
      </c>
      <c r="R423" s="13" t="str">
        <f>IF(MacReports!M423="Remote Lock","Remote Locked","")</f>
        <v/>
      </c>
    </row>
    <row r="424" spans="5:18">
      <c r="E424" t="str">
        <f>_xlfn.XLOOKUP(B424,MacReports!B:B,MacReports!E:E,"")</f>
        <v/>
      </c>
      <c r="L424" t="str">
        <f t="shared" si="21"/>
        <v/>
      </c>
      <c r="M424" s="15">
        <f>MacReports!I424</f>
        <v>0</v>
      </c>
      <c r="R424" s="13" t="str">
        <f>IF(MacReports!M424="Remote Lock","Remote Locked","")</f>
        <v/>
      </c>
    </row>
    <row r="425" spans="5:18">
      <c r="E425" t="str">
        <f>_xlfn.XLOOKUP(B425,MacReports!B:B,MacReports!E:E,"")</f>
        <v/>
      </c>
      <c r="L425" t="str">
        <f t="shared" si="21"/>
        <v/>
      </c>
      <c r="M425" s="15">
        <f>MacReports!I425</f>
        <v>0</v>
      </c>
      <c r="R425" s="13" t="str">
        <f>IF(MacReports!M425="Remote Lock","Remote Locked","")</f>
        <v/>
      </c>
    </row>
    <row r="426" spans="5:18">
      <c r="E426" t="str">
        <f>_xlfn.XLOOKUP(B426,MacReports!B:B,MacReports!E:E,"")</f>
        <v/>
      </c>
      <c r="L426" t="str">
        <f t="shared" si="21"/>
        <v/>
      </c>
      <c r="M426" s="15">
        <f>MacReports!I426</f>
        <v>0</v>
      </c>
      <c r="R426" s="13" t="str">
        <f>IF(MacReports!M426="Remote Lock","Remote Locked","")</f>
        <v/>
      </c>
    </row>
    <row r="427" spans="5:18">
      <c r="E427" t="str">
        <f>_xlfn.XLOOKUP(B427,MacReports!B:B,MacReports!E:E,"")</f>
        <v/>
      </c>
      <c r="L427" t="str">
        <f t="shared" si="21"/>
        <v/>
      </c>
      <c r="M427" s="15">
        <f>MacReports!I427</f>
        <v>0</v>
      </c>
      <c r="R427" s="13" t="str">
        <f>IF(MacReports!M427="Remote Lock","Remote Locked","")</f>
        <v/>
      </c>
    </row>
    <row r="428" spans="5:18">
      <c r="E428" t="str">
        <f>_xlfn.XLOOKUP(B428,MacReports!B:B,MacReports!E:E,"")</f>
        <v/>
      </c>
      <c r="L428" t="str">
        <f t="shared" si="21"/>
        <v/>
      </c>
      <c r="M428" s="15">
        <f>MacReports!I428</f>
        <v>0</v>
      </c>
      <c r="R428" s="13" t="str">
        <f>IF(MacReports!M428="Remote Lock","Remote Locked","")</f>
        <v/>
      </c>
    </row>
    <row r="429" spans="5:18">
      <c r="E429" t="str">
        <f>_xlfn.XLOOKUP(B429,MacReports!B:B,MacReports!E:E,"")</f>
        <v/>
      </c>
      <c r="L429" t="str">
        <f t="shared" si="21"/>
        <v/>
      </c>
      <c r="M429" s="15">
        <f>MacReports!I429</f>
        <v>0</v>
      </c>
      <c r="R429" s="13" t="str">
        <f>IF(MacReports!M429="Remote Lock","Remote Locked","")</f>
        <v/>
      </c>
    </row>
    <row r="430" spans="5:18">
      <c r="E430" t="str">
        <f>_xlfn.XLOOKUP(B430,MacReports!B:B,MacReports!E:E,"")</f>
        <v/>
      </c>
      <c r="L430" t="str">
        <f t="shared" si="21"/>
        <v/>
      </c>
      <c r="M430" s="15">
        <f>MacReports!I430</f>
        <v>0</v>
      </c>
      <c r="R430" s="13" t="str">
        <f>IF(MacReports!M430="Remote Lock","Remote Locked","")</f>
        <v/>
      </c>
    </row>
    <row r="431" spans="5:18">
      <c r="E431" t="str">
        <f>_xlfn.XLOOKUP(B431,MacReports!B:B,MacReports!E:E,"")</f>
        <v/>
      </c>
      <c r="L431" t="str">
        <f t="shared" si="21"/>
        <v/>
      </c>
      <c r="M431" s="15">
        <f>MacReports!I431</f>
        <v>0</v>
      </c>
      <c r="R431" s="13" t="str">
        <f>IF(MacReports!M431="Remote Lock","Remote Locked","")</f>
        <v/>
      </c>
    </row>
    <row r="432" spans="5:18">
      <c r="E432" t="str">
        <f>_xlfn.XLOOKUP(B432,MacReports!B:B,MacReports!E:E,"")</f>
        <v/>
      </c>
      <c r="L432" t="str">
        <f t="shared" si="21"/>
        <v/>
      </c>
      <c r="M432" s="15">
        <f>MacReports!I432</f>
        <v>0</v>
      </c>
      <c r="R432" s="13" t="str">
        <f>IF(MacReports!M432="Remote Lock","Remote Locked","")</f>
        <v/>
      </c>
    </row>
    <row r="433" spans="5:18">
      <c r="E433" t="str">
        <f>_xlfn.XLOOKUP(B433,MacReports!B:B,MacReports!E:E,"")</f>
        <v/>
      </c>
      <c r="L433" t="str">
        <f t="shared" si="21"/>
        <v/>
      </c>
      <c r="M433" s="15">
        <f>MacReports!I433</f>
        <v>0</v>
      </c>
      <c r="R433" s="13" t="str">
        <f>IF(MacReports!M433="Remote Lock","Remote Locked","")</f>
        <v/>
      </c>
    </row>
    <row r="434" spans="5:18">
      <c r="E434" t="str">
        <f>_xlfn.XLOOKUP(B434,MacReports!B:B,MacReports!E:E,"")</f>
        <v/>
      </c>
      <c r="L434" t="str">
        <f t="shared" si="21"/>
        <v/>
      </c>
      <c r="M434" s="15">
        <f>MacReports!I434</f>
        <v>0</v>
      </c>
      <c r="R434" s="13" t="str">
        <f>IF(MacReports!M434="Remote Lock","Remote Locked","")</f>
        <v/>
      </c>
    </row>
    <row r="435" spans="5:18">
      <c r="E435" t="str">
        <f>_xlfn.XLOOKUP(B435,MacReports!B:B,MacReports!E:E,"")</f>
        <v/>
      </c>
      <c r="L435" t="str">
        <f t="shared" si="21"/>
        <v/>
      </c>
      <c r="M435" s="15">
        <f>MacReports!I435</f>
        <v>0</v>
      </c>
      <c r="R435" s="13" t="str">
        <f>IF(MacReports!M435="Remote Lock","Remote Locked","")</f>
        <v/>
      </c>
    </row>
    <row r="436" spans="5:18">
      <c r="E436" t="str">
        <f>_xlfn.XLOOKUP(B436,MacReports!B:B,MacReports!E:E,"")</f>
        <v/>
      </c>
      <c r="L436" t="str">
        <f t="shared" si="21"/>
        <v/>
      </c>
      <c r="M436" s="15">
        <f>MacReports!I436</f>
        <v>0</v>
      </c>
      <c r="R436" s="13" t="str">
        <f>IF(MacReports!M436="Remote Lock","Remote Locked","")</f>
        <v/>
      </c>
    </row>
    <row r="437" spans="5:18">
      <c r="E437" t="str">
        <f>_xlfn.XLOOKUP(B437,MacReports!B:B,MacReports!E:E,"")</f>
        <v/>
      </c>
      <c r="L437" t="str">
        <f t="shared" si="21"/>
        <v/>
      </c>
      <c r="M437" s="15">
        <f>MacReports!I437</f>
        <v>0</v>
      </c>
      <c r="R437" s="13" t="str">
        <f>IF(MacReports!M437="Remote Lock","Remote Locked","")</f>
        <v/>
      </c>
    </row>
    <row r="438" spans="5:18">
      <c r="E438" t="str">
        <f>_xlfn.XLOOKUP(B438,MacReports!B:B,MacReports!E:E,"")</f>
        <v/>
      </c>
      <c r="L438" t="str">
        <f t="shared" si="21"/>
        <v/>
      </c>
      <c r="M438" s="15">
        <f>MacReports!I438</f>
        <v>0</v>
      </c>
      <c r="R438" s="13" t="str">
        <f>IF(MacReports!M438="Remote Lock","Remote Locked","")</f>
        <v/>
      </c>
    </row>
    <row r="439" spans="5:18">
      <c r="E439" t="str">
        <f>_xlfn.XLOOKUP(B439,MacReports!B:B,MacReports!E:E,"")</f>
        <v/>
      </c>
      <c r="L439" t="str">
        <f t="shared" si="21"/>
        <v/>
      </c>
      <c r="M439" s="15">
        <f>MacReports!I439</f>
        <v>0</v>
      </c>
      <c r="R439" s="13" t="str">
        <f>IF(MacReports!M439="Remote Lock","Remote Locked","")</f>
        <v/>
      </c>
    </row>
    <row r="440" spans="5:18">
      <c r="E440" t="str">
        <f>_xlfn.XLOOKUP(B440,MacReports!B:B,MacReports!E:E,"")</f>
        <v/>
      </c>
      <c r="L440" t="str">
        <f t="shared" si="21"/>
        <v/>
      </c>
      <c r="M440" s="15">
        <f>MacReports!I440</f>
        <v>0</v>
      </c>
      <c r="R440" s="13" t="str">
        <f>IF(MacReports!M440="Remote Lock","Remote Locked","")</f>
        <v/>
      </c>
    </row>
    <row r="441" spans="5:18">
      <c r="E441" t="str">
        <f>_xlfn.XLOOKUP(B441,MacReports!B:B,MacReports!E:E,"")</f>
        <v/>
      </c>
      <c r="L441" t="str">
        <f t="shared" si="21"/>
        <v/>
      </c>
      <c r="M441" s="15">
        <f>MacReports!I441</f>
        <v>0</v>
      </c>
      <c r="R441" s="13" t="str">
        <f>IF(MacReports!M441="Remote Lock","Remote Locked","")</f>
        <v/>
      </c>
    </row>
    <row r="442" spans="5:18">
      <c r="E442" t="str">
        <f>_xlfn.XLOOKUP(B442,MacReports!B:B,MacReports!E:E,"")</f>
        <v/>
      </c>
      <c r="L442" t="str">
        <f t="shared" si="21"/>
        <v/>
      </c>
      <c r="M442" s="15">
        <f>MacReports!I442</f>
        <v>0</v>
      </c>
      <c r="R442" s="13" t="str">
        <f>IF(MacReports!M442="Remote Lock","Remote Locked","")</f>
        <v/>
      </c>
    </row>
    <row r="443" spans="5:18">
      <c r="E443" t="str">
        <f>_xlfn.XLOOKUP(B443,MacReports!B:B,MacReports!E:E,"")</f>
        <v/>
      </c>
      <c r="L443" t="str">
        <f t="shared" si="21"/>
        <v/>
      </c>
      <c r="M443" s="15">
        <f>MacReports!I443</f>
        <v>0</v>
      </c>
      <c r="R443" s="13" t="str">
        <f>IF(MacReports!M443="Remote Lock","Remote Locked","")</f>
        <v/>
      </c>
    </row>
    <row r="444" spans="5:18">
      <c r="E444" t="str">
        <f>_xlfn.XLOOKUP(B444,MacReports!B:B,MacReports!E:E,"")</f>
        <v/>
      </c>
      <c r="L444" t="str">
        <f t="shared" si="21"/>
        <v/>
      </c>
      <c r="M444" s="15">
        <f>MacReports!I444</f>
        <v>0</v>
      </c>
      <c r="R444" s="13" t="str">
        <f>IF(MacReports!M444="Remote Lock","Remote Locked","")</f>
        <v/>
      </c>
    </row>
    <row r="445" spans="5:18">
      <c r="E445" t="str">
        <f>_xlfn.XLOOKUP(B445,MacReports!B:B,MacReports!E:E,"")</f>
        <v/>
      </c>
      <c r="L445" t="str">
        <f t="shared" si="21"/>
        <v/>
      </c>
      <c r="M445" s="15">
        <f>MacReports!I445</f>
        <v>0</v>
      </c>
      <c r="R445" s="13" t="str">
        <f>IF(MacReports!M445="Remote Lock","Remote Locked","")</f>
        <v/>
      </c>
    </row>
    <row r="446" spans="5:18">
      <c r="E446" t="str">
        <f>_xlfn.XLOOKUP(B446,MacReports!B:B,MacReports!E:E,"")</f>
        <v/>
      </c>
      <c r="L446" t="str">
        <f t="shared" si="21"/>
        <v/>
      </c>
      <c r="M446" s="15">
        <f>MacReports!I446</f>
        <v>0</v>
      </c>
      <c r="R446" s="13" t="str">
        <f>IF(MacReports!M446="Remote Lock","Remote Locked","")</f>
        <v/>
      </c>
    </row>
    <row r="447" spans="5:18">
      <c r="E447" t="str">
        <f>_xlfn.XLOOKUP(B447,MacReports!B:B,MacReports!E:E,"")</f>
        <v/>
      </c>
      <c r="L447" t="str">
        <f t="shared" si="21"/>
        <v/>
      </c>
      <c r="M447" s="15">
        <f>MacReports!I447</f>
        <v>0</v>
      </c>
      <c r="R447" s="13" t="str">
        <f>IF(MacReports!M447="Remote Lock","Remote Locked","")</f>
        <v/>
      </c>
    </row>
    <row r="448" spans="5:18">
      <c r="E448" t="str">
        <f>_xlfn.XLOOKUP(B448,MacReports!B:B,MacReports!E:E,"")</f>
        <v/>
      </c>
      <c r="L448" t="str">
        <f t="shared" si="21"/>
        <v/>
      </c>
      <c r="M448" s="15">
        <f>MacReports!I448</f>
        <v>0</v>
      </c>
      <c r="R448" s="13" t="str">
        <f>IF(MacReports!M448="Remote Lock","Remote Locked","")</f>
        <v/>
      </c>
    </row>
    <row r="449" spans="5:18">
      <c r="E449" t="str">
        <f>_xlfn.XLOOKUP(B449,MacReports!B:B,MacReports!E:E,"")</f>
        <v/>
      </c>
      <c r="L449" t="str">
        <f t="shared" si="21"/>
        <v/>
      </c>
      <c r="M449" s="15">
        <f>MacReports!I449</f>
        <v>0</v>
      </c>
      <c r="R449" s="13" t="str">
        <f>IF(MacReports!M449="Remote Lock","Remote Locked","")</f>
        <v/>
      </c>
    </row>
    <row r="450" spans="5:18">
      <c r="E450" t="str">
        <f>_xlfn.XLOOKUP(B450,MacReports!B:B,MacReports!E:E,"")</f>
        <v/>
      </c>
      <c r="L450" t="str">
        <f t="shared" si="21"/>
        <v/>
      </c>
      <c r="M450" s="15">
        <f>MacReports!I450</f>
        <v>0</v>
      </c>
      <c r="R450" s="13" t="str">
        <f>IF(MacReports!M450="Remote Lock","Remote Locked","")</f>
        <v/>
      </c>
    </row>
    <row r="451" spans="5:18">
      <c r="E451" t="str">
        <f>_xlfn.XLOOKUP(B451,MacReports!B:B,MacReports!E:E,"")</f>
        <v/>
      </c>
      <c r="L451" t="str">
        <f t="shared" ref="L451:L514" si="22">IFERROR(LEFT(K451,FIND(" ",K451)-1)&amp;" GB DDR"&amp;MID(K451,FIND("DDR",K451)+3,1), K451&amp;"")</f>
        <v/>
      </c>
      <c r="M451" s="15">
        <f>MacReports!I451</f>
        <v>0</v>
      </c>
      <c r="R451" s="13" t="str">
        <f>IF(MacReports!M451="Remote Lock","Remote Locked","")</f>
        <v/>
      </c>
    </row>
    <row r="452" spans="5:18">
      <c r="E452" t="str">
        <f>_xlfn.XLOOKUP(B452,MacReports!B:B,MacReports!E:E,"")</f>
        <v/>
      </c>
      <c r="L452" t="str">
        <f t="shared" si="22"/>
        <v/>
      </c>
      <c r="M452" s="15">
        <f>MacReports!I452</f>
        <v>0</v>
      </c>
      <c r="R452" s="13" t="str">
        <f>IF(MacReports!M452="Remote Lock","Remote Locked","")</f>
        <v/>
      </c>
    </row>
    <row r="453" spans="5:18">
      <c r="E453" t="str">
        <f>_xlfn.XLOOKUP(B453,MacReports!B:B,MacReports!E:E,"")</f>
        <v/>
      </c>
      <c r="L453" t="str">
        <f t="shared" si="22"/>
        <v/>
      </c>
      <c r="M453" s="15">
        <f>MacReports!I453</f>
        <v>0</v>
      </c>
      <c r="R453" s="13" t="str">
        <f>IF(MacReports!M453="Remote Lock","Remote Locked","")</f>
        <v/>
      </c>
    </row>
    <row r="454" spans="5:18">
      <c r="E454" t="str">
        <f>_xlfn.XLOOKUP(B454,MacReports!B:B,MacReports!E:E,"")</f>
        <v/>
      </c>
      <c r="L454" t="str">
        <f t="shared" si="22"/>
        <v/>
      </c>
      <c r="M454" s="15">
        <f>MacReports!I454</f>
        <v>0</v>
      </c>
      <c r="R454" s="13" t="str">
        <f>IF(MacReports!M454="Remote Lock","Remote Locked","")</f>
        <v/>
      </c>
    </row>
    <row r="455" spans="5:18">
      <c r="E455" t="str">
        <f>_xlfn.XLOOKUP(B455,MacReports!B:B,MacReports!E:E,"")</f>
        <v/>
      </c>
      <c r="L455" t="str">
        <f t="shared" si="22"/>
        <v/>
      </c>
      <c r="M455" s="15">
        <f>MacReports!I455</f>
        <v>0</v>
      </c>
      <c r="R455" s="13" t="str">
        <f>IF(MacReports!M455="Remote Lock","Remote Locked","")</f>
        <v/>
      </c>
    </row>
    <row r="456" spans="5:18">
      <c r="E456" t="str">
        <f>_xlfn.XLOOKUP(B456,MacReports!B:B,MacReports!E:E,"")</f>
        <v/>
      </c>
      <c r="L456" t="str">
        <f t="shared" si="22"/>
        <v/>
      </c>
      <c r="M456" s="15">
        <f>MacReports!I456</f>
        <v>0</v>
      </c>
      <c r="R456" s="13" t="str">
        <f>IF(MacReports!M456="Remote Lock","Remote Locked","")</f>
        <v/>
      </c>
    </row>
    <row r="457" spans="5:18">
      <c r="E457" t="str">
        <f>_xlfn.XLOOKUP(B457,MacReports!B:B,MacReports!E:E,"")</f>
        <v/>
      </c>
      <c r="L457" t="str">
        <f t="shared" si="22"/>
        <v/>
      </c>
      <c r="M457" s="15">
        <f>MacReports!I457</f>
        <v>0</v>
      </c>
      <c r="R457" s="13" t="str">
        <f>IF(MacReports!M457="Remote Lock","Remote Locked","")</f>
        <v/>
      </c>
    </row>
    <row r="458" spans="5:18">
      <c r="E458" t="str">
        <f>_xlfn.XLOOKUP(B458,MacReports!B:B,MacReports!E:E,"")</f>
        <v/>
      </c>
      <c r="L458" t="str">
        <f t="shared" si="22"/>
        <v/>
      </c>
      <c r="M458" s="15">
        <f>MacReports!I458</f>
        <v>0</v>
      </c>
      <c r="R458" s="13" t="str">
        <f>IF(MacReports!M458="Remote Lock","Remote Locked","")</f>
        <v/>
      </c>
    </row>
    <row r="459" spans="5:18">
      <c r="E459" t="str">
        <f>_xlfn.XLOOKUP(B459,MacReports!B:B,MacReports!E:E,"")</f>
        <v/>
      </c>
      <c r="L459" t="str">
        <f t="shared" si="22"/>
        <v/>
      </c>
      <c r="M459" s="15">
        <f>MacReports!I459</f>
        <v>0</v>
      </c>
      <c r="R459" s="13" t="str">
        <f>IF(MacReports!M459="Remote Lock","Remote Locked","")</f>
        <v/>
      </c>
    </row>
    <row r="460" spans="5:18">
      <c r="E460" t="str">
        <f>_xlfn.XLOOKUP(B460,MacReports!B:B,MacReports!E:E,"")</f>
        <v/>
      </c>
      <c r="L460" t="str">
        <f t="shared" si="22"/>
        <v/>
      </c>
      <c r="M460" s="15">
        <f>MacReports!I460</f>
        <v>0</v>
      </c>
      <c r="R460" s="13" t="str">
        <f>IF(MacReports!M460="Remote Lock","Remote Locked","")</f>
        <v/>
      </c>
    </row>
    <row r="461" spans="5:18">
      <c r="E461" t="str">
        <f>_xlfn.XLOOKUP(B461,MacReports!B:B,MacReports!E:E,"")</f>
        <v/>
      </c>
      <c r="L461" t="str">
        <f t="shared" si="22"/>
        <v/>
      </c>
      <c r="M461" s="15">
        <f>MacReports!I461</f>
        <v>0</v>
      </c>
      <c r="R461" s="13" t="str">
        <f>IF(MacReports!M461="Remote Lock","Remote Locked","")</f>
        <v/>
      </c>
    </row>
    <row r="462" spans="5:18">
      <c r="E462" t="str">
        <f>_xlfn.XLOOKUP(B462,MacReports!B:B,MacReports!E:E,"")</f>
        <v/>
      </c>
      <c r="L462" t="str">
        <f t="shared" si="22"/>
        <v/>
      </c>
      <c r="M462" s="15">
        <f>MacReports!I462</f>
        <v>0</v>
      </c>
      <c r="R462" s="13" t="str">
        <f>IF(MacReports!M462="Remote Lock","Remote Locked","")</f>
        <v/>
      </c>
    </row>
    <row r="463" spans="5:18">
      <c r="E463" t="str">
        <f>_xlfn.XLOOKUP(B463,MacReports!B:B,MacReports!E:E,"")</f>
        <v/>
      </c>
      <c r="L463" t="str">
        <f t="shared" si="22"/>
        <v/>
      </c>
      <c r="M463" s="15">
        <f>MacReports!I463</f>
        <v>0</v>
      </c>
      <c r="R463" s="13" t="str">
        <f>IF(MacReports!M463="Remote Lock","Remote Locked","")</f>
        <v/>
      </c>
    </row>
    <row r="464" spans="5:18">
      <c r="E464" t="str">
        <f>_xlfn.XLOOKUP(B464,MacReports!B:B,MacReports!E:E,"")</f>
        <v/>
      </c>
      <c r="L464" t="str">
        <f t="shared" si="22"/>
        <v/>
      </c>
      <c r="M464" s="15">
        <f>MacReports!I464</f>
        <v>0</v>
      </c>
      <c r="R464" s="13" t="str">
        <f>IF(MacReports!M464="Remote Lock","Remote Locked","")</f>
        <v/>
      </c>
    </row>
    <row r="465" spans="5:18">
      <c r="E465" t="str">
        <f>_xlfn.XLOOKUP(B465,MacReports!B:B,MacReports!E:E,"")</f>
        <v/>
      </c>
      <c r="L465" t="str">
        <f t="shared" si="22"/>
        <v/>
      </c>
      <c r="M465" s="15">
        <f>MacReports!I465</f>
        <v>0</v>
      </c>
      <c r="R465" s="13" t="str">
        <f>IF(MacReports!M465="Remote Lock","Remote Locked","")</f>
        <v/>
      </c>
    </row>
    <row r="466" spans="5:18">
      <c r="E466" t="str">
        <f>_xlfn.XLOOKUP(B466,MacReports!B:B,MacReports!E:E,"")</f>
        <v/>
      </c>
      <c r="L466" t="str">
        <f t="shared" si="22"/>
        <v/>
      </c>
      <c r="M466" s="15">
        <f>MacReports!I466</f>
        <v>0</v>
      </c>
      <c r="R466" s="13" t="str">
        <f>IF(MacReports!M466="Remote Lock","Remote Locked","")</f>
        <v/>
      </c>
    </row>
    <row r="467" spans="5:18">
      <c r="E467" t="str">
        <f>_xlfn.XLOOKUP(B467,MacReports!B:B,MacReports!E:E,"")</f>
        <v/>
      </c>
      <c r="L467" t="str">
        <f t="shared" si="22"/>
        <v/>
      </c>
      <c r="M467" s="15">
        <f>MacReports!I467</f>
        <v>0</v>
      </c>
      <c r="R467" s="13" t="str">
        <f>IF(MacReports!M467="Remote Lock","Remote Locked","")</f>
        <v/>
      </c>
    </row>
    <row r="468" spans="5:18">
      <c r="E468" t="str">
        <f>_xlfn.XLOOKUP(B468,MacReports!B:B,MacReports!E:E,"")</f>
        <v/>
      </c>
      <c r="L468" t="str">
        <f t="shared" si="22"/>
        <v/>
      </c>
      <c r="M468" s="15">
        <f>MacReports!I468</f>
        <v>0</v>
      </c>
      <c r="R468" s="13" t="str">
        <f>IF(MacReports!M468="Remote Lock","Remote Locked","")</f>
        <v/>
      </c>
    </row>
    <row r="469" spans="5:18">
      <c r="E469" t="str">
        <f>_xlfn.XLOOKUP(B469,MacReports!B:B,MacReports!E:E,"")</f>
        <v/>
      </c>
      <c r="L469" t="str">
        <f t="shared" si="22"/>
        <v/>
      </c>
      <c r="M469" s="15">
        <f>MacReports!I469</f>
        <v>0</v>
      </c>
      <c r="R469" s="13" t="str">
        <f>IF(MacReports!M469="Remote Lock","Remote Locked","")</f>
        <v/>
      </c>
    </row>
    <row r="470" spans="5:18">
      <c r="E470" t="str">
        <f>_xlfn.XLOOKUP(B470,MacReports!B:B,MacReports!E:E,"")</f>
        <v/>
      </c>
      <c r="L470" t="str">
        <f t="shared" si="22"/>
        <v/>
      </c>
      <c r="M470" s="15">
        <f>MacReports!I470</f>
        <v>0</v>
      </c>
      <c r="R470" s="13" t="str">
        <f>IF(MacReports!M470="Remote Lock","Remote Locked","")</f>
        <v/>
      </c>
    </row>
    <row r="471" spans="5:18">
      <c r="E471" t="str">
        <f>_xlfn.XLOOKUP(B471,MacReports!B:B,MacReports!E:E,"")</f>
        <v/>
      </c>
      <c r="L471" t="str">
        <f t="shared" si="22"/>
        <v/>
      </c>
      <c r="M471" s="15">
        <f>MacReports!I471</f>
        <v>0</v>
      </c>
      <c r="R471" s="13" t="str">
        <f>IF(MacReports!M471="Remote Lock","Remote Locked","")</f>
        <v/>
      </c>
    </row>
    <row r="472" spans="5:18">
      <c r="E472" t="str">
        <f>_xlfn.XLOOKUP(B472,MacReports!B:B,MacReports!E:E,"")</f>
        <v/>
      </c>
      <c r="L472" t="str">
        <f t="shared" si="22"/>
        <v/>
      </c>
      <c r="M472" s="15">
        <f>MacReports!I472</f>
        <v>0</v>
      </c>
      <c r="R472" s="13" t="str">
        <f>IF(MacReports!M472="Remote Lock","Remote Locked","")</f>
        <v/>
      </c>
    </row>
    <row r="473" spans="5:18">
      <c r="E473" t="str">
        <f>_xlfn.XLOOKUP(B473,MacReports!B:B,MacReports!E:E,"")</f>
        <v/>
      </c>
      <c r="L473" t="str">
        <f t="shared" si="22"/>
        <v/>
      </c>
      <c r="M473" s="15">
        <f>MacReports!I473</f>
        <v>0</v>
      </c>
      <c r="R473" s="13" t="str">
        <f>IF(MacReports!M473="Remote Lock","Remote Locked","")</f>
        <v/>
      </c>
    </row>
    <row r="474" spans="5:18">
      <c r="E474" t="str">
        <f>_xlfn.XLOOKUP(B474,MacReports!B:B,MacReports!E:E,"")</f>
        <v/>
      </c>
      <c r="L474" t="str">
        <f t="shared" si="22"/>
        <v/>
      </c>
      <c r="M474" s="15">
        <f>MacReports!I474</f>
        <v>0</v>
      </c>
      <c r="R474" s="13" t="str">
        <f>IF(MacReports!M474="Remote Lock","Remote Locked","")</f>
        <v/>
      </c>
    </row>
    <row r="475" spans="5:18">
      <c r="E475" t="str">
        <f>_xlfn.XLOOKUP(B475,MacReports!B:B,MacReports!E:E,"")</f>
        <v/>
      </c>
      <c r="L475" t="str">
        <f t="shared" si="22"/>
        <v/>
      </c>
      <c r="M475" s="15">
        <f>MacReports!I475</f>
        <v>0</v>
      </c>
      <c r="R475" s="13" t="str">
        <f>IF(MacReports!M475="Remote Lock","Remote Locked","")</f>
        <v/>
      </c>
    </row>
    <row r="476" spans="5:18">
      <c r="E476" t="str">
        <f>_xlfn.XLOOKUP(B476,MacReports!B:B,MacReports!E:E,"")</f>
        <v/>
      </c>
      <c r="L476" t="str">
        <f t="shared" si="22"/>
        <v/>
      </c>
      <c r="M476" s="15">
        <f>MacReports!I476</f>
        <v>0</v>
      </c>
      <c r="R476" s="13" t="str">
        <f>IF(MacReports!M476="Remote Lock","Remote Locked","")</f>
        <v/>
      </c>
    </row>
    <row r="477" spans="5:18">
      <c r="E477" t="str">
        <f>_xlfn.XLOOKUP(B477,MacReports!B:B,MacReports!E:E,"")</f>
        <v/>
      </c>
      <c r="L477" t="str">
        <f t="shared" si="22"/>
        <v/>
      </c>
      <c r="M477" s="15">
        <f>MacReports!I477</f>
        <v>0</v>
      </c>
      <c r="R477" s="13" t="str">
        <f>IF(MacReports!M477="Remote Lock","Remote Locked","")</f>
        <v/>
      </c>
    </row>
    <row r="478" spans="5:18">
      <c r="E478" t="str">
        <f>_xlfn.XLOOKUP(B478,MacReports!B:B,MacReports!E:E,"")</f>
        <v/>
      </c>
      <c r="L478" t="str">
        <f t="shared" si="22"/>
        <v/>
      </c>
      <c r="M478" s="15">
        <f>MacReports!I478</f>
        <v>0</v>
      </c>
      <c r="R478" s="13" t="str">
        <f>IF(MacReports!M478="Remote Lock","Remote Locked","")</f>
        <v/>
      </c>
    </row>
    <row r="479" spans="5:18">
      <c r="E479" t="str">
        <f>_xlfn.XLOOKUP(B479,MacReports!B:B,MacReports!E:E,"")</f>
        <v/>
      </c>
      <c r="L479" t="str">
        <f t="shared" si="22"/>
        <v/>
      </c>
      <c r="M479" s="15">
        <f>MacReports!I479</f>
        <v>0</v>
      </c>
      <c r="R479" s="13" t="str">
        <f>IF(MacReports!M479="Remote Lock","Remote Locked","")</f>
        <v/>
      </c>
    </row>
    <row r="480" spans="5:18">
      <c r="E480" t="str">
        <f>_xlfn.XLOOKUP(B480,MacReports!B:B,MacReports!E:E,"")</f>
        <v/>
      </c>
      <c r="L480" t="str">
        <f t="shared" si="22"/>
        <v/>
      </c>
      <c r="M480" s="15">
        <f>MacReports!I480</f>
        <v>0</v>
      </c>
      <c r="R480" s="13" t="str">
        <f>IF(MacReports!M480="Remote Lock","Remote Locked","")</f>
        <v/>
      </c>
    </row>
    <row r="481" spans="5:18">
      <c r="E481" t="str">
        <f>_xlfn.XLOOKUP(B481,MacReports!B:B,MacReports!E:E,"")</f>
        <v/>
      </c>
      <c r="L481" t="str">
        <f t="shared" si="22"/>
        <v/>
      </c>
      <c r="M481" s="15">
        <f>MacReports!I481</f>
        <v>0</v>
      </c>
      <c r="R481" s="13" t="str">
        <f>IF(MacReports!M481="Remote Lock","Remote Locked","")</f>
        <v/>
      </c>
    </row>
    <row r="482" spans="5:18">
      <c r="E482" t="str">
        <f>_xlfn.XLOOKUP(B482,MacReports!B:B,MacReports!E:E,"")</f>
        <v/>
      </c>
      <c r="L482" t="str">
        <f t="shared" si="22"/>
        <v/>
      </c>
      <c r="M482" s="15">
        <f>MacReports!I482</f>
        <v>0</v>
      </c>
      <c r="R482" s="13" t="str">
        <f>IF(MacReports!M482="Remote Lock","Remote Locked","")</f>
        <v/>
      </c>
    </row>
    <row r="483" spans="5:18">
      <c r="E483" t="str">
        <f>_xlfn.XLOOKUP(B483,MacReports!B:B,MacReports!E:E,"")</f>
        <v/>
      </c>
      <c r="L483" t="str">
        <f t="shared" si="22"/>
        <v/>
      </c>
      <c r="M483" s="15">
        <f>MacReports!I483</f>
        <v>0</v>
      </c>
      <c r="R483" s="13" t="str">
        <f>IF(MacReports!M483="Remote Lock","Remote Locked","")</f>
        <v/>
      </c>
    </row>
    <row r="484" spans="5:18">
      <c r="E484" t="str">
        <f>_xlfn.XLOOKUP(B484,MacReports!B:B,MacReports!E:E,"")</f>
        <v/>
      </c>
      <c r="L484" t="str">
        <f t="shared" si="22"/>
        <v/>
      </c>
      <c r="M484" s="15">
        <f>MacReports!I484</f>
        <v>0</v>
      </c>
      <c r="R484" s="13" t="str">
        <f>IF(MacReports!M484="Remote Lock","Remote Locked","")</f>
        <v/>
      </c>
    </row>
    <row r="485" spans="5:18">
      <c r="E485" t="str">
        <f>_xlfn.XLOOKUP(B485,MacReports!B:B,MacReports!E:E,"")</f>
        <v/>
      </c>
      <c r="L485" t="str">
        <f t="shared" si="22"/>
        <v/>
      </c>
      <c r="M485" s="15">
        <f>MacReports!I485</f>
        <v>0</v>
      </c>
      <c r="R485" s="13" t="str">
        <f>IF(MacReports!M485="Remote Lock","Remote Locked","")</f>
        <v/>
      </c>
    </row>
    <row r="486" spans="5:18">
      <c r="E486" t="str">
        <f>_xlfn.XLOOKUP(B486,MacReports!B:B,MacReports!E:E,"")</f>
        <v/>
      </c>
      <c r="L486" t="str">
        <f t="shared" si="22"/>
        <v/>
      </c>
      <c r="M486" s="15">
        <f>MacReports!I486</f>
        <v>0</v>
      </c>
      <c r="R486" s="13" t="str">
        <f>IF(MacReports!M486="Remote Lock","Remote Locked","")</f>
        <v/>
      </c>
    </row>
    <row r="487" spans="5:18">
      <c r="E487" t="str">
        <f>_xlfn.XLOOKUP(B487,MacReports!B:B,MacReports!E:E,"")</f>
        <v/>
      </c>
      <c r="L487" t="str">
        <f t="shared" si="22"/>
        <v/>
      </c>
      <c r="M487" s="15">
        <f>MacReports!I487</f>
        <v>0</v>
      </c>
      <c r="R487" s="13" t="str">
        <f>IF(MacReports!M487="Remote Lock","Remote Locked","")</f>
        <v/>
      </c>
    </row>
    <row r="488" spans="5:18">
      <c r="E488" t="str">
        <f>_xlfn.XLOOKUP(B488,MacReports!B:B,MacReports!E:E,"")</f>
        <v/>
      </c>
      <c r="L488" t="str">
        <f t="shared" si="22"/>
        <v/>
      </c>
      <c r="M488" s="15">
        <f>MacReports!I488</f>
        <v>0</v>
      </c>
      <c r="R488" s="13" t="str">
        <f>IF(MacReports!M488="Remote Lock","Remote Locked","")</f>
        <v/>
      </c>
    </row>
    <row r="489" spans="5:18">
      <c r="E489" t="str">
        <f>_xlfn.XLOOKUP(B489,MacReports!B:B,MacReports!E:E,"")</f>
        <v/>
      </c>
      <c r="L489" t="str">
        <f t="shared" si="22"/>
        <v/>
      </c>
      <c r="M489" s="15">
        <f>MacReports!I489</f>
        <v>0</v>
      </c>
      <c r="R489" s="13" t="str">
        <f>IF(MacReports!M489="Remote Lock","Remote Locked","")</f>
        <v/>
      </c>
    </row>
    <row r="490" spans="5:18">
      <c r="E490" t="str">
        <f>_xlfn.XLOOKUP(B490,MacReports!B:B,MacReports!E:E,"")</f>
        <v/>
      </c>
      <c r="L490" t="str">
        <f t="shared" si="22"/>
        <v/>
      </c>
      <c r="M490" s="15">
        <f>MacReports!I490</f>
        <v>0</v>
      </c>
      <c r="R490" s="13" t="str">
        <f>IF(MacReports!M490="Remote Lock","Remote Locked","")</f>
        <v/>
      </c>
    </row>
    <row r="491" spans="5:18">
      <c r="E491" t="str">
        <f>_xlfn.XLOOKUP(B491,MacReports!B:B,MacReports!E:E,"")</f>
        <v/>
      </c>
      <c r="L491" t="str">
        <f t="shared" si="22"/>
        <v/>
      </c>
      <c r="M491" s="15">
        <f>MacReports!I491</f>
        <v>0</v>
      </c>
      <c r="R491" s="13" t="str">
        <f>IF(MacReports!M491="Remote Lock","Remote Locked","")</f>
        <v/>
      </c>
    </row>
    <row r="492" spans="5:18">
      <c r="E492" t="str">
        <f>_xlfn.XLOOKUP(B492,MacReports!B:B,MacReports!E:E,"")</f>
        <v/>
      </c>
      <c r="L492" t="str">
        <f t="shared" si="22"/>
        <v/>
      </c>
      <c r="M492" s="15">
        <f>MacReports!I492</f>
        <v>0</v>
      </c>
      <c r="R492" s="13" t="str">
        <f>IF(MacReports!M492="Remote Lock","Remote Locked","")</f>
        <v/>
      </c>
    </row>
    <row r="493" spans="5:18">
      <c r="E493" t="str">
        <f>_xlfn.XLOOKUP(B493,MacReports!B:B,MacReports!E:E,"")</f>
        <v/>
      </c>
      <c r="L493" t="str">
        <f t="shared" si="22"/>
        <v/>
      </c>
      <c r="M493" s="15">
        <f>MacReports!I493</f>
        <v>0</v>
      </c>
      <c r="R493" s="13" t="str">
        <f>IF(MacReports!M493="Remote Lock","Remote Locked","")</f>
        <v/>
      </c>
    </row>
    <row r="494" spans="5:18">
      <c r="E494" t="str">
        <f>_xlfn.XLOOKUP(B494,MacReports!B:B,MacReports!E:E,"")</f>
        <v/>
      </c>
      <c r="L494" t="str">
        <f t="shared" si="22"/>
        <v/>
      </c>
      <c r="M494" s="15">
        <f>MacReports!I494</f>
        <v>0</v>
      </c>
      <c r="R494" s="13" t="str">
        <f>IF(MacReports!M494="Remote Lock","Remote Locked","")</f>
        <v/>
      </c>
    </row>
    <row r="495" spans="5:18">
      <c r="E495" t="str">
        <f>_xlfn.XLOOKUP(B495,MacReports!B:B,MacReports!E:E,"")</f>
        <v/>
      </c>
      <c r="L495" t="str">
        <f t="shared" si="22"/>
        <v/>
      </c>
      <c r="M495" s="15">
        <f>MacReports!I495</f>
        <v>0</v>
      </c>
      <c r="R495" s="13" t="str">
        <f>IF(MacReports!M495="Remote Lock","Remote Locked","")</f>
        <v/>
      </c>
    </row>
    <row r="496" spans="5:18">
      <c r="E496" t="str">
        <f>_xlfn.XLOOKUP(B496,MacReports!B:B,MacReports!E:E,"")</f>
        <v/>
      </c>
      <c r="L496" t="str">
        <f t="shared" si="22"/>
        <v/>
      </c>
      <c r="M496" s="15">
        <f>MacReports!I496</f>
        <v>0</v>
      </c>
      <c r="R496" s="13" t="str">
        <f>IF(MacReports!M496="Remote Lock","Remote Locked","")</f>
        <v/>
      </c>
    </row>
    <row r="497" spans="5:18">
      <c r="E497" t="str">
        <f>_xlfn.XLOOKUP(B497,MacReports!B:B,MacReports!E:E,"")</f>
        <v/>
      </c>
      <c r="L497" t="str">
        <f t="shared" si="22"/>
        <v/>
      </c>
      <c r="M497" s="15">
        <f>MacReports!I497</f>
        <v>0</v>
      </c>
      <c r="R497" s="13" t="str">
        <f>IF(MacReports!M497="Remote Lock","Remote Locked","")</f>
        <v/>
      </c>
    </row>
    <row r="498" spans="5:18">
      <c r="E498" t="str">
        <f>_xlfn.XLOOKUP(B498,MacReports!B:B,MacReports!E:E,"")</f>
        <v/>
      </c>
      <c r="L498" t="str">
        <f t="shared" si="22"/>
        <v/>
      </c>
      <c r="M498" s="15">
        <f>MacReports!I498</f>
        <v>0</v>
      </c>
      <c r="R498" s="13" t="str">
        <f>IF(MacReports!M498="Remote Lock","Remote Locked","")</f>
        <v/>
      </c>
    </row>
    <row r="499" spans="5:18">
      <c r="E499" t="str">
        <f>_xlfn.XLOOKUP(B499,MacReports!B:B,MacReports!E:E,"")</f>
        <v/>
      </c>
      <c r="L499" t="str">
        <f t="shared" si="22"/>
        <v/>
      </c>
      <c r="M499" s="15">
        <f>MacReports!I499</f>
        <v>0</v>
      </c>
      <c r="R499" s="13" t="str">
        <f>IF(MacReports!M499="Remote Lock","Remote Locked","")</f>
        <v/>
      </c>
    </row>
    <row r="500" spans="5:18">
      <c r="E500" t="str">
        <f>_xlfn.XLOOKUP(B500,MacReports!B:B,MacReports!E:E,"")</f>
        <v/>
      </c>
      <c r="L500" t="str">
        <f t="shared" si="22"/>
        <v/>
      </c>
      <c r="M500" s="15">
        <f>MacReports!I500</f>
        <v>0</v>
      </c>
      <c r="R500" s="13" t="str">
        <f>IF(MacReports!M500="Remote Lock","Remote Locked","")</f>
        <v/>
      </c>
    </row>
    <row r="501" spans="5:18">
      <c r="E501" t="str">
        <f>_xlfn.XLOOKUP(B501,MacReports!B:B,MacReports!E:E,"")</f>
        <v/>
      </c>
      <c r="L501" t="str">
        <f t="shared" si="22"/>
        <v/>
      </c>
      <c r="M501" s="15">
        <f>MacReports!I501</f>
        <v>0</v>
      </c>
      <c r="R501" s="13" t="str">
        <f>IF(MacReports!M501="Remote Lock","Remote Locked","")</f>
        <v/>
      </c>
    </row>
    <row r="502" spans="5:18">
      <c r="E502" t="str">
        <f>_xlfn.XLOOKUP(B502,MacReports!B:B,MacReports!E:E,"")</f>
        <v/>
      </c>
      <c r="L502" t="str">
        <f t="shared" si="22"/>
        <v/>
      </c>
      <c r="M502" s="15">
        <f>MacReports!I502</f>
        <v>0</v>
      </c>
      <c r="R502" s="13" t="str">
        <f>IF(MacReports!M502="Remote Lock","Remote Locked","")</f>
        <v/>
      </c>
    </row>
    <row r="503" spans="5:18">
      <c r="E503" t="str">
        <f>_xlfn.XLOOKUP(B503,MacReports!B:B,MacReports!E:E,"")</f>
        <v/>
      </c>
      <c r="L503" t="str">
        <f t="shared" si="22"/>
        <v/>
      </c>
      <c r="M503" s="15">
        <f>MacReports!I503</f>
        <v>0</v>
      </c>
      <c r="R503" s="13" t="str">
        <f>IF(MacReports!M503="Remote Lock","Remote Locked","")</f>
        <v/>
      </c>
    </row>
    <row r="504" spans="5:18">
      <c r="E504" t="str">
        <f>_xlfn.XLOOKUP(B504,MacReports!B:B,MacReports!E:E,"")</f>
        <v/>
      </c>
      <c r="L504" t="str">
        <f t="shared" si="22"/>
        <v/>
      </c>
      <c r="M504" s="15">
        <f>MacReports!I504</f>
        <v>0</v>
      </c>
      <c r="R504" s="13" t="str">
        <f>IF(MacReports!M504="Remote Lock","Remote Locked","")</f>
        <v/>
      </c>
    </row>
    <row r="505" spans="5:18">
      <c r="E505" t="str">
        <f>_xlfn.XLOOKUP(B505,MacReports!B:B,MacReports!E:E,"")</f>
        <v/>
      </c>
      <c r="L505" t="str">
        <f t="shared" si="22"/>
        <v/>
      </c>
      <c r="M505" s="15">
        <f>MacReports!I505</f>
        <v>0</v>
      </c>
      <c r="R505" s="13" t="str">
        <f>IF(MacReports!M505="Remote Lock","Remote Locked","")</f>
        <v/>
      </c>
    </row>
    <row r="506" spans="5:18">
      <c r="E506" t="str">
        <f>_xlfn.XLOOKUP(B506,MacReports!B:B,MacReports!E:E,"")</f>
        <v/>
      </c>
      <c r="L506" t="str">
        <f t="shared" si="22"/>
        <v/>
      </c>
      <c r="M506" s="15">
        <f>MacReports!I506</f>
        <v>0</v>
      </c>
      <c r="R506" s="13" t="str">
        <f>IF(MacReports!M506="Remote Lock","Remote Locked","")</f>
        <v/>
      </c>
    </row>
    <row r="507" spans="5:18">
      <c r="E507" t="str">
        <f>_xlfn.XLOOKUP(B507,MacReports!B:B,MacReports!E:E,"")</f>
        <v/>
      </c>
      <c r="L507" t="str">
        <f t="shared" si="22"/>
        <v/>
      </c>
      <c r="M507" s="15">
        <f>MacReports!I507</f>
        <v>0</v>
      </c>
      <c r="R507" s="13" t="str">
        <f>IF(MacReports!M507="Remote Lock","Remote Locked","")</f>
        <v/>
      </c>
    </row>
    <row r="508" spans="5:18">
      <c r="E508" t="str">
        <f>_xlfn.XLOOKUP(B508,MacReports!B:B,MacReports!E:E,"")</f>
        <v/>
      </c>
      <c r="L508" t="str">
        <f t="shared" si="22"/>
        <v/>
      </c>
      <c r="M508" s="15">
        <f>MacReports!I508</f>
        <v>0</v>
      </c>
      <c r="R508" s="13" t="str">
        <f>IF(MacReports!M508="Remote Lock","Remote Locked","")</f>
        <v/>
      </c>
    </row>
    <row r="509" spans="5:18">
      <c r="E509" t="str">
        <f>_xlfn.XLOOKUP(B509,MacReports!B:B,MacReports!E:E,"")</f>
        <v/>
      </c>
      <c r="L509" t="str">
        <f t="shared" si="22"/>
        <v/>
      </c>
      <c r="M509" s="15">
        <f>MacReports!I509</f>
        <v>0</v>
      </c>
      <c r="R509" s="13" t="str">
        <f>IF(MacReports!M509="Remote Lock","Remote Locked","")</f>
        <v/>
      </c>
    </row>
    <row r="510" spans="5:18">
      <c r="E510" t="str">
        <f>_xlfn.XLOOKUP(B510,MacReports!B:B,MacReports!E:E,"")</f>
        <v/>
      </c>
      <c r="L510" t="str">
        <f t="shared" si="22"/>
        <v/>
      </c>
      <c r="M510" s="15">
        <f>MacReports!I510</f>
        <v>0</v>
      </c>
      <c r="R510" s="13" t="str">
        <f>IF(MacReports!M510="Remote Lock","Remote Locked","")</f>
        <v/>
      </c>
    </row>
    <row r="511" spans="5:18">
      <c r="E511" t="str">
        <f>_xlfn.XLOOKUP(B511,MacReports!B:B,MacReports!E:E,"")</f>
        <v/>
      </c>
      <c r="L511" t="str">
        <f t="shared" si="22"/>
        <v/>
      </c>
      <c r="M511" s="15">
        <f>MacReports!I511</f>
        <v>0</v>
      </c>
      <c r="R511" s="13" t="str">
        <f>IF(MacReports!M511="Remote Lock","Remote Locked","")</f>
        <v/>
      </c>
    </row>
    <row r="512" spans="5:18">
      <c r="E512" t="str">
        <f>_xlfn.XLOOKUP(B512,MacReports!B:B,MacReports!E:E,"")</f>
        <v/>
      </c>
      <c r="L512" t="str">
        <f t="shared" si="22"/>
        <v/>
      </c>
      <c r="M512" s="15">
        <f>MacReports!I512</f>
        <v>0</v>
      </c>
      <c r="R512" s="13" t="str">
        <f>IF(MacReports!M512="Remote Lock","Remote Locked","")</f>
        <v/>
      </c>
    </row>
    <row r="513" spans="5:18">
      <c r="E513" t="str">
        <f>_xlfn.XLOOKUP(B513,MacReports!B:B,MacReports!E:E,"")</f>
        <v/>
      </c>
      <c r="L513" t="str">
        <f t="shared" si="22"/>
        <v/>
      </c>
      <c r="M513" s="15">
        <f>MacReports!I513</f>
        <v>0</v>
      </c>
      <c r="R513" s="13" t="str">
        <f>IF(MacReports!M513="Remote Lock","Remote Locked","")</f>
        <v/>
      </c>
    </row>
    <row r="514" spans="5:18">
      <c r="E514" t="str">
        <f>_xlfn.XLOOKUP(B514,MacReports!B:B,MacReports!E:E,"")</f>
        <v/>
      </c>
      <c r="L514" t="str">
        <f t="shared" si="22"/>
        <v/>
      </c>
      <c r="M514" s="15">
        <f>MacReports!I514</f>
        <v>0</v>
      </c>
      <c r="R514" s="13" t="str">
        <f>IF(MacReports!M514="Remote Lock","Remote Locked","")</f>
        <v/>
      </c>
    </row>
    <row r="515" spans="5:18">
      <c r="E515" t="str">
        <f>_xlfn.XLOOKUP(B515,MacReports!B:B,MacReports!E:E,"")</f>
        <v/>
      </c>
      <c r="L515" t="str">
        <f t="shared" ref="L515:L578" si="23">IFERROR(LEFT(K515,FIND(" ",K515)-1)&amp;" GB DDR"&amp;MID(K515,FIND("DDR",K515)+3,1), K515&amp;"")</f>
        <v/>
      </c>
      <c r="M515" s="15">
        <f>MacReports!I515</f>
        <v>0</v>
      </c>
      <c r="R515" s="13" t="str">
        <f>IF(MacReports!M515="Remote Lock","Remote Locked","")</f>
        <v/>
      </c>
    </row>
    <row r="516" spans="5:18">
      <c r="E516" t="str">
        <f>_xlfn.XLOOKUP(B516,MacReports!B:B,MacReports!E:E,"")</f>
        <v/>
      </c>
      <c r="L516" t="str">
        <f t="shared" si="23"/>
        <v/>
      </c>
      <c r="M516" s="15">
        <f>MacReports!I516</f>
        <v>0</v>
      </c>
      <c r="R516" s="13" t="str">
        <f>IF(MacReports!M516="Remote Lock","Remote Locked","")</f>
        <v/>
      </c>
    </row>
    <row r="517" spans="5:18">
      <c r="E517" t="str">
        <f>_xlfn.XLOOKUP(B517,MacReports!B:B,MacReports!E:E,"")</f>
        <v/>
      </c>
      <c r="L517" t="str">
        <f t="shared" si="23"/>
        <v/>
      </c>
      <c r="M517" s="15">
        <f>MacReports!I517</f>
        <v>0</v>
      </c>
      <c r="R517" s="13" t="str">
        <f>IF(MacReports!M517="Remote Lock","Remote Locked","")</f>
        <v/>
      </c>
    </row>
    <row r="518" spans="5:18">
      <c r="E518" t="str">
        <f>_xlfn.XLOOKUP(B518,MacReports!B:B,MacReports!E:E,"")</f>
        <v/>
      </c>
      <c r="L518" t="str">
        <f t="shared" si="23"/>
        <v/>
      </c>
      <c r="M518" s="15">
        <f>MacReports!I518</f>
        <v>0</v>
      </c>
      <c r="R518" s="13" t="str">
        <f>IF(MacReports!M518="Remote Lock","Remote Locked","")</f>
        <v/>
      </c>
    </row>
    <row r="519" spans="5:18">
      <c r="E519" t="str">
        <f>_xlfn.XLOOKUP(B519,MacReports!B:B,MacReports!E:E,"")</f>
        <v/>
      </c>
      <c r="L519" t="str">
        <f t="shared" si="23"/>
        <v/>
      </c>
      <c r="M519" s="15">
        <f>MacReports!I519</f>
        <v>0</v>
      </c>
      <c r="R519" s="13" t="str">
        <f>IF(MacReports!M519="Remote Lock","Remote Locked","")</f>
        <v/>
      </c>
    </row>
    <row r="520" spans="5:18">
      <c r="E520" t="str">
        <f>_xlfn.XLOOKUP(B520,MacReports!B:B,MacReports!E:E,"")</f>
        <v/>
      </c>
      <c r="L520" t="str">
        <f t="shared" si="23"/>
        <v/>
      </c>
      <c r="M520" s="15">
        <f>MacReports!I520</f>
        <v>0</v>
      </c>
      <c r="R520" s="13" t="str">
        <f>IF(MacReports!M520="Remote Lock","Remote Locked","")</f>
        <v/>
      </c>
    </row>
    <row r="521" spans="5:18">
      <c r="E521" t="str">
        <f>_xlfn.XLOOKUP(B521,MacReports!B:B,MacReports!E:E,"")</f>
        <v/>
      </c>
      <c r="L521" t="str">
        <f t="shared" si="23"/>
        <v/>
      </c>
      <c r="M521" s="15">
        <f>MacReports!I521</f>
        <v>0</v>
      </c>
      <c r="R521" s="13" t="str">
        <f>IF(MacReports!M521="Remote Lock","Remote Locked","")</f>
        <v/>
      </c>
    </row>
    <row r="522" spans="5:18">
      <c r="E522" t="str">
        <f>_xlfn.XLOOKUP(B522,MacReports!B:B,MacReports!E:E,"")</f>
        <v/>
      </c>
      <c r="L522" t="str">
        <f t="shared" si="23"/>
        <v/>
      </c>
      <c r="M522" s="15">
        <f>MacReports!I522</f>
        <v>0</v>
      </c>
      <c r="R522" s="13" t="str">
        <f>IF(MacReports!M522="Remote Lock","Remote Locked","")</f>
        <v/>
      </c>
    </row>
    <row r="523" spans="5:18">
      <c r="E523" t="str">
        <f>_xlfn.XLOOKUP(B523,MacReports!B:B,MacReports!E:E,"")</f>
        <v/>
      </c>
      <c r="L523" t="str">
        <f t="shared" si="23"/>
        <v/>
      </c>
      <c r="M523" s="15">
        <f>MacReports!I523</f>
        <v>0</v>
      </c>
      <c r="R523" s="13" t="str">
        <f>IF(MacReports!M523="Remote Lock","Remote Locked","")</f>
        <v/>
      </c>
    </row>
    <row r="524" spans="5:18">
      <c r="E524" t="str">
        <f>_xlfn.XLOOKUP(B524,MacReports!B:B,MacReports!E:E,"")</f>
        <v/>
      </c>
      <c r="L524" t="str">
        <f t="shared" si="23"/>
        <v/>
      </c>
      <c r="M524" s="15">
        <f>MacReports!I524</f>
        <v>0</v>
      </c>
      <c r="R524" s="13" t="str">
        <f>IF(MacReports!M524="Remote Lock","Remote Locked","")</f>
        <v/>
      </c>
    </row>
    <row r="525" spans="5:18">
      <c r="E525" t="str">
        <f>_xlfn.XLOOKUP(B525,MacReports!B:B,MacReports!E:E,"")</f>
        <v/>
      </c>
      <c r="L525" t="str">
        <f t="shared" si="23"/>
        <v/>
      </c>
      <c r="M525" s="15">
        <f>MacReports!I525</f>
        <v>0</v>
      </c>
      <c r="R525" s="13" t="str">
        <f>IF(MacReports!M525="Remote Lock","Remote Locked","")</f>
        <v/>
      </c>
    </row>
    <row r="526" spans="5:18">
      <c r="E526" t="str">
        <f>_xlfn.XLOOKUP(B526,MacReports!B:B,MacReports!E:E,"")</f>
        <v/>
      </c>
      <c r="L526" t="str">
        <f t="shared" si="23"/>
        <v/>
      </c>
      <c r="M526" s="15">
        <f>MacReports!I526</f>
        <v>0</v>
      </c>
      <c r="R526" s="13" t="str">
        <f>IF(MacReports!M526="Remote Lock","Remote Locked","")</f>
        <v/>
      </c>
    </row>
    <row r="527" spans="5:18">
      <c r="E527" t="str">
        <f>_xlfn.XLOOKUP(B527,MacReports!B:B,MacReports!E:E,"")</f>
        <v/>
      </c>
      <c r="L527" t="str">
        <f t="shared" si="23"/>
        <v/>
      </c>
      <c r="M527" s="15">
        <f>MacReports!I527</f>
        <v>0</v>
      </c>
      <c r="R527" s="13" t="str">
        <f>IF(MacReports!M527="Remote Lock","Remote Locked","")</f>
        <v/>
      </c>
    </row>
    <row r="528" spans="5:18">
      <c r="E528" t="str">
        <f>_xlfn.XLOOKUP(B528,MacReports!B:B,MacReports!E:E,"")</f>
        <v/>
      </c>
      <c r="L528" t="str">
        <f t="shared" si="23"/>
        <v/>
      </c>
      <c r="M528" s="15">
        <f>MacReports!I528</f>
        <v>0</v>
      </c>
      <c r="R528" s="13" t="str">
        <f>IF(MacReports!M528="Remote Lock","Remote Locked","")</f>
        <v/>
      </c>
    </row>
    <row r="529" spans="5:18">
      <c r="E529" t="str">
        <f>_xlfn.XLOOKUP(B529,MacReports!B:B,MacReports!E:E,"")</f>
        <v/>
      </c>
      <c r="L529" t="str">
        <f t="shared" si="23"/>
        <v/>
      </c>
      <c r="M529" s="15">
        <f>MacReports!I529</f>
        <v>0</v>
      </c>
      <c r="R529" s="13" t="str">
        <f>IF(MacReports!M529="Remote Lock","Remote Locked","")</f>
        <v/>
      </c>
    </row>
    <row r="530" spans="5:18">
      <c r="E530" t="str">
        <f>_xlfn.XLOOKUP(B530,MacReports!B:B,MacReports!E:E,"")</f>
        <v/>
      </c>
      <c r="L530" t="str">
        <f t="shared" si="23"/>
        <v/>
      </c>
      <c r="M530" s="15">
        <f>MacReports!I530</f>
        <v>0</v>
      </c>
      <c r="R530" s="13" t="str">
        <f>IF(MacReports!M530="Remote Lock","Remote Locked","")</f>
        <v/>
      </c>
    </row>
    <row r="531" spans="5:18">
      <c r="E531" t="str">
        <f>_xlfn.XLOOKUP(B531,MacReports!B:B,MacReports!E:E,"")</f>
        <v/>
      </c>
      <c r="L531" t="str">
        <f t="shared" si="23"/>
        <v/>
      </c>
      <c r="M531" s="15">
        <f>MacReports!I531</f>
        <v>0</v>
      </c>
      <c r="R531" s="13" t="str">
        <f>IF(MacReports!M531="Remote Lock","Remote Locked","")</f>
        <v/>
      </c>
    </row>
    <row r="532" spans="5:18">
      <c r="E532" t="str">
        <f>_xlfn.XLOOKUP(B532,MacReports!B:B,MacReports!E:E,"")</f>
        <v/>
      </c>
      <c r="L532" t="str">
        <f t="shared" si="23"/>
        <v/>
      </c>
      <c r="M532" s="15">
        <f>MacReports!I532</f>
        <v>0</v>
      </c>
      <c r="R532" s="13" t="str">
        <f>IF(MacReports!M532="Remote Lock","Remote Locked","")</f>
        <v/>
      </c>
    </row>
    <row r="533" spans="5:18">
      <c r="E533" t="str">
        <f>_xlfn.XLOOKUP(B533,MacReports!B:B,MacReports!E:E,"")</f>
        <v/>
      </c>
      <c r="L533" t="str">
        <f t="shared" si="23"/>
        <v/>
      </c>
      <c r="M533" s="15">
        <f>MacReports!I533</f>
        <v>0</v>
      </c>
      <c r="R533" s="13" t="str">
        <f>IF(MacReports!M533="Remote Lock","Remote Locked","")</f>
        <v/>
      </c>
    </row>
    <row r="534" spans="5:18">
      <c r="E534" t="str">
        <f>_xlfn.XLOOKUP(B534,MacReports!B:B,MacReports!E:E,"")</f>
        <v/>
      </c>
      <c r="L534" t="str">
        <f t="shared" si="23"/>
        <v/>
      </c>
      <c r="M534" s="15">
        <f>MacReports!I534</f>
        <v>0</v>
      </c>
      <c r="R534" s="13" t="str">
        <f>IF(MacReports!M534="Remote Lock","Remote Locked","")</f>
        <v/>
      </c>
    </row>
    <row r="535" spans="5:18">
      <c r="E535" t="str">
        <f>_xlfn.XLOOKUP(B535,MacReports!B:B,MacReports!E:E,"")</f>
        <v/>
      </c>
      <c r="L535" t="str">
        <f t="shared" si="23"/>
        <v/>
      </c>
      <c r="M535" s="15">
        <f>MacReports!I535</f>
        <v>0</v>
      </c>
      <c r="R535" s="13" t="str">
        <f>IF(MacReports!M535="Remote Lock","Remote Locked","")</f>
        <v/>
      </c>
    </row>
    <row r="536" spans="5:18">
      <c r="E536" t="str">
        <f>_xlfn.XLOOKUP(B536,MacReports!B:B,MacReports!E:E,"")</f>
        <v/>
      </c>
      <c r="L536" t="str">
        <f t="shared" si="23"/>
        <v/>
      </c>
      <c r="M536" s="15">
        <f>MacReports!I536</f>
        <v>0</v>
      </c>
      <c r="R536" s="13" t="str">
        <f>IF(MacReports!M536="Remote Lock","Remote Locked","")</f>
        <v/>
      </c>
    </row>
    <row r="537" spans="5:18">
      <c r="E537" t="str">
        <f>_xlfn.XLOOKUP(B537,MacReports!B:B,MacReports!E:E,"")</f>
        <v/>
      </c>
      <c r="L537" t="str">
        <f t="shared" si="23"/>
        <v/>
      </c>
      <c r="M537" s="15">
        <f>MacReports!I537</f>
        <v>0</v>
      </c>
      <c r="R537" s="13" t="str">
        <f>IF(MacReports!M537="Remote Lock","Remote Locked","")</f>
        <v/>
      </c>
    </row>
    <row r="538" spans="5:18">
      <c r="E538" t="str">
        <f>_xlfn.XLOOKUP(B538,MacReports!B:B,MacReports!E:E,"")</f>
        <v/>
      </c>
      <c r="L538" t="str">
        <f t="shared" si="23"/>
        <v/>
      </c>
      <c r="M538" s="15">
        <f>MacReports!I538</f>
        <v>0</v>
      </c>
      <c r="R538" s="13" t="str">
        <f>IF(MacReports!M538="Remote Lock","Remote Locked","")</f>
        <v/>
      </c>
    </row>
    <row r="539" spans="5:18">
      <c r="E539" t="str">
        <f>_xlfn.XLOOKUP(B539,MacReports!B:B,MacReports!E:E,"")</f>
        <v/>
      </c>
      <c r="L539" t="str">
        <f t="shared" si="23"/>
        <v/>
      </c>
      <c r="M539" s="15">
        <f>MacReports!I539</f>
        <v>0</v>
      </c>
      <c r="R539" s="13" t="str">
        <f>IF(MacReports!M539="Remote Lock","Remote Locked","")</f>
        <v/>
      </c>
    </row>
    <row r="540" spans="5:18">
      <c r="E540" t="str">
        <f>_xlfn.XLOOKUP(B540,MacReports!B:B,MacReports!E:E,"")</f>
        <v/>
      </c>
      <c r="L540" t="str">
        <f t="shared" si="23"/>
        <v/>
      </c>
      <c r="M540" s="15">
        <f>MacReports!I540</f>
        <v>0</v>
      </c>
      <c r="R540" s="13" t="str">
        <f>IF(MacReports!M540="Remote Lock","Remote Locked","")</f>
        <v/>
      </c>
    </row>
    <row r="541" spans="5:18">
      <c r="E541" t="str">
        <f>_xlfn.XLOOKUP(B541,MacReports!B:B,MacReports!E:E,"")</f>
        <v/>
      </c>
      <c r="L541" t="str">
        <f t="shared" si="23"/>
        <v/>
      </c>
      <c r="M541" s="15">
        <f>MacReports!I541</f>
        <v>0</v>
      </c>
      <c r="R541" s="13" t="str">
        <f>IF(MacReports!M541="Remote Lock","Remote Locked","")</f>
        <v/>
      </c>
    </row>
    <row r="542" spans="5:18">
      <c r="E542" t="str">
        <f>_xlfn.XLOOKUP(B542,MacReports!B:B,MacReports!E:E,"")</f>
        <v/>
      </c>
      <c r="L542" t="str">
        <f t="shared" si="23"/>
        <v/>
      </c>
      <c r="M542" s="15">
        <f>MacReports!I542</f>
        <v>0</v>
      </c>
      <c r="R542" s="13" t="str">
        <f>IF(MacReports!M542="Remote Lock","Remote Locked","")</f>
        <v/>
      </c>
    </row>
    <row r="543" spans="5:18">
      <c r="E543" t="str">
        <f>_xlfn.XLOOKUP(B543,MacReports!B:B,MacReports!E:E,"")</f>
        <v/>
      </c>
      <c r="L543" t="str">
        <f t="shared" si="23"/>
        <v/>
      </c>
      <c r="M543" s="15">
        <f>MacReports!I543</f>
        <v>0</v>
      </c>
      <c r="R543" s="13" t="str">
        <f>IF(MacReports!M543="Remote Lock","Remote Locked","")</f>
        <v/>
      </c>
    </row>
    <row r="544" spans="5:18">
      <c r="E544" t="str">
        <f>_xlfn.XLOOKUP(B544,MacReports!B:B,MacReports!E:E,"")</f>
        <v/>
      </c>
      <c r="L544" t="str">
        <f t="shared" si="23"/>
        <v/>
      </c>
      <c r="M544" s="15">
        <f>MacReports!I544</f>
        <v>0</v>
      </c>
      <c r="R544" s="13" t="str">
        <f>IF(MacReports!M544="Remote Lock","Remote Locked","")</f>
        <v/>
      </c>
    </row>
    <row r="545" spans="5:18">
      <c r="E545" t="str">
        <f>_xlfn.XLOOKUP(B545,MacReports!B:B,MacReports!E:E,"")</f>
        <v/>
      </c>
      <c r="L545" t="str">
        <f t="shared" si="23"/>
        <v/>
      </c>
      <c r="M545" s="15">
        <f>MacReports!I545</f>
        <v>0</v>
      </c>
      <c r="R545" s="13" t="str">
        <f>IF(MacReports!M545="Remote Lock","Remote Locked","")</f>
        <v/>
      </c>
    </row>
    <row r="546" spans="5:18">
      <c r="E546" t="str">
        <f>_xlfn.XLOOKUP(B546,MacReports!B:B,MacReports!E:E,"")</f>
        <v/>
      </c>
      <c r="L546" t="str">
        <f t="shared" si="23"/>
        <v/>
      </c>
      <c r="M546" s="15">
        <f>MacReports!I546</f>
        <v>0</v>
      </c>
      <c r="R546" s="13" t="str">
        <f>IF(MacReports!M546="Remote Lock","Remote Locked","")</f>
        <v/>
      </c>
    </row>
    <row r="547" spans="5:18">
      <c r="E547" t="str">
        <f>_xlfn.XLOOKUP(B547,MacReports!B:B,MacReports!E:E,"")</f>
        <v/>
      </c>
      <c r="L547" t="str">
        <f t="shared" si="23"/>
        <v/>
      </c>
      <c r="M547" s="15">
        <f>MacReports!I547</f>
        <v>0</v>
      </c>
      <c r="R547" s="13" t="str">
        <f>IF(MacReports!M547="Remote Lock","Remote Locked","")</f>
        <v/>
      </c>
    </row>
    <row r="548" spans="5:18">
      <c r="E548" t="str">
        <f>_xlfn.XLOOKUP(B548,MacReports!B:B,MacReports!E:E,"")</f>
        <v/>
      </c>
      <c r="L548" t="str">
        <f t="shared" si="23"/>
        <v/>
      </c>
      <c r="M548" s="15">
        <f>MacReports!I548</f>
        <v>0</v>
      </c>
      <c r="R548" s="13" t="str">
        <f>IF(MacReports!M548="Remote Lock","Remote Locked","")</f>
        <v/>
      </c>
    </row>
    <row r="549" spans="5:18">
      <c r="E549" t="str">
        <f>_xlfn.XLOOKUP(B549,MacReports!B:B,MacReports!E:E,"")</f>
        <v/>
      </c>
      <c r="L549" t="str">
        <f t="shared" si="23"/>
        <v/>
      </c>
      <c r="M549" s="15">
        <f>MacReports!I549</f>
        <v>0</v>
      </c>
      <c r="R549" s="13" t="str">
        <f>IF(MacReports!M549="Remote Lock","Remote Locked","")</f>
        <v/>
      </c>
    </row>
    <row r="550" spans="5:18">
      <c r="E550" t="str">
        <f>_xlfn.XLOOKUP(B550,MacReports!B:B,MacReports!E:E,"")</f>
        <v/>
      </c>
      <c r="L550" t="str">
        <f t="shared" si="23"/>
        <v/>
      </c>
      <c r="M550" s="15">
        <f>MacReports!I550</f>
        <v>0</v>
      </c>
      <c r="R550" s="13" t="str">
        <f>IF(MacReports!M550="Remote Lock","Remote Locked","")</f>
        <v/>
      </c>
    </row>
    <row r="551" spans="5:18">
      <c r="E551" t="str">
        <f>_xlfn.XLOOKUP(B551,MacReports!B:B,MacReports!E:E,"")</f>
        <v/>
      </c>
      <c r="L551" t="str">
        <f t="shared" si="23"/>
        <v/>
      </c>
      <c r="M551" s="15">
        <f>MacReports!I551</f>
        <v>0</v>
      </c>
      <c r="R551" s="13" t="str">
        <f>IF(MacReports!M551="Remote Lock","Remote Locked","")</f>
        <v/>
      </c>
    </row>
    <row r="552" spans="5:18">
      <c r="E552" t="str">
        <f>_xlfn.XLOOKUP(B552,MacReports!B:B,MacReports!E:E,"")</f>
        <v/>
      </c>
      <c r="L552" t="str">
        <f t="shared" si="23"/>
        <v/>
      </c>
      <c r="M552" s="15">
        <f>MacReports!I552</f>
        <v>0</v>
      </c>
      <c r="R552" s="13" t="str">
        <f>IF(MacReports!M552="Remote Lock","Remote Locked","")</f>
        <v/>
      </c>
    </row>
    <row r="553" spans="5:18">
      <c r="E553" t="str">
        <f>_xlfn.XLOOKUP(B553,MacReports!B:B,MacReports!E:E,"")</f>
        <v/>
      </c>
      <c r="L553" t="str">
        <f t="shared" si="23"/>
        <v/>
      </c>
      <c r="M553" s="15">
        <f>MacReports!I553</f>
        <v>0</v>
      </c>
      <c r="R553" s="13" t="str">
        <f>IF(MacReports!M553="Remote Lock","Remote Locked","")</f>
        <v/>
      </c>
    </row>
    <row r="554" spans="5:18">
      <c r="E554" t="str">
        <f>_xlfn.XLOOKUP(B554,MacReports!B:B,MacReports!E:E,"")</f>
        <v/>
      </c>
      <c r="L554" t="str">
        <f t="shared" si="23"/>
        <v/>
      </c>
      <c r="M554" s="15">
        <f>MacReports!I554</f>
        <v>0</v>
      </c>
      <c r="R554" s="13" t="str">
        <f>IF(MacReports!M554="Remote Lock","Remote Locked","")</f>
        <v/>
      </c>
    </row>
    <row r="555" spans="5:18">
      <c r="E555" t="str">
        <f>_xlfn.XLOOKUP(B555,MacReports!B:B,MacReports!E:E,"")</f>
        <v/>
      </c>
      <c r="L555" t="str">
        <f t="shared" si="23"/>
        <v/>
      </c>
      <c r="M555" s="15">
        <f>MacReports!I555</f>
        <v>0</v>
      </c>
      <c r="R555" s="13" t="str">
        <f>IF(MacReports!M555="Remote Lock","Remote Locked","")</f>
        <v/>
      </c>
    </row>
    <row r="556" spans="5:18">
      <c r="E556" t="str">
        <f>_xlfn.XLOOKUP(B556,MacReports!B:B,MacReports!E:E,"")</f>
        <v/>
      </c>
      <c r="L556" t="str">
        <f t="shared" si="23"/>
        <v/>
      </c>
      <c r="M556" s="15">
        <f>MacReports!I556</f>
        <v>0</v>
      </c>
      <c r="R556" s="13" t="str">
        <f>IF(MacReports!M556="Remote Lock","Remote Locked","")</f>
        <v/>
      </c>
    </row>
    <row r="557" spans="5:18">
      <c r="E557" t="str">
        <f>_xlfn.XLOOKUP(B557,MacReports!B:B,MacReports!E:E,"")</f>
        <v/>
      </c>
      <c r="L557" t="str">
        <f t="shared" si="23"/>
        <v/>
      </c>
      <c r="M557" s="15">
        <f>MacReports!I557</f>
        <v>0</v>
      </c>
      <c r="R557" s="13" t="str">
        <f>IF(MacReports!M557="Remote Lock","Remote Locked","")</f>
        <v/>
      </c>
    </row>
    <row r="558" spans="5:18">
      <c r="E558" t="str">
        <f>_xlfn.XLOOKUP(B558,MacReports!B:B,MacReports!E:E,"")</f>
        <v/>
      </c>
      <c r="L558" t="str">
        <f t="shared" si="23"/>
        <v/>
      </c>
      <c r="M558" s="15">
        <f>MacReports!I558</f>
        <v>0</v>
      </c>
      <c r="R558" s="13" t="str">
        <f>IF(MacReports!M558="Remote Lock","Remote Locked","")</f>
        <v/>
      </c>
    </row>
    <row r="559" spans="5:18">
      <c r="E559" t="str">
        <f>_xlfn.XLOOKUP(B559,MacReports!B:B,MacReports!E:E,"")</f>
        <v/>
      </c>
      <c r="L559" t="str">
        <f t="shared" si="23"/>
        <v/>
      </c>
      <c r="M559" s="15">
        <f>MacReports!I559</f>
        <v>0</v>
      </c>
      <c r="R559" s="13" t="str">
        <f>IF(MacReports!M559="Remote Lock","Remote Locked","")</f>
        <v/>
      </c>
    </row>
    <row r="560" spans="5:18">
      <c r="E560" t="str">
        <f>_xlfn.XLOOKUP(B560,MacReports!B:B,MacReports!E:E,"")</f>
        <v/>
      </c>
      <c r="L560" t="str">
        <f t="shared" si="23"/>
        <v/>
      </c>
      <c r="M560" s="15">
        <f>MacReports!I560</f>
        <v>0</v>
      </c>
      <c r="R560" s="13" t="str">
        <f>IF(MacReports!M560="Remote Lock","Remote Locked","")</f>
        <v/>
      </c>
    </row>
    <row r="561" spans="5:18">
      <c r="E561" t="str">
        <f>_xlfn.XLOOKUP(B561,MacReports!B:B,MacReports!E:E,"")</f>
        <v/>
      </c>
      <c r="L561" t="str">
        <f t="shared" si="23"/>
        <v/>
      </c>
      <c r="M561" s="15">
        <f>MacReports!I561</f>
        <v>0</v>
      </c>
      <c r="R561" s="13" t="str">
        <f>IF(MacReports!M561="Remote Lock","Remote Locked","")</f>
        <v/>
      </c>
    </row>
    <row r="562" spans="5:18">
      <c r="E562" t="str">
        <f>_xlfn.XLOOKUP(B562,MacReports!B:B,MacReports!E:E,"")</f>
        <v/>
      </c>
      <c r="L562" t="str">
        <f t="shared" si="23"/>
        <v/>
      </c>
      <c r="M562" s="15">
        <f>MacReports!I562</f>
        <v>0</v>
      </c>
      <c r="R562" s="13" t="str">
        <f>IF(MacReports!M562="Remote Lock","Remote Locked","")</f>
        <v/>
      </c>
    </row>
    <row r="563" spans="5:18">
      <c r="E563" t="str">
        <f>_xlfn.XLOOKUP(B563,MacReports!B:B,MacReports!E:E,"")</f>
        <v/>
      </c>
      <c r="L563" t="str">
        <f t="shared" si="23"/>
        <v/>
      </c>
      <c r="M563" s="15">
        <f>MacReports!I563</f>
        <v>0</v>
      </c>
      <c r="R563" s="13" t="str">
        <f>IF(MacReports!M563="Remote Lock","Remote Locked","")</f>
        <v/>
      </c>
    </row>
    <row r="564" spans="5:18">
      <c r="E564" t="str">
        <f>_xlfn.XLOOKUP(B564,MacReports!B:B,MacReports!E:E,"")</f>
        <v/>
      </c>
      <c r="L564" t="str">
        <f t="shared" si="23"/>
        <v/>
      </c>
      <c r="M564" s="15">
        <f>MacReports!I564</f>
        <v>0</v>
      </c>
      <c r="R564" s="13" t="str">
        <f>IF(MacReports!M564="Remote Lock","Remote Locked","")</f>
        <v/>
      </c>
    </row>
    <row r="565" spans="5:18">
      <c r="E565" t="str">
        <f>_xlfn.XLOOKUP(B565,MacReports!B:B,MacReports!E:E,"")</f>
        <v/>
      </c>
      <c r="L565" t="str">
        <f t="shared" si="23"/>
        <v/>
      </c>
      <c r="M565" s="15">
        <f>MacReports!I565</f>
        <v>0</v>
      </c>
      <c r="R565" s="13" t="str">
        <f>IF(MacReports!M565="Remote Lock","Remote Locked","")</f>
        <v/>
      </c>
    </row>
    <row r="566" spans="5:18">
      <c r="E566" t="str">
        <f>_xlfn.XLOOKUP(B566,MacReports!B:B,MacReports!E:E,"")</f>
        <v/>
      </c>
      <c r="L566" t="str">
        <f t="shared" si="23"/>
        <v/>
      </c>
      <c r="M566" s="15">
        <f>MacReports!I566</f>
        <v>0</v>
      </c>
      <c r="R566" s="13" t="str">
        <f>IF(MacReports!M566="Remote Lock","Remote Locked","")</f>
        <v/>
      </c>
    </row>
    <row r="567" spans="5:18">
      <c r="E567" t="str">
        <f>_xlfn.XLOOKUP(B567,MacReports!B:B,MacReports!E:E,"")</f>
        <v/>
      </c>
      <c r="L567" t="str">
        <f t="shared" si="23"/>
        <v/>
      </c>
      <c r="M567" s="15">
        <f>MacReports!I567</f>
        <v>0</v>
      </c>
      <c r="R567" s="13" t="str">
        <f>IF(MacReports!M567="Remote Lock","Remote Locked","")</f>
        <v/>
      </c>
    </row>
    <row r="568" spans="5:18">
      <c r="E568" t="str">
        <f>_xlfn.XLOOKUP(B568,MacReports!B:B,MacReports!E:E,"")</f>
        <v/>
      </c>
      <c r="L568" t="str">
        <f t="shared" si="23"/>
        <v/>
      </c>
      <c r="M568" s="15">
        <f>MacReports!I568</f>
        <v>0</v>
      </c>
      <c r="R568" s="13" t="str">
        <f>IF(MacReports!M568="Remote Lock","Remote Locked","")</f>
        <v/>
      </c>
    </row>
    <row r="569" spans="5:18">
      <c r="E569" t="str">
        <f>_xlfn.XLOOKUP(B569,MacReports!B:B,MacReports!E:E,"")</f>
        <v/>
      </c>
      <c r="L569" t="str">
        <f t="shared" si="23"/>
        <v/>
      </c>
      <c r="M569" s="15">
        <f>MacReports!I569</f>
        <v>0</v>
      </c>
      <c r="R569" s="13" t="str">
        <f>IF(MacReports!M569="Remote Lock","Remote Locked","")</f>
        <v/>
      </c>
    </row>
    <row r="570" spans="5:18">
      <c r="E570" t="str">
        <f>_xlfn.XLOOKUP(B570,MacReports!B:B,MacReports!E:E,"")</f>
        <v/>
      </c>
      <c r="L570" t="str">
        <f t="shared" si="23"/>
        <v/>
      </c>
      <c r="M570" s="15">
        <f>MacReports!I570</f>
        <v>0</v>
      </c>
      <c r="R570" s="13" t="str">
        <f>IF(MacReports!M570="Remote Lock","Remote Locked","")</f>
        <v/>
      </c>
    </row>
    <row r="571" spans="5:18">
      <c r="E571" t="str">
        <f>_xlfn.XLOOKUP(B571,MacReports!B:B,MacReports!E:E,"")</f>
        <v/>
      </c>
      <c r="L571" t="str">
        <f t="shared" si="23"/>
        <v/>
      </c>
      <c r="M571" s="15">
        <f>MacReports!I571</f>
        <v>0</v>
      </c>
      <c r="R571" s="13" t="str">
        <f>IF(MacReports!M571="Remote Lock","Remote Locked","")</f>
        <v/>
      </c>
    </row>
    <row r="572" spans="5:18">
      <c r="E572" t="str">
        <f>_xlfn.XLOOKUP(B572,MacReports!B:B,MacReports!E:E,"")</f>
        <v/>
      </c>
      <c r="L572" t="str">
        <f t="shared" si="23"/>
        <v/>
      </c>
      <c r="M572" s="15">
        <f>MacReports!I572</f>
        <v>0</v>
      </c>
      <c r="R572" s="13" t="str">
        <f>IF(MacReports!M572="Remote Lock","Remote Locked","")</f>
        <v/>
      </c>
    </row>
    <row r="573" spans="5:18">
      <c r="E573" t="str">
        <f>_xlfn.XLOOKUP(B573,MacReports!B:B,MacReports!E:E,"")</f>
        <v/>
      </c>
      <c r="L573" t="str">
        <f t="shared" si="23"/>
        <v/>
      </c>
      <c r="M573" s="15">
        <f>MacReports!I573</f>
        <v>0</v>
      </c>
      <c r="R573" s="13" t="str">
        <f>IF(MacReports!M573="Remote Lock","Remote Locked","")</f>
        <v/>
      </c>
    </row>
    <row r="574" spans="5:18">
      <c r="E574" t="str">
        <f>_xlfn.XLOOKUP(B574,MacReports!B:B,MacReports!E:E,"")</f>
        <v/>
      </c>
      <c r="L574" t="str">
        <f t="shared" si="23"/>
        <v/>
      </c>
      <c r="M574" s="15">
        <f>MacReports!I574</f>
        <v>0</v>
      </c>
      <c r="R574" s="13" t="str">
        <f>IF(MacReports!M574="Remote Lock","Remote Locked","")</f>
        <v/>
      </c>
    </row>
    <row r="575" spans="5:18">
      <c r="E575" t="str">
        <f>_xlfn.XLOOKUP(B575,MacReports!B:B,MacReports!E:E,"")</f>
        <v/>
      </c>
      <c r="L575" t="str">
        <f t="shared" si="23"/>
        <v/>
      </c>
      <c r="M575" s="15">
        <f>MacReports!I575</f>
        <v>0</v>
      </c>
      <c r="R575" s="13" t="str">
        <f>IF(MacReports!M575="Remote Lock","Remote Locked","")</f>
        <v/>
      </c>
    </row>
    <row r="576" spans="5:18">
      <c r="E576" t="str">
        <f>_xlfn.XLOOKUP(B576,MacReports!B:B,MacReports!E:E,"")</f>
        <v/>
      </c>
      <c r="L576" t="str">
        <f t="shared" si="23"/>
        <v/>
      </c>
      <c r="M576" s="15">
        <f>MacReports!I576</f>
        <v>0</v>
      </c>
      <c r="R576" s="13" t="str">
        <f>IF(MacReports!M576="Remote Lock","Remote Locked","")</f>
        <v/>
      </c>
    </row>
    <row r="577" spans="5:18">
      <c r="E577" t="str">
        <f>_xlfn.XLOOKUP(B577,MacReports!B:B,MacReports!E:E,"")</f>
        <v/>
      </c>
      <c r="L577" t="str">
        <f t="shared" si="23"/>
        <v/>
      </c>
      <c r="M577" s="15">
        <f>MacReports!I577</f>
        <v>0</v>
      </c>
      <c r="R577" s="13" t="str">
        <f>IF(MacReports!M577="Remote Lock","Remote Locked","")</f>
        <v/>
      </c>
    </row>
    <row r="578" spans="5:18">
      <c r="E578" t="str">
        <f>_xlfn.XLOOKUP(B578,MacReports!B:B,MacReports!E:E,"")</f>
        <v/>
      </c>
      <c r="L578" t="str">
        <f t="shared" si="23"/>
        <v/>
      </c>
      <c r="M578" s="15">
        <f>MacReports!I578</f>
        <v>0</v>
      </c>
      <c r="R578" s="13" t="str">
        <f>IF(MacReports!M578="Remote Lock","Remote Locked","")</f>
        <v/>
      </c>
    </row>
    <row r="579" spans="5:18">
      <c r="E579" t="str">
        <f>_xlfn.XLOOKUP(B579,MacReports!B:B,MacReports!E:E,"")</f>
        <v/>
      </c>
      <c r="L579" t="str">
        <f t="shared" ref="L579:L642" si="24">IFERROR(LEFT(K579,FIND(" ",K579)-1)&amp;" GB DDR"&amp;MID(K579,FIND("DDR",K579)+3,1), K579&amp;"")</f>
        <v/>
      </c>
      <c r="M579" s="15">
        <f>MacReports!I579</f>
        <v>0</v>
      </c>
      <c r="R579" s="13" t="str">
        <f>IF(MacReports!M579="Remote Lock","Remote Locked","")</f>
        <v/>
      </c>
    </row>
    <row r="580" spans="5:18">
      <c r="E580" t="str">
        <f>_xlfn.XLOOKUP(B580,MacReports!B:B,MacReports!E:E,"")</f>
        <v/>
      </c>
      <c r="L580" t="str">
        <f t="shared" si="24"/>
        <v/>
      </c>
      <c r="M580" s="15">
        <f>MacReports!I580</f>
        <v>0</v>
      </c>
      <c r="R580" s="13" t="str">
        <f>IF(MacReports!M580="Remote Lock","Remote Locked","")</f>
        <v/>
      </c>
    </row>
    <row r="581" spans="5:18">
      <c r="E581" t="str">
        <f>_xlfn.XLOOKUP(B581,MacReports!B:B,MacReports!E:E,"")</f>
        <v/>
      </c>
      <c r="L581" t="str">
        <f t="shared" si="24"/>
        <v/>
      </c>
      <c r="M581" s="15">
        <f>MacReports!I581</f>
        <v>0</v>
      </c>
      <c r="R581" s="13" t="str">
        <f>IF(MacReports!M581="Remote Lock","Remote Locked","")</f>
        <v/>
      </c>
    </row>
    <row r="582" spans="5:18">
      <c r="E582" t="str">
        <f>_xlfn.XLOOKUP(B582,MacReports!B:B,MacReports!E:E,"")</f>
        <v/>
      </c>
      <c r="L582" t="str">
        <f t="shared" si="24"/>
        <v/>
      </c>
      <c r="M582" s="15">
        <f>MacReports!I582</f>
        <v>0</v>
      </c>
      <c r="R582" s="13" t="str">
        <f>IF(MacReports!M582="Remote Lock","Remote Locked","")</f>
        <v/>
      </c>
    </row>
    <row r="583" spans="5:18">
      <c r="E583" t="str">
        <f>_xlfn.XLOOKUP(B583,MacReports!B:B,MacReports!E:E,"")</f>
        <v/>
      </c>
      <c r="L583" t="str">
        <f t="shared" si="24"/>
        <v/>
      </c>
      <c r="M583" s="15">
        <f>MacReports!I583</f>
        <v>0</v>
      </c>
      <c r="R583" s="13" t="str">
        <f>IF(MacReports!M583="Remote Lock","Remote Locked","")</f>
        <v/>
      </c>
    </row>
    <row r="584" spans="5:18">
      <c r="E584" t="str">
        <f>_xlfn.XLOOKUP(B584,MacReports!B:B,MacReports!E:E,"")</f>
        <v/>
      </c>
      <c r="L584" t="str">
        <f t="shared" si="24"/>
        <v/>
      </c>
      <c r="M584" s="15">
        <f>MacReports!I584</f>
        <v>0</v>
      </c>
      <c r="R584" s="13" t="str">
        <f>IF(MacReports!M584="Remote Lock","Remote Locked","")</f>
        <v/>
      </c>
    </row>
    <row r="585" spans="5:18">
      <c r="E585" t="str">
        <f>_xlfn.XLOOKUP(B585,MacReports!B:B,MacReports!E:E,"")</f>
        <v/>
      </c>
      <c r="L585" t="str">
        <f t="shared" si="24"/>
        <v/>
      </c>
      <c r="M585" s="15">
        <f>MacReports!I585</f>
        <v>0</v>
      </c>
      <c r="R585" s="13" t="str">
        <f>IF(MacReports!M585="Remote Lock","Remote Locked","")</f>
        <v/>
      </c>
    </row>
    <row r="586" spans="5:18">
      <c r="E586" t="str">
        <f>_xlfn.XLOOKUP(B586,MacReports!B:B,MacReports!E:E,"")</f>
        <v/>
      </c>
      <c r="L586" t="str">
        <f t="shared" si="24"/>
        <v/>
      </c>
      <c r="M586" s="15">
        <f>MacReports!I586</f>
        <v>0</v>
      </c>
      <c r="R586" s="13" t="str">
        <f>IF(MacReports!M586="Remote Lock","Remote Locked","")</f>
        <v/>
      </c>
    </row>
    <row r="587" spans="5:18">
      <c r="E587" t="str">
        <f>_xlfn.XLOOKUP(B587,MacReports!B:B,MacReports!E:E,"")</f>
        <v/>
      </c>
      <c r="L587" t="str">
        <f t="shared" si="24"/>
        <v/>
      </c>
      <c r="M587" s="15">
        <f>MacReports!I587</f>
        <v>0</v>
      </c>
      <c r="R587" s="13" t="str">
        <f>IF(MacReports!M587="Remote Lock","Remote Locked","")</f>
        <v/>
      </c>
    </row>
    <row r="588" spans="5:18">
      <c r="E588" t="str">
        <f>_xlfn.XLOOKUP(B588,MacReports!B:B,MacReports!E:E,"")</f>
        <v/>
      </c>
      <c r="L588" t="str">
        <f t="shared" si="24"/>
        <v/>
      </c>
      <c r="M588" s="15">
        <f>MacReports!I588</f>
        <v>0</v>
      </c>
      <c r="R588" s="13" t="str">
        <f>IF(MacReports!M588="Remote Lock","Remote Locked","")</f>
        <v/>
      </c>
    </row>
    <row r="589" spans="5:18">
      <c r="E589" t="str">
        <f>_xlfn.XLOOKUP(B589,MacReports!B:B,MacReports!E:E,"")</f>
        <v/>
      </c>
      <c r="L589" t="str">
        <f t="shared" si="24"/>
        <v/>
      </c>
      <c r="M589" s="15">
        <f>MacReports!I589</f>
        <v>0</v>
      </c>
      <c r="R589" s="13" t="str">
        <f>IF(MacReports!M589="Remote Lock","Remote Locked","")</f>
        <v/>
      </c>
    </row>
    <row r="590" spans="5:18">
      <c r="E590" t="str">
        <f>_xlfn.XLOOKUP(B590,MacReports!B:B,MacReports!E:E,"")</f>
        <v/>
      </c>
      <c r="L590" t="str">
        <f t="shared" si="24"/>
        <v/>
      </c>
      <c r="M590" s="15">
        <f>MacReports!I590</f>
        <v>0</v>
      </c>
      <c r="R590" s="13" t="str">
        <f>IF(MacReports!M590="Remote Lock","Remote Locked","")</f>
        <v/>
      </c>
    </row>
    <row r="591" spans="5:18">
      <c r="E591" t="str">
        <f>_xlfn.XLOOKUP(B591,MacReports!B:B,MacReports!E:E,"")</f>
        <v/>
      </c>
      <c r="L591" t="str">
        <f t="shared" si="24"/>
        <v/>
      </c>
      <c r="M591" s="15">
        <f>MacReports!I591</f>
        <v>0</v>
      </c>
      <c r="R591" s="13" t="str">
        <f>IF(MacReports!M591="Remote Lock","Remote Locked","")</f>
        <v/>
      </c>
    </row>
    <row r="592" spans="5:18">
      <c r="E592" t="str">
        <f>_xlfn.XLOOKUP(B592,MacReports!B:B,MacReports!E:E,"")</f>
        <v/>
      </c>
      <c r="L592" t="str">
        <f t="shared" si="24"/>
        <v/>
      </c>
      <c r="M592" s="15">
        <f>MacReports!I592</f>
        <v>0</v>
      </c>
      <c r="R592" s="13" t="str">
        <f>IF(MacReports!M592="Remote Lock","Remote Locked","")</f>
        <v/>
      </c>
    </row>
    <row r="593" spans="5:18">
      <c r="E593" t="str">
        <f>_xlfn.XLOOKUP(B593,MacReports!B:B,MacReports!E:E,"")</f>
        <v/>
      </c>
      <c r="L593" t="str">
        <f t="shared" si="24"/>
        <v/>
      </c>
      <c r="M593" s="15">
        <f>MacReports!I593</f>
        <v>0</v>
      </c>
      <c r="R593" s="13" t="str">
        <f>IF(MacReports!M593="Remote Lock","Remote Locked","")</f>
        <v/>
      </c>
    </row>
    <row r="594" spans="5:18">
      <c r="E594" t="str">
        <f>_xlfn.XLOOKUP(B594,MacReports!B:B,MacReports!E:E,"")</f>
        <v/>
      </c>
      <c r="L594" t="str">
        <f t="shared" si="24"/>
        <v/>
      </c>
      <c r="M594" s="15">
        <f>MacReports!I594</f>
        <v>0</v>
      </c>
      <c r="R594" s="13" t="str">
        <f>IF(MacReports!M594="Remote Lock","Remote Locked","")</f>
        <v/>
      </c>
    </row>
    <row r="595" spans="5:18">
      <c r="E595" t="str">
        <f>_xlfn.XLOOKUP(B595,MacReports!B:B,MacReports!E:E,"")</f>
        <v/>
      </c>
      <c r="L595" t="str">
        <f t="shared" si="24"/>
        <v/>
      </c>
      <c r="M595" s="15">
        <f>MacReports!I595</f>
        <v>0</v>
      </c>
      <c r="R595" s="13" t="str">
        <f>IF(MacReports!M595="Remote Lock","Remote Locked","")</f>
        <v/>
      </c>
    </row>
    <row r="596" spans="5:18">
      <c r="E596" t="str">
        <f>_xlfn.XLOOKUP(B596,MacReports!B:B,MacReports!E:E,"")</f>
        <v/>
      </c>
      <c r="L596" t="str">
        <f t="shared" si="24"/>
        <v/>
      </c>
      <c r="M596" s="15">
        <f>MacReports!I596</f>
        <v>0</v>
      </c>
      <c r="R596" s="13" t="str">
        <f>IF(MacReports!M596="Remote Lock","Remote Locked","")</f>
        <v/>
      </c>
    </row>
    <row r="597" spans="5:18">
      <c r="E597" t="str">
        <f>_xlfn.XLOOKUP(B597,MacReports!B:B,MacReports!E:E,"")</f>
        <v/>
      </c>
      <c r="L597" t="str">
        <f t="shared" si="24"/>
        <v/>
      </c>
      <c r="M597" s="15">
        <f>MacReports!I597</f>
        <v>0</v>
      </c>
      <c r="R597" s="13" t="str">
        <f>IF(MacReports!M597="Remote Lock","Remote Locked","")</f>
        <v/>
      </c>
    </row>
    <row r="598" spans="5:18">
      <c r="E598" t="str">
        <f>_xlfn.XLOOKUP(B598,MacReports!B:B,MacReports!E:E,"")</f>
        <v/>
      </c>
      <c r="L598" t="str">
        <f t="shared" si="24"/>
        <v/>
      </c>
      <c r="M598" s="15">
        <f>MacReports!I598</f>
        <v>0</v>
      </c>
      <c r="R598" s="13" t="str">
        <f>IF(MacReports!M598="Remote Lock","Remote Locked","")</f>
        <v/>
      </c>
    </row>
    <row r="599" spans="5:18">
      <c r="E599" t="str">
        <f>_xlfn.XLOOKUP(B599,MacReports!B:B,MacReports!E:E,"")</f>
        <v/>
      </c>
      <c r="L599" t="str">
        <f t="shared" si="24"/>
        <v/>
      </c>
      <c r="M599" s="15">
        <f>MacReports!I599</f>
        <v>0</v>
      </c>
      <c r="R599" s="13" t="str">
        <f>IF(MacReports!M599="Remote Lock","Remote Locked","")</f>
        <v/>
      </c>
    </row>
    <row r="600" spans="5:18">
      <c r="E600" t="str">
        <f>_xlfn.XLOOKUP(B600,MacReports!B:B,MacReports!E:E,"")</f>
        <v/>
      </c>
      <c r="L600" t="str">
        <f t="shared" si="24"/>
        <v/>
      </c>
      <c r="M600" s="15">
        <f>MacReports!I600</f>
        <v>0</v>
      </c>
      <c r="R600" s="13" t="str">
        <f>IF(MacReports!M600="Remote Lock","Remote Locked","")</f>
        <v/>
      </c>
    </row>
    <row r="601" spans="5:18">
      <c r="E601" t="str">
        <f>_xlfn.XLOOKUP(B601,MacReports!B:B,MacReports!E:E,"")</f>
        <v/>
      </c>
      <c r="L601" t="str">
        <f t="shared" si="24"/>
        <v/>
      </c>
      <c r="M601" s="15">
        <f>MacReports!I601</f>
        <v>0</v>
      </c>
      <c r="R601" s="13" t="str">
        <f>IF(MacReports!M601="Remote Lock","Remote Locked","")</f>
        <v/>
      </c>
    </row>
    <row r="602" spans="5:18">
      <c r="E602" t="str">
        <f>_xlfn.XLOOKUP(B602,MacReports!B:B,MacReports!E:E,"")</f>
        <v/>
      </c>
      <c r="L602" t="str">
        <f t="shared" si="24"/>
        <v/>
      </c>
      <c r="M602" s="15">
        <f>MacReports!I602</f>
        <v>0</v>
      </c>
      <c r="R602" s="13" t="str">
        <f>IF(MacReports!M602="Remote Lock","Remote Locked","")</f>
        <v/>
      </c>
    </row>
    <row r="603" spans="5:18">
      <c r="E603" t="str">
        <f>_xlfn.XLOOKUP(B603,MacReports!B:B,MacReports!E:E,"")</f>
        <v/>
      </c>
      <c r="L603" t="str">
        <f t="shared" si="24"/>
        <v/>
      </c>
      <c r="R603" s="13" t="str">
        <f>IF(MacReports!M603="Remote Lock","Remote Locked","")</f>
        <v/>
      </c>
    </row>
    <row r="604" spans="5:18">
      <c r="E604" t="str">
        <f>_xlfn.XLOOKUP(B604,MacReports!B:B,MacReports!E:E,"")</f>
        <v/>
      </c>
      <c r="L604" t="str">
        <f t="shared" si="24"/>
        <v/>
      </c>
      <c r="R604" s="13" t="str">
        <f>IF(MacReports!M604="Remote Lock","Remote Locked","")</f>
        <v/>
      </c>
    </row>
    <row r="605" spans="5:18">
      <c r="E605" t="str">
        <f>_xlfn.XLOOKUP(B605,MacReports!B:B,MacReports!E:E,"")</f>
        <v/>
      </c>
      <c r="L605" t="str">
        <f t="shared" si="24"/>
        <v/>
      </c>
      <c r="R605" s="13" t="str">
        <f>IF(MacReports!M605="Remote Lock","Remote Locked","")</f>
        <v/>
      </c>
    </row>
    <row r="606" spans="5:18">
      <c r="E606" t="str">
        <f>_xlfn.XLOOKUP(B606,MacReports!B:B,MacReports!E:E,"")</f>
        <v/>
      </c>
      <c r="L606" t="str">
        <f t="shared" si="24"/>
        <v/>
      </c>
      <c r="R606" s="13" t="str">
        <f>IF(MacReports!M606="Remote Lock","Remote Locked","")</f>
        <v/>
      </c>
    </row>
    <row r="607" spans="5:18">
      <c r="E607" t="str">
        <f>_xlfn.XLOOKUP(B607,MacReports!B:B,MacReports!E:E,"")</f>
        <v/>
      </c>
      <c r="L607" t="str">
        <f t="shared" si="24"/>
        <v/>
      </c>
      <c r="R607" s="13" t="str">
        <f>IF(MacReports!M607="Remote Lock","Remote Locked","")</f>
        <v/>
      </c>
    </row>
    <row r="608" spans="5:18">
      <c r="E608" t="str">
        <f>_xlfn.XLOOKUP(B608,MacReports!B:B,MacReports!E:E,"")</f>
        <v/>
      </c>
      <c r="L608" t="str">
        <f t="shared" si="24"/>
        <v/>
      </c>
      <c r="R608" s="13" t="str">
        <f>IF(MacReports!M608="Remote Lock","Remote Locked","")</f>
        <v/>
      </c>
    </row>
    <row r="609" spans="5:18">
      <c r="E609" t="str">
        <f>_xlfn.XLOOKUP(B609,MacReports!B:B,MacReports!E:E,"")</f>
        <v/>
      </c>
      <c r="L609" t="str">
        <f t="shared" si="24"/>
        <v/>
      </c>
      <c r="R609" s="13" t="str">
        <f>IF(MacReports!M609="Remote Lock","Remote Locked","")</f>
        <v/>
      </c>
    </row>
    <row r="610" spans="5:18">
      <c r="E610" t="str">
        <f>_xlfn.XLOOKUP(B610,MacReports!B:B,MacReports!E:E,"")</f>
        <v/>
      </c>
      <c r="L610" t="str">
        <f t="shared" si="24"/>
        <v/>
      </c>
      <c r="R610" s="13" t="str">
        <f>IF(MacReports!M610="Remote Lock","Remote Locked","")</f>
        <v/>
      </c>
    </row>
    <row r="611" spans="5:18">
      <c r="E611" t="str">
        <f>_xlfn.XLOOKUP(B611,MacReports!B:B,MacReports!E:E,"")</f>
        <v/>
      </c>
      <c r="L611" t="str">
        <f t="shared" si="24"/>
        <v/>
      </c>
      <c r="R611" s="13" t="str">
        <f>IF(MacReports!M611="Remote Lock","Remote Locked","")</f>
        <v/>
      </c>
    </row>
    <row r="612" spans="5:18">
      <c r="E612" t="str">
        <f>_xlfn.XLOOKUP(B612,MacReports!B:B,MacReports!E:E,"")</f>
        <v/>
      </c>
      <c r="L612" t="str">
        <f t="shared" si="24"/>
        <v/>
      </c>
      <c r="R612" s="13" t="str">
        <f>IF(MacReports!M612="Remote Lock","Remote Locked","")</f>
        <v/>
      </c>
    </row>
    <row r="613" spans="5:18">
      <c r="E613" t="str">
        <f>_xlfn.XLOOKUP(B613,MacReports!B:B,MacReports!E:E,"")</f>
        <v/>
      </c>
      <c r="L613" t="str">
        <f t="shared" si="24"/>
        <v/>
      </c>
      <c r="R613" s="13" t="str">
        <f>IF(MacReports!M613="Remote Lock","Remote Locked","")</f>
        <v/>
      </c>
    </row>
    <row r="614" spans="5:18">
      <c r="E614" t="str">
        <f>_xlfn.XLOOKUP(B614,MacReports!B:B,MacReports!E:E,"")</f>
        <v/>
      </c>
      <c r="L614" t="str">
        <f t="shared" si="24"/>
        <v/>
      </c>
      <c r="R614" s="13" t="str">
        <f>IF(MacReports!M614="Remote Lock","Remote Locked","")</f>
        <v/>
      </c>
    </row>
    <row r="615" spans="5:18">
      <c r="E615" t="str">
        <f>_xlfn.XLOOKUP(B615,MacReports!B:B,MacReports!E:E,"")</f>
        <v/>
      </c>
      <c r="L615" t="str">
        <f t="shared" si="24"/>
        <v/>
      </c>
      <c r="R615" s="13" t="str">
        <f>IF(MacReports!M615="Remote Lock","Remote Locked","")</f>
        <v/>
      </c>
    </row>
    <row r="616" spans="5:18">
      <c r="E616" t="str">
        <f>_xlfn.XLOOKUP(B616,MacReports!B:B,MacReports!E:E,"")</f>
        <v/>
      </c>
      <c r="L616" t="str">
        <f t="shared" si="24"/>
        <v/>
      </c>
      <c r="R616" s="13" t="str">
        <f>IF(MacReports!M616="Remote Lock","Remote Locked","")</f>
        <v/>
      </c>
    </row>
    <row r="617" spans="5:18">
      <c r="E617" t="str">
        <f>_xlfn.XLOOKUP(B617,MacReports!B:B,MacReports!E:E,"")</f>
        <v/>
      </c>
      <c r="L617" t="str">
        <f t="shared" si="24"/>
        <v/>
      </c>
      <c r="R617" s="13" t="str">
        <f>IF(MacReports!M617="Remote Lock","Remote Locked","")</f>
        <v/>
      </c>
    </row>
    <row r="618" spans="5:18">
      <c r="E618" t="str">
        <f>_xlfn.XLOOKUP(B618,MacReports!B:B,MacReports!E:E,"")</f>
        <v/>
      </c>
      <c r="L618" t="str">
        <f t="shared" si="24"/>
        <v/>
      </c>
      <c r="R618" s="13" t="str">
        <f>IF(MacReports!M618="Remote Lock","Remote Locked","")</f>
        <v/>
      </c>
    </row>
    <row r="619" spans="5:18">
      <c r="E619" t="str">
        <f>_xlfn.XLOOKUP(B619,MacReports!B:B,MacReports!E:E,"")</f>
        <v/>
      </c>
      <c r="L619" t="str">
        <f t="shared" si="24"/>
        <v/>
      </c>
      <c r="R619" s="13" t="str">
        <f>IF(MacReports!M619="Remote Lock","Remote Locked","")</f>
        <v/>
      </c>
    </row>
    <row r="620" spans="5:18">
      <c r="E620" t="str">
        <f>_xlfn.XLOOKUP(B620,MacReports!B:B,MacReports!E:E,"")</f>
        <v/>
      </c>
      <c r="L620" t="str">
        <f t="shared" si="24"/>
        <v/>
      </c>
      <c r="R620" s="13" t="str">
        <f>IF(MacReports!M620="Remote Lock","Remote Locked","")</f>
        <v/>
      </c>
    </row>
    <row r="621" spans="5:18">
      <c r="E621" t="str">
        <f>_xlfn.XLOOKUP(B621,MacReports!B:B,MacReports!E:E,"")</f>
        <v/>
      </c>
      <c r="L621" t="str">
        <f t="shared" si="24"/>
        <v/>
      </c>
      <c r="R621" s="13" t="str">
        <f>IF(MacReports!M621="Remote Lock","Remote Locked","")</f>
        <v/>
      </c>
    </row>
    <row r="622" spans="5:18">
      <c r="E622" t="str">
        <f>_xlfn.XLOOKUP(B622,MacReports!B:B,MacReports!E:E,"")</f>
        <v/>
      </c>
      <c r="L622" t="str">
        <f t="shared" si="24"/>
        <v/>
      </c>
      <c r="R622" s="13" t="str">
        <f>IF(MacReports!M622="Remote Lock","Remote Locked","")</f>
        <v/>
      </c>
    </row>
    <row r="623" spans="5:18">
      <c r="E623" t="str">
        <f>_xlfn.XLOOKUP(B623,MacReports!B:B,MacReports!E:E,"")</f>
        <v/>
      </c>
      <c r="L623" t="str">
        <f t="shared" si="24"/>
        <v/>
      </c>
      <c r="R623" s="13" t="str">
        <f>IF(MacReports!M623="Remote Lock","Remote Locked","")</f>
        <v/>
      </c>
    </row>
    <row r="624" spans="5:18">
      <c r="E624" t="str">
        <f>_xlfn.XLOOKUP(B624,MacReports!B:B,MacReports!E:E,"")</f>
        <v/>
      </c>
      <c r="L624" t="str">
        <f t="shared" si="24"/>
        <v/>
      </c>
      <c r="R624" s="13" t="str">
        <f>IF(MacReports!M624="Remote Lock","Remote Locked","")</f>
        <v/>
      </c>
    </row>
    <row r="625" spans="5:18">
      <c r="E625" t="str">
        <f>_xlfn.XLOOKUP(B625,MacReports!B:B,MacReports!E:E,"")</f>
        <v/>
      </c>
      <c r="L625" t="str">
        <f t="shared" si="24"/>
        <v/>
      </c>
      <c r="R625" s="13" t="str">
        <f>IF(MacReports!M625="Remote Lock","Remote Locked","")</f>
        <v/>
      </c>
    </row>
    <row r="626" spans="5:18">
      <c r="E626" t="str">
        <f>_xlfn.XLOOKUP(B626,MacReports!B:B,MacReports!E:E,"")</f>
        <v/>
      </c>
      <c r="L626" t="str">
        <f t="shared" si="24"/>
        <v/>
      </c>
      <c r="R626" s="13" t="str">
        <f>IF(MacReports!M626="Remote Lock","Remote Locked","")</f>
        <v/>
      </c>
    </row>
    <row r="627" spans="5:18">
      <c r="E627" t="str">
        <f>_xlfn.XLOOKUP(B627,MacReports!B:B,MacReports!E:E,"")</f>
        <v/>
      </c>
      <c r="L627" t="str">
        <f t="shared" si="24"/>
        <v/>
      </c>
      <c r="R627" s="13" t="str">
        <f>IF(MacReports!M627="Remote Lock","Remote Locked","")</f>
        <v/>
      </c>
    </row>
    <row r="628" spans="5:18">
      <c r="E628" t="str">
        <f>_xlfn.XLOOKUP(B628,MacReports!B:B,MacReports!E:E,"")</f>
        <v/>
      </c>
      <c r="L628" t="str">
        <f t="shared" si="24"/>
        <v/>
      </c>
      <c r="R628" s="13" t="str">
        <f>IF(MacReports!M628="Remote Lock","Remote Locked","")</f>
        <v/>
      </c>
    </row>
    <row r="629" spans="5:18">
      <c r="E629" t="str">
        <f>_xlfn.XLOOKUP(B629,MacReports!B:B,MacReports!E:E,"")</f>
        <v/>
      </c>
      <c r="L629" t="str">
        <f t="shared" si="24"/>
        <v/>
      </c>
      <c r="R629" s="13" t="str">
        <f>IF(MacReports!M629="Remote Lock","Remote Locked","")</f>
        <v/>
      </c>
    </row>
    <row r="630" spans="5:18">
      <c r="E630" t="str">
        <f>_xlfn.XLOOKUP(B630,MacReports!B:B,MacReports!E:E,"")</f>
        <v/>
      </c>
      <c r="L630" t="str">
        <f t="shared" si="24"/>
        <v/>
      </c>
      <c r="R630" s="13" t="str">
        <f>IF(MacReports!M630="Remote Lock","Remote Locked","")</f>
        <v/>
      </c>
    </row>
    <row r="631" spans="5:18">
      <c r="E631">
        <f>_xlfn.XLOOKUP(B631,MacReports!B:B,MacReports!E:E,"")</f>
        <v>0</v>
      </c>
      <c r="L631" t="str">
        <f t="shared" si="24"/>
        <v/>
      </c>
      <c r="R631" s="13" t="str">
        <f>IF(MacReports!M631="Remote Lock","Remote Locked","")</f>
        <v/>
      </c>
    </row>
    <row r="632" spans="5:18">
      <c r="E632" t="str">
        <f>_xlfn.XLOOKUP(B632,MacReports!B:B,MacReports!E:E,"")</f>
        <v/>
      </c>
      <c r="L632" t="str">
        <f t="shared" si="24"/>
        <v/>
      </c>
      <c r="R632" s="13" t="str">
        <f>IF(MacReports!M632="Remote Lock","Remote Locked","")</f>
        <v/>
      </c>
    </row>
    <row r="633" spans="5:18">
      <c r="E633" t="str">
        <f>_xlfn.XLOOKUP(B633,MacReports!B:B,MacReports!E:E,"")</f>
        <v/>
      </c>
      <c r="L633" t="str">
        <f t="shared" si="24"/>
        <v/>
      </c>
      <c r="R633" s="13" t="str">
        <f>IF(MacReports!M633="Remote Lock","Remote Locked","")</f>
        <v/>
      </c>
    </row>
    <row r="634" spans="5:18">
      <c r="E634" t="str">
        <f>_xlfn.XLOOKUP(B634,MacReports!B:B,MacReports!E:E,"")</f>
        <v/>
      </c>
      <c r="L634" t="str">
        <f t="shared" si="24"/>
        <v/>
      </c>
      <c r="R634" s="13" t="str">
        <f>IF(MacReports!M634="Remote Lock","Remote Locked","")</f>
        <v/>
      </c>
    </row>
    <row r="635" spans="5:18">
      <c r="E635" t="str">
        <f>_xlfn.XLOOKUP(B635,MacReports!B:B,MacReports!E:E,"")</f>
        <v/>
      </c>
      <c r="L635" t="str">
        <f t="shared" si="24"/>
        <v/>
      </c>
      <c r="R635" s="13" t="str">
        <f>IF(MacReports!M635="Remote Lock","Remote Locked","")</f>
        <v/>
      </c>
    </row>
    <row r="636" spans="5:18">
      <c r="E636" t="str">
        <f>_xlfn.XLOOKUP(B636,MacReports!B:B,MacReports!E:E,"")</f>
        <v/>
      </c>
      <c r="L636" t="str">
        <f t="shared" si="24"/>
        <v/>
      </c>
      <c r="R636" s="13" t="str">
        <f>IF(MacReports!M636="Remote Lock","Remote Locked","")</f>
        <v/>
      </c>
    </row>
    <row r="637" spans="5:18">
      <c r="E637" t="str">
        <f>_xlfn.XLOOKUP(B637,MacReports!B:B,MacReports!E:E,"")</f>
        <v/>
      </c>
      <c r="L637" t="str">
        <f t="shared" si="24"/>
        <v/>
      </c>
      <c r="R637" s="13" t="str">
        <f>IF(MacReports!M637="Remote Lock","Remote Locked","")</f>
        <v/>
      </c>
    </row>
    <row r="638" spans="5:18">
      <c r="E638" t="str">
        <f>_xlfn.XLOOKUP(B638,MacReports!B:B,MacReports!E:E,"")</f>
        <v/>
      </c>
      <c r="L638" t="str">
        <f t="shared" si="24"/>
        <v/>
      </c>
      <c r="R638" s="13" t="str">
        <f>IF(MacReports!M638="Remote Lock","Remote Locked","")</f>
        <v/>
      </c>
    </row>
    <row r="639" spans="5:18">
      <c r="E639" t="str">
        <f>_xlfn.XLOOKUP(B639,MacReports!B:B,MacReports!E:E,"")</f>
        <v/>
      </c>
      <c r="L639" t="str">
        <f t="shared" si="24"/>
        <v/>
      </c>
      <c r="R639" s="13" t="str">
        <f>IF(MacReports!M639="Remote Lock","Remote Locked","")</f>
        <v/>
      </c>
    </row>
    <row r="640" spans="5:18">
      <c r="E640" t="str">
        <f>_xlfn.XLOOKUP(B640,MacReports!B:B,MacReports!E:E,"")</f>
        <v/>
      </c>
      <c r="L640" t="str">
        <f t="shared" si="24"/>
        <v/>
      </c>
      <c r="R640" s="13" t="str">
        <f>IF(MacReports!M640="Remote Lock","Remote Locked","")</f>
        <v/>
      </c>
    </row>
    <row r="641" spans="5:18">
      <c r="E641" t="str">
        <f>_xlfn.XLOOKUP(B641,MacReports!B:B,MacReports!E:E,"")</f>
        <v/>
      </c>
      <c r="L641" t="str">
        <f t="shared" si="24"/>
        <v/>
      </c>
      <c r="R641" s="13" t="str">
        <f>IF(MacReports!M641="Remote Lock","Remote Locked","")</f>
        <v/>
      </c>
    </row>
    <row r="642" spans="5:18">
      <c r="E642" t="str">
        <f>_xlfn.XLOOKUP(B642,MacReports!B:B,MacReports!E:E,"")</f>
        <v/>
      </c>
      <c r="L642" t="str">
        <f t="shared" si="24"/>
        <v/>
      </c>
      <c r="R642" s="13" t="str">
        <f>IF(MacReports!M642="Remote Lock","Remote Locked","")</f>
        <v/>
      </c>
    </row>
    <row r="643" spans="5:18">
      <c r="E643" t="str">
        <f>_xlfn.XLOOKUP(B643,MacReports!B:B,MacReports!E:E,"")</f>
        <v/>
      </c>
      <c r="L643" t="str">
        <f t="shared" ref="L643:L706" si="25">IFERROR(LEFT(K643,FIND(" ",K643)-1)&amp;" GB DDR"&amp;MID(K643,FIND("DDR",K643)+3,1), K643&amp;"")</f>
        <v/>
      </c>
      <c r="R643" s="13" t="str">
        <f>IF(MacReports!M643="Remote Lock","Remote Locked","")</f>
        <v/>
      </c>
    </row>
    <row r="644" spans="5:18">
      <c r="E644" t="str">
        <f>_xlfn.XLOOKUP(B644,MacReports!B:B,MacReports!E:E,"")</f>
        <v/>
      </c>
      <c r="L644" t="str">
        <f t="shared" si="25"/>
        <v/>
      </c>
      <c r="R644" s="13" t="str">
        <f>IF(MacReports!M644="Remote Lock","Remote Locked","")</f>
        <v/>
      </c>
    </row>
    <row r="645" spans="5:18">
      <c r="E645" t="str">
        <f>_xlfn.XLOOKUP(B645,MacReports!B:B,MacReports!E:E,"")</f>
        <v/>
      </c>
      <c r="L645" t="str">
        <f t="shared" si="25"/>
        <v/>
      </c>
      <c r="R645" s="13" t="str">
        <f>IF(MacReports!M645="Remote Lock","Remote Locked","")</f>
        <v/>
      </c>
    </row>
    <row r="646" spans="5:18">
      <c r="E646" t="str">
        <f>_xlfn.XLOOKUP(B646,MacReports!B:B,MacReports!E:E,"")</f>
        <v/>
      </c>
      <c r="L646" t="str">
        <f t="shared" si="25"/>
        <v/>
      </c>
      <c r="R646" s="13" t="str">
        <f>IF(MacReports!M646="Remote Lock","Remote Locked","")</f>
        <v/>
      </c>
    </row>
    <row r="647" spans="5:18">
      <c r="E647" t="str">
        <f>_xlfn.XLOOKUP(B647,MacReports!B:B,MacReports!E:E,"")</f>
        <v/>
      </c>
      <c r="L647" t="str">
        <f t="shared" si="25"/>
        <v/>
      </c>
      <c r="R647" s="13" t="str">
        <f>IF(MacReports!M647="Remote Lock","Remote Locked","")</f>
        <v/>
      </c>
    </row>
    <row r="648" spans="5:18">
      <c r="E648" t="str">
        <f>_xlfn.XLOOKUP(B648,MacReports!B:B,MacReports!E:E,"")</f>
        <v/>
      </c>
      <c r="L648" t="str">
        <f t="shared" si="25"/>
        <v/>
      </c>
      <c r="R648" s="13" t="str">
        <f>IF(MacReports!M648="Remote Lock","Remote Locked","")</f>
        <v/>
      </c>
    </row>
    <row r="649" spans="5:18">
      <c r="E649" t="str">
        <f>_xlfn.XLOOKUP(B649,MacReports!B:B,MacReports!E:E,"")</f>
        <v/>
      </c>
      <c r="L649" t="str">
        <f t="shared" si="25"/>
        <v/>
      </c>
      <c r="R649" s="13" t="str">
        <f>IF(MacReports!M649="Remote Lock","Remote Locked","")</f>
        <v/>
      </c>
    </row>
    <row r="650" spans="5:18">
      <c r="E650" t="str">
        <f>_xlfn.XLOOKUP(B650,MacReports!B:B,MacReports!E:E,"")</f>
        <v/>
      </c>
      <c r="L650" t="str">
        <f t="shared" si="25"/>
        <v/>
      </c>
      <c r="R650" s="13" t="str">
        <f>IF(MacReports!M650="Remote Lock","Remote Locked","")</f>
        <v/>
      </c>
    </row>
    <row r="651" spans="5:18">
      <c r="E651" t="str">
        <f>_xlfn.XLOOKUP(B651,MacReports!B:B,MacReports!E:E,"")</f>
        <v/>
      </c>
      <c r="L651" t="str">
        <f t="shared" si="25"/>
        <v/>
      </c>
      <c r="R651" s="13" t="str">
        <f>IF(MacReports!M651="Remote Lock","Remote Locked","")</f>
        <v/>
      </c>
    </row>
    <row r="652" spans="5:18">
      <c r="E652" t="str">
        <f>_xlfn.XLOOKUP(B652,MacReports!B:B,MacReports!E:E,"")</f>
        <v/>
      </c>
      <c r="L652" t="str">
        <f t="shared" si="25"/>
        <v/>
      </c>
      <c r="R652" s="13" t="str">
        <f>IF(MacReports!M652="Remote Lock","Remote Locked","")</f>
        <v/>
      </c>
    </row>
    <row r="653" spans="5:18">
      <c r="E653" t="str">
        <f>_xlfn.XLOOKUP(B653,MacReports!B:B,MacReports!E:E,"")</f>
        <v/>
      </c>
      <c r="L653" t="str">
        <f t="shared" si="25"/>
        <v/>
      </c>
      <c r="R653" s="13" t="str">
        <f>IF(MacReports!M653="Remote Lock","Remote Locked","")</f>
        <v/>
      </c>
    </row>
    <row r="654" spans="5:18">
      <c r="E654" t="str">
        <f>_xlfn.XLOOKUP(B654,MacReports!B:B,MacReports!E:E,"")</f>
        <v/>
      </c>
      <c r="L654" t="str">
        <f t="shared" si="25"/>
        <v/>
      </c>
      <c r="R654" s="13" t="str">
        <f>IF(MacReports!M654="Remote Lock","Remote Locked","")</f>
        <v/>
      </c>
    </row>
    <row r="655" spans="5:18">
      <c r="E655" t="str">
        <f>_xlfn.XLOOKUP(B655,MacReports!B:B,MacReports!E:E,"")</f>
        <v/>
      </c>
      <c r="L655" t="str">
        <f t="shared" si="25"/>
        <v/>
      </c>
      <c r="R655" s="13" t="str">
        <f>IF(MacReports!M655="Remote Lock","Remote Locked","")</f>
        <v/>
      </c>
    </row>
    <row r="656" spans="5:18">
      <c r="E656" t="str">
        <f>_xlfn.XLOOKUP(B656,MacReports!B:B,MacReports!E:E,"")</f>
        <v/>
      </c>
      <c r="L656" t="str">
        <f t="shared" si="25"/>
        <v/>
      </c>
      <c r="R656" s="13" t="str">
        <f>IF(MacReports!M656="Remote Lock","Remote Locked","")</f>
        <v/>
      </c>
    </row>
    <row r="657" spans="5:18">
      <c r="E657" t="str">
        <f>_xlfn.XLOOKUP(B657,MacReports!B:B,MacReports!E:E,"")</f>
        <v/>
      </c>
      <c r="L657" t="str">
        <f t="shared" si="25"/>
        <v/>
      </c>
      <c r="R657" s="13" t="str">
        <f>IF(MacReports!M657="Remote Lock","Remote Locked","")</f>
        <v/>
      </c>
    </row>
    <row r="658" spans="5:18">
      <c r="E658" t="str">
        <f>_xlfn.XLOOKUP(B658,MacReports!B:B,MacReports!E:E,"")</f>
        <v/>
      </c>
      <c r="L658" t="str">
        <f t="shared" si="25"/>
        <v/>
      </c>
      <c r="R658" s="13" t="str">
        <f>IF(MacReports!M658="Remote Lock","Remote Locked","")</f>
        <v/>
      </c>
    </row>
    <row r="659" spans="5:18">
      <c r="E659" t="str">
        <f>_xlfn.XLOOKUP(B659,MacReports!B:B,MacReports!E:E,"")</f>
        <v/>
      </c>
      <c r="L659" t="str">
        <f t="shared" si="25"/>
        <v/>
      </c>
      <c r="R659" s="13" t="str">
        <f>IF(MacReports!M659="Remote Lock","Remote Locked","")</f>
        <v/>
      </c>
    </row>
    <row r="660" spans="5:18">
      <c r="E660" t="str">
        <f>_xlfn.XLOOKUP(B660,MacReports!B:B,MacReports!E:E,"")</f>
        <v/>
      </c>
      <c r="L660" t="str">
        <f t="shared" si="25"/>
        <v/>
      </c>
      <c r="R660" s="13" t="str">
        <f>IF(MacReports!M660="Remote Lock","Remote Locked","")</f>
        <v/>
      </c>
    </row>
    <row r="661" spans="5:18">
      <c r="E661" t="str">
        <f>_xlfn.XLOOKUP(B661,MacReports!B:B,MacReports!E:E,"")</f>
        <v/>
      </c>
      <c r="L661" t="str">
        <f t="shared" si="25"/>
        <v/>
      </c>
      <c r="R661" s="13" t="str">
        <f>IF(MacReports!M661="Remote Lock","Remote Locked","")</f>
        <v/>
      </c>
    </row>
    <row r="662" spans="5:18">
      <c r="E662" t="str">
        <f>_xlfn.XLOOKUP(B662,MacReports!B:B,MacReports!E:E,"")</f>
        <v/>
      </c>
      <c r="L662" t="str">
        <f t="shared" si="25"/>
        <v/>
      </c>
      <c r="R662" s="13" t="str">
        <f>IF(MacReports!M662="Remote Lock","Remote Locked","")</f>
        <v/>
      </c>
    </row>
    <row r="663" spans="5:18">
      <c r="E663" t="str">
        <f>_xlfn.XLOOKUP(B663,MacReports!B:B,MacReports!E:E,"")</f>
        <v/>
      </c>
      <c r="L663" t="str">
        <f t="shared" si="25"/>
        <v/>
      </c>
      <c r="R663" s="13" t="str">
        <f>IF(MacReports!M663="Remote Lock","Remote Locked","")</f>
        <v/>
      </c>
    </row>
    <row r="664" spans="5:18">
      <c r="E664" t="str">
        <f>_xlfn.XLOOKUP(B664,MacReports!B:B,MacReports!E:E,"")</f>
        <v/>
      </c>
      <c r="L664" t="str">
        <f t="shared" si="25"/>
        <v/>
      </c>
      <c r="R664" s="13" t="str">
        <f>IF(MacReports!M664="Remote Lock","Remote Locked","")</f>
        <v/>
      </c>
    </row>
    <row r="665" spans="5:18">
      <c r="E665" t="str">
        <f>_xlfn.XLOOKUP(B665,MacReports!B:B,MacReports!E:E,"")</f>
        <v/>
      </c>
      <c r="L665" t="str">
        <f t="shared" si="25"/>
        <v/>
      </c>
      <c r="R665" s="13" t="str">
        <f>IF(MacReports!M665="Remote Lock","Remote Locked","")</f>
        <v/>
      </c>
    </row>
    <row r="666" spans="5:18">
      <c r="E666" t="str">
        <f>_xlfn.XLOOKUP(B666,MacReports!B:B,MacReports!E:E,"")</f>
        <v/>
      </c>
      <c r="L666" t="str">
        <f t="shared" si="25"/>
        <v/>
      </c>
      <c r="R666" s="13" t="str">
        <f>IF(MacReports!M666="Remote Lock","Remote Locked","")</f>
        <v/>
      </c>
    </row>
    <row r="667" spans="5:18">
      <c r="E667" t="str">
        <f>_xlfn.XLOOKUP(B667,MacReports!B:B,MacReports!E:E,"")</f>
        <v/>
      </c>
      <c r="L667" t="str">
        <f t="shared" si="25"/>
        <v/>
      </c>
      <c r="R667" s="13" t="str">
        <f>IF(MacReports!M667="Remote Lock","Remote Locked","")</f>
        <v/>
      </c>
    </row>
    <row r="668" spans="5:18">
      <c r="E668" t="str">
        <f>_xlfn.XLOOKUP(B668,MacReports!B:B,MacReports!E:E,"")</f>
        <v/>
      </c>
      <c r="L668" t="str">
        <f t="shared" si="25"/>
        <v/>
      </c>
      <c r="R668" s="13" t="str">
        <f>IF(MacReports!M668="Remote Lock","Remote Locked","")</f>
        <v/>
      </c>
    </row>
    <row r="669" spans="5:18">
      <c r="E669" t="str">
        <f>_xlfn.XLOOKUP(B669,MacReports!B:B,MacReports!E:E,"")</f>
        <v/>
      </c>
      <c r="L669" t="str">
        <f t="shared" si="25"/>
        <v/>
      </c>
      <c r="R669" s="13" t="str">
        <f>IF(MacReports!M669="Remote Lock","Remote Locked","")</f>
        <v/>
      </c>
    </row>
    <row r="670" spans="5:18">
      <c r="E670" t="str">
        <f>_xlfn.XLOOKUP(B670,MacReports!B:B,MacReports!E:E,"")</f>
        <v/>
      </c>
      <c r="L670" t="str">
        <f t="shared" si="25"/>
        <v/>
      </c>
      <c r="R670" s="13" t="str">
        <f>IF(MacReports!M670="Remote Lock","Remote Locked","")</f>
        <v/>
      </c>
    </row>
    <row r="671" spans="5:18">
      <c r="E671" t="str">
        <f>_xlfn.XLOOKUP(B671,MacReports!B:B,MacReports!E:E,"")</f>
        <v/>
      </c>
      <c r="L671" t="str">
        <f t="shared" si="25"/>
        <v/>
      </c>
      <c r="R671" s="13" t="str">
        <f>IF(MacReports!M671="Remote Lock","Remote Locked","")</f>
        <v/>
      </c>
    </row>
    <row r="672" spans="5:18">
      <c r="E672" t="str">
        <f>_xlfn.XLOOKUP(B672,MacReports!B:B,MacReports!E:E,"")</f>
        <v/>
      </c>
      <c r="L672" t="str">
        <f t="shared" si="25"/>
        <v/>
      </c>
      <c r="R672" s="13" t="str">
        <f>IF(MacReports!M672="Remote Lock","Remote Locked","")</f>
        <v/>
      </c>
    </row>
    <row r="673" spans="5:18">
      <c r="E673" t="str">
        <f>_xlfn.XLOOKUP(B673,MacReports!B:B,MacReports!E:E,"")</f>
        <v/>
      </c>
      <c r="L673" t="str">
        <f t="shared" si="25"/>
        <v/>
      </c>
      <c r="R673" s="13" t="str">
        <f>IF(MacReports!M673="Remote Lock","Remote Locked","")</f>
        <v/>
      </c>
    </row>
    <row r="674" spans="5:18">
      <c r="E674" t="str">
        <f>_xlfn.XLOOKUP(B674,MacReports!B:B,MacReports!E:E,"")</f>
        <v/>
      </c>
      <c r="L674" t="str">
        <f t="shared" si="25"/>
        <v/>
      </c>
      <c r="R674" s="13" t="str">
        <f>IF(MacReports!M674="Remote Lock","Remote Locked","")</f>
        <v/>
      </c>
    </row>
    <row r="675" spans="5:18">
      <c r="E675" t="str">
        <f>_xlfn.XLOOKUP(B675,MacReports!B:B,MacReports!E:E,"")</f>
        <v/>
      </c>
      <c r="L675" t="str">
        <f t="shared" si="25"/>
        <v/>
      </c>
      <c r="R675" s="13" t="str">
        <f>IF(MacReports!M675="Remote Lock","Remote Locked","")</f>
        <v/>
      </c>
    </row>
    <row r="676" spans="5:18">
      <c r="E676" t="str">
        <f>_xlfn.XLOOKUP(B676,MacReports!B:B,MacReports!E:E,"")</f>
        <v/>
      </c>
      <c r="L676" t="str">
        <f t="shared" si="25"/>
        <v/>
      </c>
      <c r="R676" s="13" t="str">
        <f>IF(MacReports!M676="Remote Lock","Remote Locked","")</f>
        <v/>
      </c>
    </row>
    <row r="677" spans="5:18">
      <c r="E677" t="str">
        <f>_xlfn.XLOOKUP(B677,MacReports!B:B,MacReports!E:E,"")</f>
        <v/>
      </c>
      <c r="L677" t="str">
        <f t="shared" si="25"/>
        <v/>
      </c>
      <c r="R677" s="13" t="str">
        <f>IF(MacReports!M677="Remote Lock","Remote Locked","")</f>
        <v/>
      </c>
    </row>
    <row r="678" spans="5:18">
      <c r="E678" t="str">
        <f>_xlfn.XLOOKUP(B678,MacReports!B:B,MacReports!E:E,"")</f>
        <v/>
      </c>
      <c r="L678" t="str">
        <f t="shared" si="25"/>
        <v/>
      </c>
      <c r="R678" s="13" t="str">
        <f>IF(MacReports!M678="Remote Lock","Remote Locked","")</f>
        <v/>
      </c>
    </row>
    <row r="679" spans="5:18">
      <c r="E679" t="str">
        <f>_xlfn.XLOOKUP(B679,MacReports!B:B,MacReports!E:E,"")</f>
        <v/>
      </c>
      <c r="L679" t="str">
        <f t="shared" si="25"/>
        <v/>
      </c>
      <c r="R679" s="13" t="str">
        <f>IF(MacReports!M679="Remote Lock","Remote Locked","")</f>
        <v/>
      </c>
    </row>
    <row r="680" spans="5:18">
      <c r="E680">
        <f>_xlfn.XLOOKUP(B680,MacReports!B:B,MacReports!E:E,"")</f>
        <v>0</v>
      </c>
      <c r="L680" t="str">
        <f t="shared" si="25"/>
        <v/>
      </c>
      <c r="R680" s="13" t="str">
        <f>IF(MacReports!M680="Remote Lock","Remote Locked","")</f>
        <v/>
      </c>
    </row>
    <row r="681" spans="5:18">
      <c r="E681" t="str">
        <f>_xlfn.XLOOKUP(B681,MacReports!B:B,MacReports!E:E,"")</f>
        <v/>
      </c>
      <c r="L681" t="str">
        <f t="shared" si="25"/>
        <v/>
      </c>
      <c r="R681" s="13" t="str">
        <f>IF(MacReports!M681="Remote Lock","Remote Locked","")</f>
        <v/>
      </c>
    </row>
    <row r="682" spans="5:18">
      <c r="E682" t="str">
        <f>_xlfn.XLOOKUP(B682,MacReports!B:B,MacReports!E:E,"")</f>
        <v/>
      </c>
      <c r="L682" t="str">
        <f t="shared" si="25"/>
        <v/>
      </c>
      <c r="R682" s="13" t="str">
        <f>IF(MacReports!M682="Remote Lock","Remote Locked","")</f>
        <v/>
      </c>
    </row>
    <row r="683" spans="5:18">
      <c r="E683" t="str">
        <f>_xlfn.XLOOKUP(B683,MacReports!B:B,MacReports!E:E,"")</f>
        <v/>
      </c>
      <c r="L683" t="str">
        <f t="shared" si="25"/>
        <v/>
      </c>
      <c r="R683" s="13" t="str">
        <f>IF(MacReports!M683="Remote Lock","Remote Locked","")</f>
        <v/>
      </c>
    </row>
    <row r="684" spans="5:18">
      <c r="E684" t="str">
        <f>_xlfn.XLOOKUP(B684,MacReports!B:B,MacReports!E:E,"")</f>
        <v/>
      </c>
      <c r="L684" t="str">
        <f t="shared" si="25"/>
        <v/>
      </c>
      <c r="R684" s="13" t="str">
        <f>IF(MacReports!M684="Remote Lock","Remote Locked","")</f>
        <v/>
      </c>
    </row>
    <row r="685" spans="5:18">
      <c r="E685" t="str">
        <f>_xlfn.XLOOKUP(B685,MacReports!B:B,MacReports!E:E,"")</f>
        <v/>
      </c>
      <c r="L685" t="str">
        <f t="shared" si="25"/>
        <v/>
      </c>
      <c r="R685" s="13" t="str">
        <f>IF(MacReports!M685="Remote Lock","Remote Locked","")</f>
        <v/>
      </c>
    </row>
    <row r="686" spans="5:18">
      <c r="E686" t="str">
        <f>_xlfn.XLOOKUP(B686,MacReports!B:B,MacReports!E:E,"")</f>
        <v/>
      </c>
      <c r="L686" t="str">
        <f t="shared" si="25"/>
        <v/>
      </c>
      <c r="R686" s="13" t="str">
        <f>IF(MacReports!M686="Remote Lock","Remote Locked","")</f>
        <v/>
      </c>
    </row>
    <row r="687" spans="5:18">
      <c r="E687" t="str">
        <f>_xlfn.XLOOKUP(B687,MacReports!B:B,MacReports!E:E,"")</f>
        <v/>
      </c>
      <c r="L687" t="str">
        <f t="shared" si="25"/>
        <v/>
      </c>
      <c r="R687" s="13" t="str">
        <f>IF(MacReports!M687="Remote Lock","Remote Locked","")</f>
        <v/>
      </c>
    </row>
    <row r="688" spans="5:18">
      <c r="E688" t="str">
        <f>_xlfn.XLOOKUP(B688,MacReports!B:B,MacReports!E:E,"")</f>
        <v/>
      </c>
      <c r="L688" t="str">
        <f t="shared" si="25"/>
        <v/>
      </c>
      <c r="R688" s="13" t="str">
        <f>IF(MacReports!M688="Remote Lock","Remote Locked","")</f>
        <v/>
      </c>
    </row>
    <row r="689" spans="5:18">
      <c r="E689" t="str">
        <f>_xlfn.XLOOKUP(B689,MacReports!B:B,MacReports!E:E,"")</f>
        <v/>
      </c>
      <c r="L689" t="str">
        <f t="shared" si="25"/>
        <v/>
      </c>
      <c r="R689" s="13" t="str">
        <f>IF(MacReports!M689="Remote Lock","Remote Locked","")</f>
        <v/>
      </c>
    </row>
    <row r="690" spans="5:18">
      <c r="E690" t="str">
        <f>_xlfn.XLOOKUP(B690,MacReports!B:B,MacReports!E:E,"")</f>
        <v/>
      </c>
      <c r="L690" t="str">
        <f t="shared" si="25"/>
        <v/>
      </c>
      <c r="R690" s="13" t="str">
        <f>IF(MacReports!M690="Remote Lock","Remote Locked","")</f>
        <v/>
      </c>
    </row>
    <row r="691" spans="5:18">
      <c r="E691" t="str">
        <f>_xlfn.XLOOKUP(B691,MacReports!B:B,MacReports!E:E,"")</f>
        <v/>
      </c>
      <c r="L691" t="str">
        <f t="shared" si="25"/>
        <v/>
      </c>
      <c r="R691" s="13" t="str">
        <f>IF(MacReports!M691="Remote Lock","Remote Locked","")</f>
        <v/>
      </c>
    </row>
    <row r="692" spans="5:18">
      <c r="E692" t="str">
        <f>_xlfn.XLOOKUP(B692,MacReports!B:B,MacReports!E:E,"")</f>
        <v/>
      </c>
      <c r="L692" t="str">
        <f t="shared" si="25"/>
        <v/>
      </c>
      <c r="R692" s="13" t="str">
        <f>IF(MacReports!M692="Remote Lock","Remote Locked","")</f>
        <v/>
      </c>
    </row>
    <row r="693" spans="5:18">
      <c r="E693" t="str">
        <f>_xlfn.XLOOKUP(B693,MacReports!B:B,MacReports!E:E,"")</f>
        <v/>
      </c>
      <c r="L693" t="str">
        <f t="shared" si="25"/>
        <v/>
      </c>
      <c r="R693" s="13" t="str">
        <f>IF(MacReports!M693="Remote Lock","Remote Locked","")</f>
        <v/>
      </c>
    </row>
    <row r="694" spans="5:18">
      <c r="E694" t="str">
        <f>_xlfn.XLOOKUP(B694,MacReports!B:B,MacReports!E:E,"")</f>
        <v/>
      </c>
      <c r="L694" t="str">
        <f t="shared" si="25"/>
        <v/>
      </c>
      <c r="R694" s="13" t="str">
        <f>IF(MacReports!M694="Remote Lock","Remote Locked","")</f>
        <v/>
      </c>
    </row>
    <row r="695" spans="5:18">
      <c r="E695" t="str">
        <f>_xlfn.XLOOKUP(B695,MacReports!B:B,MacReports!E:E,"")</f>
        <v/>
      </c>
      <c r="L695" t="str">
        <f t="shared" si="25"/>
        <v/>
      </c>
      <c r="R695" s="13" t="str">
        <f>IF(MacReports!M695="Remote Lock","Remote Locked","")</f>
        <v/>
      </c>
    </row>
    <row r="696" spans="5:18">
      <c r="E696" t="str">
        <f>_xlfn.XLOOKUP(B696,MacReports!B:B,MacReports!E:E,"")</f>
        <v/>
      </c>
      <c r="L696" t="str">
        <f t="shared" si="25"/>
        <v/>
      </c>
      <c r="R696" s="13" t="str">
        <f>IF(MacReports!M696="Remote Lock","Remote Locked","")</f>
        <v/>
      </c>
    </row>
    <row r="697" spans="5:18">
      <c r="E697" t="str">
        <f>_xlfn.XLOOKUP(B697,MacReports!B:B,MacReports!E:E,"")</f>
        <v/>
      </c>
      <c r="L697" t="str">
        <f t="shared" si="25"/>
        <v/>
      </c>
      <c r="R697" s="13" t="str">
        <f>IF(MacReports!M697="Remote Lock","Remote Locked","")</f>
        <v/>
      </c>
    </row>
    <row r="698" spans="5:18">
      <c r="E698" t="str">
        <f>_xlfn.XLOOKUP(B698,MacReports!B:B,MacReports!E:E,"")</f>
        <v/>
      </c>
      <c r="L698" t="str">
        <f t="shared" si="25"/>
        <v/>
      </c>
      <c r="R698" s="13" t="str">
        <f>IF(MacReports!M698="Remote Lock","Remote Locked","")</f>
        <v/>
      </c>
    </row>
    <row r="699" spans="5:18">
      <c r="E699" t="str">
        <f>_xlfn.XLOOKUP(B699,MacReports!B:B,MacReports!E:E,"")</f>
        <v/>
      </c>
      <c r="L699" t="str">
        <f t="shared" si="25"/>
        <v/>
      </c>
      <c r="R699" s="13" t="str">
        <f>IF(MacReports!M699="Remote Lock","Remote Locked","")</f>
        <v/>
      </c>
    </row>
    <row r="700" spans="5:18">
      <c r="E700" t="str">
        <f>_xlfn.XLOOKUP(B700,MacReports!B:B,MacReports!E:E,"")</f>
        <v/>
      </c>
      <c r="L700" t="str">
        <f t="shared" si="25"/>
        <v/>
      </c>
      <c r="R700" s="13" t="str">
        <f>IF(MacReports!M700="Remote Lock","Remote Locked","")</f>
        <v/>
      </c>
    </row>
    <row r="701" spans="5:18">
      <c r="E701" t="str">
        <f>_xlfn.XLOOKUP(B701,MacReports!B:B,MacReports!E:E,"")</f>
        <v/>
      </c>
      <c r="L701" t="str">
        <f t="shared" si="25"/>
        <v/>
      </c>
      <c r="R701" s="13" t="str">
        <f>IF(MacReports!M701="Remote Lock","Remote Locked","")</f>
        <v/>
      </c>
    </row>
    <row r="702" spans="5:18">
      <c r="E702" t="str">
        <f>_xlfn.XLOOKUP(B702,MacReports!B:B,MacReports!E:E,"")</f>
        <v/>
      </c>
      <c r="L702" t="str">
        <f t="shared" si="25"/>
        <v/>
      </c>
      <c r="R702" s="13" t="str">
        <f>IF(MacReports!M702="Remote Lock","Remote Locked","")</f>
        <v/>
      </c>
    </row>
    <row r="703" spans="5:18">
      <c r="E703" t="str">
        <f>_xlfn.XLOOKUP(B703,MacReports!B:B,MacReports!E:E,"")</f>
        <v/>
      </c>
      <c r="L703" t="str">
        <f t="shared" si="25"/>
        <v/>
      </c>
      <c r="R703" s="13" t="str">
        <f>IF(MacReports!M703="Remote Lock","Remote Locked","")</f>
        <v/>
      </c>
    </row>
    <row r="704" spans="5:18">
      <c r="E704" t="str">
        <f>_xlfn.XLOOKUP(B704,MacReports!B:B,MacReports!E:E,"")</f>
        <v/>
      </c>
      <c r="L704" t="str">
        <f t="shared" si="25"/>
        <v/>
      </c>
      <c r="R704" s="13" t="str">
        <f>IF(MacReports!M704="Remote Lock","Remote Locked","")</f>
        <v/>
      </c>
    </row>
    <row r="705" spans="5:18">
      <c r="E705" t="str">
        <f>_xlfn.XLOOKUP(B705,MacReports!B:B,MacReports!E:E,"")</f>
        <v/>
      </c>
      <c r="L705" t="str">
        <f t="shared" si="25"/>
        <v/>
      </c>
      <c r="R705" s="13" t="str">
        <f>IF(MacReports!M705="Remote Lock","Remote Locked","")</f>
        <v/>
      </c>
    </row>
    <row r="706" spans="5:18">
      <c r="E706" t="str">
        <f>_xlfn.XLOOKUP(B706,MacReports!B:B,MacReports!E:E,"")</f>
        <v/>
      </c>
      <c r="L706" t="str">
        <f t="shared" si="25"/>
        <v/>
      </c>
      <c r="R706" s="13" t="str">
        <f>IF(MacReports!M706="Remote Lock","Remote Locked","")</f>
        <v/>
      </c>
    </row>
    <row r="707" spans="5:18">
      <c r="E707" t="str">
        <f>_xlfn.XLOOKUP(B707,MacReports!B:B,MacReports!E:E,"")</f>
        <v/>
      </c>
      <c r="L707" t="str">
        <f t="shared" ref="L707:L770" si="26">IFERROR(LEFT(K707,FIND(" ",K707)-1)&amp;" GB DDR"&amp;MID(K707,FIND("DDR",K707)+3,1), K707&amp;"")</f>
        <v/>
      </c>
      <c r="R707" s="13" t="str">
        <f>IF(MacReports!M707="Remote Lock","Remote Locked","")</f>
        <v/>
      </c>
    </row>
    <row r="708" spans="5:18">
      <c r="E708" t="str">
        <f>_xlfn.XLOOKUP(B708,MacReports!B:B,MacReports!E:E,"")</f>
        <v/>
      </c>
      <c r="L708" t="str">
        <f t="shared" si="26"/>
        <v/>
      </c>
      <c r="R708" s="13" t="str">
        <f>IF(MacReports!M708="Remote Lock","Remote Locked","")</f>
        <v/>
      </c>
    </row>
    <row r="709" spans="5:18">
      <c r="E709" t="str">
        <f>_xlfn.XLOOKUP(B709,MacReports!B:B,MacReports!E:E,"")</f>
        <v/>
      </c>
      <c r="L709" t="str">
        <f t="shared" si="26"/>
        <v/>
      </c>
      <c r="R709" s="13" t="str">
        <f>IF(MacReports!M709="Remote Lock","Remote Locked","")</f>
        <v/>
      </c>
    </row>
    <row r="710" spans="5:18">
      <c r="E710" t="str">
        <f>_xlfn.XLOOKUP(B710,MacReports!B:B,MacReports!E:E,"")</f>
        <v/>
      </c>
      <c r="L710" t="str">
        <f t="shared" si="26"/>
        <v/>
      </c>
      <c r="R710" s="13" t="str">
        <f>IF(MacReports!M710="Remote Lock","Remote Locked","")</f>
        <v/>
      </c>
    </row>
    <row r="711" spans="5:18">
      <c r="E711" t="str">
        <f>_xlfn.XLOOKUP(B711,MacReports!B:B,MacReports!E:E,"")</f>
        <v/>
      </c>
      <c r="L711" t="str">
        <f t="shared" si="26"/>
        <v/>
      </c>
      <c r="R711" s="13" t="str">
        <f>IF(MacReports!M711="Remote Lock","Remote Locked","")</f>
        <v/>
      </c>
    </row>
    <row r="712" spans="5:18">
      <c r="E712" t="str">
        <f>_xlfn.XLOOKUP(B712,MacReports!B:B,MacReports!E:E,"")</f>
        <v/>
      </c>
      <c r="L712" t="str">
        <f t="shared" si="26"/>
        <v/>
      </c>
      <c r="R712" s="13" t="str">
        <f>IF(MacReports!M712="Remote Lock","Remote Locked","")</f>
        <v/>
      </c>
    </row>
    <row r="713" spans="5:18">
      <c r="E713" t="str">
        <f>_xlfn.XLOOKUP(B713,MacReports!B:B,MacReports!E:E,"")</f>
        <v/>
      </c>
      <c r="L713" t="str">
        <f t="shared" si="26"/>
        <v/>
      </c>
      <c r="R713" s="13" t="str">
        <f>IF(MacReports!M713="Remote Lock","Remote Locked","")</f>
        <v/>
      </c>
    </row>
    <row r="714" spans="5:18">
      <c r="E714" t="str">
        <f>_xlfn.XLOOKUP(B714,MacReports!B:B,MacReports!E:E,"")</f>
        <v/>
      </c>
      <c r="L714" t="str">
        <f t="shared" si="26"/>
        <v/>
      </c>
      <c r="R714" s="13" t="str">
        <f>IF(MacReports!M714="Remote Lock","Remote Locked","")</f>
        <v/>
      </c>
    </row>
    <row r="715" spans="5:18">
      <c r="E715" t="str">
        <f>_xlfn.XLOOKUP(B715,MacReports!B:B,MacReports!E:E,"")</f>
        <v/>
      </c>
      <c r="L715" t="str">
        <f t="shared" si="26"/>
        <v/>
      </c>
      <c r="R715" s="13" t="str">
        <f>IF(MacReports!M715="Remote Lock","Remote Locked","")</f>
        <v/>
      </c>
    </row>
    <row r="716" spans="5:18">
      <c r="E716" t="str">
        <f>_xlfn.XLOOKUP(B716,MacReports!B:B,MacReports!E:E,"")</f>
        <v/>
      </c>
      <c r="L716" t="str">
        <f t="shared" si="26"/>
        <v/>
      </c>
      <c r="R716" s="13" t="str">
        <f>IF(MacReports!M716="Remote Lock","Remote Locked","")</f>
        <v/>
      </c>
    </row>
    <row r="717" spans="5:18">
      <c r="E717" t="str">
        <f>_xlfn.XLOOKUP(B717,MacReports!B:B,MacReports!E:E,"")</f>
        <v/>
      </c>
      <c r="L717" t="str">
        <f t="shared" si="26"/>
        <v/>
      </c>
      <c r="R717" s="13" t="str">
        <f>IF(MacReports!M717="Remote Lock","Remote Locked","")</f>
        <v/>
      </c>
    </row>
    <row r="718" spans="5:18">
      <c r="E718" t="str">
        <f>_xlfn.XLOOKUP(B718,MacReports!B:B,MacReports!E:E,"")</f>
        <v/>
      </c>
      <c r="L718" t="str">
        <f t="shared" si="26"/>
        <v/>
      </c>
      <c r="R718" s="13" t="str">
        <f>IF(MacReports!M718="Remote Lock","Remote Locked","")</f>
        <v/>
      </c>
    </row>
    <row r="719" spans="5:18">
      <c r="E719" t="str">
        <f>_xlfn.XLOOKUP(B719,MacReports!B:B,MacReports!E:E,"")</f>
        <v/>
      </c>
      <c r="L719" t="str">
        <f t="shared" si="26"/>
        <v/>
      </c>
      <c r="R719" s="13" t="str">
        <f>IF(MacReports!M719="Remote Lock","Remote Locked","")</f>
        <v/>
      </c>
    </row>
    <row r="720" spans="5:18">
      <c r="E720" t="str">
        <f>_xlfn.XLOOKUP(B720,MacReports!B:B,MacReports!E:E,"")</f>
        <v/>
      </c>
      <c r="L720" t="str">
        <f t="shared" si="26"/>
        <v/>
      </c>
      <c r="R720" s="13" t="str">
        <f>IF(MacReports!M720="Remote Lock","Remote Locked","")</f>
        <v/>
      </c>
    </row>
    <row r="721" spans="5:18">
      <c r="E721" t="str">
        <f>_xlfn.XLOOKUP(B721,MacReports!B:B,MacReports!E:E,"")</f>
        <v/>
      </c>
      <c r="L721" t="str">
        <f t="shared" si="26"/>
        <v/>
      </c>
      <c r="R721" s="13" t="str">
        <f>IF(MacReports!M721="Remote Lock","Remote Locked","")</f>
        <v/>
      </c>
    </row>
    <row r="722" spans="5:18">
      <c r="E722" t="str">
        <f>_xlfn.XLOOKUP(B722,MacReports!B:B,MacReports!E:E,"")</f>
        <v/>
      </c>
      <c r="L722" t="str">
        <f t="shared" si="26"/>
        <v/>
      </c>
      <c r="R722" s="13" t="str">
        <f>IF(MacReports!M722="Remote Lock","Remote Locked","")</f>
        <v/>
      </c>
    </row>
    <row r="723" spans="5:18">
      <c r="E723" t="str">
        <f>_xlfn.XLOOKUP(B723,MacReports!B:B,MacReports!E:E,"")</f>
        <v/>
      </c>
      <c r="L723" t="str">
        <f t="shared" si="26"/>
        <v/>
      </c>
      <c r="R723" s="13" t="str">
        <f>IF(MacReports!M723="Remote Lock","Remote Locked","")</f>
        <v/>
      </c>
    </row>
    <row r="724" spans="5:18">
      <c r="E724" t="str">
        <f>_xlfn.XLOOKUP(B724,MacReports!B:B,MacReports!E:E,"")</f>
        <v/>
      </c>
      <c r="L724" t="str">
        <f t="shared" si="26"/>
        <v/>
      </c>
      <c r="R724" s="13" t="str">
        <f>IF(MacReports!M724="Remote Lock","Remote Locked","")</f>
        <v/>
      </c>
    </row>
    <row r="725" spans="5:18">
      <c r="E725" t="str">
        <f>_xlfn.XLOOKUP(B725,MacReports!B:B,MacReports!E:E,"")</f>
        <v/>
      </c>
      <c r="L725" t="str">
        <f t="shared" si="26"/>
        <v/>
      </c>
      <c r="R725" s="13" t="str">
        <f>IF(MacReports!M725="Remote Lock","Remote Locked","")</f>
        <v/>
      </c>
    </row>
    <row r="726" spans="5:18">
      <c r="E726" t="str">
        <f>_xlfn.XLOOKUP(B726,MacReports!B:B,MacReports!E:E,"")</f>
        <v/>
      </c>
      <c r="L726" t="str">
        <f t="shared" si="26"/>
        <v/>
      </c>
      <c r="R726" s="13" t="str">
        <f>IF(MacReports!M726="Remote Lock","Remote Locked","")</f>
        <v/>
      </c>
    </row>
    <row r="727" spans="5:18">
      <c r="E727" t="str">
        <f>_xlfn.XLOOKUP(B727,MacReports!B:B,MacReports!E:E,"")</f>
        <v/>
      </c>
      <c r="L727" t="str">
        <f t="shared" si="26"/>
        <v/>
      </c>
      <c r="R727" s="13" t="str">
        <f>IF(MacReports!M727="Remote Lock","Remote Locked","")</f>
        <v/>
      </c>
    </row>
    <row r="728" spans="5:18">
      <c r="E728" t="str">
        <f>_xlfn.XLOOKUP(B728,MacReports!B:B,MacReports!E:E,"")</f>
        <v/>
      </c>
      <c r="L728" t="str">
        <f t="shared" si="26"/>
        <v/>
      </c>
      <c r="R728" s="13" t="str">
        <f>IF(MacReports!M728="Remote Lock","Remote Locked","")</f>
        <v/>
      </c>
    </row>
    <row r="729" spans="5:18">
      <c r="E729" t="str">
        <f>_xlfn.XLOOKUP(B729,MacReports!B:B,MacReports!E:E,"")</f>
        <v/>
      </c>
      <c r="L729" t="str">
        <f t="shared" si="26"/>
        <v/>
      </c>
      <c r="R729" s="13" t="str">
        <f>IF(MacReports!M729="Remote Lock","Remote Locked","")</f>
        <v/>
      </c>
    </row>
    <row r="730" spans="5:18">
      <c r="E730" t="str">
        <f>_xlfn.XLOOKUP(B730,MacReports!B:B,MacReports!E:E,"")</f>
        <v/>
      </c>
      <c r="L730" t="str">
        <f t="shared" si="26"/>
        <v/>
      </c>
      <c r="R730" s="13" t="str">
        <f>IF(MacReports!M730="Remote Lock","Remote Locked","")</f>
        <v/>
      </c>
    </row>
    <row r="731" spans="5:18">
      <c r="E731" t="str">
        <f>_xlfn.XLOOKUP(B731,MacReports!B:B,MacReports!E:E,"")</f>
        <v/>
      </c>
      <c r="L731" t="str">
        <f t="shared" si="26"/>
        <v/>
      </c>
      <c r="R731" s="13" t="str">
        <f>IF(MacReports!M731="Remote Lock","Remote Locked","")</f>
        <v/>
      </c>
    </row>
    <row r="732" spans="5:18">
      <c r="E732" t="str">
        <f>_xlfn.XLOOKUP(B732,MacReports!B:B,MacReports!E:E,"")</f>
        <v/>
      </c>
      <c r="L732" t="str">
        <f t="shared" si="26"/>
        <v/>
      </c>
      <c r="R732" s="13" t="str">
        <f>IF(MacReports!M732="Remote Lock","Remote Locked","")</f>
        <v/>
      </c>
    </row>
    <row r="733" spans="5:18">
      <c r="E733" t="str">
        <f>_xlfn.XLOOKUP(B733,MacReports!B:B,MacReports!E:E,"")</f>
        <v/>
      </c>
      <c r="L733" t="str">
        <f t="shared" si="26"/>
        <v/>
      </c>
      <c r="R733" s="13" t="str">
        <f>IF(MacReports!M733="Remote Lock","Remote Locked","")</f>
        <v/>
      </c>
    </row>
    <row r="734" spans="5:18">
      <c r="E734">
        <f>_xlfn.XLOOKUP(B734,MacReports!B:B,MacReports!E:E,"")</f>
        <v>0</v>
      </c>
      <c r="L734" t="str">
        <f t="shared" si="26"/>
        <v/>
      </c>
      <c r="R734" s="13" t="str">
        <f>IF(MacReports!M734="Remote Lock","Remote Locked","")</f>
        <v/>
      </c>
    </row>
    <row r="735" spans="5:18">
      <c r="E735" t="str">
        <f>_xlfn.XLOOKUP(B735,MacReports!B:B,MacReports!E:E,"")</f>
        <v/>
      </c>
      <c r="L735" t="str">
        <f t="shared" si="26"/>
        <v/>
      </c>
      <c r="R735" s="13" t="str">
        <f>IF(MacReports!M735="Remote Lock","Remote Locked","")</f>
        <v/>
      </c>
    </row>
    <row r="736" spans="5:18">
      <c r="E736" t="str">
        <f>_xlfn.XLOOKUP(B736,MacReports!B:B,MacReports!E:E,"")</f>
        <v/>
      </c>
      <c r="L736" t="str">
        <f t="shared" si="26"/>
        <v/>
      </c>
      <c r="R736" s="13" t="str">
        <f>IF(MacReports!M736="Remote Lock","Remote Locked","")</f>
        <v/>
      </c>
    </row>
    <row r="737" spans="5:18">
      <c r="E737" t="str">
        <f>_xlfn.XLOOKUP(B737,MacReports!B:B,MacReports!E:E,"")</f>
        <v/>
      </c>
      <c r="L737" t="str">
        <f t="shared" si="26"/>
        <v/>
      </c>
      <c r="R737" s="13" t="str">
        <f>IF(MacReports!M737="Remote Lock","Remote Locked","")</f>
        <v/>
      </c>
    </row>
    <row r="738" spans="5:18">
      <c r="E738" t="str">
        <f>_xlfn.XLOOKUP(B738,MacReports!B:B,MacReports!E:E,"")</f>
        <v/>
      </c>
      <c r="L738" t="str">
        <f t="shared" si="26"/>
        <v/>
      </c>
      <c r="R738" s="13" t="str">
        <f>IF(MacReports!M738="Remote Lock","Remote Locked","")</f>
        <v/>
      </c>
    </row>
    <row r="739" spans="5:18">
      <c r="E739" t="str">
        <f>_xlfn.XLOOKUP(B739,MacReports!B:B,MacReports!E:E,"")</f>
        <v/>
      </c>
      <c r="L739" t="str">
        <f t="shared" si="26"/>
        <v/>
      </c>
      <c r="R739" s="13" t="str">
        <f>IF(MacReports!M739="Remote Lock","Remote Locked","")</f>
        <v/>
      </c>
    </row>
    <row r="740" spans="5:18">
      <c r="E740" t="str">
        <f>_xlfn.XLOOKUP(B740,MacReports!B:B,MacReports!E:E,"")</f>
        <v/>
      </c>
      <c r="L740" t="str">
        <f t="shared" si="26"/>
        <v/>
      </c>
      <c r="R740" s="13" t="str">
        <f>IF(MacReports!M740="Remote Lock","Remote Locked","")</f>
        <v/>
      </c>
    </row>
    <row r="741" spans="5:18">
      <c r="E741" t="str">
        <f>_xlfn.XLOOKUP(B741,MacReports!B:B,MacReports!E:E,"")</f>
        <v/>
      </c>
      <c r="L741" t="str">
        <f t="shared" si="26"/>
        <v/>
      </c>
      <c r="R741" s="13" t="str">
        <f>IF(MacReports!M741="Remote Lock","Remote Locked","")</f>
        <v/>
      </c>
    </row>
    <row r="742" spans="5:18">
      <c r="E742" t="str">
        <f>_xlfn.XLOOKUP(B742,MacReports!B:B,MacReports!E:E,"")</f>
        <v/>
      </c>
      <c r="L742" t="str">
        <f t="shared" si="26"/>
        <v/>
      </c>
      <c r="R742" s="13" t="str">
        <f>IF(MacReports!M742="Remote Lock","Remote Locked","")</f>
        <v/>
      </c>
    </row>
    <row r="743" spans="5:18">
      <c r="E743" t="str">
        <f>_xlfn.XLOOKUP(B743,MacReports!B:B,MacReports!E:E,"")</f>
        <v/>
      </c>
      <c r="L743" t="str">
        <f t="shared" si="26"/>
        <v/>
      </c>
      <c r="R743" s="13" t="str">
        <f>IF(MacReports!M743="Remote Lock","Remote Locked","")</f>
        <v/>
      </c>
    </row>
    <row r="744" spans="5:18">
      <c r="E744" t="str">
        <f>_xlfn.XLOOKUP(B744,MacReports!B:B,MacReports!E:E,"")</f>
        <v/>
      </c>
      <c r="L744" t="str">
        <f t="shared" si="26"/>
        <v/>
      </c>
      <c r="R744" s="13" t="str">
        <f>IF(MacReports!M744="Remote Lock","Remote Locked","")</f>
        <v/>
      </c>
    </row>
    <row r="745" spans="5:18">
      <c r="E745" t="str">
        <f>_xlfn.XLOOKUP(B745,MacReports!B:B,MacReports!E:E,"")</f>
        <v/>
      </c>
      <c r="L745" t="str">
        <f t="shared" si="26"/>
        <v/>
      </c>
      <c r="R745" s="13" t="str">
        <f>IF(MacReports!M745="Remote Lock","Remote Locked","")</f>
        <v/>
      </c>
    </row>
    <row r="746" spans="5:18">
      <c r="E746" t="str">
        <f>_xlfn.XLOOKUP(B746,MacReports!B:B,MacReports!E:E,"")</f>
        <v/>
      </c>
      <c r="L746" t="str">
        <f t="shared" si="26"/>
        <v/>
      </c>
      <c r="R746" s="13" t="str">
        <f>IF(MacReports!M746="Remote Lock","Remote Locked","")</f>
        <v/>
      </c>
    </row>
    <row r="747" spans="5:18">
      <c r="E747" t="str">
        <f>_xlfn.XLOOKUP(B747,MacReports!B:B,MacReports!E:E,"")</f>
        <v/>
      </c>
      <c r="L747" t="str">
        <f t="shared" si="26"/>
        <v/>
      </c>
      <c r="R747" s="13" t="str">
        <f>IF(MacReports!M747="Remote Lock","Remote Locked","")</f>
        <v/>
      </c>
    </row>
    <row r="748" spans="5:18">
      <c r="E748" t="str">
        <f>_xlfn.XLOOKUP(B748,MacReports!B:B,MacReports!E:E,"")</f>
        <v/>
      </c>
      <c r="L748" t="str">
        <f t="shared" si="26"/>
        <v/>
      </c>
      <c r="R748" s="13" t="str">
        <f>IF(MacReports!M748="Remote Lock","Remote Locked","")</f>
        <v/>
      </c>
    </row>
    <row r="749" spans="5:18">
      <c r="E749" t="str">
        <f>_xlfn.XLOOKUP(B749,MacReports!B:B,MacReports!E:E,"")</f>
        <v/>
      </c>
      <c r="L749" t="str">
        <f t="shared" si="26"/>
        <v/>
      </c>
      <c r="R749" s="13" t="str">
        <f>IF(MacReports!M749="Remote Lock","Remote Locked","")</f>
        <v/>
      </c>
    </row>
    <row r="750" spans="5:18">
      <c r="E750" t="str">
        <f>_xlfn.XLOOKUP(B750,MacReports!B:B,MacReports!E:E,"")</f>
        <v/>
      </c>
      <c r="L750" t="str">
        <f t="shared" si="26"/>
        <v/>
      </c>
      <c r="R750" s="13" t="str">
        <f>IF(MacReports!M750="Remote Lock","Remote Locked","")</f>
        <v/>
      </c>
    </row>
    <row r="751" spans="5:18">
      <c r="E751" t="str">
        <f>_xlfn.XLOOKUP(B751,MacReports!B:B,MacReports!E:E,"")</f>
        <v/>
      </c>
      <c r="L751" t="str">
        <f t="shared" si="26"/>
        <v/>
      </c>
      <c r="R751" s="13" t="str">
        <f>IF(MacReports!M751="Remote Lock","Remote Locked","")</f>
        <v/>
      </c>
    </row>
    <row r="752" spans="5:18">
      <c r="E752" t="str">
        <f>_xlfn.XLOOKUP(B752,MacReports!B:B,MacReports!E:E,"")</f>
        <v/>
      </c>
      <c r="L752" t="str">
        <f t="shared" si="26"/>
        <v/>
      </c>
      <c r="R752" s="13" t="str">
        <f>IF(MacReports!M752="Remote Lock","Remote Locked","")</f>
        <v/>
      </c>
    </row>
    <row r="753" spans="5:18">
      <c r="E753" t="str">
        <f>_xlfn.XLOOKUP(B753,MacReports!B:B,MacReports!E:E,"")</f>
        <v/>
      </c>
      <c r="L753" t="str">
        <f t="shared" si="26"/>
        <v/>
      </c>
      <c r="R753" s="13" t="str">
        <f>IF(MacReports!M753="Remote Lock","Remote Locked","")</f>
        <v/>
      </c>
    </row>
    <row r="754" spans="5:18">
      <c r="E754" t="str">
        <f>_xlfn.XLOOKUP(B754,MacReports!B:B,MacReports!E:E,"")</f>
        <v/>
      </c>
      <c r="L754" t="str">
        <f t="shared" si="26"/>
        <v/>
      </c>
      <c r="R754" s="13" t="str">
        <f>IF(MacReports!M754="Remote Lock","Remote Locked","")</f>
        <v/>
      </c>
    </row>
    <row r="755" spans="5:18">
      <c r="E755" t="str">
        <f>_xlfn.XLOOKUP(B755,MacReports!B:B,MacReports!E:E,"")</f>
        <v/>
      </c>
      <c r="L755" t="str">
        <f t="shared" si="26"/>
        <v/>
      </c>
      <c r="R755" s="13" t="str">
        <f>IF(MacReports!M755="Remote Lock","Remote Locked","")</f>
        <v/>
      </c>
    </row>
    <row r="756" spans="5:18">
      <c r="E756" t="str">
        <f>_xlfn.XLOOKUP(B756,MacReports!B:B,MacReports!E:E,"")</f>
        <v/>
      </c>
      <c r="L756" t="str">
        <f t="shared" si="26"/>
        <v/>
      </c>
      <c r="R756" s="13" t="str">
        <f>IF(MacReports!M756="Remote Lock","Remote Locked","")</f>
        <v/>
      </c>
    </row>
    <row r="757" spans="5:18">
      <c r="E757" t="str">
        <f>_xlfn.XLOOKUP(B757,MacReports!B:B,MacReports!E:E,"")</f>
        <v/>
      </c>
      <c r="L757" t="str">
        <f t="shared" si="26"/>
        <v/>
      </c>
      <c r="R757" s="13" t="str">
        <f>IF(MacReports!M757="Remote Lock","Remote Locked","")</f>
        <v/>
      </c>
    </row>
    <row r="758" spans="5:18">
      <c r="E758" t="str">
        <f>_xlfn.XLOOKUP(B758,MacReports!B:B,MacReports!E:E,"")</f>
        <v/>
      </c>
      <c r="L758" t="str">
        <f t="shared" si="26"/>
        <v/>
      </c>
      <c r="R758" s="13" t="str">
        <f>IF(MacReports!M758="Remote Lock","Remote Locked","")</f>
        <v/>
      </c>
    </row>
    <row r="759" spans="5:18">
      <c r="E759" t="str">
        <f>_xlfn.XLOOKUP(B759,MacReports!B:B,MacReports!E:E,"")</f>
        <v/>
      </c>
      <c r="L759" t="str">
        <f t="shared" si="26"/>
        <v/>
      </c>
      <c r="R759" s="13" t="str">
        <f>IF(MacReports!M759="Remote Lock","Remote Locked","")</f>
        <v/>
      </c>
    </row>
    <row r="760" spans="5:18">
      <c r="E760" t="str">
        <f>_xlfn.XLOOKUP(B760,MacReports!B:B,MacReports!E:E,"")</f>
        <v/>
      </c>
      <c r="L760" t="str">
        <f t="shared" si="26"/>
        <v/>
      </c>
      <c r="R760" s="13" t="str">
        <f>IF(MacReports!M760="Remote Lock","Remote Locked","")</f>
        <v/>
      </c>
    </row>
    <row r="761" spans="5:18">
      <c r="E761" t="str">
        <f>_xlfn.XLOOKUP(B761,MacReports!B:B,MacReports!E:E,"")</f>
        <v/>
      </c>
      <c r="L761" t="str">
        <f t="shared" si="26"/>
        <v/>
      </c>
      <c r="R761" s="13" t="str">
        <f>IF(MacReports!M761="Remote Lock","Remote Locked","")</f>
        <v/>
      </c>
    </row>
    <row r="762" spans="5:18">
      <c r="E762" t="str">
        <f>_xlfn.XLOOKUP(B762,MacReports!B:B,MacReports!E:E,"")</f>
        <v/>
      </c>
      <c r="L762" t="str">
        <f t="shared" si="26"/>
        <v/>
      </c>
      <c r="R762" s="13" t="str">
        <f>IF(MacReports!M762="Remote Lock","Remote Locked","")</f>
        <v/>
      </c>
    </row>
    <row r="763" spans="5:18">
      <c r="E763" t="str">
        <f>_xlfn.XLOOKUP(B763,MacReports!B:B,MacReports!E:E,"")</f>
        <v/>
      </c>
      <c r="L763" t="str">
        <f t="shared" si="26"/>
        <v/>
      </c>
      <c r="R763" s="13" t="str">
        <f>IF(MacReports!M763="Remote Lock","Remote Locked","")</f>
        <v/>
      </c>
    </row>
    <row r="764" spans="5:18">
      <c r="E764" t="str">
        <f>_xlfn.XLOOKUP(B764,MacReports!B:B,MacReports!E:E,"")</f>
        <v/>
      </c>
      <c r="L764" t="str">
        <f t="shared" si="26"/>
        <v/>
      </c>
      <c r="R764" s="13" t="str">
        <f>IF(MacReports!M764="Remote Lock","Remote Locked","")</f>
        <v/>
      </c>
    </row>
    <row r="765" spans="5:18">
      <c r="E765" t="str">
        <f>_xlfn.XLOOKUP(B765,MacReports!B:B,MacReports!E:E,"")</f>
        <v/>
      </c>
      <c r="L765" t="str">
        <f t="shared" si="26"/>
        <v/>
      </c>
      <c r="R765" s="13" t="str">
        <f>IF(MacReports!M765="Remote Lock","Remote Locked","")</f>
        <v/>
      </c>
    </row>
    <row r="766" spans="5:18">
      <c r="E766" t="str">
        <f>_xlfn.XLOOKUP(B766,MacReports!B:B,MacReports!E:E,"")</f>
        <v/>
      </c>
      <c r="L766" t="str">
        <f t="shared" si="26"/>
        <v/>
      </c>
      <c r="R766" s="13" t="str">
        <f>IF(MacReports!M766="Remote Lock","Remote Locked","")</f>
        <v/>
      </c>
    </row>
    <row r="767" spans="5:18">
      <c r="E767" t="str">
        <f>_xlfn.XLOOKUP(B767,MacReports!B:B,MacReports!E:E,"")</f>
        <v/>
      </c>
      <c r="L767" t="str">
        <f t="shared" si="26"/>
        <v/>
      </c>
      <c r="R767" s="13" t="str">
        <f>IF(MacReports!M767="Remote Lock","Remote Locked","")</f>
        <v/>
      </c>
    </row>
    <row r="768" spans="5:18">
      <c r="E768" t="str">
        <f>_xlfn.XLOOKUP(B768,MacReports!B:B,MacReports!E:E,"")</f>
        <v/>
      </c>
      <c r="L768" t="str">
        <f t="shared" si="26"/>
        <v/>
      </c>
      <c r="R768" s="13" t="str">
        <f>IF(MacReports!M768="Remote Lock","Remote Locked","")</f>
        <v/>
      </c>
    </row>
    <row r="769" spans="5:18">
      <c r="E769" t="str">
        <f>_xlfn.XLOOKUP(B769,MacReports!B:B,MacReports!E:E,"")</f>
        <v/>
      </c>
      <c r="L769" t="str">
        <f t="shared" si="26"/>
        <v/>
      </c>
      <c r="R769" s="13" t="str">
        <f>IF(MacReports!M769="Remote Lock","Remote Locked","")</f>
        <v/>
      </c>
    </row>
    <row r="770" spans="5:18">
      <c r="E770" t="str">
        <f>_xlfn.XLOOKUP(B770,MacReports!B:B,MacReports!E:E,"")</f>
        <v/>
      </c>
      <c r="L770" t="str">
        <f t="shared" si="26"/>
        <v/>
      </c>
      <c r="R770" s="13" t="str">
        <f>IF(MacReports!M770="Remote Lock","Remote Locked","")</f>
        <v/>
      </c>
    </row>
    <row r="771" spans="5:18">
      <c r="E771" t="str">
        <f>_xlfn.XLOOKUP(B771,MacReports!B:B,MacReports!E:E,"")</f>
        <v/>
      </c>
      <c r="L771" t="str">
        <f t="shared" ref="L771:L834" si="27">IFERROR(LEFT(K771,FIND(" ",K771)-1)&amp;" GB DDR"&amp;MID(K771,FIND("DDR",K771)+3,1), K771&amp;"")</f>
        <v/>
      </c>
      <c r="R771" s="13" t="str">
        <f>IF(MacReports!M771="Remote Lock","Remote Locked","")</f>
        <v/>
      </c>
    </row>
    <row r="772" spans="5:18">
      <c r="E772" t="str">
        <f>_xlfn.XLOOKUP(B772,MacReports!B:B,MacReports!E:E,"")</f>
        <v/>
      </c>
      <c r="L772" t="str">
        <f t="shared" si="27"/>
        <v/>
      </c>
      <c r="R772" s="13" t="str">
        <f>IF(MacReports!M772="Remote Lock","Remote Locked","")</f>
        <v/>
      </c>
    </row>
    <row r="773" spans="5:18">
      <c r="E773" t="str">
        <f>_xlfn.XLOOKUP(B773,MacReports!B:B,MacReports!E:E,"")</f>
        <v/>
      </c>
      <c r="L773" t="str">
        <f t="shared" si="27"/>
        <v/>
      </c>
      <c r="R773" s="13" t="str">
        <f>IF(MacReports!M773="Remote Lock","Remote Locked","")</f>
        <v/>
      </c>
    </row>
    <row r="774" spans="5:18">
      <c r="E774" t="str">
        <f>_xlfn.XLOOKUP(B774,MacReports!B:B,MacReports!E:E,"")</f>
        <v/>
      </c>
      <c r="L774" t="str">
        <f t="shared" si="27"/>
        <v/>
      </c>
      <c r="R774" s="13" t="str">
        <f>IF(MacReports!M774="Remote Lock","Remote Locked","")</f>
        <v/>
      </c>
    </row>
    <row r="775" spans="5:18">
      <c r="E775">
        <f>_xlfn.XLOOKUP(B775,MacReports!B:B,MacReports!E:E,"")</f>
        <v>0</v>
      </c>
      <c r="L775" t="str">
        <f t="shared" si="27"/>
        <v/>
      </c>
      <c r="R775" s="13" t="str">
        <f>IF(MacReports!M775="Remote Lock","Remote Locked","")</f>
        <v/>
      </c>
    </row>
    <row r="776" spans="5:18">
      <c r="E776" t="str">
        <f>_xlfn.XLOOKUP(B776,MacReports!B:B,MacReports!E:E,"")</f>
        <v/>
      </c>
      <c r="L776" t="str">
        <f t="shared" si="27"/>
        <v/>
      </c>
      <c r="R776" s="13" t="str">
        <f>IF(MacReports!M776="Remote Lock","Remote Locked","")</f>
        <v/>
      </c>
    </row>
    <row r="777" spans="5:18">
      <c r="E777" t="str">
        <f>_xlfn.XLOOKUP(B777,MacReports!B:B,MacReports!E:E,"")</f>
        <v/>
      </c>
      <c r="L777" t="str">
        <f t="shared" si="27"/>
        <v/>
      </c>
      <c r="R777" s="13" t="str">
        <f>IF(MacReports!M777="Remote Lock","Remote Locked","")</f>
        <v/>
      </c>
    </row>
    <row r="778" spans="5:18">
      <c r="E778" t="str">
        <f>_xlfn.XLOOKUP(B778,MacReports!B:B,MacReports!E:E,"")</f>
        <v/>
      </c>
      <c r="L778" t="str">
        <f t="shared" si="27"/>
        <v/>
      </c>
      <c r="R778" s="13" t="str">
        <f>IF(MacReports!M778="Remote Lock","Remote Locked","")</f>
        <v/>
      </c>
    </row>
    <row r="779" spans="5:18">
      <c r="E779" t="str">
        <f>_xlfn.XLOOKUP(B779,MacReports!B:B,MacReports!E:E,"")</f>
        <v/>
      </c>
      <c r="L779" t="str">
        <f t="shared" si="27"/>
        <v/>
      </c>
      <c r="R779" s="13" t="str">
        <f>IF(MacReports!M779="Remote Lock","Remote Locked","")</f>
        <v/>
      </c>
    </row>
    <row r="780" spans="5:18">
      <c r="E780" t="str">
        <f>_xlfn.XLOOKUP(B780,MacReports!B:B,MacReports!E:E,"")</f>
        <v/>
      </c>
      <c r="L780" t="str">
        <f t="shared" si="27"/>
        <v/>
      </c>
      <c r="R780" s="13" t="str">
        <f>IF(MacReports!M780="Remote Lock","Remote Locked","")</f>
        <v/>
      </c>
    </row>
    <row r="781" spans="5:18">
      <c r="E781" t="str">
        <f>_xlfn.XLOOKUP(B781,MacReports!B:B,MacReports!E:E,"")</f>
        <v/>
      </c>
      <c r="L781" t="str">
        <f t="shared" si="27"/>
        <v/>
      </c>
      <c r="R781" s="13" t="str">
        <f>IF(MacReports!M781="Remote Lock","Remote Locked","")</f>
        <v/>
      </c>
    </row>
    <row r="782" spans="5:18">
      <c r="E782" t="str">
        <f>_xlfn.XLOOKUP(B782,MacReports!B:B,MacReports!E:E,"")</f>
        <v/>
      </c>
      <c r="L782" t="str">
        <f t="shared" si="27"/>
        <v/>
      </c>
      <c r="R782" s="13" t="str">
        <f>IF(MacReports!M782="Remote Lock","Remote Locked","")</f>
        <v/>
      </c>
    </row>
    <row r="783" spans="5:18">
      <c r="E783" t="str">
        <f>_xlfn.XLOOKUP(B783,MacReports!B:B,MacReports!E:E,"")</f>
        <v/>
      </c>
      <c r="L783" t="str">
        <f t="shared" si="27"/>
        <v/>
      </c>
      <c r="R783" s="13" t="str">
        <f>IF(MacReports!M783="Remote Lock","Remote Locked","")</f>
        <v/>
      </c>
    </row>
    <row r="784" spans="5:18">
      <c r="E784" t="str">
        <f>_xlfn.XLOOKUP(B784,MacReports!B:B,MacReports!E:E,"")</f>
        <v/>
      </c>
      <c r="L784" t="str">
        <f t="shared" si="27"/>
        <v/>
      </c>
      <c r="R784" s="13" t="str">
        <f>IF(MacReports!M784="Remote Lock","Remote Locked","")</f>
        <v/>
      </c>
    </row>
    <row r="785" spans="5:18">
      <c r="E785" t="str">
        <f>_xlfn.XLOOKUP(B785,MacReports!B:B,MacReports!E:E,"")</f>
        <v/>
      </c>
      <c r="L785" t="str">
        <f t="shared" si="27"/>
        <v/>
      </c>
      <c r="R785" s="13" t="str">
        <f>IF(MacReports!M785="Remote Lock","Remote Locked","")</f>
        <v/>
      </c>
    </row>
    <row r="786" spans="5:18">
      <c r="E786" t="str">
        <f>_xlfn.XLOOKUP(B786,MacReports!B:B,MacReports!E:E,"")</f>
        <v/>
      </c>
      <c r="L786" t="str">
        <f t="shared" si="27"/>
        <v/>
      </c>
      <c r="R786" s="13" t="str">
        <f>IF(MacReports!M786="Remote Lock","Remote Locked","")</f>
        <v/>
      </c>
    </row>
    <row r="787" spans="5:18">
      <c r="E787" t="str">
        <f>_xlfn.XLOOKUP(B787,MacReports!B:B,MacReports!E:E,"")</f>
        <v/>
      </c>
      <c r="L787" t="str">
        <f t="shared" si="27"/>
        <v/>
      </c>
      <c r="R787" s="13" t="str">
        <f>IF(MacReports!M787="Remote Lock","Remote Locked","")</f>
        <v/>
      </c>
    </row>
    <row r="788" spans="5:18">
      <c r="E788">
        <f>_xlfn.XLOOKUP(B788,MacReports!B:B,MacReports!E:E,"")</f>
        <v>0</v>
      </c>
      <c r="L788" t="str">
        <f t="shared" si="27"/>
        <v/>
      </c>
      <c r="R788" s="13" t="str">
        <f>IF(MacReports!M788="Remote Lock","Remote Locked","")</f>
        <v/>
      </c>
    </row>
    <row r="789" spans="5:18">
      <c r="E789" t="str">
        <f>_xlfn.XLOOKUP(B789,MacReports!B:B,MacReports!E:E,"")</f>
        <v/>
      </c>
      <c r="L789" t="str">
        <f t="shared" si="27"/>
        <v/>
      </c>
      <c r="R789" s="13" t="str">
        <f>IF(MacReports!M789="Remote Lock","Remote Locked","")</f>
        <v/>
      </c>
    </row>
    <row r="790" spans="5:18">
      <c r="E790" t="str">
        <f>_xlfn.XLOOKUP(B790,MacReports!B:B,MacReports!E:E,"")</f>
        <v/>
      </c>
      <c r="L790" t="str">
        <f t="shared" si="27"/>
        <v/>
      </c>
      <c r="R790" s="13" t="str">
        <f>IF(MacReports!M790="Remote Lock","Remote Locked","")</f>
        <v/>
      </c>
    </row>
    <row r="791" spans="5:18">
      <c r="E791" t="str">
        <f>_xlfn.XLOOKUP(B791,MacReports!B:B,MacReports!E:E,"")</f>
        <v/>
      </c>
      <c r="L791" t="str">
        <f t="shared" si="27"/>
        <v/>
      </c>
      <c r="R791" s="13" t="str">
        <f>IF(MacReports!M791="Remote Lock","Remote Locked","")</f>
        <v/>
      </c>
    </row>
    <row r="792" spans="5:18">
      <c r="E792" t="str">
        <f>_xlfn.XLOOKUP(B792,MacReports!B:B,MacReports!E:E,"")</f>
        <v/>
      </c>
      <c r="L792" t="str">
        <f t="shared" si="27"/>
        <v/>
      </c>
      <c r="R792" s="13" t="str">
        <f>IF(MacReports!M792="Remote Lock","Remote Locked","")</f>
        <v/>
      </c>
    </row>
    <row r="793" spans="5:18">
      <c r="E793" t="str">
        <f>_xlfn.XLOOKUP(B793,MacReports!B:B,MacReports!E:E,"")</f>
        <v/>
      </c>
      <c r="L793" t="str">
        <f t="shared" si="27"/>
        <v/>
      </c>
      <c r="R793" s="13" t="str">
        <f>IF(MacReports!M793="Remote Lock","Remote Locked","")</f>
        <v/>
      </c>
    </row>
    <row r="794" spans="5:18">
      <c r="E794" t="str">
        <f>_xlfn.XLOOKUP(B794,MacReports!B:B,MacReports!E:E,"")</f>
        <v/>
      </c>
      <c r="L794" t="str">
        <f t="shared" si="27"/>
        <v/>
      </c>
      <c r="R794" s="13" t="str">
        <f>IF(MacReports!M794="Remote Lock","Remote Locked","")</f>
        <v/>
      </c>
    </row>
    <row r="795" spans="5:18">
      <c r="E795" t="str">
        <f>_xlfn.XLOOKUP(B795,MacReports!B:B,MacReports!E:E,"")</f>
        <v/>
      </c>
      <c r="L795" t="str">
        <f t="shared" si="27"/>
        <v/>
      </c>
      <c r="R795" s="13" t="str">
        <f>IF(MacReports!M795="Remote Lock","Remote Locked","")</f>
        <v/>
      </c>
    </row>
    <row r="796" spans="5:18">
      <c r="E796" t="str">
        <f>_xlfn.XLOOKUP(B796,MacReports!B:B,MacReports!E:E,"")</f>
        <v/>
      </c>
      <c r="L796" t="str">
        <f t="shared" si="27"/>
        <v/>
      </c>
      <c r="R796" s="13" t="str">
        <f>IF(MacReports!M796="Remote Lock","Remote Locked","")</f>
        <v/>
      </c>
    </row>
    <row r="797" spans="5:18">
      <c r="E797" t="str">
        <f>_xlfn.XLOOKUP(B797,MacReports!B:B,MacReports!E:E,"")</f>
        <v/>
      </c>
      <c r="L797" t="str">
        <f t="shared" si="27"/>
        <v/>
      </c>
      <c r="R797" s="13" t="str">
        <f>IF(MacReports!M797="Remote Lock","Remote Locked","")</f>
        <v/>
      </c>
    </row>
    <row r="798" spans="5:18">
      <c r="E798" t="str">
        <f>_xlfn.XLOOKUP(B798,MacReports!B:B,MacReports!E:E,"")</f>
        <v/>
      </c>
      <c r="L798" t="str">
        <f t="shared" si="27"/>
        <v/>
      </c>
      <c r="R798" s="13" t="str">
        <f>IF(MacReports!M798="Remote Lock","Remote Locked","")</f>
        <v/>
      </c>
    </row>
    <row r="799" spans="5:18">
      <c r="E799" t="str">
        <f>_xlfn.XLOOKUP(B799,MacReports!B:B,MacReports!E:E,"")</f>
        <v/>
      </c>
      <c r="L799" t="str">
        <f t="shared" si="27"/>
        <v/>
      </c>
      <c r="R799" s="13" t="str">
        <f>IF(MacReports!M799="Remote Lock","Remote Locked","")</f>
        <v/>
      </c>
    </row>
    <row r="800" spans="5:18">
      <c r="E800" t="str">
        <f>_xlfn.XLOOKUP(B800,MacReports!B:B,MacReports!E:E,"")</f>
        <v/>
      </c>
      <c r="L800" t="str">
        <f t="shared" si="27"/>
        <v/>
      </c>
      <c r="R800" s="13" t="str">
        <f>IF(MacReports!M800="Remote Lock","Remote Locked","")</f>
        <v/>
      </c>
    </row>
    <row r="801" spans="5:18">
      <c r="E801" t="str">
        <f>_xlfn.XLOOKUP(B801,MacReports!B:B,MacReports!E:E,"")</f>
        <v/>
      </c>
      <c r="L801" t="str">
        <f t="shared" si="27"/>
        <v/>
      </c>
      <c r="R801" s="13" t="str">
        <f>IF(MacReports!M801="Remote Lock","Remote Locked","")</f>
        <v/>
      </c>
    </row>
    <row r="802" spans="5:18">
      <c r="E802" t="str">
        <f>_xlfn.XLOOKUP(B802,MacReports!B:B,MacReports!E:E,"")</f>
        <v/>
      </c>
      <c r="L802" t="str">
        <f t="shared" si="27"/>
        <v/>
      </c>
      <c r="R802" s="13" t="str">
        <f>IF(MacReports!M802="Remote Lock","Remote Locked","")</f>
        <v/>
      </c>
    </row>
    <row r="803" spans="5:18">
      <c r="E803" t="str">
        <f>_xlfn.XLOOKUP(B803,MacReports!B:B,MacReports!E:E,"")</f>
        <v/>
      </c>
      <c r="L803" t="str">
        <f t="shared" si="27"/>
        <v/>
      </c>
      <c r="R803" s="13" t="str">
        <f>IF(MacReports!M803="Remote Lock","Remote Locked","")</f>
        <v/>
      </c>
    </row>
    <row r="804" spans="5:18">
      <c r="E804" t="str">
        <f>_xlfn.XLOOKUP(B804,MacReports!B:B,MacReports!E:E,"")</f>
        <v/>
      </c>
      <c r="L804" t="str">
        <f t="shared" si="27"/>
        <v/>
      </c>
      <c r="R804" s="13" t="str">
        <f>IF(MacReports!M804="Remote Lock","Remote Locked","")</f>
        <v/>
      </c>
    </row>
    <row r="805" spans="5:18">
      <c r="E805" t="str">
        <f>_xlfn.XLOOKUP(B805,MacReports!B:B,MacReports!E:E,"")</f>
        <v/>
      </c>
      <c r="L805" t="str">
        <f t="shared" si="27"/>
        <v/>
      </c>
    </row>
    <row r="806" spans="5:18">
      <c r="E806" t="str">
        <f>_xlfn.XLOOKUP(B806,MacReports!B:B,MacReports!E:E,"")</f>
        <v/>
      </c>
      <c r="L806" t="str">
        <f t="shared" si="27"/>
        <v/>
      </c>
    </row>
    <row r="807" spans="5:18">
      <c r="E807" t="str">
        <f>_xlfn.XLOOKUP(B807,MacReports!B:B,MacReports!E:E,"")</f>
        <v/>
      </c>
      <c r="L807" t="str">
        <f t="shared" si="27"/>
        <v/>
      </c>
    </row>
    <row r="808" spans="5:18">
      <c r="E808" t="str">
        <f>_xlfn.XLOOKUP(B808,MacReports!B:B,MacReports!E:E,"")</f>
        <v/>
      </c>
      <c r="L808" t="str">
        <f t="shared" si="27"/>
        <v/>
      </c>
    </row>
    <row r="809" spans="5:18">
      <c r="E809" t="str">
        <f>_xlfn.XLOOKUP(B809,MacReports!B:B,MacReports!E:E,"")</f>
        <v/>
      </c>
      <c r="L809" t="str">
        <f t="shared" si="27"/>
        <v/>
      </c>
    </row>
    <row r="810" spans="5:18">
      <c r="E810" t="str">
        <f>_xlfn.XLOOKUP(B810,MacReports!B:B,MacReports!E:E,"")</f>
        <v/>
      </c>
      <c r="L810" t="str">
        <f t="shared" si="27"/>
        <v/>
      </c>
    </row>
    <row r="811" spans="5:18">
      <c r="E811">
        <f>_xlfn.XLOOKUP(B811,MacReports!B:B,MacReports!E:E,"")</f>
        <v>0</v>
      </c>
      <c r="L811" t="str">
        <f t="shared" si="27"/>
        <v/>
      </c>
    </row>
    <row r="812" spans="5:18">
      <c r="E812" t="str">
        <f>_xlfn.XLOOKUP(B812,MacReports!B:B,MacReports!E:E,"")</f>
        <v/>
      </c>
      <c r="L812" t="str">
        <f t="shared" si="27"/>
        <v/>
      </c>
    </row>
    <row r="813" spans="5:18">
      <c r="L813" t="str">
        <f t="shared" si="27"/>
        <v/>
      </c>
    </row>
    <row r="814" spans="5:18">
      <c r="L814" t="str">
        <f t="shared" si="27"/>
        <v/>
      </c>
    </row>
    <row r="815" spans="5:18">
      <c r="L815" t="str">
        <f t="shared" si="27"/>
        <v/>
      </c>
    </row>
    <row r="816" spans="5:18">
      <c r="L816" t="str">
        <f t="shared" si="27"/>
        <v/>
      </c>
    </row>
    <row r="817" spans="12:12">
      <c r="L817" t="str">
        <f t="shared" si="27"/>
        <v/>
      </c>
    </row>
    <row r="818" spans="12:12">
      <c r="L818" t="str">
        <f t="shared" si="27"/>
        <v/>
      </c>
    </row>
    <row r="819" spans="12:12">
      <c r="L819" t="str">
        <f t="shared" si="27"/>
        <v/>
      </c>
    </row>
    <row r="820" spans="12:12">
      <c r="L820" t="str">
        <f t="shared" si="27"/>
        <v/>
      </c>
    </row>
    <row r="821" spans="12:12">
      <c r="L821" t="str">
        <f t="shared" si="27"/>
        <v/>
      </c>
    </row>
    <row r="822" spans="12:12">
      <c r="L822" t="str">
        <f t="shared" si="27"/>
        <v/>
      </c>
    </row>
    <row r="823" spans="12:12">
      <c r="L823" t="str">
        <f t="shared" si="27"/>
        <v/>
      </c>
    </row>
    <row r="824" spans="12:12">
      <c r="L824" t="str">
        <f t="shared" si="27"/>
        <v/>
      </c>
    </row>
    <row r="825" spans="12:12">
      <c r="L825" t="str">
        <f t="shared" si="27"/>
        <v/>
      </c>
    </row>
    <row r="826" spans="12:12">
      <c r="L826" t="str">
        <f t="shared" si="27"/>
        <v/>
      </c>
    </row>
    <row r="827" spans="12:12">
      <c r="L827" t="str">
        <f t="shared" si="27"/>
        <v/>
      </c>
    </row>
    <row r="828" spans="12:12">
      <c r="L828" t="str">
        <f t="shared" si="27"/>
        <v/>
      </c>
    </row>
    <row r="829" spans="12:12">
      <c r="L829" t="str">
        <f t="shared" si="27"/>
        <v/>
      </c>
    </row>
    <row r="830" spans="12:12">
      <c r="L830" t="str">
        <f t="shared" si="27"/>
        <v/>
      </c>
    </row>
    <row r="831" spans="12:12">
      <c r="L831" t="str">
        <f t="shared" si="27"/>
        <v/>
      </c>
    </row>
    <row r="832" spans="12:12">
      <c r="L832" t="str">
        <f t="shared" si="27"/>
        <v/>
      </c>
    </row>
    <row r="833" spans="12:12">
      <c r="L833" t="str">
        <f t="shared" si="27"/>
        <v/>
      </c>
    </row>
    <row r="834" spans="12:12">
      <c r="L834" t="str">
        <f t="shared" si="27"/>
        <v/>
      </c>
    </row>
    <row r="835" spans="12:12">
      <c r="L835" t="str">
        <f t="shared" ref="L835:L898" si="28">IFERROR(LEFT(K835,FIND(" ",K835)-1)&amp;" GB DDR"&amp;MID(K835,FIND("DDR",K835)+3,1), K835&amp;"")</f>
        <v/>
      </c>
    </row>
    <row r="836" spans="12:12">
      <c r="L836" t="str">
        <f t="shared" si="28"/>
        <v/>
      </c>
    </row>
    <row r="837" spans="12:12">
      <c r="L837" t="str">
        <f t="shared" si="28"/>
        <v/>
      </c>
    </row>
    <row r="838" spans="12:12">
      <c r="L838" t="str">
        <f t="shared" si="28"/>
        <v/>
      </c>
    </row>
    <row r="839" spans="12:12">
      <c r="L839" t="str">
        <f t="shared" si="28"/>
        <v/>
      </c>
    </row>
    <row r="840" spans="12:12">
      <c r="L840" t="str">
        <f t="shared" si="28"/>
        <v/>
      </c>
    </row>
    <row r="841" spans="12:12">
      <c r="L841" t="str">
        <f t="shared" si="28"/>
        <v/>
      </c>
    </row>
    <row r="842" spans="12:12">
      <c r="L842" t="str">
        <f t="shared" si="28"/>
        <v/>
      </c>
    </row>
    <row r="843" spans="12:12">
      <c r="L843" t="str">
        <f t="shared" si="28"/>
        <v/>
      </c>
    </row>
    <row r="844" spans="12:12">
      <c r="L844" t="str">
        <f t="shared" si="28"/>
        <v/>
      </c>
    </row>
    <row r="845" spans="12:12">
      <c r="L845" t="str">
        <f t="shared" si="28"/>
        <v/>
      </c>
    </row>
    <row r="846" spans="12:12">
      <c r="L846" t="str">
        <f t="shared" si="28"/>
        <v/>
      </c>
    </row>
    <row r="847" spans="12:12">
      <c r="L847" t="str">
        <f t="shared" si="28"/>
        <v/>
      </c>
    </row>
    <row r="848" spans="12:12">
      <c r="L848" t="str">
        <f t="shared" si="28"/>
        <v/>
      </c>
    </row>
    <row r="849" spans="12:12">
      <c r="L849" t="str">
        <f t="shared" si="28"/>
        <v/>
      </c>
    </row>
    <row r="850" spans="12:12">
      <c r="L850" t="str">
        <f t="shared" si="28"/>
        <v/>
      </c>
    </row>
    <row r="851" spans="12:12">
      <c r="L851" t="str">
        <f t="shared" si="28"/>
        <v/>
      </c>
    </row>
    <row r="852" spans="12:12">
      <c r="L852" t="str">
        <f t="shared" si="28"/>
        <v/>
      </c>
    </row>
    <row r="853" spans="12:12">
      <c r="L853" t="str">
        <f t="shared" si="28"/>
        <v/>
      </c>
    </row>
    <row r="854" spans="12:12">
      <c r="L854" t="str">
        <f t="shared" si="28"/>
        <v/>
      </c>
    </row>
    <row r="855" spans="12:12">
      <c r="L855" t="str">
        <f t="shared" si="28"/>
        <v/>
      </c>
    </row>
    <row r="856" spans="12:12">
      <c r="L856" t="str">
        <f t="shared" si="28"/>
        <v/>
      </c>
    </row>
    <row r="857" spans="12:12">
      <c r="L857" t="str">
        <f t="shared" si="28"/>
        <v/>
      </c>
    </row>
    <row r="858" spans="12:12">
      <c r="L858" t="str">
        <f t="shared" si="28"/>
        <v/>
      </c>
    </row>
    <row r="859" spans="12:12">
      <c r="L859" t="str">
        <f t="shared" si="28"/>
        <v/>
      </c>
    </row>
    <row r="860" spans="12:12">
      <c r="L860" t="str">
        <f t="shared" si="28"/>
        <v/>
      </c>
    </row>
    <row r="861" spans="12:12">
      <c r="L861" t="str">
        <f t="shared" si="28"/>
        <v/>
      </c>
    </row>
    <row r="862" spans="12:12">
      <c r="L862" t="str">
        <f t="shared" si="28"/>
        <v/>
      </c>
    </row>
    <row r="863" spans="12:12">
      <c r="L863" t="str">
        <f t="shared" si="28"/>
        <v/>
      </c>
    </row>
    <row r="864" spans="12:12">
      <c r="L864" t="str">
        <f t="shared" si="28"/>
        <v/>
      </c>
    </row>
    <row r="865" spans="12:12">
      <c r="L865" t="str">
        <f t="shared" si="28"/>
        <v/>
      </c>
    </row>
    <row r="866" spans="12:12">
      <c r="L866" t="str">
        <f t="shared" si="28"/>
        <v/>
      </c>
    </row>
    <row r="867" spans="12:12">
      <c r="L867" t="str">
        <f t="shared" si="28"/>
        <v/>
      </c>
    </row>
    <row r="868" spans="12:12">
      <c r="L868" t="str">
        <f t="shared" si="28"/>
        <v/>
      </c>
    </row>
    <row r="869" spans="12:12">
      <c r="L869" t="str">
        <f t="shared" si="28"/>
        <v/>
      </c>
    </row>
    <row r="870" spans="12:12">
      <c r="L870" t="str">
        <f t="shared" si="28"/>
        <v/>
      </c>
    </row>
    <row r="871" spans="12:12">
      <c r="L871" t="str">
        <f t="shared" si="28"/>
        <v/>
      </c>
    </row>
    <row r="872" spans="12:12">
      <c r="L872" t="str">
        <f t="shared" si="28"/>
        <v/>
      </c>
    </row>
    <row r="873" spans="12:12">
      <c r="L873" t="str">
        <f t="shared" si="28"/>
        <v/>
      </c>
    </row>
    <row r="874" spans="12:12">
      <c r="L874" t="str">
        <f t="shared" si="28"/>
        <v/>
      </c>
    </row>
    <row r="875" spans="12:12">
      <c r="L875" t="str">
        <f t="shared" si="28"/>
        <v/>
      </c>
    </row>
    <row r="876" spans="12:12">
      <c r="L876" t="str">
        <f t="shared" si="28"/>
        <v/>
      </c>
    </row>
    <row r="877" spans="12:12">
      <c r="L877" t="str">
        <f t="shared" si="28"/>
        <v/>
      </c>
    </row>
    <row r="878" spans="12:12">
      <c r="L878" t="str">
        <f t="shared" si="28"/>
        <v/>
      </c>
    </row>
    <row r="879" spans="12:12">
      <c r="L879" t="str">
        <f t="shared" si="28"/>
        <v/>
      </c>
    </row>
    <row r="880" spans="12:12">
      <c r="L880" t="str">
        <f t="shared" si="28"/>
        <v/>
      </c>
    </row>
    <row r="881" spans="12:12">
      <c r="L881" t="str">
        <f t="shared" si="28"/>
        <v/>
      </c>
    </row>
    <row r="882" spans="12:12">
      <c r="L882" t="str">
        <f t="shared" si="28"/>
        <v/>
      </c>
    </row>
    <row r="883" spans="12:12">
      <c r="L883" t="str">
        <f t="shared" si="28"/>
        <v/>
      </c>
    </row>
    <row r="884" spans="12:12">
      <c r="L884" t="str">
        <f t="shared" si="28"/>
        <v/>
      </c>
    </row>
    <row r="885" spans="12:12">
      <c r="L885" t="str">
        <f t="shared" si="28"/>
        <v/>
      </c>
    </row>
    <row r="886" spans="12:12">
      <c r="L886" t="str">
        <f t="shared" si="28"/>
        <v/>
      </c>
    </row>
    <row r="887" spans="12:12">
      <c r="L887" t="str">
        <f t="shared" si="28"/>
        <v/>
      </c>
    </row>
    <row r="888" spans="12:12">
      <c r="L888" t="str">
        <f t="shared" si="28"/>
        <v/>
      </c>
    </row>
    <row r="889" spans="12:12">
      <c r="L889" t="str">
        <f t="shared" si="28"/>
        <v/>
      </c>
    </row>
    <row r="890" spans="12:12">
      <c r="L890" t="str">
        <f t="shared" si="28"/>
        <v/>
      </c>
    </row>
    <row r="891" spans="12:12">
      <c r="L891" t="str">
        <f t="shared" si="28"/>
        <v/>
      </c>
    </row>
    <row r="892" spans="12:12">
      <c r="L892" t="str">
        <f t="shared" si="28"/>
        <v/>
      </c>
    </row>
    <row r="893" spans="12:12">
      <c r="L893" t="str">
        <f t="shared" si="28"/>
        <v/>
      </c>
    </row>
    <row r="894" spans="12:12">
      <c r="L894" t="str">
        <f t="shared" si="28"/>
        <v/>
      </c>
    </row>
    <row r="895" spans="12:12">
      <c r="L895" t="str">
        <f t="shared" si="28"/>
        <v/>
      </c>
    </row>
    <row r="896" spans="12:12">
      <c r="L896" t="str">
        <f t="shared" si="28"/>
        <v/>
      </c>
    </row>
    <row r="897" spans="12:12">
      <c r="L897" t="str">
        <f t="shared" si="28"/>
        <v/>
      </c>
    </row>
    <row r="898" spans="12:12">
      <c r="L898" t="str">
        <f t="shared" si="28"/>
        <v/>
      </c>
    </row>
    <row r="899" spans="12:12">
      <c r="L899" t="str">
        <f t="shared" ref="L899:L923" si="29">IFERROR(LEFT(K899,FIND(" ",K899)-1)&amp;" GB DDR"&amp;MID(K899,FIND("DDR",K899)+3,1), K899&amp;"")</f>
        <v/>
      </c>
    </row>
    <row r="900" spans="12:12">
      <c r="L900" t="str">
        <f t="shared" si="29"/>
        <v/>
      </c>
    </row>
    <row r="901" spans="12:12">
      <c r="L901" t="str">
        <f t="shared" si="29"/>
        <v/>
      </c>
    </row>
    <row r="902" spans="12:12">
      <c r="L902" t="str">
        <f t="shared" si="29"/>
        <v/>
      </c>
    </row>
    <row r="903" spans="12:12">
      <c r="L903" t="str">
        <f t="shared" si="29"/>
        <v/>
      </c>
    </row>
    <row r="904" spans="12:12">
      <c r="L904" t="str">
        <f t="shared" si="29"/>
        <v/>
      </c>
    </row>
    <row r="905" spans="12:12">
      <c r="L905" t="str">
        <f t="shared" si="29"/>
        <v/>
      </c>
    </row>
    <row r="906" spans="12:12">
      <c r="L906" t="str">
        <f t="shared" si="29"/>
        <v/>
      </c>
    </row>
    <row r="907" spans="12:12">
      <c r="L907" t="str">
        <f t="shared" si="29"/>
        <v/>
      </c>
    </row>
    <row r="908" spans="12:12">
      <c r="L908" t="str">
        <f t="shared" si="29"/>
        <v/>
      </c>
    </row>
    <row r="909" spans="12:12">
      <c r="L909" t="str">
        <f t="shared" si="29"/>
        <v/>
      </c>
    </row>
    <row r="910" spans="12:12">
      <c r="L910" t="str">
        <f t="shared" si="29"/>
        <v/>
      </c>
    </row>
    <row r="911" spans="12:12">
      <c r="L911" t="str">
        <f t="shared" si="29"/>
        <v/>
      </c>
    </row>
    <row r="912" spans="12:12">
      <c r="L912" t="str">
        <f t="shared" si="29"/>
        <v/>
      </c>
    </row>
    <row r="913" spans="12:12">
      <c r="L913" t="str">
        <f t="shared" si="29"/>
        <v/>
      </c>
    </row>
    <row r="914" spans="12:12">
      <c r="L914" t="str">
        <f t="shared" si="29"/>
        <v/>
      </c>
    </row>
    <row r="915" spans="12:12">
      <c r="L915" t="str">
        <f t="shared" si="29"/>
        <v/>
      </c>
    </row>
    <row r="916" spans="12:12">
      <c r="L916" t="str">
        <f t="shared" si="29"/>
        <v/>
      </c>
    </row>
    <row r="917" spans="12:12">
      <c r="L917" t="str">
        <f t="shared" si="29"/>
        <v/>
      </c>
    </row>
    <row r="918" spans="12:12">
      <c r="L918" t="str">
        <f t="shared" si="29"/>
        <v/>
      </c>
    </row>
    <row r="919" spans="12:12">
      <c r="L919" t="str">
        <f t="shared" si="29"/>
        <v/>
      </c>
    </row>
    <row r="920" spans="12:12">
      <c r="L920" t="str">
        <f t="shared" si="29"/>
        <v/>
      </c>
    </row>
    <row r="921" spans="12:12">
      <c r="L921" t="str">
        <f t="shared" si="29"/>
        <v/>
      </c>
    </row>
    <row r="922" spans="12:12">
      <c r="L922" t="str">
        <f t="shared" si="29"/>
        <v/>
      </c>
    </row>
    <row r="923" spans="12:12">
      <c r="L923" t="str">
        <f t="shared" si="2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J605"/>
  <sheetViews>
    <sheetView workbookViewId="0">
      <selection activeCell="E3" sqref="E3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  <col min="9" max="9" width="15.140625" customWidth="1"/>
  </cols>
  <sheetData>
    <row r="1" spans="1:10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10" ht="15.75" thickBot="1">
      <c r="A2" s="20" t="s">
        <v>71</v>
      </c>
      <c r="B2" s="20" t="s">
        <v>501</v>
      </c>
      <c r="C2" s="20" t="s">
        <v>42</v>
      </c>
      <c r="D2" s="21">
        <v>2019</v>
      </c>
      <c r="E2" s="22">
        <v>16</v>
      </c>
      <c r="F2" s="22">
        <v>2</v>
      </c>
      <c r="G2" s="19" t="s">
        <v>42</v>
      </c>
      <c r="H2" s="19" t="s">
        <v>42</v>
      </c>
      <c r="I2" t="s">
        <v>42</v>
      </c>
      <c r="J2">
        <v>2</v>
      </c>
    </row>
    <row r="3" spans="1:10" ht="15.75" thickBot="1">
      <c r="A3" s="5" t="s">
        <v>72</v>
      </c>
      <c r="B3" s="5" t="s">
        <v>502</v>
      </c>
      <c r="C3" s="5" t="s">
        <v>42</v>
      </c>
      <c r="D3" s="8">
        <v>2020</v>
      </c>
      <c r="E3" s="9">
        <v>13</v>
      </c>
      <c r="F3" s="9">
        <v>1.4</v>
      </c>
      <c r="G3" s="19" t="s">
        <v>42</v>
      </c>
      <c r="H3" s="19" t="s">
        <v>41</v>
      </c>
      <c r="I3" t="s">
        <v>548</v>
      </c>
      <c r="J3">
        <v>6</v>
      </c>
    </row>
    <row r="4" spans="1:10" ht="15.75" thickBot="1">
      <c r="A4" s="5" t="s">
        <v>48</v>
      </c>
      <c r="B4" s="5" t="s">
        <v>503</v>
      </c>
      <c r="C4" s="5" t="s">
        <v>42</v>
      </c>
      <c r="D4" s="8">
        <v>2020</v>
      </c>
      <c r="E4" s="9">
        <v>13</v>
      </c>
      <c r="F4" s="9">
        <v>1.4</v>
      </c>
      <c r="G4" s="19" t="s">
        <v>42</v>
      </c>
      <c r="H4" s="19" t="s">
        <v>278</v>
      </c>
      <c r="I4" t="s">
        <v>549</v>
      </c>
      <c r="J4">
        <v>9</v>
      </c>
    </row>
    <row r="5" spans="1:10" ht="15.75" thickBot="1">
      <c r="A5" s="5" t="s">
        <v>73</v>
      </c>
      <c r="B5" s="5" t="s">
        <v>501</v>
      </c>
      <c r="C5" s="5" t="s">
        <v>42</v>
      </c>
      <c r="D5" s="8">
        <v>2019</v>
      </c>
      <c r="E5" s="9">
        <v>16</v>
      </c>
      <c r="F5" s="9">
        <v>2</v>
      </c>
      <c r="G5" s="19" t="s">
        <v>271</v>
      </c>
      <c r="H5" s="19" t="s">
        <v>271</v>
      </c>
      <c r="I5" t="s">
        <v>550</v>
      </c>
      <c r="J5">
        <v>15</v>
      </c>
    </row>
    <row r="6" spans="1:10" ht="15.75" thickBot="1">
      <c r="A6" s="5" t="s">
        <v>74</v>
      </c>
      <c r="B6" s="5" t="s">
        <v>504</v>
      </c>
      <c r="C6" s="5" t="s">
        <v>42</v>
      </c>
      <c r="D6" s="8">
        <v>2019</v>
      </c>
      <c r="E6" s="9">
        <v>13</v>
      </c>
      <c r="F6" s="9">
        <v>1.4</v>
      </c>
      <c r="G6" s="19" t="s">
        <v>271</v>
      </c>
      <c r="H6" s="19" t="s">
        <v>279</v>
      </c>
      <c r="I6" t="s">
        <v>551</v>
      </c>
      <c r="J6">
        <v>1.5</v>
      </c>
    </row>
    <row r="7" spans="1:10" ht="15.75" thickBot="1">
      <c r="A7" s="5" t="s">
        <v>75</v>
      </c>
      <c r="B7" s="5" t="s">
        <v>505</v>
      </c>
      <c r="C7" s="5" t="s">
        <v>42</v>
      </c>
      <c r="D7" s="8">
        <v>2019</v>
      </c>
      <c r="E7" s="9">
        <v>15</v>
      </c>
      <c r="F7" s="9">
        <v>1.8</v>
      </c>
      <c r="I7" t="s">
        <v>552</v>
      </c>
      <c r="J7">
        <v>9</v>
      </c>
    </row>
    <row r="8" spans="1:10" ht="15.75" thickBot="1">
      <c r="A8" s="5" t="s">
        <v>76</v>
      </c>
      <c r="B8" s="5" t="s">
        <v>506</v>
      </c>
      <c r="C8" s="5" t="s">
        <v>42</v>
      </c>
      <c r="D8" s="8">
        <v>2018</v>
      </c>
      <c r="E8" s="9">
        <v>13</v>
      </c>
      <c r="F8" s="9">
        <v>1.4</v>
      </c>
      <c r="I8" t="s">
        <v>553</v>
      </c>
      <c r="J8">
        <v>5.5</v>
      </c>
    </row>
    <row r="9" spans="1:10" ht="15.75" thickBot="1">
      <c r="A9" s="5" t="s">
        <v>76</v>
      </c>
      <c r="B9" s="5" t="s">
        <v>506</v>
      </c>
      <c r="C9" s="5" t="s">
        <v>42</v>
      </c>
      <c r="D9" s="8">
        <v>2018</v>
      </c>
      <c r="E9" s="9">
        <v>13</v>
      </c>
      <c r="F9" s="9">
        <v>1.4</v>
      </c>
      <c r="I9" t="s">
        <v>554</v>
      </c>
      <c r="J9">
        <v>8</v>
      </c>
    </row>
    <row r="10" spans="1:10" ht="15.75" thickBot="1">
      <c r="A10" s="5" t="s">
        <v>76</v>
      </c>
      <c r="B10" s="5" t="s">
        <v>506</v>
      </c>
      <c r="C10" s="5" t="s">
        <v>42</v>
      </c>
      <c r="D10" s="8">
        <v>2019</v>
      </c>
      <c r="E10" s="9">
        <v>13</v>
      </c>
      <c r="F10" s="9">
        <v>1.4</v>
      </c>
      <c r="I10" t="s">
        <v>555</v>
      </c>
      <c r="J10">
        <v>6</v>
      </c>
    </row>
    <row r="11" spans="1:10" ht="15.75" thickBot="1">
      <c r="A11" s="5" t="s">
        <v>76</v>
      </c>
      <c r="B11" s="5" t="s">
        <v>506</v>
      </c>
      <c r="C11" s="5" t="s">
        <v>42</v>
      </c>
      <c r="D11" s="8">
        <v>2019</v>
      </c>
      <c r="E11" s="9">
        <v>13</v>
      </c>
      <c r="F11" s="9">
        <v>1.4</v>
      </c>
      <c r="I11" t="s">
        <v>556</v>
      </c>
      <c r="J11">
        <v>0.2</v>
      </c>
    </row>
    <row r="12" spans="1:10" ht="15.75" thickBot="1">
      <c r="A12" s="5" t="s">
        <v>77</v>
      </c>
      <c r="B12" s="5" t="s">
        <v>505</v>
      </c>
      <c r="C12" s="5" t="s">
        <v>42</v>
      </c>
      <c r="D12" s="8">
        <v>2018</v>
      </c>
      <c r="E12" s="9">
        <v>15</v>
      </c>
      <c r="F12" s="9">
        <v>1.8</v>
      </c>
      <c r="I12" t="s">
        <v>557</v>
      </c>
      <c r="J12">
        <v>0.1</v>
      </c>
    </row>
    <row r="13" spans="1:10" ht="15.75" thickBot="1">
      <c r="A13" s="5" t="s">
        <v>77</v>
      </c>
      <c r="B13" s="5" t="s">
        <v>505</v>
      </c>
      <c r="C13" s="5" t="s">
        <v>42</v>
      </c>
      <c r="D13" s="8">
        <v>2018</v>
      </c>
      <c r="E13" s="9">
        <v>15</v>
      </c>
      <c r="F13" s="9">
        <v>1.8</v>
      </c>
      <c r="I13" t="s">
        <v>558</v>
      </c>
      <c r="J13">
        <v>0.1</v>
      </c>
    </row>
    <row r="14" spans="1:10" ht="15.75" thickBot="1">
      <c r="A14" s="5" t="s">
        <v>77</v>
      </c>
      <c r="B14" s="5" t="s">
        <v>505</v>
      </c>
      <c r="C14" s="5" t="s">
        <v>42</v>
      </c>
      <c r="D14" s="8">
        <v>2018</v>
      </c>
      <c r="E14" s="9">
        <v>15</v>
      </c>
      <c r="F14" s="9">
        <v>1.8</v>
      </c>
      <c r="I14" t="s">
        <v>559</v>
      </c>
      <c r="J14">
        <v>8</v>
      </c>
    </row>
    <row r="15" spans="1:10" ht="15.75" thickBot="1">
      <c r="A15" s="5" t="s">
        <v>77</v>
      </c>
      <c r="B15" s="5" t="s">
        <v>505</v>
      </c>
      <c r="C15" s="5" t="s">
        <v>42</v>
      </c>
      <c r="D15" s="8">
        <v>2019</v>
      </c>
      <c r="E15" s="9">
        <v>15</v>
      </c>
      <c r="F15" s="9">
        <v>1.8</v>
      </c>
      <c r="I15" t="s">
        <v>560</v>
      </c>
      <c r="J15">
        <v>8</v>
      </c>
    </row>
    <row r="16" spans="1:10" ht="15.75" thickBot="1">
      <c r="A16" s="5" t="s">
        <v>77</v>
      </c>
      <c r="B16" s="5" t="s">
        <v>505</v>
      </c>
      <c r="C16" s="5" t="s">
        <v>42</v>
      </c>
      <c r="D16" s="8">
        <v>2019</v>
      </c>
      <c r="E16" s="9">
        <v>15</v>
      </c>
      <c r="F16" s="9">
        <v>1.8</v>
      </c>
      <c r="I16" t="s">
        <v>561</v>
      </c>
      <c r="J16">
        <v>1.5</v>
      </c>
    </row>
    <row r="17" spans="1:10" ht="15.75" thickBot="1">
      <c r="A17" s="5" t="s">
        <v>77</v>
      </c>
      <c r="B17" s="5" t="s">
        <v>505</v>
      </c>
      <c r="C17" s="5" t="s">
        <v>42</v>
      </c>
      <c r="D17" s="8">
        <v>2019</v>
      </c>
      <c r="E17" s="9">
        <v>15</v>
      </c>
      <c r="F17" s="9">
        <v>1.8</v>
      </c>
      <c r="I17" t="s">
        <v>562</v>
      </c>
      <c r="J17">
        <v>4.5</v>
      </c>
    </row>
    <row r="18" spans="1:10" ht="15.75" thickBot="1">
      <c r="A18" s="5" t="s">
        <v>78</v>
      </c>
      <c r="B18" s="5" t="s">
        <v>507</v>
      </c>
      <c r="C18" s="5" t="s">
        <v>42</v>
      </c>
      <c r="D18" s="8">
        <v>2017</v>
      </c>
      <c r="E18" s="9">
        <v>15</v>
      </c>
      <c r="F18" s="9">
        <v>1.8</v>
      </c>
      <c r="I18" t="s">
        <v>563</v>
      </c>
      <c r="J18">
        <v>0.5</v>
      </c>
    </row>
    <row r="19" spans="1:10" ht="15.75" thickBot="1">
      <c r="A19" s="5" t="s">
        <v>79</v>
      </c>
      <c r="B19" s="5" t="s">
        <v>508</v>
      </c>
      <c r="C19" s="5" t="s">
        <v>42</v>
      </c>
      <c r="D19" s="8">
        <v>2017</v>
      </c>
      <c r="E19" s="9">
        <v>13</v>
      </c>
      <c r="F19" s="9">
        <v>1.4</v>
      </c>
      <c r="I19" t="s">
        <v>564</v>
      </c>
      <c r="J19">
        <v>0.3</v>
      </c>
    </row>
    <row r="20" spans="1:10" ht="15.75" thickBot="1">
      <c r="A20" s="5" t="s">
        <v>80</v>
      </c>
      <c r="B20" s="5" t="s">
        <v>509</v>
      </c>
      <c r="C20" s="5" t="s">
        <v>42</v>
      </c>
      <c r="D20" s="8">
        <v>2017</v>
      </c>
      <c r="E20" s="9">
        <v>13</v>
      </c>
      <c r="F20" s="9">
        <v>1.4</v>
      </c>
      <c r="I20" t="s">
        <v>565</v>
      </c>
      <c r="J20">
        <v>0.2</v>
      </c>
    </row>
    <row r="21" spans="1:10" ht="15.75" thickBot="1">
      <c r="A21" s="5" t="s">
        <v>81</v>
      </c>
      <c r="B21" s="5" t="s">
        <v>507</v>
      </c>
      <c r="C21" s="5" t="s">
        <v>42</v>
      </c>
      <c r="D21" s="8">
        <v>2016</v>
      </c>
      <c r="E21" s="9">
        <v>15</v>
      </c>
      <c r="F21" s="9">
        <v>1.8</v>
      </c>
      <c r="I21" t="s">
        <v>566</v>
      </c>
      <c r="J21">
        <v>0.8</v>
      </c>
    </row>
    <row r="22" spans="1:10" ht="15.75" thickBot="1">
      <c r="A22" s="5" t="s">
        <v>82</v>
      </c>
      <c r="B22" s="5" t="s">
        <v>508</v>
      </c>
      <c r="C22" s="5" t="s">
        <v>42</v>
      </c>
      <c r="D22" s="8">
        <v>2016</v>
      </c>
      <c r="E22" s="9">
        <v>13</v>
      </c>
      <c r="F22" s="9">
        <v>1.4</v>
      </c>
      <c r="I22" t="s">
        <v>567</v>
      </c>
      <c r="J22">
        <v>0.1</v>
      </c>
    </row>
    <row r="23" spans="1:10" ht="15.75" thickBot="1">
      <c r="A23" s="5" t="s">
        <v>83</v>
      </c>
      <c r="B23" s="5" t="s">
        <v>509</v>
      </c>
      <c r="C23" s="5" t="s">
        <v>42</v>
      </c>
      <c r="D23" s="8">
        <v>2016</v>
      </c>
      <c r="E23" s="9">
        <v>13</v>
      </c>
      <c r="F23" s="9">
        <v>1.4</v>
      </c>
      <c r="I23" t="s">
        <v>568</v>
      </c>
      <c r="J23">
        <v>1</v>
      </c>
    </row>
    <row r="24" spans="1:10" ht="15.75" thickBot="1">
      <c r="A24" s="5" t="s">
        <v>84</v>
      </c>
      <c r="B24" s="5" t="s">
        <v>510</v>
      </c>
      <c r="C24" s="5" t="s">
        <v>42</v>
      </c>
      <c r="D24" s="8">
        <v>2015</v>
      </c>
      <c r="E24" s="9">
        <v>13</v>
      </c>
      <c r="F24" s="9">
        <v>1.4</v>
      </c>
      <c r="I24" t="s">
        <v>569</v>
      </c>
      <c r="J24">
        <v>15</v>
      </c>
    </row>
    <row r="25" spans="1:10" ht="15.75" thickBot="1">
      <c r="A25" s="5" t="s">
        <v>85</v>
      </c>
      <c r="B25" s="5" t="s">
        <v>511</v>
      </c>
      <c r="C25" s="5" t="s">
        <v>42</v>
      </c>
      <c r="D25" s="8">
        <v>2015</v>
      </c>
      <c r="E25" s="9">
        <v>15</v>
      </c>
      <c r="F25" s="9">
        <v>1.8</v>
      </c>
      <c r="I25" t="s">
        <v>570</v>
      </c>
      <c r="J25">
        <v>0.5</v>
      </c>
    </row>
    <row r="26" spans="1:10" ht="15.75" thickBot="1">
      <c r="A26" s="5" t="s">
        <v>86</v>
      </c>
      <c r="B26" s="5" t="s">
        <v>511</v>
      </c>
      <c r="C26" s="5" t="s">
        <v>42</v>
      </c>
      <c r="D26" s="8">
        <v>2015</v>
      </c>
      <c r="E26" s="9">
        <v>15</v>
      </c>
      <c r="F26" s="9">
        <v>1.8</v>
      </c>
      <c r="I26" t="s">
        <v>571</v>
      </c>
      <c r="J26">
        <v>0.5</v>
      </c>
    </row>
    <row r="27" spans="1:10" ht="15.75" thickBot="1">
      <c r="A27" s="5" t="s">
        <v>87</v>
      </c>
      <c r="B27" s="5" t="s">
        <v>511</v>
      </c>
      <c r="C27" s="5" t="s">
        <v>42</v>
      </c>
      <c r="D27" s="9">
        <v>2014</v>
      </c>
      <c r="E27" s="9">
        <v>15</v>
      </c>
      <c r="F27" s="9">
        <v>1.8</v>
      </c>
      <c r="I27" t="s">
        <v>572</v>
      </c>
      <c r="J27">
        <v>4.5</v>
      </c>
    </row>
    <row r="28" spans="1:10" ht="15.75" thickBot="1">
      <c r="A28" s="5" t="s">
        <v>87</v>
      </c>
      <c r="B28" s="5" t="s">
        <v>511</v>
      </c>
      <c r="C28" s="5" t="s">
        <v>42</v>
      </c>
      <c r="D28" s="9">
        <v>2014</v>
      </c>
      <c r="E28" s="9">
        <v>15</v>
      </c>
      <c r="F28" s="9">
        <v>1.8</v>
      </c>
      <c r="I28" t="s">
        <v>573</v>
      </c>
    </row>
    <row r="29" spans="1:10" ht="15.75" thickBot="1">
      <c r="A29" s="5" t="s">
        <v>87</v>
      </c>
      <c r="B29" s="5" t="s">
        <v>511</v>
      </c>
      <c r="C29" s="5" t="s">
        <v>42</v>
      </c>
      <c r="D29" s="9">
        <v>2013</v>
      </c>
      <c r="E29" s="9">
        <v>15</v>
      </c>
      <c r="F29" s="9">
        <v>1.8</v>
      </c>
      <c r="I29" t="s">
        <v>574</v>
      </c>
      <c r="J29">
        <v>0.1</v>
      </c>
    </row>
    <row r="30" spans="1:10" ht="15.75" thickBot="1">
      <c r="A30" s="5" t="s">
        <v>88</v>
      </c>
      <c r="B30" s="5" t="s">
        <v>511</v>
      </c>
      <c r="C30" s="5" t="s">
        <v>42</v>
      </c>
      <c r="D30" s="9">
        <v>2014</v>
      </c>
      <c r="E30" s="9">
        <v>15</v>
      </c>
      <c r="F30" s="9">
        <v>2</v>
      </c>
      <c r="I30" t="s">
        <v>575</v>
      </c>
      <c r="J30">
        <v>0.1</v>
      </c>
    </row>
    <row r="31" spans="1:10" ht="15.75" thickBot="1">
      <c r="A31" s="5" t="s">
        <v>87</v>
      </c>
      <c r="B31" s="5" t="s">
        <v>511</v>
      </c>
      <c r="C31" s="5" t="s">
        <v>42</v>
      </c>
      <c r="D31" s="9">
        <v>2013</v>
      </c>
      <c r="E31" s="9">
        <v>15</v>
      </c>
      <c r="F31" s="9">
        <v>1.8</v>
      </c>
      <c r="I31" t="s">
        <v>576</v>
      </c>
      <c r="J31">
        <v>0.1</v>
      </c>
    </row>
    <row r="32" spans="1:10" ht="15.75" thickBot="1">
      <c r="A32" s="5" t="s">
        <v>89</v>
      </c>
      <c r="B32" s="5" t="s">
        <v>512</v>
      </c>
      <c r="C32" s="5" t="s">
        <v>42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90</v>
      </c>
      <c r="B33" s="5" t="s">
        <v>513</v>
      </c>
      <c r="C33" s="5" t="s">
        <v>42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91</v>
      </c>
      <c r="B34" s="5" t="s">
        <v>514</v>
      </c>
      <c r="C34" s="5" t="s">
        <v>42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92</v>
      </c>
      <c r="B35" s="5" t="s">
        <v>514</v>
      </c>
      <c r="C35" s="5" t="s">
        <v>42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93</v>
      </c>
      <c r="B36" s="7" t="s">
        <v>513</v>
      </c>
      <c r="C36" s="5" t="s">
        <v>42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93</v>
      </c>
      <c r="B37" s="7" t="s">
        <v>513</v>
      </c>
      <c r="C37" s="5" t="s">
        <v>42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94</v>
      </c>
      <c r="B38" s="5" t="s">
        <v>512</v>
      </c>
      <c r="C38" s="5" t="s">
        <v>42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95</v>
      </c>
      <c r="B39" s="7" t="s">
        <v>515</v>
      </c>
      <c r="C39" s="5" t="s">
        <v>42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96</v>
      </c>
      <c r="B40" s="7" t="s">
        <v>515</v>
      </c>
      <c r="C40" s="5" t="s">
        <v>42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97</v>
      </c>
      <c r="B41" s="7" t="s">
        <v>516</v>
      </c>
      <c r="C41" s="5" t="s">
        <v>42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98</v>
      </c>
      <c r="B42" s="7" t="s">
        <v>516</v>
      </c>
      <c r="C42" s="5" t="s">
        <v>42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500</v>
      </c>
      <c r="B43" s="7" t="s">
        <v>517</v>
      </c>
      <c r="C43" s="5" t="s">
        <v>42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99</v>
      </c>
      <c r="B44" s="7" t="s">
        <v>518</v>
      </c>
      <c r="C44" s="5" t="s">
        <v>42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100</v>
      </c>
      <c r="B45" s="7" t="s">
        <v>519</v>
      </c>
      <c r="C45" s="5" t="s">
        <v>42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101</v>
      </c>
      <c r="B46" s="7" t="s">
        <v>519</v>
      </c>
      <c r="C46" s="5" t="s">
        <v>42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102</v>
      </c>
      <c r="B47" s="7" t="s">
        <v>519</v>
      </c>
      <c r="C47" s="5" t="s">
        <v>42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103</v>
      </c>
      <c r="B48" s="7" t="s">
        <v>520</v>
      </c>
      <c r="C48" s="5" t="s">
        <v>42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104</v>
      </c>
      <c r="B49" s="7" t="s">
        <v>520</v>
      </c>
      <c r="C49" s="5" t="s">
        <v>42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105</v>
      </c>
      <c r="B50" s="7" t="s">
        <v>520</v>
      </c>
      <c r="C50" s="5" t="s">
        <v>42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521</v>
      </c>
      <c r="B51" s="7" t="s">
        <v>522</v>
      </c>
      <c r="C51" s="5" t="s">
        <v>42</v>
      </c>
      <c r="D51" s="9">
        <v>2025</v>
      </c>
      <c r="E51" s="9">
        <v>14</v>
      </c>
      <c r="F51" s="9">
        <v>1.55</v>
      </c>
    </row>
    <row r="52" spans="1:6" ht="15.75" thickBot="1">
      <c r="A52" s="7" t="s">
        <v>545</v>
      </c>
      <c r="B52" s="7" t="s">
        <v>546</v>
      </c>
      <c r="C52" s="5" t="s">
        <v>42</v>
      </c>
      <c r="D52" s="9">
        <v>2025</v>
      </c>
      <c r="E52" s="9">
        <v>15</v>
      </c>
      <c r="F52" s="9">
        <v>1.51</v>
      </c>
    </row>
    <row r="53" spans="1:6" ht="15.75" thickBot="1">
      <c r="A53" s="5" t="s">
        <v>106</v>
      </c>
      <c r="B53" s="7" t="s">
        <v>523</v>
      </c>
      <c r="C53" s="5" t="s">
        <v>42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106</v>
      </c>
      <c r="B54" s="7" t="s">
        <v>523</v>
      </c>
      <c r="C54" s="7" t="s">
        <v>42</v>
      </c>
      <c r="D54" s="9">
        <v>2015</v>
      </c>
      <c r="E54" s="9">
        <v>11</v>
      </c>
      <c r="F54" s="9">
        <v>11</v>
      </c>
    </row>
    <row r="55" spans="1:6" ht="15.75" thickBot="1">
      <c r="A55" s="5" t="s">
        <v>107</v>
      </c>
      <c r="B55" s="7" t="s">
        <v>524</v>
      </c>
      <c r="C55" s="7" t="s">
        <v>42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107</v>
      </c>
      <c r="B56" s="7" t="s">
        <v>524</v>
      </c>
      <c r="C56" s="7" t="s">
        <v>42</v>
      </c>
      <c r="D56" s="9">
        <v>2015</v>
      </c>
      <c r="E56" s="9">
        <v>13</v>
      </c>
      <c r="F56" s="9">
        <v>1.4</v>
      </c>
    </row>
    <row r="57" spans="1:6" ht="15.75" thickBot="1">
      <c r="A57" s="5" t="s">
        <v>107</v>
      </c>
      <c r="B57" s="7" t="s">
        <v>524</v>
      </c>
      <c r="C57" s="7" t="s">
        <v>42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107</v>
      </c>
      <c r="B58" s="7" t="s">
        <v>524</v>
      </c>
      <c r="C58" s="7" t="s">
        <v>42</v>
      </c>
      <c r="D58" s="9">
        <v>2017</v>
      </c>
      <c r="E58" s="9">
        <v>13</v>
      </c>
      <c r="F58" s="9">
        <v>1.4</v>
      </c>
    </row>
    <row r="59" spans="1:6" ht="15.75" thickBot="1">
      <c r="A59" s="5" t="s">
        <v>109</v>
      </c>
      <c r="B59" s="7" t="s">
        <v>525</v>
      </c>
      <c r="C59" s="7" t="s">
        <v>42</v>
      </c>
      <c r="D59" s="9">
        <v>2018</v>
      </c>
      <c r="E59" s="9">
        <v>13</v>
      </c>
      <c r="F59" s="9">
        <v>1.4</v>
      </c>
    </row>
    <row r="60" spans="1:6" ht="15.75" thickBot="1">
      <c r="A60" s="5" t="s">
        <v>110</v>
      </c>
      <c r="B60" s="7" t="s">
        <v>525</v>
      </c>
      <c r="C60" s="7" t="s">
        <v>42</v>
      </c>
      <c r="D60" s="9">
        <v>2019</v>
      </c>
      <c r="E60" s="9">
        <v>13</v>
      </c>
      <c r="F60" s="9">
        <v>1.4</v>
      </c>
    </row>
    <row r="61" spans="1:6" ht="15.75" thickBot="1">
      <c r="A61" s="5" t="s">
        <v>111</v>
      </c>
      <c r="B61" s="7" t="s">
        <v>526</v>
      </c>
      <c r="C61" s="7" t="s">
        <v>42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111</v>
      </c>
      <c r="B62" s="7" t="s">
        <v>526</v>
      </c>
      <c r="C62" s="7" t="s">
        <v>42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111</v>
      </c>
      <c r="B63" s="7" t="s">
        <v>526</v>
      </c>
      <c r="C63" s="7" t="s">
        <v>42</v>
      </c>
      <c r="D63" s="9">
        <v>2020</v>
      </c>
      <c r="E63" s="9">
        <v>13</v>
      </c>
      <c r="F63" s="9">
        <v>1.4</v>
      </c>
    </row>
    <row r="64" spans="1:6" ht="15.75" thickBot="1">
      <c r="A64" s="5" t="s">
        <v>112</v>
      </c>
      <c r="B64" s="7" t="s">
        <v>527</v>
      </c>
      <c r="C64" s="7" t="s">
        <v>42</v>
      </c>
      <c r="D64" s="9">
        <v>2020</v>
      </c>
      <c r="E64" s="9">
        <v>13</v>
      </c>
      <c r="F64" s="9">
        <v>1.4</v>
      </c>
    </row>
    <row r="65" spans="1:6" ht="15.75" thickBot="1">
      <c r="A65" s="7" t="s">
        <v>113</v>
      </c>
      <c r="B65" s="7" t="s">
        <v>528</v>
      </c>
      <c r="C65" s="7" t="s">
        <v>42</v>
      </c>
      <c r="D65" s="9">
        <v>2022</v>
      </c>
      <c r="E65" s="9">
        <v>13</v>
      </c>
      <c r="F65" s="9">
        <v>1.4</v>
      </c>
    </row>
    <row r="66" spans="1:6" ht="15.75" thickBot="1">
      <c r="A66" s="7" t="s">
        <v>114</v>
      </c>
      <c r="B66" s="7" t="s">
        <v>529</v>
      </c>
      <c r="C66" s="7" t="s">
        <v>42</v>
      </c>
      <c r="D66" s="9">
        <v>2023</v>
      </c>
      <c r="E66" s="9">
        <v>15</v>
      </c>
      <c r="F66" s="9">
        <v>1.8</v>
      </c>
    </row>
    <row r="67" spans="1:6" ht="15.75" thickBot="1">
      <c r="A67" s="7" t="s">
        <v>115</v>
      </c>
      <c r="B67" s="7" t="s">
        <v>530</v>
      </c>
      <c r="C67" s="7" t="s">
        <v>42</v>
      </c>
      <c r="D67" s="9">
        <v>2024</v>
      </c>
      <c r="E67" s="9">
        <v>13</v>
      </c>
      <c r="F67" s="9">
        <v>1.4</v>
      </c>
    </row>
    <row r="68" spans="1:6" ht="15.75" thickBot="1">
      <c r="A68" s="7" t="s">
        <v>116</v>
      </c>
      <c r="B68" s="7" t="s">
        <v>531</v>
      </c>
      <c r="C68" s="7" t="s">
        <v>42</v>
      </c>
      <c r="D68" s="9">
        <v>2024</v>
      </c>
      <c r="E68" s="9">
        <v>15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>
        <v>27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>
        <v>27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>
        <v>21.5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2026-08-11T10:39:10Z</dcterms:modified>
</cp:coreProperties>
</file>