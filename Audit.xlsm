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9121F0B2-7016-402D-86C0-DBC15E413888}" xr6:coauthVersionLast="47" xr6:coauthVersionMax="47" xr10:uidLastSave="{00000000-0000-0000-0000-000000000000}"/>
  <bookViews>
    <workbookView xWindow="-120" yWindow="-120" windowWidth="38640" windowHeight="21120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Disk_Pivot" sheetId="12" r:id="rId5"/>
    <sheet name="Disk_Pivot_Data" sheetId="10" r:id="rId6"/>
    <sheet name="MacReports" sheetId="3" r:id="rId7"/>
    <sheet name="CSV" sheetId="4" r:id="rId8"/>
    <sheet name="CPU_Formula" sheetId="8" r:id="rId9"/>
    <sheet name="Output_Mac" sheetId="6" r:id="rId10"/>
    <sheet name="Models" sheetId="7" r:id="rId11"/>
  </sheets>
  <definedNames>
    <definedName name="_xlpm.chars" hidden="1" xlm="1">#NAME?</definedName>
    <definedName name="_xlpm.CSVVal" hidden="1" xlm="1">#NAME?</definedName>
    <definedName name="_xlpm.MacVal" hidden="1" xlm="1">#NAME?</definedName>
    <definedName name="_xlpm.MyAuditVal" hidden="1" xlm="1">#NAME?</definedName>
    <definedName name="_xlpm.Result" hidden="1" xlm="1">#NAME?</definedName>
    <definedName name="_xlpm.txt" hidden="1" xlm="1">#NAME?</definedName>
  </definedNames>
  <calcPr calcId="191029"/>
  <pivotCaches>
    <pivotCache cacheId="346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3" i="1" l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2" i="1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A181" i="4"/>
  <c r="AA182" i="4"/>
  <c r="AA183" i="4"/>
  <c r="AA184" i="4"/>
  <c r="AA185" i="4"/>
  <c r="AA186" i="4"/>
  <c r="AA187" i="4"/>
  <c r="AA188" i="4"/>
  <c r="AA189" i="4"/>
  <c r="AA190" i="4"/>
  <c r="AA191" i="4"/>
  <c r="AA192" i="4"/>
  <c r="AA193" i="4"/>
  <c r="AA194" i="4"/>
  <c r="AA195" i="4"/>
  <c r="AA196" i="4"/>
  <c r="AA197" i="4"/>
  <c r="AA198" i="4"/>
  <c r="AA199" i="4"/>
  <c r="AA200" i="4"/>
  <c r="AA201" i="4"/>
  <c r="AA202" i="4"/>
  <c r="AA203" i="4"/>
  <c r="AA204" i="4"/>
  <c r="AA205" i="4"/>
  <c r="AA206" i="4"/>
  <c r="AA207" i="4"/>
  <c r="AA208" i="4"/>
  <c r="AA209" i="4"/>
  <c r="AA210" i="4"/>
  <c r="AA211" i="4"/>
  <c r="AA212" i="4"/>
  <c r="AA213" i="4"/>
  <c r="AA214" i="4"/>
  <c r="AA215" i="4"/>
  <c r="AA216" i="4"/>
  <c r="AA217" i="4"/>
  <c r="AA218" i="4"/>
  <c r="AA219" i="4"/>
  <c r="AA220" i="4"/>
  <c r="AA221" i="4"/>
  <c r="AA222" i="4"/>
  <c r="AA223" i="4"/>
  <c r="AA224" i="4"/>
  <c r="AA225" i="4"/>
  <c r="AA226" i="4"/>
  <c r="AA227" i="4"/>
  <c r="AA228" i="4"/>
  <c r="AA229" i="4"/>
  <c r="AA230" i="4"/>
  <c r="AA231" i="4"/>
  <c r="AA232" i="4"/>
  <c r="AA233" i="4"/>
  <c r="AA234" i="4"/>
  <c r="AA235" i="4"/>
  <c r="AA236" i="4"/>
  <c r="AA237" i="4"/>
  <c r="AA238" i="4"/>
  <c r="AA239" i="4"/>
  <c r="AA240" i="4"/>
  <c r="AA241" i="4"/>
  <c r="AA242" i="4"/>
  <c r="AA243" i="4"/>
  <c r="AA244" i="4"/>
  <c r="AA245" i="4"/>
  <c r="AA246" i="4"/>
  <c r="AA247" i="4"/>
  <c r="AA248" i="4"/>
  <c r="AA249" i="4"/>
  <c r="AA250" i="4"/>
  <c r="AA251" i="4"/>
  <c r="AA252" i="4"/>
  <c r="AA253" i="4"/>
  <c r="AA254" i="4"/>
  <c r="AA255" i="4"/>
  <c r="AA256" i="4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G26" i="6"/>
  <c r="H26" i="6" s="1"/>
  <c r="I26" i="6"/>
  <c r="J26" i="6"/>
  <c r="K26" i="6"/>
  <c r="L26" i="6"/>
  <c r="M26" i="6" a="1"/>
  <c r="M26" i="6" s="1"/>
  <c r="N26" i="6" a="1"/>
  <c r="N26" i="6"/>
  <c r="O26" i="6"/>
  <c r="P26" i="6"/>
  <c r="Q26" i="6"/>
  <c r="R26" i="6"/>
  <c r="S26" i="6"/>
  <c r="G27" i="6"/>
  <c r="H27" i="6" s="1"/>
  <c r="I27" i="6"/>
  <c r="J27" i="6"/>
  <c r="K27" i="6"/>
  <c r="L27" i="6"/>
  <c r="M27" i="6" a="1"/>
  <c r="M27" i="6" s="1"/>
  <c r="N27" i="6" a="1"/>
  <c r="N27" i="6"/>
  <c r="O27" i="6"/>
  <c r="P27" i="6"/>
  <c r="Q27" i="6"/>
  <c r="R27" i="6"/>
  <c r="S27" i="6"/>
  <c r="G28" i="6"/>
  <c r="H28" i="6" s="1"/>
  <c r="I28" i="6"/>
  <c r="J28" i="6"/>
  <c r="K28" i="6"/>
  <c r="L28" i="6"/>
  <c r="M28" i="6" a="1"/>
  <c r="M28" i="6" s="1"/>
  <c r="N28" i="6" a="1"/>
  <c r="N28" i="6"/>
  <c r="O28" i="6"/>
  <c r="P28" i="6"/>
  <c r="Q28" i="6"/>
  <c r="R28" i="6"/>
  <c r="S28" i="6"/>
  <c r="G29" i="6"/>
  <c r="H29" i="6" s="1"/>
  <c r="I29" i="6"/>
  <c r="J29" i="6"/>
  <c r="K29" i="6"/>
  <c r="L29" i="6"/>
  <c r="M29" i="6" a="1"/>
  <c r="M29" i="6" s="1"/>
  <c r="N29" i="6" a="1"/>
  <c r="N29" i="6"/>
  <c r="O29" i="6"/>
  <c r="P29" i="6"/>
  <c r="Q29" i="6"/>
  <c r="R29" i="6"/>
  <c r="S29" i="6"/>
  <c r="G30" i="6"/>
  <c r="H30" i="6" s="1"/>
  <c r="I30" i="6"/>
  <c r="J30" i="6"/>
  <c r="K30" i="6"/>
  <c r="L30" i="6"/>
  <c r="M30" i="6" a="1"/>
  <c r="M30" i="6" s="1"/>
  <c r="N30" i="6" a="1"/>
  <c r="N30" i="6"/>
  <c r="O30" i="6"/>
  <c r="P30" i="6"/>
  <c r="Q30" i="6"/>
  <c r="R30" i="6"/>
  <c r="S30" i="6"/>
  <c r="G31" i="6"/>
  <c r="H31" i="6" s="1"/>
  <c r="I31" i="6"/>
  <c r="J31" i="6"/>
  <c r="K31" i="6"/>
  <c r="L31" i="6"/>
  <c r="M31" i="6" a="1"/>
  <c r="M31" i="6" s="1"/>
  <c r="N31" i="6" a="1"/>
  <c r="N31" i="6"/>
  <c r="O31" i="6"/>
  <c r="P31" i="6"/>
  <c r="Q31" i="6"/>
  <c r="R31" i="6"/>
  <c r="S31" i="6"/>
  <c r="G32" i="6"/>
  <c r="H32" i="6" s="1"/>
  <c r="I32" i="6"/>
  <c r="J32" i="6"/>
  <c r="K32" i="6"/>
  <c r="L32" i="6"/>
  <c r="M32" i="6" a="1"/>
  <c r="M32" i="6" s="1"/>
  <c r="N32" i="6" a="1"/>
  <c r="N32" i="6"/>
  <c r="O32" i="6"/>
  <c r="P32" i="6"/>
  <c r="Q32" i="6"/>
  <c r="R32" i="6"/>
  <c r="S32" i="6"/>
  <c r="G33" i="6"/>
  <c r="H33" i="6" s="1"/>
  <c r="I33" i="6"/>
  <c r="J33" i="6"/>
  <c r="K33" i="6"/>
  <c r="L33" i="6"/>
  <c r="M33" i="6" a="1"/>
  <c r="M33" i="6" s="1"/>
  <c r="N33" i="6" a="1"/>
  <c r="N33" i="6"/>
  <c r="O33" i="6"/>
  <c r="P33" i="6"/>
  <c r="Q33" i="6"/>
  <c r="R33" i="6"/>
  <c r="S33" i="6"/>
  <c r="G34" i="6"/>
  <c r="H34" i="6" s="1"/>
  <c r="I34" i="6"/>
  <c r="J34" i="6"/>
  <c r="K34" i="6"/>
  <c r="L34" i="6"/>
  <c r="M34" i="6" a="1"/>
  <c r="M34" i="6" s="1"/>
  <c r="N34" i="6" a="1"/>
  <c r="N34" i="6"/>
  <c r="O34" i="6"/>
  <c r="P34" i="6"/>
  <c r="Q34" i="6"/>
  <c r="R34" i="6"/>
  <c r="S34" i="6"/>
  <c r="G35" i="6"/>
  <c r="H35" i="6" s="1"/>
  <c r="I35" i="6"/>
  <c r="J35" i="6"/>
  <c r="K35" i="6"/>
  <c r="L35" i="6"/>
  <c r="M35" i="6" a="1"/>
  <c r="M35" i="6" s="1"/>
  <c r="N35" i="6" a="1"/>
  <c r="N35" i="6"/>
  <c r="O35" i="6"/>
  <c r="P35" i="6"/>
  <c r="Q35" i="6"/>
  <c r="R35" i="6"/>
  <c r="S35" i="6"/>
  <c r="G36" i="6"/>
  <c r="H36" i="6" s="1"/>
  <c r="I36" i="6"/>
  <c r="J36" i="6"/>
  <c r="K36" i="6"/>
  <c r="L36" i="6"/>
  <c r="M36" i="6" a="1"/>
  <c r="M36" i="6" s="1"/>
  <c r="N36" i="6" a="1"/>
  <c r="N36" i="6"/>
  <c r="O36" i="6"/>
  <c r="P36" i="6"/>
  <c r="Q36" i="6"/>
  <c r="R36" i="6"/>
  <c r="S36" i="6"/>
  <c r="G37" i="6"/>
  <c r="H37" i="6" s="1"/>
  <c r="I37" i="6"/>
  <c r="J37" i="6"/>
  <c r="K37" i="6"/>
  <c r="L37" i="6"/>
  <c r="M37" i="6" a="1"/>
  <c r="M37" i="6" s="1"/>
  <c r="N37" i="6" a="1"/>
  <c r="N37" i="6"/>
  <c r="O37" i="6"/>
  <c r="P37" i="6"/>
  <c r="Q37" i="6"/>
  <c r="R37" i="6"/>
  <c r="S37" i="6"/>
  <c r="G38" i="6"/>
  <c r="H38" i="6" s="1"/>
  <c r="I38" i="6"/>
  <c r="J38" i="6"/>
  <c r="K38" i="6"/>
  <c r="L38" i="6"/>
  <c r="M38" i="6" a="1"/>
  <c r="M38" i="6" s="1"/>
  <c r="N38" i="6" a="1"/>
  <c r="N38" i="6"/>
  <c r="O38" i="6"/>
  <c r="P38" i="6"/>
  <c r="Q38" i="6"/>
  <c r="R38" i="6"/>
  <c r="S38" i="6"/>
  <c r="G39" i="6"/>
  <c r="H39" i="6" s="1"/>
  <c r="I39" i="6"/>
  <c r="J39" i="6"/>
  <c r="K39" i="6"/>
  <c r="L39" i="6"/>
  <c r="M39" i="6" a="1"/>
  <c r="M39" i="6" s="1"/>
  <c r="N39" i="6" a="1"/>
  <c r="N39" i="6"/>
  <c r="O39" i="6"/>
  <c r="P39" i="6"/>
  <c r="Q39" i="6"/>
  <c r="R39" i="6"/>
  <c r="S39" i="6"/>
  <c r="G40" i="6"/>
  <c r="H40" i="6" s="1"/>
  <c r="I40" i="6"/>
  <c r="J40" i="6"/>
  <c r="K40" i="6"/>
  <c r="L40" i="6"/>
  <c r="M40" i="6" a="1"/>
  <c r="M40" i="6" s="1"/>
  <c r="N40" i="6" a="1"/>
  <c r="N40" i="6"/>
  <c r="O40" i="6"/>
  <c r="P40" i="6"/>
  <c r="Q40" i="6"/>
  <c r="R40" i="6"/>
  <c r="S40" i="6"/>
  <c r="G41" i="6"/>
  <c r="H41" i="6" s="1"/>
  <c r="I41" i="6"/>
  <c r="J41" i="6"/>
  <c r="K41" i="6"/>
  <c r="L41" i="6"/>
  <c r="M41" i="6" a="1"/>
  <c r="M41" i="6" s="1"/>
  <c r="N41" i="6" a="1"/>
  <c r="N41" i="6"/>
  <c r="O41" i="6"/>
  <c r="P41" i="6"/>
  <c r="Q41" i="6"/>
  <c r="R41" i="6"/>
  <c r="S41" i="6"/>
  <c r="G42" i="6"/>
  <c r="H42" i="6" s="1"/>
  <c r="I42" i="6"/>
  <c r="J42" i="6"/>
  <c r="K42" i="6"/>
  <c r="L42" i="6"/>
  <c r="M42" i="6" a="1"/>
  <c r="M42" i="6" s="1"/>
  <c r="N42" i="6" a="1"/>
  <c r="N42" i="6"/>
  <c r="O42" i="6"/>
  <c r="P42" i="6"/>
  <c r="Q42" i="6"/>
  <c r="R42" i="6"/>
  <c r="S42" i="6"/>
  <c r="G43" i="6"/>
  <c r="H43" i="6" s="1"/>
  <c r="I43" i="6"/>
  <c r="J43" i="6"/>
  <c r="K43" i="6"/>
  <c r="L43" i="6"/>
  <c r="M43" i="6" a="1"/>
  <c r="M43" i="6" s="1"/>
  <c r="N43" i="6" a="1"/>
  <c r="N43" i="6"/>
  <c r="O43" i="6"/>
  <c r="P43" i="6"/>
  <c r="Q43" i="6"/>
  <c r="R43" i="6"/>
  <c r="S43" i="6"/>
  <c r="G44" i="6"/>
  <c r="H44" i="6" s="1"/>
  <c r="I44" i="6"/>
  <c r="J44" i="6"/>
  <c r="K44" i="6"/>
  <c r="L44" i="6"/>
  <c r="M44" i="6" a="1"/>
  <c r="M44" i="6" s="1"/>
  <c r="N44" i="6" a="1"/>
  <c r="N44" i="6"/>
  <c r="O44" i="6"/>
  <c r="P44" i="6"/>
  <c r="Q44" i="6"/>
  <c r="R44" i="6"/>
  <c r="S44" i="6"/>
  <c r="G45" i="6"/>
  <c r="H45" i="6" s="1"/>
  <c r="I45" i="6"/>
  <c r="J45" i="6"/>
  <c r="K45" i="6"/>
  <c r="L45" i="6"/>
  <c r="M45" i="6" a="1"/>
  <c r="M45" i="6" s="1"/>
  <c r="N45" i="6" a="1"/>
  <c r="N45" i="6"/>
  <c r="O45" i="6"/>
  <c r="P45" i="6"/>
  <c r="Q45" i="6"/>
  <c r="R45" i="6"/>
  <c r="S45" i="6"/>
  <c r="G46" i="6"/>
  <c r="H46" i="6" s="1"/>
  <c r="I46" i="6"/>
  <c r="J46" i="6"/>
  <c r="K46" i="6"/>
  <c r="L46" i="6"/>
  <c r="M46" i="6" a="1"/>
  <c r="M46" i="6" s="1"/>
  <c r="N46" i="6" a="1"/>
  <c r="N46" i="6"/>
  <c r="O46" i="6"/>
  <c r="P46" i="6"/>
  <c r="Q46" i="6"/>
  <c r="R46" i="6"/>
  <c r="S46" i="6"/>
  <c r="G47" i="6"/>
  <c r="H47" i="6" s="1"/>
  <c r="I47" i="6"/>
  <c r="J47" i="6"/>
  <c r="K47" i="6"/>
  <c r="L47" i="6"/>
  <c r="M47" i="6" a="1"/>
  <c r="M47" i="6" s="1"/>
  <c r="N47" i="6" a="1"/>
  <c r="N47" i="6"/>
  <c r="O47" i="6"/>
  <c r="P47" i="6"/>
  <c r="Q47" i="6"/>
  <c r="R47" i="6"/>
  <c r="S47" i="6"/>
  <c r="G48" i="6"/>
  <c r="H48" i="6" s="1"/>
  <c r="I48" i="6"/>
  <c r="J48" i="6"/>
  <c r="K48" i="6"/>
  <c r="L48" i="6"/>
  <c r="M48" i="6" a="1"/>
  <c r="M48" i="6" s="1"/>
  <c r="N48" i="6" a="1"/>
  <c r="N48" i="6"/>
  <c r="O48" i="6"/>
  <c r="P48" i="6"/>
  <c r="Q48" i="6"/>
  <c r="R48" i="6"/>
  <c r="S48" i="6"/>
  <c r="G49" i="6"/>
  <c r="H49" i="6" s="1"/>
  <c r="I49" i="6"/>
  <c r="J49" i="6"/>
  <c r="K49" i="6"/>
  <c r="L49" i="6"/>
  <c r="M49" i="6" a="1"/>
  <c r="M49" i="6" s="1"/>
  <c r="N49" i="6" a="1"/>
  <c r="N49" i="6"/>
  <c r="O49" i="6"/>
  <c r="P49" i="6"/>
  <c r="Q49" i="6"/>
  <c r="R49" i="6"/>
  <c r="S49" i="6"/>
  <c r="G50" i="6"/>
  <c r="H50" i="6" s="1"/>
  <c r="I50" i="6"/>
  <c r="J50" i="6"/>
  <c r="K50" i="6"/>
  <c r="L50" i="6"/>
  <c r="M50" i="6" a="1"/>
  <c r="M50" i="6" s="1"/>
  <c r="N50" i="6" a="1"/>
  <c r="N50" i="6"/>
  <c r="O50" i="6"/>
  <c r="P50" i="6"/>
  <c r="Q50" i="6"/>
  <c r="R50" i="6"/>
  <c r="S50" i="6"/>
  <c r="G51" i="6"/>
  <c r="H51" i="6" s="1"/>
  <c r="I51" i="6"/>
  <c r="J51" i="6"/>
  <c r="K51" i="6"/>
  <c r="L51" i="6"/>
  <c r="M51" i="6" a="1"/>
  <c r="M51" i="6" s="1"/>
  <c r="N51" i="6" a="1"/>
  <c r="N51" i="6"/>
  <c r="O51" i="6"/>
  <c r="P51" i="6"/>
  <c r="Q51" i="6"/>
  <c r="R51" i="6"/>
  <c r="S51" i="6"/>
  <c r="G52" i="6"/>
  <c r="H52" i="6" s="1"/>
  <c r="I52" i="6"/>
  <c r="J52" i="6"/>
  <c r="K52" i="6"/>
  <c r="L52" i="6"/>
  <c r="M52" i="6" a="1"/>
  <c r="M52" i="6" s="1"/>
  <c r="N52" i="6" a="1"/>
  <c r="N52" i="6"/>
  <c r="O52" i="6"/>
  <c r="P52" i="6"/>
  <c r="Q52" i="6"/>
  <c r="R52" i="6"/>
  <c r="S52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U43" i="4" a="1"/>
  <c r="U43" i="4" s="1"/>
  <c r="U44" i="4" a="1"/>
  <c r="U44" i="4" s="1"/>
  <c r="U45" i="4" a="1"/>
  <c r="U45" i="4" s="1"/>
  <c r="U46" i="4" a="1"/>
  <c r="U46" i="4" s="1"/>
  <c r="U47" i="4" a="1"/>
  <c r="U47" i="4" s="1"/>
  <c r="U48" i="4" a="1"/>
  <c r="U48" i="4" s="1"/>
  <c r="U49" i="4" a="1"/>
  <c r="U49" i="4" s="1"/>
  <c r="U50" i="4" a="1"/>
  <c r="U50" i="4" s="1"/>
  <c r="U51" i="4" a="1"/>
  <c r="U51" i="4" s="1"/>
  <c r="U52" i="4" a="1"/>
  <c r="U52" i="4" s="1"/>
  <c r="U53" i="4" a="1"/>
  <c r="U53" i="4" s="1"/>
  <c r="U54" i="4" a="1"/>
  <c r="U54" i="4" s="1"/>
  <c r="U55" i="4" a="1"/>
  <c r="U55" i="4" s="1"/>
  <c r="U56" i="4" a="1"/>
  <c r="U56" i="4" s="1"/>
  <c r="U57" i="4" a="1"/>
  <c r="U57" i="4" s="1"/>
  <c r="U58" i="4" a="1"/>
  <c r="U58" i="4" s="1"/>
  <c r="U59" i="4" a="1"/>
  <c r="U59" i="4" s="1"/>
  <c r="U60" i="4" a="1"/>
  <c r="U60" i="4" s="1"/>
  <c r="U61" i="4" a="1"/>
  <c r="U61" i="4" s="1"/>
  <c r="U62" i="4" a="1"/>
  <c r="U62" i="4" s="1"/>
  <c r="U63" i="4" a="1"/>
  <c r="U63" i="4" s="1"/>
  <c r="U64" i="4" a="1"/>
  <c r="U64" i="4" s="1"/>
  <c r="U65" i="4" a="1"/>
  <c r="U65" i="4" s="1"/>
  <c r="U66" i="4" a="1"/>
  <c r="U66" i="4" s="1"/>
  <c r="U67" i="4" a="1"/>
  <c r="U67" i="4" s="1"/>
  <c r="U68" i="4" a="1"/>
  <c r="U68" i="4" s="1"/>
  <c r="U69" i="4" a="1"/>
  <c r="U69" i="4" s="1"/>
  <c r="U70" i="4" a="1"/>
  <c r="U70" i="4" s="1"/>
  <c r="U71" i="4" a="1"/>
  <c r="U71" i="4" s="1"/>
  <c r="U72" i="4" a="1"/>
  <c r="U72" i="4" s="1"/>
  <c r="U73" i="4" a="1"/>
  <c r="U73" i="4" s="1"/>
  <c r="U74" i="4" a="1"/>
  <c r="U74" i="4" s="1"/>
  <c r="U75" i="4" a="1"/>
  <c r="U75" i="4" s="1"/>
  <c r="U76" i="4" a="1"/>
  <c r="U76" i="4" s="1"/>
  <c r="U77" i="4" a="1"/>
  <c r="U77" i="4" s="1"/>
  <c r="U78" i="4" a="1"/>
  <c r="U78" i="4" s="1"/>
  <c r="U79" i="4" a="1"/>
  <c r="U79" i="4" s="1"/>
  <c r="U80" i="4" a="1"/>
  <c r="U80" i="4" s="1"/>
  <c r="U81" i="4" a="1"/>
  <c r="U81" i="4" s="1"/>
  <c r="U82" i="4" a="1"/>
  <c r="U82" i="4" s="1"/>
  <c r="U83" i="4" a="1"/>
  <c r="U83" i="4" s="1"/>
  <c r="U84" i="4" a="1"/>
  <c r="U84" i="4" s="1"/>
  <c r="U85" i="4" a="1"/>
  <c r="U85" i="4" s="1"/>
  <c r="U86" i="4" a="1"/>
  <c r="U86" i="4" s="1"/>
  <c r="U87" i="4" a="1"/>
  <c r="U87" i="4" s="1"/>
  <c r="U88" i="4" a="1"/>
  <c r="U88" i="4" s="1"/>
  <c r="U89" i="4" a="1"/>
  <c r="U89" i="4" s="1"/>
  <c r="U90" i="4" a="1"/>
  <c r="U90" i="4" s="1"/>
  <c r="U91" i="4" a="1"/>
  <c r="U91" i="4" s="1"/>
  <c r="U92" i="4" a="1"/>
  <c r="U92" i="4" s="1"/>
  <c r="U93" i="4" a="1"/>
  <c r="U93" i="4" s="1"/>
  <c r="U94" i="4" a="1"/>
  <c r="U94" i="4" s="1"/>
  <c r="U95" i="4" a="1"/>
  <c r="U95" i="4" s="1"/>
  <c r="U96" i="4" a="1"/>
  <c r="U96" i="4" s="1"/>
  <c r="U97" i="4" a="1"/>
  <c r="U97" i="4" s="1"/>
  <c r="U98" i="4" a="1"/>
  <c r="U98" i="4" s="1"/>
  <c r="U99" i="4" a="1"/>
  <c r="U99" i="4" s="1"/>
  <c r="U100" i="4" a="1"/>
  <c r="U100" i="4" s="1"/>
  <c r="U101" i="4" a="1"/>
  <c r="U101" i="4" s="1"/>
  <c r="U102" i="4" a="1"/>
  <c r="U102" i="4" s="1"/>
  <c r="U103" i="4" a="1"/>
  <c r="U103" i="4" s="1"/>
  <c r="U104" i="4" a="1"/>
  <c r="U104" i="4" s="1"/>
  <c r="U105" i="4" a="1"/>
  <c r="U105" i="4" s="1"/>
  <c r="U106" i="4" a="1"/>
  <c r="U106" i="4" s="1"/>
  <c r="U107" i="4" a="1"/>
  <c r="U107" i="4" s="1"/>
  <c r="U108" i="4" a="1"/>
  <c r="U108" i="4" s="1"/>
  <c r="U109" i="4" a="1"/>
  <c r="U109" i="4" s="1"/>
  <c r="U110" i="4" a="1"/>
  <c r="U110" i="4" s="1"/>
  <c r="U111" i="4" a="1"/>
  <c r="U111" i="4" s="1"/>
  <c r="U112" i="4" a="1"/>
  <c r="U112" i="4" s="1"/>
  <c r="U113" i="4" a="1"/>
  <c r="U113" i="4" s="1"/>
  <c r="U114" i="4" a="1"/>
  <c r="U114" i="4" s="1"/>
  <c r="U115" i="4" a="1"/>
  <c r="U115" i="4" s="1"/>
  <c r="U116" i="4" a="1"/>
  <c r="U116" i="4" s="1"/>
  <c r="U117" i="4" a="1"/>
  <c r="U117" i="4" s="1"/>
  <c r="U118" i="4" a="1"/>
  <c r="U118" i="4" s="1"/>
  <c r="U119" i="4" a="1"/>
  <c r="U119" i="4" s="1"/>
  <c r="U120" i="4" a="1"/>
  <c r="U120" i="4" s="1"/>
  <c r="U121" i="4" a="1"/>
  <c r="U121" i="4" s="1"/>
  <c r="U122" i="4" a="1"/>
  <c r="U122" i="4" s="1"/>
  <c r="U123" i="4" a="1"/>
  <c r="U123" i="4" s="1"/>
  <c r="U124" i="4" a="1"/>
  <c r="U124" i="4" s="1"/>
  <c r="U125" i="4" a="1"/>
  <c r="U125" i="4" s="1"/>
  <c r="U126" i="4" a="1"/>
  <c r="U126" i="4" s="1"/>
  <c r="U127" i="4" a="1"/>
  <c r="U127" i="4" s="1"/>
  <c r="U128" i="4" a="1"/>
  <c r="U128" i="4" s="1"/>
  <c r="U129" i="4" a="1"/>
  <c r="U129" i="4" s="1"/>
  <c r="U130" i="4" a="1"/>
  <c r="U130" i="4" s="1"/>
  <c r="U131" i="4" a="1"/>
  <c r="U131" i="4" s="1"/>
  <c r="U132" i="4" a="1"/>
  <c r="U132" i="4" s="1"/>
  <c r="U133" i="4" a="1"/>
  <c r="U133" i="4" s="1"/>
  <c r="U134" i="4" a="1"/>
  <c r="U134" i="4" s="1"/>
  <c r="U135" i="4" a="1"/>
  <c r="U135" i="4" s="1"/>
  <c r="U136" i="4" a="1"/>
  <c r="U136" i="4" s="1"/>
  <c r="U137" i="4" a="1"/>
  <c r="U137" i="4" s="1"/>
  <c r="U138" i="4" a="1"/>
  <c r="U138" i="4" s="1"/>
  <c r="U139" i="4" a="1"/>
  <c r="U139" i="4" s="1"/>
  <c r="U140" i="4" a="1"/>
  <c r="U140" i="4" s="1"/>
  <c r="U141" i="4" a="1"/>
  <c r="U141" i="4" s="1"/>
  <c r="U142" i="4" a="1"/>
  <c r="U142" i="4" s="1"/>
  <c r="U143" i="4" a="1"/>
  <c r="U143" i="4" s="1"/>
  <c r="U144" i="4" a="1"/>
  <c r="U144" i="4" s="1"/>
  <c r="U145" i="4" a="1"/>
  <c r="U145" i="4" s="1"/>
  <c r="U146" i="4" a="1"/>
  <c r="U146" i="4" s="1"/>
  <c r="U147" i="4" a="1"/>
  <c r="U147" i="4" s="1"/>
  <c r="U148" i="4" a="1"/>
  <c r="U148" i="4" s="1"/>
  <c r="U149" i="4" a="1"/>
  <c r="U149" i="4" s="1"/>
  <c r="U150" i="4" a="1"/>
  <c r="U150" i="4" s="1"/>
  <c r="U151" i="4" a="1"/>
  <c r="U151" i="4" s="1"/>
  <c r="U152" i="4" a="1"/>
  <c r="U152" i="4" s="1"/>
  <c r="U153" i="4" a="1"/>
  <c r="U153" i="4" s="1"/>
  <c r="U154" i="4" a="1"/>
  <c r="U154" i="4" s="1"/>
  <c r="U155" i="4" a="1"/>
  <c r="U155" i="4" s="1"/>
  <c r="U156" i="4" a="1"/>
  <c r="U156" i="4" s="1"/>
  <c r="U157" i="4" a="1"/>
  <c r="U157" i="4" s="1"/>
  <c r="U158" i="4" a="1"/>
  <c r="U158" i="4" s="1"/>
  <c r="U159" i="4" a="1"/>
  <c r="U159" i="4" s="1"/>
  <c r="U160" i="4" a="1"/>
  <c r="U160" i="4" s="1"/>
  <c r="U161" i="4" a="1"/>
  <c r="U161" i="4" s="1"/>
  <c r="U162" i="4" a="1"/>
  <c r="U162" i="4" s="1"/>
  <c r="U163" i="4" a="1"/>
  <c r="U163" i="4" s="1"/>
  <c r="U164" i="4" a="1"/>
  <c r="U164" i="4" s="1"/>
  <c r="U165" i="4" a="1"/>
  <c r="U165" i="4" s="1"/>
  <c r="U166" i="4" a="1"/>
  <c r="U166" i="4" s="1"/>
  <c r="U167" i="4" a="1"/>
  <c r="U167" i="4" s="1"/>
  <c r="U168" i="4" a="1"/>
  <c r="U168" i="4" s="1"/>
  <c r="U169" i="4" a="1"/>
  <c r="U169" i="4" s="1"/>
  <c r="U170" i="4" a="1"/>
  <c r="U170" i="4" s="1"/>
  <c r="U171" i="4" a="1"/>
  <c r="U171" i="4" s="1"/>
  <c r="U172" i="4" a="1"/>
  <c r="U172" i="4" s="1"/>
  <c r="U173" i="4" a="1"/>
  <c r="U173" i="4" s="1"/>
  <c r="U174" i="4" a="1"/>
  <c r="U174" i="4" s="1"/>
  <c r="U175" i="4" a="1"/>
  <c r="U175" i="4" s="1"/>
  <c r="U176" i="4" a="1"/>
  <c r="U176" i="4" s="1"/>
  <c r="U177" i="4" a="1"/>
  <c r="U177" i="4" s="1"/>
  <c r="U178" i="4" a="1"/>
  <c r="U178" i="4" s="1"/>
  <c r="U179" i="4" a="1"/>
  <c r="U179" i="4" s="1"/>
  <c r="U180" i="4" a="1"/>
  <c r="U180" i="4" s="1"/>
  <c r="U181" i="4" a="1"/>
  <c r="U181" i="4" s="1"/>
  <c r="U182" i="4" a="1"/>
  <c r="U182" i="4" s="1"/>
  <c r="U183" i="4" a="1"/>
  <c r="U183" i="4" s="1"/>
  <c r="U184" i="4" a="1"/>
  <c r="U184" i="4" s="1"/>
  <c r="U185" i="4" a="1"/>
  <c r="U185" i="4" s="1"/>
  <c r="U186" i="4" a="1"/>
  <c r="U186" i="4" s="1"/>
  <c r="U187" i="4" a="1"/>
  <c r="U187" i="4" s="1"/>
  <c r="U188" i="4" a="1"/>
  <c r="U188" i="4" s="1"/>
  <c r="U189" i="4" a="1"/>
  <c r="U189" i="4" s="1"/>
  <c r="U190" i="4" a="1"/>
  <c r="U190" i="4" s="1"/>
  <c r="U191" i="4" a="1"/>
  <c r="U191" i="4" s="1"/>
  <c r="U192" i="4" a="1"/>
  <c r="U192" i="4" s="1"/>
  <c r="U193" i="4" a="1"/>
  <c r="U193" i="4" s="1"/>
  <c r="U194" i="4" a="1"/>
  <c r="U194" i="4" s="1"/>
  <c r="U195" i="4" a="1"/>
  <c r="U195" i="4" s="1"/>
  <c r="U196" i="4" a="1"/>
  <c r="U196" i="4" s="1"/>
  <c r="U197" i="4" a="1"/>
  <c r="U197" i="4" s="1"/>
  <c r="U198" i="4" a="1"/>
  <c r="U198" i="4" s="1"/>
  <c r="U199" i="4" a="1"/>
  <c r="U199" i="4" s="1"/>
  <c r="U200" i="4" a="1"/>
  <c r="U200" i="4" s="1"/>
  <c r="U201" i="4" a="1"/>
  <c r="U201" i="4" s="1"/>
  <c r="U202" i="4" a="1"/>
  <c r="U202" i="4" s="1"/>
  <c r="U203" i="4" a="1"/>
  <c r="U203" i="4" s="1"/>
  <c r="U204" i="4" a="1"/>
  <c r="U204" i="4" s="1"/>
  <c r="U205" i="4" a="1"/>
  <c r="U205" i="4" s="1"/>
  <c r="U206" i="4" a="1"/>
  <c r="U206" i="4" s="1"/>
  <c r="U207" i="4" a="1"/>
  <c r="U207" i="4" s="1"/>
  <c r="U208" i="4" a="1"/>
  <c r="U208" i="4" s="1"/>
  <c r="U209" i="4" a="1"/>
  <c r="U209" i="4" s="1"/>
  <c r="U210" i="4" a="1"/>
  <c r="U210" i="4" s="1"/>
  <c r="U211" i="4" a="1"/>
  <c r="U211" i="4" s="1"/>
  <c r="U212" i="4" a="1"/>
  <c r="U212" i="4" s="1"/>
  <c r="U213" i="4" a="1"/>
  <c r="U213" i="4" s="1"/>
  <c r="U214" i="4" a="1"/>
  <c r="U214" i="4" s="1"/>
  <c r="U215" i="4" a="1"/>
  <c r="U215" i="4" s="1"/>
  <c r="U216" i="4" a="1"/>
  <c r="U216" i="4" s="1"/>
  <c r="U217" i="4" a="1"/>
  <c r="U217" i="4" s="1"/>
  <c r="U218" i="4" a="1"/>
  <c r="U218" i="4" s="1"/>
  <c r="U219" i="4" a="1"/>
  <c r="U219" i="4" s="1"/>
  <c r="U220" i="4" a="1"/>
  <c r="U220" i="4" s="1"/>
  <c r="U221" i="4" a="1"/>
  <c r="U221" i="4" s="1"/>
  <c r="U222" i="4" a="1"/>
  <c r="U222" i="4" s="1"/>
  <c r="U223" i="4" a="1"/>
  <c r="U223" i="4" s="1"/>
  <c r="U224" i="4" a="1"/>
  <c r="U224" i="4" s="1"/>
  <c r="U225" i="4" a="1"/>
  <c r="U225" i="4" s="1"/>
  <c r="U226" i="4" a="1"/>
  <c r="U226" i="4" s="1"/>
  <c r="U227" i="4" a="1"/>
  <c r="U227" i="4" s="1"/>
  <c r="U228" i="4" a="1"/>
  <c r="U228" i="4" s="1"/>
  <c r="U229" i="4" a="1"/>
  <c r="U229" i="4" s="1"/>
  <c r="U230" i="4" a="1"/>
  <c r="U230" i="4" s="1"/>
  <c r="U231" i="4" a="1"/>
  <c r="U231" i="4" s="1"/>
  <c r="U232" i="4" a="1"/>
  <c r="U232" i="4" s="1"/>
  <c r="U233" i="4" a="1"/>
  <c r="U233" i="4" s="1"/>
  <c r="U234" i="4" a="1"/>
  <c r="U234" i="4" s="1"/>
  <c r="U235" i="4" a="1"/>
  <c r="U235" i="4" s="1"/>
  <c r="U236" i="4" a="1"/>
  <c r="U236" i="4" s="1"/>
  <c r="U237" i="4" a="1"/>
  <c r="U237" i="4" s="1"/>
  <c r="U238" i="4" a="1"/>
  <c r="U238" i="4" s="1"/>
  <c r="U239" i="4" a="1"/>
  <c r="U239" i="4" s="1"/>
  <c r="U240" i="4" a="1"/>
  <c r="U240" i="4" s="1"/>
  <c r="U241" i="4" a="1"/>
  <c r="U241" i="4" s="1"/>
  <c r="U242" i="4" a="1"/>
  <c r="U242" i="4" s="1"/>
  <c r="U243" i="4" a="1"/>
  <c r="U243" i="4" s="1"/>
  <c r="U244" i="4" a="1"/>
  <c r="U244" i="4" s="1"/>
  <c r="U245" i="4" a="1"/>
  <c r="U245" i="4" s="1"/>
  <c r="U246" i="4" a="1"/>
  <c r="U246" i="4" s="1"/>
  <c r="U247" i="4" a="1"/>
  <c r="U247" i="4" s="1"/>
  <c r="U248" i="4" a="1"/>
  <c r="U248" i="4" s="1"/>
  <c r="U249" i="4" a="1"/>
  <c r="U249" i="4" s="1"/>
  <c r="U250" i="4" a="1"/>
  <c r="U250" i="4" s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11" i="5"/>
  <c r="A3" i="5"/>
  <c r="A4" i="5"/>
  <c r="A5" i="5"/>
  <c r="A6" i="5"/>
  <c r="A7" i="5"/>
  <c r="A8" i="5"/>
  <c r="A9" i="5"/>
  <c r="A10" i="5"/>
  <c r="A2" i="5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2" i="1"/>
  <c r="E2" i="1" s="1"/>
  <c r="A43" i="4"/>
  <c r="C43" i="4"/>
  <c r="D43" i="4"/>
  <c r="G43" i="4"/>
  <c r="H43" i="4" s="1"/>
  <c r="F43" i="4" s="1"/>
  <c r="L43" i="4"/>
  <c r="N43" i="4" s="1"/>
  <c r="P43" i="4" s="1"/>
  <c r="M43" i="4"/>
  <c r="O43" i="4" s="1" a="1"/>
  <c r="O43" i="4" s="1"/>
  <c r="Q43" i="4" a="1"/>
  <c r="Q43" i="4" s="1"/>
  <c r="S43" i="4"/>
  <c r="T43" i="4" s="1" a="1"/>
  <c r="T43" i="4" s="1"/>
  <c r="A44" i="4"/>
  <c r="C44" i="4"/>
  <c r="D44" i="4" s="1"/>
  <c r="G44" i="4"/>
  <c r="H44" i="4" s="1"/>
  <c r="F44" i="4" s="1"/>
  <c r="L44" i="4"/>
  <c r="N44" i="4" s="1"/>
  <c r="P44" i="4" s="1"/>
  <c r="M44" i="4"/>
  <c r="O44" i="4" s="1" a="1"/>
  <c r="O44" i="4" s="1"/>
  <c r="Q44" i="4" a="1"/>
  <c r="Q44" i="4" s="1"/>
  <c r="S44" i="4"/>
  <c r="T44" i="4" s="1" a="1"/>
  <c r="T44" i="4" s="1"/>
  <c r="A45" i="4"/>
  <c r="C45" i="4"/>
  <c r="D45" i="4" s="1"/>
  <c r="G45" i="4"/>
  <c r="H45" i="4" s="1"/>
  <c r="F45" i="4" s="1"/>
  <c r="L45" i="4"/>
  <c r="N45" i="4" s="1"/>
  <c r="P45" i="4" s="1"/>
  <c r="M45" i="4"/>
  <c r="O45" i="4" s="1" a="1"/>
  <c r="O45" i="4" s="1"/>
  <c r="Q45" i="4" a="1"/>
  <c r="Q45" i="4" s="1"/>
  <c r="S45" i="4"/>
  <c r="T45" i="4" a="1"/>
  <c r="T45" i="4" s="1"/>
  <c r="A46" i="4"/>
  <c r="C46" i="4"/>
  <c r="D46" i="4" s="1"/>
  <c r="G46" i="4"/>
  <c r="H46" i="4" s="1"/>
  <c r="F46" i="4" s="1"/>
  <c r="L46" i="4"/>
  <c r="N46" i="4" s="1"/>
  <c r="P46" i="4" s="1"/>
  <c r="M46" i="4"/>
  <c r="O46" i="4" s="1" a="1"/>
  <c r="O46" i="4" s="1"/>
  <c r="Q46" i="4" a="1"/>
  <c r="Q46" i="4" s="1"/>
  <c r="S46" i="4"/>
  <c r="T46" i="4" s="1" a="1"/>
  <c r="T46" i="4" s="1"/>
  <c r="A47" i="4"/>
  <c r="C47" i="4"/>
  <c r="D47" i="4" s="1"/>
  <c r="G47" i="4"/>
  <c r="H47" i="4" s="1"/>
  <c r="F47" i="4" s="1"/>
  <c r="L47" i="4"/>
  <c r="N47" i="4" s="1"/>
  <c r="P47" i="4" s="1"/>
  <c r="M47" i="4"/>
  <c r="O47" i="4" s="1" a="1"/>
  <c r="O47" i="4" s="1"/>
  <c r="Q47" i="4" a="1"/>
  <c r="Q47" i="4" s="1"/>
  <c r="S47" i="4"/>
  <c r="T47" i="4" s="1" a="1"/>
  <c r="T47" i="4" s="1"/>
  <c r="A48" i="4"/>
  <c r="C48" i="4"/>
  <c r="D48" i="4" s="1"/>
  <c r="G48" i="4"/>
  <c r="H48" i="4" s="1"/>
  <c r="F48" i="4" s="1"/>
  <c r="L48" i="4"/>
  <c r="N48" i="4" s="1"/>
  <c r="P48" i="4" s="1"/>
  <c r="M48" i="4"/>
  <c r="O48" i="4" s="1" a="1"/>
  <c r="O48" i="4" s="1"/>
  <c r="Q48" i="4" a="1"/>
  <c r="Q48" i="4" s="1"/>
  <c r="S48" i="4"/>
  <c r="T48" i="4" s="1" a="1"/>
  <c r="T48" i="4" s="1"/>
  <c r="A49" i="4"/>
  <c r="C49" i="4"/>
  <c r="D49" i="4" s="1"/>
  <c r="G49" i="4"/>
  <c r="H49" i="4" s="1"/>
  <c r="F49" i="4" s="1"/>
  <c r="L49" i="4"/>
  <c r="N49" i="4" s="1"/>
  <c r="P49" i="4" s="1"/>
  <c r="M49" i="4"/>
  <c r="O49" i="4" s="1" a="1"/>
  <c r="O49" i="4" s="1"/>
  <c r="Q49" i="4" a="1"/>
  <c r="Q49" i="4" s="1"/>
  <c r="S49" i="4"/>
  <c r="T49" i="4" s="1" a="1"/>
  <c r="T49" i="4" s="1"/>
  <c r="A50" i="4"/>
  <c r="C50" i="4"/>
  <c r="D50" i="4" s="1"/>
  <c r="G50" i="4"/>
  <c r="H50" i="4" s="1"/>
  <c r="F50" i="4" s="1"/>
  <c r="L50" i="4"/>
  <c r="N50" i="4" s="1"/>
  <c r="P50" i="4" s="1"/>
  <c r="M50" i="4"/>
  <c r="O50" i="4" s="1" a="1"/>
  <c r="O50" i="4" s="1"/>
  <c r="Q50" i="4" a="1"/>
  <c r="Q50" i="4" s="1"/>
  <c r="S50" i="4"/>
  <c r="T50" i="4" s="1" a="1"/>
  <c r="T50" i="4" s="1"/>
  <c r="A51" i="4"/>
  <c r="C51" i="4"/>
  <c r="D51" i="4" s="1"/>
  <c r="G51" i="4"/>
  <c r="H51" i="4" s="1"/>
  <c r="F51" i="4" s="1"/>
  <c r="L51" i="4"/>
  <c r="N51" i="4" s="1"/>
  <c r="P51" i="4" s="1"/>
  <c r="M51" i="4"/>
  <c r="O51" i="4" s="1" a="1"/>
  <c r="O51" i="4" s="1"/>
  <c r="Q51" i="4" a="1"/>
  <c r="Q51" i="4" s="1"/>
  <c r="S51" i="4"/>
  <c r="T51" i="4" s="1" a="1"/>
  <c r="T51" i="4" s="1"/>
  <c r="A52" i="4"/>
  <c r="C52" i="4"/>
  <c r="D52" i="4" s="1"/>
  <c r="G52" i="4"/>
  <c r="H52" i="4" s="1"/>
  <c r="F52" i="4" s="1"/>
  <c r="L52" i="4"/>
  <c r="N52" i="4" s="1"/>
  <c r="P52" i="4" s="1"/>
  <c r="M52" i="4"/>
  <c r="O52" i="4" s="1" a="1"/>
  <c r="O52" i="4" s="1"/>
  <c r="Q52" i="4" a="1"/>
  <c r="Q52" i="4" s="1"/>
  <c r="S52" i="4"/>
  <c r="T52" i="4" s="1" a="1"/>
  <c r="T52" i="4" s="1"/>
  <c r="A53" i="4"/>
  <c r="C53" i="4"/>
  <c r="D53" i="4" s="1"/>
  <c r="G53" i="4"/>
  <c r="H53" i="4" s="1"/>
  <c r="F53" i="4" s="1"/>
  <c r="L53" i="4"/>
  <c r="N53" i="4" s="1"/>
  <c r="P53" i="4" s="1"/>
  <c r="M53" i="4"/>
  <c r="O53" i="4" s="1" a="1"/>
  <c r="O53" i="4" s="1"/>
  <c r="Q53" i="4" a="1"/>
  <c r="Q53" i="4" s="1"/>
  <c r="S53" i="4"/>
  <c r="T53" i="4" s="1" a="1"/>
  <c r="T53" i="4" s="1"/>
  <c r="A54" i="4"/>
  <c r="C54" i="4"/>
  <c r="D54" i="4" s="1"/>
  <c r="G54" i="4"/>
  <c r="H54" i="4" s="1"/>
  <c r="F54" i="4" s="1"/>
  <c r="L54" i="4"/>
  <c r="N54" i="4" s="1"/>
  <c r="P54" i="4" s="1"/>
  <c r="M54" i="4"/>
  <c r="O54" i="4" s="1" a="1"/>
  <c r="O54" i="4" s="1"/>
  <c r="Q54" i="4" a="1"/>
  <c r="Q54" i="4" s="1"/>
  <c r="S54" i="4"/>
  <c r="T54" i="4" s="1" a="1"/>
  <c r="T54" i="4" s="1"/>
  <c r="A55" i="4"/>
  <c r="C55" i="4"/>
  <c r="D55" i="4" s="1"/>
  <c r="G55" i="4"/>
  <c r="H55" i="4" s="1"/>
  <c r="F55" i="4" s="1"/>
  <c r="L55" i="4"/>
  <c r="N55" i="4" s="1"/>
  <c r="P55" i="4" s="1"/>
  <c r="M55" i="4"/>
  <c r="O55" i="4" s="1" a="1"/>
  <c r="O55" i="4" s="1"/>
  <c r="Q55" i="4" a="1"/>
  <c r="Q55" i="4" s="1"/>
  <c r="S55" i="4"/>
  <c r="T55" i="4" s="1" a="1"/>
  <c r="T55" i="4" s="1"/>
  <c r="A56" i="4"/>
  <c r="C56" i="4"/>
  <c r="D56" i="4" s="1"/>
  <c r="G56" i="4"/>
  <c r="H56" i="4" s="1"/>
  <c r="F56" i="4" s="1"/>
  <c r="L56" i="4"/>
  <c r="N56" i="4" s="1"/>
  <c r="P56" i="4" s="1"/>
  <c r="M56" i="4"/>
  <c r="O56" i="4" s="1" a="1"/>
  <c r="O56" i="4" s="1"/>
  <c r="Q56" i="4" a="1"/>
  <c r="Q56" i="4" s="1"/>
  <c r="S56" i="4"/>
  <c r="T56" i="4" s="1" a="1"/>
  <c r="T56" i="4" s="1"/>
  <c r="A57" i="4"/>
  <c r="C57" i="4"/>
  <c r="D57" i="4" s="1"/>
  <c r="G57" i="4"/>
  <c r="H57" i="4" s="1"/>
  <c r="F57" i="4" s="1"/>
  <c r="L57" i="4"/>
  <c r="N57" i="4" s="1"/>
  <c r="P57" i="4" s="1"/>
  <c r="M57" i="4"/>
  <c r="O57" i="4" s="1" a="1"/>
  <c r="O57" i="4" s="1"/>
  <c r="Q57" i="4" a="1"/>
  <c r="Q57" i="4" s="1"/>
  <c r="S57" i="4"/>
  <c r="T57" i="4" s="1" a="1"/>
  <c r="T57" i="4" s="1"/>
  <c r="A58" i="4"/>
  <c r="C58" i="4"/>
  <c r="D58" i="4" s="1"/>
  <c r="G58" i="4"/>
  <c r="H58" i="4" s="1"/>
  <c r="F58" i="4" s="1"/>
  <c r="L58" i="4"/>
  <c r="N58" i="4" s="1"/>
  <c r="P58" i="4" s="1"/>
  <c r="M58" i="4"/>
  <c r="O58" i="4" s="1" a="1"/>
  <c r="O58" i="4" s="1"/>
  <c r="Q58" i="4" a="1"/>
  <c r="Q58" i="4" s="1"/>
  <c r="S58" i="4"/>
  <c r="T58" i="4" s="1" a="1"/>
  <c r="T58" i="4" s="1"/>
  <c r="A59" i="4"/>
  <c r="C59" i="4"/>
  <c r="D59" i="4" s="1"/>
  <c r="G59" i="4"/>
  <c r="H59" i="4" s="1"/>
  <c r="F59" i="4" s="1"/>
  <c r="L59" i="4"/>
  <c r="N59" i="4" s="1"/>
  <c r="P59" i="4" s="1"/>
  <c r="M59" i="4"/>
  <c r="O59" i="4" s="1" a="1"/>
  <c r="O59" i="4" s="1"/>
  <c r="Q59" i="4" a="1"/>
  <c r="Q59" i="4" s="1"/>
  <c r="S59" i="4"/>
  <c r="T59" i="4" s="1" a="1"/>
  <c r="T59" i="4" s="1"/>
  <c r="A60" i="4"/>
  <c r="C60" i="4"/>
  <c r="D60" i="4" s="1"/>
  <c r="G60" i="4"/>
  <c r="H60" i="4" s="1"/>
  <c r="F60" i="4" s="1"/>
  <c r="L60" i="4"/>
  <c r="N60" i="4" s="1"/>
  <c r="P60" i="4" s="1"/>
  <c r="M60" i="4"/>
  <c r="O60" i="4" s="1" a="1"/>
  <c r="O60" i="4" s="1"/>
  <c r="Q60" i="4" a="1"/>
  <c r="Q60" i="4" s="1"/>
  <c r="S60" i="4"/>
  <c r="T60" i="4" s="1" a="1"/>
  <c r="T60" i="4" s="1"/>
  <c r="A61" i="4"/>
  <c r="C61" i="4"/>
  <c r="D61" i="4" s="1"/>
  <c r="G61" i="4"/>
  <c r="H61" i="4" s="1"/>
  <c r="F61" i="4" s="1"/>
  <c r="L61" i="4"/>
  <c r="N61" i="4" s="1"/>
  <c r="P61" i="4" s="1"/>
  <c r="M61" i="4"/>
  <c r="O61" i="4" s="1" a="1"/>
  <c r="O61" i="4" s="1"/>
  <c r="Q61" i="4" a="1"/>
  <c r="Q61" i="4" s="1"/>
  <c r="S61" i="4"/>
  <c r="T61" i="4" s="1" a="1"/>
  <c r="T61" i="4" s="1"/>
  <c r="A62" i="4"/>
  <c r="C62" i="4"/>
  <c r="D62" i="4" s="1"/>
  <c r="G62" i="4"/>
  <c r="H62" i="4" s="1"/>
  <c r="F62" i="4" s="1"/>
  <c r="L62" i="4"/>
  <c r="N62" i="4" s="1"/>
  <c r="P62" i="4" s="1"/>
  <c r="M62" i="4"/>
  <c r="O62" i="4" s="1" a="1"/>
  <c r="O62" i="4" s="1"/>
  <c r="Q62" i="4" a="1"/>
  <c r="Q62" i="4" s="1"/>
  <c r="S62" i="4"/>
  <c r="T62" i="4" s="1" a="1"/>
  <c r="T62" i="4" s="1"/>
  <c r="A63" i="4"/>
  <c r="C63" i="4"/>
  <c r="D63" i="4" s="1"/>
  <c r="G63" i="4"/>
  <c r="H63" i="4" s="1"/>
  <c r="F63" i="4" s="1"/>
  <c r="L63" i="4"/>
  <c r="N63" i="4" s="1"/>
  <c r="P63" i="4" s="1"/>
  <c r="M63" i="4"/>
  <c r="O63" i="4" s="1" a="1"/>
  <c r="O63" i="4" s="1"/>
  <c r="Q63" i="4" a="1"/>
  <c r="Q63" i="4" s="1"/>
  <c r="S63" i="4"/>
  <c r="T63" i="4" s="1" a="1"/>
  <c r="T63" i="4" s="1"/>
  <c r="A64" i="4"/>
  <c r="C64" i="4"/>
  <c r="D64" i="4" s="1"/>
  <c r="G64" i="4"/>
  <c r="H64" i="4" s="1"/>
  <c r="F64" i="4" s="1"/>
  <c r="L64" i="4"/>
  <c r="N64" i="4" s="1"/>
  <c r="P64" i="4" s="1"/>
  <c r="M64" i="4"/>
  <c r="O64" i="4" s="1" a="1"/>
  <c r="O64" i="4" s="1"/>
  <c r="Q64" i="4" a="1"/>
  <c r="Q64" i="4" s="1"/>
  <c r="S64" i="4"/>
  <c r="T64" i="4" s="1" a="1"/>
  <c r="T64" i="4" s="1"/>
  <c r="A65" i="4"/>
  <c r="C65" i="4"/>
  <c r="D65" i="4" s="1"/>
  <c r="G65" i="4"/>
  <c r="H65" i="4" s="1"/>
  <c r="F65" i="4" s="1"/>
  <c r="L65" i="4"/>
  <c r="N65" i="4" s="1"/>
  <c r="P65" i="4" s="1"/>
  <c r="M65" i="4"/>
  <c r="O65" i="4" s="1" a="1"/>
  <c r="O65" i="4" s="1"/>
  <c r="Q65" i="4" a="1"/>
  <c r="Q65" i="4" s="1"/>
  <c r="S65" i="4"/>
  <c r="T65" i="4" s="1" a="1"/>
  <c r="T65" i="4" s="1"/>
  <c r="A66" i="4"/>
  <c r="C66" i="4"/>
  <c r="D66" i="4" s="1"/>
  <c r="G66" i="4"/>
  <c r="H66" i="4" s="1"/>
  <c r="F66" i="4" s="1"/>
  <c r="L66" i="4"/>
  <c r="N66" i="4" s="1"/>
  <c r="P66" i="4" s="1"/>
  <c r="M66" i="4"/>
  <c r="O66" i="4" s="1" a="1"/>
  <c r="O66" i="4" s="1"/>
  <c r="Q66" i="4" a="1"/>
  <c r="Q66" i="4" s="1"/>
  <c r="S66" i="4"/>
  <c r="T66" i="4" s="1" a="1"/>
  <c r="T66" i="4" s="1"/>
  <c r="A67" i="4"/>
  <c r="C67" i="4"/>
  <c r="D67" i="4" s="1"/>
  <c r="G67" i="4"/>
  <c r="H67" i="4" s="1"/>
  <c r="F67" i="4" s="1"/>
  <c r="L67" i="4"/>
  <c r="N67" i="4" s="1"/>
  <c r="P67" i="4" s="1"/>
  <c r="M67" i="4"/>
  <c r="O67" i="4" s="1" a="1"/>
  <c r="O67" i="4" s="1"/>
  <c r="Q67" i="4" a="1"/>
  <c r="Q67" i="4" s="1"/>
  <c r="S67" i="4"/>
  <c r="T67" i="4" s="1" a="1"/>
  <c r="T67" i="4" s="1"/>
  <c r="A68" i="4"/>
  <c r="C68" i="4"/>
  <c r="D68" i="4" s="1"/>
  <c r="G68" i="4"/>
  <c r="H68" i="4" s="1"/>
  <c r="F68" i="4" s="1"/>
  <c r="L68" i="4"/>
  <c r="N68" i="4" s="1"/>
  <c r="P68" i="4" s="1"/>
  <c r="M68" i="4"/>
  <c r="O68" i="4" s="1" a="1"/>
  <c r="O68" i="4" s="1"/>
  <c r="Q68" i="4" a="1"/>
  <c r="Q68" i="4" s="1"/>
  <c r="S68" i="4"/>
  <c r="T68" i="4" s="1" a="1"/>
  <c r="T68" i="4" s="1"/>
  <c r="A69" i="4"/>
  <c r="C69" i="4"/>
  <c r="D69" i="4" s="1"/>
  <c r="G69" i="4"/>
  <c r="H69" i="4" s="1"/>
  <c r="F69" i="4" s="1"/>
  <c r="L69" i="4"/>
  <c r="N69" i="4" s="1"/>
  <c r="P69" i="4" s="1"/>
  <c r="M69" i="4"/>
  <c r="O69" i="4" s="1" a="1"/>
  <c r="O69" i="4" s="1"/>
  <c r="Q69" i="4" a="1"/>
  <c r="Q69" i="4" s="1"/>
  <c r="S69" i="4"/>
  <c r="T69" i="4" s="1" a="1"/>
  <c r="T69" i="4" s="1"/>
  <c r="A70" i="4"/>
  <c r="C70" i="4"/>
  <c r="D70" i="4" s="1"/>
  <c r="G70" i="4"/>
  <c r="H70" i="4" s="1"/>
  <c r="F70" i="4" s="1"/>
  <c r="L70" i="4"/>
  <c r="N70" i="4" s="1"/>
  <c r="P70" i="4" s="1"/>
  <c r="M70" i="4"/>
  <c r="O70" i="4" s="1" a="1"/>
  <c r="O70" i="4" s="1"/>
  <c r="Q70" i="4" a="1"/>
  <c r="Q70" i="4" s="1"/>
  <c r="S70" i="4"/>
  <c r="T70" i="4" s="1" a="1"/>
  <c r="T70" i="4" s="1"/>
  <c r="A71" i="4"/>
  <c r="C71" i="4"/>
  <c r="D71" i="4" s="1"/>
  <c r="G71" i="4"/>
  <c r="H71" i="4" s="1"/>
  <c r="F71" i="4" s="1"/>
  <c r="L71" i="4"/>
  <c r="N71" i="4" s="1"/>
  <c r="P71" i="4" s="1"/>
  <c r="M71" i="4"/>
  <c r="O71" i="4" s="1" a="1"/>
  <c r="O71" i="4" s="1"/>
  <c r="Q71" i="4" a="1"/>
  <c r="Q71" i="4" s="1"/>
  <c r="S71" i="4"/>
  <c r="T71" i="4" s="1" a="1"/>
  <c r="T71" i="4" s="1"/>
  <c r="A72" i="4"/>
  <c r="C72" i="4"/>
  <c r="D72" i="4" s="1"/>
  <c r="G72" i="4"/>
  <c r="H72" i="4" s="1"/>
  <c r="F72" i="4" s="1"/>
  <c r="L72" i="4"/>
  <c r="N72" i="4" s="1"/>
  <c r="P72" i="4" s="1"/>
  <c r="M72" i="4"/>
  <c r="O72" i="4" s="1" a="1"/>
  <c r="O72" i="4" s="1"/>
  <c r="Q72" i="4" a="1"/>
  <c r="Q72" i="4" s="1"/>
  <c r="S72" i="4"/>
  <c r="T72" i="4" s="1" a="1"/>
  <c r="T72" i="4" s="1"/>
  <c r="A73" i="4"/>
  <c r="C73" i="4"/>
  <c r="D73" i="4" s="1"/>
  <c r="G73" i="4"/>
  <c r="H73" i="4" s="1"/>
  <c r="F73" i="4" s="1"/>
  <c r="L73" i="4"/>
  <c r="N73" i="4" s="1"/>
  <c r="P73" i="4" s="1"/>
  <c r="M73" i="4"/>
  <c r="O73" i="4" s="1" a="1"/>
  <c r="O73" i="4" s="1"/>
  <c r="Q73" i="4" a="1"/>
  <c r="Q73" i="4" s="1"/>
  <c r="S73" i="4"/>
  <c r="T73" i="4" s="1" a="1"/>
  <c r="T73" i="4" s="1"/>
  <c r="A74" i="4"/>
  <c r="C74" i="4"/>
  <c r="D74" i="4" s="1"/>
  <c r="G74" i="4"/>
  <c r="H74" i="4" s="1"/>
  <c r="F74" i="4" s="1"/>
  <c r="L74" i="4"/>
  <c r="N74" i="4" s="1"/>
  <c r="P74" i="4" s="1"/>
  <c r="M74" i="4"/>
  <c r="O74" i="4" s="1" a="1"/>
  <c r="O74" i="4" s="1"/>
  <c r="Q74" i="4" a="1"/>
  <c r="Q74" i="4" s="1"/>
  <c r="S74" i="4"/>
  <c r="T74" i="4" s="1" a="1"/>
  <c r="T74" i="4" s="1"/>
  <c r="A75" i="4"/>
  <c r="C75" i="4"/>
  <c r="D75" i="4" s="1"/>
  <c r="G75" i="4"/>
  <c r="H75" i="4" s="1"/>
  <c r="F75" i="4" s="1"/>
  <c r="L75" i="4"/>
  <c r="N75" i="4" s="1"/>
  <c r="P75" i="4" s="1"/>
  <c r="M75" i="4"/>
  <c r="O75" i="4" s="1" a="1"/>
  <c r="O75" i="4" s="1"/>
  <c r="Q75" i="4" a="1"/>
  <c r="Q75" i="4" s="1"/>
  <c r="S75" i="4"/>
  <c r="T75" i="4" s="1" a="1"/>
  <c r="T75" i="4" s="1"/>
  <c r="A76" i="4"/>
  <c r="C76" i="4"/>
  <c r="D76" i="4" s="1"/>
  <c r="G76" i="4"/>
  <c r="H76" i="4" s="1"/>
  <c r="F76" i="4" s="1"/>
  <c r="L76" i="4"/>
  <c r="N76" i="4" s="1"/>
  <c r="P76" i="4" s="1"/>
  <c r="M76" i="4"/>
  <c r="O76" i="4" s="1" a="1"/>
  <c r="O76" i="4" s="1"/>
  <c r="Q76" i="4" a="1"/>
  <c r="Q76" i="4" s="1"/>
  <c r="S76" i="4"/>
  <c r="T76" i="4" s="1" a="1"/>
  <c r="T76" i="4" s="1"/>
  <c r="A77" i="4"/>
  <c r="C77" i="4"/>
  <c r="D77" i="4" s="1"/>
  <c r="G77" i="4"/>
  <c r="H77" i="4" s="1"/>
  <c r="F77" i="4" s="1"/>
  <c r="L77" i="4"/>
  <c r="N77" i="4" s="1"/>
  <c r="P77" i="4" s="1"/>
  <c r="M77" i="4"/>
  <c r="O77" i="4" s="1" a="1"/>
  <c r="O77" i="4" s="1"/>
  <c r="Q77" i="4" a="1"/>
  <c r="Q77" i="4" s="1"/>
  <c r="S77" i="4"/>
  <c r="T77" i="4" s="1" a="1"/>
  <c r="T77" i="4" s="1"/>
  <c r="A78" i="4"/>
  <c r="C78" i="4"/>
  <c r="D78" i="4" s="1"/>
  <c r="G78" i="4"/>
  <c r="H78" i="4" s="1"/>
  <c r="F78" i="4" s="1"/>
  <c r="L78" i="4"/>
  <c r="N78" i="4" s="1"/>
  <c r="P78" i="4" s="1"/>
  <c r="M78" i="4"/>
  <c r="O78" i="4" s="1" a="1"/>
  <c r="O78" i="4" s="1"/>
  <c r="Q78" i="4" a="1"/>
  <c r="Q78" i="4" s="1"/>
  <c r="S78" i="4"/>
  <c r="T78" i="4" s="1" a="1"/>
  <c r="T78" i="4" s="1"/>
  <c r="A79" i="4"/>
  <c r="C79" i="4"/>
  <c r="D79" i="4" s="1"/>
  <c r="G79" i="4"/>
  <c r="H79" i="4" s="1"/>
  <c r="F79" i="4" s="1"/>
  <c r="L79" i="4"/>
  <c r="N79" i="4" s="1"/>
  <c r="P79" i="4" s="1"/>
  <c r="M79" i="4"/>
  <c r="O79" i="4" s="1" a="1"/>
  <c r="O79" i="4" s="1"/>
  <c r="Q79" i="4" a="1"/>
  <c r="Q79" i="4" s="1"/>
  <c r="S79" i="4"/>
  <c r="T79" i="4" s="1" a="1"/>
  <c r="T79" i="4" s="1"/>
  <c r="A80" i="4"/>
  <c r="C80" i="4"/>
  <c r="D80" i="4" s="1"/>
  <c r="G80" i="4"/>
  <c r="H80" i="4" s="1"/>
  <c r="F80" i="4" s="1"/>
  <c r="L80" i="4"/>
  <c r="N80" i="4" s="1"/>
  <c r="P80" i="4" s="1"/>
  <c r="M80" i="4"/>
  <c r="O80" i="4" s="1" a="1"/>
  <c r="O80" i="4" s="1"/>
  <c r="Q80" i="4" a="1"/>
  <c r="Q80" i="4" s="1"/>
  <c r="S80" i="4"/>
  <c r="T80" i="4" s="1" a="1"/>
  <c r="T80" i="4" s="1"/>
  <c r="A81" i="4"/>
  <c r="C81" i="4"/>
  <c r="D81" i="4" s="1"/>
  <c r="G81" i="4"/>
  <c r="H81" i="4" s="1"/>
  <c r="F81" i="4" s="1"/>
  <c r="L81" i="4"/>
  <c r="N81" i="4" s="1"/>
  <c r="P81" i="4" s="1"/>
  <c r="M81" i="4"/>
  <c r="O81" i="4" s="1" a="1"/>
  <c r="O81" i="4" s="1"/>
  <c r="Q81" i="4" a="1"/>
  <c r="Q81" i="4" s="1"/>
  <c r="S81" i="4"/>
  <c r="T81" i="4" s="1" a="1"/>
  <c r="T81" i="4" s="1"/>
  <c r="A82" i="4"/>
  <c r="C82" i="4"/>
  <c r="D82" i="4" s="1"/>
  <c r="G82" i="4"/>
  <c r="H82" i="4" s="1"/>
  <c r="F82" i="4" s="1"/>
  <c r="L82" i="4"/>
  <c r="N82" i="4" s="1"/>
  <c r="P82" i="4" s="1"/>
  <c r="M82" i="4"/>
  <c r="O82" i="4" s="1" a="1"/>
  <c r="O82" i="4" s="1"/>
  <c r="Q82" i="4" a="1"/>
  <c r="Q82" i="4" s="1"/>
  <c r="S82" i="4"/>
  <c r="T82" i="4" s="1" a="1"/>
  <c r="T82" i="4" s="1"/>
  <c r="A83" i="4"/>
  <c r="C83" i="4"/>
  <c r="D83" i="4" s="1"/>
  <c r="G83" i="4"/>
  <c r="H83" i="4" s="1"/>
  <c r="F83" i="4" s="1"/>
  <c r="L83" i="4"/>
  <c r="N83" i="4" s="1"/>
  <c r="P83" i="4" s="1"/>
  <c r="M83" i="4"/>
  <c r="O83" i="4" s="1" a="1"/>
  <c r="O83" i="4" s="1"/>
  <c r="Q83" i="4" a="1"/>
  <c r="Q83" i="4" s="1"/>
  <c r="S83" i="4"/>
  <c r="T83" i="4" s="1" a="1"/>
  <c r="T83" i="4" s="1"/>
  <c r="A84" i="4"/>
  <c r="C84" i="4"/>
  <c r="D84" i="4" s="1"/>
  <c r="G84" i="4"/>
  <c r="H84" i="4" s="1"/>
  <c r="F84" i="4" s="1"/>
  <c r="L84" i="4"/>
  <c r="N84" i="4" s="1"/>
  <c r="P84" i="4" s="1"/>
  <c r="M84" i="4"/>
  <c r="O84" i="4" s="1" a="1"/>
  <c r="O84" i="4" s="1"/>
  <c r="Q84" i="4" a="1"/>
  <c r="Q84" i="4" s="1"/>
  <c r="S84" i="4"/>
  <c r="T84" i="4" s="1" a="1"/>
  <c r="T84" i="4" s="1"/>
  <c r="A85" i="4"/>
  <c r="C85" i="4"/>
  <c r="D85" i="4" s="1"/>
  <c r="G85" i="4"/>
  <c r="H85" i="4" s="1"/>
  <c r="F85" i="4" s="1"/>
  <c r="L85" i="4"/>
  <c r="N85" i="4" s="1"/>
  <c r="P85" i="4" s="1"/>
  <c r="M85" i="4"/>
  <c r="O85" i="4" s="1" a="1"/>
  <c r="O85" i="4" s="1"/>
  <c r="Q85" i="4" a="1"/>
  <c r="Q85" i="4" s="1"/>
  <c r="S85" i="4"/>
  <c r="T85" i="4" s="1" a="1"/>
  <c r="T85" i="4" s="1"/>
  <c r="A86" i="4"/>
  <c r="C86" i="4"/>
  <c r="D86" i="4" s="1"/>
  <c r="G86" i="4"/>
  <c r="H86" i="4" s="1"/>
  <c r="F86" i="4" s="1"/>
  <c r="L86" i="4"/>
  <c r="N86" i="4" s="1"/>
  <c r="P86" i="4" s="1"/>
  <c r="M86" i="4"/>
  <c r="O86" i="4" s="1" a="1"/>
  <c r="O86" i="4" s="1"/>
  <c r="Q86" i="4" a="1"/>
  <c r="Q86" i="4" s="1"/>
  <c r="S86" i="4"/>
  <c r="T86" i="4" s="1" a="1"/>
  <c r="T86" i="4" s="1"/>
  <c r="A87" i="4"/>
  <c r="C87" i="4"/>
  <c r="D87" i="4" s="1"/>
  <c r="G87" i="4"/>
  <c r="H87" i="4" s="1"/>
  <c r="F87" i="4" s="1"/>
  <c r="L87" i="4"/>
  <c r="N87" i="4" s="1"/>
  <c r="P87" i="4" s="1"/>
  <c r="M87" i="4"/>
  <c r="O87" i="4" s="1" a="1"/>
  <c r="O87" i="4" s="1"/>
  <c r="Q87" i="4" a="1"/>
  <c r="Q87" i="4" s="1"/>
  <c r="S87" i="4"/>
  <c r="T87" i="4" s="1" a="1"/>
  <c r="T87" i="4" s="1"/>
  <c r="A88" i="4"/>
  <c r="C88" i="4"/>
  <c r="D88" i="4" s="1"/>
  <c r="G88" i="4"/>
  <c r="H88" i="4" s="1"/>
  <c r="F88" i="4" s="1"/>
  <c r="L88" i="4"/>
  <c r="N88" i="4" s="1"/>
  <c r="P88" i="4" s="1"/>
  <c r="M88" i="4"/>
  <c r="O88" i="4" s="1" a="1"/>
  <c r="O88" i="4" s="1"/>
  <c r="Q88" i="4" a="1"/>
  <c r="Q88" i="4" s="1"/>
  <c r="S88" i="4"/>
  <c r="T88" i="4" s="1" a="1"/>
  <c r="T88" i="4" s="1"/>
  <c r="A89" i="4"/>
  <c r="F89" i="4"/>
  <c r="L89" i="4"/>
  <c r="N89" i="4" s="1"/>
  <c r="M89" i="4"/>
  <c r="S89" i="4"/>
  <c r="T89" i="4" s="1" a="1"/>
  <c r="T89" i="4" s="1"/>
  <c r="F90" i="4"/>
  <c r="L90" i="4"/>
  <c r="N90" i="4" s="1"/>
  <c r="M90" i="4"/>
  <c r="S90" i="4"/>
  <c r="T90" i="4" s="1" a="1"/>
  <c r="T90" i="4" s="1"/>
  <c r="F91" i="4"/>
  <c r="L91" i="4"/>
  <c r="N91" i="4" s="1"/>
  <c r="M91" i="4"/>
  <c r="S91" i="4"/>
  <c r="T91" i="4" s="1" a="1"/>
  <c r="T91" i="4" s="1"/>
  <c r="F92" i="4"/>
  <c r="L92" i="4"/>
  <c r="N92" i="4" s="1"/>
  <c r="M92" i="4"/>
  <c r="S92" i="4"/>
  <c r="T92" i="4" s="1" a="1"/>
  <c r="T92" i="4" s="1"/>
  <c r="F93" i="4"/>
  <c r="L93" i="4"/>
  <c r="N93" i="4" s="1"/>
  <c r="M93" i="4"/>
  <c r="S93" i="4"/>
  <c r="T93" i="4" s="1" a="1"/>
  <c r="T93" i="4" s="1"/>
  <c r="F94" i="4"/>
  <c r="L94" i="4"/>
  <c r="N94" i="4" s="1"/>
  <c r="M94" i="4"/>
  <c r="S94" i="4"/>
  <c r="T94" i="4" s="1" a="1"/>
  <c r="T94" i="4" s="1"/>
  <c r="F95" i="4"/>
  <c r="L95" i="4"/>
  <c r="N95" i="4" s="1"/>
  <c r="M95" i="4"/>
  <c r="S95" i="4"/>
  <c r="T95" i="4" s="1" a="1"/>
  <c r="T95" i="4" s="1"/>
  <c r="F96" i="4"/>
  <c r="L96" i="4"/>
  <c r="N96" i="4" s="1"/>
  <c r="M96" i="4"/>
  <c r="S96" i="4"/>
  <c r="T96" i="4" s="1" a="1"/>
  <c r="T96" i="4" s="1"/>
  <c r="F97" i="4"/>
  <c r="L97" i="4"/>
  <c r="N97" i="4" s="1"/>
  <c r="M97" i="4"/>
  <c r="S97" i="4"/>
  <c r="T97" i="4" s="1" a="1"/>
  <c r="T97" i="4" s="1"/>
  <c r="F98" i="4"/>
  <c r="L98" i="4"/>
  <c r="N98" i="4" s="1"/>
  <c r="M98" i="4"/>
  <c r="S98" i="4"/>
  <c r="T98" i="4" s="1" a="1"/>
  <c r="T98" i="4" s="1"/>
  <c r="F99" i="4"/>
  <c r="L99" i="4"/>
  <c r="N99" i="4" s="1"/>
  <c r="M99" i="4"/>
  <c r="S99" i="4"/>
  <c r="T99" i="4" s="1" a="1"/>
  <c r="T99" i="4" s="1"/>
  <c r="F100" i="4"/>
  <c r="L100" i="4"/>
  <c r="N100" i="4" s="1"/>
  <c r="M100" i="4"/>
  <c r="S100" i="4"/>
  <c r="T100" i="4" s="1" a="1"/>
  <c r="T100" i="4" s="1"/>
  <c r="F101" i="4"/>
  <c r="L101" i="4"/>
  <c r="N101" i="4" s="1"/>
  <c r="M101" i="4"/>
  <c r="S101" i="4"/>
  <c r="T101" i="4" s="1" a="1"/>
  <c r="T101" i="4" s="1"/>
  <c r="F102" i="4"/>
  <c r="L102" i="4"/>
  <c r="N102" i="4" s="1"/>
  <c r="M102" i="4"/>
  <c r="S102" i="4"/>
  <c r="T102" i="4" s="1" a="1"/>
  <c r="T102" i="4" s="1"/>
  <c r="F103" i="4"/>
  <c r="L103" i="4"/>
  <c r="N103" i="4" s="1"/>
  <c r="M103" i="4"/>
  <c r="S103" i="4"/>
  <c r="T103" i="4" s="1" a="1"/>
  <c r="T103" i="4" s="1"/>
  <c r="F104" i="4"/>
  <c r="L104" i="4"/>
  <c r="N104" i="4" s="1"/>
  <c r="M104" i="4"/>
  <c r="S104" i="4"/>
  <c r="T104" i="4" s="1" a="1"/>
  <c r="T104" i="4" s="1"/>
  <c r="F105" i="4"/>
  <c r="L105" i="4"/>
  <c r="N105" i="4" s="1"/>
  <c r="M105" i="4"/>
  <c r="S105" i="4"/>
  <c r="T105" i="4" s="1" a="1"/>
  <c r="T105" i="4" s="1"/>
  <c r="F106" i="4"/>
  <c r="L106" i="4"/>
  <c r="N106" i="4" s="1"/>
  <c r="M106" i="4"/>
  <c r="S106" i="4"/>
  <c r="T106" i="4" s="1" a="1"/>
  <c r="T106" i="4" s="1"/>
  <c r="F107" i="4"/>
  <c r="L107" i="4"/>
  <c r="N107" i="4" s="1"/>
  <c r="M107" i="4"/>
  <c r="S107" i="4"/>
  <c r="T107" i="4" s="1" a="1"/>
  <c r="T107" i="4" s="1"/>
  <c r="F108" i="4"/>
  <c r="L108" i="4"/>
  <c r="N108" i="4" s="1"/>
  <c r="M108" i="4"/>
  <c r="S108" i="4"/>
  <c r="T108" i="4" s="1" a="1"/>
  <c r="T108" i="4" s="1"/>
  <c r="F109" i="4"/>
  <c r="L109" i="4"/>
  <c r="N109" i="4" s="1"/>
  <c r="M109" i="4"/>
  <c r="S109" i="4"/>
  <c r="T109" i="4" s="1" a="1"/>
  <c r="T109" i="4" s="1"/>
  <c r="F110" i="4"/>
  <c r="L110" i="4"/>
  <c r="N110" i="4" s="1"/>
  <c r="M110" i="4"/>
  <c r="S110" i="4"/>
  <c r="T110" i="4" s="1" a="1"/>
  <c r="T110" i="4" s="1"/>
  <c r="F111" i="4"/>
  <c r="L111" i="4"/>
  <c r="N111" i="4" s="1"/>
  <c r="M111" i="4"/>
  <c r="S111" i="4"/>
  <c r="T111" i="4" s="1" a="1"/>
  <c r="T111" i="4" s="1"/>
  <c r="F112" i="4"/>
  <c r="L112" i="4"/>
  <c r="N112" i="4" s="1"/>
  <c r="M112" i="4"/>
  <c r="S112" i="4"/>
  <c r="T112" i="4" s="1" a="1"/>
  <c r="T112" i="4" s="1"/>
  <c r="F113" i="4"/>
  <c r="L113" i="4"/>
  <c r="N113" i="4" s="1"/>
  <c r="M113" i="4"/>
  <c r="S113" i="4"/>
  <c r="T113" i="4" s="1" a="1"/>
  <c r="T113" i="4" s="1"/>
  <c r="F114" i="4"/>
  <c r="L114" i="4"/>
  <c r="N114" i="4" s="1"/>
  <c r="M114" i="4"/>
  <c r="S114" i="4"/>
  <c r="T114" i="4" s="1" a="1"/>
  <c r="T114" i="4" s="1"/>
  <c r="F115" i="4"/>
  <c r="L115" i="4"/>
  <c r="N115" i="4" s="1"/>
  <c r="M115" i="4"/>
  <c r="S115" i="4"/>
  <c r="T115" i="4" s="1" a="1"/>
  <c r="T115" i="4" s="1"/>
  <c r="F116" i="4"/>
  <c r="L116" i="4"/>
  <c r="N116" i="4" s="1"/>
  <c r="M116" i="4"/>
  <c r="S116" i="4"/>
  <c r="T116" i="4" s="1" a="1"/>
  <c r="T116" i="4" s="1"/>
  <c r="F117" i="4"/>
  <c r="L117" i="4"/>
  <c r="N117" i="4" s="1"/>
  <c r="M117" i="4"/>
  <c r="S117" i="4"/>
  <c r="T117" i="4" s="1" a="1"/>
  <c r="T117" i="4" s="1"/>
  <c r="F118" i="4"/>
  <c r="L118" i="4"/>
  <c r="N118" i="4" s="1"/>
  <c r="M118" i="4"/>
  <c r="S118" i="4"/>
  <c r="T118" i="4" s="1" a="1"/>
  <c r="T118" i="4" s="1"/>
  <c r="F119" i="4"/>
  <c r="L119" i="4"/>
  <c r="N119" i="4" s="1"/>
  <c r="M119" i="4"/>
  <c r="S119" i="4"/>
  <c r="T119" i="4" s="1" a="1"/>
  <c r="T119" i="4" s="1"/>
  <c r="F120" i="4"/>
  <c r="L120" i="4"/>
  <c r="N120" i="4" s="1"/>
  <c r="M120" i="4"/>
  <c r="S120" i="4"/>
  <c r="T120" i="4" s="1" a="1"/>
  <c r="T120" i="4" s="1"/>
  <c r="F121" i="4"/>
  <c r="L121" i="4"/>
  <c r="N121" i="4" s="1"/>
  <c r="M121" i="4"/>
  <c r="S121" i="4"/>
  <c r="T121" i="4" s="1" a="1"/>
  <c r="T121" i="4" s="1"/>
  <c r="F122" i="4"/>
  <c r="L122" i="4"/>
  <c r="N122" i="4" s="1"/>
  <c r="M122" i="4"/>
  <c r="S122" i="4"/>
  <c r="T122" i="4" s="1" a="1"/>
  <c r="T122" i="4" s="1"/>
  <c r="F123" i="4"/>
  <c r="L123" i="4"/>
  <c r="N123" i="4" s="1"/>
  <c r="M123" i="4"/>
  <c r="S123" i="4"/>
  <c r="T123" i="4" s="1" a="1"/>
  <c r="T123" i="4" s="1"/>
  <c r="F124" i="4"/>
  <c r="L124" i="4"/>
  <c r="N124" i="4" s="1"/>
  <c r="M124" i="4"/>
  <c r="S124" i="4"/>
  <c r="T124" i="4" s="1" a="1"/>
  <c r="T124" i="4" s="1"/>
  <c r="F125" i="4"/>
  <c r="L125" i="4"/>
  <c r="N125" i="4" s="1"/>
  <c r="M125" i="4"/>
  <c r="S125" i="4"/>
  <c r="T125" i="4" s="1" a="1"/>
  <c r="T125" i="4" s="1"/>
  <c r="F126" i="4"/>
  <c r="L126" i="4"/>
  <c r="N126" i="4" s="1"/>
  <c r="M126" i="4"/>
  <c r="S126" i="4"/>
  <c r="T126" i="4" s="1" a="1"/>
  <c r="T126" i="4" s="1"/>
  <c r="F127" i="4"/>
  <c r="L127" i="4"/>
  <c r="N127" i="4" s="1"/>
  <c r="M127" i="4"/>
  <c r="S127" i="4"/>
  <c r="T127" i="4" s="1" a="1"/>
  <c r="T127" i="4" s="1"/>
  <c r="F128" i="4"/>
  <c r="L128" i="4"/>
  <c r="N128" i="4" s="1"/>
  <c r="M128" i="4"/>
  <c r="S128" i="4"/>
  <c r="T128" i="4" s="1" a="1"/>
  <c r="T128" i="4" s="1"/>
  <c r="F129" i="4"/>
  <c r="L129" i="4"/>
  <c r="N129" i="4" s="1"/>
  <c r="M129" i="4"/>
  <c r="S129" i="4"/>
  <c r="T129" i="4" s="1" a="1"/>
  <c r="T129" i="4" s="1"/>
  <c r="F130" i="4"/>
  <c r="L130" i="4"/>
  <c r="N130" i="4" s="1"/>
  <c r="M130" i="4"/>
  <c r="S130" i="4"/>
  <c r="T130" i="4" s="1" a="1"/>
  <c r="T130" i="4" s="1"/>
  <c r="F131" i="4"/>
  <c r="L131" i="4"/>
  <c r="N131" i="4" s="1"/>
  <c r="M131" i="4"/>
  <c r="S131" i="4"/>
  <c r="T131" i="4" s="1" a="1"/>
  <c r="T131" i="4" s="1"/>
  <c r="F132" i="4"/>
  <c r="L132" i="4"/>
  <c r="N132" i="4" s="1"/>
  <c r="M132" i="4"/>
  <c r="S132" i="4"/>
  <c r="T132" i="4" s="1" a="1"/>
  <c r="T132" i="4" s="1"/>
  <c r="F133" i="4"/>
  <c r="L133" i="4"/>
  <c r="N133" i="4" s="1"/>
  <c r="M133" i="4"/>
  <c r="S133" i="4"/>
  <c r="T133" i="4" s="1" a="1"/>
  <c r="T133" i="4" s="1"/>
  <c r="F134" i="4"/>
  <c r="L134" i="4"/>
  <c r="N134" i="4" s="1"/>
  <c r="M134" i="4"/>
  <c r="S134" i="4"/>
  <c r="T134" i="4" s="1" a="1"/>
  <c r="T134" i="4" s="1"/>
  <c r="F135" i="4"/>
  <c r="L135" i="4"/>
  <c r="N135" i="4" s="1"/>
  <c r="M135" i="4"/>
  <c r="S135" i="4"/>
  <c r="T135" i="4" s="1" a="1"/>
  <c r="T135" i="4" s="1"/>
  <c r="F136" i="4"/>
  <c r="L136" i="4"/>
  <c r="N136" i="4" s="1"/>
  <c r="M136" i="4"/>
  <c r="S136" i="4"/>
  <c r="T136" i="4" s="1" a="1"/>
  <c r="T136" i="4" s="1"/>
  <c r="F137" i="4"/>
  <c r="L137" i="4"/>
  <c r="N137" i="4" s="1"/>
  <c r="M137" i="4"/>
  <c r="S137" i="4"/>
  <c r="T137" i="4" s="1" a="1"/>
  <c r="T137" i="4" s="1"/>
  <c r="F138" i="4"/>
  <c r="L138" i="4"/>
  <c r="N138" i="4" s="1"/>
  <c r="M138" i="4"/>
  <c r="S138" i="4"/>
  <c r="T138" i="4" s="1" a="1"/>
  <c r="T138" i="4" s="1"/>
  <c r="F139" i="4"/>
  <c r="L139" i="4"/>
  <c r="N139" i="4" s="1"/>
  <c r="M139" i="4"/>
  <c r="S139" i="4"/>
  <c r="T139" i="4" s="1" a="1"/>
  <c r="T139" i="4" s="1"/>
  <c r="F140" i="4"/>
  <c r="L140" i="4"/>
  <c r="N140" i="4" s="1"/>
  <c r="M140" i="4"/>
  <c r="S140" i="4"/>
  <c r="T140" i="4" s="1" a="1"/>
  <c r="T140" i="4" s="1"/>
  <c r="F141" i="4"/>
  <c r="L141" i="4"/>
  <c r="N141" i="4" s="1"/>
  <c r="M141" i="4"/>
  <c r="S141" i="4"/>
  <c r="T141" i="4" s="1" a="1"/>
  <c r="T141" i="4" s="1"/>
  <c r="F142" i="4"/>
  <c r="L142" i="4"/>
  <c r="N142" i="4" s="1"/>
  <c r="M142" i="4"/>
  <c r="S142" i="4"/>
  <c r="T142" i="4" s="1" a="1"/>
  <c r="T142" i="4" s="1"/>
  <c r="F143" i="4"/>
  <c r="L143" i="4"/>
  <c r="N143" i="4" s="1"/>
  <c r="M143" i="4"/>
  <c r="S143" i="4"/>
  <c r="T143" i="4" s="1" a="1"/>
  <c r="T143" i="4" s="1"/>
  <c r="F144" i="4"/>
  <c r="L144" i="4"/>
  <c r="N144" i="4" s="1"/>
  <c r="M144" i="4"/>
  <c r="S144" i="4"/>
  <c r="T144" i="4" s="1" a="1"/>
  <c r="T144" i="4" s="1"/>
  <c r="F145" i="4"/>
  <c r="L145" i="4"/>
  <c r="N145" i="4" s="1"/>
  <c r="M145" i="4"/>
  <c r="S145" i="4"/>
  <c r="T145" i="4" s="1" a="1"/>
  <c r="T145" i="4" s="1"/>
  <c r="F146" i="4"/>
  <c r="L146" i="4"/>
  <c r="N146" i="4" s="1"/>
  <c r="M146" i="4"/>
  <c r="S146" i="4"/>
  <c r="T146" i="4" s="1" a="1"/>
  <c r="T146" i="4" s="1"/>
  <c r="F147" i="4"/>
  <c r="L147" i="4"/>
  <c r="N147" i="4" s="1"/>
  <c r="M147" i="4"/>
  <c r="S147" i="4"/>
  <c r="T147" i="4" s="1" a="1"/>
  <c r="T147" i="4" s="1"/>
  <c r="F148" i="4"/>
  <c r="L148" i="4"/>
  <c r="N148" i="4" s="1"/>
  <c r="M148" i="4"/>
  <c r="S148" i="4"/>
  <c r="T148" i="4" s="1" a="1"/>
  <c r="T148" i="4" s="1"/>
  <c r="F149" i="4"/>
  <c r="L149" i="4"/>
  <c r="N149" i="4" s="1"/>
  <c r="M149" i="4"/>
  <c r="S149" i="4"/>
  <c r="T149" i="4" s="1" a="1"/>
  <c r="T149" i="4" s="1"/>
  <c r="F150" i="4"/>
  <c r="L150" i="4"/>
  <c r="N150" i="4" s="1"/>
  <c r="M150" i="4"/>
  <c r="S150" i="4"/>
  <c r="T150" i="4" s="1" a="1"/>
  <c r="T150" i="4" s="1"/>
  <c r="F151" i="4"/>
  <c r="L151" i="4"/>
  <c r="N151" i="4" s="1"/>
  <c r="M151" i="4"/>
  <c r="S151" i="4"/>
  <c r="T151" i="4" s="1" a="1"/>
  <c r="T151" i="4" s="1"/>
  <c r="F152" i="4"/>
  <c r="L152" i="4"/>
  <c r="N152" i="4" s="1"/>
  <c r="M152" i="4"/>
  <c r="S152" i="4"/>
  <c r="T152" i="4" s="1" a="1"/>
  <c r="T152" i="4" s="1"/>
  <c r="F153" i="4"/>
  <c r="L153" i="4"/>
  <c r="N153" i="4" s="1"/>
  <c r="M153" i="4"/>
  <c r="S153" i="4"/>
  <c r="T153" i="4" s="1" a="1"/>
  <c r="T153" i="4" s="1"/>
  <c r="F154" i="4"/>
  <c r="L154" i="4"/>
  <c r="N154" i="4" s="1"/>
  <c r="M154" i="4"/>
  <c r="S154" i="4"/>
  <c r="T154" i="4" s="1" a="1"/>
  <c r="T154" i="4" s="1"/>
  <c r="F155" i="4"/>
  <c r="L155" i="4"/>
  <c r="N155" i="4" s="1"/>
  <c r="M155" i="4"/>
  <c r="S155" i="4"/>
  <c r="T155" i="4" s="1" a="1"/>
  <c r="T155" i="4" s="1"/>
  <c r="F156" i="4"/>
  <c r="L156" i="4"/>
  <c r="N156" i="4" s="1"/>
  <c r="M156" i="4"/>
  <c r="S156" i="4"/>
  <c r="T156" i="4" s="1" a="1"/>
  <c r="T156" i="4" s="1"/>
  <c r="F157" i="4"/>
  <c r="L157" i="4"/>
  <c r="N157" i="4" s="1"/>
  <c r="M157" i="4"/>
  <c r="S157" i="4"/>
  <c r="T157" i="4" s="1" a="1"/>
  <c r="T157" i="4" s="1"/>
  <c r="F158" i="4"/>
  <c r="L158" i="4"/>
  <c r="N158" i="4" s="1"/>
  <c r="M158" i="4"/>
  <c r="S158" i="4"/>
  <c r="T158" i="4" s="1" a="1"/>
  <c r="T158" i="4" s="1"/>
  <c r="F159" i="4"/>
  <c r="L159" i="4"/>
  <c r="N159" i="4" s="1"/>
  <c r="M159" i="4"/>
  <c r="S159" i="4"/>
  <c r="T159" i="4" s="1" a="1"/>
  <c r="T159" i="4" s="1"/>
  <c r="F160" i="4"/>
  <c r="L160" i="4"/>
  <c r="N160" i="4" s="1"/>
  <c r="M160" i="4"/>
  <c r="S160" i="4"/>
  <c r="T160" i="4" s="1" a="1"/>
  <c r="T160" i="4" s="1"/>
  <c r="F161" i="4"/>
  <c r="L161" i="4"/>
  <c r="N161" i="4" s="1"/>
  <c r="M161" i="4"/>
  <c r="S161" i="4"/>
  <c r="T161" i="4" s="1" a="1"/>
  <c r="T161" i="4" s="1"/>
  <c r="F162" i="4"/>
  <c r="L162" i="4"/>
  <c r="N162" i="4" s="1"/>
  <c r="M162" i="4"/>
  <c r="S162" i="4"/>
  <c r="T162" i="4" s="1" a="1"/>
  <c r="T162" i="4" s="1"/>
  <c r="F163" i="4"/>
  <c r="L163" i="4"/>
  <c r="N163" i="4" s="1"/>
  <c r="M163" i="4"/>
  <c r="S163" i="4"/>
  <c r="T163" i="4" s="1" a="1"/>
  <c r="T163" i="4" s="1"/>
  <c r="F164" i="4"/>
  <c r="L164" i="4"/>
  <c r="N164" i="4" s="1"/>
  <c r="M164" i="4"/>
  <c r="S164" i="4"/>
  <c r="T164" i="4" s="1" a="1"/>
  <c r="T164" i="4" s="1"/>
  <c r="F165" i="4"/>
  <c r="L165" i="4"/>
  <c r="N165" i="4" s="1"/>
  <c r="M165" i="4"/>
  <c r="S165" i="4"/>
  <c r="T165" i="4" s="1" a="1"/>
  <c r="T165" i="4" s="1"/>
  <c r="F166" i="4"/>
  <c r="L166" i="4"/>
  <c r="N166" i="4" s="1"/>
  <c r="M166" i="4"/>
  <c r="S166" i="4"/>
  <c r="T166" i="4" s="1" a="1"/>
  <c r="T166" i="4" s="1"/>
  <c r="F167" i="4"/>
  <c r="L167" i="4"/>
  <c r="N167" i="4" s="1"/>
  <c r="M167" i="4"/>
  <c r="S167" i="4"/>
  <c r="T167" i="4" s="1" a="1"/>
  <c r="T167" i="4" s="1"/>
  <c r="F168" i="4"/>
  <c r="L168" i="4"/>
  <c r="N168" i="4" s="1"/>
  <c r="M168" i="4"/>
  <c r="S168" i="4"/>
  <c r="T168" i="4" s="1" a="1"/>
  <c r="T168" i="4" s="1"/>
  <c r="F169" i="4"/>
  <c r="L169" i="4"/>
  <c r="N169" i="4" s="1"/>
  <c r="M169" i="4"/>
  <c r="S169" i="4"/>
  <c r="T169" i="4" s="1" a="1"/>
  <c r="T169" i="4" s="1"/>
  <c r="F170" i="4"/>
  <c r="L170" i="4"/>
  <c r="N170" i="4" s="1"/>
  <c r="M170" i="4"/>
  <c r="S170" i="4"/>
  <c r="T170" i="4" s="1" a="1"/>
  <c r="T170" i="4" s="1"/>
  <c r="F171" i="4"/>
  <c r="L171" i="4"/>
  <c r="N171" i="4" s="1"/>
  <c r="M171" i="4"/>
  <c r="S171" i="4"/>
  <c r="T171" i="4" s="1" a="1"/>
  <c r="T171" i="4" s="1"/>
  <c r="F172" i="4"/>
  <c r="L172" i="4"/>
  <c r="N172" i="4" s="1"/>
  <c r="M172" i="4"/>
  <c r="S172" i="4"/>
  <c r="T172" i="4" s="1" a="1"/>
  <c r="T172" i="4" s="1"/>
  <c r="F173" i="4"/>
  <c r="L173" i="4"/>
  <c r="N173" i="4" s="1"/>
  <c r="M173" i="4"/>
  <c r="S173" i="4"/>
  <c r="T173" i="4" s="1" a="1"/>
  <c r="T173" i="4" s="1"/>
  <c r="F174" i="4"/>
  <c r="L174" i="4"/>
  <c r="N174" i="4" s="1"/>
  <c r="M174" i="4"/>
  <c r="S174" i="4"/>
  <c r="T174" i="4" s="1" a="1"/>
  <c r="T174" i="4" s="1"/>
  <c r="F175" i="4"/>
  <c r="L175" i="4"/>
  <c r="N175" i="4" s="1"/>
  <c r="M175" i="4"/>
  <c r="S175" i="4"/>
  <c r="T175" i="4" s="1" a="1"/>
  <c r="T175" i="4" s="1"/>
  <c r="F176" i="4"/>
  <c r="L176" i="4"/>
  <c r="N176" i="4" s="1"/>
  <c r="M176" i="4"/>
  <c r="S176" i="4"/>
  <c r="T176" i="4" s="1" a="1"/>
  <c r="T176" i="4" s="1"/>
  <c r="F177" i="4"/>
  <c r="L177" i="4"/>
  <c r="N177" i="4" s="1"/>
  <c r="M177" i="4"/>
  <c r="S177" i="4"/>
  <c r="T177" i="4" s="1" a="1"/>
  <c r="T177" i="4" s="1"/>
  <c r="F178" i="4"/>
  <c r="L178" i="4"/>
  <c r="N178" i="4" s="1"/>
  <c r="M178" i="4"/>
  <c r="S178" i="4"/>
  <c r="T178" i="4" s="1" a="1"/>
  <c r="T178" i="4" s="1"/>
  <c r="F179" i="4"/>
  <c r="L179" i="4"/>
  <c r="N179" i="4" s="1"/>
  <c r="M179" i="4"/>
  <c r="S179" i="4"/>
  <c r="T179" i="4" s="1" a="1"/>
  <c r="T179" i="4" s="1"/>
  <c r="F180" i="4"/>
  <c r="L180" i="4"/>
  <c r="N180" i="4" s="1"/>
  <c r="M180" i="4"/>
  <c r="S180" i="4"/>
  <c r="T180" i="4" s="1" a="1"/>
  <c r="T180" i="4" s="1"/>
  <c r="F181" i="4"/>
  <c r="L181" i="4"/>
  <c r="N181" i="4" s="1"/>
  <c r="M181" i="4"/>
  <c r="S181" i="4"/>
  <c r="T181" i="4" s="1" a="1"/>
  <c r="T181" i="4" s="1"/>
  <c r="F182" i="4"/>
  <c r="L182" i="4"/>
  <c r="N182" i="4" s="1"/>
  <c r="M182" i="4"/>
  <c r="S182" i="4"/>
  <c r="T182" i="4" s="1" a="1"/>
  <c r="T182" i="4" s="1"/>
  <c r="F183" i="4"/>
  <c r="L183" i="4"/>
  <c r="N183" i="4" s="1"/>
  <c r="M183" i="4"/>
  <c r="S183" i="4"/>
  <c r="T183" i="4" s="1" a="1"/>
  <c r="T183" i="4" s="1"/>
  <c r="F184" i="4"/>
  <c r="L184" i="4"/>
  <c r="N184" i="4" s="1"/>
  <c r="M184" i="4"/>
  <c r="S184" i="4"/>
  <c r="T184" i="4" s="1" a="1"/>
  <c r="T184" i="4" s="1"/>
  <c r="F185" i="4"/>
  <c r="L185" i="4"/>
  <c r="N185" i="4" s="1"/>
  <c r="M185" i="4"/>
  <c r="S185" i="4"/>
  <c r="T185" i="4" s="1" a="1"/>
  <c r="T185" i="4" s="1"/>
  <c r="F186" i="4"/>
  <c r="L186" i="4"/>
  <c r="N186" i="4" s="1"/>
  <c r="M186" i="4"/>
  <c r="S186" i="4"/>
  <c r="T186" i="4" s="1" a="1"/>
  <c r="T186" i="4" s="1"/>
  <c r="F187" i="4"/>
  <c r="L187" i="4"/>
  <c r="N187" i="4" s="1"/>
  <c r="M187" i="4"/>
  <c r="S187" i="4"/>
  <c r="T187" i="4" s="1" a="1"/>
  <c r="T187" i="4" s="1"/>
  <c r="F188" i="4"/>
  <c r="L188" i="4"/>
  <c r="N188" i="4" s="1"/>
  <c r="M188" i="4"/>
  <c r="S188" i="4"/>
  <c r="T188" i="4" s="1" a="1"/>
  <c r="T188" i="4" s="1"/>
  <c r="F189" i="4"/>
  <c r="L189" i="4"/>
  <c r="N189" i="4" s="1"/>
  <c r="M189" i="4"/>
  <c r="S189" i="4"/>
  <c r="T189" i="4" s="1" a="1"/>
  <c r="T189" i="4" s="1"/>
  <c r="F190" i="4"/>
  <c r="L190" i="4"/>
  <c r="N190" i="4" s="1"/>
  <c r="M190" i="4"/>
  <c r="S190" i="4"/>
  <c r="T190" i="4" s="1" a="1"/>
  <c r="T190" i="4" s="1"/>
  <c r="F191" i="4"/>
  <c r="L191" i="4"/>
  <c r="N191" i="4" s="1"/>
  <c r="M191" i="4"/>
  <c r="S191" i="4"/>
  <c r="T191" i="4" s="1" a="1"/>
  <c r="T191" i="4" s="1"/>
  <c r="F192" i="4"/>
  <c r="L192" i="4"/>
  <c r="N192" i="4" s="1"/>
  <c r="M192" i="4"/>
  <c r="S192" i="4"/>
  <c r="T192" i="4" s="1" a="1"/>
  <c r="T192" i="4" s="1"/>
  <c r="F193" i="4"/>
  <c r="L193" i="4"/>
  <c r="N193" i="4" s="1"/>
  <c r="M193" i="4"/>
  <c r="S193" i="4"/>
  <c r="T193" i="4" s="1" a="1"/>
  <c r="T193" i="4" s="1"/>
  <c r="F194" i="4"/>
  <c r="L194" i="4"/>
  <c r="N194" i="4" s="1"/>
  <c r="M194" i="4"/>
  <c r="S194" i="4"/>
  <c r="T194" i="4" s="1" a="1"/>
  <c r="T194" i="4" s="1"/>
  <c r="F195" i="4"/>
  <c r="L195" i="4"/>
  <c r="N195" i="4" s="1"/>
  <c r="M195" i="4"/>
  <c r="S195" i="4"/>
  <c r="T195" i="4" s="1" a="1"/>
  <c r="T195" i="4" s="1"/>
  <c r="F196" i="4"/>
  <c r="L196" i="4"/>
  <c r="N196" i="4" s="1"/>
  <c r="M196" i="4"/>
  <c r="S196" i="4"/>
  <c r="T196" i="4" s="1" a="1"/>
  <c r="T196" i="4" s="1"/>
  <c r="F197" i="4"/>
  <c r="L197" i="4"/>
  <c r="N197" i="4" s="1"/>
  <c r="M197" i="4"/>
  <c r="S197" i="4"/>
  <c r="T197" i="4" s="1" a="1"/>
  <c r="T197" i="4" s="1"/>
  <c r="F198" i="4"/>
  <c r="L198" i="4"/>
  <c r="N198" i="4" s="1"/>
  <c r="M198" i="4"/>
  <c r="S198" i="4"/>
  <c r="T198" i="4" s="1" a="1"/>
  <c r="T198" i="4" s="1"/>
  <c r="F199" i="4"/>
  <c r="L199" i="4"/>
  <c r="N199" i="4" s="1"/>
  <c r="M199" i="4"/>
  <c r="S199" i="4"/>
  <c r="T199" i="4" s="1" a="1"/>
  <c r="T199" i="4" s="1"/>
  <c r="F200" i="4"/>
  <c r="L200" i="4"/>
  <c r="N200" i="4" s="1"/>
  <c r="M200" i="4"/>
  <c r="S200" i="4"/>
  <c r="T200" i="4" s="1" a="1"/>
  <c r="T200" i="4" s="1"/>
  <c r="F201" i="4"/>
  <c r="L201" i="4"/>
  <c r="N201" i="4" s="1"/>
  <c r="M201" i="4"/>
  <c r="S201" i="4"/>
  <c r="T201" i="4" s="1" a="1"/>
  <c r="T201" i="4" s="1"/>
  <c r="F202" i="4"/>
  <c r="L202" i="4"/>
  <c r="N202" i="4" s="1"/>
  <c r="M202" i="4"/>
  <c r="S202" i="4"/>
  <c r="T202" i="4" s="1" a="1"/>
  <c r="T202" i="4" s="1"/>
  <c r="F203" i="4"/>
  <c r="L203" i="4"/>
  <c r="N203" i="4" s="1"/>
  <c r="M203" i="4"/>
  <c r="S203" i="4"/>
  <c r="T203" i="4" s="1" a="1"/>
  <c r="T203" i="4" s="1"/>
  <c r="F204" i="4"/>
  <c r="L204" i="4"/>
  <c r="N204" i="4" s="1"/>
  <c r="M204" i="4"/>
  <c r="S204" i="4"/>
  <c r="T204" i="4" s="1" a="1"/>
  <c r="T204" i="4" s="1"/>
  <c r="F205" i="4"/>
  <c r="L205" i="4"/>
  <c r="N205" i="4" s="1"/>
  <c r="M205" i="4"/>
  <c r="S205" i="4"/>
  <c r="T205" i="4" s="1" a="1"/>
  <c r="T205" i="4" s="1"/>
  <c r="F206" i="4"/>
  <c r="L206" i="4"/>
  <c r="N206" i="4" s="1"/>
  <c r="M206" i="4"/>
  <c r="S206" i="4"/>
  <c r="T206" i="4" s="1" a="1"/>
  <c r="T206" i="4" s="1"/>
  <c r="F207" i="4"/>
  <c r="L207" i="4"/>
  <c r="N207" i="4" s="1"/>
  <c r="M207" i="4"/>
  <c r="S207" i="4"/>
  <c r="T207" i="4" s="1" a="1"/>
  <c r="T207" i="4" s="1"/>
  <c r="F208" i="4"/>
  <c r="L208" i="4"/>
  <c r="N208" i="4" s="1"/>
  <c r="M208" i="4"/>
  <c r="S208" i="4"/>
  <c r="T208" i="4" s="1" a="1"/>
  <c r="T208" i="4" s="1"/>
  <c r="F209" i="4"/>
  <c r="L209" i="4"/>
  <c r="N209" i="4" s="1"/>
  <c r="M209" i="4"/>
  <c r="S209" i="4"/>
  <c r="T209" i="4" s="1" a="1"/>
  <c r="T209" i="4" s="1"/>
  <c r="F210" i="4"/>
  <c r="L210" i="4"/>
  <c r="N210" i="4" s="1"/>
  <c r="M210" i="4"/>
  <c r="S210" i="4"/>
  <c r="T210" i="4" s="1" a="1"/>
  <c r="T210" i="4" s="1"/>
  <c r="F211" i="4"/>
  <c r="L211" i="4"/>
  <c r="N211" i="4" s="1"/>
  <c r="M211" i="4"/>
  <c r="S211" i="4"/>
  <c r="T211" i="4" s="1" a="1"/>
  <c r="T211" i="4" s="1"/>
  <c r="F212" i="4"/>
  <c r="L212" i="4"/>
  <c r="N212" i="4" s="1"/>
  <c r="M212" i="4"/>
  <c r="S212" i="4"/>
  <c r="T212" i="4" s="1" a="1"/>
  <c r="T212" i="4" s="1"/>
  <c r="F213" i="4"/>
  <c r="L213" i="4"/>
  <c r="N213" i="4" s="1"/>
  <c r="M213" i="4"/>
  <c r="S213" i="4"/>
  <c r="T213" i="4" s="1" a="1"/>
  <c r="T213" i="4" s="1"/>
  <c r="F214" i="4"/>
  <c r="L214" i="4"/>
  <c r="N214" i="4" s="1"/>
  <c r="M214" i="4"/>
  <c r="S214" i="4"/>
  <c r="T214" i="4" s="1" a="1"/>
  <c r="T214" i="4" s="1"/>
  <c r="F215" i="4"/>
  <c r="L215" i="4"/>
  <c r="N215" i="4" s="1"/>
  <c r="M215" i="4"/>
  <c r="S215" i="4"/>
  <c r="T215" i="4" s="1" a="1"/>
  <c r="T215" i="4" s="1"/>
  <c r="F216" i="4"/>
  <c r="L216" i="4"/>
  <c r="N216" i="4" s="1"/>
  <c r="M216" i="4"/>
  <c r="S216" i="4"/>
  <c r="T216" i="4" s="1" a="1"/>
  <c r="T216" i="4" s="1"/>
  <c r="F217" i="4"/>
  <c r="L217" i="4"/>
  <c r="N217" i="4" s="1"/>
  <c r="M217" i="4"/>
  <c r="S217" i="4"/>
  <c r="T217" i="4" s="1" a="1"/>
  <c r="T217" i="4" s="1"/>
  <c r="F218" i="4"/>
  <c r="L218" i="4"/>
  <c r="N218" i="4" s="1"/>
  <c r="M218" i="4"/>
  <c r="S218" i="4"/>
  <c r="T218" i="4" s="1" a="1"/>
  <c r="T218" i="4" s="1"/>
  <c r="F219" i="4"/>
  <c r="L219" i="4"/>
  <c r="N219" i="4" s="1"/>
  <c r="M219" i="4"/>
  <c r="S219" i="4"/>
  <c r="T219" i="4" s="1" a="1"/>
  <c r="T219" i="4" s="1"/>
  <c r="F220" i="4"/>
  <c r="L220" i="4"/>
  <c r="N220" i="4" s="1"/>
  <c r="M220" i="4"/>
  <c r="S220" i="4"/>
  <c r="T220" i="4" s="1" a="1"/>
  <c r="T220" i="4" s="1"/>
  <c r="F221" i="4"/>
  <c r="L221" i="4"/>
  <c r="N221" i="4" s="1"/>
  <c r="M221" i="4"/>
  <c r="S221" i="4"/>
  <c r="T221" i="4" s="1" a="1"/>
  <c r="T221" i="4" s="1"/>
  <c r="F222" i="4"/>
  <c r="L222" i="4"/>
  <c r="N222" i="4" s="1"/>
  <c r="M222" i="4"/>
  <c r="S222" i="4"/>
  <c r="T222" i="4" s="1" a="1"/>
  <c r="T222" i="4" s="1"/>
  <c r="F223" i="4"/>
  <c r="L223" i="4"/>
  <c r="N223" i="4" s="1"/>
  <c r="M223" i="4"/>
  <c r="S223" i="4"/>
  <c r="T223" i="4" s="1" a="1"/>
  <c r="T223" i="4" s="1"/>
  <c r="F224" i="4"/>
  <c r="L224" i="4"/>
  <c r="N224" i="4" s="1"/>
  <c r="M224" i="4"/>
  <c r="S224" i="4"/>
  <c r="T224" i="4" s="1" a="1"/>
  <c r="T224" i="4" s="1"/>
  <c r="F225" i="4"/>
  <c r="L225" i="4"/>
  <c r="N225" i="4" s="1"/>
  <c r="M225" i="4"/>
  <c r="S225" i="4"/>
  <c r="T225" i="4" s="1" a="1"/>
  <c r="T225" i="4" s="1"/>
  <c r="F226" i="4"/>
  <c r="L226" i="4"/>
  <c r="N226" i="4" s="1"/>
  <c r="M226" i="4"/>
  <c r="S226" i="4"/>
  <c r="T226" i="4" s="1" a="1"/>
  <c r="T226" i="4" s="1"/>
  <c r="F227" i="4"/>
  <c r="L227" i="4"/>
  <c r="N227" i="4" s="1"/>
  <c r="M227" i="4"/>
  <c r="S227" i="4"/>
  <c r="T227" i="4" s="1" a="1"/>
  <c r="T227" i="4" s="1"/>
  <c r="F228" i="4"/>
  <c r="L228" i="4"/>
  <c r="N228" i="4" s="1"/>
  <c r="M228" i="4"/>
  <c r="S228" i="4"/>
  <c r="T228" i="4" s="1" a="1"/>
  <c r="T228" i="4" s="1"/>
  <c r="F229" i="4"/>
  <c r="L229" i="4"/>
  <c r="N229" i="4" s="1"/>
  <c r="M229" i="4"/>
  <c r="S229" i="4"/>
  <c r="T229" i="4" s="1" a="1"/>
  <c r="T229" i="4" s="1"/>
  <c r="F230" i="4"/>
  <c r="L230" i="4"/>
  <c r="N230" i="4" s="1"/>
  <c r="M230" i="4"/>
  <c r="S230" i="4"/>
  <c r="T230" i="4" s="1" a="1"/>
  <c r="T230" i="4" s="1"/>
  <c r="F231" i="4"/>
  <c r="L231" i="4"/>
  <c r="N231" i="4" s="1"/>
  <c r="M231" i="4"/>
  <c r="S231" i="4"/>
  <c r="T231" i="4" s="1" a="1"/>
  <c r="T231" i="4" s="1"/>
  <c r="F232" i="4"/>
  <c r="L232" i="4"/>
  <c r="N232" i="4" s="1"/>
  <c r="M232" i="4"/>
  <c r="S232" i="4"/>
  <c r="T232" i="4" s="1" a="1"/>
  <c r="T232" i="4" s="1"/>
  <c r="F233" i="4"/>
  <c r="L233" i="4"/>
  <c r="N233" i="4" s="1"/>
  <c r="M233" i="4"/>
  <c r="S233" i="4"/>
  <c r="T233" i="4" s="1" a="1"/>
  <c r="T233" i="4" s="1"/>
  <c r="F234" i="4"/>
  <c r="L234" i="4"/>
  <c r="N234" i="4" s="1"/>
  <c r="M234" i="4"/>
  <c r="S234" i="4"/>
  <c r="T234" i="4" s="1" a="1"/>
  <c r="T234" i="4" s="1"/>
  <c r="F235" i="4"/>
  <c r="L235" i="4"/>
  <c r="N235" i="4" s="1"/>
  <c r="M235" i="4"/>
  <c r="S235" i="4"/>
  <c r="T235" i="4" s="1" a="1"/>
  <c r="T235" i="4" s="1"/>
  <c r="F236" i="4"/>
  <c r="L236" i="4"/>
  <c r="N236" i="4" s="1"/>
  <c r="M236" i="4"/>
  <c r="S236" i="4"/>
  <c r="T236" i="4" s="1" a="1"/>
  <c r="T236" i="4" s="1"/>
  <c r="F237" i="4"/>
  <c r="L237" i="4"/>
  <c r="N237" i="4" s="1"/>
  <c r="M237" i="4"/>
  <c r="S237" i="4"/>
  <c r="T237" i="4" s="1" a="1"/>
  <c r="T237" i="4" s="1"/>
  <c r="F238" i="4"/>
  <c r="L238" i="4"/>
  <c r="N238" i="4" s="1"/>
  <c r="M238" i="4"/>
  <c r="S238" i="4"/>
  <c r="T238" i="4" s="1" a="1"/>
  <c r="T238" i="4" s="1"/>
  <c r="F239" i="4"/>
  <c r="L239" i="4"/>
  <c r="N239" i="4" s="1"/>
  <c r="M239" i="4"/>
  <c r="S239" i="4"/>
  <c r="T239" i="4" s="1" a="1"/>
  <c r="T239" i="4" s="1"/>
  <c r="F240" i="4"/>
  <c r="L240" i="4"/>
  <c r="N240" i="4" s="1"/>
  <c r="M240" i="4"/>
  <c r="S240" i="4"/>
  <c r="T240" i="4" s="1" a="1"/>
  <c r="T240" i="4" s="1"/>
  <c r="F241" i="4"/>
  <c r="L241" i="4"/>
  <c r="N241" i="4" s="1"/>
  <c r="M241" i="4"/>
  <c r="S241" i="4"/>
  <c r="T241" i="4" s="1" a="1"/>
  <c r="T241" i="4" s="1"/>
  <c r="F242" i="4"/>
  <c r="L242" i="4"/>
  <c r="N242" i="4" s="1"/>
  <c r="M242" i="4"/>
  <c r="S242" i="4"/>
  <c r="T242" i="4" s="1" a="1"/>
  <c r="T242" i="4" s="1"/>
  <c r="F243" i="4"/>
  <c r="L243" i="4"/>
  <c r="N243" i="4" s="1"/>
  <c r="M243" i="4"/>
  <c r="S243" i="4"/>
  <c r="T243" i="4" s="1" a="1"/>
  <c r="T243" i="4" s="1"/>
  <c r="F244" i="4"/>
  <c r="L244" i="4"/>
  <c r="N244" i="4" s="1"/>
  <c r="M244" i="4"/>
  <c r="S244" i="4"/>
  <c r="T244" i="4" s="1" a="1"/>
  <c r="T244" i="4" s="1"/>
  <c r="F245" i="4"/>
  <c r="L245" i="4"/>
  <c r="N245" i="4" s="1"/>
  <c r="M245" i="4"/>
  <c r="S245" i="4"/>
  <c r="T245" i="4" s="1" a="1"/>
  <c r="T245" i="4" s="1"/>
  <c r="F246" i="4"/>
  <c r="L246" i="4"/>
  <c r="N246" i="4" s="1"/>
  <c r="M246" i="4"/>
  <c r="S246" i="4"/>
  <c r="T246" i="4" s="1" a="1"/>
  <c r="T246" i="4" s="1"/>
  <c r="F247" i="4"/>
  <c r="L247" i="4"/>
  <c r="N247" i="4" s="1"/>
  <c r="M247" i="4"/>
  <c r="S247" i="4"/>
  <c r="T247" i="4" s="1" a="1"/>
  <c r="T247" i="4" s="1"/>
  <c r="F248" i="4"/>
  <c r="L248" i="4"/>
  <c r="N248" i="4" s="1"/>
  <c r="M248" i="4"/>
  <c r="S248" i="4"/>
  <c r="T248" i="4" s="1" a="1"/>
  <c r="T248" i="4" s="1"/>
  <c r="F249" i="4"/>
  <c r="L249" i="4"/>
  <c r="N249" i="4" s="1"/>
  <c r="M249" i="4"/>
  <c r="S249" i="4"/>
  <c r="T249" i="4" s="1" a="1"/>
  <c r="T249" i="4" s="1"/>
  <c r="F250" i="4"/>
  <c r="L250" i="4"/>
  <c r="N250" i="4" s="1"/>
  <c r="M250" i="4"/>
  <c r="S250" i="4"/>
  <c r="T250" i="4" s="1" a="1"/>
  <c r="T250" i="4" s="1"/>
  <c r="F251" i="4"/>
  <c r="L251" i="4"/>
  <c r="N251" i="4" s="1"/>
  <c r="M251" i="4"/>
  <c r="S251" i="4"/>
  <c r="T251" i="4" s="1" a="1"/>
  <c r="T251" i="4" s="1"/>
  <c r="U251" i="4" a="1"/>
  <c r="U251" i="4" s="1"/>
  <c r="F252" i="4"/>
  <c r="L252" i="4"/>
  <c r="N252" i="4" s="1"/>
  <c r="M252" i="4"/>
  <c r="S252" i="4"/>
  <c r="T252" i="4" s="1" a="1"/>
  <c r="T252" i="4" s="1"/>
  <c r="U252" i="4" a="1"/>
  <c r="U252" i="4" s="1"/>
  <c r="L253" i="4"/>
  <c r="N253" i="4" s="1"/>
  <c r="M253" i="4"/>
  <c r="L254" i="4"/>
  <c r="N254" i="4" s="1"/>
  <c r="M254" i="4"/>
  <c r="A1" i="10" a="1"/>
  <c r="A1" i="10" s="1"/>
  <c r="F253" i="4"/>
  <c r="F254" i="4"/>
  <c r="S253" i="4"/>
  <c r="T253" i="4" s="1" a="1"/>
  <c r="T253" i="4" s="1"/>
  <c r="S254" i="4"/>
  <c r="T254" i="4" s="1" a="1"/>
  <c r="T254" i="4" s="1"/>
  <c r="S255" i="4"/>
  <c r="T255" i="4" s="1" a="1"/>
  <c r="T255" i="4" s="1"/>
  <c r="S256" i="4"/>
  <c r="T256" i="4" s="1" a="1"/>
  <c r="T256" i="4" s="1"/>
  <c r="S257" i="4"/>
  <c r="T257" i="4" s="1" a="1"/>
  <c r="T257" i="4" s="1"/>
  <c r="S258" i="4"/>
  <c r="T258" i="4" s="1" a="1"/>
  <c r="T258" i="4" s="1"/>
  <c r="S259" i="4"/>
  <c r="T259" i="4" s="1" a="1"/>
  <c r="T259" i="4" s="1"/>
  <c r="S260" i="4"/>
  <c r="T260" i="4" s="1" a="1"/>
  <c r="T260" i="4" s="1"/>
  <c r="U253" i="4" a="1"/>
  <c r="U253" i="4" s="1"/>
  <c r="U254" i="4" a="1"/>
  <c r="U254" i="4" s="1"/>
  <c r="U255" i="4" a="1"/>
  <c r="U255" i="4" s="1"/>
  <c r="U256" i="4" a="1"/>
  <c r="U256" i="4" s="1"/>
  <c r="U257" i="4" a="1"/>
  <c r="U257" i="4" s="1"/>
  <c r="U258" i="4" a="1"/>
  <c r="U258" i="4" s="1"/>
  <c r="U259" i="4" a="1"/>
  <c r="U259" i="4" s="1"/>
  <c r="G2" i="12" a="1"/>
  <c r="G2" i="12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6" i="3" s="1"/>
  <c r="A26" i="6" s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1" i="3" s="1"/>
  <c r="A31" i="6" s="1"/>
  <c r="A32" i="3" a="1"/>
  <c r="A32" i="3" s="1"/>
  <c r="A32" i="6" s="1"/>
  <c r="A33" i="3" a="1"/>
  <c r="A33" i="3" s="1"/>
  <c r="A33" i="6" s="1"/>
  <c r="A34" i="3" a="1"/>
  <c r="A34" i="3" s="1"/>
  <c r="A34" i="6" s="1"/>
  <c r="A2" i="3" a="1"/>
  <c r="C2" i="6" s="1"/>
  <c r="Q26" i="3"/>
  <c r="Q27" i="3"/>
  <c r="Q28" i="3"/>
  <c r="Q29" i="3"/>
  <c r="Q30" i="3"/>
  <c r="Q31" i="3"/>
  <c r="Q32" i="3"/>
  <c r="Q33" i="3"/>
  <c r="Q34" i="3"/>
  <c r="A22" i="3" l="1"/>
  <c r="A22" i="6" s="1"/>
  <c r="Q22" i="3"/>
  <c r="A10" i="3"/>
  <c r="A10" i="6" s="1"/>
  <c r="Q10" i="3"/>
  <c r="A18" i="3"/>
  <c r="A18" i="6" s="1"/>
  <c r="Q18" i="3"/>
  <c r="A12" i="3"/>
  <c r="A12" i="6" s="1"/>
  <c r="Q12" i="3"/>
  <c r="A23" i="3"/>
  <c r="A23" i="6" s="1"/>
  <c r="Q23" i="3"/>
  <c r="A17" i="3"/>
  <c r="A17" i="6" s="1"/>
  <c r="Q17" i="3"/>
  <c r="A11" i="3"/>
  <c r="A11" i="6" s="1"/>
  <c r="Q11" i="3"/>
  <c r="R16" i="6"/>
  <c r="Q16" i="3"/>
  <c r="Q13" i="3"/>
  <c r="Q20" i="3"/>
  <c r="Q25" i="3"/>
  <c r="Q24" i="3"/>
  <c r="B21" i="6"/>
  <c r="B14" i="6"/>
  <c r="C22" i="6"/>
  <c r="C15" i="6"/>
  <c r="Q25" i="6"/>
  <c r="L25" i="6"/>
  <c r="P24" i="6"/>
  <c r="K24" i="6"/>
  <c r="O23" i="6"/>
  <c r="G22" i="6"/>
  <c r="N21" i="6" a="1"/>
  <c r="N21" i="6" s="1"/>
  <c r="R20" i="6"/>
  <c r="M20" i="6" a="1"/>
  <c r="M20" i="6" s="1"/>
  <c r="Q19" i="6"/>
  <c r="L19" i="6"/>
  <c r="P18" i="6"/>
  <c r="K18" i="6"/>
  <c r="O17" i="6"/>
  <c r="G16" i="6"/>
  <c r="N15" i="6" a="1"/>
  <c r="N15" i="6" s="1"/>
  <c r="R14" i="6"/>
  <c r="M14" i="6" a="1"/>
  <c r="M14" i="6" s="1"/>
  <c r="Q13" i="6"/>
  <c r="L13" i="6"/>
  <c r="P12" i="6"/>
  <c r="K12" i="6"/>
  <c r="O11" i="6"/>
  <c r="N10" i="6" a="1"/>
  <c r="N10" i="6" s="1"/>
  <c r="E5" i="1"/>
  <c r="B20" i="6"/>
  <c r="B13" i="6"/>
  <c r="C21" i="6"/>
  <c r="C14" i="6"/>
  <c r="P25" i="6"/>
  <c r="K25" i="6"/>
  <c r="O24" i="6"/>
  <c r="G23" i="6"/>
  <c r="N22" i="6" a="1"/>
  <c r="N22" i="6" s="1"/>
  <c r="R21" i="6"/>
  <c r="M21" i="6" a="1"/>
  <c r="M21" i="6" s="1"/>
  <c r="Q20" i="6"/>
  <c r="L20" i="6"/>
  <c r="P19" i="6"/>
  <c r="K19" i="6"/>
  <c r="O18" i="6"/>
  <c r="G17" i="6"/>
  <c r="N16" i="6" a="1"/>
  <c r="N16" i="6" s="1"/>
  <c r="R15" i="6"/>
  <c r="M15" i="6" a="1"/>
  <c r="M15" i="6" s="1"/>
  <c r="Q14" i="6"/>
  <c r="AB14" i="6" s="1"/>
  <c r="L14" i="6"/>
  <c r="P13" i="6"/>
  <c r="K13" i="6"/>
  <c r="O12" i="6"/>
  <c r="G11" i="6"/>
  <c r="M10" i="6" a="1"/>
  <c r="M10" i="6" s="1"/>
  <c r="B25" i="6"/>
  <c r="B18" i="6"/>
  <c r="B12" i="6"/>
  <c r="C20" i="6"/>
  <c r="C13" i="6"/>
  <c r="O25" i="6"/>
  <c r="G24" i="6"/>
  <c r="N23" i="6" a="1"/>
  <c r="N23" i="6" s="1"/>
  <c r="R22" i="6"/>
  <c r="M22" i="6" a="1"/>
  <c r="M22" i="6" s="1"/>
  <c r="Q21" i="6"/>
  <c r="AB21" i="6" s="1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N11" i="6" a="1"/>
  <c r="N11" i="6" s="1"/>
  <c r="R10" i="6"/>
  <c r="L10" i="6"/>
  <c r="B24" i="6"/>
  <c r="B17" i="6"/>
  <c r="B11" i="6"/>
  <c r="C25" i="6"/>
  <c r="C18" i="6"/>
  <c r="C12" i="6"/>
  <c r="G25" i="6"/>
  <c r="H25" i="6" s="1"/>
  <c r="N24" i="6" a="1"/>
  <c r="N24" i="6" s="1"/>
  <c r="R23" i="6"/>
  <c r="M23" i="6" a="1"/>
  <c r="M23" i="6" s="1"/>
  <c r="Q22" i="6"/>
  <c r="AB22" i="6" s="1"/>
  <c r="L22" i="6"/>
  <c r="P21" i="6"/>
  <c r="K21" i="6"/>
  <c r="O20" i="6"/>
  <c r="G19" i="6"/>
  <c r="N18" i="6" a="1"/>
  <c r="N18" i="6" s="1"/>
  <c r="R17" i="6"/>
  <c r="M17" i="6" a="1"/>
  <c r="M17" i="6" s="1"/>
  <c r="Q16" i="6"/>
  <c r="AB16" i="6" s="1"/>
  <c r="L16" i="6"/>
  <c r="P15" i="6"/>
  <c r="K15" i="6"/>
  <c r="O14" i="6"/>
  <c r="G13" i="6"/>
  <c r="N12" i="6" a="1"/>
  <c r="N12" i="6" s="1"/>
  <c r="R11" i="6"/>
  <c r="M11" i="6" a="1"/>
  <c r="M11" i="6" s="1"/>
  <c r="Q10" i="6"/>
  <c r="AB10" i="6" s="1"/>
  <c r="K10" i="6"/>
  <c r="E62" i="1"/>
  <c r="E56" i="1"/>
  <c r="E50" i="1"/>
  <c r="E44" i="1"/>
  <c r="E32" i="1"/>
  <c r="E26" i="1"/>
  <c r="E20" i="1"/>
  <c r="E14" i="1"/>
  <c r="E8" i="1"/>
  <c r="B23" i="6"/>
  <c r="B16" i="6"/>
  <c r="B10" i="6"/>
  <c r="C24" i="6"/>
  <c r="C17" i="6"/>
  <c r="C11" i="6"/>
  <c r="N25" i="6" a="1"/>
  <c r="N25" i="6" s="1"/>
  <c r="R24" i="6"/>
  <c r="M24" i="6" a="1"/>
  <c r="M24" i="6" s="1"/>
  <c r="Q23" i="6"/>
  <c r="L23" i="6"/>
  <c r="P22" i="6"/>
  <c r="K22" i="6"/>
  <c r="O21" i="6"/>
  <c r="G20" i="6"/>
  <c r="N19" i="6" a="1"/>
  <c r="N19" i="6" s="1"/>
  <c r="R18" i="6"/>
  <c r="M18" i="6" a="1"/>
  <c r="M18" i="6" s="1"/>
  <c r="Q17" i="6"/>
  <c r="AB17" i="6" s="1"/>
  <c r="L17" i="6"/>
  <c r="P16" i="6"/>
  <c r="K16" i="6"/>
  <c r="O15" i="6"/>
  <c r="G14" i="6"/>
  <c r="N13" i="6" a="1"/>
  <c r="N13" i="6" s="1"/>
  <c r="R12" i="6"/>
  <c r="M12" i="6" a="1"/>
  <c r="M12" i="6" s="1"/>
  <c r="Q11" i="6"/>
  <c r="AB11" i="6" s="1"/>
  <c r="L11" i="6"/>
  <c r="P10" i="6"/>
  <c r="Q15" i="3"/>
  <c r="Q21" i="3"/>
  <c r="Q14" i="3"/>
  <c r="B22" i="6"/>
  <c r="B15" i="6"/>
  <c r="C23" i="6"/>
  <c r="C16" i="6"/>
  <c r="C10" i="6"/>
  <c r="C4" i="6"/>
  <c r="R25" i="6"/>
  <c r="M25" i="6" a="1"/>
  <c r="M25" i="6" s="1"/>
  <c r="Q24" i="6"/>
  <c r="L24" i="6"/>
  <c r="P23" i="6"/>
  <c r="K23" i="6"/>
  <c r="O22" i="6"/>
  <c r="G21" i="6"/>
  <c r="I21" i="6" s="1"/>
  <c r="N20" i="6" a="1"/>
  <c r="N20" i="6" s="1"/>
  <c r="R19" i="6"/>
  <c r="M19" i="6" a="1"/>
  <c r="M19" i="6" s="1"/>
  <c r="Q18" i="6"/>
  <c r="L18" i="6"/>
  <c r="P17" i="6"/>
  <c r="K17" i="6"/>
  <c r="O16" i="6"/>
  <c r="G15" i="6"/>
  <c r="N14" i="6" a="1"/>
  <c r="N14" i="6" s="1"/>
  <c r="R13" i="6"/>
  <c r="M13" i="6" a="1"/>
  <c r="M13" i="6" s="1"/>
  <c r="Q12" i="6"/>
  <c r="L12" i="6"/>
  <c r="P11" i="6"/>
  <c r="K11" i="6"/>
  <c r="O10" i="6"/>
  <c r="G10" i="6"/>
  <c r="H24" i="6"/>
  <c r="I24" i="6"/>
  <c r="H23" i="6"/>
  <c r="I23" i="6"/>
  <c r="H22" i="6"/>
  <c r="I22" i="6"/>
  <c r="H21" i="6"/>
  <c r="H20" i="6"/>
  <c r="I20" i="6"/>
  <c r="H19" i="6"/>
  <c r="I19" i="6"/>
  <c r="I18" i="6"/>
  <c r="H17" i="6"/>
  <c r="I17" i="6"/>
  <c r="H16" i="6"/>
  <c r="I16" i="6"/>
  <c r="H15" i="6"/>
  <c r="I15" i="6"/>
  <c r="H14" i="6"/>
  <c r="I14" i="6"/>
  <c r="J10" i="6"/>
  <c r="I13" i="6"/>
  <c r="I12" i="6"/>
  <c r="I11" i="6"/>
  <c r="C19" i="6"/>
  <c r="B19" i="6"/>
  <c r="F19" i="6" s="1"/>
  <c r="Q19" i="3"/>
  <c r="E30" i="1"/>
  <c r="E24" i="1"/>
  <c r="E18" i="1"/>
  <c r="E12" i="1"/>
  <c r="E6" i="1"/>
  <c r="E145" i="1"/>
  <c r="E139" i="1"/>
  <c r="E127" i="1"/>
  <c r="E121" i="1"/>
  <c r="E109" i="1"/>
  <c r="E103" i="1"/>
  <c r="E91" i="1"/>
  <c r="E85" i="1"/>
  <c r="E73" i="1"/>
  <c r="E67" i="1"/>
  <c r="E61" i="1"/>
  <c r="E55" i="1"/>
  <c r="E49" i="1"/>
  <c r="E43" i="1"/>
  <c r="E31" i="1"/>
  <c r="E19" i="1"/>
  <c r="E7" i="1"/>
  <c r="E66" i="1"/>
  <c r="E60" i="1"/>
  <c r="E54" i="1"/>
  <c r="E48" i="1"/>
  <c r="E42" i="1"/>
  <c r="E25" i="1"/>
  <c r="E13" i="1"/>
  <c r="E148" i="1"/>
  <c r="E142" i="1"/>
  <c r="E136" i="1"/>
  <c r="E130" i="1"/>
  <c r="E118" i="1"/>
  <c r="E112" i="1"/>
  <c r="E106" i="1"/>
  <c r="E100" i="1"/>
  <c r="E94" i="1"/>
  <c r="E88" i="1"/>
  <c r="E82" i="1"/>
  <c r="E76" i="1"/>
  <c r="E70" i="1"/>
  <c r="E64" i="1"/>
  <c r="E58" i="1"/>
  <c r="E52" i="1"/>
  <c r="E46" i="1"/>
  <c r="E40" i="1"/>
  <c r="E34" i="1"/>
  <c r="E28" i="1"/>
  <c r="E22" i="1"/>
  <c r="E16" i="1"/>
  <c r="E10" i="1"/>
  <c r="E4" i="1"/>
  <c r="E23" i="1"/>
  <c r="E124" i="1"/>
  <c r="E63" i="1"/>
  <c r="E57" i="1"/>
  <c r="E51" i="1"/>
  <c r="E45" i="1"/>
  <c r="E39" i="1"/>
  <c r="E33" i="1"/>
  <c r="E27" i="1"/>
  <c r="E21" i="1"/>
  <c r="E15" i="1"/>
  <c r="E9" i="1"/>
  <c r="E3" i="1"/>
  <c r="E115" i="1"/>
  <c r="E65" i="1"/>
  <c r="E47" i="1"/>
  <c r="E147" i="1"/>
  <c r="E141" i="1"/>
  <c r="E135" i="1"/>
  <c r="E129" i="1"/>
  <c r="E123" i="1"/>
  <c r="E117" i="1"/>
  <c r="E111" i="1"/>
  <c r="E105" i="1"/>
  <c r="E99" i="1"/>
  <c r="E93" i="1"/>
  <c r="E87" i="1"/>
  <c r="E81" i="1"/>
  <c r="E75" i="1"/>
  <c r="E69" i="1"/>
  <c r="E133" i="1"/>
  <c r="E79" i="1"/>
  <c r="E53" i="1"/>
  <c r="E35" i="1"/>
  <c r="E11" i="1"/>
  <c r="E140" i="1"/>
  <c r="E134" i="1"/>
  <c r="E128" i="1"/>
  <c r="E122" i="1"/>
  <c r="E116" i="1"/>
  <c r="E110" i="1"/>
  <c r="E104" i="1"/>
  <c r="E98" i="1"/>
  <c r="E92" i="1"/>
  <c r="E86" i="1"/>
  <c r="E80" i="1"/>
  <c r="E74" i="1"/>
  <c r="E68" i="1"/>
  <c r="E97" i="1"/>
  <c r="E59" i="1"/>
  <c r="E41" i="1"/>
  <c r="E17" i="1"/>
  <c r="E146" i="1"/>
  <c r="E38" i="1"/>
  <c r="E29" i="1"/>
  <c r="E144" i="1"/>
  <c r="E138" i="1"/>
  <c r="E132" i="1"/>
  <c r="E126" i="1"/>
  <c r="E120" i="1"/>
  <c r="E114" i="1"/>
  <c r="E108" i="1"/>
  <c r="E102" i="1"/>
  <c r="E96" i="1"/>
  <c r="E90" i="1"/>
  <c r="E84" i="1"/>
  <c r="E78" i="1"/>
  <c r="E72" i="1"/>
  <c r="E37" i="1"/>
  <c r="E149" i="1"/>
  <c r="E143" i="1"/>
  <c r="E137" i="1"/>
  <c r="E131" i="1"/>
  <c r="E125" i="1"/>
  <c r="E119" i="1"/>
  <c r="E113" i="1"/>
  <c r="E107" i="1"/>
  <c r="E101" i="1"/>
  <c r="E95" i="1"/>
  <c r="E89" i="1"/>
  <c r="E83" i="1"/>
  <c r="E77" i="1"/>
  <c r="E71" i="1"/>
  <c r="E36" i="1"/>
  <c r="F32" i="6"/>
  <c r="F811" i="6"/>
  <c r="F793" i="6"/>
  <c r="F739" i="6"/>
  <c r="F775" i="6"/>
  <c r="F757" i="6"/>
  <c r="F703" i="6"/>
  <c r="F631" i="6"/>
  <c r="F577" i="6"/>
  <c r="F326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308" i="6"/>
  <c r="F147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380" i="6"/>
  <c r="F290" i="6"/>
  <c r="F111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375" i="6"/>
  <c r="F272" i="6"/>
  <c r="F80" i="6"/>
  <c r="F721" i="6"/>
  <c r="F649" i="6"/>
  <c r="F595" i="6"/>
  <c r="F503" i="6"/>
  <c r="F18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362" i="6"/>
  <c r="F254" i="6"/>
  <c r="F44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344" i="6"/>
  <c r="F219" i="6"/>
  <c r="F8" i="6"/>
  <c r="F321" i="6"/>
  <c r="F267" i="6"/>
  <c r="F177" i="6"/>
  <c r="F38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374" i="6"/>
  <c r="F356" i="6"/>
  <c r="F338" i="6"/>
  <c r="F320" i="6"/>
  <c r="F302" i="6"/>
  <c r="F284" i="6"/>
  <c r="F266" i="6"/>
  <c r="F243" i="6"/>
  <c r="F207" i="6"/>
  <c r="F171" i="6"/>
  <c r="F135" i="6"/>
  <c r="F99" i="6"/>
  <c r="F68" i="6"/>
  <c r="F15" i="6"/>
  <c r="F21" i="6"/>
  <c r="F27" i="6"/>
  <c r="F33" i="6"/>
  <c r="F39" i="6"/>
  <c r="F45" i="6"/>
  <c r="F51" i="6"/>
  <c r="F57" i="6"/>
  <c r="F63" i="6"/>
  <c r="F69" i="6"/>
  <c r="F75" i="6"/>
  <c r="F81" i="6"/>
  <c r="F87" i="6"/>
  <c r="F93" i="6"/>
  <c r="F100" i="6"/>
  <c r="F106" i="6"/>
  <c r="F112" i="6"/>
  <c r="F118" i="6"/>
  <c r="F124" i="6"/>
  <c r="F130" i="6"/>
  <c r="F136" i="6"/>
  <c r="F142" i="6"/>
  <c r="F148" i="6"/>
  <c r="F154" i="6"/>
  <c r="F160" i="6"/>
  <c r="F166" i="6"/>
  <c r="F172" i="6"/>
  <c r="F178" i="6"/>
  <c r="F184" i="6"/>
  <c r="F190" i="6"/>
  <c r="F196" i="6"/>
  <c r="F202" i="6"/>
  <c r="F208" i="6"/>
  <c r="F214" i="6"/>
  <c r="F220" i="6"/>
  <c r="F226" i="6"/>
  <c r="F232" i="6"/>
  <c r="F238" i="6"/>
  <c r="F244" i="6"/>
  <c r="F250" i="6"/>
  <c r="F256" i="6"/>
  <c r="F262" i="6"/>
  <c r="F268" i="6"/>
  <c r="F274" i="6"/>
  <c r="F280" i="6"/>
  <c r="F286" i="6"/>
  <c r="F292" i="6"/>
  <c r="F298" i="6"/>
  <c r="F304" i="6"/>
  <c r="F310" i="6"/>
  <c r="F316" i="6"/>
  <c r="F322" i="6"/>
  <c r="F328" i="6"/>
  <c r="F334" i="6"/>
  <c r="F340" i="6"/>
  <c r="F346" i="6"/>
  <c r="F352" i="6"/>
  <c r="F358" i="6"/>
  <c r="F364" i="6"/>
  <c r="F370" i="6"/>
  <c r="F376" i="6"/>
  <c r="F382" i="6"/>
  <c r="F388" i="6"/>
  <c r="F394" i="6"/>
  <c r="F400" i="6"/>
  <c r="F406" i="6"/>
  <c r="F412" i="6"/>
  <c r="F418" i="6"/>
  <c r="F424" i="6"/>
  <c r="F430" i="6"/>
  <c r="F436" i="6"/>
  <c r="F442" i="6"/>
  <c r="F10" i="6"/>
  <c r="F16" i="6"/>
  <c r="F22" i="6"/>
  <c r="F28" i="6"/>
  <c r="F34" i="6"/>
  <c r="F40" i="6"/>
  <c r="F46" i="6"/>
  <c r="F52" i="6"/>
  <c r="F58" i="6"/>
  <c r="F64" i="6"/>
  <c r="F70" i="6"/>
  <c r="F76" i="6"/>
  <c r="F82" i="6"/>
  <c r="F88" i="6"/>
  <c r="F94" i="6"/>
  <c r="F101" i="6"/>
  <c r="F107" i="6"/>
  <c r="F113" i="6"/>
  <c r="F119" i="6"/>
  <c r="F125" i="6"/>
  <c r="F131" i="6"/>
  <c r="F137" i="6"/>
  <c r="F143" i="6"/>
  <c r="F149" i="6"/>
  <c r="F155" i="6"/>
  <c r="F161" i="6"/>
  <c r="F167" i="6"/>
  <c r="F173" i="6"/>
  <c r="F179" i="6"/>
  <c r="F185" i="6"/>
  <c r="F191" i="6"/>
  <c r="F197" i="6"/>
  <c r="F203" i="6"/>
  <c r="F209" i="6"/>
  <c r="F215" i="6"/>
  <c r="F221" i="6"/>
  <c r="F227" i="6"/>
  <c r="F233" i="6"/>
  <c r="F239" i="6"/>
  <c r="F245" i="6"/>
  <c r="F251" i="6"/>
  <c r="F257" i="6"/>
  <c r="F263" i="6"/>
  <c r="F269" i="6"/>
  <c r="F275" i="6"/>
  <c r="F281" i="6"/>
  <c r="F287" i="6"/>
  <c r="F293" i="6"/>
  <c r="F299" i="6"/>
  <c r="F305" i="6"/>
  <c r="F311" i="6"/>
  <c r="F317" i="6"/>
  <c r="F323" i="6"/>
  <c r="F329" i="6"/>
  <c r="F335" i="6"/>
  <c r="F341" i="6"/>
  <c r="F347" i="6"/>
  <c r="F353" i="6"/>
  <c r="F359" i="6"/>
  <c r="F365" i="6"/>
  <c r="F371" i="6"/>
  <c r="F377" i="6"/>
  <c r="F383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11" i="6"/>
  <c r="F17" i="6"/>
  <c r="F23" i="6"/>
  <c r="F29" i="6"/>
  <c r="F35" i="6"/>
  <c r="F41" i="6"/>
  <c r="F47" i="6"/>
  <c r="F53" i="6"/>
  <c r="F59" i="6"/>
  <c r="F65" i="6"/>
  <c r="F71" i="6"/>
  <c r="F77" i="6"/>
  <c r="F83" i="6"/>
  <c r="F89" i="6"/>
  <c r="F95" i="6"/>
  <c r="F102" i="6"/>
  <c r="F108" i="6"/>
  <c r="F114" i="6"/>
  <c r="F120" i="6"/>
  <c r="F126" i="6"/>
  <c r="F132" i="6"/>
  <c r="F138" i="6"/>
  <c r="F144" i="6"/>
  <c r="F150" i="6"/>
  <c r="F156" i="6"/>
  <c r="F162" i="6"/>
  <c r="F168" i="6"/>
  <c r="F174" i="6"/>
  <c r="F180" i="6"/>
  <c r="F186" i="6"/>
  <c r="F192" i="6"/>
  <c r="F198" i="6"/>
  <c r="F204" i="6"/>
  <c r="F210" i="6"/>
  <c r="F216" i="6"/>
  <c r="F222" i="6"/>
  <c r="F228" i="6"/>
  <c r="F234" i="6"/>
  <c r="F240" i="6"/>
  <c r="F246" i="6"/>
  <c r="F252" i="6"/>
  <c r="F258" i="6"/>
  <c r="F264" i="6"/>
  <c r="F270" i="6"/>
  <c r="F276" i="6"/>
  <c r="F282" i="6"/>
  <c r="F288" i="6"/>
  <c r="F294" i="6"/>
  <c r="F300" i="6"/>
  <c r="F306" i="6"/>
  <c r="F312" i="6"/>
  <c r="F318" i="6"/>
  <c r="F324" i="6"/>
  <c r="F330" i="6"/>
  <c r="F336" i="6"/>
  <c r="F342" i="6"/>
  <c r="F348" i="6"/>
  <c r="F354" i="6"/>
  <c r="F360" i="6"/>
  <c r="F366" i="6"/>
  <c r="F372" i="6"/>
  <c r="F378" i="6"/>
  <c r="F384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12" i="6"/>
  <c r="F18" i="6"/>
  <c r="F24" i="6"/>
  <c r="F30" i="6"/>
  <c r="F36" i="6"/>
  <c r="F42" i="6"/>
  <c r="F48" i="6"/>
  <c r="F54" i="6"/>
  <c r="F60" i="6"/>
  <c r="F66" i="6"/>
  <c r="F72" i="6"/>
  <c r="F78" i="6"/>
  <c r="F84" i="6"/>
  <c r="F90" i="6"/>
  <c r="F96" i="6"/>
  <c r="F103" i="6"/>
  <c r="F109" i="6"/>
  <c r="F115" i="6"/>
  <c r="F121" i="6"/>
  <c r="F127" i="6"/>
  <c r="F133" i="6"/>
  <c r="F139" i="6"/>
  <c r="F145" i="6"/>
  <c r="F151" i="6"/>
  <c r="F157" i="6"/>
  <c r="F163" i="6"/>
  <c r="F169" i="6"/>
  <c r="F175" i="6"/>
  <c r="F181" i="6"/>
  <c r="F187" i="6"/>
  <c r="F193" i="6"/>
  <c r="F199" i="6"/>
  <c r="F205" i="6"/>
  <c r="F211" i="6"/>
  <c r="F217" i="6"/>
  <c r="F223" i="6"/>
  <c r="F229" i="6"/>
  <c r="F235" i="6"/>
  <c r="F241" i="6"/>
  <c r="F247" i="6"/>
  <c r="F253" i="6"/>
  <c r="F259" i="6"/>
  <c r="F265" i="6"/>
  <c r="F271" i="6"/>
  <c r="F277" i="6"/>
  <c r="F283" i="6"/>
  <c r="F289" i="6"/>
  <c r="F295" i="6"/>
  <c r="F301" i="6"/>
  <c r="F307" i="6"/>
  <c r="F313" i="6"/>
  <c r="F319" i="6"/>
  <c r="F325" i="6"/>
  <c r="F331" i="6"/>
  <c r="F337" i="6"/>
  <c r="F343" i="6"/>
  <c r="F349" i="6"/>
  <c r="F355" i="6"/>
  <c r="F361" i="6"/>
  <c r="F367" i="6"/>
  <c r="F373" i="6"/>
  <c r="F379" i="6"/>
  <c r="F385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13" i="6"/>
  <c r="F25" i="6"/>
  <c r="F31" i="6"/>
  <c r="F37" i="6"/>
  <c r="F43" i="6"/>
  <c r="F49" i="6"/>
  <c r="F55" i="6"/>
  <c r="F61" i="6"/>
  <c r="F67" i="6"/>
  <c r="F73" i="6"/>
  <c r="F79" i="6"/>
  <c r="F85" i="6"/>
  <c r="F91" i="6"/>
  <c r="F97" i="6"/>
  <c r="F98" i="6"/>
  <c r="F104" i="6"/>
  <c r="F110" i="6"/>
  <c r="F116" i="6"/>
  <c r="F122" i="6"/>
  <c r="F128" i="6"/>
  <c r="F134" i="6"/>
  <c r="F140" i="6"/>
  <c r="F146" i="6"/>
  <c r="F152" i="6"/>
  <c r="F158" i="6"/>
  <c r="F164" i="6"/>
  <c r="F170" i="6"/>
  <c r="F176" i="6"/>
  <c r="F182" i="6"/>
  <c r="F188" i="6"/>
  <c r="F194" i="6"/>
  <c r="F200" i="6"/>
  <c r="F206" i="6"/>
  <c r="F212" i="6"/>
  <c r="F218" i="6"/>
  <c r="F224" i="6"/>
  <c r="F230" i="6"/>
  <c r="F236" i="6"/>
  <c r="F242" i="6"/>
  <c r="F248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387" i="6"/>
  <c r="F369" i="6"/>
  <c r="F351" i="6"/>
  <c r="F333" i="6"/>
  <c r="F315" i="6"/>
  <c r="F297" i="6"/>
  <c r="F279" i="6"/>
  <c r="F261" i="6"/>
  <c r="F237" i="6"/>
  <c r="F201" i="6"/>
  <c r="F165" i="6"/>
  <c r="F129" i="6"/>
  <c r="F62" i="6"/>
  <c r="F26" i="6"/>
  <c r="F459" i="6"/>
  <c r="F429" i="6"/>
  <c r="F393" i="6"/>
  <c r="F339" i="6"/>
  <c r="F303" i="6"/>
  <c r="F213" i="6"/>
  <c r="F105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386" i="6"/>
  <c r="F368" i="6"/>
  <c r="F350" i="6"/>
  <c r="F332" i="6"/>
  <c r="F314" i="6"/>
  <c r="F296" i="6"/>
  <c r="F278" i="6"/>
  <c r="F260" i="6"/>
  <c r="F231" i="6"/>
  <c r="F195" i="6"/>
  <c r="F159" i="6"/>
  <c r="F123" i="6"/>
  <c r="F92" i="6"/>
  <c r="F56" i="6"/>
  <c r="F20" i="6"/>
  <c r="F447" i="6"/>
  <c r="F411" i="6"/>
  <c r="F357" i="6"/>
  <c r="F285" i="6"/>
  <c r="F249" i="6"/>
  <c r="F141" i="6"/>
  <c r="F74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F381" i="6"/>
  <c r="F363" i="6"/>
  <c r="F345" i="6"/>
  <c r="F327" i="6"/>
  <c r="F309" i="6"/>
  <c r="F291" i="6"/>
  <c r="F273" i="6"/>
  <c r="F255" i="6"/>
  <c r="F225" i="6"/>
  <c r="F189" i="6"/>
  <c r="F153" i="6"/>
  <c r="F117" i="6"/>
  <c r="F86" i="6"/>
  <c r="F50" i="6"/>
  <c r="F14" i="6"/>
  <c r="A3" i="3"/>
  <c r="A3" i="6" s="1"/>
  <c r="R3" i="6"/>
  <c r="N3" i="6" a="1"/>
  <c r="N3" i="6" s="1"/>
  <c r="K3" i="6"/>
  <c r="Q3" i="6"/>
  <c r="P3" i="6"/>
  <c r="A7" i="3"/>
  <c r="A7" i="6" s="1"/>
  <c r="Q7" i="6"/>
  <c r="AB7" i="6" s="1"/>
  <c r="P7" i="6"/>
  <c r="L7" i="6"/>
  <c r="Q7" i="3"/>
  <c r="R7" i="6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Q6" i="3"/>
  <c r="R6" i="6"/>
  <c r="A5" i="3"/>
  <c r="A5" i="6" s="1"/>
  <c r="G5" i="6"/>
  <c r="H5" i="6" s="1"/>
  <c r="N5" i="6" a="1"/>
  <c r="N5" i="6" s="1"/>
  <c r="Q5" i="6"/>
  <c r="AB5" i="6" s="1"/>
  <c r="Q5" i="3"/>
  <c r="R5" i="6"/>
  <c r="P5" i="6"/>
  <c r="L5" i="6"/>
  <c r="A9" i="3"/>
  <c r="A9" i="6" s="1"/>
  <c r="R9" i="6"/>
  <c r="A2" i="3"/>
  <c r="A2" i="6" s="1"/>
  <c r="X40" i="1" s="1"/>
  <c r="N2" i="6" a="1"/>
  <c r="N2" i="6" s="1"/>
  <c r="Q2" i="3"/>
  <c r="R2" i="6"/>
  <c r="A8" i="3"/>
  <c r="A8" i="6" s="1"/>
  <c r="N8" i="6" a="1"/>
  <c r="N8" i="6" s="1"/>
  <c r="G8" i="6"/>
  <c r="H8" i="6" s="1"/>
  <c r="M8" i="6" a="1"/>
  <c r="M8" i="6" s="1"/>
  <c r="K8" i="6"/>
  <c r="B8" i="6"/>
  <c r="Q8" i="6"/>
  <c r="AB8" i="6" s="1"/>
  <c r="P8" i="6"/>
  <c r="L8" i="6"/>
  <c r="O8" i="6"/>
  <c r="B2" i="4" a="1"/>
  <c r="Q6" i="6"/>
  <c r="AB6" i="6" s="1"/>
  <c r="N6" i="6" a="1"/>
  <c r="N6" i="6" s="1"/>
  <c r="M5" i="6" a="1"/>
  <c r="M5" i="6" s="1"/>
  <c r="Q9" i="6"/>
  <c r="AB9" i="6" s="1"/>
  <c r="R8" i="6"/>
  <c r="Q8" i="3"/>
  <c r="N4" i="6" a="1"/>
  <c r="N4" i="6" s="1"/>
  <c r="B5" i="6"/>
  <c r="F5" i="6" s="1"/>
  <c r="K5" i="6"/>
  <c r="O5" i="6"/>
  <c r="E165" i="1"/>
  <c r="E159" i="1"/>
  <c r="E153" i="1"/>
  <c r="E169" i="1"/>
  <c r="E163" i="1"/>
  <c r="E157" i="1"/>
  <c r="E151" i="1"/>
  <c r="E168" i="1"/>
  <c r="E162" i="1"/>
  <c r="E156" i="1"/>
  <c r="E150" i="1"/>
  <c r="E167" i="1"/>
  <c r="E161" i="1"/>
  <c r="E155" i="1"/>
  <c r="E166" i="1"/>
  <c r="E160" i="1"/>
  <c r="E154" i="1"/>
  <c r="E164" i="1"/>
  <c r="E158" i="1"/>
  <c r="E152" i="1"/>
  <c r="AE99" i="10"/>
  <c r="AE93" i="10"/>
  <c r="AE51" i="10"/>
  <c r="AE98" i="10"/>
  <c r="AE92" i="10"/>
  <c r="AE86" i="10"/>
  <c r="AE80" i="10"/>
  <c r="AE74" i="10"/>
  <c r="AE68" i="10"/>
  <c r="AE62" i="10"/>
  <c r="AE56" i="10"/>
  <c r="AE50" i="10"/>
  <c r="AE44" i="10"/>
  <c r="AE38" i="10"/>
  <c r="AE32" i="10"/>
  <c r="AE26" i="10"/>
  <c r="AE20" i="10"/>
  <c r="AE14" i="10"/>
  <c r="AE8" i="10"/>
  <c r="AE97" i="10"/>
  <c r="AE91" i="10"/>
  <c r="AE85" i="10"/>
  <c r="AE79" i="10"/>
  <c r="AE73" i="10"/>
  <c r="AE67" i="10"/>
  <c r="AE61" i="10"/>
  <c r="AE55" i="10"/>
  <c r="AE49" i="10"/>
  <c r="AE43" i="10"/>
  <c r="AE37" i="10"/>
  <c r="AE31" i="10"/>
  <c r="AE25" i="10"/>
  <c r="AE19" i="10"/>
  <c r="AE13" i="10"/>
  <c r="AE7" i="10"/>
  <c r="AE2" i="10"/>
  <c r="AE81" i="10"/>
  <c r="AE69" i="10"/>
  <c r="AE63" i="10"/>
  <c r="AE57" i="10"/>
  <c r="AE45" i="10"/>
  <c r="AE39" i="10"/>
  <c r="AE27" i="10"/>
  <c r="AE21" i="10"/>
  <c r="AE15" i="10"/>
  <c r="AE9" i="10"/>
  <c r="AE3" i="10"/>
  <c r="AE96" i="10"/>
  <c r="AE90" i="10"/>
  <c r="AE84" i="10"/>
  <c r="AE78" i="10"/>
  <c r="AE72" i="10"/>
  <c r="AE66" i="10"/>
  <c r="AE60" i="10"/>
  <c r="AE54" i="10"/>
  <c r="AE48" i="10"/>
  <c r="AE42" i="10"/>
  <c r="AE36" i="10"/>
  <c r="AE30" i="10"/>
  <c r="AE24" i="10"/>
  <c r="AE18" i="10"/>
  <c r="AE12" i="10"/>
  <c r="AE6" i="10"/>
  <c r="AE87" i="10"/>
  <c r="AE75" i="10"/>
  <c r="AE33" i="10"/>
  <c r="AE95" i="10"/>
  <c r="AE89" i="10"/>
  <c r="AE83" i="10"/>
  <c r="AE77" i="10"/>
  <c r="AE71" i="10"/>
  <c r="AE65" i="10"/>
  <c r="AE59" i="10"/>
  <c r="AE53" i="10"/>
  <c r="AE47" i="10"/>
  <c r="AE41" i="10"/>
  <c r="AE35" i="10"/>
  <c r="AE29" i="10"/>
  <c r="AE23" i="10"/>
  <c r="AE17" i="10"/>
  <c r="AE11" i="10"/>
  <c r="AE5" i="10"/>
  <c r="AE94" i="10"/>
  <c r="AE88" i="10"/>
  <c r="AE82" i="10"/>
  <c r="AE76" i="10"/>
  <c r="AE70" i="10"/>
  <c r="AE64" i="10"/>
  <c r="AE58" i="10"/>
  <c r="AE52" i="10"/>
  <c r="AE46" i="10"/>
  <c r="AE40" i="10"/>
  <c r="AE34" i="10"/>
  <c r="AE28" i="10"/>
  <c r="AE22" i="10"/>
  <c r="AE16" i="10"/>
  <c r="AE10" i="10"/>
  <c r="AE4" i="10"/>
  <c r="Q9" i="3"/>
  <c r="Q3" i="3"/>
  <c r="G4" i="6"/>
  <c r="I4" i="6" s="1"/>
  <c r="M3" i="6" a="1"/>
  <c r="M3" i="6" s="1"/>
  <c r="Q4" i="3"/>
  <c r="G3" i="6"/>
  <c r="B3" i="6"/>
  <c r="F3" i="6" s="1"/>
  <c r="L3" i="6"/>
  <c r="O3" i="6"/>
  <c r="Q4" i="6"/>
  <c r="R4" i="6"/>
  <c r="M2" i="6" a="1"/>
  <c r="M2" i="6" s="1"/>
  <c r="L2" i="6"/>
  <c r="G2" i="6"/>
  <c r="H2" i="6" s="1"/>
  <c r="K2" i="6"/>
  <c r="B2" i="6"/>
  <c r="F2" i="6" s="1"/>
  <c r="O2" i="6"/>
  <c r="Q2" i="6"/>
  <c r="AB2" i="6" s="1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S23" i="6" l="1"/>
  <c r="AB23" i="6"/>
  <c r="X99" i="1"/>
  <c r="X51" i="1"/>
  <c r="X87" i="1"/>
  <c r="X45" i="1"/>
  <c r="X29" i="1"/>
  <c r="X65" i="1"/>
  <c r="X101" i="1"/>
  <c r="X137" i="1"/>
  <c r="X6" i="1"/>
  <c r="X42" i="1"/>
  <c r="X78" i="1"/>
  <c r="X114" i="1"/>
  <c r="X150" i="1"/>
  <c r="X25" i="1"/>
  <c r="X61" i="1"/>
  <c r="X133" i="1"/>
  <c r="X142" i="1"/>
  <c r="X44" i="1"/>
  <c r="X92" i="1"/>
  <c r="X21" i="1"/>
  <c r="X57" i="1"/>
  <c r="X129" i="1"/>
  <c r="X165" i="1"/>
  <c r="AB18" i="6"/>
  <c r="AB20" i="6"/>
  <c r="AB13" i="6"/>
  <c r="AB25" i="6"/>
  <c r="X69" i="1"/>
  <c r="X94" i="1"/>
  <c r="X63" i="1"/>
  <c r="X97" i="1"/>
  <c r="X35" i="1"/>
  <c r="X71" i="1"/>
  <c r="X107" i="1"/>
  <c r="X143" i="1"/>
  <c r="X12" i="1"/>
  <c r="X48" i="1"/>
  <c r="X84" i="1"/>
  <c r="X120" i="1"/>
  <c r="X156" i="1"/>
  <c r="X136" i="1"/>
  <c r="X31" i="1"/>
  <c r="X67" i="1"/>
  <c r="X103" i="1"/>
  <c r="X139" i="1"/>
  <c r="X166" i="1"/>
  <c r="X50" i="1"/>
  <c r="X98" i="1"/>
  <c r="X106" i="1"/>
  <c r="X135" i="1"/>
  <c r="X93" i="1"/>
  <c r="X16" i="1"/>
  <c r="X81" i="1"/>
  <c r="X5" i="1"/>
  <c r="X41" i="1"/>
  <c r="X77" i="1"/>
  <c r="X113" i="1"/>
  <c r="X149" i="1"/>
  <c r="X18" i="1"/>
  <c r="X54" i="1"/>
  <c r="X126" i="1"/>
  <c r="X162" i="1"/>
  <c r="X160" i="1"/>
  <c r="X37" i="1"/>
  <c r="X73" i="1"/>
  <c r="X109" i="1"/>
  <c r="X145" i="1"/>
  <c r="X8" i="1"/>
  <c r="X62" i="1"/>
  <c r="X124" i="1"/>
  <c r="X105" i="1"/>
  <c r="X141" i="1"/>
  <c r="X56" i="1"/>
  <c r="X110" i="1"/>
  <c r="X146" i="1"/>
  <c r="X140" i="1"/>
  <c r="X10" i="1"/>
  <c r="X64" i="1"/>
  <c r="X116" i="1"/>
  <c r="X152" i="1"/>
  <c r="X20" i="1"/>
  <c r="X74" i="1"/>
  <c r="X122" i="1"/>
  <c r="X158" i="1"/>
  <c r="X28" i="1"/>
  <c r="X82" i="1"/>
  <c r="X128" i="1"/>
  <c r="X164" i="1"/>
  <c r="X104" i="1"/>
  <c r="X38" i="1"/>
  <c r="X90" i="1"/>
  <c r="X134" i="1"/>
  <c r="X46" i="1"/>
  <c r="AB3" i="6"/>
  <c r="AB4" i="6"/>
  <c r="I25" i="6"/>
  <c r="AB15" i="6"/>
  <c r="X100" i="1"/>
  <c r="X34" i="1"/>
  <c r="X88" i="1"/>
  <c r="X11" i="1"/>
  <c r="X47" i="1"/>
  <c r="X83" i="1"/>
  <c r="X119" i="1"/>
  <c r="X155" i="1"/>
  <c r="X112" i="1"/>
  <c r="X24" i="1"/>
  <c r="X60" i="1"/>
  <c r="X132" i="1"/>
  <c r="X7" i="1"/>
  <c r="X43" i="1"/>
  <c r="X79" i="1"/>
  <c r="X115" i="1"/>
  <c r="X151" i="1"/>
  <c r="X76" i="1"/>
  <c r="X14" i="1"/>
  <c r="X68" i="1"/>
  <c r="X3" i="1"/>
  <c r="X39" i="1"/>
  <c r="X75" i="1"/>
  <c r="X111" i="1"/>
  <c r="X147" i="1"/>
  <c r="X154" i="1"/>
  <c r="AB12" i="6"/>
  <c r="AB24" i="6"/>
  <c r="AB19" i="6"/>
  <c r="X15" i="1"/>
  <c r="X2" i="1"/>
  <c r="X52" i="1"/>
  <c r="X9" i="1"/>
  <c r="X96" i="1"/>
  <c r="X17" i="1"/>
  <c r="X53" i="1"/>
  <c r="X89" i="1"/>
  <c r="X125" i="1"/>
  <c r="X161" i="1"/>
  <c r="X130" i="1"/>
  <c r="X30" i="1"/>
  <c r="X66" i="1"/>
  <c r="X102" i="1"/>
  <c r="X138" i="1"/>
  <c r="X13" i="1"/>
  <c r="X49" i="1"/>
  <c r="X85" i="1"/>
  <c r="X121" i="1"/>
  <c r="X157" i="1"/>
  <c r="X26" i="1"/>
  <c r="X80" i="1"/>
  <c r="X22" i="1"/>
  <c r="X117" i="1"/>
  <c r="X153" i="1"/>
  <c r="X33" i="1"/>
  <c r="X70" i="1"/>
  <c r="X27" i="1"/>
  <c r="X23" i="1"/>
  <c r="X59" i="1"/>
  <c r="X95" i="1"/>
  <c r="X131" i="1"/>
  <c r="X4" i="1"/>
  <c r="X148" i="1"/>
  <c r="X36" i="1"/>
  <c r="X72" i="1"/>
  <c r="X108" i="1"/>
  <c r="X144" i="1"/>
  <c r="X19" i="1"/>
  <c r="X55" i="1"/>
  <c r="X91" i="1"/>
  <c r="X127" i="1"/>
  <c r="X163" i="1"/>
  <c r="X118" i="1"/>
  <c r="X32" i="1"/>
  <c r="X86" i="1"/>
  <c r="X58" i="1"/>
  <c r="X123" i="1"/>
  <c r="X159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U7" i="4" a="1"/>
  <c r="U7" i="4" s="1"/>
  <c r="U17" i="4" a="1"/>
  <c r="U17" i="4" s="1"/>
  <c r="U23" i="4" a="1"/>
  <c r="U23" i="4" s="1"/>
  <c r="U29" i="4" a="1"/>
  <c r="U29" i="4" s="1"/>
  <c r="U35" i="4" a="1"/>
  <c r="U35" i="4" s="1"/>
  <c r="U41" i="4" a="1"/>
  <c r="U41" i="4" s="1"/>
  <c r="U3" i="4" a="1"/>
  <c r="U3" i="4" s="1"/>
  <c r="U8" i="4" a="1"/>
  <c r="U8" i="4" s="1"/>
  <c r="U12" i="4" a="1"/>
  <c r="U12" i="4" s="1"/>
  <c r="U18" i="4" a="1"/>
  <c r="U18" i="4" s="1"/>
  <c r="U24" i="4" a="1"/>
  <c r="U24" i="4" s="1"/>
  <c r="U30" i="4" a="1"/>
  <c r="U30" i="4" s="1"/>
  <c r="U36" i="4" a="1"/>
  <c r="U36" i="4" s="1"/>
  <c r="U42" i="4" a="1"/>
  <c r="U42" i="4" s="1"/>
  <c r="U4" i="4" a="1"/>
  <c r="U4" i="4" s="1"/>
  <c r="U13" i="4" a="1"/>
  <c r="U13" i="4" s="1"/>
  <c r="U19" i="4" a="1"/>
  <c r="U19" i="4" s="1"/>
  <c r="U25" i="4" a="1"/>
  <c r="U25" i="4" s="1"/>
  <c r="U31" i="4" a="1"/>
  <c r="U31" i="4" s="1"/>
  <c r="U37" i="4" a="1"/>
  <c r="U37" i="4" s="1"/>
  <c r="U5" i="4" a="1"/>
  <c r="U5" i="4" s="1"/>
  <c r="U9" i="4" a="1"/>
  <c r="U9" i="4" s="1"/>
  <c r="U14" i="4" a="1"/>
  <c r="U14" i="4" s="1"/>
  <c r="U20" i="4" a="1"/>
  <c r="U20" i="4" s="1"/>
  <c r="U26" i="4" a="1"/>
  <c r="U26" i="4" s="1"/>
  <c r="U32" i="4" a="1"/>
  <c r="U32" i="4" s="1"/>
  <c r="U38" i="4" a="1"/>
  <c r="U38" i="4" s="1"/>
  <c r="U10" i="4" a="1"/>
  <c r="U10" i="4" s="1"/>
  <c r="U15" i="4" a="1"/>
  <c r="U15" i="4" s="1"/>
  <c r="U21" i="4" a="1"/>
  <c r="U21" i="4" s="1"/>
  <c r="U27" i="4" a="1"/>
  <c r="U27" i="4" s="1"/>
  <c r="U33" i="4" a="1"/>
  <c r="U33" i="4" s="1"/>
  <c r="U39" i="4" a="1"/>
  <c r="U39" i="4" s="1"/>
  <c r="L10" i="4"/>
  <c r="N10" i="4" s="1"/>
  <c r="U6" i="4" a="1"/>
  <c r="U6" i="4" s="1"/>
  <c r="U11" i="4" a="1"/>
  <c r="U11" i="4" s="1"/>
  <c r="U16" i="4" a="1"/>
  <c r="U16" i="4" s="1"/>
  <c r="U22" i="4" a="1"/>
  <c r="U22" i="4" s="1"/>
  <c r="U28" i="4" a="1"/>
  <c r="U28" i="4" s="1"/>
  <c r="U34" i="4" a="1"/>
  <c r="U34" i="4" s="1"/>
  <c r="U40" i="4" a="1"/>
  <c r="U40" i="4" s="1"/>
  <c r="L6" i="4"/>
  <c r="I8" i="6"/>
  <c r="I7" i="6"/>
  <c r="H4" i="6"/>
  <c r="S3" i="6"/>
  <c r="S8" i="6"/>
  <c r="S5" i="6"/>
  <c r="Q8" i="4" a="1"/>
  <c r="Q8" i="4" s="1"/>
  <c r="L3" i="4"/>
  <c r="N3" i="4" s="1"/>
  <c r="A4" i="4"/>
  <c r="L5" i="4"/>
  <c r="N5" i="4" s="1"/>
  <c r="M6" i="4"/>
  <c r="O6" i="4" s="1" a="1"/>
  <c r="O6" i="4" s="1"/>
  <c r="A7" i="4"/>
  <c r="S7" i="4"/>
  <c r="T7" i="4" s="1" a="1"/>
  <c r="T7" i="4" s="1"/>
  <c r="AA7" i="4" s="1"/>
  <c r="M9" i="4"/>
  <c r="O9" i="4" s="1" a="1"/>
  <c r="O9" i="4" s="1"/>
  <c r="A10" i="4"/>
  <c r="G11" i="4"/>
  <c r="H11" i="4" s="1"/>
  <c r="F11" i="4" s="1"/>
  <c r="L12" i="4"/>
  <c r="N12" i="4" s="1"/>
  <c r="Q13" i="4" a="1"/>
  <c r="Q13" i="4" s="1"/>
  <c r="Q3" i="4" a="1"/>
  <c r="Q3" i="4" s="1"/>
  <c r="Q9" i="4" a="1"/>
  <c r="Q9" i="4" s="1"/>
  <c r="M3" i="4"/>
  <c r="O3" i="4" s="1" a="1"/>
  <c r="O3" i="4" s="1"/>
  <c r="C4" i="4"/>
  <c r="D4" i="4" s="1"/>
  <c r="M5" i="4"/>
  <c r="O5" i="4" s="1" a="1"/>
  <c r="O5" i="4" s="1"/>
  <c r="A6" i="4"/>
  <c r="C7" i="4"/>
  <c r="D7" i="4" s="1"/>
  <c r="G8" i="4"/>
  <c r="H8" i="4" s="1"/>
  <c r="F8" i="4" s="1"/>
  <c r="C10" i="4"/>
  <c r="D10" i="4" s="1"/>
  <c r="L11" i="4"/>
  <c r="N11" i="4" s="1"/>
  <c r="M12" i="4"/>
  <c r="O12" i="4" s="1" a="1"/>
  <c r="O12" i="4" s="1"/>
  <c r="G13" i="4"/>
  <c r="H13" i="4" s="1"/>
  <c r="F13" i="4" s="1"/>
  <c r="S13" i="4"/>
  <c r="T13" i="4" s="1" a="1"/>
  <c r="T13" i="4" s="1"/>
  <c r="AA13" i="4" s="1"/>
  <c r="A15" i="4"/>
  <c r="S15" i="4"/>
  <c r="T15" i="4" s="1" a="1"/>
  <c r="T15" i="4" s="1"/>
  <c r="AA15" i="4" s="1"/>
  <c r="C16" i="4"/>
  <c r="D16" i="4" s="1"/>
  <c r="Q16" i="4" a="1"/>
  <c r="Q16" i="4" s="1"/>
  <c r="L17" i="4"/>
  <c r="N17" i="4" s="1"/>
  <c r="L18" i="4"/>
  <c r="N18" i="4" s="1"/>
  <c r="M19" i="4"/>
  <c r="O19" i="4" s="1" a="1"/>
  <c r="O19" i="4" s="1"/>
  <c r="L20" i="4"/>
  <c r="N20" i="4" s="1"/>
  <c r="L21" i="4"/>
  <c r="N21" i="4" s="1"/>
  <c r="M22" i="4"/>
  <c r="O22" i="4" s="1" a="1"/>
  <c r="O22" i="4" s="1"/>
  <c r="A23" i="4"/>
  <c r="A24" i="4"/>
  <c r="M25" i="4"/>
  <c r="O25" i="4" s="1" a="1"/>
  <c r="O25" i="4" s="1"/>
  <c r="A26" i="4"/>
  <c r="M26" i="4"/>
  <c r="O26" i="4" s="1" a="1"/>
  <c r="O26" i="4" s="1"/>
  <c r="A27" i="4"/>
  <c r="S27" i="4"/>
  <c r="T27" i="4" s="1" a="1"/>
  <c r="T27" i="4" s="1"/>
  <c r="AA27" i="4" s="1"/>
  <c r="C28" i="4"/>
  <c r="D28" i="4" s="1"/>
  <c r="Q28" i="4" a="1"/>
  <c r="Q28" i="4" s="1"/>
  <c r="Q4" i="4" a="1"/>
  <c r="Q4" i="4" s="1"/>
  <c r="Q10" i="4" a="1"/>
  <c r="Q10" i="4" s="1"/>
  <c r="S3" i="4"/>
  <c r="T3" i="4" s="1" a="1"/>
  <c r="T3" i="4" s="1"/>
  <c r="G4" i="4"/>
  <c r="H4" i="4" s="1"/>
  <c r="F4" i="4" s="1"/>
  <c r="C6" i="4"/>
  <c r="D6" i="4" s="1"/>
  <c r="S6" i="4"/>
  <c r="T6" i="4" s="1" a="1"/>
  <c r="T6" i="4" s="1"/>
  <c r="AA6" i="4" s="1"/>
  <c r="G7" i="4"/>
  <c r="H7" i="4" s="1"/>
  <c r="F7" i="4" s="1"/>
  <c r="L8" i="4"/>
  <c r="N8" i="4" s="1"/>
  <c r="A9" i="4"/>
  <c r="S9" i="4"/>
  <c r="T9" i="4" s="1" a="1"/>
  <c r="T9" i="4" s="1"/>
  <c r="AA9" i="4" s="1"/>
  <c r="G10" i="4"/>
  <c r="H10" i="4" s="1"/>
  <c r="F10" i="4" s="1"/>
  <c r="M11" i="4"/>
  <c r="O11" i="4" s="1" a="1"/>
  <c r="O11" i="4" s="1"/>
  <c r="L13" i="4"/>
  <c r="N13" i="4" s="1"/>
  <c r="G14" i="4"/>
  <c r="H14" i="4" s="1"/>
  <c r="F14" i="4" s="1"/>
  <c r="Q14" i="4" a="1"/>
  <c r="Q14" i="4" s="1"/>
  <c r="Q5" i="4" a="1"/>
  <c r="Q5" i="4" s="1"/>
  <c r="A3" i="4"/>
  <c r="L4" i="4"/>
  <c r="N4" i="4" s="1"/>
  <c r="A5" i="4"/>
  <c r="S5" i="4"/>
  <c r="T5" i="4" s="1" a="1"/>
  <c r="T5" i="4" s="1"/>
  <c r="AA5" i="4" s="1"/>
  <c r="L7" i="4"/>
  <c r="N7" i="4" s="1"/>
  <c r="M8" i="4"/>
  <c r="O8" i="4" s="1" a="1"/>
  <c r="O8" i="4" s="1"/>
  <c r="C9" i="4"/>
  <c r="D9" i="4" s="1"/>
  <c r="A11" i="4"/>
  <c r="A12" i="4"/>
  <c r="M13" i="4"/>
  <c r="O13" i="4" s="1" a="1"/>
  <c r="O13" i="4" s="1"/>
  <c r="S14" i="4"/>
  <c r="T14" i="4" s="1" a="1"/>
  <c r="T14" i="4" s="1"/>
  <c r="AA14" i="4" s="1"/>
  <c r="G15" i="4"/>
  <c r="H15" i="4" s="1"/>
  <c r="F15" i="4" s="1"/>
  <c r="G16" i="4"/>
  <c r="H16" i="4" s="1"/>
  <c r="F16" i="4" s="1"/>
  <c r="S16" i="4"/>
  <c r="T16" i="4" s="1" a="1"/>
  <c r="T16" i="4" s="1"/>
  <c r="AA16" i="4" s="1"/>
  <c r="C17" i="4"/>
  <c r="D17" i="4" s="1"/>
  <c r="A18" i="4"/>
  <c r="Q18" i="4" a="1"/>
  <c r="Q18" i="4" s="1"/>
  <c r="A19" i="4"/>
  <c r="Q19" i="4" a="1"/>
  <c r="Q19" i="4" s="1"/>
  <c r="A22" i="4"/>
  <c r="S22" i="4"/>
  <c r="T22" i="4" s="1" a="1"/>
  <c r="T22" i="4" s="1"/>
  <c r="AA22" i="4" s="1"/>
  <c r="S23" i="4"/>
  <c r="T23" i="4" s="1" a="1"/>
  <c r="T23" i="4" s="1"/>
  <c r="AA23" i="4" s="1"/>
  <c r="G24" i="4"/>
  <c r="H24" i="4" s="1"/>
  <c r="F24" i="4" s="1"/>
  <c r="S24" i="4"/>
  <c r="T24" i="4" s="1" a="1"/>
  <c r="T24" i="4" s="1"/>
  <c r="AA24" i="4" s="1"/>
  <c r="C25" i="4"/>
  <c r="D25" i="4" s="1"/>
  <c r="S25" i="4"/>
  <c r="T25" i="4" s="1" a="1"/>
  <c r="T25" i="4" s="1"/>
  <c r="AA25" i="4" s="1"/>
  <c r="S26" i="4"/>
  <c r="T26" i="4" s="1" a="1"/>
  <c r="T26" i="4" s="1"/>
  <c r="AA26" i="4" s="1"/>
  <c r="G27" i="4"/>
  <c r="H27" i="4" s="1"/>
  <c r="F27" i="4" s="1"/>
  <c r="G28" i="4"/>
  <c r="H28" i="4" s="1"/>
  <c r="F28" i="4" s="1"/>
  <c r="S28" i="4"/>
  <c r="T28" i="4" s="1" a="1"/>
  <c r="T28" i="4" s="1"/>
  <c r="AA28" i="4" s="1"/>
  <c r="C29" i="4"/>
  <c r="D29" i="4" s="1"/>
  <c r="A30" i="4"/>
  <c r="Q30" i="4" a="1"/>
  <c r="Q30" i="4" s="1"/>
  <c r="A31" i="4"/>
  <c r="Q31" i="4" a="1"/>
  <c r="Q31" i="4" s="1"/>
  <c r="Q6" i="4" a="1"/>
  <c r="Q6" i="4" s="1"/>
  <c r="C3" i="4"/>
  <c r="D3" i="4" s="1"/>
  <c r="M4" i="4"/>
  <c r="O4" i="4" s="1" a="1"/>
  <c r="O4" i="4" s="1"/>
  <c r="C5" i="4"/>
  <c r="D5" i="4" s="1"/>
  <c r="G6" i="4"/>
  <c r="H6" i="4" s="1"/>
  <c r="F6" i="4" s="1"/>
  <c r="M7" i="4"/>
  <c r="O7" i="4" s="1" a="1"/>
  <c r="O7" i="4" s="1"/>
  <c r="A8" i="4"/>
  <c r="S8" i="4"/>
  <c r="T8" i="4" s="1" a="1"/>
  <c r="T8" i="4" s="1"/>
  <c r="AA8" i="4" s="1"/>
  <c r="G9" i="4"/>
  <c r="H9" i="4" s="1"/>
  <c r="F9" i="4" s="1"/>
  <c r="M10" i="4"/>
  <c r="O10" i="4" s="1" a="1"/>
  <c r="O10" i="4" s="1"/>
  <c r="C11" i="4"/>
  <c r="D11" i="4" s="1"/>
  <c r="Q11" i="4" a="1"/>
  <c r="Q11" i="4" s="1"/>
  <c r="C12" i="4"/>
  <c r="D12" i="4" s="1"/>
  <c r="Q12" i="4" a="1"/>
  <c r="Q12" i="4" s="1"/>
  <c r="A13" i="4"/>
  <c r="L14" i="4"/>
  <c r="N14" i="4" s="1"/>
  <c r="L15" i="4"/>
  <c r="N15" i="4" s="1"/>
  <c r="Q17" i="4" a="1"/>
  <c r="Q17" i="4" s="1"/>
  <c r="C18" i="4"/>
  <c r="D18" i="4" s="1"/>
  <c r="C19" i="4"/>
  <c r="D19" i="4" s="1"/>
  <c r="A20" i="4"/>
  <c r="Q20" i="4" a="1"/>
  <c r="Q20" i="4" s="1"/>
  <c r="Q7" i="4" a="1"/>
  <c r="Q7" i="4" s="1"/>
  <c r="G3" i="4"/>
  <c r="H3" i="4" s="1"/>
  <c r="F3" i="4" s="1"/>
  <c r="S4" i="4"/>
  <c r="T4" i="4" s="1" a="1"/>
  <c r="T4" i="4" s="1"/>
  <c r="AA4" i="4" s="1"/>
  <c r="G5" i="4"/>
  <c r="H5" i="4" s="1"/>
  <c r="F5" i="4" s="1"/>
  <c r="N6" i="4"/>
  <c r="C8" i="4"/>
  <c r="D8" i="4" s="1"/>
  <c r="L9" i="4"/>
  <c r="N9" i="4" s="1"/>
  <c r="S10" i="4"/>
  <c r="T10" i="4" s="1" a="1"/>
  <c r="T10" i="4" s="1"/>
  <c r="S11" i="4"/>
  <c r="T11" i="4" s="1" a="1"/>
  <c r="T11" i="4" s="1"/>
  <c r="AA11" i="4" s="1"/>
  <c r="G12" i="4"/>
  <c r="H12" i="4" s="1"/>
  <c r="F12" i="4" s="1"/>
  <c r="S12" i="4"/>
  <c r="T12" i="4" s="1" a="1"/>
  <c r="T12" i="4" s="1"/>
  <c r="AA12" i="4" s="1"/>
  <c r="C13" i="4"/>
  <c r="D13" i="4" s="1"/>
  <c r="A14" i="4"/>
  <c r="M14" i="4"/>
  <c r="O14" i="4" s="1" a="1"/>
  <c r="O14" i="4" s="1"/>
  <c r="M15" i="4"/>
  <c r="O15" i="4" s="1" a="1"/>
  <c r="O15" i="4" s="1"/>
  <c r="L16" i="4"/>
  <c r="N16" i="4" s="1"/>
  <c r="G17" i="4"/>
  <c r="H17" i="4" s="1"/>
  <c r="F17" i="4" s="1"/>
  <c r="S17" i="4"/>
  <c r="T17" i="4" s="1" a="1"/>
  <c r="T17" i="4" s="1"/>
  <c r="AA17" i="4" s="1"/>
  <c r="S18" i="4"/>
  <c r="T18" i="4" s="1" a="1"/>
  <c r="T18" i="4" s="1"/>
  <c r="AA18" i="4" s="1"/>
  <c r="G19" i="4"/>
  <c r="H19" i="4" s="1"/>
  <c r="F19" i="4" s="1"/>
  <c r="S19" i="4"/>
  <c r="T19" i="4" s="1" a="1"/>
  <c r="T19" i="4" s="1"/>
  <c r="AA19" i="4" s="1"/>
  <c r="C20" i="4"/>
  <c r="D20" i="4" s="1"/>
  <c r="C21" i="4"/>
  <c r="D21" i="4" s="1"/>
  <c r="S21" i="4"/>
  <c r="T21" i="4" s="1" a="1"/>
  <c r="T21" i="4" s="1"/>
  <c r="AA21" i="4" s="1"/>
  <c r="G22" i="4"/>
  <c r="H22" i="4" s="1"/>
  <c r="F22" i="4" s="1"/>
  <c r="L23" i="4"/>
  <c r="N23" i="4" s="1"/>
  <c r="M24" i="4"/>
  <c r="O24" i="4" s="1" a="1"/>
  <c r="O24" i="4" s="1"/>
  <c r="G25" i="4"/>
  <c r="H25" i="4" s="1"/>
  <c r="F25" i="4" s="1"/>
  <c r="M27" i="4"/>
  <c r="O27" i="4" s="1" a="1"/>
  <c r="O27" i="4" s="1"/>
  <c r="L28" i="4"/>
  <c r="N28" i="4" s="1"/>
  <c r="G29" i="4"/>
  <c r="H29" i="4" s="1"/>
  <c r="F29" i="4" s="1"/>
  <c r="S29" i="4"/>
  <c r="T29" i="4" s="1" a="1"/>
  <c r="T29" i="4" s="1"/>
  <c r="AA29" i="4" s="1"/>
  <c r="S30" i="4"/>
  <c r="T30" i="4" s="1" a="1"/>
  <c r="T30" i="4" s="1"/>
  <c r="AA30" i="4" s="1"/>
  <c r="G31" i="4"/>
  <c r="H31" i="4" s="1"/>
  <c r="F31" i="4" s="1"/>
  <c r="S31" i="4"/>
  <c r="T31" i="4" s="1" a="1"/>
  <c r="T31" i="4" s="1"/>
  <c r="AA31" i="4" s="1"/>
  <c r="C32" i="4"/>
  <c r="D32" i="4" s="1"/>
  <c r="C33" i="4"/>
  <c r="D33" i="4" s="1"/>
  <c r="S33" i="4"/>
  <c r="T33" i="4" s="1" a="1"/>
  <c r="T33" i="4" s="1"/>
  <c r="AA33" i="4" s="1"/>
  <c r="G34" i="4"/>
  <c r="H34" i="4" s="1"/>
  <c r="F34" i="4" s="1"/>
  <c r="L35" i="4"/>
  <c r="N35" i="4" s="1"/>
  <c r="M39" i="4"/>
  <c r="O39" i="4" s="1" a="1"/>
  <c r="O39" i="4" s="1"/>
  <c r="Q41" i="4" a="1"/>
  <c r="Q41" i="4" s="1"/>
  <c r="C42" i="4"/>
  <c r="D42" i="4" s="1"/>
  <c r="Q42" i="4" a="1"/>
  <c r="Q42" i="4" s="1"/>
  <c r="C14" i="4"/>
  <c r="D14" i="4" s="1"/>
  <c r="A16" i="4"/>
  <c r="G20" i="4"/>
  <c r="H20" i="4" s="1"/>
  <c r="F20" i="4" s="1"/>
  <c r="M21" i="4"/>
  <c r="O21" i="4" s="1" a="1"/>
  <c r="O21" i="4" s="1"/>
  <c r="Q22" i="4" a="1"/>
  <c r="Q22" i="4" s="1"/>
  <c r="Q23" i="4" a="1"/>
  <c r="Q23" i="4" s="1"/>
  <c r="Q24" i="4" a="1"/>
  <c r="Q24" i="4" s="1"/>
  <c r="Q25" i="4" a="1"/>
  <c r="Q25" i="4" s="1"/>
  <c r="Q26" i="4" a="1"/>
  <c r="Q26" i="4" s="1"/>
  <c r="A32" i="4"/>
  <c r="S32" i="4"/>
  <c r="T32" i="4" s="1" a="1"/>
  <c r="T32" i="4" s="1"/>
  <c r="AA32" i="4" s="1"/>
  <c r="L33" i="4"/>
  <c r="N33" i="4" s="1"/>
  <c r="S34" i="4"/>
  <c r="T34" i="4" s="1" a="1"/>
  <c r="T34" i="4" s="1"/>
  <c r="G35" i="4"/>
  <c r="H35" i="4" s="1"/>
  <c r="F35" i="4" s="1"/>
  <c r="A36" i="4"/>
  <c r="Q36" i="4" a="1"/>
  <c r="Q36" i="4" s="1"/>
  <c r="C37" i="4"/>
  <c r="D37" i="4" s="1"/>
  <c r="S37" i="4"/>
  <c r="T37" i="4" s="1" a="1"/>
  <c r="T37" i="4" s="1"/>
  <c r="AA37" i="4" s="1"/>
  <c r="G38" i="4"/>
  <c r="H38" i="4" s="1"/>
  <c r="F38" i="4" s="1"/>
  <c r="Q39" i="4" a="1"/>
  <c r="Q39" i="4" s="1"/>
  <c r="C40" i="4"/>
  <c r="D40" i="4" s="1"/>
  <c r="C41" i="4"/>
  <c r="D41" i="4" s="1"/>
  <c r="S41" i="4"/>
  <c r="T41" i="4" s="1" a="1"/>
  <c r="T41" i="4" s="1"/>
  <c r="AA41" i="4" s="1"/>
  <c r="G42" i="4"/>
  <c r="H42" i="4" s="1"/>
  <c r="F42" i="4" s="1"/>
  <c r="M17" i="4"/>
  <c r="O17" i="4" s="1" a="1"/>
  <c r="O17" i="4" s="1"/>
  <c r="M20" i="4"/>
  <c r="O20" i="4" s="1" a="1"/>
  <c r="O20" i="4" s="1"/>
  <c r="Q21" i="4" a="1"/>
  <c r="Q21" i="4" s="1"/>
  <c r="L29" i="4"/>
  <c r="N29" i="4" s="1"/>
  <c r="C30" i="4"/>
  <c r="D30" i="4" s="1"/>
  <c r="G32" i="4"/>
  <c r="H32" i="4" s="1"/>
  <c r="F32" i="4" s="1"/>
  <c r="M33" i="4"/>
  <c r="O33" i="4" s="1" a="1"/>
  <c r="O33" i="4" s="1"/>
  <c r="A34" i="4"/>
  <c r="M35" i="4"/>
  <c r="O35" i="4" s="1" a="1"/>
  <c r="O35" i="4" s="1"/>
  <c r="C36" i="4"/>
  <c r="D36" i="4" s="1"/>
  <c r="S36" i="4"/>
  <c r="T36" i="4" s="1" a="1"/>
  <c r="T36" i="4" s="1"/>
  <c r="AA36" i="4" s="1"/>
  <c r="L38" i="4"/>
  <c r="N38" i="4" s="1"/>
  <c r="A39" i="4"/>
  <c r="S39" i="4"/>
  <c r="T39" i="4" s="1" a="1"/>
  <c r="T39" i="4" s="1"/>
  <c r="AA39" i="4" s="1"/>
  <c r="S40" i="4"/>
  <c r="T40" i="4" s="1" a="1"/>
  <c r="T40" i="4" s="1"/>
  <c r="AA40" i="4" s="1"/>
  <c r="G41" i="4"/>
  <c r="H41" i="4" s="1"/>
  <c r="F41" i="4" s="1"/>
  <c r="L42" i="4"/>
  <c r="N42" i="4" s="1"/>
  <c r="P42" i="4" s="1"/>
  <c r="M16" i="4"/>
  <c r="O16" i="4" s="1" a="1"/>
  <c r="O16" i="4" s="1"/>
  <c r="L19" i="4"/>
  <c r="N19" i="4" s="1"/>
  <c r="S20" i="4"/>
  <c r="T20" i="4" s="1" a="1"/>
  <c r="T20" i="4" s="1"/>
  <c r="AA20" i="4" s="1"/>
  <c r="A28" i="4"/>
  <c r="M29" i="4"/>
  <c r="O29" i="4" s="1" a="1"/>
  <c r="O29" i="4" s="1"/>
  <c r="G30" i="4"/>
  <c r="H30" i="4" s="1"/>
  <c r="F30" i="4" s="1"/>
  <c r="L32" i="4"/>
  <c r="N32" i="4" s="1"/>
  <c r="C34" i="4"/>
  <c r="D34" i="4" s="1"/>
  <c r="Q35" i="4" a="1"/>
  <c r="Q35" i="4" s="1"/>
  <c r="G36" i="4"/>
  <c r="H36" i="4" s="1"/>
  <c r="F36" i="4" s="1"/>
  <c r="G37" i="4"/>
  <c r="H37" i="4" s="1"/>
  <c r="F37" i="4" s="1"/>
  <c r="M38" i="4"/>
  <c r="O38" i="4" s="1" a="1"/>
  <c r="O38" i="4" s="1"/>
  <c r="C39" i="4"/>
  <c r="D39" i="4" s="1"/>
  <c r="G40" i="4"/>
  <c r="H40" i="4" s="1"/>
  <c r="F40" i="4" s="1"/>
  <c r="M42" i="4"/>
  <c r="O42" i="4" s="1" a="1"/>
  <c r="O42" i="4" s="1"/>
  <c r="C15" i="4"/>
  <c r="D15" i="4" s="1"/>
  <c r="C23" i="4"/>
  <c r="D23" i="4" s="1"/>
  <c r="C24" i="4"/>
  <c r="D24" i="4" s="1"/>
  <c r="A25" i="4"/>
  <c r="C26" i="4"/>
  <c r="D26" i="4" s="1"/>
  <c r="C27" i="4"/>
  <c r="D27" i="4" s="1"/>
  <c r="Q29" i="4" a="1"/>
  <c r="Q29" i="4" s="1"/>
  <c r="L30" i="4"/>
  <c r="N30" i="4" s="1"/>
  <c r="C31" i="4"/>
  <c r="D31" i="4" s="1"/>
  <c r="M32" i="4"/>
  <c r="O32" i="4" s="1" a="1"/>
  <c r="O32" i="4" s="1"/>
  <c r="Q33" i="4" a="1"/>
  <c r="Q33" i="4" s="1"/>
  <c r="L34" i="4"/>
  <c r="N34" i="4" s="1"/>
  <c r="A35" i="4"/>
  <c r="S35" i="4"/>
  <c r="T35" i="4" s="1" a="1"/>
  <c r="T35" i="4" s="1"/>
  <c r="AA35" i="4" s="1"/>
  <c r="L36" i="4"/>
  <c r="N36" i="4" s="1"/>
  <c r="L37" i="4"/>
  <c r="N37" i="4" s="1"/>
  <c r="A38" i="4"/>
  <c r="Q38" i="4" a="1"/>
  <c r="Q38" i="4" s="1"/>
  <c r="G39" i="4"/>
  <c r="H39" i="4" s="1"/>
  <c r="F39" i="4" s="1"/>
  <c r="L40" i="4"/>
  <c r="N40" i="4" s="1"/>
  <c r="L41" i="4"/>
  <c r="N41" i="4" s="1"/>
  <c r="Q15" i="4" a="1"/>
  <c r="Q15" i="4" s="1"/>
  <c r="G18" i="4"/>
  <c r="H18" i="4" s="1"/>
  <c r="F18" i="4" s="1"/>
  <c r="A21" i="4"/>
  <c r="C22" i="4"/>
  <c r="D22" i="4" s="1"/>
  <c r="G23" i="4"/>
  <c r="H23" i="4" s="1"/>
  <c r="F23" i="4" s="1"/>
  <c r="L24" i="4"/>
  <c r="N24" i="4" s="1"/>
  <c r="G26" i="4"/>
  <c r="H26" i="4" s="1"/>
  <c r="F26" i="4" s="1"/>
  <c r="L27" i="4"/>
  <c r="N27" i="4" s="1"/>
  <c r="P27" i="4" s="1"/>
  <c r="A29" i="4"/>
  <c r="M30" i="4"/>
  <c r="O30" i="4" s="1" a="1"/>
  <c r="O30" i="4" s="1"/>
  <c r="L31" i="4"/>
  <c r="N31" i="4" s="1"/>
  <c r="A33" i="4"/>
  <c r="M34" i="4"/>
  <c r="O34" i="4" s="1" a="1"/>
  <c r="O34" i="4" s="1"/>
  <c r="C35" i="4"/>
  <c r="D35" i="4" s="1"/>
  <c r="M36" i="4"/>
  <c r="O36" i="4" s="1" a="1"/>
  <c r="O36" i="4" s="1"/>
  <c r="M37" i="4"/>
  <c r="O37" i="4" s="1" a="1"/>
  <c r="O37" i="4" s="1"/>
  <c r="C38" i="4"/>
  <c r="D38" i="4" s="1"/>
  <c r="S38" i="4"/>
  <c r="T38" i="4" s="1" a="1"/>
  <c r="T38" i="4" s="1"/>
  <c r="AA38" i="4" s="1"/>
  <c r="L39" i="4"/>
  <c r="N39" i="4" s="1"/>
  <c r="M40" i="4"/>
  <c r="O40" i="4" s="1" a="1"/>
  <c r="O40" i="4" s="1"/>
  <c r="M41" i="4"/>
  <c r="O41" i="4" s="1" a="1"/>
  <c r="O41" i="4" s="1"/>
  <c r="A42" i="4"/>
  <c r="S42" i="4"/>
  <c r="T42" i="4" s="1" a="1"/>
  <c r="T42" i="4" s="1"/>
  <c r="AA42" i="4" s="1"/>
  <c r="A17" i="4"/>
  <c r="M18" i="4"/>
  <c r="O18" i="4" s="1" a="1"/>
  <c r="O18" i="4" s="1"/>
  <c r="G21" i="4"/>
  <c r="H21" i="4" s="1"/>
  <c r="F21" i="4" s="1"/>
  <c r="L22" i="4"/>
  <c r="N22" i="4" s="1"/>
  <c r="P22" i="4" s="1"/>
  <c r="M23" i="4"/>
  <c r="O23" i="4" s="1" a="1"/>
  <c r="O23" i="4" s="1"/>
  <c r="L25" i="4"/>
  <c r="N25" i="4" s="1"/>
  <c r="P25" i="4" s="1"/>
  <c r="L26" i="4"/>
  <c r="N26" i="4" s="1"/>
  <c r="Q27" i="4" a="1"/>
  <c r="Q27" i="4" s="1"/>
  <c r="M28" i="4"/>
  <c r="O28" i="4" s="1" a="1"/>
  <c r="O28" i="4" s="1"/>
  <c r="M31" i="4"/>
  <c r="O31" i="4" s="1" a="1"/>
  <c r="O31" i="4" s="1"/>
  <c r="Q32" i="4" a="1"/>
  <c r="Q32" i="4" s="1"/>
  <c r="G33" i="4"/>
  <c r="H33" i="4" s="1"/>
  <c r="F33" i="4" s="1"/>
  <c r="Q34" i="4" a="1"/>
  <c r="Q34" i="4" s="1"/>
  <c r="A37" i="4"/>
  <c r="Q37" i="4" a="1"/>
  <c r="Q37" i="4" s="1"/>
  <c r="A40" i="4"/>
  <c r="Q40" i="4" a="1"/>
  <c r="Q40" i="4" s="1"/>
  <c r="A41" i="4"/>
  <c r="B2" i="4"/>
  <c r="I7" i="1"/>
  <c r="I9" i="1"/>
  <c r="I4" i="1"/>
  <c r="I17" i="1"/>
  <c r="I23" i="1"/>
  <c r="I29" i="1"/>
  <c r="I35" i="1"/>
  <c r="I41" i="1"/>
  <c r="I47" i="1"/>
  <c r="I53" i="1"/>
  <c r="I59" i="1"/>
  <c r="I65" i="1"/>
  <c r="I71" i="1"/>
  <c r="I77" i="1"/>
  <c r="I83" i="1"/>
  <c r="I89" i="1"/>
  <c r="I95" i="1"/>
  <c r="I101" i="1"/>
  <c r="I107" i="1"/>
  <c r="I113" i="1"/>
  <c r="I119" i="1"/>
  <c r="I125" i="1"/>
  <c r="I131" i="1"/>
  <c r="I137" i="1"/>
  <c r="I143" i="1"/>
  <c r="I149" i="1"/>
  <c r="I155" i="1"/>
  <c r="I161" i="1"/>
  <c r="I167" i="1"/>
  <c r="I22" i="1"/>
  <c r="I46" i="1"/>
  <c r="I64" i="1"/>
  <c r="I82" i="1"/>
  <c r="I100" i="1"/>
  <c r="I124" i="1"/>
  <c r="I142" i="1"/>
  <c r="I160" i="1"/>
  <c r="I12" i="1"/>
  <c r="I18" i="1"/>
  <c r="I24" i="1"/>
  <c r="I30" i="1"/>
  <c r="I36" i="1"/>
  <c r="I42" i="1"/>
  <c r="I48" i="1"/>
  <c r="I54" i="1"/>
  <c r="I60" i="1"/>
  <c r="I66" i="1"/>
  <c r="I72" i="1"/>
  <c r="I78" i="1"/>
  <c r="I84" i="1"/>
  <c r="I90" i="1"/>
  <c r="I96" i="1"/>
  <c r="I102" i="1"/>
  <c r="I108" i="1"/>
  <c r="I114" i="1"/>
  <c r="I120" i="1"/>
  <c r="I126" i="1"/>
  <c r="I132" i="1"/>
  <c r="I138" i="1"/>
  <c r="I144" i="1"/>
  <c r="I150" i="1"/>
  <c r="I156" i="1"/>
  <c r="I162" i="1"/>
  <c r="I168" i="1"/>
  <c r="I16" i="1"/>
  <c r="I34" i="1"/>
  <c r="I52" i="1"/>
  <c r="I70" i="1"/>
  <c r="I88" i="1"/>
  <c r="I106" i="1"/>
  <c r="I130" i="1"/>
  <c r="I148" i="1"/>
  <c r="I166" i="1"/>
  <c r="I13" i="1"/>
  <c r="I19" i="1"/>
  <c r="I25" i="1"/>
  <c r="I31" i="1"/>
  <c r="I37" i="1"/>
  <c r="I43" i="1"/>
  <c r="I49" i="1"/>
  <c r="I55" i="1"/>
  <c r="I61" i="1"/>
  <c r="I67" i="1"/>
  <c r="I73" i="1"/>
  <c r="I79" i="1"/>
  <c r="I85" i="1"/>
  <c r="I91" i="1"/>
  <c r="I97" i="1"/>
  <c r="I103" i="1"/>
  <c r="I109" i="1"/>
  <c r="I115" i="1"/>
  <c r="I121" i="1"/>
  <c r="I127" i="1"/>
  <c r="I133" i="1"/>
  <c r="I139" i="1"/>
  <c r="I145" i="1"/>
  <c r="I151" i="1"/>
  <c r="I157" i="1"/>
  <c r="I163" i="1"/>
  <c r="I169" i="1"/>
  <c r="I28" i="1"/>
  <c r="I40" i="1"/>
  <c r="I58" i="1"/>
  <c r="I76" i="1"/>
  <c r="I94" i="1"/>
  <c r="I118" i="1"/>
  <c r="I136" i="1"/>
  <c r="I154" i="1"/>
  <c r="I14" i="1"/>
  <c r="I20" i="1"/>
  <c r="I26" i="1"/>
  <c r="I32" i="1"/>
  <c r="I38" i="1"/>
  <c r="I44" i="1"/>
  <c r="I50" i="1"/>
  <c r="I56" i="1"/>
  <c r="I62" i="1"/>
  <c r="I68" i="1"/>
  <c r="I74" i="1"/>
  <c r="I80" i="1"/>
  <c r="I86" i="1"/>
  <c r="I92" i="1"/>
  <c r="I98" i="1"/>
  <c r="I104" i="1"/>
  <c r="I110" i="1"/>
  <c r="I116" i="1"/>
  <c r="I122" i="1"/>
  <c r="I128" i="1"/>
  <c r="I134" i="1"/>
  <c r="I140" i="1"/>
  <c r="I146" i="1"/>
  <c r="I152" i="1"/>
  <c r="I158" i="1"/>
  <c r="I164" i="1"/>
  <c r="I170" i="1"/>
  <c r="I112" i="1"/>
  <c r="I15" i="1"/>
  <c r="I21" i="1"/>
  <c r="I27" i="1"/>
  <c r="I33" i="1"/>
  <c r="I39" i="1"/>
  <c r="I45" i="1"/>
  <c r="I51" i="1"/>
  <c r="I57" i="1"/>
  <c r="I63" i="1"/>
  <c r="I69" i="1"/>
  <c r="I75" i="1"/>
  <c r="I87" i="1"/>
  <c r="I93" i="1"/>
  <c r="I99" i="1"/>
  <c r="I105" i="1"/>
  <c r="I111" i="1"/>
  <c r="I117" i="1"/>
  <c r="I123" i="1"/>
  <c r="I129" i="1"/>
  <c r="I135" i="1"/>
  <c r="I141" i="1"/>
  <c r="I147" i="1"/>
  <c r="I153" i="1"/>
  <c r="I159" i="1"/>
  <c r="I165" i="1"/>
  <c r="S4" i="6"/>
  <c r="S9" i="6"/>
  <c r="A49" i="8"/>
  <c r="B49" i="8" s="1"/>
  <c r="A53" i="8"/>
  <c r="B53" i="8" s="1"/>
  <c r="A57" i="8"/>
  <c r="B57" i="8" s="1"/>
  <c r="A61" i="8"/>
  <c r="B61" i="8" s="1"/>
  <c r="A65" i="8"/>
  <c r="B65" i="8" s="1"/>
  <c r="A69" i="8"/>
  <c r="B69" i="8" s="1"/>
  <c r="A73" i="8"/>
  <c r="B73" i="8" s="1"/>
  <c r="A77" i="8"/>
  <c r="B77" i="8" s="1"/>
  <c r="A81" i="8"/>
  <c r="B81" i="8" s="1"/>
  <c r="A85" i="8"/>
  <c r="B85" i="8" s="1"/>
  <c r="A89" i="8"/>
  <c r="B89" i="8" s="1"/>
  <c r="A102" i="8"/>
  <c r="B102" i="8" s="1"/>
  <c r="A4" i="8"/>
  <c r="B4" i="8" s="1"/>
  <c r="A7" i="8"/>
  <c r="B7" i="8" s="1"/>
  <c r="A10" i="8"/>
  <c r="B10" i="8" s="1"/>
  <c r="A13" i="8"/>
  <c r="B13" i="8" s="1"/>
  <c r="A96" i="8"/>
  <c r="B96" i="8" s="1"/>
  <c r="A99" i="8"/>
  <c r="B99" i="8" s="1"/>
  <c r="A103" i="8"/>
  <c r="B103" i="8" s="1"/>
  <c r="A51" i="8"/>
  <c r="B51" i="8" s="1"/>
  <c r="A55" i="8"/>
  <c r="B55" i="8" s="1"/>
  <c r="A59" i="8"/>
  <c r="B59" i="8" s="1"/>
  <c r="A63" i="8"/>
  <c r="B63" i="8" s="1"/>
  <c r="A67" i="8"/>
  <c r="B67" i="8" s="1"/>
  <c r="A71" i="8"/>
  <c r="B71" i="8" s="1"/>
  <c r="A75" i="8"/>
  <c r="B75" i="8" s="1"/>
  <c r="A79" i="8"/>
  <c r="B79" i="8" s="1"/>
  <c r="A83" i="8"/>
  <c r="B83" i="8" s="1"/>
  <c r="A87" i="8"/>
  <c r="B87" i="8" s="1"/>
  <c r="A91" i="8"/>
  <c r="B91" i="8" s="1"/>
  <c r="A100" i="8"/>
  <c r="B100" i="8" s="1"/>
  <c r="A104" i="8"/>
  <c r="B104" i="8" s="1"/>
  <c r="A50" i="8"/>
  <c r="B50" i="8" s="1"/>
  <c r="A58" i="8"/>
  <c r="B58" i="8" s="1"/>
  <c r="A66" i="8"/>
  <c r="B66" i="8" s="1"/>
  <c r="A74" i="8"/>
  <c r="B74" i="8" s="1"/>
  <c r="A82" i="8"/>
  <c r="B82" i="8" s="1"/>
  <c r="A90" i="8"/>
  <c r="B90" i="8" s="1"/>
  <c r="A97" i="8"/>
  <c r="B97" i="8" s="1"/>
  <c r="A8" i="8"/>
  <c r="B8" i="8" s="1"/>
  <c r="A14" i="8"/>
  <c r="B14" i="8" s="1"/>
  <c r="A70" i="8"/>
  <c r="B70" i="8" s="1"/>
  <c r="A21" i="8"/>
  <c r="B21" i="8" s="1"/>
  <c r="A27" i="8"/>
  <c r="B27" i="8" s="1"/>
  <c r="A36" i="8"/>
  <c r="B36" i="8" s="1"/>
  <c r="A42" i="8"/>
  <c r="B42" i="8" s="1"/>
  <c r="A98" i="8"/>
  <c r="B98" i="8" s="1"/>
  <c r="A3" i="8"/>
  <c r="B3" i="8" s="1"/>
  <c r="A9" i="8"/>
  <c r="B9" i="8" s="1"/>
  <c r="A15" i="8"/>
  <c r="B15" i="8" s="1"/>
  <c r="A19" i="8"/>
  <c r="B19" i="8" s="1"/>
  <c r="A23" i="8"/>
  <c r="B23" i="8" s="1"/>
  <c r="A26" i="8"/>
  <c r="B26" i="8" s="1"/>
  <c r="A29" i="8"/>
  <c r="B29" i="8" s="1"/>
  <c r="A32" i="8"/>
  <c r="B32" i="8" s="1"/>
  <c r="A35" i="8"/>
  <c r="B35" i="8" s="1"/>
  <c r="A38" i="8"/>
  <c r="B38" i="8" s="1"/>
  <c r="A41" i="8"/>
  <c r="B41" i="8" s="1"/>
  <c r="A44" i="8"/>
  <c r="B44" i="8" s="1"/>
  <c r="A47" i="8"/>
  <c r="B47" i="8" s="1"/>
  <c r="A54" i="8"/>
  <c r="B54" i="8" s="1"/>
  <c r="A78" i="8"/>
  <c r="B78" i="8" s="1"/>
  <c r="A93" i="8"/>
  <c r="B93" i="8" s="1"/>
  <c r="A16" i="8"/>
  <c r="B16" i="8" s="1"/>
  <c r="A30" i="8"/>
  <c r="B30" i="8" s="1"/>
  <c r="A45" i="8"/>
  <c r="B45" i="8" s="1"/>
  <c r="A52" i="8"/>
  <c r="B52" i="8" s="1"/>
  <c r="A60" i="8"/>
  <c r="B60" i="8" s="1"/>
  <c r="A68" i="8"/>
  <c r="B68" i="8" s="1"/>
  <c r="A76" i="8"/>
  <c r="B76" i="8" s="1"/>
  <c r="A84" i="8"/>
  <c r="B84" i="8" s="1"/>
  <c r="A92" i="8"/>
  <c r="B92" i="8" s="1"/>
  <c r="A20" i="8"/>
  <c r="B20" i="8" s="1"/>
  <c r="A62" i="8"/>
  <c r="B62" i="8" s="1"/>
  <c r="A86" i="8"/>
  <c r="B86" i="8" s="1"/>
  <c r="A11" i="8"/>
  <c r="B11" i="8" s="1"/>
  <c r="A24" i="8"/>
  <c r="B24" i="8" s="1"/>
  <c r="A33" i="8"/>
  <c r="B33" i="8" s="1"/>
  <c r="A39" i="8"/>
  <c r="B39" i="8" s="1"/>
  <c r="A5" i="8"/>
  <c r="B5" i="8" s="1"/>
  <c r="A6" i="8"/>
  <c r="B6" i="8" s="1"/>
  <c r="A48" i="8"/>
  <c r="B48" i="8" s="1"/>
  <c r="A64" i="8"/>
  <c r="B64" i="8" s="1"/>
  <c r="A22" i="8"/>
  <c r="B22" i="8" s="1"/>
  <c r="A40" i="8"/>
  <c r="B40" i="8" s="1"/>
  <c r="A94" i="8"/>
  <c r="B94" i="8" s="1"/>
  <c r="A12" i="8"/>
  <c r="B12" i="8" s="1"/>
  <c r="A72" i="8"/>
  <c r="B72" i="8" s="1"/>
  <c r="A95" i="8"/>
  <c r="B95" i="8" s="1"/>
  <c r="A25" i="8"/>
  <c r="B25" i="8" s="1"/>
  <c r="A34" i="8"/>
  <c r="B34" i="8" s="1"/>
  <c r="A43" i="8"/>
  <c r="B43" i="8" s="1"/>
  <c r="A101" i="8"/>
  <c r="B101" i="8" s="1"/>
  <c r="A17" i="8"/>
  <c r="B17" i="8" s="1"/>
  <c r="A56" i="8"/>
  <c r="B56" i="8" s="1"/>
  <c r="A80" i="8"/>
  <c r="B80" i="8" s="1"/>
  <c r="A18" i="8"/>
  <c r="B18" i="8" s="1"/>
  <c r="A28" i="8"/>
  <c r="B28" i="8" s="1"/>
  <c r="A37" i="8"/>
  <c r="B37" i="8" s="1"/>
  <c r="A46" i="8"/>
  <c r="B46" i="8" s="1"/>
  <c r="A88" i="8"/>
  <c r="B88" i="8" s="1"/>
  <c r="A31" i="8"/>
  <c r="B31" i="8" s="1"/>
  <c r="I3" i="6"/>
  <c r="I5" i="1" s="1"/>
  <c r="E3" i="6"/>
  <c r="H3" i="6"/>
  <c r="J3" i="6"/>
  <c r="E2" i="6"/>
  <c r="S6" i="6"/>
  <c r="I6" i="6"/>
  <c r="I8" i="1" s="1"/>
  <c r="E6" i="6"/>
  <c r="I9" i="6"/>
  <c r="I11" i="1" s="1"/>
  <c r="E9" i="6"/>
  <c r="J4" i="6"/>
  <c r="E4" i="6"/>
  <c r="I2" i="6"/>
  <c r="I2" i="1" s="1"/>
  <c r="S2" i="6"/>
  <c r="J2" i="6"/>
  <c r="J9" i="6"/>
  <c r="H9" i="6"/>
  <c r="H6" i="6"/>
  <c r="J6" i="6"/>
  <c r="AA34" i="4" l="1"/>
  <c r="AA10" i="4"/>
  <c r="AA3" i="4"/>
  <c r="I6" i="1"/>
  <c r="I3" i="1"/>
  <c r="I10" i="1"/>
  <c r="I81" i="1"/>
  <c r="S2" i="4"/>
  <c r="T2" i="4" s="1" a="1"/>
  <c r="T2" i="4" s="1"/>
  <c r="U2" i="4" a="1"/>
  <c r="U2" i="4" s="1"/>
  <c r="P26" i="4"/>
  <c r="P24" i="4"/>
  <c r="P6" i="4"/>
  <c r="P28" i="4"/>
  <c r="P9" i="4"/>
  <c r="P19" i="4"/>
  <c r="P11" i="4"/>
  <c r="P15" i="4"/>
  <c r="P39" i="4"/>
  <c r="P36" i="4"/>
  <c r="P37" i="4"/>
  <c r="P32" i="4"/>
  <c r="P38" i="4"/>
  <c r="P29" i="4"/>
  <c r="P10" i="4"/>
  <c r="P8" i="4"/>
  <c r="P20" i="4"/>
  <c r="P17" i="4"/>
  <c r="P40" i="4"/>
  <c r="P33" i="4"/>
  <c r="P35" i="4"/>
  <c r="P5" i="4"/>
  <c r="P12" i="4"/>
  <c r="P31" i="4"/>
  <c r="P4" i="4"/>
  <c r="P23" i="4"/>
  <c r="P16" i="4"/>
  <c r="P13" i="4"/>
  <c r="P21" i="4"/>
  <c r="P18" i="4"/>
  <c r="P3" i="4"/>
  <c r="P41" i="4"/>
  <c r="P34" i="4"/>
  <c r="P30" i="4"/>
  <c r="P14" i="4"/>
  <c r="P7" i="4"/>
  <c r="Q2" i="4" a="1"/>
  <c r="Q2" i="4" s="1"/>
  <c r="L2" i="4"/>
  <c r="M2" i="4"/>
  <c r="O2" i="4" s="1" a="1"/>
  <c r="O2" i="4" s="1"/>
  <c r="C5" i="8"/>
  <c r="F5" i="8" s="1"/>
  <c r="D5" i="8"/>
  <c r="G5" i="8" s="1"/>
  <c r="E5" i="8"/>
  <c r="H5" i="8" s="1"/>
  <c r="C99" i="8"/>
  <c r="F99" i="8" s="1"/>
  <c r="D99" i="8"/>
  <c r="G99" i="8" s="1"/>
  <c r="E99" i="8"/>
  <c r="H99" i="8" s="1"/>
  <c r="D102" i="8"/>
  <c r="G102" i="8" s="1"/>
  <c r="C102" i="8"/>
  <c r="F102" i="8" s="1"/>
  <c r="E102" i="8"/>
  <c r="H102" i="8" s="1"/>
  <c r="C69" i="8"/>
  <c r="F69" i="8" s="1"/>
  <c r="E69" i="8"/>
  <c r="H69" i="8" s="1"/>
  <c r="D69" i="8"/>
  <c r="G69" i="8" s="1"/>
  <c r="C62" i="8"/>
  <c r="F62" i="8" s="1"/>
  <c r="D62" i="8"/>
  <c r="G62" i="8" s="1"/>
  <c r="E62" i="8"/>
  <c r="H62" i="8" s="1"/>
  <c r="D98" i="8"/>
  <c r="G98" i="8" s="1"/>
  <c r="E98" i="8"/>
  <c r="H98" i="8" s="1"/>
  <c r="C98" i="8"/>
  <c r="F98" i="8" s="1"/>
  <c r="C14" i="8"/>
  <c r="F14" i="8" s="1"/>
  <c r="D14" i="8"/>
  <c r="G14" i="8" s="1"/>
  <c r="E14" i="8"/>
  <c r="H14" i="8" s="1"/>
  <c r="D66" i="8"/>
  <c r="G66" i="8" s="1"/>
  <c r="C66" i="8"/>
  <c r="F66" i="8" s="1"/>
  <c r="E66" i="8"/>
  <c r="H66" i="8" s="1"/>
  <c r="E87" i="8"/>
  <c r="H87" i="8" s="1"/>
  <c r="C87" i="8"/>
  <c r="F87" i="8" s="1"/>
  <c r="D87" i="8"/>
  <c r="G87" i="8" s="1"/>
  <c r="E63" i="8"/>
  <c r="H63" i="8" s="1"/>
  <c r="C63" i="8"/>
  <c r="F63" i="8" s="1"/>
  <c r="D63" i="8"/>
  <c r="G63" i="8" s="1"/>
  <c r="D89" i="8"/>
  <c r="G89" i="8" s="1"/>
  <c r="E89" i="8"/>
  <c r="H89" i="8" s="1"/>
  <c r="C89" i="8"/>
  <c r="F89" i="8" s="1"/>
  <c r="C65" i="8"/>
  <c r="F65" i="8" s="1"/>
  <c r="D65" i="8"/>
  <c r="G65" i="8" s="1"/>
  <c r="E65" i="8"/>
  <c r="H65" i="8" s="1"/>
  <c r="A2" i="8"/>
  <c r="C37" i="8"/>
  <c r="F37" i="8" s="1"/>
  <c r="D37" i="8"/>
  <c r="G37" i="8" s="1"/>
  <c r="E37" i="8"/>
  <c r="H37" i="8" s="1"/>
  <c r="C28" i="8"/>
  <c r="F28" i="8" s="1"/>
  <c r="D28" i="8"/>
  <c r="G28" i="8" s="1"/>
  <c r="E28" i="8"/>
  <c r="H28" i="8" s="1"/>
  <c r="D60" i="8"/>
  <c r="G60" i="8" s="1"/>
  <c r="E60" i="8"/>
  <c r="H60" i="8" s="1"/>
  <c r="C60" i="8"/>
  <c r="F60" i="8" s="1"/>
  <c r="G2" i="4"/>
  <c r="H2" i="4" s="1"/>
  <c r="F2" i="4" s="1"/>
  <c r="D18" i="8"/>
  <c r="G18" i="8" s="1"/>
  <c r="C18" i="8"/>
  <c r="F18" i="8" s="1"/>
  <c r="E18" i="8"/>
  <c r="H18" i="8" s="1"/>
  <c r="C34" i="8"/>
  <c r="F34" i="8" s="1"/>
  <c r="D34" i="8"/>
  <c r="G34" i="8" s="1"/>
  <c r="E34" i="8"/>
  <c r="H34" i="8" s="1"/>
  <c r="C40" i="8"/>
  <c r="F40" i="8" s="1"/>
  <c r="D40" i="8"/>
  <c r="G40" i="8" s="1"/>
  <c r="E40" i="8"/>
  <c r="H40" i="8" s="1"/>
  <c r="E39" i="8"/>
  <c r="H39" i="8" s="1"/>
  <c r="C39" i="8"/>
  <c r="F39" i="8" s="1"/>
  <c r="D39" i="8"/>
  <c r="G39" i="8" s="1"/>
  <c r="C20" i="8"/>
  <c r="F20" i="8" s="1"/>
  <c r="D20" i="8"/>
  <c r="G20" i="8" s="1"/>
  <c r="E20" i="8"/>
  <c r="H20" i="8" s="1"/>
  <c r="C52" i="8"/>
  <c r="F52" i="8" s="1"/>
  <c r="D52" i="8"/>
  <c r="G52" i="8" s="1"/>
  <c r="E52" i="8"/>
  <c r="H52" i="8" s="1"/>
  <c r="D54" i="8"/>
  <c r="G54" i="8" s="1"/>
  <c r="C54" i="8"/>
  <c r="F54" i="8" s="1"/>
  <c r="E54" i="8"/>
  <c r="H54" i="8" s="1"/>
  <c r="C32" i="8"/>
  <c r="F32" i="8" s="1"/>
  <c r="D32" i="8"/>
  <c r="G32" i="8" s="1"/>
  <c r="E32" i="8"/>
  <c r="H32" i="8" s="1"/>
  <c r="C9" i="8"/>
  <c r="F9" i="8" s="1"/>
  <c r="E9" i="8"/>
  <c r="H9" i="8" s="1"/>
  <c r="D9" i="8"/>
  <c r="G9" i="8" s="1"/>
  <c r="C21" i="8"/>
  <c r="F21" i="8" s="1"/>
  <c r="E21" i="8"/>
  <c r="H21" i="8" s="1"/>
  <c r="D21" i="8"/>
  <c r="G21" i="8" s="1"/>
  <c r="D82" i="8"/>
  <c r="G82" i="8" s="1"/>
  <c r="E82" i="8"/>
  <c r="H82" i="8" s="1"/>
  <c r="C82" i="8"/>
  <c r="F82" i="8" s="1"/>
  <c r="C31" i="8"/>
  <c r="F31" i="8" s="1"/>
  <c r="D31" i="8"/>
  <c r="G31" i="8" s="1"/>
  <c r="E31" i="8"/>
  <c r="H31" i="8" s="1"/>
  <c r="C80" i="8"/>
  <c r="F80" i="8" s="1"/>
  <c r="D80" i="8"/>
  <c r="G80" i="8" s="1"/>
  <c r="E80" i="8"/>
  <c r="H80" i="8" s="1"/>
  <c r="C25" i="8"/>
  <c r="F25" i="8" s="1"/>
  <c r="D25" i="8"/>
  <c r="G25" i="8" s="1"/>
  <c r="E25" i="8"/>
  <c r="H25" i="8" s="1"/>
  <c r="C22" i="8"/>
  <c r="F22" i="8" s="1"/>
  <c r="D22" i="8"/>
  <c r="G22" i="8" s="1"/>
  <c r="E22" i="8"/>
  <c r="H22" i="8" s="1"/>
  <c r="C33" i="8"/>
  <c r="F33" i="8" s="1"/>
  <c r="E33" i="8"/>
  <c r="H33" i="8" s="1"/>
  <c r="D33" i="8"/>
  <c r="G33" i="8" s="1"/>
  <c r="D92" i="8"/>
  <c r="G92" i="8" s="1"/>
  <c r="C92" i="8"/>
  <c r="F92" i="8" s="1"/>
  <c r="E92" i="8"/>
  <c r="H92" i="8" s="1"/>
  <c r="C45" i="8"/>
  <c r="F45" i="8" s="1"/>
  <c r="E45" i="8"/>
  <c r="H45" i="8" s="1"/>
  <c r="D45" i="8"/>
  <c r="G45" i="8" s="1"/>
  <c r="C47" i="8"/>
  <c r="F47" i="8" s="1"/>
  <c r="D47" i="8"/>
  <c r="G47" i="8" s="1"/>
  <c r="E47" i="8"/>
  <c r="H47" i="8" s="1"/>
  <c r="C29" i="8"/>
  <c r="F29" i="8" s="1"/>
  <c r="D29" i="8"/>
  <c r="G29" i="8" s="1"/>
  <c r="E29" i="8"/>
  <c r="H29" i="8" s="1"/>
  <c r="E3" i="8"/>
  <c r="H3" i="8" s="1"/>
  <c r="C3" i="8"/>
  <c r="F3" i="8" s="1"/>
  <c r="D3" i="8"/>
  <c r="G3" i="8" s="1"/>
  <c r="C70" i="8"/>
  <c r="F70" i="8" s="1"/>
  <c r="D70" i="8"/>
  <c r="G70" i="8" s="1"/>
  <c r="E70" i="8"/>
  <c r="H70" i="8" s="1"/>
  <c r="E74" i="8"/>
  <c r="H74" i="8" s="1"/>
  <c r="D74" i="8"/>
  <c r="G74" i="8" s="1"/>
  <c r="C74" i="8"/>
  <c r="F74" i="8" s="1"/>
  <c r="C91" i="8"/>
  <c r="F91" i="8" s="1"/>
  <c r="D91" i="8"/>
  <c r="G91" i="8" s="1"/>
  <c r="E91" i="8"/>
  <c r="H91" i="8" s="1"/>
  <c r="C67" i="8"/>
  <c r="F67" i="8" s="1"/>
  <c r="D67" i="8"/>
  <c r="G67" i="8" s="1"/>
  <c r="E67" i="8"/>
  <c r="H67" i="8" s="1"/>
  <c r="D88" i="8"/>
  <c r="G88" i="8" s="1"/>
  <c r="C88" i="8"/>
  <c r="F88" i="8" s="1"/>
  <c r="E88" i="8"/>
  <c r="H88" i="8" s="1"/>
  <c r="C56" i="8"/>
  <c r="F56" i="8" s="1"/>
  <c r="D56" i="8"/>
  <c r="G56" i="8" s="1"/>
  <c r="E56" i="8"/>
  <c r="H56" i="8" s="1"/>
  <c r="C95" i="8"/>
  <c r="F95" i="8" s="1"/>
  <c r="D95" i="8"/>
  <c r="G95" i="8" s="1"/>
  <c r="E95" i="8"/>
  <c r="H95" i="8" s="1"/>
  <c r="C64" i="8"/>
  <c r="F64" i="8" s="1"/>
  <c r="D64" i="8"/>
  <c r="G64" i="8" s="1"/>
  <c r="E64" i="8"/>
  <c r="H64" i="8" s="1"/>
  <c r="D24" i="8"/>
  <c r="G24" i="8" s="1"/>
  <c r="E24" i="8"/>
  <c r="H24" i="8" s="1"/>
  <c r="C24" i="8"/>
  <c r="F24" i="8" s="1"/>
  <c r="C84" i="8"/>
  <c r="F84" i="8" s="1"/>
  <c r="D84" i="8"/>
  <c r="G84" i="8" s="1"/>
  <c r="E84" i="8"/>
  <c r="H84" i="8" s="1"/>
  <c r="D30" i="8"/>
  <c r="G30" i="8" s="1"/>
  <c r="C30" i="8"/>
  <c r="F30" i="8" s="1"/>
  <c r="E30" i="8"/>
  <c r="H30" i="8" s="1"/>
  <c r="C44" i="8"/>
  <c r="F44" i="8" s="1"/>
  <c r="D44" i="8"/>
  <c r="G44" i="8" s="1"/>
  <c r="E44" i="8"/>
  <c r="H44" i="8" s="1"/>
  <c r="C26" i="8"/>
  <c r="F26" i="8" s="1"/>
  <c r="D26" i="8"/>
  <c r="G26" i="8" s="1"/>
  <c r="E26" i="8"/>
  <c r="H26" i="8" s="1"/>
  <c r="D96" i="8"/>
  <c r="G96" i="8" s="1"/>
  <c r="E96" i="8"/>
  <c r="H96" i="8" s="1"/>
  <c r="C96" i="8"/>
  <c r="F96" i="8" s="1"/>
  <c r="C46" i="8"/>
  <c r="F46" i="8" s="1"/>
  <c r="D46" i="8"/>
  <c r="G46" i="8" s="1"/>
  <c r="E46" i="8"/>
  <c r="H46" i="8" s="1"/>
  <c r="C17" i="8"/>
  <c r="F17" i="8" s="1"/>
  <c r="D17" i="8"/>
  <c r="G17" i="8" s="1"/>
  <c r="E17" i="8"/>
  <c r="H17" i="8" s="1"/>
  <c r="D72" i="8"/>
  <c r="G72" i="8" s="1"/>
  <c r="E72" i="8"/>
  <c r="H72" i="8" s="1"/>
  <c r="C72" i="8"/>
  <c r="F72" i="8" s="1"/>
  <c r="D48" i="8"/>
  <c r="G48" i="8" s="1"/>
  <c r="E48" i="8"/>
  <c r="H48" i="8" s="1"/>
  <c r="C48" i="8"/>
  <c r="F48" i="8" s="1"/>
  <c r="C11" i="8"/>
  <c r="F11" i="8" s="1"/>
  <c r="D11" i="8"/>
  <c r="G11" i="8" s="1"/>
  <c r="E11" i="8"/>
  <c r="H11" i="8" s="1"/>
  <c r="C76" i="8"/>
  <c r="F76" i="8" s="1"/>
  <c r="D76" i="8"/>
  <c r="G76" i="8" s="1"/>
  <c r="E76" i="8"/>
  <c r="H76" i="8" s="1"/>
  <c r="C16" i="8"/>
  <c r="F16" i="8" s="1"/>
  <c r="D16" i="8"/>
  <c r="G16" i="8" s="1"/>
  <c r="E16" i="8"/>
  <c r="H16" i="8" s="1"/>
  <c r="C41" i="8"/>
  <c r="F41" i="8" s="1"/>
  <c r="D41" i="8"/>
  <c r="G41" i="8" s="1"/>
  <c r="E41" i="8"/>
  <c r="H41" i="8" s="1"/>
  <c r="C23" i="8"/>
  <c r="F23" i="8" s="1"/>
  <c r="D23" i="8"/>
  <c r="G23" i="8" s="1"/>
  <c r="E23" i="8"/>
  <c r="H23" i="8" s="1"/>
  <c r="D42" i="8"/>
  <c r="G42" i="8" s="1"/>
  <c r="C42" i="8"/>
  <c r="F42" i="8" s="1"/>
  <c r="E42" i="8"/>
  <c r="H42" i="8" s="1"/>
  <c r="C8" i="8"/>
  <c r="F8" i="8" s="1"/>
  <c r="D8" i="8"/>
  <c r="G8" i="8" s="1"/>
  <c r="E8" i="8"/>
  <c r="H8" i="8" s="1"/>
  <c r="C58" i="8"/>
  <c r="F58" i="8" s="1"/>
  <c r="D58" i="8"/>
  <c r="G58" i="8" s="1"/>
  <c r="E58" i="8"/>
  <c r="H58" i="8" s="1"/>
  <c r="D83" i="8"/>
  <c r="G83" i="8" s="1"/>
  <c r="C83" i="8"/>
  <c r="F83" i="8" s="1"/>
  <c r="E83" i="8"/>
  <c r="H83" i="8" s="1"/>
  <c r="C59" i="8"/>
  <c r="F59" i="8" s="1"/>
  <c r="D59" i="8"/>
  <c r="G59" i="8" s="1"/>
  <c r="E59" i="8"/>
  <c r="H59" i="8" s="1"/>
  <c r="C13" i="8"/>
  <c r="F13" i="8" s="1"/>
  <c r="D13" i="8"/>
  <c r="G13" i="8" s="1"/>
  <c r="E13" i="8"/>
  <c r="H13" i="8" s="1"/>
  <c r="D85" i="8"/>
  <c r="G85" i="8" s="1"/>
  <c r="E85" i="8"/>
  <c r="H85" i="8" s="1"/>
  <c r="C85" i="8"/>
  <c r="F85" i="8" s="1"/>
  <c r="C61" i="8"/>
  <c r="F61" i="8" s="1"/>
  <c r="D61" i="8"/>
  <c r="G61" i="8" s="1"/>
  <c r="E61" i="8"/>
  <c r="H61" i="8" s="1"/>
  <c r="C101" i="8"/>
  <c r="F101" i="8" s="1"/>
  <c r="D101" i="8"/>
  <c r="G101" i="8" s="1"/>
  <c r="E101" i="8"/>
  <c r="H101" i="8" s="1"/>
  <c r="D12" i="8"/>
  <c r="G12" i="8" s="1"/>
  <c r="E12" i="8"/>
  <c r="H12" i="8" s="1"/>
  <c r="C12" i="8"/>
  <c r="F12" i="8" s="1"/>
  <c r="D6" i="8"/>
  <c r="G6" i="8" s="1"/>
  <c r="C6" i="8"/>
  <c r="F6" i="8" s="1"/>
  <c r="E6" i="8"/>
  <c r="H6" i="8" s="1"/>
  <c r="D86" i="8"/>
  <c r="G86" i="8" s="1"/>
  <c r="E86" i="8"/>
  <c r="H86" i="8" s="1"/>
  <c r="C86" i="8"/>
  <c r="F86" i="8" s="1"/>
  <c r="C68" i="8"/>
  <c r="F68" i="8" s="1"/>
  <c r="D68" i="8"/>
  <c r="G68" i="8" s="1"/>
  <c r="E68" i="8"/>
  <c r="H68" i="8" s="1"/>
  <c r="C93" i="8"/>
  <c r="F93" i="8" s="1"/>
  <c r="D93" i="8"/>
  <c r="G93" i="8" s="1"/>
  <c r="E93" i="8"/>
  <c r="H93" i="8" s="1"/>
  <c r="C38" i="8"/>
  <c r="F38" i="8" s="1"/>
  <c r="D38" i="8"/>
  <c r="G38" i="8" s="1"/>
  <c r="E38" i="8"/>
  <c r="H38" i="8" s="1"/>
  <c r="C19" i="8"/>
  <c r="F19" i="8" s="1"/>
  <c r="D19" i="8"/>
  <c r="G19" i="8" s="1"/>
  <c r="E19" i="8"/>
  <c r="H19" i="8" s="1"/>
  <c r="D36" i="8"/>
  <c r="G36" i="8" s="1"/>
  <c r="E36" i="8"/>
  <c r="H36" i="8" s="1"/>
  <c r="C36" i="8"/>
  <c r="F36" i="8" s="1"/>
  <c r="D97" i="8"/>
  <c r="G97" i="8" s="1"/>
  <c r="E97" i="8"/>
  <c r="H97" i="8" s="1"/>
  <c r="C97" i="8"/>
  <c r="F97" i="8" s="1"/>
  <c r="C50" i="8"/>
  <c r="F50" i="8" s="1"/>
  <c r="D50" i="8"/>
  <c r="G50" i="8" s="1"/>
  <c r="E50" i="8"/>
  <c r="H50" i="8" s="1"/>
  <c r="C79" i="8"/>
  <c r="F79" i="8" s="1"/>
  <c r="D79" i="8"/>
  <c r="G79" i="8" s="1"/>
  <c r="E79" i="8"/>
  <c r="H79" i="8" s="1"/>
  <c r="C55" i="8"/>
  <c r="F55" i="8" s="1"/>
  <c r="D55" i="8"/>
  <c r="G55" i="8" s="1"/>
  <c r="E55" i="8"/>
  <c r="H55" i="8" s="1"/>
  <c r="C10" i="8"/>
  <c r="F10" i="8" s="1"/>
  <c r="D10" i="8"/>
  <c r="G10" i="8" s="1"/>
  <c r="E10" i="8"/>
  <c r="H10" i="8" s="1"/>
  <c r="D81" i="8"/>
  <c r="G81" i="8" s="1"/>
  <c r="C81" i="8"/>
  <c r="F81" i="8" s="1"/>
  <c r="E81" i="8"/>
  <c r="H81" i="8" s="1"/>
  <c r="C57" i="8"/>
  <c r="F57" i="8" s="1"/>
  <c r="E57" i="8"/>
  <c r="H57" i="8" s="1"/>
  <c r="D57" i="8"/>
  <c r="G57" i="8" s="1"/>
  <c r="D94" i="8"/>
  <c r="G94" i="8" s="1"/>
  <c r="E94" i="8"/>
  <c r="H94" i="8" s="1"/>
  <c r="C94" i="8"/>
  <c r="F94" i="8" s="1"/>
  <c r="E78" i="8"/>
  <c r="H78" i="8" s="1"/>
  <c r="C78" i="8"/>
  <c r="F78" i="8" s="1"/>
  <c r="D78" i="8"/>
  <c r="G78" i="8" s="1"/>
  <c r="C35" i="8"/>
  <c r="F35" i="8" s="1"/>
  <c r="D35" i="8"/>
  <c r="G35" i="8" s="1"/>
  <c r="E35" i="8"/>
  <c r="H35" i="8" s="1"/>
  <c r="E15" i="8"/>
  <c r="H15" i="8" s="1"/>
  <c r="C15" i="8"/>
  <c r="F15" i="8" s="1"/>
  <c r="D15" i="8"/>
  <c r="G15" i="8" s="1"/>
  <c r="E27" i="8"/>
  <c r="H27" i="8" s="1"/>
  <c r="C27" i="8"/>
  <c r="F27" i="8" s="1"/>
  <c r="D27" i="8"/>
  <c r="G27" i="8" s="1"/>
  <c r="D90" i="8"/>
  <c r="G90" i="8" s="1"/>
  <c r="E90" i="8"/>
  <c r="H90" i="8" s="1"/>
  <c r="C90" i="8"/>
  <c r="F90" i="8" s="1"/>
  <c r="D104" i="8"/>
  <c r="G104" i="8" s="1"/>
  <c r="E104" i="8"/>
  <c r="H104" i="8" s="1"/>
  <c r="C104" i="8"/>
  <c r="F104" i="8" s="1"/>
  <c r="C75" i="8"/>
  <c r="F75" i="8" s="1"/>
  <c r="D75" i="8"/>
  <c r="G75" i="8" s="1"/>
  <c r="E75" i="8"/>
  <c r="H75" i="8" s="1"/>
  <c r="E51" i="8"/>
  <c r="H51" i="8" s="1"/>
  <c r="C51" i="8"/>
  <c r="F51" i="8" s="1"/>
  <c r="D51" i="8"/>
  <c r="G51" i="8" s="1"/>
  <c r="C7" i="8"/>
  <c r="F7" i="8" s="1"/>
  <c r="D7" i="8"/>
  <c r="G7" i="8" s="1"/>
  <c r="E7" i="8"/>
  <c r="H7" i="8" s="1"/>
  <c r="C77" i="8"/>
  <c r="F77" i="8" s="1"/>
  <c r="D77" i="8"/>
  <c r="G77" i="8" s="1"/>
  <c r="E77" i="8"/>
  <c r="H77" i="8" s="1"/>
  <c r="C53" i="8"/>
  <c r="F53" i="8" s="1"/>
  <c r="D53" i="8"/>
  <c r="G53" i="8" s="1"/>
  <c r="E53" i="8"/>
  <c r="H53" i="8" s="1"/>
  <c r="C43" i="8"/>
  <c r="F43" i="8" s="1"/>
  <c r="D43" i="8"/>
  <c r="G43" i="8" s="1"/>
  <c r="E43" i="8"/>
  <c r="H43" i="8" s="1"/>
  <c r="D100" i="8"/>
  <c r="G100" i="8" s="1"/>
  <c r="C100" i="8"/>
  <c r="F100" i="8" s="1"/>
  <c r="E100" i="8"/>
  <c r="H100" i="8" s="1"/>
  <c r="C71" i="8"/>
  <c r="F71" i="8" s="1"/>
  <c r="D71" i="8"/>
  <c r="G71" i="8" s="1"/>
  <c r="E71" i="8"/>
  <c r="H71" i="8" s="1"/>
  <c r="D103" i="8"/>
  <c r="G103" i="8" s="1"/>
  <c r="C103" i="8"/>
  <c r="F103" i="8" s="1"/>
  <c r="E103" i="8"/>
  <c r="H103" i="8" s="1"/>
  <c r="C4" i="8"/>
  <c r="F4" i="8" s="1"/>
  <c r="D4" i="8"/>
  <c r="G4" i="8" s="1"/>
  <c r="E4" i="8"/>
  <c r="H4" i="8" s="1"/>
  <c r="C73" i="8"/>
  <c r="F73" i="8" s="1"/>
  <c r="D73" i="8"/>
  <c r="G73" i="8" s="1"/>
  <c r="E73" i="8"/>
  <c r="H73" i="8" s="1"/>
  <c r="C49" i="8"/>
  <c r="F49" i="8" s="1"/>
  <c r="D49" i="8"/>
  <c r="G49" i="8" s="1"/>
  <c r="E49" i="8"/>
  <c r="H49" i="8" s="1"/>
  <c r="C2" i="4"/>
  <c r="D2" i="4" s="1"/>
  <c r="A2" i="4"/>
  <c r="N2" i="4"/>
  <c r="C22" i="1" l="1" a="1"/>
  <c r="C22" i="1" s="1"/>
  <c r="O50" i="1"/>
  <c r="O86" i="1"/>
  <c r="O122" i="1"/>
  <c r="O158" i="1"/>
  <c r="O32" i="1"/>
  <c r="O116" i="1"/>
  <c r="O56" i="1"/>
  <c r="O92" i="1"/>
  <c r="O128" i="1"/>
  <c r="O164" i="1"/>
  <c r="O44" i="1"/>
  <c r="O62" i="1"/>
  <c r="O98" i="1"/>
  <c r="O134" i="1"/>
  <c r="O8" i="1"/>
  <c r="O80" i="1"/>
  <c r="O68" i="1"/>
  <c r="O104" i="1"/>
  <c r="O140" i="1"/>
  <c r="O14" i="1"/>
  <c r="O152" i="1"/>
  <c r="O38" i="1"/>
  <c r="O74" i="1"/>
  <c r="O110" i="1"/>
  <c r="O146" i="1"/>
  <c r="O20" i="1"/>
  <c r="O26" i="1"/>
  <c r="O87" i="1"/>
  <c r="O51" i="1"/>
  <c r="O15" i="1"/>
  <c r="O70" i="1"/>
  <c r="O25" i="1"/>
  <c r="O151" i="1"/>
  <c r="O115" i="1"/>
  <c r="O73" i="1"/>
  <c r="O37" i="1"/>
  <c r="O12" i="1"/>
  <c r="O138" i="1"/>
  <c r="O102" i="1"/>
  <c r="O54" i="1"/>
  <c r="O23" i="1"/>
  <c r="O149" i="1"/>
  <c r="O113" i="1"/>
  <c r="O77" i="1"/>
  <c r="O41" i="1"/>
  <c r="O148" i="1"/>
  <c r="O112" i="1"/>
  <c r="O21" i="1"/>
  <c r="O135" i="1"/>
  <c r="O75" i="1"/>
  <c r="O81" i="1"/>
  <c r="O45" i="1"/>
  <c r="O9" i="1"/>
  <c r="O100" i="1"/>
  <c r="O52" i="1"/>
  <c r="O19" i="1"/>
  <c r="O145" i="1"/>
  <c r="O109" i="1"/>
  <c r="O67" i="1"/>
  <c r="O6" i="1"/>
  <c r="O132" i="1"/>
  <c r="O84" i="1"/>
  <c r="O48" i="1"/>
  <c r="O17" i="1"/>
  <c r="O143" i="1"/>
  <c r="O107" i="1"/>
  <c r="O71" i="1"/>
  <c r="O142" i="1"/>
  <c r="O106" i="1"/>
  <c r="O3" i="1"/>
  <c r="O129" i="1"/>
  <c r="O57" i="1"/>
  <c r="O28" i="1"/>
  <c r="O96" i="1"/>
  <c r="O13" i="1"/>
  <c r="O139" i="1"/>
  <c r="O103" i="1"/>
  <c r="O61" i="1"/>
  <c r="O2" i="1"/>
  <c r="O162" i="1"/>
  <c r="O126" i="1"/>
  <c r="O78" i="1"/>
  <c r="O42" i="1"/>
  <c r="O11" i="1"/>
  <c r="O137" i="1"/>
  <c r="O101" i="1"/>
  <c r="O65" i="1"/>
  <c r="O22" i="1"/>
  <c r="O136" i="1"/>
  <c r="O76" i="1"/>
  <c r="O159" i="1"/>
  <c r="O123" i="1"/>
  <c r="O39" i="1"/>
  <c r="O69" i="1"/>
  <c r="O33" i="1"/>
  <c r="O46" i="1"/>
  <c r="O90" i="1"/>
  <c r="O88" i="1"/>
  <c r="O7" i="1"/>
  <c r="O133" i="1"/>
  <c r="O91" i="1"/>
  <c r="O55" i="1"/>
  <c r="O30" i="1"/>
  <c r="O156" i="1"/>
  <c r="O120" i="1"/>
  <c r="O72" i="1"/>
  <c r="O36" i="1"/>
  <c r="O5" i="1"/>
  <c r="O131" i="1"/>
  <c r="O95" i="1"/>
  <c r="O59" i="1"/>
  <c r="O4" i="1"/>
  <c r="O130" i="1"/>
  <c r="O58" i="1"/>
  <c r="O153" i="1"/>
  <c r="O117" i="1"/>
  <c r="O16" i="1"/>
  <c r="O99" i="1"/>
  <c r="O63" i="1"/>
  <c r="O27" i="1"/>
  <c r="O10" i="1"/>
  <c r="O64" i="1"/>
  <c r="O163" i="1"/>
  <c r="O127" i="1"/>
  <c r="O85" i="1"/>
  <c r="O49" i="1"/>
  <c r="O24" i="1"/>
  <c r="O150" i="1"/>
  <c r="O114" i="1"/>
  <c r="O66" i="1"/>
  <c r="O35" i="1"/>
  <c r="O161" i="1"/>
  <c r="O125" i="1"/>
  <c r="O89" i="1"/>
  <c r="O53" i="1"/>
  <c r="O160" i="1"/>
  <c r="O124" i="1"/>
  <c r="O40" i="1"/>
  <c r="O147" i="1"/>
  <c r="O111" i="1"/>
  <c r="O93" i="1"/>
  <c r="O82" i="1"/>
  <c r="O97" i="1"/>
  <c r="O94" i="1"/>
  <c r="O34" i="1"/>
  <c r="O31" i="1"/>
  <c r="O157" i="1"/>
  <c r="O121" i="1"/>
  <c r="O79" i="1"/>
  <c r="O43" i="1"/>
  <c r="O18" i="1"/>
  <c r="O144" i="1"/>
  <c r="O108" i="1"/>
  <c r="O60" i="1"/>
  <c r="O29" i="1"/>
  <c r="O155" i="1"/>
  <c r="O119" i="1"/>
  <c r="O83" i="1"/>
  <c r="O47" i="1"/>
  <c r="O154" i="1"/>
  <c r="O118" i="1"/>
  <c r="O141" i="1"/>
  <c r="O105" i="1"/>
  <c r="AA2" i="4"/>
  <c r="D38" i="1" a="1"/>
  <c r="D38" i="1" s="1"/>
  <c r="D36" i="1" a="1"/>
  <c r="D36" i="1" s="1"/>
  <c r="D37" i="1" a="1"/>
  <c r="D37" i="1" s="1"/>
  <c r="K45" i="4"/>
  <c r="K51" i="4"/>
  <c r="K44" i="4"/>
  <c r="K43" i="4"/>
  <c r="K49" i="4"/>
  <c r="K55" i="4"/>
  <c r="K61" i="4"/>
  <c r="K67" i="4"/>
  <c r="K73" i="4"/>
  <c r="K48" i="4"/>
  <c r="K54" i="4"/>
  <c r="K47" i="4"/>
  <c r="K53" i="4"/>
  <c r="K46" i="4"/>
  <c r="K52" i="4"/>
  <c r="K59" i="4"/>
  <c r="K50" i="4"/>
  <c r="K57" i="4"/>
  <c r="K62" i="4"/>
  <c r="K64" i="4"/>
  <c r="K66" i="4"/>
  <c r="K78" i="4"/>
  <c r="K84" i="4"/>
  <c r="K58" i="4"/>
  <c r="K60" i="4"/>
  <c r="K77" i="4"/>
  <c r="K76" i="4"/>
  <c r="K82" i="4"/>
  <c r="K69" i="4"/>
  <c r="K71" i="4"/>
  <c r="K75" i="4"/>
  <c r="K81" i="4"/>
  <c r="K87" i="4"/>
  <c r="K90" i="4"/>
  <c r="K96" i="4"/>
  <c r="K102" i="4"/>
  <c r="K108" i="4"/>
  <c r="K114" i="4"/>
  <c r="K56" i="4"/>
  <c r="K63" i="4"/>
  <c r="K65" i="4"/>
  <c r="K74" i="4"/>
  <c r="K80" i="4"/>
  <c r="K86" i="4"/>
  <c r="K85" i="4"/>
  <c r="K119" i="4"/>
  <c r="K125" i="4"/>
  <c r="K131" i="4"/>
  <c r="K137" i="4"/>
  <c r="K143" i="4"/>
  <c r="K149" i="4"/>
  <c r="K155" i="4"/>
  <c r="K161" i="4"/>
  <c r="K167" i="4"/>
  <c r="K173" i="4"/>
  <c r="K179" i="4"/>
  <c r="K185" i="4"/>
  <c r="K191" i="4"/>
  <c r="K197" i="4"/>
  <c r="K203" i="4"/>
  <c r="K209" i="4"/>
  <c r="K215" i="4"/>
  <c r="K221" i="4"/>
  <c r="K227" i="4"/>
  <c r="K233" i="4"/>
  <c r="K239" i="4"/>
  <c r="K245" i="4"/>
  <c r="K251" i="4"/>
  <c r="K68" i="4"/>
  <c r="K70" i="4"/>
  <c r="K79" i="4"/>
  <c r="K91" i="4"/>
  <c r="K93" i="4"/>
  <c r="K100" i="4"/>
  <c r="K101" i="4"/>
  <c r="K109" i="4"/>
  <c r="K111" i="4"/>
  <c r="K104" i="4"/>
  <c r="K115" i="4"/>
  <c r="K117" i="4"/>
  <c r="K120" i="4"/>
  <c r="K121" i="4"/>
  <c r="K123" i="4"/>
  <c r="K126" i="4"/>
  <c r="K127" i="4"/>
  <c r="K129" i="4"/>
  <c r="K132" i="4"/>
  <c r="K133" i="4"/>
  <c r="K135" i="4"/>
  <c r="K138" i="4"/>
  <c r="K139" i="4"/>
  <c r="K141" i="4"/>
  <c r="K144" i="4"/>
  <c r="K145" i="4"/>
  <c r="K147" i="4"/>
  <c r="K150" i="4"/>
  <c r="K151" i="4"/>
  <c r="K153" i="4"/>
  <c r="K156" i="4"/>
  <c r="K157" i="4"/>
  <c r="K159" i="4"/>
  <c r="K162" i="4"/>
  <c r="K163" i="4"/>
  <c r="K165" i="4"/>
  <c r="K168" i="4"/>
  <c r="K169" i="4"/>
  <c r="K171" i="4"/>
  <c r="K174" i="4"/>
  <c r="K175" i="4"/>
  <c r="K177" i="4"/>
  <c r="K180" i="4"/>
  <c r="K181" i="4"/>
  <c r="K183" i="4"/>
  <c r="K186" i="4"/>
  <c r="K187" i="4"/>
  <c r="K189" i="4"/>
  <c r="K192" i="4"/>
  <c r="K193" i="4"/>
  <c r="K195" i="4"/>
  <c r="K198" i="4"/>
  <c r="K199" i="4"/>
  <c r="K201" i="4"/>
  <c r="K204" i="4"/>
  <c r="K205" i="4"/>
  <c r="K207" i="4"/>
  <c r="K210" i="4"/>
  <c r="K211" i="4"/>
  <c r="K213" i="4"/>
  <c r="K216" i="4"/>
  <c r="K217" i="4"/>
  <c r="K219" i="4"/>
  <c r="K222" i="4"/>
  <c r="K223" i="4"/>
  <c r="K225" i="4"/>
  <c r="K228" i="4"/>
  <c r="K229" i="4"/>
  <c r="K231" i="4"/>
  <c r="K234" i="4"/>
  <c r="K235" i="4"/>
  <c r="K237" i="4"/>
  <c r="K240" i="4"/>
  <c r="K241" i="4"/>
  <c r="K243" i="4"/>
  <c r="K246" i="4"/>
  <c r="K247" i="4"/>
  <c r="K249" i="4"/>
  <c r="K252" i="4"/>
  <c r="K88" i="4"/>
  <c r="K94" i="4"/>
  <c r="K95" i="4"/>
  <c r="K103" i="4"/>
  <c r="K105" i="4"/>
  <c r="K112" i="4"/>
  <c r="K113" i="4"/>
  <c r="K116" i="4"/>
  <c r="K118" i="4"/>
  <c r="K122" i="4"/>
  <c r="K124" i="4"/>
  <c r="K128" i="4"/>
  <c r="K130" i="4"/>
  <c r="K134" i="4"/>
  <c r="K136" i="4"/>
  <c r="K140" i="4"/>
  <c r="K142" i="4"/>
  <c r="K146" i="4"/>
  <c r="K148" i="4"/>
  <c r="K152" i="4"/>
  <c r="K154" i="4"/>
  <c r="K158" i="4"/>
  <c r="K160" i="4"/>
  <c r="K164" i="4"/>
  <c r="K166" i="4"/>
  <c r="K170" i="4"/>
  <c r="K172" i="4"/>
  <c r="K176" i="4"/>
  <c r="K178" i="4"/>
  <c r="K182" i="4"/>
  <c r="K184" i="4"/>
  <c r="K188" i="4"/>
  <c r="K190" i="4"/>
  <c r="K194" i="4"/>
  <c r="K196" i="4"/>
  <c r="K200" i="4"/>
  <c r="K202" i="4"/>
  <c r="K206" i="4"/>
  <c r="K208" i="4"/>
  <c r="K212" i="4"/>
  <c r="K214" i="4"/>
  <c r="K218" i="4"/>
  <c r="K220" i="4"/>
  <c r="K224" i="4"/>
  <c r="K226" i="4"/>
  <c r="K230" i="4"/>
  <c r="K232" i="4"/>
  <c r="K236" i="4"/>
  <c r="K238" i="4"/>
  <c r="K242" i="4"/>
  <c r="K244" i="4"/>
  <c r="K248" i="4"/>
  <c r="K250" i="4"/>
  <c r="K72" i="4"/>
  <c r="K83" i="4"/>
  <c r="K92" i="4"/>
  <c r="K107" i="4"/>
  <c r="K99" i="4"/>
  <c r="K106" i="4"/>
  <c r="K98" i="4"/>
  <c r="K97" i="4"/>
  <c r="K110" i="4"/>
  <c r="B2" i="8"/>
  <c r="C2" i="8" s="1"/>
  <c r="F2" i="8" s="1"/>
  <c r="I87" i="8"/>
  <c r="Q79" i="1" a="1"/>
  <c r="Q79" i="1" s="1"/>
  <c r="P84" i="1" a="1"/>
  <c r="P84" i="1" s="1"/>
  <c r="P83" i="1" a="1"/>
  <c r="P83" i="1" s="1"/>
  <c r="Q84" i="1" a="1"/>
  <c r="Q84" i="1" s="1"/>
  <c r="Q93" i="1" a="1"/>
  <c r="Q93" i="1" s="1"/>
  <c r="F71" i="1" a="1"/>
  <c r="F71" i="1" s="1"/>
  <c r="F48" i="1" a="1"/>
  <c r="F48" i="1" s="1"/>
  <c r="F85" i="1" a="1"/>
  <c r="F85" i="1" s="1"/>
  <c r="F76" i="1" a="1"/>
  <c r="F76" i="1" s="1"/>
  <c r="F31" i="1" a="1"/>
  <c r="F31" i="1" s="1"/>
  <c r="F63" i="1" a="1"/>
  <c r="F63" i="1" s="1"/>
  <c r="F68" i="1" a="1"/>
  <c r="F68" i="1" s="1"/>
  <c r="F60" i="1" a="1"/>
  <c r="F60" i="1" s="1"/>
  <c r="F18" i="1" a="1"/>
  <c r="F18" i="1" s="1"/>
  <c r="J2" i="1" a="1"/>
  <c r="J2" i="1" s="1"/>
  <c r="F2" i="1" a="1"/>
  <c r="F2" i="1" s="1"/>
  <c r="F52" i="1" a="1"/>
  <c r="F52" i="1" s="1"/>
  <c r="F95" i="1" a="1"/>
  <c r="F95" i="1" s="1"/>
  <c r="F19" i="1" a="1"/>
  <c r="F19" i="1" s="1"/>
  <c r="F8" i="1" a="1"/>
  <c r="F8" i="1" s="1"/>
  <c r="H11" i="1" a="1"/>
  <c r="H11" i="1" s="1"/>
  <c r="Q49" i="1" a="1"/>
  <c r="Q49" i="1" s="1"/>
  <c r="Q98" i="1" a="1"/>
  <c r="Q98" i="1" s="1"/>
  <c r="Q88" i="1" a="1"/>
  <c r="Q88" i="1" s="1"/>
  <c r="Q37" i="1" a="1"/>
  <c r="Q37" i="1" s="1"/>
  <c r="Q87" i="1" a="1"/>
  <c r="Q87" i="1" s="1"/>
  <c r="Q103" i="1" a="1"/>
  <c r="Q103" i="1" s="1"/>
  <c r="Q40" i="1" a="1"/>
  <c r="Q40" i="1" s="1"/>
  <c r="P104" i="1" a="1"/>
  <c r="P104" i="1" s="1"/>
  <c r="F66" i="1" a="1"/>
  <c r="F66" i="1" s="1"/>
  <c r="F98" i="1" a="1"/>
  <c r="F98" i="1" s="1"/>
  <c r="F72" i="1" a="1"/>
  <c r="F72" i="1" s="1"/>
  <c r="F92" i="1" a="1"/>
  <c r="F92" i="1" s="1"/>
  <c r="F77" i="1" a="1"/>
  <c r="F77" i="1" s="1"/>
  <c r="J8" i="1" a="1"/>
  <c r="J8" i="1" s="1"/>
  <c r="F22" i="1" a="1"/>
  <c r="F22" i="1" s="1"/>
  <c r="F87" i="1" a="1"/>
  <c r="F87" i="1" s="1"/>
  <c r="F89" i="1" a="1"/>
  <c r="F89" i="1" s="1"/>
  <c r="F15" i="1" a="1"/>
  <c r="F15" i="1" s="1"/>
  <c r="F29" i="1" a="1"/>
  <c r="F29" i="1" s="1"/>
  <c r="D8" i="1" a="1"/>
  <c r="D8" i="1" s="1"/>
  <c r="F88" i="1" a="1"/>
  <c r="F88" i="1" s="1"/>
  <c r="F51" i="1" a="1"/>
  <c r="F51" i="1" s="1"/>
  <c r="F83" i="1" a="1"/>
  <c r="F83" i="1" s="1"/>
  <c r="Q59" i="1" a="1"/>
  <c r="Q59" i="1" s="1"/>
  <c r="Q90" i="1" a="1"/>
  <c r="Q90" i="1" s="1"/>
  <c r="P108" i="1" a="1"/>
  <c r="P108" i="1" s="1"/>
  <c r="P113" i="1" a="1"/>
  <c r="P113" i="1" s="1"/>
  <c r="P121" i="1" a="1"/>
  <c r="P121" i="1" s="1"/>
  <c r="P125" i="1" a="1"/>
  <c r="P125" i="1" s="1"/>
  <c r="P130" i="1" a="1"/>
  <c r="P130" i="1" s="1"/>
  <c r="P134" i="1" a="1"/>
  <c r="P134" i="1" s="1"/>
  <c r="P142" i="1" a="1"/>
  <c r="P142" i="1" s="1"/>
  <c r="P154" i="1" a="1"/>
  <c r="P154" i="1" s="1"/>
  <c r="P158" i="1" a="1"/>
  <c r="P158" i="1" s="1"/>
  <c r="P162" i="1" a="1"/>
  <c r="P162" i="1" s="1"/>
  <c r="P167" i="1" a="1"/>
  <c r="P167" i="1" s="1"/>
  <c r="Q108" i="1" a="1"/>
  <c r="Q108" i="1" s="1"/>
  <c r="Q112" i="1" a="1"/>
  <c r="Q112" i="1" s="1"/>
  <c r="Q117" i="1" a="1"/>
  <c r="Q117" i="1" s="1"/>
  <c r="Q121" i="1" a="1"/>
  <c r="Q121" i="1" s="1"/>
  <c r="Q126" i="1" a="1"/>
  <c r="Q126" i="1" s="1"/>
  <c r="Q130" i="1" a="1"/>
  <c r="Q130" i="1" s="1"/>
  <c r="Q135" i="1" a="1"/>
  <c r="Q135" i="1" s="1"/>
  <c r="Q139" i="1" a="1"/>
  <c r="Q139" i="1" s="1"/>
  <c r="Q144" i="1" a="1"/>
  <c r="Q144" i="1" s="1"/>
  <c r="Q152" i="1" a="1"/>
  <c r="Q152" i="1" s="1"/>
  <c r="Q156" i="1" a="1"/>
  <c r="Q156" i="1" s="1"/>
  <c r="Q160" i="1" a="1"/>
  <c r="Q160" i="1" s="1"/>
  <c r="Q165" i="1" a="1"/>
  <c r="Q165" i="1" s="1"/>
  <c r="P109" i="1" a="1"/>
  <c r="P109" i="1" s="1"/>
  <c r="P117" i="1" a="1"/>
  <c r="P117" i="1" s="1"/>
  <c r="P122" i="1" a="1"/>
  <c r="P122" i="1" s="1"/>
  <c r="P138" i="1" a="1"/>
  <c r="P138" i="1" s="1"/>
  <c r="P146" i="1" a="1"/>
  <c r="P146" i="1" s="1"/>
  <c r="P150" i="1" a="1"/>
  <c r="P150" i="1" s="1"/>
  <c r="P163" i="1" a="1"/>
  <c r="P163" i="1" s="1"/>
  <c r="Q113" i="1" a="1"/>
  <c r="Q113" i="1" s="1"/>
  <c r="Q118" i="1" a="1"/>
  <c r="Q118" i="1" s="1"/>
  <c r="Q122" i="1" a="1"/>
  <c r="Q122" i="1" s="1"/>
  <c r="Q131" i="1" a="1"/>
  <c r="Q131" i="1" s="1"/>
  <c r="Q136" i="1" a="1"/>
  <c r="Q136" i="1" s="1"/>
  <c r="Q140" i="1" a="1"/>
  <c r="Q140" i="1" s="1"/>
  <c r="Q148" i="1" a="1"/>
  <c r="Q148" i="1" s="1"/>
  <c r="Q153" i="1" a="1"/>
  <c r="Q153" i="1" s="1"/>
  <c r="Q161" i="1" a="1"/>
  <c r="Q161" i="1" s="1"/>
  <c r="O166" i="1"/>
  <c r="M3" i="1" a="1"/>
  <c r="M3" i="1" s="1"/>
  <c r="M6" i="1" a="1"/>
  <c r="M6" i="1" s="1"/>
  <c r="M9" i="1" a="1"/>
  <c r="M9" i="1" s="1"/>
  <c r="M12" i="1" a="1"/>
  <c r="M12" i="1" s="1"/>
  <c r="P114" i="1" a="1"/>
  <c r="P114" i="1" s="1"/>
  <c r="P118" i="1" a="1"/>
  <c r="P118" i="1" s="1"/>
  <c r="P126" i="1" a="1"/>
  <c r="P126" i="1" s="1"/>
  <c r="P131" i="1" a="1"/>
  <c r="P131" i="1" s="1"/>
  <c r="P135" i="1" a="1"/>
  <c r="P135" i="1" s="1"/>
  <c r="P139" i="1" a="1"/>
  <c r="P139" i="1" s="1"/>
  <c r="P143" i="1" a="1"/>
  <c r="P143" i="1" s="1"/>
  <c r="P147" i="1" a="1"/>
  <c r="P147" i="1" s="1"/>
  <c r="P151" i="1" a="1"/>
  <c r="P151" i="1" s="1"/>
  <c r="P155" i="1" a="1"/>
  <c r="P155" i="1" s="1"/>
  <c r="P159" i="1" a="1"/>
  <c r="P159" i="1" s="1"/>
  <c r="P168" i="1" a="1"/>
  <c r="P168" i="1" s="1"/>
  <c r="Q109" i="1" a="1"/>
  <c r="Q109" i="1" s="1"/>
  <c r="Q119" i="1" a="1"/>
  <c r="Q119" i="1" s="1"/>
  <c r="Q127" i="1" a="1"/>
  <c r="Q127" i="1" s="1"/>
  <c r="Q137" i="1" a="1"/>
  <c r="Q137" i="1" s="1"/>
  <c r="Q145" i="1" a="1"/>
  <c r="Q145" i="1" s="1"/>
  <c r="Q149" i="1" a="1"/>
  <c r="Q149" i="1" s="1"/>
  <c r="Q157" i="1" a="1"/>
  <c r="Q157" i="1" s="1"/>
  <c r="Q162" i="1" a="1"/>
  <c r="Q162" i="1" s="1"/>
  <c r="Q166" i="1" a="1"/>
  <c r="Q166" i="1" s="1"/>
  <c r="O167" i="1"/>
  <c r="P106" i="1" a="1"/>
  <c r="P106" i="1" s="1"/>
  <c r="P110" i="1" a="1"/>
  <c r="P110" i="1" s="1"/>
  <c r="P115" i="1" a="1"/>
  <c r="P115" i="1" s="1"/>
  <c r="P123" i="1" a="1"/>
  <c r="P123" i="1" s="1"/>
  <c r="P127" i="1" a="1"/>
  <c r="P127" i="1" s="1"/>
  <c r="P132" i="1" a="1"/>
  <c r="P132" i="1" s="1"/>
  <c r="P136" i="1" a="1"/>
  <c r="P136" i="1" s="1"/>
  <c r="P140" i="1" a="1"/>
  <c r="P140" i="1" s="1"/>
  <c r="P148" i="1" a="1"/>
  <c r="P148" i="1" s="1"/>
  <c r="P160" i="1" a="1"/>
  <c r="P160" i="1" s="1"/>
  <c r="P164" i="1" a="1"/>
  <c r="P164" i="1" s="1"/>
  <c r="Q110" i="1" a="1"/>
  <c r="Q110" i="1" s="1"/>
  <c r="Q114" i="1" a="1"/>
  <c r="Q114" i="1" s="1"/>
  <c r="Q123" i="1" a="1"/>
  <c r="Q123" i="1" s="1"/>
  <c r="Q128" i="1" a="1"/>
  <c r="Q128" i="1" s="1"/>
  <c r="Q132" i="1" a="1"/>
  <c r="Q132" i="1" s="1"/>
  <c r="Q141" i="1" a="1"/>
  <c r="Q141" i="1" s="1"/>
  <c r="Q146" i="1" a="1"/>
  <c r="Q146" i="1" s="1"/>
  <c r="Q154" i="1" a="1"/>
  <c r="Q154" i="1" s="1"/>
  <c r="Q158" i="1" a="1"/>
  <c r="Q158" i="1" s="1"/>
  <c r="Q167" i="1" a="1"/>
  <c r="Q167" i="1" s="1"/>
  <c r="O168" i="1"/>
  <c r="M4" i="1" a="1"/>
  <c r="M4" i="1" s="1"/>
  <c r="M7" i="1" a="1"/>
  <c r="M7" i="1" s="1"/>
  <c r="M10" i="1" a="1"/>
  <c r="M10" i="1" s="1"/>
  <c r="M13" i="1" a="1"/>
  <c r="M13" i="1" s="1"/>
  <c r="M16" i="1" a="1"/>
  <c r="M16" i="1" s="1"/>
  <c r="P128" i="1" a="1"/>
  <c r="P128" i="1" s="1"/>
  <c r="P152" i="1" a="1"/>
  <c r="P152" i="1" s="1"/>
  <c r="P165" i="1" a="1"/>
  <c r="P165" i="1" s="1"/>
  <c r="Q106" i="1" a="1"/>
  <c r="Q106" i="1" s="1"/>
  <c r="Q120" i="1" a="1"/>
  <c r="Q120" i="1" s="1"/>
  <c r="Q133" i="1" a="1"/>
  <c r="Q133" i="1" s="1"/>
  <c r="O169" i="1"/>
  <c r="M8" i="1" a="1"/>
  <c r="M8" i="1" s="1"/>
  <c r="M14" i="1" a="1"/>
  <c r="M14" i="1" s="1"/>
  <c r="M18" i="1" a="1"/>
  <c r="M18" i="1" s="1"/>
  <c r="M22" i="1" a="1"/>
  <c r="M22" i="1" s="1"/>
  <c r="M29" i="1" a="1"/>
  <c r="M29" i="1" s="1"/>
  <c r="M36" i="1" a="1"/>
  <c r="M36" i="1" s="1"/>
  <c r="M40" i="1" a="1"/>
  <c r="M40" i="1" s="1"/>
  <c r="M47" i="1" a="1"/>
  <c r="M47" i="1" s="1"/>
  <c r="M54" i="1" a="1"/>
  <c r="M54" i="1" s="1"/>
  <c r="M58" i="1" a="1"/>
  <c r="M58" i="1" s="1"/>
  <c r="M65" i="1" a="1"/>
  <c r="M65" i="1" s="1"/>
  <c r="M72" i="1" a="1"/>
  <c r="M72" i="1" s="1"/>
  <c r="L3" i="1" a="1"/>
  <c r="L3" i="1" s="1"/>
  <c r="L6" i="1" a="1"/>
  <c r="L6" i="1" s="1"/>
  <c r="L9" i="1" a="1"/>
  <c r="L9" i="1" s="1"/>
  <c r="L12" i="1" a="1"/>
  <c r="L12" i="1" s="1"/>
  <c r="L15" i="1" a="1"/>
  <c r="L15" i="1" s="1"/>
  <c r="L18" i="1" a="1"/>
  <c r="L18" i="1" s="1"/>
  <c r="L21" i="1" a="1"/>
  <c r="L21" i="1" s="1"/>
  <c r="L24" i="1" a="1"/>
  <c r="L24" i="1" s="1"/>
  <c r="L27" i="1" a="1"/>
  <c r="L27" i="1" s="1"/>
  <c r="L30" i="1" a="1"/>
  <c r="L30" i="1" s="1"/>
  <c r="L36" i="1" a="1"/>
  <c r="L36" i="1" s="1"/>
  <c r="P116" i="1" a="1"/>
  <c r="P116" i="1" s="1"/>
  <c r="P129" i="1" a="1"/>
  <c r="P129" i="1" s="1"/>
  <c r="P141" i="1" a="1"/>
  <c r="P141" i="1" s="1"/>
  <c r="P153" i="1" a="1"/>
  <c r="P153" i="1" s="1"/>
  <c r="P166" i="1" a="1"/>
  <c r="P166" i="1" s="1"/>
  <c r="Q107" i="1" a="1"/>
  <c r="Q107" i="1" s="1"/>
  <c r="Q134" i="1" a="1"/>
  <c r="Q134" i="1" s="1"/>
  <c r="Q147" i="1" a="1"/>
  <c r="Q147" i="1" s="1"/>
  <c r="Q159" i="1" a="1"/>
  <c r="Q159" i="1" s="1"/>
  <c r="O170" i="1"/>
  <c r="M19" i="1" a="1"/>
  <c r="M19" i="1" s="1"/>
  <c r="M26" i="1" a="1"/>
  <c r="M26" i="1" s="1"/>
  <c r="M33" i="1" a="1"/>
  <c r="M33" i="1" s="1"/>
  <c r="M37" i="1" a="1"/>
  <c r="M37" i="1" s="1"/>
  <c r="M44" i="1" a="1"/>
  <c r="M44" i="1" s="1"/>
  <c r="M51" i="1" a="1"/>
  <c r="M51" i="1" s="1"/>
  <c r="M55" i="1" a="1"/>
  <c r="M55" i="1" s="1"/>
  <c r="M62" i="1" a="1"/>
  <c r="M62" i="1" s="1"/>
  <c r="M69" i="1" a="1"/>
  <c r="M69" i="1" s="1"/>
  <c r="M73" i="1" a="1"/>
  <c r="M73" i="1" s="1"/>
  <c r="M76" i="1" a="1"/>
  <c r="M76" i="1" s="1"/>
  <c r="M79" i="1" a="1"/>
  <c r="M79" i="1" s="1"/>
  <c r="M82" i="1" a="1"/>
  <c r="M82" i="1" s="1"/>
  <c r="P107" i="1" a="1"/>
  <c r="P107" i="1" s="1"/>
  <c r="P119" i="1" a="1"/>
  <c r="P119" i="1" s="1"/>
  <c r="P133" i="1" a="1"/>
  <c r="P133" i="1" s="1"/>
  <c r="P144" i="1" a="1"/>
  <c r="P144" i="1" s="1"/>
  <c r="P156" i="1" a="1"/>
  <c r="P156" i="1" s="1"/>
  <c r="Q111" i="1" a="1"/>
  <c r="Q111" i="1" s="1"/>
  <c r="Q124" i="1" a="1"/>
  <c r="Q124" i="1" s="1"/>
  <c r="Q138" i="1" a="1"/>
  <c r="Q138" i="1" s="1"/>
  <c r="Q150" i="1" a="1"/>
  <c r="Q150" i="1" s="1"/>
  <c r="Q163" i="1" a="1"/>
  <c r="Q163" i="1" s="1"/>
  <c r="M15" i="1" a="1"/>
  <c r="M15" i="1" s="1"/>
  <c r="M23" i="1" a="1"/>
  <c r="M23" i="1" s="1"/>
  <c r="M30" i="1" a="1"/>
  <c r="M30" i="1" s="1"/>
  <c r="M34" i="1" a="1"/>
  <c r="M34" i="1" s="1"/>
  <c r="M41" i="1" a="1"/>
  <c r="M41" i="1" s="1"/>
  <c r="M48" i="1" a="1"/>
  <c r="M48" i="1" s="1"/>
  <c r="M52" i="1" a="1"/>
  <c r="M52" i="1" s="1"/>
  <c r="M59" i="1" a="1"/>
  <c r="M59" i="1" s="1"/>
  <c r="M66" i="1" a="1"/>
  <c r="M66" i="1" s="1"/>
  <c r="M70" i="1" a="1"/>
  <c r="M70" i="1" s="1"/>
  <c r="P120" i="1" a="1"/>
  <c r="P120" i="1" s="1"/>
  <c r="P145" i="1" a="1"/>
  <c r="P145" i="1" s="1"/>
  <c r="P157" i="1" a="1"/>
  <c r="P157" i="1" s="1"/>
  <c r="Q125" i="1" a="1"/>
  <c r="Q125" i="1" s="1"/>
  <c r="Q151" i="1" a="1"/>
  <c r="Q151" i="1" s="1"/>
  <c r="Q164" i="1" a="1"/>
  <c r="Q164" i="1" s="1"/>
  <c r="M5" i="1" a="1"/>
  <c r="M5" i="1" s="1"/>
  <c r="M11" i="1" a="1"/>
  <c r="M11" i="1" s="1"/>
  <c r="M20" i="1" a="1"/>
  <c r="M20" i="1" s="1"/>
  <c r="M27" i="1" a="1"/>
  <c r="M27" i="1" s="1"/>
  <c r="M31" i="1" a="1"/>
  <c r="M31" i="1" s="1"/>
  <c r="M38" i="1" a="1"/>
  <c r="M38" i="1" s="1"/>
  <c r="M45" i="1" a="1"/>
  <c r="M45" i="1" s="1"/>
  <c r="M49" i="1" a="1"/>
  <c r="M49" i="1" s="1"/>
  <c r="M56" i="1" a="1"/>
  <c r="M56" i="1" s="1"/>
  <c r="M63" i="1" a="1"/>
  <c r="M63" i="1" s="1"/>
  <c r="M67" i="1" a="1"/>
  <c r="M67" i="1" s="1"/>
  <c r="M74" i="1" a="1"/>
  <c r="M74" i="1" s="1"/>
  <c r="M77" i="1" a="1"/>
  <c r="M77" i="1" s="1"/>
  <c r="M80" i="1" a="1"/>
  <c r="M80" i="1" s="1"/>
  <c r="M83" i="1" a="1"/>
  <c r="M83" i="1" s="1"/>
  <c r="M86" i="1" a="1"/>
  <c r="M86" i="1" s="1"/>
  <c r="M89" i="1" a="1"/>
  <c r="M89" i="1" s="1"/>
  <c r="M92" i="1" a="1"/>
  <c r="M92" i="1" s="1"/>
  <c r="M95" i="1" a="1"/>
  <c r="M95" i="1" s="1"/>
  <c r="M98" i="1" a="1"/>
  <c r="M98" i="1" s="1"/>
  <c r="M101" i="1" a="1"/>
  <c r="M101" i="1" s="1"/>
  <c r="P111" i="1" a="1"/>
  <c r="P111" i="1" s="1"/>
  <c r="P124" i="1" a="1"/>
  <c r="P124" i="1" s="1"/>
  <c r="P161" i="1" a="1"/>
  <c r="P161" i="1" s="1"/>
  <c r="Q115" i="1" a="1"/>
  <c r="Q115" i="1" s="1"/>
  <c r="Q129" i="1" a="1"/>
  <c r="Q129" i="1" s="1"/>
  <c r="Q142" i="1" a="1"/>
  <c r="Q142" i="1" s="1"/>
  <c r="Q155" i="1" a="1"/>
  <c r="Q155" i="1" s="1"/>
  <c r="O165" i="1"/>
  <c r="M17" i="1" a="1"/>
  <c r="M17" i="1" s="1"/>
  <c r="M24" i="1" a="1"/>
  <c r="M24" i="1" s="1"/>
  <c r="M28" i="1" a="1"/>
  <c r="M28" i="1" s="1"/>
  <c r="M35" i="1" a="1"/>
  <c r="M35" i="1" s="1"/>
  <c r="M42" i="1" a="1"/>
  <c r="M42" i="1" s="1"/>
  <c r="M46" i="1" a="1"/>
  <c r="M46" i="1" s="1"/>
  <c r="M53" i="1" a="1"/>
  <c r="M53" i="1" s="1"/>
  <c r="M60" i="1" a="1"/>
  <c r="M60" i="1" s="1"/>
  <c r="M64" i="1" a="1"/>
  <c r="M64" i="1" s="1"/>
  <c r="M71" i="1" a="1"/>
  <c r="M71" i="1" s="1"/>
  <c r="L5" i="1" a="1"/>
  <c r="L5" i="1" s="1"/>
  <c r="L8" i="1" a="1"/>
  <c r="L8" i="1" s="1"/>
  <c r="L11" i="1" a="1"/>
  <c r="L11" i="1" s="1"/>
  <c r="L14" i="1" a="1"/>
  <c r="L14" i="1" s="1"/>
  <c r="L17" i="1" a="1"/>
  <c r="L17" i="1" s="1"/>
  <c r="L20" i="1" a="1"/>
  <c r="L20" i="1" s="1"/>
  <c r="L23" i="1" a="1"/>
  <c r="L23" i="1" s="1"/>
  <c r="L26" i="1" a="1"/>
  <c r="L26" i="1" s="1"/>
  <c r="L29" i="1" a="1"/>
  <c r="L29" i="1" s="1"/>
  <c r="L32" i="1" a="1"/>
  <c r="L32" i="1" s="1"/>
  <c r="L35" i="1" a="1"/>
  <c r="L35" i="1" s="1"/>
  <c r="L38" i="1" a="1"/>
  <c r="L38" i="1" s="1"/>
  <c r="P112" i="1" a="1"/>
  <c r="P112" i="1" s="1"/>
  <c r="Q116" i="1" a="1"/>
  <c r="Q116" i="1" s="1"/>
  <c r="M39" i="1" a="1"/>
  <c r="M39" i="1" s="1"/>
  <c r="M61" i="1" a="1"/>
  <c r="M61" i="1" s="1"/>
  <c r="M81" i="1" a="1"/>
  <c r="M81" i="1" s="1"/>
  <c r="M106" i="1" a="1"/>
  <c r="M106" i="1" s="1"/>
  <c r="M110" i="1" a="1"/>
  <c r="M110" i="1" s="1"/>
  <c r="M115" i="1" a="1"/>
  <c r="M115" i="1" s="1"/>
  <c r="M119" i="1" a="1"/>
  <c r="M119" i="1" s="1"/>
  <c r="M124" i="1" a="1"/>
  <c r="M124" i="1" s="1"/>
  <c r="M128" i="1" a="1"/>
  <c r="M128" i="1" s="1"/>
  <c r="M133" i="1" a="1"/>
  <c r="M133" i="1" s="1"/>
  <c r="M137" i="1" a="1"/>
  <c r="M137" i="1" s="1"/>
  <c r="M142" i="1" a="1"/>
  <c r="M142" i="1" s="1"/>
  <c r="M146" i="1" a="1"/>
  <c r="M146" i="1" s="1"/>
  <c r="M151" i="1" a="1"/>
  <c r="M151" i="1" s="1"/>
  <c r="M155" i="1" a="1"/>
  <c r="M155" i="1" s="1"/>
  <c r="M160" i="1" a="1"/>
  <c r="M160" i="1" s="1"/>
  <c r="M164" i="1" a="1"/>
  <c r="M164" i="1" s="1"/>
  <c r="M169" i="1" a="1"/>
  <c r="M169" i="1" s="1"/>
  <c r="L40" i="1" a="1"/>
  <c r="L40" i="1" s="1"/>
  <c r="L43" i="1" a="1"/>
  <c r="L43" i="1" s="1"/>
  <c r="L46" i="1" a="1"/>
  <c r="L46" i="1" s="1"/>
  <c r="L49" i="1" a="1"/>
  <c r="L49" i="1" s="1"/>
  <c r="M21" i="1" a="1"/>
  <c r="M21" i="1" s="1"/>
  <c r="M43" i="1" a="1"/>
  <c r="M43" i="1" s="1"/>
  <c r="M84" i="1" a="1"/>
  <c r="M84" i="1" s="1"/>
  <c r="M90" i="1" a="1"/>
  <c r="M90" i="1" s="1"/>
  <c r="M96" i="1" a="1"/>
  <c r="M96" i="1" s="1"/>
  <c r="M102" i="1" a="1"/>
  <c r="M102" i="1" s="1"/>
  <c r="M111" i="1" a="1"/>
  <c r="M111" i="1" s="1"/>
  <c r="M120" i="1" a="1"/>
  <c r="M120" i="1" s="1"/>
  <c r="M129" i="1" a="1"/>
  <c r="M129" i="1" s="1"/>
  <c r="M138" i="1" a="1"/>
  <c r="M138" i="1" s="1"/>
  <c r="M147" i="1" a="1"/>
  <c r="M147" i="1" s="1"/>
  <c r="M156" i="1" a="1"/>
  <c r="M156" i="1" s="1"/>
  <c r="M165" i="1" a="1"/>
  <c r="M165" i="1" s="1"/>
  <c r="L10" i="1" a="1"/>
  <c r="L10" i="1" s="1"/>
  <c r="L19" i="1" a="1"/>
  <c r="L19" i="1" s="1"/>
  <c r="L28" i="1" a="1"/>
  <c r="L28" i="1" s="1"/>
  <c r="L37" i="1" a="1"/>
  <c r="L37" i="1" s="1"/>
  <c r="P137" i="1" a="1"/>
  <c r="P137" i="1" s="1"/>
  <c r="Q143" i="1" a="1"/>
  <c r="Q143" i="1" s="1"/>
  <c r="M25" i="1" a="1"/>
  <c r="M25" i="1" s="1"/>
  <c r="M68" i="1" a="1"/>
  <c r="M68" i="1" s="1"/>
  <c r="M85" i="1" a="1"/>
  <c r="M85" i="1" s="1"/>
  <c r="M91" i="1" a="1"/>
  <c r="M91" i="1" s="1"/>
  <c r="M97" i="1" a="1"/>
  <c r="M97" i="1" s="1"/>
  <c r="M103" i="1" a="1"/>
  <c r="M103" i="1" s="1"/>
  <c r="M107" i="1" a="1"/>
  <c r="M107" i="1" s="1"/>
  <c r="M112" i="1" a="1"/>
  <c r="M112" i="1" s="1"/>
  <c r="M116" i="1" a="1"/>
  <c r="M116" i="1" s="1"/>
  <c r="M121" i="1" a="1"/>
  <c r="M121" i="1" s="1"/>
  <c r="M125" i="1" a="1"/>
  <c r="M125" i="1" s="1"/>
  <c r="M130" i="1" a="1"/>
  <c r="M130" i="1" s="1"/>
  <c r="M134" i="1" a="1"/>
  <c r="M134" i="1" s="1"/>
  <c r="M139" i="1" a="1"/>
  <c r="M139" i="1" s="1"/>
  <c r="M143" i="1" a="1"/>
  <c r="M143" i="1" s="1"/>
  <c r="M148" i="1" a="1"/>
  <c r="M148" i="1" s="1"/>
  <c r="M152" i="1" a="1"/>
  <c r="M152" i="1" s="1"/>
  <c r="M157" i="1" a="1"/>
  <c r="M157" i="1" s="1"/>
  <c r="M161" i="1" a="1"/>
  <c r="M161" i="1" s="1"/>
  <c r="M166" i="1" a="1"/>
  <c r="M166" i="1" s="1"/>
  <c r="P149" i="1" a="1"/>
  <c r="P149" i="1" s="1"/>
  <c r="M50" i="1" a="1"/>
  <c r="M50" i="1" s="1"/>
  <c r="M108" i="1" a="1"/>
  <c r="M108" i="1" s="1"/>
  <c r="M117" i="1" a="1"/>
  <c r="M117" i="1" s="1"/>
  <c r="M126" i="1" a="1"/>
  <c r="M126" i="1" s="1"/>
  <c r="M135" i="1" a="1"/>
  <c r="M135" i="1" s="1"/>
  <c r="M144" i="1" a="1"/>
  <c r="M144" i="1" s="1"/>
  <c r="M153" i="1" a="1"/>
  <c r="M153" i="1" s="1"/>
  <c r="M162" i="1" a="1"/>
  <c r="M162" i="1" s="1"/>
  <c r="M2" i="1" a="1"/>
  <c r="M2" i="1" s="1"/>
  <c r="L7" i="1" a="1"/>
  <c r="L7" i="1" s="1"/>
  <c r="L16" i="1" a="1"/>
  <c r="L16" i="1" s="1"/>
  <c r="L25" i="1" a="1"/>
  <c r="L25" i="1" s="1"/>
  <c r="L34" i="1" a="1"/>
  <c r="L34" i="1" s="1"/>
  <c r="K37" i="1" a="1"/>
  <c r="K37" i="1" s="1"/>
  <c r="Q168" i="1" a="1"/>
  <c r="Q168" i="1" s="1"/>
  <c r="M32" i="1" a="1"/>
  <c r="M32" i="1" s="1"/>
  <c r="M75" i="1" a="1"/>
  <c r="M75" i="1" s="1"/>
  <c r="M87" i="1" a="1"/>
  <c r="M87" i="1" s="1"/>
  <c r="M93" i="1" a="1"/>
  <c r="M93" i="1" s="1"/>
  <c r="M99" i="1" a="1"/>
  <c r="M99" i="1" s="1"/>
  <c r="M104" i="1" a="1"/>
  <c r="M104" i="1" s="1"/>
  <c r="M109" i="1" a="1"/>
  <c r="M109" i="1" s="1"/>
  <c r="M113" i="1" a="1"/>
  <c r="M113" i="1" s="1"/>
  <c r="M118" i="1" a="1"/>
  <c r="M118" i="1" s="1"/>
  <c r="M122" i="1" a="1"/>
  <c r="M122" i="1" s="1"/>
  <c r="M127" i="1" a="1"/>
  <c r="M127" i="1" s="1"/>
  <c r="M131" i="1" a="1"/>
  <c r="M131" i="1" s="1"/>
  <c r="M136" i="1" a="1"/>
  <c r="M136" i="1" s="1"/>
  <c r="M140" i="1" a="1"/>
  <c r="M140" i="1" s="1"/>
  <c r="M145" i="1" a="1"/>
  <c r="M145" i="1" s="1"/>
  <c r="M149" i="1" a="1"/>
  <c r="M149" i="1" s="1"/>
  <c r="M154" i="1" a="1"/>
  <c r="M154" i="1" s="1"/>
  <c r="M158" i="1" a="1"/>
  <c r="M158" i="1" s="1"/>
  <c r="M163" i="1" a="1"/>
  <c r="M163" i="1" s="1"/>
  <c r="M167" i="1" a="1"/>
  <c r="M167" i="1" s="1"/>
  <c r="L39" i="1" a="1"/>
  <c r="L39" i="1" s="1"/>
  <c r="L42" i="1" a="1"/>
  <c r="L42" i="1" s="1"/>
  <c r="L45" i="1" a="1"/>
  <c r="L45" i="1" s="1"/>
  <c r="L48" i="1" a="1"/>
  <c r="L48" i="1" s="1"/>
  <c r="L51" i="1" a="1"/>
  <c r="L51" i="1" s="1"/>
  <c r="L54" i="1" a="1"/>
  <c r="L54" i="1" s="1"/>
  <c r="L60" i="1" a="1"/>
  <c r="L60" i="1" s="1"/>
  <c r="L63" i="1" a="1"/>
  <c r="L63" i="1" s="1"/>
  <c r="L66" i="1" a="1"/>
  <c r="L66" i="1" s="1"/>
  <c r="L69" i="1" a="1"/>
  <c r="L69" i="1" s="1"/>
  <c r="L72" i="1" a="1"/>
  <c r="L72" i="1" s="1"/>
  <c r="L75" i="1" a="1"/>
  <c r="L75" i="1" s="1"/>
  <c r="L78" i="1" a="1"/>
  <c r="L78" i="1" s="1"/>
  <c r="L81" i="1" a="1"/>
  <c r="L81" i="1" s="1"/>
  <c r="L84" i="1" a="1"/>
  <c r="L84" i="1" s="1"/>
  <c r="L87" i="1" a="1"/>
  <c r="L87" i="1" s="1"/>
  <c r="M78" i="1" a="1"/>
  <c r="M78" i="1" s="1"/>
  <c r="M114" i="1" a="1"/>
  <c r="M114" i="1" s="1"/>
  <c r="M141" i="1" a="1"/>
  <c r="M141" i="1" s="1"/>
  <c r="M168" i="1" a="1"/>
  <c r="M168" i="1" s="1"/>
  <c r="L13" i="1" a="1"/>
  <c r="L13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85" i="1" a="1"/>
  <c r="L85" i="1" s="1"/>
  <c r="L95" i="1" a="1"/>
  <c r="L95" i="1" s="1"/>
  <c r="L104" i="1" a="1"/>
  <c r="L104" i="1" s="1"/>
  <c r="L113" i="1" a="1"/>
  <c r="L113" i="1" s="1"/>
  <c r="L122" i="1" a="1"/>
  <c r="L122" i="1" s="1"/>
  <c r="L131" i="1" a="1"/>
  <c r="L131" i="1" s="1"/>
  <c r="L140" i="1" a="1"/>
  <c r="L140" i="1" s="1"/>
  <c r="L149" i="1" a="1"/>
  <c r="L149" i="1" s="1"/>
  <c r="L158" i="1" a="1"/>
  <c r="L158" i="1" s="1"/>
  <c r="L167" i="1" a="1"/>
  <c r="L167" i="1" s="1"/>
  <c r="K39" i="1" a="1"/>
  <c r="K39" i="1" s="1"/>
  <c r="K82" i="1" a="1"/>
  <c r="K82" i="1" s="1"/>
  <c r="K88" i="1" a="1"/>
  <c r="K88" i="1" s="1"/>
  <c r="K94" i="1" a="1"/>
  <c r="K94" i="1" s="1"/>
  <c r="K100" i="1" a="1"/>
  <c r="K100" i="1" s="1"/>
  <c r="K106" i="1" a="1"/>
  <c r="K106" i="1" s="1"/>
  <c r="K112" i="1" a="1"/>
  <c r="K112" i="1" s="1"/>
  <c r="K118" i="1" a="1"/>
  <c r="K118" i="1" s="1"/>
  <c r="K124" i="1" a="1"/>
  <c r="K124" i="1" s="1"/>
  <c r="K130" i="1" a="1"/>
  <c r="K130" i="1" s="1"/>
  <c r="K136" i="1" a="1"/>
  <c r="K136" i="1" s="1"/>
  <c r="K142" i="1" a="1"/>
  <c r="K142" i="1" s="1"/>
  <c r="K148" i="1" a="1"/>
  <c r="K148" i="1" s="1"/>
  <c r="K154" i="1" a="1"/>
  <c r="K154" i="1" s="1"/>
  <c r="K160" i="1" a="1"/>
  <c r="K160" i="1" s="1"/>
  <c r="K166" i="1" a="1"/>
  <c r="K166" i="1" s="1"/>
  <c r="H4" i="1" a="1"/>
  <c r="H4" i="1" s="1"/>
  <c r="H17" i="1" a="1"/>
  <c r="H17" i="1" s="1"/>
  <c r="H23" i="1" a="1"/>
  <c r="H23" i="1" s="1"/>
  <c r="H29" i="1" a="1"/>
  <c r="H29" i="1" s="1"/>
  <c r="H35" i="1" a="1"/>
  <c r="H35" i="1" s="1"/>
  <c r="H41" i="1" a="1"/>
  <c r="H41" i="1" s="1"/>
  <c r="H47" i="1" a="1"/>
  <c r="H47" i="1" s="1"/>
  <c r="H53" i="1" a="1"/>
  <c r="H53" i="1" s="1"/>
  <c r="H59" i="1" a="1"/>
  <c r="H59" i="1" s="1"/>
  <c r="H65" i="1" a="1"/>
  <c r="H65" i="1" s="1"/>
  <c r="H71" i="1" a="1"/>
  <c r="H71" i="1" s="1"/>
  <c r="H77" i="1" a="1"/>
  <c r="H77" i="1" s="1"/>
  <c r="H83" i="1" a="1"/>
  <c r="H83" i="1" s="1"/>
  <c r="H89" i="1" a="1"/>
  <c r="H89" i="1" s="1"/>
  <c r="H95" i="1" a="1"/>
  <c r="H95" i="1" s="1"/>
  <c r="H101" i="1" a="1"/>
  <c r="H101" i="1" s="1"/>
  <c r="M88" i="1" a="1"/>
  <c r="M88" i="1" s="1"/>
  <c r="M170" i="1" a="1"/>
  <c r="M170" i="1" s="1"/>
  <c r="L41" i="1" a="1"/>
  <c r="L41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86" i="1" a="1"/>
  <c r="L86" i="1" s="1"/>
  <c r="L91" i="1" a="1"/>
  <c r="L91" i="1" s="1"/>
  <c r="L96" i="1" a="1"/>
  <c r="L96" i="1" s="1"/>
  <c r="L100" i="1" a="1"/>
  <c r="L100" i="1" s="1"/>
  <c r="L105" i="1" a="1"/>
  <c r="L105" i="1" s="1"/>
  <c r="L109" i="1" a="1"/>
  <c r="L109" i="1" s="1"/>
  <c r="L114" i="1" a="1"/>
  <c r="L114" i="1" s="1"/>
  <c r="L118" i="1" a="1"/>
  <c r="L118" i="1" s="1"/>
  <c r="L123" i="1" a="1"/>
  <c r="L123" i="1" s="1"/>
  <c r="L127" i="1" a="1"/>
  <c r="L127" i="1" s="1"/>
  <c r="L132" i="1" a="1"/>
  <c r="L132" i="1" s="1"/>
  <c r="L136" i="1" a="1"/>
  <c r="L136" i="1" s="1"/>
  <c r="L141" i="1" a="1"/>
  <c r="L141" i="1" s="1"/>
  <c r="L145" i="1" a="1"/>
  <c r="L145" i="1" s="1"/>
  <c r="L150" i="1" a="1"/>
  <c r="L150" i="1" s="1"/>
  <c r="L154" i="1" a="1"/>
  <c r="L154" i="1" s="1"/>
  <c r="L159" i="1" a="1"/>
  <c r="L159" i="1" s="1"/>
  <c r="L163" i="1" a="1"/>
  <c r="L163" i="1" s="1"/>
  <c r="L168" i="1" a="1"/>
  <c r="L168" i="1" s="1"/>
  <c r="K40" i="1" a="1"/>
  <c r="K40" i="1" s="1"/>
  <c r="K47" i="1" a="1"/>
  <c r="K47" i="1" s="1"/>
  <c r="K59" i="1" a="1"/>
  <c r="K59" i="1" s="1"/>
  <c r="K83" i="1" a="1"/>
  <c r="K83" i="1" s="1"/>
  <c r="K89" i="1" a="1"/>
  <c r="K89" i="1" s="1"/>
  <c r="K95" i="1" a="1"/>
  <c r="K95" i="1" s="1"/>
  <c r="K101" i="1" a="1"/>
  <c r="K101" i="1" s="1"/>
  <c r="K107" i="1" a="1"/>
  <c r="K107" i="1" s="1"/>
  <c r="K113" i="1" a="1"/>
  <c r="K113" i="1" s="1"/>
  <c r="K119" i="1" a="1"/>
  <c r="K119" i="1" s="1"/>
  <c r="K125" i="1" a="1"/>
  <c r="K125" i="1" s="1"/>
  <c r="K131" i="1" a="1"/>
  <c r="K131" i="1" s="1"/>
  <c r="K137" i="1" a="1"/>
  <c r="K137" i="1" s="1"/>
  <c r="K143" i="1" a="1"/>
  <c r="K143" i="1" s="1"/>
  <c r="K149" i="1" a="1"/>
  <c r="K149" i="1" s="1"/>
  <c r="K155" i="1" a="1"/>
  <c r="K155" i="1" s="1"/>
  <c r="K161" i="1" a="1"/>
  <c r="K161" i="1" s="1"/>
  <c r="K167" i="1" a="1"/>
  <c r="K167" i="1" s="1"/>
  <c r="H12" i="1" a="1"/>
  <c r="H12" i="1" s="1"/>
  <c r="H18" i="1" a="1"/>
  <c r="H18" i="1" s="1"/>
  <c r="H24" i="1" a="1"/>
  <c r="H24" i="1" s="1"/>
  <c r="H30" i="1" a="1"/>
  <c r="H30" i="1" s="1"/>
  <c r="H36" i="1" a="1"/>
  <c r="H36" i="1" s="1"/>
  <c r="H42" i="1" a="1"/>
  <c r="H42" i="1" s="1"/>
  <c r="H48" i="1" a="1"/>
  <c r="H48" i="1" s="1"/>
  <c r="H54" i="1" a="1"/>
  <c r="H54" i="1" s="1"/>
  <c r="H60" i="1" a="1"/>
  <c r="H60" i="1" s="1"/>
  <c r="H66" i="1" a="1"/>
  <c r="H66" i="1" s="1"/>
  <c r="H72" i="1" a="1"/>
  <c r="H72" i="1" s="1"/>
  <c r="H78" i="1" a="1"/>
  <c r="H78" i="1" s="1"/>
  <c r="H84" i="1" a="1"/>
  <c r="H84" i="1" s="1"/>
  <c r="H90" i="1" a="1"/>
  <c r="H90" i="1" s="1"/>
  <c r="H96" i="1" a="1"/>
  <c r="H96" i="1" s="1"/>
  <c r="M94" i="1" a="1"/>
  <c r="M94" i="1" s="1"/>
  <c r="M123" i="1" a="1"/>
  <c r="M123" i="1" s="1"/>
  <c r="M150" i="1" a="1"/>
  <c r="M150" i="1" s="1"/>
  <c r="L31" i="1" a="1"/>
  <c r="L31" i="1" s="1"/>
  <c r="L92" i="1" a="1"/>
  <c r="L92" i="1" s="1"/>
  <c r="L101" i="1" a="1"/>
  <c r="L101" i="1" s="1"/>
  <c r="L110" i="1" a="1"/>
  <c r="L110" i="1" s="1"/>
  <c r="L119" i="1" a="1"/>
  <c r="L119" i="1" s="1"/>
  <c r="L128" i="1" a="1"/>
  <c r="L128" i="1" s="1"/>
  <c r="L137" i="1" a="1"/>
  <c r="L137" i="1" s="1"/>
  <c r="L146" i="1" a="1"/>
  <c r="L146" i="1" s="1"/>
  <c r="L155" i="1" a="1"/>
  <c r="L155" i="1" s="1"/>
  <c r="L164" i="1" a="1"/>
  <c r="L164" i="1" s="1"/>
  <c r="K27" i="1" a="1"/>
  <c r="K27" i="1" s="1"/>
  <c r="K41" i="1" a="1"/>
  <c r="K41" i="1" s="1"/>
  <c r="K84" i="1" a="1"/>
  <c r="K84" i="1" s="1"/>
  <c r="K90" i="1" a="1"/>
  <c r="K90" i="1" s="1"/>
  <c r="K96" i="1" a="1"/>
  <c r="K96" i="1" s="1"/>
  <c r="K102" i="1" a="1"/>
  <c r="K102" i="1" s="1"/>
  <c r="K108" i="1" a="1"/>
  <c r="K108" i="1" s="1"/>
  <c r="K114" i="1" a="1"/>
  <c r="K114" i="1" s="1"/>
  <c r="K120" i="1" a="1"/>
  <c r="K120" i="1" s="1"/>
  <c r="K126" i="1" a="1"/>
  <c r="K126" i="1" s="1"/>
  <c r="K132" i="1" a="1"/>
  <c r="K132" i="1" s="1"/>
  <c r="K138" i="1" a="1"/>
  <c r="K138" i="1" s="1"/>
  <c r="K144" i="1" a="1"/>
  <c r="K144" i="1" s="1"/>
  <c r="K150" i="1" a="1"/>
  <c r="K150" i="1" s="1"/>
  <c r="K156" i="1" a="1"/>
  <c r="K156" i="1" s="1"/>
  <c r="K162" i="1" a="1"/>
  <c r="K162" i="1" s="1"/>
  <c r="K168" i="1" a="1"/>
  <c r="K168" i="1" s="1"/>
  <c r="H13" i="1" a="1"/>
  <c r="H13" i="1" s="1"/>
  <c r="M100" i="1" a="1"/>
  <c r="M100" i="1" s="1"/>
  <c r="L44" i="1" a="1"/>
  <c r="L44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88" i="1" a="1"/>
  <c r="L88" i="1" s="1"/>
  <c r="L93" i="1" a="1"/>
  <c r="L93" i="1" s="1"/>
  <c r="L97" i="1" a="1"/>
  <c r="L97" i="1" s="1"/>
  <c r="L102" i="1" a="1"/>
  <c r="L102" i="1" s="1"/>
  <c r="L106" i="1" a="1"/>
  <c r="L106" i="1" s="1"/>
  <c r="L111" i="1" a="1"/>
  <c r="L111" i="1" s="1"/>
  <c r="L115" i="1" a="1"/>
  <c r="L115" i="1" s="1"/>
  <c r="L120" i="1" a="1"/>
  <c r="L120" i="1" s="1"/>
  <c r="L124" i="1" a="1"/>
  <c r="L124" i="1" s="1"/>
  <c r="L129" i="1" a="1"/>
  <c r="L129" i="1" s="1"/>
  <c r="L133" i="1" a="1"/>
  <c r="L133" i="1" s="1"/>
  <c r="L138" i="1" a="1"/>
  <c r="L138" i="1" s="1"/>
  <c r="L142" i="1" a="1"/>
  <c r="L142" i="1" s="1"/>
  <c r="L147" i="1" a="1"/>
  <c r="L147" i="1" s="1"/>
  <c r="L151" i="1" a="1"/>
  <c r="L151" i="1" s="1"/>
  <c r="L156" i="1" a="1"/>
  <c r="L156" i="1" s="1"/>
  <c r="L160" i="1" a="1"/>
  <c r="L160" i="1" s="1"/>
  <c r="L165" i="1" a="1"/>
  <c r="L165" i="1" s="1"/>
  <c r="L169" i="1" a="1"/>
  <c r="L169" i="1" s="1"/>
  <c r="K28" i="1" a="1"/>
  <c r="K28" i="1" s="1"/>
  <c r="K49" i="1" a="1"/>
  <c r="K49" i="1" s="1"/>
  <c r="K79" i="1" a="1"/>
  <c r="K79" i="1" s="1"/>
  <c r="K85" i="1" a="1"/>
  <c r="K85" i="1" s="1"/>
  <c r="K91" i="1" a="1"/>
  <c r="K91" i="1" s="1"/>
  <c r="K97" i="1" a="1"/>
  <c r="K97" i="1" s="1"/>
  <c r="K103" i="1" a="1"/>
  <c r="K103" i="1" s="1"/>
  <c r="K109" i="1" a="1"/>
  <c r="K109" i="1" s="1"/>
  <c r="K115" i="1" a="1"/>
  <c r="K115" i="1" s="1"/>
  <c r="K121" i="1" a="1"/>
  <c r="K121" i="1" s="1"/>
  <c r="K127" i="1" a="1"/>
  <c r="K127" i="1" s="1"/>
  <c r="K133" i="1" a="1"/>
  <c r="K133" i="1" s="1"/>
  <c r="K139" i="1" a="1"/>
  <c r="K139" i="1" s="1"/>
  <c r="K145" i="1" a="1"/>
  <c r="K145" i="1" s="1"/>
  <c r="K151" i="1" a="1"/>
  <c r="K151" i="1" s="1"/>
  <c r="K157" i="1" a="1"/>
  <c r="K157" i="1" s="1"/>
  <c r="K163" i="1" a="1"/>
  <c r="K163" i="1" s="1"/>
  <c r="K169" i="1" a="1"/>
  <c r="K169" i="1" s="1"/>
  <c r="H14" i="1" a="1"/>
  <c r="H14" i="1" s="1"/>
  <c r="H20" i="1" a="1"/>
  <c r="H20" i="1" s="1"/>
  <c r="H26" i="1" a="1"/>
  <c r="H26" i="1" s="1"/>
  <c r="H32" i="1" a="1"/>
  <c r="H32" i="1" s="1"/>
  <c r="H38" i="1" a="1"/>
  <c r="H38" i="1" s="1"/>
  <c r="H44" i="1" a="1"/>
  <c r="H44" i="1" s="1"/>
  <c r="H50" i="1" a="1"/>
  <c r="H50" i="1" s="1"/>
  <c r="H56" i="1" a="1"/>
  <c r="H56" i="1" s="1"/>
  <c r="H62" i="1" a="1"/>
  <c r="H62" i="1" s="1"/>
  <c r="H68" i="1" a="1"/>
  <c r="H68" i="1" s="1"/>
  <c r="H74" i="1" a="1"/>
  <c r="H74" i="1" s="1"/>
  <c r="H80" i="1" a="1"/>
  <c r="H80" i="1" s="1"/>
  <c r="M105" i="1" a="1"/>
  <c r="M105" i="1" s="1"/>
  <c r="M132" i="1" a="1"/>
  <c r="M132" i="1" s="1"/>
  <c r="M159" i="1" a="1"/>
  <c r="M159" i="1" s="1"/>
  <c r="L22" i="1" a="1"/>
  <c r="L22" i="1" s="1"/>
  <c r="L53" i="1" a="1"/>
  <c r="L53" i="1" s="1"/>
  <c r="L59" i="1" a="1"/>
  <c r="L59" i="1" s="1"/>
  <c r="L65" i="1" a="1"/>
  <c r="L65" i="1" s="1"/>
  <c r="L71" i="1" a="1"/>
  <c r="L71" i="1" s="1"/>
  <c r="L77" i="1" a="1"/>
  <c r="L77" i="1" s="1"/>
  <c r="L83" i="1" a="1"/>
  <c r="L83" i="1" s="1"/>
  <c r="L89" i="1" a="1"/>
  <c r="L89" i="1" s="1"/>
  <c r="L98" i="1" a="1"/>
  <c r="L98" i="1" s="1"/>
  <c r="L107" i="1" a="1"/>
  <c r="L107" i="1" s="1"/>
  <c r="L116" i="1" a="1"/>
  <c r="L116" i="1" s="1"/>
  <c r="L125" i="1" a="1"/>
  <c r="L125" i="1" s="1"/>
  <c r="L134" i="1" a="1"/>
  <c r="L134" i="1" s="1"/>
  <c r="L143" i="1" a="1"/>
  <c r="L143" i="1" s="1"/>
  <c r="L152" i="1" a="1"/>
  <c r="L152" i="1" s="1"/>
  <c r="L161" i="1" a="1"/>
  <c r="L161" i="1" s="1"/>
  <c r="L170" i="1" a="1"/>
  <c r="L170" i="1" s="1"/>
  <c r="K22" i="1" a="1"/>
  <c r="K22" i="1" s="1"/>
  <c r="K86" i="1" a="1"/>
  <c r="K86" i="1" s="1"/>
  <c r="K92" i="1" a="1"/>
  <c r="K92" i="1" s="1"/>
  <c r="K98" i="1" a="1"/>
  <c r="K98" i="1" s="1"/>
  <c r="K104" i="1" a="1"/>
  <c r="K104" i="1" s="1"/>
  <c r="K110" i="1" a="1"/>
  <c r="K110" i="1" s="1"/>
  <c r="K116" i="1" a="1"/>
  <c r="K116" i="1" s="1"/>
  <c r="K122" i="1" a="1"/>
  <c r="K122" i="1" s="1"/>
  <c r="K128" i="1" a="1"/>
  <c r="K128" i="1" s="1"/>
  <c r="K134" i="1" a="1"/>
  <c r="K134" i="1" s="1"/>
  <c r="K140" i="1" a="1"/>
  <c r="K140" i="1" s="1"/>
  <c r="K146" i="1" a="1"/>
  <c r="K146" i="1" s="1"/>
  <c r="K152" i="1" a="1"/>
  <c r="K152" i="1" s="1"/>
  <c r="K158" i="1" a="1"/>
  <c r="K158" i="1" s="1"/>
  <c r="K164" i="1" a="1"/>
  <c r="K164" i="1" s="1"/>
  <c r="K170" i="1" a="1"/>
  <c r="K170" i="1" s="1"/>
  <c r="H15" i="1" a="1"/>
  <c r="H15" i="1" s="1"/>
  <c r="H21" i="1" a="1"/>
  <c r="H21" i="1" s="1"/>
  <c r="H27" i="1" a="1"/>
  <c r="H27" i="1" s="1"/>
  <c r="H33" i="1" a="1"/>
  <c r="H33" i="1" s="1"/>
  <c r="H39" i="1" a="1"/>
  <c r="H39" i="1" s="1"/>
  <c r="H45" i="1" a="1"/>
  <c r="H45" i="1" s="1"/>
  <c r="H51" i="1" a="1"/>
  <c r="H51" i="1" s="1"/>
  <c r="H57" i="1" a="1"/>
  <c r="H57" i="1" s="1"/>
  <c r="H63" i="1" a="1"/>
  <c r="H63" i="1" s="1"/>
  <c r="H69" i="1" a="1"/>
  <c r="H69" i="1" s="1"/>
  <c r="H75" i="1" a="1"/>
  <c r="H75" i="1" s="1"/>
  <c r="H81" i="1" a="1"/>
  <c r="H81" i="1" s="1"/>
  <c r="H87" i="1" a="1"/>
  <c r="H87" i="1" s="1"/>
  <c r="H93" i="1" a="1"/>
  <c r="H93" i="1" s="1"/>
  <c r="H99" i="1" a="1"/>
  <c r="H99" i="1" s="1"/>
  <c r="H105" i="1" a="1"/>
  <c r="H105" i="1" s="1"/>
  <c r="H111" i="1" a="1"/>
  <c r="H111" i="1" s="1"/>
  <c r="H117" i="1" a="1"/>
  <c r="H117" i="1" s="1"/>
  <c r="H123" i="1" a="1"/>
  <c r="H123" i="1" s="1"/>
  <c r="H129" i="1" a="1"/>
  <c r="H129" i="1" s="1"/>
  <c r="H135" i="1" a="1"/>
  <c r="H135" i="1" s="1"/>
  <c r="H141" i="1" a="1"/>
  <c r="H141" i="1" s="1"/>
  <c r="H147" i="1" a="1"/>
  <c r="H147" i="1" s="1"/>
  <c r="H153" i="1" a="1"/>
  <c r="H153" i="1" s="1"/>
  <c r="H159" i="1" a="1"/>
  <c r="H159" i="1" s="1"/>
  <c r="M57" i="1" a="1"/>
  <c r="M57" i="1" s="1"/>
  <c r="L108" i="1" a="1"/>
  <c r="L108" i="1" s="1"/>
  <c r="L135" i="1" a="1"/>
  <c r="L135" i="1" s="1"/>
  <c r="L162" i="1" a="1"/>
  <c r="L162" i="1" s="1"/>
  <c r="K105" i="1" a="1"/>
  <c r="K105" i="1" s="1"/>
  <c r="K141" i="1" a="1"/>
  <c r="K141" i="1" s="1"/>
  <c r="H16" i="1" a="1"/>
  <c r="H16" i="1" s="1"/>
  <c r="H34" i="1" a="1"/>
  <c r="H34" i="1" s="1"/>
  <c r="H52" i="1" a="1"/>
  <c r="H52" i="1" s="1"/>
  <c r="H70" i="1" a="1"/>
  <c r="H70" i="1" s="1"/>
  <c r="H86" i="1" a="1"/>
  <c r="H86" i="1" s="1"/>
  <c r="H98" i="1" a="1"/>
  <c r="H98" i="1" s="1"/>
  <c r="H107" i="1" a="1"/>
  <c r="H107" i="1" s="1"/>
  <c r="H114" i="1" a="1"/>
  <c r="H114" i="1" s="1"/>
  <c r="H121" i="1" a="1"/>
  <c r="H121" i="1" s="1"/>
  <c r="H128" i="1" a="1"/>
  <c r="H128" i="1" s="1"/>
  <c r="H136" i="1" a="1"/>
  <c r="H136" i="1" s="1"/>
  <c r="H143" i="1" a="1"/>
  <c r="H143" i="1" s="1"/>
  <c r="H150" i="1" a="1"/>
  <c r="H150" i="1" s="1"/>
  <c r="H157" i="1" a="1"/>
  <c r="H157" i="1" s="1"/>
  <c r="H164" i="1" a="1"/>
  <c r="H164" i="1" s="1"/>
  <c r="G8" i="1" a="1"/>
  <c r="G8" i="1" s="1"/>
  <c r="G14" i="1" a="1"/>
  <c r="G14" i="1" s="1"/>
  <c r="G20" i="1" a="1"/>
  <c r="G20" i="1" s="1"/>
  <c r="G26" i="1" a="1"/>
  <c r="G26" i="1" s="1"/>
  <c r="G32" i="1" a="1"/>
  <c r="G32" i="1" s="1"/>
  <c r="G38" i="1" a="1"/>
  <c r="G38" i="1" s="1"/>
  <c r="G44" i="1" a="1"/>
  <c r="G44" i="1" s="1"/>
  <c r="G50" i="1" a="1"/>
  <c r="G50" i="1" s="1"/>
  <c r="G56" i="1" a="1"/>
  <c r="G56" i="1" s="1"/>
  <c r="G62" i="1" a="1"/>
  <c r="G62" i="1" s="1"/>
  <c r="G68" i="1" a="1"/>
  <c r="G68" i="1" s="1"/>
  <c r="G74" i="1" a="1"/>
  <c r="G74" i="1" s="1"/>
  <c r="G80" i="1" a="1"/>
  <c r="G80" i="1" s="1"/>
  <c r="G86" i="1" a="1"/>
  <c r="G86" i="1" s="1"/>
  <c r="G92" i="1" a="1"/>
  <c r="G92" i="1" s="1"/>
  <c r="G98" i="1" a="1"/>
  <c r="G98" i="1" s="1"/>
  <c r="G104" i="1" a="1"/>
  <c r="G104" i="1" s="1"/>
  <c r="G110" i="1" a="1"/>
  <c r="G110" i="1" s="1"/>
  <c r="G116" i="1" a="1"/>
  <c r="G116" i="1" s="1"/>
  <c r="G122" i="1" a="1"/>
  <c r="G122" i="1" s="1"/>
  <c r="G128" i="1" a="1"/>
  <c r="G128" i="1" s="1"/>
  <c r="G134" i="1" a="1"/>
  <c r="G134" i="1" s="1"/>
  <c r="G140" i="1" a="1"/>
  <c r="G140" i="1" s="1"/>
  <c r="G146" i="1" a="1"/>
  <c r="G146" i="1" s="1"/>
  <c r="G152" i="1" a="1"/>
  <c r="G152" i="1" s="1"/>
  <c r="G158" i="1" a="1"/>
  <c r="G158" i="1" s="1"/>
  <c r="G164" i="1" a="1"/>
  <c r="G164" i="1" s="1"/>
  <c r="G170" i="1" a="1"/>
  <c r="G170" i="1" s="1"/>
  <c r="H169" i="1" a="1"/>
  <c r="H169" i="1" s="1"/>
  <c r="F47" i="1" a="1"/>
  <c r="F47" i="1" s="1"/>
  <c r="F56" i="1" a="1"/>
  <c r="F56" i="1" s="1"/>
  <c r="F84" i="1" a="1"/>
  <c r="F84" i="1" s="1"/>
  <c r="F108" i="1" a="1"/>
  <c r="F108" i="1" s="1"/>
  <c r="F113" i="1" a="1"/>
  <c r="F113" i="1" s="1"/>
  <c r="F117" i="1" a="1"/>
  <c r="F117" i="1" s="1"/>
  <c r="F123" i="1" a="1"/>
  <c r="F123" i="1" s="1"/>
  <c r="F127" i="1" a="1"/>
  <c r="F127" i="1" s="1"/>
  <c r="F132" i="1" a="1"/>
  <c r="F132" i="1" s="1"/>
  <c r="F146" i="1" a="1"/>
  <c r="F146" i="1" s="1"/>
  <c r="F150" i="1" a="1"/>
  <c r="F150" i="1" s="1"/>
  <c r="F164" i="1" a="1"/>
  <c r="F164" i="1" s="1"/>
  <c r="F168" i="1" a="1"/>
  <c r="F168" i="1" s="1"/>
  <c r="D12" i="1" a="1"/>
  <c r="D12" i="1" s="1"/>
  <c r="D15" i="1" a="1"/>
  <c r="D15" i="1" s="1"/>
  <c r="D18" i="1" a="1"/>
  <c r="D18" i="1" s="1"/>
  <c r="D21" i="1" a="1"/>
  <c r="D21" i="1" s="1"/>
  <c r="D24" i="1" a="1"/>
  <c r="D24" i="1" s="1"/>
  <c r="D27" i="1" a="1"/>
  <c r="D27" i="1" s="1"/>
  <c r="D30" i="1" a="1"/>
  <c r="D30" i="1" s="1"/>
  <c r="D33" i="1" a="1"/>
  <c r="D33" i="1" s="1"/>
  <c r="D39" i="1" a="1"/>
  <c r="D39" i="1" s="1"/>
  <c r="D42" i="1" a="1"/>
  <c r="D42" i="1" s="1"/>
  <c r="D45" i="1" a="1"/>
  <c r="D45" i="1" s="1"/>
  <c r="L47" i="1" a="1"/>
  <c r="L47" i="1" s="1"/>
  <c r="L112" i="1" a="1"/>
  <c r="L112" i="1" s="1"/>
  <c r="L139" i="1" a="1"/>
  <c r="L139" i="1" s="1"/>
  <c r="L166" i="1" a="1"/>
  <c r="L166" i="1" s="1"/>
  <c r="K38" i="1" a="1"/>
  <c r="K38" i="1" s="1"/>
  <c r="K111" i="1" a="1"/>
  <c r="K111" i="1" s="1"/>
  <c r="K147" i="1" a="1"/>
  <c r="K147" i="1" s="1"/>
  <c r="H19" i="1" a="1"/>
  <c r="H19" i="1" s="1"/>
  <c r="H37" i="1" a="1"/>
  <c r="H37" i="1" s="1"/>
  <c r="H55" i="1" a="1"/>
  <c r="H55" i="1" s="1"/>
  <c r="H73" i="1" a="1"/>
  <c r="H73" i="1" s="1"/>
  <c r="H88" i="1" a="1"/>
  <c r="H88" i="1" s="1"/>
  <c r="H100" i="1" a="1"/>
  <c r="H100" i="1" s="1"/>
  <c r="H108" i="1" a="1"/>
  <c r="H108" i="1" s="1"/>
  <c r="H115" i="1" a="1"/>
  <c r="H115" i="1" s="1"/>
  <c r="H122" i="1" a="1"/>
  <c r="H122" i="1" s="1"/>
  <c r="H130" i="1" a="1"/>
  <c r="H130" i="1" s="1"/>
  <c r="H137" i="1" a="1"/>
  <c r="H137" i="1" s="1"/>
  <c r="H144" i="1" a="1"/>
  <c r="H144" i="1" s="1"/>
  <c r="H151" i="1" a="1"/>
  <c r="H151" i="1" s="1"/>
  <c r="H158" i="1" a="1"/>
  <c r="H158" i="1" s="1"/>
  <c r="G3" i="1" a="1"/>
  <c r="G3" i="1" s="1"/>
  <c r="G9" i="1" a="1"/>
  <c r="G9" i="1" s="1"/>
  <c r="G15" i="1" a="1"/>
  <c r="G15" i="1" s="1"/>
  <c r="G21" i="1" a="1"/>
  <c r="G21" i="1" s="1"/>
  <c r="G27" i="1" a="1"/>
  <c r="G27" i="1" s="1"/>
  <c r="G33" i="1" a="1"/>
  <c r="G33" i="1" s="1"/>
  <c r="G39" i="1" a="1"/>
  <c r="G39" i="1" s="1"/>
  <c r="G45" i="1" a="1"/>
  <c r="G45" i="1" s="1"/>
  <c r="G51" i="1" a="1"/>
  <c r="G51" i="1" s="1"/>
  <c r="G57" i="1" a="1"/>
  <c r="G57" i="1" s="1"/>
  <c r="G63" i="1" a="1"/>
  <c r="G63" i="1" s="1"/>
  <c r="G69" i="1" a="1"/>
  <c r="G69" i="1" s="1"/>
  <c r="G75" i="1" a="1"/>
  <c r="G75" i="1" s="1"/>
  <c r="G81" i="1" a="1"/>
  <c r="G81" i="1" s="1"/>
  <c r="G87" i="1" a="1"/>
  <c r="G87" i="1" s="1"/>
  <c r="G93" i="1" a="1"/>
  <c r="G93" i="1" s="1"/>
  <c r="G99" i="1" a="1"/>
  <c r="G99" i="1" s="1"/>
  <c r="G105" i="1" a="1"/>
  <c r="G105" i="1" s="1"/>
  <c r="G111" i="1" a="1"/>
  <c r="G111" i="1" s="1"/>
  <c r="G117" i="1" a="1"/>
  <c r="G117" i="1" s="1"/>
  <c r="G123" i="1" a="1"/>
  <c r="G123" i="1" s="1"/>
  <c r="G129" i="1" a="1"/>
  <c r="G129" i="1" s="1"/>
  <c r="G135" i="1" a="1"/>
  <c r="G135" i="1" s="1"/>
  <c r="G141" i="1" a="1"/>
  <c r="G141" i="1" s="1"/>
  <c r="G147" i="1" a="1"/>
  <c r="G147" i="1" s="1"/>
  <c r="G153" i="1" a="1"/>
  <c r="G153" i="1" s="1"/>
  <c r="G159" i="1" a="1"/>
  <c r="G159" i="1" s="1"/>
  <c r="G165" i="1" a="1"/>
  <c r="G165" i="1" s="1"/>
  <c r="G2" i="1" a="1"/>
  <c r="G2" i="1" s="1"/>
  <c r="F3" i="1" a="1"/>
  <c r="F3" i="1" s="1"/>
  <c r="F49" i="1" a="1"/>
  <c r="F49" i="1" s="1"/>
  <c r="F64" i="1" a="1"/>
  <c r="F64" i="1" s="1"/>
  <c r="F94" i="1" a="1"/>
  <c r="F94" i="1" s="1"/>
  <c r="F109" i="1" a="1"/>
  <c r="F109" i="1" s="1"/>
  <c r="F114" i="1" a="1"/>
  <c r="F114" i="1" s="1"/>
  <c r="F118" i="1" a="1"/>
  <c r="F118" i="1" s="1"/>
  <c r="F128" i="1" a="1"/>
  <c r="F128" i="1" s="1"/>
  <c r="F133" i="1" a="1"/>
  <c r="F133" i="1" s="1"/>
  <c r="F137" i="1" a="1"/>
  <c r="F137" i="1" s="1"/>
  <c r="F142" i="1" a="1"/>
  <c r="F142" i="1" s="1"/>
  <c r="F147" i="1" a="1"/>
  <c r="F147" i="1" s="1"/>
  <c r="F151" i="1" a="1"/>
  <c r="F151" i="1" s="1"/>
  <c r="F155" i="1" a="1"/>
  <c r="F155" i="1" s="1"/>
  <c r="F160" i="1" a="1"/>
  <c r="F160" i="1" s="1"/>
  <c r="F165" i="1" a="1"/>
  <c r="F165" i="1" s="1"/>
  <c r="F169" i="1" a="1"/>
  <c r="F169" i="1" s="1"/>
  <c r="L90" i="1" a="1"/>
  <c r="L90" i="1" s="1"/>
  <c r="L117" i="1" a="1"/>
  <c r="L117" i="1" s="1"/>
  <c r="L144" i="1" a="1"/>
  <c r="L144" i="1" s="1"/>
  <c r="L2" i="1" a="1"/>
  <c r="L2" i="1" s="1"/>
  <c r="K117" i="1" a="1"/>
  <c r="K117" i="1" s="1"/>
  <c r="K153" i="1" a="1"/>
  <c r="K153" i="1" s="1"/>
  <c r="H22" i="1" a="1"/>
  <c r="H22" i="1" s="1"/>
  <c r="H40" i="1" a="1"/>
  <c r="H40" i="1" s="1"/>
  <c r="H58" i="1" a="1"/>
  <c r="H58" i="1" s="1"/>
  <c r="H76" i="1" a="1"/>
  <c r="H76" i="1" s="1"/>
  <c r="H91" i="1" a="1"/>
  <c r="H91" i="1" s="1"/>
  <c r="H102" i="1" a="1"/>
  <c r="H102" i="1" s="1"/>
  <c r="H109" i="1" a="1"/>
  <c r="H109" i="1" s="1"/>
  <c r="H116" i="1" a="1"/>
  <c r="H116" i="1" s="1"/>
  <c r="H124" i="1" a="1"/>
  <c r="H124" i="1" s="1"/>
  <c r="H131" i="1" a="1"/>
  <c r="H131" i="1" s="1"/>
  <c r="H138" i="1" a="1"/>
  <c r="H138" i="1" s="1"/>
  <c r="H145" i="1" a="1"/>
  <c r="H145" i="1" s="1"/>
  <c r="H152" i="1" a="1"/>
  <c r="H152" i="1" s="1"/>
  <c r="H160" i="1" a="1"/>
  <c r="H160" i="1" s="1"/>
  <c r="L94" i="1" a="1"/>
  <c r="L94" i="1" s="1"/>
  <c r="L121" i="1" a="1"/>
  <c r="L121" i="1" s="1"/>
  <c r="L148" i="1" a="1"/>
  <c r="L148" i="1" s="1"/>
  <c r="K87" i="1" a="1"/>
  <c r="K87" i="1" s="1"/>
  <c r="K123" i="1" a="1"/>
  <c r="K123" i="1" s="1"/>
  <c r="K159" i="1" a="1"/>
  <c r="K159" i="1" s="1"/>
  <c r="H25" i="1" a="1"/>
  <c r="H25" i="1" s="1"/>
  <c r="H43" i="1" a="1"/>
  <c r="H43" i="1" s="1"/>
  <c r="H61" i="1" a="1"/>
  <c r="H61" i="1" s="1"/>
  <c r="H79" i="1" a="1"/>
  <c r="H79" i="1" s="1"/>
  <c r="H92" i="1" a="1"/>
  <c r="H92" i="1" s="1"/>
  <c r="H103" i="1" a="1"/>
  <c r="H103" i="1" s="1"/>
  <c r="H110" i="1" a="1"/>
  <c r="H110" i="1" s="1"/>
  <c r="H118" i="1" a="1"/>
  <c r="H118" i="1" s="1"/>
  <c r="H125" i="1" a="1"/>
  <c r="H125" i="1" s="1"/>
  <c r="H132" i="1" a="1"/>
  <c r="H132" i="1" s="1"/>
  <c r="H139" i="1" a="1"/>
  <c r="H139" i="1" s="1"/>
  <c r="H146" i="1" a="1"/>
  <c r="H146" i="1" s="1"/>
  <c r="H154" i="1" a="1"/>
  <c r="H154" i="1" s="1"/>
  <c r="H161" i="1" a="1"/>
  <c r="H161" i="1" s="1"/>
  <c r="G5" i="1" a="1"/>
  <c r="G5" i="1" s="1"/>
  <c r="G11" i="1" a="1"/>
  <c r="G11" i="1" s="1"/>
  <c r="G17" i="1" a="1"/>
  <c r="G17" i="1" s="1"/>
  <c r="G23" i="1" a="1"/>
  <c r="G23" i="1" s="1"/>
  <c r="G29" i="1" a="1"/>
  <c r="G29" i="1" s="1"/>
  <c r="G35" i="1" a="1"/>
  <c r="G35" i="1" s="1"/>
  <c r="G41" i="1" a="1"/>
  <c r="G41" i="1" s="1"/>
  <c r="G47" i="1" a="1"/>
  <c r="G47" i="1" s="1"/>
  <c r="G53" i="1" a="1"/>
  <c r="G53" i="1" s="1"/>
  <c r="G59" i="1" a="1"/>
  <c r="G59" i="1" s="1"/>
  <c r="G65" i="1" a="1"/>
  <c r="G65" i="1" s="1"/>
  <c r="G71" i="1" a="1"/>
  <c r="G71" i="1" s="1"/>
  <c r="G77" i="1" a="1"/>
  <c r="G77" i="1" s="1"/>
  <c r="G83" i="1" a="1"/>
  <c r="G83" i="1" s="1"/>
  <c r="G89" i="1" a="1"/>
  <c r="G89" i="1" s="1"/>
  <c r="G95" i="1" a="1"/>
  <c r="G95" i="1" s="1"/>
  <c r="G101" i="1" a="1"/>
  <c r="G101" i="1" s="1"/>
  <c r="G107" i="1" a="1"/>
  <c r="G107" i="1" s="1"/>
  <c r="G113" i="1" a="1"/>
  <c r="G113" i="1" s="1"/>
  <c r="G119" i="1" a="1"/>
  <c r="G119" i="1" s="1"/>
  <c r="G125" i="1" a="1"/>
  <c r="G125" i="1" s="1"/>
  <c r="G131" i="1" a="1"/>
  <c r="G131" i="1" s="1"/>
  <c r="G137" i="1" a="1"/>
  <c r="G137" i="1" s="1"/>
  <c r="G143" i="1" a="1"/>
  <c r="G143" i="1" s="1"/>
  <c r="G149" i="1" a="1"/>
  <c r="G149" i="1" s="1"/>
  <c r="G155" i="1" a="1"/>
  <c r="G155" i="1" s="1"/>
  <c r="G161" i="1" a="1"/>
  <c r="G161" i="1" s="1"/>
  <c r="G167" i="1" a="1"/>
  <c r="G167" i="1" s="1"/>
  <c r="H166" i="1" a="1"/>
  <c r="H166" i="1" s="1"/>
  <c r="F12" i="1" a="1"/>
  <c r="F12" i="1" s="1"/>
  <c r="F54" i="1" a="1"/>
  <c r="F54" i="1" s="1"/>
  <c r="F75" i="1" a="1"/>
  <c r="F75" i="1" s="1"/>
  <c r="F106" i="1" a="1"/>
  <c r="F106" i="1" s="1"/>
  <c r="F110" i="1" a="1"/>
  <c r="F110" i="1" s="1"/>
  <c r="F115" i="1" a="1"/>
  <c r="F115" i="1" s="1"/>
  <c r="F120" i="1" a="1"/>
  <c r="F120" i="1" s="1"/>
  <c r="F130" i="1" a="1"/>
  <c r="F130" i="1" s="1"/>
  <c r="F135" i="1" a="1"/>
  <c r="F135" i="1" s="1"/>
  <c r="F139" i="1" a="1"/>
  <c r="F139" i="1" s="1"/>
  <c r="F143" i="1" a="1"/>
  <c r="F143" i="1" s="1"/>
  <c r="F148" i="1" a="1"/>
  <c r="F148" i="1" s="1"/>
  <c r="F153" i="1" a="1"/>
  <c r="F153" i="1" s="1"/>
  <c r="F157" i="1" a="1"/>
  <c r="F157" i="1" s="1"/>
  <c r="F161" i="1" a="1"/>
  <c r="F161" i="1" s="1"/>
  <c r="F166" i="1" a="1"/>
  <c r="F166" i="1" s="1"/>
  <c r="D167" i="1" a="1"/>
  <c r="D167" i="1" s="1"/>
  <c r="C6" i="1" a="1"/>
  <c r="C6" i="1" s="1"/>
  <c r="L99" i="1" a="1"/>
  <c r="L99" i="1" s="1"/>
  <c r="L126" i="1" a="1"/>
  <c r="L126" i="1" s="1"/>
  <c r="L153" i="1" a="1"/>
  <c r="L153" i="1" s="1"/>
  <c r="K93" i="1" a="1"/>
  <c r="K93" i="1" s="1"/>
  <c r="K129" i="1" a="1"/>
  <c r="K129" i="1" s="1"/>
  <c r="K165" i="1" a="1"/>
  <c r="K165" i="1" s="1"/>
  <c r="H28" i="1" a="1"/>
  <c r="H28" i="1" s="1"/>
  <c r="H46" i="1" a="1"/>
  <c r="H46" i="1" s="1"/>
  <c r="H64" i="1" a="1"/>
  <c r="H64" i="1" s="1"/>
  <c r="H82" i="1" a="1"/>
  <c r="H82" i="1" s="1"/>
  <c r="H94" i="1" a="1"/>
  <c r="H94" i="1" s="1"/>
  <c r="H104" i="1" a="1"/>
  <c r="H104" i="1" s="1"/>
  <c r="H112" i="1" a="1"/>
  <c r="H112" i="1" s="1"/>
  <c r="H119" i="1" a="1"/>
  <c r="H119" i="1" s="1"/>
  <c r="H126" i="1" a="1"/>
  <c r="H126" i="1" s="1"/>
  <c r="H133" i="1" a="1"/>
  <c r="H133" i="1" s="1"/>
  <c r="H140" i="1" a="1"/>
  <c r="H140" i="1" s="1"/>
  <c r="H148" i="1" a="1"/>
  <c r="H148" i="1" s="1"/>
  <c r="H155" i="1" a="1"/>
  <c r="H155" i="1" s="1"/>
  <c r="H162" i="1" a="1"/>
  <c r="H162" i="1" s="1"/>
  <c r="G6" i="1" a="1"/>
  <c r="G6" i="1" s="1"/>
  <c r="G12" i="1" a="1"/>
  <c r="G12" i="1" s="1"/>
  <c r="G18" i="1" a="1"/>
  <c r="G18" i="1" s="1"/>
  <c r="G24" i="1" a="1"/>
  <c r="G24" i="1" s="1"/>
  <c r="G30" i="1" a="1"/>
  <c r="G30" i="1" s="1"/>
  <c r="G36" i="1" a="1"/>
  <c r="G36" i="1" s="1"/>
  <c r="G42" i="1" a="1"/>
  <c r="G42" i="1" s="1"/>
  <c r="G48" i="1" a="1"/>
  <c r="G48" i="1" s="1"/>
  <c r="G54" i="1" a="1"/>
  <c r="G54" i="1" s="1"/>
  <c r="G60" i="1" a="1"/>
  <c r="G60" i="1" s="1"/>
  <c r="G66" i="1" a="1"/>
  <c r="G66" i="1" s="1"/>
  <c r="G72" i="1" a="1"/>
  <c r="G72" i="1" s="1"/>
  <c r="G78" i="1" a="1"/>
  <c r="G78" i="1" s="1"/>
  <c r="G84" i="1" a="1"/>
  <c r="G84" i="1" s="1"/>
  <c r="G90" i="1" a="1"/>
  <c r="G90" i="1" s="1"/>
  <c r="G96" i="1" a="1"/>
  <c r="G96" i="1" s="1"/>
  <c r="G102" i="1" a="1"/>
  <c r="G102" i="1" s="1"/>
  <c r="G108" i="1" a="1"/>
  <c r="G108" i="1" s="1"/>
  <c r="G114" i="1" a="1"/>
  <c r="G114" i="1" s="1"/>
  <c r="G120" i="1" a="1"/>
  <c r="G120" i="1" s="1"/>
  <c r="G126" i="1" a="1"/>
  <c r="G126" i="1" s="1"/>
  <c r="G132" i="1" a="1"/>
  <c r="G132" i="1" s="1"/>
  <c r="G138" i="1" a="1"/>
  <c r="G138" i="1" s="1"/>
  <c r="G144" i="1" a="1"/>
  <c r="G144" i="1" s="1"/>
  <c r="G150" i="1" a="1"/>
  <c r="G150" i="1" s="1"/>
  <c r="G156" i="1" a="1"/>
  <c r="G156" i="1" s="1"/>
  <c r="G162" i="1" a="1"/>
  <c r="G162" i="1" s="1"/>
  <c r="G168" i="1" a="1"/>
  <c r="G168" i="1" s="1"/>
  <c r="H167" i="1" a="1"/>
  <c r="H167" i="1" s="1"/>
  <c r="F30" i="1" a="1"/>
  <c r="F30" i="1" s="1"/>
  <c r="F55" i="1" a="1"/>
  <c r="F55" i="1" s="1"/>
  <c r="F80" i="1" a="1"/>
  <c r="F80" i="1" s="1"/>
  <c r="F111" i="1" a="1"/>
  <c r="F111" i="1" s="1"/>
  <c r="F121" i="1" a="1"/>
  <c r="F121" i="1" s="1"/>
  <c r="F125" i="1" a="1"/>
  <c r="F125" i="1" s="1"/>
  <c r="F140" i="1" a="1"/>
  <c r="F140" i="1" s="1"/>
  <c r="F144" i="1" a="1"/>
  <c r="F144" i="1" s="1"/>
  <c r="F158" i="1" a="1"/>
  <c r="F158" i="1" s="1"/>
  <c r="F162" i="1" a="1"/>
  <c r="F162" i="1" s="1"/>
  <c r="D4" i="1" a="1"/>
  <c r="D4" i="1" s="1"/>
  <c r="D14" i="1" a="1"/>
  <c r="D14" i="1" s="1"/>
  <c r="D17" i="1" a="1"/>
  <c r="D17" i="1" s="1"/>
  <c r="D20" i="1" a="1"/>
  <c r="D20" i="1" s="1"/>
  <c r="D23" i="1" a="1"/>
  <c r="D23" i="1" s="1"/>
  <c r="D26" i="1" a="1"/>
  <c r="D26" i="1" s="1"/>
  <c r="D29" i="1" a="1"/>
  <c r="D29" i="1" s="1"/>
  <c r="D32" i="1" a="1"/>
  <c r="D32" i="1" s="1"/>
  <c r="D35" i="1" a="1"/>
  <c r="D35" i="1" s="1"/>
  <c r="D41" i="1" a="1"/>
  <c r="D41" i="1" s="1"/>
  <c r="D44" i="1" a="1"/>
  <c r="D44" i="1" s="1"/>
  <c r="D47" i="1" a="1"/>
  <c r="D47" i="1" s="1"/>
  <c r="D50" i="1" a="1"/>
  <c r="D50" i="1" s="1"/>
  <c r="D53" i="1" a="1"/>
  <c r="D53" i="1" s="1"/>
  <c r="D56" i="1" a="1"/>
  <c r="D56" i="1" s="1"/>
  <c r="D59" i="1" a="1"/>
  <c r="D59" i="1" s="1"/>
  <c r="D62" i="1" a="1"/>
  <c r="D62" i="1" s="1"/>
  <c r="D65" i="1" a="1"/>
  <c r="D65" i="1" s="1"/>
  <c r="D68" i="1" a="1"/>
  <c r="D68" i="1" s="1"/>
  <c r="H67" i="1" a="1"/>
  <c r="H67" i="1" s="1"/>
  <c r="H127" i="1" a="1"/>
  <c r="H127" i="1" s="1"/>
  <c r="G4" i="1" a="1"/>
  <c r="G4" i="1" s="1"/>
  <c r="G22" i="1" a="1"/>
  <c r="G22" i="1" s="1"/>
  <c r="G40" i="1" a="1"/>
  <c r="G40" i="1" s="1"/>
  <c r="G58" i="1" a="1"/>
  <c r="G58" i="1" s="1"/>
  <c r="G76" i="1" a="1"/>
  <c r="G76" i="1" s="1"/>
  <c r="G94" i="1" a="1"/>
  <c r="G94" i="1" s="1"/>
  <c r="G112" i="1" a="1"/>
  <c r="G112" i="1" s="1"/>
  <c r="G130" i="1" a="1"/>
  <c r="G130" i="1" s="1"/>
  <c r="G148" i="1" a="1"/>
  <c r="G148" i="1" s="1"/>
  <c r="G166" i="1" a="1"/>
  <c r="G166" i="1" s="1"/>
  <c r="F53" i="1" a="1"/>
  <c r="F53" i="1" s="1"/>
  <c r="F124" i="1" a="1"/>
  <c r="F124" i="1" s="1"/>
  <c r="F138" i="1" a="1"/>
  <c r="F138" i="1" s="1"/>
  <c r="F152" i="1" a="1"/>
  <c r="F152" i="1" s="1"/>
  <c r="D16" i="1" a="1"/>
  <c r="D16" i="1" s="1"/>
  <c r="D25" i="1" a="1"/>
  <c r="D25" i="1" s="1"/>
  <c r="D34" i="1" a="1"/>
  <c r="D34" i="1" s="1"/>
  <c r="D43" i="1" a="1"/>
  <c r="D43" i="1" s="1"/>
  <c r="D55" i="1" a="1"/>
  <c r="D55" i="1" s="1"/>
  <c r="D60" i="1" a="1"/>
  <c r="D60" i="1" s="1"/>
  <c r="D64" i="1" a="1"/>
  <c r="D64" i="1" s="1"/>
  <c r="D69" i="1" a="1"/>
  <c r="D69" i="1" s="1"/>
  <c r="D76" i="1" a="1"/>
  <c r="D76" i="1" s="1"/>
  <c r="D80" i="1" a="1"/>
  <c r="D80" i="1" s="1"/>
  <c r="D87" i="1" a="1"/>
  <c r="D87" i="1" s="1"/>
  <c r="D94" i="1" a="1"/>
  <c r="D94" i="1" s="1"/>
  <c r="D98" i="1" a="1"/>
  <c r="D98" i="1" s="1"/>
  <c r="D105" i="1" a="1"/>
  <c r="D105" i="1" s="1"/>
  <c r="D112" i="1" a="1"/>
  <c r="D112" i="1" s="1"/>
  <c r="D116" i="1" a="1"/>
  <c r="D116" i="1" s="1"/>
  <c r="D123" i="1" a="1"/>
  <c r="D123" i="1" s="1"/>
  <c r="D130" i="1" a="1"/>
  <c r="D130" i="1" s="1"/>
  <c r="D134" i="1" a="1"/>
  <c r="D134" i="1" s="1"/>
  <c r="D141" i="1" a="1"/>
  <c r="D141" i="1" s="1"/>
  <c r="D148" i="1" a="1"/>
  <c r="D148" i="1" s="1"/>
  <c r="D152" i="1" a="1"/>
  <c r="D152" i="1" s="1"/>
  <c r="D159" i="1" a="1"/>
  <c r="D159" i="1" s="1"/>
  <c r="C18" i="1" a="1"/>
  <c r="C18" i="1" s="1"/>
  <c r="C33" i="1" a="1"/>
  <c r="C33" i="1" s="1"/>
  <c r="C48" i="1" a="1"/>
  <c r="C48" i="1" s="1"/>
  <c r="C70" i="1" a="1"/>
  <c r="C70" i="1" s="1"/>
  <c r="C88" i="1" a="1"/>
  <c r="C88" i="1" s="1"/>
  <c r="C103" i="1" a="1"/>
  <c r="C103" i="1" s="1"/>
  <c r="C120" i="1" a="1"/>
  <c r="C120" i="1" s="1"/>
  <c r="C133" i="1" a="1"/>
  <c r="C133" i="1" s="1"/>
  <c r="C148" i="1" a="1"/>
  <c r="C148" i="1" s="1"/>
  <c r="K99" i="1" a="1"/>
  <c r="K99" i="1" s="1"/>
  <c r="H85" i="1" a="1"/>
  <c r="H85" i="1" s="1"/>
  <c r="H134" i="1" a="1"/>
  <c r="H134" i="1" s="1"/>
  <c r="G7" i="1" a="1"/>
  <c r="G7" i="1" s="1"/>
  <c r="G25" i="1" a="1"/>
  <c r="G25" i="1" s="1"/>
  <c r="G43" i="1" a="1"/>
  <c r="G43" i="1" s="1"/>
  <c r="G61" i="1" a="1"/>
  <c r="G61" i="1" s="1"/>
  <c r="G79" i="1" a="1"/>
  <c r="G79" i="1" s="1"/>
  <c r="G97" i="1" a="1"/>
  <c r="G97" i="1" s="1"/>
  <c r="G115" i="1" a="1"/>
  <c r="G115" i="1" s="1"/>
  <c r="G133" i="1" a="1"/>
  <c r="G133" i="1" s="1"/>
  <c r="G151" i="1" a="1"/>
  <c r="G151" i="1" s="1"/>
  <c r="G169" i="1" a="1"/>
  <c r="G169" i="1" s="1"/>
  <c r="F112" i="1" a="1"/>
  <c r="F112" i="1" s="1"/>
  <c r="F126" i="1" a="1"/>
  <c r="F126" i="1" s="1"/>
  <c r="F141" i="1" a="1"/>
  <c r="F141" i="1" s="1"/>
  <c r="F154" i="1" a="1"/>
  <c r="F154" i="1" s="1"/>
  <c r="F167" i="1" a="1"/>
  <c r="F167" i="1" s="1"/>
  <c r="D51" i="1" a="1"/>
  <c r="D51" i="1" s="1"/>
  <c r="D73" i="1" a="1"/>
  <c r="D73" i="1" s="1"/>
  <c r="D77" i="1" a="1"/>
  <c r="D77" i="1" s="1"/>
  <c r="D84" i="1" a="1"/>
  <c r="D84" i="1" s="1"/>
  <c r="D91" i="1" a="1"/>
  <c r="D91" i="1" s="1"/>
  <c r="D95" i="1" a="1"/>
  <c r="D95" i="1" s="1"/>
  <c r="D102" i="1" a="1"/>
  <c r="D102" i="1" s="1"/>
  <c r="D109" i="1" a="1"/>
  <c r="D109" i="1" s="1"/>
  <c r="D113" i="1" a="1"/>
  <c r="D113" i="1" s="1"/>
  <c r="D120" i="1" a="1"/>
  <c r="D120" i="1" s="1"/>
  <c r="D127" i="1" a="1"/>
  <c r="D127" i="1" s="1"/>
  <c r="D131" i="1" a="1"/>
  <c r="D131" i="1" s="1"/>
  <c r="D138" i="1" a="1"/>
  <c r="D138" i="1" s="1"/>
  <c r="D145" i="1" a="1"/>
  <c r="D145" i="1" s="1"/>
  <c r="D149" i="1" a="1"/>
  <c r="D149" i="1" s="1"/>
  <c r="D156" i="1" a="1"/>
  <c r="D156" i="1" s="1"/>
  <c r="D163" i="1" a="1"/>
  <c r="D163" i="1" s="1"/>
  <c r="D168" i="1" a="1"/>
  <c r="D168" i="1" s="1"/>
  <c r="C21" i="1" a="1"/>
  <c r="C21" i="1" s="1"/>
  <c r="C52" i="1" a="1"/>
  <c r="C52" i="1" s="1"/>
  <c r="C72" i="1" a="1"/>
  <c r="C72" i="1" s="1"/>
  <c r="C90" i="1" a="1"/>
  <c r="C90" i="1" s="1"/>
  <c r="C106" i="1" a="1"/>
  <c r="C106" i="1" s="1"/>
  <c r="C121" i="1" a="1"/>
  <c r="C121" i="1" s="1"/>
  <c r="C136" i="1" a="1"/>
  <c r="C136" i="1" s="1"/>
  <c r="C150" i="1" a="1"/>
  <c r="C150" i="1" s="1"/>
  <c r="C160" i="1" a="1"/>
  <c r="C160" i="1" s="1"/>
  <c r="L103" i="1" a="1"/>
  <c r="L103" i="1" s="1"/>
  <c r="K135" i="1" a="1"/>
  <c r="K135" i="1" s="1"/>
  <c r="H97" i="1" a="1"/>
  <c r="H97" i="1" s="1"/>
  <c r="H142" i="1" a="1"/>
  <c r="H142" i="1" s="1"/>
  <c r="G10" i="1" a="1"/>
  <c r="G10" i="1" s="1"/>
  <c r="G28" i="1" a="1"/>
  <c r="G28" i="1" s="1"/>
  <c r="G46" i="1" a="1"/>
  <c r="G46" i="1" s="1"/>
  <c r="G64" i="1" a="1"/>
  <c r="G64" i="1" s="1"/>
  <c r="G82" i="1" a="1"/>
  <c r="G82" i="1" s="1"/>
  <c r="G100" i="1" a="1"/>
  <c r="G100" i="1" s="1"/>
  <c r="G118" i="1" a="1"/>
  <c r="G118" i="1" s="1"/>
  <c r="G136" i="1" a="1"/>
  <c r="G136" i="1" s="1"/>
  <c r="G154" i="1" a="1"/>
  <c r="G154" i="1" s="1"/>
  <c r="H165" i="1" a="1"/>
  <c r="H165" i="1" s="1"/>
  <c r="F65" i="1" a="1"/>
  <c r="F65" i="1" s="1"/>
  <c r="F129" i="1" a="1"/>
  <c r="F129" i="1" s="1"/>
  <c r="F156" i="1" a="1"/>
  <c r="F156" i="1" s="1"/>
  <c r="D3" i="1" a="1"/>
  <c r="D3" i="1" s="1"/>
  <c r="D19" i="1" a="1"/>
  <c r="D19" i="1" s="1"/>
  <c r="D28" i="1" a="1"/>
  <c r="D28" i="1" s="1"/>
  <c r="D46" i="1" a="1"/>
  <c r="D46" i="1" s="1"/>
  <c r="D52" i="1" a="1"/>
  <c r="D52" i="1" s="1"/>
  <c r="D57" i="1" a="1"/>
  <c r="D57" i="1" s="1"/>
  <c r="D61" i="1" a="1"/>
  <c r="D61" i="1" s="1"/>
  <c r="D66" i="1" a="1"/>
  <c r="D66" i="1" s="1"/>
  <c r="D70" i="1" a="1"/>
  <c r="D70" i="1" s="1"/>
  <c r="D74" i="1" a="1"/>
  <c r="D74" i="1" s="1"/>
  <c r="D81" i="1" a="1"/>
  <c r="D81" i="1" s="1"/>
  <c r="D88" i="1" a="1"/>
  <c r="D88" i="1" s="1"/>
  <c r="D92" i="1" a="1"/>
  <c r="D92" i="1" s="1"/>
  <c r="D99" i="1" a="1"/>
  <c r="D99" i="1" s="1"/>
  <c r="D106" i="1" a="1"/>
  <c r="D106" i="1" s="1"/>
  <c r="D110" i="1" a="1"/>
  <c r="D110" i="1" s="1"/>
  <c r="D117" i="1" a="1"/>
  <c r="D117" i="1" s="1"/>
  <c r="D124" i="1" a="1"/>
  <c r="D124" i="1" s="1"/>
  <c r="D128" i="1" a="1"/>
  <c r="D128" i="1" s="1"/>
  <c r="D135" i="1" a="1"/>
  <c r="D135" i="1" s="1"/>
  <c r="D142" i="1" a="1"/>
  <c r="D142" i="1" s="1"/>
  <c r="D146" i="1" a="1"/>
  <c r="D146" i="1" s="1"/>
  <c r="D153" i="1" a="1"/>
  <c r="D153" i="1" s="1"/>
  <c r="D160" i="1" a="1"/>
  <c r="D160" i="1" s="1"/>
  <c r="D164" i="1" a="1"/>
  <c r="D164" i="1" s="1"/>
  <c r="J168" i="1" a="1"/>
  <c r="J168" i="1" s="1"/>
  <c r="C24" i="1" a="1"/>
  <c r="C24" i="1" s="1"/>
  <c r="C34" i="1" a="1"/>
  <c r="C34" i="1" s="1"/>
  <c r="C54" i="1" a="1"/>
  <c r="C54" i="1" s="1"/>
  <c r="C76" i="1" a="1"/>
  <c r="C76" i="1" s="1"/>
  <c r="C94" i="1" a="1"/>
  <c r="C94" i="1" s="1"/>
  <c r="C108" i="1" a="1"/>
  <c r="C108" i="1" s="1"/>
  <c r="C124" i="1" a="1"/>
  <c r="C124" i="1" s="1"/>
  <c r="C138" i="1" a="1"/>
  <c r="C138" i="1" s="1"/>
  <c r="C151" i="1" a="1"/>
  <c r="C151" i="1" s="1"/>
  <c r="C162" i="1" a="1"/>
  <c r="C162" i="1" s="1"/>
  <c r="L130" i="1" a="1"/>
  <c r="L130" i="1" s="1"/>
  <c r="H3" i="1" a="1"/>
  <c r="H3" i="1" s="1"/>
  <c r="H106" i="1" a="1"/>
  <c r="H106" i="1" s="1"/>
  <c r="H149" i="1" a="1"/>
  <c r="H149" i="1" s="1"/>
  <c r="G13" i="1" a="1"/>
  <c r="G13" i="1" s="1"/>
  <c r="G31" i="1" a="1"/>
  <c r="G31" i="1" s="1"/>
  <c r="G49" i="1" a="1"/>
  <c r="G49" i="1" s="1"/>
  <c r="G67" i="1" a="1"/>
  <c r="G67" i="1" s="1"/>
  <c r="G85" i="1" a="1"/>
  <c r="G85" i="1" s="1"/>
  <c r="G103" i="1" a="1"/>
  <c r="G103" i="1" s="1"/>
  <c r="G121" i="1" a="1"/>
  <c r="G121" i="1" s="1"/>
  <c r="G139" i="1" a="1"/>
  <c r="G139" i="1" s="1"/>
  <c r="G157" i="1" a="1"/>
  <c r="G157" i="1" s="1"/>
  <c r="H168" i="1" a="1"/>
  <c r="H168" i="1" s="1"/>
  <c r="F81" i="1" a="1"/>
  <c r="F81" i="1" s="1"/>
  <c r="F116" i="1" a="1"/>
  <c r="F116" i="1" s="1"/>
  <c r="F131" i="1" a="1"/>
  <c r="F131" i="1" s="1"/>
  <c r="F145" i="1" a="1"/>
  <c r="F145" i="1" s="1"/>
  <c r="F159" i="1" a="1"/>
  <c r="F159" i="1" s="1"/>
  <c r="D71" i="1" a="1"/>
  <c r="D71" i="1" s="1"/>
  <c r="D78" i="1" a="1"/>
  <c r="D78" i="1" s="1"/>
  <c r="D85" i="1" a="1"/>
  <c r="D85" i="1" s="1"/>
  <c r="D89" i="1" a="1"/>
  <c r="D89" i="1" s="1"/>
  <c r="D96" i="1" a="1"/>
  <c r="D96" i="1" s="1"/>
  <c r="D103" i="1" a="1"/>
  <c r="D103" i="1" s="1"/>
  <c r="D107" i="1" a="1"/>
  <c r="D107" i="1" s="1"/>
  <c r="D114" i="1" a="1"/>
  <c r="D114" i="1" s="1"/>
  <c r="D121" i="1" a="1"/>
  <c r="D121" i="1" s="1"/>
  <c r="D125" i="1" a="1"/>
  <c r="D125" i="1" s="1"/>
  <c r="D132" i="1" a="1"/>
  <c r="D132" i="1" s="1"/>
  <c r="D139" i="1" a="1"/>
  <c r="D139" i="1" s="1"/>
  <c r="D143" i="1" a="1"/>
  <c r="D143" i="1" s="1"/>
  <c r="D150" i="1" a="1"/>
  <c r="D150" i="1" s="1"/>
  <c r="D157" i="1" a="1"/>
  <c r="D157" i="1" s="1"/>
  <c r="D161" i="1" a="1"/>
  <c r="D161" i="1" s="1"/>
  <c r="D165" i="1" a="1"/>
  <c r="D165" i="1" s="1"/>
  <c r="D169" i="1" a="1"/>
  <c r="D169" i="1" s="1"/>
  <c r="C12" i="1" a="1"/>
  <c r="C12" i="1" s="1"/>
  <c r="C36" i="1" a="1"/>
  <c r="C36" i="1" s="1"/>
  <c r="C58" i="1" a="1"/>
  <c r="C58" i="1" s="1"/>
  <c r="C78" i="1" a="1"/>
  <c r="C78" i="1" s="1"/>
  <c r="C96" i="1" a="1"/>
  <c r="C96" i="1" s="1"/>
  <c r="C112" i="1" a="1"/>
  <c r="C112" i="1" s="1"/>
  <c r="C126" i="1" a="1"/>
  <c r="C126" i="1" s="1"/>
  <c r="C139" i="1" a="1"/>
  <c r="C139" i="1" s="1"/>
  <c r="C153" i="1" a="1"/>
  <c r="C153" i="1" s="1"/>
  <c r="L157" i="1" a="1"/>
  <c r="L157" i="1" s="1"/>
  <c r="H31" i="1" a="1"/>
  <c r="H31" i="1" s="1"/>
  <c r="H113" i="1" a="1"/>
  <c r="H113" i="1" s="1"/>
  <c r="H156" i="1" a="1"/>
  <c r="H156" i="1" s="1"/>
  <c r="G16" i="1" a="1"/>
  <c r="G16" i="1" s="1"/>
  <c r="G34" i="1" a="1"/>
  <c r="G34" i="1" s="1"/>
  <c r="G52" i="1" a="1"/>
  <c r="G52" i="1" s="1"/>
  <c r="G70" i="1" a="1"/>
  <c r="G70" i="1" s="1"/>
  <c r="G88" i="1" a="1"/>
  <c r="G88" i="1" s="1"/>
  <c r="G106" i="1" a="1"/>
  <c r="G106" i="1" s="1"/>
  <c r="G124" i="1" a="1"/>
  <c r="G124" i="1" s="1"/>
  <c r="G142" i="1" a="1"/>
  <c r="G142" i="1" s="1"/>
  <c r="G160" i="1" a="1"/>
  <c r="G160" i="1" s="1"/>
  <c r="F4" i="1" a="1"/>
  <c r="F4" i="1" s="1"/>
  <c r="F103" i="1" a="1"/>
  <c r="F103" i="1" s="1"/>
  <c r="F119" i="1" a="1"/>
  <c r="F119" i="1" s="1"/>
  <c r="F134" i="1" a="1"/>
  <c r="F134" i="1" s="1"/>
  <c r="D13" i="1" a="1"/>
  <c r="D13" i="1" s="1"/>
  <c r="D22" i="1" a="1"/>
  <c r="D22" i="1" s="1"/>
  <c r="D31" i="1" a="1"/>
  <c r="D31" i="1" s="1"/>
  <c r="D40" i="1" a="1"/>
  <c r="D40" i="1" s="1"/>
  <c r="D48" i="1" a="1"/>
  <c r="D48" i="1" s="1"/>
  <c r="D54" i="1" a="1"/>
  <c r="D54" i="1" s="1"/>
  <c r="D58" i="1" a="1"/>
  <c r="D58" i="1" s="1"/>
  <c r="D63" i="1" a="1"/>
  <c r="D63" i="1" s="1"/>
  <c r="D67" i="1" a="1"/>
  <c r="D67" i="1" s="1"/>
  <c r="D75" i="1" a="1"/>
  <c r="D75" i="1" s="1"/>
  <c r="D82" i="1" a="1"/>
  <c r="D82" i="1" s="1"/>
  <c r="D86" i="1" a="1"/>
  <c r="D86" i="1" s="1"/>
  <c r="D93" i="1" a="1"/>
  <c r="D93" i="1" s="1"/>
  <c r="D100" i="1" a="1"/>
  <c r="D100" i="1" s="1"/>
  <c r="D104" i="1" a="1"/>
  <c r="D104" i="1" s="1"/>
  <c r="D111" i="1" a="1"/>
  <c r="D111" i="1" s="1"/>
  <c r="D118" i="1" a="1"/>
  <c r="D118" i="1" s="1"/>
  <c r="D122" i="1" a="1"/>
  <c r="D122" i="1" s="1"/>
  <c r="D129" i="1" a="1"/>
  <c r="D129" i="1" s="1"/>
  <c r="D136" i="1" a="1"/>
  <c r="D136" i="1" s="1"/>
  <c r="D140" i="1" a="1"/>
  <c r="D140" i="1" s="1"/>
  <c r="D147" i="1" a="1"/>
  <c r="D147" i="1" s="1"/>
  <c r="D154" i="1" a="1"/>
  <c r="D154" i="1" s="1"/>
  <c r="D158" i="1" a="1"/>
  <c r="D158" i="1" s="1"/>
  <c r="C15" i="1" a="1"/>
  <c r="C15" i="1" s="1"/>
  <c r="C27" i="1" a="1"/>
  <c r="C27" i="1" s="1"/>
  <c r="C40" i="1" a="1"/>
  <c r="C40" i="1" s="1"/>
  <c r="C60" i="1" a="1"/>
  <c r="C60" i="1" s="1"/>
  <c r="C79" i="1" a="1"/>
  <c r="C79" i="1" s="1"/>
  <c r="C97" i="1" a="1"/>
  <c r="C97" i="1" s="1"/>
  <c r="C114" i="1" a="1"/>
  <c r="C114" i="1" s="1"/>
  <c r="C130" i="1" a="1"/>
  <c r="C130" i="1" s="1"/>
  <c r="C142" i="1" a="1"/>
  <c r="C142" i="1" s="1"/>
  <c r="C154" i="1" a="1"/>
  <c r="C154" i="1" s="1"/>
  <c r="C166" i="1" a="1"/>
  <c r="C166" i="1" s="1"/>
  <c r="D133" i="1" a="1"/>
  <c r="D133" i="1" s="1"/>
  <c r="D151" i="1" a="1"/>
  <c r="D151" i="1" s="1"/>
  <c r="D162" i="1" a="1"/>
  <c r="D162" i="1" s="1"/>
  <c r="C30" i="1" a="1"/>
  <c r="C30" i="1" s="1"/>
  <c r="C42" i="1" a="1"/>
  <c r="C42" i="1" s="1"/>
  <c r="C84" i="1" a="1"/>
  <c r="C84" i="1" s="1"/>
  <c r="C102" i="1" a="1"/>
  <c r="C102" i="1" s="1"/>
  <c r="C132" i="1" a="1"/>
  <c r="C132" i="1" s="1"/>
  <c r="C156" i="1" a="1"/>
  <c r="C156" i="1" s="1"/>
  <c r="H49" i="1" a="1"/>
  <c r="H49" i="1" s="1"/>
  <c r="H120" i="1" a="1"/>
  <c r="H120" i="1" s="1"/>
  <c r="H163" i="1" a="1"/>
  <c r="H163" i="1" s="1"/>
  <c r="G19" i="1" a="1"/>
  <c r="G19" i="1" s="1"/>
  <c r="G37" i="1" a="1"/>
  <c r="G37" i="1" s="1"/>
  <c r="G55" i="1" a="1"/>
  <c r="G55" i="1" s="1"/>
  <c r="G73" i="1" a="1"/>
  <c r="G73" i="1" s="1"/>
  <c r="G91" i="1" a="1"/>
  <c r="G91" i="1" s="1"/>
  <c r="G109" i="1" a="1"/>
  <c r="G109" i="1" s="1"/>
  <c r="G127" i="1" a="1"/>
  <c r="G127" i="1" s="1"/>
  <c r="G145" i="1" a="1"/>
  <c r="G145" i="1" s="1"/>
  <c r="G163" i="1" a="1"/>
  <c r="G163" i="1" s="1"/>
  <c r="F44" i="1" a="1"/>
  <c r="F44" i="1" s="1"/>
  <c r="F107" i="1" a="1"/>
  <c r="F107" i="1" s="1"/>
  <c r="F122" i="1" a="1"/>
  <c r="F122" i="1" s="1"/>
  <c r="F136" i="1" a="1"/>
  <c r="F136" i="1" s="1"/>
  <c r="F149" i="1" a="1"/>
  <c r="F149" i="1" s="1"/>
  <c r="F163" i="1" a="1"/>
  <c r="F163" i="1" s="1"/>
  <c r="D49" i="1" a="1"/>
  <c r="D49" i="1" s="1"/>
  <c r="D72" i="1" a="1"/>
  <c r="D72" i="1" s="1"/>
  <c r="D79" i="1" a="1"/>
  <c r="D79" i="1" s="1"/>
  <c r="D83" i="1" a="1"/>
  <c r="D83" i="1" s="1"/>
  <c r="D90" i="1" a="1"/>
  <c r="D90" i="1" s="1"/>
  <c r="D97" i="1" a="1"/>
  <c r="D97" i="1" s="1"/>
  <c r="D101" i="1" a="1"/>
  <c r="D101" i="1" s="1"/>
  <c r="D108" i="1" a="1"/>
  <c r="D108" i="1" s="1"/>
  <c r="D115" i="1" a="1"/>
  <c r="D115" i="1" s="1"/>
  <c r="D119" i="1" a="1"/>
  <c r="D119" i="1" s="1"/>
  <c r="D126" i="1" a="1"/>
  <c r="D126" i="1" s="1"/>
  <c r="D137" i="1" a="1"/>
  <c r="D137" i="1" s="1"/>
  <c r="D144" i="1" a="1"/>
  <c r="D144" i="1" s="1"/>
  <c r="D155" i="1" a="1"/>
  <c r="D155" i="1" s="1"/>
  <c r="D166" i="1" a="1"/>
  <c r="D166" i="1" s="1"/>
  <c r="C66" i="1" a="1"/>
  <c r="C66" i="1" s="1"/>
  <c r="C115" i="1" a="1"/>
  <c r="C115" i="1" s="1"/>
  <c r="C144" i="1" a="1"/>
  <c r="C144" i="1" s="1"/>
  <c r="H7" i="1" a="1"/>
  <c r="H7" i="1" s="1"/>
  <c r="C28" i="1" a="1"/>
  <c r="C28" i="1" s="1"/>
  <c r="J165" i="1" a="1"/>
  <c r="J165" i="1" s="1"/>
  <c r="J169" i="1" a="1"/>
  <c r="J169" i="1" s="1"/>
  <c r="C165" i="1" a="1"/>
  <c r="C165" i="1" s="1"/>
  <c r="C87" i="1" a="1"/>
  <c r="C87" i="1" s="1"/>
  <c r="N168" i="1" a="1"/>
  <c r="N168" i="1" s="1"/>
  <c r="J150" i="1" a="1"/>
  <c r="J150" i="1" s="1"/>
  <c r="J132" i="1" a="1"/>
  <c r="J132" i="1" s="1"/>
  <c r="J114" i="1" a="1"/>
  <c r="J114" i="1" s="1"/>
  <c r="J96" i="1" a="1"/>
  <c r="J96" i="1" s="1"/>
  <c r="J78" i="1" a="1"/>
  <c r="J78" i="1" s="1"/>
  <c r="J60" i="1" a="1"/>
  <c r="J60" i="1" s="1"/>
  <c r="J42" i="1" a="1"/>
  <c r="J42" i="1" s="1"/>
  <c r="J24" i="1" a="1"/>
  <c r="J24" i="1" s="1"/>
  <c r="C157" i="1" a="1"/>
  <c r="C157" i="1" s="1"/>
  <c r="C31" i="1" a="1"/>
  <c r="C31" i="1" s="1"/>
  <c r="C5" i="1" a="1"/>
  <c r="C5" i="1" s="1"/>
  <c r="C161" i="1" a="1"/>
  <c r="C161" i="1" s="1"/>
  <c r="C149" i="1" a="1"/>
  <c r="C149" i="1" s="1"/>
  <c r="C137" i="1" a="1"/>
  <c r="C137" i="1" s="1"/>
  <c r="C125" i="1" a="1"/>
  <c r="C125" i="1" s="1"/>
  <c r="C113" i="1" a="1"/>
  <c r="C113" i="1" s="1"/>
  <c r="C101" i="1" a="1"/>
  <c r="C101" i="1" s="1"/>
  <c r="C89" i="1" a="1"/>
  <c r="C89" i="1" s="1"/>
  <c r="C77" i="1" a="1"/>
  <c r="C77" i="1" s="1"/>
  <c r="C65" i="1" a="1"/>
  <c r="C65" i="1" s="1"/>
  <c r="C53" i="1" a="1"/>
  <c r="C53" i="1" s="1"/>
  <c r="C41" i="1" a="1"/>
  <c r="C41" i="1" s="1"/>
  <c r="C29" i="1" a="1"/>
  <c r="C29" i="1" s="1"/>
  <c r="C17" i="1" a="1"/>
  <c r="C17" i="1" s="1"/>
  <c r="C67" i="1" a="1"/>
  <c r="C67" i="1" s="1"/>
  <c r="J166" i="1" a="1"/>
  <c r="J166" i="1" s="1"/>
  <c r="J148" i="1" a="1"/>
  <c r="J148" i="1" s="1"/>
  <c r="J130" i="1" a="1"/>
  <c r="J130" i="1" s="1"/>
  <c r="J112" i="1" a="1"/>
  <c r="J112" i="1" s="1"/>
  <c r="J94" i="1" a="1"/>
  <c r="J94" i="1" s="1"/>
  <c r="J76" i="1" a="1"/>
  <c r="J76" i="1" s="1"/>
  <c r="J58" i="1" a="1"/>
  <c r="J58" i="1" s="1"/>
  <c r="J40" i="1" a="1"/>
  <c r="J40" i="1" s="1"/>
  <c r="C129" i="1" a="1"/>
  <c r="C129" i="1" s="1"/>
  <c r="C111" i="1" a="1"/>
  <c r="C111" i="1" s="1"/>
  <c r="J158" i="1" a="1"/>
  <c r="J158" i="1" s="1"/>
  <c r="J146" i="1" a="1"/>
  <c r="J146" i="1" s="1"/>
  <c r="J134" i="1" a="1"/>
  <c r="J134" i="1" s="1"/>
  <c r="J122" i="1" a="1"/>
  <c r="J122" i="1" s="1"/>
  <c r="J110" i="1" a="1"/>
  <c r="J110" i="1" s="1"/>
  <c r="J98" i="1" a="1"/>
  <c r="J98" i="1" s="1"/>
  <c r="J86" i="1" a="1"/>
  <c r="J86" i="1" s="1"/>
  <c r="J74" i="1" a="1"/>
  <c r="J74" i="1" s="1"/>
  <c r="J62" i="1" a="1"/>
  <c r="J62" i="1" s="1"/>
  <c r="J50" i="1" a="1"/>
  <c r="J50" i="1" s="1"/>
  <c r="J38" i="1" a="1"/>
  <c r="J38" i="1" s="1"/>
  <c r="J26" i="1" a="1"/>
  <c r="J26" i="1" s="1"/>
  <c r="J14" i="1" a="1"/>
  <c r="J14" i="1" s="1"/>
  <c r="C147" i="1" a="1"/>
  <c r="C147" i="1" s="1"/>
  <c r="C64" i="1" a="1"/>
  <c r="C64" i="1" s="1"/>
  <c r="H10" i="1" a="1"/>
  <c r="H10" i="1" s="1"/>
  <c r="N165" i="1" a="1"/>
  <c r="N165" i="1" s="1"/>
  <c r="J147" i="1" a="1"/>
  <c r="J147" i="1" s="1"/>
  <c r="J129" i="1" a="1"/>
  <c r="J129" i="1" s="1"/>
  <c r="J111" i="1" a="1"/>
  <c r="J111" i="1" s="1"/>
  <c r="J93" i="1" a="1"/>
  <c r="J93" i="1" s="1"/>
  <c r="J75" i="1" a="1"/>
  <c r="J75" i="1" s="1"/>
  <c r="J57" i="1" a="1"/>
  <c r="J57" i="1" s="1"/>
  <c r="J39" i="1" a="1"/>
  <c r="J39" i="1" s="1"/>
  <c r="P169" i="1" a="1"/>
  <c r="P169" i="1" s="1"/>
  <c r="J151" i="1" a="1"/>
  <c r="J151" i="1" s="1"/>
  <c r="J133" i="1" a="1"/>
  <c r="J133" i="1" s="1"/>
  <c r="J115" i="1" a="1"/>
  <c r="J115" i="1" s="1"/>
  <c r="J97" i="1" a="1"/>
  <c r="J97" i="1" s="1"/>
  <c r="J79" i="1" a="1"/>
  <c r="J79" i="1" s="1"/>
  <c r="J61" i="1" a="1"/>
  <c r="J61" i="1" s="1"/>
  <c r="J43" i="1" a="1"/>
  <c r="J43" i="1" s="1"/>
  <c r="J25" i="1" a="1"/>
  <c r="J25" i="1" s="1"/>
  <c r="C145" i="1" a="1"/>
  <c r="C145" i="1" s="1"/>
  <c r="C55" i="1" a="1"/>
  <c r="C55" i="1" s="1"/>
  <c r="C9" i="1" a="1"/>
  <c r="C9" i="1" s="1"/>
  <c r="C13" i="1" a="1"/>
  <c r="C13" i="1" s="1"/>
  <c r="C63" i="1" a="1"/>
  <c r="C63" i="1" s="1"/>
  <c r="C61" i="1" a="1"/>
  <c r="C61" i="1" s="1"/>
  <c r="C75" i="1" a="1"/>
  <c r="C75" i="1" s="1"/>
  <c r="C11" i="1" a="1"/>
  <c r="C11" i="1" s="1"/>
  <c r="C158" i="1" a="1"/>
  <c r="C158" i="1" s="1"/>
  <c r="C146" i="1" a="1"/>
  <c r="C146" i="1" s="1"/>
  <c r="C134" i="1" a="1"/>
  <c r="C134" i="1" s="1"/>
  <c r="C122" i="1" a="1"/>
  <c r="C122" i="1" s="1"/>
  <c r="C110" i="1" a="1"/>
  <c r="C110" i="1" s="1"/>
  <c r="C98" i="1" a="1"/>
  <c r="C98" i="1" s="1"/>
  <c r="C86" i="1" a="1"/>
  <c r="C86" i="1" s="1"/>
  <c r="C74" i="1" a="1"/>
  <c r="C74" i="1" s="1"/>
  <c r="C62" i="1" a="1"/>
  <c r="C62" i="1" s="1"/>
  <c r="C50" i="1" a="1"/>
  <c r="C50" i="1" s="1"/>
  <c r="C38" i="1" a="1"/>
  <c r="C38" i="1" s="1"/>
  <c r="C26" i="1" a="1"/>
  <c r="C26" i="1" s="1"/>
  <c r="C14" i="1" a="1"/>
  <c r="C14" i="1" s="1"/>
  <c r="C109" i="1" a="1"/>
  <c r="C109" i="1" s="1"/>
  <c r="C37" i="1" a="1"/>
  <c r="C37" i="1" s="1"/>
  <c r="J21" i="1" a="1"/>
  <c r="J21" i="1" s="1"/>
  <c r="J9" i="1" a="1"/>
  <c r="J9" i="1" s="1"/>
  <c r="C93" i="1" a="1"/>
  <c r="C93" i="1" s="1"/>
  <c r="C141" i="1" a="1"/>
  <c r="C141" i="1" s="1"/>
  <c r="C51" i="1" a="1"/>
  <c r="C51" i="1" s="1"/>
  <c r="J162" i="1" a="1"/>
  <c r="J162" i="1" s="1"/>
  <c r="J144" i="1" a="1"/>
  <c r="J144" i="1" s="1"/>
  <c r="J126" i="1" a="1"/>
  <c r="J126" i="1" s="1"/>
  <c r="J108" i="1" a="1"/>
  <c r="J108" i="1" s="1"/>
  <c r="J90" i="1" a="1"/>
  <c r="J90" i="1" s="1"/>
  <c r="J72" i="1" a="1"/>
  <c r="J72" i="1" s="1"/>
  <c r="J54" i="1" a="1"/>
  <c r="J54" i="1" s="1"/>
  <c r="J36" i="1" a="1"/>
  <c r="J36" i="1" s="1"/>
  <c r="J18" i="1" a="1"/>
  <c r="J18" i="1" s="1"/>
  <c r="C3" i="1" a="1"/>
  <c r="C3" i="1" s="1"/>
  <c r="C7" i="1" a="1"/>
  <c r="C7" i="1" s="1"/>
  <c r="N167" i="1" a="1"/>
  <c r="N167" i="1" s="1"/>
  <c r="J155" i="1" a="1"/>
  <c r="J155" i="1" s="1"/>
  <c r="J143" i="1" a="1"/>
  <c r="J143" i="1" s="1"/>
  <c r="J131" i="1" a="1"/>
  <c r="J131" i="1" s="1"/>
  <c r="J119" i="1" a="1"/>
  <c r="J119" i="1" s="1"/>
  <c r="J107" i="1" a="1"/>
  <c r="J107" i="1" s="1"/>
  <c r="J95" i="1" a="1"/>
  <c r="J95" i="1" s="1"/>
  <c r="J83" i="1" a="1"/>
  <c r="J83" i="1" s="1"/>
  <c r="J71" i="1" a="1"/>
  <c r="J71" i="1" s="1"/>
  <c r="J59" i="1" a="1"/>
  <c r="J59" i="1" s="1"/>
  <c r="J47" i="1" a="1"/>
  <c r="J47" i="1" s="1"/>
  <c r="J35" i="1" a="1"/>
  <c r="J35" i="1" s="1"/>
  <c r="J23" i="1" a="1"/>
  <c r="J23" i="1" s="1"/>
  <c r="C135" i="1" a="1"/>
  <c r="C135" i="1" s="1"/>
  <c r="J160" i="1" a="1"/>
  <c r="J160" i="1" s="1"/>
  <c r="J142" i="1" a="1"/>
  <c r="J142" i="1" s="1"/>
  <c r="J124" i="1" a="1"/>
  <c r="J124" i="1" s="1"/>
  <c r="J106" i="1" a="1"/>
  <c r="J106" i="1" s="1"/>
  <c r="J88" i="1" a="1"/>
  <c r="J88" i="1" s="1"/>
  <c r="J70" i="1" a="1"/>
  <c r="J70" i="1" s="1"/>
  <c r="J52" i="1" a="1"/>
  <c r="J52" i="1" s="1"/>
  <c r="J34" i="1" a="1"/>
  <c r="J34" i="1" s="1"/>
  <c r="J16" i="1" a="1"/>
  <c r="J16" i="1" s="1"/>
  <c r="C57" i="1" a="1"/>
  <c r="C57" i="1" s="1"/>
  <c r="C25" i="1" a="1"/>
  <c r="C25" i="1" s="1"/>
  <c r="C169" i="1" a="1"/>
  <c r="C169" i="1" s="1"/>
  <c r="C105" i="1" a="1"/>
  <c r="C105" i="1" s="1"/>
  <c r="J167" i="1" a="1"/>
  <c r="J167" i="1" s="1"/>
  <c r="C118" i="1" a="1"/>
  <c r="C118" i="1" s="1"/>
  <c r="J159" i="1" a="1"/>
  <c r="J159" i="1" s="1"/>
  <c r="J141" i="1" a="1"/>
  <c r="J141" i="1" s="1"/>
  <c r="J123" i="1" a="1"/>
  <c r="J123" i="1" s="1"/>
  <c r="J105" i="1" a="1"/>
  <c r="J105" i="1" s="1"/>
  <c r="J87" i="1" a="1"/>
  <c r="J87" i="1" s="1"/>
  <c r="J69" i="1" a="1"/>
  <c r="J69" i="1" s="1"/>
  <c r="J51" i="1" a="1"/>
  <c r="J51" i="1" s="1"/>
  <c r="J163" i="1" a="1"/>
  <c r="J163" i="1" s="1"/>
  <c r="J145" i="1" a="1"/>
  <c r="J145" i="1" s="1"/>
  <c r="J127" i="1" a="1"/>
  <c r="J127" i="1" s="1"/>
  <c r="J109" i="1" a="1"/>
  <c r="J109" i="1" s="1"/>
  <c r="J91" i="1" a="1"/>
  <c r="J91" i="1" s="1"/>
  <c r="J73" i="1" a="1"/>
  <c r="J73" i="1" s="1"/>
  <c r="J55" i="1" a="1"/>
  <c r="J55" i="1" s="1"/>
  <c r="J37" i="1" a="1"/>
  <c r="J37" i="1" s="1"/>
  <c r="J19" i="1" a="1"/>
  <c r="J19" i="1" s="1"/>
  <c r="C127" i="1" a="1"/>
  <c r="C127" i="1" s="1"/>
  <c r="C19" i="1" a="1"/>
  <c r="C19" i="1" s="1"/>
  <c r="C117" i="1" a="1"/>
  <c r="C117" i="1" s="1"/>
  <c r="C167" i="1" a="1"/>
  <c r="C167" i="1" s="1"/>
  <c r="C155" i="1" a="1"/>
  <c r="C155" i="1" s="1"/>
  <c r="C143" i="1" a="1"/>
  <c r="C143" i="1" s="1"/>
  <c r="C131" i="1" a="1"/>
  <c r="C131" i="1" s="1"/>
  <c r="C119" i="1" a="1"/>
  <c r="C119" i="1" s="1"/>
  <c r="C107" i="1" a="1"/>
  <c r="C107" i="1" s="1"/>
  <c r="C95" i="1" a="1"/>
  <c r="C95" i="1" s="1"/>
  <c r="C83" i="1" a="1"/>
  <c r="C83" i="1" s="1"/>
  <c r="C71" i="1" a="1"/>
  <c r="C71" i="1" s="1"/>
  <c r="C59" i="1" a="1"/>
  <c r="C59" i="1" s="1"/>
  <c r="C47" i="1" a="1"/>
  <c r="C47" i="1" s="1"/>
  <c r="C35" i="1" a="1"/>
  <c r="C35" i="1" s="1"/>
  <c r="C23" i="1" a="1"/>
  <c r="C23" i="1" s="1"/>
  <c r="C99" i="1" a="1"/>
  <c r="C99" i="1" s="1"/>
  <c r="J4" i="1" a="1"/>
  <c r="J4" i="1" s="1"/>
  <c r="C2" i="1" a="1"/>
  <c r="C2" i="1" s="1"/>
  <c r="C43" i="1" a="1"/>
  <c r="C43" i="1" s="1"/>
  <c r="C16" i="1" a="1"/>
  <c r="C16" i="1" s="1"/>
  <c r="J164" i="1" a="1"/>
  <c r="J164" i="1" s="1"/>
  <c r="J152" i="1" a="1"/>
  <c r="J152" i="1" s="1"/>
  <c r="J140" i="1" a="1"/>
  <c r="J140" i="1" s="1"/>
  <c r="J128" i="1" a="1"/>
  <c r="J128" i="1" s="1"/>
  <c r="J116" i="1" a="1"/>
  <c r="J116" i="1" s="1"/>
  <c r="J104" i="1" a="1"/>
  <c r="J104" i="1" s="1"/>
  <c r="J92" i="1" a="1"/>
  <c r="J92" i="1" s="1"/>
  <c r="J80" i="1" a="1"/>
  <c r="J80" i="1" s="1"/>
  <c r="J68" i="1" a="1"/>
  <c r="J68" i="1" s="1"/>
  <c r="J56" i="1" a="1"/>
  <c r="J56" i="1" s="1"/>
  <c r="J44" i="1" a="1"/>
  <c r="J44" i="1" s="1"/>
  <c r="J32" i="1" a="1"/>
  <c r="J32" i="1" s="1"/>
  <c r="J20" i="1" a="1"/>
  <c r="J20" i="1" s="1"/>
  <c r="C10" i="1" a="1"/>
  <c r="C10" i="1" s="1"/>
  <c r="C100" i="1" a="1"/>
  <c r="C100" i="1" s="1"/>
  <c r="J33" i="1" a="1"/>
  <c r="J33" i="1" s="1"/>
  <c r="J15" i="1" a="1"/>
  <c r="J15" i="1" s="1"/>
  <c r="C82" i="1" a="1"/>
  <c r="C82" i="1" s="1"/>
  <c r="J3" i="1" a="1"/>
  <c r="J3" i="1" s="1"/>
  <c r="C123" i="1" a="1"/>
  <c r="C123" i="1" s="1"/>
  <c r="J156" i="1" a="1"/>
  <c r="J156" i="1" s="1"/>
  <c r="J138" i="1" a="1"/>
  <c r="J138" i="1" s="1"/>
  <c r="J120" i="1" a="1"/>
  <c r="J120" i="1" s="1"/>
  <c r="J102" i="1" a="1"/>
  <c r="J102" i="1" s="1"/>
  <c r="J84" i="1" a="1"/>
  <c r="J84" i="1" s="1"/>
  <c r="J66" i="1" a="1"/>
  <c r="J66" i="1" s="1"/>
  <c r="J48" i="1" a="1"/>
  <c r="J48" i="1" s="1"/>
  <c r="J30" i="1" a="1"/>
  <c r="J30" i="1" s="1"/>
  <c r="J12" i="1" a="1"/>
  <c r="J12" i="1" s="1"/>
  <c r="C49" i="1" a="1"/>
  <c r="C49" i="1" s="1"/>
  <c r="C85" i="1" a="1"/>
  <c r="C85" i="1" s="1"/>
  <c r="J154" i="1" a="1"/>
  <c r="J154" i="1" s="1"/>
  <c r="J136" i="1" a="1"/>
  <c r="J136" i="1" s="1"/>
  <c r="J118" i="1" a="1"/>
  <c r="J118" i="1" s="1"/>
  <c r="J100" i="1" a="1"/>
  <c r="J100" i="1" s="1"/>
  <c r="J82" i="1" a="1"/>
  <c r="J82" i="1" s="1"/>
  <c r="J64" i="1" a="1"/>
  <c r="J64" i="1" s="1"/>
  <c r="J46" i="1" a="1"/>
  <c r="J46" i="1" s="1"/>
  <c r="J28" i="1" a="1"/>
  <c r="J28" i="1" s="1"/>
  <c r="C163" i="1" a="1"/>
  <c r="C163" i="1" s="1"/>
  <c r="C39" i="1" a="1"/>
  <c r="C39" i="1" s="1"/>
  <c r="C164" i="1" a="1"/>
  <c r="C164" i="1" s="1"/>
  <c r="C152" i="1" a="1"/>
  <c r="C152" i="1" s="1"/>
  <c r="C140" i="1" a="1"/>
  <c r="C140" i="1" s="1"/>
  <c r="C128" i="1" a="1"/>
  <c r="C128" i="1" s="1"/>
  <c r="C116" i="1" a="1"/>
  <c r="C116" i="1" s="1"/>
  <c r="C104" i="1" a="1"/>
  <c r="C104" i="1" s="1"/>
  <c r="C92" i="1" a="1"/>
  <c r="C92" i="1" s="1"/>
  <c r="C80" i="1" a="1"/>
  <c r="C80" i="1" s="1"/>
  <c r="C68" i="1" a="1"/>
  <c r="C68" i="1" s="1"/>
  <c r="C56" i="1" a="1"/>
  <c r="C56" i="1" s="1"/>
  <c r="C44" i="1" a="1"/>
  <c r="C44" i="1" s="1"/>
  <c r="C32" i="1" a="1"/>
  <c r="C32" i="1" s="1"/>
  <c r="C20" i="1" a="1"/>
  <c r="C20" i="1" s="1"/>
  <c r="C4" i="1" a="1"/>
  <c r="C4" i="1" s="1"/>
  <c r="C73" i="1" a="1"/>
  <c r="C73" i="1" s="1"/>
  <c r="C46" i="1" a="1"/>
  <c r="C46" i="1" s="1"/>
  <c r="J153" i="1" a="1"/>
  <c r="J153" i="1" s="1"/>
  <c r="J135" i="1" a="1"/>
  <c r="J135" i="1" s="1"/>
  <c r="J117" i="1" a="1"/>
  <c r="J117" i="1" s="1"/>
  <c r="J99" i="1" a="1"/>
  <c r="J99" i="1" s="1"/>
  <c r="J81" i="1" a="1"/>
  <c r="J81" i="1" s="1"/>
  <c r="J63" i="1" a="1"/>
  <c r="J63" i="1" s="1"/>
  <c r="J45" i="1" a="1"/>
  <c r="J45" i="1" s="1"/>
  <c r="N169" i="1" a="1"/>
  <c r="N169" i="1" s="1"/>
  <c r="J157" i="1" a="1"/>
  <c r="J157" i="1" s="1"/>
  <c r="J139" i="1" a="1"/>
  <c r="J139" i="1" s="1"/>
  <c r="J121" i="1" a="1"/>
  <c r="J121" i="1" s="1"/>
  <c r="J103" i="1" a="1"/>
  <c r="J103" i="1" s="1"/>
  <c r="J85" i="1" a="1"/>
  <c r="J85" i="1" s="1"/>
  <c r="J67" i="1" a="1"/>
  <c r="J67" i="1" s="1"/>
  <c r="J49" i="1" a="1"/>
  <c r="J49" i="1" s="1"/>
  <c r="J31" i="1" a="1"/>
  <c r="J31" i="1" s="1"/>
  <c r="J13" i="1" a="1"/>
  <c r="J13" i="1" s="1"/>
  <c r="C91" i="1" a="1"/>
  <c r="C91" i="1" s="1"/>
  <c r="C168" i="1" a="1"/>
  <c r="C168" i="1" s="1"/>
  <c r="C45" i="1" a="1"/>
  <c r="C45" i="1" s="1"/>
  <c r="J161" i="1" a="1"/>
  <c r="J161" i="1" s="1"/>
  <c r="J149" i="1" a="1"/>
  <c r="J149" i="1" s="1"/>
  <c r="J137" i="1" a="1"/>
  <c r="J137" i="1" s="1"/>
  <c r="J125" i="1" a="1"/>
  <c r="J125" i="1" s="1"/>
  <c r="J113" i="1" a="1"/>
  <c r="J113" i="1" s="1"/>
  <c r="J101" i="1" a="1"/>
  <c r="J101" i="1" s="1"/>
  <c r="J89" i="1" a="1"/>
  <c r="J89" i="1" s="1"/>
  <c r="J77" i="1" a="1"/>
  <c r="J77" i="1" s="1"/>
  <c r="J65" i="1" a="1"/>
  <c r="J65" i="1" s="1"/>
  <c r="J53" i="1" a="1"/>
  <c r="J53" i="1" s="1"/>
  <c r="J41" i="1" a="1"/>
  <c r="J41" i="1" s="1"/>
  <c r="J29" i="1" a="1"/>
  <c r="J29" i="1" s="1"/>
  <c r="J17" i="1" a="1"/>
  <c r="J17" i="1" s="1"/>
  <c r="C81" i="1" a="1"/>
  <c r="C81" i="1" s="1"/>
  <c r="J22" i="1" a="1"/>
  <c r="J22" i="1" s="1"/>
  <c r="C159" i="1" a="1"/>
  <c r="C159" i="1" s="1"/>
  <c r="N166" i="1" a="1"/>
  <c r="N166" i="1" s="1"/>
  <c r="C8" i="1" a="1"/>
  <c r="C8" i="1" s="1"/>
  <c r="Q169" i="1" a="1"/>
  <c r="Q169" i="1" s="1"/>
  <c r="C69" i="1" a="1"/>
  <c r="C69" i="1" s="1"/>
  <c r="J27" i="1" a="1"/>
  <c r="J27" i="1" s="1"/>
  <c r="P95" i="1" a="1"/>
  <c r="P95" i="1" s="1"/>
  <c r="F105" i="1" a="1"/>
  <c r="F105" i="1" s="1"/>
  <c r="J10" i="1" a="1"/>
  <c r="J10" i="1" s="1"/>
  <c r="P102" i="1" a="1"/>
  <c r="P102" i="1" s="1"/>
  <c r="P39" i="1" a="1"/>
  <c r="P39" i="1" s="1"/>
  <c r="D10" i="1" a="1"/>
  <c r="D10" i="1" s="1"/>
  <c r="P37" i="1" a="1"/>
  <c r="P37" i="1" s="1"/>
  <c r="P49" i="1" a="1"/>
  <c r="P49" i="1" s="1"/>
  <c r="P94" i="1" a="1"/>
  <c r="P94" i="1" s="1"/>
  <c r="Q94" i="1" a="1"/>
  <c r="Q94" i="1" s="1"/>
  <c r="P27" i="1" a="1"/>
  <c r="P27" i="1" s="1"/>
  <c r="P105" i="1" a="1"/>
  <c r="P105" i="1" s="1"/>
  <c r="Q22" i="1" a="1"/>
  <c r="Q22" i="1" s="1"/>
  <c r="J7" i="1" a="1"/>
  <c r="J7" i="1" s="1"/>
  <c r="P89" i="1" a="1"/>
  <c r="P89" i="1" s="1"/>
  <c r="P41" i="1" a="1"/>
  <c r="P41" i="1" s="1"/>
  <c r="P99" i="1" a="1"/>
  <c r="P99" i="1" s="1"/>
  <c r="P88" i="1" a="1"/>
  <c r="P88" i="1" s="1"/>
  <c r="P93" i="1" a="1"/>
  <c r="P93" i="1" s="1"/>
  <c r="P59" i="1" a="1"/>
  <c r="P59" i="1" s="1"/>
  <c r="F9" i="1" a="1"/>
  <c r="F9" i="1" s="1"/>
  <c r="P22" i="1" a="1"/>
  <c r="P22" i="1" s="1"/>
  <c r="P87" i="1" a="1"/>
  <c r="P87" i="1" s="1"/>
  <c r="H9" i="1" a="1"/>
  <c r="H9" i="1" s="1"/>
  <c r="P47" i="1" a="1"/>
  <c r="P47" i="1" s="1"/>
  <c r="H6" i="1" a="1"/>
  <c r="H6" i="1" s="1"/>
  <c r="F7" i="1" a="1"/>
  <c r="F7" i="1" s="1"/>
  <c r="P40" i="1" a="1"/>
  <c r="P40" i="1" s="1"/>
  <c r="P82" i="1" a="1"/>
  <c r="P82" i="1" s="1"/>
  <c r="D9" i="1" a="1"/>
  <c r="D9" i="1" s="1"/>
  <c r="P90" i="1" a="1"/>
  <c r="P90" i="1" s="1"/>
  <c r="P79" i="1" a="1"/>
  <c r="P79" i="1" s="1"/>
  <c r="P98" i="1" a="1"/>
  <c r="P98" i="1" s="1"/>
  <c r="P103" i="1" a="1"/>
  <c r="P103" i="1" s="1"/>
  <c r="Q92" i="1" a="1"/>
  <c r="Q92" i="1" s="1"/>
  <c r="Q101" i="1" a="1"/>
  <c r="Q101" i="1" s="1"/>
  <c r="P92" i="1" a="1"/>
  <c r="P92" i="1" s="1"/>
  <c r="Q100" i="1" a="1"/>
  <c r="Q100" i="1" s="1"/>
  <c r="D7" i="1" a="1"/>
  <c r="D7" i="1" s="1"/>
  <c r="P38" i="1" a="1"/>
  <c r="P38" i="1" s="1"/>
  <c r="F10" i="1" a="1"/>
  <c r="F10" i="1" s="1"/>
  <c r="P97" i="1" a="1"/>
  <c r="P97" i="1" s="1"/>
  <c r="P101" i="1" a="1"/>
  <c r="P101" i="1" s="1"/>
  <c r="P91" i="1" a="1"/>
  <c r="P91" i="1" s="1"/>
  <c r="P96" i="1" a="1"/>
  <c r="P96" i="1" s="1"/>
  <c r="P85" i="1" a="1"/>
  <c r="P85" i="1" s="1"/>
  <c r="P100" i="1" a="1"/>
  <c r="P100" i="1" s="1"/>
  <c r="Q28" i="1" a="1"/>
  <c r="Q28" i="1" s="1"/>
  <c r="Q38" i="1" a="1"/>
  <c r="Q38" i="1" s="1"/>
  <c r="F17" i="1" a="1"/>
  <c r="F17" i="1" s="1"/>
  <c r="F34" i="1" a="1"/>
  <c r="F34" i="1" s="1"/>
  <c r="F46" i="1" a="1"/>
  <c r="F46" i="1" s="1"/>
  <c r="F86" i="1" a="1"/>
  <c r="F86" i="1" s="1"/>
  <c r="F67" i="1" a="1"/>
  <c r="F67" i="1" s="1"/>
  <c r="F11" i="1" a="1"/>
  <c r="F11" i="1" s="1"/>
  <c r="F38" i="1" a="1"/>
  <c r="F38" i="1" s="1"/>
  <c r="F90" i="1" a="1"/>
  <c r="F90" i="1" s="1"/>
  <c r="F37" i="1" a="1"/>
  <c r="F37" i="1" s="1"/>
  <c r="F26" i="1" a="1"/>
  <c r="F26" i="1" s="1"/>
  <c r="F24" i="1" a="1"/>
  <c r="F24" i="1" s="1"/>
  <c r="F35" i="1" a="1"/>
  <c r="F35" i="1" s="1"/>
  <c r="F69" i="1" a="1"/>
  <c r="F69" i="1" s="1"/>
  <c r="F5" i="1" a="1"/>
  <c r="F5" i="1" s="1"/>
  <c r="F21" i="1" a="1"/>
  <c r="F21" i="1" s="1"/>
  <c r="F16" i="1" a="1"/>
  <c r="F16" i="1" s="1"/>
  <c r="Q104" i="1" a="1"/>
  <c r="Q104" i="1" s="1"/>
  <c r="Q96" i="1" a="1"/>
  <c r="Q96" i="1" s="1"/>
  <c r="P28" i="1" a="1"/>
  <c r="P28" i="1" s="1"/>
  <c r="Q41" i="1" a="1"/>
  <c r="Q41" i="1" s="1"/>
  <c r="Q86" i="1" a="1"/>
  <c r="Q86" i="1" s="1"/>
  <c r="F50" i="1" a="1"/>
  <c r="F50" i="1" s="1"/>
  <c r="D5" i="1" a="1"/>
  <c r="D5" i="1" s="1"/>
  <c r="F25" i="1" a="1"/>
  <c r="F25" i="1" s="1"/>
  <c r="H5" i="1" a="1"/>
  <c r="H5" i="1" s="1"/>
  <c r="F45" i="1" a="1"/>
  <c r="F45" i="1" s="1"/>
  <c r="F91" i="1" a="1"/>
  <c r="F91" i="1" s="1"/>
  <c r="J5" i="1" a="1"/>
  <c r="J5" i="1" s="1"/>
  <c r="D11" i="1" a="1"/>
  <c r="D11" i="1" s="1"/>
  <c r="H2" i="1" a="1"/>
  <c r="H2" i="1" s="1"/>
  <c r="F93" i="1" a="1"/>
  <c r="F93" i="1" s="1"/>
  <c r="F100" i="1" a="1"/>
  <c r="F100" i="1" s="1"/>
  <c r="F23" i="1" a="1"/>
  <c r="F23" i="1" s="1"/>
  <c r="F6" i="1" a="1"/>
  <c r="F6" i="1" s="1"/>
  <c r="D2" i="1" a="1"/>
  <c r="D2" i="1" s="1"/>
  <c r="F27" i="1" a="1"/>
  <c r="F27" i="1" s="1"/>
  <c r="F39" i="1" a="1"/>
  <c r="F39" i="1" s="1"/>
  <c r="Q99" i="1" a="1"/>
  <c r="Q99" i="1" s="1"/>
  <c r="Q95" i="1" a="1"/>
  <c r="Q95" i="1" s="1"/>
  <c r="Q27" i="1" a="1"/>
  <c r="Q27" i="1" s="1"/>
  <c r="F96" i="1" a="1"/>
  <c r="F96" i="1" s="1"/>
  <c r="F36" i="1" a="1"/>
  <c r="F36" i="1" s="1"/>
  <c r="H8" i="1" a="1"/>
  <c r="H8" i="1" s="1"/>
  <c r="F20" i="1" a="1"/>
  <c r="F20" i="1" s="1"/>
  <c r="F62" i="1" a="1"/>
  <c r="F62" i="1" s="1"/>
  <c r="F33" i="1" a="1"/>
  <c r="F33" i="1" s="1"/>
  <c r="F14" i="1" a="1"/>
  <c r="F14" i="1" s="1"/>
  <c r="F57" i="1" a="1"/>
  <c r="F57" i="1" s="1"/>
  <c r="F70" i="1" a="1"/>
  <c r="F70" i="1" s="1"/>
  <c r="F42" i="1" a="1"/>
  <c r="F42" i="1" s="1"/>
  <c r="F99" i="1" a="1"/>
  <c r="F99" i="1" s="1"/>
  <c r="F43" i="1" a="1"/>
  <c r="F43" i="1" s="1"/>
  <c r="J11" i="1" a="1"/>
  <c r="J11" i="1" s="1"/>
  <c r="F102" i="1" a="1"/>
  <c r="F102" i="1" s="1"/>
  <c r="F28" i="1" a="1"/>
  <c r="F28" i="1" s="1"/>
  <c r="F101" i="1" a="1"/>
  <c r="F101" i="1" s="1"/>
  <c r="Q91" i="1" a="1"/>
  <c r="Q91" i="1" s="1"/>
  <c r="Q39" i="1" a="1"/>
  <c r="Q39" i="1" s="1"/>
  <c r="Q47" i="1" a="1"/>
  <c r="Q47" i="1" s="1"/>
  <c r="Q102" i="1" a="1"/>
  <c r="Q102" i="1" s="1"/>
  <c r="P86" i="1" a="1"/>
  <c r="P86" i="1" s="1"/>
  <c r="Q105" i="1" a="1"/>
  <c r="Q105" i="1" s="1"/>
  <c r="Q85" i="1" a="1"/>
  <c r="Q85" i="1" s="1"/>
  <c r="Q82" i="1" a="1"/>
  <c r="Q82" i="1" s="1"/>
  <c r="F41" i="1" a="1"/>
  <c r="F41" i="1" s="1"/>
  <c r="F78" i="1" a="1"/>
  <c r="F78" i="1" s="1"/>
  <c r="F32" i="1" a="1"/>
  <c r="F32" i="1" s="1"/>
  <c r="F79" i="1" a="1"/>
  <c r="F79" i="1" s="1"/>
  <c r="F82" i="1" a="1"/>
  <c r="F82" i="1" s="1"/>
  <c r="F59" i="1" a="1"/>
  <c r="F59" i="1" s="1"/>
  <c r="F58" i="1" a="1"/>
  <c r="F58" i="1" s="1"/>
  <c r="F104" i="1" a="1"/>
  <c r="F104" i="1" s="1"/>
  <c r="F74" i="1" a="1"/>
  <c r="F74" i="1" s="1"/>
  <c r="J6" i="1" a="1"/>
  <c r="J6" i="1" s="1"/>
  <c r="F61" i="1" a="1"/>
  <c r="F61" i="1" s="1"/>
  <c r="F40" i="1" a="1"/>
  <c r="F40" i="1" s="1"/>
  <c r="F13" i="1" a="1"/>
  <c r="F13" i="1" s="1"/>
  <c r="F97" i="1" a="1"/>
  <c r="F97" i="1" s="1"/>
  <c r="F73" i="1" a="1"/>
  <c r="F73" i="1" s="1"/>
  <c r="D6" i="1" a="1"/>
  <c r="D6" i="1" s="1"/>
  <c r="Q83" i="1" a="1"/>
  <c r="Q83" i="1" s="1"/>
  <c r="Q97" i="1" a="1"/>
  <c r="Q97" i="1" s="1"/>
  <c r="Q89" i="1" a="1"/>
  <c r="Q89" i="1" s="1"/>
  <c r="I44" i="8"/>
  <c r="I84" i="8"/>
  <c r="I56" i="8"/>
  <c r="I58" i="8"/>
  <c r="I21" i="8"/>
  <c r="I4" i="8"/>
  <c r="I27" i="8"/>
  <c r="K27" i="4" s="1"/>
  <c r="I74" i="8"/>
  <c r="I22" i="8"/>
  <c r="I60" i="8"/>
  <c r="I90" i="8"/>
  <c r="I57" i="8"/>
  <c r="I97" i="8"/>
  <c r="I86" i="8"/>
  <c r="I12" i="8"/>
  <c r="K12" i="4" s="1"/>
  <c r="K75" i="1" s="1" a="1"/>
  <c r="K75" i="1" s="1"/>
  <c r="I72" i="8"/>
  <c r="I45" i="8"/>
  <c r="I33" i="8"/>
  <c r="K33" i="4" s="1"/>
  <c r="K48" i="1" s="1" a="1"/>
  <c r="K48" i="1" s="1"/>
  <c r="I54" i="8"/>
  <c r="I20" i="8"/>
  <c r="I18" i="8"/>
  <c r="K256" i="4"/>
  <c r="K255" i="4"/>
  <c r="K258" i="4"/>
  <c r="K253" i="4"/>
  <c r="K254" i="4"/>
  <c r="K257" i="4"/>
  <c r="K259" i="4"/>
  <c r="K260" i="4"/>
  <c r="I89" i="8"/>
  <c r="I73" i="8"/>
  <c r="I103" i="8"/>
  <c r="I100" i="8"/>
  <c r="I53" i="8"/>
  <c r="I7" i="8"/>
  <c r="I75" i="8"/>
  <c r="I79" i="8"/>
  <c r="I19" i="8"/>
  <c r="K19" i="4" s="1"/>
  <c r="I93" i="8"/>
  <c r="I61" i="8"/>
  <c r="I13" i="8"/>
  <c r="I83" i="8"/>
  <c r="I8" i="8"/>
  <c r="I23" i="8"/>
  <c r="I11" i="8"/>
  <c r="K11" i="4" s="1"/>
  <c r="K55" i="1" s="1" a="1"/>
  <c r="K55" i="1" s="1"/>
  <c r="I96" i="8"/>
  <c r="I91" i="8"/>
  <c r="I29" i="8"/>
  <c r="I25" i="8"/>
  <c r="K25" i="4" s="1"/>
  <c r="K45" i="1" s="1" a="1"/>
  <c r="K45" i="1" s="1"/>
  <c r="I31" i="8"/>
  <c r="I52" i="8"/>
  <c r="I39" i="8"/>
  <c r="K39" i="4" s="1"/>
  <c r="K69" i="1" s="1" a="1"/>
  <c r="K69" i="1" s="1"/>
  <c r="I34" i="8"/>
  <c r="I37" i="8"/>
  <c r="I65" i="8"/>
  <c r="I63" i="8"/>
  <c r="I66" i="8"/>
  <c r="I99" i="8"/>
  <c r="P2" i="4"/>
  <c r="L4" i="1" s="1" a="1"/>
  <c r="L4" i="1" s="1"/>
  <c r="I64" i="8"/>
  <c r="I98" i="8"/>
  <c r="I69" i="8"/>
  <c r="I15" i="8"/>
  <c r="I78" i="8"/>
  <c r="I10" i="8"/>
  <c r="K10" i="4" s="1"/>
  <c r="K76" i="1" s="1" a="1"/>
  <c r="K76" i="1" s="1"/>
  <c r="I16" i="8"/>
  <c r="I46" i="8"/>
  <c r="I26" i="8"/>
  <c r="I30" i="8"/>
  <c r="I95" i="8"/>
  <c r="I88" i="8"/>
  <c r="I70" i="8"/>
  <c r="I82" i="8"/>
  <c r="I9" i="8"/>
  <c r="I49" i="8"/>
  <c r="I71" i="8"/>
  <c r="I43" i="8"/>
  <c r="I77" i="8"/>
  <c r="I51" i="8"/>
  <c r="I35" i="8"/>
  <c r="I81" i="8"/>
  <c r="I55" i="8"/>
  <c r="I50" i="8"/>
  <c r="I38" i="8"/>
  <c r="I68" i="8"/>
  <c r="I6" i="8"/>
  <c r="I101" i="8"/>
  <c r="I59" i="8"/>
  <c r="I42" i="8"/>
  <c r="K42" i="4" s="1"/>
  <c r="I41" i="8"/>
  <c r="I76" i="8"/>
  <c r="I17" i="8"/>
  <c r="I24" i="8"/>
  <c r="I67" i="8"/>
  <c r="I3" i="8"/>
  <c r="I47" i="8"/>
  <c r="I92" i="8"/>
  <c r="I80" i="8"/>
  <c r="I40" i="8"/>
  <c r="K40" i="4" s="1"/>
  <c r="K53" i="1" s="1" a="1"/>
  <c r="K53" i="1" s="1"/>
  <c r="I28" i="8"/>
  <c r="I14" i="8"/>
  <c r="I62" i="8"/>
  <c r="I102" i="8"/>
  <c r="I5" i="8"/>
  <c r="I104" i="8"/>
  <c r="I94" i="8"/>
  <c r="I36" i="8"/>
  <c r="I85" i="8"/>
  <c r="I48" i="8"/>
  <c r="I32" i="8"/>
  <c r="K6" i="1" l="1" a="1"/>
  <c r="K6" i="1" s="1"/>
  <c r="K21" i="1" a="1"/>
  <c r="K21" i="1" s="1"/>
  <c r="K25" i="1" a="1"/>
  <c r="K25" i="1" s="1"/>
  <c r="K10" i="1" a="1"/>
  <c r="K10" i="1" s="1"/>
  <c r="A2" i="13" a="1"/>
  <c r="D17" i="13"/>
  <c r="E18" i="13"/>
  <c r="F19" i="13"/>
  <c r="B21" i="13"/>
  <c r="C22" i="13"/>
  <c r="D23" i="13"/>
  <c r="E24" i="13"/>
  <c r="F25" i="13"/>
  <c r="B27" i="13"/>
  <c r="C28" i="13"/>
  <c r="D29" i="13"/>
  <c r="E30" i="13"/>
  <c r="F31" i="13"/>
  <c r="B33" i="13"/>
  <c r="C34" i="13"/>
  <c r="D35" i="13"/>
  <c r="E36" i="13"/>
  <c r="F37" i="13"/>
  <c r="B39" i="13"/>
  <c r="C40" i="13"/>
  <c r="D41" i="13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E17" i="13"/>
  <c r="F18" i="13"/>
  <c r="B20" i="13"/>
  <c r="C21" i="13"/>
  <c r="D22" i="13"/>
  <c r="E23" i="13"/>
  <c r="F24" i="13"/>
  <c r="B26" i="13"/>
  <c r="C27" i="13"/>
  <c r="D28" i="13"/>
  <c r="E29" i="13"/>
  <c r="F30" i="13"/>
  <c r="B32" i="13"/>
  <c r="C33" i="13"/>
  <c r="D34" i="13"/>
  <c r="E35" i="13"/>
  <c r="F36" i="13"/>
  <c r="B38" i="13"/>
  <c r="C39" i="13"/>
  <c r="D40" i="13"/>
  <c r="E41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F17" i="13"/>
  <c r="B19" i="13"/>
  <c r="C20" i="13"/>
  <c r="D21" i="13"/>
  <c r="E22" i="13"/>
  <c r="F23" i="13"/>
  <c r="B25" i="13"/>
  <c r="C26" i="13"/>
  <c r="D27" i="13"/>
  <c r="E28" i="13"/>
  <c r="F29" i="13"/>
  <c r="B31" i="13"/>
  <c r="C32" i="13"/>
  <c r="D33" i="13"/>
  <c r="E34" i="13"/>
  <c r="F35" i="13"/>
  <c r="B37" i="13"/>
  <c r="C38" i="13"/>
  <c r="D39" i="13"/>
  <c r="E40" i="13"/>
  <c r="F41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18" i="13"/>
  <c r="C19" i="13"/>
  <c r="D20" i="13"/>
  <c r="E21" i="13"/>
  <c r="F22" i="13"/>
  <c r="B24" i="13"/>
  <c r="C25" i="13"/>
  <c r="D26" i="13"/>
  <c r="E27" i="13"/>
  <c r="F28" i="13"/>
  <c r="B30" i="13"/>
  <c r="C31" i="13"/>
  <c r="D32" i="13"/>
  <c r="E33" i="13"/>
  <c r="F34" i="13"/>
  <c r="B36" i="13"/>
  <c r="C37" i="13"/>
  <c r="D38" i="13"/>
  <c r="E39" i="13"/>
  <c r="F40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C18" i="13"/>
  <c r="F21" i="13"/>
  <c r="D25" i="13"/>
  <c r="B29" i="13"/>
  <c r="E32" i="13"/>
  <c r="C36" i="13"/>
  <c r="F39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D18" i="13"/>
  <c r="B22" i="13"/>
  <c r="E25" i="13"/>
  <c r="C29" i="13"/>
  <c r="F32" i="13"/>
  <c r="D36" i="13"/>
  <c r="B40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D19" i="13"/>
  <c r="B23" i="13"/>
  <c r="E26" i="13"/>
  <c r="C30" i="13"/>
  <c r="F33" i="13"/>
  <c r="D37" i="13"/>
  <c r="B41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E19" i="13"/>
  <c r="C23" i="13"/>
  <c r="F26" i="13"/>
  <c r="D30" i="13"/>
  <c r="B34" i="13"/>
  <c r="E37" i="13"/>
  <c r="C41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B17" i="13"/>
  <c r="E20" i="13"/>
  <c r="C24" i="13"/>
  <c r="F27" i="13"/>
  <c r="D31" i="13"/>
  <c r="B35" i="13"/>
  <c r="E38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C17" i="13"/>
  <c r="F20" i="13"/>
  <c r="D24" i="13"/>
  <c r="B28" i="13"/>
  <c r="E31" i="13"/>
  <c r="C35" i="13"/>
  <c r="F38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L33" i="1" a="1"/>
  <c r="L33" i="1" s="1"/>
  <c r="K29" i="4"/>
  <c r="K42" i="1" s="1" a="1"/>
  <c r="K42" i="1" s="1"/>
  <c r="K13" i="4"/>
  <c r="K50" i="1" s="1" a="1"/>
  <c r="K50" i="1" s="1"/>
  <c r="K20" i="4"/>
  <c r="K74" i="1" s="1" a="1"/>
  <c r="K74" i="1" s="1"/>
  <c r="K4" i="4"/>
  <c r="K8" i="1" s="1" a="1"/>
  <c r="K8" i="1" s="1"/>
  <c r="K23" i="4"/>
  <c r="K56" i="1" s="1" a="1"/>
  <c r="K56" i="1" s="1"/>
  <c r="K6" i="4"/>
  <c r="K7" i="1" s="1" a="1"/>
  <c r="K7" i="1" s="1"/>
  <c r="K7" i="4"/>
  <c r="K13" i="1" s="1" a="1"/>
  <c r="K13" i="1" s="1"/>
  <c r="K14" i="4"/>
  <c r="L57" i="1" a="1"/>
  <c r="L57" i="1" s="1"/>
  <c r="K34" i="4"/>
  <c r="K64" i="1" s="1" a="1"/>
  <c r="K64" i="1" s="1"/>
  <c r="K17" i="4"/>
  <c r="K73" i="1" s="1" a="1"/>
  <c r="K73" i="1" s="1"/>
  <c r="K36" i="4"/>
  <c r="K52" i="1" s="1" a="1"/>
  <c r="K52" i="1" s="1"/>
  <c r="K37" i="4"/>
  <c r="K65" i="1" s="1" a="1"/>
  <c r="K65" i="1" s="1"/>
  <c r="K8" i="4"/>
  <c r="K23" i="1" s="1" a="1"/>
  <c r="K23" i="1" s="1"/>
  <c r="K21" i="4"/>
  <c r="K28" i="4"/>
  <c r="K30" i="4"/>
  <c r="K63" i="1" s="1" a="1"/>
  <c r="K63" i="1" s="1"/>
  <c r="K31" i="4"/>
  <c r="K38" i="4"/>
  <c r="K12" i="1" s="1" a="1"/>
  <c r="K12" i="1" s="1"/>
  <c r="K15" i="4"/>
  <c r="K46" i="1" s="1" a="1"/>
  <c r="K46" i="1" s="1"/>
  <c r="K22" i="4"/>
  <c r="K61" i="1" s="1" a="1"/>
  <c r="K61" i="1" s="1"/>
  <c r="K41" i="4"/>
  <c r="K77" i="1" s="1" a="1"/>
  <c r="K77" i="1" s="1"/>
  <c r="K5" i="4"/>
  <c r="K16" i="1" s="1" a="1"/>
  <c r="K16" i="1" s="1"/>
  <c r="K24" i="4"/>
  <c r="K32" i="4"/>
  <c r="K71" i="1" s="1" a="1"/>
  <c r="K71" i="1" s="1"/>
  <c r="K9" i="4"/>
  <c r="K24" i="1" s="1" a="1"/>
  <c r="K24" i="1" s="1"/>
  <c r="K16" i="4"/>
  <c r="K80" i="1" s="1" a="1"/>
  <c r="K80" i="1" s="1"/>
  <c r="K35" i="4"/>
  <c r="K68" i="1" s="1" a="1"/>
  <c r="K68" i="1" s="1"/>
  <c r="K18" i="4"/>
  <c r="K26" i="4"/>
  <c r="K14" i="1" s="1" a="1"/>
  <c r="K14" i="1" s="1"/>
  <c r="K3" i="4"/>
  <c r="K9" i="1" a="1"/>
  <c r="K9" i="1" s="1"/>
  <c r="K3" i="1" a="1"/>
  <c r="K3" i="1" s="1"/>
  <c r="K11" i="1" a="1"/>
  <c r="K11" i="1" s="1"/>
  <c r="K2" i="1" a="1"/>
  <c r="K2" i="1" s="1"/>
  <c r="D2" i="8"/>
  <c r="G2" i="8" s="1"/>
  <c r="E2" i="8"/>
  <c r="H2" i="8" s="1"/>
  <c r="J70" i="12"/>
  <c r="J188" i="12"/>
  <c r="H94" i="12"/>
  <c r="J14" i="12"/>
  <c r="J235" i="12"/>
  <c r="J401" i="12"/>
  <c r="H226" i="12"/>
  <c r="K58" i="12"/>
  <c r="J125" i="12"/>
  <c r="H124" i="12"/>
  <c r="J18" i="12"/>
  <c r="J214" i="12"/>
  <c r="H185" i="12"/>
  <c r="H59" i="12"/>
  <c r="J71" i="12"/>
  <c r="H370" i="12"/>
  <c r="J43" i="12"/>
  <c r="J107" i="12"/>
  <c r="K125" i="12"/>
  <c r="H254" i="12"/>
  <c r="J434" i="12"/>
  <c r="H432" i="12"/>
  <c r="J237" i="12"/>
  <c r="J116" i="12"/>
  <c r="H411" i="12"/>
  <c r="K70" i="12"/>
  <c r="K64" i="12"/>
  <c r="H229" i="12"/>
  <c r="J105" i="12"/>
  <c r="J9" i="12"/>
  <c r="H123" i="12"/>
  <c r="K103" i="12"/>
  <c r="H201" i="12"/>
  <c r="J384" i="12"/>
  <c r="H194" i="12"/>
  <c r="H148" i="12"/>
  <c r="J403" i="12"/>
  <c r="K219" i="12"/>
  <c r="H315" i="12"/>
  <c r="J172" i="12"/>
  <c r="K104" i="12"/>
  <c r="J115" i="12"/>
  <c r="K21" i="12"/>
  <c r="K93" i="12"/>
  <c r="K55" i="12"/>
  <c r="J258" i="12"/>
  <c r="K185" i="12"/>
  <c r="H270" i="12"/>
  <c r="H241" i="12"/>
  <c r="H57" i="12"/>
  <c r="J310" i="12"/>
  <c r="K76" i="12"/>
  <c r="K156" i="12"/>
  <c r="J68" i="12"/>
  <c r="H67" i="12"/>
  <c r="H183" i="12"/>
  <c r="K24" i="12"/>
  <c r="J318" i="12"/>
  <c r="K150" i="12"/>
  <c r="J210" i="12"/>
  <c r="K190" i="12"/>
  <c r="K176" i="12"/>
  <c r="K22" i="12"/>
  <c r="J425" i="12"/>
  <c r="H298" i="12"/>
  <c r="H264" i="12"/>
  <c r="K135" i="12"/>
  <c r="H157" i="12"/>
  <c r="H348" i="12"/>
  <c r="J332" i="12"/>
  <c r="J142" i="12"/>
  <c r="H90" i="12"/>
  <c r="K223" i="12"/>
  <c r="J192" i="12"/>
  <c r="H364" i="12"/>
  <c r="K193" i="12"/>
  <c r="J40" i="12"/>
  <c r="K239" i="12"/>
  <c r="J159" i="12"/>
  <c r="J222" i="12"/>
  <c r="H233" i="12"/>
  <c r="K242" i="12"/>
  <c r="K117" i="12"/>
  <c r="H268" i="12"/>
  <c r="J207" i="12"/>
  <c r="J346" i="12"/>
  <c r="J431" i="12"/>
  <c r="H149" i="12"/>
  <c r="H60" i="12"/>
  <c r="K229" i="12"/>
  <c r="H31" i="12"/>
  <c r="H70" i="12"/>
  <c r="K251" i="12"/>
  <c r="H384" i="12"/>
  <c r="H75" i="12"/>
  <c r="H413" i="12"/>
  <c r="J6" i="12"/>
  <c r="H408" i="12"/>
  <c r="H426" i="12"/>
  <c r="J394" i="12"/>
  <c r="H352" i="12"/>
  <c r="H353" i="12"/>
  <c r="H100" i="12"/>
  <c r="K172" i="12"/>
  <c r="H209" i="12"/>
  <c r="J25" i="12"/>
  <c r="J102" i="12"/>
  <c r="H317" i="12"/>
  <c r="J361" i="12"/>
  <c r="H164" i="12"/>
  <c r="H425" i="12"/>
  <c r="H403" i="12"/>
  <c r="H93" i="12"/>
  <c r="J267" i="12"/>
  <c r="K129" i="12"/>
  <c r="K44" i="12"/>
  <c r="J49" i="12"/>
  <c r="H112" i="12"/>
  <c r="J227" i="12"/>
  <c r="J136" i="12"/>
  <c r="K54" i="12"/>
  <c r="J313" i="12"/>
  <c r="J83" i="12"/>
  <c r="H234" i="12"/>
  <c r="J35" i="12"/>
  <c r="J22" i="12"/>
  <c r="K119" i="12"/>
  <c r="K146" i="12"/>
  <c r="J146" i="12"/>
  <c r="J264" i="12"/>
  <c r="J362" i="12"/>
  <c r="J397" i="12"/>
  <c r="K186" i="12"/>
  <c r="K166" i="12"/>
  <c r="J215" i="12"/>
  <c r="K77" i="12"/>
  <c r="J443" i="12"/>
  <c r="J364" i="12"/>
  <c r="J223" i="12"/>
  <c r="J411" i="12"/>
  <c r="H62" i="12"/>
  <c r="J348" i="12"/>
  <c r="K152" i="12"/>
  <c r="H95" i="12"/>
  <c r="J352" i="12"/>
  <c r="J206" i="12"/>
  <c r="J356" i="12"/>
  <c r="K199" i="12"/>
  <c r="H20" i="12"/>
  <c r="J337" i="12"/>
  <c r="H141" i="12"/>
  <c r="J183" i="12"/>
  <c r="J252" i="12"/>
  <c r="J45" i="12"/>
  <c r="H325" i="12"/>
  <c r="H391" i="12"/>
  <c r="H383" i="12"/>
  <c r="H228" i="12"/>
  <c r="J198" i="12"/>
  <c r="H47" i="12"/>
  <c r="K217" i="12"/>
  <c r="H392" i="12"/>
  <c r="J360" i="12"/>
  <c r="H200" i="12"/>
  <c r="H388" i="12"/>
  <c r="H65" i="12"/>
  <c r="H119" i="12"/>
  <c r="K132" i="12"/>
  <c r="J389" i="12"/>
  <c r="J212" i="12"/>
  <c r="J47" i="12"/>
  <c r="J171" i="12"/>
  <c r="J108" i="12"/>
  <c r="J341" i="12"/>
  <c r="J357" i="12"/>
  <c r="J242" i="12"/>
  <c r="J20" i="12"/>
  <c r="J44" i="12"/>
  <c r="J285" i="12"/>
  <c r="H376" i="12"/>
  <c r="J418" i="12"/>
  <c r="H28" i="12"/>
  <c r="H219" i="12"/>
  <c r="K3" i="12"/>
  <c r="K38" i="12"/>
  <c r="K153" i="12"/>
  <c r="K33" i="12"/>
  <c r="H350" i="12"/>
  <c r="H344" i="12"/>
  <c r="H373" i="12"/>
  <c r="J205" i="12"/>
  <c r="J79" i="12"/>
  <c r="H399" i="12"/>
  <c r="H246" i="12"/>
  <c r="K154" i="12"/>
  <c r="J106" i="12"/>
  <c r="H372" i="12"/>
  <c r="J95" i="12"/>
  <c r="J15" i="12"/>
  <c r="J383" i="12"/>
  <c r="K8" i="12"/>
  <c r="K241" i="12"/>
  <c r="H263" i="12"/>
  <c r="H336" i="12"/>
  <c r="K180" i="12"/>
  <c r="H174" i="12"/>
  <c r="J308" i="12"/>
  <c r="H307" i="12"/>
  <c r="J367" i="12"/>
  <c r="H387" i="12"/>
  <c r="H189" i="12"/>
  <c r="K39" i="12"/>
  <c r="J147" i="12"/>
  <c r="K123" i="12"/>
  <c r="J99" i="12"/>
  <c r="H378" i="12"/>
  <c r="J430" i="12"/>
  <c r="H276" i="12"/>
  <c r="J302" i="12"/>
  <c r="J446" i="12"/>
  <c r="J173" i="12"/>
  <c r="H23" i="12"/>
  <c r="J414" i="12"/>
  <c r="H53" i="12"/>
  <c r="J232" i="12"/>
  <c r="J417" i="12"/>
  <c r="K12" i="12"/>
  <c r="J177" i="12"/>
  <c r="J276" i="12"/>
  <c r="J327" i="12"/>
  <c r="H340" i="12"/>
  <c r="H419" i="12"/>
  <c r="H56" i="12"/>
  <c r="J112" i="12"/>
  <c r="K249" i="12"/>
  <c r="J175" i="12"/>
  <c r="J338" i="12"/>
  <c r="H360" i="12"/>
  <c r="H244" i="12"/>
  <c r="H400" i="12"/>
  <c r="H76" i="12"/>
  <c r="H368" i="12"/>
  <c r="J149" i="12"/>
  <c r="K102" i="12"/>
  <c r="H197" i="12"/>
  <c r="H72" i="12"/>
  <c r="H272" i="12"/>
  <c r="H375" i="12"/>
  <c r="K192" i="12"/>
  <c r="H261" i="12"/>
  <c r="H111" i="12"/>
  <c r="K178" i="12"/>
  <c r="J312" i="12"/>
  <c r="H359" i="12"/>
  <c r="H196" i="12"/>
  <c r="H117" i="12"/>
  <c r="H203" i="12"/>
  <c r="J16" i="12"/>
  <c r="J178" i="12"/>
  <c r="J415" i="12"/>
  <c r="J261" i="12"/>
  <c r="K81" i="12"/>
  <c r="K90" i="12"/>
  <c r="K23" i="12"/>
  <c r="H16" i="12"/>
  <c r="H417" i="12"/>
  <c r="J441" i="12"/>
  <c r="H187" i="12"/>
  <c r="J121" i="12"/>
  <c r="J67" i="12"/>
  <c r="H313" i="12"/>
  <c r="J321" i="12"/>
  <c r="H52" i="12"/>
  <c r="K74" i="12"/>
  <c r="J265" i="12"/>
  <c r="K128" i="12"/>
  <c r="H210" i="12"/>
  <c r="H24" i="12"/>
  <c r="J165" i="12"/>
  <c r="K4" i="12"/>
  <c r="J12" i="12"/>
  <c r="J249" i="12"/>
  <c r="H248" i="12"/>
  <c r="J32" i="12"/>
  <c r="J160" i="12"/>
  <c r="H355" i="12"/>
  <c r="H137" i="12"/>
  <c r="H365" i="12"/>
  <c r="H135" i="12"/>
  <c r="J41" i="12"/>
  <c r="K113" i="12"/>
  <c r="J377" i="12"/>
  <c r="K80" i="12"/>
  <c r="K15" i="12"/>
  <c r="J433" i="12"/>
  <c r="K20" i="12"/>
  <c r="J131" i="12"/>
  <c r="K126" i="12"/>
  <c r="H206" i="12"/>
  <c r="J97" i="12"/>
  <c r="J366" i="12"/>
  <c r="H247" i="12"/>
  <c r="H2" i="12"/>
  <c r="J179" i="12"/>
  <c r="K88" i="12"/>
  <c r="H152" i="12"/>
  <c r="J224" i="12"/>
  <c r="J28" i="12"/>
  <c r="H271" i="12"/>
  <c r="K208" i="12"/>
  <c r="H73" i="12"/>
  <c r="H225" i="12"/>
  <c r="J400" i="12"/>
  <c r="K158" i="12"/>
  <c r="K194" i="12"/>
  <c r="J317" i="12"/>
  <c r="J244" i="12"/>
  <c r="K69" i="12"/>
  <c r="J334" i="12"/>
  <c r="J202" i="12"/>
  <c r="J63" i="12"/>
  <c r="H230" i="12"/>
  <c r="J132" i="12"/>
  <c r="K66" i="12"/>
  <c r="H389" i="12"/>
  <c r="J374" i="12"/>
  <c r="H118" i="12"/>
  <c r="J280" i="12"/>
  <c r="J429" i="12"/>
  <c r="J117" i="12"/>
  <c r="J323" i="12"/>
  <c r="H433" i="12"/>
  <c r="H301" i="12"/>
  <c r="H204" i="12"/>
  <c r="J300" i="12"/>
  <c r="H334" i="12"/>
  <c r="K122" i="12"/>
  <c r="J363" i="12"/>
  <c r="H211" i="12"/>
  <c r="J371" i="12"/>
  <c r="J266" i="12"/>
  <c r="H435" i="12"/>
  <c r="H422" i="12"/>
  <c r="J398" i="12"/>
  <c r="H173" i="12"/>
  <c r="K116" i="12"/>
  <c r="J143" i="12"/>
  <c r="J30" i="12"/>
  <c r="J303" i="12"/>
  <c r="H121" i="12"/>
  <c r="K11" i="12"/>
  <c r="H382" i="12"/>
  <c r="J262" i="12"/>
  <c r="H253" i="12"/>
  <c r="K177" i="12"/>
  <c r="J241" i="12"/>
  <c r="K78" i="12"/>
  <c r="J380" i="12"/>
  <c r="H386" i="12"/>
  <c r="J36" i="12"/>
  <c r="K105" i="12"/>
  <c r="K10" i="12"/>
  <c r="H163" i="12"/>
  <c r="J270" i="12"/>
  <c r="H186" i="12"/>
  <c r="J38" i="12"/>
  <c r="H357" i="12"/>
  <c r="J42" i="12"/>
  <c r="H278" i="12"/>
  <c r="K138" i="12"/>
  <c r="H48" i="12"/>
  <c r="H198" i="12"/>
  <c r="K94" i="12"/>
  <c r="K6" i="12"/>
  <c r="H88" i="12"/>
  <c r="H415" i="12"/>
  <c r="H235" i="12"/>
  <c r="J62" i="12"/>
  <c r="H212" i="12"/>
  <c r="H346" i="12"/>
  <c r="J225" i="12"/>
  <c r="J101" i="12"/>
  <c r="H331" i="12"/>
  <c r="J349" i="12"/>
  <c r="K187" i="12"/>
  <c r="J139" i="12"/>
  <c r="K41" i="12"/>
  <c r="H324" i="12"/>
  <c r="J77" i="12"/>
  <c r="J216" i="12"/>
  <c r="K82" i="12"/>
  <c r="J84" i="12"/>
  <c r="K60" i="12"/>
  <c r="J376" i="12"/>
  <c r="K148" i="12"/>
  <c r="J351" i="12"/>
  <c r="J59" i="12"/>
  <c r="H105" i="12"/>
  <c r="J282" i="12"/>
  <c r="H431" i="12"/>
  <c r="H320" i="12"/>
  <c r="J283" i="12"/>
  <c r="J340" i="12"/>
  <c r="H398" i="12"/>
  <c r="J385" i="12"/>
  <c r="H162" i="12"/>
  <c r="H249" i="12"/>
  <c r="J228" i="12"/>
  <c r="J72" i="12"/>
  <c r="H311" i="12"/>
  <c r="H416" i="12"/>
  <c r="J10" i="12"/>
  <c r="J233" i="12"/>
  <c r="J193" i="12"/>
  <c r="J208" i="12"/>
  <c r="H295" i="12"/>
  <c r="H71" i="12"/>
  <c r="K29" i="12"/>
  <c r="K100" i="12"/>
  <c r="J89" i="12"/>
  <c r="H120" i="12"/>
  <c r="H231" i="12"/>
  <c r="J3" i="12"/>
  <c r="H102" i="12"/>
  <c r="K245" i="12"/>
  <c r="J154" i="12"/>
  <c r="H158" i="12"/>
  <c r="H371" i="12"/>
  <c r="H64" i="12"/>
  <c r="H126" i="12"/>
  <c r="H256" i="12"/>
  <c r="J196" i="12"/>
  <c r="H169" i="12"/>
  <c r="J55" i="12"/>
  <c r="K83" i="12"/>
  <c r="J185" i="12"/>
  <c r="K72" i="12"/>
  <c r="H255" i="12"/>
  <c r="J275" i="12"/>
  <c r="H309" i="12"/>
  <c r="J375" i="12"/>
  <c r="H402" i="12"/>
  <c r="H242" i="12"/>
  <c r="J413" i="12"/>
  <c r="H35" i="12"/>
  <c r="H131" i="12"/>
  <c r="H61" i="12"/>
  <c r="J134" i="12"/>
  <c r="J217" i="12"/>
  <c r="H274" i="12"/>
  <c r="H223" i="12"/>
  <c r="H322" i="12"/>
  <c r="J402" i="12"/>
  <c r="H281" i="12"/>
  <c r="H133" i="12"/>
  <c r="J328" i="12"/>
  <c r="J333" i="12"/>
  <c r="K48" i="12"/>
  <c r="J350" i="12"/>
  <c r="J445" i="12"/>
  <c r="J255" i="12"/>
  <c r="K207" i="12"/>
  <c r="H319" i="12"/>
  <c r="H326" i="12"/>
  <c r="H356" i="12"/>
  <c r="K92" i="12"/>
  <c r="H191" i="12"/>
  <c r="H305" i="12"/>
  <c r="J322" i="12"/>
  <c r="J256" i="12"/>
  <c r="H109" i="12"/>
  <c r="H394" i="12"/>
  <c r="H9" i="12"/>
  <c r="H184" i="12"/>
  <c r="H318" i="12"/>
  <c r="J8" i="12"/>
  <c r="K165" i="12"/>
  <c r="K147" i="12"/>
  <c r="H308" i="12"/>
  <c r="J161" i="12"/>
  <c r="H409" i="12"/>
  <c r="H4" i="12"/>
  <c r="H393" i="12"/>
  <c r="K145" i="12"/>
  <c r="J305" i="12"/>
  <c r="K195" i="12"/>
  <c r="H273" i="12"/>
  <c r="H345" i="12"/>
  <c r="K115" i="12"/>
  <c r="J396" i="12"/>
  <c r="J96" i="12"/>
  <c r="H91" i="12"/>
  <c r="H89" i="12"/>
  <c r="J420" i="12"/>
  <c r="H292" i="12"/>
  <c r="J197" i="12"/>
  <c r="J325" i="12"/>
  <c r="H347" i="12"/>
  <c r="H113" i="12"/>
  <c r="K204" i="12"/>
  <c r="J145" i="12"/>
  <c r="K235" i="12"/>
  <c r="K28" i="12"/>
  <c r="K47" i="12"/>
  <c r="H280" i="12"/>
  <c r="H312" i="12"/>
  <c r="H160" i="12"/>
  <c r="K45" i="12"/>
  <c r="H434" i="12"/>
  <c r="H332" i="12"/>
  <c r="J170" i="12"/>
  <c r="H239" i="12"/>
  <c r="K111" i="12"/>
  <c r="J247" i="12"/>
  <c r="K171" i="12"/>
  <c r="H19" i="12"/>
  <c r="J123" i="12"/>
  <c r="K57" i="12"/>
  <c r="H107" i="12"/>
  <c r="H342" i="12"/>
  <c r="J435" i="12"/>
  <c r="J271" i="12"/>
  <c r="H22" i="12"/>
  <c r="J281" i="12"/>
  <c r="J295" i="12"/>
  <c r="H236" i="12"/>
  <c r="J194" i="12"/>
  <c r="K155" i="12"/>
  <c r="K203" i="12"/>
  <c r="K202" i="12"/>
  <c r="J293" i="12"/>
  <c r="J253" i="12"/>
  <c r="H192" i="12"/>
  <c r="K151" i="12"/>
  <c r="J114" i="12"/>
  <c r="J87" i="12"/>
  <c r="J86" i="12"/>
  <c r="H428" i="12"/>
  <c r="H215" i="12"/>
  <c r="K110" i="12"/>
  <c r="J329" i="12"/>
  <c r="J82" i="12"/>
  <c r="H55" i="12"/>
  <c r="J294" i="12"/>
  <c r="J204" i="12"/>
  <c r="J292" i="12"/>
  <c r="J331" i="12"/>
  <c r="H151" i="12"/>
  <c r="K236" i="12"/>
  <c r="K130" i="12"/>
  <c r="H106" i="12"/>
  <c r="H412" i="12"/>
  <c r="J33" i="12"/>
  <c r="H32" i="12"/>
  <c r="J113" i="12"/>
  <c r="K17" i="12"/>
  <c r="H297" i="12"/>
  <c r="H26" i="12"/>
  <c r="J124" i="12"/>
  <c r="K196" i="12"/>
  <c r="J220" i="12"/>
  <c r="H138" i="12"/>
  <c r="H46" i="12"/>
  <c r="J94" i="12"/>
  <c r="H30" i="12"/>
  <c r="J51" i="12"/>
  <c r="J421" i="12"/>
  <c r="K35" i="12"/>
  <c r="J422" i="12"/>
  <c r="J191" i="12"/>
  <c r="K43" i="12"/>
  <c r="J269" i="12"/>
  <c r="J23" i="12"/>
  <c r="H260" i="12"/>
  <c r="H237" i="12"/>
  <c r="K225" i="12"/>
  <c r="H58" i="12"/>
  <c r="J250" i="12"/>
  <c r="J373" i="12"/>
  <c r="H414" i="12"/>
  <c r="H49" i="12"/>
  <c r="H339" i="12"/>
  <c r="K161" i="12"/>
  <c r="J5" i="12"/>
  <c r="H250" i="12"/>
  <c r="H361" i="12"/>
  <c r="J90" i="12"/>
  <c r="J405" i="12"/>
  <c r="J174" i="12"/>
  <c r="H14" i="12"/>
  <c r="K25" i="12"/>
  <c r="J298" i="12"/>
  <c r="H354" i="12"/>
  <c r="J330" i="12"/>
  <c r="J369" i="12"/>
  <c r="J98" i="12"/>
  <c r="H266" i="12"/>
  <c r="J390" i="12"/>
  <c r="J50" i="12"/>
  <c r="H180" i="12"/>
  <c r="J354" i="12"/>
  <c r="J440" i="12"/>
  <c r="J246" i="12"/>
  <c r="H97" i="12"/>
  <c r="H80" i="12"/>
  <c r="H116" i="12"/>
  <c r="K114" i="12"/>
  <c r="J91" i="12"/>
  <c r="H380" i="12"/>
  <c r="J290" i="12"/>
  <c r="J365" i="12"/>
  <c r="H101" i="12"/>
  <c r="K5" i="12"/>
  <c r="H10" i="12"/>
  <c r="J190" i="12"/>
  <c r="H427" i="12"/>
  <c r="J169" i="12"/>
  <c r="H406" i="12"/>
  <c r="J272" i="12"/>
  <c r="J203" i="12"/>
  <c r="H395" i="12"/>
  <c r="J393" i="12"/>
  <c r="H190" i="12"/>
  <c r="K226" i="12"/>
  <c r="K173" i="12"/>
  <c r="K9" i="12"/>
  <c r="H92" i="12"/>
  <c r="H328" i="12"/>
  <c r="H224" i="12"/>
  <c r="J219" i="12"/>
  <c r="H99" i="12"/>
  <c r="K210" i="12"/>
  <c r="J432" i="12"/>
  <c r="J309" i="12"/>
  <c r="H168" i="12"/>
  <c r="J155" i="12"/>
  <c r="H310" i="12"/>
  <c r="K27" i="12"/>
  <c r="J100" i="12"/>
  <c r="K32" i="12"/>
  <c r="J26" i="12"/>
  <c r="J279" i="12"/>
  <c r="H222" i="12"/>
  <c r="H401" i="12"/>
  <c r="H155" i="12"/>
  <c r="H11" i="12"/>
  <c r="H166" i="12"/>
  <c r="H5" i="12"/>
  <c r="J152" i="12"/>
  <c r="H277" i="12"/>
  <c r="J201" i="12"/>
  <c r="J372" i="12"/>
  <c r="H143" i="12"/>
  <c r="H130" i="12"/>
  <c r="J7" i="12"/>
  <c r="J226" i="12"/>
  <c r="H74" i="12"/>
  <c r="H136" i="12"/>
  <c r="H381" i="12"/>
  <c r="H161" i="12"/>
  <c r="J211" i="12"/>
  <c r="J358" i="12"/>
  <c r="H245" i="12"/>
  <c r="J162" i="12"/>
  <c r="H259" i="12"/>
  <c r="H390" i="12"/>
  <c r="H358" i="12"/>
  <c r="J189" i="12"/>
  <c r="J248" i="12"/>
  <c r="K179" i="12"/>
  <c r="J320" i="12"/>
  <c r="H289" i="12"/>
  <c r="K168" i="12"/>
  <c r="H288" i="12"/>
  <c r="K244" i="12"/>
  <c r="H17" i="12"/>
  <c r="J37" i="12"/>
  <c r="J88" i="12"/>
  <c r="K42" i="12"/>
  <c r="J254" i="12"/>
  <c r="H303" i="12"/>
  <c r="H404" i="12"/>
  <c r="J130" i="12"/>
  <c r="K228" i="12"/>
  <c r="H220" i="12"/>
  <c r="J182" i="12"/>
  <c r="J109" i="12"/>
  <c r="H176" i="12"/>
  <c r="H43" i="12"/>
  <c r="J399" i="12"/>
  <c r="H154" i="12"/>
  <c r="H142" i="12"/>
  <c r="H385" i="12"/>
  <c r="J343" i="12"/>
  <c r="J166" i="12"/>
  <c r="J218" i="12"/>
  <c r="H407" i="12"/>
  <c r="H171" i="12"/>
  <c r="K118" i="12"/>
  <c r="K18" i="12"/>
  <c r="H82" i="12"/>
  <c r="K51" i="12"/>
  <c r="H202" i="12"/>
  <c r="J75" i="12"/>
  <c r="J73" i="12"/>
  <c r="J153" i="12"/>
  <c r="J355" i="12"/>
  <c r="K108" i="12"/>
  <c r="H341" i="12"/>
  <c r="K234" i="12"/>
  <c r="H81" i="12"/>
  <c r="H338" i="12"/>
  <c r="H29" i="12"/>
  <c r="J234" i="12"/>
  <c r="J286" i="12"/>
  <c r="J176" i="12"/>
  <c r="J76" i="12"/>
  <c r="J245" i="12"/>
  <c r="H34" i="12"/>
  <c r="K40" i="12"/>
  <c r="H285" i="12"/>
  <c r="K97" i="12"/>
  <c r="H349" i="12"/>
  <c r="K71" i="12"/>
  <c r="J273" i="12"/>
  <c r="J370" i="12"/>
  <c r="H3" i="12"/>
  <c r="J311" i="12"/>
  <c r="H33" i="12"/>
  <c r="H178" i="12"/>
  <c r="J209" i="12"/>
  <c r="K62" i="12"/>
  <c r="K68" i="12"/>
  <c r="J231" i="12"/>
  <c r="J347" i="12"/>
  <c r="H50" i="12"/>
  <c r="K238" i="12"/>
  <c r="H377" i="12"/>
  <c r="K139" i="12"/>
  <c r="K133" i="12"/>
  <c r="H240" i="12"/>
  <c r="H290" i="12"/>
  <c r="H12" i="12"/>
  <c r="H38" i="12"/>
  <c r="J187" i="12"/>
  <c r="H269" i="12"/>
  <c r="H323" i="12"/>
  <c r="K230" i="12"/>
  <c r="K170" i="12"/>
  <c r="H140" i="12"/>
  <c r="J315" i="12"/>
  <c r="H127" i="12"/>
  <c r="J29" i="12"/>
  <c r="K149" i="12"/>
  <c r="H128" i="12"/>
  <c r="H306" i="12"/>
  <c r="H314" i="12"/>
  <c r="J81" i="12"/>
  <c r="K252" i="12"/>
  <c r="K7" i="12"/>
  <c r="H216" i="12"/>
  <c r="K233" i="12"/>
  <c r="J31" i="12"/>
  <c r="H175" i="12"/>
  <c r="H257" i="12"/>
  <c r="H172" i="12"/>
  <c r="J236" i="12"/>
  <c r="K160" i="12"/>
  <c r="J381" i="12"/>
  <c r="H221" i="12"/>
  <c r="J368" i="12"/>
  <c r="K67" i="12"/>
  <c r="K53" i="12"/>
  <c r="H40" i="12"/>
  <c r="J342" i="12"/>
  <c r="H78" i="12"/>
  <c r="H114" i="12"/>
  <c r="K224" i="12"/>
  <c r="J344" i="12"/>
  <c r="H146" i="12"/>
  <c r="J387" i="12"/>
  <c r="K209" i="12"/>
  <c r="J335" i="12"/>
  <c r="J164" i="12"/>
  <c r="H396" i="12"/>
  <c r="H304" i="12"/>
  <c r="H430" i="12"/>
  <c r="H13" i="12"/>
  <c r="J163" i="12"/>
  <c r="J2" i="12"/>
  <c r="H374" i="12"/>
  <c r="H125" i="12"/>
  <c r="H132" i="12"/>
  <c r="J296" i="12"/>
  <c r="H293" i="12"/>
  <c r="K49" i="12"/>
  <c r="H296" i="12"/>
  <c r="H294" i="12"/>
  <c r="J137" i="12"/>
  <c r="J438" i="12"/>
  <c r="J64" i="12"/>
  <c r="J444" i="12"/>
  <c r="J416" i="12"/>
  <c r="J240" i="12"/>
  <c r="J168" i="12"/>
  <c r="K191" i="12"/>
  <c r="J304" i="12"/>
  <c r="K75" i="12"/>
  <c r="K201" i="12"/>
  <c r="J238" i="12"/>
  <c r="K205" i="12"/>
  <c r="J442" i="12"/>
  <c r="J289" i="12"/>
  <c r="H167" i="12"/>
  <c r="J13" i="12"/>
  <c r="J186" i="12"/>
  <c r="J229" i="12"/>
  <c r="J184" i="12"/>
  <c r="H42" i="12"/>
  <c r="K61" i="12"/>
  <c r="J419" i="12"/>
  <c r="H214" i="12"/>
  <c r="J140" i="12"/>
  <c r="H7" i="12"/>
  <c r="H147" i="12"/>
  <c r="H177" i="12"/>
  <c r="H86" i="12"/>
  <c r="K142" i="12"/>
  <c r="J167" i="12"/>
  <c r="H156" i="12"/>
  <c r="K37" i="12"/>
  <c r="H84" i="12"/>
  <c r="H181" i="12"/>
  <c r="K56" i="12"/>
  <c r="H21" i="12"/>
  <c r="J21" i="12"/>
  <c r="H252" i="12"/>
  <c r="J391" i="12"/>
  <c r="H83" i="12"/>
  <c r="H302" i="12"/>
  <c r="K16" i="12"/>
  <c r="J407" i="12"/>
  <c r="J382" i="12"/>
  <c r="H139" i="12"/>
  <c r="K198" i="12"/>
  <c r="H333" i="12"/>
  <c r="H129" i="12"/>
  <c r="J57" i="12"/>
  <c r="H424" i="12"/>
  <c r="K162" i="12"/>
  <c r="J288" i="12"/>
  <c r="J339" i="12"/>
  <c r="H421" i="12"/>
  <c r="H63" i="12"/>
  <c r="K52" i="12"/>
  <c r="J128" i="12"/>
  <c r="K143" i="12"/>
  <c r="J48" i="12"/>
  <c r="H85" i="12"/>
  <c r="K175" i="12"/>
  <c r="H122" i="12"/>
  <c r="H145" i="12"/>
  <c r="K197" i="12"/>
  <c r="K222" i="12"/>
  <c r="H77" i="12"/>
  <c r="H265" i="12"/>
  <c r="J424" i="12"/>
  <c r="J39" i="12"/>
  <c r="K227" i="12"/>
  <c r="J199" i="12"/>
  <c r="K84" i="12"/>
  <c r="K79" i="12"/>
  <c r="J78" i="12"/>
  <c r="J53" i="12"/>
  <c r="H150" i="12"/>
  <c r="H258" i="12"/>
  <c r="J60" i="12"/>
  <c r="H193" i="12"/>
  <c r="J437" i="12"/>
  <c r="J263" i="12"/>
  <c r="J56" i="12"/>
  <c r="H363" i="12"/>
  <c r="J326" i="12"/>
  <c r="J319" i="12"/>
  <c r="H170" i="12"/>
  <c r="H199" i="12"/>
  <c r="K2" i="12"/>
  <c r="J291" i="12"/>
  <c r="K19" i="12"/>
  <c r="H335" i="12"/>
  <c r="H37" i="12"/>
  <c r="H108" i="12"/>
  <c r="J52" i="12"/>
  <c r="J141" i="12"/>
  <c r="H299" i="12"/>
  <c r="J158" i="12"/>
  <c r="H213" i="12"/>
  <c r="J359" i="12"/>
  <c r="K189" i="12"/>
  <c r="H153" i="12"/>
  <c r="K221" i="12"/>
  <c r="K30" i="12"/>
  <c r="K231" i="12"/>
  <c r="K248" i="12"/>
  <c r="H104" i="12"/>
  <c r="K85" i="12"/>
  <c r="H227" i="12"/>
  <c r="J74" i="12"/>
  <c r="H251" i="12"/>
  <c r="H286" i="12"/>
  <c r="K124" i="12"/>
  <c r="K215" i="12"/>
  <c r="J277" i="12"/>
  <c r="J439" i="12"/>
  <c r="J307" i="12"/>
  <c r="H351" i="12"/>
  <c r="K182" i="12"/>
  <c r="J213" i="12"/>
  <c r="K73" i="12"/>
  <c r="K50" i="12"/>
  <c r="H36" i="12"/>
  <c r="K36" i="12"/>
  <c r="K34" i="12"/>
  <c r="H208" i="12"/>
  <c r="H6" i="12"/>
  <c r="H343" i="12"/>
  <c r="K59" i="12"/>
  <c r="J378" i="12"/>
  <c r="H405" i="12"/>
  <c r="H327" i="12"/>
  <c r="J336" i="12"/>
  <c r="K157" i="12"/>
  <c r="H96" i="12"/>
  <c r="H367" i="12"/>
  <c r="H291" i="12"/>
  <c r="H18" i="12"/>
  <c r="K101" i="12"/>
  <c r="J259" i="12"/>
  <c r="J314" i="12"/>
  <c r="K141" i="12"/>
  <c r="J395" i="12"/>
  <c r="K212" i="12"/>
  <c r="H321" i="12"/>
  <c r="J406" i="12"/>
  <c r="J180" i="12"/>
  <c r="J93" i="12"/>
  <c r="K120" i="12"/>
  <c r="J274" i="12"/>
  <c r="K159" i="12"/>
  <c r="K112" i="12"/>
  <c r="J408" i="12"/>
  <c r="K96" i="12"/>
  <c r="H205" i="12"/>
  <c r="J379" i="12"/>
  <c r="J34" i="12"/>
  <c r="J324" i="12"/>
  <c r="K134" i="12"/>
  <c r="J133" i="12"/>
  <c r="K91" i="12"/>
  <c r="K13" i="12"/>
  <c r="J404" i="12"/>
  <c r="J386" i="12"/>
  <c r="J144" i="12"/>
  <c r="J297" i="12"/>
  <c r="J268" i="12"/>
  <c r="J61" i="12"/>
  <c r="H287" i="12"/>
  <c r="J200" i="12"/>
  <c r="J120" i="12"/>
  <c r="K164" i="12"/>
  <c r="J306" i="12"/>
  <c r="K184" i="12"/>
  <c r="H279" i="12"/>
  <c r="H98" i="12"/>
  <c r="H282" i="12"/>
  <c r="J58" i="12"/>
  <c r="J239" i="12"/>
  <c r="J69" i="12"/>
  <c r="H243" i="12"/>
  <c r="K200" i="12"/>
  <c r="J65" i="12"/>
  <c r="K246" i="12"/>
  <c r="J92" i="12"/>
  <c r="K140" i="12"/>
  <c r="J257" i="12"/>
  <c r="H330" i="12"/>
  <c r="K87" i="12"/>
  <c r="K65" i="12"/>
  <c r="H144" i="12"/>
  <c r="H316" i="12"/>
  <c r="H41" i="12"/>
  <c r="H159" i="12"/>
  <c r="H283" i="12"/>
  <c r="J46" i="12"/>
  <c r="J66" i="12"/>
  <c r="H366" i="12"/>
  <c r="J427" i="12"/>
  <c r="J428" i="12"/>
  <c r="K14" i="12"/>
  <c r="J151" i="12"/>
  <c r="H44" i="12"/>
  <c r="J287" i="12"/>
  <c r="H218" i="12"/>
  <c r="H165" i="12"/>
  <c r="H8" i="12"/>
  <c r="J4" i="12"/>
  <c r="J24" i="12"/>
  <c r="J181" i="12"/>
  <c r="K174" i="12"/>
  <c r="H300" i="12"/>
  <c r="J345" i="12"/>
  <c r="J409" i="12"/>
  <c r="H87" i="12"/>
  <c r="K218" i="12"/>
  <c r="K232" i="12"/>
  <c r="J148" i="12"/>
  <c r="H337" i="12"/>
  <c r="J85" i="12"/>
  <c r="K136" i="12"/>
  <c r="H68" i="12"/>
  <c r="H436" i="12"/>
  <c r="H267" i="12"/>
  <c r="J104" i="12"/>
  <c r="H115" i="12"/>
  <c r="J27" i="12"/>
  <c r="H232" i="12"/>
  <c r="K144" i="12"/>
  <c r="K106" i="12"/>
  <c r="H207" i="12"/>
  <c r="J388" i="12"/>
  <c r="K95" i="12"/>
  <c r="K206" i="12"/>
  <c r="K89" i="12"/>
  <c r="H284" i="12"/>
  <c r="K220" i="12"/>
  <c r="J157" i="12"/>
  <c r="K211" i="12"/>
  <c r="J19" i="12"/>
  <c r="J301" i="12"/>
  <c r="J230" i="12"/>
  <c r="H110" i="12"/>
  <c r="H369" i="12"/>
  <c r="H379" i="12"/>
  <c r="J299" i="12"/>
  <c r="K243" i="12"/>
  <c r="H429" i="12"/>
  <c r="J436" i="12"/>
  <c r="K86" i="12"/>
  <c r="H238" i="12"/>
  <c r="K163" i="12"/>
  <c r="J80" i="12"/>
  <c r="K247" i="12"/>
  <c r="J11" i="12"/>
  <c r="J278" i="12"/>
  <c r="K183" i="12"/>
  <c r="K98" i="12"/>
  <c r="K46" i="12"/>
  <c r="H418" i="12"/>
  <c r="J423" i="12"/>
  <c r="H25" i="12"/>
  <c r="H54" i="12"/>
  <c r="H39" i="12"/>
  <c r="J126" i="12"/>
  <c r="J17" i="12"/>
  <c r="H134" i="12"/>
  <c r="H27" i="12"/>
  <c r="K137" i="12"/>
  <c r="K26" i="12"/>
  <c r="J150" i="12"/>
  <c r="J122" i="12"/>
  <c r="K250" i="12"/>
  <c r="K169" i="12"/>
  <c r="H103" i="12"/>
  <c r="H69" i="12"/>
  <c r="H362" i="12"/>
  <c r="H79" i="12"/>
  <c r="J118" i="12"/>
  <c r="K31" i="12"/>
  <c r="J111" i="12"/>
  <c r="K188" i="12"/>
  <c r="H51" i="12"/>
  <c r="J129" i="12"/>
  <c r="H217" i="12"/>
  <c r="K253" i="12"/>
  <c r="J412" i="12"/>
  <c r="K109" i="12"/>
  <c r="J392" i="12"/>
  <c r="K131" i="12"/>
  <c r="J127" i="12"/>
  <c r="K127" i="12"/>
  <c r="H182" i="12"/>
  <c r="K107" i="12"/>
  <c r="J284" i="12"/>
  <c r="K216" i="12"/>
  <c r="J135" i="12"/>
  <c r="J243" i="12"/>
  <c r="H329" i="12"/>
  <c r="H188" i="12"/>
  <c r="H423" i="12"/>
  <c r="H410" i="12"/>
  <c r="H262" i="12"/>
  <c r="H195" i="12"/>
  <c r="K214" i="12"/>
  <c r="J110" i="12"/>
  <c r="K237" i="12"/>
  <c r="J54" i="12"/>
  <c r="K121" i="12"/>
  <c r="J251" i="12"/>
  <c r="J260" i="12"/>
  <c r="J316" i="12"/>
  <c r="H397" i="12"/>
  <c r="J353" i="12"/>
  <c r="J138" i="12"/>
  <c r="K213" i="12"/>
  <c r="K240" i="12"/>
  <c r="K99" i="12"/>
  <c r="H420" i="12"/>
  <c r="J156" i="12"/>
  <c r="H15" i="12"/>
  <c r="K63" i="12"/>
  <c r="J195" i="12"/>
  <c r="H179" i="12"/>
  <c r="K181" i="12"/>
  <c r="J426" i="12"/>
  <c r="H45" i="12"/>
  <c r="H66" i="12"/>
  <c r="K167" i="12"/>
  <c r="H275" i="12"/>
  <c r="J119" i="12"/>
  <c r="J410" i="12"/>
  <c r="J221" i="12"/>
  <c r="J103" i="12"/>
  <c r="K44" i="1" l="1" a="1"/>
  <c r="K44" i="1" s="1"/>
  <c r="K19" i="1" a="1"/>
  <c r="K19" i="1" s="1"/>
  <c r="K51" i="1" a="1"/>
  <c r="K51" i="1" s="1"/>
  <c r="K20" i="1" a="1"/>
  <c r="K20" i="1" s="1"/>
  <c r="K54" i="1" a="1"/>
  <c r="K54" i="1" s="1"/>
  <c r="K26" i="1" a="1"/>
  <c r="K26" i="1" s="1"/>
  <c r="K58" i="1" a="1"/>
  <c r="K58" i="1" s="1"/>
  <c r="K15" i="1" a="1"/>
  <c r="K15" i="1" s="1"/>
  <c r="K5" i="1" a="1"/>
  <c r="K5" i="1" s="1"/>
  <c r="K66" i="1" a="1"/>
  <c r="K66" i="1" s="1"/>
  <c r="K17" i="1" a="1"/>
  <c r="K17" i="1" s="1"/>
  <c r="K67" i="1" a="1"/>
  <c r="K67" i="1" s="1"/>
  <c r="K18" i="1" a="1"/>
  <c r="K18" i="1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K72" i="1" a="1"/>
  <c r="K72" i="1" s="1"/>
  <c r="K34" i="1" a="1"/>
  <c r="K34" i="1" s="1"/>
  <c r="K78" i="1" a="1"/>
  <c r="K78" i="1" s="1"/>
  <c r="K29" i="1" a="1"/>
  <c r="K29" i="1" s="1"/>
  <c r="K81" i="1" a="1"/>
  <c r="K81" i="1" s="1"/>
  <c r="K31" i="1" a="1"/>
  <c r="K31" i="1" s="1"/>
  <c r="K60" i="1" a="1"/>
  <c r="K60" i="1" s="1"/>
  <c r="K35" i="1" a="1"/>
  <c r="K35" i="1" s="1"/>
  <c r="K70" i="1" a="1"/>
  <c r="K70" i="1" s="1"/>
  <c r="K32" i="1" a="1"/>
  <c r="K32" i="1" s="1"/>
  <c r="K43" i="1" a="1"/>
  <c r="K43" i="1" s="1"/>
  <c r="K30" i="1" a="1"/>
  <c r="K30" i="1" s="1"/>
  <c r="K62" i="1" a="1"/>
  <c r="K62" i="1" s="1"/>
  <c r="K36" i="1" a="1"/>
  <c r="K36" i="1" s="1"/>
  <c r="M107" i="12" a="1"/>
  <c r="M107" i="12" s="1"/>
  <c r="M98" i="12" a="1"/>
  <c r="M98" i="12" s="1"/>
  <c r="L85" i="12" a="1"/>
  <c r="L85" i="12" s="1"/>
  <c r="L231" i="12" a="1"/>
  <c r="L231" i="12" s="1"/>
  <c r="M157" i="12" a="1"/>
  <c r="M157" i="12" s="1"/>
  <c r="M167" i="12" a="1"/>
  <c r="M167" i="12" s="1"/>
  <c r="M2" i="12" a="1"/>
  <c r="M2" i="12" s="1"/>
  <c r="N2" i="12" s="1"/>
  <c r="AC2" i="4" s="1"/>
  <c r="L11" i="12" a="1"/>
  <c r="L11" i="12" s="1"/>
  <c r="M68" i="12" a="1"/>
  <c r="M68" i="12" s="1"/>
  <c r="L61" i="12" a="1"/>
  <c r="L61" i="12" s="1"/>
  <c r="L103" i="12" a="1"/>
  <c r="L103" i="12" s="1"/>
  <c r="I66" i="12" a="1"/>
  <c r="I66" i="12" s="1"/>
  <c r="M62" i="12" a="1"/>
  <c r="M62" i="12" s="1"/>
  <c r="M127" i="12" a="1"/>
  <c r="M127" i="12" s="1"/>
  <c r="L148" i="12" a="1"/>
  <c r="L148" i="12" s="1"/>
  <c r="L209" i="12" a="1"/>
  <c r="L209" i="12" s="1"/>
  <c r="L92" i="12" a="1"/>
  <c r="L92" i="12" s="1"/>
  <c r="I45" i="12" a="1"/>
  <c r="I45" i="12" s="1"/>
  <c r="L127" i="12" a="1"/>
  <c r="L127" i="12" s="1"/>
  <c r="L80" i="12" a="1"/>
  <c r="L80" i="12" s="1"/>
  <c r="M232" i="12" a="1"/>
  <c r="M232" i="12" s="1"/>
  <c r="I33" i="12" a="1"/>
  <c r="I33" i="12" s="1"/>
  <c r="M131" i="12" a="1"/>
  <c r="M131" i="12" s="1"/>
  <c r="M163" i="12" a="1"/>
  <c r="M163" i="12" s="1"/>
  <c r="M218" i="12" a="1"/>
  <c r="M218" i="12" s="1"/>
  <c r="L144" i="12" a="1"/>
  <c r="L144" i="12" s="1"/>
  <c r="L221" i="12" a="1"/>
  <c r="L221" i="12" s="1"/>
  <c r="M181" i="12" a="1"/>
  <c r="M181" i="12" s="1"/>
  <c r="L56" i="12" a="1"/>
  <c r="L56" i="12" s="1"/>
  <c r="I3" i="12" a="1"/>
  <c r="I3" i="12" s="1"/>
  <c r="I87" i="12" a="1"/>
  <c r="I87" i="12" s="1"/>
  <c r="M109" i="12" a="1"/>
  <c r="M109" i="12" s="1"/>
  <c r="M86" i="12" a="1"/>
  <c r="M86" i="12" s="1"/>
  <c r="L65" i="12" a="1"/>
  <c r="L65" i="12" s="1"/>
  <c r="L195" i="12" a="1"/>
  <c r="L195" i="12" s="1"/>
  <c r="M71" i="12" a="1"/>
  <c r="M71" i="12" s="1"/>
  <c r="M13" i="12" a="1"/>
  <c r="M13" i="12" s="1"/>
  <c r="M183" i="12" a="1"/>
  <c r="M183" i="12" s="1"/>
  <c r="L60" i="12" a="1"/>
  <c r="L60" i="12" s="1"/>
  <c r="M63" i="12" a="1"/>
  <c r="M63" i="12" s="1"/>
  <c r="M91" i="12" a="1"/>
  <c r="M91" i="12" s="1"/>
  <c r="M97" i="12" a="1"/>
  <c r="M97" i="12" s="1"/>
  <c r="M200" i="12" a="1"/>
  <c r="M200" i="12" s="1"/>
  <c r="I15" i="12" a="1"/>
  <c r="I15" i="12" s="1"/>
  <c r="M174" i="12" a="1"/>
  <c r="M174" i="12" s="1"/>
  <c r="L133" i="12" a="1"/>
  <c r="L133" i="12" s="1"/>
  <c r="L53" i="12" a="1"/>
  <c r="L53" i="12" s="1"/>
  <c r="L156" i="12" a="1"/>
  <c r="L156" i="12" s="1"/>
  <c r="M40" i="12" a="1"/>
  <c r="M40" i="12" s="1"/>
  <c r="L129" i="12" a="1"/>
  <c r="L129" i="12" s="1"/>
  <c r="L181" i="12" a="1"/>
  <c r="L181" i="12" s="1"/>
  <c r="L78" i="12" a="1"/>
  <c r="L78" i="12" s="1"/>
  <c r="M134" i="12" a="1"/>
  <c r="M134" i="12" s="1"/>
  <c r="I34" i="12" a="1"/>
  <c r="I34" i="12" s="1"/>
  <c r="I51" i="12" a="1"/>
  <c r="I51" i="12" s="1"/>
  <c r="M79" i="12" a="1"/>
  <c r="M79" i="12" s="1"/>
  <c r="L245" i="12" a="1"/>
  <c r="L245" i="12" s="1"/>
  <c r="M32" i="12" a="1"/>
  <c r="M32" i="12" s="1"/>
  <c r="L24" i="12" a="1"/>
  <c r="L24" i="12" s="1"/>
  <c r="M84" i="12" a="1"/>
  <c r="M84" i="12" s="1"/>
  <c r="L76" i="12" a="1"/>
  <c r="L76" i="12" s="1"/>
  <c r="L100" i="12" a="1"/>
  <c r="L100" i="12" s="1"/>
  <c r="M99" i="12" a="1"/>
  <c r="M99" i="12" s="1"/>
  <c r="M188" i="12" a="1"/>
  <c r="M188" i="12" s="1"/>
  <c r="L199" i="12" a="1"/>
  <c r="L199" i="12" s="1"/>
  <c r="L176" i="12" a="1"/>
  <c r="L176" i="12" s="1"/>
  <c r="M27" i="12" a="1"/>
  <c r="M27" i="12" s="1"/>
  <c r="L4" i="12" a="1"/>
  <c r="L4" i="12" s="1"/>
  <c r="L34" i="12" a="1"/>
  <c r="L34" i="12" s="1"/>
  <c r="M227" i="12" a="1"/>
  <c r="M227" i="12" s="1"/>
  <c r="L69" i="12" a="1"/>
  <c r="L69" i="12" s="1"/>
  <c r="L111" i="12" a="1"/>
  <c r="L111" i="12" s="1"/>
  <c r="L39" i="12" a="1"/>
  <c r="L39" i="12" s="1"/>
  <c r="L234" i="12" a="1"/>
  <c r="L234" i="12" s="1"/>
  <c r="L155" i="12" a="1"/>
  <c r="L155" i="12" s="1"/>
  <c r="I8" i="12" a="1"/>
  <c r="I8" i="12" s="1"/>
  <c r="I29" i="12" a="1"/>
  <c r="I29" i="12" s="1"/>
  <c r="M213" i="12" a="1"/>
  <c r="M213" i="12" s="1"/>
  <c r="M31" i="12" a="1"/>
  <c r="M31" i="12" s="1"/>
  <c r="L230" i="12" a="1"/>
  <c r="L230" i="12" s="1"/>
  <c r="I77" i="12" a="1"/>
  <c r="I77" i="12" s="1"/>
  <c r="L239" i="12" a="1"/>
  <c r="L239" i="12" s="1"/>
  <c r="I81" i="12" a="1"/>
  <c r="I81" i="12" s="1"/>
  <c r="L138" i="12" a="1"/>
  <c r="L138" i="12" s="1"/>
  <c r="L118" i="12" a="1"/>
  <c r="L118" i="12" s="1"/>
  <c r="M222" i="12" a="1"/>
  <c r="M222" i="12" s="1"/>
  <c r="M234" i="12" a="1"/>
  <c r="M234" i="12" s="1"/>
  <c r="M210" i="12" a="1"/>
  <c r="M210" i="12" s="1"/>
  <c r="M96" i="12" a="1"/>
  <c r="M96" i="12" s="1"/>
  <c r="M197" i="12" a="1"/>
  <c r="M197" i="12" s="1"/>
  <c r="L58" i="12" a="1"/>
  <c r="L58" i="12" s="1"/>
  <c r="I99" i="12" a="1"/>
  <c r="I99" i="12" s="1"/>
  <c r="I79" i="12" a="1"/>
  <c r="I79" i="12" s="1"/>
  <c r="L19" i="12" a="1"/>
  <c r="L19" i="12" s="1"/>
  <c r="M108" i="12" a="1"/>
  <c r="M108" i="12" s="1"/>
  <c r="L219" i="12" a="1"/>
  <c r="L219" i="12" s="1"/>
  <c r="L119" i="12" a="1"/>
  <c r="L119" i="12" s="1"/>
  <c r="M175" i="12" a="1"/>
  <c r="M175" i="12" s="1"/>
  <c r="M211" i="12" a="1"/>
  <c r="M211" i="12" s="1"/>
  <c r="L153" i="12" a="1"/>
  <c r="L153" i="12" s="1"/>
  <c r="I44" i="12" a="1"/>
  <c r="I44" i="12" s="1"/>
  <c r="M112" i="12" a="1"/>
  <c r="M112" i="12" s="1"/>
  <c r="I85" i="12" a="1"/>
  <c r="I85" i="12" s="1"/>
  <c r="L73" i="12" a="1"/>
  <c r="L73" i="12" s="1"/>
  <c r="I92" i="12" a="1"/>
  <c r="I92" i="12" s="1"/>
  <c r="I69" i="12" a="1"/>
  <c r="I69" i="12" s="1"/>
  <c r="L48" i="12" a="1"/>
  <c r="L48" i="12" s="1"/>
  <c r="L157" i="12" a="1"/>
  <c r="L157" i="12" s="1"/>
  <c r="L75" i="12" a="1"/>
  <c r="L75" i="12" s="1"/>
  <c r="M9" i="12" a="1"/>
  <c r="M9" i="12" s="1"/>
  <c r="L151" i="12" a="1"/>
  <c r="L151" i="12" s="1"/>
  <c r="M159" i="12" a="1"/>
  <c r="M159" i="12" s="1"/>
  <c r="M143" i="12" a="1"/>
  <c r="M143" i="12" s="1"/>
  <c r="M173" i="12" a="1"/>
  <c r="M173" i="12" s="1"/>
  <c r="L128" i="12" a="1"/>
  <c r="L128" i="12" s="1"/>
  <c r="M220" i="12" a="1"/>
  <c r="M220" i="12" s="1"/>
  <c r="M51" i="12" a="1"/>
  <c r="M51" i="12" s="1"/>
  <c r="M226" i="12" a="1"/>
  <c r="M226" i="12" s="1"/>
  <c r="M14" i="12" a="1"/>
  <c r="M14" i="12" s="1"/>
  <c r="M52" i="12" a="1"/>
  <c r="M52" i="12" s="1"/>
  <c r="I98" i="12" a="1"/>
  <c r="I98" i="12" s="1"/>
  <c r="I82" i="12" a="1"/>
  <c r="I82" i="12" s="1"/>
  <c r="L251" i="12" a="1"/>
  <c r="L251" i="12" s="1"/>
  <c r="M169" i="12" a="1"/>
  <c r="M169" i="12" s="1"/>
  <c r="I63" i="12" a="1"/>
  <c r="I63" i="12" s="1"/>
  <c r="M18" i="12" a="1"/>
  <c r="M18" i="12" s="1"/>
  <c r="M120" i="12" a="1"/>
  <c r="M120" i="12" s="1"/>
  <c r="M118" i="12" a="1"/>
  <c r="M118" i="12" s="1"/>
  <c r="M121" i="12" a="1"/>
  <c r="M121" i="12" s="1"/>
  <c r="M89" i="12" a="1"/>
  <c r="M89" i="12" s="1"/>
  <c r="L203" i="12" a="1"/>
  <c r="L203" i="12" s="1"/>
  <c r="L93" i="12" a="1"/>
  <c r="L93" i="12" s="1"/>
  <c r="L54" i="12" a="1"/>
  <c r="L54" i="12" s="1"/>
  <c r="M162" i="12" a="1"/>
  <c r="M162" i="12" s="1"/>
  <c r="L218" i="12" a="1"/>
  <c r="L218" i="12" s="1"/>
  <c r="L122" i="12" a="1"/>
  <c r="L122" i="12" s="1"/>
  <c r="M206" i="12" a="1"/>
  <c r="M206" i="12" s="1"/>
  <c r="M170" i="12" a="1"/>
  <c r="M170" i="12" s="1"/>
  <c r="L166" i="12" a="1"/>
  <c r="L166" i="12" s="1"/>
  <c r="L169" i="12" a="1"/>
  <c r="L169" i="12" s="1"/>
  <c r="L180" i="12" a="1"/>
  <c r="L180" i="12" s="1"/>
  <c r="L57" i="12" a="1"/>
  <c r="L57" i="12" s="1"/>
  <c r="M184" i="12" a="1"/>
  <c r="M184" i="12" s="1"/>
  <c r="M230" i="12" a="1"/>
  <c r="M230" i="12" s="1"/>
  <c r="L190" i="12" a="1"/>
  <c r="L190" i="12" s="1"/>
  <c r="L150" i="12" a="1"/>
  <c r="L150" i="12" s="1"/>
  <c r="M95" i="12" a="1"/>
  <c r="M95" i="12" s="1"/>
  <c r="I10" i="12" a="1"/>
  <c r="I10" i="12" s="1"/>
  <c r="L66" i="12" a="1"/>
  <c r="L66" i="12" s="1"/>
  <c r="M198" i="12" a="1"/>
  <c r="M198" i="12" s="1"/>
  <c r="M5" i="12" a="1"/>
  <c r="M5" i="12" s="1"/>
  <c r="M59" i="12" a="1"/>
  <c r="M59" i="12" s="1"/>
  <c r="L110" i="12" a="1"/>
  <c r="L110" i="12" s="1"/>
  <c r="M26" i="12" a="1"/>
  <c r="M26" i="12" s="1"/>
  <c r="L187" i="12" a="1"/>
  <c r="L187" i="12" s="1"/>
  <c r="I43" i="12" a="1"/>
  <c r="I43" i="12" s="1"/>
  <c r="L46" i="12" a="1"/>
  <c r="L46" i="12" s="1"/>
  <c r="L2" i="12" a="1"/>
  <c r="L2" i="12" s="1"/>
  <c r="M214" i="12" a="1"/>
  <c r="M214" i="12" s="1"/>
  <c r="M16" i="12" a="1"/>
  <c r="M16" i="12" s="1"/>
  <c r="I38" i="12" a="1"/>
  <c r="I38" i="12" s="1"/>
  <c r="L109" i="12" a="1"/>
  <c r="L109" i="12" s="1"/>
  <c r="N109" i="12" s="1"/>
  <c r="M137" i="12" a="1"/>
  <c r="M137" i="12" s="1"/>
  <c r="I12" i="12" a="1"/>
  <c r="I12" i="12" s="1"/>
  <c r="L182" i="12" a="1"/>
  <c r="L182" i="12" s="1"/>
  <c r="L91" i="12" a="1"/>
  <c r="L91" i="12" s="1"/>
  <c r="M212" i="12" a="1"/>
  <c r="M212" i="12" s="1"/>
  <c r="I83" i="12" a="1"/>
  <c r="I83" i="12" s="1"/>
  <c r="L163" i="12" a="1"/>
  <c r="L163" i="12" s="1"/>
  <c r="M114" i="12" a="1"/>
  <c r="M114" i="12" s="1"/>
  <c r="M164" i="12" a="1"/>
  <c r="M164" i="12" s="1"/>
  <c r="M228" i="12" a="1"/>
  <c r="M228" i="12" s="1"/>
  <c r="I27" i="12" a="1"/>
  <c r="I27" i="12" s="1"/>
  <c r="M106" i="12" a="1"/>
  <c r="M106" i="12" s="1"/>
  <c r="I13" i="12" a="1"/>
  <c r="I13" i="12" s="1"/>
  <c r="T14" i="6" s="1"/>
  <c r="L130" i="12" a="1"/>
  <c r="L130" i="12" s="1"/>
  <c r="I80" i="12" a="1"/>
  <c r="I80" i="12" s="1"/>
  <c r="L21" i="12" a="1"/>
  <c r="L21" i="12" s="1"/>
  <c r="I97" i="12" a="1"/>
  <c r="I97" i="12" s="1"/>
  <c r="I21" i="12" a="1"/>
  <c r="I21" i="12" s="1"/>
  <c r="L246" i="12" a="1"/>
  <c r="L246" i="12" s="1"/>
  <c r="M144" i="12" a="1"/>
  <c r="M144" i="12" s="1"/>
  <c r="M56" i="12" a="1"/>
  <c r="M56" i="12" s="1"/>
  <c r="M133" i="12" a="1"/>
  <c r="M133" i="12" s="1"/>
  <c r="I41" i="12" a="1"/>
  <c r="I41" i="12" s="1"/>
  <c r="M141" i="12" a="1"/>
  <c r="M141" i="12" s="1"/>
  <c r="M42" i="12" a="1"/>
  <c r="M42" i="12" s="1"/>
  <c r="I84" i="12" a="1"/>
  <c r="I84" i="12" s="1"/>
  <c r="M139" i="12" a="1"/>
  <c r="M139" i="12" s="1"/>
  <c r="L88" i="12" a="1"/>
  <c r="L88" i="12" s="1"/>
  <c r="L17" i="12" a="1"/>
  <c r="L17" i="12" s="1"/>
  <c r="M37" i="12" a="1"/>
  <c r="M37" i="12" s="1"/>
  <c r="L37" i="12" a="1"/>
  <c r="L37" i="12" s="1"/>
  <c r="L50" i="12" a="1"/>
  <c r="L50" i="12" s="1"/>
  <c r="I17" i="12" a="1"/>
  <c r="I17" i="12" s="1"/>
  <c r="L120" i="12" a="1"/>
  <c r="L120" i="12" s="1"/>
  <c r="L167" i="12" a="1"/>
  <c r="L167" i="12" s="1"/>
  <c r="L164" i="12" a="1"/>
  <c r="L164" i="12" s="1"/>
  <c r="L126" i="12" a="1"/>
  <c r="L126" i="12" s="1"/>
  <c r="L27" i="12" a="1"/>
  <c r="L27" i="12" s="1"/>
  <c r="M142" i="12" a="1"/>
  <c r="M142" i="12" s="1"/>
  <c r="L98" i="12" a="1"/>
  <c r="L98" i="12" s="1"/>
  <c r="N98" i="12" s="1"/>
  <c r="I86" i="12" a="1"/>
  <c r="I86" i="12" s="1"/>
  <c r="M119" i="12" a="1"/>
  <c r="M119" i="12" s="1"/>
  <c r="M168" i="12" a="1"/>
  <c r="M168" i="12" s="1"/>
  <c r="I6" i="12" a="1"/>
  <c r="I6" i="12" s="1"/>
  <c r="L22" i="12" a="1"/>
  <c r="L22" i="12" s="1"/>
  <c r="M209" i="12" a="1"/>
  <c r="M209" i="12" s="1"/>
  <c r="I39" i="12" a="1"/>
  <c r="I39" i="12" s="1"/>
  <c r="L35" i="12" a="1"/>
  <c r="L35" i="12" s="1"/>
  <c r="M50" i="12" a="1"/>
  <c r="M50" i="12" s="1"/>
  <c r="M73" i="12" a="1"/>
  <c r="M73" i="12" s="1"/>
  <c r="I7" i="12" a="1"/>
  <c r="I7" i="12" s="1"/>
  <c r="M179" i="12" a="1"/>
  <c r="M179" i="12" s="1"/>
  <c r="L83" i="12" a="1"/>
  <c r="L83" i="12" s="1"/>
  <c r="M65" i="12" a="1"/>
  <c r="M65" i="12" s="1"/>
  <c r="L213" i="12" a="1"/>
  <c r="L213" i="12" s="1"/>
  <c r="L140" i="12" a="1"/>
  <c r="L140" i="12" s="1"/>
  <c r="L220" i="12" a="1"/>
  <c r="L220" i="12" s="1"/>
  <c r="L248" i="12" a="1"/>
  <c r="L248" i="12" s="1"/>
  <c r="M25" i="12" a="1"/>
  <c r="M25" i="12" s="1"/>
  <c r="M54" i="12" a="1"/>
  <c r="M54" i="12" s="1"/>
  <c r="M101" i="12" a="1"/>
  <c r="M101" i="12" s="1"/>
  <c r="M196" i="12" a="1"/>
  <c r="M196" i="12" s="1"/>
  <c r="M182" i="12" a="1"/>
  <c r="M182" i="12" s="1"/>
  <c r="L136" i="12" a="1"/>
  <c r="L136" i="12" s="1"/>
  <c r="M224" i="12" a="1"/>
  <c r="M224" i="12" s="1"/>
  <c r="L124" i="12" a="1"/>
  <c r="L124" i="12" s="1"/>
  <c r="L189" i="12" a="1"/>
  <c r="L189" i="12" s="1"/>
  <c r="I14" i="12" a="1"/>
  <c r="I14" i="12" s="1"/>
  <c r="L227" i="12" a="1"/>
  <c r="L227" i="12" s="1"/>
  <c r="L200" i="12" a="1"/>
  <c r="L200" i="12" s="1"/>
  <c r="I26" i="12" a="1"/>
  <c r="I26" i="12" s="1"/>
  <c r="L174" i="12" a="1"/>
  <c r="L174" i="12" s="1"/>
  <c r="L49" i="12" a="1"/>
  <c r="L49" i="12" s="1"/>
  <c r="M17" i="12" a="1"/>
  <c r="M17" i="12" s="1"/>
  <c r="M61" i="12" a="1"/>
  <c r="M61" i="12" s="1"/>
  <c r="M44" i="12" a="1"/>
  <c r="M44" i="12" s="1"/>
  <c r="I78" i="12" a="1"/>
  <c r="I78" i="12" s="1"/>
  <c r="L113" i="12" a="1"/>
  <c r="L113" i="12" s="1"/>
  <c r="M129" i="12" a="1"/>
  <c r="M129" i="12" s="1"/>
  <c r="I54" i="12" a="1"/>
  <c r="I54" i="12" s="1"/>
  <c r="I32" i="12" a="1"/>
  <c r="I32" i="12" s="1"/>
  <c r="M122" i="12" a="1"/>
  <c r="M122" i="12" s="1"/>
  <c r="I42" i="12" a="1"/>
  <c r="I42" i="12" s="1"/>
  <c r="L33" i="12" a="1"/>
  <c r="L33" i="12" s="1"/>
  <c r="L90" i="12" a="1"/>
  <c r="L90" i="12" s="1"/>
  <c r="I93" i="12" a="1"/>
  <c r="I93" i="12" s="1"/>
  <c r="L104" i="12" a="1"/>
  <c r="L104" i="12" s="1"/>
  <c r="L184" i="12" a="1"/>
  <c r="L184" i="12" s="1"/>
  <c r="I40" i="12" a="1"/>
  <c r="I40" i="12" s="1"/>
  <c r="L162" i="12" a="1"/>
  <c r="L162" i="12" s="1"/>
  <c r="M87" i="12" a="1"/>
  <c r="M87" i="12" s="1"/>
  <c r="M130" i="12" a="1"/>
  <c r="M130" i="12" s="1"/>
  <c r="M215" i="12" a="1"/>
  <c r="M215" i="12" s="1"/>
  <c r="L229" i="12" a="1"/>
  <c r="L229" i="12" s="1"/>
  <c r="M53" i="12" a="1"/>
  <c r="M53" i="12" s="1"/>
  <c r="I18" i="12" a="1"/>
  <c r="I18" i="12" s="1"/>
  <c r="M124" i="12" a="1"/>
  <c r="M124" i="12" s="1"/>
  <c r="L186" i="12" a="1"/>
  <c r="L186" i="12" s="1"/>
  <c r="I50" i="12" a="1"/>
  <c r="I50" i="12" s="1"/>
  <c r="L117" i="12" a="1"/>
  <c r="L117" i="12" s="1"/>
  <c r="L5" i="12" a="1"/>
  <c r="L5" i="12" s="1"/>
  <c r="L102" i="12" a="1"/>
  <c r="L102" i="12" s="1"/>
  <c r="L13" i="12" a="1"/>
  <c r="L13" i="12" s="1"/>
  <c r="N13" i="12" s="1"/>
  <c r="L25" i="12" a="1"/>
  <c r="L25" i="12" s="1"/>
  <c r="M67" i="12" a="1"/>
  <c r="M67" i="12" s="1"/>
  <c r="L204" i="12" a="1"/>
  <c r="L204" i="12" s="1"/>
  <c r="L211" i="12" a="1"/>
  <c r="L211" i="12" s="1"/>
  <c r="M161" i="12" a="1"/>
  <c r="M161" i="12" s="1"/>
  <c r="L243" i="12" a="1"/>
  <c r="L243" i="12" s="1"/>
  <c r="M172" i="12" a="1"/>
  <c r="M172" i="12" s="1"/>
  <c r="I55" i="12" a="1"/>
  <c r="I55" i="12" s="1"/>
  <c r="I100" i="12" a="1"/>
  <c r="I100" i="12" s="1"/>
  <c r="I25" i="12" a="1"/>
  <c r="I25" i="12" s="1"/>
  <c r="L82" i="12" a="1"/>
  <c r="L82" i="12" s="1"/>
  <c r="L74" i="12" a="1"/>
  <c r="L74" i="12" s="1"/>
  <c r="M66" i="12" a="1"/>
  <c r="M66" i="12" s="1"/>
  <c r="I49" i="12" a="1"/>
  <c r="I49" i="12" s="1"/>
  <c r="M110" i="12" a="1"/>
  <c r="M110" i="12" s="1"/>
  <c r="L132" i="12" a="1"/>
  <c r="L132" i="12" s="1"/>
  <c r="M85" i="12" a="1"/>
  <c r="M85" i="12" s="1"/>
  <c r="L63" i="12" a="1"/>
  <c r="L63" i="12" s="1"/>
  <c r="M205" i="12" a="1"/>
  <c r="M205" i="12" s="1"/>
  <c r="M160" i="12" a="1"/>
  <c r="M160" i="12" s="1"/>
  <c r="L86" i="12" a="1"/>
  <c r="L86" i="12" s="1"/>
  <c r="N86" i="12" s="1"/>
  <c r="I74" i="12" a="1"/>
  <c r="I74" i="12" s="1"/>
  <c r="L202" i="12" a="1"/>
  <c r="L202" i="12" s="1"/>
  <c r="L6" i="12" a="1"/>
  <c r="L6" i="12" s="1"/>
  <c r="L87" i="12" a="1"/>
  <c r="L87" i="12" s="1"/>
  <c r="N87" i="12" s="1"/>
  <c r="L238" i="12" a="1"/>
  <c r="L238" i="12" s="1"/>
  <c r="L236" i="12" a="1"/>
  <c r="L236" i="12" s="1"/>
  <c r="L114" i="12" a="1"/>
  <c r="L114" i="12" s="1"/>
  <c r="L226" i="12" a="1"/>
  <c r="L226" i="12" s="1"/>
  <c r="M69" i="12" a="1"/>
  <c r="M69" i="12" s="1"/>
  <c r="I23" i="12" a="1"/>
  <c r="I23" i="12" s="1"/>
  <c r="I75" i="12" a="1"/>
  <c r="I75" i="12" s="1"/>
  <c r="L250" i="12" a="1"/>
  <c r="L250" i="12" s="1"/>
  <c r="M151" i="12" a="1"/>
  <c r="M151" i="12" s="1"/>
  <c r="L244" i="12" a="1"/>
  <c r="L244" i="12" s="1"/>
  <c r="L173" i="12" a="1"/>
  <c r="L173" i="12" s="1"/>
  <c r="M34" i="12" a="1"/>
  <c r="M34" i="12" s="1"/>
  <c r="L253" i="12" a="1"/>
  <c r="L253" i="12" s="1"/>
  <c r="M72" i="12" a="1"/>
  <c r="M72" i="12" s="1"/>
  <c r="M194" i="12" a="1"/>
  <c r="M194" i="12" s="1"/>
  <c r="I70" i="12" a="1"/>
  <c r="I70" i="12" s="1"/>
  <c r="M201" i="12" a="1"/>
  <c r="M201" i="12" s="1"/>
  <c r="L185" i="12" a="1"/>
  <c r="L185" i="12" s="1"/>
  <c r="M158" i="12" a="1"/>
  <c r="M158" i="12" s="1"/>
  <c r="I31" i="12" a="1"/>
  <c r="I31" i="12" s="1"/>
  <c r="M202" i="12" a="1"/>
  <c r="M202" i="12" s="1"/>
  <c r="M83" i="12" a="1"/>
  <c r="M83" i="12" s="1"/>
  <c r="M229" i="12" a="1"/>
  <c r="M229" i="12" s="1"/>
  <c r="L7" i="12" a="1"/>
  <c r="L7" i="12" s="1"/>
  <c r="M203" i="12" a="1"/>
  <c r="M203" i="12" s="1"/>
  <c r="L55" i="12" a="1"/>
  <c r="L55" i="12" s="1"/>
  <c r="I60" i="12" a="1"/>
  <c r="I60" i="12" s="1"/>
  <c r="I58" i="12" a="1"/>
  <c r="I58" i="12" s="1"/>
  <c r="M155" i="12" a="1"/>
  <c r="M155" i="12" s="1"/>
  <c r="I73" i="12" a="1"/>
  <c r="I73" i="12" s="1"/>
  <c r="L99" i="12" a="1"/>
  <c r="L99" i="12" s="1"/>
  <c r="L135" i="12" a="1"/>
  <c r="L135" i="12" s="1"/>
  <c r="L194" i="12" a="1"/>
  <c r="L194" i="12" s="1"/>
  <c r="L196" i="12" a="1"/>
  <c r="L196" i="12" s="1"/>
  <c r="M208" i="12" a="1"/>
  <c r="M208" i="12" s="1"/>
  <c r="M123" i="12" a="1"/>
  <c r="M123" i="12" s="1"/>
  <c r="M231" i="12" a="1"/>
  <c r="M231" i="12" s="1"/>
  <c r="L147" i="12" a="1"/>
  <c r="L147" i="12" s="1"/>
  <c r="M75" i="12" a="1"/>
  <c r="M75" i="12" s="1"/>
  <c r="N75" i="12" s="1"/>
  <c r="L28" i="12" a="1"/>
  <c r="L28" i="12" s="1"/>
  <c r="M39" i="12" a="1"/>
  <c r="M39" i="12" s="1"/>
  <c r="L207" i="12" a="1"/>
  <c r="L207" i="12" s="1"/>
  <c r="I64" i="12" a="1"/>
  <c r="I64" i="12" s="1"/>
  <c r="L224" i="12" a="1"/>
  <c r="L224" i="12" s="1"/>
  <c r="I22" i="12" a="1"/>
  <c r="I22" i="12" s="1"/>
  <c r="M117" i="12" a="1"/>
  <c r="M117" i="12" s="1"/>
  <c r="M225" i="12" a="1"/>
  <c r="M225" i="12" s="1"/>
  <c r="M88" i="12" a="1"/>
  <c r="M88" i="12" s="1"/>
  <c r="L154" i="12" a="1"/>
  <c r="L154" i="12" s="1"/>
  <c r="L179" i="12" a="1"/>
  <c r="L179" i="12" s="1"/>
  <c r="M30" i="12" a="1"/>
  <c r="M30" i="12" s="1"/>
  <c r="I2" i="12" a="1"/>
  <c r="I2" i="12" s="1"/>
  <c r="L222" i="12" a="1"/>
  <c r="L222" i="12" s="1"/>
  <c r="L159" i="12" a="1"/>
  <c r="L159" i="12" s="1"/>
  <c r="M57" i="12" a="1"/>
  <c r="M57" i="12" s="1"/>
  <c r="L3" i="12" a="1"/>
  <c r="L3" i="12" s="1"/>
  <c r="M180" i="12" a="1"/>
  <c r="M180" i="12" s="1"/>
  <c r="L123" i="12" a="1"/>
  <c r="L123" i="12" s="1"/>
  <c r="L97" i="12" a="1"/>
  <c r="L97" i="12" s="1"/>
  <c r="L40" i="12" a="1"/>
  <c r="L40" i="12" s="1"/>
  <c r="I19" i="12" a="1"/>
  <c r="I19" i="12" s="1"/>
  <c r="M193" i="12" a="1"/>
  <c r="M193" i="12" s="1"/>
  <c r="M171" i="12" a="1"/>
  <c r="M171" i="12" s="1"/>
  <c r="L89" i="12" a="1"/>
  <c r="L89" i="12" s="1"/>
  <c r="M126" i="12" a="1"/>
  <c r="M126" i="12" s="1"/>
  <c r="M221" i="12" a="1"/>
  <c r="M221" i="12" s="1"/>
  <c r="L247" i="12" a="1"/>
  <c r="L247" i="12" s="1"/>
  <c r="M100" i="12" a="1"/>
  <c r="M100" i="12" s="1"/>
  <c r="N100" i="12" s="1"/>
  <c r="L131" i="12" a="1"/>
  <c r="L131" i="12" s="1"/>
  <c r="M8" i="12" a="1"/>
  <c r="M8" i="12" s="1"/>
  <c r="L192" i="12" a="1"/>
  <c r="L192" i="12" s="1"/>
  <c r="M191" i="12" a="1"/>
  <c r="M191" i="12" s="1"/>
  <c r="M111" i="12" a="1"/>
  <c r="M111" i="12" s="1"/>
  <c r="M29" i="12" a="1"/>
  <c r="M29" i="12" s="1"/>
  <c r="M20" i="12" a="1"/>
  <c r="M20" i="12" s="1"/>
  <c r="M223" i="12" a="1"/>
  <c r="M223" i="12" s="1"/>
  <c r="L31" i="12" a="1"/>
  <c r="L31" i="12" s="1"/>
  <c r="N31" i="12" s="1"/>
  <c r="I71" i="12" a="1"/>
  <c r="I71" i="12" s="1"/>
  <c r="L15" i="12" a="1"/>
  <c r="L15" i="12" s="1"/>
  <c r="I90" i="12" a="1"/>
  <c r="I90" i="12" s="1"/>
  <c r="L170" i="12" a="1"/>
  <c r="L170" i="12" s="1"/>
  <c r="M15" i="12" a="1"/>
  <c r="M15" i="12" s="1"/>
  <c r="L95" i="12" a="1"/>
  <c r="L95" i="12" s="1"/>
  <c r="L142" i="12" a="1"/>
  <c r="L142" i="12" s="1"/>
  <c r="L208" i="12" a="1"/>
  <c r="L208" i="12" s="1"/>
  <c r="M80" i="12" a="1"/>
  <c r="M80" i="12" s="1"/>
  <c r="N80" i="12" s="1"/>
  <c r="L193" i="12" a="1"/>
  <c r="L193" i="12" s="1"/>
  <c r="L106" i="12" a="1"/>
  <c r="L106" i="12" s="1"/>
  <c r="N106" i="12" s="1"/>
  <c r="M45" i="12" a="1"/>
  <c r="M45" i="12" s="1"/>
  <c r="L233" i="12" a="1"/>
  <c r="L233" i="12" s="1"/>
  <c r="M113" i="12" a="1"/>
  <c r="M113" i="12" s="1"/>
  <c r="M154" i="12" a="1"/>
  <c r="M154" i="12" s="1"/>
  <c r="L168" i="12" a="1"/>
  <c r="L168" i="12" s="1"/>
  <c r="L10" i="12" a="1"/>
  <c r="L10" i="12" s="1"/>
  <c r="L41" i="12" a="1"/>
  <c r="L41" i="12" s="1"/>
  <c r="M135" i="12" a="1"/>
  <c r="M135" i="12" s="1"/>
  <c r="M233" i="12" a="1"/>
  <c r="M233" i="12" s="1"/>
  <c r="L201" i="12" a="1"/>
  <c r="L201" i="12" s="1"/>
  <c r="L79" i="12" a="1"/>
  <c r="L79" i="12" s="1"/>
  <c r="N79" i="12" s="1"/>
  <c r="L23" i="12" a="1"/>
  <c r="L23" i="12" s="1"/>
  <c r="M47" i="12" a="1"/>
  <c r="M47" i="12" s="1"/>
  <c r="L72" i="12" a="1"/>
  <c r="L72" i="12" s="1"/>
  <c r="L205" i="12" a="1"/>
  <c r="L205" i="12" s="1"/>
  <c r="M28" i="12" a="1"/>
  <c r="M28" i="12" s="1"/>
  <c r="L228" i="12" a="1"/>
  <c r="L228" i="12" s="1"/>
  <c r="M22" i="12" a="1"/>
  <c r="M22" i="12" s="1"/>
  <c r="M189" i="12" a="1"/>
  <c r="M189" i="12" s="1"/>
  <c r="M235" i="12" a="1"/>
  <c r="M235" i="12" s="1"/>
  <c r="L160" i="12" a="1"/>
  <c r="L160" i="12" s="1"/>
  <c r="M176" i="12" a="1"/>
  <c r="M176" i="12" s="1"/>
  <c r="L240" i="12" a="1"/>
  <c r="L240" i="12" s="1"/>
  <c r="L145" i="12" a="1"/>
  <c r="L145" i="12" s="1"/>
  <c r="L32" i="12" a="1"/>
  <c r="L32" i="12" s="1"/>
  <c r="M190" i="12" a="1"/>
  <c r="M190" i="12" s="1"/>
  <c r="M204" i="12" a="1"/>
  <c r="M204" i="12" s="1"/>
  <c r="M33" i="12" a="1"/>
  <c r="M33" i="12" s="1"/>
  <c r="L210" i="12" a="1"/>
  <c r="L210" i="12" s="1"/>
  <c r="L249" i="12" a="1"/>
  <c r="L249" i="12" s="1"/>
  <c r="M153" i="12" a="1"/>
  <c r="M153" i="12" s="1"/>
  <c r="M150" i="12" a="1"/>
  <c r="M150" i="12" s="1"/>
  <c r="L12" i="12" a="1"/>
  <c r="L12" i="12" s="1"/>
  <c r="M38" i="12" a="1"/>
  <c r="M38" i="12" s="1"/>
  <c r="M36" i="12" a="1"/>
  <c r="M36" i="12" s="1"/>
  <c r="M4" i="12" a="1"/>
  <c r="M4" i="12" s="1"/>
  <c r="N4" i="12" s="1"/>
  <c r="M3" i="12" a="1"/>
  <c r="M3" i="12" s="1"/>
  <c r="M24" i="12" a="1"/>
  <c r="M24" i="12" s="1"/>
  <c r="L197" i="12" a="1"/>
  <c r="L197" i="12" s="1"/>
  <c r="L165" i="12" a="1"/>
  <c r="L165" i="12" s="1"/>
  <c r="I24" i="12" a="1"/>
  <c r="I24" i="12" s="1"/>
  <c r="I28" i="12" a="1"/>
  <c r="I28" i="12" s="1"/>
  <c r="I67" i="12" a="1"/>
  <c r="I67" i="12" s="1"/>
  <c r="M7" i="12" a="1"/>
  <c r="M7" i="12" s="1"/>
  <c r="L68" i="12" a="1"/>
  <c r="L68" i="12" s="1"/>
  <c r="N68" i="12" s="1"/>
  <c r="L152" i="12" a="1"/>
  <c r="L152" i="12" s="1"/>
  <c r="I89" i="12" a="1"/>
  <c r="I89" i="12" s="1"/>
  <c r="M128" i="12" a="1"/>
  <c r="M128" i="12" s="1"/>
  <c r="M156" i="12" a="1"/>
  <c r="M156" i="12" s="1"/>
  <c r="M43" i="12" a="1"/>
  <c r="M43" i="12" s="1"/>
  <c r="I91" i="12" a="1"/>
  <c r="I91" i="12" s="1"/>
  <c r="L59" i="12" a="1"/>
  <c r="L59" i="12" s="1"/>
  <c r="N59" i="12" s="1"/>
  <c r="M76" i="12" a="1"/>
  <c r="M76" i="12" s="1"/>
  <c r="N76" i="12" s="1"/>
  <c r="M216" i="12" a="1"/>
  <c r="M216" i="12" s="1"/>
  <c r="L96" i="12" a="1"/>
  <c r="L96" i="12" s="1"/>
  <c r="N96" i="12" s="1"/>
  <c r="M74" i="12" a="1"/>
  <c r="M74" i="12" s="1"/>
  <c r="L44" i="12" a="1"/>
  <c r="L44" i="12" s="1"/>
  <c r="M148" i="12" a="1"/>
  <c r="M148" i="12" s="1"/>
  <c r="I52" i="12" a="1"/>
  <c r="I52" i="12" s="1"/>
  <c r="L20" i="12" a="1"/>
  <c r="L20" i="12" s="1"/>
  <c r="I57" i="12" a="1"/>
  <c r="I57" i="12" s="1"/>
  <c r="M115" i="12" a="1"/>
  <c r="M115" i="12" s="1"/>
  <c r="L242" i="12" a="1"/>
  <c r="L242" i="12" s="1"/>
  <c r="M60" i="12" a="1"/>
  <c r="M60" i="12" s="1"/>
  <c r="N60" i="12" s="1"/>
  <c r="I5" i="12" a="1"/>
  <c r="I5" i="12" s="1"/>
  <c r="L84" i="12" a="1"/>
  <c r="L84" i="12" s="1"/>
  <c r="N84" i="12" s="1"/>
  <c r="L67" i="12" a="1"/>
  <c r="L67" i="12" s="1"/>
  <c r="M185" i="12" a="1"/>
  <c r="M185" i="12" s="1"/>
  <c r="L191" i="12" a="1"/>
  <c r="L191" i="12" s="1"/>
  <c r="M195" i="12" a="1"/>
  <c r="M195" i="12" s="1"/>
  <c r="M82" i="12" a="1"/>
  <c r="M82" i="12" s="1"/>
  <c r="L121" i="12" a="1"/>
  <c r="L121" i="12" s="1"/>
  <c r="L108" i="12" a="1"/>
  <c r="L108" i="12" s="1"/>
  <c r="N108" i="12" s="1"/>
  <c r="L216" i="12" a="1"/>
  <c r="L216" i="12" s="1"/>
  <c r="L171" i="12" a="1"/>
  <c r="L171" i="12" s="1"/>
  <c r="M55" i="12" a="1"/>
  <c r="M55" i="12" s="1"/>
  <c r="L158" i="12" a="1"/>
  <c r="L158" i="12" s="1"/>
  <c r="M145" i="12" a="1"/>
  <c r="M145" i="12" s="1"/>
  <c r="L77" i="12" a="1"/>
  <c r="L77" i="12" s="1"/>
  <c r="L47" i="12" a="1"/>
  <c r="L47" i="12" s="1"/>
  <c r="M93" i="12" a="1"/>
  <c r="M93" i="12" s="1"/>
  <c r="L64" i="12" a="1"/>
  <c r="L64" i="12" s="1"/>
  <c r="L212" i="12" a="1"/>
  <c r="L212" i="12" s="1"/>
  <c r="M21" i="12" a="1"/>
  <c r="M21" i="12" s="1"/>
  <c r="L81" i="12" a="1"/>
  <c r="L81" i="12" s="1"/>
  <c r="I4" i="12" a="1"/>
  <c r="I4" i="12" s="1"/>
  <c r="M41" i="12" a="1"/>
  <c r="M41" i="12" s="1"/>
  <c r="I16" i="12" a="1"/>
  <c r="I16" i="12" s="1"/>
  <c r="L115" i="12" a="1"/>
  <c r="L115" i="12" s="1"/>
  <c r="L139" i="12" a="1"/>
  <c r="L139" i="12" s="1"/>
  <c r="M23" i="12" a="1"/>
  <c r="M23" i="12" s="1"/>
  <c r="M132" i="12" a="1"/>
  <c r="M132" i="12" s="1"/>
  <c r="M104" i="12" a="1"/>
  <c r="M104" i="12" s="1"/>
  <c r="L161" i="12" a="1"/>
  <c r="L161" i="12" s="1"/>
  <c r="M187" i="12" a="1"/>
  <c r="M187" i="12" s="1"/>
  <c r="M90" i="12" a="1"/>
  <c r="M90" i="12" s="1"/>
  <c r="N90" i="12" s="1"/>
  <c r="L172" i="12" a="1"/>
  <c r="L172" i="12" s="1"/>
  <c r="I68" i="12" a="1"/>
  <c r="I68" i="12" s="1"/>
  <c r="M81" i="12" a="1"/>
  <c r="M81" i="12" s="1"/>
  <c r="I65" i="12" a="1"/>
  <c r="I65" i="12" s="1"/>
  <c r="M147" i="12" a="1"/>
  <c r="M147" i="12" s="1"/>
  <c r="M219" i="12" a="1"/>
  <c r="M219" i="12" s="1"/>
  <c r="M165" i="12" a="1"/>
  <c r="M165" i="12" s="1"/>
  <c r="L101" i="12" a="1"/>
  <c r="L101" i="12" s="1"/>
  <c r="N101" i="12" s="1"/>
  <c r="L8" i="12" a="1"/>
  <c r="L8" i="12" s="1"/>
  <c r="L225" i="12" a="1"/>
  <c r="L225" i="12" s="1"/>
  <c r="L178" i="12" a="1"/>
  <c r="L178" i="12" s="1"/>
  <c r="I11" i="12" a="1"/>
  <c r="I11" i="12" s="1"/>
  <c r="L16" i="12" a="1"/>
  <c r="L16" i="12" s="1"/>
  <c r="M35" i="12" a="1"/>
  <c r="M35" i="12" s="1"/>
  <c r="M217" i="12" a="1"/>
  <c r="M217" i="12" s="1"/>
  <c r="M140" i="12" a="1"/>
  <c r="M140" i="12" s="1"/>
  <c r="I9" i="12" a="1"/>
  <c r="I9" i="12" s="1"/>
  <c r="L62" i="12" a="1"/>
  <c r="L62" i="12" s="1"/>
  <c r="N62" i="12" s="1"/>
  <c r="I47" i="12" a="1"/>
  <c r="I47" i="12" s="1"/>
  <c r="L141" i="12" a="1"/>
  <c r="L141" i="12" s="1"/>
  <c r="L198" i="12" a="1"/>
  <c r="L198" i="12" s="1"/>
  <c r="M103" i="12" a="1"/>
  <c r="M103" i="12" s="1"/>
  <c r="L137" i="12" a="1"/>
  <c r="L137" i="12" s="1"/>
  <c r="I88" i="12" a="1"/>
  <c r="I88" i="12" s="1"/>
  <c r="L9" i="12" a="1"/>
  <c r="L9" i="12" s="1"/>
  <c r="N9" i="12" s="1"/>
  <c r="M6" i="12" a="1"/>
  <c r="M6" i="12" s="1"/>
  <c r="M178" i="12" a="1"/>
  <c r="M178" i="12" s="1"/>
  <c r="L105" i="12" a="1"/>
  <c r="L105" i="12" s="1"/>
  <c r="M94" i="12" a="1"/>
  <c r="M94" i="12" s="1"/>
  <c r="I96" i="12" a="1"/>
  <c r="I96" i="12" s="1"/>
  <c r="L45" i="12" a="1"/>
  <c r="L45" i="12" s="1"/>
  <c r="N45" i="12" s="1"/>
  <c r="M64" i="12" a="1"/>
  <c r="M64" i="12" s="1"/>
  <c r="L52" i="12" a="1"/>
  <c r="L52" i="12" s="1"/>
  <c r="M92" i="12" a="1"/>
  <c r="M92" i="12" s="1"/>
  <c r="N92" i="12" s="1"/>
  <c r="I48" i="12" a="1"/>
  <c r="I48" i="12" s="1"/>
  <c r="M192" i="12" a="1"/>
  <c r="M192" i="12" s="1"/>
  <c r="L252" i="12" a="1"/>
  <c r="L252" i="12" s="1"/>
  <c r="M70" i="12" a="1"/>
  <c r="M70" i="12" s="1"/>
  <c r="M138" i="12" a="1"/>
  <c r="M138" i="12" s="1"/>
  <c r="L183" i="12" a="1"/>
  <c r="L183" i="12" s="1"/>
  <c r="L116" i="12" a="1"/>
  <c r="L116" i="12" s="1"/>
  <c r="L42" i="12" a="1"/>
  <c r="L42" i="12" s="1"/>
  <c r="N42" i="12" s="1"/>
  <c r="I72" i="12" a="1"/>
  <c r="I72" i="12" s="1"/>
  <c r="L237" i="12" a="1"/>
  <c r="L237" i="12" s="1"/>
  <c r="L51" i="12" a="1"/>
  <c r="L51" i="12" s="1"/>
  <c r="N51" i="12" s="1"/>
  <c r="M207" i="12" a="1"/>
  <c r="M207" i="12" s="1"/>
  <c r="I20" i="12" a="1"/>
  <c r="I20" i="12" s="1"/>
  <c r="I36" i="12" a="1"/>
  <c r="I36" i="12" s="1"/>
  <c r="L38" i="12" a="1"/>
  <c r="L38" i="12" s="1"/>
  <c r="M102" i="12" a="1"/>
  <c r="M102" i="12" s="1"/>
  <c r="M199" i="12" a="1"/>
  <c r="M199" i="12" s="1"/>
  <c r="L149" i="12" a="1"/>
  <c r="L149" i="12" s="1"/>
  <c r="L206" i="12" a="1"/>
  <c r="L206" i="12" s="1"/>
  <c r="M125" i="12" a="1"/>
  <c r="M125" i="12" s="1"/>
  <c r="M149" i="12" a="1"/>
  <c r="M149" i="12" s="1"/>
  <c r="M48" i="12" a="1"/>
  <c r="M48" i="12" s="1"/>
  <c r="I76" i="12" a="1"/>
  <c r="I76" i="12" s="1"/>
  <c r="L107" i="12" a="1"/>
  <c r="L107" i="12" s="1"/>
  <c r="N107" i="12" s="1"/>
  <c r="M10" i="12" a="1"/>
  <c r="M10" i="12" s="1"/>
  <c r="I95" i="12" a="1"/>
  <c r="I95" i="12" s="1"/>
  <c r="L43" i="12" a="1"/>
  <c r="L43" i="12" s="1"/>
  <c r="I30" i="12" a="1"/>
  <c r="I30" i="12" s="1"/>
  <c r="M105" i="12" a="1"/>
  <c r="M105" i="12" s="1"/>
  <c r="M152" i="12" a="1"/>
  <c r="M152" i="12" s="1"/>
  <c r="L36" i="12" a="1"/>
  <c r="L36" i="12" s="1"/>
  <c r="N36" i="12" s="1"/>
  <c r="L71" i="12" a="1"/>
  <c r="L71" i="12" s="1"/>
  <c r="N71" i="12" s="1"/>
  <c r="I37" i="12" a="1"/>
  <c r="I37" i="12" s="1"/>
  <c r="I62" i="12" a="1"/>
  <c r="I62" i="12" s="1"/>
  <c r="I59" i="12" a="1"/>
  <c r="I59" i="12" s="1"/>
  <c r="M49" i="12" a="1"/>
  <c r="M49" i="12" s="1"/>
  <c r="N49" i="12" s="1"/>
  <c r="L175" i="12" a="1"/>
  <c r="L175" i="12" s="1"/>
  <c r="L29" i="12" a="1"/>
  <c r="L29" i="12" s="1"/>
  <c r="M78" i="12" a="1"/>
  <c r="M78" i="12" s="1"/>
  <c r="L223" i="12" a="1"/>
  <c r="L223" i="12" s="1"/>
  <c r="L214" i="12" a="1"/>
  <c r="L214" i="12" s="1"/>
  <c r="L241" i="12" a="1"/>
  <c r="L241" i="12" s="1"/>
  <c r="L112" i="12" a="1"/>
  <c r="L112" i="12" s="1"/>
  <c r="L18" i="12" a="1"/>
  <c r="L18" i="12" s="1"/>
  <c r="N18" i="12" s="1"/>
  <c r="L94" i="12" a="1"/>
  <c r="L94" i="12" s="1"/>
  <c r="M177" i="12" a="1"/>
  <c r="M177" i="12" s="1"/>
  <c r="I56" i="12" a="1"/>
  <c r="I56" i="12" s="1"/>
  <c r="M46" i="12" a="1"/>
  <c r="M46" i="12" s="1"/>
  <c r="L217" i="12" a="1"/>
  <c r="L217" i="12" s="1"/>
  <c r="M77" i="12" a="1"/>
  <c r="M77" i="12" s="1"/>
  <c r="L125" i="12" a="1"/>
  <c r="L125" i="12" s="1"/>
  <c r="L134" i="12" a="1"/>
  <c r="L134" i="12" s="1"/>
  <c r="L215" i="12" a="1"/>
  <c r="L215" i="12" s="1"/>
  <c r="M58" i="12" a="1"/>
  <c r="M58" i="12" s="1"/>
  <c r="N58" i="12" s="1"/>
  <c r="I61" i="12" a="1"/>
  <c r="I61" i="12" s="1"/>
  <c r="M166" i="12" a="1"/>
  <c r="M166" i="12" s="1"/>
  <c r="M11" i="12" a="1"/>
  <c r="M11" i="12" s="1"/>
  <c r="N11" i="12" s="1"/>
  <c r="M186" i="12" a="1"/>
  <c r="M186" i="12" s="1"/>
  <c r="L26" i="12" a="1"/>
  <c r="L26" i="12" s="1"/>
  <c r="I35" i="12" a="1"/>
  <c r="I35" i="12" s="1"/>
  <c r="L177" i="12" a="1"/>
  <c r="L177" i="12" s="1"/>
  <c r="L235" i="12" a="1"/>
  <c r="L235" i="12" s="1"/>
  <c r="I46" i="12" a="1"/>
  <c r="I46" i="12" s="1"/>
  <c r="M12" i="12" a="1"/>
  <c r="M12" i="12" s="1"/>
  <c r="L14" i="12" a="1"/>
  <c r="L14" i="12" s="1"/>
  <c r="M136" i="12" a="1"/>
  <c r="M136" i="12" s="1"/>
  <c r="L30" i="12" a="1"/>
  <c r="L30" i="12" s="1"/>
  <c r="N30" i="12" s="1"/>
  <c r="I94" i="12" a="1"/>
  <c r="I94" i="12" s="1"/>
  <c r="M19" i="12" a="1"/>
  <c r="M19" i="12" s="1"/>
  <c r="L143" i="12" a="1"/>
  <c r="L143" i="12" s="1"/>
  <c r="L232" i="12" a="1"/>
  <c r="L232" i="12" s="1"/>
  <c r="L146" i="12" a="1"/>
  <c r="L146" i="12" s="1"/>
  <c r="L188" i="12" a="1"/>
  <c r="L188" i="12" s="1"/>
  <c r="M116" i="12" a="1"/>
  <c r="M116" i="12" s="1"/>
  <c r="I53" i="12" a="1"/>
  <c r="I53" i="12" s="1"/>
  <c r="M146" i="12" a="1"/>
  <c r="M146" i="12" s="1"/>
  <c r="L70" i="12" a="1"/>
  <c r="L70" i="12" s="1"/>
  <c r="N70" i="12" s="1"/>
  <c r="N67" i="12"/>
  <c r="N40" i="12"/>
  <c r="N74" i="12"/>
  <c r="N47" i="12"/>
  <c r="P81" i="1" a="1"/>
  <c r="P81" i="1" s="1"/>
  <c r="N95" i="12"/>
  <c r="N24" i="12"/>
  <c r="N39" i="12"/>
  <c r="N53" i="12"/>
  <c r="N99" i="12"/>
  <c r="N66" i="12"/>
  <c r="I2" i="8"/>
  <c r="K2" i="4" s="1"/>
  <c r="K33" i="1" s="1" a="1"/>
  <c r="K33" i="1" s="1"/>
  <c r="U23" i="6" l="1"/>
  <c r="U20" i="6"/>
  <c r="U19" i="6"/>
  <c r="T16" i="6"/>
  <c r="T24" i="6"/>
  <c r="P25" i="1" s="1" a="1"/>
  <c r="P25" i="1" s="1"/>
  <c r="AB112" i="4"/>
  <c r="T20" i="6"/>
  <c r="P20" i="1" s="1" a="1"/>
  <c r="P20" i="1" s="1"/>
  <c r="T22" i="6"/>
  <c r="T11" i="6"/>
  <c r="P11" i="1" s="1" a="1"/>
  <c r="P11" i="1" s="1"/>
  <c r="F9" i="13" s="1"/>
  <c r="T13" i="6"/>
  <c r="U14" i="6"/>
  <c r="V14" i="6" s="1"/>
  <c r="U25" i="6"/>
  <c r="V25" i="6" s="1"/>
  <c r="U10" i="6"/>
  <c r="V10" i="6" s="1"/>
  <c r="T23" i="6"/>
  <c r="T19" i="6"/>
  <c r="P19" i="1" s="1" a="1"/>
  <c r="P19" i="1" s="1"/>
  <c r="F14" i="13" s="1"/>
  <c r="N5" i="12"/>
  <c r="U16" i="6" s="1"/>
  <c r="T12" i="6"/>
  <c r="T21" i="6"/>
  <c r="N14" i="12"/>
  <c r="U17" i="6" s="1"/>
  <c r="V17" i="6" s="1"/>
  <c r="T10" i="6"/>
  <c r="T17" i="6"/>
  <c r="P17" i="1" s="1" a="1"/>
  <c r="P17" i="1" s="1"/>
  <c r="F15" i="13"/>
  <c r="D2" i="13"/>
  <c r="C2" i="13"/>
  <c r="E2" i="13"/>
  <c r="B2" i="13"/>
  <c r="N27" i="12"/>
  <c r="N34" i="12"/>
  <c r="N22" i="12"/>
  <c r="N85" i="12"/>
  <c r="N6" i="12"/>
  <c r="U7" i="6" s="1"/>
  <c r="V7" i="6" s="1"/>
  <c r="N77" i="12"/>
  <c r="N12" i="12"/>
  <c r="U8" i="6" s="1"/>
  <c r="V8" i="6" s="1"/>
  <c r="AB67" i="4"/>
  <c r="N64" i="12"/>
  <c r="N88" i="12"/>
  <c r="N57" i="12"/>
  <c r="N63" i="12"/>
  <c r="N61" i="12"/>
  <c r="N26" i="12"/>
  <c r="U4" i="6" s="1"/>
  <c r="V4" i="6" s="1"/>
  <c r="N44" i="12"/>
  <c r="AB136" i="4"/>
  <c r="N72" i="12"/>
  <c r="AB188" i="4"/>
  <c r="N19" i="12"/>
  <c r="U11" i="6" s="1"/>
  <c r="V11" i="6" s="1"/>
  <c r="N16" i="12"/>
  <c r="N32" i="12"/>
  <c r="N29" i="12"/>
  <c r="U12" i="6" s="1"/>
  <c r="V12" i="6" s="1"/>
  <c r="N21" i="12"/>
  <c r="U18" i="6" s="1"/>
  <c r="Q18" i="1" s="1" a="1"/>
  <c r="Q18" i="1" s="1"/>
  <c r="N89" i="12"/>
  <c r="N65" i="12"/>
  <c r="N20" i="12"/>
  <c r="U5" i="6" s="1"/>
  <c r="V5" i="6" s="1"/>
  <c r="V16" i="6"/>
  <c r="Q17" i="1" a="1"/>
  <c r="Q17" i="1" s="1"/>
  <c r="V20" i="6"/>
  <c r="Q20" i="1" a="1"/>
  <c r="Q20" i="1" s="1"/>
  <c r="V23" i="6"/>
  <c r="Q26" i="1" a="1"/>
  <c r="Q26" i="1" s="1"/>
  <c r="AB36" i="4"/>
  <c r="P52" i="1" s="1" a="1"/>
  <c r="P52" i="1" s="1"/>
  <c r="AB11" i="4"/>
  <c r="P55" i="1" s="1" a="1"/>
  <c r="P55" i="1" s="1"/>
  <c r="N23" i="12"/>
  <c r="T5" i="6"/>
  <c r="P5" i="1" s="1" a="1"/>
  <c r="P5" i="1" s="1"/>
  <c r="F3" i="13" s="1"/>
  <c r="AB137" i="4"/>
  <c r="AB84" i="4"/>
  <c r="U40" i="6"/>
  <c r="V40" i="6" s="1"/>
  <c r="U27" i="6"/>
  <c r="V27" i="6" s="1"/>
  <c r="U45" i="6"/>
  <c r="V45" i="6" s="1"/>
  <c r="U32" i="6"/>
  <c r="V32" i="6" s="1"/>
  <c r="U50" i="6"/>
  <c r="V50" i="6" s="1"/>
  <c r="U43" i="6"/>
  <c r="V43" i="6" s="1"/>
  <c r="U30" i="6"/>
  <c r="V30" i="6" s="1"/>
  <c r="U48" i="6"/>
  <c r="V48" i="6" s="1"/>
  <c r="U35" i="6"/>
  <c r="V35" i="6" s="1"/>
  <c r="U28" i="6"/>
  <c r="V28" i="6" s="1"/>
  <c r="U46" i="6"/>
  <c r="V46" i="6" s="1"/>
  <c r="U33" i="6"/>
  <c r="V33" i="6" s="1"/>
  <c r="U51" i="6"/>
  <c r="V51" i="6" s="1"/>
  <c r="U38" i="6"/>
  <c r="V38" i="6" s="1"/>
  <c r="U31" i="6"/>
  <c r="V31" i="6" s="1"/>
  <c r="U49" i="6"/>
  <c r="V49" i="6" s="1"/>
  <c r="U36" i="6"/>
  <c r="V36" i="6" s="1"/>
  <c r="U41" i="6"/>
  <c r="V41" i="6" s="1"/>
  <c r="U34" i="6"/>
  <c r="V34" i="6" s="1"/>
  <c r="U52" i="6"/>
  <c r="V52" i="6" s="1"/>
  <c r="U39" i="6"/>
  <c r="V39" i="6" s="1"/>
  <c r="U26" i="6"/>
  <c r="V26" i="6" s="1"/>
  <c r="U44" i="6"/>
  <c r="V44" i="6" s="1"/>
  <c r="U37" i="6"/>
  <c r="V37" i="6" s="1"/>
  <c r="U42" i="6"/>
  <c r="V42" i="6" s="1"/>
  <c r="U29" i="6"/>
  <c r="V29" i="6" s="1"/>
  <c r="U47" i="6"/>
  <c r="V47" i="6" s="1"/>
  <c r="AB28" i="4"/>
  <c r="P58" i="1" s="1" a="1"/>
  <c r="P58" i="1" s="1"/>
  <c r="T15" i="6"/>
  <c r="P15" i="1" s="1" a="1"/>
  <c r="P15" i="1" s="1"/>
  <c r="AB18" i="4"/>
  <c r="P54" i="1" s="1" a="1"/>
  <c r="P54" i="1" s="1"/>
  <c r="T25" i="6"/>
  <c r="P26" i="1" s="1" a="1"/>
  <c r="P26" i="1" s="1"/>
  <c r="AB21" i="4"/>
  <c r="P67" i="1" s="1" a="1"/>
  <c r="P67" i="1" s="1"/>
  <c r="T18" i="6"/>
  <c r="P18" i="1" s="1" a="1"/>
  <c r="P18" i="1" s="1"/>
  <c r="F13" i="13" s="1"/>
  <c r="T31" i="6"/>
  <c r="T49" i="6"/>
  <c r="T33" i="6"/>
  <c r="T51" i="6"/>
  <c r="T38" i="6"/>
  <c r="T34" i="6"/>
  <c r="T52" i="6"/>
  <c r="T36" i="6"/>
  <c r="T41" i="6"/>
  <c r="T37" i="6"/>
  <c r="T39" i="6"/>
  <c r="T26" i="6"/>
  <c r="T44" i="6"/>
  <c r="T40" i="6"/>
  <c r="T42" i="6"/>
  <c r="T29" i="6"/>
  <c r="T47" i="6"/>
  <c r="T43" i="6"/>
  <c r="T27" i="6"/>
  <c r="T45" i="6"/>
  <c r="T32" i="6"/>
  <c r="T50" i="6"/>
  <c r="T28" i="6"/>
  <c r="T46" i="6"/>
  <c r="T30" i="6"/>
  <c r="T48" i="6"/>
  <c r="T35" i="6"/>
  <c r="V19" i="6"/>
  <c r="Q19" i="1" a="1"/>
  <c r="Q19" i="1" s="1"/>
  <c r="Q57" i="1" a="1"/>
  <c r="Q57" i="1" s="1"/>
  <c r="Q33" i="1" a="1"/>
  <c r="Q33" i="1" s="1"/>
  <c r="N94" i="12"/>
  <c r="AB141" i="4"/>
  <c r="AB59" i="4"/>
  <c r="AB162" i="4"/>
  <c r="AB240" i="4"/>
  <c r="AB49" i="4"/>
  <c r="AB168" i="4"/>
  <c r="AB139" i="4"/>
  <c r="AB224" i="4"/>
  <c r="AB99" i="4"/>
  <c r="AB209" i="4"/>
  <c r="AB132" i="4"/>
  <c r="N50" i="12"/>
  <c r="AB117" i="4"/>
  <c r="N10" i="12"/>
  <c r="U21" i="6" s="1"/>
  <c r="N28" i="12"/>
  <c r="U15" i="6" s="1"/>
  <c r="N102" i="12"/>
  <c r="N33" i="12"/>
  <c r="U9" i="6" s="1"/>
  <c r="Q10" i="1" s="1" a="1"/>
  <c r="Q10" i="1" s="1"/>
  <c r="N35" i="12"/>
  <c r="N93" i="12"/>
  <c r="N111" i="12"/>
  <c r="N48" i="12"/>
  <c r="N91" i="12"/>
  <c r="N103" i="12"/>
  <c r="N43" i="12"/>
  <c r="T6" i="6"/>
  <c r="P6" i="1" s="1" a="1"/>
  <c r="P6" i="1" s="1"/>
  <c r="F4" i="13" s="1"/>
  <c r="T2" i="6"/>
  <c r="P2" i="1" s="1" a="1"/>
  <c r="P2" i="1" s="1"/>
  <c r="AB214" i="4"/>
  <c r="AB157" i="4"/>
  <c r="AB145" i="4"/>
  <c r="AB126" i="4"/>
  <c r="AB135" i="4"/>
  <c r="AB155" i="4"/>
  <c r="AB243" i="4"/>
  <c r="AB46" i="4"/>
  <c r="AB138" i="4"/>
  <c r="AB176" i="4"/>
  <c r="AB66" i="4"/>
  <c r="AB131" i="4"/>
  <c r="AB134" i="4"/>
  <c r="AB121" i="4"/>
  <c r="AB239" i="4"/>
  <c r="AB181" i="4"/>
  <c r="AB236" i="4"/>
  <c r="AB220" i="4"/>
  <c r="AB120" i="4"/>
  <c r="AB238" i="4"/>
  <c r="AB143" i="4"/>
  <c r="AB235" i="4"/>
  <c r="AB217" i="4"/>
  <c r="AB103" i="4"/>
  <c r="AB72" i="4"/>
  <c r="AB90" i="4"/>
  <c r="AB186" i="4"/>
  <c r="AB34" i="4"/>
  <c r="P64" i="1" s="1" a="1"/>
  <c r="P64" i="1" s="1"/>
  <c r="AB16" i="4"/>
  <c r="P80" i="1" s="1" a="1"/>
  <c r="P80" i="1" s="1"/>
  <c r="AB130" i="4"/>
  <c r="AB50" i="4"/>
  <c r="AB65" i="4"/>
  <c r="AB196" i="4"/>
  <c r="AB48" i="4"/>
  <c r="AB230" i="4"/>
  <c r="AB237" i="4"/>
  <c r="AB199" i="4"/>
  <c r="AB167" i="4"/>
  <c r="AB115" i="4"/>
  <c r="AB107" i="4"/>
  <c r="AB221" i="4"/>
  <c r="AB86" i="4"/>
  <c r="AB82" i="4"/>
  <c r="AB180" i="4"/>
  <c r="AB44" i="4"/>
  <c r="AB108" i="4"/>
  <c r="AB246" i="4"/>
  <c r="AB64" i="4"/>
  <c r="AB80" i="4"/>
  <c r="AB169" i="4"/>
  <c r="AB87" i="4"/>
  <c r="AB245" i="4"/>
  <c r="AB95" i="4"/>
  <c r="AB159" i="4"/>
  <c r="AB7" i="4"/>
  <c r="P13" i="1" s="1" a="1"/>
  <c r="P13" i="1" s="1"/>
  <c r="F11" i="13" s="1"/>
  <c r="AB153" i="4"/>
  <c r="AB79" i="4"/>
  <c r="AB5" i="4"/>
  <c r="P16" i="1" s="1" a="1"/>
  <c r="P16" i="1" s="1"/>
  <c r="F12" i="13" s="1"/>
  <c r="AB22" i="4"/>
  <c r="P61" i="1" s="1" a="1"/>
  <c r="P61" i="1" s="1"/>
  <c r="AB25" i="4"/>
  <c r="P45" i="1" s="1" a="1"/>
  <c r="P45" i="1" s="1"/>
  <c r="AB40" i="4"/>
  <c r="P53" i="1" s="1" a="1"/>
  <c r="P53" i="1" s="1"/>
  <c r="AB26" i="4"/>
  <c r="P14" i="1" s="1" a="1"/>
  <c r="P14" i="1" s="1"/>
  <c r="AB39" i="4"/>
  <c r="P69" i="1" s="1" a="1"/>
  <c r="P69" i="1" s="1"/>
  <c r="AB41" i="4"/>
  <c r="P77" i="1" s="1" a="1"/>
  <c r="P77" i="1" s="1"/>
  <c r="AB27" i="4"/>
  <c r="AB38" i="4"/>
  <c r="P12" i="1" s="1" a="1"/>
  <c r="P12" i="1" s="1"/>
  <c r="F10" i="13" s="1"/>
  <c r="AB241" i="4"/>
  <c r="AB163" i="4"/>
  <c r="AB77" i="4"/>
  <c r="AB113" i="4"/>
  <c r="AB69" i="4"/>
  <c r="AB33" i="4"/>
  <c r="P48" i="1" s="1" a="1"/>
  <c r="P48" i="1" s="1"/>
  <c r="AB9" i="4"/>
  <c r="P31" i="1" s="1" a="1"/>
  <c r="P31" i="1" s="1"/>
  <c r="AB232" i="4"/>
  <c r="AB190" i="4"/>
  <c r="AB119" i="4"/>
  <c r="AB70" i="4"/>
  <c r="AB96" i="4"/>
  <c r="AB175" i="4"/>
  <c r="AB206" i="4"/>
  <c r="AB71" i="4"/>
  <c r="AB179" i="4"/>
  <c r="AB74" i="4"/>
  <c r="AB62" i="4"/>
  <c r="AB81" i="4"/>
  <c r="AB226" i="4"/>
  <c r="AB178" i="4"/>
  <c r="AB116" i="4"/>
  <c r="AB73" i="4"/>
  <c r="AB192" i="4"/>
  <c r="T7" i="6"/>
  <c r="AB148" i="4"/>
  <c r="AB122" i="4"/>
  <c r="AB227" i="4"/>
  <c r="AB125" i="4"/>
  <c r="AB207" i="4"/>
  <c r="AB24" i="4"/>
  <c r="P44" i="1" s="1" a="1"/>
  <c r="P44" i="1" s="1"/>
  <c r="AB45" i="4"/>
  <c r="AB182" i="4"/>
  <c r="AB201" i="4"/>
  <c r="AB215" i="4"/>
  <c r="AB222" i="4"/>
  <c r="AB83" i="4"/>
  <c r="AB211" i="4"/>
  <c r="AB247" i="4"/>
  <c r="AB109" i="4"/>
  <c r="AB154" i="4"/>
  <c r="AB144" i="4"/>
  <c r="AB147" i="4"/>
  <c r="AB140" i="4"/>
  <c r="AB114" i="4"/>
  <c r="AB29" i="4"/>
  <c r="P42" i="1" s="1" a="1"/>
  <c r="P42" i="1" s="1"/>
  <c r="AB23" i="4"/>
  <c r="P56" i="1" s="1" a="1"/>
  <c r="P56" i="1" s="1"/>
  <c r="N52" i="12"/>
  <c r="AB51" i="4"/>
  <c r="AB193" i="4"/>
  <c r="AB93" i="4"/>
  <c r="AB68" i="4"/>
  <c r="AB101" i="4"/>
  <c r="AB88" i="4"/>
  <c r="AB160" i="4"/>
  <c r="AB118" i="4"/>
  <c r="AB129" i="4"/>
  <c r="AB252" i="4"/>
  <c r="AB231" i="4"/>
  <c r="AB102" i="4"/>
  <c r="AB212" i="4"/>
  <c r="AB173" i="4"/>
  <c r="AB161" i="4"/>
  <c r="AB204" i="4"/>
  <c r="AB244" i="4"/>
  <c r="AB216" i="4"/>
  <c r="N112" i="12"/>
  <c r="AB20" i="4"/>
  <c r="P74" i="1" s="1" a="1"/>
  <c r="P74" i="1" s="1"/>
  <c r="AB63" i="4"/>
  <c r="AB111" i="4"/>
  <c r="AB171" i="4"/>
  <c r="AB58" i="4"/>
  <c r="AB85" i="4"/>
  <c r="AB156" i="4"/>
  <c r="AB146" i="4"/>
  <c r="AB52" i="4"/>
  <c r="AB127" i="4"/>
  <c r="AB56" i="4"/>
  <c r="AB164" i="4"/>
  <c r="AB185" i="4"/>
  <c r="AB151" i="4"/>
  <c r="AB200" i="4"/>
  <c r="AB133" i="4"/>
  <c r="AB105" i="4"/>
  <c r="AB76" i="4"/>
  <c r="AB142" i="4"/>
  <c r="AB165" i="4"/>
  <c r="AB75" i="4"/>
  <c r="AB55" i="4"/>
  <c r="AB123" i="4"/>
  <c r="AB248" i="4"/>
  <c r="T4" i="6"/>
  <c r="P4" i="1" s="1" a="1"/>
  <c r="P4" i="1" s="1"/>
  <c r="F2" i="13" s="1"/>
  <c r="T8" i="6"/>
  <c r="P9" i="1" s="1" a="1"/>
  <c r="P9" i="1" s="1"/>
  <c r="F7" i="13" s="1"/>
  <c r="AB35" i="4"/>
  <c r="P68" i="1" s="1" a="1"/>
  <c r="P68" i="1" s="1"/>
  <c r="N3" i="12"/>
  <c r="AC35" i="4" s="1"/>
  <c r="Q68" i="1" s="1" a="1"/>
  <c r="Q68" i="1" s="1"/>
  <c r="AB31" i="4"/>
  <c r="P51" i="1" s="1" a="1"/>
  <c r="P51" i="1" s="1"/>
  <c r="AB10" i="4"/>
  <c r="P76" i="1" s="1" a="1"/>
  <c r="P76" i="1" s="1"/>
  <c r="AB8" i="4"/>
  <c r="P23" i="1" s="1" a="1"/>
  <c r="P23" i="1" s="1"/>
  <c r="N8" i="12"/>
  <c r="U22" i="6" s="1"/>
  <c r="N113" i="12"/>
  <c r="N15" i="12"/>
  <c r="U3" i="6" s="1"/>
  <c r="AB19" i="4"/>
  <c r="P8" i="1" s="1" a="1"/>
  <c r="P8" i="1" s="1"/>
  <c r="F6" i="13" s="1"/>
  <c r="AB32" i="4"/>
  <c r="P71" i="1" s="1" a="1"/>
  <c r="P71" i="1" s="1"/>
  <c r="AB17" i="4"/>
  <c r="P73" i="1" s="1" a="1"/>
  <c r="P73" i="1" s="1"/>
  <c r="N56" i="12"/>
  <c r="AB30" i="4"/>
  <c r="P63" i="1" s="1" a="1"/>
  <c r="P63" i="1" s="1"/>
  <c r="AB4" i="4"/>
  <c r="N25" i="12"/>
  <c r="U24" i="6" s="1"/>
  <c r="AB14" i="4"/>
  <c r="P66" i="1" s="1" a="1"/>
  <c r="P66" i="1" s="1"/>
  <c r="AB6" i="4"/>
  <c r="AB12" i="4"/>
  <c r="P75" i="1" s="1" a="1"/>
  <c r="P75" i="1" s="1"/>
  <c r="AB15" i="4"/>
  <c r="P46" i="1" s="1" a="1"/>
  <c r="P46" i="1" s="1"/>
  <c r="AC9" i="4"/>
  <c r="Q31" i="1" s="1" a="1"/>
  <c r="Q31" i="1" s="1"/>
  <c r="U6" i="6"/>
  <c r="AB37" i="4"/>
  <c r="P65" i="1" s="1" a="1"/>
  <c r="P65" i="1" s="1"/>
  <c r="N97" i="12"/>
  <c r="AB13" i="4"/>
  <c r="P50" i="1" s="1" a="1"/>
  <c r="P50" i="1" s="1"/>
  <c r="AB2" i="4"/>
  <c r="T9" i="6"/>
  <c r="P10" i="1" s="1" a="1"/>
  <c r="P10" i="1" s="1"/>
  <c r="F8" i="13" s="1"/>
  <c r="T3" i="6"/>
  <c r="P3" i="1" s="1" a="1"/>
  <c r="P3" i="1" s="1"/>
  <c r="N82" i="12"/>
  <c r="AB3" i="4"/>
  <c r="AB184" i="4"/>
  <c r="AB229" i="4"/>
  <c r="AB228" i="4"/>
  <c r="AB234" i="4"/>
  <c r="AB213" i="4"/>
  <c r="AB170" i="4"/>
  <c r="AB223" i="4"/>
  <c r="AB210" i="4"/>
  <c r="AB250" i="4"/>
  <c r="AB106" i="4"/>
  <c r="AB104" i="4"/>
  <c r="AB219" i="4"/>
  <c r="AB57" i="4"/>
  <c r="AB174" i="4"/>
  <c r="AB166" i="4"/>
  <c r="AB189" i="4"/>
  <c r="AB78" i="4"/>
  <c r="AB233" i="4"/>
  <c r="AB124" i="4"/>
  <c r="AB197" i="4"/>
  <c r="AB198" i="4"/>
  <c r="AB92" i="4"/>
  <c r="AB225" i="4"/>
  <c r="AB47" i="4"/>
  <c r="AB89" i="4"/>
  <c r="AB158" i="4"/>
  <c r="AB60" i="4"/>
  <c r="AB187" i="4"/>
  <c r="AB128" i="4"/>
  <c r="AB97" i="4"/>
  <c r="AB177" i="4"/>
  <c r="AB110" i="4"/>
  <c r="AB208" i="4"/>
  <c r="AB91" i="4"/>
  <c r="AB150" i="4"/>
  <c r="AB203" i="4"/>
  <c r="AB191" i="4"/>
  <c r="AB183" i="4"/>
  <c r="AB152" i="4"/>
  <c r="AB100" i="4"/>
  <c r="AB242" i="4"/>
  <c r="AB149" i="4"/>
  <c r="AB43" i="4"/>
  <c r="AB61" i="4"/>
  <c r="AB249" i="4"/>
  <c r="AB94" i="4"/>
  <c r="AB42" i="4"/>
  <c r="AB205" i="4"/>
  <c r="AB202" i="4"/>
  <c r="AB194" i="4"/>
  <c r="AB218" i="4"/>
  <c r="AB172" i="4"/>
  <c r="AB195" i="4"/>
  <c r="AB53" i="4"/>
  <c r="AB98" i="4"/>
  <c r="AB251" i="4"/>
  <c r="AB54" i="4"/>
  <c r="N83" i="12"/>
  <c r="N17" i="12"/>
  <c r="U2" i="6" s="1"/>
  <c r="N69" i="12"/>
  <c r="N105" i="12"/>
  <c r="N55" i="12"/>
  <c r="N78" i="12"/>
  <c r="N104" i="12"/>
  <c r="N110" i="12"/>
  <c r="N7" i="12"/>
  <c r="U13" i="6" s="1"/>
  <c r="N73" i="12"/>
  <c r="N38" i="12"/>
  <c r="N81" i="12"/>
  <c r="N41" i="12"/>
  <c r="N37" i="12"/>
  <c r="N46" i="12"/>
  <c r="N54" i="12"/>
  <c r="Q81" i="1" a="1"/>
  <c r="Q81" i="1" s="1"/>
  <c r="AC99" i="4"/>
  <c r="AC92" i="4"/>
  <c r="AC51" i="4"/>
  <c r="AC244" i="4"/>
  <c r="AC166" i="4"/>
  <c r="AC116" i="4"/>
  <c r="AC52" i="4"/>
  <c r="AC170" i="4"/>
  <c r="AC224" i="4"/>
  <c r="AC177" i="4"/>
  <c r="AC66" i="4"/>
  <c r="AC90" i="4"/>
  <c r="AC81" i="4"/>
  <c r="AC169" i="4"/>
  <c r="AC167" i="4"/>
  <c r="AC250" i="4"/>
  <c r="AC141" i="4"/>
  <c r="AC228" i="4"/>
  <c r="K4" i="1" a="1"/>
  <c r="K4" i="1" s="1"/>
  <c r="K57" i="1" a="1"/>
  <c r="K57" i="1" s="1"/>
  <c r="AC151" i="4" l="1"/>
  <c r="AC176" i="4"/>
  <c r="AC196" i="4"/>
  <c r="AC162" i="4"/>
  <c r="AC226" i="4"/>
  <c r="AC57" i="4"/>
  <c r="AC221" i="4"/>
  <c r="AC129" i="4"/>
  <c r="AC252" i="4"/>
  <c r="AC60" i="4"/>
  <c r="AC241" i="4"/>
  <c r="AC62" i="4"/>
  <c r="AC128" i="4"/>
  <c r="AC182" i="4"/>
  <c r="AC130" i="4"/>
  <c r="AC136" i="4"/>
  <c r="AC100" i="4"/>
  <c r="AC131" i="4"/>
  <c r="AC84" i="4"/>
  <c r="AC108" i="4"/>
  <c r="AC215" i="4"/>
  <c r="AC199" i="4"/>
  <c r="AC94" i="4"/>
  <c r="AC222" i="4"/>
  <c r="AC110" i="4"/>
  <c r="AC187" i="4"/>
  <c r="AC48" i="4"/>
  <c r="AC138" i="4"/>
  <c r="AC103" i="4"/>
  <c r="AC124" i="4"/>
  <c r="AC64" i="4"/>
  <c r="AC86" i="4"/>
  <c r="AC240" i="4"/>
  <c r="AC158" i="4"/>
  <c r="AC213" i="4"/>
  <c r="P7" i="1" a="1"/>
  <c r="P7" i="1" s="1"/>
  <c r="F5" i="13" s="1"/>
  <c r="P24" i="1" a="1"/>
  <c r="P24" i="1" s="1"/>
  <c r="F16" i="13" s="1"/>
  <c r="Q24" i="1" a="1"/>
  <c r="Q24" i="1" s="1"/>
  <c r="P21" i="1" a="1"/>
  <c r="P21" i="1" s="1"/>
  <c r="Q7" i="1" a="1"/>
  <c r="Q7" i="1" s="1"/>
  <c r="Q4" i="1" a="1"/>
  <c r="Q4" i="1" s="1"/>
  <c r="Q9" i="1" a="1"/>
  <c r="Q9" i="1" s="1"/>
  <c r="Q5" i="1" a="1"/>
  <c r="Q5" i="1" s="1"/>
  <c r="V18" i="6"/>
  <c r="Q11" i="1" a="1"/>
  <c r="Q11" i="1" s="1"/>
  <c r="V22" i="6"/>
  <c r="Q23" i="1" a="1"/>
  <c r="Q23" i="1" s="1"/>
  <c r="V9" i="6"/>
  <c r="V13" i="6"/>
  <c r="V15" i="6"/>
  <c r="Q15" i="1" a="1"/>
  <c r="Q15" i="1" s="1"/>
  <c r="V24" i="6"/>
  <c r="Q25" i="1" a="1"/>
  <c r="Q25" i="1" s="1"/>
  <c r="V21" i="6"/>
  <c r="P43" i="1" a="1"/>
  <c r="P43" i="1" s="1"/>
  <c r="P30" i="1" a="1"/>
  <c r="P30" i="1" s="1"/>
  <c r="P72" i="1" a="1"/>
  <c r="P72" i="1" s="1"/>
  <c r="P34" i="1" a="1"/>
  <c r="P34" i="1" s="1"/>
  <c r="P57" i="1" a="1"/>
  <c r="P57" i="1" s="1"/>
  <c r="P33" i="1" a="1"/>
  <c r="P33" i="1" s="1"/>
  <c r="P78" i="1" a="1"/>
  <c r="P78" i="1" s="1"/>
  <c r="P29" i="1" a="1"/>
  <c r="P29" i="1" s="1"/>
  <c r="P70" i="1" a="1"/>
  <c r="P70" i="1" s="1"/>
  <c r="P32" i="1" a="1"/>
  <c r="P32" i="1" s="1"/>
  <c r="P62" i="1" a="1"/>
  <c r="P62" i="1" s="1"/>
  <c r="P36" i="1" a="1"/>
  <c r="P36" i="1" s="1"/>
  <c r="P60" i="1" a="1"/>
  <c r="P60" i="1" s="1"/>
  <c r="P35" i="1" a="1"/>
  <c r="P35" i="1" s="1"/>
  <c r="V3" i="6"/>
  <c r="Q3" i="1" a="1"/>
  <c r="Q3" i="1" s="1"/>
  <c r="V6" i="6"/>
  <c r="Q6" i="1" a="1"/>
  <c r="Q6" i="1" s="1"/>
  <c r="V2" i="6"/>
  <c r="Q2" i="1" a="1"/>
  <c r="Q2" i="1" s="1"/>
  <c r="AC140" i="4"/>
  <c r="AC184" i="4"/>
  <c r="AC79" i="4"/>
  <c r="AC146" i="4"/>
  <c r="AC200" i="4"/>
  <c r="AC132" i="4"/>
  <c r="AC242" i="4"/>
  <c r="AC97" i="4"/>
  <c r="AC247" i="4"/>
  <c r="AC107" i="4"/>
  <c r="AC193" i="4"/>
  <c r="AC70" i="4"/>
  <c r="AC145" i="4"/>
  <c r="AC230" i="4"/>
  <c r="AC63" i="4"/>
  <c r="AC50" i="4"/>
  <c r="AC198" i="4"/>
  <c r="AC154" i="4"/>
  <c r="AC104" i="4"/>
  <c r="AC211" i="4"/>
  <c r="AC8" i="4"/>
  <c r="AC165" i="4"/>
  <c r="AC164" i="4"/>
  <c r="AC95" i="4"/>
  <c r="AC68" i="4"/>
  <c r="AC218" i="4"/>
  <c r="AC225" i="4"/>
  <c r="AC205" i="4"/>
  <c r="AC234" i="4"/>
  <c r="AC219" i="4"/>
  <c r="AC217" i="4"/>
  <c r="AC216" i="4"/>
  <c r="AC31" i="4"/>
  <c r="Q51" i="1" s="1" a="1"/>
  <c r="Q51" i="1" s="1"/>
  <c r="AC11" i="4"/>
  <c r="Q55" i="1" s="1" a="1"/>
  <c r="Q55" i="1" s="1"/>
  <c r="AC190" i="4"/>
  <c r="AC212" i="4"/>
  <c r="AC243" i="4"/>
  <c r="AC125" i="4"/>
  <c r="AC58" i="4"/>
  <c r="AC106" i="4"/>
  <c r="AC147" i="4"/>
  <c r="AC180" i="4"/>
  <c r="AC44" i="4"/>
  <c r="AC237" i="4"/>
  <c r="AC39" i="4"/>
  <c r="Q69" i="1" s="1" a="1"/>
  <c r="Q69" i="1" s="1"/>
  <c r="AC6" i="4"/>
  <c r="AC40" i="4"/>
  <c r="Q53" i="1" s="1" a="1"/>
  <c r="Q53" i="1" s="1"/>
  <c r="AC55" i="4"/>
  <c r="AC80" i="4"/>
  <c r="AC220" i="4"/>
  <c r="AC179" i="4"/>
  <c r="AC126" i="4"/>
  <c r="AC85" i="4"/>
  <c r="AC75" i="4"/>
  <c r="AC229" i="4"/>
  <c r="AC148" i="4"/>
  <c r="AC202" i="4"/>
  <c r="AC149" i="4"/>
  <c r="AC208" i="4"/>
  <c r="AC98" i="4"/>
  <c r="AC192" i="4"/>
  <c r="AC235" i="4"/>
  <c r="AC93" i="4"/>
  <c r="AC251" i="4"/>
  <c r="AC195" i="4"/>
  <c r="AC246" i="4"/>
  <c r="AC115" i="4"/>
  <c r="AC153" i="4"/>
  <c r="AC45" i="4"/>
  <c r="AC137" i="4"/>
  <c r="AC87" i="4"/>
  <c r="AC37" i="4"/>
  <c r="Q65" i="1" s="1" a="1"/>
  <c r="Q65" i="1" s="1"/>
  <c r="AC7" i="4"/>
  <c r="Q13" i="1" s="1" a="1"/>
  <c r="Q13" i="1" s="1"/>
  <c r="AC27" i="4"/>
  <c r="AC19" i="4"/>
  <c r="AC59" i="4"/>
  <c r="AC43" i="4"/>
  <c r="AC121" i="4"/>
  <c r="AC46" i="4"/>
  <c r="AC105" i="4"/>
  <c r="AC249" i="4"/>
  <c r="AC67" i="4"/>
  <c r="AC188" i="4"/>
  <c r="AC78" i="4"/>
  <c r="AC117" i="4"/>
  <c r="AC181" i="4"/>
  <c r="AC207" i="4"/>
  <c r="AC191" i="4"/>
  <c r="AC91" i="4"/>
  <c r="AC233" i="4"/>
  <c r="AC134" i="4"/>
  <c r="AC96" i="4"/>
  <c r="AC236" i="4"/>
  <c r="AC201" i="4"/>
  <c r="AC109" i="4"/>
  <c r="AC206" i="4"/>
  <c r="AC161" i="4"/>
  <c r="AC65" i="4"/>
  <c r="AC34" i="4"/>
  <c r="Q64" i="1" s="1" a="1"/>
  <c r="Q64" i="1" s="1"/>
  <c r="AC5" i="4"/>
  <c r="Q16" i="1" s="1" a="1"/>
  <c r="Q16" i="1" s="1"/>
  <c r="AC26" i="4"/>
  <c r="Q14" i="1" s="1" a="1"/>
  <c r="Q14" i="1" s="1"/>
  <c r="AC21" i="4"/>
  <c r="Q67" i="1" s="1" a="1"/>
  <c r="Q67" i="1" s="1"/>
  <c r="AC20" i="4"/>
  <c r="Q74" i="1" s="1" a="1"/>
  <c r="Q74" i="1" s="1"/>
  <c r="AC3" i="4"/>
  <c r="AC42" i="4"/>
  <c r="AC18" i="4"/>
  <c r="Q54" i="1" s="1" a="1"/>
  <c r="Q54" i="1" s="1"/>
  <c r="AC173" i="4"/>
  <c r="AC102" i="4"/>
  <c r="AC171" i="4"/>
  <c r="AC183" i="4"/>
  <c r="AC47" i="4"/>
  <c r="AC168" i="4"/>
  <c r="AC238" i="4"/>
  <c r="AC89" i="4"/>
  <c r="AC239" i="4"/>
  <c r="AC174" i="4"/>
  <c r="AC172" i="4"/>
  <c r="AC32" i="4"/>
  <c r="Q71" i="1" s="1" a="1"/>
  <c r="Q71" i="1" s="1"/>
  <c r="AC209" i="4"/>
  <c r="AC88" i="4"/>
  <c r="AC120" i="4"/>
  <c r="AC231" i="4"/>
  <c r="AC185" i="4"/>
  <c r="AC186" i="4"/>
  <c r="AC113" i="4"/>
  <c r="AC13" i="4"/>
  <c r="Q50" i="1" s="1" a="1"/>
  <c r="Q50" i="1" s="1"/>
  <c r="AC15" i="4"/>
  <c r="Q46" i="1" s="1" a="1"/>
  <c r="Q46" i="1" s="1"/>
  <c r="AC54" i="4"/>
  <c r="AC139" i="4"/>
  <c r="AC114" i="4"/>
  <c r="AC144" i="4"/>
  <c r="AC111" i="4"/>
  <c r="AC204" i="4"/>
  <c r="AC112" i="4"/>
  <c r="AC232" i="4"/>
  <c r="AC156" i="4"/>
  <c r="AC152" i="4"/>
  <c r="AC61" i="4"/>
  <c r="AC71" i="4"/>
  <c r="AC118" i="4"/>
  <c r="AC197" i="4"/>
  <c r="AC142" i="4"/>
  <c r="AC119" i="4"/>
  <c r="AC135" i="4"/>
  <c r="AC56" i="4"/>
  <c r="AC203" i="4"/>
  <c r="AC83" i="4"/>
  <c r="AC143" i="4"/>
  <c r="AC25" i="4"/>
  <c r="Q45" i="1" s="1" a="1"/>
  <c r="Q45" i="1" s="1"/>
  <c r="AC163" i="4"/>
  <c r="AC189" i="4"/>
  <c r="AC41" i="4"/>
  <c r="Q77" i="1" s="1" a="1"/>
  <c r="Q77" i="1" s="1"/>
  <c r="AC16" i="4"/>
  <c r="Q80" i="1" s="1" a="1"/>
  <c r="Q80" i="1" s="1"/>
  <c r="AC245" i="4"/>
  <c r="AC69" i="4"/>
  <c r="AC73" i="4"/>
  <c r="AC157" i="4"/>
  <c r="AC76" i="4"/>
  <c r="AC122" i="4"/>
  <c r="AC38" i="4"/>
  <c r="Q12" i="1" s="1" a="1"/>
  <c r="Q12" i="1" s="1"/>
  <c r="AC214" i="4"/>
  <c r="AC155" i="4"/>
  <c r="AC194" i="4"/>
  <c r="AC210" i="4"/>
  <c r="AC74" i="4"/>
  <c r="AC123" i="4"/>
  <c r="AC127" i="4"/>
  <c r="AC101" i="4"/>
  <c r="AC159" i="4"/>
  <c r="AC175" i="4"/>
  <c r="AC49" i="4"/>
  <c r="AC77" i="4"/>
  <c r="AC150" i="4"/>
  <c r="AC248" i="4"/>
  <c r="AC17" i="4"/>
  <c r="Q73" i="1" s="1" a="1"/>
  <c r="Q73" i="1" s="1"/>
  <c r="AC22" i="4"/>
  <c r="Q61" i="1" s="1" a="1"/>
  <c r="Q61" i="1" s="1"/>
  <c r="AC72" i="4"/>
  <c r="AC227" i="4"/>
  <c r="AC223" i="4"/>
  <c r="AC133" i="4"/>
  <c r="AC178" i="4"/>
  <c r="AC53" i="4"/>
  <c r="AC160" i="4"/>
  <c r="AC82" i="4"/>
  <c r="AC14" i="4"/>
  <c r="Q66" i="1" s="1" a="1"/>
  <c r="Q66" i="1" s="1"/>
  <c r="AC36" i="4"/>
  <c r="Q52" i="1" s="1" a="1"/>
  <c r="Q52" i="1" s="1"/>
  <c r="AC24" i="4"/>
  <c r="Q44" i="1" s="1" a="1"/>
  <c r="Q44" i="1" s="1"/>
  <c r="AC28" i="4"/>
  <c r="Q58" i="1" s="1" a="1"/>
  <c r="Q58" i="1" s="1"/>
  <c r="AC12" i="4"/>
  <c r="Q75" i="1" s="1" a="1"/>
  <c r="Q75" i="1" s="1"/>
  <c r="AC10" i="4"/>
  <c r="Q76" i="1" s="1" a="1"/>
  <c r="Q76" i="1" s="1"/>
  <c r="AC33" i="4"/>
  <c r="Q48" i="1" s="1" a="1"/>
  <c r="Q48" i="1" s="1"/>
  <c r="AC30" i="4"/>
  <c r="Q63" i="1" s="1" a="1"/>
  <c r="Q63" i="1" s="1"/>
  <c r="AC23" i="4"/>
  <c r="Q56" i="1" s="1" a="1"/>
  <c r="Q56" i="1" s="1"/>
  <c r="AC29" i="4"/>
  <c r="Q42" i="1" s="1" a="1"/>
  <c r="Q42" i="1" s="1"/>
  <c r="AC4" i="4"/>
  <c r="Q8" i="1" l="1" a="1"/>
  <c r="Q8" i="1" s="1"/>
  <c r="Q21" i="1" a="1"/>
  <c r="Q21" i="1" s="1"/>
  <c r="Q72" i="1" a="1"/>
  <c r="Q72" i="1" s="1"/>
  <c r="Q34" i="1" a="1"/>
  <c r="Q34" i="1" s="1"/>
  <c r="Q78" i="1" a="1"/>
  <c r="Q78" i="1" s="1"/>
  <c r="Q29" i="1" a="1"/>
  <c r="Q29" i="1" s="1"/>
  <c r="Q62" i="1" a="1"/>
  <c r="Q62" i="1" s="1"/>
  <c r="Q36" i="1" a="1"/>
  <c r="Q36" i="1" s="1"/>
  <c r="Q60" i="1" a="1"/>
  <c r="Q60" i="1" s="1"/>
  <c r="Q35" i="1" a="1"/>
  <c r="Q35" i="1" s="1"/>
  <c r="Q70" i="1" a="1"/>
  <c r="Q70" i="1" s="1"/>
  <c r="Q32" i="1" a="1"/>
  <c r="Q32" i="1" s="1"/>
  <c r="Q43" i="1" a="1"/>
  <c r="Q43" i="1" s="1"/>
  <c r="Q30" i="1" a="1"/>
  <c r="Q3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<sst xmlns="http://schemas.openxmlformats.org/spreadsheetml/2006/main" count="974" uniqueCount="569">
  <si>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</si>
  <si>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</si>
  <si>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</si>
  <si>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</si>
  <si>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</si>
  <si>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</si>
  <si>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</si>
  <si>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</si>
  <si>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</si>
  <si>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</si>
  <si>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</si>
  <si>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</si>
  <si>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power supply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</si>
  <si>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</si>
  <si>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</si>
  <si>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</si>
  <si>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</si>
  <si>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</si>
  <si>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</si>
  <si>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</si>
  <si>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</si>
  <si>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</si>
  <si>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</si>
  <si>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</si>
  <si>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</si>
  <si>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</si>
  <si>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</si>
  <si>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Custom 1</t>
  </si>
  <si>
    <t>Device Identifier</t>
  </si>
  <si>
    <t>Erasure state</t>
  </si>
  <si>
    <t>System serial</t>
  </si>
  <si>
    <t>System version</t>
  </si>
  <si>
    <t>System model</t>
  </si>
  <si>
    <t>Battery test</t>
  </si>
  <si>
    <t>Display test comment</t>
  </si>
  <si>
    <t>Keyboard test comment</t>
  </si>
  <si>
    <t>USB port hardware test comment</t>
  </si>
  <si>
    <t>Webcam test comment</t>
  </si>
  <si>
    <t>CPU model</t>
  </si>
  <si>
    <t>Memory capacity</t>
  </si>
  <si>
    <t>Memory type</t>
  </si>
  <si>
    <t>Disk capacity</t>
  </si>
  <si>
    <t>Disk interface type</t>
  </si>
  <si>
    <t>Disk serial</t>
  </si>
  <si>
    <t>Disk model</t>
  </si>
  <si>
    <t>Erasure start time</t>
  </si>
  <si>
    <t>Battery capacity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</si>
  <si>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</si>
  <si>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</si>
  <si>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</si>
  <si>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</si>
  <si>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</si>
  <si>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</si>
  <si>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</si>
  <si>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</si>
  <si>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</si>
  <si>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</si>
  <si>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</si>
  <si>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</si>
  <si>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</si>
  <si>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</si>
  <si>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</si>
  <si>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</si>
  <si>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</si>
  <si>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</si>
  <si>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</si>
  <si>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</si>
  <si>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</si>
  <si>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</si>
  <si>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</si>
  <si>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</si>
  <si>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</si>
  <si>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</si>
  <si>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</si>
  <si>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</si>
  <si>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</si>
  <si>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</si>
  <si>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</si>
  <si>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</si>
  <si>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</si>
  <si>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</si>
  <si>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A2141</t>
  </si>
  <si>
    <t>MacBookPro16,3</t>
  </si>
  <si>
    <t>A2289</t>
  </si>
  <si>
    <t>A2251</t>
  </si>
  <si>
    <t>MacBookPro16,1</t>
  </si>
  <si>
    <t>MacBookPro15,4</t>
  </si>
  <si>
    <t>A2159</t>
  </si>
  <si>
    <t>MacBookPro15,3</t>
  </si>
  <si>
    <t>A1990</t>
  </si>
  <si>
    <t>MacBookPro15,2</t>
  </si>
  <si>
    <t>A1989</t>
  </si>
  <si>
    <t>MacBookPro15,1</t>
  </si>
  <si>
    <t>MacBookPro14,3</t>
  </si>
  <si>
    <t>A1707</t>
  </si>
  <si>
    <t>MacBookPro14,2</t>
  </si>
  <si>
    <t>A1706</t>
  </si>
  <si>
    <t>MacBookPro14,1</t>
  </si>
  <si>
    <t>A1708</t>
  </si>
  <si>
    <t>MacBookPro13,3</t>
  </si>
  <si>
    <t>MacBookPro13,2</t>
  </si>
  <si>
    <t>MacBookPro13,1</t>
  </si>
  <si>
    <t>MacBookPro12,1</t>
  </si>
  <si>
    <t>A1502</t>
  </si>
  <si>
    <t>MacBookPro11,5</t>
  </si>
  <si>
    <t>A1398</t>
  </si>
  <si>
    <t>MacBookPro11,4</t>
  </si>
  <si>
    <t>MacBookPro11,3</t>
  </si>
  <si>
    <t>MacBookPro11,2</t>
  </si>
  <si>
    <t>MacBookPro17,1</t>
  </si>
  <si>
    <t>A2338</t>
  </si>
  <si>
    <t>MacBookPro18,2</t>
  </si>
  <si>
    <t>A2485</t>
  </si>
  <si>
    <t>MacBookPro18,3</t>
  </si>
  <si>
    <t>A2442</t>
  </si>
  <si>
    <t>MacBookPro18,4</t>
  </si>
  <si>
    <t>MacBookPro18,1</t>
  </si>
  <si>
    <t>Mac14,7</t>
  </si>
  <si>
    <t>Mac14,9</t>
  </si>
  <si>
    <t>A2779</t>
  </si>
  <si>
    <t>Mac14,5</t>
  </si>
  <si>
    <t>Mac14,10</t>
  </si>
  <si>
    <t>A2780</t>
  </si>
  <si>
    <t>Mac14,6</t>
  </si>
  <si>
    <t>Mac15,3</t>
  </si>
  <si>
    <t>A2918</t>
  </si>
  <si>
    <t>Mac15,6</t>
  </si>
  <si>
    <t>A2992</t>
  </si>
  <si>
    <t>Mac15,10</t>
  </si>
  <si>
    <t>Mac15,8</t>
  </si>
  <si>
    <t>Mac15,7</t>
  </si>
  <si>
    <t>A2991</t>
  </si>
  <si>
    <t>Mac15,11</t>
  </si>
  <si>
    <t>Mac15,9</t>
  </si>
  <si>
    <t>MacBookAir7,1</t>
  </si>
  <si>
    <t>A1465</t>
  </si>
  <si>
    <t>MacBookAir7,2</t>
  </si>
  <si>
    <t>A1466</t>
  </si>
  <si>
    <t>MacBookAir8,1</t>
  </si>
  <si>
    <t>A1932</t>
  </si>
  <si>
    <t>MacBookAir8,2</t>
  </si>
  <si>
    <t>MacBookAir9,1</t>
  </si>
  <si>
    <t>A2179</t>
  </si>
  <si>
    <t>MacBookAir10,1</t>
  </si>
  <si>
    <t>A2337</t>
  </si>
  <si>
    <t>Mac14,2</t>
  </si>
  <si>
    <t>A2681</t>
  </si>
  <si>
    <t>Mac14,15</t>
  </si>
  <si>
    <t>A2941</t>
  </si>
  <si>
    <t>Mac15,12</t>
  </si>
  <si>
    <t>A3113</t>
  </si>
  <si>
    <t>Mac15,13</t>
  </si>
  <si>
    <t>A3114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</si>
  <si>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</si>
  <si>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</si>
  <si>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</si>
  <si>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</si>
  <si>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</si>
  <si>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</si>
  <si>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</si>
  <si>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</si>
  <si>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</si>
  <si>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</si>
  <si>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</si>
  <si>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</si>
  <si>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</si>
  <si>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</si>
  <si>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</si>
  <si>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</si>
  <si>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</si>
  <si>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</si>
  <si>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</si>
  <si>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</si>
  <si>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</si>
  <si>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</si>
  <si>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</si>
  <si>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</si>
  <si>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</si>
  <si>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</si>
  <si>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</si>
  <si>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</si>
  <si>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</si>
  <si>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</si>
  <si>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</si>
  <si>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</si>
  <si>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</si>
  <si>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</si>
  <si>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</si>
  <si>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</si>
  <si>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</si>
  <si>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</si>
  <si>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</si>
  <si>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</si>
  <si>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</si>
  <si>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</si>
  <si>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</si>
  <si>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</si>
  <si>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</si>
  <si>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</si>
  <si>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</si>
  <si>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</si>
  <si>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</si>
  <si>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</si>
  <si>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</si>
  <si>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</si>
  <si>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</si>
  <si>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</si>
  <si>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</si>
  <si>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</si>
  <si>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</si>
  <si>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</si>
  <si>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</si>
  <si>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</si>
  <si>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</si>
  <si>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</si>
  <si>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</si>
  <si>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</si>
  <si>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</si>
  <si>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</si>
  <si>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</si>
  <si>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</si>
  <si>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</si>
  <si>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</si>
  <si>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</si>
  <si>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</si>
  <si>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</si>
  <si>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</si>
  <si>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</si>
  <si>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</si>
  <si>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</si>
  <si>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</si>
  <si>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</si>
  <si>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</si>
  <si>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</si>
  <si>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</si>
  <si>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</si>
  <si>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</si>
  <si>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</si>
  <si>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</si>
  <si>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</si>
  <si>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</si>
  <si>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</si>
  <si>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</si>
  <si>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</si>
  <si>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</si>
  <si>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</si>
  <si>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</si>
  <si>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</si>
  <si>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</si>
  <si>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</si>
  <si>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</si>
  <si>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</si>
  <si>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</si>
  <si>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</si>
  <si>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</si>
  <si>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</si>
  <si>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</si>
  <si>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</si>
  <si>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</si>
  <si>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</si>
  <si>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</si>
  <si>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</si>
  <si>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</si>
  <si>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</si>
  <si>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</si>
  <si>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</si>
  <si>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</si>
  <si>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</si>
  <si>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</si>
  <si>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</si>
  <si>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</si>
  <si>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</si>
  <si>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</si>
  <si>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</si>
  <si>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</si>
  <si>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</si>
  <si>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</si>
  <si>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</si>
  <si>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</si>
  <si>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</si>
  <si>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</si>
  <si>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</si>
  <si>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</si>
  <si>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</si>
  <si>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</si>
  <si>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</si>
  <si>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</si>
  <si>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</si>
  <si>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</si>
  <si>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</si>
  <si>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</si>
  <si>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</si>
  <si>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</si>
  <si>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</si>
  <si>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</si>
  <si>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</si>
  <si>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</si>
  <si>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</si>
  <si>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</si>
  <si>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</si>
  <si>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</si>
  <si>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</si>
  <si>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</si>
  <si>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</si>
  <si>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</si>
  <si>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</si>
  <si>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</si>
  <si>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</si>
  <si>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</si>
  <si>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</si>
  <si>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</si>
  <si>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</si>
  <si>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</si>
  <si>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</si>
  <si>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</si>
  <si>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</si>
  <si>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CorePart</t>
  </si>
  <si>
    <t>RyzenPart</t>
  </si>
  <si>
    <t>UltraPart</t>
  </si>
  <si>
    <t>CoreCode</t>
  </si>
  <si>
    <t>RyzenCode</t>
  </si>
  <si>
    <t>UltraCode</t>
  </si>
  <si>
    <t>CPU Original</t>
  </si>
  <si>
    <t>Ram Type</t>
  </si>
  <si>
    <t>RAM Size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</si>
  <si>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</si>
  <si>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</si>
  <si>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</si>
  <si>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</si>
  <si>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</si>
  <si>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</si>
  <si>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</si>
  <si>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</si>
  <si>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</si>
  <si>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</si>
  <si>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>Battery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</si>
  <si>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</si>
  <si>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</si>
  <si>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</si>
  <si>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</si>
  <si>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</si>
  <si>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</si>
  <si>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</si>
  <si>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</si>
  <si>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</si>
  <si>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</si>
  <si>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</si>
  <si>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</si>
  <si>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</si>
  <si>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</si>
  <si>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</si>
  <si>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</si>
  <si>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</si>
  <si>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</si>
  <si>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</si>
  <si>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</si>
  <si>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</si>
  <si>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</si>
  <si>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</si>
  <si>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</si>
  <si>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</si>
  <si>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</si>
  <si>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</si>
  <si>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</si>
  <si>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</si>
  <si>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</si>
  <si>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</si>
  <si>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</si>
  <si>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</si>
  <si>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</si>
  <si>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</si>
  <si>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</si>
  <si>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</si>
  <si>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</si>
  <si>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</si>
  <si>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</si>
  <si>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</si>
  <si>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</si>
  <si>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</si>
  <si>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</si>
  <si>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</si>
  <si>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</si>
  <si>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</si>
  <si>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</si>
  <si>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</si>
  <si>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</si>
  <si>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</si>
  <si>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</si>
  <si>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</si>
  <si>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</si>
  <si>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</si>
  <si>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</si>
  <si>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</si>
  <si>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</si>
  <si>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</si>
  <si>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</si>
  <si>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</si>
  <si>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</si>
  <si>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</si>
  <si>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</si>
  <si>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</si>
  <si>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</si>
  <si>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</si>
  <si>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</si>
  <si>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</si>
  <si>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</si>
  <si>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</si>
  <si>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</si>
  <si>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</si>
  <si>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</si>
  <si>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</si>
  <si>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</si>
  <si>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</si>
  <si>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</si>
  <si>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</si>
  <si>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</si>
  <si>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</si>
  <si>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</si>
  <si>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</si>
  <si>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</si>
  <si>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</si>
  <si>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</si>
  <si>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</si>
  <si>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</si>
  <si>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</si>
  <si>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</si>
  <si>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</si>
  <si>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</si>
  <si>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</si>
  <si>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</si>
  <si>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</si>
  <si>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</si>
  <si>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</si>
  <si>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</si>
  <si>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</si>
  <si>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</si>
  <si>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</si>
  <si>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</si>
  <si>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</si>
  <si>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</si>
  <si>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</si>
  <si>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</si>
  <si>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</si>
  <si>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</si>
  <si>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</si>
  <si>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</si>
  <si>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</si>
  <si>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</si>
  <si>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</si>
  <si>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</si>
  <si>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</si>
  <si>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</si>
  <si>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</si>
  <si>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</si>
  <si>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</si>
  <si>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</si>
  <si>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</si>
  <si>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</si>
  <si>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</si>
  <si>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</si>
  <si>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</si>
  <si>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</si>
  <si>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</si>
  <si>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</si>
  <si>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</si>
  <si>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</si>
  <si>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</si>
  <si>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</si>
  <si>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</si>
  <si>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</si>
  <si>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</si>
  <si>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</si>
  <si>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</si>
  <si>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</si>
  <si>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</si>
  <si>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</si>
  <si>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</si>
  <si>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</si>
  <si>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</si>
  <si>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</si>
  <si>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</si>
  <si>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</si>
  <si>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</si>
  <si>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</si>
  <si>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</si>
  <si>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</si>
  <si>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</si>
  <si>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</si>
  <si>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</si>
  <si>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</si>
  <si>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</si>
  <si>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</si>
  <si>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</si>
  <si>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</si>
  <si>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</si>
  <si>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</si>
  <si>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</si>
  <si>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</si>
  <si>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</si>
  <si>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</si>
  <si>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</si>
  <si>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</si>
  <si>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</si>
  <si>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</si>
  <si>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</si>
  <si>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</si>
  <si>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</si>
  <si>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</si>
  <si>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</si>
  <si>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</si>
  <si>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</si>
  <si>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</si>
  <si>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</si>
  <si>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</si>
  <si>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</si>
  <si>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</si>
  <si>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</si>
  <si>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</si>
  <si>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</si>
  <si>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</si>
  <si>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</si>
  <si>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</si>
  <si>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Speakers test</t>
  </si>
  <si>
    <t>Asset Tag</t>
  </si>
  <si>
    <t>Disk Capacity</t>
  </si>
  <si>
    <t>Wiping Yes/No</t>
  </si>
  <si>
    <t>Wiping result</t>
  </si>
  <si>
    <t>X</t>
  </si>
  <si>
    <t>Successful</t>
  </si>
  <si>
    <t>3J9CQV3</t>
  </si>
  <si>
    <t>PF39H3K1</t>
  </si>
  <si>
    <t>HQTW1724MV</t>
  </si>
  <si>
    <t>NFD2J6QF4K</t>
  </si>
  <si>
    <t>V724K59JH3</t>
  </si>
  <si>
    <t>GDJ63RCMJ6</t>
  </si>
  <si>
    <t>FVFG20W1Q05P</t>
  </si>
  <si>
    <t>C02GF7BUMD6R</t>
  </si>
  <si>
    <t>KN42V997P1</t>
  </si>
  <si>
    <t>1M8DQV3</t>
  </si>
  <si>
    <t>QQL7VDKWKV</t>
  </si>
  <si>
    <t>L4759KVCFK</t>
  </si>
  <si>
    <t>FY37MG06T6</t>
  </si>
  <si>
    <t>HQVK23XJJJ</t>
  </si>
  <si>
    <t>22JR6D3</t>
  </si>
  <si>
    <t>C5KF63W44P</t>
  </si>
  <si>
    <t>FVFG927NQ05P</t>
  </si>
  <si>
    <t>CH9QWW0TT2</t>
  </si>
  <si>
    <t>G0VQHYD9LR</t>
  </si>
  <si>
    <t>WWFYF00X2W</t>
  </si>
  <si>
    <t>45CBRQ3</t>
  </si>
  <si>
    <t>FJVL9C3</t>
  </si>
  <si>
    <t>DQ6TW7WWHQ</t>
  </si>
  <si>
    <t>FVFG22V4Q05P</t>
  </si>
  <si>
    <t>M5976HGHX1</t>
  </si>
  <si>
    <t>D7HDQV3</t>
  </si>
  <si>
    <t>HY20C4XHTJ</t>
  </si>
  <si>
    <t>GLWDQ5K9XW</t>
  </si>
  <si>
    <t>RWFDGQJF6H</t>
  </si>
  <si>
    <t>LWC1QFVQ31</t>
  </si>
  <si>
    <t>DV1JH74</t>
  </si>
  <si>
    <t>CFPD7KX472</t>
  </si>
  <si>
    <t>Pointer Test Comment</t>
  </si>
  <si>
    <t>Issue type</t>
  </si>
  <si>
    <t>Wiped</t>
  </si>
  <si>
    <t>Locked and Faulty</t>
  </si>
  <si>
    <t>Locked or Faulty</t>
  </si>
  <si>
    <t>Item Lookup</t>
  </si>
  <si>
    <t>ITEM</t>
  </si>
  <si>
    <t>SHR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</si>
</sst>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10" fillId="0" borderId="0" xfId="0" applyFont="1"/>
    <xf numFmtId="0" fontId="10" fillId="0" borderId="2" xfId="0" applyFont="1" applyBorder="1" applyAlignment="1">
      <alignment wrapText="1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0" fillId="0" borderId="0" xfId="0" applyNumberFormat="1"/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091.363906134262" createdVersion="8" refreshedVersion="8" minRefreshableVersion="3" recordCount="1000" xr:uid="{ED94AB4B-4EB7-4768-82BF-9E9AE399EFE7}">
  <cacheSource type="worksheet">
    <worksheetSource ref="A1:AE1048576" sheet="Disk_Pivot_Data"/>
  </cacheSource>
  <cacheFields count="31">
    <cacheField name="Business name" numFmtId="0">
      <sharedItems containsBlank="1" containsMixedTypes="1" containsNumber="1" containsInteger="1" minValue="0" maxValue="0"/>
    </cacheField>
    <cacheField name="System manufacturer" numFmtId="0">
      <sharedItems containsBlank="1" containsMixedTypes="1" containsNumber="1" containsInteger="1" minValue="0" maxValue="0"/>
    </cacheField>
    <cacheField name="System chassis type" numFmtId="0">
      <sharedItems containsBlank="1" containsMixedTypes="1" containsNumber="1" containsInteger="1" minValue="0" maxValue="0"/>
    </cacheField>
    <cacheField name="Custom 1" numFmtId="0">
      <sharedItems containsBlank="1" containsMixedTypes="1" containsNumber="1" containsInteger="1" minValue="0" maxValue="0"/>
    </cacheField>
    <cacheField name="Device Identifier" numFmtId="0">
      <sharedItems containsBlank="1" containsMixedTypes="1" containsNumber="1" containsInteger="1" minValue="0" maxValue="0"/>
    </cacheField>
    <cacheField name="Erasure state" numFmtId="0">
      <sharedItems containsBlank="1" containsMixedTypes="1" containsNumber="1" containsInteger="1" minValue="0" maxValue="0"/>
    </cacheField>
    <cacheField name="System serial" numFmtId="0">
      <sharedItems containsBlank="1" containsMixedTypes="1" containsNumber="1" containsInteger="1" minValue="0" maxValue="0" count="34">
        <s v="3J9CQV3"/>
        <s v="PF39H3K1"/>
        <s v="HQTW1724MV"/>
        <s v="NFD2J6QF4K"/>
        <s v="V724K59JH3"/>
        <s v="GDJ63RCMJ6"/>
        <s v="FVFG20W1Q05P"/>
        <s v="C02GF7BUMD6R"/>
        <s v="KN42V997P1"/>
        <s v="1M8DQV3"/>
        <s v="QQL7VDKWKV"/>
        <s v="L4759KVCFK"/>
        <s v="FY37MG06T6"/>
        <s v="HQVK23XJJJ"/>
        <s v="22JR6D3"/>
        <s v="C5KF63W44P"/>
        <s v="FVFG927NQ05P"/>
        <s v="CH9QWW0TT2"/>
        <s v="G0VQHYD9LR"/>
        <s v="WWFYF00X2W"/>
        <s v="45CBRQ3"/>
        <s v="FJVL9C3"/>
        <s v="DQ6TW7WWHQ"/>
        <s v="FVFG22V4Q05P"/>
        <s v="M5976HGHX1"/>
        <s v="D7HDQV3"/>
        <s v="HY20C4XHTJ"/>
        <s v="GLWDQ5K9XW"/>
        <s v="RWFDGQJF6H"/>
        <s v="LWC1QFVQ31"/>
        <s v="DV1JH74"/>
        <s v="CFPD7KX472"/>
        <n v="0"/>
        <m/>
      </sharedItems>
    </cacheField>
    <cacheField name="System version" numFmtId="0">
      <sharedItems containsBlank="1" containsMixedTypes="1" containsNumber="1" containsInteger="1" minValue="0" maxValue="1"/>
    </cacheField>
    <cacheField name="System model" numFmtId="0">
      <sharedItems containsBlank="1" containsMixedTypes="1" containsNumber="1" containsInteger="1" minValue="0" maxValue="0"/>
    </cacheField>
    <cacheField name="Battery test" numFmtId="0">
      <sharedItems containsBlank="1" containsMixedTypes="1" containsNumber="1" containsInteger="1" minValue="0" maxValue="0"/>
    </cacheField>
    <cacheField name="Display test comment" numFmtId="0">
      <sharedItems containsBlank="1" containsMixedTypes="1" containsNumber="1" containsInteger="1" minValue="0" maxValue="0"/>
    </cacheField>
    <cacheField name="Keyboard test comment" numFmtId="0">
      <sharedItems containsBlank="1" containsMixedTypes="1" containsNumber="1" containsInteger="1" minValue="0" maxValue="0"/>
    </cacheField>
    <cacheField name="PC speaker test comment" numFmtId="0">
      <sharedItems containsString="0" containsBlank="1" containsNumber="1" containsInteger="1" minValue="0" maxValue="0"/>
    </cacheField>
    <cacheField name="Speakers test" numFmtId="0">
      <sharedItems containsString="0" containsBlank="1" containsNumber="1" containsInteger="1" minValue="0" maxValue="0"/>
    </cacheField>
    <cacheField name="Pointer test comment" numFmtId="0">
      <sharedItems containsString="0" containsBlank="1" containsNumber="1" containsInteger="1" minValue="0" maxValue="0"/>
    </cacheField>
    <cacheField name="USB port hardware test comment" numFmtId="0">
      <sharedItems containsString="0" containsBlank="1" containsNumber="1" containsInteger="1" minValue="0" maxValue="0"/>
    </cacheField>
    <cacheField name="Webcam test comment" numFmtId="0">
      <sharedItems containsString="0" containsBlank="1" containsNumber="1" containsInteger="1" minValue="0" maxValue="0"/>
    </cacheField>
    <cacheField name="Network test comment" numFmtId="0">
      <sharedItems containsBlank="1" containsMixedTypes="1" containsNumber="1" containsInteger="1" minValue="0" maxValue="0"/>
    </cacheField>
    <cacheField name="CPU model" numFmtId="0">
      <sharedItems containsBlank="1" containsMixedTypes="1" containsNumber="1" containsInteger="1" minValue="0" maxValue="0"/>
    </cacheField>
    <cacheField name="Memory capacity" numFmtId="0">
      <sharedItems containsBlank="1" containsMixedTypes="1" containsNumber="1" containsInteger="1" minValue="0" maxValue="0"/>
    </cacheField>
    <cacheField name="Memory type" numFmtId="0">
      <sharedItems containsBlank="1" containsMixedTypes="1" containsNumber="1" containsInteger="1" minValue="0" maxValue="0"/>
    </cacheField>
    <cacheField name="Disk capacity" numFmtId="0">
      <sharedItems containsBlank="1" containsMixedTypes="1" containsNumber="1" containsInteger="1" minValue="0" maxValue="0"/>
    </cacheField>
    <cacheField name="Disk interface type" numFmtId="0">
      <sharedItems containsBlank="1" containsMixedTypes="1" containsNumber="1" containsInteger="1" minValue="0" maxValue="0"/>
    </cacheField>
    <cacheField name="Disk serial" numFmtId="0">
      <sharedItems containsBlank="1" containsMixedTypes="1" containsNumber="1" containsInteger="1" minValue="0" maxValue="222011802490"/>
    </cacheField>
    <cacheField name="Disk model" numFmtId="0">
      <sharedItems containsBlank="1" containsMixedTypes="1" containsNumber="1" containsInteger="1" minValue="0" maxValue="0"/>
    </cacheField>
    <cacheField name="Erasure start time" numFmtId="0">
      <sharedItems containsBlank="1" containsMixedTypes="1" containsNumber="1" minValue="0" maxValue="46090.668506944443"/>
    </cacheField>
    <cacheField name="Battery capacity" numFmtId="0">
      <sharedItems containsString="0" containsBlank="1" containsNumber="1" containsInteger="1" minValue="0" maxValue="99"/>
    </cacheField>
    <cacheField name="Battery test comment" numFmtId="0">
      <sharedItems containsBlank="1" containsMixedTypes="1" containsNumber="1" containsInteger="1" minValue="0" maxValue="0"/>
    </cacheField>
    <cacheField name="Erasure technician" numFmtId="0">
      <sharedItems containsBlank="1" containsMixedTypes="1" containsNumber="1" containsInteger="1" minValue="0" maxValue="0"/>
    </cacheField>
    <cacheField name="UUID" numFmtId="0">
      <sharedItems containsBlank="1" containsMixedTypes="1" containsNumber="1" containsInteger="1" minValue="0" maxValue="0"/>
    </cacheField>
    <cacheField name="Successful / Failed" numFmtId="0">
      <sharedItems containsBlank="1" count="4">
        <s v="Successful"/>
        <s v=""/>
        <m/>
        <s v="Faile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Axonius"/>
    <s v="Dell Inc."/>
    <s v="Notebook"/>
    <s v="X32"/>
    <n v="0"/>
    <s v="Successful"/>
    <x v="0"/>
    <n v="0"/>
    <s v="Latitude 7440"/>
    <s v="successful"/>
    <s v="Screen defect"/>
    <n v="0"/>
    <n v="0"/>
    <n v="0"/>
    <n v="0"/>
    <n v="0"/>
    <n v="0"/>
    <n v="0"/>
    <s v="13th Gen Intel(R) Core(TM) i7-1365U"/>
    <s v="4 GiB / 4 GiB / 4 GiB / 4 GiB / 4 GiB / 4 GiB / 4 GiB / 4 GiB"/>
    <s v="LPDDR5 / LPDDR5 / LPDDR5 / LPDDR5 / LPDDR5 / LPDDR5 / LPDDR5 / LPDDR5"/>
    <s v="512 GB"/>
    <s v="NVMe"/>
    <s v="2339439D133E"/>
    <s v="2550 Micron 512GB"/>
    <s v="2026-03-09T13:41:33+0000"/>
    <n v="84"/>
    <n v="0"/>
    <s v="TBS"/>
    <s v="6bea55b8-dc51-4e46-84a7-a439a4c43fa0"/>
    <x v="0"/>
  </r>
  <r>
    <s v="Axonius"/>
    <s v="LENOVO"/>
    <s v="Notebook"/>
    <s v="X31"/>
    <n v="0"/>
    <s v="Successful"/>
    <x v="1"/>
    <s v="ThinkPad X1 Carbon Gen 9"/>
    <s v="20XW009PIV"/>
    <s v="successful"/>
    <s v="Display B"/>
    <n v="0"/>
    <n v="0"/>
    <n v="0"/>
    <n v="0"/>
    <n v="0"/>
    <n v="0"/>
    <n v="0"/>
    <s v="11th Gen Intel(R) Core(TM) i7-1165G7 @ 2.80GHz"/>
    <s v="2 GiB / 2 GiB / 2 GiB / 2 GiB / 2 GiB / 2 GiB / 2 GiB / 2 GiB"/>
    <s v="LPDDR4 / LPDDR4 / LPDDR4 / LPDDR4 / LPDDR4 / LPDDR4 / LPDDR4 / LPDDR4"/>
    <s v="512 GB"/>
    <s v="NVMe"/>
    <s v="21453285479C"/>
    <s v="Micron MTFDKBA512TFH"/>
    <s v="2026-03-09T13:34:02+0000"/>
    <n v="99"/>
    <n v="0"/>
    <s v="TBS"/>
    <s v="a0f80afa-11a8-4ec7-a445-09f99e466646"/>
    <x v="0"/>
  </r>
  <r>
    <s v="Axonius"/>
    <s v="Apple, Inc."/>
    <s v="Laptop"/>
    <n v="0"/>
    <s v="X07"/>
    <s v="Successful"/>
    <x v="2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6361111111"/>
    <n v="0"/>
    <n v="0"/>
    <s v="SS"/>
    <s v="a781642a-d295-4f0d-a413-4bc0ac2b57d8"/>
    <x v="0"/>
  </r>
  <r>
    <s v="Axonius"/>
    <s v="Apple, Inc."/>
    <s v="Laptop"/>
    <n v="0"/>
    <s v="X15"/>
    <s v="Successful"/>
    <x v="3"/>
    <n v="0"/>
    <s v="MacBook Pro (M1 Mac, 14-inch, 2021)"/>
    <n v="0"/>
    <n v="0"/>
    <n v="0"/>
    <n v="0"/>
    <n v="0"/>
    <n v="0"/>
    <n v="0"/>
    <n v="0"/>
    <n v="0"/>
    <n v="0"/>
    <n v="0"/>
    <n v="0"/>
    <n v="0"/>
    <n v="0"/>
    <n v="0"/>
    <n v="0"/>
    <n v="46090.563368055555"/>
    <n v="0"/>
    <n v="0"/>
    <s v="SS"/>
    <s v="9b9fd1be-ee3a-4a93-89fb-49df18ed048a"/>
    <x v="0"/>
  </r>
  <r>
    <s v="Axonius"/>
    <s v="Apple, Inc."/>
    <s v="Laptop"/>
    <n v="0"/>
    <s v="X06"/>
    <s v="Successful"/>
    <x v="4"/>
    <n v="0"/>
    <s v="MacBook Pro (M1 Max, 16-inch, 2021)"/>
    <n v="0"/>
    <n v="0"/>
    <n v="0"/>
    <n v="0"/>
    <n v="0"/>
    <n v="0"/>
    <n v="0"/>
    <n v="0"/>
    <n v="0"/>
    <n v="0"/>
    <n v="0"/>
    <n v="0"/>
    <n v="0"/>
    <n v="0"/>
    <n v="0"/>
    <n v="0"/>
    <n v="46090.474259259259"/>
    <n v="0"/>
    <n v="0"/>
    <s v="SS"/>
    <s v="3f2a3c22-f489-4634-9686-be00bd5b13cd"/>
    <x v="0"/>
  </r>
  <r>
    <s v="Axonius"/>
    <s v="Apple, Inc."/>
    <s v="Laptop"/>
    <n v="0"/>
    <s v="X12"/>
    <s v="Successful"/>
    <x v="5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516747685186"/>
    <n v="0"/>
    <n v="0"/>
    <s v="SS"/>
    <s v="62918018-6292-459c-93c6-c3405bae5393"/>
    <x v="0"/>
  </r>
  <r>
    <s v="Axonius"/>
    <s v="Apple, Inc."/>
    <s v="Laptop"/>
    <n v="0"/>
    <s v="X22"/>
    <s v="Successful"/>
    <x v="6"/>
    <n v="0"/>
    <s v="MacBook Pro (M1, 2020)"/>
    <n v="0"/>
    <n v="0"/>
    <n v="0"/>
    <n v="0"/>
    <n v="0"/>
    <n v="0"/>
    <n v="0"/>
    <n v="0"/>
    <n v="0"/>
    <n v="0"/>
    <n v="0"/>
    <n v="0"/>
    <n v="0"/>
    <n v="0"/>
    <n v="0"/>
    <n v="0"/>
    <n v="46090.633159722223"/>
    <n v="0"/>
    <n v="0"/>
    <s v="SS"/>
    <s v="599791c1-da44-46de-b448-40804827c39a"/>
    <x v="0"/>
  </r>
  <r>
    <s v="Axonius"/>
    <s v="Apple Inc."/>
    <s v="Laptop"/>
    <s v="X23"/>
    <n v="0"/>
    <s v="Successful / Failed"/>
    <x v="7"/>
    <n v="1"/>
    <s v="MacBookPro16,1"/>
    <n v="0"/>
    <n v="0"/>
    <n v="0"/>
    <n v="0"/>
    <n v="0"/>
    <n v="0"/>
    <n v="0"/>
    <n v="0"/>
    <n v="0"/>
    <s v="Intel(R) Core(TM) i7-9750H CPU @ 2.60GHz"/>
    <s v="16 GiB / 16 GiB"/>
    <s v="DDR4 / DDR4"/>
    <s v="500 GB"/>
    <s v="NVMe"/>
    <s v="C02137300FZNGJ2AG"/>
    <s v="APPLE SSD AP0512N"/>
    <s v="2026-03-09T13:25:01+0000 / 2026-03-09T13:24:24+0000"/>
    <n v="0"/>
    <n v="0"/>
    <s v="SS"/>
    <s v="f4e01652-33ee-43e3-bf61-7973dc1f57f3"/>
    <x v="0"/>
  </r>
  <r>
    <s v="Axonius"/>
    <s v="Apple, Inc."/>
    <s v="Laptop"/>
    <n v="0"/>
    <s v="X20"/>
    <s v="Successful"/>
    <x v="8"/>
    <n v="0"/>
    <s v="MacBook Pro (M1 Pro, 14-inch, 2021)"/>
    <n v="0"/>
    <n v="0"/>
    <n v="0"/>
    <n v="0"/>
    <n v="0"/>
    <n v="0"/>
    <n v="0"/>
    <n v="0"/>
    <n v="0"/>
    <n v="0"/>
    <n v="0"/>
    <n v="0"/>
    <n v="0"/>
    <n v="0"/>
    <n v="0"/>
    <n v="0"/>
    <n v="46090.61346064815"/>
    <n v="0"/>
    <n v="0"/>
    <s v="SS"/>
    <s v="d95231a6-69db-4761-893f-a7171d7066bc"/>
    <x v="0"/>
  </r>
  <r>
    <s v="Axonius"/>
    <s v="Dell Inc."/>
    <s v="Notebook"/>
    <s v="X33"/>
    <n v="0"/>
    <s v="Successful"/>
    <x v="9"/>
    <n v="0"/>
    <s v="Latitude 7440"/>
    <s v="successful"/>
    <s v="Chassis damage B, Display B"/>
    <n v="0"/>
    <n v="0"/>
    <n v="0"/>
    <n v="0"/>
    <n v="0"/>
    <n v="0"/>
    <n v="0"/>
    <s v="13th Gen Intel(R) Core(TM) i7-1365U"/>
    <s v="4 GiB / 4 GiB / 4 GiB / 4 GiB / 4 GiB / 4 GiB / 4 GiB / 4 GiB"/>
    <s v="LPDDR5 / LPDDR5 / LPDDR5 / LPDDR5 / LPDDR5 / LPDDR5 / LPDDR5 / LPDDR5"/>
    <s v="512 GB"/>
    <s v="NVMe"/>
    <s v="233943AD9239"/>
    <s v="2550 Micron 512GB"/>
    <s v="2026-03-09T13:50:44+0000"/>
    <n v="83"/>
    <n v="0"/>
    <s v="TBS"/>
    <s v="b34ff945-093e-4a52-933e-2a4961ca1e0c"/>
    <x v="0"/>
  </r>
  <r>
    <s v="Axonius"/>
    <s v="Apple, Inc."/>
    <s v="Laptop"/>
    <n v="0"/>
    <s v="X08"/>
    <s v="Successful"/>
    <x v="10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82766203706"/>
    <n v="0"/>
    <n v="0"/>
    <s v="SS"/>
    <s v="e1377994-9769-45a5-bf12-85ce4bf89673"/>
    <x v="0"/>
  </r>
  <r>
    <s v="Axonius"/>
    <s v="Apple, Inc."/>
    <s v="Laptop"/>
    <n v="0"/>
    <s v="X13"/>
    <s v="Successful"/>
    <x v="11"/>
    <n v="0"/>
    <s v="MacBook Pro (M1 Pro, 14-inch, 2021)"/>
    <n v="0"/>
    <n v="0"/>
    <n v="0"/>
    <n v="0"/>
    <n v="0"/>
    <n v="0"/>
    <n v="0"/>
    <n v="0"/>
    <n v="0"/>
    <n v="0"/>
    <n v="0"/>
    <n v="0"/>
    <n v="0"/>
    <n v="0"/>
    <n v="0"/>
    <n v="0"/>
    <n v="46090.542962962965"/>
    <n v="0"/>
    <n v="0"/>
    <s v="SS"/>
    <s v="eba5042a-7319-41e0-b1b6-dbdd08ea21fd"/>
    <x v="0"/>
  </r>
  <r>
    <s v="Axonius"/>
    <s v="Apple, Inc."/>
    <s v="Laptop"/>
    <n v="0"/>
    <s v="X16"/>
    <s v="Successful"/>
    <x v="12"/>
    <n v="0"/>
    <s v="MacBook Pro (M1 Pro, 14-inch, 2021)"/>
    <n v="0"/>
    <n v="0"/>
    <n v="0"/>
    <n v="0"/>
    <n v="0"/>
    <n v="0"/>
    <n v="0"/>
    <n v="0"/>
    <n v="0"/>
    <n v="0"/>
    <n v="0"/>
    <n v="0"/>
    <n v="0"/>
    <n v="0"/>
    <n v="0"/>
    <n v="0"/>
    <n v="46090.571886574071"/>
    <n v="0"/>
    <n v="0"/>
    <s v="SS"/>
    <s v="3629ebce-ab5b-4b5b-853f-5cfc4791dc82"/>
    <x v="0"/>
  </r>
  <r>
    <s v="Axonius"/>
    <s v="Apple, Inc."/>
    <s v="Laptop"/>
    <n v="0"/>
    <s v="X02"/>
    <s v="Successful"/>
    <x v="13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46090.415601851855"/>
    <n v="0"/>
    <n v="0"/>
    <s v="SS"/>
    <s v="979cd76d-fd0b-400a-9c90-d6d5dfa55ab3"/>
    <x v="0"/>
  </r>
  <r>
    <s v="Axonius"/>
    <s v="Dell Inc."/>
    <s v="Notebook"/>
    <s v="X28"/>
    <n v="0"/>
    <s v="Successful"/>
    <x v="14"/>
    <n v="0"/>
    <s v="XPS 13 9305"/>
    <s v="failed"/>
    <s v="Display C"/>
    <n v="0"/>
    <n v="0"/>
    <n v="0"/>
    <n v="0"/>
    <n v="0"/>
    <n v="0"/>
    <n v="0"/>
    <s v="11th Gen Intel(R) Core(TM) i7-1165G7 @ 2.80GHz"/>
    <s v="2 GiB / 2 GiB / 2 GiB / 2 GiB / 2 GiB / 2 GiB / 2 GiB / 2 GiB"/>
    <s v="LPDDR4 / LPDDR4 / LPDDR4 / LPDDR4 / LPDDR4 / LPDDR4 / LPDDR4 / LPDDR4"/>
    <s v="512 GB"/>
    <s v="NVMe"/>
    <s v="21105Y803157"/>
    <s v="PC SN730 NVMe WDC 512GB"/>
    <s v="2026-03-09T12:37:33+0000"/>
    <n v="66"/>
    <s v="Battery does not provide at least ${THRESHOLD}% of its design capacity."/>
    <s v="TBS"/>
    <s v="acb460a9-47ea-4874-a359-06b6fd982508"/>
    <x v="0"/>
  </r>
  <r>
    <s v="Axonius"/>
    <s v="Apple, Inc."/>
    <s v="Laptop"/>
    <n v="0"/>
    <s v="X01"/>
    <s v="Successful"/>
    <x v="15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46090.404421296298"/>
    <n v="0"/>
    <n v="0"/>
    <s v="SS"/>
    <s v="bb681f51-fe89-45f7-9df7-18b28d086c54"/>
    <x v="0"/>
  </r>
  <r>
    <s v="Axonius"/>
    <s v="Apple, Inc."/>
    <s v="Laptop"/>
    <n v="0"/>
    <s v="X25"/>
    <s v="Successful"/>
    <x v="16"/>
    <n v="0"/>
    <s v="MacBook Pro (M1, 2020)"/>
    <n v="0"/>
    <n v="0"/>
    <n v="0"/>
    <n v="0"/>
    <n v="0"/>
    <n v="0"/>
    <n v="0"/>
    <n v="0"/>
    <n v="0"/>
    <n v="0"/>
    <n v="0"/>
    <n v="0"/>
    <n v="0"/>
    <n v="0"/>
    <n v="0"/>
    <n v="0"/>
    <n v="46090.668506944443"/>
    <n v="0"/>
    <n v="0"/>
    <s v="SS"/>
    <s v="ced577c4-3fb9-400c-bfb2-8a443354636b"/>
    <x v="0"/>
  </r>
  <r>
    <s v="Axonius"/>
    <s v="Apple, Inc."/>
    <s v="Laptop"/>
    <n v="0"/>
    <s v="X10"/>
    <s v="Successful"/>
    <x v="17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500393518516"/>
    <n v="0"/>
    <n v="0"/>
    <s v="SS"/>
    <s v="3a23aa2c-99ff-43a6-8c1b-d7a9df9cf1d1"/>
    <x v="0"/>
  </r>
  <r>
    <s v="Axonius"/>
    <s v="Apple, Inc."/>
    <s v="Laptop"/>
    <n v="0"/>
    <s v="X04"/>
    <s v="Successful"/>
    <x v="18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35335648152"/>
    <n v="0"/>
    <n v="0"/>
    <s v="SS"/>
    <s v="ef81e765-9a72-46a1-8f23-0d1cebe868c5"/>
    <x v="0"/>
  </r>
  <r>
    <s v="Axonius"/>
    <s v="Apple, Inc."/>
    <s v="Laptop"/>
    <n v="0"/>
    <s v="X17"/>
    <s v="Successful"/>
    <x v="19"/>
    <n v="0"/>
    <s v="MacBook Pro (M1 Mac, 14-inch, 2021)"/>
    <n v="0"/>
    <n v="0"/>
    <n v="0"/>
    <n v="0"/>
    <n v="0"/>
    <n v="0"/>
    <n v="0"/>
    <n v="0"/>
    <n v="0"/>
    <n v="0"/>
    <n v="0"/>
    <n v="0"/>
    <n v="0"/>
    <n v="0"/>
    <n v="0"/>
    <n v="0"/>
    <n v="46090.588472222225"/>
    <n v="0"/>
    <n v="0"/>
    <s v="SS"/>
    <s v="1c889e39-34a7-44be-a9f9-2d2dd1a280eb"/>
    <x v="0"/>
  </r>
  <r>
    <s v="Axonius"/>
    <s v="Dell Inc."/>
    <s v="Notebook"/>
    <s v="X35"/>
    <n v="0"/>
    <s v="Successful"/>
    <x v="20"/>
    <n v="0"/>
    <s v="Latitude 5430"/>
    <s v="failed"/>
    <s v="Display B"/>
    <s v="TP button defect"/>
    <n v="0"/>
    <n v="0"/>
    <n v="0"/>
    <n v="0"/>
    <n v="0"/>
    <n v="0"/>
    <s v="12th Gen Intel(R) Core(TM) i7-1255U"/>
    <s v="8 GiB / 8 GiB"/>
    <s v="DDR4 / DDR4"/>
    <s v="512 GB"/>
    <s v="NVMe"/>
    <n v="222011802490"/>
    <s v="PC SN740 NVMe WD 512GB"/>
    <s v="2026-03-09T14:09:23+0000"/>
    <n v="69"/>
    <s v="Battery does not provide at least ${THRESHOLD}% of its design capacity."/>
    <s v="TBS"/>
    <s v="8e64905e-7b34-4b15-aa05-f16b93a78c9a"/>
    <x v="0"/>
  </r>
  <r>
    <s v="Axonius"/>
    <s v="Dell Inc."/>
    <s v="Notebook"/>
    <s v="X29"/>
    <n v="0"/>
    <s v="Successful"/>
    <x v="21"/>
    <n v="0"/>
    <s v="XPS 13 9305"/>
    <s v="failed"/>
    <s v="Display C"/>
    <s v="Chassis damage C"/>
    <n v="0"/>
    <n v="0"/>
    <n v="0"/>
    <n v="0"/>
    <n v="0"/>
    <n v="0"/>
    <s v="11th Gen Intel(R) Core(TM) i7-1165G7 @ 2.80GHz"/>
    <s v="2 GiB / 2 GiB / 2 GiB / 2 GiB / 2 GiB / 2 GiB / 2 GiB / 2 GiB"/>
    <s v="LPDDR4 / LPDDR4 / LPDDR4 / LPDDR4 / LPDDR4 / LPDDR4 / LPDDR4 / LPDDR4"/>
    <s v="512 GB"/>
    <s v="NVMe"/>
    <s v="115A15J3K9M3"/>
    <s v="KXG60ZNV512G NVMe KIOXIA 512GB"/>
    <s v="2026-03-09T12:50:32+0000"/>
    <n v="47"/>
    <s v="Battery does not provide at least ${THRESHOLD}% of its design capacity."/>
    <s v="TBS"/>
    <s v="14be87d0-32a7-4edb-a972-3bf6ffd77407"/>
    <x v="0"/>
  </r>
  <r>
    <s v="Axonius"/>
    <s v="Apple, Inc."/>
    <s v="Laptop"/>
    <n v="0"/>
    <s v="X18"/>
    <s v="Successful"/>
    <x v="22"/>
    <n v="0"/>
    <s v="MacBook Pro (14-inch, M2 Pro, 2023)"/>
    <n v="0"/>
    <n v="0"/>
    <n v="0"/>
    <n v="0"/>
    <n v="0"/>
    <n v="0"/>
    <n v="0"/>
    <n v="0"/>
    <n v="0"/>
    <n v="0"/>
    <n v="0"/>
    <n v="0"/>
    <n v="0"/>
    <n v="0"/>
    <n v="0"/>
    <n v="0"/>
    <n v="46090.596851851849"/>
    <n v="0"/>
    <n v="0"/>
    <s v="SS"/>
    <s v="cadbd3fe-eb44-4a7a-b5f5-f1bf8df0b827"/>
    <x v="0"/>
  </r>
  <r>
    <s v="Axonius"/>
    <s v="Apple, Inc."/>
    <s v="Laptop"/>
    <n v="0"/>
    <s v="X24"/>
    <s v="Successful"/>
    <x v="23"/>
    <n v="0"/>
    <s v="MacBook Pro (M1, 2020)"/>
    <n v="0"/>
    <n v="0"/>
    <n v="0"/>
    <n v="0"/>
    <n v="0"/>
    <n v="0"/>
    <n v="0"/>
    <n v="0"/>
    <n v="0"/>
    <n v="0"/>
    <n v="0"/>
    <n v="0"/>
    <n v="0"/>
    <n v="0"/>
    <n v="0"/>
    <n v="0"/>
    <n v="46090.653136574074"/>
    <n v="0"/>
    <n v="0"/>
    <s v="SS"/>
    <s v="8107f881-9671-4030-a064-e8c74cdb9eb2"/>
    <x v="0"/>
  </r>
  <r>
    <s v="Axonius"/>
    <s v="Apple, Inc."/>
    <s v="Laptop"/>
    <n v="0"/>
    <s v="X03"/>
    <s v="Successful"/>
    <x v="24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26770833335"/>
    <n v="0"/>
    <n v="0"/>
    <s v="SS"/>
    <s v="65fd712c-4fa7-4c96-820b-d62ff7b7d2a1"/>
    <x v="0"/>
  </r>
  <r>
    <s v="Axonius"/>
    <s v="Dell Inc."/>
    <s v="Notebook"/>
    <s v="X34"/>
    <n v="0"/>
    <s v="Successful"/>
    <x v="25"/>
    <n v="0"/>
    <s v="Latitude 7440"/>
    <s v="failed"/>
    <s v="Display B"/>
    <n v="0"/>
    <n v="0"/>
    <n v="0"/>
    <n v="0"/>
    <n v="0"/>
    <n v="0"/>
    <n v="0"/>
    <s v="13th Gen Intel(R) Core(TM) i7-1365U"/>
    <s v="4 GiB / 4 GiB / 4 GiB / 4 GiB / 4 GiB / 4 GiB / 4 GiB / 4 GiB"/>
    <s v="LPDDR5 / LPDDR5 / LPDDR5 / LPDDR5 / LPDDR5 / LPDDR5 / LPDDR5 / LPDDR5"/>
    <s v="512 GB"/>
    <s v="NVMe"/>
    <s v="2339439D0EE6"/>
    <s v="2550 Micron 512GB"/>
    <s v="2026-03-09T14:00:27+0000"/>
    <n v="76"/>
    <s v="Battery does not provide at least ${THRESHOLD}% of its design capacity."/>
    <s v="TBS"/>
    <s v="60ac55b6-40c2-4e0c-9752-ab6bb53a4455"/>
    <x v="0"/>
  </r>
  <r>
    <s v="Axonius"/>
    <s v="Apple, Inc."/>
    <s v="Laptop"/>
    <n v="0"/>
    <s v="X14"/>
    <s v="Successful"/>
    <x v="26"/>
    <n v="0"/>
    <s v="MacBook Pro (M1 Pro, 14-inch, 2021)"/>
    <n v="0"/>
    <n v="0"/>
    <n v="0"/>
    <n v="0"/>
    <n v="0"/>
    <n v="0"/>
    <n v="0"/>
    <n v="0"/>
    <n v="0"/>
    <n v="0"/>
    <n v="0"/>
    <n v="0"/>
    <n v="0"/>
    <n v="0"/>
    <n v="0"/>
    <n v="0"/>
    <n v="46090.553784722222"/>
    <n v="0"/>
    <n v="0"/>
    <s v="SS"/>
    <s v="07b09883-abba-4524-8b82-ddf207ef9d51"/>
    <x v="0"/>
  </r>
  <r>
    <s v="Axonius"/>
    <s v="Apple, Inc."/>
    <s v="Laptop"/>
    <n v="0"/>
    <s v="X11"/>
    <s v="Successful"/>
    <x v="27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508472222224"/>
    <n v="0"/>
    <n v="0"/>
    <s v="SS"/>
    <s v="f78b21c1-a4ae-460b-b7d9-2ca2759fc6cd"/>
    <x v="0"/>
  </r>
  <r>
    <s v="Axonius"/>
    <s v="Apple, Inc."/>
    <s v="Laptop"/>
    <n v="0"/>
    <s v="X05"/>
    <s v="Successful"/>
    <x v="28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54918981479"/>
    <n v="0"/>
    <n v="0"/>
    <s v="SS"/>
    <s v="66f73be1-94c8-4265-9b69-dbb0e74cc03d"/>
    <x v="0"/>
  </r>
  <r>
    <s v="Axonius"/>
    <s v="Apple, Inc."/>
    <s v="Laptop"/>
    <n v="0"/>
    <s v="X19"/>
    <s v="Successful"/>
    <x v="29"/>
    <n v="0"/>
    <s v="MacBook Pro (M1 Pro, 14-inch, 2021)"/>
    <n v="0"/>
    <n v="0"/>
    <n v="0"/>
    <n v="0"/>
    <n v="0"/>
    <n v="0"/>
    <n v="0"/>
    <n v="0"/>
    <n v="0"/>
    <n v="0"/>
    <n v="0"/>
    <n v="0"/>
    <n v="0"/>
    <n v="0"/>
    <n v="0"/>
    <n v="0"/>
    <n v="46090.605486111112"/>
    <n v="0"/>
    <n v="0"/>
    <s v="SS"/>
    <s v="015b66af-b338-490b-840b-a324523e9c3f"/>
    <x v="0"/>
  </r>
  <r>
    <s v="Axonius"/>
    <s v="Dell Inc."/>
    <s v="Notebook"/>
    <s v="X30"/>
    <n v="0"/>
    <s v="Successful"/>
    <x v="30"/>
    <n v="0"/>
    <s v="Latitude 7350"/>
    <s v="successful"/>
    <s v="Display B"/>
    <n v="0"/>
    <n v="0"/>
    <n v="0"/>
    <n v="0"/>
    <n v="0"/>
    <n v="0"/>
    <s v="Could not connect to the configured network."/>
    <s v="Intel(R) Core(TM) Ultra 7 165U"/>
    <s v="4 GiB / 4 GiB / 4 GiB / 4 GiB / 4 GiB / 4 GiB / 4 GiB / 4 GiB"/>
    <s v="LPDDR5 / LPDDR5 / LPDDR5 / LPDDR5 / LPDDR5 / LPDDR5 / LPDDR5 / LPDDR5"/>
    <s v="1 TB"/>
    <s v="NVMe"/>
    <s v="S75LNF0XB42839"/>
    <s v="PM9C1a Samsung 1024GB"/>
    <s v="2026-03-09T13:19:54+0000"/>
    <n v="90"/>
    <n v="0"/>
    <s v="TBS"/>
    <s v="fa675e3e-afd4-4d38-9c28-5610775a7206"/>
    <x v="0"/>
  </r>
  <r>
    <s v="Axonius"/>
    <s v="Apple, Inc."/>
    <s v="Laptop"/>
    <n v="0"/>
    <s v="X09"/>
    <s v="Successful"/>
    <x v="31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92175925923"/>
    <n v="0"/>
    <n v="0"/>
    <s v="SS"/>
    <s v="f42b3b75-ad06-452c-a4c4-72a5fbe16d95"/>
    <x v="0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m/>
    <m/>
    <m/>
    <m/>
    <m/>
    <m/>
    <x v="33"/>
    <m/>
    <m/>
    <m/>
    <m/>
    <m/>
    <m/>
    <m/>
    <m/>
    <m/>
    <m/>
    <m/>
    <m/>
    <m/>
    <m/>
    <m/>
    <m/>
    <m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34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C35" firstHeaderRow="1" firstDataRow="2" firstDataCol="1"/>
  <pivotFields count="31">
    <pivotField showAll="0"/>
    <pivotField showAll="0"/>
    <pivotField showAll="0"/>
    <pivotField showAll="0"/>
    <pivotField showAll="0"/>
    <pivotField showAll="0"/>
    <pivotField axis="axisRow" showAll="0">
      <items count="35"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5">
        <item h="1" x="1"/>
        <item m="1" x="3"/>
        <item x="0"/>
        <item h="1" x="2"/>
        <item t="default"/>
      </items>
    </pivotField>
  </pivotFields>
  <rowFields count="1">
    <field x="6"/>
  </rowFields>
  <rowItems count="33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Fields count="1">
    <field x="30"/>
  </colFields>
  <colItems count="2">
    <i>
      <x v="2"/>
    </i>
    <i t="grand">
      <x/>
    </i>
  </colItems>
  <dataFields count="1">
    <dataField name="Count of Successful / Failed" fld="3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E1048576" totalsRowShown="0" tableBorderDxfId="5">
  <autoFilter ref="D1:AE1048576" xr:uid="{29308B2E-F192-42B4-8523-53AD44BB76CD}"/>
  <tableColumns count="28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Custom 1"/>
    <tableColumn id="5" xr3:uid="{B2523AC3-1063-4191-AE8B-126221A9B0EE}" name="Device Identifier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Battery test"/>
    <tableColumn id="11" xr3:uid="{64E7313F-9764-4039-ACF2-C26A42FA7871}" name="Display test comment"/>
    <tableColumn id="12" xr3:uid="{F4945B93-6847-4A4C-891D-0CCA487E3C05}" name="Keyboard test comment"/>
    <tableColumn id="14" xr3:uid="{E1D7D404-EDA4-4347-901D-F1BE69507E44}" name="Pointer Test Comment"/>
    <tableColumn id="15" xr3:uid="{277DC48B-A6F1-448E-AD2E-244326B1EE05}" name="Speakers test"/>
    <tableColumn id="16" xr3:uid="{64567BD6-EB70-472D-8F5D-F45DE6897DA3}" name="USB port hardware test comment"/>
    <tableColumn id="17" xr3:uid="{DE0C002B-64F3-4C56-A6CC-E2F99B41DD0F}" name="Webcam test comment"/>
    <tableColumn id="19" xr3:uid="{1887D030-FA0F-451B-B129-80FEE6CFAA53}" name="CPU model"/>
    <tableColumn id="20" xr3:uid="{B946C031-7248-4A4E-B14A-6120F0C64983}" name="Memory capacity"/>
    <tableColumn id="21" xr3:uid="{520A2281-2436-4088-944B-DACE8F490E6F}" name="Memory type"/>
    <tableColumn id="22" xr3:uid="{DB98B945-3709-420E-924A-FFA918C4CDFC}" name="Disk capacity"/>
    <tableColumn id="23" xr3:uid="{D44E1F9F-981A-4F98-BD6C-E86E2C91E7D5}" name="Disk interface type"/>
    <tableColumn id="24" xr3:uid="{00F92944-EE85-489C-9796-712BF730220F}" name="Disk serial" dataDxfId="4"/>
    <tableColumn id="25" xr3:uid="{142BB3A2-A27E-40E2-B3D1-7BF1AA333550}" name="Disk model"/>
    <tableColumn id="26" xr3:uid="{3C512A73-D70A-427B-BD05-153BCFB5F7F3}" name="Erasure start time"/>
    <tableColumn id="27" xr3:uid="{1C7C5782-8831-4ECC-8367-7A6FCD2462BA}" name="Battery capacity"/>
    <tableColumn id="28" xr3:uid="{2AEE377B-86E4-4F06-95D9-38854F86FA1E}" name="Battery test comment"/>
    <tableColumn id="29" xr3:uid="{F7E5595E-CE00-474F-8219-E0FA8B5B5CB9}" name="Erasure technician"/>
    <tableColumn id="30" xr3:uid="{80EED2BA-96AB-419E-80D9-28E14D0A4A90}" name="UU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X170"/>
  <sheetViews>
    <sheetView tabSelected="1" topLeftCell="B1" workbookViewId="0">
      <selection activeCell="E30" sqref="E30"/>
    </sheetView>
  </sheetViews>
  <sheetFormatPr defaultRowHeight="15"/>
  <cols>
    <col min="1" max="1" width="8.140625" style="2" hidden="1" customWidth="1"/>
    <col min="2" max="2" width="26" style="2" customWidth="1"/>
    <col min="3" max="3" width="18.7109375" style="2" customWidth="1"/>
    <col min="4" max="4" width="7" style="2" bestFit="1" customWidth="1"/>
    <col min="5" max="5" width="13" style="2" customWidth="1"/>
    <col min="6" max="6" width="11.5703125" style="2" customWidth="1"/>
    <col min="7" max="7" width="22" style="2" customWidth="1"/>
    <col min="8" max="8" width="28.42578125" style="2" customWidth="1"/>
    <col min="9" max="9" width="18.28515625" style="2" customWidth="1"/>
    <col min="10" max="10" width="20.7109375" style="2" customWidth="1"/>
    <col min="11" max="11" width="15.140625" style="2" customWidth="1"/>
    <col min="12" max="12" width="26.140625" style="2" customWidth="1"/>
    <col min="13" max="13" width="17.85546875" style="2" customWidth="1"/>
    <col min="14" max="14" width="20" style="2" customWidth="1"/>
    <col min="15" max="15" width="71.85546875" style="2" customWidth="1"/>
    <col min="16" max="16" width="17.28515625" style="2" bestFit="1" customWidth="1"/>
    <col min="17" max="17" width="32.140625" style="2" bestFit="1" customWidth="1"/>
    <col min="18" max="18" width="18" style="2" bestFit="1" customWidth="1"/>
    <col min="19" max="19" width="17.140625" style="2" bestFit="1" customWidth="1"/>
    <col min="20" max="20" width="26.7109375" style="2" bestFit="1" customWidth="1"/>
    <col min="21" max="22" width="12.5703125" style="2" bestFit="1" customWidth="1"/>
    <col min="23" max="23" width="11.28515625" style="2" bestFit="1" customWidth="1"/>
    <col min="24" max="24" width="17.28515625" customWidth="1"/>
  </cols>
  <sheetData>
    <row r="1" spans="1:24" ht="18" thickBot="1">
      <c r="A1" s="1" t="s">
        <v>566</v>
      </c>
      <c r="B1" s="1" t="s">
        <v>567</v>
      </c>
      <c r="C1" s="1" t="s">
        <v>65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43" t="s">
        <v>565</v>
      </c>
    </row>
    <row r="2" spans="1:24" ht="15.75" thickTop="1">
      <c r="A2" s="2" t="str">
        <f>_xlfn.TEXTJOIN("",TRUE,Input!$B$2,"0",ROW(My_Audit!A1))</f>
        <v>X01</v>
      </c>
      <c r="B2" s="2" t="str">
        <f>_xlfn.TEXTJOIN("-",TRUE,"ITD",Input!$A$2,A2)</f>
        <v>ITD-SHR-X01</v>
      </c>
      <c r="C2" s="2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2" t="str" cm="1">
        <f t="array" ref="D2">IFERROR(_xlfn.LET(
_xlpm.CSVVal,_xlfn.XLOOKUP($A2,CSV!$A:$A,CSV!D:D,""),
_xlpm.MacVal,_xlfn.XLOOKUP($A2,Output_Mac!$A:$A,Output_Mac!C:C,""),
_xlpm.MyAuditVal,_xlfn.XLOOKUP($A2,My_Audit!$A:$A,My_Audit!C:C,""),
_xlfn.IFS(_xlpm.MyAuditVal&lt;&gt;"",_xlpm.MyAuditVal,_xlpm.MacVal&lt;&gt;"",_xlpm.MacVal,_xlpm.CSVVal&lt;&gt;"",_xlpm.CSVVal
)),"")</f>
        <v/>
      </c>
      <c r="E2" s="2">
        <f>_xlfn.XLOOKUP(A2,My_Audit!A:A,My_Audit!D:D,"")</f>
        <v>0</v>
      </c>
      <c r="F2" s="2" t="str" cm="1">
        <f t="array" ref="F2">IFERROR(_xlfn.LET(
_xlpm.CSVVal,_xlfn.XLOOKUP($A2,CSV!$A:$A,CSV!F:F,""),
_xlpm.MacVal,_xlfn.XLOOKUP($A2,Output_Mac!$A:$A,Output_Mac!E:E,""),
_xlpm.MyAuditVal,_xlfn.XLOOKUP($A2,My_Audit!$A:$A,My_Audit!E:E,""),
_xlfn.IFS(_xlpm.MyAuditVal&lt;&gt;"",_xlpm.MyAuditVal,_xlpm.MacVal&lt;&gt;"",_xlpm.MacVal,_xlpm.CSVVal&lt;&gt;"",_xlpm.CSVVal
)),"")</f>
        <v/>
      </c>
      <c r="G2" s="2" t="str" cm="1">
        <f t="array" ref="G2">IFERROR(_xlfn.LET(
_xlpm.CSVVal,_xlfn.XLOOKUP($A2,CSV!$A:$A,CSV!G:G,""),
_xlpm.MacVal,_xlfn.XLOOKUP($A2,Output_Mac!$A:$A,Output_Mac!F:F,""),
_xlpm.MyAuditVal,_xlfn.XLOOKUP($A2,My_Audit!$A:$A,My_Audit!F:F,""),
_xlfn.IFS(_xlpm.MyAuditVal&lt;&gt;"",_xlpm.MyAuditVal,_xlpm.MacVal&lt;&gt;"",_xlpm.MacVal,_xlpm.CSVVal&lt;&gt;"",PROPER(_xlpm.CSVVal)
)),"")</f>
        <v/>
      </c>
      <c r="H2" s="2" t="str" cm="1">
        <f t="array" ref="H2">IFERROR(_xlfn.LET(
_xlpm.CSVVal,_xlfn.XLOOKUP($A2,CSV!$A:$A,CSV!H:H,""),
_xlpm.MacVal,_xlfn.XLOOKUP($A2,Output_Mac!$A:$A,Output_Mac!H:H,""),
_xlpm.MyAuditVal,_xlfn.XLOOKUP($A2,My_Audit!$A:$A,My_Audit!G:G,""),
_xlfn.IFS(_xlpm.MyAuditVal&lt;&gt;"",_xlpm.MyAuditVal,_xlpm.MacVal&lt;&gt;"",_xlpm.MacVal,_xlpm.CSVVal&lt;&gt;"",_xlpm.CSVVal
)),"")</f>
        <v/>
      </c>
      <c r="I2" s="2" t="str">
        <f>_xlfn.XLOOKUP(A2,Output_Mac!A:A,Output_Mac!I:I,"")</f>
        <v/>
      </c>
      <c r="J2" s="2" t="str" cm="1">
        <f t="array" ref="J2">IFERROR(_xlfn.LET(
_xlpm.CSVVal,_xlfn.XLOOKUP($A2,CSV!$A:$A,CSV!I:I,""),
_xlpm.MacVal,_xlfn.XLOOKUP($A2,Output_Mac!$A:$A,Output_Mac!J:J,""),
_xlpm.MyAuditVal,_xlfn.XLOOKUP($A2,My_Audit!$A:$A,My_Audit!I:I,""),
_xlfn.IFS(_xlpm.MyAuditVal&lt;&gt;"",UPPER(_xlpm.MyAuditVal),_xlpm.MacVal&lt;&gt;"",_xlpm.MacVal,_xlpm.CSVVal&lt;&gt;"",_xlpm.CSVVal
)),"")</f>
        <v/>
      </c>
      <c r="K2" s="2" t="str" cm="1">
        <f t="array" ref="K2">IFERROR(_xlfn.LET(
_xlpm.CSVVal,_xlfn.XLOOKUP($A2,CSV!$A:$A,CSV!K:K,""),
_xlpm.MacVal,_xlfn.XLOOKUP($A2,Output_Mac!$A:$A,Output_Mac!K:K,""),
_xlpm.MyAuditVal,_xlfn.XLOOKUP($A2,My_Audit!$A:$A,My_Audit!J:J,""),
_xlfn.IFS(_xlpm.MyAuditVal&lt;&gt;"",UPPER(_xlpm.MyAuditVal),_xlpm.MacVal&lt;&gt;"",_xlpm.MacVal,_xlpm.CSVVal&lt;&gt;"",_xlpm.CSVVal
)),"")</f>
        <v/>
      </c>
      <c r="L2" s="2" t="str" cm="1">
        <f t="array" ref="L2">IFERROR(_xlfn.LET(
_xlpm.CSVVal,_xlfn.XLOOKUP($A2,CSV!$A:$A,CSV!P:P,""),
_xlpm.MacVal,_xlfn.XLOOKUP($A2,Output_Mac!$A:$A,Output_Mac!L:L,""),
_xlpm.MyAuditVal,_xlfn.XLOOKUP($A2,My_Audit!$A:$A,My_Audit!K:K,""),
_xlfn.IFS(_xlpm.MyAuditVal&lt;&gt;"",UPPER(_xlpm.MyAuditVal),_xlpm.MacVal&lt;&gt;"",_xlpm.MacVal,_xlpm.CSVVal&lt;&gt;"",_xlpm.CSVVal
)),"")</f>
        <v/>
      </c>
      <c r="M2" s="2" t="str" cm="1">
        <f t="array" ref="M2">IFERROR(_xlfn.LET(
_xlpm.CSVVal,_xlfn.XLOOKUP($A2,CSV!$A:$A,CSV!Q:Q,""),
_xlpm.MacVal,_xlfn.XLOOKUP($A2,Output_Mac!$A:$A,Output_Mac!M:M,""),
_xlpm.MyAuditVal,_xlfn.XLOOKUP($A2,My_Audit!$A:$A,My_Audit!L:L,""),
_xlfn.IFS(_xlpm.MyAuditVal&lt;&gt;"",UPPER(_xlpm.MyAuditVal),_xlpm.MacVal&lt;&gt;"",_xlpm.MacVal,_xlpm.CSVVal&lt;&gt;"",_xlpm.CSVVal
)),"")</f>
        <v/>
      </c>
      <c r="O2" s="2" t="str">
        <f>_xlfn.LET(
    _xlpm.CSVVal, _xlfn.XLOOKUP($A2, CSV!$A:$A, CSV!AA:AA, ""),
    _xlpm.MacVal, _xlfn.XLOOKUP($A2, Output_Mac!$A:$A, Output_Mac!S:S, ""),
    _xlpm.MyAuditVal, _xlfn.XLOOKUP($A2, My_Audit!$A:$A, My_Audit!P:P, ""),
    _xlfn.TEXTJOIN(", ", TRUE, _xlpm.MyAuditVal, _xlpm.MacVal, _xlpm.CSVVal)
)</f>
        <v/>
      </c>
      <c r="P2" s="2" t="str" cm="1">
        <f t="array" ref="P2">IFERROR(_xlfn.LET(
_xlpm.CSVVal,_xlfn.XLOOKUP($A2,CSV!$A:$A,CSV!AB:AB,""),
_xlpm.MacVal,_xlfn.XLOOKUP($A2,Output_Mac!$A:$A,Output_Mac!T:T,""),
_xlpm.MyAuditVal,_xlfn.XLOOKUP($A2,My_Audit!$A:$A,My_Audit!Q:Q,""),
_xlfn.IFS(_xlpm.MyAuditVal&lt;&gt;"",UPPER(_xlpm.MyAuditVal),_xlpm.MacVal&lt;&gt;"",_xlpm.MacVal,_xlpm.CSVVal&lt;&gt;"",_xlpm.CSVVal
)),"No")</f>
        <v>No</v>
      </c>
      <c r="Q2" s="2" t="str" cm="1">
        <f t="array" ref="Q2">IFERROR(_xlfn.LET(
_xlpm.CSVVal,_xlfn.XLOOKUP($A2,CSV!$A:$A,CSV!AC:AC,""),
_xlpm.MacVal,_xlfn.XLOOKUP($A2,Output_Mac!$A:$A,Output_Mac!U:U,""),
_xlpm.MyAuditVal,_xlfn.XLOOKUP($A2,My_Audit!$A:$A,My_Audit!R:R,""),
_xlfn.IFS(_xlpm.MyAuditVal&lt;&gt;"",UPPER(_xlpm.MyAuditVal),_xlpm.MacVal&lt;&gt;"",_xlpm.MacVal,_xlpm.CSVVal&lt;&gt;"",_xlpm.CSVVal
)),"")</f>
        <v/>
      </c>
      <c r="X2" t="str">
        <f>_xlfn.LET(
    _xlpm.MacVal, _xlfn.XLOOKUP($A2, Output_Mac!$A:$A, Output_Mac!AB:AB, ""),
    _xlpm.MyAuditVal, _xlfn.XLOOKUP($A2, My_Audit!$A:$A, My_Audit!N:N, ""),
    _xlfn.TEXTJOIN(", ", TRUE, _xlpm.MyAuditVal, _xlpm.MacVal)
)</f>
        <v/>
      </c>
    </row>
    <row r="3" spans="1:24">
      <c r="A3" s="2" t="str">
        <f>_xlfn.TEXTJOIN("",TRUE,Input!$B$2,"0",ROW(My_Audit!A2))</f>
        <v>X02</v>
      </c>
      <c r="B3" s="2" t="str">
        <f>_xlfn.TEXTJOIN("-",TRUE,"ITD",Input!$A$2,A3)</f>
        <v>ITD-SHR-X02</v>
      </c>
      <c r="C3" s="2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2" t="str" cm="1">
        <f t="array" ref="D3">IFERROR(_xlfn.LET(
_xlpm.CSVVal,_xlfn.XLOOKUP($A3,CSV!$A:$A,CSV!D:D,""),
_xlpm.MacVal,_xlfn.XLOOKUP($A3,Output_Mac!$A:$A,Output_Mac!C:C,""),
_xlpm.MyAuditVal,_xlfn.XLOOKUP($A3,My_Audit!$A:$A,My_Audit!C:C,""),
_xlfn.IFS(_xlpm.MyAuditVal&lt;&gt;"",_xlpm.MyAuditVal,_xlpm.MacVal&lt;&gt;"",_xlpm.MacVal,_xlpm.CSVVal&lt;&gt;"",_xlpm.CSVVal
)),"")</f>
        <v/>
      </c>
      <c r="E3" s="2">
        <f>_xlfn.XLOOKUP(A3,My_Audit!A:A,My_Audit!D:D,"")</f>
        <v>0</v>
      </c>
      <c r="F3" s="2" t="str" cm="1">
        <f t="array" ref="F3">IFERROR(_xlfn.LET(
_xlpm.CSVVal,_xlfn.XLOOKUP($A3,CSV!$A:$A,CSV!F:F,""),
_xlpm.MacVal,_xlfn.XLOOKUP($A3,Output_Mac!$A:$A,Output_Mac!E:E,""),
_xlpm.MyAuditVal,_xlfn.XLOOKUP($A3,My_Audit!$A:$A,My_Audit!E:E,""),
_xlfn.IFS(_xlpm.MyAuditVal&lt;&gt;"",_xlpm.MyAuditVal,_xlpm.MacVal&lt;&gt;"",_xlpm.MacVal,_xlpm.CSVVal&lt;&gt;"",_xlpm.CSVVal
)),"")</f>
        <v/>
      </c>
      <c r="G3" s="2" t="str" cm="1">
        <f t="array" ref="G3">IFERROR(_xlfn.LET(
_xlpm.CSVVal,_xlfn.XLOOKUP($A3,CSV!$A:$A,CSV!G:G,""),
_xlpm.MacVal,_xlfn.XLOOKUP($A3,Output_Mac!$A:$A,Output_Mac!F:F,""),
_xlpm.MyAuditVal,_xlfn.XLOOKUP($A3,My_Audit!$A:$A,My_Audit!F:F,""),
_xlfn.IFS(_xlpm.MyAuditVal&lt;&gt;"",_xlpm.MyAuditVal,_xlpm.MacVal&lt;&gt;"",_xlpm.MacVal,_xlpm.CSVVal&lt;&gt;"",PROPER(_xlpm.CSVVal)
)),"")</f>
        <v/>
      </c>
      <c r="H3" s="2" t="str" cm="1">
        <f t="array" ref="H3">IFERROR(_xlfn.LET(
_xlpm.CSVVal,_xlfn.XLOOKUP($A3,CSV!$A:$A,CSV!H:H,""),
_xlpm.MacVal,_xlfn.XLOOKUP($A3,Output_Mac!$A:$A,Output_Mac!H:H,""),
_xlpm.MyAuditVal,_xlfn.XLOOKUP($A3,My_Audit!$A:$A,My_Audit!G:G,""),
_xlfn.IFS(_xlpm.MyAuditVal&lt;&gt;"",_xlpm.MyAuditVal,_xlpm.MacVal&lt;&gt;"",_xlpm.MacVal,_xlpm.CSVVal&lt;&gt;"",_xlpm.CSVVal
)),"")</f>
        <v/>
      </c>
      <c r="I3" s="2" t="str">
        <f>_xlfn.XLOOKUP(A3,Output_Mac!A:A,Output_Mac!I:I,"")</f>
        <v/>
      </c>
      <c r="J3" s="2" t="str" cm="1">
        <f t="array" ref="J3">IFERROR(_xlfn.LET(
_xlpm.CSVVal,_xlfn.XLOOKUP($A3,CSV!$A:$A,CSV!I:I,""),
_xlpm.MacVal,_xlfn.XLOOKUP($A3,Output_Mac!$A:$A,Output_Mac!J:J,""),
_xlpm.MyAuditVal,_xlfn.XLOOKUP($A3,My_Audit!$A:$A,My_Audit!I:I,""),
_xlfn.IFS(_xlpm.MyAuditVal&lt;&gt;"",UPPER(_xlpm.MyAuditVal),_xlpm.MacVal&lt;&gt;"",_xlpm.MacVal,_xlpm.CSVVal&lt;&gt;"",_xlpm.CSVVal
)),"")</f>
        <v/>
      </c>
      <c r="K3" s="2" t="str" cm="1">
        <f t="array" ref="K3">IFERROR(_xlfn.LET(
_xlpm.CSVVal,_xlfn.XLOOKUP($A3,CSV!$A:$A,CSV!K:K,""),
_xlpm.MacVal,_xlfn.XLOOKUP($A3,Output_Mac!$A:$A,Output_Mac!K:K,""),
_xlpm.MyAuditVal,_xlfn.XLOOKUP($A3,My_Audit!$A:$A,My_Audit!J:J,""),
_xlfn.IFS(_xlpm.MyAuditVal&lt;&gt;"",UPPER(_xlpm.MyAuditVal),_xlpm.MacVal&lt;&gt;"",_xlpm.MacVal,_xlpm.CSVVal&lt;&gt;"",_xlpm.CSVVal
)),"")</f>
        <v/>
      </c>
      <c r="L3" s="2" t="str" cm="1">
        <f t="array" ref="L3">IFERROR(_xlfn.LET(
_xlpm.CSVVal,_xlfn.XLOOKUP($A3,CSV!$A:$A,CSV!P:P,""),
_xlpm.MacVal,_xlfn.XLOOKUP($A3,Output_Mac!$A:$A,Output_Mac!L:L,""),
_xlpm.MyAuditVal,_xlfn.XLOOKUP($A3,My_Audit!$A:$A,My_Audit!K:K,""),
_xlfn.IFS(_xlpm.MyAuditVal&lt;&gt;"",UPPER(_xlpm.MyAuditVal),_xlpm.MacVal&lt;&gt;"",_xlpm.MacVal,_xlpm.CSVVal&lt;&gt;"",_xlpm.CSVVal
)),"")</f>
        <v/>
      </c>
      <c r="M3" s="2" t="str" cm="1">
        <f t="array" ref="M3">IFERROR(_xlfn.LET(
_xlpm.CSVVal,_xlfn.XLOOKUP($A3,CSV!$A:$A,CSV!Q:Q,""),
_xlpm.MacVal,_xlfn.XLOOKUP($A3,Output_Mac!$A:$A,Output_Mac!M:M,""),
_xlpm.MyAuditVal,_xlfn.XLOOKUP($A3,My_Audit!$A:$A,My_Audit!L:L,""),
_xlfn.IFS(_xlpm.MyAuditVal&lt;&gt;"",UPPER(_xlpm.MyAuditVal),_xlpm.MacVal&lt;&gt;"",_xlpm.MacVal,_xlpm.CSVVal&lt;&gt;"",_xlpm.CSVVal
)),"")</f>
        <v/>
      </c>
      <c r="O3" s="2" t="str">
        <f>_xlfn.LET(
    _xlpm.CSVVal, _xlfn.XLOOKUP($A3, CSV!$A:$A, CSV!AA:AA, ""),
    _xlpm.MacVal, _xlfn.XLOOKUP($A3, Output_Mac!$A:$A, Output_Mac!S:S, ""),
    _xlpm.MyAuditVal, _xlfn.XLOOKUP($A3, My_Audit!$A:$A, My_Audit!P:P, ""),
    _xlfn.TEXTJOIN(", ", TRUE, _xlpm.MyAuditVal, _xlpm.MacVal, _xlpm.CSVVal)
)</f>
        <v/>
      </c>
      <c r="P3" s="2" t="str" cm="1">
        <f t="array" ref="P3">IFERROR(_xlfn.LET(
_xlpm.CSVVal,_xlfn.XLOOKUP($A3,CSV!$A:$A,CSV!AB:AB,""),
_xlpm.MacVal,_xlfn.XLOOKUP($A3,Output_Mac!$A:$A,Output_Mac!T:T,""),
_xlpm.MyAuditVal,_xlfn.XLOOKUP($A3,My_Audit!$A:$A,My_Audit!Q:Q,""),
_xlfn.IFS(_xlpm.MyAuditVal&lt;&gt;"",UPPER(_xlpm.MyAuditVal),_xlpm.MacVal&lt;&gt;"",_xlpm.MacVal,_xlpm.CSVVal&lt;&gt;"",_xlpm.CSVVal
)),"No")</f>
        <v>No</v>
      </c>
      <c r="Q3" s="2" t="str" cm="1">
        <f t="array" ref="Q3">IFERROR(_xlfn.LET(
_xlpm.CSVVal,_xlfn.XLOOKUP($A3,CSV!$A:$A,CSV!AC:AC,""),
_xlpm.MacVal,_xlfn.XLOOKUP($A3,Output_Mac!$A:$A,Output_Mac!U:U,""),
_xlpm.MyAuditVal,_xlfn.XLOOKUP($A3,My_Audit!$A:$A,My_Audit!R:R,""),
_xlfn.IFS(_xlpm.MyAuditVal&lt;&gt;"",UPPER(_xlpm.MyAuditVal),_xlpm.MacVal&lt;&gt;"",_xlpm.MacVal,_xlpm.CSVVal&lt;&gt;"",_xlpm.CSVVal
)),"")</f>
        <v/>
      </c>
      <c r="X3" t="str">
        <f>_xlfn.LET(
    _xlpm.MacVal, _xlfn.XLOOKUP($A3, Output_Mac!$A:$A, Output_Mac!AB:AB, ""),
    _xlpm.MyAuditVal, _xlfn.XLOOKUP($A3, My_Audit!$A:$A, My_Audit!N:N, ""),
    _xlfn.TEXTJOIN(", ", TRUE, _xlpm.MyAuditVal, _xlpm.MacVal)
)</f>
        <v/>
      </c>
    </row>
    <row r="4" spans="1:24">
      <c r="A4" s="2" t="str">
        <f>_xlfn.TEXTJOIN("",TRUE,Input!$B$2,"0",ROW(My_Audit!A3))</f>
        <v>X03</v>
      </c>
      <c r="B4" s="2" t="str">
        <f>_xlfn.TEXTJOIN("-",TRUE,"ITD",Input!$A$2,A4)</f>
        <v>ITD-SHR-X03</v>
      </c>
      <c r="C4" s="2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2" t="str" cm="1">
        <f t="array" ref="D4">IFERROR(_xlfn.LET(
_xlpm.CSVVal,_xlfn.XLOOKUP($A4,CSV!$A:$A,CSV!D:D,""),
_xlpm.MacVal,_xlfn.XLOOKUP($A4,Output_Mac!$A:$A,Output_Mac!C:C,""),
_xlpm.MyAuditVal,_xlfn.XLOOKUP($A4,My_Audit!$A:$A,My_Audit!C:C,""),
_xlfn.IFS(_xlpm.MyAuditVal&lt;&gt;"",_xlpm.MyAuditVal,_xlpm.MacVal&lt;&gt;"",_xlpm.MacVal,_xlpm.CSVVal&lt;&gt;"",_xlpm.CSVVal
)),"")</f>
        <v/>
      </c>
      <c r="E4" s="2">
        <f>_xlfn.XLOOKUP(A4,My_Audit!A:A,My_Audit!D:D,"")</f>
        <v>0</v>
      </c>
      <c r="F4" s="2" t="str" cm="1">
        <f t="array" ref="F4">IFERROR(_xlfn.LET(
_xlpm.CSVVal,_xlfn.XLOOKUP($A4,CSV!$A:$A,CSV!F:F,""),
_xlpm.MacVal,_xlfn.XLOOKUP($A4,Output_Mac!$A:$A,Output_Mac!E:E,""),
_xlpm.MyAuditVal,_xlfn.XLOOKUP($A4,My_Audit!$A:$A,My_Audit!E:E,""),
_xlfn.IFS(_xlpm.MyAuditVal&lt;&gt;"",_xlpm.MyAuditVal,_xlpm.MacVal&lt;&gt;"",_xlpm.MacVal,_xlpm.CSVVal&lt;&gt;"",_xlpm.CSVVal
)),"")</f>
        <v/>
      </c>
      <c r="G4" s="2" t="str" cm="1">
        <f t="array" ref="G4">IFERROR(_xlfn.LET(
_xlpm.CSVVal,_xlfn.XLOOKUP($A4,CSV!$A:$A,CSV!G:G,""),
_xlpm.MacVal,_xlfn.XLOOKUP($A4,Output_Mac!$A:$A,Output_Mac!F:F,""),
_xlpm.MyAuditVal,_xlfn.XLOOKUP($A4,My_Audit!$A:$A,My_Audit!F:F,""),
_xlfn.IFS(_xlpm.MyAuditVal&lt;&gt;"",_xlpm.MyAuditVal,_xlpm.MacVal&lt;&gt;"",_xlpm.MacVal,_xlpm.CSVVal&lt;&gt;"",PROPER(_xlpm.CSVVal)
)),"")</f>
        <v/>
      </c>
      <c r="H4" s="2" t="str" cm="1">
        <f t="array" ref="H4">IFERROR(_xlfn.LET(
_xlpm.CSVVal,_xlfn.XLOOKUP($A4,CSV!$A:$A,CSV!H:H,""),
_xlpm.MacVal,_xlfn.XLOOKUP($A4,Output_Mac!$A:$A,Output_Mac!H:H,""),
_xlpm.MyAuditVal,_xlfn.XLOOKUP($A4,My_Audit!$A:$A,My_Audit!G:G,""),
_xlfn.IFS(_xlpm.MyAuditVal&lt;&gt;"",_xlpm.MyAuditVal,_xlpm.MacVal&lt;&gt;"",_xlpm.MacVal,_xlpm.CSVVal&lt;&gt;"",_xlpm.CSVVal
)),"")</f>
        <v/>
      </c>
      <c r="I4" s="2" t="str">
        <f>_xlfn.XLOOKUP(A4,Output_Mac!A:A,Output_Mac!I:I,"")</f>
        <v/>
      </c>
      <c r="J4" s="2" t="str" cm="1">
        <f t="array" ref="J4">IFERROR(_xlfn.LET(
_xlpm.CSVVal,_xlfn.XLOOKUP($A4,CSV!$A:$A,CSV!I:I,""),
_xlpm.MacVal,_xlfn.XLOOKUP($A4,Output_Mac!$A:$A,Output_Mac!J:J,""),
_xlpm.MyAuditVal,_xlfn.XLOOKUP($A4,My_Audit!$A:$A,My_Audit!I:I,""),
_xlfn.IFS(_xlpm.MyAuditVal&lt;&gt;"",UPPER(_xlpm.MyAuditVal),_xlpm.MacVal&lt;&gt;"",_xlpm.MacVal,_xlpm.CSVVal&lt;&gt;"",_xlpm.CSVVal
)),"")</f>
        <v/>
      </c>
      <c r="K4" s="2" t="str" cm="1">
        <f t="array" ref="K4">IFERROR(_xlfn.LET(
_xlpm.CSVVal,_xlfn.XLOOKUP($A4,CSV!$A:$A,CSV!K:K,""),
_xlpm.MacVal,_xlfn.XLOOKUP($A4,Output_Mac!$A:$A,Output_Mac!K:K,""),
_xlpm.MyAuditVal,_xlfn.XLOOKUP($A4,My_Audit!$A:$A,My_Audit!J:J,""),
_xlfn.IFS(_xlpm.MyAuditVal&lt;&gt;"",UPPER(_xlpm.MyAuditVal),_xlpm.MacVal&lt;&gt;"",_xlpm.MacVal,_xlpm.CSVVal&lt;&gt;"",_xlpm.CSVVal
)),"")</f>
        <v/>
      </c>
      <c r="L4" s="2" t="str" cm="1">
        <f t="array" ref="L4">IFERROR(_xlfn.LET(
_xlpm.CSVVal,_xlfn.XLOOKUP($A4,CSV!$A:$A,CSV!P:P,""),
_xlpm.MacVal,_xlfn.XLOOKUP($A4,Output_Mac!$A:$A,Output_Mac!L:L,""),
_xlpm.MyAuditVal,_xlfn.XLOOKUP($A4,My_Audit!$A:$A,My_Audit!K:K,""),
_xlfn.IFS(_xlpm.MyAuditVal&lt;&gt;"",UPPER(_xlpm.MyAuditVal),_xlpm.MacVal&lt;&gt;"",_xlpm.MacVal,_xlpm.CSVVal&lt;&gt;"",_xlpm.CSVVal
)),"")</f>
        <v/>
      </c>
      <c r="M4" s="2" t="str" cm="1">
        <f t="array" ref="M4">IFERROR(_xlfn.LET(
_xlpm.CSVVal,_xlfn.XLOOKUP($A4,CSV!$A:$A,CSV!Q:Q,""),
_xlpm.MacVal,_xlfn.XLOOKUP($A4,Output_Mac!$A:$A,Output_Mac!M:M,""),
_xlpm.MyAuditVal,_xlfn.XLOOKUP($A4,My_Audit!$A:$A,My_Audit!L:L,""),
_xlfn.IFS(_xlpm.MyAuditVal&lt;&gt;"",UPPER(_xlpm.MyAuditVal),_xlpm.MacVal&lt;&gt;"",_xlpm.MacVal,_xlpm.CSVVal&lt;&gt;"",_xlpm.CSVVal
)),"")</f>
        <v/>
      </c>
      <c r="O4" s="2" t="str">
        <f>_xlfn.LET(
    _xlpm.CSVVal, _xlfn.XLOOKUP($A4, CSV!$A:$A, CSV!AA:AA, ""),
    _xlpm.MacVal, _xlfn.XLOOKUP($A4, Output_Mac!$A:$A, Output_Mac!S:S, ""),
    _xlpm.MyAuditVal, _xlfn.XLOOKUP($A4, My_Audit!$A:$A, My_Audit!P:P, ""),
    _xlfn.TEXTJOIN(", ", TRUE, _xlpm.MyAuditVal, _xlpm.MacVal, _xlpm.CSVVal)
)</f>
        <v/>
      </c>
      <c r="P4" s="2" t="str" cm="1">
        <f t="array" ref="P4">IFERROR(_xlfn.LET(
_xlpm.CSVVal,_xlfn.XLOOKUP($A4,CSV!$A:$A,CSV!AB:AB,""),
_xlpm.MacVal,_xlfn.XLOOKUP($A4,Output_Mac!$A:$A,Output_Mac!T:T,""),
_xlpm.MyAuditVal,_xlfn.XLOOKUP($A4,My_Audit!$A:$A,My_Audit!Q:Q,""),
_xlfn.IFS(_xlpm.MyAuditVal&lt;&gt;"",UPPER(_xlpm.MyAuditVal),_xlpm.MacVal&lt;&gt;"",_xlpm.MacVal,_xlpm.CSVVal&lt;&gt;"",_xlpm.CSVVal
)),"No")</f>
        <v>No</v>
      </c>
      <c r="Q4" s="2" t="str" cm="1">
        <f t="array" ref="Q4">IFERROR(_xlfn.LET(
_xlpm.CSVVal,_xlfn.XLOOKUP($A4,CSV!$A:$A,CSV!AC:AC,""),
_xlpm.MacVal,_xlfn.XLOOKUP($A4,Output_Mac!$A:$A,Output_Mac!U:U,""),
_xlpm.MyAuditVal,_xlfn.XLOOKUP($A4,My_Audit!$A:$A,My_Audit!R:R,""),
_xlfn.IFS(_xlpm.MyAuditVal&lt;&gt;"",UPPER(_xlpm.MyAuditVal),_xlpm.MacVal&lt;&gt;"",_xlpm.MacVal,_xlpm.CSVVal&lt;&gt;"",_xlpm.CSVVal
)),"")</f>
        <v/>
      </c>
      <c r="X4" t="str">
        <f>_xlfn.LET(
    _xlpm.MacVal, _xlfn.XLOOKUP($A4, Output_Mac!$A:$A, Output_Mac!AB:AB, ""),
    _xlpm.MyAuditVal, _xlfn.XLOOKUP($A4, My_Audit!$A:$A, My_Audit!N:N, ""),
    _xlfn.TEXTJOIN(", ", TRUE, _xlpm.MyAuditVal, _xlpm.MacVal)
)</f>
        <v/>
      </c>
    </row>
    <row r="5" spans="1:24">
      <c r="A5" s="2" t="str">
        <f>_xlfn.TEXTJOIN("",TRUE,Input!$B$2,"0",ROW(My_Audit!A4))</f>
        <v>X04</v>
      </c>
      <c r="B5" s="2" t="str">
        <f>_xlfn.TEXTJOIN("-",TRUE,"ITD",Input!$A$2,A5)</f>
        <v>ITD-SHR-X04</v>
      </c>
      <c r="C5" s="2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2" t="str" cm="1">
        <f t="array" ref="D5">IFERROR(_xlfn.LET(
_xlpm.CSVVal,_xlfn.XLOOKUP($A5,CSV!$A:$A,CSV!D:D,""),
_xlpm.MacVal,_xlfn.XLOOKUP($A5,Output_Mac!$A:$A,Output_Mac!C:C,""),
_xlpm.MyAuditVal,_xlfn.XLOOKUP($A5,My_Audit!$A:$A,My_Audit!C:C,""),
_xlfn.IFS(_xlpm.MyAuditVal&lt;&gt;"",_xlpm.MyAuditVal,_xlpm.MacVal&lt;&gt;"",_xlpm.MacVal,_xlpm.CSVVal&lt;&gt;"",_xlpm.CSVVal
)),"")</f>
        <v/>
      </c>
      <c r="E5" s="2">
        <f>_xlfn.XLOOKUP(A5,My_Audit!A:A,My_Audit!D:D,"")</f>
        <v>0</v>
      </c>
      <c r="F5" s="2" t="str" cm="1">
        <f t="array" ref="F5">IFERROR(_xlfn.LET(
_xlpm.CSVVal,_xlfn.XLOOKUP($A5,CSV!$A:$A,CSV!F:F,""),
_xlpm.MacVal,_xlfn.XLOOKUP($A5,Output_Mac!$A:$A,Output_Mac!E:E,""),
_xlpm.MyAuditVal,_xlfn.XLOOKUP($A5,My_Audit!$A:$A,My_Audit!E:E,""),
_xlfn.IFS(_xlpm.MyAuditVal&lt;&gt;"",_xlpm.MyAuditVal,_xlpm.MacVal&lt;&gt;"",_xlpm.MacVal,_xlpm.CSVVal&lt;&gt;"",_xlpm.CSVVal
)),"")</f>
        <v/>
      </c>
      <c r="G5" s="2" t="str" cm="1">
        <f t="array" ref="G5">IFERROR(_xlfn.LET(
_xlpm.CSVVal,_xlfn.XLOOKUP($A5,CSV!$A:$A,CSV!G:G,""),
_xlpm.MacVal,_xlfn.XLOOKUP($A5,Output_Mac!$A:$A,Output_Mac!F:F,""),
_xlpm.MyAuditVal,_xlfn.XLOOKUP($A5,My_Audit!$A:$A,My_Audit!F:F,""),
_xlfn.IFS(_xlpm.MyAuditVal&lt;&gt;"",_xlpm.MyAuditVal,_xlpm.MacVal&lt;&gt;"",_xlpm.MacVal,_xlpm.CSVVal&lt;&gt;"",PROPER(_xlpm.CSVVal)
)),"")</f>
        <v/>
      </c>
      <c r="H5" s="2" t="str" cm="1">
        <f t="array" ref="H5">IFERROR(_xlfn.LET(
_xlpm.CSVVal,_xlfn.XLOOKUP($A5,CSV!$A:$A,CSV!H:H,""),
_xlpm.MacVal,_xlfn.XLOOKUP($A5,Output_Mac!$A:$A,Output_Mac!H:H,""),
_xlpm.MyAuditVal,_xlfn.XLOOKUP($A5,My_Audit!$A:$A,My_Audit!G:G,""),
_xlfn.IFS(_xlpm.MyAuditVal&lt;&gt;"",_xlpm.MyAuditVal,_xlpm.MacVal&lt;&gt;"",_xlpm.MacVal,_xlpm.CSVVal&lt;&gt;"",_xlpm.CSVVal
)),"")</f>
        <v/>
      </c>
      <c r="I5" s="2" t="str">
        <f>_xlfn.XLOOKUP(A5,Output_Mac!A:A,Output_Mac!I:I,"")</f>
        <v/>
      </c>
      <c r="J5" s="2" t="str" cm="1">
        <f t="array" ref="J5">IFERROR(_xlfn.LET(
_xlpm.CSVVal,_xlfn.XLOOKUP($A5,CSV!$A:$A,CSV!I:I,""),
_xlpm.MacVal,_xlfn.XLOOKUP($A5,Output_Mac!$A:$A,Output_Mac!J:J,""),
_xlpm.MyAuditVal,_xlfn.XLOOKUP($A5,My_Audit!$A:$A,My_Audit!I:I,""),
_xlfn.IFS(_xlpm.MyAuditVal&lt;&gt;"",UPPER(_xlpm.MyAuditVal),_xlpm.MacVal&lt;&gt;"",_xlpm.MacVal,_xlpm.CSVVal&lt;&gt;"",_xlpm.CSVVal
)),"")</f>
        <v/>
      </c>
      <c r="K5" s="2" t="str" cm="1">
        <f t="array" ref="K5">IFERROR(_xlfn.LET(
_xlpm.CSVVal,_xlfn.XLOOKUP($A5,CSV!$A:$A,CSV!K:K,""),
_xlpm.MacVal,_xlfn.XLOOKUP($A5,Output_Mac!$A:$A,Output_Mac!K:K,""),
_xlpm.MyAuditVal,_xlfn.XLOOKUP($A5,My_Audit!$A:$A,My_Audit!J:J,""),
_xlfn.IFS(_xlpm.MyAuditVal&lt;&gt;"",UPPER(_xlpm.MyAuditVal),_xlpm.MacVal&lt;&gt;"",_xlpm.MacVal,_xlpm.CSVVal&lt;&gt;"",_xlpm.CSVVal
)),"")</f>
        <v/>
      </c>
      <c r="L5" s="2" t="str" cm="1">
        <f t="array" ref="L5">IFERROR(_xlfn.LET(
_xlpm.CSVVal,_xlfn.XLOOKUP($A5,CSV!$A:$A,CSV!P:P,""),
_xlpm.MacVal,_xlfn.XLOOKUP($A5,Output_Mac!$A:$A,Output_Mac!L:L,""),
_xlpm.MyAuditVal,_xlfn.XLOOKUP($A5,My_Audit!$A:$A,My_Audit!K:K,""),
_xlfn.IFS(_xlpm.MyAuditVal&lt;&gt;"",UPPER(_xlpm.MyAuditVal),_xlpm.MacVal&lt;&gt;"",_xlpm.MacVal,_xlpm.CSVVal&lt;&gt;"",_xlpm.CSVVal
)),"")</f>
        <v/>
      </c>
      <c r="M5" s="2" t="str" cm="1">
        <f t="array" ref="M5">IFERROR(_xlfn.LET(
_xlpm.CSVVal,_xlfn.XLOOKUP($A5,CSV!$A:$A,CSV!Q:Q,""),
_xlpm.MacVal,_xlfn.XLOOKUP($A5,Output_Mac!$A:$A,Output_Mac!M:M,""),
_xlpm.MyAuditVal,_xlfn.XLOOKUP($A5,My_Audit!$A:$A,My_Audit!L:L,""),
_xlfn.IFS(_xlpm.MyAuditVal&lt;&gt;"",UPPER(_xlpm.MyAuditVal),_xlpm.MacVal&lt;&gt;"",_xlpm.MacVal,_xlpm.CSVVal&lt;&gt;"",_xlpm.CSVVal
)),"")</f>
        <v/>
      </c>
      <c r="O5" s="2" t="str">
        <f>_xlfn.LET(
    _xlpm.CSVVal, _xlfn.XLOOKUP($A5, CSV!$A:$A, CSV!AA:AA, ""),
    _xlpm.MacVal, _xlfn.XLOOKUP($A5, Output_Mac!$A:$A, Output_Mac!S:S, ""),
    _xlpm.MyAuditVal, _xlfn.XLOOKUP($A5, My_Audit!$A:$A, My_Audit!P:P, ""),
    _xlfn.TEXTJOIN(", ", TRUE, _xlpm.MyAuditVal, _xlpm.MacVal, _xlpm.CSVVal)
)</f>
        <v/>
      </c>
      <c r="P5" s="2" t="str" cm="1">
        <f t="array" ref="P5">IFERROR(_xlfn.LET(
_xlpm.CSVVal,_xlfn.XLOOKUP($A5,CSV!$A:$A,CSV!AB:AB,""),
_xlpm.MacVal,_xlfn.XLOOKUP($A5,Output_Mac!$A:$A,Output_Mac!T:T,""),
_xlpm.MyAuditVal,_xlfn.XLOOKUP($A5,My_Audit!$A:$A,My_Audit!Q:Q,""),
_xlfn.IFS(_xlpm.MyAuditVal&lt;&gt;"",UPPER(_xlpm.MyAuditVal),_xlpm.MacVal&lt;&gt;"",_xlpm.MacVal,_xlpm.CSVVal&lt;&gt;"",_xlpm.CSVVal
)),"No")</f>
        <v>No</v>
      </c>
      <c r="Q5" s="2" t="str" cm="1">
        <f t="array" ref="Q5">IFERROR(_xlfn.LET(
_xlpm.CSVVal,_xlfn.XLOOKUP($A5,CSV!$A:$A,CSV!AC:AC,""),
_xlpm.MacVal,_xlfn.XLOOKUP($A5,Output_Mac!$A:$A,Output_Mac!U:U,""),
_xlpm.MyAuditVal,_xlfn.XLOOKUP($A5,My_Audit!$A:$A,My_Audit!R:R,""),
_xlfn.IFS(_xlpm.MyAuditVal&lt;&gt;"",UPPER(_xlpm.MyAuditVal),_xlpm.MacVal&lt;&gt;"",_xlpm.MacVal,_xlpm.CSVVal&lt;&gt;"",_xlpm.CSVVal
)),"")</f>
        <v/>
      </c>
      <c r="X5" t="str">
        <f>_xlfn.LET(
    _xlpm.MacVal, _xlfn.XLOOKUP($A5, Output_Mac!$A:$A, Output_Mac!AB:AB, ""),
    _xlpm.MyAuditVal, _xlfn.XLOOKUP($A5, My_Audit!$A:$A, My_Audit!N:N, ""),
    _xlfn.TEXTJOIN(", ", TRUE, _xlpm.MyAuditVal, _xlpm.MacVal)
)</f>
        <v/>
      </c>
    </row>
    <row r="6" spans="1:24">
      <c r="A6" s="2" t="str">
        <f>_xlfn.TEXTJOIN("",TRUE,Input!$B$2,"0",ROW(My_Audit!A5))</f>
        <v>X05</v>
      </c>
      <c r="B6" s="2" t="str">
        <f>_xlfn.TEXTJOIN("-",TRUE,"ITD",Input!$A$2,A6)</f>
        <v>ITD-SHR-X05</v>
      </c>
      <c r="C6" s="2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2" t="str" cm="1">
        <f t="array" ref="D6">IFERROR(_xlfn.LET(
_xlpm.CSVVal,_xlfn.XLOOKUP($A6,CSV!$A:$A,CSV!D:D,""),
_xlpm.MacVal,_xlfn.XLOOKUP($A6,Output_Mac!$A:$A,Output_Mac!C:C,""),
_xlpm.MyAuditVal,_xlfn.XLOOKUP($A6,My_Audit!$A:$A,My_Audit!C:C,""),
_xlfn.IFS(_xlpm.MyAuditVal&lt;&gt;"",_xlpm.MyAuditVal,_xlpm.MacVal&lt;&gt;"",_xlpm.MacVal,_xlpm.CSVVal&lt;&gt;"",_xlpm.CSVVal
)),"")</f>
        <v/>
      </c>
      <c r="E6" s="2">
        <f>_xlfn.XLOOKUP(A6,My_Audit!A:A,My_Audit!D:D,"")</f>
        <v>0</v>
      </c>
      <c r="F6" s="2" t="str" cm="1">
        <f t="array" ref="F6">IFERROR(_xlfn.LET(
_xlpm.CSVVal,_xlfn.XLOOKUP($A6,CSV!$A:$A,CSV!F:F,""),
_xlpm.MacVal,_xlfn.XLOOKUP($A6,Output_Mac!$A:$A,Output_Mac!E:E,""),
_xlpm.MyAuditVal,_xlfn.XLOOKUP($A6,My_Audit!$A:$A,My_Audit!E:E,""),
_xlfn.IFS(_xlpm.MyAuditVal&lt;&gt;"",_xlpm.MyAuditVal,_xlpm.MacVal&lt;&gt;"",_xlpm.MacVal,_xlpm.CSVVal&lt;&gt;"",_xlpm.CSVVal
)),"")</f>
        <v/>
      </c>
      <c r="G6" s="2" t="str" cm="1">
        <f t="array" ref="G6">IFERROR(_xlfn.LET(
_xlpm.CSVVal,_xlfn.XLOOKUP($A6,CSV!$A:$A,CSV!G:G,""),
_xlpm.MacVal,_xlfn.XLOOKUP($A6,Output_Mac!$A:$A,Output_Mac!F:F,""),
_xlpm.MyAuditVal,_xlfn.XLOOKUP($A6,My_Audit!$A:$A,My_Audit!F:F,""),
_xlfn.IFS(_xlpm.MyAuditVal&lt;&gt;"",_xlpm.MyAuditVal,_xlpm.MacVal&lt;&gt;"",_xlpm.MacVal,_xlpm.CSVVal&lt;&gt;"",PROPER(_xlpm.CSVVal)
)),"")</f>
        <v/>
      </c>
      <c r="H6" s="2" t="str" cm="1">
        <f t="array" ref="H6">IFERROR(_xlfn.LET(
_xlpm.CSVVal,_xlfn.XLOOKUP($A6,CSV!$A:$A,CSV!H:H,""),
_xlpm.MacVal,_xlfn.XLOOKUP($A6,Output_Mac!$A:$A,Output_Mac!H:H,""),
_xlpm.MyAuditVal,_xlfn.XLOOKUP($A6,My_Audit!$A:$A,My_Audit!G:G,""),
_xlfn.IFS(_xlpm.MyAuditVal&lt;&gt;"",_xlpm.MyAuditVal,_xlpm.MacVal&lt;&gt;"",_xlpm.MacVal,_xlpm.CSVVal&lt;&gt;"",_xlpm.CSVVal
)),"")</f>
        <v/>
      </c>
      <c r="I6" s="2" t="str">
        <f>_xlfn.XLOOKUP(A6,Output_Mac!A:A,Output_Mac!I:I,"")</f>
        <v/>
      </c>
      <c r="J6" s="2" t="str" cm="1">
        <f t="array" ref="J6">IFERROR(_xlfn.LET(
_xlpm.CSVVal,_xlfn.XLOOKUP($A6,CSV!$A:$A,CSV!I:I,""),
_xlpm.MacVal,_xlfn.XLOOKUP($A6,Output_Mac!$A:$A,Output_Mac!J:J,""),
_xlpm.MyAuditVal,_xlfn.XLOOKUP($A6,My_Audit!$A:$A,My_Audit!I:I,""),
_xlfn.IFS(_xlpm.MyAuditVal&lt;&gt;"",UPPER(_xlpm.MyAuditVal),_xlpm.MacVal&lt;&gt;"",_xlpm.MacVal,_xlpm.CSVVal&lt;&gt;"",_xlpm.CSVVal
)),"")</f>
        <v/>
      </c>
      <c r="K6" s="2" t="str" cm="1">
        <f t="array" ref="K6">IFERROR(_xlfn.LET(
_xlpm.CSVVal,_xlfn.XLOOKUP($A6,CSV!$A:$A,CSV!K:K,""),
_xlpm.MacVal,_xlfn.XLOOKUP($A6,Output_Mac!$A:$A,Output_Mac!K:K,""),
_xlpm.MyAuditVal,_xlfn.XLOOKUP($A6,My_Audit!$A:$A,My_Audit!J:J,""),
_xlfn.IFS(_xlpm.MyAuditVal&lt;&gt;"",UPPER(_xlpm.MyAuditVal),_xlpm.MacVal&lt;&gt;"",_xlpm.MacVal,_xlpm.CSVVal&lt;&gt;"",_xlpm.CSVVal
)),"")</f>
        <v/>
      </c>
      <c r="L6" s="2" t="str" cm="1">
        <f t="array" ref="L6">IFERROR(_xlfn.LET(
_xlpm.CSVVal,_xlfn.XLOOKUP($A6,CSV!$A:$A,CSV!P:P,""),
_xlpm.MacVal,_xlfn.XLOOKUP($A6,Output_Mac!$A:$A,Output_Mac!L:L,""),
_xlpm.MyAuditVal,_xlfn.XLOOKUP($A6,My_Audit!$A:$A,My_Audit!K:K,""),
_xlfn.IFS(_xlpm.MyAuditVal&lt;&gt;"",UPPER(_xlpm.MyAuditVal),_xlpm.MacVal&lt;&gt;"",_xlpm.MacVal,_xlpm.CSVVal&lt;&gt;"",_xlpm.CSVVal
)),"")</f>
        <v/>
      </c>
      <c r="M6" s="2" t="str" cm="1">
        <f t="array" ref="M6">IFERROR(_xlfn.LET(
_xlpm.CSVVal,_xlfn.XLOOKUP($A6,CSV!$A:$A,CSV!Q:Q,""),
_xlpm.MacVal,_xlfn.XLOOKUP($A6,Output_Mac!$A:$A,Output_Mac!M:M,""),
_xlpm.MyAuditVal,_xlfn.XLOOKUP($A6,My_Audit!$A:$A,My_Audit!L:L,""),
_xlfn.IFS(_xlpm.MyAuditVal&lt;&gt;"",UPPER(_xlpm.MyAuditVal),_xlpm.MacVal&lt;&gt;"",_xlpm.MacVal,_xlpm.CSVVal&lt;&gt;"",_xlpm.CSVVal
)),"")</f>
        <v/>
      </c>
      <c r="O6" s="2" t="str">
        <f>_xlfn.LET(
    _xlpm.CSVVal, _xlfn.XLOOKUP($A6, CSV!$A:$A, CSV!AA:AA, ""),
    _xlpm.MacVal, _xlfn.XLOOKUP($A6, Output_Mac!$A:$A, Output_Mac!S:S, ""),
    _xlpm.MyAuditVal, _xlfn.XLOOKUP($A6, My_Audit!$A:$A, My_Audit!P:P, ""),
    _xlfn.TEXTJOIN(", ", TRUE, _xlpm.MyAuditVal, _xlpm.MacVal, _xlpm.CSVVal)
)</f>
        <v/>
      </c>
      <c r="P6" s="2" t="str" cm="1">
        <f t="array" ref="P6">IFERROR(_xlfn.LET(
_xlpm.CSVVal,_xlfn.XLOOKUP($A6,CSV!$A:$A,CSV!AB:AB,""),
_xlpm.MacVal,_xlfn.XLOOKUP($A6,Output_Mac!$A:$A,Output_Mac!T:T,""),
_xlpm.MyAuditVal,_xlfn.XLOOKUP($A6,My_Audit!$A:$A,My_Audit!Q:Q,""),
_xlfn.IFS(_xlpm.MyAuditVal&lt;&gt;"",UPPER(_xlpm.MyAuditVal),_xlpm.MacVal&lt;&gt;"",_xlpm.MacVal,_xlpm.CSVVal&lt;&gt;"",_xlpm.CSVVal
)),"No")</f>
        <v>No</v>
      </c>
      <c r="Q6" s="2" t="str" cm="1">
        <f t="array" ref="Q6">IFERROR(_xlfn.LET(
_xlpm.CSVVal,_xlfn.XLOOKUP($A6,CSV!$A:$A,CSV!AC:AC,""),
_xlpm.MacVal,_xlfn.XLOOKUP($A6,Output_Mac!$A:$A,Output_Mac!U:U,""),
_xlpm.MyAuditVal,_xlfn.XLOOKUP($A6,My_Audit!$A:$A,My_Audit!R:R,""),
_xlfn.IFS(_xlpm.MyAuditVal&lt;&gt;"",UPPER(_xlpm.MyAuditVal),_xlpm.MacVal&lt;&gt;"",_xlpm.MacVal,_xlpm.CSVVal&lt;&gt;"",_xlpm.CSVVal
)),"")</f>
        <v/>
      </c>
      <c r="X6" t="str">
        <f>_xlfn.LET(
    _xlpm.MacVal, _xlfn.XLOOKUP($A6, Output_Mac!$A:$A, Output_Mac!AB:AB, ""),
    _xlpm.MyAuditVal, _xlfn.XLOOKUP($A6, My_Audit!$A:$A, My_Audit!N:N, ""),
    _xlfn.TEXTJOIN(", ", TRUE, _xlpm.MyAuditVal, _xlpm.MacVal)
)</f>
        <v/>
      </c>
    </row>
    <row r="7" spans="1:24">
      <c r="A7" s="2" t="str">
        <f>_xlfn.TEXTJOIN("",TRUE,Input!$B$2,"0",ROW(My_Audit!A6))</f>
        <v>X06</v>
      </c>
      <c r="B7" s="2" t="str">
        <f>_xlfn.TEXTJOIN("-",TRUE,"ITD",Input!$A$2,A7)</f>
        <v>ITD-SHR-X06</v>
      </c>
      <c r="C7" s="2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2" t="str" cm="1">
        <f t="array" ref="D7">IFERROR(_xlfn.LET(
_xlpm.CSVVal,_xlfn.XLOOKUP($A7,CSV!$A:$A,CSV!D:D,""),
_xlpm.MacVal,_xlfn.XLOOKUP($A7,Output_Mac!$A:$A,Output_Mac!C:C,""),
_xlpm.MyAuditVal,_xlfn.XLOOKUP($A7,My_Audit!$A:$A,My_Audit!C:C,""),
_xlfn.IFS(_xlpm.MyAuditVal&lt;&gt;"",_xlpm.MyAuditVal,_xlpm.MacVal&lt;&gt;"",_xlpm.MacVal,_xlpm.CSVVal&lt;&gt;"",_xlpm.CSVVal
)),"")</f>
        <v/>
      </c>
      <c r="E7" s="2">
        <f>_xlfn.XLOOKUP(A7,My_Audit!A:A,My_Audit!D:D,"")</f>
        <v>0</v>
      </c>
      <c r="F7" s="2" t="str" cm="1">
        <f t="array" ref="F7">IFERROR(_xlfn.LET(
_xlpm.CSVVal,_xlfn.XLOOKUP($A7,CSV!$A:$A,CSV!F:F,""),
_xlpm.MacVal,_xlfn.XLOOKUP($A7,Output_Mac!$A:$A,Output_Mac!E:E,""),
_xlpm.MyAuditVal,_xlfn.XLOOKUP($A7,My_Audit!$A:$A,My_Audit!E:E,""),
_xlfn.IFS(_xlpm.MyAuditVal&lt;&gt;"",_xlpm.MyAuditVal,_xlpm.MacVal&lt;&gt;"",_xlpm.MacVal,_xlpm.CSVVal&lt;&gt;"",_xlpm.CSVVal
)),"")</f>
        <v/>
      </c>
      <c r="G7" s="2" t="str" cm="1">
        <f t="array" ref="G7">IFERROR(_xlfn.LET(
_xlpm.CSVVal,_xlfn.XLOOKUP($A7,CSV!$A:$A,CSV!G:G,""),
_xlpm.MacVal,_xlfn.XLOOKUP($A7,Output_Mac!$A:$A,Output_Mac!F:F,""),
_xlpm.MyAuditVal,_xlfn.XLOOKUP($A7,My_Audit!$A:$A,My_Audit!F:F,""),
_xlfn.IFS(_xlpm.MyAuditVal&lt;&gt;"",_xlpm.MyAuditVal,_xlpm.MacVal&lt;&gt;"",_xlpm.MacVal,_xlpm.CSVVal&lt;&gt;"",PROPER(_xlpm.CSVVal)
)),"")</f>
        <v/>
      </c>
      <c r="H7" s="2" t="str" cm="1">
        <f t="array" ref="H7">IFERROR(_xlfn.LET(
_xlpm.CSVVal,_xlfn.XLOOKUP($A7,CSV!$A:$A,CSV!H:H,""),
_xlpm.MacVal,_xlfn.XLOOKUP($A7,Output_Mac!$A:$A,Output_Mac!H:H,""),
_xlpm.MyAuditVal,_xlfn.XLOOKUP($A7,My_Audit!$A:$A,My_Audit!G:G,""),
_xlfn.IFS(_xlpm.MyAuditVal&lt;&gt;"",_xlpm.MyAuditVal,_xlpm.MacVal&lt;&gt;"",_xlpm.MacVal,_xlpm.CSVVal&lt;&gt;"",_xlpm.CSVVal
)),"")</f>
        <v/>
      </c>
      <c r="I7" s="2" t="str">
        <f>_xlfn.XLOOKUP(A7,Output_Mac!A:A,Output_Mac!I:I,"")</f>
        <v/>
      </c>
      <c r="J7" s="2" t="str" cm="1">
        <f t="array" ref="J7">IFERROR(_xlfn.LET(
_xlpm.CSVVal,_xlfn.XLOOKUP($A7,CSV!$A:$A,CSV!I:I,""),
_xlpm.MacVal,_xlfn.XLOOKUP($A7,Output_Mac!$A:$A,Output_Mac!J:J,""),
_xlpm.MyAuditVal,_xlfn.XLOOKUP($A7,My_Audit!$A:$A,My_Audit!I:I,""),
_xlfn.IFS(_xlpm.MyAuditVal&lt;&gt;"",UPPER(_xlpm.MyAuditVal),_xlpm.MacVal&lt;&gt;"",_xlpm.MacVal,_xlpm.CSVVal&lt;&gt;"",_xlpm.CSVVal
)),"")</f>
        <v/>
      </c>
      <c r="K7" s="2" t="str" cm="1">
        <f t="array" ref="K7">IFERROR(_xlfn.LET(
_xlpm.CSVVal,_xlfn.XLOOKUP($A7,CSV!$A:$A,CSV!K:K,""),
_xlpm.MacVal,_xlfn.XLOOKUP($A7,Output_Mac!$A:$A,Output_Mac!K:K,""),
_xlpm.MyAuditVal,_xlfn.XLOOKUP($A7,My_Audit!$A:$A,My_Audit!J:J,""),
_xlfn.IFS(_xlpm.MyAuditVal&lt;&gt;"",UPPER(_xlpm.MyAuditVal),_xlpm.MacVal&lt;&gt;"",_xlpm.MacVal,_xlpm.CSVVal&lt;&gt;"",_xlpm.CSVVal
)),"")</f>
        <v/>
      </c>
      <c r="L7" s="2" t="str" cm="1">
        <f t="array" ref="L7">IFERROR(_xlfn.LET(
_xlpm.CSVVal,_xlfn.XLOOKUP($A7,CSV!$A:$A,CSV!P:P,""),
_xlpm.MacVal,_xlfn.XLOOKUP($A7,Output_Mac!$A:$A,Output_Mac!L:L,""),
_xlpm.MyAuditVal,_xlfn.XLOOKUP($A7,My_Audit!$A:$A,My_Audit!K:K,""),
_xlfn.IFS(_xlpm.MyAuditVal&lt;&gt;"",UPPER(_xlpm.MyAuditVal),_xlpm.MacVal&lt;&gt;"",_xlpm.MacVal,_xlpm.CSVVal&lt;&gt;"",_xlpm.CSVVal
)),"")</f>
        <v/>
      </c>
      <c r="M7" s="2" t="str" cm="1">
        <f t="array" ref="M7">IFERROR(_xlfn.LET(
_xlpm.CSVVal,_xlfn.XLOOKUP($A7,CSV!$A:$A,CSV!Q:Q,""),
_xlpm.MacVal,_xlfn.XLOOKUP($A7,Output_Mac!$A:$A,Output_Mac!M:M,""),
_xlpm.MyAuditVal,_xlfn.XLOOKUP($A7,My_Audit!$A:$A,My_Audit!L:L,""),
_xlfn.IFS(_xlpm.MyAuditVal&lt;&gt;"",UPPER(_xlpm.MyAuditVal),_xlpm.MacVal&lt;&gt;"",_xlpm.MacVal,_xlpm.CSVVal&lt;&gt;"",_xlpm.CSVVal
)),"")</f>
        <v/>
      </c>
      <c r="O7" s="2" t="str">
        <f>_xlfn.LET(
    _xlpm.CSVVal, _xlfn.XLOOKUP($A7, CSV!$A:$A, CSV!AA:AA, ""),
    _xlpm.MacVal, _xlfn.XLOOKUP($A7, Output_Mac!$A:$A, Output_Mac!S:S, ""),
    _xlpm.MyAuditVal, _xlfn.XLOOKUP($A7, My_Audit!$A:$A, My_Audit!P:P, ""),
    _xlfn.TEXTJOIN(", ", TRUE, _xlpm.MyAuditVal, _xlpm.MacVal, _xlpm.CSVVal)
)</f>
        <v/>
      </c>
      <c r="P7" s="2" t="str" cm="1">
        <f t="array" ref="P7">IFERROR(_xlfn.LET(
_xlpm.CSVVal,_xlfn.XLOOKUP($A7,CSV!$A:$A,CSV!AB:AB,""),
_xlpm.MacVal,_xlfn.XLOOKUP($A7,Output_Mac!$A:$A,Output_Mac!T:T,""),
_xlpm.MyAuditVal,_xlfn.XLOOKUP($A7,My_Audit!$A:$A,My_Audit!Q:Q,""),
_xlfn.IFS(_xlpm.MyAuditVal&lt;&gt;"",UPPER(_xlpm.MyAuditVal),_xlpm.MacVal&lt;&gt;"",_xlpm.MacVal,_xlpm.CSVVal&lt;&gt;"",_xlpm.CSVVal
)),"No")</f>
        <v>No</v>
      </c>
      <c r="Q7" s="2" t="str" cm="1">
        <f t="array" ref="Q7">IFERROR(_xlfn.LET(
_xlpm.CSVVal,_xlfn.XLOOKUP($A7,CSV!$A:$A,CSV!AC:AC,""),
_xlpm.MacVal,_xlfn.XLOOKUP($A7,Output_Mac!$A:$A,Output_Mac!U:U,""),
_xlpm.MyAuditVal,_xlfn.XLOOKUP($A7,My_Audit!$A:$A,My_Audit!R:R,""),
_xlfn.IFS(_xlpm.MyAuditVal&lt;&gt;"",UPPER(_xlpm.MyAuditVal),_xlpm.MacVal&lt;&gt;"",_xlpm.MacVal,_xlpm.CSVVal&lt;&gt;"",_xlpm.CSVVal
)),"")</f>
        <v/>
      </c>
      <c r="X7" t="str">
        <f>_xlfn.LET(
    _xlpm.MacVal, _xlfn.XLOOKUP($A7, Output_Mac!$A:$A, Output_Mac!AB:AB, ""),
    _xlpm.MyAuditVal, _xlfn.XLOOKUP($A7, My_Audit!$A:$A, My_Audit!N:N, ""),
    _xlfn.TEXTJOIN(", ", TRUE, _xlpm.MyAuditVal, _xlpm.MacVal)
)</f>
        <v/>
      </c>
    </row>
    <row r="8" spans="1:24">
      <c r="A8" s="2" t="str">
        <f>_xlfn.TEXTJOIN("",TRUE,Input!$B$2,"0",ROW(My_Audit!A7))</f>
        <v>X07</v>
      </c>
      <c r="B8" s="2" t="str">
        <f>_xlfn.TEXTJOIN("-",TRUE,"ITD",Input!$A$2,A8)</f>
        <v>ITD-SHR-X07</v>
      </c>
      <c r="C8" s="2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2" t="str" cm="1">
        <f t="array" ref="D8">IFERROR(_xlfn.LET(
_xlpm.CSVVal,_xlfn.XLOOKUP($A8,CSV!$A:$A,CSV!D:D,""),
_xlpm.MacVal,_xlfn.XLOOKUP($A8,Output_Mac!$A:$A,Output_Mac!C:C,""),
_xlpm.MyAuditVal,_xlfn.XLOOKUP($A8,My_Audit!$A:$A,My_Audit!C:C,""),
_xlfn.IFS(_xlpm.MyAuditVal&lt;&gt;"",_xlpm.MyAuditVal,_xlpm.MacVal&lt;&gt;"",_xlpm.MacVal,_xlpm.CSVVal&lt;&gt;"",_xlpm.CSVVal
)),"")</f>
        <v/>
      </c>
      <c r="E8" s="2">
        <f>_xlfn.XLOOKUP(A8,My_Audit!A:A,My_Audit!D:D,"")</f>
        <v>0</v>
      </c>
      <c r="F8" s="2" t="str" cm="1">
        <f t="array" ref="F8">IFERROR(_xlfn.LET(
_xlpm.CSVVal,_xlfn.XLOOKUP($A8,CSV!$A:$A,CSV!F:F,""),
_xlpm.MacVal,_xlfn.XLOOKUP($A8,Output_Mac!$A:$A,Output_Mac!E:E,""),
_xlpm.MyAuditVal,_xlfn.XLOOKUP($A8,My_Audit!$A:$A,My_Audit!E:E,""),
_xlfn.IFS(_xlpm.MyAuditVal&lt;&gt;"",_xlpm.MyAuditVal,_xlpm.MacVal&lt;&gt;"",_xlpm.MacVal,_xlpm.CSVVal&lt;&gt;"",_xlpm.CSVVal
)),"")</f>
        <v/>
      </c>
      <c r="G8" s="2" t="str" cm="1">
        <f t="array" ref="G8">IFERROR(_xlfn.LET(
_xlpm.CSVVal,_xlfn.XLOOKUP($A8,CSV!$A:$A,CSV!G:G,""),
_xlpm.MacVal,_xlfn.XLOOKUP($A8,Output_Mac!$A:$A,Output_Mac!F:F,""),
_xlpm.MyAuditVal,_xlfn.XLOOKUP($A8,My_Audit!$A:$A,My_Audit!F:F,""),
_xlfn.IFS(_xlpm.MyAuditVal&lt;&gt;"",_xlpm.MyAuditVal,_xlpm.MacVal&lt;&gt;"",_xlpm.MacVal,_xlpm.CSVVal&lt;&gt;"",PROPER(_xlpm.CSVVal)
)),"")</f>
        <v/>
      </c>
      <c r="H8" s="2" t="str" cm="1">
        <f t="array" ref="H8">IFERROR(_xlfn.LET(
_xlpm.CSVVal,_xlfn.XLOOKUP($A8,CSV!$A:$A,CSV!H:H,""),
_xlpm.MacVal,_xlfn.XLOOKUP($A8,Output_Mac!$A:$A,Output_Mac!H:H,""),
_xlpm.MyAuditVal,_xlfn.XLOOKUP($A8,My_Audit!$A:$A,My_Audit!G:G,""),
_xlfn.IFS(_xlpm.MyAuditVal&lt;&gt;"",_xlpm.MyAuditVal,_xlpm.MacVal&lt;&gt;"",_xlpm.MacVal,_xlpm.CSVVal&lt;&gt;"",_xlpm.CSVVal
)),"")</f>
        <v/>
      </c>
      <c r="I8" s="2" t="str">
        <f>_xlfn.XLOOKUP(A8,Output_Mac!A:A,Output_Mac!I:I,"")</f>
        <v/>
      </c>
      <c r="J8" s="2" t="str" cm="1">
        <f t="array" ref="J8">IFERROR(_xlfn.LET(
_xlpm.CSVVal,_xlfn.XLOOKUP($A8,CSV!$A:$A,CSV!I:I,""),
_xlpm.MacVal,_xlfn.XLOOKUP($A8,Output_Mac!$A:$A,Output_Mac!J:J,""),
_xlpm.MyAuditVal,_xlfn.XLOOKUP($A8,My_Audit!$A:$A,My_Audit!I:I,""),
_xlfn.IFS(_xlpm.MyAuditVal&lt;&gt;"",UPPER(_xlpm.MyAuditVal),_xlpm.MacVal&lt;&gt;"",_xlpm.MacVal,_xlpm.CSVVal&lt;&gt;"",_xlpm.CSVVal
)),"")</f>
        <v/>
      </c>
      <c r="K8" s="2" t="str" cm="1">
        <f t="array" ref="K8">IFERROR(_xlfn.LET(
_xlpm.CSVVal,_xlfn.XLOOKUP($A8,CSV!$A:$A,CSV!K:K,""),
_xlpm.MacVal,_xlfn.XLOOKUP($A8,Output_Mac!$A:$A,Output_Mac!K:K,""),
_xlpm.MyAuditVal,_xlfn.XLOOKUP($A8,My_Audit!$A:$A,My_Audit!J:J,""),
_xlfn.IFS(_xlpm.MyAuditVal&lt;&gt;"",UPPER(_xlpm.MyAuditVal),_xlpm.MacVal&lt;&gt;"",_xlpm.MacVal,_xlpm.CSVVal&lt;&gt;"",_xlpm.CSVVal
)),"")</f>
        <v/>
      </c>
      <c r="L8" s="2" t="str" cm="1">
        <f t="array" ref="L8">IFERROR(_xlfn.LET(
_xlpm.CSVVal,_xlfn.XLOOKUP($A8,CSV!$A:$A,CSV!P:P,""),
_xlpm.MacVal,_xlfn.XLOOKUP($A8,Output_Mac!$A:$A,Output_Mac!L:L,""),
_xlpm.MyAuditVal,_xlfn.XLOOKUP($A8,My_Audit!$A:$A,My_Audit!K:K,""),
_xlfn.IFS(_xlpm.MyAuditVal&lt;&gt;"",UPPER(_xlpm.MyAuditVal),_xlpm.MacVal&lt;&gt;"",_xlpm.MacVal,_xlpm.CSVVal&lt;&gt;"",_xlpm.CSVVal
)),"")</f>
        <v/>
      </c>
      <c r="M8" s="2" t="str" cm="1">
        <f t="array" ref="M8">IFERROR(_xlfn.LET(
_xlpm.CSVVal,_xlfn.XLOOKUP($A8,CSV!$A:$A,CSV!Q:Q,""),
_xlpm.MacVal,_xlfn.XLOOKUP($A8,Output_Mac!$A:$A,Output_Mac!M:M,""),
_xlpm.MyAuditVal,_xlfn.XLOOKUP($A8,My_Audit!$A:$A,My_Audit!L:L,""),
_xlfn.IFS(_xlpm.MyAuditVal&lt;&gt;"",UPPER(_xlpm.MyAuditVal),_xlpm.MacVal&lt;&gt;"",_xlpm.MacVal,_xlpm.CSVVal&lt;&gt;"",_xlpm.CSVVal
)),"")</f>
        <v/>
      </c>
      <c r="O8" s="2" t="str">
        <f>_xlfn.LET(
    _xlpm.CSVVal, _xlfn.XLOOKUP($A8, CSV!$A:$A, CSV!AA:AA, ""),
    _xlpm.MacVal, _xlfn.XLOOKUP($A8, Output_Mac!$A:$A, Output_Mac!S:S, ""),
    _xlpm.MyAuditVal, _xlfn.XLOOKUP($A8, My_Audit!$A:$A, My_Audit!P:P, ""),
    _xlfn.TEXTJOIN(", ", TRUE, _xlpm.MyAuditVal, _xlpm.MacVal, _xlpm.CSVVal)
)</f>
        <v/>
      </c>
      <c r="P8" s="2" t="str" cm="1">
        <f t="array" ref="P8">IFERROR(_xlfn.LET(
_xlpm.CSVVal,_xlfn.XLOOKUP($A8,CSV!$A:$A,CSV!AB:AB,""),
_xlpm.MacVal,_xlfn.XLOOKUP($A8,Output_Mac!$A:$A,Output_Mac!T:T,""),
_xlpm.MyAuditVal,_xlfn.XLOOKUP($A8,My_Audit!$A:$A,My_Audit!Q:Q,""),
_xlfn.IFS(_xlpm.MyAuditVal&lt;&gt;"",UPPER(_xlpm.MyAuditVal),_xlpm.MacVal&lt;&gt;"",_xlpm.MacVal,_xlpm.CSVVal&lt;&gt;"",_xlpm.CSVVal
)),"No")</f>
        <v>No</v>
      </c>
      <c r="Q8" s="2" t="str" cm="1">
        <f t="array" ref="Q8">IFERROR(_xlfn.LET(
_xlpm.CSVVal,_xlfn.XLOOKUP($A8,CSV!$A:$A,CSV!AC:AC,""),
_xlpm.MacVal,_xlfn.XLOOKUP($A8,Output_Mac!$A:$A,Output_Mac!U:U,""),
_xlpm.MyAuditVal,_xlfn.XLOOKUP($A8,My_Audit!$A:$A,My_Audit!R:R,""),
_xlfn.IFS(_xlpm.MyAuditVal&lt;&gt;"",UPPER(_xlpm.MyAuditVal),_xlpm.MacVal&lt;&gt;"",_xlpm.MacVal,_xlpm.CSVVal&lt;&gt;"",_xlpm.CSVVal
)),"")</f>
        <v/>
      </c>
      <c r="X8" t="str">
        <f>_xlfn.LET(
    _xlpm.MacVal, _xlfn.XLOOKUP($A8, Output_Mac!$A:$A, Output_Mac!AB:AB, ""),
    _xlpm.MyAuditVal, _xlfn.XLOOKUP($A8, My_Audit!$A:$A, My_Audit!N:N, ""),
    _xlfn.TEXTJOIN(", ", TRUE, _xlpm.MyAuditVal, _xlpm.MacVal)
)</f>
        <v/>
      </c>
    </row>
    <row r="9" spans="1:24">
      <c r="A9" s="2" t="str">
        <f>_xlfn.TEXTJOIN("",TRUE,Input!$B$2,"0",ROW(My_Audit!A8))</f>
        <v>X08</v>
      </c>
      <c r="B9" s="2" t="str">
        <f>_xlfn.TEXTJOIN("-",TRUE,"ITD",Input!$A$2,A9)</f>
        <v>ITD-SHR-X08</v>
      </c>
      <c r="C9" s="2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2" t="str" cm="1">
        <f t="array" ref="D9">IFERROR(_xlfn.LET(
_xlpm.CSVVal,_xlfn.XLOOKUP($A9,CSV!$A:$A,CSV!D:D,""),
_xlpm.MacVal,_xlfn.XLOOKUP($A9,Output_Mac!$A:$A,Output_Mac!C:C,""),
_xlpm.MyAuditVal,_xlfn.XLOOKUP($A9,My_Audit!$A:$A,My_Audit!C:C,""),
_xlfn.IFS(_xlpm.MyAuditVal&lt;&gt;"",_xlpm.MyAuditVal,_xlpm.MacVal&lt;&gt;"",_xlpm.MacVal,_xlpm.CSVVal&lt;&gt;"",_xlpm.CSVVal
)),"")</f>
        <v/>
      </c>
      <c r="E9" s="2">
        <f>_xlfn.XLOOKUP(A9,My_Audit!A:A,My_Audit!D:D,"")</f>
        <v>0</v>
      </c>
      <c r="F9" s="2" t="str" cm="1">
        <f t="array" ref="F9">IFERROR(_xlfn.LET(
_xlpm.CSVVal,_xlfn.XLOOKUP($A9,CSV!$A:$A,CSV!F:F,""),
_xlpm.MacVal,_xlfn.XLOOKUP($A9,Output_Mac!$A:$A,Output_Mac!E:E,""),
_xlpm.MyAuditVal,_xlfn.XLOOKUP($A9,My_Audit!$A:$A,My_Audit!E:E,""),
_xlfn.IFS(_xlpm.MyAuditVal&lt;&gt;"",_xlpm.MyAuditVal,_xlpm.MacVal&lt;&gt;"",_xlpm.MacVal,_xlpm.CSVVal&lt;&gt;"",_xlpm.CSVVal
)),"")</f>
        <v/>
      </c>
      <c r="G9" s="2" t="str" cm="1">
        <f t="array" ref="G9">IFERROR(_xlfn.LET(
_xlpm.CSVVal,_xlfn.XLOOKUP($A9,CSV!$A:$A,CSV!G:G,""),
_xlpm.MacVal,_xlfn.XLOOKUP($A9,Output_Mac!$A:$A,Output_Mac!F:F,""),
_xlpm.MyAuditVal,_xlfn.XLOOKUP($A9,My_Audit!$A:$A,My_Audit!F:F,""),
_xlfn.IFS(_xlpm.MyAuditVal&lt;&gt;"",_xlpm.MyAuditVal,_xlpm.MacVal&lt;&gt;"",_xlpm.MacVal,_xlpm.CSVVal&lt;&gt;"",PROPER(_xlpm.CSVVal)
)),"")</f>
        <v/>
      </c>
      <c r="H9" s="2" t="str" cm="1">
        <f t="array" ref="H9">IFERROR(_xlfn.LET(
_xlpm.CSVVal,_xlfn.XLOOKUP($A9,CSV!$A:$A,CSV!H:H,""),
_xlpm.MacVal,_xlfn.XLOOKUP($A9,Output_Mac!$A:$A,Output_Mac!H:H,""),
_xlpm.MyAuditVal,_xlfn.XLOOKUP($A9,My_Audit!$A:$A,My_Audit!G:G,""),
_xlfn.IFS(_xlpm.MyAuditVal&lt;&gt;"",_xlpm.MyAuditVal,_xlpm.MacVal&lt;&gt;"",_xlpm.MacVal,_xlpm.CSVVal&lt;&gt;"",_xlpm.CSVVal
)),"")</f>
        <v/>
      </c>
      <c r="I9" s="2" t="str">
        <f>_xlfn.XLOOKUP(A9,Output_Mac!A:A,Output_Mac!I:I,"")</f>
        <v/>
      </c>
      <c r="J9" s="2" t="str" cm="1">
        <f t="array" ref="J9">IFERROR(_xlfn.LET(
_xlpm.CSVVal,_xlfn.XLOOKUP($A9,CSV!$A:$A,CSV!I:I,""),
_xlpm.MacVal,_xlfn.XLOOKUP($A9,Output_Mac!$A:$A,Output_Mac!J:J,""),
_xlpm.MyAuditVal,_xlfn.XLOOKUP($A9,My_Audit!$A:$A,My_Audit!I:I,""),
_xlfn.IFS(_xlpm.MyAuditVal&lt;&gt;"",UPPER(_xlpm.MyAuditVal),_xlpm.MacVal&lt;&gt;"",_xlpm.MacVal,_xlpm.CSVVal&lt;&gt;"",_xlpm.CSVVal
)),"")</f>
        <v/>
      </c>
      <c r="K9" s="2" t="str" cm="1">
        <f t="array" ref="K9">IFERROR(_xlfn.LET(
_xlpm.CSVVal,_xlfn.XLOOKUP($A9,CSV!$A:$A,CSV!K:K,""),
_xlpm.MacVal,_xlfn.XLOOKUP($A9,Output_Mac!$A:$A,Output_Mac!K:K,""),
_xlpm.MyAuditVal,_xlfn.XLOOKUP($A9,My_Audit!$A:$A,My_Audit!J:J,""),
_xlfn.IFS(_xlpm.MyAuditVal&lt;&gt;"",UPPER(_xlpm.MyAuditVal),_xlpm.MacVal&lt;&gt;"",_xlpm.MacVal,_xlpm.CSVVal&lt;&gt;"",_xlpm.CSVVal
)),"")</f>
        <v/>
      </c>
      <c r="L9" s="2" t="str" cm="1">
        <f t="array" ref="L9">IFERROR(_xlfn.LET(
_xlpm.CSVVal,_xlfn.XLOOKUP($A9,CSV!$A:$A,CSV!P:P,""),
_xlpm.MacVal,_xlfn.XLOOKUP($A9,Output_Mac!$A:$A,Output_Mac!L:L,""),
_xlpm.MyAuditVal,_xlfn.XLOOKUP($A9,My_Audit!$A:$A,My_Audit!K:K,""),
_xlfn.IFS(_xlpm.MyAuditVal&lt;&gt;"",UPPER(_xlpm.MyAuditVal),_xlpm.MacVal&lt;&gt;"",_xlpm.MacVal,_xlpm.CSVVal&lt;&gt;"",_xlpm.CSVVal
)),"")</f>
        <v/>
      </c>
      <c r="M9" s="2" t="str" cm="1">
        <f t="array" ref="M9">IFERROR(_xlfn.LET(
_xlpm.CSVVal,_xlfn.XLOOKUP($A9,CSV!$A:$A,CSV!Q:Q,""),
_xlpm.MacVal,_xlfn.XLOOKUP($A9,Output_Mac!$A:$A,Output_Mac!M:M,""),
_xlpm.MyAuditVal,_xlfn.XLOOKUP($A9,My_Audit!$A:$A,My_Audit!L:L,""),
_xlfn.IFS(_xlpm.MyAuditVal&lt;&gt;"",UPPER(_xlpm.MyAuditVal),_xlpm.MacVal&lt;&gt;"",_xlpm.MacVal,_xlpm.CSVVal&lt;&gt;"",_xlpm.CSVVal
)),"")</f>
        <v/>
      </c>
      <c r="O9" s="2" t="str">
        <f>_xlfn.LET(
    _xlpm.CSVVal, _xlfn.XLOOKUP($A9, CSV!$A:$A, CSV!AA:AA, ""),
    _xlpm.MacVal, _xlfn.XLOOKUP($A9, Output_Mac!$A:$A, Output_Mac!S:S, ""),
    _xlpm.MyAuditVal, _xlfn.XLOOKUP($A9, My_Audit!$A:$A, My_Audit!P:P, ""),
    _xlfn.TEXTJOIN(", ", TRUE, _xlpm.MyAuditVal, _xlpm.MacVal, _xlpm.CSVVal)
)</f>
        <v/>
      </c>
      <c r="P9" s="2" t="str" cm="1">
        <f t="array" ref="P9">IFERROR(_xlfn.LET(
_xlpm.CSVVal,_xlfn.XLOOKUP($A9,CSV!$A:$A,CSV!AB:AB,""),
_xlpm.MacVal,_xlfn.XLOOKUP($A9,Output_Mac!$A:$A,Output_Mac!T:T,""),
_xlpm.MyAuditVal,_xlfn.XLOOKUP($A9,My_Audit!$A:$A,My_Audit!Q:Q,""),
_xlfn.IFS(_xlpm.MyAuditVal&lt;&gt;"",UPPER(_xlpm.MyAuditVal),_xlpm.MacVal&lt;&gt;"",_xlpm.MacVal,_xlpm.CSVVal&lt;&gt;"",_xlpm.CSVVal
)),"No")</f>
        <v>No</v>
      </c>
      <c r="Q9" s="2" t="str" cm="1">
        <f t="array" ref="Q9">IFERROR(_xlfn.LET(
_xlpm.CSVVal,_xlfn.XLOOKUP($A9,CSV!$A:$A,CSV!AC:AC,""),
_xlpm.MacVal,_xlfn.XLOOKUP($A9,Output_Mac!$A:$A,Output_Mac!U:U,""),
_xlpm.MyAuditVal,_xlfn.XLOOKUP($A9,My_Audit!$A:$A,My_Audit!R:R,""),
_xlfn.IFS(_xlpm.MyAuditVal&lt;&gt;"",UPPER(_xlpm.MyAuditVal),_xlpm.MacVal&lt;&gt;"",_xlpm.MacVal,_xlpm.CSVVal&lt;&gt;"",_xlpm.CSVVal
)),"")</f>
        <v/>
      </c>
      <c r="X9" t="str">
        <f>_xlfn.LET(
    _xlpm.MacVal, _xlfn.XLOOKUP($A9, Output_Mac!$A:$A, Output_Mac!AB:AB, ""),
    _xlpm.MyAuditVal, _xlfn.XLOOKUP($A9, My_Audit!$A:$A, My_Audit!N:N, ""),
    _xlfn.TEXTJOIN(", ", TRUE, _xlpm.MyAuditVal, _xlpm.MacVal)
)</f>
        <v/>
      </c>
    </row>
    <row r="10" spans="1:24">
      <c r="A10" s="2" t="str">
        <f>_xlfn.TEXTJOIN("",TRUE,Input!$B$2,"0",ROW(My_Audit!A9))</f>
        <v>X09</v>
      </c>
      <c r="B10" s="2" t="str">
        <f>_xlfn.TEXTJOIN("-",TRUE,"ITD",Input!$A$2,A10)</f>
        <v>ITD-SHR-X09</v>
      </c>
      <c r="C10" s="2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2" t="str" cm="1">
        <f t="array" ref="D10">IFERROR(_xlfn.LET(
_xlpm.CSVVal,_xlfn.XLOOKUP($A10,CSV!$A:$A,CSV!D:D,""),
_xlpm.MacVal,_xlfn.XLOOKUP($A10,Output_Mac!$A:$A,Output_Mac!C:C,""),
_xlpm.MyAuditVal,_xlfn.XLOOKUP($A10,My_Audit!$A:$A,My_Audit!C:C,""),
_xlfn.IFS(_xlpm.MyAuditVal&lt;&gt;"",_xlpm.MyAuditVal,_xlpm.MacVal&lt;&gt;"",_xlpm.MacVal,_xlpm.CSVVal&lt;&gt;"",_xlpm.CSVVal
)),"")</f>
        <v/>
      </c>
      <c r="E10" s="2">
        <f>_xlfn.XLOOKUP(A10,My_Audit!A:A,My_Audit!D:D,"")</f>
        <v>0</v>
      </c>
      <c r="F10" s="2" t="str" cm="1">
        <f t="array" ref="F10">IFERROR(_xlfn.LET(
_xlpm.CSVVal,_xlfn.XLOOKUP($A10,CSV!$A:$A,CSV!F:F,""),
_xlpm.MacVal,_xlfn.XLOOKUP($A10,Output_Mac!$A:$A,Output_Mac!E:E,""),
_xlpm.MyAuditVal,_xlfn.XLOOKUP($A10,My_Audit!$A:$A,My_Audit!E:E,""),
_xlfn.IFS(_xlpm.MyAuditVal&lt;&gt;"",_xlpm.MyAuditVal,_xlpm.MacVal&lt;&gt;"",_xlpm.MacVal,_xlpm.CSVVal&lt;&gt;"",_xlpm.CSVVal
)),"")</f>
        <v/>
      </c>
      <c r="G10" s="2" t="str" cm="1">
        <f t="array" ref="G10">IFERROR(_xlfn.LET(
_xlpm.CSVVal,_xlfn.XLOOKUP($A10,CSV!$A:$A,CSV!G:G,""),
_xlpm.MacVal,_xlfn.XLOOKUP($A10,Output_Mac!$A:$A,Output_Mac!F:F,""),
_xlpm.MyAuditVal,_xlfn.XLOOKUP($A10,My_Audit!$A:$A,My_Audit!F:F,""),
_xlfn.IFS(_xlpm.MyAuditVal&lt;&gt;"",_xlpm.MyAuditVal,_xlpm.MacVal&lt;&gt;"",_xlpm.MacVal,_xlpm.CSVVal&lt;&gt;"",PROPER(_xlpm.CSVVal)
)),"")</f>
        <v/>
      </c>
      <c r="H10" s="2" t="str" cm="1">
        <f t="array" ref="H10">IFERROR(_xlfn.LET(
_xlpm.CSVVal,_xlfn.XLOOKUP($A10,CSV!$A:$A,CSV!H:H,""),
_xlpm.MacVal,_xlfn.XLOOKUP($A10,Output_Mac!$A:$A,Output_Mac!H:H,""),
_xlpm.MyAuditVal,_xlfn.XLOOKUP($A10,My_Audit!$A:$A,My_Audit!G:G,""),
_xlfn.IFS(_xlpm.MyAuditVal&lt;&gt;"",_xlpm.MyAuditVal,_xlpm.MacVal&lt;&gt;"",_xlpm.MacVal,_xlpm.CSVVal&lt;&gt;"",_xlpm.CSVVal
)),"")</f>
        <v/>
      </c>
      <c r="I10" s="2" t="str">
        <f>_xlfn.XLOOKUP(A10,Output_Mac!A:A,Output_Mac!I:I,"")</f>
        <v/>
      </c>
      <c r="J10" s="2" t="str" cm="1">
        <f t="array" ref="J10">IFERROR(_xlfn.LET(
_xlpm.CSVVal,_xlfn.XLOOKUP($A10,CSV!$A:$A,CSV!I:I,""),
_xlpm.MacVal,_xlfn.XLOOKUP($A10,Output_Mac!$A:$A,Output_Mac!J:J,""),
_xlpm.MyAuditVal,_xlfn.XLOOKUP($A10,My_Audit!$A:$A,My_Audit!I:I,""),
_xlfn.IFS(_xlpm.MyAuditVal&lt;&gt;"",UPPER(_xlpm.MyAuditVal),_xlpm.MacVal&lt;&gt;"",_xlpm.MacVal,_xlpm.CSVVal&lt;&gt;"",_xlpm.CSVVal
)),"")</f>
        <v/>
      </c>
      <c r="K10" s="2" t="str" cm="1">
        <f t="array" ref="K10">IFERROR(_xlfn.LET(
_xlpm.CSVVal,_xlfn.XLOOKUP($A10,CSV!$A:$A,CSV!K:K,""),
_xlpm.MacVal,_xlfn.XLOOKUP($A10,Output_Mac!$A:$A,Output_Mac!K:K,""),
_xlpm.MyAuditVal,_xlfn.XLOOKUP($A10,My_Audit!$A:$A,My_Audit!J:J,""),
_xlfn.IFS(_xlpm.MyAuditVal&lt;&gt;"",UPPER(_xlpm.MyAuditVal),_xlpm.MacVal&lt;&gt;"",_xlpm.MacVal,_xlpm.CSVVal&lt;&gt;"",_xlpm.CSVVal
)),"")</f>
        <v/>
      </c>
      <c r="L10" s="2" t="str" cm="1">
        <f t="array" ref="L10">IFERROR(_xlfn.LET(
_xlpm.CSVVal,_xlfn.XLOOKUP($A10,CSV!$A:$A,CSV!P:P,""),
_xlpm.MacVal,_xlfn.XLOOKUP($A10,Output_Mac!$A:$A,Output_Mac!L:L,""),
_xlpm.MyAuditVal,_xlfn.XLOOKUP($A10,My_Audit!$A:$A,My_Audit!K:K,""),
_xlfn.IFS(_xlpm.MyAuditVal&lt;&gt;"",UPPER(_xlpm.MyAuditVal),_xlpm.MacVal&lt;&gt;"",_xlpm.MacVal,_xlpm.CSVVal&lt;&gt;"",_xlpm.CSVVal
)),"")</f>
        <v/>
      </c>
      <c r="M10" s="2" t="str" cm="1">
        <f t="array" ref="M10">IFERROR(_xlfn.LET(
_xlpm.CSVVal,_xlfn.XLOOKUP($A10,CSV!$A:$A,CSV!Q:Q,""),
_xlpm.MacVal,_xlfn.XLOOKUP($A10,Output_Mac!$A:$A,Output_Mac!M:M,""),
_xlpm.MyAuditVal,_xlfn.XLOOKUP($A10,My_Audit!$A:$A,My_Audit!L:L,""),
_xlfn.IFS(_xlpm.MyAuditVal&lt;&gt;"",UPPER(_xlpm.MyAuditVal),_xlpm.MacVal&lt;&gt;"",_xlpm.MacVal,_xlpm.CSVVal&lt;&gt;"",_xlpm.CSVVal
)),"")</f>
        <v/>
      </c>
      <c r="O10" s="2" t="str">
        <f>_xlfn.LET(
    _xlpm.CSVVal, _xlfn.XLOOKUP($A10, CSV!$A:$A, CSV!AA:AA, ""),
    _xlpm.MacVal, _xlfn.XLOOKUP($A10, Output_Mac!$A:$A, Output_Mac!S:S, ""),
    _xlpm.MyAuditVal, _xlfn.XLOOKUP($A10, My_Audit!$A:$A, My_Audit!P:P, ""),
    _xlfn.TEXTJOIN(", ", TRUE, _xlpm.MyAuditVal, _xlpm.MacVal, _xlpm.CSVVal)
)</f>
        <v/>
      </c>
      <c r="P10" s="2" t="str" cm="1">
        <f t="array" ref="P10">IFERROR(_xlfn.LET(
_xlpm.CSVVal,_xlfn.XLOOKUP($A10,CSV!$A:$A,CSV!AB:AB,""),
_xlpm.MacVal,_xlfn.XLOOKUP($A10,Output_Mac!$A:$A,Output_Mac!T:T,""),
_xlpm.MyAuditVal,_xlfn.XLOOKUP($A10,My_Audit!$A:$A,My_Audit!Q:Q,""),
_xlfn.IFS(_xlpm.MyAuditVal&lt;&gt;"",UPPER(_xlpm.MyAuditVal),_xlpm.MacVal&lt;&gt;"",_xlpm.MacVal,_xlpm.CSVVal&lt;&gt;"",_xlpm.CSVVal
)),"No")</f>
        <v>No</v>
      </c>
      <c r="Q10" s="2" t="str" cm="1">
        <f t="array" ref="Q10">IFERROR(_xlfn.LET(
_xlpm.CSVVal,_xlfn.XLOOKUP($A10,CSV!$A:$A,CSV!AC:AC,""),
_xlpm.MacVal,_xlfn.XLOOKUP($A10,Output_Mac!$A:$A,Output_Mac!U:U,""),
_xlpm.MyAuditVal,_xlfn.XLOOKUP($A10,My_Audit!$A:$A,My_Audit!R:R,""),
_xlfn.IFS(_xlpm.MyAuditVal&lt;&gt;"",UPPER(_xlpm.MyAuditVal),_xlpm.MacVal&lt;&gt;"",_xlpm.MacVal,_xlpm.CSVVal&lt;&gt;"",_xlpm.CSVVal
)),"")</f>
        <v/>
      </c>
      <c r="X10" t="str">
        <f>_xlfn.LET(
    _xlpm.MacVal, _xlfn.XLOOKUP($A10, Output_Mac!$A:$A, Output_Mac!AB:AB, ""),
    _xlpm.MyAuditVal, _xlfn.XLOOKUP($A10, My_Audit!$A:$A, My_Audit!N:N, ""),
    _xlfn.TEXTJOIN(", ", TRUE, _xlpm.MyAuditVal, _xlpm.MacVal)
)</f>
        <v/>
      </c>
    </row>
    <row r="11" spans="1:24">
      <c r="A11" s="2" t="str">
        <f>_xlfn.TEXTJOIN("",TRUE,Input!$B$2,ROW(My_Audit!A10))</f>
        <v>X10</v>
      </c>
      <c r="B11" s="2" t="str">
        <f>_xlfn.TEXTJOIN("-",TRUE,"ITD",Input!$A$2,A11)</f>
        <v>ITD-SHR-X10</v>
      </c>
      <c r="C11" s="2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2" t="str" cm="1">
        <f t="array" ref="D11">IFERROR(_xlfn.LET(
_xlpm.CSVVal,_xlfn.XLOOKUP($A11,CSV!$A:$A,CSV!D:D,""),
_xlpm.MacVal,_xlfn.XLOOKUP($A11,Output_Mac!$A:$A,Output_Mac!C:C,""),
_xlpm.MyAuditVal,_xlfn.XLOOKUP($A11,My_Audit!$A:$A,My_Audit!C:C,""),
_xlfn.IFS(_xlpm.MyAuditVal&lt;&gt;"",_xlpm.MyAuditVal,_xlpm.MacVal&lt;&gt;"",_xlpm.MacVal,_xlpm.CSVVal&lt;&gt;"",_xlpm.CSVVal
)),"")</f>
        <v/>
      </c>
      <c r="E11" s="2">
        <f>_xlfn.XLOOKUP(A11,My_Audit!A:A,My_Audit!D:D,"")</f>
        <v>0</v>
      </c>
      <c r="F11" s="2" t="str" cm="1">
        <f t="array" ref="F11">IFERROR(_xlfn.LET(
_xlpm.CSVVal,_xlfn.XLOOKUP($A11,CSV!$A:$A,CSV!F:F,""),
_xlpm.MacVal,_xlfn.XLOOKUP($A11,Output_Mac!$A:$A,Output_Mac!E:E,""),
_xlpm.MyAuditVal,_xlfn.XLOOKUP($A11,My_Audit!$A:$A,My_Audit!E:E,""),
_xlfn.IFS(_xlpm.MyAuditVal&lt;&gt;"",_xlpm.MyAuditVal,_xlpm.MacVal&lt;&gt;"",_xlpm.MacVal,_xlpm.CSVVal&lt;&gt;"",_xlpm.CSVVal
)),"")</f>
        <v/>
      </c>
      <c r="G11" s="2" t="str" cm="1">
        <f t="array" ref="G11">IFERROR(_xlfn.LET(
_xlpm.CSVVal,_xlfn.XLOOKUP($A11,CSV!$A:$A,CSV!G:G,""),
_xlpm.MacVal,_xlfn.XLOOKUP($A11,Output_Mac!$A:$A,Output_Mac!F:F,""),
_xlpm.MyAuditVal,_xlfn.XLOOKUP($A11,My_Audit!$A:$A,My_Audit!F:F,""),
_xlfn.IFS(_xlpm.MyAuditVal&lt;&gt;"",_xlpm.MyAuditVal,_xlpm.MacVal&lt;&gt;"",_xlpm.MacVal,_xlpm.CSVVal&lt;&gt;"",PROPER(_xlpm.CSVVal)
)),"")</f>
        <v/>
      </c>
      <c r="H11" s="2" t="str" cm="1">
        <f t="array" ref="H11">IFERROR(_xlfn.LET(
_xlpm.CSVVal,_xlfn.XLOOKUP($A11,CSV!$A:$A,CSV!H:H,""),
_xlpm.MacVal,_xlfn.XLOOKUP($A11,Output_Mac!$A:$A,Output_Mac!H:H,""),
_xlpm.MyAuditVal,_xlfn.XLOOKUP($A11,My_Audit!$A:$A,My_Audit!G:G,""),
_xlfn.IFS(_xlpm.MyAuditVal&lt;&gt;"",_xlpm.MyAuditVal,_xlpm.MacVal&lt;&gt;"",_xlpm.MacVal,_xlpm.CSVVal&lt;&gt;"",_xlpm.CSVVal
)),"")</f>
        <v/>
      </c>
      <c r="I11" s="2" t="str">
        <f>_xlfn.XLOOKUP(A11,Output_Mac!A:A,Output_Mac!I:I,"")</f>
        <v/>
      </c>
      <c r="J11" s="2" t="str" cm="1">
        <f t="array" ref="J11">IFERROR(_xlfn.LET(
_xlpm.CSVVal,_xlfn.XLOOKUP($A11,CSV!$A:$A,CSV!I:I,""),
_xlpm.MacVal,_xlfn.XLOOKUP($A11,Output_Mac!$A:$A,Output_Mac!J:J,""),
_xlpm.MyAuditVal,_xlfn.XLOOKUP($A11,My_Audit!$A:$A,My_Audit!I:I,""),
_xlfn.IFS(_xlpm.MyAuditVal&lt;&gt;"",UPPER(_xlpm.MyAuditVal),_xlpm.MacVal&lt;&gt;"",_xlpm.MacVal,_xlpm.CSVVal&lt;&gt;"",_xlpm.CSVVal
)),"")</f>
        <v/>
      </c>
      <c r="K11" s="2" t="str" cm="1">
        <f t="array" ref="K11">IFERROR(_xlfn.LET(
_xlpm.CSVVal,_xlfn.XLOOKUP($A11,CSV!$A:$A,CSV!K:K,""),
_xlpm.MacVal,_xlfn.XLOOKUP($A11,Output_Mac!$A:$A,Output_Mac!K:K,""),
_xlpm.MyAuditVal,_xlfn.XLOOKUP($A11,My_Audit!$A:$A,My_Audit!J:J,""),
_xlfn.IFS(_xlpm.MyAuditVal&lt;&gt;"",UPPER(_xlpm.MyAuditVal),_xlpm.MacVal&lt;&gt;"",_xlpm.MacVal,_xlpm.CSVVal&lt;&gt;"",_xlpm.CSVVal
)),"")</f>
        <v/>
      </c>
      <c r="L11" s="2" t="str" cm="1">
        <f t="array" ref="L11">IFERROR(_xlfn.LET(
_xlpm.CSVVal,_xlfn.XLOOKUP($A11,CSV!$A:$A,CSV!P:P,""),
_xlpm.MacVal,_xlfn.XLOOKUP($A11,Output_Mac!$A:$A,Output_Mac!L:L,""),
_xlpm.MyAuditVal,_xlfn.XLOOKUP($A11,My_Audit!$A:$A,My_Audit!K:K,""),
_xlfn.IFS(_xlpm.MyAuditVal&lt;&gt;"",UPPER(_xlpm.MyAuditVal),_xlpm.MacVal&lt;&gt;"",_xlpm.MacVal,_xlpm.CSVVal&lt;&gt;"",_xlpm.CSVVal
)),"")</f>
        <v/>
      </c>
      <c r="M11" s="2" t="str" cm="1">
        <f t="array" ref="M11">IFERROR(_xlfn.LET(
_xlpm.CSVVal,_xlfn.XLOOKUP($A11,CSV!$A:$A,CSV!Q:Q,""),
_xlpm.MacVal,_xlfn.XLOOKUP($A11,Output_Mac!$A:$A,Output_Mac!M:M,""),
_xlpm.MyAuditVal,_xlfn.XLOOKUP($A11,My_Audit!$A:$A,My_Audit!L:L,""),
_xlfn.IFS(_xlpm.MyAuditVal&lt;&gt;"",UPPER(_xlpm.MyAuditVal),_xlpm.MacVal&lt;&gt;"",_xlpm.MacVal,_xlpm.CSVVal&lt;&gt;"",_xlpm.CSVVal
)),"")</f>
        <v/>
      </c>
      <c r="O11" s="2" t="str">
        <f>_xlfn.LET(
    _xlpm.CSVVal, _xlfn.XLOOKUP($A11, CSV!$A:$A, CSV!AA:AA, ""),
    _xlpm.MacVal, _xlfn.XLOOKUP($A11, Output_Mac!$A:$A, Output_Mac!S:S, ""),
    _xlpm.MyAuditVal, _xlfn.XLOOKUP($A11, My_Audit!$A:$A, My_Audit!P:P, ""),
    _xlfn.TEXTJOIN(", ", TRUE, _xlpm.MyAuditVal, _xlpm.MacVal, _xlpm.CSVVal)
)</f>
        <v/>
      </c>
      <c r="P11" s="2" t="str" cm="1">
        <f t="array" ref="P11">IFERROR(_xlfn.LET(
_xlpm.CSVVal,_xlfn.XLOOKUP($A11,CSV!$A:$A,CSV!AB:AB,""),
_xlpm.MacVal,_xlfn.XLOOKUP($A11,Output_Mac!$A:$A,Output_Mac!T:T,""),
_xlpm.MyAuditVal,_xlfn.XLOOKUP($A11,My_Audit!$A:$A,My_Audit!Q:Q,""),
_xlfn.IFS(_xlpm.MyAuditVal&lt;&gt;"",UPPER(_xlpm.MyAuditVal),_xlpm.MacVal&lt;&gt;"",_xlpm.MacVal,_xlpm.CSVVal&lt;&gt;"",_xlpm.CSVVal
)),"No")</f>
        <v>No</v>
      </c>
      <c r="Q11" s="2" t="str" cm="1">
        <f t="array" ref="Q11">IFERROR(_xlfn.LET(
_xlpm.CSVVal,_xlfn.XLOOKUP($A11,CSV!$A:$A,CSV!AC:AC,""),
_xlpm.MacVal,_xlfn.XLOOKUP($A11,Output_Mac!$A:$A,Output_Mac!U:U,""),
_xlpm.MyAuditVal,_xlfn.XLOOKUP($A11,My_Audit!$A:$A,My_Audit!R:R,""),
_xlfn.IFS(_xlpm.MyAuditVal&lt;&gt;"",UPPER(_xlpm.MyAuditVal),_xlpm.MacVal&lt;&gt;"",_xlpm.MacVal,_xlpm.CSVVal&lt;&gt;"",_xlpm.CSVVal
)),"")</f>
        <v/>
      </c>
      <c r="X11" t="str">
        <f>_xlfn.LET(
    _xlpm.MacVal, _xlfn.XLOOKUP($A11, Output_Mac!$A:$A, Output_Mac!AB:AB, ""),
    _xlpm.MyAuditVal, _xlfn.XLOOKUP($A11, My_Audit!$A:$A, My_Audit!N:N, ""),
    _xlfn.TEXTJOIN(", ", TRUE, _xlpm.MyAuditVal, _xlpm.MacVal)
)</f>
        <v/>
      </c>
    </row>
    <row r="12" spans="1:24">
      <c r="A12" s="2" t="str">
        <f>_xlfn.TEXTJOIN("",TRUE,Input!$B$2,ROW(My_Audit!A11))</f>
        <v>X11</v>
      </c>
      <c r="B12" s="2" t="str">
        <f>_xlfn.TEXTJOIN("-",TRUE,"ITD",Input!$A$2,A12)</f>
        <v>ITD-SHR-X11</v>
      </c>
      <c r="C12" s="2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2" t="str" cm="1">
        <f t="array" ref="D12">IFERROR(_xlfn.LET(
_xlpm.CSVVal,_xlfn.XLOOKUP($A12,CSV!$A:$A,CSV!D:D,""),
_xlpm.MacVal,_xlfn.XLOOKUP($A12,Output_Mac!$A:$A,Output_Mac!C:C,""),
_xlpm.MyAuditVal,_xlfn.XLOOKUP($A12,My_Audit!$A:$A,My_Audit!C:C,""),
_xlfn.IFS(_xlpm.MyAuditVal&lt;&gt;"",_xlpm.MyAuditVal,_xlpm.MacVal&lt;&gt;"",_xlpm.MacVal,_xlpm.CSVVal&lt;&gt;"",_xlpm.CSVVal
)),"")</f>
        <v/>
      </c>
      <c r="E12" s="2">
        <f>_xlfn.XLOOKUP(A12,My_Audit!A:A,My_Audit!D:D,"")</f>
        <v>0</v>
      </c>
      <c r="F12" s="2" t="str" cm="1">
        <f t="array" ref="F12">IFERROR(_xlfn.LET(
_xlpm.CSVVal,_xlfn.XLOOKUP($A12,CSV!$A:$A,CSV!F:F,""),
_xlpm.MacVal,_xlfn.XLOOKUP($A12,Output_Mac!$A:$A,Output_Mac!E:E,""),
_xlpm.MyAuditVal,_xlfn.XLOOKUP($A12,My_Audit!$A:$A,My_Audit!E:E,""),
_xlfn.IFS(_xlpm.MyAuditVal&lt;&gt;"",_xlpm.MyAuditVal,_xlpm.MacVal&lt;&gt;"",_xlpm.MacVal,_xlpm.CSVVal&lt;&gt;"",_xlpm.CSVVal
)),"")</f>
        <v/>
      </c>
      <c r="G12" s="2" t="str" cm="1">
        <f t="array" ref="G12">IFERROR(_xlfn.LET(
_xlpm.CSVVal,_xlfn.XLOOKUP($A12,CSV!$A:$A,CSV!G:G,""),
_xlpm.MacVal,_xlfn.XLOOKUP($A12,Output_Mac!$A:$A,Output_Mac!F:F,""),
_xlpm.MyAuditVal,_xlfn.XLOOKUP($A12,My_Audit!$A:$A,My_Audit!F:F,""),
_xlfn.IFS(_xlpm.MyAuditVal&lt;&gt;"",_xlpm.MyAuditVal,_xlpm.MacVal&lt;&gt;"",_xlpm.MacVal,_xlpm.CSVVal&lt;&gt;"",PROPER(_xlpm.CSVVal)
)),"")</f>
        <v/>
      </c>
      <c r="H12" s="2" t="str" cm="1">
        <f t="array" ref="H12">IFERROR(_xlfn.LET(
_xlpm.CSVVal,_xlfn.XLOOKUP($A12,CSV!$A:$A,CSV!H:H,""),
_xlpm.MacVal,_xlfn.XLOOKUP($A12,Output_Mac!$A:$A,Output_Mac!H:H,""),
_xlpm.MyAuditVal,_xlfn.XLOOKUP($A12,My_Audit!$A:$A,My_Audit!G:G,""),
_xlfn.IFS(_xlpm.MyAuditVal&lt;&gt;"",_xlpm.MyAuditVal,_xlpm.MacVal&lt;&gt;"",_xlpm.MacVal,_xlpm.CSVVal&lt;&gt;"",_xlpm.CSVVal
)),"")</f>
        <v/>
      </c>
      <c r="I12" s="2" t="str">
        <f>_xlfn.XLOOKUP(A12,Output_Mac!A:A,Output_Mac!I:I,"")</f>
        <v/>
      </c>
      <c r="J12" s="2" t="str" cm="1">
        <f t="array" ref="J12">IFERROR(_xlfn.LET(
_xlpm.CSVVal,_xlfn.XLOOKUP($A12,CSV!$A:$A,CSV!I:I,""),
_xlpm.MacVal,_xlfn.XLOOKUP($A12,Output_Mac!$A:$A,Output_Mac!J:J,""),
_xlpm.MyAuditVal,_xlfn.XLOOKUP($A12,My_Audit!$A:$A,My_Audit!I:I,""),
_xlfn.IFS(_xlpm.MyAuditVal&lt;&gt;"",UPPER(_xlpm.MyAuditVal),_xlpm.MacVal&lt;&gt;"",_xlpm.MacVal,_xlpm.CSVVal&lt;&gt;"",_xlpm.CSVVal
)),"")</f>
        <v/>
      </c>
      <c r="K12" s="2" t="str" cm="1">
        <f t="array" ref="K12">IFERROR(_xlfn.LET(
_xlpm.CSVVal,_xlfn.XLOOKUP($A12,CSV!$A:$A,CSV!K:K,""),
_xlpm.MacVal,_xlfn.XLOOKUP($A12,Output_Mac!$A:$A,Output_Mac!K:K,""),
_xlpm.MyAuditVal,_xlfn.XLOOKUP($A12,My_Audit!$A:$A,My_Audit!J:J,""),
_xlfn.IFS(_xlpm.MyAuditVal&lt;&gt;"",UPPER(_xlpm.MyAuditVal),_xlpm.MacVal&lt;&gt;"",_xlpm.MacVal,_xlpm.CSVVal&lt;&gt;"",_xlpm.CSVVal
)),"")</f>
        <v/>
      </c>
      <c r="L12" s="2" t="str" cm="1">
        <f t="array" ref="L12">IFERROR(_xlfn.LET(
_xlpm.CSVVal,_xlfn.XLOOKUP($A12,CSV!$A:$A,CSV!P:P,""),
_xlpm.MacVal,_xlfn.XLOOKUP($A12,Output_Mac!$A:$A,Output_Mac!L:L,""),
_xlpm.MyAuditVal,_xlfn.XLOOKUP($A12,My_Audit!$A:$A,My_Audit!K:K,""),
_xlfn.IFS(_xlpm.MyAuditVal&lt;&gt;"",UPPER(_xlpm.MyAuditVal),_xlpm.MacVal&lt;&gt;"",_xlpm.MacVal,_xlpm.CSVVal&lt;&gt;"",_xlpm.CSVVal
)),"")</f>
        <v/>
      </c>
      <c r="M12" s="2" t="str" cm="1">
        <f t="array" ref="M12">IFERROR(_xlfn.LET(
_xlpm.CSVVal,_xlfn.XLOOKUP($A12,CSV!$A:$A,CSV!Q:Q,""),
_xlpm.MacVal,_xlfn.XLOOKUP($A12,Output_Mac!$A:$A,Output_Mac!M:M,""),
_xlpm.MyAuditVal,_xlfn.XLOOKUP($A12,My_Audit!$A:$A,My_Audit!L:L,""),
_xlfn.IFS(_xlpm.MyAuditVal&lt;&gt;"",UPPER(_xlpm.MyAuditVal),_xlpm.MacVal&lt;&gt;"",_xlpm.MacVal,_xlpm.CSVVal&lt;&gt;"",_xlpm.CSVVal
)),"")</f>
        <v/>
      </c>
      <c r="O12" s="2" t="str">
        <f>_xlfn.LET(
    _xlpm.CSVVal, _xlfn.XLOOKUP($A12, CSV!$A:$A, CSV!AA:AA, ""),
    _xlpm.MacVal, _xlfn.XLOOKUP($A12, Output_Mac!$A:$A, Output_Mac!S:S, ""),
    _xlpm.MyAuditVal, _xlfn.XLOOKUP($A12, My_Audit!$A:$A, My_Audit!P:P, ""),
    _xlfn.TEXTJOIN(", ", TRUE, _xlpm.MyAuditVal, _xlpm.MacVal, _xlpm.CSVVal)
)</f>
        <v/>
      </c>
      <c r="P12" s="2" t="str" cm="1">
        <f t="array" ref="P12">IFERROR(_xlfn.LET(
_xlpm.CSVVal,_xlfn.XLOOKUP($A12,CSV!$A:$A,CSV!AB:AB,""),
_xlpm.MacVal,_xlfn.XLOOKUP($A12,Output_Mac!$A:$A,Output_Mac!T:T,""),
_xlpm.MyAuditVal,_xlfn.XLOOKUP($A12,My_Audit!$A:$A,My_Audit!Q:Q,""),
_xlfn.IFS(_xlpm.MyAuditVal&lt;&gt;"",UPPER(_xlpm.MyAuditVal),_xlpm.MacVal&lt;&gt;"",_xlpm.MacVal,_xlpm.CSVVal&lt;&gt;"",_xlpm.CSVVal
)),"No")</f>
        <v>No</v>
      </c>
      <c r="Q12" s="2" t="str" cm="1">
        <f t="array" ref="Q12">IFERROR(_xlfn.LET(
_xlpm.CSVVal,_xlfn.XLOOKUP($A12,CSV!$A:$A,CSV!AC:AC,""),
_xlpm.MacVal,_xlfn.XLOOKUP($A12,Output_Mac!$A:$A,Output_Mac!U:U,""),
_xlpm.MyAuditVal,_xlfn.XLOOKUP($A12,My_Audit!$A:$A,My_Audit!R:R,""),
_xlfn.IFS(_xlpm.MyAuditVal&lt;&gt;"",UPPER(_xlpm.MyAuditVal),_xlpm.MacVal&lt;&gt;"",_xlpm.MacVal,_xlpm.CSVVal&lt;&gt;"",_xlpm.CSVVal
)),"")</f>
        <v/>
      </c>
      <c r="X12" t="str">
        <f>_xlfn.LET(
    _xlpm.MacVal, _xlfn.XLOOKUP($A12, Output_Mac!$A:$A, Output_Mac!AB:AB, ""),
    _xlpm.MyAuditVal, _xlfn.XLOOKUP($A12, My_Audit!$A:$A, My_Audit!N:N, ""),
    _xlfn.TEXTJOIN(", ", TRUE, _xlpm.MyAuditVal, _xlpm.MacVal)
)</f>
        <v/>
      </c>
    </row>
    <row r="13" spans="1:24">
      <c r="A13" s="2" t="str">
        <f>_xlfn.TEXTJOIN("",TRUE,Input!$B$2,ROW(My_Audit!A12))</f>
        <v>X12</v>
      </c>
      <c r="B13" s="2" t="str">
        <f>_xlfn.TEXTJOIN("-",TRUE,"ITD",Input!$A$2,A13)</f>
        <v>ITD-SHR-X12</v>
      </c>
      <c r="C13" s="2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2" t="str" cm="1">
        <f t="array" ref="D13">IFERROR(_xlfn.LET(
_xlpm.CSVVal,_xlfn.XLOOKUP($A13,CSV!$A:$A,CSV!D:D,""),
_xlpm.MacVal,_xlfn.XLOOKUP($A13,Output_Mac!$A:$A,Output_Mac!C:C,""),
_xlpm.MyAuditVal,_xlfn.XLOOKUP($A13,My_Audit!$A:$A,My_Audit!C:C,""),
_xlfn.IFS(_xlpm.MyAuditVal&lt;&gt;"",_xlpm.MyAuditVal,_xlpm.MacVal&lt;&gt;"",_xlpm.MacVal,_xlpm.CSVVal&lt;&gt;"",_xlpm.CSVVal
)),"")</f>
        <v/>
      </c>
      <c r="E13" s="2">
        <f>_xlfn.XLOOKUP(A13,My_Audit!A:A,My_Audit!D:D,"")</f>
        <v>0</v>
      </c>
      <c r="F13" s="2" t="str" cm="1">
        <f t="array" ref="F13">IFERROR(_xlfn.LET(
_xlpm.CSVVal,_xlfn.XLOOKUP($A13,CSV!$A:$A,CSV!F:F,""),
_xlpm.MacVal,_xlfn.XLOOKUP($A13,Output_Mac!$A:$A,Output_Mac!E:E,""),
_xlpm.MyAuditVal,_xlfn.XLOOKUP($A13,My_Audit!$A:$A,My_Audit!E:E,""),
_xlfn.IFS(_xlpm.MyAuditVal&lt;&gt;"",_xlpm.MyAuditVal,_xlpm.MacVal&lt;&gt;"",_xlpm.MacVal,_xlpm.CSVVal&lt;&gt;"",_xlpm.CSVVal
)),"")</f>
        <v/>
      </c>
      <c r="G13" s="2" t="str" cm="1">
        <f t="array" ref="G13">IFERROR(_xlfn.LET(
_xlpm.CSVVal,_xlfn.XLOOKUP($A13,CSV!$A:$A,CSV!G:G,""),
_xlpm.MacVal,_xlfn.XLOOKUP($A13,Output_Mac!$A:$A,Output_Mac!F:F,""),
_xlpm.MyAuditVal,_xlfn.XLOOKUP($A13,My_Audit!$A:$A,My_Audit!F:F,""),
_xlfn.IFS(_xlpm.MyAuditVal&lt;&gt;"",_xlpm.MyAuditVal,_xlpm.MacVal&lt;&gt;"",_xlpm.MacVal,_xlpm.CSVVal&lt;&gt;"",PROPER(_xlpm.CSVVal)
)),"")</f>
        <v/>
      </c>
      <c r="H13" s="2" t="str" cm="1">
        <f t="array" ref="H13">IFERROR(_xlfn.LET(
_xlpm.CSVVal,_xlfn.XLOOKUP($A13,CSV!$A:$A,CSV!H:H,""),
_xlpm.MacVal,_xlfn.XLOOKUP($A13,Output_Mac!$A:$A,Output_Mac!H:H,""),
_xlpm.MyAuditVal,_xlfn.XLOOKUP($A13,My_Audit!$A:$A,My_Audit!G:G,""),
_xlfn.IFS(_xlpm.MyAuditVal&lt;&gt;"",_xlpm.MyAuditVal,_xlpm.MacVal&lt;&gt;"",_xlpm.MacVal,_xlpm.CSVVal&lt;&gt;"",_xlpm.CSVVal
)),"")</f>
        <v/>
      </c>
      <c r="I13" s="2" t="str">
        <f>_xlfn.XLOOKUP(A13,Output_Mac!A:A,Output_Mac!I:I,"")</f>
        <v/>
      </c>
      <c r="J13" s="2" t="str" cm="1">
        <f t="array" ref="J13">IFERROR(_xlfn.LET(
_xlpm.CSVVal,_xlfn.XLOOKUP($A13,CSV!$A:$A,CSV!I:I,""),
_xlpm.MacVal,_xlfn.XLOOKUP($A13,Output_Mac!$A:$A,Output_Mac!J:J,""),
_xlpm.MyAuditVal,_xlfn.XLOOKUP($A13,My_Audit!$A:$A,My_Audit!I:I,""),
_xlfn.IFS(_xlpm.MyAuditVal&lt;&gt;"",UPPER(_xlpm.MyAuditVal),_xlpm.MacVal&lt;&gt;"",_xlpm.MacVal,_xlpm.CSVVal&lt;&gt;"",_xlpm.CSVVal
)),"")</f>
        <v/>
      </c>
      <c r="K13" s="2" t="str" cm="1">
        <f t="array" ref="K13">IFERROR(_xlfn.LET(
_xlpm.CSVVal,_xlfn.XLOOKUP($A13,CSV!$A:$A,CSV!K:K,""),
_xlpm.MacVal,_xlfn.XLOOKUP($A13,Output_Mac!$A:$A,Output_Mac!K:K,""),
_xlpm.MyAuditVal,_xlfn.XLOOKUP($A13,My_Audit!$A:$A,My_Audit!J:J,""),
_xlfn.IFS(_xlpm.MyAuditVal&lt;&gt;"",UPPER(_xlpm.MyAuditVal),_xlpm.MacVal&lt;&gt;"",_xlpm.MacVal,_xlpm.CSVVal&lt;&gt;"",_xlpm.CSVVal
)),"")</f>
        <v/>
      </c>
      <c r="L13" s="2" t="str" cm="1">
        <f t="array" ref="L13">IFERROR(_xlfn.LET(
_xlpm.CSVVal,_xlfn.XLOOKUP($A13,CSV!$A:$A,CSV!P:P,""),
_xlpm.MacVal,_xlfn.XLOOKUP($A13,Output_Mac!$A:$A,Output_Mac!L:L,""),
_xlpm.MyAuditVal,_xlfn.XLOOKUP($A13,My_Audit!$A:$A,My_Audit!K:K,""),
_xlfn.IFS(_xlpm.MyAuditVal&lt;&gt;"",UPPER(_xlpm.MyAuditVal),_xlpm.MacVal&lt;&gt;"",_xlpm.MacVal,_xlpm.CSVVal&lt;&gt;"",_xlpm.CSVVal
)),"")</f>
        <v/>
      </c>
      <c r="M13" s="2" t="str" cm="1">
        <f t="array" ref="M13">IFERROR(_xlfn.LET(
_xlpm.CSVVal,_xlfn.XLOOKUP($A13,CSV!$A:$A,CSV!Q:Q,""),
_xlpm.MacVal,_xlfn.XLOOKUP($A13,Output_Mac!$A:$A,Output_Mac!M:M,""),
_xlpm.MyAuditVal,_xlfn.XLOOKUP($A13,My_Audit!$A:$A,My_Audit!L:L,""),
_xlfn.IFS(_xlpm.MyAuditVal&lt;&gt;"",UPPER(_xlpm.MyAuditVal),_xlpm.MacVal&lt;&gt;"",_xlpm.MacVal,_xlpm.CSVVal&lt;&gt;"",_xlpm.CSVVal
)),"")</f>
        <v/>
      </c>
      <c r="O13" s="2" t="str">
        <f>_xlfn.LET(
    _xlpm.CSVVal, _xlfn.XLOOKUP($A13, CSV!$A:$A, CSV!AA:AA, ""),
    _xlpm.MacVal, _xlfn.XLOOKUP($A13, Output_Mac!$A:$A, Output_Mac!S:S, ""),
    _xlpm.MyAuditVal, _xlfn.XLOOKUP($A13, My_Audit!$A:$A, My_Audit!P:P, ""),
    _xlfn.TEXTJOIN(", ", TRUE, _xlpm.MyAuditVal, _xlpm.MacVal, _xlpm.CSVVal)
)</f>
        <v/>
      </c>
      <c r="P13" s="2" t="str" cm="1">
        <f t="array" ref="P13">IFERROR(_xlfn.LET(
_xlpm.CSVVal,_xlfn.XLOOKUP($A13,CSV!$A:$A,CSV!AB:AB,""),
_xlpm.MacVal,_xlfn.XLOOKUP($A13,Output_Mac!$A:$A,Output_Mac!T:T,""),
_xlpm.MyAuditVal,_xlfn.XLOOKUP($A13,My_Audit!$A:$A,My_Audit!Q:Q,""),
_xlfn.IFS(_xlpm.MyAuditVal&lt;&gt;"",UPPER(_xlpm.MyAuditVal),_xlpm.MacVal&lt;&gt;"",_xlpm.MacVal,_xlpm.CSVVal&lt;&gt;"",_xlpm.CSVVal
)),"No")</f>
        <v>No</v>
      </c>
      <c r="Q13" s="2" t="str" cm="1">
        <f t="array" ref="Q13">IFERROR(_xlfn.LET(
_xlpm.CSVVal,_xlfn.XLOOKUP($A13,CSV!$A:$A,CSV!AC:AC,""),
_xlpm.MacVal,_xlfn.XLOOKUP($A13,Output_Mac!$A:$A,Output_Mac!U:U,""),
_xlpm.MyAuditVal,_xlfn.XLOOKUP($A13,My_Audit!$A:$A,My_Audit!R:R,""),
_xlfn.IFS(_xlpm.MyAuditVal&lt;&gt;"",UPPER(_xlpm.MyAuditVal),_xlpm.MacVal&lt;&gt;"",_xlpm.MacVal,_xlpm.CSVVal&lt;&gt;"",_xlpm.CSVVal
)),"")</f>
        <v/>
      </c>
      <c r="X13" t="str">
        <f>_xlfn.LET(
    _xlpm.MacVal, _xlfn.XLOOKUP($A13, Output_Mac!$A:$A, Output_Mac!AB:AB, ""),
    _xlpm.MyAuditVal, _xlfn.XLOOKUP($A13, My_Audit!$A:$A, My_Audit!N:N, ""),
    _xlfn.TEXTJOIN(", ", TRUE, _xlpm.MyAuditVal, _xlpm.MacVal)
)</f>
        <v/>
      </c>
    </row>
    <row r="14" spans="1:24">
      <c r="A14" s="2" t="str">
        <f>_xlfn.TEXTJOIN("",TRUE,Input!$B$2,ROW(My_Audit!A13))</f>
        <v>X13</v>
      </c>
      <c r="B14" s="2" t="str">
        <f>_xlfn.TEXTJOIN("-",TRUE,"ITD",Input!$A$2,A14)</f>
        <v>ITD-SHR-X13</v>
      </c>
      <c r="C14" s="2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2" t="str" cm="1">
        <f t="array" ref="D14">IFERROR(_xlfn.LET(
_xlpm.CSVVal,_xlfn.XLOOKUP($A14,CSV!$A:$A,CSV!D:D,""),
_xlpm.MacVal,_xlfn.XLOOKUP($A14,Output_Mac!$A:$A,Output_Mac!C:C,""),
_xlpm.MyAuditVal,_xlfn.XLOOKUP($A14,My_Audit!$A:$A,My_Audit!C:C,""),
_xlfn.IFS(_xlpm.MyAuditVal&lt;&gt;"",_xlpm.MyAuditVal,_xlpm.MacVal&lt;&gt;"",_xlpm.MacVal,_xlpm.CSVVal&lt;&gt;"",_xlpm.CSVVal
)),"")</f>
        <v/>
      </c>
      <c r="E14" s="2">
        <f>_xlfn.XLOOKUP(A14,My_Audit!A:A,My_Audit!D:D,"")</f>
        <v>0</v>
      </c>
      <c r="F14" s="2" t="str" cm="1">
        <f t="array" ref="F14">IFERROR(_xlfn.LET(
_xlpm.CSVVal,_xlfn.XLOOKUP($A14,CSV!$A:$A,CSV!F:F,""),
_xlpm.MacVal,_xlfn.XLOOKUP($A14,Output_Mac!$A:$A,Output_Mac!E:E,""),
_xlpm.MyAuditVal,_xlfn.XLOOKUP($A14,My_Audit!$A:$A,My_Audit!E:E,""),
_xlfn.IFS(_xlpm.MyAuditVal&lt;&gt;"",_xlpm.MyAuditVal,_xlpm.MacVal&lt;&gt;"",_xlpm.MacVal,_xlpm.CSVVal&lt;&gt;"",_xlpm.CSVVal
)),"")</f>
        <v/>
      </c>
      <c r="G14" s="2" t="str" cm="1">
        <f t="array" ref="G14">IFERROR(_xlfn.LET(
_xlpm.CSVVal,_xlfn.XLOOKUP($A14,CSV!$A:$A,CSV!G:G,""),
_xlpm.MacVal,_xlfn.XLOOKUP($A14,Output_Mac!$A:$A,Output_Mac!F:F,""),
_xlpm.MyAuditVal,_xlfn.XLOOKUP($A14,My_Audit!$A:$A,My_Audit!F:F,""),
_xlfn.IFS(_xlpm.MyAuditVal&lt;&gt;"",_xlpm.MyAuditVal,_xlpm.MacVal&lt;&gt;"",_xlpm.MacVal,_xlpm.CSVVal&lt;&gt;"",PROPER(_xlpm.CSVVal)
)),"")</f>
        <v/>
      </c>
      <c r="H14" s="2" t="str" cm="1">
        <f t="array" ref="H14">IFERROR(_xlfn.LET(
_xlpm.CSVVal,_xlfn.XLOOKUP($A14,CSV!$A:$A,CSV!H:H,""),
_xlpm.MacVal,_xlfn.XLOOKUP($A14,Output_Mac!$A:$A,Output_Mac!H:H,""),
_xlpm.MyAuditVal,_xlfn.XLOOKUP($A14,My_Audit!$A:$A,My_Audit!G:G,""),
_xlfn.IFS(_xlpm.MyAuditVal&lt;&gt;"",_xlpm.MyAuditVal,_xlpm.MacVal&lt;&gt;"",_xlpm.MacVal,_xlpm.CSVVal&lt;&gt;"",_xlpm.CSVVal
)),"")</f>
        <v/>
      </c>
      <c r="I14" s="2" t="str">
        <f>_xlfn.XLOOKUP(A14,Output_Mac!A:A,Output_Mac!I:I,"")</f>
        <v/>
      </c>
      <c r="J14" s="2" t="str" cm="1">
        <f t="array" ref="J14">IFERROR(_xlfn.LET(
_xlpm.CSVVal,_xlfn.XLOOKUP($A14,CSV!$A:$A,CSV!I:I,""),
_xlpm.MacVal,_xlfn.XLOOKUP($A14,Output_Mac!$A:$A,Output_Mac!J:J,""),
_xlpm.MyAuditVal,_xlfn.XLOOKUP($A14,My_Audit!$A:$A,My_Audit!I:I,""),
_xlfn.IFS(_xlpm.MyAuditVal&lt;&gt;"",UPPER(_xlpm.MyAuditVal),_xlpm.MacVal&lt;&gt;"",_xlpm.MacVal,_xlpm.CSVVal&lt;&gt;"",_xlpm.CSVVal
)),"")</f>
        <v/>
      </c>
      <c r="K14" s="2" t="str" cm="1">
        <f t="array" ref="K14">IFERROR(_xlfn.LET(
_xlpm.CSVVal,_xlfn.XLOOKUP($A14,CSV!$A:$A,CSV!K:K,""),
_xlpm.MacVal,_xlfn.XLOOKUP($A14,Output_Mac!$A:$A,Output_Mac!K:K,""),
_xlpm.MyAuditVal,_xlfn.XLOOKUP($A14,My_Audit!$A:$A,My_Audit!J:J,""),
_xlfn.IFS(_xlpm.MyAuditVal&lt;&gt;"",UPPER(_xlpm.MyAuditVal),_xlpm.MacVal&lt;&gt;"",_xlpm.MacVal,_xlpm.CSVVal&lt;&gt;"",_xlpm.CSVVal
)),"")</f>
        <v/>
      </c>
      <c r="L14" s="2" t="str" cm="1">
        <f t="array" ref="L14">IFERROR(_xlfn.LET(
_xlpm.CSVVal,_xlfn.XLOOKUP($A14,CSV!$A:$A,CSV!P:P,""),
_xlpm.MacVal,_xlfn.XLOOKUP($A14,Output_Mac!$A:$A,Output_Mac!L:L,""),
_xlpm.MyAuditVal,_xlfn.XLOOKUP($A14,My_Audit!$A:$A,My_Audit!K:K,""),
_xlfn.IFS(_xlpm.MyAuditVal&lt;&gt;"",UPPER(_xlpm.MyAuditVal),_xlpm.MacVal&lt;&gt;"",_xlpm.MacVal,_xlpm.CSVVal&lt;&gt;"",_xlpm.CSVVal
)),"")</f>
        <v/>
      </c>
      <c r="M14" s="2" t="str" cm="1">
        <f t="array" ref="M14">IFERROR(_xlfn.LET(
_xlpm.CSVVal,_xlfn.XLOOKUP($A14,CSV!$A:$A,CSV!Q:Q,""),
_xlpm.MacVal,_xlfn.XLOOKUP($A14,Output_Mac!$A:$A,Output_Mac!M:M,""),
_xlpm.MyAuditVal,_xlfn.XLOOKUP($A14,My_Audit!$A:$A,My_Audit!L:L,""),
_xlfn.IFS(_xlpm.MyAuditVal&lt;&gt;"",UPPER(_xlpm.MyAuditVal),_xlpm.MacVal&lt;&gt;"",_xlpm.MacVal,_xlpm.CSVVal&lt;&gt;"",_xlpm.CSVVal
)),"")</f>
        <v/>
      </c>
      <c r="O14" s="2" t="str">
        <f>_xlfn.LET(
    _xlpm.CSVVal, _xlfn.XLOOKUP($A14, CSV!$A:$A, CSV!AA:AA, ""),
    _xlpm.MacVal, _xlfn.XLOOKUP($A14, Output_Mac!$A:$A, Output_Mac!S:S, ""),
    _xlpm.MyAuditVal, _xlfn.XLOOKUP($A14, My_Audit!$A:$A, My_Audit!P:P, ""),
    _xlfn.TEXTJOIN(", ", TRUE, _xlpm.MyAuditVal, _xlpm.MacVal, _xlpm.CSVVal)
)</f>
        <v/>
      </c>
      <c r="P14" s="2" t="str" cm="1">
        <f t="array" ref="P14">IFERROR(_xlfn.LET(
_xlpm.CSVVal,_xlfn.XLOOKUP($A14,CSV!$A:$A,CSV!AB:AB,""),
_xlpm.MacVal,_xlfn.XLOOKUP($A14,Output_Mac!$A:$A,Output_Mac!T:T,""),
_xlpm.MyAuditVal,_xlfn.XLOOKUP($A14,My_Audit!$A:$A,My_Audit!Q:Q,""),
_xlfn.IFS(_xlpm.MyAuditVal&lt;&gt;"",UPPER(_xlpm.MyAuditVal),_xlpm.MacVal&lt;&gt;"",_xlpm.MacVal,_xlpm.CSVVal&lt;&gt;"",_xlpm.CSVVal
)),"No")</f>
        <v>No</v>
      </c>
      <c r="Q14" s="2" t="str" cm="1">
        <f t="array" ref="Q14">IFERROR(_xlfn.LET(
_xlpm.CSVVal,_xlfn.XLOOKUP($A14,CSV!$A:$A,CSV!AC:AC,""),
_xlpm.MacVal,_xlfn.XLOOKUP($A14,Output_Mac!$A:$A,Output_Mac!U:U,""),
_xlpm.MyAuditVal,_xlfn.XLOOKUP($A14,My_Audit!$A:$A,My_Audit!R:R,""),
_xlfn.IFS(_xlpm.MyAuditVal&lt;&gt;"",UPPER(_xlpm.MyAuditVal),_xlpm.MacVal&lt;&gt;"",_xlpm.MacVal,_xlpm.CSVVal&lt;&gt;"",_xlpm.CSVVal
)),"")</f>
        <v/>
      </c>
      <c r="X14" t="str">
        <f>_xlfn.LET(
    _xlpm.MacVal, _xlfn.XLOOKUP($A14, Output_Mac!$A:$A, Output_Mac!AB:AB, ""),
    _xlpm.MyAuditVal, _xlfn.XLOOKUP($A14, My_Audit!$A:$A, My_Audit!N:N, ""),
    _xlfn.TEXTJOIN(", ", TRUE, _xlpm.MyAuditVal, _xlpm.MacVal)
)</f>
        <v/>
      </c>
    </row>
    <row r="15" spans="1:24">
      <c r="A15" s="2" t="str">
        <f>_xlfn.TEXTJOIN("",TRUE,Input!$B$2,ROW(My_Audit!A14))</f>
        <v>X14</v>
      </c>
      <c r="B15" s="2" t="str">
        <f>_xlfn.TEXTJOIN("-",TRUE,"ITD",Input!$A$2,A15)</f>
        <v>ITD-SHR-X14</v>
      </c>
      <c r="C15" s="2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2" t="str" cm="1">
        <f t="array" ref="D15">IFERROR(_xlfn.LET(
_xlpm.CSVVal,_xlfn.XLOOKUP($A15,CSV!$A:$A,CSV!D:D,""),
_xlpm.MacVal,_xlfn.XLOOKUP($A15,Output_Mac!$A:$A,Output_Mac!C:C,""),
_xlpm.MyAuditVal,_xlfn.XLOOKUP($A15,My_Audit!$A:$A,My_Audit!C:C,""),
_xlfn.IFS(_xlpm.MyAuditVal&lt;&gt;"",_xlpm.MyAuditVal,_xlpm.MacVal&lt;&gt;"",_xlpm.MacVal,_xlpm.CSVVal&lt;&gt;"",_xlpm.CSVVal
)),"")</f>
        <v/>
      </c>
      <c r="E15" s="2">
        <f>_xlfn.XLOOKUP(A15,My_Audit!A:A,My_Audit!D:D,"")</f>
        <v>0</v>
      </c>
      <c r="F15" s="2" t="str" cm="1">
        <f t="array" ref="F15">IFERROR(_xlfn.LET(
_xlpm.CSVVal,_xlfn.XLOOKUP($A15,CSV!$A:$A,CSV!F:F,""),
_xlpm.MacVal,_xlfn.XLOOKUP($A15,Output_Mac!$A:$A,Output_Mac!E:E,""),
_xlpm.MyAuditVal,_xlfn.XLOOKUP($A15,My_Audit!$A:$A,My_Audit!E:E,""),
_xlfn.IFS(_xlpm.MyAuditVal&lt;&gt;"",_xlpm.MyAuditVal,_xlpm.MacVal&lt;&gt;"",_xlpm.MacVal,_xlpm.CSVVal&lt;&gt;"",_xlpm.CSVVal
)),"")</f>
        <v/>
      </c>
      <c r="G15" s="2" t="str" cm="1">
        <f t="array" ref="G15">IFERROR(_xlfn.LET(
_xlpm.CSVVal,_xlfn.XLOOKUP($A15,CSV!$A:$A,CSV!G:G,""),
_xlpm.MacVal,_xlfn.XLOOKUP($A15,Output_Mac!$A:$A,Output_Mac!F:F,""),
_xlpm.MyAuditVal,_xlfn.XLOOKUP($A15,My_Audit!$A:$A,My_Audit!F:F,""),
_xlfn.IFS(_xlpm.MyAuditVal&lt;&gt;"",_xlpm.MyAuditVal,_xlpm.MacVal&lt;&gt;"",_xlpm.MacVal,_xlpm.CSVVal&lt;&gt;"",PROPER(_xlpm.CSVVal)
)),"")</f>
        <v/>
      </c>
      <c r="H15" s="2" t="str" cm="1">
        <f t="array" ref="H15">IFERROR(_xlfn.LET(
_xlpm.CSVVal,_xlfn.XLOOKUP($A15,CSV!$A:$A,CSV!H:H,""),
_xlpm.MacVal,_xlfn.XLOOKUP($A15,Output_Mac!$A:$A,Output_Mac!H:H,""),
_xlpm.MyAuditVal,_xlfn.XLOOKUP($A15,My_Audit!$A:$A,My_Audit!G:G,""),
_xlfn.IFS(_xlpm.MyAuditVal&lt;&gt;"",_xlpm.MyAuditVal,_xlpm.MacVal&lt;&gt;"",_xlpm.MacVal,_xlpm.CSVVal&lt;&gt;"",_xlpm.CSVVal
)),"")</f>
        <v/>
      </c>
      <c r="I15" s="2" t="str">
        <f>_xlfn.XLOOKUP(A15,Output_Mac!A:A,Output_Mac!I:I,"")</f>
        <v/>
      </c>
      <c r="J15" s="2" t="str" cm="1">
        <f t="array" ref="J15">IFERROR(_xlfn.LET(
_xlpm.CSVVal,_xlfn.XLOOKUP($A15,CSV!$A:$A,CSV!I:I,""),
_xlpm.MacVal,_xlfn.XLOOKUP($A15,Output_Mac!$A:$A,Output_Mac!J:J,""),
_xlpm.MyAuditVal,_xlfn.XLOOKUP($A15,My_Audit!$A:$A,My_Audit!I:I,""),
_xlfn.IFS(_xlpm.MyAuditVal&lt;&gt;"",UPPER(_xlpm.MyAuditVal),_xlpm.MacVal&lt;&gt;"",_xlpm.MacVal,_xlpm.CSVVal&lt;&gt;"",_xlpm.CSVVal
)),"")</f>
        <v/>
      </c>
      <c r="K15" s="2" t="str" cm="1">
        <f t="array" ref="K15">IFERROR(_xlfn.LET(
_xlpm.CSVVal,_xlfn.XLOOKUP($A15,CSV!$A:$A,CSV!K:K,""),
_xlpm.MacVal,_xlfn.XLOOKUP($A15,Output_Mac!$A:$A,Output_Mac!K:K,""),
_xlpm.MyAuditVal,_xlfn.XLOOKUP($A15,My_Audit!$A:$A,My_Audit!J:J,""),
_xlfn.IFS(_xlpm.MyAuditVal&lt;&gt;"",UPPER(_xlpm.MyAuditVal),_xlpm.MacVal&lt;&gt;"",_xlpm.MacVal,_xlpm.CSVVal&lt;&gt;"",_xlpm.CSVVal
)),"")</f>
        <v/>
      </c>
      <c r="L15" s="2" t="str" cm="1">
        <f t="array" ref="L15">IFERROR(_xlfn.LET(
_xlpm.CSVVal,_xlfn.XLOOKUP($A15,CSV!$A:$A,CSV!P:P,""),
_xlpm.MacVal,_xlfn.XLOOKUP($A15,Output_Mac!$A:$A,Output_Mac!L:L,""),
_xlpm.MyAuditVal,_xlfn.XLOOKUP($A15,My_Audit!$A:$A,My_Audit!K:K,""),
_xlfn.IFS(_xlpm.MyAuditVal&lt;&gt;"",UPPER(_xlpm.MyAuditVal),_xlpm.MacVal&lt;&gt;"",_xlpm.MacVal,_xlpm.CSVVal&lt;&gt;"",_xlpm.CSVVal
)),"")</f>
        <v/>
      </c>
      <c r="M15" s="2" t="str" cm="1">
        <f t="array" ref="M15">IFERROR(_xlfn.LET(
_xlpm.CSVVal,_xlfn.XLOOKUP($A15,CSV!$A:$A,CSV!Q:Q,""),
_xlpm.MacVal,_xlfn.XLOOKUP($A15,Output_Mac!$A:$A,Output_Mac!M:M,""),
_xlpm.MyAuditVal,_xlfn.XLOOKUP($A15,My_Audit!$A:$A,My_Audit!L:L,""),
_xlfn.IFS(_xlpm.MyAuditVal&lt;&gt;"",UPPER(_xlpm.MyAuditVal),_xlpm.MacVal&lt;&gt;"",_xlpm.MacVal,_xlpm.CSVVal&lt;&gt;"",_xlpm.CSVVal
)),"")</f>
        <v/>
      </c>
      <c r="O15" s="2" t="str">
        <f>_xlfn.LET(
    _xlpm.CSVVal, _xlfn.XLOOKUP($A15, CSV!$A:$A, CSV!AA:AA, ""),
    _xlpm.MacVal, _xlfn.XLOOKUP($A15, Output_Mac!$A:$A, Output_Mac!S:S, ""),
    _xlpm.MyAuditVal, _xlfn.XLOOKUP($A15, My_Audit!$A:$A, My_Audit!P:P, ""),
    _xlfn.TEXTJOIN(", ", TRUE, _xlpm.MyAuditVal, _xlpm.MacVal, _xlpm.CSVVal)
)</f>
        <v/>
      </c>
      <c r="P15" s="2" t="str" cm="1">
        <f t="array" ref="P15">IFERROR(_xlfn.LET(
_xlpm.CSVVal,_xlfn.XLOOKUP($A15,CSV!$A:$A,CSV!AB:AB,""),
_xlpm.MacVal,_xlfn.XLOOKUP($A15,Output_Mac!$A:$A,Output_Mac!T:T,""),
_xlpm.MyAuditVal,_xlfn.XLOOKUP($A15,My_Audit!$A:$A,My_Audit!Q:Q,""),
_xlfn.IFS(_xlpm.MyAuditVal&lt;&gt;"",UPPER(_xlpm.MyAuditVal),_xlpm.MacVal&lt;&gt;"",_xlpm.MacVal,_xlpm.CSVVal&lt;&gt;"",_xlpm.CSVVal
)),"No")</f>
        <v>No</v>
      </c>
      <c r="Q15" s="2" t="str" cm="1">
        <f t="array" ref="Q15">IFERROR(_xlfn.LET(
_xlpm.CSVVal,_xlfn.XLOOKUP($A15,CSV!$A:$A,CSV!AC:AC,""),
_xlpm.MacVal,_xlfn.XLOOKUP($A15,Output_Mac!$A:$A,Output_Mac!U:U,""),
_xlpm.MyAuditVal,_xlfn.XLOOKUP($A15,My_Audit!$A:$A,My_Audit!R:R,""),
_xlfn.IFS(_xlpm.MyAuditVal&lt;&gt;"",UPPER(_xlpm.MyAuditVal),_xlpm.MacVal&lt;&gt;"",_xlpm.MacVal,_xlpm.CSVVal&lt;&gt;"",_xlpm.CSVVal
)),"")</f>
        <v/>
      </c>
      <c r="X15" t="str">
        <f>_xlfn.LET(
    _xlpm.MacVal, _xlfn.XLOOKUP($A15, Output_Mac!$A:$A, Output_Mac!AB:AB, ""),
    _xlpm.MyAuditVal, _xlfn.XLOOKUP($A15, My_Audit!$A:$A, My_Audit!N:N, ""),
    _xlfn.TEXTJOIN(", ", TRUE, _xlpm.MyAuditVal, _xlpm.MacVal)
)</f>
        <v/>
      </c>
    </row>
    <row r="16" spans="1:24">
      <c r="A16" s="2" t="str">
        <f>_xlfn.TEXTJOIN("",TRUE,Input!$B$2,ROW(My_Audit!A15))</f>
        <v>X15</v>
      </c>
      <c r="B16" s="2" t="str">
        <f>_xlfn.TEXTJOIN("-",TRUE,"ITD",Input!$A$2,A16)</f>
        <v>ITD-SHR-X15</v>
      </c>
      <c r="C16" s="2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2" t="str" cm="1">
        <f t="array" ref="D16">IFERROR(_xlfn.LET(
_xlpm.CSVVal,_xlfn.XLOOKUP($A16,CSV!$A:$A,CSV!D:D,""),
_xlpm.MacVal,_xlfn.XLOOKUP($A16,Output_Mac!$A:$A,Output_Mac!C:C,""),
_xlpm.MyAuditVal,_xlfn.XLOOKUP($A16,My_Audit!$A:$A,My_Audit!C:C,""),
_xlfn.IFS(_xlpm.MyAuditVal&lt;&gt;"",_xlpm.MyAuditVal,_xlpm.MacVal&lt;&gt;"",_xlpm.MacVal,_xlpm.CSVVal&lt;&gt;"",_xlpm.CSVVal
)),"")</f>
        <v/>
      </c>
      <c r="E16" s="2">
        <f>_xlfn.XLOOKUP(A16,My_Audit!A:A,My_Audit!D:D,"")</f>
        <v>0</v>
      </c>
      <c r="F16" s="2" t="str" cm="1">
        <f t="array" ref="F16">IFERROR(_xlfn.LET(
_xlpm.CSVVal,_xlfn.XLOOKUP($A16,CSV!$A:$A,CSV!F:F,""),
_xlpm.MacVal,_xlfn.XLOOKUP($A16,Output_Mac!$A:$A,Output_Mac!E:E,""),
_xlpm.MyAuditVal,_xlfn.XLOOKUP($A16,My_Audit!$A:$A,My_Audit!E:E,""),
_xlfn.IFS(_xlpm.MyAuditVal&lt;&gt;"",_xlpm.MyAuditVal,_xlpm.MacVal&lt;&gt;"",_xlpm.MacVal,_xlpm.CSVVal&lt;&gt;"",_xlpm.CSVVal
)),"")</f>
        <v/>
      </c>
      <c r="G16" s="2" t="str" cm="1">
        <f t="array" ref="G16">IFERROR(_xlfn.LET(
_xlpm.CSVVal,_xlfn.XLOOKUP($A16,CSV!$A:$A,CSV!G:G,""),
_xlpm.MacVal,_xlfn.XLOOKUP($A16,Output_Mac!$A:$A,Output_Mac!F:F,""),
_xlpm.MyAuditVal,_xlfn.XLOOKUP($A16,My_Audit!$A:$A,My_Audit!F:F,""),
_xlfn.IFS(_xlpm.MyAuditVal&lt;&gt;"",_xlpm.MyAuditVal,_xlpm.MacVal&lt;&gt;"",_xlpm.MacVal,_xlpm.CSVVal&lt;&gt;"",PROPER(_xlpm.CSVVal)
)),"")</f>
        <v/>
      </c>
      <c r="H16" s="2" t="str" cm="1">
        <f t="array" ref="H16">IFERROR(_xlfn.LET(
_xlpm.CSVVal,_xlfn.XLOOKUP($A16,CSV!$A:$A,CSV!H:H,""),
_xlpm.MacVal,_xlfn.XLOOKUP($A16,Output_Mac!$A:$A,Output_Mac!H:H,""),
_xlpm.MyAuditVal,_xlfn.XLOOKUP($A16,My_Audit!$A:$A,My_Audit!G:G,""),
_xlfn.IFS(_xlpm.MyAuditVal&lt;&gt;"",_xlpm.MyAuditVal,_xlpm.MacVal&lt;&gt;"",_xlpm.MacVal,_xlpm.CSVVal&lt;&gt;"",_xlpm.CSVVal
)),"")</f>
        <v/>
      </c>
      <c r="I16" s="2" t="str">
        <f>_xlfn.XLOOKUP(A16,Output_Mac!A:A,Output_Mac!I:I,"")</f>
        <v/>
      </c>
      <c r="J16" s="2" t="str" cm="1">
        <f t="array" ref="J16">IFERROR(_xlfn.LET(
_xlpm.CSVVal,_xlfn.XLOOKUP($A16,CSV!$A:$A,CSV!I:I,""),
_xlpm.MacVal,_xlfn.XLOOKUP($A16,Output_Mac!$A:$A,Output_Mac!J:J,""),
_xlpm.MyAuditVal,_xlfn.XLOOKUP($A16,My_Audit!$A:$A,My_Audit!I:I,""),
_xlfn.IFS(_xlpm.MyAuditVal&lt;&gt;"",UPPER(_xlpm.MyAuditVal),_xlpm.MacVal&lt;&gt;"",_xlpm.MacVal,_xlpm.CSVVal&lt;&gt;"",_xlpm.CSVVal
)),"")</f>
        <v/>
      </c>
      <c r="K16" s="2" t="str" cm="1">
        <f t="array" ref="K16">IFERROR(_xlfn.LET(
_xlpm.CSVVal,_xlfn.XLOOKUP($A16,CSV!$A:$A,CSV!K:K,""),
_xlpm.MacVal,_xlfn.XLOOKUP($A16,Output_Mac!$A:$A,Output_Mac!K:K,""),
_xlpm.MyAuditVal,_xlfn.XLOOKUP($A16,My_Audit!$A:$A,My_Audit!J:J,""),
_xlfn.IFS(_xlpm.MyAuditVal&lt;&gt;"",UPPER(_xlpm.MyAuditVal),_xlpm.MacVal&lt;&gt;"",_xlpm.MacVal,_xlpm.CSVVal&lt;&gt;"",_xlpm.CSVVal
)),"")</f>
        <v/>
      </c>
      <c r="L16" s="2" t="str" cm="1">
        <f t="array" ref="L16">IFERROR(_xlfn.LET(
_xlpm.CSVVal,_xlfn.XLOOKUP($A16,CSV!$A:$A,CSV!P:P,""),
_xlpm.MacVal,_xlfn.XLOOKUP($A16,Output_Mac!$A:$A,Output_Mac!L:L,""),
_xlpm.MyAuditVal,_xlfn.XLOOKUP($A16,My_Audit!$A:$A,My_Audit!K:K,""),
_xlfn.IFS(_xlpm.MyAuditVal&lt;&gt;"",UPPER(_xlpm.MyAuditVal),_xlpm.MacVal&lt;&gt;"",_xlpm.MacVal,_xlpm.CSVVal&lt;&gt;"",_xlpm.CSVVal
)),"")</f>
        <v/>
      </c>
      <c r="M16" s="2" t="str" cm="1">
        <f t="array" ref="M16">IFERROR(_xlfn.LET(
_xlpm.CSVVal,_xlfn.XLOOKUP($A16,CSV!$A:$A,CSV!Q:Q,""),
_xlpm.MacVal,_xlfn.XLOOKUP($A16,Output_Mac!$A:$A,Output_Mac!M:M,""),
_xlpm.MyAuditVal,_xlfn.XLOOKUP($A16,My_Audit!$A:$A,My_Audit!L:L,""),
_xlfn.IFS(_xlpm.MyAuditVal&lt;&gt;"",UPPER(_xlpm.MyAuditVal),_xlpm.MacVal&lt;&gt;"",_xlpm.MacVal,_xlpm.CSVVal&lt;&gt;"",_xlpm.CSVVal
)),"")</f>
        <v/>
      </c>
      <c r="O16" s="2" t="str">
        <f>_xlfn.LET(
    _xlpm.CSVVal, _xlfn.XLOOKUP($A16, CSV!$A:$A, CSV!AA:AA, ""),
    _xlpm.MacVal, _xlfn.XLOOKUP($A16, Output_Mac!$A:$A, Output_Mac!S:S, ""),
    _xlpm.MyAuditVal, _xlfn.XLOOKUP($A16, My_Audit!$A:$A, My_Audit!P:P, ""),
    _xlfn.TEXTJOIN(", ", TRUE, _xlpm.MyAuditVal, _xlpm.MacVal, _xlpm.CSVVal)
)</f>
        <v/>
      </c>
      <c r="P16" s="2" t="str" cm="1">
        <f t="array" ref="P16">IFERROR(_xlfn.LET(
_xlpm.CSVVal,_xlfn.XLOOKUP($A16,CSV!$A:$A,CSV!AB:AB,""),
_xlpm.MacVal,_xlfn.XLOOKUP($A16,Output_Mac!$A:$A,Output_Mac!T:T,""),
_xlpm.MyAuditVal,_xlfn.XLOOKUP($A16,My_Audit!$A:$A,My_Audit!Q:Q,""),
_xlfn.IFS(_xlpm.MyAuditVal&lt;&gt;"",UPPER(_xlpm.MyAuditVal),_xlpm.MacVal&lt;&gt;"",_xlpm.MacVal,_xlpm.CSVVal&lt;&gt;"",_xlpm.CSVVal
)),"No")</f>
        <v>No</v>
      </c>
      <c r="Q16" s="2" t="str" cm="1">
        <f t="array" ref="Q16">IFERROR(_xlfn.LET(
_xlpm.CSVVal,_xlfn.XLOOKUP($A16,CSV!$A:$A,CSV!AC:AC,""),
_xlpm.MacVal,_xlfn.XLOOKUP($A16,Output_Mac!$A:$A,Output_Mac!U:U,""),
_xlpm.MyAuditVal,_xlfn.XLOOKUP($A16,My_Audit!$A:$A,My_Audit!R:R,""),
_xlfn.IFS(_xlpm.MyAuditVal&lt;&gt;"",UPPER(_xlpm.MyAuditVal),_xlpm.MacVal&lt;&gt;"",_xlpm.MacVal,_xlpm.CSVVal&lt;&gt;"",_xlpm.CSVVal
)),"")</f>
        <v/>
      </c>
      <c r="X16" t="str">
        <f>_xlfn.LET(
    _xlpm.MacVal, _xlfn.XLOOKUP($A16, Output_Mac!$A:$A, Output_Mac!AB:AB, ""),
    _xlpm.MyAuditVal, _xlfn.XLOOKUP($A16, My_Audit!$A:$A, My_Audit!N:N, ""),
    _xlfn.TEXTJOIN(", ", TRUE, _xlpm.MyAuditVal, _xlpm.MacVal)
)</f>
        <v/>
      </c>
    </row>
    <row r="17" spans="1:24">
      <c r="A17" s="2" t="str">
        <f>_xlfn.TEXTJOIN("",TRUE,Input!$B$2,ROW(My_Audit!A16))</f>
        <v>X16</v>
      </c>
      <c r="B17" s="2" t="str">
        <f>_xlfn.TEXTJOIN("-",TRUE,"ITD",Input!$A$2,A17)</f>
        <v>ITD-SHR-X16</v>
      </c>
      <c r="C17" s="2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2" t="str" cm="1">
        <f t="array" ref="D17">IFERROR(_xlfn.LET(
_xlpm.CSVVal,_xlfn.XLOOKUP($A17,CSV!$A:$A,CSV!D:D,""),
_xlpm.MacVal,_xlfn.XLOOKUP($A17,Output_Mac!$A:$A,Output_Mac!C:C,""),
_xlpm.MyAuditVal,_xlfn.XLOOKUP($A17,My_Audit!$A:$A,My_Audit!C:C,""),
_xlfn.IFS(_xlpm.MyAuditVal&lt;&gt;"",_xlpm.MyAuditVal,_xlpm.MacVal&lt;&gt;"",_xlpm.MacVal,_xlpm.CSVVal&lt;&gt;"",_xlpm.CSVVal
)),"")</f>
        <v/>
      </c>
      <c r="E17" s="2">
        <f>_xlfn.XLOOKUP(A17,My_Audit!A:A,My_Audit!D:D,"")</f>
        <v>0</v>
      </c>
      <c r="F17" s="2" t="str" cm="1">
        <f t="array" ref="F17">IFERROR(_xlfn.LET(
_xlpm.CSVVal,_xlfn.XLOOKUP($A17,CSV!$A:$A,CSV!F:F,""),
_xlpm.MacVal,_xlfn.XLOOKUP($A17,Output_Mac!$A:$A,Output_Mac!E:E,""),
_xlpm.MyAuditVal,_xlfn.XLOOKUP($A17,My_Audit!$A:$A,My_Audit!E:E,""),
_xlfn.IFS(_xlpm.MyAuditVal&lt;&gt;"",_xlpm.MyAuditVal,_xlpm.MacVal&lt;&gt;"",_xlpm.MacVal,_xlpm.CSVVal&lt;&gt;"",_xlpm.CSVVal
)),"")</f>
        <v/>
      </c>
      <c r="G17" s="2" t="str" cm="1">
        <f t="array" ref="G17">IFERROR(_xlfn.LET(
_xlpm.CSVVal,_xlfn.XLOOKUP($A17,CSV!$A:$A,CSV!G:G,""),
_xlpm.MacVal,_xlfn.XLOOKUP($A17,Output_Mac!$A:$A,Output_Mac!F:F,""),
_xlpm.MyAuditVal,_xlfn.XLOOKUP($A17,My_Audit!$A:$A,My_Audit!F:F,""),
_xlfn.IFS(_xlpm.MyAuditVal&lt;&gt;"",_xlpm.MyAuditVal,_xlpm.MacVal&lt;&gt;"",_xlpm.MacVal,_xlpm.CSVVal&lt;&gt;"",PROPER(_xlpm.CSVVal)
)),"")</f>
        <v/>
      </c>
      <c r="H17" s="2" t="str" cm="1">
        <f t="array" ref="H17">IFERROR(_xlfn.LET(
_xlpm.CSVVal,_xlfn.XLOOKUP($A17,CSV!$A:$A,CSV!H:H,""),
_xlpm.MacVal,_xlfn.XLOOKUP($A17,Output_Mac!$A:$A,Output_Mac!H:H,""),
_xlpm.MyAuditVal,_xlfn.XLOOKUP($A17,My_Audit!$A:$A,My_Audit!G:G,""),
_xlfn.IFS(_xlpm.MyAuditVal&lt;&gt;"",_xlpm.MyAuditVal,_xlpm.MacVal&lt;&gt;"",_xlpm.MacVal,_xlpm.CSVVal&lt;&gt;"",_xlpm.CSVVal
)),"")</f>
        <v/>
      </c>
      <c r="I17" s="2" t="str">
        <f>_xlfn.XLOOKUP(A17,Output_Mac!A:A,Output_Mac!I:I,"")</f>
        <v/>
      </c>
      <c r="J17" s="2" t="str" cm="1">
        <f t="array" ref="J17">IFERROR(_xlfn.LET(
_xlpm.CSVVal,_xlfn.XLOOKUP($A17,CSV!$A:$A,CSV!I:I,""),
_xlpm.MacVal,_xlfn.XLOOKUP($A17,Output_Mac!$A:$A,Output_Mac!J:J,""),
_xlpm.MyAuditVal,_xlfn.XLOOKUP($A17,My_Audit!$A:$A,My_Audit!I:I,""),
_xlfn.IFS(_xlpm.MyAuditVal&lt;&gt;"",UPPER(_xlpm.MyAuditVal),_xlpm.MacVal&lt;&gt;"",_xlpm.MacVal,_xlpm.CSVVal&lt;&gt;"",_xlpm.CSVVal
)),"")</f>
        <v/>
      </c>
      <c r="K17" s="2" t="str" cm="1">
        <f t="array" ref="K17">IFERROR(_xlfn.LET(
_xlpm.CSVVal,_xlfn.XLOOKUP($A17,CSV!$A:$A,CSV!K:K,""),
_xlpm.MacVal,_xlfn.XLOOKUP($A17,Output_Mac!$A:$A,Output_Mac!K:K,""),
_xlpm.MyAuditVal,_xlfn.XLOOKUP($A17,My_Audit!$A:$A,My_Audit!J:J,""),
_xlfn.IFS(_xlpm.MyAuditVal&lt;&gt;"",UPPER(_xlpm.MyAuditVal),_xlpm.MacVal&lt;&gt;"",_xlpm.MacVal,_xlpm.CSVVal&lt;&gt;"",_xlpm.CSVVal
)),"")</f>
        <v/>
      </c>
      <c r="L17" s="2" t="str" cm="1">
        <f t="array" ref="L17">IFERROR(_xlfn.LET(
_xlpm.CSVVal,_xlfn.XLOOKUP($A17,CSV!$A:$A,CSV!P:P,""),
_xlpm.MacVal,_xlfn.XLOOKUP($A17,Output_Mac!$A:$A,Output_Mac!L:L,""),
_xlpm.MyAuditVal,_xlfn.XLOOKUP($A17,My_Audit!$A:$A,My_Audit!K:K,""),
_xlfn.IFS(_xlpm.MyAuditVal&lt;&gt;"",UPPER(_xlpm.MyAuditVal),_xlpm.MacVal&lt;&gt;"",_xlpm.MacVal,_xlpm.CSVVal&lt;&gt;"",_xlpm.CSVVal
)),"")</f>
        <v/>
      </c>
      <c r="M17" s="2" t="str" cm="1">
        <f t="array" ref="M17">IFERROR(_xlfn.LET(
_xlpm.CSVVal,_xlfn.XLOOKUP($A17,CSV!$A:$A,CSV!Q:Q,""),
_xlpm.MacVal,_xlfn.XLOOKUP($A17,Output_Mac!$A:$A,Output_Mac!M:M,""),
_xlpm.MyAuditVal,_xlfn.XLOOKUP($A17,My_Audit!$A:$A,My_Audit!L:L,""),
_xlfn.IFS(_xlpm.MyAuditVal&lt;&gt;"",UPPER(_xlpm.MyAuditVal),_xlpm.MacVal&lt;&gt;"",_xlpm.MacVal,_xlpm.CSVVal&lt;&gt;"",_xlpm.CSVVal
)),"")</f>
        <v/>
      </c>
      <c r="O17" s="2" t="str">
        <f>_xlfn.LET(
    _xlpm.CSVVal, _xlfn.XLOOKUP($A17, CSV!$A:$A, CSV!AA:AA, ""),
    _xlpm.MacVal, _xlfn.XLOOKUP($A17, Output_Mac!$A:$A, Output_Mac!S:S, ""),
    _xlpm.MyAuditVal, _xlfn.XLOOKUP($A17, My_Audit!$A:$A, My_Audit!P:P, ""),
    _xlfn.TEXTJOIN(", ", TRUE, _xlpm.MyAuditVal, _xlpm.MacVal, _xlpm.CSVVal)
)</f>
        <v/>
      </c>
      <c r="P17" s="2" t="str" cm="1">
        <f t="array" ref="P17">IFERROR(_xlfn.LET(
_xlpm.CSVVal,_xlfn.XLOOKUP($A17,CSV!$A:$A,CSV!AB:AB,""),
_xlpm.MacVal,_xlfn.XLOOKUP($A17,Output_Mac!$A:$A,Output_Mac!T:T,""),
_xlpm.MyAuditVal,_xlfn.XLOOKUP($A17,My_Audit!$A:$A,My_Audit!Q:Q,""),
_xlfn.IFS(_xlpm.MyAuditVal&lt;&gt;"",UPPER(_xlpm.MyAuditVal),_xlpm.MacVal&lt;&gt;"",_xlpm.MacVal,_xlpm.CSVVal&lt;&gt;"",_xlpm.CSVVal
)),"No")</f>
        <v>No</v>
      </c>
      <c r="Q17" s="2" t="str" cm="1">
        <f t="array" ref="Q17">IFERROR(_xlfn.LET(
_xlpm.CSVVal,_xlfn.XLOOKUP($A17,CSV!$A:$A,CSV!AC:AC,""),
_xlpm.MacVal,_xlfn.XLOOKUP($A17,Output_Mac!$A:$A,Output_Mac!U:U,""),
_xlpm.MyAuditVal,_xlfn.XLOOKUP($A17,My_Audit!$A:$A,My_Audit!R:R,""),
_xlfn.IFS(_xlpm.MyAuditVal&lt;&gt;"",UPPER(_xlpm.MyAuditVal),_xlpm.MacVal&lt;&gt;"",_xlpm.MacVal,_xlpm.CSVVal&lt;&gt;"",_xlpm.CSVVal
)),"")</f>
        <v/>
      </c>
      <c r="X17" t="str">
        <f>_xlfn.LET(
    _xlpm.MacVal, _xlfn.XLOOKUP($A17, Output_Mac!$A:$A, Output_Mac!AB:AB, ""),
    _xlpm.MyAuditVal, _xlfn.XLOOKUP($A17, My_Audit!$A:$A, My_Audit!N:N, ""),
    _xlfn.TEXTJOIN(", ", TRUE, _xlpm.MyAuditVal, _xlpm.MacVal)
)</f>
        <v/>
      </c>
    </row>
    <row r="18" spans="1:24">
      <c r="A18" s="2" t="str">
        <f>_xlfn.TEXTJOIN("",TRUE,Input!$B$2,ROW(My_Audit!A17))</f>
        <v>X17</v>
      </c>
      <c r="B18" s="2" t="str">
        <f>_xlfn.TEXTJOIN("-",TRUE,"ITD",Input!$A$2,A18)</f>
        <v>ITD-SHR-X17</v>
      </c>
      <c r="C18" s="2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2" t="str" cm="1">
        <f t="array" ref="D18">IFERROR(_xlfn.LET(
_xlpm.CSVVal,_xlfn.XLOOKUP($A18,CSV!$A:$A,CSV!D:D,""),
_xlpm.MacVal,_xlfn.XLOOKUP($A18,Output_Mac!$A:$A,Output_Mac!C:C,""),
_xlpm.MyAuditVal,_xlfn.XLOOKUP($A18,My_Audit!$A:$A,My_Audit!C:C,""),
_xlfn.IFS(_xlpm.MyAuditVal&lt;&gt;"",_xlpm.MyAuditVal,_xlpm.MacVal&lt;&gt;"",_xlpm.MacVal,_xlpm.CSVVal&lt;&gt;"",_xlpm.CSVVal
)),"")</f>
        <v/>
      </c>
      <c r="E18" s="2">
        <f>_xlfn.XLOOKUP(A18,My_Audit!A:A,My_Audit!D:D,"")</f>
        <v>0</v>
      </c>
      <c r="F18" s="2" t="str" cm="1">
        <f t="array" ref="F18">IFERROR(_xlfn.LET(
_xlpm.CSVVal,_xlfn.XLOOKUP($A18,CSV!$A:$A,CSV!F:F,""),
_xlpm.MacVal,_xlfn.XLOOKUP($A18,Output_Mac!$A:$A,Output_Mac!E:E,""),
_xlpm.MyAuditVal,_xlfn.XLOOKUP($A18,My_Audit!$A:$A,My_Audit!E:E,""),
_xlfn.IFS(_xlpm.MyAuditVal&lt;&gt;"",_xlpm.MyAuditVal,_xlpm.MacVal&lt;&gt;"",_xlpm.MacVal,_xlpm.CSVVal&lt;&gt;"",_xlpm.CSVVal
)),"")</f>
        <v/>
      </c>
      <c r="G18" s="2" t="str" cm="1">
        <f t="array" ref="G18">IFERROR(_xlfn.LET(
_xlpm.CSVVal,_xlfn.XLOOKUP($A18,CSV!$A:$A,CSV!G:G,""),
_xlpm.MacVal,_xlfn.XLOOKUP($A18,Output_Mac!$A:$A,Output_Mac!F:F,""),
_xlpm.MyAuditVal,_xlfn.XLOOKUP($A18,My_Audit!$A:$A,My_Audit!F:F,""),
_xlfn.IFS(_xlpm.MyAuditVal&lt;&gt;"",_xlpm.MyAuditVal,_xlpm.MacVal&lt;&gt;"",_xlpm.MacVal,_xlpm.CSVVal&lt;&gt;"",PROPER(_xlpm.CSVVal)
)),"")</f>
        <v/>
      </c>
      <c r="H18" s="2" t="str" cm="1">
        <f t="array" ref="H18">IFERROR(_xlfn.LET(
_xlpm.CSVVal,_xlfn.XLOOKUP($A18,CSV!$A:$A,CSV!H:H,""),
_xlpm.MacVal,_xlfn.XLOOKUP($A18,Output_Mac!$A:$A,Output_Mac!H:H,""),
_xlpm.MyAuditVal,_xlfn.XLOOKUP($A18,My_Audit!$A:$A,My_Audit!G:G,""),
_xlfn.IFS(_xlpm.MyAuditVal&lt;&gt;"",_xlpm.MyAuditVal,_xlpm.MacVal&lt;&gt;"",_xlpm.MacVal,_xlpm.CSVVal&lt;&gt;"",_xlpm.CSVVal
)),"")</f>
        <v/>
      </c>
      <c r="I18" s="2" t="str">
        <f>_xlfn.XLOOKUP(A18,Output_Mac!A:A,Output_Mac!I:I,"")</f>
        <v/>
      </c>
      <c r="J18" s="2" t="str" cm="1">
        <f t="array" ref="J18">IFERROR(_xlfn.LET(
_xlpm.CSVVal,_xlfn.XLOOKUP($A18,CSV!$A:$A,CSV!I:I,""),
_xlpm.MacVal,_xlfn.XLOOKUP($A18,Output_Mac!$A:$A,Output_Mac!J:J,""),
_xlpm.MyAuditVal,_xlfn.XLOOKUP($A18,My_Audit!$A:$A,My_Audit!I:I,""),
_xlfn.IFS(_xlpm.MyAuditVal&lt;&gt;"",UPPER(_xlpm.MyAuditVal),_xlpm.MacVal&lt;&gt;"",_xlpm.MacVal,_xlpm.CSVVal&lt;&gt;"",_xlpm.CSVVal
)),"")</f>
        <v/>
      </c>
      <c r="K18" s="2" t="str" cm="1">
        <f t="array" ref="K18">IFERROR(_xlfn.LET(
_xlpm.CSVVal,_xlfn.XLOOKUP($A18,CSV!$A:$A,CSV!K:K,""),
_xlpm.MacVal,_xlfn.XLOOKUP($A18,Output_Mac!$A:$A,Output_Mac!K:K,""),
_xlpm.MyAuditVal,_xlfn.XLOOKUP($A18,My_Audit!$A:$A,My_Audit!J:J,""),
_xlfn.IFS(_xlpm.MyAuditVal&lt;&gt;"",UPPER(_xlpm.MyAuditVal),_xlpm.MacVal&lt;&gt;"",_xlpm.MacVal,_xlpm.CSVVal&lt;&gt;"",_xlpm.CSVVal
)),"")</f>
        <v/>
      </c>
      <c r="L18" s="2" t="str" cm="1">
        <f t="array" ref="L18">IFERROR(_xlfn.LET(
_xlpm.CSVVal,_xlfn.XLOOKUP($A18,CSV!$A:$A,CSV!P:P,""),
_xlpm.MacVal,_xlfn.XLOOKUP($A18,Output_Mac!$A:$A,Output_Mac!L:L,""),
_xlpm.MyAuditVal,_xlfn.XLOOKUP($A18,My_Audit!$A:$A,My_Audit!K:K,""),
_xlfn.IFS(_xlpm.MyAuditVal&lt;&gt;"",UPPER(_xlpm.MyAuditVal),_xlpm.MacVal&lt;&gt;"",_xlpm.MacVal,_xlpm.CSVVal&lt;&gt;"",_xlpm.CSVVal
)),"")</f>
        <v/>
      </c>
      <c r="M18" s="2" t="str" cm="1">
        <f t="array" ref="M18">IFERROR(_xlfn.LET(
_xlpm.CSVVal,_xlfn.XLOOKUP($A18,CSV!$A:$A,CSV!Q:Q,""),
_xlpm.MacVal,_xlfn.XLOOKUP($A18,Output_Mac!$A:$A,Output_Mac!M:M,""),
_xlpm.MyAuditVal,_xlfn.XLOOKUP($A18,My_Audit!$A:$A,My_Audit!L:L,""),
_xlfn.IFS(_xlpm.MyAuditVal&lt;&gt;"",UPPER(_xlpm.MyAuditVal),_xlpm.MacVal&lt;&gt;"",_xlpm.MacVal,_xlpm.CSVVal&lt;&gt;"",_xlpm.CSVVal
)),"")</f>
        <v/>
      </c>
      <c r="O18" s="2" t="str">
        <f>_xlfn.LET(
    _xlpm.CSVVal, _xlfn.XLOOKUP($A18, CSV!$A:$A, CSV!AA:AA, ""),
    _xlpm.MacVal, _xlfn.XLOOKUP($A18, Output_Mac!$A:$A, Output_Mac!S:S, ""),
    _xlpm.MyAuditVal, _xlfn.XLOOKUP($A18, My_Audit!$A:$A, My_Audit!P:P, ""),
    _xlfn.TEXTJOIN(", ", TRUE, _xlpm.MyAuditVal, _xlpm.MacVal, _xlpm.CSVVal)
)</f>
        <v/>
      </c>
      <c r="P18" s="2" t="str" cm="1">
        <f t="array" ref="P18">IFERROR(_xlfn.LET(
_xlpm.CSVVal,_xlfn.XLOOKUP($A18,CSV!$A:$A,CSV!AB:AB,""),
_xlpm.MacVal,_xlfn.XLOOKUP($A18,Output_Mac!$A:$A,Output_Mac!T:T,""),
_xlpm.MyAuditVal,_xlfn.XLOOKUP($A18,My_Audit!$A:$A,My_Audit!Q:Q,""),
_xlfn.IFS(_xlpm.MyAuditVal&lt;&gt;"",UPPER(_xlpm.MyAuditVal),_xlpm.MacVal&lt;&gt;"",_xlpm.MacVal,_xlpm.CSVVal&lt;&gt;"",_xlpm.CSVVal
)),"No")</f>
        <v>No</v>
      </c>
      <c r="Q18" s="2" t="str" cm="1">
        <f t="array" ref="Q18">IFERROR(_xlfn.LET(
_xlpm.CSVVal,_xlfn.XLOOKUP($A18,CSV!$A:$A,CSV!AC:AC,""),
_xlpm.MacVal,_xlfn.XLOOKUP($A18,Output_Mac!$A:$A,Output_Mac!U:U,""),
_xlpm.MyAuditVal,_xlfn.XLOOKUP($A18,My_Audit!$A:$A,My_Audit!R:R,""),
_xlfn.IFS(_xlpm.MyAuditVal&lt;&gt;"",UPPER(_xlpm.MyAuditVal),_xlpm.MacVal&lt;&gt;"",_xlpm.MacVal,_xlpm.CSVVal&lt;&gt;"",_xlpm.CSVVal
)),"")</f>
        <v/>
      </c>
      <c r="X18" t="str">
        <f>_xlfn.LET(
    _xlpm.MacVal, _xlfn.XLOOKUP($A18, Output_Mac!$A:$A, Output_Mac!AB:AB, ""),
    _xlpm.MyAuditVal, _xlfn.XLOOKUP($A18, My_Audit!$A:$A, My_Audit!N:N, ""),
    _xlfn.TEXTJOIN(", ", TRUE, _xlpm.MyAuditVal, _xlpm.MacVal)
)</f>
        <v/>
      </c>
    </row>
    <row r="19" spans="1:24">
      <c r="A19" s="2" t="str">
        <f>_xlfn.TEXTJOIN("",TRUE,Input!$B$2,ROW(My_Audit!A18))</f>
        <v>X18</v>
      </c>
      <c r="B19" s="2" t="str">
        <f>_xlfn.TEXTJOIN("-",TRUE,"ITD",Input!$A$2,A19)</f>
        <v>ITD-SHR-X18</v>
      </c>
      <c r="C19" s="2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2" t="str" cm="1">
        <f t="array" ref="D19">IFERROR(_xlfn.LET(
_xlpm.CSVVal,_xlfn.XLOOKUP($A19,CSV!$A:$A,CSV!D:D,""),
_xlpm.MacVal,_xlfn.XLOOKUP($A19,Output_Mac!$A:$A,Output_Mac!C:C,""),
_xlpm.MyAuditVal,_xlfn.XLOOKUP($A19,My_Audit!$A:$A,My_Audit!C:C,""),
_xlfn.IFS(_xlpm.MyAuditVal&lt;&gt;"",_xlpm.MyAuditVal,_xlpm.MacVal&lt;&gt;"",_xlpm.MacVal,_xlpm.CSVVal&lt;&gt;"",_xlpm.CSVVal
)),"")</f>
        <v/>
      </c>
      <c r="E19" s="2">
        <f>_xlfn.XLOOKUP(A19,My_Audit!A:A,My_Audit!D:D,"")</f>
        <v>0</v>
      </c>
      <c r="F19" s="2" t="str" cm="1">
        <f t="array" ref="F19">IFERROR(_xlfn.LET(
_xlpm.CSVVal,_xlfn.XLOOKUP($A19,CSV!$A:$A,CSV!F:F,""),
_xlpm.MacVal,_xlfn.XLOOKUP($A19,Output_Mac!$A:$A,Output_Mac!E:E,""),
_xlpm.MyAuditVal,_xlfn.XLOOKUP($A19,My_Audit!$A:$A,My_Audit!E:E,""),
_xlfn.IFS(_xlpm.MyAuditVal&lt;&gt;"",_xlpm.MyAuditVal,_xlpm.MacVal&lt;&gt;"",_xlpm.MacVal,_xlpm.CSVVal&lt;&gt;"",_xlpm.CSVVal
)),"")</f>
        <v/>
      </c>
      <c r="G19" s="2" t="str" cm="1">
        <f t="array" ref="G19">IFERROR(_xlfn.LET(
_xlpm.CSVVal,_xlfn.XLOOKUP($A19,CSV!$A:$A,CSV!G:G,""),
_xlpm.MacVal,_xlfn.XLOOKUP($A19,Output_Mac!$A:$A,Output_Mac!F:F,""),
_xlpm.MyAuditVal,_xlfn.XLOOKUP($A19,My_Audit!$A:$A,My_Audit!F:F,""),
_xlfn.IFS(_xlpm.MyAuditVal&lt;&gt;"",_xlpm.MyAuditVal,_xlpm.MacVal&lt;&gt;"",_xlpm.MacVal,_xlpm.CSVVal&lt;&gt;"",PROPER(_xlpm.CSVVal)
)),"")</f>
        <v/>
      </c>
      <c r="H19" s="2" t="str" cm="1">
        <f t="array" ref="H19">IFERROR(_xlfn.LET(
_xlpm.CSVVal,_xlfn.XLOOKUP($A19,CSV!$A:$A,CSV!H:H,""),
_xlpm.MacVal,_xlfn.XLOOKUP($A19,Output_Mac!$A:$A,Output_Mac!H:H,""),
_xlpm.MyAuditVal,_xlfn.XLOOKUP($A19,My_Audit!$A:$A,My_Audit!G:G,""),
_xlfn.IFS(_xlpm.MyAuditVal&lt;&gt;"",_xlpm.MyAuditVal,_xlpm.MacVal&lt;&gt;"",_xlpm.MacVal,_xlpm.CSVVal&lt;&gt;"",_xlpm.CSVVal
)),"")</f>
        <v/>
      </c>
      <c r="I19" s="2" t="str">
        <f>_xlfn.XLOOKUP(A19,Output_Mac!A:A,Output_Mac!I:I,"")</f>
        <v/>
      </c>
      <c r="J19" s="2" t="str" cm="1">
        <f t="array" ref="J19">IFERROR(_xlfn.LET(
_xlpm.CSVVal,_xlfn.XLOOKUP($A19,CSV!$A:$A,CSV!I:I,""),
_xlpm.MacVal,_xlfn.XLOOKUP($A19,Output_Mac!$A:$A,Output_Mac!J:J,""),
_xlpm.MyAuditVal,_xlfn.XLOOKUP($A19,My_Audit!$A:$A,My_Audit!I:I,""),
_xlfn.IFS(_xlpm.MyAuditVal&lt;&gt;"",UPPER(_xlpm.MyAuditVal),_xlpm.MacVal&lt;&gt;"",_xlpm.MacVal,_xlpm.CSVVal&lt;&gt;"",_xlpm.CSVVal
)),"")</f>
        <v/>
      </c>
      <c r="K19" s="2" t="str" cm="1">
        <f t="array" ref="K19">IFERROR(_xlfn.LET(
_xlpm.CSVVal,_xlfn.XLOOKUP($A19,CSV!$A:$A,CSV!K:K,""),
_xlpm.MacVal,_xlfn.XLOOKUP($A19,Output_Mac!$A:$A,Output_Mac!K:K,""),
_xlpm.MyAuditVal,_xlfn.XLOOKUP($A19,My_Audit!$A:$A,My_Audit!J:J,""),
_xlfn.IFS(_xlpm.MyAuditVal&lt;&gt;"",UPPER(_xlpm.MyAuditVal),_xlpm.MacVal&lt;&gt;"",_xlpm.MacVal,_xlpm.CSVVal&lt;&gt;"",_xlpm.CSVVal
)),"")</f>
        <v/>
      </c>
      <c r="L19" s="2" t="str" cm="1">
        <f t="array" ref="L19">IFERROR(_xlfn.LET(
_xlpm.CSVVal,_xlfn.XLOOKUP($A19,CSV!$A:$A,CSV!P:P,""),
_xlpm.MacVal,_xlfn.XLOOKUP($A19,Output_Mac!$A:$A,Output_Mac!L:L,""),
_xlpm.MyAuditVal,_xlfn.XLOOKUP($A19,My_Audit!$A:$A,My_Audit!K:K,""),
_xlfn.IFS(_xlpm.MyAuditVal&lt;&gt;"",UPPER(_xlpm.MyAuditVal),_xlpm.MacVal&lt;&gt;"",_xlpm.MacVal,_xlpm.CSVVal&lt;&gt;"",_xlpm.CSVVal
)),"")</f>
        <v/>
      </c>
      <c r="M19" s="2" t="str" cm="1">
        <f t="array" ref="M19">IFERROR(_xlfn.LET(
_xlpm.CSVVal,_xlfn.XLOOKUP($A19,CSV!$A:$A,CSV!Q:Q,""),
_xlpm.MacVal,_xlfn.XLOOKUP($A19,Output_Mac!$A:$A,Output_Mac!M:M,""),
_xlpm.MyAuditVal,_xlfn.XLOOKUP($A19,My_Audit!$A:$A,My_Audit!L:L,""),
_xlfn.IFS(_xlpm.MyAuditVal&lt;&gt;"",UPPER(_xlpm.MyAuditVal),_xlpm.MacVal&lt;&gt;"",_xlpm.MacVal,_xlpm.CSVVal&lt;&gt;"",_xlpm.CSVVal
)),"")</f>
        <v/>
      </c>
      <c r="O19" s="2" t="str">
        <f>_xlfn.LET(
    _xlpm.CSVVal, _xlfn.XLOOKUP($A19, CSV!$A:$A, CSV!AA:AA, ""),
    _xlpm.MacVal, _xlfn.XLOOKUP($A19, Output_Mac!$A:$A, Output_Mac!S:S, ""),
    _xlpm.MyAuditVal, _xlfn.XLOOKUP($A19, My_Audit!$A:$A, My_Audit!P:P, ""),
    _xlfn.TEXTJOIN(", ", TRUE, _xlpm.MyAuditVal, _xlpm.MacVal, _xlpm.CSVVal)
)</f>
        <v/>
      </c>
      <c r="P19" s="2" t="str" cm="1">
        <f t="array" ref="P19">IFERROR(_xlfn.LET(
_xlpm.CSVVal,_xlfn.XLOOKUP($A19,CSV!$A:$A,CSV!AB:AB,""),
_xlpm.MacVal,_xlfn.XLOOKUP($A19,Output_Mac!$A:$A,Output_Mac!T:T,""),
_xlpm.MyAuditVal,_xlfn.XLOOKUP($A19,My_Audit!$A:$A,My_Audit!Q:Q,""),
_xlfn.IFS(_xlpm.MyAuditVal&lt;&gt;"",UPPER(_xlpm.MyAuditVal),_xlpm.MacVal&lt;&gt;"",_xlpm.MacVal,_xlpm.CSVVal&lt;&gt;"",_xlpm.CSVVal
)),"No")</f>
        <v>No</v>
      </c>
      <c r="Q19" s="2" t="str" cm="1">
        <f t="array" ref="Q19">IFERROR(_xlfn.LET(
_xlpm.CSVVal,_xlfn.XLOOKUP($A19,CSV!$A:$A,CSV!AC:AC,""),
_xlpm.MacVal,_xlfn.XLOOKUP($A19,Output_Mac!$A:$A,Output_Mac!U:U,""),
_xlpm.MyAuditVal,_xlfn.XLOOKUP($A19,My_Audit!$A:$A,My_Audit!R:R,""),
_xlfn.IFS(_xlpm.MyAuditVal&lt;&gt;"",UPPER(_xlpm.MyAuditVal),_xlpm.MacVal&lt;&gt;"",_xlpm.MacVal,_xlpm.CSVVal&lt;&gt;"",_xlpm.CSVVal
)),"")</f>
        <v/>
      </c>
      <c r="X19" t="str">
        <f>_xlfn.LET(
    _xlpm.MacVal, _xlfn.XLOOKUP($A19, Output_Mac!$A:$A, Output_Mac!AB:AB, ""),
    _xlpm.MyAuditVal, _xlfn.XLOOKUP($A19, My_Audit!$A:$A, My_Audit!N:N, ""),
    _xlfn.TEXTJOIN(", ", TRUE, _xlpm.MyAuditVal, _xlpm.MacVal)
)</f>
        <v/>
      </c>
    </row>
    <row r="20" spans="1:24">
      <c r="A20" s="2" t="str">
        <f>_xlfn.TEXTJOIN("",TRUE,Input!$B$2,ROW(My_Audit!A19))</f>
        <v>X19</v>
      </c>
      <c r="B20" s="2" t="str">
        <f>_xlfn.TEXTJOIN("-",TRUE,"ITD",Input!$A$2,A20)</f>
        <v>ITD-SHR-X19</v>
      </c>
      <c r="C20" s="2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2" t="str" cm="1">
        <f t="array" ref="D20">IFERROR(_xlfn.LET(
_xlpm.CSVVal,_xlfn.XLOOKUP($A20,CSV!$A:$A,CSV!D:D,""),
_xlpm.MacVal,_xlfn.XLOOKUP($A20,Output_Mac!$A:$A,Output_Mac!C:C,""),
_xlpm.MyAuditVal,_xlfn.XLOOKUP($A20,My_Audit!$A:$A,My_Audit!C:C,""),
_xlfn.IFS(_xlpm.MyAuditVal&lt;&gt;"",_xlpm.MyAuditVal,_xlpm.MacVal&lt;&gt;"",_xlpm.MacVal,_xlpm.CSVVal&lt;&gt;"",_xlpm.CSVVal
)),"")</f>
        <v/>
      </c>
      <c r="E20" s="2">
        <f>_xlfn.XLOOKUP(A20,My_Audit!A:A,My_Audit!D:D,"")</f>
        <v>0</v>
      </c>
      <c r="F20" s="2" t="str" cm="1">
        <f t="array" ref="F20">IFERROR(_xlfn.LET(
_xlpm.CSVVal,_xlfn.XLOOKUP($A20,CSV!$A:$A,CSV!F:F,""),
_xlpm.MacVal,_xlfn.XLOOKUP($A20,Output_Mac!$A:$A,Output_Mac!E:E,""),
_xlpm.MyAuditVal,_xlfn.XLOOKUP($A20,My_Audit!$A:$A,My_Audit!E:E,""),
_xlfn.IFS(_xlpm.MyAuditVal&lt;&gt;"",_xlpm.MyAuditVal,_xlpm.MacVal&lt;&gt;"",_xlpm.MacVal,_xlpm.CSVVal&lt;&gt;"",_xlpm.CSVVal
)),"")</f>
        <v/>
      </c>
      <c r="G20" s="2" t="str" cm="1">
        <f t="array" ref="G20">IFERROR(_xlfn.LET(
_xlpm.CSVVal,_xlfn.XLOOKUP($A20,CSV!$A:$A,CSV!G:G,""),
_xlpm.MacVal,_xlfn.XLOOKUP($A20,Output_Mac!$A:$A,Output_Mac!F:F,""),
_xlpm.MyAuditVal,_xlfn.XLOOKUP($A20,My_Audit!$A:$A,My_Audit!F:F,""),
_xlfn.IFS(_xlpm.MyAuditVal&lt;&gt;"",_xlpm.MyAuditVal,_xlpm.MacVal&lt;&gt;"",_xlpm.MacVal,_xlpm.CSVVal&lt;&gt;"",PROPER(_xlpm.CSVVal)
)),"")</f>
        <v/>
      </c>
      <c r="H20" s="2" t="str" cm="1">
        <f t="array" ref="H20">IFERROR(_xlfn.LET(
_xlpm.CSVVal,_xlfn.XLOOKUP($A20,CSV!$A:$A,CSV!H:H,""),
_xlpm.MacVal,_xlfn.XLOOKUP($A20,Output_Mac!$A:$A,Output_Mac!H:H,""),
_xlpm.MyAuditVal,_xlfn.XLOOKUP($A20,My_Audit!$A:$A,My_Audit!G:G,""),
_xlfn.IFS(_xlpm.MyAuditVal&lt;&gt;"",_xlpm.MyAuditVal,_xlpm.MacVal&lt;&gt;"",_xlpm.MacVal,_xlpm.CSVVal&lt;&gt;"",_xlpm.CSVVal
)),"")</f>
        <v/>
      </c>
      <c r="I20" s="2" t="str">
        <f>_xlfn.XLOOKUP(A20,Output_Mac!A:A,Output_Mac!I:I,"")</f>
        <v/>
      </c>
      <c r="J20" s="2" t="str" cm="1">
        <f t="array" ref="J20">IFERROR(_xlfn.LET(
_xlpm.CSVVal,_xlfn.XLOOKUP($A20,CSV!$A:$A,CSV!I:I,""),
_xlpm.MacVal,_xlfn.XLOOKUP($A20,Output_Mac!$A:$A,Output_Mac!J:J,""),
_xlpm.MyAuditVal,_xlfn.XLOOKUP($A20,My_Audit!$A:$A,My_Audit!I:I,""),
_xlfn.IFS(_xlpm.MyAuditVal&lt;&gt;"",UPPER(_xlpm.MyAuditVal),_xlpm.MacVal&lt;&gt;"",_xlpm.MacVal,_xlpm.CSVVal&lt;&gt;"",_xlpm.CSVVal
)),"")</f>
        <v/>
      </c>
      <c r="K20" s="2" t="str" cm="1">
        <f t="array" ref="K20">IFERROR(_xlfn.LET(
_xlpm.CSVVal,_xlfn.XLOOKUP($A20,CSV!$A:$A,CSV!K:K,""),
_xlpm.MacVal,_xlfn.XLOOKUP($A20,Output_Mac!$A:$A,Output_Mac!K:K,""),
_xlpm.MyAuditVal,_xlfn.XLOOKUP($A20,My_Audit!$A:$A,My_Audit!J:J,""),
_xlfn.IFS(_xlpm.MyAuditVal&lt;&gt;"",UPPER(_xlpm.MyAuditVal),_xlpm.MacVal&lt;&gt;"",_xlpm.MacVal,_xlpm.CSVVal&lt;&gt;"",_xlpm.CSVVal
)),"")</f>
        <v/>
      </c>
      <c r="L20" s="2" t="str" cm="1">
        <f t="array" ref="L20">IFERROR(_xlfn.LET(
_xlpm.CSVVal,_xlfn.XLOOKUP($A20,CSV!$A:$A,CSV!P:P,""),
_xlpm.MacVal,_xlfn.XLOOKUP($A20,Output_Mac!$A:$A,Output_Mac!L:L,""),
_xlpm.MyAuditVal,_xlfn.XLOOKUP($A20,My_Audit!$A:$A,My_Audit!K:K,""),
_xlfn.IFS(_xlpm.MyAuditVal&lt;&gt;"",UPPER(_xlpm.MyAuditVal),_xlpm.MacVal&lt;&gt;"",_xlpm.MacVal,_xlpm.CSVVal&lt;&gt;"",_xlpm.CSVVal
)),"")</f>
        <v/>
      </c>
      <c r="M20" s="2" t="str" cm="1">
        <f t="array" ref="M20">IFERROR(_xlfn.LET(
_xlpm.CSVVal,_xlfn.XLOOKUP($A20,CSV!$A:$A,CSV!Q:Q,""),
_xlpm.MacVal,_xlfn.XLOOKUP($A20,Output_Mac!$A:$A,Output_Mac!M:M,""),
_xlpm.MyAuditVal,_xlfn.XLOOKUP($A20,My_Audit!$A:$A,My_Audit!L:L,""),
_xlfn.IFS(_xlpm.MyAuditVal&lt;&gt;"",UPPER(_xlpm.MyAuditVal),_xlpm.MacVal&lt;&gt;"",_xlpm.MacVal,_xlpm.CSVVal&lt;&gt;"",_xlpm.CSVVal
)),"")</f>
        <v/>
      </c>
      <c r="O20" s="2" t="str">
        <f>_xlfn.LET(
    _xlpm.CSVVal, _xlfn.XLOOKUP($A20, CSV!$A:$A, CSV!AA:AA, ""),
    _xlpm.MacVal, _xlfn.XLOOKUP($A20, Output_Mac!$A:$A, Output_Mac!S:S, ""),
    _xlpm.MyAuditVal, _xlfn.XLOOKUP($A20, My_Audit!$A:$A, My_Audit!P:P, ""),
    _xlfn.TEXTJOIN(", ", TRUE, _xlpm.MyAuditVal, _xlpm.MacVal, _xlpm.CSVVal)
)</f>
        <v/>
      </c>
      <c r="P20" s="2" t="str" cm="1">
        <f t="array" ref="P20">IFERROR(_xlfn.LET(
_xlpm.CSVVal,_xlfn.XLOOKUP($A20,CSV!$A:$A,CSV!AB:AB,""),
_xlpm.MacVal,_xlfn.XLOOKUP($A20,Output_Mac!$A:$A,Output_Mac!T:T,""),
_xlpm.MyAuditVal,_xlfn.XLOOKUP($A20,My_Audit!$A:$A,My_Audit!Q:Q,""),
_xlfn.IFS(_xlpm.MyAuditVal&lt;&gt;"",UPPER(_xlpm.MyAuditVal),_xlpm.MacVal&lt;&gt;"",_xlpm.MacVal,_xlpm.CSVVal&lt;&gt;"",_xlpm.CSVVal
)),"No")</f>
        <v>No</v>
      </c>
      <c r="Q20" s="2" t="str" cm="1">
        <f t="array" ref="Q20">IFERROR(_xlfn.LET(
_xlpm.CSVVal,_xlfn.XLOOKUP($A20,CSV!$A:$A,CSV!AC:AC,""),
_xlpm.MacVal,_xlfn.XLOOKUP($A20,Output_Mac!$A:$A,Output_Mac!U:U,""),
_xlpm.MyAuditVal,_xlfn.XLOOKUP($A20,My_Audit!$A:$A,My_Audit!R:R,""),
_xlfn.IFS(_xlpm.MyAuditVal&lt;&gt;"",UPPER(_xlpm.MyAuditVal),_xlpm.MacVal&lt;&gt;"",_xlpm.MacVal,_xlpm.CSVVal&lt;&gt;"",_xlpm.CSVVal
)),"")</f>
        <v/>
      </c>
      <c r="X20" t="str">
        <f>_xlfn.LET(
    _xlpm.MacVal, _xlfn.XLOOKUP($A20, Output_Mac!$A:$A, Output_Mac!AB:AB, ""),
    _xlpm.MyAuditVal, _xlfn.XLOOKUP($A20, My_Audit!$A:$A, My_Audit!N:N, ""),
    _xlfn.TEXTJOIN(", ", TRUE, _xlpm.MyAuditVal, _xlpm.MacVal)
)</f>
        <v/>
      </c>
    </row>
    <row r="21" spans="1:24">
      <c r="A21" s="2" t="str">
        <f>_xlfn.TEXTJOIN("",TRUE,Input!$B$2,ROW(My_Audit!A20))</f>
        <v>X20</v>
      </c>
      <c r="B21" s="2" t="str">
        <f>_xlfn.TEXTJOIN("-",TRUE,"ITD",Input!$A$2,A21)</f>
        <v>ITD-SHR-X20</v>
      </c>
      <c r="C21" s="2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2" t="str" cm="1">
        <f t="array" ref="D21">IFERROR(_xlfn.LET(
_xlpm.CSVVal,_xlfn.XLOOKUP($A21,CSV!$A:$A,CSV!D:D,""),
_xlpm.MacVal,_xlfn.XLOOKUP($A21,Output_Mac!$A:$A,Output_Mac!C:C,""),
_xlpm.MyAuditVal,_xlfn.XLOOKUP($A21,My_Audit!$A:$A,My_Audit!C:C,""),
_xlfn.IFS(_xlpm.MyAuditVal&lt;&gt;"",_xlpm.MyAuditVal,_xlpm.MacVal&lt;&gt;"",_xlpm.MacVal,_xlpm.CSVVal&lt;&gt;"",_xlpm.CSVVal
)),"")</f>
        <v/>
      </c>
      <c r="E21" s="2">
        <f>_xlfn.XLOOKUP(A21,My_Audit!A:A,My_Audit!D:D,"")</f>
        <v>0</v>
      </c>
      <c r="F21" s="2" t="str" cm="1">
        <f t="array" ref="F21">IFERROR(_xlfn.LET(
_xlpm.CSVVal,_xlfn.XLOOKUP($A21,CSV!$A:$A,CSV!F:F,""),
_xlpm.MacVal,_xlfn.XLOOKUP($A21,Output_Mac!$A:$A,Output_Mac!E:E,""),
_xlpm.MyAuditVal,_xlfn.XLOOKUP($A21,My_Audit!$A:$A,My_Audit!E:E,""),
_xlfn.IFS(_xlpm.MyAuditVal&lt;&gt;"",_xlpm.MyAuditVal,_xlpm.MacVal&lt;&gt;"",_xlpm.MacVal,_xlpm.CSVVal&lt;&gt;"",_xlpm.CSVVal
)),"")</f>
        <v/>
      </c>
      <c r="G21" s="2" t="str" cm="1">
        <f t="array" ref="G21">IFERROR(_xlfn.LET(
_xlpm.CSVVal,_xlfn.XLOOKUP($A21,CSV!$A:$A,CSV!G:G,""),
_xlpm.MacVal,_xlfn.XLOOKUP($A21,Output_Mac!$A:$A,Output_Mac!F:F,""),
_xlpm.MyAuditVal,_xlfn.XLOOKUP($A21,My_Audit!$A:$A,My_Audit!F:F,""),
_xlfn.IFS(_xlpm.MyAuditVal&lt;&gt;"",_xlpm.MyAuditVal,_xlpm.MacVal&lt;&gt;"",_xlpm.MacVal,_xlpm.CSVVal&lt;&gt;"",PROPER(_xlpm.CSVVal)
)),"")</f>
        <v/>
      </c>
      <c r="H21" s="2" t="str" cm="1">
        <f t="array" ref="H21">IFERROR(_xlfn.LET(
_xlpm.CSVVal,_xlfn.XLOOKUP($A21,CSV!$A:$A,CSV!H:H,""),
_xlpm.MacVal,_xlfn.XLOOKUP($A21,Output_Mac!$A:$A,Output_Mac!H:H,""),
_xlpm.MyAuditVal,_xlfn.XLOOKUP($A21,My_Audit!$A:$A,My_Audit!G:G,""),
_xlfn.IFS(_xlpm.MyAuditVal&lt;&gt;"",_xlpm.MyAuditVal,_xlpm.MacVal&lt;&gt;"",_xlpm.MacVal,_xlpm.CSVVal&lt;&gt;"",_xlpm.CSVVal
)),"")</f>
        <v/>
      </c>
      <c r="I21" s="2" t="str">
        <f>_xlfn.XLOOKUP(A21,Output_Mac!A:A,Output_Mac!I:I,"")</f>
        <v/>
      </c>
      <c r="J21" s="2" t="str" cm="1">
        <f t="array" ref="J21">IFERROR(_xlfn.LET(
_xlpm.CSVVal,_xlfn.XLOOKUP($A21,CSV!$A:$A,CSV!I:I,""),
_xlpm.MacVal,_xlfn.XLOOKUP($A21,Output_Mac!$A:$A,Output_Mac!J:J,""),
_xlpm.MyAuditVal,_xlfn.XLOOKUP($A21,My_Audit!$A:$A,My_Audit!I:I,""),
_xlfn.IFS(_xlpm.MyAuditVal&lt;&gt;"",UPPER(_xlpm.MyAuditVal),_xlpm.MacVal&lt;&gt;"",_xlpm.MacVal,_xlpm.CSVVal&lt;&gt;"",_xlpm.CSVVal
)),"")</f>
        <v/>
      </c>
      <c r="K21" s="2" t="str" cm="1">
        <f t="array" ref="K21">IFERROR(_xlfn.LET(
_xlpm.CSVVal,_xlfn.XLOOKUP($A21,CSV!$A:$A,CSV!K:K,""),
_xlpm.MacVal,_xlfn.XLOOKUP($A21,Output_Mac!$A:$A,Output_Mac!K:K,""),
_xlpm.MyAuditVal,_xlfn.XLOOKUP($A21,My_Audit!$A:$A,My_Audit!J:J,""),
_xlfn.IFS(_xlpm.MyAuditVal&lt;&gt;"",UPPER(_xlpm.MyAuditVal),_xlpm.MacVal&lt;&gt;"",_xlpm.MacVal,_xlpm.CSVVal&lt;&gt;"",_xlpm.CSVVal
)),"")</f>
        <v/>
      </c>
      <c r="L21" s="2" t="str" cm="1">
        <f t="array" ref="L21">IFERROR(_xlfn.LET(
_xlpm.CSVVal,_xlfn.XLOOKUP($A21,CSV!$A:$A,CSV!P:P,""),
_xlpm.MacVal,_xlfn.XLOOKUP($A21,Output_Mac!$A:$A,Output_Mac!L:L,""),
_xlpm.MyAuditVal,_xlfn.XLOOKUP($A21,My_Audit!$A:$A,My_Audit!K:K,""),
_xlfn.IFS(_xlpm.MyAuditVal&lt;&gt;"",UPPER(_xlpm.MyAuditVal),_xlpm.MacVal&lt;&gt;"",_xlpm.MacVal,_xlpm.CSVVal&lt;&gt;"",_xlpm.CSVVal
)),"")</f>
        <v/>
      </c>
      <c r="M21" s="2" t="str" cm="1">
        <f t="array" ref="M21">IFERROR(_xlfn.LET(
_xlpm.CSVVal,_xlfn.XLOOKUP($A21,CSV!$A:$A,CSV!Q:Q,""),
_xlpm.MacVal,_xlfn.XLOOKUP($A21,Output_Mac!$A:$A,Output_Mac!M:M,""),
_xlpm.MyAuditVal,_xlfn.XLOOKUP($A21,My_Audit!$A:$A,My_Audit!L:L,""),
_xlfn.IFS(_xlpm.MyAuditVal&lt;&gt;"",UPPER(_xlpm.MyAuditVal),_xlpm.MacVal&lt;&gt;"",_xlpm.MacVal,_xlpm.CSVVal&lt;&gt;"",_xlpm.CSVVal
)),"")</f>
        <v/>
      </c>
      <c r="O21" s="2" t="str">
        <f>_xlfn.LET(
    _xlpm.CSVVal, _xlfn.XLOOKUP($A21, CSV!$A:$A, CSV!AA:AA, ""),
    _xlpm.MacVal, _xlfn.XLOOKUP($A21, Output_Mac!$A:$A, Output_Mac!S:S, ""),
    _xlpm.MyAuditVal, _xlfn.XLOOKUP($A21, My_Audit!$A:$A, My_Audit!P:P, ""),
    _xlfn.TEXTJOIN(", ", TRUE, _xlpm.MyAuditVal, _xlpm.MacVal, _xlpm.CSVVal)
)</f>
        <v/>
      </c>
      <c r="P21" s="2" t="str" cm="1">
        <f t="array" ref="P21">IFERROR(_xlfn.LET(
_xlpm.CSVVal,_xlfn.XLOOKUP($A21,CSV!$A:$A,CSV!AB:AB,""),
_xlpm.MacVal,_xlfn.XLOOKUP($A21,Output_Mac!$A:$A,Output_Mac!T:T,""),
_xlpm.MyAuditVal,_xlfn.XLOOKUP($A21,My_Audit!$A:$A,My_Audit!Q:Q,""),
_xlfn.IFS(_xlpm.MyAuditVal&lt;&gt;"",UPPER(_xlpm.MyAuditVal),_xlpm.MacVal&lt;&gt;"",_xlpm.MacVal,_xlpm.CSVVal&lt;&gt;"",_xlpm.CSVVal
)),"No")</f>
        <v>No</v>
      </c>
      <c r="Q21" s="2" t="str" cm="1">
        <f t="array" ref="Q21">IFERROR(_xlfn.LET(
_xlpm.CSVVal,_xlfn.XLOOKUP($A21,CSV!$A:$A,CSV!AC:AC,""),
_xlpm.MacVal,_xlfn.XLOOKUP($A21,Output_Mac!$A:$A,Output_Mac!U:U,""),
_xlpm.MyAuditVal,_xlfn.XLOOKUP($A21,My_Audit!$A:$A,My_Audit!R:R,""),
_xlfn.IFS(_xlpm.MyAuditVal&lt;&gt;"",UPPER(_xlpm.MyAuditVal),_xlpm.MacVal&lt;&gt;"",_xlpm.MacVal,_xlpm.CSVVal&lt;&gt;"",_xlpm.CSVVal
)),"")</f>
        <v/>
      </c>
      <c r="X21" t="str">
        <f>_xlfn.LET(
    _xlpm.MacVal, _xlfn.XLOOKUP($A21, Output_Mac!$A:$A, Output_Mac!AB:AB, ""),
    _xlpm.MyAuditVal, _xlfn.XLOOKUP($A21, My_Audit!$A:$A, My_Audit!N:N, ""),
    _xlfn.TEXTJOIN(", ", TRUE, _xlpm.MyAuditVal, _xlpm.MacVal)
)</f>
        <v/>
      </c>
    </row>
    <row r="22" spans="1:24">
      <c r="A22" s="2" t="str">
        <f>_xlfn.TEXTJOIN("",TRUE,Input!$B$2,ROW(My_Audit!A21))</f>
        <v>X21</v>
      </c>
      <c r="B22" s="2" t="str">
        <f>_xlfn.TEXTJOIN("-",TRUE,"ITD",Input!$A$2,A22)</f>
        <v>ITD-SHR-X21</v>
      </c>
      <c r="C22" s="2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2" t="str" cm="1">
        <f t="array" ref="D22">IFERROR(_xlfn.LET(
_xlpm.CSVVal,_xlfn.XLOOKUP($A22,CSV!$A:$A,CSV!D:D,""),
_xlpm.MacVal,_xlfn.XLOOKUP($A22,Output_Mac!$A:$A,Output_Mac!C:C,""),
_xlpm.MyAuditVal,_xlfn.XLOOKUP($A22,My_Audit!$A:$A,My_Audit!C:C,""),
_xlfn.IFS(_xlpm.MyAuditVal&lt;&gt;"",_xlpm.MyAuditVal,_xlpm.MacVal&lt;&gt;"",_xlpm.MacVal,_xlpm.CSVVal&lt;&gt;"",_xlpm.CSVVal
)),"")</f>
        <v/>
      </c>
      <c r="E22" s="2">
        <f>_xlfn.XLOOKUP(A22,My_Audit!A:A,My_Audit!D:D,"")</f>
        <v>0</v>
      </c>
      <c r="F22" s="2" t="str" cm="1">
        <f t="array" ref="F22">IFERROR(_xlfn.LET(
_xlpm.CSVVal,_xlfn.XLOOKUP($A22,CSV!$A:$A,CSV!F:F,""),
_xlpm.MacVal,_xlfn.XLOOKUP($A22,Output_Mac!$A:$A,Output_Mac!E:E,""),
_xlpm.MyAuditVal,_xlfn.XLOOKUP($A22,My_Audit!$A:$A,My_Audit!E:E,""),
_xlfn.IFS(_xlpm.MyAuditVal&lt;&gt;"",_xlpm.MyAuditVal,_xlpm.MacVal&lt;&gt;"",_xlpm.MacVal,_xlpm.CSVVal&lt;&gt;"",_xlpm.CSVVal
)),"")</f>
        <v/>
      </c>
      <c r="G22" s="2" t="str" cm="1">
        <f t="array" ref="G22">IFERROR(_xlfn.LET(
_xlpm.CSVVal,_xlfn.XLOOKUP($A22,CSV!$A:$A,CSV!G:G,""),
_xlpm.MacVal,_xlfn.XLOOKUP($A22,Output_Mac!$A:$A,Output_Mac!F:F,""),
_xlpm.MyAuditVal,_xlfn.XLOOKUP($A22,My_Audit!$A:$A,My_Audit!F:F,""),
_xlfn.IFS(_xlpm.MyAuditVal&lt;&gt;"",_xlpm.MyAuditVal,_xlpm.MacVal&lt;&gt;"",_xlpm.MacVal,_xlpm.CSVVal&lt;&gt;"",PROPER(_xlpm.CSVVal)
)),"")</f>
        <v/>
      </c>
      <c r="H22" s="2" t="str" cm="1">
        <f t="array" ref="H22">IFERROR(_xlfn.LET(
_xlpm.CSVVal,_xlfn.XLOOKUP($A22,CSV!$A:$A,CSV!H:H,""),
_xlpm.MacVal,_xlfn.XLOOKUP($A22,Output_Mac!$A:$A,Output_Mac!H:H,""),
_xlpm.MyAuditVal,_xlfn.XLOOKUP($A22,My_Audit!$A:$A,My_Audit!G:G,""),
_xlfn.IFS(_xlpm.MyAuditVal&lt;&gt;"",_xlpm.MyAuditVal,_xlpm.MacVal&lt;&gt;"",_xlpm.MacVal,_xlpm.CSVVal&lt;&gt;"",_xlpm.CSVVal
)),"")</f>
        <v/>
      </c>
      <c r="I22" s="2" t="str">
        <f>_xlfn.XLOOKUP(A22,Output_Mac!A:A,Output_Mac!I:I,"")</f>
        <v/>
      </c>
      <c r="J22" s="2" t="str" cm="1">
        <f t="array" ref="J22">IFERROR(_xlfn.LET(
_xlpm.CSVVal,_xlfn.XLOOKUP($A22,CSV!$A:$A,CSV!I:I,""),
_xlpm.MacVal,_xlfn.XLOOKUP($A22,Output_Mac!$A:$A,Output_Mac!J:J,""),
_xlpm.MyAuditVal,_xlfn.XLOOKUP($A22,My_Audit!$A:$A,My_Audit!I:I,""),
_xlfn.IFS(_xlpm.MyAuditVal&lt;&gt;"",UPPER(_xlpm.MyAuditVal),_xlpm.MacVal&lt;&gt;"",_xlpm.MacVal,_xlpm.CSVVal&lt;&gt;"",_xlpm.CSVVal
)),"")</f>
        <v/>
      </c>
      <c r="K22" s="2" t="str" cm="1">
        <f t="array" ref="K22">IFERROR(_xlfn.LET(
_xlpm.CSVVal,_xlfn.XLOOKUP($A22,CSV!$A:$A,CSV!K:K,""),
_xlpm.MacVal,_xlfn.XLOOKUP($A22,Output_Mac!$A:$A,Output_Mac!K:K,""),
_xlpm.MyAuditVal,_xlfn.XLOOKUP($A22,My_Audit!$A:$A,My_Audit!J:J,""),
_xlfn.IFS(_xlpm.MyAuditVal&lt;&gt;"",UPPER(_xlpm.MyAuditVal),_xlpm.MacVal&lt;&gt;"",_xlpm.MacVal,_xlpm.CSVVal&lt;&gt;"",_xlpm.CSVVal
)),"")</f>
        <v/>
      </c>
      <c r="L22" s="2" t="str" cm="1">
        <f t="array" ref="L22">IFERROR(_xlfn.LET(
_xlpm.CSVVal,_xlfn.XLOOKUP($A22,CSV!$A:$A,CSV!P:P,""),
_xlpm.MacVal,_xlfn.XLOOKUP($A22,Output_Mac!$A:$A,Output_Mac!L:L,""),
_xlpm.MyAuditVal,_xlfn.XLOOKUP($A22,My_Audit!$A:$A,My_Audit!K:K,""),
_xlfn.IFS(_xlpm.MyAuditVal&lt;&gt;"",UPPER(_xlpm.MyAuditVal),_xlpm.MacVal&lt;&gt;"",_xlpm.MacVal,_xlpm.CSVVal&lt;&gt;"",_xlpm.CSVVal
)),"")</f>
        <v/>
      </c>
      <c r="M22" s="2" t="str" cm="1">
        <f t="array" ref="M22">IFERROR(_xlfn.LET(
_xlpm.CSVVal,_xlfn.XLOOKUP($A22,CSV!$A:$A,CSV!Q:Q,""),
_xlpm.MacVal,_xlfn.XLOOKUP($A22,Output_Mac!$A:$A,Output_Mac!M:M,""),
_xlpm.MyAuditVal,_xlfn.XLOOKUP($A22,My_Audit!$A:$A,My_Audit!L:L,""),
_xlfn.IFS(_xlpm.MyAuditVal&lt;&gt;"",UPPER(_xlpm.MyAuditVal),_xlpm.MacVal&lt;&gt;"",_xlpm.MacVal,_xlpm.CSVVal&lt;&gt;"",_xlpm.CSVVal
)),"")</f>
        <v/>
      </c>
      <c r="O22" s="2" t="str">
        <f>_xlfn.LET(
    _xlpm.CSVVal, _xlfn.XLOOKUP($A22, CSV!$A:$A, CSV!AA:AA, ""),
    _xlpm.MacVal, _xlfn.XLOOKUP($A22, Output_Mac!$A:$A, Output_Mac!S:S, ""),
    _xlpm.MyAuditVal, _xlfn.XLOOKUP($A22, My_Audit!$A:$A, My_Audit!P:P, ""),
    _xlfn.TEXTJOIN(", ", TRUE, _xlpm.MyAuditVal, _xlpm.MacVal, _xlpm.CSVVal)
)</f>
        <v/>
      </c>
      <c r="P22" s="2" t="str" cm="1">
        <f t="array" ref="P22">IFERROR(_xlfn.LET(
_xlpm.CSVVal,_xlfn.XLOOKUP($A22,CSV!$A:$A,CSV!AB:AB,""),
_xlpm.MacVal,_xlfn.XLOOKUP($A22,Output_Mac!$A:$A,Output_Mac!T:T,""),
_xlpm.MyAuditVal,_xlfn.XLOOKUP($A22,My_Audit!$A:$A,My_Audit!Q:Q,""),
_xlfn.IFS(_xlpm.MyAuditVal&lt;&gt;"",UPPER(_xlpm.MyAuditVal),_xlpm.MacVal&lt;&gt;"",_xlpm.MacVal,_xlpm.CSVVal&lt;&gt;"",_xlpm.CSVVal
)),"No")</f>
        <v>No</v>
      </c>
      <c r="Q22" s="2" t="str" cm="1">
        <f t="array" ref="Q22">IFERROR(_xlfn.LET(
_xlpm.CSVVal,_xlfn.XLOOKUP($A22,CSV!$A:$A,CSV!AC:AC,""),
_xlpm.MacVal,_xlfn.XLOOKUP($A22,Output_Mac!$A:$A,Output_Mac!U:U,""),
_xlpm.MyAuditVal,_xlfn.XLOOKUP($A22,My_Audit!$A:$A,My_Audit!R:R,""),
_xlfn.IFS(_xlpm.MyAuditVal&lt;&gt;"",UPPER(_xlpm.MyAuditVal),_xlpm.MacVal&lt;&gt;"",_xlpm.MacVal,_xlpm.CSVVal&lt;&gt;"",_xlpm.CSVVal
)),"")</f>
        <v/>
      </c>
      <c r="X22" t="str">
        <f>_xlfn.LET(
    _xlpm.MacVal, _xlfn.XLOOKUP($A22, Output_Mac!$A:$A, Output_Mac!AB:AB, ""),
    _xlpm.MyAuditVal, _xlfn.XLOOKUP($A22, My_Audit!$A:$A, My_Audit!N:N, ""),
    _xlfn.TEXTJOIN(", ", TRUE, _xlpm.MyAuditVal, _xlpm.MacVal)
)</f>
        <v/>
      </c>
    </row>
    <row r="23" spans="1:24">
      <c r="A23" s="2" t="str">
        <f>_xlfn.TEXTJOIN("",TRUE,Input!$B$2,ROW(My_Audit!A22))</f>
        <v>X22</v>
      </c>
      <c r="B23" s="2" t="str">
        <f>_xlfn.TEXTJOIN("-",TRUE,"ITD",Input!$A$2,A23)</f>
        <v>ITD-SHR-X22</v>
      </c>
      <c r="C23" s="2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2" t="str" cm="1">
        <f t="array" ref="D23">IFERROR(_xlfn.LET(
_xlpm.CSVVal,_xlfn.XLOOKUP($A23,CSV!$A:$A,CSV!D:D,""),
_xlpm.MacVal,_xlfn.XLOOKUP($A23,Output_Mac!$A:$A,Output_Mac!C:C,""),
_xlpm.MyAuditVal,_xlfn.XLOOKUP($A23,My_Audit!$A:$A,My_Audit!C:C,""),
_xlfn.IFS(_xlpm.MyAuditVal&lt;&gt;"",_xlpm.MyAuditVal,_xlpm.MacVal&lt;&gt;"",_xlpm.MacVal,_xlpm.CSVVal&lt;&gt;"",_xlpm.CSVVal
)),"")</f>
        <v/>
      </c>
      <c r="E23" s="2">
        <f>_xlfn.XLOOKUP(A23,My_Audit!A:A,My_Audit!D:D,"")</f>
        <v>0</v>
      </c>
      <c r="F23" s="2" t="str" cm="1">
        <f t="array" ref="F23">IFERROR(_xlfn.LET(
_xlpm.CSVVal,_xlfn.XLOOKUP($A23,CSV!$A:$A,CSV!F:F,""),
_xlpm.MacVal,_xlfn.XLOOKUP($A23,Output_Mac!$A:$A,Output_Mac!E:E,""),
_xlpm.MyAuditVal,_xlfn.XLOOKUP($A23,My_Audit!$A:$A,My_Audit!E:E,""),
_xlfn.IFS(_xlpm.MyAuditVal&lt;&gt;"",_xlpm.MyAuditVal,_xlpm.MacVal&lt;&gt;"",_xlpm.MacVal,_xlpm.CSVVal&lt;&gt;"",_xlpm.CSVVal
)),"")</f>
        <v/>
      </c>
      <c r="G23" s="2" t="str" cm="1">
        <f t="array" ref="G23">IFERROR(_xlfn.LET(
_xlpm.CSVVal,_xlfn.XLOOKUP($A23,CSV!$A:$A,CSV!G:G,""),
_xlpm.MacVal,_xlfn.XLOOKUP($A23,Output_Mac!$A:$A,Output_Mac!F:F,""),
_xlpm.MyAuditVal,_xlfn.XLOOKUP($A23,My_Audit!$A:$A,My_Audit!F:F,""),
_xlfn.IFS(_xlpm.MyAuditVal&lt;&gt;"",_xlpm.MyAuditVal,_xlpm.MacVal&lt;&gt;"",_xlpm.MacVal,_xlpm.CSVVal&lt;&gt;"",PROPER(_xlpm.CSVVal)
)),"")</f>
        <v/>
      </c>
      <c r="H23" s="2" t="str" cm="1">
        <f t="array" ref="H23">IFERROR(_xlfn.LET(
_xlpm.CSVVal,_xlfn.XLOOKUP($A23,CSV!$A:$A,CSV!H:H,""),
_xlpm.MacVal,_xlfn.XLOOKUP($A23,Output_Mac!$A:$A,Output_Mac!H:H,""),
_xlpm.MyAuditVal,_xlfn.XLOOKUP($A23,My_Audit!$A:$A,My_Audit!G:G,""),
_xlfn.IFS(_xlpm.MyAuditVal&lt;&gt;"",_xlpm.MyAuditVal,_xlpm.MacVal&lt;&gt;"",_xlpm.MacVal,_xlpm.CSVVal&lt;&gt;"",_xlpm.CSVVal
)),"")</f>
        <v/>
      </c>
      <c r="I23" s="2" t="str">
        <f>_xlfn.XLOOKUP(A23,Output_Mac!A:A,Output_Mac!I:I,"")</f>
        <v/>
      </c>
      <c r="J23" s="2" t="str" cm="1">
        <f t="array" ref="J23">IFERROR(_xlfn.LET(
_xlpm.CSVVal,_xlfn.XLOOKUP($A23,CSV!$A:$A,CSV!I:I,""),
_xlpm.MacVal,_xlfn.XLOOKUP($A23,Output_Mac!$A:$A,Output_Mac!J:J,""),
_xlpm.MyAuditVal,_xlfn.XLOOKUP($A23,My_Audit!$A:$A,My_Audit!I:I,""),
_xlfn.IFS(_xlpm.MyAuditVal&lt;&gt;"",UPPER(_xlpm.MyAuditVal),_xlpm.MacVal&lt;&gt;"",_xlpm.MacVal,_xlpm.CSVVal&lt;&gt;"",_xlpm.CSVVal
)),"")</f>
        <v/>
      </c>
      <c r="K23" s="2" t="str" cm="1">
        <f t="array" ref="K23">IFERROR(_xlfn.LET(
_xlpm.CSVVal,_xlfn.XLOOKUP($A23,CSV!$A:$A,CSV!K:K,""),
_xlpm.MacVal,_xlfn.XLOOKUP($A23,Output_Mac!$A:$A,Output_Mac!K:K,""),
_xlpm.MyAuditVal,_xlfn.XLOOKUP($A23,My_Audit!$A:$A,My_Audit!J:J,""),
_xlfn.IFS(_xlpm.MyAuditVal&lt;&gt;"",UPPER(_xlpm.MyAuditVal),_xlpm.MacVal&lt;&gt;"",_xlpm.MacVal,_xlpm.CSVVal&lt;&gt;"",_xlpm.CSVVal
)),"")</f>
        <v/>
      </c>
      <c r="L23" s="2" t="str" cm="1">
        <f t="array" ref="L23">IFERROR(_xlfn.LET(
_xlpm.CSVVal,_xlfn.XLOOKUP($A23,CSV!$A:$A,CSV!P:P,""),
_xlpm.MacVal,_xlfn.XLOOKUP($A23,Output_Mac!$A:$A,Output_Mac!L:L,""),
_xlpm.MyAuditVal,_xlfn.XLOOKUP($A23,My_Audit!$A:$A,My_Audit!K:K,""),
_xlfn.IFS(_xlpm.MyAuditVal&lt;&gt;"",UPPER(_xlpm.MyAuditVal),_xlpm.MacVal&lt;&gt;"",_xlpm.MacVal,_xlpm.CSVVal&lt;&gt;"",_xlpm.CSVVal
)),"")</f>
        <v/>
      </c>
      <c r="M23" s="2" t="str" cm="1">
        <f t="array" ref="M23">IFERROR(_xlfn.LET(
_xlpm.CSVVal,_xlfn.XLOOKUP($A23,CSV!$A:$A,CSV!Q:Q,""),
_xlpm.MacVal,_xlfn.XLOOKUP($A23,Output_Mac!$A:$A,Output_Mac!M:M,""),
_xlpm.MyAuditVal,_xlfn.XLOOKUP($A23,My_Audit!$A:$A,My_Audit!L:L,""),
_xlfn.IFS(_xlpm.MyAuditVal&lt;&gt;"",UPPER(_xlpm.MyAuditVal),_xlpm.MacVal&lt;&gt;"",_xlpm.MacVal,_xlpm.CSVVal&lt;&gt;"",_xlpm.CSVVal
)),"")</f>
        <v/>
      </c>
      <c r="O23" s="2" t="str">
        <f>_xlfn.LET(
    _xlpm.CSVVal, _xlfn.XLOOKUP($A23, CSV!$A:$A, CSV!AA:AA, ""),
    _xlpm.MacVal, _xlfn.XLOOKUP($A23, Output_Mac!$A:$A, Output_Mac!S:S, ""),
    _xlpm.MyAuditVal, _xlfn.XLOOKUP($A23, My_Audit!$A:$A, My_Audit!P:P, ""),
    _xlfn.TEXTJOIN(", ", TRUE, _xlpm.MyAuditVal, _xlpm.MacVal, _xlpm.CSVVal)
)</f>
        <v/>
      </c>
      <c r="P23" s="2" t="str" cm="1">
        <f t="array" ref="P23">IFERROR(_xlfn.LET(
_xlpm.CSVVal,_xlfn.XLOOKUP($A23,CSV!$A:$A,CSV!AB:AB,""),
_xlpm.MacVal,_xlfn.XLOOKUP($A23,Output_Mac!$A:$A,Output_Mac!T:T,""),
_xlpm.MyAuditVal,_xlfn.XLOOKUP($A23,My_Audit!$A:$A,My_Audit!Q:Q,""),
_xlfn.IFS(_xlpm.MyAuditVal&lt;&gt;"",UPPER(_xlpm.MyAuditVal),_xlpm.MacVal&lt;&gt;"",_xlpm.MacVal,_xlpm.CSVVal&lt;&gt;"",_xlpm.CSVVal
)),"No")</f>
        <v>No</v>
      </c>
      <c r="Q23" s="2" t="str" cm="1">
        <f t="array" ref="Q23">IFERROR(_xlfn.LET(
_xlpm.CSVVal,_xlfn.XLOOKUP($A23,CSV!$A:$A,CSV!AC:AC,""),
_xlpm.MacVal,_xlfn.XLOOKUP($A23,Output_Mac!$A:$A,Output_Mac!U:U,""),
_xlpm.MyAuditVal,_xlfn.XLOOKUP($A23,My_Audit!$A:$A,My_Audit!R:R,""),
_xlfn.IFS(_xlpm.MyAuditVal&lt;&gt;"",UPPER(_xlpm.MyAuditVal),_xlpm.MacVal&lt;&gt;"",_xlpm.MacVal,_xlpm.CSVVal&lt;&gt;"",_xlpm.CSVVal
)),"")</f>
        <v/>
      </c>
      <c r="X23" t="str">
        <f>_xlfn.LET(
    _xlpm.MacVal, _xlfn.XLOOKUP($A23, Output_Mac!$A:$A, Output_Mac!AB:AB, ""),
    _xlpm.MyAuditVal, _xlfn.XLOOKUP($A23, My_Audit!$A:$A, My_Audit!N:N, ""),
    _xlfn.TEXTJOIN(", ", TRUE, _xlpm.MyAuditVal, _xlpm.MacVal)
)</f>
        <v/>
      </c>
    </row>
    <row r="24" spans="1:24">
      <c r="A24" s="2" t="str">
        <f>_xlfn.TEXTJOIN("",TRUE,Input!$B$2,ROW(My_Audit!A23))</f>
        <v>X23</v>
      </c>
      <c r="B24" s="2" t="str">
        <f>_xlfn.TEXTJOIN("-",TRUE,"ITD",Input!$A$2,A24)</f>
        <v>ITD-SHR-X23</v>
      </c>
      <c r="C24" s="2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2" t="str" cm="1">
        <f t="array" ref="D24">IFERROR(_xlfn.LET(
_xlpm.CSVVal,_xlfn.XLOOKUP($A24,CSV!$A:$A,CSV!D:D,""),
_xlpm.MacVal,_xlfn.XLOOKUP($A24,Output_Mac!$A:$A,Output_Mac!C:C,""),
_xlpm.MyAuditVal,_xlfn.XLOOKUP($A24,My_Audit!$A:$A,My_Audit!C:C,""),
_xlfn.IFS(_xlpm.MyAuditVal&lt;&gt;"",_xlpm.MyAuditVal,_xlpm.MacVal&lt;&gt;"",_xlpm.MacVal,_xlpm.CSVVal&lt;&gt;"",_xlpm.CSVVal
)),"")</f>
        <v/>
      </c>
      <c r="E24" s="2">
        <f>_xlfn.XLOOKUP(A24,My_Audit!A:A,My_Audit!D:D,"")</f>
        <v>0</v>
      </c>
      <c r="F24" s="2" t="str" cm="1">
        <f t="array" ref="F24">IFERROR(_xlfn.LET(
_xlpm.CSVVal,_xlfn.XLOOKUP($A24,CSV!$A:$A,CSV!F:F,""),
_xlpm.MacVal,_xlfn.XLOOKUP($A24,Output_Mac!$A:$A,Output_Mac!E:E,""),
_xlpm.MyAuditVal,_xlfn.XLOOKUP($A24,My_Audit!$A:$A,My_Audit!E:E,""),
_xlfn.IFS(_xlpm.MyAuditVal&lt;&gt;"",_xlpm.MyAuditVal,_xlpm.MacVal&lt;&gt;"",_xlpm.MacVal,_xlpm.CSVVal&lt;&gt;"",_xlpm.CSVVal
)),"")</f>
        <v/>
      </c>
      <c r="G24" s="2" t="str" cm="1">
        <f t="array" ref="G24">IFERROR(_xlfn.LET(
_xlpm.CSVVal,_xlfn.XLOOKUP($A24,CSV!$A:$A,CSV!G:G,""),
_xlpm.MacVal,_xlfn.XLOOKUP($A24,Output_Mac!$A:$A,Output_Mac!F:F,""),
_xlpm.MyAuditVal,_xlfn.XLOOKUP($A24,My_Audit!$A:$A,My_Audit!F:F,""),
_xlfn.IFS(_xlpm.MyAuditVal&lt;&gt;"",_xlpm.MyAuditVal,_xlpm.MacVal&lt;&gt;"",_xlpm.MacVal,_xlpm.CSVVal&lt;&gt;"",PROPER(_xlpm.CSVVal)
)),"")</f>
        <v/>
      </c>
      <c r="H24" s="2" t="str" cm="1">
        <f t="array" ref="H24">IFERROR(_xlfn.LET(
_xlpm.CSVVal,_xlfn.XLOOKUP($A24,CSV!$A:$A,CSV!H:H,""),
_xlpm.MacVal,_xlfn.XLOOKUP($A24,Output_Mac!$A:$A,Output_Mac!H:H,""),
_xlpm.MyAuditVal,_xlfn.XLOOKUP($A24,My_Audit!$A:$A,My_Audit!G:G,""),
_xlfn.IFS(_xlpm.MyAuditVal&lt;&gt;"",_xlpm.MyAuditVal,_xlpm.MacVal&lt;&gt;"",_xlpm.MacVal,_xlpm.CSVVal&lt;&gt;"",_xlpm.CSVVal
)),"")</f>
        <v/>
      </c>
      <c r="I24" s="2" t="str">
        <f>_xlfn.XLOOKUP(A24,Output_Mac!A:A,Output_Mac!I:I,"")</f>
        <v/>
      </c>
      <c r="J24" s="2" t="str" cm="1">
        <f t="array" ref="J24">IFERROR(_xlfn.LET(
_xlpm.CSVVal,_xlfn.XLOOKUP($A24,CSV!$A:$A,CSV!I:I,""),
_xlpm.MacVal,_xlfn.XLOOKUP($A24,Output_Mac!$A:$A,Output_Mac!J:J,""),
_xlpm.MyAuditVal,_xlfn.XLOOKUP($A24,My_Audit!$A:$A,My_Audit!I:I,""),
_xlfn.IFS(_xlpm.MyAuditVal&lt;&gt;"",UPPER(_xlpm.MyAuditVal),_xlpm.MacVal&lt;&gt;"",_xlpm.MacVal,_xlpm.CSVVal&lt;&gt;"",_xlpm.CSVVal
)),"")</f>
        <v/>
      </c>
      <c r="K24" s="2" t="str" cm="1">
        <f t="array" ref="K24">IFERROR(_xlfn.LET(
_xlpm.CSVVal,_xlfn.XLOOKUP($A24,CSV!$A:$A,CSV!K:K,""),
_xlpm.MacVal,_xlfn.XLOOKUP($A24,Output_Mac!$A:$A,Output_Mac!K:K,""),
_xlpm.MyAuditVal,_xlfn.XLOOKUP($A24,My_Audit!$A:$A,My_Audit!J:J,""),
_xlfn.IFS(_xlpm.MyAuditVal&lt;&gt;"",UPPER(_xlpm.MyAuditVal),_xlpm.MacVal&lt;&gt;"",_xlpm.MacVal,_xlpm.CSVVal&lt;&gt;"",_xlpm.CSVVal
)),"")</f>
        <v/>
      </c>
      <c r="L24" s="2" t="str" cm="1">
        <f t="array" ref="L24">IFERROR(_xlfn.LET(
_xlpm.CSVVal,_xlfn.XLOOKUP($A24,CSV!$A:$A,CSV!P:P,""),
_xlpm.MacVal,_xlfn.XLOOKUP($A24,Output_Mac!$A:$A,Output_Mac!L:L,""),
_xlpm.MyAuditVal,_xlfn.XLOOKUP($A24,My_Audit!$A:$A,My_Audit!K:K,""),
_xlfn.IFS(_xlpm.MyAuditVal&lt;&gt;"",UPPER(_xlpm.MyAuditVal),_xlpm.MacVal&lt;&gt;"",_xlpm.MacVal,_xlpm.CSVVal&lt;&gt;"",_xlpm.CSVVal
)),"")</f>
        <v/>
      </c>
      <c r="M24" s="2" t="str" cm="1">
        <f t="array" ref="M24">IFERROR(_xlfn.LET(
_xlpm.CSVVal,_xlfn.XLOOKUP($A24,CSV!$A:$A,CSV!Q:Q,""),
_xlpm.MacVal,_xlfn.XLOOKUP($A24,Output_Mac!$A:$A,Output_Mac!M:M,""),
_xlpm.MyAuditVal,_xlfn.XLOOKUP($A24,My_Audit!$A:$A,My_Audit!L:L,""),
_xlfn.IFS(_xlpm.MyAuditVal&lt;&gt;"",UPPER(_xlpm.MyAuditVal),_xlpm.MacVal&lt;&gt;"",_xlpm.MacVal,_xlpm.CSVVal&lt;&gt;"",_xlpm.CSVVal
)),"")</f>
        <v/>
      </c>
      <c r="O24" s="2" t="str">
        <f>_xlfn.LET(
    _xlpm.CSVVal, _xlfn.XLOOKUP($A24, CSV!$A:$A, CSV!AA:AA, ""),
    _xlpm.MacVal, _xlfn.XLOOKUP($A24, Output_Mac!$A:$A, Output_Mac!S:S, ""),
    _xlpm.MyAuditVal, _xlfn.XLOOKUP($A24, My_Audit!$A:$A, My_Audit!P:P, ""),
    _xlfn.TEXTJOIN(", ", TRUE, _xlpm.MyAuditVal, _xlpm.MacVal, _xlpm.CSVVal)
)</f>
        <v/>
      </c>
      <c r="P24" s="2" t="str" cm="1">
        <f t="array" ref="P24">IFERROR(_xlfn.LET(
_xlpm.CSVVal,_xlfn.XLOOKUP($A24,CSV!$A:$A,CSV!AB:AB,""),
_xlpm.MacVal,_xlfn.XLOOKUP($A24,Output_Mac!$A:$A,Output_Mac!T:T,""),
_xlpm.MyAuditVal,_xlfn.XLOOKUP($A24,My_Audit!$A:$A,My_Audit!Q:Q,""),
_xlfn.IFS(_xlpm.MyAuditVal&lt;&gt;"",UPPER(_xlpm.MyAuditVal),_xlpm.MacVal&lt;&gt;"",_xlpm.MacVal,_xlpm.CSVVal&lt;&gt;"",_xlpm.CSVVal
)),"No")</f>
        <v>No</v>
      </c>
      <c r="Q24" s="2" t="str" cm="1">
        <f t="array" ref="Q24">IFERROR(_xlfn.LET(
_xlpm.CSVVal,_xlfn.XLOOKUP($A24,CSV!$A:$A,CSV!AC:AC,""),
_xlpm.MacVal,_xlfn.XLOOKUP($A24,Output_Mac!$A:$A,Output_Mac!U:U,""),
_xlpm.MyAuditVal,_xlfn.XLOOKUP($A24,My_Audit!$A:$A,My_Audit!R:R,""),
_xlfn.IFS(_xlpm.MyAuditVal&lt;&gt;"",UPPER(_xlpm.MyAuditVal),_xlpm.MacVal&lt;&gt;"",_xlpm.MacVal,_xlpm.CSVVal&lt;&gt;"",_xlpm.CSVVal
)),"")</f>
        <v/>
      </c>
      <c r="X24" t="str">
        <f>_xlfn.LET(
    _xlpm.MacVal, _xlfn.XLOOKUP($A24, Output_Mac!$A:$A, Output_Mac!AB:AB, ""),
    _xlpm.MyAuditVal, _xlfn.XLOOKUP($A24, My_Audit!$A:$A, My_Audit!N:N, ""),
    _xlfn.TEXTJOIN(", ", TRUE, _xlpm.MyAuditVal, _xlpm.MacVal)
)</f>
        <v/>
      </c>
    </row>
    <row r="25" spans="1:24">
      <c r="A25" s="2" t="str">
        <f>_xlfn.TEXTJOIN("",TRUE,Input!$B$2,ROW(My_Audit!A24))</f>
        <v>X24</v>
      </c>
      <c r="B25" s="2" t="str">
        <f>_xlfn.TEXTJOIN("-",TRUE,"ITD",Input!$A$2,A25)</f>
        <v>ITD-SHR-X24</v>
      </c>
      <c r="C25" s="2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2" t="str" cm="1">
        <f t="array" ref="D25">IFERROR(_xlfn.LET(
_xlpm.CSVVal,_xlfn.XLOOKUP($A25,CSV!$A:$A,CSV!D:D,""),
_xlpm.MacVal,_xlfn.XLOOKUP($A25,Output_Mac!$A:$A,Output_Mac!C:C,""),
_xlpm.MyAuditVal,_xlfn.XLOOKUP($A25,My_Audit!$A:$A,My_Audit!C:C,""),
_xlfn.IFS(_xlpm.MyAuditVal&lt;&gt;"",_xlpm.MyAuditVal,_xlpm.MacVal&lt;&gt;"",_xlpm.MacVal,_xlpm.CSVVal&lt;&gt;"",_xlpm.CSVVal
)),"")</f>
        <v/>
      </c>
      <c r="E25" s="2">
        <f>_xlfn.XLOOKUP(A25,My_Audit!A:A,My_Audit!D:D,"")</f>
        <v>0</v>
      </c>
      <c r="F25" s="2" t="str" cm="1">
        <f t="array" ref="F25">IFERROR(_xlfn.LET(
_xlpm.CSVVal,_xlfn.XLOOKUP($A25,CSV!$A:$A,CSV!F:F,""),
_xlpm.MacVal,_xlfn.XLOOKUP($A25,Output_Mac!$A:$A,Output_Mac!E:E,""),
_xlpm.MyAuditVal,_xlfn.XLOOKUP($A25,My_Audit!$A:$A,My_Audit!E:E,""),
_xlfn.IFS(_xlpm.MyAuditVal&lt;&gt;"",_xlpm.MyAuditVal,_xlpm.MacVal&lt;&gt;"",_xlpm.MacVal,_xlpm.CSVVal&lt;&gt;"",_xlpm.CSVVal
)),"")</f>
        <v/>
      </c>
      <c r="G25" s="2" t="str" cm="1">
        <f t="array" ref="G25">IFERROR(_xlfn.LET(
_xlpm.CSVVal,_xlfn.XLOOKUP($A25,CSV!$A:$A,CSV!G:G,""),
_xlpm.MacVal,_xlfn.XLOOKUP($A25,Output_Mac!$A:$A,Output_Mac!F:F,""),
_xlpm.MyAuditVal,_xlfn.XLOOKUP($A25,My_Audit!$A:$A,My_Audit!F:F,""),
_xlfn.IFS(_xlpm.MyAuditVal&lt;&gt;"",_xlpm.MyAuditVal,_xlpm.MacVal&lt;&gt;"",_xlpm.MacVal,_xlpm.CSVVal&lt;&gt;"",PROPER(_xlpm.CSVVal)
)),"")</f>
        <v/>
      </c>
      <c r="H25" s="2" t="str" cm="1">
        <f t="array" ref="H25">IFERROR(_xlfn.LET(
_xlpm.CSVVal,_xlfn.XLOOKUP($A25,CSV!$A:$A,CSV!H:H,""),
_xlpm.MacVal,_xlfn.XLOOKUP($A25,Output_Mac!$A:$A,Output_Mac!H:H,""),
_xlpm.MyAuditVal,_xlfn.XLOOKUP($A25,My_Audit!$A:$A,My_Audit!G:G,""),
_xlfn.IFS(_xlpm.MyAuditVal&lt;&gt;"",_xlpm.MyAuditVal,_xlpm.MacVal&lt;&gt;"",_xlpm.MacVal,_xlpm.CSVVal&lt;&gt;"",_xlpm.CSVVal
)),"")</f>
        <v/>
      </c>
      <c r="I25" s="2" t="str">
        <f>_xlfn.XLOOKUP(A25,Output_Mac!A:A,Output_Mac!I:I,"")</f>
        <v/>
      </c>
      <c r="J25" s="2" t="str" cm="1">
        <f t="array" ref="J25">IFERROR(_xlfn.LET(
_xlpm.CSVVal,_xlfn.XLOOKUP($A25,CSV!$A:$A,CSV!I:I,""),
_xlpm.MacVal,_xlfn.XLOOKUP($A25,Output_Mac!$A:$A,Output_Mac!J:J,""),
_xlpm.MyAuditVal,_xlfn.XLOOKUP($A25,My_Audit!$A:$A,My_Audit!I:I,""),
_xlfn.IFS(_xlpm.MyAuditVal&lt;&gt;"",UPPER(_xlpm.MyAuditVal),_xlpm.MacVal&lt;&gt;"",_xlpm.MacVal,_xlpm.CSVVal&lt;&gt;"",_xlpm.CSVVal
)),"")</f>
        <v/>
      </c>
      <c r="K25" s="2" t="str" cm="1">
        <f t="array" ref="K25">IFERROR(_xlfn.LET(
_xlpm.CSVVal,_xlfn.XLOOKUP($A25,CSV!$A:$A,CSV!K:K,""),
_xlpm.MacVal,_xlfn.XLOOKUP($A25,Output_Mac!$A:$A,Output_Mac!K:K,""),
_xlpm.MyAuditVal,_xlfn.XLOOKUP($A25,My_Audit!$A:$A,My_Audit!J:J,""),
_xlfn.IFS(_xlpm.MyAuditVal&lt;&gt;"",UPPER(_xlpm.MyAuditVal),_xlpm.MacVal&lt;&gt;"",_xlpm.MacVal,_xlpm.CSVVal&lt;&gt;"",_xlpm.CSVVal
)),"")</f>
        <v/>
      </c>
      <c r="L25" s="2" t="str" cm="1">
        <f t="array" ref="L25">IFERROR(_xlfn.LET(
_xlpm.CSVVal,_xlfn.XLOOKUP($A25,CSV!$A:$A,CSV!P:P,""),
_xlpm.MacVal,_xlfn.XLOOKUP($A25,Output_Mac!$A:$A,Output_Mac!L:L,""),
_xlpm.MyAuditVal,_xlfn.XLOOKUP($A25,My_Audit!$A:$A,My_Audit!K:K,""),
_xlfn.IFS(_xlpm.MyAuditVal&lt;&gt;"",UPPER(_xlpm.MyAuditVal),_xlpm.MacVal&lt;&gt;"",_xlpm.MacVal,_xlpm.CSVVal&lt;&gt;"",_xlpm.CSVVal
)),"")</f>
        <v/>
      </c>
      <c r="M25" s="2" t="str" cm="1">
        <f t="array" ref="M25">IFERROR(_xlfn.LET(
_xlpm.CSVVal,_xlfn.XLOOKUP($A25,CSV!$A:$A,CSV!Q:Q,""),
_xlpm.MacVal,_xlfn.XLOOKUP($A25,Output_Mac!$A:$A,Output_Mac!M:M,""),
_xlpm.MyAuditVal,_xlfn.XLOOKUP($A25,My_Audit!$A:$A,My_Audit!L:L,""),
_xlfn.IFS(_xlpm.MyAuditVal&lt;&gt;"",UPPER(_xlpm.MyAuditVal),_xlpm.MacVal&lt;&gt;"",_xlpm.MacVal,_xlpm.CSVVal&lt;&gt;"",_xlpm.CSVVal
)),"")</f>
        <v/>
      </c>
      <c r="O25" s="2" t="str">
        <f>_xlfn.LET(
    _xlpm.CSVVal, _xlfn.XLOOKUP($A25, CSV!$A:$A, CSV!AA:AA, ""),
    _xlpm.MacVal, _xlfn.XLOOKUP($A25, Output_Mac!$A:$A, Output_Mac!S:S, ""),
    _xlpm.MyAuditVal, _xlfn.XLOOKUP($A25, My_Audit!$A:$A, My_Audit!P:P, ""),
    _xlfn.TEXTJOIN(", ", TRUE, _xlpm.MyAuditVal, _xlpm.MacVal, _xlpm.CSVVal)
)</f>
        <v/>
      </c>
      <c r="P25" s="2" t="str" cm="1">
        <f t="array" ref="P25">IFERROR(_xlfn.LET(
_xlpm.CSVVal,_xlfn.XLOOKUP($A25,CSV!$A:$A,CSV!AB:AB,""),
_xlpm.MacVal,_xlfn.XLOOKUP($A25,Output_Mac!$A:$A,Output_Mac!T:T,""),
_xlpm.MyAuditVal,_xlfn.XLOOKUP($A25,My_Audit!$A:$A,My_Audit!Q:Q,""),
_xlfn.IFS(_xlpm.MyAuditVal&lt;&gt;"",UPPER(_xlpm.MyAuditVal),_xlpm.MacVal&lt;&gt;"",_xlpm.MacVal,_xlpm.CSVVal&lt;&gt;"",_xlpm.CSVVal
)),"No")</f>
        <v>No</v>
      </c>
      <c r="Q25" s="2" t="str" cm="1">
        <f t="array" ref="Q25">IFERROR(_xlfn.LET(
_xlpm.CSVVal,_xlfn.XLOOKUP($A25,CSV!$A:$A,CSV!AC:AC,""),
_xlpm.MacVal,_xlfn.XLOOKUP($A25,Output_Mac!$A:$A,Output_Mac!U:U,""),
_xlpm.MyAuditVal,_xlfn.XLOOKUP($A25,My_Audit!$A:$A,My_Audit!R:R,""),
_xlfn.IFS(_xlpm.MyAuditVal&lt;&gt;"",UPPER(_xlpm.MyAuditVal),_xlpm.MacVal&lt;&gt;"",_xlpm.MacVal,_xlpm.CSVVal&lt;&gt;"",_xlpm.CSVVal
)),"")</f>
        <v/>
      </c>
      <c r="X25" t="str">
        <f>_xlfn.LET(
    _xlpm.MacVal, _xlfn.XLOOKUP($A25, Output_Mac!$A:$A, Output_Mac!AB:AB, ""),
    _xlpm.MyAuditVal, _xlfn.XLOOKUP($A25, My_Audit!$A:$A, My_Audit!N:N, ""),
    _xlfn.TEXTJOIN(", ", TRUE, _xlpm.MyAuditVal, _xlpm.MacVal)
)</f>
        <v/>
      </c>
    </row>
    <row r="26" spans="1:24">
      <c r="A26" s="2" t="str">
        <f>_xlfn.TEXTJOIN("",TRUE,Input!$B$2,ROW(My_Audit!A25))</f>
        <v>X25</v>
      </c>
      <c r="B26" s="2" t="str">
        <f>_xlfn.TEXTJOIN("-",TRUE,"ITD",Input!$A$2,A26)</f>
        <v>ITD-SHR-X25</v>
      </c>
      <c r="C26" s="2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2" t="str" cm="1">
        <f t="array" ref="D26">IFERROR(_xlfn.LET(
_xlpm.CSVVal,_xlfn.XLOOKUP($A26,CSV!$A:$A,CSV!D:D,""),
_xlpm.MacVal,_xlfn.XLOOKUP($A26,Output_Mac!$A:$A,Output_Mac!C:C,""),
_xlpm.MyAuditVal,_xlfn.XLOOKUP($A26,My_Audit!$A:$A,My_Audit!C:C,""),
_xlfn.IFS(_xlpm.MyAuditVal&lt;&gt;"",_xlpm.MyAuditVal,_xlpm.MacVal&lt;&gt;"",_xlpm.MacVal,_xlpm.CSVVal&lt;&gt;"",_xlpm.CSVVal
)),"")</f>
        <v/>
      </c>
      <c r="E26" s="2">
        <f>_xlfn.XLOOKUP(A26,My_Audit!A:A,My_Audit!D:D,"")</f>
        <v>0</v>
      </c>
      <c r="F26" s="2" t="str" cm="1">
        <f t="array" ref="F26">IFERROR(_xlfn.LET(
_xlpm.CSVVal,_xlfn.XLOOKUP($A26,CSV!$A:$A,CSV!F:F,""),
_xlpm.MacVal,_xlfn.XLOOKUP($A26,Output_Mac!$A:$A,Output_Mac!E:E,""),
_xlpm.MyAuditVal,_xlfn.XLOOKUP($A26,My_Audit!$A:$A,My_Audit!E:E,""),
_xlfn.IFS(_xlpm.MyAuditVal&lt;&gt;"",_xlpm.MyAuditVal,_xlpm.MacVal&lt;&gt;"",_xlpm.MacVal,_xlpm.CSVVal&lt;&gt;"",_xlpm.CSVVal
)),"")</f>
        <v/>
      </c>
      <c r="G26" s="2" t="str" cm="1">
        <f t="array" ref="G26">IFERROR(_xlfn.LET(
_xlpm.CSVVal,_xlfn.XLOOKUP($A26,CSV!$A:$A,CSV!G:G,""),
_xlpm.MacVal,_xlfn.XLOOKUP($A26,Output_Mac!$A:$A,Output_Mac!F:F,""),
_xlpm.MyAuditVal,_xlfn.XLOOKUP($A26,My_Audit!$A:$A,My_Audit!F:F,""),
_xlfn.IFS(_xlpm.MyAuditVal&lt;&gt;"",_xlpm.MyAuditVal,_xlpm.MacVal&lt;&gt;"",_xlpm.MacVal,_xlpm.CSVVal&lt;&gt;"",PROPER(_xlpm.CSVVal)
)),"")</f>
        <v/>
      </c>
      <c r="H26" s="2" t="str" cm="1">
        <f t="array" ref="H26">IFERROR(_xlfn.LET(
_xlpm.CSVVal,_xlfn.XLOOKUP($A26,CSV!$A:$A,CSV!H:H,""),
_xlpm.MacVal,_xlfn.XLOOKUP($A26,Output_Mac!$A:$A,Output_Mac!H:H,""),
_xlpm.MyAuditVal,_xlfn.XLOOKUP($A26,My_Audit!$A:$A,My_Audit!G:G,""),
_xlfn.IFS(_xlpm.MyAuditVal&lt;&gt;"",_xlpm.MyAuditVal,_xlpm.MacVal&lt;&gt;"",_xlpm.MacVal,_xlpm.CSVVal&lt;&gt;"",_xlpm.CSVVal
)),"")</f>
        <v/>
      </c>
      <c r="I26" s="2" t="str">
        <f>_xlfn.XLOOKUP(A26,Output_Mac!A:A,Output_Mac!I:I,"")</f>
        <v/>
      </c>
      <c r="J26" s="2" t="str" cm="1">
        <f t="array" ref="J26">IFERROR(_xlfn.LET(
_xlpm.CSVVal,_xlfn.XLOOKUP($A26,CSV!$A:$A,CSV!I:I,""),
_xlpm.MacVal,_xlfn.XLOOKUP($A26,Output_Mac!$A:$A,Output_Mac!J:J,""),
_xlpm.MyAuditVal,_xlfn.XLOOKUP($A26,My_Audit!$A:$A,My_Audit!I:I,""),
_xlfn.IFS(_xlpm.MyAuditVal&lt;&gt;"",UPPER(_xlpm.MyAuditVal),_xlpm.MacVal&lt;&gt;"",_xlpm.MacVal,_xlpm.CSVVal&lt;&gt;"",_xlpm.CSVVal
)),"")</f>
        <v/>
      </c>
      <c r="K26" s="2" t="str" cm="1">
        <f t="array" ref="K26">IFERROR(_xlfn.LET(
_xlpm.CSVVal,_xlfn.XLOOKUP($A26,CSV!$A:$A,CSV!K:K,""),
_xlpm.MacVal,_xlfn.XLOOKUP($A26,Output_Mac!$A:$A,Output_Mac!K:K,""),
_xlpm.MyAuditVal,_xlfn.XLOOKUP($A26,My_Audit!$A:$A,My_Audit!J:J,""),
_xlfn.IFS(_xlpm.MyAuditVal&lt;&gt;"",UPPER(_xlpm.MyAuditVal),_xlpm.MacVal&lt;&gt;"",_xlpm.MacVal,_xlpm.CSVVal&lt;&gt;"",_xlpm.CSVVal
)),"")</f>
        <v/>
      </c>
      <c r="L26" s="2" t="str" cm="1">
        <f t="array" ref="L26">IFERROR(_xlfn.LET(
_xlpm.CSVVal,_xlfn.XLOOKUP($A26,CSV!$A:$A,CSV!P:P,""),
_xlpm.MacVal,_xlfn.XLOOKUP($A26,Output_Mac!$A:$A,Output_Mac!L:L,""),
_xlpm.MyAuditVal,_xlfn.XLOOKUP($A26,My_Audit!$A:$A,My_Audit!K:K,""),
_xlfn.IFS(_xlpm.MyAuditVal&lt;&gt;"",UPPER(_xlpm.MyAuditVal),_xlpm.MacVal&lt;&gt;"",_xlpm.MacVal,_xlpm.CSVVal&lt;&gt;"",_xlpm.CSVVal
)),"")</f>
        <v/>
      </c>
      <c r="M26" s="2" t="str" cm="1">
        <f t="array" ref="M26">IFERROR(_xlfn.LET(
_xlpm.CSVVal,_xlfn.XLOOKUP($A26,CSV!$A:$A,CSV!Q:Q,""),
_xlpm.MacVal,_xlfn.XLOOKUP($A26,Output_Mac!$A:$A,Output_Mac!M:M,""),
_xlpm.MyAuditVal,_xlfn.XLOOKUP($A26,My_Audit!$A:$A,My_Audit!L:L,""),
_xlfn.IFS(_xlpm.MyAuditVal&lt;&gt;"",UPPER(_xlpm.MyAuditVal),_xlpm.MacVal&lt;&gt;"",_xlpm.MacVal,_xlpm.CSVVal&lt;&gt;"",_xlpm.CSVVal
)),"")</f>
        <v/>
      </c>
      <c r="O26" s="2" t="str">
        <f>_xlfn.LET(
    _xlpm.CSVVal, _xlfn.XLOOKUP($A26, CSV!$A:$A, CSV!AA:AA, ""),
    _xlpm.MacVal, _xlfn.XLOOKUP($A26, Output_Mac!$A:$A, Output_Mac!S:S, ""),
    _xlpm.MyAuditVal, _xlfn.XLOOKUP($A26, My_Audit!$A:$A, My_Audit!P:P, ""),
    _xlfn.TEXTJOIN(", ", TRUE, _xlpm.MyAuditVal, _xlpm.MacVal, _xlpm.CSVVal)
)</f>
        <v/>
      </c>
      <c r="P26" s="2" t="str" cm="1">
        <f t="array" ref="P26">IFERROR(_xlfn.LET(
_xlpm.CSVVal,_xlfn.XLOOKUP($A26,CSV!$A:$A,CSV!AB:AB,""),
_xlpm.MacVal,_xlfn.XLOOKUP($A26,Output_Mac!$A:$A,Output_Mac!T:T,""),
_xlpm.MyAuditVal,_xlfn.XLOOKUP($A26,My_Audit!$A:$A,My_Audit!Q:Q,""),
_xlfn.IFS(_xlpm.MyAuditVal&lt;&gt;"",UPPER(_xlpm.MyAuditVal),_xlpm.MacVal&lt;&gt;"",_xlpm.MacVal,_xlpm.CSVVal&lt;&gt;"",_xlpm.CSVVal
)),"No")</f>
        <v>No</v>
      </c>
      <c r="Q26" s="2" t="str" cm="1">
        <f t="array" ref="Q26">IFERROR(_xlfn.LET(
_xlpm.CSVVal,_xlfn.XLOOKUP($A26,CSV!$A:$A,CSV!AC:AC,""),
_xlpm.MacVal,_xlfn.XLOOKUP($A26,Output_Mac!$A:$A,Output_Mac!U:U,""),
_xlpm.MyAuditVal,_xlfn.XLOOKUP($A26,My_Audit!$A:$A,My_Audit!R:R,""),
_xlfn.IFS(_xlpm.MyAuditVal&lt;&gt;"",UPPER(_xlpm.MyAuditVal),_xlpm.MacVal&lt;&gt;"",_xlpm.MacVal,_xlpm.CSVVal&lt;&gt;"",_xlpm.CSVVal
)),"")</f>
        <v/>
      </c>
      <c r="X26" t="str">
        <f>_xlfn.LET(
    _xlpm.MacVal, _xlfn.XLOOKUP($A26, Output_Mac!$A:$A, Output_Mac!AB:AB, ""),
    _xlpm.MyAuditVal, _xlfn.XLOOKUP($A26, My_Audit!$A:$A, My_Audit!N:N, ""),
    _xlfn.TEXTJOIN(", ", TRUE, _xlpm.MyAuditVal, _xlpm.MacVal)
)</f>
        <v/>
      </c>
    </row>
    <row r="27" spans="1:24">
      <c r="A27" s="2" t="str">
        <f>_xlfn.TEXTJOIN("",TRUE,Input!$B$2,ROW(My_Audit!A26))</f>
        <v>X26</v>
      </c>
      <c r="B27" s="2" t="str">
        <f>_xlfn.TEXTJOIN("-",TRUE,"ITD",Input!$A$2,A27)</f>
        <v>ITD-SHR-X26</v>
      </c>
      <c r="C27" s="2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2" t="str" cm="1">
        <f t="array" ref="D27">IFERROR(_xlfn.LET(
_xlpm.CSVVal,_xlfn.XLOOKUP($A27,CSV!$A:$A,CSV!D:D,""),
_xlpm.MacVal,_xlfn.XLOOKUP($A27,Output_Mac!$A:$A,Output_Mac!C:C,""),
_xlpm.MyAuditVal,_xlfn.XLOOKUP($A27,My_Audit!$A:$A,My_Audit!C:C,""),
_xlfn.IFS(_xlpm.MyAuditVal&lt;&gt;"",_xlpm.MyAuditVal,_xlpm.MacVal&lt;&gt;"",_xlpm.MacVal,_xlpm.CSVVal&lt;&gt;"",_xlpm.CSVVal
)),"")</f>
        <v/>
      </c>
      <c r="E27" s="2">
        <f>_xlfn.XLOOKUP(A27,My_Audit!A:A,My_Audit!D:D,"")</f>
        <v>0</v>
      </c>
      <c r="F27" s="2" t="str" cm="1">
        <f t="array" ref="F27">IFERROR(_xlfn.LET(
_xlpm.CSVVal,_xlfn.XLOOKUP($A27,CSV!$A:$A,CSV!F:F,""),
_xlpm.MacVal,_xlfn.XLOOKUP($A27,Output_Mac!$A:$A,Output_Mac!E:E,""),
_xlpm.MyAuditVal,_xlfn.XLOOKUP($A27,My_Audit!$A:$A,My_Audit!E:E,""),
_xlfn.IFS(_xlpm.MyAuditVal&lt;&gt;"",_xlpm.MyAuditVal,_xlpm.MacVal&lt;&gt;"",_xlpm.MacVal,_xlpm.CSVVal&lt;&gt;"",_xlpm.CSVVal
)),"")</f>
        <v/>
      </c>
      <c r="G27" s="2" t="str" cm="1">
        <f t="array" ref="G27">IFERROR(_xlfn.LET(
_xlpm.CSVVal,_xlfn.XLOOKUP($A27,CSV!$A:$A,CSV!G:G,""),
_xlpm.MacVal,_xlfn.XLOOKUP($A27,Output_Mac!$A:$A,Output_Mac!F:F,""),
_xlpm.MyAuditVal,_xlfn.XLOOKUP($A27,My_Audit!$A:$A,My_Audit!F:F,""),
_xlfn.IFS(_xlpm.MyAuditVal&lt;&gt;"",_xlpm.MyAuditVal,_xlpm.MacVal&lt;&gt;"",_xlpm.MacVal,_xlpm.CSVVal&lt;&gt;"",PROPER(_xlpm.CSVVal)
)),"")</f>
        <v/>
      </c>
      <c r="H27" s="2" t="str" cm="1">
        <f t="array" ref="H27">IFERROR(_xlfn.LET(
_xlpm.CSVVal,_xlfn.XLOOKUP($A27,CSV!$A:$A,CSV!H:H,""),
_xlpm.MacVal,_xlfn.XLOOKUP($A27,Output_Mac!$A:$A,Output_Mac!H:H,""),
_xlpm.MyAuditVal,_xlfn.XLOOKUP($A27,My_Audit!$A:$A,My_Audit!G:G,""),
_xlfn.IFS(_xlpm.MyAuditVal&lt;&gt;"",_xlpm.MyAuditVal,_xlpm.MacVal&lt;&gt;"",_xlpm.MacVal,_xlpm.CSVVal&lt;&gt;"",_xlpm.CSVVal
)),"")</f>
        <v/>
      </c>
      <c r="I27" s="2" t="str">
        <f>_xlfn.XLOOKUP(A27,Output_Mac!A:A,Output_Mac!I:I,"")</f>
        <v/>
      </c>
      <c r="J27" s="2" t="str" cm="1">
        <f t="array" ref="J27">IFERROR(_xlfn.LET(
_xlpm.CSVVal,_xlfn.XLOOKUP($A27,CSV!$A:$A,CSV!I:I,""),
_xlpm.MacVal,_xlfn.XLOOKUP($A27,Output_Mac!$A:$A,Output_Mac!J:J,""),
_xlpm.MyAuditVal,_xlfn.XLOOKUP($A27,My_Audit!$A:$A,My_Audit!I:I,""),
_xlfn.IFS(_xlpm.MyAuditVal&lt;&gt;"",UPPER(_xlpm.MyAuditVal),_xlpm.MacVal&lt;&gt;"",_xlpm.MacVal,_xlpm.CSVVal&lt;&gt;"",_xlpm.CSVVal
)),"")</f>
        <v/>
      </c>
      <c r="K27" s="2" t="str" cm="1">
        <f t="array" ref="K27">IFERROR(_xlfn.LET(
_xlpm.CSVVal,_xlfn.XLOOKUP($A27,CSV!$A:$A,CSV!K:K,""),
_xlpm.MacVal,_xlfn.XLOOKUP($A27,Output_Mac!$A:$A,Output_Mac!K:K,""),
_xlpm.MyAuditVal,_xlfn.XLOOKUP($A27,My_Audit!$A:$A,My_Audit!J:J,""),
_xlfn.IFS(_xlpm.MyAuditVal&lt;&gt;"",UPPER(_xlpm.MyAuditVal),_xlpm.MacVal&lt;&gt;"",_xlpm.MacVal,_xlpm.CSVVal&lt;&gt;"",_xlpm.CSVVal
)),"")</f>
        <v/>
      </c>
      <c r="L27" s="2" t="str" cm="1">
        <f t="array" ref="L27">IFERROR(_xlfn.LET(
_xlpm.CSVVal,_xlfn.XLOOKUP($A27,CSV!$A:$A,CSV!P:P,""),
_xlpm.MacVal,_xlfn.XLOOKUP($A27,Output_Mac!$A:$A,Output_Mac!L:L,""),
_xlpm.MyAuditVal,_xlfn.XLOOKUP($A27,My_Audit!$A:$A,My_Audit!K:K,""),
_xlfn.IFS(_xlpm.MyAuditVal&lt;&gt;"",UPPER(_xlpm.MyAuditVal),_xlpm.MacVal&lt;&gt;"",_xlpm.MacVal,_xlpm.CSVVal&lt;&gt;"",_xlpm.CSVVal
)),"")</f>
        <v/>
      </c>
      <c r="M27" s="2" t="str" cm="1">
        <f t="array" ref="M27">IFERROR(_xlfn.LET(
_xlpm.CSVVal,_xlfn.XLOOKUP($A27,CSV!$A:$A,CSV!Q:Q,""),
_xlpm.MacVal,_xlfn.XLOOKUP($A27,Output_Mac!$A:$A,Output_Mac!M:M,""),
_xlpm.MyAuditVal,_xlfn.XLOOKUP($A27,My_Audit!$A:$A,My_Audit!L:L,""),
_xlfn.IFS(_xlpm.MyAuditVal&lt;&gt;"",UPPER(_xlpm.MyAuditVal),_xlpm.MacVal&lt;&gt;"",_xlpm.MacVal,_xlpm.CSVVal&lt;&gt;"",_xlpm.CSVVal
)),"")</f>
        <v/>
      </c>
      <c r="O27" s="2" t="str">
        <f>_xlfn.LET(
    _xlpm.CSVVal, _xlfn.XLOOKUP($A27, CSV!$A:$A, CSV!AA:AA, ""),
    _xlpm.MacVal, _xlfn.XLOOKUP($A27, Output_Mac!$A:$A, Output_Mac!S:S, ""),
    _xlpm.MyAuditVal, _xlfn.XLOOKUP($A27, My_Audit!$A:$A, My_Audit!P:P, ""),
    _xlfn.TEXTJOIN(", ", TRUE, _xlpm.MyAuditVal, _xlpm.MacVal, _xlpm.CSVVal)
)</f>
        <v/>
      </c>
      <c r="P27" s="2" t="str" cm="1">
        <f t="array" ref="P27">IFERROR(_xlfn.LET(
_xlpm.CSVVal,_xlfn.XLOOKUP($A27,CSV!$A:$A,CSV!AB:AB,""),
_xlpm.MacVal,_xlfn.XLOOKUP($A27,Output_Mac!$A:$A,Output_Mac!T:T,""),
_xlpm.MyAuditVal,_xlfn.XLOOKUP($A27,My_Audit!$A:$A,My_Audit!Q:Q,""),
_xlfn.IFS(_xlpm.MyAuditVal&lt;&gt;"",UPPER(_xlpm.MyAuditVal),_xlpm.MacVal&lt;&gt;"",_xlpm.MacVal,_xlpm.CSVVal&lt;&gt;"",_xlpm.CSVVal
)),"No")</f>
        <v>No</v>
      </c>
      <c r="Q27" s="2" t="str" cm="1">
        <f t="array" ref="Q27">IFERROR(_xlfn.LET(
_xlpm.CSVVal,_xlfn.XLOOKUP($A27,CSV!$A:$A,CSV!AC:AC,""),
_xlpm.MacVal,_xlfn.XLOOKUP($A27,Output_Mac!$A:$A,Output_Mac!U:U,""),
_xlpm.MyAuditVal,_xlfn.XLOOKUP($A27,My_Audit!$A:$A,My_Audit!R:R,""),
_xlfn.IFS(_xlpm.MyAuditVal&lt;&gt;"",UPPER(_xlpm.MyAuditVal),_xlpm.MacVal&lt;&gt;"",_xlpm.MacVal,_xlpm.CSVVal&lt;&gt;"",_xlpm.CSVVal
)),"")</f>
        <v/>
      </c>
      <c r="X27" t="str">
        <f>_xlfn.LET(
    _xlpm.MacVal, _xlfn.XLOOKUP($A27, Output_Mac!$A:$A, Output_Mac!AB:AB, ""),
    _xlpm.MyAuditVal, _xlfn.XLOOKUP($A27, My_Audit!$A:$A, My_Audit!N:N, ""),
    _xlfn.TEXTJOIN(", ", TRUE, _xlpm.MyAuditVal, _xlpm.MacVal)
)</f>
        <v/>
      </c>
    </row>
    <row r="28" spans="1:24">
      <c r="A28" s="2" t="str">
        <f>_xlfn.TEXTJOIN("",TRUE,Input!$B$2,ROW(My_Audit!A27))</f>
        <v>X27</v>
      </c>
      <c r="B28" s="2" t="str">
        <f>_xlfn.TEXTJOIN("-",TRUE,"ITD",Input!$A$2,A28)</f>
        <v>ITD-SHR-X27</v>
      </c>
      <c r="C28" s="2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2" t="str" cm="1">
        <f t="array" ref="D28">IFERROR(_xlfn.LET(
_xlpm.CSVVal,_xlfn.XLOOKUP($A28,CSV!$A:$A,CSV!D:D,""),
_xlpm.MacVal,_xlfn.XLOOKUP($A28,Output_Mac!$A:$A,Output_Mac!C:C,""),
_xlpm.MyAuditVal,_xlfn.XLOOKUP($A28,My_Audit!$A:$A,My_Audit!C:C,""),
_xlfn.IFS(_xlpm.MyAuditVal&lt;&gt;"",_xlpm.MyAuditVal,_xlpm.MacVal&lt;&gt;"",_xlpm.MacVal,_xlpm.CSVVal&lt;&gt;"",_xlpm.CSVVal
)),"")</f>
        <v/>
      </c>
      <c r="E28" s="2">
        <f>_xlfn.XLOOKUP(A28,My_Audit!A:A,My_Audit!D:D,"")</f>
        <v>0</v>
      </c>
      <c r="F28" s="2" t="str" cm="1">
        <f t="array" ref="F28">IFERROR(_xlfn.LET(
_xlpm.CSVVal,_xlfn.XLOOKUP($A28,CSV!$A:$A,CSV!F:F,""),
_xlpm.MacVal,_xlfn.XLOOKUP($A28,Output_Mac!$A:$A,Output_Mac!E:E,""),
_xlpm.MyAuditVal,_xlfn.XLOOKUP($A28,My_Audit!$A:$A,My_Audit!E:E,""),
_xlfn.IFS(_xlpm.MyAuditVal&lt;&gt;"",_xlpm.MyAuditVal,_xlpm.MacVal&lt;&gt;"",_xlpm.MacVal,_xlpm.CSVVal&lt;&gt;"",_xlpm.CSVVal
)),"")</f>
        <v/>
      </c>
      <c r="G28" s="2" t="str" cm="1">
        <f t="array" ref="G28">IFERROR(_xlfn.LET(
_xlpm.CSVVal,_xlfn.XLOOKUP($A28,CSV!$A:$A,CSV!G:G,""),
_xlpm.MacVal,_xlfn.XLOOKUP($A28,Output_Mac!$A:$A,Output_Mac!F:F,""),
_xlpm.MyAuditVal,_xlfn.XLOOKUP($A28,My_Audit!$A:$A,My_Audit!F:F,""),
_xlfn.IFS(_xlpm.MyAuditVal&lt;&gt;"",_xlpm.MyAuditVal,_xlpm.MacVal&lt;&gt;"",_xlpm.MacVal,_xlpm.CSVVal&lt;&gt;"",PROPER(_xlpm.CSVVal)
)),"")</f>
        <v/>
      </c>
      <c r="H28" s="2" t="str" cm="1">
        <f t="array" ref="H28">IFERROR(_xlfn.LET(
_xlpm.CSVVal,_xlfn.XLOOKUP($A28,CSV!$A:$A,CSV!H:H,""),
_xlpm.MacVal,_xlfn.XLOOKUP($A28,Output_Mac!$A:$A,Output_Mac!H:H,""),
_xlpm.MyAuditVal,_xlfn.XLOOKUP($A28,My_Audit!$A:$A,My_Audit!G:G,""),
_xlfn.IFS(_xlpm.MyAuditVal&lt;&gt;"",_xlpm.MyAuditVal,_xlpm.MacVal&lt;&gt;"",_xlpm.MacVal,_xlpm.CSVVal&lt;&gt;"",_xlpm.CSVVal
)),"")</f>
        <v/>
      </c>
      <c r="I28" s="2" t="str">
        <f>_xlfn.XLOOKUP(A28,Output_Mac!A:A,Output_Mac!I:I,"")</f>
        <v/>
      </c>
      <c r="J28" s="2" t="str" cm="1">
        <f t="array" ref="J28">IFERROR(_xlfn.LET(
_xlpm.CSVVal,_xlfn.XLOOKUP($A28,CSV!$A:$A,CSV!I:I,""),
_xlpm.MacVal,_xlfn.XLOOKUP($A28,Output_Mac!$A:$A,Output_Mac!J:J,""),
_xlpm.MyAuditVal,_xlfn.XLOOKUP($A28,My_Audit!$A:$A,My_Audit!I:I,""),
_xlfn.IFS(_xlpm.MyAuditVal&lt;&gt;"",UPPER(_xlpm.MyAuditVal),_xlpm.MacVal&lt;&gt;"",_xlpm.MacVal,_xlpm.CSVVal&lt;&gt;"",_xlpm.CSVVal
)),"")</f>
        <v/>
      </c>
      <c r="K28" s="2" t="str" cm="1">
        <f t="array" ref="K28">IFERROR(_xlfn.LET(
_xlpm.CSVVal,_xlfn.XLOOKUP($A28,CSV!$A:$A,CSV!K:K,""),
_xlpm.MacVal,_xlfn.XLOOKUP($A28,Output_Mac!$A:$A,Output_Mac!K:K,""),
_xlpm.MyAuditVal,_xlfn.XLOOKUP($A28,My_Audit!$A:$A,My_Audit!J:J,""),
_xlfn.IFS(_xlpm.MyAuditVal&lt;&gt;"",UPPER(_xlpm.MyAuditVal),_xlpm.MacVal&lt;&gt;"",_xlpm.MacVal,_xlpm.CSVVal&lt;&gt;"",_xlpm.CSVVal
)),"")</f>
        <v/>
      </c>
      <c r="L28" s="2" t="str" cm="1">
        <f t="array" ref="L28">IFERROR(_xlfn.LET(
_xlpm.CSVVal,_xlfn.XLOOKUP($A28,CSV!$A:$A,CSV!P:P,""),
_xlpm.MacVal,_xlfn.XLOOKUP($A28,Output_Mac!$A:$A,Output_Mac!L:L,""),
_xlpm.MyAuditVal,_xlfn.XLOOKUP($A28,My_Audit!$A:$A,My_Audit!K:K,""),
_xlfn.IFS(_xlpm.MyAuditVal&lt;&gt;"",UPPER(_xlpm.MyAuditVal),_xlpm.MacVal&lt;&gt;"",_xlpm.MacVal,_xlpm.CSVVal&lt;&gt;"",_xlpm.CSVVal
)),"")</f>
        <v/>
      </c>
      <c r="M28" s="2" t="str" cm="1">
        <f t="array" ref="M28">IFERROR(_xlfn.LET(
_xlpm.CSVVal,_xlfn.XLOOKUP($A28,CSV!$A:$A,CSV!Q:Q,""),
_xlpm.MacVal,_xlfn.XLOOKUP($A28,Output_Mac!$A:$A,Output_Mac!M:M,""),
_xlpm.MyAuditVal,_xlfn.XLOOKUP($A28,My_Audit!$A:$A,My_Audit!L:L,""),
_xlfn.IFS(_xlpm.MyAuditVal&lt;&gt;"",UPPER(_xlpm.MyAuditVal),_xlpm.MacVal&lt;&gt;"",_xlpm.MacVal,_xlpm.CSVVal&lt;&gt;"",_xlpm.CSVVal
)),"")</f>
        <v/>
      </c>
      <c r="O28" s="2" t="str">
        <f>_xlfn.LET(
    _xlpm.CSVVal, _xlfn.XLOOKUP($A28, CSV!$A:$A, CSV!AA:AA, ""),
    _xlpm.MacVal, _xlfn.XLOOKUP($A28, Output_Mac!$A:$A, Output_Mac!S:S, ""),
    _xlpm.MyAuditVal, _xlfn.XLOOKUP($A28, My_Audit!$A:$A, My_Audit!P:P, ""),
    _xlfn.TEXTJOIN(", ", TRUE, _xlpm.MyAuditVal, _xlpm.MacVal, _xlpm.CSVVal)
)</f>
        <v/>
      </c>
      <c r="P28" s="2" t="str" cm="1">
        <f t="array" ref="P28">IFERROR(_xlfn.LET(
_xlpm.CSVVal,_xlfn.XLOOKUP($A28,CSV!$A:$A,CSV!AB:AB,""),
_xlpm.MacVal,_xlfn.XLOOKUP($A28,Output_Mac!$A:$A,Output_Mac!T:T,""),
_xlpm.MyAuditVal,_xlfn.XLOOKUP($A28,My_Audit!$A:$A,My_Audit!Q:Q,""),
_xlfn.IFS(_xlpm.MyAuditVal&lt;&gt;"",UPPER(_xlpm.MyAuditVal),_xlpm.MacVal&lt;&gt;"",_xlpm.MacVal,_xlpm.CSVVal&lt;&gt;"",_xlpm.CSVVal
)),"No")</f>
        <v>No</v>
      </c>
      <c r="Q28" s="2" t="str" cm="1">
        <f t="array" ref="Q28">IFERROR(_xlfn.LET(
_xlpm.CSVVal,_xlfn.XLOOKUP($A28,CSV!$A:$A,CSV!AC:AC,""),
_xlpm.MacVal,_xlfn.XLOOKUP($A28,Output_Mac!$A:$A,Output_Mac!U:U,""),
_xlpm.MyAuditVal,_xlfn.XLOOKUP($A28,My_Audit!$A:$A,My_Audit!R:R,""),
_xlfn.IFS(_xlpm.MyAuditVal&lt;&gt;"",UPPER(_xlpm.MyAuditVal),_xlpm.MacVal&lt;&gt;"",_xlpm.MacVal,_xlpm.CSVVal&lt;&gt;"",_xlpm.CSVVal
)),"")</f>
        <v/>
      </c>
      <c r="X28" t="str">
        <f>_xlfn.LET(
    _xlpm.MacVal, _xlfn.XLOOKUP($A28, Output_Mac!$A:$A, Output_Mac!AB:AB, ""),
    _xlpm.MyAuditVal, _xlfn.XLOOKUP($A28, My_Audit!$A:$A, My_Audit!N:N, ""),
    _xlfn.TEXTJOIN(", ", TRUE, _xlpm.MyAuditVal, _xlpm.MacVal)
)</f>
        <v/>
      </c>
    </row>
    <row r="29" spans="1:24">
      <c r="A29" s="2" t="str">
        <f>_xlfn.TEXTJOIN("",TRUE,Input!$B$2,ROW(My_Audit!A28))</f>
        <v>X28</v>
      </c>
      <c r="B29" s="2" t="str">
        <f>_xlfn.TEXTJOIN("-",TRUE,"ITD",Input!$A$2,A29)</f>
        <v>ITD-SHR-X28</v>
      </c>
      <c r="C29" s="2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2" t="str" cm="1">
        <f t="array" ref="D29">IFERROR(_xlfn.LET(
_xlpm.CSVVal,_xlfn.XLOOKUP($A29,CSV!$A:$A,CSV!D:D,""),
_xlpm.MacVal,_xlfn.XLOOKUP($A29,Output_Mac!$A:$A,Output_Mac!C:C,""),
_xlpm.MyAuditVal,_xlfn.XLOOKUP($A29,My_Audit!$A:$A,My_Audit!C:C,""),
_xlfn.IFS(_xlpm.MyAuditVal&lt;&gt;"",_xlpm.MyAuditVal,_xlpm.MacVal&lt;&gt;"",_xlpm.MacVal,_xlpm.CSVVal&lt;&gt;"",_xlpm.CSVVal
)),"")</f>
        <v/>
      </c>
      <c r="E29" s="2">
        <f>_xlfn.XLOOKUP(A29,My_Audit!A:A,My_Audit!D:D,"")</f>
        <v>0</v>
      </c>
      <c r="F29" s="2" t="str" cm="1">
        <f t="array" ref="F29">IFERROR(_xlfn.LET(
_xlpm.CSVVal,_xlfn.XLOOKUP($A29,CSV!$A:$A,CSV!F:F,""),
_xlpm.MacVal,_xlfn.XLOOKUP($A29,Output_Mac!$A:$A,Output_Mac!E:E,""),
_xlpm.MyAuditVal,_xlfn.XLOOKUP($A29,My_Audit!$A:$A,My_Audit!E:E,""),
_xlfn.IFS(_xlpm.MyAuditVal&lt;&gt;"",_xlpm.MyAuditVal,_xlpm.MacVal&lt;&gt;"",_xlpm.MacVal,_xlpm.CSVVal&lt;&gt;"",_xlpm.CSVVal
)),"")</f>
        <v/>
      </c>
      <c r="G29" s="2" t="str" cm="1">
        <f t="array" ref="G29">IFERROR(_xlfn.LET(
_xlpm.CSVVal,_xlfn.XLOOKUP($A29,CSV!$A:$A,CSV!G:G,""),
_xlpm.MacVal,_xlfn.XLOOKUP($A29,Output_Mac!$A:$A,Output_Mac!F:F,""),
_xlpm.MyAuditVal,_xlfn.XLOOKUP($A29,My_Audit!$A:$A,My_Audit!F:F,""),
_xlfn.IFS(_xlpm.MyAuditVal&lt;&gt;"",_xlpm.MyAuditVal,_xlpm.MacVal&lt;&gt;"",_xlpm.MacVal,_xlpm.CSVVal&lt;&gt;"",PROPER(_xlpm.CSVVal)
)),"")</f>
        <v/>
      </c>
      <c r="H29" s="2" t="str" cm="1">
        <f t="array" ref="H29">IFERROR(_xlfn.LET(
_xlpm.CSVVal,_xlfn.XLOOKUP($A29,CSV!$A:$A,CSV!H:H,""),
_xlpm.MacVal,_xlfn.XLOOKUP($A29,Output_Mac!$A:$A,Output_Mac!H:H,""),
_xlpm.MyAuditVal,_xlfn.XLOOKUP($A29,My_Audit!$A:$A,My_Audit!G:G,""),
_xlfn.IFS(_xlpm.MyAuditVal&lt;&gt;"",_xlpm.MyAuditVal,_xlpm.MacVal&lt;&gt;"",_xlpm.MacVal,_xlpm.CSVVal&lt;&gt;"",_xlpm.CSVVal
)),"")</f>
        <v/>
      </c>
      <c r="I29" s="2" t="str">
        <f>_xlfn.XLOOKUP(A29,Output_Mac!A:A,Output_Mac!I:I,"")</f>
        <v/>
      </c>
      <c r="J29" s="2" t="str" cm="1">
        <f t="array" ref="J29">IFERROR(_xlfn.LET(
_xlpm.CSVVal,_xlfn.XLOOKUP($A29,CSV!$A:$A,CSV!I:I,""),
_xlpm.MacVal,_xlfn.XLOOKUP($A29,Output_Mac!$A:$A,Output_Mac!J:J,""),
_xlpm.MyAuditVal,_xlfn.XLOOKUP($A29,My_Audit!$A:$A,My_Audit!I:I,""),
_xlfn.IFS(_xlpm.MyAuditVal&lt;&gt;"",UPPER(_xlpm.MyAuditVal),_xlpm.MacVal&lt;&gt;"",_xlpm.MacVal,_xlpm.CSVVal&lt;&gt;"",_xlpm.CSVVal
)),"")</f>
        <v/>
      </c>
      <c r="K29" s="2" t="str" cm="1">
        <f t="array" ref="K29">IFERROR(_xlfn.LET(
_xlpm.CSVVal,_xlfn.XLOOKUP($A29,CSV!$A:$A,CSV!K:K,""),
_xlpm.MacVal,_xlfn.XLOOKUP($A29,Output_Mac!$A:$A,Output_Mac!K:K,""),
_xlpm.MyAuditVal,_xlfn.XLOOKUP($A29,My_Audit!$A:$A,My_Audit!J:J,""),
_xlfn.IFS(_xlpm.MyAuditVal&lt;&gt;"",UPPER(_xlpm.MyAuditVal),_xlpm.MacVal&lt;&gt;"",_xlpm.MacVal,_xlpm.CSVVal&lt;&gt;"",_xlpm.CSVVal
)),"")</f>
        <v/>
      </c>
      <c r="L29" s="2" t="str" cm="1">
        <f t="array" ref="L29">IFERROR(_xlfn.LET(
_xlpm.CSVVal,_xlfn.XLOOKUP($A29,CSV!$A:$A,CSV!P:P,""),
_xlpm.MacVal,_xlfn.XLOOKUP($A29,Output_Mac!$A:$A,Output_Mac!L:L,""),
_xlpm.MyAuditVal,_xlfn.XLOOKUP($A29,My_Audit!$A:$A,My_Audit!K:K,""),
_xlfn.IFS(_xlpm.MyAuditVal&lt;&gt;"",UPPER(_xlpm.MyAuditVal),_xlpm.MacVal&lt;&gt;"",_xlpm.MacVal,_xlpm.CSVVal&lt;&gt;"",_xlpm.CSVVal
)),"")</f>
        <v/>
      </c>
      <c r="M29" s="2" t="str" cm="1">
        <f t="array" ref="M29">IFERROR(_xlfn.LET(
_xlpm.CSVVal,_xlfn.XLOOKUP($A29,CSV!$A:$A,CSV!Q:Q,""),
_xlpm.MacVal,_xlfn.XLOOKUP($A29,Output_Mac!$A:$A,Output_Mac!M:M,""),
_xlpm.MyAuditVal,_xlfn.XLOOKUP($A29,My_Audit!$A:$A,My_Audit!L:L,""),
_xlfn.IFS(_xlpm.MyAuditVal&lt;&gt;"",UPPER(_xlpm.MyAuditVal),_xlpm.MacVal&lt;&gt;"",_xlpm.MacVal,_xlpm.CSVVal&lt;&gt;"",_xlpm.CSVVal
)),"")</f>
        <v/>
      </c>
      <c r="O29" s="2" t="str">
        <f>_xlfn.LET(
    _xlpm.CSVVal, _xlfn.XLOOKUP($A29, CSV!$A:$A, CSV!AA:AA, ""),
    _xlpm.MacVal, _xlfn.XLOOKUP($A29, Output_Mac!$A:$A, Output_Mac!S:S, ""),
    _xlpm.MyAuditVal, _xlfn.XLOOKUP($A29, My_Audit!$A:$A, My_Audit!P:P, ""),
    _xlfn.TEXTJOIN(", ", TRUE, _xlpm.MyAuditVal, _xlpm.MacVal, _xlpm.CSVVal)
)</f>
        <v/>
      </c>
      <c r="P29" s="2" t="str" cm="1">
        <f t="array" ref="P29">IFERROR(_xlfn.LET(
_xlpm.CSVVal,_xlfn.XLOOKUP($A29,CSV!$A:$A,CSV!AB:AB,""),
_xlpm.MacVal,_xlfn.XLOOKUP($A29,Output_Mac!$A:$A,Output_Mac!T:T,""),
_xlpm.MyAuditVal,_xlfn.XLOOKUP($A29,My_Audit!$A:$A,My_Audit!Q:Q,""),
_xlfn.IFS(_xlpm.MyAuditVal&lt;&gt;"",UPPER(_xlpm.MyAuditVal),_xlpm.MacVal&lt;&gt;"",_xlpm.MacVal,_xlpm.CSVVal&lt;&gt;"",_xlpm.CSVVal
)),"No")</f>
        <v>No</v>
      </c>
      <c r="Q29" s="2" t="str" cm="1">
        <f t="array" ref="Q29">IFERROR(_xlfn.LET(
_xlpm.CSVVal,_xlfn.XLOOKUP($A29,CSV!$A:$A,CSV!AC:AC,""),
_xlpm.MacVal,_xlfn.XLOOKUP($A29,Output_Mac!$A:$A,Output_Mac!U:U,""),
_xlpm.MyAuditVal,_xlfn.XLOOKUP($A29,My_Audit!$A:$A,My_Audit!R:R,""),
_xlfn.IFS(_xlpm.MyAuditVal&lt;&gt;"",UPPER(_xlpm.MyAuditVal),_xlpm.MacVal&lt;&gt;"",_xlpm.MacVal,_xlpm.CSVVal&lt;&gt;"",_xlpm.CSVVal
)),"")</f>
        <v/>
      </c>
      <c r="X29" t="str">
        <f>_xlfn.LET(
    _xlpm.MacVal, _xlfn.XLOOKUP($A29, Output_Mac!$A:$A, Output_Mac!AB:AB, ""),
    _xlpm.MyAuditVal, _xlfn.XLOOKUP($A29, My_Audit!$A:$A, My_Audit!N:N, ""),
    _xlfn.TEXTJOIN(", ", TRUE, _xlpm.MyAuditVal, _xlpm.MacVal)
)</f>
        <v/>
      </c>
    </row>
    <row r="30" spans="1:24">
      <c r="A30" s="2" t="str">
        <f>_xlfn.TEXTJOIN("",TRUE,Input!$B$2,ROW(My_Audit!A29))</f>
        <v>X29</v>
      </c>
      <c r="B30" s="2" t="str">
        <f>_xlfn.TEXTJOIN("-",TRUE,"ITD",Input!$A$2,A30)</f>
        <v>ITD-SHR-X29</v>
      </c>
      <c r="C30" s="2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2" t="str" cm="1">
        <f t="array" ref="D30">IFERROR(_xlfn.LET(
_xlpm.CSVVal,_xlfn.XLOOKUP($A30,CSV!$A:$A,CSV!D:D,""),
_xlpm.MacVal,_xlfn.XLOOKUP($A30,Output_Mac!$A:$A,Output_Mac!C:C,""),
_xlpm.MyAuditVal,_xlfn.XLOOKUP($A30,My_Audit!$A:$A,My_Audit!C:C,""),
_xlfn.IFS(_xlpm.MyAuditVal&lt;&gt;"",_xlpm.MyAuditVal,_xlpm.MacVal&lt;&gt;"",_xlpm.MacVal,_xlpm.CSVVal&lt;&gt;"",_xlpm.CSVVal
)),"")</f>
        <v/>
      </c>
      <c r="E30" s="2">
        <f>_xlfn.XLOOKUP(A30,My_Audit!A:A,My_Audit!D:D,"")</f>
        <v>0</v>
      </c>
      <c r="F30" s="2" t="str" cm="1">
        <f t="array" ref="F30">IFERROR(_xlfn.LET(
_xlpm.CSVVal,_xlfn.XLOOKUP($A30,CSV!$A:$A,CSV!F:F,""),
_xlpm.MacVal,_xlfn.XLOOKUP($A30,Output_Mac!$A:$A,Output_Mac!E:E,""),
_xlpm.MyAuditVal,_xlfn.XLOOKUP($A30,My_Audit!$A:$A,My_Audit!E:E,""),
_xlfn.IFS(_xlpm.MyAuditVal&lt;&gt;"",_xlpm.MyAuditVal,_xlpm.MacVal&lt;&gt;"",_xlpm.MacVal,_xlpm.CSVVal&lt;&gt;"",_xlpm.CSVVal
)),"")</f>
        <v/>
      </c>
      <c r="G30" s="2" t="str" cm="1">
        <f t="array" ref="G30">IFERROR(_xlfn.LET(
_xlpm.CSVVal,_xlfn.XLOOKUP($A30,CSV!$A:$A,CSV!G:G,""),
_xlpm.MacVal,_xlfn.XLOOKUP($A30,Output_Mac!$A:$A,Output_Mac!F:F,""),
_xlpm.MyAuditVal,_xlfn.XLOOKUP($A30,My_Audit!$A:$A,My_Audit!F:F,""),
_xlfn.IFS(_xlpm.MyAuditVal&lt;&gt;"",_xlpm.MyAuditVal,_xlpm.MacVal&lt;&gt;"",_xlpm.MacVal,_xlpm.CSVVal&lt;&gt;"",PROPER(_xlpm.CSVVal)
)),"")</f>
        <v/>
      </c>
      <c r="H30" s="2" t="str" cm="1">
        <f t="array" ref="H30">IFERROR(_xlfn.LET(
_xlpm.CSVVal,_xlfn.XLOOKUP($A30,CSV!$A:$A,CSV!H:H,""),
_xlpm.MacVal,_xlfn.XLOOKUP($A30,Output_Mac!$A:$A,Output_Mac!H:H,""),
_xlpm.MyAuditVal,_xlfn.XLOOKUP($A30,My_Audit!$A:$A,My_Audit!G:G,""),
_xlfn.IFS(_xlpm.MyAuditVal&lt;&gt;"",_xlpm.MyAuditVal,_xlpm.MacVal&lt;&gt;"",_xlpm.MacVal,_xlpm.CSVVal&lt;&gt;"",_xlpm.CSVVal
)),"")</f>
        <v/>
      </c>
      <c r="I30" s="2" t="str">
        <f>_xlfn.XLOOKUP(A30,Output_Mac!A:A,Output_Mac!I:I,"")</f>
        <v/>
      </c>
      <c r="J30" s="2" t="str" cm="1">
        <f t="array" ref="J30">IFERROR(_xlfn.LET(
_xlpm.CSVVal,_xlfn.XLOOKUP($A30,CSV!$A:$A,CSV!I:I,""),
_xlpm.MacVal,_xlfn.XLOOKUP($A30,Output_Mac!$A:$A,Output_Mac!J:J,""),
_xlpm.MyAuditVal,_xlfn.XLOOKUP($A30,My_Audit!$A:$A,My_Audit!I:I,""),
_xlfn.IFS(_xlpm.MyAuditVal&lt;&gt;"",UPPER(_xlpm.MyAuditVal),_xlpm.MacVal&lt;&gt;"",_xlpm.MacVal,_xlpm.CSVVal&lt;&gt;"",_xlpm.CSVVal
)),"")</f>
        <v/>
      </c>
      <c r="K30" s="2" t="str" cm="1">
        <f t="array" ref="K30">IFERROR(_xlfn.LET(
_xlpm.CSVVal,_xlfn.XLOOKUP($A30,CSV!$A:$A,CSV!K:K,""),
_xlpm.MacVal,_xlfn.XLOOKUP($A30,Output_Mac!$A:$A,Output_Mac!K:K,""),
_xlpm.MyAuditVal,_xlfn.XLOOKUP($A30,My_Audit!$A:$A,My_Audit!J:J,""),
_xlfn.IFS(_xlpm.MyAuditVal&lt;&gt;"",UPPER(_xlpm.MyAuditVal),_xlpm.MacVal&lt;&gt;"",_xlpm.MacVal,_xlpm.CSVVal&lt;&gt;"",_xlpm.CSVVal
)),"")</f>
        <v/>
      </c>
      <c r="L30" s="2" t="str" cm="1">
        <f t="array" ref="L30">IFERROR(_xlfn.LET(
_xlpm.CSVVal,_xlfn.XLOOKUP($A30,CSV!$A:$A,CSV!P:P,""),
_xlpm.MacVal,_xlfn.XLOOKUP($A30,Output_Mac!$A:$A,Output_Mac!L:L,""),
_xlpm.MyAuditVal,_xlfn.XLOOKUP($A30,My_Audit!$A:$A,My_Audit!K:K,""),
_xlfn.IFS(_xlpm.MyAuditVal&lt;&gt;"",UPPER(_xlpm.MyAuditVal),_xlpm.MacVal&lt;&gt;"",_xlpm.MacVal,_xlpm.CSVVal&lt;&gt;"",_xlpm.CSVVal
)),"")</f>
        <v/>
      </c>
      <c r="M30" s="2" t="str" cm="1">
        <f t="array" ref="M30">IFERROR(_xlfn.LET(
_xlpm.CSVVal,_xlfn.XLOOKUP($A30,CSV!$A:$A,CSV!Q:Q,""),
_xlpm.MacVal,_xlfn.XLOOKUP($A30,Output_Mac!$A:$A,Output_Mac!M:M,""),
_xlpm.MyAuditVal,_xlfn.XLOOKUP($A30,My_Audit!$A:$A,My_Audit!L:L,""),
_xlfn.IFS(_xlpm.MyAuditVal&lt;&gt;"",UPPER(_xlpm.MyAuditVal),_xlpm.MacVal&lt;&gt;"",_xlpm.MacVal,_xlpm.CSVVal&lt;&gt;"",_xlpm.CSVVal
)),"")</f>
        <v/>
      </c>
      <c r="O30" s="2" t="str">
        <f>_xlfn.LET(
    _xlpm.CSVVal, _xlfn.XLOOKUP($A30, CSV!$A:$A, CSV!AA:AA, ""),
    _xlpm.MacVal, _xlfn.XLOOKUP($A30, Output_Mac!$A:$A, Output_Mac!S:S, ""),
    _xlpm.MyAuditVal, _xlfn.XLOOKUP($A30, My_Audit!$A:$A, My_Audit!P:P, ""),
    _xlfn.TEXTJOIN(", ", TRUE, _xlpm.MyAuditVal, _xlpm.MacVal, _xlpm.CSVVal)
)</f>
        <v/>
      </c>
      <c r="P30" s="2" t="str" cm="1">
        <f t="array" ref="P30">IFERROR(_xlfn.LET(
_xlpm.CSVVal,_xlfn.XLOOKUP($A30,CSV!$A:$A,CSV!AB:AB,""),
_xlpm.MacVal,_xlfn.XLOOKUP($A30,Output_Mac!$A:$A,Output_Mac!T:T,""),
_xlpm.MyAuditVal,_xlfn.XLOOKUP($A30,My_Audit!$A:$A,My_Audit!Q:Q,""),
_xlfn.IFS(_xlpm.MyAuditVal&lt;&gt;"",UPPER(_xlpm.MyAuditVal),_xlpm.MacVal&lt;&gt;"",_xlpm.MacVal,_xlpm.CSVVal&lt;&gt;"",_xlpm.CSVVal
)),"No")</f>
        <v>No</v>
      </c>
      <c r="Q30" s="2" t="str" cm="1">
        <f t="array" ref="Q30">IFERROR(_xlfn.LET(
_xlpm.CSVVal,_xlfn.XLOOKUP($A30,CSV!$A:$A,CSV!AC:AC,""),
_xlpm.MacVal,_xlfn.XLOOKUP($A30,Output_Mac!$A:$A,Output_Mac!U:U,""),
_xlpm.MyAuditVal,_xlfn.XLOOKUP($A30,My_Audit!$A:$A,My_Audit!R:R,""),
_xlfn.IFS(_xlpm.MyAuditVal&lt;&gt;"",UPPER(_xlpm.MyAuditVal),_xlpm.MacVal&lt;&gt;"",_xlpm.MacVal,_xlpm.CSVVal&lt;&gt;"",_xlpm.CSVVal
)),"")</f>
        <v/>
      </c>
      <c r="X30" t="str">
        <f>_xlfn.LET(
    _xlpm.MacVal, _xlfn.XLOOKUP($A30, Output_Mac!$A:$A, Output_Mac!AB:AB, ""),
    _xlpm.MyAuditVal, _xlfn.XLOOKUP($A30, My_Audit!$A:$A, My_Audit!N:N, ""),
    _xlfn.TEXTJOIN(", ", TRUE, _xlpm.MyAuditVal, _xlpm.MacVal)
)</f>
        <v/>
      </c>
    </row>
    <row r="31" spans="1:24">
      <c r="A31" s="2" t="str">
        <f>_xlfn.TEXTJOIN("",TRUE,Input!$B$2,ROW(My_Audit!A30))</f>
        <v>X30</v>
      </c>
      <c r="B31" s="2" t="str">
        <f>_xlfn.TEXTJOIN("-",TRUE,"ITD",Input!$A$2,A31)</f>
        <v>ITD-SHR-X30</v>
      </c>
      <c r="C31" s="2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2" t="str" cm="1">
        <f t="array" ref="D31">IFERROR(_xlfn.LET(
_xlpm.CSVVal,_xlfn.XLOOKUP($A31,CSV!$A:$A,CSV!D:D,""),
_xlpm.MacVal,_xlfn.XLOOKUP($A31,Output_Mac!$A:$A,Output_Mac!C:C,""),
_xlpm.MyAuditVal,_xlfn.XLOOKUP($A31,My_Audit!$A:$A,My_Audit!C:C,""),
_xlfn.IFS(_xlpm.MyAuditVal&lt;&gt;"",_xlpm.MyAuditVal,_xlpm.MacVal&lt;&gt;"",_xlpm.MacVal,_xlpm.CSVVal&lt;&gt;"",_xlpm.CSVVal
)),"")</f>
        <v/>
      </c>
      <c r="E31" s="2">
        <f>_xlfn.XLOOKUP(A31,My_Audit!A:A,My_Audit!D:D,"")</f>
        <v>0</v>
      </c>
      <c r="F31" s="2" t="str" cm="1">
        <f t="array" ref="F31">IFERROR(_xlfn.LET(
_xlpm.CSVVal,_xlfn.XLOOKUP($A31,CSV!$A:$A,CSV!F:F,""),
_xlpm.MacVal,_xlfn.XLOOKUP($A31,Output_Mac!$A:$A,Output_Mac!E:E,""),
_xlpm.MyAuditVal,_xlfn.XLOOKUP($A31,My_Audit!$A:$A,My_Audit!E:E,""),
_xlfn.IFS(_xlpm.MyAuditVal&lt;&gt;"",_xlpm.MyAuditVal,_xlpm.MacVal&lt;&gt;"",_xlpm.MacVal,_xlpm.CSVVal&lt;&gt;"",_xlpm.CSVVal
)),"")</f>
        <v/>
      </c>
      <c r="G31" s="2" t="str" cm="1">
        <f t="array" ref="G31">IFERROR(_xlfn.LET(
_xlpm.CSVVal,_xlfn.XLOOKUP($A31,CSV!$A:$A,CSV!G:G,""),
_xlpm.MacVal,_xlfn.XLOOKUP($A31,Output_Mac!$A:$A,Output_Mac!F:F,""),
_xlpm.MyAuditVal,_xlfn.XLOOKUP($A31,My_Audit!$A:$A,My_Audit!F:F,""),
_xlfn.IFS(_xlpm.MyAuditVal&lt;&gt;"",_xlpm.MyAuditVal,_xlpm.MacVal&lt;&gt;"",_xlpm.MacVal,_xlpm.CSVVal&lt;&gt;"",PROPER(_xlpm.CSVVal)
)),"")</f>
        <v/>
      </c>
      <c r="H31" s="2" t="str" cm="1">
        <f t="array" ref="H31">IFERROR(_xlfn.LET(
_xlpm.CSVVal,_xlfn.XLOOKUP($A31,CSV!$A:$A,CSV!H:H,""),
_xlpm.MacVal,_xlfn.XLOOKUP($A31,Output_Mac!$A:$A,Output_Mac!H:H,""),
_xlpm.MyAuditVal,_xlfn.XLOOKUP($A31,My_Audit!$A:$A,My_Audit!G:G,""),
_xlfn.IFS(_xlpm.MyAuditVal&lt;&gt;"",_xlpm.MyAuditVal,_xlpm.MacVal&lt;&gt;"",_xlpm.MacVal,_xlpm.CSVVal&lt;&gt;"",_xlpm.CSVVal
)),"")</f>
        <v/>
      </c>
      <c r="I31" s="2" t="str">
        <f>_xlfn.XLOOKUP(A31,Output_Mac!A:A,Output_Mac!I:I,"")</f>
        <v/>
      </c>
      <c r="J31" s="2" t="str" cm="1">
        <f t="array" ref="J31">IFERROR(_xlfn.LET(
_xlpm.CSVVal,_xlfn.XLOOKUP($A31,CSV!$A:$A,CSV!I:I,""),
_xlpm.MacVal,_xlfn.XLOOKUP($A31,Output_Mac!$A:$A,Output_Mac!J:J,""),
_xlpm.MyAuditVal,_xlfn.XLOOKUP($A31,My_Audit!$A:$A,My_Audit!I:I,""),
_xlfn.IFS(_xlpm.MyAuditVal&lt;&gt;"",UPPER(_xlpm.MyAuditVal),_xlpm.MacVal&lt;&gt;"",_xlpm.MacVal,_xlpm.CSVVal&lt;&gt;"",_xlpm.CSVVal
)),"")</f>
        <v/>
      </c>
      <c r="K31" s="2" t="str" cm="1">
        <f t="array" ref="K31">IFERROR(_xlfn.LET(
_xlpm.CSVVal,_xlfn.XLOOKUP($A31,CSV!$A:$A,CSV!K:K,""),
_xlpm.MacVal,_xlfn.XLOOKUP($A31,Output_Mac!$A:$A,Output_Mac!K:K,""),
_xlpm.MyAuditVal,_xlfn.XLOOKUP($A31,My_Audit!$A:$A,My_Audit!J:J,""),
_xlfn.IFS(_xlpm.MyAuditVal&lt;&gt;"",UPPER(_xlpm.MyAuditVal),_xlpm.MacVal&lt;&gt;"",_xlpm.MacVal,_xlpm.CSVVal&lt;&gt;"",_xlpm.CSVVal
)),"")</f>
        <v/>
      </c>
      <c r="L31" s="2" t="str" cm="1">
        <f t="array" ref="L31">IFERROR(_xlfn.LET(
_xlpm.CSVVal,_xlfn.XLOOKUP($A31,CSV!$A:$A,CSV!P:P,""),
_xlpm.MacVal,_xlfn.XLOOKUP($A31,Output_Mac!$A:$A,Output_Mac!L:L,""),
_xlpm.MyAuditVal,_xlfn.XLOOKUP($A31,My_Audit!$A:$A,My_Audit!K:K,""),
_xlfn.IFS(_xlpm.MyAuditVal&lt;&gt;"",UPPER(_xlpm.MyAuditVal),_xlpm.MacVal&lt;&gt;"",_xlpm.MacVal,_xlpm.CSVVal&lt;&gt;"",_xlpm.CSVVal
)),"")</f>
        <v/>
      </c>
      <c r="M31" s="2" t="str" cm="1">
        <f t="array" ref="M31">IFERROR(_xlfn.LET(
_xlpm.CSVVal,_xlfn.XLOOKUP($A31,CSV!$A:$A,CSV!Q:Q,""),
_xlpm.MacVal,_xlfn.XLOOKUP($A31,Output_Mac!$A:$A,Output_Mac!M:M,""),
_xlpm.MyAuditVal,_xlfn.XLOOKUP($A31,My_Audit!$A:$A,My_Audit!L:L,""),
_xlfn.IFS(_xlpm.MyAuditVal&lt;&gt;"",UPPER(_xlpm.MyAuditVal),_xlpm.MacVal&lt;&gt;"",_xlpm.MacVal,_xlpm.CSVVal&lt;&gt;"",_xlpm.CSVVal
)),"")</f>
        <v/>
      </c>
      <c r="O31" s="2" t="str">
        <f>_xlfn.LET(
    _xlpm.CSVVal, _xlfn.XLOOKUP($A31, CSV!$A:$A, CSV!AA:AA, ""),
    _xlpm.MacVal, _xlfn.XLOOKUP($A31, Output_Mac!$A:$A, Output_Mac!S:S, ""),
    _xlpm.MyAuditVal, _xlfn.XLOOKUP($A31, My_Audit!$A:$A, My_Audit!P:P, ""),
    _xlfn.TEXTJOIN(", ", TRUE, _xlpm.MyAuditVal, _xlpm.MacVal, _xlpm.CSVVal)
)</f>
        <v/>
      </c>
      <c r="P31" s="2" t="str" cm="1">
        <f t="array" ref="P31">IFERROR(_xlfn.LET(
_xlpm.CSVVal,_xlfn.XLOOKUP($A31,CSV!$A:$A,CSV!AB:AB,""),
_xlpm.MacVal,_xlfn.XLOOKUP($A31,Output_Mac!$A:$A,Output_Mac!T:T,""),
_xlpm.MyAuditVal,_xlfn.XLOOKUP($A31,My_Audit!$A:$A,My_Audit!Q:Q,""),
_xlfn.IFS(_xlpm.MyAuditVal&lt;&gt;"",UPPER(_xlpm.MyAuditVal),_xlpm.MacVal&lt;&gt;"",_xlpm.MacVal,_xlpm.CSVVal&lt;&gt;"",_xlpm.CSVVal
)),"No")</f>
        <v>No</v>
      </c>
      <c r="Q31" s="2" t="str" cm="1">
        <f t="array" ref="Q31">IFERROR(_xlfn.LET(
_xlpm.CSVVal,_xlfn.XLOOKUP($A31,CSV!$A:$A,CSV!AC:AC,""),
_xlpm.MacVal,_xlfn.XLOOKUP($A31,Output_Mac!$A:$A,Output_Mac!U:U,""),
_xlpm.MyAuditVal,_xlfn.XLOOKUP($A31,My_Audit!$A:$A,My_Audit!R:R,""),
_xlfn.IFS(_xlpm.MyAuditVal&lt;&gt;"",UPPER(_xlpm.MyAuditVal),_xlpm.MacVal&lt;&gt;"",_xlpm.MacVal,_xlpm.CSVVal&lt;&gt;"",_xlpm.CSVVal
)),"")</f>
        <v/>
      </c>
      <c r="X31" t="str">
        <f>_xlfn.LET(
    _xlpm.MacVal, _xlfn.XLOOKUP($A31, Output_Mac!$A:$A, Output_Mac!AB:AB, ""),
    _xlpm.MyAuditVal, _xlfn.XLOOKUP($A31, My_Audit!$A:$A, My_Audit!N:N, ""),
    _xlfn.TEXTJOIN(", ", TRUE, _xlpm.MyAuditVal, _xlpm.MacVal)
)</f>
        <v/>
      </c>
    </row>
    <row r="32" spans="1:24">
      <c r="A32" s="2" t="str">
        <f>_xlfn.TEXTJOIN("",TRUE,Input!$B$2,ROW(My_Audit!A31))</f>
        <v>X31</v>
      </c>
      <c r="B32" s="2" t="str">
        <f>_xlfn.TEXTJOIN("-",TRUE,"ITD",Input!$A$2,A32)</f>
        <v>ITD-SHR-X31</v>
      </c>
      <c r="C32" s="2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2" t="str" cm="1">
        <f t="array" ref="D32">IFERROR(_xlfn.LET(
_xlpm.CSVVal,_xlfn.XLOOKUP($A32,CSV!$A:$A,CSV!D:D,""),
_xlpm.MacVal,_xlfn.XLOOKUP($A32,Output_Mac!$A:$A,Output_Mac!C:C,""),
_xlpm.MyAuditVal,_xlfn.XLOOKUP($A32,My_Audit!$A:$A,My_Audit!C:C,""),
_xlfn.IFS(_xlpm.MyAuditVal&lt;&gt;"",_xlpm.MyAuditVal,_xlpm.MacVal&lt;&gt;"",_xlpm.MacVal,_xlpm.CSVVal&lt;&gt;"",_xlpm.CSVVal
)),"")</f>
        <v/>
      </c>
      <c r="E32" s="2">
        <f>_xlfn.XLOOKUP(A32,My_Audit!A:A,My_Audit!D:D,"")</f>
        <v>0</v>
      </c>
      <c r="F32" s="2" t="str" cm="1">
        <f t="array" ref="F32">IFERROR(_xlfn.LET(
_xlpm.CSVVal,_xlfn.XLOOKUP($A32,CSV!$A:$A,CSV!F:F,""),
_xlpm.MacVal,_xlfn.XLOOKUP($A32,Output_Mac!$A:$A,Output_Mac!E:E,""),
_xlpm.MyAuditVal,_xlfn.XLOOKUP($A32,My_Audit!$A:$A,My_Audit!E:E,""),
_xlfn.IFS(_xlpm.MyAuditVal&lt;&gt;"",_xlpm.MyAuditVal,_xlpm.MacVal&lt;&gt;"",_xlpm.MacVal,_xlpm.CSVVal&lt;&gt;"",_xlpm.CSVVal
)),"")</f>
        <v/>
      </c>
      <c r="G32" s="2" t="str" cm="1">
        <f t="array" ref="G32">IFERROR(_xlfn.LET(
_xlpm.CSVVal,_xlfn.XLOOKUP($A32,CSV!$A:$A,CSV!G:G,""),
_xlpm.MacVal,_xlfn.XLOOKUP($A32,Output_Mac!$A:$A,Output_Mac!F:F,""),
_xlpm.MyAuditVal,_xlfn.XLOOKUP($A32,My_Audit!$A:$A,My_Audit!F:F,""),
_xlfn.IFS(_xlpm.MyAuditVal&lt;&gt;"",_xlpm.MyAuditVal,_xlpm.MacVal&lt;&gt;"",_xlpm.MacVal,_xlpm.CSVVal&lt;&gt;"",PROPER(_xlpm.CSVVal)
)),"")</f>
        <v/>
      </c>
      <c r="H32" s="2" t="str" cm="1">
        <f t="array" ref="H32">IFERROR(_xlfn.LET(
_xlpm.CSVVal,_xlfn.XLOOKUP($A32,CSV!$A:$A,CSV!H:H,""),
_xlpm.MacVal,_xlfn.XLOOKUP($A32,Output_Mac!$A:$A,Output_Mac!H:H,""),
_xlpm.MyAuditVal,_xlfn.XLOOKUP($A32,My_Audit!$A:$A,My_Audit!G:G,""),
_xlfn.IFS(_xlpm.MyAuditVal&lt;&gt;"",_xlpm.MyAuditVal,_xlpm.MacVal&lt;&gt;"",_xlpm.MacVal,_xlpm.CSVVal&lt;&gt;"",_xlpm.CSVVal
)),"")</f>
        <v/>
      </c>
      <c r="I32" s="2" t="str">
        <f>_xlfn.XLOOKUP(A32,Output_Mac!A:A,Output_Mac!I:I,"")</f>
        <v/>
      </c>
      <c r="J32" s="2" t="str" cm="1">
        <f t="array" ref="J32">IFERROR(_xlfn.LET(
_xlpm.CSVVal,_xlfn.XLOOKUP($A32,CSV!$A:$A,CSV!I:I,""),
_xlpm.MacVal,_xlfn.XLOOKUP($A32,Output_Mac!$A:$A,Output_Mac!J:J,""),
_xlpm.MyAuditVal,_xlfn.XLOOKUP($A32,My_Audit!$A:$A,My_Audit!I:I,""),
_xlfn.IFS(_xlpm.MyAuditVal&lt;&gt;"",UPPER(_xlpm.MyAuditVal),_xlpm.MacVal&lt;&gt;"",_xlpm.MacVal,_xlpm.CSVVal&lt;&gt;"",_xlpm.CSVVal
)),"")</f>
        <v/>
      </c>
      <c r="K32" s="2" t="str" cm="1">
        <f t="array" ref="K32">IFERROR(_xlfn.LET(
_xlpm.CSVVal,_xlfn.XLOOKUP($A32,CSV!$A:$A,CSV!K:K,""),
_xlpm.MacVal,_xlfn.XLOOKUP($A32,Output_Mac!$A:$A,Output_Mac!K:K,""),
_xlpm.MyAuditVal,_xlfn.XLOOKUP($A32,My_Audit!$A:$A,My_Audit!J:J,""),
_xlfn.IFS(_xlpm.MyAuditVal&lt;&gt;"",UPPER(_xlpm.MyAuditVal),_xlpm.MacVal&lt;&gt;"",_xlpm.MacVal,_xlpm.CSVVal&lt;&gt;"",_xlpm.CSVVal
)),"")</f>
        <v/>
      </c>
      <c r="L32" s="2" t="str" cm="1">
        <f t="array" ref="L32">IFERROR(_xlfn.LET(
_xlpm.CSVVal,_xlfn.XLOOKUP($A32,CSV!$A:$A,CSV!P:P,""),
_xlpm.MacVal,_xlfn.XLOOKUP($A32,Output_Mac!$A:$A,Output_Mac!L:L,""),
_xlpm.MyAuditVal,_xlfn.XLOOKUP($A32,My_Audit!$A:$A,My_Audit!K:K,""),
_xlfn.IFS(_xlpm.MyAuditVal&lt;&gt;"",UPPER(_xlpm.MyAuditVal),_xlpm.MacVal&lt;&gt;"",_xlpm.MacVal,_xlpm.CSVVal&lt;&gt;"",_xlpm.CSVVal
)),"")</f>
        <v/>
      </c>
      <c r="M32" s="2" t="str" cm="1">
        <f t="array" ref="M32">IFERROR(_xlfn.LET(
_xlpm.CSVVal,_xlfn.XLOOKUP($A32,CSV!$A:$A,CSV!Q:Q,""),
_xlpm.MacVal,_xlfn.XLOOKUP($A32,Output_Mac!$A:$A,Output_Mac!M:M,""),
_xlpm.MyAuditVal,_xlfn.XLOOKUP($A32,My_Audit!$A:$A,My_Audit!L:L,""),
_xlfn.IFS(_xlpm.MyAuditVal&lt;&gt;"",UPPER(_xlpm.MyAuditVal),_xlpm.MacVal&lt;&gt;"",_xlpm.MacVal,_xlpm.CSVVal&lt;&gt;"",_xlpm.CSVVal
)),"")</f>
        <v/>
      </c>
      <c r="O32" s="2" t="str">
        <f>_xlfn.LET(
    _xlpm.CSVVal, _xlfn.XLOOKUP($A32, CSV!$A:$A, CSV!AA:AA, ""),
    _xlpm.MacVal, _xlfn.XLOOKUP($A32, Output_Mac!$A:$A, Output_Mac!S:S, ""),
    _xlpm.MyAuditVal, _xlfn.XLOOKUP($A32, My_Audit!$A:$A, My_Audit!P:P, ""),
    _xlfn.TEXTJOIN(", ", TRUE, _xlpm.MyAuditVal, _xlpm.MacVal, _xlpm.CSVVal)
)</f>
        <v/>
      </c>
      <c r="P32" s="2" t="str" cm="1">
        <f t="array" ref="P32">IFERROR(_xlfn.LET(
_xlpm.CSVVal,_xlfn.XLOOKUP($A32,CSV!$A:$A,CSV!AB:AB,""),
_xlpm.MacVal,_xlfn.XLOOKUP($A32,Output_Mac!$A:$A,Output_Mac!T:T,""),
_xlpm.MyAuditVal,_xlfn.XLOOKUP($A32,My_Audit!$A:$A,My_Audit!Q:Q,""),
_xlfn.IFS(_xlpm.MyAuditVal&lt;&gt;"",UPPER(_xlpm.MyAuditVal),_xlpm.MacVal&lt;&gt;"",_xlpm.MacVal,_xlpm.CSVVal&lt;&gt;"",_xlpm.CSVVal
)),"No")</f>
        <v>No</v>
      </c>
      <c r="Q32" s="2" t="str" cm="1">
        <f t="array" ref="Q32">IFERROR(_xlfn.LET(
_xlpm.CSVVal,_xlfn.XLOOKUP($A32,CSV!$A:$A,CSV!AC:AC,""),
_xlpm.MacVal,_xlfn.XLOOKUP($A32,Output_Mac!$A:$A,Output_Mac!U:U,""),
_xlpm.MyAuditVal,_xlfn.XLOOKUP($A32,My_Audit!$A:$A,My_Audit!R:R,""),
_xlfn.IFS(_xlpm.MyAuditVal&lt;&gt;"",UPPER(_xlpm.MyAuditVal),_xlpm.MacVal&lt;&gt;"",_xlpm.MacVal,_xlpm.CSVVal&lt;&gt;"",_xlpm.CSVVal
)),"")</f>
        <v/>
      </c>
      <c r="X32" t="str">
        <f>_xlfn.LET(
    _xlpm.MacVal, _xlfn.XLOOKUP($A32, Output_Mac!$A:$A, Output_Mac!AB:AB, ""),
    _xlpm.MyAuditVal, _xlfn.XLOOKUP($A32, My_Audit!$A:$A, My_Audit!N:N, ""),
    _xlfn.TEXTJOIN(", ", TRUE, _xlpm.MyAuditVal, _xlpm.MacVal)
)</f>
        <v/>
      </c>
    </row>
    <row r="33" spans="1:24">
      <c r="A33" s="2" t="str">
        <f>_xlfn.TEXTJOIN("",TRUE,Input!$B$2,ROW(My_Audit!A32))</f>
        <v>X32</v>
      </c>
      <c r="B33" s="2" t="str">
        <f>_xlfn.TEXTJOIN("-",TRUE,"ITD",Input!$A$2,A33)</f>
        <v>ITD-SHR-X32</v>
      </c>
      <c r="C33" s="2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2" t="str" cm="1">
        <f t="array" ref="D33">IFERROR(_xlfn.LET(
_xlpm.CSVVal,_xlfn.XLOOKUP($A33,CSV!$A:$A,CSV!D:D,""),
_xlpm.MacVal,_xlfn.XLOOKUP($A33,Output_Mac!$A:$A,Output_Mac!C:C,""),
_xlpm.MyAuditVal,_xlfn.XLOOKUP($A33,My_Audit!$A:$A,My_Audit!C:C,""),
_xlfn.IFS(_xlpm.MyAuditVal&lt;&gt;"",_xlpm.MyAuditVal,_xlpm.MacVal&lt;&gt;"",_xlpm.MacVal,_xlpm.CSVVal&lt;&gt;"",_xlpm.CSVVal
)),"")</f>
        <v/>
      </c>
      <c r="E33" s="2">
        <f>_xlfn.XLOOKUP(A33,My_Audit!A:A,My_Audit!D:D,"")</f>
        <v>0</v>
      </c>
      <c r="F33" s="2" t="str" cm="1">
        <f t="array" ref="F33">IFERROR(_xlfn.LET(
_xlpm.CSVVal,_xlfn.XLOOKUP($A33,CSV!$A:$A,CSV!F:F,""),
_xlpm.MacVal,_xlfn.XLOOKUP($A33,Output_Mac!$A:$A,Output_Mac!E:E,""),
_xlpm.MyAuditVal,_xlfn.XLOOKUP($A33,My_Audit!$A:$A,My_Audit!E:E,""),
_xlfn.IFS(_xlpm.MyAuditVal&lt;&gt;"",_xlpm.MyAuditVal,_xlpm.MacVal&lt;&gt;"",_xlpm.MacVal,_xlpm.CSVVal&lt;&gt;"",_xlpm.CSVVal
)),"")</f>
        <v/>
      </c>
      <c r="G33" s="2" t="str" cm="1">
        <f t="array" ref="G33">IFERROR(_xlfn.LET(
_xlpm.CSVVal,_xlfn.XLOOKUP($A33,CSV!$A:$A,CSV!G:G,""),
_xlpm.MacVal,_xlfn.XLOOKUP($A33,Output_Mac!$A:$A,Output_Mac!F:F,""),
_xlpm.MyAuditVal,_xlfn.XLOOKUP($A33,My_Audit!$A:$A,My_Audit!F:F,""),
_xlfn.IFS(_xlpm.MyAuditVal&lt;&gt;"",_xlpm.MyAuditVal,_xlpm.MacVal&lt;&gt;"",_xlpm.MacVal,_xlpm.CSVVal&lt;&gt;"",PROPER(_xlpm.CSVVal)
)),"")</f>
        <v/>
      </c>
      <c r="H33" s="2" t="str" cm="1">
        <f t="array" ref="H33">IFERROR(_xlfn.LET(
_xlpm.CSVVal,_xlfn.XLOOKUP($A33,CSV!$A:$A,CSV!H:H,""),
_xlpm.MacVal,_xlfn.XLOOKUP($A33,Output_Mac!$A:$A,Output_Mac!H:H,""),
_xlpm.MyAuditVal,_xlfn.XLOOKUP($A33,My_Audit!$A:$A,My_Audit!G:G,""),
_xlfn.IFS(_xlpm.MyAuditVal&lt;&gt;"",_xlpm.MyAuditVal,_xlpm.MacVal&lt;&gt;"",_xlpm.MacVal,_xlpm.CSVVal&lt;&gt;"",_xlpm.CSVVal
)),"")</f>
        <v/>
      </c>
      <c r="I33" s="2" t="str">
        <f>_xlfn.XLOOKUP(A33,Output_Mac!A:A,Output_Mac!I:I,"")</f>
        <v/>
      </c>
      <c r="J33" s="2" t="str" cm="1">
        <f t="array" ref="J33">IFERROR(_xlfn.LET(
_xlpm.CSVVal,_xlfn.XLOOKUP($A33,CSV!$A:$A,CSV!I:I,""),
_xlpm.MacVal,_xlfn.XLOOKUP($A33,Output_Mac!$A:$A,Output_Mac!J:J,""),
_xlpm.MyAuditVal,_xlfn.XLOOKUP($A33,My_Audit!$A:$A,My_Audit!I:I,""),
_xlfn.IFS(_xlpm.MyAuditVal&lt;&gt;"",UPPER(_xlpm.MyAuditVal),_xlpm.MacVal&lt;&gt;"",_xlpm.MacVal,_xlpm.CSVVal&lt;&gt;"",_xlpm.CSVVal
)),"")</f>
        <v/>
      </c>
      <c r="K33" s="2" t="str" cm="1">
        <f t="array" ref="K33">IFERROR(_xlfn.LET(
_xlpm.CSVVal,_xlfn.XLOOKUP($A33,CSV!$A:$A,CSV!K:K,""),
_xlpm.MacVal,_xlfn.XLOOKUP($A33,Output_Mac!$A:$A,Output_Mac!K:K,""),
_xlpm.MyAuditVal,_xlfn.XLOOKUP($A33,My_Audit!$A:$A,My_Audit!J:J,""),
_xlfn.IFS(_xlpm.MyAuditVal&lt;&gt;"",UPPER(_xlpm.MyAuditVal),_xlpm.MacVal&lt;&gt;"",_xlpm.MacVal,_xlpm.CSVVal&lt;&gt;"",_xlpm.CSVVal
)),"")</f>
        <v/>
      </c>
      <c r="L33" s="2" t="str" cm="1">
        <f t="array" ref="L33">IFERROR(_xlfn.LET(
_xlpm.CSVVal,_xlfn.XLOOKUP($A33,CSV!$A:$A,CSV!P:P,""),
_xlpm.MacVal,_xlfn.XLOOKUP($A33,Output_Mac!$A:$A,Output_Mac!L:L,""),
_xlpm.MyAuditVal,_xlfn.XLOOKUP($A33,My_Audit!$A:$A,My_Audit!K:K,""),
_xlfn.IFS(_xlpm.MyAuditVal&lt;&gt;"",UPPER(_xlpm.MyAuditVal),_xlpm.MacVal&lt;&gt;"",_xlpm.MacVal,_xlpm.CSVVal&lt;&gt;"",_xlpm.CSVVal
)),"")</f>
        <v/>
      </c>
      <c r="M33" s="2" t="str" cm="1">
        <f t="array" ref="M33">IFERROR(_xlfn.LET(
_xlpm.CSVVal,_xlfn.XLOOKUP($A33,CSV!$A:$A,CSV!Q:Q,""),
_xlpm.MacVal,_xlfn.XLOOKUP($A33,Output_Mac!$A:$A,Output_Mac!M:M,""),
_xlpm.MyAuditVal,_xlfn.XLOOKUP($A33,My_Audit!$A:$A,My_Audit!L:L,""),
_xlfn.IFS(_xlpm.MyAuditVal&lt;&gt;"",UPPER(_xlpm.MyAuditVal),_xlpm.MacVal&lt;&gt;"",_xlpm.MacVal,_xlpm.CSVVal&lt;&gt;"",_xlpm.CSVVal
)),"")</f>
        <v/>
      </c>
      <c r="O33" s="2" t="str">
        <f>_xlfn.LET(
    _xlpm.CSVVal, _xlfn.XLOOKUP($A33, CSV!$A:$A, CSV!AA:AA, ""),
    _xlpm.MacVal, _xlfn.XLOOKUP($A33, Output_Mac!$A:$A, Output_Mac!S:S, ""),
    _xlpm.MyAuditVal, _xlfn.XLOOKUP($A33, My_Audit!$A:$A, My_Audit!P:P, ""),
    _xlfn.TEXTJOIN(", ", TRUE, _xlpm.MyAuditVal, _xlpm.MacVal, _xlpm.CSVVal)
)</f>
        <v/>
      </c>
      <c r="P33" s="2" t="str" cm="1">
        <f t="array" ref="P33">IFERROR(_xlfn.LET(
_xlpm.CSVVal,_xlfn.XLOOKUP($A33,CSV!$A:$A,CSV!AB:AB,""),
_xlpm.MacVal,_xlfn.XLOOKUP($A33,Output_Mac!$A:$A,Output_Mac!T:T,""),
_xlpm.MyAuditVal,_xlfn.XLOOKUP($A33,My_Audit!$A:$A,My_Audit!Q:Q,""),
_xlfn.IFS(_xlpm.MyAuditVal&lt;&gt;"",UPPER(_xlpm.MyAuditVal),_xlpm.MacVal&lt;&gt;"",_xlpm.MacVal,_xlpm.CSVVal&lt;&gt;"",_xlpm.CSVVal
)),"No")</f>
        <v>No</v>
      </c>
      <c r="Q33" s="2" t="str" cm="1">
        <f t="array" ref="Q33">IFERROR(_xlfn.LET(
_xlpm.CSVVal,_xlfn.XLOOKUP($A33,CSV!$A:$A,CSV!AC:AC,""),
_xlpm.MacVal,_xlfn.XLOOKUP($A33,Output_Mac!$A:$A,Output_Mac!U:U,""),
_xlpm.MyAuditVal,_xlfn.XLOOKUP($A33,My_Audit!$A:$A,My_Audit!R:R,""),
_xlfn.IFS(_xlpm.MyAuditVal&lt;&gt;"",UPPER(_xlpm.MyAuditVal),_xlpm.MacVal&lt;&gt;"",_xlpm.MacVal,_xlpm.CSVVal&lt;&gt;"",_xlpm.CSVVal
)),"")</f>
        <v/>
      </c>
      <c r="X33" t="str">
        <f>_xlfn.LET(
    _xlpm.MacVal, _xlfn.XLOOKUP($A33, Output_Mac!$A:$A, Output_Mac!AB:AB, ""),
    _xlpm.MyAuditVal, _xlfn.XLOOKUP($A33, My_Audit!$A:$A, My_Audit!N:N, ""),
    _xlfn.TEXTJOIN(", ", TRUE, _xlpm.MyAuditVal, _xlpm.MacVal)
)</f>
        <v/>
      </c>
    </row>
    <row r="34" spans="1:24">
      <c r="A34" s="2" t="str">
        <f>_xlfn.TEXTJOIN("",TRUE,Input!$B$2,ROW(My_Audit!A33))</f>
        <v>X33</v>
      </c>
      <c r="B34" s="2" t="str">
        <f>_xlfn.TEXTJOIN("-",TRUE,"ITD",Input!$A$2,A34)</f>
        <v>ITD-SHR-X33</v>
      </c>
      <c r="C34" s="2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2" t="str" cm="1">
        <f t="array" ref="D34">IFERROR(_xlfn.LET(
_xlpm.CSVVal,_xlfn.XLOOKUP($A34,CSV!$A:$A,CSV!D:D,""),
_xlpm.MacVal,_xlfn.XLOOKUP($A34,Output_Mac!$A:$A,Output_Mac!C:C,""),
_xlpm.MyAuditVal,_xlfn.XLOOKUP($A34,My_Audit!$A:$A,My_Audit!C:C,""),
_xlfn.IFS(_xlpm.MyAuditVal&lt;&gt;"",_xlpm.MyAuditVal,_xlpm.MacVal&lt;&gt;"",_xlpm.MacVal,_xlpm.CSVVal&lt;&gt;"",_xlpm.CSVVal
)),"")</f>
        <v/>
      </c>
      <c r="E34" s="2">
        <f>_xlfn.XLOOKUP(A34,My_Audit!A:A,My_Audit!D:D,"")</f>
        <v>0</v>
      </c>
      <c r="F34" s="2" t="str" cm="1">
        <f t="array" ref="F34">IFERROR(_xlfn.LET(
_xlpm.CSVVal,_xlfn.XLOOKUP($A34,CSV!$A:$A,CSV!F:F,""),
_xlpm.MacVal,_xlfn.XLOOKUP($A34,Output_Mac!$A:$A,Output_Mac!E:E,""),
_xlpm.MyAuditVal,_xlfn.XLOOKUP($A34,My_Audit!$A:$A,My_Audit!E:E,""),
_xlfn.IFS(_xlpm.MyAuditVal&lt;&gt;"",_xlpm.MyAuditVal,_xlpm.MacVal&lt;&gt;"",_xlpm.MacVal,_xlpm.CSVVal&lt;&gt;"",_xlpm.CSVVal
)),"")</f>
        <v/>
      </c>
      <c r="G34" s="2" t="str" cm="1">
        <f t="array" ref="G34">IFERROR(_xlfn.LET(
_xlpm.CSVVal,_xlfn.XLOOKUP($A34,CSV!$A:$A,CSV!G:G,""),
_xlpm.MacVal,_xlfn.XLOOKUP($A34,Output_Mac!$A:$A,Output_Mac!F:F,""),
_xlpm.MyAuditVal,_xlfn.XLOOKUP($A34,My_Audit!$A:$A,My_Audit!F:F,""),
_xlfn.IFS(_xlpm.MyAuditVal&lt;&gt;"",_xlpm.MyAuditVal,_xlpm.MacVal&lt;&gt;"",_xlpm.MacVal,_xlpm.CSVVal&lt;&gt;"",PROPER(_xlpm.CSVVal)
)),"")</f>
        <v/>
      </c>
      <c r="H34" s="2" t="str" cm="1">
        <f t="array" ref="H34">IFERROR(_xlfn.LET(
_xlpm.CSVVal,_xlfn.XLOOKUP($A34,CSV!$A:$A,CSV!H:H,""),
_xlpm.MacVal,_xlfn.XLOOKUP($A34,Output_Mac!$A:$A,Output_Mac!H:H,""),
_xlpm.MyAuditVal,_xlfn.XLOOKUP($A34,My_Audit!$A:$A,My_Audit!G:G,""),
_xlfn.IFS(_xlpm.MyAuditVal&lt;&gt;"",_xlpm.MyAuditVal,_xlpm.MacVal&lt;&gt;"",_xlpm.MacVal,_xlpm.CSVVal&lt;&gt;"",_xlpm.CSVVal
)),"")</f>
        <v/>
      </c>
      <c r="I34" s="2" t="str">
        <f>_xlfn.XLOOKUP(A34,Output_Mac!A:A,Output_Mac!I:I,"")</f>
        <v/>
      </c>
      <c r="J34" s="2" t="str" cm="1">
        <f t="array" ref="J34">IFERROR(_xlfn.LET(
_xlpm.CSVVal,_xlfn.XLOOKUP($A34,CSV!$A:$A,CSV!I:I,""),
_xlpm.MacVal,_xlfn.XLOOKUP($A34,Output_Mac!$A:$A,Output_Mac!J:J,""),
_xlpm.MyAuditVal,_xlfn.XLOOKUP($A34,My_Audit!$A:$A,My_Audit!I:I,""),
_xlfn.IFS(_xlpm.MyAuditVal&lt;&gt;"",UPPER(_xlpm.MyAuditVal),_xlpm.MacVal&lt;&gt;"",_xlpm.MacVal,_xlpm.CSVVal&lt;&gt;"",_xlpm.CSVVal
)),"")</f>
        <v/>
      </c>
      <c r="K34" s="2" t="str" cm="1">
        <f t="array" ref="K34">IFERROR(_xlfn.LET(
_xlpm.CSVVal,_xlfn.XLOOKUP($A34,CSV!$A:$A,CSV!K:K,""),
_xlpm.MacVal,_xlfn.XLOOKUP($A34,Output_Mac!$A:$A,Output_Mac!K:K,""),
_xlpm.MyAuditVal,_xlfn.XLOOKUP($A34,My_Audit!$A:$A,My_Audit!J:J,""),
_xlfn.IFS(_xlpm.MyAuditVal&lt;&gt;"",UPPER(_xlpm.MyAuditVal),_xlpm.MacVal&lt;&gt;"",_xlpm.MacVal,_xlpm.CSVVal&lt;&gt;"",_xlpm.CSVVal
)),"")</f>
        <v/>
      </c>
      <c r="L34" s="2" t="str" cm="1">
        <f t="array" ref="L34">IFERROR(_xlfn.LET(
_xlpm.CSVVal,_xlfn.XLOOKUP($A34,CSV!$A:$A,CSV!P:P,""),
_xlpm.MacVal,_xlfn.XLOOKUP($A34,Output_Mac!$A:$A,Output_Mac!L:L,""),
_xlpm.MyAuditVal,_xlfn.XLOOKUP($A34,My_Audit!$A:$A,My_Audit!K:K,""),
_xlfn.IFS(_xlpm.MyAuditVal&lt;&gt;"",UPPER(_xlpm.MyAuditVal),_xlpm.MacVal&lt;&gt;"",_xlpm.MacVal,_xlpm.CSVVal&lt;&gt;"",_xlpm.CSVVal
)),"")</f>
        <v/>
      </c>
      <c r="M34" s="2" t="str" cm="1">
        <f t="array" ref="M34">IFERROR(_xlfn.LET(
_xlpm.CSVVal,_xlfn.XLOOKUP($A34,CSV!$A:$A,CSV!Q:Q,""),
_xlpm.MacVal,_xlfn.XLOOKUP($A34,Output_Mac!$A:$A,Output_Mac!M:M,""),
_xlpm.MyAuditVal,_xlfn.XLOOKUP($A34,My_Audit!$A:$A,My_Audit!L:L,""),
_xlfn.IFS(_xlpm.MyAuditVal&lt;&gt;"",UPPER(_xlpm.MyAuditVal),_xlpm.MacVal&lt;&gt;"",_xlpm.MacVal,_xlpm.CSVVal&lt;&gt;"",_xlpm.CSVVal
)),"")</f>
        <v/>
      </c>
      <c r="O34" s="2" t="str">
        <f>_xlfn.LET(
    _xlpm.CSVVal, _xlfn.XLOOKUP($A34, CSV!$A:$A, CSV!AA:AA, ""),
    _xlpm.MacVal, _xlfn.XLOOKUP($A34, Output_Mac!$A:$A, Output_Mac!S:S, ""),
    _xlpm.MyAuditVal, _xlfn.XLOOKUP($A34, My_Audit!$A:$A, My_Audit!P:P, ""),
    _xlfn.TEXTJOIN(", ", TRUE, _xlpm.MyAuditVal, _xlpm.MacVal, _xlpm.CSVVal)
)</f>
        <v/>
      </c>
      <c r="P34" s="2" t="str" cm="1">
        <f t="array" ref="P34">IFERROR(_xlfn.LET(
_xlpm.CSVVal,_xlfn.XLOOKUP($A34,CSV!$A:$A,CSV!AB:AB,""),
_xlpm.MacVal,_xlfn.XLOOKUP($A34,Output_Mac!$A:$A,Output_Mac!T:T,""),
_xlpm.MyAuditVal,_xlfn.XLOOKUP($A34,My_Audit!$A:$A,My_Audit!Q:Q,""),
_xlfn.IFS(_xlpm.MyAuditVal&lt;&gt;"",UPPER(_xlpm.MyAuditVal),_xlpm.MacVal&lt;&gt;"",_xlpm.MacVal,_xlpm.CSVVal&lt;&gt;"",_xlpm.CSVVal
)),"No")</f>
        <v>No</v>
      </c>
      <c r="Q34" s="2" t="str" cm="1">
        <f t="array" ref="Q34">IFERROR(_xlfn.LET(
_xlpm.CSVVal,_xlfn.XLOOKUP($A34,CSV!$A:$A,CSV!AC:AC,""),
_xlpm.MacVal,_xlfn.XLOOKUP($A34,Output_Mac!$A:$A,Output_Mac!U:U,""),
_xlpm.MyAuditVal,_xlfn.XLOOKUP($A34,My_Audit!$A:$A,My_Audit!R:R,""),
_xlfn.IFS(_xlpm.MyAuditVal&lt;&gt;"",UPPER(_xlpm.MyAuditVal),_xlpm.MacVal&lt;&gt;"",_xlpm.MacVal,_xlpm.CSVVal&lt;&gt;"",_xlpm.CSVVal
)),"")</f>
        <v/>
      </c>
      <c r="X34" t="str">
        <f>_xlfn.LET(
    _xlpm.MacVal, _xlfn.XLOOKUP($A34, Output_Mac!$A:$A, Output_Mac!AB:AB, ""),
    _xlpm.MyAuditVal, _xlfn.XLOOKUP($A34, My_Audit!$A:$A, My_Audit!N:N, ""),
    _xlfn.TEXTJOIN(", ", TRUE, _xlpm.MyAuditVal, _xlpm.MacVal)
)</f>
        <v/>
      </c>
    </row>
    <row r="35" spans="1:24">
      <c r="A35" s="2" t="str">
        <f>_xlfn.TEXTJOIN("",TRUE,Input!$B$2,ROW(My_Audit!A34))</f>
        <v>X34</v>
      </c>
      <c r="B35" s="2" t="str">
        <f>_xlfn.TEXTJOIN("-",TRUE,"ITD",Input!$A$2,A35)</f>
        <v>ITD-SHR-X34</v>
      </c>
      <c r="C35" s="2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2" t="str" cm="1">
        <f t="array" ref="D35">IFERROR(_xlfn.LET(
_xlpm.CSVVal,_xlfn.XLOOKUP($A35,CSV!$A:$A,CSV!D:D,""),
_xlpm.MacVal,_xlfn.XLOOKUP($A35,Output_Mac!$A:$A,Output_Mac!C:C,""),
_xlpm.MyAuditVal,_xlfn.XLOOKUP($A35,My_Audit!$A:$A,My_Audit!C:C,""),
_xlfn.IFS(_xlpm.MyAuditVal&lt;&gt;"",_xlpm.MyAuditVal,_xlpm.MacVal&lt;&gt;"",_xlpm.MacVal,_xlpm.CSVVal&lt;&gt;"",_xlpm.CSVVal
)),"")</f>
        <v/>
      </c>
      <c r="E35" s="2">
        <f>_xlfn.XLOOKUP(A35,My_Audit!A:A,My_Audit!D:D,"")</f>
        <v>0</v>
      </c>
      <c r="F35" s="2" t="str" cm="1">
        <f t="array" ref="F35">IFERROR(_xlfn.LET(
_xlpm.CSVVal,_xlfn.XLOOKUP($A35,CSV!$A:$A,CSV!F:F,""),
_xlpm.MacVal,_xlfn.XLOOKUP($A35,Output_Mac!$A:$A,Output_Mac!E:E,""),
_xlpm.MyAuditVal,_xlfn.XLOOKUP($A35,My_Audit!$A:$A,My_Audit!E:E,""),
_xlfn.IFS(_xlpm.MyAuditVal&lt;&gt;"",_xlpm.MyAuditVal,_xlpm.MacVal&lt;&gt;"",_xlpm.MacVal,_xlpm.CSVVal&lt;&gt;"",_xlpm.CSVVal
)),"")</f>
        <v/>
      </c>
      <c r="G35" s="2" t="str" cm="1">
        <f t="array" ref="G35">IFERROR(_xlfn.LET(
_xlpm.CSVVal,_xlfn.XLOOKUP($A35,CSV!$A:$A,CSV!G:G,""),
_xlpm.MacVal,_xlfn.XLOOKUP($A35,Output_Mac!$A:$A,Output_Mac!F:F,""),
_xlpm.MyAuditVal,_xlfn.XLOOKUP($A35,My_Audit!$A:$A,My_Audit!F:F,""),
_xlfn.IFS(_xlpm.MyAuditVal&lt;&gt;"",_xlpm.MyAuditVal,_xlpm.MacVal&lt;&gt;"",_xlpm.MacVal,_xlpm.CSVVal&lt;&gt;"",PROPER(_xlpm.CSVVal)
)),"")</f>
        <v/>
      </c>
      <c r="H35" s="2" t="str" cm="1">
        <f t="array" ref="H35">IFERROR(_xlfn.LET(
_xlpm.CSVVal,_xlfn.XLOOKUP($A35,CSV!$A:$A,CSV!H:H,""),
_xlpm.MacVal,_xlfn.XLOOKUP($A35,Output_Mac!$A:$A,Output_Mac!H:H,""),
_xlpm.MyAuditVal,_xlfn.XLOOKUP($A35,My_Audit!$A:$A,My_Audit!G:G,""),
_xlfn.IFS(_xlpm.MyAuditVal&lt;&gt;"",_xlpm.MyAuditVal,_xlpm.MacVal&lt;&gt;"",_xlpm.MacVal,_xlpm.CSVVal&lt;&gt;"",_xlpm.CSVVal
)),"")</f>
        <v/>
      </c>
      <c r="I35" s="2" t="str">
        <f>_xlfn.XLOOKUP(A35,Output_Mac!A:A,Output_Mac!I:I,"")</f>
        <v/>
      </c>
      <c r="J35" s="2" t="str" cm="1">
        <f t="array" ref="J35">IFERROR(_xlfn.LET(
_xlpm.CSVVal,_xlfn.XLOOKUP($A35,CSV!$A:$A,CSV!I:I,""),
_xlpm.MacVal,_xlfn.XLOOKUP($A35,Output_Mac!$A:$A,Output_Mac!J:J,""),
_xlpm.MyAuditVal,_xlfn.XLOOKUP($A35,My_Audit!$A:$A,My_Audit!I:I,""),
_xlfn.IFS(_xlpm.MyAuditVal&lt;&gt;"",UPPER(_xlpm.MyAuditVal),_xlpm.MacVal&lt;&gt;"",_xlpm.MacVal,_xlpm.CSVVal&lt;&gt;"",_xlpm.CSVVal
)),"")</f>
        <v/>
      </c>
      <c r="K35" s="2" t="str" cm="1">
        <f t="array" ref="K35">IFERROR(_xlfn.LET(
_xlpm.CSVVal,_xlfn.XLOOKUP($A35,CSV!$A:$A,CSV!K:K,""),
_xlpm.MacVal,_xlfn.XLOOKUP($A35,Output_Mac!$A:$A,Output_Mac!K:K,""),
_xlpm.MyAuditVal,_xlfn.XLOOKUP($A35,My_Audit!$A:$A,My_Audit!J:J,""),
_xlfn.IFS(_xlpm.MyAuditVal&lt;&gt;"",UPPER(_xlpm.MyAuditVal),_xlpm.MacVal&lt;&gt;"",_xlpm.MacVal,_xlpm.CSVVal&lt;&gt;"",_xlpm.CSVVal
)),"")</f>
        <v/>
      </c>
      <c r="L35" s="2" t="str" cm="1">
        <f t="array" ref="L35">IFERROR(_xlfn.LET(
_xlpm.CSVVal,_xlfn.XLOOKUP($A35,CSV!$A:$A,CSV!P:P,""),
_xlpm.MacVal,_xlfn.XLOOKUP($A35,Output_Mac!$A:$A,Output_Mac!L:L,""),
_xlpm.MyAuditVal,_xlfn.XLOOKUP($A35,My_Audit!$A:$A,My_Audit!K:K,""),
_xlfn.IFS(_xlpm.MyAuditVal&lt;&gt;"",UPPER(_xlpm.MyAuditVal),_xlpm.MacVal&lt;&gt;"",_xlpm.MacVal,_xlpm.CSVVal&lt;&gt;"",_xlpm.CSVVal
)),"")</f>
        <v/>
      </c>
      <c r="M35" s="2" t="str" cm="1">
        <f t="array" ref="M35">IFERROR(_xlfn.LET(
_xlpm.CSVVal,_xlfn.XLOOKUP($A35,CSV!$A:$A,CSV!Q:Q,""),
_xlpm.MacVal,_xlfn.XLOOKUP($A35,Output_Mac!$A:$A,Output_Mac!M:M,""),
_xlpm.MyAuditVal,_xlfn.XLOOKUP($A35,My_Audit!$A:$A,My_Audit!L:L,""),
_xlfn.IFS(_xlpm.MyAuditVal&lt;&gt;"",UPPER(_xlpm.MyAuditVal),_xlpm.MacVal&lt;&gt;"",_xlpm.MacVal,_xlpm.CSVVal&lt;&gt;"",_xlpm.CSVVal
)),"")</f>
        <v/>
      </c>
      <c r="O35" s="2" t="str">
        <f>_xlfn.LET(
    _xlpm.CSVVal, _xlfn.XLOOKUP($A35, CSV!$A:$A, CSV!AA:AA, ""),
    _xlpm.MacVal, _xlfn.XLOOKUP($A35, Output_Mac!$A:$A, Output_Mac!S:S, ""),
    _xlpm.MyAuditVal, _xlfn.XLOOKUP($A35, My_Audit!$A:$A, My_Audit!P:P, ""),
    _xlfn.TEXTJOIN(", ", TRUE, _xlpm.MyAuditVal, _xlpm.MacVal, _xlpm.CSVVal)
)</f>
        <v/>
      </c>
      <c r="P35" s="2" t="str" cm="1">
        <f t="array" ref="P35">IFERROR(_xlfn.LET(
_xlpm.CSVVal,_xlfn.XLOOKUP($A35,CSV!$A:$A,CSV!AB:AB,""),
_xlpm.MacVal,_xlfn.XLOOKUP($A35,Output_Mac!$A:$A,Output_Mac!T:T,""),
_xlpm.MyAuditVal,_xlfn.XLOOKUP($A35,My_Audit!$A:$A,My_Audit!Q:Q,""),
_xlfn.IFS(_xlpm.MyAuditVal&lt;&gt;"",UPPER(_xlpm.MyAuditVal),_xlpm.MacVal&lt;&gt;"",_xlpm.MacVal,_xlpm.CSVVal&lt;&gt;"",_xlpm.CSVVal
)),"No")</f>
        <v>No</v>
      </c>
      <c r="Q35" s="2" t="str" cm="1">
        <f t="array" ref="Q35">IFERROR(_xlfn.LET(
_xlpm.CSVVal,_xlfn.XLOOKUP($A35,CSV!$A:$A,CSV!AC:AC,""),
_xlpm.MacVal,_xlfn.XLOOKUP($A35,Output_Mac!$A:$A,Output_Mac!U:U,""),
_xlpm.MyAuditVal,_xlfn.XLOOKUP($A35,My_Audit!$A:$A,My_Audit!R:R,""),
_xlfn.IFS(_xlpm.MyAuditVal&lt;&gt;"",UPPER(_xlpm.MyAuditVal),_xlpm.MacVal&lt;&gt;"",_xlpm.MacVal,_xlpm.CSVVal&lt;&gt;"",_xlpm.CSVVal
)),"")</f>
        <v/>
      </c>
      <c r="X35" t="str">
        <f>_xlfn.LET(
    _xlpm.MacVal, _xlfn.XLOOKUP($A35, Output_Mac!$A:$A, Output_Mac!AB:AB, ""),
    _xlpm.MyAuditVal, _xlfn.XLOOKUP($A35, My_Audit!$A:$A, My_Audit!N:N, ""),
    _xlfn.TEXTJOIN(", ", TRUE, _xlpm.MyAuditVal, _xlpm.MacVal)
)</f>
        <v/>
      </c>
    </row>
    <row r="36" spans="1:24">
      <c r="A36" s="2" t="str">
        <f>_xlfn.TEXTJOIN("",TRUE,Input!$B$2,ROW(My_Audit!A35))</f>
        <v>X35</v>
      </c>
      <c r="B36" s="2" t="str">
        <f>_xlfn.TEXTJOIN("-",TRUE,"ITD",Input!$A$2,A36)</f>
        <v>ITD-SHR-X35</v>
      </c>
      <c r="C36" s="2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2" t="str" cm="1">
        <f t="array" ref="D36">IFERROR(_xlfn.LET(
_xlpm.CSVVal,_xlfn.XLOOKUP($A36,CSV!$A:$A,CSV!D:D,""),
_xlpm.MacVal,_xlfn.XLOOKUP($A36,Output_Mac!$A:$A,Output_Mac!C:C,""),
_xlpm.MyAuditVal,_xlfn.XLOOKUP($A36,My_Audit!$A:$A,My_Audit!C:C,""),
_xlfn.IFS(_xlpm.MyAuditVal&lt;&gt;"",_xlpm.MyAuditVal,_xlpm.MacVal&lt;&gt;"",_xlpm.MacVal,_xlpm.CSVVal&lt;&gt;"",_xlpm.CSVVal
)),"")</f>
        <v/>
      </c>
      <c r="E36" s="2">
        <f>_xlfn.XLOOKUP(A36,My_Audit!A:A,My_Audit!D:D,"")</f>
        <v>0</v>
      </c>
      <c r="F36" s="2" t="str" cm="1">
        <f t="array" ref="F36">IFERROR(_xlfn.LET(
_xlpm.CSVVal,_xlfn.XLOOKUP($A36,CSV!$A:$A,CSV!F:F,""),
_xlpm.MacVal,_xlfn.XLOOKUP($A36,Output_Mac!$A:$A,Output_Mac!E:E,""),
_xlpm.MyAuditVal,_xlfn.XLOOKUP($A36,My_Audit!$A:$A,My_Audit!E:E,""),
_xlfn.IFS(_xlpm.MyAuditVal&lt;&gt;"",_xlpm.MyAuditVal,_xlpm.MacVal&lt;&gt;"",_xlpm.MacVal,_xlpm.CSVVal&lt;&gt;"",_xlpm.CSVVal
)),"")</f>
        <v/>
      </c>
      <c r="G36" s="2" t="str" cm="1">
        <f t="array" ref="G36">IFERROR(_xlfn.LET(
_xlpm.CSVVal,_xlfn.XLOOKUP($A36,CSV!$A:$A,CSV!G:G,""),
_xlpm.MacVal,_xlfn.XLOOKUP($A36,Output_Mac!$A:$A,Output_Mac!F:F,""),
_xlpm.MyAuditVal,_xlfn.XLOOKUP($A36,My_Audit!$A:$A,My_Audit!F:F,""),
_xlfn.IFS(_xlpm.MyAuditVal&lt;&gt;"",_xlpm.MyAuditVal,_xlpm.MacVal&lt;&gt;"",_xlpm.MacVal,_xlpm.CSVVal&lt;&gt;"",PROPER(_xlpm.CSVVal)
)),"")</f>
        <v/>
      </c>
      <c r="H36" s="2" t="str" cm="1">
        <f t="array" ref="H36">IFERROR(_xlfn.LET(
_xlpm.CSVVal,_xlfn.XLOOKUP($A36,CSV!$A:$A,CSV!H:H,""),
_xlpm.MacVal,_xlfn.XLOOKUP($A36,Output_Mac!$A:$A,Output_Mac!H:H,""),
_xlpm.MyAuditVal,_xlfn.XLOOKUP($A36,My_Audit!$A:$A,My_Audit!G:G,""),
_xlfn.IFS(_xlpm.MyAuditVal&lt;&gt;"",_xlpm.MyAuditVal,_xlpm.MacVal&lt;&gt;"",_xlpm.MacVal,_xlpm.CSVVal&lt;&gt;"",_xlpm.CSVVal
)),"")</f>
        <v/>
      </c>
      <c r="I36" s="2" t="str">
        <f>_xlfn.XLOOKUP(A36,Output_Mac!A:A,Output_Mac!I:I,"")</f>
        <v/>
      </c>
      <c r="J36" s="2" t="str" cm="1">
        <f t="array" ref="J36">IFERROR(_xlfn.LET(
_xlpm.CSVVal,_xlfn.XLOOKUP($A36,CSV!$A:$A,CSV!I:I,""),
_xlpm.MacVal,_xlfn.XLOOKUP($A36,Output_Mac!$A:$A,Output_Mac!J:J,""),
_xlpm.MyAuditVal,_xlfn.XLOOKUP($A36,My_Audit!$A:$A,My_Audit!I:I,""),
_xlfn.IFS(_xlpm.MyAuditVal&lt;&gt;"",UPPER(_xlpm.MyAuditVal),_xlpm.MacVal&lt;&gt;"",_xlpm.MacVal,_xlpm.CSVVal&lt;&gt;"",_xlpm.CSVVal
)),"")</f>
        <v/>
      </c>
      <c r="K36" s="2" t="str" cm="1">
        <f t="array" ref="K36">IFERROR(_xlfn.LET(
_xlpm.CSVVal,_xlfn.XLOOKUP($A36,CSV!$A:$A,CSV!K:K,""),
_xlpm.MacVal,_xlfn.XLOOKUP($A36,Output_Mac!$A:$A,Output_Mac!K:K,""),
_xlpm.MyAuditVal,_xlfn.XLOOKUP($A36,My_Audit!$A:$A,My_Audit!J:J,""),
_xlfn.IFS(_xlpm.MyAuditVal&lt;&gt;"",UPPER(_xlpm.MyAuditVal),_xlpm.MacVal&lt;&gt;"",_xlpm.MacVal,_xlpm.CSVVal&lt;&gt;"",_xlpm.CSVVal
)),"")</f>
        <v/>
      </c>
      <c r="L36" s="2" t="str" cm="1">
        <f t="array" ref="L36">IFERROR(_xlfn.LET(
_xlpm.CSVVal,_xlfn.XLOOKUP($A36,CSV!$A:$A,CSV!P:P,""),
_xlpm.MacVal,_xlfn.XLOOKUP($A36,Output_Mac!$A:$A,Output_Mac!L:L,""),
_xlpm.MyAuditVal,_xlfn.XLOOKUP($A36,My_Audit!$A:$A,My_Audit!K:K,""),
_xlfn.IFS(_xlpm.MyAuditVal&lt;&gt;"",UPPER(_xlpm.MyAuditVal),_xlpm.MacVal&lt;&gt;"",_xlpm.MacVal,_xlpm.CSVVal&lt;&gt;"",_xlpm.CSVVal
)),"")</f>
        <v/>
      </c>
      <c r="M36" s="2" t="str" cm="1">
        <f t="array" ref="M36">IFERROR(_xlfn.LET(
_xlpm.CSVVal,_xlfn.XLOOKUP($A36,CSV!$A:$A,CSV!Q:Q,""),
_xlpm.MacVal,_xlfn.XLOOKUP($A36,Output_Mac!$A:$A,Output_Mac!M:M,""),
_xlpm.MyAuditVal,_xlfn.XLOOKUP($A36,My_Audit!$A:$A,My_Audit!L:L,""),
_xlfn.IFS(_xlpm.MyAuditVal&lt;&gt;"",UPPER(_xlpm.MyAuditVal),_xlpm.MacVal&lt;&gt;"",_xlpm.MacVal,_xlpm.CSVVal&lt;&gt;"",_xlpm.CSVVal
)),"")</f>
        <v/>
      </c>
      <c r="O36" s="2" t="str">
        <f>_xlfn.LET(
    _xlpm.CSVVal, _xlfn.XLOOKUP($A36, CSV!$A:$A, CSV!AA:AA, ""),
    _xlpm.MacVal, _xlfn.XLOOKUP($A36, Output_Mac!$A:$A, Output_Mac!S:S, ""),
    _xlpm.MyAuditVal, _xlfn.XLOOKUP($A36, My_Audit!$A:$A, My_Audit!P:P, ""),
    _xlfn.TEXTJOIN(", ", TRUE, _xlpm.MyAuditVal, _xlpm.MacVal, _xlpm.CSVVal)
)</f>
        <v/>
      </c>
      <c r="P36" s="2" t="str" cm="1">
        <f t="array" ref="P36">IFERROR(_xlfn.LET(
_xlpm.CSVVal,_xlfn.XLOOKUP($A36,CSV!$A:$A,CSV!AB:AB,""),
_xlpm.MacVal,_xlfn.XLOOKUP($A36,Output_Mac!$A:$A,Output_Mac!T:T,""),
_xlpm.MyAuditVal,_xlfn.XLOOKUP($A36,My_Audit!$A:$A,My_Audit!Q:Q,""),
_xlfn.IFS(_xlpm.MyAuditVal&lt;&gt;"",UPPER(_xlpm.MyAuditVal),_xlpm.MacVal&lt;&gt;"",_xlpm.MacVal,_xlpm.CSVVal&lt;&gt;"",_xlpm.CSVVal
)),"No")</f>
        <v>No</v>
      </c>
      <c r="Q36" s="2" t="str" cm="1">
        <f t="array" ref="Q36">IFERROR(_xlfn.LET(
_xlpm.CSVVal,_xlfn.XLOOKUP($A36,CSV!$A:$A,CSV!AC:AC,""),
_xlpm.MacVal,_xlfn.XLOOKUP($A36,Output_Mac!$A:$A,Output_Mac!U:U,""),
_xlpm.MyAuditVal,_xlfn.XLOOKUP($A36,My_Audit!$A:$A,My_Audit!R:R,""),
_xlfn.IFS(_xlpm.MyAuditVal&lt;&gt;"",UPPER(_xlpm.MyAuditVal),_xlpm.MacVal&lt;&gt;"",_xlpm.MacVal,_xlpm.CSVVal&lt;&gt;"",_xlpm.CSVVal
)),"")</f>
        <v/>
      </c>
      <c r="X36" t="str">
        <f>_xlfn.LET(
    _xlpm.MacVal, _xlfn.XLOOKUP($A36, Output_Mac!$A:$A, Output_Mac!AB:AB, ""),
    _xlpm.MyAuditVal, _xlfn.XLOOKUP($A36, My_Audit!$A:$A, My_Audit!N:N, ""),
    _xlfn.TEXTJOIN(", ", TRUE, _xlpm.MyAuditVal, _xlpm.MacVal)
)</f>
        <v/>
      </c>
    </row>
    <row r="37" spans="1:24">
      <c r="A37" s="2" t="str">
        <f>_xlfn.TEXTJOIN("",TRUE,Input!$B$2,ROW(My_Audit!A36))</f>
        <v>X36</v>
      </c>
      <c r="B37" s="2" t="str">
        <f>_xlfn.TEXTJOIN("-",TRUE,"ITD",Input!$A$2,A37)</f>
        <v>ITD-SHR-X36</v>
      </c>
      <c r="C37" s="2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2" t="str" cm="1">
        <f t="array" ref="D37">IFERROR(_xlfn.LET(
_xlpm.CSVVal,_xlfn.XLOOKUP($A37,CSV!$A:$A,CSV!D:D,""),
_xlpm.MacVal,_xlfn.XLOOKUP($A37,Output_Mac!$A:$A,Output_Mac!C:C,""),
_xlpm.MyAuditVal,_xlfn.XLOOKUP($A37,My_Audit!$A:$A,My_Audit!C:C,""),
_xlfn.IFS(_xlpm.MyAuditVal&lt;&gt;"",_xlpm.MyAuditVal,_xlpm.MacVal&lt;&gt;"",_xlpm.MacVal,_xlpm.CSVVal&lt;&gt;"",_xlpm.CSVVal
)),"")</f>
        <v/>
      </c>
      <c r="E37" s="2">
        <f>_xlfn.XLOOKUP(A37,My_Audit!A:A,My_Audit!D:D,"")</f>
        <v>0</v>
      </c>
      <c r="F37" s="2" t="str" cm="1">
        <f t="array" ref="F37">IFERROR(_xlfn.LET(
_xlpm.CSVVal,_xlfn.XLOOKUP($A37,CSV!$A:$A,CSV!F:F,""),
_xlpm.MacVal,_xlfn.XLOOKUP($A37,Output_Mac!$A:$A,Output_Mac!E:E,""),
_xlpm.MyAuditVal,_xlfn.XLOOKUP($A37,My_Audit!$A:$A,My_Audit!E:E,""),
_xlfn.IFS(_xlpm.MyAuditVal&lt;&gt;"",_xlpm.MyAuditVal,_xlpm.MacVal&lt;&gt;"",_xlpm.MacVal,_xlpm.CSVVal&lt;&gt;"",_xlpm.CSVVal
)),"")</f>
        <v/>
      </c>
      <c r="G37" s="2" t="str" cm="1">
        <f t="array" ref="G37">IFERROR(_xlfn.LET(
_xlpm.CSVVal,_xlfn.XLOOKUP($A37,CSV!$A:$A,CSV!G:G,""),
_xlpm.MacVal,_xlfn.XLOOKUP($A37,Output_Mac!$A:$A,Output_Mac!F:F,""),
_xlpm.MyAuditVal,_xlfn.XLOOKUP($A37,My_Audit!$A:$A,My_Audit!F:F,""),
_xlfn.IFS(_xlpm.MyAuditVal&lt;&gt;"",_xlpm.MyAuditVal,_xlpm.MacVal&lt;&gt;"",_xlpm.MacVal,_xlpm.CSVVal&lt;&gt;"",PROPER(_xlpm.CSVVal)
)),"")</f>
        <v/>
      </c>
      <c r="H37" s="2" t="str" cm="1">
        <f t="array" ref="H37">IFERROR(_xlfn.LET(
_xlpm.CSVVal,_xlfn.XLOOKUP($A37,CSV!$A:$A,CSV!H:H,""),
_xlpm.MacVal,_xlfn.XLOOKUP($A37,Output_Mac!$A:$A,Output_Mac!H:H,""),
_xlpm.MyAuditVal,_xlfn.XLOOKUP($A37,My_Audit!$A:$A,My_Audit!G:G,""),
_xlfn.IFS(_xlpm.MyAuditVal&lt;&gt;"",_xlpm.MyAuditVal,_xlpm.MacVal&lt;&gt;"",_xlpm.MacVal,_xlpm.CSVVal&lt;&gt;"",_xlpm.CSVVal
)),"")</f>
        <v/>
      </c>
      <c r="I37" s="2" t="str">
        <f>_xlfn.XLOOKUP(A37,Output_Mac!A:A,Output_Mac!I:I,"")</f>
        <v/>
      </c>
      <c r="J37" s="2" t="str" cm="1">
        <f t="array" ref="J37">IFERROR(_xlfn.LET(
_xlpm.CSVVal,_xlfn.XLOOKUP($A37,CSV!$A:$A,CSV!I:I,""),
_xlpm.MacVal,_xlfn.XLOOKUP($A37,Output_Mac!$A:$A,Output_Mac!J:J,""),
_xlpm.MyAuditVal,_xlfn.XLOOKUP($A37,My_Audit!$A:$A,My_Audit!I:I,""),
_xlfn.IFS(_xlpm.MyAuditVal&lt;&gt;"",UPPER(_xlpm.MyAuditVal),_xlpm.MacVal&lt;&gt;"",_xlpm.MacVal,_xlpm.CSVVal&lt;&gt;"",_xlpm.CSVVal
)),"")</f>
        <v/>
      </c>
      <c r="K37" s="2" t="str" cm="1">
        <f t="array" ref="K37">IFERROR(_xlfn.LET(
_xlpm.CSVVal,_xlfn.XLOOKUP($A37,CSV!$A:$A,CSV!K:K,""),
_xlpm.MacVal,_xlfn.XLOOKUP($A37,Output_Mac!$A:$A,Output_Mac!K:K,""),
_xlpm.MyAuditVal,_xlfn.XLOOKUP($A37,My_Audit!$A:$A,My_Audit!J:J,""),
_xlfn.IFS(_xlpm.MyAuditVal&lt;&gt;"",UPPER(_xlpm.MyAuditVal),_xlpm.MacVal&lt;&gt;"",_xlpm.MacVal,_xlpm.CSVVal&lt;&gt;"",_xlpm.CSVVal
)),"")</f>
        <v/>
      </c>
      <c r="L37" s="2" t="str" cm="1">
        <f t="array" ref="L37">IFERROR(_xlfn.LET(
_xlpm.CSVVal,_xlfn.XLOOKUP($A37,CSV!$A:$A,CSV!P:P,""),
_xlpm.MacVal,_xlfn.XLOOKUP($A37,Output_Mac!$A:$A,Output_Mac!L:L,""),
_xlpm.MyAuditVal,_xlfn.XLOOKUP($A37,My_Audit!$A:$A,My_Audit!K:K,""),
_xlfn.IFS(_xlpm.MyAuditVal&lt;&gt;"",UPPER(_xlpm.MyAuditVal),_xlpm.MacVal&lt;&gt;"",_xlpm.MacVal,_xlpm.CSVVal&lt;&gt;"",_xlpm.CSVVal
)),"")</f>
        <v/>
      </c>
      <c r="M37" s="2" t="str" cm="1">
        <f t="array" ref="M37">IFERROR(_xlfn.LET(
_xlpm.CSVVal,_xlfn.XLOOKUP($A37,CSV!$A:$A,CSV!Q:Q,""),
_xlpm.MacVal,_xlfn.XLOOKUP($A37,Output_Mac!$A:$A,Output_Mac!M:M,""),
_xlpm.MyAuditVal,_xlfn.XLOOKUP($A37,My_Audit!$A:$A,My_Audit!L:L,""),
_xlfn.IFS(_xlpm.MyAuditVal&lt;&gt;"",UPPER(_xlpm.MyAuditVal),_xlpm.MacVal&lt;&gt;"",_xlpm.MacVal,_xlpm.CSVVal&lt;&gt;"",_xlpm.CSVVal
)),"")</f>
        <v/>
      </c>
      <c r="O37" s="2" t="str">
        <f>_xlfn.LET(
    _xlpm.CSVVal, _xlfn.XLOOKUP($A37, CSV!$A:$A, CSV!AA:AA, ""),
    _xlpm.MacVal, _xlfn.XLOOKUP($A37, Output_Mac!$A:$A, Output_Mac!S:S, ""),
    _xlpm.MyAuditVal, _xlfn.XLOOKUP($A37, My_Audit!$A:$A, My_Audit!P:P, ""),
    _xlfn.TEXTJOIN(", ", TRUE, _xlpm.MyAuditVal, _xlpm.MacVal, _xlpm.CSVVal)
)</f>
        <v/>
      </c>
      <c r="P37" s="2" t="str" cm="1">
        <f t="array" ref="P37">IFERROR(_xlfn.LET(
_xlpm.CSVVal,_xlfn.XLOOKUP($A37,CSV!$A:$A,CSV!AB:AB,""),
_xlpm.MacVal,_xlfn.XLOOKUP($A37,Output_Mac!$A:$A,Output_Mac!T:T,""),
_xlpm.MyAuditVal,_xlfn.XLOOKUP($A37,My_Audit!$A:$A,My_Audit!Q:Q,""),
_xlfn.IFS(_xlpm.MyAuditVal&lt;&gt;"",UPPER(_xlpm.MyAuditVal),_xlpm.MacVal&lt;&gt;"",_xlpm.MacVal,_xlpm.CSVVal&lt;&gt;"",_xlpm.CSVVal
)),"No")</f>
        <v>No</v>
      </c>
      <c r="Q37" s="2" t="str" cm="1">
        <f t="array" ref="Q37">IFERROR(_xlfn.LET(
_xlpm.CSVVal,_xlfn.XLOOKUP($A37,CSV!$A:$A,CSV!AC:AC,""),
_xlpm.MacVal,_xlfn.XLOOKUP($A37,Output_Mac!$A:$A,Output_Mac!U:U,""),
_xlpm.MyAuditVal,_xlfn.XLOOKUP($A37,My_Audit!$A:$A,My_Audit!R:R,""),
_xlfn.IFS(_xlpm.MyAuditVal&lt;&gt;"",UPPER(_xlpm.MyAuditVal),_xlpm.MacVal&lt;&gt;"",_xlpm.MacVal,_xlpm.CSVVal&lt;&gt;"",_xlpm.CSVVal
)),"")</f>
        <v/>
      </c>
      <c r="X37" t="str">
        <f>_xlfn.LET(
    _xlpm.MacVal, _xlfn.XLOOKUP($A37, Output_Mac!$A:$A, Output_Mac!AB:AB, ""),
    _xlpm.MyAuditVal, _xlfn.XLOOKUP($A37, My_Audit!$A:$A, My_Audit!N:N, ""),
    _xlfn.TEXTJOIN(", ", TRUE, _xlpm.MyAuditVal, _xlpm.MacVal)
)</f>
        <v/>
      </c>
    </row>
    <row r="38" spans="1:24">
      <c r="A38" s="2" t="str">
        <f>_xlfn.TEXTJOIN("",TRUE,Input!$B$2,ROW(My_Audit!A37))</f>
        <v>X37</v>
      </c>
      <c r="B38" s="2" t="str">
        <f>_xlfn.TEXTJOIN("-",TRUE,"ITD",Input!$A$2,A38)</f>
        <v>ITD-SHR-X37</v>
      </c>
      <c r="C38" s="2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2" t="str" cm="1">
        <f t="array" ref="D38">IFERROR(_xlfn.LET(
_xlpm.CSVVal,_xlfn.XLOOKUP($A38,CSV!$A:$A,CSV!D:D,""),
_xlpm.MacVal,_xlfn.XLOOKUP($A38,Output_Mac!$A:$A,Output_Mac!C:C,""),
_xlpm.MyAuditVal,_xlfn.XLOOKUP($A38,My_Audit!$A:$A,My_Audit!C:C,""),
_xlfn.IFS(_xlpm.MyAuditVal&lt;&gt;"",_xlpm.MyAuditVal,_xlpm.MacVal&lt;&gt;"",_xlpm.MacVal,_xlpm.CSVVal&lt;&gt;"",_xlpm.CSVVal
)),"")</f>
        <v/>
      </c>
      <c r="E38" s="2">
        <f>_xlfn.XLOOKUP(A38,My_Audit!A:A,My_Audit!D:D,"")</f>
        <v>0</v>
      </c>
      <c r="F38" s="2" t="str" cm="1">
        <f t="array" ref="F38">IFERROR(_xlfn.LET(
_xlpm.CSVVal,_xlfn.XLOOKUP($A38,CSV!$A:$A,CSV!F:F,""),
_xlpm.MacVal,_xlfn.XLOOKUP($A38,Output_Mac!$A:$A,Output_Mac!E:E,""),
_xlpm.MyAuditVal,_xlfn.XLOOKUP($A38,My_Audit!$A:$A,My_Audit!E:E,""),
_xlfn.IFS(_xlpm.MyAuditVal&lt;&gt;"",_xlpm.MyAuditVal,_xlpm.MacVal&lt;&gt;"",_xlpm.MacVal,_xlpm.CSVVal&lt;&gt;"",_xlpm.CSVVal
)),"")</f>
        <v/>
      </c>
      <c r="G38" s="2" t="str" cm="1">
        <f t="array" ref="G38">IFERROR(_xlfn.LET(
_xlpm.CSVVal,_xlfn.XLOOKUP($A38,CSV!$A:$A,CSV!G:G,""),
_xlpm.MacVal,_xlfn.XLOOKUP($A38,Output_Mac!$A:$A,Output_Mac!F:F,""),
_xlpm.MyAuditVal,_xlfn.XLOOKUP($A38,My_Audit!$A:$A,My_Audit!F:F,""),
_xlfn.IFS(_xlpm.MyAuditVal&lt;&gt;"",_xlpm.MyAuditVal,_xlpm.MacVal&lt;&gt;"",_xlpm.MacVal,_xlpm.CSVVal&lt;&gt;"",PROPER(_xlpm.CSVVal)
)),"")</f>
        <v/>
      </c>
      <c r="H38" s="2" t="str" cm="1">
        <f t="array" ref="H38">IFERROR(_xlfn.LET(
_xlpm.CSVVal,_xlfn.XLOOKUP($A38,CSV!$A:$A,CSV!H:H,""),
_xlpm.MacVal,_xlfn.XLOOKUP($A38,Output_Mac!$A:$A,Output_Mac!H:H,""),
_xlpm.MyAuditVal,_xlfn.XLOOKUP($A38,My_Audit!$A:$A,My_Audit!G:G,""),
_xlfn.IFS(_xlpm.MyAuditVal&lt;&gt;"",_xlpm.MyAuditVal,_xlpm.MacVal&lt;&gt;"",_xlpm.MacVal,_xlpm.CSVVal&lt;&gt;"",_xlpm.CSVVal
)),"")</f>
        <v/>
      </c>
      <c r="I38" s="2" t="str">
        <f>_xlfn.XLOOKUP(A38,Output_Mac!A:A,Output_Mac!I:I,"")</f>
        <v/>
      </c>
      <c r="J38" s="2" t="str" cm="1">
        <f t="array" ref="J38">IFERROR(_xlfn.LET(
_xlpm.CSVVal,_xlfn.XLOOKUP($A38,CSV!$A:$A,CSV!I:I,""),
_xlpm.MacVal,_xlfn.XLOOKUP($A38,Output_Mac!$A:$A,Output_Mac!J:J,""),
_xlpm.MyAuditVal,_xlfn.XLOOKUP($A38,My_Audit!$A:$A,My_Audit!I:I,""),
_xlfn.IFS(_xlpm.MyAuditVal&lt;&gt;"",UPPER(_xlpm.MyAuditVal),_xlpm.MacVal&lt;&gt;"",_xlpm.MacVal,_xlpm.CSVVal&lt;&gt;"",_xlpm.CSVVal
)),"")</f>
        <v/>
      </c>
      <c r="K38" s="2" t="str" cm="1">
        <f t="array" ref="K38">IFERROR(_xlfn.LET(
_xlpm.CSVVal,_xlfn.XLOOKUP($A38,CSV!$A:$A,CSV!K:K,""),
_xlpm.MacVal,_xlfn.XLOOKUP($A38,Output_Mac!$A:$A,Output_Mac!K:K,""),
_xlpm.MyAuditVal,_xlfn.XLOOKUP($A38,My_Audit!$A:$A,My_Audit!J:J,""),
_xlfn.IFS(_xlpm.MyAuditVal&lt;&gt;"",UPPER(_xlpm.MyAuditVal),_xlpm.MacVal&lt;&gt;"",_xlpm.MacVal,_xlpm.CSVVal&lt;&gt;"",_xlpm.CSVVal
)),"")</f>
        <v/>
      </c>
      <c r="L38" s="2" t="str" cm="1">
        <f t="array" ref="L38">IFERROR(_xlfn.LET(
_xlpm.CSVVal,_xlfn.XLOOKUP($A38,CSV!$A:$A,CSV!P:P,""),
_xlpm.MacVal,_xlfn.XLOOKUP($A38,Output_Mac!$A:$A,Output_Mac!L:L,""),
_xlpm.MyAuditVal,_xlfn.XLOOKUP($A38,My_Audit!$A:$A,My_Audit!K:K,""),
_xlfn.IFS(_xlpm.MyAuditVal&lt;&gt;"",UPPER(_xlpm.MyAuditVal),_xlpm.MacVal&lt;&gt;"",_xlpm.MacVal,_xlpm.CSVVal&lt;&gt;"",_xlpm.CSVVal
)),"")</f>
        <v/>
      </c>
      <c r="M38" s="2" t="str" cm="1">
        <f t="array" ref="M38">IFERROR(_xlfn.LET(
_xlpm.CSVVal,_xlfn.XLOOKUP($A38,CSV!$A:$A,CSV!Q:Q,""),
_xlpm.MacVal,_xlfn.XLOOKUP($A38,Output_Mac!$A:$A,Output_Mac!M:M,""),
_xlpm.MyAuditVal,_xlfn.XLOOKUP($A38,My_Audit!$A:$A,My_Audit!L:L,""),
_xlfn.IFS(_xlpm.MyAuditVal&lt;&gt;"",UPPER(_xlpm.MyAuditVal),_xlpm.MacVal&lt;&gt;"",_xlpm.MacVal,_xlpm.CSVVal&lt;&gt;"",_xlpm.CSVVal
)),"")</f>
        <v/>
      </c>
      <c r="O38" s="2" t="str">
        <f>_xlfn.LET(
    _xlpm.CSVVal, _xlfn.XLOOKUP($A38, CSV!$A:$A, CSV!AA:AA, ""),
    _xlpm.MacVal, _xlfn.XLOOKUP($A38, Output_Mac!$A:$A, Output_Mac!S:S, ""),
    _xlpm.MyAuditVal, _xlfn.XLOOKUP($A38, My_Audit!$A:$A, My_Audit!P:P, ""),
    _xlfn.TEXTJOIN(", ", TRUE, _xlpm.MyAuditVal, _xlpm.MacVal, _xlpm.CSVVal)
)</f>
        <v/>
      </c>
      <c r="P38" s="2" t="str" cm="1">
        <f t="array" ref="P38">IFERROR(_xlfn.LET(
_xlpm.CSVVal,_xlfn.XLOOKUP($A38,CSV!$A:$A,CSV!AB:AB,""),
_xlpm.MacVal,_xlfn.XLOOKUP($A38,Output_Mac!$A:$A,Output_Mac!T:T,""),
_xlpm.MyAuditVal,_xlfn.XLOOKUP($A38,My_Audit!$A:$A,My_Audit!Q:Q,""),
_xlfn.IFS(_xlpm.MyAuditVal&lt;&gt;"",UPPER(_xlpm.MyAuditVal),_xlpm.MacVal&lt;&gt;"",_xlpm.MacVal,_xlpm.CSVVal&lt;&gt;"",_xlpm.CSVVal
)),"No")</f>
        <v>No</v>
      </c>
      <c r="Q38" s="2" t="str" cm="1">
        <f t="array" ref="Q38">IFERROR(_xlfn.LET(
_xlpm.CSVVal,_xlfn.XLOOKUP($A38,CSV!$A:$A,CSV!AC:AC,""),
_xlpm.MacVal,_xlfn.XLOOKUP($A38,Output_Mac!$A:$A,Output_Mac!U:U,""),
_xlpm.MyAuditVal,_xlfn.XLOOKUP($A38,My_Audit!$A:$A,My_Audit!R:R,""),
_xlfn.IFS(_xlpm.MyAuditVal&lt;&gt;"",UPPER(_xlpm.MyAuditVal),_xlpm.MacVal&lt;&gt;"",_xlpm.MacVal,_xlpm.CSVVal&lt;&gt;"",_xlpm.CSVVal
)),"")</f>
        <v/>
      </c>
      <c r="X38" t="str">
        <f>_xlfn.LET(
    _xlpm.MacVal, _xlfn.XLOOKUP($A38, Output_Mac!$A:$A, Output_Mac!AB:AB, ""),
    _xlpm.MyAuditVal, _xlfn.XLOOKUP($A38, My_Audit!$A:$A, My_Audit!N:N, ""),
    _xlfn.TEXTJOIN(", ", TRUE, _xlpm.MyAuditVal, _xlpm.MacVal)
)</f>
        <v/>
      </c>
    </row>
    <row r="39" spans="1:24">
      <c r="A39" s="2" t="str">
        <f>_xlfn.TEXTJOIN("",TRUE,Input!$B$2,ROW(My_Audit!A38))</f>
        <v>X38</v>
      </c>
      <c r="B39" s="2" t="str">
        <f>_xlfn.TEXTJOIN("-",TRUE,"ITD",Input!$A$2,A39)</f>
        <v>ITD-SHR-X38</v>
      </c>
      <c r="C39" s="2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2" t="str" cm="1">
        <f t="array" ref="D39">IFERROR(_xlfn.LET(
_xlpm.CSVVal,_xlfn.XLOOKUP($A39,CSV!$A:$A,CSV!D:D,""),
_xlpm.MacVal,_xlfn.XLOOKUP($A39,Output_Mac!$A:$A,Output_Mac!C:C,""),
_xlpm.MyAuditVal,_xlfn.XLOOKUP($A39,My_Audit!$A:$A,My_Audit!C:C,""),
_xlfn.IFS(_xlpm.MyAuditVal&lt;&gt;"",_xlpm.MyAuditVal,_xlpm.MacVal&lt;&gt;"",_xlpm.MacVal,_xlpm.CSVVal&lt;&gt;"",_xlpm.CSVVal
)),"")</f>
        <v/>
      </c>
      <c r="E39" s="2">
        <f>_xlfn.XLOOKUP(A39,My_Audit!A:A,My_Audit!D:D,"")</f>
        <v>0</v>
      </c>
      <c r="F39" s="2" t="str" cm="1">
        <f t="array" ref="F39">IFERROR(_xlfn.LET(
_xlpm.CSVVal,_xlfn.XLOOKUP($A39,CSV!$A:$A,CSV!F:F,""),
_xlpm.MacVal,_xlfn.XLOOKUP($A39,Output_Mac!$A:$A,Output_Mac!E:E,""),
_xlpm.MyAuditVal,_xlfn.XLOOKUP($A39,My_Audit!$A:$A,My_Audit!E:E,""),
_xlfn.IFS(_xlpm.MyAuditVal&lt;&gt;"",_xlpm.MyAuditVal,_xlpm.MacVal&lt;&gt;"",_xlpm.MacVal,_xlpm.CSVVal&lt;&gt;"",_xlpm.CSVVal
)),"")</f>
        <v/>
      </c>
      <c r="G39" s="2" t="str" cm="1">
        <f t="array" ref="G39">IFERROR(_xlfn.LET(
_xlpm.CSVVal,_xlfn.XLOOKUP($A39,CSV!$A:$A,CSV!G:G,""),
_xlpm.MacVal,_xlfn.XLOOKUP($A39,Output_Mac!$A:$A,Output_Mac!F:F,""),
_xlpm.MyAuditVal,_xlfn.XLOOKUP($A39,My_Audit!$A:$A,My_Audit!F:F,""),
_xlfn.IFS(_xlpm.MyAuditVal&lt;&gt;"",_xlpm.MyAuditVal,_xlpm.MacVal&lt;&gt;"",_xlpm.MacVal,_xlpm.CSVVal&lt;&gt;"",PROPER(_xlpm.CSVVal)
)),"")</f>
        <v/>
      </c>
      <c r="H39" s="2" t="str" cm="1">
        <f t="array" ref="H39">IFERROR(_xlfn.LET(
_xlpm.CSVVal,_xlfn.XLOOKUP($A39,CSV!$A:$A,CSV!H:H,""),
_xlpm.MacVal,_xlfn.XLOOKUP($A39,Output_Mac!$A:$A,Output_Mac!H:H,""),
_xlpm.MyAuditVal,_xlfn.XLOOKUP($A39,My_Audit!$A:$A,My_Audit!G:G,""),
_xlfn.IFS(_xlpm.MyAuditVal&lt;&gt;"",_xlpm.MyAuditVal,_xlpm.MacVal&lt;&gt;"",_xlpm.MacVal,_xlpm.CSVVal&lt;&gt;"",_xlpm.CSVVal
)),"")</f>
        <v/>
      </c>
      <c r="I39" s="2" t="str">
        <f>_xlfn.XLOOKUP(A39,Output_Mac!A:A,Output_Mac!I:I,"")</f>
        <v/>
      </c>
      <c r="J39" s="2" t="str" cm="1">
        <f t="array" ref="J39">IFERROR(_xlfn.LET(
_xlpm.CSVVal,_xlfn.XLOOKUP($A39,CSV!$A:$A,CSV!I:I,""),
_xlpm.MacVal,_xlfn.XLOOKUP($A39,Output_Mac!$A:$A,Output_Mac!J:J,""),
_xlpm.MyAuditVal,_xlfn.XLOOKUP($A39,My_Audit!$A:$A,My_Audit!I:I,""),
_xlfn.IFS(_xlpm.MyAuditVal&lt;&gt;"",UPPER(_xlpm.MyAuditVal),_xlpm.MacVal&lt;&gt;"",_xlpm.MacVal,_xlpm.CSVVal&lt;&gt;"",_xlpm.CSVVal
)),"")</f>
        <v/>
      </c>
      <c r="K39" s="2" t="str" cm="1">
        <f t="array" ref="K39">IFERROR(_xlfn.LET(
_xlpm.CSVVal,_xlfn.XLOOKUP($A39,CSV!$A:$A,CSV!K:K,""),
_xlpm.MacVal,_xlfn.XLOOKUP($A39,Output_Mac!$A:$A,Output_Mac!K:K,""),
_xlpm.MyAuditVal,_xlfn.XLOOKUP($A39,My_Audit!$A:$A,My_Audit!J:J,""),
_xlfn.IFS(_xlpm.MyAuditVal&lt;&gt;"",UPPER(_xlpm.MyAuditVal),_xlpm.MacVal&lt;&gt;"",_xlpm.MacVal,_xlpm.CSVVal&lt;&gt;"",_xlpm.CSVVal
)),"")</f>
        <v/>
      </c>
      <c r="L39" s="2" t="str" cm="1">
        <f t="array" ref="L39">IFERROR(_xlfn.LET(
_xlpm.CSVVal,_xlfn.XLOOKUP($A39,CSV!$A:$A,CSV!P:P,""),
_xlpm.MacVal,_xlfn.XLOOKUP($A39,Output_Mac!$A:$A,Output_Mac!L:L,""),
_xlpm.MyAuditVal,_xlfn.XLOOKUP($A39,My_Audit!$A:$A,My_Audit!K:K,""),
_xlfn.IFS(_xlpm.MyAuditVal&lt;&gt;"",UPPER(_xlpm.MyAuditVal),_xlpm.MacVal&lt;&gt;"",_xlpm.MacVal,_xlpm.CSVVal&lt;&gt;"",_xlpm.CSVVal
)),"")</f>
        <v/>
      </c>
      <c r="M39" s="2" t="str" cm="1">
        <f t="array" ref="M39">IFERROR(_xlfn.LET(
_xlpm.CSVVal,_xlfn.XLOOKUP($A39,CSV!$A:$A,CSV!Q:Q,""),
_xlpm.MacVal,_xlfn.XLOOKUP($A39,Output_Mac!$A:$A,Output_Mac!M:M,""),
_xlpm.MyAuditVal,_xlfn.XLOOKUP($A39,My_Audit!$A:$A,My_Audit!L:L,""),
_xlfn.IFS(_xlpm.MyAuditVal&lt;&gt;"",UPPER(_xlpm.MyAuditVal),_xlpm.MacVal&lt;&gt;"",_xlpm.MacVal,_xlpm.CSVVal&lt;&gt;"",_xlpm.CSVVal
)),"")</f>
        <v/>
      </c>
      <c r="O39" s="2" t="str">
        <f>_xlfn.LET(
    _xlpm.CSVVal, _xlfn.XLOOKUP($A39, CSV!$A:$A, CSV!AA:AA, ""),
    _xlpm.MacVal, _xlfn.XLOOKUP($A39, Output_Mac!$A:$A, Output_Mac!S:S, ""),
    _xlpm.MyAuditVal, _xlfn.XLOOKUP($A39, My_Audit!$A:$A, My_Audit!P:P, ""),
    _xlfn.TEXTJOIN(", ", TRUE, _xlpm.MyAuditVal, _xlpm.MacVal, _xlpm.CSVVal)
)</f>
        <v/>
      </c>
      <c r="P39" s="2" t="str" cm="1">
        <f t="array" ref="P39">IFERROR(_xlfn.LET(
_xlpm.CSVVal,_xlfn.XLOOKUP($A39,CSV!$A:$A,CSV!AB:AB,""),
_xlpm.MacVal,_xlfn.XLOOKUP($A39,Output_Mac!$A:$A,Output_Mac!T:T,""),
_xlpm.MyAuditVal,_xlfn.XLOOKUP($A39,My_Audit!$A:$A,My_Audit!Q:Q,""),
_xlfn.IFS(_xlpm.MyAuditVal&lt;&gt;"",UPPER(_xlpm.MyAuditVal),_xlpm.MacVal&lt;&gt;"",_xlpm.MacVal,_xlpm.CSVVal&lt;&gt;"",_xlpm.CSVVal
)),"No")</f>
        <v>No</v>
      </c>
      <c r="Q39" s="2" t="str" cm="1">
        <f t="array" ref="Q39">IFERROR(_xlfn.LET(
_xlpm.CSVVal,_xlfn.XLOOKUP($A39,CSV!$A:$A,CSV!AC:AC,""),
_xlpm.MacVal,_xlfn.XLOOKUP($A39,Output_Mac!$A:$A,Output_Mac!U:U,""),
_xlpm.MyAuditVal,_xlfn.XLOOKUP($A39,My_Audit!$A:$A,My_Audit!R:R,""),
_xlfn.IFS(_xlpm.MyAuditVal&lt;&gt;"",UPPER(_xlpm.MyAuditVal),_xlpm.MacVal&lt;&gt;"",_xlpm.MacVal,_xlpm.CSVVal&lt;&gt;"",_xlpm.CSVVal
)),"")</f>
        <v/>
      </c>
      <c r="X39" t="str">
        <f>_xlfn.LET(
    _xlpm.MacVal, _xlfn.XLOOKUP($A39, Output_Mac!$A:$A, Output_Mac!AB:AB, ""),
    _xlpm.MyAuditVal, _xlfn.XLOOKUP($A39, My_Audit!$A:$A, My_Audit!N:N, ""),
    _xlfn.TEXTJOIN(", ", TRUE, _xlpm.MyAuditVal, _xlpm.MacVal)
)</f>
        <v/>
      </c>
    </row>
    <row r="40" spans="1:24">
      <c r="A40" s="2" t="str">
        <f>_xlfn.TEXTJOIN("",TRUE,Input!$B$2,ROW(My_Audit!A39))</f>
        <v>X39</v>
      </c>
      <c r="B40" s="2" t="str">
        <f>_xlfn.TEXTJOIN("-",TRUE,"ITD",Input!$A$2,A40)</f>
        <v>ITD-SHR-X39</v>
      </c>
      <c r="C40" s="2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2" t="str" cm="1">
        <f t="array" ref="D40">IFERROR(_xlfn.LET(
_xlpm.CSVVal,_xlfn.XLOOKUP($A40,CSV!$A:$A,CSV!D:D,""),
_xlpm.MacVal,_xlfn.XLOOKUP($A40,Output_Mac!$A:$A,Output_Mac!C:C,""),
_xlpm.MyAuditVal,_xlfn.XLOOKUP($A40,My_Audit!$A:$A,My_Audit!C:C,""),
_xlfn.IFS(_xlpm.MyAuditVal&lt;&gt;"",_xlpm.MyAuditVal,_xlpm.MacVal&lt;&gt;"",_xlpm.MacVal,_xlpm.CSVVal&lt;&gt;"",_xlpm.CSVVal
)),"")</f>
        <v/>
      </c>
      <c r="E40" s="2">
        <f>_xlfn.XLOOKUP(A40,My_Audit!A:A,My_Audit!D:D,"")</f>
        <v>0</v>
      </c>
      <c r="F40" s="2" t="str" cm="1">
        <f t="array" ref="F40">IFERROR(_xlfn.LET(
_xlpm.CSVVal,_xlfn.XLOOKUP($A40,CSV!$A:$A,CSV!F:F,""),
_xlpm.MacVal,_xlfn.XLOOKUP($A40,Output_Mac!$A:$A,Output_Mac!E:E,""),
_xlpm.MyAuditVal,_xlfn.XLOOKUP($A40,My_Audit!$A:$A,My_Audit!E:E,""),
_xlfn.IFS(_xlpm.MyAuditVal&lt;&gt;"",_xlpm.MyAuditVal,_xlpm.MacVal&lt;&gt;"",_xlpm.MacVal,_xlpm.CSVVal&lt;&gt;"",_xlpm.CSVVal
)),"")</f>
        <v/>
      </c>
      <c r="G40" s="2" t="str" cm="1">
        <f t="array" ref="G40">IFERROR(_xlfn.LET(
_xlpm.CSVVal,_xlfn.XLOOKUP($A40,CSV!$A:$A,CSV!G:G,""),
_xlpm.MacVal,_xlfn.XLOOKUP($A40,Output_Mac!$A:$A,Output_Mac!F:F,""),
_xlpm.MyAuditVal,_xlfn.XLOOKUP($A40,My_Audit!$A:$A,My_Audit!F:F,""),
_xlfn.IFS(_xlpm.MyAuditVal&lt;&gt;"",_xlpm.MyAuditVal,_xlpm.MacVal&lt;&gt;"",_xlpm.MacVal,_xlpm.CSVVal&lt;&gt;"",PROPER(_xlpm.CSVVal)
)),"")</f>
        <v/>
      </c>
      <c r="H40" s="2" t="str" cm="1">
        <f t="array" ref="H40">IFERROR(_xlfn.LET(
_xlpm.CSVVal,_xlfn.XLOOKUP($A40,CSV!$A:$A,CSV!H:H,""),
_xlpm.MacVal,_xlfn.XLOOKUP($A40,Output_Mac!$A:$A,Output_Mac!H:H,""),
_xlpm.MyAuditVal,_xlfn.XLOOKUP($A40,My_Audit!$A:$A,My_Audit!G:G,""),
_xlfn.IFS(_xlpm.MyAuditVal&lt;&gt;"",_xlpm.MyAuditVal,_xlpm.MacVal&lt;&gt;"",_xlpm.MacVal,_xlpm.CSVVal&lt;&gt;"",_xlpm.CSVVal
)),"")</f>
        <v/>
      </c>
      <c r="I40" s="2" t="str">
        <f>_xlfn.XLOOKUP(A40,Output_Mac!A:A,Output_Mac!I:I,"")</f>
        <v/>
      </c>
      <c r="J40" s="2" t="str" cm="1">
        <f t="array" ref="J40">IFERROR(_xlfn.LET(
_xlpm.CSVVal,_xlfn.XLOOKUP($A40,CSV!$A:$A,CSV!I:I,""),
_xlpm.MacVal,_xlfn.XLOOKUP($A40,Output_Mac!$A:$A,Output_Mac!J:J,""),
_xlpm.MyAuditVal,_xlfn.XLOOKUP($A40,My_Audit!$A:$A,My_Audit!I:I,""),
_xlfn.IFS(_xlpm.MyAuditVal&lt;&gt;"",UPPER(_xlpm.MyAuditVal),_xlpm.MacVal&lt;&gt;"",_xlpm.MacVal,_xlpm.CSVVal&lt;&gt;"",_xlpm.CSVVal
)),"")</f>
        <v/>
      </c>
      <c r="K40" s="2" t="str" cm="1">
        <f t="array" ref="K40">IFERROR(_xlfn.LET(
_xlpm.CSVVal,_xlfn.XLOOKUP($A40,CSV!$A:$A,CSV!K:K,""),
_xlpm.MacVal,_xlfn.XLOOKUP($A40,Output_Mac!$A:$A,Output_Mac!K:K,""),
_xlpm.MyAuditVal,_xlfn.XLOOKUP($A40,My_Audit!$A:$A,My_Audit!J:J,""),
_xlfn.IFS(_xlpm.MyAuditVal&lt;&gt;"",UPPER(_xlpm.MyAuditVal),_xlpm.MacVal&lt;&gt;"",_xlpm.MacVal,_xlpm.CSVVal&lt;&gt;"",_xlpm.CSVVal
)),"")</f>
        <v/>
      </c>
      <c r="L40" s="2" t="str" cm="1">
        <f t="array" ref="L40">IFERROR(_xlfn.LET(
_xlpm.CSVVal,_xlfn.XLOOKUP($A40,CSV!$A:$A,CSV!P:P,""),
_xlpm.MacVal,_xlfn.XLOOKUP($A40,Output_Mac!$A:$A,Output_Mac!L:L,""),
_xlpm.MyAuditVal,_xlfn.XLOOKUP($A40,My_Audit!$A:$A,My_Audit!K:K,""),
_xlfn.IFS(_xlpm.MyAuditVal&lt;&gt;"",UPPER(_xlpm.MyAuditVal),_xlpm.MacVal&lt;&gt;"",_xlpm.MacVal,_xlpm.CSVVal&lt;&gt;"",_xlpm.CSVVal
)),"")</f>
        <v/>
      </c>
      <c r="M40" s="2" t="str" cm="1">
        <f t="array" ref="M40">IFERROR(_xlfn.LET(
_xlpm.CSVVal,_xlfn.XLOOKUP($A40,CSV!$A:$A,CSV!Q:Q,""),
_xlpm.MacVal,_xlfn.XLOOKUP($A40,Output_Mac!$A:$A,Output_Mac!M:M,""),
_xlpm.MyAuditVal,_xlfn.XLOOKUP($A40,My_Audit!$A:$A,My_Audit!L:L,""),
_xlfn.IFS(_xlpm.MyAuditVal&lt;&gt;"",UPPER(_xlpm.MyAuditVal),_xlpm.MacVal&lt;&gt;"",_xlpm.MacVal,_xlpm.CSVVal&lt;&gt;"",_xlpm.CSVVal
)),"")</f>
        <v/>
      </c>
      <c r="O40" s="2" t="str">
        <f>_xlfn.LET(
    _xlpm.CSVVal, _xlfn.XLOOKUP($A40, CSV!$A:$A, CSV!AA:AA, ""),
    _xlpm.MacVal, _xlfn.XLOOKUP($A40, Output_Mac!$A:$A, Output_Mac!S:S, ""),
    _xlpm.MyAuditVal, _xlfn.XLOOKUP($A40, My_Audit!$A:$A, My_Audit!P:P, ""),
    _xlfn.TEXTJOIN(", ", TRUE, _xlpm.MyAuditVal, _xlpm.MacVal, _xlpm.CSVVal)
)</f>
        <v/>
      </c>
      <c r="P40" s="2" t="str" cm="1">
        <f t="array" ref="P40">IFERROR(_xlfn.LET(
_xlpm.CSVVal,_xlfn.XLOOKUP($A40,CSV!$A:$A,CSV!AB:AB,""),
_xlpm.MacVal,_xlfn.XLOOKUP($A40,Output_Mac!$A:$A,Output_Mac!T:T,""),
_xlpm.MyAuditVal,_xlfn.XLOOKUP($A40,My_Audit!$A:$A,My_Audit!Q:Q,""),
_xlfn.IFS(_xlpm.MyAuditVal&lt;&gt;"",UPPER(_xlpm.MyAuditVal),_xlpm.MacVal&lt;&gt;"",_xlpm.MacVal,_xlpm.CSVVal&lt;&gt;"",_xlpm.CSVVal
)),"No")</f>
        <v>No</v>
      </c>
      <c r="Q40" s="2" t="str" cm="1">
        <f t="array" ref="Q40">IFERROR(_xlfn.LET(
_xlpm.CSVVal,_xlfn.XLOOKUP($A40,CSV!$A:$A,CSV!AC:AC,""),
_xlpm.MacVal,_xlfn.XLOOKUP($A40,Output_Mac!$A:$A,Output_Mac!U:U,""),
_xlpm.MyAuditVal,_xlfn.XLOOKUP($A40,My_Audit!$A:$A,My_Audit!R:R,""),
_xlfn.IFS(_xlpm.MyAuditVal&lt;&gt;"",UPPER(_xlpm.MyAuditVal),_xlpm.MacVal&lt;&gt;"",_xlpm.MacVal,_xlpm.CSVVal&lt;&gt;"",_xlpm.CSVVal
)),"")</f>
        <v/>
      </c>
      <c r="X40" t="str">
        <f>_xlfn.LET(
    _xlpm.MacVal, _xlfn.XLOOKUP($A40, Output_Mac!$A:$A, Output_Mac!AB:AB, ""),
    _xlpm.MyAuditVal, _xlfn.XLOOKUP($A40, My_Audit!$A:$A, My_Audit!N:N, ""),
    _xlfn.TEXTJOIN(", ", TRUE, _xlpm.MyAuditVal, _xlpm.MacVal)
)</f>
        <v/>
      </c>
    </row>
    <row r="41" spans="1:24">
      <c r="A41" s="2" t="str">
        <f>_xlfn.TEXTJOIN("",TRUE,Input!$B$2,ROW(My_Audit!A40))</f>
        <v>X40</v>
      </c>
      <c r="B41" s="2" t="str">
        <f>_xlfn.TEXTJOIN("-",TRUE,"ITD",Input!$A$2,A41)</f>
        <v>ITD-SHR-X40</v>
      </c>
      <c r="C41" s="2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2" t="str" cm="1">
        <f t="array" ref="D41">IFERROR(_xlfn.LET(
_xlpm.CSVVal,_xlfn.XLOOKUP($A41,CSV!$A:$A,CSV!D:D,""),
_xlpm.MacVal,_xlfn.XLOOKUP($A41,Output_Mac!$A:$A,Output_Mac!C:C,""),
_xlpm.MyAuditVal,_xlfn.XLOOKUP($A41,My_Audit!$A:$A,My_Audit!C:C,""),
_xlfn.IFS(_xlpm.MyAuditVal&lt;&gt;"",_xlpm.MyAuditVal,_xlpm.MacVal&lt;&gt;"",_xlpm.MacVal,_xlpm.CSVVal&lt;&gt;"",_xlpm.CSVVal
)),"")</f>
        <v/>
      </c>
      <c r="E41" s="2">
        <f>_xlfn.XLOOKUP(A41,My_Audit!A:A,My_Audit!D:D,"")</f>
        <v>0</v>
      </c>
      <c r="F41" s="2" t="str" cm="1">
        <f t="array" ref="F41">IFERROR(_xlfn.LET(
_xlpm.CSVVal,_xlfn.XLOOKUP($A41,CSV!$A:$A,CSV!F:F,""),
_xlpm.MacVal,_xlfn.XLOOKUP($A41,Output_Mac!$A:$A,Output_Mac!E:E,""),
_xlpm.MyAuditVal,_xlfn.XLOOKUP($A41,My_Audit!$A:$A,My_Audit!E:E,""),
_xlfn.IFS(_xlpm.MyAuditVal&lt;&gt;"",_xlpm.MyAuditVal,_xlpm.MacVal&lt;&gt;"",_xlpm.MacVal,_xlpm.CSVVal&lt;&gt;"",_xlpm.CSVVal
)),"")</f>
        <v/>
      </c>
      <c r="G41" s="2" t="str" cm="1">
        <f t="array" ref="G41">IFERROR(_xlfn.LET(
_xlpm.CSVVal,_xlfn.XLOOKUP($A41,CSV!$A:$A,CSV!G:G,""),
_xlpm.MacVal,_xlfn.XLOOKUP($A41,Output_Mac!$A:$A,Output_Mac!F:F,""),
_xlpm.MyAuditVal,_xlfn.XLOOKUP($A41,My_Audit!$A:$A,My_Audit!F:F,""),
_xlfn.IFS(_xlpm.MyAuditVal&lt;&gt;"",_xlpm.MyAuditVal,_xlpm.MacVal&lt;&gt;"",_xlpm.MacVal,_xlpm.CSVVal&lt;&gt;"",PROPER(_xlpm.CSVVal)
)),"")</f>
        <v/>
      </c>
      <c r="H41" s="2" t="str" cm="1">
        <f t="array" ref="H41">IFERROR(_xlfn.LET(
_xlpm.CSVVal,_xlfn.XLOOKUP($A41,CSV!$A:$A,CSV!H:H,""),
_xlpm.MacVal,_xlfn.XLOOKUP($A41,Output_Mac!$A:$A,Output_Mac!H:H,""),
_xlpm.MyAuditVal,_xlfn.XLOOKUP($A41,My_Audit!$A:$A,My_Audit!G:G,""),
_xlfn.IFS(_xlpm.MyAuditVal&lt;&gt;"",_xlpm.MyAuditVal,_xlpm.MacVal&lt;&gt;"",_xlpm.MacVal,_xlpm.CSVVal&lt;&gt;"",_xlpm.CSVVal
)),"")</f>
        <v/>
      </c>
      <c r="I41" s="2" t="str">
        <f>_xlfn.XLOOKUP(A41,Output_Mac!A:A,Output_Mac!I:I,"")</f>
        <v/>
      </c>
      <c r="J41" s="2" t="str" cm="1">
        <f t="array" ref="J41">IFERROR(_xlfn.LET(
_xlpm.CSVVal,_xlfn.XLOOKUP($A41,CSV!$A:$A,CSV!I:I,""),
_xlpm.MacVal,_xlfn.XLOOKUP($A41,Output_Mac!$A:$A,Output_Mac!J:J,""),
_xlpm.MyAuditVal,_xlfn.XLOOKUP($A41,My_Audit!$A:$A,My_Audit!I:I,""),
_xlfn.IFS(_xlpm.MyAuditVal&lt;&gt;"",UPPER(_xlpm.MyAuditVal),_xlpm.MacVal&lt;&gt;"",_xlpm.MacVal,_xlpm.CSVVal&lt;&gt;"",_xlpm.CSVVal
)),"")</f>
        <v/>
      </c>
      <c r="K41" s="2" t="str" cm="1">
        <f t="array" ref="K41">IFERROR(_xlfn.LET(
_xlpm.CSVVal,_xlfn.XLOOKUP($A41,CSV!$A:$A,CSV!K:K,""),
_xlpm.MacVal,_xlfn.XLOOKUP($A41,Output_Mac!$A:$A,Output_Mac!K:K,""),
_xlpm.MyAuditVal,_xlfn.XLOOKUP($A41,My_Audit!$A:$A,My_Audit!J:J,""),
_xlfn.IFS(_xlpm.MyAuditVal&lt;&gt;"",UPPER(_xlpm.MyAuditVal),_xlpm.MacVal&lt;&gt;"",_xlpm.MacVal,_xlpm.CSVVal&lt;&gt;"",_xlpm.CSVVal
)),"")</f>
        <v/>
      </c>
      <c r="L41" s="2" t="str" cm="1">
        <f t="array" ref="L41">IFERROR(_xlfn.LET(
_xlpm.CSVVal,_xlfn.XLOOKUP($A41,CSV!$A:$A,CSV!P:P,""),
_xlpm.MacVal,_xlfn.XLOOKUP($A41,Output_Mac!$A:$A,Output_Mac!L:L,""),
_xlpm.MyAuditVal,_xlfn.XLOOKUP($A41,My_Audit!$A:$A,My_Audit!K:K,""),
_xlfn.IFS(_xlpm.MyAuditVal&lt;&gt;"",UPPER(_xlpm.MyAuditVal),_xlpm.MacVal&lt;&gt;"",_xlpm.MacVal,_xlpm.CSVVal&lt;&gt;"",_xlpm.CSVVal
)),"")</f>
        <v/>
      </c>
      <c r="M41" s="2" t="str" cm="1">
        <f t="array" ref="M41">IFERROR(_xlfn.LET(
_xlpm.CSVVal,_xlfn.XLOOKUP($A41,CSV!$A:$A,CSV!Q:Q,""),
_xlpm.MacVal,_xlfn.XLOOKUP($A41,Output_Mac!$A:$A,Output_Mac!M:M,""),
_xlpm.MyAuditVal,_xlfn.XLOOKUP($A41,My_Audit!$A:$A,My_Audit!L:L,""),
_xlfn.IFS(_xlpm.MyAuditVal&lt;&gt;"",UPPER(_xlpm.MyAuditVal),_xlpm.MacVal&lt;&gt;"",_xlpm.MacVal,_xlpm.CSVVal&lt;&gt;"",_xlpm.CSVVal
)),"")</f>
        <v/>
      </c>
      <c r="O41" s="2" t="str">
        <f>_xlfn.LET(
    _xlpm.CSVVal, _xlfn.XLOOKUP($A41, CSV!$A:$A, CSV!AA:AA, ""),
    _xlpm.MacVal, _xlfn.XLOOKUP($A41, Output_Mac!$A:$A, Output_Mac!S:S, ""),
    _xlpm.MyAuditVal, _xlfn.XLOOKUP($A41, My_Audit!$A:$A, My_Audit!P:P, ""),
    _xlfn.TEXTJOIN(", ", TRUE, _xlpm.MyAuditVal, _xlpm.MacVal, _xlpm.CSVVal)
)</f>
        <v/>
      </c>
      <c r="P41" s="2" t="str" cm="1">
        <f t="array" ref="P41">IFERROR(_xlfn.LET(
_xlpm.CSVVal,_xlfn.XLOOKUP($A41,CSV!$A:$A,CSV!AB:AB,""),
_xlpm.MacVal,_xlfn.XLOOKUP($A41,Output_Mac!$A:$A,Output_Mac!T:T,""),
_xlpm.MyAuditVal,_xlfn.XLOOKUP($A41,My_Audit!$A:$A,My_Audit!Q:Q,""),
_xlfn.IFS(_xlpm.MyAuditVal&lt;&gt;"",UPPER(_xlpm.MyAuditVal),_xlpm.MacVal&lt;&gt;"",_xlpm.MacVal,_xlpm.CSVVal&lt;&gt;"",_xlpm.CSVVal
)),"No")</f>
        <v>No</v>
      </c>
      <c r="Q41" s="2" t="str" cm="1">
        <f t="array" ref="Q41">IFERROR(_xlfn.LET(
_xlpm.CSVVal,_xlfn.XLOOKUP($A41,CSV!$A:$A,CSV!AC:AC,""),
_xlpm.MacVal,_xlfn.XLOOKUP($A41,Output_Mac!$A:$A,Output_Mac!U:U,""),
_xlpm.MyAuditVal,_xlfn.XLOOKUP($A41,My_Audit!$A:$A,My_Audit!R:R,""),
_xlfn.IFS(_xlpm.MyAuditVal&lt;&gt;"",UPPER(_xlpm.MyAuditVal),_xlpm.MacVal&lt;&gt;"",_xlpm.MacVal,_xlpm.CSVVal&lt;&gt;"",_xlpm.CSVVal
)),"")</f>
        <v/>
      </c>
      <c r="X41" t="str">
        <f>_xlfn.LET(
    _xlpm.MacVal, _xlfn.XLOOKUP($A41, Output_Mac!$A:$A, Output_Mac!AB:AB, ""),
    _xlpm.MyAuditVal, _xlfn.XLOOKUP($A41, My_Audit!$A:$A, My_Audit!N:N, ""),
    _xlfn.TEXTJOIN(", ", TRUE, _xlpm.MyAuditVal, _xlpm.MacVal)
)</f>
        <v/>
      </c>
    </row>
    <row r="42" spans="1:24">
      <c r="A42" s="2" t="str">
        <f>_xlfn.TEXTJOIN("",TRUE,Input!$B$2,ROW(My_Audit!A41))</f>
        <v>X41</v>
      </c>
      <c r="B42" s="2" t="str">
        <f>_xlfn.TEXTJOIN("-",TRUE,"ITD",Input!$A$2,A42)</f>
        <v>ITD-SHR-X41</v>
      </c>
      <c r="C42" s="2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2" t="str" cm="1">
        <f t="array" ref="D42">IFERROR(_xlfn.LET(
_xlpm.CSVVal,_xlfn.XLOOKUP($A42,CSV!$A:$A,CSV!D:D,""),
_xlpm.MacVal,_xlfn.XLOOKUP($A42,Output_Mac!$A:$A,Output_Mac!C:C,""),
_xlpm.MyAuditVal,_xlfn.XLOOKUP($A42,My_Audit!$A:$A,My_Audit!C:C,""),
_xlfn.IFS(_xlpm.MyAuditVal&lt;&gt;"",_xlpm.MyAuditVal,_xlpm.MacVal&lt;&gt;"",_xlpm.MacVal,_xlpm.CSVVal&lt;&gt;"",_xlpm.CSVVal
)),"")</f>
        <v/>
      </c>
      <c r="E42" s="2">
        <f>_xlfn.XLOOKUP(A42,My_Audit!A:A,My_Audit!D:D,"")</f>
        <v>0</v>
      </c>
      <c r="F42" s="2" t="str" cm="1">
        <f t="array" ref="F42">IFERROR(_xlfn.LET(
_xlpm.CSVVal,_xlfn.XLOOKUP($A42,CSV!$A:$A,CSV!F:F,""),
_xlpm.MacVal,_xlfn.XLOOKUP($A42,Output_Mac!$A:$A,Output_Mac!E:E,""),
_xlpm.MyAuditVal,_xlfn.XLOOKUP($A42,My_Audit!$A:$A,My_Audit!E:E,""),
_xlfn.IFS(_xlpm.MyAuditVal&lt;&gt;"",_xlpm.MyAuditVal,_xlpm.MacVal&lt;&gt;"",_xlpm.MacVal,_xlpm.CSVVal&lt;&gt;"",_xlpm.CSVVal
)),"")</f>
        <v/>
      </c>
      <c r="G42" s="2" t="str" cm="1">
        <f t="array" ref="G42">IFERROR(_xlfn.LET(
_xlpm.CSVVal,_xlfn.XLOOKUP($A42,CSV!$A:$A,CSV!G:G,""),
_xlpm.MacVal,_xlfn.XLOOKUP($A42,Output_Mac!$A:$A,Output_Mac!F:F,""),
_xlpm.MyAuditVal,_xlfn.XLOOKUP($A42,My_Audit!$A:$A,My_Audit!F:F,""),
_xlfn.IFS(_xlpm.MyAuditVal&lt;&gt;"",_xlpm.MyAuditVal,_xlpm.MacVal&lt;&gt;"",_xlpm.MacVal,_xlpm.CSVVal&lt;&gt;"",PROPER(_xlpm.CSVVal)
)),"")</f>
        <v/>
      </c>
      <c r="H42" s="2" t="str" cm="1">
        <f t="array" ref="H42">IFERROR(_xlfn.LET(
_xlpm.CSVVal,_xlfn.XLOOKUP($A42,CSV!$A:$A,CSV!H:H,""),
_xlpm.MacVal,_xlfn.XLOOKUP($A42,Output_Mac!$A:$A,Output_Mac!H:H,""),
_xlpm.MyAuditVal,_xlfn.XLOOKUP($A42,My_Audit!$A:$A,My_Audit!G:G,""),
_xlfn.IFS(_xlpm.MyAuditVal&lt;&gt;"",_xlpm.MyAuditVal,_xlpm.MacVal&lt;&gt;"",_xlpm.MacVal,_xlpm.CSVVal&lt;&gt;"",_xlpm.CSVVal
)),"")</f>
        <v/>
      </c>
      <c r="I42" s="2" t="str">
        <f>_xlfn.XLOOKUP(A42,Output_Mac!A:A,Output_Mac!I:I,"")</f>
        <v/>
      </c>
      <c r="J42" s="2" t="str" cm="1">
        <f t="array" ref="J42">IFERROR(_xlfn.LET(
_xlpm.CSVVal,_xlfn.XLOOKUP($A42,CSV!$A:$A,CSV!I:I,""),
_xlpm.MacVal,_xlfn.XLOOKUP($A42,Output_Mac!$A:$A,Output_Mac!J:J,""),
_xlpm.MyAuditVal,_xlfn.XLOOKUP($A42,My_Audit!$A:$A,My_Audit!I:I,""),
_xlfn.IFS(_xlpm.MyAuditVal&lt;&gt;"",UPPER(_xlpm.MyAuditVal),_xlpm.MacVal&lt;&gt;"",_xlpm.MacVal,_xlpm.CSVVal&lt;&gt;"",_xlpm.CSVVal
)),"")</f>
        <v/>
      </c>
      <c r="K42" s="2" t="str" cm="1">
        <f t="array" ref="K42">IFERROR(_xlfn.LET(
_xlpm.CSVVal,_xlfn.XLOOKUP($A42,CSV!$A:$A,CSV!K:K,""),
_xlpm.MacVal,_xlfn.XLOOKUP($A42,Output_Mac!$A:$A,Output_Mac!K:K,""),
_xlpm.MyAuditVal,_xlfn.XLOOKUP($A42,My_Audit!$A:$A,My_Audit!J:J,""),
_xlfn.IFS(_xlpm.MyAuditVal&lt;&gt;"",UPPER(_xlpm.MyAuditVal),_xlpm.MacVal&lt;&gt;"",_xlpm.MacVal,_xlpm.CSVVal&lt;&gt;"",_xlpm.CSVVal
)),"")</f>
        <v/>
      </c>
      <c r="L42" s="2" t="str" cm="1">
        <f t="array" ref="L42">IFERROR(_xlfn.LET(
_xlpm.CSVVal,_xlfn.XLOOKUP($A42,CSV!$A:$A,CSV!P:P,""),
_xlpm.MacVal,_xlfn.XLOOKUP($A42,Output_Mac!$A:$A,Output_Mac!L:L,""),
_xlpm.MyAuditVal,_xlfn.XLOOKUP($A42,My_Audit!$A:$A,My_Audit!K:K,""),
_xlfn.IFS(_xlpm.MyAuditVal&lt;&gt;"",UPPER(_xlpm.MyAuditVal),_xlpm.MacVal&lt;&gt;"",_xlpm.MacVal,_xlpm.CSVVal&lt;&gt;"",_xlpm.CSVVal
)),"")</f>
        <v/>
      </c>
      <c r="M42" s="2" t="str" cm="1">
        <f t="array" ref="M42">IFERROR(_xlfn.LET(
_xlpm.CSVVal,_xlfn.XLOOKUP($A42,CSV!$A:$A,CSV!Q:Q,""),
_xlpm.MacVal,_xlfn.XLOOKUP($A42,Output_Mac!$A:$A,Output_Mac!M:M,""),
_xlpm.MyAuditVal,_xlfn.XLOOKUP($A42,My_Audit!$A:$A,My_Audit!L:L,""),
_xlfn.IFS(_xlpm.MyAuditVal&lt;&gt;"",UPPER(_xlpm.MyAuditVal),_xlpm.MacVal&lt;&gt;"",_xlpm.MacVal,_xlpm.CSVVal&lt;&gt;"",_xlpm.CSVVal
)),"")</f>
        <v/>
      </c>
      <c r="O42" s="2" t="str">
        <f>_xlfn.LET(
    _xlpm.CSVVal, _xlfn.XLOOKUP($A42, CSV!$A:$A, CSV!AA:AA, ""),
    _xlpm.MacVal, _xlfn.XLOOKUP($A42, Output_Mac!$A:$A, Output_Mac!S:S, ""),
    _xlpm.MyAuditVal, _xlfn.XLOOKUP($A42, My_Audit!$A:$A, My_Audit!P:P, ""),
    _xlfn.TEXTJOIN(", ", TRUE, _xlpm.MyAuditVal, _xlpm.MacVal, _xlpm.CSVVal)
)</f>
        <v/>
      </c>
      <c r="P42" s="2" t="str" cm="1">
        <f t="array" ref="P42">IFERROR(_xlfn.LET(
_xlpm.CSVVal,_xlfn.XLOOKUP($A42,CSV!$A:$A,CSV!AB:AB,""),
_xlpm.MacVal,_xlfn.XLOOKUP($A42,Output_Mac!$A:$A,Output_Mac!T:T,""),
_xlpm.MyAuditVal,_xlfn.XLOOKUP($A42,My_Audit!$A:$A,My_Audit!Q:Q,""),
_xlfn.IFS(_xlpm.MyAuditVal&lt;&gt;"",UPPER(_xlpm.MyAuditVal),_xlpm.MacVal&lt;&gt;"",_xlpm.MacVal,_xlpm.CSVVal&lt;&gt;"",_xlpm.CSVVal
)),"No")</f>
        <v>No</v>
      </c>
      <c r="Q42" s="2" t="str" cm="1">
        <f t="array" ref="Q42">IFERROR(_xlfn.LET(
_xlpm.CSVVal,_xlfn.XLOOKUP($A42,CSV!$A:$A,CSV!AC:AC,""),
_xlpm.MacVal,_xlfn.XLOOKUP($A42,Output_Mac!$A:$A,Output_Mac!U:U,""),
_xlpm.MyAuditVal,_xlfn.XLOOKUP($A42,My_Audit!$A:$A,My_Audit!R:R,""),
_xlfn.IFS(_xlpm.MyAuditVal&lt;&gt;"",UPPER(_xlpm.MyAuditVal),_xlpm.MacVal&lt;&gt;"",_xlpm.MacVal,_xlpm.CSVVal&lt;&gt;"",_xlpm.CSVVal
)),"")</f>
        <v/>
      </c>
      <c r="X42" t="str">
        <f>_xlfn.LET(
    _xlpm.MacVal, _xlfn.XLOOKUP($A42, Output_Mac!$A:$A, Output_Mac!AB:AB, ""),
    _xlpm.MyAuditVal, _xlfn.XLOOKUP($A42, My_Audit!$A:$A, My_Audit!N:N, ""),
    _xlfn.TEXTJOIN(", ", TRUE, _xlpm.MyAuditVal, _xlpm.MacVal)
)</f>
        <v/>
      </c>
    </row>
    <row r="43" spans="1:24">
      <c r="A43" s="2" t="str">
        <f>_xlfn.TEXTJOIN("",TRUE,Input!$B$2,ROW(My_Audit!A42))</f>
        <v>X42</v>
      </c>
      <c r="B43" s="2" t="str">
        <f>_xlfn.TEXTJOIN("-",TRUE,"ITD",Input!$A$2,A43)</f>
        <v>ITD-SHR-X42</v>
      </c>
      <c r="C43" s="2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2" t="str" cm="1">
        <f t="array" ref="D43">IFERROR(_xlfn.LET(
_xlpm.CSVVal,_xlfn.XLOOKUP($A43,CSV!$A:$A,CSV!D:D,""),
_xlpm.MacVal,_xlfn.XLOOKUP($A43,Output_Mac!$A:$A,Output_Mac!C:C,""),
_xlpm.MyAuditVal,_xlfn.XLOOKUP($A43,My_Audit!$A:$A,My_Audit!C:C,""),
_xlfn.IFS(_xlpm.MyAuditVal&lt;&gt;"",_xlpm.MyAuditVal,_xlpm.MacVal&lt;&gt;"",_xlpm.MacVal,_xlpm.CSVVal&lt;&gt;"",_xlpm.CSVVal
)),"")</f>
        <v/>
      </c>
      <c r="E43" s="2">
        <f>_xlfn.XLOOKUP(A43,My_Audit!A:A,My_Audit!D:D,"")</f>
        <v>0</v>
      </c>
      <c r="F43" s="2" t="str" cm="1">
        <f t="array" ref="F43">IFERROR(_xlfn.LET(
_xlpm.CSVVal,_xlfn.XLOOKUP($A43,CSV!$A:$A,CSV!F:F,""),
_xlpm.MacVal,_xlfn.XLOOKUP($A43,Output_Mac!$A:$A,Output_Mac!E:E,""),
_xlpm.MyAuditVal,_xlfn.XLOOKUP($A43,My_Audit!$A:$A,My_Audit!E:E,""),
_xlfn.IFS(_xlpm.MyAuditVal&lt;&gt;"",_xlpm.MyAuditVal,_xlpm.MacVal&lt;&gt;"",_xlpm.MacVal,_xlpm.CSVVal&lt;&gt;"",_xlpm.CSVVal
)),"")</f>
        <v/>
      </c>
      <c r="G43" s="2" t="str" cm="1">
        <f t="array" ref="G43">IFERROR(_xlfn.LET(
_xlpm.CSVVal,_xlfn.XLOOKUP($A43,CSV!$A:$A,CSV!G:G,""),
_xlpm.MacVal,_xlfn.XLOOKUP($A43,Output_Mac!$A:$A,Output_Mac!F:F,""),
_xlpm.MyAuditVal,_xlfn.XLOOKUP($A43,My_Audit!$A:$A,My_Audit!F:F,""),
_xlfn.IFS(_xlpm.MyAuditVal&lt;&gt;"",_xlpm.MyAuditVal,_xlpm.MacVal&lt;&gt;"",_xlpm.MacVal,_xlpm.CSVVal&lt;&gt;"",PROPER(_xlpm.CSVVal)
)),"")</f>
        <v/>
      </c>
      <c r="H43" s="2" t="str" cm="1">
        <f t="array" ref="H43">IFERROR(_xlfn.LET(
_xlpm.CSVVal,_xlfn.XLOOKUP($A43,CSV!$A:$A,CSV!H:H,""),
_xlpm.MacVal,_xlfn.XLOOKUP($A43,Output_Mac!$A:$A,Output_Mac!H:H,""),
_xlpm.MyAuditVal,_xlfn.XLOOKUP($A43,My_Audit!$A:$A,My_Audit!G:G,""),
_xlfn.IFS(_xlpm.MyAuditVal&lt;&gt;"",_xlpm.MyAuditVal,_xlpm.MacVal&lt;&gt;"",_xlpm.MacVal,_xlpm.CSVVal&lt;&gt;"",_xlpm.CSVVal
)),"")</f>
        <v/>
      </c>
      <c r="I43" s="2" t="str">
        <f>_xlfn.XLOOKUP(A43,Output_Mac!A:A,Output_Mac!I:I,"")</f>
        <v/>
      </c>
      <c r="J43" s="2" t="str" cm="1">
        <f t="array" ref="J43">IFERROR(_xlfn.LET(
_xlpm.CSVVal,_xlfn.XLOOKUP($A43,CSV!$A:$A,CSV!I:I,""),
_xlpm.MacVal,_xlfn.XLOOKUP($A43,Output_Mac!$A:$A,Output_Mac!J:J,""),
_xlpm.MyAuditVal,_xlfn.XLOOKUP($A43,My_Audit!$A:$A,My_Audit!I:I,""),
_xlfn.IFS(_xlpm.MyAuditVal&lt;&gt;"",UPPER(_xlpm.MyAuditVal),_xlpm.MacVal&lt;&gt;"",_xlpm.MacVal,_xlpm.CSVVal&lt;&gt;"",_xlpm.CSVVal
)),"")</f>
        <v/>
      </c>
      <c r="K43" s="2" t="str" cm="1">
        <f t="array" ref="K43">IFERROR(_xlfn.LET(
_xlpm.CSVVal,_xlfn.XLOOKUP($A43,CSV!$A:$A,CSV!K:K,""),
_xlpm.MacVal,_xlfn.XLOOKUP($A43,Output_Mac!$A:$A,Output_Mac!K:K,""),
_xlpm.MyAuditVal,_xlfn.XLOOKUP($A43,My_Audit!$A:$A,My_Audit!J:J,""),
_xlfn.IFS(_xlpm.MyAuditVal&lt;&gt;"",UPPER(_xlpm.MyAuditVal),_xlpm.MacVal&lt;&gt;"",_xlpm.MacVal,_xlpm.CSVVal&lt;&gt;"",_xlpm.CSVVal
)),"")</f>
        <v/>
      </c>
      <c r="L43" s="2" t="str" cm="1">
        <f t="array" ref="L43">IFERROR(_xlfn.LET(
_xlpm.CSVVal,_xlfn.XLOOKUP($A43,CSV!$A:$A,CSV!P:P,""),
_xlpm.MacVal,_xlfn.XLOOKUP($A43,Output_Mac!$A:$A,Output_Mac!L:L,""),
_xlpm.MyAuditVal,_xlfn.XLOOKUP($A43,My_Audit!$A:$A,My_Audit!K:K,""),
_xlfn.IFS(_xlpm.MyAuditVal&lt;&gt;"",UPPER(_xlpm.MyAuditVal),_xlpm.MacVal&lt;&gt;"",_xlpm.MacVal,_xlpm.CSVVal&lt;&gt;"",_xlpm.CSVVal
)),"")</f>
        <v/>
      </c>
      <c r="M43" s="2" t="str" cm="1">
        <f t="array" ref="M43">IFERROR(_xlfn.LET(
_xlpm.CSVVal,_xlfn.XLOOKUP($A43,CSV!$A:$A,CSV!Q:Q,""),
_xlpm.MacVal,_xlfn.XLOOKUP($A43,Output_Mac!$A:$A,Output_Mac!M:M,""),
_xlpm.MyAuditVal,_xlfn.XLOOKUP($A43,My_Audit!$A:$A,My_Audit!L:L,""),
_xlfn.IFS(_xlpm.MyAuditVal&lt;&gt;"",UPPER(_xlpm.MyAuditVal),_xlpm.MacVal&lt;&gt;"",_xlpm.MacVal,_xlpm.CSVVal&lt;&gt;"",_xlpm.CSVVal
)),"")</f>
        <v/>
      </c>
      <c r="O43" s="2" t="str">
        <f>_xlfn.LET(
    _xlpm.CSVVal, _xlfn.XLOOKUP($A43, CSV!$A:$A, CSV!AA:AA, ""),
    _xlpm.MacVal, _xlfn.XLOOKUP($A43, Output_Mac!$A:$A, Output_Mac!S:S, ""),
    _xlpm.MyAuditVal, _xlfn.XLOOKUP($A43, My_Audit!$A:$A, My_Audit!P:P, ""),
    _xlfn.TEXTJOIN(", ", TRUE, _xlpm.MyAuditVal, _xlpm.MacVal, _xlpm.CSVVal)
)</f>
        <v/>
      </c>
      <c r="P43" s="2" t="str" cm="1">
        <f t="array" ref="P43">IFERROR(_xlfn.LET(
_xlpm.CSVVal,_xlfn.XLOOKUP($A43,CSV!$A:$A,CSV!AB:AB,""),
_xlpm.MacVal,_xlfn.XLOOKUP($A43,Output_Mac!$A:$A,Output_Mac!T:T,""),
_xlpm.MyAuditVal,_xlfn.XLOOKUP($A43,My_Audit!$A:$A,My_Audit!Q:Q,""),
_xlfn.IFS(_xlpm.MyAuditVal&lt;&gt;"",UPPER(_xlpm.MyAuditVal),_xlpm.MacVal&lt;&gt;"",_xlpm.MacVal,_xlpm.CSVVal&lt;&gt;"",_xlpm.CSVVal
)),"No")</f>
        <v>No</v>
      </c>
      <c r="Q43" s="2" t="str" cm="1">
        <f t="array" ref="Q43">IFERROR(_xlfn.LET(
_xlpm.CSVVal,_xlfn.XLOOKUP($A43,CSV!$A:$A,CSV!AC:AC,""),
_xlpm.MacVal,_xlfn.XLOOKUP($A43,Output_Mac!$A:$A,Output_Mac!U:U,""),
_xlpm.MyAuditVal,_xlfn.XLOOKUP($A43,My_Audit!$A:$A,My_Audit!R:R,""),
_xlfn.IFS(_xlpm.MyAuditVal&lt;&gt;"",UPPER(_xlpm.MyAuditVal),_xlpm.MacVal&lt;&gt;"",_xlpm.MacVal,_xlpm.CSVVal&lt;&gt;"",_xlpm.CSVVal
)),"")</f>
        <v/>
      </c>
      <c r="X43" t="str">
        <f>_xlfn.LET(
    _xlpm.MacVal, _xlfn.XLOOKUP($A43, Output_Mac!$A:$A, Output_Mac!AB:AB, ""),
    _xlpm.MyAuditVal, _xlfn.XLOOKUP($A43, My_Audit!$A:$A, My_Audit!N:N, ""),
    _xlfn.TEXTJOIN(", ", TRUE, _xlpm.MyAuditVal, _xlpm.MacVal)
)</f>
        <v/>
      </c>
    </row>
    <row r="44" spans="1:24">
      <c r="A44" s="2" t="str">
        <f>_xlfn.TEXTJOIN("",TRUE,Input!$B$2,ROW(My_Audit!A43))</f>
        <v>X43</v>
      </c>
      <c r="B44" s="2" t="str">
        <f>_xlfn.TEXTJOIN("-",TRUE,"ITD",Input!$A$2,A44)</f>
        <v>ITD-SHR-X43</v>
      </c>
      <c r="C44" s="2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2" t="str" cm="1">
        <f t="array" ref="D44">IFERROR(_xlfn.LET(
_xlpm.CSVVal,_xlfn.XLOOKUP($A44,CSV!$A:$A,CSV!D:D,""),
_xlpm.MacVal,_xlfn.XLOOKUP($A44,Output_Mac!$A:$A,Output_Mac!C:C,""),
_xlpm.MyAuditVal,_xlfn.XLOOKUP($A44,My_Audit!$A:$A,My_Audit!C:C,""),
_xlfn.IFS(_xlpm.MyAuditVal&lt;&gt;"",_xlpm.MyAuditVal,_xlpm.MacVal&lt;&gt;"",_xlpm.MacVal,_xlpm.CSVVal&lt;&gt;"",_xlpm.CSVVal
)),"")</f>
        <v/>
      </c>
      <c r="E44" s="2">
        <f>_xlfn.XLOOKUP(A44,My_Audit!A:A,My_Audit!D:D,"")</f>
        <v>0</v>
      </c>
      <c r="F44" s="2" t="str" cm="1">
        <f t="array" ref="F44">IFERROR(_xlfn.LET(
_xlpm.CSVVal,_xlfn.XLOOKUP($A44,CSV!$A:$A,CSV!F:F,""),
_xlpm.MacVal,_xlfn.XLOOKUP($A44,Output_Mac!$A:$A,Output_Mac!E:E,""),
_xlpm.MyAuditVal,_xlfn.XLOOKUP($A44,My_Audit!$A:$A,My_Audit!E:E,""),
_xlfn.IFS(_xlpm.MyAuditVal&lt;&gt;"",_xlpm.MyAuditVal,_xlpm.MacVal&lt;&gt;"",_xlpm.MacVal,_xlpm.CSVVal&lt;&gt;"",_xlpm.CSVVal
)),"")</f>
        <v/>
      </c>
      <c r="G44" s="2" t="str" cm="1">
        <f t="array" ref="G44">IFERROR(_xlfn.LET(
_xlpm.CSVVal,_xlfn.XLOOKUP($A44,CSV!$A:$A,CSV!G:G,""),
_xlpm.MacVal,_xlfn.XLOOKUP($A44,Output_Mac!$A:$A,Output_Mac!F:F,""),
_xlpm.MyAuditVal,_xlfn.XLOOKUP($A44,My_Audit!$A:$A,My_Audit!F:F,""),
_xlfn.IFS(_xlpm.MyAuditVal&lt;&gt;"",_xlpm.MyAuditVal,_xlpm.MacVal&lt;&gt;"",_xlpm.MacVal,_xlpm.CSVVal&lt;&gt;"",PROPER(_xlpm.CSVVal)
)),"")</f>
        <v/>
      </c>
      <c r="H44" s="2" t="str" cm="1">
        <f t="array" ref="H44">IFERROR(_xlfn.LET(
_xlpm.CSVVal,_xlfn.XLOOKUP($A44,CSV!$A:$A,CSV!H:H,""),
_xlpm.MacVal,_xlfn.XLOOKUP($A44,Output_Mac!$A:$A,Output_Mac!H:H,""),
_xlpm.MyAuditVal,_xlfn.XLOOKUP($A44,My_Audit!$A:$A,My_Audit!G:G,""),
_xlfn.IFS(_xlpm.MyAuditVal&lt;&gt;"",_xlpm.MyAuditVal,_xlpm.MacVal&lt;&gt;"",_xlpm.MacVal,_xlpm.CSVVal&lt;&gt;"",_xlpm.CSVVal
)),"")</f>
        <v/>
      </c>
      <c r="I44" s="2" t="str">
        <f>_xlfn.XLOOKUP(A44,Output_Mac!A:A,Output_Mac!I:I,"")</f>
        <v/>
      </c>
      <c r="J44" s="2" t="str" cm="1">
        <f t="array" ref="J44">IFERROR(_xlfn.LET(
_xlpm.CSVVal,_xlfn.XLOOKUP($A44,CSV!$A:$A,CSV!I:I,""),
_xlpm.MacVal,_xlfn.XLOOKUP($A44,Output_Mac!$A:$A,Output_Mac!J:J,""),
_xlpm.MyAuditVal,_xlfn.XLOOKUP($A44,My_Audit!$A:$A,My_Audit!I:I,""),
_xlfn.IFS(_xlpm.MyAuditVal&lt;&gt;"",UPPER(_xlpm.MyAuditVal),_xlpm.MacVal&lt;&gt;"",_xlpm.MacVal,_xlpm.CSVVal&lt;&gt;"",_xlpm.CSVVal
)),"")</f>
        <v/>
      </c>
      <c r="K44" s="2" t="str" cm="1">
        <f t="array" ref="K44">IFERROR(_xlfn.LET(
_xlpm.CSVVal,_xlfn.XLOOKUP($A44,CSV!$A:$A,CSV!K:K,""),
_xlpm.MacVal,_xlfn.XLOOKUP($A44,Output_Mac!$A:$A,Output_Mac!K:K,""),
_xlpm.MyAuditVal,_xlfn.XLOOKUP($A44,My_Audit!$A:$A,My_Audit!J:J,""),
_xlfn.IFS(_xlpm.MyAuditVal&lt;&gt;"",UPPER(_xlpm.MyAuditVal),_xlpm.MacVal&lt;&gt;"",_xlpm.MacVal,_xlpm.CSVVal&lt;&gt;"",_xlpm.CSVVal
)),"")</f>
        <v/>
      </c>
      <c r="L44" s="2" t="str" cm="1">
        <f t="array" ref="L44">IFERROR(_xlfn.LET(
_xlpm.CSVVal,_xlfn.XLOOKUP($A44,CSV!$A:$A,CSV!P:P,""),
_xlpm.MacVal,_xlfn.XLOOKUP($A44,Output_Mac!$A:$A,Output_Mac!L:L,""),
_xlpm.MyAuditVal,_xlfn.XLOOKUP($A44,My_Audit!$A:$A,My_Audit!K:K,""),
_xlfn.IFS(_xlpm.MyAuditVal&lt;&gt;"",UPPER(_xlpm.MyAuditVal),_xlpm.MacVal&lt;&gt;"",_xlpm.MacVal,_xlpm.CSVVal&lt;&gt;"",_xlpm.CSVVal
)),"")</f>
        <v/>
      </c>
      <c r="M44" s="2" t="str" cm="1">
        <f t="array" ref="M44">IFERROR(_xlfn.LET(
_xlpm.CSVVal,_xlfn.XLOOKUP($A44,CSV!$A:$A,CSV!Q:Q,""),
_xlpm.MacVal,_xlfn.XLOOKUP($A44,Output_Mac!$A:$A,Output_Mac!M:M,""),
_xlpm.MyAuditVal,_xlfn.XLOOKUP($A44,My_Audit!$A:$A,My_Audit!L:L,""),
_xlfn.IFS(_xlpm.MyAuditVal&lt;&gt;"",UPPER(_xlpm.MyAuditVal),_xlpm.MacVal&lt;&gt;"",_xlpm.MacVal,_xlpm.CSVVal&lt;&gt;"",_xlpm.CSVVal
)),"")</f>
        <v/>
      </c>
      <c r="O44" s="2" t="str">
        <f>_xlfn.LET(
    _xlpm.CSVVal, _xlfn.XLOOKUP($A44, CSV!$A:$A, CSV!AA:AA, ""),
    _xlpm.MacVal, _xlfn.XLOOKUP($A44, Output_Mac!$A:$A, Output_Mac!S:S, ""),
    _xlpm.MyAuditVal, _xlfn.XLOOKUP($A44, My_Audit!$A:$A, My_Audit!P:P, ""),
    _xlfn.TEXTJOIN(", ", TRUE, _xlpm.MyAuditVal, _xlpm.MacVal, _xlpm.CSVVal)
)</f>
        <v/>
      </c>
      <c r="P44" s="2" t="str" cm="1">
        <f t="array" ref="P44">IFERROR(_xlfn.LET(
_xlpm.CSVVal,_xlfn.XLOOKUP($A44,CSV!$A:$A,CSV!AB:AB,""),
_xlpm.MacVal,_xlfn.XLOOKUP($A44,Output_Mac!$A:$A,Output_Mac!T:T,""),
_xlpm.MyAuditVal,_xlfn.XLOOKUP($A44,My_Audit!$A:$A,My_Audit!Q:Q,""),
_xlfn.IFS(_xlpm.MyAuditVal&lt;&gt;"",UPPER(_xlpm.MyAuditVal),_xlpm.MacVal&lt;&gt;"",_xlpm.MacVal,_xlpm.CSVVal&lt;&gt;"",_xlpm.CSVVal
)),"No")</f>
        <v>No</v>
      </c>
      <c r="Q44" s="2" t="str" cm="1">
        <f t="array" ref="Q44">IFERROR(_xlfn.LET(
_xlpm.CSVVal,_xlfn.XLOOKUP($A44,CSV!$A:$A,CSV!AC:AC,""),
_xlpm.MacVal,_xlfn.XLOOKUP($A44,Output_Mac!$A:$A,Output_Mac!U:U,""),
_xlpm.MyAuditVal,_xlfn.XLOOKUP($A44,My_Audit!$A:$A,My_Audit!R:R,""),
_xlfn.IFS(_xlpm.MyAuditVal&lt;&gt;"",UPPER(_xlpm.MyAuditVal),_xlpm.MacVal&lt;&gt;"",_xlpm.MacVal,_xlpm.CSVVal&lt;&gt;"",_xlpm.CSVVal
)),"")</f>
        <v/>
      </c>
      <c r="X44" t="str">
        <f>_xlfn.LET(
    _xlpm.MacVal, _xlfn.XLOOKUP($A44, Output_Mac!$A:$A, Output_Mac!AB:AB, ""),
    _xlpm.MyAuditVal, _xlfn.XLOOKUP($A44, My_Audit!$A:$A, My_Audit!N:N, ""),
    _xlfn.TEXTJOIN(", ", TRUE, _xlpm.MyAuditVal, _xlpm.MacVal)
)</f>
        <v/>
      </c>
    </row>
    <row r="45" spans="1:24">
      <c r="A45" s="2" t="str">
        <f>_xlfn.TEXTJOIN("",TRUE,Input!$B$2,ROW(My_Audit!A44))</f>
        <v>X44</v>
      </c>
      <c r="B45" s="2" t="str">
        <f>_xlfn.TEXTJOIN("-",TRUE,"ITD",Input!$A$2,A45)</f>
        <v>ITD-SHR-X44</v>
      </c>
      <c r="C45" s="2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2" t="str" cm="1">
        <f t="array" ref="D45">IFERROR(_xlfn.LET(
_xlpm.CSVVal,_xlfn.XLOOKUP($A45,CSV!$A:$A,CSV!D:D,""),
_xlpm.MacVal,_xlfn.XLOOKUP($A45,Output_Mac!$A:$A,Output_Mac!C:C,""),
_xlpm.MyAuditVal,_xlfn.XLOOKUP($A45,My_Audit!$A:$A,My_Audit!C:C,""),
_xlfn.IFS(_xlpm.MyAuditVal&lt;&gt;"",_xlpm.MyAuditVal,_xlpm.MacVal&lt;&gt;"",_xlpm.MacVal,_xlpm.CSVVal&lt;&gt;"",_xlpm.CSVVal
)),"")</f>
        <v/>
      </c>
      <c r="E45" s="2">
        <f>_xlfn.XLOOKUP(A45,My_Audit!A:A,My_Audit!D:D,"")</f>
        <v>0</v>
      </c>
      <c r="F45" s="2" t="str" cm="1">
        <f t="array" ref="F45">IFERROR(_xlfn.LET(
_xlpm.CSVVal,_xlfn.XLOOKUP($A45,CSV!$A:$A,CSV!F:F,""),
_xlpm.MacVal,_xlfn.XLOOKUP($A45,Output_Mac!$A:$A,Output_Mac!E:E,""),
_xlpm.MyAuditVal,_xlfn.XLOOKUP($A45,My_Audit!$A:$A,My_Audit!E:E,""),
_xlfn.IFS(_xlpm.MyAuditVal&lt;&gt;"",_xlpm.MyAuditVal,_xlpm.MacVal&lt;&gt;"",_xlpm.MacVal,_xlpm.CSVVal&lt;&gt;"",_xlpm.CSVVal
)),"")</f>
        <v/>
      </c>
      <c r="G45" s="2" t="str" cm="1">
        <f t="array" ref="G45">IFERROR(_xlfn.LET(
_xlpm.CSVVal,_xlfn.XLOOKUP($A45,CSV!$A:$A,CSV!G:G,""),
_xlpm.MacVal,_xlfn.XLOOKUP($A45,Output_Mac!$A:$A,Output_Mac!F:F,""),
_xlpm.MyAuditVal,_xlfn.XLOOKUP($A45,My_Audit!$A:$A,My_Audit!F:F,""),
_xlfn.IFS(_xlpm.MyAuditVal&lt;&gt;"",_xlpm.MyAuditVal,_xlpm.MacVal&lt;&gt;"",_xlpm.MacVal,_xlpm.CSVVal&lt;&gt;"",PROPER(_xlpm.CSVVal)
)),"")</f>
        <v/>
      </c>
      <c r="H45" s="2" t="str" cm="1">
        <f t="array" ref="H45">IFERROR(_xlfn.LET(
_xlpm.CSVVal,_xlfn.XLOOKUP($A45,CSV!$A:$A,CSV!H:H,""),
_xlpm.MacVal,_xlfn.XLOOKUP($A45,Output_Mac!$A:$A,Output_Mac!H:H,""),
_xlpm.MyAuditVal,_xlfn.XLOOKUP($A45,My_Audit!$A:$A,My_Audit!G:G,""),
_xlfn.IFS(_xlpm.MyAuditVal&lt;&gt;"",_xlpm.MyAuditVal,_xlpm.MacVal&lt;&gt;"",_xlpm.MacVal,_xlpm.CSVVal&lt;&gt;"",_xlpm.CSVVal
)),"")</f>
        <v/>
      </c>
      <c r="I45" s="2" t="str">
        <f>_xlfn.XLOOKUP(A45,Output_Mac!A:A,Output_Mac!I:I,"")</f>
        <v/>
      </c>
      <c r="J45" s="2" t="str" cm="1">
        <f t="array" ref="J45">IFERROR(_xlfn.LET(
_xlpm.CSVVal,_xlfn.XLOOKUP($A45,CSV!$A:$A,CSV!I:I,""),
_xlpm.MacVal,_xlfn.XLOOKUP($A45,Output_Mac!$A:$A,Output_Mac!J:J,""),
_xlpm.MyAuditVal,_xlfn.XLOOKUP($A45,My_Audit!$A:$A,My_Audit!I:I,""),
_xlfn.IFS(_xlpm.MyAuditVal&lt;&gt;"",UPPER(_xlpm.MyAuditVal),_xlpm.MacVal&lt;&gt;"",_xlpm.MacVal,_xlpm.CSVVal&lt;&gt;"",_xlpm.CSVVal
)),"")</f>
        <v/>
      </c>
      <c r="K45" s="2" t="str" cm="1">
        <f t="array" ref="K45">IFERROR(_xlfn.LET(
_xlpm.CSVVal,_xlfn.XLOOKUP($A45,CSV!$A:$A,CSV!K:K,""),
_xlpm.MacVal,_xlfn.XLOOKUP($A45,Output_Mac!$A:$A,Output_Mac!K:K,""),
_xlpm.MyAuditVal,_xlfn.XLOOKUP($A45,My_Audit!$A:$A,My_Audit!J:J,""),
_xlfn.IFS(_xlpm.MyAuditVal&lt;&gt;"",UPPER(_xlpm.MyAuditVal),_xlpm.MacVal&lt;&gt;"",_xlpm.MacVal,_xlpm.CSVVal&lt;&gt;"",_xlpm.CSVVal
)),"")</f>
        <v/>
      </c>
      <c r="L45" s="2" t="str" cm="1">
        <f t="array" ref="L45">IFERROR(_xlfn.LET(
_xlpm.CSVVal,_xlfn.XLOOKUP($A45,CSV!$A:$A,CSV!P:P,""),
_xlpm.MacVal,_xlfn.XLOOKUP($A45,Output_Mac!$A:$A,Output_Mac!L:L,""),
_xlpm.MyAuditVal,_xlfn.XLOOKUP($A45,My_Audit!$A:$A,My_Audit!K:K,""),
_xlfn.IFS(_xlpm.MyAuditVal&lt;&gt;"",UPPER(_xlpm.MyAuditVal),_xlpm.MacVal&lt;&gt;"",_xlpm.MacVal,_xlpm.CSVVal&lt;&gt;"",_xlpm.CSVVal
)),"")</f>
        <v/>
      </c>
      <c r="M45" s="2" t="str" cm="1">
        <f t="array" ref="M45">IFERROR(_xlfn.LET(
_xlpm.CSVVal,_xlfn.XLOOKUP($A45,CSV!$A:$A,CSV!Q:Q,""),
_xlpm.MacVal,_xlfn.XLOOKUP($A45,Output_Mac!$A:$A,Output_Mac!M:M,""),
_xlpm.MyAuditVal,_xlfn.XLOOKUP($A45,My_Audit!$A:$A,My_Audit!L:L,""),
_xlfn.IFS(_xlpm.MyAuditVal&lt;&gt;"",UPPER(_xlpm.MyAuditVal),_xlpm.MacVal&lt;&gt;"",_xlpm.MacVal,_xlpm.CSVVal&lt;&gt;"",_xlpm.CSVVal
)),"")</f>
        <v/>
      </c>
      <c r="O45" s="2" t="str">
        <f>_xlfn.LET(
    _xlpm.CSVVal, _xlfn.XLOOKUP($A45, CSV!$A:$A, CSV!AA:AA, ""),
    _xlpm.MacVal, _xlfn.XLOOKUP($A45, Output_Mac!$A:$A, Output_Mac!S:S, ""),
    _xlpm.MyAuditVal, _xlfn.XLOOKUP($A45, My_Audit!$A:$A, My_Audit!P:P, ""),
    _xlfn.TEXTJOIN(", ", TRUE, _xlpm.MyAuditVal, _xlpm.MacVal, _xlpm.CSVVal)
)</f>
        <v/>
      </c>
      <c r="P45" s="2" t="str" cm="1">
        <f t="array" ref="P45">IFERROR(_xlfn.LET(
_xlpm.CSVVal,_xlfn.XLOOKUP($A45,CSV!$A:$A,CSV!AB:AB,""),
_xlpm.MacVal,_xlfn.XLOOKUP($A45,Output_Mac!$A:$A,Output_Mac!T:T,""),
_xlpm.MyAuditVal,_xlfn.XLOOKUP($A45,My_Audit!$A:$A,My_Audit!Q:Q,""),
_xlfn.IFS(_xlpm.MyAuditVal&lt;&gt;"",UPPER(_xlpm.MyAuditVal),_xlpm.MacVal&lt;&gt;"",_xlpm.MacVal,_xlpm.CSVVal&lt;&gt;"",_xlpm.CSVVal
)),"No")</f>
        <v>No</v>
      </c>
      <c r="Q45" s="2" t="str" cm="1">
        <f t="array" ref="Q45">IFERROR(_xlfn.LET(
_xlpm.CSVVal,_xlfn.XLOOKUP($A45,CSV!$A:$A,CSV!AC:AC,""),
_xlpm.MacVal,_xlfn.XLOOKUP($A45,Output_Mac!$A:$A,Output_Mac!U:U,""),
_xlpm.MyAuditVal,_xlfn.XLOOKUP($A45,My_Audit!$A:$A,My_Audit!R:R,""),
_xlfn.IFS(_xlpm.MyAuditVal&lt;&gt;"",UPPER(_xlpm.MyAuditVal),_xlpm.MacVal&lt;&gt;"",_xlpm.MacVal,_xlpm.CSVVal&lt;&gt;"",_xlpm.CSVVal
)),"")</f>
        <v/>
      </c>
      <c r="X45" t="str">
        <f>_xlfn.LET(
    _xlpm.MacVal, _xlfn.XLOOKUP($A45, Output_Mac!$A:$A, Output_Mac!AB:AB, ""),
    _xlpm.MyAuditVal, _xlfn.XLOOKUP($A45, My_Audit!$A:$A, My_Audit!N:N, ""),
    _xlfn.TEXTJOIN(", ", TRUE, _xlpm.MyAuditVal, _xlpm.MacVal)
)</f>
        <v/>
      </c>
    </row>
    <row r="46" spans="1:24">
      <c r="A46" s="2" t="str">
        <f>_xlfn.TEXTJOIN("",TRUE,Input!$B$2,ROW(My_Audit!A45))</f>
        <v>X45</v>
      </c>
      <c r="B46" s="2" t="str">
        <f>_xlfn.TEXTJOIN("-",TRUE,"ITD",Input!$A$2,A46)</f>
        <v>ITD-SHR-X45</v>
      </c>
      <c r="C46" s="2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2" t="str" cm="1">
        <f t="array" ref="D46">IFERROR(_xlfn.LET(
_xlpm.CSVVal,_xlfn.XLOOKUP($A46,CSV!$A:$A,CSV!D:D,""),
_xlpm.MacVal,_xlfn.XLOOKUP($A46,Output_Mac!$A:$A,Output_Mac!C:C,""),
_xlpm.MyAuditVal,_xlfn.XLOOKUP($A46,My_Audit!$A:$A,My_Audit!C:C,""),
_xlfn.IFS(_xlpm.MyAuditVal&lt;&gt;"",_xlpm.MyAuditVal,_xlpm.MacVal&lt;&gt;"",_xlpm.MacVal,_xlpm.CSVVal&lt;&gt;"",_xlpm.CSVVal
)),"")</f>
        <v/>
      </c>
      <c r="E46" s="2">
        <f>_xlfn.XLOOKUP(A46,My_Audit!A:A,My_Audit!D:D,"")</f>
        <v>0</v>
      </c>
      <c r="F46" s="2" t="str" cm="1">
        <f t="array" ref="F46">IFERROR(_xlfn.LET(
_xlpm.CSVVal,_xlfn.XLOOKUP($A46,CSV!$A:$A,CSV!F:F,""),
_xlpm.MacVal,_xlfn.XLOOKUP($A46,Output_Mac!$A:$A,Output_Mac!E:E,""),
_xlpm.MyAuditVal,_xlfn.XLOOKUP($A46,My_Audit!$A:$A,My_Audit!E:E,""),
_xlfn.IFS(_xlpm.MyAuditVal&lt;&gt;"",_xlpm.MyAuditVal,_xlpm.MacVal&lt;&gt;"",_xlpm.MacVal,_xlpm.CSVVal&lt;&gt;"",_xlpm.CSVVal
)),"")</f>
        <v/>
      </c>
      <c r="G46" s="2" t="str" cm="1">
        <f t="array" ref="G46">IFERROR(_xlfn.LET(
_xlpm.CSVVal,_xlfn.XLOOKUP($A46,CSV!$A:$A,CSV!G:G,""),
_xlpm.MacVal,_xlfn.XLOOKUP($A46,Output_Mac!$A:$A,Output_Mac!F:F,""),
_xlpm.MyAuditVal,_xlfn.XLOOKUP($A46,My_Audit!$A:$A,My_Audit!F:F,""),
_xlfn.IFS(_xlpm.MyAuditVal&lt;&gt;"",_xlpm.MyAuditVal,_xlpm.MacVal&lt;&gt;"",_xlpm.MacVal,_xlpm.CSVVal&lt;&gt;"",PROPER(_xlpm.CSVVal)
)),"")</f>
        <v/>
      </c>
      <c r="H46" s="2" t="str" cm="1">
        <f t="array" ref="H46">IFERROR(_xlfn.LET(
_xlpm.CSVVal,_xlfn.XLOOKUP($A46,CSV!$A:$A,CSV!H:H,""),
_xlpm.MacVal,_xlfn.XLOOKUP($A46,Output_Mac!$A:$A,Output_Mac!H:H,""),
_xlpm.MyAuditVal,_xlfn.XLOOKUP($A46,My_Audit!$A:$A,My_Audit!G:G,""),
_xlfn.IFS(_xlpm.MyAuditVal&lt;&gt;"",_xlpm.MyAuditVal,_xlpm.MacVal&lt;&gt;"",_xlpm.MacVal,_xlpm.CSVVal&lt;&gt;"",_xlpm.CSVVal
)),"")</f>
        <v/>
      </c>
      <c r="I46" s="2" t="str">
        <f>_xlfn.XLOOKUP(A46,Output_Mac!A:A,Output_Mac!I:I,"")</f>
        <v/>
      </c>
      <c r="J46" s="2" t="str" cm="1">
        <f t="array" ref="J46">IFERROR(_xlfn.LET(
_xlpm.CSVVal,_xlfn.XLOOKUP($A46,CSV!$A:$A,CSV!I:I,""),
_xlpm.MacVal,_xlfn.XLOOKUP($A46,Output_Mac!$A:$A,Output_Mac!J:J,""),
_xlpm.MyAuditVal,_xlfn.XLOOKUP($A46,My_Audit!$A:$A,My_Audit!I:I,""),
_xlfn.IFS(_xlpm.MyAuditVal&lt;&gt;"",UPPER(_xlpm.MyAuditVal),_xlpm.MacVal&lt;&gt;"",_xlpm.MacVal,_xlpm.CSVVal&lt;&gt;"",_xlpm.CSVVal
)),"")</f>
        <v/>
      </c>
      <c r="K46" s="2" t="str" cm="1">
        <f t="array" ref="K46">IFERROR(_xlfn.LET(
_xlpm.CSVVal,_xlfn.XLOOKUP($A46,CSV!$A:$A,CSV!K:K,""),
_xlpm.MacVal,_xlfn.XLOOKUP($A46,Output_Mac!$A:$A,Output_Mac!K:K,""),
_xlpm.MyAuditVal,_xlfn.XLOOKUP($A46,My_Audit!$A:$A,My_Audit!J:J,""),
_xlfn.IFS(_xlpm.MyAuditVal&lt;&gt;"",UPPER(_xlpm.MyAuditVal),_xlpm.MacVal&lt;&gt;"",_xlpm.MacVal,_xlpm.CSVVal&lt;&gt;"",_xlpm.CSVVal
)),"")</f>
        <v/>
      </c>
      <c r="L46" s="2" t="str" cm="1">
        <f t="array" ref="L46">IFERROR(_xlfn.LET(
_xlpm.CSVVal,_xlfn.XLOOKUP($A46,CSV!$A:$A,CSV!P:P,""),
_xlpm.MacVal,_xlfn.XLOOKUP($A46,Output_Mac!$A:$A,Output_Mac!L:L,""),
_xlpm.MyAuditVal,_xlfn.XLOOKUP($A46,My_Audit!$A:$A,My_Audit!K:K,""),
_xlfn.IFS(_xlpm.MyAuditVal&lt;&gt;"",UPPER(_xlpm.MyAuditVal),_xlpm.MacVal&lt;&gt;"",_xlpm.MacVal,_xlpm.CSVVal&lt;&gt;"",_xlpm.CSVVal
)),"")</f>
        <v/>
      </c>
      <c r="M46" s="2" t="str" cm="1">
        <f t="array" ref="M46">IFERROR(_xlfn.LET(
_xlpm.CSVVal,_xlfn.XLOOKUP($A46,CSV!$A:$A,CSV!Q:Q,""),
_xlpm.MacVal,_xlfn.XLOOKUP($A46,Output_Mac!$A:$A,Output_Mac!M:M,""),
_xlpm.MyAuditVal,_xlfn.XLOOKUP($A46,My_Audit!$A:$A,My_Audit!L:L,""),
_xlfn.IFS(_xlpm.MyAuditVal&lt;&gt;"",UPPER(_xlpm.MyAuditVal),_xlpm.MacVal&lt;&gt;"",_xlpm.MacVal,_xlpm.CSVVal&lt;&gt;"",_xlpm.CSVVal
)),"")</f>
        <v/>
      </c>
      <c r="O46" s="2" t="str">
        <f>_xlfn.LET(
    _xlpm.CSVVal, _xlfn.XLOOKUP($A46, CSV!$A:$A, CSV!AA:AA, ""),
    _xlpm.MacVal, _xlfn.XLOOKUP($A46, Output_Mac!$A:$A, Output_Mac!S:S, ""),
    _xlpm.MyAuditVal, _xlfn.XLOOKUP($A46, My_Audit!$A:$A, My_Audit!P:P, ""),
    _xlfn.TEXTJOIN(", ", TRUE, _xlpm.MyAuditVal, _xlpm.MacVal, _xlpm.CSVVal)
)</f>
        <v/>
      </c>
      <c r="P46" s="2" t="str" cm="1">
        <f t="array" ref="P46">IFERROR(_xlfn.LET(
_xlpm.CSVVal,_xlfn.XLOOKUP($A46,CSV!$A:$A,CSV!AB:AB,""),
_xlpm.MacVal,_xlfn.XLOOKUP($A46,Output_Mac!$A:$A,Output_Mac!T:T,""),
_xlpm.MyAuditVal,_xlfn.XLOOKUP($A46,My_Audit!$A:$A,My_Audit!Q:Q,""),
_xlfn.IFS(_xlpm.MyAuditVal&lt;&gt;"",UPPER(_xlpm.MyAuditVal),_xlpm.MacVal&lt;&gt;"",_xlpm.MacVal,_xlpm.CSVVal&lt;&gt;"",_xlpm.CSVVal
)),"No")</f>
        <v>No</v>
      </c>
      <c r="Q46" s="2" t="str" cm="1">
        <f t="array" ref="Q46">IFERROR(_xlfn.LET(
_xlpm.CSVVal,_xlfn.XLOOKUP($A46,CSV!$A:$A,CSV!AC:AC,""),
_xlpm.MacVal,_xlfn.XLOOKUP($A46,Output_Mac!$A:$A,Output_Mac!U:U,""),
_xlpm.MyAuditVal,_xlfn.XLOOKUP($A46,My_Audit!$A:$A,My_Audit!R:R,""),
_xlfn.IFS(_xlpm.MyAuditVal&lt;&gt;"",UPPER(_xlpm.MyAuditVal),_xlpm.MacVal&lt;&gt;"",_xlpm.MacVal,_xlpm.CSVVal&lt;&gt;"",_xlpm.CSVVal
)),"")</f>
        <v/>
      </c>
      <c r="X46" t="str">
        <f>_xlfn.LET(
    _xlpm.MacVal, _xlfn.XLOOKUP($A46, Output_Mac!$A:$A, Output_Mac!AB:AB, ""),
    _xlpm.MyAuditVal, _xlfn.XLOOKUP($A46, My_Audit!$A:$A, My_Audit!N:N, ""),
    _xlfn.TEXTJOIN(", ", TRUE, _xlpm.MyAuditVal, _xlpm.MacVal)
)</f>
        <v/>
      </c>
    </row>
    <row r="47" spans="1:24">
      <c r="A47" s="2" t="str">
        <f>_xlfn.TEXTJOIN("",TRUE,Input!$B$2,ROW(My_Audit!A46))</f>
        <v>X46</v>
      </c>
      <c r="B47" s="2" t="str">
        <f>_xlfn.TEXTJOIN("-",TRUE,"ITD",Input!$A$2,A47)</f>
        <v>ITD-SHR-X46</v>
      </c>
      <c r="C47" s="2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2" t="str" cm="1">
        <f t="array" ref="D47">IFERROR(_xlfn.LET(
_xlpm.CSVVal,_xlfn.XLOOKUP($A47,CSV!$A:$A,CSV!D:D,""),
_xlpm.MacVal,_xlfn.XLOOKUP($A47,Output_Mac!$A:$A,Output_Mac!C:C,""),
_xlpm.MyAuditVal,_xlfn.XLOOKUP($A47,My_Audit!$A:$A,My_Audit!C:C,""),
_xlfn.IFS(_xlpm.MyAuditVal&lt;&gt;"",_xlpm.MyAuditVal,_xlpm.MacVal&lt;&gt;"",_xlpm.MacVal,_xlpm.CSVVal&lt;&gt;"",_xlpm.CSVVal
)),"")</f>
        <v/>
      </c>
      <c r="E47" s="2">
        <f>_xlfn.XLOOKUP(A47,My_Audit!A:A,My_Audit!D:D,"")</f>
        <v>0</v>
      </c>
      <c r="F47" s="2" t="str" cm="1">
        <f t="array" ref="F47">IFERROR(_xlfn.LET(
_xlpm.CSVVal,_xlfn.XLOOKUP($A47,CSV!$A:$A,CSV!F:F,""),
_xlpm.MacVal,_xlfn.XLOOKUP($A47,Output_Mac!$A:$A,Output_Mac!E:E,""),
_xlpm.MyAuditVal,_xlfn.XLOOKUP($A47,My_Audit!$A:$A,My_Audit!E:E,""),
_xlfn.IFS(_xlpm.MyAuditVal&lt;&gt;"",_xlpm.MyAuditVal,_xlpm.MacVal&lt;&gt;"",_xlpm.MacVal,_xlpm.CSVVal&lt;&gt;"",_xlpm.CSVVal
)),"")</f>
        <v/>
      </c>
      <c r="G47" s="2" t="str" cm="1">
        <f t="array" ref="G47">IFERROR(_xlfn.LET(
_xlpm.CSVVal,_xlfn.XLOOKUP($A47,CSV!$A:$A,CSV!G:G,""),
_xlpm.MacVal,_xlfn.XLOOKUP($A47,Output_Mac!$A:$A,Output_Mac!F:F,""),
_xlpm.MyAuditVal,_xlfn.XLOOKUP($A47,My_Audit!$A:$A,My_Audit!F:F,""),
_xlfn.IFS(_xlpm.MyAuditVal&lt;&gt;"",_xlpm.MyAuditVal,_xlpm.MacVal&lt;&gt;"",_xlpm.MacVal,_xlpm.CSVVal&lt;&gt;"",PROPER(_xlpm.CSVVal)
)),"")</f>
        <v/>
      </c>
      <c r="H47" s="2" t="str" cm="1">
        <f t="array" ref="H47">IFERROR(_xlfn.LET(
_xlpm.CSVVal,_xlfn.XLOOKUP($A47,CSV!$A:$A,CSV!H:H,""),
_xlpm.MacVal,_xlfn.XLOOKUP($A47,Output_Mac!$A:$A,Output_Mac!H:H,""),
_xlpm.MyAuditVal,_xlfn.XLOOKUP($A47,My_Audit!$A:$A,My_Audit!G:G,""),
_xlfn.IFS(_xlpm.MyAuditVal&lt;&gt;"",_xlpm.MyAuditVal,_xlpm.MacVal&lt;&gt;"",_xlpm.MacVal,_xlpm.CSVVal&lt;&gt;"",_xlpm.CSVVal
)),"")</f>
        <v/>
      </c>
      <c r="I47" s="2" t="str">
        <f>_xlfn.XLOOKUP(A47,Output_Mac!A:A,Output_Mac!I:I,"")</f>
        <v/>
      </c>
      <c r="J47" s="2" t="str" cm="1">
        <f t="array" ref="J47">IFERROR(_xlfn.LET(
_xlpm.CSVVal,_xlfn.XLOOKUP($A47,CSV!$A:$A,CSV!I:I,""),
_xlpm.MacVal,_xlfn.XLOOKUP($A47,Output_Mac!$A:$A,Output_Mac!J:J,""),
_xlpm.MyAuditVal,_xlfn.XLOOKUP($A47,My_Audit!$A:$A,My_Audit!I:I,""),
_xlfn.IFS(_xlpm.MyAuditVal&lt;&gt;"",UPPER(_xlpm.MyAuditVal),_xlpm.MacVal&lt;&gt;"",_xlpm.MacVal,_xlpm.CSVVal&lt;&gt;"",_xlpm.CSVVal
)),"")</f>
        <v/>
      </c>
      <c r="K47" s="2" t="str" cm="1">
        <f t="array" ref="K47">IFERROR(_xlfn.LET(
_xlpm.CSVVal,_xlfn.XLOOKUP($A47,CSV!$A:$A,CSV!K:K,""),
_xlpm.MacVal,_xlfn.XLOOKUP($A47,Output_Mac!$A:$A,Output_Mac!K:K,""),
_xlpm.MyAuditVal,_xlfn.XLOOKUP($A47,My_Audit!$A:$A,My_Audit!J:J,""),
_xlfn.IFS(_xlpm.MyAuditVal&lt;&gt;"",UPPER(_xlpm.MyAuditVal),_xlpm.MacVal&lt;&gt;"",_xlpm.MacVal,_xlpm.CSVVal&lt;&gt;"",_xlpm.CSVVal
)),"")</f>
        <v/>
      </c>
      <c r="L47" s="2" t="str" cm="1">
        <f t="array" ref="L47">IFERROR(_xlfn.LET(
_xlpm.CSVVal,_xlfn.XLOOKUP($A47,CSV!$A:$A,CSV!P:P,""),
_xlpm.MacVal,_xlfn.XLOOKUP($A47,Output_Mac!$A:$A,Output_Mac!L:L,""),
_xlpm.MyAuditVal,_xlfn.XLOOKUP($A47,My_Audit!$A:$A,My_Audit!K:K,""),
_xlfn.IFS(_xlpm.MyAuditVal&lt;&gt;"",UPPER(_xlpm.MyAuditVal),_xlpm.MacVal&lt;&gt;"",_xlpm.MacVal,_xlpm.CSVVal&lt;&gt;"",_xlpm.CSVVal
)),"")</f>
        <v/>
      </c>
      <c r="M47" s="2" t="str" cm="1">
        <f t="array" ref="M47">IFERROR(_xlfn.LET(
_xlpm.CSVVal,_xlfn.XLOOKUP($A47,CSV!$A:$A,CSV!Q:Q,""),
_xlpm.MacVal,_xlfn.XLOOKUP($A47,Output_Mac!$A:$A,Output_Mac!M:M,""),
_xlpm.MyAuditVal,_xlfn.XLOOKUP($A47,My_Audit!$A:$A,My_Audit!L:L,""),
_xlfn.IFS(_xlpm.MyAuditVal&lt;&gt;"",UPPER(_xlpm.MyAuditVal),_xlpm.MacVal&lt;&gt;"",_xlpm.MacVal,_xlpm.CSVVal&lt;&gt;"",_xlpm.CSVVal
)),"")</f>
        <v/>
      </c>
      <c r="O47" s="2" t="str">
        <f>_xlfn.LET(
    _xlpm.CSVVal, _xlfn.XLOOKUP($A47, CSV!$A:$A, CSV!AA:AA, ""),
    _xlpm.MacVal, _xlfn.XLOOKUP($A47, Output_Mac!$A:$A, Output_Mac!S:S, ""),
    _xlpm.MyAuditVal, _xlfn.XLOOKUP($A47, My_Audit!$A:$A, My_Audit!P:P, ""),
    _xlfn.TEXTJOIN(", ", TRUE, _xlpm.MyAuditVal, _xlpm.MacVal, _xlpm.CSVVal)
)</f>
        <v/>
      </c>
      <c r="P47" s="2" t="str" cm="1">
        <f t="array" ref="P47">IFERROR(_xlfn.LET(
_xlpm.CSVVal,_xlfn.XLOOKUP($A47,CSV!$A:$A,CSV!AB:AB,""),
_xlpm.MacVal,_xlfn.XLOOKUP($A47,Output_Mac!$A:$A,Output_Mac!T:T,""),
_xlpm.MyAuditVal,_xlfn.XLOOKUP($A47,My_Audit!$A:$A,My_Audit!Q:Q,""),
_xlfn.IFS(_xlpm.MyAuditVal&lt;&gt;"",UPPER(_xlpm.MyAuditVal),_xlpm.MacVal&lt;&gt;"",_xlpm.MacVal,_xlpm.CSVVal&lt;&gt;"",_xlpm.CSVVal
)),"No")</f>
        <v>No</v>
      </c>
      <c r="Q47" s="2" t="str" cm="1">
        <f t="array" ref="Q47">IFERROR(_xlfn.LET(
_xlpm.CSVVal,_xlfn.XLOOKUP($A47,CSV!$A:$A,CSV!AC:AC,""),
_xlpm.MacVal,_xlfn.XLOOKUP($A47,Output_Mac!$A:$A,Output_Mac!U:U,""),
_xlpm.MyAuditVal,_xlfn.XLOOKUP($A47,My_Audit!$A:$A,My_Audit!R:R,""),
_xlfn.IFS(_xlpm.MyAuditVal&lt;&gt;"",UPPER(_xlpm.MyAuditVal),_xlpm.MacVal&lt;&gt;"",_xlpm.MacVal,_xlpm.CSVVal&lt;&gt;"",_xlpm.CSVVal
)),"")</f>
        <v/>
      </c>
      <c r="X47" t="str">
        <f>_xlfn.LET(
    _xlpm.MacVal, _xlfn.XLOOKUP($A47, Output_Mac!$A:$A, Output_Mac!AB:AB, ""),
    _xlpm.MyAuditVal, _xlfn.XLOOKUP($A47, My_Audit!$A:$A, My_Audit!N:N, ""),
    _xlfn.TEXTJOIN(", ", TRUE, _xlpm.MyAuditVal, _xlpm.MacVal)
)</f>
        <v/>
      </c>
    </row>
    <row r="48" spans="1:24">
      <c r="A48" s="2" t="str">
        <f>_xlfn.TEXTJOIN("",TRUE,Input!$B$2,ROW(My_Audit!A47))</f>
        <v>X47</v>
      </c>
      <c r="B48" s="2" t="str">
        <f>_xlfn.TEXTJOIN("-",TRUE,"ITD",Input!$A$2,A48)</f>
        <v>ITD-SHR-X47</v>
      </c>
      <c r="C48" s="2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2" t="str" cm="1">
        <f t="array" ref="D48">IFERROR(_xlfn.LET(
_xlpm.CSVVal,_xlfn.XLOOKUP($A48,CSV!$A:$A,CSV!D:D,""),
_xlpm.MacVal,_xlfn.XLOOKUP($A48,Output_Mac!$A:$A,Output_Mac!C:C,""),
_xlpm.MyAuditVal,_xlfn.XLOOKUP($A48,My_Audit!$A:$A,My_Audit!C:C,""),
_xlfn.IFS(_xlpm.MyAuditVal&lt;&gt;"",_xlpm.MyAuditVal,_xlpm.MacVal&lt;&gt;"",_xlpm.MacVal,_xlpm.CSVVal&lt;&gt;"",_xlpm.CSVVal
)),"")</f>
        <v/>
      </c>
      <c r="E48" s="2">
        <f>_xlfn.XLOOKUP(A48,My_Audit!A:A,My_Audit!D:D,"")</f>
        <v>0</v>
      </c>
      <c r="F48" s="2" t="str" cm="1">
        <f t="array" ref="F48">IFERROR(_xlfn.LET(
_xlpm.CSVVal,_xlfn.XLOOKUP($A48,CSV!$A:$A,CSV!F:F,""),
_xlpm.MacVal,_xlfn.XLOOKUP($A48,Output_Mac!$A:$A,Output_Mac!E:E,""),
_xlpm.MyAuditVal,_xlfn.XLOOKUP($A48,My_Audit!$A:$A,My_Audit!E:E,""),
_xlfn.IFS(_xlpm.MyAuditVal&lt;&gt;"",_xlpm.MyAuditVal,_xlpm.MacVal&lt;&gt;"",_xlpm.MacVal,_xlpm.CSVVal&lt;&gt;"",_xlpm.CSVVal
)),"")</f>
        <v/>
      </c>
      <c r="G48" s="2" t="str" cm="1">
        <f t="array" ref="G48">IFERROR(_xlfn.LET(
_xlpm.CSVVal,_xlfn.XLOOKUP($A48,CSV!$A:$A,CSV!G:G,""),
_xlpm.MacVal,_xlfn.XLOOKUP($A48,Output_Mac!$A:$A,Output_Mac!F:F,""),
_xlpm.MyAuditVal,_xlfn.XLOOKUP($A48,My_Audit!$A:$A,My_Audit!F:F,""),
_xlfn.IFS(_xlpm.MyAuditVal&lt;&gt;"",_xlpm.MyAuditVal,_xlpm.MacVal&lt;&gt;"",_xlpm.MacVal,_xlpm.CSVVal&lt;&gt;"",PROPER(_xlpm.CSVVal)
)),"")</f>
        <v/>
      </c>
      <c r="H48" s="2" t="str" cm="1">
        <f t="array" ref="H48">IFERROR(_xlfn.LET(
_xlpm.CSVVal,_xlfn.XLOOKUP($A48,CSV!$A:$A,CSV!H:H,""),
_xlpm.MacVal,_xlfn.XLOOKUP($A48,Output_Mac!$A:$A,Output_Mac!H:H,""),
_xlpm.MyAuditVal,_xlfn.XLOOKUP($A48,My_Audit!$A:$A,My_Audit!G:G,""),
_xlfn.IFS(_xlpm.MyAuditVal&lt;&gt;"",_xlpm.MyAuditVal,_xlpm.MacVal&lt;&gt;"",_xlpm.MacVal,_xlpm.CSVVal&lt;&gt;"",_xlpm.CSVVal
)),"")</f>
        <v/>
      </c>
      <c r="I48" s="2" t="str">
        <f>_xlfn.XLOOKUP(A48,Output_Mac!A:A,Output_Mac!I:I,"")</f>
        <v/>
      </c>
      <c r="J48" s="2" t="str" cm="1">
        <f t="array" ref="J48">IFERROR(_xlfn.LET(
_xlpm.CSVVal,_xlfn.XLOOKUP($A48,CSV!$A:$A,CSV!I:I,""),
_xlpm.MacVal,_xlfn.XLOOKUP($A48,Output_Mac!$A:$A,Output_Mac!J:J,""),
_xlpm.MyAuditVal,_xlfn.XLOOKUP($A48,My_Audit!$A:$A,My_Audit!I:I,""),
_xlfn.IFS(_xlpm.MyAuditVal&lt;&gt;"",UPPER(_xlpm.MyAuditVal),_xlpm.MacVal&lt;&gt;"",_xlpm.MacVal,_xlpm.CSVVal&lt;&gt;"",_xlpm.CSVVal
)),"")</f>
        <v/>
      </c>
      <c r="K48" s="2" t="str" cm="1">
        <f t="array" ref="K48">IFERROR(_xlfn.LET(
_xlpm.CSVVal,_xlfn.XLOOKUP($A48,CSV!$A:$A,CSV!K:K,""),
_xlpm.MacVal,_xlfn.XLOOKUP($A48,Output_Mac!$A:$A,Output_Mac!K:K,""),
_xlpm.MyAuditVal,_xlfn.XLOOKUP($A48,My_Audit!$A:$A,My_Audit!J:J,""),
_xlfn.IFS(_xlpm.MyAuditVal&lt;&gt;"",UPPER(_xlpm.MyAuditVal),_xlpm.MacVal&lt;&gt;"",_xlpm.MacVal,_xlpm.CSVVal&lt;&gt;"",_xlpm.CSVVal
)),"")</f>
        <v/>
      </c>
      <c r="L48" s="2" t="str" cm="1">
        <f t="array" ref="L48">IFERROR(_xlfn.LET(
_xlpm.CSVVal,_xlfn.XLOOKUP($A48,CSV!$A:$A,CSV!P:P,""),
_xlpm.MacVal,_xlfn.XLOOKUP($A48,Output_Mac!$A:$A,Output_Mac!L:L,""),
_xlpm.MyAuditVal,_xlfn.XLOOKUP($A48,My_Audit!$A:$A,My_Audit!K:K,""),
_xlfn.IFS(_xlpm.MyAuditVal&lt;&gt;"",UPPER(_xlpm.MyAuditVal),_xlpm.MacVal&lt;&gt;"",_xlpm.MacVal,_xlpm.CSVVal&lt;&gt;"",_xlpm.CSVVal
)),"")</f>
        <v/>
      </c>
      <c r="M48" s="2" t="str" cm="1">
        <f t="array" ref="M48">IFERROR(_xlfn.LET(
_xlpm.CSVVal,_xlfn.XLOOKUP($A48,CSV!$A:$A,CSV!Q:Q,""),
_xlpm.MacVal,_xlfn.XLOOKUP($A48,Output_Mac!$A:$A,Output_Mac!M:M,""),
_xlpm.MyAuditVal,_xlfn.XLOOKUP($A48,My_Audit!$A:$A,My_Audit!L:L,""),
_xlfn.IFS(_xlpm.MyAuditVal&lt;&gt;"",UPPER(_xlpm.MyAuditVal),_xlpm.MacVal&lt;&gt;"",_xlpm.MacVal,_xlpm.CSVVal&lt;&gt;"",_xlpm.CSVVal
)),"")</f>
        <v/>
      </c>
      <c r="O48" s="2" t="str">
        <f>_xlfn.LET(
    _xlpm.CSVVal, _xlfn.XLOOKUP($A48, CSV!$A:$A, CSV!AA:AA, ""),
    _xlpm.MacVal, _xlfn.XLOOKUP($A48, Output_Mac!$A:$A, Output_Mac!S:S, ""),
    _xlpm.MyAuditVal, _xlfn.XLOOKUP($A48, My_Audit!$A:$A, My_Audit!P:P, ""),
    _xlfn.TEXTJOIN(", ", TRUE, _xlpm.MyAuditVal, _xlpm.MacVal, _xlpm.CSVVal)
)</f>
        <v/>
      </c>
      <c r="P48" s="2" t="str" cm="1">
        <f t="array" ref="P48">IFERROR(_xlfn.LET(
_xlpm.CSVVal,_xlfn.XLOOKUP($A48,CSV!$A:$A,CSV!AB:AB,""),
_xlpm.MacVal,_xlfn.XLOOKUP($A48,Output_Mac!$A:$A,Output_Mac!T:T,""),
_xlpm.MyAuditVal,_xlfn.XLOOKUP($A48,My_Audit!$A:$A,My_Audit!Q:Q,""),
_xlfn.IFS(_xlpm.MyAuditVal&lt;&gt;"",UPPER(_xlpm.MyAuditVal),_xlpm.MacVal&lt;&gt;"",_xlpm.MacVal,_xlpm.CSVVal&lt;&gt;"",_xlpm.CSVVal
)),"No")</f>
        <v>No</v>
      </c>
      <c r="Q48" s="2" t="str" cm="1">
        <f t="array" ref="Q48">IFERROR(_xlfn.LET(
_xlpm.CSVVal,_xlfn.XLOOKUP($A48,CSV!$A:$A,CSV!AC:AC,""),
_xlpm.MacVal,_xlfn.XLOOKUP($A48,Output_Mac!$A:$A,Output_Mac!U:U,""),
_xlpm.MyAuditVal,_xlfn.XLOOKUP($A48,My_Audit!$A:$A,My_Audit!R:R,""),
_xlfn.IFS(_xlpm.MyAuditVal&lt;&gt;"",UPPER(_xlpm.MyAuditVal),_xlpm.MacVal&lt;&gt;"",_xlpm.MacVal,_xlpm.CSVVal&lt;&gt;"",_xlpm.CSVVal
)),"")</f>
        <v/>
      </c>
      <c r="X48" t="str">
        <f>_xlfn.LET(
    _xlpm.MacVal, _xlfn.XLOOKUP($A48, Output_Mac!$A:$A, Output_Mac!AB:AB, ""),
    _xlpm.MyAuditVal, _xlfn.XLOOKUP($A48, My_Audit!$A:$A, My_Audit!N:N, ""),
    _xlfn.TEXTJOIN(", ", TRUE, _xlpm.MyAuditVal, _xlpm.MacVal)
)</f>
        <v/>
      </c>
    </row>
    <row r="49" spans="1:24">
      <c r="A49" s="2" t="str">
        <f>_xlfn.TEXTJOIN("",TRUE,Input!$B$2,ROW(My_Audit!A48))</f>
        <v>X48</v>
      </c>
      <c r="B49" s="2" t="str">
        <f>_xlfn.TEXTJOIN("-",TRUE,"ITD",Input!$A$2,A49)</f>
        <v>ITD-SHR-X48</v>
      </c>
      <c r="C49" s="2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2" t="str" cm="1">
        <f t="array" ref="D49">IFERROR(_xlfn.LET(
_xlpm.CSVVal,_xlfn.XLOOKUP($A49,CSV!$A:$A,CSV!D:D,""),
_xlpm.MacVal,_xlfn.XLOOKUP($A49,Output_Mac!$A:$A,Output_Mac!C:C,""),
_xlpm.MyAuditVal,_xlfn.XLOOKUP($A49,My_Audit!$A:$A,My_Audit!C:C,""),
_xlfn.IFS(_xlpm.MyAuditVal&lt;&gt;"",_xlpm.MyAuditVal,_xlpm.MacVal&lt;&gt;"",_xlpm.MacVal,_xlpm.CSVVal&lt;&gt;"",_xlpm.CSVVal
)),"")</f>
        <v/>
      </c>
      <c r="E49" s="2">
        <f>_xlfn.XLOOKUP(A49,My_Audit!A:A,My_Audit!D:D,"")</f>
        <v>0</v>
      </c>
      <c r="F49" s="2" t="str" cm="1">
        <f t="array" ref="F49">IFERROR(_xlfn.LET(
_xlpm.CSVVal,_xlfn.XLOOKUP($A49,CSV!$A:$A,CSV!F:F,""),
_xlpm.MacVal,_xlfn.XLOOKUP($A49,Output_Mac!$A:$A,Output_Mac!E:E,""),
_xlpm.MyAuditVal,_xlfn.XLOOKUP($A49,My_Audit!$A:$A,My_Audit!E:E,""),
_xlfn.IFS(_xlpm.MyAuditVal&lt;&gt;"",_xlpm.MyAuditVal,_xlpm.MacVal&lt;&gt;"",_xlpm.MacVal,_xlpm.CSVVal&lt;&gt;"",_xlpm.CSVVal
)),"")</f>
        <v/>
      </c>
      <c r="G49" s="2" t="str" cm="1">
        <f t="array" ref="G49">IFERROR(_xlfn.LET(
_xlpm.CSVVal,_xlfn.XLOOKUP($A49,CSV!$A:$A,CSV!G:G,""),
_xlpm.MacVal,_xlfn.XLOOKUP($A49,Output_Mac!$A:$A,Output_Mac!F:F,""),
_xlpm.MyAuditVal,_xlfn.XLOOKUP($A49,My_Audit!$A:$A,My_Audit!F:F,""),
_xlfn.IFS(_xlpm.MyAuditVal&lt;&gt;"",_xlpm.MyAuditVal,_xlpm.MacVal&lt;&gt;"",_xlpm.MacVal,_xlpm.CSVVal&lt;&gt;"",PROPER(_xlpm.CSVVal)
)),"")</f>
        <v/>
      </c>
      <c r="H49" s="2" t="str" cm="1">
        <f t="array" ref="H49">IFERROR(_xlfn.LET(
_xlpm.CSVVal,_xlfn.XLOOKUP($A49,CSV!$A:$A,CSV!H:H,""),
_xlpm.MacVal,_xlfn.XLOOKUP($A49,Output_Mac!$A:$A,Output_Mac!H:H,""),
_xlpm.MyAuditVal,_xlfn.XLOOKUP($A49,My_Audit!$A:$A,My_Audit!G:G,""),
_xlfn.IFS(_xlpm.MyAuditVal&lt;&gt;"",_xlpm.MyAuditVal,_xlpm.MacVal&lt;&gt;"",_xlpm.MacVal,_xlpm.CSVVal&lt;&gt;"",_xlpm.CSVVal
)),"")</f>
        <v/>
      </c>
      <c r="I49" s="2" t="str">
        <f>_xlfn.XLOOKUP(A49,Output_Mac!A:A,Output_Mac!I:I,"")</f>
        <v/>
      </c>
      <c r="J49" s="2" t="str" cm="1">
        <f t="array" ref="J49">IFERROR(_xlfn.LET(
_xlpm.CSVVal,_xlfn.XLOOKUP($A49,CSV!$A:$A,CSV!I:I,""),
_xlpm.MacVal,_xlfn.XLOOKUP($A49,Output_Mac!$A:$A,Output_Mac!J:J,""),
_xlpm.MyAuditVal,_xlfn.XLOOKUP($A49,My_Audit!$A:$A,My_Audit!I:I,""),
_xlfn.IFS(_xlpm.MyAuditVal&lt;&gt;"",UPPER(_xlpm.MyAuditVal),_xlpm.MacVal&lt;&gt;"",_xlpm.MacVal,_xlpm.CSVVal&lt;&gt;"",_xlpm.CSVVal
)),"")</f>
        <v/>
      </c>
      <c r="K49" s="2" t="str" cm="1">
        <f t="array" ref="K49">IFERROR(_xlfn.LET(
_xlpm.CSVVal,_xlfn.XLOOKUP($A49,CSV!$A:$A,CSV!K:K,""),
_xlpm.MacVal,_xlfn.XLOOKUP($A49,Output_Mac!$A:$A,Output_Mac!K:K,""),
_xlpm.MyAuditVal,_xlfn.XLOOKUP($A49,My_Audit!$A:$A,My_Audit!J:J,""),
_xlfn.IFS(_xlpm.MyAuditVal&lt;&gt;"",UPPER(_xlpm.MyAuditVal),_xlpm.MacVal&lt;&gt;"",_xlpm.MacVal,_xlpm.CSVVal&lt;&gt;"",_xlpm.CSVVal
)),"")</f>
        <v/>
      </c>
      <c r="L49" s="2" t="str" cm="1">
        <f t="array" ref="L49">IFERROR(_xlfn.LET(
_xlpm.CSVVal,_xlfn.XLOOKUP($A49,CSV!$A:$A,CSV!P:P,""),
_xlpm.MacVal,_xlfn.XLOOKUP($A49,Output_Mac!$A:$A,Output_Mac!L:L,""),
_xlpm.MyAuditVal,_xlfn.XLOOKUP($A49,My_Audit!$A:$A,My_Audit!K:K,""),
_xlfn.IFS(_xlpm.MyAuditVal&lt;&gt;"",UPPER(_xlpm.MyAuditVal),_xlpm.MacVal&lt;&gt;"",_xlpm.MacVal,_xlpm.CSVVal&lt;&gt;"",_xlpm.CSVVal
)),"")</f>
        <v/>
      </c>
      <c r="M49" s="2" t="str" cm="1">
        <f t="array" ref="M49">IFERROR(_xlfn.LET(
_xlpm.CSVVal,_xlfn.XLOOKUP($A49,CSV!$A:$A,CSV!Q:Q,""),
_xlpm.MacVal,_xlfn.XLOOKUP($A49,Output_Mac!$A:$A,Output_Mac!M:M,""),
_xlpm.MyAuditVal,_xlfn.XLOOKUP($A49,My_Audit!$A:$A,My_Audit!L:L,""),
_xlfn.IFS(_xlpm.MyAuditVal&lt;&gt;"",UPPER(_xlpm.MyAuditVal),_xlpm.MacVal&lt;&gt;"",_xlpm.MacVal,_xlpm.CSVVal&lt;&gt;"",_xlpm.CSVVal
)),"")</f>
        <v/>
      </c>
      <c r="O49" s="2" t="str">
        <f>_xlfn.LET(
    _xlpm.CSVVal, _xlfn.XLOOKUP($A49, CSV!$A:$A, CSV!AA:AA, ""),
    _xlpm.MacVal, _xlfn.XLOOKUP($A49, Output_Mac!$A:$A, Output_Mac!S:S, ""),
    _xlpm.MyAuditVal, _xlfn.XLOOKUP($A49, My_Audit!$A:$A, My_Audit!P:P, ""),
    _xlfn.TEXTJOIN(", ", TRUE, _xlpm.MyAuditVal, _xlpm.MacVal, _xlpm.CSVVal)
)</f>
        <v/>
      </c>
      <c r="P49" s="2" t="str" cm="1">
        <f t="array" ref="P49">IFERROR(_xlfn.LET(
_xlpm.CSVVal,_xlfn.XLOOKUP($A49,CSV!$A:$A,CSV!AB:AB,""),
_xlpm.MacVal,_xlfn.XLOOKUP($A49,Output_Mac!$A:$A,Output_Mac!T:T,""),
_xlpm.MyAuditVal,_xlfn.XLOOKUP($A49,My_Audit!$A:$A,My_Audit!Q:Q,""),
_xlfn.IFS(_xlpm.MyAuditVal&lt;&gt;"",UPPER(_xlpm.MyAuditVal),_xlpm.MacVal&lt;&gt;"",_xlpm.MacVal,_xlpm.CSVVal&lt;&gt;"",_xlpm.CSVVal
)),"No")</f>
        <v>No</v>
      </c>
      <c r="Q49" s="2" t="str" cm="1">
        <f t="array" ref="Q49">IFERROR(_xlfn.LET(
_xlpm.CSVVal,_xlfn.XLOOKUP($A49,CSV!$A:$A,CSV!AC:AC,""),
_xlpm.MacVal,_xlfn.XLOOKUP($A49,Output_Mac!$A:$A,Output_Mac!U:U,""),
_xlpm.MyAuditVal,_xlfn.XLOOKUP($A49,My_Audit!$A:$A,My_Audit!R:R,""),
_xlfn.IFS(_xlpm.MyAuditVal&lt;&gt;"",UPPER(_xlpm.MyAuditVal),_xlpm.MacVal&lt;&gt;"",_xlpm.MacVal,_xlpm.CSVVal&lt;&gt;"",_xlpm.CSVVal
)),"")</f>
        <v/>
      </c>
      <c r="X49" t="str">
        <f>_xlfn.LET(
    _xlpm.MacVal, _xlfn.XLOOKUP($A49, Output_Mac!$A:$A, Output_Mac!AB:AB, ""),
    _xlpm.MyAuditVal, _xlfn.XLOOKUP($A49, My_Audit!$A:$A, My_Audit!N:N, ""),
    _xlfn.TEXTJOIN(", ", TRUE, _xlpm.MyAuditVal, _xlpm.MacVal)
)</f>
        <v/>
      </c>
    </row>
    <row r="50" spans="1:24">
      <c r="A50" s="2" t="str">
        <f>_xlfn.TEXTJOIN("",TRUE,Input!$B$2,ROW(My_Audit!A49))</f>
        <v>X49</v>
      </c>
      <c r="B50" s="2" t="str">
        <f>_xlfn.TEXTJOIN("-",TRUE,"ITD",Input!$A$2,A50)</f>
        <v>ITD-SHR-X49</v>
      </c>
      <c r="C50" s="2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2" t="str" cm="1">
        <f t="array" ref="D50">IFERROR(_xlfn.LET(
_xlpm.CSVVal,_xlfn.XLOOKUP($A50,CSV!$A:$A,CSV!D:D,""),
_xlpm.MacVal,_xlfn.XLOOKUP($A50,Output_Mac!$A:$A,Output_Mac!C:C,""),
_xlpm.MyAuditVal,_xlfn.XLOOKUP($A50,My_Audit!$A:$A,My_Audit!C:C,""),
_xlfn.IFS(_xlpm.MyAuditVal&lt;&gt;"",_xlpm.MyAuditVal,_xlpm.MacVal&lt;&gt;"",_xlpm.MacVal,_xlpm.CSVVal&lt;&gt;"",_xlpm.CSVVal
)),"")</f>
        <v/>
      </c>
      <c r="E50" s="2">
        <f>_xlfn.XLOOKUP(A50,My_Audit!A:A,My_Audit!D:D,"")</f>
        <v>0</v>
      </c>
      <c r="F50" s="2" t="str" cm="1">
        <f t="array" ref="F50">IFERROR(_xlfn.LET(
_xlpm.CSVVal,_xlfn.XLOOKUP($A50,CSV!$A:$A,CSV!F:F,""),
_xlpm.MacVal,_xlfn.XLOOKUP($A50,Output_Mac!$A:$A,Output_Mac!E:E,""),
_xlpm.MyAuditVal,_xlfn.XLOOKUP($A50,My_Audit!$A:$A,My_Audit!E:E,""),
_xlfn.IFS(_xlpm.MyAuditVal&lt;&gt;"",_xlpm.MyAuditVal,_xlpm.MacVal&lt;&gt;"",_xlpm.MacVal,_xlpm.CSVVal&lt;&gt;"",_xlpm.CSVVal
)),"")</f>
        <v/>
      </c>
      <c r="G50" s="2" t="str" cm="1">
        <f t="array" ref="G50">IFERROR(_xlfn.LET(
_xlpm.CSVVal,_xlfn.XLOOKUP($A50,CSV!$A:$A,CSV!G:G,""),
_xlpm.MacVal,_xlfn.XLOOKUP($A50,Output_Mac!$A:$A,Output_Mac!F:F,""),
_xlpm.MyAuditVal,_xlfn.XLOOKUP($A50,My_Audit!$A:$A,My_Audit!F:F,""),
_xlfn.IFS(_xlpm.MyAuditVal&lt;&gt;"",_xlpm.MyAuditVal,_xlpm.MacVal&lt;&gt;"",_xlpm.MacVal,_xlpm.CSVVal&lt;&gt;"",PROPER(_xlpm.CSVVal)
)),"")</f>
        <v/>
      </c>
      <c r="H50" s="2" t="str" cm="1">
        <f t="array" ref="H50">IFERROR(_xlfn.LET(
_xlpm.CSVVal,_xlfn.XLOOKUP($A50,CSV!$A:$A,CSV!H:H,""),
_xlpm.MacVal,_xlfn.XLOOKUP($A50,Output_Mac!$A:$A,Output_Mac!H:H,""),
_xlpm.MyAuditVal,_xlfn.XLOOKUP($A50,My_Audit!$A:$A,My_Audit!G:G,""),
_xlfn.IFS(_xlpm.MyAuditVal&lt;&gt;"",_xlpm.MyAuditVal,_xlpm.MacVal&lt;&gt;"",_xlpm.MacVal,_xlpm.CSVVal&lt;&gt;"",_xlpm.CSVVal
)),"")</f>
        <v/>
      </c>
      <c r="I50" s="2" t="str">
        <f>_xlfn.XLOOKUP(A50,Output_Mac!A:A,Output_Mac!I:I,"")</f>
        <v/>
      </c>
      <c r="J50" s="2" t="str" cm="1">
        <f t="array" ref="J50">IFERROR(_xlfn.LET(
_xlpm.CSVVal,_xlfn.XLOOKUP($A50,CSV!$A:$A,CSV!I:I,""),
_xlpm.MacVal,_xlfn.XLOOKUP($A50,Output_Mac!$A:$A,Output_Mac!J:J,""),
_xlpm.MyAuditVal,_xlfn.XLOOKUP($A50,My_Audit!$A:$A,My_Audit!I:I,""),
_xlfn.IFS(_xlpm.MyAuditVal&lt;&gt;"",UPPER(_xlpm.MyAuditVal),_xlpm.MacVal&lt;&gt;"",_xlpm.MacVal,_xlpm.CSVVal&lt;&gt;"",_xlpm.CSVVal
)),"")</f>
        <v/>
      </c>
      <c r="K50" s="2" t="str" cm="1">
        <f t="array" ref="K50">IFERROR(_xlfn.LET(
_xlpm.CSVVal,_xlfn.XLOOKUP($A50,CSV!$A:$A,CSV!K:K,""),
_xlpm.MacVal,_xlfn.XLOOKUP($A50,Output_Mac!$A:$A,Output_Mac!K:K,""),
_xlpm.MyAuditVal,_xlfn.XLOOKUP($A50,My_Audit!$A:$A,My_Audit!J:J,""),
_xlfn.IFS(_xlpm.MyAuditVal&lt;&gt;"",UPPER(_xlpm.MyAuditVal),_xlpm.MacVal&lt;&gt;"",_xlpm.MacVal,_xlpm.CSVVal&lt;&gt;"",_xlpm.CSVVal
)),"")</f>
        <v/>
      </c>
      <c r="L50" s="2" t="str" cm="1">
        <f t="array" ref="L50">IFERROR(_xlfn.LET(
_xlpm.CSVVal,_xlfn.XLOOKUP($A50,CSV!$A:$A,CSV!P:P,""),
_xlpm.MacVal,_xlfn.XLOOKUP($A50,Output_Mac!$A:$A,Output_Mac!L:L,""),
_xlpm.MyAuditVal,_xlfn.XLOOKUP($A50,My_Audit!$A:$A,My_Audit!K:K,""),
_xlfn.IFS(_xlpm.MyAuditVal&lt;&gt;"",UPPER(_xlpm.MyAuditVal),_xlpm.MacVal&lt;&gt;"",_xlpm.MacVal,_xlpm.CSVVal&lt;&gt;"",_xlpm.CSVVal
)),"")</f>
        <v/>
      </c>
      <c r="M50" s="2" t="str" cm="1">
        <f t="array" ref="M50">IFERROR(_xlfn.LET(
_xlpm.CSVVal,_xlfn.XLOOKUP($A50,CSV!$A:$A,CSV!Q:Q,""),
_xlpm.MacVal,_xlfn.XLOOKUP($A50,Output_Mac!$A:$A,Output_Mac!M:M,""),
_xlpm.MyAuditVal,_xlfn.XLOOKUP($A50,My_Audit!$A:$A,My_Audit!L:L,""),
_xlfn.IFS(_xlpm.MyAuditVal&lt;&gt;"",UPPER(_xlpm.MyAuditVal),_xlpm.MacVal&lt;&gt;"",_xlpm.MacVal,_xlpm.CSVVal&lt;&gt;"",_xlpm.CSVVal
)),"")</f>
        <v/>
      </c>
      <c r="O50" s="2" t="str">
        <f>_xlfn.LET(
    _xlpm.CSVVal, _xlfn.XLOOKUP($A50, CSV!$A:$A, CSV!AA:AA, ""),
    _xlpm.MacVal, _xlfn.XLOOKUP($A50, Output_Mac!$A:$A, Output_Mac!S:S, ""),
    _xlpm.MyAuditVal, _xlfn.XLOOKUP($A50, My_Audit!$A:$A, My_Audit!P:P, ""),
    _xlfn.TEXTJOIN(", ", TRUE, _xlpm.MyAuditVal, _xlpm.MacVal, _xlpm.CSVVal)
)</f>
        <v/>
      </c>
      <c r="P50" s="2" t="str" cm="1">
        <f t="array" ref="P50">IFERROR(_xlfn.LET(
_xlpm.CSVVal,_xlfn.XLOOKUP($A50,CSV!$A:$A,CSV!AB:AB,""),
_xlpm.MacVal,_xlfn.XLOOKUP($A50,Output_Mac!$A:$A,Output_Mac!T:T,""),
_xlpm.MyAuditVal,_xlfn.XLOOKUP($A50,My_Audit!$A:$A,My_Audit!Q:Q,""),
_xlfn.IFS(_xlpm.MyAuditVal&lt;&gt;"",UPPER(_xlpm.MyAuditVal),_xlpm.MacVal&lt;&gt;"",_xlpm.MacVal,_xlpm.CSVVal&lt;&gt;"",_xlpm.CSVVal
)),"No")</f>
        <v>No</v>
      </c>
      <c r="Q50" s="2" t="str" cm="1">
        <f t="array" ref="Q50">IFERROR(_xlfn.LET(
_xlpm.CSVVal,_xlfn.XLOOKUP($A50,CSV!$A:$A,CSV!AC:AC,""),
_xlpm.MacVal,_xlfn.XLOOKUP($A50,Output_Mac!$A:$A,Output_Mac!U:U,""),
_xlpm.MyAuditVal,_xlfn.XLOOKUP($A50,My_Audit!$A:$A,My_Audit!R:R,""),
_xlfn.IFS(_xlpm.MyAuditVal&lt;&gt;"",UPPER(_xlpm.MyAuditVal),_xlpm.MacVal&lt;&gt;"",_xlpm.MacVal,_xlpm.CSVVal&lt;&gt;"",_xlpm.CSVVal
)),"")</f>
        <v/>
      </c>
      <c r="X50" t="str">
        <f>_xlfn.LET(
    _xlpm.MacVal, _xlfn.XLOOKUP($A50, Output_Mac!$A:$A, Output_Mac!AB:AB, ""),
    _xlpm.MyAuditVal, _xlfn.XLOOKUP($A50, My_Audit!$A:$A, My_Audit!N:N, ""),
    _xlfn.TEXTJOIN(", ", TRUE, _xlpm.MyAuditVal, _xlpm.MacVal)
)</f>
        <v/>
      </c>
    </row>
    <row r="51" spans="1:24">
      <c r="A51" s="2" t="str">
        <f>_xlfn.TEXTJOIN("",TRUE,Input!$B$2,ROW(My_Audit!A50))</f>
        <v>X50</v>
      </c>
      <c r="B51" s="2" t="str">
        <f>_xlfn.TEXTJOIN("-",TRUE,"ITD",Input!$A$2,A51)</f>
        <v>ITD-SHR-X50</v>
      </c>
      <c r="C51" s="2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2" t="str" cm="1">
        <f t="array" ref="D51">IFERROR(_xlfn.LET(
_xlpm.CSVVal,_xlfn.XLOOKUP($A51,CSV!$A:$A,CSV!D:D,""),
_xlpm.MacVal,_xlfn.XLOOKUP($A51,Output_Mac!$A:$A,Output_Mac!C:C,""),
_xlpm.MyAuditVal,_xlfn.XLOOKUP($A51,My_Audit!$A:$A,My_Audit!C:C,""),
_xlfn.IFS(_xlpm.MyAuditVal&lt;&gt;"",_xlpm.MyAuditVal,_xlpm.MacVal&lt;&gt;"",_xlpm.MacVal,_xlpm.CSVVal&lt;&gt;"",_xlpm.CSVVal
)),"")</f>
        <v/>
      </c>
      <c r="E51" s="2">
        <f>_xlfn.XLOOKUP(A51,My_Audit!A:A,My_Audit!D:D,"")</f>
        <v>0</v>
      </c>
      <c r="F51" s="2" t="str" cm="1">
        <f t="array" ref="F51">IFERROR(_xlfn.LET(
_xlpm.CSVVal,_xlfn.XLOOKUP($A51,CSV!$A:$A,CSV!F:F,""),
_xlpm.MacVal,_xlfn.XLOOKUP($A51,Output_Mac!$A:$A,Output_Mac!E:E,""),
_xlpm.MyAuditVal,_xlfn.XLOOKUP($A51,My_Audit!$A:$A,My_Audit!E:E,""),
_xlfn.IFS(_xlpm.MyAuditVal&lt;&gt;"",_xlpm.MyAuditVal,_xlpm.MacVal&lt;&gt;"",_xlpm.MacVal,_xlpm.CSVVal&lt;&gt;"",_xlpm.CSVVal
)),"")</f>
        <v/>
      </c>
      <c r="G51" s="2" t="str" cm="1">
        <f t="array" ref="G51">IFERROR(_xlfn.LET(
_xlpm.CSVVal,_xlfn.XLOOKUP($A51,CSV!$A:$A,CSV!G:G,""),
_xlpm.MacVal,_xlfn.XLOOKUP($A51,Output_Mac!$A:$A,Output_Mac!F:F,""),
_xlpm.MyAuditVal,_xlfn.XLOOKUP($A51,My_Audit!$A:$A,My_Audit!F:F,""),
_xlfn.IFS(_xlpm.MyAuditVal&lt;&gt;"",_xlpm.MyAuditVal,_xlpm.MacVal&lt;&gt;"",_xlpm.MacVal,_xlpm.CSVVal&lt;&gt;"",PROPER(_xlpm.CSVVal)
)),"")</f>
        <v/>
      </c>
      <c r="H51" s="2" t="str" cm="1">
        <f t="array" ref="H51">IFERROR(_xlfn.LET(
_xlpm.CSVVal,_xlfn.XLOOKUP($A51,CSV!$A:$A,CSV!H:H,""),
_xlpm.MacVal,_xlfn.XLOOKUP($A51,Output_Mac!$A:$A,Output_Mac!H:H,""),
_xlpm.MyAuditVal,_xlfn.XLOOKUP($A51,My_Audit!$A:$A,My_Audit!G:G,""),
_xlfn.IFS(_xlpm.MyAuditVal&lt;&gt;"",_xlpm.MyAuditVal,_xlpm.MacVal&lt;&gt;"",_xlpm.MacVal,_xlpm.CSVVal&lt;&gt;"",_xlpm.CSVVal
)),"")</f>
        <v/>
      </c>
      <c r="I51" s="2" t="str">
        <f>_xlfn.XLOOKUP(A51,Output_Mac!A:A,Output_Mac!I:I,"")</f>
        <v/>
      </c>
      <c r="J51" s="2" t="str" cm="1">
        <f t="array" ref="J51">IFERROR(_xlfn.LET(
_xlpm.CSVVal,_xlfn.XLOOKUP($A51,CSV!$A:$A,CSV!I:I,""),
_xlpm.MacVal,_xlfn.XLOOKUP($A51,Output_Mac!$A:$A,Output_Mac!J:J,""),
_xlpm.MyAuditVal,_xlfn.XLOOKUP($A51,My_Audit!$A:$A,My_Audit!I:I,""),
_xlfn.IFS(_xlpm.MyAuditVal&lt;&gt;"",UPPER(_xlpm.MyAuditVal),_xlpm.MacVal&lt;&gt;"",_xlpm.MacVal,_xlpm.CSVVal&lt;&gt;"",_xlpm.CSVVal
)),"")</f>
        <v/>
      </c>
      <c r="K51" s="2" t="str" cm="1">
        <f t="array" ref="K51">IFERROR(_xlfn.LET(
_xlpm.CSVVal,_xlfn.XLOOKUP($A51,CSV!$A:$A,CSV!K:K,""),
_xlpm.MacVal,_xlfn.XLOOKUP($A51,Output_Mac!$A:$A,Output_Mac!K:K,""),
_xlpm.MyAuditVal,_xlfn.XLOOKUP($A51,My_Audit!$A:$A,My_Audit!J:J,""),
_xlfn.IFS(_xlpm.MyAuditVal&lt;&gt;"",UPPER(_xlpm.MyAuditVal),_xlpm.MacVal&lt;&gt;"",_xlpm.MacVal,_xlpm.CSVVal&lt;&gt;"",_xlpm.CSVVal
)),"")</f>
        <v/>
      </c>
      <c r="L51" s="2" t="str" cm="1">
        <f t="array" ref="L51">IFERROR(_xlfn.LET(
_xlpm.CSVVal,_xlfn.XLOOKUP($A51,CSV!$A:$A,CSV!P:P,""),
_xlpm.MacVal,_xlfn.XLOOKUP($A51,Output_Mac!$A:$A,Output_Mac!L:L,""),
_xlpm.MyAuditVal,_xlfn.XLOOKUP($A51,My_Audit!$A:$A,My_Audit!K:K,""),
_xlfn.IFS(_xlpm.MyAuditVal&lt;&gt;"",UPPER(_xlpm.MyAuditVal),_xlpm.MacVal&lt;&gt;"",_xlpm.MacVal,_xlpm.CSVVal&lt;&gt;"",_xlpm.CSVVal
)),"")</f>
        <v/>
      </c>
      <c r="M51" s="2" t="str" cm="1">
        <f t="array" ref="M51">IFERROR(_xlfn.LET(
_xlpm.CSVVal,_xlfn.XLOOKUP($A51,CSV!$A:$A,CSV!Q:Q,""),
_xlpm.MacVal,_xlfn.XLOOKUP($A51,Output_Mac!$A:$A,Output_Mac!M:M,""),
_xlpm.MyAuditVal,_xlfn.XLOOKUP($A51,My_Audit!$A:$A,My_Audit!L:L,""),
_xlfn.IFS(_xlpm.MyAuditVal&lt;&gt;"",UPPER(_xlpm.MyAuditVal),_xlpm.MacVal&lt;&gt;"",_xlpm.MacVal,_xlpm.CSVVal&lt;&gt;"",_xlpm.CSVVal
)),"")</f>
        <v/>
      </c>
      <c r="O51" s="2" t="str">
        <f>_xlfn.LET(
    _xlpm.CSVVal, _xlfn.XLOOKUP($A51, CSV!$A:$A, CSV!AA:AA, ""),
    _xlpm.MacVal, _xlfn.XLOOKUP($A51, Output_Mac!$A:$A, Output_Mac!S:S, ""),
    _xlpm.MyAuditVal, _xlfn.XLOOKUP($A51, My_Audit!$A:$A, My_Audit!P:P, ""),
    _xlfn.TEXTJOIN(", ", TRUE, _xlpm.MyAuditVal, _xlpm.MacVal, _xlpm.CSVVal)
)</f>
        <v/>
      </c>
      <c r="P51" s="2" t="str" cm="1">
        <f t="array" ref="P51">IFERROR(_xlfn.LET(
_xlpm.CSVVal,_xlfn.XLOOKUP($A51,CSV!$A:$A,CSV!AB:AB,""),
_xlpm.MacVal,_xlfn.XLOOKUP($A51,Output_Mac!$A:$A,Output_Mac!T:T,""),
_xlpm.MyAuditVal,_xlfn.XLOOKUP($A51,My_Audit!$A:$A,My_Audit!Q:Q,""),
_xlfn.IFS(_xlpm.MyAuditVal&lt;&gt;"",UPPER(_xlpm.MyAuditVal),_xlpm.MacVal&lt;&gt;"",_xlpm.MacVal,_xlpm.CSVVal&lt;&gt;"",_xlpm.CSVVal
)),"No")</f>
        <v>No</v>
      </c>
      <c r="Q51" s="2" t="str" cm="1">
        <f t="array" ref="Q51">IFERROR(_xlfn.LET(
_xlpm.CSVVal,_xlfn.XLOOKUP($A51,CSV!$A:$A,CSV!AC:AC,""),
_xlpm.MacVal,_xlfn.XLOOKUP($A51,Output_Mac!$A:$A,Output_Mac!U:U,""),
_xlpm.MyAuditVal,_xlfn.XLOOKUP($A51,My_Audit!$A:$A,My_Audit!R:R,""),
_xlfn.IFS(_xlpm.MyAuditVal&lt;&gt;"",UPPER(_xlpm.MyAuditVal),_xlpm.MacVal&lt;&gt;"",_xlpm.MacVal,_xlpm.CSVVal&lt;&gt;"",_xlpm.CSVVal
)),"")</f>
        <v/>
      </c>
      <c r="X51" t="str">
        <f>_xlfn.LET(
    _xlpm.MacVal, _xlfn.XLOOKUP($A51, Output_Mac!$A:$A, Output_Mac!AB:AB, ""),
    _xlpm.MyAuditVal, _xlfn.XLOOKUP($A51, My_Audit!$A:$A, My_Audit!N:N, ""),
    _xlfn.TEXTJOIN(", ", TRUE, _xlpm.MyAuditVal, _xlpm.MacVal)
)</f>
        <v/>
      </c>
    </row>
    <row r="52" spans="1:24">
      <c r="A52" s="2" t="str">
        <f>_xlfn.TEXTJOIN("",TRUE,Input!$B$2,ROW(My_Audit!A51))</f>
        <v>X51</v>
      </c>
      <c r="B52" s="2" t="str">
        <f>_xlfn.TEXTJOIN("-",TRUE,"ITD",Input!$A$2,A52)</f>
        <v>ITD-SHR-X51</v>
      </c>
      <c r="C52" s="2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2" t="str" cm="1">
        <f t="array" ref="D52">IFERROR(_xlfn.LET(
_xlpm.CSVVal,_xlfn.XLOOKUP($A52,CSV!$A:$A,CSV!D:D,""),
_xlpm.MacVal,_xlfn.XLOOKUP($A52,Output_Mac!$A:$A,Output_Mac!C:C,""),
_xlpm.MyAuditVal,_xlfn.XLOOKUP($A52,My_Audit!$A:$A,My_Audit!C:C,""),
_xlfn.IFS(_xlpm.MyAuditVal&lt;&gt;"",_xlpm.MyAuditVal,_xlpm.MacVal&lt;&gt;"",_xlpm.MacVal,_xlpm.CSVVal&lt;&gt;"",_xlpm.CSVVal
)),"")</f>
        <v/>
      </c>
      <c r="E52" s="2">
        <f>_xlfn.XLOOKUP(A52,My_Audit!A:A,My_Audit!D:D,"")</f>
        <v>0</v>
      </c>
      <c r="F52" s="2" t="str" cm="1">
        <f t="array" ref="F52">IFERROR(_xlfn.LET(
_xlpm.CSVVal,_xlfn.XLOOKUP($A52,CSV!$A:$A,CSV!F:F,""),
_xlpm.MacVal,_xlfn.XLOOKUP($A52,Output_Mac!$A:$A,Output_Mac!E:E,""),
_xlpm.MyAuditVal,_xlfn.XLOOKUP($A52,My_Audit!$A:$A,My_Audit!E:E,""),
_xlfn.IFS(_xlpm.MyAuditVal&lt;&gt;"",_xlpm.MyAuditVal,_xlpm.MacVal&lt;&gt;"",_xlpm.MacVal,_xlpm.CSVVal&lt;&gt;"",_xlpm.CSVVal
)),"")</f>
        <v/>
      </c>
      <c r="G52" s="2" t="str" cm="1">
        <f t="array" ref="G52">IFERROR(_xlfn.LET(
_xlpm.CSVVal,_xlfn.XLOOKUP($A52,CSV!$A:$A,CSV!G:G,""),
_xlpm.MacVal,_xlfn.XLOOKUP($A52,Output_Mac!$A:$A,Output_Mac!F:F,""),
_xlpm.MyAuditVal,_xlfn.XLOOKUP($A52,My_Audit!$A:$A,My_Audit!F:F,""),
_xlfn.IFS(_xlpm.MyAuditVal&lt;&gt;"",_xlpm.MyAuditVal,_xlpm.MacVal&lt;&gt;"",_xlpm.MacVal,_xlpm.CSVVal&lt;&gt;"",PROPER(_xlpm.CSVVal)
)),"")</f>
        <v/>
      </c>
      <c r="H52" s="2" t="str" cm="1">
        <f t="array" ref="H52">IFERROR(_xlfn.LET(
_xlpm.CSVVal,_xlfn.XLOOKUP($A52,CSV!$A:$A,CSV!H:H,""),
_xlpm.MacVal,_xlfn.XLOOKUP($A52,Output_Mac!$A:$A,Output_Mac!H:H,""),
_xlpm.MyAuditVal,_xlfn.XLOOKUP($A52,My_Audit!$A:$A,My_Audit!G:G,""),
_xlfn.IFS(_xlpm.MyAuditVal&lt;&gt;"",_xlpm.MyAuditVal,_xlpm.MacVal&lt;&gt;"",_xlpm.MacVal,_xlpm.CSVVal&lt;&gt;"",_xlpm.CSVVal
)),"")</f>
        <v/>
      </c>
      <c r="I52" s="2" t="str">
        <f>_xlfn.XLOOKUP(A52,Output_Mac!A:A,Output_Mac!I:I,"")</f>
        <v/>
      </c>
      <c r="J52" s="2" t="str" cm="1">
        <f t="array" ref="J52">IFERROR(_xlfn.LET(
_xlpm.CSVVal,_xlfn.XLOOKUP($A52,CSV!$A:$A,CSV!I:I,""),
_xlpm.MacVal,_xlfn.XLOOKUP($A52,Output_Mac!$A:$A,Output_Mac!J:J,""),
_xlpm.MyAuditVal,_xlfn.XLOOKUP($A52,My_Audit!$A:$A,My_Audit!I:I,""),
_xlfn.IFS(_xlpm.MyAuditVal&lt;&gt;"",UPPER(_xlpm.MyAuditVal),_xlpm.MacVal&lt;&gt;"",_xlpm.MacVal,_xlpm.CSVVal&lt;&gt;"",_xlpm.CSVVal
)),"")</f>
        <v/>
      </c>
      <c r="K52" s="2" t="str" cm="1">
        <f t="array" ref="K52">IFERROR(_xlfn.LET(
_xlpm.CSVVal,_xlfn.XLOOKUP($A52,CSV!$A:$A,CSV!K:K,""),
_xlpm.MacVal,_xlfn.XLOOKUP($A52,Output_Mac!$A:$A,Output_Mac!K:K,""),
_xlpm.MyAuditVal,_xlfn.XLOOKUP($A52,My_Audit!$A:$A,My_Audit!J:J,""),
_xlfn.IFS(_xlpm.MyAuditVal&lt;&gt;"",UPPER(_xlpm.MyAuditVal),_xlpm.MacVal&lt;&gt;"",_xlpm.MacVal,_xlpm.CSVVal&lt;&gt;"",_xlpm.CSVVal
)),"")</f>
        <v/>
      </c>
      <c r="L52" s="2" t="str" cm="1">
        <f t="array" ref="L52">IFERROR(_xlfn.LET(
_xlpm.CSVVal,_xlfn.XLOOKUP($A52,CSV!$A:$A,CSV!P:P,""),
_xlpm.MacVal,_xlfn.XLOOKUP($A52,Output_Mac!$A:$A,Output_Mac!L:L,""),
_xlpm.MyAuditVal,_xlfn.XLOOKUP($A52,My_Audit!$A:$A,My_Audit!K:K,""),
_xlfn.IFS(_xlpm.MyAuditVal&lt;&gt;"",UPPER(_xlpm.MyAuditVal),_xlpm.MacVal&lt;&gt;"",_xlpm.MacVal,_xlpm.CSVVal&lt;&gt;"",_xlpm.CSVVal
)),"")</f>
        <v/>
      </c>
      <c r="M52" s="2" t="str" cm="1">
        <f t="array" ref="M52">IFERROR(_xlfn.LET(
_xlpm.CSVVal,_xlfn.XLOOKUP($A52,CSV!$A:$A,CSV!Q:Q,""),
_xlpm.MacVal,_xlfn.XLOOKUP($A52,Output_Mac!$A:$A,Output_Mac!M:M,""),
_xlpm.MyAuditVal,_xlfn.XLOOKUP($A52,My_Audit!$A:$A,My_Audit!L:L,""),
_xlfn.IFS(_xlpm.MyAuditVal&lt;&gt;"",UPPER(_xlpm.MyAuditVal),_xlpm.MacVal&lt;&gt;"",_xlpm.MacVal,_xlpm.CSVVal&lt;&gt;"",_xlpm.CSVVal
)),"")</f>
        <v/>
      </c>
      <c r="O52" s="2" t="str">
        <f>_xlfn.LET(
    _xlpm.CSVVal, _xlfn.XLOOKUP($A52, CSV!$A:$A, CSV!AA:AA, ""),
    _xlpm.MacVal, _xlfn.XLOOKUP($A52, Output_Mac!$A:$A, Output_Mac!S:S, ""),
    _xlpm.MyAuditVal, _xlfn.XLOOKUP($A52, My_Audit!$A:$A, My_Audit!P:P, ""),
    _xlfn.TEXTJOIN(", ", TRUE, _xlpm.MyAuditVal, _xlpm.MacVal, _xlpm.CSVVal)
)</f>
        <v/>
      </c>
      <c r="P52" s="2" t="str" cm="1">
        <f t="array" ref="P52">IFERROR(_xlfn.LET(
_xlpm.CSVVal,_xlfn.XLOOKUP($A52,CSV!$A:$A,CSV!AB:AB,""),
_xlpm.MacVal,_xlfn.XLOOKUP($A52,Output_Mac!$A:$A,Output_Mac!T:T,""),
_xlpm.MyAuditVal,_xlfn.XLOOKUP($A52,My_Audit!$A:$A,My_Audit!Q:Q,""),
_xlfn.IFS(_xlpm.MyAuditVal&lt;&gt;"",UPPER(_xlpm.MyAuditVal),_xlpm.MacVal&lt;&gt;"",_xlpm.MacVal,_xlpm.CSVVal&lt;&gt;"",_xlpm.CSVVal
)),"No")</f>
        <v>No</v>
      </c>
      <c r="Q52" s="2" t="str" cm="1">
        <f t="array" ref="Q52">IFERROR(_xlfn.LET(
_xlpm.CSVVal,_xlfn.XLOOKUP($A52,CSV!$A:$A,CSV!AC:AC,""),
_xlpm.MacVal,_xlfn.XLOOKUP($A52,Output_Mac!$A:$A,Output_Mac!U:U,""),
_xlpm.MyAuditVal,_xlfn.XLOOKUP($A52,My_Audit!$A:$A,My_Audit!R:R,""),
_xlfn.IFS(_xlpm.MyAuditVal&lt;&gt;"",UPPER(_xlpm.MyAuditVal),_xlpm.MacVal&lt;&gt;"",_xlpm.MacVal,_xlpm.CSVVal&lt;&gt;"",_xlpm.CSVVal
)),"")</f>
        <v/>
      </c>
      <c r="X52" t="str">
        <f>_xlfn.LET(
    _xlpm.MacVal, _xlfn.XLOOKUP($A52, Output_Mac!$A:$A, Output_Mac!AB:AB, ""),
    _xlpm.MyAuditVal, _xlfn.XLOOKUP($A52, My_Audit!$A:$A, My_Audit!N:N, ""),
    _xlfn.TEXTJOIN(", ", TRUE, _xlpm.MyAuditVal, _xlpm.MacVal)
)</f>
        <v/>
      </c>
    </row>
    <row r="53" spans="1:24">
      <c r="A53" s="2" t="str">
        <f>_xlfn.TEXTJOIN("",TRUE,Input!$B$2,ROW(My_Audit!A52))</f>
        <v>X52</v>
      </c>
      <c r="B53" s="2" t="str">
        <f>_xlfn.TEXTJOIN("-",TRUE,"ITD",Input!$A$2,A53)</f>
        <v>ITD-SHR-X52</v>
      </c>
      <c r="C53" s="2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2" t="str" cm="1">
        <f t="array" ref="D53">IFERROR(_xlfn.LET(
_xlpm.CSVVal,_xlfn.XLOOKUP($A53,CSV!$A:$A,CSV!D:D,""),
_xlpm.MacVal,_xlfn.XLOOKUP($A53,Output_Mac!$A:$A,Output_Mac!C:C,""),
_xlpm.MyAuditVal,_xlfn.XLOOKUP($A53,My_Audit!$A:$A,My_Audit!C:C,""),
_xlfn.IFS(_xlpm.MyAuditVal&lt;&gt;"",_xlpm.MyAuditVal,_xlpm.MacVal&lt;&gt;"",_xlpm.MacVal,_xlpm.CSVVal&lt;&gt;"",_xlpm.CSVVal
)),"")</f>
        <v/>
      </c>
      <c r="E53" s="2">
        <f>_xlfn.XLOOKUP(A53,My_Audit!A:A,My_Audit!D:D,"")</f>
        <v>0</v>
      </c>
      <c r="F53" s="2" t="str" cm="1">
        <f t="array" ref="F53">IFERROR(_xlfn.LET(
_xlpm.CSVVal,_xlfn.XLOOKUP($A53,CSV!$A:$A,CSV!F:F,""),
_xlpm.MacVal,_xlfn.XLOOKUP($A53,Output_Mac!$A:$A,Output_Mac!E:E,""),
_xlpm.MyAuditVal,_xlfn.XLOOKUP($A53,My_Audit!$A:$A,My_Audit!E:E,""),
_xlfn.IFS(_xlpm.MyAuditVal&lt;&gt;"",_xlpm.MyAuditVal,_xlpm.MacVal&lt;&gt;"",_xlpm.MacVal,_xlpm.CSVVal&lt;&gt;"",_xlpm.CSVVal
)),"")</f>
        <v/>
      </c>
      <c r="G53" s="2" t="str" cm="1">
        <f t="array" ref="G53">IFERROR(_xlfn.LET(
_xlpm.CSVVal,_xlfn.XLOOKUP($A53,CSV!$A:$A,CSV!G:G,""),
_xlpm.MacVal,_xlfn.XLOOKUP($A53,Output_Mac!$A:$A,Output_Mac!F:F,""),
_xlpm.MyAuditVal,_xlfn.XLOOKUP($A53,My_Audit!$A:$A,My_Audit!F:F,""),
_xlfn.IFS(_xlpm.MyAuditVal&lt;&gt;"",_xlpm.MyAuditVal,_xlpm.MacVal&lt;&gt;"",_xlpm.MacVal,_xlpm.CSVVal&lt;&gt;"",PROPER(_xlpm.CSVVal)
)),"")</f>
        <v/>
      </c>
      <c r="H53" s="2" t="str" cm="1">
        <f t="array" ref="H53">IFERROR(_xlfn.LET(
_xlpm.CSVVal,_xlfn.XLOOKUP($A53,CSV!$A:$A,CSV!H:H,""),
_xlpm.MacVal,_xlfn.XLOOKUP($A53,Output_Mac!$A:$A,Output_Mac!H:H,""),
_xlpm.MyAuditVal,_xlfn.XLOOKUP($A53,My_Audit!$A:$A,My_Audit!G:G,""),
_xlfn.IFS(_xlpm.MyAuditVal&lt;&gt;"",_xlpm.MyAuditVal,_xlpm.MacVal&lt;&gt;"",_xlpm.MacVal,_xlpm.CSVVal&lt;&gt;"",_xlpm.CSVVal
)),"")</f>
        <v/>
      </c>
      <c r="I53" s="2" t="str">
        <f>_xlfn.XLOOKUP(A53,Output_Mac!A:A,Output_Mac!I:I,"")</f>
        <v/>
      </c>
      <c r="J53" s="2" t="str" cm="1">
        <f t="array" ref="J53">IFERROR(_xlfn.LET(
_xlpm.CSVVal,_xlfn.XLOOKUP($A53,CSV!$A:$A,CSV!I:I,""),
_xlpm.MacVal,_xlfn.XLOOKUP($A53,Output_Mac!$A:$A,Output_Mac!J:J,""),
_xlpm.MyAuditVal,_xlfn.XLOOKUP($A53,My_Audit!$A:$A,My_Audit!I:I,""),
_xlfn.IFS(_xlpm.MyAuditVal&lt;&gt;"",UPPER(_xlpm.MyAuditVal),_xlpm.MacVal&lt;&gt;"",_xlpm.MacVal,_xlpm.CSVVal&lt;&gt;"",_xlpm.CSVVal
)),"")</f>
        <v/>
      </c>
      <c r="K53" s="2" t="str" cm="1">
        <f t="array" ref="K53">IFERROR(_xlfn.LET(
_xlpm.CSVVal,_xlfn.XLOOKUP($A53,CSV!$A:$A,CSV!K:K,""),
_xlpm.MacVal,_xlfn.XLOOKUP($A53,Output_Mac!$A:$A,Output_Mac!K:K,""),
_xlpm.MyAuditVal,_xlfn.XLOOKUP($A53,My_Audit!$A:$A,My_Audit!J:J,""),
_xlfn.IFS(_xlpm.MyAuditVal&lt;&gt;"",UPPER(_xlpm.MyAuditVal),_xlpm.MacVal&lt;&gt;"",_xlpm.MacVal,_xlpm.CSVVal&lt;&gt;"",_xlpm.CSVVal
)),"")</f>
        <v/>
      </c>
      <c r="L53" s="2" t="str" cm="1">
        <f t="array" ref="L53">IFERROR(_xlfn.LET(
_xlpm.CSVVal,_xlfn.XLOOKUP($A53,CSV!$A:$A,CSV!P:P,""),
_xlpm.MacVal,_xlfn.XLOOKUP($A53,Output_Mac!$A:$A,Output_Mac!L:L,""),
_xlpm.MyAuditVal,_xlfn.XLOOKUP($A53,My_Audit!$A:$A,My_Audit!K:K,""),
_xlfn.IFS(_xlpm.MyAuditVal&lt;&gt;"",UPPER(_xlpm.MyAuditVal),_xlpm.MacVal&lt;&gt;"",_xlpm.MacVal,_xlpm.CSVVal&lt;&gt;"",_xlpm.CSVVal
)),"")</f>
        <v/>
      </c>
      <c r="M53" s="2" t="str" cm="1">
        <f t="array" ref="M53">IFERROR(_xlfn.LET(
_xlpm.CSVVal,_xlfn.XLOOKUP($A53,CSV!$A:$A,CSV!Q:Q,""),
_xlpm.MacVal,_xlfn.XLOOKUP($A53,Output_Mac!$A:$A,Output_Mac!M:M,""),
_xlpm.MyAuditVal,_xlfn.XLOOKUP($A53,My_Audit!$A:$A,My_Audit!L:L,""),
_xlfn.IFS(_xlpm.MyAuditVal&lt;&gt;"",UPPER(_xlpm.MyAuditVal),_xlpm.MacVal&lt;&gt;"",_xlpm.MacVal,_xlpm.CSVVal&lt;&gt;"",_xlpm.CSVVal
)),"")</f>
        <v/>
      </c>
      <c r="O53" s="2" t="str">
        <f>_xlfn.LET(
    _xlpm.CSVVal, _xlfn.XLOOKUP($A53, CSV!$A:$A, CSV!AA:AA, ""),
    _xlpm.MacVal, _xlfn.XLOOKUP($A53, Output_Mac!$A:$A, Output_Mac!S:S, ""),
    _xlpm.MyAuditVal, _xlfn.XLOOKUP($A53, My_Audit!$A:$A, My_Audit!P:P, ""),
    _xlfn.TEXTJOIN(", ", TRUE, _xlpm.MyAuditVal, _xlpm.MacVal, _xlpm.CSVVal)
)</f>
        <v/>
      </c>
      <c r="P53" s="2" t="str" cm="1">
        <f t="array" ref="P53">IFERROR(_xlfn.LET(
_xlpm.CSVVal,_xlfn.XLOOKUP($A53,CSV!$A:$A,CSV!AB:AB,""),
_xlpm.MacVal,_xlfn.XLOOKUP($A53,Output_Mac!$A:$A,Output_Mac!T:T,""),
_xlpm.MyAuditVal,_xlfn.XLOOKUP($A53,My_Audit!$A:$A,My_Audit!Q:Q,""),
_xlfn.IFS(_xlpm.MyAuditVal&lt;&gt;"",UPPER(_xlpm.MyAuditVal),_xlpm.MacVal&lt;&gt;"",_xlpm.MacVal,_xlpm.CSVVal&lt;&gt;"",_xlpm.CSVVal
)),"No")</f>
        <v>No</v>
      </c>
      <c r="Q53" s="2" t="str" cm="1">
        <f t="array" ref="Q53">IFERROR(_xlfn.LET(
_xlpm.CSVVal,_xlfn.XLOOKUP($A53,CSV!$A:$A,CSV!AC:AC,""),
_xlpm.MacVal,_xlfn.XLOOKUP($A53,Output_Mac!$A:$A,Output_Mac!U:U,""),
_xlpm.MyAuditVal,_xlfn.XLOOKUP($A53,My_Audit!$A:$A,My_Audit!R:R,""),
_xlfn.IFS(_xlpm.MyAuditVal&lt;&gt;"",UPPER(_xlpm.MyAuditVal),_xlpm.MacVal&lt;&gt;"",_xlpm.MacVal,_xlpm.CSVVal&lt;&gt;"",_xlpm.CSVVal
)),"")</f>
        <v/>
      </c>
      <c r="X53" t="str">
        <f>_xlfn.LET(
    _xlpm.MacVal, _xlfn.XLOOKUP($A53, Output_Mac!$A:$A, Output_Mac!AB:AB, ""),
    _xlpm.MyAuditVal, _xlfn.XLOOKUP($A53, My_Audit!$A:$A, My_Audit!N:N, ""),
    _xlfn.TEXTJOIN(", ", TRUE, _xlpm.MyAuditVal, _xlpm.MacVal)
)</f>
        <v/>
      </c>
    </row>
    <row r="54" spans="1:24">
      <c r="A54" s="2" t="str">
        <f>_xlfn.TEXTJOIN("",TRUE,Input!$B$2,ROW(My_Audit!A53))</f>
        <v>X53</v>
      </c>
      <c r="B54" s="2" t="str">
        <f>_xlfn.TEXTJOIN("-",TRUE,"ITD",Input!$A$2,A54)</f>
        <v>ITD-SHR-X53</v>
      </c>
      <c r="C54" s="2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2" t="str" cm="1">
        <f t="array" ref="D54">IFERROR(_xlfn.LET(
_xlpm.CSVVal,_xlfn.XLOOKUP($A54,CSV!$A:$A,CSV!D:D,""),
_xlpm.MacVal,_xlfn.XLOOKUP($A54,Output_Mac!$A:$A,Output_Mac!C:C,""),
_xlpm.MyAuditVal,_xlfn.XLOOKUP($A54,My_Audit!$A:$A,My_Audit!C:C,""),
_xlfn.IFS(_xlpm.MyAuditVal&lt;&gt;"",_xlpm.MyAuditVal,_xlpm.MacVal&lt;&gt;"",_xlpm.MacVal,_xlpm.CSVVal&lt;&gt;"",_xlpm.CSVVal
)),"")</f>
        <v/>
      </c>
      <c r="E54" s="2">
        <f>_xlfn.XLOOKUP(A54,My_Audit!A:A,My_Audit!D:D,"")</f>
        <v>0</v>
      </c>
      <c r="F54" s="2" t="str" cm="1">
        <f t="array" ref="F54">IFERROR(_xlfn.LET(
_xlpm.CSVVal,_xlfn.XLOOKUP($A54,CSV!$A:$A,CSV!F:F,""),
_xlpm.MacVal,_xlfn.XLOOKUP($A54,Output_Mac!$A:$A,Output_Mac!E:E,""),
_xlpm.MyAuditVal,_xlfn.XLOOKUP($A54,My_Audit!$A:$A,My_Audit!E:E,""),
_xlfn.IFS(_xlpm.MyAuditVal&lt;&gt;"",_xlpm.MyAuditVal,_xlpm.MacVal&lt;&gt;"",_xlpm.MacVal,_xlpm.CSVVal&lt;&gt;"",_xlpm.CSVVal
)),"")</f>
        <v/>
      </c>
      <c r="G54" s="2" t="str" cm="1">
        <f t="array" ref="G54">IFERROR(_xlfn.LET(
_xlpm.CSVVal,_xlfn.XLOOKUP($A54,CSV!$A:$A,CSV!G:G,""),
_xlpm.MacVal,_xlfn.XLOOKUP($A54,Output_Mac!$A:$A,Output_Mac!F:F,""),
_xlpm.MyAuditVal,_xlfn.XLOOKUP($A54,My_Audit!$A:$A,My_Audit!F:F,""),
_xlfn.IFS(_xlpm.MyAuditVal&lt;&gt;"",_xlpm.MyAuditVal,_xlpm.MacVal&lt;&gt;"",_xlpm.MacVal,_xlpm.CSVVal&lt;&gt;"",PROPER(_xlpm.CSVVal)
)),"")</f>
        <v/>
      </c>
      <c r="H54" s="2" t="str" cm="1">
        <f t="array" ref="H54">IFERROR(_xlfn.LET(
_xlpm.CSVVal,_xlfn.XLOOKUP($A54,CSV!$A:$A,CSV!H:H,""),
_xlpm.MacVal,_xlfn.XLOOKUP($A54,Output_Mac!$A:$A,Output_Mac!H:H,""),
_xlpm.MyAuditVal,_xlfn.XLOOKUP($A54,My_Audit!$A:$A,My_Audit!G:G,""),
_xlfn.IFS(_xlpm.MyAuditVal&lt;&gt;"",_xlpm.MyAuditVal,_xlpm.MacVal&lt;&gt;"",_xlpm.MacVal,_xlpm.CSVVal&lt;&gt;"",_xlpm.CSVVal
)),"")</f>
        <v/>
      </c>
      <c r="I54" s="2" t="str">
        <f>_xlfn.XLOOKUP(A54,Output_Mac!A:A,Output_Mac!I:I,"")</f>
        <v/>
      </c>
      <c r="J54" s="2" t="str" cm="1">
        <f t="array" ref="J54">IFERROR(_xlfn.LET(
_xlpm.CSVVal,_xlfn.XLOOKUP($A54,CSV!$A:$A,CSV!I:I,""),
_xlpm.MacVal,_xlfn.XLOOKUP($A54,Output_Mac!$A:$A,Output_Mac!J:J,""),
_xlpm.MyAuditVal,_xlfn.XLOOKUP($A54,My_Audit!$A:$A,My_Audit!I:I,""),
_xlfn.IFS(_xlpm.MyAuditVal&lt;&gt;"",UPPER(_xlpm.MyAuditVal),_xlpm.MacVal&lt;&gt;"",_xlpm.MacVal,_xlpm.CSVVal&lt;&gt;"",_xlpm.CSVVal
)),"")</f>
        <v/>
      </c>
      <c r="K54" s="2" t="str" cm="1">
        <f t="array" ref="K54">IFERROR(_xlfn.LET(
_xlpm.CSVVal,_xlfn.XLOOKUP($A54,CSV!$A:$A,CSV!K:K,""),
_xlpm.MacVal,_xlfn.XLOOKUP($A54,Output_Mac!$A:$A,Output_Mac!K:K,""),
_xlpm.MyAuditVal,_xlfn.XLOOKUP($A54,My_Audit!$A:$A,My_Audit!J:J,""),
_xlfn.IFS(_xlpm.MyAuditVal&lt;&gt;"",UPPER(_xlpm.MyAuditVal),_xlpm.MacVal&lt;&gt;"",_xlpm.MacVal,_xlpm.CSVVal&lt;&gt;"",_xlpm.CSVVal
)),"")</f>
        <v/>
      </c>
      <c r="L54" s="2" t="str" cm="1">
        <f t="array" ref="L54">IFERROR(_xlfn.LET(
_xlpm.CSVVal,_xlfn.XLOOKUP($A54,CSV!$A:$A,CSV!P:P,""),
_xlpm.MacVal,_xlfn.XLOOKUP($A54,Output_Mac!$A:$A,Output_Mac!L:L,""),
_xlpm.MyAuditVal,_xlfn.XLOOKUP($A54,My_Audit!$A:$A,My_Audit!K:K,""),
_xlfn.IFS(_xlpm.MyAuditVal&lt;&gt;"",UPPER(_xlpm.MyAuditVal),_xlpm.MacVal&lt;&gt;"",_xlpm.MacVal,_xlpm.CSVVal&lt;&gt;"",_xlpm.CSVVal
)),"")</f>
        <v/>
      </c>
      <c r="M54" s="2" t="str" cm="1">
        <f t="array" ref="M54">IFERROR(_xlfn.LET(
_xlpm.CSVVal,_xlfn.XLOOKUP($A54,CSV!$A:$A,CSV!Q:Q,""),
_xlpm.MacVal,_xlfn.XLOOKUP($A54,Output_Mac!$A:$A,Output_Mac!M:M,""),
_xlpm.MyAuditVal,_xlfn.XLOOKUP($A54,My_Audit!$A:$A,My_Audit!L:L,""),
_xlfn.IFS(_xlpm.MyAuditVal&lt;&gt;"",UPPER(_xlpm.MyAuditVal),_xlpm.MacVal&lt;&gt;"",_xlpm.MacVal,_xlpm.CSVVal&lt;&gt;"",_xlpm.CSVVal
)),"")</f>
        <v/>
      </c>
      <c r="O54" s="2" t="str">
        <f>_xlfn.LET(
    _xlpm.CSVVal, _xlfn.XLOOKUP($A54, CSV!$A:$A, CSV!AA:AA, ""),
    _xlpm.MacVal, _xlfn.XLOOKUP($A54, Output_Mac!$A:$A, Output_Mac!S:S, ""),
    _xlpm.MyAuditVal, _xlfn.XLOOKUP($A54, My_Audit!$A:$A, My_Audit!P:P, ""),
    _xlfn.TEXTJOIN(", ", TRUE, _xlpm.MyAuditVal, _xlpm.MacVal, _xlpm.CSVVal)
)</f>
        <v/>
      </c>
      <c r="P54" s="2" t="str" cm="1">
        <f t="array" ref="P54">IFERROR(_xlfn.LET(
_xlpm.CSVVal,_xlfn.XLOOKUP($A54,CSV!$A:$A,CSV!AB:AB,""),
_xlpm.MacVal,_xlfn.XLOOKUP($A54,Output_Mac!$A:$A,Output_Mac!T:T,""),
_xlpm.MyAuditVal,_xlfn.XLOOKUP($A54,My_Audit!$A:$A,My_Audit!Q:Q,""),
_xlfn.IFS(_xlpm.MyAuditVal&lt;&gt;"",UPPER(_xlpm.MyAuditVal),_xlpm.MacVal&lt;&gt;"",_xlpm.MacVal,_xlpm.CSVVal&lt;&gt;"",_xlpm.CSVVal
)),"No")</f>
        <v>No</v>
      </c>
      <c r="Q54" s="2" t="str" cm="1">
        <f t="array" ref="Q54">IFERROR(_xlfn.LET(
_xlpm.CSVVal,_xlfn.XLOOKUP($A54,CSV!$A:$A,CSV!AC:AC,""),
_xlpm.MacVal,_xlfn.XLOOKUP($A54,Output_Mac!$A:$A,Output_Mac!U:U,""),
_xlpm.MyAuditVal,_xlfn.XLOOKUP($A54,My_Audit!$A:$A,My_Audit!R:R,""),
_xlfn.IFS(_xlpm.MyAuditVal&lt;&gt;"",UPPER(_xlpm.MyAuditVal),_xlpm.MacVal&lt;&gt;"",_xlpm.MacVal,_xlpm.CSVVal&lt;&gt;"",_xlpm.CSVVal
)),"")</f>
        <v/>
      </c>
      <c r="X54" t="str">
        <f>_xlfn.LET(
    _xlpm.MacVal, _xlfn.XLOOKUP($A54, Output_Mac!$A:$A, Output_Mac!AB:AB, ""),
    _xlpm.MyAuditVal, _xlfn.XLOOKUP($A54, My_Audit!$A:$A, My_Audit!N:N, ""),
    _xlfn.TEXTJOIN(", ", TRUE, _xlpm.MyAuditVal, _xlpm.MacVal)
)</f>
        <v/>
      </c>
    </row>
    <row r="55" spans="1:24">
      <c r="A55" s="2" t="str">
        <f>_xlfn.TEXTJOIN("",TRUE,Input!$B$2,ROW(My_Audit!A54))</f>
        <v>X54</v>
      </c>
      <c r="B55" s="2" t="str">
        <f>_xlfn.TEXTJOIN("-",TRUE,"ITD",Input!$A$2,A55)</f>
        <v>ITD-SHR-X54</v>
      </c>
      <c r="C55" s="2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2" t="str" cm="1">
        <f t="array" ref="D55">IFERROR(_xlfn.LET(
_xlpm.CSVVal,_xlfn.XLOOKUP($A55,CSV!$A:$A,CSV!D:D,""),
_xlpm.MacVal,_xlfn.XLOOKUP($A55,Output_Mac!$A:$A,Output_Mac!C:C,""),
_xlpm.MyAuditVal,_xlfn.XLOOKUP($A55,My_Audit!$A:$A,My_Audit!C:C,""),
_xlfn.IFS(_xlpm.MyAuditVal&lt;&gt;"",_xlpm.MyAuditVal,_xlpm.MacVal&lt;&gt;"",_xlpm.MacVal,_xlpm.CSVVal&lt;&gt;"",_xlpm.CSVVal
)),"")</f>
        <v/>
      </c>
      <c r="E55" s="2">
        <f>_xlfn.XLOOKUP(A55,My_Audit!A:A,My_Audit!D:D,"")</f>
        <v>0</v>
      </c>
      <c r="F55" s="2" t="str" cm="1">
        <f t="array" ref="F55">IFERROR(_xlfn.LET(
_xlpm.CSVVal,_xlfn.XLOOKUP($A55,CSV!$A:$A,CSV!F:F,""),
_xlpm.MacVal,_xlfn.XLOOKUP($A55,Output_Mac!$A:$A,Output_Mac!E:E,""),
_xlpm.MyAuditVal,_xlfn.XLOOKUP($A55,My_Audit!$A:$A,My_Audit!E:E,""),
_xlfn.IFS(_xlpm.MyAuditVal&lt;&gt;"",_xlpm.MyAuditVal,_xlpm.MacVal&lt;&gt;"",_xlpm.MacVal,_xlpm.CSVVal&lt;&gt;"",_xlpm.CSVVal
)),"")</f>
        <v/>
      </c>
      <c r="G55" s="2" t="str" cm="1">
        <f t="array" ref="G55">IFERROR(_xlfn.LET(
_xlpm.CSVVal,_xlfn.XLOOKUP($A55,CSV!$A:$A,CSV!G:G,""),
_xlpm.MacVal,_xlfn.XLOOKUP($A55,Output_Mac!$A:$A,Output_Mac!F:F,""),
_xlpm.MyAuditVal,_xlfn.XLOOKUP($A55,My_Audit!$A:$A,My_Audit!F:F,""),
_xlfn.IFS(_xlpm.MyAuditVal&lt;&gt;"",_xlpm.MyAuditVal,_xlpm.MacVal&lt;&gt;"",_xlpm.MacVal,_xlpm.CSVVal&lt;&gt;"",PROPER(_xlpm.CSVVal)
)),"")</f>
        <v/>
      </c>
      <c r="H55" s="2" t="str" cm="1">
        <f t="array" ref="H55">IFERROR(_xlfn.LET(
_xlpm.CSVVal,_xlfn.XLOOKUP($A55,CSV!$A:$A,CSV!H:H,""),
_xlpm.MacVal,_xlfn.XLOOKUP($A55,Output_Mac!$A:$A,Output_Mac!H:H,""),
_xlpm.MyAuditVal,_xlfn.XLOOKUP($A55,My_Audit!$A:$A,My_Audit!G:G,""),
_xlfn.IFS(_xlpm.MyAuditVal&lt;&gt;"",_xlpm.MyAuditVal,_xlpm.MacVal&lt;&gt;"",_xlpm.MacVal,_xlpm.CSVVal&lt;&gt;"",_xlpm.CSVVal
)),"")</f>
        <v/>
      </c>
      <c r="I55" s="2" t="str">
        <f>_xlfn.XLOOKUP(A55,Output_Mac!A:A,Output_Mac!I:I,"")</f>
        <v/>
      </c>
      <c r="J55" s="2" t="str" cm="1">
        <f t="array" ref="J55">IFERROR(_xlfn.LET(
_xlpm.CSVVal,_xlfn.XLOOKUP($A55,CSV!$A:$A,CSV!I:I,""),
_xlpm.MacVal,_xlfn.XLOOKUP($A55,Output_Mac!$A:$A,Output_Mac!J:J,""),
_xlpm.MyAuditVal,_xlfn.XLOOKUP($A55,My_Audit!$A:$A,My_Audit!I:I,""),
_xlfn.IFS(_xlpm.MyAuditVal&lt;&gt;"",UPPER(_xlpm.MyAuditVal),_xlpm.MacVal&lt;&gt;"",_xlpm.MacVal,_xlpm.CSVVal&lt;&gt;"",_xlpm.CSVVal
)),"")</f>
        <v/>
      </c>
      <c r="K55" s="2" t="str" cm="1">
        <f t="array" ref="K55">IFERROR(_xlfn.LET(
_xlpm.CSVVal,_xlfn.XLOOKUP($A55,CSV!$A:$A,CSV!K:K,""),
_xlpm.MacVal,_xlfn.XLOOKUP($A55,Output_Mac!$A:$A,Output_Mac!K:K,""),
_xlpm.MyAuditVal,_xlfn.XLOOKUP($A55,My_Audit!$A:$A,My_Audit!J:J,""),
_xlfn.IFS(_xlpm.MyAuditVal&lt;&gt;"",UPPER(_xlpm.MyAuditVal),_xlpm.MacVal&lt;&gt;"",_xlpm.MacVal,_xlpm.CSVVal&lt;&gt;"",_xlpm.CSVVal
)),"")</f>
        <v/>
      </c>
      <c r="L55" s="2" t="str" cm="1">
        <f t="array" ref="L55">IFERROR(_xlfn.LET(
_xlpm.CSVVal,_xlfn.XLOOKUP($A55,CSV!$A:$A,CSV!P:P,""),
_xlpm.MacVal,_xlfn.XLOOKUP($A55,Output_Mac!$A:$A,Output_Mac!L:L,""),
_xlpm.MyAuditVal,_xlfn.XLOOKUP($A55,My_Audit!$A:$A,My_Audit!K:K,""),
_xlfn.IFS(_xlpm.MyAuditVal&lt;&gt;"",UPPER(_xlpm.MyAuditVal),_xlpm.MacVal&lt;&gt;"",_xlpm.MacVal,_xlpm.CSVVal&lt;&gt;"",_xlpm.CSVVal
)),"")</f>
        <v/>
      </c>
      <c r="M55" s="2" t="str" cm="1">
        <f t="array" ref="M55">IFERROR(_xlfn.LET(
_xlpm.CSVVal,_xlfn.XLOOKUP($A55,CSV!$A:$A,CSV!Q:Q,""),
_xlpm.MacVal,_xlfn.XLOOKUP($A55,Output_Mac!$A:$A,Output_Mac!M:M,""),
_xlpm.MyAuditVal,_xlfn.XLOOKUP($A55,My_Audit!$A:$A,My_Audit!L:L,""),
_xlfn.IFS(_xlpm.MyAuditVal&lt;&gt;"",UPPER(_xlpm.MyAuditVal),_xlpm.MacVal&lt;&gt;"",_xlpm.MacVal,_xlpm.CSVVal&lt;&gt;"",_xlpm.CSVVal
)),"")</f>
        <v/>
      </c>
      <c r="O55" s="2" t="str">
        <f>_xlfn.LET(
    _xlpm.CSVVal, _xlfn.XLOOKUP($A55, CSV!$A:$A, CSV!AA:AA, ""),
    _xlpm.MacVal, _xlfn.XLOOKUP($A55, Output_Mac!$A:$A, Output_Mac!S:S, ""),
    _xlpm.MyAuditVal, _xlfn.XLOOKUP($A55, My_Audit!$A:$A, My_Audit!P:P, ""),
    _xlfn.TEXTJOIN(", ", TRUE, _xlpm.MyAuditVal, _xlpm.MacVal, _xlpm.CSVVal)
)</f>
        <v/>
      </c>
      <c r="P55" s="2" t="str" cm="1">
        <f t="array" ref="P55">IFERROR(_xlfn.LET(
_xlpm.CSVVal,_xlfn.XLOOKUP($A55,CSV!$A:$A,CSV!AB:AB,""),
_xlpm.MacVal,_xlfn.XLOOKUP($A55,Output_Mac!$A:$A,Output_Mac!T:T,""),
_xlpm.MyAuditVal,_xlfn.XLOOKUP($A55,My_Audit!$A:$A,My_Audit!Q:Q,""),
_xlfn.IFS(_xlpm.MyAuditVal&lt;&gt;"",UPPER(_xlpm.MyAuditVal),_xlpm.MacVal&lt;&gt;"",_xlpm.MacVal,_xlpm.CSVVal&lt;&gt;"",_xlpm.CSVVal
)),"No")</f>
        <v>No</v>
      </c>
      <c r="Q55" s="2" t="str" cm="1">
        <f t="array" ref="Q55">IFERROR(_xlfn.LET(
_xlpm.CSVVal,_xlfn.XLOOKUP($A55,CSV!$A:$A,CSV!AC:AC,""),
_xlpm.MacVal,_xlfn.XLOOKUP($A55,Output_Mac!$A:$A,Output_Mac!U:U,""),
_xlpm.MyAuditVal,_xlfn.XLOOKUP($A55,My_Audit!$A:$A,My_Audit!R:R,""),
_xlfn.IFS(_xlpm.MyAuditVal&lt;&gt;"",UPPER(_xlpm.MyAuditVal),_xlpm.MacVal&lt;&gt;"",_xlpm.MacVal,_xlpm.CSVVal&lt;&gt;"",_xlpm.CSVVal
)),"")</f>
        <v/>
      </c>
      <c r="X55" t="str">
        <f>_xlfn.LET(
    _xlpm.MacVal, _xlfn.XLOOKUP($A55, Output_Mac!$A:$A, Output_Mac!AB:AB, ""),
    _xlpm.MyAuditVal, _xlfn.XLOOKUP($A55, My_Audit!$A:$A, My_Audit!N:N, ""),
    _xlfn.TEXTJOIN(", ", TRUE, _xlpm.MyAuditVal, _xlpm.MacVal)
)</f>
        <v/>
      </c>
    </row>
    <row r="56" spans="1:24">
      <c r="A56" s="2" t="str">
        <f>_xlfn.TEXTJOIN("",TRUE,Input!$B$2,ROW(My_Audit!A55))</f>
        <v>X55</v>
      </c>
      <c r="B56" s="2" t="str">
        <f>_xlfn.TEXTJOIN("-",TRUE,"ITD",Input!$A$2,A56)</f>
        <v>ITD-SHR-X55</v>
      </c>
      <c r="C56" s="2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2" t="str" cm="1">
        <f t="array" ref="D56">IFERROR(_xlfn.LET(
_xlpm.CSVVal,_xlfn.XLOOKUP($A56,CSV!$A:$A,CSV!D:D,""),
_xlpm.MacVal,_xlfn.XLOOKUP($A56,Output_Mac!$A:$A,Output_Mac!C:C,""),
_xlpm.MyAuditVal,_xlfn.XLOOKUP($A56,My_Audit!$A:$A,My_Audit!C:C,""),
_xlfn.IFS(_xlpm.MyAuditVal&lt;&gt;"",_xlpm.MyAuditVal,_xlpm.MacVal&lt;&gt;"",_xlpm.MacVal,_xlpm.CSVVal&lt;&gt;"",_xlpm.CSVVal
)),"")</f>
        <v/>
      </c>
      <c r="E56" s="2">
        <f>_xlfn.XLOOKUP(A56,My_Audit!A:A,My_Audit!D:D,"")</f>
        <v>0</v>
      </c>
      <c r="F56" s="2" t="str" cm="1">
        <f t="array" ref="F56">IFERROR(_xlfn.LET(
_xlpm.CSVVal,_xlfn.XLOOKUP($A56,CSV!$A:$A,CSV!F:F,""),
_xlpm.MacVal,_xlfn.XLOOKUP($A56,Output_Mac!$A:$A,Output_Mac!E:E,""),
_xlpm.MyAuditVal,_xlfn.XLOOKUP($A56,My_Audit!$A:$A,My_Audit!E:E,""),
_xlfn.IFS(_xlpm.MyAuditVal&lt;&gt;"",_xlpm.MyAuditVal,_xlpm.MacVal&lt;&gt;"",_xlpm.MacVal,_xlpm.CSVVal&lt;&gt;"",_xlpm.CSVVal
)),"")</f>
        <v/>
      </c>
      <c r="G56" s="2" t="str" cm="1">
        <f t="array" ref="G56">IFERROR(_xlfn.LET(
_xlpm.CSVVal,_xlfn.XLOOKUP($A56,CSV!$A:$A,CSV!G:G,""),
_xlpm.MacVal,_xlfn.XLOOKUP($A56,Output_Mac!$A:$A,Output_Mac!F:F,""),
_xlpm.MyAuditVal,_xlfn.XLOOKUP($A56,My_Audit!$A:$A,My_Audit!F:F,""),
_xlfn.IFS(_xlpm.MyAuditVal&lt;&gt;"",_xlpm.MyAuditVal,_xlpm.MacVal&lt;&gt;"",_xlpm.MacVal,_xlpm.CSVVal&lt;&gt;"",PROPER(_xlpm.CSVVal)
)),"")</f>
        <v/>
      </c>
      <c r="H56" s="2" t="str" cm="1">
        <f t="array" ref="H56">IFERROR(_xlfn.LET(
_xlpm.CSVVal,_xlfn.XLOOKUP($A56,CSV!$A:$A,CSV!H:H,""),
_xlpm.MacVal,_xlfn.XLOOKUP($A56,Output_Mac!$A:$A,Output_Mac!H:H,""),
_xlpm.MyAuditVal,_xlfn.XLOOKUP($A56,My_Audit!$A:$A,My_Audit!G:G,""),
_xlfn.IFS(_xlpm.MyAuditVal&lt;&gt;"",_xlpm.MyAuditVal,_xlpm.MacVal&lt;&gt;"",_xlpm.MacVal,_xlpm.CSVVal&lt;&gt;"",_xlpm.CSVVal
)),"")</f>
        <v/>
      </c>
      <c r="I56" s="2" t="str">
        <f>_xlfn.XLOOKUP(A56,Output_Mac!A:A,Output_Mac!I:I,"")</f>
        <v/>
      </c>
      <c r="J56" s="2" t="str" cm="1">
        <f t="array" ref="J56">IFERROR(_xlfn.LET(
_xlpm.CSVVal,_xlfn.XLOOKUP($A56,CSV!$A:$A,CSV!I:I,""),
_xlpm.MacVal,_xlfn.XLOOKUP($A56,Output_Mac!$A:$A,Output_Mac!J:J,""),
_xlpm.MyAuditVal,_xlfn.XLOOKUP($A56,My_Audit!$A:$A,My_Audit!I:I,""),
_xlfn.IFS(_xlpm.MyAuditVal&lt;&gt;"",UPPER(_xlpm.MyAuditVal),_xlpm.MacVal&lt;&gt;"",_xlpm.MacVal,_xlpm.CSVVal&lt;&gt;"",_xlpm.CSVVal
)),"")</f>
        <v/>
      </c>
      <c r="K56" s="2" t="str" cm="1">
        <f t="array" ref="K56">IFERROR(_xlfn.LET(
_xlpm.CSVVal,_xlfn.XLOOKUP($A56,CSV!$A:$A,CSV!K:K,""),
_xlpm.MacVal,_xlfn.XLOOKUP($A56,Output_Mac!$A:$A,Output_Mac!K:K,""),
_xlpm.MyAuditVal,_xlfn.XLOOKUP($A56,My_Audit!$A:$A,My_Audit!J:J,""),
_xlfn.IFS(_xlpm.MyAuditVal&lt;&gt;"",UPPER(_xlpm.MyAuditVal),_xlpm.MacVal&lt;&gt;"",_xlpm.MacVal,_xlpm.CSVVal&lt;&gt;"",_xlpm.CSVVal
)),"")</f>
        <v/>
      </c>
      <c r="L56" s="2" t="str" cm="1">
        <f t="array" ref="L56">IFERROR(_xlfn.LET(
_xlpm.CSVVal,_xlfn.XLOOKUP($A56,CSV!$A:$A,CSV!P:P,""),
_xlpm.MacVal,_xlfn.XLOOKUP($A56,Output_Mac!$A:$A,Output_Mac!L:L,""),
_xlpm.MyAuditVal,_xlfn.XLOOKUP($A56,My_Audit!$A:$A,My_Audit!K:K,""),
_xlfn.IFS(_xlpm.MyAuditVal&lt;&gt;"",UPPER(_xlpm.MyAuditVal),_xlpm.MacVal&lt;&gt;"",_xlpm.MacVal,_xlpm.CSVVal&lt;&gt;"",_xlpm.CSVVal
)),"")</f>
        <v/>
      </c>
      <c r="M56" s="2" t="str" cm="1">
        <f t="array" ref="M56">IFERROR(_xlfn.LET(
_xlpm.CSVVal,_xlfn.XLOOKUP($A56,CSV!$A:$A,CSV!Q:Q,""),
_xlpm.MacVal,_xlfn.XLOOKUP($A56,Output_Mac!$A:$A,Output_Mac!M:M,""),
_xlpm.MyAuditVal,_xlfn.XLOOKUP($A56,My_Audit!$A:$A,My_Audit!L:L,""),
_xlfn.IFS(_xlpm.MyAuditVal&lt;&gt;"",UPPER(_xlpm.MyAuditVal),_xlpm.MacVal&lt;&gt;"",_xlpm.MacVal,_xlpm.CSVVal&lt;&gt;"",_xlpm.CSVVal
)),"")</f>
        <v/>
      </c>
      <c r="O56" s="2" t="str">
        <f>_xlfn.LET(
    _xlpm.CSVVal, _xlfn.XLOOKUP($A56, CSV!$A:$A, CSV!AA:AA, ""),
    _xlpm.MacVal, _xlfn.XLOOKUP($A56, Output_Mac!$A:$A, Output_Mac!S:S, ""),
    _xlpm.MyAuditVal, _xlfn.XLOOKUP($A56, My_Audit!$A:$A, My_Audit!P:P, ""),
    _xlfn.TEXTJOIN(", ", TRUE, _xlpm.MyAuditVal, _xlpm.MacVal, _xlpm.CSVVal)
)</f>
        <v/>
      </c>
      <c r="P56" s="2" t="str" cm="1">
        <f t="array" ref="P56">IFERROR(_xlfn.LET(
_xlpm.CSVVal,_xlfn.XLOOKUP($A56,CSV!$A:$A,CSV!AB:AB,""),
_xlpm.MacVal,_xlfn.XLOOKUP($A56,Output_Mac!$A:$A,Output_Mac!T:T,""),
_xlpm.MyAuditVal,_xlfn.XLOOKUP($A56,My_Audit!$A:$A,My_Audit!Q:Q,""),
_xlfn.IFS(_xlpm.MyAuditVal&lt;&gt;"",UPPER(_xlpm.MyAuditVal),_xlpm.MacVal&lt;&gt;"",_xlpm.MacVal,_xlpm.CSVVal&lt;&gt;"",_xlpm.CSVVal
)),"No")</f>
        <v>No</v>
      </c>
      <c r="Q56" s="2" t="str" cm="1">
        <f t="array" ref="Q56">IFERROR(_xlfn.LET(
_xlpm.CSVVal,_xlfn.XLOOKUP($A56,CSV!$A:$A,CSV!AC:AC,""),
_xlpm.MacVal,_xlfn.XLOOKUP($A56,Output_Mac!$A:$A,Output_Mac!U:U,""),
_xlpm.MyAuditVal,_xlfn.XLOOKUP($A56,My_Audit!$A:$A,My_Audit!R:R,""),
_xlfn.IFS(_xlpm.MyAuditVal&lt;&gt;"",UPPER(_xlpm.MyAuditVal),_xlpm.MacVal&lt;&gt;"",_xlpm.MacVal,_xlpm.CSVVal&lt;&gt;"",_xlpm.CSVVal
)),"")</f>
        <v/>
      </c>
      <c r="X56" t="str">
        <f>_xlfn.LET(
    _xlpm.MacVal, _xlfn.XLOOKUP($A56, Output_Mac!$A:$A, Output_Mac!AB:AB, ""),
    _xlpm.MyAuditVal, _xlfn.XLOOKUP($A56, My_Audit!$A:$A, My_Audit!N:N, ""),
    _xlfn.TEXTJOIN(", ", TRUE, _xlpm.MyAuditVal, _xlpm.MacVal)
)</f>
        <v/>
      </c>
    </row>
    <row r="57" spans="1:24">
      <c r="A57" s="2" t="str">
        <f>_xlfn.TEXTJOIN("",TRUE,Input!$B$2,ROW(My_Audit!A56))</f>
        <v>X56</v>
      </c>
      <c r="B57" s="2" t="str">
        <f>_xlfn.TEXTJOIN("-",TRUE,"ITD",Input!$A$2,A57)</f>
        <v>ITD-SHR-X56</v>
      </c>
      <c r="C57" s="2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2" t="str" cm="1">
        <f t="array" ref="D57">IFERROR(_xlfn.LET(
_xlpm.CSVVal,_xlfn.XLOOKUP($A57,CSV!$A:$A,CSV!D:D,""),
_xlpm.MacVal,_xlfn.XLOOKUP($A57,Output_Mac!$A:$A,Output_Mac!C:C,""),
_xlpm.MyAuditVal,_xlfn.XLOOKUP($A57,My_Audit!$A:$A,My_Audit!C:C,""),
_xlfn.IFS(_xlpm.MyAuditVal&lt;&gt;"",_xlpm.MyAuditVal,_xlpm.MacVal&lt;&gt;"",_xlpm.MacVal,_xlpm.CSVVal&lt;&gt;"",_xlpm.CSVVal
)),"")</f>
        <v/>
      </c>
      <c r="E57" s="2">
        <f>_xlfn.XLOOKUP(A57,My_Audit!A:A,My_Audit!D:D,"")</f>
        <v>0</v>
      </c>
      <c r="F57" s="2" t="str" cm="1">
        <f t="array" ref="F57">IFERROR(_xlfn.LET(
_xlpm.CSVVal,_xlfn.XLOOKUP($A57,CSV!$A:$A,CSV!F:F,""),
_xlpm.MacVal,_xlfn.XLOOKUP($A57,Output_Mac!$A:$A,Output_Mac!E:E,""),
_xlpm.MyAuditVal,_xlfn.XLOOKUP($A57,My_Audit!$A:$A,My_Audit!E:E,""),
_xlfn.IFS(_xlpm.MyAuditVal&lt;&gt;"",_xlpm.MyAuditVal,_xlpm.MacVal&lt;&gt;"",_xlpm.MacVal,_xlpm.CSVVal&lt;&gt;"",_xlpm.CSVVal
)),"")</f>
        <v/>
      </c>
      <c r="G57" s="2" t="str" cm="1">
        <f t="array" ref="G57">IFERROR(_xlfn.LET(
_xlpm.CSVVal,_xlfn.XLOOKUP($A57,CSV!$A:$A,CSV!G:G,""),
_xlpm.MacVal,_xlfn.XLOOKUP($A57,Output_Mac!$A:$A,Output_Mac!F:F,""),
_xlpm.MyAuditVal,_xlfn.XLOOKUP($A57,My_Audit!$A:$A,My_Audit!F:F,""),
_xlfn.IFS(_xlpm.MyAuditVal&lt;&gt;"",_xlpm.MyAuditVal,_xlpm.MacVal&lt;&gt;"",_xlpm.MacVal,_xlpm.CSVVal&lt;&gt;"",PROPER(_xlpm.CSVVal)
)),"")</f>
        <v/>
      </c>
      <c r="H57" s="2" t="str" cm="1">
        <f t="array" ref="H57">IFERROR(_xlfn.LET(
_xlpm.CSVVal,_xlfn.XLOOKUP($A57,CSV!$A:$A,CSV!H:H,""),
_xlpm.MacVal,_xlfn.XLOOKUP($A57,Output_Mac!$A:$A,Output_Mac!H:H,""),
_xlpm.MyAuditVal,_xlfn.XLOOKUP($A57,My_Audit!$A:$A,My_Audit!G:G,""),
_xlfn.IFS(_xlpm.MyAuditVal&lt;&gt;"",_xlpm.MyAuditVal,_xlpm.MacVal&lt;&gt;"",_xlpm.MacVal,_xlpm.CSVVal&lt;&gt;"",_xlpm.CSVVal
)),"")</f>
        <v/>
      </c>
      <c r="I57" s="2" t="str">
        <f>_xlfn.XLOOKUP(A57,Output_Mac!A:A,Output_Mac!I:I,"")</f>
        <v/>
      </c>
      <c r="J57" s="2" t="str" cm="1">
        <f t="array" ref="J57">IFERROR(_xlfn.LET(
_xlpm.CSVVal,_xlfn.XLOOKUP($A57,CSV!$A:$A,CSV!I:I,""),
_xlpm.MacVal,_xlfn.XLOOKUP($A57,Output_Mac!$A:$A,Output_Mac!J:J,""),
_xlpm.MyAuditVal,_xlfn.XLOOKUP($A57,My_Audit!$A:$A,My_Audit!I:I,""),
_xlfn.IFS(_xlpm.MyAuditVal&lt;&gt;"",UPPER(_xlpm.MyAuditVal),_xlpm.MacVal&lt;&gt;"",_xlpm.MacVal,_xlpm.CSVVal&lt;&gt;"",_xlpm.CSVVal
)),"")</f>
        <v/>
      </c>
      <c r="K57" s="2" t="str" cm="1">
        <f t="array" ref="K57">IFERROR(_xlfn.LET(
_xlpm.CSVVal,_xlfn.XLOOKUP($A57,CSV!$A:$A,CSV!K:K,""),
_xlpm.MacVal,_xlfn.XLOOKUP($A57,Output_Mac!$A:$A,Output_Mac!K:K,""),
_xlpm.MyAuditVal,_xlfn.XLOOKUP($A57,My_Audit!$A:$A,My_Audit!J:J,""),
_xlfn.IFS(_xlpm.MyAuditVal&lt;&gt;"",UPPER(_xlpm.MyAuditVal),_xlpm.MacVal&lt;&gt;"",_xlpm.MacVal,_xlpm.CSVVal&lt;&gt;"",_xlpm.CSVVal
)),"")</f>
        <v/>
      </c>
      <c r="L57" s="2" t="str" cm="1">
        <f t="array" ref="L57">IFERROR(_xlfn.LET(
_xlpm.CSVVal,_xlfn.XLOOKUP($A57,CSV!$A:$A,CSV!P:P,""),
_xlpm.MacVal,_xlfn.XLOOKUP($A57,Output_Mac!$A:$A,Output_Mac!L:L,""),
_xlpm.MyAuditVal,_xlfn.XLOOKUP($A57,My_Audit!$A:$A,My_Audit!K:K,""),
_xlfn.IFS(_xlpm.MyAuditVal&lt;&gt;"",UPPER(_xlpm.MyAuditVal),_xlpm.MacVal&lt;&gt;"",_xlpm.MacVal,_xlpm.CSVVal&lt;&gt;"",_xlpm.CSVVal
)),"")</f>
        <v/>
      </c>
      <c r="M57" s="2" t="str" cm="1">
        <f t="array" ref="M57">IFERROR(_xlfn.LET(
_xlpm.CSVVal,_xlfn.XLOOKUP($A57,CSV!$A:$A,CSV!Q:Q,""),
_xlpm.MacVal,_xlfn.XLOOKUP($A57,Output_Mac!$A:$A,Output_Mac!M:M,""),
_xlpm.MyAuditVal,_xlfn.XLOOKUP($A57,My_Audit!$A:$A,My_Audit!L:L,""),
_xlfn.IFS(_xlpm.MyAuditVal&lt;&gt;"",UPPER(_xlpm.MyAuditVal),_xlpm.MacVal&lt;&gt;"",_xlpm.MacVal,_xlpm.CSVVal&lt;&gt;"",_xlpm.CSVVal
)),"")</f>
        <v/>
      </c>
      <c r="O57" s="2" t="str">
        <f>_xlfn.LET(
    _xlpm.CSVVal, _xlfn.XLOOKUP($A57, CSV!$A:$A, CSV!AA:AA, ""),
    _xlpm.MacVal, _xlfn.XLOOKUP($A57, Output_Mac!$A:$A, Output_Mac!S:S, ""),
    _xlpm.MyAuditVal, _xlfn.XLOOKUP($A57, My_Audit!$A:$A, My_Audit!P:P, ""),
    _xlfn.TEXTJOIN(", ", TRUE, _xlpm.MyAuditVal, _xlpm.MacVal, _xlpm.CSVVal)
)</f>
        <v/>
      </c>
      <c r="P57" s="2" t="str" cm="1">
        <f t="array" ref="P57">IFERROR(_xlfn.LET(
_xlpm.CSVVal,_xlfn.XLOOKUP($A57,CSV!$A:$A,CSV!AB:AB,""),
_xlpm.MacVal,_xlfn.XLOOKUP($A57,Output_Mac!$A:$A,Output_Mac!T:T,""),
_xlpm.MyAuditVal,_xlfn.XLOOKUP($A57,My_Audit!$A:$A,My_Audit!Q:Q,""),
_xlfn.IFS(_xlpm.MyAuditVal&lt;&gt;"",UPPER(_xlpm.MyAuditVal),_xlpm.MacVal&lt;&gt;"",_xlpm.MacVal,_xlpm.CSVVal&lt;&gt;"",_xlpm.CSVVal
)),"No")</f>
        <v>No</v>
      </c>
      <c r="Q57" s="2" t="str" cm="1">
        <f t="array" ref="Q57">IFERROR(_xlfn.LET(
_xlpm.CSVVal,_xlfn.XLOOKUP($A57,CSV!$A:$A,CSV!AC:AC,""),
_xlpm.MacVal,_xlfn.XLOOKUP($A57,Output_Mac!$A:$A,Output_Mac!U:U,""),
_xlpm.MyAuditVal,_xlfn.XLOOKUP($A57,My_Audit!$A:$A,My_Audit!R:R,""),
_xlfn.IFS(_xlpm.MyAuditVal&lt;&gt;"",UPPER(_xlpm.MyAuditVal),_xlpm.MacVal&lt;&gt;"",_xlpm.MacVal,_xlpm.CSVVal&lt;&gt;"",_xlpm.CSVVal
)),"")</f>
        <v/>
      </c>
      <c r="X57" t="str">
        <f>_xlfn.LET(
    _xlpm.MacVal, _xlfn.XLOOKUP($A57, Output_Mac!$A:$A, Output_Mac!AB:AB, ""),
    _xlpm.MyAuditVal, _xlfn.XLOOKUP($A57, My_Audit!$A:$A, My_Audit!N:N, ""),
    _xlfn.TEXTJOIN(", ", TRUE, _xlpm.MyAuditVal, _xlpm.MacVal)
)</f>
        <v/>
      </c>
    </row>
    <row r="58" spans="1:24">
      <c r="A58" s="2" t="str">
        <f>_xlfn.TEXTJOIN("",TRUE,Input!$B$2,ROW(My_Audit!A57))</f>
        <v>X57</v>
      </c>
      <c r="B58" s="2" t="str">
        <f>_xlfn.TEXTJOIN("-",TRUE,"ITD",Input!$A$2,A58)</f>
        <v>ITD-SHR-X57</v>
      </c>
      <c r="C58" s="2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2" t="str" cm="1">
        <f t="array" ref="D58">IFERROR(_xlfn.LET(
_xlpm.CSVVal,_xlfn.XLOOKUP($A58,CSV!$A:$A,CSV!D:D,""),
_xlpm.MacVal,_xlfn.XLOOKUP($A58,Output_Mac!$A:$A,Output_Mac!C:C,""),
_xlpm.MyAuditVal,_xlfn.XLOOKUP($A58,My_Audit!$A:$A,My_Audit!C:C,""),
_xlfn.IFS(_xlpm.MyAuditVal&lt;&gt;"",_xlpm.MyAuditVal,_xlpm.MacVal&lt;&gt;"",_xlpm.MacVal,_xlpm.CSVVal&lt;&gt;"",_xlpm.CSVVal
)),"")</f>
        <v/>
      </c>
      <c r="E58" s="2">
        <f>_xlfn.XLOOKUP(A58,My_Audit!A:A,My_Audit!D:D,"")</f>
        <v>0</v>
      </c>
      <c r="F58" s="2" t="str" cm="1">
        <f t="array" ref="F58">IFERROR(_xlfn.LET(
_xlpm.CSVVal,_xlfn.XLOOKUP($A58,CSV!$A:$A,CSV!F:F,""),
_xlpm.MacVal,_xlfn.XLOOKUP($A58,Output_Mac!$A:$A,Output_Mac!E:E,""),
_xlpm.MyAuditVal,_xlfn.XLOOKUP($A58,My_Audit!$A:$A,My_Audit!E:E,""),
_xlfn.IFS(_xlpm.MyAuditVal&lt;&gt;"",_xlpm.MyAuditVal,_xlpm.MacVal&lt;&gt;"",_xlpm.MacVal,_xlpm.CSVVal&lt;&gt;"",_xlpm.CSVVal
)),"")</f>
        <v/>
      </c>
      <c r="G58" s="2" t="str" cm="1">
        <f t="array" ref="G58">IFERROR(_xlfn.LET(
_xlpm.CSVVal,_xlfn.XLOOKUP($A58,CSV!$A:$A,CSV!G:G,""),
_xlpm.MacVal,_xlfn.XLOOKUP($A58,Output_Mac!$A:$A,Output_Mac!F:F,""),
_xlpm.MyAuditVal,_xlfn.XLOOKUP($A58,My_Audit!$A:$A,My_Audit!F:F,""),
_xlfn.IFS(_xlpm.MyAuditVal&lt;&gt;"",_xlpm.MyAuditVal,_xlpm.MacVal&lt;&gt;"",_xlpm.MacVal,_xlpm.CSVVal&lt;&gt;"",PROPER(_xlpm.CSVVal)
)),"")</f>
        <v/>
      </c>
      <c r="H58" s="2" t="str" cm="1">
        <f t="array" ref="H58">IFERROR(_xlfn.LET(
_xlpm.CSVVal,_xlfn.XLOOKUP($A58,CSV!$A:$A,CSV!H:H,""),
_xlpm.MacVal,_xlfn.XLOOKUP($A58,Output_Mac!$A:$A,Output_Mac!H:H,""),
_xlpm.MyAuditVal,_xlfn.XLOOKUP($A58,My_Audit!$A:$A,My_Audit!G:G,""),
_xlfn.IFS(_xlpm.MyAuditVal&lt;&gt;"",_xlpm.MyAuditVal,_xlpm.MacVal&lt;&gt;"",_xlpm.MacVal,_xlpm.CSVVal&lt;&gt;"",_xlpm.CSVVal
)),"")</f>
        <v/>
      </c>
      <c r="I58" s="2" t="str">
        <f>_xlfn.XLOOKUP(A58,Output_Mac!A:A,Output_Mac!I:I,"")</f>
        <v/>
      </c>
      <c r="J58" s="2" t="str" cm="1">
        <f t="array" ref="J58">IFERROR(_xlfn.LET(
_xlpm.CSVVal,_xlfn.XLOOKUP($A58,CSV!$A:$A,CSV!I:I,""),
_xlpm.MacVal,_xlfn.XLOOKUP($A58,Output_Mac!$A:$A,Output_Mac!J:J,""),
_xlpm.MyAuditVal,_xlfn.XLOOKUP($A58,My_Audit!$A:$A,My_Audit!I:I,""),
_xlfn.IFS(_xlpm.MyAuditVal&lt;&gt;"",UPPER(_xlpm.MyAuditVal),_xlpm.MacVal&lt;&gt;"",_xlpm.MacVal,_xlpm.CSVVal&lt;&gt;"",_xlpm.CSVVal
)),"")</f>
        <v/>
      </c>
      <c r="K58" s="2" t="str" cm="1">
        <f t="array" ref="K58">IFERROR(_xlfn.LET(
_xlpm.CSVVal,_xlfn.XLOOKUP($A58,CSV!$A:$A,CSV!K:K,""),
_xlpm.MacVal,_xlfn.XLOOKUP($A58,Output_Mac!$A:$A,Output_Mac!K:K,""),
_xlpm.MyAuditVal,_xlfn.XLOOKUP($A58,My_Audit!$A:$A,My_Audit!J:J,""),
_xlfn.IFS(_xlpm.MyAuditVal&lt;&gt;"",UPPER(_xlpm.MyAuditVal),_xlpm.MacVal&lt;&gt;"",_xlpm.MacVal,_xlpm.CSVVal&lt;&gt;"",_xlpm.CSVVal
)),"")</f>
        <v/>
      </c>
      <c r="L58" s="2" t="str" cm="1">
        <f t="array" ref="L58">IFERROR(_xlfn.LET(
_xlpm.CSVVal,_xlfn.XLOOKUP($A58,CSV!$A:$A,CSV!P:P,""),
_xlpm.MacVal,_xlfn.XLOOKUP($A58,Output_Mac!$A:$A,Output_Mac!L:L,""),
_xlpm.MyAuditVal,_xlfn.XLOOKUP($A58,My_Audit!$A:$A,My_Audit!K:K,""),
_xlfn.IFS(_xlpm.MyAuditVal&lt;&gt;"",UPPER(_xlpm.MyAuditVal),_xlpm.MacVal&lt;&gt;"",_xlpm.MacVal,_xlpm.CSVVal&lt;&gt;"",_xlpm.CSVVal
)),"")</f>
        <v/>
      </c>
      <c r="M58" s="2" t="str" cm="1">
        <f t="array" ref="M58">IFERROR(_xlfn.LET(
_xlpm.CSVVal,_xlfn.XLOOKUP($A58,CSV!$A:$A,CSV!Q:Q,""),
_xlpm.MacVal,_xlfn.XLOOKUP($A58,Output_Mac!$A:$A,Output_Mac!M:M,""),
_xlpm.MyAuditVal,_xlfn.XLOOKUP($A58,My_Audit!$A:$A,My_Audit!L:L,""),
_xlfn.IFS(_xlpm.MyAuditVal&lt;&gt;"",UPPER(_xlpm.MyAuditVal),_xlpm.MacVal&lt;&gt;"",_xlpm.MacVal,_xlpm.CSVVal&lt;&gt;"",_xlpm.CSVVal
)),"")</f>
        <v/>
      </c>
      <c r="O58" s="2" t="str">
        <f>_xlfn.LET(
    _xlpm.CSVVal, _xlfn.XLOOKUP($A58, CSV!$A:$A, CSV!AA:AA, ""),
    _xlpm.MacVal, _xlfn.XLOOKUP($A58, Output_Mac!$A:$A, Output_Mac!S:S, ""),
    _xlpm.MyAuditVal, _xlfn.XLOOKUP($A58, My_Audit!$A:$A, My_Audit!P:P, ""),
    _xlfn.TEXTJOIN(", ", TRUE, _xlpm.MyAuditVal, _xlpm.MacVal, _xlpm.CSVVal)
)</f>
        <v/>
      </c>
      <c r="P58" s="2" t="str" cm="1">
        <f t="array" ref="P58">IFERROR(_xlfn.LET(
_xlpm.CSVVal,_xlfn.XLOOKUP($A58,CSV!$A:$A,CSV!AB:AB,""),
_xlpm.MacVal,_xlfn.XLOOKUP($A58,Output_Mac!$A:$A,Output_Mac!T:T,""),
_xlpm.MyAuditVal,_xlfn.XLOOKUP($A58,My_Audit!$A:$A,My_Audit!Q:Q,""),
_xlfn.IFS(_xlpm.MyAuditVal&lt;&gt;"",UPPER(_xlpm.MyAuditVal),_xlpm.MacVal&lt;&gt;"",_xlpm.MacVal,_xlpm.CSVVal&lt;&gt;"",_xlpm.CSVVal
)),"No")</f>
        <v>No</v>
      </c>
      <c r="Q58" s="2" t="str" cm="1">
        <f t="array" ref="Q58">IFERROR(_xlfn.LET(
_xlpm.CSVVal,_xlfn.XLOOKUP($A58,CSV!$A:$A,CSV!AC:AC,""),
_xlpm.MacVal,_xlfn.XLOOKUP($A58,Output_Mac!$A:$A,Output_Mac!U:U,""),
_xlpm.MyAuditVal,_xlfn.XLOOKUP($A58,My_Audit!$A:$A,My_Audit!R:R,""),
_xlfn.IFS(_xlpm.MyAuditVal&lt;&gt;"",UPPER(_xlpm.MyAuditVal),_xlpm.MacVal&lt;&gt;"",_xlpm.MacVal,_xlpm.CSVVal&lt;&gt;"",_xlpm.CSVVal
)),"")</f>
        <v/>
      </c>
      <c r="X58" t="str">
        <f>_xlfn.LET(
    _xlpm.MacVal, _xlfn.XLOOKUP($A58, Output_Mac!$A:$A, Output_Mac!AB:AB, ""),
    _xlpm.MyAuditVal, _xlfn.XLOOKUP($A58, My_Audit!$A:$A, My_Audit!N:N, ""),
    _xlfn.TEXTJOIN(", ", TRUE, _xlpm.MyAuditVal, _xlpm.MacVal)
)</f>
        <v/>
      </c>
    </row>
    <row r="59" spans="1:24">
      <c r="A59" s="2" t="str">
        <f>_xlfn.TEXTJOIN("",TRUE,Input!$B$2,ROW(My_Audit!A58))</f>
        <v>X58</v>
      </c>
      <c r="B59" s="2" t="str">
        <f>_xlfn.TEXTJOIN("-",TRUE,"ITD",Input!$A$2,A59)</f>
        <v>ITD-SHR-X58</v>
      </c>
      <c r="C59" s="2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2" t="str" cm="1">
        <f t="array" ref="D59">IFERROR(_xlfn.LET(
_xlpm.CSVVal,_xlfn.XLOOKUP($A59,CSV!$A:$A,CSV!D:D,""),
_xlpm.MacVal,_xlfn.XLOOKUP($A59,Output_Mac!$A:$A,Output_Mac!C:C,""),
_xlpm.MyAuditVal,_xlfn.XLOOKUP($A59,My_Audit!$A:$A,My_Audit!C:C,""),
_xlfn.IFS(_xlpm.MyAuditVal&lt;&gt;"",_xlpm.MyAuditVal,_xlpm.MacVal&lt;&gt;"",_xlpm.MacVal,_xlpm.CSVVal&lt;&gt;"",_xlpm.CSVVal
)),"")</f>
        <v/>
      </c>
      <c r="E59" s="2">
        <f>_xlfn.XLOOKUP(A59,My_Audit!A:A,My_Audit!D:D,"")</f>
        <v>0</v>
      </c>
      <c r="F59" s="2" t="str" cm="1">
        <f t="array" ref="F59">IFERROR(_xlfn.LET(
_xlpm.CSVVal,_xlfn.XLOOKUP($A59,CSV!$A:$A,CSV!F:F,""),
_xlpm.MacVal,_xlfn.XLOOKUP($A59,Output_Mac!$A:$A,Output_Mac!E:E,""),
_xlpm.MyAuditVal,_xlfn.XLOOKUP($A59,My_Audit!$A:$A,My_Audit!E:E,""),
_xlfn.IFS(_xlpm.MyAuditVal&lt;&gt;"",_xlpm.MyAuditVal,_xlpm.MacVal&lt;&gt;"",_xlpm.MacVal,_xlpm.CSVVal&lt;&gt;"",_xlpm.CSVVal
)),"")</f>
        <v/>
      </c>
      <c r="G59" s="2" t="str" cm="1">
        <f t="array" ref="G59">IFERROR(_xlfn.LET(
_xlpm.CSVVal,_xlfn.XLOOKUP($A59,CSV!$A:$A,CSV!G:G,""),
_xlpm.MacVal,_xlfn.XLOOKUP($A59,Output_Mac!$A:$A,Output_Mac!F:F,""),
_xlpm.MyAuditVal,_xlfn.XLOOKUP($A59,My_Audit!$A:$A,My_Audit!F:F,""),
_xlfn.IFS(_xlpm.MyAuditVal&lt;&gt;"",_xlpm.MyAuditVal,_xlpm.MacVal&lt;&gt;"",_xlpm.MacVal,_xlpm.CSVVal&lt;&gt;"",PROPER(_xlpm.CSVVal)
)),"")</f>
        <v/>
      </c>
      <c r="H59" s="2" t="str" cm="1">
        <f t="array" ref="H59">IFERROR(_xlfn.LET(
_xlpm.CSVVal,_xlfn.XLOOKUP($A59,CSV!$A:$A,CSV!H:H,""),
_xlpm.MacVal,_xlfn.XLOOKUP($A59,Output_Mac!$A:$A,Output_Mac!H:H,""),
_xlpm.MyAuditVal,_xlfn.XLOOKUP($A59,My_Audit!$A:$A,My_Audit!G:G,""),
_xlfn.IFS(_xlpm.MyAuditVal&lt;&gt;"",_xlpm.MyAuditVal,_xlpm.MacVal&lt;&gt;"",_xlpm.MacVal,_xlpm.CSVVal&lt;&gt;"",_xlpm.CSVVal
)),"")</f>
        <v/>
      </c>
      <c r="I59" s="2" t="str">
        <f>_xlfn.XLOOKUP(A59,Output_Mac!A:A,Output_Mac!I:I,"")</f>
        <v/>
      </c>
      <c r="J59" s="2" t="str" cm="1">
        <f t="array" ref="J59">IFERROR(_xlfn.LET(
_xlpm.CSVVal,_xlfn.XLOOKUP($A59,CSV!$A:$A,CSV!I:I,""),
_xlpm.MacVal,_xlfn.XLOOKUP($A59,Output_Mac!$A:$A,Output_Mac!J:J,""),
_xlpm.MyAuditVal,_xlfn.XLOOKUP($A59,My_Audit!$A:$A,My_Audit!I:I,""),
_xlfn.IFS(_xlpm.MyAuditVal&lt;&gt;"",UPPER(_xlpm.MyAuditVal),_xlpm.MacVal&lt;&gt;"",_xlpm.MacVal,_xlpm.CSVVal&lt;&gt;"",_xlpm.CSVVal
)),"")</f>
        <v/>
      </c>
      <c r="K59" s="2" t="str" cm="1">
        <f t="array" ref="K59">IFERROR(_xlfn.LET(
_xlpm.CSVVal,_xlfn.XLOOKUP($A59,CSV!$A:$A,CSV!K:K,""),
_xlpm.MacVal,_xlfn.XLOOKUP($A59,Output_Mac!$A:$A,Output_Mac!K:K,""),
_xlpm.MyAuditVal,_xlfn.XLOOKUP($A59,My_Audit!$A:$A,My_Audit!J:J,""),
_xlfn.IFS(_xlpm.MyAuditVal&lt;&gt;"",UPPER(_xlpm.MyAuditVal),_xlpm.MacVal&lt;&gt;"",_xlpm.MacVal,_xlpm.CSVVal&lt;&gt;"",_xlpm.CSVVal
)),"")</f>
        <v/>
      </c>
      <c r="L59" s="2" t="str" cm="1">
        <f t="array" ref="L59">IFERROR(_xlfn.LET(
_xlpm.CSVVal,_xlfn.XLOOKUP($A59,CSV!$A:$A,CSV!P:P,""),
_xlpm.MacVal,_xlfn.XLOOKUP($A59,Output_Mac!$A:$A,Output_Mac!L:L,""),
_xlpm.MyAuditVal,_xlfn.XLOOKUP($A59,My_Audit!$A:$A,My_Audit!K:K,""),
_xlfn.IFS(_xlpm.MyAuditVal&lt;&gt;"",UPPER(_xlpm.MyAuditVal),_xlpm.MacVal&lt;&gt;"",_xlpm.MacVal,_xlpm.CSVVal&lt;&gt;"",_xlpm.CSVVal
)),"")</f>
        <v/>
      </c>
      <c r="M59" s="2" t="str" cm="1">
        <f t="array" ref="M59">IFERROR(_xlfn.LET(
_xlpm.CSVVal,_xlfn.XLOOKUP($A59,CSV!$A:$A,CSV!Q:Q,""),
_xlpm.MacVal,_xlfn.XLOOKUP($A59,Output_Mac!$A:$A,Output_Mac!M:M,""),
_xlpm.MyAuditVal,_xlfn.XLOOKUP($A59,My_Audit!$A:$A,My_Audit!L:L,""),
_xlfn.IFS(_xlpm.MyAuditVal&lt;&gt;"",UPPER(_xlpm.MyAuditVal),_xlpm.MacVal&lt;&gt;"",_xlpm.MacVal,_xlpm.CSVVal&lt;&gt;"",_xlpm.CSVVal
)),"")</f>
        <v/>
      </c>
      <c r="O59" s="2" t="str">
        <f>_xlfn.LET(
    _xlpm.CSVVal, _xlfn.XLOOKUP($A59, CSV!$A:$A, CSV!AA:AA, ""),
    _xlpm.MacVal, _xlfn.XLOOKUP($A59, Output_Mac!$A:$A, Output_Mac!S:S, ""),
    _xlpm.MyAuditVal, _xlfn.XLOOKUP($A59, My_Audit!$A:$A, My_Audit!P:P, ""),
    _xlfn.TEXTJOIN(", ", TRUE, _xlpm.MyAuditVal, _xlpm.MacVal, _xlpm.CSVVal)
)</f>
        <v/>
      </c>
      <c r="P59" s="2" t="str" cm="1">
        <f t="array" ref="P59">IFERROR(_xlfn.LET(
_xlpm.CSVVal,_xlfn.XLOOKUP($A59,CSV!$A:$A,CSV!AB:AB,""),
_xlpm.MacVal,_xlfn.XLOOKUP($A59,Output_Mac!$A:$A,Output_Mac!T:T,""),
_xlpm.MyAuditVal,_xlfn.XLOOKUP($A59,My_Audit!$A:$A,My_Audit!Q:Q,""),
_xlfn.IFS(_xlpm.MyAuditVal&lt;&gt;"",UPPER(_xlpm.MyAuditVal),_xlpm.MacVal&lt;&gt;"",_xlpm.MacVal,_xlpm.CSVVal&lt;&gt;"",_xlpm.CSVVal
)),"No")</f>
        <v>No</v>
      </c>
      <c r="Q59" s="2" t="str" cm="1">
        <f t="array" ref="Q59">IFERROR(_xlfn.LET(
_xlpm.CSVVal,_xlfn.XLOOKUP($A59,CSV!$A:$A,CSV!AC:AC,""),
_xlpm.MacVal,_xlfn.XLOOKUP($A59,Output_Mac!$A:$A,Output_Mac!U:U,""),
_xlpm.MyAuditVal,_xlfn.XLOOKUP($A59,My_Audit!$A:$A,My_Audit!R:R,""),
_xlfn.IFS(_xlpm.MyAuditVal&lt;&gt;"",UPPER(_xlpm.MyAuditVal),_xlpm.MacVal&lt;&gt;"",_xlpm.MacVal,_xlpm.CSVVal&lt;&gt;"",_xlpm.CSVVal
)),"")</f>
        <v/>
      </c>
      <c r="X59" t="str">
        <f>_xlfn.LET(
    _xlpm.MacVal, _xlfn.XLOOKUP($A59, Output_Mac!$A:$A, Output_Mac!AB:AB, ""),
    _xlpm.MyAuditVal, _xlfn.XLOOKUP($A59, My_Audit!$A:$A, My_Audit!N:N, ""),
    _xlfn.TEXTJOIN(", ", TRUE, _xlpm.MyAuditVal, _xlpm.MacVal)
)</f>
        <v/>
      </c>
    </row>
    <row r="60" spans="1:24">
      <c r="A60" s="2" t="str">
        <f>_xlfn.TEXTJOIN("",TRUE,Input!$B$2,ROW(My_Audit!A59))</f>
        <v>X59</v>
      </c>
      <c r="B60" s="2" t="str">
        <f>_xlfn.TEXTJOIN("-",TRUE,"ITD",Input!$A$2,A60)</f>
        <v>ITD-SHR-X59</v>
      </c>
      <c r="C60" s="2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2" t="str" cm="1">
        <f t="array" ref="D60">IFERROR(_xlfn.LET(
_xlpm.CSVVal,_xlfn.XLOOKUP($A60,CSV!$A:$A,CSV!D:D,""),
_xlpm.MacVal,_xlfn.XLOOKUP($A60,Output_Mac!$A:$A,Output_Mac!C:C,""),
_xlpm.MyAuditVal,_xlfn.XLOOKUP($A60,My_Audit!$A:$A,My_Audit!C:C,""),
_xlfn.IFS(_xlpm.MyAuditVal&lt;&gt;"",_xlpm.MyAuditVal,_xlpm.MacVal&lt;&gt;"",_xlpm.MacVal,_xlpm.CSVVal&lt;&gt;"",_xlpm.CSVVal
)),"")</f>
        <v/>
      </c>
      <c r="E60" s="2">
        <f>_xlfn.XLOOKUP(A60,My_Audit!A:A,My_Audit!D:D,"")</f>
        <v>0</v>
      </c>
      <c r="F60" s="2" t="str" cm="1">
        <f t="array" ref="F60">IFERROR(_xlfn.LET(
_xlpm.CSVVal,_xlfn.XLOOKUP($A60,CSV!$A:$A,CSV!F:F,""),
_xlpm.MacVal,_xlfn.XLOOKUP($A60,Output_Mac!$A:$A,Output_Mac!E:E,""),
_xlpm.MyAuditVal,_xlfn.XLOOKUP($A60,My_Audit!$A:$A,My_Audit!E:E,""),
_xlfn.IFS(_xlpm.MyAuditVal&lt;&gt;"",_xlpm.MyAuditVal,_xlpm.MacVal&lt;&gt;"",_xlpm.MacVal,_xlpm.CSVVal&lt;&gt;"",_xlpm.CSVVal
)),"")</f>
        <v/>
      </c>
      <c r="G60" s="2" t="str" cm="1">
        <f t="array" ref="G60">IFERROR(_xlfn.LET(
_xlpm.CSVVal,_xlfn.XLOOKUP($A60,CSV!$A:$A,CSV!G:G,""),
_xlpm.MacVal,_xlfn.XLOOKUP($A60,Output_Mac!$A:$A,Output_Mac!F:F,""),
_xlpm.MyAuditVal,_xlfn.XLOOKUP($A60,My_Audit!$A:$A,My_Audit!F:F,""),
_xlfn.IFS(_xlpm.MyAuditVal&lt;&gt;"",_xlpm.MyAuditVal,_xlpm.MacVal&lt;&gt;"",_xlpm.MacVal,_xlpm.CSVVal&lt;&gt;"",PROPER(_xlpm.CSVVal)
)),"")</f>
        <v/>
      </c>
      <c r="H60" s="2" t="str" cm="1">
        <f t="array" ref="H60">IFERROR(_xlfn.LET(
_xlpm.CSVVal,_xlfn.XLOOKUP($A60,CSV!$A:$A,CSV!H:H,""),
_xlpm.MacVal,_xlfn.XLOOKUP($A60,Output_Mac!$A:$A,Output_Mac!H:H,""),
_xlpm.MyAuditVal,_xlfn.XLOOKUP($A60,My_Audit!$A:$A,My_Audit!G:G,""),
_xlfn.IFS(_xlpm.MyAuditVal&lt;&gt;"",_xlpm.MyAuditVal,_xlpm.MacVal&lt;&gt;"",_xlpm.MacVal,_xlpm.CSVVal&lt;&gt;"",_xlpm.CSVVal
)),"")</f>
        <v/>
      </c>
      <c r="I60" s="2" t="str">
        <f>_xlfn.XLOOKUP(A60,Output_Mac!A:A,Output_Mac!I:I,"")</f>
        <v/>
      </c>
      <c r="J60" s="2" t="str" cm="1">
        <f t="array" ref="J60">IFERROR(_xlfn.LET(
_xlpm.CSVVal,_xlfn.XLOOKUP($A60,CSV!$A:$A,CSV!I:I,""),
_xlpm.MacVal,_xlfn.XLOOKUP($A60,Output_Mac!$A:$A,Output_Mac!J:J,""),
_xlpm.MyAuditVal,_xlfn.XLOOKUP($A60,My_Audit!$A:$A,My_Audit!I:I,""),
_xlfn.IFS(_xlpm.MyAuditVal&lt;&gt;"",UPPER(_xlpm.MyAuditVal),_xlpm.MacVal&lt;&gt;"",_xlpm.MacVal,_xlpm.CSVVal&lt;&gt;"",_xlpm.CSVVal
)),"")</f>
        <v/>
      </c>
      <c r="K60" s="2" t="str" cm="1">
        <f t="array" ref="K60">IFERROR(_xlfn.LET(
_xlpm.CSVVal,_xlfn.XLOOKUP($A60,CSV!$A:$A,CSV!K:K,""),
_xlpm.MacVal,_xlfn.XLOOKUP($A60,Output_Mac!$A:$A,Output_Mac!K:K,""),
_xlpm.MyAuditVal,_xlfn.XLOOKUP($A60,My_Audit!$A:$A,My_Audit!J:J,""),
_xlfn.IFS(_xlpm.MyAuditVal&lt;&gt;"",UPPER(_xlpm.MyAuditVal),_xlpm.MacVal&lt;&gt;"",_xlpm.MacVal,_xlpm.CSVVal&lt;&gt;"",_xlpm.CSVVal
)),"")</f>
        <v/>
      </c>
      <c r="L60" s="2" t="str" cm="1">
        <f t="array" ref="L60">IFERROR(_xlfn.LET(
_xlpm.CSVVal,_xlfn.XLOOKUP($A60,CSV!$A:$A,CSV!P:P,""),
_xlpm.MacVal,_xlfn.XLOOKUP($A60,Output_Mac!$A:$A,Output_Mac!L:L,""),
_xlpm.MyAuditVal,_xlfn.XLOOKUP($A60,My_Audit!$A:$A,My_Audit!K:K,""),
_xlfn.IFS(_xlpm.MyAuditVal&lt;&gt;"",UPPER(_xlpm.MyAuditVal),_xlpm.MacVal&lt;&gt;"",_xlpm.MacVal,_xlpm.CSVVal&lt;&gt;"",_xlpm.CSVVal
)),"")</f>
        <v/>
      </c>
      <c r="M60" s="2" t="str" cm="1">
        <f t="array" ref="M60">IFERROR(_xlfn.LET(
_xlpm.CSVVal,_xlfn.XLOOKUP($A60,CSV!$A:$A,CSV!Q:Q,""),
_xlpm.MacVal,_xlfn.XLOOKUP($A60,Output_Mac!$A:$A,Output_Mac!M:M,""),
_xlpm.MyAuditVal,_xlfn.XLOOKUP($A60,My_Audit!$A:$A,My_Audit!L:L,""),
_xlfn.IFS(_xlpm.MyAuditVal&lt;&gt;"",UPPER(_xlpm.MyAuditVal),_xlpm.MacVal&lt;&gt;"",_xlpm.MacVal,_xlpm.CSVVal&lt;&gt;"",_xlpm.CSVVal
)),"")</f>
        <v/>
      </c>
      <c r="O60" s="2" t="str">
        <f>_xlfn.LET(
    _xlpm.CSVVal, _xlfn.XLOOKUP($A60, CSV!$A:$A, CSV!AA:AA, ""),
    _xlpm.MacVal, _xlfn.XLOOKUP($A60, Output_Mac!$A:$A, Output_Mac!S:S, ""),
    _xlpm.MyAuditVal, _xlfn.XLOOKUP($A60, My_Audit!$A:$A, My_Audit!P:P, ""),
    _xlfn.TEXTJOIN(", ", TRUE, _xlpm.MyAuditVal, _xlpm.MacVal, _xlpm.CSVVal)
)</f>
        <v/>
      </c>
      <c r="P60" s="2" t="str" cm="1">
        <f t="array" ref="P60">IFERROR(_xlfn.LET(
_xlpm.CSVVal,_xlfn.XLOOKUP($A60,CSV!$A:$A,CSV!AB:AB,""),
_xlpm.MacVal,_xlfn.XLOOKUP($A60,Output_Mac!$A:$A,Output_Mac!T:T,""),
_xlpm.MyAuditVal,_xlfn.XLOOKUP($A60,My_Audit!$A:$A,My_Audit!Q:Q,""),
_xlfn.IFS(_xlpm.MyAuditVal&lt;&gt;"",UPPER(_xlpm.MyAuditVal),_xlpm.MacVal&lt;&gt;"",_xlpm.MacVal,_xlpm.CSVVal&lt;&gt;"",_xlpm.CSVVal
)),"No")</f>
        <v>No</v>
      </c>
      <c r="Q60" s="2" t="str" cm="1">
        <f t="array" ref="Q60">IFERROR(_xlfn.LET(
_xlpm.CSVVal,_xlfn.XLOOKUP($A60,CSV!$A:$A,CSV!AC:AC,""),
_xlpm.MacVal,_xlfn.XLOOKUP($A60,Output_Mac!$A:$A,Output_Mac!U:U,""),
_xlpm.MyAuditVal,_xlfn.XLOOKUP($A60,My_Audit!$A:$A,My_Audit!R:R,""),
_xlfn.IFS(_xlpm.MyAuditVal&lt;&gt;"",UPPER(_xlpm.MyAuditVal),_xlpm.MacVal&lt;&gt;"",_xlpm.MacVal,_xlpm.CSVVal&lt;&gt;"",_xlpm.CSVVal
)),"")</f>
        <v/>
      </c>
      <c r="X60" t="str">
        <f>_xlfn.LET(
    _xlpm.MacVal, _xlfn.XLOOKUP($A60, Output_Mac!$A:$A, Output_Mac!AB:AB, ""),
    _xlpm.MyAuditVal, _xlfn.XLOOKUP($A60, My_Audit!$A:$A, My_Audit!N:N, ""),
    _xlfn.TEXTJOIN(", ", TRUE, _xlpm.MyAuditVal, _xlpm.MacVal)
)</f>
        <v/>
      </c>
    </row>
    <row r="61" spans="1:24">
      <c r="A61" s="2" t="str">
        <f>_xlfn.TEXTJOIN("",TRUE,Input!$B$2,ROW(My_Audit!A60))</f>
        <v>X60</v>
      </c>
      <c r="B61" s="2" t="str">
        <f>_xlfn.TEXTJOIN("-",TRUE,"ITD",Input!$A$2,A61)</f>
        <v>ITD-SHR-X60</v>
      </c>
      <c r="C61" s="2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2" t="str" cm="1">
        <f t="array" ref="D61">IFERROR(_xlfn.LET(
_xlpm.CSVVal,_xlfn.XLOOKUP($A61,CSV!$A:$A,CSV!D:D,""),
_xlpm.MacVal,_xlfn.XLOOKUP($A61,Output_Mac!$A:$A,Output_Mac!C:C,""),
_xlpm.MyAuditVal,_xlfn.XLOOKUP($A61,My_Audit!$A:$A,My_Audit!C:C,""),
_xlfn.IFS(_xlpm.MyAuditVal&lt;&gt;"",_xlpm.MyAuditVal,_xlpm.MacVal&lt;&gt;"",_xlpm.MacVal,_xlpm.CSVVal&lt;&gt;"",_xlpm.CSVVal
)),"")</f>
        <v/>
      </c>
      <c r="E61" s="2">
        <f>_xlfn.XLOOKUP(A61,My_Audit!A:A,My_Audit!D:D,"")</f>
        <v>0</v>
      </c>
      <c r="F61" s="2" t="str" cm="1">
        <f t="array" ref="F61">IFERROR(_xlfn.LET(
_xlpm.CSVVal,_xlfn.XLOOKUP($A61,CSV!$A:$A,CSV!F:F,""),
_xlpm.MacVal,_xlfn.XLOOKUP($A61,Output_Mac!$A:$A,Output_Mac!E:E,""),
_xlpm.MyAuditVal,_xlfn.XLOOKUP($A61,My_Audit!$A:$A,My_Audit!E:E,""),
_xlfn.IFS(_xlpm.MyAuditVal&lt;&gt;"",_xlpm.MyAuditVal,_xlpm.MacVal&lt;&gt;"",_xlpm.MacVal,_xlpm.CSVVal&lt;&gt;"",_xlpm.CSVVal
)),"")</f>
        <v/>
      </c>
      <c r="G61" s="2" t="str" cm="1">
        <f t="array" ref="G61">IFERROR(_xlfn.LET(
_xlpm.CSVVal,_xlfn.XLOOKUP($A61,CSV!$A:$A,CSV!G:G,""),
_xlpm.MacVal,_xlfn.XLOOKUP($A61,Output_Mac!$A:$A,Output_Mac!F:F,""),
_xlpm.MyAuditVal,_xlfn.XLOOKUP($A61,My_Audit!$A:$A,My_Audit!F:F,""),
_xlfn.IFS(_xlpm.MyAuditVal&lt;&gt;"",_xlpm.MyAuditVal,_xlpm.MacVal&lt;&gt;"",_xlpm.MacVal,_xlpm.CSVVal&lt;&gt;"",PROPER(_xlpm.CSVVal)
)),"")</f>
        <v/>
      </c>
      <c r="H61" s="2" t="str" cm="1">
        <f t="array" ref="H61">IFERROR(_xlfn.LET(
_xlpm.CSVVal,_xlfn.XLOOKUP($A61,CSV!$A:$A,CSV!H:H,""),
_xlpm.MacVal,_xlfn.XLOOKUP($A61,Output_Mac!$A:$A,Output_Mac!H:H,""),
_xlpm.MyAuditVal,_xlfn.XLOOKUP($A61,My_Audit!$A:$A,My_Audit!G:G,""),
_xlfn.IFS(_xlpm.MyAuditVal&lt;&gt;"",_xlpm.MyAuditVal,_xlpm.MacVal&lt;&gt;"",_xlpm.MacVal,_xlpm.CSVVal&lt;&gt;"",_xlpm.CSVVal
)),"")</f>
        <v/>
      </c>
      <c r="I61" s="2" t="str">
        <f>_xlfn.XLOOKUP(A61,Output_Mac!A:A,Output_Mac!I:I,"")</f>
        <v/>
      </c>
      <c r="J61" s="2" t="str" cm="1">
        <f t="array" ref="J61">IFERROR(_xlfn.LET(
_xlpm.CSVVal,_xlfn.XLOOKUP($A61,CSV!$A:$A,CSV!I:I,""),
_xlpm.MacVal,_xlfn.XLOOKUP($A61,Output_Mac!$A:$A,Output_Mac!J:J,""),
_xlpm.MyAuditVal,_xlfn.XLOOKUP($A61,My_Audit!$A:$A,My_Audit!I:I,""),
_xlfn.IFS(_xlpm.MyAuditVal&lt;&gt;"",UPPER(_xlpm.MyAuditVal),_xlpm.MacVal&lt;&gt;"",_xlpm.MacVal,_xlpm.CSVVal&lt;&gt;"",_xlpm.CSVVal
)),"")</f>
        <v/>
      </c>
      <c r="K61" s="2" t="str" cm="1">
        <f t="array" ref="K61">IFERROR(_xlfn.LET(
_xlpm.CSVVal,_xlfn.XLOOKUP($A61,CSV!$A:$A,CSV!K:K,""),
_xlpm.MacVal,_xlfn.XLOOKUP($A61,Output_Mac!$A:$A,Output_Mac!K:K,""),
_xlpm.MyAuditVal,_xlfn.XLOOKUP($A61,My_Audit!$A:$A,My_Audit!J:J,""),
_xlfn.IFS(_xlpm.MyAuditVal&lt;&gt;"",UPPER(_xlpm.MyAuditVal),_xlpm.MacVal&lt;&gt;"",_xlpm.MacVal,_xlpm.CSVVal&lt;&gt;"",_xlpm.CSVVal
)),"")</f>
        <v/>
      </c>
      <c r="L61" s="2" t="str" cm="1">
        <f t="array" ref="L61">IFERROR(_xlfn.LET(
_xlpm.CSVVal,_xlfn.XLOOKUP($A61,CSV!$A:$A,CSV!P:P,""),
_xlpm.MacVal,_xlfn.XLOOKUP($A61,Output_Mac!$A:$A,Output_Mac!L:L,""),
_xlpm.MyAuditVal,_xlfn.XLOOKUP($A61,My_Audit!$A:$A,My_Audit!K:K,""),
_xlfn.IFS(_xlpm.MyAuditVal&lt;&gt;"",UPPER(_xlpm.MyAuditVal),_xlpm.MacVal&lt;&gt;"",_xlpm.MacVal,_xlpm.CSVVal&lt;&gt;"",_xlpm.CSVVal
)),"")</f>
        <v/>
      </c>
      <c r="M61" s="2" t="str" cm="1">
        <f t="array" ref="M61">IFERROR(_xlfn.LET(
_xlpm.CSVVal,_xlfn.XLOOKUP($A61,CSV!$A:$A,CSV!Q:Q,""),
_xlpm.MacVal,_xlfn.XLOOKUP($A61,Output_Mac!$A:$A,Output_Mac!M:M,""),
_xlpm.MyAuditVal,_xlfn.XLOOKUP($A61,My_Audit!$A:$A,My_Audit!L:L,""),
_xlfn.IFS(_xlpm.MyAuditVal&lt;&gt;"",UPPER(_xlpm.MyAuditVal),_xlpm.MacVal&lt;&gt;"",_xlpm.MacVal,_xlpm.CSVVal&lt;&gt;"",_xlpm.CSVVal
)),"")</f>
        <v/>
      </c>
      <c r="O61" s="2" t="str">
        <f>_xlfn.LET(
    _xlpm.CSVVal, _xlfn.XLOOKUP($A61, CSV!$A:$A, CSV!AA:AA, ""),
    _xlpm.MacVal, _xlfn.XLOOKUP($A61, Output_Mac!$A:$A, Output_Mac!S:S, ""),
    _xlpm.MyAuditVal, _xlfn.XLOOKUP($A61, My_Audit!$A:$A, My_Audit!P:P, ""),
    _xlfn.TEXTJOIN(", ", TRUE, _xlpm.MyAuditVal, _xlpm.MacVal, _xlpm.CSVVal)
)</f>
        <v/>
      </c>
      <c r="P61" s="2" t="str" cm="1">
        <f t="array" ref="P61">IFERROR(_xlfn.LET(
_xlpm.CSVVal,_xlfn.XLOOKUP($A61,CSV!$A:$A,CSV!AB:AB,""),
_xlpm.MacVal,_xlfn.XLOOKUP($A61,Output_Mac!$A:$A,Output_Mac!T:T,""),
_xlpm.MyAuditVal,_xlfn.XLOOKUP($A61,My_Audit!$A:$A,My_Audit!Q:Q,""),
_xlfn.IFS(_xlpm.MyAuditVal&lt;&gt;"",UPPER(_xlpm.MyAuditVal),_xlpm.MacVal&lt;&gt;"",_xlpm.MacVal,_xlpm.CSVVal&lt;&gt;"",_xlpm.CSVVal
)),"No")</f>
        <v>No</v>
      </c>
      <c r="Q61" s="2" t="str" cm="1">
        <f t="array" ref="Q61">IFERROR(_xlfn.LET(
_xlpm.CSVVal,_xlfn.XLOOKUP($A61,CSV!$A:$A,CSV!AC:AC,""),
_xlpm.MacVal,_xlfn.XLOOKUP($A61,Output_Mac!$A:$A,Output_Mac!U:U,""),
_xlpm.MyAuditVal,_xlfn.XLOOKUP($A61,My_Audit!$A:$A,My_Audit!R:R,""),
_xlfn.IFS(_xlpm.MyAuditVal&lt;&gt;"",UPPER(_xlpm.MyAuditVal),_xlpm.MacVal&lt;&gt;"",_xlpm.MacVal,_xlpm.CSVVal&lt;&gt;"",_xlpm.CSVVal
)),"")</f>
        <v/>
      </c>
      <c r="X61" t="str">
        <f>_xlfn.LET(
    _xlpm.MacVal, _xlfn.XLOOKUP($A61, Output_Mac!$A:$A, Output_Mac!AB:AB, ""),
    _xlpm.MyAuditVal, _xlfn.XLOOKUP($A61, My_Audit!$A:$A, My_Audit!N:N, ""),
    _xlfn.TEXTJOIN(", ", TRUE, _xlpm.MyAuditVal, _xlpm.MacVal)
)</f>
        <v/>
      </c>
    </row>
    <row r="62" spans="1:24">
      <c r="A62" s="2" t="str">
        <f>_xlfn.TEXTJOIN("",TRUE,Input!$B$2,ROW(My_Audit!A61))</f>
        <v>X61</v>
      </c>
      <c r="B62" s="2" t="str">
        <f>_xlfn.TEXTJOIN("-",TRUE,"ITD",Input!$A$2,A62)</f>
        <v>ITD-SHR-X61</v>
      </c>
      <c r="C62" s="2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2" t="str" cm="1">
        <f t="array" ref="D62">IFERROR(_xlfn.LET(
_xlpm.CSVVal,_xlfn.XLOOKUP($A62,CSV!$A:$A,CSV!D:D,""),
_xlpm.MacVal,_xlfn.XLOOKUP($A62,Output_Mac!$A:$A,Output_Mac!C:C,""),
_xlpm.MyAuditVal,_xlfn.XLOOKUP($A62,My_Audit!$A:$A,My_Audit!C:C,""),
_xlfn.IFS(_xlpm.MyAuditVal&lt;&gt;"",_xlpm.MyAuditVal,_xlpm.MacVal&lt;&gt;"",_xlpm.MacVal,_xlpm.CSVVal&lt;&gt;"",_xlpm.CSVVal
)),"")</f>
        <v/>
      </c>
      <c r="E62" s="2">
        <f>_xlfn.XLOOKUP(A62,My_Audit!A:A,My_Audit!D:D,"")</f>
        <v>0</v>
      </c>
      <c r="F62" s="2" t="str" cm="1">
        <f t="array" ref="F62">IFERROR(_xlfn.LET(
_xlpm.CSVVal,_xlfn.XLOOKUP($A62,CSV!$A:$A,CSV!F:F,""),
_xlpm.MacVal,_xlfn.XLOOKUP($A62,Output_Mac!$A:$A,Output_Mac!E:E,""),
_xlpm.MyAuditVal,_xlfn.XLOOKUP($A62,My_Audit!$A:$A,My_Audit!E:E,""),
_xlfn.IFS(_xlpm.MyAuditVal&lt;&gt;"",_xlpm.MyAuditVal,_xlpm.MacVal&lt;&gt;"",_xlpm.MacVal,_xlpm.CSVVal&lt;&gt;"",_xlpm.CSVVal
)),"")</f>
        <v/>
      </c>
      <c r="G62" s="2" t="str" cm="1">
        <f t="array" ref="G62">IFERROR(_xlfn.LET(
_xlpm.CSVVal,_xlfn.XLOOKUP($A62,CSV!$A:$A,CSV!G:G,""),
_xlpm.MacVal,_xlfn.XLOOKUP($A62,Output_Mac!$A:$A,Output_Mac!F:F,""),
_xlpm.MyAuditVal,_xlfn.XLOOKUP($A62,My_Audit!$A:$A,My_Audit!F:F,""),
_xlfn.IFS(_xlpm.MyAuditVal&lt;&gt;"",_xlpm.MyAuditVal,_xlpm.MacVal&lt;&gt;"",_xlpm.MacVal,_xlpm.CSVVal&lt;&gt;"",PROPER(_xlpm.CSVVal)
)),"")</f>
        <v/>
      </c>
      <c r="H62" s="2" t="str" cm="1">
        <f t="array" ref="H62">IFERROR(_xlfn.LET(
_xlpm.CSVVal,_xlfn.XLOOKUP($A62,CSV!$A:$A,CSV!H:H,""),
_xlpm.MacVal,_xlfn.XLOOKUP($A62,Output_Mac!$A:$A,Output_Mac!H:H,""),
_xlpm.MyAuditVal,_xlfn.XLOOKUP($A62,My_Audit!$A:$A,My_Audit!G:G,""),
_xlfn.IFS(_xlpm.MyAuditVal&lt;&gt;"",_xlpm.MyAuditVal,_xlpm.MacVal&lt;&gt;"",_xlpm.MacVal,_xlpm.CSVVal&lt;&gt;"",_xlpm.CSVVal
)),"")</f>
        <v/>
      </c>
      <c r="I62" s="2" t="str">
        <f>_xlfn.XLOOKUP(A62,Output_Mac!A:A,Output_Mac!I:I,"")</f>
        <v/>
      </c>
      <c r="J62" s="2" t="str" cm="1">
        <f t="array" ref="J62">IFERROR(_xlfn.LET(
_xlpm.CSVVal,_xlfn.XLOOKUP($A62,CSV!$A:$A,CSV!I:I,""),
_xlpm.MacVal,_xlfn.XLOOKUP($A62,Output_Mac!$A:$A,Output_Mac!J:J,""),
_xlpm.MyAuditVal,_xlfn.XLOOKUP($A62,My_Audit!$A:$A,My_Audit!I:I,""),
_xlfn.IFS(_xlpm.MyAuditVal&lt;&gt;"",UPPER(_xlpm.MyAuditVal),_xlpm.MacVal&lt;&gt;"",_xlpm.MacVal,_xlpm.CSVVal&lt;&gt;"",_xlpm.CSVVal
)),"")</f>
        <v/>
      </c>
      <c r="K62" s="2" t="str" cm="1">
        <f t="array" ref="K62">IFERROR(_xlfn.LET(
_xlpm.CSVVal,_xlfn.XLOOKUP($A62,CSV!$A:$A,CSV!K:K,""),
_xlpm.MacVal,_xlfn.XLOOKUP($A62,Output_Mac!$A:$A,Output_Mac!K:K,""),
_xlpm.MyAuditVal,_xlfn.XLOOKUP($A62,My_Audit!$A:$A,My_Audit!J:J,""),
_xlfn.IFS(_xlpm.MyAuditVal&lt;&gt;"",UPPER(_xlpm.MyAuditVal),_xlpm.MacVal&lt;&gt;"",_xlpm.MacVal,_xlpm.CSVVal&lt;&gt;"",_xlpm.CSVVal
)),"")</f>
        <v/>
      </c>
      <c r="L62" s="2" t="str" cm="1">
        <f t="array" ref="L62">IFERROR(_xlfn.LET(
_xlpm.CSVVal,_xlfn.XLOOKUP($A62,CSV!$A:$A,CSV!P:P,""),
_xlpm.MacVal,_xlfn.XLOOKUP($A62,Output_Mac!$A:$A,Output_Mac!L:L,""),
_xlpm.MyAuditVal,_xlfn.XLOOKUP($A62,My_Audit!$A:$A,My_Audit!K:K,""),
_xlfn.IFS(_xlpm.MyAuditVal&lt;&gt;"",UPPER(_xlpm.MyAuditVal),_xlpm.MacVal&lt;&gt;"",_xlpm.MacVal,_xlpm.CSVVal&lt;&gt;"",_xlpm.CSVVal
)),"")</f>
        <v/>
      </c>
      <c r="M62" s="2" t="str" cm="1">
        <f t="array" ref="M62">IFERROR(_xlfn.LET(
_xlpm.CSVVal,_xlfn.XLOOKUP($A62,CSV!$A:$A,CSV!Q:Q,""),
_xlpm.MacVal,_xlfn.XLOOKUP($A62,Output_Mac!$A:$A,Output_Mac!M:M,""),
_xlpm.MyAuditVal,_xlfn.XLOOKUP($A62,My_Audit!$A:$A,My_Audit!L:L,""),
_xlfn.IFS(_xlpm.MyAuditVal&lt;&gt;"",UPPER(_xlpm.MyAuditVal),_xlpm.MacVal&lt;&gt;"",_xlpm.MacVal,_xlpm.CSVVal&lt;&gt;"",_xlpm.CSVVal
)),"")</f>
        <v/>
      </c>
      <c r="O62" s="2" t="str">
        <f>_xlfn.LET(
    _xlpm.CSVVal, _xlfn.XLOOKUP($A62, CSV!$A:$A, CSV!AA:AA, ""),
    _xlpm.MacVal, _xlfn.XLOOKUP($A62, Output_Mac!$A:$A, Output_Mac!S:S, ""),
    _xlpm.MyAuditVal, _xlfn.XLOOKUP($A62, My_Audit!$A:$A, My_Audit!P:P, ""),
    _xlfn.TEXTJOIN(", ", TRUE, _xlpm.MyAuditVal, _xlpm.MacVal, _xlpm.CSVVal)
)</f>
        <v/>
      </c>
      <c r="P62" s="2" t="str" cm="1">
        <f t="array" ref="P62">IFERROR(_xlfn.LET(
_xlpm.CSVVal,_xlfn.XLOOKUP($A62,CSV!$A:$A,CSV!AB:AB,""),
_xlpm.MacVal,_xlfn.XLOOKUP($A62,Output_Mac!$A:$A,Output_Mac!T:T,""),
_xlpm.MyAuditVal,_xlfn.XLOOKUP($A62,My_Audit!$A:$A,My_Audit!Q:Q,""),
_xlfn.IFS(_xlpm.MyAuditVal&lt;&gt;"",UPPER(_xlpm.MyAuditVal),_xlpm.MacVal&lt;&gt;"",_xlpm.MacVal,_xlpm.CSVVal&lt;&gt;"",_xlpm.CSVVal
)),"No")</f>
        <v>No</v>
      </c>
      <c r="Q62" s="2" t="str" cm="1">
        <f t="array" ref="Q62">IFERROR(_xlfn.LET(
_xlpm.CSVVal,_xlfn.XLOOKUP($A62,CSV!$A:$A,CSV!AC:AC,""),
_xlpm.MacVal,_xlfn.XLOOKUP($A62,Output_Mac!$A:$A,Output_Mac!U:U,""),
_xlpm.MyAuditVal,_xlfn.XLOOKUP($A62,My_Audit!$A:$A,My_Audit!R:R,""),
_xlfn.IFS(_xlpm.MyAuditVal&lt;&gt;"",UPPER(_xlpm.MyAuditVal),_xlpm.MacVal&lt;&gt;"",_xlpm.MacVal,_xlpm.CSVVal&lt;&gt;"",_xlpm.CSVVal
)),"")</f>
        <v/>
      </c>
      <c r="X62" t="str">
        <f>_xlfn.LET(
    _xlpm.MacVal, _xlfn.XLOOKUP($A62, Output_Mac!$A:$A, Output_Mac!AB:AB, ""),
    _xlpm.MyAuditVal, _xlfn.XLOOKUP($A62, My_Audit!$A:$A, My_Audit!N:N, ""),
    _xlfn.TEXTJOIN(", ", TRUE, _xlpm.MyAuditVal, _xlpm.MacVal)
)</f>
        <v/>
      </c>
    </row>
    <row r="63" spans="1:24">
      <c r="A63" s="2" t="str">
        <f>_xlfn.TEXTJOIN("",TRUE,Input!$B$2,ROW(My_Audit!A62))</f>
        <v>X62</v>
      </c>
      <c r="B63" s="2" t="str">
        <f>_xlfn.TEXTJOIN("-",TRUE,"ITD",Input!$A$2,A63)</f>
        <v>ITD-SHR-X62</v>
      </c>
      <c r="C63" s="2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2" t="str" cm="1">
        <f t="array" ref="D63">IFERROR(_xlfn.LET(
_xlpm.CSVVal,_xlfn.XLOOKUP($A63,CSV!$A:$A,CSV!D:D,""),
_xlpm.MacVal,_xlfn.XLOOKUP($A63,Output_Mac!$A:$A,Output_Mac!C:C,""),
_xlpm.MyAuditVal,_xlfn.XLOOKUP($A63,My_Audit!$A:$A,My_Audit!C:C,""),
_xlfn.IFS(_xlpm.MyAuditVal&lt;&gt;"",_xlpm.MyAuditVal,_xlpm.MacVal&lt;&gt;"",_xlpm.MacVal,_xlpm.CSVVal&lt;&gt;"",_xlpm.CSVVal
)),"")</f>
        <v/>
      </c>
      <c r="E63" s="2">
        <f>_xlfn.XLOOKUP(A63,My_Audit!A:A,My_Audit!D:D,"")</f>
        <v>0</v>
      </c>
      <c r="F63" s="2" t="str" cm="1">
        <f t="array" ref="F63">IFERROR(_xlfn.LET(
_xlpm.CSVVal,_xlfn.XLOOKUP($A63,CSV!$A:$A,CSV!F:F,""),
_xlpm.MacVal,_xlfn.XLOOKUP($A63,Output_Mac!$A:$A,Output_Mac!E:E,""),
_xlpm.MyAuditVal,_xlfn.XLOOKUP($A63,My_Audit!$A:$A,My_Audit!E:E,""),
_xlfn.IFS(_xlpm.MyAuditVal&lt;&gt;"",_xlpm.MyAuditVal,_xlpm.MacVal&lt;&gt;"",_xlpm.MacVal,_xlpm.CSVVal&lt;&gt;"",_xlpm.CSVVal
)),"")</f>
        <v/>
      </c>
      <c r="G63" s="2" t="str" cm="1">
        <f t="array" ref="G63">IFERROR(_xlfn.LET(
_xlpm.CSVVal,_xlfn.XLOOKUP($A63,CSV!$A:$A,CSV!G:G,""),
_xlpm.MacVal,_xlfn.XLOOKUP($A63,Output_Mac!$A:$A,Output_Mac!F:F,""),
_xlpm.MyAuditVal,_xlfn.XLOOKUP($A63,My_Audit!$A:$A,My_Audit!F:F,""),
_xlfn.IFS(_xlpm.MyAuditVal&lt;&gt;"",_xlpm.MyAuditVal,_xlpm.MacVal&lt;&gt;"",_xlpm.MacVal,_xlpm.CSVVal&lt;&gt;"",PROPER(_xlpm.CSVVal)
)),"")</f>
        <v/>
      </c>
      <c r="H63" s="2" t="str" cm="1">
        <f t="array" ref="H63">IFERROR(_xlfn.LET(
_xlpm.CSVVal,_xlfn.XLOOKUP($A63,CSV!$A:$A,CSV!H:H,""),
_xlpm.MacVal,_xlfn.XLOOKUP($A63,Output_Mac!$A:$A,Output_Mac!H:H,""),
_xlpm.MyAuditVal,_xlfn.XLOOKUP($A63,My_Audit!$A:$A,My_Audit!G:G,""),
_xlfn.IFS(_xlpm.MyAuditVal&lt;&gt;"",_xlpm.MyAuditVal,_xlpm.MacVal&lt;&gt;"",_xlpm.MacVal,_xlpm.CSVVal&lt;&gt;"",_xlpm.CSVVal
)),"")</f>
        <v/>
      </c>
      <c r="I63" s="2" t="str">
        <f>_xlfn.XLOOKUP(A63,Output_Mac!A:A,Output_Mac!I:I,"")</f>
        <v/>
      </c>
      <c r="J63" s="2" t="str" cm="1">
        <f t="array" ref="J63">IFERROR(_xlfn.LET(
_xlpm.CSVVal,_xlfn.XLOOKUP($A63,CSV!$A:$A,CSV!I:I,""),
_xlpm.MacVal,_xlfn.XLOOKUP($A63,Output_Mac!$A:$A,Output_Mac!J:J,""),
_xlpm.MyAuditVal,_xlfn.XLOOKUP($A63,My_Audit!$A:$A,My_Audit!I:I,""),
_xlfn.IFS(_xlpm.MyAuditVal&lt;&gt;"",UPPER(_xlpm.MyAuditVal),_xlpm.MacVal&lt;&gt;"",_xlpm.MacVal,_xlpm.CSVVal&lt;&gt;"",_xlpm.CSVVal
)),"")</f>
        <v/>
      </c>
      <c r="K63" s="2" t="str" cm="1">
        <f t="array" ref="K63">IFERROR(_xlfn.LET(
_xlpm.CSVVal,_xlfn.XLOOKUP($A63,CSV!$A:$A,CSV!K:K,""),
_xlpm.MacVal,_xlfn.XLOOKUP($A63,Output_Mac!$A:$A,Output_Mac!K:K,""),
_xlpm.MyAuditVal,_xlfn.XLOOKUP($A63,My_Audit!$A:$A,My_Audit!J:J,""),
_xlfn.IFS(_xlpm.MyAuditVal&lt;&gt;"",UPPER(_xlpm.MyAuditVal),_xlpm.MacVal&lt;&gt;"",_xlpm.MacVal,_xlpm.CSVVal&lt;&gt;"",_xlpm.CSVVal
)),"")</f>
        <v/>
      </c>
      <c r="L63" s="2" t="str" cm="1">
        <f t="array" ref="L63">IFERROR(_xlfn.LET(
_xlpm.CSVVal,_xlfn.XLOOKUP($A63,CSV!$A:$A,CSV!P:P,""),
_xlpm.MacVal,_xlfn.XLOOKUP($A63,Output_Mac!$A:$A,Output_Mac!L:L,""),
_xlpm.MyAuditVal,_xlfn.XLOOKUP($A63,My_Audit!$A:$A,My_Audit!K:K,""),
_xlfn.IFS(_xlpm.MyAuditVal&lt;&gt;"",UPPER(_xlpm.MyAuditVal),_xlpm.MacVal&lt;&gt;"",_xlpm.MacVal,_xlpm.CSVVal&lt;&gt;"",_xlpm.CSVVal
)),"")</f>
        <v/>
      </c>
      <c r="M63" s="2" t="str" cm="1">
        <f t="array" ref="M63">IFERROR(_xlfn.LET(
_xlpm.CSVVal,_xlfn.XLOOKUP($A63,CSV!$A:$A,CSV!Q:Q,""),
_xlpm.MacVal,_xlfn.XLOOKUP($A63,Output_Mac!$A:$A,Output_Mac!M:M,""),
_xlpm.MyAuditVal,_xlfn.XLOOKUP($A63,My_Audit!$A:$A,My_Audit!L:L,""),
_xlfn.IFS(_xlpm.MyAuditVal&lt;&gt;"",UPPER(_xlpm.MyAuditVal),_xlpm.MacVal&lt;&gt;"",_xlpm.MacVal,_xlpm.CSVVal&lt;&gt;"",_xlpm.CSVVal
)),"")</f>
        <v/>
      </c>
      <c r="O63" s="2" t="str">
        <f>_xlfn.LET(
    _xlpm.CSVVal, _xlfn.XLOOKUP($A63, CSV!$A:$A, CSV!AA:AA, ""),
    _xlpm.MacVal, _xlfn.XLOOKUP($A63, Output_Mac!$A:$A, Output_Mac!S:S, ""),
    _xlpm.MyAuditVal, _xlfn.XLOOKUP($A63, My_Audit!$A:$A, My_Audit!P:P, ""),
    _xlfn.TEXTJOIN(", ", TRUE, _xlpm.MyAuditVal, _xlpm.MacVal, _xlpm.CSVVal)
)</f>
        <v/>
      </c>
      <c r="P63" s="2" t="str" cm="1">
        <f t="array" ref="P63">IFERROR(_xlfn.LET(
_xlpm.CSVVal,_xlfn.XLOOKUP($A63,CSV!$A:$A,CSV!AB:AB,""),
_xlpm.MacVal,_xlfn.XLOOKUP($A63,Output_Mac!$A:$A,Output_Mac!T:T,""),
_xlpm.MyAuditVal,_xlfn.XLOOKUP($A63,My_Audit!$A:$A,My_Audit!Q:Q,""),
_xlfn.IFS(_xlpm.MyAuditVal&lt;&gt;"",UPPER(_xlpm.MyAuditVal),_xlpm.MacVal&lt;&gt;"",_xlpm.MacVal,_xlpm.CSVVal&lt;&gt;"",_xlpm.CSVVal
)),"No")</f>
        <v>No</v>
      </c>
      <c r="Q63" s="2" t="str" cm="1">
        <f t="array" ref="Q63">IFERROR(_xlfn.LET(
_xlpm.CSVVal,_xlfn.XLOOKUP($A63,CSV!$A:$A,CSV!AC:AC,""),
_xlpm.MacVal,_xlfn.XLOOKUP($A63,Output_Mac!$A:$A,Output_Mac!U:U,""),
_xlpm.MyAuditVal,_xlfn.XLOOKUP($A63,My_Audit!$A:$A,My_Audit!R:R,""),
_xlfn.IFS(_xlpm.MyAuditVal&lt;&gt;"",UPPER(_xlpm.MyAuditVal),_xlpm.MacVal&lt;&gt;"",_xlpm.MacVal,_xlpm.CSVVal&lt;&gt;"",_xlpm.CSVVal
)),"")</f>
        <v/>
      </c>
      <c r="X63" t="str">
        <f>_xlfn.LET(
    _xlpm.MacVal, _xlfn.XLOOKUP($A63, Output_Mac!$A:$A, Output_Mac!AB:AB, ""),
    _xlpm.MyAuditVal, _xlfn.XLOOKUP($A63, My_Audit!$A:$A, My_Audit!N:N, ""),
    _xlfn.TEXTJOIN(", ", TRUE, _xlpm.MyAuditVal, _xlpm.MacVal)
)</f>
        <v/>
      </c>
    </row>
    <row r="64" spans="1:24">
      <c r="A64" s="2" t="str">
        <f>_xlfn.TEXTJOIN("",TRUE,Input!$B$2,ROW(My_Audit!A63))</f>
        <v>X63</v>
      </c>
      <c r="B64" s="2" t="str">
        <f>_xlfn.TEXTJOIN("-",TRUE,"ITD",Input!$A$2,A64)</f>
        <v>ITD-SHR-X63</v>
      </c>
      <c r="C64" s="2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2" t="str" cm="1">
        <f t="array" ref="D64">IFERROR(_xlfn.LET(
_xlpm.CSVVal,_xlfn.XLOOKUP($A64,CSV!$A:$A,CSV!D:D,""),
_xlpm.MacVal,_xlfn.XLOOKUP($A64,Output_Mac!$A:$A,Output_Mac!C:C,""),
_xlpm.MyAuditVal,_xlfn.XLOOKUP($A64,My_Audit!$A:$A,My_Audit!C:C,""),
_xlfn.IFS(_xlpm.MyAuditVal&lt;&gt;"",_xlpm.MyAuditVal,_xlpm.MacVal&lt;&gt;"",_xlpm.MacVal,_xlpm.CSVVal&lt;&gt;"",_xlpm.CSVVal
)),"")</f>
        <v/>
      </c>
      <c r="E64" s="2">
        <f>_xlfn.XLOOKUP(A64,My_Audit!A:A,My_Audit!D:D,"")</f>
        <v>0</v>
      </c>
      <c r="F64" s="2" t="str" cm="1">
        <f t="array" ref="F64">IFERROR(_xlfn.LET(
_xlpm.CSVVal,_xlfn.XLOOKUP($A64,CSV!$A:$A,CSV!F:F,""),
_xlpm.MacVal,_xlfn.XLOOKUP($A64,Output_Mac!$A:$A,Output_Mac!E:E,""),
_xlpm.MyAuditVal,_xlfn.XLOOKUP($A64,My_Audit!$A:$A,My_Audit!E:E,""),
_xlfn.IFS(_xlpm.MyAuditVal&lt;&gt;"",_xlpm.MyAuditVal,_xlpm.MacVal&lt;&gt;"",_xlpm.MacVal,_xlpm.CSVVal&lt;&gt;"",_xlpm.CSVVal
)),"")</f>
        <v/>
      </c>
      <c r="G64" s="2" t="str" cm="1">
        <f t="array" ref="G64">IFERROR(_xlfn.LET(
_xlpm.CSVVal,_xlfn.XLOOKUP($A64,CSV!$A:$A,CSV!G:G,""),
_xlpm.MacVal,_xlfn.XLOOKUP($A64,Output_Mac!$A:$A,Output_Mac!F:F,""),
_xlpm.MyAuditVal,_xlfn.XLOOKUP($A64,My_Audit!$A:$A,My_Audit!F:F,""),
_xlfn.IFS(_xlpm.MyAuditVal&lt;&gt;"",_xlpm.MyAuditVal,_xlpm.MacVal&lt;&gt;"",_xlpm.MacVal,_xlpm.CSVVal&lt;&gt;"",PROPER(_xlpm.CSVVal)
)),"")</f>
        <v/>
      </c>
      <c r="H64" s="2" t="str" cm="1">
        <f t="array" ref="H64">IFERROR(_xlfn.LET(
_xlpm.CSVVal,_xlfn.XLOOKUP($A64,CSV!$A:$A,CSV!H:H,""),
_xlpm.MacVal,_xlfn.XLOOKUP($A64,Output_Mac!$A:$A,Output_Mac!H:H,""),
_xlpm.MyAuditVal,_xlfn.XLOOKUP($A64,My_Audit!$A:$A,My_Audit!G:G,""),
_xlfn.IFS(_xlpm.MyAuditVal&lt;&gt;"",_xlpm.MyAuditVal,_xlpm.MacVal&lt;&gt;"",_xlpm.MacVal,_xlpm.CSVVal&lt;&gt;"",_xlpm.CSVVal
)),"")</f>
        <v/>
      </c>
      <c r="I64" s="2" t="str">
        <f>_xlfn.XLOOKUP(A64,Output_Mac!A:A,Output_Mac!I:I,"")</f>
        <v/>
      </c>
      <c r="J64" s="2" t="str" cm="1">
        <f t="array" ref="J64">IFERROR(_xlfn.LET(
_xlpm.CSVVal,_xlfn.XLOOKUP($A64,CSV!$A:$A,CSV!I:I,""),
_xlpm.MacVal,_xlfn.XLOOKUP($A64,Output_Mac!$A:$A,Output_Mac!J:J,""),
_xlpm.MyAuditVal,_xlfn.XLOOKUP($A64,My_Audit!$A:$A,My_Audit!I:I,""),
_xlfn.IFS(_xlpm.MyAuditVal&lt;&gt;"",UPPER(_xlpm.MyAuditVal),_xlpm.MacVal&lt;&gt;"",_xlpm.MacVal,_xlpm.CSVVal&lt;&gt;"",_xlpm.CSVVal
)),"")</f>
        <v/>
      </c>
      <c r="K64" s="2" t="str" cm="1">
        <f t="array" ref="K64">IFERROR(_xlfn.LET(
_xlpm.CSVVal,_xlfn.XLOOKUP($A64,CSV!$A:$A,CSV!K:K,""),
_xlpm.MacVal,_xlfn.XLOOKUP($A64,Output_Mac!$A:$A,Output_Mac!K:K,""),
_xlpm.MyAuditVal,_xlfn.XLOOKUP($A64,My_Audit!$A:$A,My_Audit!J:J,""),
_xlfn.IFS(_xlpm.MyAuditVal&lt;&gt;"",UPPER(_xlpm.MyAuditVal),_xlpm.MacVal&lt;&gt;"",_xlpm.MacVal,_xlpm.CSVVal&lt;&gt;"",_xlpm.CSVVal
)),"")</f>
        <v/>
      </c>
      <c r="L64" s="2" t="str" cm="1">
        <f t="array" ref="L64">IFERROR(_xlfn.LET(
_xlpm.CSVVal,_xlfn.XLOOKUP($A64,CSV!$A:$A,CSV!P:P,""),
_xlpm.MacVal,_xlfn.XLOOKUP($A64,Output_Mac!$A:$A,Output_Mac!L:L,""),
_xlpm.MyAuditVal,_xlfn.XLOOKUP($A64,My_Audit!$A:$A,My_Audit!K:K,""),
_xlfn.IFS(_xlpm.MyAuditVal&lt;&gt;"",UPPER(_xlpm.MyAuditVal),_xlpm.MacVal&lt;&gt;"",_xlpm.MacVal,_xlpm.CSVVal&lt;&gt;"",_xlpm.CSVVal
)),"")</f>
        <v/>
      </c>
      <c r="M64" s="2" t="str" cm="1">
        <f t="array" ref="M64">IFERROR(_xlfn.LET(
_xlpm.CSVVal,_xlfn.XLOOKUP($A64,CSV!$A:$A,CSV!Q:Q,""),
_xlpm.MacVal,_xlfn.XLOOKUP($A64,Output_Mac!$A:$A,Output_Mac!M:M,""),
_xlpm.MyAuditVal,_xlfn.XLOOKUP($A64,My_Audit!$A:$A,My_Audit!L:L,""),
_xlfn.IFS(_xlpm.MyAuditVal&lt;&gt;"",UPPER(_xlpm.MyAuditVal),_xlpm.MacVal&lt;&gt;"",_xlpm.MacVal,_xlpm.CSVVal&lt;&gt;"",_xlpm.CSVVal
)),"")</f>
        <v/>
      </c>
      <c r="O64" s="2" t="str">
        <f>_xlfn.LET(
    _xlpm.CSVVal, _xlfn.XLOOKUP($A64, CSV!$A:$A, CSV!AA:AA, ""),
    _xlpm.MacVal, _xlfn.XLOOKUP($A64, Output_Mac!$A:$A, Output_Mac!S:S, ""),
    _xlpm.MyAuditVal, _xlfn.XLOOKUP($A64, My_Audit!$A:$A, My_Audit!P:P, ""),
    _xlfn.TEXTJOIN(", ", TRUE, _xlpm.MyAuditVal, _xlpm.MacVal, _xlpm.CSVVal)
)</f>
        <v/>
      </c>
      <c r="P64" s="2" t="str" cm="1">
        <f t="array" ref="P64">IFERROR(_xlfn.LET(
_xlpm.CSVVal,_xlfn.XLOOKUP($A64,CSV!$A:$A,CSV!AB:AB,""),
_xlpm.MacVal,_xlfn.XLOOKUP($A64,Output_Mac!$A:$A,Output_Mac!T:T,""),
_xlpm.MyAuditVal,_xlfn.XLOOKUP($A64,My_Audit!$A:$A,My_Audit!Q:Q,""),
_xlfn.IFS(_xlpm.MyAuditVal&lt;&gt;"",UPPER(_xlpm.MyAuditVal),_xlpm.MacVal&lt;&gt;"",_xlpm.MacVal,_xlpm.CSVVal&lt;&gt;"",_xlpm.CSVVal
)),"No")</f>
        <v>No</v>
      </c>
      <c r="Q64" s="2" t="str" cm="1">
        <f t="array" ref="Q64">IFERROR(_xlfn.LET(
_xlpm.CSVVal,_xlfn.XLOOKUP($A64,CSV!$A:$A,CSV!AC:AC,""),
_xlpm.MacVal,_xlfn.XLOOKUP($A64,Output_Mac!$A:$A,Output_Mac!U:U,""),
_xlpm.MyAuditVal,_xlfn.XLOOKUP($A64,My_Audit!$A:$A,My_Audit!R:R,""),
_xlfn.IFS(_xlpm.MyAuditVal&lt;&gt;"",UPPER(_xlpm.MyAuditVal),_xlpm.MacVal&lt;&gt;"",_xlpm.MacVal,_xlpm.CSVVal&lt;&gt;"",_xlpm.CSVVal
)),"")</f>
        <v/>
      </c>
      <c r="X64" t="str">
        <f>_xlfn.LET(
    _xlpm.MacVal, _xlfn.XLOOKUP($A64, Output_Mac!$A:$A, Output_Mac!AB:AB, ""),
    _xlpm.MyAuditVal, _xlfn.XLOOKUP($A64, My_Audit!$A:$A, My_Audit!N:N, ""),
    _xlfn.TEXTJOIN(", ", TRUE, _xlpm.MyAuditVal, _xlpm.MacVal)
)</f>
        <v/>
      </c>
    </row>
    <row r="65" spans="1:24">
      <c r="A65" s="2" t="str">
        <f>_xlfn.TEXTJOIN("",TRUE,Input!$B$2,ROW(My_Audit!A64))</f>
        <v>X64</v>
      </c>
      <c r="B65" s="2" t="str">
        <f>_xlfn.TEXTJOIN("-",TRUE,"ITD",Input!$A$2,A65)</f>
        <v>ITD-SHR-X64</v>
      </c>
      <c r="C65" s="2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2" t="str" cm="1">
        <f t="array" ref="D65">IFERROR(_xlfn.LET(
_xlpm.CSVVal,_xlfn.XLOOKUP($A65,CSV!$A:$A,CSV!D:D,""),
_xlpm.MacVal,_xlfn.XLOOKUP($A65,Output_Mac!$A:$A,Output_Mac!C:C,""),
_xlpm.MyAuditVal,_xlfn.XLOOKUP($A65,My_Audit!$A:$A,My_Audit!C:C,""),
_xlfn.IFS(_xlpm.MyAuditVal&lt;&gt;"",_xlpm.MyAuditVal,_xlpm.MacVal&lt;&gt;"",_xlpm.MacVal,_xlpm.CSVVal&lt;&gt;"",_xlpm.CSVVal
)),"")</f>
        <v/>
      </c>
      <c r="E65" s="2">
        <f>_xlfn.XLOOKUP(A65,My_Audit!A:A,My_Audit!D:D,"")</f>
        <v>0</v>
      </c>
      <c r="F65" s="2" t="str" cm="1">
        <f t="array" ref="F65">IFERROR(_xlfn.LET(
_xlpm.CSVVal,_xlfn.XLOOKUP($A65,CSV!$A:$A,CSV!F:F,""),
_xlpm.MacVal,_xlfn.XLOOKUP($A65,Output_Mac!$A:$A,Output_Mac!E:E,""),
_xlpm.MyAuditVal,_xlfn.XLOOKUP($A65,My_Audit!$A:$A,My_Audit!E:E,""),
_xlfn.IFS(_xlpm.MyAuditVal&lt;&gt;"",_xlpm.MyAuditVal,_xlpm.MacVal&lt;&gt;"",_xlpm.MacVal,_xlpm.CSVVal&lt;&gt;"",_xlpm.CSVVal
)),"")</f>
        <v/>
      </c>
      <c r="G65" s="2" t="str" cm="1">
        <f t="array" ref="G65">IFERROR(_xlfn.LET(
_xlpm.CSVVal,_xlfn.XLOOKUP($A65,CSV!$A:$A,CSV!G:G,""),
_xlpm.MacVal,_xlfn.XLOOKUP($A65,Output_Mac!$A:$A,Output_Mac!F:F,""),
_xlpm.MyAuditVal,_xlfn.XLOOKUP($A65,My_Audit!$A:$A,My_Audit!F:F,""),
_xlfn.IFS(_xlpm.MyAuditVal&lt;&gt;"",_xlpm.MyAuditVal,_xlpm.MacVal&lt;&gt;"",_xlpm.MacVal,_xlpm.CSVVal&lt;&gt;"",PROPER(_xlpm.CSVVal)
)),"")</f>
        <v/>
      </c>
      <c r="H65" s="2" t="str" cm="1">
        <f t="array" ref="H65">IFERROR(_xlfn.LET(
_xlpm.CSVVal,_xlfn.XLOOKUP($A65,CSV!$A:$A,CSV!H:H,""),
_xlpm.MacVal,_xlfn.XLOOKUP($A65,Output_Mac!$A:$A,Output_Mac!H:H,""),
_xlpm.MyAuditVal,_xlfn.XLOOKUP($A65,My_Audit!$A:$A,My_Audit!G:G,""),
_xlfn.IFS(_xlpm.MyAuditVal&lt;&gt;"",_xlpm.MyAuditVal,_xlpm.MacVal&lt;&gt;"",_xlpm.MacVal,_xlpm.CSVVal&lt;&gt;"",_xlpm.CSVVal
)),"")</f>
        <v/>
      </c>
      <c r="I65" s="2" t="str">
        <f>_xlfn.XLOOKUP(A65,Output_Mac!A:A,Output_Mac!I:I,"")</f>
        <v/>
      </c>
      <c r="J65" s="2" t="str" cm="1">
        <f t="array" ref="J65">IFERROR(_xlfn.LET(
_xlpm.CSVVal,_xlfn.XLOOKUP($A65,CSV!$A:$A,CSV!I:I,""),
_xlpm.MacVal,_xlfn.XLOOKUP($A65,Output_Mac!$A:$A,Output_Mac!J:J,""),
_xlpm.MyAuditVal,_xlfn.XLOOKUP($A65,My_Audit!$A:$A,My_Audit!I:I,""),
_xlfn.IFS(_xlpm.MyAuditVal&lt;&gt;"",UPPER(_xlpm.MyAuditVal),_xlpm.MacVal&lt;&gt;"",_xlpm.MacVal,_xlpm.CSVVal&lt;&gt;"",_xlpm.CSVVal
)),"")</f>
        <v/>
      </c>
      <c r="K65" s="2" t="str" cm="1">
        <f t="array" ref="K65">IFERROR(_xlfn.LET(
_xlpm.CSVVal,_xlfn.XLOOKUP($A65,CSV!$A:$A,CSV!K:K,""),
_xlpm.MacVal,_xlfn.XLOOKUP($A65,Output_Mac!$A:$A,Output_Mac!K:K,""),
_xlpm.MyAuditVal,_xlfn.XLOOKUP($A65,My_Audit!$A:$A,My_Audit!J:J,""),
_xlfn.IFS(_xlpm.MyAuditVal&lt;&gt;"",UPPER(_xlpm.MyAuditVal),_xlpm.MacVal&lt;&gt;"",_xlpm.MacVal,_xlpm.CSVVal&lt;&gt;"",_xlpm.CSVVal
)),"")</f>
        <v/>
      </c>
      <c r="L65" s="2" t="str" cm="1">
        <f t="array" ref="L65">IFERROR(_xlfn.LET(
_xlpm.CSVVal,_xlfn.XLOOKUP($A65,CSV!$A:$A,CSV!P:P,""),
_xlpm.MacVal,_xlfn.XLOOKUP($A65,Output_Mac!$A:$A,Output_Mac!L:L,""),
_xlpm.MyAuditVal,_xlfn.XLOOKUP($A65,My_Audit!$A:$A,My_Audit!K:K,""),
_xlfn.IFS(_xlpm.MyAuditVal&lt;&gt;"",UPPER(_xlpm.MyAuditVal),_xlpm.MacVal&lt;&gt;"",_xlpm.MacVal,_xlpm.CSVVal&lt;&gt;"",_xlpm.CSVVal
)),"")</f>
        <v/>
      </c>
      <c r="M65" s="2" t="str" cm="1">
        <f t="array" ref="M65">IFERROR(_xlfn.LET(
_xlpm.CSVVal,_xlfn.XLOOKUP($A65,CSV!$A:$A,CSV!Q:Q,""),
_xlpm.MacVal,_xlfn.XLOOKUP($A65,Output_Mac!$A:$A,Output_Mac!M:M,""),
_xlpm.MyAuditVal,_xlfn.XLOOKUP($A65,My_Audit!$A:$A,My_Audit!L:L,""),
_xlfn.IFS(_xlpm.MyAuditVal&lt;&gt;"",UPPER(_xlpm.MyAuditVal),_xlpm.MacVal&lt;&gt;"",_xlpm.MacVal,_xlpm.CSVVal&lt;&gt;"",_xlpm.CSVVal
)),"")</f>
        <v/>
      </c>
      <c r="O65" s="2" t="str">
        <f>_xlfn.LET(
    _xlpm.CSVVal, _xlfn.XLOOKUP($A65, CSV!$A:$A, CSV!AA:AA, ""),
    _xlpm.MacVal, _xlfn.XLOOKUP($A65, Output_Mac!$A:$A, Output_Mac!S:S, ""),
    _xlpm.MyAuditVal, _xlfn.XLOOKUP($A65, My_Audit!$A:$A, My_Audit!P:P, ""),
    _xlfn.TEXTJOIN(", ", TRUE, _xlpm.MyAuditVal, _xlpm.MacVal, _xlpm.CSVVal)
)</f>
        <v/>
      </c>
      <c r="P65" s="2" t="str" cm="1">
        <f t="array" ref="P65">IFERROR(_xlfn.LET(
_xlpm.CSVVal,_xlfn.XLOOKUP($A65,CSV!$A:$A,CSV!AB:AB,""),
_xlpm.MacVal,_xlfn.XLOOKUP($A65,Output_Mac!$A:$A,Output_Mac!T:T,""),
_xlpm.MyAuditVal,_xlfn.XLOOKUP($A65,My_Audit!$A:$A,My_Audit!Q:Q,""),
_xlfn.IFS(_xlpm.MyAuditVal&lt;&gt;"",UPPER(_xlpm.MyAuditVal),_xlpm.MacVal&lt;&gt;"",_xlpm.MacVal,_xlpm.CSVVal&lt;&gt;"",_xlpm.CSVVal
)),"No")</f>
        <v>No</v>
      </c>
      <c r="Q65" s="2" t="str" cm="1">
        <f t="array" ref="Q65">IFERROR(_xlfn.LET(
_xlpm.CSVVal,_xlfn.XLOOKUP($A65,CSV!$A:$A,CSV!AC:AC,""),
_xlpm.MacVal,_xlfn.XLOOKUP($A65,Output_Mac!$A:$A,Output_Mac!U:U,""),
_xlpm.MyAuditVal,_xlfn.XLOOKUP($A65,My_Audit!$A:$A,My_Audit!R:R,""),
_xlfn.IFS(_xlpm.MyAuditVal&lt;&gt;"",UPPER(_xlpm.MyAuditVal),_xlpm.MacVal&lt;&gt;"",_xlpm.MacVal,_xlpm.CSVVal&lt;&gt;"",_xlpm.CSVVal
)),"")</f>
        <v/>
      </c>
      <c r="X65" t="str">
        <f>_xlfn.LET(
    _xlpm.MacVal, _xlfn.XLOOKUP($A65, Output_Mac!$A:$A, Output_Mac!AB:AB, ""),
    _xlpm.MyAuditVal, _xlfn.XLOOKUP($A65, My_Audit!$A:$A, My_Audit!N:N, ""),
    _xlfn.TEXTJOIN(", ", TRUE, _xlpm.MyAuditVal, _xlpm.MacVal)
)</f>
        <v/>
      </c>
    </row>
    <row r="66" spans="1:24">
      <c r="A66" s="2" t="str">
        <f>_xlfn.TEXTJOIN("",TRUE,Input!$B$2,ROW(My_Audit!A65))</f>
        <v>X65</v>
      </c>
      <c r="B66" s="2" t="str">
        <f>_xlfn.TEXTJOIN("-",TRUE,"ITD",Input!$A$2,A66)</f>
        <v>ITD-SHR-X65</v>
      </c>
      <c r="C66" s="2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2" t="str" cm="1">
        <f t="array" ref="D66">IFERROR(_xlfn.LET(
_xlpm.CSVVal,_xlfn.XLOOKUP($A66,CSV!$A:$A,CSV!D:D,""),
_xlpm.MacVal,_xlfn.XLOOKUP($A66,Output_Mac!$A:$A,Output_Mac!C:C,""),
_xlpm.MyAuditVal,_xlfn.XLOOKUP($A66,My_Audit!$A:$A,My_Audit!C:C,""),
_xlfn.IFS(_xlpm.MyAuditVal&lt;&gt;"",_xlpm.MyAuditVal,_xlpm.MacVal&lt;&gt;"",_xlpm.MacVal,_xlpm.CSVVal&lt;&gt;"",_xlpm.CSVVal
)),"")</f>
        <v/>
      </c>
      <c r="E66" s="2">
        <f>_xlfn.XLOOKUP(A66,My_Audit!A:A,My_Audit!D:D,"")</f>
        <v>0</v>
      </c>
      <c r="F66" s="2" t="str" cm="1">
        <f t="array" ref="F66">IFERROR(_xlfn.LET(
_xlpm.CSVVal,_xlfn.XLOOKUP($A66,CSV!$A:$A,CSV!F:F,""),
_xlpm.MacVal,_xlfn.XLOOKUP($A66,Output_Mac!$A:$A,Output_Mac!E:E,""),
_xlpm.MyAuditVal,_xlfn.XLOOKUP($A66,My_Audit!$A:$A,My_Audit!E:E,""),
_xlfn.IFS(_xlpm.MyAuditVal&lt;&gt;"",_xlpm.MyAuditVal,_xlpm.MacVal&lt;&gt;"",_xlpm.MacVal,_xlpm.CSVVal&lt;&gt;"",_xlpm.CSVVal
)),"")</f>
        <v/>
      </c>
      <c r="G66" s="2" t="str" cm="1">
        <f t="array" ref="G66">IFERROR(_xlfn.LET(
_xlpm.CSVVal,_xlfn.XLOOKUP($A66,CSV!$A:$A,CSV!G:G,""),
_xlpm.MacVal,_xlfn.XLOOKUP($A66,Output_Mac!$A:$A,Output_Mac!F:F,""),
_xlpm.MyAuditVal,_xlfn.XLOOKUP($A66,My_Audit!$A:$A,My_Audit!F:F,""),
_xlfn.IFS(_xlpm.MyAuditVal&lt;&gt;"",_xlpm.MyAuditVal,_xlpm.MacVal&lt;&gt;"",_xlpm.MacVal,_xlpm.CSVVal&lt;&gt;"",PROPER(_xlpm.CSVVal)
)),"")</f>
        <v/>
      </c>
      <c r="H66" s="2" t="str" cm="1">
        <f t="array" ref="H66">IFERROR(_xlfn.LET(
_xlpm.CSVVal,_xlfn.XLOOKUP($A66,CSV!$A:$A,CSV!H:H,""),
_xlpm.MacVal,_xlfn.XLOOKUP($A66,Output_Mac!$A:$A,Output_Mac!H:H,""),
_xlpm.MyAuditVal,_xlfn.XLOOKUP($A66,My_Audit!$A:$A,My_Audit!G:G,""),
_xlfn.IFS(_xlpm.MyAuditVal&lt;&gt;"",_xlpm.MyAuditVal,_xlpm.MacVal&lt;&gt;"",_xlpm.MacVal,_xlpm.CSVVal&lt;&gt;"",_xlpm.CSVVal
)),"")</f>
        <v/>
      </c>
      <c r="I66" s="2" t="str">
        <f>_xlfn.XLOOKUP(A66,Output_Mac!A:A,Output_Mac!I:I,"")</f>
        <v/>
      </c>
      <c r="J66" s="2" t="str" cm="1">
        <f t="array" ref="J66">IFERROR(_xlfn.LET(
_xlpm.CSVVal,_xlfn.XLOOKUP($A66,CSV!$A:$A,CSV!I:I,""),
_xlpm.MacVal,_xlfn.XLOOKUP($A66,Output_Mac!$A:$A,Output_Mac!J:J,""),
_xlpm.MyAuditVal,_xlfn.XLOOKUP($A66,My_Audit!$A:$A,My_Audit!I:I,""),
_xlfn.IFS(_xlpm.MyAuditVal&lt;&gt;"",UPPER(_xlpm.MyAuditVal),_xlpm.MacVal&lt;&gt;"",_xlpm.MacVal,_xlpm.CSVVal&lt;&gt;"",_xlpm.CSVVal
)),"")</f>
        <v/>
      </c>
      <c r="K66" s="2" t="str" cm="1">
        <f t="array" ref="K66">IFERROR(_xlfn.LET(
_xlpm.CSVVal,_xlfn.XLOOKUP($A66,CSV!$A:$A,CSV!K:K,""),
_xlpm.MacVal,_xlfn.XLOOKUP($A66,Output_Mac!$A:$A,Output_Mac!K:K,""),
_xlpm.MyAuditVal,_xlfn.XLOOKUP($A66,My_Audit!$A:$A,My_Audit!J:J,""),
_xlfn.IFS(_xlpm.MyAuditVal&lt;&gt;"",UPPER(_xlpm.MyAuditVal),_xlpm.MacVal&lt;&gt;"",_xlpm.MacVal,_xlpm.CSVVal&lt;&gt;"",_xlpm.CSVVal
)),"")</f>
        <v/>
      </c>
      <c r="L66" s="2" t="str" cm="1">
        <f t="array" ref="L66">IFERROR(_xlfn.LET(
_xlpm.CSVVal,_xlfn.XLOOKUP($A66,CSV!$A:$A,CSV!P:P,""),
_xlpm.MacVal,_xlfn.XLOOKUP($A66,Output_Mac!$A:$A,Output_Mac!L:L,""),
_xlpm.MyAuditVal,_xlfn.XLOOKUP($A66,My_Audit!$A:$A,My_Audit!K:K,""),
_xlfn.IFS(_xlpm.MyAuditVal&lt;&gt;"",UPPER(_xlpm.MyAuditVal),_xlpm.MacVal&lt;&gt;"",_xlpm.MacVal,_xlpm.CSVVal&lt;&gt;"",_xlpm.CSVVal
)),"")</f>
        <v/>
      </c>
      <c r="M66" s="2" t="str" cm="1">
        <f t="array" ref="M66">IFERROR(_xlfn.LET(
_xlpm.CSVVal,_xlfn.XLOOKUP($A66,CSV!$A:$A,CSV!Q:Q,""),
_xlpm.MacVal,_xlfn.XLOOKUP($A66,Output_Mac!$A:$A,Output_Mac!M:M,""),
_xlpm.MyAuditVal,_xlfn.XLOOKUP($A66,My_Audit!$A:$A,My_Audit!L:L,""),
_xlfn.IFS(_xlpm.MyAuditVal&lt;&gt;"",UPPER(_xlpm.MyAuditVal),_xlpm.MacVal&lt;&gt;"",_xlpm.MacVal,_xlpm.CSVVal&lt;&gt;"",_xlpm.CSVVal
)),"")</f>
        <v/>
      </c>
      <c r="O66" s="2" t="str">
        <f>_xlfn.LET(
    _xlpm.CSVVal, _xlfn.XLOOKUP($A66, CSV!$A:$A, CSV!AA:AA, ""),
    _xlpm.MacVal, _xlfn.XLOOKUP($A66, Output_Mac!$A:$A, Output_Mac!S:S, ""),
    _xlpm.MyAuditVal, _xlfn.XLOOKUP($A66, My_Audit!$A:$A, My_Audit!P:P, ""),
    _xlfn.TEXTJOIN(", ", TRUE, _xlpm.MyAuditVal, _xlpm.MacVal, _xlpm.CSVVal)
)</f>
        <v/>
      </c>
      <c r="P66" s="2" t="str" cm="1">
        <f t="array" ref="P66">IFERROR(_xlfn.LET(
_xlpm.CSVVal,_xlfn.XLOOKUP($A66,CSV!$A:$A,CSV!AB:AB,""),
_xlpm.MacVal,_xlfn.XLOOKUP($A66,Output_Mac!$A:$A,Output_Mac!T:T,""),
_xlpm.MyAuditVal,_xlfn.XLOOKUP($A66,My_Audit!$A:$A,My_Audit!Q:Q,""),
_xlfn.IFS(_xlpm.MyAuditVal&lt;&gt;"",UPPER(_xlpm.MyAuditVal),_xlpm.MacVal&lt;&gt;"",_xlpm.MacVal,_xlpm.CSVVal&lt;&gt;"",_xlpm.CSVVal
)),"No")</f>
        <v>No</v>
      </c>
      <c r="Q66" s="2" t="str" cm="1">
        <f t="array" ref="Q66">IFERROR(_xlfn.LET(
_xlpm.CSVVal,_xlfn.XLOOKUP($A66,CSV!$A:$A,CSV!AC:AC,""),
_xlpm.MacVal,_xlfn.XLOOKUP($A66,Output_Mac!$A:$A,Output_Mac!U:U,""),
_xlpm.MyAuditVal,_xlfn.XLOOKUP($A66,My_Audit!$A:$A,My_Audit!R:R,""),
_xlfn.IFS(_xlpm.MyAuditVal&lt;&gt;"",UPPER(_xlpm.MyAuditVal),_xlpm.MacVal&lt;&gt;"",_xlpm.MacVal,_xlpm.CSVVal&lt;&gt;"",_xlpm.CSVVal
)),"")</f>
        <v/>
      </c>
      <c r="X66" t="str">
        <f>_xlfn.LET(
    _xlpm.MacVal, _xlfn.XLOOKUP($A66, Output_Mac!$A:$A, Output_Mac!AB:AB, ""),
    _xlpm.MyAuditVal, _xlfn.XLOOKUP($A66, My_Audit!$A:$A, My_Audit!N:N, ""),
    _xlfn.TEXTJOIN(", ", TRUE, _xlpm.MyAuditVal, _xlpm.MacVal)
)</f>
        <v/>
      </c>
    </row>
    <row r="67" spans="1:24">
      <c r="A67" s="2" t="str">
        <f>_xlfn.TEXTJOIN("",TRUE,Input!$B$2,ROW(My_Audit!A66))</f>
        <v>X66</v>
      </c>
      <c r="B67" s="2" t="str">
        <f>_xlfn.TEXTJOIN("-",TRUE,"ITD",Input!$A$2,A67)</f>
        <v>ITD-SHR-X66</v>
      </c>
      <c r="C67" s="2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2" t="str" cm="1">
        <f t="array" ref="D67">IFERROR(_xlfn.LET(
_xlpm.CSVVal,_xlfn.XLOOKUP($A67,CSV!$A:$A,CSV!D:D,""),
_xlpm.MacVal,_xlfn.XLOOKUP($A67,Output_Mac!$A:$A,Output_Mac!C:C,""),
_xlpm.MyAuditVal,_xlfn.XLOOKUP($A67,My_Audit!$A:$A,My_Audit!C:C,""),
_xlfn.IFS(_xlpm.MyAuditVal&lt;&gt;"",_xlpm.MyAuditVal,_xlpm.MacVal&lt;&gt;"",_xlpm.MacVal,_xlpm.CSVVal&lt;&gt;"",_xlpm.CSVVal
)),"")</f>
        <v/>
      </c>
      <c r="E67" s="2" t="str">
        <f>_xlfn.XLOOKUP(A67,My_Audit!A:A,My_Audit!D:D,"")</f>
        <v/>
      </c>
      <c r="F67" s="2" t="str" cm="1">
        <f t="array" ref="F67">IFERROR(_xlfn.LET(
_xlpm.CSVVal,_xlfn.XLOOKUP($A67,CSV!$A:$A,CSV!F:F,""),
_xlpm.MacVal,_xlfn.XLOOKUP($A67,Output_Mac!$A:$A,Output_Mac!E:E,""),
_xlpm.MyAuditVal,_xlfn.XLOOKUP($A67,My_Audit!$A:$A,My_Audit!E:E,""),
_xlfn.IFS(_xlpm.MyAuditVal&lt;&gt;"",_xlpm.MyAuditVal,_xlpm.MacVal&lt;&gt;"",_xlpm.MacVal,_xlpm.CSVVal&lt;&gt;"",_xlpm.CSVVal
)),"")</f>
        <v/>
      </c>
      <c r="G67" s="2" t="str" cm="1">
        <f t="array" ref="G67">IFERROR(_xlfn.LET(
_xlpm.CSVVal,_xlfn.XLOOKUP($A67,CSV!$A:$A,CSV!G:G,""),
_xlpm.MacVal,_xlfn.XLOOKUP($A67,Output_Mac!$A:$A,Output_Mac!F:F,""),
_xlpm.MyAuditVal,_xlfn.XLOOKUP($A67,My_Audit!$A:$A,My_Audit!F:F,""),
_xlfn.IFS(_xlpm.MyAuditVal&lt;&gt;"",_xlpm.MyAuditVal,_xlpm.MacVal&lt;&gt;"",_xlpm.MacVal,_xlpm.CSVVal&lt;&gt;"",PROPER(_xlpm.CSVVal)
)),"")</f>
        <v/>
      </c>
      <c r="H67" s="2" t="str" cm="1">
        <f t="array" ref="H67">IFERROR(_xlfn.LET(
_xlpm.CSVVal,_xlfn.XLOOKUP($A67,CSV!$A:$A,CSV!H:H,""),
_xlpm.MacVal,_xlfn.XLOOKUP($A67,Output_Mac!$A:$A,Output_Mac!H:H,""),
_xlpm.MyAuditVal,_xlfn.XLOOKUP($A67,My_Audit!$A:$A,My_Audit!G:G,""),
_xlfn.IFS(_xlpm.MyAuditVal&lt;&gt;"",_xlpm.MyAuditVal,_xlpm.MacVal&lt;&gt;"",_xlpm.MacVal,_xlpm.CSVVal&lt;&gt;"",_xlpm.CSVVal
)),"")</f>
        <v/>
      </c>
      <c r="I67" s="2" t="str">
        <f>_xlfn.XLOOKUP(A67,Output_Mac!A:A,Output_Mac!I:I,"")</f>
        <v/>
      </c>
      <c r="J67" s="2" t="str" cm="1">
        <f t="array" ref="J67">IFERROR(_xlfn.LET(
_xlpm.CSVVal,_xlfn.XLOOKUP($A67,CSV!$A:$A,CSV!I:I,""),
_xlpm.MacVal,_xlfn.XLOOKUP($A67,Output_Mac!$A:$A,Output_Mac!J:J,""),
_xlpm.MyAuditVal,_xlfn.XLOOKUP($A67,My_Audit!$A:$A,My_Audit!I:I,""),
_xlfn.IFS(_xlpm.MyAuditVal&lt;&gt;"",UPPER(_xlpm.MyAuditVal),_xlpm.MacVal&lt;&gt;"",_xlpm.MacVal,_xlpm.CSVVal&lt;&gt;"",_xlpm.CSVVal
)),"")</f>
        <v/>
      </c>
      <c r="K67" s="2" t="str" cm="1">
        <f t="array" ref="K67">IFERROR(_xlfn.LET(
_xlpm.CSVVal,_xlfn.XLOOKUP($A67,CSV!$A:$A,CSV!K:K,""),
_xlpm.MacVal,_xlfn.XLOOKUP($A67,Output_Mac!$A:$A,Output_Mac!K:K,""),
_xlpm.MyAuditVal,_xlfn.XLOOKUP($A67,My_Audit!$A:$A,My_Audit!J:J,""),
_xlfn.IFS(_xlpm.MyAuditVal&lt;&gt;"",UPPER(_xlpm.MyAuditVal),_xlpm.MacVal&lt;&gt;"",_xlpm.MacVal,_xlpm.CSVVal&lt;&gt;"",_xlpm.CSVVal
)),"")</f>
        <v/>
      </c>
      <c r="L67" s="2" t="str" cm="1">
        <f t="array" ref="L67">IFERROR(_xlfn.LET(
_xlpm.CSVVal,_xlfn.XLOOKUP($A67,CSV!$A:$A,CSV!P:P,""),
_xlpm.MacVal,_xlfn.XLOOKUP($A67,Output_Mac!$A:$A,Output_Mac!L:L,""),
_xlpm.MyAuditVal,_xlfn.XLOOKUP($A67,My_Audit!$A:$A,My_Audit!K:K,""),
_xlfn.IFS(_xlpm.MyAuditVal&lt;&gt;"",UPPER(_xlpm.MyAuditVal),_xlpm.MacVal&lt;&gt;"",_xlpm.MacVal,_xlpm.CSVVal&lt;&gt;"",_xlpm.CSVVal
)),"")</f>
        <v/>
      </c>
      <c r="M67" s="2" t="str" cm="1">
        <f t="array" ref="M67">IFERROR(_xlfn.LET(
_xlpm.CSVVal,_xlfn.XLOOKUP($A67,CSV!$A:$A,CSV!Q:Q,""),
_xlpm.MacVal,_xlfn.XLOOKUP($A67,Output_Mac!$A:$A,Output_Mac!M:M,""),
_xlpm.MyAuditVal,_xlfn.XLOOKUP($A67,My_Audit!$A:$A,My_Audit!L:L,""),
_xlfn.IFS(_xlpm.MyAuditVal&lt;&gt;"",UPPER(_xlpm.MyAuditVal),_xlpm.MacVal&lt;&gt;"",_xlpm.MacVal,_xlpm.CSVVal&lt;&gt;"",_xlpm.CSVVal
)),"")</f>
        <v/>
      </c>
      <c r="O67" s="2" t="str">
        <f>_xlfn.LET(
    _xlpm.CSVVal, _xlfn.XLOOKUP($A67, CSV!$A:$A, CSV!AA:AA, ""),
    _xlpm.MacVal, _xlfn.XLOOKUP($A67, Output_Mac!$A:$A, Output_Mac!S:S, ""),
    _xlpm.MyAuditVal, _xlfn.XLOOKUP($A67, My_Audit!$A:$A, My_Audit!P:P, ""),
    _xlfn.TEXTJOIN(", ", TRUE, _xlpm.MyAuditVal, _xlpm.MacVal, _xlpm.CSVVal)
)</f>
        <v/>
      </c>
      <c r="P67" s="2" t="str" cm="1">
        <f t="array" ref="P67">IFERROR(_xlfn.LET(
_xlpm.CSVVal,_xlfn.XLOOKUP($A67,CSV!$A:$A,CSV!AB:AB,""),
_xlpm.MacVal,_xlfn.XLOOKUP($A67,Output_Mac!$A:$A,Output_Mac!T:T,""),
_xlpm.MyAuditVal,_xlfn.XLOOKUP($A67,My_Audit!$A:$A,My_Audit!Q:Q,""),
_xlfn.IFS(_xlpm.MyAuditVal&lt;&gt;"",UPPER(_xlpm.MyAuditVal),_xlpm.MacVal&lt;&gt;"",_xlpm.MacVal,_xlpm.CSVVal&lt;&gt;"",_xlpm.CSVVal
)),"No")</f>
        <v>No</v>
      </c>
      <c r="Q67" s="2" t="str" cm="1">
        <f t="array" ref="Q67">IFERROR(_xlfn.LET(
_xlpm.CSVVal,_xlfn.XLOOKUP($A67,CSV!$A:$A,CSV!AC:AC,""),
_xlpm.MacVal,_xlfn.XLOOKUP($A67,Output_Mac!$A:$A,Output_Mac!U:U,""),
_xlpm.MyAuditVal,_xlfn.XLOOKUP($A67,My_Audit!$A:$A,My_Audit!R:R,""),
_xlfn.IFS(_xlpm.MyAuditVal&lt;&gt;"",UPPER(_xlpm.MyAuditVal),_xlpm.MacVal&lt;&gt;"",_xlpm.MacVal,_xlpm.CSVVal&lt;&gt;"",_xlpm.CSVVal
)),"")</f>
        <v/>
      </c>
      <c r="X67" t="str">
        <f>_xlfn.LET(
    _xlpm.MacVal, _xlfn.XLOOKUP($A67, Output_Mac!$A:$A, Output_Mac!AB:AB, ""),
    _xlpm.MyAuditVal, _xlfn.XLOOKUP($A67, My_Audit!$A:$A, My_Audit!N:N, ""),
    _xlfn.TEXTJOIN(", ", TRUE, _xlpm.MyAuditVal, _xlpm.MacVal)
)</f>
        <v/>
      </c>
    </row>
    <row r="68" spans="1:24">
      <c r="A68" s="2" t="str">
        <f>_xlfn.TEXTJOIN("",TRUE,Input!$B$2,ROW(My_Audit!A67))</f>
        <v>X67</v>
      </c>
      <c r="B68" s="2" t="str">
        <f>_xlfn.TEXTJOIN("-",TRUE,"ITD",Input!$A$2,A68)</f>
        <v>ITD-SHR-X67</v>
      </c>
      <c r="C68" s="2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2" t="str" cm="1">
        <f t="array" ref="D68">IFERROR(_xlfn.LET(
_xlpm.CSVVal,_xlfn.XLOOKUP($A68,CSV!$A:$A,CSV!D:D,""),
_xlpm.MacVal,_xlfn.XLOOKUP($A68,Output_Mac!$A:$A,Output_Mac!C:C,""),
_xlpm.MyAuditVal,_xlfn.XLOOKUP($A68,My_Audit!$A:$A,My_Audit!C:C,""),
_xlfn.IFS(_xlpm.MyAuditVal&lt;&gt;"",_xlpm.MyAuditVal,_xlpm.MacVal&lt;&gt;"",_xlpm.MacVal,_xlpm.CSVVal&lt;&gt;"",_xlpm.CSVVal
)),"")</f>
        <v/>
      </c>
      <c r="E68" s="2" t="str">
        <f>_xlfn.XLOOKUP(A68,My_Audit!A:A,My_Audit!D:D,"")</f>
        <v/>
      </c>
      <c r="F68" s="2" t="str" cm="1">
        <f t="array" ref="F68">IFERROR(_xlfn.LET(
_xlpm.CSVVal,_xlfn.XLOOKUP($A68,CSV!$A:$A,CSV!F:F,""),
_xlpm.MacVal,_xlfn.XLOOKUP($A68,Output_Mac!$A:$A,Output_Mac!E:E,""),
_xlpm.MyAuditVal,_xlfn.XLOOKUP($A68,My_Audit!$A:$A,My_Audit!E:E,""),
_xlfn.IFS(_xlpm.MyAuditVal&lt;&gt;"",_xlpm.MyAuditVal,_xlpm.MacVal&lt;&gt;"",_xlpm.MacVal,_xlpm.CSVVal&lt;&gt;"",_xlpm.CSVVal
)),"")</f>
        <v/>
      </c>
      <c r="G68" s="2" t="str" cm="1">
        <f t="array" ref="G68">IFERROR(_xlfn.LET(
_xlpm.CSVVal,_xlfn.XLOOKUP($A68,CSV!$A:$A,CSV!G:G,""),
_xlpm.MacVal,_xlfn.XLOOKUP($A68,Output_Mac!$A:$A,Output_Mac!F:F,""),
_xlpm.MyAuditVal,_xlfn.XLOOKUP($A68,My_Audit!$A:$A,My_Audit!F:F,""),
_xlfn.IFS(_xlpm.MyAuditVal&lt;&gt;"",_xlpm.MyAuditVal,_xlpm.MacVal&lt;&gt;"",_xlpm.MacVal,_xlpm.CSVVal&lt;&gt;"",PROPER(_xlpm.CSVVal)
)),"")</f>
        <v/>
      </c>
      <c r="H68" s="2" t="str" cm="1">
        <f t="array" ref="H68">IFERROR(_xlfn.LET(
_xlpm.CSVVal,_xlfn.XLOOKUP($A68,CSV!$A:$A,CSV!H:H,""),
_xlpm.MacVal,_xlfn.XLOOKUP($A68,Output_Mac!$A:$A,Output_Mac!H:H,""),
_xlpm.MyAuditVal,_xlfn.XLOOKUP($A68,My_Audit!$A:$A,My_Audit!G:G,""),
_xlfn.IFS(_xlpm.MyAuditVal&lt;&gt;"",_xlpm.MyAuditVal,_xlpm.MacVal&lt;&gt;"",_xlpm.MacVal,_xlpm.CSVVal&lt;&gt;"",_xlpm.CSVVal
)),"")</f>
        <v/>
      </c>
      <c r="I68" s="2" t="str">
        <f>_xlfn.XLOOKUP(A68,Output_Mac!A:A,Output_Mac!I:I,"")</f>
        <v/>
      </c>
      <c r="J68" s="2" t="str" cm="1">
        <f t="array" ref="J68">IFERROR(_xlfn.LET(
_xlpm.CSVVal,_xlfn.XLOOKUP($A68,CSV!$A:$A,CSV!I:I,""),
_xlpm.MacVal,_xlfn.XLOOKUP($A68,Output_Mac!$A:$A,Output_Mac!J:J,""),
_xlpm.MyAuditVal,_xlfn.XLOOKUP($A68,My_Audit!$A:$A,My_Audit!I:I,""),
_xlfn.IFS(_xlpm.MyAuditVal&lt;&gt;"",UPPER(_xlpm.MyAuditVal),_xlpm.MacVal&lt;&gt;"",_xlpm.MacVal,_xlpm.CSVVal&lt;&gt;"",_xlpm.CSVVal
)),"")</f>
        <v/>
      </c>
      <c r="K68" s="2" t="str" cm="1">
        <f t="array" ref="K68">IFERROR(_xlfn.LET(
_xlpm.CSVVal,_xlfn.XLOOKUP($A68,CSV!$A:$A,CSV!K:K,""),
_xlpm.MacVal,_xlfn.XLOOKUP($A68,Output_Mac!$A:$A,Output_Mac!K:K,""),
_xlpm.MyAuditVal,_xlfn.XLOOKUP($A68,My_Audit!$A:$A,My_Audit!J:J,""),
_xlfn.IFS(_xlpm.MyAuditVal&lt;&gt;"",UPPER(_xlpm.MyAuditVal),_xlpm.MacVal&lt;&gt;"",_xlpm.MacVal,_xlpm.CSVVal&lt;&gt;"",_xlpm.CSVVal
)),"")</f>
        <v/>
      </c>
      <c r="L68" s="2" t="str" cm="1">
        <f t="array" ref="L68">IFERROR(_xlfn.LET(
_xlpm.CSVVal,_xlfn.XLOOKUP($A68,CSV!$A:$A,CSV!P:P,""),
_xlpm.MacVal,_xlfn.XLOOKUP($A68,Output_Mac!$A:$A,Output_Mac!L:L,""),
_xlpm.MyAuditVal,_xlfn.XLOOKUP($A68,My_Audit!$A:$A,My_Audit!K:K,""),
_xlfn.IFS(_xlpm.MyAuditVal&lt;&gt;"",UPPER(_xlpm.MyAuditVal),_xlpm.MacVal&lt;&gt;"",_xlpm.MacVal,_xlpm.CSVVal&lt;&gt;"",_xlpm.CSVVal
)),"")</f>
        <v/>
      </c>
      <c r="M68" s="2" t="str" cm="1">
        <f t="array" ref="M68">IFERROR(_xlfn.LET(
_xlpm.CSVVal,_xlfn.XLOOKUP($A68,CSV!$A:$A,CSV!Q:Q,""),
_xlpm.MacVal,_xlfn.XLOOKUP($A68,Output_Mac!$A:$A,Output_Mac!M:M,""),
_xlpm.MyAuditVal,_xlfn.XLOOKUP($A68,My_Audit!$A:$A,My_Audit!L:L,""),
_xlfn.IFS(_xlpm.MyAuditVal&lt;&gt;"",UPPER(_xlpm.MyAuditVal),_xlpm.MacVal&lt;&gt;"",_xlpm.MacVal,_xlpm.CSVVal&lt;&gt;"",_xlpm.CSVVal
)),"")</f>
        <v/>
      </c>
      <c r="O68" s="2" t="str">
        <f>_xlfn.LET(
    _xlpm.CSVVal, _xlfn.XLOOKUP($A68, CSV!$A:$A, CSV!AA:AA, ""),
    _xlpm.MacVal, _xlfn.XLOOKUP($A68, Output_Mac!$A:$A, Output_Mac!S:S, ""),
    _xlpm.MyAuditVal, _xlfn.XLOOKUP($A68, My_Audit!$A:$A, My_Audit!P:P, ""),
    _xlfn.TEXTJOIN(", ", TRUE, _xlpm.MyAuditVal, _xlpm.MacVal, _xlpm.CSVVal)
)</f>
        <v/>
      </c>
      <c r="P68" s="2" t="str" cm="1">
        <f t="array" ref="P68">IFERROR(_xlfn.LET(
_xlpm.CSVVal,_xlfn.XLOOKUP($A68,CSV!$A:$A,CSV!AB:AB,""),
_xlpm.MacVal,_xlfn.XLOOKUP($A68,Output_Mac!$A:$A,Output_Mac!T:T,""),
_xlpm.MyAuditVal,_xlfn.XLOOKUP($A68,My_Audit!$A:$A,My_Audit!Q:Q,""),
_xlfn.IFS(_xlpm.MyAuditVal&lt;&gt;"",UPPER(_xlpm.MyAuditVal),_xlpm.MacVal&lt;&gt;"",_xlpm.MacVal,_xlpm.CSVVal&lt;&gt;"",_xlpm.CSVVal
)),"No")</f>
        <v>No</v>
      </c>
      <c r="Q68" s="2" t="str" cm="1">
        <f t="array" ref="Q68">IFERROR(_xlfn.LET(
_xlpm.CSVVal,_xlfn.XLOOKUP($A68,CSV!$A:$A,CSV!AC:AC,""),
_xlpm.MacVal,_xlfn.XLOOKUP($A68,Output_Mac!$A:$A,Output_Mac!U:U,""),
_xlpm.MyAuditVal,_xlfn.XLOOKUP($A68,My_Audit!$A:$A,My_Audit!R:R,""),
_xlfn.IFS(_xlpm.MyAuditVal&lt;&gt;"",UPPER(_xlpm.MyAuditVal),_xlpm.MacVal&lt;&gt;"",_xlpm.MacVal,_xlpm.CSVVal&lt;&gt;"",_xlpm.CSVVal
)),"")</f>
        <v/>
      </c>
      <c r="X68" t="str">
        <f>_xlfn.LET(
    _xlpm.MacVal, _xlfn.XLOOKUP($A68, Output_Mac!$A:$A, Output_Mac!AB:AB, ""),
    _xlpm.MyAuditVal, _xlfn.XLOOKUP($A68, My_Audit!$A:$A, My_Audit!N:N, ""),
    _xlfn.TEXTJOIN(", ", TRUE, _xlpm.MyAuditVal, _xlpm.MacVal)
)</f>
        <v/>
      </c>
    </row>
    <row r="69" spans="1:24">
      <c r="A69" s="2" t="str">
        <f>_xlfn.TEXTJOIN("",TRUE,Input!$B$2,ROW(My_Audit!A68))</f>
        <v>X68</v>
      </c>
      <c r="B69" s="2" t="str">
        <f>_xlfn.TEXTJOIN("-",TRUE,"ITD",Input!$A$2,A69)</f>
        <v>ITD-SHR-X68</v>
      </c>
      <c r="C69" s="2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2" t="str" cm="1">
        <f t="array" ref="D69">IFERROR(_xlfn.LET(
_xlpm.CSVVal,_xlfn.XLOOKUP($A69,CSV!$A:$A,CSV!D:D,""),
_xlpm.MacVal,_xlfn.XLOOKUP($A69,Output_Mac!$A:$A,Output_Mac!C:C,""),
_xlpm.MyAuditVal,_xlfn.XLOOKUP($A69,My_Audit!$A:$A,My_Audit!C:C,""),
_xlfn.IFS(_xlpm.MyAuditVal&lt;&gt;"",_xlpm.MyAuditVal,_xlpm.MacVal&lt;&gt;"",_xlpm.MacVal,_xlpm.CSVVal&lt;&gt;"",_xlpm.CSVVal
)),"")</f>
        <v/>
      </c>
      <c r="E69" s="2" t="str">
        <f>_xlfn.XLOOKUP(A69,My_Audit!A:A,My_Audit!D:D,"")</f>
        <v/>
      </c>
      <c r="F69" s="2" t="str" cm="1">
        <f t="array" ref="F69">IFERROR(_xlfn.LET(
_xlpm.CSVVal,_xlfn.XLOOKUP($A69,CSV!$A:$A,CSV!F:F,""),
_xlpm.MacVal,_xlfn.XLOOKUP($A69,Output_Mac!$A:$A,Output_Mac!E:E,""),
_xlpm.MyAuditVal,_xlfn.XLOOKUP($A69,My_Audit!$A:$A,My_Audit!E:E,""),
_xlfn.IFS(_xlpm.MyAuditVal&lt;&gt;"",_xlpm.MyAuditVal,_xlpm.MacVal&lt;&gt;"",_xlpm.MacVal,_xlpm.CSVVal&lt;&gt;"",_xlpm.CSVVal
)),"")</f>
        <v/>
      </c>
      <c r="G69" s="2" t="str" cm="1">
        <f t="array" ref="G69">IFERROR(_xlfn.LET(
_xlpm.CSVVal,_xlfn.XLOOKUP($A69,CSV!$A:$A,CSV!G:G,""),
_xlpm.MacVal,_xlfn.XLOOKUP($A69,Output_Mac!$A:$A,Output_Mac!F:F,""),
_xlpm.MyAuditVal,_xlfn.XLOOKUP($A69,My_Audit!$A:$A,My_Audit!F:F,""),
_xlfn.IFS(_xlpm.MyAuditVal&lt;&gt;"",_xlpm.MyAuditVal,_xlpm.MacVal&lt;&gt;"",_xlpm.MacVal,_xlpm.CSVVal&lt;&gt;"",PROPER(_xlpm.CSVVal)
)),"")</f>
        <v/>
      </c>
      <c r="H69" s="2" t="str" cm="1">
        <f t="array" ref="H69">IFERROR(_xlfn.LET(
_xlpm.CSVVal,_xlfn.XLOOKUP($A69,CSV!$A:$A,CSV!H:H,""),
_xlpm.MacVal,_xlfn.XLOOKUP($A69,Output_Mac!$A:$A,Output_Mac!H:H,""),
_xlpm.MyAuditVal,_xlfn.XLOOKUP($A69,My_Audit!$A:$A,My_Audit!G:G,""),
_xlfn.IFS(_xlpm.MyAuditVal&lt;&gt;"",_xlpm.MyAuditVal,_xlpm.MacVal&lt;&gt;"",_xlpm.MacVal,_xlpm.CSVVal&lt;&gt;"",_xlpm.CSVVal
)),"")</f>
        <v/>
      </c>
      <c r="I69" s="2" t="str">
        <f>_xlfn.XLOOKUP(A69,Output_Mac!A:A,Output_Mac!I:I,"")</f>
        <v/>
      </c>
      <c r="J69" s="2" t="str" cm="1">
        <f t="array" ref="J69">IFERROR(_xlfn.LET(
_xlpm.CSVVal,_xlfn.XLOOKUP($A69,CSV!$A:$A,CSV!I:I,""),
_xlpm.MacVal,_xlfn.XLOOKUP($A69,Output_Mac!$A:$A,Output_Mac!J:J,""),
_xlpm.MyAuditVal,_xlfn.XLOOKUP($A69,My_Audit!$A:$A,My_Audit!I:I,""),
_xlfn.IFS(_xlpm.MyAuditVal&lt;&gt;"",UPPER(_xlpm.MyAuditVal),_xlpm.MacVal&lt;&gt;"",_xlpm.MacVal,_xlpm.CSVVal&lt;&gt;"",_xlpm.CSVVal
)),"")</f>
        <v/>
      </c>
      <c r="K69" s="2" t="str" cm="1">
        <f t="array" ref="K69">IFERROR(_xlfn.LET(
_xlpm.CSVVal,_xlfn.XLOOKUP($A69,CSV!$A:$A,CSV!K:K,""),
_xlpm.MacVal,_xlfn.XLOOKUP($A69,Output_Mac!$A:$A,Output_Mac!K:K,""),
_xlpm.MyAuditVal,_xlfn.XLOOKUP($A69,My_Audit!$A:$A,My_Audit!J:J,""),
_xlfn.IFS(_xlpm.MyAuditVal&lt;&gt;"",UPPER(_xlpm.MyAuditVal),_xlpm.MacVal&lt;&gt;"",_xlpm.MacVal,_xlpm.CSVVal&lt;&gt;"",_xlpm.CSVVal
)),"")</f>
        <v/>
      </c>
      <c r="L69" s="2" t="str" cm="1">
        <f t="array" ref="L69">IFERROR(_xlfn.LET(
_xlpm.CSVVal,_xlfn.XLOOKUP($A69,CSV!$A:$A,CSV!P:P,""),
_xlpm.MacVal,_xlfn.XLOOKUP($A69,Output_Mac!$A:$A,Output_Mac!L:L,""),
_xlpm.MyAuditVal,_xlfn.XLOOKUP($A69,My_Audit!$A:$A,My_Audit!K:K,""),
_xlfn.IFS(_xlpm.MyAuditVal&lt;&gt;"",UPPER(_xlpm.MyAuditVal),_xlpm.MacVal&lt;&gt;"",_xlpm.MacVal,_xlpm.CSVVal&lt;&gt;"",_xlpm.CSVVal
)),"")</f>
        <v/>
      </c>
      <c r="M69" s="2" t="str" cm="1">
        <f t="array" ref="M69">IFERROR(_xlfn.LET(
_xlpm.CSVVal,_xlfn.XLOOKUP($A69,CSV!$A:$A,CSV!Q:Q,""),
_xlpm.MacVal,_xlfn.XLOOKUP($A69,Output_Mac!$A:$A,Output_Mac!M:M,""),
_xlpm.MyAuditVal,_xlfn.XLOOKUP($A69,My_Audit!$A:$A,My_Audit!L:L,""),
_xlfn.IFS(_xlpm.MyAuditVal&lt;&gt;"",UPPER(_xlpm.MyAuditVal),_xlpm.MacVal&lt;&gt;"",_xlpm.MacVal,_xlpm.CSVVal&lt;&gt;"",_xlpm.CSVVal
)),"")</f>
        <v/>
      </c>
      <c r="O69" s="2" t="str">
        <f>_xlfn.LET(
    _xlpm.CSVVal, _xlfn.XLOOKUP($A69, CSV!$A:$A, CSV!AA:AA, ""),
    _xlpm.MacVal, _xlfn.XLOOKUP($A69, Output_Mac!$A:$A, Output_Mac!S:S, ""),
    _xlpm.MyAuditVal, _xlfn.XLOOKUP($A69, My_Audit!$A:$A, My_Audit!P:P, ""),
    _xlfn.TEXTJOIN(", ", TRUE, _xlpm.MyAuditVal, _xlpm.MacVal, _xlpm.CSVVal)
)</f>
        <v/>
      </c>
      <c r="P69" s="2" t="str" cm="1">
        <f t="array" ref="P69">IFERROR(_xlfn.LET(
_xlpm.CSVVal,_xlfn.XLOOKUP($A69,CSV!$A:$A,CSV!AB:AB,""),
_xlpm.MacVal,_xlfn.XLOOKUP($A69,Output_Mac!$A:$A,Output_Mac!T:T,""),
_xlpm.MyAuditVal,_xlfn.XLOOKUP($A69,My_Audit!$A:$A,My_Audit!Q:Q,""),
_xlfn.IFS(_xlpm.MyAuditVal&lt;&gt;"",UPPER(_xlpm.MyAuditVal),_xlpm.MacVal&lt;&gt;"",_xlpm.MacVal,_xlpm.CSVVal&lt;&gt;"",_xlpm.CSVVal
)),"No")</f>
        <v>No</v>
      </c>
      <c r="Q69" s="2" t="str" cm="1">
        <f t="array" ref="Q69">IFERROR(_xlfn.LET(
_xlpm.CSVVal,_xlfn.XLOOKUP($A69,CSV!$A:$A,CSV!AC:AC,""),
_xlpm.MacVal,_xlfn.XLOOKUP($A69,Output_Mac!$A:$A,Output_Mac!U:U,""),
_xlpm.MyAuditVal,_xlfn.XLOOKUP($A69,My_Audit!$A:$A,My_Audit!R:R,""),
_xlfn.IFS(_xlpm.MyAuditVal&lt;&gt;"",UPPER(_xlpm.MyAuditVal),_xlpm.MacVal&lt;&gt;"",_xlpm.MacVal,_xlpm.CSVVal&lt;&gt;"",_xlpm.CSVVal
)),"")</f>
        <v/>
      </c>
      <c r="X69" t="str">
        <f>_xlfn.LET(
    _xlpm.MacVal, _xlfn.XLOOKUP($A69, Output_Mac!$A:$A, Output_Mac!AB:AB, ""),
    _xlpm.MyAuditVal, _xlfn.XLOOKUP($A69, My_Audit!$A:$A, My_Audit!N:N, ""),
    _xlfn.TEXTJOIN(", ", TRUE, _xlpm.MyAuditVal, _xlpm.MacVal)
)</f>
        <v/>
      </c>
    </row>
    <row r="70" spans="1:24">
      <c r="A70" s="2" t="str">
        <f>_xlfn.TEXTJOIN("",TRUE,Input!$B$2,ROW(My_Audit!A69))</f>
        <v>X69</v>
      </c>
      <c r="B70" s="2" t="str">
        <f>_xlfn.TEXTJOIN("-",TRUE,"ITD",Input!$A$2,A70)</f>
        <v>ITD-SHR-X69</v>
      </c>
      <c r="C70" s="2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2" t="str" cm="1">
        <f t="array" ref="D70">IFERROR(_xlfn.LET(
_xlpm.CSVVal,_xlfn.XLOOKUP($A70,CSV!$A:$A,CSV!D:D,""),
_xlpm.MacVal,_xlfn.XLOOKUP($A70,Output_Mac!$A:$A,Output_Mac!C:C,""),
_xlpm.MyAuditVal,_xlfn.XLOOKUP($A70,My_Audit!$A:$A,My_Audit!C:C,""),
_xlfn.IFS(_xlpm.MyAuditVal&lt;&gt;"",_xlpm.MyAuditVal,_xlpm.MacVal&lt;&gt;"",_xlpm.MacVal,_xlpm.CSVVal&lt;&gt;"",_xlpm.CSVVal
)),"")</f>
        <v/>
      </c>
      <c r="E70" s="2" t="str">
        <f>_xlfn.XLOOKUP(A70,My_Audit!A:A,My_Audit!D:D,"")</f>
        <v/>
      </c>
      <c r="F70" s="2" t="str" cm="1">
        <f t="array" ref="F70">IFERROR(_xlfn.LET(
_xlpm.CSVVal,_xlfn.XLOOKUP($A70,CSV!$A:$A,CSV!F:F,""),
_xlpm.MacVal,_xlfn.XLOOKUP($A70,Output_Mac!$A:$A,Output_Mac!E:E,""),
_xlpm.MyAuditVal,_xlfn.XLOOKUP($A70,My_Audit!$A:$A,My_Audit!E:E,""),
_xlfn.IFS(_xlpm.MyAuditVal&lt;&gt;"",_xlpm.MyAuditVal,_xlpm.MacVal&lt;&gt;"",_xlpm.MacVal,_xlpm.CSVVal&lt;&gt;"",_xlpm.CSVVal
)),"")</f>
        <v/>
      </c>
      <c r="G70" s="2" t="str" cm="1">
        <f t="array" ref="G70">IFERROR(_xlfn.LET(
_xlpm.CSVVal,_xlfn.XLOOKUP($A70,CSV!$A:$A,CSV!G:G,""),
_xlpm.MacVal,_xlfn.XLOOKUP($A70,Output_Mac!$A:$A,Output_Mac!F:F,""),
_xlpm.MyAuditVal,_xlfn.XLOOKUP($A70,My_Audit!$A:$A,My_Audit!F:F,""),
_xlfn.IFS(_xlpm.MyAuditVal&lt;&gt;"",_xlpm.MyAuditVal,_xlpm.MacVal&lt;&gt;"",_xlpm.MacVal,_xlpm.CSVVal&lt;&gt;"",PROPER(_xlpm.CSVVal)
)),"")</f>
        <v/>
      </c>
      <c r="H70" s="2" t="str" cm="1">
        <f t="array" ref="H70">IFERROR(_xlfn.LET(
_xlpm.CSVVal,_xlfn.XLOOKUP($A70,CSV!$A:$A,CSV!H:H,""),
_xlpm.MacVal,_xlfn.XLOOKUP($A70,Output_Mac!$A:$A,Output_Mac!H:H,""),
_xlpm.MyAuditVal,_xlfn.XLOOKUP($A70,My_Audit!$A:$A,My_Audit!G:G,""),
_xlfn.IFS(_xlpm.MyAuditVal&lt;&gt;"",_xlpm.MyAuditVal,_xlpm.MacVal&lt;&gt;"",_xlpm.MacVal,_xlpm.CSVVal&lt;&gt;"",_xlpm.CSVVal
)),"")</f>
        <v/>
      </c>
      <c r="I70" s="2" t="str">
        <f>_xlfn.XLOOKUP(A70,Output_Mac!A:A,Output_Mac!I:I,"")</f>
        <v/>
      </c>
      <c r="J70" s="2" t="str" cm="1">
        <f t="array" ref="J70">IFERROR(_xlfn.LET(
_xlpm.CSVVal,_xlfn.XLOOKUP($A70,CSV!$A:$A,CSV!I:I,""),
_xlpm.MacVal,_xlfn.XLOOKUP($A70,Output_Mac!$A:$A,Output_Mac!J:J,""),
_xlpm.MyAuditVal,_xlfn.XLOOKUP($A70,My_Audit!$A:$A,My_Audit!I:I,""),
_xlfn.IFS(_xlpm.MyAuditVal&lt;&gt;"",UPPER(_xlpm.MyAuditVal),_xlpm.MacVal&lt;&gt;"",_xlpm.MacVal,_xlpm.CSVVal&lt;&gt;"",_xlpm.CSVVal
)),"")</f>
        <v/>
      </c>
      <c r="K70" s="2" t="str" cm="1">
        <f t="array" ref="K70">IFERROR(_xlfn.LET(
_xlpm.CSVVal,_xlfn.XLOOKUP($A70,CSV!$A:$A,CSV!K:K,""),
_xlpm.MacVal,_xlfn.XLOOKUP($A70,Output_Mac!$A:$A,Output_Mac!K:K,""),
_xlpm.MyAuditVal,_xlfn.XLOOKUP($A70,My_Audit!$A:$A,My_Audit!J:J,""),
_xlfn.IFS(_xlpm.MyAuditVal&lt;&gt;"",UPPER(_xlpm.MyAuditVal),_xlpm.MacVal&lt;&gt;"",_xlpm.MacVal,_xlpm.CSVVal&lt;&gt;"",_xlpm.CSVVal
)),"")</f>
        <v/>
      </c>
      <c r="L70" s="2" t="str" cm="1">
        <f t="array" ref="L70">IFERROR(_xlfn.LET(
_xlpm.CSVVal,_xlfn.XLOOKUP($A70,CSV!$A:$A,CSV!P:P,""),
_xlpm.MacVal,_xlfn.XLOOKUP($A70,Output_Mac!$A:$A,Output_Mac!L:L,""),
_xlpm.MyAuditVal,_xlfn.XLOOKUP($A70,My_Audit!$A:$A,My_Audit!K:K,""),
_xlfn.IFS(_xlpm.MyAuditVal&lt;&gt;"",UPPER(_xlpm.MyAuditVal),_xlpm.MacVal&lt;&gt;"",_xlpm.MacVal,_xlpm.CSVVal&lt;&gt;"",_xlpm.CSVVal
)),"")</f>
        <v/>
      </c>
      <c r="M70" s="2" t="str" cm="1">
        <f t="array" ref="M70">IFERROR(_xlfn.LET(
_xlpm.CSVVal,_xlfn.XLOOKUP($A70,CSV!$A:$A,CSV!Q:Q,""),
_xlpm.MacVal,_xlfn.XLOOKUP($A70,Output_Mac!$A:$A,Output_Mac!M:M,""),
_xlpm.MyAuditVal,_xlfn.XLOOKUP($A70,My_Audit!$A:$A,My_Audit!L:L,""),
_xlfn.IFS(_xlpm.MyAuditVal&lt;&gt;"",UPPER(_xlpm.MyAuditVal),_xlpm.MacVal&lt;&gt;"",_xlpm.MacVal,_xlpm.CSVVal&lt;&gt;"",_xlpm.CSVVal
)),"")</f>
        <v/>
      </c>
      <c r="O70" s="2" t="str">
        <f>_xlfn.LET(
    _xlpm.CSVVal, _xlfn.XLOOKUP($A70, CSV!$A:$A, CSV!AA:AA, ""),
    _xlpm.MacVal, _xlfn.XLOOKUP($A70, Output_Mac!$A:$A, Output_Mac!S:S, ""),
    _xlpm.MyAuditVal, _xlfn.XLOOKUP($A70, My_Audit!$A:$A, My_Audit!P:P, ""),
    _xlfn.TEXTJOIN(", ", TRUE, _xlpm.MyAuditVal, _xlpm.MacVal, _xlpm.CSVVal)
)</f>
        <v/>
      </c>
      <c r="P70" s="2" t="str" cm="1">
        <f t="array" ref="P70">IFERROR(_xlfn.LET(
_xlpm.CSVVal,_xlfn.XLOOKUP($A70,CSV!$A:$A,CSV!AB:AB,""),
_xlpm.MacVal,_xlfn.XLOOKUP($A70,Output_Mac!$A:$A,Output_Mac!T:T,""),
_xlpm.MyAuditVal,_xlfn.XLOOKUP($A70,My_Audit!$A:$A,My_Audit!Q:Q,""),
_xlfn.IFS(_xlpm.MyAuditVal&lt;&gt;"",UPPER(_xlpm.MyAuditVal),_xlpm.MacVal&lt;&gt;"",_xlpm.MacVal,_xlpm.CSVVal&lt;&gt;"",_xlpm.CSVVal
)),"No")</f>
        <v>No</v>
      </c>
      <c r="Q70" s="2" t="str" cm="1">
        <f t="array" ref="Q70">IFERROR(_xlfn.LET(
_xlpm.CSVVal,_xlfn.XLOOKUP($A70,CSV!$A:$A,CSV!AC:AC,""),
_xlpm.MacVal,_xlfn.XLOOKUP($A70,Output_Mac!$A:$A,Output_Mac!U:U,""),
_xlpm.MyAuditVal,_xlfn.XLOOKUP($A70,My_Audit!$A:$A,My_Audit!R:R,""),
_xlfn.IFS(_xlpm.MyAuditVal&lt;&gt;"",UPPER(_xlpm.MyAuditVal),_xlpm.MacVal&lt;&gt;"",_xlpm.MacVal,_xlpm.CSVVal&lt;&gt;"",_xlpm.CSVVal
)),"")</f>
        <v/>
      </c>
      <c r="X70" t="str">
        <f>_xlfn.LET(
    _xlpm.MacVal, _xlfn.XLOOKUP($A70, Output_Mac!$A:$A, Output_Mac!AB:AB, ""),
    _xlpm.MyAuditVal, _xlfn.XLOOKUP($A70, My_Audit!$A:$A, My_Audit!N:N, ""),
    _xlfn.TEXTJOIN(", ", TRUE, _xlpm.MyAuditVal, _xlpm.MacVal)
)</f>
        <v/>
      </c>
    </row>
    <row r="71" spans="1:24">
      <c r="A71" s="2" t="str">
        <f>_xlfn.TEXTJOIN("",TRUE,Input!$B$2,ROW(My_Audit!A70))</f>
        <v>X70</v>
      </c>
      <c r="B71" s="2" t="str">
        <f>_xlfn.TEXTJOIN("-",TRUE,"ITD",Input!$A$2,A71)</f>
        <v>ITD-SHR-X70</v>
      </c>
      <c r="C71" s="2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2" t="str" cm="1">
        <f t="array" ref="D71">IFERROR(_xlfn.LET(
_xlpm.CSVVal,_xlfn.XLOOKUP($A71,CSV!$A:$A,CSV!D:D,""),
_xlpm.MacVal,_xlfn.XLOOKUP($A71,Output_Mac!$A:$A,Output_Mac!C:C,""),
_xlpm.MyAuditVal,_xlfn.XLOOKUP($A71,My_Audit!$A:$A,My_Audit!C:C,""),
_xlfn.IFS(_xlpm.MyAuditVal&lt;&gt;"",_xlpm.MyAuditVal,_xlpm.MacVal&lt;&gt;"",_xlpm.MacVal,_xlpm.CSVVal&lt;&gt;"",_xlpm.CSVVal
)),"")</f>
        <v/>
      </c>
      <c r="E71" s="2" t="str">
        <f>_xlfn.XLOOKUP(A71,My_Audit!A:A,My_Audit!D:D,"")</f>
        <v/>
      </c>
      <c r="F71" s="2" t="str" cm="1">
        <f t="array" ref="F71">IFERROR(_xlfn.LET(
_xlpm.CSVVal,_xlfn.XLOOKUP($A71,CSV!$A:$A,CSV!F:F,""),
_xlpm.MacVal,_xlfn.XLOOKUP($A71,Output_Mac!$A:$A,Output_Mac!E:E,""),
_xlpm.MyAuditVal,_xlfn.XLOOKUP($A71,My_Audit!$A:$A,My_Audit!E:E,""),
_xlfn.IFS(_xlpm.MyAuditVal&lt;&gt;"",_xlpm.MyAuditVal,_xlpm.MacVal&lt;&gt;"",_xlpm.MacVal,_xlpm.CSVVal&lt;&gt;"",_xlpm.CSVVal
)),"")</f>
        <v/>
      </c>
      <c r="G71" s="2" t="str" cm="1">
        <f t="array" ref="G71">IFERROR(_xlfn.LET(
_xlpm.CSVVal,_xlfn.XLOOKUP($A71,CSV!$A:$A,CSV!G:G,""),
_xlpm.MacVal,_xlfn.XLOOKUP($A71,Output_Mac!$A:$A,Output_Mac!F:F,""),
_xlpm.MyAuditVal,_xlfn.XLOOKUP($A71,My_Audit!$A:$A,My_Audit!F:F,""),
_xlfn.IFS(_xlpm.MyAuditVal&lt;&gt;"",_xlpm.MyAuditVal,_xlpm.MacVal&lt;&gt;"",_xlpm.MacVal,_xlpm.CSVVal&lt;&gt;"",PROPER(_xlpm.CSVVal)
)),"")</f>
        <v/>
      </c>
      <c r="H71" s="2" t="str" cm="1">
        <f t="array" ref="H71">IFERROR(_xlfn.LET(
_xlpm.CSVVal,_xlfn.XLOOKUP($A71,CSV!$A:$A,CSV!H:H,""),
_xlpm.MacVal,_xlfn.XLOOKUP($A71,Output_Mac!$A:$A,Output_Mac!H:H,""),
_xlpm.MyAuditVal,_xlfn.XLOOKUP($A71,My_Audit!$A:$A,My_Audit!G:G,""),
_xlfn.IFS(_xlpm.MyAuditVal&lt;&gt;"",_xlpm.MyAuditVal,_xlpm.MacVal&lt;&gt;"",_xlpm.MacVal,_xlpm.CSVVal&lt;&gt;"",_xlpm.CSVVal
)),"")</f>
        <v/>
      </c>
      <c r="I71" s="2" t="str">
        <f>_xlfn.XLOOKUP(A71,Output_Mac!A:A,Output_Mac!I:I,"")</f>
        <v/>
      </c>
      <c r="J71" s="2" t="str" cm="1">
        <f t="array" ref="J71">IFERROR(_xlfn.LET(
_xlpm.CSVVal,_xlfn.XLOOKUP($A71,CSV!$A:$A,CSV!I:I,""),
_xlpm.MacVal,_xlfn.XLOOKUP($A71,Output_Mac!$A:$A,Output_Mac!J:J,""),
_xlpm.MyAuditVal,_xlfn.XLOOKUP($A71,My_Audit!$A:$A,My_Audit!I:I,""),
_xlfn.IFS(_xlpm.MyAuditVal&lt;&gt;"",UPPER(_xlpm.MyAuditVal),_xlpm.MacVal&lt;&gt;"",_xlpm.MacVal,_xlpm.CSVVal&lt;&gt;"",_xlpm.CSVVal
)),"")</f>
        <v/>
      </c>
      <c r="K71" s="2" t="str" cm="1">
        <f t="array" ref="K71">IFERROR(_xlfn.LET(
_xlpm.CSVVal,_xlfn.XLOOKUP($A71,CSV!$A:$A,CSV!K:K,""),
_xlpm.MacVal,_xlfn.XLOOKUP($A71,Output_Mac!$A:$A,Output_Mac!K:K,""),
_xlpm.MyAuditVal,_xlfn.XLOOKUP($A71,My_Audit!$A:$A,My_Audit!J:J,""),
_xlfn.IFS(_xlpm.MyAuditVal&lt;&gt;"",UPPER(_xlpm.MyAuditVal),_xlpm.MacVal&lt;&gt;"",_xlpm.MacVal,_xlpm.CSVVal&lt;&gt;"",_xlpm.CSVVal
)),"")</f>
        <v/>
      </c>
      <c r="L71" s="2" t="str" cm="1">
        <f t="array" ref="L71">IFERROR(_xlfn.LET(
_xlpm.CSVVal,_xlfn.XLOOKUP($A71,CSV!$A:$A,CSV!P:P,""),
_xlpm.MacVal,_xlfn.XLOOKUP($A71,Output_Mac!$A:$A,Output_Mac!L:L,""),
_xlpm.MyAuditVal,_xlfn.XLOOKUP($A71,My_Audit!$A:$A,My_Audit!K:K,""),
_xlfn.IFS(_xlpm.MyAuditVal&lt;&gt;"",UPPER(_xlpm.MyAuditVal),_xlpm.MacVal&lt;&gt;"",_xlpm.MacVal,_xlpm.CSVVal&lt;&gt;"",_xlpm.CSVVal
)),"")</f>
        <v/>
      </c>
      <c r="M71" s="2" t="str" cm="1">
        <f t="array" ref="M71">IFERROR(_xlfn.LET(
_xlpm.CSVVal,_xlfn.XLOOKUP($A71,CSV!$A:$A,CSV!Q:Q,""),
_xlpm.MacVal,_xlfn.XLOOKUP($A71,Output_Mac!$A:$A,Output_Mac!M:M,""),
_xlpm.MyAuditVal,_xlfn.XLOOKUP($A71,My_Audit!$A:$A,My_Audit!L:L,""),
_xlfn.IFS(_xlpm.MyAuditVal&lt;&gt;"",UPPER(_xlpm.MyAuditVal),_xlpm.MacVal&lt;&gt;"",_xlpm.MacVal,_xlpm.CSVVal&lt;&gt;"",_xlpm.CSVVal
)),"")</f>
        <v/>
      </c>
      <c r="O71" s="2" t="str">
        <f>_xlfn.LET(
    _xlpm.CSVVal, _xlfn.XLOOKUP($A71, CSV!$A:$A, CSV!AA:AA, ""),
    _xlpm.MacVal, _xlfn.XLOOKUP($A71, Output_Mac!$A:$A, Output_Mac!S:S, ""),
    _xlpm.MyAuditVal, _xlfn.XLOOKUP($A71, My_Audit!$A:$A, My_Audit!P:P, ""),
    _xlfn.TEXTJOIN(", ", TRUE, _xlpm.MyAuditVal, _xlpm.MacVal, _xlpm.CSVVal)
)</f>
        <v/>
      </c>
      <c r="P71" s="2" t="str" cm="1">
        <f t="array" ref="P71">IFERROR(_xlfn.LET(
_xlpm.CSVVal,_xlfn.XLOOKUP($A71,CSV!$A:$A,CSV!AB:AB,""),
_xlpm.MacVal,_xlfn.XLOOKUP($A71,Output_Mac!$A:$A,Output_Mac!T:T,""),
_xlpm.MyAuditVal,_xlfn.XLOOKUP($A71,My_Audit!$A:$A,My_Audit!Q:Q,""),
_xlfn.IFS(_xlpm.MyAuditVal&lt;&gt;"",UPPER(_xlpm.MyAuditVal),_xlpm.MacVal&lt;&gt;"",_xlpm.MacVal,_xlpm.CSVVal&lt;&gt;"",_xlpm.CSVVal
)),"No")</f>
        <v>No</v>
      </c>
      <c r="Q71" s="2" t="str" cm="1">
        <f t="array" ref="Q71">IFERROR(_xlfn.LET(
_xlpm.CSVVal,_xlfn.XLOOKUP($A71,CSV!$A:$A,CSV!AC:AC,""),
_xlpm.MacVal,_xlfn.XLOOKUP($A71,Output_Mac!$A:$A,Output_Mac!U:U,""),
_xlpm.MyAuditVal,_xlfn.XLOOKUP($A71,My_Audit!$A:$A,My_Audit!R:R,""),
_xlfn.IFS(_xlpm.MyAuditVal&lt;&gt;"",UPPER(_xlpm.MyAuditVal),_xlpm.MacVal&lt;&gt;"",_xlpm.MacVal,_xlpm.CSVVal&lt;&gt;"",_xlpm.CSVVal
)),"")</f>
        <v/>
      </c>
      <c r="X71" t="str">
        <f>_xlfn.LET(
    _xlpm.MacVal, _xlfn.XLOOKUP($A71, Output_Mac!$A:$A, Output_Mac!AB:AB, ""),
    _xlpm.MyAuditVal, _xlfn.XLOOKUP($A71, My_Audit!$A:$A, My_Audit!N:N, ""),
    _xlfn.TEXTJOIN(", ", TRUE, _xlpm.MyAuditVal, _xlpm.MacVal)
)</f>
        <v/>
      </c>
    </row>
    <row r="72" spans="1:24">
      <c r="A72" s="2" t="str">
        <f>_xlfn.TEXTJOIN("",TRUE,Input!$B$2,ROW(My_Audit!A71))</f>
        <v>X71</v>
      </c>
      <c r="B72" s="2" t="str">
        <f>_xlfn.TEXTJOIN("-",TRUE,"ITD",Input!$A$2,A72)</f>
        <v>ITD-SHR-X71</v>
      </c>
      <c r="C72" s="2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2" t="str" cm="1">
        <f t="array" ref="D72">IFERROR(_xlfn.LET(
_xlpm.CSVVal,_xlfn.XLOOKUP($A72,CSV!$A:$A,CSV!D:D,""),
_xlpm.MacVal,_xlfn.XLOOKUP($A72,Output_Mac!$A:$A,Output_Mac!C:C,""),
_xlpm.MyAuditVal,_xlfn.XLOOKUP($A72,My_Audit!$A:$A,My_Audit!C:C,""),
_xlfn.IFS(_xlpm.MyAuditVal&lt;&gt;"",_xlpm.MyAuditVal,_xlpm.MacVal&lt;&gt;"",_xlpm.MacVal,_xlpm.CSVVal&lt;&gt;"",_xlpm.CSVVal
)),"")</f>
        <v/>
      </c>
      <c r="E72" s="2" t="str">
        <f>_xlfn.XLOOKUP(A72,My_Audit!A:A,My_Audit!D:D,"")</f>
        <v/>
      </c>
      <c r="F72" s="2" t="str" cm="1">
        <f t="array" ref="F72">IFERROR(_xlfn.LET(
_xlpm.CSVVal,_xlfn.XLOOKUP($A72,CSV!$A:$A,CSV!F:F,""),
_xlpm.MacVal,_xlfn.XLOOKUP($A72,Output_Mac!$A:$A,Output_Mac!E:E,""),
_xlpm.MyAuditVal,_xlfn.XLOOKUP($A72,My_Audit!$A:$A,My_Audit!E:E,""),
_xlfn.IFS(_xlpm.MyAuditVal&lt;&gt;"",_xlpm.MyAuditVal,_xlpm.MacVal&lt;&gt;"",_xlpm.MacVal,_xlpm.CSVVal&lt;&gt;"",_xlpm.CSVVal
)),"")</f>
        <v/>
      </c>
      <c r="G72" s="2" t="str" cm="1">
        <f t="array" ref="G72">IFERROR(_xlfn.LET(
_xlpm.CSVVal,_xlfn.XLOOKUP($A72,CSV!$A:$A,CSV!G:G,""),
_xlpm.MacVal,_xlfn.XLOOKUP($A72,Output_Mac!$A:$A,Output_Mac!F:F,""),
_xlpm.MyAuditVal,_xlfn.XLOOKUP($A72,My_Audit!$A:$A,My_Audit!F:F,""),
_xlfn.IFS(_xlpm.MyAuditVal&lt;&gt;"",_xlpm.MyAuditVal,_xlpm.MacVal&lt;&gt;"",_xlpm.MacVal,_xlpm.CSVVal&lt;&gt;"",PROPER(_xlpm.CSVVal)
)),"")</f>
        <v/>
      </c>
      <c r="H72" s="2" t="str" cm="1">
        <f t="array" ref="H72">IFERROR(_xlfn.LET(
_xlpm.CSVVal,_xlfn.XLOOKUP($A72,CSV!$A:$A,CSV!H:H,""),
_xlpm.MacVal,_xlfn.XLOOKUP($A72,Output_Mac!$A:$A,Output_Mac!H:H,""),
_xlpm.MyAuditVal,_xlfn.XLOOKUP($A72,My_Audit!$A:$A,My_Audit!G:G,""),
_xlfn.IFS(_xlpm.MyAuditVal&lt;&gt;"",_xlpm.MyAuditVal,_xlpm.MacVal&lt;&gt;"",_xlpm.MacVal,_xlpm.CSVVal&lt;&gt;"",_xlpm.CSVVal
)),"")</f>
        <v/>
      </c>
      <c r="I72" s="2" t="str">
        <f>_xlfn.XLOOKUP(A72,Output_Mac!A:A,Output_Mac!I:I,"")</f>
        <v/>
      </c>
      <c r="J72" s="2" t="str" cm="1">
        <f t="array" ref="J72">IFERROR(_xlfn.LET(
_xlpm.CSVVal,_xlfn.XLOOKUP($A72,CSV!$A:$A,CSV!I:I,""),
_xlpm.MacVal,_xlfn.XLOOKUP($A72,Output_Mac!$A:$A,Output_Mac!J:J,""),
_xlpm.MyAuditVal,_xlfn.XLOOKUP($A72,My_Audit!$A:$A,My_Audit!I:I,""),
_xlfn.IFS(_xlpm.MyAuditVal&lt;&gt;"",UPPER(_xlpm.MyAuditVal),_xlpm.MacVal&lt;&gt;"",_xlpm.MacVal,_xlpm.CSVVal&lt;&gt;"",_xlpm.CSVVal
)),"")</f>
        <v/>
      </c>
      <c r="K72" s="2" t="str" cm="1">
        <f t="array" ref="K72">IFERROR(_xlfn.LET(
_xlpm.CSVVal,_xlfn.XLOOKUP($A72,CSV!$A:$A,CSV!K:K,""),
_xlpm.MacVal,_xlfn.XLOOKUP($A72,Output_Mac!$A:$A,Output_Mac!K:K,""),
_xlpm.MyAuditVal,_xlfn.XLOOKUP($A72,My_Audit!$A:$A,My_Audit!J:J,""),
_xlfn.IFS(_xlpm.MyAuditVal&lt;&gt;"",UPPER(_xlpm.MyAuditVal),_xlpm.MacVal&lt;&gt;"",_xlpm.MacVal,_xlpm.CSVVal&lt;&gt;"",_xlpm.CSVVal
)),"")</f>
        <v/>
      </c>
      <c r="L72" s="2" t="str" cm="1">
        <f t="array" ref="L72">IFERROR(_xlfn.LET(
_xlpm.CSVVal,_xlfn.XLOOKUP($A72,CSV!$A:$A,CSV!P:P,""),
_xlpm.MacVal,_xlfn.XLOOKUP($A72,Output_Mac!$A:$A,Output_Mac!L:L,""),
_xlpm.MyAuditVal,_xlfn.XLOOKUP($A72,My_Audit!$A:$A,My_Audit!K:K,""),
_xlfn.IFS(_xlpm.MyAuditVal&lt;&gt;"",UPPER(_xlpm.MyAuditVal),_xlpm.MacVal&lt;&gt;"",_xlpm.MacVal,_xlpm.CSVVal&lt;&gt;"",_xlpm.CSVVal
)),"")</f>
        <v/>
      </c>
      <c r="M72" s="2" t="str" cm="1">
        <f t="array" ref="M72">IFERROR(_xlfn.LET(
_xlpm.CSVVal,_xlfn.XLOOKUP($A72,CSV!$A:$A,CSV!Q:Q,""),
_xlpm.MacVal,_xlfn.XLOOKUP($A72,Output_Mac!$A:$A,Output_Mac!M:M,""),
_xlpm.MyAuditVal,_xlfn.XLOOKUP($A72,My_Audit!$A:$A,My_Audit!L:L,""),
_xlfn.IFS(_xlpm.MyAuditVal&lt;&gt;"",UPPER(_xlpm.MyAuditVal),_xlpm.MacVal&lt;&gt;"",_xlpm.MacVal,_xlpm.CSVVal&lt;&gt;"",_xlpm.CSVVal
)),"")</f>
        <v/>
      </c>
      <c r="O72" s="2" t="str">
        <f>_xlfn.LET(
    _xlpm.CSVVal, _xlfn.XLOOKUP($A72, CSV!$A:$A, CSV!AA:AA, ""),
    _xlpm.MacVal, _xlfn.XLOOKUP($A72, Output_Mac!$A:$A, Output_Mac!S:S, ""),
    _xlpm.MyAuditVal, _xlfn.XLOOKUP($A72, My_Audit!$A:$A, My_Audit!P:P, ""),
    _xlfn.TEXTJOIN(", ", TRUE, _xlpm.MyAuditVal, _xlpm.MacVal, _xlpm.CSVVal)
)</f>
        <v/>
      </c>
      <c r="P72" s="2" t="str" cm="1">
        <f t="array" ref="P72">IFERROR(_xlfn.LET(
_xlpm.CSVVal,_xlfn.XLOOKUP($A72,CSV!$A:$A,CSV!AB:AB,""),
_xlpm.MacVal,_xlfn.XLOOKUP($A72,Output_Mac!$A:$A,Output_Mac!T:T,""),
_xlpm.MyAuditVal,_xlfn.XLOOKUP($A72,My_Audit!$A:$A,My_Audit!Q:Q,""),
_xlfn.IFS(_xlpm.MyAuditVal&lt;&gt;"",UPPER(_xlpm.MyAuditVal),_xlpm.MacVal&lt;&gt;"",_xlpm.MacVal,_xlpm.CSVVal&lt;&gt;"",_xlpm.CSVVal
)),"No")</f>
        <v>No</v>
      </c>
      <c r="Q72" s="2" t="str" cm="1">
        <f t="array" ref="Q72">IFERROR(_xlfn.LET(
_xlpm.CSVVal,_xlfn.XLOOKUP($A72,CSV!$A:$A,CSV!AC:AC,""),
_xlpm.MacVal,_xlfn.XLOOKUP($A72,Output_Mac!$A:$A,Output_Mac!U:U,""),
_xlpm.MyAuditVal,_xlfn.XLOOKUP($A72,My_Audit!$A:$A,My_Audit!R:R,""),
_xlfn.IFS(_xlpm.MyAuditVal&lt;&gt;"",UPPER(_xlpm.MyAuditVal),_xlpm.MacVal&lt;&gt;"",_xlpm.MacVal,_xlpm.CSVVal&lt;&gt;"",_xlpm.CSVVal
)),"")</f>
        <v/>
      </c>
      <c r="X72" t="str">
        <f>_xlfn.LET(
    _xlpm.MacVal, _xlfn.XLOOKUP($A72, Output_Mac!$A:$A, Output_Mac!AB:AB, ""),
    _xlpm.MyAuditVal, _xlfn.XLOOKUP($A72, My_Audit!$A:$A, My_Audit!N:N, ""),
    _xlfn.TEXTJOIN(", ", TRUE, _xlpm.MyAuditVal, _xlpm.MacVal)
)</f>
        <v/>
      </c>
    </row>
    <row r="73" spans="1:24">
      <c r="A73" s="2" t="str">
        <f>_xlfn.TEXTJOIN("",TRUE,Input!$B$2,ROW(My_Audit!A72))</f>
        <v>X72</v>
      </c>
      <c r="B73" s="2" t="str">
        <f>_xlfn.TEXTJOIN("-",TRUE,"ITD",Input!$A$2,A73)</f>
        <v>ITD-SHR-X72</v>
      </c>
      <c r="C73" s="2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2" t="str" cm="1">
        <f t="array" ref="D73">IFERROR(_xlfn.LET(
_xlpm.CSVVal,_xlfn.XLOOKUP($A73,CSV!$A:$A,CSV!D:D,""),
_xlpm.MacVal,_xlfn.XLOOKUP($A73,Output_Mac!$A:$A,Output_Mac!C:C,""),
_xlpm.MyAuditVal,_xlfn.XLOOKUP($A73,My_Audit!$A:$A,My_Audit!C:C,""),
_xlfn.IFS(_xlpm.MyAuditVal&lt;&gt;"",_xlpm.MyAuditVal,_xlpm.MacVal&lt;&gt;"",_xlpm.MacVal,_xlpm.CSVVal&lt;&gt;"",_xlpm.CSVVal
)),"")</f>
        <v/>
      </c>
      <c r="E73" s="2" t="str">
        <f>_xlfn.XLOOKUP(A73,My_Audit!A:A,My_Audit!D:D,"")</f>
        <v/>
      </c>
      <c r="F73" s="2" t="str" cm="1">
        <f t="array" ref="F73">IFERROR(_xlfn.LET(
_xlpm.CSVVal,_xlfn.XLOOKUP($A73,CSV!$A:$A,CSV!F:F,""),
_xlpm.MacVal,_xlfn.XLOOKUP($A73,Output_Mac!$A:$A,Output_Mac!E:E,""),
_xlpm.MyAuditVal,_xlfn.XLOOKUP($A73,My_Audit!$A:$A,My_Audit!E:E,""),
_xlfn.IFS(_xlpm.MyAuditVal&lt;&gt;"",_xlpm.MyAuditVal,_xlpm.MacVal&lt;&gt;"",_xlpm.MacVal,_xlpm.CSVVal&lt;&gt;"",_xlpm.CSVVal
)),"")</f>
        <v/>
      </c>
      <c r="G73" s="2" t="str" cm="1">
        <f t="array" ref="G73">IFERROR(_xlfn.LET(
_xlpm.CSVVal,_xlfn.XLOOKUP($A73,CSV!$A:$A,CSV!G:G,""),
_xlpm.MacVal,_xlfn.XLOOKUP($A73,Output_Mac!$A:$A,Output_Mac!F:F,""),
_xlpm.MyAuditVal,_xlfn.XLOOKUP($A73,My_Audit!$A:$A,My_Audit!F:F,""),
_xlfn.IFS(_xlpm.MyAuditVal&lt;&gt;"",_xlpm.MyAuditVal,_xlpm.MacVal&lt;&gt;"",_xlpm.MacVal,_xlpm.CSVVal&lt;&gt;"",PROPER(_xlpm.CSVVal)
)),"")</f>
        <v/>
      </c>
      <c r="H73" s="2" t="str" cm="1">
        <f t="array" ref="H73">IFERROR(_xlfn.LET(
_xlpm.CSVVal,_xlfn.XLOOKUP($A73,CSV!$A:$A,CSV!H:H,""),
_xlpm.MacVal,_xlfn.XLOOKUP($A73,Output_Mac!$A:$A,Output_Mac!H:H,""),
_xlpm.MyAuditVal,_xlfn.XLOOKUP($A73,My_Audit!$A:$A,My_Audit!G:G,""),
_xlfn.IFS(_xlpm.MyAuditVal&lt;&gt;"",_xlpm.MyAuditVal,_xlpm.MacVal&lt;&gt;"",_xlpm.MacVal,_xlpm.CSVVal&lt;&gt;"",_xlpm.CSVVal
)),"")</f>
        <v/>
      </c>
      <c r="I73" s="2" t="str">
        <f>_xlfn.XLOOKUP(A73,Output_Mac!A:A,Output_Mac!I:I,"")</f>
        <v/>
      </c>
      <c r="J73" s="2" t="str" cm="1">
        <f t="array" ref="J73">IFERROR(_xlfn.LET(
_xlpm.CSVVal,_xlfn.XLOOKUP($A73,CSV!$A:$A,CSV!I:I,""),
_xlpm.MacVal,_xlfn.XLOOKUP($A73,Output_Mac!$A:$A,Output_Mac!J:J,""),
_xlpm.MyAuditVal,_xlfn.XLOOKUP($A73,My_Audit!$A:$A,My_Audit!I:I,""),
_xlfn.IFS(_xlpm.MyAuditVal&lt;&gt;"",UPPER(_xlpm.MyAuditVal),_xlpm.MacVal&lt;&gt;"",_xlpm.MacVal,_xlpm.CSVVal&lt;&gt;"",_xlpm.CSVVal
)),"")</f>
        <v/>
      </c>
      <c r="K73" s="2" t="str" cm="1">
        <f t="array" ref="K73">IFERROR(_xlfn.LET(
_xlpm.CSVVal,_xlfn.XLOOKUP($A73,CSV!$A:$A,CSV!K:K,""),
_xlpm.MacVal,_xlfn.XLOOKUP($A73,Output_Mac!$A:$A,Output_Mac!K:K,""),
_xlpm.MyAuditVal,_xlfn.XLOOKUP($A73,My_Audit!$A:$A,My_Audit!J:J,""),
_xlfn.IFS(_xlpm.MyAuditVal&lt;&gt;"",UPPER(_xlpm.MyAuditVal),_xlpm.MacVal&lt;&gt;"",_xlpm.MacVal,_xlpm.CSVVal&lt;&gt;"",_xlpm.CSVVal
)),"")</f>
        <v/>
      </c>
      <c r="L73" s="2" t="str" cm="1">
        <f t="array" ref="L73">IFERROR(_xlfn.LET(
_xlpm.CSVVal,_xlfn.XLOOKUP($A73,CSV!$A:$A,CSV!P:P,""),
_xlpm.MacVal,_xlfn.XLOOKUP($A73,Output_Mac!$A:$A,Output_Mac!L:L,""),
_xlpm.MyAuditVal,_xlfn.XLOOKUP($A73,My_Audit!$A:$A,My_Audit!K:K,""),
_xlfn.IFS(_xlpm.MyAuditVal&lt;&gt;"",UPPER(_xlpm.MyAuditVal),_xlpm.MacVal&lt;&gt;"",_xlpm.MacVal,_xlpm.CSVVal&lt;&gt;"",_xlpm.CSVVal
)),"")</f>
        <v/>
      </c>
      <c r="M73" s="2" t="str" cm="1">
        <f t="array" ref="M73">IFERROR(_xlfn.LET(
_xlpm.CSVVal,_xlfn.XLOOKUP($A73,CSV!$A:$A,CSV!Q:Q,""),
_xlpm.MacVal,_xlfn.XLOOKUP($A73,Output_Mac!$A:$A,Output_Mac!M:M,""),
_xlpm.MyAuditVal,_xlfn.XLOOKUP($A73,My_Audit!$A:$A,My_Audit!L:L,""),
_xlfn.IFS(_xlpm.MyAuditVal&lt;&gt;"",UPPER(_xlpm.MyAuditVal),_xlpm.MacVal&lt;&gt;"",_xlpm.MacVal,_xlpm.CSVVal&lt;&gt;"",_xlpm.CSVVal
)),"")</f>
        <v/>
      </c>
      <c r="O73" s="2" t="str">
        <f>_xlfn.LET(
    _xlpm.CSVVal, _xlfn.XLOOKUP($A73, CSV!$A:$A, CSV!AA:AA, ""),
    _xlpm.MacVal, _xlfn.XLOOKUP($A73, Output_Mac!$A:$A, Output_Mac!S:S, ""),
    _xlpm.MyAuditVal, _xlfn.XLOOKUP($A73, My_Audit!$A:$A, My_Audit!P:P, ""),
    _xlfn.TEXTJOIN(", ", TRUE, _xlpm.MyAuditVal, _xlpm.MacVal, _xlpm.CSVVal)
)</f>
        <v/>
      </c>
      <c r="P73" s="2" t="str" cm="1">
        <f t="array" ref="P73">IFERROR(_xlfn.LET(
_xlpm.CSVVal,_xlfn.XLOOKUP($A73,CSV!$A:$A,CSV!AB:AB,""),
_xlpm.MacVal,_xlfn.XLOOKUP($A73,Output_Mac!$A:$A,Output_Mac!T:T,""),
_xlpm.MyAuditVal,_xlfn.XLOOKUP($A73,My_Audit!$A:$A,My_Audit!Q:Q,""),
_xlfn.IFS(_xlpm.MyAuditVal&lt;&gt;"",UPPER(_xlpm.MyAuditVal),_xlpm.MacVal&lt;&gt;"",_xlpm.MacVal,_xlpm.CSVVal&lt;&gt;"",_xlpm.CSVVal
)),"No")</f>
        <v>No</v>
      </c>
      <c r="Q73" s="2" t="str" cm="1">
        <f t="array" ref="Q73">IFERROR(_xlfn.LET(
_xlpm.CSVVal,_xlfn.XLOOKUP($A73,CSV!$A:$A,CSV!AC:AC,""),
_xlpm.MacVal,_xlfn.XLOOKUP($A73,Output_Mac!$A:$A,Output_Mac!U:U,""),
_xlpm.MyAuditVal,_xlfn.XLOOKUP($A73,My_Audit!$A:$A,My_Audit!R:R,""),
_xlfn.IFS(_xlpm.MyAuditVal&lt;&gt;"",UPPER(_xlpm.MyAuditVal),_xlpm.MacVal&lt;&gt;"",_xlpm.MacVal,_xlpm.CSVVal&lt;&gt;"",_xlpm.CSVVal
)),"")</f>
        <v/>
      </c>
      <c r="X73" t="str">
        <f>_xlfn.LET(
    _xlpm.MacVal, _xlfn.XLOOKUP($A73, Output_Mac!$A:$A, Output_Mac!AB:AB, ""),
    _xlpm.MyAuditVal, _xlfn.XLOOKUP($A73, My_Audit!$A:$A, My_Audit!N:N, ""),
    _xlfn.TEXTJOIN(", ", TRUE, _xlpm.MyAuditVal, _xlpm.MacVal)
)</f>
        <v/>
      </c>
    </row>
    <row r="74" spans="1:24">
      <c r="A74" s="2" t="str">
        <f>_xlfn.TEXTJOIN("",TRUE,Input!$B$2,ROW(My_Audit!A73))</f>
        <v>X73</v>
      </c>
      <c r="B74" s="2" t="str">
        <f>_xlfn.TEXTJOIN("-",TRUE,"ITD",Input!$A$2,A74)</f>
        <v>ITD-SHR-X73</v>
      </c>
      <c r="C74" s="2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2" t="str" cm="1">
        <f t="array" ref="D74">IFERROR(_xlfn.LET(
_xlpm.CSVVal,_xlfn.XLOOKUP($A74,CSV!$A:$A,CSV!D:D,""),
_xlpm.MacVal,_xlfn.XLOOKUP($A74,Output_Mac!$A:$A,Output_Mac!C:C,""),
_xlpm.MyAuditVal,_xlfn.XLOOKUP($A74,My_Audit!$A:$A,My_Audit!C:C,""),
_xlfn.IFS(_xlpm.MyAuditVal&lt;&gt;"",_xlpm.MyAuditVal,_xlpm.MacVal&lt;&gt;"",_xlpm.MacVal,_xlpm.CSVVal&lt;&gt;"",_xlpm.CSVVal
)),"")</f>
        <v/>
      </c>
      <c r="E74" s="2" t="str">
        <f>_xlfn.XLOOKUP(A74,My_Audit!A:A,My_Audit!D:D,"")</f>
        <v/>
      </c>
      <c r="F74" s="2" t="str" cm="1">
        <f t="array" ref="F74">IFERROR(_xlfn.LET(
_xlpm.CSVVal,_xlfn.XLOOKUP($A74,CSV!$A:$A,CSV!F:F,""),
_xlpm.MacVal,_xlfn.XLOOKUP($A74,Output_Mac!$A:$A,Output_Mac!E:E,""),
_xlpm.MyAuditVal,_xlfn.XLOOKUP($A74,My_Audit!$A:$A,My_Audit!E:E,""),
_xlfn.IFS(_xlpm.MyAuditVal&lt;&gt;"",_xlpm.MyAuditVal,_xlpm.MacVal&lt;&gt;"",_xlpm.MacVal,_xlpm.CSVVal&lt;&gt;"",_xlpm.CSVVal
)),"")</f>
        <v/>
      </c>
      <c r="G74" s="2" t="str" cm="1">
        <f t="array" ref="G74">IFERROR(_xlfn.LET(
_xlpm.CSVVal,_xlfn.XLOOKUP($A74,CSV!$A:$A,CSV!G:G,""),
_xlpm.MacVal,_xlfn.XLOOKUP($A74,Output_Mac!$A:$A,Output_Mac!F:F,""),
_xlpm.MyAuditVal,_xlfn.XLOOKUP($A74,My_Audit!$A:$A,My_Audit!F:F,""),
_xlfn.IFS(_xlpm.MyAuditVal&lt;&gt;"",_xlpm.MyAuditVal,_xlpm.MacVal&lt;&gt;"",_xlpm.MacVal,_xlpm.CSVVal&lt;&gt;"",PROPER(_xlpm.CSVVal)
)),"")</f>
        <v/>
      </c>
      <c r="H74" s="2" t="str" cm="1">
        <f t="array" ref="H74">IFERROR(_xlfn.LET(
_xlpm.CSVVal,_xlfn.XLOOKUP($A74,CSV!$A:$A,CSV!H:H,""),
_xlpm.MacVal,_xlfn.XLOOKUP($A74,Output_Mac!$A:$A,Output_Mac!H:H,""),
_xlpm.MyAuditVal,_xlfn.XLOOKUP($A74,My_Audit!$A:$A,My_Audit!G:G,""),
_xlfn.IFS(_xlpm.MyAuditVal&lt;&gt;"",_xlpm.MyAuditVal,_xlpm.MacVal&lt;&gt;"",_xlpm.MacVal,_xlpm.CSVVal&lt;&gt;"",_xlpm.CSVVal
)),"")</f>
        <v/>
      </c>
      <c r="I74" s="2" t="str">
        <f>_xlfn.XLOOKUP(A74,Output_Mac!A:A,Output_Mac!I:I,"")</f>
        <v/>
      </c>
      <c r="J74" s="2" t="str" cm="1">
        <f t="array" ref="J74">IFERROR(_xlfn.LET(
_xlpm.CSVVal,_xlfn.XLOOKUP($A74,CSV!$A:$A,CSV!I:I,""),
_xlpm.MacVal,_xlfn.XLOOKUP($A74,Output_Mac!$A:$A,Output_Mac!J:J,""),
_xlpm.MyAuditVal,_xlfn.XLOOKUP($A74,My_Audit!$A:$A,My_Audit!I:I,""),
_xlfn.IFS(_xlpm.MyAuditVal&lt;&gt;"",UPPER(_xlpm.MyAuditVal),_xlpm.MacVal&lt;&gt;"",_xlpm.MacVal,_xlpm.CSVVal&lt;&gt;"",_xlpm.CSVVal
)),"")</f>
        <v/>
      </c>
      <c r="K74" s="2" t="str" cm="1">
        <f t="array" ref="K74">IFERROR(_xlfn.LET(
_xlpm.CSVVal,_xlfn.XLOOKUP($A74,CSV!$A:$A,CSV!K:K,""),
_xlpm.MacVal,_xlfn.XLOOKUP($A74,Output_Mac!$A:$A,Output_Mac!K:K,""),
_xlpm.MyAuditVal,_xlfn.XLOOKUP($A74,My_Audit!$A:$A,My_Audit!J:J,""),
_xlfn.IFS(_xlpm.MyAuditVal&lt;&gt;"",UPPER(_xlpm.MyAuditVal),_xlpm.MacVal&lt;&gt;"",_xlpm.MacVal,_xlpm.CSVVal&lt;&gt;"",_xlpm.CSVVal
)),"")</f>
        <v/>
      </c>
      <c r="L74" s="2" t="str" cm="1">
        <f t="array" ref="L74">IFERROR(_xlfn.LET(
_xlpm.CSVVal,_xlfn.XLOOKUP($A74,CSV!$A:$A,CSV!P:P,""),
_xlpm.MacVal,_xlfn.XLOOKUP($A74,Output_Mac!$A:$A,Output_Mac!L:L,""),
_xlpm.MyAuditVal,_xlfn.XLOOKUP($A74,My_Audit!$A:$A,My_Audit!K:K,""),
_xlfn.IFS(_xlpm.MyAuditVal&lt;&gt;"",UPPER(_xlpm.MyAuditVal),_xlpm.MacVal&lt;&gt;"",_xlpm.MacVal,_xlpm.CSVVal&lt;&gt;"",_xlpm.CSVVal
)),"")</f>
        <v/>
      </c>
      <c r="M74" s="2" t="str" cm="1">
        <f t="array" ref="M74">IFERROR(_xlfn.LET(
_xlpm.CSVVal,_xlfn.XLOOKUP($A74,CSV!$A:$A,CSV!Q:Q,""),
_xlpm.MacVal,_xlfn.XLOOKUP($A74,Output_Mac!$A:$A,Output_Mac!M:M,""),
_xlpm.MyAuditVal,_xlfn.XLOOKUP($A74,My_Audit!$A:$A,My_Audit!L:L,""),
_xlfn.IFS(_xlpm.MyAuditVal&lt;&gt;"",UPPER(_xlpm.MyAuditVal),_xlpm.MacVal&lt;&gt;"",_xlpm.MacVal,_xlpm.CSVVal&lt;&gt;"",_xlpm.CSVVal
)),"")</f>
        <v/>
      </c>
      <c r="O74" s="2" t="str">
        <f>_xlfn.LET(
    _xlpm.CSVVal, _xlfn.XLOOKUP($A74, CSV!$A:$A, CSV!AA:AA, ""),
    _xlpm.MacVal, _xlfn.XLOOKUP($A74, Output_Mac!$A:$A, Output_Mac!S:S, ""),
    _xlpm.MyAuditVal, _xlfn.XLOOKUP($A74, My_Audit!$A:$A, My_Audit!P:P, ""),
    _xlfn.TEXTJOIN(", ", TRUE, _xlpm.MyAuditVal, _xlpm.MacVal, _xlpm.CSVVal)
)</f>
        <v/>
      </c>
      <c r="P74" s="2" t="str" cm="1">
        <f t="array" ref="P74">IFERROR(_xlfn.LET(
_xlpm.CSVVal,_xlfn.XLOOKUP($A74,CSV!$A:$A,CSV!AB:AB,""),
_xlpm.MacVal,_xlfn.XLOOKUP($A74,Output_Mac!$A:$A,Output_Mac!T:T,""),
_xlpm.MyAuditVal,_xlfn.XLOOKUP($A74,My_Audit!$A:$A,My_Audit!Q:Q,""),
_xlfn.IFS(_xlpm.MyAuditVal&lt;&gt;"",UPPER(_xlpm.MyAuditVal),_xlpm.MacVal&lt;&gt;"",_xlpm.MacVal,_xlpm.CSVVal&lt;&gt;"",_xlpm.CSVVal
)),"No")</f>
        <v>No</v>
      </c>
      <c r="Q74" s="2" t="str" cm="1">
        <f t="array" ref="Q74">IFERROR(_xlfn.LET(
_xlpm.CSVVal,_xlfn.XLOOKUP($A74,CSV!$A:$A,CSV!AC:AC,""),
_xlpm.MacVal,_xlfn.XLOOKUP($A74,Output_Mac!$A:$A,Output_Mac!U:U,""),
_xlpm.MyAuditVal,_xlfn.XLOOKUP($A74,My_Audit!$A:$A,My_Audit!R:R,""),
_xlfn.IFS(_xlpm.MyAuditVal&lt;&gt;"",UPPER(_xlpm.MyAuditVal),_xlpm.MacVal&lt;&gt;"",_xlpm.MacVal,_xlpm.CSVVal&lt;&gt;"",_xlpm.CSVVal
)),"")</f>
        <v/>
      </c>
      <c r="X74" t="str">
        <f>_xlfn.LET(
    _xlpm.MacVal, _xlfn.XLOOKUP($A74, Output_Mac!$A:$A, Output_Mac!AB:AB, ""),
    _xlpm.MyAuditVal, _xlfn.XLOOKUP($A74, My_Audit!$A:$A, My_Audit!N:N, ""),
    _xlfn.TEXTJOIN(", ", TRUE, _xlpm.MyAuditVal, _xlpm.MacVal)
)</f>
        <v/>
      </c>
    </row>
    <row r="75" spans="1:24">
      <c r="A75" s="2" t="str">
        <f>_xlfn.TEXTJOIN("",TRUE,Input!$B$2,ROW(My_Audit!A74))</f>
        <v>X74</v>
      </c>
      <c r="B75" s="2" t="str">
        <f>_xlfn.TEXTJOIN("-",TRUE,"ITD",Input!$A$2,A75)</f>
        <v>ITD-SHR-X74</v>
      </c>
      <c r="C75" s="2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2" t="str" cm="1">
        <f t="array" ref="D75">IFERROR(_xlfn.LET(
_xlpm.CSVVal,_xlfn.XLOOKUP($A75,CSV!$A:$A,CSV!D:D,""),
_xlpm.MacVal,_xlfn.XLOOKUP($A75,Output_Mac!$A:$A,Output_Mac!C:C,""),
_xlpm.MyAuditVal,_xlfn.XLOOKUP($A75,My_Audit!$A:$A,My_Audit!C:C,""),
_xlfn.IFS(_xlpm.MyAuditVal&lt;&gt;"",_xlpm.MyAuditVal,_xlpm.MacVal&lt;&gt;"",_xlpm.MacVal,_xlpm.CSVVal&lt;&gt;"",_xlpm.CSVVal
)),"")</f>
        <v/>
      </c>
      <c r="E75" s="2" t="str">
        <f>_xlfn.XLOOKUP(A75,My_Audit!A:A,My_Audit!D:D,"")</f>
        <v/>
      </c>
      <c r="F75" s="2" t="str" cm="1">
        <f t="array" ref="F75">IFERROR(_xlfn.LET(
_xlpm.CSVVal,_xlfn.XLOOKUP($A75,CSV!$A:$A,CSV!F:F,""),
_xlpm.MacVal,_xlfn.XLOOKUP($A75,Output_Mac!$A:$A,Output_Mac!E:E,""),
_xlpm.MyAuditVal,_xlfn.XLOOKUP($A75,My_Audit!$A:$A,My_Audit!E:E,""),
_xlfn.IFS(_xlpm.MyAuditVal&lt;&gt;"",_xlpm.MyAuditVal,_xlpm.MacVal&lt;&gt;"",_xlpm.MacVal,_xlpm.CSVVal&lt;&gt;"",_xlpm.CSVVal
)),"")</f>
        <v/>
      </c>
      <c r="G75" s="2" t="str" cm="1">
        <f t="array" ref="G75">IFERROR(_xlfn.LET(
_xlpm.CSVVal,_xlfn.XLOOKUP($A75,CSV!$A:$A,CSV!G:G,""),
_xlpm.MacVal,_xlfn.XLOOKUP($A75,Output_Mac!$A:$A,Output_Mac!F:F,""),
_xlpm.MyAuditVal,_xlfn.XLOOKUP($A75,My_Audit!$A:$A,My_Audit!F:F,""),
_xlfn.IFS(_xlpm.MyAuditVal&lt;&gt;"",_xlpm.MyAuditVal,_xlpm.MacVal&lt;&gt;"",_xlpm.MacVal,_xlpm.CSVVal&lt;&gt;"",PROPER(_xlpm.CSVVal)
)),"")</f>
        <v/>
      </c>
      <c r="H75" s="2" t="str" cm="1">
        <f t="array" ref="H75">IFERROR(_xlfn.LET(
_xlpm.CSVVal,_xlfn.XLOOKUP($A75,CSV!$A:$A,CSV!H:H,""),
_xlpm.MacVal,_xlfn.XLOOKUP($A75,Output_Mac!$A:$A,Output_Mac!H:H,""),
_xlpm.MyAuditVal,_xlfn.XLOOKUP($A75,My_Audit!$A:$A,My_Audit!G:G,""),
_xlfn.IFS(_xlpm.MyAuditVal&lt;&gt;"",_xlpm.MyAuditVal,_xlpm.MacVal&lt;&gt;"",_xlpm.MacVal,_xlpm.CSVVal&lt;&gt;"",_xlpm.CSVVal
)),"")</f>
        <v/>
      </c>
      <c r="I75" s="2" t="str">
        <f>_xlfn.XLOOKUP(A75,Output_Mac!A:A,Output_Mac!I:I,"")</f>
        <v/>
      </c>
      <c r="J75" s="2" t="str" cm="1">
        <f t="array" ref="J75">IFERROR(_xlfn.LET(
_xlpm.CSVVal,_xlfn.XLOOKUP($A75,CSV!$A:$A,CSV!I:I,""),
_xlpm.MacVal,_xlfn.XLOOKUP($A75,Output_Mac!$A:$A,Output_Mac!J:J,""),
_xlpm.MyAuditVal,_xlfn.XLOOKUP($A75,My_Audit!$A:$A,My_Audit!I:I,""),
_xlfn.IFS(_xlpm.MyAuditVal&lt;&gt;"",UPPER(_xlpm.MyAuditVal),_xlpm.MacVal&lt;&gt;"",_xlpm.MacVal,_xlpm.CSVVal&lt;&gt;"",_xlpm.CSVVal
)),"")</f>
        <v/>
      </c>
      <c r="K75" s="2" t="str" cm="1">
        <f t="array" ref="K75">IFERROR(_xlfn.LET(
_xlpm.CSVVal,_xlfn.XLOOKUP($A75,CSV!$A:$A,CSV!K:K,""),
_xlpm.MacVal,_xlfn.XLOOKUP($A75,Output_Mac!$A:$A,Output_Mac!K:K,""),
_xlpm.MyAuditVal,_xlfn.XLOOKUP($A75,My_Audit!$A:$A,My_Audit!J:J,""),
_xlfn.IFS(_xlpm.MyAuditVal&lt;&gt;"",UPPER(_xlpm.MyAuditVal),_xlpm.MacVal&lt;&gt;"",_xlpm.MacVal,_xlpm.CSVVal&lt;&gt;"",_xlpm.CSVVal
)),"")</f>
        <v/>
      </c>
      <c r="L75" s="2" t="str" cm="1">
        <f t="array" ref="L75">IFERROR(_xlfn.LET(
_xlpm.CSVVal,_xlfn.XLOOKUP($A75,CSV!$A:$A,CSV!P:P,""),
_xlpm.MacVal,_xlfn.XLOOKUP($A75,Output_Mac!$A:$A,Output_Mac!L:L,""),
_xlpm.MyAuditVal,_xlfn.XLOOKUP($A75,My_Audit!$A:$A,My_Audit!K:K,""),
_xlfn.IFS(_xlpm.MyAuditVal&lt;&gt;"",UPPER(_xlpm.MyAuditVal),_xlpm.MacVal&lt;&gt;"",_xlpm.MacVal,_xlpm.CSVVal&lt;&gt;"",_xlpm.CSVVal
)),"")</f>
        <v/>
      </c>
      <c r="M75" s="2" t="str" cm="1">
        <f t="array" ref="M75">IFERROR(_xlfn.LET(
_xlpm.CSVVal,_xlfn.XLOOKUP($A75,CSV!$A:$A,CSV!Q:Q,""),
_xlpm.MacVal,_xlfn.XLOOKUP($A75,Output_Mac!$A:$A,Output_Mac!M:M,""),
_xlpm.MyAuditVal,_xlfn.XLOOKUP($A75,My_Audit!$A:$A,My_Audit!L:L,""),
_xlfn.IFS(_xlpm.MyAuditVal&lt;&gt;"",UPPER(_xlpm.MyAuditVal),_xlpm.MacVal&lt;&gt;"",_xlpm.MacVal,_xlpm.CSVVal&lt;&gt;"",_xlpm.CSVVal
)),"")</f>
        <v/>
      </c>
      <c r="O75" s="2" t="str">
        <f>_xlfn.LET(
    _xlpm.CSVVal, _xlfn.XLOOKUP($A75, CSV!$A:$A, CSV!AA:AA, ""),
    _xlpm.MacVal, _xlfn.XLOOKUP($A75, Output_Mac!$A:$A, Output_Mac!S:S, ""),
    _xlpm.MyAuditVal, _xlfn.XLOOKUP($A75, My_Audit!$A:$A, My_Audit!P:P, ""),
    _xlfn.TEXTJOIN(", ", TRUE, _xlpm.MyAuditVal, _xlpm.MacVal, _xlpm.CSVVal)
)</f>
        <v/>
      </c>
      <c r="P75" s="2" t="str" cm="1">
        <f t="array" ref="P75">IFERROR(_xlfn.LET(
_xlpm.CSVVal,_xlfn.XLOOKUP($A75,CSV!$A:$A,CSV!AB:AB,""),
_xlpm.MacVal,_xlfn.XLOOKUP($A75,Output_Mac!$A:$A,Output_Mac!T:T,""),
_xlpm.MyAuditVal,_xlfn.XLOOKUP($A75,My_Audit!$A:$A,My_Audit!Q:Q,""),
_xlfn.IFS(_xlpm.MyAuditVal&lt;&gt;"",UPPER(_xlpm.MyAuditVal),_xlpm.MacVal&lt;&gt;"",_xlpm.MacVal,_xlpm.CSVVal&lt;&gt;"",_xlpm.CSVVal
)),"No")</f>
        <v>No</v>
      </c>
      <c r="Q75" s="2" t="str" cm="1">
        <f t="array" ref="Q75">IFERROR(_xlfn.LET(
_xlpm.CSVVal,_xlfn.XLOOKUP($A75,CSV!$A:$A,CSV!AC:AC,""),
_xlpm.MacVal,_xlfn.XLOOKUP($A75,Output_Mac!$A:$A,Output_Mac!U:U,""),
_xlpm.MyAuditVal,_xlfn.XLOOKUP($A75,My_Audit!$A:$A,My_Audit!R:R,""),
_xlfn.IFS(_xlpm.MyAuditVal&lt;&gt;"",UPPER(_xlpm.MyAuditVal),_xlpm.MacVal&lt;&gt;"",_xlpm.MacVal,_xlpm.CSVVal&lt;&gt;"",_xlpm.CSVVal
)),"")</f>
        <v/>
      </c>
      <c r="X75" t="str">
        <f>_xlfn.LET(
    _xlpm.MacVal, _xlfn.XLOOKUP($A75, Output_Mac!$A:$A, Output_Mac!AB:AB, ""),
    _xlpm.MyAuditVal, _xlfn.XLOOKUP($A75, My_Audit!$A:$A, My_Audit!N:N, ""),
    _xlfn.TEXTJOIN(", ", TRUE, _xlpm.MyAuditVal, _xlpm.MacVal)
)</f>
        <v/>
      </c>
    </row>
    <row r="76" spans="1:24">
      <c r="A76" s="2" t="str">
        <f>_xlfn.TEXTJOIN("",TRUE,Input!$B$2,ROW(My_Audit!A75))</f>
        <v>X75</v>
      </c>
      <c r="B76" s="2" t="str">
        <f>_xlfn.TEXTJOIN("-",TRUE,"ITD",Input!$A$2,A76)</f>
        <v>ITD-SHR-X75</v>
      </c>
      <c r="C76" s="2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2" t="str" cm="1">
        <f t="array" ref="D76">IFERROR(_xlfn.LET(
_xlpm.CSVVal,_xlfn.XLOOKUP($A76,CSV!$A:$A,CSV!D:D,""),
_xlpm.MacVal,_xlfn.XLOOKUP($A76,Output_Mac!$A:$A,Output_Mac!C:C,""),
_xlpm.MyAuditVal,_xlfn.XLOOKUP($A76,My_Audit!$A:$A,My_Audit!C:C,""),
_xlfn.IFS(_xlpm.MyAuditVal&lt;&gt;"",_xlpm.MyAuditVal,_xlpm.MacVal&lt;&gt;"",_xlpm.MacVal,_xlpm.CSVVal&lt;&gt;"",_xlpm.CSVVal
)),"")</f>
        <v/>
      </c>
      <c r="E76" s="2" t="str">
        <f>_xlfn.XLOOKUP(A76,My_Audit!A:A,My_Audit!D:D,"")</f>
        <v/>
      </c>
      <c r="F76" s="2" t="str" cm="1">
        <f t="array" ref="F76">IFERROR(_xlfn.LET(
_xlpm.CSVVal,_xlfn.XLOOKUP($A76,CSV!$A:$A,CSV!F:F,""),
_xlpm.MacVal,_xlfn.XLOOKUP($A76,Output_Mac!$A:$A,Output_Mac!E:E,""),
_xlpm.MyAuditVal,_xlfn.XLOOKUP($A76,My_Audit!$A:$A,My_Audit!E:E,""),
_xlfn.IFS(_xlpm.MyAuditVal&lt;&gt;"",_xlpm.MyAuditVal,_xlpm.MacVal&lt;&gt;"",_xlpm.MacVal,_xlpm.CSVVal&lt;&gt;"",_xlpm.CSVVal
)),"")</f>
        <v/>
      </c>
      <c r="G76" s="2" t="str" cm="1">
        <f t="array" ref="G76">IFERROR(_xlfn.LET(
_xlpm.CSVVal,_xlfn.XLOOKUP($A76,CSV!$A:$A,CSV!G:G,""),
_xlpm.MacVal,_xlfn.XLOOKUP($A76,Output_Mac!$A:$A,Output_Mac!F:F,""),
_xlpm.MyAuditVal,_xlfn.XLOOKUP($A76,My_Audit!$A:$A,My_Audit!F:F,""),
_xlfn.IFS(_xlpm.MyAuditVal&lt;&gt;"",_xlpm.MyAuditVal,_xlpm.MacVal&lt;&gt;"",_xlpm.MacVal,_xlpm.CSVVal&lt;&gt;"",PROPER(_xlpm.CSVVal)
)),"")</f>
        <v/>
      </c>
      <c r="H76" s="2" t="str" cm="1">
        <f t="array" ref="H76">IFERROR(_xlfn.LET(
_xlpm.CSVVal,_xlfn.XLOOKUP($A76,CSV!$A:$A,CSV!H:H,""),
_xlpm.MacVal,_xlfn.XLOOKUP($A76,Output_Mac!$A:$A,Output_Mac!H:H,""),
_xlpm.MyAuditVal,_xlfn.XLOOKUP($A76,My_Audit!$A:$A,My_Audit!G:G,""),
_xlfn.IFS(_xlpm.MyAuditVal&lt;&gt;"",_xlpm.MyAuditVal,_xlpm.MacVal&lt;&gt;"",_xlpm.MacVal,_xlpm.CSVVal&lt;&gt;"",_xlpm.CSVVal
)),"")</f>
        <v/>
      </c>
      <c r="I76" s="2" t="str">
        <f>_xlfn.XLOOKUP(A76,Output_Mac!A:A,Output_Mac!I:I,"")</f>
        <v/>
      </c>
      <c r="J76" s="2" t="str" cm="1">
        <f t="array" ref="J76">IFERROR(_xlfn.LET(
_xlpm.CSVVal,_xlfn.XLOOKUP($A76,CSV!$A:$A,CSV!I:I,""),
_xlpm.MacVal,_xlfn.XLOOKUP($A76,Output_Mac!$A:$A,Output_Mac!J:J,""),
_xlpm.MyAuditVal,_xlfn.XLOOKUP($A76,My_Audit!$A:$A,My_Audit!I:I,""),
_xlfn.IFS(_xlpm.MyAuditVal&lt;&gt;"",UPPER(_xlpm.MyAuditVal),_xlpm.MacVal&lt;&gt;"",_xlpm.MacVal,_xlpm.CSVVal&lt;&gt;"",_xlpm.CSVVal
)),"")</f>
        <v/>
      </c>
      <c r="K76" s="2" t="str" cm="1">
        <f t="array" ref="K76">IFERROR(_xlfn.LET(
_xlpm.CSVVal,_xlfn.XLOOKUP($A76,CSV!$A:$A,CSV!K:K,""),
_xlpm.MacVal,_xlfn.XLOOKUP($A76,Output_Mac!$A:$A,Output_Mac!K:K,""),
_xlpm.MyAuditVal,_xlfn.XLOOKUP($A76,My_Audit!$A:$A,My_Audit!J:J,""),
_xlfn.IFS(_xlpm.MyAuditVal&lt;&gt;"",UPPER(_xlpm.MyAuditVal),_xlpm.MacVal&lt;&gt;"",_xlpm.MacVal,_xlpm.CSVVal&lt;&gt;"",_xlpm.CSVVal
)),"")</f>
        <v/>
      </c>
      <c r="L76" s="2" t="str" cm="1">
        <f t="array" ref="L76">IFERROR(_xlfn.LET(
_xlpm.CSVVal,_xlfn.XLOOKUP($A76,CSV!$A:$A,CSV!P:P,""),
_xlpm.MacVal,_xlfn.XLOOKUP($A76,Output_Mac!$A:$A,Output_Mac!L:L,""),
_xlpm.MyAuditVal,_xlfn.XLOOKUP($A76,My_Audit!$A:$A,My_Audit!K:K,""),
_xlfn.IFS(_xlpm.MyAuditVal&lt;&gt;"",UPPER(_xlpm.MyAuditVal),_xlpm.MacVal&lt;&gt;"",_xlpm.MacVal,_xlpm.CSVVal&lt;&gt;"",_xlpm.CSVVal
)),"")</f>
        <v/>
      </c>
      <c r="M76" s="2" t="str" cm="1">
        <f t="array" ref="M76">IFERROR(_xlfn.LET(
_xlpm.CSVVal,_xlfn.XLOOKUP($A76,CSV!$A:$A,CSV!Q:Q,""),
_xlpm.MacVal,_xlfn.XLOOKUP($A76,Output_Mac!$A:$A,Output_Mac!M:M,""),
_xlpm.MyAuditVal,_xlfn.XLOOKUP($A76,My_Audit!$A:$A,My_Audit!L:L,""),
_xlfn.IFS(_xlpm.MyAuditVal&lt;&gt;"",UPPER(_xlpm.MyAuditVal),_xlpm.MacVal&lt;&gt;"",_xlpm.MacVal,_xlpm.CSVVal&lt;&gt;"",_xlpm.CSVVal
)),"")</f>
        <v/>
      </c>
      <c r="O76" s="2" t="str">
        <f>_xlfn.LET(
    _xlpm.CSVVal, _xlfn.XLOOKUP($A76, CSV!$A:$A, CSV!AA:AA, ""),
    _xlpm.MacVal, _xlfn.XLOOKUP($A76, Output_Mac!$A:$A, Output_Mac!S:S, ""),
    _xlpm.MyAuditVal, _xlfn.XLOOKUP($A76, My_Audit!$A:$A, My_Audit!P:P, ""),
    _xlfn.TEXTJOIN(", ", TRUE, _xlpm.MyAuditVal, _xlpm.MacVal, _xlpm.CSVVal)
)</f>
        <v/>
      </c>
      <c r="P76" s="2" t="str" cm="1">
        <f t="array" ref="P76">IFERROR(_xlfn.LET(
_xlpm.CSVVal,_xlfn.XLOOKUP($A76,CSV!$A:$A,CSV!AB:AB,""),
_xlpm.MacVal,_xlfn.XLOOKUP($A76,Output_Mac!$A:$A,Output_Mac!T:T,""),
_xlpm.MyAuditVal,_xlfn.XLOOKUP($A76,My_Audit!$A:$A,My_Audit!Q:Q,""),
_xlfn.IFS(_xlpm.MyAuditVal&lt;&gt;"",UPPER(_xlpm.MyAuditVal),_xlpm.MacVal&lt;&gt;"",_xlpm.MacVal,_xlpm.CSVVal&lt;&gt;"",_xlpm.CSVVal
)),"No")</f>
        <v>No</v>
      </c>
      <c r="Q76" s="2" t="str" cm="1">
        <f t="array" ref="Q76">IFERROR(_xlfn.LET(
_xlpm.CSVVal,_xlfn.XLOOKUP($A76,CSV!$A:$A,CSV!AC:AC,""),
_xlpm.MacVal,_xlfn.XLOOKUP($A76,Output_Mac!$A:$A,Output_Mac!U:U,""),
_xlpm.MyAuditVal,_xlfn.XLOOKUP($A76,My_Audit!$A:$A,My_Audit!R:R,""),
_xlfn.IFS(_xlpm.MyAuditVal&lt;&gt;"",UPPER(_xlpm.MyAuditVal),_xlpm.MacVal&lt;&gt;"",_xlpm.MacVal,_xlpm.CSVVal&lt;&gt;"",_xlpm.CSVVal
)),"")</f>
        <v/>
      </c>
      <c r="X76" t="str">
        <f>_xlfn.LET(
    _xlpm.MacVal, _xlfn.XLOOKUP($A76, Output_Mac!$A:$A, Output_Mac!AB:AB, ""),
    _xlpm.MyAuditVal, _xlfn.XLOOKUP($A76, My_Audit!$A:$A, My_Audit!N:N, ""),
    _xlfn.TEXTJOIN(", ", TRUE, _xlpm.MyAuditVal, _xlpm.MacVal)
)</f>
        <v/>
      </c>
    </row>
    <row r="77" spans="1:24">
      <c r="A77" s="2" t="str">
        <f>_xlfn.TEXTJOIN("",TRUE,Input!$B$2,ROW(My_Audit!A76))</f>
        <v>X76</v>
      </c>
      <c r="B77" s="2" t="str">
        <f>_xlfn.TEXTJOIN("-",TRUE,"ITD",Input!$A$2,A77)</f>
        <v>ITD-SHR-X76</v>
      </c>
      <c r="C77" s="2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2" t="str" cm="1">
        <f t="array" ref="D77">IFERROR(_xlfn.LET(
_xlpm.CSVVal,_xlfn.XLOOKUP($A77,CSV!$A:$A,CSV!D:D,""),
_xlpm.MacVal,_xlfn.XLOOKUP($A77,Output_Mac!$A:$A,Output_Mac!C:C,""),
_xlpm.MyAuditVal,_xlfn.XLOOKUP($A77,My_Audit!$A:$A,My_Audit!C:C,""),
_xlfn.IFS(_xlpm.MyAuditVal&lt;&gt;"",_xlpm.MyAuditVal,_xlpm.MacVal&lt;&gt;"",_xlpm.MacVal,_xlpm.CSVVal&lt;&gt;"",_xlpm.CSVVal
)),"")</f>
        <v/>
      </c>
      <c r="E77" s="2" t="str">
        <f>_xlfn.XLOOKUP(A77,My_Audit!A:A,My_Audit!D:D,"")</f>
        <v/>
      </c>
      <c r="F77" s="2" t="str" cm="1">
        <f t="array" ref="F77">IFERROR(_xlfn.LET(
_xlpm.CSVVal,_xlfn.XLOOKUP($A77,CSV!$A:$A,CSV!F:F,""),
_xlpm.MacVal,_xlfn.XLOOKUP($A77,Output_Mac!$A:$A,Output_Mac!E:E,""),
_xlpm.MyAuditVal,_xlfn.XLOOKUP($A77,My_Audit!$A:$A,My_Audit!E:E,""),
_xlfn.IFS(_xlpm.MyAuditVal&lt;&gt;"",_xlpm.MyAuditVal,_xlpm.MacVal&lt;&gt;"",_xlpm.MacVal,_xlpm.CSVVal&lt;&gt;"",_xlpm.CSVVal
)),"")</f>
        <v/>
      </c>
      <c r="G77" s="2" t="str" cm="1">
        <f t="array" ref="G77">IFERROR(_xlfn.LET(
_xlpm.CSVVal,_xlfn.XLOOKUP($A77,CSV!$A:$A,CSV!G:G,""),
_xlpm.MacVal,_xlfn.XLOOKUP($A77,Output_Mac!$A:$A,Output_Mac!F:F,""),
_xlpm.MyAuditVal,_xlfn.XLOOKUP($A77,My_Audit!$A:$A,My_Audit!F:F,""),
_xlfn.IFS(_xlpm.MyAuditVal&lt;&gt;"",_xlpm.MyAuditVal,_xlpm.MacVal&lt;&gt;"",_xlpm.MacVal,_xlpm.CSVVal&lt;&gt;"",PROPER(_xlpm.CSVVal)
)),"")</f>
        <v/>
      </c>
      <c r="H77" s="2" t="str" cm="1">
        <f t="array" ref="H77">IFERROR(_xlfn.LET(
_xlpm.CSVVal,_xlfn.XLOOKUP($A77,CSV!$A:$A,CSV!H:H,""),
_xlpm.MacVal,_xlfn.XLOOKUP($A77,Output_Mac!$A:$A,Output_Mac!H:H,""),
_xlpm.MyAuditVal,_xlfn.XLOOKUP($A77,My_Audit!$A:$A,My_Audit!G:G,""),
_xlfn.IFS(_xlpm.MyAuditVal&lt;&gt;"",_xlpm.MyAuditVal,_xlpm.MacVal&lt;&gt;"",_xlpm.MacVal,_xlpm.CSVVal&lt;&gt;"",_xlpm.CSVVal
)),"")</f>
        <v/>
      </c>
      <c r="I77" s="2" t="str">
        <f>_xlfn.XLOOKUP(A77,Output_Mac!A:A,Output_Mac!I:I,"")</f>
        <v/>
      </c>
      <c r="J77" s="2" t="str" cm="1">
        <f t="array" ref="J77">IFERROR(_xlfn.LET(
_xlpm.CSVVal,_xlfn.XLOOKUP($A77,CSV!$A:$A,CSV!I:I,""),
_xlpm.MacVal,_xlfn.XLOOKUP($A77,Output_Mac!$A:$A,Output_Mac!J:J,""),
_xlpm.MyAuditVal,_xlfn.XLOOKUP($A77,My_Audit!$A:$A,My_Audit!I:I,""),
_xlfn.IFS(_xlpm.MyAuditVal&lt;&gt;"",UPPER(_xlpm.MyAuditVal),_xlpm.MacVal&lt;&gt;"",_xlpm.MacVal,_xlpm.CSVVal&lt;&gt;"",_xlpm.CSVVal
)),"")</f>
        <v/>
      </c>
      <c r="K77" s="2" t="str" cm="1">
        <f t="array" ref="K77">IFERROR(_xlfn.LET(
_xlpm.CSVVal,_xlfn.XLOOKUP($A77,CSV!$A:$A,CSV!K:K,""),
_xlpm.MacVal,_xlfn.XLOOKUP($A77,Output_Mac!$A:$A,Output_Mac!K:K,""),
_xlpm.MyAuditVal,_xlfn.XLOOKUP($A77,My_Audit!$A:$A,My_Audit!J:J,""),
_xlfn.IFS(_xlpm.MyAuditVal&lt;&gt;"",UPPER(_xlpm.MyAuditVal),_xlpm.MacVal&lt;&gt;"",_xlpm.MacVal,_xlpm.CSVVal&lt;&gt;"",_xlpm.CSVVal
)),"")</f>
        <v/>
      </c>
      <c r="L77" s="2" t="str" cm="1">
        <f t="array" ref="L77">IFERROR(_xlfn.LET(
_xlpm.CSVVal,_xlfn.XLOOKUP($A77,CSV!$A:$A,CSV!P:P,""),
_xlpm.MacVal,_xlfn.XLOOKUP($A77,Output_Mac!$A:$A,Output_Mac!L:L,""),
_xlpm.MyAuditVal,_xlfn.XLOOKUP($A77,My_Audit!$A:$A,My_Audit!K:K,""),
_xlfn.IFS(_xlpm.MyAuditVal&lt;&gt;"",UPPER(_xlpm.MyAuditVal),_xlpm.MacVal&lt;&gt;"",_xlpm.MacVal,_xlpm.CSVVal&lt;&gt;"",_xlpm.CSVVal
)),"")</f>
        <v/>
      </c>
      <c r="M77" s="2" t="str" cm="1">
        <f t="array" ref="M77">IFERROR(_xlfn.LET(
_xlpm.CSVVal,_xlfn.XLOOKUP($A77,CSV!$A:$A,CSV!Q:Q,""),
_xlpm.MacVal,_xlfn.XLOOKUP($A77,Output_Mac!$A:$A,Output_Mac!M:M,""),
_xlpm.MyAuditVal,_xlfn.XLOOKUP($A77,My_Audit!$A:$A,My_Audit!L:L,""),
_xlfn.IFS(_xlpm.MyAuditVal&lt;&gt;"",UPPER(_xlpm.MyAuditVal),_xlpm.MacVal&lt;&gt;"",_xlpm.MacVal,_xlpm.CSVVal&lt;&gt;"",_xlpm.CSVVal
)),"")</f>
        <v/>
      </c>
      <c r="O77" s="2" t="str">
        <f>_xlfn.LET(
    _xlpm.CSVVal, _xlfn.XLOOKUP($A77, CSV!$A:$A, CSV!AA:AA, ""),
    _xlpm.MacVal, _xlfn.XLOOKUP($A77, Output_Mac!$A:$A, Output_Mac!S:S, ""),
    _xlpm.MyAuditVal, _xlfn.XLOOKUP($A77, My_Audit!$A:$A, My_Audit!P:P, ""),
    _xlfn.TEXTJOIN(", ", TRUE, _xlpm.MyAuditVal, _xlpm.MacVal, _xlpm.CSVVal)
)</f>
        <v/>
      </c>
      <c r="P77" s="2" t="str" cm="1">
        <f t="array" ref="P77">IFERROR(_xlfn.LET(
_xlpm.CSVVal,_xlfn.XLOOKUP($A77,CSV!$A:$A,CSV!AB:AB,""),
_xlpm.MacVal,_xlfn.XLOOKUP($A77,Output_Mac!$A:$A,Output_Mac!T:T,""),
_xlpm.MyAuditVal,_xlfn.XLOOKUP($A77,My_Audit!$A:$A,My_Audit!Q:Q,""),
_xlfn.IFS(_xlpm.MyAuditVal&lt;&gt;"",UPPER(_xlpm.MyAuditVal),_xlpm.MacVal&lt;&gt;"",_xlpm.MacVal,_xlpm.CSVVal&lt;&gt;"",_xlpm.CSVVal
)),"No")</f>
        <v>No</v>
      </c>
      <c r="Q77" s="2" t="str" cm="1">
        <f t="array" ref="Q77">IFERROR(_xlfn.LET(
_xlpm.CSVVal,_xlfn.XLOOKUP($A77,CSV!$A:$A,CSV!AC:AC,""),
_xlpm.MacVal,_xlfn.XLOOKUP($A77,Output_Mac!$A:$A,Output_Mac!U:U,""),
_xlpm.MyAuditVal,_xlfn.XLOOKUP($A77,My_Audit!$A:$A,My_Audit!R:R,""),
_xlfn.IFS(_xlpm.MyAuditVal&lt;&gt;"",UPPER(_xlpm.MyAuditVal),_xlpm.MacVal&lt;&gt;"",_xlpm.MacVal,_xlpm.CSVVal&lt;&gt;"",_xlpm.CSVVal
)),"")</f>
        <v/>
      </c>
      <c r="X77" t="str">
        <f>_xlfn.LET(
    _xlpm.MacVal, _xlfn.XLOOKUP($A77, Output_Mac!$A:$A, Output_Mac!AB:AB, ""),
    _xlpm.MyAuditVal, _xlfn.XLOOKUP($A77, My_Audit!$A:$A, My_Audit!N:N, ""),
    _xlfn.TEXTJOIN(", ", TRUE, _xlpm.MyAuditVal, _xlpm.MacVal)
)</f>
        <v/>
      </c>
    </row>
    <row r="78" spans="1:24">
      <c r="A78" s="2" t="str">
        <f>_xlfn.TEXTJOIN("",TRUE,Input!$B$2,ROW(My_Audit!A77))</f>
        <v>X77</v>
      </c>
      <c r="B78" s="2" t="str">
        <f>_xlfn.TEXTJOIN("-",TRUE,"ITD",Input!$A$2,A78)</f>
        <v>ITD-SHR-X77</v>
      </c>
      <c r="C78" s="2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2" t="str" cm="1">
        <f t="array" ref="D78">IFERROR(_xlfn.LET(
_xlpm.CSVVal,_xlfn.XLOOKUP($A78,CSV!$A:$A,CSV!D:D,""),
_xlpm.MacVal,_xlfn.XLOOKUP($A78,Output_Mac!$A:$A,Output_Mac!C:C,""),
_xlpm.MyAuditVal,_xlfn.XLOOKUP($A78,My_Audit!$A:$A,My_Audit!C:C,""),
_xlfn.IFS(_xlpm.MyAuditVal&lt;&gt;"",_xlpm.MyAuditVal,_xlpm.MacVal&lt;&gt;"",_xlpm.MacVal,_xlpm.CSVVal&lt;&gt;"",_xlpm.CSVVal
)),"")</f>
        <v/>
      </c>
      <c r="E78" s="2" t="str">
        <f>_xlfn.XLOOKUP(A78,My_Audit!A:A,My_Audit!D:D,"")</f>
        <v/>
      </c>
      <c r="F78" s="2" t="str" cm="1">
        <f t="array" ref="F78">IFERROR(_xlfn.LET(
_xlpm.CSVVal,_xlfn.XLOOKUP($A78,CSV!$A:$A,CSV!F:F,""),
_xlpm.MacVal,_xlfn.XLOOKUP($A78,Output_Mac!$A:$A,Output_Mac!E:E,""),
_xlpm.MyAuditVal,_xlfn.XLOOKUP($A78,My_Audit!$A:$A,My_Audit!E:E,""),
_xlfn.IFS(_xlpm.MyAuditVal&lt;&gt;"",_xlpm.MyAuditVal,_xlpm.MacVal&lt;&gt;"",_xlpm.MacVal,_xlpm.CSVVal&lt;&gt;"",_xlpm.CSVVal
)),"")</f>
        <v/>
      </c>
      <c r="G78" s="2" t="str" cm="1">
        <f t="array" ref="G78">IFERROR(_xlfn.LET(
_xlpm.CSVVal,_xlfn.XLOOKUP($A78,CSV!$A:$A,CSV!G:G,""),
_xlpm.MacVal,_xlfn.XLOOKUP($A78,Output_Mac!$A:$A,Output_Mac!F:F,""),
_xlpm.MyAuditVal,_xlfn.XLOOKUP($A78,My_Audit!$A:$A,My_Audit!F:F,""),
_xlfn.IFS(_xlpm.MyAuditVal&lt;&gt;"",_xlpm.MyAuditVal,_xlpm.MacVal&lt;&gt;"",_xlpm.MacVal,_xlpm.CSVVal&lt;&gt;"",PROPER(_xlpm.CSVVal)
)),"")</f>
        <v/>
      </c>
      <c r="H78" s="2" t="str" cm="1">
        <f t="array" ref="H78">IFERROR(_xlfn.LET(
_xlpm.CSVVal,_xlfn.XLOOKUP($A78,CSV!$A:$A,CSV!H:H,""),
_xlpm.MacVal,_xlfn.XLOOKUP($A78,Output_Mac!$A:$A,Output_Mac!H:H,""),
_xlpm.MyAuditVal,_xlfn.XLOOKUP($A78,My_Audit!$A:$A,My_Audit!G:G,""),
_xlfn.IFS(_xlpm.MyAuditVal&lt;&gt;"",_xlpm.MyAuditVal,_xlpm.MacVal&lt;&gt;"",_xlpm.MacVal,_xlpm.CSVVal&lt;&gt;"",_xlpm.CSVVal
)),"")</f>
        <v/>
      </c>
      <c r="I78" s="2" t="str">
        <f>_xlfn.XLOOKUP(A78,Output_Mac!A:A,Output_Mac!I:I,"")</f>
        <v/>
      </c>
      <c r="J78" s="2" t="str" cm="1">
        <f t="array" ref="J78">IFERROR(_xlfn.LET(
_xlpm.CSVVal,_xlfn.XLOOKUP($A78,CSV!$A:$A,CSV!I:I,""),
_xlpm.MacVal,_xlfn.XLOOKUP($A78,Output_Mac!$A:$A,Output_Mac!J:J,""),
_xlpm.MyAuditVal,_xlfn.XLOOKUP($A78,My_Audit!$A:$A,My_Audit!I:I,""),
_xlfn.IFS(_xlpm.MyAuditVal&lt;&gt;"",UPPER(_xlpm.MyAuditVal),_xlpm.MacVal&lt;&gt;"",_xlpm.MacVal,_xlpm.CSVVal&lt;&gt;"",_xlpm.CSVVal
)),"")</f>
        <v/>
      </c>
      <c r="K78" s="2" t="str" cm="1">
        <f t="array" ref="K78">IFERROR(_xlfn.LET(
_xlpm.CSVVal,_xlfn.XLOOKUP($A78,CSV!$A:$A,CSV!K:K,""),
_xlpm.MacVal,_xlfn.XLOOKUP($A78,Output_Mac!$A:$A,Output_Mac!K:K,""),
_xlpm.MyAuditVal,_xlfn.XLOOKUP($A78,My_Audit!$A:$A,My_Audit!J:J,""),
_xlfn.IFS(_xlpm.MyAuditVal&lt;&gt;"",UPPER(_xlpm.MyAuditVal),_xlpm.MacVal&lt;&gt;"",_xlpm.MacVal,_xlpm.CSVVal&lt;&gt;"",_xlpm.CSVVal
)),"")</f>
        <v/>
      </c>
      <c r="L78" s="2" t="str" cm="1">
        <f t="array" ref="L78">IFERROR(_xlfn.LET(
_xlpm.CSVVal,_xlfn.XLOOKUP($A78,CSV!$A:$A,CSV!P:P,""),
_xlpm.MacVal,_xlfn.XLOOKUP($A78,Output_Mac!$A:$A,Output_Mac!L:L,""),
_xlpm.MyAuditVal,_xlfn.XLOOKUP($A78,My_Audit!$A:$A,My_Audit!K:K,""),
_xlfn.IFS(_xlpm.MyAuditVal&lt;&gt;"",UPPER(_xlpm.MyAuditVal),_xlpm.MacVal&lt;&gt;"",_xlpm.MacVal,_xlpm.CSVVal&lt;&gt;"",_xlpm.CSVVal
)),"")</f>
        <v/>
      </c>
      <c r="M78" s="2" t="str" cm="1">
        <f t="array" ref="M78">IFERROR(_xlfn.LET(
_xlpm.CSVVal,_xlfn.XLOOKUP($A78,CSV!$A:$A,CSV!Q:Q,""),
_xlpm.MacVal,_xlfn.XLOOKUP($A78,Output_Mac!$A:$A,Output_Mac!M:M,""),
_xlpm.MyAuditVal,_xlfn.XLOOKUP($A78,My_Audit!$A:$A,My_Audit!L:L,""),
_xlfn.IFS(_xlpm.MyAuditVal&lt;&gt;"",UPPER(_xlpm.MyAuditVal),_xlpm.MacVal&lt;&gt;"",_xlpm.MacVal,_xlpm.CSVVal&lt;&gt;"",_xlpm.CSVVal
)),"")</f>
        <v/>
      </c>
      <c r="O78" s="2" t="str">
        <f>_xlfn.LET(
    _xlpm.CSVVal, _xlfn.XLOOKUP($A78, CSV!$A:$A, CSV!AA:AA, ""),
    _xlpm.MacVal, _xlfn.XLOOKUP($A78, Output_Mac!$A:$A, Output_Mac!S:S, ""),
    _xlpm.MyAuditVal, _xlfn.XLOOKUP($A78, My_Audit!$A:$A, My_Audit!P:P, ""),
    _xlfn.TEXTJOIN(", ", TRUE, _xlpm.MyAuditVal, _xlpm.MacVal, _xlpm.CSVVal)
)</f>
        <v/>
      </c>
      <c r="P78" s="2" t="str" cm="1">
        <f t="array" ref="P78">IFERROR(_xlfn.LET(
_xlpm.CSVVal,_xlfn.XLOOKUP($A78,CSV!$A:$A,CSV!AB:AB,""),
_xlpm.MacVal,_xlfn.XLOOKUP($A78,Output_Mac!$A:$A,Output_Mac!T:T,""),
_xlpm.MyAuditVal,_xlfn.XLOOKUP($A78,My_Audit!$A:$A,My_Audit!Q:Q,""),
_xlfn.IFS(_xlpm.MyAuditVal&lt;&gt;"",UPPER(_xlpm.MyAuditVal),_xlpm.MacVal&lt;&gt;"",_xlpm.MacVal,_xlpm.CSVVal&lt;&gt;"",_xlpm.CSVVal
)),"No")</f>
        <v>No</v>
      </c>
      <c r="Q78" s="2" t="str" cm="1">
        <f t="array" ref="Q78">IFERROR(_xlfn.LET(
_xlpm.CSVVal,_xlfn.XLOOKUP($A78,CSV!$A:$A,CSV!AC:AC,""),
_xlpm.MacVal,_xlfn.XLOOKUP($A78,Output_Mac!$A:$A,Output_Mac!U:U,""),
_xlpm.MyAuditVal,_xlfn.XLOOKUP($A78,My_Audit!$A:$A,My_Audit!R:R,""),
_xlfn.IFS(_xlpm.MyAuditVal&lt;&gt;"",UPPER(_xlpm.MyAuditVal),_xlpm.MacVal&lt;&gt;"",_xlpm.MacVal,_xlpm.CSVVal&lt;&gt;"",_xlpm.CSVVal
)),"")</f>
        <v/>
      </c>
      <c r="X78" t="str">
        <f>_xlfn.LET(
    _xlpm.MacVal, _xlfn.XLOOKUP($A78, Output_Mac!$A:$A, Output_Mac!AB:AB, ""),
    _xlpm.MyAuditVal, _xlfn.XLOOKUP($A78, My_Audit!$A:$A, My_Audit!N:N, ""),
    _xlfn.TEXTJOIN(", ", TRUE, _xlpm.MyAuditVal, _xlpm.MacVal)
)</f>
        <v/>
      </c>
    </row>
    <row r="79" spans="1:24">
      <c r="A79" s="2" t="str">
        <f>_xlfn.TEXTJOIN("",TRUE,Input!$B$2,ROW(My_Audit!A78))</f>
        <v>X78</v>
      </c>
      <c r="B79" s="2" t="str">
        <f>_xlfn.TEXTJOIN("-",TRUE,"ITD",Input!$A$2,A79)</f>
        <v>ITD-SHR-X78</v>
      </c>
      <c r="C79" s="2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2" t="str" cm="1">
        <f t="array" ref="D79">IFERROR(_xlfn.LET(
_xlpm.CSVVal,_xlfn.XLOOKUP($A79,CSV!$A:$A,CSV!D:D,""),
_xlpm.MacVal,_xlfn.XLOOKUP($A79,Output_Mac!$A:$A,Output_Mac!C:C,""),
_xlpm.MyAuditVal,_xlfn.XLOOKUP($A79,My_Audit!$A:$A,My_Audit!C:C,""),
_xlfn.IFS(_xlpm.MyAuditVal&lt;&gt;"",_xlpm.MyAuditVal,_xlpm.MacVal&lt;&gt;"",_xlpm.MacVal,_xlpm.CSVVal&lt;&gt;"",_xlpm.CSVVal
)),"")</f>
        <v/>
      </c>
      <c r="E79" s="2" t="str">
        <f>_xlfn.XLOOKUP(A79,My_Audit!A:A,My_Audit!D:D,"")</f>
        <v/>
      </c>
      <c r="F79" s="2" t="str" cm="1">
        <f t="array" ref="F79">IFERROR(_xlfn.LET(
_xlpm.CSVVal,_xlfn.XLOOKUP($A79,CSV!$A:$A,CSV!F:F,""),
_xlpm.MacVal,_xlfn.XLOOKUP($A79,Output_Mac!$A:$A,Output_Mac!E:E,""),
_xlpm.MyAuditVal,_xlfn.XLOOKUP($A79,My_Audit!$A:$A,My_Audit!E:E,""),
_xlfn.IFS(_xlpm.MyAuditVal&lt;&gt;"",_xlpm.MyAuditVal,_xlpm.MacVal&lt;&gt;"",_xlpm.MacVal,_xlpm.CSVVal&lt;&gt;"",_xlpm.CSVVal
)),"")</f>
        <v/>
      </c>
      <c r="G79" s="2" t="str" cm="1">
        <f t="array" ref="G79">IFERROR(_xlfn.LET(
_xlpm.CSVVal,_xlfn.XLOOKUP($A79,CSV!$A:$A,CSV!G:G,""),
_xlpm.MacVal,_xlfn.XLOOKUP($A79,Output_Mac!$A:$A,Output_Mac!F:F,""),
_xlpm.MyAuditVal,_xlfn.XLOOKUP($A79,My_Audit!$A:$A,My_Audit!F:F,""),
_xlfn.IFS(_xlpm.MyAuditVal&lt;&gt;"",_xlpm.MyAuditVal,_xlpm.MacVal&lt;&gt;"",_xlpm.MacVal,_xlpm.CSVVal&lt;&gt;"",PROPER(_xlpm.CSVVal)
)),"")</f>
        <v/>
      </c>
      <c r="H79" s="2" t="str" cm="1">
        <f t="array" ref="H79">IFERROR(_xlfn.LET(
_xlpm.CSVVal,_xlfn.XLOOKUP($A79,CSV!$A:$A,CSV!H:H,""),
_xlpm.MacVal,_xlfn.XLOOKUP($A79,Output_Mac!$A:$A,Output_Mac!H:H,""),
_xlpm.MyAuditVal,_xlfn.XLOOKUP($A79,My_Audit!$A:$A,My_Audit!G:G,""),
_xlfn.IFS(_xlpm.MyAuditVal&lt;&gt;"",_xlpm.MyAuditVal,_xlpm.MacVal&lt;&gt;"",_xlpm.MacVal,_xlpm.CSVVal&lt;&gt;"",_xlpm.CSVVal
)),"")</f>
        <v/>
      </c>
      <c r="I79" s="2" t="str">
        <f>_xlfn.XLOOKUP(A79,Output_Mac!A:A,Output_Mac!I:I,"")</f>
        <v/>
      </c>
      <c r="J79" s="2" t="str" cm="1">
        <f t="array" ref="J79">IFERROR(_xlfn.LET(
_xlpm.CSVVal,_xlfn.XLOOKUP($A79,CSV!$A:$A,CSV!I:I,""),
_xlpm.MacVal,_xlfn.XLOOKUP($A79,Output_Mac!$A:$A,Output_Mac!J:J,""),
_xlpm.MyAuditVal,_xlfn.XLOOKUP($A79,My_Audit!$A:$A,My_Audit!I:I,""),
_xlfn.IFS(_xlpm.MyAuditVal&lt;&gt;"",UPPER(_xlpm.MyAuditVal),_xlpm.MacVal&lt;&gt;"",_xlpm.MacVal,_xlpm.CSVVal&lt;&gt;"",_xlpm.CSVVal
)),"")</f>
        <v/>
      </c>
      <c r="K79" s="2" t="str" cm="1">
        <f t="array" ref="K79">IFERROR(_xlfn.LET(
_xlpm.CSVVal,_xlfn.XLOOKUP($A79,CSV!$A:$A,CSV!K:K,""),
_xlpm.MacVal,_xlfn.XLOOKUP($A79,Output_Mac!$A:$A,Output_Mac!K:K,""),
_xlpm.MyAuditVal,_xlfn.XLOOKUP($A79,My_Audit!$A:$A,My_Audit!J:J,""),
_xlfn.IFS(_xlpm.MyAuditVal&lt;&gt;"",UPPER(_xlpm.MyAuditVal),_xlpm.MacVal&lt;&gt;"",_xlpm.MacVal,_xlpm.CSVVal&lt;&gt;"",_xlpm.CSVVal
)),"")</f>
        <v/>
      </c>
      <c r="L79" s="2" t="str" cm="1">
        <f t="array" ref="L79">IFERROR(_xlfn.LET(
_xlpm.CSVVal,_xlfn.XLOOKUP($A79,CSV!$A:$A,CSV!P:P,""),
_xlpm.MacVal,_xlfn.XLOOKUP($A79,Output_Mac!$A:$A,Output_Mac!L:L,""),
_xlpm.MyAuditVal,_xlfn.XLOOKUP($A79,My_Audit!$A:$A,My_Audit!K:K,""),
_xlfn.IFS(_xlpm.MyAuditVal&lt;&gt;"",UPPER(_xlpm.MyAuditVal),_xlpm.MacVal&lt;&gt;"",_xlpm.MacVal,_xlpm.CSVVal&lt;&gt;"",_xlpm.CSVVal
)),"")</f>
        <v/>
      </c>
      <c r="M79" s="2" t="str" cm="1">
        <f t="array" ref="M79">IFERROR(_xlfn.LET(
_xlpm.CSVVal,_xlfn.XLOOKUP($A79,CSV!$A:$A,CSV!Q:Q,""),
_xlpm.MacVal,_xlfn.XLOOKUP($A79,Output_Mac!$A:$A,Output_Mac!M:M,""),
_xlpm.MyAuditVal,_xlfn.XLOOKUP($A79,My_Audit!$A:$A,My_Audit!L:L,""),
_xlfn.IFS(_xlpm.MyAuditVal&lt;&gt;"",UPPER(_xlpm.MyAuditVal),_xlpm.MacVal&lt;&gt;"",_xlpm.MacVal,_xlpm.CSVVal&lt;&gt;"",_xlpm.CSVVal
)),"")</f>
        <v/>
      </c>
      <c r="O79" s="2" t="str">
        <f>_xlfn.LET(
    _xlpm.CSVVal, _xlfn.XLOOKUP($A79, CSV!$A:$A, CSV!AA:AA, ""),
    _xlpm.MacVal, _xlfn.XLOOKUP($A79, Output_Mac!$A:$A, Output_Mac!S:S, ""),
    _xlpm.MyAuditVal, _xlfn.XLOOKUP($A79, My_Audit!$A:$A, My_Audit!P:P, ""),
    _xlfn.TEXTJOIN(", ", TRUE, _xlpm.MyAuditVal, _xlpm.MacVal, _xlpm.CSVVal)
)</f>
        <v/>
      </c>
      <c r="P79" s="2" t="str" cm="1">
        <f t="array" ref="P79">IFERROR(_xlfn.LET(
_xlpm.CSVVal,_xlfn.XLOOKUP($A79,CSV!$A:$A,CSV!AB:AB,""),
_xlpm.MacVal,_xlfn.XLOOKUP($A79,Output_Mac!$A:$A,Output_Mac!T:T,""),
_xlpm.MyAuditVal,_xlfn.XLOOKUP($A79,My_Audit!$A:$A,My_Audit!Q:Q,""),
_xlfn.IFS(_xlpm.MyAuditVal&lt;&gt;"",UPPER(_xlpm.MyAuditVal),_xlpm.MacVal&lt;&gt;"",_xlpm.MacVal,_xlpm.CSVVal&lt;&gt;"",_xlpm.CSVVal
)),"No")</f>
        <v>No</v>
      </c>
      <c r="Q79" s="2" t="str" cm="1">
        <f t="array" ref="Q79">IFERROR(_xlfn.LET(
_xlpm.CSVVal,_xlfn.XLOOKUP($A79,CSV!$A:$A,CSV!AC:AC,""),
_xlpm.MacVal,_xlfn.XLOOKUP($A79,Output_Mac!$A:$A,Output_Mac!U:U,""),
_xlpm.MyAuditVal,_xlfn.XLOOKUP($A79,My_Audit!$A:$A,My_Audit!R:R,""),
_xlfn.IFS(_xlpm.MyAuditVal&lt;&gt;"",UPPER(_xlpm.MyAuditVal),_xlpm.MacVal&lt;&gt;"",_xlpm.MacVal,_xlpm.CSVVal&lt;&gt;"",_xlpm.CSVVal
)),"")</f>
        <v/>
      </c>
      <c r="X79" t="str">
        <f>_xlfn.LET(
    _xlpm.MacVal, _xlfn.XLOOKUP($A79, Output_Mac!$A:$A, Output_Mac!AB:AB, ""),
    _xlpm.MyAuditVal, _xlfn.XLOOKUP($A79, My_Audit!$A:$A, My_Audit!N:N, ""),
    _xlfn.TEXTJOIN(", ", TRUE, _xlpm.MyAuditVal, _xlpm.MacVal)
)</f>
        <v/>
      </c>
    </row>
    <row r="80" spans="1:24">
      <c r="A80" s="2" t="str">
        <f>_xlfn.TEXTJOIN("",TRUE,Input!$B$2,ROW(My_Audit!A79))</f>
        <v>X79</v>
      </c>
      <c r="B80" s="2" t="str">
        <f>_xlfn.TEXTJOIN("-",TRUE,"ITD",Input!$A$2,A80)</f>
        <v>ITD-SHR-X79</v>
      </c>
      <c r="C80" s="2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2" t="str" cm="1">
        <f t="array" ref="D80">IFERROR(_xlfn.LET(
_xlpm.CSVVal,_xlfn.XLOOKUP($A80,CSV!$A:$A,CSV!D:D,""),
_xlpm.MacVal,_xlfn.XLOOKUP($A80,Output_Mac!$A:$A,Output_Mac!C:C,""),
_xlpm.MyAuditVal,_xlfn.XLOOKUP($A80,My_Audit!$A:$A,My_Audit!C:C,""),
_xlfn.IFS(_xlpm.MyAuditVal&lt;&gt;"",_xlpm.MyAuditVal,_xlpm.MacVal&lt;&gt;"",_xlpm.MacVal,_xlpm.CSVVal&lt;&gt;"",_xlpm.CSVVal
)),"")</f>
        <v/>
      </c>
      <c r="E80" s="2" t="str">
        <f>_xlfn.XLOOKUP(A80,My_Audit!A:A,My_Audit!D:D,"")</f>
        <v/>
      </c>
      <c r="F80" s="2" t="str" cm="1">
        <f t="array" ref="F80">IFERROR(_xlfn.LET(
_xlpm.CSVVal,_xlfn.XLOOKUP($A80,CSV!$A:$A,CSV!F:F,""),
_xlpm.MacVal,_xlfn.XLOOKUP($A80,Output_Mac!$A:$A,Output_Mac!E:E,""),
_xlpm.MyAuditVal,_xlfn.XLOOKUP($A80,My_Audit!$A:$A,My_Audit!E:E,""),
_xlfn.IFS(_xlpm.MyAuditVal&lt;&gt;"",_xlpm.MyAuditVal,_xlpm.MacVal&lt;&gt;"",_xlpm.MacVal,_xlpm.CSVVal&lt;&gt;"",_xlpm.CSVVal
)),"")</f>
        <v/>
      </c>
      <c r="G80" s="2" t="str" cm="1">
        <f t="array" ref="G80">IFERROR(_xlfn.LET(
_xlpm.CSVVal,_xlfn.XLOOKUP($A80,CSV!$A:$A,CSV!G:G,""),
_xlpm.MacVal,_xlfn.XLOOKUP($A80,Output_Mac!$A:$A,Output_Mac!F:F,""),
_xlpm.MyAuditVal,_xlfn.XLOOKUP($A80,My_Audit!$A:$A,My_Audit!F:F,""),
_xlfn.IFS(_xlpm.MyAuditVal&lt;&gt;"",_xlpm.MyAuditVal,_xlpm.MacVal&lt;&gt;"",_xlpm.MacVal,_xlpm.CSVVal&lt;&gt;"",PROPER(_xlpm.CSVVal)
)),"")</f>
        <v/>
      </c>
      <c r="H80" s="2" t="str" cm="1">
        <f t="array" ref="H80">IFERROR(_xlfn.LET(
_xlpm.CSVVal,_xlfn.XLOOKUP($A80,CSV!$A:$A,CSV!H:H,""),
_xlpm.MacVal,_xlfn.XLOOKUP($A80,Output_Mac!$A:$A,Output_Mac!H:H,""),
_xlpm.MyAuditVal,_xlfn.XLOOKUP($A80,My_Audit!$A:$A,My_Audit!G:G,""),
_xlfn.IFS(_xlpm.MyAuditVal&lt;&gt;"",_xlpm.MyAuditVal,_xlpm.MacVal&lt;&gt;"",_xlpm.MacVal,_xlpm.CSVVal&lt;&gt;"",_xlpm.CSVVal
)),"")</f>
        <v/>
      </c>
      <c r="I80" s="2" t="str">
        <f>_xlfn.XLOOKUP(A80,Output_Mac!A:A,Output_Mac!I:I,"")</f>
        <v/>
      </c>
      <c r="J80" s="2" t="str" cm="1">
        <f t="array" ref="J80">IFERROR(_xlfn.LET(
_xlpm.CSVVal,_xlfn.XLOOKUP($A80,CSV!$A:$A,CSV!I:I,""),
_xlpm.MacVal,_xlfn.XLOOKUP($A80,Output_Mac!$A:$A,Output_Mac!J:J,""),
_xlpm.MyAuditVal,_xlfn.XLOOKUP($A80,My_Audit!$A:$A,My_Audit!I:I,""),
_xlfn.IFS(_xlpm.MyAuditVal&lt;&gt;"",UPPER(_xlpm.MyAuditVal),_xlpm.MacVal&lt;&gt;"",_xlpm.MacVal,_xlpm.CSVVal&lt;&gt;"",_xlpm.CSVVal
)),"")</f>
        <v/>
      </c>
      <c r="K80" s="2" t="str" cm="1">
        <f t="array" ref="K80">IFERROR(_xlfn.LET(
_xlpm.CSVVal,_xlfn.XLOOKUP($A80,CSV!$A:$A,CSV!K:K,""),
_xlpm.MacVal,_xlfn.XLOOKUP($A80,Output_Mac!$A:$A,Output_Mac!K:K,""),
_xlpm.MyAuditVal,_xlfn.XLOOKUP($A80,My_Audit!$A:$A,My_Audit!J:J,""),
_xlfn.IFS(_xlpm.MyAuditVal&lt;&gt;"",UPPER(_xlpm.MyAuditVal),_xlpm.MacVal&lt;&gt;"",_xlpm.MacVal,_xlpm.CSVVal&lt;&gt;"",_xlpm.CSVVal
)),"")</f>
        <v/>
      </c>
      <c r="L80" s="2" t="str" cm="1">
        <f t="array" ref="L80">IFERROR(_xlfn.LET(
_xlpm.CSVVal,_xlfn.XLOOKUP($A80,CSV!$A:$A,CSV!P:P,""),
_xlpm.MacVal,_xlfn.XLOOKUP($A80,Output_Mac!$A:$A,Output_Mac!L:L,""),
_xlpm.MyAuditVal,_xlfn.XLOOKUP($A80,My_Audit!$A:$A,My_Audit!K:K,""),
_xlfn.IFS(_xlpm.MyAuditVal&lt;&gt;"",UPPER(_xlpm.MyAuditVal),_xlpm.MacVal&lt;&gt;"",_xlpm.MacVal,_xlpm.CSVVal&lt;&gt;"",_xlpm.CSVVal
)),"")</f>
        <v/>
      </c>
      <c r="M80" s="2" t="str" cm="1">
        <f t="array" ref="M80">IFERROR(_xlfn.LET(
_xlpm.CSVVal,_xlfn.XLOOKUP($A80,CSV!$A:$A,CSV!Q:Q,""),
_xlpm.MacVal,_xlfn.XLOOKUP($A80,Output_Mac!$A:$A,Output_Mac!M:M,""),
_xlpm.MyAuditVal,_xlfn.XLOOKUP($A80,My_Audit!$A:$A,My_Audit!L:L,""),
_xlfn.IFS(_xlpm.MyAuditVal&lt;&gt;"",UPPER(_xlpm.MyAuditVal),_xlpm.MacVal&lt;&gt;"",_xlpm.MacVal,_xlpm.CSVVal&lt;&gt;"",_xlpm.CSVVal
)),"")</f>
        <v/>
      </c>
      <c r="O80" s="2" t="str">
        <f>_xlfn.LET(
    _xlpm.CSVVal, _xlfn.XLOOKUP($A80, CSV!$A:$A, CSV!AA:AA, ""),
    _xlpm.MacVal, _xlfn.XLOOKUP($A80, Output_Mac!$A:$A, Output_Mac!S:S, ""),
    _xlpm.MyAuditVal, _xlfn.XLOOKUP($A80, My_Audit!$A:$A, My_Audit!P:P, ""),
    _xlfn.TEXTJOIN(", ", TRUE, _xlpm.MyAuditVal, _xlpm.MacVal, _xlpm.CSVVal)
)</f>
        <v/>
      </c>
      <c r="P80" s="2" t="str" cm="1">
        <f t="array" ref="P80">IFERROR(_xlfn.LET(
_xlpm.CSVVal,_xlfn.XLOOKUP($A80,CSV!$A:$A,CSV!AB:AB,""),
_xlpm.MacVal,_xlfn.XLOOKUP($A80,Output_Mac!$A:$A,Output_Mac!T:T,""),
_xlpm.MyAuditVal,_xlfn.XLOOKUP($A80,My_Audit!$A:$A,My_Audit!Q:Q,""),
_xlfn.IFS(_xlpm.MyAuditVal&lt;&gt;"",UPPER(_xlpm.MyAuditVal),_xlpm.MacVal&lt;&gt;"",_xlpm.MacVal,_xlpm.CSVVal&lt;&gt;"",_xlpm.CSVVal
)),"No")</f>
        <v>No</v>
      </c>
      <c r="Q80" s="2" t="str" cm="1">
        <f t="array" ref="Q80">IFERROR(_xlfn.LET(
_xlpm.CSVVal,_xlfn.XLOOKUP($A80,CSV!$A:$A,CSV!AC:AC,""),
_xlpm.MacVal,_xlfn.XLOOKUP($A80,Output_Mac!$A:$A,Output_Mac!U:U,""),
_xlpm.MyAuditVal,_xlfn.XLOOKUP($A80,My_Audit!$A:$A,My_Audit!R:R,""),
_xlfn.IFS(_xlpm.MyAuditVal&lt;&gt;"",UPPER(_xlpm.MyAuditVal),_xlpm.MacVal&lt;&gt;"",_xlpm.MacVal,_xlpm.CSVVal&lt;&gt;"",_xlpm.CSVVal
)),"")</f>
        <v/>
      </c>
      <c r="X80" t="str">
        <f>_xlfn.LET(
    _xlpm.MacVal, _xlfn.XLOOKUP($A80, Output_Mac!$A:$A, Output_Mac!AB:AB, ""),
    _xlpm.MyAuditVal, _xlfn.XLOOKUP($A80, My_Audit!$A:$A, My_Audit!N:N, ""),
    _xlfn.TEXTJOIN(", ", TRUE, _xlpm.MyAuditVal, _xlpm.MacVal)
)</f>
        <v/>
      </c>
    </row>
    <row r="81" spans="1:24">
      <c r="A81" s="2" t="str">
        <f>_xlfn.TEXTJOIN("",TRUE,Input!$B$2,ROW(My_Audit!A80))</f>
        <v>X80</v>
      </c>
      <c r="B81" s="2" t="str">
        <f>_xlfn.TEXTJOIN("-",TRUE,"ITD",Input!$A$2,A81)</f>
        <v>ITD-SHR-X80</v>
      </c>
      <c r="C81" s="2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2" t="str" cm="1">
        <f t="array" ref="D81">IFERROR(_xlfn.LET(
_xlpm.CSVVal,_xlfn.XLOOKUP($A81,CSV!$A:$A,CSV!D:D,""),
_xlpm.MacVal,_xlfn.XLOOKUP($A81,Output_Mac!$A:$A,Output_Mac!C:C,""),
_xlpm.MyAuditVal,_xlfn.XLOOKUP($A81,My_Audit!$A:$A,My_Audit!C:C,""),
_xlfn.IFS(_xlpm.MyAuditVal&lt;&gt;"",_xlpm.MyAuditVal,_xlpm.MacVal&lt;&gt;"",_xlpm.MacVal,_xlpm.CSVVal&lt;&gt;"",_xlpm.CSVVal
)),"")</f>
        <v/>
      </c>
      <c r="E81" s="2" t="str">
        <f>_xlfn.XLOOKUP(A81,My_Audit!A:A,My_Audit!D:D,"")</f>
        <v/>
      </c>
      <c r="F81" s="2" t="str" cm="1">
        <f t="array" ref="F81">IFERROR(_xlfn.LET(
_xlpm.CSVVal,_xlfn.XLOOKUP($A81,CSV!$A:$A,CSV!F:F,""),
_xlpm.MacVal,_xlfn.XLOOKUP($A81,Output_Mac!$A:$A,Output_Mac!E:E,""),
_xlpm.MyAuditVal,_xlfn.XLOOKUP($A81,My_Audit!$A:$A,My_Audit!E:E,""),
_xlfn.IFS(_xlpm.MyAuditVal&lt;&gt;"",_xlpm.MyAuditVal,_xlpm.MacVal&lt;&gt;"",_xlpm.MacVal,_xlpm.CSVVal&lt;&gt;"",_xlpm.CSVVal
)),"")</f>
        <v/>
      </c>
      <c r="G81" s="2" t="str" cm="1">
        <f t="array" ref="G81">IFERROR(_xlfn.LET(
_xlpm.CSVVal,_xlfn.XLOOKUP($A81,CSV!$A:$A,CSV!G:G,""),
_xlpm.MacVal,_xlfn.XLOOKUP($A81,Output_Mac!$A:$A,Output_Mac!F:F,""),
_xlpm.MyAuditVal,_xlfn.XLOOKUP($A81,My_Audit!$A:$A,My_Audit!F:F,""),
_xlfn.IFS(_xlpm.MyAuditVal&lt;&gt;"",_xlpm.MyAuditVal,_xlpm.MacVal&lt;&gt;"",_xlpm.MacVal,_xlpm.CSVVal&lt;&gt;"",PROPER(_xlpm.CSVVal)
)),"")</f>
        <v/>
      </c>
      <c r="H81" s="2" t="str" cm="1">
        <f t="array" ref="H81">IFERROR(_xlfn.LET(
_xlpm.CSVVal,_xlfn.XLOOKUP($A81,CSV!$A:$A,CSV!H:H,""),
_xlpm.MacVal,_xlfn.XLOOKUP($A81,Output_Mac!$A:$A,Output_Mac!H:H,""),
_xlpm.MyAuditVal,_xlfn.XLOOKUP($A81,My_Audit!$A:$A,My_Audit!G:G,""),
_xlfn.IFS(_xlpm.MyAuditVal&lt;&gt;"",_xlpm.MyAuditVal,_xlpm.MacVal&lt;&gt;"",_xlpm.MacVal,_xlpm.CSVVal&lt;&gt;"",_xlpm.CSVVal
)),"")</f>
        <v/>
      </c>
      <c r="I81" s="2" t="str">
        <f>_xlfn.XLOOKUP(A81,Output_Mac!A:A,Output_Mac!I:I,"")</f>
        <v/>
      </c>
      <c r="J81" s="2" t="str" cm="1">
        <f t="array" ref="J81">IFERROR(_xlfn.LET(
_xlpm.CSVVal,_xlfn.XLOOKUP($A81,CSV!$A:$A,CSV!I:I,""),
_xlpm.MacVal,_xlfn.XLOOKUP($A81,Output_Mac!$A:$A,Output_Mac!J:J,""),
_xlpm.MyAuditVal,_xlfn.XLOOKUP($A81,My_Audit!$A:$A,My_Audit!I:I,""),
_xlfn.IFS(_xlpm.MyAuditVal&lt;&gt;"",UPPER(_xlpm.MyAuditVal),_xlpm.MacVal&lt;&gt;"",_xlpm.MacVal,_xlpm.CSVVal&lt;&gt;"",_xlpm.CSVVal
)),"")</f>
        <v/>
      </c>
      <c r="K81" s="2" t="str" cm="1">
        <f t="array" ref="K81">IFERROR(_xlfn.LET(
_xlpm.CSVVal,_xlfn.XLOOKUP($A81,CSV!$A:$A,CSV!K:K,""),
_xlpm.MacVal,_xlfn.XLOOKUP($A81,Output_Mac!$A:$A,Output_Mac!K:K,""),
_xlpm.MyAuditVal,_xlfn.XLOOKUP($A81,My_Audit!$A:$A,My_Audit!J:J,""),
_xlfn.IFS(_xlpm.MyAuditVal&lt;&gt;"",UPPER(_xlpm.MyAuditVal),_xlpm.MacVal&lt;&gt;"",_xlpm.MacVal,_xlpm.CSVVal&lt;&gt;"",_xlpm.CSVVal
)),"")</f>
        <v/>
      </c>
      <c r="L81" s="2" t="str" cm="1">
        <f t="array" ref="L81">IFERROR(_xlfn.LET(
_xlpm.CSVVal,_xlfn.XLOOKUP($A81,CSV!$A:$A,CSV!P:P,""),
_xlpm.MacVal,_xlfn.XLOOKUP($A81,Output_Mac!$A:$A,Output_Mac!L:L,""),
_xlpm.MyAuditVal,_xlfn.XLOOKUP($A81,My_Audit!$A:$A,My_Audit!K:K,""),
_xlfn.IFS(_xlpm.MyAuditVal&lt;&gt;"",UPPER(_xlpm.MyAuditVal),_xlpm.MacVal&lt;&gt;"",_xlpm.MacVal,_xlpm.CSVVal&lt;&gt;"",_xlpm.CSVVal
)),"")</f>
        <v/>
      </c>
      <c r="M81" s="2" t="str" cm="1">
        <f t="array" ref="M81">IFERROR(_xlfn.LET(
_xlpm.CSVVal,_xlfn.XLOOKUP($A81,CSV!$A:$A,CSV!Q:Q,""),
_xlpm.MacVal,_xlfn.XLOOKUP($A81,Output_Mac!$A:$A,Output_Mac!M:M,""),
_xlpm.MyAuditVal,_xlfn.XLOOKUP($A81,My_Audit!$A:$A,My_Audit!L:L,""),
_xlfn.IFS(_xlpm.MyAuditVal&lt;&gt;"",UPPER(_xlpm.MyAuditVal),_xlpm.MacVal&lt;&gt;"",_xlpm.MacVal,_xlpm.CSVVal&lt;&gt;"",_xlpm.CSVVal
)),"")</f>
        <v/>
      </c>
      <c r="O81" s="2" t="str">
        <f>_xlfn.LET(
    _xlpm.CSVVal, _xlfn.XLOOKUP($A81, CSV!$A:$A, CSV!AA:AA, ""),
    _xlpm.MacVal, _xlfn.XLOOKUP($A81, Output_Mac!$A:$A, Output_Mac!S:S, ""),
    _xlpm.MyAuditVal, _xlfn.XLOOKUP($A81, My_Audit!$A:$A, My_Audit!P:P, ""),
    _xlfn.TEXTJOIN(", ", TRUE, _xlpm.MyAuditVal, _xlpm.MacVal, _xlpm.CSVVal)
)</f>
        <v/>
      </c>
      <c r="P81" s="2" t="str" cm="1">
        <f t="array" ref="P81">IFERROR(_xlfn.LET(
_xlpm.CSVVal,_xlfn.XLOOKUP($A81,CSV!$A:$A,CSV!AB:AB,""),
_xlpm.MacVal,_xlfn.XLOOKUP($A81,Output_Mac!$A:$A,Output_Mac!T:T,""),
_xlpm.MyAuditVal,_xlfn.XLOOKUP($A81,My_Audit!$A:$A,My_Audit!Q:Q,""),
_xlfn.IFS(_xlpm.MyAuditVal&lt;&gt;"",UPPER(_xlpm.MyAuditVal),_xlpm.MacVal&lt;&gt;"",_xlpm.MacVal,_xlpm.CSVVal&lt;&gt;"",_xlpm.CSVVal
)),"No")</f>
        <v>No</v>
      </c>
      <c r="Q81" s="2" t="str" cm="1">
        <f t="array" ref="Q81">IFERROR(_xlfn.LET(
_xlpm.CSVVal,_xlfn.XLOOKUP($A81,CSV!$A:$A,CSV!AC:AC,""),
_xlpm.MacVal,_xlfn.XLOOKUP($A81,Output_Mac!$A:$A,Output_Mac!U:U,""),
_xlpm.MyAuditVal,_xlfn.XLOOKUP($A81,My_Audit!$A:$A,My_Audit!R:R,""),
_xlfn.IFS(_xlpm.MyAuditVal&lt;&gt;"",UPPER(_xlpm.MyAuditVal),_xlpm.MacVal&lt;&gt;"",_xlpm.MacVal,_xlpm.CSVVal&lt;&gt;"",_xlpm.CSVVal
)),"")</f>
        <v/>
      </c>
      <c r="X81" t="str">
        <f>_xlfn.LET(
    _xlpm.MacVal, _xlfn.XLOOKUP($A81, Output_Mac!$A:$A, Output_Mac!AB:AB, ""),
    _xlpm.MyAuditVal, _xlfn.XLOOKUP($A81, My_Audit!$A:$A, My_Audit!N:N, ""),
    _xlfn.TEXTJOIN(", ", TRUE, _xlpm.MyAuditVal, _xlpm.MacVal)
)</f>
        <v/>
      </c>
    </row>
    <row r="82" spans="1:24">
      <c r="A82" s="2" t="str">
        <f>_xlfn.TEXTJOIN("",TRUE,Input!$B$2,ROW(My_Audit!A81))</f>
        <v>X81</v>
      </c>
      <c r="B82" s="2" t="str">
        <f>_xlfn.TEXTJOIN("-",TRUE,"ITD",Input!$A$2,A82)</f>
        <v>ITD-SHR-X81</v>
      </c>
      <c r="C82" s="2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2" t="str" cm="1">
        <f t="array" ref="D82">IFERROR(_xlfn.LET(
_xlpm.CSVVal,_xlfn.XLOOKUP($A82,CSV!$A:$A,CSV!D:D,""),
_xlpm.MacVal,_xlfn.XLOOKUP($A82,Output_Mac!$A:$A,Output_Mac!C:C,""),
_xlpm.MyAuditVal,_xlfn.XLOOKUP($A82,My_Audit!$A:$A,My_Audit!C:C,""),
_xlfn.IFS(_xlpm.MyAuditVal&lt;&gt;"",_xlpm.MyAuditVal,_xlpm.MacVal&lt;&gt;"",_xlpm.MacVal,_xlpm.CSVVal&lt;&gt;"",_xlpm.CSVVal
)),"")</f>
        <v/>
      </c>
      <c r="E82" s="2" t="str">
        <f>_xlfn.XLOOKUP(A82,My_Audit!A:A,My_Audit!D:D,"")</f>
        <v/>
      </c>
      <c r="F82" s="2" t="str" cm="1">
        <f t="array" ref="F82">IFERROR(_xlfn.LET(
_xlpm.CSVVal,_xlfn.XLOOKUP($A82,CSV!$A:$A,CSV!F:F,""),
_xlpm.MacVal,_xlfn.XLOOKUP($A82,Output_Mac!$A:$A,Output_Mac!E:E,""),
_xlpm.MyAuditVal,_xlfn.XLOOKUP($A82,My_Audit!$A:$A,My_Audit!E:E,""),
_xlfn.IFS(_xlpm.MyAuditVal&lt;&gt;"",_xlpm.MyAuditVal,_xlpm.MacVal&lt;&gt;"",_xlpm.MacVal,_xlpm.CSVVal&lt;&gt;"",_xlpm.CSVVal
)),"")</f>
        <v/>
      </c>
      <c r="G82" s="2" t="str" cm="1">
        <f t="array" ref="G82">IFERROR(_xlfn.LET(
_xlpm.CSVVal,_xlfn.XLOOKUP($A82,CSV!$A:$A,CSV!G:G,""),
_xlpm.MacVal,_xlfn.XLOOKUP($A82,Output_Mac!$A:$A,Output_Mac!F:F,""),
_xlpm.MyAuditVal,_xlfn.XLOOKUP($A82,My_Audit!$A:$A,My_Audit!F:F,""),
_xlfn.IFS(_xlpm.MyAuditVal&lt;&gt;"",_xlpm.MyAuditVal,_xlpm.MacVal&lt;&gt;"",_xlpm.MacVal,_xlpm.CSVVal&lt;&gt;"",PROPER(_xlpm.CSVVal)
)),"")</f>
        <v/>
      </c>
      <c r="H82" s="2" t="str" cm="1">
        <f t="array" ref="H82">IFERROR(_xlfn.LET(
_xlpm.CSVVal,_xlfn.XLOOKUP($A82,CSV!$A:$A,CSV!H:H,""),
_xlpm.MacVal,_xlfn.XLOOKUP($A82,Output_Mac!$A:$A,Output_Mac!H:H,""),
_xlpm.MyAuditVal,_xlfn.XLOOKUP($A82,My_Audit!$A:$A,My_Audit!G:G,""),
_xlfn.IFS(_xlpm.MyAuditVal&lt;&gt;"",_xlpm.MyAuditVal,_xlpm.MacVal&lt;&gt;"",_xlpm.MacVal,_xlpm.CSVVal&lt;&gt;"",_xlpm.CSVVal
)),"")</f>
        <v/>
      </c>
      <c r="I82" s="2" t="str">
        <f>_xlfn.XLOOKUP(A82,Output_Mac!A:A,Output_Mac!I:I,"")</f>
        <v/>
      </c>
      <c r="J82" s="2" t="str" cm="1">
        <f t="array" ref="J82">IFERROR(_xlfn.LET(
_xlpm.CSVVal,_xlfn.XLOOKUP($A82,CSV!$A:$A,CSV!I:I,""),
_xlpm.MacVal,_xlfn.XLOOKUP($A82,Output_Mac!$A:$A,Output_Mac!J:J,""),
_xlpm.MyAuditVal,_xlfn.XLOOKUP($A82,My_Audit!$A:$A,My_Audit!I:I,""),
_xlfn.IFS(_xlpm.MyAuditVal&lt;&gt;"",UPPER(_xlpm.MyAuditVal),_xlpm.MacVal&lt;&gt;"",_xlpm.MacVal,_xlpm.CSVVal&lt;&gt;"",_xlpm.CSVVal
)),"")</f>
        <v/>
      </c>
      <c r="K82" s="2" t="str" cm="1">
        <f t="array" ref="K82">IFERROR(_xlfn.LET(
_xlpm.CSVVal,_xlfn.XLOOKUP($A82,CSV!$A:$A,CSV!K:K,""),
_xlpm.MacVal,_xlfn.XLOOKUP($A82,Output_Mac!$A:$A,Output_Mac!K:K,""),
_xlpm.MyAuditVal,_xlfn.XLOOKUP($A82,My_Audit!$A:$A,My_Audit!J:J,""),
_xlfn.IFS(_xlpm.MyAuditVal&lt;&gt;"",UPPER(_xlpm.MyAuditVal),_xlpm.MacVal&lt;&gt;"",_xlpm.MacVal,_xlpm.CSVVal&lt;&gt;"",_xlpm.CSVVal
)),"")</f>
        <v/>
      </c>
      <c r="L82" s="2" t="str" cm="1">
        <f t="array" ref="L82">IFERROR(_xlfn.LET(
_xlpm.CSVVal,_xlfn.XLOOKUP($A82,CSV!$A:$A,CSV!P:P,""),
_xlpm.MacVal,_xlfn.XLOOKUP($A82,Output_Mac!$A:$A,Output_Mac!L:L,""),
_xlpm.MyAuditVal,_xlfn.XLOOKUP($A82,My_Audit!$A:$A,My_Audit!K:K,""),
_xlfn.IFS(_xlpm.MyAuditVal&lt;&gt;"",UPPER(_xlpm.MyAuditVal),_xlpm.MacVal&lt;&gt;"",_xlpm.MacVal,_xlpm.CSVVal&lt;&gt;"",_xlpm.CSVVal
)),"")</f>
        <v/>
      </c>
      <c r="M82" s="2" t="str" cm="1">
        <f t="array" ref="M82">IFERROR(_xlfn.LET(
_xlpm.CSVVal,_xlfn.XLOOKUP($A82,CSV!$A:$A,CSV!Q:Q,""),
_xlpm.MacVal,_xlfn.XLOOKUP($A82,Output_Mac!$A:$A,Output_Mac!M:M,""),
_xlpm.MyAuditVal,_xlfn.XLOOKUP($A82,My_Audit!$A:$A,My_Audit!L:L,""),
_xlfn.IFS(_xlpm.MyAuditVal&lt;&gt;"",UPPER(_xlpm.MyAuditVal),_xlpm.MacVal&lt;&gt;"",_xlpm.MacVal,_xlpm.CSVVal&lt;&gt;"",_xlpm.CSVVal
)),"")</f>
        <v/>
      </c>
      <c r="O82" s="2" t="str">
        <f>_xlfn.LET(
    _xlpm.CSVVal, _xlfn.XLOOKUP($A82, CSV!$A:$A, CSV!AA:AA, ""),
    _xlpm.MacVal, _xlfn.XLOOKUP($A82, Output_Mac!$A:$A, Output_Mac!S:S, ""),
    _xlpm.MyAuditVal, _xlfn.XLOOKUP($A82, My_Audit!$A:$A, My_Audit!P:P, ""),
    _xlfn.TEXTJOIN(", ", TRUE, _xlpm.MyAuditVal, _xlpm.MacVal, _xlpm.CSVVal)
)</f>
        <v/>
      </c>
      <c r="P82" s="2" t="str" cm="1">
        <f t="array" ref="P82">IFERROR(_xlfn.LET(
_xlpm.CSVVal,_xlfn.XLOOKUP($A82,CSV!$A:$A,CSV!AB:AB,""),
_xlpm.MacVal,_xlfn.XLOOKUP($A82,Output_Mac!$A:$A,Output_Mac!T:T,""),
_xlpm.MyAuditVal,_xlfn.XLOOKUP($A82,My_Audit!$A:$A,My_Audit!Q:Q,""),
_xlfn.IFS(_xlpm.MyAuditVal&lt;&gt;"",UPPER(_xlpm.MyAuditVal),_xlpm.MacVal&lt;&gt;"",_xlpm.MacVal,_xlpm.CSVVal&lt;&gt;"",_xlpm.CSVVal
)),"No")</f>
        <v>No</v>
      </c>
      <c r="Q82" s="2" t="str" cm="1">
        <f t="array" ref="Q82">IFERROR(_xlfn.LET(
_xlpm.CSVVal,_xlfn.XLOOKUP($A82,CSV!$A:$A,CSV!AC:AC,""),
_xlpm.MacVal,_xlfn.XLOOKUP($A82,Output_Mac!$A:$A,Output_Mac!U:U,""),
_xlpm.MyAuditVal,_xlfn.XLOOKUP($A82,My_Audit!$A:$A,My_Audit!R:R,""),
_xlfn.IFS(_xlpm.MyAuditVal&lt;&gt;"",UPPER(_xlpm.MyAuditVal),_xlpm.MacVal&lt;&gt;"",_xlpm.MacVal,_xlpm.CSVVal&lt;&gt;"",_xlpm.CSVVal
)),"")</f>
        <v/>
      </c>
      <c r="X82" t="str">
        <f>_xlfn.LET(
    _xlpm.MacVal, _xlfn.XLOOKUP($A82, Output_Mac!$A:$A, Output_Mac!AB:AB, ""),
    _xlpm.MyAuditVal, _xlfn.XLOOKUP($A82, My_Audit!$A:$A, My_Audit!N:N, ""),
    _xlfn.TEXTJOIN(", ", TRUE, _xlpm.MyAuditVal, _xlpm.MacVal)
)</f>
        <v/>
      </c>
    </row>
    <row r="83" spans="1:24">
      <c r="A83" s="2" t="str">
        <f>_xlfn.TEXTJOIN("",TRUE,Input!$B$2,ROW(My_Audit!A82))</f>
        <v>X82</v>
      </c>
      <c r="B83" s="2" t="str">
        <f>_xlfn.TEXTJOIN("-",TRUE,"ITD",Input!$A$2,A83)</f>
        <v>ITD-SHR-X82</v>
      </c>
      <c r="C83" s="2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2" t="str" cm="1">
        <f t="array" ref="D83">IFERROR(_xlfn.LET(
_xlpm.CSVVal,_xlfn.XLOOKUP($A83,CSV!$A:$A,CSV!D:D,""),
_xlpm.MacVal,_xlfn.XLOOKUP($A83,Output_Mac!$A:$A,Output_Mac!C:C,""),
_xlpm.MyAuditVal,_xlfn.XLOOKUP($A83,My_Audit!$A:$A,My_Audit!C:C,""),
_xlfn.IFS(_xlpm.MyAuditVal&lt;&gt;"",_xlpm.MyAuditVal,_xlpm.MacVal&lt;&gt;"",_xlpm.MacVal,_xlpm.CSVVal&lt;&gt;"",_xlpm.CSVVal
)),"")</f>
        <v/>
      </c>
      <c r="E83" s="2" t="str">
        <f>_xlfn.XLOOKUP(A83,My_Audit!A:A,My_Audit!D:D,"")</f>
        <v/>
      </c>
      <c r="F83" s="2" t="str" cm="1">
        <f t="array" ref="F83">IFERROR(_xlfn.LET(
_xlpm.CSVVal,_xlfn.XLOOKUP($A83,CSV!$A:$A,CSV!F:F,""),
_xlpm.MacVal,_xlfn.XLOOKUP($A83,Output_Mac!$A:$A,Output_Mac!E:E,""),
_xlpm.MyAuditVal,_xlfn.XLOOKUP($A83,My_Audit!$A:$A,My_Audit!E:E,""),
_xlfn.IFS(_xlpm.MyAuditVal&lt;&gt;"",_xlpm.MyAuditVal,_xlpm.MacVal&lt;&gt;"",_xlpm.MacVal,_xlpm.CSVVal&lt;&gt;"",_xlpm.CSVVal
)),"")</f>
        <v/>
      </c>
      <c r="G83" s="2" t="str" cm="1">
        <f t="array" ref="G83">IFERROR(_xlfn.LET(
_xlpm.CSVVal,_xlfn.XLOOKUP($A83,CSV!$A:$A,CSV!G:G,""),
_xlpm.MacVal,_xlfn.XLOOKUP($A83,Output_Mac!$A:$A,Output_Mac!F:F,""),
_xlpm.MyAuditVal,_xlfn.XLOOKUP($A83,My_Audit!$A:$A,My_Audit!F:F,""),
_xlfn.IFS(_xlpm.MyAuditVal&lt;&gt;"",_xlpm.MyAuditVal,_xlpm.MacVal&lt;&gt;"",_xlpm.MacVal,_xlpm.CSVVal&lt;&gt;"",PROPER(_xlpm.CSVVal)
)),"")</f>
        <v/>
      </c>
      <c r="H83" s="2" t="str" cm="1">
        <f t="array" ref="H83">IFERROR(_xlfn.LET(
_xlpm.CSVVal,_xlfn.XLOOKUP($A83,CSV!$A:$A,CSV!H:H,""),
_xlpm.MacVal,_xlfn.XLOOKUP($A83,Output_Mac!$A:$A,Output_Mac!H:H,""),
_xlpm.MyAuditVal,_xlfn.XLOOKUP($A83,My_Audit!$A:$A,My_Audit!G:G,""),
_xlfn.IFS(_xlpm.MyAuditVal&lt;&gt;"",_xlpm.MyAuditVal,_xlpm.MacVal&lt;&gt;"",_xlpm.MacVal,_xlpm.CSVVal&lt;&gt;"",_xlpm.CSVVal
)),"")</f>
        <v/>
      </c>
      <c r="I83" s="2" t="str">
        <f>_xlfn.XLOOKUP(A83,Output_Mac!A:A,Output_Mac!I:I,"")</f>
        <v/>
      </c>
      <c r="J83" s="2" t="str" cm="1">
        <f t="array" ref="J83">IFERROR(_xlfn.LET(
_xlpm.CSVVal,_xlfn.XLOOKUP($A83,CSV!$A:$A,CSV!I:I,""),
_xlpm.MacVal,_xlfn.XLOOKUP($A83,Output_Mac!$A:$A,Output_Mac!J:J,""),
_xlpm.MyAuditVal,_xlfn.XLOOKUP($A83,My_Audit!$A:$A,My_Audit!I:I,""),
_xlfn.IFS(_xlpm.MyAuditVal&lt;&gt;"",UPPER(_xlpm.MyAuditVal),_xlpm.MacVal&lt;&gt;"",_xlpm.MacVal,_xlpm.CSVVal&lt;&gt;"",_xlpm.CSVVal
)),"")</f>
        <v/>
      </c>
      <c r="K83" s="2" t="str" cm="1">
        <f t="array" ref="K83">IFERROR(_xlfn.LET(
_xlpm.CSVVal,_xlfn.XLOOKUP($A83,CSV!$A:$A,CSV!K:K,""),
_xlpm.MacVal,_xlfn.XLOOKUP($A83,Output_Mac!$A:$A,Output_Mac!K:K,""),
_xlpm.MyAuditVal,_xlfn.XLOOKUP($A83,My_Audit!$A:$A,My_Audit!J:J,""),
_xlfn.IFS(_xlpm.MyAuditVal&lt;&gt;"",UPPER(_xlpm.MyAuditVal),_xlpm.MacVal&lt;&gt;"",_xlpm.MacVal,_xlpm.CSVVal&lt;&gt;"",_xlpm.CSVVal
)),"")</f>
        <v/>
      </c>
      <c r="L83" s="2" t="str" cm="1">
        <f t="array" ref="L83">IFERROR(_xlfn.LET(
_xlpm.CSVVal,_xlfn.XLOOKUP($A83,CSV!$A:$A,CSV!P:P,""),
_xlpm.MacVal,_xlfn.XLOOKUP($A83,Output_Mac!$A:$A,Output_Mac!L:L,""),
_xlpm.MyAuditVal,_xlfn.XLOOKUP($A83,My_Audit!$A:$A,My_Audit!K:K,""),
_xlfn.IFS(_xlpm.MyAuditVal&lt;&gt;"",UPPER(_xlpm.MyAuditVal),_xlpm.MacVal&lt;&gt;"",_xlpm.MacVal,_xlpm.CSVVal&lt;&gt;"",_xlpm.CSVVal
)),"")</f>
        <v/>
      </c>
      <c r="M83" s="2" t="str" cm="1">
        <f t="array" ref="M83">IFERROR(_xlfn.LET(
_xlpm.CSVVal,_xlfn.XLOOKUP($A83,CSV!$A:$A,CSV!Q:Q,""),
_xlpm.MacVal,_xlfn.XLOOKUP($A83,Output_Mac!$A:$A,Output_Mac!M:M,""),
_xlpm.MyAuditVal,_xlfn.XLOOKUP($A83,My_Audit!$A:$A,My_Audit!L:L,""),
_xlfn.IFS(_xlpm.MyAuditVal&lt;&gt;"",UPPER(_xlpm.MyAuditVal),_xlpm.MacVal&lt;&gt;"",_xlpm.MacVal,_xlpm.CSVVal&lt;&gt;"",_xlpm.CSVVal
)),"")</f>
        <v/>
      </c>
      <c r="O83" s="2" t="str">
        <f>_xlfn.LET(
    _xlpm.CSVVal, _xlfn.XLOOKUP($A83, CSV!$A:$A, CSV!AA:AA, ""),
    _xlpm.MacVal, _xlfn.XLOOKUP($A83, Output_Mac!$A:$A, Output_Mac!S:S, ""),
    _xlpm.MyAuditVal, _xlfn.XLOOKUP($A83, My_Audit!$A:$A, My_Audit!P:P, ""),
    _xlfn.TEXTJOIN(", ", TRUE, _xlpm.MyAuditVal, _xlpm.MacVal, _xlpm.CSVVal)
)</f>
        <v/>
      </c>
      <c r="P83" s="2" t="str" cm="1">
        <f t="array" ref="P83">IFERROR(_xlfn.LET(
_xlpm.CSVVal,_xlfn.XLOOKUP($A83,CSV!$A:$A,CSV!AB:AB,""),
_xlpm.MacVal,_xlfn.XLOOKUP($A83,Output_Mac!$A:$A,Output_Mac!T:T,""),
_xlpm.MyAuditVal,_xlfn.XLOOKUP($A83,My_Audit!$A:$A,My_Audit!Q:Q,""),
_xlfn.IFS(_xlpm.MyAuditVal&lt;&gt;"",UPPER(_xlpm.MyAuditVal),_xlpm.MacVal&lt;&gt;"",_xlpm.MacVal,_xlpm.CSVVal&lt;&gt;"",_xlpm.CSVVal
)),"No")</f>
        <v>No</v>
      </c>
      <c r="Q83" s="2" t="str" cm="1">
        <f t="array" ref="Q83">IFERROR(_xlfn.LET(
_xlpm.CSVVal,_xlfn.XLOOKUP($A83,CSV!$A:$A,CSV!AC:AC,""),
_xlpm.MacVal,_xlfn.XLOOKUP($A83,Output_Mac!$A:$A,Output_Mac!U:U,""),
_xlpm.MyAuditVal,_xlfn.XLOOKUP($A83,My_Audit!$A:$A,My_Audit!R:R,""),
_xlfn.IFS(_xlpm.MyAuditVal&lt;&gt;"",UPPER(_xlpm.MyAuditVal),_xlpm.MacVal&lt;&gt;"",_xlpm.MacVal,_xlpm.CSVVal&lt;&gt;"",_xlpm.CSVVal
)),"")</f>
        <v/>
      </c>
      <c r="X83" t="str">
        <f>_xlfn.LET(
    _xlpm.MacVal, _xlfn.XLOOKUP($A83, Output_Mac!$A:$A, Output_Mac!AB:AB, ""),
    _xlpm.MyAuditVal, _xlfn.XLOOKUP($A83, My_Audit!$A:$A, My_Audit!N:N, ""),
    _xlfn.TEXTJOIN(", ", TRUE, _xlpm.MyAuditVal, _xlpm.MacVal)
)</f>
        <v/>
      </c>
    </row>
    <row r="84" spans="1:24">
      <c r="A84" s="2" t="str">
        <f>_xlfn.TEXTJOIN("",TRUE,Input!$B$2,ROW(My_Audit!A83))</f>
        <v>X83</v>
      </c>
      <c r="B84" s="2" t="str">
        <f>_xlfn.TEXTJOIN("-",TRUE,"ITD",Input!$A$2,A84)</f>
        <v>ITD-SHR-X83</v>
      </c>
      <c r="C84" s="2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2" t="str" cm="1">
        <f t="array" ref="D84">IFERROR(_xlfn.LET(
_xlpm.CSVVal,_xlfn.XLOOKUP($A84,CSV!$A:$A,CSV!D:D,""),
_xlpm.MacVal,_xlfn.XLOOKUP($A84,Output_Mac!$A:$A,Output_Mac!C:C,""),
_xlpm.MyAuditVal,_xlfn.XLOOKUP($A84,My_Audit!$A:$A,My_Audit!C:C,""),
_xlfn.IFS(_xlpm.MyAuditVal&lt;&gt;"",_xlpm.MyAuditVal,_xlpm.MacVal&lt;&gt;"",_xlpm.MacVal,_xlpm.CSVVal&lt;&gt;"",_xlpm.CSVVal
)),"")</f>
        <v/>
      </c>
      <c r="E84" s="2" t="str">
        <f>_xlfn.XLOOKUP(A84,My_Audit!A:A,My_Audit!D:D,"")</f>
        <v/>
      </c>
      <c r="F84" s="2" t="str" cm="1">
        <f t="array" ref="F84">IFERROR(_xlfn.LET(
_xlpm.CSVVal,_xlfn.XLOOKUP($A84,CSV!$A:$A,CSV!F:F,""),
_xlpm.MacVal,_xlfn.XLOOKUP($A84,Output_Mac!$A:$A,Output_Mac!E:E,""),
_xlpm.MyAuditVal,_xlfn.XLOOKUP($A84,My_Audit!$A:$A,My_Audit!E:E,""),
_xlfn.IFS(_xlpm.MyAuditVal&lt;&gt;"",_xlpm.MyAuditVal,_xlpm.MacVal&lt;&gt;"",_xlpm.MacVal,_xlpm.CSVVal&lt;&gt;"",_xlpm.CSVVal
)),"")</f>
        <v/>
      </c>
      <c r="G84" s="2" t="str" cm="1">
        <f t="array" ref="G84">IFERROR(_xlfn.LET(
_xlpm.CSVVal,_xlfn.XLOOKUP($A84,CSV!$A:$A,CSV!G:G,""),
_xlpm.MacVal,_xlfn.XLOOKUP($A84,Output_Mac!$A:$A,Output_Mac!F:F,""),
_xlpm.MyAuditVal,_xlfn.XLOOKUP($A84,My_Audit!$A:$A,My_Audit!F:F,""),
_xlfn.IFS(_xlpm.MyAuditVal&lt;&gt;"",_xlpm.MyAuditVal,_xlpm.MacVal&lt;&gt;"",_xlpm.MacVal,_xlpm.CSVVal&lt;&gt;"",PROPER(_xlpm.CSVVal)
)),"")</f>
        <v/>
      </c>
      <c r="H84" s="2" t="str" cm="1">
        <f t="array" ref="H84">IFERROR(_xlfn.LET(
_xlpm.CSVVal,_xlfn.XLOOKUP($A84,CSV!$A:$A,CSV!H:H,""),
_xlpm.MacVal,_xlfn.XLOOKUP($A84,Output_Mac!$A:$A,Output_Mac!H:H,""),
_xlpm.MyAuditVal,_xlfn.XLOOKUP($A84,My_Audit!$A:$A,My_Audit!G:G,""),
_xlfn.IFS(_xlpm.MyAuditVal&lt;&gt;"",_xlpm.MyAuditVal,_xlpm.MacVal&lt;&gt;"",_xlpm.MacVal,_xlpm.CSVVal&lt;&gt;"",_xlpm.CSVVal
)),"")</f>
        <v/>
      </c>
      <c r="I84" s="2" t="str">
        <f>_xlfn.XLOOKUP(A84,Output_Mac!A:A,Output_Mac!I:I,"")</f>
        <v/>
      </c>
      <c r="J84" s="2" t="str" cm="1">
        <f t="array" ref="J84">IFERROR(_xlfn.LET(
_xlpm.CSVVal,_xlfn.XLOOKUP($A84,CSV!$A:$A,CSV!I:I,""),
_xlpm.MacVal,_xlfn.XLOOKUP($A84,Output_Mac!$A:$A,Output_Mac!J:J,""),
_xlpm.MyAuditVal,_xlfn.XLOOKUP($A84,My_Audit!$A:$A,My_Audit!I:I,""),
_xlfn.IFS(_xlpm.MyAuditVal&lt;&gt;"",UPPER(_xlpm.MyAuditVal),_xlpm.MacVal&lt;&gt;"",_xlpm.MacVal,_xlpm.CSVVal&lt;&gt;"",_xlpm.CSVVal
)),"")</f>
        <v/>
      </c>
      <c r="K84" s="2" t="str" cm="1">
        <f t="array" ref="K84">IFERROR(_xlfn.LET(
_xlpm.CSVVal,_xlfn.XLOOKUP($A84,CSV!$A:$A,CSV!K:K,""),
_xlpm.MacVal,_xlfn.XLOOKUP($A84,Output_Mac!$A:$A,Output_Mac!K:K,""),
_xlpm.MyAuditVal,_xlfn.XLOOKUP($A84,My_Audit!$A:$A,My_Audit!J:J,""),
_xlfn.IFS(_xlpm.MyAuditVal&lt;&gt;"",UPPER(_xlpm.MyAuditVal),_xlpm.MacVal&lt;&gt;"",_xlpm.MacVal,_xlpm.CSVVal&lt;&gt;"",_xlpm.CSVVal
)),"")</f>
        <v/>
      </c>
      <c r="L84" s="2" t="str" cm="1">
        <f t="array" ref="L84">IFERROR(_xlfn.LET(
_xlpm.CSVVal,_xlfn.XLOOKUP($A84,CSV!$A:$A,CSV!P:P,""),
_xlpm.MacVal,_xlfn.XLOOKUP($A84,Output_Mac!$A:$A,Output_Mac!L:L,""),
_xlpm.MyAuditVal,_xlfn.XLOOKUP($A84,My_Audit!$A:$A,My_Audit!K:K,""),
_xlfn.IFS(_xlpm.MyAuditVal&lt;&gt;"",UPPER(_xlpm.MyAuditVal),_xlpm.MacVal&lt;&gt;"",_xlpm.MacVal,_xlpm.CSVVal&lt;&gt;"",_xlpm.CSVVal
)),"")</f>
        <v/>
      </c>
      <c r="M84" s="2" t="str" cm="1">
        <f t="array" ref="M84">IFERROR(_xlfn.LET(
_xlpm.CSVVal,_xlfn.XLOOKUP($A84,CSV!$A:$A,CSV!Q:Q,""),
_xlpm.MacVal,_xlfn.XLOOKUP($A84,Output_Mac!$A:$A,Output_Mac!M:M,""),
_xlpm.MyAuditVal,_xlfn.XLOOKUP($A84,My_Audit!$A:$A,My_Audit!L:L,""),
_xlfn.IFS(_xlpm.MyAuditVal&lt;&gt;"",UPPER(_xlpm.MyAuditVal),_xlpm.MacVal&lt;&gt;"",_xlpm.MacVal,_xlpm.CSVVal&lt;&gt;"",_xlpm.CSVVal
)),"")</f>
        <v/>
      </c>
      <c r="O84" s="2" t="str">
        <f>_xlfn.LET(
    _xlpm.CSVVal, _xlfn.XLOOKUP($A84, CSV!$A:$A, CSV!AA:AA, ""),
    _xlpm.MacVal, _xlfn.XLOOKUP($A84, Output_Mac!$A:$A, Output_Mac!S:S, ""),
    _xlpm.MyAuditVal, _xlfn.XLOOKUP($A84, My_Audit!$A:$A, My_Audit!P:P, ""),
    _xlfn.TEXTJOIN(", ", TRUE, _xlpm.MyAuditVal, _xlpm.MacVal, _xlpm.CSVVal)
)</f>
        <v/>
      </c>
      <c r="P84" s="2" t="str" cm="1">
        <f t="array" ref="P84">IFERROR(_xlfn.LET(
_xlpm.CSVVal,_xlfn.XLOOKUP($A84,CSV!$A:$A,CSV!AB:AB,""),
_xlpm.MacVal,_xlfn.XLOOKUP($A84,Output_Mac!$A:$A,Output_Mac!T:T,""),
_xlpm.MyAuditVal,_xlfn.XLOOKUP($A84,My_Audit!$A:$A,My_Audit!Q:Q,""),
_xlfn.IFS(_xlpm.MyAuditVal&lt;&gt;"",UPPER(_xlpm.MyAuditVal),_xlpm.MacVal&lt;&gt;"",_xlpm.MacVal,_xlpm.CSVVal&lt;&gt;"",_xlpm.CSVVal
)),"No")</f>
        <v>No</v>
      </c>
      <c r="Q84" s="2" t="str" cm="1">
        <f t="array" ref="Q84">IFERROR(_xlfn.LET(
_xlpm.CSVVal,_xlfn.XLOOKUP($A84,CSV!$A:$A,CSV!AC:AC,""),
_xlpm.MacVal,_xlfn.XLOOKUP($A84,Output_Mac!$A:$A,Output_Mac!U:U,""),
_xlpm.MyAuditVal,_xlfn.XLOOKUP($A84,My_Audit!$A:$A,My_Audit!R:R,""),
_xlfn.IFS(_xlpm.MyAuditVal&lt;&gt;"",UPPER(_xlpm.MyAuditVal),_xlpm.MacVal&lt;&gt;"",_xlpm.MacVal,_xlpm.CSVVal&lt;&gt;"",_xlpm.CSVVal
)),"")</f>
        <v/>
      </c>
      <c r="X84" t="str">
        <f>_xlfn.LET(
    _xlpm.MacVal, _xlfn.XLOOKUP($A84, Output_Mac!$A:$A, Output_Mac!AB:AB, ""),
    _xlpm.MyAuditVal, _xlfn.XLOOKUP($A84, My_Audit!$A:$A, My_Audit!N:N, ""),
    _xlfn.TEXTJOIN(", ", TRUE, _xlpm.MyAuditVal, _xlpm.MacVal)
)</f>
        <v/>
      </c>
    </row>
    <row r="85" spans="1:24">
      <c r="A85" s="2" t="str">
        <f>_xlfn.TEXTJOIN("",TRUE,Input!$B$2,ROW(My_Audit!A84))</f>
        <v>X84</v>
      </c>
      <c r="B85" s="2" t="str">
        <f>_xlfn.TEXTJOIN("-",TRUE,"ITD",Input!$A$2,A85)</f>
        <v>ITD-SHR-X84</v>
      </c>
      <c r="C85" s="2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2" t="str" cm="1">
        <f t="array" ref="D85">IFERROR(_xlfn.LET(
_xlpm.CSVVal,_xlfn.XLOOKUP($A85,CSV!$A:$A,CSV!D:D,""),
_xlpm.MacVal,_xlfn.XLOOKUP($A85,Output_Mac!$A:$A,Output_Mac!C:C,""),
_xlpm.MyAuditVal,_xlfn.XLOOKUP($A85,My_Audit!$A:$A,My_Audit!C:C,""),
_xlfn.IFS(_xlpm.MyAuditVal&lt;&gt;"",_xlpm.MyAuditVal,_xlpm.MacVal&lt;&gt;"",_xlpm.MacVal,_xlpm.CSVVal&lt;&gt;"",_xlpm.CSVVal
)),"")</f>
        <v/>
      </c>
      <c r="E85" s="2" t="str">
        <f>_xlfn.XLOOKUP(A85,My_Audit!A:A,My_Audit!D:D,"")</f>
        <v/>
      </c>
      <c r="F85" s="2" t="str" cm="1">
        <f t="array" ref="F85">IFERROR(_xlfn.LET(
_xlpm.CSVVal,_xlfn.XLOOKUP($A85,CSV!$A:$A,CSV!F:F,""),
_xlpm.MacVal,_xlfn.XLOOKUP($A85,Output_Mac!$A:$A,Output_Mac!E:E,""),
_xlpm.MyAuditVal,_xlfn.XLOOKUP($A85,My_Audit!$A:$A,My_Audit!E:E,""),
_xlfn.IFS(_xlpm.MyAuditVal&lt;&gt;"",_xlpm.MyAuditVal,_xlpm.MacVal&lt;&gt;"",_xlpm.MacVal,_xlpm.CSVVal&lt;&gt;"",_xlpm.CSVVal
)),"")</f>
        <v/>
      </c>
      <c r="G85" s="2" t="str" cm="1">
        <f t="array" ref="G85">IFERROR(_xlfn.LET(
_xlpm.CSVVal,_xlfn.XLOOKUP($A85,CSV!$A:$A,CSV!G:G,""),
_xlpm.MacVal,_xlfn.XLOOKUP($A85,Output_Mac!$A:$A,Output_Mac!F:F,""),
_xlpm.MyAuditVal,_xlfn.XLOOKUP($A85,My_Audit!$A:$A,My_Audit!F:F,""),
_xlfn.IFS(_xlpm.MyAuditVal&lt;&gt;"",_xlpm.MyAuditVal,_xlpm.MacVal&lt;&gt;"",_xlpm.MacVal,_xlpm.CSVVal&lt;&gt;"",PROPER(_xlpm.CSVVal)
)),"")</f>
        <v/>
      </c>
      <c r="H85" s="2" t="str" cm="1">
        <f t="array" ref="H85">IFERROR(_xlfn.LET(
_xlpm.CSVVal,_xlfn.XLOOKUP($A85,CSV!$A:$A,CSV!H:H,""),
_xlpm.MacVal,_xlfn.XLOOKUP($A85,Output_Mac!$A:$A,Output_Mac!H:H,""),
_xlpm.MyAuditVal,_xlfn.XLOOKUP($A85,My_Audit!$A:$A,My_Audit!G:G,""),
_xlfn.IFS(_xlpm.MyAuditVal&lt;&gt;"",_xlpm.MyAuditVal,_xlpm.MacVal&lt;&gt;"",_xlpm.MacVal,_xlpm.CSVVal&lt;&gt;"",_xlpm.CSVVal
)),"")</f>
        <v/>
      </c>
      <c r="I85" s="2" t="str">
        <f>_xlfn.XLOOKUP(A85,Output_Mac!A:A,Output_Mac!I:I,"")</f>
        <v/>
      </c>
      <c r="J85" s="2" t="str" cm="1">
        <f t="array" ref="J85">IFERROR(_xlfn.LET(
_xlpm.CSVVal,_xlfn.XLOOKUP($A85,CSV!$A:$A,CSV!I:I,""),
_xlpm.MacVal,_xlfn.XLOOKUP($A85,Output_Mac!$A:$A,Output_Mac!J:J,""),
_xlpm.MyAuditVal,_xlfn.XLOOKUP($A85,My_Audit!$A:$A,My_Audit!I:I,""),
_xlfn.IFS(_xlpm.MyAuditVal&lt;&gt;"",UPPER(_xlpm.MyAuditVal),_xlpm.MacVal&lt;&gt;"",_xlpm.MacVal,_xlpm.CSVVal&lt;&gt;"",_xlpm.CSVVal
)),"")</f>
        <v/>
      </c>
      <c r="K85" s="2" t="str" cm="1">
        <f t="array" ref="K85">IFERROR(_xlfn.LET(
_xlpm.CSVVal,_xlfn.XLOOKUP($A85,CSV!$A:$A,CSV!K:K,""),
_xlpm.MacVal,_xlfn.XLOOKUP($A85,Output_Mac!$A:$A,Output_Mac!K:K,""),
_xlpm.MyAuditVal,_xlfn.XLOOKUP($A85,My_Audit!$A:$A,My_Audit!J:J,""),
_xlfn.IFS(_xlpm.MyAuditVal&lt;&gt;"",UPPER(_xlpm.MyAuditVal),_xlpm.MacVal&lt;&gt;"",_xlpm.MacVal,_xlpm.CSVVal&lt;&gt;"",_xlpm.CSVVal
)),"")</f>
        <v/>
      </c>
      <c r="L85" s="2" t="str" cm="1">
        <f t="array" ref="L85">IFERROR(_xlfn.LET(
_xlpm.CSVVal,_xlfn.XLOOKUP($A85,CSV!$A:$A,CSV!P:P,""),
_xlpm.MacVal,_xlfn.XLOOKUP($A85,Output_Mac!$A:$A,Output_Mac!L:L,""),
_xlpm.MyAuditVal,_xlfn.XLOOKUP($A85,My_Audit!$A:$A,My_Audit!K:K,""),
_xlfn.IFS(_xlpm.MyAuditVal&lt;&gt;"",UPPER(_xlpm.MyAuditVal),_xlpm.MacVal&lt;&gt;"",_xlpm.MacVal,_xlpm.CSVVal&lt;&gt;"",_xlpm.CSVVal
)),"")</f>
        <v/>
      </c>
      <c r="M85" s="2" t="str" cm="1">
        <f t="array" ref="M85">IFERROR(_xlfn.LET(
_xlpm.CSVVal,_xlfn.XLOOKUP($A85,CSV!$A:$A,CSV!Q:Q,""),
_xlpm.MacVal,_xlfn.XLOOKUP($A85,Output_Mac!$A:$A,Output_Mac!M:M,""),
_xlpm.MyAuditVal,_xlfn.XLOOKUP($A85,My_Audit!$A:$A,My_Audit!L:L,""),
_xlfn.IFS(_xlpm.MyAuditVal&lt;&gt;"",UPPER(_xlpm.MyAuditVal),_xlpm.MacVal&lt;&gt;"",_xlpm.MacVal,_xlpm.CSVVal&lt;&gt;"",_xlpm.CSVVal
)),"")</f>
        <v/>
      </c>
      <c r="O85" s="2" t="str">
        <f>_xlfn.LET(
    _xlpm.CSVVal, _xlfn.XLOOKUP($A85, CSV!$A:$A, CSV!AA:AA, ""),
    _xlpm.MacVal, _xlfn.XLOOKUP($A85, Output_Mac!$A:$A, Output_Mac!S:S, ""),
    _xlpm.MyAuditVal, _xlfn.XLOOKUP($A85, My_Audit!$A:$A, My_Audit!P:P, ""),
    _xlfn.TEXTJOIN(", ", TRUE, _xlpm.MyAuditVal, _xlpm.MacVal, _xlpm.CSVVal)
)</f>
        <v/>
      </c>
      <c r="P85" s="2" t="str" cm="1">
        <f t="array" ref="P85">IFERROR(_xlfn.LET(
_xlpm.CSVVal,_xlfn.XLOOKUP($A85,CSV!$A:$A,CSV!AB:AB,""),
_xlpm.MacVal,_xlfn.XLOOKUP($A85,Output_Mac!$A:$A,Output_Mac!T:T,""),
_xlpm.MyAuditVal,_xlfn.XLOOKUP($A85,My_Audit!$A:$A,My_Audit!Q:Q,""),
_xlfn.IFS(_xlpm.MyAuditVal&lt;&gt;"",UPPER(_xlpm.MyAuditVal),_xlpm.MacVal&lt;&gt;"",_xlpm.MacVal,_xlpm.CSVVal&lt;&gt;"",_xlpm.CSVVal
)),"No")</f>
        <v>No</v>
      </c>
      <c r="Q85" s="2" t="str" cm="1">
        <f t="array" ref="Q85">IFERROR(_xlfn.LET(
_xlpm.CSVVal,_xlfn.XLOOKUP($A85,CSV!$A:$A,CSV!AC:AC,""),
_xlpm.MacVal,_xlfn.XLOOKUP($A85,Output_Mac!$A:$A,Output_Mac!U:U,""),
_xlpm.MyAuditVal,_xlfn.XLOOKUP($A85,My_Audit!$A:$A,My_Audit!R:R,""),
_xlfn.IFS(_xlpm.MyAuditVal&lt;&gt;"",UPPER(_xlpm.MyAuditVal),_xlpm.MacVal&lt;&gt;"",_xlpm.MacVal,_xlpm.CSVVal&lt;&gt;"",_xlpm.CSVVal
)),"")</f>
        <v/>
      </c>
      <c r="X85" t="str">
        <f>_xlfn.LET(
    _xlpm.MacVal, _xlfn.XLOOKUP($A85, Output_Mac!$A:$A, Output_Mac!AB:AB, ""),
    _xlpm.MyAuditVal, _xlfn.XLOOKUP($A85, My_Audit!$A:$A, My_Audit!N:N, ""),
    _xlfn.TEXTJOIN(", ", TRUE, _xlpm.MyAuditVal, _xlpm.MacVal)
)</f>
        <v/>
      </c>
    </row>
    <row r="86" spans="1:24">
      <c r="A86" s="2" t="str">
        <f>_xlfn.TEXTJOIN("",TRUE,Input!$B$2,ROW(My_Audit!A85))</f>
        <v>X85</v>
      </c>
      <c r="B86" s="2" t="str">
        <f>_xlfn.TEXTJOIN("-",TRUE,"ITD",Input!$A$2,A86)</f>
        <v>ITD-SHR-X85</v>
      </c>
      <c r="C86" s="2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2" t="str" cm="1">
        <f t="array" ref="D86">IFERROR(_xlfn.LET(
_xlpm.CSVVal,_xlfn.XLOOKUP($A86,CSV!$A:$A,CSV!D:D,""),
_xlpm.MacVal,_xlfn.XLOOKUP($A86,Output_Mac!$A:$A,Output_Mac!C:C,""),
_xlpm.MyAuditVal,_xlfn.XLOOKUP($A86,My_Audit!$A:$A,My_Audit!C:C,""),
_xlfn.IFS(_xlpm.MyAuditVal&lt;&gt;"",_xlpm.MyAuditVal,_xlpm.MacVal&lt;&gt;"",_xlpm.MacVal,_xlpm.CSVVal&lt;&gt;"",_xlpm.CSVVal
)),"")</f>
        <v/>
      </c>
      <c r="E86" s="2" t="str">
        <f>_xlfn.XLOOKUP(A86,My_Audit!A:A,My_Audit!D:D,"")</f>
        <v/>
      </c>
      <c r="F86" s="2" t="str" cm="1">
        <f t="array" ref="F86">IFERROR(_xlfn.LET(
_xlpm.CSVVal,_xlfn.XLOOKUP($A86,CSV!$A:$A,CSV!F:F,""),
_xlpm.MacVal,_xlfn.XLOOKUP($A86,Output_Mac!$A:$A,Output_Mac!E:E,""),
_xlpm.MyAuditVal,_xlfn.XLOOKUP($A86,My_Audit!$A:$A,My_Audit!E:E,""),
_xlfn.IFS(_xlpm.MyAuditVal&lt;&gt;"",_xlpm.MyAuditVal,_xlpm.MacVal&lt;&gt;"",_xlpm.MacVal,_xlpm.CSVVal&lt;&gt;"",_xlpm.CSVVal
)),"")</f>
        <v/>
      </c>
      <c r="G86" s="2" t="str" cm="1">
        <f t="array" ref="G86">IFERROR(_xlfn.LET(
_xlpm.CSVVal,_xlfn.XLOOKUP($A86,CSV!$A:$A,CSV!G:G,""),
_xlpm.MacVal,_xlfn.XLOOKUP($A86,Output_Mac!$A:$A,Output_Mac!F:F,""),
_xlpm.MyAuditVal,_xlfn.XLOOKUP($A86,My_Audit!$A:$A,My_Audit!F:F,""),
_xlfn.IFS(_xlpm.MyAuditVal&lt;&gt;"",_xlpm.MyAuditVal,_xlpm.MacVal&lt;&gt;"",_xlpm.MacVal,_xlpm.CSVVal&lt;&gt;"",PROPER(_xlpm.CSVVal)
)),"")</f>
        <v/>
      </c>
      <c r="H86" s="2" t="str" cm="1">
        <f t="array" ref="H86">IFERROR(_xlfn.LET(
_xlpm.CSVVal,_xlfn.XLOOKUP($A86,CSV!$A:$A,CSV!H:H,""),
_xlpm.MacVal,_xlfn.XLOOKUP($A86,Output_Mac!$A:$A,Output_Mac!H:H,""),
_xlpm.MyAuditVal,_xlfn.XLOOKUP($A86,My_Audit!$A:$A,My_Audit!G:G,""),
_xlfn.IFS(_xlpm.MyAuditVal&lt;&gt;"",_xlpm.MyAuditVal,_xlpm.MacVal&lt;&gt;"",_xlpm.MacVal,_xlpm.CSVVal&lt;&gt;"",_xlpm.CSVVal
)),"")</f>
        <v/>
      </c>
      <c r="I86" s="2" t="str">
        <f>_xlfn.XLOOKUP(A86,Output_Mac!A:A,Output_Mac!I:I,"")</f>
        <v/>
      </c>
      <c r="J86" s="2" t="str" cm="1">
        <f t="array" ref="J86">IFERROR(_xlfn.LET(
_xlpm.CSVVal,_xlfn.XLOOKUP($A86,CSV!$A:$A,CSV!I:I,""),
_xlpm.MacVal,_xlfn.XLOOKUP($A86,Output_Mac!$A:$A,Output_Mac!J:J,""),
_xlpm.MyAuditVal,_xlfn.XLOOKUP($A86,My_Audit!$A:$A,My_Audit!I:I,""),
_xlfn.IFS(_xlpm.MyAuditVal&lt;&gt;"",UPPER(_xlpm.MyAuditVal),_xlpm.MacVal&lt;&gt;"",_xlpm.MacVal,_xlpm.CSVVal&lt;&gt;"",_xlpm.CSVVal
)),"")</f>
        <v/>
      </c>
      <c r="K86" s="2" t="str" cm="1">
        <f t="array" ref="K86">IFERROR(_xlfn.LET(
_xlpm.CSVVal,_xlfn.XLOOKUP($A86,CSV!$A:$A,CSV!K:K,""),
_xlpm.MacVal,_xlfn.XLOOKUP($A86,Output_Mac!$A:$A,Output_Mac!K:K,""),
_xlpm.MyAuditVal,_xlfn.XLOOKUP($A86,My_Audit!$A:$A,My_Audit!J:J,""),
_xlfn.IFS(_xlpm.MyAuditVal&lt;&gt;"",UPPER(_xlpm.MyAuditVal),_xlpm.MacVal&lt;&gt;"",_xlpm.MacVal,_xlpm.CSVVal&lt;&gt;"",_xlpm.CSVVal
)),"")</f>
        <v/>
      </c>
      <c r="L86" s="2" t="str" cm="1">
        <f t="array" ref="L86">IFERROR(_xlfn.LET(
_xlpm.CSVVal,_xlfn.XLOOKUP($A86,CSV!$A:$A,CSV!P:P,""),
_xlpm.MacVal,_xlfn.XLOOKUP($A86,Output_Mac!$A:$A,Output_Mac!L:L,""),
_xlpm.MyAuditVal,_xlfn.XLOOKUP($A86,My_Audit!$A:$A,My_Audit!K:K,""),
_xlfn.IFS(_xlpm.MyAuditVal&lt;&gt;"",UPPER(_xlpm.MyAuditVal),_xlpm.MacVal&lt;&gt;"",_xlpm.MacVal,_xlpm.CSVVal&lt;&gt;"",_xlpm.CSVVal
)),"")</f>
        <v/>
      </c>
      <c r="M86" s="2" t="str" cm="1">
        <f t="array" ref="M86">IFERROR(_xlfn.LET(
_xlpm.CSVVal,_xlfn.XLOOKUP($A86,CSV!$A:$A,CSV!Q:Q,""),
_xlpm.MacVal,_xlfn.XLOOKUP($A86,Output_Mac!$A:$A,Output_Mac!M:M,""),
_xlpm.MyAuditVal,_xlfn.XLOOKUP($A86,My_Audit!$A:$A,My_Audit!L:L,""),
_xlfn.IFS(_xlpm.MyAuditVal&lt;&gt;"",UPPER(_xlpm.MyAuditVal),_xlpm.MacVal&lt;&gt;"",_xlpm.MacVal,_xlpm.CSVVal&lt;&gt;"",_xlpm.CSVVal
)),"")</f>
        <v/>
      </c>
      <c r="O86" s="2" t="str">
        <f>_xlfn.LET(
    _xlpm.CSVVal, _xlfn.XLOOKUP($A86, CSV!$A:$A, CSV!AA:AA, ""),
    _xlpm.MacVal, _xlfn.XLOOKUP($A86, Output_Mac!$A:$A, Output_Mac!S:S, ""),
    _xlpm.MyAuditVal, _xlfn.XLOOKUP($A86, My_Audit!$A:$A, My_Audit!P:P, ""),
    _xlfn.TEXTJOIN(", ", TRUE, _xlpm.MyAuditVal, _xlpm.MacVal, _xlpm.CSVVal)
)</f>
        <v/>
      </c>
      <c r="P86" s="2" t="str" cm="1">
        <f t="array" ref="P86">IFERROR(_xlfn.LET(
_xlpm.CSVVal,_xlfn.XLOOKUP($A86,CSV!$A:$A,CSV!AB:AB,""),
_xlpm.MacVal,_xlfn.XLOOKUP($A86,Output_Mac!$A:$A,Output_Mac!T:T,""),
_xlpm.MyAuditVal,_xlfn.XLOOKUP($A86,My_Audit!$A:$A,My_Audit!Q:Q,""),
_xlfn.IFS(_xlpm.MyAuditVal&lt;&gt;"",UPPER(_xlpm.MyAuditVal),_xlpm.MacVal&lt;&gt;"",_xlpm.MacVal,_xlpm.CSVVal&lt;&gt;"",_xlpm.CSVVal
)),"No")</f>
        <v>No</v>
      </c>
      <c r="Q86" s="2" t="str" cm="1">
        <f t="array" ref="Q86">IFERROR(_xlfn.LET(
_xlpm.CSVVal,_xlfn.XLOOKUP($A86,CSV!$A:$A,CSV!AC:AC,""),
_xlpm.MacVal,_xlfn.XLOOKUP($A86,Output_Mac!$A:$A,Output_Mac!U:U,""),
_xlpm.MyAuditVal,_xlfn.XLOOKUP($A86,My_Audit!$A:$A,My_Audit!R:R,""),
_xlfn.IFS(_xlpm.MyAuditVal&lt;&gt;"",UPPER(_xlpm.MyAuditVal),_xlpm.MacVal&lt;&gt;"",_xlpm.MacVal,_xlpm.CSVVal&lt;&gt;"",_xlpm.CSVVal
)),"")</f>
        <v/>
      </c>
      <c r="X86" t="str">
        <f>_xlfn.LET(
    _xlpm.MacVal, _xlfn.XLOOKUP($A86, Output_Mac!$A:$A, Output_Mac!AB:AB, ""),
    _xlpm.MyAuditVal, _xlfn.XLOOKUP($A86, My_Audit!$A:$A, My_Audit!N:N, ""),
    _xlfn.TEXTJOIN(", ", TRUE, _xlpm.MyAuditVal, _xlpm.MacVal)
)</f>
        <v/>
      </c>
    </row>
    <row r="87" spans="1:24">
      <c r="A87" s="2" t="str">
        <f>_xlfn.TEXTJOIN("",TRUE,Input!$B$2,ROW(My_Audit!A86))</f>
        <v>X86</v>
      </c>
      <c r="B87" s="2" t="str">
        <f>_xlfn.TEXTJOIN("-",TRUE,"ITD",Input!$A$2,A87)</f>
        <v>ITD-SHR-X86</v>
      </c>
      <c r="C87" s="2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2" t="str" cm="1">
        <f t="array" ref="D87">IFERROR(_xlfn.LET(
_xlpm.CSVVal,_xlfn.XLOOKUP($A87,CSV!$A:$A,CSV!D:D,""),
_xlpm.MacVal,_xlfn.XLOOKUP($A87,Output_Mac!$A:$A,Output_Mac!C:C,""),
_xlpm.MyAuditVal,_xlfn.XLOOKUP($A87,My_Audit!$A:$A,My_Audit!C:C,""),
_xlfn.IFS(_xlpm.MyAuditVal&lt;&gt;"",_xlpm.MyAuditVal,_xlpm.MacVal&lt;&gt;"",_xlpm.MacVal,_xlpm.CSVVal&lt;&gt;"",_xlpm.CSVVal
)),"")</f>
        <v/>
      </c>
      <c r="E87" s="2" t="str">
        <f>_xlfn.XLOOKUP(A87,My_Audit!A:A,My_Audit!D:D,"")</f>
        <v/>
      </c>
      <c r="F87" s="2" t="str" cm="1">
        <f t="array" ref="F87">IFERROR(_xlfn.LET(
_xlpm.CSVVal,_xlfn.XLOOKUP($A87,CSV!$A:$A,CSV!F:F,""),
_xlpm.MacVal,_xlfn.XLOOKUP($A87,Output_Mac!$A:$A,Output_Mac!E:E,""),
_xlpm.MyAuditVal,_xlfn.XLOOKUP($A87,My_Audit!$A:$A,My_Audit!E:E,""),
_xlfn.IFS(_xlpm.MyAuditVal&lt;&gt;"",_xlpm.MyAuditVal,_xlpm.MacVal&lt;&gt;"",_xlpm.MacVal,_xlpm.CSVVal&lt;&gt;"",_xlpm.CSVVal
)),"")</f>
        <v/>
      </c>
      <c r="G87" s="2" t="str" cm="1">
        <f t="array" ref="G87">IFERROR(_xlfn.LET(
_xlpm.CSVVal,_xlfn.XLOOKUP($A87,CSV!$A:$A,CSV!G:G,""),
_xlpm.MacVal,_xlfn.XLOOKUP($A87,Output_Mac!$A:$A,Output_Mac!F:F,""),
_xlpm.MyAuditVal,_xlfn.XLOOKUP($A87,My_Audit!$A:$A,My_Audit!F:F,""),
_xlfn.IFS(_xlpm.MyAuditVal&lt;&gt;"",_xlpm.MyAuditVal,_xlpm.MacVal&lt;&gt;"",_xlpm.MacVal,_xlpm.CSVVal&lt;&gt;"",PROPER(_xlpm.CSVVal)
)),"")</f>
        <v/>
      </c>
      <c r="H87" s="2" t="str" cm="1">
        <f t="array" ref="H87">IFERROR(_xlfn.LET(
_xlpm.CSVVal,_xlfn.XLOOKUP($A87,CSV!$A:$A,CSV!H:H,""),
_xlpm.MacVal,_xlfn.XLOOKUP($A87,Output_Mac!$A:$A,Output_Mac!H:H,""),
_xlpm.MyAuditVal,_xlfn.XLOOKUP($A87,My_Audit!$A:$A,My_Audit!G:G,""),
_xlfn.IFS(_xlpm.MyAuditVal&lt;&gt;"",_xlpm.MyAuditVal,_xlpm.MacVal&lt;&gt;"",_xlpm.MacVal,_xlpm.CSVVal&lt;&gt;"",_xlpm.CSVVal
)),"")</f>
        <v/>
      </c>
      <c r="I87" s="2" t="str">
        <f>_xlfn.XLOOKUP(A87,Output_Mac!A:A,Output_Mac!I:I,"")</f>
        <v/>
      </c>
      <c r="J87" s="2" t="str" cm="1">
        <f t="array" ref="J87">IFERROR(_xlfn.LET(
_xlpm.CSVVal,_xlfn.XLOOKUP($A87,CSV!$A:$A,CSV!I:I,""),
_xlpm.MacVal,_xlfn.XLOOKUP($A87,Output_Mac!$A:$A,Output_Mac!J:J,""),
_xlpm.MyAuditVal,_xlfn.XLOOKUP($A87,My_Audit!$A:$A,My_Audit!I:I,""),
_xlfn.IFS(_xlpm.MyAuditVal&lt;&gt;"",UPPER(_xlpm.MyAuditVal),_xlpm.MacVal&lt;&gt;"",_xlpm.MacVal,_xlpm.CSVVal&lt;&gt;"",_xlpm.CSVVal
)),"")</f>
        <v/>
      </c>
      <c r="K87" s="2" t="str" cm="1">
        <f t="array" ref="K87">IFERROR(_xlfn.LET(
_xlpm.CSVVal,_xlfn.XLOOKUP($A87,CSV!$A:$A,CSV!K:K,""),
_xlpm.MacVal,_xlfn.XLOOKUP($A87,Output_Mac!$A:$A,Output_Mac!K:K,""),
_xlpm.MyAuditVal,_xlfn.XLOOKUP($A87,My_Audit!$A:$A,My_Audit!J:J,""),
_xlfn.IFS(_xlpm.MyAuditVal&lt;&gt;"",UPPER(_xlpm.MyAuditVal),_xlpm.MacVal&lt;&gt;"",_xlpm.MacVal,_xlpm.CSVVal&lt;&gt;"",_xlpm.CSVVal
)),"")</f>
        <v/>
      </c>
      <c r="L87" s="2" t="str" cm="1">
        <f t="array" ref="L87">IFERROR(_xlfn.LET(
_xlpm.CSVVal,_xlfn.XLOOKUP($A87,CSV!$A:$A,CSV!P:P,""),
_xlpm.MacVal,_xlfn.XLOOKUP($A87,Output_Mac!$A:$A,Output_Mac!L:L,""),
_xlpm.MyAuditVal,_xlfn.XLOOKUP($A87,My_Audit!$A:$A,My_Audit!K:K,""),
_xlfn.IFS(_xlpm.MyAuditVal&lt;&gt;"",UPPER(_xlpm.MyAuditVal),_xlpm.MacVal&lt;&gt;"",_xlpm.MacVal,_xlpm.CSVVal&lt;&gt;"",_xlpm.CSVVal
)),"")</f>
        <v/>
      </c>
      <c r="M87" s="2" t="str" cm="1">
        <f t="array" ref="M87">IFERROR(_xlfn.LET(
_xlpm.CSVVal,_xlfn.XLOOKUP($A87,CSV!$A:$A,CSV!Q:Q,""),
_xlpm.MacVal,_xlfn.XLOOKUP($A87,Output_Mac!$A:$A,Output_Mac!M:M,""),
_xlpm.MyAuditVal,_xlfn.XLOOKUP($A87,My_Audit!$A:$A,My_Audit!L:L,""),
_xlfn.IFS(_xlpm.MyAuditVal&lt;&gt;"",UPPER(_xlpm.MyAuditVal),_xlpm.MacVal&lt;&gt;"",_xlpm.MacVal,_xlpm.CSVVal&lt;&gt;"",_xlpm.CSVVal
)),"")</f>
        <v/>
      </c>
      <c r="O87" s="2" t="str">
        <f>_xlfn.LET(
    _xlpm.CSVVal, _xlfn.XLOOKUP($A87, CSV!$A:$A, CSV!AA:AA, ""),
    _xlpm.MacVal, _xlfn.XLOOKUP($A87, Output_Mac!$A:$A, Output_Mac!S:S, ""),
    _xlpm.MyAuditVal, _xlfn.XLOOKUP($A87, My_Audit!$A:$A, My_Audit!P:P, ""),
    _xlfn.TEXTJOIN(", ", TRUE, _xlpm.MyAuditVal, _xlpm.MacVal, _xlpm.CSVVal)
)</f>
        <v/>
      </c>
      <c r="P87" s="2" t="str" cm="1">
        <f t="array" ref="P87">IFERROR(_xlfn.LET(
_xlpm.CSVVal,_xlfn.XLOOKUP($A87,CSV!$A:$A,CSV!AB:AB,""),
_xlpm.MacVal,_xlfn.XLOOKUP($A87,Output_Mac!$A:$A,Output_Mac!T:T,""),
_xlpm.MyAuditVal,_xlfn.XLOOKUP($A87,My_Audit!$A:$A,My_Audit!Q:Q,""),
_xlfn.IFS(_xlpm.MyAuditVal&lt;&gt;"",UPPER(_xlpm.MyAuditVal),_xlpm.MacVal&lt;&gt;"",_xlpm.MacVal,_xlpm.CSVVal&lt;&gt;"",_xlpm.CSVVal
)),"No")</f>
        <v>No</v>
      </c>
      <c r="Q87" s="2" t="str" cm="1">
        <f t="array" ref="Q87">IFERROR(_xlfn.LET(
_xlpm.CSVVal,_xlfn.XLOOKUP($A87,CSV!$A:$A,CSV!AC:AC,""),
_xlpm.MacVal,_xlfn.XLOOKUP($A87,Output_Mac!$A:$A,Output_Mac!U:U,""),
_xlpm.MyAuditVal,_xlfn.XLOOKUP($A87,My_Audit!$A:$A,My_Audit!R:R,""),
_xlfn.IFS(_xlpm.MyAuditVal&lt;&gt;"",UPPER(_xlpm.MyAuditVal),_xlpm.MacVal&lt;&gt;"",_xlpm.MacVal,_xlpm.CSVVal&lt;&gt;"",_xlpm.CSVVal
)),"")</f>
        <v/>
      </c>
      <c r="X87" t="str">
        <f>_xlfn.LET(
    _xlpm.MacVal, _xlfn.XLOOKUP($A87, Output_Mac!$A:$A, Output_Mac!AB:AB, ""),
    _xlpm.MyAuditVal, _xlfn.XLOOKUP($A87, My_Audit!$A:$A, My_Audit!N:N, ""),
    _xlfn.TEXTJOIN(", ", TRUE, _xlpm.MyAuditVal, _xlpm.MacVal)
)</f>
        <v/>
      </c>
    </row>
    <row r="88" spans="1:24">
      <c r="A88" s="2" t="str">
        <f>_xlfn.TEXTJOIN("",TRUE,Input!$B$2,ROW(My_Audit!A87))</f>
        <v>X87</v>
      </c>
      <c r="B88" s="2" t="str">
        <f>_xlfn.TEXTJOIN("-",TRUE,"ITD",Input!$A$2,A88)</f>
        <v>ITD-SHR-X87</v>
      </c>
      <c r="C88" s="2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2" t="str" cm="1">
        <f t="array" ref="D88">IFERROR(_xlfn.LET(
_xlpm.CSVVal,_xlfn.XLOOKUP($A88,CSV!$A:$A,CSV!D:D,""),
_xlpm.MacVal,_xlfn.XLOOKUP($A88,Output_Mac!$A:$A,Output_Mac!C:C,""),
_xlpm.MyAuditVal,_xlfn.XLOOKUP($A88,My_Audit!$A:$A,My_Audit!C:C,""),
_xlfn.IFS(_xlpm.MyAuditVal&lt;&gt;"",_xlpm.MyAuditVal,_xlpm.MacVal&lt;&gt;"",_xlpm.MacVal,_xlpm.CSVVal&lt;&gt;"",_xlpm.CSVVal
)),"")</f>
        <v/>
      </c>
      <c r="E88" s="2" t="str">
        <f>_xlfn.XLOOKUP(A88,My_Audit!A:A,My_Audit!D:D,"")</f>
        <v/>
      </c>
      <c r="F88" s="2" t="str" cm="1">
        <f t="array" ref="F88">IFERROR(_xlfn.LET(
_xlpm.CSVVal,_xlfn.XLOOKUP($A88,CSV!$A:$A,CSV!F:F,""),
_xlpm.MacVal,_xlfn.XLOOKUP($A88,Output_Mac!$A:$A,Output_Mac!E:E,""),
_xlpm.MyAuditVal,_xlfn.XLOOKUP($A88,My_Audit!$A:$A,My_Audit!E:E,""),
_xlfn.IFS(_xlpm.MyAuditVal&lt;&gt;"",_xlpm.MyAuditVal,_xlpm.MacVal&lt;&gt;"",_xlpm.MacVal,_xlpm.CSVVal&lt;&gt;"",_xlpm.CSVVal
)),"")</f>
        <v/>
      </c>
      <c r="G88" s="2" t="str" cm="1">
        <f t="array" ref="G88">IFERROR(_xlfn.LET(
_xlpm.CSVVal,_xlfn.XLOOKUP($A88,CSV!$A:$A,CSV!G:G,""),
_xlpm.MacVal,_xlfn.XLOOKUP($A88,Output_Mac!$A:$A,Output_Mac!F:F,""),
_xlpm.MyAuditVal,_xlfn.XLOOKUP($A88,My_Audit!$A:$A,My_Audit!F:F,""),
_xlfn.IFS(_xlpm.MyAuditVal&lt;&gt;"",_xlpm.MyAuditVal,_xlpm.MacVal&lt;&gt;"",_xlpm.MacVal,_xlpm.CSVVal&lt;&gt;"",PROPER(_xlpm.CSVVal)
)),"")</f>
        <v/>
      </c>
      <c r="H88" s="2" t="str" cm="1">
        <f t="array" ref="H88">IFERROR(_xlfn.LET(
_xlpm.CSVVal,_xlfn.XLOOKUP($A88,CSV!$A:$A,CSV!H:H,""),
_xlpm.MacVal,_xlfn.XLOOKUP($A88,Output_Mac!$A:$A,Output_Mac!H:H,""),
_xlpm.MyAuditVal,_xlfn.XLOOKUP($A88,My_Audit!$A:$A,My_Audit!G:G,""),
_xlfn.IFS(_xlpm.MyAuditVal&lt;&gt;"",_xlpm.MyAuditVal,_xlpm.MacVal&lt;&gt;"",_xlpm.MacVal,_xlpm.CSVVal&lt;&gt;"",_xlpm.CSVVal
)),"")</f>
        <v/>
      </c>
      <c r="I88" s="2" t="str">
        <f>_xlfn.XLOOKUP(A88,Output_Mac!A:A,Output_Mac!I:I,"")</f>
        <v/>
      </c>
      <c r="J88" s="2" t="str" cm="1">
        <f t="array" ref="J88">IFERROR(_xlfn.LET(
_xlpm.CSVVal,_xlfn.XLOOKUP($A88,CSV!$A:$A,CSV!I:I,""),
_xlpm.MacVal,_xlfn.XLOOKUP($A88,Output_Mac!$A:$A,Output_Mac!J:J,""),
_xlpm.MyAuditVal,_xlfn.XLOOKUP($A88,My_Audit!$A:$A,My_Audit!I:I,""),
_xlfn.IFS(_xlpm.MyAuditVal&lt;&gt;"",UPPER(_xlpm.MyAuditVal),_xlpm.MacVal&lt;&gt;"",_xlpm.MacVal,_xlpm.CSVVal&lt;&gt;"",_xlpm.CSVVal
)),"")</f>
        <v/>
      </c>
      <c r="K88" s="2" t="str" cm="1">
        <f t="array" ref="K88">IFERROR(_xlfn.LET(
_xlpm.CSVVal,_xlfn.XLOOKUP($A88,CSV!$A:$A,CSV!K:K,""),
_xlpm.MacVal,_xlfn.XLOOKUP($A88,Output_Mac!$A:$A,Output_Mac!K:K,""),
_xlpm.MyAuditVal,_xlfn.XLOOKUP($A88,My_Audit!$A:$A,My_Audit!J:J,""),
_xlfn.IFS(_xlpm.MyAuditVal&lt;&gt;"",UPPER(_xlpm.MyAuditVal),_xlpm.MacVal&lt;&gt;"",_xlpm.MacVal,_xlpm.CSVVal&lt;&gt;"",_xlpm.CSVVal
)),"")</f>
        <v/>
      </c>
      <c r="L88" s="2" t="str" cm="1">
        <f t="array" ref="L88">IFERROR(_xlfn.LET(
_xlpm.CSVVal,_xlfn.XLOOKUP($A88,CSV!$A:$A,CSV!P:P,""),
_xlpm.MacVal,_xlfn.XLOOKUP($A88,Output_Mac!$A:$A,Output_Mac!L:L,""),
_xlpm.MyAuditVal,_xlfn.XLOOKUP($A88,My_Audit!$A:$A,My_Audit!K:K,""),
_xlfn.IFS(_xlpm.MyAuditVal&lt;&gt;"",UPPER(_xlpm.MyAuditVal),_xlpm.MacVal&lt;&gt;"",_xlpm.MacVal,_xlpm.CSVVal&lt;&gt;"",_xlpm.CSVVal
)),"")</f>
        <v/>
      </c>
      <c r="M88" s="2" t="str" cm="1">
        <f t="array" ref="M88">IFERROR(_xlfn.LET(
_xlpm.CSVVal,_xlfn.XLOOKUP($A88,CSV!$A:$A,CSV!Q:Q,""),
_xlpm.MacVal,_xlfn.XLOOKUP($A88,Output_Mac!$A:$A,Output_Mac!M:M,""),
_xlpm.MyAuditVal,_xlfn.XLOOKUP($A88,My_Audit!$A:$A,My_Audit!L:L,""),
_xlfn.IFS(_xlpm.MyAuditVal&lt;&gt;"",UPPER(_xlpm.MyAuditVal),_xlpm.MacVal&lt;&gt;"",_xlpm.MacVal,_xlpm.CSVVal&lt;&gt;"",_xlpm.CSVVal
)),"")</f>
        <v/>
      </c>
      <c r="O88" s="2" t="str">
        <f>_xlfn.LET(
    _xlpm.CSVVal, _xlfn.XLOOKUP($A88, CSV!$A:$A, CSV!AA:AA, ""),
    _xlpm.MacVal, _xlfn.XLOOKUP($A88, Output_Mac!$A:$A, Output_Mac!S:S, ""),
    _xlpm.MyAuditVal, _xlfn.XLOOKUP($A88, My_Audit!$A:$A, My_Audit!P:P, ""),
    _xlfn.TEXTJOIN(", ", TRUE, _xlpm.MyAuditVal, _xlpm.MacVal, _xlpm.CSVVal)
)</f>
        <v/>
      </c>
      <c r="P88" s="2" t="str" cm="1">
        <f t="array" ref="P88">IFERROR(_xlfn.LET(
_xlpm.CSVVal,_xlfn.XLOOKUP($A88,CSV!$A:$A,CSV!AB:AB,""),
_xlpm.MacVal,_xlfn.XLOOKUP($A88,Output_Mac!$A:$A,Output_Mac!T:T,""),
_xlpm.MyAuditVal,_xlfn.XLOOKUP($A88,My_Audit!$A:$A,My_Audit!Q:Q,""),
_xlfn.IFS(_xlpm.MyAuditVal&lt;&gt;"",UPPER(_xlpm.MyAuditVal),_xlpm.MacVal&lt;&gt;"",_xlpm.MacVal,_xlpm.CSVVal&lt;&gt;"",_xlpm.CSVVal
)),"No")</f>
        <v>No</v>
      </c>
      <c r="Q88" s="2" t="str" cm="1">
        <f t="array" ref="Q88">IFERROR(_xlfn.LET(
_xlpm.CSVVal,_xlfn.XLOOKUP($A88,CSV!$A:$A,CSV!AC:AC,""),
_xlpm.MacVal,_xlfn.XLOOKUP($A88,Output_Mac!$A:$A,Output_Mac!U:U,""),
_xlpm.MyAuditVal,_xlfn.XLOOKUP($A88,My_Audit!$A:$A,My_Audit!R:R,""),
_xlfn.IFS(_xlpm.MyAuditVal&lt;&gt;"",UPPER(_xlpm.MyAuditVal),_xlpm.MacVal&lt;&gt;"",_xlpm.MacVal,_xlpm.CSVVal&lt;&gt;"",_xlpm.CSVVal
)),"")</f>
        <v/>
      </c>
      <c r="X88" t="str">
        <f>_xlfn.LET(
    _xlpm.MacVal, _xlfn.XLOOKUP($A88, Output_Mac!$A:$A, Output_Mac!AB:AB, ""),
    _xlpm.MyAuditVal, _xlfn.XLOOKUP($A88, My_Audit!$A:$A, My_Audit!N:N, ""),
    _xlfn.TEXTJOIN(", ", TRUE, _xlpm.MyAuditVal, _xlpm.MacVal)
)</f>
        <v/>
      </c>
    </row>
    <row r="89" spans="1:24">
      <c r="A89" s="2" t="str">
        <f>_xlfn.TEXTJOIN("",TRUE,Input!$B$2,ROW(My_Audit!A88))</f>
        <v>X88</v>
      </c>
      <c r="B89" s="2" t="str">
        <f>_xlfn.TEXTJOIN("-",TRUE,"ITD",Input!$A$2,A89)</f>
        <v>ITD-SHR-X88</v>
      </c>
      <c r="C89" s="2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2" t="str" cm="1">
        <f t="array" ref="D89">IFERROR(_xlfn.LET(
_xlpm.CSVVal,_xlfn.XLOOKUP($A89,CSV!$A:$A,CSV!D:D,""),
_xlpm.MacVal,_xlfn.XLOOKUP($A89,Output_Mac!$A:$A,Output_Mac!C:C,""),
_xlpm.MyAuditVal,_xlfn.XLOOKUP($A89,My_Audit!$A:$A,My_Audit!C:C,""),
_xlfn.IFS(_xlpm.MyAuditVal&lt;&gt;"",_xlpm.MyAuditVal,_xlpm.MacVal&lt;&gt;"",_xlpm.MacVal,_xlpm.CSVVal&lt;&gt;"",_xlpm.CSVVal
)),"")</f>
        <v/>
      </c>
      <c r="E89" s="2" t="str">
        <f>_xlfn.XLOOKUP(A89,My_Audit!A:A,My_Audit!D:D,"")</f>
        <v/>
      </c>
      <c r="F89" s="2" t="str" cm="1">
        <f t="array" ref="F89">IFERROR(_xlfn.LET(
_xlpm.CSVVal,_xlfn.XLOOKUP($A89,CSV!$A:$A,CSV!F:F,""),
_xlpm.MacVal,_xlfn.XLOOKUP($A89,Output_Mac!$A:$A,Output_Mac!E:E,""),
_xlpm.MyAuditVal,_xlfn.XLOOKUP($A89,My_Audit!$A:$A,My_Audit!E:E,""),
_xlfn.IFS(_xlpm.MyAuditVal&lt;&gt;"",_xlpm.MyAuditVal,_xlpm.MacVal&lt;&gt;"",_xlpm.MacVal,_xlpm.CSVVal&lt;&gt;"",_xlpm.CSVVal
)),"")</f>
        <v/>
      </c>
      <c r="G89" s="2" t="str" cm="1">
        <f t="array" ref="G89">IFERROR(_xlfn.LET(
_xlpm.CSVVal,_xlfn.XLOOKUP($A89,CSV!$A:$A,CSV!G:G,""),
_xlpm.MacVal,_xlfn.XLOOKUP($A89,Output_Mac!$A:$A,Output_Mac!F:F,""),
_xlpm.MyAuditVal,_xlfn.XLOOKUP($A89,My_Audit!$A:$A,My_Audit!F:F,""),
_xlfn.IFS(_xlpm.MyAuditVal&lt;&gt;"",_xlpm.MyAuditVal,_xlpm.MacVal&lt;&gt;"",_xlpm.MacVal,_xlpm.CSVVal&lt;&gt;"",PROPER(_xlpm.CSVVal)
)),"")</f>
        <v/>
      </c>
      <c r="H89" s="2" t="str" cm="1">
        <f t="array" ref="H89">IFERROR(_xlfn.LET(
_xlpm.CSVVal,_xlfn.XLOOKUP($A89,CSV!$A:$A,CSV!H:H,""),
_xlpm.MacVal,_xlfn.XLOOKUP($A89,Output_Mac!$A:$A,Output_Mac!H:H,""),
_xlpm.MyAuditVal,_xlfn.XLOOKUP($A89,My_Audit!$A:$A,My_Audit!G:G,""),
_xlfn.IFS(_xlpm.MyAuditVal&lt;&gt;"",_xlpm.MyAuditVal,_xlpm.MacVal&lt;&gt;"",_xlpm.MacVal,_xlpm.CSVVal&lt;&gt;"",_xlpm.CSVVal
)),"")</f>
        <v/>
      </c>
      <c r="I89" s="2" t="str">
        <f>_xlfn.XLOOKUP(A89,Output_Mac!A:A,Output_Mac!I:I,"")</f>
        <v/>
      </c>
      <c r="J89" s="2" t="str" cm="1">
        <f t="array" ref="J89">IFERROR(_xlfn.LET(
_xlpm.CSVVal,_xlfn.XLOOKUP($A89,CSV!$A:$A,CSV!I:I,""),
_xlpm.MacVal,_xlfn.XLOOKUP($A89,Output_Mac!$A:$A,Output_Mac!J:J,""),
_xlpm.MyAuditVal,_xlfn.XLOOKUP($A89,My_Audit!$A:$A,My_Audit!I:I,""),
_xlfn.IFS(_xlpm.MyAuditVal&lt;&gt;"",UPPER(_xlpm.MyAuditVal),_xlpm.MacVal&lt;&gt;"",_xlpm.MacVal,_xlpm.CSVVal&lt;&gt;"",_xlpm.CSVVal
)),"")</f>
        <v/>
      </c>
      <c r="K89" s="2" t="str" cm="1">
        <f t="array" ref="K89">IFERROR(_xlfn.LET(
_xlpm.CSVVal,_xlfn.XLOOKUP($A89,CSV!$A:$A,CSV!K:K,""),
_xlpm.MacVal,_xlfn.XLOOKUP($A89,Output_Mac!$A:$A,Output_Mac!K:K,""),
_xlpm.MyAuditVal,_xlfn.XLOOKUP($A89,My_Audit!$A:$A,My_Audit!J:J,""),
_xlfn.IFS(_xlpm.MyAuditVal&lt;&gt;"",UPPER(_xlpm.MyAuditVal),_xlpm.MacVal&lt;&gt;"",_xlpm.MacVal,_xlpm.CSVVal&lt;&gt;"",_xlpm.CSVVal
)),"")</f>
        <v/>
      </c>
      <c r="L89" s="2" t="str" cm="1">
        <f t="array" ref="L89">IFERROR(_xlfn.LET(
_xlpm.CSVVal,_xlfn.XLOOKUP($A89,CSV!$A:$A,CSV!P:P,""),
_xlpm.MacVal,_xlfn.XLOOKUP($A89,Output_Mac!$A:$A,Output_Mac!L:L,""),
_xlpm.MyAuditVal,_xlfn.XLOOKUP($A89,My_Audit!$A:$A,My_Audit!K:K,""),
_xlfn.IFS(_xlpm.MyAuditVal&lt;&gt;"",UPPER(_xlpm.MyAuditVal),_xlpm.MacVal&lt;&gt;"",_xlpm.MacVal,_xlpm.CSVVal&lt;&gt;"",_xlpm.CSVVal
)),"")</f>
        <v/>
      </c>
      <c r="M89" s="2" t="str" cm="1">
        <f t="array" ref="M89">IFERROR(_xlfn.LET(
_xlpm.CSVVal,_xlfn.XLOOKUP($A89,CSV!$A:$A,CSV!Q:Q,""),
_xlpm.MacVal,_xlfn.XLOOKUP($A89,Output_Mac!$A:$A,Output_Mac!M:M,""),
_xlpm.MyAuditVal,_xlfn.XLOOKUP($A89,My_Audit!$A:$A,My_Audit!L:L,""),
_xlfn.IFS(_xlpm.MyAuditVal&lt;&gt;"",UPPER(_xlpm.MyAuditVal),_xlpm.MacVal&lt;&gt;"",_xlpm.MacVal,_xlpm.CSVVal&lt;&gt;"",_xlpm.CSVVal
)),"")</f>
        <v/>
      </c>
      <c r="O89" s="2" t="str">
        <f>_xlfn.LET(
    _xlpm.CSVVal, _xlfn.XLOOKUP($A89, CSV!$A:$A, CSV!AA:AA, ""),
    _xlpm.MacVal, _xlfn.XLOOKUP($A89, Output_Mac!$A:$A, Output_Mac!S:S, ""),
    _xlpm.MyAuditVal, _xlfn.XLOOKUP($A89, My_Audit!$A:$A, My_Audit!P:P, ""),
    _xlfn.TEXTJOIN(", ", TRUE, _xlpm.MyAuditVal, _xlpm.MacVal, _xlpm.CSVVal)
)</f>
        <v/>
      </c>
      <c r="P89" s="2" t="str" cm="1">
        <f t="array" ref="P89">IFERROR(_xlfn.LET(
_xlpm.CSVVal,_xlfn.XLOOKUP($A89,CSV!$A:$A,CSV!AB:AB,""),
_xlpm.MacVal,_xlfn.XLOOKUP($A89,Output_Mac!$A:$A,Output_Mac!T:T,""),
_xlpm.MyAuditVal,_xlfn.XLOOKUP($A89,My_Audit!$A:$A,My_Audit!Q:Q,""),
_xlfn.IFS(_xlpm.MyAuditVal&lt;&gt;"",UPPER(_xlpm.MyAuditVal),_xlpm.MacVal&lt;&gt;"",_xlpm.MacVal,_xlpm.CSVVal&lt;&gt;"",_xlpm.CSVVal
)),"No")</f>
        <v>No</v>
      </c>
      <c r="Q89" s="2" t="str" cm="1">
        <f t="array" ref="Q89">IFERROR(_xlfn.LET(
_xlpm.CSVVal,_xlfn.XLOOKUP($A89,CSV!$A:$A,CSV!AC:AC,""),
_xlpm.MacVal,_xlfn.XLOOKUP($A89,Output_Mac!$A:$A,Output_Mac!U:U,""),
_xlpm.MyAuditVal,_xlfn.XLOOKUP($A89,My_Audit!$A:$A,My_Audit!R:R,""),
_xlfn.IFS(_xlpm.MyAuditVal&lt;&gt;"",UPPER(_xlpm.MyAuditVal),_xlpm.MacVal&lt;&gt;"",_xlpm.MacVal,_xlpm.CSVVal&lt;&gt;"",_xlpm.CSVVal
)),"")</f>
        <v/>
      </c>
      <c r="X89" t="str">
        <f>_xlfn.LET(
    _xlpm.MacVal, _xlfn.XLOOKUP($A89, Output_Mac!$A:$A, Output_Mac!AB:AB, ""),
    _xlpm.MyAuditVal, _xlfn.XLOOKUP($A89, My_Audit!$A:$A, My_Audit!N:N, ""),
    _xlfn.TEXTJOIN(", ", TRUE, _xlpm.MyAuditVal, _xlpm.MacVal)
)</f>
        <v/>
      </c>
    </row>
    <row r="90" spans="1:24">
      <c r="A90" s="2" t="str">
        <f>_xlfn.TEXTJOIN("",TRUE,Input!$B$2,ROW(My_Audit!A89))</f>
        <v>X89</v>
      </c>
      <c r="B90" s="2" t="str">
        <f>_xlfn.TEXTJOIN("-",TRUE,"ITD",Input!$A$2,A90)</f>
        <v>ITD-SHR-X89</v>
      </c>
      <c r="C90" s="2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2" t="str" cm="1">
        <f t="array" ref="D90">IFERROR(_xlfn.LET(
_xlpm.CSVVal,_xlfn.XLOOKUP($A90,CSV!$A:$A,CSV!D:D,""),
_xlpm.MacVal,_xlfn.XLOOKUP($A90,Output_Mac!$A:$A,Output_Mac!C:C,""),
_xlpm.MyAuditVal,_xlfn.XLOOKUP($A90,My_Audit!$A:$A,My_Audit!C:C,""),
_xlfn.IFS(_xlpm.MyAuditVal&lt;&gt;"",_xlpm.MyAuditVal,_xlpm.MacVal&lt;&gt;"",_xlpm.MacVal,_xlpm.CSVVal&lt;&gt;"",_xlpm.CSVVal
)),"")</f>
        <v/>
      </c>
      <c r="E90" s="2" t="str">
        <f>_xlfn.XLOOKUP(A90,My_Audit!A:A,My_Audit!D:D,"")</f>
        <v/>
      </c>
      <c r="F90" s="2" t="str" cm="1">
        <f t="array" ref="F90">IFERROR(_xlfn.LET(
_xlpm.CSVVal,_xlfn.XLOOKUP($A90,CSV!$A:$A,CSV!F:F,""),
_xlpm.MacVal,_xlfn.XLOOKUP($A90,Output_Mac!$A:$A,Output_Mac!E:E,""),
_xlpm.MyAuditVal,_xlfn.XLOOKUP($A90,My_Audit!$A:$A,My_Audit!E:E,""),
_xlfn.IFS(_xlpm.MyAuditVal&lt;&gt;"",_xlpm.MyAuditVal,_xlpm.MacVal&lt;&gt;"",_xlpm.MacVal,_xlpm.CSVVal&lt;&gt;"",_xlpm.CSVVal
)),"")</f>
        <v/>
      </c>
      <c r="G90" s="2" t="str" cm="1">
        <f t="array" ref="G90">IFERROR(_xlfn.LET(
_xlpm.CSVVal,_xlfn.XLOOKUP($A90,CSV!$A:$A,CSV!G:G,""),
_xlpm.MacVal,_xlfn.XLOOKUP($A90,Output_Mac!$A:$A,Output_Mac!F:F,""),
_xlpm.MyAuditVal,_xlfn.XLOOKUP($A90,My_Audit!$A:$A,My_Audit!F:F,""),
_xlfn.IFS(_xlpm.MyAuditVal&lt;&gt;"",_xlpm.MyAuditVal,_xlpm.MacVal&lt;&gt;"",_xlpm.MacVal,_xlpm.CSVVal&lt;&gt;"",PROPER(_xlpm.CSVVal)
)),"")</f>
        <v/>
      </c>
      <c r="H90" s="2" t="str" cm="1">
        <f t="array" ref="H90">IFERROR(_xlfn.LET(
_xlpm.CSVVal,_xlfn.XLOOKUP($A90,CSV!$A:$A,CSV!H:H,""),
_xlpm.MacVal,_xlfn.XLOOKUP($A90,Output_Mac!$A:$A,Output_Mac!H:H,""),
_xlpm.MyAuditVal,_xlfn.XLOOKUP($A90,My_Audit!$A:$A,My_Audit!G:G,""),
_xlfn.IFS(_xlpm.MyAuditVal&lt;&gt;"",_xlpm.MyAuditVal,_xlpm.MacVal&lt;&gt;"",_xlpm.MacVal,_xlpm.CSVVal&lt;&gt;"",_xlpm.CSVVal
)),"")</f>
        <v/>
      </c>
      <c r="I90" s="2" t="str">
        <f>_xlfn.XLOOKUP(A90,Output_Mac!A:A,Output_Mac!I:I,"")</f>
        <v/>
      </c>
      <c r="J90" s="2" t="str" cm="1">
        <f t="array" ref="J90">IFERROR(_xlfn.LET(
_xlpm.CSVVal,_xlfn.XLOOKUP($A90,CSV!$A:$A,CSV!I:I,""),
_xlpm.MacVal,_xlfn.XLOOKUP($A90,Output_Mac!$A:$A,Output_Mac!J:J,""),
_xlpm.MyAuditVal,_xlfn.XLOOKUP($A90,My_Audit!$A:$A,My_Audit!I:I,""),
_xlfn.IFS(_xlpm.MyAuditVal&lt;&gt;"",UPPER(_xlpm.MyAuditVal),_xlpm.MacVal&lt;&gt;"",_xlpm.MacVal,_xlpm.CSVVal&lt;&gt;"",_xlpm.CSVVal
)),"")</f>
        <v/>
      </c>
      <c r="K90" s="2" t="str" cm="1">
        <f t="array" ref="K90">IFERROR(_xlfn.LET(
_xlpm.CSVVal,_xlfn.XLOOKUP($A90,CSV!$A:$A,CSV!K:K,""),
_xlpm.MacVal,_xlfn.XLOOKUP($A90,Output_Mac!$A:$A,Output_Mac!K:K,""),
_xlpm.MyAuditVal,_xlfn.XLOOKUP($A90,My_Audit!$A:$A,My_Audit!J:J,""),
_xlfn.IFS(_xlpm.MyAuditVal&lt;&gt;"",UPPER(_xlpm.MyAuditVal),_xlpm.MacVal&lt;&gt;"",_xlpm.MacVal,_xlpm.CSVVal&lt;&gt;"",_xlpm.CSVVal
)),"")</f>
        <v/>
      </c>
      <c r="L90" s="2" t="str" cm="1">
        <f t="array" ref="L90">IFERROR(_xlfn.LET(
_xlpm.CSVVal,_xlfn.XLOOKUP($A90,CSV!$A:$A,CSV!P:P,""),
_xlpm.MacVal,_xlfn.XLOOKUP($A90,Output_Mac!$A:$A,Output_Mac!L:L,""),
_xlpm.MyAuditVal,_xlfn.XLOOKUP($A90,My_Audit!$A:$A,My_Audit!K:K,""),
_xlfn.IFS(_xlpm.MyAuditVal&lt;&gt;"",UPPER(_xlpm.MyAuditVal),_xlpm.MacVal&lt;&gt;"",_xlpm.MacVal,_xlpm.CSVVal&lt;&gt;"",_xlpm.CSVVal
)),"")</f>
        <v/>
      </c>
      <c r="M90" s="2" t="str" cm="1">
        <f t="array" ref="M90">IFERROR(_xlfn.LET(
_xlpm.CSVVal,_xlfn.XLOOKUP($A90,CSV!$A:$A,CSV!Q:Q,""),
_xlpm.MacVal,_xlfn.XLOOKUP($A90,Output_Mac!$A:$A,Output_Mac!M:M,""),
_xlpm.MyAuditVal,_xlfn.XLOOKUP($A90,My_Audit!$A:$A,My_Audit!L:L,""),
_xlfn.IFS(_xlpm.MyAuditVal&lt;&gt;"",UPPER(_xlpm.MyAuditVal),_xlpm.MacVal&lt;&gt;"",_xlpm.MacVal,_xlpm.CSVVal&lt;&gt;"",_xlpm.CSVVal
)),"")</f>
        <v/>
      </c>
      <c r="O90" s="2" t="str">
        <f>_xlfn.LET(
    _xlpm.CSVVal, _xlfn.XLOOKUP($A90, CSV!$A:$A, CSV!AA:AA, ""),
    _xlpm.MacVal, _xlfn.XLOOKUP($A90, Output_Mac!$A:$A, Output_Mac!S:S, ""),
    _xlpm.MyAuditVal, _xlfn.XLOOKUP($A90, My_Audit!$A:$A, My_Audit!P:P, ""),
    _xlfn.TEXTJOIN(", ", TRUE, _xlpm.MyAuditVal, _xlpm.MacVal, _xlpm.CSVVal)
)</f>
        <v/>
      </c>
      <c r="P90" s="2" t="str" cm="1">
        <f t="array" ref="P90">IFERROR(_xlfn.LET(
_xlpm.CSVVal,_xlfn.XLOOKUP($A90,CSV!$A:$A,CSV!AB:AB,""),
_xlpm.MacVal,_xlfn.XLOOKUP($A90,Output_Mac!$A:$A,Output_Mac!T:T,""),
_xlpm.MyAuditVal,_xlfn.XLOOKUP($A90,My_Audit!$A:$A,My_Audit!Q:Q,""),
_xlfn.IFS(_xlpm.MyAuditVal&lt;&gt;"",UPPER(_xlpm.MyAuditVal),_xlpm.MacVal&lt;&gt;"",_xlpm.MacVal,_xlpm.CSVVal&lt;&gt;"",_xlpm.CSVVal
)),"No")</f>
        <v>No</v>
      </c>
      <c r="Q90" s="2" t="str" cm="1">
        <f t="array" ref="Q90">IFERROR(_xlfn.LET(
_xlpm.CSVVal,_xlfn.XLOOKUP($A90,CSV!$A:$A,CSV!AC:AC,""),
_xlpm.MacVal,_xlfn.XLOOKUP($A90,Output_Mac!$A:$A,Output_Mac!U:U,""),
_xlpm.MyAuditVal,_xlfn.XLOOKUP($A90,My_Audit!$A:$A,My_Audit!R:R,""),
_xlfn.IFS(_xlpm.MyAuditVal&lt;&gt;"",UPPER(_xlpm.MyAuditVal),_xlpm.MacVal&lt;&gt;"",_xlpm.MacVal,_xlpm.CSVVal&lt;&gt;"",_xlpm.CSVVal
)),"")</f>
        <v/>
      </c>
      <c r="X90" t="str">
        <f>_xlfn.LET(
    _xlpm.MacVal, _xlfn.XLOOKUP($A90, Output_Mac!$A:$A, Output_Mac!AB:AB, ""),
    _xlpm.MyAuditVal, _xlfn.XLOOKUP($A90, My_Audit!$A:$A, My_Audit!N:N, ""),
    _xlfn.TEXTJOIN(", ", TRUE, _xlpm.MyAuditVal, _xlpm.MacVal)
)</f>
        <v/>
      </c>
    </row>
    <row r="91" spans="1:24">
      <c r="A91" s="2" t="str">
        <f>_xlfn.TEXTJOIN("",TRUE,Input!$B$2,ROW(My_Audit!A90))</f>
        <v>X90</v>
      </c>
      <c r="B91" s="2" t="str">
        <f>_xlfn.TEXTJOIN("-",TRUE,"ITD",Input!$A$2,A91)</f>
        <v>ITD-SHR-X90</v>
      </c>
      <c r="C91" s="2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2" t="str" cm="1">
        <f t="array" ref="D91">IFERROR(_xlfn.LET(
_xlpm.CSVVal,_xlfn.XLOOKUP($A91,CSV!$A:$A,CSV!D:D,""),
_xlpm.MacVal,_xlfn.XLOOKUP($A91,Output_Mac!$A:$A,Output_Mac!C:C,""),
_xlpm.MyAuditVal,_xlfn.XLOOKUP($A91,My_Audit!$A:$A,My_Audit!C:C,""),
_xlfn.IFS(_xlpm.MyAuditVal&lt;&gt;"",_xlpm.MyAuditVal,_xlpm.MacVal&lt;&gt;"",_xlpm.MacVal,_xlpm.CSVVal&lt;&gt;"",_xlpm.CSVVal
)),"")</f>
        <v/>
      </c>
      <c r="E91" s="2" t="str">
        <f>_xlfn.XLOOKUP(A91,My_Audit!A:A,My_Audit!D:D,"")</f>
        <v/>
      </c>
      <c r="F91" s="2" t="str" cm="1">
        <f t="array" ref="F91">IFERROR(_xlfn.LET(
_xlpm.CSVVal,_xlfn.XLOOKUP($A91,CSV!$A:$A,CSV!F:F,""),
_xlpm.MacVal,_xlfn.XLOOKUP($A91,Output_Mac!$A:$A,Output_Mac!E:E,""),
_xlpm.MyAuditVal,_xlfn.XLOOKUP($A91,My_Audit!$A:$A,My_Audit!E:E,""),
_xlfn.IFS(_xlpm.MyAuditVal&lt;&gt;"",_xlpm.MyAuditVal,_xlpm.MacVal&lt;&gt;"",_xlpm.MacVal,_xlpm.CSVVal&lt;&gt;"",_xlpm.CSVVal
)),"")</f>
        <v/>
      </c>
      <c r="G91" s="2" t="str" cm="1">
        <f t="array" ref="G91">IFERROR(_xlfn.LET(
_xlpm.CSVVal,_xlfn.XLOOKUP($A91,CSV!$A:$A,CSV!G:G,""),
_xlpm.MacVal,_xlfn.XLOOKUP($A91,Output_Mac!$A:$A,Output_Mac!F:F,""),
_xlpm.MyAuditVal,_xlfn.XLOOKUP($A91,My_Audit!$A:$A,My_Audit!F:F,""),
_xlfn.IFS(_xlpm.MyAuditVal&lt;&gt;"",_xlpm.MyAuditVal,_xlpm.MacVal&lt;&gt;"",_xlpm.MacVal,_xlpm.CSVVal&lt;&gt;"",PROPER(_xlpm.CSVVal)
)),"")</f>
        <v/>
      </c>
      <c r="H91" s="2" t="str" cm="1">
        <f t="array" ref="H91">IFERROR(_xlfn.LET(
_xlpm.CSVVal,_xlfn.XLOOKUP($A91,CSV!$A:$A,CSV!H:H,""),
_xlpm.MacVal,_xlfn.XLOOKUP($A91,Output_Mac!$A:$A,Output_Mac!H:H,""),
_xlpm.MyAuditVal,_xlfn.XLOOKUP($A91,My_Audit!$A:$A,My_Audit!G:G,""),
_xlfn.IFS(_xlpm.MyAuditVal&lt;&gt;"",_xlpm.MyAuditVal,_xlpm.MacVal&lt;&gt;"",_xlpm.MacVal,_xlpm.CSVVal&lt;&gt;"",_xlpm.CSVVal
)),"")</f>
        <v/>
      </c>
      <c r="I91" s="2" t="str">
        <f>_xlfn.XLOOKUP(A91,Output_Mac!A:A,Output_Mac!I:I,"")</f>
        <v/>
      </c>
      <c r="J91" s="2" t="str" cm="1">
        <f t="array" ref="J91">IFERROR(_xlfn.LET(
_xlpm.CSVVal,_xlfn.XLOOKUP($A91,CSV!$A:$A,CSV!I:I,""),
_xlpm.MacVal,_xlfn.XLOOKUP($A91,Output_Mac!$A:$A,Output_Mac!J:J,""),
_xlpm.MyAuditVal,_xlfn.XLOOKUP($A91,My_Audit!$A:$A,My_Audit!I:I,""),
_xlfn.IFS(_xlpm.MyAuditVal&lt;&gt;"",UPPER(_xlpm.MyAuditVal),_xlpm.MacVal&lt;&gt;"",_xlpm.MacVal,_xlpm.CSVVal&lt;&gt;"",_xlpm.CSVVal
)),"")</f>
        <v/>
      </c>
      <c r="K91" s="2" t="str" cm="1">
        <f t="array" ref="K91">IFERROR(_xlfn.LET(
_xlpm.CSVVal,_xlfn.XLOOKUP($A91,CSV!$A:$A,CSV!K:K,""),
_xlpm.MacVal,_xlfn.XLOOKUP($A91,Output_Mac!$A:$A,Output_Mac!K:K,""),
_xlpm.MyAuditVal,_xlfn.XLOOKUP($A91,My_Audit!$A:$A,My_Audit!J:J,""),
_xlfn.IFS(_xlpm.MyAuditVal&lt;&gt;"",UPPER(_xlpm.MyAuditVal),_xlpm.MacVal&lt;&gt;"",_xlpm.MacVal,_xlpm.CSVVal&lt;&gt;"",_xlpm.CSVVal
)),"")</f>
        <v/>
      </c>
      <c r="L91" s="2" t="str" cm="1">
        <f t="array" ref="L91">IFERROR(_xlfn.LET(
_xlpm.CSVVal,_xlfn.XLOOKUP($A91,CSV!$A:$A,CSV!P:P,""),
_xlpm.MacVal,_xlfn.XLOOKUP($A91,Output_Mac!$A:$A,Output_Mac!L:L,""),
_xlpm.MyAuditVal,_xlfn.XLOOKUP($A91,My_Audit!$A:$A,My_Audit!K:K,""),
_xlfn.IFS(_xlpm.MyAuditVal&lt;&gt;"",UPPER(_xlpm.MyAuditVal),_xlpm.MacVal&lt;&gt;"",_xlpm.MacVal,_xlpm.CSVVal&lt;&gt;"",_xlpm.CSVVal
)),"")</f>
        <v/>
      </c>
      <c r="M91" s="2" t="str" cm="1">
        <f t="array" ref="M91">IFERROR(_xlfn.LET(
_xlpm.CSVVal,_xlfn.XLOOKUP($A91,CSV!$A:$A,CSV!Q:Q,""),
_xlpm.MacVal,_xlfn.XLOOKUP($A91,Output_Mac!$A:$A,Output_Mac!M:M,""),
_xlpm.MyAuditVal,_xlfn.XLOOKUP($A91,My_Audit!$A:$A,My_Audit!L:L,""),
_xlfn.IFS(_xlpm.MyAuditVal&lt;&gt;"",UPPER(_xlpm.MyAuditVal),_xlpm.MacVal&lt;&gt;"",_xlpm.MacVal,_xlpm.CSVVal&lt;&gt;"",_xlpm.CSVVal
)),"")</f>
        <v/>
      </c>
      <c r="O91" s="2" t="str">
        <f>_xlfn.LET(
    _xlpm.CSVVal, _xlfn.XLOOKUP($A91, CSV!$A:$A, CSV!AA:AA, ""),
    _xlpm.MacVal, _xlfn.XLOOKUP($A91, Output_Mac!$A:$A, Output_Mac!S:S, ""),
    _xlpm.MyAuditVal, _xlfn.XLOOKUP($A91, My_Audit!$A:$A, My_Audit!P:P, ""),
    _xlfn.TEXTJOIN(", ", TRUE, _xlpm.MyAuditVal, _xlpm.MacVal, _xlpm.CSVVal)
)</f>
        <v/>
      </c>
      <c r="P91" s="2" t="str" cm="1">
        <f t="array" ref="P91">IFERROR(_xlfn.LET(
_xlpm.CSVVal,_xlfn.XLOOKUP($A91,CSV!$A:$A,CSV!AB:AB,""),
_xlpm.MacVal,_xlfn.XLOOKUP($A91,Output_Mac!$A:$A,Output_Mac!T:T,""),
_xlpm.MyAuditVal,_xlfn.XLOOKUP($A91,My_Audit!$A:$A,My_Audit!Q:Q,""),
_xlfn.IFS(_xlpm.MyAuditVal&lt;&gt;"",UPPER(_xlpm.MyAuditVal),_xlpm.MacVal&lt;&gt;"",_xlpm.MacVal,_xlpm.CSVVal&lt;&gt;"",_xlpm.CSVVal
)),"No")</f>
        <v>No</v>
      </c>
      <c r="Q91" s="2" t="str" cm="1">
        <f t="array" ref="Q91">IFERROR(_xlfn.LET(
_xlpm.CSVVal,_xlfn.XLOOKUP($A91,CSV!$A:$A,CSV!AC:AC,""),
_xlpm.MacVal,_xlfn.XLOOKUP($A91,Output_Mac!$A:$A,Output_Mac!U:U,""),
_xlpm.MyAuditVal,_xlfn.XLOOKUP($A91,My_Audit!$A:$A,My_Audit!R:R,""),
_xlfn.IFS(_xlpm.MyAuditVal&lt;&gt;"",UPPER(_xlpm.MyAuditVal),_xlpm.MacVal&lt;&gt;"",_xlpm.MacVal,_xlpm.CSVVal&lt;&gt;"",_xlpm.CSVVal
)),"")</f>
        <v/>
      </c>
      <c r="X91" t="str">
        <f>_xlfn.LET(
    _xlpm.MacVal, _xlfn.XLOOKUP($A91, Output_Mac!$A:$A, Output_Mac!AB:AB, ""),
    _xlpm.MyAuditVal, _xlfn.XLOOKUP($A91, My_Audit!$A:$A, My_Audit!N:N, ""),
    _xlfn.TEXTJOIN(", ", TRUE, _xlpm.MyAuditVal, _xlpm.MacVal)
)</f>
        <v/>
      </c>
    </row>
    <row r="92" spans="1:24">
      <c r="A92" s="2" t="str">
        <f>_xlfn.TEXTJOIN("",TRUE,Input!$B$2,ROW(My_Audit!A91))</f>
        <v>X91</v>
      </c>
      <c r="B92" s="2" t="str">
        <f>_xlfn.TEXTJOIN("-",TRUE,"ITD",Input!$A$2,A92)</f>
        <v>ITD-SHR-X91</v>
      </c>
      <c r="C92" s="2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2" t="str" cm="1">
        <f t="array" ref="D92">IFERROR(_xlfn.LET(
_xlpm.CSVVal,_xlfn.XLOOKUP($A92,CSV!$A:$A,CSV!D:D,""),
_xlpm.MacVal,_xlfn.XLOOKUP($A92,Output_Mac!$A:$A,Output_Mac!C:C,""),
_xlpm.MyAuditVal,_xlfn.XLOOKUP($A92,My_Audit!$A:$A,My_Audit!C:C,""),
_xlfn.IFS(_xlpm.MyAuditVal&lt;&gt;"",_xlpm.MyAuditVal,_xlpm.MacVal&lt;&gt;"",_xlpm.MacVal,_xlpm.CSVVal&lt;&gt;"",_xlpm.CSVVal
)),"")</f>
        <v/>
      </c>
      <c r="E92" s="2" t="str">
        <f>_xlfn.XLOOKUP(A92,My_Audit!A:A,My_Audit!D:D,"")</f>
        <v/>
      </c>
      <c r="F92" s="2" t="str" cm="1">
        <f t="array" ref="F92">IFERROR(_xlfn.LET(
_xlpm.CSVVal,_xlfn.XLOOKUP($A92,CSV!$A:$A,CSV!F:F,""),
_xlpm.MacVal,_xlfn.XLOOKUP($A92,Output_Mac!$A:$A,Output_Mac!E:E,""),
_xlpm.MyAuditVal,_xlfn.XLOOKUP($A92,My_Audit!$A:$A,My_Audit!E:E,""),
_xlfn.IFS(_xlpm.MyAuditVal&lt;&gt;"",_xlpm.MyAuditVal,_xlpm.MacVal&lt;&gt;"",_xlpm.MacVal,_xlpm.CSVVal&lt;&gt;"",_xlpm.CSVVal
)),"")</f>
        <v/>
      </c>
      <c r="G92" s="2" t="str" cm="1">
        <f t="array" ref="G92">IFERROR(_xlfn.LET(
_xlpm.CSVVal,_xlfn.XLOOKUP($A92,CSV!$A:$A,CSV!G:G,""),
_xlpm.MacVal,_xlfn.XLOOKUP($A92,Output_Mac!$A:$A,Output_Mac!F:F,""),
_xlpm.MyAuditVal,_xlfn.XLOOKUP($A92,My_Audit!$A:$A,My_Audit!F:F,""),
_xlfn.IFS(_xlpm.MyAuditVal&lt;&gt;"",_xlpm.MyAuditVal,_xlpm.MacVal&lt;&gt;"",_xlpm.MacVal,_xlpm.CSVVal&lt;&gt;"",PROPER(_xlpm.CSVVal)
)),"")</f>
        <v/>
      </c>
      <c r="H92" s="2" t="str" cm="1">
        <f t="array" ref="H92">IFERROR(_xlfn.LET(
_xlpm.CSVVal,_xlfn.XLOOKUP($A92,CSV!$A:$A,CSV!H:H,""),
_xlpm.MacVal,_xlfn.XLOOKUP($A92,Output_Mac!$A:$A,Output_Mac!H:H,""),
_xlpm.MyAuditVal,_xlfn.XLOOKUP($A92,My_Audit!$A:$A,My_Audit!G:G,""),
_xlfn.IFS(_xlpm.MyAuditVal&lt;&gt;"",_xlpm.MyAuditVal,_xlpm.MacVal&lt;&gt;"",_xlpm.MacVal,_xlpm.CSVVal&lt;&gt;"",_xlpm.CSVVal
)),"")</f>
        <v/>
      </c>
      <c r="I92" s="2" t="str">
        <f>_xlfn.XLOOKUP(A92,Output_Mac!A:A,Output_Mac!I:I,"")</f>
        <v/>
      </c>
      <c r="J92" s="2" t="str" cm="1">
        <f t="array" ref="J92">IFERROR(_xlfn.LET(
_xlpm.CSVVal,_xlfn.XLOOKUP($A92,CSV!$A:$A,CSV!I:I,""),
_xlpm.MacVal,_xlfn.XLOOKUP($A92,Output_Mac!$A:$A,Output_Mac!J:J,""),
_xlpm.MyAuditVal,_xlfn.XLOOKUP($A92,My_Audit!$A:$A,My_Audit!I:I,""),
_xlfn.IFS(_xlpm.MyAuditVal&lt;&gt;"",UPPER(_xlpm.MyAuditVal),_xlpm.MacVal&lt;&gt;"",_xlpm.MacVal,_xlpm.CSVVal&lt;&gt;"",_xlpm.CSVVal
)),"")</f>
        <v/>
      </c>
      <c r="K92" s="2" t="str" cm="1">
        <f t="array" ref="K92">IFERROR(_xlfn.LET(
_xlpm.CSVVal,_xlfn.XLOOKUP($A92,CSV!$A:$A,CSV!K:K,""),
_xlpm.MacVal,_xlfn.XLOOKUP($A92,Output_Mac!$A:$A,Output_Mac!K:K,""),
_xlpm.MyAuditVal,_xlfn.XLOOKUP($A92,My_Audit!$A:$A,My_Audit!J:J,""),
_xlfn.IFS(_xlpm.MyAuditVal&lt;&gt;"",UPPER(_xlpm.MyAuditVal),_xlpm.MacVal&lt;&gt;"",_xlpm.MacVal,_xlpm.CSVVal&lt;&gt;"",_xlpm.CSVVal
)),"")</f>
        <v/>
      </c>
      <c r="L92" s="2" t="str" cm="1">
        <f t="array" ref="L92">IFERROR(_xlfn.LET(
_xlpm.CSVVal,_xlfn.XLOOKUP($A92,CSV!$A:$A,CSV!P:P,""),
_xlpm.MacVal,_xlfn.XLOOKUP($A92,Output_Mac!$A:$A,Output_Mac!L:L,""),
_xlpm.MyAuditVal,_xlfn.XLOOKUP($A92,My_Audit!$A:$A,My_Audit!K:K,""),
_xlfn.IFS(_xlpm.MyAuditVal&lt;&gt;"",UPPER(_xlpm.MyAuditVal),_xlpm.MacVal&lt;&gt;"",_xlpm.MacVal,_xlpm.CSVVal&lt;&gt;"",_xlpm.CSVVal
)),"")</f>
        <v/>
      </c>
      <c r="M92" s="2" t="str" cm="1">
        <f t="array" ref="M92">IFERROR(_xlfn.LET(
_xlpm.CSVVal,_xlfn.XLOOKUP($A92,CSV!$A:$A,CSV!Q:Q,""),
_xlpm.MacVal,_xlfn.XLOOKUP($A92,Output_Mac!$A:$A,Output_Mac!M:M,""),
_xlpm.MyAuditVal,_xlfn.XLOOKUP($A92,My_Audit!$A:$A,My_Audit!L:L,""),
_xlfn.IFS(_xlpm.MyAuditVal&lt;&gt;"",UPPER(_xlpm.MyAuditVal),_xlpm.MacVal&lt;&gt;"",_xlpm.MacVal,_xlpm.CSVVal&lt;&gt;"",_xlpm.CSVVal
)),"")</f>
        <v/>
      </c>
      <c r="O92" s="2" t="str">
        <f>_xlfn.LET(
    _xlpm.CSVVal, _xlfn.XLOOKUP($A92, CSV!$A:$A, CSV!AA:AA, ""),
    _xlpm.MacVal, _xlfn.XLOOKUP($A92, Output_Mac!$A:$A, Output_Mac!S:S, ""),
    _xlpm.MyAuditVal, _xlfn.XLOOKUP($A92, My_Audit!$A:$A, My_Audit!P:P, ""),
    _xlfn.TEXTJOIN(", ", TRUE, _xlpm.MyAuditVal, _xlpm.MacVal, _xlpm.CSVVal)
)</f>
        <v/>
      </c>
      <c r="P92" s="2" t="str" cm="1">
        <f t="array" ref="P92">IFERROR(_xlfn.LET(
_xlpm.CSVVal,_xlfn.XLOOKUP($A92,CSV!$A:$A,CSV!AB:AB,""),
_xlpm.MacVal,_xlfn.XLOOKUP($A92,Output_Mac!$A:$A,Output_Mac!T:T,""),
_xlpm.MyAuditVal,_xlfn.XLOOKUP($A92,My_Audit!$A:$A,My_Audit!Q:Q,""),
_xlfn.IFS(_xlpm.MyAuditVal&lt;&gt;"",UPPER(_xlpm.MyAuditVal),_xlpm.MacVal&lt;&gt;"",_xlpm.MacVal,_xlpm.CSVVal&lt;&gt;"",_xlpm.CSVVal
)),"No")</f>
        <v>No</v>
      </c>
      <c r="Q92" s="2" t="str" cm="1">
        <f t="array" ref="Q92">IFERROR(_xlfn.LET(
_xlpm.CSVVal,_xlfn.XLOOKUP($A92,CSV!$A:$A,CSV!AC:AC,""),
_xlpm.MacVal,_xlfn.XLOOKUP($A92,Output_Mac!$A:$A,Output_Mac!U:U,""),
_xlpm.MyAuditVal,_xlfn.XLOOKUP($A92,My_Audit!$A:$A,My_Audit!R:R,""),
_xlfn.IFS(_xlpm.MyAuditVal&lt;&gt;"",UPPER(_xlpm.MyAuditVal),_xlpm.MacVal&lt;&gt;"",_xlpm.MacVal,_xlpm.CSVVal&lt;&gt;"",_xlpm.CSVVal
)),"")</f>
        <v/>
      </c>
      <c r="X92" t="str">
        <f>_xlfn.LET(
    _xlpm.MacVal, _xlfn.XLOOKUP($A92, Output_Mac!$A:$A, Output_Mac!AB:AB, ""),
    _xlpm.MyAuditVal, _xlfn.XLOOKUP($A92, My_Audit!$A:$A, My_Audit!N:N, ""),
    _xlfn.TEXTJOIN(", ", TRUE, _xlpm.MyAuditVal, _xlpm.MacVal)
)</f>
        <v/>
      </c>
    </row>
    <row r="93" spans="1:24">
      <c r="A93" s="2" t="str">
        <f>_xlfn.TEXTJOIN("",TRUE,Input!$B$2,ROW(My_Audit!A92))</f>
        <v>X92</v>
      </c>
      <c r="B93" s="2" t="str">
        <f>_xlfn.TEXTJOIN("-",TRUE,"ITD",Input!$A$2,A93)</f>
        <v>ITD-SHR-X92</v>
      </c>
      <c r="C93" s="2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2" t="str" cm="1">
        <f t="array" ref="D93">IFERROR(_xlfn.LET(
_xlpm.CSVVal,_xlfn.XLOOKUP($A93,CSV!$A:$A,CSV!D:D,""),
_xlpm.MacVal,_xlfn.XLOOKUP($A93,Output_Mac!$A:$A,Output_Mac!C:C,""),
_xlpm.MyAuditVal,_xlfn.XLOOKUP($A93,My_Audit!$A:$A,My_Audit!C:C,""),
_xlfn.IFS(_xlpm.MyAuditVal&lt;&gt;"",_xlpm.MyAuditVal,_xlpm.MacVal&lt;&gt;"",_xlpm.MacVal,_xlpm.CSVVal&lt;&gt;"",_xlpm.CSVVal
)),"")</f>
        <v/>
      </c>
      <c r="E93" s="2" t="str">
        <f>_xlfn.XLOOKUP(A93,My_Audit!A:A,My_Audit!D:D,"")</f>
        <v/>
      </c>
      <c r="F93" s="2" t="str" cm="1">
        <f t="array" ref="F93">IFERROR(_xlfn.LET(
_xlpm.CSVVal,_xlfn.XLOOKUP($A93,CSV!$A:$A,CSV!F:F,""),
_xlpm.MacVal,_xlfn.XLOOKUP($A93,Output_Mac!$A:$A,Output_Mac!E:E,""),
_xlpm.MyAuditVal,_xlfn.XLOOKUP($A93,My_Audit!$A:$A,My_Audit!E:E,""),
_xlfn.IFS(_xlpm.MyAuditVal&lt;&gt;"",_xlpm.MyAuditVal,_xlpm.MacVal&lt;&gt;"",_xlpm.MacVal,_xlpm.CSVVal&lt;&gt;"",_xlpm.CSVVal
)),"")</f>
        <v/>
      </c>
      <c r="G93" s="2" t="str" cm="1">
        <f t="array" ref="G93">IFERROR(_xlfn.LET(
_xlpm.CSVVal,_xlfn.XLOOKUP($A93,CSV!$A:$A,CSV!G:G,""),
_xlpm.MacVal,_xlfn.XLOOKUP($A93,Output_Mac!$A:$A,Output_Mac!F:F,""),
_xlpm.MyAuditVal,_xlfn.XLOOKUP($A93,My_Audit!$A:$A,My_Audit!F:F,""),
_xlfn.IFS(_xlpm.MyAuditVal&lt;&gt;"",_xlpm.MyAuditVal,_xlpm.MacVal&lt;&gt;"",_xlpm.MacVal,_xlpm.CSVVal&lt;&gt;"",PROPER(_xlpm.CSVVal)
)),"")</f>
        <v/>
      </c>
      <c r="H93" s="2" t="str" cm="1">
        <f t="array" ref="H93">IFERROR(_xlfn.LET(
_xlpm.CSVVal,_xlfn.XLOOKUP($A93,CSV!$A:$A,CSV!H:H,""),
_xlpm.MacVal,_xlfn.XLOOKUP($A93,Output_Mac!$A:$A,Output_Mac!H:H,""),
_xlpm.MyAuditVal,_xlfn.XLOOKUP($A93,My_Audit!$A:$A,My_Audit!G:G,""),
_xlfn.IFS(_xlpm.MyAuditVal&lt;&gt;"",_xlpm.MyAuditVal,_xlpm.MacVal&lt;&gt;"",_xlpm.MacVal,_xlpm.CSVVal&lt;&gt;"",_xlpm.CSVVal
)),"")</f>
        <v/>
      </c>
      <c r="I93" s="2" t="str">
        <f>_xlfn.XLOOKUP(A93,Output_Mac!A:A,Output_Mac!I:I,"")</f>
        <v/>
      </c>
      <c r="J93" s="2" t="str" cm="1">
        <f t="array" ref="J93">IFERROR(_xlfn.LET(
_xlpm.CSVVal,_xlfn.XLOOKUP($A93,CSV!$A:$A,CSV!I:I,""),
_xlpm.MacVal,_xlfn.XLOOKUP($A93,Output_Mac!$A:$A,Output_Mac!J:J,""),
_xlpm.MyAuditVal,_xlfn.XLOOKUP($A93,My_Audit!$A:$A,My_Audit!I:I,""),
_xlfn.IFS(_xlpm.MyAuditVal&lt;&gt;"",UPPER(_xlpm.MyAuditVal),_xlpm.MacVal&lt;&gt;"",_xlpm.MacVal,_xlpm.CSVVal&lt;&gt;"",_xlpm.CSVVal
)),"")</f>
        <v/>
      </c>
      <c r="K93" s="2" t="str" cm="1">
        <f t="array" ref="K93">IFERROR(_xlfn.LET(
_xlpm.CSVVal,_xlfn.XLOOKUP($A93,CSV!$A:$A,CSV!K:K,""),
_xlpm.MacVal,_xlfn.XLOOKUP($A93,Output_Mac!$A:$A,Output_Mac!K:K,""),
_xlpm.MyAuditVal,_xlfn.XLOOKUP($A93,My_Audit!$A:$A,My_Audit!J:J,""),
_xlfn.IFS(_xlpm.MyAuditVal&lt;&gt;"",UPPER(_xlpm.MyAuditVal),_xlpm.MacVal&lt;&gt;"",_xlpm.MacVal,_xlpm.CSVVal&lt;&gt;"",_xlpm.CSVVal
)),"")</f>
        <v/>
      </c>
      <c r="L93" s="2" t="str" cm="1">
        <f t="array" ref="L93">IFERROR(_xlfn.LET(
_xlpm.CSVVal,_xlfn.XLOOKUP($A93,CSV!$A:$A,CSV!P:P,""),
_xlpm.MacVal,_xlfn.XLOOKUP($A93,Output_Mac!$A:$A,Output_Mac!L:L,""),
_xlpm.MyAuditVal,_xlfn.XLOOKUP($A93,My_Audit!$A:$A,My_Audit!K:K,""),
_xlfn.IFS(_xlpm.MyAuditVal&lt;&gt;"",UPPER(_xlpm.MyAuditVal),_xlpm.MacVal&lt;&gt;"",_xlpm.MacVal,_xlpm.CSVVal&lt;&gt;"",_xlpm.CSVVal
)),"")</f>
        <v/>
      </c>
      <c r="M93" s="2" t="str" cm="1">
        <f t="array" ref="M93">IFERROR(_xlfn.LET(
_xlpm.CSVVal,_xlfn.XLOOKUP($A93,CSV!$A:$A,CSV!Q:Q,""),
_xlpm.MacVal,_xlfn.XLOOKUP($A93,Output_Mac!$A:$A,Output_Mac!M:M,""),
_xlpm.MyAuditVal,_xlfn.XLOOKUP($A93,My_Audit!$A:$A,My_Audit!L:L,""),
_xlfn.IFS(_xlpm.MyAuditVal&lt;&gt;"",UPPER(_xlpm.MyAuditVal),_xlpm.MacVal&lt;&gt;"",_xlpm.MacVal,_xlpm.CSVVal&lt;&gt;"",_xlpm.CSVVal
)),"")</f>
        <v/>
      </c>
      <c r="O93" s="2" t="str">
        <f>_xlfn.LET(
    _xlpm.CSVVal, _xlfn.XLOOKUP($A93, CSV!$A:$A, CSV!AA:AA, ""),
    _xlpm.MacVal, _xlfn.XLOOKUP($A93, Output_Mac!$A:$A, Output_Mac!S:S, ""),
    _xlpm.MyAuditVal, _xlfn.XLOOKUP($A93, My_Audit!$A:$A, My_Audit!P:P, ""),
    _xlfn.TEXTJOIN(", ", TRUE, _xlpm.MyAuditVal, _xlpm.MacVal, _xlpm.CSVVal)
)</f>
        <v/>
      </c>
      <c r="P93" s="2" t="str" cm="1">
        <f t="array" ref="P93">IFERROR(_xlfn.LET(
_xlpm.CSVVal,_xlfn.XLOOKUP($A93,CSV!$A:$A,CSV!AB:AB,""),
_xlpm.MacVal,_xlfn.XLOOKUP($A93,Output_Mac!$A:$A,Output_Mac!T:T,""),
_xlpm.MyAuditVal,_xlfn.XLOOKUP($A93,My_Audit!$A:$A,My_Audit!Q:Q,""),
_xlfn.IFS(_xlpm.MyAuditVal&lt;&gt;"",UPPER(_xlpm.MyAuditVal),_xlpm.MacVal&lt;&gt;"",_xlpm.MacVal,_xlpm.CSVVal&lt;&gt;"",_xlpm.CSVVal
)),"No")</f>
        <v>No</v>
      </c>
      <c r="Q93" s="2" t="str" cm="1">
        <f t="array" ref="Q93">IFERROR(_xlfn.LET(
_xlpm.CSVVal,_xlfn.XLOOKUP($A93,CSV!$A:$A,CSV!AC:AC,""),
_xlpm.MacVal,_xlfn.XLOOKUP($A93,Output_Mac!$A:$A,Output_Mac!U:U,""),
_xlpm.MyAuditVal,_xlfn.XLOOKUP($A93,My_Audit!$A:$A,My_Audit!R:R,""),
_xlfn.IFS(_xlpm.MyAuditVal&lt;&gt;"",UPPER(_xlpm.MyAuditVal),_xlpm.MacVal&lt;&gt;"",_xlpm.MacVal,_xlpm.CSVVal&lt;&gt;"",_xlpm.CSVVal
)),"")</f>
        <v/>
      </c>
      <c r="X93" t="str">
        <f>_xlfn.LET(
    _xlpm.MacVal, _xlfn.XLOOKUP($A93, Output_Mac!$A:$A, Output_Mac!AB:AB, ""),
    _xlpm.MyAuditVal, _xlfn.XLOOKUP($A93, My_Audit!$A:$A, My_Audit!N:N, ""),
    _xlfn.TEXTJOIN(", ", TRUE, _xlpm.MyAuditVal, _xlpm.MacVal)
)</f>
        <v/>
      </c>
    </row>
    <row r="94" spans="1:24">
      <c r="A94" s="2" t="str">
        <f>_xlfn.TEXTJOIN("",TRUE,Input!$B$2,ROW(My_Audit!A93))</f>
        <v>X93</v>
      </c>
      <c r="B94" s="2" t="str">
        <f>_xlfn.TEXTJOIN("-",TRUE,"ITD",Input!$A$2,A94)</f>
        <v>ITD-SHR-X93</v>
      </c>
      <c r="C94" s="2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2" t="str" cm="1">
        <f t="array" ref="D94">IFERROR(_xlfn.LET(
_xlpm.CSVVal,_xlfn.XLOOKUP($A94,CSV!$A:$A,CSV!D:D,""),
_xlpm.MacVal,_xlfn.XLOOKUP($A94,Output_Mac!$A:$A,Output_Mac!C:C,""),
_xlpm.MyAuditVal,_xlfn.XLOOKUP($A94,My_Audit!$A:$A,My_Audit!C:C,""),
_xlfn.IFS(_xlpm.MyAuditVal&lt;&gt;"",_xlpm.MyAuditVal,_xlpm.MacVal&lt;&gt;"",_xlpm.MacVal,_xlpm.CSVVal&lt;&gt;"",_xlpm.CSVVal
)),"")</f>
        <v/>
      </c>
      <c r="E94" s="2" t="str">
        <f>_xlfn.XLOOKUP(A94,My_Audit!A:A,My_Audit!D:D,"")</f>
        <v/>
      </c>
      <c r="F94" s="2" t="str" cm="1">
        <f t="array" ref="F94">IFERROR(_xlfn.LET(
_xlpm.CSVVal,_xlfn.XLOOKUP($A94,CSV!$A:$A,CSV!F:F,""),
_xlpm.MacVal,_xlfn.XLOOKUP($A94,Output_Mac!$A:$A,Output_Mac!E:E,""),
_xlpm.MyAuditVal,_xlfn.XLOOKUP($A94,My_Audit!$A:$A,My_Audit!E:E,""),
_xlfn.IFS(_xlpm.MyAuditVal&lt;&gt;"",_xlpm.MyAuditVal,_xlpm.MacVal&lt;&gt;"",_xlpm.MacVal,_xlpm.CSVVal&lt;&gt;"",_xlpm.CSVVal
)),"")</f>
        <v/>
      </c>
      <c r="G94" s="2" t="str" cm="1">
        <f t="array" ref="G94">IFERROR(_xlfn.LET(
_xlpm.CSVVal,_xlfn.XLOOKUP($A94,CSV!$A:$A,CSV!G:G,""),
_xlpm.MacVal,_xlfn.XLOOKUP($A94,Output_Mac!$A:$A,Output_Mac!F:F,""),
_xlpm.MyAuditVal,_xlfn.XLOOKUP($A94,My_Audit!$A:$A,My_Audit!F:F,""),
_xlfn.IFS(_xlpm.MyAuditVal&lt;&gt;"",_xlpm.MyAuditVal,_xlpm.MacVal&lt;&gt;"",_xlpm.MacVal,_xlpm.CSVVal&lt;&gt;"",PROPER(_xlpm.CSVVal)
)),"")</f>
        <v/>
      </c>
      <c r="H94" s="2" t="str" cm="1">
        <f t="array" ref="H94">IFERROR(_xlfn.LET(
_xlpm.CSVVal,_xlfn.XLOOKUP($A94,CSV!$A:$A,CSV!H:H,""),
_xlpm.MacVal,_xlfn.XLOOKUP($A94,Output_Mac!$A:$A,Output_Mac!H:H,""),
_xlpm.MyAuditVal,_xlfn.XLOOKUP($A94,My_Audit!$A:$A,My_Audit!G:G,""),
_xlfn.IFS(_xlpm.MyAuditVal&lt;&gt;"",_xlpm.MyAuditVal,_xlpm.MacVal&lt;&gt;"",_xlpm.MacVal,_xlpm.CSVVal&lt;&gt;"",_xlpm.CSVVal
)),"")</f>
        <v/>
      </c>
      <c r="I94" s="2" t="str">
        <f>_xlfn.XLOOKUP(A94,Output_Mac!A:A,Output_Mac!I:I,"")</f>
        <v/>
      </c>
      <c r="J94" s="2" t="str" cm="1">
        <f t="array" ref="J94">IFERROR(_xlfn.LET(
_xlpm.CSVVal,_xlfn.XLOOKUP($A94,CSV!$A:$A,CSV!I:I,""),
_xlpm.MacVal,_xlfn.XLOOKUP($A94,Output_Mac!$A:$A,Output_Mac!J:J,""),
_xlpm.MyAuditVal,_xlfn.XLOOKUP($A94,My_Audit!$A:$A,My_Audit!I:I,""),
_xlfn.IFS(_xlpm.MyAuditVal&lt;&gt;"",UPPER(_xlpm.MyAuditVal),_xlpm.MacVal&lt;&gt;"",_xlpm.MacVal,_xlpm.CSVVal&lt;&gt;"",_xlpm.CSVVal
)),"")</f>
        <v/>
      </c>
      <c r="K94" s="2" t="str" cm="1">
        <f t="array" ref="K94">IFERROR(_xlfn.LET(
_xlpm.CSVVal,_xlfn.XLOOKUP($A94,CSV!$A:$A,CSV!K:K,""),
_xlpm.MacVal,_xlfn.XLOOKUP($A94,Output_Mac!$A:$A,Output_Mac!K:K,""),
_xlpm.MyAuditVal,_xlfn.XLOOKUP($A94,My_Audit!$A:$A,My_Audit!J:J,""),
_xlfn.IFS(_xlpm.MyAuditVal&lt;&gt;"",UPPER(_xlpm.MyAuditVal),_xlpm.MacVal&lt;&gt;"",_xlpm.MacVal,_xlpm.CSVVal&lt;&gt;"",_xlpm.CSVVal
)),"")</f>
        <v/>
      </c>
      <c r="L94" s="2" t="str" cm="1">
        <f t="array" ref="L94">IFERROR(_xlfn.LET(
_xlpm.CSVVal,_xlfn.XLOOKUP($A94,CSV!$A:$A,CSV!P:P,""),
_xlpm.MacVal,_xlfn.XLOOKUP($A94,Output_Mac!$A:$A,Output_Mac!L:L,""),
_xlpm.MyAuditVal,_xlfn.XLOOKUP($A94,My_Audit!$A:$A,My_Audit!K:K,""),
_xlfn.IFS(_xlpm.MyAuditVal&lt;&gt;"",UPPER(_xlpm.MyAuditVal),_xlpm.MacVal&lt;&gt;"",_xlpm.MacVal,_xlpm.CSVVal&lt;&gt;"",_xlpm.CSVVal
)),"")</f>
        <v/>
      </c>
      <c r="M94" s="2" t="str" cm="1">
        <f t="array" ref="M94">IFERROR(_xlfn.LET(
_xlpm.CSVVal,_xlfn.XLOOKUP($A94,CSV!$A:$A,CSV!Q:Q,""),
_xlpm.MacVal,_xlfn.XLOOKUP($A94,Output_Mac!$A:$A,Output_Mac!M:M,""),
_xlpm.MyAuditVal,_xlfn.XLOOKUP($A94,My_Audit!$A:$A,My_Audit!L:L,""),
_xlfn.IFS(_xlpm.MyAuditVal&lt;&gt;"",UPPER(_xlpm.MyAuditVal),_xlpm.MacVal&lt;&gt;"",_xlpm.MacVal,_xlpm.CSVVal&lt;&gt;"",_xlpm.CSVVal
)),"")</f>
        <v/>
      </c>
      <c r="O94" s="2" t="str">
        <f>_xlfn.LET(
    _xlpm.CSVVal, _xlfn.XLOOKUP($A94, CSV!$A:$A, CSV!AA:AA, ""),
    _xlpm.MacVal, _xlfn.XLOOKUP($A94, Output_Mac!$A:$A, Output_Mac!S:S, ""),
    _xlpm.MyAuditVal, _xlfn.XLOOKUP($A94, My_Audit!$A:$A, My_Audit!P:P, ""),
    _xlfn.TEXTJOIN(", ", TRUE, _xlpm.MyAuditVal, _xlpm.MacVal, _xlpm.CSVVal)
)</f>
        <v/>
      </c>
      <c r="P94" s="2" t="str" cm="1">
        <f t="array" ref="P94">IFERROR(_xlfn.LET(
_xlpm.CSVVal,_xlfn.XLOOKUP($A94,CSV!$A:$A,CSV!AB:AB,""),
_xlpm.MacVal,_xlfn.XLOOKUP($A94,Output_Mac!$A:$A,Output_Mac!T:T,""),
_xlpm.MyAuditVal,_xlfn.XLOOKUP($A94,My_Audit!$A:$A,My_Audit!Q:Q,""),
_xlfn.IFS(_xlpm.MyAuditVal&lt;&gt;"",UPPER(_xlpm.MyAuditVal),_xlpm.MacVal&lt;&gt;"",_xlpm.MacVal,_xlpm.CSVVal&lt;&gt;"",_xlpm.CSVVal
)),"No")</f>
        <v>No</v>
      </c>
      <c r="Q94" s="2" t="str" cm="1">
        <f t="array" ref="Q94">IFERROR(_xlfn.LET(
_xlpm.CSVVal,_xlfn.XLOOKUP($A94,CSV!$A:$A,CSV!AC:AC,""),
_xlpm.MacVal,_xlfn.XLOOKUP($A94,Output_Mac!$A:$A,Output_Mac!U:U,""),
_xlpm.MyAuditVal,_xlfn.XLOOKUP($A94,My_Audit!$A:$A,My_Audit!R:R,""),
_xlfn.IFS(_xlpm.MyAuditVal&lt;&gt;"",UPPER(_xlpm.MyAuditVal),_xlpm.MacVal&lt;&gt;"",_xlpm.MacVal,_xlpm.CSVVal&lt;&gt;"",_xlpm.CSVVal
)),"")</f>
        <v/>
      </c>
      <c r="X94" t="str">
        <f>_xlfn.LET(
    _xlpm.MacVal, _xlfn.XLOOKUP($A94, Output_Mac!$A:$A, Output_Mac!AB:AB, ""),
    _xlpm.MyAuditVal, _xlfn.XLOOKUP($A94, My_Audit!$A:$A, My_Audit!N:N, ""),
    _xlfn.TEXTJOIN(", ", TRUE, _xlpm.MyAuditVal, _xlpm.MacVal)
)</f>
        <v/>
      </c>
    </row>
    <row r="95" spans="1:24">
      <c r="A95" s="2" t="str">
        <f>_xlfn.TEXTJOIN("",TRUE,Input!$B$2,ROW(My_Audit!A94))</f>
        <v>X94</v>
      </c>
      <c r="B95" s="2" t="str">
        <f>_xlfn.TEXTJOIN("-",TRUE,"ITD",Input!$A$2,A95)</f>
        <v>ITD-SHR-X94</v>
      </c>
      <c r="C95" s="2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2" t="str" cm="1">
        <f t="array" ref="D95">IFERROR(_xlfn.LET(
_xlpm.CSVVal,_xlfn.XLOOKUP($A95,CSV!$A:$A,CSV!D:D,""),
_xlpm.MacVal,_xlfn.XLOOKUP($A95,Output_Mac!$A:$A,Output_Mac!C:C,""),
_xlpm.MyAuditVal,_xlfn.XLOOKUP($A95,My_Audit!$A:$A,My_Audit!C:C,""),
_xlfn.IFS(_xlpm.MyAuditVal&lt;&gt;"",_xlpm.MyAuditVal,_xlpm.MacVal&lt;&gt;"",_xlpm.MacVal,_xlpm.CSVVal&lt;&gt;"",_xlpm.CSVVal
)),"")</f>
        <v/>
      </c>
      <c r="E95" s="2" t="str">
        <f>_xlfn.XLOOKUP(A95,My_Audit!A:A,My_Audit!D:D,"")</f>
        <v/>
      </c>
      <c r="F95" s="2" t="str" cm="1">
        <f t="array" ref="F95">IFERROR(_xlfn.LET(
_xlpm.CSVVal,_xlfn.XLOOKUP($A95,CSV!$A:$A,CSV!F:F,""),
_xlpm.MacVal,_xlfn.XLOOKUP($A95,Output_Mac!$A:$A,Output_Mac!E:E,""),
_xlpm.MyAuditVal,_xlfn.XLOOKUP($A95,My_Audit!$A:$A,My_Audit!E:E,""),
_xlfn.IFS(_xlpm.MyAuditVal&lt;&gt;"",_xlpm.MyAuditVal,_xlpm.MacVal&lt;&gt;"",_xlpm.MacVal,_xlpm.CSVVal&lt;&gt;"",_xlpm.CSVVal
)),"")</f>
        <v/>
      </c>
      <c r="G95" s="2" t="str" cm="1">
        <f t="array" ref="G95">IFERROR(_xlfn.LET(
_xlpm.CSVVal,_xlfn.XLOOKUP($A95,CSV!$A:$A,CSV!G:G,""),
_xlpm.MacVal,_xlfn.XLOOKUP($A95,Output_Mac!$A:$A,Output_Mac!F:F,""),
_xlpm.MyAuditVal,_xlfn.XLOOKUP($A95,My_Audit!$A:$A,My_Audit!F:F,""),
_xlfn.IFS(_xlpm.MyAuditVal&lt;&gt;"",_xlpm.MyAuditVal,_xlpm.MacVal&lt;&gt;"",_xlpm.MacVal,_xlpm.CSVVal&lt;&gt;"",PROPER(_xlpm.CSVVal)
)),"")</f>
        <v/>
      </c>
      <c r="H95" s="2" t="str" cm="1">
        <f t="array" ref="H95">IFERROR(_xlfn.LET(
_xlpm.CSVVal,_xlfn.XLOOKUP($A95,CSV!$A:$A,CSV!H:H,""),
_xlpm.MacVal,_xlfn.XLOOKUP($A95,Output_Mac!$A:$A,Output_Mac!H:H,""),
_xlpm.MyAuditVal,_xlfn.XLOOKUP($A95,My_Audit!$A:$A,My_Audit!G:G,""),
_xlfn.IFS(_xlpm.MyAuditVal&lt;&gt;"",_xlpm.MyAuditVal,_xlpm.MacVal&lt;&gt;"",_xlpm.MacVal,_xlpm.CSVVal&lt;&gt;"",_xlpm.CSVVal
)),"")</f>
        <v/>
      </c>
      <c r="I95" s="2" t="str">
        <f>_xlfn.XLOOKUP(A95,Output_Mac!A:A,Output_Mac!I:I,"")</f>
        <v/>
      </c>
      <c r="J95" s="2" t="str" cm="1">
        <f t="array" ref="J95">IFERROR(_xlfn.LET(
_xlpm.CSVVal,_xlfn.XLOOKUP($A95,CSV!$A:$A,CSV!I:I,""),
_xlpm.MacVal,_xlfn.XLOOKUP($A95,Output_Mac!$A:$A,Output_Mac!J:J,""),
_xlpm.MyAuditVal,_xlfn.XLOOKUP($A95,My_Audit!$A:$A,My_Audit!I:I,""),
_xlfn.IFS(_xlpm.MyAuditVal&lt;&gt;"",UPPER(_xlpm.MyAuditVal),_xlpm.MacVal&lt;&gt;"",_xlpm.MacVal,_xlpm.CSVVal&lt;&gt;"",_xlpm.CSVVal
)),"")</f>
        <v/>
      </c>
      <c r="K95" s="2" t="str" cm="1">
        <f t="array" ref="K95">IFERROR(_xlfn.LET(
_xlpm.CSVVal,_xlfn.XLOOKUP($A95,CSV!$A:$A,CSV!K:K,""),
_xlpm.MacVal,_xlfn.XLOOKUP($A95,Output_Mac!$A:$A,Output_Mac!K:K,""),
_xlpm.MyAuditVal,_xlfn.XLOOKUP($A95,My_Audit!$A:$A,My_Audit!J:J,""),
_xlfn.IFS(_xlpm.MyAuditVal&lt;&gt;"",UPPER(_xlpm.MyAuditVal),_xlpm.MacVal&lt;&gt;"",_xlpm.MacVal,_xlpm.CSVVal&lt;&gt;"",_xlpm.CSVVal
)),"")</f>
        <v/>
      </c>
      <c r="L95" s="2" t="str" cm="1">
        <f t="array" ref="L95">IFERROR(_xlfn.LET(
_xlpm.CSVVal,_xlfn.XLOOKUP($A95,CSV!$A:$A,CSV!P:P,""),
_xlpm.MacVal,_xlfn.XLOOKUP($A95,Output_Mac!$A:$A,Output_Mac!L:L,""),
_xlpm.MyAuditVal,_xlfn.XLOOKUP($A95,My_Audit!$A:$A,My_Audit!K:K,""),
_xlfn.IFS(_xlpm.MyAuditVal&lt;&gt;"",UPPER(_xlpm.MyAuditVal),_xlpm.MacVal&lt;&gt;"",_xlpm.MacVal,_xlpm.CSVVal&lt;&gt;"",_xlpm.CSVVal
)),"")</f>
        <v/>
      </c>
      <c r="M95" s="2" t="str" cm="1">
        <f t="array" ref="M95">IFERROR(_xlfn.LET(
_xlpm.CSVVal,_xlfn.XLOOKUP($A95,CSV!$A:$A,CSV!Q:Q,""),
_xlpm.MacVal,_xlfn.XLOOKUP($A95,Output_Mac!$A:$A,Output_Mac!M:M,""),
_xlpm.MyAuditVal,_xlfn.XLOOKUP($A95,My_Audit!$A:$A,My_Audit!L:L,""),
_xlfn.IFS(_xlpm.MyAuditVal&lt;&gt;"",UPPER(_xlpm.MyAuditVal),_xlpm.MacVal&lt;&gt;"",_xlpm.MacVal,_xlpm.CSVVal&lt;&gt;"",_xlpm.CSVVal
)),"")</f>
        <v/>
      </c>
      <c r="O95" s="2" t="str">
        <f>_xlfn.LET(
    _xlpm.CSVVal, _xlfn.XLOOKUP($A95, CSV!$A:$A, CSV!AA:AA, ""),
    _xlpm.MacVal, _xlfn.XLOOKUP($A95, Output_Mac!$A:$A, Output_Mac!S:S, ""),
    _xlpm.MyAuditVal, _xlfn.XLOOKUP($A95, My_Audit!$A:$A, My_Audit!P:P, ""),
    _xlfn.TEXTJOIN(", ", TRUE, _xlpm.MyAuditVal, _xlpm.MacVal, _xlpm.CSVVal)
)</f>
        <v/>
      </c>
      <c r="P95" s="2" t="str" cm="1">
        <f t="array" ref="P95">IFERROR(_xlfn.LET(
_xlpm.CSVVal,_xlfn.XLOOKUP($A95,CSV!$A:$A,CSV!AB:AB,""),
_xlpm.MacVal,_xlfn.XLOOKUP($A95,Output_Mac!$A:$A,Output_Mac!T:T,""),
_xlpm.MyAuditVal,_xlfn.XLOOKUP($A95,My_Audit!$A:$A,My_Audit!Q:Q,""),
_xlfn.IFS(_xlpm.MyAuditVal&lt;&gt;"",UPPER(_xlpm.MyAuditVal),_xlpm.MacVal&lt;&gt;"",_xlpm.MacVal,_xlpm.CSVVal&lt;&gt;"",_xlpm.CSVVal
)),"No")</f>
        <v>No</v>
      </c>
      <c r="Q95" s="2" t="str" cm="1">
        <f t="array" ref="Q95">IFERROR(_xlfn.LET(
_xlpm.CSVVal,_xlfn.XLOOKUP($A95,CSV!$A:$A,CSV!AC:AC,""),
_xlpm.MacVal,_xlfn.XLOOKUP($A95,Output_Mac!$A:$A,Output_Mac!U:U,""),
_xlpm.MyAuditVal,_xlfn.XLOOKUP($A95,My_Audit!$A:$A,My_Audit!R:R,""),
_xlfn.IFS(_xlpm.MyAuditVal&lt;&gt;"",UPPER(_xlpm.MyAuditVal),_xlpm.MacVal&lt;&gt;"",_xlpm.MacVal,_xlpm.CSVVal&lt;&gt;"",_xlpm.CSVVal
)),"")</f>
        <v/>
      </c>
      <c r="X95" t="str">
        <f>_xlfn.LET(
    _xlpm.MacVal, _xlfn.XLOOKUP($A95, Output_Mac!$A:$A, Output_Mac!AB:AB, ""),
    _xlpm.MyAuditVal, _xlfn.XLOOKUP($A95, My_Audit!$A:$A, My_Audit!N:N, ""),
    _xlfn.TEXTJOIN(", ", TRUE, _xlpm.MyAuditVal, _xlpm.MacVal)
)</f>
        <v/>
      </c>
    </row>
    <row r="96" spans="1:24">
      <c r="A96" s="2" t="str">
        <f>_xlfn.TEXTJOIN("",TRUE,Input!$B$2,ROW(My_Audit!A95))</f>
        <v>X95</v>
      </c>
      <c r="B96" s="2" t="str">
        <f>_xlfn.TEXTJOIN("-",TRUE,"ITD",Input!$A$2,A96)</f>
        <v>ITD-SHR-X95</v>
      </c>
      <c r="C96" s="2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2" t="str" cm="1">
        <f t="array" ref="D96">IFERROR(_xlfn.LET(
_xlpm.CSVVal,_xlfn.XLOOKUP($A96,CSV!$A:$A,CSV!D:D,""),
_xlpm.MacVal,_xlfn.XLOOKUP($A96,Output_Mac!$A:$A,Output_Mac!C:C,""),
_xlpm.MyAuditVal,_xlfn.XLOOKUP($A96,My_Audit!$A:$A,My_Audit!C:C,""),
_xlfn.IFS(_xlpm.MyAuditVal&lt;&gt;"",_xlpm.MyAuditVal,_xlpm.MacVal&lt;&gt;"",_xlpm.MacVal,_xlpm.CSVVal&lt;&gt;"",_xlpm.CSVVal
)),"")</f>
        <v/>
      </c>
      <c r="E96" s="2" t="str">
        <f>_xlfn.XLOOKUP(A96,My_Audit!A:A,My_Audit!D:D,"")</f>
        <v/>
      </c>
      <c r="F96" s="2" t="str" cm="1">
        <f t="array" ref="F96">IFERROR(_xlfn.LET(
_xlpm.CSVVal,_xlfn.XLOOKUP($A96,CSV!$A:$A,CSV!F:F,""),
_xlpm.MacVal,_xlfn.XLOOKUP($A96,Output_Mac!$A:$A,Output_Mac!E:E,""),
_xlpm.MyAuditVal,_xlfn.XLOOKUP($A96,My_Audit!$A:$A,My_Audit!E:E,""),
_xlfn.IFS(_xlpm.MyAuditVal&lt;&gt;"",_xlpm.MyAuditVal,_xlpm.MacVal&lt;&gt;"",_xlpm.MacVal,_xlpm.CSVVal&lt;&gt;"",_xlpm.CSVVal
)),"")</f>
        <v/>
      </c>
      <c r="G96" s="2" t="str" cm="1">
        <f t="array" ref="G96">IFERROR(_xlfn.LET(
_xlpm.CSVVal,_xlfn.XLOOKUP($A96,CSV!$A:$A,CSV!G:G,""),
_xlpm.MacVal,_xlfn.XLOOKUP($A96,Output_Mac!$A:$A,Output_Mac!F:F,""),
_xlpm.MyAuditVal,_xlfn.XLOOKUP($A96,My_Audit!$A:$A,My_Audit!F:F,""),
_xlfn.IFS(_xlpm.MyAuditVal&lt;&gt;"",_xlpm.MyAuditVal,_xlpm.MacVal&lt;&gt;"",_xlpm.MacVal,_xlpm.CSVVal&lt;&gt;"",PROPER(_xlpm.CSVVal)
)),"")</f>
        <v/>
      </c>
      <c r="H96" s="2" t="str" cm="1">
        <f t="array" ref="H96">IFERROR(_xlfn.LET(
_xlpm.CSVVal,_xlfn.XLOOKUP($A96,CSV!$A:$A,CSV!H:H,""),
_xlpm.MacVal,_xlfn.XLOOKUP($A96,Output_Mac!$A:$A,Output_Mac!H:H,""),
_xlpm.MyAuditVal,_xlfn.XLOOKUP($A96,My_Audit!$A:$A,My_Audit!G:G,""),
_xlfn.IFS(_xlpm.MyAuditVal&lt;&gt;"",_xlpm.MyAuditVal,_xlpm.MacVal&lt;&gt;"",_xlpm.MacVal,_xlpm.CSVVal&lt;&gt;"",_xlpm.CSVVal
)),"")</f>
        <v/>
      </c>
      <c r="I96" s="2" t="str">
        <f>_xlfn.XLOOKUP(A96,Output_Mac!A:A,Output_Mac!I:I,"")</f>
        <v/>
      </c>
      <c r="J96" s="2" t="str" cm="1">
        <f t="array" ref="J96">IFERROR(_xlfn.LET(
_xlpm.CSVVal,_xlfn.XLOOKUP($A96,CSV!$A:$A,CSV!I:I,""),
_xlpm.MacVal,_xlfn.XLOOKUP($A96,Output_Mac!$A:$A,Output_Mac!J:J,""),
_xlpm.MyAuditVal,_xlfn.XLOOKUP($A96,My_Audit!$A:$A,My_Audit!I:I,""),
_xlfn.IFS(_xlpm.MyAuditVal&lt;&gt;"",UPPER(_xlpm.MyAuditVal),_xlpm.MacVal&lt;&gt;"",_xlpm.MacVal,_xlpm.CSVVal&lt;&gt;"",_xlpm.CSVVal
)),"")</f>
        <v/>
      </c>
      <c r="K96" s="2" t="str" cm="1">
        <f t="array" ref="K96">IFERROR(_xlfn.LET(
_xlpm.CSVVal,_xlfn.XLOOKUP($A96,CSV!$A:$A,CSV!K:K,""),
_xlpm.MacVal,_xlfn.XLOOKUP($A96,Output_Mac!$A:$A,Output_Mac!K:K,""),
_xlpm.MyAuditVal,_xlfn.XLOOKUP($A96,My_Audit!$A:$A,My_Audit!J:J,""),
_xlfn.IFS(_xlpm.MyAuditVal&lt;&gt;"",UPPER(_xlpm.MyAuditVal),_xlpm.MacVal&lt;&gt;"",_xlpm.MacVal,_xlpm.CSVVal&lt;&gt;"",_xlpm.CSVVal
)),"")</f>
        <v/>
      </c>
      <c r="L96" s="2" t="str" cm="1">
        <f t="array" ref="L96">IFERROR(_xlfn.LET(
_xlpm.CSVVal,_xlfn.XLOOKUP($A96,CSV!$A:$A,CSV!P:P,""),
_xlpm.MacVal,_xlfn.XLOOKUP($A96,Output_Mac!$A:$A,Output_Mac!L:L,""),
_xlpm.MyAuditVal,_xlfn.XLOOKUP($A96,My_Audit!$A:$A,My_Audit!K:K,""),
_xlfn.IFS(_xlpm.MyAuditVal&lt;&gt;"",UPPER(_xlpm.MyAuditVal),_xlpm.MacVal&lt;&gt;"",_xlpm.MacVal,_xlpm.CSVVal&lt;&gt;"",_xlpm.CSVVal
)),"")</f>
        <v/>
      </c>
      <c r="M96" s="2" t="str" cm="1">
        <f t="array" ref="M96">IFERROR(_xlfn.LET(
_xlpm.CSVVal,_xlfn.XLOOKUP($A96,CSV!$A:$A,CSV!Q:Q,""),
_xlpm.MacVal,_xlfn.XLOOKUP($A96,Output_Mac!$A:$A,Output_Mac!M:M,""),
_xlpm.MyAuditVal,_xlfn.XLOOKUP($A96,My_Audit!$A:$A,My_Audit!L:L,""),
_xlfn.IFS(_xlpm.MyAuditVal&lt;&gt;"",UPPER(_xlpm.MyAuditVal),_xlpm.MacVal&lt;&gt;"",_xlpm.MacVal,_xlpm.CSVVal&lt;&gt;"",_xlpm.CSVVal
)),"")</f>
        <v/>
      </c>
      <c r="O96" s="2" t="str">
        <f>_xlfn.LET(
    _xlpm.CSVVal, _xlfn.XLOOKUP($A96, CSV!$A:$A, CSV!AA:AA, ""),
    _xlpm.MacVal, _xlfn.XLOOKUP($A96, Output_Mac!$A:$A, Output_Mac!S:S, ""),
    _xlpm.MyAuditVal, _xlfn.XLOOKUP($A96, My_Audit!$A:$A, My_Audit!P:P, ""),
    _xlfn.TEXTJOIN(", ", TRUE, _xlpm.MyAuditVal, _xlpm.MacVal, _xlpm.CSVVal)
)</f>
        <v/>
      </c>
      <c r="P96" s="2" t="str" cm="1">
        <f t="array" ref="P96">IFERROR(_xlfn.LET(
_xlpm.CSVVal,_xlfn.XLOOKUP($A96,CSV!$A:$A,CSV!AB:AB,""),
_xlpm.MacVal,_xlfn.XLOOKUP($A96,Output_Mac!$A:$A,Output_Mac!T:T,""),
_xlpm.MyAuditVal,_xlfn.XLOOKUP($A96,My_Audit!$A:$A,My_Audit!Q:Q,""),
_xlfn.IFS(_xlpm.MyAuditVal&lt;&gt;"",UPPER(_xlpm.MyAuditVal),_xlpm.MacVal&lt;&gt;"",_xlpm.MacVal,_xlpm.CSVVal&lt;&gt;"",_xlpm.CSVVal
)),"No")</f>
        <v>No</v>
      </c>
      <c r="Q96" s="2" t="str" cm="1">
        <f t="array" ref="Q96">IFERROR(_xlfn.LET(
_xlpm.CSVVal,_xlfn.XLOOKUP($A96,CSV!$A:$A,CSV!AC:AC,""),
_xlpm.MacVal,_xlfn.XLOOKUP($A96,Output_Mac!$A:$A,Output_Mac!U:U,""),
_xlpm.MyAuditVal,_xlfn.XLOOKUP($A96,My_Audit!$A:$A,My_Audit!R:R,""),
_xlfn.IFS(_xlpm.MyAuditVal&lt;&gt;"",UPPER(_xlpm.MyAuditVal),_xlpm.MacVal&lt;&gt;"",_xlpm.MacVal,_xlpm.CSVVal&lt;&gt;"",_xlpm.CSVVal
)),"")</f>
        <v/>
      </c>
      <c r="X96" t="str">
        <f>_xlfn.LET(
    _xlpm.MacVal, _xlfn.XLOOKUP($A96, Output_Mac!$A:$A, Output_Mac!AB:AB, ""),
    _xlpm.MyAuditVal, _xlfn.XLOOKUP($A96, My_Audit!$A:$A, My_Audit!N:N, ""),
    _xlfn.TEXTJOIN(", ", TRUE, _xlpm.MyAuditVal, _xlpm.MacVal)
)</f>
        <v/>
      </c>
    </row>
    <row r="97" spans="1:24">
      <c r="A97" s="2" t="str">
        <f>_xlfn.TEXTJOIN("",TRUE,Input!$B$2,ROW(My_Audit!A96))</f>
        <v>X96</v>
      </c>
      <c r="B97" s="2" t="str">
        <f>_xlfn.TEXTJOIN("-",TRUE,"ITD",Input!$A$2,A97)</f>
        <v>ITD-SHR-X96</v>
      </c>
      <c r="C97" s="2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2" t="str" cm="1">
        <f t="array" ref="D97">IFERROR(_xlfn.LET(
_xlpm.CSVVal,_xlfn.XLOOKUP($A97,CSV!$A:$A,CSV!D:D,""),
_xlpm.MacVal,_xlfn.XLOOKUP($A97,Output_Mac!$A:$A,Output_Mac!C:C,""),
_xlpm.MyAuditVal,_xlfn.XLOOKUP($A97,My_Audit!$A:$A,My_Audit!C:C,""),
_xlfn.IFS(_xlpm.MyAuditVal&lt;&gt;"",_xlpm.MyAuditVal,_xlpm.MacVal&lt;&gt;"",_xlpm.MacVal,_xlpm.CSVVal&lt;&gt;"",_xlpm.CSVVal
)),"")</f>
        <v/>
      </c>
      <c r="E97" s="2" t="str">
        <f>_xlfn.XLOOKUP(A97,My_Audit!A:A,My_Audit!D:D,"")</f>
        <v/>
      </c>
      <c r="F97" s="2" t="str" cm="1">
        <f t="array" ref="F97">IFERROR(_xlfn.LET(
_xlpm.CSVVal,_xlfn.XLOOKUP($A97,CSV!$A:$A,CSV!F:F,""),
_xlpm.MacVal,_xlfn.XLOOKUP($A97,Output_Mac!$A:$A,Output_Mac!E:E,""),
_xlpm.MyAuditVal,_xlfn.XLOOKUP($A97,My_Audit!$A:$A,My_Audit!E:E,""),
_xlfn.IFS(_xlpm.MyAuditVal&lt;&gt;"",_xlpm.MyAuditVal,_xlpm.MacVal&lt;&gt;"",_xlpm.MacVal,_xlpm.CSVVal&lt;&gt;"",_xlpm.CSVVal
)),"")</f>
        <v/>
      </c>
      <c r="G97" s="2" t="str" cm="1">
        <f t="array" ref="G97">IFERROR(_xlfn.LET(
_xlpm.CSVVal,_xlfn.XLOOKUP($A97,CSV!$A:$A,CSV!G:G,""),
_xlpm.MacVal,_xlfn.XLOOKUP($A97,Output_Mac!$A:$A,Output_Mac!F:F,""),
_xlpm.MyAuditVal,_xlfn.XLOOKUP($A97,My_Audit!$A:$A,My_Audit!F:F,""),
_xlfn.IFS(_xlpm.MyAuditVal&lt;&gt;"",_xlpm.MyAuditVal,_xlpm.MacVal&lt;&gt;"",_xlpm.MacVal,_xlpm.CSVVal&lt;&gt;"",PROPER(_xlpm.CSVVal)
)),"")</f>
        <v/>
      </c>
      <c r="H97" s="2" t="str" cm="1">
        <f t="array" ref="H97">IFERROR(_xlfn.LET(
_xlpm.CSVVal,_xlfn.XLOOKUP($A97,CSV!$A:$A,CSV!H:H,""),
_xlpm.MacVal,_xlfn.XLOOKUP($A97,Output_Mac!$A:$A,Output_Mac!H:H,""),
_xlpm.MyAuditVal,_xlfn.XLOOKUP($A97,My_Audit!$A:$A,My_Audit!G:G,""),
_xlfn.IFS(_xlpm.MyAuditVal&lt;&gt;"",_xlpm.MyAuditVal,_xlpm.MacVal&lt;&gt;"",_xlpm.MacVal,_xlpm.CSVVal&lt;&gt;"",_xlpm.CSVVal
)),"")</f>
        <v/>
      </c>
      <c r="I97" s="2" t="str">
        <f>_xlfn.XLOOKUP(A97,Output_Mac!A:A,Output_Mac!I:I,"")</f>
        <v/>
      </c>
      <c r="J97" s="2" t="str" cm="1">
        <f t="array" ref="J97">IFERROR(_xlfn.LET(
_xlpm.CSVVal,_xlfn.XLOOKUP($A97,CSV!$A:$A,CSV!I:I,""),
_xlpm.MacVal,_xlfn.XLOOKUP($A97,Output_Mac!$A:$A,Output_Mac!J:J,""),
_xlpm.MyAuditVal,_xlfn.XLOOKUP($A97,My_Audit!$A:$A,My_Audit!I:I,""),
_xlfn.IFS(_xlpm.MyAuditVal&lt;&gt;"",UPPER(_xlpm.MyAuditVal),_xlpm.MacVal&lt;&gt;"",_xlpm.MacVal,_xlpm.CSVVal&lt;&gt;"",_xlpm.CSVVal
)),"")</f>
        <v/>
      </c>
      <c r="K97" s="2" t="str" cm="1">
        <f t="array" ref="K97">IFERROR(_xlfn.LET(
_xlpm.CSVVal,_xlfn.XLOOKUP($A97,CSV!$A:$A,CSV!K:K,""),
_xlpm.MacVal,_xlfn.XLOOKUP($A97,Output_Mac!$A:$A,Output_Mac!K:K,""),
_xlpm.MyAuditVal,_xlfn.XLOOKUP($A97,My_Audit!$A:$A,My_Audit!J:J,""),
_xlfn.IFS(_xlpm.MyAuditVal&lt;&gt;"",UPPER(_xlpm.MyAuditVal),_xlpm.MacVal&lt;&gt;"",_xlpm.MacVal,_xlpm.CSVVal&lt;&gt;"",_xlpm.CSVVal
)),"")</f>
        <v/>
      </c>
      <c r="L97" s="2" t="str" cm="1">
        <f t="array" ref="L97">IFERROR(_xlfn.LET(
_xlpm.CSVVal,_xlfn.XLOOKUP($A97,CSV!$A:$A,CSV!P:P,""),
_xlpm.MacVal,_xlfn.XLOOKUP($A97,Output_Mac!$A:$A,Output_Mac!L:L,""),
_xlpm.MyAuditVal,_xlfn.XLOOKUP($A97,My_Audit!$A:$A,My_Audit!K:K,""),
_xlfn.IFS(_xlpm.MyAuditVal&lt;&gt;"",UPPER(_xlpm.MyAuditVal),_xlpm.MacVal&lt;&gt;"",_xlpm.MacVal,_xlpm.CSVVal&lt;&gt;"",_xlpm.CSVVal
)),"")</f>
        <v/>
      </c>
      <c r="M97" s="2" t="str" cm="1">
        <f t="array" ref="M97">IFERROR(_xlfn.LET(
_xlpm.CSVVal,_xlfn.XLOOKUP($A97,CSV!$A:$A,CSV!Q:Q,""),
_xlpm.MacVal,_xlfn.XLOOKUP($A97,Output_Mac!$A:$A,Output_Mac!M:M,""),
_xlpm.MyAuditVal,_xlfn.XLOOKUP($A97,My_Audit!$A:$A,My_Audit!L:L,""),
_xlfn.IFS(_xlpm.MyAuditVal&lt;&gt;"",UPPER(_xlpm.MyAuditVal),_xlpm.MacVal&lt;&gt;"",_xlpm.MacVal,_xlpm.CSVVal&lt;&gt;"",_xlpm.CSVVal
)),"")</f>
        <v/>
      </c>
      <c r="O97" s="2" t="str">
        <f>_xlfn.LET(
    _xlpm.CSVVal, _xlfn.XLOOKUP($A97, CSV!$A:$A, CSV!AA:AA, ""),
    _xlpm.MacVal, _xlfn.XLOOKUP($A97, Output_Mac!$A:$A, Output_Mac!S:S, ""),
    _xlpm.MyAuditVal, _xlfn.XLOOKUP($A97, My_Audit!$A:$A, My_Audit!P:P, ""),
    _xlfn.TEXTJOIN(", ", TRUE, _xlpm.MyAuditVal, _xlpm.MacVal, _xlpm.CSVVal)
)</f>
        <v/>
      </c>
      <c r="P97" s="2" t="str" cm="1">
        <f t="array" ref="P97">IFERROR(_xlfn.LET(
_xlpm.CSVVal,_xlfn.XLOOKUP($A97,CSV!$A:$A,CSV!AB:AB,""),
_xlpm.MacVal,_xlfn.XLOOKUP($A97,Output_Mac!$A:$A,Output_Mac!T:T,""),
_xlpm.MyAuditVal,_xlfn.XLOOKUP($A97,My_Audit!$A:$A,My_Audit!Q:Q,""),
_xlfn.IFS(_xlpm.MyAuditVal&lt;&gt;"",UPPER(_xlpm.MyAuditVal),_xlpm.MacVal&lt;&gt;"",_xlpm.MacVal,_xlpm.CSVVal&lt;&gt;"",_xlpm.CSVVal
)),"No")</f>
        <v>No</v>
      </c>
      <c r="Q97" s="2" t="str" cm="1">
        <f t="array" ref="Q97">IFERROR(_xlfn.LET(
_xlpm.CSVVal,_xlfn.XLOOKUP($A97,CSV!$A:$A,CSV!AC:AC,""),
_xlpm.MacVal,_xlfn.XLOOKUP($A97,Output_Mac!$A:$A,Output_Mac!U:U,""),
_xlpm.MyAuditVal,_xlfn.XLOOKUP($A97,My_Audit!$A:$A,My_Audit!R:R,""),
_xlfn.IFS(_xlpm.MyAuditVal&lt;&gt;"",UPPER(_xlpm.MyAuditVal),_xlpm.MacVal&lt;&gt;"",_xlpm.MacVal,_xlpm.CSVVal&lt;&gt;"",_xlpm.CSVVal
)),"")</f>
        <v/>
      </c>
      <c r="X97" t="str">
        <f>_xlfn.LET(
    _xlpm.MacVal, _xlfn.XLOOKUP($A97, Output_Mac!$A:$A, Output_Mac!AB:AB, ""),
    _xlpm.MyAuditVal, _xlfn.XLOOKUP($A97, My_Audit!$A:$A, My_Audit!N:N, ""),
    _xlfn.TEXTJOIN(", ", TRUE, _xlpm.MyAuditVal, _xlpm.MacVal)
)</f>
        <v/>
      </c>
    </row>
    <row r="98" spans="1:24">
      <c r="A98" s="2" t="str">
        <f>_xlfn.TEXTJOIN("",TRUE,Input!$B$2,ROW(My_Audit!A97))</f>
        <v>X97</v>
      </c>
      <c r="B98" s="2" t="str">
        <f>_xlfn.TEXTJOIN("-",TRUE,"ITD",Input!$A$2,A98)</f>
        <v>ITD-SHR-X97</v>
      </c>
      <c r="C98" s="2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2" t="str" cm="1">
        <f t="array" ref="D98">IFERROR(_xlfn.LET(
_xlpm.CSVVal,_xlfn.XLOOKUP($A98,CSV!$A:$A,CSV!D:D,""),
_xlpm.MacVal,_xlfn.XLOOKUP($A98,Output_Mac!$A:$A,Output_Mac!C:C,""),
_xlpm.MyAuditVal,_xlfn.XLOOKUP($A98,My_Audit!$A:$A,My_Audit!C:C,""),
_xlfn.IFS(_xlpm.MyAuditVal&lt;&gt;"",_xlpm.MyAuditVal,_xlpm.MacVal&lt;&gt;"",_xlpm.MacVal,_xlpm.CSVVal&lt;&gt;"",_xlpm.CSVVal
)),"")</f>
        <v/>
      </c>
      <c r="E98" s="2" t="str">
        <f>_xlfn.XLOOKUP(A98,My_Audit!A:A,My_Audit!D:D,"")</f>
        <v/>
      </c>
      <c r="F98" s="2" t="str" cm="1">
        <f t="array" ref="F98">IFERROR(_xlfn.LET(
_xlpm.CSVVal,_xlfn.XLOOKUP($A98,CSV!$A:$A,CSV!F:F,""),
_xlpm.MacVal,_xlfn.XLOOKUP($A98,Output_Mac!$A:$A,Output_Mac!E:E,""),
_xlpm.MyAuditVal,_xlfn.XLOOKUP($A98,My_Audit!$A:$A,My_Audit!E:E,""),
_xlfn.IFS(_xlpm.MyAuditVal&lt;&gt;"",_xlpm.MyAuditVal,_xlpm.MacVal&lt;&gt;"",_xlpm.MacVal,_xlpm.CSVVal&lt;&gt;"",_xlpm.CSVVal
)),"")</f>
        <v/>
      </c>
      <c r="G98" s="2" t="str" cm="1">
        <f t="array" ref="G98">IFERROR(_xlfn.LET(
_xlpm.CSVVal,_xlfn.XLOOKUP($A98,CSV!$A:$A,CSV!G:G,""),
_xlpm.MacVal,_xlfn.XLOOKUP($A98,Output_Mac!$A:$A,Output_Mac!F:F,""),
_xlpm.MyAuditVal,_xlfn.XLOOKUP($A98,My_Audit!$A:$A,My_Audit!F:F,""),
_xlfn.IFS(_xlpm.MyAuditVal&lt;&gt;"",_xlpm.MyAuditVal,_xlpm.MacVal&lt;&gt;"",_xlpm.MacVal,_xlpm.CSVVal&lt;&gt;"",PROPER(_xlpm.CSVVal)
)),"")</f>
        <v/>
      </c>
      <c r="H98" s="2" t="str" cm="1">
        <f t="array" ref="H98">IFERROR(_xlfn.LET(
_xlpm.CSVVal,_xlfn.XLOOKUP($A98,CSV!$A:$A,CSV!H:H,""),
_xlpm.MacVal,_xlfn.XLOOKUP($A98,Output_Mac!$A:$A,Output_Mac!H:H,""),
_xlpm.MyAuditVal,_xlfn.XLOOKUP($A98,My_Audit!$A:$A,My_Audit!G:G,""),
_xlfn.IFS(_xlpm.MyAuditVal&lt;&gt;"",_xlpm.MyAuditVal,_xlpm.MacVal&lt;&gt;"",_xlpm.MacVal,_xlpm.CSVVal&lt;&gt;"",_xlpm.CSVVal
)),"")</f>
        <v/>
      </c>
      <c r="I98" s="2" t="str">
        <f>_xlfn.XLOOKUP(A98,Output_Mac!A:A,Output_Mac!I:I,"")</f>
        <v/>
      </c>
      <c r="J98" s="2" t="str" cm="1">
        <f t="array" ref="J98">IFERROR(_xlfn.LET(
_xlpm.CSVVal,_xlfn.XLOOKUP($A98,CSV!$A:$A,CSV!I:I,""),
_xlpm.MacVal,_xlfn.XLOOKUP($A98,Output_Mac!$A:$A,Output_Mac!J:J,""),
_xlpm.MyAuditVal,_xlfn.XLOOKUP($A98,My_Audit!$A:$A,My_Audit!I:I,""),
_xlfn.IFS(_xlpm.MyAuditVal&lt;&gt;"",UPPER(_xlpm.MyAuditVal),_xlpm.MacVal&lt;&gt;"",_xlpm.MacVal,_xlpm.CSVVal&lt;&gt;"",_xlpm.CSVVal
)),"")</f>
        <v/>
      </c>
      <c r="K98" s="2" t="str" cm="1">
        <f t="array" ref="K98">IFERROR(_xlfn.LET(
_xlpm.CSVVal,_xlfn.XLOOKUP($A98,CSV!$A:$A,CSV!K:K,""),
_xlpm.MacVal,_xlfn.XLOOKUP($A98,Output_Mac!$A:$A,Output_Mac!K:K,""),
_xlpm.MyAuditVal,_xlfn.XLOOKUP($A98,My_Audit!$A:$A,My_Audit!J:J,""),
_xlfn.IFS(_xlpm.MyAuditVal&lt;&gt;"",UPPER(_xlpm.MyAuditVal),_xlpm.MacVal&lt;&gt;"",_xlpm.MacVal,_xlpm.CSVVal&lt;&gt;"",_xlpm.CSVVal
)),"")</f>
        <v/>
      </c>
      <c r="L98" s="2" t="str" cm="1">
        <f t="array" ref="L98">IFERROR(_xlfn.LET(
_xlpm.CSVVal,_xlfn.XLOOKUP($A98,CSV!$A:$A,CSV!P:P,""),
_xlpm.MacVal,_xlfn.XLOOKUP($A98,Output_Mac!$A:$A,Output_Mac!L:L,""),
_xlpm.MyAuditVal,_xlfn.XLOOKUP($A98,My_Audit!$A:$A,My_Audit!K:K,""),
_xlfn.IFS(_xlpm.MyAuditVal&lt;&gt;"",UPPER(_xlpm.MyAuditVal),_xlpm.MacVal&lt;&gt;"",_xlpm.MacVal,_xlpm.CSVVal&lt;&gt;"",_xlpm.CSVVal
)),"")</f>
        <v/>
      </c>
      <c r="M98" s="2" t="str" cm="1">
        <f t="array" ref="M98">IFERROR(_xlfn.LET(
_xlpm.CSVVal,_xlfn.XLOOKUP($A98,CSV!$A:$A,CSV!Q:Q,""),
_xlpm.MacVal,_xlfn.XLOOKUP($A98,Output_Mac!$A:$A,Output_Mac!M:M,""),
_xlpm.MyAuditVal,_xlfn.XLOOKUP($A98,My_Audit!$A:$A,My_Audit!L:L,""),
_xlfn.IFS(_xlpm.MyAuditVal&lt;&gt;"",UPPER(_xlpm.MyAuditVal),_xlpm.MacVal&lt;&gt;"",_xlpm.MacVal,_xlpm.CSVVal&lt;&gt;"",_xlpm.CSVVal
)),"")</f>
        <v/>
      </c>
      <c r="O98" s="2" t="str">
        <f>_xlfn.LET(
    _xlpm.CSVVal, _xlfn.XLOOKUP($A98, CSV!$A:$A, CSV!AA:AA, ""),
    _xlpm.MacVal, _xlfn.XLOOKUP($A98, Output_Mac!$A:$A, Output_Mac!S:S, ""),
    _xlpm.MyAuditVal, _xlfn.XLOOKUP($A98, My_Audit!$A:$A, My_Audit!P:P, ""),
    _xlfn.TEXTJOIN(", ", TRUE, _xlpm.MyAuditVal, _xlpm.MacVal, _xlpm.CSVVal)
)</f>
        <v/>
      </c>
      <c r="P98" s="2" t="str" cm="1">
        <f t="array" ref="P98">IFERROR(_xlfn.LET(
_xlpm.CSVVal,_xlfn.XLOOKUP($A98,CSV!$A:$A,CSV!AB:AB,""),
_xlpm.MacVal,_xlfn.XLOOKUP($A98,Output_Mac!$A:$A,Output_Mac!T:T,""),
_xlpm.MyAuditVal,_xlfn.XLOOKUP($A98,My_Audit!$A:$A,My_Audit!Q:Q,""),
_xlfn.IFS(_xlpm.MyAuditVal&lt;&gt;"",UPPER(_xlpm.MyAuditVal),_xlpm.MacVal&lt;&gt;"",_xlpm.MacVal,_xlpm.CSVVal&lt;&gt;"",_xlpm.CSVVal
)),"No")</f>
        <v>No</v>
      </c>
      <c r="Q98" s="2" t="str" cm="1">
        <f t="array" ref="Q98">IFERROR(_xlfn.LET(
_xlpm.CSVVal,_xlfn.XLOOKUP($A98,CSV!$A:$A,CSV!AC:AC,""),
_xlpm.MacVal,_xlfn.XLOOKUP($A98,Output_Mac!$A:$A,Output_Mac!U:U,""),
_xlpm.MyAuditVal,_xlfn.XLOOKUP($A98,My_Audit!$A:$A,My_Audit!R:R,""),
_xlfn.IFS(_xlpm.MyAuditVal&lt;&gt;"",UPPER(_xlpm.MyAuditVal),_xlpm.MacVal&lt;&gt;"",_xlpm.MacVal,_xlpm.CSVVal&lt;&gt;"",_xlpm.CSVVal
)),"")</f>
        <v/>
      </c>
      <c r="X98" t="str">
        <f>_xlfn.LET(
    _xlpm.MacVal, _xlfn.XLOOKUP($A98, Output_Mac!$A:$A, Output_Mac!AB:AB, ""),
    _xlpm.MyAuditVal, _xlfn.XLOOKUP($A98, My_Audit!$A:$A, My_Audit!N:N, ""),
    _xlfn.TEXTJOIN(", ", TRUE, _xlpm.MyAuditVal, _xlpm.MacVal)
)</f>
        <v/>
      </c>
    </row>
    <row r="99" spans="1:24">
      <c r="A99" s="2" t="str">
        <f>_xlfn.TEXTJOIN("",TRUE,Input!$B$2,ROW(My_Audit!A98))</f>
        <v>X98</v>
      </c>
      <c r="B99" s="2" t="str">
        <f>_xlfn.TEXTJOIN("-",TRUE,"ITD",Input!$A$2,A99)</f>
        <v>ITD-SHR-X98</v>
      </c>
      <c r="C99" s="2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2" t="str" cm="1">
        <f t="array" ref="D99">IFERROR(_xlfn.LET(
_xlpm.CSVVal,_xlfn.XLOOKUP($A99,CSV!$A:$A,CSV!D:D,""),
_xlpm.MacVal,_xlfn.XLOOKUP($A99,Output_Mac!$A:$A,Output_Mac!C:C,""),
_xlpm.MyAuditVal,_xlfn.XLOOKUP($A99,My_Audit!$A:$A,My_Audit!C:C,""),
_xlfn.IFS(_xlpm.MyAuditVal&lt;&gt;"",_xlpm.MyAuditVal,_xlpm.MacVal&lt;&gt;"",_xlpm.MacVal,_xlpm.CSVVal&lt;&gt;"",_xlpm.CSVVal
)),"")</f>
        <v/>
      </c>
      <c r="E99" s="2" t="str">
        <f>_xlfn.XLOOKUP(A99,My_Audit!A:A,My_Audit!D:D,"")</f>
        <v/>
      </c>
      <c r="F99" s="2" t="str" cm="1">
        <f t="array" ref="F99">IFERROR(_xlfn.LET(
_xlpm.CSVVal,_xlfn.XLOOKUP($A99,CSV!$A:$A,CSV!F:F,""),
_xlpm.MacVal,_xlfn.XLOOKUP($A99,Output_Mac!$A:$A,Output_Mac!E:E,""),
_xlpm.MyAuditVal,_xlfn.XLOOKUP($A99,My_Audit!$A:$A,My_Audit!E:E,""),
_xlfn.IFS(_xlpm.MyAuditVal&lt;&gt;"",_xlpm.MyAuditVal,_xlpm.MacVal&lt;&gt;"",_xlpm.MacVal,_xlpm.CSVVal&lt;&gt;"",_xlpm.CSVVal
)),"")</f>
        <v/>
      </c>
      <c r="G99" s="2" t="str" cm="1">
        <f t="array" ref="G99">IFERROR(_xlfn.LET(
_xlpm.CSVVal,_xlfn.XLOOKUP($A99,CSV!$A:$A,CSV!G:G,""),
_xlpm.MacVal,_xlfn.XLOOKUP($A99,Output_Mac!$A:$A,Output_Mac!F:F,""),
_xlpm.MyAuditVal,_xlfn.XLOOKUP($A99,My_Audit!$A:$A,My_Audit!F:F,""),
_xlfn.IFS(_xlpm.MyAuditVal&lt;&gt;"",_xlpm.MyAuditVal,_xlpm.MacVal&lt;&gt;"",_xlpm.MacVal,_xlpm.CSVVal&lt;&gt;"",PROPER(_xlpm.CSVVal)
)),"")</f>
        <v/>
      </c>
      <c r="H99" s="2" t="str" cm="1">
        <f t="array" ref="H99">IFERROR(_xlfn.LET(
_xlpm.CSVVal,_xlfn.XLOOKUP($A99,CSV!$A:$A,CSV!H:H,""),
_xlpm.MacVal,_xlfn.XLOOKUP($A99,Output_Mac!$A:$A,Output_Mac!H:H,""),
_xlpm.MyAuditVal,_xlfn.XLOOKUP($A99,My_Audit!$A:$A,My_Audit!G:G,""),
_xlfn.IFS(_xlpm.MyAuditVal&lt;&gt;"",_xlpm.MyAuditVal,_xlpm.MacVal&lt;&gt;"",_xlpm.MacVal,_xlpm.CSVVal&lt;&gt;"",_xlpm.CSVVal
)),"")</f>
        <v/>
      </c>
      <c r="I99" s="2" t="str">
        <f>_xlfn.XLOOKUP(A99,Output_Mac!A:A,Output_Mac!I:I,"")</f>
        <v/>
      </c>
      <c r="J99" s="2" t="str" cm="1">
        <f t="array" ref="J99">IFERROR(_xlfn.LET(
_xlpm.CSVVal,_xlfn.XLOOKUP($A99,CSV!$A:$A,CSV!I:I,""),
_xlpm.MacVal,_xlfn.XLOOKUP($A99,Output_Mac!$A:$A,Output_Mac!J:J,""),
_xlpm.MyAuditVal,_xlfn.XLOOKUP($A99,My_Audit!$A:$A,My_Audit!I:I,""),
_xlfn.IFS(_xlpm.MyAuditVal&lt;&gt;"",UPPER(_xlpm.MyAuditVal),_xlpm.MacVal&lt;&gt;"",_xlpm.MacVal,_xlpm.CSVVal&lt;&gt;"",_xlpm.CSVVal
)),"")</f>
        <v/>
      </c>
      <c r="K99" s="2" t="str" cm="1">
        <f t="array" ref="K99">IFERROR(_xlfn.LET(
_xlpm.CSVVal,_xlfn.XLOOKUP($A99,CSV!$A:$A,CSV!K:K,""),
_xlpm.MacVal,_xlfn.XLOOKUP($A99,Output_Mac!$A:$A,Output_Mac!K:K,""),
_xlpm.MyAuditVal,_xlfn.XLOOKUP($A99,My_Audit!$A:$A,My_Audit!J:J,""),
_xlfn.IFS(_xlpm.MyAuditVal&lt;&gt;"",UPPER(_xlpm.MyAuditVal),_xlpm.MacVal&lt;&gt;"",_xlpm.MacVal,_xlpm.CSVVal&lt;&gt;"",_xlpm.CSVVal
)),"")</f>
        <v/>
      </c>
      <c r="L99" s="2" t="str" cm="1">
        <f t="array" ref="L99">IFERROR(_xlfn.LET(
_xlpm.CSVVal,_xlfn.XLOOKUP($A99,CSV!$A:$A,CSV!P:P,""),
_xlpm.MacVal,_xlfn.XLOOKUP($A99,Output_Mac!$A:$A,Output_Mac!L:L,""),
_xlpm.MyAuditVal,_xlfn.XLOOKUP($A99,My_Audit!$A:$A,My_Audit!K:K,""),
_xlfn.IFS(_xlpm.MyAuditVal&lt;&gt;"",UPPER(_xlpm.MyAuditVal),_xlpm.MacVal&lt;&gt;"",_xlpm.MacVal,_xlpm.CSVVal&lt;&gt;"",_xlpm.CSVVal
)),"")</f>
        <v/>
      </c>
      <c r="M99" s="2" t="str" cm="1">
        <f t="array" ref="M99">IFERROR(_xlfn.LET(
_xlpm.CSVVal,_xlfn.XLOOKUP($A99,CSV!$A:$A,CSV!Q:Q,""),
_xlpm.MacVal,_xlfn.XLOOKUP($A99,Output_Mac!$A:$A,Output_Mac!M:M,""),
_xlpm.MyAuditVal,_xlfn.XLOOKUP($A99,My_Audit!$A:$A,My_Audit!L:L,""),
_xlfn.IFS(_xlpm.MyAuditVal&lt;&gt;"",UPPER(_xlpm.MyAuditVal),_xlpm.MacVal&lt;&gt;"",_xlpm.MacVal,_xlpm.CSVVal&lt;&gt;"",_xlpm.CSVVal
)),"")</f>
        <v/>
      </c>
      <c r="O99" s="2" t="str">
        <f>_xlfn.LET(
    _xlpm.CSVVal, _xlfn.XLOOKUP($A99, CSV!$A:$A, CSV!AA:AA, ""),
    _xlpm.MacVal, _xlfn.XLOOKUP($A99, Output_Mac!$A:$A, Output_Mac!S:S, ""),
    _xlpm.MyAuditVal, _xlfn.XLOOKUP($A99, My_Audit!$A:$A, My_Audit!P:P, ""),
    _xlfn.TEXTJOIN(", ", TRUE, _xlpm.MyAuditVal, _xlpm.MacVal, _xlpm.CSVVal)
)</f>
        <v/>
      </c>
      <c r="P99" s="2" t="str" cm="1">
        <f t="array" ref="P99">IFERROR(_xlfn.LET(
_xlpm.CSVVal,_xlfn.XLOOKUP($A99,CSV!$A:$A,CSV!AB:AB,""),
_xlpm.MacVal,_xlfn.XLOOKUP($A99,Output_Mac!$A:$A,Output_Mac!T:T,""),
_xlpm.MyAuditVal,_xlfn.XLOOKUP($A99,My_Audit!$A:$A,My_Audit!Q:Q,""),
_xlfn.IFS(_xlpm.MyAuditVal&lt;&gt;"",UPPER(_xlpm.MyAuditVal),_xlpm.MacVal&lt;&gt;"",_xlpm.MacVal,_xlpm.CSVVal&lt;&gt;"",_xlpm.CSVVal
)),"No")</f>
        <v>No</v>
      </c>
      <c r="Q99" s="2" t="str" cm="1">
        <f t="array" ref="Q99">IFERROR(_xlfn.LET(
_xlpm.CSVVal,_xlfn.XLOOKUP($A99,CSV!$A:$A,CSV!AC:AC,""),
_xlpm.MacVal,_xlfn.XLOOKUP($A99,Output_Mac!$A:$A,Output_Mac!U:U,""),
_xlpm.MyAuditVal,_xlfn.XLOOKUP($A99,My_Audit!$A:$A,My_Audit!R:R,""),
_xlfn.IFS(_xlpm.MyAuditVal&lt;&gt;"",UPPER(_xlpm.MyAuditVal),_xlpm.MacVal&lt;&gt;"",_xlpm.MacVal,_xlpm.CSVVal&lt;&gt;"",_xlpm.CSVVal
)),"")</f>
        <v/>
      </c>
      <c r="X99" t="str">
        <f>_xlfn.LET(
    _xlpm.MacVal, _xlfn.XLOOKUP($A99, Output_Mac!$A:$A, Output_Mac!AB:AB, ""),
    _xlpm.MyAuditVal, _xlfn.XLOOKUP($A99, My_Audit!$A:$A, My_Audit!N:N, ""),
    _xlfn.TEXTJOIN(", ", TRUE, _xlpm.MyAuditVal, _xlpm.MacVal)
)</f>
        <v/>
      </c>
    </row>
    <row r="100" spans="1:24">
      <c r="A100" s="2" t="str">
        <f>_xlfn.TEXTJOIN("",TRUE,Input!$B$2,ROW(My_Audit!A99))</f>
        <v>X99</v>
      </c>
      <c r="B100" s="2" t="str">
        <f>_xlfn.TEXTJOIN("-",TRUE,"ITD",Input!$A$2,A100)</f>
        <v>ITD-SHR-X99</v>
      </c>
      <c r="C100" s="2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2" t="str" cm="1">
        <f t="array" ref="D100">IFERROR(_xlfn.LET(
_xlpm.CSVVal,_xlfn.XLOOKUP($A100,CSV!$A:$A,CSV!D:D,""),
_xlpm.MacVal,_xlfn.XLOOKUP($A100,Output_Mac!$A:$A,Output_Mac!C:C,""),
_xlpm.MyAuditVal,_xlfn.XLOOKUP($A100,My_Audit!$A:$A,My_Audit!C:C,""),
_xlfn.IFS(_xlpm.MyAuditVal&lt;&gt;"",_xlpm.MyAuditVal,_xlpm.MacVal&lt;&gt;"",_xlpm.MacVal,_xlpm.CSVVal&lt;&gt;"",_xlpm.CSVVal
)),"")</f>
        <v/>
      </c>
      <c r="E100" s="2" t="str">
        <f>_xlfn.XLOOKUP(A100,My_Audit!A:A,My_Audit!D:D,"")</f>
        <v/>
      </c>
      <c r="F100" s="2" t="str" cm="1">
        <f t="array" ref="F100">IFERROR(_xlfn.LET(
_xlpm.CSVVal,_xlfn.XLOOKUP($A100,CSV!$A:$A,CSV!F:F,""),
_xlpm.MacVal,_xlfn.XLOOKUP($A100,Output_Mac!$A:$A,Output_Mac!E:E,""),
_xlpm.MyAuditVal,_xlfn.XLOOKUP($A100,My_Audit!$A:$A,My_Audit!E:E,""),
_xlfn.IFS(_xlpm.MyAuditVal&lt;&gt;"",_xlpm.MyAuditVal,_xlpm.MacVal&lt;&gt;"",_xlpm.MacVal,_xlpm.CSVVal&lt;&gt;"",_xlpm.CSVVal
)),"")</f>
        <v/>
      </c>
      <c r="G100" s="2" t="str" cm="1">
        <f t="array" ref="G100">IFERROR(_xlfn.LET(
_xlpm.CSVVal,_xlfn.XLOOKUP($A100,CSV!$A:$A,CSV!G:G,""),
_xlpm.MacVal,_xlfn.XLOOKUP($A100,Output_Mac!$A:$A,Output_Mac!F:F,""),
_xlpm.MyAuditVal,_xlfn.XLOOKUP($A100,My_Audit!$A:$A,My_Audit!F:F,""),
_xlfn.IFS(_xlpm.MyAuditVal&lt;&gt;"",_xlpm.MyAuditVal,_xlpm.MacVal&lt;&gt;"",_xlpm.MacVal,_xlpm.CSVVal&lt;&gt;"",PROPER(_xlpm.CSVVal)
)),"")</f>
        <v/>
      </c>
      <c r="H100" s="2" t="str" cm="1">
        <f t="array" ref="H100">IFERROR(_xlfn.LET(
_xlpm.CSVVal,_xlfn.XLOOKUP($A100,CSV!$A:$A,CSV!H:H,""),
_xlpm.MacVal,_xlfn.XLOOKUP($A100,Output_Mac!$A:$A,Output_Mac!H:H,""),
_xlpm.MyAuditVal,_xlfn.XLOOKUP($A100,My_Audit!$A:$A,My_Audit!G:G,""),
_xlfn.IFS(_xlpm.MyAuditVal&lt;&gt;"",_xlpm.MyAuditVal,_xlpm.MacVal&lt;&gt;"",_xlpm.MacVal,_xlpm.CSVVal&lt;&gt;"",_xlpm.CSVVal
)),"")</f>
        <v/>
      </c>
      <c r="I100" s="2" t="str">
        <f>_xlfn.XLOOKUP(A100,Output_Mac!A:A,Output_Mac!I:I,"")</f>
        <v/>
      </c>
      <c r="J100" s="2" t="str" cm="1">
        <f t="array" ref="J100">IFERROR(_xlfn.LET(
_xlpm.CSVVal,_xlfn.XLOOKUP($A100,CSV!$A:$A,CSV!I:I,""),
_xlpm.MacVal,_xlfn.XLOOKUP($A100,Output_Mac!$A:$A,Output_Mac!J:J,""),
_xlpm.MyAuditVal,_xlfn.XLOOKUP($A100,My_Audit!$A:$A,My_Audit!I:I,""),
_xlfn.IFS(_xlpm.MyAuditVal&lt;&gt;"",UPPER(_xlpm.MyAuditVal),_xlpm.MacVal&lt;&gt;"",_xlpm.MacVal,_xlpm.CSVVal&lt;&gt;"",_xlpm.CSVVal
)),"")</f>
        <v/>
      </c>
      <c r="K100" s="2" t="str" cm="1">
        <f t="array" ref="K100">IFERROR(_xlfn.LET(
_xlpm.CSVVal,_xlfn.XLOOKUP($A100,CSV!$A:$A,CSV!K:K,""),
_xlpm.MacVal,_xlfn.XLOOKUP($A100,Output_Mac!$A:$A,Output_Mac!K:K,""),
_xlpm.MyAuditVal,_xlfn.XLOOKUP($A100,My_Audit!$A:$A,My_Audit!J:J,""),
_xlfn.IFS(_xlpm.MyAuditVal&lt;&gt;"",UPPER(_xlpm.MyAuditVal),_xlpm.MacVal&lt;&gt;"",_xlpm.MacVal,_xlpm.CSVVal&lt;&gt;"",_xlpm.CSVVal
)),"")</f>
        <v/>
      </c>
      <c r="L100" s="2" t="str" cm="1">
        <f t="array" ref="L100">IFERROR(_xlfn.LET(
_xlpm.CSVVal,_xlfn.XLOOKUP($A100,CSV!$A:$A,CSV!P:P,""),
_xlpm.MacVal,_xlfn.XLOOKUP($A100,Output_Mac!$A:$A,Output_Mac!L:L,""),
_xlpm.MyAuditVal,_xlfn.XLOOKUP($A100,My_Audit!$A:$A,My_Audit!K:K,""),
_xlfn.IFS(_xlpm.MyAuditVal&lt;&gt;"",UPPER(_xlpm.MyAuditVal),_xlpm.MacVal&lt;&gt;"",_xlpm.MacVal,_xlpm.CSVVal&lt;&gt;"",_xlpm.CSVVal
)),"")</f>
        <v/>
      </c>
      <c r="M100" s="2" t="str" cm="1">
        <f t="array" ref="M100">IFERROR(_xlfn.LET(
_xlpm.CSVVal,_xlfn.XLOOKUP($A100,CSV!$A:$A,CSV!Q:Q,""),
_xlpm.MacVal,_xlfn.XLOOKUP($A100,Output_Mac!$A:$A,Output_Mac!M:M,""),
_xlpm.MyAuditVal,_xlfn.XLOOKUP($A100,My_Audit!$A:$A,My_Audit!L:L,""),
_xlfn.IFS(_xlpm.MyAuditVal&lt;&gt;"",UPPER(_xlpm.MyAuditVal),_xlpm.MacVal&lt;&gt;"",_xlpm.MacVal,_xlpm.CSVVal&lt;&gt;"",_xlpm.CSVVal
)),"")</f>
        <v/>
      </c>
      <c r="O100" s="2" t="str">
        <f>_xlfn.LET(
    _xlpm.CSVVal, _xlfn.XLOOKUP($A100, CSV!$A:$A, CSV!AA:AA, ""),
    _xlpm.MacVal, _xlfn.XLOOKUP($A100, Output_Mac!$A:$A, Output_Mac!S:S, ""),
    _xlpm.MyAuditVal, _xlfn.XLOOKUP($A100, My_Audit!$A:$A, My_Audit!P:P, ""),
    _xlfn.TEXTJOIN(", ", TRUE, _xlpm.MyAuditVal, _xlpm.MacVal, _xlpm.CSVVal)
)</f>
        <v/>
      </c>
      <c r="P100" s="2" t="str" cm="1">
        <f t="array" ref="P100">IFERROR(_xlfn.LET(
_xlpm.CSVVal,_xlfn.XLOOKUP($A100,CSV!$A:$A,CSV!AB:AB,""),
_xlpm.MacVal,_xlfn.XLOOKUP($A100,Output_Mac!$A:$A,Output_Mac!T:T,""),
_xlpm.MyAuditVal,_xlfn.XLOOKUP($A100,My_Audit!$A:$A,My_Audit!Q:Q,""),
_xlfn.IFS(_xlpm.MyAuditVal&lt;&gt;"",UPPER(_xlpm.MyAuditVal),_xlpm.MacVal&lt;&gt;"",_xlpm.MacVal,_xlpm.CSVVal&lt;&gt;"",_xlpm.CSVVal
)),"No")</f>
        <v>No</v>
      </c>
      <c r="Q100" s="2" t="str" cm="1">
        <f t="array" ref="Q100">IFERROR(_xlfn.LET(
_xlpm.CSVVal,_xlfn.XLOOKUP($A100,CSV!$A:$A,CSV!AC:AC,""),
_xlpm.MacVal,_xlfn.XLOOKUP($A100,Output_Mac!$A:$A,Output_Mac!U:U,""),
_xlpm.MyAuditVal,_xlfn.XLOOKUP($A100,My_Audit!$A:$A,My_Audit!R:R,""),
_xlfn.IFS(_xlpm.MyAuditVal&lt;&gt;"",UPPER(_xlpm.MyAuditVal),_xlpm.MacVal&lt;&gt;"",_xlpm.MacVal,_xlpm.CSVVal&lt;&gt;"",_xlpm.CSVVal
)),"")</f>
        <v/>
      </c>
      <c r="X100" t="str">
        <f>_xlfn.LET(
    _xlpm.MacVal, _xlfn.XLOOKUP($A100, Output_Mac!$A:$A, Output_Mac!AB:AB, ""),
    _xlpm.MyAuditVal, _xlfn.XLOOKUP($A100, My_Audit!$A:$A, My_Audit!N:N, ""),
    _xlfn.TEXTJOIN(", ", TRUE, _xlpm.MyAuditVal, _xlpm.MacVal)
)</f>
        <v/>
      </c>
    </row>
    <row r="101" spans="1:24">
      <c r="A101" s="2" t="str">
        <f>_xlfn.TEXTJOIN("",TRUE,Input!$B$2,ROW(My_Audit!A100))</f>
        <v>X100</v>
      </c>
      <c r="B101" s="2" t="str">
        <f>_xlfn.TEXTJOIN("-",TRUE,"ITD",Input!$A$2,A101)</f>
        <v>ITD-SHR-X100</v>
      </c>
      <c r="C101" s="2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2" t="str" cm="1">
        <f t="array" ref="D101">IFERROR(_xlfn.LET(
_xlpm.CSVVal,_xlfn.XLOOKUP($A101,CSV!$A:$A,CSV!D:D,""),
_xlpm.MacVal,_xlfn.XLOOKUP($A101,Output_Mac!$A:$A,Output_Mac!C:C,""),
_xlpm.MyAuditVal,_xlfn.XLOOKUP($A101,My_Audit!$A:$A,My_Audit!C:C,""),
_xlfn.IFS(_xlpm.MyAuditVal&lt;&gt;"",_xlpm.MyAuditVal,_xlpm.MacVal&lt;&gt;"",_xlpm.MacVal,_xlpm.CSVVal&lt;&gt;"",_xlpm.CSVVal
)),"")</f>
        <v/>
      </c>
      <c r="E101" s="2" t="str">
        <f>_xlfn.XLOOKUP(A101,My_Audit!A:A,My_Audit!D:D,"")</f>
        <v/>
      </c>
      <c r="F101" s="2" t="str" cm="1">
        <f t="array" ref="F101">IFERROR(_xlfn.LET(
_xlpm.CSVVal,_xlfn.XLOOKUP($A101,CSV!$A:$A,CSV!F:F,""),
_xlpm.MacVal,_xlfn.XLOOKUP($A101,Output_Mac!$A:$A,Output_Mac!E:E,""),
_xlpm.MyAuditVal,_xlfn.XLOOKUP($A101,My_Audit!$A:$A,My_Audit!E:E,""),
_xlfn.IFS(_xlpm.MyAuditVal&lt;&gt;"",_xlpm.MyAuditVal,_xlpm.MacVal&lt;&gt;"",_xlpm.MacVal,_xlpm.CSVVal&lt;&gt;"",_xlpm.CSVVal
)),"")</f>
        <v/>
      </c>
      <c r="G101" s="2" t="str" cm="1">
        <f t="array" ref="G101">IFERROR(_xlfn.LET(
_xlpm.CSVVal,_xlfn.XLOOKUP($A101,CSV!$A:$A,CSV!G:G,""),
_xlpm.MacVal,_xlfn.XLOOKUP($A101,Output_Mac!$A:$A,Output_Mac!F:F,""),
_xlpm.MyAuditVal,_xlfn.XLOOKUP($A101,My_Audit!$A:$A,My_Audit!F:F,""),
_xlfn.IFS(_xlpm.MyAuditVal&lt;&gt;"",_xlpm.MyAuditVal,_xlpm.MacVal&lt;&gt;"",_xlpm.MacVal,_xlpm.CSVVal&lt;&gt;"",PROPER(_xlpm.CSVVal)
)),"")</f>
        <v/>
      </c>
      <c r="H101" s="2" t="str" cm="1">
        <f t="array" ref="H101">IFERROR(_xlfn.LET(
_xlpm.CSVVal,_xlfn.XLOOKUP($A101,CSV!$A:$A,CSV!H:H,""),
_xlpm.MacVal,_xlfn.XLOOKUP($A101,Output_Mac!$A:$A,Output_Mac!H:H,""),
_xlpm.MyAuditVal,_xlfn.XLOOKUP($A101,My_Audit!$A:$A,My_Audit!G:G,""),
_xlfn.IFS(_xlpm.MyAuditVal&lt;&gt;"",_xlpm.MyAuditVal,_xlpm.MacVal&lt;&gt;"",_xlpm.MacVal,_xlpm.CSVVal&lt;&gt;"",_xlpm.CSVVal
)),"")</f>
        <v/>
      </c>
      <c r="I101" s="2" t="str">
        <f>_xlfn.XLOOKUP(A101,Output_Mac!A:A,Output_Mac!I:I,"")</f>
        <v/>
      </c>
      <c r="J101" s="2" t="str" cm="1">
        <f t="array" ref="J101">IFERROR(_xlfn.LET(
_xlpm.CSVVal,_xlfn.XLOOKUP($A101,CSV!$A:$A,CSV!I:I,""),
_xlpm.MacVal,_xlfn.XLOOKUP($A101,Output_Mac!$A:$A,Output_Mac!J:J,""),
_xlpm.MyAuditVal,_xlfn.XLOOKUP($A101,My_Audit!$A:$A,My_Audit!I:I,""),
_xlfn.IFS(_xlpm.MyAuditVal&lt;&gt;"",UPPER(_xlpm.MyAuditVal),_xlpm.MacVal&lt;&gt;"",_xlpm.MacVal,_xlpm.CSVVal&lt;&gt;"",_xlpm.CSVVal
)),"")</f>
        <v/>
      </c>
      <c r="K101" s="2" t="str" cm="1">
        <f t="array" ref="K101">IFERROR(_xlfn.LET(
_xlpm.CSVVal,_xlfn.XLOOKUP($A101,CSV!$A:$A,CSV!K:K,""),
_xlpm.MacVal,_xlfn.XLOOKUP($A101,Output_Mac!$A:$A,Output_Mac!K:K,""),
_xlpm.MyAuditVal,_xlfn.XLOOKUP($A101,My_Audit!$A:$A,My_Audit!J:J,""),
_xlfn.IFS(_xlpm.MyAuditVal&lt;&gt;"",UPPER(_xlpm.MyAuditVal),_xlpm.MacVal&lt;&gt;"",_xlpm.MacVal,_xlpm.CSVVal&lt;&gt;"",_xlpm.CSVVal
)),"")</f>
        <v/>
      </c>
      <c r="L101" s="2" t="str" cm="1">
        <f t="array" ref="L101">IFERROR(_xlfn.LET(
_xlpm.CSVVal,_xlfn.XLOOKUP($A101,CSV!$A:$A,CSV!P:P,""),
_xlpm.MacVal,_xlfn.XLOOKUP($A101,Output_Mac!$A:$A,Output_Mac!L:L,""),
_xlpm.MyAuditVal,_xlfn.XLOOKUP($A101,My_Audit!$A:$A,My_Audit!K:K,""),
_xlfn.IFS(_xlpm.MyAuditVal&lt;&gt;"",UPPER(_xlpm.MyAuditVal),_xlpm.MacVal&lt;&gt;"",_xlpm.MacVal,_xlpm.CSVVal&lt;&gt;"",_xlpm.CSVVal
)),"")</f>
        <v/>
      </c>
      <c r="M101" s="2" t="str" cm="1">
        <f t="array" ref="M101">IFERROR(_xlfn.LET(
_xlpm.CSVVal,_xlfn.XLOOKUP($A101,CSV!$A:$A,CSV!Q:Q,""),
_xlpm.MacVal,_xlfn.XLOOKUP($A101,Output_Mac!$A:$A,Output_Mac!M:M,""),
_xlpm.MyAuditVal,_xlfn.XLOOKUP($A101,My_Audit!$A:$A,My_Audit!L:L,""),
_xlfn.IFS(_xlpm.MyAuditVal&lt;&gt;"",UPPER(_xlpm.MyAuditVal),_xlpm.MacVal&lt;&gt;"",_xlpm.MacVal,_xlpm.CSVVal&lt;&gt;"",_xlpm.CSVVal
)),"")</f>
        <v/>
      </c>
      <c r="O101" s="2" t="str">
        <f>_xlfn.LET(
    _xlpm.CSVVal, _xlfn.XLOOKUP($A101, CSV!$A:$A, CSV!AA:AA, ""),
    _xlpm.MacVal, _xlfn.XLOOKUP($A101, Output_Mac!$A:$A, Output_Mac!S:S, ""),
    _xlpm.MyAuditVal, _xlfn.XLOOKUP($A101, My_Audit!$A:$A, My_Audit!P:P, ""),
    _xlfn.TEXTJOIN(", ", TRUE, _xlpm.MyAuditVal, _xlpm.MacVal, _xlpm.CSVVal)
)</f>
        <v/>
      </c>
      <c r="P101" s="2" t="str" cm="1">
        <f t="array" ref="P101">IFERROR(_xlfn.LET(
_xlpm.CSVVal,_xlfn.XLOOKUP($A101,CSV!$A:$A,CSV!AB:AB,""),
_xlpm.MacVal,_xlfn.XLOOKUP($A101,Output_Mac!$A:$A,Output_Mac!T:T,""),
_xlpm.MyAuditVal,_xlfn.XLOOKUP($A101,My_Audit!$A:$A,My_Audit!Q:Q,""),
_xlfn.IFS(_xlpm.MyAuditVal&lt;&gt;"",UPPER(_xlpm.MyAuditVal),_xlpm.MacVal&lt;&gt;"",_xlpm.MacVal,_xlpm.CSVVal&lt;&gt;"",_xlpm.CSVVal
)),"No")</f>
        <v>No</v>
      </c>
      <c r="Q101" s="2" t="str" cm="1">
        <f t="array" ref="Q101">IFERROR(_xlfn.LET(
_xlpm.CSVVal,_xlfn.XLOOKUP($A101,CSV!$A:$A,CSV!AC:AC,""),
_xlpm.MacVal,_xlfn.XLOOKUP($A101,Output_Mac!$A:$A,Output_Mac!U:U,""),
_xlpm.MyAuditVal,_xlfn.XLOOKUP($A101,My_Audit!$A:$A,My_Audit!R:R,""),
_xlfn.IFS(_xlpm.MyAuditVal&lt;&gt;"",UPPER(_xlpm.MyAuditVal),_xlpm.MacVal&lt;&gt;"",_xlpm.MacVal,_xlpm.CSVVal&lt;&gt;"",_xlpm.CSVVal
)),"")</f>
        <v/>
      </c>
      <c r="X101" t="str">
        <f>_xlfn.LET(
    _xlpm.MacVal, _xlfn.XLOOKUP($A101, Output_Mac!$A:$A, Output_Mac!AB:AB, ""),
    _xlpm.MyAuditVal, _xlfn.XLOOKUP($A101, My_Audit!$A:$A, My_Audit!N:N, ""),
    _xlfn.TEXTJOIN(", ", TRUE, _xlpm.MyAuditVal, _xlpm.MacVal)
)</f>
        <v/>
      </c>
    </row>
    <row r="102" spans="1:24">
      <c r="A102" s="2" t="str">
        <f>_xlfn.TEXTJOIN("",TRUE,Input!$B$2,ROW(My_Audit!A101))</f>
        <v>X101</v>
      </c>
      <c r="B102" s="2" t="str">
        <f>_xlfn.TEXTJOIN("-",TRUE,"ITD",Input!$A$2,A102)</f>
        <v>ITD-SHR-X101</v>
      </c>
      <c r="C102" s="2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2" t="str" cm="1">
        <f t="array" ref="D102">IFERROR(_xlfn.LET(
_xlpm.CSVVal,_xlfn.XLOOKUP($A102,CSV!$A:$A,CSV!D:D,""),
_xlpm.MacVal,_xlfn.XLOOKUP($A102,Output_Mac!$A:$A,Output_Mac!C:C,""),
_xlpm.MyAuditVal,_xlfn.XLOOKUP($A102,My_Audit!$A:$A,My_Audit!C:C,""),
_xlfn.IFS(_xlpm.MyAuditVal&lt;&gt;"",_xlpm.MyAuditVal,_xlpm.MacVal&lt;&gt;"",_xlpm.MacVal,_xlpm.CSVVal&lt;&gt;"",_xlpm.CSVVal
)),"")</f>
        <v/>
      </c>
      <c r="E102" s="2" t="str">
        <f>_xlfn.XLOOKUP(A102,My_Audit!A:A,My_Audit!D:D,"")</f>
        <v/>
      </c>
      <c r="F102" s="2" t="str" cm="1">
        <f t="array" ref="F102">IFERROR(_xlfn.LET(
_xlpm.CSVVal,_xlfn.XLOOKUP($A102,CSV!$A:$A,CSV!F:F,""),
_xlpm.MacVal,_xlfn.XLOOKUP($A102,Output_Mac!$A:$A,Output_Mac!E:E,""),
_xlpm.MyAuditVal,_xlfn.XLOOKUP($A102,My_Audit!$A:$A,My_Audit!E:E,""),
_xlfn.IFS(_xlpm.MyAuditVal&lt;&gt;"",_xlpm.MyAuditVal,_xlpm.MacVal&lt;&gt;"",_xlpm.MacVal,_xlpm.CSVVal&lt;&gt;"",_xlpm.CSVVal
)),"")</f>
        <v/>
      </c>
      <c r="G102" s="2" t="str" cm="1">
        <f t="array" ref="G102">IFERROR(_xlfn.LET(
_xlpm.CSVVal,_xlfn.XLOOKUP($A102,CSV!$A:$A,CSV!G:G,""),
_xlpm.MacVal,_xlfn.XLOOKUP($A102,Output_Mac!$A:$A,Output_Mac!F:F,""),
_xlpm.MyAuditVal,_xlfn.XLOOKUP($A102,My_Audit!$A:$A,My_Audit!F:F,""),
_xlfn.IFS(_xlpm.MyAuditVal&lt;&gt;"",_xlpm.MyAuditVal,_xlpm.MacVal&lt;&gt;"",_xlpm.MacVal,_xlpm.CSVVal&lt;&gt;"",PROPER(_xlpm.CSVVal)
)),"")</f>
        <v/>
      </c>
      <c r="H102" s="2" t="str" cm="1">
        <f t="array" ref="H102">IFERROR(_xlfn.LET(
_xlpm.CSVVal,_xlfn.XLOOKUP($A102,CSV!$A:$A,CSV!H:H,""),
_xlpm.MacVal,_xlfn.XLOOKUP($A102,Output_Mac!$A:$A,Output_Mac!H:H,""),
_xlpm.MyAuditVal,_xlfn.XLOOKUP($A102,My_Audit!$A:$A,My_Audit!G:G,""),
_xlfn.IFS(_xlpm.MyAuditVal&lt;&gt;"",_xlpm.MyAuditVal,_xlpm.MacVal&lt;&gt;"",_xlpm.MacVal,_xlpm.CSVVal&lt;&gt;"",_xlpm.CSVVal
)),"")</f>
        <v/>
      </c>
      <c r="I102" s="2" t="str">
        <f>_xlfn.XLOOKUP(A102,Output_Mac!A:A,Output_Mac!I:I,"")</f>
        <v/>
      </c>
      <c r="J102" s="2" t="str" cm="1">
        <f t="array" ref="J102">IFERROR(_xlfn.LET(
_xlpm.CSVVal,_xlfn.XLOOKUP($A102,CSV!$A:$A,CSV!I:I,""),
_xlpm.MacVal,_xlfn.XLOOKUP($A102,Output_Mac!$A:$A,Output_Mac!J:J,""),
_xlpm.MyAuditVal,_xlfn.XLOOKUP($A102,My_Audit!$A:$A,My_Audit!I:I,""),
_xlfn.IFS(_xlpm.MyAuditVal&lt;&gt;"",UPPER(_xlpm.MyAuditVal),_xlpm.MacVal&lt;&gt;"",_xlpm.MacVal,_xlpm.CSVVal&lt;&gt;"",_xlpm.CSVVal
)),"")</f>
        <v/>
      </c>
      <c r="K102" s="2" t="str" cm="1">
        <f t="array" ref="K102">IFERROR(_xlfn.LET(
_xlpm.CSVVal,_xlfn.XLOOKUP($A102,CSV!$A:$A,CSV!K:K,""),
_xlpm.MacVal,_xlfn.XLOOKUP($A102,Output_Mac!$A:$A,Output_Mac!K:K,""),
_xlpm.MyAuditVal,_xlfn.XLOOKUP($A102,My_Audit!$A:$A,My_Audit!J:J,""),
_xlfn.IFS(_xlpm.MyAuditVal&lt;&gt;"",UPPER(_xlpm.MyAuditVal),_xlpm.MacVal&lt;&gt;"",_xlpm.MacVal,_xlpm.CSVVal&lt;&gt;"",_xlpm.CSVVal
)),"")</f>
        <v/>
      </c>
      <c r="L102" s="2" t="str" cm="1">
        <f t="array" ref="L102">IFERROR(_xlfn.LET(
_xlpm.CSVVal,_xlfn.XLOOKUP($A102,CSV!$A:$A,CSV!P:P,""),
_xlpm.MacVal,_xlfn.XLOOKUP($A102,Output_Mac!$A:$A,Output_Mac!L:L,""),
_xlpm.MyAuditVal,_xlfn.XLOOKUP($A102,My_Audit!$A:$A,My_Audit!K:K,""),
_xlfn.IFS(_xlpm.MyAuditVal&lt;&gt;"",UPPER(_xlpm.MyAuditVal),_xlpm.MacVal&lt;&gt;"",_xlpm.MacVal,_xlpm.CSVVal&lt;&gt;"",_xlpm.CSVVal
)),"")</f>
        <v/>
      </c>
      <c r="M102" s="2" t="str" cm="1">
        <f t="array" ref="M102">IFERROR(_xlfn.LET(
_xlpm.CSVVal,_xlfn.XLOOKUP($A102,CSV!$A:$A,CSV!Q:Q,""),
_xlpm.MacVal,_xlfn.XLOOKUP($A102,Output_Mac!$A:$A,Output_Mac!M:M,""),
_xlpm.MyAuditVal,_xlfn.XLOOKUP($A102,My_Audit!$A:$A,My_Audit!L:L,""),
_xlfn.IFS(_xlpm.MyAuditVal&lt;&gt;"",UPPER(_xlpm.MyAuditVal),_xlpm.MacVal&lt;&gt;"",_xlpm.MacVal,_xlpm.CSVVal&lt;&gt;"",_xlpm.CSVVal
)),"")</f>
        <v/>
      </c>
      <c r="O102" s="2" t="str">
        <f>_xlfn.LET(
    _xlpm.CSVVal, _xlfn.XLOOKUP($A102, CSV!$A:$A, CSV!AA:AA, ""),
    _xlpm.MacVal, _xlfn.XLOOKUP($A102, Output_Mac!$A:$A, Output_Mac!S:S, ""),
    _xlpm.MyAuditVal, _xlfn.XLOOKUP($A102, My_Audit!$A:$A, My_Audit!P:P, ""),
    _xlfn.TEXTJOIN(", ", TRUE, _xlpm.MyAuditVal, _xlpm.MacVal, _xlpm.CSVVal)
)</f>
        <v/>
      </c>
      <c r="P102" s="2" t="str" cm="1">
        <f t="array" ref="P102">IFERROR(_xlfn.LET(
_xlpm.CSVVal,_xlfn.XLOOKUP($A102,CSV!$A:$A,CSV!AB:AB,""),
_xlpm.MacVal,_xlfn.XLOOKUP($A102,Output_Mac!$A:$A,Output_Mac!T:T,""),
_xlpm.MyAuditVal,_xlfn.XLOOKUP($A102,My_Audit!$A:$A,My_Audit!Q:Q,""),
_xlfn.IFS(_xlpm.MyAuditVal&lt;&gt;"",UPPER(_xlpm.MyAuditVal),_xlpm.MacVal&lt;&gt;"",_xlpm.MacVal,_xlpm.CSVVal&lt;&gt;"",_xlpm.CSVVal
)),"No")</f>
        <v>No</v>
      </c>
      <c r="Q102" s="2" t="str" cm="1">
        <f t="array" ref="Q102">IFERROR(_xlfn.LET(
_xlpm.CSVVal,_xlfn.XLOOKUP($A102,CSV!$A:$A,CSV!AC:AC,""),
_xlpm.MacVal,_xlfn.XLOOKUP($A102,Output_Mac!$A:$A,Output_Mac!U:U,""),
_xlpm.MyAuditVal,_xlfn.XLOOKUP($A102,My_Audit!$A:$A,My_Audit!R:R,""),
_xlfn.IFS(_xlpm.MyAuditVal&lt;&gt;"",UPPER(_xlpm.MyAuditVal),_xlpm.MacVal&lt;&gt;"",_xlpm.MacVal,_xlpm.CSVVal&lt;&gt;"",_xlpm.CSVVal
)),"")</f>
        <v/>
      </c>
      <c r="X102" t="str">
        <f>_xlfn.LET(
    _xlpm.MacVal, _xlfn.XLOOKUP($A102, Output_Mac!$A:$A, Output_Mac!AB:AB, ""),
    _xlpm.MyAuditVal, _xlfn.XLOOKUP($A102, My_Audit!$A:$A, My_Audit!N:N, ""),
    _xlfn.TEXTJOIN(", ", TRUE, _xlpm.MyAuditVal, _xlpm.MacVal)
)</f>
        <v/>
      </c>
    </row>
    <row r="103" spans="1:24">
      <c r="A103" s="2" t="str">
        <f>_xlfn.TEXTJOIN("",TRUE,Input!$B$2,ROW(My_Audit!A102))</f>
        <v>X102</v>
      </c>
      <c r="B103" s="2" t="str">
        <f>_xlfn.TEXTJOIN("-",TRUE,"ITD",Input!$A$2,A103)</f>
        <v>ITD-SHR-X102</v>
      </c>
      <c r="C103" s="2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2" t="str" cm="1">
        <f t="array" ref="D103">IFERROR(_xlfn.LET(
_xlpm.CSVVal,_xlfn.XLOOKUP($A103,CSV!$A:$A,CSV!D:D,""),
_xlpm.MacVal,_xlfn.XLOOKUP($A103,Output_Mac!$A:$A,Output_Mac!C:C,""),
_xlpm.MyAuditVal,_xlfn.XLOOKUP($A103,My_Audit!$A:$A,My_Audit!C:C,""),
_xlfn.IFS(_xlpm.MyAuditVal&lt;&gt;"",_xlpm.MyAuditVal,_xlpm.MacVal&lt;&gt;"",_xlpm.MacVal,_xlpm.CSVVal&lt;&gt;"",_xlpm.CSVVal
)),"")</f>
        <v/>
      </c>
      <c r="E103" s="2" t="str">
        <f>_xlfn.XLOOKUP(A103,My_Audit!A:A,My_Audit!D:D,"")</f>
        <v/>
      </c>
      <c r="F103" s="2" t="str" cm="1">
        <f t="array" ref="F103">IFERROR(_xlfn.LET(
_xlpm.CSVVal,_xlfn.XLOOKUP($A103,CSV!$A:$A,CSV!F:F,""),
_xlpm.MacVal,_xlfn.XLOOKUP($A103,Output_Mac!$A:$A,Output_Mac!E:E,""),
_xlpm.MyAuditVal,_xlfn.XLOOKUP($A103,My_Audit!$A:$A,My_Audit!E:E,""),
_xlfn.IFS(_xlpm.MyAuditVal&lt;&gt;"",_xlpm.MyAuditVal,_xlpm.MacVal&lt;&gt;"",_xlpm.MacVal,_xlpm.CSVVal&lt;&gt;"",_xlpm.CSVVal
)),"")</f>
        <v/>
      </c>
      <c r="G103" s="2" t="str" cm="1">
        <f t="array" ref="G103">IFERROR(_xlfn.LET(
_xlpm.CSVVal,_xlfn.XLOOKUP($A103,CSV!$A:$A,CSV!G:G,""),
_xlpm.MacVal,_xlfn.XLOOKUP($A103,Output_Mac!$A:$A,Output_Mac!F:F,""),
_xlpm.MyAuditVal,_xlfn.XLOOKUP($A103,My_Audit!$A:$A,My_Audit!F:F,""),
_xlfn.IFS(_xlpm.MyAuditVal&lt;&gt;"",_xlpm.MyAuditVal,_xlpm.MacVal&lt;&gt;"",_xlpm.MacVal,_xlpm.CSVVal&lt;&gt;"",PROPER(_xlpm.CSVVal)
)),"")</f>
        <v/>
      </c>
      <c r="H103" s="2" t="str" cm="1">
        <f t="array" ref="H103">IFERROR(_xlfn.LET(
_xlpm.CSVVal,_xlfn.XLOOKUP($A103,CSV!$A:$A,CSV!H:H,""),
_xlpm.MacVal,_xlfn.XLOOKUP($A103,Output_Mac!$A:$A,Output_Mac!H:H,""),
_xlpm.MyAuditVal,_xlfn.XLOOKUP($A103,My_Audit!$A:$A,My_Audit!G:G,""),
_xlfn.IFS(_xlpm.MyAuditVal&lt;&gt;"",_xlpm.MyAuditVal,_xlpm.MacVal&lt;&gt;"",_xlpm.MacVal,_xlpm.CSVVal&lt;&gt;"",_xlpm.CSVVal
)),"")</f>
        <v/>
      </c>
      <c r="I103" s="2" t="str">
        <f>_xlfn.XLOOKUP(A103,Output_Mac!A:A,Output_Mac!I:I,"")</f>
        <v/>
      </c>
      <c r="J103" s="2" t="str" cm="1">
        <f t="array" ref="J103">IFERROR(_xlfn.LET(
_xlpm.CSVVal,_xlfn.XLOOKUP($A103,CSV!$A:$A,CSV!I:I,""),
_xlpm.MacVal,_xlfn.XLOOKUP($A103,Output_Mac!$A:$A,Output_Mac!J:J,""),
_xlpm.MyAuditVal,_xlfn.XLOOKUP($A103,My_Audit!$A:$A,My_Audit!I:I,""),
_xlfn.IFS(_xlpm.MyAuditVal&lt;&gt;"",UPPER(_xlpm.MyAuditVal),_xlpm.MacVal&lt;&gt;"",_xlpm.MacVal,_xlpm.CSVVal&lt;&gt;"",_xlpm.CSVVal
)),"")</f>
        <v/>
      </c>
      <c r="K103" s="2" t="str" cm="1">
        <f t="array" ref="K103">IFERROR(_xlfn.LET(
_xlpm.CSVVal,_xlfn.XLOOKUP($A103,CSV!$A:$A,CSV!K:K,""),
_xlpm.MacVal,_xlfn.XLOOKUP($A103,Output_Mac!$A:$A,Output_Mac!K:K,""),
_xlpm.MyAuditVal,_xlfn.XLOOKUP($A103,My_Audit!$A:$A,My_Audit!J:J,""),
_xlfn.IFS(_xlpm.MyAuditVal&lt;&gt;"",UPPER(_xlpm.MyAuditVal),_xlpm.MacVal&lt;&gt;"",_xlpm.MacVal,_xlpm.CSVVal&lt;&gt;"",_xlpm.CSVVal
)),"")</f>
        <v/>
      </c>
      <c r="L103" s="2" t="str" cm="1">
        <f t="array" ref="L103">IFERROR(_xlfn.LET(
_xlpm.CSVVal,_xlfn.XLOOKUP($A103,CSV!$A:$A,CSV!P:P,""),
_xlpm.MacVal,_xlfn.XLOOKUP($A103,Output_Mac!$A:$A,Output_Mac!L:L,""),
_xlpm.MyAuditVal,_xlfn.XLOOKUP($A103,My_Audit!$A:$A,My_Audit!K:K,""),
_xlfn.IFS(_xlpm.MyAuditVal&lt;&gt;"",UPPER(_xlpm.MyAuditVal),_xlpm.MacVal&lt;&gt;"",_xlpm.MacVal,_xlpm.CSVVal&lt;&gt;"",_xlpm.CSVVal
)),"")</f>
        <v/>
      </c>
      <c r="M103" s="2" t="str" cm="1">
        <f t="array" ref="M103">IFERROR(_xlfn.LET(
_xlpm.CSVVal,_xlfn.XLOOKUP($A103,CSV!$A:$A,CSV!Q:Q,""),
_xlpm.MacVal,_xlfn.XLOOKUP($A103,Output_Mac!$A:$A,Output_Mac!M:M,""),
_xlpm.MyAuditVal,_xlfn.XLOOKUP($A103,My_Audit!$A:$A,My_Audit!L:L,""),
_xlfn.IFS(_xlpm.MyAuditVal&lt;&gt;"",UPPER(_xlpm.MyAuditVal),_xlpm.MacVal&lt;&gt;"",_xlpm.MacVal,_xlpm.CSVVal&lt;&gt;"",_xlpm.CSVVal
)),"")</f>
        <v/>
      </c>
      <c r="O103" s="2" t="str">
        <f>_xlfn.LET(
    _xlpm.CSVVal, _xlfn.XLOOKUP($A103, CSV!$A:$A, CSV!AA:AA, ""),
    _xlpm.MacVal, _xlfn.XLOOKUP($A103, Output_Mac!$A:$A, Output_Mac!S:S, ""),
    _xlpm.MyAuditVal, _xlfn.XLOOKUP($A103, My_Audit!$A:$A, My_Audit!P:P, ""),
    _xlfn.TEXTJOIN(", ", TRUE, _xlpm.MyAuditVal, _xlpm.MacVal, _xlpm.CSVVal)
)</f>
        <v/>
      </c>
      <c r="P103" s="2" t="str" cm="1">
        <f t="array" ref="P103">IFERROR(_xlfn.LET(
_xlpm.CSVVal,_xlfn.XLOOKUP($A103,CSV!$A:$A,CSV!AB:AB,""),
_xlpm.MacVal,_xlfn.XLOOKUP($A103,Output_Mac!$A:$A,Output_Mac!T:T,""),
_xlpm.MyAuditVal,_xlfn.XLOOKUP($A103,My_Audit!$A:$A,My_Audit!Q:Q,""),
_xlfn.IFS(_xlpm.MyAuditVal&lt;&gt;"",UPPER(_xlpm.MyAuditVal),_xlpm.MacVal&lt;&gt;"",_xlpm.MacVal,_xlpm.CSVVal&lt;&gt;"",_xlpm.CSVVal
)),"No")</f>
        <v>No</v>
      </c>
      <c r="Q103" s="2" t="str" cm="1">
        <f t="array" ref="Q103">IFERROR(_xlfn.LET(
_xlpm.CSVVal,_xlfn.XLOOKUP($A103,CSV!$A:$A,CSV!AC:AC,""),
_xlpm.MacVal,_xlfn.XLOOKUP($A103,Output_Mac!$A:$A,Output_Mac!U:U,""),
_xlpm.MyAuditVal,_xlfn.XLOOKUP($A103,My_Audit!$A:$A,My_Audit!R:R,""),
_xlfn.IFS(_xlpm.MyAuditVal&lt;&gt;"",UPPER(_xlpm.MyAuditVal),_xlpm.MacVal&lt;&gt;"",_xlpm.MacVal,_xlpm.CSVVal&lt;&gt;"",_xlpm.CSVVal
)),"")</f>
        <v/>
      </c>
      <c r="X103" t="str">
        <f>_xlfn.LET(
    _xlpm.MacVal, _xlfn.XLOOKUP($A103, Output_Mac!$A:$A, Output_Mac!AB:AB, ""),
    _xlpm.MyAuditVal, _xlfn.XLOOKUP($A103, My_Audit!$A:$A, My_Audit!N:N, ""),
    _xlfn.TEXTJOIN(", ", TRUE, _xlpm.MyAuditVal, _xlpm.MacVal)
)</f>
        <v/>
      </c>
    </row>
    <row r="104" spans="1:24">
      <c r="A104" s="2" t="str">
        <f>_xlfn.TEXTJOIN("",TRUE,Input!$B$2,ROW(My_Audit!A103))</f>
        <v>X103</v>
      </c>
      <c r="B104" s="2" t="str">
        <f>_xlfn.TEXTJOIN("-",TRUE,"ITD",Input!$A$2,A104)</f>
        <v>ITD-SHR-X103</v>
      </c>
      <c r="C104" s="2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2" t="str" cm="1">
        <f t="array" ref="D104">IFERROR(_xlfn.LET(
_xlpm.CSVVal,_xlfn.XLOOKUP($A104,CSV!$A:$A,CSV!D:D,""),
_xlpm.MacVal,_xlfn.XLOOKUP($A104,Output_Mac!$A:$A,Output_Mac!C:C,""),
_xlpm.MyAuditVal,_xlfn.XLOOKUP($A104,My_Audit!$A:$A,My_Audit!C:C,""),
_xlfn.IFS(_xlpm.MyAuditVal&lt;&gt;"",_xlpm.MyAuditVal,_xlpm.MacVal&lt;&gt;"",_xlpm.MacVal,_xlpm.CSVVal&lt;&gt;"",_xlpm.CSVVal
)),"")</f>
        <v/>
      </c>
      <c r="E104" s="2" t="str">
        <f>_xlfn.XLOOKUP(A104,My_Audit!A:A,My_Audit!D:D,"")</f>
        <v/>
      </c>
      <c r="F104" s="2" t="str" cm="1">
        <f t="array" ref="F104">IFERROR(_xlfn.LET(
_xlpm.CSVVal,_xlfn.XLOOKUP($A104,CSV!$A:$A,CSV!F:F,""),
_xlpm.MacVal,_xlfn.XLOOKUP($A104,Output_Mac!$A:$A,Output_Mac!E:E,""),
_xlpm.MyAuditVal,_xlfn.XLOOKUP($A104,My_Audit!$A:$A,My_Audit!E:E,""),
_xlfn.IFS(_xlpm.MyAuditVal&lt;&gt;"",_xlpm.MyAuditVal,_xlpm.MacVal&lt;&gt;"",_xlpm.MacVal,_xlpm.CSVVal&lt;&gt;"",_xlpm.CSVVal
)),"")</f>
        <v/>
      </c>
      <c r="G104" s="2" t="str" cm="1">
        <f t="array" ref="G104">IFERROR(_xlfn.LET(
_xlpm.CSVVal,_xlfn.XLOOKUP($A104,CSV!$A:$A,CSV!G:G,""),
_xlpm.MacVal,_xlfn.XLOOKUP($A104,Output_Mac!$A:$A,Output_Mac!F:F,""),
_xlpm.MyAuditVal,_xlfn.XLOOKUP($A104,My_Audit!$A:$A,My_Audit!F:F,""),
_xlfn.IFS(_xlpm.MyAuditVal&lt;&gt;"",_xlpm.MyAuditVal,_xlpm.MacVal&lt;&gt;"",_xlpm.MacVal,_xlpm.CSVVal&lt;&gt;"",PROPER(_xlpm.CSVVal)
)),"")</f>
        <v/>
      </c>
      <c r="H104" s="2" t="str" cm="1">
        <f t="array" ref="H104">IFERROR(_xlfn.LET(
_xlpm.CSVVal,_xlfn.XLOOKUP($A104,CSV!$A:$A,CSV!H:H,""),
_xlpm.MacVal,_xlfn.XLOOKUP($A104,Output_Mac!$A:$A,Output_Mac!H:H,""),
_xlpm.MyAuditVal,_xlfn.XLOOKUP($A104,My_Audit!$A:$A,My_Audit!G:G,""),
_xlfn.IFS(_xlpm.MyAuditVal&lt;&gt;"",_xlpm.MyAuditVal,_xlpm.MacVal&lt;&gt;"",_xlpm.MacVal,_xlpm.CSVVal&lt;&gt;"",_xlpm.CSVVal
)),"")</f>
        <v/>
      </c>
      <c r="I104" s="2" t="str">
        <f>_xlfn.XLOOKUP(A104,Output_Mac!A:A,Output_Mac!I:I,"")</f>
        <v/>
      </c>
      <c r="J104" s="2" t="str" cm="1">
        <f t="array" ref="J104">IFERROR(_xlfn.LET(
_xlpm.CSVVal,_xlfn.XLOOKUP($A104,CSV!$A:$A,CSV!I:I,""),
_xlpm.MacVal,_xlfn.XLOOKUP($A104,Output_Mac!$A:$A,Output_Mac!J:J,""),
_xlpm.MyAuditVal,_xlfn.XLOOKUP($A104,My_Audit!$A:$A,My_Audit!I:I,""),
_xlfn.IFS(_xlpm.MyAuditVal&lt;&gt;"",UPPER(_xlpm.MyAuditVal),_xlpm.MacVal&lt;&gt;"",_xlpm.MacVal,_xlpm.CSVVal&lt;&gt;"",_xlpm.CSVVal
)),"")</f>
        <v/>
      </c>
      <c r="K104" s="2" t="str" cm="1">
        <f t="array" ref="K104">IFERROR(_xlfn.LET(
_xlpm.CSVVal,_xlfn.XLOOKUP($A104,CSV!$A:$A,CSV!K:K,""),
_xlpm.MacVal,_xlfn.XLOOKUP($A104,Output_Mac!$A:$A,Output_Mac!K:K,""),
_xlpm.MyAuditVal,_xlfn.XLOOKUP($A104,My_Audit!$A:$A,My_Audit!J:J,""),
_xlfn.IFS(_xlpm.MyAuditVal&lt;&gt;"",UPPER(_xlpm.MyAuditVal),_xlpm.MacVal&lt;&gt;"",_xlpm.MacVal,_xlpm.CSVVal&lt;&gt;"",_xlpm.CSVVal
)),"")</f>
        <v/>
      </c>
      <c r="L104" s="2" t="str" cm="1">
        <f t="array" ref="L104">IFERROR(_xlfn.LET(
_xlpm.CSVVal,_xlfn.XLOOKUP($A104,CSV!$A:$A,CSV!P:P,""),
_xlpm.MacVal,_xlfn.XLOOKUP($A104,Output_Mac!$A:$A,Output_Mac!L:L,""),
_xlpm.MyAuditVal,_xlfn.XLOOKUP($A104,My_Audit!$A:$A,My_Audit!K:K,""),
_xlfn.IFS(_xlpm.MyAuditVal&lt;&gt;"",UPPER(_xlpm.MyAuditVal),_xlpm.MacVal&lt;&gt;"",_xlpm.MacVal,_xlpm.CSVVal&lt;&gt;"",_xlpm.CSVVal
)),"")</f>
        <v/>
      </c>
      <c r="M104" s="2" t="str" cm="1">
        <f t="array" ref="M104">IFERROR(_xlfn.LET(
_xlpm.CSVVal,_xlfn.XLOOKUP($A104,CSV!$A:$A,CSV!Q:Q,""),
_xlpm.MacVal,_xlfn.XLOOKUP($A104,Output_Mac!$A:$A,Output_Mac!M:M,""),
_xlpm.MyAuditVal,_xlfn.XLOOKUP($A104,My_Audit!$A:$A,My_Audit!L:L,""),
_xlfn.IFS(_xlpm.MyAuditVal&lt;&gt;"",UPPER(_xlpm.MyAuditVal),_xlpm.MacVal&lt;&gt;"",_xlpm.MacVal,_xlpm.CSVVal&lt;&gt;"",_xlpm.CSVVal
)),"")</f>
        <v/>
      </c>
      <c r="O104" s="2" t="str">
        <f>_xlfn.LET(
    _xlpm.CSVVal, _xlfn.XLOOKUP($A104, CSV!$A:$A, CSV!AA:AA, ""),
    _xlpm.MacVal, _xlfn.XLOOKUP($A104, Output_Mac!$A:$A, Output_Mac!S:S, ""),
    _xlpm.MyAuditVal, _xlfn.XLOOKUP($A104, My_Audit!$A:$A, My_Audit!P:P, ""),
    _xlfn.TEXTJOIN(", ", TRUE, _xlpm.MyAuditVal, _xlpm.MacVal, _xlpm.CSVVal)
)</f>
        <v/>
      </c>
      <c r="P104" s="2" t="str" cm="1">
        <f t="array" ref="P104">IFERROR(_xlfn.LET(
_xlpm.CSVVal,_xlfn.XLOOKUP($A104,CSV!$A:$A,CSV!AB:AB,""),
_xlpm.MacVal,_xlfn.XLOOKUP($A104,Output_Mac!$A:$A,Output_Mac!T:T,""),
_xlpm.MyAuditVal,_xlfn.XLOOKUP($A104,My_Audit!$A:$A,My_Audit!Q:Q,""),
_xlfn.IFS(_xlpm.MyAuditVal&lt;&gt;"",UPPER(_xlpm.MyAuditVal),_xlpm.MacVal&lt;&gt;"",_xlpm.MacVal,_xlpm.CSVVal&lt;&gt;"",_xlpm.CSVVal
)),"No")</f>
        <v>No</v>
      </c>
      <c r="Q104" s="2" t="str" cm="1">
        <f t="array" ref="Q104">IFERROR(_xlfn.LET(
_xlpm.CSVVal,_xlfn.XLOOKUP($A104,CSV!$A:$A,CSV!AC:AC,""),
_xlpm.MacVal,_xlfn.XLOOKUP($A104,Output_Mac!$A:$A,Output_Mac!U:U,""),
_xlpm.MyAuditVal,_xlfn.XLOOKUP($A104,My_Audit!$A:$A,My_Audit!R:R,""),
_xlfn.IFS(_xlpm.MyAuditVal&lt;&gt;"",UPPER(_xlpm.MyAuditVal),_xlpm.MacVal&lt;&gt;"",_xlpm.MacVal,_xlpm.CSVVal&lt;&gt;"",_xlpm.CSVVal
)),"")</f>
        <v/>
      </c>
      <c r="X104" t="str">
        <f>_xlfn.LET(
    _xlpm.MacVal, _xlfn.XLOOKUP($A104, Output_Mac!$A:$A, Output_Mac!AB:AB, ""),
    _xlpm.MyAuditVal, _xlfn.XLOOKUP($A104, My_Audit!$A:$A, My_Audit!N:N, ""),
    _xlfn.TEXTJOIN(", ", TRUE, _xlpm.MyAuditVal, _xlpm.MacVal)
)</f>
        <v/>
      </c>
    </row>
    <row r="105" spans="1:24">
      <c r="A105" s="2" t="str">
        <f>_xlfn.TEXTJOIN("",TRUE,Input!$B$2,ROW(My_Audit!A104))</f>
        <v>X104</v>
      </c>
      <c r="B105" s="2" t="str">
        <f>_xlfn.TEXTJOIN("-",TRUE,"ITD",Input!$A$2,A105)</f>
        <v>ITD-SHR-X104</v>
      </c>
      <c r="C105" s="2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2" t="str" cm="1">
        <f t="array" ref="D105">IFERROR(_xlfn.LET(
_xlpm.CSVVal,_xlfn.XLOOKUP($A105,CSV!$A:$A,CSV!D:D,""),
_xlpm.MacVal,_xlfn.XLOOKUP($A105,Output_Mac!$A:$A,Output_Mac!C:C,""),
_xlpm.MyAuditVal,_xlfn.XLOOKUP($A105,My_Audit!$A:$A,My_Audit!C:C,""),
_xlfn.IFS(_xlpm.MyAuditVal&lt;&gt;"",_xlpm.MyAuditVal,_xlpm.MacVal&lt;&gt;"",_xlpm.MacVal,_xlpm.CSVVal&lt;&gt;"",_xlpm.CSVVal
)),"")</f>
        <v/>
      </c>
      <c r="E105" s="2" t="str">
        <f>_xlfn.XLOOKUP(A105,My_Audit!A:A,My_Audit!D:D,"")</f>
        <v/>
      </c>
      <c r="F105" s="2" t="str" cm="1">
        <f t="array" ref="F105">IFERROR(_xlfn.LET(
_xlpm.CSVVal,_xlfn.XLOOKUP($A105,CSV!$A:$A,CSV!F:F,""),
_xlpm.MacVal,_xlfn.XLOOKUP($A105,Output_Mac!$A:$A,Output_Mac!E:E,""),
_xlpm.MyAuditVal,_xlfn.XLOOKUP($A105,My_Audit!$A:$A,My_Audit!E:E,""),
_xlfn.IFS(_xlpm.MyAuditVal&lt;&gt;"",_xlpm.MyAuditVal,_xlpm.MacVal&lt;&gt;"",_xlpm.MacVal,_xlpm.CSVVal&lt;&gt;"",_xlpm.CSVVal
)),"")</f>
        <v/>
      </c>
      <c r="G105" s="2" t="str" cm="1">
        <f t="array" ref="G105">IFERROR(_xlfn.LET(
_xlpm.CSVVal,_xlfn.XLOOKUP($A105,CSV!$A:$A,CSV!G:G,""),
_xlpm.MacVal,_xlfn.XLOOKUP($A105,Output_Mac!$A:$A,Output_Mac!F:F,""),
_xlpm.MyAuditVal,_xlfn.XLOOKUP($A105,My_Audit!$A:$A,My_Audit!F:F,""),
_xlfn.IFS(_xlpm.MyAuditVal&lt;&gt;"",_xlpm.MyAuditVal,_xlpm.MacVal&lt;&gt;"",_xlpm.MacVal,_xlpm.CSVVal&lt;&gt;"",PROPER(_xlpm.CSVVal)
)),"")</f>
        <v/>
      </c>
      <c r="H105" s="2" t="str" cm="1">
        <f t="array" ref="H105">IFERROR(_xlfn.LET(
_xlpm.CSVVal,_xlfn.XLOOKUP($A105,CSV!$A:$A,CSV!H:H,""),
_xlpm.MacVal,_xlfn.XLOOKUP($A105,Output_Mac!$A:$A,Output_Mac!H:H,""),
_xlpm.MyAuditVal,_xlfn.XLOOKUP($A105,My_Audit!$A:$A,My_Audit!G:G,""),
_xlfn.IFS(_xlpm.MyAuditVal&lt;&gt;"",_xlpm.MyAuditVal,_xlpm.MacVal&lt;&gt;"",_xlpm.MacVal,_xlpm.CSVVal&lt;&gt;"",_xlpm.CSVVal
)),"")</f>
        <v/>
      </c>
      <c r="I105" s="2" t="str">
        <f>_xlfn.XLOOKUP(A105,Output_Mac!A:A,Output_Mac!I:I,"")</f>
        <v/>
      </c>
      <c r="J105" s="2" t="str" cm="1">
        <f t="array" ref="J105">IFERROR(_xlfn.LET(
_xlpm.CSVVal,_xlfn.XLOOKUP($A105,CSV!$A:$A,CSV!I:I,""),
_xlpm.MacVal,_xlfn.XLOOKUP($A105,Output_Mac!$A:$A,Output_Mac!J:J,""),
_xlpm.MyAuditVal,_xlfn.XLOOKUP($A105,My_Audit!$A:$A,My_Audit!I:I,""),
_xlfn.IFS(_xlpm.MyAuditVal&lt;&gt;"",UPPER(_xlpm.MyAuditVal),_xlpm.MacVal&lt;&gt;"",_xlpm.MacVal,_xlpm.CSVVal&lt;&gt;"",_xlpm.CSVVal
)),"")</f>
        <v/>
      </c>
      <c r="K105" s="2" t="str" cm="1">
        <f t="array" ref="K105">IFERROR(_xlfn.LET(
_xlpm.CSVVal,_xlfn.XLOOKUP($A105,CSV!$A:$A,CSV!K:K,""),
_xlpm.MacVal,_xlfn.XLOOKUP($A105,Output_Mac!$A:$A,Output_Mac!K:K,""),
_xlpm.MyAuditVal,_xlfn.XLOOKUP($A105,My_Audit!$A:$A,My_Audit!J:J,""),
_xlfn.IFS(_xlpm.MyAuditVal&lt;&gt;"",UPPER(_xlpm.MyAuditVal),_xlpm.MacVal&lt;&gt;"",_xlpm.MacVal,_xlpm.CSVVal&lt;&gt;"",_xlpm.CSVVal
)),"")</f>
        <v/>
      </c>
      <c r="L105" s="2" t="str" cm="1">
        <f t="array" ref="L105">IFERROR(_xlfn.LET(
_xlpm.CSVVal,_xlfn.XLOOKUP($A105,CSV!$A:$A,CSV!P:P,""),
_xlpm.MacVal,_xlfn.XLOOKUP($A105,Output_Mac!$A:$A,Output_Mac!L:L,""),
_xlpm.MyAuditVal,_xlfn.XLOOKUP($A105,My_Audit!$A:$A,My_Audit!K:K,""),
_xlfn.IFS(_xlpm.MyAuditVal&lt;&gt;"",UPPER(_xlpm.MyAuditVal),_xlpm.MacVal&lt;&gt;"",_xlpm.MacVal,_xlpm.CSVVal&lt;&gt;"",_xlpm.CSVVal
)),"")</f>
        <v/>
      </c>
      <c r="M105" s="2" t="str" cm="1">
        <f t="array" ref="M105">IFERROR(_xlfn.LET(
_xlpm.CSVVal,_xlfn.XLOOKUP($A105,CSV!$A:$A,CSV!Q:Q,""),
_xlpm.MacVal,_xlfn.XLOOKUP($A105,Output_Mac!$A:$A,Output_Mac!M:M,""),
_xlpm.MyAuditVal,_xlfn.XLOOKUP($A105,My_Audit!$A:$A,My_Audit!L:L,""),
_xlfn.IFS(_xlpm.MyAuditVal&lt;&gt;"",UPPER(_xlpm.MyAuditVal),_xlpm.MacVal&lt;&gt;"",_xlpm.MacVal,_xlpm.CSVVal&lt;&gt;"",_xlpm.CSVVal
)),"")</f>
        <v/>
      </c>
      <c r="O105" s="2" t="str">
        <f>_xlfn.LET(
    _xlpm.CSVVal, _xlfn.XLOOKUP($A105, CSV!$A:$A, CSV!AA:AA, ""),
    _xlpm.MacVal, _xlfn.XLOOKUP($A105, Output_Mac!$A:$A, Output_Mac!S:S, ""),
    _xlpm.MyAuditVal, _xlfn.XLOOKUP($A105, My_Audit!$A:$A, My_Audit!P:P, ""),
    _xlfn.TEXTJOIN(", ", TRUE, _xlpm.MyAuditVal, _xlpm.MacVal, _xlpm.CSVVal)
)</f>
        <v/>
      </c>
      <c r="P105" s="2" t="str" cm="1">
        <f t="array" ref="P105">IFERROR(_xlfn.LET(
_xlpm.CSVVal,_xlfn.XLOOKUP($A105,CSV!$A:$A,CSV!AB:AB,""),
_xlpm.MacVal,_xlfn.XLOOKUP($A105,Output_Mac!$A:$A,Output_Mac!T:T,""),
_xlpm.MyAuditVal,_xlfn.XLOOKUP($A105,My_Audit!$A:$A,My_Audit!Q:Q,""),
_xlfn.IFS(_xlpm.MyAuditVal&lt;&gt;"",UPPER(_xlpm.MyAuditVal),_xlpm.MacVal&lt;&gt;"",_xlpm.MacVal,_xlpm.CSVVal&lt;&gt;"",_xlpm.CSVVal
)),"No")</f>
        <v>No</v>
      </c>
      <c r="Q105" s="2" t="str" cm="1">
        <f t="array" ref="Q105">IFERROR(_xlfn.LET(
_xlpm.CSVVal,_xlfn.XLOOKUP($A105,CSV!$A:$A,CSV!AC:AC,""),
_xlpm.MacVal,_xlfn.XLOOKUP($A105,Output_Mac!$A:$A,Output_Mac!U:U,""),
_xlpm.MyAuditVal,_xlfn.XLOOKUP($A105,My_Audit!$A:$A,My_Audit!R:R,""),
_xlfn.IFS(_xlpm.MyAuditVal&lt;&gt;"",UPPER(_xlpm.MyAuditVal),_xlpm.MacVal&lt;&gt;"",_xlpm.MacVal,_xlpm.CSVVal&lt;&gt;"",_xlpm.CSVVal
)),"")</f>
        <v/>
      </c>
      <c r="X105" t="str">
        <f>_xlfn.LET(
    _xlpm.MacVal, _xlfn.XLOOKUP($A105, Output_Mac!$A:$A, Output_Mac!AB:AB, ""),
    _xlpm.MyAuditVal, _xlfn.XLOOKUP($A105, My_Audit!$A:$A, My_Audit!N:N, ""),
    _xlfn.TEXTJOIN(", ", TRUE, _xlpm.MyAuditVal, _xlpm.MacVal)
)</f>
        <v/>
      </c>
    </row>
    <row r="106" spans="1:24">
      <c r="A106" s="2" t="str">
        <f>_xlfn.TEXTJOIN("",TRUE,Input!$B$2,ROW(My_Audit!A105))</f>
        <v>X105</v>
      </c>
      <c r="B106" s="2" t="str">
        <f>_xlfn.TEXTJOIN("-",TRUE,"ITD",Input!$A$2,A106)</f>
        <v>ITD-SHR-X105</v>
      </c>
      <c r="C106" s="2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2" t="str" cm="1">
        <f t="array" ref="D106">IFERROR(_xlfn.LET(
_xlpm.CSVVal,_xlfn.XLOOKUP($A106,CSV!$A:$A,CSV!D:D,""),
_xlpm.MacVal,_xlfn.XLOOKUP($A106,Output_Mac!$A:$A,Output_Mac!C:C,""),
_xlpm.MyAuditVal,_xlfn.XLOOKUP($A106,My_Audit!$A:$A,My_Audit!C:C,""),
_xlfn.IFS(_xlpm.MyAuditVal&lt;&gt;"",_xlpm.MyAuditVal,_xlpm.MacVal&lt;&gt;"",_xlpm.MacVal,_xlpm.CSVVal&lt;&gt;"",_xlpm.CSVVal
)),"")</f>
        <v/>
      </c>
      <c r="E106" s="2" t="str">
        <f>_xlfn.XLOOKUP(A106,My_Audit!A:A,My_Audit!D:D,"")</f>
        <v/>
      </c>
      <c r="F106" s="2" t="str" cm="1">
        <f t="array" ref="F106">IFERROR(_xlfn.LET(
_xlpm.CSVVal,_xlfn.XLOOKUP($A106,CSV!$A:$A,CSV!F:F,""),
_xlpm.MacVal,_xlfn.XLOOKUP($A106,Output_Mac!$A:$A,Output_Mac!E:E,""),
_xlpm.MyAuditVal,_xlfn.XLOOKUP($A106,My_Audit!$A:$A,My_Audit!E:E,""),
_xlfn.IFS(_xlpm.MyAuditVal&lt;&gt;"",_xlpm.MyAuditVal,_xlpm.MacVal&lt;&gt;"",_xlpm.MacVal,_xlpm.CSVVal&lt;&gt;"",_xlpm.CSVVal
)),"")</f>
        <v/>
      </c>
      <c r="G106" s="2" t="str" cm="1">
        <f t="array" ref="G106">IFERROR(_xlfn.LET(
_xlpm.CSVVal,_xlfn.XLOOKUP($A106,CSV!$A:$A,CSV!G:G,""),
_xlpm.MacVal,_xlfn.XLOOKUP($A106,Output_Mac!$A:$A,Output_Mac!F:F,""),
_xlpm.MyAuditVal,_xlfn.XLOOKUP($A106,My_Audit!$A:$A,My_Audit!F:F,""),
_xlfn.IFS(_xlpm.MyAuditVal&lt;&gt;"",_xlpm.MyAuditVal,_xlpm.MacVal&lt;&gt;"",_xlpm.MacVal,_xlpm.CSVVal&lt;&gt;"",PROPER(_xlpm.CSVVal)
)),"")</f>
        <v/>
      </c>
      <c r="H106" s="2" t="str" cm="1">
        <f t="array" ref="H106">IFERROR(_xlfn.LET(
_xlpm.CSVVal,_xlfn.XLOOKUP($A106,CSV!$A:$A,CSV!H:H,""),
_xlpm.MacVal,_xlfn.XLOOKUP($A106,Output_Mac!$A:$A,Output_Mac!H:H,""),
_xlpm.MyAuditVal,_xlfn.XLOOKUP($A106,My_Audit!$A:$A,My_Audit!G:G,""),
_xlfn.IFS(_xlpm.MyAuditVal&lt;&gt;"",_xlpm.MyAuditVal,_xlpm.MacVal&lt;&gt;"",_xlpm.MacVal,_xlpm.CSVVal&lt;&gt;"",_xlpm.CSVVal
)),"")</f>
        <v/>
      </c>
      <c r="I106" s="2" t="str">
        <f>_xlfn.XLOOKUP(A106,Output_Mac!A:A,Output_Mac!I:I,"")</f>
        <v/>
      </c>
      <c r="J106" s="2" t="str" cm="1">
        <f t="array" ref="J106">IFERROR(_xlfn.LET(
_xlpm.CSVVal,_xlfn.XLOOKUP($A106,CSV!$A:$A,CSV!I:I,""),
_xlpm.MacVal,_xlfn.XLOOKUP($A106,Output_Mac!$A:$A,Output_Mac!J:J,""),
_xlpm.MyAuditVal,_xlfn.XLOOKUP($A106,My_Audit!$A:$A,My_Audit!I:I,""),
_xlfn.IFS(_xlpm.MyAuditVal&lt;&gt;"",UPPER(_xlpm.MyAuditVal),_xlpm.MacVal&lt;&gt;"",_xlpm.MacVal,_xlpm.CSVVal&lt;&gt;"",_xlpm.CSVVal
)),"")</f>
        <v/>
      </c>
      <c r="K106" s="2" t="str" cm="1">
        <f t="array" ref="K106">IFERROR(_xlfn.LET(
_xlpm.CSVVal,_xlfn.XLOOKUP($A106,CSV!$A:$A,CSV!K:K,""),
_xlpm.MacVal,_xlfn.XLOOKUP($A106,Output_Mac!$A:$A,Output_Mac!K:K,""),
_xlpm.MyAuditVal,_xlfn.XLOOKUP($A106,My_Audit!$A:$A,My_Audit!J:J,""),
_xlfn.IFS(_xlpm.MyAuditVal&lt;&gt;"",UPPER(_xlpm.MyAuditVal),_xlpm.MacVal&lt;&gt;"",_xlpm.MacVal,_xlpm.CSVVal&lt;&gt;"",_xlpm.CSVVal
)),"")</f>
        <v/>
      </c>
      <c r="L106" s="2" t="str" cm="1">
        <f t="array" ref="L106">IFERROR(_xlfn.LET(
_xlpm.CSVVal,_xlfn.XLOOKUP($A106,CSV!$A:$A,CSV!P:P,""),
_xlpm.MacVal,_xlfn.XLOOKUP($A106,Output_Mac!$A:$A,Output_Mac!L:L,""),
_xlpm.MyAuditVal,_xlfn.XLOOKUP($A106,My_Audit!$A:$A,My_Audit!K:K,""),
_xlfn.IFS(_xlpm.MyAuditVal&lt;&gt;"",UPPER(_xlpm.MyAuditVal),_xlpm.MacVal&lt;&gt;"",_xlpm.MacVal,_xlpm.CSVVal&lt;&gt;"",_xlpm.CSVVal
)),"")</f>
        <v/>
      </c>
      <c r="M106" s="2" t="str" cm="1">
        <f t="array" ref="M106">IFERROR(_xlfn.LET(
_xlpm.CSVVal,_xlfn.XLOOKUP($A106,CSV!$A:$A,CSV!Q:Q,""),
_xlpm.MacVal,_xlfn.XLOOKUP($A106,Output_Mac!$A:$A,Output_Mac!M:M,""),
_xlpm.MyAuditVal,_xlfn.XLOOKUP($A106,My_Audit!$A:$A,My_Audit!L:L,""),
_xlfn.IFS(_xlpm.MyAuditVal&lt;&gt;"",UPPER(_xlpm.MyAuditVal),_xlpm.MacVal&lt;&gt;"",_xlpm.MacVal,_xlpm.CSVVal&lt;&gt;"",_xlpm.CSVVal
)),"")</f>
        <v/>
      </c>
      <c r="O106" s="2" t="str">
        <f>_xlfn.LET(
    _xlpm.CSVVal, _xlfn.XLOOKUP($A106, CSV!$A:$A, CSV!AA:AA, ""),
    _xlpm.MacVal, _xlfn.XLOOKUP($A106, Output_Mac!$A:$A, Output_Mac!S:S, ""),
    _xlpm.MyAuditVal, _xlfn.XLOOKUP($A106, My_Audit!$A:$A, My_Audit!P:P, ""),
    _xlfn.TEXTJOIN(", ", TRUE, _xlpm.MyAuditVal, _xlpm.MacVal, _xlpm.CSVVal)
)</f>
        <v/>
      </c>
      <c r="P106" s="2" t="str" cm="1">
        <f t="array" ref="P106">IFERROR(_xlfn.LET(
_xlpm.CSVVal,_xlfn.XLOOKUP($A106,CSV!$A:$A,CSV!AB:AB,""),
_xlpm.MacVal,_xlfn.XLOOKUP($A106,Output_Mac!$A:$A,Output_Mac!T:T,""),
_xlpm.MyAuditVal,_xlfn.XLOOKUP($A106,My_Audit!$A:$A,My_Audit!Q:Q,""),
_xlfn.IFS(_xlpm.MyAuditVal&lt;&gt;"",UPPER(_xlpm.MyAuditVal),_xlpm.MacVal&lt;&gt;"",_xlpm.MacVal,_xlpm.CSVVal&lt;&gt;"",_xlpm.CSVVal
)),"No")</f>
        <v>No</v>
      </c>
      <c r="Q106" s="2" t="str" cm="1">
        <f t="array" ref="Q106">IFERROR(_xlfn.LET(
_xlpm.CSVVal,_xlfn.XLOOKUP($A106,CSV!$A:$A,CSV!AC:AC,""),
_xlpm.MacVal,_xlfn.XLOOKUP($A106,Output_Mac!$A:$A,Output_Mac!U:U,""),
_xlpm.MyAuditVal,_xlfn.XLOOKUP($A106,My_Audit!$A:$A,My_Audit!R:R,""),
_xlfn.IFS(_xlpm.MyAuditVal&lt;&gt;"",UPPER(_xlpm.MyAuditVal),_xlpm.MacVal&lt;&gt;"",_xlpm.MacVal,_xlpm.CSVVal&lt;&gt;"",_xlpm.CSVVal
)),"")</f>
        <v/>
      </c>
      <c r="X106" t="str">
        <f>_xlfn.LET(
    _xlpm.MacVal, _xlfn.XLOOKUP($A106, Output_Mac!$A:$A, Output_Mac!AB:AB, ""),
    _xlpm.MyAuditVal, _xlfn.XLOOKUP($A106, My_Audit!$A:$A, My_Audit!N:N, ""),
    _xlfn.TEXTJOIN(", ", TRUE, _xlpm.MyAuditVal, _xlpm.MacVal)
)</f>
        <v/>
      </c>
    </row>
    <row r="107" spans="1:24">
      <c r="A107" s="2" t="str">
        <f>_xlfn.TEXTJOIN("",TRUE,Input!$B$2,ROW(My_Audit!A106))</f>
        <v>X106</v>
      </c>
      <c r="B107" s="2" t="str">
        <f>_xlfn.TEXTJOIN("-",TRUE,"ITD",Input!$A$2,A107)</f>
        <v>ITD-SHR-X106</v>
      </c>
      <c r="C107" s="2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2" t="str" cm="1">
        <f t="array" ref="D107">IFERROR(_xlfn.LET(
_xlpm.CSVVal,_xlfn.XLOOKUP($A107,CSV!$A:$A,CSV!D:D,""),
_xlpm.MacVal,_xlfn.XLOOKUP($A107,Output_Mac!$A:$A,Output_Mac!C:C,""),
_xlpm.MyAuditVal,_xlfn.XLOOKUP($A107,My_Audit!$A:$A,My_Audit!C:C,""),
_xlfn.IFS(_xlpm.MyAuditVal&lt;&gt;"",_xlpm.MyAuditVal,_xlpm.MacVal&lt;&gt;"",_xlpm.MacVal,_xlpm.CSVVal&lt;&gt;"",_xlpm.CSVVal
)),"")</f>
        <v/>
      </c>
      <c r="E107" s="2" t="str">
        <f>_xlfn.XLOOKUP(A107,My_Audit!A:A,My_Audit!D:D,"")</f>
        <v/>
      </c>
      <c r="F107" s="2" t="str" cm="1">
        <f t="array" ref="F107">IFERROR(_xlfn.LET(
_xlpm.CSVVal,_xlfn.XLOOKUP($A107,CSV!$A:$A,CSV!F:F,""),
_xlpm.MacVal,_xlfn.XLOOKUP($A107,Output_Mac!$A:$A,Output_Mac!E:E,""),
_xlpm.MyAuditVal,_xlfn.XLOOKUP($A107,My_Audit!$A:$A,My_Audit!E:E,""),
_xlfn.IFS(_xlpm.MyAuditVal&lt;&gt;"",_xlpm.MyAuditVal,_xlpm.MacVal&lt;&gt;"",_xlpm.MacVal,_xlpm.CSVVal&lt;&gt;"",_xlpm.CSVVal
)),"")</f>
        <v/>
      </c>
      <c r="G107" s="2" t="str" cm="1">
        <f t="array" ref="G107">IFERROR(_xlfn.LET(
_xlpm.CSVVal,_xlfn.XLOOKUP($A107,CSV!$A:$A,CSV!G:G,""),
_xlpm.MacVal,_xlfn.XLOOKUP($A107,Output_Mac!$A:$A,Output_Mac!F:F,""),
_xlpm.MyAuditVal,_xlfn.XLOOKUP($A107,My_Audit!$A:$A,My_Audit!F:F,""),
_xlfn.IFS(_xlpm.MyAuditVal&lt;&gt;"",_xlpm.MyAuditVal,_xlpm.MacVal&lt;&gt;"",_xlpm.MacVal,_xlpm.CSVVal&lt;&gt;"",PROPER(_xlpm.CSVVal)
)),"")</f>
        <v/>
      </c>
      <c r="H107" s="2" t="str" cm="1">
        <f t="array" ref="H107">IFERROR(_xlfn.LET(
_xlpm.CSVVal,_xlfn.XLOOKUP($A107,CSV!$A:$A,CSV!H:H,""),
_xlpm.MacVal,_xlfn.XLOOKUP($A107,Output_Mac!$A:$A,Output_Mac!H:H,""),
_xlpm.MyAuditVal,_xlfn.XLOOKUP($A107,My_Audit!$A:$A,My_Audit!G:G,""),
_xlfn.IFS(_xlpm.MyAuditVal&lt;&gt;"",_xlpm.MyAuditVal,_xlpm.MacVal&lt;&gt;"",_xlpm.MacVal,_xlpm.CSVVal&lt;&gt;"",_xlpm.CSVVal
)),"")</f>
        <v/>
      </c>
      <c r="I107" s="2" t="str">
        <f>_xlfn.XLOOKUP(A107,Output_Mac!A:A,Output_Mac!I:I,"")</f>
        <v/>
      </c>
      <c r="J107" s="2" t="str" cm="1">
        <f t="array" ref="J107">IFERROR(_xlfn.LET(
_xlpm.CSVVal,_xlfn.XLOOKUP($A107,CSV!$A:$A,CSV!I:I,""),
_xlpm.MacVal,_xlfn.XLOOKUP($A107,Output_Mac!$A:$A,Output_Mac!J:J,""),
_xlpm.MyAuditVal,_xlfn.XLOOKUP($A107,My_Audit!$A:$A,My_Audit!I:I,""),
_xlfn.IFS(_xlpm.MyAuditVal&lt;&gt;"",UPPER(_xlpm.MyAuditVal),_xlpm.MacVal&lt;&gt;"",_xlpm.MacVal,_xlpm.CSVVal&lt;&gt;"",_xlpm.CSVVal
)),"")</f>
        <v/>
      </c>
      <c r="K107" s="2" t="str" cm="1">
        <f t="array" ref="K107">IFERROR(_xlfn.LET(
_xlpm.CSVVal,_xlfn.XLOOKUP($A107,CSV!$A:$A,CSV!K:K,""),
_xlpm.MacVal,_xlfn.XLOOKUP($A107,Output_Mac!$A:$A,Output_Mac!K:K,""),
_xlpm.MyAuditVal,_xlfn.XLOOKUP($A107,My_Audit!$A:$A,My_Audit!J:J,""),
_xlfn.IFS(_xlpm.MyAuditVal&lt;&gt;"",UPPER(_xlpm.MyAuditVal),_xlpm.MacVal&lt;&gt;"",_xlpm.MacVal,_xlpm.CSVVal&lt;&gt;"",_xlpm.CSVVal
)),"")</f>
        <v/>
      </c>
      <c r="L107" s="2" t="str" cm="1">
        <f t="array" ref="L107">IFERROR(_xlfn.LET(
_xlpm.CSVVal,_xlfn.XLOOKUP($A107,CSV!$A:$A,CSV!P:P,""),
_xlpm.MacVal,_xlfn.XLOOKUP($A107,Output_Mac!$A:$A,Output_Mac!L:L,""),
_xlpm.MyAuditVal,_xlfn.XLOOKUP($A107,My_Audit!$A:$A,My_Audit!K:K,""),
_xlfn.IFS(_xlpm.MyAuditVal&lt;&gt;"",UPPER(_xlpm.MyAuditVal),_xlpm.MacVal&lt;&gt;"",_xlpm.MacVal,_xlpm.CSVVal&lt;&gt;"",_xlpm.CSVVal
)),"")</f>
        <v/>
      </c>
      <c r="M107" s="2" t="str" cm="1">
        <f t="array" ref="M107">IFERROR(_xlfn.LET(
_xlpm.CSVVal,_xlfn.XLOOKUP($A107,CSV!$A:$A,CSV!Q:Q,""),
_xlpm.MacVal,_xlfn.XLOOKUP($A107,Output_Mac!$A:$A,Output_Mac!M:M,""),
_xlpm.MyAuditVal,_xlfn.XLOOKUP($A107,My_Audit!$A:$A,My_Audit!L:L,""),
_xlfn.IFS(_xlpm.MyAuditVal&lt;&gt;"",UPPER(_xlpm.MyAuditVal),_xlpm.MacVal&lt;&gt;"",_xlpm.MacVal,_xlpm.CSVVal&lt;&gt;"",_xlpm.CSVVal
)),"")</f>
        <v/>
      </c>
      <c r="O107" s="2" t="str">
        <f>_xlfn.LET(
    _xlpm.CSVVal, _xlfn.XLOOKUP($A107, CSV!$A:$A, CSV!AA:AA, ""),
    _xlpm.MacVal, _xlfn.XLOOKUP($A107, Output_Mac!$A:$A, Output_Mac!S:S, ""),
    _xlpm.MyAuditVal, _xlfn.XLOOKUP($A107, My_Audit!$A:$A, My_Audit!P:P, ""),
    _xlfn.TEXTJOIN(", ", TRUE, _xlpm.MyAuditVal, _xlpm.MacVal, _xlpm.CSVVal)
)</f>
        <v/>
      </c>
      <c r="P107" s="2" t="str" cm="1">
        <f t="array" ref="P107">IFERROR(_xlfn.LET(
_xlpm.CSVVal,_xlfn.XLOOKUP($A107,CSV!$A:$A,CSV!AB:AB,""),
_xlpm.MacVal,_xlfn.XLOOKUP($A107,Output_Mac!$A:$A,Output_Mac!T:T,""),
_xlpm.MyAuditVal,_xlfn.XLOOKUP($A107,My_Audit!$A:$A,My_Audit!Q:Q,""),
_xlfn.IFS(_xlpm.MyAuditVal&lt;&gt;"",UPPER(_xlpm.MyAuditVal),_xlpm.MacVal&lt;&gt;"",_xlpm.MacVal,_xlpm.CSVVal&lt;&gt;"",_xlpm.CSVVal
)),"No")</f>
        <v>No</v>
      </c>
      <c r="Q107" s="2" t="str" cm="1">
        <f t="array" ref="Q107">IFERROR(_xlfn.LET(
_xlpm.CSVVal,_xlfn.XLOOKUP($A107,CSV!$A:$A,CSV!AC:AC,""),
_xlpm.MacVal,_xlfn.XLOOKUP($A107,Output_Mac!$A:$A,Output_Mac!U:U,""),
_xlpm.MyAuditVal,_xlfn.XLOOKUP($A107,My_Audit!$A:$A,My_Audit!R:R,""),
_xlfn.IFS(_xlpm.MyAuditVal&lt;&gt;"",UPPER(_xlpm.MyAuditVal),_xlpm.MacVal&lt;&gt;"",_xlpm.MacVal,_xlpm.CSVVal&lt;&gt;"",_xlpm.CSVVal
)),"")</f>
        <v/>
      </c>
      <c r="X107" t="str">
        <f>_xlfn.LET(
    _xlpm.MacVal, _xlfn.XLOOKUP($A107, Output_Mac!$A:$A, Output_Mac!AB:AB, ""),
    _xlpm.MyAuditVal, _xlfn.XLOOKUP($A107, My_Audit!$A:$A, My_Audit!N:N, ""),
    _xlfn.TEXTJOIN(", ", TRUE, _xlpm.MyAuditVal, _xlpm.MacVal)
)</f>
        <v/>
      </c>
    </row>
    <row r="108" spans="1:24">
      <c r="A108" s="2" t="str">
        <f>_xlfn.TEXTJOIN("",TRUE,Input!$B$2,ROW(My_Audit!A107))</f>
        <v>X107</v>
      </c>
      <c r="B108" s="2" t="str">
        <f>_xlfn.TEXTJOIN("-",TRUE,"ITD",Input!$A$2,A108)</f>
        <v>ITD-SHR-X107</v>
      </c>
      <c r="C108" s="2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2" t="str" cm="1">
        <f t="array" ref="D108">IFERROR(_xlfn.LET(
_xlpm.CSVVal,_xlfn.XLOOKUP($A108,CSV!$A:$A,CSV!D:D,""),
_xlpm.MacVal,_xlfn.XLOOKUP($A108,Output_Mac!$A:$A,Output_Mac!C:C,""),
_xlpm.MyAuditVal,_xlfn.XLOOKUP($A108,My_Audit!$A:$A,My_Audit!C:C,""),
_xlfn.IFS(_xlpm.MyAuditVal&lt;&gt;"",_xlpm.MyAuditVal,_xlpm.MacVal&lt;&gt;"",_xlpm.MacVal,_xlpm.CSVVal&lt;&gt;"",_xlpm.CSVVal
)),"")</f>
        <v/>
      </c>
      <c r="E108" s="2" t="str">
        <f>_xlfn.XLOOKUP(A108,My_Audit!A:A,My_Audit!D:D,"")</f>
        <v/>
      </c>
      <c r="F108" s="2" t="str" cm="1">
        <f t="array" ref="F108">IFERROR(_xlfn.LET(
_xlpm.CSVVal,_xlfn.XLOOKUP($A108,CSV!$A:$A,CSV!F:F,""),
_xlpm.MacVal,_xlfn.XLOOKUP($A108,Output_Mac!$A:$A,Output_Mac!E:E,""),
_xlpm.MyAuditVal,_xlfn.XLOOKUP($A108,My_Audit!$A:$A,My_Audit!E:E,""),
_xlfn.IFS(_xlpm.MyAuditVal&lt;&gt;"",_xlpm.MyAuditVal,_xlpm.MacVal&lt;&gt;"",_xlpm.MacVal,_xlpm.CSVVal&lt;&gt;"",_xlpm.CSVVal
)),"")</f>
        <v/>
      </c>
      <c r="G108" s="2" t="str" cm="1">
        <f t="array" ref="G108">IFERROR(_xlfn.LET(
_xlpm.CSVVal,_xlfn.XLOOKUP($A108,CSV!$A:$A,CSV!G:G,""),
_xlpm.MacVal,_xlfn.XLOOKUP($A108,Output_Mac!$A:$A,Output_Mac!F:F,""),
_xlpm.MyAuditVal,_xlfn.XLOOKUP($A108,My_Audit!$A:$A,My_Audit!F:F,""),
_xlfn.IFS(_xlpm.MyAuditVal&lt;&gt;"",_xlpm.MyAuditVal,_xlpm.MacVal&lt;&gt;"",_xlpm.MacVal,_xlpm.CSVVal&lt;&gt;"",PROPER(_xlpm.CSVVal)
)),"")</f>
        <v/>
      </c>
      <c r="H108" s="2" t="str" cm="1">
        <f t="array" ref="H108">IFERROR(_xlfn.LET(
_xlpm.CSVVal,_xlfn.XLOOKUP($A108,CSV!$A:$A,CSV!H:H,""),
_xlpm.MacVal,_xlfn.XLOOKUP($A108,Output_Mac!$A:$A,Output_Mac!H:H,""),
_xlpm.MyAuditVal,_xlfn.XLOOKUP($A108,My_Audit!$A:$A,My_Audit!G:G,""),
_xlfn.IFS(_xlpm.MyAuditVal&lt;&gt;"",_xlpm.MyAuditVal,_xlpm.MacVal&lt;&gt;"",_xlpm.MacVal,_xlpm.CSVVal&lt;&gt;"",_xlpm.CSVVal
)),"")</f>
        <v/>
      </c>
      <c r="I108" s="2" t="str">
        <f>_xlfn.XLOOKUP(A108,Output_Mac!A:A,Output_Mac!I:I,"")</f>
        <v/>
      </c>
      <c r="J108" s="2" t="str" cm="1">
        <f t="array" ref="J108">IFERROR(_xlfn.LET(
_xlpm.CSVVal,_xlfn.XLOOKUP($A108,CSV!$A:$A,CSV!I:I,""),
_xlpm.MacVal,_xlfn.XLOOKUP($A108,Output_Mac!$A:$A,Output_Mac!J:J,""),
_xlpm.MyAuditVal,_xlfn.XLOOKUP($A108,My_Audit!$A:$A,My_Audit!I:I,""),
_xlfn.IFS(_xlpm.MyAuditVal&lt;&gt;"",UPPER(_xlpm.MyAuditVal),_xlpm.MacVal&lt;&gt;"",_xlpm.MacVal,_xlpm.CSVVal&lt;&gt;"",_xlpm.CSVVal
)),"")</f>
        <v/>
      </c>
      <c r="K108" s="2" t="str" cm="1">
        <f t="array" ref="K108">IFERROR(_xlfn.LET(
_xlpm.CSVVal,_xlfn.XLOOKUP($A108,CSV!$A:$A,CSV!K:K,""),
_xlpm.MacVal,_xlfn.XLOOKUP($A108,Output_Mac!$A:$A,Output_Mac!K:K,""),
_xlpm.MyAuditVal,_xlfn.XLOOKUP($A108,My_Audit!$A:$A,My_Audit!J:J,""),
_xlfn.IFS(_xlpm.MyAuditVal&lt;&gt;"",UPPER(_xlpm.MyAuditVal),_xlpm.MacVal&lt;&gt;"",_xlpm.MacVal,_xlpm.CSVVal&lt;&gt;"",_xlpm.CSVVal
)),"")</f>
        <v/>
      </c>
      <c r="L108" s="2" t="str" cm="1">
        <f t="array" ref="L108">IFERROR(_xlfn.LET(
_xlpm.CSVVal,_xlfn.XLOOKUP($A108,CSV!$A:$A,CSV!P:P,""),
_xlpm.MacVal,_xlfn.XLOOKUP($A108,Output_Mac!$A:$A,Output_Mac!L:L,""),
_xlpm.MyAuditVal,_xlfn.XLOOKUP($A108,My_Audit!$A:$A,My_Audit!K:K,""),
_xlfn.IFS(_xlpm.MyAuditVal&lt;&gt;"",UPPER(_xlpm.MyAuditVal),_xlpm.MacVal&lt;&gt;"",_xlpm.MacVal,_xlpm.CSVVal&lt;&gt;"",_xlpm.CSVVal
)),"")</f>
        <v/>
      </c>
      <c r="M108" s="2" t="str" cm="1">
        <f t="array" ref="M108">IFERROR(_xlfn.LET(
_xlpm.CSVVal,_xlfn.XLOOKUP($A108,CSV!$A:$A,CSV!Q:Q,""),
_xlpm.MacVal,_xlfn.XLOOKUP($A108,Output_Mac!$A:$A,Output_Mac!M:M,""),
_xlpm.MyAuditVal,_xlfn.XLOOKUP($A108,My_Audit!$A:$A,My_Audit!L:L,""),
_xlfn.IFS(_xlpm.MyAuditVal&lt;&gt;"",UPPER(_xlpm.MyAuditVal),_xlpm.MacVal&lt;&gt;"",_xlpm.MacVal,_xlpm.CSVVal&lt;&gt;"",_xlpm.CSVVal
)),"")</f>
        <v/>
      </c>
      <c r="O108" s="2" t="str">
        <f>_xlfn.LET(
    _xlpm.CSVVal, _xlfn.XLOOKUP($A108, CSV!$A:$A, CSV!AA:AA, ""),
    _xlpm.MacVal, _xlfn.XLOOKUP($A108, Output_Mac!$A:$A, Output_Mac!S:S, ""),
    _xlpm.MyAuditVal, _xlfn.XLOOKUP($A108, My_Audit!$A:$A, My_Audit!P:P, ""),
    _xlfn.TEXTJOIN(", ", TRUE, _xlpm.MyAuditVal, _xlpm.MacVal, _xlpm.CSVVal)
)</f>
        <v/>
      </c>
      <c r="P108" s="2" t="str" cm="1">
        <f t="array" ref="P108">IFERROR(_xlfn.LET(
_xlpm.CSVVal,_xlfn.XLOOKUP($A108,CSV!$A:$A,CSV!AB:AB,""),
_xlpm.MacVal,_xlfn.XLOOKUP($A108,Output_Mac!$A:$A,Output_Mac!T:T,""),
_xlpm.MyAuditVal,_xlfn.XLOOKUP($A108,My_Audit!$A:$A,My_Audit!Q:Q,""),
_xlfn.IFS(_xlpm.MyAuditVal&lt;&gt;"",UPPER(_xlpm.MyAuditVal),_xlpm.MacVal&lt;&gt;"",_xlpm.MacVal,_xlpm.CSVVal&lt;&gt;"",_xlpm.CSVVal
)),"No")</f>
        <v>No</v>
      </c>
      <c r="Q108" s="2" t="str" cm="1">
        <f t="array" ref="Q108">IFERROR(_xlfn.LET(
_xlpm.CSVVal,_xlfn.XLOOKUP($A108,CSV!$A:$A,CSV!AC:AC,""),
_xlpm.MacVal,_xlfn.XLOOKUP($A108,Output_Mac!$A:$A,Output_Mac!U:U,""),
_xlpm.MyAuditVal,_xlfn.XLOOKUP($A108,My_Audit!$A:$A,My_Audit!R:R,""),
_xlfn.IFS(_xlpm.MyAuditVal&lt;&gt;"",UPPER(_xlpm.MyAuditVal),_xlpm.MacVal&lt;&gt;"",_xlpm.MacVal,_xlpm.CSVVal&lt;&gt;"",_xlpm.CSVVal
)),"")</f>
        <v/>
      </c>
      <c r="X108" t="str">
        <f>_xlfn.LET(
    _xlpm.MacVal, _xlfn.XLOOKUP($A108, Output_Mac!$A:$A, Output_Mac!AB:AB, ""),
    _xlpm.MyAuditVal, _xlfn.XLOOKUP($A108, My_Audit!$A:$A, My_Audit!N:N, ""),
    _xlfn.TEXTJOIN(", ", TRUE, _xlpm.MyAuditVal, _xlpm.MacVal)
)</f>
        <v/>
      </c>
    </row>
    <row r="109" spans="1:24">
      <c r="A109" s="2" t="str">
        <f>_xlfn.TEXTJOIN("",TRUE,Input!$B$2,ROW(My_Audit!A108))</f>
        <v>X108</v>
      </c>
      <c r="B109" s="2" t="str">
        <f>_xlfn.TEXTJOIN("-",TRUE,"ITD",Input!$A$2,A109)</f>
        <v>ITD-SHR-X108</v>
      </c>
      <c r="C109" s="2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2" t="str" cm="1">
        <f t="array" ref="D109">IFERROR(_xlfn.LET(
_xlpm.CSVVal,_xlfn.XLOOKUP($A109,CSV!$A:$A,CSV!D:D,""),
_xlpm.MacVal,_xlfn.XLOOKUP($A109,Output_Mac!$A:$A,Output_Mac!C:C,""),
_xlpm.MyAuditVal,_xlfn.XLOOKUP($A109,My_Audit!$A:$A,My_Audit!C:C,""),
_xlfn.IFS(_xlpm.MyAuditVal&lt;&gt;"",_xlpm.MyAuditVal,_xlpm.MacVal&lt;&gt;"",_xlpm.MacVal,_xlpm.CSVVal&lt;&gt;"",_xlpm.CSVVal
)),"")</f>
        <v/>
      </c>
      <c r="E109" s="2" t="str">
        <f>_xlfn.XLOOKUP(A109,My_Audit!A:A,My_Audit!D:D,"")</f>
        <v/>
      </c>
      <c r="F109" s="2" t="str" cm="1">
        <f t="array" ref="F109">IFERROR(_xlfn.LET(
_xlpm.CSVVal,_xlfn.XLOOKUP($A109,CSV!$A:$A,CSV!F:F,""),
_xlpm.MacVal,_xlfn.XLOOKUP($A109,Output_Mac!$A:$A,Output_Mac!E:E,""),
_xlpm.MyAuditVal,_xlfn.XLOOKUP($A109,My_Audit!$A:$A,My_Audit!E:E,""),
_xlfn.IFS(_xlpm.MyAuditVal&lt;&gt;"",_xlpm.MyAuditVal,_xlpm.MacVal&lt;&gt;"",_xlpm.MacVal,_xlpm.CSVVal&lt;&gt;"",_xlpm.CSVVal
)),"")</f>
        <v/>
      </c>
      <c r="G109" s="2" t="str" cm="1">
        <f t="array" ref="G109">IFERROR(_xlfn.LET(
_xlpm.CSVVal,_xlfn.XLOOKUP($A109,CSV!$A:$A,CSV!G:G,""),
_xlpm.MacVal,_xlfn.XLOOKUP($A109,Output_Mac!$A:$A,Output_Mac!F:F,""),
_xlpm.MyAuditVal,_xlfn.XLOOKUP($A109,My_Audit!$A:$A,My_Audit!F:F,""),
_xlfn.IFS(_xlpm.MyAuditVal&lt;&gt;"",_xlpm.MyAuditVal,_xlpm.MacVal&lt;&gt;"",_xlpm.MacVal,_xlpm.CSVVal&lt;&gt;"",PROPER(_xlpm.CSVVal)
)),"")</f>
        <v/>
      </c>
      <c r="H109" s="2" t="str" cm="1">
        <f t="array" ref="H109">IFERROR(_xlfn.LET(
_xlpm.CSVVal,_xlfn.XLOOKUP($A109,CSV!$A:$A,CSV!H:H,""),
_xlpm.MacVal,_xlfn.XLOOKUP($A109,Output_Mac!$A:$A,Output_Mac!H:H,""),
_xlpm.MyAuditVal,_xlfn.XLOOKUP($A109,My_Audit!$A:$A,My_Audit!G:G,""),
_xlfn.IFS(_xlpm.MyAuditVal&lt;&gt;"",_xlpm.MyAuditVal,_xlpm.MacVal&lt;&gt;"",_xlpm.MacVal,_xlpm.CSVVal&lt;&gt;"",_xlpm.CSVVal
)),"")</f>
        <v/>
      </c>
      <c r="I109" s="2" t="str">
        <f>_xlfn.XLOOKUP(A109,Output_Mac!A:A,Output_Mac!I:I,"")</f>
        <v/>
      </c>
      <c r="J109" s="2" t="str" cm="1">
        <f t="array" ref="J109">IFERROR(_xlfn.LET(
_xlpm.CSVVal,_xlfn.XLOOKUP($A109,CSV!$A:$A,CSV!I:I,""),
_xlpm.MacVal,_xlfn.XLOOKUP($A109,Output_Mac!$A:$A,Output_Mac!J:J,""),
_xlpm.MyAuditVal,_xlfn.XLOOKUP($A109,My_Audit!$A:$A,My_Audit!I:I,""),
_xlfn.IFS(_xlpm.MyAuditVal&lt;&gt;"",UPPER(_xlpm.MyAuditVal),_xlpm.MacVal&lt;&gt;"",_xlpm.MacVal,_xlpm.CSVVal&lt;&gt;"",_xlpm.CSVVal
)),"")</f>
        <v/>
      </c>
      <c r="K109" s="2" t="str" cm="1">
        <f t="array" ref="K109">IFERROR(_xlfn.LET(
_xlpm.CSVVal,_xlfn.XLOOKUP($A109,CSV!$A:$A,CSV!K:K,""),
_xlpm.MacVal,_xlfn.XLOOKUP($A109,Output_Mac!$A:$A,Output_Mac!K:K,""),
_xlpm.MyAuditVal,_xlfn.XLOOKUP($A109,My_Audit!$A:$A,My_Audit!J:J,""),
_xlfn.IFS(_xlpm.MyAuditVal&lt;&gt;"",UPPER(_xlpm.MyAuditVal),_xlpm.MacVal&lt;&gt;"",_xlpm.MacVal,_xlpm.CSVVal&lt;&gt;"",_xlpm.CSVVal
)),"")</f>
        <v/>
      </c>
      <c r="L109" s="2" t="str" cm="1">
        <f t="array" ref="L109">IFERROR(_xlfn.LET(
_xlpm.CSVVal,_xlfn.XLOOKUP($A109,CSV!$A:$A,CSV!P:P,""),
_xlpm.MacVal,_xlfn.XLOOKUP($A109,Output_Mac!$A:$A,Output_Mac!L:L,""),
_xlpm.MyAuditVal,_xlfn.XLOOKUP($A109,My_Audit!$A:$A,My_Audit!K:K,""),
_xlfn.IFS(_xlpm.MyAuditVal&lt;&gt;"",UPPER(_xlpm.MyAuditVal),_xlpm.MacVal&lt;&gt;"",_xlpm.MacVal,_xlpm.CSVVal&lt;&gt;"",_xlpm.CSVVal
)),"")</f>
        <v/>
      </c>
      <c r="M109" s="2" t="str" cm="1">
        <f t="array" ref="M109">IFERROR(_xlfn.LET(
_xlpm.CSVVal,_xlfn.XLOOKUP($A109,CSV!$A:$A,CSV!Q:Q,""),
_xlpm.MacVal,_xlfn.XLOOKUP($A109,Output_Mac!$A:$A,Output_Mac!M:M,""),
_xlpm.MyAuditVal,_xlfn.XLOOKUP($A109,My_Audit!$A:$A,My_Audit!L:L,""),
_xlfn.IFS(_xlpm.MyAuditVal&lt;&gt;"",UPPER(_xlpm.MyAuditVal),_xlpm.MacVal&lt;&gt;"",_xlpm.MacVal,_xlpm.CSVVal&lt;&gt;"",_xlpm.CSVVal
)),"")</f>
        <v/>
      </c>
      <c r="O109" s="2" t="str">
        <f>_xlfn.LET(
    _xlpm.CSVVal, _xlfn.XLOOKUP($A109, CSV!$A:$A, CSV!AA:AA, ""),
    _xlpm.MacVal, _xlfn.XLOOKUP($A109, Output_Mac!$A:$A, Output_Mac!S:S, ""),
    _xlpm.MyAuditVal, _xlfn.XLOOKUP($A109, My_Audit!$A:$A, My_Audit!P:P, ""),
    _xlfn.TEXTJOIN(", ", TRUE, _xlpm.MyAuditVal, _xlpm.MacVal, _xlpm.CSVVal)
)</f>
        <v/>
      </c>
      <c r="P109" s="2" t="str" cm="1">
        <f t="array" ref="P109">IFERROR(_xlfn.LET(
_xlpm.CSVVal,_xlfn.XLOOKUP($A109,CSV!$A:$A,CSV!AB:AB,""),
_xlpm.MacVal,_xlfn.XLOOKUP($A109,Output_Mac!$A:$A,Output_Mac!T:T,""),
_xlpm.MyAuditVal,_xlfn.XLOOKUP($A109,My_Audit!$A:$A,My_Audit!Q:Q,""),
_xlfn.IFS(_xlpm.MyAuditVal&lt;&gt;"",UPPER(_xlpm.MyAuditVal),_xlpm.MacVal&lt;&gt;"",_xlpm.MacVal,_xlpm.CSVVal&lt;&gt;"",_xlpm.CSVVal
)),"No")</f>
        <v>No</v>
      </c>
      <c r="Q109" s="2" t="str" cm="1">
        <f t="array" ref="Q109">IFERROR(_xlfn.LET(
_xlpm.CSVVal,_xlfn.XLOOKUP($A109,CSV!$A:$A,CSV!AC:AC,""),
_xlpm.MacVal,_xlfn.XLOOKUP($A109,Output_Mac!$A:$A,Output_Mac!U:U,""),
_xlpm.MyAuditVal,_xlfn.XLOOKUP($A109,My_Audit!$A:$A,My_Audit!R:R,""),
_xlfn.IFS(_xlpm.MyAuditVal&lt;&gt;"",UPPER(_xlpm.MyAuditVal),_xlpm.MacVal&lt;&gt;"",_xlpm.MacVal,_xlpm.CSVVal&lt;&gt;"",_xlpm.CSVVal
)),"")</f>
        <v/>
      </c>
      <c r="X109" t="str">
        <f>_xlfn.LET(
    _xlpm.MacVal, _xlfn.XLOOKUP($A109, Output_Mac!$A:$A, Output_Mac!AB:AB, ""),
    _xlpm.MyAuditVal, _xlfn.XLOOKUP($A109, My_Audit!$A:$A, My_Audit!N:N, ""),
    _xlfn.TEXTJOIN(", ", TRUE, _xlpm.MyAuditVal, _xlpm.MacVal)
)</f>
        <v/>
      </c>
    </row>
    <row r="110" spans="1:24">
      <c r="A110" s="2" t="str">
        <f>_xlfn.TEXTJOIN("",TRUE,Input!$B$2,ROW(My_Audit!A109))</f>
        <v>X109</v>
      </c>
      <c r="B110" s="2" t="str">
        <f>_xlfn.TEXTJOIN("-",TRUE,"ITD",Input!$A$2,A110)</f>
        <v>ITD-SHR-X109</v>
      </c>
      <c r="C110" s="2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2" t="str" cm="1">
        <f t="array" ref="D110">IFERROR(_xlfn.LET(
_xlpm.CSVVal,_xlfn.XLOOKUP($A110,CSV!$A:$A,CSV!D:D,""),
_xlpm.MacVal,_xlfn.XLOOKUP($A110,Output_Mac!$A:$A,Output_Mac!C:C,""),
_xlpm.MyAuditVal,_xlfn.XLOOKUP($A110,My_Audit!$A:$A,My_Audit!C:C,""),
_xlfn.IFS(_xlpm.MyAuditVal&lt;&gt;"",_xlpm.MyAuditVal,_xlpm.MacVal&lt;&gt;"",_xlpm.MacVal,_xlpm.CSVVal&lt;&gt;"",_xlpm.CSVVal
)),"")</f>
        <v/>
      </c>
      <c r="E110" s="2" t="str">
        <f>_xlfn.XLOOKUP(A110,My_Audit!A:A,My_Audit!D:D,"")</f>
        <v/>
      </c>
      <c r="F110" s="2" t="str" cm="1">
        <f t="array" ref="F110">IFERROR(_xlfn.LET(
_xlpm.CSVVal,_xlfn.XLOOKUP($A110,CSV!$A:$A,CSV!F:F,""),
_xlpm.MacVal,_xlfn.XLOOKUP($A110,Output_Mac!$A:$A,Output_Mac!E:E,""),
_xlpm.MyAuditVal,_xlfn.XLOOKUP($A110,My_Audit!$A:$A,My_Audit!E:E,""),
_xlfn.IFS(_xlpm.MyAuditVal&lt;&gt;"",_xlpm.MyAuditVal,_xlpm.MacVal&lt;&gt;"",_xlpm.MacVal,_xlpm.CSVVal&lt;&gt;"",_xlpm.CSVVal
)),"")</f>
        <v/>
      </c>
      <c r="G110" s="2" t="str" cm="1">
        <f t="array" ref="G110">IFERROR(_xlfn.LET(
_xlpm.CSVVal,_xlfn.XLOOKUP($A110,CSV!$A:$A,CSV!G:G,""),
_xlpm.MacVal,_xlfn.XLOOKUP($A110,Output_Mac!$A:$A,Output_Mac!F:F,""),
_xlpm.MyAuditVal,_xlfn.XLOOKUP($A110,My_Audit!$A:$A,My_Audit!F:F,""),
_xlfn.IFS(_xlpm.MyAuditVal&lt;&gt;"",_xlpm.MyAuditVal,_xlpm.MacVal&lt;&gt;"",_xlpm.MacVal,_xlpm.CSVVal&lt;&gt;"",PROPER(_xlpm.CSVVal)
)),"")</f>
        <v/>
      </c>
      <c r="H110" s="2" t="str" cm="1">
        <f t="array" ref="H110">IFERROR(_xlfn.LET(
_xlpm.CSVVal,_xlfn.XLOOKUP($A110,CSV!$A:$A,CSV!H:H,""),
_xlpm.MacVal,_xlfn.XLOOKUP($A110,Output_Mac!$A:$A,Output_Mac!H:H,""),
_xlpm.MyAuditVal,_xlfn.XLOOKUP($A110,My_Audit!$A:$A,My_Audit!G:G,""),
_xlfn.IFS(_xlpm.MyAuditVal&lt;&gt;"",_xlpm.MyAuditVal,_xlpm.MacVal&lt;&gt;"",_xlpm.MacVal,_xlpm.CSVVal&lt;&gt;"",_xlpm.CSVVal
)),"")</f>
        <v/>
      </c>
      <c r="I110" s="2" t="str">
        <f>_xlfn.XLOOKUP(A110,Output_Mac!A:A,Output_Mac!I:I,"")</f>
        <v/>
      </c>
      <c r="J110" s="2" t="str" cm="1">
        <f t="array" ref="J110">IFERROR(_xlfn.LET(
_xlpm.CSVVal,_xlfn.XLOOKUP($A110,CSV!$A:$A,CSV!I:I,""),
_xlpm.MacVal,_xlfn.XLOOKUP($A110,Output_Mac!$A:$A,Output_Mac!J:J,""),
_xlpm.MyAuditVal,_xlfn.XLOOKUP($A110,My_Audit!$A:$A,My_Audit!I:I,""),
_xlfn.IFS(_xlpm.MyAuditVal&lt;&gt;"",UPPER(_xlpm.MyAuditVal),_xlpm.MacVal&lt;&gt;"",_xlpm.MacVal,_xlpm.CSVVal&lt;&gt;"",_xlpm.CSVVal
)),"")</f>
        <v/>
      </c>
      <c r="K110" s="2" t="str" cm="1">
        <f t="array" ref="K110">IFERROR(_xlfn.LET(
_xlpm.CSVVal,_xlfn.XLOOKUP($A110,CSV!$A:$A,CSV!K:K,""),
_xlpm.MacVal,_xlfn.XLOOKUP($A110,Output_Mac!$A:$A,Output_Mac!K:K,""),
_xlpm.MyAuditVal,_xlfn.XLOOKUP($A110,My_Audit!$A:$A,My_Audit!J:J,""),
_xlfn.IFS(_xlpm.MyAuditVal&lt;&gt;"",UPPER(_xlpm.MyAuditVal),_xlpm.MacVal&lt;&gt;"",_xlpm.MacVal,_xlpm.CSVVal&lt;&gt;"",_xlpm.CSVVal
)),"")</f>
        <v/>
      </c>
      <c r="L110" s="2" t="str" cm="1">
        <f t="array" ref="L110">IFERROR(_xlfn.LET(
_xlpm.CSVVal,_xlfn.XLOOKUP($A110,CSV!$A:$A,CSV!P:P,""),
_xlpm.MacVal,_xlfn.XLOOKUP($A110,Output_Mac!$A:$A,Output_Mac!L:L,""),
_xlpm.MyAuditVal,_xlfn.XLOOKUP($A110,My_Audit!$A:$A,My_Audit!K:K,""),
_xlfn.IFS(_xlpm.MyAuditVal&lt;&gt;"",UPPER(_xlpm.MyAuditVal),_xlpm.MacVal&lt;&gt;"",_xlpm.MacVal,_xlpm.CSVVal&lt;&gt;"",_xlpm.CSVVal
)),"")</f>
        <v/>
      </c>
      <c r="M110" s="2" t="str" cm="1">
        <f t="array" ref="M110">IFERROR(_xlfn.LET(
_xlpm.CSVVal,_xlfn.XLOOKUP($A110,CSV!$A:$A,CSV!Q:Q,""),
_xlpm.MacVal,_xlfn.XLOOKUP($A110,Output_Mac!$A:$A,Output_Mac!M:M,""),
_xlpm.MyAuditVal,_xlfn.XLOOKUP($A110,My_Audit!$A:$A,My_Audit!L:L,""),
_xlfn.IFS(_xlpm.MyAuditVal&lt;&gt;"",UPPER(_xlpm.MyAuditVal),_xlpm.MacVal&lt;&gt;"",_xlpm.MacVal,_xlpm.CSVVal&lt;&gt;"",_xlpm.CSVVal
)),"")</f>
        <v/>
      </c>
      <c r="O110" s="2" t="str">
        <f>_xlfn.LET(
    _xlpm.CSVVal, _xlfn.XLOOKUP($A110, CSV!$A:$A, CSV!AA:AA, ""),
    _xlpm.MacVal, _xlfn.XLOOKUP($A110, Output_Mac!$A:$A, Output_Mac!S:S, ""),
    _xlpm.MyAuditVal, _xlfn.XLOOKUP($A110, My_Audit!$A:$A, My_Audit!P:P, ""),
    _xlfn.TEXTJOIN(", ", TRUE, _xlpm.MyAuditVal, _xlpm.MacVal, _xlpm.CSVVal)
)</f>
        <v/>
      </c>
      <c r="P110" s="2" t="str" cm="1">
        <f t="array" ref="P110">IFERROR(_xlfn.LET(
_xlpm.CSVVal,_xlfn.XLOOKUP($A110,CSV!$A:$A,CSV!AB:AB,""),
_xlpm.MacVal,_xlfn.XLOOKUP($A110,Output_Mac!$A:$A,Output_Mac!T:T,""),
_xlpm.MyAuditVal,_xlfn.XLOOKUP($A110,My_Audit!$A:$A,My_Audit!Q:Q,""),
_xlfn.IFS(_xlpm.MyAuditVal&lt;&gt;"",UPPER(_xlpm.MyAuditVal),_xlpm.MacVal&lt;&gt;"",_xlpm.MacVal,_xlpm.CSVVal&lt;&gt;"",_xlpm.CSVVal
)),"No")</f>
        <v>No</v>
      </c>
      <c r="Q110" s="2" t="str" cm="1">
        <f t="array" ref="Q110">IFERROR(_xlfn.LET(
_xlpm.CSVVal,_xlfn.XLOOKUP($A110,CSV!$A:$A,CSV!AC:AC,""),
_xlpm.MacVal,_xlfn.XLOOKUP($A110,Output_Mac!$A:$A,Output_Mac!U:U,""),
_xlpm.MyAuditVal,_xlfn.XLOOKUP($A110,My_Audit!$A:$A,My_Audit!R:R,""),
_xlfn.IFS(_xlpm.MyAuditVal&lt;&gt;"",UPPER(_xlpm.MyAuditVal),_xlpm.MacVal&lt;&gt;"",_xlpm.MacVal,_xlpm.CSVVal&lt;&gt;"",_xlpm.CSVVal
)),"")</f>
        <v/>
      </c>
      <c r="X110" t="str">
        <f>_xlfn.LET(
    _xlpm.MacVal, _xlfn.XLOOKUP($A110, Output_Mac!$A:$A, Output_Mac!AB:AB, ""),
    _xlpm.MyAuditVal, _xlfn.XLOOKUP($A110, My_Audit!$A:$A, My_Audit!N:N, ""),
    _xlfn.TEXTJOIN(", ", TRUE, _xlpm.MyAuditVal, _xlpm.MacVal)
)</f>
        <v/>
      </c>
    </row>
    <row r="111" spans="1:24">
      <c r="A111" s="2" t="str">
        <f>_xlfn.TEXTJOIN("",TRUE,Input!$B$2,ROW(My_Audit!A110))</f>
        <v>X110</v>
      </c>
      <c r="B111" s="2" t="str">
        <f>_xlfn.TEXTJOIN("-",TRUE,"ITD",Input!$A$2,A111)</f>
        <v>ITD-SHR-X110</v>
      </c>
      <c r="C111" s="2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2" t="str" cm="1">
        <f t="array" ref="D111">IFERROR(_xlfn.LET(
_xlpm.CSVVal,_xlfn.XLOOKUP($A111,CSV!$A:$A,CSV!D:D,""),
_xlpm.MacVal,_xlfn.XLOOKUP($A111,Output_Mac!$A:$A,Output_Mac!C:C,""),
_xlpm.MyAuditVal,_xlfn.XLOOKUP($A111,My_Audit!$A:$A,My_Audit!C:C,""),
_xlfn.IFS(_xlpm.MyAuditVal&lt;&gt;"",_xlpm.MyAuditVal,_xlpm.MacVal&lt;&gt;"",_xlpm.MacVal,_xlpm.CSVVal&lt;&gt;"",_xlpm.CSVVal
)),"")</f>
        <v/>
      </c>
      <c r="E111" s="2" t="str">
        <f>_xlfn.XLOOKUP(A111,My_Audit!A:A,My_Audit!D:D,"")</f>
        <v/>
      </c>
      <c r="F111" s="2" t="str" cm="1">
        <f t="array" ref="F111">IFERROR(_xlfn.LET(
_xlpm.CSVVal,_xlfn.XLOOKUP($A111,CSV!$A:$A,CSV!F:F,""),
_xlpm.MacVal,_xlfn.XLOOKUP($A111,Output_Mac!$A:$A,Output_Mac!E:E,""),
_xlpm.MyAuditVal,_xlfn.XLOOKUP($A111,My_Audit!$A:$A,My_Audit!E:E,""),
_xlfn.IFS(_xlpm.MyAuditVal&lt;&gt;"",_xlpm.MyAuditVal,_xlpm.MacVal&lt;&gt;"",_xlpm.MacVal,_xlpm.CSVVal&lt;&gt;"",_xlpm.CSVVal
)),"")</f>
        <v/>
      </c>
      <c r="G111" s="2" t="str" cm="1">
        <f t="array" ref="G111">IFERROR(_xlfn.LET(
_xlpm.CSVVal,_xlfn.XLOOKUP($A111,CSV!$A:$A,CSV!G:G,""),
_xlpm.MacVal,_xlfn.XLOOKUP($A111,Output_Mac!$A:$A,Output_Mac!F:F,""),
_xlpm.MyAuditVal,_xlfn.XLOOKUP($A111,My_Audit!$A:$A,My_Audit!F:F,""),
_xlfn.IFS(_xlpm.MyAuditVal&lt;&gt;"",_xlpm.MyAuditVal,_xlpm.MacVal&lt;&gt;"",_xlpm.MacVal,_xlpm.CSVVal&lt;&gt;"",PROPER(_xlpm.CSVVal)
)),"")</f>
        <v/>
      </c>
      <c r="H111" s="2" t="str" cm="1">
        <f t="array" ref="H111">IFERROR(_xlfn.LET(
_xlpm.CSVVal,_xlfn.XLOOKUP($A111,CSV!$A:$A,CSV!H:H,""),
_xlpm.MacVal,_xlfn.XLOOKUP($A111,Output_Mac!$A:$A,Output_Mac!H:H,""),
_xlpm.MyAuditVal,_xlfn.XLOOKUP($A111,My_Audit!$A:$A,My_Audit!G:G,""),
_xlfn.IFS(_xlpm.MyAuditVal&lt;&gt;"",_xlpm.MyAuditVal,_xlpm.MacVal&lt;&gt;"",_xlpm.MacVal,_xlpm.CSVVal&lt;&gt;"",_xlpm.CSVVal
)),"")</f>
        <v/>
      </c>
      <c r="I111" s="2" t="str">
        <f>_xlfn.XLOOKUP(A111,Output_Mac!A:A,Output_Mac!I:I,"")</f>
        <v/>
      </c>
      <c r="J111" s="2" t="str" cm="1">
        <f t="array" ref="J111">IFERROR(_xlfn.LET(
_xlpm.CSVVal,_xlfn.XLOOKUP($A111,CSV!$A:$A,CSV!I:I,""),
_xlpm.MacVal,_xlfn.XLOOKUP($A111,Output_Mac!$A:$A,Output_Mac!J:J,""),
_xlpm.MyAuditVal,_xlfn.XLOOKUP($A111,My_Audit!$A:$A,My_Audit!I:I,""),
_xlfn.IFS(_xlpm.MyAuditVal&lt;&gt;"",UPPER(_xlpm.MyAuditVal),_xlpm.MacVal&lt;&gt;"",_xlpm.MacVal,_xlpm.CSVVal&lt;&gt;"",_xlpm.CSVVal
)),"")</f>
        <v/>
      </c>
      <c r="K111" s="2" t="str" cm="1">
        <f t="array" ref="K111">IFERROR(_xlfn.LET(
_xlpm.CSVVal,_xlfn.XLOOKUP($A111,CSV!$A:$A,CSV!K:K,""),
_xlpm.MacVal,_xlfn.XLOOKUP($A111,Output_Mac!$A:$A,Output_Mac!K:K,""),
_xlpm.MyAuditVal,_xlfn.XLOOKUP($A111,My_Audit!$A:$A,My_Audit!J:J,""),
_xlfn.IFS(_xlpm.MyAuditVal&lt;&gt;"",UPPER(_xlpm.MyAuditVal),_xlpm.MacVal&lt;&gt;"",_xlpm.MacVal,_xlpm.CSVVal&lt;&gt;"",_xlpm.CSVVal
)),"")</f>
        <v/>
      </c>
      <c r="L111" s="2" t="str" cm="1">
        <f t="array" ref="L111">IFERROR(_xlfn.LET(
_xlpm.CSVVal,_xlfn.XLOOKUP($A111,CSV!$A:$A,CSV!P:P,""),
_xlpm.MacVal,_xlfn.XLOOKUP($A111,Output_Mac!$A:$A,Output_Mac!L:L,""),
_xlpm.MyAuditVal,_xlfn.XLOOKUP($A111,My_Audit!$A:$A,My_Audit!K:K,""),
_xlfn.IFS(_xlpm.MyAuditVal&lt;&gt;"",UPPER(_xlpm.MyAuditVal),_xlpm.MacVal&lt;&gt;"",_xlpm.MacVal,_xlpm.CSVVal&lt;&gt;"",_xlpm.CSVVal
)),"")</f>
        <v/>
      </c>
      <c r="M111" s="2" t="str" cm="1">
        <f t="array" ref="M111">IFERROR(_xlfn.LET(
_xlpm.CSVVal,_xlfn.XLOOKUP($A111,CSV!$A:$A,CSV!Q:Q,""),
_xlpm.MacVal,_xlfn.XLOOKUP($A111,Output_Mac!$A:$A,Output_Mac!M:M,""),
_xlpm.MyAuditVal,_xlfn.XLOOKUP($A111,My_Audit!$A:$A,My_Audit!L:L,""),
_xlfn.IFS(_xlpm.MyAuditVal&lt;&gt;"",UPPER(_xlpm.MyAuditVal),_xlpm.MacVal&lt;&gt;"",_xlpm.MacVal,_xlpm.CSVVal&lt;&gt;"",_xlpm.CSVVal
)),"")</f>
        <v/>
      </c>
      <c r="O111" s="2" t="str">
        <f>_xlfn.LET(
    _xlpm.CSVVal, _xlfn.XLOOKUP($A111, CSV!$A:$A, CSV!AA:AA, ""),
    _xlpm.MacVal, _xlfn.XLOOKUP($A111, Output_Mac!$A:$A, Output_Mac!S:S, ""),
    _xlpm.MyAuditVal, _xlfn.XLOOKUP($A111, My_Audit!$A:$A, My_Audit!P:P, ""),
    _xlfn.TEXTJOIN(", ", TRUE, _xlpm.MyAuditVal, _xlpm.MacVal, _xlpm.CSVVal)
)</f>
        <v/>
      </c>
      <c r="P111" s="2" t="str" cm="1">
        <f t="array" ref="P111">IFERROR(_xlfn.LET(
_xlpm.CSVVal,_xlfn.XLOOKUP($A111,CSV!$A:$A,CSV!AB:AB,""),
_xlpm.MacVal,_xlfn.XLOOKUP($A111,Output_Mac!$A:$A,Output_Mac!T:T,""),
_xlpm.MyAuditVal,_xlfn.XLOOKUP($A111,My_Audit!$A:$A,My_Audit!Q:Q,""),
_xlfn.IFS(_xlpm.MyAuditVal&lt;&gt;"",UPPER(_xlpm.MyAuditVal),_xlpm.MacVal&lt;&gt;"",_xlpm.MacVal,_xlpm.CSVVal&lt;&gt;"",_xlpm.CSVVal
)),"No")</f>
        <v>No</v>
      </c>
      <c r="Q111" s="2" t="str" cm="1">
        <f t="array" ref="Q111">IFERROR(_xlfn.LET(
_xlpm.CSVVal,_xlfn.XLOOKUP($A111,CSV!$A:$A,CSV!AC:AC,""),
_xlpm.MacVal,_xlfn.XLOOKUP($A111,Output_Mac!$A:$A,Output_Mac!U:U,""),
_xlpm.MyAuditVal,_xlfn.XLOOKUP($A111,My_Audit!$A:$A,My_Audit!R:R,""),
_xlfn.IFS(_xlpm.MyAuditVal&lt;&gt;"",UPPER(_xlpm.MyAuditVal),_xlpm.MacVal&lt;&gt;"",_xlpm.MacVal,_xlpm.CSVVal&lt;&gt;"",_xlpm.CSVVal
)),"")</f>
        <v/>
      </c>
      <c r="X111" t="str">
        <f>_xlfn.LET(
    _xlpm.MacVal, _xlfn.XLOOKUP($A111, Output_Mac!$A:$A, Output_Mac!AB:AB, ""),
    _xlpm.MyAuditVal, _xlfn.XLOOKUP($A111, My_Audit!$A:$A, My_Audit!N:N, ""),
    _xlfn.TEXTJOIN(", ", TRUE, _xlpm.MyAuditVal, _xlpm.MacVal)
)</f>
        <v/>
      </c>
    </row>
    <row r="112" spans="1:24">
      <c r="A112" s="2" t="str">
        <f>_xlfn.TEXTJOIN("",TRUE,Input!$B$2,ROW(My_Audit!A111))</f>
        <v>X111</v>
      </c>
      <c r="B112" s="2" t="str">
        <f>_xlfn.TEXTJOIN("-",TRUE,"ITD",Input!$A$2,A112)</f>
        <v>ITD-SHR-X111</v>
      </c>
      <c r="C112" s="2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2" t="str" cm="1">
        <f t="array" ref="D112">IFERROR(_xlfn.LET(
_xlpm.CSVVal,_xlfn.XLOOKUP($A112,CSV!$A:$A,CSV!D:D,""),
_xlpm.MacVal,_xlfn.XLOOKUP($A112,Output_Mac!$A:$A,Output_Mac!C:C,""),
_xlpm.MyAuditVal,_xlfn.XLOOKUP($A112,My_Audit!$A:$A,My_Audit!C:C,""),
_xlfn.IFS(_xlpm.MyAuditVal&lt;&gt;"",_xlpm.MyAuditVal,_xlpm.MacVal&lt;&gt;"",_xlpm.MacVal,_xlpm.CSVVal&lt;&gt;"",_xlpm.CSVVal
)),"")</f>
        <v/>
      </c>
      <c r="E112" s="2" t="str">
        <f>_xlfn.XLOOKUP(A112,My_Audit!A:A,My_Audit!D:D,"")</f>
        <v/>
      </c>
      <c r="F112" s="2" t="str" cm="1">
        <f t="array" ref="F112">IFERROR(_xlfn.LET(
_xlpm.CSVVal,_xlfn.XLOOKUP($A112,CSV!$A:$A,CSV!F:F,""),
_xlpm.MacVal,_xlfn.XLOOKUP($A112,Output_Mac!$A:$A,Output_Mac!E:E,""),
_xlpm.MyAuditVal,_xlfn.XLOOKUP($A112,My_Audit!$A:$A,My_Audit!E:E,""),
_xlfn.IFS(_xlpm.MyAuditVal&lt;&gt;"",_xlpm.MyAuditVal,_xlpm.MacVal&lt;&gt;"",_xlpm.MacVal,_xlpm.CSVVal&lt;&gt;"",_xlpm.CSVVal
)),"")</f>
        <v/>
      </c>
      <c r="G112" s="2" t="str" cm="1">
        <f t="array" ref="G112">IFERROR(_xlfn.LET(
_xlpm.CSVVal,_xlfn.XLOOKUP($A112,CSV!$A:$A,CSV!G:G,""),
_xlpm.MacVal,_xlfn.XLOOKUP($A112,Output_Mac!$A:$A,Output_Mac!F:F,""),
_xlpm.MyAuditVal,_xlfn.XLOOKUP($A112,My_Audit!$A:$A,My_Audit!F:F,""),
_xlfn.IFS(_xlpm.MyAuditVal&lt;&gt;"",_xlpm.MyAuditVal,_xlpm.MacVal&lt;&gt;"",_xlpm.MacVal,_xlpm.CSVVal&lt;&gt;"",PROPER(_xlpm.CSVVal)
)),"")</f>
        <v/>
      </c>
      <c r="H112" s="2" t="str" cm="1">
        <f t="array" ref="H112">IFERROR(_xlfn.LET(
_xlpm.CSVVal,_xlfn.XLOOKUP($A112,CSV!$A:$A,CSV!H:H,""),
_xlpm.MacVal,_xlfn.XLOOKUP($A112,Output_Mac!$A:$A,Output_Mac!H:H,""),
_xlpm.MyAuditVal,_xlfn.XLOOKUP($A112,My_Audit!$A:$A,My_Audit!G:G,""),
_xlfn.IFS(_xlpm.MyAuditVal&lt;&gt;"",_xlpm.MyAuditVal,_xlpm.MacVal&lt;&gt;"",_xlpm.MacVal,_xlpm.CSVVal&lt;&gt;"",_xlpm.CSVVal
)),"")</f>
        <v/>
      </c>
      <c r="I112" s="2" t="str">
        <f>_xlfn.XLOOKUP(A112,Output_Mac!A:A,Output_Mac!I:I,"")</f>
        <v/>
      </c>
      <c r="J112" s="2" t="str" cm="1">
        <f t="array" ref="J112">IFERROR(_xlfn.LET(
_xlpm.CSVVal,_xlfn.XLOOKUP($A112,CSV!$A:$A,CSV!I:I,""),
_xlpm.MacVal,_xlfn.XLOOKUP($A112,Output_Mac!$A:$A,Output_Mac!J:J,""),
_xlpm.MyAuditVal,_xlfn.XLOOKUP($A112,My_Audit!$A:$A,My_Audit!I:I,""),
_xlfn.IFS(_xlpm.MyAuditVal&lt;&gt;"",UPPER(_xlpm.MyAuditVal),_xlpm.MacVal&lt;&gt;"",_xlpm.MacVal,_xlpm.CSVVal&lt;&gt;"",_xlpm.CSVVal
)),"")</f>
        <v/>
      </c>
      <c r="K112" s="2" t="str" cm="1">
        <f t="array" ref="K112">IFERROR(_xlfn.LET(
_xlpm.CSVVal,_xlfn.XLOOKUP($A112,CSV!$A:$A,CSV!K:K,""),
_xlpm.MacVal,_xlfn.XLOOKUP($A112,Output_Mac!$A:$A,Output_Mac!K:K,""),
_xlpm.MyAuditVal,_xlfn.XLOOKUP($A112,My_Audit!$A:$A,My_Audit!J:J,""),
_xlfn.IFS(_xlpm.MyAuditVal&lt;&gt;"",UPPER(_xlpm.MyAuditVal),_xlpm.MacVal&lt;&gt;"",_xlpm.MacVal,_xlpm.CSVVal&lt;&gt;"",_xlpm.CSVVal
)),"")</f>
        <v/>
      </c>
      <c r="L112" s="2" t="str" cm="1">
        <f t="array" ref="L112">IFERROR(_xlfn.LET(
_xlpm.CSVVal,_xlfn.XLOOKUP($A112,CSV!$A:$A,CSV!P:P,""),
_xlpm.MacVal,_xlfn.XLOOKUP($A112,Output_Mac!$A:$A,Output_Mac!L:L,""),
_xlpm.MyAuditVal,_xlfn.XLOOKUP($A112,My_Audit!$A:$A,My_Audit!K:K,""),
_xlfn.IFS(_xlpm.MyAuditVal&lt;&gt;"",UPPER(_xlpm.MyAuditVal),_xlpm.MacVal&lt;&gt;"",_xlpm.MacVal,_xlpm.CSVVal&lt;&gt;"",_xlpm.CSVVal
)),"")</f>
        <v/>
      </c>
      <c r="M112" s="2" t="str" cm="1">
        <f t="array" ref="M112">IFERROR(_xlfn.LET(
_xlpm.CSVVal,_xlfn.XLOOKUP($A112,CSV!$A:$A,CSV!Q:Q,""),
_xlpm.MacVal,_xlfn.XLOOKUP($A112,Output_Mac!$A:$A,Output_Mac!M:M,""),
_xlpm.MyAuditVal,_xlfn.XLOOKUP($A112,My_Audit!$A:$A,My_Audit!L:L,""),
_xlfn.IFS(_xlpm.MyAuditVal&lt;&gt;"",UPPER(_xlpm.MyAuditVal),_xlpm.MacVal&lt;&gt;"",_xlpm.MacVal,_xlpm.CSVVal&lt;&gt;"",_xlpm.CSVVal
)),"")</f>
        <v/>
      </c>
      <c r="O112" s="2" t="str">
        <f>_xlfn.LET(
    _xlpm.CSVVal, _xlfn.XLOOKUP($A112, CSV!$A:$A, CSV!AA:AA, ""),
    _xlpm.MacVal, _xlfn.XLOOKUP($A112, Output_Mac!$A:$A, Output_Mac!S:S, ""),
    _xlpm.MyAuditVal, _xlfn.XLOOKUP($A112, My_Audit!$A:$A, My_Audit!P:P, ""),
    _xlfn.TEXTJOIN(", ", TRUE, _xlpm.MyAuditVal, _xlpm.MacVal, _xlpm.CSVVal)
)</f>
        <v/>
      </c>
      <c r="P112" s="2" t="str" cm="1">
        <f t="array" ref="P112">IFERROR(_xlfn.LET(
_xlpm.CSVVal,_xlfn.XLOOKUP($A112,CSV!$A:$A,CSV!AB:AB,""),
_xlpm.MacVal,_xlfn.XLOOKUP($A112,Output_Mac!$A:$A,Output_Mac!T:T,""),
_xlpm.MyAuditVal,_xlfn.XLOOKUP($A112,My_Audit!$A:$A,My_Audit!Q:Q,""),
_xlfn.IFS(_xlpm.MyAuditVal&lt;&gt;"",UPPER(_xlpm.MyAuditVal),_xlpm.MacVal&lt;&gt;"",_xlpm.MacVal,_xlpm.CSVVal&lt;&gt;"",_xlpm.CSVVal
)),"No")</f>
        <v>No</v>
      </c>
      <c r="Q112" s="2" t="str" cm="1">
        <f t="array" ref="Q112">IFERROR(_xlfn.LET(
_xlpm.CSVVal,_xlfn.XLOOKUP($A112,CSV!$A:$A,CSV!AC:AC,""),
_xlpm.MacVal,_xlfn.XLOOKUP($A112,Output_Mac!$A:$A,Output_Mac!U:U,""),
_xlpm.MyAuditVal,_xlfn.XLOOKUP($A112,My_Audit!$A:$A,My_Audit!R:R,""),
_xlfn.IFS(_xlpm.MyAuditVal&lt;&gt;"",UPPER(_xlpm.MyAuditVal),_xlpm.MacVal&lt;&gt;"",_xlpm.MacVal,_xlpm.CSVVal&lt;&gt;"",_xlpm.CSVVal
)),"")</f>
        <v/>
      </c>
      <c r="X112" t="str">
        <f>_xlfn.LET(
    _xlpm.MacVal, _xlfn.XLOOKUP($A112, Output_Mac!$A:$A, Output_Mac!AB:AB, ""),
    _xlpm.MyAuditVal, _xlfn.XLOOKUP($A112, My_Audit!$A:$A, My_Audit!N:N, ""),
    _xlfn.TEXTJOIN(", ", TRUE, _xlpm.MyAuditVal, _xlpm.MacVal)
)</f>
        <v/>
      </c>
    </row>
    <row r="113" spans="1:24">
      <c r="A113" s="2" t="str">
        <f>_xlfn.TEXTJOIN("",TRUE,Input!$B$2,ROW(My_Audit!A112))</f>
        <v>X112</v>
      </c>
      <c r="B113" s="2" t="str">
        <f>_xlfn.TEXTJOIN("-",TRUE,"ITD",Input!$A$2,A113)</f>
        <v>ITD-SHR-X112</v>
      </c>
      <c r="C113" s="2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2" t="str" cm="1">
        <f t="array" ref="D113">IFERROR(_xlfn.LET(
_xlpm.CSVVal,_xlfn.XLOOKUP($A113,CSV!$A:$A,CSV!D:D,""),
_xlpm.MacVal,_xlfn.XLOOKUP($A113,Output_Mac!$A:$A,Output_Mac!C:C,""),
_xlpm.MyAuditVal,_xlfn.XLOOKUP($A113,My_Audit!$A:$A,My_Audit!C:C,""),
_xlfn.IFS(_xlpm.MyAuditVal&lt;&gt;"",_xlpm.MyAuditVal,_xlpm.MacVal&lt;&gt;"",_xlpm.MacVal,_xlpm.CSVVal&lt;&gt;"",_xlpm.CSVVal
)),"")</f>
        <v/>
      </c>
      <c r="E113" s="2" t="str">
        <f>_xlfn.XLOOKUP(A113,My_Audit!A:A,My_Audit!D:D,"")</f>
        <v/>
      </c>
      <c r="F113" s="2" t="str" cm="1">
        <f t="array" ref="F113">IFERROR(_xlfn.LET(
_xlpm.CSVVal,_xlfn.XLOOKUP($A113,CSV!$A:$A,CSV!F:F,""),
_xlpm.MacVal,_xlfn.XLOOKUP($A113,Output_Mac!$A:$A,Output_Mac!E:E,""),
_xlpm.MyAuditVal,_xlfn.XLOOKUP($A113,My_Audit!$A:$A,My_Audit!E:E,""),
_xlfn.IFS(_xlpm.MyAuditVal&lt;&gt;"",_xlpm.MyAuditVal,_xlpm.MacVal&lt;&gt;"",_xlpm.MacVal,_xlpm.CSVVal&lt;&gt;"",_xlpm.CSVVal
)),"")</f>
        <v/>
      </c>
      <c r="G113" s="2" t="str" cm="1">
        <f t="array" ref="G113">IFERROR(_xlfn.LET(
_xlpm.CSVVal,_xlfn.XLOOKUP($A113,CSV!$A:$A,CSV!G:G,""),
_xlpm.MacVal,_xlfn.XLOOKUP($A113,Output_Mac!$A:$A,Output_Mac!F:F,""),
_xlpm.MyAuditVal,_xlfn.XLOOKUP($A113,My_Audit!$A:$A,My_Audit!F:F,""),
_xlfn.IFS(_xlpm.MyAuditVal&lt;&gt;"",_xlpm.MyAuditVal,_xlpm.MacVal&lt;&gt;"",_xlpm.MacVal,_xlpm.CSVVal&lt;&gt;"",PROPER(_xlpm.CSVVal)
)),"")</f>
        <v/>
      </c>
      <c r="H113" s="2" t="str" cm="1">
        <f t="array" ref="H113">IFERROR(_xlfn.LET(
_xlpm.CSVVal,_xlfn.XLOOKUP($A113,CSV!$A:$A,CSV!H:H,""),
_xlpm.MacVal,_xlfn.XLOOKUP($A113,Output_Mac!$A:$A,Output_Mac!H:H,""),
_xlpm.MyAuditVal,_xlfn.XLOOKUP($A113,My_Audit!$A:$A,My_Audit!G:G,""),
_xlfn.IFS(_xlpm.MyAuditVal&lt;&gt;"",_xlpm.MyAuditVal,_xlpm.MacVal&lt;&gt;"",_xlpm.MacVal,_xlpm.CSVVal&lt;&gt;"",_xlpm.CSVVal
)),"")</f>
        <v/>
      </c>
      <c r="I113" s="2" t="str">
        <f>_xlfn.XLOOKUP(A113,Output_Mac!A:A,Output_Mac!I:I,"")</f>
        <v/>
      </c>
      <c r="J113" s="2" t="str" cm="1">
        <f t="array" ref="J113">IFERROR(_xlfn.LET(
_xlpm.CSVVal,_xlfn.XLOOKUP($A113,CSV!$A:$A,CSV!I:I,""),
_xlpm.MacVal,_xlfn.XLOOKUP($A113,Output_Mac!$A:$A,Output_Mac!J:J,""),
_xlpm.MyAuditVal,_xlfn.XLOOKUP($A113,My_Audit!$A:$A,My_Audit!I:I,""),
_xlfn.IFS(_xlpm.MyAuditVal&lt;&gt;"",UPPER(_xlpm.MyAuditVal),_xlpm.MacVal&lt;&gt;"",_xlpm.MacVal,_xlpm.CSVVal&lt;&gt;"",_xlpm.CSVVal
)),"")</f>
        <v/>
      </c>
      <c r="K113" s="2" t="str" cm="1">
        <f t="array" ref="K113">IFERROR(_xlfn.LET(
_xlpm.CSVVal,_xlfn.XLOOKUP($A113,CSV!$A:$A,CSV!K:K,""),
_xlpm.MacVal,_xlfn.XLOOKUP($A113,Output_Mac!$A:$A,Output_Mac!K:K,""),
_xlpm.MyAuditVal,_xlfn.XLOOKUP($A113,My_Audit!$A:$A,My_Audit!J:J,""),
_xlfn.IFS(_xlpm.MyAuditVal&lt;&gt;"",UPPER(_xlpm.MyAuditVal),_xlpm.MacVal&lt;&gt;"",_xlpm.MacVal,_xlpm.CSVVal&lt;&gt;"",_xlpm.CSVVal
)),"")</f>
        <v/>
      </c>
      <c r="L113" s="2" t="str" cm="1">
        <f t="array" ref="L113">IFERROR(_xlfn.LET(
_xlpm.CSVVal,_xlfn.XLOOKUP($A113,CSV!$A:$A,CSV!P:P,""),
_xlpm.MacVal,_xlfn.XLOOKUP($A113,Output_Mac!$A:$A,Output_Mac!L:L,""),
_xlpm.MyAuditVal,_xlfn.XLOOKUP($A113,My_Audit!$A:$A,My_Audit!K:K,""),
_xlfn.IFS(_xlpm.MyAuditVal&lt;&gt;"",UPPER(_xlpm.MyAuditVal),_xlpm.MacVal&lt;&gt;"",_xlpm.MacVal,_xlpm.CSVVal&lt;&gt;"",_xlpm.CSVVal
)),"")</f>
        <v/>
      </c>
      <c r="M113" s="2" t="str" cm="1">
        <f t="array" ref="M113">IFERROR(_xlfn.LET(
_xlpm.CSVVal,_xlfn.XLOOKUP($A113,CSV!$A:$A,CSV!Q:Q,""),
_xlpm.MacVal,_xlfn.XLOOKUP($A113,Output_Mac!$A:$A,Output_Mac!M:M,""),
_xlpm.MyAuditVal,_xlfn.XLOOKUP($A113,My_Audit!$A:$A,My_Audit!L:L,""),
_xlfn.IFS(_xlpm.MyAuditVal&lt;&gt;"",UPPER(_xlpm.MyAuditVal),_xlpm.MacVal&lt;&gt;"",_xlpm.MacVal,_xlpm.CSVVal&lt;&gt;"",_xlpm.CSVVal
)),"")</f>
        <v/>
      </c>
      <c r="O113" s="2" t="str">
        <f>_xlfn.LET(
    _xlpm.CSVVal, _xlfn.XLOOKUP($A113, CSV!$A:$A, CSV!AA:AA, ""),
    _xlpm.MacVal, _xlfn.XLOOKUP($A113, Output_Mac!$A:$A, Output_Mac!S:S, ""),
    _xlpm.MyAuditVal, _xlfn.XLOOKUP($A113, My_Audit!$A:$A, My_Audit!P:P, ""),
    _xlfn.TEXTJOIN(", ", TRUE, _xlpm.MyAuditVal, _xlpm.MacVal, _xlpm.CSVVal)
)</f>
        <v/>
      </c>
      <c r="P113" s="2" t="str" cm="1">
        <f t="array" ref="P113">IFERROR(_xlfn.LET(
_xlpm.CSVVal,_xlfn.XLOOKUP($A113,CSV!$A:$A,CSV!AB:AB,""),
_xlpm.MacVal,_xlfn.XLOOKUP($A113,Output_Mac!$A:$A,Output_Mac!T:T,""),
_xlpm.MyAuditVal,_xlfn.XLOOKUP($A113,My_Audit!$A:$A,My_Audit!Q:Q,""),
_xlfn.IFS(_xlpm.MyAuditVal&lt;&gt;"",UPPER(_xlpm.MyAuditVal),_xlpm.MacVal&lt;&gt;"",_xlpm.MacVal,_xlpm.CSVVal&lt;&gt;"",_xlpm.CSVVal
)),"No")</f>
        <v>No</v>
      </c>
      <c r="Q113" s="2" t="str" cm="1">
        <f t="array" ref="Q113">IFERROR(_xlfn.LET(
_xlpm.CSVVal,_xlfn.XLOOKUP($A113,CSV!$A:$A,CSV!AC:AC,""),
_xlpm.MacVal,_xlfn.XLOOKUP($A113,Output_Mac!$A:$A,Output_Mac!U:U,""),
_xlpm.MyAuditVal,_xlfn.XLOOKUP($A113,My_Audit!$A:$A,My_Audit!R:R,""),
_xlfn.IFS(_xlpm.MyAuditVal&lt;&gt;"",UPPER(_xlpm.MyAuditVal),_xlpm.MacVal&lt;&gt;"",_xlpm.MacVal,_xlpm.CSVVal&lt;&gt;"",_xlpm.CSVVal
)),"")</f>
        <v/>
      </c>
      <c r="X113" t="str">
        <f>_xlfn.LET(
    _xlpm.MacVal, _xlfn.XLOOKUP($A113, Output_Mac!$A:$A, Output_Mac!AB:AB, ""),
    _xlpm.MyAuditVal, _xlfn.XLOOKUP($A113, My_Audit!$A:$A, My_Audit!N:N, ""),
    _xlfn.TEXTJOIN(", ", TRUE, _xlpm.MyAuditVal, _xlpm.MacVal)
)</f>
        <v/>
      </c>
    </row>
    <row r="114" spans="1:24">
      <c r="A114" s="2" t="str">
        <f>_xlfn.TEXTJOIN("",TRUE,Input!$B$2,ROW(My_Audit!A113))</f>
        <v>X113</v>
      </c>
      <c r="B114" s="2" t="str">
        <f>_xlfn.TEXTJOIN("-",TRUE,"ITD",Input!$A$2,A114)</f>
        <v>ITD-SHR-X113</v>
      </c>
      <c r="C114" s="2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2" t="str" cm="1">
        <f t="array" ref="D114">IFERROR(_xlfn.LET(
_xlpm.CSVVal,_xlfn.XLOOKUP($A114,CSV!$A:$A,CSV!D:D,""),
_xlpm.MacVal,_xlfn.XLOOKUP($A114,Output_Mac!$A:$A,Output_Mac!C:C,""),
_xlpm.MyAuditVal,_xlfn.XLOOKUP($A114,My_Audit!$A:$A,My_Audit!C:C,""),
_xlfn.IFS(_xlpm.MyAuditVal&lt;&gt;"",_xlpm.MyAuditVal,_xlpm.MacVal&lt;&gt;"",_xlpm.MacVal,_xlpm.CSVVal&lt;&gt;"",_xlpm.CSVVal
)),"")</f>
        <v/>
      </c>
      <c r="E114" s="2" t="str">
        <f>_xlfn.XLOOKUP(A114,My_Audit!A:A,My_Audit!D:D,"")</f>
        <v/>
      </c>
      <c r="F114" s="2" t="str" cm="1">
        <f t="array" ref="F114">IFERROR(_xlfn.LET(
_xlpm.CSVVal,_xlfn.XLOOKUP($A114,CSV!$A:$A,CSV!F:F,""),
_xlpm.MacVal,_xlfn.XLOOKUP($A114,Output_Mac!$A:$A,Output_Mac!E:E,""),
_xlpm.MyAuditVal,_xlfn.XLOOKUP($A114,My_Audit!$A:$A,My_Audit!E:E,""),
_xlfn.IFS(_xlpm.MyAuditVal&lt;&gt;"",_xlpm.MyAuditVal,_xlpm.MacVal&lt;&gt;"",_xlpm.MacVal,_xlpm.CSVVal&lt;&gt;"",_xlpm.CSVVal
)),"")</f>
        <v/>
      </c>
      <c r="G114" s="2" t="str" cm="1">
        <f t="array" ref="G114">IFERROR(_xlfn.LET(
_xlpm.CSVVal,_xlfn.XLOOKUP($A114,CSV!$A:$A,CSV!G:G,""),
_xlpm.MacVal,_xlfn.XLOOKUP($A114,Output_Mac!$A:$A,Output_Mac!F:F,""),
_xlpm.MyAuditVal,_xlfn.XLOOKUP($A114,My_Audit!$A:$A,My_Audit!F:F,""),
_xlfn.IFS(_xlpm.MyAuditVal&lt;&gt;"",_xlpm.MyAuditVal,_xlpm.MacVal&lt;&gt;"",_xlpm.MacVal,_xlpm.CSVVal&lt;&gt;"",PROPER(_xlpm.CSVVal)
)),"")</f>
        <v/>
      </c>
      <c r="H114" s="2" t="str" cm="1">
        <f t="array" ref="H114">IFERROR(_xlfn.LET(
_xlpm.CSVVal,_xlfn.XLOOKUP($A114,CSV!$A:$A,CSV!H:H,""),
_xlpm.MacVal,_xlfn.XLOOKUP($A114,Output_Mac!$A:$A,Output_Mac!H:H,""),
_xlpm.MyAuditVal,_xlfn.XLOOKUP($A114,My_Audit!$A:$A,My_Audit!G:G,""),
_xlfn.IFS(_xlpm.MyAuditVal&lt;&gt;"",_xlpm.MyAuditVal,_xlpm.MacVal&lt;&gt;"",_xlpm.MacVal,_xlpm.CSVVal&lt;&gt;"",_xlpm.CSVVal
)),"")</f>
        <v/>
      </c>
      <c r="I114" s="2" t="str">
        <f>_xlfn.XLOOKUP(A114,Output_Mac!A:A,Output_Mac!I:I,"")</f>
        <v/>
      </c>
      <c r="J114" s="2" t="str" cm="1">
        <f t="array" ref="J114">IFERROR(_xlfn.LET(
_xlpm.CSVVal,_xlfn.XLOOKUP($A114,CSV!$A:$A,CSV!I:I,""),
_xlpm.MacVal,_xlfn.XLOOKUP($A114,Output_Mac!$A:$A,Output_Mac!J:J,""),
_xlpm.MyAuditVal,_xlfn.XLOOKUP($A114,My_Audit!$A:$A,My_Audit!I:I,""),
_xlfn.IFS(_xlpm.MyAuditVal&lt;&gt;"",UPPER(_xlpm.MyAuditVal),_xlpm.MacVal&lt;&gt;"",_xlpm.MacVal,_xlpm.CSVVal&lt;&gt;"",_xlpm.CSVVal
)),"")</f>
        <v/>
      </c>
      <c r="K114" s="2" t="str" cm="1">
        <f t="array" ref="K114">IFERROR(_xlfn.LET(
_xlpm.CSVVal,_xlfn.XLOOKUP($A114,CSV!$A:$A,CSV!K:K,""),
_xlpm.MacVal,_xlfn.XLOOKUP($A114,Output_Mac!$A:$A,Output_Mac!K:K,""),
_xlpm.MyAuditVal,_xlfn.XLOOKUP($A114,My_Audit!$A:$A,My_Audit!J:J,""),
_xlfn.IFS(_xlpm.MyAuditVal&lt;&gt;"",UPPER(_xlpm.MyAuditVal),_xlpm.MacVal&lt;&gt;"",_xlpm.MacVal,_xlpm.CSVVal&lt;&gt;"",_xlpm.CSVVal
)),"")</f>
        <v/>
      </c>
      <c r="L114" s="2" t="str" cm="1">
        <f t="array" ref="L114">IFERROR(_xlfn.LET(
_xlpm.CSVVal,_xlfn.XLOOKUP($A114,CSV!$A:$A,CSV!P:P,""),
_xlpm.MacVal,_xlfn.XLOOKUP($A114,Output_Mac!$A:$A,Output_Mac!L:L,""),
_xlpm.MyAuditVal,_xlfn.XLOOKUP($A114,My_Audit!$A:$A,My_Audit!K:K,""),
_xlfn.IFS(_xlpm.MyAuditVal&lt;&gt;"",UPPER(_xlpm.MyAuditVal),_xlpm.MacVal&lt;&gt;"",_xlpm.MacVal,_xlpm.CSVVal&lt;&gt;"",_xlpm.CSVVal
)),"")</f>
        <v/>
      </c>
      <c r="M114" s="2" t="str" cm="1">
        <f t="array" ref="M114">IFERROR(_xlfn.LET(
_xlpm.CSVVal,_xlfn.XLOOKUP($A114,CSV!$A:$A,CSV!Q:Q,""),
_xlpm.MacVal,_xlfn.XLOOKUP($A114,Output_Mac!$A:$A,Output_Mac!M:M,""),
_xlpm.MyAuditVal,_xlfn.XLOOKUP($A114,My_Audit!$A:$A,My_Audit!L:L,""),
_xlfn.IFS(_xlpm.MyAuditVal&lt;&gt;"",UPPER(_xlpm.MyAuditVal),_xlpm.MacVal&lt;&gt;"",_xlpm.MacVal,_xlpm.CSVVal&lt;&gt;"",_xlpm.CSVVal
)),"")</f>
        <v/>
      </c>
      <c r="O114" s="2" t="str">
        <f>_xlfn.LET(
    _xlpm.CSVVal, _xlfn.XLOOKUP($A114, CSV!$A:$A, CSV!AA:AA, ""),
    _xlpm.MacVal, _xlfn.XLOOKUP($A114, Output_Mac!$A:$A, Output_Mac!S:S, ""),
    _xlpm.MyAuditVal, _xlfn.XLOOKUP($A114, My_Audit!$A:$A, My_Audit!P:P, ""),
    _xlfn.TEXTJOIN(", ", TRUE, _xlpm.MyAuditVal, _xlpm.MacVal, _xlpm.CSVVal)
)</f>
        <v/>
      </c>
      <c r="P114" s="2" t="str" cm="1">
        <f t="array" ref="P114">IFERROR(_xlfn.LET(
_xlpm.CSVVal,_xlfn.XLOOKUP($A114,CSV!$A:$A,CSV!AB:AB,""),
_xlpm.MacVal,_xlfn.XLOOKUP($A114,Output_Mac!$A:$A,Output_Mac!T:T,""),
_xlpm.MyAuditVal,_xlfn.XLOOKUP($A114,My_Audit!$A:$A,My_Audit!Q:Q,""),
_xlfn.IFS(_xlpm.MyAuditVal&lt;&gt;"",UPPER(_xlpm.MyAuditVal),_xlpm.MacVal&lt;&gt;"",_xlpm.MacVal,_xlpm.CSVVal&lt;&gt;"",_xlpm.CSVVal
)),"No")</f>
        <v>No</v>
      </c>
      <c r="Q114" s="2" t="str" cm="1">
        <f t="array" ref="Q114">IFERROR(_xlfn.LET(
_xlpm.CSVVal,_xlfn.XLOOKUP($A114,CSV!$A:$A,CSV!AC:AC,""),
_xlpm.MacVal,_xlfn.XLOOKUP($A114,Output_Mac!$A:$A,Output_Mac!U:U,""),
_xlpm.MyAuditVal,_xlfn.XLOOKUP($A114,My_Audit!$A:$A,My_Audit!R:R,""),
_xlfn.IFS(_xlpm.MyAuditVal&lt;&gt;"",UPPER(_xlpm.MyAuditVal),_xlpm.MacVal&lt;&gt;"",_xlpm.MacVal,_xlpm.CSVVal&lt;&gt;"",_xlpm.CSVVal
)),"")</f>
        <v/>
      </c>
      <c r="X114" t="str">
        <f>_xlfn.LET(
    _xlpm.MacVal, _xlfn.XLOOKUP($A114, Output_Mac!$A:$A, Output_Mac!AB:AB, ""),
    _xlpm.MyAuditVal, _xlfn.XLOOKUP($A114, My_Audit!$A:$A, My_Audit!N:N, ""),
    _xlfn.TEXTJOIN(", ", TRUE, _xlpm.MyAuditVal, _xlpm.MacVal)
)</f>
        <v/>
      </c>
    </row>
    <row r="115" spans="1:24">
      <c r="A115" s="2" t="str">
        <f>_xlfn.TEXTJOIN("",TRUE,Input!$B$2,ROW(My_Audit!A114))</f>
        <v>X114</v>
      </c>
      <c r="B115" s="2" t="str">
        <f>_xlfn.TEXTJOIN("-",TRUE,"ITD",Input!$A$2,A115)</f>
        <v>ITD-SHR-X114</v>
      </c>
      <c r="C115" s="2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2" t="str" cm="1">
        <f t="array" ref="D115">IFERROR(_xlfn.LET(
_xlpm.CSVVal,_xlfn.XLOOKUP($A115,CSV!$A:$A,CSV!D:D,""),
_xlpm.MacVal,_xlfn.XLOOKUP($A115,Output_Mac!$A:$A,Output_Mac!C:C,""),
_xlpm.MyAuditVal,_xlfn.XLOOKUP($A115,My_Audit!$A:$A,My_Audit!C:C,""),
_xlfn.IFS(_xlpm.MyAuditVal&lt;&gt;"",_xlpm.MyAuditVal,_xlpm.MacVal&lt;&gt;"",_xlpm.MacVal,_xlpm.CSVVal&lt;&gt;"",_xlpm.CSVVal
)),"")</f>
        <v/>
      </c>
      <c r="E115" s="2" t="str">
        <f>_xlfn.XLOOKUP(A115,My_Audit!A:A,My_Audit!D:D,"")</f>
        <v/>
      </c>
      <c r="F115" s="2" t="str" cm="1">
        <f t="array" ref="F115">IFERROR(_xlfn.LET(
_xlpm.CSVVal,_xlfn.XLOOKUP($A115,CSV!$A:$A,CSV!F:F,""),
_xlpm.MacVal,_xlfn.XLOOKUP($A115,Output_Mac!$A:$A,Output_Mac!E:E,""),
_xlpm.MyAuditVal,_xlfn.XLOOKUP($A115,My_Audit!$A:$A,My_Audit!E:E,""),
_xlfn.IFS(_xlpm.MyAuditVal&lt;&gt;"",_xlpm.MyAuditVal,_xlpm.MacVal&lt;&gt;"",_xlpm.MacVal,_xlpm.CSVVal&lt;&gt;"",_xlpm.CSVVal
)),"")</f>
        <v/>
      </c>
      <c r="G115" s="2" t="str" cm="1">
        <f t="array" ref="G115">IFERROR(_xlfn.LET(
_xlpm.CSVVal,_xlfn.XLOOKUP($A115,CSV!$A:$A,CSV!G:G,""),
_xlpm.MacVal,_xlfn.XLOOKUP($A115,Output_Mac!$A:$A,Output_Mac!F:F,""),
_xlpm.MyAuditVal,_xlfn.XLOOKUP($A115,My_Audit!$A:$A,My_Audit!F:F,""),
_xlfn.IFS(_xlpm.MyAuditVal&lt;&gt;"",_xlpm.MyAuditVal,_xlpm.MacVal&lt;&gt;"",_xlpm.MacVal,_xlpm.CSVVal&lt;&gt;"",PROPER(_xlpm.CSVVal)
)),"")</f>
        <v/>
      </c>
      <c r="H115" s="2" t="str" cm="1">
        <f t="array" ref="H115">IFERROR(_xlfn.LET(
_xlpm.CSVVal,_xlfn.XLOOKUP($A115,CSV!$A:$A,CSV!H:H,""),
_xlpm.MacVal,_xlfn.XLOOKUP($A115,Output_Mac!$A:$A,Output_Mac!H:H,""),
_xlpm.MyAuditVal,_xlfn.XLOOKUP($A115,My_Audit!$A:$A,My_Audit!G:G,""),
_xlfn.IFS(_xlpm.MyAuditVal&lt;&gt;"",_xlpm.MyAuditVal,_xlpm.MacVal&lt;&gt;"",_xlpm.MacVal,_xlpm.CSVVal&lt;&gt;"",_xlpm.CSVVal
)),"")</f>
        <v/>
      </c>
      <c r="I115" s="2" t="str">
        <f>_xlfn.XLOOKUP(A115,Output_Mac!A:A,Output_Mac!I:I,"")</f>
        <v/>
      </c>
      <c r="J115" s="2" t="str" cm="1">
        <f t="array" ref="J115">IFERROR(_xlfn.LET(
_xlpm.CSVVal,_xlfn.XLOOKUP($A115,CSV!$A:$A,CSV!I:I,""),
_xlpm.MacVal,_xlfn.XLOOKUP($A115,Output_Mac!$A:$A,Output_Mac!J:J,""),
_xlpm.MyAuditVal,_xlfn.XLOOKUP($A115,My_Audit!$A:$A,My_Audit!I:I,""),
_xlfn.IFS(_xlpm.MyAuditVal&lt;&gt;"",UPPER(_xlpm.MyAuditVal),_xlpm.MacVal&lt;&gt;"",_xlpm.MacVal,_xlpm.CSVVal&lt;&gt;"",_xlpm.CSVVal
)),"")</f>
        <v/>
      </c>
      <c r="K115" s="2" t="str" cm="1">
        <f t="array" ref="K115">IFERROR(_xlfn.LET(
_xlpm.CSVVal,_xlfn.XLOOKUP($A115,CSV!$A:$A,CSV!K:K,""),
_xlpm.MacVal,_xlfn.XLOOKUP($A115,Output_Mac!$A:$A,Output_Mac!K:K,""),
_xlpm.MyAuditVal,_xlfn.XLOOKUP($A115,My_Audit!$A:$A,My_Audit!J:J,""),
_xlfn.IFS(_xlpm.MyAuditVal&lt;&gt;"",UPPER(_xlpm.MyAuditVal),_xlpm.MacVal&lt;&gt;"",_xlpm.MacVal,_xlpm.CSVVal&lt;&gt;"",_xlpm.CSVVal
)),"")</f>
        <v/>
      </c>
      <c r="L115" s="2" t="str" cm="1">
        <f t="array" ref="L115">IFERROR(_xlfn.LET(
_xlpm.CSVVal,_xlfn.XLOOKUP($A115,CSV!$A:$A,CSV!P:P,""),
_xlpm.MacVal,_xlfn.XLOOKUP($A115,Output_Mac!$A:$A,Output_Mac!L:L,""),
_xlpm.MyAuditVal,_xlfn.XLOOKUP($A115,My_Audit!$A:$A,My_Audit!K:K,""),
_xlfn.IFS(_xlpm.MyAuditVal&lt;&gt;"",UPPER(_xlpm.MyAuditVal),_xlpm.MacVal&lt;&gt;"",_xlpm.MacVal,_xlpm.CSVVal&lt;&gt;"",_xlpm.CSVVal
)),"")</f>
        <v/>
      </c>
      <c r="M115" s="2" t="str" cm="1">
        <f t="array" ref="M115">IFERROR(_xlfn.LET(
_xlpm.CSVVal,_xlfn.XLOOKUP($A115,CSV!$A:$A,CSV!Q:Q,""),
_xlpm.MacVal,_xlfn.XLOOKUP($A115,Output_Mac!$A:$A,Output_Mac!M:M,""),
_xlpm.MyAuditVal,_xlfn.XLOOKUP($A115,My_Audit!$A:$A,My_Audit!L:L,""),
_xlfn.IFS(_xlpm.MyAuditVal&lt;&gt;"",UPPER(_xlpm.MyAuditVal),_xlpm.MacVal&lt;&gt;"",_xlpm.MacVal,_xlpm.CSVVal&lt;&gt;"",_xlpm.CSVVal
)),"")</f>
        <v/>
      </c>
      <c r="O115" s="2" t="str">
        <f>_xlfn.LET(
    _xlpm.CSVVal, _xlfn.XLOOKUP($A115, CSV!$A:$A, CSV!AA:AA, ""),
    _xlpm.MacVal, _xlfn.XLOOKUP($A115, Output_Mac!$A:$A, Output_Mac!S:S, ""),
    _xlpm.MyAuditVal, _xlfn.XLOOKUP($A115, My_Audit!$A:$A, My_Audit!P:P, ""),
    _xlfn.TEXTJOIN(", ", TRUE, _xlpm.MyAuditVal, _xlpm.MacVal, _xlpm.CSVVal)
)</f>
        <v/>
      </c>
      <c r="P115" s="2" t="str" cm="1">
        <f t="array" ref="P115">IFERROR(_xlfn.LET(
_xlpm.CSVVal,_xlfn.XLOOKUP($A115,CSV!$A:$A,CSV!AB:AB,""),
_xlpm.MacVal,_xlfn.XLOOKUP($A115,Output_Mac!$A:$A,Output_Mac!T:T,""),
_xlpm.MyAuditVal,_xlfn.XLOOKUP($A115,My_Audit!$A:$A,My_Audit!Q:Q,""),
_xlfn.IFS(_xlpm.MyAuditVal&lt;&gt;"",UPPER(_xlpm.MyAuditVal),_xlpm.MacVal&lt;&gt;"",_xlpm.MacVal,_xlpm.CSVVal&lt;&gt;"",_xlpm.CSVVal
)),"No")</f>
        <v>No</v>
      </c>
      <c r="Q115" s="2" t="str" cm="1">
        <f t="array" ref="Q115">IFERROR(_xlfn.LET(
_xlpm.CSVVal,_xlfn.XLOOKUP($A115,CSV!$A:$A,CSV!AC:AC,""),
_xlpm.MacVal,_xlfn.XLOOKUP($A115,Output_Mac!$A:$A,Output_Mac!U:U,""),
_xlpm.MyAuditVal,_xlfn.XLOOKUP($A115,My_Audit!$A:$A,My_Audit!R:R,""),
_xlfn.IFS(_xlpm.MyAuditVal&lt;&gt;"",UPPER(_xlpm.MyAuditVal),_xlpm.MacVal&lt;&gt;"",_xlpm.MacVal,_xlpm.CSVVal&lt;&gt;"",_xlpm.CSVVal
)),"")</f>
        <v/>
      </c>
      <c r="X115" t="str">
        <f>_xlfn.LET(
    _xlpm.MacVal, _xlfn.XLOOKUP($A115, Output_Mac!$A:$A, Output_Mac!AB:AB, ""),
    _xlpm.MyAuditVal, _xlfn.XLOOKUP($A115, My_Audit!$A:$A, My_Audit!N:N, ""),
    _xlfn.TEXTJOIN(", ", TRUE, _xlpm.MyAuditVal, _xlpm.MacVal)
)</f>
        <v/>
      </c>
    </row>
    <row r="116" spans="1:24">
      <c r="A116" s="2" t="str">
        <f>_xlfn.TEXTJOIN("",TRUE,Input!$B$2,ROW(My_Audit!A115))</f>
        <v>X115</v>
      </c>
      <c r="B116" s="2" t="str">
        <f>_xlfn.TEXTJOIN("-",TRUE,"ITD",Input!$A$2,A116)</f>
        <v>ITD-SHR-X115</v>
      </c>
      <c r="C116" s="2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2" t="str" cm="1">
        <f t="array" ref="D116">IFERROR(_xlfn.LET(
_xlpm.CSVVal,_xlfn.XLOOKUP($A116,CSV!$A:$A,CSV!D:D,""),
_xlpm.MacVal,_xlfn.XLOOKUP($A116,Output_Mac!$A:$A,Output_Mac!C:C,""),
_xlpm.MyAuditVal,_xlfn.XLOOKUP($A116,My_Audit!$A:$A,My_Audit!C:C,""),
_xlfn.IFS(_xlpm.MyAuditVal&lt;&gt;"",_xlpm.MyAuditVal,_xlpm.MacVal&lt;&gt;"",_xlpm.MacVal,_xlpm.CSVVal&lt;&gt;"",_xlpm.CSVVal
)),"")</f>
        <v/>
      </c>
      <c r="E116" s="2" t="str">
        <f>_xlfn.XLOOKUP(A116,My_Audit!A:A,My_Audit!D:D,"")</f>
        <v/>
      </c>
      <c r="F116" s="2" t="str" cm="1">
        <f t="array" ref="F116">IFERROR(_xlfn.LET(
_xlpm.CSVVal,_xlfn.XLOOKUP($A116,CSV!$A:$A,CSV!F:F,""),
_xlpm.MacVal,_xlfn.XLOOKUP($A116,Output_Mac!$A:$A,Output_Mac!E:E,""),
_xlpm.MyAuditVal,_xlfn.XLOOKUP($A116,My_Audit!$A:$A,My_Audit!E:E,""),
_xlfn.IFS(_xlpm.MyAuditVal&lt;&gt;"",_xlpm.MyAuditVal,_xlpm.MacVal&lt;&gt;"",_xlpm.MacVal,_xlpm.CSVVal&lt;&gt;"",_xlpm.CSVVal
)),"")</f>
        <v/>
      </c>
      <c r="G116" s="2" t="str" cm="1">
        <f t="array" ref="G116">IFERROR(_xlfn.LET(
_xlpm.CSVVal,_xlfn.XLOOKUP($A116,CSV!$A:$A,CSV!G:G,""),
_xlpm.MacVal,_xlfn.XLOOKUP($A116,Output_Mac!$A:$A,Output_Mac!F:F,""),
_xlpm.MyAuditVal,_xlfn.XLOOKUP($A116,My_Audit!$A:$A,My_Audit!F:F,""),
_xlfn.IFS(_xlpm.MyAuditVal&lt;&gt;"",_xlpm.MyAuditVal,_xlpm.MacVal&lt;&gt;"",_xlpm.MacVal,_xlpm.CSVVal&lt;&gt;"",PROPER(_xlpm.CSVVal)
)),"")</f>
        <v/>
      </c>
      <c r="H116" s="2" t="str" cm="1">
        <f t="array" ref="H116">IFERROR(_xlfn.LET(
_xlpm.CSVVal,_xlfn.XLOOKUP($A116,CSV!$A:$A,CSV!H:H,""),
_xlpm.MacVal,_xlfn.XLOOKUP($A116,Output_Mac!$A:$A,Output_Mac!H:H,""),
_xlpm.MyAuditVal,_xlfn.XLOOKUP($A116,My_Audit!$A:$A,My_Audit!G:G,""),
_xlfn.IFS(_xlpm.MyAuditVal&lt;&gt;"",_xlpm.MyAuditVal,_xlpm.MacVal&lt;&gt;"",_xlpm.MacVal,_xlpm.CSVVal&lt;&gt;"",_xlpm.CSVVal
)),"")</f>
        <v/>
      </c>
      <c r="I116" s="2" t="str">
        <f>_xlfn.XLOOKUP(A116,Output_Mac!A:A,Output_Mac!I:I,"")</f>
        <v/>
      </c>
      <c r="J116" s="2" t="str" cm="1">
        <f t="array" ref="J116">IFERROR(_xlfn.LET(
_xlpm.CSVVal,_xlfn.XLOOKUP($A116,CSV!$A:$A,CSV!I:I,""),
_xlpm.MacVal,_xlfn.XLOOKUP($A116,Output_Mac!$A:$A,Output_Mac!J:J,""),
_xlpm.MyAuditVal,_xlfn.XLOOKUP($A116,My_Audit!$A:$A,My_Audit!I:I,""),
_xlfn.IFS(_xlpm.MyAuditVal&lt;&gt;"",UPPER(_xlpm.MyAuditVal),_xlpm.MacVal&lt;&gt;"",_xlpm.MacVal,_xlpm.CSVVal&lt;&gt;"",_xlpm.CSVVal
)),"")</f>
        <v/>
      </c>
      <c r="K116" s="2" t="str" cm="1">
        <f t="array" ref="K116">IFERROR(_xlfn.LET(
_xlpm.CSVVal,_xlfn.XLOOKUP($A116,CSV!$A:$A,CSV!K:K,""),
_xlpm.MacVal,_xlfn.XLOOKUP($A116,Output_Mac!$A:$A,Output_Mac!K:K,""),
_xlpm.MyAuditVal,_xlfn.XLOOKUP($A116,My_Audit!$A:$A,My_Audit!J:J,""),
_xlfn.IFS(_xlpm.MyAuditVal&lt;&gt;"",UPPER(_xlpm.MyAuditVal),_xlpm.MacVal&lt;&gt;"",_xlpm.MacVal,_xlpm.CSVVal&lt;&gt;"",_xlpm.CSVVal
)),"")</f>
        <v/>
      </c>
      <c r="L116" s="2" t="str" cm="1">
        <f t="array" ref="L116">IFERROR(_xlfn.LET(
_xlpm.CSVVal,_xlfn.XLOOKUP($A116,CSV!$A:$A,CSV!P:P,""),
_xlpm.MacVal,_xlfn.XLOOKUP($A116,Output_Mac!$A:$A,Output_Mac!L:L,""),
_xlpm.MyAuditVal,_xlfn.XLOOKUP($A116,My_Audit!$A:$A,My_Audit!K:K,""),
_xlfn.IFS(_xlpm.MyAuditVal&lt;&gt;"",UPPER(_xlpm.MyAuditVal),_xlpm.MacVal&lt;&gt;"",_xlpm.MacVal,_xlpm.CSVVal&lt;&gt;"",_xlpm.CSVVal
)),"")</f>
        <v/>
      </c>
      <c r="M116" s="2" t="str" cm="1">
        <f t="array" ref="M116">IFERROR(_xlfn.LET(
_xlpm.CSVVal,_xlfn.XLOOKUP($A116,CSV!$A:$A,CSV!Q:Q,""),
_xlpm.MacVal,_xlfn.XLOOKUP($A116,Output_Mac!$A:$A,Output_Mac!M:M,""),
_xlpm.MyAuditVal,_xlfn.XLOOKUP($A116,My_Audit!$A:$A,My_Audit!L:L,""),
_xlfn.IFS(_xlpm.MyAuditVal&lt;&gt;"",UPPER(_xlpm.MyAuditVal),_xlpm.MacVal&lt;&gt;"",_xlpm.MacVal,_xlpm.CSVVal&lt;&gt;"",_xlpm.CSVVal
)),"")</f>
        <v/>
      </c>
      <c r="O116" s="2" t="str">
        <f>_xlfn.LET(
    _xlpm.CSVVal, _xlfn.XLOOKUP($A116, CSV!$A:$A, CSV!AA:AA, ""),
    _xlpm.MacVal, _xlfn.XLOOKUP($A116, Output_Mac!$A:$A, Output_Mac!S:S, ""),
    _xlpm.MyAuditVal, _xlfn.XLOOKUP($A116, My_Audit!$A:$A, My_Audit!P:P, ""),
    _xlfn.TEXTJOIN(", ", TRUE, _xlpm.MyAuditVal, _xlpm.MacVal, _xlpm.CSVVal)
)</f>
        <v/>
      </c>
      <c r="P116" s="2" t="str" cm="1">
        <f t="array" ref="P116">IFERROR(_xlfn.LET(
_xlpm.CSVVal,_xlfn.XLOOKUP($A116,CSV!$A:$A,CSV!AB:AB,""),
_xlpm.MacVal,_xlfn.XLOOKUP($A116,Output_Mac!$A:$A,Output_Mac!T:T,""),
_xlpm.MyAuditVal,_xlfn.XLOOKUP($A116,My_Audit!$A:$A,My_Audit!Q:Q,""),
_xlfn.IFS(_xlpm.MyAuditVal&lt;&gt;"",UPPER(_xlpm.MyAuditVal),_xlpm.MacVal&lt;&gt;"",_xlpm.MacVal,_xlpm.CSVVal&lt;&gt;"",_xlpm.CSVVal
)),"No")</f>
        <v>No</v>
      </c>
      <c r="Q116" s="2" t="str" cm="1">
        <f t="array" ref="Q116">IFERROR(_xlfn.LET(
_xlpm.CSVVal,_xlfn.XLOOKUP($A116,CSV!$A:$A,CSV!AC:AC,""),
_xlpm.MacVal,_xlfn.XLOOKUP($A116,Output_Mac!$A:$A,Output_Mac!U:U,""),
_xlpm.MyAuditVal,_xlfn.XLOOKUP($A116,My_Audit!$A:$A,My_Audit!R:R,""),
_xlfn.IFS(_xlpm.MyAuditVal&lt;&gt;"",UPPER(_xlpm.MyAuditVal),_xlpm.MacVal&lt;&gt;"",_xlpm.MacVal,_xlpm.CSVVal&lt;&gt;"",_xlpm.CSVVal
)),"")</f>
        <v/>
      </c>
      <c r="X116" t="str">
        <f>_xlfn.LET(
    _xlpm.MacVal, _xlfn.XLOOKUP($A116, Output_Mac!$A:$A, Output_Mac!AB:AB, ""),
    _xlpm.MyAuditVal, _xlfn.XLOOKUP($A116, My_Audit!$A:$A, My_Audit!N:N, ""),
    _xlfn.TEXTJOIN(", ", TRUE, _xlpm.MyAuditVal, _xlpm.MacVal)
)</f>
        <v/>
      </c>
    </row>
    <row r="117" spans="1:24">
      <c r="A117" s="2" t="str">
        <f>_xlfn.TEXTJOIN("",TRUE,Input!$B$2,ROW(My_Audit!A116))</f>
        <v>X116</v>
      </c>
      <c r="B117" s="2" t="str">
        <f>_xlfn.TEXTJOIN("-",TRUE,"ITD",Input!$A$2,A117)</f>
        <v>ITD-SHR-X116</v>
      </c>
      <c r="C117" s="2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2" t="str" cm="1">
        <f t="array" ref="D117">IFERROR(_xlfn.LET(
_xlpm.CSVVal,_xlfn.XLOOKUP($A117,CSV!$A:$A,CSV!D:D,""),
_xlpm.MacVal,_xlfn.XLOOKUP($A117,Output_Mac!$A:$A,Output_Mac!C:C,""),
_xlpm.MyAuditVal,_xlfn.XLOOKUP($A117,My_Audit!$A:$A,My_Audit!C:C,""),
_xlfn.IFS(_xlpm.MyAuditVal&lt;&gt;"",_xlpm.MyAuditVal,_xlpm.MacVal&lt;&gt;"",_xlpm.MacVal,_xlpm.CSVVal&lt;&gt;"",_xlpm.CSVVal
)),"")</f>
        <v/>
      </c>
      <c r="E117" s="2" t="str">
        <f>_xlfn.XLOOKUP(A117,My_Audit!A:A,My_Audit!D:D,"")</f>
        <v/>
      </c>
      <c r="F117" s="2" t="str" cm="1">
        <f t="array" ref="F117">IFERROR(_xlfn.LET(
_xlpm.CSVVal,_xlfn.XLOOKUP($A117,CSV!$A:$A,CSV!F:F,""),
_xlpm.MacVal,_xlfn.XLOOKUP($A117,Output_Mac!$A:$A,Output_Mac!E:E,""),
_xlpm.MyAuditVal,_xlfn.XLOOKUP($A117,My_Audit!$A:$A,My_Audit!E:E,""),
_xlfn.IFS(_xlpm.MyAuditVal&lt;&gt;"",_xlpm.MyAuditVal,_xlpm.MacVal&lt;&gt;"",_xlpm.MacVal,_xlpm.CSVVal&lt;&gt;"",_xlpm.CSVVal
)),"")</f>
        <v/>
      </c>
      <c r="G117" s="2" t="str" cm="1">
        <f t="array" ref="G117">IFERROR(_xlfn.LET(
_xlpm.CSVVal,_xlfn.XLOOKUP($A117,CSV!$A:$A,CSV!G:G,""),
_xlpm.MacVal,_xlfn.XLOOKUP($A117,Output_Mac!$A:$A,Output_Mac!F:F,""),
_xlpm.MyAuditVal,_xlfn.XLOOKUP($A117,My_Audit!$A:$A,My_Audit!F:F,""),
_xlfn.IFS(_xlpm.MyAuditVal&lt;&gt;"",_xlpm.MyAuditVal,_xlpm.MacVal&lt;&gt;"",_xlpm.MacVal,_xlpm.CSVVal&lt;&gt;"",PROPER(_xlpm.CSVVal)
)),"")</f>
        <v/>
      </c>
      <c r="H117" s="2" t="str" cm="1">
        <f t="array" ref="H117">IFERROR(_xlfn.LET(
_xlpm.CSVVal,_xlfn.XLOOKUP($A117,CSV!$A:$A,CSV!H:H,""),
_xlpm.MacVal,_xlfn.XLOOKUP($A117,Output_Mac!$A:$A,Output_Mac!H:H,""),
_xlpm.MyAuditVal,_xlfn.XLOOKUP($A117,My_Audit!$A:$A,My_Audit!G:G,""),
_xlfn.IFS(_xlpm.MyAuditVal&lt;&gt;"",_xlpm.MyAuditVal,_xlpm.MacVal&lt;&gt;"",_xlpm.MacVal,_xlpm.CSVVal&lt;&gt;"",_xlpm.CSVVal
)),"")</f>
        <v/>
      </c>
      <c r="I117" s="2" t="str">
        <f>_xlfn.XLOOKUP(A117,Output_Mac!A:A,Output_Mac!I:I,"")</f>
        <v/>
      </c>
      <c r="J117" s="2" t="str" cm="1">
        <f t="array" ref="J117">IFERROR(_xlfn.LET(
_xlpm.CSVVal,_xlfn.XLOOKUP($A117,CSV!$A:$A,CSV!I:I,""),
_xlpm.MacVal,_xlfn.XLOOKUP($A117,Output_Mac!$A:$A,Output_Mac!J:J,""),
_xlpm.MyAuditVal,_xlfn.XLOOKUP($A117,My_Audit!$A:$A,My_Audit!I:I,""),
_xlfn.IFS(_xlpm.MyAuditVal&lt;&gt;"",UPPER(_xlpm.MyAuditVal),_xlpm.MacVal&lt;&gt;"",_xlpm.MacVal,_xlpm.CSVVal&lt;&gt;"",_xlpm.CSVVal
)),"")</f>
        <v/>
      </c>
      <c r="K117" s="2" t="str" cm="1">
        <f t="array" ref="K117">IFERROR(_xlfn.LET(
_xlpm.CSVVal,_xlfn.XLOOKUP($A117,CSV!$A:$A,CSV!K:K,""),
_xlpm.MacVal,_xlfn.XLOOKUP($A117,Output_Mac!$A:$A,Output_Mac!K:K,""),
_xlpm.MyAuditVal,_xlfn.XLOOKUP($A117,My_Audit!$A:$A,My_Audit!J:J,""),
_xlfn.IFS(_xlpm.MyAuditVal&lt;&gt;"",UPPER(_xlpm.MyAuditVal),_xlpm.MacVal&lt;&gt;"",_xlpm.MacVal,_xlpm.CSVVal&lt;&gt;"",_xlpm.CSVVal
)),"")</f>
        <v/>
      </c>
      <c r="L117" s="2" t="str" cm="1">
        <f t="array" ref="L117">IFERROR(_xlfn.LET(
_xlpm.CSVVal,_xlfn.XLOOKUP($A117,CSV!$A:$A,CSV!P:P,""),
_xlpm.MacVal,_xlfn.XLOOKUP($A117,Output_Mac!$A:$A,Output_Mac!L:L,""),
_xlpm.MyAuditVal,_xlfn.XLOOKUP($A117,My_Audit!$A:$A,My_Audit!K:K,""),
_xlfn.IFS(_xlpm.MyAuditVal&lt;&gt;"",UPPER(_xlpm.MyAuditVal),_xlpm.MacVal&lt;&gt;"",_xlpm.MacVal,_xlpm.CSVVal&lt;&gt;"",_xlpm.CSVVal
)),"")</f>
        <v/>
      </c>
      <c r="M117" s="2" t="str" cm="1">
        <f t="array" ref="M117">IFERROR(_xlfn.LET(
_xlpm.CSVVal,_xlfn.XLOOKUP($A117,CSV!$A:$A,CSV!Q:Q,""),
_xlpm.MacVal,_xlfn.XLOOKUP($A117,Output_Mac!$A:$A,Output_Mac!M:M,""),
_xlpm.MyAuditVal,_xlfn.XLOOKUP($A117,My_Audit!$A:$A,My_Audit!L:L,""),
_xlfn.IFS(_xlpm.MyAuditVal&lt;&gt;"",UPPER(_xlpm.MyAuditVal),_xlpm.MacVal&lt;&gt;"",_xlpm.MacVal,_xlpm.CSVVal&lt;&gt;"",_xlpm.CSVVal
)),"")</f>
        <v/>
      </c>
      <c r="O117" s="2" t="str">
        <f>_xlfn.LET(
    _xlpm.CSVVal, _xlfn.XLOOKUP($A117, CSV!$A:$A, CSV!AA:AA, ""),
    _xlpm.MacVal, _xlfn.XLOOKUP($A117, Output_Mac!$A:$A, Output_Mac!S:S, ""),
    _xlpm.MyAuditVal, _xlfn.XLOOKUP($A117, My_Audit!$A:$A, My_Audit!P:P, ""),
    _xlfn.TEXTJOIN(", ", TRUE, _xlpm.MyAuditVal, _xlpm.MacVal, _xlpm.CSVVal)
)</f>
        <v/>
      </c>
      <c r="P117" s="2" t="str" cm="1">
        <f t="array" ref="P117">IFERROR(_xlfn.LET(
_xlpm.CSVVal,_xlfn.XLOOKUP($A117,CSV!$A:$A,CSV!AB:AB,""),
_xlpm.MacVal,_xlfn.XLOOKUP($A117,Output_Mac!$A:$A,Output_Mac!T:T,""),
_xlpm.MyAuditVal,_xlfn.XLOOKUP($A117,My_Audit!$A:$A,My_Audit!Q:Q,""),
_xlfn.IFS(_xlpm.MyAuditVal&lt;&gt;"",UPPER(_xlpm.MyAuditVal),_xlpm.MacVal&lt;&gt;"",_xlpm.MacVal,_xlpm.CSVVal&lt;&gt;"",_xlpm.CSVVal
)),"No")</f>
        <v>No</v>
      </c>
      <c r="Q117" s="2" t="str" cm="1">
        <f t="array" ref="Q117">IFERROR(_xlfn.LET(
_xlpm.CSVVal,_xlfn.XLOOKUP($A117,CSV!$A:$A,CSV!AC:AC,""),
_xlpm.MacVal,_xlfn.XLOOKUP($A117,Output_Mac!$A:$A,Output_Mac!U:U,""),
_xlpm.MyAuditVal,_xlfn.XLOOKUP($A117,My_Audit!$A:$A,My_Audit!R:R,""),
_xlfn.IFS(_xlpm.MyAuditVal&lt;&gt;"",UPPER(_xlpm.MyAuditVal),_xlpm.MacVal&lt;&gt;"",_xlpm.MacVal,_xlpm.CSVVal&lt;&gt;"",_xlpm.CSVVal
)),"")</f>
        <v/>
      </c>
      <c r="X117" t="str">
        <f>_xlfn.LET(
    _xlpm.MacVal, _xlfn.XLOOKUP($A117, Output_Mac!$A:$A, Output_Mac!AB:AB, ""),
    _xlpm.MyAuditVal, _xlfn.XLOOKUP($A117, My_Audit!$A:$A, My_Audit!N:N, ""),
    _xlfn.TEXTJOIN(", ", TRUE, _xlpm.MyAuditVal, _xlpm.MacVal)
)</f>
        <v/>
      </c>
    </row>
    <row r="118" spans="1:24">
      <c r="A118" s="2" t="str">
        <f>_xlfn.TEXTJOIN("",TRUE,Input!$B$2,ROW(My_Audit!A117))</f>
        <v>X117</v>
      </c>
      <c r="B118" s="2" t="str">
        <f>_xlfn.TEXTJOIN("-",TRUE,"ITD",Input!$A$2,A118)</f>
        <v>ITD-SHR-X117</v>
      </c>
      <c r="C118" s="2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2" t="str" cm="1">
        <f t="array" ref="D118">IFERROR(_xlfn.LET(
_xlpm.CSVVal,_xlfn.XLOOKUP($A118,CSV!$A:$A,CSV!D:D,""),
_xlpm.MacVal,_xlfn.XLOOKUP($A118,Output_Mac!$A:$A,Output_Mac!C:C,""),
_xlpm.MyAuditVal,_xlfn.XLOOKUP($A118,My_Audit!$A:$A,My_Audit!C:C,""),
_xlfn.IFS(_xlpm.MyAuditVal&lt;&gt;"",_xlpm.MyAuditVal,_xlpm.MacVal&lt;&gt;"",_xlpm.MacVal,_xlpm.CSVVal&lt;&gt;"",_xlpm.CSVVal
)),"")</f>
        <v/>
      </c>
      <c r="E118" s="2" t="str">
        <f>_xlfn.XLOOKUP(A118,My_Audit!A:A,My_Audit!D:D,"")</f>
        <v/>
      </c>
      <c r="F118" s="2" t="str" cm="1">
        <f t="array" ref="F118">IFERROR(_xlfn.LET(
_xlpm.CSVVal,_xlfn.XLOOKUP($A118,CSV!$A:$A,CSV!F:F,""),
_xlpm.MacVal,_xlfn.XLOOKUP($A118,Output_Mac!$A:$A,Output_Mac!E:E,""),
_xlpm.MyAuditVal,_xlfn.XLOOKUP($A118,My_Audit!$A:$A,My_Audit!E:E,""),
_xlfn.IFS(_xlpm.MyAuditVal&lt;&gt;"",_xlpm.MyAuditVal,_xlpm.MacVal&lt;&gt;"",_xlpm.MacVal,_xlpm.CSVVal&lt;&gt;"",_xlpm.CSVVal
)),"")</f>
        <v/>
      </c>
      <c r="G118" s="2" t="str" cm="1">
        <f t="array" ref="G118">IFERROR(_xlfn.LET(
_xlpm.CSVVal,_xlfn.XLOOKUP($A118,CSV!$A:$A,CSV!G:G,""),
_xlpm.MacVal,_xlfn.XLOOKUP($A118,Output_Mac!$A:$A,Output_Mac!F:F,""),
_xlpm.MyAuditVal,_xlfn.XLOOKUP($A118,My_Audit!$A:$A,My_Audit!F:F,""),
_xlfn.IFS(_xlpm.MyAuditVal&lt;&gt;"",_xlpm.MyAuditVal,_xlpm.MacVal&lt;&gt;"",_xlpm.MacVal,_xlpm.CSVVal&lt;&gt;"",PROPER(_xlpm.CSVVal)
)),"")</f>
        <v/>
      </c>
      <c r="H118" s="2" t="str" cm="1">
        <f t="array" ref="H118">IFERROR(_xlfn.LET(
_xlpm.CSVVal,_xlfn.XLOOKUP($A118,CSV!$A:$A,CSV!H:H,""),
_xlpm.MacVal,_xlfn.XLOOKUP($A118,Output_Mac!$A:$A,Output_Mac!H:H,""),
_xlpm.MyAuditVal,_xlfn.XLOOKUP($A118,My_Audit!$A:$A,My_Audit!G:G,""),
_xlfn.IFS(_xlpm.MyAuditVal&lt;&gt;"",_xlpm.MyAuditVal,_xlpm.MacVal&lt;&gt;"",_xlpm.MacVal,_xlpm.CSVVal&lt;&gt;"",_xlpm.CSVVal
)),"")</f>
        <v/>
      </c>
      <c r="I118" s="2" t="str">
        <f>_xlfn.XLOOKUP(A118,Output_Mac!A:A,Output_Mac!I:I,"")</f>
        <v/>
      </c>
      <c r="J118" s="2" t="str" cm="1">
        <f t="array" ref="J118">IFERROR(_xlfn.LET(
_xlpm.CSVVal,_xlfn.XLOOKUP($A118,CSV!$A:$A,CSV!I:I,""),
_xlpm.MacVal,_xlfn.XLOOKUP($A118,Output_Mac!$A:$A,Output_Mac!J:J,""),
_xlpm.MyAuditVal,_xlfn.XLOOKUP($A118,My_Audit!$A:$A,My_Audit!I:I,""),
_xlfn.IFS(_xlpm.MyAuditVal&lt;&gt;"",UPPER(_xlpm.MyAuditVal),_xlpm.MacVal&lt;&gt;"",_xlpm.MacVal,_xlpm.CSVVal&lt;&gt;"",_xlpm.CSVVal
)),"")</f>
        <v/>
      </c>
      <c r="K118" s="2" t="str" cm="1">
        <f t="array" ref="K118">IFERROR(_xlfn.LET(
_xlpm.CSVVal,_xlfn.XLOOKUP($A118,CSV!$A:$A,CSV!K:K,""),
_xlpm.MacVal,_xlfn.XLOOKUP($A118,Output_Mac!$A:$A,Output_Mac!K:K,""),
_xlpm.MyAuditVal,_xlfn.XLOOKUP($A118,My_Audit!$A:$A,My_Audit!J:J,""),
_xlfn.IFS(_xlpm.MyAuditVal&lt;&gt;"",UPPER(_xlpm.MyAuditVal),_xlpm.MacVal&lt;&gt;"",_xlpm.MacVal,_xlpm.CSVVal&lt;&gt;"",_xlpm.CSVVal
)),"")</f>
        <v/>
      </c>
      <c r="L118" s="2" t="str" cm="1">
        <f t="array" ref="L118">IFERROR(_xlfn.LET(
_xlpm.CSVVal,_xlfn.XLOOKUP($A118,CSV!$A:$A,CSV!P:P,""),
_xlpm.MacVal,_xlfn.XLOOKUP($A118,Output_Mac!$A:$A,Output_Mac!L:L,""),
_xlpm.MyAuditVal,_xlfn.XLOOKUP($A118,My_Audit!$A:$A,My_Audit!K:K,""),
_xlfn.IFS(_xlpm.MyAuditVal&lt;&gt;"",UPPER(_xlpm.MyAuditVal),_xlpm.MacVal&lt;&gt;"",_xlpm.MacVal,_xlpm.CSVVal&lt;&gt;"",_xlpm.CSVVal
)),"")</f>
        <v/>
      </c>
      <c r="M118" s="2" t="str" cm="1">
        <f t="array" ref="M118">IFERROR(_xlfn.LET(
_xlpm.CSVVal,_xlfn.XLOOKUP($A118,CSV!$A:$A,CSV!Q:Q,""),
_xlpm.MacVal,_xlfn.XLOOKUP($A118,Output_Mac!$A:$A,Output_Mac!M:M,""),
_xlpm.MyAuditVal,_xlfn.XLOOKUP($A118,My_Audit!$A:$A,My_Audit!L:L,""),
_xlfn.IFS(_xlpm.MyAuditVal&lt;&gt;"",UPPER(_xlpm.MyAuditVal),_xlpm.MacVal&lt;&gt;"",_xlpm.MacVal,_xlpm.CSVVal&lt;&gt;"",_xlpm.CSVVal
)),"")</f>
        <v/>
      </c>
      <c r="O118" s="2" t="str">
        <f>_xlfn.LET(
    _xlpm.CSVVal, _xlfn.XLOOKUP($A118, CSV!$A:$A, CSV!AA:AA, ""),
    _xlpm.MacVal, _xlfn.XLOOKUP($A118, Output_Mac!$A:$A, Output_Mac!S:S, ""),
    _xlpm.MyAuditVal, _xlfn.XLOOKUP($A118, My_Audit!$A:$A, My_Audit!P:P, ""),
    _xlfn.TEXTJOIN(", ", TRUE, _xlpm.MyAuditVal, _xlpm.MacVal, _xlpm.CSVVal)
)</f>
        <v/>
      </c>
      <c r="P118" s="2" t="str" cm="1">
        <f t="array" ref="P118">IFERROR(_xlfn.LET(
_xlpm.CSVVal,_xlfn.XLOOKUP($A118,CSV!$A:$A,CSV!AB:AB,""),
_xlpm.MacVal,_xlfn.XLOOKUP($A118,Output_Mac!$A:$A,Output_Mac!T:T,""),
_xlpm.MyAuditVal,_xlfn.XLOOKUP($A118,My_Audit!$A:$A,My_Audit!Q:Q,""),
_xlfn.IFS(_xlpm.MyAuditVal&lt;&gt;"",UPPER(_xlpm.MyAuditVal),_xlpm.MacVal&lt;&gt;"",_xlpm.MacVal,_xlpm.CSVVal&lt;&gt;"",_xlpm.CSVVal
)),"No")</f>
        <v>No</v>
      </c>
      <c r="Q118" s="2" t="str" cm="1">
        <f t="array" ref="Q118">IFERROR(_xlfn.LET(
_xlpm.CSVVal,_xlfn.XLOOKUP($A118,CSV!$A:$A,CSV!AC:AC,""),
_xlpm.MacVal,_xlfn.XLOOKUP($A118,Output_Mac!$A:$A,Output_Mac!U:U,""),
_xlpm.MyAuditVal,_xlfn.XLOOKUP($A118,My_Audit!$A:$A,My_Audit!R:R,""),
_xlfn.IFS(_xlpm.MyAuditVal&lt;&gt;"",UPPER(_xlpm.MyAuditVal),_xlpm.MacVal&lt;&gt;"",_xlpm.MacVal,_xlpm.CSVVal&lt;&gt;"",_xlpm.CSVVal
)),"")</f>
        <v/>
      </c>
      <c r="X118" t="str">
        <f>_xlfn.LET(
    _xlpm.MacVal, _xlfn.XLOOKUP($A118, Output_Mac!$A:$A, Output_Mac!AB:AB, ""),
    _xlpm.MyAuditVal, _xlfn.XLOOKUP($A118, My_Audit!$A:$A, My_Audit!N:N, ""),
    _xlfn.TEXTJOIN(", ", TRUE, _xlpm.MyAuditVal, _xlpm.MacVal)
)</f>
        <v/>
      </c>
    </row>
    <row r="119" spans="1:24">
      <c r="A119" s="2" t="str">
        <f>_xlfn.TEXTJOIN("",TRUE,Input!$B$2,ROW(My_Audit!A118))</f>
        <v>X118</v>
      </c>
      <c r="B119" s="2" t="str">
        <f>_xlfn.TEXTJOIN("-",TRUE,"ITD",Input!$A$2,A119)</f>
        <v>ITD-SHR-X118</v>
      </c>
      <c r="C119" s="2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2" t="str" cm="1">
        <f t="array" ref="D119">IFERROR(_xlfn.LET(
_xlpm.CSVVal,_xlfn.XLOOKUP($A119,CSV!$A:$A,CSV!D:D,""),
_xlpm.MacVal,_xlfn.XLOOKUP($A119,Output_Mac!$A:$A,Output_Mac!C:C,""),
_xlpm.MyAuditVal,_xlfn.XLOOKUP($A119,My_Audit!$A:$A,My_Audit!C:C,""),
_xlfn.IFS(_xlpm.MyAuditVal&lt;&gt;"",_xlpm.MyAuditVal,_xlpm.MacVal&lt;&gt;"",_xlpm.MacVal,_xlpm.CSVVal&lt;&gt;"",_xlpm.CSVVal
)),"")</f>
        <v/>
      </c>
      <c r="E119" s="2" t="str">
        <f>_xlfn.XLOOKUP(A119,My_Audit!A:A,My_Audit!D:D,"")</f>
        <v/>
      </c>
      <c r="F119" s="2" t="str" cm="1">
        <f t="array" ref="F119">IFERROR(_xlfn.LET(
_xlpm.CSVVal,_xlfn.XLOOKUP($A119,CSV!$A:$A,CSV!F:F,""),
_xlpm.MacVal,_xlfn.XLOOKUP($A119,Output_Mac!$A:$A,Output_Mac!E:E,""),
_xlpm.MyAuditVal,_xlfn.XLOOKUP($A119,My_Audit!$A:$A,My_Audit!E:E,""),
_xlfn.IFS(_xlpm.MyAuditVal&lt;&gt;"",_xlpm.MyAuditVal,_xlpm.MacVal&lt;&gt;"",_xlpm.MacVal,_xlpm.CSVVal&lt;&gt;"",_xlpm.CSVVal
)),"")</f>
        <v/>
      </c>
      <c r="G119" s="2" t="str" cm="1">
        <f t="array" ref="G119">IFERROR(_xlfn.LET(
_xlpm.CSVVal,_xlfn.XLOOKUP($A119,CSV!$A:$A,CSV!G:G,""),
_xlpm.MacVal,_xlfn.XLOOKUP($A119,Output_Mac!$A:$A,Output_Mac!F:F,""),
_xlpm.MyAuditVal,_xlfn.XLOOKUP($A119,My_Audit!$A:$A,My_Audit!F:F,""),
_xlfn.IFS(_xlpm.MyAuditVal&lt;&gt;"",_xlpm.MyAuditVal,_xlpm.MacVal&lt;&gt;"",_xlpm.MacVal,_xlpm.CSVVal&lt;&gt;"",PROPER(_xlpm.CSVVal)
)),"")</f>
        <v/>
      </c>
      <c r="H119" s="2" t="str" cm="1">
        <f t="array" ref="H119">IFERROR(_xlfn.LET(
_xlpm.CSVVal,_xlfn.XLOOKUP($A119,CSV!$A:$A,CSV!H:H,""),
_xlpm.MacVal,_xlfn.XLOOKUP($A119,Output_Mac!$A:$A,Output_Mac!H:H,""),
_xlpm.MyAuditVal,_xlfn.XLOOKUP($A119,My_Audit!$A:$A,My_Audit!G:G,""),
_xlfn.IFS(_xlpm.MyAuditVal&lt;&gt;"",_xlpm.MyAuditVal,_xlpm.MacVal&lt;&gt;"",_xlpm.MacVal,_xlpm.CSVVal&lt;&gt;"",_xlpm.CSVVal
)),"")</f>
        <v/>
      </c>
      <c r="I119" s="2" t="str">
        <f>_xlfn.XLOOKUP(A119,Output_Mac!A:A,Output_Mac!I:I,"")</f>
        <v/>
      </c>
      <c r="J119" s="2" t="str" cm="1">
        <f t="array" ref="J119">IFERROR(_xlfn.LET(
_xlpm.CSVVal,_xlfn.XLOOKUP($A119,CSV!$A:$A,CSV!I:I,""),
_xlpm.MacVal,_xlfn.XLOOKUP($A119,Output_Mac!$A:$A,Output_Mac!J:J,""),
_xlpm.MyAuditVal,_xlfn.XLOOKUP($A119,My_Audit!$A:$A,My_Audit!I:I,""),
_xlfn.IFS(_xlpm.MyAuditVal&lt;&gt;"",UPPER(_xlpm.MyAuditVal),_xlpm.MacVal&lt;&gt;"",_xlpm.MacVal,_xlpm.CSVVal&lt;&gt;"",_xlpm.CSVVal
)),"")</f>
        <v/>
      </c>
      <c r="K119" s="2" t="str" cm="1">
        <f t="array" ref="K119">IFERROR(_xlfn.LET(
_xlpm.CSVVal,_xlfn.XLOOKUP($A119,CSV!$A:$A,CSV!K:K,""),
_xlpm.MacVal,_xlfn.XLOOKUP($A119,Output_Mac!$A:$A,Output_Mac!K:K,""),
_xlpm.MyAuditVal,_xlfn.XLOOKUP($A119,My_Audit!$A:$A,My_Audit!J:J,""),
_xlfn.IFS(_xlpm.MyAuditVal&lt;&gt;"",UPPER(_xlpm.MyAuditVal),_xlpm.MacVal&lt;&gt;"",_xlpm.MacVal,_xlpm.CSVVal&lt;&gt;"",_xlpm.CSVVal
)),"")</f>
        <v/>
      </c>
      <c r="L119" s="2" t="str" cm="1">
        <f t="array" ref="L119">IFERROR(_xlfn.LET(
_xlpm.CSVVal,_xlfn.XLOOKUP($A119,CSV!$A:$A,CSV!P:P,""),
_xlpm.MacVal,_xlfn.XLOOKUP($A119,Output_Mac!$A:$A,Output_Mac!L:L,""),
_xlpm.MyAuditVal,_xlfn.XLOOKUP($A119,My_Audit!$A:$A,My_Audit!K:K,""),
_xlfn.IFS(_xlpm.MyAuditVal&lt;&gt;"",UPPER(_xlpm.MyAuditVal),_xlpm.MacVal&lt;&gt;"",_xlpm.MacVal,_xlpm.CSVVal&lt;&gt;"",_xlpm.CSVVal
)),"")</f>
        <v/>
      </c>
      <c r="M119" s="2" t="str" cm="1">
        <f t="array" ref="M119">IFERROR(_xlfn.LET(
_xlpm.CSVVal,_xlfn.XLOOKUP($A119,CSV!$A:$A,CSV!Q:Q,""),
_xlpm.MacVal,_xlfn.XLOOKUP($A119,Output_Mac!$A:$A,Output_Mac!M:M,""),
_xlpm.MyAuditVal,_xlfn.XLOOKUP($A119,My_Audit!$A:$A,My_Audit!L:L,""),
_xlfn.IFS(_xlpm.MyAuditVal&lt;&gt;"",UPPER(_xlpm.MyAuditVal),_xlpm.MacVal&lt;&gt;"",_xlpm.MacVal,_xlpm.CSVVal&lt;&gt;"",_xlpm.CSVVal
)),"")</f>
        <v/>
      </c>
      <c r="O119" s="2" t="str">
        <f>_xlfn.LET(
    _xlpm.CSVVal, _xlfn.XLOOKUP($A119, CSV!$A:$A, CSV!AA:AA, ""),
    _xlpm.MacVal, _xlfn.XLOOKUP($A119, Output_Mac!$A:$A, Output_Mac!S:S, ""),
    _xlpm.MyAuditVal, _xlfn.XLOOKUP($A119, My_Audit!$A:$A, My_Audit!P:P, ""),
    _xlfn.TEXTJOIN(", ", TRUE, _xlpm.MyAuditVal, _xlpm.MacVal, _xlpm.CSVVal)
)</f>
        <v/>
      </c>
      <c r="P119" s="2" t="str" cm="1">
        <f t="array" ref="P119">IFERROR(_xlfn.LET(
_xlpm.CSVVal,_xlfn.XLOOKUP($A119,CSV!$A:$A,CSV!AB:AB,""),
_xlpm.MacVal,_xlfn.XLOOKUP($A119,Output_Mac!$A:$A,Output_Mac!T:T,""),
_xlpm.MyAuditVal,_xlfn.XLOOKUP($A119,My_Audit!$A:$A,My_Audit!Q:Q,""),
_xlfn.IFS(_xlpm.MyAuditVal&lt;&gt;"",UPPER(_xlpm.MyAuditVal),_xlpm.MacVal&lt;&gt;"",_xlpm.MacVal,_xlpm.CSVVal&lt;&gt;"",_xlpm.CSVVal
)),"No")</f>
        <v>No</v>
      </c>
      <c r="Q119" s="2" t="str" cm="1">
        <f t="array" ref="Q119">IFERROR(_xlfn.LET(
_xlpm.CSVVal,_xlfn.XLOOKUP($A119,CSV!$A:$A,CSV!AC:AC,""),
_xlpm.MacVal,_xlfn.XLOOKUP($A119,Output_Mac!$A:$A,Output_Mac!U:U,""),
_xlpm.MyAuditVal,_xlfn.XLOOKUP($A119,My_Audit!$A:$A,My_Audit!R:R,""),
_xlfn.IFS(_xlpm.MyAuditVal&lt;&gt;"",UPPER(_xlpm.MyAuditVal),_xlpm.MacVal&lt;&gt;"",_xlpm.MacVal,_xlpm.CSVVal&lt;&gt;"",_xlpm.CSVVal
)),"")</f>
        <v/>
      </c>
      <c r="X119" t="str">
        <f>_xlfn.LET(
    _xlpm.MacVal, _xlfn.XLOOKUP($A119, Output_Mac!$A:$A, Output_Mac!AB:AB, ""),
    _xlpm.MyAuditVal, _xlfn.XLOOKUP($A119, My_Audit!$A:$A, My_Audit!N:N, ""),
    _xlfn.TEXTJOIN(", ", TRUE, _xlpm.MyAuditVal, _xlpm.MacVal)
)</f>
        <v/>
      </c>
    </row>
    <row r="120" spans="1:24">
      <c r="A120" s="2" t="str">
        <f>_xlfn.TEXTJOIN("",TRUE,Input!$B$2,ROW(My_Audit!A119))</f>
        <v>X119</v>
      </c>
      <c r="B120" s="2" t="str">
        <f>_xlfn.TEXTJOIN("-",TRUE,"ITD",Input!$A$2,A120)</f>
        <v>ITD-SHR-X119</v>
      </c>
      <c r="C120" s="2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2" t="str" cm="1">
        <f t="array" ref="D120">IFERROR(_xlfn.LET(
_xlpm.CSVVal,_xlfn.XLOOKUP($A120,CSV!$A:$A,CSV!D:D,""),
_xlpm.MacVal,_xlfn.XLOOKUP($A120,Output_Mac!$A:$A,Output_Mac!C:C,""),
_xlpm.MyAuditVal,_xlfn.XLOOKUP($A120,My_Audit!$A:$A,My_Audit!C:C,""),
_xlfn.IFS(_xlpm.MyAuditVal&lt;&gt;"",_xlpm.MyAuditVal,_xlpm.MacVal&lt;&gt;"",_xlpm.MacVal,_xlpm.CSVVal&lt;&gt;"",_xlpm.CSVVal
)),"")</f>
        <v/>
      </c>
      <c r="E120" s="2" t="str">
        <f>_xlfn.XLOOKUP(A120,My_Audit!A:A,My_Audit!D:D,"")</f>
        <v/>
      </c>
      <c r="F120" s="2" t="str" cm="1">
        <f t="array" ref="F120">IFERROR(_xlfn.LET(
_xlpm.CSVVal,_xlfn.XLOOKUP($A120,CSV!$A:$A,CSV!F:F,""),
_xlpm.MacVal,_xlfn.XLOOKUP($A120,Output_Mac!$A:$A,Output_Mac!E:E,""),
_xlpm.MyAuditVal,_xlfn.XLOOKUP($A120,My_Audit!$A:$A,My_Audit!E:E,""),
_xlfn.IFS(_xlpm.MyAuditVal&lt;&gt;"",_xlpm.MyAuditVal,_xlpm.MacVal&lt;&gt;"",_xlpm.MacVal,_xlpm.CSVVal&lt;&gt;"",_xlpm.CSVVal
)),"")</f>
        <v/>
      </c>
      <c r="G120" s="2" t="str" cm="1">
        <f t="array" ref="G120">IFERROR(_xlfn.LET(
_xlpm.CSVVal,_xlfn.XLOOKUP($A120,CSV!$A:$A,CSV!G:G,""),
_xlpm.MacVal,_xlfn.XLOOKUP($A120,Output_Mac!$A:$A,Output_Mac!F:F,""),
_xlpm.MyAuditVal,_xlfn.XLOOKUP($A120,My_Audit!$A:$A,My_Audit!F:F,""),
_xlfn.IFS(_xlpm.MyAuditVal&lt;&gt;"",_xlpm.MyAuditVal,_xlpm.MacVal&lt;&gt;"",_xlpm.MacVal,_xlpm.CSVVal&lt;&gt;"",PROPER(_xlpm.CSVVal)
)),"")</f>
        <v/>
      </c>
      <c r="H120" s="2" t="str" cm="1">
        <f t="array" ref="H120">IFERROR(_xlfn.LET(
_xlpm.CSVVal,_xlfn.XLOOKUP($A120,CSV!$A:$A,CSV!H:H,""),
_xlpm.MacVal,_xlfn.XLOOKUP($A120,Output_Mac!$A:$A,Output_Mac!H:H,""),
_xlpm.MyAuditVal,_xlfn.XLOOKUP($A120,My_Audit!$A:$A,My_Audit!G:G,""),
_xlfn.IFS(_xlpm.MyAuditVal&lt;&gt;"",_xlpm.MyAuditVal,_xlpm.MacVal&lt;&gt;"",_xlpm.MacVal,_xlpm.CSVVal&lt;&gt;"",_xlpm.CSVVal
)),"")</f>
        <v/>
      </c>
      <c r="I120" s="2" t="str">
        <f>_xlfn.XLOOKUP(A120,Output_Mac!A:A,Output_Mac!I:I,"")</f>
        <v/>
      </c>
      <c r="J120" s="2" t="str" cm="1">
        <f t="array" ref="J120">IFERROR(_xlfn.LET(
_xlpm.CSVVal,_xlfn.XLOOKUP($A120,CSV!$A:$A,CSV!I:I,""),
_xlpm.MacVal,_xlfn.XLOOKUP($A120,Output_Mac!$A:$A,Output_Mac!J:J,""),
_xlpm.MyAuditVal,_xlfn.XLOOKUP($A120,My_Audit!$A:$A,My_Audit!I:I,""),
_xlfn.IFS(_xlpm.MyAuditVal&lt;&gt;"",UPPER(_xlpm.MyAuditVal),_xlpm.MacVal&lt;&gt;"",_xlpm.MacVal,_xlpm.CSVVal&lt;&gt;"",_xlpm.CSVVal
)),"")</f>
        <v/>
      </c>
      <c r="K120" s="2" t="str" cm="1">
        <f t="array" ref="K120">IFERROR(_xlfn.LET(
_xlpm.CSVVal,_xlfn.XLOOKUP($A120,CSV!$A:$A,CSV!K:K,""),
_xlpm.MacVal,_xlfn.XLOOKUP($A120,Output_Mac!$A:$A,Output_Mac!K:K,""),
_xlpm.MyAuditVal,_xlfn.XLOOKUP($A120,My_Audit!$A:$A,My_Audit!J:J,""),
_xlfn.IFS(_xlpm.MyAuditVal&lt;&gt;"",UPPER(_xlpm.MyAuditVal),_xlpm.MacVal&lt;&gt;"",_xlpm.MacVal,_xlpm.CSVVal&lt;&gt;"",_xlpm.CSVVal
)),"")</f>
        <v/>
      </c>
      <c r="L120" s="2" t="str" cm="1">
        <f t="array" ref="L120">IFERROR(_xlfn.LET(
_xlpm.CSVVal,_xlfn.XLOOKUP($A120,CSV!$A:$A,CSV!P:P,""),
_xlpm.MacVal,_xlfn.XLOOKUP($A120,Output_Mac!$A:$A,Output_Mac!L:L,""),
_xlpm.MyAuditVal,_xlfn.XLOOKUP($A120,My_Audit!$A:$A,My_Audit!K:K,""),
_xlfn.IFS(_xlpm.MyAuditVal&lt;&gt;"",UPPER(_xlpm.MyAuditVal),_xlpm.MacVal&lt;&gt;"",_xlpm.MacVal,_xlpm.CSVVal&lt;&gt;"",_xlpm.CSVVal
)),"")</f>
        <v/>
      </c>
      <c r="M120" s="2" t="str" cm="1">
        <f t="array" ref="M120">IFERROR(_xlfn.LET(
_xlpm.CSVVal,_xlfn.XLOOKUP($A120,CSV!$A:$A,CSV!Q:Q,""),
_xlpm.MacVal,_xlfn.XLOOKUP($A120,Output_Mac!$A:$A,Output_Mac!M:M,""),
_xlpm.MyAuditVal,_xlfn.XLOOKUP($A120,My_Audit!$A:$A,My_Audit!L:L,""),
_xlfn.IFS(_xlpm.MyAuditVal&lt;&gt;"",UPPER(_xlpm.MyAuditVal),_xlpm.MacVal&lt;&gt;"",_xlpm.MacVal,_xlpm.CSVVal&lt;&gt;"",_xlpm.CSVVal
)),"")</f>
        <v/>
      </c>
      <c r="O120" s="2" t="str">
        <f>_xlfn.LET(
    _xlpm.CSVVal, _xlfn.XLOOKUP($A120, CSV!$A:$A, CSV!AA:AA, ""),
    _xlpm.MacVal, _xlfn.XLOOKUP($A120, Output_Mac!$A:$A, Output_Mac!S:S, ""),
    _xlpm.MyAuditVal, _xlfn.XLOOKUP($A120, My_Audit!$A:$A, My_Audit!P:P, ""),
    _xlfn.TEXTJOIN(", ", TRUE, _xlpm.MyAuditVal, _xlpm.MacVal, _xlpm.CSVVal)
)</f>
        <v/>
      </c>
      <c r="P120" s="2" t="str" cm="1">
        <f t="array" ref="P120">IFERROR(_xlfn.LET(
_xlpm.CSVVal,_xlfn.XLOOKUP($A120,CSV!$A:$A,CSV!AB:AB,""),
_xlpm.MacVal,_xlfn.XLOOKUP($A120,Output_Mac!$A:$A,Output_Mac!T:T,""),
_xlpm.MyAuditVal,_xlfn.XLOOKUP($A120,My_Audit!$A:$A,My_Audit!Q:Q,""),
_xlfn.IFS(_xlpm.MyAuditVal&lt;&gt;"",UPPER(_xlpm.MyAuditVal),_xlpm.MacVal&lt;&gt;"",_xlpm.MacVal,_xlpm.CSVVal&lt;&gt;"",_xlpm.CSVVal
)),"No")</f>
        <v>No</v>
      </c>
      <c r="Q120" s="2" t="str" cm="1">
        <f t="array" ref="Q120">IFERROR(_xlfn.LET(
_xlpm.CSVVal,_xlfn.XLOOKUP($A120,CSV!$A:$A,CSV!AC:AC,""),
_xlpm.MacVal,_xlfn.XLOOKUP($A120,Output_Mac!$A:$A,Output_Mac!U:U,""),
_xlpm.MyAuditVal,_xlfn.XLOOKUP($A120,My_Audit!$A:$A,My_Audit!R:R,""),
_xlfn.IFS(_xlpm.MyAuditVal&lt;&gt;"",UPPER(_xlpm.MyAuditVal),_xlpm.MacVal&lt;&gt;"",_xlpm.MacVal,_xlpm.CSVVal&lt;&gt;"",_xlpm.CSVVal
)),"")</f>
        <v/>
      </c>
      <c r="X120" t="str">
        <f>_xlfn.LET(
    _xlpm.MacVal, _xlfn.XLOOKUP($A120, Output_Mac!$A:$A, Output_Mac!AB:AB, ""),
    _xlpm.MyAuditVal, _xlfn.XLOOKUP($A120, My_Audit!$A:$A, My_Audit!N:N, ""),
    _xlfn.TEXTJOIN(", ", TRUE, _xlpm.MyAuditVal, _xlpm.MacVal)
)</f>
        <v/>
      </c>
    </row>
    <row r="121" spans="1:24">
      <c r="A121" s="2" t="str">
        <f>_xlfn.TEXTJOIN("",TRUE,Input!$B$2,ROW(My_Audit!A120))</f>
        <v>X120</v>
      </c>
      <c r="B121" s="2" t="str">
        <f>_xlfn.TEXTJOIN("-",TRUE,"ITD",Input!$A$2,A121)</f>
        <v>ITD-SHR-X120</v>
      </c>
      <c r="C121" s="2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2" t="str" cm="1">
        <f t="array" ref="D121">IFERROR(_xlfn.LET(
_xlpm.CSVVal,_xlfn.XLOOKUP($A121,CSV!$A:$A,CSV!D:D,""),
_xlpm.MacVal,_xlfn.XLOOKUP($A121,Output_Mac!$A:$A,Output_Mac!C:C,""),
_xlpm.MyAuditVal,_xlfn.XLOOKUP($A121,My_Audit!$A:$A,My_Audit!C:C,""),
_xlfn.IFS(_xlpm.MyAuditVal&lt;&gt;"",_xlpm.MyAuditVal,_xlpm.MacVal&lt;&gt;"",_xlpm.MacVal,_xlpm.CSVVal&lt;&gt;"",_xlpm.CSVVal
)),"")</f>
        <v/>
      </c>
      <c r="E121" s="2" t="str">
        <f>_xlfn.XLOOKUP(A121,My_Audit!A:A,My_Audit!D:D,"")</f>
        <v/>
      </c>
      <c r="F121" s="2" t="str" cm="1">
        <f t="array" ref="F121">IFERROR(_xlfn.LET(
_xlpm.CSVVal,_xlfn.XLOOKUP($A121,CSV!$A:$A,CSV!F:F,""),
_xlpm.MacVal,_xlfn.XLOOKUP($A121,Output_Mac!$A:$A,Output_Mac!E:E,""),
_xlpm.MyAuditVal,_xlfn.XLOOKUP($A121,My_Audit!$A:$A,My_Audit!E:E,""),
_xlfn.IFS(_xlpm.MyAuditVal&lt;&gt;"",_xlpm.MyAuditVal,_xlpm.MacVal&lt;&gt;"",_xlpm.MacVal,_xlpm.CSVVal&lt;&gt;"",_xlpm.CSVVal
)),"")</f>
        <v/>
      </c>
      <c r="G121" s="2" t="str" cm="1">
        <f t="array" ref="G121">IFERROR(_xlfn.LET(
_xlpm.CSVVal,_xlfn.XLOOKUP($A121,CSV!$A:$A,CSV!G:G,""),
_xlpm.MacVal,_xlfn.XLOOKUP($A121,Output_Mac!$A:$A,Output_Mac!F:F,""),
_xlpm.MyAuditVal,_xlfn.XLOOKUP($A121,My_Audit!$A:$A,My_Audit!F:F,""),
_xlfn.IFS(_xlpm.MyAuditVal&lt;&gt;"",_xlpm.MyAuditVal,_xlpm.MacVal&lt;&gt;"",_xlpm.MacVal,_xlpm.CSVVal&lt;&gt;"",PROPER(_xlpm.CSVVal)
)),"")</f>
        <v/>
      </c>
      <c r="H121" s="2" t="str" cm="1">
        <f t="array" ref="H121">IFERROR(_xlfn.LET(
_xlpm.CSVVal,_xlfn.XLOOKUP($A121,CSV!$A:$A,CSV!H:H,""),
_xlpm.MacVal,_xlfn.XLOOKUP($A121,Output_Mac!$A:$A,Output_Mac!H:H,""),
_xlpm.MyAuditVal,_xlfn.XLOOKUP($A121,My_Audit!$A:$A,My_Audit!G:G,""),
_xlfn.IFS(_xlpm.MyAuditVal&lt;&gt;"",_xlpm.MyAuditVal,_xlpm.MacVal&lt;&gt;"",_xlpm.MacVal,_xlpm.CSVVal&lt;&gt;"",_xlpm.CSVVal
)),"")</f>
        <v/>
      </c>
      <c r="I121" s="2" t="str">
        <f>_xlfn.XLOOKUP(A121,Output_Mac!A:A,Output_Mac!I:I,"")</f>
        <v/>
      </c>
      <c r="J121" s="2" t="str" cm="1">
        <f t="array" ref="J121">IFERROR(_xlfn.LET(
_xlpm.CSVVal,_xlfn.XLOOKUP($A121,CSV!$A:$A,CSV!I:I,""),
_xlpm.MacVal,_xlfn.XLOOKUP($A121,Output_Mac!$A:$A,Output_Mac!J:J,""),
_xlpm.MyAuditVal,_xlfn.XLOOKUP($A121,My_Audit!$A:$A,My_Audit!I:I,""),
_xlfn.IFS(_xlpm.MyAuditVal&lt;&gt;"",UPPER(_xlpm.MyAuditVal),_xlpm.MacVal&lt;&gt;"",_xlpm.MacVal,_xlpm.CSVVal&lt;&gt;"",_xlpm.CSVVal
)),"")</f>
        <v/>
      </c>
      <c r="K121" s="2" t="str" cm="1">
        <f t="array" ref="K121">IFERROR(_xlfn.LET(
_xlpm.CSVVal,_xlfn.XLOOKUP($A121,CSV!$A:$A,CSV!K:K,""),
_xlpm.MacVal,_xlfn.XLOOKUP($A121,Output_Mac!$A:$A,Output_Mac!K:K,""),
_xlpm.MyAuditVal,_xlfn.XLOOKUP($A121,My_Audit!$A:$A,My_Audit!J:J,""),
_xlfn.IFS(_xlpm.MyAuditVal&lt;&gt;"",UPPER(_xlpm.MyAuditVal),_xlpm.MacVal&lt;&gt;"",_xlpm.MacVal,_xlpm.CSVVal&lt;&gt;"",_xlpm.CSVVal
)),"")</f>
        <v/>
      </c>
      <c r="L121" s="2" t="str" cm="1">
        <f t="array" ref="L121">IFERROR(_xlfn.LET(
_xlpm.CSVVal,_xlfn.XLOOKUP($A121,CSV!$A:$A,CSV!P:P,""),
_xlpm.MacVal,_xlfn.XLOOKUP($A121,Output_Mac!$A:$A,Output_Mac!L:L,""),
_xlpm.MyAuditVal,_xlfn.XLOOKUP($A121,My_Audit!$A:$A,My_Audit!K:K,""),
_xlfn.IFS(_xlpm.MyAuditVal&lt;&gt;"",UPPER(_xlpm.MyAuditVal),_xlpm.MacVal&lt;&gt;"",_xlpm.MacVal,_xlpm.CSVVal&lt;&gt;"",_xlpm.CSVVal
)),"")</f>
        <v/>
      </c>
      <c r="M121" s="2" t="str" cm="1">
        <f t="array" ref="M121">IFERROR(_xlfn.LET(
_xlpm.CSVVal,_xlfn.XLOOKUP($A121,CSV!$A:$A,CSV!Q:Q,""),
_xlpm.MacVal,_xlfn.XLOOKUP($A121,Output_Mac!$A:$A,Output_Mac!M:M,""),
_xlpm.MyAuditVal,_xlfn.XLOOKUP($A121,My_Audit!$A:$A,My_Audit!L:L,""),
_xlfn.IFS(_xlpm.MyAuditVal&lt;&gt;"",UPPER(_xlpm.MyAuditVal),_xlpm.MacVal&lt;&gt;"",_xlpm.MacVal,_xlpm.CSVVal&lt;&gt;"",_xlpm.CSVVal
)),"")</f>
        <v/>
      </c>
      <c r="O121" s="2" t="str">
        <f>_xlfn.LET(
    _xlpm.CSVVal, _xlfn.XLOOKUP($A121, CSV!$A:$A, CSV!AA:AA, ""),
    _xlpm.MacVal, _xlfn.XLOOKUP($A121, Output_Mac!$A:$A, Output_Mac!S:S, ""),
    _xlpm.MyAuditVal, _xlfn.XLOOKUP($A121, My_Audit!$A:$A, My_Audit!P:P, ""),
    _xlfn.TEXTJOIN(", ", TRUE, _xlpm.MyAuditVal, _xlpm.MacVal, _xlpm.CSVVal)
)</f>
        <v/>
      </c>
      <c r="P121" s="2" t="str" cm="1">
        <f t="array" ref="P121">IFERROR(_xlfn.LET(
_xlpm.CSVVal,_xlfn.XLOOKUP($A121,CSV!$A:$A,CSV!AB:AB,""),
_xlpm.MacVal,_xlfn.XLOOKUP($A121,Output_Mac!$A:$A,Output_Mac!T:T,""),
_xlpm.MyAuditVal,_xlfn.XLOOKUP($A121,My_Audit!$A:$A,My_Audit!Q:Q,""),
_xlfn.IFS(_xlpm.MyAuditVal&lt;&gt;"",UPPER(_xlpm.MyAuditVal),_xlpm.MacVal&lt;&gt;"",_xlpm.MacVal,_xlpm.CSVVal&lt;&gt;"",_xlpm.CSVVal
)),"No")</f>
        <v>No</v>
      </c>
      <c r="Q121" s="2" t="str" cm="1">
        <f t="array" ref="Q121">IFERROR(_xlfn.LET(
_xlpm.CSVVal,_xlfn.XLOOKUP($A121,CSV!$A:$A,CSV!AC:AC,""),
_xlpm.MacVal,_xlfn.XLOOKUP($A121,Output_Mac!$A:$A,Output_Mac!U:U,""),
_xlpm.MyAuditVal,_xlfn.XLOOKUP($A121,My_Audit!$A:$A,My_Audit!R:R,""),
_xlfn.IFS(_xlpm.MyAuditVal&lt;&gt;"",UPPER(_xlpm.MyAuditVal),_xlpm.MacVal&lt;&gt;"",_xlpm.MacVal,_xlpm.CSVVal&lt;&gt;"",_xlpm.CSVVal
)),"")</f>
        <v/>
      </c>
      <c r="X121" t="str">
        <f>_xlfn.LET(
    _xlpm.MacVal, _xlfn.XLOOKUP($A121, Output_Mac!$A:$A, Output_Mac!AB:AB, ""),
    _xlpm.MyAuditVal, _xlfn.XLOOKUP($A121, My_Audit!$A:$A, My_Audit!N:N, ""),
    _xlfn.TEXTJOIN(", ", TRUE, _xlpm.MyAuditVal, _xlpm.MacVal)
)</f>
        <v/>
      </c>
    </row>
    <row r="122" spans="1:24">
      <c r="A122" s="2" t="str">
        <f>_xlfn.TEXTJOIN("",TRUE,Input!$B$2,ROW(My_Audit!A121))</f>
        <v>X121</v>
      </c>
      <c r="B122" s="2" t="str">
        <f>_xlfn.TEXTJOIN("-",TRUE,"ITD",Input!$A$2,A122)</f>
        <v>ITD-SHR-X121</v>
      </c>
      <c r="C122" s="2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2" t="str" cm="1">
        <f t="array" ref="D122">IFERROR(_xlfn.LET(
_xlpm.CSVVal,_xlfn.XLOOKUP($A122,CSV!$A:$A,CSV!D:D,""),
_xlpm.MacVal,_xlfn.XLOOKUP($A122,Output_Mac!$A:$A,Output_Mac!C:C,""),
_xlpm.MyAuditVal,_xlfn.XLOOKUP($A122,My_Audit!$A:$A,My_Audit!C:C,""),
_xlfn.IFS(_xlpm.MyAuditVal&lt;&gt;"",_xlpm.MyAuditVal,_xlpm.MacVal&lt;&gt;"",_xlpm.MacVal,_xlpm.CSVVal&lt;&gt;"",_xlpm.CSVVal
)),"")</f>
        <v/>
      </c>
      <c r="E122" s="2" t="str">
        <f>_xlfn.XLOOKUP(A122,My_Audit!A:A,My_Audit!D:D,"")</f>
        <v/>
      </c>
      <c r="F122" s="2" t="str" cm="1">
        <f t="array" ref="F122">IFERROR(_xlfn.LET(
_xlpm.CSVVal,_xlfn.XLOOKUP($A122,CSV!$A:$A,CSV!F:F,""),
_xlpm.MacVal,_xlfn.XLOOKUP($A122,Output_Mac!$A:$A,Output_Mac!E:E,""),
_xlpm.MyAuditVal,_xlfn.XLOOKUP($A122,My_Audit!$A:$A,My_Audit!E:E,""),
_xlfn.IFS(_xlpm.MyAuditVal&lt;&gt;"",_xlpm.MyAuditVal,_xlpm.MacVal&lt;&gt;"",_xlpm.MacVal,_xlpm.CSVVal&lt;&gt;"",_xlpm.CSVVal
)),"")</f>
        <v/>
      </c>
      <c r="G122" s="2" t="str" cm="1">
        <f t="array" ref="G122">IFERROR(_xlfn.LET(
_xlpm.CSVVal,_xlfn.XLOOKUP($A122,CSV!$A:$A,CSV!G:G,""),
_xlpm.MacVal,_xlfn.XLOOKUP($A122,Output_Mac!$A:$A,Output_Mac!F:F,""),
_xlpm.MyAuditVal,_xlfn.XLOOKUP($A122,My_Audit!$A:$A,My_Audit!F:F,""),
_xlfn.IFS(_xlpm.MyAuditVal&lt;&gt;"",_xlpm.MyAuditVal,_xlpm.MacVal&lt;&gt;"",_xlpm.MacVal,_xlpm.CSVVal&lt;&gt;"",PROPER(_xlpm.CSVVal)
)),"")</f>
        <v/>
      </c>
      <c r="H122" s="2" t="str" cm="1">
        <f t="array" ref="H122">IFERROR(_xlfn.LET(
_xlpm.CSVVal,_xlfn.XLOOKUP($A122,CSV!$A:$A,CSV!H:H,""),
_xlpm.MacVal,_xlfn.XLOOKUP($A122,Output_Mac!$A:$A,Output_Mac!H:H,""),
_xlpm.MyAuditVal,_xlfn.XLOOKUP($A122,My_Audit!$A:$A,My_Audit!G:G,""),
_xlfn.IFS(_xlpm.MyAuditVal&lt;&gt;"",_xlpm.MyAuditVal,_xlpm.MacVal&lt;&gt;"",_xlpm.MacVal,_xlpm.CSVVal&lt;&gt;"",_xlpm.CSVVal
)),"")</f>
        <v/>
      </c>
      <c r="I122" s="2" t="str">
        <f>_xlfn.XLOOKUP(A122,Output_Mac!A:A,Output_Mac!I:I,"")</f>
        <v/>
      </c>
      <c r="J122" s="2" t="str" cm="1">
        <f t="array" ref="J122">IFERROR(_xlfn.LET(
_xlpm.CSVVal,_xlfn.XLOOKUP($A122,CSV!$A:$A,CSV!I:I,""),
_xlpm.MacVal,_xlfn.XLOOKUP($A122,Output_Mac!$A:$A,Output_Mac!J:J,""),
_xlpm.MyAuditVal,_xlfn.XLOOKUP($A122,My_Audit!$A:$A,My_Audit!I:I,""),
_xlfn.IFS(_xlpm.MyAuditVal&lt;&gt;"",UPPER(_xlpm.MyAuditVal),_xlpm.MacVal&lt;&gt;"",_xlpm.MacVal,_xlpm.CSVVal&lt;&gt;"",_xlpm.CSVVal
)),"")</f>
        <v/>
      </c>
      <c r="K122" s="2" t="str" cm="1">
        <f t="array" ref="K122">IFERROR(_xlfn.LET(
_xlpm.CSVVal,_xlfn.XLOOKUP($A122,CSV!$A:$A,CSV!K:K,""),
_xlpm.MacVal,_xlfn.XLOOKUP($A122,Output_Mac!$A:$A,Output_Mac!K:K,""),
_xlpm.MyAuditVal,_xlfn.XLOOKUP($A122,My_Audit!$A:$A,My_Audit!J:J,""),
_xlfn.IFS(_xlpm.MyAuditVal&lt;&gt;"",UPPER(_xlpm.MyAuditVal),_xlpm.MacVal&lt;&gt;"",_xlpm.MacVal,_xlpm.CSVVal&lt;&gt;"",_xlpm.CSVVal
)),"")</f>
        <v/>
      </c>
      <c r="L122" s="2" t="str" cm="1">
        <f t="array" ref="L122">IFERROR(_xlfn.LET(
_xlpm.CSVVal,_xlfn.XLOOKUP($A122,CSV!$A:$A,CSV!P:P,""),
_xlpm.MacVal,_xlfn.XLOOKUP($A122,Output_Mac!$A:$A,Output_Mac!L:L,""),
_xlpm.MyAuditVal,_xlfn.XLOOKUP($A122,My_Audit!$A:$A,My_Audit!K:K,""),
_xlfn.IFS(_xlpm.MyAuditVal&lt;&gt;"",UPPER(_xlpm.MyAuditVal),_xlpm.MacVal&lt;&gt;"",_xlpm.MacVal,_xlpm.CSVVal&lt;&gt;"",_xlpm.CSVVal
)),"")</f>
        <v/>
      </c>
      <c r="M122" s="2" t="str" cm="1">
        <f t="array" ref="M122">IFERROR(_xlfn.LET(
_xlpm.CSVVal,_xlfn.XLOOKUP($A122,CSV!$A:$A,CSV!Q:Q,""),
_xlpm.MacVal,_xlfn.XLOOKUP($A122,Output_Mac!$A:$A,Output_Mac!M:M,""),
_xlpm.MyAuditVal,_xlfn.XLOOKUP($A122,My_Audit!$A:$A,My_Audit!L:L,""),
_xlfn.IFS(_xlpm.MyAuditVal&lt;&gt;"",UPPER(_xlpm.MyAuditVal),_xlpm.MacVal&lt;&gt;"",_xlpm.MacVal,_xlpm.CSVVal&lt;&gt;"",_xlpm.CSVVal
)),"")</f>
        <v/>
      </c>
      <c r="O122" s="2" t="str">
        <f>_xlfn.LET(
    _xlpm.CSVVal, _xlfn.XLOOKUP($A122, CSV!$A:$A, CSV!AA:AA, ""),
    _xlpm.MacVal, _xlfn.XLOOKUP($A122, Output_Mac!$A:$A, Output_Mac!S:S, ""),
    _xlpm.MyAuditVal, _xlfn.XLOOKUP($A122, My_Audit!$A:$A, My_Audit!P:P, ""),
    _xlfn.TEXTJOIN(", ", TRUE, _xlpm.MyAuditVal, _xlpm.MacVal, _xlpm.CSVVal)
)</f>
        <v/>
      </c>
      <c r="P122" s="2" t="str" cm="1">
        <f t="array" ref="P122">IFERROR(_xlfn.LET(
_xlpm.CSVVal,_xlfn.XLOOKUP($A122,CSV!$A:$A,CSV!AB:AB,""),
_xlpm.MacVal,_xlfn.XLOOKUP($A122,Output_Mac!$A:$A,Output_Mac!T:T,""),
_xlpm.MyAuditVal,_xlfn.XLOOKUP($A122,My_Audit!$A:$A,My_Audit!Q:Q,""),
_xlfn.IFS(_xlpm.MyAuditVal&lt;&gt;"",UPPER(_xlpm.MyAuditVal),_xlpm.MacVal&lt;&gt;"",_xlpm.MacVal,_xlpm.CSVVal&lt;&gt;"",_xlpm.CSVVal
)),"No")</f>
        <v>No</v>
      </c>
      <c r="Q122" s="2" t="str" cm="1">
        <f t="array" ref="Q122">IFERROR(_xlfn.LET(
_xlpm.CSVVal,_xlfn.XLOOKUP($A122,CSV!$A:$A,CSV!AC:AC,""),
_xlpm.MacVal,_xlfn.XLOOKUP($A122,Output_Mac!$A:$A,Output_Mac!U:U,""),
_xlpm.MyAuditVal,_xlfn.XLOOKUP($A122,My_Audit!$A:$A,My_Audit!R:R,""),
_xlfn.IFS(_xlpm.MyAuditVal&lt;&gt;"",UPPER(_xlpm.MyAuditVal),_xlpm.MacVal&lt;&gt;"",_xlpm.MacVal,_xlpm.CSVVal&lt;&gt;"",_xlpm.CSVVal
)),"")</f>
        <v/>
      </c>
      <c r="X122" t="str">
        <f>_xlfn.LET(
    _xlpm.MacVal, _xlfn.XLOOKUP($A122, Output_Mac!$A:$A, Output_Mac!AB:AB, ""),
    _xlpm.MyAuditVal, _xlfn.XLOOKUP($A122, My_Audit!$A:$A, My_Audit!N:N, ""),
    _xlfn.TEXTJOIN(", ", TRUE, _xlpm.MyAuditVal, _xlpm.MacVal)
)</f>
        <v/>
      </c>
    </row>
    <row r="123" spans="1:24">
      <c r="A123" s="2" t="str">
        <f>_xlfn.TEXTJOIN("",TRUE,Input!$B$2,ROW(My_Audit!A122))</f>
        <v>X122</v>
      </c>
      <c r="B123" s="2" t="str">
        <f>_xlfn.TEXTJOIN("-",TRUE,"ITD",Input!$A$2,A123)</f>
        <v>ITD-SHR-X122</v>
      </c>
      <c r="C123" s="2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2" t="str" cm="1">
        <f t="array" ref="D123">IFERROR(_xlfn.LET(
_xlpm.CSVVal,_xlfn.XLOOKUP($A123,CSV!$A:$A,CSV!D:D,""),
_xlpm.MacVal,_xlfn.XLOOKUP($A123,Output_Mac!$A:$A,Output_Mac!C:C,""),
_xlpm.MyAuditVal,_xlfn.XLOOKUP($A123,My_Audit!$A:$A,My_Audit!C:C,""),
_xlfn.IFS(_xlpm.MyAuditVal&lt;&gt;"",_xlpm.MyAuditVal,_xlpm.MacVal&lt;&gt;"",_xlpm.MacVal,_xlpm.CSVVal&lt;&gt;"",_xlpm.CSVVal
)),"")</f>
        <v/>
      </c>
      <c r="E123" s="2" t="str">
        <f>_xlfn.XLOOKUP(A123,My_Audit!A:A,My_Audit!D:D,"")</f>
        <v/>
      </c>
      <c r="F123" s="2" t="str" cm="1">
        <f t="array" ref="F123">IFERROR(_xlfn.LET(
_xlpm.CSVVal,_xlfn.XLOOKUP($A123,CSV!$A:$A,CSV!F:F,""),
_xlpm.MacVal,_xlfn.XLOOKUP($A123,Output_Mac!$A:$A,Output_Mac!E:E,""),
_xlpm.MyAuditVal,_xlfn.XLOOKUP($A123,My_Audit!$A:$A,My_Audit!E:E,""),
_xlfn.IFS(_xlpm.MyAuditVal&lt;&gt;"",_xlpm.MyAuditVal,_xlpm.MacVal&lt;&gt;"",_xlpm.MacVal,_xlpm.CSVVal&lt;&gt;"",_xlpm.CSVVal
)),"")</f>
        <v/>
      </c>
      <c r="G123" s="2" t="str" cm="1">
        <f t="array" ref="G123">IFERROR(_xlfn.LET(
_xlpm.CSVVal,_xlfn.XLOOKUP($A123,CSV!$A:$A,CSV!G:G,""),
_xlpm.MacVal,_xlfn.XLOOKUP($A123,Output_Mac!$A:$A,Output_Mac!F:F,""),
_xlpm.MyAuditVal,_xlfn.XLOOKUP($A123,My_Audit!$A:$A,My_Audit!F:F,""),
_xlfn.IFS(_xlpm.MyAuditVal&lt;&gt;"",_xlpm.MyAuditVal,_xlpm.MacVal&lt;&gt;"",_xlpm.MacVal,_xlpm.CSVVal&lt;&gt;"",PROPER(_xlpm.CSVVal)
)),"")</f>
        <v/>
      </c>
      <c r="H123" s="2" t="str" cm="1">
        <f t="array" ref="H123">IFERROR(_xlfn.LET(
_xlpm.CSVVal,_xlfn.XLOOKUP($A123,CSV!$A:$A,CSV!H:H,""),
_xlpm.MacVal,_xlfn.XLOOKUP($A123,Output_Mac!$A:$A,Output_Mac!H:H,""),
_xlpm.MyAuditVal,_xlfn.XLOOKUP($A123,My_Audit!$A:$A,My_Audit!G:G,""),
_xlfn.IFS(_xlpm.MyAuditVal&lt;&gt;"",_xlpm.MyAuditVal,_xlpm.MacVal&lt;&gt;"",_xlpm.MacVal,_xlpm.CSVVal&lt;&gt;"",_xlpm.CSVVal
)),"")</f>
        <v/>
      </c>
      <c r="I123" s="2" t="str">
        <f>_xlfn.XLOOKUP(A123,Output_Mac!A:A,Output_Mac!I:I,"")</f>
        <v/>
      </c>
      <c r="J123" s="2" t="str" cm="1">
        <f t="array" ref="J123">IFERROR(_xlfn.LET(
_xlpm.CSVVal,_xlfn.XLOOKUP($A123,CSV!$A:$A,CSV!I:I,""),
_xlpm.MacVal,_xlfn.XLOOKUP($A123,Output_Mac!$A:$A,Output_Mac!J:J,""),
_xlpm.MyAuditVal,_xlfn.XLOOKUP($A123,My_Audit!$A:$A,My_Audit!I:I,""),
_xlfn.IFS(_xlpm.MyAuditVal&lt;&gt;"",UPPER(_xlpm.MyAuditVal),_xlpm.MacVal&lt;&gt;"",_xlpm.MacVal,_xlpm.CSVVal&lt;&gt;"",_xlpm.CSVVal
)),"")</f>
        <v/>
      </c>
      <c r="K123" s="2" t="str" cm="1">
        <f t="array" ref="K123">IFERROR(_xlfn.LET(
_xlpm.CSVVal,_xlfn.XLOOKUP($A123,CSV!$A:$A,CSV!K:K,""),
_xlpm.MacVal,_xlfn.XLOOKUP($A123,Output_Mac!$A:$A,Output_Mac!K:K,""),
_xlpm.MyAuditVal,_xlfn.XLOOKUP($A123,My_Audit!$A:$A,My_Audit!J:J,""),
_xlfn.IFS(_xlpm.MyAuditVal&lt;&gt;"",UPPER(_xlpm.MyAuditVal),_xlpm.MacVal&lt;&gt;"",_xlpm.MacVal,_xlpm.CSVVal&lt;&gt;"",_xlpm.CSVVal
)),"")</f>
        <v/>
      </c>
      <c r="L123" s="2" t="str" cm="1">
        <f t="array" ref="L123">IFERROR(_xlfn.LET(
_xlpm.CSVVal,_xlfn.XLOOKUP($A123,CSV!$A:$A,CSV!P:P,""),
_xlpm.MacVal,_xlfn.XLOOKUP($A123,Output_Mac!$A:$A,Output_Mac!L:L,""),
_xlpm.MyAuditVal,_xlfn.XLOOKUP($A123,My_Audit!$A:$A,My_Audit!K:K,""),
_xlfn.IFS(_xlpm.MyAuditVal&lt;&gt;"",UPPER(_xlpm.MyAuditVal),_xlpm.MacVal&lt;&gt;"",_xlpm.MacVal,_xlpm.CSVVal&lt;&gt;"",_xlpm.CSVVal
)),"")</f>
        <v/>
      </c>
      <c r="M123" s="2" t="str" cm="1">
        <f t="array" ref="M123">IFERROR(_xlfn.LET(
_xlpm.CSVVal,_xlfn.XLOOKUP($A123,CSV!$A:$A,CSV!Q:Q,""),
_xlpm.MacVal,_xlfn.XLOOKUP($A123,Output_Mac!$A:$A,Output_Mac!M:M,""),
_xlpm.MyAuditVal,_xlfn.XLOOKUP($A123,My_Audit!$A:$A,My_Audit!L:L,""),
_xlfn.IFS(_xlpm.MyAuditVal&lt;&gt;"",UPPER(_xlpm.MyAuditVal),_xlpm.MacVal&lt;&gt;"",_xlpm.MacVal,_xlpm.CSVVal&lt;&gt;"",_xlpm.CSVVal
)),"")</f>
        <v/>
      </c>
      <c r="O123" s="2" t="str">
        <f>_xlfn.LET(
    _xlpm.CSVVal, _xlfn.XLOOKUP($A123, CSV!$A:$A, CSV!AA:AA, ""),
    _xlpm.MacVal, _xlfn.XLOOKUP($A123, Output_Mac!$A:$A, Output_Mac!S:S, ""),
    _xlpm.MyAuditVal, _xlfn.XLOOKUP($A123, My_Audit!$A:$A, My_Audit!P:P, ""),
    _xlfn.TEXTJOIN(", ", TRUE, _xlpm.MyAuditVal, _xlpm.MacVal, _xlpm.CSVVal)
)</f>
        <v/>
      </c>
      <c r="P123" s="2" t="str" cm="1">
        <f t="array" ref="P123">IFERROR(_xlfn.LET(
_xlpm.CSVVal,_xlfn.XLOOKUP($A123,CSV!$A:$A,CSV!AB:AB,""),
_xlpm.MacVal,_xlfn.XLOOKUP($A123,Output_Mac!$A:$A,Output_Mac!T:T,""),
_xlpm.MyAuditVal,_xlfn.XLOOKUP($A123,My_Audit!$A:$A,My_Audit!Q:Q,""),
_xlfn.IFS(_xlpm.MyAuditVal&lt;&gt;"",UPPER(_xlpm.MyAuditVal),_xlpm.MacVal&lt;&gt;"",_xlpm.MacVal,_xlpm.CSVVal&lt;&gt;"",_xlpm.CSVVal
)),"No")</f>
        <v>No</v>
      </c>
      <c r="Q123" s="2" t="str" cm="1">
        <f t="array" ref="Q123">IFERROR(_xlfn.LET(
_xlpm.CSVVal,_xlfn.XLOOKUP($A123,CSV!$A:$A,CSV!AC:AC,""),
_xlpm.MacVal,_xlfn.XLOOKUP($A123,Output_Mac!$A:$A,Output_Mac!U:U,""),
_xlpm.MyAuditVal,_xlfn.XLOOKUP($A123,My_Audit!$A:$A,My_Audit!R:R,""),
_xlfn.IFS(_xlpm.MyAuditVal&lt;&gt;"",UPPER(_xlpm.MyAuditVal),_xlpm.MacVal&lt;&gt;"",_xlpm.MacVal,_xlpm.CSVVal&lt;&gt;"",_xlpm.CSVVal
)),"")</f>
        <v/>
      </c>
      <c r="X123" t="str">
        <f>_xlfn.LET(
    _xlpm.MacVal, _xlfn.XLOOKUP($A123, Output_Mac!$A:$A, Output_Mac!AB:AB, ""),
    _xlpm.MyAuditVal, _xlfn.XLOOKUP($A123, My_Audit!$A:$A, My_Audit!N:N, ""),
    _xlfn.TEXTJOIN(", ", TRUE, _xlpm.MyAuditVal, _xlpm.MacVal)
)</f>
        <v/>
      </c>
    </row>
    <row r="124" spans="1:24">
      <c r="A124" s="2" t="str">
        <f>_xlfn.TEXTJOIN("",TRUE,Input!$B$2,ROW(My_Audit!A123))</f>
        <v>X123</v>
      </c>
      <c r="B124" s="2" t="str">
        <f>_xlfn.TEXTJOIN("-",TRUE,"ITD",Input!$A$2,A124)</f>
        <v>ITD-SHR-X123</v>
      </c>
      <c r="C124" s="2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2" t="str" cm="1">
        <f t="array" ref="D124">IFERROR(_xlfn.LET(
_xlpm.CSVVal,_xlfn.XLOOKUP($A124,CSV!$A:$A,CSV!D:D,""),
_xlpm.MacVal,_xlfn.XLOOKUP($A124,Output_Mac!$A:$A,Output_Mac!C:C,""),
_xlpm.MyAuditVal,_xlfn.XLOOKUP($A124,My_Audit!$A:$A,My_Audit!C:C,""),
_xlfn.IFS(_xlpm.MyAuditVal&lt;&gt;"",_xlpm.MyAuditVal,_xlpm.MacVal&lt;&gt;"",_xlpm.MacVal,_xlpm.CSVVal&lt;&gt;"",_xlpm.CSVVal
)),"")</f>
        <v/>
      </c>
      <c r="E124" s="2" t="str">
        <f>_xlfn.XLOOKUP(A124,My_Audit!A:A,My_Audit!D:D,"")</f>
        <v/>
      </c>
      <c r="F124" s="2" t="str" cm="1">
        <f t="array" ref="F124">IFERROR(_xlfn.LET(
_xlpm.CSVVal,_xlfn.XLOOKUP($A124,CSV!$A:$A,CSV!F:F,""),
_xlpm.MacVal,_xlfn.XLOOKUP($A124,Output_Mac!$A:$A,Output_Mac!E:E,""),
_xlpm.MyAuditVal,_xlfn.XLOOKUP($A124,My_Audit!$A:$A,My_Audit!E:E,""),
_xlfn.IFS(_xlpm.MyAuditVal&lt;&gt;"",_xlpm.MyAuditVal,_xlpm.MacVal&lt;&gt;"",_xlpm.MacVal,_xlpm.CSVVal&lt;&gt;"",_xlpm.CSVVal
)),"")</f>
        <v/>
      </c>
      <c r="G124" s="2" t="str" cm="1">
        <f t="array" ref="G124">IFERROR(_xlfn.LET(
_xlpm.CSVVal,_xlfn.XLOOKUP($A124,CSV!$A:$A,CSV!G:G,""),
_xlpm.MacVal,_xlfn.XLOOKUP($A124,Output_Mac!$A:$A,Output_Mac!F:F,""),
_xlpm.MyAuditVal,_xlfn.XLOOKUP($A124,My_Audit!$A:$A,My_Audit!F:F,""),
_xlfn.IFS(_xlpm.MyAuditVal&lt;&gt;"",_xlpm.MyAuditVal,_xlpm.MacVal&lt;&gt;"",_xlpm.MacVal,_xlpm.CSVVal&lt;&gt;"",PROPER(_xlpm.CSVVal)
)),"")</f>
        <v/>
      </c>
      <c r="H124" s="2" t="str" cm="1">
        <f t="array" ref="H124">IFERROR(_xlfn.LET(
_xlpm.CSVVal,_xlfn.XLOOKUP($A124,CSV!$A:$A,CSV!H:H,""),
_xlpm.MacVal,_xlfn.XLOOKUP($A124,Output_Mac!$A:$A,Output_Mac!H:H,""),
_xlpm.MyAuditVal,_xlfn.XLOOKUP($A124,My_Audit!$A:$A,My_Audit!G:G,""),
_xlfn.IFS(_xlpm.MyAuditVal&lt;&gt;"",_xlpm.MyAuditVal,_xlpm.MacVal&lt;&gt;"",_xlpm.MacVal,_xlpm.CSVVal&lt;&gt;"",_xlpm.CSVVal
)),"")</f>
        <v/>
      </c>
      <c r="I124" s="2" t="str">
        <f>_xlfn.XLOOKUP(A124,Output_Mac!A:A,Output_Mac!I:I,"")</f>
        <v/>
      </c>
      <c r="J124" s="2" t="str" cm="1">
        <f t="array" ref="J124">IFERROR(_xlfn.LET(
_xlpm.CSVVal,_xlfn.XLOOKUP($A124,CSV!$A:$A,CSV!I:I,""),
_xlpm.MacVal,_xlfn.XLOOKUP($A124,Output_Mac!$A:$A,Output_Mac!J:J,""),
_xlpm.MyAuditVal,_xlfn.XLOOKUP($A124,My_Audit!$A:$A,My_Audit!I:I,""),
_xlfn.IFS(_xlpm.MyAuditVal&lt;&gt;"",UPPER(_xlpm.MyAuditVal),_xlpm.MacVal&lt;&gt;"",_xlpm.MacVal,_xlpm.CSVVal&lt;&gt;"",_xlpm.CSVVal
)),"")</f>
        <v/>
      </c>
      <c r="K124" s="2" t="str" cm="1">
        <f t="array" ref="K124">IFERROR(_xlfn.LET(
_xlpm.CSVVal,_xlfn.XLOOKUP($A124,CSV!$A:$A,CSV!K:K,""),
_xlpm.MacVal,_xlfn.XLOOKUP($A124,Output_Mac!$A:$A,Output_Mac!K:K,""),
_xlpm.MyAuditVal,_xlfn.XLOOKUP($A124,My_Audit!$A:$A,My_Audit!J:J,""),
_xlfn.IFS(_xlpm.MyAuditVal&lt;&gt;"",UPPER(_xlpm.MyAuditVal),_xlpm.MacVal&lt;&gt;"",_xlpm.MacVal,_xlpm.CSVVal&lt;&gt;"",_xlpm.CSVVal
)),"")</f>
        <v/>
      </c>
      <c r="L124" s="2" t="str" cm="1">
        <f t="array" ref="L124">IFERROR(_xlfn.LET(
_xlpm.CSVVal,_xlfn.XLOOKUP($A124,CSV!$A:$A,CSV!P:P,""),
_xlpm.MacVal,_xlfn.XLOOKUP($A124,Output_Mac!$A:$A,Output_Mac!L:L,""),
_xlpm.MyAuditVal,_xlfn.XLOOKUP($A124,My_Audit!$A:$A,My_Audit!K:K,""),
_xlfn.IFS(_xlpm.MyAuditVal&lt;&gt;"",UPPER(_xlpm.MyAuditVal),_xlpm.MacVal&lt;&gt;"",_xlpm.MacVal,_xlpm.CSVVal&lt;&gt;"",_xlpm.CSVVal
)),"")</f>
        <v/>
      </c>
      <c r="M124" s="2" t="str" cm="1">
        <f t="array" ref="M124">IFERROR(_xlfn.LET(
_xlpm.CSVVal,_xlfn.XLOOKUP($A124,CSV!$A:$A,CSV!Q:Q,""),
_xlpm.MacVal,_xlfn.XLOOKUP($A124,Output_Mac!$A:$A,Output_Mac!M:M,""),
_xlpm.MyAuditVal,_xlfn.XLOOKUP($A124,My_Audit!$A:$A,My_Audit!L:L,""),
_xlfn.IFS(_xlpm.MyAuditVal&lt;&gt;"",UPPER(_xlpm.MyAuditVal),_xlpm.MacVal&lt;&gt;"",_xlpm.MacVal,_xlpm.CSVVal&lt;&gt;"",_xlpm.CSVVal
)),"")</f>
        <v/>
      </c>
      <c r="O124" s="2" t="str">
        <f>_xlfn.LET(
    _xlpm.CSVVal, _xlfn.XLOOKUP($A124, CSV!$A:$A, CSV!AA:AA, ""),
    _xlpm.MacVal, _xlfn.XLOOKUP($A124, Output_Mac!$A:$A, Output_Mac!S:S, ""),
    _xlpm.MyAuditVal, _xlfn.XLOOKUP($A124, My_Audit!$A:$A, My_Audit!P:P, ""),
    _xlfn.TEXTJOIN(", ", TRUE, _xlpm.MyAuditVal, _xlpm.MacVal, _xlpm.CSVVal)
)</f>
        <v/>
      </c>
      <c r="P124" s="2" t="str" cm="1">
        <f t="array" ref="P124">IFERROR(_xlfn.LET(
_xlpm.CSVVal,_xlfn.XLOOKUP($A124,CSV!$A:$A,CSV!AB:AB,""),
_xlpm.MacVal,_xlfn.XLOOKUP($A124,Output_Mac!$A:$A,Output_Mac!T:T,""),
_xlpm.MyAuditVal,_xlfn.XLOOKUP($A124,My_Audit!$A:$A,My_Audit!Q:Q,""),
_xlfn.IFS(_xlpm.MyAuditVal&lt;&gt;"",UPPER(_xlpm.MyAuditVal),_xlpm.MacVal&lt;&gt;"",_xlpm.MacVal,_xlpm.CSVVal&lt;&gt;"",_xlpm.CSVVal
)),"No")</f>
        <v>No</v>
      </c>
      <c r="Q124" s="2" t="str" cm="1">
        <f t="array" ref="Q124">IFERROR(_xlfn.LET(
_xlpm.CSVVal,_xlfn.XLOOKUP($A124,CSV!$A:$A,CSV!AC:AC,""),
_xlpm.MacVal,_xlfn.XLOOKUP($A124,Output_Mac!$A:$A,Output_Mac!U:U,""),
_xlpm.MyAuditVal,_xlfn.XLOOKUP($A124,My_Audit!$A:$A,My_Audit!R:R,""),
_xlfn.IFS(_xlpm.MyAuditVal&lt;&gt;"",UPPER(_xlpm.MyAuditVal),_xlpm.MacVal&lt;&gt;"",_xlpm.MacVal,_xlpm.CSVVal&lt;&gt;"",_xlpm.CSVVal
)),"")</f>
        <v/>
      </c>
      <c r="X124" t="str">
        <f>_xlfn.LET(
    _xlpm.MacVal, _xlfn.XLOOKUP($A124, Output_Mac!$A:$A, Output_Mac!AB:AB, ""),
    _xlpm.MyAuditVal, _xlfn.XLOOKUP($A124, My_Audit!$A:$A, My_Audit!N:N, ""),
    _xlfn.TEXTJOIN(", ", TRUE, _xlpm.MyAuditVal, _xlpm.MacVal)
)</f>
        <v/>
      </c>
    </row>
    <row r="125" spans="1:24">
      <c r="A125" s="2" t="str">
        <f>_xlfn.TEXTJOIN("",TRUE,Input!$B$2,ROW(My_Audit!A124))</f>
        <v>X124</v>
      </c>
      <c r="B125" s="2" t="str">
        <f>_xlfn.TEXTJOIN("-",TRUE,"ITD",Input!$A$2,A125)</f>
        <v>ITD-SHR-X124</v>
      </c>
      <c r="C125" s="2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2" t="str" cm="1">
        <f t="array" ref="D125">IFERROR(_xlfn.LET(
_xlpm.CSVVal,_xlfn.XLOOKUP($A125,CSV!$A:$A,CSV!D:D,""),
_xlpm.MacVal,_xlfn.XLOOKUP($A125,Output_Mac!$A:$A,Output_Mac!C:C,""),
_xlpm.MyAuditVal,_xlfn.XLOOKUP($A125,My_Audit!$A:$A,My_Audit!C:C,""),
_xlfn.IFS(_xlpm.MyAuditVal&lt;&gt;"",_xlpm.MyAuditVal,_xlpm.MacVal&lt;&gt;"",_xlpm.MacVal,_xlpm.CSVVal&lt;&gt;"",_xlpm.CSVVal
)),"")</f>
        <v/>
      </c>
      <c r="E125" s="2" t="str">
        <f>_xlfn.XLOOKUP(A125,My_Audit!A:A,My_Audit!D:D,"")</f>
        <v/>
      </c>
      <c r="F125" s="2" t="str" cm="1">
        <f t="array" ref="F125">IFERROR(_xlfn.LET(
_xlpm.CSVVal,_xlfn.XLOOKUP($A125,CSV!$A:$A,CSV!F:F,""),
_xlpm.MacVal,_xlfn.XLOOKUP($A125,Output_Mac!$A:$A,Output_Mac!E:E,""),
_xlpm.MyAuditVal,_xlfn.XLOOKUP($A125,My_Audit!$A:$A,My_Audit!E:E,""),
_xlfn.IFS(_xlpm.MyAuditVal&lt;&gt;"",_xlpm.MyAuditVal,_xlpm.MacVal&lt;&gt;"",_xlpm.MacVal,_xlpm.CSVVal&lt;&gt;"",_xlpm.CSVVal
)),"")</f>
        <v/>
      </c>
      <c r="G125" s="2" t="str" cm="1">
        <f t="array" ref="G125">IFERROR(_xlfn.LET(
_xlpm.CSVVal,_xlfn.XLOOKUP($A125,CSV!$A:$A,CSV!G:G,""),
_xlpm.MacVal,_xlfn.XLOOKUP($A125,Output_Mac!$A:$A,Output_Mac!F:F,""),
_xlpm.MyAuditVal,_xlfn.XLOOKUP($A125,My_Audit!$A:$A,My_Audit!F:F,""),
_xlfn.IFS(_xlpm.MyAuditVal&lt;&gt;"",_xlpm.MyAuditVal,_xlpm.MacVal&lt;&gt;"",_xlpm.MacVal,_xlpm.CSVVal&lt;&gt;"",PROPER(_xlpm.CSVVal)
)),"")</f>
        <v/>
      </c>
      <c r="H125" s="2" t="str" cm="1">
        <f t="array" ref="H125">IFERROR(_xlfn.LET(
_xlpm.CSVVal,_xlfn.XLOOKUP($A125,CSV!$A:$A,CSV!H:H,""),
_xlpm.MacVal,_xlfn.XLOOKUP($A125,Output_Mac!$A:$A,Output_Mac!H:H,""),
_xlpm.MyAuditVal,_xlfn.XLOOKUP($A125,My_Audit!$A:$A,My_Audit!G:G,""),
_xlfn.IFS(_xlpm.MyAuditVal&lt;&gt;"",_xlpm.MyAuditVal,_xlpm.MacVal&lt;&gt;"",_xlpm.MacVal,_xlpm.CSVVal&lt;&gt;"",_xlpm.CSVVal
)),"")</f>
        <v/>
      </c>
      <c r="I125" s="2" t="str">
        <f>_xlfn.XLOOKUP(A125,Output_Mac!A:A,Output_Mac!I:I,"")</f>
        <v/>
      </c>
      <c r="J125" s="2" t="str" cm="1">
        <f t="array" ref="J125">IFERROR(_xlfn.LET(
_xlpm.CSVVal,_xlfn.XLOOKUP($A125,CSV!$A:$A,CSV!I:I,""),
_xlpm.MacVal,_xlfn.XLOOKUP($A125,Output_Mac!$A:$A,Output_Mac!J:J,""),
_xlpm.MyAuditVal,_xlfn.XLOOKUP($A125,My_Audit!$A:$A,My_Audit!I:I,""),
_xlfn.IFS(_xlpm.MyAuditVal&lt;&gt;"",UPPER(_xlpm.MyAuditVal),_xlpm.MacVal&lt;&gt;"",_xlpm.MacVal,_xlpm.CSVVal&lt;&gt;"",_xlpm.CSVVal
)),"")</f>
        <v/>
      </c>
      <c r="K125" s="2" t="str" cm="1">
        <f t="array" ref="K125">IFERROR(_xlfn.LET(
_xlpm.CSVVal,_xlfn.XLOOKUP($A125,CSV!$A:$A,CSV!K:K,""),
_xlpm.MacVal,_xlfn.XLOOKUP($A125,Output_Mac!$A:$A,Output_Mac!K:K,""),
_xlpm.MyAuditVal,_xlfn.XLOOKUP($A125,My_Audit!$A:$A,My_Audit!J:J,""),
_xlfn.IFS(_xlpm.MyAuditVal&lt;&gt;"",UPPER(_xlpm.MyAuditVal),_xlpm.MacVal&lt;&gt;"",_xlpm.MacVal,_xlpm.CSVVal&lt;&gt;"",_xlpm.CSVVal
)),"")</f>
        <v/>
      </c>
      <c r="L125" s="2" t="str" cm="1">
        <f t="array" ref="L125">IFERROR(_xlfn.LET(
_xlpm.CSVVal,_xlfn.XLOOKUP($A125,CSV!$A:$A,CSV!P:P,""),
_xlpm.MacVal,_xlfn.XLOOKUP($A125,Output_Mac!$A:$A,Output_Mac!L:L,""),
_xlpm.MyAuditVal,_xlfn.XLOOKUP($A125,My_Audit!$A:$A,My_Audit!K:K,""),
_xlfn.IFS(_xlpm.MyAuditVal&lt;&gt;"",UPPER(_xlpm.MyAuditVal),_xlpm.MacVal&lt;&gt;"",_xlpm.MacVal,_xlpm.CSVVal&lt;&gt;"",_xlpm.CSVVal
)),"")</f>
        <v/>
      </c>
      <c r="M125" s="2" t="str" cm="1">
        <f t="array" ref="M125">IFERROR(_xlfn.LET(
_xlpm.CSVVal,_xlfn.XLOOKUP($A125,CSV!$A:$A,CSV!Q:Q,""),
_xlpm.MacVal,_xlfn.XLOOKUP($A125,Output_Mac!$A:$A,Output_Mac!M:M,""),
_xlpm.MyAuditVal,_xlfn.XLOOKUP($A125,My_Audit!$A:$A,My_Audit!L:L,""),
_xlfn.IFS(_xlpm.MyAuditVal&lt;&gt;"",UPPER(_xlpm.MyAuditVal),_xlpm.MacVal&lt;&gt;"",_xlpm.MacVal,_xlpm.CSVVal&lt;&gt;"",_xlpm.CSVVal
)),"")</f>
        <v/>
      </c>
      <c r="O125" s="2" t="str">
        <f>_xlfn.LET(
    _xlpm.CSVVal, _xlfn.XLOOKUP($A125, CSV!$A:$A, CSV!AA:AA, ""),
    _xlpm.MacVal, _xlfn.XLOOKUP($A125, Output_Mac!$A:$A, Output_Mac!S:S, ""),
    _xlpm.MyAuditVal, _xlfn.XLOOKUP($A125, My_Audit!$A:$A, My_Audit!P:P, ""),
    _xlfn.TEXTJOIN(", ", TRUE, _xlpm.MyAuditVal, _xlpm.MacVal, _xlpm.CSVVal)
)</f>
        <v/>
      </c>
      <c r="P125" s="2" t="str" cm="1">
        <f t="array" ref="P125">IFERROR(_xlfn.LET(
_xlpm.CSVVal,_xlfn.XLOOKUP($A125,CSV!$A:$A,CSV!AB:AB,""),
_xlpm.MacVal,_xlfn.XLOOKUP($A125,Output_Mac!$A:$A,Output_Mac!T:T,""),
_xlpm.MyAuditVal,_xlfn.XLOOKUP($A125,My_Audit!$A:$A,My_Audit!Q:Q,""),
_xlfn.IFS(_xlpm.MyAuditVal&lt;&gt;"",UPPER(_xlpm.MyAuditVal),_xlpm.MacVal&lt;&gt;"",_xlpm.MacVal,_xlpm.CSVVal&lt;&gt;"",_xlpm.CSVVal
)),"No")</f>
        <v>No</v>
      </c>
      <c r="Q125" s="2" t="str" cm="1">
        <f t="array" ref="Q125">IFERROR(_xlfn.LET(
_xlpm.CSVVal,_xlfn.XLOOKUP($A125,CSV!$A:$A,CSV!AC:AC,""),
_xlpm.MacVal,_xlfn.XLOOKUP($A125,Output_Mac!$A:$A,Output_Mac!U:U,""),
_xlpm.MyAuditVal,_xlfn.XLOOKUP($A125,My_Audit!$A:$A,My_Audit!R:R,""),
_xlfn.IFS(_xlpm.MyAuditVal&lt;&gt;"",UPPER(_xlpm.MyAuditVal),_xlpm.MacVal&lt;&gt;"",_xlpm.MacVal,_xlpm.CSVVal&lt;&gt;"",_xlpm.CSVVal
)),"")</f>
        <v/>
      </c>
      <c r="X125" t="str">
        <f>_xlfn.LET(
    _xlpm.MacVal, _xlfn.XLOOKUP($A125, Output_Mac!$A:$A, Output_Mac!AB:AB, ""),
    _xlpm.MyAuditVal, _xlfn.XLOOKUP($A125, My_Audit!$A:$A, My_Audit!N:N, ""),
    _xlfn.TEXTJOIN(", ", TRUE, _xlpm.MyAuditVal, _xlpm.MacVal)
)</f>
        <v/>
      </c>
    </row>
    <row r="126" spans="1:24">
      <c r="A126" s="2" t="str">
        <f>_xlfn.TEXTJOIN("",TRUE,Input!$B$2,ROW(My_Audit!A125))</f>
        <v>X125</v>
      </c>
      <c r="B126" s="2" t="str">
        <f>_xlfn.TEXTJOIN("-",TRUE,"ITD",Input!$A$2,A126)</f>
        <v>ITD-SHR-X125</v>
      </c>
      <c r="C126" s="2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2" t="str" cm="1">
        <f t="array" ref="D126">IFERROR(_xlfn.LET(
_xlpm.CSVVal,_xlfn.XLOOKUP($A126,CSV!$A:$A,CSV!D:D,""),
_xlpm.MacVal,_xlfn.XLOOKUP($A126,Output_Mac!$A:$A,Output_Mac!C:C,""),
_xlpm.MyAuditVal,_xlfn.XLOOKUP($A126,My_Audit!$A:$A,My_Audit!C:C,""),
_xlfn.IFS(_xlpm.MyAuditVal&lt;&gt;"",_xlpm.MyAuditVal,_xlpm.MacVal&lt;&gt;"",_xlpm.MacVal,_xlpm.CSVVal&lt;&gt;"",_xlpm.CSVVal
)),"")</f>
        <v/>
      </c>
      <c r="E126" s="2" t="str">
        <f>_xlfn.XLOOKUP(A126,My_Audit!A:A,My_Audit!D:D,"")</f>
        <v/>
      </c>
      <c r="F126" s="2" t="str" cm="1">
        <f t="array" ref="F126">IFERROR(_xlfn.LET(
_xlpm.CSVVal,_xlfn.XLOOKUP($A126,CSV!$A:$A,CSV!F:F,""),
_xlpm.MacVal,_xlfn.XLOOKUP($A126,Output_Mac!$A:$A,Output_Mac!E:E,""),
_xlpm.MyAuditVal,_xlfn.XLOOKUP($A126,My_Audit!$A:$A,My_Audit!E:E,""),
_xlfn.IFS(_xlpm.MyAuditVal&lt;&gt;"",_xlpm.MyAuditVal,_xlpm.MacVal&lt;&gt;"",_xlpm.MacVal,_xlpm.CSVVal&lt;&gt;"",_xlpm.CSVVal
)),"")</f>
        <v/>
      </c>
      <c r="G126" s="2" t="str" cm="1">
        <f t="array" ref="G126">IFERROR(_xlfn.LET(
_xlpm.CSVVal,_xlfn.XLOOKUP($A126,CSV!$A:$A,CSV!G:G,""),
_xlpm.MacVal,_xlfn.XLOOKUP($A126,Output_Mac!$A:$A,Output_Mac!F:F,""),
_xlpm.MyAuditVal,_xlfn.XLOOKUP($A126,My_Audit!$A:$A,My_Audit!F:F,""),
_xlfn.IFS(_xlpm.MyAuditVal&lt;&gt;"",_xlpm.MyAuditVal,_xlpm.MacVal&lt;&gt;"",_xlpm.MacVal,_xlpm.CSVVal&lt;&gt;"",PROPER(_xlpm.CSVVal)
)),"")</f>
        <v/>
      </c>
      <c r="H126" s="2" t="str" cm="1">
        <f t="array" ref="H126">IFERROR(_xlfn.LET(
_xlpm.CSVVal,_xlfn.XLOOKUP($A126,CSV!$A:$A,CSV!H:H,""),
_xlpm.MacVal,_xlfn.XLOOKUP($A126,Output_Mac!$A:$A,Output_Mac!H:H,""),
_xlpm.MyAuditVal,_xlfn.XLOOKUP($A126,My_Audit!$A:$A,My_Audit!G:G,""),
_xlfn.IFS(_xlpm.MyAuditVal&lt;&gt;"",_xlpm.MyAuditVal,_xlpm.MacVal&lt;&gt;"",_xlpm.MacVal,_xlpm.CSVVal&lt;&gt;"",_xlpm.CSVVal
)),"")</f>
        <v/>
      </c>
      <c r="I126" s="2" t="str">
        <f>_xlfn.XLOOKUP(A126,Output_Mac!A:A,Output_Mac!I:I,"")</f>
        <v/>
      </c>
      <c r="J126" s="2" t="str" cm="1">
        <f t="array" ref="J126">IFERROR(_xlfn.LET(
_xlpm.CSVVal,_xlfn.XLOOKUP($A126,CSV!$A:$A,CSV!I:I,""),
_xlpm.MacVal,_xlfn.XLOOKUP($A126,Output_Mac!$A:$A,Output_Mac!J:J,""),
_xlpm.MyAuditVal,_xlfn.XLOOKUP($A126,My_Audit!$A:$A,My_Audit!I:I,""),
_xlfn.IFS(_xlpm.MyAuditVal&lt;&gt;"",UPPER(_xlpm.MyAuditVal),_xlpm.MacVal&lt;&gt;"",_xlpm.MacVal,_xlpm.CSVVal&lt;&gt;"",_xlpm.CSVVal
)),"")</f>
        <v/>
      </c>
      <c r="K126" s="2" t="str" cm="1">
        <f t="array" ref="K126">IFERROR(_xlfn.LET(
_xlpm.CSVVal,_xlfn.XLOOKUP($A126,CSV!$A:$A,CSV!K:K,""),
_xlpm.MacVal,_xlfn.XLOOKUP($A126,Output_Mac!$A:$A,Output_Mac!K:K,""),
_xlpm.MyAuditVal,_xlfn.XLOOKUP($A126,My_Audit!$A:$A,My_Audit!J:J,""),
_xlfn.IFS(_xlpm.MyAuditVal&lt;&gt;"",UPPER(_xlpm.MyAuditVal),_xlpm.MacVal&lt;&gt;"",_xlpm.MacVal,_xlpm.CSVVal&lt;&gt;"",_xlpm.CSVVal
)),"")</f>
        <v/>
      </c>
      <c r="L126" s="2" t="str" cm="1">
        <f t="array" ref="L126">IFERROR(_xlfn.LET(
_xlpm.CSVVal,_xlfn.XLOOKUP($A126,CSV!$A:$A,CSV!P:P,""),
_xlpm.MacVal,_xlfn.XLOOKUP($A126,Output_Mac!$A:$A,Output_Mac!L:L,""),
_xlpm.MyAuditVal,_xlfn.XLOOKUP($A126,My_Audit!$A:$A,My_Audit!K:K,""),
_xlfn.IFS(_xlpm.MyAuditVal&lt;&gt;"",UPPER(_xlpm.MyAuditVal),_xlpm.MacVal&lt;&gt;"",_xlpm.MacVal,_xlpm.CSVVal&lt;&gt;"",_xlpm.CSVVal
)),"")</f>
        <v/>
      </c>
      <c r="M126" s="2" t="str" cm="1">
        <f t="array" ref="M126">IFERROR(_xlfn.LET(
_xlpm.CSVVal,_xlfn.XLOOKUP($A126,CSV!$A:$A,CSV!Q:Q,""),
_xlpm.MacVal,_xlfn.XLOOKUP($A126,Output_Mac!$A:$A,Output_Mac!M:M,""),
_xlpm.MyAuditVal,_xlfn.XLOOKUP($A126,My_Audit!$A:$A,My_Audit!L:L,""),
_xlfn.IFS(_xlpm.MyAuditVal&lt;&gt;"",UPPER(_xlpm.MyAuditVal),_xlpm.MacVal&lt;&gt;"",_xlpm.MacVal,_xlpm.CSVVal&lt;&gt;"",_xlpm.CSVVal
)),"")</f>
        <v/>
      </c>
      <c r="O126" s="2" t="str">
        <f>_xlfn.LET(
    _xlpm.CSVVal, _xlfn.XLOOKUP($A126, CSV!$A:$A, CSV!AA:AA, ""),
    _xlpm.MacVal, _xlfn.XLOOKUP($A126, Output_Mac!$A:$A, Output_Mac!S:S, ""),
    _xlpm.MyAuditVal, _xlfn.XLOOKUP($A126, My_Audit!$A:$A, My_Audit!P:P, ""),
    _xlfn.TEXTJOIN(", ", TRUE, _xlpm.MyAuditVal, _xlpm.MacVal, _xlpm.CSVVal)
)</f>
        <v/>
      </c>
      <c r="P126" s="2" t="str" cm="1">
        <f t="array" ref="P126">IFERROR(_xlfn.LET(
_xlpm.CSVVal,_xlfn.XLOOKUP($A126,CSV!$A:$A,CSV!AB:AB,""),
_xlpm.MacVal,_xlfn.XLOOKUP($A126,Output_Mac!$A:$A,Output_Mac!T:T,""),
_xlpm.MyAuditVal,_xlfn.XLOOKUP($A126,My_Audit!$A:$A,My_Audit!Q:Q,""),
_xlfn.IFS(_xlpm.MyAuditVal&lt;&gt;"",UPPER(_xlpm.MyAuditVal),_xlpm.MacVal&lt;&gt;"",_xlpm.MacVal,_xlpm.CSVVal&lt;&gt;"",_xlpm.CSVVal
)),"No")</f>
        <v>No</v>
      </c>
      <c r="Q126" s="2" t="str" cm="1">
        <f t="array" ref="Q126">IFERROR(_xlfn.LET(
_xlpm.CSVVal,_xlfn.XLOOKUP($A126,CSV!$A:$A,CSV!AC:AC,""),
_xlpm.MacVal,_xlfn.XLOOKUP($A126,Output_Mac!$A:$A,Output_Mac!U:U,""),
_xlpm.MyAuditVal,_xlfn.XLOOKUP($A126,My_Audit!$A:$A,My_Audit!R:R,""),
_xlfn.IFS(_xlpm.MyAuditVal&lt;&gt;"",UPPER(_xlpm.MyAuditVal),_xlpm.MacVal&lt;&gt;"",_xlpm.MacVal,_xlpm.CSVVal&lt;&gt;"",_xlpm.CSVVal
)),"")</f>
        <v/>
      </c>
      <c r="X126" t="str">
        <f>_xlfn.LET(
    _xlpm.MacVal, _xlfn.XLOOKUP($A126, Output_Mac!$A:$A, Output_Mac!AB:AB, ""),
    _xlpm.MyAuditVal, _xlfn.XLOOKUP($A126, My_Audit!$A:$A, My_Audit!N:N, ""),
    _xlfn.TEXTJOIN(", ", TRUE, _xlpm.MyAuditVal, _xlpm.MacVal)
)</f>
        <v/>
      </c>
    </row>
    <row r="127" spans="1:24">
      <c r="A127" s="2" t="str">
        <f>_xlfn.TEXTJOIN("",TRUE,Input!$B$2,ROW(My_Audit!A126))</f>
        <v>X126</v>
      </c>
      <c r="B127" s="2" t="str">
        <f>_xlfn.TEXTJOIN("-",TRUE,"ITD",Input!$A$2,A127)</f>
        <v>ITD-SHR-X126</v>
      </c>
      <c r="C127" s="2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2" t="str" cm="1">
        <f t="array" ref="D127">IFERROR(_xlfn.LET(
_xlpm.CSVVal,_xlfn.XLOOKUP($A127,CSV!$A:$A,CSV!D:D,""),
_xlpm.MacVal,_xlfn.XLOOKUP($A127,Output_Mac!$A:$A,Output_Mac!C:C,""),
_xlpm.MyAuditVal,_xlfn.XLOOKUP($A127,My_Audit!$A:$A,My_Audit!C:C,""),
_xlfn.IFS(_xlpm.MyAuditVal&lt;&gt;"",_xlpm.MyAuditVal,_xlpm.MacVal&lt;&gt;"",_xlpm.MacVal,_xlpm.CSVVal&lt;&gt;"",_xlpm.CSVVal
)),"")</f>
        <v/>
      </c>
      <c r="E127" s="2" t="str">
        <f>_xlfn.XLOOKUP(A127,My_Audit!A:A,My_Audit!D:D,"")</f>
        <v/>
      </c>
      <c r="F127" s="2" t="str" cm="1">
        <f t="array" ref="F127">IFERROR(_xlfn.LET(
_xlpm.CSVVal,_xlfn.XLOOKUP($A127,CSV!$A:$A,CSV!F:F,""),
_xlpm.MacVal,_xlfn.XLOOKUP($A127,Output_Mac!$A:$A,Output_Mac!E:E,""),
_xlpm.MyAuditVal,_xlfn.XLOOKUP($A127,My_Audit!$A:$A,My_Audit!E:E,""),
_xlfn.IFS(_xlpm.MyAuditVal&lt;&gt;"",_xlpm.MyAuditVal,_xlpm.MacVal&lt;&gt;"",_xlpm.MacVal,_xlpm.CSVVal&lt;&gt;"",_xlpm.CSVVal
)),"")</f>
        <v/>
      </c>
      <c r="G127" s="2" t="str" cm="1">
        <f t="array" ref="G127">IFERROR(_xlfn.LET(
_xlpm.CSVVal,_xlfn.XLOOKUP($A127,CSV!$A:$A,CSV!G:G,""),
_xlpm.MacVal,_xlfn.XLOOKUP($A127,Output_Mac!$A:$A,Output_Mac!F:F,""),
_xlpm.MyAuditVal,_xlfn.XLOOKUP($A127,My_Audit!$A:$A,My_Audit!F:F,""),
_xlfn.IFS(_xlpm.MyAuditVal&lt;&gt;"",_xlpm.MyAuditVal,_xlpm.MacVal&lt;&gt;"",_xlpm.MacVal,_xlpm.CSVVal&lt;&gt;"",PROPER(_xlpm.CSVVal)
)),"")</f>
        <v/>
      </c>
      <c r="H127" s="2" t="str" cm="1">
        <f t="array" ref="H127">IFERROR(_xlfn.LET(
_xlpm.CSVVal,_xlfn.XLOOKUP($A127,CSV!$A:$A,CSV!H:H,""),
_xlpm.MacVal,_xlfn.XLOOKUP($A127,Output_Mac!$A:$A,Output_Mac!H:H,""),
_xlpm.MyAuditVal,_xlfn.XLOOKUP($A127,My_Audit!$A:$A,My_Audit!G:G,""),
_xlfn.IFS(_xlpm.MyAuditVal&lt;&gt;"",_xlpm.MyAuditVal,_xlpm.MacVal&lt;&gt;"",_xlpm.MacVal,_xlpm.CSVVal&lt;&gt;"",_xlpm.CSVVal
)),"")</f>
        <v/>
      </c>
      <c r="I127" s="2" t="str">
        <f>_xlfn.XLOOKUP(A127,Output_Mac!A:A,Output_Mac!I:I,"")</f>
        <v/>
      </c>
      <c r="J127" s="2" t="str" cm="1">
        <f t="array" ref="J127">IFERROR(_xlfn.LET(
_xlpm.CSVVal,_xlfn.XLOOKUP($A127,CSV!$A:$A,CSV!I:I,""),
_xlpm.MacVal,_xlfn.XLOOKUP($A127,Output_Mac!$A:$A,Output_Mac!J:J,""),
_xlpm.MyAuditVal,_xlfn.XLOOKUP($A127,My_Audit!$A:$A,My_Audit!I:I,""),
_xlfn.IFS(_xlpm.MyAuditVal&lt;&gt;"",UPPER(_xlpm.MyAuditVal),_xlpm.MacVal&lt;&gt;"",_xlpm.MacVal,_xlpm.CSVVal&lt;&gt;"",_xlpm.CSVVal
)),"")</f>
        <v/>
      </c>
      <c r="K127" s="2" t="str" cm="1">
        <f t="array" ref="K127">IFERROR(_xlfn.LET(
_xlpm.CSVVal,_xlfn.XLOOKUP($A127,CSV!$A:$A,CSV!K:K,""),
_xlpm.MacVal,_xlfn.XLOOKUP($A127,Output_Mac!$A:$A,Output_Mac!K:K,""),
_xlpm.MyAuditVal,_xlfn.XLOOKUP($A127,My_Audit!$A:$A,My_Audit!J:J,""),
_xlfn.IFS(_xlpm.MyAuditVal&lt;&gt;"",UPPER(_xlpm.MyAuditVal),_xlpm.MacVal&lt;&gt;"",_xlpm.MacVal,_xlpm.CSVVal&lt;&gt;"",_xlpm.CSVVal
)),"")</f>
        <v/>
      </c>
      <c r="L127" s="2" t="str" cm="1">
        <f t="array" ref="L127">IFERROR(_xlfn.LET(
_xlpm.CSVVal,_xlfn.XLOOKUP($A127,CSV!$A:$A,CSV!P:P,""),
_xlpm.MacVal,_xlfn.XLOOKUP($A127,Output_Mac!$A:$A,Output_Mac!L:L,""),
_xlpm.MyAuditVal,_xlfn.XLOOKUP($A127,My_Audit!$A:$A,My_Audit!K:K,""),
_xlfn.IFS(_xlpm.MyAuditVal&lt;&gt;"",UPPER(_xlpm.MyAuditVal),_xlpm.MacVal&lt;&gt;"",_xlpm.MacVal,_xlpm.CSVVal&lt;&gt;"",_xlpm.CSVVal
)),"")</f>
        <v/>
      </c>
      <c r="M127" s="2" t="str" cm="1">
        <f t="array" ref="M127">IFERROR(_xlfn.LET(
_xlpm.CSVVal,_xlfn.XLOOKUP($A127,CSV!$A:$A,CSV!Q:Q,""),
_xlpm.MacVal,_xlfn.XLOOKUP($A127,Output_Mac!$A:$A,Output_Mac!M:M,""),
_xlpm.MyAuditVal,_xlfn.XLOOKUP($A127,My_Audit!$A:$A,My_Audit!L:L,""),
_xlfn.IFS(_xlpm.MyAuditVal&lt;&gt;"",UPPER(_xlpm.MyAuditVal),_xlpm.MacVal&lt;&gt;"",_xlpm.MacVal,_xlpm.CSVVal&lt;&gt;"",_xlpm.CSVVal
)),"")</f>
        <v/>
      </c>
      <c r="O127" s="2" t="str">
        <f>_xlfn.LET(
    _xlpm.CSVVal, _xlfn.XLOOKUP($A127, CSV!$A:$A, CSV!AA:AA, ""),
    _xlpm.MacVal, _xlfn.XLOOKUP($A127, Output_Mac!$A:$A, Output_Mac!S:S, ""),
    _xlpm.MyAuditVal, _xlfn.XLOOKUP($A127, My_Audit!$A:$A, My_Audit!P:P, ""),
    _xlfn.TEXTJOIN(", ", TRUE, _xlpm.MyAuditVal, _xlpm.MacVal, _xlpm.CSVVal)
)</f>
        <v/>
      </c>
      <c r="P127" s="2" t="str" cm="1">
        <f t="array" ref="P127">IFERROR(_xlfn.LET(
_xlpm.CSVVal,_xlfn.XLOOKUP($A127,CSV!$A:$A,CSV!AB:AB,""),
_xlpm.MacVal,_xlfn.XLOOKUP($A127,Output_Mac!$A:$A,Output_Mac!T:T,""),
_xlpm.MyAuditVal,_xlfn.XLOOKUP($A127,My_Audit!$A:$A,My_Audit!Q:Q,""),
_xlfn.IFS(_xlpm.MyAuditVal&lt;&gt;"",UPPER(_xlpm.MyAuditVal),_xlpm.MacVal&lt;&gt;"",_xlpm.MacVal,_xlpm.CSVVal&lt;&gt;"",_xlpm.CSVVal
)),"No")</f>
        <v>No</v>
      </c>
      <c r="Q127" s="2" t="str" cm="1">
        <f t="array" ref="Q127">IFERROR(_xlfn.LET(
_xlpm.CSVVal,_xlfn.XLOOKUP($A127,CSV!$A:$A,CSV!AC:AC,""),
_xlpm.MacVal,_xlfn.XLOOKUP($A127,Output_Mac!$A:$A,Output_Mac!U:U,""),
_xlpm.MyAuditVal,_xlfn.XLOOKUP($A127,My_Audit!$A:$A,My_Audit!R:R,""),
_xlfn.IFS(_xlpm.MyAuditVal&lt;&gt;"",UPPER(_xlpm.MyAuditVal),_xlpm.MacVal&lt;&gt;"",_xlpm.MacVal,_xlpm.CSVVal&lt;&gt;"",_xlpm.CSVVal
)),"")</f>
        <v/>
      </c>
      <c r="X127" t="str">
        <f>_xlfn.LET(
    _xlpm.MacVal, _xlfn.XLOOKUP($A127, Output_Mac!$A:$A, Output_Mac!AB:AB, ""),
    _xlpm.MyAuditVal, _xlfn.XLOOKUP($A127, My_Audit!$A:$A, My_Audit!N:N, ""),
    _xlfn.TEXTJOIN(", ", TRUE, _xlpm.MyAuditVal, _xlpm.MacVal)
)</f>
        <v/>
      </c>
    </row>
    <row r="128" spans="1:24">
      <c r="A128" s="2" t="str">
        <f>_xlfn.TEXTJOIN("",TRUE,Input!$B$2,ROW(My_Audit!A127))</f>
        <v>X127</v>
      </c>
      <c r="B128" s="2" t="str">
        <f>_xlfn.TEXTJOIN("-",TRUE,"ITD",Input!$A$2,A128)</f>
        <v>ITD-SHR-X127</v>
      </c>
      <c r="C128" s="2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2" t="str" cm="1">
        <f t="array" ref="D128">IFERROR(_xlfn.LET(
_xlpm.CSVVal,_xlfn.XLOOKUP($A128,CSV!$A:$A,CSV!D:D,""),
_xlpm.MacVal,_xlfn.XLOOKUP($A128,Output_Mac!$A:$A,Output_Mac!C:C,""),
_xlpm.MyAuditVal,_xlfn.XLOOKUP($A128,My_Audit!$A:$A,My_Audit!C:C,""),
_xlfn.IFS(_xlpm.MyAuditVal&lt;&gt;"",_xlpm.MyAuditVal,_xlpm.MacVal&lt;&gt;"",_xlpm.MacVal,_xlpm.CSVVal&lt;&gt;"",_xlpm.CSVVal
)),"")</f>
        <v/>
      </c>
      <c r="E128" s="2" t="str">
        <f>_xlfn.XLOOKUP(A128,My_Audit!A:A,My_Audit!D:D,"")</f>
        <v/>
      </c>
      <c r="F128" s="2" t="str" cm="1">
        <f t="array" ref="F128">IFERROR(_xlfn.LET(
_xlpm.CSVVal,_xlfn.XLOOKUP($A128,CSV!$A:$A,CSV!F:F,""),
_xlpm.MacVal,_xlfn.XLOOKUP($A128,Output_Mac!$A:$A,Output_Mac!E:E,""),
_xlpm.MyAuditVal,_xlfn.XLOOKUP($A128,My_Audit!$A:$A,My_Audit!E:E,""),
_xlfn.IFS(_xlpm.MyAuditVal&lt;&gt;"",_xlpm.MyAuditVal,_xlpm.MacVal&lt;&gt;"",_xlpm.MacVal,_xlpm.CSVVal&lt;&gt;"",_xlpm.CSVVal
)),"")</f>
        <v/>
      </c>
      <c r="G128" s="2" t="str" cm="1">
        <f t="array" ref="G128">IFERROR(_xlfn.LET(
_xlpm.CSVVal,_xlfn.XLOOKUP($A128,CSV!$A:$A,CSV!G:G,""),
_xlpm.MacVal,_xlfn.XLOOKUP($A128,Output_Mac!$A:$A,Output_Mac!F:F,""),
_xlpm.MyAuditVal,_xlfn.XLOOKUP($A128,My_Audit!$A:$A,My_Audit!F:F,""),
_xlfn.IFS(_xlpm.MyAuditVal&lt;&gt;"",_xlpm.MyAuditVal,_xlpm.MacVal&lt;&gt;"",_xlpm.MacVal,_xlpm.CSVVal&lt;&gt;"",PROPER(_xlpm.CSVVal)
)),"")</f>
        <v/>
      </c>
      <c r="H128" s="2" t="str" cm="1">
        <f t="array" ref="H128">IFERROR(_xlfn.LET(
_xlpm.CSVVal,_xlfn.XLOOKUP($A128,CSV!$A:$A,CSV!H:H,""),
_xlpm.MacVal,_xlfn.XLOOKUP($A128,Output_Mac!$A:$A,Output_Mac!H:H,""),
_xlpm.MyAuditVal,_xlfn.XLOOKUP($A128,My_Audit!$A:$A,My_Audit!G:G,""),
_xlfn.IFS(_xlpm.MyAuditVal&lt;&gt;"",_xlpm.MyAuditVal,_xlpm.MacVal&lt;&gt;"",_xlpm.MacVal,_xlpm.CSVVal&lt;&gt;"",_xlpm.CSVVal
)),"")</f>
        <v/>
      </c>
      <c r="I128" s="2" t="str">
        <f>_xlfn.XLOOKUP(A128,Output_Mac!A:A,Output_Mac!I:I,"")</f>
        <v/>
      </c>
      <c r="J128" s="2" t="str" cm="1">
        <f t="array" ref="J128">IFERROR(_xlfn.LET(
_xlpm.CSVVal,_xlfn.XLOOKUP($A128,CSV!$A:$A,CSV!I:I,""),
_xlpm.MacVal,_xlfn.XLOOKUP($A128,Output_Mac!$A:$A,Output_Mac!J:J,""),
_xlpm.MyAuditVal,_xlfn.XLOOKUP($A128,My_Audit!$A:$A,My_Audit!I:I,""),
_xlfn.IFS(_xlpm.MyAuditVal&lt;&gt;"",UPPER(_xlpm.MyAuditVal),_xlpm.MacVal&lt;&gt;"",_xlpm.MacVal,_xlpm.CSVVal&lt;&gt;"",_xlpm.CSVVal
)),"")</f>
        <v/>
      </c>
      <c r="K128" s="2" t="str" cm="1">
        <f t="array" ref="K128">IFERROR(_xlfn.LET(
_xlpm.CSVVal,_xlfn.XLOOKUP($A128,CSV!$A:$A,CSV!K:K,""),
_xlpm.MacVal,_xlfn.XLOOKUP($A128,Output_Mac!$A:$A,Output_Mac!K:K,""),
_xlpm.MyAuditVal,_xlfn.XLOOKUP($A128,My_Audit!$A:$A,My_Audit!J:J,""),
_xlfn.IFS(_xlpm.MyAuditVal&lt;&gt;"",UPPER(_xlpm.MyAuditVal),_xlpm.MacVal&lt;&gt;"",_xlpm.MacVal,_xlpm.CSVVal&lt;&gt;"",_xlpm.CSVVal
)),"")</f>
        <v/>
      </c>
      <c r="L128" s="2" t="str" cm="1">
        <f t="array" ref="L128">IFERROR(_xlfn.LET(
_xlpm.CSVVal,_xlfn.XLOOKUP($A128,CSV!$A:$A,CSV!P:P,""),
_xlpm.MacVal,_xlfn.XLOOKUP($A128,Output_Mac!$A:$A,Output_Mac!L:L,""),
_xlpm.MyAuditVal,_xlfn.XLOOKUP($A128,My_Audit!$A:$A,My_Audit!K:K,""),
_xlfn.IFS(_xlpm.MyAuditVal&lt;&gt;"",UPPER(_xlpm.MyAuditVal),_xlpm.MacVal&lt;&gt;"",_xlpm.MacVal,_xlpm.CSVVal&lt;&gt;"",_xlpm.CSVVal
)),"")</f>
        <v/>
      </c>
      <c r="M128" s="2" t="str" cm="1">
        <f t="array" ref="M128">IFERROR(_xlfn.LET(
_xlpm.CSVVal,_xlfn.XLOOKUP($A128,CSV!$A:$A,CSV!Q:Q,""),
_xlpm.MacVal,_xlfn.XLOOKUP($A128,Output_Mac!$A:$A,Output_Mac!M:M,""),
_xlpm.MyAuditVal,_xlfn.XLOOKUP($A128,My_Audit!$A:$A,My_Audit!L:L,""),
_xlfn.IFS(_xlpm.MyAuditVal&lt;&gt;"",UPPER(_xlpm.MyAuditVal),_xlpm.MacVal&lt;&gt;"",_xlpm.MacVal,_xlpm.CSVVal&lt;&gt;"",_xlpm.CSVVal
)),"")</f>
        <v/>
      </c>
      <c r="O128" s="2" t="str">
        <f>_xlfn.LET(
    _xlpm.CSVVal, _xlfn.XLOOKUP($A128, CSV!$A:$A, CSV!AA:AA, ""),
    _xlpm.MacVal, _xlfn.XLOOKUP($A128, Output_Mac!$A:$A, Output_Mac!S:S, ""),
    _xlpm.MyAuditVal, _xlfn.XLOOKUP($A128, My_Audit!$A:$A, My_Audit!P:P, ""),
    _xlfn.TEXTJOIN(", ", TRUE, _xlpm.MyAuditVal, _xlpm.MacVal, _xlpm.CSVVal)
)</f>
        <v/>
      </c>
      <c r="P128" s="2" t="str" cm="1">
        <f t="array" ref="P128">IFERROR(_xlfn.LET(
_xlpm.CSVVal,_xlfn.XLOOKUP($A128,CSV!$A:$A,CSV!AB:AB,""),
_xlpm.MacVal,_xlfn.XLOOKUP($A128,Output_Mac!$A:$A,Output_Mac!T:T,""),
_xlpm.MyAuditVal,_xlfn.XLOOKUP($A128,My_Audit!$A:$A,My_Audit!Q:Q,""),
_xlfn.IFS(_xlpm.MyAuditVal&lt;&gt;"",UPPER(_xlpm.MyAuditVal),_xlpm.MacVal&lt;&gt;"",_xlpm.MacVal,_xlpm.CSVVal&lt;&gt;"",_xlpm.CSVVal
)),"No")</f>
        <v>No</v>
      </c>
      <c r="Q128" s="2" t="str" cm="1">
        <f t="array" ref="Q128">IFERROR(_xlfn.LET(
_xlpm.CSVVal,_xlfn.XLOOKUP($A128,CSV!$A:$A,CSV!AC:AC,""),
_xlpm.MacVal,_xlfn.XLOOKUP($A128,Output_Mac!$A:$A,Output_Mac!U:U,""),
_xlpm.MyAuditVal,_xlfn.XLOOKUP($A128,My_Audit!$A:$A,My_Audit!R:R,""),
_xlfn.IFS(_xlpm.MyAuditVal&lt;&gt;"",UPPER(_xlpm.MyAuditVal),_xlpm.MacVal&lt;&gt;"",_xlpm.MacVal,_xlpm.CSVVal&lt;&gt;"",_xlpm.CSVVal
)),"")</f>
        <v/>
      </c>
      <c r="X128" t="str">
        <f>_xlfn.LET(
    _xlpm.MacVal, _xlfn.XLOOKUP($A128, Output_Mac!$A:$A, Output_Mac!AB:AB, ""),
    _xlpm.MyAuditVal, _xlfn.XLOOKUP($A128, My_Audit!$A:$A, My_Audit!N:N, ""),
    _xlfn.TEXTJOIN(", ", TRUE, _xlpm.MyAuditVal, _xlpm.MacVal)
)</f>
        <v/>
      </c>
    </row>
    <row r="129" spans="1:24">
      <c r="A129" s="2" t="str">
        <f>_xlfn.TEXTJOIN("",TRUE,Input!$B$2,ROW(My_Audit!A128))</f>
        <v>X128</v>
      </c>
      <c r="B129" s="2" t="str">
        <f>_xlfn.TEXTJOIN("-",TRUE,"ITD",Input!$A$2,A129)</f>
        <v>ITD-SHR-X128</v>
      </c>
      <c r="C129" s="2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2" t="str" cm="1">
        <f t="array" ref="D129">IFERROR(_xlfn.LET(
_xlpm.CSVVal,_xlfn.XLOOKUP($A129,CSV!$A:$A,CSV!D:D,""),
_xlpm.MacVal,_xlfn.XLOOKUP($A129,Output_Mac!$A:$A,Output_Mac!C:C,""),
_xlpm.MyAuditVal,_xlfn.XLOOKUP($A129,My_Audit!$A:$A,My_Audit!C:C,""),
_xlfn.IFS(_xlpm.MyAuditVal&lt;&gt;"",_xlpm.MyAuditVal,_xlpm.MacVal&lt;&gt;"",_xlpm.MacVal,_xlpm.CSVVal&lt;&gt;"",_xlpm.CSVVal
)),"")</f>
        <v/>
      </c>
      <c r="E129" s="2" t="str">
        <f>_xlfn.XLOOKUP(A129,My_Audit!A:A,My_Audit!D:D,"")</f>
        <v/>
      </c>
      <c r="F129" s="2" t="str" cm="1">
        <f t="array" ref="F129">IFERROR(_xlfn.LET(
_xlpm.CSVVal,_xlfn.XLOOKUP($A129,CSV!$A:$A,CSV!F:F,""),
_xlpm.MacVal,_xlfn.XLOOKUP($A129,Output_Mac!$A:$A,Output_Mac!E:E,""),
_xlpm.MyAuditVal,_xlfn.XLOOKUP($A129,My_Audit!$A:$A,My_Audit!E:E,""),
_xlfn.IFS(_xlpm.MyAuditVal&lt;&gt;"",_xlpm.MyAuditVal,_xlpm.MacVal&lt;&gt;"",_xlpm.MacVal,_xlpm.CSVVal&lt;&gt;"",_xlpm.CSVVal
)),"")</f>
        <v/>
      </c>
      <c r="G129" s="2" t="str" cm="1">
        <f t="array" ref="G129">IFERROR(_xlfn.LET(
_xlpm.CSVVal,_xlfn.XLOOKUP($A129,CSV!$A:$A,CSV!G:G,""),
_xlpm.MacVal,_xlfn.XLOOKUP($A129,Output_Mac!$A:$A,Output_Mac!F:F,""),
_xlpm.MyAuditVal,_xlfn.XLOOKUP($A129,My_Audit!$A:$A,My_Audit!F:F,""),
_xlfn.IFS(_xlpm.MyAuditVal&lt;&gt;"",_xlpm.MyAuditVal,_xlpm.MacVal&lt;&gt;"",_xlpm.MacVal,_xlpm.CSVVal&lt;&gt;"",PROPER(_xlpm.CSVVal)
)),"")</f>
        <v/>
      </c>
      <c r="H129" s="2" t="str" cm="1">
        <f t="array" ref="H129">IFERROR(_xlfn.LET(
_xlpm.CSVVal,_xlfn.XLOOKUP($A129,CSV!$A:$A,CSV!H:H,""),
_xlpm.MacVal,_xlfn.XLOOKUP($A129,Output_Mac!$A:$A,Output_Mac!H:H,""),
_xlpm.MyAuditVal,_xlfn.XLOOKUP($A129,My_Audit!$A:$A,My_Audit!G:G,""),
_xlfn.IFS(_xlpm.MyAuditVal&lt;&gt;"",_xlpm.MyAuditVal,_xlpm.MacVal&lt;&gt;"",_xlpm.MacVal,_xlpm.CSVVal&lt;&gt;"",_xlpm.CSVVal
)),"")</f>
        <v/>
      </c>
      <c r="I129" s="2" t="str">
        <f>_xlfn.XLOOKUP(A129,Output_Mac!A:A,Output_Mac!I:I,"")</f>
        <v/>
      </c>
      <c r="J129" s="2" t="str" cm="1">
        <f t="array" ref="J129">IFERROR(_xlfn.LET(
_xlpm.CSVVal,_xlfn.XLOOKUP($A129,CSV!$A:$A,CSV!I:I,""),
_xlpm.MacVal,_xlfn.XLOOKUP($A129,Output_Mac!$A:$A,Output_Mac!J:J,""),
_xlpm.MyAuditVal,_xlfn.XLOOKUP($A129,My_Audit!$A:$A,My_Audit!I:I,""),
_xlfn.IFS(_xlpm.MyAuditVal&lt;&gt;"",UPPER(_xlpm.MyAuditVal),_xlpm.MacVal&lt;&gt;"",_xlpm.MacVal,_xlpm.CSVVal&lt;&gt;"",_xlpm.CSVVal
)),"")</f>
        <v/>
      </c>
      <c r="K129" s="2" t="str" cm="1">
        <f t="array" ref="K129">IFERROR(_xlfn.LET(
_xlpm.CSVVal,_xlfn.XLOOKUP($A129,CSV!$A:$A,CSV!K:K,""),
_xlpm.MacVal,_xlfn.XLOOKUP($A129,Output_Mac!$A:$A,Output_Mac!K:K,""),
_xlpm.MyAuditVal,_xlfn.XLOOKUP($A129,My_Audit!$A:$A,My_Audit!J:J,""),
_xlfn.IFS(_xlpm.MyAuditVal&lt;&gt;"",UPPER(_xlpm.MyAuditVal),_xlpm.MacVal&lt;&gt;"",_xlpm.MacVal,_xlpm.CSVVal&lt;&gt;"",_xlpm.CSVVal
)),"")</f>
        <v/>
      </c>
      <c r="L129" s="2" t="str" cm="1">
        <f t="array" ref="L129">IFERROR(_xlfn.LET(
_xlpm.CSVVal,_xlfn.XLOOKUP($A129,CSV!$A:$A,CSV!P:P,""),
_xlpm.MacVal,_xlfn.XLOOKUP($A129,Output_Mac!$A:$A,Output_Mac!L:L,""),
_xlpm.MyAuditVal,_xlfn.XLOOKUP($A129,My_Audit!$A:$A,My_Audit!K:K,""),
_xlfn.IFS(_xlpm.MyAuditVal&lt;&gt;"",UPPER(_xlpm.MyAuditVal),_xlpm.MacVal&lt;&gt;"",_xlpm.MacVal,_xlpm.CSVVal&lt;&gt;"",_xlpm.CSVVal
)),"")</f>
        <v/>
      </c>
      <c r="M129" s="2" t="str" cm="1">
        <f t="array" ref="M129">IFERROR(_xlfn.LET(
_xlpm.CSVVal,_xlfn.XLOOKUP($A129,CSV!$A:$A,CSV!Q:Q,""),
_xlpm.MacVal,_xlfn.XLOOKUP($A129,Output_Mac!$A:$A,Output_Mac!M:M,""),
_xlpm.MyAuditVal,_xlfn.XLOOKUP($A129,My_Audit!$A:$A,My_Audit!L:L,""),
_xlfn.IFS(_xlpm.MyAuditVal&lt;&gt;"",UPPER(_xlpm.MyAuditVal),_xlpm.MacVal&lt;&gt;"",_xlpm.MacVal,_xlpm.CSVVal&lt;&gt;"",_xlpm.CSVVal
)),"")</f>
        <v/>
      </c>
      <c r="O129" s="2" t="str">
        <f>_xlfn.LET(
    _xlpm.CSVVal, _xlfn.XLOOKUP($A129, CSV!$A:$A, CSV!AA:AA, ""),
    _xlpm.MacVal, _xlfn.XLOOKUP($A129, Output_Mac!$A:$A, Output_Mac!S:S, ""),
    _xlpm.MyAuditVal, _xlfn.XLOOKUP($A129, My_Audit!$A:$A, My_Audit!P:P, ""),
    _xlfn.TEXTJOIN(", ", TRUE, _xlpm.MyAuditVal, _xlpm.MacVal, _xlpm.CSVVal)
)</f>
        <v/>
      </c>
      <c r="P129" s="2" t="str" cm="1">
        <f t="array" ref="P129">IFERROR(_xlfn.LET(
_xlpm.CSVVal,_xlfn.XLOOKUP($A129,CSV!$A:$A,CSV!AB:AB,""),
_xlpm.MacVal,_xlfn.XLOOKUP($A129,Output_Mac!$A:$A,Output_Mac!T:T,""),
_xlpm.MyAuditVal,_xlfn.XLOOKUP($A129,My_Audit!$A:$A,My_Audit!Q:Q,""),
_xlfn.IFS(_xlpm.MyAuditVal&lt;&gt;"",UPPER(_xlpm.MyAuditVal),_xlpm.MacVal&lt;&gt;"",_xlpm.MacVal,_xlpm.CSVVal&lt;&gt;"",_xlpm.CSVVal
)),"No")</f>
        <v>No</v>
      </c>
      <c r="Q129" s="2" t="str" cm="1">
        <f t="array" ref="Q129">IFERROR(_xlfn.LET(
_xlpm.CSVVal,_xlfn.XLOOKUP($A129,CSV!$A:$A,CSV!AC:AC,""),
_xlpm.MacVal,_xlfn.XLOOKUP($A129,Output_Mac!$A:$A,Output_Mac!U:U,""),
_xlpm.MyAuditVal,_xlfn.XLOOKUP($A129,My_Audit!$A:$A,My_Audit!R:R,""),
_xlfn.IFS(_xlpm.MyAuditVal&lt;&gt;"",UPPER(_xlpm.MyAuditVal),_xlpm.MacVal&lt;&gt;"",_xlpm.MacVal,_xlpm.CSVVal&lt;&gt;"",_xlpm.CSVVal
)),"")</f>
        <v/>
      </c>
      <c r="X129" t="str">
        <f>_xlfn.LET(
    _xlpm.MacVal, _xlfn.XLOOKUP($A129, Output_Mac!$A:$A, Output_Mac!AB:AB, ""),
    _xlpm.MyAuditVal, _xlfn.XLOOKUP($A129, My_Audit!$A:$A, My_Audit!N:N, ""),
    _xlfn.TEXTJOIN(", ", TRUE, _xlpm.MyAuditVal, _xlpm.MacVal)
)</f>
        <v/>
      </c>
    </row>
    <row r="130" spans="1:24">
      <c r="A130" s="2" t="str">
        <f>_xlfn.TEXTJOIN("",TRUE,Input!$B$2,ROW(My_Audit!A129))</f>
        <v>X129</v>
      </c>
      <c r="B130" s="2" t="str">
        <f>_xlfn.TEXTJOIN("-",TRUE,"ITD",Input!$A$2,A130)</f>
        <v>ITD-SHR-X129</v>
      </c>
      <c r="C130" s="2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2" t="str" cm="1">
        <f t="array" ref="D130">IFERROR(_xlfn.LET(
_xlpm.CSVVal,_xlfn.XLOOKUP($A130,CSV!$A:$A,CSV!D:D,""),
_xlpm.MacVal,_xlfn.XLOOKUP($A130,Output_Mac!$A:$A,Output_Mac!C:C,""),
_xlpm.MyAuditVal,_xlfn.XLOOKUP($A130,My_Audit!$A:$A,My_Audit!C:C,""),
_xlfn.IFS(_xlpm.MyAuditVal&lt;&gt;"",_xlpm.MyAuditVal,_xlpm.MacVal&lt;&gt;"",_xlpm.MacVal,_xlpm.CSVVal&lt;&gt;"",_xlpm.CSVVal
)),"")</f>
        <v/>
      </c>
      <c r="E130" s="2" t="str">
        <f>_xlfn.XLOOKUP(A130,My_Audit!A:A,My_Audit!D:D,"")</f>
        <v/>
      </c>
      <c r="F130" s="2" t="str" cm="1">
        <f t="array" ref="F130">IFERROR(_xlfn.LET(
_xlpm.CSVVal,_xlfn.XLOOKUP($A130,CSV!$A:$A,CSV!F:F,""),
_xlpm.MacVal,_xlfn.XLOOKUP($A130,Output_Mac!$A:$A,Output_Mac!E:E,""),
_xlpm.MyAuditVal,_xlfn.XLOOKUP($A130,My_Audit!$A:$A,My_Audit!E:E,""),
_xlfn.IFS(_xlpm.MyAuditVal&lt;&gt;"",_xlpm.MyAuditVal,_xlpm.MacVal&lt;&gt;"",_xlpm.MacVal,_xlpm.CSVVal&lt;&gt;"",_xlpm.CSVVal
)),"")</f>
        <v/>
      </c>
      <c r="G130" s="2" t="str" cm="1">
        <f t="array" ref="G130">IFERROR(_xlfn.LET(
_xlpm.CSVVal,_xlfn.XLOOKUP($A130,CSV!$A:$A,CSV!G:G,""),
_xlpm.MacVal,_xlfn.XLOOKUP($A130,Output_Mac!$A:$A,Output_Mac!F:F,""),
_xlpm.MyAuditVal,_xlfn.XLOOKUP($A130,My_Audit!$A:$A,My_Audit!F:F,""),
_xlfn.IFS(_xlpm.MyAuditVal&lt;&gt;"",_xlpm.MyAuditVal,_xlpm.MacVal&lt;&gt;"",_xlpm.MacVal,_xlpm.CSVVal&lt;&gt;"",PROPER(_xlpm.CSVVal)
)),"")</f>
        <v/>
      </c>
      <c r="H130" s="2" t="str" cm="1">
        <f t="array" ref="H130">IFERROR(_xlfn.LET(
_xlpm.CSVVal,_xlfn.XLOOKUP($A130,CSV!$A:$A,CSV!H:H,""),
_xlpm.MacVal,_xlfn.XLOOKUP($A130,Output_Mac!$A:$A,Output_Mac!H:H,""),
_xlpm.MyAuditVal,_xlfn.XLOOKUP($A130,My_Audit!$A:$A,My_Audit!G:G,""),
_xlfn.IFS(_xlpm.MyAuditVal&lt;&gt;"",_xlpm.MyAuditVal,_xlpm.MacVal&lt;&gt;"",_xlpm.MacVal,_xlpm.CSVVal&lt;&gt;"",_xlpm.CSVVal
)),"")</f>
        <v/>
      </c>
      <c r="I130" s="2" t="str">
        <f>_xlfn.XLOOKUP(A130,Output_Mac!A:A,Output_Mac!I:I,"")</f>
        <v/>
      </c>
      <c r="J130" s="2" t="str" cm="1">
        <f t="array" ref="J130">IFERROR(_xlfn.LET(
_xlpm.CSVVal,_xlfn.XLOOKUP($A130,CSV!$A:$A,CSV!I:I,""),
_xlpm.MacVal,_xlfn.XLOOKUP($A130,Output_Mac!$A:$A,Output_Mac!J:J,""),
_xlpm.MyAuditVal,_xlfn.XLOOKUP($A130,My_Audit!$A:$A,My_Audit!I:I,""),
_xlfn.IFS(_xlpm.MyAuditVal&lt;&gt;"",UPPER(_xlpm.MyAuditVal),_xlpm.MacVal&lt;&gt;"",_xlpm.MacVal,_xlpm.CSVVal&lt;&gt;"",_xlpm.CSVVal
)),"")</f>
        <v/>
      </c>
      <c r="K130" s="2" t="str" cm="1">
        <f t="array" ref="K130">IFERROR(_xlfn.LET(
_xlpm.CSVVal,_xlfn.XLOOKUP($A130,CSV!$A:$A,CSV!K:K,""),
_xlpm.MacVal,_xlfn.XLOOKUP($A130,Output_Mac!$A:$A,Output_Mac!K:K,""),
_xlpm.MyAuditVal,_xlfn.XLOOKUP($A130,My_Audit!$A:$A,My_Audit!J:J,""),
_xlfn.IFS(_xlpm.MyAuditVal&lt;&gt;"",UPPER(_xlpm.MyAuditVal),_xlpm.MacVal&lt;&gt;"",_xlpm.MacVal,_xlpm.CSVVal&lt;&gt;"",_xlpm.CSVVal
)),"")</f>
        <v/>
      </c>
      <c r="L130" s="2" t="str" cm="1">
        <f t="array" ref="L130">IFERROR(_xlfn.LET(
_xlpm.CSVVal,_xlfn.XLOOKUP($A130,CSV!$A:$A,CSV!P:P,""),
_xlpm.MacVal,_xlfn.XLOOKUP($A130,Output_Mac!$A:$A,Output_Mac!L:L,""),
_xlpm.MyAuditVal,_xlfn.XLOOKUP($A130,My_Audit!$A:$A,My_Audit!K:K,""),
_xlfn.IFS(_xlpm.MyAuditVal&lt;&gt;"",UPPER(_xlpm.MyAuditVal),_xlpm.MacVal&lt;&gt;"",_xlpm.MacVal,_xlpm.CSVVal&lt;&gt;"",_xlpm.CSVVal
)),"")</f>
        <v/>
      </c>
      <c r="M130" s="2" t="str" cm="1">
        <f t="array" ref="M130">IFERROR(_xlfn.LET(
_xlpm.CSVVal,_xlfn.XLOOKUP($A130,CSV!$A:$A,CSV!Q:Q,""),
_xlpm.MacVal,_xlfn.XLOOKUP($A130,Output_Mac!$A:$A,Output_Mac!M:M,""),
_xlpm.MyAuditVal,_xlfn.XLOOKUP($A130,My_Audit!$A:$A,My_Audit!L:L,""),
_xlfn.IFS(_xlpm.MyAuditVal&lt;&gt;"",UPPER(_xlpm.MyAuditVal),_xlpm.MacVal&lt;&gt;"",_xlpm.MacVal,_xlpm.CSVVal&lt;&gt;"",_xlpm.CSVVal
)),"")</f>
        <v/>
      </c>
      <c r="O130" s="2" t="str">
        <f>_xlfn.LET(
    _xlpm.CSVVal, _xlfn.XLOOKUP($A130, CSV!$A:$A, CSV!AA:AA, ""),
    _xlpm.MacVal, _xlfn.XLOOKUP($A130, Output_Mac!$A:$A, Output_Mac!S:S, ""),
    _xlpm.MyAuditVal, _xlfn.XLOOKUP($A130, My_Audit!$A:$A, My_Audit!P:P, ""),
    _xlfn.TEXTJOIN(", ", TRUE, _xlpm.MyAuditVal, _xlpm.MacVal, _xlpm.CSVVal)
)</f>
        <v/>
      </c>
      <c r="P130" s="2" t="str" cm="1">
        <f t="array" ref="P130">IFERROR(_xlfn.LET(
_xlpm.CSVVal,_xlfn.XLOOKUP($A130,CSV!$A:$A,CSV!AB:AB,""),
_xlpm.MacVal,_xlfn.XLOOKUP($A130,Output_Mac!$A:$A,Output_Mac!T:T,""),
_xlpm.MyAuditVal,_xlfn.XLOOKUP($A130,My_Audit!$A:$A,My_Audit!Q:Q,""),
_xlfn.IFS(_xlpm.MyAuditVal&lt;&gt;"",UPPER(_xlpm.MyAuditVal),_xlpm.MacVal&lt;&gt;"",_xlpm.MacVal,_xlpm.CSVVal&lt;&gt;"",_xlpm.CSVVal
)),"No")</f>
        <v>No</v>
      </c>
      <c r="Q130" s="2" t="str" cm="1">
        <f t="array" ref="Q130">IFERROR(_xlfn.LET(
_xlpm.CSVVal,_xlfn.XLOOKUP($A130,CSV!$A:$A,CSV!AC:AC,""),
_xlpm.MacVal,_xlfn.XLOOKUP($A130,Output_Mac!$A:$A,Output_Mac!U:U,""),
_xlpm.MyAuditVal,_xlfn.XLOOKUP($A130,My_Audit!$A:$A,My_Audit!R:R,""),
_xlfn.IFS(_xlpm.MyAuditVal&lt;&gt;"",UPPER(_xlpm.MyAuditVal),_xlpm.MacVal&lt;&gt;"",_xlpm.MacVal,_xlpm.CSVVal&lt;&gt;"",_xlpm.CSVVal
)),"")</f>
        <v/>
      </c>
      <c r="X130" t="str">
        <f>_xlfn.LET(
    _xlpm.MacVal, _xlfn.XLOOKUP($A130, Output_Mac!$A:$A, Output_Mac!AB:AB, ""),
    _xlpm.MyAuditVal, _xlfn.XLOOKUP($A130, My_Audit!$A:$A, My_Audit!N:N, ""),
    _xlfn.TEXTJOIN(", ", TRUE, _xlpm.MyAuditVal, _xlpm.MacVal)
)</f>
        <v/>
      </c>
    </row>
    <row r="131" spans="1:24">
      <c r="A131" s="2" t="str">
        <f>_xlfn.TEXTJOIN("",TRUE,Input!$B$2,ROW(My_Audit!A130))</f>
        <v>X130</v>
      </c>
      <c r="B131" s="2" t="str">
        <f>_xlfn.TEXTJOIN("-",TRUE,"ITD",Input!$A$2,A131)</f>
        <v>ITD-SHR-X130</v>
      </c>
      <c r="C131" s="2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2" t="str" cm="1">
        <f t="array" ref="D131">IFERROR(_xlfn.LET(
_xlpm.CSVVal,_xlfn.XLOOKUP($A131,CSV!$A:$A,CSV!D:D,""),
_xlpm.MacVal,_xlfn.XLOOKUP($A131,Output_Mac!$A:$A,Output_Mac!C:C,""),
_xlpm.MyAuditVal,_xlfn.XLOOKUP($A131,My_Audit!$A:$A,My_Audit!C:C,""),
_xlfn.IFS(_xlpm.MyAuditVal&lt;&gt;"",_xlpm.MyAuditVal,_xlpm.MacVal&lt;&gt;"",_xlpm.MacVal,_xlpm.CSVVal&lt;&gt;"",_xlpm.CSVVal
)),"")</f>
        <v/>
      </c>
      <c r="E131" s="2" t="str">
        <f>_xlfn.XLOOKUP(A131,My_Audit!A:A,My_Audit!D:D,"")</f>
        <v/>
      </c>
      <c r="F131" s="2" t="str" cm="1">
        <f t="array" ref="F131">IFERROR(_xlfn.LET(
_xlpm.CSVVal,_xlfn.XLOOKUP($A131,CSV!$A:$A,CSV!F:F,""),
_xlpm.MacVal,_xlfn.XLOOKUP($A131,Output_Mac!$A:$A,Output_Mac!E:E,""),
_xlpm.MyAuditVal,_xlfn.XLOOKUP($A131,My_Audit!$A:$A,My_Audit!E:E,""),
_xlfn.IFS(_xlpm.MyAuditVal&lt;&gt;"",_xlpm.MyAuditVal,_xlpm.MacVal&lt;&gt;"",_xlpm.MacVal,_xlpm.CSVVal&lt;&gt;"",_xlpm.CSVVal
)),"")</f>
        <v/>
      </c>
      <c r="G131" s="2" t="str" cm="1">
        <f t="array" ref="G131">IFERROR(_xlfn.LET(
_xlpm.CSVVal,_xlfn.XLOOKUP($A131,CSV!$A:$A,CSV!G:G,""),
_xlpm.MacVal,_xlfn.XLOOKUP($A131,Output_Mac!$A:$A,Output_Mac!F:F,""),
_xlpm.MyAuditVal,_xlfn.XLOOKUP($A131,My_Audit!$A:$A,My_Audit!F:F,""),
_xlfn.IFS(_xlpm.MyAuditVal&lt;&gt;"",_xlpm.MyAuditVal,_xlpm.MacVal&lt;&gt;"",_xlpm.MacVal,_xlpm.CSVVal&lt;&gt;"",PROPER(_xlpm.CSVVal)
)),"")</f>
        <v/>
      </c>
      <c r="H131" s="2" t="str" cm="1">
        <f t="array" ref="H131">IFERROR(_xlfn.LET(
_xlpm.CSVVal,_xlfn.XLOOKUP($A131,CSV!$A:$A,CSV!H:H,""),
_xlpm.MacVal,_xlfn.XLOOKUP($A131,Output_Mac!$A:$A,Output_Mac!H:H,""),
_xlpm.MyAuditVal,_xlfn.XLOOKUP($A131,My_Audit!$A:$A,My_Audit!G:G,""),
_xlfn.IFS(_xlpm.MyAuditVal&lt;&gt;"",_xlpm.MyAuditVal,_xlpm.MacVal&lt;&gt;"",_xlpm.MacVal,_xlpm.CSVVal&lt;&gt;"",_xlpm.CSVVal
)),"")</f>
        <v/>
      </c>
      <c r="I131" s="2" t="str">
        <f>_xlfn.XLOOKUP(A131,Output_Mac!A:A,Output_Mac!I:I,"")</f>
        <v/>
      </c>
      <c r="J131" s="2" t="str" cm="1">
        <f t="array" ref="J131">IFERROR(_xlfn.LET(
_xlpm.CSVVal,_xlfn.XLOOKUP($A131,CSV!$A:$A,CSV!I:I,""),
_xlpm.MacVal,_xlfn.XLOOKUP($A131,Output_Mac!$A:$A,Output_Mac!J:J,""),
_xlpm.MyAuditVal,_xlfn.XLOOKUP($A131,My_Audit!$A:$A,My_Audit!I:I,""),
_xlfn.IFS(_xlpm.MyAuditVal&lt;&gt;"",UPPER(_xlpm.MyAuditVal),_xlpm.MacVal&lt;&gt;"",_xlpm.MacVal,_xlpm.CSVVal&lt;&gt;"",_xlpm.CSVVal
)),"")</f>
        <v/>
      </c>
      <c r="K131" s="2" t="str" cm="1">
        <f t="array" ref="K131">IFERROR(_xlfn.LET(
_xlpm.CSVVal,_xlfn.XLOOKUP($A131,CSV!$A:$A,CSV!K:K,""),
_xlpm.MacVal,_xlfn.XLOOKUP($A131,Output_Mac!$A:$A,Output_Mac!K:K,""),
_xlpm.MyAuditVal,_xlfn.XLOOKUP($A131,My_Audit!$A:$A,My_Audit!J:J,""),
_xlfn.IFS(_xlpm.MyAuditVal&lt;&gt;"",UPPER(_xlpm.MyAuditVal),_xlpm.MacVal&lt;&gt;"",_xlpm.MacVal,_xlpm.CSVVal&lt;&gt;"",_xlpm.CSVVal
)),"")</f>
        <v/>
      </c>
      <c r="L131" s="2" t="str" cm="1">
        <f t="array" ref="L131">IFERROR(_xlfn.LET(
_xlpm.CSVVal,_xlfn.XLOOKUP($A131,CSV!$A:$A,CSV!P:P,""),
_xlpm.MacVal,_xlfn.XLOOKUP($A131,Output_Mac!$A:$A,Output_Mac!L:L,""),
_xlpm.MyAuditVal,_xlfn.XLOOKUP($A131,My_Audit!$A:$A,My_Audit!K:K,""),
_xlfn.IFS(_xlpm.MyAuditVal&lt;&gt;"",UPPER(_xlpm.MyAuditVal),_xlpm.MacVal&lt;&gt;"",_xlpm.MacVal,_xlpm.CSVVal&lt;&gt;"",_xlpm.CSVVal
)),"")</f>
        <v/>
      </c>
      <c r="M131" s="2" t="str" cm="1">
        <f t="array" ref="M131">IFERROR(_xlfn.LET(
_xlpm.CSVVal,_xlfn.XLOOKUP($A131,CSV!$A:$A,CSV!Q:Q,""),
_xlpm.MacVal,_xlfn.XLOOKUP($A131,Output_Mac!$A:$A,Output_Mac!M:M,""),
_xlpm.MyAuditVal,_xlfn.XLOOKUP($A131,My_Audit!$A:$A,My_Audit!L:L,""),
_xlfn.IFS(_xlpm.MyAuditVal&lt;&gt;"",UPPER(_xlpm.MyAuditVal),_xlpm.MacVal&lt;&gt;"",_xlpm.MacVal,_xlpm.CSVVal&lt;&gt;"",_xlpm.CSVVal
)),"")</f>
        <v/>
      </c>
      <c r="O131" s="2" t="str">
        <f>_xlfn.LET(
    _xlpm.CSVVal, _xlfn.XLOOKUP($A131, CSV!$A:$A, CSV!AA:AA, ""),
    _xlpm.MacVal, _xlfn.XLOOKUP($A131, Output_Mac!$A:$A, Output_Mac!S:S, ""),
    _xlpm.MyAuditVal, _xlfn.XLOOKUP($A131, My_Audit!$A:$A, My_Audit!P:P, ""),
    _xlfn.TEXTJOIN(", ", TRUE, _xlpm.MyAuditVal, _xlpm.MacVal, _xlpm.CSVVal)
)</f>
        <v/>
      </c>
      <c r="P131" s="2" t="str" cm="1">
        <f t="array" ref="P131">IFERROR(_xlfn.LET(
_xlpm.CSVVal,_xlfn.XLOOKUP($A131,CSV!$A:$A,CSV!AB:AB,""),
_xlpm.MacVal,_xlfn.XLOOKUP($A131,Output_Mac!$A:$A,Output_Mac!T:T,""),
_xlpm.MyAuditVal,_xlfn.XLOOKUP($A131,My_Audit!$A:$A,My_Audit!Q:Q,""),
_xlfn.IFS(_xlpm.MyAuditVal&lt;&gt;"",UPPER(_xlpm.MyAuditVal),_xlpm.MacVal&lt;&gt;"",_xlpm.MacVal,_xlpm.CSVVal&lt;&gt;"",_xlpm.CSVVal
)),"No")</f>
        <v>No</v>
      </c>
      <c r="Q131" s="2" t="str" cm="1">
        <f t="array" ref="Q131">IFERROR(_xlfn.LET(
_xlpm.CSVVal,_xlfn.XLOOKUP($A131,CSV!$A:$A,CSV!AC:AC,""),
_xlpm.MacVal,_xlfn.XLOOKUP($A131,Output_Mac!$A:$A,Output_Mac!U:U,""),
_xlpm.MyAuditVal,_xlfn.XLOOKUP($A131,My_Audit!$A:$A,My_Audit!R:R,""),
_xlfn.IFS(_xlpm.MyAuditVal&lt;&gt;"",UPPER(_xlpm.MyAuditVal),_xlpm.MacVal&lt;&gt;"",_xlpm.MacVal,_xlpm.CSVVal&lt;&gt;"",_xlpm.CSVVal
)),"")</f>
        <v/>
      </c>
      <c r="X131" t="str">
        <f>_xlfn.LET(
    _xlpm.MacVal, _xlfn.XLOOKUP($A131, Output_Mac!$A:$A, Output_Mac!AB:AB, ""),
    _xlpm.MyAuditVal, _xlfn.XLOOKUP($A131, My_Audit!$A:$A, My_Audit!N:N, ""),
    _xlfn.TEXTJOIN(", ", TRUE, _xlpm.MyAuditVal, _xlpm.MacVal)
)</f>
        <v/>
      </c>
    </row>
    <row r="132" spans="1:24">
      <c r="A132" s="2" t="str">
        <f>_xlfn.TEXTJOIN("",TRUE,Input!$B$2,ROW(My_Audit!A131))</f>
        <v>X131</v>
      </c>
      <c r="B132" s="2" t="str">
        <f>_xlfn.TEXTJOIN("-",TRUE,"ITD",Input!$A$2,A132)</f>
        <v>ITD-SHR-X131</v>
      </c>
      <c r="C132" s="2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2" t="str" cm="1">
        <f t="array" ref="D132">IFERROR(_xlfn.LET(
_xlpm.CSVVal,_xlfn.XLOOKUP($A132,CSV!$A:$A,CSV!D:D,""),
_xlpm.MacVal,_xlfn.XLOOKUP($A132,Output_Mac!$A:$A,Output_Mac!C:C,""),
_xlpm.MyAuditVal,_xlfn.XLOOKUP($A132,My_Audit!$A:$A,My_Audit!C:C,""),
_xlfn.IFS(_xlpm.MyAuditVal&lt;&gt;"",_xlpm.MyAuditVal,_xlpm.MacVal&lt;&gt;"",_xlpm.MacVal,_xlpm.CSVVal&lt;&gt;"",_xlpm.CSVVal
)),"")</f>
        <v/>
      </c>
      <c r="E132" s="2" t="str">
        <f>_xlfn.XLOOKUP(A132,My_Audit!A:A,My_Audit!D:D,"")</f>
        <v/>
      </c>
      <c r="F132" s="2" t="str" cm="1">
        <f t="array" ref="F132">IFERROR(_xlfn.LET(
_xlpm.CSVVal,_xlfn.XLOOKUP($A132,CSV!$A:$A,CSV!F:F,""),
_xlpm.MacVal,_xlfn.XLOOKUP($A132,Output_Mac!$A:$A,Output_Mac!E:E,""),
_xlpm.MyAuditVal,_xlfn.XLOOKUP($A132,My_Audit!$A:$A,My_Audit!E:E,""),
_xlfn.IFS(_xlpm.MyAuditVal&lt;&gt;"",_xlpm.MyAuditVal,_xlpm.MacVal&lt;&gt;"",_xlpm.MacVal,_xlpm.CSVVal&lt;&gt;"",_xlpm.CSVVal
)),"")</f>
        <v/>
      </c>
      <c r="G132" s="2" t="str" cm="1">
        <f t="array" ref="G132">IFERROR(_xlfn.LET(
_xlpm.CSVVal,_xlfn.XLOOKUP($A132,CSV!$A:$A,CSV!G:G,""),
_xlpm.MacVal,_xlfn.XLOOKUP($A132,Output_Mac!$A:$A,Output_Mac!F:F,""),
_xlpm.MyAuditVal,_xlfn.XLOOKUP($A132,My_Audit!$A:$A,My_Audit!F:F,""),
_xlfn.IFS(_xlpm.MyAuditVal&lt;&gt;"",_xlpm.MyAuditVal,_xlpm.MacVal&lt;&gt;"",_xlpm.MacVal,_xlpm.CSVVal&lt;&gt;"",PROPER(_xlpm.CSVVal)
)),"")</f>
        <v/>
      </c>
      <c r="H132" s="2" t="str" cm="1">
        <f t="array" ref="H132">IFERROR(_xlfn.LET(
_xlpm.CSVVal,_xlfn.XLOOKUP($A132,CSV!$A:$A,CSV!H:H,""),
_xlpm.MacVal,_xlfn.XLOOKUP($A132,Output_Mac!$A:$A,Output_Mac!H:H,""),
_xlpm.MyAuditVal,_xlfn.XLOOKUP($A132,My_Audit!$A:$A,My_Audit!G:G,""),
_xlfn.IFS(_xlpm.MyAuditVal&lt;&gt;"",_xlpm.MyAuditVal,_xlpm.MacVal&lt;&gt;"",_xlpm.MacVal,_xlpm.CSVVal&lt;&gt;"",_xlpm.CSVVal
)),"")</f>
        <v/>
      </c>
      <c r="I132" s="2" t="str">
        <f>_xlfn.XLOOKUP(A132,Output_Mac!A:A,Output_Mac!I:I,"")</f>
        <v/>
      </c>
      <c r="J132" s="2" t="str" cm="1">
        <f t="array" ref="J132">IFERROR(_xlfn.LET(
_xlpm.CSVVal,_xlfn.XLOOKUP($A132,CSV!$A:$A,CSV!I:I,""),
_xlpm.MacVal,_xlfn.XLOOKUP($A132,Output_Mac!$A:$A,Output_Mac!J:J,""),
_xlpm.MyAuditVal,_xlfn.XLOOKUP($A132,My_Audit!$A:$A,My_Audit!I:I,""),
_xlfn.IFS(_xlpm.MyAuditVal&lt;&gt;"",UPPER(_xlpm.MyAuditVal),_xlpm.MacVal&lt;&gt;"",_xlpm.MacVal,_xlpm.CSVVal&lt;&gt;"",_xlpm.CSVVal
)),"")</f>
        <v/>
      </c>
      <c r="K132" s="2" t="str" cm="1">
        <f t="array" ref="K132">IFERROR(_xlfn.LET(
_xlpm.CSVVal,_xlfn.XLOOKUP($A132,CSV!$A:$A,CSV!K:K,""),
_xlpm.MacVal,_xlfn.XLOOKUP($A132,Output_Mac!$A:$A,Output_Mac!K:K,""),
_xlpm.MyAuditVal,_xlfn.XLOOKUP($A132,My_Audit!$A:$A,My_Audit!J:J,""),
_xlfn.IFS(_xlpm.MyAuditVal&lt;&gt;"",UPPER(_xlpm.MyAuditVal),_xlpm.MacVal&lt;&gt;"",_xlpm.MacVal,_xlpm.CSVVal&lt;&gt;"",_xlpm.CSVVal
)),"")</f>
        <v/>
      </c>
      <c r="L132" s="2" t="str" cm="1">
        <f t="array" ref="L132">IFERROR(_xlfn.LET(
_xlpm.CSVVal,_xlfn.XLOOKUP($A132,CSV!$A:$A,CSV!P:P,""),
_xlpm.MacVal,_xlfn.XLOOKUP($A132,Output_Mac!$A:$A,Output_Mac!L:L,""),
_xlpm.MyAuditVal,_xlfn.XLOOKUP($A132,My_Audit!$A:$A,My_Audit!K:K,""),
_xlfn.IFS(_xlpm.MyAuditVal&lt;&gt;"",UPPER(_xlpm.MyAuditVal),_xlpm.MacVal&lt;&gt;"",_xlpm.MacVal,_xlpm.CSVVal&lt;&gt;"",_xlpm.CSVVal
)),"")</f>
        <v/>
      </c>
      <c r="M132" s="2" t="str" cm="1">
        <f t="array" ref="M132">IFERROR(_xlfn.LET(
_xlpm.CSVVal,_xlfn.XLOOKUP($A132,CSV!$A:$A,CSV!Q:Q,""),
_xlpm.MacVal,_xlfn.XLOOKUP($A132,Output_Mac!$A:$A,Output_Mac!M:M,""),
_xlpm.MyAuditVal,_xlfn.XLOOKUP($A132,My_Audit!$A:$A,My_Audit!L:L,""),
_xlfn.IFS(_xlpm.MyAuditVal&lt;&gt;"",UPPER(_xlpm.MyAuditVal),_xlpm.MacVal&lt;&gt;"",_xlpm.MacVal,_xlpm.CSVVal&lt;&gt;"",_xlpm.CSVVal
)),"")</f>
        <v/>
      </c>
      <c r="O132" s="2" t="str">
        <f>_xlfn.LET(
    _xlpm.CSVVal, _xlfn.XLOOKUP($A132, CSV!$A:$A, CSV!AA:AA, ""),
    _xlpm.MacVal, _xlfn.XLOOKUP($A132, Output_Mac!$A:$A, Output_Mac!S:S, ""),
    _xlpm.MyAuditVal, _xlfn.XLOOKUP($A132, My_Audit!$A:$A, My_Audit!P:P, ""),
    _xlfn.TEXTJOIN(", ", TRUE, _xlpm.MyAuditVal, _xlpm.MacVal, _xlpm.CSVVal)
)</f>
        <v/>
      </c>
      <c r="P132" s="2" t="str" cm="1">
        <f t="array" ref="P132">IFERROR(_xlfn.LET(
_xlpm.CSVVal,_xlfn.XLOOKUP($A132,CSV!$A:$A,CSV!AB:AB,""),
_xlpm.MacVal,_xlfn.XLOOKUP($A132,Output_Mac!$A:$A,Output_Mac!T:T,""),
_xlpm.MyAuditVal,_xlfn.XLOOKUP($A132,My_Audit!$A:$A,My_Audit!Q:Q,""),
_xlfn.IFS(_xlpm.MyAuditVal&lt;&gt;"",UPPER(_xlpm.MyAuditVal),_xlpm.MacVal&lt;&gt;"",_xlpm.MacVal,_xlpm.CSVVal&lt;&gt;"",_xlpm.CSVVal
)),"No")</f>
        <v>No</v>
      </c>
      <c r="Q132" s="2" t="str" cm="1">
        <f t="array" ref="Q132">IFERROR(_xlfn.LET(
_xlpm.CSVVal,_xlfn.XLOOKUP($A132,CSV!$A:$A,CSV!AC:AC,""),
_xlpm.MacVal,_xlfn.XLOOKUP($A132,Output_Mac!$A:$A,Output_Mac!U:U,""),
_xlpm.MyAuditVal,_xlfn.XLOOKUP($A132,My_Audit!$A:$A,My_Audit!R:R,""),
_xlfn.IFS(_xlpm.MyAuditVal&lt;&gt;"",UPPER(_xlpm.MyAuditVal),_xlpm.MacVal&lt;&gt;"",_xlpm.MacVal,_xlpm.CSVVal&lt;&gt;"",_xlpm.CSVVal
)),"")</f>
        <v/>
      </c>
      <c r="X132" t="str">
        <f>_xlfn.LET(
    _xlpm.MacVal, _xlfn.XLOOKUP($A132, Output_Mac!$A:$A, Output_Mac!AB:AB, ""),
    _xlpm.MyAuditVal, _xlfn.XLOOKUP($A132, My_Audit!$A:$A, My_Audit!N:N, ""),
    _xlfn.TEXTJOIN(", ", TRUE, _xlpm.MyAuditVal, _xlpm.MacVal)
)</f>
        <v/>
      </c>
    </row>
    <row r="133" spans="1:24">
      <c r="A133" s="2" t="str">
        <f>_xlfn.TEXTJOIN("",TRUE,Input!$B$2,ROW(My_Audit!A132))</f>
        <v>X132</v>
      </c>
      <c r="B133" s="2" t="str">
        <f>_xlfn.TEXTJOIN("-",TRUE,"ITD",Input!$A$2,A133)</f>
        <v>ITD-SHR-X132</v>
      </c>
      <c r="C133" s="2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2" t="str" cm="1">
        <f t="array" ref="D133">IFERROR(_xlfn.LET(
_xlpm.CSVVal,_xlfn.XLOOKUP($A133,CSV!$A:$A,CSV!D:D,""),
_xlpm.MacVal,_xlfn.XLOOKUP($A133,Output_Mac!$A:$A,Output_Mac!C:C,""),
_xlpm.MyAuditVal,_xlfn.XLOOKUP($A133,My_Audit!$A:$A,My_Audit!C:C,""),
_xlfn.IFS(_xlpm.MyAuditVal&lt;&gt;"",_xlpm.MyAuditVal,_xlpm.MacVal&lt;&gt;"",_xlpm.MacVal,_xlpm.CSVVal&lt;&gt;"",_xlpm.CSVVal
)),"")</f>
        <v/>
      </c>
      <c r="E133" s="2" t="str">
        <f>_xlfn.XLOOKUP(A133,My_Audit!A:A,My_Audit!D:D,"")</f>
        <v/>
      </c>
      <c r="F133" s="2" t="str" cm="1">
        <f t="array" ref="F133">IFERROR(_xlfn.LET(
_xlpm.CSVVal,_xlfn.XLOOKUP($A133,CSV!$A:$A,CSV!F:F,""),
_xlpm.MacVal,_xlfn.XLOOKUP($A133,Output_Mac!$A:$A,Output_Mac!E:E,""),
_xlpm.MyAuditVal,_xlfn.XLOOKUP($A133,My_Audit!$A:$A,My_Audit!E:E,""),
_xlfn.IFS(_xlpm.MyAuditVal&lt;&gt;"",_xlpm.MyAuditVal,_xlpm.MacVal&lt;&gt;"",_xlpm.MacVal,_xlpm.CSVVal&lt;&gt;"",_xlpm.CSVVal
)),"")</f>
        <v/>
      </c>
      <c r="G133" s="2" t="str" cm="1">
        <f t="array" ref="G133">IFERROR(_xlfn.LET(
_xlpm.CSVVal,_xlfn.XLOOKUP($A133,CSV!$A:$A,CSV!G:G,""),
_xlpm.MacVal,_xlfn.XLOOKUP($A133,Output_Mac!$A:$A,Output_Mac!F:F,""),
_xlpm.MyAuditVal,_xlfn.XLOOKUP($A133,My_Audit!$A:$A,My_Audit!F:F,""),
_xlfn.IFS(_xlpm.MyAuditVal&lt;&gt;"",_xlpm.MyAuditVal,_xlpm.MacVal&lt;&gt;"",_xlpm.MacVal,_xlpm.CSVVal&lt;&gt;"",PROPER(_xlpm.CSVVal)
)),"")</f>
        <v/>
      </c>
      <c r="H133" s="2" t="str" cm="1">
        <f t="array" ref="H133">IFERROR(_xlfn.LET(
_xlpm.CSVVal,_xlfn.XLOOKUP($A133,CSV!$A:$A,CSV!H:H,""),
_xlpm.MacVal,_xlfn.XLOOKUP($A133,Output_Mac!$A:$A,Output_Mac!H:H,""),
_xlpm.MyAuditVal,_xlfn.XLOOKUP($A133,My_Audit!$A:$A,My_Audit!G:G,""),
_xlfn.IFS(_xlpm.MyAuditVal&lt;&gt;"",_xlpm.MyAuditVal,_xlpm.MacVal&lt;&gt;"",_xlpm.MacVal,_xlpm.CSVVal&lt;&gt;"",_xlpm.CSVVal
)),"")</f>
        <v/>
      </c>
      <c r="I133" s="2" t="str">
        <f>_xlfn.XLOOKUP(A133,Output_Mac!A:A,Output_Mac!I:I,"")</f>
        <v/>
      </c>
      <c r="J133" s="2" t="str" cm="1">
        <f t="array" ref="J133">IFERROR(_xlfn.LET(
_xlpm.CSVVal,_xlfn.XLOOKUP($A133,CSV!$A:$A,CSV!I:I,""),
_xlpm.MacVal,_xlfn.XLOOKUP($A133,Output_Mac!$A:$A,Output_Mac!J:J,""),
_xlpm.MyAuditVal,_xlfn.XLOOKUP($A133,My_Audit!$A:$A,My_Audit!I:I,""),
_xlfn.IFS(_xlpm.MyAuditVal&lt;&gt;"",UPPER(_xlpm.MyAuditVal),_xlpm.MacVal&lt;&gt;"",_xlpm.MacVal,_xlpm.CSVVal&lt;&gt;"",_xlpm.CSVVal
)),"")</f>
        <v/>
      </c>
      <c r="K133" s="2" t="str" cm="1">
        <f t="array" ref="K133">IFERROR(_xlfn.LET(
_xlpm.CSVVal,_xlfn.XLOOKUP($A133,CSV!$A:$A,CSV!K:K,""),
_xlpm.MacVal,_xlfn.XLOOKUP($A133,Output_Mac!$A:$A,Output_Mac!K:K,""),
_xlpm.MyAuditVal,_xlfn.XLOOKUP($A133,My_Audit!$A:$A,My_Audit!J:J,""),
_xlfn.IFS(_xlpm.MyAuditVal&lt;&gt;"",UPPER(_xlpm.MyAuditVal),_xlpm.MacVal&lt;&gt;"",_xlpm.MacVal,_xlpm.CSVVal&lt;&gt;"",_xlpm.CSVVal
)),"")</f>
        <v/>
      </c>
      <c r="L133" s="2" t="str" cm="1">
        <f t="array" ref="L133">IFERROR(_xlfn.LET(
_xlpm.CSVVal,_xlfn.XLOOKUP($A133,CSV!$A:$A,CSV!P:P,""),
_xlpm.MacVal,_xlfn.XLOOKUP($A133,Output_Mac!$A:$A,Output_Mac!L:L,""),
_xlpm.MyAuditVal,_xlfn.XLOOKUP($A133,My_Audit!$A:$A,My_Audit!K:K,""),
_xlfn.IFS(_xlpm.MyAuditVal&lt;&gt;"",UPPER(_xlpm.MyAuditVal),_xlpm.MacVal&lt;&gt;"",_xlpm.MacVal,_xlpm.CSVVal&lt;&gt;"",_xlpm.CSVVal
)),"")</f>
        <v/>
      </c>
      <c r="M133" s="2" t="str" cm="1">
        <f t="array" ref="M133">IFERROR(_xlfn.LET(
_xlpm.CSVVal,_xlfn.XLOOKUP($A133,CSV!$A:$A,CSV!Q:Q,""),
_xlpm.MacVal,_xlfn.XLOOKUP($A133,Output_Mac!$A:$A,Output_Mac!M:M,""),
_xlpm.MyAuditVal,_xlfn.XLOOKUP($A133,My_Audit!$A:$A,My_Audit!L:L,""),
_xlfn.IFS(_xlpm.MyAuditVal&lt;&gt;"",UPPER(_xlpm.MyAuditVal),_xlpm.MacVal&lt;&gt;"",_xlpm.MacVal,_xlpm.CSVVal&lt;&gt;"",_xlpm.CSVVal
)),"")</f>
        <v/>
      </c>
      <c r="O133" s="2" t="str">
        <f>_xlfn.LET(
    _xlpm.CSVVal, _xlfn.XLOOKUP($A133, CSV!$A:$A, CSV!AA:AA, ""),
    _xlpm.MacVal, _xlfn.XLOOKUP($A133, Output_Mac!$A:$A, Output_Mac!S:S, ""),
    _xlpm.MyAuditVal, _xlfn.XLOOKUP($A133, My_Audit!$A:$A, My_Audit!P:P, ""),
    _xlfn.TEXTJOIN(", ", TRUE, _xlpm.MyAuditVal, _xlpm.MacVal, _xlpm.CSVVal)
)</f>
        <v/>
      </c>
      <c r="P133" s="2" t="str" cm="1">
        <f t="array" ref="P133">IFERROR(_xlfn.LET(
_xlpm.CSVVal,_xlfn.XLOOKUP($A133,CSV!$A:$A,CSV!AB:AB,""),
_xlpm.MacVal,_xlfn.XLOOKUP($A133,Output_Mac!$A:$A,Output_Mac!T:T,""),
_xlpm.MyAuditVal,_xlfn.XLOOKUP($A133,My_Audit!$A:$A,My_Audit!Q:Q,""),
_xlfn.IFS(_xlpm.MyAuditVal&lt;&gt;"",UPPER(_xlpm.MyAuditVal),_xlpm.MacVal&lt;&gt;"",_xlpm.MacVal,_xlpm.CSVVal&lt;&gt;"",_xlpm.CSVVal
)),"No")</f>
        <v>No</v>
      </c>
      <c r="Q133" s="2" t="str" cm="1">
        <f t="array" ref="Q133">IFERROR(_xlfn.LET(
_xlpm.CSVVal,_xlfn.XLOOKUP($A133,CSV!$A:$A,CSV!AC:AC,""),
_xlpm.MacVal,_xlfn.XLOOKUP($A133,Output_Mac!$A:$A,Output_Mac!U:U,""),
_xlpm.MyAuditVal,_xlfn.XLOOKUP($A133,My_Audit!$A:$A,My_Audit!R:R,""),
_xlfn.IFS(_xlpm.MyAuditVal&lt;&gt;"",UPPER(_xlpm.MyAuditVal),_xlpm.MacVal&lt;&gt;"",_xlpm.MacVal,_xlpm.CSVVal&lt;&gt;"",_xlpm.CSVVal
)),"")</f>
        <v/>
      </c>
      <c r="X133" t="str">
        <f>_xlfn.LET(
    _xlpm.MacVal, _xlfn.XLOOKUP($A133, Output_Mac!$A:$A, Output_Mac!AB:AB, ""),
    _xlpm.MyAuditVal, _xlfn.XLOOKUP($A133, My_Audit!$A:$A, My_Audit!N:N, ""),
    _xlfn.TEXTJOIN(", ", TRUE, _xlpm.MyAuditVal, _xlpm.MacVal)
)</f>
        <v/>
      </c>
    </row>
    <row r="134" spans="1:24">
      <c r="A134" s="2" t="str">
        <f>_xlfn.TEXTJOIN("",TRUE,Input!$B$2,ROW(My_Audit!A133))</f>
        <v>X133</v>
      </c>
      <c r="B134" s="2" t="str">
        <f>_xlfn.TEXTJOIN("-",TRUE,"ITD",Input!$A$2,A134)</f>
        <v>ITD-SHR-X133</v>
      </c>
      <c r="C134" s="2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2" t="str" cm="1">
        <f t="array" ref="D134">IFERROR(_xlfn.LET(
_xlpm.CSVVal,_xlfn.XLOOKUP($A134,CSV!$A:$A,CSV!D:D,""),
_xlpm.MacVal,_xlfn.XLOOKUP($A134,Output_Mac!$A:$A,Output_Mac!C:C,""),
_xlpm.MyAuditVal,_xlfn.XLOOKUP($A134,My_Audit!$A:$A,My_Audit!C:C,""),
_xlfn.IFS(_xlpm.MyAuditVal&lt;&gt;"",_xlpm.MyAuditVal,_xlpm.MacVal&lt;&gt;"",_xlpm.MacVal,_xlpm.CSVVal&lt;&gt;"",_xlpm.CSVVal
)),"")</f>
        <v/>
      </c>
      <c r="E134" s="2" t="str">
        <f>_xlfn.XLOOKUP(A134,My_Audit!A:A,My_Audit!D:D,"")</f>
        <v/>
      </c>
      <c r="F134" s="2" t="str" cm="1">
        <f t="array" ref="F134">IFERROR(_xlfn.LET(
_xlpm.CSVVal,_xlfn.XLOOKUP($A134,CSV!$A:$A,CSV!F:F,""),
_xlpm.MacVal,_xlfn.XLOOKUP($A134,Output_Mac!$A:$A,Output_Mac!E:E,""),
_xlpm.MyAuditVal,_xlfn.XLOOKUP($A134,My_Audit!$A:$A,My_Audit!E:E,""),
_xlfn.IFS(_xlpm.MyAuditVal&lt;&gt;"",_xlpm.MyAuditVal,_xlpm.MacVal&lt;&gt;"",_xlpm.MacVal,_xlpm.CSVVal&lt;&gt;"",_xlpm.CSVVal
)),"")</f>
        <v/>
      </c>
      <c r="G134" s="2" t="str" cm="1">
        <f t="array" ref="G134">IFERROR(_xlfn.LET(
_xlpm.CSVVal,_xlfn.XLOOKUP($A134,CSV!$A:$A,CSV!G:G,""),
_xlpm.MacVal,_xlfn.XLOOKUP($A134,Output_Mac!$A:$A,Output_Mac!F:F,""),
_xlpm.MyAuditVal,_xlfn.XLOOKUP($A134,My_Audit!$A:$A,My_Audit!F:F,""),
_xlfn.IFS(_xlpm.MyAuditVal&lt;&gt;"",_xlpm.MyAuditVal,_xlpm.MacVal&lt;&gt;"",_xlpm.MacVal,_xlpm.CSVVal&lt;&gt;"",PROPER(_xlpm.CSVVal)
)),"")</f>
        <v/>
      </c>
      <c r="H134" s="2" t="str" cm="1">
        <f t="array" ref="H134">IFERROR(_xlfn.LET(
_xlpm.CSVVal,_xlfn.XLOOKUP($A134,CSV!$A:$A,CSV!H:H,""),
_xlpm.MacVal,_xlfn.XLOOKUP($A134,Output_Mac!$A:$A,Output_Mac!H:H,""),
_xlpm.MyAuditVal,_xlfn.XLOOKUP($A134,My_Audit!$A:$A,My_Audit!G:G,""),
_xlfn.IFS(_xlpm.MyAuditVal&lt;&gt;"",_xlpm.MyAuditVal,_xlpm.MacVal&lt;&gt;"",_xlpm.MacVal,_xlpm.CSVVal&lt;&gt;"",_xlpm.CSVVal
)),"")</f>
        <v/>
      </c>
      <c r="I134" s="2" t="str">
        <f>_xlfn.XLOOKUP(A134,Output_Mac!A:A,Output_Mac!I:I,"")</f>
        <v/>
      </c>
      <c r="J134" s="2" t="str" cm="1">
        <f t="array" ref="J134">IFERROR(_xlfn.LET(
_xlpm.CSVVal,_xlfn.XLOOKUP($A134,CSV!$A:$A,CSV!I:I,""),
_xlpm.MacVal,_xlfn.XLOOKUP($A134,Output_Mac!$A:$A,Output_Mac!J:J,""),
_xlpm.MyAuditVal,_xlfn.XLOOKUP($A134,My_Audit!$A:$A,My_Audit!I:I,""),
_xlfn.IFS(_xlpm.MyAuditVal&lt;&gt;"",UPPER(_xlpm.MyAuditVal),_xlpm.MacVal&lt;&gt;"",_xlpm.MacVal,_xlpm.CSVVal&lt;&gt;"",_xlpm.CSVVal
)),"")</f>
        <v/>
      </c>
      <c r="K134" s="2" t="str" cm="1">
        <f t="array" ref="K134">IFERROR(_xlfn.LET(
_xlpm.CSVVal,_xlfn.XLOOKUP($A134,CSV!$A:$A,CSV!K:K,""),
_xlpm.MacVal,_xlfn.XLOOKUP($A134,Output_Mac!$A:$A,Output_Mac!K:K,""),
_xlpm.MyAuditVal,_xlfn.XLOOKUP($A134,My_Audit!$A:$A,My_Audit!J:J,""),
_xlfn.IFS(_xlpm.MyAuditVal&lt;&gt;"",UPPER(_xlpm.MyAuditVal),_xlpm.MacVal&lt;&gt;"",_xlpm.MacVal,_xlpm.CSVVal&lt;&gt;"",_xlpm.CSVVal
)),"")</f>
        <v/>
      </c>
      <c r="L134" s="2" t="str" cm="1">
        <f t="array" ref="L134">IFERROR(_xlfn.LET(
_xlpm.CSVVal,_xlfn.XLOOKUP($A134,CSV!$A:$A,CSV!P:P,""),
_xlpm.MacVal,_xlfn.XLOOKUP($A134,Output_Mac!$A:$A,Output_Mac!L:L,""),
_xlpm.MyAuditVal,_xlfn.XLOOKUP($A134,My_Audit!$A:$A,My_Audit!K:K,""),
_xlfn.IFS(_xlpm.MyAuditVal&lt;&gt;"",UPPER(_xlpm.MyAuditVal),_xlpm.MacVal&lt;&gt;"",_xlpm.MacVal,_xlpm.CSVVal&lt;&gt;"",_xlpm.CSVVal
)),"")</f>
        <v/>
      </c>
      <c r="M134" s="2" t="str" cm="1">
        <f t="array" ref="M134">IFERROR(_xlfn.LET(
_xlpm.CSVVal,_xlfn.XLOOKUP($A134,CSV!$A:$A,CSV!Q:Q,""),
_xlpm.MacVal,_xlfn.XLOOKUP($A134,Output_Mac!$A:$A,Output_Mac!M:M,""),
_xlpm.MyAuditVal,_xlfn.XLOOKUP($A134,My_Audit!$A:$A,My_Audit!L:L,""),
_xlfn.IFS(_xlpm.MyAuditVal&lt;&gt;"",UPPER(_xlpm.MyAuditVal),_xlpm.MacVal&lt;&gt;"",_xlpm.MacVal,_xlpm.CSVVal&lt;&gt;"",_xlpm.CSVVal
)),"")</f>
        <v/>
      </c>
      <c r="O134" s="2" t="str">
        <f>_xlfn.LET(
    _xlpm.CSVVal, _xlfn.XLOOKUP($A134, CSV!$A:$A, CSV!AA:AA, ""),
    _xlpm.MacVal, _xlfn.XLOOKUP($A134, Output_Mac!$A:$A, Output_Mac!S:S, ""),
    _xlpm.MyAuditVal, _xlfn.XLOOKUP($A134, My_Audit!$A:$A, My_Audit!P:P, ""),
    _xlfn.TEXTJOIN(", ", TRUE, _xlpm.MyAuditVal, _xlpm.MacVal, _xlpm.CSVVal)
)</f>
        <v/>
      </c>
      <c r="P134" s="2" t="str" cm="1">
        <f t="array" ref="P134">IFERROR(_xlfn.LET(
_xlpm.CSVVal,_xlfn.XLOOKUP($A134,CSV!$A:$A,CSV!AB:AB,""),
_xlpm.MacVal,_xlfn.XLOOKUP($A134,Output_Mac!$A:$A,Output_Mac!T:T,""),
_xlpm.MyAuditVal,_xlfn.XLOOKUP($A134,My_Audit!$A:$A,My_Audit!Q:Q,""),
_xlfn.IFS(_xlpm.MyAuditVal&lt;&gt;"",UPPER(_xlpm.MyAuditVal),_xlpm.MacVal&lt;&gt;"",_xlpm.MacVal,_xlpm.CSVVal&lt;&gt;"",_xlpm.CSVVal
)),"No")</f>
        <v>No</v>
      </c>
      <c r="Q134" s="2" t="str" cm="1">
        <f t="array" ref="Q134">IFERROR(_xlfn.LET(
_xlpm.CSVVal,_xlfn.XLOOKUP($A134,CSV!$A:$A,CSV!AC:AC,""),
_xlpm.MacVal,_xlfn.XLOOKUP($A134,Output_Mac!$A:$A,Output_Mac!U:U,""),
_xlpm.MyAuditVal,_xlfn.XLOOKUP($A134,My_Audit!$A:$A,My_Audit!R:R,""),
_xlfn.IFS(_xlpm.MyAuditVal&lt;&gt;"",UPPER(_xlpm.MyAuditVal),_xlpm.MacVal&lt;&gt;"",_xlpm.MacVal,_xlpm.CSVVal&lt;&gt;"",_xlpm.CSVVal
)),"")</f>
        <v/>
      </c>
      <c r="X134" t="str">
        <f>_xlfn.LET(
    _xlpm.MacVal, _xlfn.XLOOKUP($A134, Output_Mac!$A:$A, Output_Mac!AB:AB, ""),
    _xlpm.MyAuditVal, _xlfn.XLOOKUP($A134, My_Audit!$A:$A, My_Audit!N:N, ""),
    _xlfn.TEXTJOIN(", ", TRUE, _xlpm.MyAuditVal, _xlpm.MacVal)
)</f>
        <v/>
      </c>
    </row>
    <row r="135" spans="1:24">
      <c r="A135" s="2" t="str">
        <f>_xlfn.TEXTJOIN("",TRUE,Input!$B$2,ROW(My_Audit!A134))</f>
        <v>X134</v>
      </c>
      <c r="B135" s="2" t="str">
        <f>_xlfn.TEXTJOIN("-",TRUE,"ITD",Input!$A$2,A135)</f>
        <v>ITD-SHR-X134</v>
      </c>
      <c r="C135" s="2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2" t="str" cm="1">
        <f t="array" ref="D135">IFERROR(_xlfn.LET(
_xlpm.CSVVal,_xlfn.XLOOKUP($A135,CSV!$A:$A,CSV!D:D,""),
_xlpm.MacVal,_xlfn.XLOOKUP($A135,Output_Mac!$A:$A,Output_Mac!C:C,""),
_xlpm.MyAuditVal,_xlfn.XLOOKUP($A135,My_Audit!$A:$A,My_Audit!C:C,""),
_xlfn.IFS(_xlpm.MyAuditVal&lt;&gt;"",_xlpm.MyAuditVal,_xlpm.MacVal&lt;&gt;"",_xlpm.MacVal,_xlpm.CSVVal&lt;&gt;"",_xlpm.CSVVal
)),"")</f>
        <v/>
      </c>
      <c r="E135" s="2" t="str">
        <f>_xlfn.XLOOKUP(A135,My_Audit!A:A,My_Audit!D:D,"")</f>
        <v/>
      </c>
      <c r="F135" s="2" t="str" cm="1">
        <f t="array" ref="F135">IFERROR(_xlfn.LET(
_xlpm.CSVVal,_xlfn.XLOOKUP($A135,CSV!$A:$A,CSV!F:F,""),
_xlpm.MacVal,_xlfn.XLOOKUP($A135,Output_Mac!$A:$A,Output_Mac!E:E,""),
_xlpm.MyAuditVal,_xlfn.XLOOKUP($A135,My_Audit!$A:$A,My_Audit!E:E,""),
_xlfn.IFS(_xlpm.MyAuditVal&lt;&gt;"",_xlpm.MyAuditVal,_xlpm.MacVal&lt;&gt;"",_xlpm.MacVal,_xlpm.CSVVal&lt;&gt;"",_xlpm.CSVVal
)),"")</f>
        <v/>
      </c>
      <c r="G135" s="2" t="str" cm="1">
        <f t="array" ref="G135">IFERROR(_xlfn.LET(
_xlpm.CSVVal,_xlfn.XLOOKUP($A135,CSV!$A:$A,CSV!G:G,""),
_xlpm.MacVal,_xlfn.XLOOKUP($A135,Output_Mac!$A:$A,Output_Mac!F:F,""),
_xlpm.MyAuditVal,_xlfn.XLOOKUP($A135,My_Audit!$A:$A,My_Audit!F:F,""),
_xlfn.IFS(_xlpm.MyAuditVal&lt;&gt;"",_xlpm.MyAuditVal,_xlpm.MacVal&lt;&gt;"",_xlpm.MacVal,_xlpm.CSVVal&lt;&gt;"",PROPER(_xlpm.CSVVal)
)),"")</f>
        <v/>
      </c>
      <c r="H135" s="2" t="str" cm="1">
        <f t="array" ref="H135">IFERROR(_xlfn.LET(
_xlpm.CSVVal,_xlfn.XLOOKUP($A135,CSV!$A:$A,CSV!H:H,""),
_xlpm.MacVal,_xlfn.XLOOKUP($A135,Output_Mac!$A:$A,Output_Mac!H:H,""),
_xlpm.MyAuditVal,_xlfn.XLOOKUP($A135,My_Audit!$A:$A,My_Audit!G:G,""),
_xlfn.IFS(_xlpm.MyAuditVal&lt;&gt;"",_xlpm.MyAuditVal,_xlpm.MacVal&lt;&gt;"",_xlpm.MacVal,_xlpm.CSVVal&lt;&gt;"",_xlpm.CSVVal
)),"")</f>
        <v/>
      </c>
      <c r="I135" s="2" t="str">
        <f>_xlfn.XLOOKUP(A135,Output_Mac!A:A,Output_Mac!I:I,"")</f>
        <v/>
      </c>
      <c r="J135" s="2" t="str" cm="1">
        <f t="array" ref="J135">IFERROR(_xlfn.LET(
_xlpm.CSVVal,_xlfn.XLOOKUP($A135,CSV!$A:$A,CSV!I:I,""),
_xlpm.MacVal,_xlfn.XLOOKUP($A135,Output_Mac!$A:$A,Output_Mac!J:J,""),
_xlpm.MyAuditVal,_xlfn.XLOOKUP($A135,My_Audit!$A:$A,My_Audit!I:I,""),
_xlfn.IFS(_xlpm.MyAuditVal&lt;&gt;"",UPPER(_xlpm.MyAuditVal),_xlpm.MacVal&lt;&gt;"",_xlpm.MacVal,_xlpm.CSVVal&lt;&gt;"",_xlpm.CSVVal
)),"")</f>
        <v/>
      </c>
      <c r="K135" s="2" t="str" cm="1">
        <f t="array" ref="K135">IFERROR(_xlfn.LET(
_xlpm.CSVVal,_xlfn.XLOOKUP($A135,CSV!$A:$A,CSV!K:K,""),
_xlpm.MacVal,_xlfn.XLOOKUP($A135,Output_Mac!$A:$A,Output_Mac!K:K,""),
_xlpm.MyAuditVal,_xlfn.XLOOKUP($A135,My_Audit!$A:$A,My_Audit!J:J,""),
_xlfn.IFS(_xlpm.MyAuditVal&lt;&gt;"",UPPER(_xlpm.MyAuditVal),_xlpm.MacVal&lt;&gt;"",_xlpm.MacVal,_xlpm.CSVVal&lt;&gt;"",_xlpm.CSVVal
)),"")</f>
        <v/>
      </c>
      <c r="L135" s="2" t="str" cm="1">
        <f t="array" ref="L135">IFERROR(_xlfn.LET(
_xlpm.CSVVal,_xlfn.XLOOKUP($A135,CSV!$A:$A,CSV!P:P,""),
_xlpm.MacVal,_xlfn.XLOOKUP($A135,Output_Mac!$A:$A,Output_Mac!L:L,""),
_xlpm.MyAuditVal,_xlfn.XLOOKUP($A135,My_Audit!$A:$A,My_Audit!K:K,""),
_xlfn.IFS(_xlpm.MyAuditVal&lt;&gt;"",UPPER(_xlpm.MyAuditVal),_xlpm.MacVal&lt;&gt;"",_xlpm.MacVal,_xlpm.CSVVal&lt;&gt;"",_xlpm.CSVVal
)),"")</f>
        <v/>
      </c>
      <c r="M135" s="2" t="str" cm="1">
        <f t="array" ref="M135">IFERROR(_xlfn.LET(
_xlpm.CSVVal,_xlfn.XLOOKUP($A135,CSV!$A:$A,CSV!Q:Q,""),
_xlpm.MacVal,_xlfn.XLOOKUP($A135,Output_Mac!$A:$A,Output_Mac!M:M,""),
_xlpm.MyAuditVal,_xlfn.XLOOKUP($A135,My_Audit!$A:$A,My_Audit!L:L,""),
_xlfn.IFS(_xlpm.MyAuditVal&lt;&gt;"",UPPER(_xlpm.MyAuditVal),_xlpm.MacVal&lt;&gt;"",_xlpm.MacVal,_xlpm.CSVVal&lt;&gt;"",_xlpm.CSVVal
)),"")</f>
        <v/>
      </c>
      <c r="O135" s="2" t="str">
        <f>_xlfn.LET(
    _xlpm.CSVVal, _xlfn.XLOOKUP($A135, CSV!$A:$A, CSV!AA:AA, ""),
    _xlpm.MacVal, _xlfn.XLOOKUP($A135, Output_Mac!$A:$A, Output_Mac!S:S, ""),
    _xlpm.MyAuditVal, _xlfn.XLOOKUP($A135, My_Audit!$A:$A, My_Audit!P:P, ""),
    _xlfn.TEXTJOIN(", ", TRUE, _xlpm.MyAuditVal, _xlpm.MacVal, _xlpm.CSVVal)
)</f>
        <v/>
      </c>
      <c r="P135" s="2" t="str" cm="1">
        <f t="array" ref="P135">IFERROR(_xlfn.LET(
_xlpm.CSVVal,_xlfn.XLOOKUP($A135,CSV!$A:$A,CSV!AB:AB,""),
_xlpm.MacVal,_xlfn.XLOOKUP($A135,Output_Mac!$A:$A,Output_Mac!T:T,""),
_xlpm.MyAuditVal,_xlfn.XLOOKUP($A135,My_Audit!$A:$A,My_Audit!Q:Q,""),
_xlfn.IFS(_xlpm.MyAuditVal&lt;&gt;"",UPPER(_xlpm.MyAuditVal),_xlpm.MacVal&lt;&gt;"",_xlpm.MacVal,_xlpm.CSVVal&lt;&gt;"",_xlpm.CSVVal
)),"No")</f>
        <v>No</v>
      </c>
      <c r="Q135" s="2" t="str" cm="1">
        <f t="array" ref="Q135">IFERROR(_xlfn.LET(
_xlpm.CSVVal,_xlfn.XLOOKUP($A135,CSV!$A:$A,CSV!AC:AC,""),
_xlpm.MacVal,_xlfn.XLOOKUP($A135,Output_Mac!$A:$A,Output_Mac!U:U,""),
_xlpm.MyAuditVal,_xlfn.XLOOKUP($A135,My_Audit!$A:$A,My_Audit!R:R,""),
_xlfn.IFS(_xlpm.MyAuditVal&lt;&gt;"",UPPER(_xlpm.MyAuditVal),_xlpm.MacVal&lt;&gt;"",_xlpm.MacVal,_xlpm.CSVVal&lt;&gt;"",_xlpm.CSVVal
)),"")</f>
        <v/>
      </c>
      <c r="X135" t="str">
        <f>_xlfn.LET(
    _xlpm.MacVal, _xlfn.XLOOKUP($A135, Output_Mac!$A:$A, Output_Mac!AB:AB, ""),
    _xlpm.MyAuditVal, _xlfn.XLOOKUP($A135, My_Audit!$A:$A, My_Audit!N:N, ""),
    _xlfn.TEXTJOIN(", ", TRUE, _xlpm.MyAuditVal, _xlpm.MacVal)
)</f>
        <v/>
      </c>
    </row>
    <row r="136" spans="1:24">
      <c r="A136" s="2" t="str">
        <f>_xlfn.TEXTJOIN("",TRUE,Input!$B$2,ROW(My_Audit!A135))</f>
        <v>X135</v>
      </c>
      <c r="B136" s="2" t="str">
        <f>_xlfn.TEXTJOIN("-",TRUE,"ITD",Input!$A$2,A136)</f>
        <v>ITD-SHR-X135</v>
      </c>
      <c r="C136" s="2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2" t="str" cm="1">
        <f t="array" ref="D136">IFERROR(_xlfn.LET(
_xlpm.CSVVal,_xlfn.XLOOKUP($A136,CSV!$A:$A,CSV!D:D,""),
_xlpm.MacVal,_xlfn.XLOOKUP($A136,Output_Mac!$A:$A,Output_Mac!C:C,""),
_xlpm.MyAuditVal,_xlfn.XLOOKUP($A136,My_Audit!$A:$A,My_Audit!C:C,""),
_xlfn.IFS(_xlpm.MyAuditVal&lt;&gt;"",_xlpm.MyAuditVal,_xlpm.MacVal&lt;&gt;"",_xlpm.MacVal,_xlpm.CSVVal&lt;&gt;"",_xlpm.CSVVal
)),"")</f>
        <v/>
      </c>
      <c r="E136" s="2" t="str">
        <f>_xlfn.XLOOKUP(A136,My_Audit!A:A,My_Audit!D:D,"")</f>
        <v/>
      </c>
      <c r="F136" s="2" t="str" cm="1">
        <f t="array" ref="F136">IFERROR(_xlfn.LET(
_xlpm.CSVVal,_xlfn.XLOOKUP($A136,CSV!$A:$A,CSV!F:F,""),
_xlpm.MacVal,_xlfn.XLOOKUP($A136,Output_Mac!$A:$A,Output_Mac!E:E,""),
_xlpm.MyAuditVal,_xlfn.XLOOKUP($A136,My_Audit!$A:$A,My_Audit!E:E,""),
_xlfn.IFS(_xlpm.MyAuditVal&lt;&gt;"",_xlpm.MyAuditVal,_xlpm.MacVal&lt;&gt;"",_xlpm.MacVal,_xlpm.CSVVal&lt;&gt;"",_xlpm.CSVVal
)),"")</f>
        <v/>
      </c>
      <c r="G136" s="2" t="str" cm="1">
        <f t="array" ref="G136">IFERROR(_xlfn.LET(
_xlpm.CSVVal,_xlfn.XLOOKUP($A136,CSV!$A:$A,CSV!G:G,""),
_xlpm.MacVal,_xlfn.XLOOKUP($A136,Output_Mac!$A:$A,Output_Mac!F:F,""),
_xlpm.MyAuditVal,_xlfn.XLOOKUP($A136,My_Audit!$A:$A,My_Audit!F:F,""),
_xlfn.IFS(_xlpm.MyAuditVal&lt;&gt;"",_xlpm.MyAuditVal,_xlpm.MacVal&lt;&gt;"",_xlpm.MacVal,_xlpm.CSVVal&lt;&gt;"",PROPER(_xlpm.CSVVal)
)),"")</f>
        <v/>
      </c>
      <c r="H136" s="2" t="str" cm="1">
        <f t="array" ref="H136">IFERROR(_xlfn.LET(
_xlpm.CSVVal,_xlfn.XLOOKUP($A136,CSV!$A:$A,CSV!H:H,""),
_xlpm.MacVal,_xlfn.XLOOKUP($A136,Output_Mac!$A:$A,Output_Mac!H:H,""),
_xlpm.MyAuditVal,_xlfn.XLOOKUP($A136,My_Audit!$A:$A,My_Audit!G:G,""),
_xlfn.IFS(_xlpm.MyAuditVal&lt;&gt;"",_xlpm.MyAuditVal,_xlpm.MacVal&lt;&gt;"",_xlpm.MacVal,_xlpm.CSVVal&lt;&gt;"",_xlpm.CSVVal
)),"")</f>
        <v/>
      </c>
      <c r="I136" s="2" t="str">
        <f>_xlfn.XLOOKUP(A136,Output_Mac!A:A,Output_Mac!I:I,"")</f>
        <v/>
      </c>
      <c r="J136" s="2" t="str" cm="1">
        <f t="array" ref="J136">IFERROR(_xlfn.LET(
_xlpm.CSVVal,_xlfn.XLOOKUP($A136,CSV!$A:$A,CSV!I:I,""),
_xlpm.MacVal,_xlfn.XLOOKUP($A136,Output_Mac!$A:$A,Output_Mac!J:J,""),
_xlpm.MyAuditVal,_xlfn.XLOOKUP($A136,My_Audit!$A:$A,My_Audit!I:I,""),
_xlfn.IFS(_xlpm.MyAuditVal&lt;&gt;"",UPPER(_xlpm.MyAuditVal),_xlpm.MacVal&lt;&gt;"",_xlpm.MacVal,_xlpm.CSVVal&lt;&gt;"",_xlpm.CSVVal
)),"")</f>
        <v/>
      </c>
      <c r="K136" s="2" t="str" cm="1">
        <f t="array" ref="K136">IFERROR(_xlfn.LET(
_xlpm.CSVVal,_xlfn.XLOOKUP($A136,CSV!$A:$A,CSV!K:K,""),
_xlpm.MacVal,_xlfn.XLOOKUP($A136,Output_Mac!$A:$A,Output_Mac!K:K,""),
_xlpm.MyAuditVal,_xlfn.XLOOKUP($A136,My_Audit!$A:$A,My_Audit!J:J,""),
_xlfn.IFS(_xlpm.MyAuditVal&lt;&gt;"",UPPER(_xlpm.MyAuditVal),_xlpm.MacVal&lt;&gt;"",_xlpm.MacVal,_xlpm.CSVVal&lt;&gt;"",_xlpm.CSVVal
)),"")</f>
        <v/>
      </c>
      <c r="L136" s="2" t="str" cm="1">
        <f t="array" ref="L136">IFERROR(_xlfn.LET(
_xlpm.CSVVal,_xlfn.XLOOKUP($A136,CSV!$A:$A,CSV!P:P,""),
_xlpm.MacVal,_xlfn.XLOOKUP($A136,Output_Mac!$A:$A,Output_Mac!L:L,""),
_xlpm.MyAuditVal,_xlfn.XLOOKUP($A136,My_Audit!$A:$A,My_Audit!K:K,""),
_xlfn.IFS(_xlpm.MyAuditVal&lt;&gt;"",UPPER(_xlpm.MyAuditVal),_xlpm.MacVal&lt;&gt;"",_xlpm.MacVal,_xlpm.CSVVal&lt;&gt;"",_xlpm.CSVVal
)),"")</f>
        <v/>
      </c>
      <c r="M136" s="2" t="str" cm="1">
        <f t="array" ref="M136">IFERROR(_xlfn.LET(
_xlpm.CSVVal,_xlfn.XLOOKUP($A136,CSV!$A:$A,CSV!Q:Q,""),
_xlpm.MacVal,_xlfn.XLOOKUP($A136,Output_Mac!$A:$A,Output_Mac!M:M,""),
_xlpm.MyAuditVal,_xlfn.XLOOKUP($A136,My_Audit!$A:$A,My_Audit!L:L,""),
_xlfn.IFS(_xlpm.MyAuditVal&lt;&gt;"",UPPER(_xlpm.MyAuditVal),_xlpm.MacVal&lt;&gt;"",_xlpm.MacVal,_xlpm.CSVVal&lt;&gt;"",_xlpm.CSVVal
)),"")</f>
        <v/>
      </c>
      <c r="O136" s="2" t="str">
        <f>_xlfn.LET(
    _xlpm.CSVVal, _xlfn.XLOOKUP($A136, CSV!$A:$A, CSV!AA:AA, ""),
    _xlpm.MacVal, _xlfn.XLOOKUP($A136, Output_Mac!$A:$A, Output_Mac!S:S, ""),
    _xlpm.MyAuditVal, _xlfn.XLOOKUP($A136, My_Audit!$A:$A, My_Audit!P:P, ""),
    _xlfn.TEXTJOIN(", ", TRUE, _xlpm.MyAuditVal, _xlpm.MacVal, _xlpm.CSVVal)
)</f>
        <v/>
      </c>
      <c r="P136" s="2" t="str" cm="1">
        <f t="array" ref="P136">IFERROR(_xlfn.LET(
_xlpm.CSVVal,_xlfn.XLOOKUP($A136,CSV!$A:$A,CSV!AB:AB,""),
_xlpm.MacVal,_xlfn.XLOOKUP($A136,Output_Mac!$A:$A,Output_Mac!T:T,""),
_xlpm.MyAuditVal,_xlfn.XLOOKUP($A136,My_Audit!$A:$A,My_Audit!Q:Q,""),
_xlfn.IFS(_xlpm.MyAuditVal&lt;&gt;"",UPPER(_xlpm.MyAuditVal),_xlpm.MacVal&lt;&gt;"",_xlpm.MacVal,_xlpm.CSVVal&lt;&gt;"",_xlpm.CSVVal
)),"No")</f>
        <v>No</v>
      </c>
      <c r="Q136" s="2" t="str" cm="1">
        <f t="array" ref="Q136">IFERROR(_xlfn.LET(
_xlpm.CSVVal,_xlfn.XLOOKUP($A136,CSV!$A:$A,CSV!AC:AC,""),
_xlpm.MacVal,_xlfn.XLOOKUP($A136,Output_Mac!$A:$A,Output_Mac!U:U,""),
_xlpm.MyAuditVal,_xlfn.XLOOKUP($A136,My_Audit!$A:$A,My_Audit!R:R,""),
_xlfn.IFS(_xlpm.MyAuditVal&lt;&gt;"",UPPER(_xlpm.MyAuditVal),_xlpm.MacVal&lt;&gt;"",_xlpm.MacVal,_xlpm.CSVVal&lt;&gt;"",_xlpm.CSVVal
)),"")</f>
        <v/>
      </c>
      <c r="X136" t="str">
        <f>_xlfn.LET(
    _xlpm.MacVal, _xlfn.XLOOKUP($A136, Output_Mac!$A:$A, Output_Mac!AB:AB, ""),
    _xlpm.MyAuditVal, _xlfn.XLOOKUP($A136, My_Audit!$A:$A, My_Audit!N:N, ""),
    _xlfn.TEXTJOIN(", ", TRUE, _xlpm.MyAuditVal, _xlpm.MacVal)
)</f>
        <v/>
      </c>
    </row>
    <row r="137" spans="1:24">
      <c r="A137" s="2" t="str">
        <f>_xlfn.TEXTJOIN("",TRUE,Input!$B$2,ROW(My_Audit!A136))</f>
        <v>X136</v>
      </c>
      <c r="B137" s="2" t="str">
        <f>_xlfn.TEXTJOIN("-",TRUE,"ITD",Input!$A$2,A137)</f>
        <v>ITD-SHR-X136</v>
      </c>
      <c r="C137" s="2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2" t="str" cm="1">
        <f t="array" ref="D137">IFERROR(_xlfn.LET(
_xlpm.CSVVal,_xlfn.XLOOKUP($A137,CSV!$A:$A,CSV!D:D,""),
_xlpm.MacVal,_xlfn.XLOOKUP($A137,Output_Mac!$A:$A,Output_Mac!C:C,""),
_xlpm.MyAuditVal,_xlfn.XLOOKUP($A137,My_Audit!$A:$A,My_Audit!C:C,""),
_xlfn.IFS(_xlpm.MyAuditVal&lt;&gt;"",_xlpm.MyAuditVal,_xlpm.MacVal&lt;&gt;"",_xlpm.MacVal,_xlpm.CSVVal&lt;&gt;"",_xlpm.CSVVal
)),"")</f>
        <v/>
      </c>
      <c r="E137" s="2" t="str">
        <f>_xlfn.XLOOKUP(A137,My_Audit!A:A,My_Audit!D:D,"")</f>
        <v/>
      </c>
      <c r="F137" s="2" t="str" cm="1">
        <f t="array" ref="F137">IFERROR(_xlfn.LET(
_xlpm.CSVVal,_xlfn.XLOOKUP($A137,CSV!$A:$A,CSV!F:F,""),
_xlpm.MacVal,_xlfn.XLOOKUP($A137,Output_Mac!$A:$A,Output_Mac!E:E,""),
_xlpm.MyAuditVal,_xlfn.XLOOKUP($A137,My_Audit!$A:$A,My_Audit!E:E,""),
_xlfn.IFS(_xlpm.MyAuditVal&lt;&gt;"",_xlpm.MyAuditVal,_xlpm.MacVal&lt;&gt;"",_xlpm.MacVal,_xlpm.CSVVal&lt;&gt;"",_xlpm.CSVVal
)),"")</f>
        <v/>
      </c>
      <c r="G137" s="2" t="str" cm="1">
        <f t="array" ref="G137">IFERROR(_xlfn.LET(
_xlpm.CSVVal,_xlfn.XLOOKUP($A137,CSV!$A:$A,CSV!G:G,""),
_xlpm.MacVal,_xlfn.XLOOKUP($A137,Output_Mac!$A:$A,Output_Mac!F:F,""),
_xlpm.MyAuditVal,_xlfn.XLOOKUP($A137,My_Audit!$A:$A,My_Audit!F:F,""),
_xlfn.IFS(_xlpm.MyAuditVal&lt;&gt;"",_xlpm.MyAuditVal,_xlpm.MacVal&lt;&gt;"",_xlpm.MacVal,_xlpm.CSVVal&lt;&gt;"",PROPER(_xlpm.CSVVal)
)),"")</f>
        <v/>
      </c>
      <c r="H137" s="2" t="str" cm="1">
        <f t="array" ref="H137">IFERROR(_xlfn.LET(
_xlpm.CSVVal,_xlfn.XLOOKUP($A137,CSV!$A:$A,CSV!H:H,""),
_xlpm.MacVal,_xlfn.XLOOKUP($A137,Output_Mac!$A:$A,Output_Mac!H:H,""),
_xlpm.MyAuditVal,_xlfn.XLOOKUP($A137,My_Audit!$A:$A,My_Audit!G:G,""),
_xlfn.IFS(_xlpm.MyAuditVal&lt;&gt;"",_xlpm.MyAuditVal,_xlpm.MacVal&lt;&gt;"",_xlpm.MacVal,_xlpm.CSVVal&lt;&gt;"",_xlpm.CSVVal
)),"")</f>
        <v/>
      </c>
      <c r="I137" s="2" t="str">
        <f>_xlfn.XLOOKUP(A137,Output_Mac!A:A,Output_Mac!I:I,"")</f>
        <v/>
      </c>
      <c r="J137" s="2" t="str" cm="1">
        <f t="array" ref="J137">IFERROR(_xlfn.LET(
_xlpm.CSVVal,_xlfn.XLOOKUP($A137,CSV!$A:$A,CSV!I:I,""),
_xlpm.MacVal,_xlfn.XLOOKUP($A137,Output_Mac!$A:$A,Output_Mac!J:J,""),
_xlpm.MyAuditVal,_xlfn.XLOOKUP($A137,My_Audit!$A:$A,My_Audit!I:I,""),
_xlfn.IFS(_xlpm.MyAuditVal&lt;&gt;"",UPPER(_xlpm.MyAuditVal),_xlpm.MacVal&lt;&gt;"",_xlpm.MacVal,_xlpm.CSVVal&lt;&gt;"",_xlpm.CSVVal
)),"")</f>
        <v/>
      </c>
      <c r="K137" s="2" t="str" cm="1">
        <f t="array" ref="K137">IFERROR(_xlfn.LET(
_xlpm.CSVVal,_xlfn.XLOOKUP($A137,CSV!$A:$A,CSV!K:K,""),
_xlpm.MacVal,_xlfn.XLOOKUP($A137,Output_Mac!$A:$A,Output_Mac!K:K,""),
_xlpm.MyAuditVal,_xlfn.XLOOKUP($A137,My_Audit!$A:$A,My_Audit!J:J,""),
_xlfn.IFS(_xlpm.MyAuditVal&lt;&gt;"",UPPER(_xlpm.MyAuditVal),_xlpm.MacVal&lt;&gt;"",_xlpm.MacVal,_xlpm.CSVVal&lt;&gt;"",_xlpm.CSVVal
)),"")</f>
        <v/>
      </c>
      <c r="L137" s="2" t="str" cm="1">
        <f t="array" ref="L137">IFERROR(_xlfn.LET(
_xlpm.CSVVal,_xlfn.XLOOKUP($A137,CSV!$A:$A,CSV!P:P,""),
_xlpm.MacVal,_xlfn.XLOOKUP($A137,Output_Mac!$A:$A,Output_Mac!L:L,""),
_xlpm.MyAuditVal,_xlfn.XLOOKUP($A137,My_Audit!$A:$A,My_Audit!K:K,""),
_xlfn.IFS(_xlpm.MyAuditVal&lt;&gt;"",UPPER(_xlpm.MyAuditVal),_xlpm.MacVal&lt;&gt;"",_xlpm.MacVal,_xlpm.CSVVal&lt;&gt;"",_xlpm.CSVVal
)),"")</f>
        <v/>
      </c>
      <c r="M137" s="2" t="str" cm="1">
        <f t="array" ref="M137">IFERROR(_xlfn.LET(
_xlpm.CSVVal,_xlfn.XLOOKUP($A137,CSV!$A:$A,CSV!Q:Q,""),
_xlpm.MacVal,_xlfn.XLOOKUP($A137,Output_Mac!$A:$A,Output_Mac!M:M,""),
_xlpm.MyAuditVal,_xlfn.XLOOKUP($A137,My_Audit!$A:$A,My_Audit!L:L,""),
_xlfn.IFS(_xlpm.MyAuditVal&lt;&gt;"",UPPER(_xlpm.MyAuditVal),_xlpm.MacVal&lt;&gt;"",_xlpm.MacVal,_xlpm.CSVVal&lt;&gt;"",_xlpm.CSVVal
)),"")</f>
        <v/>
      </c>
      <c r="O137" s="2" t="str">
        <f>_xlfn.LET(
    _xlpm.CSVVal, _xlfn.XLOOKUP($A137, CSV!$A:$A, CSV!AA:AA, ""),
    _xlpm.MacVal, _xlfn.XLOOKUP($A137, Output_Mac!$A:$A, Output_Mac!S:S, ""),
    _xlpm.MyAuditVal, _xlfn.XLOOKUP($A137, My_Audit!$A:$A, My_Audit!P:P, ""),
    _xlfn.TEXTJOIN(", ", TRUE, _xlpm.MyAuditVal, _xlpm.MacVal, _xlpm.CSVVal)
)</f>
        <v/>
      </c>
      <c r="P137" s="2" t="str" cm="1">
        <f t="array" ref="P137">IFERROR(_xlfn.LET(
_xlpm.CSVVal,_xlfn.XLOOKUP($A137,CSV!$A:$A,CSV!AB:AB,""),
_xlpm.MacVal,_xlfn.XLOOKUP($A137,Output_Mac!$A:$A,Output_Mac!T:T,""),
_xlpm.MyAuditVal,_xlfn.XLOOKUP($A137,My_Audit!$A:$A,My_Audit!Q:Q,""),
_xlfn.IFS(_xlpm.MyAuditVal&lt;&gt;"",UPPER(_xlpm.MyAuditVal),_xlpm.MacVal&lt;&gt;"",_xlpm.MacVal,_xlpm.CSVVal&lt;&gt;"",_xlpm.CSVVal
)),"No")</f>
        <v>No</v>
      </c>
      <c r="Q137" s="2" t="str" cm="1">
        <f t="array" ref="Q137">IFERROR(_xlfn.LET(
_xlpm.CSVVal,_xlfn.XLOOKUP($A137,CSV!$A:$A,CSV!AC:AC,""),
_xlpm.MacVal,_xlfn.XLOOKUP($A137,Output_Mac!$A:$A,Output_Mac!U:U,""),
_xlpm.MyAuditVal,_xlfn.XLOOKUP($A137,My_Audit!$A:$A,My_Audit!R:R,""),
_xlfn.IFS(_xlpm.MyAuditVal&lt;&gt;"",UPPER(_xlpm.MyAuditVal),_xlpm.MacVal&lt;&gt;"",_xlpm.MacVal,_xlpm.CSVVal&lt;&gt;"",_xlpm.CSVVal
)),"")</f>
        <v/>
      </c>
      <c r="X137" t="str">
        <f>_xlfn.LET(
    _xlpm.MacVal, _xlfn.XLOOKUP($A137, Output_Mac!$A:$A, Output_Mac!AB:AB, ""),
    _xlpm.MyAuditVal, _xlfn.XLOOKUP($A137, My_Audit!$A:$A, My_Audit!N:N, ""),
    _xlfn.TEXTJOIN(", ", TRUE, _xlpm.MyAuditVal, _xlpm.MacVal)
)</f>
        <v/>
      </c>
    </row>
    <row r="138" spans="1:24">
      <c r="A138" s="2" t="str">
        <f>_xlfn.TEXTJOIN("",TRUE,Input!$B$2,ROW(My_Audit!A137))</f>
        <v>X137</v>
      </c>
      <c r="B138" s="2" t="str">
        <f>_xlfn.TEXTJOIN("-",TRUE,"ITD",Input!$A$2,A138)</f>
        <v>ITD-SHR-X137</v>
      </c>
      <c r="C138" s="2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2" t="str" cm="1">
        <f t="array" ref="D138">IFERROR(_xlfn.LET(
_xlpm.CSVVal,_xlfn.XLOOKUP($A138,CSV!$A:$A,CSV!D:D,""),
_xlpm.MacVal,_xlfn.XLOOKUP($A138,Output_Mac!$A:$A,Output_Mac!C:C,""),
_xlpm.MyAuditVal,_xlfn.XLOOKUP($A138,My_Audit!$A:$A,My_Audit!C:C,""),
_xlfn.IFS(_xlpm.MyAuditVal&lt;&gt;"",_xlpm.MyAuditVal,_xlpm.MacVal&lt;&gt;"",_xlpm.MacVal,_xlpm.CSVVal&lt;&gt;"",_xlpm.CSVVal
)),"")</f>
        <v/>
      </c>
      <c r="E138" s="2" t="str">
        <f>_xlfn.XLOOKUP(A138,My_Audit!A:A,My_Audit!D:D,"")</f>
        <v/>
      </c>
      <c r="F138" s="2" t="str" cm="1">
        <f t="array" ref="F138">IFERROR(_xlfn.LET(
_xlpm.CSVVal,_xlfn.XLOOKUP($A138,CSV!$A:$A,CSV!F:F,""),
_xlpm.MacVal,_xlfn.XLOOKUP($A138,Output_Mac!$A:$A,Output_Mac!E:E,""),
_xlpm.MyAuditVal,_xlfn.XLOOKUP($A138,My_Audit!$A:$A,My_Audit!E:E,""),
_xlfn.IFS(_xlpm.MyAuditVal&lt;&gt;"",_xlpm.MyAuditVal,_xlpm.MacVal&lt;&gt;"",_xlpm.MacVal,_xlpm.CSVVal&lt;&gt;"",_xlpm.CSVVal
)),"")</f>
        <v/>
      </c>
      <c r="G138" s="2" t="str" cm="1">
        <f t="array" ref="G138">IFERROR(_xlfn.LET(
_xlpm.CSVVal,_xlfn.XLOOKUP($A138,CSV!$A:$A,CSV!G:G,""),
_xlpm.MacVal,_xlfn.XLOOKUP($A138,Output_Mac!$A:$A,Output_Mac!F:F,""),
_xlpm.MyAuditVal,_xlfn.XLOOKUP($A138,My_Audit!$A:$A,My_Audit!F:F,""),
_xlfn.IFS(_xlpm.MyAuditVal&lt;&gt;"",_xlpm.MyAuditVal,_xlpm.MacVal&lt;&gt;"",_xlpm.MacVal,_xlpm.CSVVal&lt;&gt;"",PROPER(_xlpm.CSVVal)
)),"")</f>
        <v/>
      </c>
      <c r="H138" s="2" t="str" cm="1">
        <f t="array" ref="H138">IFERROR(_xlfn.LET(
_xlpm.CSVVal,_xlfn.XLOOKUP($A138,CSV!$A:$A,CSV!H:H,""),
_xlpm.MacVal,_xlfn.XLOOKUP($A138,Output_Mac!$A:$A,Output_Mac!H:H,""),
_xlpm.MyAuditVal,_xlfn.XLOOKUP($A138,My_Audit!$A:$A,My_Audit!G:G,""),
_xlfn.IFS(_xlpm.MyAuditVal&lt;&gt;"",_xlpm.MyAuditVal,_xlpm.MacVal&lt;&gt;"",_xlpm.MacVal,_xlpm.CSVVal&lt;&gt;"",_xlpm.CSVVal
)),"")</f>
        <v/>
      </c>
      <c r="I138" s="2" t="str">
        <f>_xlfn.XLOOKUP(A138,Output_Mac!A:A,Output_Mac!I:I,"")</f>
        <v/>
      </c>
      <c r="J138" s="2" t="str" cm="1">
        <f t="array" ref="J138">IFERROR(_xlfn.LET(
_xlpm.CSVVal,_xlfn.XLOOKUP($A138,CSV!$A:$A,CSV!I:I,""),
_xlpm.MacVal,_xlfn.XLOOKUP($A138,Output_Mac!$A:$A,Output_Mac!J:J,""),
_xlpm.MyAuditVal,_xlfn.XLOOKUP($A138,My_Audit!$A:$A,My_Audit!I:I,""),
_xlfn.IFS(_xlpm.MyAuditVal&lt;&gt;"",UPPER(_xlpm.MyAuditVal),_xlpm.MacVal&lt;&gt;"",_xlpm.MacVal,_xlpm.CSVVal&lt;&gt;"",_xlpm.CSVVal
)),"")</f>
        <v/>
      </c>
      <c r="K138" s="2" t="str" cm="1">
        <f t="array" ref="K138">IFERROR(_xlfn.LET(
_xlpm.CSVVal,_xlfn.XLOOKUP($A138,CSV!$A:$A,CSV!K:K,""),
_xlpm.MacVal,_xlfn.XLOOKUP($A138,Output_Mac!$A:$A,Output_Mac!K:K,""),
_xlpm.MyAuditVal,_xlfn.XLOOKUP($A138,My_Audit!$A:$A,My_Audit!J:J,""),
_xlfn.IFS(_xlpm.MyAuditVal&lt;&gt;"",UPPER(_xlpm.MyAuditVal),_xlpm.MacVal&lt;&gt;"",_xlpm.MacVal,_xlpm.CSVVal&lt;&gt;"",_xlpm.CSVVal
)),"")</f>
        <v/>
      </c>
      <c r="L138" s="2" t="str" cm="1">
        <f t="array" ref="L138">IFERROR(_xlfn.LET(
_xlpm.CSVVal,_xlfn.XLOOKUP($A138,CSV!$A:$A,CSV!P:P,""),
_xlpm.MacVal,_xlfn.XLOOKUP($A138,Output_Mac!$A:$A,Output_Mac!L:L,""),
_xlpm.MyAuditVal,_xlfn.XLOOKUP($A138,My_Audit!$A:$A,My_Audit!K:K,""),
_xlfn.IFS(_xlpm.MyAuditVal&lt;&gt;"",UPPER(_xlpm.MyAuditVal),_xlpm.MacVal&lt;&gt;"",_xlpm.MacVal,_xlpm.CSVVal&lt;&gt;"",_xlpm.CSVVal
)),"")</f>
        <v/>
      </c>
      <c r="M138" s="2" t="str" cm="1">
        <f t="array" ref="M138">IFERROR(_xlfn.LET(
_xlpm.CSVVal,_xlfn.XLOOKUP($A138,CSV!$A:$A,CSV!Q:Q,""),
_xlpm.MacVal,_xlfn.XLOOKUP($A138,Output_Mac!$A:$A,Output_Mac!M:M,""),
_xlpm.MyAuditVal,_xlfn.XLOOKUP($A138,My_Audit!$A:$A,My_Audit!L:L,""),
_xlfn.IFS(_xlpm.MyAuditVal&lt;&gt;"",UPPER(_xlpm.MyAuditVal),_xlpm.MacVal&lt;&gt;"",_xlpm.MacVal,_xlpm.CSVVal&lt;&gt;"",_xlpm.CSVVal
)),"")</f>
        <v/>
      </c>
      <c r="O138" s="2" t="str">
        <f>_xlfn.LET(
    _xlpm.CSVVal, _xlfn.XLOOKUP($A138, CSV!$A:$A, CSV!AA:AA, ""),
    _xlpm.MacVal, _xlfn.XLOOKUP($A138, Output_Mac!$A:$A, Output_Mac!S:S, ""),
    _xlpm.MyAuditVal, _xlfn.XLOOKUP($A138, My_Audit!$A:$A, My_Audit!P:P, ""),
    _xlfn.TEXTJOIN(", ", TRUE, _xlpm.MyAuditVal, _xlpm.MacVal, _xlpm.CSVVal)
)</f>
        <v/>
      </c>
      <c r="P138" s="2" t="str" cm="1">
        <f t="array" ref="P138">IFERROR(_xlfn.LET(
_xlpm.CSVVal,_xlfn.XLOOKUP($A138,CSV!$A:$A,CSV!AB:AB,""),
_xlpm.MacVal,_xlfn.XLOOKUP($A138,Output_Mac!$A:$A,Output_Mac!T:T,""),
_xlpm.MyAuditVal,_xlfn.XLOOKUP($A138,My_Audit!$A:$A,My_Audit!Q:Q,""),
_xlfn.IFS(_xlpm.MyAuditVal&lt;&gt;"",UPPER(_xlpm.MyAuditVal),_xlpm.MacVal&lt;&gt;"",_xlpm.MacVal,_xlpm.CSVVal&lt;&gt;"",_xlpm.CSVVal
)),"No")</f>
        <v>No</v>
      </c>
      <c r="Q138" s="2" t="str" cm="1">
        <f t="array" ref="Q138">IFERROR(_xlfn.LET(
_xlpm.CSVVal,_xlfn.XLOOKUP($A138,CSV!$A:$A,CSV!AC:AC,""),
_xlpm.MacVal,_xlfn.XLOOKUP($A138,Output_Mac!$A:$A,Output_Mac!U:U,""),
_xlpm.MyAuditVal,_xlfn.XLOOKUP($A138,My_Audit!$A:$A,My_Audit!R:R,""),
_xlfn.IFS(_xlpm.MyAuditVal&lt;&gt;"",UPPER(_xlpm.MyAuditVal),_xlpm.MacVal&lt;&gt;"",_xlpm.MacVal,_xlpm.CSVVal&lt;&gt;"",_xlpm.CSVVal
)),"")</f>
        <v/>
      </c>
      <c r="X138" t="str">
        <f>_xlfn.LET(
    _xlpm.MacVal, _xlfn.XLOOKUP($A138, Output_Mac!$A:$A, Output_Mac!AB:AB, ""),
    _xlpm.MyAuditVal, _xlfn.XLOOKUP($A138, My_Audit!$A:$A, My_Audit!N:N, ""),
    _xlfn.TEXTJOIN(", ", TRUE, _xlpm.MyAuditVal, _xlpm.MacVal)
)</f>
        <v/>
      </c>
    </row>
    <row r="139" spans="1:24">
      <c r="A139" s="2" t="str">
        <f>_xlfn.TEXTJOIN("",TRUE,Input!$B$2,ROW(My_Audit!A138))</f>
        <v>X138</v>
      </c>
      <c r="B139" s="2" t="str">
        <f>_xlfn.TEXTJOIN("-",TRUE,"ITD",Input!$A$2,A139)</f>
        <v>ITD-SHR-X138</v>
      </c>
      <c r="C139" s="2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2" t="str" cm="1">
        <f t="array" ref="D139">IFERROR(_xlfn.LET(
_xlpm.CSVVal,_xlfn.XLOOKUP($A139,CSV!$A:$A,CSV!D:D,""),
_xlpm.MacVal,_xlfn.XLOOKUP($A139,Output_Mac!$A:$A,Output_Mac!C:C,""),
_xlpm.MyAuditVal,_xlfn.XLOOKUP($A139,My_Audit!$A:$A,My_Audit!C:C,""),
_xlfn.IFS(_xlpm.MyAuditVal&lt;&gt;"",_xlpm.MyAuditVal,_xlpm.MacVal&lt;&gt;"",_xlpm.MacVal,_xlpm.CSVVal&lt;&gt;"",_xlpm.CSVVal
)),"")</f>
        <v/>
      </c>
      <c r="E139" s="2" t="str">
        <f>_xlfn.XLOOKUP(A139,My_Audit!A:A,My_Audit!D:D,"")</f>
        <v/>
      </c>
      <c r="F139" s="2" t="str" cm="1">
        <f t="array" ref="F139">IFERROR(_xlfn.LET(
_xlpm.CSVVal,_xlfn.XLOOKUP($A139,CSV!$A:$A,CSV!F:F,""),
_xlpm.MacVal,_xlfn.XLOOKUP($A139,Output_Mac!$A:$A,Output_Mac!E:E,""),
_xlpm.MyAuditVal,_xlfn.XLOOKUP($A139,My_Audit!$A:$A,My_Audit!E:E,""),
_xlfn.IFS(_xlpm.MyAuditVal&lt;&gt;"",_xlpm.MyAuditVal,_xlpm.MacVal&lt;&gt;"",_xlpm.MacVal,_xlpm.CSVVal&lt;&gt;"",_xlpm.CSVVal
)),"")</f>
        <v/>
      </c>
      <c r="G139" s="2" t="str" cm="1">
        <f t="array" ref="G139">IFERROR(_xlfn.LET(
_xlpm.CSVVal,_xlfn.XLOOKUP($A139,CSV!$A:$A,CSV!G:G,""),
_xlpm.MacVal,_xlfn.XLOOKUP($A139,Output_Mac!$A:$A,Output_Mac!F:F,""),
_xlpm.MyAuditVal,_xlfn.XLOOKUP($A139,My_Audit!$A:$A,My_Audit!F:F,""),
_xlfn.IFS(_xlpm.MyAuditVal&lt;&gt;"",_xlpm.MyAuditVal,_xlpm.MacVal&lt;&gt;"",_xlpm.MacVal,_xlpm.CSVVal&lt;&gt;"",PROPER(_xlpm.CSVVal)
)),"")</f>
        <v/>
      </c>
      <c r="H139" s="2" t="str" cm="1">
        <f t="array" ref="H139">IFERROR(_xlfn.LET(
_xlpm.CSVVal,_xlfn.XLOOKUP($A139,CSV!$A:$A,CSV!H:H,""),
_xlpm.MacVal,_xlfn.XLOOKUP($A139,Output_Mac!$A:$A,Output_Mac!H:H,""),
_xlpm.MyAuditVal,_xlfn.XLOOKUP($A139,My_Audit!$A:$A,My_Audit!G:G,""),
_xlfn.IFS(_xlpm.MyAuditVal&lt;&gt;"",_xlpm.MyAuditVal,_xlpm.MacVal&lt;&gt;"",_xlpm.MacVal,_xlpm.CSVVal&lt;&gt;"",_xlpm.CSVVal
)),"")</f>
        <v/>
      </c>
      <c r="I139" s="2" t="str">
        <f>_xlfn.XLOOKUP(A139,Output_Mac!A:A,Output_Mac!I:I,"")</f>
        <v/>
      </c>
      <c r="J139" s="2" t="str" cm="1">
        <f t="array" ref="J139">IFERROR(_xlfn.LET(
_xlpm.CSVVal,_xlfn.XLOOKUP($A139,CSV!$A:$A,CSV!I:I,""),
_xlpm.MacVal,_xlfn.XLOOKUP($A139,Output_Mac!$A:$A,Output_Mac!J:J,""),
_xlpm.MyAuditVal,_xlfn.XLOOKUP($A139,My_Audit!$A:$A,My_Audit!I:I,""),
_xlfn.IFS(_xlpm.MyAuditVal&lt;&gt;"",UPPER(_xlpm.MyAuditVal),_xlpm.MacVal&lt;&gt;"",_xlpm.MacVal,_xlpm.CSVVal&lt;&gt;"",_xlpm.CSVVal
)),"")</f>
        <v/>
      </c>
      <c r="K139" s="2" t="str" cm="1">
        <f t="array" ref="K139">IFERROR(_xlfn.LET(
_xlpm.CSVVal,_xlfn.XLOOKUP($A139,CSV!$A:$A,CSV!K:K,""),
_xlpm.MacVal,_xlfn.XLOOKUP($A139,Output_Mac!$A:$A,Output_Mac!K:K,""),
_xlpm.MyAuditVal,_xlfn.XLOOKUP($A139,My_Audit!$A:$A,My_Audit!J:J,""),
_xlfn.IFS(_xlpm.MyAuditVal&lt;&gt;"",UPPER(_xlpm.MyAuditVal),_xlpm.MacVal&lt;&gt;"",_xlpm.MacVal,_xlpm.CSVVal&lt;&gt;"",_xlpm.CSVVal
)),"")</f>
        <v/>
      </c>
      <c r="L139" s="2" t="str" cm="1">
        <f t="array" ref="L139">IFERROR(_xlfn.LET(
_xlpm.CSVVal,_xlfn.XLOOKUP($A139,CSV!$A:$A,CSV!P:P,""),
_xlpm.MacVal,_xlfn.XLOOKUP($A139,Output_Mac!$A:$A,Output_Mac!L:L,""),
_xlpm.MyAuditVal,_xlfn.XLOOKUP($A139,My_Audit!$A:$A,My_Audit!K:K,""),
_xlfn.IFS(_xlpm.MyAuditVal&lt;&gt;"",UPPER(_xlpm.MyAuditVal),_xlpm.MacVal&lt;&gt;"",_xlpm.MacVal,_xlpm.CSVVal&lt;&gt;"",_xlpm.CSVVal
)),"")</f>
        <v/>
      </c>
      <c r="M139" s="2" t="str" cm="1">
        <f t="array" ref="M139">IFERROR(_xlfn.LET(
_xlpm.CSVVal,_xlfn.XLOOKUP($A139,CSV!$A:$A,CSV!Q:Q,""),
_xlpm.MacVal,_xlfn.XLOOKUP($A139,Output_Mac!$A:$A,Output_Mac!M:M,""),
_xlpm.MyAuditVal,_xlfn.XLOOKUP($A139,My_Audit!$A:$A,My_Audit!L:L,""),
_xlfn.IFS(_xlpm.MyAuditVal&lt;&gt;"",UPPER(_xlpm.MyAuditVal),_xlpm.MacVal&lt;&gt;"",_xlpm.MacVal,_xlpm.CSVVal&lt;&gt;"",_xlpm.CSVVal
)),"")</f>
        <v/>
      </c>
      <c r="O139" s="2" t="str">
        <f>_xlfn.LET(
    _xlpm.CSVVal, _xlfn.XLOOKUP($A139, CSV!$A:$A, CSV!AA:AA, ""),
    _xlpm.MacVal, _xlfn.XLOOKUP($A139, Output_Mac!$A:$A, Output_Mac!S:S, ""),
    _xlpm.MyAuditVal, _xlfn.XLOOKUP($A139, My_Audit!$A:$A, My_Audit!P:P, ""),
    _xlfn.TEXTJOIN(", ", TRUE, _xlpm.MyAuditVal, _xlpm.MacVal, _xlpm.CSVVal)
)</f>
        <v/>
      </c>
      <c r="P139" s="2" t="str" cm="1">
        <f t="array" ref="P139">IFERROR(_xlfn.LET(
_xlpm.CSVVal,_xlfn.XLOOKUP($A139,CSV!$A:$A,CSV!AB:AB,""),
_xlpm.MacVal,_xlfn.XLOOKUP($A139,Output_Mac!$A:$A,Output_Mac!T:T,""),
_xlpm.MyAuditVal,_xlfn.XLOOKUP($A139,My_Audit!$A:$A,My_Audit!Q:Q,""),
_xlfn.IFS(_xlpm.MyAuditVal&lt;&gt;"",UPPER(_xlpm.MyAuditVal),_xlpm.MacVal&lt;&gt;"",_xlpm.MacVal,_xlpm.CSVVal&lt;&gt;"",_xlpm.CSVVal
)),"No")</f>
        <v>No</v>
      </c>
      <c r="Q139" s="2" t="str" cm="1">
        <f t="array" ref="Q139">IFERROR(_xlfn.LET(
_xlpm.CSVVal,_xlfn.XLOOKUP($A139,CSV!$A:$A,CSV!AC:AC,""),
_xlpm.MacVal,_xlfn.XLOOKUP($A139,Output_Mac!$A:$A,Output_Mac!U:U,""),
_xlpm.MyAuditVal,_xlfn.XLOOKUP($A139,My_Audit!$A:$A,My_Audit!R:R,""),
_xlfn.IFS(_xlpm.MyAuditVal&lt;&gt;"",UPPER(_xlpm.MyAuditVal),_xlpm.MacVal&lt;&gt;"",_xlpm.MacVal,_xlpm.CSVVal&lt;&gt;"",_xlpm.CSVVal
)),"")</f>
        <v/>
      </c>
      <c r="X139" t="str">
        <f>_xlfn.LET(
    _xlpm.MacVal, _xlfn.XLOOKUP($A139, Output_Mac!$A:$A, Output_Mac!AB:AB, ""),
    _xlpm.MyAuditVal, _xlfn.XLOOKUP($A139, My_Audit!$A:$A, My_Audit!N:N, ""),
    _xlfn.TEXTJOIN(", ", TRUE, _xlpm.MyAuditVal, _xlpm.MacVal)
)</f>
        <v/>
      </c>
    </row>
    <row r="140" spans="1:24">
      <c r="A140" s="2" t="str">
        <f>_xlfn.TEXTJOIN("",TRUE,Input!$B$2,ROW(My_Audit!A139))</f>
        <v>X139</v>
      </c>
      <c r="B140" s="2" t="str">
        <f>_xlfn.TEXTJOIN("-",TRUE,"ITD",Input!$A$2,A140)</f>
        <v>ITD-SHR-X139</v>
      </c>
      <c r="C140" s="2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2" t="str" cm="1">
        <f t="array" ref="D140">IFERROR(_xlfn.LET(
_xlpm.CSVVal,_xlfn.XLOOKUP($A140,CSV!$A:$A,CSV!D:D,""),
_xlpm.MacVal,_xlfn.XLOOKUP($A140,Output_Mac!$A:$A,Output_Mac!C:C,""),
_xlpm.MyAuditVal,_xlfn.XLOOKUP($A140,My_Audit!$A:$A,My_Audit!C:C,""),
_xlfn.IFS(_xlpm.MyAuditVal&lt;&gt;"",_xlpm.MyAuditVal,_xlpm.MacVal&lt;&gt;"",_xlpm.MacVal,_xlpm.CSVVal&lt;&gt;"",_xlpm.CSVVal
)),"")</f>
        <v/>
      </c>
      <c r="E140" s="2" t="str">
        <f>_xlfn.XLOOKUP(A140,My_Audit!A:A,My_Audit!D:D,"")</f>
        <v/>
      </c>
      <c r="F140" s="2" t="str" cm="1">
        <f t="array" ref="F140">IFERROR(_xlfn.LET(
_xlpm.CSVVal,_xlfn.XLOOKUP($A140,CSV!$A:$A,CSV!F:F,""),
_xlpm.MacVal,_xlfn.XLOOKUP($A140,Output_Mac!$A:$A,Output_Mac!E:E,""),
_xlpm.MyAuditVal,_xlfn.XLOOKUP($A140,My_Audit!$A:$A,My_Audit!E:E,""),
_xlfn.IFS(_xlpm.MyAuditVal&lt;&gt;"",_xlpm.MyAuditVal,_xlpm.MacVal&lt;&gt;"",_xlpm.MacVal,_xlpm.CSVVal&lt;&gt;"",_xlpm.CSVVal
)),"")</f>
        <v/>
      </c>
      <c r="G140" s="2" t="str" cm="1">
        <f t="array" ref="G140">IFERROR(_xlfn.LET(
_xlpm.CSVVal,_xlfn.XLOOKUP($A140,CSV!$A:$A,CSV!G:G,""),
_xlpm.MacVal,_xlfn.XLOOKUP($A140,Output_Mac!$A:$A,Output_Mac!F:F,""),
_xlpm.MyAuditVal,_xlfn.XLOOKUP($A140,My_Audit!$A:$A,My_Audit!F:F,""),
_xlfn.IFS(_xlpm.MyAuditVal&lt;&gt;"",_xlpm.MyAuditVal,_xlpm.MacVal&lt;&gt;"",_xlpm.MacVal,_xlpm.CSVVal&lt;&gt;"",PROPER(_xlpm.CSVVal)
)),"")</f>
        <v/>
      </c>
      <c r="H140" s="2" t="str" cm="1">
        <f t="array" ref="H140">IFERROR(_xlfn.LET(
_xlpm.CSVVal,_xlfn.XLOOKUP($A140,CSV!$A:$A,CSV!H:H,""),
_xlpm.MacVal,_xlfn.XLOOKUP($A140,Output_Mac!$A:$A,Output_Mac!H:H,""),
_xlpm.MyAuditVal,_xlfn.XLOOKUP($A140,My_Audit!$A:$A,My_Audit!G:G,""),
_xlfn.IFS(_xlpm.MyAuditVal&lt;&gt;"",_xlpm.MyAuditVal,_xlpm.MacVal&lt;&gt;"",_xlpm.MacVal,_xlpm.CSVVal&lt;&gt;"",_xlpm.CSVVal
)),"")</f>
        <v/>
      </c>
      <c r="I140" s="2" t="str">
        <f>_xlfn.XLOOKUP(A140,Output_Mac!A:A,Output_Mac!I:I,"")</f>
        <v/>
      </c>
      <c r="J140" s="2" t="str" cm="1">
        <f t="array" ref="J140">IFERROR(_xlfn.LET(
_xlpm.CSVVal,_xlfn.XLOOKUP($A140,CSV!$A:$A,CSV!I:I,""),
_xlpm.MacVal,_xlfn.XLOOKUP($A140,Output_Mac!$A:$A,Output_Mac!J:J,""),
_xlpm.MyAuditVal,_xlfn.XLOOKUP($A140,My_Audit!$A:$A,My_Audit!I:I,""),
_xlfn.IFS(_xlpm.MyAuditVal&lt;&gt;"",UPPER(_xlpm.MyAuditVal),_xlpm.MacVal&lt;&gt;"",_xlpm.MacVal,_xlpm.CSVVal&lt;&gt;"",_xlpm.CSVVal
)),"")</f>
        <v/>
      </c>
      <c r="K140" s="2" t="str" cm="1">
        <f t="array" ref="K140">IFERROR(_xlfn.LET(
_xlpm.CSVVal,_xlfn.XLOOKUP($A140,CSV!$A:$A,CSV!K:K,""),
_xlpm.MacVal,_xlfn.XLOOKUP($A140,Output_Mac!$A:$A,Output_Mac!K:K,""),
_xlpm.MyAuditVal,_xlfn.XLOOKUP($A140,My_Audit!$A:$A,My_Audit!J:J,""),
_xlfn.IFS(_xlpm.MyAuditVal&lt;&gt;"",UPPER(_xlpm.MyAuditVal),_xlpm.MacVal&lt;&gt;"",_xlpm.MacVal,_xlpm.CSVVal&lt;&gt;"",_xlpm.CSVVal
)),"")</f>
        <v/>
      </c>
      <c r="L140" s="2" t="str" cm="1">
        <f t="array" ref="L140">IFERROR(_xlfn.LET(
_xlpm.CSVVal,_xlfn.XLOOKUP($A140,CSV!$A:$A,CSV!P:P,""),
_xlpm.MacVal,_xlfn.XLOOKUP($A140,Output_Mac!$A:$A,Output_Mac!L:L,""),
_xlpm.MyAuditVal,_xlfn.XLOOKUP($A140,My_Audit!$A:$A,My_Audit!K:K,""),
_xlfn.IFS(_xlpm.MyAuditVal&lt;&gt;"",UPPER(_xlpm.MyAuditVal),_xlpm.MacVal&lt;&gt;"",_xlpm.MacVal,_xlpm.CSVVal&lt;&gt;"",_xlpm.CSVVal
)),"")</f>
        <v/>
      </c>
      <c r="M140" s="2" t="str" cm="1">
        <f t="array" ref="M140">IFERROR(_xlfn.LET(
_xlpm.CSVVal,_xlfn.XLOOKUP($A140,CSV!$A:$A,CSV!Q:Q,""),
_xlpm.MacVal,_xlfn.XLOOKUP($A140,Output_Mac!$A:$A,Output_Mac!M:M,""),
_xlpm.MyAuditVal,_xlfn.XLOOKUP($A140,My_Audit!$A:$A,My_Audit!L:L,""),
_xlfn.IFS(_xlpm.MyAuditVal&lt;&gt;"",UPPER(_xlpm.MyAuditVal),_xlpm.MacVal&lt;&gt;"",_xlpm.MacVal,_xlpm.CSVVal&lt;&gt;"",_xlpm.CSVVal
)),"")</f>
        <v/>
      </c>
      <c r="O140" s="2" t="str">
        <f>_xlfn.LET(
    _xlpm.CSVVal, _xlfn.XLOOKUP($A140, CSV!$A:$A, CSV!AA:AA, ""),
    _xlpm.MacVal, _xlfn.XLOOKUP($A140, Output_Mac!$A:$A, Output_Mac!S:S, ""),
    _xlpm.MyAuditVal, _xlfn.XLOOKUP($A140, My_Audit!$A:$A, My_Audit!P:P, ""),
    _xlfn.TEXTJOIN(", ", TRUE, _xlpm.MyAuditVal, _xlpm.MacVal, _xlpm.CSVVal)
)</f>
        <v/>
      </c>
      <c r="P140" s="2" t="str" cm="1">
        <f t="array" ref="P140">IFERROR(_xlfn.LET(
_xlpm.CSVVal,_xlfn.XLOOKUP($A140,CSV!$A:$A,CSV!AB:AB,""),
_xlpm.MacVal,_xlfn.XLOOKUP($A140,Output_Mac!$A:$A,Output_Mac!T:T,""),
_xlpm.MyAuditVal,_xlfn.XLOOKUP($A140,My_Audit!$A:$A,My_Audit!Q:Q,""),
_xlfn.IFS(_xlpm.MyAuditVal&lt;&gt;"",UPPER(_xlpm.MyAuditVal),_xlpm.MacVal&lt;&gt;"",_xlpm.MacVal,_xlpm.CSVVal&lt;&gt;"",_xlpm.CSVVal
)),"No")</f>
        <v>No</v>
      </c>
      <c r="Q140" s="2" t="str" cm="1">
        <f t="array" ref="Q140">IFERROR(_xlfn.LET(
_xlpm.CSVVal,_xlfn.XLOOKUP($A140,CSV!$A:$A,CSV!AC:AC,""),
_xlpm.MacVal,_xlfn.XLOOKUP($A140,Output_Mac!$A:$A,Output_Mac!U:U,""),
_xlpm.MyAuditVal,_xlfn.XLOOKUP($A140,My_Audit!$A:$A,My_Audit!R:R,""),
_xlfn.IFS(_xlpm.MyAuditVal&lt;&gt;"",UPPER(_xlpm.MyAuditVal),_xlpm.MacVal&lt;&gt;"",_xlpm.MacVal,_xlpm.CSVVal&lt;&gt;"",_xlpm.CSVVal
)),"")</f>
        <v/>
      </c>
      <c r="X140" t="str">
        <f>_xlfn.LET(
    _xlpm.MacVal, _xlfn.XLOOKUP($A140, Output_Mac!$A:$A, Output_Mac!AB:AB, ""),
    _xlpm.MyAuditVal, _xlfn.XLOOKUP($A140, My_Audit!$A:$A, My_Audit!N:N, ""),
    _xlfn.TEXTJOIN(", ", TRUE, _xlpm.MyAuditVal, _xlpm.MacVal)
)</f>
        <v/>
      </c>
    </row>
    <row r="141" spans="1:24">
      <c r="A141" s="2" t="str">
        <f>_xlfn.TEXTJOIN("",TRUE,Input!$B$2,ROW(My_Audit!A140))</f>
        <v>X140</v>
      </c>
      <c r="B141" s="2" t="str">
        <f>_xlfn.TEXTJOIN("-",TRUE,"ITD",Input!$A$2,A141)</f>
        <v>ITD-SHR-X140</v>
      </c>
      <c r="C141" s="2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2" t="str" cm="1">
        <f t="array" ref="D141">IFERROR(_xlfn.LET(
_xlpm.CSVVal,_xlfn.XLOOKUP($A141,CSV!$A:$A,CSV!D:D,""),
_xlpm.MacVal,_xlfn.XLOOKUP($A141,Output_Mac!$A:$A,Output_Mac!C:C,""),
_xlpm.MyAuditVal,_xlfn.XLOOKUP($A141,My_Audit!$A:$A,My_Audit!C:C,""),
_xlfn.IFS(_xlpm.MyAuditVal&lt;&gt;"",_xlpm.MyAuditVal,_xlpm.MacVal&lt;&gt;"",_xlpm.MacVal,_xlpm.CSVVal&lt;&gt;"",_xlpm.CSVVal
)),"")</f>
        <v/>
      </c>
      <c r="E141" s="2" t="str">
        <f>_xlfn.XLOOKUP(A141,My_Audit!A:A,My_Audit!D:D,"")</f>
        <v/>
      </c>
      <c r="F141" s="2" t="str" cm="1">
        <f t="array" ref="F141">IFERROR(_xlfn.LET(
_xlpm.CSVVal,_xlfn.XLOOKUP($A141,CSV!$A:$A,CSV!F:F,""),
_xlpm.MacVal,_xlfn.XLOOKUP($A141,Output_Mac!$A:$A,Output_Mac!E:E,""),
_xlpm.MyAuditVal,_xlfn.XLOOKUP($A141,My_Audit!$A:$A,My_Audit!E:E,""),
_xlfn.IFS(_xlpm.MyAuditVal&lt;&gt;"",_xlpm.MyAuditVal,_xlpm.MacVal&lt;&gt;"",_xlpm.MacVal,_xlpm.CSVVal&lt;&gt;"",_xlpm.CSVVal
)),"")</f>
        <v/>
      </c>
      <c r="G141" s="2" t="str" cm="1">
        <f t="array" ref="G141">IFERROR(_xlfn.LET(
_xlpm.CSVVal,_xlfn.XLOOKUP($A141,CSV!$A:$A,CSV!G:G,""),
_xlpm.MacVal,_xlfn.XLOOKUP($A141,Output_Mac!$A:$A,Output_Mac!F:F,""),
_xlpm.MyAuditVal,_xlfn.XLOOKUP($A141,My_Audit!$A:$A,My_Audit!F:F,""),
_xlfn.IFS(_xlpm.MyAuditVal&lt;&gt;"",_xlpm.MyAuditVal,_xlpm.MacVal&lt;&gt;"",_xlpm.MacVal,_xlpm.CSVVal&lt;&gt;"",PROPER(_xlpm.CSVVal)
)),"")</f>
        <v/>
      </c>
      <c r="H141" s="2" t="str" cm="1">
        <f t="array" ref="H141">IFERROR(_xlfn.LET(
_xlpm.CSVVal,_xlfn.XLOOKUP($A141,CSV!$A:$A,CSV!H:H,""),
_xlpm.MacVal,_xlfn.XLOOKUP($A141,Output_Mac!$A:$A,Output_Mac!H:H,""),
_xlpm.MyAuditVal,_xlfn.XLOOKUP($A141,My_Audit!$A:$A,My_Audit!G:G,""),
_xlfn.IFS(_xlpm.MyAuditVal&lt;&gt;"",_xlpm.MyAuditVal,_xlpm.MacVal&lt;&gt;"",_xlpm.MacVal,_xlpm.CSVVal&lt;&gt;"",_xlpm.CSVVal
)),"")</f>
        <v/>
      </c>
      <c r="I141" s="2" t="str">
        <f>_xlfn.XLOOKUP(A141,Output_Mac!A:A,Output_Mac!I:I,"")</f>
        <v/>
      </c>
      <c r="J141" s="2" t="str" cm="1">
        <f t="array" ref="J141">IFERROR(_xlfn.LET(
_xlpm.CSVVal,_xlfn.XLOOKUP($A141,CSV!$A:$A,CSV!I:I,""),
_xlpm.MacVal,_xlfn.XLOOKUP($A141,Output_Mac!$A:$A,Output_Mac!J:J,""),
_xlpm.MyAuditVal,_xlfn.XLOOKUP($A141,My_Audit!$A:$A,My_Audit!I:I,""),
_xlfn.IFS(_xlpm.MyAuditVal&lt;&gt;"",UPPER(_xlpm.MyAuditVal),_xlpm.MacVal&lt;&gt;"",_xlpm.MacVal,_xlpm.CSVVal&lt;&gt;"",_xlpm.CSVVal
)),"")</f>
        <v/>
      </c>
      <c r="K141" s="2" t="str" cm="1">
        <f t="array" ref="K141">IFERROR(_xlfn.LET(
_xlpm.CSVVal,_xlfn.XLOOKUP($A141,CSV!$A:$A,CSV!K:K,""),
_xlpm.MacVal,_xlfn.XLOOKUP($A141,Output_Mac!$A:$A,Output_Mac!K:K,""),
_xlpm.MyAuditVal,_xlfn.XLOOKUP($A141,My_Audit!$A:$A,My_Audit!J:J,""),
_xlfn.IFS(_xlpm.MyAuditVal&lt;&gt;"",UPPER(_xlpm.MyAuditVal),_xlpm.MacVal&lt;&gt;"",_xlpm.MacVal,_xlpm.CSVVal&lt;&gt;"",_xlpm.CSVVal
)),"")</f>
        <v/>
      </c>
      <c r="L141" s="2" t="str" cm="1">
        <f t="array" ref="L141">IFERROR(_xlfn.LET(
_xlpm.CSVVal,_xlfn.XLOOKUP($A141,CSV!$A:$A,CSV!P:P,""),
_xlpm.MacVal,_xlfn.XLOOKUP($A141,Output_Mac!$A:$A,Output_Mac!L:L,""),
_xlpm.MyAuditVal,_xlfn.XLOOKUP($A141,My_Audit!$A:$A,My_Audit!K:K,""),
_xlfn.IFS(_xlpm.MyAuditVal&lt;&gt;"",UPPER(_xlpm.MyAuditVal),_xlpm.MacVal&lt;&gt;"",_xlpm.MacVal,_xlpm.CSVVal&lt;&gt;"",_xlpm.CSVVal
)),"")</f>
        <v/>
      </c>
      <c r="M141" s="2" t="str" cm="1">
        <f t="array" ref="M141">IFERROR(_xlfn.LET(
_xlpm.CSVVal,_xlfn.XLOOKUP($A141,CSV!$A:$A,CSV!Q:Q,""),
_xlpm.MacVal,_xlfn.XLOOKUP($A141,Output_Mac!$A:$A,Output_Mac!M:M,""),
_xlpm.MyAuditVal,_xlfn.XLOOKUP($A141,My_Audit!$A:$A,My_Audit!L:L,""),
_xlfn.IFS(_xlpm.MyAuditVal&lt;&gt;"",UPPER(_xlpm.MyAuditVal),_xlpm.MacVal&lt;&gt;"",_xlpm.MacVal,_xlpm.CSVVal&lt;&gt;"",_xlpm.CSVVal
)),"")</f>
        <v/>
      </c>
      <c r="O141" s="2" t="str">
        <f>_xlfn.LET(
    _xlpm.CSVVal, _xlfn.XLOOKUP($A141, CSV!$A:$A, CSV!AA:AA, ""),
    _xlpm.MacVal, _xlfn.XLOOKUP($A141, Output_Mac!$A:$A, Output_Mac!S:S, ""),
    _xlpm.MyAuditVal, _xlfn.XLOOKUP($A141, My_Audit!$A:$A, My_Audit!P:P, ""),
    _xlfn.TEXTJOIN(", ", TRUE, _xlpm.MyAuditVal, _xlpm.MacVal, _xlpm.CSVVal)
)</f>
        <v/>
      </c>
      <c r="P141" s="2" t="str" cm="1">
        <f t="array" ref="P141">IFERROR(_xlfn.LET(
_xlpm.CSVVal,_xlfn.XLOOKUP($A141,CSV!$A:$A,CSV!AB:AB,""),
_xlpm.MacVal,_xlfn.XLOOKUP($A141,Output_Mac!$A:$A,Output_Mac!T:T,""),
_xlpm.MyAuditVal,_xlfn.XLOOKUP($A141,My_Audit!$A:$A,My_Audit!Q:Q,""),
_xlfn.IFS(_xlpm.MyAuditVal&lt;&gt;"",UPPER(_xlpm.MyAuditVal),_xlpm.MacVal&lt;&gt;"",_xlpm.MacVal,_xlpm.CSVVal&lt;&gt;"",_xlpm.CSVVal
)),"No")</f>
        <v>No</v>
      </c>
      <c r="Q141" s="2" t="str" cm="1">
        <f t="array" ref="Q141">IFERROR(_xlfn.LET(
_xlpm.CSVVal,_xlfn.XLOOKUP($A141,CSV!$A:$A,CSV!AC:AC,""),
_xlpm.MacVal,_xlfn.XLOOKUP($A141,Output_Mac!$A:$A,Output_Mac!U:U,""),
_xlpm.MyAuditVal,_xlfn.XLOOKUP($A141,My_Audit!$A:$A,My_Audit!R:R,""),
_xlfn.IFS(_xlpm.MyAuditVal&lt;&gt;"",UPPER(_xlpm.MyAuditVal),_xlpm.MacVal&lt;&gt;"",_xlpm.MacVal,_xlpm.CSVVal&lt;&gt;"",_xlpm.CSVVal
)),"")</f>
        <v/>
      </c>
      <c r="X141" t="str">
        <f>_xlfn.LET(
    _xlpm.MacVal, _xlfn.XLOOKUP($A141, Output_Mac!$A:$A, Output_Mac!AB:AB, ""),
    _xlpm.MyAuditVal, _xlfn.XLOOKUP($A141, My_Audit!$A:$A, My_Audit!N:N, ""),
    _xlfn.TEXTJOIN(", ", TRUE, _xlpm.MyAuditVal, _xlpm.MacVal)
)</f>
        <v/>
      </c>
    </row>
    <row r="142" spans="1:24">
      <c r="A142" s="2" t="str">
        <f>_xlfn.TEXTJOIN("",TRUE,Input!$B$2,ROW(My_Audit!A141))</f>
        <v>X141</v>
      </c>
      <c r="B142" s="2" t="str">
        <f>_xlfn.TEXTJOIN("-",TRUE,"ITD",Input!$A$2,A142)</f>
        <v>ITD-SHR-X141</v>
      </c>
      <c r="C142" s="2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2" t="str" cm="1">
        <f t="array" ref="D142">IFERROR(_xlfn.LET(
_xlpm.CSVVal,_xlfn.XLOOKUP($A142,CSV!$A:$A,CSV!D:D,""),
_xlpm.MacVal,_xlfn.XLOOKUP($A142,Output_Mac!$A:$A,Output_Mac!C:C,""),
_xlpm.MyAuditVal,_xlfn.XLOOKUP($A142,My_Audit!$A:$A,My_Audit!C:C,""),
_xlfn.IFS(_xlpm.MyAuditVal&lt;&gt;"",_xlpm.MyAuditVal,_xlpm.MacVal&lt;&gt;"",_xlpm.MacVal,_xlpm.CSVVal&lt;&gt;"",_xlpm.CSVVal
)),"")</f>
        <v/>
      </c>
      <c r="E142" s="2" t="str">
        <f>_xlfn.XLOOKUP(A142,My_Audit!A:A,My_Audit!D:D,"")</f>
        <v/>
      </c>
      <c r="F142" s="2" t="str" cm="1">
        <f t="array" ref="F142">IFERROR(_xlfn.LET(
_xlpm.CSVVal,_xlfn.XLOOKUP($A142,CSV!$A:$A,CSV!F:F,""),
_xlpm.MacVal,_xlfn.XLOOKUP($A142,Output_Mac!$A:$A,Output_Mac!E:E,""),
_xlpm.MyAuditVal,_xlfn.XLOOKUP($A142,My_Audit!$A:$A,My_Audit!E:E,""),
_xlfn.IFS(_xlpm.MyAuditVal&lt;&gt;"",_xlpm.MyAuditVal,_xlpm.MacVal&lt;&gt;"",_xlpm.MacVal,_xlpm.CSVVal&lt;&gt;"",_xlpm.CSVVal
)),"")</f>
        <v/>
      </c>
      <c r="G142" s="2" t="str" cm="1">
        <f t="array" ref="G142">IFERROR(_xlfn.LET(
_xlpm.CSVVal,_xlfn.XLOOKUP($A142,CSV!$A:$A,CSV!G:G,""),
_xlpm.MacVal,_xlfn.XLOOKUP($A142,Output_Mac!$A:$A,Output_Mac!F:F,""),
_xlpm.MyAuditVal,_xlfn.XLOOKUP($A142,My_Audit!$A:$A,My_Audit!F:F,""),
_xlfn.IFS(_xlpm.MyAuditVal&lt;&gt;"",_xlpm.MyAuditVal,_xlpm.MacVal&lt;&gt;"",_xlpm.MacVal,_xlpm.CSVVal&lt;&gt;"",PROPER(_xlpm.CSVVal)
)),"")</f>
        <v/>
      </c>
      <c r="H142" s="2" t="str" cm="1">
        <f t="array" ref="H142">IFERROR(_xlfn.LET(
_xlpm.CSVVal,_xlfn.XLOOKUP($A142,CSV!$A:$A,CSV!H:H,""),
_xlpm.MacVal,_xlfn.XLOOKUP($A142,Output_Mac!$A:$A,Output_Mac!H:H,""),
_xlpm.MyAuditVal,_xlfn.XLOOKUP($A142,My_Audit!$A:$A,My_Audit!G:G,""),
_xlfn.IFS(_xlpm.MyAuditVal&lt;&gt;"",_xlpm.MyAuditVal,_xlpm.MacVal&lt;&gt;"",_xlpm.MacVal,_xlpm.CSVVal&lt;&gt;"",_xlpm.CSVVal
)),"")</f>
        <v/>
      </c>
      <c r="I142" s="2" t="str">
        <f>_xlfn.XLOOKUP(A142,Output_Mac!A:A,Output_Mac!I:I,"")</f>
        <v/>
      </c>
      <c r="J142" s="2" t="str" cm="1">
        <f t="array" ref="J142">IFERROR(_xlfn.LET(
_xlpm.CSVVal,_xlfn.XLOOKUP($A142,CSV!$A:$A,CSV!I:I,""),
_xlpm.MacVal,_xlfn.XLOOKUP($A142,Output_Mac!$A:$A,Output_Mac!J:J,""),
_xlpm.MyAuditVal,_xlfn.XLOOKUP($A142,My_Audit!$A:$A,My_Audit!I:I,""),
_xlfn.IFS(_xlpm.MyAuditVal&lt;&gt;"",UPPER(_xlpm.MyAuditVal),_xlpm.MacVal&lt;&gt;"",_xlpm.MacVal,_xlpm.CSVVal&lt;&gt;"",_xlpm.CSVVal
)),"")</f>
        <v/>
      </c>
      <c r="K142" s="2" t="str" cm="1">
        <f t="array" ref="K142">IFERROR(_xlfn.LET(
_xlpm.CSVVal,_xlfn.XLOOKUP($A142,CSV!$A:$A,CSV!K:K,""),
_xlpm.MacVal,_xlfn.XLOOKUP($A142,Output_Mac!$A:$A,Output_Mac!K:K,""),
_xlpm.MyAuditVal,_xlfn.XLOOKUP($A142,My_Audit!$A:$A,My_Audit!J:J,""),
_xlfn.IFS(_xlpm.MyAuditVal&lt;&gt;"",UPPER(_xlpm.MyAuditVal),_xlpm.MacVal&lt;&gt;"",_xlpm.MacVal,_xlpm.CSVVal&lt;&gt;"",_xlpm.CSVVal
)),"")</f>
        <v/>
      </c>
      <c r="L142" s="2" t="str" cm="1">
        <f t="array" ref="L142">IFERROR(_xlfn.LET(
_xlpm.CSVVal,_xlfn.XLOOKUP($A142,CSV!$A:$A,CSV!P:P,""),
_xlpm.MacVal,_xlfn.XLOOKUP($A142,Output_Mac!$A:$A,Output_Mac!L:L,""),
_xlpm.MyAuditVal,_xlfn.XLOOKUP($A142,My_Audit!$A:$A,My_Audit!K:K,""),
_xlfn.IFS(_xlpm.MyAuditVal&lt;&gt;"",UPPER(_xlpm.MyAuditVal),_xlpm.MacVal&lt;&gt;"",_xlpm.MacVal,_xlpm.CSVVal&lt;&gt;"",_xlpm.CSVVal
)),"")</f>
        <v/>
      </c>
      <c r="M142" s="2" t="str" cm="1">
        <f t="array" ref="M142">IFERROR(_xlfn.LET(
_xlpm.CSVVal,_xlfn.XLOOKUP($A142,CSV!$A:$A,CSV!Q:Q,""),
_xlpm.MacVal,_xlfn.XLOOKUP($A142,Output_Mac!$A:$A,Output_Mac!M:M,""),
_xlpm.MyAuditVal,_xlfn.XLOOKUP($A142,My_Audit!$A:$A,My_Audit!L:L,""),
_xlfn.IFS(_xlpm.MyAuditVal&lt;&gt;"",UPPER(_xlpm.MyAuditVal),_xlpm.MacVal&lt;&gt;"",_xlpm.MacVal,_xlpm.CSVVal&lt;&gt;"",_xlpm.CSVVal
)),"")</f>
        <v/>
      </c>
      <c r="O142" s="2" t="str">
        <f>_xlfn.LET(
    _xlpm.CSVVal, _xlfn.XLOOKUP($A142, CSV!$A:$A, CSV!AA:AA, ""),
    _xlpm.MacVal, _xlfn.XLOOKUP($A142, Output_Mac!$A:$A, Output_Mac!S:S, ""),
    _xlpm.MyAuditVal, _xlfn.XLOOKUP($A142, My_Audit!$A:$A, My_Audit!P:P, ""),
    _xlfn.TEXTJOIN(", ", TRUE, _xlpm.MyAuditVal, _xlpm.MacVal, _xlpm.CSVVal)
)</f>
        <v/>
      </c>
      <c r="P142" s="2" t="str" cm="1">
        <f t="array" ref="P142">IFERROR(_xlfn.LET(
_xlpm.CSVVal,_xlfn.XLOOKUP($A142,CSV!$A:$A,CSV!AB:AB,""),
_xlpm.MacVal,_xlfn.XLOOKUP($A142,Output_Mac!$A:$A,Output_Mac!T:T,""),
_xlpm.MyAuditVal,_xlfn.XLOOKUP($A142,My_Audit!$A:$A,My_Audit!Q:Q,""),
_xlfn.IFS(_xlpm.MyAuditVal&lt;&gt;"",UPPER(_xlpm.MyAuditVal),_xlpm.MacVal&lt;&gt;"",_xlpm.MacVal,_xlpm.CSVVal&lt;&gt;"",_xlpm.CSVVal
)),"No")</f>
        <v>No</v>
      </c>
      <c r="Q142" s="2" t="str" cm="1">
        <f t="array" ref="Q142">IFERROR(_xlfn.LET(
_xlpm.CSVVal,_xlfn.XLOOKUP($A142,CSV!$A:$A,CSV!AC:AC,""),
_xlpm.MacVal,_xlfn.XLOOKUP($A142,Output_Mac!$A:$A,Output_Mac!U:U,""),
_xlpm.MyAuditVal,_xlfn.XLOOKUP($A142,My_Audit!$A:$A,My_Audit!R:R,""),
_xlfn.IFS(_xlpm.MyAuditVal&lt;&gt;"",UPPER(_xlpm.MyAuditVal),_xlpm.MacVal&lt;&gt;"",_xlpm.MacVal,_xlpm.CSVVal&lt;&gt;"",_xlpm.CSVVal
)),"")</f>
        <v/>
      </c>
      <c r="X142" t="str">
        <f>_xlfn.LET(
    _xlpm.MacVal, _xlfn.XLOOKUP($A142, Output_Mac!$A:$A, Output_Mac!AB:AB, ""),
    _xlpm.MyAuditVal, _xlfn.XLOOKUP($A142, My_Audit!$A:$A, My_Audit!N:N, ""),
    _xlfn.TEXTJOIN(", ", TRUE, _xlpm.MyAuditVal, _xlpm.MacVal)
)</f>
        <v/>
      </c>
    </row>
    <row r="143" spans="1:24">
      <c r="A143" s="2" t="str">
        <f>_xlfn.TEXTJOIN("",TRUE,Input!$B$2,ROW(My_Audit!A142))</f>
        <v>X142</v>
      </c>
      <c r="B143" s="2" t="str">
        <f>_xlfn.TEXTJOIN("-",TRUE,"ITD",Input!$A$2,A143)</f>
        <v>ITD-SHR-X142</v>
      </c>
      <c r="C143" s="2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2" t="str" cm="1">
        <f t="array" ref="D143">IFERROR(_xlfn.LET(
_xlpm.CSVVal,_xlfn.XLOOKUP($A143,CSV!$A:$A,CSV!D:D,""),
_xlpm.MacVal,_xlfn.XLOOKUP($A143,Output_Mac!$A:$A,Output_Mac!C:C,""),
_xlpm.MyAuditVal,_xlfn.XLOOKUP($A143,My_Audit!$A:$A,My_Audit!C:C,""),
_xlfn.IFS(_xlpm.MyAuditVal&lt;&gt;"",_xlpm.MyAuditVal,_xlpm.MacVal&lt;&gt;"",_xlpm.MacVal,_xlpm.CSVVal&lt;&gt;"",_xlpm.CSVVal
)),"")</f>
        <v/>
      </c>
      <c r="E143" s="2" t="str">
        <f>_xlfn.XLOOKUP(A143,My_Audit!A:A,My_Audit!D:D,"")</f>
        <v/>
      </c>
      <c r="F143" s="2" t="str" cm="1">
        <f t="array" ref="F143">IFERROR(_xlfn.LET(
_xlpm.CSVVal,_xlfn.XLOOKUP($A143,CSV!$A:$A,CSV!F:F,""),
_xlpm.MacVal,_xlfn.XLOOKUP($A143,Output_Mac!$A:$A,Output_Mac!E:E,""),
_xlpm.MyAuditVal,_xlfn.XLOOKUP($A143,My_Audit!$A:$A,My_Audit!E:E,""),
_xlfn.IFS(_xlpm.MyAuditVal&lt;&gt;"",_xlpm.MyAuditVal,_xlpm.MacVal&lt;&gt;"",_xlpm.MacVal,_xlpm.CSVVal&lt;&gt;"",_xlpm.CSVVal
)),"")</f>
        <v/>
      </c>
      <c r="G143" s="2" t="str" cm="1">
        <f t="array" ref="G143">IFERROR(_xlfn.LET(
_xlpm.CSVVal,_xlfn.XLOOKUP($A143,CSV!$A:$A,CSV!G:G,""),
_xlpm.MacVal,_xlfn.XLOOKUP($A143,Output_Mac!$A:$A,Output_Mac!F:F,""),
_xlpm.MyAuditVal,_xlfn.XLOOKUP($A143,My_Audit!$A:$A,My_Audit!F:F,""),
_xlfn.IFS(_xlpm.MyAuditVal&lt;&gt;"",_xlpm.MyAuditVal,_xlpm.MacVal&lt;&gt;"",_xlpm.MacVal,_xlpm.CSVVal&lt;&gt;"",PROPER(_xlpm.CSVVal)
)),"")</f>
        <v/>
      </c>
      <c r="H143" s="2" t="str" cm="1">
        <f t="array" ref="H143">IFERROR(_xlfn.LET(
_xlpm.CSVVal,_xlfn.XLOOKUP($A143,CSV!$A:$A,CSV!H:H,""),
_xlpm.MacVal,_xlfn.XLOOKUP($A143,Output_Mac!$A:$A,Output_Mac!H:H,""),
_xlpm.MyAuditVal,_xlfn.XLOOKUP($A143,My_Audit!$A:$A,My_Audit!G:G,""),
_xlfn.IFS(_xlpm.MyAuditVal&lt;&gt;"",_xlpm.MyAuditVal,_xlpm.MacVal&lt;&gt;"",_xlpm.MacVal,_xlpm.CSVVal&lt;&gt;"",_xlpm.CSVVal
)),"")</f>
        <v/>
      </c>
      <c r="I143" s="2" t="str">
        <f>_xlfn.XLOOKUP(A143,Output_Mac!A:A,Output_Mac!I:I,"")</f>
        <v/>
      </c>
      <c r="J143" s="2" t="str" cm="1">
        <f t="array" ref="J143">IFERROR(_xlfn.LET(
_xlpm.CSVVal,_xlfn.XLOOKUP($A143,CSV!$A:$A,CSV!I:I,""),
_xlpm.MacVal,_xlfn.XLOOKUP($A143,Output_Mac!$A:$A,Output_Mac!J:J,""),
_xlpm.MyAuditVal,_xlfn.XLOOKUP($A143,My_Audit!$A:$A,My_Audit!I:I,""),
_xlfn.IFS(_xlpm.MyAuditVal&lt;&gt;"",UPPER(_xlpm.MyAuditVal),_xlpm.MacVal&lt;&gt;"",_xlpm.MacVal,_xlpm.CSVVal&lt;&gt;"",_xlpm.CSVVal
)),"")</f>
        <v/>
      </c>
      <c r="K143" s="2" t="str" cm="1">
        <f t="array" ref="K143">IFERROR(_xlfn.LET(
_xlpm.CSVVal,_xlfn.XLOOKUP($A143,CSV!$A:$A,CSV!K:K,""),
_xlpm.MacVal,_xlfn.XLOOKUP($A143,Output_Mac!$A:$A,Output_Mac!K:K,""),
_xlpm.MyAuditVal,_xlfn.XLOOKUP($A143,My_Audit!$A:$A,My_Audit!J:J,""),
_xlfn.IFS(_xlpm.MyAuditVal&lt;&gt;"",UPPER(_xlpm.MyAuditVal),_xlpm.MacVal&lt;&gt;"",_xlpm.MacVal,_xlpm.CSVVal&lt;&gt;"",_xlpm.CSVVal
)),"")</f>
        <v/>
      </c>
      <c r="L143" s="2" t="str" cm="1">
        <f t="array" ref="L143">IFERROR(_xlfn.LET(
_xlpm.CSVVal,_xlfn.XLOOKUP($A143,CSV!$A:$A,CSV!P:P,""),
_xlpm.MacVal,_xlfn.XLOOKUP($A143,Output_Mac!$A:$A,Output_Mac!L:L,""),
_xlpm.MyAuditVal,_xlfn.XLOOKUP($A143,My_Audit!$A:$A,My_Audit!K:K,""),
_xlfn.IFS(_xlpm.MyAuditVal&lt;&gt;"",UPPER(_xlpm.MyAuditVal),_xlpm.MacVal&lt;&gt;"",_xlpm.MacVal,_xlpm.CSVVal&lt;&gt;"",_xlpm.CSVVal
)),"")</f>
        <v/>
      </c>
      <c r="M143" s="2" t="str" cm="1">
        <f t="array" ref="M143">IFERROR(_xlfn.LET(
_xlpm.CSVVal,_xlfn.XLOOKUP($A143,CSV!$A:$A,CSV!Q:Q,""),
_xlpm.MacVal,_xlfn.XLOOKUP($A143,Output_Mac!$A:$A,Output_Mac!M:M,""),
_xlpm.MyAuditVal,_xlfn.XLOOKUP($A143,My_Audit!$A:$A,My_Audit!L:L,""),
_xlfn.IFS(_xlpm.MyAuditVal&lt;&gt;"",UPPER(_xlpm.MyAuditVal),_xlpm.MacVal&lt;&gt;"",_xlpm.MacVal,_xlpm.CSVVal&lt;&gt;"",_xlpm.CSVVal
)),"")</f>
        <v/>
      </c>
      <c r="O143" s="2" t="str">
        <f>_xlfn.LET(
    _xlpm.CSVVal, _xlfn.XLOOKUP($A143, CSV!$A:$A, CSV!AA:AA, ""),
    _xlpm.MacVal, _xlfn.XLOOKUP($A143, Output_Mac!$A:$A, Output_Mac!S:S, ""),
    _xlpm.MyAuditVal, _xlfn.XLOOKUP($A143, My_Audit!$A:$A, My_Audit!P:P, ""),
    _xlfn.TEXTJOIN(", ", TRUE, _xlpm.MyAuditVal, _xlpm.MacVal, _xlpm.CSVVal)
)</f>
        <v/>
      </c>
      <c r="P143" s="2" t="str" cm="1">
        <f t="array" ref="P143">IFERROR(_xlfn.LET(
_xlpm.CSVVal,_xlfn.XLOOKUP($A143,CSV!$A:$A,CSV!AB:AB,""),
_xlpm.MacVal,_xlfn.XLOOKUP($A143,Output_Mac!$A:$A,Output_Mac!T:T,""),
_xlpm.MyAuditVal,_xlfn.XLOOKUP($A143,My_Audit!$A:$A,My_Audit!Q:Q,""),
_xlfn.IFS(_xlpm.MyAuditVal&lt;&gt;"",UPPER(_xlpm.MyAuditVal),_xlpm.MacVal&lt;&gt;"",_xlpm.MacVal,_xlpm.CSVVal&lt;&gt;"",_xlpm.CSVVal
)),"No")</f>
        <v>No</v>
      </c>
      <c r="Q143" s="2" t="str" cm="1">
        <f t="array" ref="Q143">IFERROR(_xlfn.LET(
_xlpm.CSVVal,_xlfn.XLOOKUP($A143,CSV!$A:$A,CSV!AC:AC,""),
_xlpm.MacVal,_xlfn.XLOOKUP($A143,Output_Mac!$A:$A,Output_Mac!U:U,""),
_xlpm.MyAuditVal,_xlfn.XLOOKUP($A143,My_Audit!$A:$A,My_Audit!R:R,""),
_xlfn.IFS(_xlpm.MyAuditVal&lt;&gt;"",UPPER(_xlpm.MyAuditVal),_xlpm.MacVal&lt;&gt;"",_xlpm.MacVal,_xlpm.CSVVal&lt;&gt;"",_xlpm.CSVVal
)),"")</f>
        <v/>
      </c>
      <c r="X143" t="str">
        <f>_xlfn.LET(
    _xlpm.MacVal, _xlfn.XLOOKUP($A143, Output_Mac!$A:$A, Output_Mac!AB:AB, ""),
    _xlpm.MyAuditVal, _xlfn.XLOOKUP($A143, My_Audit!$A:$A, My_Audit!N:N, ""),
    _xlfn.TEXTJOIN(", ", TRUE, _xlpm.MyAuditVal, _xlpm.MacVal)
)</f>
        <v/>
      </c>
    </row>
    <row r="144" spans="1:24">
      <c r="A144" s="2" t="str">
        <f>_xlfn.TEXTJOIN("",TRUE,Input!$B$2,ROW(My_Audit!A143))</f>
        <v>X143</v>
      </c>
      <c r="B144" s="2" t="str">
        <f>_xlfn.TEXTJOIN("-",TRUE,"ITD",Input!$A$2,A144)</f>
        <v>ITD-SHR-X143</v>
      </c>
      <c r="C144" s="2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2" t="str" cm="1">
        <f t="array" ref="D144">IFERROR(_xlfn.LET(
_xlpm.CSVVal,_xlfn.XLOOKUP($A144,CSV!$A:$A,CSV!D:D,""),
_xlpm.MacVal,_xlfn.XLOOKUP($A144,Output_Mac!$A:$A,Output_Mac!C:C,""),
_xlpm.MyAuditVal,_xlfn.XLOOKUP($A144,My_Audit!$A:$A,My_Audit!C:C,""),
_xlfn.IFS(_xlpm.MyAuditVal&lt;&gt;"",_xlpm.MyAuditVal,_xlpm.MacVal&lt;&gt;"",_xlpm.MacVal,_xlpm.CSVVal&lt;&gt;"",_xlpm.CSVVal
)),"")</f>
        <v/>
      </c>
      <c r="E144" s="2" t="str">
        <f>_xlfn.XLOOKUP(A144,My_Audit!A:A,My_Audit!D:D,"")</f>
        <v/>
      </c>
      <c r="F144" s="2" t="str" cm="1">
        <f t="array" ref="F144">IFERROR(_xlfn.LET(
_xlpm.CSVVal,_xlfn.XLOOKUP($A144,CSV!$A:$A,CSV!F:F,""),
_xlpm.MacVal,_xlfn.XLOOKUP($A144,Output_Mac!$A:$A,Output_Mac!E:E,""),
_xlpm.MyAuditVal,_xlfn.XLOOKUP($A144,My_Audit!$A:$A,My_Audit!E:E,""),
_xlfn.IFS(_xlpm.MyAuditVal&lt;&gt;"",_xlpm.MyAuditVal,_xlpm.MacVal&lt;&gt;"",_xlpm.MacVal,_xlpm.CSVVal&lt;&gt;"",_xlpm.CSVVal
)),"")</f>
        <v/>
      </c>
      <c r="G144" s="2" t="str" cm="1">
        <f t="array" ref="G144">IFERROR(_xlfn.LET(
_xlpm.CSVVal,_xlfn.XLOOKUP($A144,CSV!$A:$A,CSV!G:G,""),
_xlpm.MacVal,_xlfn.XLOOKUP($A144,Output_Mac!$A:$A,Output_Mac!F:F,""),
_xlpm.MyAuditVal,_xlfn.XLOOKUP($A144,My_Audit!$A:$A,My_Audit!F:F,""),
_xlfn.IFS(_xlpm.MyAuditVal&lt;&gt;"",_xlpm.MyAuditVal,_xlpm.MacVal&lt;&gt;"",_xlpm.MacVal,_xlpm.CSVVal&lt;&gt;"",PROPER(_xlpm.CSVVal)
)),"")</f>
        <v/>
      </c>
      <c r="H144" s="2" t="str" cm="1">
        <f t="array" ref="H144">IFERROR(_xlfn.LET(
_xlpm.CSVVal,_xlfn.XLOOKUP($A144,CSV!$A:$A,CSV!H:H,""),
_xlpm.MacVal,_xlfn.XLOOKUP($A144,Output_Mac!$A:$A,Output_Mac!H:H,""),
_xlpm.MyAuditVal,_xlfn.XLOOKUP($A144,My_Audit!$A:$A,My_Audit!G:G,""),
_xlfn.IFS(_xlpm.MyAuditVal&lt;&gt;"",_xlpm.MyAuditVal,_xlpm.MacVal&lt;&gt;"",_xlpm.MacVal,_xlpm.CSVVal&lt;&gt;"",_xlpm.CSVVal
)),"")</f>
        <v/>
      </c>
      <c r="I144" s="2" t="str">
        <f>_xlfn.XLOOKUP(A144,Output_Mac!A:A,Output_Mac!I:I,"")</f>
        <v/>
      </c>
      <c r="J144" s="2" t="str" cm="1">
        <f t="array" ref="J144">IFERROR(_xlfn.LET(
_xlpm.CSVVal,_xlfn.XLOOKUP($A144,CSV!$A:$A,CSV!I:I,""),
_xlpm.MacVal,_xlfn.XLOOKUP($A144,Output_Mac!$A:$A,Output_Mac!J:J,""),
_xlpm.MyAuditVal,_xlfn.XLOOKUP($A144,My_Audit!$A:$A,My_Audit!I:I,""),
_xlfn.IFS(_xlpm.MyAuditVal&lt;&gt;"",UPPER(_xlpm.MyAuditVal),_xlpm.MacVal&lt;&gt;"",_xlpm.MacVal,_xlpm.CSVVal&lt;&gt;"",_xlpm.CSVVal
)),"")</f>
        <v/>
      </c>
      <c r="K144" s="2" t="str" cm="1">
        <f t="array" ref="K144">IFERROR(_xlfn.LET(
_xlpm.CSVVal,_xlfn.XLOOKUP($A144,CSV!$A:$A,CSV!K:K,""),
_xlpm.MacVal,_xlfn.XLOOKUP($A144,Output_Mac!$A:$A,Output_Mac!K:K,""),
_xlpm.MyAuditVal,_xlfn.XLOOKUP($A144,My_Audit!$A:$A,My_Audit!J:J,""),
_xlfn.IFS(_xlpm.MyAuditVal&lt;&gt;"",UPPER(_xlpm.MyAuditVal),_xlpm.MacVal&lt;&gt;"",_xlpm.MacVal,_xlpm.CSVVal&lt;&gt;"",_xlpm.CSVVal
)),"")</f>
        <v/>
      </c>
      <c r="L144" s="2" t="str" cm="1">
        <f t="array" ref="L144">IFERROR(_xlfn.LET(
_xlpm.CSVVal,_xlfn.XLOOKUP($A144,CSV!$A:$A,CSV!P:P,""),
_xlpm.MacVal,_xlfn.XLOOKUP($A144,Output_Mac!$A:$A,Output_Mac!L:L,""),
_xlpm.MyAuditVal,_xlfn.XLOOKUP($A144,My_Audit!$A:$A,My_Audit!K:K,""),
_xlfn.IFS(_xlpm.MyAuditVal&lt;&gt;"",UPPER(_xlpm.MyAuditVal),_xlpm.MacVal&lt;&gt;"",_xlpm.MacVal,_xlpm.CSVVal&lt;&gt;"",_xlpm.CSVVal
)),"")</f>
        <v/>
      </c>
      <c r="M144" s="2" t="str" cm="1">
        <f t="array" ref="M144">IFERROR(_xlfn.LET(
_xlpm.CSVVal,_xlfn.XLOOKUP($A144,CSV!$A:$A,CSV!Q:Q,""),
_xlpm.MacVal,_xlfn.XLOOKUP($A144,Output_Mac!$A:$A,Output_Mac!M:M,""),
_xlpm.MyAuditVal,_xlfn.XLOOKUP($A144,My_Audit!$A:$A,My_Audit!L:L,""),
_xlfn.IFS(_xlpm.MyAuditVal&lt;&gt;"",UPPER(_xlpm.MyAuditVal),_xlpm.MacVal&lt;&gt;"",_xlpm.MacVal,_xlpm.CSVVal&lt;&gt;"",_xlpm.CSVVal
)),"")</f>
        <v/>
      </c>
      <c r="O144" s="2" t="str">
        <f>_xlfn.LET(
    _xlpm.CSVVal, _xlfn.XLOOKUP($A144, CSV!$A:$A, CSV!AA:AA, ""),
    _xlpm.MacVal, _xlfn.XLOOKUP($A144, Output_Mac!$A:$A, Output_Mac!S:S, ""),
    _xlpm.MyAuditVal, _xlfn.XLOOKUP($A144, My_Audit!$A:$A, My_Audit!P:P, ""),
    _xlfn.TEXTJOIN(", ", TRUE, _xlpm.MyAuditVal, _xlpm.MacVal, _xlpm.CSVVal)
)</f>
        <v/>
      </c>
      <c r="P144" s="2" t="str" cm="1">
        <f t="array" ref="P144">IFERROR(_xlfn.LET(
_xlpm.CSVVal,_xlfn.XLOOKUP($A144,CSV!$A:$A,CSV!AB:AB,""),
_xlpm.MacVal,_xlfn.XLOOKUP($A144,Output_Mac!$A:$A,Output_Mac!T:T,""),
_xlpm.MyAuditVal,_xlfn.XLOOKUP($A144,My_Audit!$A:$A,My_Audit!Q:Q,""),
_xlfn.IFS(_xlpm.MyAuditVal&lt;&gt;"",UPPER(_xlpm.MyAuditVal),_xlpm.MacVal&lt;&gt;"",_xlpm.MacVal,_xlpm.CSVVal&lt;&gt;"",_xlpm.CSVVal
)),"No")</f>
        <v>No</v>
      </c>
      <c r="Q144" s="2" t="str" cm="1">
        <f t="array" ref="Q144">IFERROR(_xlfn.LET(
_xlpm.CSVVal,_xlfn.XLOOKUP($A144,CSV!$A:$A,CSV!AC:AC,""),
_xlpm.MacVal,_xlfn.XLOOKUP($A144,Output_Mac!$A:$A,Output_Mac!U:U,""),
_xlpm.MyAuditVal,_xlfn.XLOOKUP($A144,My_Audit!$A:$A,My_Audit!R:R,""),
_xlfn.IFS(_xlpm.MyAuditVal&lt;&gt;"",UPPER(_xlpm.MyAuditVal),_xlpm.MacVal&lt;&gt;"",_xlpm.MacVal,_xlpm.CSVVal&lt;&gt;"",_xlpm.CSVVal
)),"")</f>
        <v/>
      </c>
      <c r="X144" t="str">
        <f>_xlfn.LET(
    _xlpm.MacVal, _xlfn.XLOOKUP($A144, Output_Mac!$A:$A, Output_Mac!AB:AB, ""),
    _xlpm.MyAuditVal, _xlfn.XLOOKUP($A144, My_Audit!$A:$A, My_Audit!N:N, ""),
    _xlfn.TEXTJOIN(", ", TRUE, _xlpm.MyAuditVal, _xlpm.MacVal)
)</f>
        <v/>
      </c>
    </row>
    <row r="145" spans="1:24">
      <c r="A145" s="2" t="str">
        <f>_xlfn.TEXTJOIN("",TRUE,Input!$B$2,ROW(My_Audit!A144))</f>
        <v>X144</v>
      </c>
      <c r="B145" s="2" t="str">
        <f>_xlfn.TEXTJOIN("-",TRUE,"ITD",Input!$A$2,A145)</f>
        <v>ITD-SHR-X144</v>
      </c>
      <c r="C145" s="2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2" t="str" cm="1">
        <f t="array" ref="D145">IFERROR(_xlfn.LET(
_xlpm.CSVVal,_xlfn.XLOOKUP($A145,CSV!$A:$A,CSV!D:D,""),
_xlpm.MacVal,_xlfn.XLOOKUP($A145,Output_Mac!$A:$A,Output_Mac!C:C,""),
_xlpm.MyAuditVal,_xlfn.XLOOKUP($A145,My_Audit!$A:$A,My_Audit!C:C,""),
_xlfn.IFS(_xlpm.MyAuditVal&lt;&gt;"",_xlpm.MyAuditVal,_xlpm.MacVal&lt;&gt;"",_xlpm.MacVal,_xlpm.CSVVal&lt;&gt;"",_xlpm.CSVVal
)),"")</f>
        <v/>
      </c>
      <c r="E145" s="2" t="str">
        <f>_xlfn.XLOOKUP(A145,My_Audit!A:A,My_Audit!D:D,"")</f>
        <v/>
      </c>
      <c r="F145" s="2" t="str" cm="1">
        <f t="array" ref="F145">IFERROR(_xlfn.LET(
_xlpm.CSVVal,_xlfn.XLOOKUP($A145,CSV!$A:$A,CSV!F:F,""),
_xlpm.MacVal,_xlfn.XLOOKUP($A145,Output_Mac!$A:$A,Output_Mac!E:E,""),
_xlpm.MyAuditVal,_xlfn.XLOOKUP($A145,My_Audit!$A:$A,My_Audit!E:E,""),
_xlfn.IFS(_xlpm.MyAuditVal&lt;&gt;"",_xlpm.MyAuditVal,_xlpm.MacVal&lt;&gt;"",_xlpm.MacVal,_xlpm.CSVVal&lt;&gt;"",_xlpm.CSVVal
)),"")</f>
        <v/>
      </c>
      <c r="G145" s="2" t="str" cm="1">
        <f t="array" ref="G145">IFERROR(_xlfn.LET(
_xlpm.CSVVal,_xlfn.XLOOKUP($A145,CSV!$A:$A,CSV!G:G,""),
_xlpm.MacVal,_xlfn.XLOOKUP($A145,Output_Mac!$A:$A,Output_Mac!F:F,""),
_xlpm.MyAuditVal,_xlfn.XLOOKUP($A145,My_Audit!$A:$A,My_Audit!F:F,""),
_xlfn.IFS(_xlpm.MyAuditVal&lt;&gt;"",_xlpm.MyAuditVal,_xlpm.MacVal&lt;&gt;"",_xlpm.MacVal,_xlpm.CSVVal&lt;&gt;"",PROPER(_xlpm.CSVVal)
)),"")</f>
        <v/>
      </c>
      <c r="H145" s="2" t="str" cm="1">
        <f t="array" ref="H145">IFERROR(_xlfn.LET(
_xlpm.CSVVal,_xlfn.XLOOKUP($A145,CSV!$A:$A,CSV!H:H,""),
_xlpm.MacVal,_xlfn.XLOOKUP($A145,Output_Mac!$A:$A,Output_Mac!H:H,""),
_xlpm.MyAuditVal,_xlfn.XLOOKUP($A145,My_Audit!$A:$A,My_Audit!G:G,""),
_xlfn.IFS(_xlpm.MyAuditVal&lt;&gt;"",_xlpm.MyAuditVal,_xlpm.MacVal&lt;&gt;"",_xlpm.MacVal,_xlpm.CSVVal&lt;&gt;"",_xlpm.CSVVal
)),"")</f>
        <v/>
      </c>
      <c r="I145" s="2" t="str">
        <f>_xlfn.XLOOKUP(A145,Output_Mac!A:A,Output_Mac!I:I,"")</f>
        <v/>
      </c>
      <c r="J145" s="2" t="str" cm="1">
        <f t="array" ref="J145">IFERROR(_xlfn.LET(
_xlpm.CSVVal,_xlfn.XLOOKUP($A145,CSV!$A:$A,CSV!I:I,""),
_xlpm.MacVal,_xlfn.XLOOKUP($A145,Output_Mac!$A:$A,Output_Mac!J:J,""),
_xlpm.MyAuditVal,_xlfn.XLOOKUP($A145,My_Audit!$A:$A,My_Audit!I:I,""),
_xlfn.IFS(_xlpm.MyAuditVal&lt;&gt;"",UPPER(_xlpm.MyAuditVal),_xlpm.MacVal&lt;&gt;"",_xlpm.MacVal,_xlpm.CSVVal&lt;&gt;"",_xlpm.CSVVal
)),"")</f>
        <v/>
      </c>
      <c r="K145" s="2" t="str" cm="1">
        <f t="array" ref="K145">IFERROR(_xlfn.LET(
_xlpm.CSVVal,_xlfn.XLOOKUP($A145,CSV!$A:$A,CSV!K:K,""),
_xlpm.MacVal,_xlfn.XLOOKUP($A145,Output_Mac!$A:$A,Output_Mac!K:K,""),
_xlpm.MyAuditVal,_xlfn.XLOOKUP($A145,My_Audit!$A:$A,My_Audit!J:J,""),
_xlfn.IFS(_xlpm.MyAuditVal&lt;&gt;"",UPPER(_xlpm.MyAuditVal),_xlpm.MacVal&lt;&gt;"",_xlpm.MacVal,_xlpm.CSVVal&lt;&gt;"",_xlpm.CSVVal
)),"")</f>
        <v/>
      </c>
      <c r="L145" s="2" t="str" cm="1">
        <f t="array" ref="L145">IFERROR(_xlfn.LET(
_xlpm.CSVVal,_xlfn.XLOOKUP($A145,CSV!$A:$A,CSV!P:P,""),
_xlpm.MacVal,_xlfn.XLOOKUP($A145,Output_Mac!$A:$A,Output_Mac!L:L,""),
_xlpm.MyAuditVal,_xlfn.XLOOKUP($A145,My_Audit!$A:$A,My_Audit!K:K,""),
_xlfn.IFS(_xlpm.MyAuditVal&lt;&gt;"",UPPER(_xlpm.MyAuditVal),_xlpm.MacVal&lt;&gt;"",_xlpm.MacVal,_xlpm.CSVVal&lt;&gt;"",_xlpm.CSVVal
)),"")</f>
        <v/>
      </c>
      <c r="M145" s="2" t="str" cm="1">
        <f t="array" ref="M145">IFERROR(_xlfn.LET(
_xlpm.CSVVal,_xlfn.XLOOKUP($A145,CSV!$A:$A,CSV!Q:Q,""),
_xlpm.MacVal,_xlfn.XLOOKUP($A145,Output_Mac!$A:$A,Output_Mac!M:M,""),
_xlpm.MyAuditVal,_xlfn.XLOOKUP($A145,My_Audit!$A:$A,My_Audit!L:L,""),
_xlfn.IFS(_xlpm.MyAuditVal&lt;&gt;"",UPPER(_xlpm.MyAuditVal),_xlpm.MacVal&lt;&gt;"",_xlpm.MacVal,_xlpm.CSVVal&lt;&gt;"",_xlpm.CSVVal
)),"")</f>
        <v/>
      </c>
      <c r="O145" s="2" t="str">
        <f>_xlfn.LET(
    _xlpm.CSVVal, _xlfn.XLOOKUP($A145, CSV!$A:$A, CSV!AA:AA, ""),
    _xlpm.MacVal, _xlfn.XLOOKUP($A145, Output_Mac!$A:$A, Output_Mac!S:S, ""),
    _xlpm.MyAuditVal, _xlfn.XLOOKUP($A145, My_Audit!$A:$A, My_Audit!P:P, ""),
    _xlfn.TEXTJOIN(", ", TRUE, _xlpm.MyAuditVal, _xlpm.MacVal, _xlpm.CSVVal)
)</f>
        <v/>
      </c>
      <c r="P145" s="2" t="str" cm="1">
        <f t="array" ref="P145">IFERROR(_xlfn.LET(
_xlpm.CSVVal,_xlfn.XLOOKUP($A145,CSV!$A:$A,CSV!AB:AB,""),
_xlpm.MacVal,_xlfn.XLOOKUP($A145,Output_Mac!$A:$A,Output_Mac!T:T,""),
_xlpm.MyAuditVal,_xlfn.XLOOKUP($A145,My_Audit!$A:$A,My_Audit!Q:Q,""),
_xlfn.IFS(_xlpm.MyAuditVal&lt;&gt;"",UPPER(_xlpm.MyAuditVal),_xlpm.MacVal&lt;&gt;"",_xlpm.MacVal,_xlpm.CSVVal&lt;&gt;"",_xlpm.CSVVal
)),"No")</f>
        <v>No</v>
      </c>
      <c r="Q145" s="2" t="str" cm="1">
        <f t="array" ref="Q145">IFERROR(_xlfn.LET(
_xlpm.CSVVal,_xlfn.XLOOKUP($A145,CSV!$A:$A,CSV!AC:AC,""),
_xlpm.MacVal,_xlfn.XLOOKUP($A145,Output_Mac!$A:$A,Output_Mac!U:U,""),
_xlpm.MyAuditVal,_xlfn.XLOOKUP($A145,My_Audit!$A:$A,My_Audit!R:R,""),
_xlfn.IFS(_xlpm.MyAuditVal&lt;&gt;"",UPPER(_xlpm.MyAuditVal),_xlpm.MacVal&lt;&gt;"",_xlpm.MacVal,_xlpm.CSVVal&lt;&gt;"",_xlpm.CSVVal
)),"")</f>
        <v/>
      </c>
      <c r="X145" t="str">
        <f>_xlfn.LET(
    _xlpm.MacVal, _xlfn.XLOOKUP($A145, Output_Mac!$A:$A, Output_Mac!AB:AB, ""),
    _xlpm.MyAuditVal, _xlfn.XLOOKUP($A145, My_Audit!$A:$A, My_Audit!N:N, ""),
    _xlfn.TEXTJOIN(", ", TRUE, _xlpm.MyAuditVal, _xlpm.MacVal)
)</f>
        <v/>
      </c>
    </row>
    <row r="146" spans="1:24">
      <c r="A146" s="2" t="str">
        <f>_xlfn.TEXTJOIN("",TRUE,Input!$B$2,ROW(My_Audit!A145))</f>
        <v>X145</v>
      </c>
      <c r="B146" s="2" t="str">
        <f>_xlfn.TEXTJOIN("-",TRUE,"ITD",Input!$A$2,A146)</f>
        <v>ITD-SHR-X145</v>
      </c>
      <c r="C146" s="2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2" t="str" cm="1">
        <f t="array" ref="D146">IFERROR(_xlfn.LET(
_xlpm.CSVVal,_xlfn.XLOOKUP($A146,CSV!$A:$A,CSV!D:D,""),
_xlpm.MacVal,_xlfn.XLOOKUP($A146,Output_Mac!$A:$A,Output_Mac!C:C,""),
_xlpm.MyAuditVal,_xlfn.XLOOKUP($A146,My_Audit!$A:$A,My_Audit!C:C,""),
_xlfn.IFS(_xlpm.MyAuditVal&lt;&gt;"",_xlpm.MyAuditVal,_xlpm.MacVal&lt;&gt;"",_xlpm.MacVal,_xlpm.CSVVal&lt;&gt;"",_xlpm.CSVVal
)),"")</f>
        <v/>
      </c>
      <c r="E146" s="2" t="str">
        <f>_xlfn.XLOOKUP(A146,My_Audit!A:A,My_Audit!D:D,"")</f>
        <v/>
      </c>
      <c r="F146" s="2" t="str" cm="1">
        <f t="array" ref="F146">IFERROR(_xlfn.LET(
_xlpm.CSVVal,_xlfn.XLOOKUP($A146,CSV!$A:$A,CSV!F:F,""),
_xlpm.MacVal,_xlfn.XLOOKUP($A146,Output_Mac!$A:$A,Output_Mac!E:E,""),
_xlpm.MyAuditVal,_xlfn.XLOOKUP($A146,My_Audit!$A:$A,My_Audit!E:E,""),
_xlfn.IFS(_xlpm.MyAuditVal&lt;&gt;"",_xlpm.MyAuditVal,_xlpm.MacVal&lt;&gt;"",_xlpm.MacVal,_xlpm.CSVVal&lt;&gt;"",_xlpm.CSVVal
)),"")</f>
        <v/>
      </c>
      <c r="G146" s="2" t="str" cm="1">
        <f t="array" ref="G146">IFERROR(_xlfn.LET(
_xlpm.CSVVal,_xlfn.XLOOKUP($A146,CSV!$A:$A,CSV!G:G,""),
_xlpm.MacVal,_xlfn.XLOOKUP($A146,Output_Mac!$A:$A,Output_Mac!F:F,""),
_xlpm.MyAuditVal,_xlfn.XLOOKUP($A146,My_Audit!$A:$A,My_Audit!F:F,""),
_xlfn.IFS(_xlpm.MyAuditVal&lt;&gt;"",_xlpm.MyAuditVal,_xlpm.MacVal&lt;&gt;"",_xlpm.MacVal,_xlpm.CSVVal&lt;&gt;"",PROPER(_xlpm.CSVVal)
)),"")</f>
        <v/>
      </c>
      <c r="H146" s="2" t="str" cm="1">
        <f t="array" ref="H146">IFERROR(_xlfn.LET(
_xlpm.CSVVal,_xlfn.XLOOKUP($A146,CSV!$A:$A,CSV!H:H,""),
_xlpm.MacVal,_xlfn.XLOOKUP($A146,Output_Mac!$A:$A,Output_Mac!H:H,""),
_xlpm.MyAuditVal,_xlfn.XLOOKUP($A146,My_Audit!$A:$A,My_Audit!G:G,""),
_xlfn.IFS(_xlpm.MyAuditVal&lt;&gt;"",_xlpm.MyAuditVal,_xlpm.MacVal&lt;&gt;"",_xlpm.MacVal,_xlpm.CSVVal&lt;&gt;"",_xlpm.CSVVal
)),"")</f>
        <v/>
      </c>
      <c r="I146" s="2" t="str">
        <f>_xlfn.XLOOKUP(A146,Output_Mac!A:A,Output_Mac!I:I,"")</f>
        <v/>
      </c>
      <c r="J146" s="2" t="str" cm="1">
        <f t="array" ref="J146">IFERROR(_xlfn.LET(
_xlpm.CSVVal,_xlfn.XLOOKUP($A146,CSV!$A:$A,CSV!I:I,""),
_xlpm.MacVal,_xlfn.XLOOKUP($A146,Output_Mac!$A:$A,Output_Mac!J:J,""),
_xlpm.MyAuditVal,_xlfn.XLOOKUP($A146,My_Audit!$A:$A,My_Audit!I:I,""),
_xlfn.IFS(_xlpm.MyAuditVal&lt;&gt;"",UPPER(_xlpm.MyAuditVal),_xlpm.MacVal&lt;&gt;"",_xlpm.MacVal,_xlpm.CSVVal&lt;&gt;"",_xlpm.CSVVal
)),"")</f>
        <v/>
      </c>
      <c r="K146" s="2" t="str" cm="1">
        <f t="array" ref="K146">IFERROR(_xlfn.LET(
_xlpm.CSVVal,_xlfn.XLOOKUP($A146,CSV!$A:$A,CSV!K:K,""),
_xlpm.MacVal,_xlfn.XLOOKUP($A146,Output_Mac!$A:$A,Output_Mac!K:K,""),
_xlpm.MyAuditVal,_xlfn.XLOOKUP($A146,My_Audit!$A:$A,My_Audit!J:J,""),
_xlfn.IFS(_xlpm.MyAuditVal&lt;&gt;"",UPPER(_xlpm.MyAuditVal),_xlpm.MacVal&lt;&gt;"",_xlpm.MacVal,_xlpm.CSVVal&lt;&gt;"",_xlpm.CSVVal
)),"")</f>
        <v/>
      </c>
      <c r="L146" s="2" t="str" cm="1">
        <f t="array" ref="L146">IFERROR(_xlfn.LET(
_xlpm.CSVVal,_xlfn.XLOOKUP($A146,CSV!$A:$A,CSV!P:P,""),
_xlpm.MacVal,_xlfn.XLOOKUP($A146,Output_Mac!$A:$A,Output_Mac!L:L,""),
_xlpm.MyAuditVal,_xlfn.XLOOKUP($A146,My_Audit!$A:$A,My_Audit!K:K,""),
_xlfn.IFS(_xlpm.MyAuditVal&lt;&gt;"",UPPER(_xlpm.MyAuditVal),_xlpm.MacVal&lt;&gt;"",_xlpm.MacVal,_xlpm.CSVVal&lt;&gt;"",_xlpm.CSVVal
)),"")</f>
        <v/>
      </c>
      <c r="M146" s="2" t="str" cm="1">
        <f t="array" ref="M146">IFERROR(_xlfn.LET(
_xlpm.CSVVal,_xlfn.XLOOKUP($A146,CSV!$A:$A,CSV!Q:Q,""),
_xlpm.MacVal,_xlfn.XLOOKUP($A146,Output_Mac!$A:$A,Output_Mac!M:M,""),
_xlpm.MyAuditVal,_xlfn.XLOOKUP($A146,My_Audit!$A:$A,My_Audit!L:L,""),
_xlfn.IFS(_xlpm.MyAuditVal&lt;&gt;"",UPPER(_xlpm.MyAuditVal),_xlpm.MacVal&lt;&gt;"",_xlpm.MacVal,_xlpm.CSVVal&lt;&gt;"",_xlpm.CSVVal
)),"")</f>
        <v/>
      </c>
      <c r="O146" s="2" t="str">
        <f>_xlfn.LET(
    _xlpm.CSVVal, _xlfn.XLOOKUP($A146, CSV!$A:$A, CSV!AA:AA, ""),
    _xlpm.MacVal, _xlfn.XLOOKUP($A146, Output_Mac!$A:$A, Output_Mac!S:S, ""),
    _xlpm.MyAuditVal, _xlfn.XLOOKUP($A146, My_Audit!$A:$A, My_Audit!P:P, ""),
    _xlfn.TEXTJOIN(", ", TRUE, _xlpm.MyAuditVal, _xlpm.MacVal, _xlpm.CSVVal)
)</f>
        <v/>
      </c>
      <c r="P146" s="2" t="str" cm="1">
        <f t="array" ref="P146">IFERROR(_xlfn.LET(
_xlpm.CSVVal,_xlfn.XLOOKUP($A146,CSV!$A:$A,CSV!AB:AB,""),
_xlpm.MacVal,_xlfn.XLOOKUP($A146,Output_Mac!$A:$A,Output_Mac!T:T,""),
_xlpm.MyAuditVal,_xlfn.XLOOKUP($A146,My_Audit!$A:$A,My_Audit!Q:Q,""),
_xlfn.IFS(_xlpm.MyAuditVal&lt;&gt;"",UPPER(_xlpm.MyAuditVal),_xlpm.MacVal&lt;&gt;"",_xlpm.MacVal,_xlpm.CSVVal&lt;&gt;"",_xlpm.CSVVal
)),"No")</f>
        <v>No</v>
      </c>
      <c r="Q146" s="2" t="str" cm="1">
        <f t="array" ref="Q146">IFERROR(_xlfn.LET(
_xlpm.CSVVal,_xlfn.XLOOKUP($A146,CSV!$A:$A,CSV!AC:AC,""),
_xlpm.MacVal,_xlfn.XLOOKUP($A146,Output_Mac!$A:$A,Output_Mac!U:U,""),
_xlpm.MyAuditVal,_xlfn.XLOOKUP($A146,My_Audit!$A:$A,My_Audit!R:R,""),
_xlfn.IFS(_xlpm.MyAuditVal&lt;&gt;"",UPPER(_xlpm.MyAuditVal),_xlpm.MacVal&lt;&gt;"",_xlpm.MacVal,_xlpm.CSVVal&lt;&gt;"",_xlpm.CSVVal
)),"")</f>
        <v/>
      </c>
      <c r="X146" t="str">
        <f>_xlfn.LET(
    _xlpm.MacVal, _xlfn.XLOOKUP($A146, Output_Mac!$A:$A, Output_Mac!AB:AB, ""),
    _xlpm.MyAuditVal, _xlfn.XLOOKUP($A146, My_Audit!$A:$A, My_Audit!N:N, ""),
    _xlfn.TEXTJOIN(", ", TRUE, _xlpm.MyAuditVal, _xlpm.MacVal)
)</f>
        <v/>
      </c>
    </row>
    <row r="147" spans="1:24">
      <c r="A147" s="2" t="str">
        <f>_xlfn.TEXTJOIN("",TRUE,Input!$B$2,ROW(My_Audit!A146))</f>
        <v>X146</v>
      </c>
      <c r="B147" s="2" t="str">
        <f>_xlfn.TEXTJOIN("-",TRUE,"ITD",Input!$A$2,A147)</f>
        <v>ITD-SHR-X146</v>
      </c>
      <c r="C147" s="2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2" t="str" cm="1">
        <f t="array" ref="D147">IFERROR(_xlfn.LET(
_xlpm.CSVVal,_xlfn.XLOOKUP($A147,CSV!$A:$A,CSV!D:D,""),
_xlpm.MacVal,_xlfn.XLOOKUP($A147,Output_Mac!$A:$A,Output_Mac!C:C,""),
_xlpm.MyAuditVal,_xlfn.XLOOKUP($A147,My_Audit!$A:$A,My_Audit!C:C,""),
_xlfn.IFS(_xlpm.MyAuditVal&lt;&gt;"",_xlpm.MyAuditVal,_xlpm.MacVal&lt;&gt;"",_xlpm.MacVal,_xlpm.CSVVal&lt;&gt;"",_xlpm.CSVVal
)),"")</f>
        <v/>
      </c>
      <c r="E147" s="2" t="str">
        <f>_xlfn.XLOOKUP(A147,My_Audit!A:A,My_Audit!D:D,"")</f>
        <v/>
      </c>
      <c r="F147" s="2" t="str" cm="1">
        <f t="array" ref="F147">IFERROR(_xlfn.LET(
_xlpm.CSVVal,_xlfn.XLOOKUP($A147,CSV!$A:$A,CSV!F:F,""),
_xlpm.MacVal,_xlfn.XLOOKUP($A147,Output_Mac!$A:$A,Output_Mac!E:E,""),
_xlpm.MyAuditVal,_xlfn.XLOOKUP($A147,My_Audit!$A:$A,My_Audit!E:E,""),
_xlfn.IFS(_xlpm.MyAuditVal&lt;&gt;"",_xlpm.MyAuditVal,_xlpm.MacVal&lt;&gt;"",_xlpm.MacVal,_xlpm.CSVVal&lt;&gt;"",_xlpm.CSVVal
)),"")</f>
        <v/>
      </c>
      <c r="G147" s="2" t="str" cm="1">
        <f t="array" ref="G147">IFERROR(_xlfn.LET(
_xlpm.CSVVal,_xlfn.XLOOKUP($A147,CSV!$A:$A,CSV!G:G,""),
_xlpm.MacVal,_xlfn.XLOOKUP($A147,Output_Mac!$A:$A,Output_Mac!F:F,""),
_xlpm.MyAuditVal,_xlfn.XLOOKUP($A147,My_Audit!$A:$A,My_Audit!F:F,""),
_xlfn.IFS(_xlpm.MyAuditVal&lt;&gt;"",_xlpm.MyAuditVal,_xlpm.MacVal&lt;&gt;"",_xlpm.MacVal,_xlpm.CSVVal&lt;&gt;"",PROPER(_xlpm.CSVVal)
)),"")</f>
        <v/>
      </c>
      <c r="H147" s="2" t="str" cm="1">
        <f t="array" ref="H147">IFERROR(_xlfn.LET(
_xlpm.CSVVal,_xlfn.XLOOKUP($A147,CSV!$A:$A,CSV!H:H,""),
_xlpm.MacVal,_xlfn.XLOOKUP($A147,Output_Mac!$A:$A,Output_Mac!H:H,""),
_xlpm.MyAuditVal,_xlfn.XLOOKUP($A147,My_Audit!$A:$A,My_Audit!G:G,""),
_xlfn.IFS(_xlpm.MyAuditVal&lt;&gt;"",_xlpm.MyAuditVal,_xlpm.MacVal&lt;&gt;"",_xlpm.MacVal,_xlpm.CSVVal&lt;&gt;"",_xlpm.CSVVal
)),"")</f>
        <v/>
      </c>
      <c r="I147" s="2" t="str">
        <f>_xlfn.XLOOKUP(A147,Output_Mac!A:A,Output_Mac!I:I,"")</f>
        <v/>
      </c>
      <c r="J147" s="2" t="str" cm="1">
        <f t="array" ref="J147">IFERROR(_xlfn.LET(
_xlpm.CSVVal,_xlfn.XLOOKUP($A147,CSV!$A:$A,CSV!I:I,""),
_xlpm.MacVal,_xlfn.XLOOKUP($A147,Output_Mac!$A:$A,Output_Mac!J:J,""),
_xlpm.MyAuditVal,_xlfn.XLOOKUP($A147,My_Audit!$A:$A,My_Audit!I:I,""),
_xlfn.IFS(_xlpm.MyAuditVal&lt;&gt;"",UPPER(_xlpm.MyAuditVal),_xlpm.MacVal&lt;&gt;"",_xlpm.MacVal,_xlpm.CSVVal&lt;&gt;"",_xlpm.CSVVal
)),"")</f>
        <v/>
      </c>
      <c r="K147" s="2" t="str" cm="1">
        <f t="array" ref="K147">IFERROR(_xlfn.LET(
_xlpm.CSVVal,_xlfn.XLOOKUP($A147,CSV!$A:$A,CSV!K:K,""),
_xlpm.MacVal,_xlfn.XLOOKUP($A147,Output_Mac!$A:$A,Output_Mac!K:K,""),
_xlpm.MyAuditVal,_xlfn.XLOOKUP($A147,My_Audit!$A:$A,My_Audit!J:J,""),
_xlfn.IFS(_xlpm.MyAuditVal&lt;&gt;"",UPPER(_xlpm.MyAuditVal),_xlpm.MacVal&lt;&gt;"",_xlpm.MacVal,_xlpm.CSVVal&lt;&gt;"",_xlpm.CSVVal
)),"")</f>
        <v/>
      </c>
      <c r="L147" s="2" t="str" cm="1">
        <f t="array" ref="L147">IFERROR(_xlfn.LET(
_xlpm.CSVVal,_xlfn.XLOOKUP($A147,CSV!$A:$A,CSV!P:P,""),
_xlpm.MacVal,_xlfn.XLOOKUP($A147,Output_Mac!$A:$A,Output_Mac!L:L,""),
_xlpm.MyAuditVal,_xlfn.XLOOKUP($A147,My_Audit!$A:$A,My_Audit!K:K,""),
_xlfn.IFS(_xlpm.MyAuditVal&lt;&gt;"",UPPER(_xlpm.MyAuditVal),_xlpm.MacVal&lt;&gt;"",_xlpm.MacVal,_xlpm.CSVVal&lt;&gt;"",_xlpm.CSVVal
)),"")</f>
        <v/>
      </c>
      <c r="M147" s="2" t="str" cm="1">
        <f t="array" ref="M147">IFERROR(_xlfn.LET(
_xlpm.CSVVal,_xlfn.XLOOKUP($A147,CSV!$A:$A,CSV!Q:Q,""),
_xlpm.MacVal,_xlfn.XLOOKUP($A147,Output_Mac!$A:$A,Output_Mac!M:M,""),
_xlpm.MyAuditVal,_xlfn.XLOOKUP($A147,My_Audit!$A:$A,My_Audit!L:L,""),
_xlfn.IFS(_xlpm.MyAuditVal&lt;&gt;"",UPPER(_xlpm.MyAuditVal),_xlpm.MacVal&lt;&gt;"",_xlpm.MacVal,_xlpm.CSVVal&lt;&gt;"",_xlpm.CSVVal
)),"")</f>
        <v/>
      </c>
      <c r="O147" s="2" t="str">
        <f>_xlfn.LET(
    _xlpm.CSVVal, _xlfn.XLOOKUP($A147, CSV!$A:$A, CSV!AA:AA, ""),
    _xlpm.MacVal, _xlfn.XLOOKUP($A147, Output_Mac!$A:$A, Output_Mac!S:S, ""),
    _xlpm.MyAuditVal, _xlfn.XLOOKUP($A147, My_Audit!$A:$A, My_Audit!P:P, ""),
    _xlfn.TEXTJOIN(", ", TRUE, _xlpm.MyAuditVal, _xlpm.MacVal, _xlpm.CSVVal)
)</f>
        <v/>
      </c>
      <c r="P147" s="2" t="str" cm="1">
        <f t="array" ref="P147">IFERROR(_xlfn.LET(
_xlpm.CSVVal,_xlfn.XLOOKUP($A147,CSV!$A:$A,CSV!AB:AB,""),
_xlpm.MacVal,_xlfn.XLOOKUP($A147,Output_Mac!$A:$A,Output_Mac!T:T,""),
_xlpm.MyAuditVal,_xlfn.XLOOKUP($A147,My_Audit!$A:$A,My_Audit!Q:Q,""),
_xlfn.IFS(_xlpm.MyAuditVal&lt;&gt;"",UPPER(_xlpm.MyAuditVal),_xlpm.MacVal&lt;&gt;"",_xlpm.MacVal,_xlpm.CSVVal&lt;&gt;"",_xlpm.CSVVal
)),"No")</f>
        <v>No</v>
      </c>
      <c r="Q147" s="2" t="str" cm="1">
        <f t="array" ref="Q147">IFERROR(_xlfn.LET(
_xlpm.CSVVal,_xlfn.XLOOKUP($A147,CSV!$A:$A,CSV!AC:AC,""),
_xlpm.MacVal,_xlfn.XLOOKUP($A147,Output_Mac!$A:$A,Output_Mac!U:U,""),
_xlpm.MyAuditVal,_xlfn.XLOOKUP($A147,My_Audit!$A:$A,My_Audit!R:R,""),
_xlfn.IFS(_xlpm.MyAuditVal&lt;&gt;"",UPPER(_xlpm.MyAuditVal),_xlpm.MacVal&lt;&gt;"",_xlpm.MacVal,_xlpm.CSVVal&lt;&gt;"",_xlpm.CSVVal
)),"")</f>
        <v/>
      </c>
      <c r="X147" t="str">
        <f>_xlfn.LET(
    _xlpm.MacVal, _xlfn.XLOOKUP($A147, Output_Mac!$A:$A, Output_Mac!AB:AB, ""),
    _xlpm.MyAuditVal, _xlfn.XLOOKUP($A147, My_Audit!$A:$A, My_Audit!N:N, ""),
    _xlfn.TEXTJOIN(", ", TRUE, _xlpm.MyAuditVal, _xlpm.MacVal)
)</f>
        <v/>
      </c>
    </row>
    <row r="148" spans="1:24">
      <c r="A148" s="2" t="str">
        <f>_xlfn.TEXTJOIN("",TRUE,Input!$B$2,ROW(My_Audit!A147))</f>
        <v>X147</v>
      </c>
      <c r="B148" s="2" t="str">
        <f>_xlfn.TEXTJOIN("-",TRUE,"ITD",Input!$A$2,A148)</f>
        <v>ITD-SHR-X147</v>
      </c>
      <c r="C148" s="2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2" t="str" cm="1">
        <f t="array" ref="D148">IFERROR(_xlfn.LET(
_xlpm.CSVVal,_xlfn.XLOOKUP($A148,CSV!$A:$A,CSV!D:D,""),
_xlpm.MacVal,_xlfn.XLOOKUP($A148,Output_Mac!$A:$A,Output_Mac!C:C,""),
_xlpm.MyAuditVal,_xlfn.XLOOKUP($A148,My_Audit!$A:$A,My_Audit!C:C,""),
_xlfn.IFS(_xlpm.MyAuditVal&lt;&gt;"",_xlpm.MyAuditVal,_xlpm.MacVal&lt;&gt;"",_xlpm.MacVal,_xlpm.CSVVal&lt;&gt;"",_xlpm.CSVVal
)),"")</f>
        <v/>
      </c>
      <c r="E148" s="2" t="str">
        <f>_xlfn.XLOOKUP(A148,My_Audit!A:A,My_Audit!D:D,"")</f>
        <v/>
      </c>
      <c r="F148" s="2" t="str" cm="1">
        <f t="array" ref="F148">IFERROR(_xlfn.LET(
_xlpm.CSVVal,_xlfn.XLOOKUP($A148,CSV!$A:$A,CSV!F:F,""),
_xlpm.MacVal,_xlfn.XLOOKUP($A148,Output_Mac!$A:$A,Output_Mac!E:E,""),
_xlpm.MyAuditVal,_xlfn.XLOOKUP($A148,My_Audit!$A:$A,My_Audit!E:E,""),
_xlfn.IFS(_xlpm.MyAuditVal&lt;&gt;"",_xlpm.MyAuditVal,_xlpm.MacVal&lt;&gt;"",_xlpm.MacVal,_xlpm.CSVVal&lt;&gt;"",_xlpm.CSVVal
)),"")</f>
        <v/>
      </c>
      <c r="G148" s="2" t="str" cm="1">
        <f t="array" ref="G148">IFERROR(_xlfn.LET(
_xlpm.CSVVal,_xlfn.XLOOKUP($A148,CSV!$A:$A,CSV!G:G,""),
_xlpm.MacVal,_xlfn.XLOOKUP($A148,Output_Mac!$A:$A,Output_Mac!F:F,""),
_xlpm.MyAuditVal,_xlfn.XLOOKUP($A148,My_Audit!$A:$A,My_Audit!F:F,""),
_xlfn.IFS(_xlpm.MyAuditVal&lt;&gt;"",_xlpm.MyAuditVal,_xlpm.MacVal&lt;&gt;"",_xlpm.MacVal,_xlpm.CSVVal&lt;&gt;"",PROPER(_xlpm.CSVVal)
)),"")</f>
        <v/>
      </c>
      <c r="H148" s="2" t="str" cm="1">
        <f t="array" ref="H148">IFERROR(_xlfn.LET(
_xlpm.CSVVal,_xlfn.XLOOKUP($A148,CSV!$A:$A,CSV!H:H,""),
_xlpm.MacVal,_xlfn.XLOOKUP($A148,Output_Mac!$A:$A,Output_Mac!H:H,""),
_xlpm.MyAuditVal,_xlfn.XLOOKUP($A148,My_Audit!$A:$A,My_Audit!G:G,""),
_xlfn.IFS(_xlpm.MyAuditVal&lt;&gt;"",_xlpm.MyAuditVal,_xlpm.MacVal&lt;&gt;"",_xlpm.MacVal,_xlpm.CSVVal&lt;&gt;"",_xlpm.CSVVal
)),"")</f>
        <v/>
      </c>
      <c r="I148" s="2" t="str">
        <f>_xlfn.XLOOKUP(A148,Output_Mac!A:A,Output_Mac!I:I,"")</f>
        <v/>
      </c>
      <c r="J148" s="2" t="str" cm="1">
        <f t="array" ref="J148">IFERROR(_xlfn.LET(
_xlpm.CSVVal,_xlfn.XLOOKUP($A148,CSV!$A:$A,CSV!I:I,""),
_xlpm.MacVal,_xlfn.XLOOKUP($A148,Output_Mac!$A:$A,Output_Mac!J:J,""),
_xlpm.MyAuditVal,_xlfn.XLOOKUP($A148,My_Audit!$A:$A,My_Audit!I:I,""),
_xlfn.IFS(_xlpm.MyAuditVal&lt;&gt;"",UPPER(_xlpm.MyAuditVal),_xlpm.MacVal&lt;&gt;"",_xlpm.MacVal,_xlpm.CSVVal&lt;&gt;"",_xlpm.CSVVal
)),"")</f>
        <v/>
      </c>
      <c r="K148" s="2" t="str" cm="1">
        <f t="array" ref="K148">IFERROR(_xlfn.LET(
_xlpm.CSVVal,_xlfn.XLOOKUP($A148,CSV!$A:$A,CSV!K:K,""),
_xlpm.MacVal,_xlfn.XLOOKUP($A148,Output_Mac!$A:$A,Output_Mac!K:K,""),
_xlpm.MyAuditVal,_xlfn.XLOOKUP($A148,My_Audit!$A:$A,My_Audit!J:J,""),
_xlfn.IFS(_xlpm.MyAuditVal&lt;&gt;"",UPPER(_xlpm.MyAuditVal),_xlpm.MacVal&lt;&gt;"",_xlpm.MacVal,_xlpm.CSVVal&lt;&gt;"",_xlpm.CSVVal
)),"")</f>
        <v/>
      </c>
      <c r="L148" s="2" t="str" cm="1">
        <f t="array" ref="L148">IFERROR(_xlfn.LET(
_xlpm.CSVVal,_xlfn.XLOOKUP($A148,CSV!$A:$A,CSV!P:P,""),
_xlpm.MacVal,_xlfn.XLOOKUP($A148,Output_Mac!$A:$A,Output_Mac!L:L,""),
_xlpm.MyAuditVal,_xlfn.XLOOKUP($A148,My_Audit!$A:$A,My_Audit!K:K,""),
_xlfn.IFS(_xlpm.MyAuditVal&lt;&gt;"",UPPER(_xlpm.MyAuditVal),_xlpm.MacVal&lt;&gt;"",_xlpm.MacVal,_xlpm.CSVVal&lt;&gt;"",_xlpm.CSVVal
)),"")</f>
        <v/>
      </c>
      <c r="M148" s="2" t="str" cm="1">
        <f t="array" ref="M148">IFERROR(_xlfn.LET(
_xlpm.CSVVal,_xlfn.XLOOKUP($A148,CSV!$A:$A,CSV!Q:Q,""),
_xlpm.MacVal,_xlfn.XLOOKUP($A148,Output_Mac!$A:$A,Output_Mac!M:M,""),
_xlpm.MyAuditVal,_xlfn.XLOOKUP($A148,My_Audit!$A:$A,My_Audit!L:L,""),
_xlfn.IFS(_xlpm.MyAuditVal&lt;&gt;"",UPPER(_xlpm.MyAuditVal),_xlpm.MacVal&lt;&gt;"",_xlpm.MacVal,_xlpm.CSVVal&lt;&gt;"",_xlpm.CSVVal
)),"")</f>
        <v/>
      </c>
      <c r="O148" s="2" t="str">
        <f>_xlfn.LET(
    _xlpm.CSVVal, _xlfn.XLOOKUP($A148, CSV!$A:$A, CSV!AA:AA, ""),
    _xlpm.MacVal, _xlfn.XLOOKUP($A148, Output_Mac!$A:$A, Output_Mac!S:S, ""),
    _xlpm.MyAuditVal, _xlfn.XLOOKUP($A148, My_Audit!$A:$A, My_Audit!P:P, ""),
    _xlfn.TEXTJOIN(", ", TRUE, _xlpm.MyAuditVal, _xlpm.MacVal, _xlpm.CSVVal)
)</f>
        <v/>
      </c>
      <c r="P148" s="2" t="str" cm="1">
        <f t="array" ref="P148">IFERROR(_xlfn.LET(
_xlpm.CSVVal,_xlfn.XLOOKUP($A148,CSV!$A:$A,CSV!AB:AB,""),
_xlpm.MacVal,_xlfn.XLOOKUP($A148,Output_Mac!$A:$A,Output_Mac!T:T,""),
_xlpm.MyAuditVal,_xlfn.XLOOKUP($A148,My_Audit!$A:$A,My_Audit!Q:Q,""),
_xlfn.IFS(_xlpm.MyAuditVal&lt;&gt;"",UPPER(_xlpm.MyAuditVal),_xlpm.MacVal&lt;&gt;"",_xlpm.MacVal,_xlpm.CSVVal&lt;&gt;"",_xlpm.CSVVal
)),"No")</f>
        <v>No</v>
      </c>
      <c r="Q148" s="2" t="str" cm="1">
        <f t="array" ref="Q148">IFERROR(_xlfn.LET(
_xlpm.CSVVal,_xlfn.XLOOKUP($A148,CSV!$A:$A,CSV!AC:AC,""),
_xlpm.MacVal,_xlfn.XLOOKUP($A148,Output_Mac!$A:$A,Output_Mac!U:U,""),
_xlpm.MyAuditVal,_xlfn.XLOOKUP($A148,My_Audit!$A:$A,My_Audit!R:R,""),
_xlfn.IFS(_xlpm.MyAuditVal&lt;&gt;"",UPPER(_xlpm.MyAuditVal),_xlpm.MacVal&lt;&gt;"",_xlpm.MacVal,_xlpm.CSVVal&lt;&gt;"",_xlpm.CSVVal
)),"")</f>
        <v/>
      </c>
      <c r="X148" t="str">
        <f>_xlfn.LET(
    _xlpm.MacVal, _xlfn.XLOOKUP($A148, Output_Mac!$A:$A, Output_Mac!AB:AB, ""),
    _xlpm.MyAuditVal, _xlfn.XLOOKUP($A148, My_Audit!$A:$A, My_Audit!N:N, ""),
    _xlfn.TEXTJOIN(", ", TRUE, _xlpm.MyAuditVal, _xlpm.MacVal)
)</f>
        <v/>
      </c>
    </row>
    <row r="149" spans="1:24">
      <c r="A149" s="2" t="str">
        <f>_xlfn.TEXTJOIN("",TRUE,Input!$B$2,ROW(My_Audit!A148))</f>
        <v>X148</v>
      </c>
      <c r="B149" s="2" t="str">
        <f>_xlfn.TEXTJOIN("-",TRUE,"ITD",Input!$A$2,A149)</f>
        <v>ITD-SHR-X148</v>
      </c>
      <c r="C149" s="2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2" t="str" cm="1">
        <f t="array" ref="D149">IFERROR(_xlfn.LET(
_xlpm.CSVVal,_xlfn.XLOOKUP($A149,CSV!$A:$A,CSV!D:D,""),
_xlpm.MacVal,_xlfn.XLOOKUP($A149,Output_Mac!$A:$A,Output_Mac!C:C,""),
_xlpm.MyAuditVal,_xlfn.XLOOKUP($A149,My_Audit!$A:$A,My_Audit!C:C,""),
_xlfn.IFS(_xlpm.MyAuditVal&lt;&gt;"",_xlpm.MyAuditVal,_xlpm.MacVal&lt;&gt;"",_xlpm.MacVal,_xlpm.CSVVal&lt;&gt;"",_xlpm.CSVVal
)),"")</f>
        <v/>
      </c>
      <c r="E149" s="2" t="str">
        <f>_xlfn.XLOOKUP(A149,My_Audit!A:A,My_Audit!D:D,"")</f>
        <v/>
      </c>
      <c r="F149" s="2" t="str" cm="1">
        <f t="array" ref="F149">IFERROR(_xlfn.LET(
_xlpm.CSVVal,_xlfn.XLOOKUP($A149,CSV!$A:$A,CSV!F:F,""),
_xlpm.MacVal,_xlfn.XLOOKUP($A149,Output_Mac!$A:$A,Output_Mac!E:E,""),
_xlpm.MyAuditVal,_xlfn.XLOOKUP($A149,My_Audit!$A:$A,My_Audit!E:E,""),
_xlfn.IFS(_xlpm.MyAuditVal&lt;&gt;"",_xlpm.MyAuditVal,_xlpm.MacVal&lt;&gt;"",_xlpm.MacVal,_xlpm.CSVVal&lt;&gt;"",_xlpm.CSVVal
)),"")</f>
        <v/>
      </c>
      <c r="G149" s="2" t="str" cm="1">
        <f t="array" ref="G149">IFERROR(_xlfn.LET(
_xlpm.CSVVal,_xlfn.XLOOKUP($A149,CSV!$A:$A,CSV!G:G,""),
_xlpm.MacVal,_xlfn.XLOOKUP($A149,Output_Mac!$A:$A,Output_Mac!F:F,""),
_xlpm.MyAuditVal,_xlfn.XLOOKUP($A149,My_Audit!$A:$A,My_Audit!F:F,""),
_xlfn.IFS(_xlpm.MyAuditVal&lt;&gt;"",_xlpm.MyAuditVal,_xlpm.MacVal&lt;&gt;"",_xlpm.MacVal,_xlpm.CSVVal&lt;&gt;"",PROPER(_xlpm.CSVVal)
)),"")</f>
        <v/>
      </c>
      <c r="H149" s="2" t="str" cm="1">
        <f t="array" ref="H149">IFERROR(_xlfn.LET(
_xlpm.CSVVal,_xlfn.XLOOKUP($A149,CSV!$A:$A,CSV!H:H,""),
_xlpm.MacVal,_xlfn.XLOOKUP($A149,Output_Mac!$A:$A,Output_Mac!H:H,""),
_xlpm.MyAuditVal,_xlfn.XLOOKUP($A149,My_Audit!$A:$A,My_Audit!G:G,""),
_xlfn.IFS(_xlpm.MyAuditVal&lt;&gt;"",_xlpm.MyAuditVal,_xlpm.MacVal&lt;&gt;"",_xlpm.MacVal,_xlpm.CSVVal&lt;&gt;"",_xlpm.CSVVal
)),"")</f>
        <v/>
      </c>
      <c r="I149" s="2" t="str">
        <f>_xlfn.XLOOKUP(A149,Output_Mac!A:A,Output_Mac!I:I,"")</f>
        <v/>
      </c>
      <c r="J149" s="2" t="str" cm="1">
        <f t="array" ref="J149">IFERROR(_xlfn.LET(
_xlpm.CSVVal,_xlfn.XLOOKUP($A149,CSV!$A:$A,CSV!I:I,""),
_xlpm.MacVal,_xlfn.XLOOKUP($A149,Output_Mac!$A:$A,Output_Mac!J:J,""),
_xlpm.MyAuditVal,_xlfn.XLOOKUP($A149,My_Audit!$A:$A,My_Audit!I:I,""),
_xlfn.IFS(_xlpm.MyAuditVal&lt;&gt;"",UPPER(_xlpm.MyAuditVal),_xlpm.MacVal&lt;&gt;"",_xlpm.MacVal,_xlpm.CSVVal&lt;&gt;"",_xlpm.CSVVal
)),"")</f>
        <v/>
      </c>
      <c r="K149" s="2" t="str" cm="1">
        <f t="array" ref="K149">IFERROR(_xlfn.LET(
_xlpm.CSVVal,_xlfn.XLOOKUP($A149,CSV!$A:$A,CSV!K:K,""),
_xlpm.MacVal,_xlfn.XLOOKUP($A149,Output_Mac!$A:$A,Output_Mac!K:K,""),
_xlpm.MyAuditVal,_xlfn.XLOOKUP($A149,My_Audit!$A:$A,My_Audit!J:J,""),
_xlfn.IFS(_xlpm.MyAuditVal&lt;&gt;"",UPPER(_xlpm.MyAuditVal),_xlpm.MacVal&lt;&gt;"",_xlpm.MacVal,_xlpm.CSVVal&lt;&gt;"",_xlpm.CSVVal
)),"")</f>
        <v/>
      </c>
      <c r="L149" s="2" t="str" cm="1">
        <f t="array" ref="L149">IFERROR(_xlfn.LET(
_xlpm.CSVVal,_xlfn.XLOOKUP($A149,CSV!$A:$A,CSV!P:P,""),
_xlpm.MacVal,_xlfn.XLOOKUP($A149,Output_Mac!$A:$A,Output_Mac!L:L,""),
_xlpm.MyAuditVal,_xlfn.XLOOKUP($A149,My_Audit!$A:$A,My_Audit!K:K,""),
_xlfn.IFS(_xlpm.MyAuditVal&lt;&gt;"",UPPER(_xlpm.MyAuditVal),_xlpm.MacVal&lt;&gt;"",_xlpm.MacVal,_xlpm.CSVVal&lt;&gt;"",_xlpm.CSVVal
)),"")</f>
        <v/>
      </c>
      <c r="M149" s="2" t="str" cm="1">
        <f t="array" ref="M149">IFERROR(_xlfn.LET(
_xlpm.CSVVal,_xlfn.XLOOKUP($A149,CSV!$A:$A,CSV!Q:Q,""),
_xlpm.MacVal,_xlfn.XLOOKUP($A149,Output_Mac!$A:$A,Output_Mac!M:M,""),
_xlpm.MyAuditVal,_xlfn.XLOOKUP($A149,My_Audit!$A:$A,My_Audit!L:L,""),
_xlfn.IFS(_xlpm.MyAuditVal&lt;&gt;"",UPPER(_xlpm.MyAuditVal),_xlpm.MacVal&lt;&gt;"",_xlpm.MacVal,_xlpm.CSVVal&lt;&gt;"",_xlpm.CSVVal
)),"")</f>
        <v/>
      </c>
      <c r="O149" s="2" t="str">
        <f>_xlfn.LET(
    _xlpm.CSVVal, _xlfn.XLOOKUP($A149, CSV!$A:$A, CSV!AA:AA, ""),
    _xlpm.MacVal, _xlfn.XLOOKUP($A149, Output_Mac!$A:$A, Output_Mac!S:S, ""),
    _xlpm.MyAuditVal, _xlfn.XLOOKUP($A149, My_Audit!$A:$A, My_Audit!P:P, ""),
    _xlfn.TEXTJOIN(", ", TRUE, _xlpm.MyAuditVal, _xlpm.MacVal, _xlpm.CSVVal)
)</f>
        <v/>
      </c>
      <c r="P149" s="2" t="str" cm="1">
        <f t="array" ref="P149">IFERROR(_xlfn.LET(
_xlpm.CSVVal,_xlfn.XLOOKUP($A149,CSV!$A:$A,CSV!AB:AB,""),
_xlpm.MacVal,_xlfn.XLOOKUP($A149,Output_Mac!$A:$A,Output_Mac!T:T,""),
_xlpm.MyAuditVal,_xlfn.XLOOKUP($A149,My_Audit!$A:$A,My_Audit!Q:Q,""),
_xlfn.IFS(_xlpm.MyAuditVal&lt;&gt;"",UPPER(_xlpm.MyAuditVal),_xlpm.MacVal&lt;&gt;"",_xlpm.MacVal,_xlpm.CSVVal&lt;&gt;"",_xlpm.CSVVal
)),"No")</f>
        <v>No</v>
      </c>
      <c r="Q149" s="2" t="str" cm="1">
        <f t="array" ref="Q149">IFERROR(_xlfn.LET(
_xlpm.CSVVal,_xlfn.XLOOKUP($A149,CSV!$A:$A,CSV!AC:AC,""),
_xlpm.MacVal,_xlfn.XLOOKUP($A149,Output_Mac!$A:$A,Output_Mac!U:U,""),
_xlpm.MyAuditVal,_xlfn.XLOOKUP($A149,My_Audit!$A:$A,My_Audit!R:R,""),
_xlfn.IFS(_xlpm.MyAuditVal&lt;&gt;"",UPPER(_xlpm.MyAuditVal),_xlpm.MacVal&lt;&gt;"",_xlpm.MacVal,_xlpm.CSVVal&lt;&gt;"",_xlpm.CSVVal
)),"")</f>
        <v/>
      </c>
      <c r="X149" t="str">
        <f>_xlfn.LET(
    _xlpm.MacVal, _xlfn.XLOOKUP($A149, Output_Mac!$A:$A, Output_Mac!AB:AB, ""),
    _xlpm.MyAuditVal, _xlfn.XLOOKUP($A149, My_Audit!$A:$A, My_Audit!N:N, ""),
    _xlfn.TEXTJOIN(", ", TRUE, _xlpm.MyAuditVal, _xlpm.MacVal)
)</f>
        <v/>
      </c>
    </row>
    <row r="150" spans="1:24">
      <c r="A150" s="2" t="str">
        <f>_xlfn.TEXTJOIN("",TRUE,Input!$B$2,ROW(My_Audit!A149))</f>
        <v>X149</v>
      </c>
      <c r="B150" s="2" t="str">
        <f>_xlfn.TEXTJOIN("-",TRUE,"ITD",Input!$A$2,A150)</f>
        <v>ITD-SHR-X149</v>
      </c>
      <c r="C150" s="2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2" t="str" cm="1">
        <f t="array" ref="D150">IFERROR(_xlfn.LET(
_xlpm.CSVVal,_xlfn.XLOOKUP($A150,CSV!$A:$A,CSV!D:D,""),
_xlpm.MacVal,_xlfn.XLOOKUP($A150,Output_Mac!$A:$A,Output_Mac!C:C,""),
_xlpm.MyAuditVal,_xlfn.XLOOKUP($A150,My_Audit!$A:$A,My_Audit!C:C,""),
_xlfn.IFS(_xlpm.MyAuditVal&lt;&gt;"",_xlpm.MyAuditVal,_xlpm.MacVal&lt;&gt;"",_xlpm.MacVal,_xlpm.CSVVal&lt;&gt;"",_xlpm.CSVVal
)),"")</f>
        <v/>
      </c>
      <c r="E150" s="2" t="e">
        <f>IF(_xlfn.XLOOKUP(A150,My_Audit!A:A,My_Audit!D:D),_xlfn.XLOOKUP(A150,My_Audit!A:A,My_Audit!D:D),"")</f>
        <v>#N/A</v>
      </c>
      <c r="F150" s="2" t="str" cm="1">
        <f t="array" ref="F150">IFERROR(_xlfn.LET(
_xlpm.CSVVal,_xlfn.XLOOKUP($A150,CSV!$A:$A,CSV!F:F,""),
_xlpm.MacVal,_xlfn.XLOOKUP($A150,Output_Mac!$A:$A,Output_Mac!E:E,""),
_xlpm.MyAuditVal,_xlfn.XLOOKUP($A150,My_Audit!$A:$A,My_Audit!E:E,""),
_xlfn.IFS(_xlpm.MyAuditVal&lt;&gt;"",_xlpm.MyAuditVal,_xlpm.MacVal&lt;&gt;"",_xlpm.MacVal,_xlpm.CSVVal&lt;&gt;"",_xlpm.CSVVal
)),"")</f>
        <v/>
      </c>
      <c r="G150" s="2" t="str" cm="1">
        <f t="array" ref="G150">IFERROR(_xlfn.LET(
_xlpm.CSVVal,_xlfn.XLOOKUP($A150,CSV!$A:$A,CSV!G:G,""),
_xlpm.MacVal,_xlfn.XLOOKUP($A150,Output_Mac!$A:$A,Output_Mac!F:F,""),
_xlpm.MyAuditVal,_xlfn.XLOOKUP($A150,My_Audit!$A:$A,My_Audit!F:F,""),
_xlfn.IFS(_xlpm.MyAuditVal&lt;&gt;"",_xlpm.MyAuditVal,_xlpm.MacVal&lt;&gt;"",_xlpm.MacVal,_xlpm.CSVVal&lt;&gt;"",PROPER(_xlpm.CSVVal)
)),"")</f>
        <v/>
      </c>
      <c r="H150" s="2" t="str" cm="1">
        <f t="array" ref="H150">IFERROR(_xlfn.LET(
_xlpm.CSVVal,_xlfn.XLOOKUP($A150,CSV!$A:$A,CSV!H:H,""),
_xlpm.MacVal,_xlfn.XLOOKUP($A150,Output_Mac!$A:$A,Output_Mac!H:H,""),
_xlpm.MyAuditVal,_xlfn.XLOOKUP($A150,My_Audit!$A:$A,My_Audit!G:G,""),
_xlfn.IFS(_xlpm.MyAuditVal&lt;&gt;"",_xlpm.MyAuditVal,_xlpm.MacVal&lt;&gt;"",_xlpm.MacVal,_xlpm.CSVVal&lt;&gt;"",_xlpm.CSVVal
)),"")</f>
        <v/>
      </c>
      <c r="I150" s="2" t="str">
        <f>_xlfn.XLOOKUP(A150,Output_Mac!A:A,Output_Mac!I:I,"")</f>
        <v/>
      </c>
      <c r="J150" s="2" t="str" cm="1">
        <f t="array" ref="J150">IFERROR(_xlfn.LET(
_xlpm.CSVVal,_xlfn.XLOOKUP($A150,CSV!$A:$A,CSV!I:I,""),
_xlpm.MacVal,_xlfn.XLOOKUP($A150,Output_Mac!$A:$A,Output_Mac!J:J,""),
_xlpm.MyAuditVal,_xlfn.XLOOKUP($A150,My_Audit!$A:$A,My_Audit!I:I,""),
_xlfn.IFS(_xlpm.MyAuditVal&lt;&gt;"",UPPER(_xlpm.MyAuditVal),_xlpm.MacVal&lt;&gt;"",_xlpm.MacVal,_xlpm.CSVVal&lt;&gt;"",_xlpm.CSVVal
)),"")</f>
        <v/>
      </c>
      <c r="K150" s="2" t="str" cm="1">
        <f t="array" ref="K150">IFERROR(_xlfn.LET(
_xlpm.CSVVal,_xlfn.XLOOKUP($A150,CSV!$A:$A,CSV!K:K,""),
_xlpm.MacVal,_xlfn.XLOOKUP($A150,Output_Mac!$A:$A,Output_Mac!K:K,""),
_xlpm.MyAuditVal,_xlfn.XLOOKUP($A150,My_Audit!$A:$A,My_Audit!J:J,""),
_xlfn.IFS(_xlpm.MyAuditVal&lt;&gt;"",UPPER(_xlpm.MyAuditVal),_xlpm.MacVal&lt;&gt;"",_xlpm.MacVal,_xlpm.CSVVal&lt;&gt;"",_xlpm.CSVVal
)),"")</f>
        <v/>
      </c>
      <c r="L150" s="2" t="str" cm="1">
        <f t="array" ref="L150">IFERROR(_xlfn.LET(
_xlpm.CSVVal,_xlfn.XLOOKUP($A150,CSV!$A:$A,CSV!P:P,""),
_xlpm.MacVal,_xlfn.XLOOKUP($A150,Output_Mac!$A:$A,Output_Mac!L:L,""),
_xlpm.MyAuditVal,_xlfn.XLOOKUP($A150,My_Audit!$A:$A,My_Audit!K:K,""),
_xlfn.IFS(_xlpm.MyAuditVal&lt;&gt;"",UPPER(_xlpm.MyAuditVal),_xlpm.MacVal&lt;&gt;"",_xlpm.MacVal,_xlpm.CSVVal&lt;&gt;"",_xlpm.CSVVal
)),"")</f>
        <v/>
      </c>
      <c r="M150" s="2" t="str" cm="1">
        <f t="array" ref="M150">IFERROR(_xlfn.LET(
_xlpm.CSVVal,_xlfn.XLOOKUP($A150,CSV!$A:$A,CSV!Q:Q,""),
_xlpm.MacVal,_xlfn.XLOOKUP($A150,Output_Mac!$A:$A,Output_Mac!M:M,""),
_xlpm.MyAuditVal,_xlfn.XLOOKUP($A150,My_Audit!$A:$A,My_Audit!L:L,""),
_xlfn.IFS(_xlpm.MyAuditVal&lt;&gt;"",UPPER(_xlpm.MyAuditVal),_xlpm.MacVal&lt;&gt;"",_xlpm.MacVal,_xlpm.CSVVal&lt;&gt;"",_xlpm.CSVVal
)),"")</f>
        <v/>
      </c>
      <c r="O150" s="2" t="str">
        <f>_xlfn.LET(
    _xlpm.CSVVal, _xlfn.XLOOKUP($A150, CSV!$A:$A, CSV!AA:AA, ""),
    _xlpm.MacVal, _xlfn.XLOOKUP($A150, Output_Mac!$A:$A, Output_Mac!S:S, ""),
    _xlpm.MyAuditVal, _xlfn.XLOOKUP($A150, My_Audit!$A:$A, My_Audit!P:P, ""),
    _xlfn.TEXTJOIN(", ", TRUE, _xlpm.MyAuditVal, _xlpm.MacVal, _xlpm.CSVVal)
)</f>
        <v/>
      </c>
      <c r="P150" s="2" t="str" cm="1">
        <f t="array" ref="P150">IFERROR(_xlfn.LET(
_xlpm.CSVVal,_xlfn.XLOOKUP($A150,CSV!$A:$A,CSV!AB:AB,""),
_xlpm.MacVal,_xlfn.XLOOKUP($A150,Output_Mac!$A:$A,Output_Mac!T:T,""),
_xlpm.MyAuditVal,_xlfn.XLOOKUP($A150,My_Audit!$A:$A,My_Audit!Q:Q,""),
_xlfn.IFS(_xlpm.MyAuditVal&lt;&gt;"",UPPER(_xlpm.MyAuditVal),_xlpm.MacVal&lt;&gt;"",_xlpm.MacVal,_xlpm.CSVVal&lt;&gt;"",_xlpm.CSVVal
)),"No")</f>
        <v>No</v>
      </c>
      <c r="Q150" s="2" t="str" cm="1">
        <f t="array" ref="Q150">IFERROR(_xlfn.LET(
_xlpm.CSVVal,_xlfn.XLOOKUP($A150,CSV!$A:$A,CSV!AC:AC,""),
_xlpm.MacVal,_xlfn.XLOOKUP($A150,Output_Mac!$A:$A,Output_Mac!U:U,""),
_xlpm.MyAuditVal,_xlfn.XLOOKUP($A150,My_Audit!$A:$A,My_Audit!R:R,""),
_xlfn.IFS(_xlpm.MyAuditVal&lt;&gt;"",UPPER(_xlpm.MyAuditVal),_xlpm.MacVal&lt;&gt;"",_xlpm.MacVal,_xlpm.CSVVal&lt;&gt;"",_xlpm.CSVVal
)),"")</f>
        <v/>
      </c>
      <c r="X150" t="str">
        <f>_xlfn.LET(
    _xlpm.MacVal, _xlfn.XLOOKUP($A150, Output_Mac!$A:$A, Output_Mac!AB:AB, ""),
    _xlpm.MyAuditVal, _xlfn.XLOOKUP($A150, My_Audit!$A:$A, My_Audit!N:N, ""),
    _xlfn.TEXTJOIN(", ", TRUE, _xlpm.MyAuditVal, _xlpm.MacVal)
)</f>
        <v/>
      </c>
    </row>
    <row r="151" spans="1:24">
      <c r="A151" s="2" t="str">
        <f>_xlfn.TEXTJOIN("",TRUE,Input!$B$2,ROW(My_Audit!A150))</f>
        <v>X150</v>
      </c>
      <c r="B151" s="2" t="str">
        <f>_xlfn.TEXTJOIN("-",TRUE,"ITD",Input!$A$2,A151)</f>
        <v>ITD-SHR-X150</v>
      </c>
      <c r="C151" s="2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2" t="str" cm="1">
        <f t="array" ref="D151">IFERROR(_xlfn.LET(
_xlpm.CSVVal,_xlfn.XLOOKUP($A151,CSV!$A:$A,CSV!D:D,""),
_xlpm.MacVal,_xlfn.XLOOKUP($A151,Output_Mac!$A:$A,Output_Mac!C:C,""),
_xlpm.MyAuditVal,_xlfn.XLOOKUP($A151,My_Audit!$A:$A,My_Audit!C:C,""),
_xlfn.IFS(_xlpm.MyAuditVal&lt;&gt;"",_xlpm.MyAuditVal,_xlpm.MacVal&lt;&gt;"",_xlpm.MacVal,_xlpm.CSVVal&lt;&gt;"",_xlpm.CSVVal
)),"")</f>
        <v/>
      </c>
      <c r="E151" s="2" t="e">
        <f>IF(_xlfn.XLOOKUP(A151,My_Audit!A:A,My_Audit!D:D),_xlfn.XLOOKUP(A151,My_Audit!A:A,My_Audit!D:D),"")</f>
        <v>#N/A</v>
      </c>
      <c r="F151" s="2" t="str" cm="1">
        <f t="array" ref="F151">IFERROR(_xlfn.LET(
_xlpm.CSVVal,_xlfn.XLOOKUP($A151,CSV!$A:$A,CSV!F:F,""),
_xlpm.MacVal,_xlfn.XLOOKUP($A151,Output_Mac!$A:$A,Output_Mac!E:E,""),
_xlpm.MyAuditVal,_xlfn.XLOOKUP($A151,My_Audit!$A:$A,My_Audit!E:E,""),
_xlfn.IFS(_xlpm.MyAuditVal&lt;&gt;"",_xlpm.MyAuditVal,_xlpm.MacVal&lt;&gt;"",_xlpm.MacVal,_xlpm.CSVVal&lt;&gt;"",_xlpm.CSVVal
)),"")</f>
        <v/>
      </c>
      <c r="G151" s="2" t="str" cm="1">
        <f t="array" ref="G151">IFERROR(_xlfn.LET(
_xlpm.CSVVal,_xlfn.XLOOKUP($A151,CSV!$A:$A,CSV!G:G,""),
_xlpm.MacVal,_xlfn.XLOOKUP($A151,Output_Mac!$A:$A,Output_Mac!F:F,""),
_xlpm.MyAuditVal,_xlfn.XLOOKUP($A151,My_Audit!$A:$A,My_Audit!F:F,""),
_xlfn.IFS(_xlpm.MyAuditVal&lt;&gt;"",_xlpm.MyAuditVal,_xlpm.MacVal&lt;&gt;"",_xlpm.MacVal,_xlpm.CSVVal&lt;&gt;"",PROPER(_xlpm.CSVVal)
)),"")</f>
        <v/>
      </c>
      <c r="H151" s="2" t="str" cm="1">
        <f t="array" ref="H151">IFERROR(_xlfn.LET(
_xlpm.CSVVal,_xlfn.XLOOKUP($A151,CSV!$A:$A,CSV!H:H,""),
_xlpm.MacVal,_xlfn.XLOOKUP($A151,Output_Mac!$A:$A,Output_Mac!H:H,""),
_xlpm.MyAuditVal,_xlfn.XLOOKUP($A151,My_Audit!$A:$A,My_Audit!G:G,""),
_xlfn.IFS(_xlpm.MyAuditVal&lt;&gt;"",_xlpm.MyAuditVal,_xlpm.MacVal&lt;&gt;"",_xlpm.MacVal,_xlpm.CSVVal&lt;&gt;"",_xlpm.CSVVal
)),"")</f>
        <v/>
      </c>
      <c r="I151" s="2" t="str">
        <f>_xlfn.XLOOKUP(A151,Output_Mac!A:A,Output_Mac!I:I,"")</f>
        <v/>
      </c>
      <c r="J151" s="2" t="str" cm="1">
        <f t="array" ref="J151">IFERROR(_xlfn.LET(
_xlpm.CSVVal,_xlfn.XLOOKUP($A151,CSV!$A:$A,CSV!I:I,""),
_xlpm.MacVal,_xlfn.XLOOKUP($A151,Output_Mac!$A:$A,Output_Mac!J:J,""),
_xlpm.MyAuditVal,_xlfn.XLOOKUP($A151,My_Audit!$A:$A,My_Audit!I:I,""),
_xlfn.IFS(_xlpm.MyAuditVal&lt;&gt;"",UPPER(_xlpm.MyAuditVal),_xlpm.MacVal&lt;&gt;"",_xlpm.MacVal,_xlpm.CSVVal&lt;&gt;"",_xlpm.CSVVal
)),"")</f>
        <v/>
      </c>
      <c r="K151" s="2" t="str" cm="1">
        <f t="array" ref="K151">IFERROR(_xlfn.LET(
_xlpm.CSVVal,_xlfn.XLOOKUP($A151,CSV!$A:$A,CSV!K:K,""),
_xlpm.MacVal,_xlfn.XLOOKUP($A151,Output_Mac!$A:$A,Output_Mac!K:K,""),
_xlpm.MyAuditVal,_xlfn.XLOOKUP($A151,My_Audit!$A:$A,My_Audit!J:J,""),
_xlfn.IFS(_xlpm.MyAuditVal&lt;&gt;"",UPPER(_xlpm.MyAuditVal),_xlpm.MacVal&lt;&gt;"",_xlpm.MacVal,_xlpm.CSVVal&lt;&gt;"",_xlpm.CSVVal
)),"")</f>
        <v/>
      </c>
      <c r="L151" s="2" t="str" cm="1">
        <f t="array" ref="L151">IFERROR(_xlfn.LET(
_xlpm.CSVVal,_xlfn.XLOOKUP($A151,CSV!$A:$A,CSV!P:P,""),
_xlpm.MacVal,_xlfn.XLOOKUP($A151,Output_Mac!$A:$A,Output_Mac!L:L,""),
_xlpm.MyAuditVal,_xlfn.XLOOKUP($A151,My_Audit!$A:$A,My_Audit!K:K,""),
_xlfn.IFS(_xlpm.MyAuditVal&lt;&gt;"",UPPER(_xlpm.MyAuditVal),_xlpm.MacVal&lt;&gt;"",_xlpm.MacVal,_xlpm.CSVVal&lt;&gt;"",_xlpm.CSVVal
)),"")</f>
        <v/>
      </c>
      <c r="M151" s="2" t="str" cm="1">
        <f t="array" ref="M151">IFERROR(_xlfn.LET(
_xlpm.CSVVal,_xlfn.XLOOKUP($A151,CSV!$A:$A,CSV!Q:Q,""),
_xlpm.MacVal,_xlfn.XLOOKUP($A151,Output_Mac!$A:$A,Output_Mac!M:M,""),
_xlpm.MyAuditVal,_xlfn.XLOOKUP($A151,My_Audit!$A:$A,My_Audit!L:L,""),
_xlfn.IFS(_xlpm.MyAuditVal&lt;&gt;"",UPPER(_xlpm.MyAuditVal),_xlpm.MacVal&lt;&gt;"",_xlpm.MacVal,_xlpm.CSVVal&lt;&gt;"",_xlpm.CSVVal
)),"")</f>
        <v/>
      </c>
      <c r="O151" s="2" t="str">
        <f>_xlfn.LET(
    _xlpm.CSVVal, _xlfn.XLOOKUP($A151, CSV!$A:$A, CSV!AA:AA, ""),
    _xlpm.MacVal, _xlfn.XLOOKUP($A151, Output_Mac!$A:$A, Output_Mac!S:S, ""),
    _xlpm.MyAuditVal, _xlfn.XLOOKUP($A151, My_Audit!$A:$A, My_Audit!P:P, ""),
    _xlfn.TEXTJOIN(", ", TRUE, _xlpm.MyAuditVal, _xlpm.MacVal, _xlpm.CSVVal)
)</f>
        <v/>
      </c>
      <c r="P151" s="2" t="str" cm="1">
        <f t="array" ref="P151">IFERROR(_xlfn.LET(
_xlpm.CSVVal,_xlfn.XLOOKUP($A151,CSV!$A:$A,CSV!AB:AB,""),
_xlpm.MacVal,_xlfn.XLOOKUP($A151,Output_Mac!$A:$A,Output_Mac!T:T,""),
_xlpm.MyAuditVal,_xlfn.XLOOKUP($A151,My_Audit!$A:$A,My_Audit!Q:Q,""),
_xlfn.IFS(_xlpm.MyAuditVal&lt;&gt;"",UPPER(_xlpm.MyAuditVal),_xlpm.MacVal&lt;&gt;"",_xlpm.MacVal,_xlpm.CSVVal&lt;&gt;"",_xlpm.CSVVal
)),"No")</f>
        <v>No</v>
      </c>
      <c r="Q151" s="2" t="str" cm="1">
        <f t="array" ref="Q151">IFERROR(_xlfn.LET(
_xlpm.CSVVal,_xlfn.XLOOKUP($A151,CSV!$A:$A,CSV!AC:AC,""),
_xlpm.MacVal,_xlfn.XLOOKUP($A151,Output_Mac!$A:$A,Output_Mac!U:U,""),
_xlpm.MyAuditVal,_xlfn.XLOOKUP($A151,My_Audit!$A:$A,My_Audit!R:R,""),
_xlfn.IFS(_xlpm.MyAuditVal&lt;&gt;"",UPPER(_xlpm.MyAuditVal),_xlpm.MacVal&lt;&gt;"",_xlpm.MacVal,_xlpm.CSVVal&lt;&gt;"",_xlpm.CSVVal
)),"")</f>
        <v/>
      </c>
      <c r="X151" t="str">
        <f>_xlfn.LET(
    _xlpm.MacVal, _xlfn.XLOOKUP($A151, Output_Mac!$A:$A, Output_Mac!AB:AB, ""),
    _xlpm.MyAuditVal, _xlfn.XLOOKUP($A151, My_Audit!$A:$A, My_Audit!N:N, ""),
    _xlfn.TEXTJOIN(", ", TRUE, _xlpm.MyAuditVal, _xlpm.MacVal)
)</f>
        <v/>
      </c>
    </row>
    <row r="152" spans="1:24">
      <c r="A152" s="2" t="str">
        <f>_xlfn.TEXTJOIN("",TRUE,Input!$B$2,ROW(My_Audit!A151))</f>
        <v>X151</v>
      </c>
      <c r="B152" s="2" t="str">
        <f>_xlfn.TEXTJOIN("-",TRUE,"ITD",Input!$A$2,A152)</f>
        <v>ITD-SHR-X151</v>
      </c>
      <c r="C152" s="2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2" t="str" cm="1">
        <f t="array" ref="D152">IFERROR(_xlfn.LET(
_xlpm.CSVVal,_xlfn.XLOOKUP($A152,CSV!$A:$A,CSV!D:D,""),
_xlpm.MacVal,_xlfn.XLOOKUP($A152,Output_Mac!$A:$A,Output_Mac!C:C,""),
_xlpm.MyAuditVal,_xlfn.XLOOKUP($A152,My_Audit!$A:$A,My_Audit!C:C,""),
_xlfn.IFS(_xlpm.MyAuditVal&lt;&gt;"",_xlpm.MyAuditVal,_xlpm.MacVal&lt;&gt;"",_xlpm.MacVal,_xlpm.CSVVal&lt;&gt;"",_xlpm.CSVVal
)),"")</f>
        <v/>
      </c>
      <c r="E152" s="2" t="e">
        <f>IF(_xlfn.XLOOKUP(A152,My_Audit!A:A,My_Audit!D:D),_xlfn.XLOOKUP(A152,My_Audit!A:A,My_Audit!D:D),"")</f>
        <v>#N/A</v>
      </c>
      <c r="F152" s="2" t="str" cm="1">
        <f t="array" ref="F152">IFERROR(_xlfn.LET(
_xlpm.CSVVal,_xlfn.XLOOKUP($A152,CSV!$A:$A,CSV!F:F,""),
_xlpm.MacVal,_xlfn.XLOOKUP($A152,Output_Mac!$A:$A,Output_Mac!E:E,""),
_xlpm.MyAuditVal,_xlfn.XLOOKUP($A152,My_Audit!$A:$A,My_Audit!E:E,""),
_xlfn.IFS(_xlpm.MyAuditVal&lt;&gt;"",_xlpm.MyAuditVal,_xlpm.MacVal&lt;&gt;"",_xlpm.MacVal,_xlpm.CSVVal&lt;&gt;"",_xlpm.CSVVal
)),"")</f>
        <v/>
      </c>
      <c r="G152" s="2" t="str" cm="1">
        <f t="array" ref="G152">IFERROR(_xlfn.LET(
_xlpm.CSVVal,_xlfn.XLOOKUP($A152,CSV!$A:$A,CSV!G:G,""),
_xlpm.MacVal,_xlfn.XLOOKUP($A152,Output_Mac!$A:$A,Output_Mac!F:F,""),
_xlpm.MyAuditVal,_xlfn.XLOOKUP($A152,My_Audit!$A:$A,My_Audit!F:F,""),
_xlfn.IFS(_xlpm.MyAuditVal&lt;&gt;"",_xlpm.MyAuditVal,_xlpm.MacVal&lt;&gt;"",_xlpm.MacVal,_xlpm.CSVVal&lt;&gt;"",PROPER(_xlpm.CSVVal)
)),"")</f>
        <v/>
      </c>
      <c r="H152" s="2" t="str" cm="1">
        <f t="array" ref="H152">IFERROR(_xlfn.LET(
_xlpm.CSVVal,_xlfn.XLOOKUP($A152,CSV!$A:$A,CSV!H:H,""),
_xlpm.MacVal,_xlfn.XLOOKUP($A152,Output_Mac!$A:$A,Output_Mac!H:H,""),
_xlpm.MyAuditVal,_xlfn.XLOOKUP($A152,My_Audit!$A:$A,My_Audit!G:G,""),
_xlfn.IFS(_xlpm.MyAuditVal&lt;&gt;"",_xlpm.MyAuditVal,_xlpm.MacVal&lt;&gt;"",_xlpm.MacVal,_xlpm.CSVVal&lt;&gt;"",_xlpm.CSVVal
)),"")</f>
        <v/>
      </c>
      <c r="I152" s="2" t="str">
        <f>_xlfn.XLOOKUP(A152,Output_Mac!A:A,Output_Mac!I:I,"")</f>
        <v/>
      </c>
      <c r="J152" s="2" t="str" cm="1">
        <f t="array" ref="J152">IFERROR(_xlfn.LET(
_xlpm.CSVVal,_xlfn.XLOOKUP($A152,CSV!$A:$A,CSV!I:I,""),
_xlpm.MacVal,_xlfn.XLOOKUP($A152,Output_Mac!$A:$A,Output_Mac!J:J,""),
_xlpm.MyAuditVal,_xlfn.XLOOKUP($A152,My_Audit!$A:$A,My_Audit!I:I,""),
_xlfn.IFS(_xlpm.MyAuditVal&lt;&gt;"",UPPER(_xlpm.MyAuditVal),_xlpm.MacVal&lt;&gt;"",_xlpm.MacVal,_xlpm.CSVVal&lt;&gt;"",_xlpm.CSVVal
)),"")</f>
        <v/>
      </c>
      <c r="K152" s="2" t="str" cm="1">
        <f t="array" ref="K152">IFERROR(_xlfn.LET(
_xlpm.CSVVal,_xlfn.XLOOKUP($A152,CSV!$A:$A,CSV!K:K,""),
_xlpm.MacVal,_xlfn.XLOOKUP($A152,Output_Mac!$A:$A,Output_Mac!K:K,""),
_xlpm.MyAuditVal,_xlfn.XLOOKUP($A152,My_Audit!$A:$A,My_Audit!J:J,""),
_xlfn.IFS(_xlpm.MyAuditVal&lt;&gt;"",UPPER(_xlpm.MyAuditVal),_xlpm.MacVal&lt;&gt;"",_xlpm.MacVal,_xlpm.CSVVal&lt;&gt;"",_xlpm.CSVVal
)),"")</f>
        <v/>
      </c>
      <c r="L152" s="2" t="str" cm="1">
        <f t="array" ref="L152">IFERROR(_xlfn.LET(
_xlpm.CSVVal,_xlfn.XLOOKUP($A152,CSV!$A:$A,CSV!P:P,""),
_xlpm.MacVal,_xlfn.XLOOKUP($A152,Output_Mac!$A:$A,Output_Mac!L:L,""),
_xlpm.MyAuditVal,_xlfn.XLOOKUP($A152,My_Audit!$A:$A,My_Audit!K:K,""),
_xlfn.IFS(_xlpm.MyAuditVal&lt;&gt;"",UPPER(_xlpm.MyAuditVal),_xlpm.MacVal&lt;&gt;"",_xlpm.MacVal,_xlpm.CSVVal&lt;&gt;"",_xlpm.CSVVal
)),"")</f>
        <v/>
      </c>
      <c r="M152" s="2" t="str" cm="1">
        <f t="array" ref="M152">IFERROR(_xlfn.LET(
_xlpm.CSVVal,_xlfn.XLOOKUP($A152,CSV!$A:$A,CSV!Q:Q,""),
_xlpm.MacVal,_xlfn.XLOOKUP($A152,Output_Mac!$A:$A,Output_Mac!M:M,""),
_xlpm.MyAuditVal,_xlfn.XLOOKUP($A152,My_Audit!$A:$A,My_Audit!L:L,""),
_xlfn.IFS(_xlpm.MyAuditVal&lt;&gt;"",UPPER(_xlpm.MyAuditVal),_xlpm.MacVal&lt;&gt;"",_xlpm.MacVal,_xlpm.CSVVal&lt;&gt;"",_xlpm.CSVVal
)),"")</f>
        <v/>
      </c>
      <c r="O152" s="2" t="str">
        <f>_xlfn.LET(
    _xlpm.CSVVal, _xlfn.XLOOKUP($A152, CSV!$A:$A, CSV!AA:AA, ""),
    _xlpm.MacVal, _xlfn.XLOOKUP($A152, Output_Mac!$A:$A, Output_Mac!S:S, ""),
    _xlpm.MyAuditVal, _xlfn.XLOOKUP($A152, My_Audit!$A:$A, My_Audit!P:P, ""),
    _xlfn.TEXTJOIN(", ", TRUE, _xlpm.MyAuditVal, _xlpm.MacVal, _xlpm.CSVVal)
)</f>
        <v/>
      </c>
      <c r="P152" s="2" t="str" cm="1">
        <f t="array" ref="P152">IFERROR(_xlfn.LET(
_xlpm.CSVVal,_xlfn.XLOOKUP($A152,CSV!$A:$A,CSV!AB:AB,""),
_xlpm.MacVal,_xlfn.XLOOKUP($A152,Output_Mac!$A:$A,Output_Mac!T:T,""),
_xlpm.MyAuditVal,_xlfn.XLOOKUP($A152,My_Audit!$A:$A,My_Audit!Q:Q,""),
_xlfn.IFS(_xlpm.MyAuditVal&lt;&gt;"",UPPER(_xlpm.MyAuditVal),_xlpm.MacVal&lt;&gt;"",_xlpm.MacVal,_xlpm.CSVVal&lt;&gt;"",_xlpm.CSVVal
)),"No")</f>
        <v>No</v>
      </c>
      <c r="Q152" s="2" t="str" cm="1">
        <f t="array" ref="Q152">IFERROR(_xlfn.LET(
_xlpm.CSVVal,_xlfn.XLOOKUP($A152,CSV!$A:$A,CSV!AC:AC,""),
_xlpm.MacVal,_xlfn.XLOOKUP($A152,Output_Mac!$A:$A,Output_Mac!U:U,""),
_xlpm.MyAuditVal,_xlfn.XLOOKUP($A152,My_Audit!$A:$A,My_Audit!R:R,""),
_xlfn.IFS(_xlpm.MyAuditVal&lt;&gt;"",UPPER(_xlpm.MyAuditVal),_xlpm.MacVal&lt;&gt;"",_xlpm.MacVal,_xlpm.CSVVal&lt;&gt;"",_xlpm.CSVVal
)),"")</f>
        <v/>
      </c>
      <c r="X152" t="str">
        <f>_xlfn.LET(
    _xlpm.MacVal, _xlfn.XLOOKUP($A152, Output_Mac!$A:$A, Output_Mac!AB:AB, ""),
    _xlpm.MyAuditVal, _xlfn.XLOOKUP($A152, My_Audit!$A:$A, My_Audit!N:N, ""),
    _xlfn.TEXTJOIN(", ", TRUE, _xlpm.MyAuditVal, _xlpm.MacVal)
)</f>
        <v/>
      </c>
    </row>
    <row r="153" spans="1:24">
      <c r="A153" s="2" t="str">
        <f>_xlfn.TEXTJOIN("",TRUE,Input!$B$2,ROW(My_Audit!A152))</f>
        <v>X152</v>
      </c>
      <c r="B153" s="2" t="str">
        <f>_xlfn.TEXTJOIN("-",TRUE,"ITD",Input!$A$2,A153)</f>
        <v>ITD-SHR-X152</v>
      </c>
      <c r="C153" s="2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2" t="str" cm="1">
        <f t="array" ref="D153">IFERROR(_xlfn.LET(
_xlpm.CSVVal,_xlfn.XLOOKUP($A153,CSV!$A:$A,CSV!D:D,""),
_xlpm.MacVal,_xlfn.XLOOKUP($A153,Output_Mac!$A:$A,Output_Mac!C:C,""),
_xlpm.MyAuditVal,_xlfn.XLOOKUP($A153,My_Audit!$A:$A,My_Audit!C:C,""),
_xlfn.IFS(_xlpm.MyAuditVal&lt;&gt;"",_xlpm.MyAuditVal,_xlpm.MacVal&lt;&gt;"",_xlpm.MacVal,_xlpm.CSVVal&lt;&gt;"",_xlpm.CSVVal
)),"")</f>
        <v/>
      </c>
      <c r="E153" s="2" t="e">
        <f>IF(_xlfn.XLOOKUP(A153,My_Audit!A:A,My_Audit!D:D),_xlfn.XLOOKUP(A153,My_Audit!A:A,My_Audit!D:D),"")</f>
        <v>#N/A</v>
      </c>
      <c r="F153" s="2" t="str" cm="1">
        <f t="array" ref="F153">IFERROR(_xlfn.LET(
_xlpm.CSVVal,_xlfn.XLOOKUP($A153,CSV!$A:$A,CSV!F:F,""),
_xlpm.MacVal,_xlfn.XLOOKUP($A153,Output_Mac!$A:$A,Output_Mac!E:E,""),
_xlpm.MyAuditVal,_xlfn.XLOOKUP($A153,My_Audit!$A:$A,My_Audit!E:E,""),
_xlfn.IFS(_xlpm.MyAuditVal&lt;&gt;"",_xlpm.MyAuditVal,_xlpm.MacVal&lt;&gt;"",_xlpm.MacVal,_xlpm.CSVVal&lt;&gt;"",_xlpm.CSVVal
)),"")</f>
        <v/>
      </c>
      <c r="G153" s="2" t="str" cm="1">
        <f t="array" ref="G153">IFERROR(_xlfn.LET(
_xlpm.CSVVal,_xlfn.XLOOKUP($A153,CSV!$A:$A,CSV!G:G,""),
_xlpm.MacVal,_xlfn.XLOOKUP($A153,Output_Mac!$A:$A,Output_Mac!F:F,""),
_xlpm.MyAuditVal,_xlfn.XLOOKUP($A153,My_Audit!$A:$A,My_Audit!F:F,""),
_xlfn.IFS(_xlpm.MyAuditVal&lt;&gt;"",_xlpm.MyAuditVal,_xlpm.MacVal&lt;&gt;"",_xlpm.MacVal,_xlpm.CSVVal&lt;&gt;"",PROPER(_xlpm.CSVVal)
)),"")</f>
        <v/>
      </c>
      <c r="H153" s="2" t="str" cm="1">
        <f t="array" ref="H153">IFERROR(_xlfn.LET(
_xlpm.CSVVal,_xlfn.XLOOKUP($A153,CSV!$A:$A,CSV!H:H,""),
_xlpm.MacVal,_xlfn.XLOOKUP($A153,Output_Mac!$A:$A,Output_Mac!H:H,""),
_xlpm.MyAuditVal,_xlfn.XLOOKUP($A153,My_Audit!$A:$A,My_Audit!G:G,""),
_xlfn.IFS(_xlpm.MyAuditVal&lt;&gt;"",_xlpm.MyAuditVal,_xlpm.MacVal&lt;&gt;"",_xlpm.MacVal,_xlpm.CSVVal&lt;&gt;"",_xlpm.CSVVal
)),"")</f>
        <v/>
      </c>
      <c r="I153" s="2" t="str">
        <f>_xlfn.XLOOKUP(A153,Output_Mac!A:A,Output_Mac!I:I,"")</f>
        <v/>
      </c>
      <c r="J153" s="2" t="str" cm="1">
        <f t="array" ref="J153">IFERROR(_xlfn.LET(
_xlpm.CSVVal,_xlfn.XLOOKUP($A153,CSV!$A:$A,CSV!I:I,""),
_xlpm.MacVal,_xlfn.XLOOKUP($A153,Output_Mac!$A:$A,Output_Mac!J:J,""),
_xlpm.MyAuditVal,_xlfn.XLOOKUP($A153,My_Audit!$A:$A,My_Audit!I:I,""),
_xlfn.IFS(_xlpm.MyAuditVal&lt;&gt;"",UPPER(_xlpm.MyAuditVal),_xlpm.MacVal&lt;&gt;"",_xlpm.MacVal,_xlpm.CSVVal&lt;&gt;"",_xlpm.CSVVal
)),"")</f>
        <v/>
      </c>
      <c r="K153" s="2" t="str" cm="1">
        <f t="array" ref="K153">IFERROR(_xlfn.LET(
_xlpm.CSVVal,_xlfn.XLOOKUP($A153,CSV!$A:$A,CSV!K:K,""),
_xlpm.MacVal,_xlfn.XLOOKUP($A153,Output_Mac!$A:$A,Output_Mac!K:K,""),
_xlpm.MyAuditVal,_xlfn.XLOOKUP($A153,My_Audit!$A:$A,My_Audit!J:J,""),
_xlfn.IFS(_xlpm.MyAuditVal&lt;&gt;"",UPPER(_xlpm.MyAuditVal),_xlpm.MacVal&lt;&gt;"",_xlpm.MacVal,_xlpm.CSVVal&lt;&gt;"",_xlpm.CSVVal
)),"")</f>
        <v/>
      </c>
      <c r="L153" s="2" t="str" cm="1">
        <f t="array" ref="L153">IFERROR(_xlfn.LET(
_xlpm.CSVVal,_xlfn.XLOOKUP($A153,CSV!$A:$A,CSV!P:P,""),
_xlpm.MacVal,_xlfn.XLOOKUP($A153,Output_Mac!$A:$A,Output_Mac!L:L,""),
_xlpm.MyAuditVal,_xlfn.XLOOKUP($A153,My_Audit!$A:$A,My_Audit!K:K,""),
_xlfn.IFS(_xlpm.MyAuditVal&lt;&gt;"",UPPER(_xlpm.MyAuditVal),_xlpm.MacVal&lt;&gt;"",_xlpm.MacVal,_xlpm.CSVVal&lt;&gt;"",_xlpm.CSVVal
)),"")</f>
        <v/>
      </c>
      <c r="M153" s="2" t="str" cm="1">
        <f t="array" ref="M153">IFERROR(_xlfn.LET(
_xlpm.CSVVal,_xlfn.XLOOKUP($A153,CSV!$A:$A,CSV!Q:Q,""),
_xlpm.MacVal,_xlfn.XLOOKUP($A153,Output_Mac!$A:$A,Output_Mac!M:M,""),
_xlpm.MyAuditVal,_xlfn.XLOOKUP($A153,My_Audit!$A:$A,My_Audit!L:L,""),
_xlfn.IFS(_xlpm.MyAuditVal&lt;&gt;"",UPPER(_xlpm.MyAuditVal),_xlpm.MacVal&lt;&gt;"",_xlpm.MacVal,_xlpm.CSVVal&lt;&gt;"",_xlpm.CSVVal
)),"")</f>
        <v/>
      </c>
      <c r="O153" s="2" t="str">
        <f>_xlfn.LET(
    _xlpm.CSVVal, _xlfn.XLOOKUP($A153, CSV!$A:$A, CSV!AA:AA, ""),
    _xlpm.MacVal, _xlfn.XLOOKUP($A153, Output_Mac!$A:$A, Output_Mac!S:S, ""),
    _xlpm.MyAuditVal, _xlfn.XLOOKUP($A153, My_Audit!$A:$A, My_Audit!P:P, ""),
    _xlfn.TEXTJOIN(", ", TRUE, _xlpm.MyAuditVal, _xlpm.MacVal, _xlpm.CSVVal)
)</f>
        <v/>
      </c>
      <c r="P153" s="2" t="str" cm="1">
        <f t="array" ref="P153">IFERROR(_xlfn.LET(
_xlpm.CSVVal,_xlfn.XLOOKUP($A153,CSV!$A:$A,CSV!AB:AB,""),
_xlpm.MacVal,_xlfn.XLOOKUP($A153,Output_Mac!$A:$A,Output_Mac!T:T,""),
_xlpm.MyAuditVal,_xlfn.XLOOKUP($A153,My_Audit!$A:$A,My_Audit!Q:Q,""),
_xlfn.IFS(_xlpm.MyAuditVal&lt;&gt;"",UPPER(_xlpm.MyAuditVal),_xlpm.MacVal&lt;&gt;"",_xlpm.MacVal,_xlpm.CSVVal&lt;&gt;"",_xlpm.CSVVal
)),"No")</f>
        <v>No</v>
      </c>
      <c r="Q153" s="2" t="str" cm="1">
        <f t="array" ref="Q153">IFERROR(_xlfn.LET(
_xlpm.CSVVal,_xlfn.XLOOKUP($A153,CSV!$A:$A,CSV!AC:AC,""),
_xlpm.MacVal,_xlfn.XLOOKUP($A153,Output_Mac!$A:$A,Output_Mac!U:U,""),
_xlpm.MyAuditVal,_xlfn.XLOOKUP($A153,My_Audit!$A:$A,My_Audit!R:R,""),
_xlfn.IFS(_xlpm.MyAuditVal&lt;&gt;"",UPPER(_xlpm.MyAuditVal),_xlpm.MacVal&lt;&gt;"",_xlpm.MacVal,_xlpm.CSVVal&lt;&gt;"",_xlpm.CSVVal
)),"")</f>
        <v/>
      </c>
      <c r="X153" t="str">
        <f>_xlfn.LET(
    _xlpm.MacVal, _xlfn.XLOOKUP($A153, Output_Mac!$A:$A, Output_Mac!AB:AB, ""),
    _xlpm.MyAuditVal, _xlfn.XLOOKUP($A153, My_Audit!$A:$A, My_Audit!N:N, ""),
    _xlfn.TEXTJOIN(", ", TRUE, _xlpm.MyAuditVal, _xlpm.MacVal)
)</f>
        <v/>
      </c>
    </row>
    <row r="154" spans="1:24">
      <c r="A154" s="2" t="str">
        <f>_xlfn.TEXTJOIN("",TRUE,Input!$B$2,ROW(My_Audit!A153))</f>
        <v>X153</v>
      </c>
      <c r="B154" s="2" t="str">
        <f>_xlfn.TEXTJOIN("-",TRUE,"ITD",Input!$A$2,A154)</f>
        <v>ITD-SHR-X153</v>
      </c>
      <c r="C154" s="2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2" t="str" cm="1">
        <f t="array" ref="D154">IFERROR(_xlfn.LET(
_xlpm.CSVVal,_xlfn.XLOOKUP($A154,CSV!$A:$A,CSV!D:D,""),
_xlpm.MacVal,_xlfn.XLOOKUP($A154,Output_Mac!$A:$A,Output_Mac!C:C,""),
_xlpm.MyAuditVal,_xlfn.XLOOKUP($A154,My_Audit!$A:$A,My_Audit!C:C,""),
_xlfn.IFS(_xlpm.MyAuditVal&lt;&gt;"",_xlpm.MyAuditVal,_xlpm.MacVal&lt;&gt;"",_xlpm.MacVal,_xlpm.CSVVal&lt;&gt;"",_xlpm.CSVVal
)),"")</f>
        <v/>
      </c>
      <c r="E154" s="2" t="e">
        <f>IF(_xlfn.XLOOKUP(A154,My_Audit!A:A,My_Audit!D:D),_xlfn.XLOOKUP(A154,My_Audit!A:A,My_Audit!D:D),"")</f>
        <v>#N/A</v>
      </c>
      <c r="F154" s="2" t="str" cm="1">
        <f t="array" ref="F154">IFERROR(_xlfn.LET(
_xlpm.CSVVal,_xlfn.XLOOKUP($A154,CSV!$A:$A,CSV!F:F,""),
_xlpm.MacVal,_xlfn.XLOOKUP($A154,Output_Mac!$A:$A,Output_Mac!E:E,""),
_xlpm.MyAuditVal,_xlfn.XLOOKUP($A154,My_Audit!$A:$A,My_Audit!E:E,""),
_xlfn.IFS(_xlpm.MyAuditVal&lt;&gt;"",_xlpm.MyAuditVal,_xlpm.MacVal&lt;&gt;"",_xlpm.MacVal,_xlpm.CSVVal&lt;&gt;"",_xlpm.CSVVal
)),"")</f>
        <v/>
      </c>
      <c r="G154" s="2" t="str" cm="1">
        <f t="array" ref="G154">IFERROR(_xlfn.LET(
_xlpm.CSVVal,_xlfn.XLOOKUP($A154,CSV!$A:$A,CSV!G:G,""),
_xlpm.MacVal,_xlfn.XLOOKUP($A154,Output_Mac!$A:$A,Output_Mac!F:F,""),
_xlpm.MyAuditVal,_xlfn.XLOOKUP($A154,My_Audit!$A:$A,My_Audit!F:F,""),
_xlfn.IFS(_xlpm.MyAuditVal&lt;&gt;"",_xlpm.MyAuditVal,_xlpm.MacVal&lt;&gt;"",_xlpm.MacVal,_xlpm.CSVVal&lt;&gt;"",PROPER(_xlpm.CSVVal)
)),"")</f>
        <v/>
      </c>
      <c r="H154" s="2" t="str" cm="1">
        <f t="array" ref="H154">IFERROR(_xlfn.LET(
_xlpm.CSVVal,_xlfn.XLOOKUP($A154,CSV!$A:$A,CSV!H:H,""),
_xlpm.MacVal,_xlfn.XLOOKUP($A154,Output_Mac!$A:$A,Output_Mac!H:H,""),
_xlpm.MyAuditVal,_xlfn.XLOOKUP($A154,My_Audit!$A:$A,My_Audit!G:G,""),
_xlfn.IFS(_xlpm.MyAuditVal&lt;&gt;"",_xlpm.MyAuditVal,_xlpm.MacVal&lt;&gt;"",_xlpm.MacVal,_xlpm.CSVVal&lt;&gt;"",_xlpm.CSVVal
)),"")</f>
        <v/>
      </c>
      <c r="I154" s="2" t="str">
        <f>_xlfn.XLOOKUP(A154,Output_Mac!A:A,Output_Mac!I:I,"")</f>
        <v/>
      </c>
      <c r="J154" s="2" t="str" cm="1">
        <f t="array" ref="J154">IFERROR(_xlfn.LET(
_xlpm.CSVVal,_xlfn.XLOOKUP($A154,CSV!$A:$A,CSV!I:I,""),
_xlpm.MacVal,_xlfn.XLOOKUP($A154,Output_Mac!$A:$A,Output_Mac!J:J,""),
_xlpm.MyAuditVal,_xlfn.XLOOKUP($A154,My_Audit!$A:$A,My_Audit!I:I,""),
_xlfn.IFS(_xlpm.MyAuditVal&lt;&gt;"",UPPER(_xlpm.MyAuditVal),_xlpm.MacVal&lt;&gt;"",_xlpm.MacVal,_xlpm.CSVVal&lt;&gt;"",_xlpm.CSVVal
)),"")</f>
        <v/>
      </c>
      <c r="K154" s="2" t="str" cm="1">
        <f t="array" ref="K154">IFERROR(_xlfn.LET(
_xlpm.CSVVal,_xlfn.XLOOKUP($A154,CSV!$A:$A,CSV!K:K,""),
_xlpm.MacVal,_xlfn.XLOOKUP($A154,Output_Mac!$A:$A,Output_Mac!K:K,""),
_xlpm.MyAuditVal,_xlfn.XLOOKUP($A154,My_Audit!$A:$A,My_Audit!J:J,""),
_xlfn.IFS(_xlpm.MyAuditVal&lt;&gt;"",UPPER(_xlpm.MyAuditVal),_xlpm.MacVal&lt;&gt;"",_xlpm.MacVal,_xlpm.CSVVal&lt;&gt;"",_xlpm.CSVVal
)),"")</f>
        <v/>
      </c>
      <c r="L154" s="2" t="str" cm="1">
        <f t="array" ref="L154">IFERROR(_xlfn.LET(
_xlpm.CSVVal,_xlfn.XLOOKUP($A154,CSV!$A:$A,CSV!P:P,""),
_xlpm.MacVal,_xlfn.XLOOKUP($A154,Output_Mac!$A:$A,Output_Mac!L:L,""),
_xlpm.MyAuditVal,_xlfn.XLOOKUP($A154,My_Audit!$A:$A,My_Audit!K:K,""),
_xlfn.IFS(_xlpm.MyAuditVal&lt;&gt;"",UPPER(_xlpm.MyAuditVal),_xlpm.MacVal&lt;&gt;"",_xlpm.MacVal,_xlpm.CSVVal&lt;&gt;"",_xlpm.CSVVal
)),"")</f>
        <v/>
      </c>
      <c r="M154" s="2" t="str" cm="1">
        <f t="array" ref="M154">IFERROR(_xlfn.LET(
_xlpm.CSVVal,_xlfn.XLOOKUP($A154,CSV!$A:$A,CSV!Q:Q,""),
_xlpm.MacVal,_xlfn.XLOOKUP($A154,Output_Mac!$A:$A,Output_Mac!M:M,""),
_xlpm.MyAuditVal,_xlfn.XLOOKUP($A154,My_Audit!$A:$A,My_Audit!L:L,""),
_xlfn.IFS(_xlpm.MyAuditVal&lt;&gt;"",UPPER(_xlpm.MyAuditVal),_xlpm.MacVal&lt;&gt;"",_xlpm.MacVal,_xlpm.CSVVal&lt;&gt;"",_xlpm.CSVVal
)),"")</f>
        <v/>
      </c>
      <c r="O154" s="2" t="str">
        <f>_xlfn.LET(
    _xlpm.CSVVal, _xlfn.XLOOKUP($A154, CSV!$A:$A, CSV!AA:AA, ""),
    _xlpm.MacVal, _xlfn.XLOOKUP($A154, Output_Mac!$A:$A, Output_Mac!S:S, ""),
    _xlpm.MyAuditVal, _xlfn.XLOOKUP($A154, My_Audit!$A:$A, My_Audit!P:P, ""),
    _xlfn.TEXTJOIN(", ", TRUE, _xlpm.MyAuditVal, _xlpm.MacVal, _xlpm.CSVVal)
)</f>
        <v/>
      </c>
      <c r="P154" s="2" t="str" cm="1">
        <f t="array" ref="P154">IFERROR(_xlfn.LET(
_xlpm.CSVVal,_xlfn.XLOOKUP($A154,CSV!$A:$A,CSV!AB:AB,""),
_xlpm.MacVal,_xlfn.XLOOKUP($A154,Output_Mac!$A:$A,Output_Mac!T:T,""),
_xlpm.MyAuditVal,_xlfn.XLOOKUP($A154,My_Audit!$A:$A,My_Audit!Q:Q,""),
_xlfn.IFS(_xlpm.MyAuditVal&lt;&gt;"",UPPER(_xlpm.MyAuditVal),_xlpm.MacVal&lt;&gt;"",_xlpm.MacVal,_xlpm.CSVVal&lt;&gt;"",_xlpm.CSVVal
)),"No")</f>
        <v>No</v>
      </c>
      <c r="Q154" s="2" t="str" cm="1">
        <f t="array" ref="Q154">IFERROR(_xlfn.LET(
_xlpm.CSVVal,_xlfn.XLOOKUP($A154,CSV!$A:$A,CSV!AC:AC,""),
_xlpm.MacVal,_xlfn.XLOOKUP($A154,Output_Mac!$A:$A,Output_Mac!U:U,""),
_xlpm.MyAuditVal,_xlfn.XLOOKUP($A154,My_Audit!$A:$A,My_Audit!R:R,""),
_xlfn.IFS(_xlpm.MyAuditVal&lt;&gt;"",UPPER(_xlpm.MyAuditVal),_xlpm.MacVal&lt;&gt;"",_xlpm.MacVal,_xlpm.CSVVal&lt;&gt;"",_xlpm.CSVVal
)),"")</f>
        <v/>
      </c>
      <c r="X154" t="str">
        <f>_xlfn.LET(
    _xlpm.MacVal, _xlfn.XLOOKUP($A154, Output_Mac!$A:$A, Output_Mac!AB:AB, ""),
    _xlpm.MyAuditVal, _xlfn.XLOOKUP($A154, My_Audit!$A:$A, My_Audit!N:N, ""),
    _xlfn.TEXTJOIN(", ", TRUE, _xlpm.MyAuditVal, _xlpm.MacVal)
)</f>
        <v/>
      </c>
    </row>
    <row r="155" spans="1:24">
      <c r="A155" s="2" t="str">
        <f>_xlfn.TEXTJOIN("",TRUE,Input!$B$2,ROW(My_Audit!A154))</f>
        <v>X154</v>
      </c>
      <c r="B155" s="2" t="str">
        <f>_xlfn.TEXTJOIN("-",TRUE,"ITD",Input!$A$2,A155)</f>
        <v>ITD-SHR-X154</v>
      </c>
      <c r="C155" s="2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2" t="str" cm="1">
        <f t="array" ref="D155">IFERROR(_xlfn.LET(
_xlpm.CSVVal,_xlfn.XLOOKUP($A155,CSV!$A:$A,CSV!D:D,""),
_xlpm.MacVal,_xlfn.XLOOKUP($A155,Output_Mac!$A:$A,Output_Mac!C:C,""),
_xlpm.MyAuditVal,_xlfn.XLOOKUP($A155,My_Audit!$A:$A,My_Audit!C:C,""),
_xlfn.IFS(_xlpm.MyAuditVal&lt;&gt;"",_xlpm.MyAuditVal,_xlpm.MacVal&lt;&gt;"",_xlpm.MacVal,_xlpm.CSVVal&lt;&gt;"",_xlpm.CSVVal
)),"")</f>
        <v/>
      </c>
      <c r="E155" s="2" t="e">
        <f>IF(_xlfn.XLOOKUP(A155,My_Audit!A:A,My_Audit!D:D),_xlfn.XLOOKUP(A155,My_Audit!A:A,My_Audit!D:D),"")</f>
        <v>#N/A</v>
      </c>
      <c r="F155" s="2" t="str" cm="1">
        <f t="array" ref="F155">IFERROR(_xlfn.LET(
_xlpm.CSVVal,_xlfn.XLOOKUP($A155,CSV!$A:$A,CSV!F:F,""),
_xlpm.MacVal,_xlfn.XLOOKUP($A155,Output_Mac!$A:$A,Output_Mac!E:E,""),
_xlpm.MyAuditVal,_xlfn.XLOOKUP($A155,My_Audit!$A:$A,My_Audit!E:E,""),
_xlfn.IFS(_xlpm.MyAuditVal&lt;&gt;"",_xlpm.MyAuditVal,_xlpm.MacVal&lt;&gt;"",_xlpm.MacVal,_xlpm.CSVVal&lt;&gt;"",_xlpm.CSVVal
)),"")</f>
        <v/>
      </c>
      <c r="G155" s="2" t="str" cm="1">
        <f t="array" ref="G155">IFERROR(_xlfn.LET(
_xlpm.CSVVal,_xlfn.XLOOKUP($A155,CSV!$A:$A,CSV!G:G,""),
_xlpm.MacVal,_xlfn.XLOOKUP($A155,Output_Mac!$A:$A,Output_Mac!F:F,""),
_xlpm.MyAuditVal,_xlfn.XLOOKUP($A155,My_Audit!$A:$A,My_Audit!F:F,""),
_xlfn.IFS(_xlpm.MyAuditVal&lt;&gt;"",_xlpm.MyAuditVal,_xlpm.MacVal&lt;&gt;"",_xlpm.MacVal,_xlpm.CSVVal&lt;&gt;"",PROPER(_xlpm.CSVVal)
)),"")</f>
        <v/>
      </c>
      <c r="H155" s="2" t="str" cm="1">
        <f t="array" ref="H155">IFERROR(_xlfn.LET(
_xlpm.CSVVal,_xlfn.XLOOKUP($A155,CSV!$A:$A,CSV!H:H,""),
_xlpm.MacVal,_xlfn.XLOOKUP($A155,Output_Mac!$A:$A,Output_Mac!H:H,""),
_xlpm.MyAuditVal,_xlfn.XLOOKUP($A155,My_Audit!$A:$A,My_Audit!G:G,""),
_xlfn.IFS(_xlpm.MyAuditVal&lt;&gt;"",_xlpm.MyAuditVal,_xlpm.MacVal&lt;&gt;"",_xlpm.MacVal,_xlpm.CSVVal&lt;&gt;"",_xlpm.CSVVal
)),"")</f>
        <v/>
      </c>
      <c r="I155" s="2" t="str">
        <f>_xlfn.XLOOKUP(A155,Output_Mac!A:A,Output_Mac!I:I,"")</f>
        <v/>
      </c>
      <c r="J155" s="2" t="str" cm="1">
        <f t="array" ref="J155">IFERROR(_xlfn.LET(
_xlpm.CSVVal,_xlfn.XLOOKUP($A155,CSV!$A:$A,CSV!I:I,""),
_xlpm.MacVal,_xlfn.XLOOKUP($A155,Output_Mac!$A:$A,Output_Mac!J:J,""),
_xlpm.MyAuditVal,_xlfn.XLOOKUP($A155,My_Audit!$A:$A,My_Audit!I:I,""),
_xlfn.IFS(_xlpm.MyAuditVal&lt;&gt;"",UPPER(_xlpm.MyAuditVal),_xlpm.MacVal&lt;&gt;"",_xlpm.MacVal,_xlpm.CSVVal&lt;&gt;"",_xlpm.CSVVal
)),"")</f>
        <v/>
      </c>
      <c r="K155" s="2" t="str" cm="1">
        <f t="array" ref="K155">IFERROR(_xlfn.LET(
_xlpm.CSVVal,_xlfn.XLOOKUP($A155,CSV!$A:$A,CSV!K:K,""),
_xlpm.MacVal,_xlfn.XLOOKUP($A155,Output_Mac!$A:$A,Output_Mac!K:K,""),
_xlpm.MyAuditVal,_xlfn.XLOOKUP($A155,My_Audit!$A:$A,My_Audit!J:J,""),
_xlfn.IFS(_xlpm.MyAuditVal&lt;&gt;"",UPPER(_xlpm.MyAuditVal),_xlpm.MacVal&lt;&gt;"",_xlpm.MacVal,_xlpm.CSVVal&lt;&gt;"",_xlpm.CSVVal
)),"")</f>
        <v/>
      </c>
      <c r="L155" s="2" t="str" cm="1">
        <f t="array" ref="L155">IFERROR(_xlfn.LET(
_xlpm.CSVVal,_xlfn.XLOOKUP($A155,CSV!$A:$A,CSV!P:P,""),
_xlpm.MacVal,_xlfn.XLOOKUP($A155,Output_Mac!$A:$A,Output_Mac!L:L,""),
_xlpm.MyAuditVal,_xlfn.XLOOKUP($A155,My_Audit!$A:$A,My_Audit!K:K,""),
_xlfn.IFS(_xlpm.MyAuditVal&lt;&gt;"",UPPER(_xlpm.MyAuditVal),_xlpm.MacVal&lt;&gt;"",_xlpm.MacVal,_xlpm.CSVVal&lt;&gt;"",_xlpm.CSVVal
)),"")</f>
        <v/>
      </c>
      <c r="M155" s="2" t="str" cm="1">
        <f t="array" ref="M155">IFERROR(_xlfn.LET(
_xlpm.CSVVal,_xlfn.XLOOKUP($A155,CSV!$A:$A,CSV!Q:Q,""),
_xlpm.MacVal,_xlfn.XLOOKUP($A155,Output_Mac!$A:$A,Output_Mac!M:M,""),
_xlpm.MyAuditVal,_xlfn.XLOOKUP($A155,My_Audit!$A:$A,My_Audit!L:L,""),
_xlfn.IFS(_xlpm.MyAuditVal&lt;&gt;"",UPPER(_xlpm.MyAuditVal),_xlpm.MacVal&lt;&gt;"",_xlpm.MacVal,_xlpm.CSVVal&lt;&gt;"",_xlpm.CSVVal
)),"")</f>
        <v/>
      </c>
      <c r="O155" s="2" t="str">
        <f>_xlfn.LET(
    _xlpm.CSVVal, _xlfn.XLOOKUP($A155, CSV!$A:$A, CSV!AA:AA, ""),
    _xlpm.MacVal, _xlfn.XLOOKUP($A155, Output_Mac!$A:$A, Output_Mac!S:S, ""),
    _xlpm.MyAuditVal, _xlfn.XLOOKUP($A155, My_Audit!$A:$A, My_Audit!P:P, ""),
    _xlfn.TEXTJOIN(", ", TRUE, _xlpm.MyAuditVal, _xlpm.MacVal, _xlpm.CSVVal)
)</f>
        <v/>
      </c>
      <c r="P155" s="2" t="str" cm="1">
        <f t="array" ref="P155">IFERROR(_xlfn.LET(
_xlpm.CSVVal,_xlfn.XLOOKUP($A155,CSV!$A:$A,CSV!AB:AB,""),
_xlpm.MacVal,_xlfn.XLOOKUP($A155,Output_Mac!$A:$A,Output_Mac!T:T,""),
_xlpm.MyAuditVal,_xlfn.XLOOKUP($A155,My_Audit!$A:$A,My_Audit!Q:Q,""),
_xlfn.IFS(_xlpm.MyAuditVal&lt;&gt;"",UPPER(_xlpm.MyAuditVal),_xlpm.MacVal&lt;&gt;"",_xlpm.MacVal,_xlpm.CSVVal&lt;&gt;"",_xlpm.CSVVal
)),"No")</f>
        <v>No</v>
      </c>
      <c r="Q155" s="2" t="str" cm="1">
        <f t="array" ref="Q155">IFERROR(_xlfn.LET(
_xlpm.CSVVal,_xlfn.XLOOKUP($A155,CSV!$A:$A,CSV!AC:AC,""),
_xlpm.MacVal,_xlfn.XLOOKUP($A155,Output_Mac!$A:$A,Output_Mac!U:U,""),
_xlpm.MyAuditVal,_xlfn.XLOOKUP($A155,My_Audit!$A:$A,My_Audit!R:R,""),
_xlfn.IFS(_xlpm.MyAuditVal&lt;&gt;"",UPPER(_xlpm.MyAuditVal),_xlpm.MacVal&lt;&gt;"",_xlpm.MacVal,_xlpm.CSVVal&lt;&gt;"",_xlpm.CSVVal
)),"")</f>
        <v/>
      </c>
      <c r="X155" t="str">
        <f>_xlfn.LET(
    _xlpm.MacVal, _xlfn.XLOOKUP($A155, Output_Mac!$A:$A, Output_Mac!AB:AB, ""),
    _xlpm.MyAuditVal, _xlfn.XLOOKUP($A155, My_Audit!$A:$A, My_Audit!N:N, ""),
    _xlfn.TEXTJOIN(", ", TRUE, _xlpm.MyAuditVal, _xlpm.MacVal)
)</f>
        <v/>
      </c>
    </row>
    <row r="156" spans="1:24">
      <c r="A156" s="2" t="str">
        <f>_xlfn.TEXTJOIN("",TRUE,Input!$B$2,ROW(My_Audit!A155))</f>
        <v>X155</v>
      </c>
      <c r="B156" s="2" t="str">
        <f>_xlfn.TEXTJOIN("-",TRUE,"ITD",Input!$A$2,A156)</f>
        <v>ITD-SHR-X155</v>
      </c>
      <c r="C156" s="2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2" t="str" cm="1">
        <f t="array" ref="D156">IFERROR(_xlfn.LET(
_xlpm.CSVVal,_xlfn.XLOOKUP($A156,CSV!$A:$A,CSV!D:D,""),
_xlpm.MacVal,_xlfn.XLOOKUP($A156,Output_Mac!$A:$A,Output_Mac!C:C,""),
_xlpm.MyAuditVal,_xlfn.XLOOKUP($A156,My_Audit!$A:$A,My_Audit!C:C,""),
_xlfn.IFS(_xlpm.MyAuditVal&lt;&gt;"",_xlpm.MyAuditVal,_xlpm.MacVal&lt;&gt;"",_xlpm.MacVal,_xlpm.CSVVal&lt;&gt;"",_xlpm.CSVVal
)),"")</f>
        <v/>
      </c>
      <c r="E156" s="2" t="e">
        <f>IF(_xlfn.XLOOKUP(A156,My_Audit!A:A,My_Audit!D:D),_xlfn.XLOOKUP(A156,My_Audit!A:A,My_Audit!D:D),"")</f>
        <v>#N/A</v>
      </c>
      <c r="F156" s="2" t="str" cm="1">
        <f t="array" ref="F156">IFERROR(_xlfn.LET(
_xlpm.CSVVal,_xlfn.XLOOKUP($A156,CSV!$A:$A,CSV!F:F,""),
_xlpm.MacVal,_xlfn.XLOOKUP($A156,Output_Mac!$A:$A,Output_Mac!E:E,""),
_xlpm.MyAuditVal,_xlfn.XLOOKUP($A156,My_Audit!$A:$A,My_Audit!E:E,""),
_xlfn.IFS(_xlpm.MyAuditVal&lt;&gt;"",_xlpm.MyAuditVal,_xlpm.MacVal&lt;&gt;"",_xlpm.MacVal,_xlpm.CSVVal&lt;&gt;"",_xlpm.CSVVal
)),"")</f>
        <v/>
      </c>
      <c r="G156" s="2" t="str" cm="1">
        <f t="array" ref="G156">IFERROR(_xlfn.LET(
_xlpm.CSVVal,_xlfn.XLOOKUP($A156,CSV!$A:$A,CSV!G:G,""),
_xlpm.MacVal,_xlfn.XLOOKUP($A156,Output_Mac!$A:$A,Output_Mac!F:F,""),
_xlpm.MyAuditVal,_xlfn.XLOOKUP($A156,My_Audit!$A:$A,My_Audit!F:F,""),
_xlfn.IFS(_xlpm.MyAuditVal&lt;&gt;"",_xlpm.MyAuditVal,_xlpm.MacVal&lt;&gt;"",_xlpm.MacVal,_xlpm.CSVVal&lt;&gt;"",PROPER(_xlpm.CSVVal)
)),"")</f>
        <v/>
      </c>
      <c r="H156" s="2" t="str" cm="1">
        <f t="array" ref="H156">IFERROR(_xlfn.LET(
_xlpm.CSVVal,_xlfn.XLOOKUP($A156,CSV!$A:$A,CSV!H:H,""),
_xlpm.MacVal,_xlfn.XLOOKUP($A156,Output_Mac!$A:$A,Output_Mac!H:H,""),
_xlpm.MyAuditVal,_xlfn.XLOOKUP($A156,My_Audit!$A:$A,My_Audit!G:G,""),
_xlfn.IFS(_xlpm.MyAuditVal&lt;&gt;"",_xlpm.MyAuditVal,_xlpm.MacVal&lt;&gt;"",_xlpm.MacVal,_xlpm.CSVVal&lt;&gt;"",_xlpm.CSVVal
)),"")</f>
        <v/>
      </c>
      <c r="I156" s="2" t="str">
        <f>_xlfn.XLOOKUP(A156,Output_Mac!A:A,Output_Mac!I:I,"")</f>
        <v/>
      </c>
      <c r="J156" s="2" t="str" cm="1">
        <f t="array" ref="J156">IFERROR(_xlfn.LET(
_xlpm.CSVVal,_xlfn.XLOOKUP($A156,CSV!$A:$A,CSV!I:I,""),
_xlpm.MacVal,_xlfn.XLOOKUP($A156,Output_Mac!$A:$A,Output_Mac!J:J,""),
_xlpm.MyAuditVal,_xlfn.XLOOKUP($A156,My_Audit!$A:$A,My_Audit!I:I,""),
_xlfn.IFS(_xlpm.MyAuditVal&lt;&gt;"",UPPER(_xlpm.MyAuditVal),_xlpm.MacVal&lt;&gt;"",_xlpm.MacVal,_xlpm.CSVVal&lt;&gt;"",_xlpm.CSVVal
)),"")</f>
        <v/>
      </c>
      <c r="K156" s="2" t="str" cm="1">
        <f t="array" ref="K156">IFERROR(_xlfn.LET(
_xlpm.CSVVal,_xlfn.XLOOKUP($A156,CSV!$A:$A,CSV!K:K,""),
_xlpm.MacVal,_xlfn.XLOOKUP($A156,Output_Mac!$A:$A,Output_Mac!K:K,""),
_xlpm.MyAuditVal,_xlfn.XLOOKUP($A156,My_Audit!$A:$A,My_Audit!J:J,""),
_xlfn.IFS(_xlpm.MyAuditVal&lt;&gt;"",UPPER(_xlpm.MyAuditVal),_xlpm.MacVal&lt;&gt;"",_xlpm.MacVal,_xlpm.CSVVal&lt;&gt;"",_xlpm.CSVVal
)),"")</f>
        <v/>
      </c>
      <c r="L156" s="2" t="str" cm="1">
        <f t="array" ref="L156">IFERROR(_xlfn.LET(
_xlpm.CSVVal,_xlfn.XLOOKUP($A156,CSV!$A:$A,CSV!P:P,""),
_xlpm.MacVal,_xlfn.XLOOKUP($A156,Output_Mac!$A:$A,Output_Mac!L:L,""),
_xlpm.MyAuditVal,_xlfn.XLOOKUP($A156,My_Audit!$A:$A,My_Audit!K:K,""),
_xlfn.IFS(_xlpm.MyAuditVal&lt;&gt;"",UPPER(_xlpm.MyAuditVal),_xlpm.MacVal&lt;&gt;"",_xlpm.MacVal,_xlpm.CSVVal&lt;&gt;"",_xlpm.CSVVal
)),"")</f>
        <v/>
      </c>
      <c r="M156" s="2" t="str" cm="1">
        <f t="array" ref="M156">IFERROR(_xlfn.LET(
_xlpm.CSVVal,_xlfn.XLOOKUP($A156,CSV!$A:$A,CSV!Q:Q,""),
_xlpm.MacVal,_xlfn.XLOOKUP($A156,Output_Mac!$A:$A,Output_Mac!M:M,""),
_xlpm.MyAuditVal,_xlfn.XLOOKUP($A156,My_Audit!$A:$A,My_Audit!L:L,""),
_xlfn.IFS(_xlpm.MyAuditVal&lt;&gt;"",UPPER(_xlpm.MyAuditVal),_xlpm.MacVal&lt;&gt;"",_xlpm.MacVal,_xlpm.CSVVal&lt;&gt;"",_xlpm.CSVVal
)),"")</f>
        <v/>
      </c>
      <c r="O156" s="2" t="str">
        <f>_xlfn.LET(
    _xlpm.CSVVal, _xlfn.XLOOKUP($A156, CSV!$A:$A, CSV!AA:AA, ""),
    _xlpm.MacVal, _xlfn.XLOOKUP($A156, Output_Mac!$A:$A, Output_Mac!S:S, ""),
    _xlpm.MyAuditVal, _xlfn.XLOOKUP($A156, My_Audit!$A:$A, My_Audit!P:P, ""),
    _xlfn.TEXTJOIN(", ", TRUE, _xlpm.MyAuditVal, _xlpm.MacVal, _xlpm.CSVVal)
)</f>
        <v/>
      </c>
      <c r="P156" s="2" t="str" cm="1">
        <f t="array" ref="P156">IFERROR(_xlfn.LET(
_xlpm.CSVVal,_xlfn.XLOOKUP($A156,CSV!$A:$A,CSV!AB:AB,""),
_xlpm.MacVal,_xlfn.XLOOKUP($A156,Output_Mac!$A:$A,Output_Mac!T:T,""),
_xlpm.MyAuditVal,_xlfn.XLOOKUP($A156,My_Audit!$A:$A,My_Audit!Q:Q,""),
_xlfn.IFS(_xlpm.MyAuditVal&lt;&gt;"",UPPER(_xlpm.MyAuditVal),_xlpm.MacVal&lt;&gt;"",_xlpm.MacVal,_xlpm.CSVVal&lt;&gt;"",_xlpm.CSVVal
)),"No")</f>
        <v>No</v>
      </c>
      <c r="Q156" s="2" t="str" cm="1">
        <f t="array" ref="Q156">IFERROR(_xlfn.LET(
_xlpm.CSVVal,_xlfn.XLOOKUP($A156,CSV!$A:$A,CSV!AC:AC,""),
_xlpm.MacVal,_xlfn.XLOOKUP($A156,Output_Mac!$A:$A,Output_Mac!U:U,""),
_xlpm.MyAuditVal,_xlfn.XLOOKUP($A156,My_Audit!$A:$A,My_Audit!R:R,""),
_xlfn.IFS(_xlpm.MyAuditVal&lt;&gt;"",UPPER(_xlpm.MyAuditVal),_xlpm.MacVal&lt;&gt;"",_xlpm.MacVal,_xlpm.CSVVal&lt;&gt;"",_xlpm.CSVVal
)),"")</f>
        <v/>
      </c>
      <c r="X156" t="str">
        <f>_xlfn.LET(
    _xlpm.MacVal, _xlfn.XLOOKUP($A156, Output_Mac!$A:$A, Output_Mac!AB:AB, ""),
    _xlpm.MyAuditVal, _xlfn.XLOOKUP($A156, My_Audit!$A:$A, My_Audit!N:N, ""),
    _xlfn.TEXTJOIN(", ", TRUE, _xlpm.MyAuditVal, _xlpm.MacVal)
)</f>
        <v/>
      </c>
    </row>
    <row r="157" spans="1:24">
      <c r="A157" s="2" t="str">
        <f>_xlfn.TEXTJOIN("",TRUE,Input!$B$2,ROW(My_Audit!A156))</f>
        <v>X156</v>
      </c>
      <c r="B157" s="2" t="str">
        <f>_xlfn.TEXTJOIN("-",TRUE,"ITD",Input!$A$2,A157)</f>
        <v>ITD-SHR-X156</v>
      </c>
      <c r="C157" s="2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2" t="str" cm="1">
        <f t="array" ref="D157">IFERROR(_xlfn.LET(
_xlpm.CSVVal,_xlfn.XLOOKUP($A157,CSV!$A:$A,CSV!D:D,""),
_xlpm.MacVal,_xlfn.XLOOKUP($A157,Output_Mac!$A:$A,Output_Mac!C:C,""),
_xlpm.MyAuditVal,_xlfn.XLOOKUP($A157,My_Audit!$A:$A,My_Audit!C:C,""),
_xlfn.IFS(_xlpm.MyAuditVal&lt;&gt;"",_xlpm.MyAuditVal,_xlpm.MacVal&lt;&gt;"",_xlpm.MacVal,_xlpm.CSVVal&lt;&gt;"",_xlpm.CSVVal
)),"")</f>
        <v/>
      </c>
      <c r="E157" s="2" t="e">
        <f>IF(_xlfn.XLOOKUP(A157,My_Audit!A:A,My_Audit!D:D),_xlfn.XLOOKUP(A157,My_Audit!A:A,My_Audit!D:D),"")</f>
        <v>#N/A</v>
      </c>
      <c r="F157" s="2" t="str" cm="1">
        <f t="array" ref="F157">IFERROR(_xlfn.LET(
_xlpm.CSVVal,_xlfn.XLOOKUP($A157,CSV!$A:$A,CSV!F:F,""),
_xlpm.MacVal,_xlfn.XLOOKUP($A157,Output_Mac!$A:$A,Output_Mac!E:E,""),
_xlpm.MyAuditVal,_xlfn.XLOOKUP($A157,My_Audit!$A:$A,My_Audit!E:E,""),
_xlfn.IFS(_xlpm.MyAuditVal&lt;&gt;"",_xlpm.MyAuditVal,_xlpm.MacVal&lt;&gt;"",_xlpm.MacVal,_xlpm.CSVVal&lt;&gt;"",_xlpm.CSVVal
)),"")</f>
        <v/>
      </c>
      <c r="G157" s="2" t="str" cm="1">
        <f t="array" ref="G157">IFERROR(_xlfn.LET(
_xlpm.CSVVal,_xlfn.XLOOKUP($A157,CSV!$A:$A,CSV!G:G,""),
_xlpm.MacVal,_xlfn.XLOOKUP($A157,Output_Mac!$A:$A,Output_Mac!F:F,""),
_xlpm.MyAuditVal,_xlfn.XLOOKUP($A157,My_Audit!$A:$A,My_Audit!F:F,""),
_xlfn.IFS(_xlpm.MyAuditVal&lt;&gt;"",_xlpm.MyAuditVal,_xlpm.MacVal&lt;&gt;"",_xlpm.MacVal,_xlpm.CSVVal&lt;&gt;"",PROPER(_xlpm.CSVVal)
)),"")</f>
        <v/>
      </c>
      <c r="H157" s="2" t="str" cm="1">
        <f t="array" ref="H157">IFERROR(_xlfn.LET(
_xlpm.CSVVal,_xlfn.XLOOKUP($A157,CSV!$A:$A,CSV!H:H,""),
_xlpm.MacVal,_xlfn.XLOOKUP($A157,Output_Mac!$A:$A,Output_Mac!H:H,""),
_xlpm.MyAuditVal,_xlfn.XLOOKUP($A157,My_Audit!$A:$A,My_Audit!G:G,""),
_xlfn.IFS(_xlpm.MyAuditVal&lt;&gt;"",_xlpm.MyAuditVal,_xlpm.MacVal&lt;&gt;"",_xlpm.MacVal,_xlpm.CSVVal&lt;&gt;"",_xlpm.CSVVal
)),"")</f>
        <v/>
      </c>
      <c r="I157" s="2" t="str">
        <f>_xlfn.XLOOKUP(A157,Output_Mac!A:A,Output_Mac!I:I,"")</f>
        <v/>
      </c>
      <c r="J157" s="2" t="str" cm="1">
        <f t="array" ref="J157">IFERROR(_xlfn.LET(
_xlpm.CSVVal,_xlfn.XLOOKUP($A157,CSV!$A:$A,CSV!I:I,""),
_xlpm.MacVal,_xlfn.XLOOKUP($A157,Output_Mac!$A:$A,Output_Mac!J:J,""),
_xlpm.MyAuditVal,_xlfn.XLOOKUP($A157,My_Audit!$A:$A,My_Audit!I:I,""),
_xlfn.IFS(_xlpm.MyAuditVal&lt;&gt;"",UPPER(_xlpm.MyAuditVal),_xlpm.MacVal&lt;&gt;"",_xlpm.MacVal,_xlpm.CSVVal&lt;&gt;"",_xlpm.CSVVal
)),"")</f>
        <v/>
      </c>
      <c r="K157" s="2" t="str" cm="1">
        <f t="array" ref="K157">IFERROR(_xlfn.LET(
_xlpm.CSVVal,_xlfn.XLOOKUP($A157,CSV!$A:$A,CSV!K:K,""),
_xlpm.MacVal,_xlfn.XLOOKUP($A157,Output_Mac!$A:$A,Output_Mac!K:K,""),
_xlpm.MyAuditVal,_xlfn.XLOOKUP($A157,My_Audit!$A:$A,My_Audit!J:J,""),
_xlfn.IFS(_xlpm.MyAuditVal&lt;&gt;"",UPPER(_xlpm.MyAuditVal),_xlpm.MacVal&lt;&gt;"",_xlpm.MacVal,_xlpm.CSVVal&lt;&gt;"",_xlpm.CSVVal
)),"")</f>
        <v/>
      </c>
      <c r="L157" s="2" t="str" cm="1">
        <f t="array" ref="L157">IFERROR(_xlfn.LET(
_xlpm.CSVVal,_xlfn.XLOOKUP($A157,CSV!$A:$A,CSV!P:P,""),
_xlpm.MacVal,_xlfn.XLOOKUP($A157,Output_Mac!$A:$A,Output_Mac!L:L,""),
_xlpm.MyAuditVal,_xlfn.XLOOKUP($A157,My_Audit!$A:$A,My_Audit!K:K,""),
_xlfn.IFS(_xlpm.MyAuditVal&lt;&gt;"",UPPER(_xlpm.MyAuditVal),_xlpm.MacVal&lt;&gt;"",_xlpm.MacVal,_xlpm.CSVVal&lt;&gt;"",_xlpm.CSVVal
)),"")</f>
        <v/>
      </c>
      <c r="M157" s="2" t="str" cm="1">
        <f t="array" ref="M157">IFERROR(_xlfn.LET(
_xlpm.CSVVal,_xlfn.XLOOKUP($A157,CSV!$A:$A,CSV!Q:Q,""),
_xlpm.MacVal,_xlfn.XLOOKUP($A157,Output_Mac!$A:$A,Output_Mac!M:M,""),
_xlpm.MyAuditVal,_xlfn.XLOOKUP($A157,My_Audit!$A:$A,My_Audit!L:L,""),
_xlfn.IFS(_xlpm.MyAuditVal&lt;&gt;"",UPPER(_xlpm.MyAuditVal),_xlpm.MacVal&lt;&gt;"",_xlpm.MacVal,_xlpm.CSVVal&lt;&gt;"",_xlpm.CSVVal
)),"")</f>
        <v/>
      </c>
      <c r="O157" s="2" t="str">
        <f>_xlfn.LET(
    _xlpm.CSVVal, _xlfn.XLOOKUP($A157, CSV!$A:$A, CSV!AA:AA, ""),
    _xlpm.MacVal, _xlfn.XLOOKUP($A157, Output_Mac!$A:$A, Output_Mac!S:S, ""),
    _xlpm.MyAuditVal, _xlfn.XLOOKUP($A157, My_Audit!$A:$A, My_Audit!P:P, ""),
    _xlfn.TEXTJOIN(", ", TRUE, _xlpm.MyAuditVal, _xlpm.MacVal, _xlpm.CSVVal)
)</f>
        <v/>
      </c>
      <c r="P157" s="2" t="str" cm="1">
        <f t="array" ref="P157">IFERROR(_xlfn.LET(
_xlpm.CSVVal,_xlfn.XLOOKUP($A157,CSV!$A:$A,CSV!AB:AB,""),
_xlpm.MacVal,_xlfn.XLOOKUP($A157,Output_Mac!$A:$A,Output_Mac!T:T,""),
_xlpm.MyAuditVal,_xlfn.XLOOKUP($A157,My_Audit!$A:$A,My_Audit!Q:Q,""),
_xlfn.IFS(_xlpm.MyAuditVal&lt;&gt;"",UPPER(_xlpm.MyAuditVal),_xlpm.MacVal&lt;&gt;"",_xlpm.MacVal,_xlpm.CSVVal&lt;&gt;"",_xlpm.CSVVal
)),"No")</f>
        <v>No</v>
      </c>
      <c r="Q157" s="2" t="str" cm="1">
        <f t="array" ref="Q157">IFERROR(_xlfn.LET(
_xlpm.CSVVal,_xlfn.XLOOKUP($A157,CSV!$A:$A,CSV!AC:AC,""),
_xlpm.MacVal,_xlfn.XLOOKUP($A157,Output_Mac!$A:$A,Output_Mac!U:U,""),
_xlpm.MyAuditVal,_xlfn.XLOOKUP($A157,My_Audit!$A:$A,My_Audit!R:R,""),
_xlfn.IFS(_xlpm.MyAuditVal&lt;&gt;"",UPPER(_xlpm.MyAuditVal),_xlpm.MacVal&lt;&gt;"",_xlpm.MacVal,_xlpm.CSVVal&lt;&gt;"",_xlpm.CSVVal
)),"")</f>
        <v/>
      </c>
      <c r="X157" t="str">
        <f>_xlfn.LET(
    _xlpm.MacVal, _xlfn.XLOOKUP($A157, Output_Mac!$A:$A, Output_Mac!AB:AB, ""),
    _xlpm.MyAuditVal, _xlfn.XLOOKUP($A157, My_Audit!$A:$A, My_Audit!N:N, ""),
    _xlfn.TEXTJOIN(", ", TRUE, _xlpm.MyAuditVal, _xlpm.MacVal)
)</f>
        <v/>
      </c>
    </row>
    <row r="158" spans="1:24">
      <c r="A158" s="2" t="str">
        <f>_xlfn.TEXTJOIN("",TRUE,Input!$B$2,ROW(My_Audit!A157))</f>
        <v>X157</v>
      </c>
      <c r="B158" s="2" t="str">
        <f>_xlfn.TEXTJOIN("-",TRUE,"ITD",Input!$A$2,A158)</f>
        <v>ITD-SHR-X157</v>
      </c>
      <c r="C158" s="2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2" t="str" cm="1">
        <f t="array" ref="D158">IFERROR(_xlfn.LET(
_xlpm.CSVVal,_xlfn.XLOOKUP($A158,CSV!$A:$A,CSV!D:D,""),
_xlpm.MacVal,_xlfn.XLOOKUP($A158,Output_Mac!$A:$A,Output_Mac!C:C,""),
_xlpm.MyAuditVal,_xlfn.XLOOKUP($A158,My_Audit!$A:$A,My_Audit!C:C,""),
_xlfn.IFS(_xlpm.MyAuditVal&lt;&gt;"",_xlpm.MyAuditVal,_xlpm.MacVal&lt;&gt;"",_xlpm.MacVal,_xlpm.CSVVal&lt;&gt;"",_xlpm.CSVVal
)),"")</f>
        <v/>
      </c>
      <c r="E158" s="2" t="e">
        <f>IF(_xlfn.XLOOKUP(A158,My_Audit!A:A,My_Audit!D:D),_xlfn.XLOOKUP(A158,My_Audit!A:A,My_Audit!D:D),"")</f>
        <v>#N/A</v>
      </c>
      <c r="F158" s="2" t="str" cm="1">
        <f t="array" ref="F158">IFERROR(_xlfn.LET(
_xlpm.CSVVal,_xlfn.XLOOKUP($A158,CSV!$A:$A,CSV!F:F,""),
_xlpm.MacVal,_xlfn.XLOOKUP($A158,Output_Mac!$A:$A,Output_Mac!E:E,""),
_xlpm.MyAuditVal,_xlfn.XLOOKUP($A158,My_Audit!$A:$A,My_Audit!E:E,""),
_xlfn.IFS(_xlpm.MyAuditVal&lt;&gt;"",_xlpm.MyAuditVal,_xlpm.MacVal&lt;&gt;"",_xlpm.MacVal,_xlpm.CSVVal&lt;&gt;"",_xlpm.CSVVal
)),"")</f>
        <v/>
      </c>
      <c r="G158" s="2" t="str" cm="1">
        <f t="array" ref="G158">IFERROR(_xlfn.LET(
_xlpm.CSVVal,_xlfn.XLOOKUP($A158,CSV!$A:$A,CSV!G:G,""),
_xlpm.MacVal,_xlfn.XLOOKUP($A158,Output_Mac!$A:$A,Output_Mac!F:F,""),
_xlpm.MyAuditVal,_xlfn.XLOOKUP($A158,My_Audit!$A:$A,My_Audit!F:F,""),
_xlfn.IFS(_xlpm.MyAuditVal&lt;&gt;"",_xlpm.MyAuditVal,_xlpm.MacVal&lt;&gt;"",_xlpm.MacVal,_xlpm.CSVVal&lt;&gt;"",PROPER(_xlpm.CSVVal)
)),"")</f>
        <v/>
      </c>
      <c r="H158" s="2" t="str" cm="1">
        <f t="array" ref="H158">IFERROR(_xlfn.LET(
_xlpm.CSVVal,_xlfn.XLOOKUP($A158,CSV!$A:$A,CSV!H:H,""),
_xlpm.MacVal,_xlfn.XLOOKUP($A158,Output_Mac!$A:$A,Output_Mac!H:H,""),
_xlpm.MyAuditVal,_xlfn.XLOOKUP($A158,My_Audit!$A:$A,My_Audit!G:G,""),
_xlfn.IFS(_xlpm.MyAuditVal&lt;&gt;"",_xlpm.MyAuditVal,_xlpm.MacVal&lt;&gt;"",_xlpm.MacVal,_xlpm.CSVVal&lt;&gt;"",_xlpm.CSVVal
)),"")</f>
        <v/>
      </c>
      <c r="I158" s="2" t="str">
        <f>_xlfn.XLOOKUP(A158,Output_Mac!A:A,Output_Mac!I:I,"")</f>
        <v/>
      </c>
      <c r="J158" s="2" t="str" cm="1">
        <f t="array" ref="J158">IFERROR(_xlfn.LET(
_xlpm.CSVVal,_xlfn.XLOOKUP($A158,CSV!$A:$A,CSV!I:I,""),
_xlpm.MacVal,_xlfn.XLOOKUP($A158,Output_Mac!$A:$A,Output_Mac!J:J,""),
_xlpm.MyAuditVal,_xlfn.XLOOKUP($A158,My_Audit!$A:$A,My_Audit!I:I,""),
_xlfn.IFS(_xlpm.MyAuditVal&lt;&gt;"",UPPER(_xlpm.MyAuditVal),_xlpm.MacVal&lt;&gt;"",_xlpm.MacVal,_xlpm.CSVVal&lt;&gt;"",_xlpm.CSVVal
)),"")</f>
        <v/>
      </c>
      <c r="K158" s="2" t="str" cm="1">
        <f t="array" ref="K158">IFERROR(_xlfn.LET(
_xlpm.CSVVal,_xlfn.XLOOKUP($A158,CSV!$A:$A,CSV!K:K,""),
_xlpm.MacVal,_xlfn.XLOOKUP($A158,Output_Mac!$A:$A,Output_Mac!K:K,""),
_xlpm.MyAuditVal,_xlfn.XLOOKUP($A158,My_Audit!$A:$A,My_Audit!J:J,""),
_xlfn.IFS(_xlpm.MyAuditVal&lt;&gt;"",UPPER(_xlpm.MyAuditVal),_xlpm.MacVal&lt;&gt;"",_xlpm.MacVal,_xlpm.CSVVal&lt;&gt;"",_xlpm.CSVVal
)),"")</f>
        <v/>
      </c>
      <c r="L158" s="2" t="str" cm="1">
        <f t="array" ref="L158">IFERROR(_xlfn.LET(
_xlpm.CSVVal,_xlfn.XLOOKUP($A158,CSV!$A:$A,CSV!P:P,""),
_xlpm.MacVal,_xlfn.XLOOKUP($A158,Output_Mac!$A:$A,Output_Mac!L:L,""),
_xlpm.MyAuditVal,_xlfn.XLOOKUP($A158,My_Audit!$A:$A,My_Audit!K:K,""),
_xlfn.IFS(_xlpm.MyAuditVal&lt;&gt;"",UPPER(_xlpm.MyAuditVal),_xlpm.MacVal&lt;&gt;"",_xlpm.MacVal,_xlpm.CSVVal&lt;&gt;"",_xlpm.CSVVal
)),"")</f>
        <v/>
      </c>
      <c r="M158" s="2" t="str" cm="1">
        <f t="array" ref="M158">IFERROR(_xlfn.LET(
_xlpm.CSVVal,_xlfn.XLOOKUP($A158,CSV!$A:$A,CSV!Q:Q,""),
_xlpm.MacVal,_xlfn.XLOOKUP($A158,Output_Mac!$A:$A,Output_Mac!M:M,""),
_xlpm.MyAuditVal,_xlfn.XLOOKUP($A158,My_Audit!$A:$A,My_Audit!L:L,""),
_xlfn.IFS(_xlpm.MyAuditVal&lt;&gt;"",UPPER(_xlpm.MyAuditVal),_xlpm.MacVal&lt;&gt;"",_xlpm.MacVal,_xlpm.CSVVal&lt;&gt;"",_xlpm.CSVVal
)),"")</f>
        <v/>
      </c>
      <c r="O158" s="2" t="str">
        <f>_xlfn.LET(
    _xlpm.CSVVal, _xlfn.XLOOKUP($A158, CSV!$A:$A, CSV!AA:AA, ""),
    _xlpm.MacVal, _xlfn.XLOOKUP($A158, Output_Mac!$A:$A, Output_Mac!S:S, ""),
    _xlpm.MyAuditVal, _xlfn.XLOOKUP($A158, My_Audit!$A:$A, My_Audit!P:P, ""),
    _xlfn.TEXTJOIN(", ", TRUE, _xlpm.MyAuditVal, _xlpm.MacVal, _xlpm.CSVVal)
)</f>
        <v/>
      </c>
      <c r="P158" s="2" t="str" cm="1">
        <f t="array" ref="P158">IFERROR(_xlfn.LET(
_xlpm.CSVVal,_xlfn.XLOOKUP($A158,CSV!$A:$A,CSV!AB:AB,""),
_xlpm.MacVal,_xlfn.XLOOKUP($A158,Output_Mac!$A:$A,Output_Mac!T:T,""),
_xlpm.MyAuditVal,_xlfn.XLOOKUP($A158,My_Audit!$A:$A,My_Audit!Q:Q,""),
_xlfn.IFS(_xlpm.MyAuditVal&lt;&gt;"",UPPER(_xlpm.MyAuditVal),_xlpm.MacVal&lt;&gt;"",_xlpm.MacVal,_xlpm.CSVVal&lt;&gt;"",_xlpm.CSVVal
)),"No")</f>
        <v>No</v>
      </c>
      <c r="Q158" s="2" t="str" cm="1">
        <f t="array" ref="Q158">IFERROR(_xlfn.LET(
_xlpm.CSVVal,_xlfn.XLOOKUP($A158,CSV!$A:$A,CSV!AC:AC,""),
_xlpm.MacVal,_xlfn.XLOOKUP($A158,Output_Mac!$A:$A,Output_Mac!U:U,""),
_xlpm.MyAuditVal,_xlfn.XLOOKUP($A158,My_Audit!$A:$A,My_Audit!R:R,""),
_xlfn.IFS(_xlpm.MyAuditVal&lt;&gt;"",UPPER(_xlpm.MyAuditVal),_xlpm.MacVal&lt;&gt;"",_xlpm.MacVal,_xlpm.CSVVal&lt;&gt;"",_xlpm.CSVVal
)),"")</f>
        <v/>
      </c>
      <c r="X158" t="str">
        <f>_xlfn.LET(
    _xlpm.MacVal, _xlfn.XLOOKUP($A158, Output_Mac!$A:$A, Output_Mac!AB:AB, ""),
    _xlpm.MyAuditVal, _xlfn.XLOOKUP($A158, My_Audit!$A:$A, My_Audit!N:N, ""),
    _xlfn.TEXTJOIN(", ", TRUE, _xlpm.MyAuditVal, _xlpm.MacVal)
)</f>
        <v/>
      </c>
    </row>
    <row r="159" spans="1:24">
      <c r="A159" s="2" t="str">
        <f>_xlfn.TEXTJOIN("",TRUE,Input!$B$2,ROW(My_Audit!A158))</f>
        <v>X158</v>
      </c>
      <c r="C159" s="2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2" t="str" cm="1">
        <f t="array" ref="D159">IFERROR(_xlfn.LET(
_xlpm.CSVVal,_xlfn.XLOOKUP($A159,CSV!$A:$A,CSV!D:D,""),
_xlpm.MacVal,_xlfn.XLOOKUP($A159,Output_Mac!$A:$A,Output_Mac!C:C,""),
_xlpm.MyAuditVal,_xlfn.XLOOKUP($A159,My_Audit!$A:$A,My_Audit!C:C,""),
_xlfn.IFS(_xlpm.MyAuditVal&lt;&gt;"",_xlpm.MyAuditVal,_xlpm.MacVal&lt;&gt;"",_xlpm.MacVal,_xlpm.CSVVal&lt;&gt;"",_xlpm.CSVVal
)),"")</f>
        <v/>
      </c>
      <c r="E159" s="2" t="e">
        <f>IF(_xlfn.XLOOKUP(A159,My_Audit!A:A,My_Audit!D:D),_xlfn.XLOOKUP(A159,My_Audit!A:A,My_Audit!D:D),"")</f>
        <v>#N/A</v>
      </c>
      <c r="F159" s="2" t="str" cm="1">
        <f t="array" ref="F159">IFERROR(_xlfn.LET(
_xlpm.CSVVal,_xlfn.XLOOKUP($A159,CSV!$A:$A,CSV!F:F,""),
_xlpm.MacVal,_xlfn.XLOOKUP($A159,Output_Mac!$A:$A,Output_Mac!E:E,""),
_xlpm.MyAuditVal,_xlfn.XLOOKUP($A159,My_Audit!$A:$A,My_Audit!E:E,""),
_xlfn.IFS(_xlpm.MyAuditVal&lt;&gt;"",_xlpm.MyAuditVal,_xlpm.MacVal&lt;&gt;"",_xlpm.MacVal,_xlpm.CSVVal&lt;&gt;"",_xlpm.CSVVal
)),"")</f>
        <v/>
      </c>
      <c r="G159" s="2" t="str" cm="1">
        <f t="array" ref="G159">IFERROR(_xlfn.LET(
_xlpm.CSVVal,_xlfn.XLOOKUP($A159,CSV!$A:$A,CSV!G:G,""),
_xlpm.MacVal,_xlfn.XLOOKUP($A159,Output_Mac!$A:$A,Output_Mac!F:F,""),
_xlpm.MyAuditVal,_xlfn.XLOOKUP($A159,My_Audit!$A:$A,My_Audit!F:F,""),
_xlfn.IFS(_xlpm.MyAuditVal&lt;&gt;"",_xlpm.MyAuditVal,_xlpm.MacVal&lt;&gt;"",_xlpm.MacVal,_xlpm.CSVVal&lt;&gt;"",PROPER(_xlpm.CSVVal)
)),"")</f>
        <v/>
      </c>
      <c r="H159" s="2" t="str" cm="1">
        <f t="array" ref="H159">IFERROR(_xlfn.LET(
_xlpm.CSVVal,_xlfn.XLOOKUP($A159,CSV!$A:$A,CSV!H:H,""),
_xlpm.MacVal,_xlfn.XLOOKUP($A159,Output_Mac!$A:$A,Output_Mac!H:H,""),
_xlpm.MyAuditVal,_xlfn.XLOOKUP($A159,My_Audit!$A:$A,My_Audit!G:G,""),
_xlfn.IFS(_xlpm.MyAuditVal&lt;&gt;"",_xlpm.MyAuditVal,_xlpm.MacVal&lt;&gt;"",_xlpm.MacVal,_xlpm.CSVVal&lt;&gt;"",_xlpm.CSVVal
)),"")</f>
        <v/>
      </c>
      <c r="I159" s="2" t="str">
        <f>_xlfn.XLOOKUP(A159,Output_Mac!A:A,Output_Mac!I:I,"")</f>
        <v/>
      </c>
      <c r="J159" s="2" t="str" cm="1">
        <f t="array" ref="J159">IFERROR(_xlfn.LET(
_xlpm.CSVVal,_xlfn.XLOOKUP($A159,CSV!$A:$A,CSV!I:I,""),
_xlpm.MacVal,_xlfn.XLOOKUP($A159,Output_Mac!$A:$A,Output_Mac!J:J,""),
_xlpm.MyAuditVal,_xlfn.XLOOKUP($A159,My_Audit!$A:$A,My_Audit!I:I,""),
_xlfn.IFS(_xlpm.MyAuditVal&lt;&gt;"",UPPER(_xlpm.MyAuditVal),_xlpm.MacVal&lt;&gt;"",_xlpm.MacVal,_xlpm.CSVVal&lt;&gt;"",_xlpm.CSVVal
)),"")</f>
        <v/>
      </c>
      <c r="K159" s="2" t="str" cm="1">
        <f t="array" ref="K159">IFERROR(_xlfn.LET(
_xlpm.CSVVal,_xlfn.XLOOKUP($A159,CSV!$A:$A,CSV!K:K,""),
_xlpm.MacVal,_xlfn.XLOOKUP($A159,Output_Mac!$A:$A,Output_Mac!K:K,""),
_xlpm.MyAuditVal,_xlfn.XLOOKUP($A159,My_Audit!$A:$A,My_Audit!J:J,""),
_xlfn.IFS(_xlpm.MyAuditVal&lt;&gt;"",UPPER(_xlpm.MyAuditVal),_xlpm.MacVal&lt;&gt;"",_xlpm.MacVal,_xlpm.CSVVal&lt;&gt;"",_xlpm.CSVVal
)),"")</f>
        <v/>
      </c>
      <c r="L159" s="2" t="str" cm="1">
        <f t="array" ref="L159">IFERROR(_xlfn.LET(
_xlpm.CSVVal,_xlfn.XLOOKUP($A159,CSV!$A:$A,CSV!P:P,""),
_xlpm.MacVal,_xlfn.XLOOKUP($A159,Output_Mac!$A:$A,Output_Mac!L:L,""),
_xlpm.MyAuditVal,_xlfn.XLOOKUP($A159,My_Audit!$A:$A,My_Audit!K:K,""),
_xlfn.IFS(_xlpm.MyAuditVal&lt;&gt;"",UPPER(_xlpm.MyAuditVal),_xlpm.MacVal&lt;&gt;"",_xlpm.MacVal,_xlpm.CSVVal&lt;&gt;"",_xlpm.CSVVal
)),"")</f>
        <v/>
      </c>
      <c r="M159" s="2" t="str" cm="1">
        <f t="array" ref="M159">IFERROR(_xlfn.LET(
_xlpm.CSVVal,_xlfn.XLOOKUP($A159,CSV!$A:$A,CSV!Q:Q,""),
_xlpm.MacVal,_xlfn.XLOOKUP($A159,Output_Mac!$A:$A,Output_Mac!M:M,""),
_xlpm.MyAuditVal,_xlfn.XLOOKUP($A159,My_Audit!$A:$A,My_Audit!L:L,""),
_xlfn.IFS(_xlpm.MyAuditVal&lt;&gt;"",UPPER(_xlpm.MyAuditVal),_xlpm.MacVal&lt;&gt;"",_xlpm.MacVal,_xlpm.CSVVal&lt;&gt;"",_xlpm.CSVVal
)),"")</f>
        <v/>
      </c>
      <c r="O159" s="2" t="str">
        <f>_xlfn.LET(
    _xlpm.CSVVal, _xlfn.XLOOKUP($A159, CSV!$A:$A, CSV!AA:AA, ""),
    _xlpm.MacVal, _xlfn.XLOOKUP($A159, Output_Mac!$A:$A, Output_Mac!S:S, ""),
    _xlpm.MyAuditVal, _xlfn.XLOOKUP($A159, My_Audit!$A:$A, My_Audit!P:P, ""),
    _xlfn.TEXTJOIN(", ", TRUE, _xlpm.MyAuditVal, _xlpm.MacVal, _xlpm.CSVVal)
)</f>
        <v/>
      </c>
      <c r="P159" s="2" t="str" cm="1">
        <f t="array" ref="P159">IFERROR(_xlfn.LET(
_xlpm.CSVVal,_xlfn.XLOOKUP($A159,CSV!$A:$A,CSV!AB:AB,""),
_xlpm.MacVal,_xlfn.XLOOKUP($A159,Output_Mac!$A:$A,Output_Mac!T:T,""),
_xlpm.MyAuditVal,_xlfn.XLOOKUP($A159,My_Audit!$A:$A,My_Audit!Q:Q,""),
_xlfn.IFS(_xlpm.MyAuditVal&lt;&gt;"",UPPER(_xlpm.MyAuditVal),_xlpm.MacVal&lt;&gt;"",_xlpm.MacVal,_xlpm.CSVVal&lt;&gt;"",_xlpm.CSVVal
)),"No")</f>
        <v>No</v>
      </c>
      <c r="Q159" s="2" t="str" cm="1">
        <f t="array" ref="Q159">IFERROR(_xlfn.LET(
_xlpm.CSVVal,_xlfn.XLOOKUP($A159,CSV!$A:$A,CSV!AC:AC,""),
_xlpm.MacVal,_xlfn.XLOOKUP($A159,Output_Mac!$A:$A,Output_Mac!U:U,""),
_xlpm.MyAuditVal,_xlfn.XLOOKUP($A159,My_Audit!$A:$A,My_Audit!R:R,""),
_xlfn.IFS(_xlpm.MyAuditVal&lt;&gt;"",UPPER(_xlpm.MyAuditVal),_xlpm.MacVal&lt;&gt;"",_xlpm.MacVal,_xlpm.CSVVal&lt;&gt;"",_xlpm.CSVVal
)),"")</f>
        <v/>
      </c>
      <c r="X159" t="str">
        <f>_xlfn.LET(
    _xlpm.MacVal, _xlfn.XLOOKUP($A159, Output_Mac!$A:$A, Output_Mac!AB:AB, ""),
    _xlpm.MyAuditVal, _xlfn.XLOOKUP($A159, My_Audit!$A:$A, My_Audit!N:N, ""),
    _xlfn.TEXTJOIN(", ", TRUE, _xlpm.MyAuditVal, _xlpm.MacVal)
)</f>
        <v/>
      </c>
    </row>
    <row r="160" spans="1:24">
      <c r="A160" s="2" t="str">
        <f>_xlfn.TEXTJOIN("",TRUE,Input!$B$2,ROW(My_Audit!A159))</f>
        <v>X159</v>
      </c>
      <c r="C160" s="2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2" t="str" cm="1">
        <f t="array" ref="D160">IFERROR(_xlfn.LET(
_xlpm.CSVVal,_xlfn.XLOOKUP($A160,CSV!$A:$A,CSV!D:D,""),
_xlpm.MacVal,_xlfn.XLOOKUP($A160,Output_Mac!$A:$A,Output_Mac!C:C,""),
_xlpm.MyAuditVal,_xlfn.XLOOKUP($A160,My_Audit!$A:$A,My_Audit!C:C,""),
_xlfn.IFS(_xlpm.MyAuditVal&lt;&gt;"",_xlpm.MyAuditVal,_xlpm.MacVal&lt;&gt;"",_xlpm.MacVal,_xlpm.CSVVal&lt;&gt;"",_xlpm.CSVVal
)),"")</f>
        <v/>
      </c>
      <c r="E160" s="2" t="e">
        <f>IF(_xlfn.XLOOKUP(A160,My_Audit!A:A,My_Audit!D:D),_xlfn.XLOOKUP(A160,My_Audit!A:A,My_Audit!D:D),"")</f>
        <v>#N/A</v>
      </c>
      <c r="F160" s="2" t="str" cm="1">
        <f t="array" ref="F160">IFERROR(_xlfn.LET(
_xlpm.CSVVal,_xlfn.XLOOKUP($A160,CSV!$A:$A,CSV!F:F,""),
_xlpm.MacVal,_xlfn.XLOOKUP($A160,Output_Mac!$A:$A,Output_Mac!E:E,""),
_xlpm.MyAuditVal,_xlfn.XLOOKUP($A160,My_Audit!$A:$A,My_Audit!E:E,""),
_xlfn.IFS(_xlpm.MyAuditVal&lt;&gt;"",_xlpm.MyAuditVal,_xlpm.MacVal&lt;&gt;"",_xlpm.MacVal,_xlpm.CSVVal&lt;&gt;"",_xlpm.CSVVal
)),"")</f>
        <v/>
      </c>
      <c r="G160" s="2" t="str" cm="1">
        <f t="array" ref="G160">IFERROR(_xlfn.LET(
_xlpm.CSVVal,_xlfn.XLOOKUP($A160,CSV!$A:$A,CSV!G:G,""),
_xlpm.MacVal,_xlfn.XLOOKUP($A160,Output_Mac!$A:$A,Output_Mac!F:F,""),
_xlpm.MyAuditVal,_xlfn.XLOOKUP($A160,My_Audit!$A:$A,My_Audit!F:F,""),
_xlfn.IFS(_xlpm.MyAuditVal&lt;&gt;"",_xlpm.MyAuditVal,_xlpm.MacVal&lt;&gt;"",_xlpm.MacVal,_xlpm.CSVVal&lt;&gt;"",PROPER(_xlpm.CSVVal)
)),"")</f>
        <v/>
      </c>
      <c r="H160" s="2" t="str" cm="1">
        <f t="array" ref="H160">IFERROR(_xlfn.LET(
_xlpm.CSVVal,_xlfn.XLOOKUP($A160,CSV!$A:$A,CSV!H:H,""),
_xlpm.MacVal,_xlfn.XLOOKUP($A160,Output_Mac!$A:$A,Output_Mac!H:H,""),
_xlpm.MyAuditVal,_xlfn.XLOOKUP($A160,My_Audit!$A:$A,My_Audit!G:G,""),
_xlfn.IFS(_xlpm.MyAuditVal&lt;&gt;"",_xlpm.MyAuditVal,_xlpm.MacVal&lt;&gt;"",_xlpm.MacVal,_xlpm.CSVVal&lt;&gt;"",_xlpm.CSVVal
)),"")</f>
        <v/>
      </c>
      <c r="I160" s="2" t="str">
        <f>_xlfn.XLOOKUP(A160,Output_Mac!A:A,Output_Mac!I:I,"")</f>
        <v/>
      </c>
      <c r="J160" s="2" t="str" cm="1">
        <f t="array" ref="J160">IFERROR(_xlfn.LET(
_xlpm.CSVVal,_xlfn.XLOOKUP($A160,CSV!$A:$A,CSV!I:I,""),
_xlpm.MacVal,_xlfn.XLOOKUP($A160,Output_Mac!$A:$A,Output_Mac!J:J,""),
_xlpm.MyAuditVal,_xlfn.XLOOKUP($A160,My_Audit!$A:$A,My_Audit!I:I,""),
_xlfn.IFS(_xlpm.MyAuditVal&lt;&gt;"",UPPER(_xlpm.MyAuditVal),_xlpm.MacVal&lt;&gt;"",_xlpm.MacVal,_xlpm.CSVVal&lt;&gt;"",_xlpm.CSVVal
)),"")</f>
        <v/>
      </c>
      <c r="K160" s="2" t="str" cm="1">
        <f t="array" ref="K160">IFERROR(_xlfn.LET(
_xlpm.CSVVal,_xlfn.XLOOKUP($A160,CSV!$A:$A,CSV!K:K,""),
_xlpm.MacVal,_xlfn.XLOOKUP($A160,Output_Mac!$A:$A,Output_Mac!K:K,""),
_xlpm.MyAuditVal,_xlfn.XLOOKUP($A160,My_Audit!$A:$A,My_Audit!J:J,""),
_xlfn.IFS(_xlpm.MyAuditVal&lt;&gt;"",UPPER(_xlpm.MyAuditVal),_xlpm.MacVal&lt;&gt;"",_xlpm.MacVal,_xlpm.CSVVal&lt;&gt;"",_xlpm.CSVVal
)),"")</f>
        <v/>
      </c>
      <c r="L160" s="2" t="str" cm="1">
        <f t="array" ref="L160">IFERROR(_xlfn.LET(
_xlpm.CSVVal,_xlfn.XLOOKUP($A160,CSV!$A:$A,CSV!P:P,""),
_xlpm.MacVal,_xlfn.XLOOKUP($A160,Output_Mac!$A:$A,Output_Mac!L:L,""),
_xlpm.MyAuditVal,_xlfn.XLOOKUP($A160,My_Audit!$A:$A,My_Audit!K:K,""),
_xlfn.IFS(_xlpm.MyAuditVal&lt;&gt;"",UPPER(_xlpm.MyAuditVal),_xlpm.MacVal&lt;&gt;"",_xlpm.MacVal,_xlpm.CSVVal&lt;&gt;"",_xlpm.CSVVal
)),"")</f>
        <v/>
      </c>
      <c r="M160" s="2" t="str" cm="1">
        <f t="array" ref="M160">IFERROR(_xlfn.LET(
_xlpm.CSVVal,_xlfn.XLOOKUP($A160,CSV!$A:$A,CSV!Q:Q,""),
_xlpm.MacVal,_xlfn.XLOOKUP($A160,Output_Mac!$A:$A,Output_Mac!M:M,""),
_xlpm.MyAuditVal,_xlfn.XLOOKUP($A160,My_Audit!$A:$A,My_Audit!L:L,""),
_xlfn.IFS(_xlpm.MyAuditVal&lt;&gt;"",UPPER(_xlpm.MyAuditVal),_xlpm.MacVal&lt;&gt;"",_xlpm.MacVal,_xlpm.CSVVal&lt;&gt;"",_xlpm.CSVVal
)),"")</f>
        <v/>
      </c>
      <c r="O160" s="2" t="str">
        <f>_xlfn.LET(
    _xlpm.CSVVal, _xlfn.XLOOKUP($A160, CSV!$A:$A, CSV!AA:AA, ""),
    _xlpm.MacVal, _xlfn.XLOOKUP($A160, Output_Mac!$A:$A, Output_Mac!S:S, ""),
    _xlpm.MyAuditVal, _xlfn.XLOOKUP($A160, My_Audit!$A:$A, My_Audit!P:P, ""),
    _xlfn.TEXTJOIN(", ", TRUE, _xlpm.MyAuditVal, _xlpm.MacVal, _xlpm.CSVVal)
)</f>
        <v/>
      </c>
      <c r="P160" s="2" t="str" cm="1">
        <f t="array" ref="P160">IFERROR(_xlfn.LET(
_xlpm.CSVVal,_xlfn.XLOOKUP($A160,CSV!$A:$A,CSV!AB:AB,""),
_xlpm.MacVal,_xlfn.XLOOKUP($A160,Output_Mac!$A:$A,Output_Mac!T:T,""),
_xlpm.MyAuditVal,_xlfn.XLOOKUP($A160,My_Audit!$A:$A,My_Audit!Q:Q,""),
_xlfn.IFS(_xlpm.MyAuditVal&lt;&gt;"",UPPER(_xlpm.MyAuditVal),_xlpm.MacVal&lt;&gt;"",_xlpm.MacVal,_xlpm.CSVVal&lt;&gt;"",_xlpm.CSVVal
)),"No")</f>
        <v>No</v>
      </c>
      <c r="Q160" s="2" t="str" cm="1">
        <f t="array" ref="Q160">IFERROR(_xlfn.LET(
_xlpm.CSVVal,_xlfn.XLOOKUP($A160,CSV!$A:$A,CSV!AC:AC,""),
_xlpm.MacVal,_xlfn.XLOOKUP($A160,Output_Mac!$A:$A,Output_Mac!U:U,""),
_xlpm.MyAuditVal,_xlfn.XLOOKUP($A160,My_Audit!$A:$A,My_Audit!R:R,""),
_xlfn.IFS(_xlpm.MyAuditVal&lt;&gt;"",UPPER(_xlpm.MyAuditVal),_xlpm.MacVal&lt;&gt;"",_xlpm.MacVal,_xlpm.CSVVal&lt;&gt;"",_xlpm.CSVVal
)),"")</f>
        <v/>
      </c>
      <c r="X160" t="str">
        <f>_xlfn.LET(
    _xlpm.MacVal, _xlfn.XLOOKUP($A160, Output_Mac!$A:$A, Output_Mac!AB:AB, ""),
    _xlpm.MyAuditVal, _xlfn.XLOOKUP($A160, My_Audit!$A:$A, My_Audit!N:N, ""),
    _xlfn.TEXTJOIN(", ", TRUE, _xlpm.MyAuditVal, _xlpm.MacVal)
)</f>
        <v/>
      </c>
    </row>
    <row r="161" spans="1:24">
      <c r="A161" s="2" t="str">
        <f>_xlfn.TEXTJOIN("",TRUE,Input!$B$2,ROW(My_Audit!A160))</f>
        <v>X160</v>
      </c>
      <c r="C161" s="2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2" t="str" cm="1">
        <f t="array" ref="D161">IFERROR(_xlfn.LET(
_xlpm.CSVVal,_xlfn.XLOOKUP($A161,CSV!$A:$A,CSV!D:D,""),
_xlpm.MacVal,_xlfn.XLOOKUP($A161,Output_Mac!$A:$A,Output_Mac!C:C,""),
_xlpm.MyAuditVal,_xlfn.XLOOKUP($A161,My_Audit!$A:$A,My_Audit!C:C,""),
_xlfn.IFS(_xlpm.MyAuditVal&lt;&gt;"",_xlpm.MyAuditVal,_xlpm.MacVal&lt;&gt;"",_xlpm.MacVal,_xlpm.CSVVal&lt;&gt;"",_xlpm.CSVVal
)),"")</f>
        <v/>
      </c>
      <c r="E161" s="2" t="e">
        <f>IF(_xlfn.XLOOKUP(A161,My_Audit!A:A,My_Audit!D:D),_xlfn.XLOOKUP(A161,My_Audit!A:A,My_Audit!D:D),"")</f>
        <v>#N/A</v>
      </c>
      <c r="F161" s="2" t="str" cm="1">
        <f t="array" ref="F161">IFERROR(_xlfn.LET(
_xlpm.CSVVal,_xlfn.XLOOKUP($A161,CSV!$A:$A,CSV!F:F,""),
_xlpm.MacVal,_xlfn.XLOOKUP($A161,Output_Mac!$A:$A,Output_Mac!E:E,""),
_xlpm.MyAuditVal,_xlfn.XLOOKUP($A161,My_Audit!$A:$A,My_Audit!E:E,""),
_xlfn.IFS(_xlpm.MyAuditVal&lt;&gt;"",_xlpm.MyAuditVal,_xlpm.MacVal&lt;&gt;"",_xlpm.MacVal,_xlpm.CSVVal&lt;&gt;"",_xlpm.CSVVal
)),"")</f>
        <v/>
      </c>
      <c r="G161" s="2" t="str" cm="1">
        <f t="array" ref="G161">IFERROR(_xlfn.LET(
_xlpm.CSVVal,_xlfn.XLOOKUP($A161,CSV!$A:$A,CSV!G:G,""),
_xlpm.MacVal,_xlfn.XLOOKUP($A161,Output_Mac!$A:$A,Output_Mac!F:F,""),
_xlpm.MyAuditVal,_xlfn.XLOOKUP($A161,My_Audit!$A:$A,My_Audit!F:F,""),
_xlfn.IFS(_xlpm.MyAuditVal&lt;&gt;"",_xlpm.MyAuditVal,_xlpm.MacVal&lt;&gt;"",_xlpm.MacVal,_xlpm.CSVVal&lt;&gt;"",PROPER(_xlpm.CSVVal)
)),"")</f>
        <v/>
      </c>
      <c r="H161" s="2" t="str" cm="1">
        <f t="array" ref="H161">IFERROR(_xlfn.LET(
_xlpm.CSVVal,_xlfn.XLOOKUP($A161,CSV!$A:$A,CSV!H:H,""),
_xlpm.MacVal,_xlfn.XLOOKUP($A161,Output_Mac!$A:$A,Output_Mac!H:H,""),
_xlpm.MyAuditVal,_xlfn.XLOOKUP($A161,My_Audit!$A:$A,My_Audit!G:G,""),
_xlfn.IFS(_xlpm.MyAuditVal&lt;&gt;"",_xlpm.MyAuditVal,_xlpm.MacVal&lt;&gt;"",_xlpm.MacVal,_xlpm.CSVVal&lt;&gt;"",_xlpm.CSVVal
)),"")</f>
        <v/>
      </c>
      <c r="I161" s="2" t="str">
        <f>_xlfn.XLOOKUP(A161,Output_Mac!A:A,Output_Mac!I:I,"")</f>
        <v/>
      </c>
      <c r="J161" s="2" t="str" cm="1">
        <f t="array" ref="J161">IFERROR(_xlfn.LET(
_xlpm.CSVVal,_xlfn.XLOOKUP($A161,CSV!$A:$A,CSV!I:I,""),
_xlpm.MacVal,_xlfn.XLOOKUP($A161,Output_Mac!$A:$A,Output_Mac!J:J,""),
_xlpm.MyAuditVal,_xlfn.XLOOKUP($A161,My_Audit!$A:$A,My_Audit!I:I,""),
_xlfn.IFS(_xlpm.MyAuditVal&lt;&gt;"",UPPER(_xlpm.MyAuditVal),_xlpm.MacVal&lt;&gt;"",_xlpm.MacVal,_xlpm.CSVVal&lt;&gt;"",_xlpm.CSVVal
)),"")</f>
        <v/>
      </c>
      <c r="K161" s="2" t="str" cm="1">
        <f t="array" ref="K161">IFERROR(_xlfn.LET(
_xlpm.CSVVal,_xlfn.XLOOKUP($A161,CSV!$A:$A,CSV!K:K,""),
_xlpm.MacVal,_xlfn.XLOOKUP($A161,Output_Mac!$A:$A,Output_Mac!K:K,""),
_xlpm.MyAuditVal,_xlfn.XLOOKUP($A161,My_Audit!$A:$A,My_Audit!J:J,""),
_xlfn.IFS(_xlpm.MyAuditVal&lt;&gt;"",UPPER(_xlpm.MyAuditVal),_xlpm.MacVal&lt;&gt;"",_xlpm.MacVal,_xlpm.CSVVal&lt;&gt;"",_xlpm.CSVVal
)),"")</f>
        <v/>
      </c>
      <c r="L161" s="2" t="str" cm="1">
        <f t="array" ref="L161">IFERROR(_xlfn.LET(
_xlpm.CSVVal,_xlfn.XLOOKUP($A161,CSV!$A:$A,CSV!P:P,""),
_xlpm.MacVal,_xlfn.XLOOKUP($A161,Output_Mac!$A:$A,Output_Mac!L:L,""),
_xlpm.MyAuditVal,_xlfn.XLOOKUP($A161,My_Audit!$A:$A,My_Audit!K:K,""),
_xlfn.IFS(_xlpm.MyAuditVal&lt;&gt;"",UPPER(_xlpm.MyAuditVal),_xlpm.MacVal&lt;&gt;"",_xlpm.MacVal,_xlpm.CSVVal&lt;&gt;"",_xlpm.CSVVal
)),"")</f>
        <v/>
      </c>
      <c r="M161" s="2" t="str" cm="1">
        <f t="array" ref="M161">IFERROR(_xlfn.LET(
_xlpm.CSVVal,_xlfn.XLOOKUP($A161,CSV!$A:$A,CSV!Q:Q,""),
_xlpm.MacVal,_xlfn.XLOOKUP($A161,Output_Mac!$A:$A,Output_Mac!M:M,""),
_xlpm.MyAuditVal,_xlfn.XLOOKUP($A161,My_Audit!$A:$A,My_Audit!L:L,""),
_xlfn.IFS(_xlpm.MyAuditVal&lt;&gt;"",UPPER(_xlpm.MyAuditVal),_xlpm.MacVal&lt;&gt;"",_xlpm.MacVal,_xlpm.CSVVal&lt;&gt;"",_xlpm.CSVVal
)),"")</f>
        <v/>
      </c>
      <c r="O161" s="2" t="str">
        <f>_xlfn.LET(
    _xlpm.CSVVal, _xlfn.XLOOKUP($A161, CSV!$A:$A, CSV!AA:AA, ""),
    _xlpm.MacVal, _xlfn.XLOOKUP($A161, Output_Mac!$A:$A, Output_Mac!S:S, ""),
    _xlpm.MyAuditVal, _xlfn.XLOOKUP($A161, My_Audit!$A:$A, My_Audit!P:P, ""),
    _xlfn.TEXTJOIN(", ", TRUE, _xlpm.MyAuditVal, _xlpm.MacVal, _xlpm.CSVVal)
)</f>
        <v/>
      </c>
      <c r="P161" s="2" t="str" cm="1">
        <f t="array" ref="P161">IFERROR(_xlfn.LET(
_xlpm.CSVVal,_xlfn.XLOOKUP($A161,CSV!$A:$A,CSV!AB:AB,""),
_xlpm.MacVal,_xlfn.XLOOKUP($A161,Output_Mac!$A:$A,Output_Mac!T:T,""),
_xlpm.MyAuditVal,_xlfn.XLOOKUP($A161,My_Audit!$A:$A,My_Audit!Q:Q,""),
_xlfn.IFS(_xlpm.MyAuditVal&lt;&gt;"",UPPER(_xlpm.MyAuditVal),_xlpm.MacVal&lt;&gt;"",_xlpm.MacVal,_xlpm.CSVVal&lt;&gt;"",_xlpm.CSVVal
)),"No")</f>
        <v>No</v>
      </c>
      <c r="Q161" s="2" t="str" cm="1">
        <f t="array" ref="Q161">IFERROR(_xlfn.LET(
_xlpm.CSVVal,_xlfn.XLOOKUP($A161,CSV!$A:$A,CSV!AC:AC,""),
_xlpm.MacVal,_xlfn.XLOOKUP($A161,Output_Mac!$A:$A,Output_Mac!U:U,""),
_xlpm.MyAuditVal,_xlfn.XLOOKUP($A161,My_Audit!$A:$A,My_Audit!R:R,""),
_xlfn.IFS(_xlpm.MyAuditVal&lt;&gt;"",UPPER(_xlpm.MyAuditVal),_xlpm.MacVal&lt;&gt;"",_xlpm.MacVal,_xlpm.CSVVal&lt;&gt;"",_xlpm.CSVVal
)),"")</f>
        <v/>
      </c>
      <c r="X161" t="str">
        <f>_xlfn.LET(
    _xlpm.MacVal, _xlfn.XLOOKUP($A161, Output_Mac!$A:$A, Output_Mac!AB:AB, ""),
    _xlpm.MyAuditVal, _xlfn.XLOOKUP($A161, My_Audit!$A:$A, My_Audit!N:N, ""),
    _xlfn.TEXTJOIN(", ", TRUE, _xlpm.MyAuditVal, _xlpm.MacVal)
)</f>
        <v/>
      </c>
    </row>
    <row r="162" spans="1:24">
      <c r="A162" s="2" t="str">
        <f>_xlfn.TEXTJOIN("",TRUE,Input!$B$2,ROW(My_Audit!A161))</f>
        <v>X161</v>
      </c>
      <c r="C162" s="2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2" t="str" cm="1">
        <f t="array" ref="D162">IFERROR(_xlfn.LET(
_xlpm.CSVVal,_xlfn.XLOOKUP($A162,CSV!$A:$A,CSV!D:D,""),
_xlpm.MacVal,_xlfn.XLOOKUP($A162,Output_Mac!$A:$A,Output_Mac!C:C,""),
_xlpm.MyAuditVal,_xlfn.XLOOKUP($A162,My_Audit!$A:$A,My_Audit!C:C,""),
_xlfn.IFS(_xlpm.MyAuditVal&lt;&gt;"",_xlpm.MyAuditVal,_xlpm.MacVal&lt;&gt;"",_xlpm.MacVal,_xlpm.CSVVal&lt;&gt;"",_xlpm.CSVVal
)),"")</f>
        <v/>
      </c>
      <c r="E162" s="2" t="e">
        <f>IF(_xlfn.XLOOKUP(A162,My_Audit!A:A,My_Audit!D:D),_xlfn.XLOOKUP(A162,My_Audit!A:A,My_Audit!D:D),"")</f>
        <v>#N/A</v>
      </c>
      <c r="F162" s="2" t="str" cm="1">
        <f t="array" ref="F162">IFERROR(_xlfn.LET(
_xlpm.CSVVal,_xlfn.XLOOKUP($A162,CSV!$A:$A,CSV!F:F,""),
_xlpm.MacVal,_xlfn.XLOOKUP($A162,Output_Mac!$A:$A,Output_Mac!E:E,""),
_xlpm.MyAuditVal,_xlfn.XLOOKUP($A162,My_Audit!$A:$A,My_Audit!E:E,""),
_xlfn.IFS(_xlpm.MyAuditVal&lt;&gt;"",_xlpm.MyAuditVal,_xlpm.MacVal&lt;&gt;"",_xlpm.MacVal,_xlpm.CSVVal&lt;&gt;"",_xlpm.CSVVal
)),"")</f>
        <v/>
      </c>
      <c r="G162" s="2" t="str" cm="1">
        <f t="array" ref="G162">IFERROR(_xlfn.LET(
_xlpm.CSVVal,_xlfn.XLOOKUP($A162,CSV!$A:$A,CSV!G:G,""),
_xlpm.MacVal,_xlfn.XLOOKUP($A162,Output_Mac!$A:$A,Output_Mac!F:F,""),
_xlpm.MyAuditVal,_xlfn.XLOOKUP($A162,My_Audit!$A:$A,My_Audit!F:F,""),
_xlfn.IFS(_xlpm.MyAuditVal&lt;&gt;"",_xlpm.MyAuditVal,_xlpm.MacVal&lt;&gt;"",_xlpm.MacVal,_xlpm.CSVVal&lt;&gt;"",PROPER(_xlpm.CSVVal)
)),"")</f>
        <v/>
      </c>
      <c r="H162" s="2" t="str" cm="1">
        <f t="array" ref="H162">IFERROR(_xlfn.LET(
_xlpm.CSVVal,_xlfn.XLOOKUP($A162,CSV!$A:$A,CSV!H:H,""),
_xlpm.MacVal,_xlfn.XLOOKUP($A162,Output_Mac!$A:$A,Output_Mac!H:H,""),
_xlpm.MyAuditVal,_xlfn.XLOOKUP($A162,My_Audit!$A:$A,My_Audit!G:G,""),
_xlfn.IFS(_xlpm.MyAuditVal&lt;&gt;"",_xlpm.MyAuditVal,_xlpm.MacVal&lt;&gt;"",_xlpm.MacVal,_xlpm.CSVVal&lt;&gt;"",_xlpm.CSVVal
)),"")</f>
        <v/>
      </c>
      <c r="I162" s="2" t="str">
        <f>_xlfn.XLOOKUP(A162,Output_Mac!A:A,Output_Mac!I:I,"")</f>
        <v/>
      </c>
      <c r="J162" s="2" t="str" cm="1">
        <f t="array" ref="J162">IFERROR(_xlfn.LET(
_xlpm.CSVVal,_xlfn.XLOOKUP($A162,CSV!$A:$A,CSV!I:I,""),
_xlpm.MacVal,_xlfn.XLOOKUP($A162,Output_Mac!$A:$A,Output_Mac!J:J,""),
_xlpm.MyAuditVal,_xlfn.XLOOKUP($A162,My_Audit!$A:$A,My_Audit!I:I,""),
_xlfn.IFS(_xlpm.MyAuditVal&lt;&gt;"",UPPER(_xlpm.MyAuditVal),_xlpm.MacVal&lt;&gt;"",_xlpm.MacVal,_xlpm.CSVVal&lt;&gt;"",_xlpm.CSVVal
)),"")</f>
        <v/>
      </c>
      <c r="K162" s="2" t="str" cm="1">
        <f t="array" ref="K162">IFERROR(_xlfn.LET(
_xlpm.CSVVal,_xlfn.XLOOKUP($A162,CSV!$A:$A,CSV!K:K,""),
_xlpm.MacVal,_xlfn.XLOOKUP($A162,Output_Mac!$A:$A,Output_Mac!K:K,""),
_xlpm.MyAuditVal,_xlfn.XLOOKUP($A162,My_Audit!$A:$A,My_Audit!J:J,""),
_xlfn.IFS(_xlpm.MyAuditVal&lt;&gt;"",UPPER(_xlpm.MyAuditVal),_xlpm.MacVal&lt;&gt;"",_xlpm.MacVal,_xlpm.CSVVal&lt;&gt;"",_xlpm.CSVVal
)),"")</f>
        <v/>
      </c>
      <c r="L162" s="2" t="str" cm="1">
        <f t="array" ref="L162">IFERROR(_xlfn.LET(
_xlpm.CSVVal,_xlfn.XLOOKUP($A162,CSV!$A:$A,CSV!P:P,""),
_xlpm.MacVal,_xlfn.XLOOKUP($A162,Output_Mac!$A:$A,Output_Mac!L:L,""),
_xlpm.MyAuditVal,_xlfn.XLOOKUP($A162,My_Audit!$A:$A,My_Audit!K:K,""),
_xlfn.IFS(_xlpm.MyAuditVal&lt;&gt;"",UPPER(_xlpm.MyAuditVal),_xlpm.MacVal&lt;&gt;"",_xlpm.MacVal,_xlpm.CSVVal&lt;&gt;"",_xlpm.CSVVal
)),"")</f>
        <v/>
      </c>
      <c r="M162" s="2" t="str" cm="1">
        <f t="array" ref="M162">IFERROR(_xlfn.LET(
_xlpm.CSVVal,_xlfn.XLOOKUP($A162,CSV!$A:$A,CSV!Q:Q,""),
_xlpm.MacVal,_xlfn.XLOOKUP($A162,Output_Mac!$A:$A,Output_Mac!M:M,""),
_xlpm.MyAuditVal,_xlfn.XLOOKUP($A162,My_Audit!$A:$A,My_Audit!L:L,""),
_xlfn.IFS(_xlpm.MyAuditVal&lt;&gt;"",UPPER(_xlpm.MyAuditVal),_xlpm.MacVal&lt;&gt;"",_xlpm.MacVal,_xlpm.CSVVal&lt;&gt;"",_xlpm.CSVVal
)),"")</f>
        <v/>
      </c>
      <c r="O162" s="2" t="str">
        <f>_xlfn.LET(
    _xlpm.CSVVal, _xlfn.XLOOKUP($A162, CSV!$A:$A, CSV!AA:AA, ""),
    _xlpm.MacVal, _xlfn.XLOOKUP($A162, Output_Mac!$A:$A, Output_Mac!S:S, ""),
    _xlpm.MyAuditVal, _xlfn.XLOOKUP($A162, My_Audit!$A:$A, My_Audit!P:P, ""),
    _xlfn.TEXTJOIN(", ", TRUE, _xlpm.MyAuditVal, _xlpm.MacVal, _xlpm.CSVVal)
)</f>
        <v/>
      </c>
      <c r="P162" s="2" t="str" cm="1">
        <f t="array" ref="P162">IFERROR(_xlfn.LET(
_xlpm.CSVVal,_xlfn.XLOOKUP($A162,CSV!$A:$A,CSV!AB:AB,""),
_xlpm.MacVal,_xlfn.XLOOKUP($A162,Output_Mac!$A:$A,Output_Mac!T:T,""),
_xlpm.MyAuditVal,_xlfn.XLOOKUP($A162,My_Audit!$A:$A,My_Audit!Q:Q,""),
_xlfn.IFS(_xlpm.MyAuditVal&lt;&gt;"",UPPER(_xlpm.MyAuditVal),_xlpm.MacVal&lt;&gt;"",_xlpm.MacVal,_xlpm.CSVVal&lt;&gt;"",_xlpm.CSVVal
)),"No")</f>
        <v>No</v>
      </c>
      <c r="Q162" s="2" t="str" cm="1">
        <f t="array" ref="Q162">IFERROR(_xlfn.LET(
_xlpm.CSVVal,_xlfn.XLOOKUP($A162,CSV!$A:$A,CSV!AC:AC,""),
_xlpm.MacVal,_xlfn.XLOOKUP($A162,Output_Mac!$A:$A,Output_Mac!U:U,""),
_xlpm.MyAuditVal,_xlfn.XLOOKUP($A162,My_Audit!$A:$A,My_Audit!R:R,""),
_xlfn.IFS(_xlpm.MyAuditVal&lt;&gt;"",UPPER(_xlpm.MyAuditVal),_xlpm.MacVal&lt;&gt;"",_xlpm.MacVal,_xlpm.CSVVal&lt;&gt;"",_xlpm.CSVVal
)),"")</f>
        <v/>
      </c>
      <c r="X162" t="str">
        <f>_xlfn.LET(
    _xlpm.MacVal, _xlfn.XLOOKUP($A162, Output_Mac!$A:$A, Output_Mac!AB:AB, ""),
    _xlpm.MyAuditVal, _xlfn.XLOOKUP($A162, My_Audit!$A:$A, My_Audit!N:N, ""),
    _xlfn.TEXTJOIN(", ", TRUE, _xlpm.MyAuditVal, _xlpm.MacVal)
)</f>
        <v/>
      </c>
    </row>
    <row r="163" spans="1:24">
      <c r="A163" s="2" t="str">
        <f>_xlfn.TEXTJOIN("",TRUE,Input!$B$2,ROW(My_Audit!A162))</f>
        <v>X162</v>
      </c>
      <c r="C163" s="2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2" t="str" cm="1">
        <f t="array" ref="D163">IFERROR(_xlfn.LET(
_xlpm.CSVVal,_xlfn.XLOOKUP($A163,CSV!$A:$A,CSV!D:D,""),
_xlpm.MacVal,_xlfn.XLOOKUP($A163,Output_Mac!$A:$A,Output_Mac!C:C,""),
_xlpm.MyAuditVal,_xlfn.XLOOKUP($A163,My_Audit!$A:$A,My_Audit!C:C,""),
_xlfn.IFS(_xlpm.MyAuditVal&lt;&gt;"",_xlpm.MyAuditVal,_xlpm.MacVal&lt;&gt;"",_xlpm.MacVal,_xlpm.CSVVal&lt;&gt;"",_xlpm.CSVVal
)),"")</f>
        <v/>
      </c>
      <c r="E163" s="2" t="e">
        <f>IF(_xlfn.XLOOKUP(A163,My_Audit!A:A,My_Audit!D:D),_xlfn.XLOOKUP(A163,My_Audit!A:A,My_Audit!D:D),"")</f>
        <v>#N/A</v>
      </c>
      <c r="F163" s="2" t="str" cm="1">
        <f t="array" ref="F163">IFERROR(_xlfn.LET(
_xlpm.CSVVal,_xlfn.XLOOKUP($A163,CSV!$A:$A,CSV!F:F,""),
_xlpm.MacVal,_xlfn.XLOOKUP($A163,Output_Mac!$A:$A,Output_Mac!E:E,""),
_xlpm.MyAuditVal,_xlfn.XLOOKUP($A163,My_Audit!$A:$A,My_Audit!E:E,""),
_xlfn.IFS(_xlpm.MyAuditVal&lt;&gt;"",_xlpm.MyAuditVal,_xlpm.MacVal&lt;&gt;"",_xlpm.MacVal,_xlpm.CSVVal&lt;&gt;"",_xlpm.CSVVal
)),"")</f>
        <v/>
      </c>
      <c r="G163" s="2" t="str" cm="1">
        <f t="array" ref="G163">IFERROR(_xlfn.LET(
_xlpm.CSVVal,_xlfn.XLOOKUP($A163,CSV!$A:$A,CSV!G:G,""),
_xlpm.MacVal,_xlfn.XLOOKUP($A163,Output_Mac!$A:$A,Output_Mac!F:F,""),
_xlpm.MyAuditVal,_xlfn.XLOOKUP($A163,My_Audit!$A:$A,My_Audit!F:F,""),
_xlfn.IFS(_xlpm.MyAuditVal&lt;&gt;"",_xlpm.MyAuditVal,_xlpm.MacVal&lt;&gt;"",_xlpm.MacVal,_xlpm.CSVVal&lt;&gt;"",PROPER(_xlpm.CSVVal)
)),"")</f>
        <v/>
      </c>
      <c r="H163" s="2" t="str" cm="1">
        <f t="array" ref="H163">IFERROR(_xlfn.LET(
_xlpm.CSVVal,_xlfn.XLOOKUP($A163,CSV!$A:$A,CSV!H:H,""),
_xlpm.MacVal,_xlfn.XLOOKUP($A163,Output_Mac!$A:$A,Output_Mac!H:H,""),
_xlpm.MyAuditVal,_xlfn.XLOOKUP($A163,My_Audit!$A:$A,My_Audit!G:G,""),
_xlfn.IFS(_xlpm.MyAuditVal&lt;&gt;"",_xlpm.MyAuditVal,_xlpm.MacVal&lt;&gt;"",_xlpm.MacVal,_xlpm.CSVVal&lt;&gt;"",_xlpm.CSVVal
)),"")</f>
        <v/>
      </c>
      <c r="I163" s="2" t="str">
        <f>_xlfn.XLOOKUP(A163,Output_Mac!A:A,Output_Mac!I:I,"")</f>
        <v/>
      </c>
      <c r="J163" s="2" t="str" cm="1">
        <f t="array" ref="J163">IFERROR(_xlfn.LET(
_xlpm.CSVVal,_xlfn.XLOOKUP($A163,CSV!$A:$A,CSV!I:I,""),
_xlpm.MacVal,_xlfn.XLOOKUP($A163,Output_Mac!$A:$A,Output_Mac!J:J,""),
_xlpm.MyAuditVal,_xlfn.XLOOKUP($A163,My_Audit!$A:$A,My_Audit!I:I,""),
_xlfn.IFS(_xlpm.MyAuditVal&lt;&gt;"",UPPER(_xlpm.MyAuditVal),_xlpm.MacVal&lt;&gt;"",_xlpm.MacVal,_xlpm.CSVVal&lt;&gt;"",_xlpm.CSVVal
)),"")</f>
        <v/>
      </c>
      <c r="K163" s="2" t="str" cm="1">
        <f t="array" ref="K163">IFERROR(_xlfn.LET(
_xlpm.CSVVal,_xlfn.XLOOKUP($A163,CSV!$A:$A,CSV!K:K,""),
_xlpm.MacVal,_xlfn.XLOOKUP($A163,Output_Mac!$A:$A,Output_Mac!K:K,""),
_xlpm.MyAuditVal,_xlfn.XLOOKUP($A163,My_Audit!$A:$A,My_Audit!J:J,""),
_xlfn.IFS(_xlpm.MyAuditVal&lt;&gt;"",UPPER(_xlpm.MyAuditVal),_xlpm.MacVal&lt;&gt;"",_xlpm.MacVal,_xlpm.CSVVal&lt;&gt;"",_xlpm.CSVVal
)),"")</f>
        <v/>
      </c>
      <c r="L163" s="2" t="str" cm="1">
        <f t="array" ref="L163">IFERROR(_xlfn.LET(
_xlpm.CSVVal,_xlfn.XLOOKUP($A163,CSV!$A:$A,CSV!P:P,""),
_xlpm.MacVal,_xlfn.XLOOKUP($A163,Output_Mac!$A:$A,Output_Mac!L:L,""),
_xlpm.MyAuditVal,_xlfn.XLOOKUP($A163,My_Audit!$A:$A,My_Audit!K:K,""),
_xlfn.IFS(_xlpm.MyAuditVal&lt;&gt;"",UPPER(_xlpm.MyAuditVal),_xlpm.MacVal&lt;&gt;"",_xlpm.MacVal,_xlpm.CSVVal&lt;&gt;"",_xlpm.CSVVal
)),"")</f>
        <v/>
      </c>
      <c r="M163" s="2" t="str" cm="1">
        <f t="array" ref="M163">IFERROR(_xlfn.LET(
_xlpm.CSVVal,_xlfn.XLOOKUP($A163,CSV!$A:$A,CSV!Q:Q,""),
_xlpm.MacVal,_xlfn.XLOOKUP($A163,Output_Mac!$A:$A,Output_Mac!M:M,""),
_xlpm.MyAuditVal,_xlfn.XLOOKUP($A163,My_Audit!$A:$A,My_Audit!L:L,""),
_xlfn.IFS(_xlpm.MyAuditVal&lt;&gt;"",UPPER(_xlpm.MyAuditVal),_xlpm.MacVal&lt;&gt;"",_xlpm.MacVal,_xlpm.CSVVal&lt;&gt;"",_xlpm.CSVVal
)),"")</f>
        <v/>
      </c>
      <c r="O163" s="2" t="str">
        <f>_xlfn.LET(
    _xlpm.CSVVal, _xlfn.XLOOKUP($A163, CSV!$A:$A, CSV!AA:AA, ""),
    _xlpm.MacVal, _xlfn.XLOOKUP($A163, Output_Mac!$A:$A, Output_Mac!S:S, ""),
    _xlpm.MyAuditVal, _xlfn.XLOOKUP($A163, My_Audit!$A:$A, My_Audit!P:P, ""),
    _xlfn.TEXTJOIN(", ", TRUE, _xlpm.MyAuditVal, _xlpm.MacVal, _xlpm.CSVVal)
)</f>
        <v/>
      </c>
      <c r="P163" s="2" t="str" cm="1">
        <f t="array" ref="P163">IFERROR(_xlfn.LET(
_xlpm.CSVVal,_xlfn.XLOOKUP($A163,CSV!$A:$A,CSV!AB:AB,""),
_xlpm.MacVal,_xlfn.XLOOKUP($A163,Output_Mac!$A:$A,Output_Mac!T:T,""),
_xlpm.MyAuditVal,_xlfn.XLOOKUP($A163,My_Audit!$A:$A,My_Audit!Q:Q,""),
_xlfn.IFS(_xlpm.MyAuditVal&lt;&gt;"",UPPER(_xlpm.MyAuditVal),_xlpm.MacVal&lt;&gt;"",_xlpm.MacVal,_xlpm.CSVVal&lt;&gt;"",_xlpm.CSVVal
)),"No")</f>
        <v>No</v>
      </c>
      <c r="Q163" s="2" t="str" cm="1">
        <f t="array" ref="Q163">IFERROR(_xlfn.LET(
_xlpm.CSVVal,_xlfn.XLOOKUP($A163,CSV!$A:$A,CSV!AC:AC,""),
_xlpm.MacVal,_xlfn.XLOOKUP($A163,Output_Mac!$A:$A,Output_Mac!U:U,""),
_xlpm.MyAuditVal,_xlfn.XLOOKUP($A163,My_Audit!$A:$A,My_Audit!R:R,""),
_xlfn.IFS(_xlpm.MyAuditVal&lt;&gt;"",UPPER(_xlpm.MyAuditVal),_xlpm.MacVal&lt;&gt;"",_xlpm.MacVal,_xlpm.CSVVal&lt;&gt;"",_xlpm.CSVVal
)),"")</f>
        <v/>
      </c>
      <c r="X163" t="str">
        <f>_xlfn.LET(
    _xlpm.MacVal, _xlfn.XLOOKUP($A163, Output_Mac!$A:$A, Output_Mac!AB:AB, ""),
    _xlpm.MyAuditVal, _xlfn.XLOOKUP($A163, My_Audit!$A:$A, My_Audit!N:N, ""),
    _xlfn.TEXTJOIN(", ", TRUE, _xlpm.MyAuditVal, _xlpm.MacVal)
)</f>
        <v/>
      </c>
    </row>
    <row r="164" spans="1:24">
      <c r="A164" s="2" t="str">
        <f>_xlfn.TEXTJOIN("",TRUE,Input!$B$2,ROW(My_Audit!A163))</f>
        <v>X163</v>
      </c>
      <c r="C164" s="2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2" t="str" cm="1">
        <f t="array" ref="D164">IFERROR(_xlfn.LET(
_xlpm.CSVVal,_xlfn.XLOOKUP($A164,CSV!$A:$A,CSV!D:D,""),
_xlpm.MacVal,_xlfn.XLOOKUP($A164,Output_Mac!$A:$A,Output_Mac!C:C,""),
_xlpm.MyAuditVal,_xlfn.XLOOKUP($A164,My_Audit!$A:$A,My_Audit!C:C,""),
_xlfn.IFS(_xlpm.MyAuditVal&lt;&gt;"",_xlpm.MyAuditVal,_xlpm.MacVal&lt;&gt;"",_xlpm.MacVal,_xlpm.CSVVal&lt;&gt;"",_xlpm.CSVVal
)),"")</f>
        <v/>
      </c>
      <c r="E164" s="2" t="e">
        <f>IF(_xlfn.XLOOKUP(A164,My_Audit!A:A,My_Audit!D:D),_xlfn.XLOOKUP(A164,My_Audit!A:A,My_Audit!D:D),"")</f>
        <v>#N/A</v>
      </c>
      <c r="F164" s="2" t="str" cm="1">
        <f t="array" ref="F164">IFERROR(_xlfn.LET(
_xlpm.CSVVal,_xlfn.XLOOKUP($A164,CSV!$A:$A,CSV!F:F,""),
_xlpm.MacVal,_xlfn.XLOOKUP($A164,Output_Mac!$A:$A,Output_Mac!E:E,""),
_xlpm.MyAuditVal,_xlfn.XLOOKUP($A164,My_Audit!$A:$A,My_Audit!E:E,""),
_xlfn.IFS(_xlpm.MyAuditVal&lt;&gt;"",_xlpm.MyAuditVal,_xlpm.MacVal&lt;&gt;"",_xlpm.MacVal,_xlpm.CSVVal&lt;&gt;"",_xlpm.CSVVal
)),"")</f>
        <v/>
      </c>
      <c r="G164" s="2" t="str" cm="1">
        <f t="array" ref="G164">IFERROR(_xlfn.LET(
_xlpm.CSVVal,_xlfn.XLOOKUP($A164,CSV!$A:$A,CSV!G:G,""),
_xlpm.MacVal,_xlfn.XLOOKUP($A164,Output_Mac!$A:$A,Output_Mac!F:F,""),
_xlpm.MyAuditVal,_xlfn.XLOOKUP($A164,My_Audit!$A:$A,My_Audit!F:F,""),
_xlfn.IFS(_xlpm.MyAuditVal&lt;&gt;"",_xlpm.MyAuditVal,_xlpm.MacVal&lt;&gt;"",_xlpm.MacVal,_xlpm.CSVVal&lt;&gt;"",PROPER(_xlpm.CSVVal)
)),"")</f>
        <v/>
      </c>
      <c r="H164" s="2" t="str" cm="1">
        <f t="array" ref="H164">IFERROR(_xlfn.LET(
_xlpm.CSVVal,_xlfn.XLOOKUP($A164,CSV!$A:$A,CSV!H:H,""),
_xlpm.MacVal,_xlfn.XLOOKUP($A164,Output_Mac!$A:$A,Output_Mac!H:H,""),
_xlpm.MyAuditVal,_xlfn.XLOOKUP($A164,My_Audit!$A:$A,My_Audit!G:G,""),
_xlfn.IFS(_xlpm.MyAuditVal&lt;&gt;"",_xlpm.MyAuditVal,_xlpm.MacVal&lt;&gt;"",_xlpm.MacVal,_xlpm.CSVVal&lt;&gt;"",_xlpm.CSVVal
)),"")</f>
        <v/>
      </c>
      <c r="I164" s="2" t="str">
        <f>_xlfn.XLOOKUP(A164,Output_Mac!A:A,Output_Mac!I:I,"")</f>
        <v/>
      </c>
      <c r="J164" s="2" t="str" cm="1">
        <f t="array" ref="J164">IFERROR(_xlfn.LET(
_xlpm.CSVVal,_xlfn.XLOOKUP($A164,CSV!$A:$A,CSV!I:I,""),
_xlpm.MacVal,_xlfn.XLOOKUP($A164,Output_Mac!$A:$A,Output_Mac!J:J,""),
_xlpm.MyAuditVal,_xlfn.XLOOKUP($A164,My_Audit!$A:$A,My_Audit!I:I,""),
_xlfn.IFS(_xlpm.MyAuditVal&lt;&gt;"",UPPER(_xlpm.MyAuditVal),_xlpm.MacVal&lt;&gt;"",_xlpm.MacVal,_xlpm.CSVVal&lt;&gt;"",_xlpm.CSVVal
)),"")</f>
        <v/>
      </c>
      <c r="K164" s="2" t="str" cm="1">
        <f t="array" ref="K164">IFERROR(_xlfn.LET(
_xlpm.CSVVal,_xlfn.XLOOKUP($A164,CSV!$A:$A,CSV!K:K,""),
_xlpm.MacVal,_xlfn.XLOOKUP($A164,Output_Mac!$A:$A,Output_Mac!K:K,""),
_xlpm.MyAuditVal,_xlfn.XLOOKUP($A164,My_Audit!$A:$A,My_Audit!J:J,""),
_xlfn.IFS(_xlpm.MyAuditVal&lt;&gt;"",UPPER(_xlpm.MyAuditVal),_xlpm.MacVal&lt;&gt;"",_xlpm.MacVal,_xlpm.CSVVal&lt;&gt;"",_xlpm.CSVVal
)),"")</f>
        <v/>
      </c>
      <c r="L164" s="2" t="str" cm="1">
        <f t="array" ref="L164">IFERROR(_xlfn.LET(
_xlpm.CSVVal,_xlfn.XLOOKUP($A164,CSV!$A:$A,CSV!P:P,""),
_xlpm.MacVal,_xlfn.XLOOKUP($A164,Output_Mac!$A:$A,Output_Mac!L:L,""),
_xlpm.MyAuditVal,_xlfn.XLOOKUP($A164,My_Audit!$A:$A,My_Audit!K:K,""),
_xlfn.IFS(_xlpm.MyAuditVal&lt;&gt;"",UPPER(_xlpm.MyAuditVal),_xlpm.MacVal&lt;&gt;"",_xlpm.MacVal,_xlpm.CSVVal&lt;&gt;"",_xlpm.CSVVal
)),"")</f>
        <v/>
      </c>
      <c r="M164" s="2" t="str" cm="1">
        <f t="array" ref="M164">IFERROR(_xlfn.LET(
_xlpm.CSVVal,_xlfn.XLOOKUP($A164,CSV!$A:$A,CSV!Q:Q,""),
_xlpm.MacVal,_xlfn.XLOOKUP($A164,Output_Mac!$A:$A,Output_Mac!M:M,""),
_xlpm.MyAuditVal,_xlfn.XLOOKUP($A164,My_Audit!$A:$A,My_Audit!L:L,""),
_xlfn.IFS(_xlpm.MyAuditVal&lt;&gt;"",UPPER(_xlpm.MyAuditVal),_xlpm.MacVal&lt;&gt;"",_xlpm.MacVal,_xlpm.CSVVal&lt;&gt;"",_xlpm.CSVVal
)),"")</f>
        <v/>
      </c>
      <c r="O164" s="2" t="str">
        <f>_xlfn.LET(
    _xlpm.CSVVal, _xlfn.XLOOKUP($A164, CSV!$A:$A, CSV!AA:AA, ""),
    _xlpm.MacVal, _xlfn.XLOOKUP($A164, Output_Mac!$A:$A, Output_Mac!S:S, ""),
    _xlpm.MyAuditVal, _xlfn.XLOOKUP($A164, My_Audit!$A:$A, My_Audit!P:P, ""),
    _xlfn.TEXTJOIN(", ", TRUE, _xlpm.MyAuditVal, _xlpm.MacVal, _xlpm.CSVVal)
)</f>
        <v/>
      </c>
      <c r="P164" s="2" t="str" cm="1">
        <f t="array" ref="P164">IFERROR(_xlfn.LET(
_xlpm.CSVVal,_xlfn.XLOOKUP($A164,CSV!$A:$A,CSV!AB:AB,""),
_xlpm.MacVal,_xlfn.XLOOKUP($A164,Output_Mac!$A:$A,Output_Mac!T:T,""),
_xlpm.MyAuditVal,_xlfn.XLOOKUP($A164,My_Audit!$A:$A,My_Audit!Q:Q,""),
_xlfn.IFS(_xlpm.MyAuditVal&lt;&gt;"",UPPER(_xlpm.MyAuditVal),_xlpm.MacVal&lt;&gt;"",_xlpm.MacVal,_xlpm.CSVVal&lt;&gt;"",_xlpm.CSVVal
)),"No")</f>
        <v>No</v>
      </c>
      <c r="Q164" s="2" t="str" cm="1">
        <f t="array" ref="Q164">IFERROR(_xlfn.LET(
_xlpm.CSVVal,_xlfn.XLOOKUP($A164,CSV!$A:$A,CSV!AC:AC,""),
_xlpm.MacVal,_xlfn.XLOOKUP($A164,Output_Mac!$A:$A,Output_Mac!U:U,""),
_xlpm.MyAuditVal,_xlfn.XLOOKUP($A164,My_Audit!$A:$A,My_Audit!R:R,""),
_xlfn.IFS(_xlpm.MyAuditVal&lt;&gt;"",UPPER(_xlpm.MyAuditVal),_xlpm.MacVal&lt;&gt;"",_xlpm.MacVal,_xlpm.CSVVal&lt;&gt;"",_xlpm.CSVVal
)),"")</f>
        <v/>
      </c>
      <c r="X164" t="str">
        <f>_xlfn.LET(
    _xlpm.MacVal, _xlfn.XLOOKUP($A164, Output_Mac!$A:$A, Output_Mac!AB:AB, ""),
    _xlpm.MyAuditVal, _xlfn.XLOOKUP($A164, My_Audit!$A:$A, My_Audit!N:N, ""),
    _xlfn.TEXTJOIN(", ", TRUE, _xlpm.MyAuditVal, _xlpm.MacVal)
)</f>
        <v/>
      </c>
    </row>
    <row r="165" spans="1:24">
      <c r="A165" s="2" t="str">
        <f>_xlfn.TEXTJOIN("",TRUE,Input!$B$2,ROW(My_Audit!A164))</f>
        <v>X164</v>
      </c>
      <c r="C165" s="2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2" t="str" cm="1">
        <f t="array" ref="D165">IFERROR(_xlfn.LET(
_xlpm.CSVVal,_xlfn.XLOOKUP($A165,CSV!$A:$A,CSV!D:D,""),
_xlpm.MacVal,_xlfn.XLOOKUP($A165,Output_Mac!$A:$A,Output_Mac!C:C,""),
_xlpm.MyAuditVal,_xlfn.XLOOKUP($A165,My_Audit!$A:$A,My_Audit!C:C,""),
_xlfn.IFS(_xlpm.MyAuditVal&lt;&gt;"",_xlpm.MyAuditVal,_xlpm.MacVal&lt;&gt;"",_xlpm.MacVal,_xlpm.CSVVal&lt;&gt;"",_xlpm.CSVVal
)),"")</f>
        <v/>
      </c>
      <c r="E165" s="2" t="e">
        <f>IF(_xlfn.XLOOKUP(A165,My_Audit!A:A,My_Audit!D:D),_xlfn.XLOOKUP(A165,My_Audit!A:A,My_Audit!D:D),"")</f>
        <v>#N/A</v>
      </c>
      <c r="F165" s="2" t="str" cm="1">
        <f t="array" ref="F165">IFERROR(_xlfn.LET(
_xlpm.CSVVal,_xlfn.XLOOKUP($A165,CSV!$A:$A,CSV!F:F,""),
_xlpm.MacVal,_xlfn.XLOOKUP($A165,Output_Mac!$A:$A,Output_Mac!E:E,""),
_xlpm.MyAuditVal,_xlfn.XLOOKUP($A165,My_Audit!$A:$A,My_Audit!E:E,""),
_xlfn.IFS(_xlpm.MyAuditVal&lt;&gt;"",_xlpm.MyAuditVal,_xlpm.MacVal&lt;&gt;"",_xlpm.MacVal,_xlpm.CSVVal&lt;&gt;"",_xlpm.CSVVal
)),"")</f>
        <v/>
      </c>
      <c r="G165" s="2" t="str" cm="1">
        <f t="array" ref="G165">IFERROR(_xlfn.LET(
_xlpm.CSVVal,_xlfn.XLOOKUP($A165,CSV!$A:$A,CSV!G:G,""),
_xlpm.MacVal,_xlfn.XLOOKUP($A165,Output_Mac!$A:$A,Output_Mac!F:F,""),
_xlpm.MyAuditVal,_xlfn.XLOOKUP($A165,My_Audit!$A:$A,My_Audit!F:F,""),
_xlfn.IFS(_xlpm.MyAuditVal&lt;&gt;"",_xlpm.MyAuditVal,_xlpm.MacVal&lt;&gt;"",_xlpm.MacVal,_xlpm.CSVVal&lt;&gt;"",PROPER(_xlpm.CSVVal)
)),"")</f>
        <v/>
      </c>
      <c r="H165" s="2" t="str" cm="1">
        <f t="array" ref="H165">IFERROR(_xlfn.LET(
_xlpm.CSVVal,_xlfn.XLOOKUP($A165,CSV!$A:$A,CSV!G:G,""),
_xlpm.MacVal,_xlfn.XLOOKUP($A165,Output_Mac!$A:$A,Output_Mac!H:H,""),
_xlpm.MyAuditVal,_xlfn.XLOOKUP($A165,My_Audit!$A:$A,My_Audit!G:G,""),
_xlfn.IFS(_xlpm.MyAuditVal&lt;&gt;"",_xlpm.MyAuditVal,_xlpm.MacVal&lt;&gt;"",_xlpm.MacVal,_xlpm.CSVVal&lt;&gt;"",_xlpm.CSVVal
)),"")</f>
        <v/>
      </c>
      <c r="I165" s="2" t="str">
        <f>_xlfn.XLOOKUP(A165,Output_Mac!A:A,Output_Mac!I:I,"")</f>
        <v/>
      </c>
      <c r="J165" s="2" t="str" cm="1">
        <f t="array" ref="J165">IFERROR(_xlfn.LET(
_xlpm.CSVVal,_xlfn.XLOOKUP($A165,CSV!$A:$A,CSV!I:I,""),
_xlpm.MacVal,_xlfn.XLOOKUP($A165,Output_Mac!$A:$A,Output_Mac!J:J,""),
_xlpm.MyAuditVal,_xlfn.XLOOKUP($A165,My_Audit!$A:$A,My_Audit!I:I,""),
_xlfn.IFS(_xlpm.MyAuditVal&lt;&gt;"",UPPER(_xlpm.MyAuditVal),_xlpm.MacVal&lt;&gt;"",_xlpm.MacVal,_xlpm.CSVVal&lt;&gt;"",_xlpm.CSVVal
)),"")</f>
        <v/>
      </c>
      <c r="K165" s="2" t="str" cm="1">
        <f t="array" ref="K165">IFERROR(_xlfn.LET(
_xlpm.CSVVal,_xlfn.XLOOKUP($A165,CSV!$A:$A,CSV!K:K,""),
_xlpm.MacVal,_xlfn.XLOOKUP($A165,Output_Mac!$A:$A,Output_Mac!K:K,""),
_xlpm.MyAuditVal,_xlfn.XLOOKUP($A165,My_Audit!$A:$A,My_Audit!J:J,""),
_xlfn.IFS(_xlpm.MyAuditVal&lt;&gt;"",UPPER(_xlpm.MyAuditVal),_xlpm.MacVal&lt;&gt;"",_xlpm.MacVal,_xlpm.CSVVal&lt;&gt;"",_xlpm.CSVVal
)),"")</f>
        <v/>
      </c>
      <c r="L165" s="2" t="str" cm="1">
        <f t="array" ref="L165">IFERROR(_xlfn.LET(
_xlpm.CSVVal,_xlfn.XLOOKUP($A165,CSV!$A:$A,CSV!P:P,""),
_xlpm.MacVal,_xlfn.XLOOKUP($A165,Output_Mac!$A:$A,Output_Mac!L:L,""),
_xlpm.MyAuditVal,_xlfn.XLOOKUP($A165,My_Audit!$A:$A,My_Audit!K:K,""),
_xlfn.IFS(_xlpm.MyAuditVal&lt;&gt;"",UPPER(_xlpm.MyAuditVal),_xlpm.MacVal&lt;&gt;"",_xlpm.MacVal,_xlpm.CSVVal&lt;&gt;"",_xlpm.CSVVal
)),"")</f>
        <v/>
      </c>
      <c r="M165" s="2" t="str" cm="1">
        <f t="array" ref="M165">IFERROR(_xlfn.LET(
_xlpm.CSVVal,_xlfn.XLOOKUP($A165,CSV!$A:$A,CSV!Q:Q,""),
_xlpm.MacVal,_xlfn.XLOOKUP($A165,Output_Mac!$A:$A,Output_Mac!M:M,""),
_xlpm.MyAuditVal,_xlfn.XLOOKUP($A165,My_Audit!$A:$A,My_Audit!L:L,""),
_xlfn.IFS(_xlpm.MyAuditVal&lt;&gt;"",UPPER(_xlpm.MyAuditVal),_xlpm.MacVal&lt;&gt;"",_xlpm.MacVal,_xlpm.CSVVal&lt;&gt;"",_xlpm.CSVVal
)),"")</f>
        <v/>
      </c>
      <c r="N165" s="2" t="str" cm="1">
        <f t="array" ref="N165">IFERROR(_xlfn.LET(
_xlpm.CSVVal,_xlfn.XLOOKUP($A165,CSV!$A:$A,CSV!M:M,""),
_xlpm.MacVal,_xlfn.XLOOKUP($A165,Output_Mac!$A:$A,Output_Mac!N:N,""),
_xlpm.MyAuditVal,_xlfn.XLOOKUP($A165,My_Audit!$A:$A,My_Audit!M:M,""),
_xlfn.IFS(_xlpm.MyAuditVal&lt;&gt;"",UPPER(_xlpm.MyAuditVal),_xlpm.MacVal&lt;&gt;"",_xlpm.MacVal,_xlpm.CSVVal&lt;&gt;"",_xlpm.CSVVal
)),"")</f>
        <v/>
      </c>
      <c r="O165" s="2" t="str">
        <f>_xlfn.LET(
    _xlpm.CSVVal, _xlfn.XLOOKUP($A165, CSV!$A:$A, CSV!AA:AA, ""),
    _xlpm.MacVal, _xlfn.XLOOKUP($A165, Output_Mac!$A:$A, Output_Mac!S:S, ""),
    _xlpm.MyAuditVal, _xlfn.XLOOKUP($A165, My_Audit!$A:$A, My_Audit!O:O, ""),
    _xlfn.TEXTJOIN(", ", TRUE, _xlpm.MyAuditVal, _xlpm.MacVal, _xlpm.CSVVal)
)</f>
        <v/>
      </c>
      <c r="P165" s="2" t="str" cm="1">
        <f t="array" ref="P165">IFERROR(_xlfn.LET(
_xlpm.CSVVal,_xlfn.XLOOKUP($A165,CSV!$A:$A,CSV!AB:AB,""),
_xlpm.MacVal,_xlfn.XLOOKUP($A165,Output_Mac!$A:$A,Output_Mac!T:T,""),
_xlpm.MyAuditVal,_xlfn.XLOOKUP($A165,My_Audit!$A:$A,My_Audit!Q:Q,""),
_xlfn.IFS(_xlpm.MyAuditVal&lt;&gt;"",UPPER(_xlpm.MyAuditVal),_xlpm.MacVal&lt;&gt;"",_xlpm.MacVal,_xlpm.CSVVal&lt;&gt;"",_xlpm.CSVVal
)),"No")</f>
        <v>No</v>
      </c>
      <c r="Q165" s="2" t="str" cm="1">
        <f t="array" ref="Q165">IFERROR(_xlfn.LET(
_xlpm.CSVVal,_xlfn.XLOOKUP($A165,CSV!$A:$A,CSV!AC:AC,""),
_xlpm.MacVal,_xlfn.XLOOKUP($A165,Output_Mac!$A:$A,Output_Mac!U:U,""),
_xlpm.MyAuditVal,_xlfn.XLOOKUP($A165,My_Audit!$A:$A,My_Audit!R:R,""),
_xlfn.IFS(_xlpm.MyAuditVal&lt;&gt;"",UPPER(_xlpm.MyAuditVal),_xlpm.MacVal&lt;&gt;"",_xlpm.MacVal,_xlpm.CSVVal&lt;&gt;"",_xlpm.CSVVal
)),"")</f>
        <v/>
      </c>
      <c r="X165" t="str">
        <f>_xlfn.LET(
    _xlpm.MacVal, _xlfn.XLOOKUP($A165, Output_Mac!$A:$A, Output_Mac!AB:AB, ""),
    _xlpm.MyAuditVal, _xlfn.XLOOKUP($A165, My_Audit!$A:$A, My_Audit!N:N, ""),
    _xlfn.TEXTJOIN(", ", TRUE, _xlpm.MyAuditVal, _xlpm.MacVal)
)</f>
        <v/>
      </c>
    </row>
    <row r="166" spans="1:24">
      <c r="A166" s="2" t="str">
        <f>_xlfn.TEXTJOIN("",TRUE,Input!$B$2,ROW(My_Audit!A165))</f>
        <v>X165</v>
      </c>
      <c r="C166" s="2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2" t="str" cm="1">
        <f t="array" ref="D166">IFERROR(_xlfn.LET(
_xlpm.CSVVal,_xlfn.XLOOKUP($A166,CSV!$A:$A,CSV!D:D,""),
_xlpm.MacVal,_xlfn.XLOOKUP($A166,Output_Mac!$A:$A,Output_Mac!C:C,""),
_xlpm.MyAuditVal,_xlfn.XLOOKUP($A166,My_Audit!$A:$A,My_Audit!C:C,""),
_xlfn.IFS(_xlpm.MyAuditVal&lt;&gt;"",_xlpm.MyAuditVal,_xlpm.MacVal&lt;&gt;"",_xlpm.MacVal,_xlpm.CSVVal&lt;&gt;"",_xlpm.CSVVal
)),"")</f>
        <v/>
      </c>
      <c r="E166" s="2" t="e">
        <f>IF(_xlfn.XLOOKUP(A166,My_Audit!A:A,My_Audit!D:D),_xlfn.XLOOKUP(A166,My_Audit!A:A,My_Audit!D:D),"")</f>
        <v>#N/A</v>
      </c>
      <c r="F166" s="2" t="str" cm="1">
        <f t="array" ref="F166">IFERROR(_xlfn.LET(
_xlpm.CSVVal,_xlfn.XLOOKUP($A166,CSV!$A:$A,CSV!F:F,""),
_xlpm.MacVal,_xlfn.XLOOKUP($A166,Output_Mac!$A:$A,Output_Mac!E:E,""),
_xlpm.MyAuditVal,_xlfn.XLOOKUP($A166,My_Audit!$A:$A,My_Audit!E:E,""),
_xlfn.IFS(_xlpm.MyAuditVal&lt;&gt;"",_xlpm.MyAuditVal,_xlpm.MacVal&lt;&gt;"",_xlpm.MacVal,_xlpm.CSVVal&lt;&gt;"",_xlpm.CSVVal
)),"")</f>
        <v/>
      </c>
      <c r="G166" s="2" t="str" cm="1">
        <f t="array" ref="G166">IFERROR(_xlfn.LET(
_xlpm.CSVVal,_xlfn.XLOOKUP($A166,CSV!$A:$A,CSV!G:G,""),
_xlpm.MacVal,_xlfn.XLOOKUP($A166,Output_Mac!$A:$A,Output_Mac!F:F,""),
_xlpm.MyAuditVal,_xlfn.XLOOKUP($A166,My_Audit!$A:$A,My_Audit!F:F,""),
_xlfn.IFS(_xlpm.MyAuditVal&lt;&gt;"",_xlpm.MyAuditVal,_xlpm.MacVal&lt;&gt;"",_xlpm.MacVal,_xlpm.CSVVal&lt;&gt;"",PROPER(_xlpm.CSVVal)
)),"")</f>
        <v/>
      </c>
      <c r="H166" s="2" t="str" cm="1">
        <f t="array" ref="H166">IFERROR(_xlfn.LET(
_xlpm.CSVVal,_xlfn.XLOOKUP($A166,CSV!$A:$A,CSV!G:G,""),
_xlpm.MacVal,_xlfn.XLOOKUP($A166,Output_Mac!$A:$A,Output_Mac!H:H,""),
_xlpm.MyAuditVal,_xlfn.XLOOKUP($A166,My_Audit!$A:$A,My_Audit!G:G,""),
_xlfn.IFS(_xlpm.MyAuditVal&lt;&gt;"",_xlpm.MyAuditVal,_xlpm.MacVal&lt;&gt;"",_xlpm.MacVal,_xlpm.CSVVal&lt;&gt;"",_xlpm.CSVVal
)),"")</f>
        <v/>
      </c>
      <c r="I166" s="2" t="str">
        <f>_xlfn.XLOOKUP(A166,Output_Mac!A:A,Output_Mac!I:I,"")</f>
        <v/>
      </c>
      <c r="J166" s="2" t="str" cm="1">
        <f t="array" ref="J166">IFERROR(_xlfn.LET(
_xlpm.CSVVal,_xlfn.XLOOKUP($A166,CSV!$A:$A,CSV!I:I,""),
_xlpm.MacVal,_xlfn.XLOOKUP($A166,Output_Mac!$A:$A,Output_Mac!J:J,""),
_xlpm.MyAuditVal,_xlfn.XLOOKUP($A166,My_Audit!$A:$A,My_Audit!I:I,""),
_xlfn.IFS(_xlpm.MyAuditVal&lt;&gt;"",UPPER(_xlpm.MyAuditVal),_xlpm.MacVal&lt;&gt;"",_xlpm.MacVal,_xlpm.CSVVal&lt;&gt;"",_xlpm.CSVVal
)),"")</f>
        <v/>
      </c>
      <c r="K166" s="2" t="str" cm="1">
        <f t="array" ref="K166">IFERROR(_xlfn.LET(
_xlpm.CSVVal,_xlfn.XLOOKUP($A166,CSV!$A:$A,CSV!K:K,""),
_xlpm.MacVal,_xlfn.XLOOKUP($A166,Output_Mac!$A:$A,Output_Mac!K:K,""),
_xlpm.MyAuditVal,_xlfn.XLOOKUP($A166,My_Audit!$A:$A,My_Audit!J:J,""),
_xlfn.IFS(_xlpm.MyAuditVal&lt;&gt;"",UPPER(_xlpm.MyAuditVal),_xlpm.MacVal&lt;&gt;"",_xlpm.MacVal,_xlpm.CSVVal&lt;&gt;"",_xlpm.CSVVal
)),"")</f>
        <v/>
      </c>
      <c r="L166" s="2" t="str" cm="1">
        <f t="array" ref="L166">IFERROR(_xlfn.LET(
_xlpm.CSVVal,_xlfn.XLOOKUP($A166,CSV!$A:$A,CSV!P:P,""),
_xlpm.MacVal,_xlfn.XLOOKUP($A166,Output_Mac!$A:$A,Output_Mac!L:L,""),
_xlpm.MyAuditVal,_xlfn.XLOOKUP($A166,My_Audit!$A:$A,My_Audit!K:K,""),
_xlfn.IFS(_xlpm.MyAuditVal&lt;&gt;"",UPPER(_xlpm.MyAuditVal),_xlpm.MacVal&lt;&gt;"",_xlpm.MacVal,_xlpm.CSVVal&lt;&gt;"",_xlpm.CSVVal
)),"")</f>
        <v/>
      </c>
      <c r="M166" s="2" t="str" cm="1">
        <f t="array" ref="M166">IFERROR(_xlfn.LET(
_xlpm.CSVVal,_xlfn.XLOOKUP($A166,CSV!$A:$A,CSV!Q:Q,""),
_xlpm.MacVal,_xlfn.XLOOKUP($A166,Output_Mac!$A:$A,Output_Mac!M:M,""),
_xlpm.MyAuditVal,_xlfn.XLOOKUP($A166,My_Audit!$A:$A,My_Audit!L:L,""),
_xlfn.IFS(_xlpm.MyAuditVal&lt;&gt;"",UPPER(_xlpm.MyAuditVal),_xlpm.MacVal&lt;&gt;"",_xlpm.MacVal,_xlpm.CSVVal&lt;&gt;"",_xlpm.CSVVal
)),"")</f>
        <v/>
      </c>
      <c r="N166" s="2" t="str" cm="1">
        <f t="array" ref="N166">IFERROR(_xlfn.LET(
_xlpm.CSVVal,_xlfn.XLOOKUP($A166,CSV!$A:$A,CSV!M:M,""),
_xlpm.MacVal,_xlfn.XLOOKUP($A166,Output_Mac!$A:$A,Output_Mac!N:N,""),
_xlpm.MyAuditVal,_xlfn.XLOOKUP($A166,My_Audit!$A:$A,My_Audit!M:M,""),
_xlfn.IFS(_xlpm.MyAuditVal&lt;&gt;"",UPPER(_xlpm.MyAuditVal),_xlpm.MacVal&lt;&gt;"",_xlpm.MacVal,_xlpm.CSVVal&lt;&gt;"",_xlpm.CSVVal
)),"")</f>
        <v/>
      </c>
      <c r="O166" s="2" t="str">
        <f>_xlfn.LET(
    _xlpm.CSVVal, _xlfn.XLOOKUP($A166, CSV!$A:$A, CSV!AA:AA, ""),
    _xlpm.MacVal, _xlfn.XLOOKUP($A166, Output_Mac!$A:$A, Output_Mac!S:S, ""),
    _xlpm.MyAuditVal, _xlfn.XLOOKUP($A166, My_Audit!$A:$A, My_Audit!O:O, ""),
    _xlfn.TEXTJOIN(", ", TRUE, _xlpm.MyAuditVal, _xlpm.MacVal, _xlpm.CSVVal)
)</f>
        <v/>
      </c>
      <c r="P166" s="2" t="str" cm="1">
        <f t="array" ref="P166">IFERROR(_xlfn.LET(
_xlpm.CSVVal,_xlfn.XLOOKUP($A166,CSV!$A:$A,CSV!AB:AB,""),
_xlpm.MacVal,_xlfn.XLOOKUP($A166,Output_Mac!$A:$A,Output_Mac!T:T,""),
_xlpm.MyAuditVal,_xlfn.XLOOKUP($A166,My_Audit!$A:$A,My_Audit!Q:Q,""),
_xlfn.IFS(_xlpm.MyAuditVal&lt;&gt;"",UPPER(_xlpm.MyAuditVal),_xlpm.MacVal&lt;&gt;"",_xlpm.MacVal,_xlpm.CSVVal&lt;&gt;"",_xlpm.CSVVal
)),"No")</f>
        <v>No</v>
      </c>
      <c r="Q166" s="2" t="str" cm="1">
        <f t="array" ref="Q166">IFERROR(_xlfn.LET(
_xlpm.CSVVal,_xlfn.XLOOKUP($A166,CSV!$A:$A,CSV!AC:AC,""),
_xlpm.MacVal,_xlfn.XLOOKUP($A166,Output_Mac!$A:$A,Output_Mac!U:U,""),
_xlpm.MyAuditVal,_xlfn.XLOOKUP($A166,My_Audit!$A:$A,My_Audit!R:R,""),
_xlfn.IFS(_xlpm.MyAuditVal&lt;&gt;"",UPPER(_xlpm.MyAuditVal),_xlpm.MacVal&lt;&gt;"",_xlpm.MacVal,_xlpm.CSVVal&lt;&gt;"",_xlpm.CSVVal
)),"")</f>
        <v/>
      </c>
      <c r="X166" t="str">
        <f>_xlfn.LET(
    _xlpm.MacVal, _xlfn.XLOOKUP($A166, Output_Mac!$A:$A, Output_Mac!AB:AB, ""),
    _xlpm.MyAuditVal, _xlfn.XLOOKUP($A166, My_Audit!$A:$A, My_Audit!N:N, ""),
    _xlfn.TEXTJOIN(", ", TRUE, _xlpm.MyAuditVal, _xlpm.MacVal)
)</f>
        <v/>
      </c>
    </row>
    <row r="167" spans="1:24">
      <c r="A167" s="2" t="str">
        <f>_xlfn.TEXTJOIN("",TRUE,Input!$B$2,ROW(My_Audit!A166))</f>
        <v>X166</v>
      </c>
      <c r="C167" s="2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2" t="str" cm="1">
        <f t="array" ref="D167">IFERROR(_xlfn.LET(
_xlpm.CSVVal,_xlfn.XLOOKUP($A167,CSV!$A:$A,CSV!D:D,""),
_xlpm.MacVal,_xlfn.XLOOKUP($A167,Output_Mac!$A:$A,Output_Mac!C:C,""),
_xlpm.MyAuditVal,_xlfn.XLOOKUP($A167,My_Audit!$A:$A,My_Audit!C:C,""),
_xlfn.IFS(_xlpm.MyAuditVal&lt;&gt;"",_xlpm.MyAuditVal,_xlpm.MacVal&lt;&gt;"",_xlpm.MacVal,_xlpm.CSVVal&lt;&gt;"",_xlpm.CSVVal
)),"")</f>
        <v/>
      </c>
      <c r="E167" s="2" t="e">
        <f>IF(_xlfn.XLOOKUP(A167,My_Audit!A:A,My_Audit!D:D),_xlfn.XLOOKUP(A167,My_Audit!A:A,My_Audit!D:D),"")</f>
        <v>#N/A</v>
      </c>
      <c r="F167" s="2" t="str" cm="1">
        <f t="array" ref="F167">IFERROR(_xlfn.LET(
_xlpm.CSVVal,_xlfn.XLOOKUP($A167,CSV!$A:$A,CSV!F:F,""),
_xlpm.MacVal,_xlfn.XLOOKUP($A167,Output_Mac!$A:$A,Output_Mac!E:E,""),
_xlpm.MyAuditVal,_xlfn.XLOOKUP($A167,My_Audit!$A:$A,My_Audit!E:E,""),
_xlfn.IFS(_xlpm.MyAuditVal&lt;&gt;"",_xlpm.MyAuditVal,_xlpm.MacVal&lt;&gt;"",_xlpm.MacVal,_xlpm.CSVVal&lt;&gt;"",_xlpm.CSVVal
)),"")</f>
        <v/>
      </c>
      <c r="G167" s="2" t="str" cm="1">
        <f t="array" ref="G167">IFERROR(_xlfn.LET(
_xlpm.CSVVal,_xlfn.XLOOKUP($A167,CSV!$A:$A,CSV!G:G,""),
_xlpm.MacVal,_xlfn.XLOOKUP($A167,Output_Mac!$A:$A,Output_Mac!F:F,""),
_xlpm.MyAuditVal,_xlfn.XLOOKUP($A167,My_Audit!$A:$A,My_Audit!F:F,""),
_xlfn.IFS(_xlpm.MyAuditVal&lt;&gt;"",_xlpm.MyAuditVal,_xlpm.MacVal&lt;&gt;"",_xlpm.MacVal,_xlpm.CSVVal&lt;&gt;"",PROPER(_xlpm.CSVVal)
)),"")</f>
        <v/>
      </c>
      <c r="H167" s="2" t="str" cm="1">
        <f t="array" ref="H167">IFERROR(_xlfn.LET(
_xlpm.CSVVal,_xlfn.XLOOKUP($A167,CSV!$A:$A,CSV!G:G,""),
_xlpm.MacVal,_xlfn.XLOOKUP($A167,Output_Mac!$A:$A,Output_Mac!H:H,""),
_xlpm.MyAuditVal,_xlfn.XLOOKUP($A167,My_Audit!$A:$A,My_Audit!G:G,""),
_xlfn.IFS(_xlpm.MyAuditVal&lt;&gt;"",_xlpm.MyAuditVal,_xlpm.MacVal&lt;&gt;"",_xlpm.MacVal,_xlpm.CSVVal&lt;&gt;"",_xlpm.CSVVal
)),"")</f>
        <v/>
      </c>
      <c r="I167" s="2" t="str">
        <f>_xlfn.XLOOKUP(A167,Output_Mac!A:A,Output_Mac!I:I,"")</f>
        <v/>
      </c>
      <c r="J167" s="2" t="str" cm="1">
        <f t="array" ref="J167">IFERROR(_xlfn.LET(
_xlpm.CSVVal,_xlfn.XLOOKUP($A167,CSV!$A:$A,CSV!I:I,""),
_xlpm.MacVal,_xlfn.XLOOKUP($A167,Output_Mac!$A:$A,Output_Mac!J:J,""),
_xlpm.MyAuditVal,_xlfn.XLOOKUP($A167,My_Audit!$A:$A,My_Audit!I:I,""),
_xlfn.IFS(_xlpm.MyAuditVal&lt;&gt;"",UPPER(_xlpm.MyAuditVal),_xlpm.MacVal&lt;&gt;"",_xlpm.MacVal,_xlpm.CSVVal&lt;&gt;"",_xlpm.CSVVal
)),"")</f>
        <v/>
      </c>
      <c r="K167" s="2" t="str" cm="1">
        <f t="array" ref="K167">IFERROR(_xlfn.LET(
_xlpm.CSVVal,_xlfn.XLOOKUP($A167,CSV!$A:$A,CSV!K:K,""),
_xlpm.MacVal,_xlfn.XLOOKUP($A167,Output_Mac!$A:$A,Output_Mac!K:K,""),
_xlpm.MyAuditVal,_xlfn.XLOOKUP($A167,My_Audit!$A:$A,My_Audit!J:J,""),
_xlfn.IFS(_xlpm.MyAuditVal&lt;&gt;"",UPPER(_xlpm.MyAuditVal),_xlpm.MacVal&lt;&gt;"",_xlpm.MacVal,_xlpm.CSVVal&lt;&gt;"",_xlpm.CSVVal
)),"")</f>
        <v/>
      </c>
      <c r="L167" s="2" t="str" cm="1">
        <f t="array" ref="L167">IFERROR(_xlfn.LET(
_xlpm.CSVVal,_xlfn.XLOOKUP($A167,CSV!$A:$A,CSV!P:P,""),
_xlpm.MacVal,_xlfn.XLOOKUP($A167,Output_Mac!$A:$A,Output_Mac!L:L,""),
_xlpm.MyAuditVal,_xlfn.XLOOKUP($A167,My_Audit!$A:$A,My_Audit!K:K,""),
_xlfn.IFS(_xlpm.MyAuditVal&lt;&gt;"",UPPER(_xlpm.MyAuditVal),_xlpm.MacVal&lt;&gt;"",_xlpm.MacVal,_xlpm.CSVVal&lt;&gt;"",_xlpm.CSVVal
)),"")</f>
        <v/>
      </c>
      <c r="M167" s="2" t="str" cm="1">
        <f t="array" ref="M167">IFERROR(_xlfn.LET(
_xlpm.CSVVal,_xlfn.XLOOKUP($A167,CSV!$A:$A,CSV!Q:Q,""),
_xlpm.MacVal,_xlfn.XLOOKUP($A167,Output_Mac!$A:$A,Output_Mac!M:M,""),
_xlpm.MyAuditVal,_xlfn.XLOOKUP($A167,My_Audit!$A:$A,My_Audit!L:L,""),
_xlfn.IFS(_xlpm.MyAuditVal&lt;&gt;"",UPPER(_xlpm.MyAuditVal),_xlpm.MacVal&lt;&gt;"",_xlpm.MacVal,_xlpm.CSVVal&lt;&gt;"",_xlpm.CSVVal
)),"")</f>
        <v/>
      </c>
      <c r="N167" s="2" t="str" cm="1">
        <f t="array" ref="N167">IFERROR(_xlfn.LET(
_xlpm.CSVVal,_xlfn.XLOOKUP($A167,CSV!$A:$A,CSV!M:M,""),
_xlpm.MacVal,_xlfn.XLOOKUP($A167,Output_Mac!$A:$A,Output_Mac!N:N,""),
_xlpm.MyAuditVal,_xlfn.XLOOKUP($A167,My_Audit!$A:$A,My_Audit!M:M,""),
_xlfn.IFS(_xlpm.MyAuditVal&lt;&gt;"",UPPER(_xlpm.MyAuditVal),_xlpm.MacVal&lt;&gt;"",_xlpm.MacVal,_xlpm.CSVVal&lt;&gt;"",_xlpm.CSVVal
)),"")</f>
        <v/>
      </c>
      <c r="O167" s="2" t="str">
        <f>_xlfn.LET(
    _xlpm.CSVVal, _xlfn.XLOOKUP($A167, CSV!$A:$A, CSV!AA:AA, ""),
    _xlpm.MacVal, _xlfn.XLOOKUP($A167, Output_Mac!$A:$A, Output_Mac!S:S, ""),
    _xlpm.MyAuditVal, _xlfn.XLOOKUP($A167, My_Audit!$A:$A, My_Audit!O:O, ""),
    _xlfn.TEXTJOIN(", ", TRUE, _xlpm.MyAuditVal, _xlpm.MacVal, _xlpm.CSVVal)
)</f>
        <v/>
      </c>
      <c r="P167" s="2" t="str" cm="1">
        <f t="array" ref="P167">IFERROR(_xlfn.LET(
_xlpm.CSVVal,_xlfn.XLOOKUP($A167,CSV!$A:$A,CSV!AB:AB,""),
_xlpm.MacVal,_xlfn.XLOOKUP($A167,Output_Mac!$A:$A,Output_Mac!T:T,""),
_xlpm.MyAuditVal,_xlfn.XLOOKUP($A167,My_Audit!$A:$A,My_Audit!Q:Q,""),
_xlfn.IFS(_xlpm.MyAuditVal&lt;&gt;"",UPPER(_xlpm.MyAuditVal),_xlpm.MacVal&lt;&gt;"",_xlpm.MacVal,_xlpm.CSVVal&lt;&gt;"",_xlpm.CSVVal
)),"No")</f>
        <v>No</v>
      </c>
      <c r="Q167" s="2" t="str" cm="1">
        <f t="array" ref="Q167">IFERROR(_xlfn.LET(
_xlpm.CSVVal,_xlfn.XLOOKUP($A167,CSV!$A:$A,CSV!AC:AC,""),
_xlpm.MacVal,_xlfn.XLOOKUP($A167,Output_Mac!$A:$A,Output_Mac!U:U,""),
_xlpm.MyAuditVal,_xlfn.XLOOKUP($A167,My_Audit!$A:$A,My_Audit!R:R,""),
_xlfn.IFS(_xlpm.MyAuditVal&lt;&gt;"",UPPER(_xlpm.MyAuditVal),_xlpm.MacVal&lt;&gt;"",_xlpm.MacVal,_xlpm.CSVVal&lt;&gt;"",_xlpm.CSVVal
)),"")</f>
        <v/>
      </c>
    </row>
    <row r="168" spans="1:24">
      <c r="A168" s="2" t="str">
        <f>_xlfn.TEXTJOIN("",TRUE,Input!$B$2,ROW(My_Audit!A167))</f>
        <v>X167</v>
      </c>
      <c r="C168" s="2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2" t="str" cm="1">
        <f t="array" ref="D168">IFERROR(_xlfn.LET(
_xlpm.CSVVal,_xlfn.XLOOKUP($A168,CSV!$A:$A,CSV!D:D,""),
_xlpm.MacVal,_xlfn.XLOOKUP($A168,Output_Mac!$A:$A,Output_Mac!C:C,""),
_xlpm.MyAuditVal,_xlfn.XLOOKUP($A168,My_Audit!$A:$A,My_Audit!C:C,""),
_xlfn.IFS(_xlpm.MyAuditVal&lt;&gt;"",_xlpm.MyAuditVal,_xlpm.MacVal&lt;&gt;"",_xlpm.MacVal,_xlpm.CSVVal&lt;&gt;"",_xlpm.CSVVal
)),"")</f>
        <v/>
      </c>
      <c r="E168" s="2" t="e">
        <f>IF(_xlfn.XLOOKUP(A168,My_Audit!A:A,My_Audit!D:D),_xlfn.XLOOKUP(A168,My_Audit!A:A,My_Audit!D:D),"")</f>
        <v>#N/A</v>
      </c>
      <c r="F168" s="2" t="str" cm="1">
        <f t="array" ref="F168">IFERROR(_xlfn.LET(
_xlpm.CSVVal,_xlfn.XLOOKUP($A168,CSV!$A:$A,CSV!F:F,""),
_xlpm.MacVal,_xlfn.XLOOKUP($A168,Output_Mac!$A:$A,Output_Mac!E:E,""),
_xlpm.MyAuditVal,_xlfn.XLOOKUP($A168,My_Audit!$A:$A,My_Audit!E:E,""),
_xlfn.IFS(_xlpm.MyAuditVal&lt;&gt;"",_xlpm.MyAuditVal,_xlpm.MacVal&lt;&gt;"",_xlpm.MacVal,_xlpm.CSVVal&lt;&gt;"",_xlpm.CSVVal
)),"")</f>
        <v/>
      </c>
      <c r="G168" s="2" t="str" cm="1">
        <f t="array" ref="G168">IFERROR(_xlfn.LET(
_xlpm.CSVVal,_xlfn.XLOOKUP($A168,CSV!$A:$A,CSV!G:G,""),
_xlpm.MacVal,_xlfn.XLOOKUP($A168,Output_Mac!$A:$A,Output_Mac!F:F,""),
_xlpm.MyAuditVal,_xlfn.XLOOKUP($A168,My_Audit!$A:$A,My_Audit!F:F,""),
_xlfn.IFS(_xlpm.MyAuditVal&lt;&gt;"",_xlpm.MyAuditVal,_xlpm.MacVal&lt;&gt;"",_xlpm.MacVal,_xlpm.CSVVal&lt;&gt;"",PROPER(_xlpm.CSVVal)
)),"")</f>
        <v/>
      </c>
      <c r="H168" s="2" t="str" cm="1">
        <f t="array" ref="H168">IFERROR(_xlfn.LET(
_xlpm.CSVVal,_xlfn.XLOOKUP($A168,CSV!$A:$A,CSV!G:G,""),
_xlpm.MacVal,_xlfn.XLOOKUP($A168,Output_Mac!$A:$A,Output_Mac!H:H,""),
_xlpm.MyAuditVal,_xlfn.XLOOKUP($A168,My_Audit!$A:$A,My_Audit!G:G,""),
_xlfn.IFS(_xlpm.MyAuditVal&lt;&gt;"",_xlpm.MyAuditVal,_xlpm.MacVal&lt;&gt;"",_xlpm.MacVal,_xlpm.CSVVal&lt;&gt;"",_xlpm.CSVVal
)),"")</f>
        <v/>
      </c>
      <c r="I168" s="2" t="str">
        <f>_xlfn.XLOOKUP(A168,Output_Mac!A:A,Output_Mac!I:I,"")</f>
        <v/>
      </c>
      <c r="J168" s="2" t="str" cm="1">
        <f t="array" ref="J168">IFERROR(_xlfn.LET(
_xlpm.CSVVal,_xlfn.XLOOKUP($A168,CSV!$A:$A,CSV!I:I,""),
_xlpm.MacVal,_xlfn.XLOOKUP($A168,Output_Mac!$A:$A,Output_Mac!J:J,""),
_xlpm.MyAuditVal,_xlfn.XLOOKUP($A168,My_Audit!$A:$A,My_Audit!I:I,""),
_xlfn.IFS(_xlpm.MyAuditVal&lt;&gt;"",UPPER(_xlpm.MyAuditVal),_xlpm.MacVal&lt;&gt;"",_xlpm.MacVal,_xlpm.CSVVal&lt;&gt;"",_xlpm.CSVVal
)),"")</f>
        <v/>
      </c>
      <c r="K168" s="2" t="str" cm="1">
        <f t="array" ref="K168">IFERROR(_xlfn.LET(
_xlpm.CSVVal,_xlfn.XLOOKUP($A168,CSV!$A:$A,CSV!K:K,""),
_xlpm.MacVal,_xlfn.XLOOKUP($A168,Output_Mac!$A:$A,Output_Mac!K:K,""),
_xlpm.MyAuditVal,_xlfn.XLOOKUP($A168,My_Audit!$A:$A,My_Audit!J:J,""),
_xlfn.IFS(_xlpm.MyAuditVal&lt;&gt;"",UPPER(_xlpm.MyAuditVal),_xlpm.MacVal&lt;&gt;"",_xlpm.MacVal,_xlpm.CSVVal&lt;&gt;"",_xlpm.CSVVal
)),"")</f>
        <v/>
      </c>
      <c r="L168" s="2" t="str" cm="1">
        <f t="array" ref="L168">IFERROR(_xlfn.LET(
_xlpm.CSVVal,_xlfn.XLOOKUP($A168,CSV!$A:$A,CSV!P:P,""),
_xlpm.MacVal,_xlfn.XLOOKUP($A168,Output_Mac!$A:$A,Output_Mac!L:L,""),
_xlpm.MyAuditVal,_xlfn.XLOOKUP($A168,My_Audit!$A:$A,My_Audit!K:K,""),
_xlfn.IFS(_xlpm.MyAuditVal&lt;&gt;"",UPPER(_xlpm.MyAuditVal),_xlpm.MacVal&lt;&gt;"",_xlpm.MacVal,_xlpm.CSVVal&lt;&gt;"",_xlpm.CSVVal
)),"")</f>
        <v/>
      </c>
      <c r="M168" s="2" t="str" cm="1">
        <f t="array" ref="M168">IFERROR(_xlfn.LET(
_xlpm.CSVVal,_xlfn.XLOOKUP($A168,CSV!$A:$A,CSV!Q:Q,""),
_xlpm.MacVal,_xlfn.XLOOKUP($A168,Output_Mac!$A:$A,Output_Mac!M:M,""),
_xlpm.MyAuditVal,_xlfn.XLOOKUP($A168,My_Audit!$A:$A,My_Audit!L:L,""),
_xlfn.IFS(_xlpm.MyAuditVal&lt;&gt;"",UPPER(_xlpm.MyAuditVal),_xlpm.MacVal&lt;&gt;"",_xlpm.MacVal,_xlpm.CSVVal&lt;&gt;"",_xlpm.CSVVal
)),"")</f>
        <v/>
      </c>
      <c r="N168" s="2" t="str" cm="1">
        <f t="array" ref="N168">IFERROR(_xlfn.LET(
_xlpm.CSVVal,_xlfn.XLOOKUP($A168,CSV!$A:$A,CSV!M:M,""),
_xlpm.MacVal,_xlfn.XLOOKUP($A168,Output_Mac!$A:$A,Output_Mac!N:N,""),
_xlpm.MyAuditVal,_xlfn.XLOOKUP($A168,My_Audit!$A:$A,My_Audit!M:M,""),
_xlfn.IFS(_xlpm.MyAuditVal&lt;&gt;"",UPPER(_xlpm.MyAuditVal),_xlpm.MacVal&lt;&gt;"",_xlpm.MacVal,_xlpm.CSVVal&lt;&gt;"",_xlpm.CSVVal
)),"")</f>
        <v/>
      </c>
      <c r="O168" s="2" t="str">
        <f>_xlfn.LET(
    _xlpm.CSVVal, _xlfn.XLOOKUP($A168, CSV!$A:$A, CSV!AA:AA, ""),
    _xlpm.MacVal, _xlfn.XLOOKUP($A168, Output_Mac!$A:$A, Output_Mac!S:S, ""),
    _xlpm.MyAuditVal, _xlfn.XLOOKUP($A168, My_Audit!$A:$A, My_Audit!O:O, ""),
    _xlfn.TEXTJOIN(", ", TRUE, _xlpm.MyAuditVal, _xlpm.MacVal, _xlpm.CSVVal)
)</f>
        <v/>
      </c>
      <c r="P168" s="2" t="str" cm="1">
        <f t="array" ref="P168">IFERROR(_xlfn.LET(
_xlpm.CSVVal,_xlfn.XLOOKUP($A168,CSV!$A:$A,CSV!AB:AB,""),
_xlpm.MacVal,_xlfn.XLOOKUP($A168,Output_Mac!$A:$A,Output_Mac!T:T,""),
_xlpm.MyAuditVal,_xlfn.XLOOKUP($A168,My_Audit!$A:$A,My_Audit!Q:Q,""),
_xlfn.IFS(_xlpm.MyAuditVal&lt;&gt;"",UPPER(_xlpm.MyAuditVal),_xlpm.MacVal&lt;&gt;"",_xlpm.MacVal,_xlpm.CSVVal&lt;&gt;"",_xlpm.CSVVal
)),"No")</f>
        <v>No</v>
      </c>
      <c r="Q168" s="2" t="str" cm="1">
        <f t="array" ref="Q168">IFERROR(_xlfn.LET(
_xlpm.CSVVal,_xlfn.XLOOKUP($A168,CSV!$A:$A,CSV!AC:AC,""),
_xlpm.MacVal,_xlfn.XLOOKUP($A168,Output_Mac!$A:$A,Output_Mac!U:U,""),
_xlpm.MyAuditVal,_xlfn.XLOOKUP($A168,My_Audit!$A:$A,My_Audit!R:R,""),
_xlfn.IFS(_xlpm.MyAuditVal&lt;&gt;"",UPPER(_xlpm.MyAuditVal),_xlpm.MacVal&lt;&gt;"",_xlpm.MacVal,_xlpm.CSVVal&lt;&gt;"",_xlpm.CSVVal
)),"")</f>
        <v/>
      </c>
    </row>
    <row r="169" spans="1:24">
      <c r="A169" s="2" t="str">
        <f>_xlfn.TEXTJOIN("",TRUE,Input!$B$2,ROW(My_Audit!A168))</f>
        <v>X168</v>
      </c>
      <c r="C169" s="2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2" t="str" cm="1">
        <f t="array" ref="D169">IFERROR(_xlfn.LET(
_xlpm.CSVVal,_xlfn.XLOOKUP($A169,CSV!$A:$A,CSV!D:D,""),
_xlpm.MacVal,_xlfn.XLOOKUP($A169,Output_Mac!$A:$A,Output_Mac!C:C,""),
_xlpm.MyAuditVal,_xlfn.XLOOKUP($A169,My_Audit!$A:$A,My_Audit!C:C,""),
_xlfn.IFS(_xlpm.MyAuditVal&lt;&gt;"",_xlpm.MyAuditVal,_xlpm.MacVal&lt;&gt;"",_xlpm.MacVal,_xlpm.CSVVal&lt;&gt;"",_xlpm.CSVVal
)),"")</f>
        <v/>
      </c>
      <c r="E169" s="2" t="e">
        <f>IF(_xlfn.XLOOKUP(A169,My_Audit!A:A,My_Audit!D:D),_xlfn.XLOOKUP(A169,My_Audit!A:A,My_Audit!D:D),"")</f>
        <v>#N/A</v>
      </c>
      <c r="F169" s="2" t="str" cm="1">
        <f t="array" ref="F169">IFERROR(_xlfn.LET(
_xlpm.CSVVal,_xlfn.XLOOKUP($A169,CSV!$A:$A,CSV!F:F,""),
_xlpm.MacVal,_xlfn.XLOOKUP($A169,Output_Mac!$A:$A,Output_Mac!E:E,""),
_xlpm.MyAuditVal,_xlfn.XLOOKUP($A169,My_Audit!$A:$A,My_Audit!E:E,""),
_xlfn.IFS(_xlpm.MyAuditVal&lt;&gt;"",_xlpm.MyAuditVal,_xlpm.MacVal&lt;&gt;"",_xlpm.MacVal,_xlpm.CSVVal&lt;&gt;"",_xlpm.CSVVal
)),"")</f>
        <v/>
      </c>
      <c r="G169" s="2" t="str" cm="1">
        <f t="array" ref="G169">IFERROR(_xlfn.LET(
_xlpm.CSVVal,_xlfn.XLOOKUP($A169,CSV!$A:$A,CSV!G:G,""),
_xlpm.MacVal,_xlfn.XLOOKUP($A169,Output_Mac!$A:$A,Output_Mac!F:F,""),
_xlpm.MyAuditVal,_xlfn.XLOOKUP($A169,My_Audit!$A:$A,My_Audit!F:F,""),
_xlfn.IFS(_xlpm.MyAuditVal&lt;&gt;"",_xlpm.MyAuditVal,_xlpm.MacVal&lt;&gt;"",_xlpm.MacVal,_xlpm.CSVVal&lt;&gt;"",PROPER(_xlpm.CSVVal)
)),"")</f>
        <v/>
      </c>
      <c r="H169" s="2" t="str" cm="1">
        <f t="array" ref="H169">IFERROR(_xlfn.LET(
_xlpm.CSVVal,_xlfn.XLOOKUP($A169,CSV!$A:$A,CSV!G:G,""),
_xlpm.MacVal,_xlfn.XLOOKUP($A169,Output_Mac!$A:$A,Output_Mac!H:H,""),
_xlpm.MyAuditVal,_xlfn.XLOOKUP($A169,My_Audit!$A:$A,My_Audit!G:G,""),
_xlfn.IFS(_xlpm.MyAuditVal&lt;&gt;"",_xlpm.MyAuditVal,_xlpm.MacVal&lt;&gt;"",_xlpm.MacVal,_xlpm.CSVVal&lt;&gt;"",_xlpm.CSVVal
)),"")</f>
        <v/>
      </c>
      <c r="I169" s="2" t="str">
        <f>_xlfn.XLOOKUP(A169,Output_Mac!A:A,Output_Mac!I:I,"")</f>
        <v/>
      </c>
      <c r="J169" s="2" t="str" cm="1">
        <f t="array" ref="J169">IFERROR(_xlfn.LET(
_xlpm.CSVVal,_xlfn.XLOOKUP($A169,CSV!$A:$A,CSV!I:I,""),
_xlpm.MacVal,_xlfn.XLOOKUP($A169,Output_Mac!$A:$A,Output_Mac!J:J,""),
_xlpm.MyAuditVal,_xlfn.XLOOKUP($A169,My_Audit!$A:$A,My_Audit!I:I,""),
_xlfn.IFS(_xlpm.MyAuditVal&lt;&gt;"",UPPER(_xlpm.MyAuditVal),_xlpm.MacVal&lt;&gt;"",_xlpm.MacVal,_xlpm.CSVVal&lt;&gt;"",_xlpm.CSVVal
)),"")</f>
        <v/>
      </c>
      <c r="K169" s="2" t="str" cm="1">
        <f t="array" ref="K169">IFERROR(_xlfn.LET(
_xlpm.CSVVal,_xlfn.XLOOKUP($A169,CSV!$A:$A,CSV!K:K,""),
_xlpm.MacVal,_xlfn.XLOOKUP($A169,Output_Mac!$A:$A,Output_Mac!K:K,""),
_xlpm.MyAuditVal,_xlfn.XLOOKUP($A169,My_Audit!$A:$A,My_Audit!J:J,""),
_xlfn.IFS(_xlpm.MyAuditVal&lt;&gt;"",UPPER(_xlpm.MyAuditVal),_xlpm.MacVal&lt;&gt;"",_xlpm.MacVal,_xlpm.CSVVal&lt;&gt;"",_xlpm.CSVVal
)),"")</f>
        <v/>
      </c>
      <c r="L169" s="2" t="str" cm="1">
        <f t="array" ref="L169">IFERROR(_xlfn.LET(
_xlpm.CSVVal,_xlfn.XLOOKUP($A169,CSV!$A:$A,CSV!P:P,""),
_xlpm.MacVal,_xlfn.XLOOKUP($A169,Output_Mac!$A:$A,Output_Mac!L:L,""),
_xlpm.MyAuditVal,_xlfn.XLOOKUP($A169,My_Audit!$A:$A,My_Audit!K:K,""),
_xlfn.IFS(_xlpm.MyAuditVal&lt;&gt;"",UPPER(_xlpm.MyAuditVal),_xlpm.MacVal&lt;&gt;"",_xlpm.MacVal,_xlpm.CSVVal&lt;&gt;"",_xlpm.CSVVal
)),"")</f>
        <v/>
      </c>
      <c r="M169" s="2" t="str" cm="1">
        <f t="array" ref="M169">IFERROR(_xlfn.LET(
_xlpm.CSVVal,_xlfn.XLOOKUP($A169,CSV!$A:$A,CSV!Q:Q,""),
_xlpm.MacVal,_xlfn.XLOOKUP($A169,Output_Mac!$A:$A,Output_Mac!M:M,""),
_xlpm.MyAuditVal,_xlfn.XLOOKUP($A169,My_Audit!$A:$A,My_Audit!L:L,""),
_xlfn.IFS(_xlpm.MyAuditVal&lt;&gt;"",UPPER(_xlpm.MyAuditVal),_xlpm.MacVal&lt;&gt;"",_xlpm.MacVal,_xlpm.CSVVal&lt;&gt;"",_xlpm.CSVVal
)),"")</f>
        <v/>
      </c>
      <c r="N169" s="2" t="str" cm="1">
        <f t="array" ref="N169">IFERROR(_xlfn.LET(
_xlpm.CSVVal,_xlfn.XLOOKUP($A169,CSV!$A:$A,CSV!M:M,""),
_xlpm.MacVal,_xlfn.XLOOKUP($A169,Output_Mac!$A:$A,Output_Mac!N:N,""),
_xlpm.MyAuditVal,_xlfn.XLOOKUP($A169,My_Audit!$A:$A,My_Audit!M:M,""),
_xlfn.IFS(_xlpm.MyAuditVal&lt;&gt;"",UPPER(_xlpm.MyAuditVal),_xlpm.MacVal&lt;&gt;"",_xlpm.MacVal,_xlpm.CSVVal&lt;&gt;"",_xlpm.CSVVal
)),"")</f>
        <v/>
      </c>
      <c r="O169" s="2" t="str">
        <f>_xlfn.LET(
    _xlpm.CSVVal, _xlfn.XLOOKUP($A169, CSV!$A:$A, CSV!N:N, ""),
    _xlpm.MacVal, _xlfn.XLOOKUP($A169, Output_Mac!$A:$A, Output_Mac!S:S, ""),
    _xlpm.MyAuditVal, _xlfn.XLOOKUP($A169, My_Audit!$A:$A, My_Audit!O:O, ""),
    _xlfn.TEXTJOIN(", ", TRUE, _xlpm.MyAuditVal, _xlpm.MacVal, _xlpm.CSVVal)
)</f>
        <v/>
      </c>
      <c r="P169" s="2" t="str" cm="1">
        <f t="array" ref="P169">IFERROR(_xlfn.LET(
_xlpm.CSVVal,_xlfn.XLOOKUP($A169,CSV!$A:$A,CSV!O:O,""),
_xlpm.MacVal,_xlfn.XLOOKUP($A169,Output_Mac!$A:$A,Output_Mac!T:T,""),
_xlpm.MyAuditVal,_xlfn.XLOOKUP($A169,My_Audit!$A:$A,My_Audit!Q:Q,""),
_xlfn.IFS(_xlpm.MyAuditVal&lt;&gt;"",UPPER(_xlpm.MyAuditVal),_xlpm.MacVal&lt;&gt;"",_xlpm.MacVal,_xlpm.CSVVal&lt;&gt;"",_xlpm.CSVVal
)),"")</f>
        <v/>
      </c>
      <c r="Q169" s="2" t="str" cm="1">
        <f t="array" ref="Q169">IFERROR(_xlfn.LET(
_xlpm.CSVVal,_xlfn.XLOOKUP($A169,CSV!$A:$A,CSV!P:P,""),
_xlpm.MacVal,_xlfn.XLOOKUP($A169,Output_Mac!$A:$A,Output_Mac!U:U,""),
_xlpm.MyAuditVal,_xlfn.XLOOKUP($A169,My_Audit!$A:$A,My_Audit!R:R,""),
_xlfn.IFS(_xlpm.MyAuditVal&lt;&gt;"",UPPER(_xlpm.MyAuditVal),_xlpm.MacVal&lt;&gt;"",_xlpm.MacVal,_xlpm.CSVVal&lt;&gt;"",_xlpm.CSVVal
)),"")</f>
        <v/>
      </c>
    </row>
    <row r="170" spans="1:24">
      <c r="G170" s="2" t="str" cm="1">
        <f t="array" ref="G170">IFERROR(_xlfn.LET(
_xlpm.CSVVal,_xlfn.XLOOKUP($A170,CSV!$A:$A,CSV!G:G,""),
_xlpm.MacVal,_xlfn.XLOOKUP($A170,Output_Mac!$A:$A,Output_Mac!F:F,""),
_xlpm.MyAuditVal,_xlfn.XLOOKUP($A170,My_Audit!$A:$A,My_Audit!F:F,""),
_xlfn.IFS(_xlpm.MyAuditVal&lt;&gt;"",_xlpm.MyAuditVal,_xlpm.MacVal&lt;&gt;"",_xlpm.MacVal,_xlpm.CSVVal&lt;&gt;"",PROPER(_xlpm.CSVVal)
)),"")</f>
        <v/>
      </c>
      <c r="I170" s="2" t="str">
        <f>_xlfn.XLOOKUP(A170,Output_Mac!A:A,Output_Mac!I:I,"")</f>
        <v/>
      </c>
      <c r="K170" s="2" t="str" cm="1">
        <f t="array" ref="K170">IFERROR(_xlfn.LET(
_xlpm.CSVVal,_xlfn.XLOOKUP($A170,CSV!$A:$A,CSV!K:K,""),
_xlpm.MacVal,_xlfn.XLOOKUP($A170,Output_Mac!$A:$A,Output_Mac!K:K,""),
_xlpm.MyAuditVal,_xlfn.XLOOKUP($A170,My_Audit!$A:$A,My_Audit!J:J,""),
_xlfn.IFS(_xlpm.MyAuditVal&lt;&gt;"",UPPER(_xlpm.MyAuditVal),_xlpm.MacVal&lt;&gt;"",_xlpm.MacVal,_xlpm.CSVVal&lt;&gt;"",_xlpm.CSVVal
)),"")</f>
        <v/>
      </c>
      <c r="L170" s="2" t="str" cm="1">
        <f t="array" ref="L170">IFERROR(_xlfn.LET(
_xlpm.CSVVal,_xlfn.XLOOKUP($A170,CSV!$A:$A,CSV!P:P,""),
_xlpm.MacVal,_xlfn.XLOOKUP($A170,Output_Mac!$A:$A,Output_Mac!L:L,""),
_xlpm.MyAuditVal,_xlfn.XLOOKUP($A170,My_Audit!$A:$A,My_Audit!K:K,""),
_xlfn.IFS(_xlpm.MyAuditVal&lt;&gt;"",UPPER(_xlpm.MyAuditVal),_xlpm.MacVal&lt;&gt;"",_xlpm.MacVal,_xlpm.CSVVal&lt;&gt;"",_xlpm.CSVVal
)),"")</f>
        <v/>
      </c>
      <c r="M170" s="2" t="str" cm="1">
        <f t="array" ref="M170">IFERROR(_xlfn.LET(
_xlpm.CSVVal,_xlfn.XLOOKUP($A170,CSV!$A:$A,CSV!Q:Q,""),
_xlpm.MacVal,_xlfn.XLOOKUP($A170,Output_Mac!$A:$A,Output_Mac!M:M,""),
_xlpm.MyAuditVal,_xlfn.XLOOKUP($A170,My_Audit!$A:$A,My_Audit!L:L,""),
_xlfn.IFS(_xlpm.MyAuditVal&lt;&gt;"",UPPER(_xlpm.MyAuditVal),_xlpm.MacVal&lt;&gt;"",_xlpm.MacVal,_xlpm.CSVVal&lt;&gt;"",_xlpm.CSVVal
)),"")</f>
        <v/>
      </c>
      <c r="O170" s="2" t="e">
        <f>_xlfn.LET(
    _xlpm.CSVVal, _xlfn.XLOOKUP($A170, CSV!$A:$A, CSV!N:N, ""),
    _xlpm.MacVal, _xlfn.XLOOKUP($A170, Output_Mac!$A:$A, Output_Mac!S:S, ""),
    _xlpm.MyAuditVal, _xlfn.XLOOKUP($A170, My_Audit!$A:$A, My_Audit!O:O, ""),
    _xlfn.TEXTJOIN(", ", TRUE, _xlpm.MyAuditVal, _xlpm.MacVal, _xlpm.CSVVal)
)</f>
        <v>#N/A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A3" sqref="A3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41" t="s">
        <v>1</v>
      </c>
      <c r="B1" s="42" t="s">
        <v>2</v>
      </c>
      <c r="C1" s="42" t="s">
        <v>5</v>
      </c>
      <c r="D1" s="42" t="s">
        <v>6</v>
      </c>
      <c r="E1" s="42" t="s">
        <v>562</v>
      </c>
      <c r="F1" s="42" t="s">
        <v>563</v>
      </c>
    </row>
    <row r="2" spans="1:6">
      <c r="A2" t="e" cm="1" vm="1">
        <f t="array" ref="A2">_xlfn._xlws.FILTER('Audit Report'!C2:C500,'Audit Report'!X2:X500&lt;&gt;"")</f>
        <v>#VALUE!</v>
      </c>
      <c r="B2" t="e" vm="2">
        <f>_xlfn.XLOOKUP($A2,'Audit Report'!$C:$C,'Audit Report'!D:D)</f>
        <v>#VALUE!</v>
      </c>
      <c r="C2" t="e" vm="2">
        <f>_xlfn.XLOOKUP($A2,'Audit Report'!$C:$C,'Audit Report'!G:G)</f>
        <v>#VALUE!</v>
      </c>
      <c r="D2" t="e" vm="2">
        <f>_xlfn.XLOOKUP($A2,'Audit Report'!$C:$C,'Audit Report'!H:H)</f>
        <v>#VALUE!</v>
      </c>
      <c r="E2" t="e" vm="2">
        <f>_xlfn.XLOOKUP($A2,'Audit Report'!$C:$C,'Audit Report'!X:X)</f>
        <v>#VALUE!</v>
      </c>
      <c r="F2" t="e" vm="2">
        <f>_xlfn.XLOOKUP($A2,'Audit Report'!$C:$C,'Audit Report'!P:P)</f>
        <v>#VALUE!</v>
      </c>
    </row>
    <row r="3" spans="1:6">
      <c r="B3">
        <f>_xlfn.XLOOKUP($A3,'Audit Report'!$C:$C,'Audit Report'!D:D)</f>
        <v>0</v>
      </c>
      <c r="C3" t="str">
        <f>_xlfn.XLOOKUP($A3,'Audit Report'!$C:$C,'Audit Report'!G:G)</f>
        <v/>
      </c>
      <c r="D3">
        <f>_xlfn.XLOOKUP($A3,'Audit Report'!$C:$C,'Audit Report'!H:H)</f>
        <v>0</v>
      </c>
      <c r="E3">
        <f>_xlfn.XLOOKUP($A3,'Audit Report'!$C:$C,'Audit Report'!X:X)</f>
        <v>0</v>
      </c>
      <c r="F3">
        <f>_xlfn.XLOOKUP($A3,'Audit Report'!$C:$C,'Audit Report'!P:P)</f>
        <v>0</v>
      </c>
    </row>
    <row r="4" spans="1:6">
      <c r="B4">
        <f>_xlfn.XLOOKUP($A4,'Audit Report'!$C:$C,'Audit Report'!D:D)</f>
        <v>0</v>
      </c>
      <c r="C4" t="str">
        <f>_xlfn.XLOOKUP($A4,'Audit Report'!$C:$C,'Audit Report'!G:G)</f>
        <v/>
      </c>
      <c r="D4">
        <f>_xlfn.XLOOKUP($A4,'Audit Report'!$C:$C,'Audit Report'!H:H)</f>
        <v>0</v>
      </c>
      <c r="E4">
        <f>_xlfn.XLOOKUP($A4,'Audit Report'!$C:$C,'Audit Report'!X:X)</f>
        <v>0</v>
      </c>
      <c r="F4">
        <f>_xlfn.XLOOKUP($A4,'Audit Report'!$C:$C,'Audit Report'!P:P)</f>
        <v>0</v>
      </c>
    </row>
    <row r="5" spans="1:6">
      <c r="B5">
        <f>_xlfn.XLOOKUP($A5,'Audit Report'!$C:$C,'Audit Report'!D:D)</f>
        <v>0</v>
      </c>
      <c r="C5" t="str">
        <f>_xlfn.XLOOKUP($A5,'Audit Report'!$C:$C,'Audit Report'!G:G)</f>
        <v/>
      </c>
      <c r="D5">
        <f>_xlfn.XLOOKUP($A5,'Audit Report'!$C:$C,'Audit Report'!H:H)</f>
        <v>0</v>
      </c>
      <c r="E5">
        <f>_xlfn.XLOOKUP($A5,'Audit Report'!$C:$C,'Audit Report'!X:X)</f>
        <v>0</v>
      </c>
      <c r="F5">
        <f>_xlfn.XLOOKUP($A5,'Audit Report'!$C:$C,'Audit Report'!P:P)</f>
        <v>0</v>
      </c>
    </row>
    <row r="6" spans="1:6">
      <c r="B6">
        <f>_xlfn.XLOOKUP($A6,'Audit Report'!$C:$C,'Audit Report'!D:D)</f>
        <v>0</v>
      </c>
      <c r="C6" t="str">
        <f>_xlfn.XLOOKUP($A6,'Audit Report'!$C:$C,'Audit Report'!G:G)</f>
        <v/>
      </c>
      <c r="D6">
        <f>_xlfn.XLOOKUP($A6,'Audit Report'!$C:$C,'Audit Report'!H:H)</f>
        <v>0</v>
      </c>
      <c r="E6">
        <f>_xlfn.XLOOKUP($A6,'Audit Report'!$C:$C,'Audit Report'!X:X)</f>
        <v>0</v>
      </c>
      <c r="F6">
        <f>_xlfn.XLOOKUP($A6,'Audit Report'!$C:$C,'Audit Report'!P:P)</f>
        <v>0</v>
      </c>
    </row>
    <row r="7" spans="1:6">
      <c r="B7">
        <f>_xlfn.XLOOKUP($A7,'Audit Report'!$C:$C,'Audit Report'!D:D)</f>
        <v>0</v>
      </c>
      <c r="C7" t="str">
        <f>_xlfn.XLOOKUP($A7,'Audit Report'!$C:$C,'Audit Report'!G:G)</f>
        <v/>
      </c>
      <c r="D7">
        <f>_xlfn.XLOOKUP($A7,'Audit Report'!$C:$C,'Audit Report'!H:H)</f>
        <v>0</v>
      </c>
      <c r="E7">
        <f>_xlfn.XLOOKUP($A7,'Audit Report'!$C:$C,'Audit Report'!X:X)</f>
        <v>0</v>
      </c>
      <c r="F7">
        <f>_xlfn.XLOOKUP($A7,'Audit Report'!$C:$C,'Audit Report'!P:P)</f>
        <v>0</v>
      </c>
    </row>
    <row r="8" spans="1:6">
      <c r="B8">
        <f>_xlfn.XLOOKUP($A8,'Audit Report'!$C:$C,'Audit Report'!D:D)</f>
        <v>0</v>
      </c>
      <c r="C8" t="str">
        <f>_xlfn.XLOOKUP($A8,'Audit Report'!$C:$C,'Audit Report'!G:G)</f>
        <v/>
      </c>
      <c r="D8">
        <f>_xlfn.XLOOKUP($A8,'Audit Report'!$C:$C,'Audit Report'!H:H)</f>
        <v>0</v>
      </c>
      <c r="E8">
        <f>_xlfn.XLOOKUP($A8,'Audit Report'!$C:$C,'Audit Report'!X:X)</f>
        <v>0</v>
      </c>
      <c r="F8">
        <f>_xlfn.XLOOKUP($A8,'Audit Report'!$C:$C,'Audit Report'!P:P)</f>
        <v>0</v>
      </c>
    </row>
    <row r="9" spans="1:6">
      <c r="B9">
        <f>_xlfn.XLOOKUP($A9,'Audit Report'!$C:$C,'Audit Report'!D:D)</f>
        <v>0</v>
      </c>
      <c r="C9" t="str">
        <f>_xlfn.XLOOKUP($A9,'Audit Report'!$C:$C,'Audit Report'!G:G)</f>
        <v/>
      </c>
      <c r="D9">
        <f>_xlfn.XLOOKUP($A9,'Audit Report'!$C:$C,'Audit Report'!H:H)</f>
        <v>0</v>
      </c>
      <c r="E9">
        <f>_xlfn.XLOOKUP($A9,'Audit Report'!$C:$C,'Audit Report'!X:X)</f>
        <v>0</v>
      </c>
      <c r="F9">
        <f>_xlfn.XLOOKUP($A9,'Audit Report'!$C:$C,'Audit Report'!P:P)</f>
        <v>0</v>
      </c>
    </row>
    <row r="10" spans="1:6">
      <c r="B10">
        <f>_xlfn.XLOOKUP($A10,'Audit Report'!$C:$C,'Audit Report'!D:D)</f>
        <v>0</v>
      </c>
      <c r="C10" t="str">
        <f>_xlfn.XLOOKUP($A10,'Audit Report'!$C:$C,'Audit Report'!G:G)</f>
        <v/>
      </c>
      <c r="D10">
        <f>_xlfn.XLOOKUP($A10,'Audit Report'!$C:$C,'Audit Report'!H:H)</f>
        <v>0</v>
      </c>
      <c r="E10">
        <f>_xlfn.XLOOKUP($A10,'Audit Report'!$C:$C,'Audit Report'!X:X)</f>
        <v>0</v>
      </c>
      <c r="F10">
        <f>_xlfn.XLOOKUP($A10,'Audit Report'!$C:$C,'Audit Report'!P:P)</f>
        <v>0</v>
      </c>
    </row>
    <row r="11" spans="1:6">
      <c r="B11">
        <f>_xlfn.XLOOKUP($A11,'Audit Report'!$C:$C,'Audit Report'!D:D)</f>
        <v>0</v>
      </c>
      <c r="C11" t="str">
        <f>_xlfn.XLOOKUP($A11,'Audit Report'!$C:$C,'Audit Report'!G:G)</f>
        <v/>
      </c>
      <c r="D11">
        <f>_xlfn.XLOOKUP($A11,'Audit Report'!$C:$C,'Audit Report'!H:H)</f>
        <v>0</v>
      </c>
      <c r="E11">
        <f>_xlfn.XLOOKUP($A11,'Audit Report'!$C:$C,'Audit Report'!X:X)</f>
        <v>0</v>
      </c>
      <c r="F11">
        <f>_xlfn.XLOOKUP($A11,'Audit Report'!$C:$C,'Audit Report'!P:P)</f>
        <v>0</v>
      </c>
    </row>
    <row r="12" spans="1:6">
      <c r="B12">
        <f>_xlfn.XLOOKUP($A12,'Audit Report'!$C:$C,'Audit Report'!D:D)</f>
        <v>0</v>
      </c>
      <c r="C12" t="str">
        <f>_xlfn.XLOOKUP($A12,'Audit Report'!$C:$C,'Audit Report'!G:G)</f>
        <v/>
      </c>
      <c r="D12">
        <f>_xlfn.XLOOKUP($A12,'Audit Report'!$C:$C,'Audit Report'!H:H)</f>
        <v>0</v>
      </c>
      <c r="E12">
        <f>_xlfn.XLOOKUP($A12,'Audit Report'!$C:$C,'Audit Report'!X:X)</f>
        <v>0</v>
      </c>
      <c r="F12">
        <f>_xlfn.XLOOKUP($A12,'Audit Report'!$C:$C,'Audit Report'!P:P)</f>
        <v>0</v>
      </c>
    </row>
    <row r="13" spans="1:6">
      <c r="B13">
        <f>_xlfn.XLOOKUP($A13,'Audit Report'!$C:$C,'Audit Report'!D:D)</f>
        <v>0</v>
      </c>
      <c r="C13" t="str">
        <f>_xlfn.XLOOKUP($A13,'Audit Report'!$C:$C,'Audit Report'!G:G)</f>
        <v/>
      </c>
      <c r="D13">
        <f>_xlfn.XLOOKUP($A13,'Audit Report'!$C:$C,'Audit Report'!H:H)</f>
        <v>0</v>
      </c>
      <c r="E13">
        <f>_xlfn.XLOOKUP($A13,'Audit Report'!$C:$C,'Audit Report'!X:X)</f>
        <v>0</v>
      </c>
      <c r="F13">
        <f>_xlfn.XLOOKUP($A13,'Audit Report'!$C:$C,'Audit Report'!P:P)</f>
        <v>0</v>
      </c>
    </row>
    <row r="14" spans="1:6">
      <c r="B14">
        <f>_xlfn.XLOOKUP($A14,'Audit Report'!$C:$C,'Audit Report'!D:D)</f>
        <v>0</v>
      </c>
      <c r="C14" t="str">
        <f>_xlfn.XLOOKUP($A14,'Audit Report'!$C:$C,'Audit Report'!G:G)</f>
        <v/>
      </c>
      <c r="D14">
        <f>_xlfn.XLOOKUP($A14,'Audit Report'!$C:$C,'Audit Report'!H:H)</f>
        <v>0</v>
      </c>
      <c r="E14">
        <f>_xlfn.XLOOKUP($A14,'Audit Report'!$C:$C,'Audit Report'!X:X)</f>
        <v>0</v>
      </c>
      <c r="F14">
        <f>_xlfn.XLOOKUP($A14,'Audit Report'!$C:$C,'Audit Report'!P:P)</f>
        <v>0</v>
      </c>
    </row>
    <row r="15" spans="1:6">
      <c r="B15">
        <f>_xlfn.XLOOKUP($A15,'Audit Report'!$C:$C,'Audit Report'!D:D)</f>
        <v>0</v>
      </c>
      <c r="C15" t="str">
        <f>_xlfn.XLOOKUP($A15,'Audit Report'!$C:$C,'Audit Report'!G:G)</f>
        <v/>
      </c>
      <c r="D15">
        <f>_xlfn.XLOOKUP($A15,'Audit Report'!$C:$C,'Audit Report'!H:H)</f>
        <v>0</v>
      </c>
      <c r="E15">
        <f>_xlfn.XLOOKUP($A15,'Audit Report'!$C:$C,'Audit Report'!X:X)</f>
        <v>0</v>
      </c>
      <c r="F15">
        <f>_xlfn.XLOOKUP($A15,'Audit Report'!$C:$C,'Audit Report'!P:P)</f>
        <v>0</v>
      </c>
    </row>
    <row r="16" spans="1:6">
      <c r="B16">
        <f>_xlfn.XLOOKUP($A16,'Audit Report'!$C:$C,'Audit Report'!D:D)</f>
        <v>0</v>
      </c>
      <c r="C16" t="str">
        <f>_xlfn.XLOOKUP($A16,'Audit Report'!$C:$C,'Audit Report'!G:G)</f>
        <v/>
      </c>
      <c r="D16">
        <f>_xlfn.XLOOKUP($A16,'Audit Report'!$C:$C,'Audit Report'!H:H)</f>
        <v>0</v>
      </c>
      <c r="E16">
        <f>_xlfn.XLOOKUP($A16,'Audit Report'!$C:$C,'Audit Report'!X:X)</f>
        <v>0</v>
      </c>
      <c r="F16">
        <f>_xlfn.XLOOKUP($A16,'Audit Report'!$C:$C,'Audit Report'!P:P)</f>
        <v>0</v>
      </c>
    </row>
    <row r="17" spans="2:6">
      <c r="B17">
        <f>_xlfn.XLOOKUP($A17,'Audit Report'!$C:$C,'Audit Report'!D:D)</f>
        <v>0</v>
      </c>
      <c r="C17" t="str">
        <f>_xlfn.XLOOKUP($A17,'Audit Report'!$C:$C,'Audit Report'!G:G)</f>
        <v/>
      </c>
      <c r="D17">
        <f>_xlfn.XLOOKUP($A17,'Audit Report'!$C:$C,'Audit Report'!H:H)</f>
        <v>0</v>
      </c>
      <c r="E17">
        <f>_xlfn.XLOOKUP($A17,'Audit Report'!$C:$C,'Audit Report'!X:X)</f>
        <v>0</v>
      </c>
      <c r="F17">
        <f>_xlfn.XLOOKUP($A17,'Audit Report'!$C:$C,'Audit Report'!P:P)</f>
        <v>0</v>
      </c>
    </row>
    <row r="18" spans="2:6">
      <c r="B18">
        <f>_xlfn.XLOOKUP($A18,'Audit Report'!$C:$C,'Audit Report'!D:D)</f>
        <v>0</v>
      </c>
      <c r="C18" t="str">
        <f>_xlfn.XLOOKUP($A18,'Audit Report'!$C:$C,'Audit Report'!G:G)</f>
        <v/>
      </c>
      <c r="D18">
        <f>_xlfn.XLOOKUP($A18,'Audit Report'!$C:$C,'Audit Report'!H:H)</f>
        <v>0</v>
      </c>
      <c r="E18">
        <f>_xlfn.XLOOKUP($A18,'Audit Report'!$C:$C,'Audit Report'!X:X)</f>
        <v>0</v>
      </c>
      <c r="F18">
        <f>_xlfn.XLOOKUP($A18,'Audit Report'!$C:$C,'Audit Report'!P:P)</f>
        <v>0</v>
      </c>
    </row>
    <row r="19" spans="2:6">
      <c r="B19">
        <f>_xlfn.XLOOKUP($A19,'Audit Report'!$C:$C,'Audit Report'!D:D)</f>
        <v>0</v>
      </c>
      <c r="C19" t="str">
        <f>_xlfn.XLOOKUP($A19,'Audit Report'!$C:$C,'Audit Report'!G:G)</f>
        <v/>
      </c>
      <c r="D19">
        <f>_xlfn.XLOOKUP($A19,'Audit Report'!$C:$C,'Audit Report'!H:H)</f>
        <v>0</v>
      </c>
      <c r="E19">
        <f>_xlfn.XLOOKUP($A19,'Audit Report'!$C:$C,'Audit Report'!X:X)</f>
        <v>0</v>
      </c>
      <c r="F19">
        <f>_xlfn.XLOOKUP($A19,'Audit Report'!$C:$C,'Audit Report'!P:P)</f>
        <v>0</v>
      </c>
    </row>
    <row r="20" spans="2:6">
      <c r="B20">
        <f>_xlfn.XLOOKUP($A20,'Audit Report'!$C:$C,'Audit Report'!D:D)</f>
        <v>0</v>
      </c>
      <c r="C20" t="str">
        <f>_xlfn.XLOOKUP($A20,'Audit Report'!$C:$C,'Audit Report'!G:G)</f>
        <v/>
      </c>
      <c r="D20">
        <f>_xlfn.XLOOKUP($A20,'Audit Report'!$C:$C,'Audit Report'!H:H)</f>
        <v>0</v>
      </c>
      <c r="E20">
        <f>_xlfn.XLOOKUP($A20,'Audit Report'!$C:$C,'Audit Report'!X:X)</f>
        <v>0</v>
      </c>
      <c r="F20">
        <f>_xlfn.XLOOKUP($A20,'Audit Report'!$C:$C,'Audit Report'!P:P)</f>
        <v>0</v>
      </c>
    </row>
    <row r="21" spans="2:6">
      <c r="B21">
        <f>_xlfn.XLOOKUP($A21,'Audit Report'!$C:$C,'Audit Report'!D:D)</f>
        <v>0</v>
      </c>
      <c r="C21" t="str">
        <f>_xlfn.XLOOKUP($A21,'Audit Report'!$C:$C,'Audit Report'!G:G)</f>
        <v/>
      </c>
      <c r="D21">
        <f>_xlfn.XLOOKUP($A21,'Audit Report'!$C:$C,'Audit Report'!H:H)</f>
        <v>0</v>
      </c>
      <c r="E21">
        <f>_xlfn.XLOOKUP($A21,'Audit Report'!$C:$C,'Audit Report'!X:X)</f>
        <v>0</v>
      </c>
      <c r="F21">
        <f>_xlfn.XLOOKUP($A21,'Audit Report'!$C:$C,'Audit Report'!P:P)</f>
        <v>0</v>
      </c>
    </row>
    <row r="22" spans="2:6">
      <c r="B22">
        <f>_xlfn.XLOOKUP($A22,'Audit Report'!$C:$C,'Audit Report'!D:D)</f>
        <v>0</v>
      </c>
      <c r="C22" t="str">
        <f>_xlfn.XLOOKUP($A22,'Audit Report'!$C:$C,'Audit Report'!G:G)</f>
        <v/>
      </c>
      <c r="D22">
        <f>_xlfn.XLOOKUP($A22,'Audit Report'!$C:$C,'Audit Report'!H:H)</f>
        <v>0</v>
      </c>
      <c r="E22">
        <f>_xlfn.XLOOKUP($A22,'Audit Report'!$C:$C,'Audit Report'!X:X)</f>
        <v>0</v>
      </c>
      <c r="F22">
        <f>_xlfn.XLOOKUP($A22,'Audit Report'!$C:$C,'Audit Report'!P:P)</f>
        <v>0</v>
      </c>
    </row>
    <row r="23" spans="2:6">
      <c r="B23">
        <f>_xlfn.XLOOKUP($A23,'Audit Report'!$C:$C,'Audit Report'!D:D)</f>
        <v>0</v>
      </c>
      <c r="C23" t="str">
        <f>_xlfn.XLOOKUP($A23,'Audit Report'!$C:$C,'Audit Report'!G:G)</f>
        <v/>
      </c>
      <c r="D23">
        <f>_xlfn.XLOOKUP($A23,'Audit Report'!$C:$C,'Audit Report'!H:H)</f>
        <v>0</v>
      </c>
      <c r="E23">
        <f>_xlfn.XLOOKUP($A23,'Audit Report'!$C:$C,'Audit Report'!X:X)</f>
        <v>0</v>
      </c>
      <c r="F23">
        <f>_xlfn.XLOOKUP($A23,'Audit Report'!$C:$C,'Audit Report'!P:P)</f>
        <v>0</v>
      </c>
    </row>
    <row r="24" spans="2:6">
      <c r="B24">
        <f>_xlfn.XLOOKUP($A24,'Audit Report'!$C:$C,'Audit Report'!D:D)</f>
        <v>0</v>
      </c>
      <c r="C24" t="str">
        <f>_xlfn.XLOOKUP($A24,'Audit Report'!$C:$C,'Audit Report'!G:G)</f>
        <v/>
      </c>
      <c r="D24">
        <f>_xlfn.XLOOKUP($A24,'Audit Report'!$C:$C,'Audit Report'!H:H)</f>
        <v>0</v>
      </c>
      <c r="E24">
        <f>_xlfn.XLOOKUP($A24,'Audit Report'!$C:$C,'Audit Report'!X:X)</f>
        <v>0</v>
      </c>
      <c r="F24">
        <f>_xlfn.XLOOKUP($A24,'Audit Report'!$C:$C,'Audit Report'!P:P)</f>
        <v>0</v>
      </c>
    </row>
    <row r="25" spans="2:6">
      <c r="B25">
        <f>_xlfn.XLOOKUP($A25,'Audit Report'!$C:$C,'Audit Report'!D:D)</f>
        <v>0</v>
      </c>
      <c r="C25" t="str">
        <f>_xlfn.XLOOKUP($A25,'Audit Report'!$C:$C,'Audit Report'!G:G)</f>
        <v/>
      </c>
      <c r="D25">
        <f>_xlfn.XLOOKUP($A25,'Audit Report'!$C:$C,'Audit Report'!H:H)</f>
        <v>0</v>
      </c>
      <c r="E25">
        <f>_xlfn.XLOOKUP($A25,'Audit Report'!$C:$C,'Audit Report'!X:X)</f>
        <v>0</v>
      </c>
      <c r="F25">
        <f>_xlfn.XLOOKUP($A25,'Audit Report'!$C:$C,'Audit Report'!P:P)</f>
        <v>0</v>
      </c>
    </row>
    <row r="26" spans="2:6">
      <c r="B26">
        <f>_xlfn.XLOOKUP($A26,'Audit Report'!$C:$C,'Audit Report'!D:D)</f>
        <v>0</v>
      </c>
      <c r="C26" t="str">
        <f>_xlfn.XLOOKUP($A26,'Audit Report'!$C:$C,'Audit Report'!G:G)</f>
        <v/>
      </c>
      <c r="D26">
        <f>_xlfn.XLOOKUP($A26,'Audit Report'!$C:$C,'Audit Report'!H:H)</f>
        <v>0</v>
      </c>
      <c r="E26">
        <f>_xlfn.XLOOKUP($A26,'Audit Report'!$C:$C,'Audit Report'!X:X)</f>
        <v>0</v>
      </c>
      <c r="F26">
        <f>_xlfn.XLOOKUP($A26,'Audit Report'!$C:$C,'Audit Report'!P:P)</f>
        <v>0</v>
      </c>
    </row>
    <row r="27" spans="2:6">
      <c r="B27">
        <f>_xlfn.XLOOKUP($A27,'Audit Report'!$C:$C,'Audit Report'!D:D)</f>
        <v>0</v>
      </c>
      <c r="C27" t="str">
        <f>_xlfn.XLOOKUP($A27,'Audit Report'!$C:$C,'Audit Report'!G:G)</f>
        <v/>
      </c>
      <c r="D27">
        <f>_xlfn.XLOOKUP($A27,'Audit Report'!$C:$C,'Audit Report'!H:H)</f>
        <v>0</v>
      </c>
      <c r="E27">
        <f>_xlfn.XLOOKUP($A27,'Audit Report'!$C:$C,'Audit Report'!X:X)</f>
        <v>0</v>
      </c>
      <c r="F27">
        <f>_xlfn.XLOOKUP($A27,'Audit Report'!$C:$C,'Audit Report'!P:P)</f>
        <v>0</v>
      </c>
    </row>
    <row r="28" spans="2:6">
      <c r="B28">
        <f>_xlfn.XLOOKUP($A28,'Audit Report'!$C:$C,'Audit Report'!D:D)</f>
        <v>0</v>
      </c>
      <c r="C28" t="str">
        <f>_xlfn.XLOOKUP($A28,'Audit Report'!$C:$C,'Audit Report'!G:G)</f>
        <v/>
      </c>
      <c r="D28">
        <f>_xlfn.XLOOKUP($A28,'Audit Report'!$C:$C,'Audit Report'!H:H)</f>
        <v>0</v>
      </c>
      <c r="E28">
        <f>_xlfn.XLOOKUP($A28,'Audit Report'!$C:$C,'Audit Report'!X:X)</f>
        <v>0</v>
      </c>
      <c r="F28">
        <f>_xlfn.XLOOKUP($A28,'Audit Report'!$C:$C,'Audit Report'!P:P)</f>
        <v>0</v>
      </c>
    </row>
    <row r="29" spans="2:6">
      <c r="B29">
        <f>_xlfn.XLOOKUP($A29,'Audit Report'!$C:$C,'Audit Report'!D:D)</f>
        <v>0</v>
      </c>
      <c r="C29" t="str">
        <f>_xlfn.XLOOKUP($A29,'Audit Report'!$C:$C,'Audit Report'!G:G)</f>
        <v/>
      </c>
      <c r="D29">
        <f>_xlfn.XLOOKUP($A29,'Audit Report'!$C:$C,'Audit Report'!H:H)</f>
        <v>0</v>
      </c>
      <c r="E29">
        <f>_xlfn.XLOOKUP($A29,'Audit Report'!$C:$C,'Audit Report'!X:X)</f>
        <v>0</v>
      </c>
      <c r="F29">
        <f>_xlfn.XLOOKUP($A29,'Audit Report'!$C:$C,'Audit Report'!P:P)</f>
        <v>0</v>
      </c>
    </row>
    <row r="30" spans="2:6">
      <c r="B30">
        <f>_xlfn.XLOOKUP($A30,'Audit Report'!$C:$C,'Audit Report'!D:D)</f>
        <v>0</v>
      </c>
      <c r="C30" t="str">
        <f>_xlfn.XLOOKUP($A30,'Audit Report'!$C:$C,'Audit Report'!G:G)</f>
        <v/>
      </c>
      <c r="D30">
        <f>_xlfn.XLOOKUP($A30,'Audit Report'!$C:$C,'Audit Report'!H:H)</f>
        <v>0</v>
      </c>
      <c r="E30">
        <f>_xlfn.XLOOKUP($A30,'Audit Report'!$C:$C,'Audit Report'!X:X)</f>
        <v>0</v>
      </c>
      <c r="F30">
        <f>_xlfn.XLOOKUP($A30,'Audit Report'!$C:$C,'Audit Report'!P:P)</f>
        <v>0</v>
      </c>
    </row>
    <row r="31" spans="2:6">
      <c r="B31">
        <f>_xlfn.XLOOKUP($A31,'Audit Report'!$C:$C,'Audit Report'!D:D)</f>
        <v>0</v>
      </c>
      <c r="C31" t="str">
        <f>_xlfn.XLOOKUP($A31,'Audit Report'!$C:$C,'Audit Report'!G:G)</f>
        <v/>
      </c>
      <c r="D31">
        <f>_xlfn.XLOOKUP($A31,'Audit Report'!$C:$C,'Audit Report'!H:H)</f>
        <v>0</v>
      </c>
      <c r="E31">
        <f>_xlfn.XLOOKUP($A31,'Audit Report'!$C:$C,'Audit Report'!X:X)</f>
        <v>0</v>
      </c>
      <c r="F31">
        <f>_xlfn.XLOOKUP($A31,'Audit Report'!$C:$C,'Audit Report'!P:P)</f>
        <v>0</v>
      </c>
    </row>
    <row r="32" spans="2:6">
      <c r="B32">
        <f>_xlfn.XLOOKUP($A32,'Audit Report'!$C:$C,'Audit Report'!D:D)</f>
        <v>0</v>
      </c>
      <c r="C32" t="str">
        <f>_xlfn.XLOOKUP($A32,'Audit Report'!$C:$C,'Audit Report'!G:G)</f>
        <v/>
      </c>
      <c r="D32">
        <f>_xlfn.XLOOKUP($A32,'Audit Report'!$C:$C,'Audit Report'!H:H)</f>
        <v>0</v>
      </c>
      <c r="E32">
        <f>_xlfn.XLOOKUP($A32,'Audit Report'!$C:$C,'Audit Report'!X:X)</f>
        <v>0</v>
      </c>
      <c r="F32">
        <f>_xlfn.XLOOKUP($A32,'Audit Report'!$C:$C,'Audit Report'!P:P)</f>
        <v>0</v>
      </c>
    </row>
    <row r="33" spans="2:6">
      <c r="B33">
        <f>_xlfn.XLOOKUP($A33,'Audit Report'!$C:$C,'Audit Report'!D:D)</f>
        <v>0</v>
      </c>
      <c r="C33" t="str">
        <f>_xlfn.XLOOKUP($A33,'Audit Report'!$C:$C,'Audit Report'!G:G)</f>
        <v/>
      </c>
      <c r="D33">
        <f>_xlfn.XLOOKUP($A33,'Audit Report'!$C:$C,'Audit Report'!H:H)</f>
        <v>0</v>
      </c>
      <c r="E33">
        <f>_xlfn.XLOOKUP($A33,'Audit Report'!$C:$C,'Audit Report'!X:X)</f>
        <v>0</v>
      </c>
      <c r="F33">
        <f>_xlfn.XLOOKUP($A33,'Audit Report'!$C:$C,'Audit Report'!P:P)</f>
        <v>0</v>
      </c>
    </row>
    <row r="34" spans="2:6">
      <c r="B34">
        <f>_xlfn.XLOOKUP($A34,'Audit Report'!$C:$C,'Audit Report'!D:D)</f>
        <v>0</v>
      </c>
      <c r="C34" t="str">
        <f>_xlfn.XLOOKUP($A34,'Audit Report'!$C:$C,'Audit Report'!G:G)</f>
        <v/>
      </c>
      <c r="D34">
        <f>_xlfn.XLOOKUP($A34,'Audit Report'!$C:$C,'Audit Report'!H:H)</f>
        <v>0</v>
      </c>
      <c r="E34">
        <f>_xlfn.XLOOKUP($A34,'Audit Report'!$C:$C,'Audit Report'!X:X)</f>
        <v>0</v>
      </c>
      <c r="F34">
        <f>_xlfn.XLOOKUP($A34,'Audit Report'!$C:$C,'Audit Report'!P:P)</f>
        <v>0</v>
      </c>
    </row>
    <row r="35" spans="2:6">
      <c r="B35">
        <f>_xlfn.XLOOKUP($A35,'Audit Report'!$C:$C,'Audit Report'!D:D)</f>
        <v>0</v>
      </c>
      <c r="C35" t="str">
        <f>_xlfn.XLOOKUP($A35,'Audit Report'!$C:$C,'Audit Report'!G:G)</f>
        <v/>
      </c>
      <c r="D35">
        <f>_xlfn.XLOOKUP($A35,'Audit Report'!$C:$C,'Audit Report'!H:H)</f>
        <v>0</v>
      </c>
      <c r="E35">
        <f>_xlfn.XLOOKUP($A35,'Audit Report'!$C:$C,'Audit Report'!X:X)</f>
        <v>0</v>
      </c>
      <c r="F35">
        <f>_xlfn.XLOOKUP($A35,'Audit Report'!$C:$C,'Audit Report'!P:P)</f>
        <v>0</v>
      </c>
    </row>
    <row r="36" spans="2:6">
      <c r="B36">
        <f>_xlfn.XLOOKUP($A36,'Audit Report'!$C:$C,'Audit Report'!D:D)</f>
        <v>0</v>
      </c>
      <c r="C36" t="str">
        <f>_xlfn.XLOOKUP($A36,'Audit Report'!$C:$C,'Audit Report'!G:G)</f>
        <v/>
      </c>
      <c r="D36">
        <f>_xlfn.XLOOKUP($A36,'Audit Report'!$C:$C,'Audit Report'!H:H)</f>
        <v>0</v>
      </c>
      <c r="E36">
        <f>_xlfn.XLOOKUP($A36,'Audit Report'!$C:$C,'Audit Report'!X:X)</f>
        <v>0</v>
      </c>
      <c r="F36">
        <f>_xlfn.XLOOKUP($A36,'Audit Report'!$C:$C,'Audit Report'!P:P)</f>
        <v>0</v>
      </c>
    </row>
    <row r="37" spans="2:6">
      <c r="B37">
        <f>_xlfn.XLOOKUP($A37,'Audit Report'!$C:$C,'Audit Report'!D:D)</f>
        <v>0</v>
      </c>
      <c r="C37" t="str">
        <f>_xlfn.XLOOKUP($A37,'Audit Report'!$C:$C,'Audit Report'!G:G)</f>
        <v/>
      </c>
      <c r="D37">
        <f>_xlfn.XLOOKUP($A37,'Audit Report'!$C:$C,'Audit Report'!H:H)</f>
        <v>0</v>
      </c>
      <c r="E37">
        <f>_xlfn.XLOOKUP($A37,'Audit Report'!$C:$C,'Audit Report'!X:X)</f>
        <v>0</v>
      </c>
      <c r="F37">
        <f>_xlfn.XLOOKUP($A37,'Audit Report'!$C:$C,'Audit Report'!P:P)</f>
        <v>0</v>
      </c>
    </row>
    <row r="38" spans="2:6">
      <c r="B38">
        <f>_xlfn.XLOOKUP($A38,'Audit Report'!$C:$C,'Audit Report'!D:D)</f>
        <v>0</v>
      </c>
      <c r="C38" t="str">
        <f>_xlfn.XLOOKUP($A38,'Audit Report'!$C:$C,'Audit Report'!G:G)</f>
        <v/>
      </c>
      <c r="D38">
        <f>_xlfn.XLOOKUP($A38,'Audit Report'!$C:$C,'Audit Report'!H:H)</f>
        <v>0</v>
      </c>
      <c r="E38">
        <f>_xlfn.XLOOKUP($A38,'Audit Report'!$C:$C,'Audit Report'!X:X)</f>
        <v>0</v>
      </c>
      <c r="F38">
        <f>_xlfn.XLOOKUP($A38,'Audit Report'!$C:$C,'Audit Report'!P:P)</f>
        <v>0</v>
      </c>
    </row>
    <row r="39" spans="2:6">
      <c r="B39">
        <f>_xlfn.XLOOKUP($A39,'Audit Report'!$C:$C,'Audit Report'!D:D)</f>
        <v>0</v>
      </c>
      <c r="C39" t="str">
        <f>_xlfn.XLOOKUP($A39,'Audit Report'!$C:$C,'Audit Report'!G:G)</f>
        <v/>
      </c>
      <c r="D39">
        <f>_xlfn.XLOOKUP($A39,'Audit Report'!$C:$C,'Audit Report'!H:H)</f>
        <v>0</v>
      </c>
      <c r="E39">
        <f>_xlfn.XLOOKUP($A39,'Audit Report'!$C:$C,'Audit Report'!X:X)</f>
        <v>0</v>
      </c>
      <c r="F39">
        <f>_xlfn.XLOOKUP($A39,'Audit Report'!$C:$C,'Audit Report'!P:P)</f>
        <v>0</v>
      </c>
    </row>
    <row r="40" spans="2:6">
      <c r="B40">
        <f>_xlfn.XLOOKUP($A40,'Audit Report'!$C:$C,'Audit Report'!D:D)</f>
        <v>0</v>
      </c>
      <c r="C40" t="str">
        <f>_xlfn.XLOOKUP($A40,'Audit Report'!$C:$C,'Audit Report'!G:G)</f>
        <v/>
      </c>
      <c r="D40">
        <f>_xlfn.XLOOKUP($A40,'Audit Report'!$C:$C,'Audit Report'!H:H)</f>
        <v>0</v>
      </c>
      <c r="E40">
        <f>_xlfn.XLOOKUP($A40,'Audit Report'!$C:$C,'Audit Report'!X:X)</f>
        <v>0</v>
      </c>
      <c r="F40">
        <f>_xlfn.XLOOKUP($A40,'Audit Report'!$C:$C,'Audit Report'!P:P)</f>
        <v>0</v>
      </c>
    </row>
    <row r="41" spans="2:6">
      <c r="B41">
        <f>_xlfn.XLOOKUP($A41,'Audit Report'!$C:$C,'Audit Report'!D:D)</f>
        <v>0</v>
      </c>
      <c r="C41" t="str">
        <f>_xlfn.XLOOKUP($A41,'Audit Report'!$C:$C,'Audit Report'!G:G)</f>
        <v/>
      </c>
      <c r="D41">
        <f>_xlfn.XLOOKUP($A41,'Audit Report'!$C:$C,'Audit Report'!H:H)</f>
        <v>0</v>
      </c>
      <c r="E41">
        <f>_xlfn.XLOOKUP($A41,'Audit Report'!$C:$C,'Audit Report'!X:X)</f>
        <v>0</v>
      </c>
      <c r="F41">
        <f>_xlfn.XLOOKUP($A41,'Audit Report'!$C:$C,'Audit Report'!P:P)</f>
        <v>0</v>
      </c>
    </row>
    <row r="42" spans="2:6">
      <c r="B42">
        <f>_xlfn.XLOOKUP($A42,'Audit Report'!$C:$C,'Audit Report'!D:D)</f>
        <v>0</v>
      </c>
      <c r="C42" t="str">
        <f>_xlfn.XLOOKUP($A42,'Audit Report'!$C:$C,'Audit Report'!G:G)</f>
        <v/>
      </c>
      <c r="D42">
        <f>_xlfn.XLOOKUP($A42,'Audit Report'!$C:$C,'Audit Report'!H:H)</f>
        <v>0</v>
      </c>
      <c r="E42">
        <f>_xlfn.XLOOKUP($A42,'Audit Report'!$C:$C,'Audit Report'!X:X)</f>
        <v>0</v>
      </c>
      <c r="F42">
        <f>_xlfn.XLOOKUP($A42,'Audit Report'!$C:$C,'Audit Report'!P:P)</f>
        <v>0</v>
      </c>
    </row>
    <row r="43" spans="2:6">
      <c r="B43">
        <f>_xlfn.XLOOKUP($A43,'Audit Report'!$C:$C,'Audit Report'!D:D)</f>
        <v>0</v>
      </c>
      <c r="C43" t="str">
        <f>_xlfn.XLOOKUP($A43,'Audit Report'!$C:$C,'Audit Report'!G:G)</f>
        <v/>
      </c>
      <c r="D43">
        <f>_xlfn.XLOOKUP($A43,'Audit Report'!$C:$C,'Audit Report'!H:H)</f>
        <v>0</v>
      </c>
      <c r="E43">
        <f>_xlfn.XLOOKUP($A43,'Audit Report'!$C:$C,'Audit Report'!X:X)</f>
        <v>0</v>
      </c>
      <c r="F43">
        <f>_xlfn.XLOOKUP($A43,'Audit Report'!$C:$C,'Audit Report'!P:P)</f>
        <v>0</v>
      </c>
    </row>
    <row r="44" spans="2:6">
      <c r="B44">
        <f>_xlfn.XLOOKUP($A44,'Audit Report'!$C:$C,'Audit Report'!D:D)</f>
        <v>0</v>
      </c>
      <c r="C44" t="str">
        <f>_xlfn.XLOOKUP($A44,'Audit Report'!$C:$C,'Audit Report'!G:G)</f>
        <v/>
      </c>
      <c r="D44">
        <f>_xlfn.XLOOKUP($A44,'Audit Report'!$C:$C,'Audit Report'!H:H)</f>
        <v>0</v>
      </c>
      <c r="E44">
        <f>_xlfn.XLOOKUP($A44,'Audit Report'!$C:$C,'Audit Report'!X:X)</f>
        <v>0</v>
      </c>
      <c r="F44">
        <f>_xlfn.XLOOKUP($A44,'Audit Report'!$C:$C,'Audit Report'!P:P)</f>
        <v>0</v>
      </c>
    </row>
    <row r="45" spans="2:6">
      <c r="B45">
        <f>_xlfn.XLOOKUP($A45,'Audit Report'!$C:$C,'Audit Report'!D:D)</f>
        <v>0</v>
      </c>
      <c r="C45" t="str">
        <f>_xlfn.XLOOKUP($A45,'Audit Report'!$C:$C,'Audit Report'!G:G)</f>
        <v/>
      </c>
      <c r="D45">
        <f>_xlfn.XLOOKUP($A45,'Audit Report'!$C:$C,'Audit Report'!H:H)</f>
        <v>0</v>
      </c>
      <c r="E45">
        <f>_xlfn.XLOOKUP($A45,'Audit Report'!$C:$C,'Audit Report'!X:X)</f>
        <v>0</v>
      </c>
      <c r="F45">
        <f>_xlfn.XLOOKUP($A45,'Audit Report'!$C:$C,'Audit Report'!P:P)</f>
        <v>0</v>
      </c>
    </row>
    <row r="46" spans="2:6">
      <c r="B46">
        <f>_xlfn.XLOOKUP($A46,'Audit Report'!$C:$C,'Audit Report'!D:D)</f>
        <v>0</v>
      </c>
      <c r="C46" t="str">
        <f>_xlfn.XLOOKUP($A46,'Audit Report'!$C:$C,'Audit Report'!G:G)</f>
        <v/>
      </c>
      <c r="D46">
        <f>_xlfn.XLOOKUP($A46,'Audit Report'!$C:$C,'Audit Report'!H:H)</f>
        <v>0</v>
      </c>
      <c r="E46">
        <f>_xlfn.XLOOKUP($A46,'Audit Report'!$C:$C,'Audit Report'!X:X)</f>
        <v>0</v>
      </c>
      <c r="F46">
        <f>_xlfn.XLOOKUP($A46,'Audit Report'!$C:$C,'Audit Report'!P:P)</f>
        <v>0</v>
      </c>
    </row>
    <row r="47" spans="2:6">
      <c r="B47">
        <f>_xlfn.XLOOKUP($A47,'Audit Report'!$C:$C,'Audit Report'!D:D)</f>
        <v>0</v>
      </c>
      <c r="C47" t="str">
        <f>_xlfn.XLOOKUP($A47,'Audit Report'!$C:$C,'Audit Report'!G:G)</f>
        <v/>
      </c>
      <c r="D47">
        <f>_xlfn.XLOOKUP($A47,'Audit Report'!$C:$C,'Audit Report'!H:H)</f>
        <v>0</v>
      </c>
      <c r="E47">
        <f>_xlfn.XLOOKUP($A47,'Audit Report'!$C:$C,'Audit Report'!X:X)</f>
        <v>0</v>
      </c>
      <c r="F47">
        <f>_xlfn.XLOOKUP($A47,'Audit Report'!$C:$C,'Audit Report'!P:P)</f>
        <v>0</v>
      </c>
    </row>
    <row r="48" spans="2:6">
      <c r="B48">
        <f>_xlfn.XLOOKUP($A48,'Audit Report'!$C:$C,'Audit Report'!D:D)</f>
        <v>0</v>
      </c>
      <c r="C48" t="str">
        <f>_xlfn.XLOOKUP($A48,'Audit Report'!$C:$C,'Audit Report'!G:G)</f>
        <v/>
      </c>
      <c r="D48">
        <f>_xlfn.XLOOKUP($A48,'Audit Report'!$C:$C,'Audit Report'!H:H)</f>
        <v>0</v>
      </c>
      <c r="E48">
        <f>_xlfn.XLOOKUP($A48,'Audit Report'!$C:$C,'Audit Report'!X:X)</f>
        <v>0</v>
      </c>
      <c r="F48">
        <f>_xlfn.XLOOKUP($A48,'Audit Report'!$C:$C,'Audit Report'!P:P)</f>
        <v>0</v>
      </c>
    </row>
    <row r="49" spans="2:6">
      <c r="B49">
        <f>_xlfn.XLOOKUP($A49,'Audit Report'!$C:$C,'Audit Report'!D:D)</f>
        <v>0</v>
      </c>
      <c r="C49" t="str">
        <f>_xlfn.XLOOKUP($A49,'Audit Report'!$C:$C,'Audit Report'!G:G)</f>
        <v/>
      </c>
      <c r="D49">
        <f>_xlfn.XLOOKUP($A49,'Audit Report'!$C:$C,'Audit Report'!H:H)</f>
        <v>0</v>
      </c>
      <c r="E49">
        <f>_xlfn.XLOOKUP($A49,'Audit Report'!$C:$C,'Audit Report'!X:X)</f>
        <v>0</v>
      </c>
      <c r="F49">
        <f>_xlfn.XLOOKUP($A49,'Audit Report'!$C:$C,'Audit Report'!P:P)</f>
        <v>0</v>
      </c>
    </row>
    <row r="50" spans="2:6">
      <c r="B50">
        <f>_xlfn.XLOOKUP($A50,'Audit Report'!$C:$C,'Audit Report'!D:D)</f>
        <v>0</v>
      </c>
      <c r="C50" t="str">
        <f>_xlfn.XLOOKUP($A50,'Audit Report'!$C:$C,'Audit Report'!G:G)</f>
        <v/>
      </c>
      <c r="D50">
        <f>_xlfn.XLOOKUP($A50,'Audit Report'!$C:$C,'Audit Report'!H:H)</f>
        <v>0</v>
      </c>
      <c r="E50">
        <f>_xlfn.XLOOKUP($A50,'Audit Report'!$C:$C,'Audit Report'!X:X)</f>
        <v>0</v>
      </c>
      <c r="F50">
        <f>_xlfn.XLOOKUP($A50,'Audit Report'!$C:$C,'Audit Report'!P:P)</f>
        <v>0</v>
      </c>
    </row>
    <row r="51" spans="2:6">
      <c r="B51">
        <f>_xlfn.XLOOKUP($A51,'Audit Report'!$C:$C,'Audit Report'!D:D)</f>
        <v>0</v>
      </c>
      <c r="C51" t="str">
        <f>_xlfn.XLOOKUP($A51,'Audit Report'!$C:$C,'Audit Report'!G:G)</f>
        <v/>
      </c>
      <c r="D51">
        <f>_xlfn.XLOOKUP($A51,'Audit Report'!$C:$C,'Audit Report'!H:H)</f>
        <v>0</v>
      </c>
      <c r="E51">
        <f>_xlfn.XLOOKUP($A51,'Audit Report'!$C:$C,'Audit Report'!X:X)</f>
        <v>0</v>
      </c>
      <c r="F51">
        <f>_xlfn.XLOOKUP($A51,'Audit Report'!$C:$C,'Audit Report'!P:P)</f>
        <v>0</v>
      </c>
    </row>
    <row r="52" spans="2:6">
      <c r="B52">
        <f>_xlfn.XLOOKUP($A52,'Audit Report'!$C:$C,'Audit Report'!D:D)</f>
        <v>0</v>
      </c>
      <c r="C52" t="str">
        <f>_xlfn.XLOOKUP($A52,'Audit Report'!$C:$C,'Audit Report'!G:G)</f>
        <v/>
      </c>
      <c r="D52">
        <f>_xlfn.XLOOKUP($A52,'Audit Report'!$C:$C,'Audit Report'!H:H)</f>
        <v>0</v>
      </c>
      <c r="E52">
        <f>_xlfn.XLOOKUP($A52,'Audit Report'!$C:$C,'Audit Report'!X:X)</f>
        <v>0</v>
      </c>
      <c r="F52">
        <f>_xlfn.XLOOKUP($A52,'Audit Report'!$C:$C,'Audit Report'!P:P)</f>
        <v>0</v>
      </c>
    </row>
    <row r="53" spans="2:6">
      <c r="B53">
        <f>_xlfn.XLOOKUP($A53,'Audit Report'!$C:$C,'Audit Report'!D:D)</f>
        <v>0</v>
      </c>
      <c r="C53" t="str">
        <f>_xlfn.XLOOKUP($A53,'Audit Report'!$C:$C,'Audit Report'!G:G)</f>
        <v/>
      </c>
      <c r="D53">
        <f>_xlfn.XLOOKUP($A53,'Audit Report'!$C:$C,'Audit Report'!H:H)</f>
        <v>0</v>
      </c>
      <c r="E53">
        <f>_xlfn.XLOOKUP($A53,'Audit Report'!$C:$C,'Audit Report'!X:X)</f>
        <v>0</v>
      </c>
      <c r="F53">
        <f>_xlfn.XLOOKUP($A53,'Audit Report'!$C:$C,'Audit Report'!P:P)</f>
        <v>0</v>
      </c>
    </row>
    <row r="54" spans="2:6">
      <c r="B54">
        <f>_xlfn.XLOOKUP($A54,'Audit Report'!$C:$C,'Audit Report'!D:D)</f>
        <v>0</v>
      </c>
      <c r="C54" t="str">
        <f>_xlfn.XLOOKUP($A54,'Audit Report'!$C:$C,'Audit Report'!G:G)</f>
        <v/>
      </c>
      <c r="D54">
        <f>_xlfn.XLOOKUP($A54,'Audit Report'!$C:$C,'Audit Report'!H:H)</f>
        <v>0</v>
      </c>
      <c r="E54">
        <f>_xlfn.XLOOKUP($A54,'Audit Report'!$C:$C,'Audit Report'!X:X)</f>
        <v>0</v>
      </c>
      <c r="F54">
        <f>_xlfn.XLOOKUP($A54,'Audit Report'!$C:$C,'Audit Report'!P:P)</f>
        <v>0</v>
      </c>
    </row>
    <row r="55" spans="2:6">
      <c r="B55">
        <f>_xlfn.XLOOKUP($A55,'Audit Report'!$C:$C,'Audit Report'!D:D)</f>
        <v>0</v>
      </c>
      <c r="C55" t="str">
        <f>_xlfn.XLOOKUP($A55,'Audit Report'!$C:$C,'Audit Report'!G:G)</f>
        <v/>
      </c>
      <c r="D55">
        <f>_xlfn.XLOOKUP($A55,'Audit Report'!$C:$C,'Audit Report'!H:H)</f>
        <v>0</v>
      </c>
      <c r="E55">
        <f>_xlfn.XLOOKUP($A55,'Audit Report'!$C:$C,'Audit Report'!X:X)</f>
        <v>0</v>
      </c>
      <c r="F55">
        <f>_xlfn.XLOOKUP($A55,'Audit Report'!$C:$C,'Audit Report'!P:P)</f>
        <v>0</v>
      </c>
    </row>
    <row r="56" spans="2:6">
      <c r="B56">
        <f>_xlfn.XLOOKUP($A56,'Audit Report'!$C:$C,'Audit Report'!D:D)</f>
        <v>0</v>
      </c>
      <c r="C56" t="str">
        <f>_xlfn.XLOOKUP($A56,'Audit Report'!$C:$C,'Audit Report'!G:G)</f>
        <v/>
      </c>
      <c r="D56">
        <f>_xlfn.XLOOKUP($A56,'Audit Report'!$C:$C,'Audit Report'!H:H)</f>
        <v>0</v>
      </c>
      <c r="E56">
        <f>_xlfn.XLOOKUP($A56,'Audit Report'!$C:$C,'Audit Report'!X:X)</f>
        <v>0</v>
      </c>
      <c r="F56">
        <f>_xlfn.XLOOKUP($A56,'Audit Report'!$C:$C,'Audit Report'!P:P)</f>
        <v>0</v>
      </c>
    </row>
    <row r="57" spans="2:6">
      <c r="B57">
        <f>_xlfn.XLOOKUP($A57,'Audit Report'!$C:$C,'Audit Report'!D:D)</f>
        <v>0</v>
      </c>
      <c r="C57" t="str">
        <f>_xlfn.XLOOKUP($A57,'Audit Report'!$C:$C,'Audit Report'!G:G)</f>
        <v/>
      </c>
      <c r="D57">
        <f>_xlfn.XLOOKUP($A57,'Audit Report'!$C:$C,'Audit Report'!H:H)</f>
        <v>0</v>
      </c>
      <c r="E57">
        <f>_xlfn.XLOOKUP($A57,'Audit Report'!$C:$C,'Audit Report'!X:X)</f>
        <v>0</v>
      </c>
      <c r="F57">
        <f>_xlfn.XLOOKUP($A57,'Audit Report'!$C:$C,'Audit Report'!P:P)</f>
        <v>0</v>
      </c>
    </row>
    <row r="58" spans="2:6">
      <c r="B58">
        <f>_xlfn.XLOOKUP($A58,'Audit Report'!$C:$C,'Audit Report'!D:D)</f>
        <v>0</v>
      </c>
      <c r="C58" t="str">
        <f>_xlfn.XLOOKUP($A58,'Audit Report'!$C:$C,'Audit Report'!G:G)</f>
        <v/>
      </c>
      <c r="D58">
        <f>_xlfn.XLOOKUP($A58,'Audit Report'!$C:$C,'Audit Report'!H:H)</f>
        <v>0</v>
      </c>
      <c r="E58">
        <f>_xlfn.XLOOKUP($A58,'Audit Report'!$C:$C,'Audit Report'!X:X)</f>
        <v>0</v>
      </c>
      <c r="F58">
        <f>_xlfn.XLOOKUP($A58,'Audit Report'!$C:$C,'Audit Report'!P:P)</f>
        <v>0</v>
      </c>
    </row>
    <row r="59" spans="2:6">
      <c r="B59">
        <f>_xlfn.XLOOKUP($A59,'Audit Report'!$C:$C,'Audit Report'!D:D)</f>
        <v>0</v>
      </c>
      <c r="C59" t="str">
        <f>_xlfn.XLOOKUP($A59,'Audit Report'!$C:$C,'Audit Report'!G:G)</f>
        <v/>
      </c>
      <c r="D59">
        <f>_xlfn.XLOOKUP($A59,'Audit Report'!$C:$C,'Audit Report'!H:H)</f>
        <v>0</v>
      </c>
      <c r="E59">
        <f>_xlfn.XLOOKUP($A59,'Audit Report'!$C:$C,'Audit Report'!X:X)</f>
        <v>0</v>
      </c>
      <c r="F59">
        <f>_xlfn.XLOOKUP($A59,'Audit Report'!$C:$C,'Audit Report'!P:P)</f>
        <v>0</v>
      </c>
    </row>
    <row r="60" spans="2:6">
      <c r="B60">
        <f>_xlfn.XLOOKUP($A60,'Audit Report'!$C:$C,'Audit Report'!D:D)</f>
        <v>0</v>
      </c>
      <c r="C60" t="str">
        <f>_xlfn.XLOOKUP($A60,'Audit Report'!$C:$C,'Audit Report'!G:G)</f>
        <v/>
      </c>
      <c r="D60">
        <f>_xlfn.XLOOKUP($A60,'Audit Report'!$C:$C,'Audit Report'!H:H)</f>
        <v>0</v>
      </c>
      <c r="E60">
        <f>_xlfn.XLOOKUP($A60,'Audit Report'!$C:$C,'Audit Report'!X:X)</f>
        <v>0</v>
      </c>
      <c r="F60">
        <f>_xlfn.XLOOKUP($A60,'Audit Report'!$C:$C,'Audit Report'!P:P)</f>
        <v>0</v>
      </c>
    </row>
    <row r="61" spans="2:6">
      <c r="B61">
        <f>_xlfn.XLOOKUP($A61,'Audit Report'!$C:$C,'Audit Report'!D:D)</f>
        <v>0</v>
      </c>
      <c r="C61" t="str">
        <f>_xlfn.XLOOKUP($A61,'Audit Report'!$C:$C,'Audit Report'!G:G)</f>
        <v/>
      </c>
      <c r="D61">
        <f>_xlfn.XLOOKUP($A61,'Audit Report'!$C:$C,'Audit Report'!H:H)</f>
        <v>0</v>
      </c>
      <c r="E61">
        <f>_xlfn.XLOOKUP($A61,'Audit Report'!$C:$C,'Audit Report'!X:X)</f>
        <v>0</v>
      </c>
      <c r="F61">
        <f>_xlfn.XLOOKUP($A61,'Audit Report'!$C:$C,'Audit Report'!P:P)</f>
        <v>0</v>
      </c>
    </row>
    <row r="62" spans="2:6">
      <c r="B62">
        <f>_xlfn.XLOOKUP($A62,'Audit Report'!$C:$C,'Audit Report'!D:D)</f>
        <v>0</v>
      </c>
      <c r="C62" t="str">
        <f>_xlfn.XLOOKUP($A62,'Audit Report'!$C:$C,'Audit Report'!G:G)</f>
        <v/>
      </c>
      <c r="D62">
        <f>_xlfn.XLOOKUP($A62,'Audit Report'!$C:$C,'Audit Report'!H:H)</f>
        <v>0</v>
      </c>
      <c r="E62">
        <f>_xlfn.XLOOKUP($A62,'Audit Report'!$C:$C,'Audit Report'!X:X)</f>
        <v>0</v>
      </c>
      <c r="F62">
        <f>_xlfn.XLOOKUP($A62,'Audit Report'!$C:$C,'Audit Report'!P:P)</f>
        <v>0</v>
      </c>
    </row>
    <row r="63" spans="2:6">
      <c r="B63">
        <f>_xlfn.XLOOKUP($A63,'Audit Report'!$C:$C,'Audit Report'!D:D)</f>
        <v>0</v>
      </c>
      <c r="C63" t="str">
        <f>_xlfn.XLOOKUP($A63,'Audit Report'!$C:$C,'Audit Report'!G:G)</f>
        <v/>
      </c>
      <c r="D63">
        <f>_xlfn.XLOOKUP($A63,'Audit Report'!$C:$C,'Audit Report'!H:H)</f>
        <v>0</v>
      </c>
      <c r="E63">
        <f>_xlfn.XLOOKUP($A63,'Audit Report'!$C:$C,'Audit Report'!X:X)</f>
        <v>0</v>
      </c>
      <c r="F63">
        <f>_xlfn.XLOOKUP($A63,'Audit Report'!$C:$C,'Audit Report'!P:P)</f>
        <v>0</v>
      </c>
    </row>
    <row r="64" spans="2:6">
      <c r="B64">
        <f>_xlfn.XLOOKUP($A64,'Audit Report'!$C:$C,'Audit Report'!D:D)</f>
        <v>0</v>
      </c>
      <c r="C64" t="str">
        <f>_xlfn.XLOOKUP($A64,'Audit Report'!$C:$C,'Audit Report'!G:G)</f>
        <v/>
      </c>
      <c r="D64">
        <f>_xlfn.XLOOKUP($A64,'Audit Report'!$C:$C,'Audit Report'!H:H)</f>
        <v>0</v>
      </c>
      <c r="E64">
        <f>_xlfn.XLOOKUP($A64,'Audit Report'!$C:$C,'Audit Report'!X:X)</f>
        <v>0</v>
      </c>
      <c r="F64">
        <f>_xlfn.XLOOKUP($A64,'Audit Report'!$C:$C,'Audit Report'!P:P)</f>
        <v>0</v>
      </c>
    </row>
    <row r="65" spans="2:6">
      <c r="B65">
        <f>_xlfn.XLOOKUP($A65,'Audit Report'!$C:$C,'Audit Report'!D:D)</f>
        <v>0</v>
      </c>
      <c r="C65" t="str">
        <f>_xlfn.XLOOKUP($A65,'Audit Report'!$C:$C,'Audit Report'!G:G)</f>
        <v/>
      </c>
      <c r="D65">
        <f>_xlfn.XLOOKUP($A65,'Audit Report'!$C:$C,'Audit Report'!H:H)</f>
        <v>0</v>
      </c>
      <c r="E65">
        <f>_xlfn.XLOOKUP($A65,'Audit Report'!$C:$C,'Audit Report'!X:X)</f>
        <v>0</v>
      </c>
      <c r="F65">
        <f>_xlfn.XLOOKUP($A65,'Audit Report'!$C:$C,'Audit Report'!P:P)</f>
        <v>0</v>
      </c>
    </row>
    <row r="66" spans="2:6">
      <c r="B66">
        <f>_xlfn.XLOOKUP($A66,'Audit Report'!$C:$C,'Audit Report'!D:D)</f>
        <v>0</v>
      </c>
      <c r="C66" t="str">
        <f>_xlfn.XLOOKUP($A66,'Audit Report'!$C:$C,'Audit Report'!G:G)</f>
        <v/>
      </c>
      <c r="D66">
        <f>_xlfn.XLOOKUP($A66,'Audit Report'!$C:$C,'Audit Report'!H:H)</f>
        <v>0</v>
      </c>
      <c r="E66">
        <f>_xlfn.XLOOKUP($A66,'Audit Report'!$C:$C,'Audit Report'!X:X)</f>
        <v>0</v>
      </c>
      <c r="F66">
        <f>_xlfn.XLOOKUP($A66,'Audit Report'!$C:$C,'Audit Report'!P:P)</f>
        <v>0</v>
      </c>
    </row>
    <row r="67" spans="2:6">
      <c r="B67">
        <f>_xlfn.XLOOKUP($A67,'Audit Report'!$C:$C,'Audit Report'!D:D)</f>
        <v>0</v>
      </c>
      <c r="C67" t="str">
        <f>_xlfn.XLOOKUP($A67,'Audit Report'!$C:$C,'Audit Report'!G:G)</f>
        <v/>
      </c>
      <c r="D67">
        <f>_xlfn.XLOOKUP($A67,'Audit Report'!$C:$C,'Audit Report'!H:H)</f>
        <v>0</v>
      </c>
      <c r="E67">
        <f>_xlfn.XLOOKUP($A67,'Audit Report'!$C:$C,'Audit Report'!X:X)</f>
        <v>0</v>
      </c>
      <c r="F67">
        <f>_xlfn.XLOOKUP($A67,'Audit Report'!$C:$C,'Audit Report'!P:P)</f>
        <v>0</v>
      </c>
    </row>
    <row r="68" spans="2:6">
      <c r="B68">
        <f>_xlfn.XLOOKUP($A68,'Audit Report'!$C:$C,'Audit Report'!D:D)</f>
        <v>0</v>
      </c>
      <c r="C68" t="str">
        <f>_xlfn.XLOOKUP($A68,'Audit Report'!$C:$C,'Audit Report'!G:G)</f>
        <v/>
      </c>
      <c r="D68">
        <f>_xlfn.XLOOKUP($A68,'Audit Report'!$C:$C,'Audit Report'!H:H)</f>
        <v>0</v>
      </c>
      <c r="E68">
        <f>_xlfn.XLOOKUP($A68,'Audit Report'!$C:$C,'Audit Report'!X:X)</f>
        <v>0</v>
      </c>
      <c r="F68">
        <f>_xlfn.XLOOKUP($A68,'Audit Report'!$C:$C,'Audit Report'!P:P)</f>
        <v>0</v>
      </c>
    </row>
    <row r="69" spans="2:6">
      <c r="B69">
        <f>_xlfn.XLOOKUP($A69,'Audit Report'!$C:$C,'Audit Report'!D:D)</f>
        <v>0</v>
      </c>
      <c r="C69" t="str">
        <f>_xlfn.XLOOKUP($A69,'Audit Report'!$C:$C,'Audit Report'!G:G)</f>
        <v/>
      </c>
      <c r="D69">
        <f>_xlfn.XLOOKUP($A69,'Audit Report'!$C:$C,'Audit Report'!H:H)</f>
        <v>0</v>
      </c>
      <c r="E69">
        <f>_xlfn.XLOOKUP($A69,'Audit Report'!$C:$C,'Audit Report'!X:X)</f>
        <v>0</v>
      </c>
      <c r="F69">
        <f>_xlfn.XLOOKUP($A69,'Audit Report'!$C:$C,'Audit Report'!P:P)</f>
        <v>0</v>
      </c>
    </row>
    <row r="70" spans="2:6">
      <c r="B70">
        <f>_xlfn.XLOOKUP($A70,'Audit Report'!$C:$C,'Audit Report'!D:D)</f>
        <v>0</v>
      </c>
      <c r="C70" t="str">
        <f>_xlfn.XLOOKUP($A70,'Audit Report'!$C:$C,'Audit Report'!G:G)</f>
        <v/>
      </c>
      <c r="D70">
        <f>_xlfn.XLOOKUP($A70,'Audit Report'!$C:$C,'Audit Report'!H:H)</f>
        <v>0</v>
      </c>
      <c r="E70">
        <f>_xlfn.XLOOKUP($A70,'Audit Report'!$C:$C,'Audit Report'!X:X)</f>
        <v>0</v>
      </c>
      <c r="F70">
        <f>_xlfn.XLOOKUP($A70,'Audit Report'!$C:$C,'Audit Report'!P:P)</f>
        <v>0</v>
      </c>
    </row>
    <row r="71" spans="2:6">
      <c r="B71">
        <f>_xlfn.XLOOKUP($A71,'Audit Report'!$C:$C,'Audit Report'!D:D)</f>
        <v>0</v>
      </c>
      <c r="C71" t="str">
        <f>_xlfn.XLOOKUP($A71,'Audit Report'!$C:$C,'Audit Report'!G:G)</f>
        <v/>
      </c>
      <c r="D71">
        <f>_xlfn.XLOOKUP($A71,'Audit Report'!$C:$C,'Audit Report'!H:H)</f>
        <v>0</v>
      </c>
      <c r="E71">
        <f>_xlfn.XLOOKUP($A71,'Audit Report'!$C:$C,'Audit Report'!X:X)</f>
        <v>0</v>
      </c>
      <c r="F71">
        <f>_xlfn.XLOOKUP($A71,'Audit Report'!$C:$C,'Audit Report'!P:P)</f>
        <v>0</v>
      </c>
    </row>
    <row r="72" spans="2:6">
      <c r="B72">
        <f>_xlfn.XLOOKUP($A72,'Audit Report'!$C:$C,'Audit Report'!D:D)</f>
        <v>0</v>
      </c>
      <c r="C72" t="str">
        <f>_xlfn.XLOOKUP($A72,'Audit Report'!$C:$C,'Audit Report'!G:G)</f>
        <v/>
      </c>
      <c r="D72">
        <f>_xlfn.XLOOKUP($A72,'Audit Report'!$C:$C,'Audit Report'!H:H)</f>
        <v>0</v>
      </c>
      <c r="E72">
        <f>_xlfn.XLOOKUP($A72,'Audit Report'!$C:$C,'Audit Report'!X:X)</f>
        <v>0</v>
      </c>
      <c r="F72">
        <f>_xlfn.XLOOKUP($A72,'Audit Report'!$C:$C,'Audit Report'!P:P)</f>
        <v>0</v>
      </c>
    </row>
    <row r="73" spans="2:6">
      <c r="B73">
        <f>_xlfn.XLOOKUP($A73,'Audit Report'!$C:$C,'Audit Report'!D:D)</f>
        <v>0</v>
      </c>
      <c r="C73" t="str">
        <f>_xlfn.XLOOKUP($A73,'Audit Report'!$C:$C,'Audit Report'!G:G)</f>
        <v/>
      </c>
      <c r="D73">
        <f>_xlfn.XLOOKUP($A73,'Audit Report'!$C:$C,'Audit Report'!H:H)</f>
        <v>0</v>
      </c>
      <c r="E73">
        <f>_xlfn.XLOOKUP($A73,'Audit Report'!$C:$C,'Audit Report'!X:X)</f>
        <v>0</v>
      </c>
      <c r="F73">
        <f>_xlfn.XLOOKUP($A73,'Audit Report'!$C:$C,'Audit Report'!P:P)</f>
        <v>0</v>
      </c>
    </row>
    <row r="74" spans="2:6">
      <c r="B74">
        <f>_xlfn.XLOOKUP($A74,'Audit Report'!$C:$C,'Audit Report'!D:D)</f>
        <v>0</v>
      </c>
      <c r="C74" t="str">
        <f>_xlfn.XLOOKUP($A74,'Audit Report'!$C:$C,'Audit Report'!G:G)</f>
        <v/>
      </c>
      <c r="D74">
        <f>_xlfn.XLOOKUP($A74,'Audit Report'!$C:$C,'Audit Report'!H:H)</f>
        <v>0</v>
      </c>
      <c r="E74">
        <f>_xlfn.XLOOKUP($A74,'Audit Report'!$C:$C,'Audit Report'!X:X)</f>
        <v>0</v>
      </c>
      <c r="F74">
        <f>_xlfn.XLOOKUP($A74,'Audit Report'!$C:$C,'Audit Report'!P:P)</f>
        <v>0</v>
      </c>
    </row>
    <row r="75" spans="2:6">
      <c r="B75">
        <f>_xlfn.XLOOKUP($A75,'Audit Report'!$C:$C,'Audit Report'!D:D)</f>
        <v>0</v>
      </c>
      <c r="C75" t="str">
        <f>_xlfn.XLOOKUP($A75,'Audit Report'!$C:$C,'Audit Report'!G:G)</f>
        <v/>
      </c>
      <c r="D75">
        <f>_xlfn.XLOOKUP($A75,'Audit Report'!$C:$C,'Audit Report'!H:H)</f>
        <v>0</v>
      </c>
      <c r="E75">
        <f>_xlfn.XLOOKUP($A75,'Audit Report'!$C:$C,'Audit Report'!X:X)</f>
        <v>0</v>
      </c>
      <c r="F75">
        <f>_xlfn.XLOOKUP($A75,'Audit Report'!$C:$C,'Audit Report'!P:P)</f>
        <v>0</v>
      </c>
    </row>
    <row r="76" spans="2:6">
      <c r="B76">
        <f>_xlfn.XLOOKUP($A76,'Audit Report'!$C:$C,'Audit Report'!D:D)</f>
        <v>0</v>
      </c>
      <c r="C76" t="str">
        <f>_xlfn.XLOOKUP($A76,'Audit Report'!$C:$C,'Audit Report'!G:G)</f>
        <v/>
      </c>
      <c r="D76">
        <f>_xlfn.XLOOKUP($A76,'Audit Report'!$C:$C,'Audit Report'!H:H)</f>
        <v>0</v>
      </c>
      <c r="E76">
        <f>_xlfn.XLOOKUP($A76,'Audit Report'!$C:$C,'Audit Report'!X:X)</f>
        <v>0</v>
      </c>
      <c r="F76">
        <f>_xlfn.XLOOKUP($A76,'Audit Report'!$C:$C,'Audit Report'!P:P)</f>
        <v>0</v>
      </c>
    </row>
    <row r="77" spans="2:6">
      <c r="B77">
        <f>_xlfn.XLOOKUP($A77,'Audit Report'!$C:$C,'Audit Report'!D:D)</f>
        <v>0</v>
      </c>
      <c r="C77" t="str">
        <f>_xlfn.XLOOKUP($A77,'Audit Report'!$C:$C,'Audit Report'!G:G)</f>
        <v/>
      </c>
      <c r="D77">
        <f>_xlfn.XLOOKUP($A77,'Audit Report'!$C:$C,'Audit Report'!H:H)</f>
        <v>0</v>
      </c>
      <c r="E77">
        <f>_xlfn.XLOOKUP($A77,'Audit Report'!$C:$C,'Audit Report'!X:X)</f>
        <v>0</v>
      </c>
      <c r="F77">
        <f>_xlfn.XLOOKUP($A77,'Audit Report'!$C:$C,'Audit Report'!P:P)</f>
        <v>0</v>
      </c>
    </row>
    <row r="78" spans="2:6">
      <c r="B78">
        <f>_xlfn.XLOOKUP($A78,'Audit Report'!$C:$C,'Audit Report'!D:D)</f>
        <v>0</v>
      </c>
      <c r="C78" t="str">
        <f>_xlfn.XLOOKUP($A78,'Audit Report'!$C:$C,'Audit Report'!G:G)</f>
        <v/>
      </c>
      <c r="D78">
        <f>_xlfn.XLOOKUP($A78,'Audit Report'!$C:$C,'Audit Report'!H:H)</f>
        <v>0</v>
      </c>
      <c r="E78">
        <f>_xlfn.XLOOKUP($A78,'Audit Report'!$C:$C,'Audit Report'!X:X)</f>
        <v>0</v>
      </c>
      <c r="F78">
        <f>_xlfn.XLOOKUP($A78,'Audit Report'!$C:$C,'Audit Report'!P:P)</f>
        <v>0</v>
      </c>
    </row>
    <row r="79" spans="2:6">
      <c r="B79">
        <f>_xlfn.XLOOKUP($A79,'Audit Report'!$C:$C,'Audit Report'!D:D)</f>
        <v>0</v>
      </c>
      <c r="C79" t="str">
        <f>_xlfn.XLOOKUP($A79,'Audit Report'!$C:$C,'Audit Report'!G:G)</f>
        <v/>
      </c>
      <c r="D79">
        <f>_xlfn.XLOOKUP($A79,'Audit Report'!$C:$C,'Audit Report'!H:H)</f>
        <v>0</v>
      </c>
      <c r="E79">
        <f>_xlfn.XLOOKUP($A79,'Audit Report'!$C:$C,'Audit Report'!X:X)</f>
        <v>0</v>
      </c>
      <c r="F79">
        <f>_xlfn.XLOOKUP($A79,'Audit Report'!$C:$C,'Audit Report'!P:P)</f>
        <v>0</v>
      </c>
    </row>
    <row r="80" spans="2:6">
      <c r="B80">
        <f>_xlfn.XLOOKUP($A80,'Audit Report'!$C:$C,'Audit Report'!D:D)</f>
        <v>0</v>
      </c>
      <c r="C80" t="str">
        <f>_xlfn.XLOOKUP($A80,'Audit Report'!$C:$C,'Audit Report'!G:G)</f>
        <v/>
      </c>
      <c r="D80">
        <f>_xlfn.XLOOKUP($A80,'Audit Report'!$C:$C,'Audit Report'!H:H)</f>
        <v>0</v>
      </c>
      <c r="E80">
        <f>_xlfn.XLOOKUP($A80,'Audit Report'!$C:$C,'Audit Report'!X:X)</f>
        <v>0</v>
      </c>
      <c r="F80">
        <f>_xlfn.XLOOKUP($A80,'Audit Report'!$C:$C,'Audit Report'!P:P)</f>
        <v>0</v>
      </c>
    </row>
    <row r="81" spans="2:6">
      <c r="B81">
        <f>_xlfn.XLOOKUP($A81,'Audit Report'!$C:$C,'Audit Report'!D:D)</f>
        <v>0</v>
      </c>
      <c r="C81" t="str">
        <f>_xlfn.XLOOKUP($A81,'Audit Report'!$C:$C,'Audit Report'!G:G)</f>
        <v/>
      </c>
      <c r="D81">
        <f>_xlfn.XLOOKUP($A81,'Audit Report'!$C:$C,'Audit Report'!H:H)</f>
        <v>0</v>
      </c>
      <c r="E81">
        <f>_xlfn.XLOOKUP($A81,'Audit Report'!$C:$C,'Audit Report'!X:X)</f>
        <v>0</v>
      </c>
      <c r="F81">
        <f>_xlfn.XLOOKUP($A81,'Audit Report'!$C:$C,'Audit Report'!P:P)</f>
        <v>0</v>
      </c>
    </row>
    <row r="82" spans="2:6">
      <c r="B82">
        <f>_xlfn.XLOOKUP($A82,'Audit Report'!$C:$C,'Audit Report'!D:D)</f>
        <v>0</v>
      </c>
      <c r="C82" t="str">
        <f>_xlfn.XLOOKUP($A82,'Audit Report'!$C:$C,'Audit Report'!G:G)</f>
        <v/>
      </c>
      <c r="D82">
        <f>_xlfn.XLOOKUP($A82,'Audit Report'!$C:$C,'Audit Report'!H:H)</f>
        <v>0</v>
      </c>
      <c r="E82">
        <f>_xlfn.XLOOKUP($A82,'Audit Report'!$C:$C,'Audit Report'!X:X)</f>
        <v>0</v>
      </c>
      <c r="F82">
        <f>_xlfn.XLOOKUP($A82,'Audit Report'!$C:$C,'Audit Report'!P:P)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X455"/>
  <sheetViews>
    <sheetView workbookViewId="0">
      <selection activeCell="B2" sqref="B2:W43"/>
    </sheetView>
  </sheetViews>
  <sheetFormatPr defaultRowHeight="15"/>
  <cols>
    <col min="1" max="1" width="7" bestFit="1" customWidth="1"/>
    <col min="2" max="2" width="12.42578125" bestFit="1" customWidth="1"/>
    <col min="3" max="3" width="14.28515625" bestFit="1" customWidth="1"/>
    <col min="4" max="4" width="10.7109375" bestFit="1" customWidth="1"/>
    <col min="5" max="5" width="8.28515625" bestFit="1" customWidth="1"/>
    <col min="6" max="6" width="6.85546875" bestFit="1" customWidth="1"/>
    <col min="7" max="7" width="13.28515625" bestFit="1" customWidth="1"/>
    <col min="8" max="8" width="8.42578125" bestFit="1" customWidth="1"/>
    <col min="9" max="9" width="5.85546875" bestFit="1" customWidth="1"/>
    <col min="10" max="10" width="9.85546875" bestFit="1" customWidth="1"/>
    <col min="11" max="11" width="10.28515625" bestFit="1" customWidth="1"/>
    <col min="12" max="12" width="15" bestFit="1" customWidth="1"/>
    <col min="13" max="13" width="15.140625" bestFit="1" customWidth="1"/>
    <col min="14" max="14" width="19.42578125" customWidth="1"/>
    <col min="15" max="15" width="36.42578125" bestFit="1" customWidth="1"/>
    <col min="16" max="16" width="36.42578125" customWidth="1"/>
    <col min="17" max="17" width="16.140625" bestFit="1" customWidth="1"/>
    <col min="18" max="18" width="14.7109375" bestFit="1" customWidth="1"/>
    <col min="19" max="19" width="27.28515625" bestFit="1" customWidth="1"/>
    <col min="20" max="20" width="17.140625" bestFit="1" customWidth="1"/>
    <col min="21" max="21" width="26.7109375" bestFit="1" customWidth="1"/>
    <col min="22" max="23" width="12.5703125" bestFit="1" customWidth="1"/>
    <col min="24" max="24" width="11.28515625" bestFit="1" customWidth="1"/>
  </cols>
  <sheetData>
    <row r="1" spans="1:24" ht="18" thickBot="1">
      <c r="A1" s="1" t="s">
        <v>0</v>
      </c>
      <c r="B1" s="1" t="s">
        <v>1</v>
      </c>
      <c r="C1" s="1" t="s">
        <v>2</v>
      </c>
      <c r="D1" s="1" t="s">
        <v>523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524</v>
      </c>
      <c r="M1" s="1" t="s">
        <v>12</v>
      </c>
      <c r="N1" s="1" t="s">
        <v>565</v>
      </c>
      <c r="O1" s="1" t="s">
        <v>13</v>
      </c>
      <c r="P1" s="1"/>
      <c r="Q1" s="1" t="s">
        <v>525</v>
      </c>
      <c r="R1" s="1" t="s">
        <v>526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</row>
    <row r="2" spans="1:24" ht="15.75" thickTop="1">
      <c r="A2" t="str">
        <f>_xlfn.TEXTJOIN("",TRUE,Input!$B$2,"0",ROW(My_Audit!A1))</f>
        <v>X01</v>
      </c>
      <c r="D2" s="34"/>
    </row>
    <row r="3" spans="1:24">
      <c r="A3" t="str">
        <f>_xlfn.TEXTJOIN("",TRUE,Input!$B$2,"0",ROW(My_Audit!A2))</f>
        <v>X02</v>
      </c>
    </row>
    <row r="4" spans="1:24">
      <c r="A4" t="str">
        <f>_xlfn.TEXTJOIN("",TRUE,Input!$B$2,"0",ROW(My_Audit!A3))</f>
        <v>X03</v>
      </c>
    </row>
    <row r="5" spans="1:24">
      <c r="A5" t="str">
        <f>_xlfn.TEXTJOIN("",TRUE,Input!$B$2,"0",ROW(My_Audit!A4))</f>
        <v>X04</v>
      </c>
    </row>
    <row r="6" spans="1:24">
      <c r="A6" t="str">
        <f>_xlfn.TEXTJOIN("",TRUE,Input!$B$2,"0",ROW(My_Audit!A5))</f>
        <v>X05</v>
      </c>
    </row>
    <row r="7" spans="1:24">
      <c r="A7" t="str">
        <f>_xlfn.TEXTJOIN("",TRUE,Input!$B$2,"0",ROW(My_Audit!A6))</f>
        <v>X06</v>
      </c>
    </row>
    <row r="8" spans="1:24">
      <c r="A8" t="str">
        <f>_xlfn.TEXTJOIN("",TRUE,Input!$B$2,"0",ROW(My_Audit!A7))</f>
        <v>X07</v>
      </c>
    </row>
    <row r="9" spans="1:24">
      <c r="A9" t="str">
        <f>_xlfn.TEXTJOIN("",TRUE,Input!$B$2,"0",ROW(My_Audit!A8))</f>
        <v>X08</v>
      </c>
    </row>
    <row r="10" spans="1:24">
      <c r="A10" t="str">
        <f>_xlfn.TEXTJOIN("",TRUE,Input!$B$2,"0",ROW(My_Audit!A9))</f>
        <v>X09</v>
      </c>
    </row>
    <row r="11" spans="1:24">
      <c r="A11" t="str">
        <f>_xlfn.TEXTJOIN("",TRUE,Input!$B$2,ROW(My_Audit!A10))</f>
        <v>X10</v>
      </c>
    </row>
    <row r="12" spans="1:24">
      <c r="A12" t="str">
        <f>_xlfn.TEXTJOIN("",TRUE,Input!$B$2,ROW(My_Audit!A11))</f>
        <v>X11</v>
      </c>
    </row>
    <row r="13" spans="1:24">
      <c r="A13" t="str">
        <f>_xlfn.TEXTJOIN("",TRUE,Input!$B$2,ROW(My_Audit!A12))</f>
        <v>X12</v>
      </c>
    </row>
    <row r="14" spans="1:24">
      <c r="A14" t="str">
        <f>_xlfn.TEXTJOIN("",TRUE,Input!$B$2,ROW(My_Audit!A13))</f>
        <v>X13</v>
      </c>
    </row>
    <row r="15" spans="1:24">
      <c r="A15" t="str">
        <f>_xlfn.TEXTJOIN("",TRUE,Input!$B$2,ROW(My_Audit!A14))</f>
        <v>X14</v>
      </c>
    </row>
    <row r="16" spans="1:24">
      <c r="A16" t="str">
        <f>_xlfn.TEXTJOIN("",TRUE,Input!$B$2,ROW(My_Audit!A15))</f>
        <v>X15</v>
      </c>
    </row>
    <row r="17" spans="1:1">
      <c r="A17" t="str">
        <f>_xlfn.TEXTJOIN("",TRUE,Input!$B$2,ROW(My_Audit!A16))</f>
        <v>X16</v>
      </c>
    </row>
    <row r="18" spans="1:1">
      <c r="A18" t="str">
        <f>_xlfn.TEXTJOIN("",TRUE,Input!$B$2,ROW(My_Audit!A17))</f>
        <v>X17</v>
      </c>
    </row>
    <row r="19" spans="1:1">
      <c r="A19" t="str">
        <f>_xlfn.TEXTJOIN("",TRUE,Input!$B$2,ROW(My_Audit!A18))</f>
        <v>X18</v>
      </c>
    </row>
    <row r="20" spans="1:1">
      <c r="A20" t="str">
        <f>_xlfn.TEXTJOIN("",TRUE,Input!$B$2,ROW(My_Audit!A19))</f>
        <v>X19</v>
      </c>
    </row>
    <row r="21" spans="1:1">
      <c r="A21" t="str">
        <f>_xlfn.TEXTJOIN("",TRUE,Input!$B$2,ROW(My_Audit!A20))</f>
        <v>X20</v>
      </c>
    </row>
    <row r="22" spans="1:1">
      <c r="A22" t="str">
        <f>_xlfn.TEXTJOIN("",TRUE,Input!$B$2,ROW(My_Audit!A21))</f>
        <v>X21</v>
      </c>
    </row>
    <row r="23" spans="1:1">
      <c r="A23" t="str">
        <f>_xlfn.TEXTJOIN("",TRUE,Input!$B$2,ROW(My_Audit!A22))</f>
        <v>X22</v>
      </c>
    </row>
    <row r="24" spans="1:1">
      <c r="A24" t="str">
        <f>_xlfn.TEXTJOIN("",TRUE,Input!$B$2,ROW(My_Audit!A23))</f>
        <v>X23</v>
      </c>
    </row>
    <row r="25" spans="1:1">
      <c r="A25" t="str">
        <f>_xlfn.TEXTJOIN("",TRUE,Input!$B$2,ROW(My_Audit!A24))</f>
        <v>X24</v>
      </c>
    </row>
    <row r="26" spans="1:1">
      <c r="A26" t="str">
        <f>_xlfn.TEXTJOIN("",TRUE,Input!$B$2,ROW(My_Audit!A25))</f>
        <v>X25</v>
      </c>
    </row>
    <row r="27" spans="1:1">
      <c r="A27" t="str">
        <f>_xlfn.TEXTJOIN("",TRUE,Input!$B$2,ROW(My_Audit!A26))</f>
        <v>X26</v>
      </c>
    </row>
    <row r="28" spans="1:1">
      <c r="A28" t="str">
        <f>_xlfn.TEXTJOIN("",TRUE,Input!$B$2,ROW(My_Audit!A27))</f>
        <v>X27</v>
      </c>
    </row>
    <row r="29" spans="1:1">
      <c r="A29" t="str">
        <f>_xlfn.TEXTJOIN("",TRUE,Input!$B$2,ROW(My_Audit!A28))</f>
        <v>X28</v>
      </c>
    </row>
    <row r="30" spans="1:1">
      <c r="A30" t="str">
        <f>_xlfn.TEXTJOIN("",TRUE,Input!$B$2,ROW(My_Audit!A29))</f>
        <v>X29</v>
      </c>
    </row>
    <row r="31" spans="1:1">
      <c r="A31" t="str">
        <f>_xlfn.TEXTJOIN("",TRUE,Input!$B$2,ROW(My_Audit!A30))</f>
        <v>X30</v>
      </c>
    </row>
    <row r="32" spans="1:1">
      <c r="A32" t="str">
        <f>_xlfn.TEXTJOIN("",TRUE,Input!$B$2,ROW(My_Audit!A31))</f>
        <v>X31</v>
      </c>
    </row>
    <row r="33" spans="1:16">
      <c r="A33" t="str">
        <f>_xlfn.TEXTJOIN("",TRUE,Input!$B$2,ROW(My_Audit!A32))</f>
        <v>X32</v>
      </c>
    </row>
    <row r="34" spans="1:16">
      <c r="A34" t="str">
        <f>_xlfn.TEXTJOIN("",TRUE,Input!$B$2,ROW(My_Audit!A33))</f>
        <v>X33</v>
      </c>
    </row>
    <row r="35" spans="1:16">
      <c r="A35" t="str">
        <f>_xlfn.TEXTJOIN("",TRUE,Input!$B$2,ROW(My_Audit!A34))</f>
        <v>X34</v>
      </c>
    </row>
    <row r="36" spans="1:16">
      <c r="A36" t="str">
        <f>_xlfn.TEXTJOIN("",TRUE,Input!$B$2,ROW(My_Audit!A35))</f>
        <v>X35</v>
      </c>
    </row>
    <row r="37" spans="1:16">
      <c r="A37" t="str">
        <f>_xlfn.TEXTJOIN("",TRUE,Input!$B$2,ROW(My_Audit!A36))</f>
        <v>X36</v>
      </c>
    </row>
    <row r="38" spans="1:16">
      <c r="A38" t="str">
        <f>_xlfn.TEXTJOIN("",TRUE,Input!$B$2,ROW(My_Audit!A37))</f>
        <v>X37</v>
      </c>
    </row>
    <row r="39" spans="1:16">
      <c r="A39" t="str">
        <f>_xlfn.TEXTJOIN("",TRUE,Input!$B$2,ROW(My_Audit!A38))</f>
        <v>X38</v>
      </c>
    </row>
    <row r="40" spans="1:16">
      <c r="A40" t="str">
        <f>_xlfn.TEXTJOIN("",TRUE,Input!$B$2,ROW(My_Audit!A39))</f>
        <v>X39</v>
      </c>
    </row>
    <row r="41" spans="1:16">
      <c r="A41" t="str">
        <f>_xlfn.TEXTJOIN("",TRUE,Input!$B$2,ROW(My_Audit!A40))</f>
        <v>X40</v>
      </c>
    </row>
    <row r="42" spans="1:16">
      <c r="A42" t="str">
        <f>_xlfn.TEXTJOIN("",TRUE,Input!$B$2,ROW(My_Audit!A41))</f>
        <v>X41</v>
      </c>
    </row>
    <row r="43" spans="1:16">
      <c r="A43" t="str">
        <f>_xlfn.TEXTJOIN("",TRUE,Input!$B$2,ROW(My_Audit!A42))</f>
        <v>X42</v>
      </c>
    </row>
    <row r="44" spans="1:16">
      <c r="A44" t="str">
        <f>_xlfn.TEXTJOIN("",TRUE,Input!$B$2,ROW(My_Audit!A43))</f>
        <v>X43</v>
      </c>
      <c r="P44" t="str">
        <f t="shared" ref="P3:P66" si="0">_xlfn.TEXTJOIN(", ",TRUE,N44,O44)</f>
        <v/>
      </c>
    </row>
    <row r="45" spans="1:16">
      <c r="A45" t="str">
        <f>_xlfn.TEXTJOIN("",TRUE,Input!$B$2,ROW(My_Audit!A44))</f>
        <v>X44</v>
      </c>
      <c r="P45" t="str">
        <f t="shared" si="0"/>
        <v/>
      </c>
    </row>
    <row r="46" spans="1:16" ht="15.75" thickBot="1">
      <c r="A46" t="str">
        <f>_xlfn.TEXTJOIN("",TRUE,Input!$B$2,ROW(My_Audit!A45))</f>
        <v>X45</v>
      </c>
      <c r="P46" t="str">
        <f t="shared" si="0"/>
        <v/>
      </c>
    </row>
    <row r="47" spans="1:16" ht="15.75" thickBot="1">
      <c r="A47" t="str">
        <f>_xlfn.TEXTJOIN("",TRUE,Input!$B$2,ROW(My_Audit!A46))</f>
        <v>X46</v>
      </c>
      <c r="B47" s="35"/>
      <c r="C47" s="35"/>
      <c r="D47" s="35"/>
      <c r="E47" s="35"/>
      <c r="F47" s="35"/>
      <c r="G47" s="35"/>
      <c r="P47" t="str">
        <f t="shared" si="0"/>
        <v/>
      </c>
    </row>
    <row r="48" spans="1:16">
      <c r="A48" t="str">
        <f>_xlfn.TEXTJOIN("",TRUE,Input!$B$2,ROW(My_Audit!A47))</f>
        <v>X47</v>
      </c>
      <c r="P48" t="str">
        <f t="shared" si="0"/>
        <v/>
      </c>
    </row>
    <row r="49" spans="1:16">
      <c r="A49" t="str">
        <f>_xlfn.TEXTJOIN("",TRUE,Input!$B$2,ROW(My_Audit!A48))</f>
        <v>X48</v>
      </c>
      <c r="P49" t="str">
        <f t="shared" si="0"/>
        <v/>
      </c>
    </row>
    <row r="50" spans="1:16">
      <c r="A50" t="str">
        <f>_xlfn.TEXTJOIN("",TRUE,Input!$B$2,ROW(My_Audit!A49))</f>
        <v>X49</v>
      </c>
      <c r="P50" t="str">
        <f t="shared" si="0"/>
        <v/>
      </c>
    </row>
    <row r="51" spans="1:16">
      <c r="A51" t="str">
        <f>_xlfn.TEXTJOIN("",TRUE,Input!$B$2,ROW(My_Audit!A50))</f>
        <v>X50</v>
      </c>
      <c r="P51" t="str">
        <f t="shared" si="0"/>
        <v/>
      </c>
    </row>
    <row r="52" spans="1:16">
      <c r="A52" t="str">
        <f>_xlfn.TEXTJOIN("",TRUE,Input!$B$2,ROW(My_Audit!A51))</f>
        <v>X51</v>
      </c>
      <c r="P52" t="str">
        <f t="shared" si="0"/>
        <v/>
      </c>
    </row>
    <row r="53" spans="1:16">
      <c r="A53" t="str">
        <f>_xlfn.TEXTJOIN("",TRUE,Input!$B$2,ROW(My_Audit!A52))</f>
        <v>X52</v>
      </c>
      <c r="P53" t="str">
        <f t="shared" si="0"/>
        <v/>
      </c>
    </row>
    <row r="54" spans="1:16">
      <c r="A54" t="str">
        <f>_xlfn.TEXTJOIN("",TRUE,Input!$B$2,ROW(My_Audit!A53))</f>
        <v>X53</v>
      </c>
      <c r="P54" t="str">
        <f t="shared" si="0"/>
        <v/>
      </c>
    </row>
    <row r="55" spans="1:16">
      <c r="A55" t="str">
        <f>_xlfn.TEXTJOIN("",TRUE,Input!$B$2,ROW(My_Audit!A54))</f>
        <v>X54</v>
      </c>
      <c r="P55" t="str">
        <f t="shared" si="0"/>
        <v/>
      </c>
    </row>
    <row r="56" spans="1:16">
      <c r="A56" t="str">
        <f>_xlfn.TEXTJOIN("",TRUE,Input!$B$2,ROW(My_Audit!A55))</f>
        <v>X55</v>
      </c>
      <c r="P56" t="str">
        <f t="shared" si="0"/>
        <v/>
      </c>
    </row>
    <row r="57" spans="1:16">
      <c r="A57" t="str">
        <f>_xlfn.TEXTJOIN("",TRUE,Input!$B$2,ROW(My_Audit!A56))</f>
        <v>X56</v>
      </c>
      <c r="P57" t="str">
        <f t="shared" si="0"/>
        <v/>
      </c>
    </row>
    <row r="58" spans="1:16">
      <c r="A58" t="str">
        <f>_xlfn.TEXTJOIN("",TRUE,Input!$B$2,ROW(My_Audit!A57))</f>
        <v>X57</v>
      </c>
      <c r="P58" t="str">
        <f t="shared" si="0"/>
        <v/>
      </c>
    </row>
    <row r="59" spans="1:16">
      <c r="A59" t="str">
        <f>_xlfn.TEXTJOIN("",TRUE,Input!$B$2,ROW(My_Audit!A58))</f>
        <v>X58</v>
      </c>
      <c r="P59" t="str">
        <f t="shared" si="0"/>
        <v/>
      </c>
    </row>
    <row r="60" spans="1:16">
      <c r="A60" t="str">
        <f>_xlfn.TEXTJOIN("",TRUE,Input!$B$2,ROW(My_Audit!A59))</f>
        <v>X59</v>
      </c>
      <c r="P60" t="str">
        <f t="shared" si="0"/>
        <v/>
      </c>
    </row>
    <row r="61" spans="1:16">
      <c r="A61" t="str">
        <f>_xlfn.TEXTJOIN("",TRUE,Input!$B$2,ROW(My_Audit!A60))</f>
        <v>X60</v>
      </c>
      <c r="P61" t="str">
        <f t="shared" si="0"/>
        <v/>
      </c>
    </row>
    <row r="62" spans="1:16">
      <c r="A62" t="str">
        <f>_xlfn.TEXTJOIN("",TRUE,Input!$B$2,ROW(My_Audit!A61))</f>
        <v>X61</v>
      </c>
      <c r="P62" t="str">
        <f t="shared" si="0"/>
        <v/>
      </c>
    </row>
    <row r="63" spans="1:16">
      <c r="A63" t="str">
        <f>_xlfn.TEXTJOIN("",TRUE,Input!$B$2,ROW(My_Audit!A62))</f>
        <v>X62</v>
      </c>
      <c r="P63" t="str">
        <f t="shared" si="0"/>
        <v/>
      </c>
    </row>
    <row r="64" spans="1:16">
      <c r="A64" t="str">
        <f>_xlfn.TEXTJOIN("",TRUE,Input!$B$2,ROW(My_Audit!A63))</f>
        <v>X63</v>
      </c>
      <c r="P64" t="str">
        <f t="shared" si="0"/>
        <v/>
      </c>
    </row>
    <row r="65" spans="1:16">
      <c r="A65" t="str">
        <f>_xlfn.TEXTJOIN("",TRUE,Input!$B$2,ROW(My_Audit!A64))</f>
        <v>X64</v>
      </c>
      <c r="P65" t="str">
        <f t="shared" si="0"/>
        <v/>
      </c>
    </row>
    <row r="66" spans="1:16">
      <c r="A66" t="str">
        <f>_xlfn.TEXTJOIN("",TRUE,Input!$B$2,ROW(My_Audit!A65))</f>
        <v>X65</v>
      </c>
      <c r="P66" t="str">
        <f t="shared" si="0"/>
        <v/>
      </c>
    </row>
    <row r="67" spans="1:16">
      <c r="P67" t="str">
        <f t="shared" ref="P67:P130" si="1">_xlfn.TEXTJOIN(", ",TRUE,N67,O67)</f>
        <v/>
      </c>
    </row>
    <row r="68" spans="1:16">
      <c r="P68" t="str">
        <f t="shared" si="1"/>
        <v/>
      </c>
    </row>
    <row r="69" spans="1:16">
      <c r="P69" t="str">
        <f t="shared" si="1"/>
        <v/>
      </c>
    </row>
    <row r="70" spans="1:16">
      <c r="P70" t="str">
        <f t="shared" si="1"/>
        <v/>
      </c>
    </row>
    <row r="71" spans="1:16">
      <c r="P71" t="str">
        <f t="shared" si="1"/>
        <v/>
      </c>
    </row>
    <row r="72" spans="1:16">
      <c r="P72" t="str">
        <f t="shared" si="1"/>
        <v/>
      </c>
    </row>
    <row r="73" spans="1:16">
      <c r="P73" t="str">
        <f t="shared" si="1"/>
        <v/>
      </c>
    </row>
    <row r="74" spans="1:16">
      <c r="P74" t="str">
        <f t="shared" si="1"/>
        <v/>
      </c>
    </row>
    <row r="75" spans="1:16">
      <c r="P75" t="str">
        <f t="shared" si="1"/>
        <v/>
      </c>
    </row>
    <row r="76" spans="1:16">
      <c r="P76" t="str">
        <f t="shared" si="1"/>
        <v/>
      </c>
    </row>
    <row r="77" spans="1:16">
      <c r="P77" t="str">
        <f t="shared" si="1"/>
        <v/>
      </c>
    </row>
    <row r="78" spans="1:16">
      <c r="P78" t="str">
        <f t="shared" si="1"/>
        <v/>
      </c>
    </row>
    <row r="79" spans="1:16">
      <c r="P79" t="str">
        <f t="shared" si="1"/>
        <v/>
      </c>
    </row>
    <row r="80" spans="1:16">
      <c r="P80" t="str">
        <f t="shared" si="1"/>
        <v/>
      </c>
    </row>
    <row r="81" spans="16:16">
      <c r="P81" t="str">
        <f t="shared" si="1"/>
        <v/>
      </c>
    </row>
    <row r="82" spans="16:16">
      <c r="P82" t="str">
        <f t="shared" si="1"/>
        <v/>
      </c>
    </row>
    <row r="83" spans="16:16">
      <c r="P83" t="str">
        <f t="shared" si="1"/>
        <v/>
      </c>
    </row>
    <row r="84" spans="16:16">
      <c r="P84" t="str">
        <f t="shared" si="1"/>
        <v/>
      </c>
    </row>
    <row r="85" spans="16:16">
      <c r="P85" t="str">
        <f t="shared" si="1"/>
        <v/>
      </c>
    </row>
    <row r="86" spans="16:16">
      <c r="P86" t="str">
        <f t="shared" si="1"/>
        <v/>
      </c>
    </row>
    <row r="87" spans="16:16">
      <c r="P87" t="str">
        <f t="shared" si="1"/>
        <v/>
      </c>
    </row>
    <row r="88" spans="16:16">
      <c r="P88" t="str">
        <f t="shared" si="1"/>
        <v/>
      </c>
    </row>
    <row r="89" spans="16:16">
      <c r="P89" t="str">
        <f t="shared" si="1"/>
        <v/>
      </c>
    </row>
    <row r="90" spans="16:16">
      <c r="P90" t="str">
        <f t="shared" si="1"/>
        <v/>
      </c>
    </row>
    <row r="91" spans="16:16">
      <c r="P91" t="str">
        <f t="shared" si="1"/>
        <v/>
      </c>
    </row>
    <row r="92" spans="16:16">
      <c r="P92" t="str">
        <f t="shared" si="1"/>
        <v/>
      </c>
    </row>
    <row r="93" spans="16:16">
      <c r="P93" t="str">
        <f t="shared" si="1"/>
        <v/>
      </c>
    </row>
    <row r="94" spans="16:16">
      <c r="P94" t="str">
        <f t="shared" si="1"/>
        <v/>
      </c>
    </row>
    <row r="95" spans="16:16">
      <c r="P95" t="str">
        <f t="shared" si="1"/>
        <v/>
      </c>
    </row>
    <row r="96" spans="16:16">
      <c r="P96" t="str">
        <f t="shared" si="1"/>
        <v/>
      </c>
    </row>
    <row r="97" spans="16:16">
      <c r="P97" t="str">
        <f t="shared" si="1"/>
        <v/>
      </c>
    </row>
    <row r="98" spans="16:16">
      <c r="P98" t="str">
        <f t="shared" si="1"/>
        <v/>
      </c>
    </row>
    <row r="99" spans="16:16">
      <c r="P99" t="str">
        <f t="shared" si="1"/>
        <v/>
      </c>
    </row>
    <row r="100" spans="16:16">
      <c r="P100" t="str">
        <f t="shared" si="1"/>
        <v/>
      </c>
    </row>
    <row r="101" spans="16:16">
      <c r="P101" t="str">
        <f t="shared" si="1"/>
        <v/>
      </c>
    </row>
    <row r="102" spans="16:16">
      <c r="P102" t="str">
        <f t="shared" si="1"/>
        <v/>
      </c>
    </row>
    <row r="103" spans="16:16">
      <c r="P103" t="str">
        <f t="shared" si="1"/>
        <v/>
      </c>
    </row>
    <row r="104" spans="16:16">
      <c r="P104" t="str">
        <f t="shared" si="1"/>
        <v/>
      </c>
    </row>
    <row r="105" spans="16:16">
      <c r="P105" t="str">
        <f t="shared" si="1"/>
        <v/>
      </c>
    </row>
    <row r="106" spans="16:16">
      <c r="P106" t="str">
        <f t="shared" si="1"/>
        <v/>
      </c>
    </row>
    <row r="107" spans="16:16">
      <c r="P107" t="str">
        <f t="shared" si="1"/>
        <v/>
      </c>
    </row>
    <row r="108" spans="16:16">
      <c r="P108" t="str">
        <f t="shared" si="1"/>
        <v/>
      </c>
    </row>
    <row r="109" spans="16:16">
      <c r="P109" t="str">
        <f t="shared" si="1"/>
        <v/>
      </c>
    </row>
    <row r="110" spans="16:16">
      <c r="P110" t="str">
        <f t="shared" si="1"/>
        <v/>
      </c>
    </row>
    <row r="111" spans="16:16">
      <c r="P111" t="str">
        <f t="shared" si="1"/>
        <v/>
      </c>
    </row>
    <row r="112" spans="16:16">
      <c r="P112" t="str">
        <f t="shared" si="1"/>
        <v/>
      </c>
    </row>
    <row r="113" spans="16:16">
      <c r="P113" t="str">
        <f t="shared" si="1"/>
        <v/>
      </c>
    </row>
    <row r="114" spans="16:16">
      <c r="P114" t="str">
        <f t="shared" si="1"/>
        <v/>
      </c>
    </row>
    <row r="115" spans="16:16">
      <c r="P115" t="str">
        <f t="shared" si="1"/>
        <v/>
      </c>
    </row>
    <row r="116" spans="16:16">
      <c r="P116" t="str">
        <f t="shared" si="1"/>
        <v/>
      </c>
    </row>
    <row r="117" spans="16:16">
      <c r="P117" t="str">
        <f t="shared" si="1"/>
        <v/>
      </c>
    </row>
    <row r="118" spans="16:16">
      <c r="P118" t="str">
        <f t="shared" si="1"/>
        <v/>
      </c>
    </row>
    <row r="119" spans="16:16">
      <c r="P119" t="str">
        <f t="shared" si="1"/>
        <v/>
      </c>
    </row>
    <row r="120" spans="16:16">
      <c r="P120" t="str">
        <f t="shared" si="1"/>
        <v/>
      </c>
    </row>
    <row r="121" spans="16:16">
      <c r="P121" t="str">
        <f t="shared" si="1"/>
        <v/>
      </c>
    </row>
    <row r="122" spans="16:16">
      <c r="P122" t="str">
        <f t="shared" si="1"/>
        <v/>
      </c>
    </row>
    <row r="123" spans="16:16">
      <c r="P123" t="str">
        <f t="shared" si="1"/>
        <v/>
      </c>
    </row>
    <row r="124" spans="16:16">
      <c r="P124" t="str">
        <f t="shared" si="1"/>
        <v/>
      </c>
    </row>
    <row r="125" spans="16:16">
      <c r="P125" t="str">
        <f t="shared" si="1"/>
        <v/>
      </c>
    </row>
    <row r="126" spans="16:16">
      <c r="P126" t="str">
        <f t="shared" si="1"/>
        <v/>
      </c>
    </row>
    <row r="127" spans="16:16">
      <c r="P127" t="str">
        <f t="shared" si="1"/>
        <v/>
      </c>
    </row>
    <row r="128" spans="16:16">
      <c r="P128" t="str">
        <f t="shared" si="1"/>
        <v/>
      </c>
    </row>
    <row r="129" spans="16:16">
      <c r="P129" t="str">
        <f t="shared" si="1"/>
        <v/>
      </c>
    </row>
    <row r="130" spans="16:16">
      <c r="P130" t="str">
        <f t="shared" si="1"/>
        <v/>
      </c>
    </row>
    <row r="131" spans="16:16">
      <c r="P131" t="str">
        <f t="shared" ref="P131:P194" si="2">_xlfn.TEXTJOIN(", ",TRUE,N131,O131)</f>
        <v/>
      </c>
    </row>
    <row r="132" spans="16:16">
      <c r="P132" t="str">
        <f t="shared" si="2"/>
        <v/>
      </c>
    </row>
    <row r="133" spans="16:16">
      <c r="P133" t="str">
        <f t="shared" si="2"/>
        <v/>
      </c>
    </row>
    <row r="134" spans="16:16">
      <c r="P134" t="str">
        <f t="shared" si="2"/>
        <v/>
      </c>
    </row>
    <row r="135" spans="16:16">
      <c r="P135" t="str">
        <f t="shared" si="2"/>
        <v/>
      </c>
    </row>
    <row r="136" spans="16:16">
      <c r="P136" t="str">
        <f t="shared" si="2"/>
        <v/>
      </c>
    </row>
    <row r="137" spans="16:16">
      <c r="P137" t="str">
        <f t="shared" si="2"/>
        <v/>
      </c>
    </row>
    <row r="138" spans="16:16">
      <c r="P138" t="str">
        <f t="shared" si="2"/>
        <v/>
      </c>
    </row>
    <row r="139" spans="16:16">
      <c r="P139" t="str">
        <f t="shared" si="2"/>
        <v/>
      </c>
    </row>
    <row r="140" spans="16:16">
      <c r="P140" t="str">
        <f t="shared" si="2"/>
        <v/>
      </c>
    </row>
    <row r="141" spans="16:16">
      <c r="P141" t="str">
        <f t="shared" si="2"/>
        <v/>
      </c>
    </row>
    <row r="142" spans="16:16">
      <c r="P142" t="str">
        <f t="shared" si="2"/>
        <v/>
      </c>
    </row>
    <row r="143" spans="16:16">
      <c r="P143" t="str">
        <f t="shared" si="2"/>
        <v/>
      </c>
    </row>
    <row r="144" spans="16:16">
      <c r="P144" t="str">
        <f t="shared" si="2"/>
        <v/>
      </c>
    </row>
    <row r="145" spans="16:16">
      <c r="P145" t="str">
        <f t="shared" si="2"/>
        <v/>
      </c>
    </row>
    <row r="146" spans="16:16">
      <c r="P146" t="str">
        <f t="shared" si="2"/>
        <v/>
      </c>
    </row>
    <row r="147" spans="16:16">
      <c r="P147" t="str">
        <f t="shared" si="2"/>
        <v/>
      </c>
    </row>
    <row r="148" spans="16:16">
      <c r="P148" t="str">
        <f t="shared" si="2"/>
        <v/>
      </c>
    </row>
    <row r="149" spans="16:16">
      <c r="P149" t="str">
        <f t="shared" si="2"/>
        <v/>
      </c>
    </row>
    <row r="150" spans="16:16">
      <c r="P150" t="str">
        <f t="shared" si="2"/>
        <v/>
      </c>
    </row>
    <row r="151" spans="16:16">
      <c r="P151" t="str">
        <f t="shared" si="2"/>
        <v/>
      </c>
    </row>
    <row r="152" spans="16:16">
      <c r="P152" t="str">
        <f t="shared" si="2"/>
        <v/>
      </c>
    </row>
    <row r="153" spans="16:16">
      <c r="P153" t="str">
        <f t="shared" si="2"/>
        <v/>
      </c>
    </row>
    <row r="154" spans="16:16">
      <c r="P154" t="str">
        <f t="shared" si="2"/>
        <v/>
      </c>
    </row>
    <row r="155" spans="16:16">
      <c r="P155" t="str">
        <f t="shared" si="2"/>
        <v/>
      </c>
    </row>
    <row r="156" spans="16:16">
      <c r="P156" t="str">
        <f t="shared" si="2"/>
        <v/>
      </c>
    </row>
    <row r="157" spans="16:16">
      <c r="P157" t="str">
        <f t="shared" si="2"/>
        <v/>
      </c>
    </row>
    <row r="158" spans="16:16">
      <c r="P158" t="str">
        <f t="shared" si="2"/>
        <v/>
      </c>
    </row>
    <row r="159" spans="16:16">
      <c r="P159" t="str">
        <f t="shared" si="2"/>
        <v/>
      </c>
    </row>
    <row r="160" spans="16:16">
      <c r="P160" t="str">
        <f t="shared" si="2"/>
        <v/>
      </c>
    </row>
    <row r="161" spans="16:16">
      <c r="P161" t="str">
        <f t="shared" si="2"/>
        <v/>
      </c>
    </row>
    <row r="162" spans="16:16">
      <c r="P162" t="str">
        <f t="shared" si="2"/>
        <v/>
      </c>
    </row>
    <row r="163" spans="16:16">
      <c r="P163" t="str">
        <f t="shared" si="2"/>
        <v/>
      </c>
    </row>
    <row r="164" spans="16:16">
      <c r="P164" t="str">
        <f t="shared" si="2"/>
        <v/>
      </c>
    </row>
    <row r="165" spans="16:16">
      <c r="P165" t="str">
        <f t="shared" si="2"/>
        <v/>
      </c>
    </row>
    <row r="166" spans="16:16">
      <c r="P166" t="str">
        <f t="shared" si="2"/>
        <v/>
      </c>
    </row>
    <row r="167" spans="16:16">
      <c r="P167" t="str">
        <f t="shared" si="2"/>
        <v/>
      </c>
    </row>
    <row r="168" spans="16:16">
      <c r="P168" t="str">
        <f t="shared" si="2"/>
        <v/>
      </c>
    </row>
    <row r="169" spans="16:16">
      <c r="P169" t="str">
        <f t="shared" si="2"/>
        <v/>
      </c>
    </row>
    <row r="170" spans="16:16">
      <c r="P170" t="str">
        <f t="shared" si="2"/>
        <v/>
      </c>
    </row>
    <row r="171" spans="16:16">
      <c r="P171" t="str">
        <f t="shared" si="2"/>
        <v/>
      </c>
    </row>
    <row r="172" spans="16:16">
      <c r="P172" t="str">
        <f t="shared" si="2"/>
        <v/>
      </c>
    </row>
    <row r="173" spans="16:16">
      <c r="P173" t="str">
        <f t="shared" si="2"/>
        <v/>
      </c>
    </row>
    <row r="174" spans="16:16">
      <c r="P174" t="str">
        <f t="shared" si="2"/>
        <v/>
      </c>
    </row>
    <row r="175" spans="16:16">
      <c r="P175" t="str">
        <f t="shared" si="2"/>
        <v/>
      </c>
    </row>
    <row r="176" spans="16:16">
      <c r="P176" t="str">
        <f t="shared" si="2"/>
        <v/>
      </c>
    </row>
    <row r="177" spans="16:16">
      <c r="P177" t="str">
        <f t="shared" si="2"/>
        <v/>
      </c>
    </row>
    <row r="178" spans="16:16">
      <c r="P178" t="str">
        <f t="shared" si="2"/>
        <v/>
      </c>
    </row>
    <row r="179" spans="16:16">
      <c r="P179" t="str">
        <f t="shared" si="2"/>
        <v/>
      </c>
    </row>
    <row r="180" spans="16:16">
      <c r="P180" t="str">
        <f t="shared" si="2"/>
        <v/>
      </c>
    </row>
    <row r="181" spans="16:16">
      <c r="P181" t="str">
        <f t="shared" si="2"/>
        <v/>
      </c>
    </row>
    <row r="182" spans="16:16">
      <c r="P182" t="str">
        <f t="shared" si="2"/>
        <v/>
      </c>
    </row>
    <row r="183" spans="16:16">
      <c r="P183" t="str">
        <f t="shared" si="2"/>
        <v/>
      </c>
    </row>
    <row r="184" spans="16:16">
      <c r="P184" t="str">
        <f t="shared" si="2"/>
        <v/>
      </c>
    </row>
    <row r="185" spans="16:16">
      <c r="P185" t="str">
        <f t="shared" si="2"/>
        <v/>
      </c>
    </row>
    <row r="186" spans="16:16">
      <c r="P186" t="str">
        <f t="shared" si="2"/>
        <v/>
      </c>
    </row>
    <row r="187" spans="16:16">
      <c r="P187" t="str">
        <f t="shared" si="2"/>
        <v/>
      </c>
    </row>
    <row r="188" spans="16:16">
      <c r="P188" t="str">
        <f t="shared" si="2"/>
        <v/>
      </c>
    </row>
    <row r="189" spans="16:16">
      <c r="P189" t="str">
        <f t="shared" si="2"/>
        <v/>
      </c>
    </row>
    <row r="190" spans="16:16">
      <c r="P190" t="str">
        <f t="shared" si="2"/>
        <v/>
      </c>
    </row>
    <row r="191" spans="16:16">
      <c r="P191" t="str">
        <f t="shared" si="2"/>
        <v/>
      </c>
    </row>
    <row r="192" spans="16:16">
      <c r="P192" t="str">
        <f t="shared" si="2"/>
        <v/>
      </c>
    </row>
    <row r="193" spans="16:16">
      <c r="P193" t="str">
        <f t="shared" si="2"/>
        <v/>
      </c>
    </row>
    <row r="194" spans="16:16">
      <c r="P194" t="str">
        <f t="shared" si="2"/>
        <v/>
      </c>
    </row>
    <row r="195" spans="16:16">
      <c r="P195" t="str">
        <f t="shared" ref="P195:P258" si="3">_xlfn.TEXTJOIN(", ",TRUE,N195,O195)</f>
        <v/>
      </c>
    </row>
    <row r="196" spans="16:16">
      <c r="P196" t="str">
        <f t="shared" si="3"/>
        <v/>
      </c>
    </row>
    <row r="197" spans="16:16">
      <c r="P197" t="str">
        <f t="shared" si="3"/>
        <v/>
      </c>
    </row>
    <row r="198" spans="16:16">
      <c r="P198" t="str">
        <f t="shared" si="3"/>
        <v/>
      </c>
    </row>
    <row r="199" spans="16:16">
      <c r="P199" t="str">
        <f t="shared" si="3"/>
        <v/>
      </c>
    </row>
    <row r="200" spans="16:16">
      <c r="P200" t="str">
        <f t="shared" si="3"/>
        <v/>
      </c>
    </row>
    <row r="201" spans="16:16">
      <c r="P201" t="str">
        <f t="shared" si="3"/>
        <v/>
      </c>
    </row>
    <row r="202" spans="16:16">
      <c r="P202" t="str">
        <f t="shared" si="3"/>
        <v/>
      </c>
    </row>
    <row r="203" spans="16:16">
      <c r="P203" t="str">
        <f t="shared" si="3"/>
        <v/>
      </c>
    </row>
    <row r="204" spans="16:16">
      <c r="P204" t="str">
        <f t="shared" si="3"/>
        <v/>
      </c>
    </row>
    <row r="205" spans="16:16">
      <c r="P205" t="str">
        <f t="shared" si="3"/>
        <v/>
      </c>
    </row>
    <row r="206" spans="16:16">
      <c r="P206" t="str">
        <f t="shared" si="3"/>
        <v/>
      </c>
    </row>
    <row r="207" spans="16:16">
      <c r="P207" t="str">
        <f t="shared" si="3"/>
        <v/>
      </c>
    </row>
    <row r="208" spans="16:16">
      <c r="P208" t="str">
        <f t="shared" si="3"/>
        <v/>
      </c>
    </row>
    <row r="209" spans="16:16">
      <c r="P209" t="str">
        <f t="shared" si="3"/>
        <v/>
      </c>
    </row>
    <row r="210" spans="16:16">
      <c r="P210" t="str">
        <f t="shared" si="3"/>
        <v/>
      </c>
    </row>
    <row r="211" spans="16:16">
      <c r="P211" t="str">
        <f t="shared" si="3"/>
        <v/>
      </c>
    </row>
    <row r="212" spans="16:16">
      <c r="P212" t="str">
        <f t="shared" si="3"/>
        <v/>
      </c>
    </row>
    <row r="213" spans="16:16">
      <c r="P213" t="str">
        <f t="shared" si="3"/>
        <v/>
      </c>
    </row>
    <row r="214" spans="16:16">
      <c r="P214" t="str">
        <f t="shared" si="3"/>
        <v/>
      </c>
    </row>
    <row r="215" spans="16:16">
      <c r="P215" t="str">
        <f t="shared" si="3"/>
        <v/>
      </c>
    </row>
    <row r="216" spans="16:16">
      <c r="P216" t="str">
        <f t="shared" si="3"/>
        <v/>
      </c>
    </row>
    <row r="217" spans="16:16">
      <c r="P217" t="str">
        <f t="shared" si="3"/>
        <v/>
      </c>
    </row>
    <row r="218" spans="16:16">
      <c r="P218" t="str">
        <f t="shared" si="3"/>
        <v/>
      </c>
    </row>
    <row r="219" spans="16:16">
      <c r="P219" t="str">
        <f t="shared" si="3"/>
        <v/>
      </c>
    </row>
    <row r="220" spans="16:16">
      <c r="P220" t="str">
        <f t="shared" si="3"/>
        <v/>
      </c>
    </row>
    <row r="221" spans="16:16">
      <c r="P221" t="str">
        <f t="shared" si="3"/>
        <v/>
      </c>
    </row>
    <row r="222" spans="16:16">
      <c r="P222" t="str">
        <f t="shared" si="3"/>
        <v/>
      </c>
    </row>
    <row r="223" spans="16:16">
      <c r="P223" t="str">
        <f t="shared" si="3"/>
        <v/>
      </c>
    </row>
    <row r="224" spans="16:16">
      <c r="P224" t="str">
        <f t="shared" si="3"/>
        <v/>
      </c>
    </row>
    <row r="225" spans="16:16">
      <c r="P225" t="str">
        <f t="shared" si="3"/>
        <v/>
      </c>
    </row>
    <row r="226" spans="16:16">
      <c r="P226" t="str">
        <f t="shared" si="3"/>
        <v/>
      </c>
    </row>
    <row r="227" spans="16:16">
      <c r="P227" t="str">
        <f t="shared" si="3"/>
        <v/>
      </c>
    </row>
    <row r="228" spans="16:16">
      <c r="P228" t="str">
        <f t="shared" si="3"/>
        <v/>
      </c>
    </row>
    <row r="229" spans="16:16">
      <c r="P229" t="str">
        <f t="shared" si="3"/>
        <v/>
      </c>
    </row>
    <row r="230" spans="16:16">
      <c r="P230" t="str">
        <f t="shared" si="3"/>
        <v/>
      </c>
    </row>
    <row r="231" spans="16:16">
      <c r="P231" t="str">
        <f t="shared" si="3"/>
        <v/>
      </c>
    </row>
    <row r="232" spans="16:16">
      <c r="P232" t="str">
        <f t="shared" si="3"/>
        <v/>
      </c>
    </row>
    <row r="233" spans="16:16">
      <c r="P233" t="str">
        <f t="shared" si="3"/>
        <v/>
      </c>
    </row>
    <row r="234" spans="16:16">
      <c r="P234" t="str">
        <f t="shared" si="3"/>
        <v/>
      </c>
    </row>
    <row r="235" spans="16:16">
      <c r="P235" t="str">
        <f t="shared" si="3"/>
        <v/>
      </c>
    </row>
    <row r="236" spans="16:16">
      <c r="P236" t="str">
        <f t="shared" si="3"/>
        <v/>
      </c>
    </row>
    <row r="237" spans="16:16">
      <c r="P237" t="str">
        <f t="shared" si="3"/>
        <v/>
      </c>
    </row>
    <row r="238" spans="16:16">
      <c r="P238" t="str">
        <f t="shared" si="3"/>
        <v/>
      </c>
    </row>
    <row r="239" spans="16:16">
      <c r="P239" t="str">
        <f t="shared" si="3"/>
        <v/>
      </c>
    </row>
    <row r="240" spans="16:16">
      <c r="P240" t="str">
        <f t="shared" si="3"/>
        <v/>
      </c>
    </row>
    <row r="241" spans="16:16">
      <c r="P241" t="str">
        <f t="shared" si="3"/>
        <v/>
      </c>
    </row>
    <row r="242" spans="16:16">
      <c r="P242" t="str">
        <f t="shared" si="3"/>
        <v/>
      </c>
    </row>
    <row r="243" spans="16:16">
      <c r="P243" t="str">
        <f t="shared" si="3"/>
        <v/>
      </c>
    </row>
    <row r="244" spans="16:16">
      <c r="P244" t="str">
        <f t="shared" si="3"/>
        <v/>
      </c>
    </row>
    <row r="245" spans="16:16">
      <c r="P245" t="str">
        <f t="shared" si="3"/>
        <v/>
      </c>
    </row>
    <row r="246" spans="16:16">
      <c r="P246" t="str">
        <f t="shared" si="3"/>
        <v/>
      </c>
    </row>
    <row r="247" spans="16:16">
      <c r="P247" t="str">
        <f t="shared" si="3"/>
        <v/>
      </c>
    </row>
    <row r="248" spans="16:16">
      <c r="P248" t="str">
        <f t="shared" si="3"/>
        <v/>
      </c>
    </row>
    <row r="249" spans="16:16">
      <c r="P249" t="str">
        <f t="shared" si="3"/>
        <v/>
      </c>
    </row>
    <row r="250" spans="16:16">
      <c r="P250" t="str">
        <f t="shared" si="3"/>
        <v/>
      </c>
    </row>
    <row r="251" spans="16:16">
      <c r="P251" t="str">
        <f t="shared" si="3"/>
        <v/>
      </c>
    </row>
    <row r="252" spans="16:16">
      <c r="P252" t="str">
        <f t="shared" si="3"/>
        <v/>
      </c>
    </row>
    <row r="253" spans="16:16">
      <c r="P253" t="str">
        <f t="shared" si="3"/>
        <v/>
      </c>
    </row>
    <row r="254" spans="16:16">
      <c r="P254" t="str">
        <f t="shared" si="3"/>
        <v/>
      </c>
    </row>
    <row r="255" spans="16:16">
      <c r="P255" t="str">
        <f t="shared" si="3"/>
        <v/>
      </c>
    </row>
    <row r="256" spans="16:16">
      <c r="P256" t="str">
        <f t="shared" si="3"/>
        <v/>
      </c>
    </row>
    <row r="257" spans="16:16">
      <c r="P257" t="str">
        <f t="shared" si="3"/>
        <v/>
      </c>
    </row>
    <row r="258" spans="16:16">
      <c r="P258" t="str">
        <f t="shared" si="3"/>
        <v/>
      </c>
    </row>
    <row r="259" spans="16:16">
      <c r="P259" t="str">
        <f t="shared" ref="P259:P322" si="4">_xlfn.TEXTJOIN(", ",TRUE,N259,O259)</f>
        <v/>
      </c>
    </row>
    <row r="260" spans="16:16">
      <c r="P260" t="str">
        <f t="shared" si="4"/>
        <v/>
      </c>
    </row>
    <row r="261" spans="16:16">
      <c r="P261" t="str">
        <f t="shared" si="4"/>
        <v/>
      </c>
    </row>
    <row r="262" spans="16:16">
      <c r="P262" t="str">
        <f t="shared" si="4"/>
        <v/>
      </c>
    </row>
    <row r="263" spans="16:16">
      <c r="P263" t="str">
        <f t="shared" si="4"/>
        <v/>
      </c>
    </row>
    <row r="264" spans="16:16">
      <c r="P264" t="str">
        <f t="shared" si="4"/>
        <v/>
      </c>
    </row>
    <row r="265" spans="16:16">
      <c r="P265" t="str">
        <f t="shared" si="4"/>
        <v/>
      </c>
    </row>
    <row r="266" spans="16:16">
      <c r="P266" t="str">
        <f t="shared" si="4"/>
        <v/>
      </c>
    </row>
    <row r="267" spans="16:16">
      <c r="P267" t="str">
        <f t="shared" si="4"/>
        <v/>
      </c>
    </row>
    <row r="268" spans="16:16">
      <c r="P268" t="str">
        <f t="shared" si="4"/>
        <v/>
      </c>
    </row>
    <row r="269" spans="16:16">
      <c r="P269" t="str">
        <f t="shared" si="4"/>
        <v/>
      </c>
    </row>
    <row r="270" spans="16:16">
      <c r="P270" t="str">
        <f t="shared" si="4"/>
        <v/>
      </c>
    </row>
    <row r="271" spans="16:16">
      <c r="P271" t="str">
        <f t="shared" si="4"/>
        <v/>
      </c>
    </row>
    <row r="272" spans="16:16">
      <c r="P272" t="str">
        <f t="shared" si="4"/>
        <v/>
      </c>
    </row>
    <row r="273" spans="16:16">
      <c r="P273" t="str">
        <f t="shared" si="4"/>
        <v/>
      </c>
    </row>
    <row r="274" spans="16:16">
      <c r="P274" t="str">
        <f t="shared" si="4"/>
        <v/>
      </c>
    </row>
    <row r="275" spans="16:16">
      <c r="P275" t="str">
        <f t="shared" si="4"/>
        <v/>
      </c>
    </row>
    <row r="276" spans="16:16">
      <c r="P276" t="str">
        <f t="shared" si="4"/>
        <v/>
      </c>
    </row>
    <row r="277" spans="16:16">
      <c r="P277" t="str">
        <f t="shared" si="4"/>
        <v/>
      </c>
    </row>
    <row r="278" spans="16:16">
      <c r="P278" t="str">
        <f t="shared" si="4"/>
        <v/>
      </c>
    </row>
    <row r="279" spans="16:16">
      <c r="P279" t="str">
        <f t="shared" si="4"/>
        <v/>
      </c>
    </row>
    <row r="280" spans="16:16">
      <c r="P280" t="str">
        <f t="shared" si="4"/>
        <v/>
      </c>
    </row>
    <row r="281" spans="16:16">
      <c r="P281" t="str">
        <f t="shared" si="4"/>
        <v/>
      </c>
    </row>
    <row r="282" spans="16:16">
      <c r="P282" t="str">
        <f t="shared" si="4"/>
        <v/>
      </c>
    </row>
    <row r="283" spans="16:16">
      <c r="P283" t="str">
        <f t="shared" si="4"/>
        <v/>
      </c>
    </row>
    <row r="284" spans="16:16">
      <c r="P284" t="str">
        <f t="shared" si="4"/>
        <v/>
      </c>
    </row>
    <row r="285" spans="16:16">
      <c r="P285" t="str">
        <f t="shared" si="4"/>
        <v/>
      </c>
    </row>
    <row r="286" spans="16:16">
      <c r="P286" t="str">
        <f t="shared" si="4"/>
        <v/>
      </c>
    </row>
    <row r="287" spans="16:16">
      <c r="P287" t="str">
        <f t="shared" si="4"/>
        <v/>
      </c>
    </row>
    <row r="288" spans="16:16">
      <c r="P288" t="str">
        <f t="shared" si="4"/>
        <v/>
      </c>
    </row>
    <row r="289" spans="16:16">
      <c r="P289" t="str">
        <f t="shared" si="4"/>
        <v/>
      </c>
    </row>
    <row r="290" spans="16:16">
      <c r="P290" t="str">
        <f t="shared" si="4"/>
        <v/>
      </c>
    </row>
    <row r="291" spans="16:16">
      <c r="P291" t="str">
        <f t="shared" si="4"/>
        <v/>
      </c>
    </row>
    <row r="292" spans="16:16">
      <c r="P292" t="str">
        <f t="shared" si="4"/>
        <v/>
      </c>
    </row>
    <row r="293" spans="16:16">
      <c r="P293" t="str">
        <f t="shared" si="4"/>
        <v/>
      </c>
    </row>
    <row r="294" spans="16:16">
      <c r="P294" t="str">
        <f t="shared" si="4"/>
        <v/>
      </c>
    </row>
    <row r="295" spans="16:16">
      <c r="P295" t="str">
        <f t="shared" si="4"/>
        <v/>
      </c>
    </row>
    <row r="296" spans="16:16">
      <c r="P296" t="str">
        <f t="shared" si="4"/>
        <v/>
      </c>
    </row>
    <row r="297" spans="16:16">
      <c r="P297" t="str">
        <f t="shared" si="4"/>
        <v/>
      </c>
    </row>
    <row r="298" spans="16:16">
      <c r="P298" t="str">
        <f t="shared" si="4"/>
        <v/>
      </c>
    </row>
    <row r="299" spans="16:16">
      <c r="P299" t="str">
        <f t="shared" si="4"/>
        <v/>
      </c>
    </row>
    <row r="300" spans="16:16">
      <c r="P300" t="str">
        <f t="shared" si="4"/>
        <v/>
      </c>
    </row>
    <row r="301" spans="16:16">
      <c r="P301" t="str">
        <f t="shared" si="4"/>
        <v/>
      </c>
    </row>
    <row r="302" spans="16:16">
      <c r="P302" t="str">
        <f t="shared" si="4"/>
        <v/>
      </c>
    </row>
    <row r="303" spans="16:16">
      <c r="P303" t="str">
        <f t="shared" si="4"/>
        <v/>
      </c>
    </row>
    <row r="304" spans="16:16">
      <c r="P304" t="str">
        <f t="shared" si="4"/>
        <v/>
      </c>
    </row>
    <row r="305" spans="16:16">
      <c r="P305" t="str">
        <f t="shared" si="4"/>
        <v/>
      </c>
    </row>
    <row r="306" spans="16:16">
      <c r="P306" t="str">
        <f t="shared" si="4"/>
        <v/>
      </c>
    </row>
    <row r="307" spans="16:16">
      <c r="P307" t="str">
        <f t="shared" si="4"/>
        <v/>
      </c>
    </row>
    <row r="308" spans="16:16">
      <c r="P308" t="str">
        <f t="shared" si="4"/>
        <v/>
      </c>
    </row>
    <row r="309" spans="16:16">
      <c r="P309" t="str">
        <f t="shared" si="4"/>
        <v/>
      </c>
    </row>
    <row r="310" spans="16:16">
      <c r="P310" t="str">
        <f t="shared" si="4"/>
        <v/>
      </c>
    </row>
    <row r="311" spans="16:16">
      <c r="P311" t="str">
        <f t="shared" si="4"/>
        <v/>
      </c>
    </row>
    <row r="312" spans="16:16">
      <c r="P312" t="str">
        <f t="shared" si="4"/>
        <v/>
      </c>
    </row>
    <row r="313" spans="16:16">
      <c r="P313" t="str">
        <f t="shared" si="4"/>
        <v/>
      </c>
    </row>
    <row r="314" spans="16:16">
      <c r="P314" t="str">
        <f t="shared" si="4"/>
        <v/>
      </c>
    </row>
    <row r="315" spans="16:16">
      <c r="P315" t="str">
        <f t="shared" si="4"/>
        <v/>
      </c>
    </row>
    <row r="316" spans="16:16">
      <c r="P316" t="str">
        <f t="shared" si="4"/>
        <v/>
      </c>
    </row>
    <row r="317" spans="16:16">
      <c r="P317" t="str">
        <f t="shared" si="4"/>
        <v/>
      </c>
    </row>
    <row r="318" spans="16:16">
      <c r="P318" t="str">
        <f t="shared" si="4"/>
        <v/>
      </c>
    </row>
    <row r="319" spans="16:16">
      <c r="P319" t="str">
        <f t="shared" si="4"/>
        <v/>
      </c>
    </row>
    <row r="320" spans="16:16">
      <c r="P320" t="str">
        <f t="shared" si="4"/>
        <v/>
      </c>
    </row>
    <row r="321" spans="16:16">
      <c r="P321" t="str">
        <f t="shared" si="4"/>
        <v/>
      </c>
    </row>
    <row r="322" spans="16:16">
      <c r="P322" t="str">
        <f t="shared" si="4"/>
        <v/>
      </c>
    </row>
    <row r="323" spans="16:16">
      <c r="P323" t="str">
        <f t="shared" ref="P323:P386" si="5">_xlfn.TEXTJOIN(", ",TRUE,N323,O323)</f>
        <v/>
      </c>
    </row>
    <row r="324" spans="16:16">
      <c r="P324" t="str">
        <f t="shared" si="5"/>
        <v/>
      </c>
    </row>
    <row r="325" spans="16:16">
      <c r="P325" t="str">
        <f t="shared" si="5"/>
        <v/>
      </c>
    </row>
    <row r="326" spans="16:16">
      <c r="P326" t="str">
        <f t="shared" si="5"/>
        <v/>
      </c>
    </row>
    <row r="327" spans="16:16">
      <c r="P327" t="str">
        <f t="shared" si="5"/>
        <v/>
      </c>
    </row>
    <row r="328" spans="16:16">
      <c r="P328" t="str">
        <f t="shared" si="5"/>
        <v/>
      </c>
    </row>
    <row r="329" spans="16:16">
      <c r="P329" t="str">
        <f t="shared" si="5"/>
        <v/>
      </c>
    </row>
    <row r="330" spans="16:16">
      <c r="P330" t="str">
        <f t="shared" si="5"/>
        <v/>
      </c>
    </row>
    <row r="331" spans="16:16">
      <c r="P331" t="str">
        <f t="shared" si="5"/>
        <v/>
      </c>
    </row>
    <row r="332" spans="16:16">
      <c r="P332" t="str">
        <f t="shared" si="5"/>
        <v/>
      </c>
    </row>
    <row r="333" spans="16:16">
      <c r="P333" t="str">
        <f t="shared" si="5"/>
        <v/>
      </c>
    </row>
    <row r="334" spans="16:16">
      <c r="P334" t="str">
        <f t="shared" si="5"/>
        <v/>
      </c>
    </row>
    <row r="335" spans="16:16">
      <c r="P335" t="str">
        <f t="shared" si="5"/>
        <v/>
      </c>
    </row>
    <row r="336" spans="16:16">
      <c r="P336" t="str">
        <f t="shared" si="5"/>
        <v/>
      </c>
    </row>
    <row r="337" spans="16:16">
      <c r="P337" t="str">
        <f t="shared" si="5"/>
        <v/>
      </c>
    </row>
    <row r="338" spans="16:16">
      <c r="P338" t="str">
        <f t="shared" si="5"/>
        <v/>
      </c>
    </row>
    <row r="339" spans="16:16">
      <c r="P339" t="str">
        <f t="shared" si="5"/>
        <v/>
      </c>
    </row>
    <row r="340" spans="16:16">
      <c r="P340" t="str">
        <f t="shared" si="5"/>
        <v/>
      </c>
    </row>
    <row r="341" spans="16:16">
      <c r="P341" t="str">
        <f t="shared" si="5"/>
        <v/>
      </c>
    </row>
    <row r="342" spans="16:16">
      <c r="P342" t="str">
        <f t="shared" si="5"/>
        <v/>
      </c>
    </row>
    <row r="343" spans="16:16">
      <c r="P343" t="str">
        <f t="shared" si="5"/>
        <v/>
      </c>
    </row>
    <row r="344" spans="16:16">
      <c r="P344" t="str">
        <f t="shared" si="5"/>
        <v/>
      </c>
    </row>
    <row r="345" spans="16:16">
      <c r="P345" t="str">
        <f t="shared" si="5"/>
        <v/>
      </c>
    </row>
    <row r="346" spans="16:16">
      <c r="P346" t="str">
        <f t="shared" si="5"/>
        <v/>
      </c>
    </row>
    <row r="347" spans="16:16">
      <c r="P347" t="str">
        <f t="shared" si="5"/>
        <v/>
      </c>
    </row>
    <row r="348" spans="16:16">
      <c r="P348" t="str">
        <f t="shared" si="5"/>
        <v/>
      </c>
    </row>
    <row r="349" spans="16:16">
      <c r="P349" t="str">
        <f t="shared" si="5"/>
        <v/>
      </c>
    </row>
    <row r="350" spans="16:16">
      <c r="P350" t="str">
        <f t="shared" si="5"/>
        <v/>
      </c>
    </row>
    <row r="351" spans="16:16">
      <c r="P351" t="str">
        <f t="shared" si="5"/>
        <v/>
      </c>
    </row>
    <row r="352" spans="16:16">
      <c r="P352" t="str">
        <f t="shared" si="5"/>
        <v/>
      </c>
    </row>
    <row r="353" spans="16:16">
      <c r="P353" t="str">
        <f t="shared" si="5"/>
        <v/>
      </c>
    </row>
    <row r="354" spans="16:16">
      <c r="P354" t="str">
        <f t="shared" si="5"/>
        <v/>
      </c>
    </row>
    <row r="355" spans="16:16">
      <c r="P355" t="str">
        <f t="shared" si="5"/>
        <v/>
      </c>
    </row>
    <row r="356" spans="16:16">
      <c r="P356" t="str">
        <f t="shared" si="5"/>
        <v/>
      </c>
    </row>
    <row r="357" spans="16:16">
      <c r="P357" t="str">
        <f t="shared" si="5"/>
        <v/>
      </c>
    </row>
    <row r="358" spans="16:16">
      <c r="P358" t="str">
        <f t="shared" si="5"/>
        <v/>
      </c>
    </row>
    <row r="359" spans="16:16">
      <c r="P359" t="str">
        <f t="shared" si="5"/>
        <v/>
      </c>
    </row>
    <row r="360" spans="16:16">
      <c r="P360" t="str">
        <f t="shared" si="5"/>
        <v/>
      </c>
    </row>
    <row r="361" spans="16:16">
      <c r="P361" t="str">
        <f t="shared" si="5"/>
        <v/>
      </c>
    </row>
    <row r="362" spans="16:16">
      <c r="P362" t="str">
        <f t="shared" si="5"/>
        <v/>
      </c>
    </row>
    <row r="363" spans="16:16">
      <c r="P363" t="str">
        <f t="shared" si="5"/>
        <v/>
      </c>
    </row>
    <row r="364" spans="16:16">
      <c r="P364" t="str">
        <f t="shared" si="5"/>
        <v/>
      </c>
    </row>
    <row r="365" spans="16:16">
      <c r="P365" t="str">
        <f t="shared" si="5"/>
        <v/>
      </c>
    </row>
    <row r="366" spans="16:16">
      <c r="P366" t="str">
        <f t="shared" si="5"/>
        <v/>
      </c>
    </row>
    <row r="367" spans="16:16">
      <c r="P367" t="str">
        <f t="shared" si="5"/>
        <v/>
      </c>
    </row>
    <row r="368" spans="16:16">
      <c r="P368" t="str">
        <f t="shared" si="5"/>
        <v/>
      </c>
    </row>
    <row r="369" spans="16:16">
      <c r="P369" t="str">
        <f t="shared" si="5"/>
        <v/>
      </c>
    </row>
    <row r="370" spans="16:16">
      <c r="P370" t="str">
        <f t="shared" si="5"/>
        <v/>
      </c>
    </row>
    <row r="371" spans="16:16">
      <c r="P371" t="str">
        <f t="shared" si="5"/>
        <v/>
      </c>
    </row>
    <row r="372" spans="16:16">
      <c r="P372" t="str">
        <f t="shared" si="5"/>
        <v/>
      </c>
    </row>
    <row r="373" spans="16:16">
      <c r="P373" t="str">
        <f t="shared" si="5"/>
        <v/>
      </c>
    </row>
    <row r="374" spans="16:16">
      <c r="P374" t="str">
        <f t="shared" si="5"/>
        <v/>
      </c>
    </row>
    <row r="375" spans="16:16">
      <c r="P375" t="str">
        <f t="shared" si="5"/>
        <v/>
      </c>
    </row>
    <row r="376" spans="16:16">
      <c r="P376" t="str">
        <f t="shared" si="5"/>
        <v/>
      </c>
    </row>
    <row r="377" spans="16:16">
      <c r="P377" t="str">
        <f t="shared" si="5"/>
        <v/>
      </c>
    </row>
    <row r="378" spans="16:16">
      <c r="P378" t="str">
        <f t="shared" si="5"/>
        <v/>
      </c>
    </row>
    <row r="379" spans="16:16">
      <c r="P379" t="str">
        <f t="shared" si="5"/>
        <v/>
      </c>
    </row>
    <row r="380" spans="16:16">
      <c r="P380" t="str">
        <f t="shared" si="5"/>
        <v/>
      </c>
    </row>
    <row r="381" spans="16:16">
      <c r="P381" t="str">
        <f t="shared" si="5"/>
        <v/>
      </c>
    </row>
    <row r="382" spans="16:16">
      <c r="P382" t="str">
        <f t="shared" si="5"/>
        <v/>
      </c>
    </row>
    <row r="383" spans="16:16">
      <c r="P383" t="str">
        <f t="shared" si="5"/>
        <v/>
      </c>
    </row>
    <row r="384" spans="16:16">
      <c r="P384" t="str">
        <f t="shared" si="5"/>
        <v/>
      </c>
    </row>
    <row r="385" spans="16:16">
      <c r="P385" t="str">
        <f t="shared" si="5"/>
        <v/>
      </c>
    </row>
    <row r="386" spans="16:16">
      <c r="P386" t="str">
        <f t="shared" si="5"/>
        <v/>
      </c>
    </row>
    <row r="387" spans="16:16">
      <c r="P387" t="str">
        <f t="shared" ref="P387:P450" si="6">_xlfn.TEXTJOIN(", ",TRUE,N387,O387)</f>
        <v/>
      </c>
    </row>
    <row r="388" spans="16:16">
      <c r="P388" t="str">
        <f t="shared" si="6"/>
        <v/>
      </c>
    </row>
    <row r="389" spans="16:16">
      <c r="P389" t="str">
        <f t="shared" si="6"/>
        <v/>
      </c>
    </row>
    <row r="390" spans="16:16">
      <c r="P390" t="str">
        <f t="shared" si="6"/>
        <v/>
      </c>
    </row>
    <row r="391" spans="16:16">
      <c r="P391" t="str">
        <f t="shared" si="6"/>
        <v/>
      </c>
    </row>
    <row r="392" spans="16:16">
      <c r="P392" t="str">
        <f t="shared" si="6"/>
        <v/>
      </c>
    </row>
    <row r="393" spans="16:16">
      <c r="P393" t="str">
        <f t="shared" si="6"/>
        <v/>
      </c>
    </row>
    <row r="394" spans="16:16">
      <c r="P394" t="str">
        <f t="shared" si="6"/>
        <v/>
      </c>
    </row>
    <row r="395" spans="16:16">
      <c r="P395" t="str">
        <f t="shared" si="6"/>
        <v/>
      </c>
    </row>
    <row r="396" spans="16:16">
      <c r="P396" t="str">
        <f t="shared" si="6"/>
        <v/>
      </c>
    </row>
    <row r="397" spans="16:16">
      <c r="P397" t="str">
        <f t="shared" si="6"/>
        <v/>
      </c>
    </row>
    <row r="398" spans="16:16">
      <c r="P398" t="str">
        <f t="shared" si="6"/>
        <v/>
      </c>
    </row>
    <row r="399" spans="16:16">
      <c r="P399" t="str">
        <f t="shared" si="6"/>
        <v/>
      </c>
    </row>
    <row r="400" spans="16:16">
      <c r="P400" t="str">
        <f t="shared" si="6"/>
        <v/>
      </c>
    </row>
    <row r="401" spans="16:16">
      <c r="P401" t="str">
        <f t="shared" si="6"/>
        <v/>
      </c>
    </row>
    <row r="402" spans="16:16">
      <c r="P402" t="str">
        <f t="shared" si="6"/>
        <v/>
      </c>
    </row>
    <row r="403" spans="16:16">
      <c r="P403" t="str">
        <f t="shared" si="6"/>
        <v/>
      </c>
    </row>
    <row r="404" spans="16:16">
      <c r="P404" t="str">
        <f t="shared" si="6"/>
        <v/>
      </c>
    </row>
    <row r="405" spans="16:16">
      <c r="P405" t="str">
        <f t="shared" si="6"/>
        <v/>
      </c>
    </row>
    <row r="406" spans="16:16">
      <c r="P406" t="str">
        <f t="shared" si="6"/>
        <v/>
      </c>
    </row>
    <row r="407" spans="16:16">
      <c r="P407" t="str">
        <f t="shared" si="6"/>
        <v/>
      </c>
    </row>
    <row r="408" spans="16:16">
      <c r="P408" t="str">
        <f t="shared" si="6"/>
        <v/>
      </c>
    </row>
    <row r="409" spans="16:16">
      <c r="P409" t="str">
        <f t="shared" si="6"/>
        <v/>
      </c>
    </row>
    <row r="410" spans="16:16">
      <c r="P410" t="str">
        <f t="shared" si="6"/>
        <v/>
      </c>
    </row>
    <row r="411" spans="16:16">
      <c r="P411" t="str">
        <f t="shared" si="6"/>
        <v/>
      </c>
    </row>
    <row r="412" spans="16:16">
      <c r="P412" t="str">
        <f t="shared" si="6"/>
        <v/>
      </c>
    </row>
    <row r="413" spans="16:16">
      <c r="P413" t="str">
        <f t="shared" si="6"/>
        <v/>
      </c>
    </row>
    <row r="414" spans="16:16">
      <c r="P414" t="str">
        <f t="shared" si="6"/>
        <v/>
      </c>
    </row>
    <row r="415" spans="16:16">
      <c r="P415" t="str">
        <f t="shared" si="6"/>
        <v/>
      </c>
    </row>
    <row r="416" spans="16:16">
      <c r="P416" t="str">
        <f t="shared" si="6"/>
        <v/>
      </c>
    </row>
    <row r="417" spans="16:16">
      <c r="P417" t="str">
        <f t="shared" si="6"/>
        <v/>
      </c>
    </row>
    <row r="418" spans="16:16">
      <c r="P418" t="str">
        <f t="shared" si="6"/>
        <v/>
      </c>
    </row>
    <row r="419" spans="16:16">
      <c r="P419" t="str">
        <f t="shared" si="6"/>
        <v/>
      </c>
    </row>
    <row r="420" spans="16:16">
      <c r="P420" t="str">
        <f t="shared" si="6"/>
        <v/>
      </c>
    </row>
    <row r="421" spans="16:16">
      <c r="P421" t="str">
        <f t="shared" si="6"/>
        <v/>
      </c>
    </row>
    <row r="422" spans="16:16">
      <c r="P422" t="str">
        <f t="shared" si="6"/>
        <v/>
      </c>
    </row>
    <row r="423" spans="16:16">
      <c r="P423" t="str">
        <f t="shared" si="6"/>
        <v/>
      </c>
    </row>
    <row r="424" spans="16:16">
      <c r="P424" t="str">
        <f t="shared" si="6"/>
        <v/>
      </c>
    </row>
    <row r="425" spans="16:16">
      <c r="P425" t="str">
        <f t="shared" si="6"/>
        <v/>
      </c>
    </row>
    <row r="426" spans="16:16">
      <c r="P426" t="str">
        <f t="shared" si="6"/>
        <v/>
      </c>
    </row>
    <row r="427" spans="16:16">
      <c r="P427" t="str">
        <f t="shared" si="6"/>
        <v/>
      </c>
    </row>
    <row r="428" spans="16:16">
      <c r="P428" t="str">
        <f t="shared" si="6"/>
        <v/>
      </c>
    </row>
    <row r="429" spans="16:16">
      <c r="P429" t="str">
        <f t="shared" si="6"/>
        <v/>
      </c>
    </row>
    <row r="430" spans="16:16">
      <c r="P430" t="str">
        <f t="shared" si="6"/>
        <v/>
      </c>
    </row>
    <row r="431" spans="16:16">
      <c r="P431" t="str">
        <f t="shared" si="6"/>
        <v/>
      </c>
    </row>
    <row r="432" spans="16:16">
      <c r="P432" t="str">
        <f t="shared" si="6"/>
        <v/>
      </c>
    </row>
    <row r="433" spans="16:16">
      <c r="P433" t="str">
        <f t="shared" si="6"/>
        <v/>
      </c>
    </row>
    <row r="434" spans="16:16">
      <c r="P434" t="str">
        <f t="shared" si="6"/>
        <v/>
      </c>
    </row>
    <row r="435" spans="16:16">
      <c r="P435" t="str">
        <f t="shared" si="6"/>
        <v/>
      </c>
    </row>
    <row r="436" spans="16:16">
      <c r="P436" t="str">
        <f t="shared" si="6"/>
        <v/>
      </c>
    </row>
    <row r="437" spans="16:16">
      <c r="P437" t="str">
        <f t="shared" si="6"/>
        <v/>
      </c>
    </row>
    <row r="438" spans="16:16">
      <c r="P438" t="str">
        <f t="shared" si="6"/>
        <v/>
      </c>
    </row>
    <row r="439" spans="16:16">
      <c r="P439" t="str">
        <f t="shared" si="6"/>
        <v/>
      </c>
    </row>
    <row r="440" spans="16:16">
      <c r="P440" t="str">
        <f t="shared" si="6"/>
        <v/>
      </c>
    </row>
    <row r="441" spans="16:16">
      <c r="P441" t="str">
        <f t="shared" si="6"/>
        <v/>
      </c>
    </row>
    <row r="442" spans="16:16">
      <c r="P442" t="str">
        <f t="shared" si="6"/>
        <v/>
      </c>
    </row>
    <row r="443" spans="16:16">
      <c r="P443" t="str">
        <f t="shared" si="6"/>
        <v/>
      </c>
    </row>
    <row r="444" spans="16:16">
      <c r="P444" t="str">
        <f t="shared" si="6"/>
        <v/>
      </c>
    </row>
    <row r="445" spans="16:16">
      <c r="P445" t="str">
        <f t="shared" si="6"/>
        <v/>
      </c>
    </row>
    <row r="446" spans="16:16">
      <c r="P446" t="str">
        <f t="shared" si="6"/>
        <v/>
      </c>
    </row>
    <row r="447" spans="16:16">
      <c r="P447" t="str">
        <f t="shared" si="6"/>
        <v/>
      </c>
    </row>
    <row r="448" spans="16:16">
      <c r="P448" t="str">
        <f t="shared" si="6"/>
        <v/>
      </c>
    </row>
    <row r="449" spans="16:16">
      <c r="P449" t="str">
        <f t="shared" si="6"/>
        <v/>
      </c>
    </row>
    <row r="450" spans="16:16">
      <c r="P450" t="str">
        <f t="shared" si="6"/>
        <v/>
      </c>
    </row>
    <row r="451" spans="16:16">
      <c r="P451" t="str">
        <f t="shared" ref="P451:P455" si="7">_xlfn.TEXTJOIN(", ",TRUE,N451,O451)</f>
        <v/>
      </c>
    </row>
    <row r="452" spans="16:16">
      <c r="P452" t="str">
        <f t="shared" si="7"/>
        <v/>
      </c>
    </row>
    <row r="453" spans="16:16">
      <c r="P453" t="str">
        <f t="shared" si="7"/>
        <v/>
      </c>
    </row>
    <row r="454" spans="16:16">
      <c r="P454" t="str">
        <f t="shared" si="7"/>
        <v/>
      </c>
    </row>
    <row r="455" spans="16:16">
      <c r="P455" t="str">
        <f t="shared" si="7"/>
        <v/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P101"/>
  <sheetViews>
    <sheetView workbookViewId="0">
      <selection activeCell="F13" sqref="F13"/>
    </sheetView>
  </sheetViews>
  <sheetFormatPr defaultRowHeight="15"/>
  <cols>
    <col min="1" max="1" width="144.71093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38.42578125" bestFit="1" customWidth="1"/>
    <col min="23" max="23" width="15" customWidth="1"/>
    <col min="24" max="24" width="20.140625" customWidth="1"/>
    <col min="25" max="25" width="24.7109375" style="18" bestFit="1" customWidth="1"/>
    <col min="26" max="26" width="34.5703125" bestFit="1" customWidth="1"/>
    <col min="27" max="27" width="49" bestFit="1" customWidth="1"/>
    <col min="28" max="28" width="17.42578125" customWidth="1"/>
    <col min="29" max="29" width="64.5703125" bestFit="1" customWidth="1"/>
    <col min="30" max="30" width="19.85546875" customWidth="1"/>
    <col min="31" max="31" width="38.28515625" bestFit="1" customWidth="1"/>
  </cols>
  <sheetData>
    <row r="1" spans="1:31">
      <c r="A1" s="36" t="s">
        <v>62</v>
      </c>
      <c r="B1" t="s">
        <v>63</v>
      </c>
      <c r="C1" s="36" t="s">
        <v>64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561</v>
      </c>
      <c r="Q1" t="s">
        <v>522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W1" t="s">
        <v>41</v>
      </c>
      <c r="X1" t="s">
        <v>42</v>
      </c>
      <c r="Y1" t="s">
        <v>43</v>
      </c>
      <c r="Z1" t="s">
        <v>44</v>
      </c>
      <c r="AA1" t="s">
        <v>45</v>
      </c>
      <c r="AB1" t="s">
        <v>46</v>
      </c>
      <c r="AC1" t="s">
        <v>47</v>
      </c>
      <c r="AD1" t="s">
        <v>48</v>
      </c>
      <c r="AE1" t="s">
        <v>49</v>
      </c>
    </row>
    <row r="2" spans="1:31">
      <c r="A2" s="36" t="s">
        <v>568</v>
      </c>
      <c r="B2" s="36" t="s">
        <v>527</v>
      </c>
      <c r="C2" s="36"/>
      <c r="Y2"/>
    </row>
    <row r="3" spans="1:31">
      <c r="B3" s="37" t="s">
        <v>22</v>
      </c>
      <c r="C3" s="38" t="s">
        <v>23</v>
      </c>
      <c r="Y3"/>
    </row>
    <row r="4" spans="1:31">
      <c r="B4" s="37"/>
      <c r="C4" s="38"/>
      <c r="Y4"/>
    </row>
    <row r="5" spans="1:31">
      <c r="B5" s="37"/>
      <c r="C5" s="38"/>
      <c r="Y5"/>
    </row>
    <row r="6" spans="1:31">
      <c r="B6" s="37"/>
      <c r="C6" s="38"/>
      <c r="Y6"/>
    </row>
    <row r="7" spans="1:31">
      <c r="B7" s="37"/>
      <c r="C7" s="38"/>
      <c r="Y7"/>
    </row>
    <row r="8" spans="1:31">
      <c r="B8" s="37"/>
      <c r="C8" s="38"/>
      <c r="Y8"/>
    </row>
    <row r="9" spans="1:31">
      <c r="B9" s="37"/>
      <c r="C9" s="38"/>
      <c r="Y9"/>
    </row>
    <row r="10" spans="1:31">
      <c r="B10" s="37"/>
      <c r="C10" s="38"/>
      <c r="Y10"/>
    </row>
    <row r="11" spans="1:31">
      <c r="B11" s="37"/>
      <c r="C11" s="38"/>
      <c r="Y11"/>
    </row>
    <row r="12" spans="1:31">
      <c r="B12" s="37"/>
      <c r="C12" s="38"/>
      <c r="Y12"/>
    </row>
    <row r="13" spans="1:31">
      <c r="B13" s="37"/>
      <c r="C13" s="38"/>
      <c r="Y13"/>
      <c r="AE13" s="4"/>
    </row>
    <row r="14" spans="1:31">
      <c r="B14" s="37"/>
      <c r="C14" s="38"/>
      <c r="Y14"/>
    </row>
    <row r="15" spans="1:31">
      <c r="B15" s="37"/>
      <c r="C15" s="38"/>
      <c r="Y15"/>
    </row>
    <row r="16" spans="1:31">
      <c r="B16" s="37"/>
      <c r="C16" s="38"/>
      <c r="Y16"/>
    </row>
    <row r="17" spans="2:38">
      <c r="B17" s="37"/>
      <c r="C17" s="38"/>
      <c r="Y17"/>
    </row>
    <row r="18" spans="2:38">
      <c r="B18" s="37"/>
      <c r="C18" s="38"/>
      <c r="Y18"/>
    </row>
    <row r="19" spans="2:38">
      <c r="B19" s="37"/>
      <c r="C19" s="38"/>
      <c r="Y19"/>
    </row>
    <row r="20" spans="2:38">
      <c r="B20" s="37"/>
      <c r="C20" s="38"/>
      <c r="Y20"/>
    </row>
    <row r="21" spans="2:38">
      <c r="B21" s="37"/>
      <c r="C21" s="38"/>
      <c r="Y21"/>
    </row>
    <row r="22" spans="2:38">
      <c r="B22" s="37"/>
      <c r="C22" s="38"/>
      <c r="Y22"/>
    </row>
    <row r="23" spans="2:38">
      <c r="B23" s="37"/>
      <c r="C23" s="38"/>
      <c r="Y23"/>
    </row>
    <row r="24" spans="2:38">
      <c r="B24" s="37"/>
      <c r="C24" s="38"/>
      <c r="Y24"/>
    </row>
    <row r="25" spans="2:38">
      <c r="B25" s="37"/>
      <c r="C25" s="38"/>
      <c r="Y25"/>
      <c r="AL25" s="3"/>
    </row>
    <row r="26" spans="2:38">
      <c r="B26" s="37"/>
      <c r="C26" s="38"/>
      <c r="Y26"/>
      <c r="AL26" s="3"/>
    </row>
    <row r="27" spans="2:38">
      <c r="B27" s="37"/>
      <c r="C27" s="38"/>
      <c r="Y27"/>
      <c r="AL27" s="3"/>
    </row>
    <row r="28" spans="2:38">
      <c r="B28" s="37"/>
      <c r="C28" s="38"/>
      <c r="Y28"/>
      <c r="AL28" s="3"/>
    </row>
    <row r="29" spans="2:38">
      <c r="B29" s="37"/>
      <c r="C29" s="38"/>
      <c r="Y29"/>
      <c r="AL29" s="3"/>
    </row>
    <row r="30" spans="2:38">
      <c r="B30" s="37"/>
      <c r="C30" s="38"/>
      <c r="Y30"/>
    </row>
    <row r="31" spans="2:38">
      <c r="B31" s="37"/>
      <c r="C31" s="38"/>
      <c r="Y31"/>
      <c r="AL31" s="3"/>
    </row>
    <row r="32" spans="2:38">
      <c r="B32" s="37"/>
      <c r="C32" s="38"/>
      <c r="Y32"/>
    </row>
    <row r="33" spans="2:42">
      <c r="B33" s="37"/>
      <c r="C33" s="38"/>
      <c r="Y33"/>
      <c r="AL33" s="3"/>
    </row>
    <row r="34" spans="2:42">
      <c r="B34" s="37"/>
      <c r="C34" s="38"/>
      <c r="Y34"/>
      <c r="AL34" s="3"/>
    </row>
    <row r="35" spans="2:42">
      <c r="B35" s="37"/>
      <c r="C35" s="38"/>
      <c r="Y35"/>
      <c r="AL35" s="3"/>
    </row>
    <row r="36" spans="2:42">
      <c r="B36" s="37"/>
      <c r="C36" s="38"/>
      <c r="Y36"/>
      <c r="AL36" s="3"/>
    </row>
    <row r="37" spans="2:42">
      <c r="B37" s="37"/>
      <c r="C37" s="38"/>
      <c r="Y37"/>
    </row>
    <row r="38" spans="2:42">
      <c r="B38" s="37"/>
      <c r="C38" s="38"/>
      <c r="Y38"/>
      <c r="AL38" s="3"/>
    </row>
    <row r="39" spans="2:42">
      <c r="B39" s="37"/>
      <c r="C39" s="38"/>
      <c r="Y39"/>
      <c r="AL39" s="3"/>
    </row>
    <row r="40" spans="2:42">
      <c r="B40" s="37"/>
      <c r="C40" s="38"/>
      <c r="Y40"/>
      <c r="AL40" s="3"/>
    </row>
    <row r="41" spans="2:42">
      <c r="B41" s="37"/>
      <c r="C41" s="38"/>
      <c r="Y41"/>
      <c r="AL41" s="3"/>
    </row>
    <row r="42" spans="2:42">
      <c r="B42" s="37"/>
      <c r="C42" s="38"/>
      <c r="Y42"/>
      <c r="AL42" s="3"/>
    </row>
    <row r="43" spans="2:42">
      <c r="B43" s="37"/>
      <c r="C43" s="38"/>
      <c r="Y43"/>
      <c r="AP43" s="4"/>
    </row>
    <row r="44" spans="2:42">
      <c r="B44" s="37"/>
      <c r="C44" s="38"/>
      <c r="Y44"/>
    </row>
    <row r="45" spans="2:42">
      <c r="B45" s="37"/>
      <c r="C45" s="38"/>
      <c r="Y45"/>
      <c r="AL45" s="3"/>
    </row>
    <row r="46" spans="2:42">
      <c r="B46" s="37"/>
      <c r="C46" s="38"/>
      <c r="Y46"/>
      <c r="AL46" s="3"/>
    </row>
    <row r="47" spans="2:42">
      <c r="B47" s="37"/>
      <c r="C47" s="38"/>
      <c r="Y47"/>
      <c r="AL47" s="3"/>
    </row>
    <row r="48" spans="2:42">
      <c r="B48" s="37"/>
      <c r="C48" s="38"/>
      <c r="Y48"/>
    </row>
    <row r="49" spans="2:38">
      <c r="B49" s="37"/>
      <c r="C49" s="38"/>
      <c r="Y49"/>
      <c r="AL49" s="3"/>
    </row>
    <row r="50" spans="2:38">
      <c r="B50" s="37"/>
      <c r="C50" s="38"/>
      <c r="Y50"/>
      <c r="AL50" s="3"/>
    </row>
    <row r="51" spans="2:38">
      <c r="B51" s="37"/>
      <c r="C51" s="38"/>
      <c r="Y51"/>
      <c r="AL51" s="3"/>
    </row>
    <row r="52" spans="2:38">
      <c r="B52" s="37"/>
      <c r="C52" s="38"/>
      <c r="Y52"/>
      <c r="AL52" s="3"/>
    </row>
    <row r="53" spans="2:38">
      <c r="B53" s="37"/>
      <c r="C53" s="38"/>
      <c r="Y53"/>
    </row>
    <row r="54" spans="2:38">
      <c r="B54" s="37"/>
      <c r="C54" s="38"/>
      <c r="Y54"/>
      <c r="AL54" s="3"/>
    </row>
    <row r="55" spans="2:38">
      <c r="B55" s="37"/>
      <c r="C55" s="38"/>
      <c r="U55" s="30"/>
      <c r="V55" s="30"/>
    </row>
    <row r="56" spans="2:38">
      <c r="B56" s="37"/>
      <c r="C56" s="38"/>
      <c r="U56" s="30"/>
      <c r="V56" s="30"/>
    </row>
    <row r="57" spans="2:38">
      <c r="B57" s="37"/>
      <c r="C57" s="38"/>
      <c r="U57" s="30"/>
      <c r="V57" s="30"/>
    </row>
    <row r="58" spans="2:38">
      <c r="B58" s="37"/>
      <c r="C58" s="38"/>
      <c r="U58" s="30"/>
      <c r="V58" s="30"/>
    </row>
    <row r="59" spans="2:38">
      <c r="B59" s="37"/>
      <c r="C59" s="38"/>
      <c r="U59" s="30"/>
      <c r="V59" s="30"/>
    </row>
    <row r="60" spans="2:38">
      <c r="B60" s="37"/>
      <c r="C60" s="38"/>
      <c r="U60" s="30"/>
      <c r="V60" s="30"/>
    </row>
    <row r="61" spans="2:38">
      <c r="B61" s="37"/>
      <c r="C61" s="38"/>
      <c r="U61" s="30"/>
      <c r="V61" s="30"/>
    </row>
    <row r="62" spans="2:38">
      <c r="B62" s="37"/>
      <c r="C62" s="38"/>
      <c r="U62" s="30"/>
      <c r="V62" s="30"/>
    </row>
    <row r="63" spans="2:38">
      <c r="B63" s="37"/>
      <c r="C63" s="38"/>
      <c r="U63" s="30"/>
      <c r="V63" s="30"/>
    </row>
    <row r="64" spans="2:38">
      <c r="B64" s="37"/>
      <c r="C64" s="38"/>
      <c r="U64" s="30"/>
      <c r="V64" s="30"/>
    </row>
    <row r="65" spans="2:27">
      <c r="B65" s="37"/>
      <c r="C65" s="38"/>
      <c r="U65" s="30"/>
      <c r="V65" s="30"/>
    </row>
    <row r="66" spans="2:27">
      <c r="B66" s="37"/>
      <c r="C66" s="38"/>
      <c r="U66" s="30"/>
      <c r="V66" s="30"/>
    </row>
    <row r="67" spans="2:27">
      <c r="B67" s="37"/>
      <c r="C67" s="38"/>
      <c r="U67" s="30"/>
      <c r="V67" s="30"/>
    </row>
    <row r="68" spans="2:27">
      <c r="B68" s="37"/>
      <c r="C68" s="38"/>
      <c r="U68" s="30"/>
      <c r="V68" s="30"/>
    </row>
    <row r="69" spans="2:27">
      <c r="B69" s="37"/>
      <c r="C69" s="38"/>
      <c r="U69" s="30"/>
      <c r="V69" s="30"/>
    </row>
    <row r="70" spans="2:27">
      <c r="B70" s="37"/>
      <c r="C70" s="38"/>
      <c r="U70" s="30"/>
      <c r="V70" s="30"/>
    </row>
    <row r="71" spans="2:27">
      <c r="B71" s="37"/>
      <c r="C71" s="38"/>
      <c r="U71" s="30"/>
      <c r="V71" s="30"/>
    </row>
    <row r="72" spans="2:27">
      <c r="B72" s="37"/>
      <c r="C72" s="38"/>
      <c r="U72" s="30"/>
      <c r="V72" s="30"/>
      <c r="AA72" s="3"/>
    </row>
    <row r="73" spans="2:27">
      <c r="B73" s="37"/>
      <c r="C73" s="38"/>
      <c r="U73" s="30"/>
      <c r="V73" s="30"/>
    </row>
    <row r="74" spans="2:27">
      <c r="B74" s="37"/>
      <c r="C74" s="38"/>
      <c r="U74" s="30"/>
      <c r="V74" s="30"/>
      <c r="AA74" s="3"/>
    </row>
    <row r="75" spans="2:27">
      <c r="B75" s="37"/>
      <c r="C75" s="38"/>
      <c r="U75" s="30"/>
      <c r="V75" s="30"/>
    </row>
    <row r="76" spans="2:27">
      <c r="B76" s="37"/>
      <c r="C76" s="38"/>
      <c r="U76" s="30"/>
      <c r="V76" s="30"/>
    </row>
    <row r="77" spans="2:27">
      <c r="B77" s="37"/>
      <c r="C77" s="38"/>
      <c r="U77" s="30"/>
      <c r="V77" s="30"/>
      <c r="AA77" s="3"/>
    </row>
    <row r="78" spans="2:27">
      <c r="B78" s="37"/>
      <c r="C78" s="38"/>
      <c r="U78" s="30"/>
      <c r="V78" s="30"/>
    </row>
    <row r="79" spans="2:27">
      <c r="B79" s="37"/>
      <c r="C79" s="38"/>
      <c r="U79" s="30"/>
      <c r="V79" s="30"/>
    </row>
    <row r="80" spans="2:27">
      <c r="B80" s="37"/>
      <c r="C80" s="38"/>
      <c r="U80" s="30"/>
      <c r="V80" s="30"/>
    </row>
    <row r="81" spans="2:27">
      <c r="B81" s="37"/>
      <c r="C81" s="38"/>
      <c r="U81" s="30"/>
      <c r="V81" s="30"/>
    </row>
    <row r="82" spans="2:27">
      <c r="B82" s="37"/>
      <c r="C82" s="38"/>
      <c r="U82" s="30"/>
      <c r="V82" s="30"/>
    </row>
    <row r="83" spans="2:27">
      <c r="B83" s="37"/>
      <c r="C83" s="38"/>
      <c r="U83" s="30"/>
      <c r="V83" s="30"/>
    </row>
    <row r="84" spans="2:27">
      <c r="B84" s="37"/>
      <c r="C84" s="38"/>
      <c r="U84" s="30"/>
      <c r="V84" s="30"/>
    </row>
    <row r="85" spans="2:27">
      <c r="B85" s="37"/>
      <c r="C85" s="38"/>
      <c r="U85" s="30"/>
      <c r="V85" s="30"/>
    </row>
    <row r="86" spans="2:27">
      <c r="B86" s="37"/>
      <c r="C86" s="38"/>
      <c r="U86" s="30"/>
      <c r="V86" s="30"/>
    </row>
    <row r="87" spans="2:27">
      <c r="B87" s="37"/>
      <c r="C87" s="38"/>
      <c r="U87" s="30"/>
      <c r="V87" s="30"/>
    </row>
    <row r="88" spans="2:27">
      <c r="B88" s="37"/>
      <c r="C88" s="38"/>
      <c r="U88" s="30"/>
      <c r="V88" s="30"/>
    </row>
    <row r="89" spans="2:27">
      <c r="B89" s="37"/>
      <c r="C89" s="38"/>
      <c r="U89" s="30"/>
      <c r="V89" s="30"/>
    </row>
    <row r="90" spans="2:27">
      <c r="B90" s="37"/>
      <c r="C90" s="38"/>
      <c r="U90" s="30"/>
      <c r="V90" s="30"/>
    </row>
    <row r="91" spans="2:27">
      <c r="B91" s="37"/>
      <c r="C91" s="38"/>
      <c r="U91" s="30"/>
      <c r="V91" s="30"/>
    </row>
    <row r="92" spans="2:27">
      <c r="B92" s="37"/>
      <c r="C92" s="38"/>
      <c r="U92" s="30"/>
      <c r="V92" s="30"/>
    </row>
    <row r="93" spans="2:27">
      <c r="B93" s="37"/>
      <c r="C93" s="38"/>
      <c r="U93" s="30"/>
      <c r="V93" s="30"/>
      <c r="AA93" s="3"/>
    </row>
    <row r="94" spans="2:27">
      <c r="B94" s="37"/>
      <c r="C94" s="38"/>
      <c r="U94" s="30"/>
      <c r="V94" s="30"/>
    </row>
    <row r="95" spans="2:27">
      <c r="B95" s="37"/>
      <c r="C95" s="38"/>
      <c r="U95" s="30"/>
      <c r="V95" s="30"/>
    </row>
    <row r="96" spans="2:27">
      <c r="B96" s="37"/>
      <c r="C96" s="38"/>
      <c r="U96" s="30"/>
      <c r="V96" s="30"/>
    </row>
    <row r="97" spans="2:22">
      <c r="B97" s="37"/>
      <c r="C97" s="38"/>
      <c r="U97" s="30"/>
      <c r="V97" s="30"/>
    </row>
    <row r="98" spans="2:22">
      <c r="U98" s="30"/>
      <c r="V98" s="30"/>
    </row>
    <row r="101" spans="2:22">
      <c r="U101" s="30"/>
      <c r="V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46"/>
  <sheetViews>
    <sheetView workbookViewId="0">
      <selection activeCell="E14" sqref="E14"/>
    </sheetView>
  </sheetViews>
  <sheetFormatPr defaultRowHeight="15"/>
  <cols>
    <col min="1" max="1" width="26.7109375" bestFit="1" customWidth="1"/>
    <col min="2" max="2" width="16.85546875" bestFit="1" customWidth="1"/>
    <col min="3" max="4" width="11.28515625" bestFit="1" customWidth="1"/>
    <col min="5" max="5" width="19.8554687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330</v>
      </c>
      <c r="B1" s="31" t="s">
        <v>329</v>
      </c>
      <c r="G1" s="33" t="s">
        <v>65</v>
      </c>
      <c r="H1" s="12" t="s">
        <v>326</v>
      </c>
      <c r="I1" s="1" t="s">
        <v>14</v>
      </c>
      <c r="J1" s="12" t="s">
        <v>331</v>
      </c>
      <c r="K1" s="12" t="s">
        <v>332</v>
      </c>
      <c r="L1" s="12" t="s">
        <v>333</v>
      </c>
      <c r="M1" s="12" t="s">
        <v>334</v>
      </c>
      <c r="N1" s="1" t="s">
        <v>15</v>
      </c>
    </row>
    <row r="2" spans="1:14" ht="15.75" thickTop="1">
      <c r="A2" s="31" t="s">
        <v>327</v>
      </c>
      <c r="B2" t="s">
        <v>528</v>
      </c>
      <c r="C2" t="s">
        <v>328</v>
      </c>
      <c r="G2" cm="1">
        <f t="array" ref="G2">_xlfn.UNIQUE(Input!J2:J101)</f>
        <v>0</v>
      </c>
      <c r="H2" s="13">
        <f>IFERROR(GETPIVOTDATA("Successful / Failed",$A$1,"System serial",G2),0)</f>
        <v>0</v>
      </c>
      <c r="I2" t="str" cm="1">
        <f t="array" ref="I2">_xlfn.IFS(H2&lt;1,"No",H2=1,"Yes",H2&gt;1,_xlfn.TEXTJOIN("",TRUE,"Yes x",H2))</f>
        <v>No</v>
      </c>
      <c r="J2" s="13">
        <f>IFERROR(GETPIVOTDATA("Successful / Failed",$A$1,"System serial",G2,"Successful / Failed","Successful"),0)</f>
        <v>0</v>
      </c>
      <c r="K2" s="13">
        <f>IFERROR(GETPIVOTDATA("Successful / Failed",$A$1,"System serial",G2,"Successful / Failed","Failed"),0)</f>
        <v>0</v>
      </c>
      <c r="L2" s="13" t="str" cm="1">
        <f t="array" ref="L2">_xlfn.IFS(J2&lt;1,"",J2=1,"Pass",J2&gt;1,_xlfn.TEXTJOIN("",TRUE,"Pass x",J2))</f>
        <v/>
      </c>
      <c r="M2" s="13" t="str" cm="1">
        <f t="array" ref="M2">_xlfn.IFS(K2&lt;1,"",K2=1,"Fail",K2&gt;1,_xlfn.TEXTJOIN("",TRUE,"Fail x",K2))</f>
        <v/>
      </c>
      <c r="N2" t="str">
        <f>_xlfn.TEXTJOIN(", ",TRUE, L2, M2)</f>
        <v/>
      </c>
    </row>
    <row r="3" spans="1:14">
      <c r="A3" s="32" t="s">
        <v>529</v>
      </c>
      <c r="B3" s="40">
        <v>1</v>
      </c>
      <c r="C3" s="40">
        <v>1</v>
      </c>
      <c r="H3" s="13">
        <f t="shared" ref="H3:H66" si="0">IFERROR(GETPIVOTDATA("Successful / Failed",$A$1,"System serial",G3),0)</f>
        <v>0</v>
      </c>
      <c r="I3" t="str" cm="1">
        <f t="array" ref="I3">_xlfn.IFS(H3&lt;1,"No",H3=1,"Yes",H3&gt;1,_xlfn.TEXTJOIN("",TRUE,"Yes x",H3))</f>
        <v>No</v>
      </c>
      <c r="J3" s="13">
        <f t="shared" ref="J3:J66" si="1">IFERROR(GETPIVOTDATA("Successful / Failed",$A$1,"System serial",G3,"Successful / Failed","Successful"),0)</f>
        <v>0</v>
      </c>
      <c r="K3" s="13">
        <f t="shared" ref="K3:K66" si="2">IFERROR(GETPIVOTDATA("Successful / Failed",$A$1,"System serial",G3,"Successful / Failed","Failed"),0)</f>
        <v>0</v>
      </c>
      <c r="L3" s="13" t="str" cm="1">
        <f t="array" ref="L3">_xlfn.IFS(J3&lt;1,"",J3=1,"Pass",J3&gt;1,_xlfn.TEXTJOIN("",TRUE,"Pass x",J3))</f>
        <v/>
      </c>
      <c r="M3" s="13" t="str" cm="1">
        <f t="array" ref="M3">_xlfn.IFS(K3&lt;1,"",K3=1,"Fail",K3&gt;1,_xlfn.TEXTJOIN("",TRUE,"Fail x",K3))</f>
        <v/>
      </c>
      <c r="N3" t="str">
        <f t="shared" ref="N3:N66" si="3">_xlfn.TEXTJOIN(", ",TRUE, L3, M3)</f>
        <v/>
      </c>
    </row>
    <row r="4" spans="1:14">
      <c r="A4" s="32" t="s">
        <v>530</v>
      </c>
      <c r="B4" s="40">
        <v>1</v>
      </c>
      <c r="C4" s="40">
        <v>1</v>
      </c>
      <c r="H4" s="13">
        <f t="shared" si="0"/>
        <v>0</v>
      </c>
      <c r="I4" t="str" cm="1">
        <f t="array" ref="I4">_xlfn.IFS(H4&lt;1,"No",H4=1,"Yes",H4&gt;1,_xlfn.TEXTJOIN("",TRUE,"Yes x",H4))</f>
        <v>No</v>
      </c>
      <c r="J4" s="13">
        <f t="shared" si="1"/>
        <v>0</v>
      </c>
      <c r="K4" s="13">
        <f t="shared" si="2"/>
        <v>0</v>
      </c>
      <c r="L4" s="13" t="str" cm="1">
        <f t="array" ref="L4">_xlfn.IFS(J4&lt;1,"",J4=1,"Pass",J4&gt;1,_xlfn.TEXTJOIN("",TRUE,"Pass x",J4))</f>
        <v/>
      </c>
      <c r="M4" s="13" t="str" cm="1">
        <f t="array" ref="M4">_xlfn.IFS(K4&lt;1,"",K4=1,"Fail",K4&gt;1,_xlfn.TEXTJOIN("",TRUE,"Fail x",K4))</f>
        <v/>
      </c>
      <c r="N4" t="str">
        <f t="shared" si="3"/>
        <v/>
      </c>
    </row>
    <row r="5" spans="1:14">
      <c r="A5" s="32" t="s">
        <v>531</v>
      </c>
      <c r="B5" s="40">
        <v>1</v>
      </c>
      <c r="C5" s="40">
        <v>1</v>
      </c>
      <c r="H5" s="13">
        <f t="shared" si="0"/>
        <v>0</v>
      </c>
      <c r="I5" t="str" cm="1">
        <f t="array" ref="I5">_xlfn.IFS(H5&lt;1,"No",H5=1,"Yes",H5&gt;1,_xlfn.TEXTJOIN("",TRUE,"Yes x",H5))</f>
        <v>No</v>
      </c>
      <c r="J5" s="13">
        <f t="shared" si="1"/>
        <v>0</v>
      </c>
      <c r="K5" s="13">
        <f t="shared" si="2"/>
        <v>0</v>
      </c>
      <c r="L5" s="13" t="str" cm="1">
        <f t="array" ref="L5">_xlfn.IFS(J5&lt;1,"",J5=1,"Pass",J5&gt;1,_xlfn.TEXTJOIN("",TRUE,"Pass x",J5))</f>
        <v/>
      </c>
      <c r="M5" s="13" t="str" cm="1">
        <f t="array" ref="M5">_xlfn.IFS(K5&lt;1,"",K5=1,"Fail",K5&gt;1,_xlfn.TEXTJOIN("",TRUE,"Fail x",K5))</f>
        <v/>
      </c>
      <c r="N5" t="str">
        <f t="shared" si="3"/>
        <v/>
      </c>
    </row>
    <row r="6" spans="1:14">
      <c r="A6" s="32" t="s">
        <v>532</v>
      </c>
      <c r="B6" s="40">
        <v>1</v>
      </c>
      <c r="C6" s="40">
        <v>1</v>
      </c>
      <c r="H6" s="13">
        <f t="shared" si="0"/>
        <v>0</v>
      </c>
      <c r="I6" t="str" cm="1">
        <f t="array" ref="I6">_xlfn.IFS(H6&lt;1,"No",H6=1,"Yes",H6&gt;1,_xlfn.TEXTJOIN("",TRUE,"Yes x",H6))</f>
        <v>No</v>
      </c>
      <c r="J6" s="13">
        <f t="shared" si="1"/>
        <v>0</v>
      </c>
      <c r="K6" s="13">
        <f t="shared" si="2"/>
        <v>0</v>
      </c>
      <c r="L6" s="13" t="str" cm="1">
        <f t="array" ref="L6">_xlfn.IFS(J6&lt;1,"",J6=1,"Pass",J6&gt;1,_xlfn.TEXTJOIN("",TRUE,"Pass x",J6))</f>
        <v/>
      </c>
      <c r="M6" s="13" t="str" cm="1">
        <f t="array" ref="M6">_xlfn.IFS(K6&lt;1,"",K6=1,"Fail",K6&gt;1,_xlfn.TEXTJOIN("",TRUE,"Fail x",K6))</f>
        <v/>
      </c>
      <c r="N6" t="str">
        <f t="shared" si="3"/>
        <v/>
      </c>
    </row>
    <row r="7" spans="1:14">
      <c r="A7" s="32" t="s">
        <v>533</v>
      </c>
      <c r="B7" s="40">
        <v>1</v>
      </c>
      <c r="C7" s="40">
        <v>1</v>
      </c>
      <c r="H7" s="13">
        <f t="shared" si="0"/>
        <v>0</v>
      </c>
      <c r="I7" t="str" cm="1">
        <f t="array" ref="I7">_xlfn.IFS(H7&lt;1,"No",H7=1,"Yes",H7&gt;1,_xlfn.TEXTJOIN("",TRUE,"Yes x",H7))</f>
        <v>No</v>
      </c>
      <c r="J7" s="13">
        <f t="shared" si="1"/>
        <v>0</v>
      </c>
      <c r="K7" s="13">
        <f t="shared" si="2"/>
        <v>0</v>
      </c>
      <c r="L7" s="13" t="str" cm="1">
        <f t="array" ref="L7">_xlfn.IFS(J7&lt;1,"",J7=1,"Pass",J7&gt;1,_xlfn.TEXTJOIN("",TRUE,"Pass x",J7))</f>
        <v/>
      </c>
      <c r="M7" s="13" t="str" cm="1">
        <f t="array" ref="M7">_xlfn.IFS(K7&lt;1,"",K7=1,"Fail",K7&gt;1,_xlfn.TEXTJOIN("",TRUE,"Fail x",K7))</f>
        <v/>
      </c>
      <c r="N7" t="str">
        <f t="shared" si="3"/>
        <v/>
      </c>
    </row>
    <row r="8" spans="1:14">
      <c r="A8" s="32" t="s">
        <v>534</v>
      </c>
      <c r="B8" s="40">
        <v>1</v>
      </c>
      <c r="C8" s="40">
        <v>1</v>
      </c>
      <c r="H8" s="13">
        <f t="shared" si="0"/>
        <v>0</v>
      </c>
      <c r="I8" t="str" cm="1">
        <f t="array" ref="I8">_xlfn.IFS(H8&lt;1,"No",H8=1,"Yes",H8&gt;1,_xlfn.TEXTJOIN("",TRUE,"Yes x",H8))</f>
        <v>No</v>
      </c>
      <c r="J8" s="13">
        <f t="shared" si="1"/>
        <v>0</v>
      </c>
      <c r="K8" s="13">
        <f t="shared" si="2"/>
        <v>0</v>
      </c>
      <c r="L8" s="13" t="str" cm="1">
        <f t="array" ref="L8">_xlfn.IFS(J8&lt;1,"",J8=1,"Pass",J8&gt;1,_xlfn.TEXTJOIN("",TRUE,"Pass x",J8))</f>
        <v/>
      </c>
      <c r="M8" s="13" t="str" cm="1">
        <f t="array" ref="M8">_xlfn.IFS(K8&lt;1,"",K8=1,"Fail",K8&gt;1,_xlfn.TEXTJOIN("",TRUE,"Fail x",K8))</f>
        <v/>
      </c>
      <c r="N8" t="str">
        <f t="shared" si="3"/>
        <v/>
      </c>
    </row>
    <row r="9" spans="1:14">
      <c r="A9" s="32" t="s">
        <v>535</v>
      </c>
      <c r="B9" s="40">
        <v>1</v>
      </c>
      <c r="C9" s="40">
        <v>1</v>
      </c>
      <c r="H9" s="13">
        <f t="shared" si="0"/>
        <v>0</v>
      </c>
      <c r="I9" t="str" cm="1">
        <f t="array" ref="I9">_xlfn.IFS(H9&lt;1,"No",H9=1,"Yes",H9&gt;1,_xlfn.TEXTJOIN("",TRUE,"Yes x",H9))</f>
        <v>No</v>
      </c>
      <c r="J9" s="13">
        <f t="shared" si="1"/>
        <v>0</v>
      </c>
      <c r="K9" s="13">
        <f t="shared" si="2"/>
        <v>0</v>
      </c>
      <c r="L9" s="13" t="str" cm="1">
        <f t="array" ref="L9">_xlfn.IFS(J9&lt;1,"",J9=1,"Pass",J9&gt;1,_xlfn.TEXTJOIN("",TRUE,"Pass x",J9))</f>
        <v/>
      </c>
      <c r="M9" s="13" t="str" cm="1">
        <f t="array" ref="M9">_xlfn.IFS(K9&lt;1,"",K9=1,"Fail",K9&gt;1,_xlfn.TEXTJOIN("",TRUE,"Fail x",K9))</f>
        <v/>
      </c>
      <c r="N9" t="str">
        <f t="shared" si="3"/>
        <v/>
      </c>
    </row>
    <row r="10" spans="1:14">
      <c r="A10" s="32" t="s">
        <v>536</v>
      </c>
      <c r="B10" s="40">
        <v>1</v>
      </c>
      <c r="C10" s="40">
        <v>1</v>
      </c>
      <c r="H10" s="13">
        <f t="shared" si="0"/>
        <v>0</v>
      </c>
      <c r="I10" t="str" cm="1">
        <f t="array" ref="I10">_xlfn.IFS(H10&lt;1,"No",H10=1,"Yes",H10&gt;1,_xlfn.TEXTJOIN("",TRUE,"Yes x",H10))</f>
        <v>No</v>
      </c>
      <c r="J10" s="13">
        <f t="shared" si="1"/>
        <v>0</v>
      </c>
      <c r="K10" s="13">
        <f t="shared" si="2"/>
        <v>0</v>
      </c>
      <c r="L10" s="13" t="str" cm="1">
        <f t="array" ref="L10">_xlfn.IFS(J10&lt;1,"",J10=1,"Pass",J10&gt;1,_xlfn.TEXTJOIN("",TRUE,"Pass x",J10))</f>
        <v/>
      </c>
      <c r="M10" s="13" t="str" cm="1">
        <f t="array" ref="M10">_xlfn.IFS(K10&lt;1,"",K10=1,"Fail",K10&gt;1,_xlfn.TEXTJOIN("",TRUE,"Fail x",K10))</f>
        <v/>
      </c>
      <c r="N10" t="str">
        <f t="shared" si="3"/>
        <v/>
      </c>
    </row>
    <row r="11" spans="1:14">
      <c r="A11" s="32" t="s">
        <v>537</v>
      </c>
      <c r="B11" s="40">
        <v>1</v>
      </c>
      <c r="C11" s="40">
        <v>1</v>
      </c>
      <c r="H11" s="13">
        <f t="shared" si="0"/>
        <v>0</v>
      </c>
      <c r="I11" t="str" cm="1">
        <f t="array" ref="I11">_xlfn.IFS(H11&lt;1,"No",H11=1,"Yes",H11&gt;1,_xlfn.TEXTJOIN("",TRUE,"Yes x",H11))</f>
        <v>No</v>
      </c>
      <c r="J11" s="13">
        <f t="shared" si="1"/>
        <v>0</v>
      </c>
      <c r="K11" s="13">
        <f t="shared" si="2"/>
        <v>0</v>
      </c>
      <c r="L11" s="13" t="str" cm="1">
        <f t="array" ref="L11">_xlfn.IFS(J11&lt;1,"",J11=1,"Pass",J11&gt;1,_xlfn.TEXTJOIN("",TRUE,"Pass x",J11))</f>
        <v/>
      </c>
      <c r="M11" s="13" t="str" cm="1">
        <f t="array" ref="M11">_xlfn.IFS(K11&lt;1,"",K11=1,"Fail",K11&gt;1,_xlfn.TEXTJOIN("",TRUE,"Fail x",K11))</f>
        <v/>
      </c>
      <c r="N11" t="str">
        <f t="shared" si="3"/>
        <v/>
      </c>
    </row>
    <row r="12" spans="1:14">
      <c r="A12" s="32" t="s">
        <v>538</v>
      </c>
      <c r="B12" s="40">
        <v>1</v>
      </c>
      <c r="C12" s="40">
        <v>1</v>
      </c>
      <c r="H12" s="13">
        <f t="shared" si="0"/>
        <v>0</v>
      </c>
      <c r="I12" t="str" cm="1">
        <f t="array" ref="I12">_xlfn.IFS(H12&lt;1,"No",H12=1,"Yes",H12&gt;1,_xlfn.TEXTJOIN("",TRUE,"Yes x",H12))</f>
        <v>No</v>
      </c>
      <c r="J12" s="13">
        <f t="shared" si="1"/>
        <v>0</v>
      </c>
      <c r="K12" s="13">
        <f t="shared" si="2"/>
        <v>0</v>
      </c>
      <c r="L12" s="13" t="str" cm="1">
        <f t="array" ref="L12">_xlfn.IFS(J12&lt;1,"",J12=1,"Pass",J12&gt;1,_xlfn.TEXTJOIN("",TRUE,"Pass x",J12))</f>
        <v/>
      </c>
      <c r="M12" s="13" t="str" cm="1">
        <f t="array" ref="M12">_xlfn.IFS(K12&lt;1,"",K12=1,"Fail",K12&gt;1,_xlfn.TEXTJOIN("",TRUE,"Fail x",K12))</f>
        <v/>
      </c>
      <c r="N12" t="str">
        <f t="shared" si="3"/>
        <v/>
      </c>
    </row>
    <row r="13" spans="1:14">
      <c r="A13" s="32" t="s">
        <v>539</v>
      </c>
      <c r="B13" s="40">
        <v>1</v>
      </c>
      <c r="C13" s="40">
        <v>1</v>
      </c>
      <c r="H13" s="13">
        <f t="shared" si="0"/>
        <v>0</v>
      </c>
      <c r="I13" t="str" cm="1">
        <f t="array" ref="I13">_xlfn.IFS(H13&lt;1,"No",H13=1,"Yes",H13&gt;1,_xlfn.TEXTJOIN("",TRUE,"Yes x",H13))</f>
        <v>No</v>
      </c>
      <c r="J13" s="13">
        <f t="shared" si="1"/>
        <v>0</v>
      </c>
      <c r="K13" s="13">
        <f t="shared" si="2"/>
        <v>0</v>
      </c>
      <c r="L13" s="13" t="str" cm="1">
        <f t="array" ref="L13">_xlfn.IFS(J13&lt;1,"",J13=1,"Pass",J13&gt;1,_xlfn.TEXTJOIN("",TRUE,"Pass x",J13))</f>
        <v/>
      </c>
      <c r="M13" s="13" t="str" cm="1">
        <f t="array" ref="M13">_xlfn.IFS(K13&lt;1,"",K13=1,"Fail",K13&gt;1,_xlfn.TEXTJOIN("",TRUE,"Fail x",K13))</f>
        <v/>
      </c>
      <c r="N13" t="str">
        <f t="shared" si="3"/>
        <v/>
      </c>
    </row>
    <row r="14" spans="1:14">
      <c r="A14" s="32" t="s">
        <v>540</v>
      </c>
      <c r="B14" s="40">
        <v>1</v>
      </c>
      <c r="C14" s="40">
        <v>1</v>
      </c>
      <c r="H14" s="13">
        <f t="shared" si="0"/>
        <v>0</v>
      </c>
      <c r="I14" t="str" cm="1">
        <f t="array" ref="I14">_xlfn.IFS(H14&lt;1,"No",H14=1,"Yes",H14&gt;1,_xlfn.TEXTJOIN("",TRUE,"Yes x",H14))</f>
        <v>No</v>
      </c>
      <c r="J14" s="13">
        <f t="shared" si="1"/>
        <v>0</v>
      </c>
      <c r="K14" s="13">
        <f t="shared" si="2"/>
        <v>0</v>
      </c>
      <c r="L14" s="13" t="str" cm="1">
        <f t="array" ref="L14">_xlfn.IFS(J14&lt;1,"",J14=1,"Pass",J14&gt;1,_xlfn.TEXTJOIN("",TRUE,"Pass x",J14))</f>
        <v/>
      </c>
      <c r="M14" s="13" t="str" cm="1">
        <f t="array" ref="M14">_xlfn.IFS(K14&lt;1,"",K14=1,"Fail",K14&gt;1,_xlfn.TEXTJOIN("",TRUE,"Fail x",K14))</f>
        <v/>
      </c>
      <c r="N14" t="str">
        <f t="shared" si="3"/>
        <v/>
      </c>
    </row>
    <row r="15" spans="1:14">
      <c r="A15" s="32" t="s">
        <v>541</v>
      </c>
      <c r="B15" s="40">
        <v>1</v>
      </c>
      <c r="C15" s="40">
        <v>1</v>
      </c>
      <c r="H15" s="13">
        <f t="shared" si="0"/>
        <v>0</v>
      </c>
      <c r="I15" t="str" cm="1">
        <f t="array" ref="I15">_xlfn.IFS(H15&lt;1,"No",H15=1,"Yes",H15&gt;1,_xlfn.TEXTJOIN("",TRUE,"Yes x",H15))</f>
        <v>No</v>
      </c>
      <c r="J15" s="13">
        <f t="shared" si="1"/>
        <v>0</v>
      </c>
      <c r="K15" s="13">
        <f t="shared" si="2"/>
        <v>0</v>
      </c>
      <c r="L15" s="13" t="str" cm="1">
        <f t="array" ref="L15">_xlfn.IFS(J15&lt;1,"",J15=1,"Pass",J15&gt;1,_xlfn.TEXTJOIN("",TRUE,"Pass x",J15))</f>
        <v/>
      </c>
      <c r="M15" s="13" t="str" cm="1">
        <f t="array" ref="M15">_xlfn.IFS(K15&lt;1,"",K15=1,"Fail",K15&gt;1,_xlfn.TEXTJOIN("",TRUE,"Fail x",K15))</f>
        <v/>
      </c>
      <c r="N15" t="str">
        <f t="shared" si="3"/>
        <v/>
      </c>
    </row>
    <row r="16" spans="1:14">
      <c r="A16" s="32" t="s">
        <v>542</v>
      </c>
      <c r="B16" s="40">
        <v>1</v>
      </c>
      <c r="C16" s="40">
        <v>1</v>
      </c>
      <c r="H16" s="13">
        <f t="shared" si="0"/>
        <v>0</v>
      </c>
      <c r="I16" t="str" cm="1">
        <f t="array" ref="I16">_xlfn.IFS(H16&lt;1,"No",H16=1,"Yes",H16&gt;1,_xlfn.TEXTJOIN("",TRUE,"Yes x",H16))</f>
        <v>No</v>
      </c>
      <c r="J16" s="13">
        <f t="shared" si="1"/>
        <v>0</v>
      </c>
      <c r="K16" s="13">
        <f t="shared" si="2"/>
        <v>0</v>
      </c>
      <c r="L16" s="13" t="str" cm="1">
        <f t="array" ref="L16">_xlfn.IFS(J16&lt;1,"",J16=1,"Pass",J16&gt;1,_xlfn.TEXTJOIN("",TRUE,"Pass x",J16))</f>
        <v/>
      </c>
      <c r="M16" s="13" t="str" cm="1">
        <f t="array" ref="M16">_xlfn.IFS(K16&lt;1,"",K16=1,"Fail",K16&gt;1,_xlfn.TEXTJOIN("",TRUE,"Fail x",K16))</f>
        <v/>
      </c>
      <c r="N16" t="str">
        <f t="shared" si="3"/>
        <v/>
      </c>
    </row>
    <row r="17" spans="1:14">
      <c r="A17" s="32" t="s">
        <v>543</v>
      </c>
      <c r="B17" s="40">
        <v>1</v>
      </c>
      <c r="C17" s="40">
        <v>1</v>
      </c>
      <c r="H17" s="13">
        <f t="shared" si="0"/>
        <v>0</v>
      </c>
      <c r="I17" t="str" cm="1">
        <f t="array" ref="I17">_xlfn.IFS(H17&lt;1,"No",H17=1,"Yes",H17&gt;1,_xlfn.TEXTJOIN("",TRUE,"Yes x",H17))</f>
        <v>No</v>
      </c>
      <c r="J17" s="13">
        <f t="shared" si="1"/>
        <v>0</v>
      </c>
      <c r="K17" s="13">
        <f t="shared" si="2"/>
        <v>0</v>
      </c>
      <c r="L17" s="13" t="str" cm="1">
        <f t="array" ref="L17">_xlfn.IFS(J17&lt;1,"",J17=1,"Pass",J17&gt;1,_xlfn.TEXTJOIN("",TRUE,"Pass x",J17))</f>
        <v/>
      </c>
      <c r="M17" s="13" t="str" cm="1">
        <f t="array" ref="M17">_xlfn.IFS(K17&lt;1,"",K17=1,"Fail",K17&gt;1,_xlfn.TEXTJOIN("",TRUE,"Fail x",K17))</f>
        <v/>
      </c>
      <c r="N17" t="str">
        <f t="shared" si="3"/>
        <v/>
      </c>
    </row>
    <row r="18" spans="1:14">
      <c r="A18" s="32" t="s">
        <v>544</v>
      </c>
      <c r="B18" s="40">
        <v>1</v>
      </c>
      <c r="C18" s="40">
        <v>1</v>
      </c>
      <c r="H18" s="13">
        <f t="shared" si="0"/>
        <v>0</v>
      </c>
      <c r="I18" t="str" cm="1">
        <f t="array" ref="I18">_xlfn.IFS(H18&lt;1,"No",H18=1,"Yes",H18&gt;1,_xlfn.TEXTJOIN("",TRUE,"Yes x",H18))</f>
        <v>No</v>
      </c>
      <c r="J18" s="13">
        <f t="shared" si="1"/>
        <v>0</v>
      </c>
      <c r="K18" s="13">
        <f t="shared" si="2"/>
        <v>0</v>
      </c>
      <c r="L18" s="13" t="str" cm="1">
        <f t="array" ref="L18">_xlfn.IFS(J18&lt;1,"",J18=1,"Pass",J18&gt;1,_xlfn.TEXTJOIN("",TRUE,"Pass x",J18))</f>
        <v/>
      </c>
      <c r="M18" s="13" t="str" cm="1">
        <f t="array" ref="M18">_xlfn.IFS(K18&lt;1,"",K18=1,"Fail",K18&gt;1,_xlfn.TEXTJOIN("",TRUE,"Fail x",K18))</f>
        <v/>
      </c>
      <c r="N18" t="str">
        <f t="shared" si="3"/>
        <v/>
      </c>
    </row>
    <row r="19" spans="1:14">
      <c r="A19" s="32" t="s">
        <v>545</v>
      </c>
      <c r="B19" s="40">
        <v>1</v>
      </c>
      <c r="C19" s="40">
        <v>1</v>
      </c>
      <c r="H19" s="13">
        <f t="shared" si="0"/>
        <v>0</v>
      </c>
      <c r="I19" t="str" cm="1">
        <f t="array" ref="I19">_xlfn.IFS(H19&lt;1,"No",H19=1,"Yes",H19&gt;1,_xlfn.TEXTJOIN("",TRUE,"Yes x",H19))</f>
        <v>No</v>
      </c>
      <c r="J19" s="13">
        <f t="shared" si="1"/>
        <v>0</v>
      </c>
      <c r="K19" s="13">
        <f t="shared" si="2"/>
        <v>0</v>
      </c>
      <c r="L19" s="13" t="str" cm="1">
        <f t="array" ref="L19">_xlfn.IFS(J19&lt;1,"",J19=1,"Pass",J19&gt;1,_xlfn.TEXTJOIN("",TRUE,"Pass x",J19))</f>
        <v/>
      </c>
      <c r="M19" s="13" t="str" cm="1">
        <f t="array" ref="M19">_xlfn.IFS(K19&lt;1,"",K19=1,"Fail",K19&gt;1,_xlfn.TEXTJOIN("",TRUE,"Fail x",K19))</f>
        <v/>
      </c>
      <c r="N19" t="str">
        <f t="shared" si="3"/>
        <v/>
      </c>
    </row>
    <row r="20" spans="1:14">
      <c r="A20" s="32" t="s">
        <v>546</v>
      </c>
      <c r="B20" s="40">
        <v>1</v>
      </c>
      <c r="C20" s="40">
        <v>1</v>
      </c>
      <c r="H20" s="13">
        <f t="shared" si="0"/>
        <v>0</v>
      </c>
      <c r="I20" t="str" cm="1">
        <f t="array" ref="I20">_xlfn.IFS(H20&lt;1,"No",H20=1,"Yes",H20&gt;1,_xlfn.TEXTJOIN("",TRUE,"Yes x",H20))</f>
        <v>No</v>
      </c>
      <c r="J20" s="13">
        <f t="shared" si="1"/>
        <v>0</v>
      </c>
      <c r="K20" s="13">
        <f t="shared" si="2"/>
        <v>0</v>
      </c>
      <c r="L20" s="13" t="str" cm="1">
        <f t="array" ref="L20">_xlfn.IFS(J20&lt;1,"",J20=1,"Pass",J20&gt;1,_xlfn.TEXTJOIN("",TRUE,"Pass x",J20))</f>
        <v/>
      </c>
      <c r="M20" s="13" t="str" cm="1">
        <f t="array" ref="M20">_xlfn.IFS(K20&lt;1,"",K20=1,"Fail",K20&gt;1,_xlfn.TEXTJOIN("",TRUE,"Fail x",K20))</f>
        <v/>
      </c>
      <c r="N20" t="str">
        <f t="shared" si="3"/>
        <v/>
      </c>
    </row>
    <row r="21" spans="1:14">
      <c r="A21" s="32" t="s">
        <v>547</v>
      </c>
      <c r="B21" s="40">
        <v>1</v>
      </c>
      <c r="C21" s="40">
        <v>1</v>
      </c>
      <c r="H21" s="13">
        <f t="shared" si="0"/>
        <v>0</v>
      </c>
      <c r="I21" t="str" cm="1">
        <f t="array" ref="I21">_xlfn.IFS(H21&lt;1,"No",H21=1,"Yes",H21&gt;1,_xlfn.TEXTJOIN("",TRUE,"Yes x",H21))</f>
        <v>No</v>
      </c>
      <c r="J21" s="13">
        <f t="shared" si="1"/>
        <v>0</v>
      </c>
      <c r="K21" s="13">
        <f t="shared" si="2"/>
        <v>0</v>
      </c>
      <c r="L21" s="13" t="str" cm="1">
        <f t="array" ref="L21">_xlfn.IFS(J21&lt;1,"",J21=1,"Pass",J21&gt;1,_xlfn.TEXTJOIN("",TRUE,"Pass x",J21))</f>
        <v/>
      </c>
      <c r="M21" s="13" t="str" cm="1">
        <f t="array" ref="M21">_xlfn.IFS(K21&lt;1,"",K21=1,"Fail",K21&gt;1,_xlfn.TEXTJOIN("",TRUE,"Fail x",K21))</f>
        <v/>
      </c>
      <c r="N21" t="str">
        <f t="shared" si="3"/>
        <v/>
      </c>
    </row>
    <row r="22" spans="1:14">
      <c r="A22" s="32" t="s">
        <v>548</v>
      </c>
      <c r="B22" s="40">
        <v>1</v>
      </c>
      <c r="C22" s="40">
        <v>1</v>
      </c>
      <c r="H22" s="13">
        <f t="shared" si="0"/>
        <v>0</v>
      </c>
      <c r="I22" t="str" cm="1">
        <f t="array" ref="I22">_xlfn.IFS(H22&lt;1,"No",H22=1,"Yes",H22&gt;1,_xlfn.TEXTJOIN("",TRUE,"Yes x",H22))</f>
        <v>No</v>
      </c>
      <c r="J22" s="13">
        <f t="shared" si="1"/>
        <v>0</v>
      </c>
      <c r="K22" s="13">
        <f t="shared" si="2"/>
        <v>0</v>
      </c>
      <c r="L22" s="13" t="str" cm="1">
        <f t="array" ref="L22">_xlfn.IFS(J22&lt;1,"",J22=1,"Pass",J22&gt;1,_xlfn.TEXTJOIN("",TRUE,"Pass x",J22))</f>
        <v/>
      </c>
      <c r="M22" s="13" t="str" cm="1">
        <f t="array" ref="M22">_xlfn.IFS(K22&lt;1,"",K22=1,"Fail",K22&gt;1,_xlfn.TEXTJOIN("",TRUE,"Fail x",K22))</f>
        <v/>
      </c>
      <c r="N22" t="str">
        <f t="shared" si="3"/>
        <v/>
      </c>
    </row>
    <row r="23" spans="1:14">
      <c r="A23" s="32" t="s">
        <v>549</v>
      </c>
      <c r="B23" s="40">
        <v>1</v>
      </c>
      <c r="C23" s="40">
        <v>1</v>
      </c>
      <c r="H23" s="13">
        <f t="shared" si="0"/>
        <v>0</v>
      </c>
      <c r="I23" t="str" cm="1">
        <f t="array" ref="I23">_xlfn.IFS(H23&lt;1,"No",H23=1,"Yes",H23&gt;1,_xlfn.TEXTJOIN("",TRUE,"Yes x",H23))</f>
        <v>No</v>
      </c>
      <c r="J23" s="13">
        <f t="shared" si="1"/>
        <v>0</v>
      </c>
      <c r="K23" s="13">
        <f t="shared" si="2"/>
        <v>0</v>
      </c>
      <c r="L23" s="13" t="str" cm="1">
        <f t="array" ref="L23">_xlfn.IFS(J23&lt;1,"",J23=1,"Pass",J23&gt;1,_xlfn.TEXTJOIN("",TRUE,"Pass x",J23))</f>
        <v/>
      </c>
      <c r="M23" s="13" t="str" cm="1">
        <f t="array" ref="M23">_xlfn.IFS(K23&lt;1,"",K23=1,"Fail",K23&gt;1,_xlfn.TEXTJOIN("",TRUE,"Fail x",K23))</f>
        <v/>
      </c>
      <c r="N23" t="str">
        <f t="shared" si="3"/>
        <v/>
      </c>
    </row>
    <row r="24" spans="1:14">
      <c r="A24" s="32" t="s">
        <v>550</v>
      </c>
      <c r="B24" s="40">
        <v>1</v>
      </c>
      <c r="C24" s="40">
        <v>1</v>
      </c>
      <c r="H24" s="13">
        <f t="shared" si="0"/>
        <v>0</v>
      </c>
      <c r="I24" t="str" cm="1">
        <f t="array" ref="I24">_xlfn.IFS(H24&lt;1,"No",H24=1,"Yes",H24&gt;1,_xlfn.TEXTJOIN("",TRUE,"Yes x",H24))</f>
        <v>No</v>
      </c>
      <c r="J24" s="13">
        <f t="shared" si="1"/>
        <v>0</v>
      </c>
      <c r="K24" s="13">
        <f t="shared" si="2"/>
        <v>0</v>
      </c>
      <c r="L24" s="13" t="str" cm="1">
        <f t="array" ref="L24">_xlfn.IFS(J24&lt;1,"",J24=1,"Pass",J24&gt;1,_xlfn.TEXTJOIN("",TRUE,"Pass x",J24))</f>
        <v/>
      </c>
      <c r="M24" s="13" t="str" cm="1">
        <f t="array" ref="M24">_xlfn.IFS(K24&lt;1,"",K24=1,"Fail",K24&gt;1,_xlfn.TEXTJOIN("",TRUE,"Fail x",K24))</f>
        <v/>
      </c>
      <c r="N24" t="str">
        <f t="shared" si="3"/>
        <v/>
      </c>
    </row>
    <row r="25" spans="1:14">
      <c r="A25" s="32" t="s">
        <v>551</v>
      </c>
      <c r="B25" s="40">
        <v>1</v>
      </c>
      <c r="C25" s="40">
        <v>1</v>
      </c>
      <c r="H25" s="13">
        <f t="shared" si="0"/>
        <v>0</v>
      </c>
      <c r="I25" t="str" cm="1">
        <f t="array" ref="I25">_xlfn.IFS(H25&lt;1,"No",H25=1,"Yes",H25&gt;1,_xlfn.TEXTJOIN("",TRUE,"Yes x",H25))</f>
        <v>No</v>
      </c>
      <c r="J25" s="13">
        <f t="shared" si="1"/>
        <v>0</v>
      </c>
      <c r="K25" s="13">
        <f t="shared" si="2"/>
        <v>0</v>
      </c>
      <c r="L25" s="13" t="str" cm="1">
        <f t="array" ref="L25">_xlfn.IFS(J25&lt;1,"",J25=1,"Pass",J25&gt;1,_xlfn.TEXTJOIN("",TRUE,"Pass x",J25))</f>
        <v/>
      </c>
      <c r="M25" s="13" t="str" cm="1">
        <f t="array" ref="M25">_xlfn.IFS(K25&lt;1,"",K25=1,"Fail",K25&gt;1,_xlfn.TEXTJOIN("",TRUE,"Fail x",K25))</f>
        <v/>
      </c>
      <c r="N25" t="str">
        <f t="shared" si="3"/>
        <v/>
      </c>
    </row>
    <row r="26" spans="1:14">
      <c r="A26" s="32" t="s">
        <v>552</v>
      </c>
      <c r="B26" s="40">
        <v>1</v>
      </c>
      <c r="C26" s="40">
        <v>1</v>
      </c>
      <c r="H26" s="13">
        <f t="shared" si="0"/>
        <v>0</v>
      </c>
      <c r="I26" t="str" cm="1">
        <f t="array" ref="I26">_xlfn.IFS(H26&lt;1,"No",H26=1,"Yes",H26&gt;1,_xlfn.TEXTJOIN("",TRUE,"Yes x",H26))</f>
        <v>No</v>
      </c>
      <c r="J26" s="13">
        <f t="shared" si="1"/>
        <v>0</v>
      </c>
      <c r="K26" s="13">
        <f t="shared" si="2"/>
        <v>0</v>
      </c>
      <c r="L26" s="13" t="str" cm="1">
        <f t="array" ref="L26">_xlfn.IFS(J26&lt;1,"",J26=1,"Pass",J26&gt;1,_xlfn.TEXTJOIN("",TRUE,"Pass x",J26))</f>
        <v/>
      </c>
      <c r="M26" s="13" t="str" cm="1">
        <f t="array" ref="M26">_xlfn.IFS(K26&lt;1,"",K26=1,"Fail",K26&gt;1,_xlfn.TEXTJOIN("",TRUE,"Fail x",K26))</f>
        <v/>
      </c>
      <c r="N26" t="str">
        <f t="shared" si="3"/>
        <v/>
      </c>
    </row>
    <row r="27" spans="1:14">
      <c r="A27" s="32" t="s">
        <v>553</v>
      </c>
      <c r="B27" s="40">
        <v>1</v>
      </c>
      <c r="C27" s="40">
        <v>1</v>
      </c>
      <c r="H27" s="13">
        <f t="shared" si="0"/>
        <v>0</v>
      </c>
      <c r="I27" t="str" cm="1">
        <f t="array" ref="I27">_xlfn.IFS(H27&lt;1,"No",H27=1,"Yes",H27&gt;1,_xlfn.TEXTJOIN("",TRUE,"Yes x",H27))</f>
        <v>No</v>
      </c>
      <c r="J27" s="13">
        <f t="shared" si="1"/>
        <v>0</v>
      </c>
      <c r="K27" s="13">
        <f t="shared" si="2"/>
        <v>0</v>
      </c>
      <c r="L27" s="13" t="str" cm="1">
        <f t="array" ref="L27">_xlfn.IFS(J27&lt;1,"",J27=1,"Pass",J27&gt;1,_xlfn.TEXTJOIN("",TRUE,"Pass x",J27))</f>
        <v/>
      </c>
      <c r="M27" s="13" t="str" cm="1">
        <f t="array" ref="M27">_xlfn.IFS(K27&lt;1,"",K27=1,"Fail",K27&gt;1,_xlfn.TEXTJOIN("",TRUE,"Fail x",K27))</f>
        <v/>
      </c>
      <c r="N27" t="str">
        <f t="shared" si="3"/>
        <v/>
      </c>
    </row>
    <row r="28" spans="1:14">
      <c r="A28" s="32" t="s">
        <v>554</v>
      </c>
      <c r="B28" s="40">
        <v>1</v>
      </c>
      <c r="C28" s="40">
        <v>1</v>
      </c>
      <c r="H28" s="13">
        <f t="shared" si="0"/>
        <v>0</v>
      </c>
      <c r="I28" t="str" cm="1">
        <f t="array" ref="I28">_xlfn.IFS(H28&lt;1,"No",H28=1,"Yes",H28&gt;1,_xlfn.TEXTJOIN("",TRUE,"Yes x",H28))</f>
        <v>No</v>
      </c>
      <c r="J28" s="13">
        <f t="shared" si="1"/>
        <v>0</v>
      </c>
      <c r="K28" s="13">
        <f t="shared" si="2"/>
        <v>0</v>
      </c>
      <c r="L28" s="13" t="str" cm="1">
        <f t="array" ref="L28">_xlfn.IFS(J28&lt;1,"",J28=1,"Pass",J28&gt;1,_xlfn.TEXTJOIN("",TRUE,"Pass x",J28))</f>
        <v/>
      </c>
      <c r="M28" s="13" t="str" cm="1">
        <f t="array" ref="M28">_xlfn.IFS(K28&lt;1,"",K28=1,"Fail",K28&gt;1,_xlfn.TEXTJOIN("",TRUE,"Fail x",K28))</f>
        <v/>
      </c>
      <c r="N28" t="str">
        <f t="shared" si="3"/>
        <v/>
      </c>
    </row>
    <row r="29" spans="1:14">
      <c r="A29" s="32" t="s">
        <v>555</v>
      </c>
      <c r="B29" s="40">
        <v>1</v>
      </c>
      <c r="C29" s="40">
        <v>1</v>
      </c>
      <c r="H29" s="13">
        <f t="shared" si="0"/>
        <v>0</v>
      </c>
      <c r="I29" t="str" cm="1">
        <f t="array" ref="I29">_xlfn.IFS(H29&lt;1,"No",H29=1,"Yes",H29&gt;1,_xlfn.TEXTJOIN("",TRUE,"Yes x",H29))</f>
        <v>No</v>
      </c>
      <c r="J29" s="13">
        <f t="shared" si="1"/>
        <v>0</v>
      </c>
      <c r="K29" s="13">
        <f t="shared" si="2"/>
        <v>0</v>
      </c>
      <c r="L29" s="13" t="str" cm="1">
        <f t="array" ref="L29">_xlfn.IFS(J29&lt;1,"",J29=1,"Pass",J29&gt;1,_xlfn.TEXTJOIN("",TRUE,"Pass x",J29))</f>
        <v/>
      </c>
      <c r="M29" s="13" t="str" cm="1">
        <f t="array" ref="M29">_xlfn.IFS(K29&lt;1,"",K29=1,"Fail",K29&gt;1,_xlfn.TEXTJOIN("",TRUE,"Fail x",K29))</f>
        <v/>
      </c>
      <c r="N29" t="str">
        <f t="shared" si="3"/>
        <v/>
      </c>
    </row>
    <row r="30" spans="1:14">
      <c r="A30" s="32" t="s">
        <v>556</v>
      </c>
      <c r="B30" s="40">
        <v>1</v>
      </c>
      <c r="C30" s="40">
        <v>1</v>
      </c>
      <c r="H30" s="13">
        <f t="shared" si="0"/>
        <v>0</v>
      </c>
      <c r="I30" t="str" cm="1">
        <f t="array" ref="I30">_xlfn.IFS(H30&lt;1,"No",H30=1,"Yes",H30&gt;1,_xlfn.TEXTJOIN("",TRUE,"Yes x",H30))</f>
        <v>No</v>
      </c>
      <c r="J30" s="13">
        <f t="shared" si="1"/>
        <v>0</v>
      </c>
      <c r="K30" s="13">
        <f t="shared" si="2"/>
        <v>0</v>
      </c>
      <c r="L30" s="13" t="str" cm="1">
        <f t="array" ref="L30">_xlfn.IFS(J30&lt;1,"",J30=1,"Pass",J30&gt;1,_xlfn.TEXTJOIN("",TRUE,"Pass x",J30))</f>
        <v/>
      </c>
      <c r="M30" s="13" t="str" cm="1">
        <f t="array" ref="M30">_xlfn.IFS(K30&lt;1,"",K30=1,"Fail",K30&gt;1,_xlfn.TEXTJOIN("",TRUE,"Fail x",K30))</f>
        <v/>
      </c>
      <c r="N30" t="str">
        <f t="shared" si="3"/>
        <v/>
      </c>
    </row>
    <row r="31" spans="1:14">
      <c r="A31" s="32" t="s">
        <v>557</v>
      </c>
      <c r="B31" s="40">
        <v>1</v>
      </c>
      <c r="C31" s="40">
        <v>1</v>
      </c>
      <c r="H31" s="13">
        <f t="shared" si="0"/>
        <v>0</v>
      </c>
      <c r="I31" t="str" cm="1">
        <f t="array" ref="I31">_xlfn.IFS(H31&lt;1,"No",H31=1,"Yes",H31&gt;1,_xlfn.TEXTJOIN("",TRUE,"Yes x",H31))</f>
        <v>No</v>
      </c>
      <c r="J31" s="13">
        <f t="shared" si="1"/>
        <v>0</v>
      </c>
      <c r="K31" s="13">
        <f t="shared" si="2"/>
        <v>0</v>
      </c>
      <c r="L31" s="13" t="str" cm="1">
        <f t="array" ref="L31">_xlfn.IFS(J31&lt;1,"",J31=1,"Pass",J31&gt;1,_xlfn.TEXTJOIN("",TRUE,"Pass x",J31))</f>
        <v/>
      </c>
      <c r="M31" s="13" t="str" cm="1">
        <f t="array" ref="M31">_xlfn.IFS(K31&lt;1,"",K31=1,"Fail",K31&gt;1,_xlfn.TEXTJOIN("",TRUE,"Fail x",K31))</f>
        <v/>
      </c>
      <c r="N31" t="str">
        <f t="shared" si="3"/>
        <v/>
      </c>
    </row>
    <row r="32" spans="1:14">
      <c r="A32" s="32" t="s">
        <v>558</v>
      </c>
      <c r="B32" s="40">
        <v>1</v>
      </c>
      <c r="C32" s="40">
        <v>1</v>
      </c>
      <c r="H32" s="13">
        <f t="shared" si="0"/>
        <v>0</v>
      </c>
      <c r="I32" t="str" cm="1">
        <f t="array" ref="I32">_xlfn.IFS(H32&lt;1,"No",H32=1,"Yes",H32&gt;1,_xlfn.TEXTJOIN("",TRUE,"Yes x",H32))</f>
        <v>No</v>
      </c>
      <c r="J32" s="13">
        <f t="shared" si="1"/>
        <v>0</v>
      </c>
      <c r="K32" s="13">
        <f t="shared" si="2"/>
        <v>0</v>
      </c>
      <c r="L32" s="13" t="str" cm="1">
        <f t="array" ref="L32">_xlfn.IFS(J32&lt;1,"",J32=1,"Pass",J32&gt;1,_xlfn.TEXTJOIN("",TRUE,"Pass x",J32))</f>
        <v/>
      </c>
      <c r="M32" s="13" t="str" cm="1">
        <f t="array" ref="M32">_xlfn.IFS(K32&lt;1,"",K32=1,"Fail",K32&gt;1,_xlfn.TEXTJOIN("",TRUE,"Fail x",K32))</f>
        <v/>
      </c>
      <c r="N32" t="str">
        <f t="shared" si="3"/>
        <v/>
      </c>
    </row>
    <row r="33" spans="1:14">
      <c r="A33" s="32" t="s">
        <v>559</v>
      </c>
      <c r="B33" s="40">
        <v>1</v>
      </c>
      <c r="C33" s="40">
        <v>1</v>
      </c>
      <c r="H33" s="13">
        <f t="shared" si="0"/>
        <v>0</v>
      </c>
      <c r="I33" t="str" cm="1">
        <f t="array" ref="I33">_xlfn.IFS(H33&lt;1,"No",H33=1,"Yes",H33&gt;1,_xlfn.TEXTJOIN("",TRUE,"Yes x",H33))</f>
        <v>No</v>
      </c>
      <c r="J33" s="13">
        <f t="shared" si="1"/>
        <v>0</v>
      </c>
      <c r="K33" s="13">
        <f t="shared" si="2"/>
        <v>0</v>
      </c>
      <c r="L33" s="13" t="str" cm="1">
        <f t="array" ref="L33">_xlfn.IFS(J33&lt;1,"",J33=1,"Pass",J33&gt;1,_xlfn.TEXTJOIN("",TRUE,"Pass x",J33))</f>
        <v/>
      </c>
      <c r="M33" s="13" t="str" cm="1">
        <f t="array" ref="M33">_xlfn.IFS(K33&lt;1,"",K33=1,"Fail",K33&gt;1,_xlfn.TEXTJOIN("",TRUE,"Fail x",K33))</f>
        <v/>
      </c>
      <c r="N33" t="str">
        <f t="shared" si="3"/>
        <v/>
      </c>
    </row>
    <row r="34" spans="1:14">
      <c r="A34" s="32" t="s">
        <v>560</v>
      </c>
      <c r="B34" s="40">
        <v>1</v>
      </c>
      <c r="C34" s="40">
        <v>1</v>
      </c>
      <c r="H34" s="13">
        <f t="shared" si="0"/>
        <v>0</v>
      </c>
      <c r="I34" t="str" cm="1">
        <f t="array" ref="I34">_xlfn.IFS(H34&lt;1,"No",H34=1,"Yes",H34&gt;1,_xlfn.TEXTJOIN("",TRUE,"Yes x",H34))</f>
        <v>No</v>
      </c>
      <c r="J34" s="13">
        <f t="shared" si="1"/>
        <v>0</v>
      </c>
      <c r="K34" s="13">
        <f t="shared" si="2"/>
        <v>0</v>
      </c>
      <c r="L34" s="13" t="str" cm="1">
        <f t="array" ref="L34">_xlfn.IFS(J34&lt;1,"",J34=1,"Pass",J34&gt;1,_xlfn.TEXTJOIN("",TRUE,"Pass x",J34))</f>
        <v/>
      </c>
      <c r="M34" s="13" t="str" cm="1">
        <f t="array" ref="M34">_xlfn.IFS(K34&lt;1,"",K34=1,"Fail",K34&gt;1,_xlfn.TEXTJOIN("",TRUE,"Fail x",K34))</f>
        <v/>
      </c>
      <c r="N34" t="str">
        <f t="shared" si="3"/>
        <v/>
      </c>
    </row>
    <row r="35" spans="1:14">
      <c r="A35" s="32" t="s">
        <v>328</v>
      </c>
      <c r="B35" s="40">
        <v>32</v>
      </c>
      <c r="C35" s="40">
        <v>32</v>
      </c>
      <c r="H35" s="13">
        <f t="shared" si="0"/>
        <v>0</v>
      </c>
      <c r="I35" t="str" cm="1">
        <f t="array" ref="I35">_xlfn.IFS(H35&lt;1,"No",H35=1,"Yes",H35&gt;1,_xlfn.TEXTJOIN("",TRUE,"Yes x",H35))</f>
        <v>No</v>
      </c>
      <c r="J35" s="13">
        <f t="shared" si="1"/>
        <v>0</v>
      </c>
      <c r="K35" s="13">
        <f t="shared" si="2"/>
        <v>0</v>
      </c>
      <c r="L35" s="13" t="str" cm="1">
        <f t="array" ref="L35">_xlfn.IFS(J35&lt;1,"",J35=1,"Pass",J35&gt;1,_xlfn.TEXTJOIN("",TRUE,"Pass x",J35))</f>
        <v/>
      </c>
      <c r="M35" s="13" t="str" cm="1">
        <f t="array" ref="M35">_xlfn.IFS(K35&lt;1,"",K35=1,"Fail",K35&gt;1,_xlfn.TEXTJOIN("",TRUE,"Fail x",K35))</f>
        <v/>
      </c>
      <c r="N35" t="str">
        <f t="shared" si="3"/>
        <v/>
      </c>
    </row>
    <row r="36" spans="1:14">
      <c r="H36" s="13">
        <f t="shared" si="0"/>
        <v>0</v>
      </c>
      <c r="I36" t="str" cm="1">
        <f t="array" ref="I36">_xlfn.IFS(H36&lt;1,"No",H36=1,"Yes",H36&gt;1,_xlfn.TEXTJOIN("",TRUE,"Yes x",H36))</f>
        <v>No</v>
      </c>
      <c r="J36" s="13">
        <f t="shared" si="1"/>
        <v>0</v>
      </c>
      <c r="K36" s="13">
        <f t="shared" si="2"/>
        <v>0</v>
      </c>
      <c r="L36" s="13" t="str" cm="1">
        <f t="array" ref="L36">_xlfn.IFS(J36&lt;1,"",J36=1,"Pass",J36&gt;1,_xlfn.TEXTJOIN("",TRUE,"Pass x",J36))</f>
        <v/>
      </c>
      <c r="M36" s="13" t="str" cm="1">
        <f t="array" ref="M36">_xlfn.IFS(K36&lt;1,"",K36=1,"Fail",K36&gt;1,_xlfn.TEXTJOIN("",TRUE,"Fail x",K36))</f>
        <v/>
      </c>
      <c r="N36" t="str">
        <f t="shared" si="3"/>
        <v/>
      </c>
    </row>
    <row r="37" spans="1:14">
      <c r="H37" s="13">
        <f t="shared" si="0"/>
        <v>0</v>
      </c>
      <c r="I37" t="str" cm="1">
        <f t="array" ref="I37">_xlfn.IFS(H37&lt;1,"No",H37=1,"Yes",H37&gt;1,_xlfn.TEXTJOIN("",TRUE,"Yes x",H37))</f>
        <v>No</v>
      </c>
      <c r="J37" s="13">
        <f t="shared" si="1"/>
        <v>0</v>
      </c>
      <c r="K37" s="13">
        <f t="shared" si="2"/>
        <v>0</v>
      </c>
      <c r="L37" s="13" t="str" cm="1">
        <f t="array" ref="L37">_xlfn.IFS(J37&lt;1,"",J37=1,"Pass",J37&gt;1,_xlfn.TEXTJOIN("",TRUE,"Pass x",J37))</f>
        <v/>
      </c>
      <c r="M37" s="13" t="str" cm="1">
        <f t="array" ref="M37">_xlfn.IFS(K37&lt;1,"",K37=1,"Fail",K37&gt;1,_xlfn.TEXTJOIN("",TRUE,"Fail x",K37))</f>
        <v/>
      </c>
      <c r="N37" t="str">
        <f t="shared" si="3"/>
        <v/>
      </c>
    </row>
    <row r="38" spans="1:14">
      <c r="H38" s="13">
        <f t="shared" si="0"/>
        <v>0</v>
      </c>
      <c r="I38" t="str" cm="1">
        <f t="array" ref="I38">_xlfn.IFS(H38&lt;1,"No",H38=1,"Yes",H38&gt;1,_xlfn.TEXTJOIN("",TRUE,"Yes x",H38))</f>
        <v>No</v>
      </c>
      <c r="J38" s="13">
        <f t="shared" si="1"/>
        <v>0</v>
      </c>
      <c r="K38" s="13">
        <f t="shared" si="2"/>
        <v>0</v>
      </c>
      <c r="L38" s="13" t="str" cm="1">
        <f t="array" ref="L38">_xlfn.IFS(J38&lt;1,"",J38=1,"Pass",J38&gt;1,_xlfn.TEXTJOIN("",TRUE,"Pass x",J38))</f>
        <v/>
      </c>
      <c r="M38" s="13" t="str" cm="1">
        <f t="array" ref="M38">_xlfn.IFS(K38&lt;1,"",K38=1,"Fail",K38&gt;1,_xlfn.TEXTJOIN("",TRUE,"Fail x",K38))</f>
        <v/>
      </c>
      <c r="N38" t="str">
        <f t="shared" si="3"/>
        <v/>
      </c>
    </row>
    <row r="39" spans="1:14">
      <c r="H39" s="13">
        <f t="shared" si="0"/>
        <v>0</v>
      </c>
      <c r="I39" t="str" cm="1">
        <f t="array" ref="I39">_xlfn.IFS(H39&lt;1,"No",H39=1,"Yes",H39&gt;1,_xlfn.TEXTJOIN("",TRUE,"Yes x",H39))</f>
        <v>No</v>
      </c>
      <c r="J39" s="13">
        <f t="shared" si="1"/>
        <v>0</v>
      </c>
      <c r="K39" s="13">
        <f t="shared" si="2"/>
        <v>0</v>
      </c>
      <c r="L39" s="13" t="str" cm="1">
        <f t="array" ref="L39">_xlfn.IFS(J39&lt;1,"",J39=1,"Pass",J39&gt;1,_xlfn.TEXTJOIN("",TRUE,"Pass x",J39))</f>
        <v/>
      </c>
      <c r="M39" s="13" t="str" cm="1">
        <f t="array" ref="M39">_xlfn.IFS(K39&lt;1,"",K39=1,"Fail",K39&gt;1,_xlfn.TEXTJOIN("",TRUE,"Fail x",K39))</f>
        <v/>
      </c>
      <c r="N39" t="str">
        <f t="shared" si="3"/>
        <v/>
      </c>
    </row>
    <row r="40" spans="1:14">
      <c r="H40" s="13">
        <f t="shared" si="0"/>
        <v>0</v>
      </c>
      <c r="I40" t="str" cm="1">
        <f t="array" ref="I40">_xlfn.IFS(H40&lt;1,"No",H40=1,"Yes",H40&gt;1,_xlfn.TEXTJOIN("",TRUE,"Yes x",H40))</f>
        <v>No</v>
      </c>
      <c r="J40" s="13">
        <f t="shared" si="1"/>
        <v>0</v>
      </c>
      <c r="K40" s="13">
        <f t="shared" si="2"/>
        <v>0</v>
      </c>
      <c r="L40" s="13" t="str" cm="1">
        <f t="array" ref="L40">_xlfn.IFS(J40&lt;1,"",J40=1,"Pass",J40&gt;1,_xlfn.TEXTJOIN("",TRUE,"Pass x",J40))</f>
        <v/>
      </c>
      <c r="M40" s="13" t="str" cm="1">
        <f t="array" ref="M40">_xlfn.IFS(K40&lt;1,"",K40=1,"Fail",K40&gt;1,_xlfn.TEXTJOIN("",TRUE,"Fail x",K40))</f>
        <v/>
      </c>
      <c r="N40" t="str">
        <f t="shared" si="3"/>
        <v/>
      </c>
    </row>
    <row r="41" spans="1:14">
      <c r="H41" s="13">
        <f t="shared" si="0"/>
        <v>0</v>
      </c>
      <c r="I41" t="str" cm="1">
        <f t="array" ref="I41">_xlfn.IFS(H41&lt;1,"No",H41=1,"Yes",H41&gt;1,_xlfn.TEXTJOIN("",TRUE,"Yes x",H41))</f>
        <v>No</v>
      </c>
      <c r="J41" s="13">
        <f t="shared" si="1"/>
        <v>0</v>
      </c>
      <c r="K41" s="13">
        <f t="shared" si="2"/>
        <v>0</v>
      </c>
      <c r="L41" s="13" t="str" cm="1">
        <f t="array" ref="L41">_xlfn.IFS(J41&lt;1,"",J41=1,"Pass",J41&gt;1,_xlfn.TEXTJOIN("",TRUE,"Pass x",J41))</f>
        <v/>
      </c>
      <c r="M41" s="13" t="str" cm="1">
        <f t="array" ref="M41">_xlfn.IFS(K41&lt;1,"",K41=1,"Fail",K41&gt;1,_xlfn.TEXTJOIN("",TRUE,"Fail x",K41))</f>
        <v/>
      </c>
      <c r="N41" t="str">
        <f t="shared" si="3"/>
        <v/>
      </c>
    </row>
    <row r="42" spans="1:14">
      <c r="H42" s="13">
        <f t="shared" si="0"/>
        <v>0</v>
      </c>
      <c r="I42" t="str" cm="1">
        <f t="array" ref="I42">_xlfn.IFS(H42&lt;1,"No",H42=1,"Yes",H42&gt;1,_xlfn.TEXTJOIN("",TRUE,"Yes x",H42))</f>
        <v>No</v>
      </c>
      <c r="J42" s="13">
        <f t="shared" si="1"/>
        <v>0</v>
      </c>
      <c r="K42" s="13">
        <f t="shared" si="2"/>
        <v>0</v>
      </c>
      <c r="L42" s="13" t="str" cm="1">
        <f t="array" ref="L42">_xlfn.IFS(J42&lt;1,"",J42=1,"Pass",J42&gt;1,_xlfn.TEXTJOIN("",TRUE,"Pass x",J42))</f>
        <v/>
      </c>
      <c r="M42" s="13" t="str" cm="1">
        <f t="array" ref="M42">_xlfn.IFS(K42&lt;1,"",K42=1,"Fail",K42&gt;1,_xlfn.TEXTJOIN("",TRUE,"Fail x",K42))</f>
        <v/>
      </c>
      <c r="N42" t="str">
        <f t="shared" si="3"/>
        <v/>
      </c>
    </row>
    <row r="43" spans="1:14">
      <c r="H43" s="13">
        <f t="shared" si="0"/>
        <v>0</v>
      </c>
      <c r="I43" t="str" cm="1">
        <f t="array" ref="I43">_xlfn.IFS(H43&lt;1,"No",H43=1,"Yes",H43&gt;1,_xlfn.TEXTJOIN("",TRUE,"Yes x",H43))</f>
        <v>No</v>
      </c>
      <c r="J43" s="13">
        <f t="shared" si="1"/>
        <v>0</v>
      </c>
      <c r="K43" s="13">
        <f t="shared" si="2"/>
        <v>0</v>
      </c>
      <c r="L43" s="13" t="str" cm="1">
        <f t="array" ref="L43">_xlfn.IFS(J43&lt;1,"",J43=1,"Pass",J43&gt;1,_xlfn.TEXTJOIN("",TRUE,"Pass x",J43))</f>
        <v/>
      </c>
      <c r="M43" s="13" t="str" cm="1">
        <f t="array" ref="M43">_xlfn.IFS(K43&lt;1,"",K43=1,"Fail",K43&gt;1,_xlfn.TEXTJOIN("",TRUE,"Fail x",K43))</f>
        <v/>
      </c>
      <c r="N43" t="str">
        <f t="shared" si="3"/>
        <v/>
      </c>
    </row>
    <row r="44" spans="1:14">
      <c r="H44" s="13">
        <f t="shared" si="0"/>
        <v>0</v>
      </c>
      <c r="I44" t="str" cm="1">
        <f t="array" ref="I44">_xlfn.IFS(H44&lt;1,"No",H44=1,"Yes",H44&gt;1,_xlfn.TEXTJOIN("",TRUE,"Yes x",H44))</f>
        <v>No</v>
      </c>
      <c r="J44" s="13">
        <f t="shared" si="1"/>
        <v>0</v>
      </c>
      <c r="K44" s="13">
        <f t="shared" si="2"/>
        <v>0</v>
      </c>
      <c r="L44" s="13" t="str" cm="1">
        <f t="array" ref="L44">_xlfn.IFS(J44&lt;1,"",J44=1,"Pass",J44&gt;1,_xlfn.TEXTJOIN("",TRUE,"Pass x",J44))</f>
        <v/>
      </c>
      <c r="M44" s="13" t="str" cm="1">
        <f t="array" ref="M44">_xlfn.IFS(K44&lt;1,"",K44=1,"Fail",K44&gt;1,_xlfn.TEXTJOIN("",TRUE,"Fail x",K44))</f>
        <v/>
      </c>
      <c r="N44" t="str">
        <f t="shared" si="3"/>
        <v/>
      </c>
    </row>
    <row r="45" spans="1:14">
      <c r="H45" s="13">
        <f t="shared" si="0"/>
        <v>0</v>
      </c>
      <c r="I45" t="str" cm="1">
        <f t="array" ref="I45">_xlfn.IFS(H45&lt;1,"No",H45=1,"Yes",H45&gt;1,_xlfn.TEXTJOIN("",TRUE,"Yes x",H45))</f>
        <v>No</v>
      </c>
      <c r="J45" s="13">
        <f t="shared" si="1"/>
        <v>0</v>
      </c>
      <c r="K45" s="13">
        <f t="shared" si="2"/>
        <v>0</v>
      </c>
      <c r="L45" s="13" t="str" cm="1">
        <f t="array" ref="L45">_xlfn.IFS(J45&lt;1,"",J45=1,"Pass",J45&gt;1,_xlfn.TEXTJOIN("",TRUE,"Pass x",J45))</f>
        <v/>
      </c>
      <c r="M45" s="13" t="str" cm="1">
        <f t="array" ref="M45">_xlfn.IFS(K45&lt;1,"",K45=1,"Fail",K45&gt;1,_xlfn.TEXTJOIN("",TRUE,"Fail x",K45))</f>
        <v/>
      </c>
      <c r="N45" t="str">
        <f t="shared" si="3"/>
        <v/>
      </c>
    </row>
    <row r="46" spans="1:14">
      <c r="H46" s="13">
        <f t="shared" si="0"/>
        <v>0</v>
      </c>
      <c r="I46" t="str" cm="1">
        <f t="array" ref="I46">_xlfn.IFS(H46&lt;1,"No",H46=1,"Yes",H46&gt;1,_xlfn.TEXTJOIN("",TRUE,"Yes x",H46))</f>
        <v>No</v>
      </c>
      <c r="J46" s="13">
        <f t="shared" si="1"/>
        <v>0</v>
      </c>
      <c r="K46" s="13">
        <f t="shared" si="2"/>
        <v>0</v>
      </c>
      <c r="L46" s="13" t="str" cm="1">
        <f t="array" ref="L46">_xlfn.IFS(J46&lt;1,"",J46=1,"Pass",J46&gt;1,_xlfn.TEXTJOIN("",TRUE,"Pass x",J46))</f>
        <v/>
      </c>
      <c r="M46" s="13" t="str" cm="1">
        <f t="array" ref="M46">_xlfn.IFS(K46&lt;1,"",K46=1,"Fail",K46&gt;1,_xlfn.TEXTJOIN("",TRUE,"Fail x",K46))</f>
        <v/>
      </c>
      <c r="N46" t="str">
        <f t="shared" si="3"/>
        <v/>
      </c>
    </row>
    <row r="47" spans="1:14">
      <c r="H47" s="13">
        <f t="shared" si="0"/>
        <v>0</v>
      </c>
      <c r="I47" t="str" cm="1">
        <f t="array" ref="I47">_xlfn.IFS(H47&lt;1,"No",H47=1,"Yes",H47&gt;1,_xlfn.TEXTJOIN("",TRUE,"Yes x",H47))</f>
        <v>No</v>
      </c>
      <c r="J47" s="13">
        <f t="shared" si="1"/>
        <v>0</v>
      </c>
      <c r="K47" s="13">
        <f t="shared" si="2"/>
        <v>0</v>
      </c>
      <c r="L47" s="13" t="str" cm="1">
        <f t="array" ref="L47">_xlfn.IFS(J47&lt;1,"",J47=1,"Pass",J47&gt;1,_xlfn.TEXTJOIN("",TRUE,"Pass x",J47))</f>
        <v/>
      </c>
      <c r="M47" s="13" t="str" cm="1">
        <f t="array" ref="M47">_xlfn.IFS(K47&lt;1,"",K47=1,"Fail",K47&gt;1,_xlfn.TEXTJOIN("",TRUE,"Fail x",K47))</f>
        <v/>
      </c>
      <c r="N47" t="str">
        <f t="shared" si="3"/>
        <v/>
      </c>
    </row>
    <row r="48" spans="1:14">
      <c r="H48" s="13">
        <f t="shared" si="0"/>
        <v>0</v>
      </c>
      <c r="I48" t="str" cm="1">
        <f t="array" ref="I48">_xlfn.IFS(H48&lt;1,"No",H48=1,"Yes",H48&gt;1,_xlfn.TEXTJOIN("",TRUE,"Yes x",H48))</f>
        <v>No</v>
      </c>
      <c r="J48" s="13">
        <f t="shared" si="1"/>
        <v>0</v>
      </c>
      <c r="K48" s="13">
        <f t="shared" si="2"/>
        <v>0</v>
      </c>
      <c r="L48" s="13" t="str" cm="1">
        <f t="array" ref="L48">_xlfn.IFS(J48&lt;1,"",J48=1,"Pass",J48&gt;1,_xlfn.TEXTJOIN("",TRUE,"Pass x",J48))</f>
        <v/>
      </c>
      <c r="M48" s="13" t="str" cm="1">
        <f t="array" ref="M48">_xlfn.IFS(K48&lt;1,"",K48=1,"Fail",K48&gt;1,_xlfn.TEXTJOIN("",TRUE,"Fail x",K48))</f>
        <v/>
      </c>
      <c r="N48" t="str">
        <f t="shared" si="3"/>
        <v/>
      </c>
    </row>
    <row r="49" spans="8:14">
      <c r="H49" s="13">
        <f t="shared" si="0"/>
        <v>0</v>
      </c>
      <c r="I49" t="str" cm="1">
        <f t="array" ref="I49">_xlfn.IFS(H49&lt;1,"No",H49=1,"Yes",H49&gt;1,_xlfn.TEXTJOIN("",TRUE,"Yes x",H49))</f>
        <v>No</v>
      </c>
      <c r="J49" s="13">
        <f t="shared" si="1"/>
        <v>0</v>
      </c>
      <c r="K49" s="13">
        <f t="shared" si="2"/>
        <v>0</v>
      </c>
      <c r="L49" s="13" t="str" cm="1">
        <f t="array" ref="L49">_xlfn.IFS(J49&lt;1,"",J49=1,"Pass",J49&gt;1,_xlfn.TEXTJOIN("",TRUE,"Pass x",J49))</f>
        <v/>
      </c>
      <c r="M49" s="13" t="str" cm="1">
        <f t="array" ref="M49">_xlfn.IFS(K49&lt;1,"",K49=1,"Fail",K49&gt;1,_xlfn.TEXTJOIN("",TRUE,"Fail x",K49))</f>
        <v/>
      </c>
      <c r="N49" t="str">
        <f t="shared" si="3"/>
        <v/>
      </c>
    </row>
    <row r="50" spans="8:14">
      <c r="H50" s="13">
        <f t="shared" si="0"/>
        <v>0</v>
      </c>
      <c r="I50" t="str" cm="1">
        <f t="array" ref="I50">_xlfn.IFS(H50&lt;1,"No",H50=1,"Yes",H50&gt;1,_xlfn.TEXTJOIN("",TRUE,"Yes x",H50))</f>
        <v>No</v>
      </c>
      <c r="J50" s="13">
        <f t="shared" si="1"/>
        <v>0</v>
      </c>
      <c r="K50" s="13">
        <f t="shared" si="2"/>
        <v>0</v>
      </c>
      <c r="L50" s="13" t="str" cm="1">
        <f t="array" ref="L50">_xlfn.IFS(J50&lt;1,"",J50=1,"Pass",J50&gt;1,_xlfn.TEXTJOIN("",TRUE,"Pass x",J50))</f>
        <v/>
      </c>
      <c r="M50" s="13" t="str" cm="1">
        <f t="array" ref="M50">_xlfn.IFS(K50&lt;1,"",K50=1,"Fail",K50&gt;1,_xlfn.TEXTJOIN("",TRUE,"Fail x",K50))</f>
        <v/>
      </c>
      <c r="N50" t="str">
        <f t="shared" si="3"/>
        <v/>
      </c>
    </row>
    <row r="51" spans="8:14">
      <c r="H51" s="13">
        <f t="shared" si="0"/>
        <v>0</v>
      </c>
      <c r="I51" t="str" cm="1">
        <f t="array" ref="I51">_xlfn.IFS(H51&lt;1,"No",H51=1,"Yes",H51&gt;1,_xlfn.TEXTJOIN("",TRUE,"Yes x",H51))</f>
        <v>No</v>
      </c>
      <c r="J51" s="13">
        <f t="shared" si="1"/>
        <v>0</v>
      </c>
      <c r="K51" s="13">
        <f t="shared" si="2"/>
        <v>0</v>
      </c>
      <c r="L51" s="13" t="str" cm="1">
        <f t="array" ref="L51">_xlfn.IFS(J51&lt;1,"",J51=1,"Pass",J51&gt;1,_xlfn.TEXTJOIN("",TRUE,"Pass x",J51))</f>
        <v/>
      </c>
      <c r="M51" s="13" t="str" cm="1">
        <f t="array" ref="M51">_xlfn.IFS(K51&lt;1,"",K51=1,"Fail",K51&gt;1,_xlfn.TEXTJOIN("",TRUE,"Fail x",K51))</f>
        <v/>
      </c>
      <c r="N51" t="str">
        <f t="shared" si="3"/>
        <v/>
      </c>
    </row>
    <row r="52" spans="8:14">
      <c r="H52" s="13">
        <f t="shared" si="0"/>
        <v>0</v>
      </c>
      <c r="I52" t="str" cm="1">
        <f t="array" ref="I52">_xlfn.IFS(H52&lt;1,"No",H52=1,"Yes",H52&gt;1,_xlfn.TEXTJOIN("",TRUE,"Yes x",H52))</f>
        <v>No</v>
      </c>
      <c r="J52" s="13">
        <f t="shared" si="1"/>
        <v>0</v>
      </c>
      <c r="K52" s="13">
        <f t="shared" si="2"/>
        <v>0</v>
      </c>
      <c r="L52" s="13" t="str" cm="1">
        <f t="array" ref="L52">_xlfn.IFS(J52&lt;1,"",J52=1,"Pass",J52&gt;1,_xlfn.TEXTJOIN("",TRUE,"Pass x",J52))</f>
        <v/>
      </c>
      <c r="M52" s="13" t="str" cm="1">
        <f t="array" ref="M52">_xlfn.IFS(K52&lt;1,"",K52=1,"Fail",K52&gt;1,_xlfn.TEXTJOIN("",TRUE,"Fail x",K52))</f>
        <v/>
      </c>
      <c r="N52" t="str">
        <f t="shared" si="3"/>
        <v/>
      </c>
    </row>
    <row r="53" spans="8:14">
      <c r="H53" s="13">
        <f t="shared" si="0"/>
        <v>0</v>
      </c>
      <c r="I53" t="str" cm="1">
        <f t="array" ref="I53">_xlfn.IFS(H53&lt;1,"No",H53=1,"Yes",H53&gt;1,_xlfn.TEXTJOIN("",TRUE,"Yes x",H53))</f>
        <v>No</v>
      </c>
      <c r="J53" s="13">
        <f t="shared" si="1"/>
        <v>0</v>
      </c>
      <c r="K53" s="13">
        <f t="shared" si="2"/>
        <v>0</v>
      </c>
      <c r="L53" s="13" t="str" cm="1">
        <f t="array" ref="L53">_xlfn.IFS(J53&lt;1,"",J53=1,"Pass",J53&gt;1,_xlfn.TEXTJOIN("",TRUE,"Pass x",J53))</f>
        <v/>
      </c>
      <c r="M53" s="13" t="str" cm="1">
        <f t="array" ref="M53">_xlfn.IFS(K53&lt;1,"",K53=1,"Fail",K53&gt;1,_xlfn.TEXTJOIN("",TRUE,"Fail x",K53))</f>
        <v/>
      </c>
      <c r="N53" t="str">
        <f t="shared" si="3"/>
        <v/>
      </c>
    </row>
    <row r="54" spans="8:14">
      <c r="H54" s="13">
        <f t="shared" si="0"/>
        <v>0</v>
      </c>
      <c r="I54" t="str" cm="1">
        <f t="array" ref="I54">_xlfn.IFS(H54&lt;1,"No",H54=1,"Yes",H54&gt;1,_xlfn.TEXTJOIN("",TRUE,"Yes x",H54))</f>
        <v>No</v>
      </c>
      <c r="J54" s="13">
        <f t="shared" si="1"/>
        <v>0</v>
      </c>
      <c r="K54" s="13">
        <f t="shared" si="2"/>
        <v>0</v>
      </c>
      <c r="L54" s="13" t="str" cm="1">
        <f t="array" ref="L54">_xlfn.IFS(J54&lt;1,"",J54=1,"Pass",J54&gt;1,_xlfn.TEXTJOIN("",TRUE,"Pass x",J54))</f>
        <v/>
      </c>
      <c r="M54" s="13" t="str" cm="1">
        <f t="array" ref="M54">_xlfn.IFS(K54&lt;1,"",K54=1,"Fail",K54&gt;1,_xlfn.TEXTJOIN("",TRUE,"Fail x",K54))</f>
        <v/>
      </c>
      <c r="N54" t="str">
        <f t="shared" si="3"/>
        <v/>
      </c>
    </row>
    <row r="55" spans="8:14">
      <c r="H55" s="13">
        <f t="shared" si="0"/>
        <v>0</v>
      </c>
      <c r="I55" t="str" cm="1">
        <f t="array" ref="I55">_xlfn.IFS(H55&lt;1,"No",H55=1,"Yes",H55&gt;1,_xlfn.TEXTJOIN("",TRUE,"Yes x",H55))</f>
        <v>No</v>
      </c>
      <c r="J55" s="13">
        <f t="shared" si="1"/>
        <v>0</v>
      </c>
      <c r="K55" s="13">
        <f t="shared" si="2"/>
        <v>0</v>
      </c>
      <c r="L55" s="13" t="str" cm="1">
        <f t="array" ref="L55">_xlfn.IFS(J55&lt;1,"",J55=1,"Pass",J55&gt;1,_xlfn.TEXTJOIN("",TRUE,"Pass x",J55))</f>
        <v/>
      </c>
      <c r="M55" s="13" t="str" cm="1">
        <f t="array" ref="M55">_xlfn.IFS(K55&lt;1,"",K55=1,"Fail",K55&gt;1,_xlfn.TEXTJOIN("",TRUE,"Fail x",K55))</f>
        <v/>
      </c>
      <c r="N55" t="str">
        <f t="shared" si="3"/>
        <v/>
      </c>
    </row>
    <row r="56" spans="8:14">
      <c r="H56" s="13">
        <f t="shared" si="0"/>
        <v>0</v>
      </c>
      <c r="I56" t="str" cm="1">
        <f t="array" ref="I56">_xlfn.IFS(H56&lt;1,"No",H56=1,"Yes",H56&gt;1,_xlfn.TEXTJOIN("",TRUE,"Yes x",H56))</f>
        <v>No</v>
      </c>
      <c r="J56" s="13">
        <f t="shared" si="1"/>
        <v>0</v>
      </c>
      <c r="K56" s="13">
        <f t="shared" si="2"/>
        <v>0</v>
      </c>
      <c r="L56" s="13" t="str" cm="1">
        <f t="array" ref="L56">_xlfn.IFS(J56&lt;1,"",J56=1,"Pass",J56&gt;1,_xlfn.TEXTJOIN("",TRUE,"Pass x",J56))</f>
        <v/>
      </c>
      <c r="M56" s="13" t="str" cm="1">
        <f t="array" ref="M56">_xlfn.IFS(K56&lt;1,"",K56=1,"Fail",K56&gt;1,_xlfn.TEXTJOIN("",TRUE,"Fail x",K56))</f>
        <v/>
      </c>
      <c r="N56" t="str">
        <f t="shared" si="3"/>
        <v/>
      </c>
    </row>
    <row r="57" spans="8:14">
      <c r="H57" s="13">
        <f t="shared" si="0"/>
        <v>0</v>
      </c>
      <c r="I57" t="str" cm="1">
        <f t="array" ref="I57">_xlfn.IFS(H57&lt;1,"No",H57=1,"Yes",H57&gt;1,_xlfn.TEXTJOIN("",TRUE,"Yes x",H57))</f>
        <v>No</v>
      </c>
      <c r="J57" s="13">
        <f t="shared" si="1"/>
        <v>0</v>
      </c>
      <c r="K57" s="13">
        <f t="shared" si="2"/>
        <v>0</v>
      </c>
      <c r="L57" s="13" t="str" cm="1">
        <f t="array" ref="L57">_xlfn.IFS(J57&lt;1,"",J57=1,"Pass",J57&gt;1,_xlfn.TEXTJOIN("",TRUE,"Pass x",J57))</f>
        <v/>
      </c>
      <c r="M57" s="13" t="str" cm="1">
        <f t="array" ref="M57">_xlfn.IFS(K57&lt;1,"",K57=1,"Fail",K57&gt;1,_xlfn.TEXTJOIN("",TRUE,"Fail x",K57))</f>
        <v/>
      </c>
      <c r="N57" t="str">
        <f t="shared" si="3"/>
        <v/>
      </c>
    </row>
    <row r="58" spans="8:14">
      <c r="H58" s="13">
        <f t="shared" si="0"/>
        <v>0</v>
      </c>
      <c r="I58" t="str" cm="1">
        <f t="array" ref="I58">_xlfn.IFS(H58&lt;1,"No",H58=1,"Yes",H58&gt;1,_xlfn.TEXTJOIN("",TRUE,"Yes x",H58))</f>
        <v>No</v>
      </c>
      <c r="J58" s="13">
        <f t="shared" si="1"/>
        <v>0</v>
      </c>
      <c r="K58" s="13">
        <f t="shared" si="2"/>
        <v>0</v>
      </c>
      <c r="L58" s="13" t="str" cm="1">
        <f t="array" ref="L58">_xlfn.IFS(J58&lt;1,"",J58=1,"Pass",J58&gt;1,_xlfn.TEXTJOIN("",TRUE,"Pass x",J58))</f>
        <v/>
      </c>
      <c r="M58" s="13" t="str" cm="1">
        <f t="array" ref="M58">_xlfn.IFS(K58&lt;1,"",K58=1,"Fail",K58&gt;1,_xlfn.TEXTJOIN("",TRUE,"Fail x",K58))</f>
        <v/>
      </c>
      <c r="N58" t="str">
        <f t="shared" si="3"/>
        <v/>
      </c>
    </row>
    <row r="59" spans="8:14">
      <c r="H59" s="13">
        <f t="shared" si="0"/>
        <v>0</v>
      </c>
      <c r="I59" t="str" cm="1">
        <f t="array" ref="I59">_xlfn.IFS(H59&lt;1,"No",H59=1,"Yes",H59&gt;1,_xlfn.TEXTJOIN("",TRUE,"Yes x",H59))</f>
        <v>No</v>
      </c>
      <c r="J59" s="13">
        <f t="shared" si="1"/>
        <v>0</v>
      </c>
      <c r="K59" s="13">
        <f t="shared" si="2"/>
        <v>0</v>
      </c>
      <c r="L59" s="13" t="str" cm="1">
        <f t="array" ref="L59">_xlfn.IFS(J59&lt;1,"",J59=1,"Pass",J59&gt;1,_xlfn.TEXTJOIN("",TRUE,"Pass x",J59))</f>
        <v/>
      </c>
      <c r="M59" s="13" t="str" cm="1">
        <f t="array" ref="M59">_xlfn.IFS(K59&lt;1,"",K59=1,"Fail",K59&gt;1,_xlfn.TEXTJOIN("",TRUE,"Fail x",K59))</f>
        <v/>
      </c>
      <c r="N59" t="str">
        <f t="shared" si="3"/>
        <v/>
      </c>
    </row>
    <row r="60" spans="8:14">
      <c r="H60" s="13">
        <f t="shared" si="0"/>
        <v>0</v>
      </c>
      <c r="I60" t="str" cm="1">
        <f t="array" ref="I60">_xlfn.IFS(H60&lt;1,"No",H60=1,"Yes",H60&gt;1,_xlfn.TEXTJOIN("",TRUE,"Yes x",H60))</f>
        <v>No</v>
      </c>
      <c r="J60" s="13">
        <f t="shared" si="1"/>
        <v>0</v>
      </c>
      <c r="K60" s="13">
        <f t="shared" si="2"/>
        <v>0</v>
      </c>
      <c r="L60" s="13" t="str" cm="1">
        <f t="array" ref="L60">_xlfn.IFS(J60&lt;1,"",J60=1,"Pass",J60&gt;1,_xlfn.TEXTJOIN("",TRUE,"Pass x",J60))</f>
        <v/>
      </c>
      <c r="M60" s="13" t="str" cm="1">
        <f t="array" ref="M60">_xlfn.IFS(K60&lt;1,"",K60=1,"Fail",K60&gt;1,_xlfn.TEXTJOIN("",TRUE,"Fail x",K60))</f>
        <v/>
      </c>
      <c r="N60" t="str">
        <f t="shared" si="3"/>
        <v/>
      </c>
    </row>
    <row r="61" spans="8:14">
      <c r="H61" s="13">
        <f t="shared" si="0"/>
        <v>0</v>
      </c>
      <c r="I61" t="str" cm="1">
        <f t="array" ref="I61">_xlfn.IFS(H61&lt;1,"No",H61=1,"Yes",H61&gt;1,_xlfn.TEXTJOIN("",TRUE,"Yes x",H61))</f>
        <v>No</v>
      </c>
      <c r="J61" s="13">
        <f t="shared" si="1"/>
        <v>0</v>
      </c>
      <c r="K61" s="13">
        <f t="shared" si="2"/>
        <v>0</v>
      </c>
      <c r="L61" s="13" t="str" cm="1">
        <f t="array" ref="L61">_xlfn.IFS(J61&lt;1,"",J61=1,"Pass",J61&gt;1,_xlfn.TEXTJOIN("",TRUE,"Pass x",J61))</f>
        <v/>
      </c>
      <c r="M61" s="13" t="str" cm="1">
        <f t="array" ref="M61">_xlfn.IFS(K61&lt;1,"",K61=1,"Fail",K61&gt;1,_xlfn.TEXTJOIN("",TRUE,"Fail x",K61))</f>
        <v/>
      </c>
      <c r="N61" t="str">
        <f t="shared" si="3"/>
        <v/>
      </c>
    </row>
    <row r="62" spans="8:14">
      <c r="H62" s="13">
        <f t="shared" si="0"/>
        <v>0</v>
      </c>
      <c r="I62" t="str" cm="1">
        <f t="array" ref="I62">_xlfn.IFS(H62&lt;1,"No",H62=1,"Yes",H62&gt;1,_xlfn.TEXTJOIN("",TRUE,"Yes x",H62))</f>
        <v>No</v>
      </c>
      <c r="J62" s="13">
        <f t="shared" si="1"/>
        <v>0</v>
      </c>
      <c r="K62" s="13">
        <f t="shared" si="2"/>
        <v>0</v>
      </c>
      <c r="L62" s="13" t="str" cm="1">
        <f t="array" ref="L62">_xlfn.IFS(J62&lt;1,"",J62=1,"Pass",J62&gt;1,_xlfn.TEXTJOIN("",TRUE,"Pass x",J62))</f>
        <v/>
      </c>
      <c r="M62" s="13" t="str" cm="1">
        <f t="array" ref="M62">_xlfn.IFS(K62&lt;1,"",K62=1,"Fail",K62&gt;1,_xlfn.TEXTJOIN("",TRUE,"Fail x",K62))</f>
        <v/>
      </c>
      <c r="N62" t="str">
        <f t="shared" si="3"/>
        <v/>
      </c>
    </row>
    <row r="63" spans="8:14">
      <c r="H63" s="13">
        <f t="shared" si="0"/>
        <v>0</v>
      </c>
      <c r="I63" t="str" cm="1">
        <f t="array" ref="I63">_xlfn.IFS(H63&lt;1,"No",H63=1,"Yes",H63&gt;1,_xlfn.TEXTJOIN("",TRUE,"Yes x",H63))</f>
        <v>No</v>
      </c>
      <c r="J63" s="13">
        <f t="shared" si="1"/>
        <v>0</v>
      </c>
      <c r="K63" s="13">
        <f t="shared" si="2"/>
        <v>0</v>
      </c>
      <c r="L63" s="13" t="str" cm="1">
        <f t="array" ref="L63">_xlfn.IFS(J63&lt;1,"",J63=1,"Pass",J63&gt;1,_xlfn.TEXTJOIN("",TRUE,"Pass x",J63))</f>
        <v/>
      </c>
      <c r="M63" s="13" t="str" cm="1">
        <f t="array" ref="M63">_xlfn.IFS(K63&lt;1,"",K63=1,"Fail",K63&gt;1,_xlfn.TEXTJOIN("",TRUE,"Fail x",K63))</f>
        <v/>
      </c>
      <c r="N63" t="str">
        <f t="shared" si="3"/>
        <v/>
      </c>
    </row>
    <row r="64" spans="8:14">
      <c r="H64" s="13">
        <f t="shared" si="0"/>
        <v>0</v>
      </c>
      <c r="I64" t="str" cm="1">
        <f t="array" ref="I64">_xlfn.IFS(H64&lt;1,"No",H64=1,"Yes",H64&gt;1,_xlfn.TEXTJOIN("",TRUE,"Yes x",H64))</f>
        <v>No</v>
      </c>
      <c r="J64" s="13">
        <f t="shared" si="1"/>
        <v>0</v>
      </c>
      <c r="K64" s="13">
        <f t="shared" si="2"/>
        <v>0</v>
      </c>
      <c r="L64" s="13" t="str" cm="1">
        <f t="array" ref="L64">_xlfn.IFS(J64&lt;1,"",J64=1,"Pass",J64&gt;1,_xlfn.TEXTJOIN("",TRUE,"Pass x",J64))</f>
        <v/>
      </c>
      <c r="M64" s="13" t="str" cm="1">
        <f t="array" ref="M64">_xlfn.IFS(K64&lt;1,"",K64=1,"Fail",K64&gt;1,_xlfn.TEXTJOIN("",TRUE,"Fail x",K64))</f>
        <v/>
      </c>
      <c r="N64" t="str">
        <f t="shared" si="3"/>
        <v/>
      </c>
    </row>
    <row r="65" spans="8:14">
      <c r="H65" s="13">
        <f t="shared" si="0"/>
        <v>0</v>
      </c>
      <c r="I65" t="str" cm="1">
        <f t="array" ref="I65">_xlfn.IFS(H65&lt;1,"No",H65=1,"Yes",H65&gt;1,_xlfn.TEXTJOIN("",TRUE,"Yes x",H65))</f>
        <v>No</v>
      </c>
      <c r="J65" s="13">
        <f t="shared" si="1"/>
        <v>0</v>
      </c>
      <c r="K65" s="13">
        <f t="shared" si="2"/>
        <v>0</v>
      </c>
      <c r="L65" s="13" t="str" cm="1">
        <f t="array" ref="L65">_xlfn.IFS(J65&lt;1,"",J65=1,"Pass",J65&gt;1,_xlfn.TEXTJOIN("",TRUE,"Pass x",J65))</f>
        <v/>
      </c>
      <c r="M65" s="13" t="str" cm="1">
        <f t="array" ref="M65">_xlfn.IFS(K65&lt;1,"",K65=1,"Fail",K65&gt;1,_xlfn.TEXTJOIN("",TRUE,"Fail x",K65))</f>
        <v/>
      </c>
      <c r="N65" t="str">
        <f t="shared" si="3"/>
        <v/>
      </c>
    </row>
    <row r="66" spans="8:14">
      <c r="H66" s="13">
        <f t="shared" si="0"/>
        <v>0</v>
      </c>
      <c r="I66" t="str" cm="1">
        <f t="array" ref="I66">_xlfn.IFS(H66&lt;1,"No",H66=1,"Yes",H66&gt;1,_xlfn.TEXTJOIN("",TRUE,"Yes x",H66))</f>
        <v>No</v>
      </c>
      <c r="J66" s="13">
        <f t="shared" si="1"/>
        <v>0</v>
      </c>
      <c r="K66" s="13">
        <f t="shared" si="2"/>
        <v>0</v>
      </c>
      <c r="L66" s="13" t="str" cm="1">
        <f t="array" ref="L66">_xlfn.IFS(J66&lt;1,"",J66=1,"Pass",J66&gt;1,_xlfn.TEXTJOIN("",TRUE,"Pass x",J66))</f>
        <v/>
      </c>
      <c r="M66" s="13" t="str" cm="1">
        <f t="array" ref="M66">_xlfn.IFS(K66&lt;1,"",K66=1,"Fail",K66&gt;1,_xlfn.TEXTJOIN("",TRUE,"Fail x",K66))</f>
        <v/>
      </c>
      <c r="N66" t="str">
        <f t="shared" si="3"/>
        <v/>
      </c>
    </row>
    <row r="67" spans="8:14">
      <c r="H67" s="13">
        <f t="shared" ref="H67:H130" si="4">IFERROR(GETPIVOTDATA("Successful / Failed",$A$1,"System serial",G67),0)</f>
        <v>0</v>
      </c>
      <c r="I67" t="str" cm="1">
        <f t="array" ref="I67">_xlfn.IFS(H67&lt;1,"No",H67=1,"Yes",H67&gt;1,_xlfn.TEXTJOIN("",TRUE,"Yes x",H67))</f>
        <v>No</v>
      </c>
      <c r="J67" s="13">
        <f t="shared" ref="J67:J130" si="5">IFERROR(GETPIVOTDATA("Successful / Failed",$A$1,"System serial",G67,"Successful / Failed","Successful"),0)</f>
        <v>0</v>
      </c>
      <c r="K67" s="13">
        <f t="shared" ref="K67:K130" si="6">IFERROR(GETPIVOTDATA("Successful / Failed",$A$1,"System serial",G67,"Successful / Failed","Failed"),0)</f>
        <v>0</v>
      </c>
      <c r="L67" s="13" t="str" cm="1">
        <f t="array" ref="L67">_xlfn.IFS(J67&lt;1,"",J67=1,"Pass",J67&gt;1,_xlfn.TEXTJOIN("",TRUE,"Pass x",J67))</f>
        <v/>
      </c>
      <c r="M67" s="13" t="str" cm="1">
        <f t="array" ref="M67">_xlfn.IFS(K67&lt;1,"",K67=1,"Fail",K67&gt;1,_xlfn.TEXTJOIN("",TRUE,"Fail x",K67))</f>
        <v/>
      </c>
      <c r="N67" t="str">
        <f t="shared" ref="N67:N113" si="7">_xlfn.TEXTJOIN(", ",TRUE, L67, M67)</f>
        <v/>
      </c>
    </row>
    <row r="68" spans="8:14">
      <c r="H68" s="13">
        <f t="shared" si="4"/>
        <v>0</v>
      </c>
      <c r="I68" t="str" cm="1">
        <f t="array" ref="I68">_xlfn.IFS(H68&lt;1,"No",H68=1,"Yes",H68&gt;1,_xlfn.TEXTJOIN("",TRUE,"Yes x",H68))</f>
        <v>No</v>
      </c>
      <c r="J68" s="13">
        <f t="shared" si="5"/>
        <v>0</v>
      </c>
      <c r="K68" s="13">
        <f t="shared" si="6"/>
        <v>0</v>
      </c>
      <c r="L68" s="13" t="str" cm="1">
        <f t="array" ref="L68">_xlfn.IFS(J68&lt;1,"",J68=1,"Pass",J68&gt;1,_xlfn.TEXTJOIN("",TRUE,"Pass x",J68))</f>
        <v/>
      </c>
      <c r="M68" s="13" t="str" cm="1">
        <f t="array" ref="M68">_xlfn.IFS(K68&lt;1,"",K68=1,"Fail",K68&gt;1,_xlfn.TEXTJOIN("",TRUE,"Fail x",K68))</f>
        <v/>
      </c>
      <c r="N68" t="str">
        <f t="shared" si="7"/>
        <v/>
      </c>
    </row>
    <row r="69" spans="8:14">
      <c r="H69" s="13">
        <f t="shared" si="4"/>
        <v>0</v>
      </c>
      <c r="I69" t="str" cm="1">
        <f t="array" ref="I69">_xlfn.IFS(H69&lt;1,"No",H69=1,"Yes",H69&gt;1,_xlfn.TEXTJOIN("",TRUE,"Yes x",H69))</f>
        <v>No</v>
      </c>
      <c r="J69" s="13">
        <f t="shared" si="5"/>
        <v>0</v>
      </c>
      <c r="K69" s="13">
        <f t="shared" si="6"/>
        <v>0</v>
      </c>
      <c r="L69" s="13" t="str" cm="1">
        <f t="array" ref="L69">_xlfn.IFS(J69&lt;1,"",J69=1,"Pass",J69&gt;1,_xlfn.TEXTJOIN("",TRUE,"Pass x",J69))</f>
        <v/>
      </c>
      <c r="M69" s="13" t="str" cm="1">
        <f t="array" ref="M69">_xlfn.IFS(K69&lt;1,"",K69=1,"Fail",K69&gt;1,_xlfn.TEXTJOIN("",TRUE,"Fail x",K69))</f>
        <v/>
      </c>
      <c r="N69" t="str">
        <f t="shared" si="7"/>
        <v/>
      </c>
    </row>
    <row r="70" spans="8:14">
      <c r="H70" s="13">
        <f t="shared" si="4"/>
        <v>0</v>
      </c>
      <c r="I70" t="str" cm="1">
        <f t="array" ref="I70">_xlfn.IFS(H70&lt;1,"No",H70=1,"Yes",H70&gt;1,_xlfn.TEXTJOIN("",TRUE,"Yes x",H70))</f>
        <v>No</v>
      </c>
      <c r="J70" s="13">
        <f t="shared" si="5"/>
        <v>0</v>
      </c>
      <c r="K70" s="13">
        <f t="shared" si="6"/>
        <v>0</v>
      </c>
      <c r="L70" s="13" t="str" cm="1">
        <f t="array" ref="L70">_xlfn.IFS(J70&lt;1,"",J70=1,"Pass",J70&gt;1,_xlfn.TEXTJOIN("",TRUE,"Pass x",J70))</f>
        <v/>
      </c>
      <c r="M70" s="13" t="str" cm="1">
        <f t="array" ref="M70">_xlfn.IFS(K70&lt;1,"",K70=1,"Fail",K70&gt;1,_xlfn.TEXTJOIN("",TRUE,"Fail x",K70))</f>
        <v/>
      </c>
      <c r="N70" t="str">
        <f t="shared" si="7"/>
        <v/>
      </c>
    </row>
    <row r="71" spans="8:14">
      <c r="H71" s="13">
        <f t="shared" si="4"/>
        <v>0</v>
      </c>
      <c r="I71" t="str" cm="1">
        <f t="array" ref="I71">_xlfn.IFS(H71&lt;1,"No",H71=1,"Yes",H71&gt;1,_xlfn.TEXTJOIN("",TRUE,"Yes x",H71))</f>
        <v>No</v>
      </c>
      <c r="J71" s="13">
        <f t="shared" si="5"/>
        <v>0</v>
      </c>
      <c r="K71" s="13">
        <f t="shared" si="6"/>
        <v>0</v>
      </c>
      <c r="L71" s="13" t="str" cm="1">
        <f t="array" ref="L71">_xlfn.IFS(J71&lt;1,"",J71=1,"Pass",J71&gt;1,_xlfn.TEXTJOIN("",TRUE,"Pass x",J71))</f>
        <v/>
      </c>
      <c r="M71" s="13" t="str" cm="1">
        <f t="array" ref="M71">_xlfn.IFS(K71&lt;1,"",K71=1,"Fail",K71&gt;1,_xlfn.TEXTJOIN("",TRUE,"Fail x",K71))</f>
        <v/>
      </c>
      <c r="N71" t="str">
        <f t="shared" si="7"/>
        <v/>
      </c>
    </row>
    <row r="72" spans="8:14">
      <c r="H72" s="13">
        <f t="shared" si="4"/>
        <v>0</v>
      </c>
      <c r="I72" t="str" cm="1">
        <f t="array" ref="I72">_xlfn.IFS(H72&lt;1,"No",H72=1,"Yes",H72&gt;1,_xlfn.TEXTJOIN("",TRUE,"Yes x",H72))</f>
        <v>No</v>
      </c>
      <c r="J72" s="13">
        <f t="shared" si="5"/>
        <v>0</v>
      </c>
      <c r="K72" s="13">
        <f t="shared" si="6"/>
        <v>0</v>
      </c>
      <c r="L72" s="13" t="str" cm="1">
        <f t="array" ref="L72">_xlfn.IFS(J72&lt;1,"",J72=1,"Pass",J72&gt;1,_xlfn.TEXTJOIN("",TRUE,"Pass x",J72))</f>
        <v/>
      </c>
      <c r="M72" s="13" t="str" cm="1">
        <f t="array" ref="M72">_xlfn.IFS(K72&lt;1,"",K72=1,"Fail",K72&gt;1,_xlfn.TEXTJOIN("",TRUE,"Fail x",K72))</f>
        <v/>
      </c>
      <c r="N72" t="str">
        <f t="shared" si="7"/>
        <v/>
      </c>
    </row>
    <row r="73" spans="8:14">
      <c r="H73" s="13">
        <f t="shared" si="4"/>
        <v>0</v>
      </c>
      <c r="I73" t="str" cm="1">
        <f t="array" ref="I73">_xlfn.IFS(H73&lt;1,"No",H73=1,"Yes",H73&gt;1,_xlfn.TEXTJOIN("",TRUE,"Yes x",H73))</f>
        <v>No</v>
      </c>
      <c r="J73" s="13">
        <f t="shared" si="5"/>
        <v>0</v>
      </c>
      <c r="K73" s="13">
        <f t="shared" si="6"/>
        <v>0</v>
      </c>
      <c r="L73" s="13" t="str" cm="1">
        <f t="array" ref="L73">_xlfn.IFS(J73&lt;1,"",J73=1,"Pass",J73&gt;1,_xlfn.TEXTJOIN("",TRUE,"Pass x",J73))</f>
        <v/>
      </c>
      <c r="M73" s="13" t="str" cm="1">
        <f t="array" ref="M73">_xlfn.IFS(K73&lt;1,"",K73=1,"Fail",K73&gt;1,_xlfn.TEXTJOIN("",TRUE,"Fail x",K73))</f>
        <v/>
      </c>
      <c r="N73" t="str">
        <f t="shared" si="7"/>
        <v/>
      </c>
    </row>
    <row r="74" spans="8:14">
      <c r="H74" s="13">
        <f t="shared" si="4"/>
        <v>0</v>
      </c>
      <c r="I74" t="str" cm="1">
        <f t="array" ref="I74">_xlfn.IFS(H74&lt;1,"No",H74=1,"Yes",H74&gt;1,_xlfn.TEXTJOIN("",TRUE,"Yes x",H74))</f>
        <v>No</v>
      </c>
      <c r="J74" s="13">
        <f t="shared" si="5"/>
        <v>0</v>
      </c>
      <c r="K74" s="13">
        <f t="shared" si="6"/>
        <v>0</v>
      </c>
      <c r="L74" s="13" t="str" cm="1">
        <f t="array" ref="L74">_xlfn.IFS(J74&lt;1,"",J74=1,"Pass",J74&gt;1,_xlfn.TEXTJOIN("",TRUE,"Pass x",J74))</f>
        <v/>
      </c>
      <c r="M74" s="13" t="str" cm="1">
        <f t="array" ref="M74">_xlfn.IFS(K74&lt;1,"",K74=1,"Fail",K74&gt;1,_xlfn.TEXTJOIN("",TRUE,"Fail x",K74))</f>
        <v/>
      </c>
      <c r="N74" t="str">
        <f t="shared" si="7"/>
        <v/>
      </c>
    </row>
    <row r="75" spans="8:14">
      <c r="H75" s="13">
        <f t="shared" si="4"/>
        <v>0</v>
      </c>
      <c r="I75" t="str" cm="1">
        <f t="array" ref="I75">_xlfn.IFS(H75&lt;1,"No",H75=1,"Yes",H75&gt;1,_xlfn.TEXTJOIN("",TRUE,"Yes x",H75))</f>
        <v>No</v>
      </c>
      <c r="J75" s="13">
        <f t="shared" si="5"/>
        <v>0</v>
      </c>
      <c r="K75" s="13">
        <f t="shared" si="6"/>
        <v>0</v>
      </c>
      <c r="L75" s="13" t="str" cm="1">
        <f t="array" ref="L75">_xlfn.IFS(J75&lt;1,"",J75=1,"Pass",J75&gt;1,_xlfn.TEXTJOIN("",TRUE,"Pass x",J75))</f>
        <v/>
      </c>
      <c r="M75" s="13" t="str" cm="1">
        <f t="array" ref="M75">_xlfn.IFS(K75&lt;1,"",K75=1,"Fail",K75&gt;1,_xlfn.TEXTJOIN("",TRUE,"Fail x",K75))</f>
        <v/>
      </c>
      <c r="N75" t="str">
        <f t="shared" si="7"/>
        <v/>
      </c>
    </row>
    <row r="76" spans="8:14">
      <c r="H76" s="13">
        <f t="shared" si="4"/>
        <v>0</v>
      </c>
      <c r="I76" t="str" cm="1">
        <f t="array" ref="I76">_xlfn.IFS(H76&lt;1,"No",H76=1,"Yes",H76&gt;1,_xlfn.TEXTJOIN("",TRUE,"Yes x",H76))</f>
        <v>No</v>
      </c>
      <c r="J76" s="13">
        <f t="shared" si="5"/>
        <v>0</v>
      </c>
      <c r="K76" s="13">
        <f t="shared" si="6"/>
        <v>0</v>
      </c>
      <c r="L76" s="13" t="str" cm="1">
        <f t="array" ref="L76">_xlfn.IFS(J76&lt;1,"",J76=1,"Pass",J76&gt;1,_xlfn.TEXTJOIN("",TRUE,"Pass x",J76))</f>
        <v/>
      </c>
      <c r="M76" s="13" t="str" cm="1">
        <f t="array" ref="M76">_xlfn.IFS(K76&lt;1,"",K76=1,"Fail",K76&gt;1,_xlfn.TEXTJOIN("",TRUE,"Fail x",K76))</f>
        <v/>
      </c>
      <c r="N76" t="str">
        <f t="shared" si="7"/>
        <v/>
      </c>
    </row>
    <row r="77" spans="8:14">
      <c r="H77" s="13">
        <f t="shared" si="4"/>
        <v>0</v>
      </c>
      <c r="I77" t="str" cm="1">
        <f t="array" ref="I77">_xlfn.IFS(H77&lt;1,"No",H77=1,"Yes",H77&gt;1,_xlfn.TEXTJOIN("",TRUE,"Yes x",H77))</f>
        <v>No</v>
      </c>
      <c r="J77" s="13">
        <f t="shared" si="5"/>
        <v>0</v>
      </c>
      <c r="K77" s="13">
        <f t="shared" si="6"/>
        <v>0</v>
      </c>
      <c r="L77" s="13" t="str" cm="1">
        <f t="array" ref="L77">_xlfn.IFS(J77&lt;1,"",J77=1,"Pass",J77&gt;1,_xlfn.TEXTJOIN("",TRUE,"Pass x",J77))</f>
        <v/>
      </c>
      <c r="M77" s="13" t="str" cm="1">
        <f t="array" ref="M77">_xlfn.IFS(K77&lt;1,"",K77=1,"Fail",K77&gt;1,_xlfn.TEXTJOIN("",TRUE,"Fail x",K77))</f>
        <v/>
      </c>
      <c r="N77" t="str">
        <f t="shared" si="7"/>
        <v/>
      </c>
    </row>
    <row r="78" spans="8:14">
      <c r="H78" s="13">
        <f t="shared" si="4"/>
        <v>0</v>
      </c>
      <c r="I78" t="str" cm="1">
        <f t="array" ref="I78">_xlfn.IFS(H78&lt;1,"No",H78=1,"Yes",H78&gt;1,_xlfn.TEXTJOIN("",TRUE,"Yes x",H78))</f>
        <v>No</v>
      </c>
      <c r="J78" s="13">
        <f t="shared" si="5"/>
        <v>0</v>
      </c>
      <c r="K78" s="13">
        <f t="shared" si="6"/>
        <v>0</v>
      </c>
      <c r="L78" s="13" t="str" cm="1">
        <f t="array" ref="L78">_xlfn.IFS(J78&lt;1,"",J78=1,"Pass",J78&gt;1,_xlfn.TEXTJOIN("",TRUE,"Pass x",J78))</f>
        <v/>
      </c>
      <c r="M78" s="13" t="str" cm="1">
        <f t="array" ref="M78">_xlfn.IFS(K78&lt;1,"",K78=1,"Fail",K78&gt;1,_xlfn.TEXTJOIN("",TRUE,"Fail x",K78))</f>
        <v/>
      </c>
      <c r="N78" t="str">
        <f t="shared" si="7"/>
        <v/>
      </c>
    </row>
    <row r="79" spans="8:14">
      <c r="H79" s="13">
        <f t="shared" si="4"/>
        <v>0</v>
      </c>
      <c r="I79" t="str" cm="1">
        <f t="array" ref="I79">_xlfn.IFS(H79&lt;1,"No",H79=1,"Yes",H79&gt;1,_xlfn.TEXTJOIN("",TRUE,"Yes x",H79))</f>
        <v>No</v>
      </c>
      <c r="J79" s="13">
        <f t="shared" si="5"/>
        <v>0</v>
      </c>
      <c r="K79" s="13">
        <f t="shared" si="6"/>
        <v>0</v>
      </c>
      <c r="L79" s="13" t="str" cm="1">
        <f t="array" ref="L79">_xlfn.IFS(J79&lt;1,"",J79=1,"Pass",J79&gt;1,_xlfn.TEXTJOIN("",TRUE,"Pass x",J79))</f>
        <v/>
      </c>
      <c r="M79" s="13" t="str" cm="1">
        <f t="array" ref="M79">_xlfn.IFS(K79&lt;1,"",K79=1,"Fail",K79&gt;1,_xlfn.TEXTJOIN("",TRUE,"Fail x",K79))</f>
        <v/>
      </c>
      <c r="N79" t="str">
        <f t="shared" si="7"/>
        <v/>
      </c>
    </row>
    <row r="80" spans="8:14">
      <c r="H80" s="13">
        <f t="shared" si="4"/>
        <v>0</v>
      </c>
      <c r="I80" t="str" cm="1">
        <f t="array" ref="I80">_xlfn.IFS(H80&lt;1,"No",H80=1,"Yes",H80&gt;1,_xlfn.TEXTJOIN("",TRUE,"Yes x",H80))</f>
        <v>No</v>
      </c>
      <c r="J80" s="13">
        <f t="shared" si="5"/>
        <v>0</v>
      </c>
      <c r="K80" s="13">
        <f t="shared" si="6"/>
        <v>0</v>
      </c>
      <c r="L80" s="13" t="str" cm="1">
        <f t="array" ref="L80">_xlfn.IFS(J80&lt;1,"",J80=1,"Pass",J80&gt;1,_xlfn.TEXTJOIN("",TRUE,"Pass x",J80))</f>
        <v/>
      </c>
      <c r="M80" s="13" t="str" cm="1">
        <f t="array" ref="M80">_xlfn.IFS(K80&lt;1,"",K80=1,"Fail",K80&gt;1,_xlfn.TEXTJOIN("",TRUE,"Fail x",K80))</f>
        <v/>
      </c>
      <c r="N80" t="str">
        <f t="shared" si="7"/>
        <v/>
      </c>
    </row>
    <row r="81" spans="8:14">
      <c r="H81" s="13">
        <f t="shared" si="4"/>
        <v>0</v>
      </c>
      <c r="I81" t="str" cm="1">
        <f t="array" ref="I81">_xlfn.IFS(H81&lt;1,"No",H81=1,"Yes",H81&gt;1,_xlfn.TEXTJOIN("",TRUE,"Yes x",H81))</f>
        <v>No</v>
      </c>
      <c r="J81" s="13">
        <f t="shared" si="5"/>
        <v>0</v>
      </c>
      <c r="K81" s="13">
        <f t="shared" si="6"/>
        <v>0</v>
      </c>
      <c r="L81" s="13" t="str" cm="1">
        <f t="array" ref="L81">_xlfn.IFS(J81&lt;1,"",J81=1,"Pass",J81&gt;1,_xlfn.TEXTJOIN("",TRUE,"Pass x",J81))</f>
        <v/>
      </c>
      <c r="M81" s="13" t="str" cm="1">
        <f t="array" ref="M81">_xlfn.IFS(K81&lt;1,"",K81=1,"Fail",K81&gt;1,_xlfn.TEXTJOIN("",TRUE,"Fail x",K81))</f>
        <v/>
      </c>
      <c r="N81" t="str">
        <f t="shared" si="7"/>
        <v/>
      </c>
    </row>
    <row r="82" spans="8:14">
      <c r="H82" s="13">
        <f t="shared" si="4"/>
        <v>0</v>
      </c>
      <c r="I82" t="str" cm="1">
        <f t="array" ref="I82">_xlfn.IFS(H82&lt;1,"No",H82=1,"Yes",H82&gt;1,_xlfn.TEXTJOIN("",TRUE,"Yes x",H82))</f>
        <v>No</v>
      </c>
      <c r="J82" s="13">
        <f t="shared" si="5"/>
        <v>0</v>
      </c>
      <c r="K82" s="13">
        <f t="shared" si="6"/>
        <v>0</v>
      </c>
      <c r="L82" s="13" t="str" cm="1">
        <f t="array" ref="L82">_xlfn.IFS(J82&lt;1,"",J82=1,"Pass",J82&gt;1,_xlfn.TEXTJOIN("",TRUE,"Pass x",J82))</f>
        <v/>
      </c>
      <c r="M82" s="13" t="str" cm="1">
        <f t="array" ref="M82">_xlfn.IFS(K82&lt;1,"",K82=1,"Fail",K82&gt;1,_xlfn.TEXTJOIN("",TRUE,"Fail x",K82))</f>
        <v/>
      </c>
      <c r="N82" t="str">
        <f t="shared" si="7"/>
        <v/>
      </c>
    </row>
    <row r="83" spans="8:14">
      <c r="H83" s="13">
        <f t="shared" si="4"/>
        <v>0</v>
      </c>
      <c r="I83" t="str" cm="1">
        <f t="array" ref="I83">_xlfn.IFS(H83&lt;1,"No",H83=1,"Yes",H83&gt;1,_xlfn.TEXTJOIN("",TRUE,"Yes x",H83))</f>
        <v>No</v>
      </c>
      <c r="J83" s="13">
        <f t="shared" si="5"/>
        <v>0</v>
      </c>
      <c r="K83" s="13">
        <f t="shared" si="6"/>
        <v>0</v>
      </c>
      <c r="L83" s="13" t="str" cm="1">
        <f t="array" ref="L83">_xlfn.IFS(J83&lt;1,"",J83=1,"Pass",J83&gt;1,_xlfn.TEXTJOIN("",TRUE,"Pass x",J83))</f>
        <v/>
      </c>
      <c r="M83" s="13" t="str" cm="1">
        <f t="array" ref="M83">_xlfn.IFS(K83&lt;1,"",K83=1,"Fail",K83&gt;1,_xlfn.TEXTJOIN("",TRUE,"Fail x",K83))</f>
        <v/>
      </c>
      <c r="N83" t="str">
        <f t="shared" si="7"/>
        <v/>
      </c>
    </row>
    <row r="84" spans="8:14">
      <c r="H84" s="13">
        <f t="shared" si="4"/>
        <v>0</v>
      </c>
      <c r="I84" t="str" cm="1">
        <f t="array" ref="I84">_xlfn.IFS(H84&lt;1,"No",H84=1,"Yes",H84&gt;1,_xlfn.TEXTJOIN("",TRUE,"Yes x",H84))</f>
        <v>No</v>
      </c>
      <c r="J84" s="13">
        <f t="shared" si="5"/>
        <v>0</v>
      </c>
      <c r="K84" s="13">
        <f t="shared" si="6"/>
        <v>0</v>
      </c>
      <c r="L84" s="13" t="str" cm="1">
        <f t="array" ref="L84">_xlfn.IFS(J84&lt;1,"",J84=1,"Pass",J84&gt;1,_xlfn.TEXTJOIN("",TRUE,"Pass x",J84))</f>
        <v/>
      </c>
      <c r="M84" s="13" t="str" cm="1">
        <f t="array" ref="M84">_xlfn.IFS(K84&lt;1,"",K84=1,"Fail",K84&gt;1,_xlfn.TEXTJOIN("",TRUE,"Fail x",K84))</f>
        <v/>
      </c>
      <c r="N84" t="str">
        <f t="shared" si="7"/>
        <v/>
      </c>
    </row>
    <row r="85" spans="8:14">
      <c r="H85" s="13">
        <f t="shared" si="4"/>
        <v>0</v>
      </c>
      <c r="I85" t="str" cm="1">
        <f t="array" ref="I85">_xlfn.IFS(H85&lt;1,"No",H85=1,"Yes",H85&gt;1,_xlfn.TEXTJOIN("",TRUE,"Yes x",H85))</f>
        <v>No</v>
      </c>
      <c r="J85" s="13">
        <f t="shared" si="5"/>
        <v>0</v>
      </c>
      <c r="K85" s="13">
        <f t="shared" si="6"/>
        <v>0</v>
      </c>
      <c r="L85" s="13" t="str" cm="1">
        <f t="array" ref="L85">_xlfn.IFS(J85&lt;1,"",J85=1,"Pass",J85&gt;1,_xlfn.TEXTJOIN("",TRUE,"Pass x",J85))</f>
        <v/>
      </c>
      <c r="M85" s="13" t="str" cm="1">
        <f t="array" ref="M85">_xlfn.IFS(K85&lt;1,"",K85=1,"Fail",K85&gt;1,_xlfn.TEXTJOIN("",TRUE,"Fail x",K85))</f>
        <v/>
      </c>
      <c r="N85" t="str">
        <f t="shared" si="7"/>
        <v/>
      </c>
    </row>
    <row r="86" spans="8:14">
      <c r="H86" s="13">
        <f t="shared" si="4"/>
        <v>0</v>
      </c>
      <c r="I86" t="str" cm="1">
        <f t="array" ref="I86">_xlfn.IFS(H86&lt;1,"No",H86=1,"Yes",H86&gt;1,_xlfn.TEXTJOIN("",TRUE,"Yes x",H86))</f>
        <v>No</v>
      </c>
      <c r="J86" s="13">
        <f t="shared" si="5"/>
        <v>0</v>
      </c>
      <c r="K86" s="13">
        <f t="shared" si="6"/>
        <v>0</v>
      </c>
      <c r="L86" s="13" t="str" cm="1">
        <f t="array" ref="L86">_xlfn.IFS(J86&lt;1,"",J86=1,"Pass",J86&gt;1,_xlfn.TEXTJOIN("",TRUE,"Pass x",J86))</f>
        <v/>
      </c>
      <c r="M86" s="13" t="str" cm="1">
        <f t="array" ref="M86">_xlfn.IFS(K86&lt;1,"",K86=1,"Fail",K86&gt;1,_xlfn.TEXTJOIN("",TRUE,"Fail x",K86))</f>
        <v/>
      </c>
      <c r="N86" t="str">
        <f t="shared" si="7"/>
        <v/>
      </c>
    </row>
    <row r="87" spans="8:14">
      <c r="H87" s="13">
        <f t="shared" si="4"/>
        <v>0</v>
      </c>
      <c r="I87" t="str" cm="1">
        <f t="array" ref="I87">_xlfn.IFS(H87&lt;1,"No",H87=1,"Yes",H87&gt;1,_xlfn.TEXTJOIN("",TRUE,"Yes x",H87))</f>
        <v>No</v>
      </c>
      <c r="J87" s="13">
        <f t="shared" si="5"/>
        <v>0</v>
      </c>
      <c r="K87" s="13">
        <f t="shared" si="6"/>
        <v>0</v>
      </c>
      <c r="L87" s="13" t="str" cm="1">
        <f t="array" ref="L87">_xlfn.IFS(J87&lt;1,"",J87=1,"Pass",J87&gt;1,_xlfn.TEXTJOIN("",TRUE,"Pass x",J87))</f>
        <v/>
      </c>
      <c r="M87" s="13" t="str" cm="1">
        <f t="array" ref="M87">_xlfn.IFS(K87&lt;1,"",K87=1,"Fail",K87&gt;1,_xlfn.TEXTJOIN("",TRUE,"Fail x",K87))</f>
        <v/>
      </c>
      <c r="N87" t="str">
        <f t="shared" si="7"/>
        <v/>
      </c>
    </row>
    <row r="88" spans="8:14">
      <c r="H88" s="13">
        <f t="shared" si="4"/>
        <v>0</v>
      </c>
      <c r="I88" t="str" cm="1">
        <f t="array" ref="I88">_xlfn.IFS(H88&lt;1,"No",H88=1,"Yes",H88&gt;1,_xlfn.TEXTJOIN("",TRUE,"Yes x",H88))</f>
        <v>No</v>
      </c>
      <c r="J88" s="13">
        <f t="shared" si="5"/>
        <v>0</v>
      </c>
      <c r="K88" s="13">
        <f t="shared" si="6"/>
        <v>0</v>
      </c>
      <c r="L88" s="13" t="str" cm="1">
        <f t="array" ref="L88">_xlfn.IFS(J88&lt;1,"",J88=1,"Pass",J88&gt;1,_xlfn.TEXTJOIN("",TRUE,"Pass x",J88))</f>
        <v/>
      </c>
      <c r="M88" s="13" t="str" cm="1">
        <f t="array" ref="M88">_xlfn.IFS(K88&lt;1,"",K88=1,"Fail",K88&gt;1,_xlfn.TEXTJOIN("",TRUE,"Fail x",K88))</f>
        <v/>
      </c>
      <c r="N88" t="str">
        <f t="shared" si="7"/>
        <v/>
      </c>
    </row>
    <row r="89" spans="8:14">
      <c r="H89" s="13">
        <f t="shared" si="4"/>
        <v>0</v>
      </c>
      <c r="I89" t="str" cm="1">
        <f t="array" ref="I89">_xlfn.IFS(H89&lt;1,"No",H89=1,"Yes",H89&gt;1,_xlfn.TEXTJOIN("",TRUE,"Yes x",H89))</f>
        <v>No</v>
      </c>
      <c r="J89" s="13">
        <f t="shared" si="5"/>
        <v>0</v>
      </c>
      <c r="K89" s="13">
        <f t="shared" si="6"/>
        <v>0</v>
      </c>
      <c r="L89" s="13" t="str" cm="1">
        <f t="array" ref="L89">_xlfn.IFS(J89&lt;1,"",J89=1,"Pass",J89&gt;1,_xlfn.TEXTJOIN("",TRUE,"Pass x",J89))</f>
        <v/>
      </c>
      <c r="M89" s="13" t="str" cm="1">
        <f t="array" ref="M89">_xlfn.IFS(K89&lt;1,"",K89=1,"Fail",K89&gt;1,_xlfn.TEXTJOIN("",TRUE,"Fail x",K89))</f>
        <v/>
      </c>
      <c r="N89" t="str">
        <f t="shared" si="7"/>
        <v/>
      </c>
    </row>
    <row r="90" spans="8:14">
      <c r="H90" s="13">
        <f t="shared" si="4"/>
        <v>0</v>
      </c>
      <c r="I90" t="str" cm="1">
        <f t="array" ref="I90">_xlfn.IFS(H90&lt;1,"No",H90=1,"Yes",H90&gt;1,_xlfn.TEXTJOIN("",TRUE,"Yes x",H90))</f>
        <v>No</v>
      </c>
      <c r="J90" s="13">
        <f t="shared" si="5"/>
        <v>0</v>
      </c>
      <c r="K90" s="13">
        <f t="shared" si="6"/>
        <v>0</v>
      </c>
      <c r="L90" s="13" t="str" cm="1">
        <f t="array" ref="L90">_xlfn.IFS(J90&lt;1,"",J90=1,"Pass",J90&gt;1,_xlfn.TEXTJOIN("",TRUE,"Pass x",J90))</f>
        <v/>
      </c>
      <c r="M90" s="13" t="str" cm="1">
        <f t="array" ref="M90">_xlfn.IFS(K90&lt;1,"",K90=1,"Fail",K90&gt;1,_xlfn.TEXTJOIN("",TRUE,"Fail x",K90))</f>
        <v/>
      </c>
      <c r="N90" t="str">
        <f t="shared" si="7"/>
        <v/>
      </c>
    </row>
    <row r="91" spans="8:14">
      <c r="H91" s="13">
        <f t="shared" si="4"/>
        <v>0</v>
      </c>
      <c r="I91" t="str" cm="1">
        <f t="array" ref="I91">_xlfn.IFS(H91&lt;1,"No",H91=1,"Yes",H91&gt;1,_xlfn.TEXTJOIN("",TRUE,"Yes x",H91))</f>
        <v>No</v>
      </c>
      <c r="J91" s="13">
        <f t="shared" si="5"/>
        <v>0</v>
      </c>
      <c r="K91" s="13">
        <f t="shared" si="6"/>
        <v>0</v>
      </c>
      <c r="L91" s="13" t="str" cm="1">
        <f t="array" ref="L91">_xlfn.IFS(J91&lt;1,"",J91=1,"Pass",J91&gt;1,_xlfn.TEXTJOIN("",TRUE,"Pass x",J91))</f>
        <v/>
      </c>
      <c r="M91" s="13" t="str" cm="1">
        <f t="array" ref="M91">_xlfn.IFS(K91&lt;1,"",K91=1,"Fail",K91&gt;1,_xlfn.TEXTJOIN("",TRUE,"Fail x",K91))</f>
        <v/>
      </c>
      <c r="N91" t="str">
        <f t="shared" si="7"/>
        <v/>
      </c>
    </row>
    <row r="92" spans="8:14">
      <c r="H92" s="13">
        <f t="shared" si="4"/>
        <v>0</v>
      </c>
      <c r="I92" t="str" cm="1">
        <f t="array" ref="I92">_xlfn.IFS(H92&lt;1,"No",H92=1,"Yes",H92&gt;1,_xlfn.TEXTJOIN("",TRUE,"Yes x",H92))</f>
        <v>No</v>
      </c>
      <c r="J92" s="13">
        <f t="shared" si="5"/>
        <v>0</v>
      </c>
      <c r="K92" s="13">
        <f t="shared" si="6"/>
        <v>0</v>
      </c>
      <c r="L92" s="13" t="str" cm="1">
        <f t="array" ref="L92">_xlfn.IFS(J92&lt;1,"",J92=1,"Pass",J92&gt;1,_xlfn.TEXTJOIN("",TRUE,"Pass x",J92))</f>
        <v/>
      </c>
      <c r="M92" s="13" t="str" cm="1">
        <f t="array" ref="M92">_xlfn.IFS(K92&lt;1,"",K92=1,"Fail",K92&gt;1,_xlfn.TEXTJOIN("",TRUE,"Fail x",K92))</f>
        <v/>
      </c>
      <c r="N92" t="str">
        <f t="shared" si="7"/>
        <v/>
      </c>
    </row>
    <row r="93" spans="8:14">
      <c r="H93" s="13">
        <f t="shared" si="4"/>
        <v>0</v>
      </c>
      <c r="I93" t="str" cm="1">
        <f t="array" ref="I93">_xlfn.IFS(H93&lt;1,"No",H93=1,"Yes",H93&gt;1,_xlfn.TEXTJOIN("",TRUE,"Yes x",H93))</f>
        <v>No</v>
      </c>
      <c r="J93" s="13">
        <f t="shared" si="5"/>
        <v>0</v>
      </c>
      <c r="K93" s="13">
        <f t="shared" si="6"/>
        <v>0</v>
      </c>
      <c r="L93" s="13" t="str" cm="1">
        <f t="array" ref="L93">_xlfn.IFS(J93&lt;1,"",J93=1,"Pass",J93&gt;1,_xlfn.TEXTJOIN("",TRUE,"Pass x",J93))</f>
        <v/>
      </c>
      <c r="M93" s="13" t="str" cm="1">
        <f t="array" ref="M93">_xlfn.IFS(K93&lt;1,"",K93=1,"Fail",K93&gt;1,_xlfn.TEXTJOIN("",TRUE,"Fail x",K93))</f>
        <v/>
      </c>
      <c r="N93" t="str">
        <f t="shared" si="7"/>
        <v/>
      </c>
    </row>
    <row r="94" spans="8:14">
      <c r="H94" s="13">
        <f t="shared" si="4"/>
        <v>0</v>
      </c>
      <c r="I94" t="str" cm="1">
        <f t="array" ref="I94">_xlfn.IFS(H94&lt;1,"No",H94=1,"Yes",H94&gt;1,_xlfn.TEXTJOIN("",TRUE,"Yes x",H94))</f>
        <v>No</v>
      </c>
      <c r="J94" s="13">
        <f t="shared" si="5"/>
        <v>0</v>
      </c>
      <c r="K94" s="13">
        <f t="shared" si="6"/>
        <v>0</v>
      </c>
      <c r="L94" s="13" t="str" cm="1">
        <f t="array" ref="L94">_xlfn.IFS(J94&lt;1,"",J94=1,"Pass",J94&gt;1,_xlfn.TEXTJOIN("",TRUE,"Pass x",J94))</f>
        <v/>
      </c>
      <c r="M94" s="13" t="str" cm="1">
        <f t="array" ref="M94">_xlfn.IFS(K94&lt;1,"",K94=1,"Fail",K94&gt;1,_xlfn.TEXTJOIN("",TRUE,"Fail x",K94))</f>
        <v/>
      </c>
      <c r="N94" t="str">
        <f t="shared" si="7"/>
        <v/>
      </c>
    </row>
    <row r="95" spans="8:14">
      <c r="H95" s="13">
        <f t="shared" si="4"/>
        <v>0</v>
      </c>
      <c r="I95" t="str" cm="1">
        <f t="array" ref="I95">_xlfn.IFS(H95&lt;1,"No",H95=1,"Yes",H95&gt;1,_xlfn.TEXTJOIN("",TRUE,"Yes x",H95))</f>
        <v>No</v>
      </c>
      <c r="J95" s="13">
        <f t="shared" si="5"/>
        <v>0</v>
      </c>
      <c r="K95" s="13">
        <f t="shared" si="6"/>
        <v>0</v>
      </c>
      <c r="L95" s="13" t="str" cm="1">
        <f t="array" ref="L95">_xlfn.IFS(J95&lt;1,"",J95=1,"Pass",J95&gt;1,_xlfn.TEXTJOIN("",TRUE,"Pass x",J95))</f>
        <v/>
      </c>
      <c r="M95" s="13" t="str" cm="1">
        <f t="array" ref="M95">_xlfn.IFS(K95&lt;1,"",K95=1,"Fail",K95&gt;1,_xlfn.TEXTJOIN("",TRUE,"Fail x",K95))</f>
        <v/>
      </c>
      <c r="N95" t="str">
        <f t="shared" si="7"/>
        <v/>
      </c>
    </row>
    <row r="96" spans="8:14">
      <c r="H96" s="13">
        <f t="shared" si="4"/>
        <v>0</v>
      </c>
      <c r="I96" t="str" cm="1">
        <f t="array" ref="I96">_xlfn.IFS(H96&lt;1,"No",H96=1,"Yes",H96&gt;1,_xlfn.TEXTJOIN("",TRUE,"Yes x",H96))</f>
        <v>No</v>
      </c>
      <c r="J96" s="13">
        <f t="shared" si="5"/>
        <v>0</v>
      </c>
      <c r="K96" s="13">
        <f t="shared" si="6"/>
        <v>0</v>
      </c>
      <c r="L96" s="13" t="str" cm="1">
        <f t="array" ref="L96">_xlfn.IFS(J96&lt;1,"",J96=1,"Pass",J96&gt;1,_xlfn.TEXTJOIN("",TRUE,"Pass x",J96))</f>
        <v/>
      </c>
      <c r="M96" s="13" t="str" cm="1">
        <f t="array" ref="M96">_xlfn.IFS(K96&lt;1,"",K96=1,"Fail",K96&gt;1,_xlfn.TEXTJOIN("",TRUE,"Fail x",K96))</f>
        <v/>
      </c>
      <c r="N96" t="str">
        <f t="shared" si="7"/>
        <v/>
      </c>
    </row>
    <row r="97" spans="8:14">
      <c r="H97" s="13">
        <f t="shared" si="4"/>
        <v>0</v>
      </c>
      <c r="I97" t="str" cm="1">
        <f t="array" ref="I97">_xlfn.IFS(H97&lt;1,"No",H97=1,"Yes",H97&gt;1,_xlfn.TEXTJOIN("",TRUE,"Yes x",H97))</f>
        <v>No</v>
      </c>
      <c r="J97" s="13">
        <f t="shared" si="5"/>
        <v>0</v>
      </c>
      <c r="K97" s="13">
        <f t="shared" si="6"/>
        <v>0</v>
      </c>
      <c r="L97" s="13" t="str" cm="1">
        <f t="array" ref="L97">_xlfn.IFS(J97&lt;1,"",J97=1,"Pass",J97&gt;1,_xlfn.TEXTJOIN("",TRUE,"Pass x",J97))</f>
        <v/>
      </c>
      <c r="M97" s="13" t="str" cm="1">
        <f t="array" ref="M97">_xlfn.IFS(K97&lt;1,"",K97=1,"Fail",K97&gt;1,_xlfn.TEXTJOIN("",TRUE,"Fail x",K97))</f>
        <v/>
      </c>
      <c r="N97" t="str">
        <f t="shared" si="7"/>
        <v/>
      </c>
    </row>
    <row r="98" spans="8:14">
      <c r="H98" s="13">
        <f t="shared" si="4"/>
        <v>0</v>
      </c>
      <c r="I98" t="str" cm="1">
        <f t="array" ref="I98">_xlfn.IFS(H98&lt;1,"No",H98=1,"Yes",H98&gt;1,_xlfn.TEXTJOIN("",TRUE,"Yes x",H98))</f>
        <v>No</v>
      </c>
      <c r="J98" s="13">
        <f t="shared" si="5"/>
        <v>0</v>
      </c>
      <c r="K98" s="13">
        <f t="shared" si="6"/>
        <v>0</v>
      </c>
      <c r="L98" s="13" t="str" cm="1">
        <f t="array" ref="L98">_xlfn.IFS(J98&lt;1,"",J98=1,"Pass",J98&gt;1,_xlfn.TEXTJOIN("",TRUE,"Pass x",J98))</f>
        <v/>
      </c>
      <c r="M98" s="13" t="str" cm="1">
        <f t="array" ref="M98">_xlfn.IFS(K98&lt;1,"",K98=1,"Fail",K98&gt;1,_xlfn.TEXTJOIN("",TRUE,"Fail x",K98))</f>
        <v/>
      </c>
      <c r="N98" t="str">
        <f t="shared" si="7"/>
        <v/>
      </c>
    </row>
    <row r="99" spans="8:14">
      <c r="H99" s="13">
        <f t="shared" si="4"/>
        <v>0</v>
      </c>
      <c r="I99" t="str" cm="1">
        <f t="array" ref="I99">_xlfn.IFS(H99&lt;1,"No",H99=1,"Yes",H99&gt;1,_xlfn.TEXTJOIN("",TRUE,"Yes x",H99))</f>
        <v>No</v>
      </c>
      <c r="J99" s="13">
        <f t="shared" si="5"/>
        <v>0</v>
      </c>
      <c r="K99" s="13">
        <f t="shared" si="6"/>
        <v>0</v>
      </c>
      <c r="L99" s="13" t="str" cm="1">
        <f t="array" ref="L99">_xlfn.IFS(J99&lt;1,"",J99=1,"Pass",J99&gt;1,_xlfn.TEXTJOIN("",TRUE,"Pass x",J99))</f>
        <v/>
      </c>
      <c r="M99" s="13" t="str" cm="1">
        <f t="array" ref="M99">_xlfn.IFS(K99&lt;1,"",K99=1,"Fail",K99&gt;1,_xlfn.TEXTJOIN("",TRUE,"Fail x",K99))</f>
        <v/>
      </c>
      <c r="N99" t="str">
        <f t="shared" si="7"/>
        <v/>
      </c>
    </row>
    <row r="100" spans="8:14">
      <c r="H100" s="13">
        <f t="shared" si="4"/>
        <v>0</v>
      </c>
      <c r="I100" t="str" cm="1">
        <f t="array" ref="I100">_xlfn.IFS(H100&lt;1,"No",H100=1,"Yes",H100&gt;1,_xlfn.TEXTJOIN("",TRUE,"Yes x",H100))</f>
        <v>No</v>
      </c>
      <c r="J100" s="13">
        <f t="shared" si="5"/>
        <v>0</v>
      </c>
      <c r="K100" s="13">
        <f t="shared" si="6"/>
        <v>0</v>
      </c>
      <c r="L100" s="13" t="str" cm="1">
        <f t="array" ref="L100">_xlfn.IFS(J100&lt;1,"",J100=1,"Pass",J100&gt;1,_xlfn.TEXTJOIN("",TRUE,"Pass x",J100))</f>
        <v/>
      </c>
      <c r="M100" s="13" t="str" cm="1">
        <f t="array" ref="M100">_xlfn.IFS(K100&lt;1,"",K100=1,"Fail",K100&gt;1,_xlfn.TEXTJOIN("",TRUE,"Fail x",K100))</f>
        <v/>
      </c>
      <c r="N100" t="str">
        <f t="shared" si="7"/>
        <v/>
      </c>
    </row>
    <row r="101" spans="8:14">
      <c r="H101" s="13">
        <f t="shared" si="4"/>
        <v>0</v>
      </c>
      <c r="J101" s="13">
        <f t="shared" si="5"/>
        <v>0</v>
      </c>
      <c r="K101" s="13">
        <f t="shared" si="6"/>
        <v>0</v>
      </c>
      <c r="L101" s="13" t="str" cm="1">
        <f t="array" ref="L101">_xlfn.IFS(J101&lt;1,"",J101=1,"Pass",J101&gt;1,_xlfn.TEXTJOIN("",TRUE,"Pass x",J101))</f>
        <v/>
      </c>
      <c r="M101" s="13" t="str" cm="1">
        <f t="array" ref="M101">_xlfn.IFS(K101&lt;1,"",K101=1,"Fail",K101&gt;1,_xlfn.TEXTJOIN("",TRUE,"Fail x",K101))</f>
        <v/>
      </c>
      <c r="N101" t="str">
        <f t="shared" si="7"/>
        <v/>
      </c>
    </row>
    <row r="102" spans="8:14">
      <c r="H102" s="13">
        <f t="shared" si="4"/>
        <v>0</v>
      </c>
      <c r="J102" s="13">
        <f t="shared" si="5"/>
        <v>0</v>
      </c>
      <c r="K102" s="13">
        <f t="shared" si="6"/>
        <v>0</v>
      </c>
      <c r="L102" s="13" t="str" cm="1">
        <f t="array" ref="L102">_xlfn.IFS(J102&lt;1,"",J102=1,"Pass",J102&gt;1,_xlfn.TEXTJOIN("",TRUE,"Pass x",J102))</f>
        <v/>
      </c>
      <c r="M102" s="13" t="str" cm="1">
        <f t="array" ref="M102">_xlfn.IFS(K102&lt;1,"",K102=1,"Fail",K102&gt;1,_xlfn.TEXTJOIN("",TRUE,"Fail x",K102))</f>
        <v/>
      </c>
      <c r="N102" t="str">
        <f t="shared" si="7"/>
        <v/>
      </c>
    </row>
    <row r="103" spans="8:14">
      <c r="H103" s="13">
        <f t="shared" si="4"/>
        <v>0</v>
      </c>
      <c r="J103" s="13">
        <f t="shared" si="5"/>
        <v>0</v>
      </c>
      <c r="K103" s="13">
        <f t="shared" si="6"/>
        <v>0</v>
      </c>
      <c r="L103" s="13" t="str" cm="1">
        <f t="array" ref="L103">_xlfn.IFS(J103&lt;1,"",J103=1,"Pass",J103&gt;1,_xlfn.TEXTJOIN("",TRUE,"Pass x",J103))</f>
        <v/>
      </c>
      <c r="M103" s="13" t="str" cm="1">
        <f t="array" ref="M103">_xlfn.IFS(K103&lt;1,"",K103=1,"Fail",K103&gt;1,_xlfn.TEXTJOIN("",TRUE,"Fail x",K103))</f>
        <v/>
      </c>
      <c r="N103" t="str">
        <f t="shared" si="7"/>
        <v/>
      </c>
    </row>
    <row r="104" spans="8:14">
      <c r="H104" s="13">
        <f t="shared" si="4"/>
        <v>0</v>
      </c>
      <c r="J104" s="13">
        <f t="shared" si="5"/>
        <v>0</v>
      </c>
      <c r="K104" s="13">
        <f t="shared" si="6"/>
        <v>0</v>
      </c>
      <c r="L104" s="13" t="str" cm="1">
        <f t="array" ref="L104">_xlfn.IFS(J104&lt;1,"",J104=1,"Pass",J104&gt;1,_xlfn.TEXTJOIN("",TRUE,"Pass x",J104))</f>
        <v/>
      </c>
      <c r="M104" s="13" t="str" cm="1">
        <f t="array" ref="M104">_xlfn.IFS(K104&lt;1,"",K104=1,"Fail",K104&gt;1,_xlfn.TEXTJOIN("",TRUE,"Fail x",K104))</f>
        <v/>
      </c>
      <c r="N104" t="str">
        <f t="shared" si="7"/>
        <v/>
      </c>
    </row>
    <row r="105" spans="8:14">
      <c r="H105" s="13">
        <f t="shared" si="4"/>
        <v>0</v>
      </c>
      <c r="J105" s="13">
        <f t="shared" si="5"/>
        <v>0</v>
      </c>
      <c r="K105" s="13">
        <f t="shared" si="6"/>
        <v>0</v>
      </c>
      <c r="L105" s="13" t="str" cm="1">
        <f t="array" ref="L105">_xlfn.IFS(J105&lt;1,"",J105=1,"Pass",J105&gt;1,_xlfn.TEXTJOIN("",TRUE,"Pass x",J105))</f>
        <v/>
      </c>
      <c r="M105" s="13" t="str" cm="1">
        <f t="array" ref="M105">_xlfn.IFS(K105&lt;1,"",K105=1,"Fail",K105&gt;1,_xlfn.TEXTJOIN("",TRUE,"Fail x",K105))</f>
        <v/>
      </c>
      <c r="N105" t="str">
        <f t="shared" si="7"/>
        <v/>
      </c>
    </row>
    <row r="106" spans="8:14">
      <c r="H106" s="13">
        <f t="shared" si="4"/>
        <v>0</v>
      </c>
      <c r="J106" s="13">
        <f t="shared" si="5"/>
        <v>0</v>
      </c>
      <c r="K106" s="13">
        <f t="shared" si="6"/>
        <v>0</v>
      </c>
      <c r="L106" s="13" t="str" cm="1">
        <f t="array" ref="L106">_xlfn.IFS(J106&lt;1,"",J106=1,"Pass",J106&gt;1,_xlfn.TEXTJOIN("",TRUE,"Pass x",J106))</f>
        <v/>
      </c>
      <c r="M106" s="13" t="str" cm="1">
        <f t="array" ref="M106">_xlfn.IFS(K106&lt;1,"",K106=1,"Fail",K106&gt;1,_xlfn.TEXTJOIN("",TRUE,"Fail x",K106))</f>
        <v/>
      </c>
      <c r="N106" t="str">
        <f t="shared" si="7"/>
        <v/>
      </c>
    </row>
    <row r="107" spans="8:14">
      <c r="H107" s="13">
        <f t="shared" si="4"/>
        <v>0</v>
      </c>
      <c r="J107" s="13">
        <f t="shared" si="5"/>
        <v>0</v>
      </c>
      <c r="K107" s="13">
        <f t="shared" si="6"/>
        <v>0</v>
      </c>
      <c r="L107" s="13" t="str" cm="1">
        <f t="array" ref="L107">_xlfn.IFS(J107&lt;1,"",J107=1,"Pass",J107&gt;1,_xlfn.TEXTJOIN("",TRUE,"Pass x",J107))</f>
        <v/>
      </c>
      <c r="M107" s="13" t="str" cm="1">
        <f t="array" ref="M107">_xlfn.IFS(K107&lt;1,"",K107=1,"Fail",K107&gt;1,_xlfn.TEXTJOIN("",TRUE,"Fail x",K107))</f>
        <v/>
      </c>
      <c r="N107" t="str">
        <f t="shared" si="7"/>
        <v/>
      </c>
    </row>
    <row r="108" spans="8:14">
      <c r="H108" s="13">
        <f t="shared" si="4"/>
        <v>0</v>
      </c>
      <c r="J108" s="13">
        <f t="shared" si="5"/>
        <v>0</v>
      </c>
      <c r="K108" s="13">
        <f t="shared" si="6"/>
        <v>0</v>
      </c>
      <c r="L108" s="13" t="str" cm="1">
        <f t="array" ref="L108">_xlfn.IFS(J108&lt;1,"",J108=1,"Pass",J108&gt;1,_xlfn.TEXTJOIN("",TRUE,"Pass x",J108))</f>
        <v/>
      </c>
      <c r="M108" s="13" t="str" cm="1">
        <f t="array" ref="M108">_xlfn.IFS(K108&lt;1,"",K108=1,"Fail",K108&gt;1,_xlfn.TEXTJOIN("",TRUE,"Fail x",K108))</f>
        <v/>
      </c>
      <c r="N108" t="str">
        <f t="shared" si="7"/>
        <v/>
      </c>
    </row>
    <row r="109" spans="8:14">
      <c r="H109" s="13">
        <f t="shared" si="4"/>
        <v>0</v>
      </c>
      <c r="J109" s="13">
        <f t="shared" si="5"/>
        <v>0</v>
      </c>
      <c r="K109" s="13">
        <f t="shared" si="6"/>
        <v>0</v>
      </c>
      <c r="L109" s="13" t="str" cm="1">
        <f t="array" ref="L109">_xlfn.IFS(J109&lt;1,"",J109=1,"Pass",J109&gt;1,_xlfn.TEXTJOIN("",TRUE,"Pass x",J109))</f>
        <v/>
      </c>
      <c r="M109" s="13" t="str" cm="1">
        <f t="array" ref="M109">_xlfn.IFS(K109&lt;1,"",K109=1,"Fail",K109&gt;1,_xlfn.TEXTJOIN("",TRUE,"Fail x",K109))</f>
        <v/>
      </c>
      <c r="N109" t="str">
        <f t="shared" si="7"/>
        <v/>
      </c>
    </row>
    <row r="110" spans="8:14">
      <c r="H110" s="13">
        <f t="shared" si="4"/>
        <v>0</v>
      </c>
      <c r="J110" s="13">
        <f t="shared" si="5"/>
        <v>0</v>
      </c>
      <c r="K110" s="13">
        <f t="shared" si="6"/>
        <v>0</v>
      </c>
      <c r="L110" s="13" t="str" cm="1">
        <f t="array" ref="L110">_xlfn.IFS(J110&lt;1,"",J110=1,"Pass",J110&gt;1,_xlfn.TEXTJOIN("",TRUE,"Pass x",J110))</f>
        <v/>
      </c>
      <c r="M110" s="13" t="str" cm="1">
        <f t="array" ref="M110">_xlfn.IFS(K110&lt;1,"",K110=1,"Fail",K110&gt;1,_xlfn.TEXTJOIN("",TRUE,"Fail x",K110))</f>
        <v/>
      </c>
      <c r="N110" t="str">
        <f t="shared" si="7"/>
        <v/>
      </c>
    </row>
    <row r="111" spans="8:14">
      <c r="H111" s="13">
        <f t="shared" si="4"/>
        <v>0</v>
      </c>
      <c r="J111" s="13">
        <f t="shared" si="5"/>
        <v>0</v>
      </c>
      <c r="K111" s="13">
        <f t="shared" si="6"/>
        <v>0</v>
      </c>
      <c r="L111" s="13" t="str" cm="1">
        <f t="array" ref="L111">_xlfn.IFS(J111&lt;1,"",J111=1,"Pass",J111&gt;1,_xlfn.TEXTJOIN("",TRUE,"Pass x",J111))</f>
        <v/>
      </c>
      <c r="M111" s="13" t="str" cm="1">
        <f t="array" ref="M111">_xlfn.IFS(K111&lt;1,"",K111=1,"Fail",K111&gt;1,_xlfn.TEXTJOIN("",TRUE,"Fail x",K111))</f>
        <v/>
      </c>
      <c r="N111" t="str">
        <f t="shared" si="7"/>
        <v/>
      </c>
    </row>
    <row r="112" spans="8:14">
      <c r="H112" s="13">
        <f t="shared" si="4"/>
        <v>0</v>
      </c>
      <c r="J112" s="13">
        <f t="shared" si="5"/>
        <v>0</v>
      </c>
      <c r="K112" s="13">
        <f t="shared" si="6"/>
        <v>0</v>
      </c>
      <c r="L112" s="13" t="str" cm="1">
        <f t="array" ref="L112">_xlfn.IFS(J112&lt;1,"",J112=1,"Pass",J112&gt;1,_xlfn.TEXTJOIN("",TRUE,"Pass x",J112))</f>
        <v/>
      </c>
      <c r="M112" s="13" t="str" cm="1">
        <f t="array" ref="M112">_xlfn.IFS(K112&lt;1,"",K112=1,"Fail",K112&gt;1,_xlfn.TEXTJOIN("",TRUE,"Fail x",K112))</f>
        <v/>
      </c>
      <c r="N112" t="str">
        <f t="shared" si="7"/>
        <v/>
      </c>
    </row>
    <row r="113" spans="8:14">
      <c r="H113" s="13">
        <f t="shared" si="4"/>
        <v>0</v>
      </c>
      <c r="J113" s="13">
        <f t="shared" si="5"/>
        <v>0</v>
      </c>
      <c r="K113" s="13">
        <f t="shared" si="6"/>
        <v>0</v>
      </c>
      <c r="L113" s="13" t="str" cm="1">
        <f t="array" ref="L113">_xlfn.IFS(J113&lt;1,"",J113=1,"Pass",J113&gt;1,_xlfn.TEXTJOIN("",TRUE,"Pass x",J113))</f>
        <v/>
      </c>
      <c r="M113" s="13" t="str" cm="1">
        <f t="array" ref="M113">_xlfn.IFS(K113&lt;1,"",K113=1,"Fail",K113&gt;1,_xlfn.TEXTJOIN("",TRUE,"Fail x",K113))</f>
        <v/>
      </c>
      <c r="N113" t="str">
        <f t="shared" si="7"/>
        <v/>
      </c>
    </row>
    <row r="114" spans="8:14">
      <c r="H114" s="13">
        <f t="shared" si="4"/>
        <v>0</v>
      </c>
      <c r="J114" s="13">
        <f t="shared" si="5"/>
        <v>0</v>
      </c>
      <c r="K114" s="13">
        <f t="shared" si="6"/>
        <v>0</v>
      </c>
      <c r="L114" s="13" t="str" cm="1">
        <f t="array" ref="L114">_xlfn.IFS(J114&lt;1,"",J114=1,"Pass",J114&gt;1,_xlfn.TEXTJOIN("",TRUE,"Pass x",J114))</f>
        <v/>
      </c>
      <c r="M114" s="13" t="str" cm="1">
        <f t="array" ref="M114">_xlfn.IFS(K114&lt;1,"",K114=1,"Fail",K114&gt;1,_xlfn.TEXTJOIN("",TRUE,"Fail x",K114))</f>
        <v/>
      </c>
    </row>
    <row r="115" spans="8:14">
      <c r="H115" s="13">
        <f t="shared" si="4"/>
        <v>0</v>
      </c>
      <c r="J115" s="13">
        <f t="shared" si="5"/>
        <v>0</v>
      </c>
      <c r="K115" s="13">
        <f t="shared" si="6"/>
        <v>0</v>
      </c>
      <c r="L115" s="13" t="str" cm="1">
        <f t="array" ref="L115">_xlfn.IFS(J115&lt;1,"",J115=1,"Pass",J115&gt;1,_xlfn.TEXTJOIN("",TRUE,"Pass x",J115))</f>
        <v/>
      </c>
      <c r="M115" s="13" t="str" cm="1">
        <f t="array" ref="M115">_xlfn.IFS(K115&lt;1,"",K115=1,"Fail",K115&gt;1,_xlfn.TEXTJOIN("",TRUE,"Fail x",K115))</f>
        <v/>
      </c>
    </row>
    <row r="116" spans="8:14">
      <c r="H116" s="13">
        <f t="shared" si="4"/>
        <v>0</v>
      </c>
      <c r="J116" s="13">
        <f t="shared" si="5"/>
        <v>0</v>
      </c>
      <c r="K116" s="13">
        <f t="shared" si="6"/>
        <v>0</v>
      </c>
      <c r="L116" s="13" t="str" cm="1">
        <f t="array" ref="L116">_xlfn.IFS(J116&lt;1,"",J116=1,"Pass",J116&gt;1,_xlfn.TEXTJOIN("",TRUE,"Pass x",J116))</f>
        <v/>
      </c>
      <c r="M116" s="13" t="str" cm="1">
        <f t="array" ref="M116">_xlfn.IFS(K116&lt;1,"",K116=1,"Fail",K116&gt;1,_xlfn.TEXTJOIN("",TRUE,"Fail x",K116))</f>
        <v/>
      </c>
    </row>
    <row r="117" spans="8:14">
      <c r="H117" s="13">
        <f t="shared" si="4"/>
        <v>0</v>
      </c>
      <c r="J117" s="13">
        <f t="shared" si="5"/>
        <v>0</v>
      </c>
      <c r="K117" s="13">
        <f t="shared" si="6"/>
        <v>0</v>
      </c>
      <c r="L117" s="13" t="str" cm="1">
        <f t="array" ref="L117">_xlfn.IFS(J117&lt;1,"",J117=1,"Pass",J117&gt;1,_xlfn.TEXTJOIN("",TRUE,"Pass x",J117))</f>
        <v/>
      </c>
      <c r="M117" s="13" t="str" cm="1">
        <f t="array" ref="M117">_xlfn.IFS(K117&lt;1,"",K117=1,"Fail",K117&gt;1,_xlfn.TEXTJOIN("",TRUE,"Fail x",K117))</f>
        <v/>
      </c>
    </row>
    <row r="118" spans="8:14">
      <c r="H118" s="13">
        <f t="shared" si="4"/>
        <v>0</v>
      </c>
      <c r="J118" s="13">
        <f t="shared" si="5"/>
        <v>0</v>
      </c>
      <c r="K118" s="13">
        <f t="shared" si="6"/>
        <v>0</v>
      </c>
      <c r="L118" s="13" t="str" cm="1">
        <f t="array" ref="L118">_xlfn.IFS(J118&lt;1,"",J118=1,"Pass",J118&gt;1,_xlfn.TEXTJOIN("",TRUE,"Pass x",J118))</f>
        <v/>
      </c>
      <c r="M118" s="13" t="str" cm="1">
        <f t="array" ref="M118">_xlfn.IFS(K118&lt;1,"",K118=1,"Fail",K118&gt;1,_xlfn.TEXTJOIN("",TRUE,"Fail x",K118))</f>
        <v/>
      </c>
    </row>
    <row r="119" spans="8:14">
      <c r="H119" s="13">
        <f t="shared" si="4"/>
        <v>0</v>
      </c>
      <c r="J119" s="13">
        <f t="shared" si="5"/>
        <v>0</v>
      </c>
      <c r="K119" s="13">
        <f t="shared" si="6"/>
        <v>0</v>
      </c>
      <c r="L119" s="13" t="str" cm="1">
        <f t="array" ref="L119">_xlfn.IFS(J119&lt;1,"",J119=1,"Pass",J119&gt;1,_xlfn.TEXTJOIN("",TRUE,"Pass x",J119))</f>
        <v/>
      </c>
      <c r="M119" s="13" t="str" cm="1">
        <f t="array" ref="M119">_xlfn.IFS(K119&lt;1,"",K119=1,"Fail",K119&gt;1,_xlfn.TEXTJOIN("",TRUE,"Fail x",K119))</f>
        <v/>
      </c>
    </row>
    <row r="120" spans="8:14">
      <c r="H120" s="13">
        <f t="shared" si="4"/>
        <v>0</v>
      </c>
      <c r="J120" s="13">
        <f t="shared" si="5"/>
        <v>0</v>
      </c>
      <c r="K120" s="13">
        <f t="shared" si="6"/>
        <v>0</v>
      </c>
      <c r="L120" s="13" t="str" cm="1">
        <f t="array" ref="L120">_xlfn.IFS(J120&lt;1,"",J120=1,"Pass",J120&gt;1,_xlfn.TEXTJOIN("",TRUE,"Pass x",J120))</f>
        <v/>
      </c>
      <c r="M120" s="13" t="str" cm="1">
        <f t="array" ref="M120">_xlfn.IFS(K120&lt;1,"",K120=1,"Fail",K120&gt;1,_xlfn.TEXTJOIN("",TRUE,"Fail x",K120))</f>
        <v/>
      </c>
    </row>
    <row r="121" spans="8:14">
      <c r="H121" s="13">
        <f t="shared" si="4"/>
        <v>0</v>
      </c>
      <c r="J121" s="13">
        <f t="shared" si="5"/>
        <v>0</v>
      </c>
      <c r="K121" s="13">
        <f t="shared" si="6"/>
        <v>0</v>
      </c>
      <c r="L121" s="13" t="str" cm="1">
        <f t="array" ref="L121">_xlfn.IFS(J121&lt;1,"",J121=1,"Pass",J121&gt;1,_xlfn.TEXTJOIN("",TRUE,"Pass x",J121))</f>
        <v/>
      </c>
      <c r="M121" s="13" t="str" cm="1">
        <f t="array" ref="M121">_xlfn.IFS(K121&lt;1,"",K121=1,"Fail",K121&gt;1,_xlfn.TEXTJOIN("",TRUE,"Fail x",K121))</f>
        <v/>
      </c>
    </row>
    <row r="122" spans="8:14">
      <c r="H122" s="13">
        <f t="shared" si="4"/>
        <v>0</v>
      </c>
      <c r="J122" s="13">
        <f t="shared" si="5"/>
        <v>0</v>
      </c>
      <c r="K122" s="13">
        <f t="shared" si="6"/>
        <v>0</v>
      </c>
      <c r="L122" s="13" t="str" cm="1">
        <f t="array" ref="L122">_xlfn.IFS(J122&lt;1,"",J122=1,"Pass",J122&gt;1,_xlfn.TEXTJOIN("",TRUE,"Pass x",J122))</f>
        <v/>
      </c>
      <c r="M122" s="13" t="str" cm="1">
        <f t="array" ref="M122">_xlfn.IFS(K122&lt;1,"",K122=1,"Fail",K122&gt;1,_xlfn.TEXTJOIN("",TRUE,"Fail x",K122))</f>
        <v/>
      </c>
    </row>
    <row r="123" spans="8:14">
      <c r="H123" s="13">
        <f t="shared" si="4"/>
        <v>0</v>
      </c>
      <c r="J123" s="13">
        <f t="shared" si="5"/>
        <v>0</v>
      </c>
      <c r="K123" s="13">
        <f t="shared" si="6"/>
        <v>0</v>
      </c>
      <c r="L123" s="13" t="str" cm="1">
        <f t="array" ref="L123">_xlfn.IFS(J123&lt;1,"",J123=1,"Pass",J123&gt;1,_xlfn.TEXTJOIN("",TRUE,"Pass x",J123))</f>
        <v/>
      </c>
      <c r="M123" s="13" t="str" cm="1">
        <f t="array" ref="M123">_xlfn.IFS(K123&lt;1,"",K123=1,"Fail",K123&gt;1,_xlfn.TEXTJOIN("",TRUE,"Fail x",K123))</f>
        <v/>
      </c>
    </row>
    <row r="124" spans="8:14">
      <c r="H124" s="13">
        <f t="shared" si="4"/>
        <v>0</v>
      </c>
      <c r="J124" s="13">
        <f t="shared" si="5"/>
        <v>0</v>
      </c>
      <c r="K124" s="13">
        <f t="shared" si="6"/>
        <v>0</v>
      </c>
      <c r="L124" s="13" t="str" cm="1">
        <f t="array" ref="L124">_xlfn.IFS(J124&lt;1,"",J124=1,"Pass",J124&gt;1,_xlfn.TEXTJOIN("",TRUE,"Pass x",J124))</f>
        <v/>
      </c>
      <c r="M124" s="13" t="str" cm="1">
        <f t="array" ref="M124">_xlfn.IFS(K124&lt;1,"",K124=1,"Fail",K124&gt;1,_xlfn.TEXTJOIN("",TRUE,"Fail x",K124))</f>
        <v/>
      </c>
    </row>
    <row r="125" spans="8:14">
      <c r="H125" s="13">
        <f t="shared" si="4"/>
        <v>0</v>
      </c>
      <c r="J125" s="13">
        <f t="shared" si="5"/>
        <v>0</v>
      </c>
      <c r="K125" s="13">
        <f t="shared" si="6"/>
        <v>0</v>
      </c>
      <c r="L125" s="13" t="str" cm="1">
        <f t="array" ref="L125">_xlfn.IFS(J125&lt;1,"",J125=1,"Pass",J125&gt;1,_xlfn.TEXTJOIN("",TRUE,"Pass x",J125))</f>
        <v/>
      </c>
      <c r="M125" s="13" t="str" cm="1">
        <f t="array" ref="M125">_xlfn.IFS(K125&lt;1,"",K125=1,"Fail",K125&gt;1,_xlfn.TEXTJOIN("",TRUE,"Fail x",K125))</f>
        <v/>
      </c>
    </row>
    <row r="126" spans="8:14">
      <c r="H126" s="13">
        <f t="shared" si="4"/>
        <v>0</v>
      </c>
      <c r="J126" s="13">
        <f t="shared" si="5"/>
        <v>0</v>
      </c>
      <c r="K126" s="13">
        <f t="shared" si="6"/>
        <v>0</v>
      </c>
      <c r="L126" s="13" t="str" cm="1">
        <f t="array" ref="L126">_xlfn.IFS(J126&lt;1,"",J126=1,"Pass",J126&gt;1,_xlfn.TEXTJOIN("",TRUE,"Pass x",J126))</f>
        <v/>
      </c>
      <c r="M126" s="13" t="str" cm="1">
        <f t="array" ref="M126">_xlfn.IFS(K126&lt;1,"",K126=1,"Fail",K126&gt;1,_xlfn.TEXTJOIN("",TRUE,"Fail x",K126))</f>
        <v/>
      </c>
    </row>
    <row r="127" spans="8:14">
      <c r="H127" s="13">
        <f t="shared" si="4"/>
        <v>0</v>
      </c>
      <c r="J127" s="13">
        <f t="shared" si="5"/>
        <v>0</v>
      </c>
      <c r="K127" s="13">
        <f t="shared" si="6"/>
        <v>0</v>
      </c>
      <c r="L127" s="13" t="str" cm="1">
        <f t="array" ref="L127">_xlfn.IFS(J127&lt;1,"",J127=1,"Pass",J127&gt;1,_xlfn.TEXTJOIN("",TRUE,"Pass x",J127))</f>
        <v/>
      </c>
      <c r="M127" s="13" t="str" cm="1">
        <f t="array" ref="M127">_xlfn.IFS(K127&lt;1,"",K127=1,"Fail",K127&gt;1,_xlfn.TEXTJOIN("",TRUE,"Fail x",K127))</f>
        <v/>
      </c>
    </row>
    <row r="128" spans="8:14">
      <c r="H128" s="13">
        <f t="shared" si="4"/>
        <v>0</v>
      </c>
      <c r="J128" s="13">
        <f t="shared" si="5"/>
        <v>0</v>
      </c>
      <c r="K128" s="13">
        <f t="shared" si="6"/>
        <v>0</v>
      </c>
      <c r="L128" s="13" t="str" cm="1">
        <f t="array" ref="L128">_xlfn.IFS(J128&lt;1,"",J128=1,"Pass",J128&gt;1,_xlfn.TEXTJOIN("",TRUE,"Pass x",J128))</f>
        <v/>
      </c>
      <c r="M128" s="13" t="str" cm="1">
        <f t="array" ref="M128">_xlfn.IFS(K128&lt;1,"",K128=1,"Fail",K128&gt;1,_xlfn.TEXTJOIN("",TRUE,"Fail x",K128))</f>
        <v/>
      </c>
    </row>
    <row r="129" spans="8:13">
      <c r="H129" s="13">
        <f t="shared" si="4"/>
        <v>0</v>
      </c>
      <c r="J129" s="13">
        <f t="shared" si="5"/>
        <v>0</v>
      </c>
      <c r="K129" s="13">
        <f t="shared" si="6"/>
        <v>0</v>
      </c>
      <c r="L129" s="13" t="str" cm="1">
        <f t="array" ref="L129">_xlfn.IFS(J129&lt;1,"",J129=1,"Pass",J129&gt;1,_xlfn.TEXTJOIN("",TRUE,"Pass x",J129))</f>
        <v/>
      </c>
      <c r="M129" s="13" t="str" cm="1">
        <f t="array" ref="M129">_xlfn.IFS(K129&lt;1,"",K129=1,"Fail",K129&gt;1,_xlfn.TEXTJOIN("",TRUE,"Fail x",K129))</f>
        <v/>
      </c>
    </row>
    <row r="130" spans="8:13">
      <c r="H130" s="13">
        <f t="shared" si="4"/>
        <v>0</v>
      </c>
      <c r="J130" s="13">
        <f t="shared" si="5"/>
        <v>0</v>
      </c>
      <c r="K130" s="13">
        <f t="shared" si="6"/>
        <v>0</v>
      </c>
      <c r="L130" s="13" t="str" cm="1">
        <f t="array" ref="L130">_xlfn.IFS(J130&lt;1,"",J130=1,"Pass",J130&gt;1,_xlfn.TEXTJOIN("",TRUE,"Pass x",J130))</f>
        <v/>
      </c>
      <c r="M130" s="13" t="str" cm="1">
        <f t="array" ref="M130">_xlfn.IFS(K130&lt;1,"",K130=1,"Fail",K130&gt;1,_xlfn.TEXTJOIN("",TRUE,"Fail x",K130))</f>
        <v/>
      </c>
    </row>
    <row r="131" spans="8:13">
      <c r="H131" s="13">
        <f t="shared" ref="H131:H194" si="8">IFERROR(GETPIVOTDATA("Successful / Failed",$A$1,"System serial",G131),0)</f>
        <v>0</v>
      </c>
      <c r="J131" s="13">
        <f t="shared" ref="J131:J194" si="9">IFERROR(GETPIVOTDATA("Successful / Failed",$A$1,"System serial",G131,"Successful / Failed","Successful"),0)</f>
        <v>0</v>
      </c>
      <c r="K131" s="13">
        <f t="shared" ref="K131:K194" si="10">IFERROR(GETPIVOTDATA("Successful / Failed",$A$1,"System serial",G131,"Successful / Failed","Failed"),0)</f>
        <v>0</v>
      </c>
      <c r="L131" s="13" t="str" cm="1">
        <f t="array" ref="L131">_xlfn.IFS(J131&lt;1,"",J131=1,"Pass",J131&gt;1,_xlfn.TEXTJOIN("",TRUE,"Pass x",J131))</f>
        <v/>
      </c>
      <c r="M131" s="13" t="str" cm="1">
        <f t="array" ref="M131">_xlfn.IFS(K131&lt;1,"",K131=1,"Fail",K131&gt;1,_xlfn.TEXTJOIN("",TRUE,"Fail x",K131))</f>
        <v/>
      </c>
    </row>
    <row r="132" spans="8:13">
      <c r="H132" s="13">
        <f t="shared" si="8"/>
        <v>0</v>
      </c>
      <c r="J132" s="13">
        <f t="shared" si="9"/>
        <v>0</v>
      </c>
      <c r="K132" s="13">
        <f t="shared" si="10"/>
        <v>0</v>
      </c>
      <c r="L132" s="13" t="str" cm="1">
        <f t="array" ref="L132">_xlfn.IFS(J132&lt;1,"",J132=1,"Pass",J132&gt;1,_xlfn.TEXTJOIN("",TRUE,"Pass x",J132))</f>
        <v/>
      </c>
      <c r="M132" s="13" t="str" cm="1">
        <f t="array" ref="M132">_xlfn.IFS(K132&lt;1,"",K132=1,"Fail",K132&gt;1,_xlfn.TEXTJOIN("",TRUE,"Fail x",K132))</f>
        <v/>
      </c>
    </row>
    <row r="133" spans="8:13">
      <c r="H133" s="13">
        <f t="shared" si="8"/>
        <v>0</v>
      </c>
      <c r="J133" s="13">
        <f t="shared" si="9"/>
        <v>0</v>
      </c>
      <c r="K133" s="13">
        <f t="shared" si="10"/>
        <v>0</v>
      </c>
      <c r="L133" s="13" t="str" cm="1">
        <f t="array" ref="L133">_xlfn.IFS(J133&lt;1,"",J133=1,"Pass",J133&gt;1,_xlfn.TEXTJOIN("",TRUE,"Pass x",J133))</f>
        <v/>
      </c>
      <c r="M133" s="13" t="str" cm="1">
        <f t="array" ref="M133">_xlfn.IFS(K133&lt;1,"",K133=1,"Fail",K133&gt;1,_xlfn.TEXTJOIN("",TRUE,"Fail x",K133))</f>
        <v/>
      </c>
    </row>
    <row r="134" spans="8:13">
      <c r="H134" s="13">
        <f t="shared" si="8"/>
        <v>0</v>
      </c>
      <c r="J134" s="13">
        <f t="shared" si="9"/>
        <v>0</v>
      </c>
      <c r="K134" s="13">
        <f t="shared" si="10"/>
        <v>0</v>
      </c>
      <c r="L134" s="13" t="str" cm="1">
        <f t="array" ref="L134">_xlfn.IFS(J134&lt;1,"",J134=1,"Pass",J134&gt;1,_xlfn.TEXTJOIN("",TRUE,"Pass x",J134))</f>
        <v/>
      </c>
      <c r="M134" s="13" t="str" cm="1">
        <f t="array" ref="M134">_xlfn.IFS(K134&lt;1,"",K134=1,"Fail",K134&gt;1,_xlfn.TEXTJOIN("",TRUE,"Fail x",K134))</f>
        <v/>
      </c>
    </row>
    <row r="135" spans="8:13">
      <c r="H135" s="13">
        <f t="shared" si="8"/>
        <v>0</v>
      </c>
      <c r="J135" s="13">
        <f t="shared" si="9"/>
        <v>0</v>
      </c>
      <c r="K135" s="13">
        <f t="shared" si="10"/>
        <v>0</v>
      </c>
      <c r="L135" s="13" t="str" cm="1">
        <f t="array" ref="L135">_xlfn.IFS(J135&lt;1,"",J135=1,"Pass",J135&gt;1,_xlfn.TEXTJOIN("",TRUE,"Pass x",J135))</f>
        <v/>
      </c>
      <c r="M135" s="13" t="str" cm="1">
        <f t="array" ref="M135">_xlfn.IFS(K135&lt;1,"",K135=1,"Fail",K135&gt;1,_xlfn.TEXTJOIN("",TRUE,"Fail x",K135))</f>
        <v/>
      </c>
    </row>
    <row r="136" spans="8:13">
      <c r="H136" s="13">
        <f t="shared" si="8"/>
        <v>0</v>
      </c>
      <c r="J136" s="13">
        <f t="shared" si="9"/>
        <v>0</v>
      </c>
      <c r="K136" s="13">
        <f t="shared" si="10"/>
        <v>0</v>
      </c>
      <c r="L136" s="13" t="str" cm="1">
        <f t="array" ref="L136">_xlfn.IFS(J136&lt;1,"",J136=1,"Pass",J136&gt;1,_xlfn.TEXTJOIN("",TRUE,"Pass x",J136))</f>
        <v/>
      </c>
      <c r="M136" s="13" t="str" cm="1">
        <f t="array" ref="M136">_xlfn.IFS(K136&lt;1,"",K136=1,"Fail",K136&gt;1,_xlfn.TEXTJOIN("",TRUE,"Fail x",K136))</f>
        <v/>
      </c>
    </row>
    <row r="137" spans="8:13">
      <c r="H137" s="13">
        <f t="shared" si="8"/>
        <v>0</v>
      </c>
      <c r="J137" s="13">
        <f t="shared" si="9"/>
        <v>0</v>
      </c>
      <c r="K137" s="13">
        <f t="shared" si="10"/>
        <v>0</v>
      </c>
      <c r="L137" s="13" t="str" cm="1">
        <f t="array" ref="L137">_xlfn.IFS(J137&lt;1,"",J137=1,"Pass",J137&gt;1,_xlfn.TEXTJOIN("",TRUE,"Pass x",J137))</f>
        <v/>
      </c>
      <c r="M137" s="13" t="str" cm="1">
        <f t="array" ref="M137">_xlfn.IFS(K137&lt;1,"",K137=1,"Fail",K137&gt;1,_xlfn.TEXTJOIN("",TRUE,"Fail x",K137))</f>
        <v/>
      </c>
    </row>
    <row r="138" spans="8:13">
      <c r="H138" s="13">
        <f t="shared" si="8"/>
        <v>0</v>
      </c>
      <c r="J138" s="13">
        <f t="shared" si="9"/>
        <v>0</v>
      </c>
      <c r="K138" s="13">
        <f t="shared" si="10"/>
        <v>0</v>
      </c>
      <c r="L138" s="13" t="str" cm="1">
        <f t="array" ref="L138">_xlfn.IFS(J138&lt;1,"",J138=1,"Pass",J138&gt;1,_xlfn.TEXTJOIN("",TRUE,"Pass x",J138))</f>
        <v/>
      </c>
      <c r="M138" s="13" t="str" cm="1">
        <f t="array" ref="M138">_xlfn.IFS(K138&lt;1,"",K138=1,"Fail",K138&gt;1,_xlfn.TEXTJOIN("",TRUE,"Fail x",K138))</f>
        <v/>
      </c>
    </row>
    <row r="139" spans="8:13">
      <c r="H139" s="13">
        <f t="shared" si="8"/>
        <v>0</v>
      </c>
      <c r="J139" s="13">
        <f t="shared" si="9"/>
        <v>0</v>
      </c>
      <c r="K139" s="13">
        <f t="shared" si="10"/>
        <v>0</v>
      </c>
      <c r="L139" s="13" t="str" cm="1">
        <f t="array" ref="L139">_xlfn.IFS(J139&lt;1,"",J139=1,"Pass",J139&gt;1,_xlfn.TEXTJOIN("",TRUE,"Pass x",J139))</f>
        <v/>
      </c>
      <c r="M139" s="13" t="str" cm="1">
        <f t="array" ref="M139">_xlfn.IFS(K139&lt;1,"",K139=1,"Fail",K139&gt;1,_xlfn.TEXTJOIN("",TRUE,"Fail x",K139))</f>
        <v/>
      </c>
    </row>
    <row r="140" spans="8:13">
      <c r="H140" s="13">
        <f t="shared" si="8"/>
        <v>0</v>
      </c>
      <c r="J140" s="13">
        <f t="shared" si="9"/>
        <v>0</v>
      </c>
      <c r="K140" s="13">
        <f t="shared" si="10"/>
        <v>0</v>
      </c>
      <c r="L140" s="13" t="str" cm="1">
        <f t="array" ref="L140">_xlfn.IFS(J140&lt;1,"",J140=1,"Pass",J140&gt;1,_xlfn.TEXTJOIN("",TRUE,"Pass x",J140))</f>
        <v/>
      </c>
      <c r="M140" s="13" t="str" cm="1">
        <f t="array" ref="M140">_xlfn.IFS(K140&lt;1,"",K140=1,"Fail",K140&gt;1,_xlfn.TEXTJOIN("",TRUE,"Fail x",K140))</f>
        <v/>
      </c>
    </row>
    <row r="141" spans="8:13">
      <c r="H141" s="13">
        <f t="shared" si="8"/>
        <v>0</v>
      </c>
      <c r="J141" s="13">
        <f t="shared" si="9"/>
        <v>0</v>
      </c>
      <c r="K141" s="13">
        <f t="shared" si="10"/>
        <v>0</v>
      </c>
      <c r="L141" s="13" t="str" cm="1">
        <f t="array" ref="L141">_xlfn.IFS(J141&lt;1,"",J141=1,"Pass",J141&gt;1,_xlfn.TEXTJOIN("",TRUE,"Pass x",J141))</f>
        <v/>
      </c>
      <c r="M141" s="13" t="str" cm="1">
        <f t="array" ref="M141">_xlfn.IFS(K141&lt;1,"",K141=1,"Fail",K141&gt;1,_xlfn.TEXTJOIN("",TRUE,"Fail x",K141))</f>
        <v/>
      </c>
    </row>
    <row r="142" spans="8:13">
      <c r="H142" s="13">
        <f t="shared" si="8"/>
        <v>0</v>
      </c>
      <c r="J142" s="13">
        <f t="shared" si="9"/>
        <v>0</v>
      </c>
      <c r="K142" s="13">
        <f t="shared" si="10"/>
        <v>0</v>
      </c>
      <c r="L142" s="13" t="str" cm="1">
        <f t="array" ref="L142">_xlfn.IFS(J142&lt;1,"",J142=1,"Pass",J142&gt;1,_xlfn.TEXTJOIN("",TRUE,"Pass x",J142))</f>
        <v/>
      </c>
      <c r="M142" s="13" t="str" cm="1">
        <f t="array" ref="M142">_xlfn.IFS(K142&lt;1,"",K142=1,"Fail",K142&gt;1,_xlfn.TEXTJOIN("",TRUE,"Fail x",K142))</f>
        <v/>
      </c>
    </row>
    <row r="143" spans="8:13">
      <c r="H143" s="13">
        <f t="shared" si="8"/>
        <v>0</v>
      </c>
      <c r="J143" s="13">
        <f t="shared" si="9"/>
        <v>0</v>
      </c>
      <c r="K143" s="13">
        <f t="shared" si="10"/>
        <v>0</v>
      </c>
      <c r="L143" s="13" t="str" cm="1">
        <f t="array" ref="L143">_xlfn.IFS(J143&lt;1,"",J143=1,"Pass",J143&gt;1,_xlfn.TEXTJOIN("",TRUE,"Pass x",J143))</f>
        <v/>
      </c>
      <c r="M143" s="13" t="str" cm="1">
        <f t="array" ref="M143">_xlfn.IFS(K143&lt;1,"",K143=1,"Fail",K143&gt;1,_xlfn.TEXTJOIN("",TRUE,"Fail x",K143))</f>
        <v/>
      </c>
    </row>
    <row r="144" spans="8:13">
      <c r="H144" s="13">
        <f t="shared" si="8"/>
        <v>0</v>
      </c>
      <c r="J144" s="13">
        <f t="shared" si="9"/>
        <v>0</v>
      </c>
      <c r="K144" s="13">
        <f t="shared" si="10"/>
        <v>0</v>
      </c>
      <c r="L144" s="13" t="str" cm="1">
        <f t="array" ref="L144">_xlfn.IFS(J144&lt;1,"",J144=1,"Pass",J144&gt;1,_xlfn.TEXTJOIN("",TRUE,"Pass x",J144))</f>
        <v/>
      </c>
      <c r="M144" s="13" t="str" cm="1">
        <f t="array" ref="M144">_xlfn.IFS(K144&lt;1,"",K144=1,"Fail",K144&gt;1,_xlfn.TEXTJOIN("",TRUE,"Fail x",K144))</f>
        <v/>
      </c>
    </row>
    <row r="145" spans="8:13">
      <c r="H145" s="13">
        <f t="shared" si="8"/>
        <v>0</v>
      </c>
      <c r="J145" s="13">
        <f t="shared" si="9"/>
        <v>0</v>
      </c>
      <c r="K145" s="13">
        <f t="shared" si="10"/>
        <v>0</v>
      </c>
      <c r="L145" s="13" t="str" cm="1">
        <f t="array" ref="L145">_xlfn.IFS(J145&lt;1,"",J145=1,"Pass",J145&gt;1,_xlfn.TEXTJOIN("",TRUE,"Pass x",J145))</f>
        <v/>
      </c>
      <c r="M145" s="13" t="str" cm="1">
        <f t="array" ref="M145">_xlfn.IFS(K145&lt;1,"",K145=1,"Fail",K145&gt;1,_xlfn.TEXTJOIN("",TRUE,"Fail x",K145))</f>
        <v/>
      </c>
    </row>
    <row r="146" spans="8:13">
      <c r="H146" s="13">
        <f t="shared" si="8"/>
        <v>0</v>
      </c>
      <c r="J146" s="13">
        <f t="shared" si="9"/>
        <v>0</v>
      </c>
      <c r="K146" s="13">
        <f t="shared" si="10"/>
        <v>0</v>
      </c>
      <c r="L146" s="13" t="str" cm="1">
        <f t="array" ref="L146">_xlfn.IFS(J146&lt;1,"",J146=1,"Pass",J146&gt;1,_xlfn.TEXTJOIN("",TRUE,"Pass x",J146))</f>
        <v/>
      </c>
      <c r="M146" s="13" t="str" cm="1">
        <f t="array" ref="M146">_xlfn.IFS(K146&lt;1,"",K146=1,"Fail",K146&gt;1,_xlfn.TEXTJOIN("",TRUE,"Fail x",K146))</f>
        <v/>
      </c>
    </row>
    <row r="147" spans="8:13">
      <c r="H147" s="13">
        <f t="shared" si="8"/>
        <v>0</v>
      </c>
      <c r="J147" s="13">
        <f t="shared" si="9"/>
        <v>0</v>
      </c>
      <c r="K147" s="13">
        <f t="shared" si="10"/>
        <v>0</v>
      </c>
      <c r="L147" s="13" t="str" cm="1">
        <f t="array" ref="L147">_xlfn.IFS(J147&lt;1,"",J147=1,"Pass",J147&gt;1,_xlfn.TEXTJOIN("",TRUE,"Pass x",J147))</f>
        <v/>
      </c>
      <c r="M147" s="13" t="str" cm="1">
        <f t="array" ref="M147">_xlfn.IFS(K147&lt;1,"",K147=1,"Fail",K147&gt;1,_xlfn.TEXTJOIN("",TRUE,"Fail x",K147))</f>
        <v/>
      </c>
    </row>
    <row r="148" spans="8:13">
      <c r="H148" s="13">
        <f t="shared" si="8"/>
        <v>0</v>
      </c>
      <c r="J148" s="13">
        <f t="shared" si="9"/>
        <v>0</v>
      </c>
      <c r="K148" s="13">
        <f t="shared" si="10"/>
        <v>0</v>
      </c>
      <c r="L148" s="13" t="str" cm="1">
        <f t="array" ref="L148">_xlfn.IFS(J148&lt;1,"",J148=1,"Pass",J148&gt;1,_xlfn.TEXTJOIN("",TRUE,"Pass x",J148))</f>
        <v/>
      </c>
      <c r="M148" s="13" t="str" cm="1">
        <f t="array" ref="M148">_xlfn.IFS(K148&lt;1,"",K148=1,"Fail",K148&gt;1,_xlfn.TEXTJOIN("",TRUE,"Fail x",K148))</f>
        <v/>
      </c>
    </row>
    <row r="149" spans="8:13">
      <c r="H149" s="13">
        <f t="shared" si="8"/>
        <v>0</v>
      </c>
      <c r="J149" s="13">
        <f t="shared" si="9"/>
        <v>0</v>
      </c>
      <c r="K149" s="13">
        <f t="shared" si="10"/>
        <v>0</v>
      </c>
      <c r="L149" s="13" t="str" cm="1">
        <f t="array" ref="L149">_xlfn.IFS(J149&lt;1,"",J149=1,"Pass",J149&gt;1,_xlfn.TEXTJOIN("",TRUE,"Pass x",J149))</f>
        <v/>
      </c>
      <c r="M149" s="13" t="str" cm="1">
        <f t="array" ref="M149">_xlfn.IFS(K149&lt;1,"",K149=1,"Fail",K149&gt;1,_xlfn.TEXTJOIN("",TRUE,"Fail x",K149))</f>
        <v/>
      </c>
    </row>
    <row r="150" spans="8:13">
      <c r="H150" s="13">
        <f t="shared" si="8"/>
        <v>0</v>
      </c>
      <c r="J150" s="13">
        <f t="shared" si="9"/>
        <v>0</v>
      </c>
      <c r="K150" s="13">
        <f t="shared" si="10"/>
        <v>0</v>
      </c>
      <c r="L150" s="13" t="str" cm="1">
        <f t="array" ref="L150">_xlfn.IFS(J150&lt;1,"",J150=1,"Pass",J150&gt;1,_xlfn.TEXTJOIN("",TRUE,"Pass x",J150))</f>
        <v/>
      </c>
      <c r="M150" s="13" t="str" cm="1">
        <f t="array" ref="M150">_xlfn.IFS(K150&lt;1,"",K150=1,"Fail",K150&gt;1,_xlfn.TEXTJOIN("",TRUE,"Fail x",K150))</f>
        <v/>
      </c>
    </row>
    <row r="151" spans="8:13">
      <c r="H151" s="13">
        <f t="shared" si="8"/>
        <v>0</v>
      </c>
      <c r="J151" s="13">
        <f t="shared" si="9"/>
        <v>0</v>
      </c>
      <c r="K151" s="13">
        <f t="shared" si="10"/>
        <v>0</v>
      </c>
      <c r="L151" s="13" t="str" cm="1">
        <f t="array" ref="L151">_xlfn.IFS(J151&lt;1,"",J151=1,"Pass",J151&gt;1,_xlfn.TEXTJOIN("",TRUE,"Pass x",J151))</f>
        <v/>
      </c>
      <c r="M151" s="13" t="str" cm="1">
        <f t="array" ref="M151">_xlfn.IFS(K151&lt;1,"",K151=1,"Fail",K151&gt;1,_xlfn.TEXTJOIN("",TRUE,"Fail x",K151))</f>
        <v/>
      </c>
    </row>
    <row r="152" spans="8:13">
      <c r="H152" s="13">
        <f t="shared" si="8"/>
        <v>0</v>
      </c>
      <c r="J152" s="13">
        <f t="shared" si="9"/>
        <v>0</v>
      </c>
      <c r="K152" s="13">
        <f t="shared" si="10"/>
        <v>0</v>
      </c>
      <c r="L152" s="13" t="str" cm="1">
        <f t="array" ref="L152">_xlfn.IFS(J152&lt;1,"",J152=1,"Pass",J152&gt;1,_xlfn.TEXTJOIN("",TRUE,"Pass x",J152))</f>
        <v/>
      </c>
      <c r="M152" s="13" t="str" cm="1">
        <f t="array" ref="M152">_xlfn.IFS(K152&lt;1,"",K152=1,"Fail",K152&gt;1,_xlfn.TEXTJOIN("",TRUE,"Fail x",K152))</f>
        <v/>
      </c>
    </row>
    <row r="153" spans="8:13">
      <c r="H153" s="13">
        <f t="shared" si="8"/>
        <v>0</v>
      </c>
      <c r="J153" s="13">
        <f t="shared" si="9"/>
        <v>0</v>
      </c>
      <c r="K153" s="13">
        <f t="shared" si="10"/>
        <v>0</v>
      </c>
      <c r="L153" s="13" t="str" cm="1">
        <f t="array" ref="L153">_xlfn.IFS(J153&lt;1,"",J153=1,"Pass",J153&gt;1,_xlfn.TEXTJOIN("",TRUE,"Pass x",J153))</f>
        <v/>
      </c>
      <c r="M153" s="13" t="str" cm="1">
        <f t="array" ref="M153">_xlfn.IFS(K153&lt;1,"",K153=1,"Fail",K153&gt;1,_xlfn.TEXTJOIN("",TRUE,"Fail x",K153))</f>
        <v/>
      </c>
    </row>
    <row r="154" spans="8:13">
      <c r="H154" s="13">
        <f t="shared" si="8"/>
        <v>0</v>
      </c>
      <c r="J154" s="13">
        <f t="shared" si="9"/>
        <v>0</v>
      </c>
      <c r="K154" s="13">
        <f t="shared" si="10"/>
        <v>0</v>
      </c>
      <c r="L154" s="13" t="str" cm="1">
        <f t="array" ref="L154">_xlfn.IFS(J154&lt;1,"",J154=1,"Pass",J154&gt;1,_xlfn.TEXTJOIN("",TRUE,"Pass x",J154))</f>
        <v/>
      </c>
      <c r="M154" s="13" t="str" cm="1">
        <f t="array" ref="M154">_xlfn.IFS(K154&lt;1,"",K154=1,"Fail",K154&gt;1,_xlfn.TEXTJOIN("",TRUE,"Fail x",K154))</f>
        <v/>
      </c>
    </row>
    <row r="155" spans="8:13">
      <c r="H155" s="13">
        <f t="shared" si="8"/>
        <v>0</v>
      </c>
      <c r="J155" s="13">
        <f t="shared" si="9"/>
        <v>0</v>
      </c>
      <c r="K155" s="13">
        <f t="shared" si="10"/>
        <v>0</v>
      </c>
      <c r="L155" s="13" t="str" cm="1">
        <f t="array" ref="L155">_xlfn.IFS(J155&lt;1,"",J155=1,"Pass",J155&gt;1,_xlfn.TEXTJOIN("",TRUE,"Pass x",J155))</f>
        <v/>
      </c>
      <c r="M155" s="13" t="str" cm="1">
        <f t="array" ref="M155">_xlfn.IFS(K155&lt;1,"",K155=1,"Fail",K155&gt;1,_xlfn.TEXTJOIN("",TRUE,"Fail x",K155))</f>
        <v/>
      </c>
    </row>
    <row r="156" spans="8:13">
      <c r="H156" s="13">
        <f t="shared" si="8"/>
        <v>0</v>
      </c>
      <c r="J156" s="13">
        <f t="shared" si="9"/>
        <v>0</v>
      </c>
      <c r="K156" s="13">
        <f t="shared" si="10"/>
        <v>0</v>
      </c>
      <c r="L156" s="13" t="str" cm="1">
        <f t="array" ref="L156">_xlfn.IFS(J156&lt;1,"",J156=1,"Pass",J156&gt;1,_xlfn.TEXTJOIN("",TRUE,"Pass x",J156))</f>
        <v/>
      </c>
      <c r="M156" s="13" t="str" cm="1">
        <f t="array" ref="M156">_xlfn.IFS(K156&lt;1,"",K156=1,"Fail",K156&gt;1,_xlfn.TEXTJOIN("",TRUE,"Fail x",K156))</f>
        <v/>
      </c>
    </row>
    <row r="157" spans="8:13">
      <c r="H157" s="13">
        <f t="shared" si="8"/>
        <v>0</v>
      </c>
      <c r="J157" s="13">
        <f t="shared" si="9"/>
        <v>0</v>
      </c>
      <c r="K157" s="13">
        <f t="shared" si="10"/>
        <v>0</v>
      </c>
      <c r="L157" s="13" t="str" cm="1">
        <f t="array" ref="L157">_xlfn.IFS(J157&lt;1,"",J157=1,"Pass",J157&gt;1,_xlfn.TEXTJOIN("",TRUE,"Pass x",J157))</f>
        <v/>
      </c>
      <c r="M157" s="13" t="str" cm="1">
        <f t="array" ref="M157">_xlfn.IFS(K157&lt;1,"",K157=1,"Fail",K157&gt;1,_xlfn.TEXTJOIN("",TRUE,"Fail x",K157))</f>
        <v/>
      </c>
    </row>
    <row r="158" spans="8:13">
      <c r="H158" s="13">
        <f t="shared" si="8"/>
        <v>0</v>
      </c>
      <c r="J158" s="13">
        <f t="shared" si="9"/>
        <v>0</v>
      </c>
      <c r="K158" s="13">
        <f t="shared" si="10"/>
        <v>0</v>
      </c>
      <c r="L158" s="13" t="str" cm="1">
        <f t="array" ref="L158">_xlfn.IFS(J158&lt;1,"",J158=1,"Pass",J158&gt;1,_xlfn.TEXTJOIN("",TRUE,"Pass x",J158))</f>
        <v/>
      </c>
      <c r="M158" s="13" t="str" cm="1">
        <f t="array" ref="M158">_xlfn.IFS(K158&lt;1,"",K158=1,"Fail",K158&gt;1,_xlfn.TEXTJOIN("",TRUE,"Fail x",K158))</f>
        <v/>
      </c>
    </row>
    <row r="159" spans="8:13">
      <c r="H159" s="13">
        <f t="shared" si="8"/>
        <v>0</v>
      </c>
      <c r="J159" s="13">
        <f t="shared" si="9"/>
        <v>0</v>
      </c>
      <c r="K159" s="13">
        <f t="shared" si="10"/>
        <v>0</v>
      </c>
      <c r="L159" s="13" t="str" cm="1">
        <f t="array" ref="L159">_xlfn.IFS(J159&lt;1,"",J159=1,"Pass",J159&gt;1,_xlfn.TEXTJOIN("",TRUE,"Pass x",J159))</f>
        <v/>
      </c>
      <c r="M159" s="13" t="str" cm="1">
        <f t="array" ref="M159">_xlfn.IFS(K159&lt;1,"",K159=1,"Fail",K159&gt;1,_xlfn.TEXTJOIN("",TRUE,"Fail x",K159))</f>
        <v/>
      </c>
    </row>
    <row r="160" spans="8:13">
      <c r="H160" s="13">
        <f t="shared" si="8"/>
        <v>0</v>
      </c>
      <c r="J160" s="13">
        <f t="shared" si="9"/>
        <v>0</v>
      </c>
      <c r="K160" s="13">
        <f t="shared" si="10"/>
        <v>0</v>
      </c>
      <c r="L160" s="13" t="str" cm="1">
        <f t="array" ref="L160">_xlfn.IFS(J160&lt;1,"",J160=1,"Pass",J160&gt;1,_xlfn.TEXTJOIN("",TRUE,"Pass x",J160))</f>
        <v/>
      </c>
      <c r="M160" s="13" t="str" cm="1">
        <f t="array" ref="M160">_xlfn.IFS(K160&lt;1,"",K160=1,"Fail",K160&gt;1,_xlfn.TEXTJOIN("",TRUE,"Fail x",K160))</f>
        <v/>
      </c>
    </row>
    <row r="161" spans="8:13">
      <c r="H161" s="13">
        <f t="shared" si="8"/>
        <v>0</v>
      </c>
      <c r="J161" s="13">
        <f t="shared" si="9"/>
        <v>0</v>
      </c>
      <c r="K161" s="13">
        <f t="shared" si="10"/>
        <v>0</v>
      </c>
      <c r="L161" s="13" t="str" cm="1">
        <f t="array" ref="L161">_xlfn.IFS(J161&lt;1,"",J161=1,"Pass",J161&gt;1,_xlfn.TEXTJOIN("",TRUE,"Pass x",J161))</f>
        <v/>
      </c>
      <c r="M161" s="13" t="str" cm="1">
        <f t="array" ref="M161">_xlfn.IFS(K161&lt;1,"",K161=1,"Fail",K161&gt;1,_xlfn.TEXTJOIN("",TRUE,"Fail x",K161))</f>
        <v/>
      </c>
    </row>
    <row r="162" spans="8:13">
      <c r="H162" s="13">
        <f t="shared" si="8"/>
        <v>0</v>
      </c>
      <c r="J162" s="13">
        <f t="shared" si="9"/>
        <v>0</v>
      </c>
      <c r="K162" s="13">
        <f t="shared" si="10"/>
        <v>0</v>
      </c>
      <c r="L162" s="13" t="str" cm="1">
        <f t="array" ref="L162">_xlfn.IFS(J162&lt;1,"",J162=1,"Pass",J162&gt;1,_xlfn.TEXTJOIN("",TRUE,"Pass x",J162))</f>
        <v/>
      </c>
      <c r="M162" s="13" t="str" cm="1">
        <f t="array" ref="M162">_xlfn.IFS(K162&lt;1,"",K162=1,"Fail",K162&gt;1,_xlfn.TEXTJOIN("",TRUE,"Fail x",K162))</f>
        <v/>
      </c>
    </row>
    <row r="163" spans="8:13">
      <c r="H163" s="13">
        <f t="shared" si="8"/>
        <v>0</v>
      </c>
      <c r="J163" s="13">
        <f t="shared" si="9"/>
        <v>0</v>
      </c>
      <c r="K163" s="13">
        <f t="shared" si="10"/>
        <v>0</v>
      </c>
      <c r="L163" s="13" t="str" cm="1">
        <f t="array" ref="L163">_xlfn.IFS(J163&lt;1,"",J163=1,"Pass",J163&gt;1,_xlfn.TEXTJOIN("",TRUE,"Pass x",J163))</f>
        <v/>
      </c>
      <c r="M163" s="13" t="str" cm="1">
        <f t="array" ref="M163">_xlfn.IFS(K163&lt;1,"",K163=1,"Fail",K163&gt;1,_xlfn.TEXTJOIN("",TRUE,"Fail x",K163))</f>
        <v/>
      </c>
    </row>
    <row r="164" spans="8:13">
      <c r="H164" s="13">
        <f t="shared" si="8"/>
        <v>0</v>
      </c>
      <c r="J164" s="13">
        <f t="shared" si="9"/>
        <v>0</v>
      </c>
      <c r="K164" s="13">
        <f t="shared" si="10"/>
        <v>0</v>
      </c>
      <c r="L164" s="13" t="str" cm="1">
        <f t="array" ref="L164">_xlfn.IFS(J164&lt;1,"",J164=1,"Pass",J164&gt;1,_xlfn.TEXTJOIN("",TRUE,"Pass x",J164))</f>
        <v/>
      </c>
      <c r="M164" s="13" t="str" cm="1">
        <f t="array" ref="M164">_xlfn.IFS(K164&lt;1,"",K164=1,"Fail",K164&gt;1,_xlfn.TEXTJOIN("",TRUE,"Fail x",K164))</f>
        <v/>
      </c>
    </row>
    <row r="165" spans="8:13">
      <c r="H165" s="13">
        <f t="shared" si="8"/>
        <v>0</v>
      </c>
      <c r="J165" s="13">
        <f t="shared" si="9"/>
        <v>0</v>
      </c>
      <c r="K165" s="13">
        <f t="shared" si="10"/>
        <v>0</v>
      </c>
      <c r="L165" s="13" t="str" cm="1">
        <f t="array" ref="L165">_xlfn.IFS(J165&lt;1,"",J165=1,"Pass",J165&gt;1,_xlfn.TEXTJOIN("",TRUE,"Pass x",J165))</f>
        <v/>
      </c>
      <c r="M165" s="13" t="str" cm="1">
        <f t="array" ref="M165">_xlfn.IFS(K165&lt;1,"",K165=1,"Fail",K165&gt;1,_xlfn.TEXTJOIN("",TRUE,"Fail x",K165))</f>
        <v/>
      </c>
    </row>
    <row r="166" spans="8:13">
      <c r="H166" s="13">
        <f t="shared" si="8"/>
        <v>0</v>
      </c>
      <c r="J166" s="13">
        <f t="shared" si="9"/>
        <v>0</v>
      </c>
      <c r="K166" s="13">
        <f t="shared" si="10"/>
        <v>0</v>
      </c>
      <c r="L166" s="13" t="str" cm="1">
        <f t="array" ref="L166">_xlfn.IFS(J166&lt;1,"",J166=1,"Pass",J166&gt;1,_xlfn.TEXTJOIN("",TRUE,"Pass x",J166))</f>
        <v/>
      </c>
      <c r="M166" s="13" t="str" cm="1">
        <f t="array" ref="M166">_xlfn.IFS(K166&lt;1,"",K166=1,"Fail",K166&gt;1,_xlfn.TEXTJOIN("",TRUE,"Fail x",K166))</f>
        <v/>
      </c>
    </row>
    <row r="167" spans="8:13">
      <c r="H167" s="13">
        <f t="shared" si="8"/>
        <v>0</v>
      </c>
      <c r="J167" s="13">
        <f t="shared" si="9"/>
        <v>0</v>
      </c>
      <c r="K167" s="13">
        <f t="shared" si="10"/>
        <v>0</v>
      </c>
      <c r="L167" s="13" t="str" cm="1">
        <f t="array" ref="L167">_xlfn.IFS(J167&lt;1,"",J167=1,"Pass",J167&gt;1,_xlfn.TEXTJOIN("",TRUE,"Pass x",J167))</f>
        <v/>
      </c>
      <c r="M167" s="13" t="str" cm="1">
        <f t="array" ref="M167">_xlfn.IFS(K167&lt;1,"",K167=1,"Fail",K167&gt;1,_xlfn.TEXTJOIN("",TRUE,"Fail x",K167))</f>
        <v/>
      </c>
    </row>
    <row r="168" spans="8:13">
      <c r="H168" s="13">
        <f t="shared" si="8"/>
        <v>0</v>
      </c>
      <c r="J168" s="13">
        <f t="shared" si="9"/>
        <v>0</v>
      </c>
      <c r="K168" s="13">
        <f t="shared" si="10"/>
        <v>0</v>
      </c>
      <c r="L168" s="13" t="str" cm="1">
        <f t="array" ref="L168">_xlfn.IFS(J168&lt;1,"",J168=1,"Pass",J168&gt;1,_xlfn.TEXTJOIN("",TRUE,"Pass x",J168))</f>
        <v/>
      </c>
      <c r="M168" s="13" t="str" cm="1">
        <f t="array" ref="M168">_xlfn.IFS(K168&lt;1,"",K168=1,"Fail",K168&gt;1,_xlfn.TEXTJOIN("",TRUE,"Fail x",K168))</f>
        <v/>
      </c>
    </row>
    <row r="169" spans="8:13">
      <c r="H169" s="13">
        <f t="shared" si="8"/>
        <v>0</v>
      </c>
      <c r="J169" s="13">
        <f t="shared" si="9"/>
        <v>0</v>
      </c>
      <c r="K169" s="13">
        <f t="shared" si="10"/>
        <v>0</v>
      </c>
      <c r="L169" s="13" t="str" cm="1">
        <f t="array" ref="L169">_xlfn.IFS(J169&lt;1,"",J169=1,"Pass",J169&gt;1,_xlfn.TEXTJOIN("",TRUE,"Pass x",J169))</f>
        <v/>
      </c>
      <c r="M169" s="13" t="str" cm="1">
        <f t="array" ref="M169">_xlfn.IFS(K169&lt;1,"",K169=1,"Fail",K169&gt;1,_xlfn.TEXTJOIN("",TRUE,"Fail x",K169))</f>
        <v/>
      </c>
    </row>
    <row r="170" spans="8:13">
      <c r="H170" s="13">
        <f t="shared" si="8"/>
        <v>0</v>
      </c>
      <c r="J170" s="13">
        <f t="shared" si="9"/>
        <v>0</v>
      </c>
      <c r="K170" s="13">
        <f t="shared" si="10"/>
        <v>0</v>
      </c>
      <c r="L170" s="13" t="str" cm="1">
        <f t="array" ref="L170">_xlfn.IFS(J170&lt;1,"",J170=1,"Pass",J170&gt;1,_xlfn.TEXTJOIN("",TRUE,"Pass x",J170))</f>
        <v/>
      </c>
      <c r="M170" s="13" t="str" cm="1">
        <f t="array" ref="M170">_xlfn.IFS(K170&lt;1,"",K170=1,"Fail",K170&gt;1,_xlfn.TEXTJOIN("",TRUE,"Fail x",K170))</f>
        <v/>
      </c>
    </row>
    <row r="171" spans="8:13">
      <c r="H171" s="13">
        <f t="shared" si="8"/>
        <v>0</v>
      </c>
      <c r="J171" s="13">
        <f t="shared" si="9"/>
        <v>0</v>
      </c>
      <c r="K171" s="13">
        <f t="shared" si="10"/>
        <v>0</v>
      </c>
      <c r="L171" s="13" t="str" cm="1">
        <f t="array" ref="L171">_xlfn.IFS(J171&lt;1,"",J171=1,"Pass",J171&gt;1,_xlfn.TEXTJOIN("",TRUE,"Pass x",J171))</f>
        <v/>
      </c>
      <c r="M171" s="13" t="str" cm="1">
        <f t="array" ref="M171">_xlfn.IFS(K171&lt;1,"",K171=1,"Fail",K171&gt;1,_xlfn.TEXTJOIN("",TRUE,"Fail x",K171))</f>
        <v/>
      </c>
    </row>
    <row r="172" spans="8:13">
      <c r="H172" s="13">
        <f t="shared" si="8"/>
        <v>0</v>
      </c>
      <c r="J172" s="13">
        <f t="shared" si="9"/>
        <v>0</v>
      </c>
      <c r="K172" s="13">
        <f t="shared" si="10"/>
        <v>0</v>
      </c>
      <c r="L172" s="13" t="str" cm="1">
        <f t="array" ref="L172">_xlfn.IFS(J172&lt;1,"",J172=1,"Pass",J172&gt;1,_xlfn.TEXTJOIN("",TRUE,"Pass x",J172))</f>
        <v/>
      </c>
      <c r="M172" s="13" t="str" cm="1">
        <f t="array" ref="M172">_xlfn.IFS(K172&lt;1,"",K172=1,"Fail",K172&gt;1,_xlfn.TEXTJOIN("",TRUE,"Fail x",K172))</f>
        <v/>
      </c>
    </row>
    <row r="173" spans="8:13">
      <c r="H173" s="13">
        <f t="shared" si="8"/>
        <v>0</v>
      </c>
      <c r="J173" s="13">
        <f t="shared" si="9"/>
        <v>0</v>
      </c>
      <c r="K173" s="13">
        <f t="shared" si="10"/>
        <v>0</v>
      </c>
      <c r="L173" s="13" t="str" cm="1">
        <f t="array" ref="L173">_xlfn.IFS(J173&lt;1,"",J173=1,"Pass",J173&gt;1,_xlfn.TEXTJOIN("",TRUE,"Pass x",J173))</f>
        <v/>
      </c>
      <c r="M173" s="13" t="str" cm="1">
        <f t="array" ref="M173">_xlfn.IFS(K173&lt;1,"",K173=1,"Fail",K173&gt;1,_xlfn.TEXTJOIN("",TRUE,"Fail x",K173))</f>
        <v/>
      </c>
    </row>
    <row r="174" spans="8:13">
      <c r="H174" s="13">
        <f t="shared" si="8"/>
        <v>0</v>
      </c>
      <c r="J174" s="13">
        <f t="shared" si="9"/>
        <v>0</v>
      </c>
      <c r="K174" s="13">
        <f t="shared" si="10"/>
        <v>0</v>
      </c>
      <c r="L174" s="13" t="str" cm="1">
        <f t="array" ref="L174">_xlfn.IFS(J174&lt;1,"",J174=1,"Pass",J174&gt;1,_xlfn.TEXTJOIN("",TRUE,"Pass x",J174))</f>
        <v/>
      </c>
      <c r="M174" s="13" t="str" cm="1">
        <f t="array" ref="M174">_xlfn.IFS(K174&lt;1,"",K174=1,"Fail",K174&gt;1,_xlfn.TEXTJOIN("",TRUE,"Fail x",K174))</f>
        <v/>
      </c>
    </row>
    <row r="175" spans="8:13">
      <c r="H175" s="13">
        <f t="shared" si="8"/>
        <v>0</v>
      </c>
      <c r="J175" s="13">
        <f t="shared" si="9"/>
        <v>0</v>
      </c>
      <c r="K175" s="13">
        <f t="shared" si="10"/>
        <v>0</v>
      </c>
      <c r="L175" s="13" t="str" cm="1">
        <f t="array" ref="L175">_xlfn.IFS(J175&lt;1,"",J175=1,"Pass",J175&gt;1,_xlfn.TEXTJOIN("",TRUE,"Pass x",J175))</f>
        <v/>
      </c>
      <c r="M175" s="13" t="str" cm="1">
        <f t="array" ref="M175">_xlfn.IFS(K175&lt;1,"",K175=1,"Fail",K175&gt;1,_xlfn.TEXTJOIN("",TRUE,"Fail x",K175))</f>
        <v/>
      </c>
    </row>
    <row r="176" spans="8:13">
      <c r="H176" s="13">
        <f t="shared" si="8"/>
        <v>0</v>
      </c>
      <c r="J176" s="13">
        <f t="shared" si="9"/>
        <v>0</v>
      </c>
      <c r="K176" s="13">
        <f t="shared" si="10"/>
        <v>0</v>
      </c>
      <c r="L176" s="13" t="str" cm="1">
        <f t="array" ref="L176">_xlfn.IFS(J176&lt;1,"",J176=1,"Pass",J176&gt;1,_xlfn.TEXTJOIN("",TRUE,"Pass x",J176))</f>
        <v/>
      </c>
      <c r="M176" s="13" t="str" cm="1">
        <f t="array" ref="M176">_xlfn.IFS(K176&lt;1,"",K176=1,"Fail",K176&gt;1,_xlfn.TEXTJOIN("",TRUE,"Fail x",K176))</f>
        <v/>
      </c>
    </row>
    <row r="177" spans="8:13">
      <c r="H177" s="13">
        <f t="shared" si="8"/>
        <v>0</v>
      </c>
      <c r="J177" s="13">
        <f t="shared" si="9"/>
        <v>0</v>
      </c>
      <c r="K177" s="13">
        <f t="shared" si="10"/>
        <v>0</v>
      </c>
      <c r="L177" s="13" t="str" cm="1">
        <f t="array" ref="L177">_xlfn.IFS(J177&lt;1,"",J177=1,"Pass",J177&gt;1,_xlfn.TEXTJOIN("",TRUE,"Pass x",J177))</f>
        <v/>
      </c>
      <c r="M177" s="13" t="str" cm="1">
        <f t="array" ref="M177">_xlfn.IFS(K177&lt;1,"",K177=1,"Fail",K177&gt;1,_xlfn.TEXTJOIN("",TRUE,"Fail x",K177))</f>
        <v/>
      </c>
    </row>
    <row r="178" spans="8:13">
      <c r="H178" s="13">
        <f t="shared" si="8"/>
        <v>0</v>
      </c>
      <c r="J178" s="13">
        <f t="shared" si="9"/>
        <v>0</v>
      </c>
      <c r="K178" s="13">
        <f t="shared" si="10"/>
        <v>0</v>
      </c>
      <c r="L178" s="13" t="str" cm="1">
        <f t="array" ref="L178">_xlfn.IFS(J178&lt;1,"",J178=1,"Pass",J178&gt;1,_xlfn.TEXTJOIN("",TRUE,"Pass x",J178))</f>
        <v/>
      </c>
      <c r="M178" s="13" t="str" cm="1">
        <f t="array" ref="M178">_xlfn.IFS(K178&lt;1,"",K178=1,"Fail",K178&gt;1,_xlfn.TEXTJOIN("",TRUE,"Fail x",K178))</f>
        <v/>
      </c>
    </row>
    <row r="179" spans="8:13">
      <c r="H179" s="13">
        <f t="shared" si="8"/>
        <v>0</v>
      </c>
      <c r="J179" s="13">
        <f t="shared" si="9"/>
        <v>0</v>
      </c>
      <c r="K179" s="13">
        <f t="shared" si="10"/>
        <v>0</v>
      </c>
      <c r="L179" s="13" t="str" cm="1">
        <f t="array" ref="L179">_xlfn.IFS(J179&lt;1,"",J179=1,"Pass",J179&gt;1,_xlfn.TEXTJOIN("",TRUE,"Pass x",J179))</f>
        <v/>
      </c>
      <c r="M179" s="13" t="str" cm="1">
        <f t="array" ref="M179">_xlfn.IFS(K179&lt;1,"",K179=1,"Fail",K179&gt;1,_xlfn.TEXTJOIN("",TRUE,"Fail x",K179))</f>
        <v/>
      </c>
    </row>
    <row r="180" spans="8:13">
      <c r="H180" s="13">
        <f t="shared" si="8"/>
        <v>0</v>
      </c>
      <c r="J180" s="13">
        <f t="shared" si="9"/>
        <v>0</v>
      </c>
      <c r="K180" s="13">
        <f t="shared" si="10"/>
        <v>0</v>
      </c>
      <c r="L180" s="13" t="str" cm="1">
        <f t="array" ref="L180">_xlfn.IFS(J180&lt;1,"",J180=1,"Pass",J180&gt;1,_xlfn.TEXTJOIN("",TRUE,"Pass x",J180))</f>
        <v/>
      </c>
      <c r="M180" s="13" t="str" cm="1">
        <f t="array" ref="M180">_xlfn.IFS(K180&lt;1,"",K180=1,"Fail",K180&gt;1,_xlfn.TEXTJOIN("",TRUE,"Fail x",K180))</f>
        <v/>
      </c>
    </row>
    <row r="181" spans="8:13">
      <c r="H181" s="13">
        <f t="shared" si="8"/>
        <v>0</v>
      </c>
      <c r="J181" s="13">
        <f t="shared" si="9"/>
        <v>0</v>
      </c>
      <c r="K181" s="13">
        <f t="shared" si="10"/>
        <v>0</v>
      </c>
      <c r="L181" s="13" t="str" cm="1">
        <f t="array" ref="L181">_xlfn.IFS(J181&lt;1,"",J181=1,"Pass",J181&gt;1,_xlfn.TEXTJOIN("",TRUE,"Pass x",J181))</f>
        <v/>
      </c>
      <c r="M181" s="13" t="str" cm="1">
        <f t="array" ref="M181">_xlfn.IFS(K181&lt;1,"",K181=1,"Fail",K181&gt;1,_xlfn.TEXTJOIN("",TRUE,"Fail x",K181))</f>
        <v/>
      </c>
    </row>
    <row r="182" spans="8:13">
      <c r="H182" s="13">
        <f t="shared" si="8"/>
        <v>0</v>
      </c>
      <c r="J182" s="13">
        <f t="shared" si="9"/>
        <v>0</v>
      </c>
      <c r="K182" s="13">
        <f t="shared" si="10"/>
        <v>0</v>
      </c>
      <c r="L182" s="13" t="str" cm="1">
        <f t="array" ref="L182">_xlfn.IFS(J182&lt;1,"",J182=1,"Pass",J182&gt;1,_xlfn.TEXTJOIN("",TRUE,"Pass x",J182))</f>
        <v/>
      </c>
      <c r="M182" s="13" t="str" cm="1">
        <f t="array" ref="M182">_xlfn.IFS(K182&lt;1,"",K182=1,"Fail",K182&gt;1,_xlfn.TEXTJOIN("",TRUE,"Fail x",K182))</f>
        <v/>
      </c>
    </row>
    <row r="183" spans="8:13">
      <c r="H183" s="13">
        <f t="shared" si="8"/>
        <v>0</v>
      </c>
      <c r="J183" s="13">
        <f t="shared" si="9"/>
        <v>0</v>
      </c>
      <c r="K183" s="13">
        <f t="shared" si="10"/>
        <v>0</v>
      </c>
      <c r="L183" s="13" t="str" cm="1">
        <f t="array" ref="L183">_xlfn.IFS(J183&lt;1,"",J183=1,"Pass",J183&gt;1,_xlfn.TEXTJOIN("",TRUE,"Pass x",J183))</f>
        <v/>
      </c>
      <c r="M183" s="13" t="str" cm="1">
        <f t="array" ref="M183">_xlfn.IFS(K183&lt;1,"",K183=1,"Fail",K183&gt;1,_xlfn.TEXTJOIN("",TRUE,"Fail x",K183))</f>
        <v/>
      </c>
    </row>
    <row r="184" spans="8:13">
      <c r="H184" s="13">
        <f t="shared" si="8"/>
        <v>0</v>
      </c>
      <c r="J184" s="13">
        <f t="shared" si="9"/>
        <v>0</v>
      </c>
      <c r="K184" s="13">
        <f t="shared" si="10"/>
        <v>0</v>
      </c>
      <c r="L184" s="13" t="str" cm="1">
        <f t="array" ref="L184">_xlfn.IFS(J184&lt;1,"",J184=1,"Pass",J184&gt;1,_xlfn.TEXTJOIN("",TRUE,"Pass x",J184))</f>
        <v/>
      </c>
      <c r="M184" s="13" t="str" cm="1">
        <f t="array" ref="M184">_xlfn.IFS(K184&lt;1,"",K184=1,"Fail",K184&gt;1,_xlfn.TEXTJOIN("",TRUE,"Fail x",K184))</f>
        <v/>
      </c>
    </row>
    <row r="185" spans="8:13">
      <c r="H185" s="13">
        <f t="shared" si="8"/>
        <v>0</v>
      </c>
      <c r="J185" s="13">
        <f t="shared" si="9"/>
        <v>0</v>
      </c>
      <c r="K185" s="13">
        <f t="shared" si="10"/>
        <v>0</v>
      </c>
      <c r="L185" s="13" t="str" cm="1">
        <f t="array" ref="L185">_xlfn.IFS(J185&lt;1,"",J185=1,"Pass",J185&gt;1,_xlfn.TEXTJOIN("",TRUE,"Pass x",J185))</f>
        <v/>
      </c>
      <c r="M185" s="13" t="str" cm="1">
        <f t="array" ref="M185">_xlfn.IFS(K185&lt;1,"",K185=1,"Fail",K185&gt;1,_xlfn.TEXTJOIN("",TRUE,"Fail x",K185))</f>
        <v/>
      </c>
    </row>
    <row r="186" spans="8:13">
      <c r="H186" s="13">
        <f t="shared" si="8"/>
        <v>0</v>
      </c>
      <c r="J186" s="13">
        <f t="shared" si="9"/>
        <v>0</v>
      </c>
      <c r="K186" s="13">
        <f t="shared" si="10"/>
        <v>0</v>
      </c>
      <c r="L186" s="13" t="str" cm="1">
        <f t="array" ref="L186">_xlfn.IFS(J186&lt;1,"",J186=1,"Pass",J186&gt;1,_xlfn.TEXTJOIN("",TRUE,"Pass x",J186))</f>
        <v/>
      </c>
      <c r="M186" s="13" t="str" cm="1">
        <f t="array" ref="M186">_xlfn.IFS(K186&lt;1,"",K186=1,"Fail",K186&gt;1,_xlfn.TEXTJOIN("",TRUE,"Fail x",K186))</f>
        <v/>
      </c>
    </row>
    <row r="187" spans="8:13">
      <c r="H187" s="13">
        <f t="shared" si="8"/>
        <v>0</v>
      </c>
      <c r="J187" s="13">
        <f t="shared" si="9"/>
        <v>0</v>
      </c>
      <c r="K187" s="13">
        <f t="shared" si="10"/>
        <v>0</v>
      </c>
      <c r="L187" s="13" t="str" cm="1">
        <f t="array" ref="L187">_xlfn.IFS(J187&lt;1,"",J187=1,"Pass",J187&gt;1,_xlfn.TEXTJOIN("",TRUE,"Pass x",J187))</f>
        <v/>
      </c>
      <c r="M187" s="13" t="str" cm="1">
        <f t="array" ref="M187">_xlfn.IFS(K187&lt;1,"",K187=1,"Fail",K187&gt;1,_xlfn.TEXTJOIN("",TRUE,"Fail x",K187))</f>
        <v/>
      </c>
    </row>
    <row r="188" spans="8:13">
      <c r="H188" s="13">
        <f t="shared" si="8"/>
        <v>0</v>
      </c>
      <c r="J188" s="13">
        <f t="shared" si="9"/>
        <v>0</v>
      </c>
      <c r="K188" s="13">
        <f t="shared" si="10"/>
        <v>0</v>
      </c>
      <c r="L188" s="13" t="str" cm="1">
        <f t="array" ref="L188">_xlfn.IFS(J188&lt;1,"",J188=1,"Pass",J188&gt;1,_xlfn.TEXTJOIN("",TRUE,"Pass x",J188))</f>
        <v/>
      </c>
      <c r="M188" s="13" t="str" cm="1">
        <f t="array" ref="M188">_xlfn.IFS(K188&lt;1,"",K188=1,"Fail",K188&gt;1,_xlfn.TEXTJOIN("",TRUE,"Fail x",K188))</f>
        <v/>
      </c>
    </row>
    <row r="189" spans="8:13">
      <c r="H189" s="13">
        <f t="shared" si="8"/>
        <v>0</v>
      </c>
      <c r="J189" s="13">
        <f t="shared" si="9"/>
        <v>0</v>
      </c>
      <c r="K189" s="13">
        <f t="shared" si="10"/>
        <v>0</v>
      </c>
      <c r="L189" s="13" t="str" cm="1">
        <f t="array" ref="L189">_xlfn.IFS(J189&lt;1,"",J189=1,"Pass",J189&gt;1,_xlfn.TEXTJOIN("",TRUE,"Pass x",J189))</f>
        <v/>
      </c>
      <c r="M189" s="13" t="str" cm="1">
        <f t="array" ref="M189">_xlfn.IFS(K189&lt;1,"",K189=1,"Fail",K189&gt;1,_xlfn.TEXTJOIN("",TRUE,"Fail x",K189))</f>
        <v/>
      </c>
    </row>
    <row r="190" spans="8:13">
      <c r="H190" s="13">
        <f t="shared" si="8"/>
        <v>0</v>
      </c>
      <c r="J190" s="13">
        <f t="shared" si="9"/>
        <v>0</v>
      </c>
      <c r="K190" s="13">
        <f t="shared" si="10"/>
        <v>0</v>
      </c>
      <c r="L190" s="13" t="str" cm="1">
        <f t="array" ref="L190">_xlfn.IFS(J190&lt;1,"",J190=1,"Pass",J190&gt;1,_xlfn.TEXTJOIN("",TRUE,"Pass x",J190))</f>
        <v/>
      </c>
      <c r="M190" s="13" t="str" cm="1">
        <f t="array" ref="M190">_xlfn.IFS(K190&lt;1,"",K190=1,"Fail",K190&gt;1,_xlfn.TEXTJOIN("",TRUE,"Fail x",K190))</f>
        <v/>
      </c>
    </row>
    <row r="191" spans="8:13">
      <c r="H191" s="13">
        <f t="shared" si="8"/>
        <v>0</v>
      </c>
      <c r="J191" s="13">
        <f t="shared" si="9"/>
        <v>0</v>
      </c>
      <c r="K191" s="13">
        <f t="shared" si="10"/>
        <v>0</v>
      </c>
      <c r="L191" s="13" t="str" cm="1">
        <f t="array" ref="L191">_xlfn.IFS(J191&lt;1,"",J191=1,"Pass",J191&gt;1,_xlfn.TEXTJOIN("",TRUE,"Pass x",J191))</f>
        <v/>
      </c>
      <c r="M191" s="13" t="str" cm="1">
        <f t="array" ref="M191">_xlfn.IFS(K191&lt;1,"",K191=1,"Fail",K191&gt;1,_xlfn.TEXTJOIN("",TRUE,"Fail x",K191))</f>
        <v/>
      </c>
    </row>
    <row r="192" spans="8:13">
      <c r="H192" s="13">
        <f t="shared" si="8"/>
        <v>0</v>
      </c>
      <c r="J192" s="13">
        <f t="shared" si="9"/>
        <v>0</v>
      </c>
      <c r="K192" s="13">
        <f t="shared" si="10"/>
        <v>0</v>
      </c>
      <c r="L192" s="13" t="str" cm="1">
        <f t="array" ref="L192">_xlfn.IFS(J192&lt;1,"",J192=1,"Pass",J192&gt;1,_xlfn.TEXTJOIN("",TRUE,"Pass x",J192))</f>
        <v/>
      </c>
      <c r="M192" s="13" t="str" cm="1">
        <f t="array" ref="M192">_xlfn.IFS(K192&lt;1,"",K192=1,"Fail",K192&gt;1,_xlfn.TEXTJOIN("",TRUE,"Fail x",K192))</f>
        <v/>
      </c>
    </row>
    <row r="193" spans="8:13">
      <c r="H193" s="13">
        <f t="shared" si="8"/>
        <v>0</v>
      </c>
      <c r="J193" s="13">
        <f t="shared" si="9"/>
        <v>0</v>
      </c>
      <c r="K193" s="13">
        <f t="shared" si="10"/>
        <v>0</v>
      </c>
      <c r="L193" s="13" t="str" cm="1">
        <f t="array" ref="L193">_xlfn.IFS(J193&lt;1,"",J193=1,"Pass",J193&gt;1,_xlfn.TEXTJOIN("",TRUE,"Pass x",J193))</f>
        <v/>
      </c>
      <c r="M193" s="13" t="str" cm="1">
        <f t="array" ref="M193">_xlfn.IFS(K193&lt;1,"",K193=1,"Fail",K193&gt;1,_xlfn.TEXTJOIN("",TRUE,"Fail x",K193))</f>
        <v/>
      </c>
    </row>
    <row r="194" spans="8:13">
      <c r="H194" s="13">
        <f t="shared" si="8"/>
        <v>0</v>
      </c>
      <c r="J194" s="13">
        <f t="shared" si="9"/>
        <v>0</v>
      </c>
      <c r="K194" s="13">
        <f t="shared" si="10"/>
        <v>0</v>
      </c>
      <c r="L194" s="13" t="str" cm="1">
        <f t="array" ref="L194">_xlfn.IFS(J194&lt;1,"",J194=1,"Pass",J194&gt;1,_xlfn.TEXTJOIN("",TRUE,"Pass x",J194))</f>
        <v/>
      </c>
      <c r="M194" s="13" t="str" cm="1">
        <f t="array" ref="M194">_xlfn.IFS(K194&lt;1,"",K194=1,"Fail",K194&gt;1,_xlfn.TEXTJOIN("",TRUE,"Fail x",K194))</f>
        <v/>
      </c>
    </row>
    <row r="195" spans="8:13">
      <c r="H195" s="13">
        <f t="shared" ref="H195:H258" si="11">IFERROR(GETPIVOTDATA("Successful / Failed",$A$1,"System serial",G195),0)</f>
        <v>0</v>
      </c>
      <c r="J195" s="13">
        <f t="shared" ref="J195:J258" si="12">IFERROR(GETPIVOTDATA("Successful / Failed",$A$1,"System serial",G195,"Successful / Failed","Successful"),0)</f>
        <v>0</v>
      </c>
      <c r="K195" s="13">
        <f t="shared" ref="K195:K253" si="13">IFERROR(GETPIVOTDATA("Successful / Failed",$A$1,"System serial",G195,"Successful / Failed","Failed"),0)</f>
        <v>0</v>
      </c>
      <c r="L195" s="13" t="str" cm="1">
        <f t="array" ref="L195">_xlfn.IFS(J195&lt;1,"",J195=1,"Pass",J195&gt;1,_xlfn.TEXTJOIN("",TRUE,"Pass x",J195))</f>
        <v/>
      </c>
      <c r="M195" s="13" t="str" cm="1">
        <f t="array" ref="M195">_xlfn.IFS(K195&lt;1,"",K195=1,"Fail",K195&gt;1,_xlfn.TEXTJOIN("",TRUE,"Fail x",K195))</f>
        <v/>
      </c>
    </row>
    <row r="196" spans="8:13">
      <c r="H196" s="13">
        <f t="shared" si="11"/>
        <v>0</v>
      </c>
      <c r="J196" s="13">
        <f t="shared" si="12"/>
        <v>0</v>
      </c>
      <c r="K196" s="13">
        <f t="shared" si="13"/>
        <v>0</v>
      </c>
      <c r="L196" s="13" t="str" cm="1">
        <f t="array" ref="L196">_xlfn.IFS(J196&lt;1,"",J196=1,"Pass",J196&gt;1,_xlfn.TEXTJOIN("",TRUE,"Pass x",J196))</f>
        <v/>
      </c>
      <c r="M196" s="13" t="str" cm="1">
        <f t="array" ref="M196">_xlfn.IFS(K196&lt;1,"",K196=1,"Fail",K196&gt;1,_xlfn.TEXTJOIN("",TRUE,"Fail x",K196))</f>
        <v/>
      </c>
    </row>
    <row r="197" spans="8:13">
      <c r="H197" s="13">
        <f t="shared" si="11"/>
        <v>0</v>
      </c>
      <c r="J197" s="13">
        <f t="shared" si="12"/>
        <v>0</v>
      </c>
      <c r="K197" s="13">
        <f t="shared" si="13"/>
        <v>0</v>
      </c>
      <c r="L197" s="13" t="str" cm="1">
        <f t="array" ref="L197">_xlfn.IFS(J197&lt;1,"",J197=1,"Pass",J197&gt;1,_xlfn.TEXTJOIN("",TRUE,"Pass x",J197))</f>
        <v/>
      </c>
      <c r="M197" s="13" t="str" cm="1">
        <f t="array" ref="M197">_xlfn.IFS(K197&lt;1,"",K197=1,"Fail",K197&gt;1,_xlfn.TEXTJOIN("",TRUE,"Fail x",K197))</f>
        <v/>
      </c>
    </row>
    <row r="198" spans="8:13">
      <c r="H198" s="13">
        <f t="shared" si="11"/>
        <v>0</v>
      </c>
      <c r="J198" s="13">
        <f t="shared" si="12"/>
        <v>0</v>
      </c>
      <c r="K198" s="13">
        <f t="shared" si="13"/>
        <v>0</v>
      </c>
      <c r="L198" s="13" t="str" cm="1">
        <f t="array" ref="L198">_xlfn.IFS(J198&lt;1,"",J198=1,"Pass",J198&gt;1,_xlfn.TEXTJOIN("",TRUE,"Pass x",J198))</f>
        <v/>
      </c>
      <c r="M198" s="13" t="str" cm="1">
        <f t="array" ref="M198">_xlfn.IFS(K198&lt;1,"",K198=1,"Fail",K198&gt;1,_xlfn.TEXTJOIN("",TRUE,"Fail x",K198))</f>
        <v/>
      </c>
    </row>
    <row r="199" spans="8:13">
      <c r="H199" s="13">
        <f t="shared" si="11"/>
        <v>0</v>
      </c>
      <c r="J199" s="13">
        <f t="shared" si="12"/>
        <v>0</v>
      </c>
      <c r="K199" s="13">
        <f t="shared" si="13"/>
        <v>0</v>
      </c>
      <c r="L199" s="13" t="str" cm="1">
        <f t="array" ref="L199">_xlfn.IFS(J199&lt;1,"",J199=1,"Pass",J199&gt;1,_xlfn.TEXTJOIN("",TRUE,"Pass x",J199))</f>
        <v/>
      </c>
      <c r="M199" s="13" t="str" cm="1">
        <f t="array" ref="M199">_xlfn.IFS(K199&lt;1,"",K199=1,"Fail",K199&gt;1,_xlfn.TEXTJOIN("",TRUE,"Fail x",K199))</f>
        <v/>
      </c>
    </row>
    <row r="200" spans="8:13">
      <c r="H200" s="13">
        <f t="shared" si="11"/>
        <v>0</v>
      </c>
      <c r="J200" s="13">
        <f t="shared" si="12"/>
        <v>0</v>
      </c>
      <c r="K200" s="13">
        <f t="shared" si="13"/>
        <v>0</v>
      </c>
      <c r="L200" s="13" t="str" cm="1">
        <f t="array" ref="L200">_xlfn.IFS(J200&lt;1,"",J200=1,"Pass",J200&gt;1,_xlfn.TEXTJOIN("",TRUE,"Pass x",J200))</f>
        <v/>
      </c>
      <c r="M200" s="13" t="str" cm="1">
        <f t="array" ref="M200">_xlfn.IFS(K200&lt;1,"",K200=1,"Fail",K200&gt;1,_xlfn.TEXTJOIN("",TRUE,"Fail x",K200))</f>
        <v/>
      </c>
    </row>
    <row r="201" spans="8:13">
      <c r="H201" s="13">
        <f t="shared" si="11"/>
        <v>0</v>
      </c>
      <c r="J201" s="13">
        <f t="shared" si="12"/>
        <v>0</v>
      </c>
      <c r="K201" s="13">
        <f t="shared" si="13"/>
        <v>0</v>
      </c>
      <c r="L201" s="13" t="str" cm="1">
        <f t="array" ref="L201">_xlfn.IFS(J201&lt;1,"",J201=1,"Pass",J201&gt;1,_xlfn.TEXTJOIN("",TRUE,"Pass x",J201))</f>
        <v/>
      </c>
      <c r="M201" s="13" t="str" cm="1">
        <f t="array" ref="M201">_xlfn.IFS(K201&lt;1,"",K201=1,"Fail",K201&gt;1,_xlfn.TEXTJOIN("",TRUE,"Fail x",K201))</f>
        <v/>
      </c>
    </row>
    <row r="202" spans="8:13">
      <c r="H202" s="13">
        <f t="shared" si="11"/>
        <v>0</v>
      </c>
      <c r="J202" s="13">
        <f t="shared" si="12"/>
        <v>0</v>
      </c>
      <c r="K202" s="13">
        <f t="shared" si="13"/>
        <v>0</v>
      </c>
      <c r="L202" s="13" t="str" cm="1">
        <f t="array" ref="L202">_xlfn.IFS(J202&lt;1,"",J202=1,"Pass",J202&gt;1,_xlfn.TEXTJOIN("",TRUE,"Pass x",J202))</f>
        <v/>
      </c>
      <c r="M202" s="13" t="str" cm="1">
        <f t="array" ref="M202">_xlfn.IFS(K202&lt;1,"",K202=1,"Fail",K202&gt;1,_xlfn.TEXTJOIN("",TRUE,"Fail x",K202))</f>
        <v/>
      </c>
    </row>
    <row r="203" spans="8:13">
      <c r="H203" s="13">
        <f t="shared" si="11"/>
        <v>0</v>
      </c>
      <c r="J203" s="13">
        <f t="shared" si="12"/>
        <v>0</v>
      </c>
      <c r="K203" s="13">
        <f t="shared" si="13"/>
        <v>0</v>
      </c>
      <c r="L203" s="13" t="str" cm="1">
        <f t="array" ref="L203">_xlfn.IFS(J203&lt;1,"",J203=1,"Pass",J203&gt;1,_xlfn.TEXTJOIN("",TRUE,"Pass x",J203))</f>
        <v/>
      </c>
      <c r="M203" s="13" t="str" cm="1">
        <f t="array" ref="M203">_xlfn.IFS(K203&lt;1,"",K203=1,"Fail",K203&gt;1,_xlfn.TEXTJOIN("",TRUE,"Fail x",K203))</f>
        <v/>
      </c>
    </row>
    <row r="204" spans="8:13">
      <c r="H204" s="13">
        <f t="shared" si="11"/>
        <v>0</v>
      </c>
      <c r="J204" s="13">
        <f t="shared" si="12"/>
        <v>0</v>
      </c>
      <c r="K204" s="13">
        <f t="shared" si="13"/>
        <v>0</v>
      </c>
      <c r="L204" s="13" t="str" cm="1">
        <f t="array" ref="L204">_xlfn.IFS(J204&lt;1,"",J204=1,"Pass",J204&gt;1,_xlfn.TEXTJOIN("",TRUE,"Pass x",J204))</f>
        <v/>
      </c>
      <c r="M204" s="13" t="str" cm="1">
        <f t="array" ref="M204">_xlfn.IFS(K204&lt;1,"",K204=1,"Fail",K204&gt;1,_xlfn.TEXTJOIN("",TRUE,"Fail x",K204))</f>
        <v/>
      </c>
    </row>
    <row r="205" spans="8:13">
      <c r="H205" s="13">
        <f t="shared" si="11"/>
        <v>0</v>
      </c>
      <c r="J205" s="13">
        <f t="shared" si="12"/>
        <v>0</v>
      </c>
      <c r="K205" s="13">
        <f t="shared" si="13"/>
        <v>0</v>
      </c>
      <c r="L205" s="13" t="str" cm="1">
        <f t="array" ref="L205">_xlfn.IFS(J205&lt;1,"",J205=1,"Pass",J205&gt;1,_xlfn.TEXTJOIN("",TRUE,"Pass x",J205))</f>
        <v/>
      </c>
      <c r="M205" s="13" t="str" cm="1">
        <f t="array" ref="M205">_xlfn.IFS(K205&lt;1,"",K205=1,"Fail",K205&gt;1,_xlfn.TEXTJOIN("",TRUE,"Fail x",K205))</f>
        <v/>
      </c>
    </row>
    <row r="206" spans="8:13">
      <c r="H206" s="13">
        <f t="shared" si="11"/>
        <v>0</v>
      </c>
      <c r="J206" s="13">
        <f t="shared" si="12"/>
        <v>0</v>
      </c>
      <c r="K206" s="13">
        <f t="shared" si="13"/>
        <v>0</v>
      </c>
      <c r="L206" s="13" t="str" cm="1">
        <f t="array" ref="L206">_xlfn.IFS(J206&lt;1,"",J206=1,"Pass",J206&gt;1,_xlfn.TEXTJOIN("",TRUE,"Pass x",J206))</f>
        <v/>
      </c>
      <c r="M206" s="13" t="str" cm="1">
        <f t="array" ref="M206">_xlfn.IFS(K206&lt;1,"",K206=1,"Fail",K206&gt;1,_xlfn.TEXTJOIN("",TRUE,"Fail x",K206))</f>
        <v/>
      </c>
    </row>
    <row r="207" spans="8:13">
      <c r="H207" s="13">
        <f t="shared" si="11"/>
        <v>0</v>
      </c>
      <c r="J207" s="13">
        <f t="shared" si="12"/>
        <v>0</v>
      </c>
      <c r="K207" s="13">
        <f t="shared" si="13"/>
        <v>0</v>
      </c>
      <c r="L207" s="13" t="str" cm="1">
        <f t="array" ref="L207">_xlfn.IFS(J207&lt;1,"",J207=1,"Pass",J207&gt;1,_xlfn.TEXTJOIN("",TRUE,"Pass x",J207))</f>
        <v/>
      </c>
      <c r="M207" s="13" t="str" cm="1">
        <f t="array" ref="M207">_xlfn.IFS(K207&lt;1,"",K207=1,"Fail",K207&gt;1,_xlfn.TEXTJOIN("",TRUE,"Fail x",K207))</f>
        <v/>
      </c>
    </row>
    <row r="208" spans="8:13">
      <c r="H208" s="13">
        <f t="shared" si="11"/>
        <v>0</v>
      </c>
      <c r="J208" s="13">
        <f t="shared" si="12"/>
        <v>0</v>
      </c>
      <c r="K208" s="13">
        <f t="shared" si="13"/>
        <v>0</v>
      </c>
      <c r="L208" s="13" t="str" cm="1">
        <f t="array" ref="L208">_xlfn.IFS(J208&lt;1,"",J208=1,"Pass",J208&gt;1,_xlfn.TEXTJOIN("",TRUE,"Pass x",J208))</f>
        <v/>
      </c>
      <c r="M208" s="13" t="str" cm="1">
        <f t="array" ref="M208">_xlfn.IFS(K208&lt;1,"",K208=1,"Fail",K208&gt;1,_xlfn.TEXTJOIN("",TRUE,"Fail x",K208))</f>
        <v/>
      </c>
    </row>
    <row r="209" spans="8:13">
      <c r="H209" s="13">
        <f t="shared" si="11"/>
        <v>0</v>
      </c>
      <c r="J209" s="13">
        <f t="shared" si="12"/>
        <v>0</v>
      </c>
      <c r="K209" s="13">
        <f t="shared" si="13"/>
        <v>0</v>
      </c>
      <c r="L209" s="13" t="str" cm="1">
        <f t="array" ref="L209">_xlfn.IFS(J209&lt;1,"",J209=1,"Pass",J209&gt;1,_xlfn.TEXTJOIN("",TRUE,"Pass x",J209))</f>
        <v/>
      </c>
      <c r="M209" s="13" t="str" cm="1">
        <f t="array" ref="M209">_xlfn.IFS(K209&lt;1,"",K209=1,"Fail",K209&gt;1,_xlfn.TEXTJOIN("",TRUE,"Fail x",K209))</f>
        <v/>
      </c>
    </row>
    <row r="210" spans="8:13">
      <c r="H210" s="13">
        <f t="shared" si="11"/>
        <v>0</v>
      </c>
      <c r="J210" s="13">
        <f t="shared" si="12"/>
        <v>0</v>
      </c>
      <c r="K210" s="13">
        <f t="shared" si="13"/>
        <v>0</v>
      </c>
      <c r="L210" s="13" t="str" cm="1">
        <f t="array" ref="L210">_xlfn.IFS(J210&lt;1,"",J210=1,"Pass",J210&gt;1,_xlfn.TEXTJOIN("",TRUE,"Pass x",J210))</f>
        <v/>
      </c>
      <c r="M210" s="13" t="str" cm="1">
        <f t="array" ref="M210">_xlfn.IFS(K210&lt;1,"",K210=1,"Fail",K210&gt;1,_xlfn.TEXTJOIN("",TRUE,"Fail x",K210))</f>
        <v/>
      </c>
    </row>
    <row r="211" spans="8:13">
      <c r="H211" s="13">
        <f t="shared" si="11"/>
        <v>0</v>
      </c>
      <c r="J211" s="13">
        <f t="shared" si="12"/>
        <v>0</v>
      </c>
      <c r="K211" s="13">
        <f t="shared" si="13"/>
        <v>0</v>
      </c>
      <c r="L211" s="13" t="str" cm="1">
        <f t="array" ref="L211">_xlfn.IFS(J211&lt;1,"",J211=1,"Pass",J211&gt;1,_xlfn.TEXTJOIN("",TRUE,"Pass x",J211))</f>
        <v/>
      </c>
      <c r="M211" s="13" t="str" cm="1">
        <f t="array" ref="M211">_xlfn.IFS(K211&lt;1,"",K211=1,"Fail",K211&gt;1,_xlfn.TEXTJOIN("",TRUE,"Fail x",K211))</f>
        <v/>
      </c>
    </row>
    <row r="212" spans="8:13">
      <c r="H212" s="13">
        <f t="shared" si="11"/>
        <v>0</v>
      </c>
      <c r="J212" s="13">
        <f t="shared" si="12"/>
        <v>0</v>
      </c>
      <c r="K212" s="13">
        <f t="shared" si="13"/>
        <v>0</v>
      </c>
      <c r="L212" s="13" t="str" cm="1">
        <f t="array" ref="L212">_xlfn.IFS(J212&lt;1,"",J212=1,"Pass",J212&gt;1,_xlfn.TEXTJOIN("",TRUE,"Pass x",J212))</f>
        <v/>
      </c>
      <c r="M212" s="13" t="str" cm="1">
        <f t="array" ref="M212">_xlfn.IFS(K212&lt;1,"",K212=1,"Fail",K212&gt;1,_xlfn.TEXTJOIN("",TRUE,"Fail x",K212))</f>
        <v/>
      </c>
    </row>
    <row r="213" spans="8:13">
      <c r="H213" s="13">
        <f t="shared" si="11"/>
        <v>0</v>
      </c>
      <c r="J213" s="13">
        <f t="shared" si="12"/>
        <v>0</v>
      </c>
      <c r="K213" s="13">
        <f t="shared" si="13"/>
        <v>0</v>
      </c>
      <c r="L213" s="13" t="str" cm="1">
        <f t="array" ref="L213">_xlfn.IFS(J213&lt;1,"",J213=1,"Pass",J213&gt;1,_xlfn.TEXTJOIN("",TRUE,"Pass x",J213))</f>
        <v/>
      </c>
      <c r="M213" s="13" t="str" cm="1">
        <f t="array" ref="M213">_xlfn.IFS(K213&lt;1,"",K213=1,"Fail",K213&gt;1,_xlfn.TEXTJOIN("",TRUE,"Fail x",K213))</f>
        <v/>
      </c>
    </row>
    <row r="214" spans="8:13">
      <c r="H214" s="13">
        <f t="shared" si="11"/>
        <v>0</v>
      </c>
      <c r="J214" s="13">
        <f t="shared" si="12"/>
        <v>0</v>
      </c>
      <c r="K214" s="13">
        <f t="shared" si="13"/>
        <v>0</v>
      </c>
      <c r="L214" s="13" t="str" cm="1">
        <f t="array" ref="L214">_xlfn.IFS(J214&lt;1,"",J214=1,"Pass",J214&gt;1,_xlfn.TEXTJOIN("",TRUE,"Pass x",J214))</f>
        <v/>
      </c>
      <c r="M214" s="13" t="str" cm="1">
        <f t="array" ref="M214">_xlfn.IFS(K214&lt;1,"",K214=1,"Fail",K214&gt;1,_xlfn.TEXTJOIN("",TRUE,"Fail x",K214))</f>
        <v/>
      </c>
    </row>
    <row r="215" spans="8:13">
      <c r="H215" s="13">
        <f t="shared" si="11"/>
        <v>0</v>
      </c>
      <c r="J215" s="13">
        <f t="shared" si="12"/>
        <v>0</v>
      </c>
      <c r="K215" s="13">
        <f t="shared" si="13"/>
        <v>0</v>
      </c>
      <c r="L215" s="13" t="str" cm="1">
        <f t="array" ref="L215">_xlfn.IFS(J215&lt;1,"",J215=1,"Pass",J215&gt;1,_xlfn.TEXTJOIN("",TRUE,"Pass x",J215))</f>
        <v/>
      </c>
      <c r="M215" s="13" t="str" cm="1">
        <f t="array" ref="M215">_xlfn.IFS(K215&lt;1,"",K215=1,"Fail",K215&gt;1,_xlfn.TEXTJOIN("",TRUE,"Fail x",K215))</f>
        <v/>
      </c>
    </row>
    <row r="216" spans="8:13">
      <c r="H216" s="13">
        <f t="shared" si="11"/>
        <v>0</v>
      </c>
      <c r="J216" s="13">
        <f t="shared" si="12"/>
        <v>0</v>
      </c>
      <c r="K216" s="13">
        <f t="shared" si="13"/>
        <v>0</v>
      </c>
      <c r="L216" s="13" t="str" cm="1">
        <f t="array" ref="L216">_xlfn.IFS(J216&lt;1,"",J216=1,"Pass",J216&gt;1,_xlfn.TEXTJOIN("",TRUE,"Pass x",J216))</f>
        <v/>
      </c>
      <c r="M216" s="13" t="str" cm="1">
        <f t="array" ref="M216">_xlfn.IFS(K216&lt;1,"",K216=1,"Fail",K216&gt;1,_xlfn.TEXTJOIN("",TRUE,"Fail x",K216))</f>
        <v/>
      </c>
    </row>
    <row r="217" spans="8:13">
      <c r="H217" s="13">
        <f t="shared" si="11"/>
        <v>0</v>
      </c>
      <c r="J217" s="13">
        <f t="shared" si="12"/>
        <v>0</v>
      </c>
      <c r="K217" s="13">
        <f t="shared" si="13"/>
        <v>0</v>
      </c>
      <c r="L217" s="13" t="str" cm="1">
        <f t="array" ref="L217">_xlfn.IFS(J217&lt;1,"",J217=1,"Pass",J217&gt;1,_xlfn.TEXTJOIN("",TRUE,"Pass x",J217))</f>
        <v/>
      </c>
      <c r="M217" s="13" t="str" cm="1">
        <f t="array" ref="M217">_xlfn.IFS(K217&lt;1,"",K217=1,"Fail",K217&gt;1,_xlfn.TEXTJOIN("",TRUE,"Fail x",K217))</f>
        <v/>
      </c>
    </row>
    <row r="218" spans="8:13">
      <c r="H218" s="13">
        <f t="shared" si="11"/>
        <v>0</v>
      </c>
      <c r="J218" s="13">
        <f t="shared" si="12"/>
        <v>0</v>
      </c>
      <c r="K218" s="13">
        <f t="shared" si="13"/>
        <v>0</v>
      </c>
      <c r="L218" s="13" t="str" cm="1">
        <f t="array" ref="L218">_xlfn.IFS(J218&lt;1,"",J218=1,"Pass",J218&gt;1,_xlfn.TEXTJOIN("",TRUE,"Pass x",J218))</f>
        <v/>
      </c>
      <c r="M218" s="13" t="str" cm="1">
        <f t="array" ref="M218">_xlfn.IFS(K218&lt;1,"",K218=1,"Fail",K218&gt;1,_xlfn.TEXTJOIN("",TRUE,"Fail x",K218))</f>
        <v/>
      </c>
    </row>
    <row r="219" spans="8:13">
      <c r="H219" s="13">
        <f t="shared" si="11"/>
        <v>0</v>
      </c>
      <c r="J219" s="13">
        <f t="shared" si="12"/>
        <v>0</v>
      </c>
      <c r="K219" s="13">
        <f t="shared" si="13"/>
        <v>0</v>
      </c>
      <c r="L219" s="13" t="str" cm="1">
        <f t="array" ref="L219">_xlfn.IFS(J219&lt;1,"",J219=1,"Pass",J219&gt;1,_xlfn.TEXTJOIN("",TRUE,"Pass x",J219))</f>
        <v/>
      </c>
      <c r="M219" s="13" t="str" cm="1">
        <f t="array" ref="M219">_xlfn.IFS(K219&lt;1,"",K219=1,"Fail",K219&gt;1,_xlfn.TEXTJOIN("",TRUE,"Fail x",K219))</f>
        <v/>
      </c>
    </row>
    <row r="220" spans="8:13">
      <c r="H220" s="13">
        <f t="shared" si="11"/>
        <v>0</v>
      </c>
      <c r="J220" s="13">
        <f t="shared" si="12"/>
        <v>0</v>
      </c>
      <c r="K220" s="13">
        <f t="shared" si="13"/>
        <v>0</v>
      </c>
      <c r="L220" s="13" t="str" cm="1">
        <f t="array" ref="L220">_xlfn.IFS(J220&lt;1,"",J220=1,"Pass",J220&gt;1,_xlfn.TEXTJOIN("",TRUE,"Pass x",J220))</f>
        <v/>
      </c>
      <c r="M220" s="13" t="str" cm="1">
        <f t="array" ref="M220">_xlfn.IFS(K220&lt;1,"",K220=1,"Fail",K220&gt;1,_xlfn.TEXTJOIN("",TRUE,"Fail x",K220))</f>
        <v/>
      </c>
    </row>
    <row r="221" spans="8:13">
      <c r="H221" s="13">
        <f t="shared" si="11"/>
        <v>0</v>
      </c>
      <c r="J221" s="13">
        <f t="shared" si="12"/>
        <v>0</v>
      </c>
      <c r="K221" s="13">
        <f t="shared" si="13"/>
        <v>0</v>
      </c>
      <c r="L221" s="13" t="str" cm="1">
        <f t="array" ref="L221">_xlfn.IFS(J221&lt;1,"",J221=1,"Pass",J221&gt;1,_xlfn.TEXTJOIN("",TRUE,"Pass x",J221))</f>
        <v/>
      </c>
      <c r="M221" s="13" t="str" cm="1">
        <f t="array" ref="M221">_xlfn.IFS(K221&lt;1,"",K221=1,"Fail",K221&gt;1,_xlfn.TEXTJOIN("",TRUE,"Fail x",K221))</f>
        <v/>
      </c>
    </row>
    <row r="222" spans="8:13">
      <c r="H222" s="13">
        <f t="shared" si="11"/>
        <v>0</v>
      </c>
      <c r="J222" s="13">
        <f t="shared" si="12"/>
        <v>0</v>
      </c>
      <c r="K222" s="13">
        <f t="shared" si="13"/>
        <v>0</v>
      </c>
      <c r="L222" s="13" t="str" cm="1">
        <f t="array" ref="L222">_xlfn.IFS(J222&lt;1,"",J222=1,"Pass",J222&gt;1,_xlfn.TEXTJOIN("",TRUE,"Pass x",J222))</f>
        <v/>
      </c>
      <c r="M222" s="13" t="str" cm="1">
        <f t="array" ref="M222">_xlfn.IFS(K222&lt;1,"",K222=1,"Fail",K222&gt;1,_xlfn.TEXTJOIN("",TRUE,"Fail x",K222))</f>
        <v/>
      </c>
    </row>
    <row r="223" spans="8:13">
      <c r="H223" s="13">
        <f t="shared" si="11"/>
        <v>0</v>
      </c>
      <c r="J223" s="13">
        <f t="shared" si="12"/>
        <v>0</v>
      </c>
      <c r="K223" s="13">
        <f t="shared" si="13"/>
        <v>0</v>
      </c>
      <c r="L223" s="13" t="str" cm="1">
        <f t="array" ref="L223">_xlfn.IFS(J223&lt;1,"",J223=1,"Pass",J223&gt;1,_xlfn.TEXTJOIN("",TRUE,"Pass x",J223))</f>
        <v/>
      </c>
      <c r="M223" s="13" t="str" cm="1">
        <f t="array" ref="M223">_xlfn.IFS(K223&lt;1,"",K223=1,"Fail",K223&gt;1,_xlfn.TEXTJOIN("",TRUE,"Fail x",K223))</f>
        <v/>
      </c>
    </row>
    <row r="224" spans="8:13">
      <c r="H224" s="13">
        <f t="shared" si="11"/>
        <v>0</v>
      </c>
      <c r="J224" s="13">
        <f t="shared" si="12"/>
        <v>0</v>
      </c>
      <c r="K224" s="13">
        <f t="shared" si="13"/>
        <v>0</v>
      </c>
      <c r="L224" s="13" t="str" cm="1">
        <f t="array" ref="L224">_xlfn.IFS(J224&lt;1,"",J224=1,"Pass",J224&gt;1,_xlfn.TEXTJOIN("",TRUE,"Pass x",J224))</f>
        <v/>
      </c>
      <c r="M224" s="13" t="str" cm="1">
        <f t="array" ref="M224">_xlfn.IFS(K224&lt;1,"",K224=1,"Fail",K224&gt;1,_xlfn.TEXTJOIN("",TRUE,"Fail x",K224))</f>
        <v/>
      </c>
    </row>
    <row r="225" spans="8:13">
      <c r="H225" s="13">
        <f t="shared" si="11"/>
        <v>0</v>
      </c>
      <c r="J225" s="13">
        <f t="shared" si="12"/>
        <v>0</v>
      </c>
      <c r="K225" s="13">
        <f t="shared" si="13"/>
        <v>0</v>
      </c>
      <c r="L225" s="13" t="str" cm="1">
        <f t="array" ref="L225">_xlfn.IFS(J225&lt;1,"",J225=1,"Pass",J225&gt;1,_xlfn.TEXTJOIN("",TRUE,"Pass x",J225))</f>
        <v/>
      </c>
      <c r="M225" s="13" t="str" cm="1">
        <f t="array" ref="M225">_xlfn.IFS(K225&lt;1,"",K225=1,"Fail",K225&gt;1,_xlfn.TEXTJOIN("",TRUE,"Fail x",K225))</f>
        <v/>
      </c>
    </row>
    <row r="226" spans="8:13">
      <c r="H226" s="13">
        <f t="shared" si="11"/>
        <v>0</v>
      </c>
      <c r="J226" s="13">
        <f t="shared" si="12"/>
        <v>0</v>
      </c>
      <c r="K226" s="13">
        <f t="shared" si="13"/>
        <v>0</v>
      </c>
      <c r="L226" s="13" t="str" cm="1">
        <f t="array" ref="L226">_xlfn.IFS(J226&lt;1,"",J226=1,"Pass",J226&gt;1,_xlfn.TEXTJOIN("",TRUE,"Pass x",J226))</f>
        <v/>
      </c>
      <c r="M226" s="13" t="str" cm="1">
        <f t="array" ref="M226">_xlfn.IFS(K226&lt;1,"",K226=1,"Fail",K226&gt;1,_xlfn.TEXTJOIN("",TRUE,"Fail x",K226))</f>
        <v/>
      </c>
    </row>
    <row r="227" spans="8:13">
      <c r="H227" s="13">
        <f t="shared" si="11"/>
        <v>0</v>
      </c>
      <c r="J227" s="13">
        <f t="shared" si="12"/>
        <v>0</v>
      </c>
      <c r="K227" s="13">
        <f t="shared" si="13"/>
        <v>0</v>
      </c>
      <c r="L227" s="13" t="str" cm="1">
        <f t="array" ref="L227">_xlfn.IFS(J227&lt;1,"",J227=1,"Pass",J227&gt;1,_xlfn.TEXTJOIN("",TRUE,"Pass x",J227))</f>
        <v/>
      </c>
      <c r="M227" s="13" t="str" cm="1">
        <f t="array" ref="M227">_xlfn.IFS(K227&lt;1,"",K227=1,"Fail",K227&gt;1,_xlfn.TEXTJOIN("",TRUE,"Fail x",K227))</f>
        <v/>
      </c>
    </row>
    <row r="228" spans="8:13">
      <c r="H228" s="13">
        <f t="shared" si="11"/>
        <v>0</v>
      </c>
      <c r="J228" s="13">
        <f t="shared" si="12"/>
        <v>0</v>
      </c>
      <c r="K228" s="13">
        <f t="shared" si="13"/>
        <v>0</v>
      </c>
      <c r="L228" s="13" t="str" cm="1">
        <f t="array" ref="L228">_xlfn.IFS(J228&lt;1,"",J228=1,"Pass",J228&gt;1,_xlfn.TEXTJOIN("",TRUE,"Pass x",J228))</f>
        <v/>
      </c>
      <c r="M228" s="13" t="str" cm="1">
        <f t="array" ref="M228">_xlfn.IFS(K228&lt;1,"",K228=1,"Fail",K228&gt;1,_xlfn.TEXTJOIN("",TRUE,"Fail x",K228))</f>
        <v/>
      </c>
    </row>
    <row r="229" spans="8:13">
      <c r="H229" s="13">
        <f t="shared" si="11"/>
        <v>0</v>
      </c>
      <c r="J229" s="13">
        <f t="shared" si="12"/>
        <v>0</v>
      </c>
      <c r="K229" s="13">
        <f t="shared" si="13"/>
        <v>0</v>
      </c>
      <c r="L229" s="13" t="str" cm="1">
        <f t="array" ref="L229">_xlfn.IFS(J229&lt;1,"",J229=1,"Pass",J229&gt;1,_xlfn.TEXTJOIN("",TRUE,"Pass x",J229))</f>
        <v/>
      </c>
      <c r="M229" s="13" t="str" cm="1">
        <f t="array" ref="M229">_xlfn.IFS(K229&lt;1,"",K229=1,"Fail",K229&gt;1,_xlfn.TEXTJOIN("",TRUE,"Fail x",K229))</f>
        <v/>
      </c>
    </row>
    <row r="230" spans="8:13">
      <c r="H230" s="13">
        <f t="shared" si="11"/>
        <v>0</v>
      </c>
      <c r="J230" s="13">
        <f t="shared" si="12"/>
        <v>0</v>
      </c>
      <c r="K230" s="13">
        <f t="shared" si="13"/>
        <v>0</v>
      </c>
      <c r="L230" s="13" t="str" cm="1">
        <f t="array" ref="L230">_xlfn.IFS(J230&lt;1,"",J230=1,"Pass",J230&gt;1,_xlfn.TEXTJOIN("",TRUE,"Pass x",J230))</f>
        <v/>
      </c>
      <c r="M230" s="13" t="str" cm="1">
        <f t="array" ref="M230">_xlfn.IFS(K230&lt;1,"",K230=1,"Fail",K230&gt;1,_xlfn.TEXTJOIN("",TRUE,"Fail x",K230))</f>
        <v/>
      </c>
    </row>
    <row r="231" spans="8:13">
      <c r="H231" s="13">
        <f t="shared" si="11"/>
        <v>0</v>
      </c>
      <c r="J231" s="13">
        <f t="shared" si="12"/>
        <v>0</v>
      </c>
      <c r="K231" s="13">
        <f t="shared" si="13"/>
        <v>0</v>
      </c>
      <c r="L231" s="13" t="str" cm="1">
        <f t="array" ref="L231">_xlfn.IFS(J231&lt;1,"",J231=1,"Pass",J231&gt;1,_xlfn.TEXTJOIN("",TRUE,"Pass x",J231))</f>
        <v/>
      </c>
      <c r="M231" s="13" t="str" cm="1">
        <f t="array" ref="M231">_xlfn.IFS(K231&lt;1,"",K231=1,"Fail",K231&gt;1,_xlfn.TEXTJOIN("",TRUE,"Fail x",K231))</f>
        <v/>
      </c>
    </row>
    <row r="232" spans="8:13">
      <c r="H232" s="13">
        <f t="shared" si="11"/>
        <v>0</v>
      </c>
      <c r="J232" s="13">
        <f t="shared" si="12"/>
        <v>0</v>
      </c>
      <c r="K232" s="13">
        <f t="shared" si="13"/>
        <v>0</v>
      </c>
      <c r="L232" s="13" t="str" cm="1">
        <f t="array" ref="L232">_xlfn.IFS(J232&lt;1,"",J232=1,"Pass",J232&gt;1,_xlfn.TEXTJOIN("",TRUE,"Pass x",J232))</f>
        <v/>
      </c>
      <c r="M232" s="13" t="str" cm="1">
        <f t="array" ref="M232">_xlfn.IFS(K232&lt;1,"",K232=1,"Fail",K232&gt;1,_xlfn.TEXTJOIN("",TRUE,"Fail x",K232))</f>
        <v/>
      </c>
    </row>
    <row r="233" spans="8:13">
      <c r="H233" s="13">
        <f t="shared" si="11"/>
        <v>0</v>
      </c>
      <c r="J233" s="13">
        <f t="shared" si="12"/>
        <v>0</v>
      </c>
      <c r="K233" s="13">
        <f t="shared" si="13"/>
        <v>0</v>
      </c>
      <c r="L233" s="13" t="str" cm="1">
        <f t="array" ref="L233">_xlfn.IFS(J233&lt;1,"",J233=1,"Pass",J233&gt;1,_xlfn.TEXTJOIN("",TRUE,"Pass x",J233))</f>
        <v/>
      </c>
      <c r="M233" s="13" t="str" cm="1">
        <f t="array" ref="M233">_xlfn.IFS(K233&lt;1,"",K233=1,"Fail",K233&gt;1,_xlfn.TEXTJOIN("",TRUE,"Fail x",K233))</f>
        <v/>
      </c>
    </row>
    <row r="234" spans="8:13">
      <c r="H234" s="13">
        <f t="shared" si="11"/>
        <v>0</v>
      </c>
      <c r="J234" s="13">
        <f t="shared" si="12"/>
        <v>0</v>
      </c>
      <c r="K234" s="13">
        <f t="shared" si="13"/>
        <v>0</v>
      </c>
      <c r="L234" s="13" t="str" cm="1">
        <f t="array" ref="L234">_xlfn.IFS(J234&lt;1,"",J234=1,"Pass",J234&gt;1,_xlfn.TEXTJOIN("",TRUE,"Pass x",J234))</f>
        <v/>
      </c>
      <c r="M234" s="13" t="str" cm="1">
        <f t="array" ref="M234">_xlfn.IFS(K234&lt;1,"",K234=1,"Fail",K234&gt;1,_xlfn.TEXTJOIN("",TRUE,"Fail x",K234))</f>
        <v/>
      </c>
    </row>
    <row r="235" spans="8:13">
      <c r="H235" s="13">
        <f t="shared" si="11"/>
        <v>0</v>
      </c>
      <c r="J235" s="13">
        <f t="shared" si="12"/>
        <v>0</v>
      </c>
      <c r="K235" s="13">
        <f t="shared" si="13"/>
        <v>0</v>
      </c>
      <c r="L235" s="13" t="str" cm="1">
        <f t="array" ref="L235">_xlfn.IFS(J235&lt;1,"",J235=1,"Pass",J235&gt;1,_xlfn.TEXTJOIN("",TRUE,"Pass x",J235))</f>
        <v/>
      </c>
      <c r="M235" s="13" t="str" cm="1">
        <f t="array" ref="M235">_xlfn.IFS(K235&lt;1,"",K235=1,"Fail",K235&gt;1,_xlfn.TEXTJOIN("",TRUE,"Fail x",K235))</f>
        <v/>
      </c>
    </row>
    <row r="236" spans="8:13">
      <c r="H236" s="13">
        <f t="shared" si="11"/>
        <v>0</v>
      </c>
      <c r="J236" s="13">
        <f t="shared" si="12"/>
        <v>0</v>
      </c>
      <c r="K236" s="13">
        <f t="shared" si="13"/>
        <v>0</v>
      </c>
      <c r="L236" s="13" t="str" cm="1">
        <f t="array" ref="L236">_xlfn.IFS(J236&lt;1,"",J236=1,"Pass",J236&gt;1,_xlfn.TEXTJOIN("",TRUE,"Pass x",J236))</f>
        <v/>
      </c>
    </row>
    <row r="237" spans="8:13">
      <c r="H237" s="13">
        <f t="shared" si="11"/>
        <v>0</v>
      </c>
      <c r="J237" s="13">
        <f t="shared" si="12"/>
        <v>0</v>
      </c>
      <c r="K237" s="13">
        <f t="shared" si="13"/>
        <v>0</v>
      </c>
      <c r="L237" s="13" t="str" cm="1">
        <f t="array" ref="L237">_xlfn.IFS(J237&lt;1,"",J237=1,"Pass",J237&gt;1,_xlfn.TEXTJOIN("",TRUE,"Pass x",J237))</f>
        <v/>
      </c>
    </row>
    <row r="238" spans="8:13">
      <c r="H238" s="13">
        <f t="shared" si="11"/>
        <v>0</v>
      </c>
      <c r="J238" s="13">
        <f t="shared" si="12"/>
        <v>0</v>
      </c>
      <c r="K238" s="13">
        <f t="shared" si="13"/>
        <v>0</v>
      </c>
      <c r="L238" s="13" t="str" cm="1">
        <f t="array" ref="L238">_xlfn.IFS(J238&lt;1,"",J238=1,"Pass",J238&gt;1,_xlfn.TEXTJOIN("",TRUE,"Pass x",J238))</f>
        <v/>
      </c>
    </row>
    <row r="239" spans="8:13">
      <c r="H239" s="13">
        <f t="shared" si="11"/>
        <v>0</v>
      </c>
      <c r="J239" s="13">
        <f t="shared" si="12"/>
        <v>0</v>
      </c>
      <c r="K239" s="13">
        <f t="shared" si="13"/>
        <v>0</v>
      </c>
      <c r="L239" s="13" t="str" cm="1">
        <f t="array" ref="L239">_xlfn.IFS(J239&lt;1,"",J239=1,"Pass",J239&gt;1,_xlfn.TEXTJOIN("",TRUE,"Pass x",J239))</f>
        <v/>
      </c>
    </row>
    <row r="240" spans="8:13">
      <c r="H240" s="13">
        <f t="shared" si="11"/>
        <v>0</v>
      </c>
      <c r="J240" s="13">
        <f t="shared" si="12"/>
        <v>0</v>
      </c>
      <c r="K240" s="13">
        <f t="shared" si="13"/>
        <v>0</v>
      </c>
      <c r="L240" s="13" t="str" cm="1">
        <f t="array" ref="L240">_xlfn.IFS(J240&lt;1,"",J240=1,"Pass",J240&gt;1,_xlfn.TEXTJOIN("",TRUE,"Pass x",J240))</f>
        <v/>
      </c>
    </row>
    <row r="241" spans="8:12">
      <c r="H241" s="13">
        <f t="shared" si="11"/>
        <v>0</v>
      </c>
      <c r="J241" s="13">
        <f t="shared" si="12"/>
        <v>0</v>
      </c>
      <c r="K241" s="13">
        <f t="shared" si="13"/>
        <v>0</v>
      </c>
      <c r="L241" s="13" t="str" cm="1">
        <f t="array" ref="L241">_xlfn.IFS(J241&lt;1,"",J241=1,"Pass",J241&gt;1,_xlfn.TEXTJOIN("",TRUE,"Pass x",J241))</f>
        <v/>
      </c>
    </row>
    <row r="242" spans="8:12">
      <c r="H242" s="13">
        <f t="shared" si="11"/>
        <v>0</v>
      </c>
      <c r="J242" s="13">
        <f t="shared" si="12"/>
        <v>0</v>
      </c>
      <c r="K242" s="13">
        <f t="shared" si="13"/>
        <v>0</v>
      </c>
      <c r="L242" s="13" t="str" cm="1">
        <f t="array" ref="L242">_xlfn.IFS(J242&lt;1,"",J242=1,"Pass",J242&gt;1,_xlfn.TEXTJOIN("",TRUE,"Pass x",J242))</f>
        <v/>
      </c>
    </row>
    <row r="243" spans="8:12">
      <c r="H243" s="13">
        <f t="shared" si="11"/>
        <v>0</v>
      </c>
      <c r="J243" s="13">
        <f t="shared" si="12"/>
        <v>0</v>
      </c>
      <c r="K243" s="13">
        <f t="shared" si="13"/>
        <v>0</v>
      </c>
      <c r="L243" s="13" t="str" cm="1">
        <f t="array" ref="L243">_xlfn.IFS(J243&lt;1,"",J243=1,"Pass",J243&gt;1,_xlfn.TEXTJOIN("",TRUE,"Pass x",J243))</f>
        <v/>
      </c>
    </row>
    <row r="244" spans="8:12">
      <c r="H244" s="13">
        <f t="shared" si="11"/>
        <v>0</v>
      </c>
      <c r="J244" s="13">
        <f t="shared" si="12"/>
        <v>0</v>
      </c>
      <c r="K244" s="13">
        <f t="shared" si="13"/>
        <v>0</v>
      </c>
      <c r="L244" s="13" t="str" cm="1">
        <f t="array" ref="L244">_xlfn.IFS(J244&lt;1,"",J244=1,"Pass",J244&gt;1,_xlfn.TEXTJOIN("",TRUE,"Pass x",J244))</f>
        <v/>
      </c>
    </row>
    <row r="245" spans="8:12">
      <c r="H245" s="13">
        <f t="shared" si="11"/>
        <v>0</v>
      </c>
      <c r="J245" s="13">
        <f t="shared" si="12"/>
        <v>0</v>
      </c>
      <c r="K245" s="13">
        <f t="shared" si="13"/>
        <v>0</v>
      </c>
      <c r="L245" s="13" t="str" cm="1">
        <f t="array" ref="L245">_xlfn.IFS(J245&lt;1,"",J245=1,"Pass",J245&gt;1,_xlfn.TEXTJOIN("",TRUE,"Pass x",J245))</f>
        <v/>
      </c>
    </row>
    <row r="246" spans="8:12">
      <c r="H246" s="13">
        <f t="shared" si="11"/>
        <v>0</v>
      </c>
      <c r="J246" s="13">
        <f t="shared" si="12"/>
        <v>0</v>
      </c>
      <c r="K246" s="13">
        <f t="shared" si="13"/>
        <v>0</v>
      </c>
      <c r="L246" s="13" t="str" cm="1">
        <f t="array" ref="L246">_xlfn.IFS(J246&lt;1,"",J246=1,"Pass",J246&gt;1,_xlfn.TEXTJOIN("",TRUE,"Pass x",J246))</f>
        <v/>
      </c>
    </row>
    <row r="247" spans="8:12">
      <c r="H247" s="13">
        <f t="shared" si="11"/>
        <v>0</v>
      </c>
      <c r="J247" s="13">
        <f t="shared" si="12"/>
        <v>0</v>
      </c>
      <c r="K247" s="13">
        <f t="shared" si="13"/>
        <v>0</v>
      </c>
      <c r="L247" s="13" t="str" cm="1">
        <f t="array" ref="L247">_xlfn.IFS(J247&lt;1,"",J247=1,"Pass",J247&gt;1,_xlfn.TEXTJOIN("",TRUE,"Pass x",J247))</f>
        <v/>
      </c>
    </row>
    <row r="248" spans="8:12">
      <c r="H248" s="13">
        <f t="shared" si="11"/>
        <v>0</v>
      </c>
      <c r="J248" s="13">
        <f t="shared" si="12"/>
        <v>0</v>
      </c>
      <c r="K248" s="13">
        <f t="shared" si="13"/>
        <v>0</v>
      </c>
      <c r="L248" s="13" t="str" cm="1">
        <f t="array" ref="L248">_xlfn.IFS(J248&lt;1,"",J248=1,"Pass",J248&gt;1,_xlfn.TEXTJOIN("",TRUE,"Pass x",J248))</f>
        <v/>
      </c>
    </row>
    <row r="249" spans="8:12">
      <c r="H249" s="13">
        <f t="shared" si="11"/>
        <v>0</v>
      </c>
      <c r="J249" s="13">
        <f t="shared" si="12"/>
        <v>0</v>
      </c>
      <c r="K249" s="13">
        <f t="shared" si="13"/>
        <v>0</v>
      </c>
      <c r="L249" s="13" t="str" cm="1">
        <f t="array" ref="L249">_xlfn.IFS(J249&lt;1,"",J249=1,"Pass",J249&gt;1,_xlfn.TEXTJOIN("",TRUE,"Pass x",J249))</f>
        <v/>
      </c>
    </row>
    <row r="250" spans="8:12">
      <c r="H250" s="13">
        <f t="shared" si="11"/>
        <v>0</v>
      </c>
      <c r="J250" s="13">
        <f t="shared" si="12"/>
        <v>0</v>
      </c>
      <c r="K250" s="13">
        <f t="shared" si="13"/>
        <v>0</v>
      </c>
      <c r="L250" s="13" t="str" cm="1">
        <f t="array" ref="L250">_xlfn.IFS(J250&lt;1,"",J250=1,"Pass",J250&gt;1,_xlfn.TEXTJOIN("",TRUE,"Pass x",J250))</f>
        <v/>
      </c>
    </row>
    <row r="251" spans="8:12">
      <c r="H251" s="13">
        <f t="shared" si="11"/>
        <v>0</v>
      </c>
      <c r="J251" s="13">
        <f t="shared" si="12"/>
        <v>0</v>
      </c>
      <c r="K251" s="13">
        <f t="shared" si="13"/>
        <v>0</v>
      </c>
      <c r="L251" s="13" t="str" cm="1">
        <f t="array" ref="L251">_xlfn.IFS(J251&lt;1,"",J251=1,"Pass",J251&gt;1,_xlfn.TEXTJOIN("",TRUE,"Pass x",J251))</f>
        <v/>
      </c>
    </row>
    <row r="252" spans="8:12">
      <c r="H252" s="13">
        <f t="shared" si="11"/>
        <v>0</v>
      </c>
      <c r="J252" s="13">
        <f t="shared" si="12"/>
        <v>0</v>
      </c>
      <c r="K252" s="13">
        <f t="shared" si="13"/>
        <v>0</v>
      </c>
      <c r="L252" s="13" t="str" cm="1">
        <f t="array" ref="L252">_xlfn.IFS(J252&lt;1,"",J252=1,"Pass",J252&gt;1,_xlfn.TEXTJOIN("",TRUE,"Pass x",J252))</f>
        <v/>
      </c>
    </row>
    <row r="253" spans="8:12">
      <c r="H253" s="13">
        <f t="shared" si="11"/>
        <v>0</v>
      </c>
      <c r="J253" s="13">
        <f t="shared" si="12"/>
        <v>0</v>
      </c>
      <c r="K253" s="13">
        <f t="shared" si="13"/>
        <v>0</v>
      </c>
      <c r="L253" s="13" t="str" cm="1">
        <f t="array" ref="L253">_xlfn.IFS(J253&lt;1,"",J253=1,"Pass",J253&gt;1,_xlfn.TEXTJOIN("",TRUE,"Pass x",J253))</f>
        <v/>
      </c>
    </row>
    <row r="254" spans="8:12">
      <c r="H254" s="13">
        <f t="shared" si="11"/>
        <v>0</v>
      </c>
      <c r="J254" s="13">
        <f t="shared" si="12"/>
        <v>0</v>
      </c>
    </row>
    <row r="255" spans="8:12">
      <c r="H255" s="13">
        <f t="shared" si="11"/>
        <v>0</v>
      </c>
      <c r="J255" s="13">
        <f t="shared" si="12"/>
        <v>0</v>
      </c>
    </row>
    <row r="256" spans="8:12">
      <c r="H256" s="13">
        <f t="shared" si="11"/>
        <v>0</v>
      </c>
      <c r="J256" s="13">
        <f t="shared" si="12"/>
        <v>0</v>
      </c>
    </row>
    <row r="257" spans="8:10">
      <c r="H257" s="13">
        <f t="shared" si="11"/>
        <v>0</v>
      </c>
      <c r="J257" s="13">
        <f t="shared" si="12"/>
        <v>0</v>
      </c>
    </row>
    <row r="258" spans="8:10">
      <c r="H258" s="13">
        <f t="shared" si="11"/>
        <v>0</v>
      </c>
      <c r="J258" s="13">
        <f t="shared" si="12"/>
        <v>0</v>
      </c>
    </row>
    <row r="259" spans="8:10">
      <c r="H259" s="13">
        <f t="shared" ref="H259:H322" si="14">IFERROR(GETPIVOTDATA("Successful / Failed",$A$1,"System serial",G259),0)</f>
        <v>0</v>
      </c>
      <c r="J259" s="13">
        <f t="shared" ref="J259:J322" si="15">IFERROR(GETPIVOTDATA("Successful / Failed",$A$1,"System serial",G259,"Successful / Failed","Successful"),0)</f>
        <v>0</v>
      </c>
    </row>
    <row r="260" spans="8:10">
      <c r="H260" s="13">
        <f t="shared" si="14"/>
        <v>0</v>
      </c>
      <c r="J260" s="13">
        <f t="shared" si="15"/>
        <v>0</v>
      </c>
    </row>
    <row r="261" spans="8:10">
      <c r="H261" s="13">
        <f t="shared" si="14"/>
        <v>0</v>
      </c>
      <c r="J261" s="13">
        <f t="shared" si="15"/>
        <v>0</v>
      </c>
    </row>
    <row r="262" spans="8:10">
      <c r="H262" s="13">
        <f t="shared" si="14"/>
        <v>0</v>
      </c>
      <c r="J262" s="13">
        <f t="shared" si="15"/>
        <v>0</v>
      </c>
    </row>
    <row r="263" spans="8:10">
      <c r="H263" s="13">
        <f t="shared" si="14"/>
        <v>0</v>
      </c>
      <c r="J263" s="13">
        <f t="shared" si="15"/>
        <v>0</v>
      </c>
    </row>
    <row r="264" spans="8:10">
      <c r="H264" s="13">
        <f t="shared" si="14"/>
        <v>0</v>
      </c>
      <c r="J264" s="13">
        <f t="shared" si="15"/>
        <v>0</v>
      </c>
    </row>
    <row r="265" spans="8:10">
      <c r="H265" s="13">
        <f t="shared" si="14"/>
        <v>0</v>
      </c>
      <c r="J265" s="13">
        <f t="shared" si="15"/>
        <v>0</v>
      </c>
    </row>
    <row r="266" spans="8:10">
      <c r="H266" s="13">
        <f t="shared" si="14"/>
        <v>0</v>
      </c>
      <c r="J266" s="13">
        <f t="shared" si="15"/>
        <v>0</v>
      </c>
    </row>
    <row r="267" spans="8:10">
      <c r="H267" s="13">
        <f t="shared" si="14"/>
        <v>0</v>
      </c>
      <c r="J267" s="13">
        <f t="shared" si="15"/>
        <v>0</v>
      </c>
    </row>
    <row r="268" spans="8:10">
      <c r="H268" s="13">
        <f t="shared" si="14"/>
        <v>0</v>
      </c>
      <c r="J268" s="13">
        <f t="shared" si="15"/>
        <v>0</v>
      </c>
    </row>
    <row r="269" spans="8:10">
      <c r="H269" s="13">
        <f t="shared" si="14"/>
        <v>0</v>
      </c>
      <c r="J269" s="13">
        <f t="shared" si="15"/>
        <v>0</v>
      </c>
    </row>
    <row r="270" spans="8:10">
      <c r="H270" s="13">
        <f t="shared" si="14"/>
        <v>0</v>
      </c>
      <c r="J270" s="13">
        <f t="shared" si="15"/>
        <v>0</v>
      </c>
    </row>
    <row r="271" spans="8:10">
      <c r="H271" s="13">
        <f t="shared" si="14"/>
        <v>0</v>
      </c>
      <c r="J271" s="13">
        <f t="shared" si="15"/>
        <v>0</v>
      </c>
    </row>
    <row r="272" spans="8:10">
      <c r="H272" s="13">
        <f t="shared" si="14"/>
        <v>0</v>
      </c>
      <c r="J272" s="13">
        <f t="shared" si="15"/>
        <v>0</v>
      </c>
    </row>
    <row r="273" spans="8:10">
      <c r="H273" s="13">
        <f t="shared" si="14"/>
        <v>0</v>
      </c>
      <c r="J273" s="13">
        <f t="shared" si="15"/>
        <v>0</v>
      </c>
    </row>
    <row r="274" spans="8:10">
      <c r="H274" s="13">
        <f t="shared" si="14"/>
        <v>0</v>
      </c>
      <c r="J274" s="13">
        <f t="shared" si="15"/>
        <v>0</v>
      </c>
    </row>
    <row r="275" spans="8:10">
      <c r="H275" s="13">
        <f t="shared" si="14"/>
        <v>0</v>
      </c>
      <c r="J275" s="13">
        <f t="shared" si="15"/>
        <v>0</v>
      </c>
    </row>
    <row r="276" spans="8:10">
      <c r="H276" s="13">
        <f t="shared" si="14"/>
        <v>0</v>
      </c>
      <c r="J276" s="13">
        <f t="shared" si="15"/>
        <v>0</v>
      </c>
    </row>
    <row r="277" spans="8:10">
      <c r="H277" s="13">
        <f t="shared" si="14"/>
        <v>0</v>
      </c>
      <c r="J277" s="13">
        <f t="shared" si="15"/>
        <v>0</v>
      </c>
    </row>
    <row r="278" spans="8:10">
      <c r="H278" s="13">
        <f t="shared" si="14"/>
        <v>0</v>
      </c>
      <c r="J278" s="13">
        <f t="shared" si="15"/>
        <v>0</v>
      </c>
    </row>
    <row r="279" spans="8:10">
      <c r="H279" s="13">
        <f t="shared" si="14"/>
        <v>0</v>
      </c>
      <c r="J279" s="13">
        <f t="shared" si="15"/>
        <v>0</v>
      </c>
    </row>
    <row r="280" spans="8:10">
      <c r="H280" s="13">
        <f t="shared" si="14"/>
        <v>0</v>
      </c>
      <c r="J280" s="13">
        <f t="shared" si="15"/>
        <v>0</v>
      </c>
    </row>
    <row r="281" spans="8:10">
      <c r="H281" s="13">
        <f t="shared" si="14"/>
        <v>0</v>
      </c>
      <c r="J281" s="13">
        <f t="shared" si="15"/>
        <v>0</v>
      </c>
    </row>
    <row r="282" spans="8:10">
      <c r="H282" s="13">
        <f t="shared" si="14"/>
        <v>0</v>
      </c>
      <c r="J282" s="13">
        <f t="shared" si="15"/>
        <v>0</v>
      </c>
    </row>
    <row r="283" spans="8:10">
      <c r="H283" s="13">
        <f t="shared" si="14"/>
        <v>0</v>
      </c>
      <c r="J283" s="13">
        <f t="shared" si="15"/>
        <v>0</v>
      </c>
    </row>
    <row r="284" spans="8:10">
      <c r="H284" s="13">
        <f t="shared" si="14"/>
        <v>0</v>
      </c>
      <c r="J284" s="13">
        <f t="shared" si="15"/>
        <v>0</v>
      </c>
    </row>
    <row r="285" spans="8:10">
      <c r="H285" s="13">
        <f t="shared" si="14"/>
        <v>0</v>
      </c>
      <c r="J285" s="13">
        <f t="shared" si="15"/>
        <v>0</v>
      </c>
    </row>
    <row r="286" spans="8:10">
      <c r="H286" s="13">
        <f t="shared" si="14"/>
        <v>0</v>
      </c>
      <c r="J286" s="13">
        <f t="shared" si="15"/>
        <v>0</v>
      </c>
    </row>
    <row r="287" spans="8:10">
      <c r="H287" s="13">
        <f t="shared" si="14"/>
        <v>0</v>
      </c>
      <c r="J287" s="13">
        <f t="shared" si="15"/>
        <v>0</v>
      </c>
    </row>
    <row r="288" spans="8:10">
      <c r="H288" s="13">
        <f t="shared" si="14"/>
        <v>0</v>
      </c>
      <c r="J288" s="13">
        <f t="shared" si="15"/>
        <v>0</v>
      </c>
    </row>
    <row r="289" spans="8:10">
      <c r="H289" s="13">
        <f t="shared" si="14"/>
        <v>0</v>
      </c>
      <c r="J289" s="13">
        <f t="shared" si="15"/>
        <v>0</v>
      </c>
    </row>
    <row r="290" spans="8:10">
      <c r="H290" s="13">
        <f t="shared" si="14"/>
        <v>0</v>
      </c>
      <c r="J290" s="13">
        <f t="shared" si="15"/>
        <v>0</v>
      </c>
    </row>
    <row r="291" spans="8:10">
      <c r="H291" s="13">
        <f t="shared" si="14"/>
        <v>0</v>
      </c>
      <c r="J291" s="13">
        <f t="shared" si="15"/>
        <v>0</v>
      </c>
    </row>
    <row r="292" spans="8:10">
      <c r="H292" s="13">
        <f t="shared" si="14"/>
        <v>0</v>
      </c>
      <c r="J292" s="13">
        <f t="shared" si="15"/>
        <v>0</v>
      </c>
    </row>
    <row r="293" spans="8:10">
      <c r="H293" s="13">
        <f t="shared" si="14"/>
        <v>0</v>
      </c>
      <c r="J293" s="13">
        <f t="shared" si="15"/>
        <v>0</v>
      </c>
    </row>
    <row r="294" spans="8:10">
      <c r="H294" s="13">
        <f t="shared" si="14"/>
        <v>0</v>
      </c>
      <c r="J294" s="13">
        <f t="shared" si="15"/>
        <v>0</v>
      </c>
    </row>
    <row r="295" spans="8:10">
      <c r="H295" s="13">
        <f t="shared" si="14"/>
        <v>0</v>
      </c>
      <c r="J295" s="13">
        <f t="shared" si="15"/>
        <v>0</v>
      </c>
    </row>
    <row r="296" spans="8:10">
      <c r="H296" s="13">
        <f t="shared" si="14"/>
        <v>0</v>
      </c>
      <c r="J296" s="13">
        <f t="shared" si="15"/>
        <v>0</v>
      </c>
    </row>
    <row r="297" spans="8:10">
      <c r="H297" s="13">
        <f t="shared" si="14"/>
        <v>0</v>
      </c>
      <c r="J297" s="13">
        <f t="shared" si="15"/>
        <v>0</v>
      </c>
    </row>
    <row r="298" spans="8:10">
      <c r="H298" s="13">
        <f t="shared" si="14"/>
        <v>0</v>
      </c>
      <c r="J298" s="13">
        <f t="shared" si="15"/>
        <v>0</v>
      </c>
    </row>
    <row r="299" spans="8:10">
      <c r="H299" s="13">
        <f t="shared" si="14"/>
        <v>0</v>
      </c>
      <c r="J299" s="13">
        <f t="shared" si="15"/>
        <v>0</v>
      </c>
    </row>
    <row r="300" spans="8:10">
      <c r="H300" s="13">
        <f t="shared" si="14"/>
        <v>0</v>
      </c>
      <c r="J300" s="13">
        <f t="shared" si="15"/>
        <v>0</v>
      </c>
    </row>
    <row r="301" spans="8:10">
      <c r="H301" s="13">
        <f t="shared" si="14"/>
        <v>0</v>
      </c>
      <c r="J301" s="13">
        <f t="shared" si="15"/>
        <v>0</v>
      </c>
    </row>
    <row r="302" spans="8:10">
      <c r="H302" s="13">
        <f t="shared" si="14"/>
        <v>0</v>
      </c>
      <c r="J302" s="13">
        <f t="shared" si="15"/>
        <v>0</v>
      </c>
    </row>
    <row r="303" spans="8:10">
      <c r="H303" s="13">
        <f t="shared" si="14"/>
        <v>0</v>
      </c>
      <c r="J303" s="13">
        <f t="shared" si="15"/>
        <v>0</v>
      </c>
    </row>
    <row r="304" spans="8:10">
      <c r="H304" s="13">
        <f t="shared" si="14"/>
        <v>0</v>
      </c>
      <c r="J304" s="13">
        <f t="shared" si="15"/>
        <v>0</v>
      </c>
    </row>
    <row r="305" spans="8:10">
      <c r="H305" s="13">
        <f t="shared" si="14"/>
        <v>0</v>
      </c>
      <c r="J305" s="13">
        <f t="shared" si="15"/>
        <v>0</v>
      </c>
    </row>
    <row r="306" spans="8:10">
      <c r="H306" s="13">
        <f t="shared" si="14"/>
        <v>0</v>
      </c>
      <c r="J306" s="13">
        <f t="shared" si="15"/>
        <v>0</v>
      </c>
    </row>
    <row r="307" spans="8:10">
      <c r="H307" s="13">
        <f t="shared" si="14"/>
        <v>0</v>
      </c>
      <c r="J307" s="13">
        <f t="shared" si="15"/>
        <v>0</v>
      </c>
    </row>
    <row r="308" spans="8:10">
      <c r="H308" s="13">
        <f t="shared" si="14"/>
        <v>0</v>
      </c>
      <c r="J308" s="13">
        <f t="shared" si="15"/>
        <v>0</v>
      </c>
    </row>
    <row r="309" spans="8:10">
      <c r="H309" s="13">
        <f t="shared" si="14"/>
        <v>0</v>
      </c>
      <c r="J309" s="13">
        <f t="shared" si="15"/>
        <v>0</v>
      </c>
    </row>
    <row r="310" spans="8:10">
      <c r="H310" s="13">
        <f t="shared" si="14"/>
        <v>0</v>
      </c>
      <c r="J310" s="13">
        <f t="shared" si="15"/>
        <v>0</v>
      </c>
    </row>
    <row r="311" spans="8:10">
      <c r="H311" s="13">
        <f t="shared" si="14"/>
        <v>0</v>
      </c>
      <c r="J311" s="13">
        <f t="shared" si="15"/>
        <v>0</v>
      </c>
    </row>
    <row r="312" spans="8:10">
      <c r="H312" s="13">
        <f t="shared" si="14"/>
        <v>0</v>
      </c>
      <c r="J312" s="13">
        <f t="shared" si="15"/>
        <v>0</v>
      </c>
    </row>
    <row r="313" spans="8:10">
      <c r="H313" s="13">
        <f t="shared" si="14"/>
        <v>0</v>
      </c>
      <c r="J313" s="13">
        <f t="shared" si="15"/>
        <v>0</v>
      </c>
    </row>
    <row r="314" spans="8:10">
      <c r="H314" s="13">
        <f t="shared" si="14"/>
        <v>0</v>
      </c>
      <c r="J314" s="13">
        <f t="shared" si="15"/>
        <v>0</v>
      </c>
    </row>
    <row r="315" spans="8:10">
      <c r="H315" s="13">
        <f t="shared" si="14"/>
        <v>0</v>
      </c>
      <c r="J315" s="13">
        <f t="shared" si="15"/>
        <v>0</v>
      </c>
    </row>
    <row r="316" spans="8:10">
      <c r="H316" s="13">
        <f t="shared" si="14"/>
        <v>0</v>
      </c>
      <c r="J316" s="13">
        <f t="shared" si="15"/>
        <v>0</v>
      </c>
    </row>
    <row r="317" spans="8:10">
      <c r="H317" s="13">
        <f t="shared" si="14"/>
        <v>0</v>
      </c>
      <c r="J317" s="13">
        <f t="shared" si="15"/>
        <v>0</v>
      </c>
    </row>
    <row r="318" spans="8:10">
      <c r="H318" s="13">
        <f t="shared" si="14"/>
        <v>0</v>
      </c>
      <c r="J318" s="13">
        <f t="shared" si="15"/>
        <v>0</v>
      </c>
    </row>
    <row r="319" spans="8:10">
      <c r="H319" s="13">
        <f t="shared" si="14"/>
        <v>0</v>
      </c>
      <c r="J319" s="13">
        <f t="shared" si="15"/>
        <v>0</v>
      </c>
    </row>
    <row r="320" spans="8:10">
      <c r="H320" s="13">
        <f t="shared" si="14"/>
        <v>0</v>
      </c>
      <c r="J320" s="13">
        <f t="shared" si="15"/>
        <v>0</v>
      </c>
    </row>
    <row r="321" spans="8:10">
      <c r="H321" s="13">
        <f t="shared" si="14"/>
        <v>0</v>
      </c>
      <c r="J321" s="13">
        <f t="shared" si="15"/>
        <v>0</v>
      </c>
    </row>
    <row r="322" spans="8:10">
      <c r="H322" s="13">
        <f t="shared" si="14"/>
        <v>0</v>
      </c>
      <c r="J322" s="13">
        <f t="shared" si="15"/>
        <v>0</v>
      </c>
    </row>
    <row r="323" spans="8:10">
      <c r="H323" s="13">
        <f t="shared" ref="H323:H386" si="16">IFERROR(GETPIVOTDATA("Successful / Failed",$A$1,"System serial",G323),0)</f>
        <v>0</v>
      </c>
      <c r="J323" s="13">
        <f t="shared" ref="J323:J386" si="17">IFERROR(GETPIVOTDATA("Successful / Failed",$A$1,"System serial",G323,"Successful / Failed","Successful"),0)</f>
        <v>0</v>
      </c>
    </row>
    <row r="324" spans="8:10">
      <c r="H324" s="13">
        <f t="shared" si="16"/>
        <v>0</v>
      </c>
      <c r="J324" s="13">
        <f t="shared" si="17"/>
        <v>0</v>
      </c>
    </row>
    <row r="325" spans="8:10">
      <c r="H325" s="13">
        <f t="shared" si="16"/>
        <v>0</v>
      </c>
      <c r="J325" s="13">
        <f t="shared" si="17"/>
        <v>0</v>
      </c>
    </row>
    <row r="326" spans="8:10">
      <c r="H326" s="13">
        <f t="shared" si="16"/>
        <v>0</v>
      </c>
      <c r="J326" s="13">
        <f t="shared" si="17"/>
        <v>0</v>
      </c>
    </row>
    <row r="327" spans="8:10">
      <c r="H327" s="13">
        <f t="shared" si="16"/>
        <v>0</v>
      </c>
      <c r="J327" s="13">
        <f t="shared" si="17"/>
        <v>0</v>
      </c>
    </row>
    <row r="328" spans="8:10">
      <c r="H328" s="13">
        <f t="shared" si="16"/>
        <v>0</v>
      </c>
      <c r="J328" s="13">
        <f t="shared" si="17"/>
        <v>0</v>
      </c>
    </row>
    <row r="329" spans="8:10">
      <c r="H329" s="13">
        <f t="shared" si="16"/>
        <v>0</v>
      </c>
      <c r="J329" s="13">
        <f t="shared" si="17"/>
        <v>0</v>
      </c>
    </row>
    <row r="330" spans="8:10">
      <c r="H330" s="13">
        <f t="shared" si="16"/>
        <v>0</v>
      </c>
      <c r="J330" s="13">
        <f t="shared" si="17"/>
        <v>0</v>
      </c>
    </row>
    <row r="331" spans="8:10">
      <c r="H331" s="13">
        <f t="shared" si="16"/>
        <v>0</v>
      </c>
      <c r="J331" s="13">
        <f t="shared" si="17"/>
        <v>0</v>
      </c>
    </row>
    <row r="332" spans="8:10">
      <c r="H332" s="13">
        <f t="shared" si="16"/>
        <v>0</v>
      </c>
      <c r="J332" s="13">
        <f t="shared" si="17"/>
        <v>0</v>
      </c>
    </row>
    <row r="333" spans="8:10">
      <c r="H333" s="13">
        <f t="shared" si="16"/>
        <v>0</v>
      </c>
      <c r="J333" s="13">
        <f t="shared" si="17"/>
        <v>0</v>
      </c>
    </row>
    <row r="334" spans="8:10">
      <c r="H334" s="13">
        <f t="shared" si="16"/>
        <v>0</v>
      </c>
      <c r="J334" s="13">
        <f t="shared" si="17"/>
        <v>0</v>
      </c>
    </row>
    <row r="335" spans="8:10">
      <c r="H335" s="13">
        <f t="shared" si="16"/>
        <v>0</v>
      </c>
      <c r="J335" s="13">
        <f t="shared" si="17"/>
        <v>0</v>
      </c>
    </row>
    <row r="336" spans="8:10">
      <c r="H336" s="13">
        <f t="shared" si="16"/>
        <v>0</v>
      </c>
      <c r="J336" s="13">
        <f t="shared" si="17"/>
        <v>0</v>
      </c>
    </row>
    <row r="337" spans="8:10">
      <c r="H337" s="13">
        <f t="shared" si="16"/>
        <v>0</v>
      </c>
      <c r="J337" s="13">
        <f t="shared" si="17"/>
        <v>0</v>
      </c>
    </row>
    <row r="338" spans="8:10">
      <c r="H338" s="13">
        <f t="shared" si="16"/>
        <v>0</v>
      </c>
      <c r="J338" s="13">
        <f t="shared" si="17"/>
        <v>0</v>
      </c>
    </row>
    <row r="339" spans="8:10">
      <c r="H339" s="13">
        <f t="shared" si="16"/>
        <v>0</v>
      </c>
      <c r="J339" s="13">
        <f t="shared" si="17"/>
        <v>0</v>
      </c>
    </row>
    <row r="340" spans="8:10">
      <c r="H340" s="13">
        <f t="shared" si="16"/>
        <v>0</v>
      </c>
      <c r="J340" s="13">
        <f t="shared" si="17"/>
        <v>0</v>
      </c>
    </row>
    <row r="341" spans="8:10">
      <c r="H341" s="13">
        <f t="shared" si="16"/>
        <v>0</v>
      </c>
      <c r="J341" s="13">
        <f t="shared" si="17"/>
        <v>0</v>
      </c>
    </row>
    <row r="342" spans="8:10">
      <c r="H342" s="13">
        <f t="shared" si="16"/>
        <v>0</v>
      </c>
      <c r="J342" s="13">
        <f t="shared" si="17"/>
        <v>0</v>
      </c>
    </row>
    <row r="343" spans="8:10">
      <c r="H343" s="13">
        <f t="shared" si="16"/>
        <v>0</v>
      </c>
      <c r="J343" s="13">
        <f t="shared" si="17"/>
        <v>0</v>
      </c>
    </row>
    <row r="344" spans="8:10">
      <c r="H344" s="13">
        <f t="shared" si="16"/>
        <v>0</v>
      </c>
      <c r="J344" s="13">
        <f t="shared" si="17"/>
        <v>0</v>
      </c>
    </row>
    <row r="345" spans="8:10">
      <c r="H345" s="13">
        <f t="shared" si="16"/>
        <v>0</v>
      </c>
      <c r="J345" s="13">
        <f t="shared" si="17"/>
        <v>0</v>
      </c>
    </row>
    <row r="346" spans="8:10">
      <c r="H346" s="13">
        <f t="shared" si="16"/>
        <v>0</v>
      </c>
      <c r="J346" s="13">
        <f t="shared" si="17"/>
        <v>0</v>
      </c>
    </row>
    <row r="347" spans="8:10">
      <c r="H347" s="13">
        <f t="shared" si="16"/>
        <v>0</v>
      </c>
      <c r="J347" s="13">
        <f t="shared" si="17"/>
        <v>0</v>
      </c>
    </row>
    <row r="348" spans="8:10">
      <c r="H348" s="13">
        <f t="shared" si="16"/>
        <v>0</v>
      </c>
      <c r="J348" s="13">
        <f t="shared" si="17"/>
        <v>0</v>
      </c>
    </row>
    <row r="349" spans="8:10">
      <c r="H349" s="13">
        <f t="shared" si="16"/>
        <v>0</v>
      </c>
      <c r="J349" s="13">
        <f t="shared" si="17"/>
        <v>0</v>
      </c>
    </row>
    <row r="350" spans="8:10">
      <c r="H350" s="13">
        <f t="shared" si="16"/>
        <v>0</v>
      </c>
      <c r="J350" s="13">
        <f t="shared" si="17"/>
        <v>0</v>
      </c>
    </row>
    <row r="351" spans="8:10">
      <c r="H351" s="13">
        <f t="shared" si="16"/>
        <v>0</v>
      </c>
      <c r="J351" s="13">
        <f t="shared" si="17"/>
        <v>0</v>
      </c>
    </row>
    <row r="352" spans="8:10">
      <c r="H352" s="13">
        <f t="shared" si="16"/>
        <v>0</v>
      </c>
      <c r="J352" s="13">
        <f t="shared" si="17"/>
        <v>0</v>
      </c>
    </row>
    <row r="353" spans="8:10">
      <c r="H353" s="13">
        <f t="shared" si="16"/>
        <v>0</v>
      </c>
      <c r="J353" s="13">
        <f t="shared" si="17"/>
        <v>0</v>
      </c>
    </row>
    <row r="354" spans="8:10">
      <c r="H354" s="13">
        <f t="shared" si="16"/>
        <v>0</v>
      </c>
      <c r="J354" s="13">
        <f t="shared" si="17"/>
        <v>0</v>
      </c>
    </row>
    <row r="355" spans="8:10">
      <c r="H355" s="13">
        <f t="shared" si="16"/>
        <v>0</v>
      </c>
      <c r="J355" s="13">
        <f t="shared" si="17"/>
        <v>0</v>
      </c>
    </row>
    <row r="356" spans="8:10">
      <c r="H356" s="13">
        <f t="shared" si="16"/>
        <v>0</v>
      </c>
      <c r="J356" s="13">
        <f t="shared" si="17"/>
        <v>0</v>
      </c>
    </row>
    <row r="357" spans="8:10">
      <c r="H357" s="13">
        <f t="shared" si="16"/>
        <v>0</v>
      </c>
      <c r="J357" s="13">
        <f t="shared" si="17"/>
        <v>0</v>
      </c>
    </row>
    <row r="358" spans="8:10">
      <c r="H358" s="13">
        <f t="shared" si="16"/>
        <v>0</v>
      </c>
      <c r="J358" s="13">
        <f t="shared" si="17"/>
        <v>0</v>
      </c>
    </row>
    <row r="359" spans="8:10">
      <c r="H359" s="13">
        <f t="shared" si="16"/>
        <v>0</v>
      </c>
      <c r="J359" s="13">
        <f t="shared" si="17"/>
        <v>0</v>
      </c>
    </row>
    <row r="360" spans="8:10">
      <c r="H360" s="13">
        <f t="shared" si="16"/>
        <v>0</v>
      </c>
      <c r="J360" s="13">
        <f t="shared" si="17"/>
        <v>0</v>
      </c>
    </row>
    <row r="361" spans="8:10">
      <c r="H361" s="13">
        <f t="shared" si="16"/>
        <v>0</v>
      </c>
      <c r="J361" s="13">
        <f t="shared" si="17"/>
        <v>0</v>
      </c>
    </row>
    <row r="362" spans="8:10">
      <c r="H362" s="13">
        <f t="shared" si="16"/>
        <v>0</v>
      </c>
      <c r="J362" s="13">
        <f t="shared" si="17"/>
        <v>0</v>
      </c>
    </row>
    <row r="363" spans="8:10">
      <c r="H363" s="13">
        <f t="shared" si="16"/>
        <v>0</v>
      </c>
      <c r="J363" s="13">
        <f t="shared" si="17"/>
        <v>0</v>
      </c>
    </row>
    <row r="364" spans="8:10">
      <c r="H364" s="13">
        <f t="shared" si="16"/>
        <v>0</v>
      </c>
      <c r="J364" s="13">
        <f t="shared" si="17"/>
        <v>0</v>
      </c>
    </row>
    <row r="365" spans="8:10">
      <c r="H365" s="13">
        <f t="shared" si="16"/>
        <v>0</v>
      </c>
      <c r="J365" s="13">
        <f t="shared" si="17"/>
        <v>0</v>
      </c>
    </row>
    <row r="366" spans="8:10">
      <c r="H366" s="13">
        <f t="shared" si="16"/>
        <v>0</v>
      </c>
      <c r="J366" s="13">
        <f t="shared" si="17"/>
        <v>0</v>
      </c>
    </row>
    <row r="367" spans="8:10">
      <c r="H367" s="13">
        <f t="shared" si="16"/>
        <v>0</v>
      </c>
      <c r="J367" s="13">
        <f t="shared" si="17"/>
        <v>0</v>
      </c>
    </row>
    <row r="368" spans="8:10">
      <c r="H368" s="13">
        <f t="shared" si="16"/>
        <v>0</v>
      </c>
      <c r="J368" s="13">
        <f t="shared" si="17"/>
        <v>0</v>
      </c>
    </row>
    <row r="369" spans="8:10">
      <c r="H369" s="13">
        <f t="shared" si="16"/>
        <v>0</v>
      </c>
      <c r="J369" s="13">
        <f t="shared" si="17"/>
        <v>0</v>
      </c>
    </row>
    <row r="370" spans="8:10">
      <c r="H370" s="13">
        <f t="shared" si="16"/>
        <v>0</v>
      </c>
      <c r="J370" s="13">
        <f t="shared" si="17"/>
        <v>0</v>
      </c>
    </row>
    <row r="371" spans="8:10">
      <c r="H371" s="13">
        <f t="shared" si="16"/>
        <v>0</v>
      </c>
      <c r="J371" s="13">
        <f t="shared" si="17"/>
        <v>0</v>
      </c>
    </row>
    <row r="372" spans="8:10">
      <c r="H372" s="13">
        <f t="shared" si="16"/>
        <v>0</v>
      </c>
      <c r="J372" s="13">
        <f t="shared" si="17"/>
        <v>0</v>
      </c>
    </row>
    <row r="373" spans="8:10">
      <c r="H373" s="13">
        <f t="shared" si="16"/>
        <v>0</v>
      </c>
      <c r="J373" s="13">
        <f t="shared" si="17"/>
        <v>0</v>
      </c>
    </row>
    <row r="374" spans="8:10">
      <c r="H374" s="13">
        <f t="shared" si="16"/>
        <v>0</v>
      </c>
      <c r="J374" s="13">
        <f t="shared" si="17"/>
        <v>0</v>
      </c>
    </row>
    <row r="375" spans="8:10">
      <c r="H375" s="13">
        <f t="shared" si="16"/>
        <v>0</v>
      </c>
      <c r="J375" s="13">
        <f t="shared" si="17"/>
        <v>0</v>
      </c>
    </row>
    <row r="376" spans="8:10">
      <c r="H376" s="13">
        <f t="shared" si="16"/>
        <v>0</v>
      </c>
      <c r="J376" s="13">
        <f t="shared" si="17"/>
        <v>0</v>
      </c>
    </row>
    <row r="377" spans="8:10">
      <c r="H377" s="13">
        <f t="shared" si="16"/>
        <v>0</v>
      </c>
      <c r="J377" s="13">
        <f t="shared" si="17"/>
        <v>0</v>
      </c>
    </row>
    <row r="378" spans="8:10">
      <c r="H378" s="13">
        <f t="shared" si="16"/>
        <v>0</v>
      </c>
      <c r="J378" s="13">
        <f t="shared" si="17"/>
        <v>0</v>
      </c>
    </row>
    <row r="379" spans="8:10">
      <c r="H379" s="13">
        <f t="shared" si="16"/>
        <v>0</v>
      </c>
      <c r="J379" s="13">
        <f t="shared" si="17"/>
        <v>0</v>
      </c>
    </row>
    <row r="380" spans="8:10">
      <c r="H380" s="13">
        <f t="shared" si="16"/>
        <v>0</v>
      </c>
      <c r="J380" s="13">
        <f t="shared" si="17"/>
        <v>0</v>
      </c>
    </row>
    <row r="381" spans="8:10">
      <c r="H381" s="13">
        <f t="shared" si="16"/>
        <v>0</v>
      </c>
      <c r="J381" s="13">
        <f t="shared" si="17"/>
        <v>0</v>
      </c>
    </row>
    <row r="382" spans="8:10">
      <c r="H382" s="13">
        <f t="shared" si="16"/>
        <v>0</v>
      </c>
      <c r="J382" s="13">
        <f t="shared" si="17"/>
        <v>0</v>
      </c>
    </row>
    <row r="383" spans="8:10">
      <c r="H383" s="13">
        <f t="shared" si="16"/>
        <v>0</v>
      </c>
      <c r="J383" s="13">
        <f t="shared" si="17"/>
        <v>0</v>
      </c>
    </row>
    <row r="384" spans="8:10">
      <c r="H384" s="13">
        <f t="shared" si="16"/>
        <v>0</v>
      </c>
      <c r="J384" s="13">
        <f t="shared" si="17"/>
        <v>0</v>
      </c>
    </row>
    <row r="385" spans="8:10">
      <c r="H385" s="13">
        <f t="shared" si="16"/>
        <v>0</v>
      </c>
      <c r="J385" s="13">
        <f t="shared" si="17"/>
        <v>0</v>
      </c>
    </row>
    <row r="386" spans="8:10">
      <c r="H386" s="13">
        <f t="shared" si="16"/>
        <v>0</v>
      </c>
      <c r="J386" s="13">
        <f t="shared" si="17"/>
        <v>0</v>
      </c>
    </row>
    <row r="387" spans="8:10">
      <c r="H387" s="13">
        <f t="shared" ref="H387:H436" si="18">IFERROR(GETPIVOTDATA("Successful / Failed",$A$1,"System serial",G387),0)</f>
        <v>0</v>
      </c>
      <c r="J387" s="13">
        <f t="shared" ref="J387:J446" si="19">IFERROR(GETPIVOTDATA("Successful / Failed",$A$1,"System serial",G387,"Successful / Failed","Successful"),0)</f>
        <v>0</v>
      </c>
    </row>
    <row r="388" spans="8:10">
      <c r="H388" s="13">
        <f t="shared" si="18"/>
        <v>0</v>
      </c>
      <c r="J388" s="13">
        <f t="shared" si="19"/>
        <v>0</v>
      </c>
    </row>
    <row r="389" spans="8:10">
      <c r="H389" s="13">
        <f t="shared" si="18"/>
        <v>0</v>
      </c>
      <c r="J389" s="13">
        <f t="shared" si="19"/>
        <v>0</v>
      </c>
    </row>
    <row r="390" spans="8:10">
      <c r="H390" s="13">
        <f t="shared" si="18"/>
        <v>0</v>
      </c>
      <c r="J390" s="13">
        <f t="shared" si="19"/>
        <v>0</v>
      </c>
    </row>
    <row r="391" spans="8:10">
      <c r="H391" s="13">
        <f t="shared" si="18"/>
        <v>0</v>
      </c>
      <c r="J391" s="13">
        <f t="shared" si="19"/>
        <v>0</v>
      </c>
    </row>
    <row r="392" spans="8:10">
      <c r="H392" s="13">
        <f t="shared" si="18"/>
        <v>0</v>
      </c>
      <c r="J392" s="13">
        <f t="shared" si="19"/>
        <v>0</v>
      </c>
    </row>
    <row r="393" spans="8:10">
      <c r="H393" s="13">
        <f t="shared" si="18"/>
        <v>0</v>
      </c>
      <c r="J393" s="13">
        <f t="shared" si="19"/>
        <v>0</v>
      </c>
    </row>
    <row r="394" spans="8:10">
      <c r="H394" s="13">
        <f t="shared" si="18"/>
        <v>0</v>
      </c>
      <c r="J394" s="13">
        <f t="shared" si="19"/>
        <v>0</v>
      </c>
    </row>
    <row r="395" spans="8:10">
      <c r="H395" s="13">
        <f t="shared" si="18"/>
        <v>0</v>
      </c>
      <c r="J395" s="13">
        <f t="shared" si="19"/>
        <v>0</v>
      </c>
    </row>
    <row r="396" spans="8:10">
      <c r="H396" s="13">
        <f t="shared" si="18"/>
        <v>0</v>
      </c>
      <c r="J396" s="13">
        <f t="shared" si="19"/>
        <v>0</v>
      </c>
    </row>
    <row r="397" spans="8:10">
      <c r="H397" s="13">
        <f t="shared" si="18"/>
        <v>0</v>
      </c>
      <c r="J397" s="13">
        <f t="shared" si="19"/>
        <v>0</v>
      </c>
    </row>
    <row r="398" spans="8:10">
      <c r="H398" s="13">
        <f t="shared" si="18"/>
        <v>0</v>
      </c>
      <c r="J398" s="13">
        <f t="shared" si="19"/>
        <v>0</v>
      </c>
    </row>
    <row r="399" spans="8:10">
      <c r="H399" s="13">
        <f t="shared" si="18"/>
        <v>0</v>
      </c>
      <c r="J399" s="13">
        <f t="shared" si="19"/>
        <v>0</v>
      </c>
    </row>
    <row r="400" spans="8:10">
      <c r="H400" s="13">
        <f t="shared" si="18"/>
        <v>0</v>
      </c>
      <c r="J400" s="13">
        <f t="shared" si="19"/>
        <v>0</v>
      </c>
    </row>
    <row r="401" spans="8:10">
      <c r="H401" s="13">
        <f t="shared" si="18"/>
        <v>0</v>
      </c>
      <c r="J401" s="13">
        <f t="shared" si="19"/>
        <v>0</v>
      </c>
    </row>
    <row r="402" spans="8:10">
      <c r="H402" s="13">
        <f t="shared" si="18"/>
        <v>0</v>
      </c>
      <c r="J402" s="13">
        <f t="shared" si="19"/>
        <v>0</v>
      </c>
    </row>
    <row r="403" spans="8:10">
      <c r="H403" s="13">
        <f t="shared" si="18"/>
        <v>0</v>
      </c>
      <c r="J403" s="13">
        <f t="shared" si="19"/>
        <v>0</v>
      </c>
    </row>
    <row r="404" spans="8:10">
      <c r="H404" s="13">
        <f t="shared" si="18"/>
        <v>0</v>
      </c>
      <c r="J404" s="13">
        <f t="shared" si="19"/>
        <v>0</v>
      </c>
    </row>
    <row r="405" spans="8:10">
      <c r="H405" s="13">
        <f t="shared" si="18"/>
        <v>0</v>
      </c>
      <c r="J405" s="13">
        <f t="shared" si="19"/>
        <v>0</v>
      </c>
    </row>
    <row r="406" spans="8:10">
      <c r="H406" s="13">
        <f t="shared" si="18"/>
        <v>0</v>
      </c>
      <c r="J406" s="13">
        <f t="shared" si="19"/>
        <v>0</v>
      </c>
    </row>
    <row r="407" spans="8:10">
      <c r="H407" s="13">
        <f t="shared" si="18"/>
        <v>0</v>
      </c>
      <c r="J407" s="13">
        <f t="shared" si="19"/>
        <v>0</v>
      </c>
    </row>
    <row r="408" spans="8:10">
      <c r="H408" s="13">
        <f t="shared" si="18"/>
        <v>0</v>
      </c>
      <c r="J408" s="13">
        <f t="shared" si="19"/>
        <v>0</v>
      </c>
    </row>
    <row r="409" spans="8:10">
      <c r="H409" s="13">
        <f t="shared" si="18"/>
        <v>0</v>
      </c>
      <c r="J409" s="13">
        <f t="shared" si="19"/>
        <v>0</v>
      </c>
    </row>
    <row r="410" spans="8:10">
      <c r="H410" s="13">
        <f t="shared" si="18"/>
        <v>0</v>
      </c>
      <c r="J410" s="13">
        <f t="shared" si="19"/>
        <v>0</v>
      </c>
    </row>
    <row r="411" spans="8:10">
      <c r="H411" s="13">
        <f t="shared" si="18"/>
        <v>0</v>
      </c>
      <c r="J411" s="13">
        <f t="shared" si="19"/>
        <v>0</v>
      </c>
    </row>
    <row r="412" spans="8:10">
      <c r="H412" s="13">
        <f t="shared" si="18"/>
        <v>0</v>
      </c>
      <c r="J412" s="13">
        <f t="shared" si="19"/>
        <v>0</v>
      </c>
    </row>
    <row r="413" spans="8:10">
      <c r="H413" s="13">
        <f t="shared" si="18"/>
        <v>0</v>
      </c>
      <c r="J413" s="13">
        <f t="shared" si="19"/>
        <v>0</v>
      </c>
    </row>
    <row r="414" spans="8:10">
      <c r="H414" s="13">
        <f t="shared" si="18"/>
        <v>0</v>
      </c>
      <c r="J414" s="13">
        <f t="shared" si="19"/>
        <v>0</v>
      </c>
    </row>
    <row r="415" spans="8:10">
      <c r="H415" s="13">
        <f t="shared" si="18"/>
        <v>0</v>
      </c>
      <c r="J415" s="13">
        <f t="shared" si="19"/>
        <v>0</v>
      </c>
    </row>
    <row r="416" spans="8:10">
      <c r="H416" s="13">
        <f t="shared" si="18"/>
        <v>0</v>
      </c>
      <c r="J416" s="13">
        <f t="shared" si="19"/>
        <v>0</v>
      </c>
    </row>
    <row r="417" spans="8:10">
      <c r="H417" s="13">
        <f t="shared" si="18"/>
        <v>0</v>
      </c>
      <c r="J417" s="13">
        <f t="shared" si="19"/>
        <v>0</v>
      </c>
    </row>
    <row r="418" spans="8:10">
      <c r="H418" s="13">
        <f t="shared" si="18"/>
        <v>0</v>
      </c>
      <c r="J418" s="13">
        <f t="shared" si="19"/>
        <v>0</v>
      </c>
    </row>
    <row r="419" spans="8:10">
      <c r="H419" s="13">
        <f t="shared" si="18"/>
        <v>0</v>
      </c>
      <c r="J419" s="13">
        <f t="shared" si="19"/>
        <v>0</v>
      </c>
    </row>
    <row r="420" spans="8:10">
      <c r="H420" s="13">
        <f t="shared" si="18"/>
        <v>0</v>
      </c>
      <c r="J420" s="13">
        <f t="shared" si="19"/>
        <v>0</v>
      </c>
    </row>
    <row r="421" spans="8:10">
      <c r="H421" s="13">
        <f t="shared" si="18"/>
        <v>0</v>
      </c>
      <c r="J421" s="13">
        <f t="shared" si="19"/>
        <v>0</v>
      </c>
    </row>
    <row r="422" spans="8:10">
      <c r="H422" s="13">
        <f t="shared" si="18"/>
        <v>0</v>
      </c>
      <c r="J422" s="13">
        <f t="shared" si="19"/>
        <v>0</v>
      </c>
    </row>
    <row r="423" spans="8:10">
      <c r="H423" s="13">
        <f t="shared" si="18"/>
        <v>0</v>
      </c>
      <c r="J423" s="13">
        <f t="shared" si="19"/>
        <v>0</v>
      </c>
    </row>
    <row r="424" spans="8:10">
      <c r="H424" s="13">
        <f t="shared" si="18"/>
        <v>0</v>
      </c>
      <c r="J424" s="13">
        <f t="shared" si="19"/>
        <v>0</v>
      </c>
    </row>
    <row r="425" spans="8:10">
      <c r="H425" s="13">
        <f t="shared" si="18"/>
        <v>0</v>
      </c>
      <c r="J425" s="13">
        <f t="shared" si="19"/>
        <v>0</v>
      </c>
    </row>
    <row r="426" spans="8:10">
      <c r="H426" s="13">
        <f t="shared" si="18"/>
        <v>0</v>
      </c>
      <c r="J426" s="13">
        <f t="shared" si="19"/>
        <v>0</v>
      </c>
    </row>
    <row r="427" spans="8:10">
      <c r="H427" s="13">
        <f t="shared" si="18"/>
        <v>0</v>
      </c>
      <c r="J427" s="13">
        <f t="shared" si="19"/>
        <v>0</v>
      </c>
    </row>
    <row r="428" spans="8:10">
      <c r="H428" s="13">
        <f t="shared" si="18"/>
        <v>0</v>
      </c>
      <c r="J428" s="13">
        <f t="shared" si="19"/>
        <v>0</v>
      </c>
    </row>
    <row r="429" spans="8:10">
      <c r="H429" s="13">
        <f t="shared" si="18"/>
        <v>0</v>
      </c>
      <c r="J429" s="13">
        <f t="shared" si="19"/>
        <v>0</v>
      </c>
    </row>
    <row r="430" spans="8:10">
      <c r="H430" s="13">
        <f t="shared" si="18"/>
        <v>0</v>
      </c>
      <c r="J430" s="13">
        <f t="shared" si="19"/>
        <v>0</v>
      </c>
    </row>
    <row r="431" spans="8:10">
      <c r="H431" s="13">
        <f t="shared" si="18"/>
        <v>0</v>
      </c>
      <c r="J431" s="13">
        <f t="shared" si="19"/>
        <v>0</v>
      </c>
    </row>
    <row r="432" spans="8:10">
      <c r="H432" s="13">
        <f t="shared" si="18"/>
        <v>0</v>
      </c>
      <c r="J432" s="13">
        <f t="shared" si="19"/>
        <v>0</v>
      </c>
    </row>
    <row r="433" spans="8:10">
      <c r="H433" s="13">
        <f t="shared" si="18"/>
        <v>0</v>
      </c>
      <c r="J433" s="13">
        <f t="shared" si="19"/>
        <v>0</v>
      </c>
    </row>
    <row r="434" spans="8:10">
      <c r="H434" s="13">
        <f t="shared" si="18"/>
        <v>0</v>
      </c>
      <c r="J434" s="13">
        <f t="shared" si="19"/>
        <v>0</v>
      </c>
    </row>
    <row r="435" spans="8:10">
      <c r="H435" s="13">
        <f t="shared" si="18"/>
        <v>0</v>
      </c>
      <c r="J435" s="13">
        <f t="shared" si="19"/>
        <v>0</v>
      </c>
    </row>
    <row r="436" spans="8:10">
      <c r="H436" s="13">
        <f t="shared" si="18"/>
        <v>0</v>
      </c>
      <c r="J436" s="13">
        <f t="shared" si="19"/>
        <v>0</v>
      </c>
    </row>
    <row r="437" spans="8:10">
      <c r="J437" s="13">
        <f t="shared" si="19"/>
        <v>0</v>
      </c>
    </row>
    <row r="438" spans="8:10">
      <c r="J438" s="13">
        <f t="shared" si="19"/>
        <v>0</v>
      </c>
    </row>
    <row r="439" spans="8:10">
      <c r="J439" s="13">
        <f t="shared" si="19"/>
        <v>0</v>
      </c>
    </row>
    <row r="440" spans="8:10">
      <c r="J440" s="13">
        <f t="shared" si="19"/>
        <v>0</v>
      </c>
    </row>
    <row r="441" spans="8:10">
      <c r="J441" s="13">
        <f t="shared" si="19"/>
        <v>0</v>
      </c>
    </row>
    <row r="442" spans="8:10">
      <c r="J442" s="13">
        <f t="shared" si="19"/>
        <v>0</v>
      </c>
    </row>
    <row r="443" spans="8:10">
      <c r="J443" s="13">
        <f t="shared" si="19"/>
        <v>0</v>
      </c>
    </row>
    <row r="444" spans="8:10">
      <c r="J444" s="13">
        <f t="shared" si="19"/>
        <v>0</v>
      </c>
    </row>
    <row r="445" spans="8:10">
      <c r="J445" s="13">
        <f t="shared" si="19"/>
        <v>0</v>
      </c>
    </row>
    <row r="446" spans="8:10">
      <c r="J446" s="13">
        <f t="shared" si="19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E1000"/>
  <sheetViews>
    <sheetView workbookViewId="0">
      <selection activeCell="E9" sqref="E9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64.5703125" bestFit="1" customWidth="1"/>
    <col min="29" max="29" width="17.7109375" bestFit="1" customWidth="1"/>
    <col min="30" max="30" width="38.28515625" bestFit="1" customWidth="1"/>
    <col min="31" max="31" width="17.7109375" bestFit="1" customWidth="1"/>
  </cols>
  <sheetData>
    <row r="1" spans="1:31">
      <c r="A1" t="str" cm="1">
        <f t="array" ref="A1:AB1000">Input!D1:AE1000</f>
        <v>Business name</v>
      </c>
      <c r="B1" t="str">
        <v>System manufacturer</v>
      </c>
      <c r="C1" t="str">
        <v>System chassis type</v>
      </c>
      <c r="D1" t="str">
        <v>Custom 1</v>
      </c>
      <c r="E1" t="str">
        <v>Device Identifier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Battery test</v>
      </c>
      <c r="K1" t="str">
        <v>Display test comment</v>
      </c>
      <c r="L1" t="str">
        <v>Keyboard test comment</v>
      </c>
      <c r="M1" t="str">
        <v>Pointer Test Comment</v>
      </c>
      <c r="N1" t="str">
        <v>Speakers test</v>
      </c>
      <c r="O1" t="str">
        <v>USB port hardware test comment</v>
      </c>
      <c r="P1" t="str">
        <v>Webcam test comment</v>
      </c>
      <c r="Q1" t="str">
        <v>CPU model</v>
      </c>
      <c r="R1" t="str">
        <v>Memory capacity</v>
      </c>
      <c r="S1" t="str">
        <v>Memory type</v>
      </c>
      <c r="T1" t="str">
        <v>Disk capacity</v>
      </c>
      <c r="U1" t="str">
        <v>Disk interface type</v>
      </c>
      <c r="V1" t="str">
        <v>Disk serial</v>
      </c>
      <c r="W1" t="str">
        <v>Disk model</v>
      </c>
      <c r="X1" t="str">
        <v>Erasure start time</v>
      </c>
      <c r="Y1" t="str">
        <v>Battery capacity</v>
      </c>
      <c r="Z1" t="str">
        <v>Battery test comment</v>
      </c>
      <c r="AA1" t="str">
        <v>Erasure technician</v>
      </c>
      <c r="AB1" t="str">
        <v>UUID</v>
      </c>
      <c r="AE1" t="s">
        <v>56</v>
      </c>
    </row>
    <row r="2" spans="1:31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E2" t="str">
        <f>IF(ISNUMBER(SEARCH("Successful",F2)),
   "Successful",
   IF(F2="Failed","Failed",""))</f>
        <v/>
      </c>
    </row>
    <row r="3" spans="1:31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E3" t="str">
        <f t="shared" ref="AE3:AE66" si="0">IF(ISNUMBER(SEARCH("Successful",F3)),
   "Successful",
   IF(F3="Failed","Failed",""))</f>
        <v/>
      </c>
    </row>
    <row r="4" spans="1:31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E4" t="str">
        <f t="shared" si="0"/>
        <v/>
      </c>
    </row>
    <row r="5" spans="1:31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E5" t="str">
        <f t="shared" si="0"/>
        <v/>
      </c>
    </row>
    <row r="6" spans="1:31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E6" t="str">
        <f t="shared" si="0"/>
        <v/>
      </c>
    </row>
    <row r="7" spans="1:31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E7" t="str">
        <f t="shared" si="0"/>
        <v/>
      </c>
    </row>
    <row r="8" spans="1:31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E8" t="str">
        <f t="shared" si="0"/>
        <v/>
      </c>
    </row>
    <row r="9" spans="1:31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E9" t="str">
        <f t="shared" si="0"/>
        <v/>
      </c>
    </row>
    <row r="10" spans="1:31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E10" t="str">
        <f t="shared" si="0"/>
        <v/>
      </c>
    </row>
    <row r="11" spans="1:31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E11" t="str">
        <f t="shared" si="0"/>
        <v/>
      </c>
    </row>
    <row r="12" spans="1:31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E12" t="str">
        <f t="shared" si="0"/>
        <v/>
      </c>
    </row>
    <row r="13" spans="1:31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E13" t="str">
        <f t="shared" si="0"/>
        <v/>
      </c>
    </row>
    <row r="14" spans="1:31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E14" t="str">
        <f t="shared" si="0"/>
        <v/>
      </c>
    </row>
    <row r="15" spans="1:31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E15" t="str">
        <f t="shared" si="0"/>
        <v/>
      </c>
    </row>
    <row r="16" spans="1:31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E16" t="str">
        <f t="shared" si="0"/>
        <v/>
      </c>
    </row>
    <row r="17" spans="1:31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E17" t="str">
        <f t="shared" si="0"/>
        <v/>
      </c>
    </row>
    <row r="18" spans="1:31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E18" t="str">
        <f t="shared" si="0"/>
        <v/>
      </c>
    </row>
    <row r="19" spans="1:31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E19" t="str">
        <f t="shared" si="0"/>
        <v/>
      </c>
    </row>
    <row r="20" spans="1:31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E20" t="str">
        <f t="shared" si="0"/>
        <v/>
      </c>
    </row>
    <row r="21" spans="1:31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E21" t="str">
        <f t="shared" si="0"/>
        <v/>
      </c>
    </row>
    <row r="22" spans="1:31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E22" t="str">
        <f t="shared" si="0"/>
        <v/>
      </c>
    </row>
    <row r="23" spans="1:31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E23" t="str">
        <f t="shared" si="0"/>
        <v/>
      </c>
    </row>
    <row r="24" spans="1:31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E24" t="str">
        <f t="shared" si="0"/>
        <v/>
      </c>
    </row>
    <row r="25" spans="1:31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E25" t="str">
        <f t="shared" si="0"/>
        <v/>
      </c>
    </row>
    <row r="26" spans="1:31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E26" t="str">
        <f t="shared" si="0"/>
        <v/>
      </c>
    </row>
    <row r="27" spans="1:31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E27" t="str">
        <f t="shared" si="0"/>
        <v/>
      </c>
    </row>
    <row r="28" spans="1:31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E28" t="str">
        <f t="shared" si="0"/>
        <v/>
      </c>
    </row>
    <row r="29" spans="1:31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E29" t="str">
        <f t="shared" si="0"/>
        <v/>
      </c>
    </row>
    <row r="30" spans="1:31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E30" t="str">
        <f t="shared" si="0"/>
        <v/>
      </c>
    </row>
    <row r="31" spans="1:31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E31" t="str">
        <f t="shared" si="0"/>
        <v/>
      </c>
    </row>
    <row r="32" spans="1:31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E32" t="str">
        <f t="shared" si="0"/>
        <v/>
      </c>
    </row>
    <row r="33" spans="1:31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E33" t="str">
        <f t="shared" si="0"/>
        <v/>
      </c>
    </row>
    <row r="34" spans="1:31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E34" t="str">
        <f t="shared" si="0"/>
        <v/>
      </c>
    </row>
    <row r="35" spans="1:31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E35" t="str">
        <f t="shared" si="0"/>
        <v/>
      </c>
    </row>
    <row r="36" spans="1:31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E36" t="str">
        <f t="shared" si="0"/>
        <v/>
      </c>
    </row>
    <row r="37" spans="1:31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E37" t="str">
        <f t="shared" si="0"/>
        <v/>
      </c>
    </row>
    <row r="38" spans="1:31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E38" t="str">
        <f t="shared" si="0"/>
        <v/>
      </c>
    </row>
    <row r="39" spans="1:31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E39" t="str">
        <f t="shared" si="0"/>
        <v/>
      </c>
    </row>
    <row r="40" spans="1:31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E40" t="str">
        <f t="shared" si="0"/>
        <v/>
      </c>
    </row>
    <row r="41" spans="1:31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E41" t="str">
        <f t="shared" si="0"/>
        <v/>
      </c>
    </row>
    <row r="42" spans="1:31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E42" t="str">
        <f t="shared" si="0"/>
        <v/>
      </c>
    </row>
    <row r="43" spans="1:31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E43" t="str">
        <f t="shared" si="0"/>
        <v/>
      </c>
    </row>
    <row r="44" spans="1:31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E44" t="str">
        <f t="shared" si="0"/>
        <v/>
      </c>
    </row>
    <row r="45" spans="1:31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E45" t="str">
        <f t="shared" si="0"/>
        <v/>
      </c>
    </row>
    <row r="46" spans="1:31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E46" t="str">
        <f t="shared" si="0"/>
        <v/>
      </c>
    </row>
    <row r="47" spans="1:31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E47" t="str">
        <f t="shared" si="0"/>
        <v/>
      </c>
    </row>
    <row r="48" spans="1:31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E48" t="str">
        <f t="shared" si="0"/>
        <v/>
      </c>
    </row>
    <row r="49" spans="1:31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E49" t="str">
        <f t="shared" si="0"/>
        <v/>
      </c>
    </row>
    <row r="50" spans="1:31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E50" t="str">
        <f t="shared" si="0"/>
        <v/>
      </c>
    </row>
    <row r="51" spans="1:31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E51" t="str">
        <f t="shared" si="0"/>
        <v/>
      </c>
    </row>
    <row r="52" spans="1:31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E52" t="str">
        <f t="shared" si="0"/>
        <v/>
      </c>
    </row>
    <row r="53" spans="1:31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E53" t="str">
        <f t="shared" si="0"/>
        <v/>
      </c>
    </row>
    <row r="54" spans="1:31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E54" t="str">
        <f t="shared" si="0"/>
        <v/>
      </c>
    </row>
    <row r="55" spans="1:31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E55" t="str">
        <f t="shared" si="0"/>
        <v/>
      </c>
    </row>
    <row r="56" spans="1:31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E56" t="str">
        <f t="shared" si="0"/>
        <v/>
      </c>
    </row>
    <row r="57" spans="1:31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E57" t="str">
        <f t="shared" si="0"/>
        <v/>
      </c>
    </row>
    <row r="58" spans="1:31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E58" t="str">
        <f t="shared" si="0"/>
        <v/>
      </c>
    </row>
    <row r="59" spans="1:31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E59" t="str">
        <f t="shared" si="0"/>
        <v/>
      </c>
    </row>
    <row r="60" spans="1:31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E60" t="str">
        <f t="shared" si="0"/>
        <v/>
      </c>
    </row>
    <row r="61" spans="1:31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E61" t="str">
        <f t="shared" si="0"/>
        <v/>
      </c>
    </row>
    <row r="62" spans="1:31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E62" t="str">
        <f t="shared" si="0"/>
        <v/>
      </c>
    </row>
    <row r="63" spans="1:31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E63" t="str">
        <f t="shared" si="0"/>
        <v/>
      </c>
    </row>
    <row r="64" spans="1:31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E64" t="str">
        <f t="shared" si="0"/>
        <v/>
      </c>
    </row>
    <row r="65" spans="1:31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E65" t="str">
        <f t="shared" si="0"/>
        <v/>
      </c>
    </row>
    <row r="66" spans="1:31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E66" t="str">
        <f t="shared" si="0"/>
        <v/>
      </c>
    </row>
    <row r="67" spans="1:31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E67" t="str">
        <f t="shared" ref="AE67:AE99" si="1">IF(ISNUMBER(SEARCH("Successful",F67)),
   "Successful",
   IF(F67="Failed","Failed",""))</f>
        <v/>
      </c>
    </row>
    <row r="68" spans="1:31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E68" t="str">
        <f t="shared" si="1"/>
        <v/>
      </c>
    </row>
    <row r="69" spans="1:31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E69" t="str">
        <f t="shared" si="1"/>
        <v/>
      </c>
    </row>
    <row r="70" spans="1:31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E70" t="str">
        <f t="shared" si="1"/>
        <v/>
      </c>
    </row>
    <row r="71" spans="1:31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E71" t="str">
        <f t="shared" si="1"/>
        <v/>
      </c>
    </row>
    <row r="72" spans="1:31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E72" t="str">
        <f t="shared" si="1"/>
        <v/>
      </c>
    </row>
    <row r="73" spans="1:31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E73" t="str">
        <f t="shared" si="1"/>
        <v/>
      </c>
    </row>
    <row r="74" spans="1:31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E74" t="str">
        <f t="shared" si="1"/>
        <v/>
      </c>
    </row>
    <row r="75" spans="1:31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E75" t="str">
        <f t="shared" si="1"/>
        <v/>
      </c>
    </row>
    <row r="76" spans="1:31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E76" t="str">
        <f t="shared" si="1"/>
        <v/>
      </c>
    </row>
    <row r="77" spans="1:31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E77" t="str">
        <f t="shared" si="1"/>
        <v/>
      </c>
    </row>
    <row r="78" spans="1:31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E78" t="str">
        <f t="shared" si="1"/>
        <v/>
      </c>
    </row>
    <row r="79" spans="1:31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E79" t="str">
        <f t="shared" si="1"/>
        <v/>
      </c>
    </row>
    <row r="80" spans="1:31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E80" t="str">
        <f t="shared" si="1"/>
        <v/>
      </c>
    </row>
    <row r="81" spans="1:31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E81" t="str">
        <f t="shared" si="1"/>
        <v/>
      </c>
    </row>
    <row r="82" spans="1:31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E82" t="str">
        <f t="shared" si="1"/>
        <v/>
      </c>
    </row>
    <row r="83" spans="1:31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E83" t="str">
        <f t="shared" si="1"/>
        <v/>
      </c>
    </row>
    <row r="84" spans="1:31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E84" t="str">
        <f t="shared" si="1"/>
        <v/>
      </c>
    </row>
    <row r="85" spans="1:31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E85" t="str">
        <f t="shared" si="1"/>
        <v/>
      </c>
    </row>
    <row r="86" spans="1:31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E86" t="str">
        <f t="shared" si="1"/>
        <v/>
      </c>
    </row>
    <row r="87" spans="1:31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E87" t="str">
        <f t="shared" si="1"/>
        <v/>
      </c>
    </row>
    <row r="88" spans="1:31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E88" t="str">
        <f t="shared" si="1"/>
        <v/>
      </c>
    </row>
    <row r="89" spans="1:31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E89" t="str">
        <f t="shared" si="1"/>
        <v/>
      </c>
    </row>
    <row r="90" spans="1:31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E90" t="str">
        <f t="shared" si="1"/>
        <v/>
      </c>
    </row>
    <row r="91" spans="1:31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E91" t="str">
        <f t="shared" si="1"/>
        <v/>
      </c>
    </row>
    <row r="92" spans="1:31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E92" t="str">
        <f t="shared" si="1"/>
        <v/>
      </c>
    </row>
    <row r="93" spans="1:31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E93" t="str">
        <f t="shared" si="1"/>
        <v/>
      </c>
    </row>
    <row r="94" spans="1:31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E94" t="str">
        <f t="shared" si="1"/>
        <v/>
      </c>
    </row>
    <row r="95" spans="1:31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E95" t="str">
        <f t="shared" si="1"/>
        <v/>
      </c>
    </row>
    <row r="96" spans="1:31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E96" t="str">
        <f t="shared" si="1"/>
        <v/>
      </c>
    </row>
    <row r="97" spans="1:31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E97" t="str">
        <f t="shared" si="1"/>
        <v/>
      </c>
    </row>
    <row r="98" spans="1:31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E98" t="str">
        <f t="shared" si="1"/>
        <v/>
      </c>
    </row>
    <row r="99" spans="1:31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E99" t="str">
        <f t="shared" si="1"/>
        <v/>
      </c>
    </row>
    <row r="100" spans="1:31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</row>
    <row r="101" spans="1:31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</row>
    <row r="102" spans="1:31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</row>
    <row r="103" spans="1:31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</row>
    <row r="104" spans="1:31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</row>
    <row r="105" spans="1:31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</row>
    <row r="106" spans="1:31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</row>
    <row r="107" spans="1:31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</row>
    <row r="108" spans="1:31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</row>
    <row r="109" spans="1:31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</row>
    <row r="110" spans="1:31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</row>
    <row r="111" spans="1:31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</row>
    <row r="112" spans="1:31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Q34"/>
  <sheetViews>
    <sheetView workbookViewId="0">
      <selection activeCell="K36" sqref="K36"/>
    </sheetView>
  </sheetViews>
  <sheetFormatPr defaultRowHeight="15"/>
  <cols>
    <col min="1" max="1" width="11.28515625" customWidth="1"/>
    <col min="2" max="2" width="14.140625" bestFit="1" customWidth="1"/>
    <col min="3" max="4" width="14.140625" customWidth="1"/>
    <col min="5" max="5" width="15.85546875" bestFit="1" customWidth="1"/>
    <col min="6" max="6" width="11" bestFit="1" customWidth="1"/>
    <col min="7" max="7" width="5" customWidth="1"/>
    <col min="8" max="8" width="8.7109375" bestFit="1" customWidth="1"/>
    <col min="9" max="9" width="15.5703125" customWidth="1"/>
    <col min="10" max="10" width="17.42578125" customWidth="1"/>
    <col min="11" max="11" width="13.5703125" customWidth="1"/>
    <col min="12" max="12" width="8.85546875" customWidth="1"/>
    <col min="13" max="13" width="16" customWidth="1"/>
    <col min="14" max="14" width="19.42578125" bestFit="1" customWidth="1"/>
    <col min="15" max="15" width="16.140625" bestFit="1" customWidth="1"/>
    <col min="16" max="16" width="32.140625" bestFit="1" customWidth="1"/>
    <col min="17" max="17" width="21.140625" customWidth="1"/>
    <col min="18" max="18" width="12.140625" customWidth="1"/>
  </cols>
  <sheetData>
    <row r="1" spans="1:17">
      <c r="A1" t="s">
        <v>0</v>
      </c>
      <c r="B1" t="s">
        <v>65</v>
      </c>
      <c r="C1" t="s">
        <v>2</v>
      </c>
      <c r="D1" t="s">
        <v>5</v>
      </c>
      <c r="E1" t="s">
        <v>6</v>
      </c>
      <c r="F1" t="s">
        <v>9</v>
      </c>
      <c r="G1" t="s">
        <v>66</v>
      </c>
      <c r="H1" t="s">
        <v>11</v>
      </c>
      <c r="I1" t="s">
        <v>67</v>
      </c>
      <c r="J1" t="s">
        <v>68</v>
      </c>
      <c r="K1" t="s">
        <v>69</v>
      </c>
      <c r="L1" t="s">
        <v>70</v>
      </c>
      <c r="M1" s="14" t="s">
        <v>71</v>
      </c>
      <c r="N1" t="s">
        <v>72</v>
      </c>
      <c r="O1" t="s">
        <v>73</v>
      </c>
      <c r="P1" t="s">
        <v>13</v>
      </c>
      <c r="Q1" t="s">
        <v>74</v>
      </c>
    </row>
    <row r="2" spans="1:17">
      <c r="A2" t="str" cm="1">
        <f t="array" ref="A2">IFERROR(_xlfn.TEXTSPLIT(Input!A3,"*"),"")</f>
        <v/>
      </c>
      <c r="Q2">
        <f>_xlfn.XLOOKUP(B2,Input!J:J,Input!I:I,"Missing",0,1)</f>
        <v>0</v>
      </c>
    </row>
    <row r="3" spans="1:17">
      <c r="A3" t="str" cm="1">
        <f t="array" ref="A3">IFERROR(_xlfn.TEXTSPLIT(Input!A4,"*"),"")</f>
        <v/>
      </c>
      <c r="Q3">
        <f>_xlfn.XLOOKUP(B3,Input!J:J,Input!I:I,"Missing",0,1)</f>
        <v>0</v>
      </c>
    </row>
    <row r="4" spans="1:17">
      <c r="A4" t="str" cm="1">
        <f t="array" ref="A4">IFERROR(_xlfn.TEXTSPLIT(Input!A5,"*"),"")</f>
        <v/>
      </c>
      <c r="Q4">
        <f>_xlfn.XLOOKUP(B4,Input!J:J,Input!I:I,"Missing",0,1)</f>
        <v>0</v>
      </c>
    </row>
    <row r="5" spans="1:17">
      <c r="A5" t="str" cm="1">
        <f t="array" ref="A5">IFERROR(_xlfn.TEXTSPLIT(Input!A6,"*"),"")</f>
        <v/>
      </c>
      <c r="Q5">
        <f>_xlfn.XLOOKUP(B5,Input!J:J,Input!I:I,"Missing",0,1)</f>
        <v>0</v>
      </c>
    </row>
    <row r="6" spans="1:17">
      <c r="A6" t="str" cm="1">
        <f t="array" ref="A6">IFERROR(_xlfn.TEXTSPLIT(Input!A7,"*"),"")</f>
        <v/>
      </c>
      <c r="Q6">
        <f>_xlfn.XLOOKUP(B6,Input!J:J,Input!I:I,"Missing",0,1)</f>
        <v>0</v>
      </c>
    </row>
    <row r="7" spans="1:17">
      <c r="A7" t="str" cm="1">
        <f t="array" ref="A7">IFERROR(_xlfn.TEXTSPLIT(Input!A8,"*"),"")</f>
        <v/>
      </c>
      <c r="Q7">
        <f>_xlfn.XLOOKUP(B7,Input!J:J,Input!I:I,"Missing",0,1)</f>
        <v>0</v>
      </c>
    </row>
    <row r="8" spans="1:17">
      <c r="A8" t="str" cm="1">
        <f t="array" ref="A8">IFERROR(_xlfn.TEXTSPLIT(Input!A9,"*"),"")</f>
        <v/>
      </c>
      <c r="Q8">
        <f>_xlfn.XLOOKUP(B8,Input!J:J,Input!I:I,"Missing",0,1)</f>
        <v>0</v>
      </c>
    </row>
    <row r="9" spans="1:17">
      <c r="A9" t="str" cm="1">
        <f t="array" ref="A9">IFERROR(_xlfn.TEXTSPLIT(Input!A10,"*"),"")</f>
        <v/>
      </c>
      <c r="Q9">
        <f>_xlfn.XLOOKUP(B9,Input!J:J,Input!I:I,"Missing",0,1)</f>
        <v>0</v>
      </c>
    </row>
    <row r="10" spans="1:17">
      <c r="A10" t="str" cm="1">
        <f t="array" ref="A10">IFERROR(_xlfn.TEXTSPLIT(Input!A11,"*"),"")</f>
        <v/>
      </c>
      <c r="Q10">
        <f>_xlfn.XLOOKUP(B10,Input!J:J,Input!I:I,"Missing",0,1)</f>
        <v>0</v>
      </c>
    </row>
    <row r="11" spans="1:17">
      <c r="A11" t="str" cm="1">
        <f t="array" ref="A11">IFERROR(_xlfn.TEXTSPLIT(Input!A12,"*"),"")</f>
        <v/>
      </c>
      <c r="Q11">
        <f>_xlfn.XLOOKUP(B11,Input!J:J,Input!I:I,"Missing",0,1)</f>
        <v>0</v>
      </c>
    </row>
    <row r="12" spans="1:17">
      <c r="A12" t="str" cm="1">
        <f t="array" ref="A12">IFERROR(_xlfn.TEXTSPLIT(Input!A13,"*"),"")</f>
        <v/>
      </c>
      <c r="Q12">
        <f>_xlfn.XLOOKUP(B12,Input!J:J,Input!I:I,"Missing",0,1)</f>
        <v>0</v>
      </c>
    </row>
    <row r="13" spans="1:17">
      <c r="A13" t="str" cm="1">
        <f t="array" ref="A13">IFERROR(_xlfn.TEXTSPLIT(Input!A14,"*"),"")</f>
        <v/>
      </c>
      <c r="Q13">
        <f>_xlfn.XLOOKUP(B13,Input!J:J,Input!I:I,"Missing",0,1)</f>
        <v>0</v>
      </c>
    </row>
    <row r="14" spans="1:17">
      <c r="A14" t="str" cm="1">
        <f t="array" ref="A14">IFERROR(_xlfn.TEXTSPLIT(Input!A15,"*"),"")</f>
        <v/>
      </c>
      <c r="Q14">
        <f>_xlfn.XLOOKUP(B14,Input!J:J,Input!I:I,"Missing",0,1)</f>
        <v>0</v>
      </c>
    </row>
    <row r="15" spans="1:17">
      <c r="A15" t="str" cm="1">
        <f t="array" ref="A15">IFERROR(_xlfn.TEXTSPLIT(Input!A16,"*"),"")</f>
        <v/>
      </c>
      <c r="Q15">
        <f>_xlfn.XLOOKUP(B15,Input!J:J,Input!I:I,"Missing",0,1)</f>
        <v>0</v>
      </c>
    </row>
    <row r="16" spans="1:17">
      <c r="A16" t="str" cm="1">
        <f t="array" ref="A16">IFERROR(_xlfn.TEXTSPLIT(Input!A17,"*"),"")</f>
        <v/>
      </c>
      <c r="Q16">
        <f>_xlfn.XLOOKUP(B16,Input!J:J,Input!I:I,"Missing",0,1)</f>
        <v>0</v>
      </c>
    </row>
    <row r="17" spans="1:17">
      <c r="A17" t="str" cm="1">
        <f t="array" ref="A17">IFERROR(_xlfn.TEXTSPLIT(Input!A18,"*"),"")</f>
        <v/>
      </c>
      <c r="Q17">
        <f>_xlfn.XLOOKUP(B17,Input!J:J,Input!I:I,"Missing",0,1)</f>
        <v>0</v>
      </c>
    </row>
    <row r="18" spans="1:17">
      <c r="A18" t="str" cm="1">
        <f t="array" ref="A18">IFERROR(_xlfn.TEXTSPLIT(Input!A19,"*"),"")</f>
        <v/>
      </c>
      <c r="Q18">
        <f>_xlfn.XLOOKUP(B18,Input!J:J,Input!I:I,"Missing",0,1)</f>
        <v>0</v>
      </c>
    </row>
    <row r="19" spans="1:17">
      <c r="A19" t="str" cm="1">
        <f t="array" ref="A19">IFERROR(_xlfn.TEXTSPLIT(Input!A20,"*"),"")</f>
        <v/>
      </c>
      <c r="Q19">
        <f>_xlfn.XLOOKUP(B19,Input!J:J,Input!I:I,"Missing",0,1)</f>
        <v>0</v>
      </c>
    </row>
    <row r="20" spans="1:17">
      <c r="A20" t="str" cm="1">
        <f t="array" ref="A20">IFERROR(_xlfn.TEXTSPLIT(Input!A21,"*"),"")</f>
        <v/>
      </c>
      <c r="Q20">
        <f>_xlfn.XLOOKUP(B20,Input!J:J,Input!I:I,"Missing",0,1)</f>
        <v>0</v>
      </c>
    </row>
    <row r="21" spans="1:17">
      <c r="A21" t="str" cm="1">
        <f t="array" ref="A21">IFERROR(_xlfn.TEXTSPLIT(Input!A22,"*"),"")</f>
        <v/>
      </c>
      <c r="Q21">
        <f>_xlfn.XLOOKUP(B21,Input!J:J,Input!I:I,"Missing",0,1)</f>
        <v>0</v>
      </c>
    </row>
    <row r="22" spans="1:17">
      <c r="A22" t="str" cm="1">
        <f t="array" ref="A22">IFERROR(_xlfn.TEXTSPLIT(Input!A23,"*"),"")</f>
        <v/>
      </c>
      <c r="Q22">
        <f>_xlfn.XLOOKUP(B22,Input!J:J,Input!I:I,"Missing",0,1)</f>
        <v>0</v>
      </c>
    </row>
    <row r="23" spans="1:17">
      <c r="A23" t="str" cm="1">
        <f t="array" ref="A23">IFERROR(_xlfn.TEXTSPLIT(Input!A24,"*"),"")</f>
        <v/>
      </c>
      <c r="Q23">
        <f>_xlfn.XLOOKUP(B23,Input!J:J,Input!I:I,"Missing",0,1)</f>
        <v>0</v>
      </c>
    </row>
    <row r="24" spans="1:17">
      <c r="A24" t="str" cm="1">
        <f t="array" ref="A24">IFERROR(_xlfn.TEXTSPLIT(Input!A25,"*"),"")</f>
        <v/>
      </c>
      <c r="Q24">
        <f>_xlfn.XLOOKUP(B24,Input!J:J,Input!I:I,"Missing",0,1)</f>
        <v>0</v>
      </c>
    </row>
    <row r="25" spans="1:17">
      <c r="A25" t="str" cm="1">
        <f t="array" ref="A25">IFERROR(_xlfn.TEXTSPLIT(Input!A26,"*"),"")</f>
        <v/>
      </c>
      <c r="Q25">
        <f>_xlfn.XLOOKUP(B25,Input!J:J,Input!I:I,"Missing",0,1)</f>
        <v>0</v>
      </c>
    </row>
    <row r="26" spans="1:17">
      <c r="A26" t="str" cm="1">
        <f t="array" ref="A26">IFERROR(_xlfn.TEXTSPLIT(Input!A27,"*"),"")</f>
        <v/>
      </c>
      <c r="Q26">
        <f>_xlfn.XLOOKUP(B26,Input!J:J,Input!I:I,"Missing",0,1)</f>
        <v>0</v>
      </c>
    </row>
    <row r="27" spans="1:17">
      <c r="A27" t="str" cm="1">
        <f t="array" ref="A27">IFERROR(_xlfn.TEXTSPLIT(Input!A28,"*"),"")</f>
        <v/>
      </c>
      <c r="Q27">
        <f>_xlfn.XLOOKUP(B27,Input!J:J,Input!I:I,"Missing",0,1)</f>
        <v>0</v>
      </c>
    </row>
    <row r="28" spans="1:17">
      <c r="A28" t="str" cm="1">
        <f t="array" ref="A28">IFERROR(_xlfn.TEXTSPLIT(Input!A29,"*"),"")</f>
        <v/>
      </c>
      <c r="Q28">
        <f>_xlfn.XLOOKUP(B28,Input!J:J,Input!I:I,"Missing",0,1)</f>
        <v>0</v>
      </c>
    </row>
    <row r="29" spans="1:17">
      <c r="A29" t="str" cm="1">
        <f t="array" ref="A29">IFERROR(_xlfn.TEXTSPLIT(Input!A30,"*"),"")</f>
        <v/>
      </c>
      <c r="Q29">
        <f>_xlfn.XLOOKUP(B29,Input!J:J,Input!I:I,"Missing",0,1)</f>
        <v>0</v>
      </c>
    </row>
    <row r="30" spans="1:17">
      <c r="A30" t="str" cm="1">
        <f t="array" ref="A30">IFERROR(_xlfn.TEXTSPLIT(Input!A31,"*"),"")</f>
        <v/>
      </c>
      <c r="Q30">
        <f>_xlfn.XLOOKUP(B30,Input!J:J,Input!I:I,"Missing",0,1)</f>
        <v>0</v>
      </c>
    </row>
    <row r="31" spans="1:17">
      <c r="A31" t="str" cm="1">
        <f t="array" ref="A31">IFERROR(_xlfn.TEXTSPLIT(Input!A32,"*"),"")</f>
        <v/>
      </c>
      <c r="Q31">
        <f>_xlfn.XLOOKUP(B31,Input!J:J,Input!I:I,"Missing",0,1)</f>
        <v>0</v>
      </c>
    </row>
    <row r="32" spans="1:17">
      <c r="A32" t="str" cm="1">
        <f t="array" ref="A32">IFERROR(_xlfn.TEXTSPLIT(Input!A33,"*"),"")</f>
        <v/>
      </c>
      <c r="Q32">
        <f>_xlfn.XLOOKUP(B32,Input!J:J,Input!I:I,"Missing",0,1)</f>
        <v>0</v>
      </c>
    </row>
    <row r="33" spans="1:17">
      <c r="A33" t="str" cm="1">
        <f t="array" ref="A33">IFERROR(_xlfn.TEXTSPLIT(Input!A34,"*"),"")</f>
        <v/>
      </c>
      <c r="Q33">
        <f>_xlfn.XLOOKUP(B33,Input!J:J,Input!I:I)</f>
        <v>0</v>
      </c>
    </row>
    <row r="34" spans="1:17">
      <c r="A34" t="str" cm="1">
        <f t="array" ref="A34">IFERROR(_xlfn.TEXTSPLIT(Input!A35,"*"),"")</f>
        <v/>
      </c>
      <c r="Q34">
        <f>_xlfn.XLOOKUP(B34,Input!J:J,Input!I:I)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I260"/>
  <sheetViews>
    <sheetView topLeftCell="P1" zoomScaleNormal="100" workbookViewId="0">
      <pane ySplit="1" topLeftCell="A2" activePane="bottomLeft" state="frozen"/>
      <selection activeCell="E1" sqref="E1"/>
      <selection pane="bottomLeft" activeCell="Y27" sqref="Y27"/>
    </sheetView>
  </sheetViews>
  <sheetFormatPr defaultRowHeight="15"/>
  <cols>
    <col min="1" max="1" width="15.85546875" customWidth="1"/>
    <col min="2" max="2" width="17" customWidth="1"/>
    <col min="3" max="3" width="17" style="13" hidden="1" customWidth="1"/>
    <col min="4" max="4" width="20.28515625" customWidth="1"/>
    <col min="8" max="8" width="22.42578125" customWidth="1"/>
    <col min="11" max="11" width="18.42578125" customWidth="1"/>
    <col min="12" max="12" width="23.85546875" style="13" customWidth="1"/>
    <col min="13" max="15" width="38.42578125" style="13" customWidth="1"/>
    <col min="16" max="16" width="38.42578125" customWidth="1"/>
    <col min="17" max="17" width="16.28515625" customWidth="1"/>
    <col min="18" max="18" width="15.140625" bestFit="1" customWidth="1"/>
    <col min="19" max="26" width="15.140625" style="13" customWidth="1"/>
    <col min="27" max="27" width="46.5703125" customWidth="1"/>
    <col min="28" max="28" width="17.28515625" bestFit="1" customWidth="1"/>
    <col min="29" max="29" width="15.85546875" bestFit="1" customWidth="1"/>
    <col min="30" max="30" width="18" bestFit="1" customWidth="1"/>
    <col min="31" max="31" width="17.140625" bestFit="1" customWidth="1"/>
    <col min="32" max="32" width="26.7109375" bestFit="1" customWidth="1"/>
    <col min="33" max="34" width="12.5703125" bestFit="1" customWidth="1"/>
    <col min="35" max="35" width="11.28515625" bestFit="1" customWidth="1"/>
  </cols>
  <sheetData>
    <row r="1" spans="1:35" ht="18" thickBot="1">
      <c r="A1" s="1" t="s">
        <v>0</v>
      </c>
      <c r="B1" s="1" t="s">
        <v>1</v>
      </c>
      <c r="C1" s="12" t="s">
        <v>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2" t="s">
        <v>10</v>
      </c>
      <c r="M1" s="12" t="s">
        <v>323</v>
      </c>
      <c r="N1" s="12" t="s">
        <v>324</v>
      </c>
      <c r="O1" s="12" t="s">
        <v>325</v>
      </c>
      <c r="P1" s="1" t="s">
        <v>10</v>
      </c>
      <c r="Q1" s="1" t="s">
        <v>11</v>
      </c>
      <c r="R1" s="1" t="s">
        <v>12</v>
      </c>
      <c r="S1" s="12" t="s">
        <v>336</v>
      </c>
      <c r="T1" s="12" t="s">
        <v>335</v>
      </c>
      <c r="U1" s="39" t="s">
        <v>19</v>
      </c>
      <c r="V1" s="39"/>
      <c r="W1" s="39"/>
      <c r="X1" s="39"/>
      <c r="Y1" s="39"/>
      <c r="Z1" s="39"/>
      <c r="AA1" s="1" t="s">
        <v>13</v>
      </c>
      <c r="AB1" s="1" t="s">
        <v>14</v>
      </c>
      <c r="AC1" s="1" t="s">
        <v>15</v>
      </c>
      <c r="AD1" s="1" t="s">
        <v>16</v>
      </c>
      <c r="AE1" s="1" t="s">
        <v>17</v>
      </c>
      <c r="AF1" s="1" t="s">
        <v>18</v>
      </c>
      <c r="AG1" s="1" t="s">
        <v>19</v>
      </c>
      <c r="AH1" s="1" t="s">
        <v>20</v>
      </c>
      <c r="AI1" s="1" t="s">
        <v>21</v>
      </c>
    </row>
    <row r="2" spans="1:35" ht="15.75" thickTop="1">
      <c r="A2" t="str">
        <f>_xlfn.TEXTJOIN("",TRUE,_xlfn.XLOOKUP(B2,Input!J:J,Input!G:G,"",0,1),_xlfn.XLOOKUP(B2,Input!J:J,Input!H:H,"",0,1))</f>
        <v/>
      </c>
      <c r="B2" cm="1">
        <f t="array" ref="B2">_xlfn.UNIQUE(_xlfn._xlws.FILTER(Input!J2:J500,ISNA(MATCH(Input!J2:J500,MacReports!B:B,0))))</f>
        <v>0</v>
      </c>
      <c r="C2" s="13" t="e">
        <f>_xlfn.XLOOKUP(B2,Input!J:J,Input!F:F)</f>
        <v>#N/A</v>
      </c>
      <c r="D2" t="e">
        <f>_xlfn.XLOOKUP(C2,Models!H:H,Models!G:G,C2)</f>
        <v>#N/A</v>
      </c>
      <c r="F2" t="e">
        <f>_xlfn.XLOOKUP(H2,Models!B:B,Models!F:F,"")</f>
        <v>#N/A</v>
      </c>
      <c r="G2" t="e">
        <f>_xlfn.XLOOKUP(B2,Input!J:J,Input!E:E)</f>
        <v>#N/A</v>
      </c>
      <c r="H2" t="e">
        <f>IF(G2="LENOVO",_xlfn.XLOOKUP(B2,Input!J:J,Input!K:K),_xlfn.XLOOKUP(B2,Input!J:J,Input!L:L))</f>
        <v>#N/A</v>
      </c>
      <c r="K2" t="str">
        <f>_xlfn.XLOOKUP(B2,CPU_Formula!A:A,CPU_Formula!I:I)</f>
        <v/>
      </c>
      <c r="L2" s="13" t="e">
        <f>INDEX(Input!$D$2:$AD$500,
       MATCH(B2, Input!$J$2:$J$500, 0),
       MATCH("Memory Capacity", Input!$D$1:$AD$1, 0))</f>
        <v>#N/A</v>
      </c>
      <c r="M2" s="13" t="e">
        <f>INDEX(Input!$D$2:$AD$500,
       MATCH(B2, Input!$J$2:$J$500, 0),
       MATCH("Memory Type", Input!$D$1:$AD$1, 0))</f>
        <v>#N/A</v>
      </c>
      <c r="N2" s="13" t="e">
        <f>IF(ISNUMBER(L2), L2, SUBSTITUTE(SUBSTITUTE(SUBSTITUTE(L2,"GiB","")," ",""),"/","+"))</f>
        <v>#N/A</v>
      </c>
      <c r="O2" s="13" t="str" cm="1">
        <f t="array" ref="O2">IFERROR(_xlfn.FILTERXML("&lt;t&gt;&lt;s&gt;" &amp; SUBSTITUTE(M2," / ","&lt;/s&gt;&lt;s&gt;") &amp; "&lt;/s&gt;&lt;/t&gt;","(//s[contains(.,'DDR')])[1]"),"")</f>
        <v/>
      </c>
      <c r="P2" t="e">
        <f>_xlfn.TEXTJOIN(" ",TRUE,N2,"GB",O2)</f>
        <v>#N/A</v>
      </c>
      <c r="Q2" t="str" cm="1">
        <f t="array" ref="Q2">_xlfn.TEXTJOIN(", ", TRUE, _xlfn._xlws.FILTER(Input!W:W, Input!J:J=B2))</f>
        <v/>
      </c>
      <c r="S2" s="13" t="e">
        <f>_xlfn.LET(_xlpm.Result,_xlfn.XLOOKUP(B2,Input!J:J,Input!AB:AB),IF(_xlpm.Result="","",_xlpm.Result))</f>
        <v>#N/A</v>
      </c>
      <c r="T2" s="13" t="str" cm="1">
        <f t="array" ref="T2">IFERROR(_xlfn.IFS(
   --S2&lt;55,"Battery Defect",
  -- S2&lt;=69,"Battery D",
  --S2&lt;=80,"Battery C",
 --S2&gt;80,""
),"")</f>
        <v/>
      </c>
      <c r="U2" s="13" t="str" cm="1">
        <f t="array" ref="U2">IFERROR(IF(_xlfn.XLOOKUP(B2,Input!J:J,Input!N:S)=0,"",
          _xlfn.XLOOKUP(B2,Input!J:J,Input!N:S)),"")</f>
        <v/>
      </c>
      <c r="AA2" t="str">
        <f>_xlfn.TEXTJOIN(", ",TRUE,T2,U2,V2,W2,X2,Y2,Z2)</f>
        <v/>
      </c>
      <c r="AB2" t="str">
        <f>_xlfn.XLOOKUP(B:B,Disk_Pivot!G:G,Disk_Pivot!I:I)</f>
        <v>No</v>
      </c>
      <c r="AC2" t="str">
        <f>_xlfn.XLOOKUP(B2,Disk_Pivot!G:G,Disk_Pivot!N:N)</f>
        <v/>
      </c>
    </row>
    <row r="3" spans="1:35">
      <c r="A3" t="str">
        <f>_xlfn.TEXTJOIN("",TRUE,_xlfn.XLOOKUP(B3,Input!J:J,Input!G:G,"",0,1),_xlfn.XLOOKUP(B3,Input!J:J,Input!H:H,"",0,1))</f>
        <v/>
      </c>
      <c r="C3" s="13">
        <f>_xlfn.XLOOKUP(B3,Input!J:J,Input!F:F)</f>
        <v>0</v>
      </c>
      <c r="D3">
        <f>_xlfn.XLOOKUP(C3,Models!H:H,Models!G:G,C3)</f>
        <v>0</v>
      </c>
      <c r="F3" t="str">
        <f>_xlfn.XLOOKUP(H3,Models!B:B,Models!F:F,"")</f>
        <v/>
      </c>
      <c r="G3">
        <f>_xlfn.XLOOKUP(B3,Input!J:J,Input!E:E)</f>
        <v>0</v>
      </c>
      <c r="H3">
        <f>IF(G3="LENOVO",_xlfn.XLOOKUP(B3,Input!J:J,Input!K:K),_xlfn.XLOOKUP(B3,Input!J:J,Input!L:L))</f>
        <v>0</v>
      </c>
      <c r="K3">
        <f>_xlfn.XLOOKUP(B3,CPU_Formula!A:A,CPU_Formula!I:I)</f>
        <v>0</v>
      </c>
      <c r="L3" s="13" t="e">
        <f>INDEX(Input!$D$2:$AD$500,
       MATCH(B3, Input!$J$2:$J$500, 0),
       MATCH("Memory Capacity", Input!$D$1:$AD$1, 0))</f>
        <v>#N/A</v>
      </c>
      <c r="M3" s="13" t="e">
        <f>INDEX(Input!$D$2:$AD$500,
       MATCH(B3, Input!$J$2:$J$500, 0),
       MATCH("Memory Type", Input!$D$1:$AD$1, 0))</f>
        <v>#N/A</v>
      </c>
      <c r="N3" s="13" t="e">
        <f t="shared" ref="N3:N66" si="0">IF(ISNUMBER(L3), L3, SUBSTITUTE(SUBSTITUTE(SUBSTITUTE(L3,"GiB","")," ",""),"/","+"))</f>
        <v>#N/A</v>
      </c>
      <c r="O3" s="13" t="str" cm="1">
        <f t="array" ref="O3">IFERROR(_xlfn.FILTERXML("&lt;t&gt;&lt;s&gt;" &amp; SUBSTITUTE(M3," / ","&lt;/s&gt;&lt;s&gt;") &amp; "&lt;/s&gt;&lt;/t&gt;","(//s[contains(.,'DDR')])[1]"),"")</f>
        <v/>
      </c>
      <c r="P3" t="e">
        <f t="shared" ref="P3:P66" si="1">_xlfn.TEXTJOIN(" ",TRUE,N3,"GB",O3)</f>
        <v>#N/A</v>
      </c>
      <c r="Q3" t="str" cm="1">
        <f t="array" ref="Q3">_xlfn.TEXTJOIN(", ", TRUE, _xlfn._xlws.FILTER(Input!W:W, Input!J:J=B3))</f>
        <v/>
      </c>
      <c r="S3" s="13" t="str">
        <f>_xlfn.LET(_xlpm.Result,_xlfn.XLOOKUP(B3,Input!J:J,Input!AB:AB),IF(_xlpm.Result="","",_xlpm.Result))</f>
        <v/>
      </c>
      <c r="T3" s="13" t="str" cm="1">
        <f t="array" ref="T3">IFERROR(_xlfn.IFS(
   --S3&lt;55,"Battery Defect",
  -- S3&lt;=69,"Battery D",
  --S3&lt;=80,"Battery C",
 --S3&gt;80,""
),"")</f>
        <v/>
      </c>
      <c r="U3" s="13" t="str" cm="1">
        <f t="array" ref="U3:Z3">IFERROR(IF(_xlfn.XLOOKUP(B3,Input!J:J,Input!N:S)=0,"",
          _xlfn.XLOOKUP(B3,Input!J:J,Input!N:S)),"")</f>
        <v/>
      </c>
      <c r="V3" s="13" t="str">
        <v/>
      </c>
      <c r="W3" s="13" t="str">
        <v/>
      </c>
      <c r="X3" s="13" t="str">
        <v/>
      </c>
      <c r="Y3" s="13" t="str">
        <v/>
      </c>
      <c r="Z3" s="13" t="str">
        <v/>
      </c>
      <c r="AA3" t="str">
        <f t="shared" ref="AA3:AA66" si="2">_xlfn.TEXTJOIN(", ",TRUE,T3,U3,V3,W3,X3,Y3,Z3)</f>
        <v/>
      </c>
      <c r="AB3" t="str">
        <f>_xlfn.XLOOKUP(B:B,Disk_Pivot!G:G,Disk_Pivot!I:I)</f>
        <v>No</v>
      </c>
      <c r="AC3" t="str">
        <f>_xlfn.XLOOKUP(B3,Disk_Pivot!G:G,Disk_Pivot!N:N)</f>
        <v/>
      </c>
    </row>
    <row r="4" spans="1:35">
      <c r="A4" t="str">
        <f>_xlfn.TEXTJOIN("",TRUE,_xlfn.XLOOKUP(B4,Input!J:J,Input!G:G,"",0,1),_xlfn.XLOOKUP(B4,Input!J:J,Input!H:H,"",0,1))</f>
        <v/>
      </c>
      <c r="C4" s="13">
        <f>_xlfn.XLOOKUP(B4,Input!J:J,Input!F:F)</f>
        <v>0</v>
      </c>
      <c r="D4">
        <f>_xlfn.XLOOKUP(C4,Models!H:H,Models!G:G,C4)</f>
        <v>0</v>
      </c>
      <c r="F4" t="str">
        <f>_xlfn.XLOOKUP(H4,Models!B:B,Models!F:F,"")</f>
        <v/>
      </c>
      <c r="G4">
        <f>_xlfn.XLOOKUP(B4,Input!J:J,Input!E:E)</f>
        <v>0</v>
      </c>
      <c r="H4">
        <f>IF(G4="LENOVO",_xlfn.XLOOKUP(B4,Input!J:J,Input!K:K),_xlfn.XLOOKUP(B4,Input!J:J,Input!L:L))</f>
        <v>0</v>
      </c>
      <c r="K4">
        <f>_xlfn.XLOOKUP(B4,CPU_Formula!A:A,CPU_Formula!I:I)</f>
        <v>0</v>
      </c>
      <c r="L4" s="13" t="e">
        <f>INDEX(Input!$D$2:$AD$500,
       MATCH(B4, Input!$J$2:$J$500, 0),
       MATCH("Memory Capacity", Input!$D$1:$AD$1, 0))</f>
        <v>#N/A</v>
      </c>
      <c r="M4" s="13" t="e">
        <f>INDEX(Input!$D$2:$AD$500,
       MATCH(B4, Input!$J$2:$J$500, 0),
       MATCH("Memory Type", Input!$D$1:$AD$1, 0))</f>
        <v>#N/A</v>
      </c>
      <c r="N4" s="13" t="e">
        <f t="shared" si="0"/>
        <v>#N/A</v>
      </c>
      <c r="O4" s="13" t="str" cm="1">
        <f t="array" ref="O4">IFERROR(_xlfn.FILTERXML("&lt;t&gt;&lt;s&gt;" &amp; SUBSTITUTE(M4," / ","&lt;/s&gt;&lt;s&gt;") &amp; "&lt;/s&gt;&lt;/t&gt;","(//s[contains(.,'DDR')])[1]"),"")</f>
        <v/>
      </c>
      <c r="P4" t="e">
        <f t="shared" si="1"/>
        <v>#N/A</v>
      </c>
      <c r="Q4" t="str" cm="1">
        <f t="array" ref="Q4">_xlfn.TEXTJOIN(", ", TRUE, _xlfn._xlws.FILTER(Input!W:W, Input!J:J=B4))</f>
        <v/>
      </c>
      <c r="S4" s="13" t="str">
        <f>_xlfn.LET(_xlpm.Result,_xlfn.XLOOKUP(B4,Input!J:J,Input!AB:AB),IF(_xlpm.Result="","",_xlpm.Result))</f>
        <v/>
      </c>
      <c r="T4" s="13" t="str" cm="1">
        <f t="array" ref="T4">IFERROR(_xlfn.IFS(
   --S4&lt;55,"Battery Defect",
  -- S4&lt;=69,"Battery D",
  --S4&lt;=80,"Battery C",
 --S4&gt;80,""
),"")</f>
        <v/>
      </c>
      <c r="U4" s="13" t="str" cm="1">
        <f t="array" ref="U4:Z4">IFERROR(IF(_xlfn.XLOOKUP(B4,Input!J:J,Input!N:S)=0,"",
          _xlfn.XLOOKUP(B4,Input!J:J,Input!N:S)),"")</f>
        <v/>
      </c>
      <c r="V4" s="13" t="str">
        <v/>
      </c>
      <c r="W4" s="13" t="str">
        <v/>
      </c>
      <c r="X4" s="13" t="str">
        <v/>
      </c>
      <c r="Y4" s="13" t="str">
        <v/>
      </c>
      <c r="Z4" s="13" t="str">
        <v/>
      </c>
      <c r="AA4" t="str">
        <f t="shared" si="2"/>
        <v/>
      </c>
      <c r="AB4" t="str">
        <f>_xlfn.XLOOKUP(B:B,Disk_Pivot!G:G,Disk_Pivot!I:I)</f>
        <v>No</v>
      </c>
      <c r="AC4" t="str">
        <f>_xlfn.XLOOKUP(B4,Disk_Pivot!G:G,Disk_Pivot!N:N)</f>
        <v/>
      </c>
    </row>
    <row r="5" spans="1:35">
      <c r="A5" t="str">
        <f>_xlfn.TEXTJOIN("",TRUE,_xlfn.XLOOKUP(B5,Input!J:J,Input!G:G,"",0,1),_xlfn.XLOOKUP(B5,Input!J:J,Input!H:H,"",0,1))</f>
        <v/>
      </c>
      <c r="C5" s="13">
        <f>_xlfn.XLOOKUP(B5,Input!J:J,Input!F:F)</f>
        <v>0</v>
      </c>
      <c r="D5">
        <f>_xlfn.XLOOKUP(C5,Models!H:H,Models!G:G,C5)</f>
        <v>0</v>
      </c>
      <c r="F5" t="str">
        <f>_xlfn.XLOOKUP(H5,Models!B:B,Models!F:F,"")</f>
        <v/>
      </c>
      <c r="G5">
        <f>_xlfn.XLOOKUP(B5,Input!J:J,Input!E:E)</f>
        <v>0</v>
      </c>
      <c r="H5">
        <f>IF(G5="LENOVO",_xlfn.XLOOKUP(B5,Input!J:J,Input!K:K),_xlfn.XLOOKUP(B5,Input!J:J,Input!L:L))</f>
        <v>0</v>
      </c>
      <c r="K5">
        <f>_xlfn.XLOOKUP(B5,CPU_Formula!A:A,CPU_Formula!I:I)</f>
        <v>0</v>
      </c>
      <c r="L5" s="13" t="e">
        <f>INDEX(Input!$D$2:$AD$500,
       MATCH(B5, Input!$J$2:$J$500, 0),
       MATCH("Memory Capacity", Input!$D$1:$AD$1, 0))</f>
        <v>#N/A</v>
      </c>
      <c r="M5" s="13" t="e">
        <f>INDEX(Input!$D$2:$AD$500,
       MATCH(B5, Input!$J$2:$J$500, 0),
       MATCH("Memory Type", Input!$D$1:$AD$1, 0))</f>
        <v>#N/A</v>
      </c>
      <c r="N5" s="13" t="e">
        <f t="shared" si="0"/>
        <v>#N/A</v>
      </c>
      <c r="O5" s="13" t="str" cm="1">
        <f t="array" ref="O5">IFERROR(_xlfn.FILTERXML("&lt;t&gt;&lt;s&gt;" &amp; SUBSTITUTE(M5," / ","&lt;/s&gt;&lt;s&gt;") &amp; "&lt;/s&gt;&lt;/t&gt;","(//s[contains(.,'DDR')])[1]"),"")</f>
        <v/>
      </c>
      <c r="P5" t="e">
        <f t="shared" si="1"/>
        <v>#N/A</v>
      </c>
      <c r="Q5" t="str" cm="1">
        <f t="array" ref="Q5">_xlfn.TEXTJOIN(", ", TRUE, _xlfn._xlws.FILTER(Input!W:W, Input!J:J=B5))</f>
        <v/>
      </c>
      <c r="S5" s="13" t="str">
        <f>_xlfn.LET(_xlpm.Result,_xlfn.XLOOKUP(B5,Input!J:J,Input!AB:AB),IF(_xlpm.Result="","",_xlpm.Result))</f>
        <v/>
      </c>
      <c r="T5" s="13" t="str" cm="1">
        <f t="array" ref="T5">IFERROR(_xlfn.IFS(
   --S5&lt;55,"Battery Defect",
  -- S5&lt;=69,"Battery D",
  --S5&lt;=80,"Battery C",
 --S5&gt;80,""
),"")</f>
        <v/>
      </c>
      <c r="U5" s="13" t="str" cm="1">
        <f t="array" ref="U5:Z5">IFERROR(IF(_xlfn.XLOOKUP(B5,Input!J:J,Input!N:S)=0,"",
          _xlfn.XLOOKUP(B5,Input!J:J,Input!N:S)),"")</f>
        <v/>
      </c>
      <c r="V5" s="13" t="str">
        <v/>
      </c>
      <c r="W5" s="13" t="str">
        <v/>
      </c>
      <c r="X5" s="13" t="str">
        <v/>
      </c>
      <c r="Y5" s="13" t="str">
        <v/>
      </c>
      <c r="Z5" s="13" t="str">
        <v/>
      </c>
      <c r="AA5" t="str">
        <f t="shared" si="2"/>
        <v/>
      </c>
      <c r="AB5" t="str">
        <f>_xlfn.XLOOKUP(B:B,Disk_Pivot!G:G,Disk_Pivot!I:I)</f>
        <v>No</v>
      </c>
      <c r="AC5" t="str">
        <f>_xlfn.XLOOKUP(B5,Disk_Pivot!G:G,Disk_Pivot!N:N)</f>
        <v/>
      </c>
    </row>
    <row r="6" spans="1:35">
      <c r="A6" t="str">
        <f>_xlfn.TEXTJOIN("",TRUE,_xlfn.XLOOKUP(B6,Input!J:J,Input!G:G,"",0,1),_xlfn.XLOOKUP(B6,Input!J:J,Input!H:H,"",0,1))</f>
        <v/>
      </c>
      <c r="C6" s="13">
        <f>_xlfn.XLOOKUP(B6,Input!J:J,Input!F:F)</f>
        <v>0</v>
      </c>
      <c r="D6">
        <f>_xlfn.XLOOKUP(C6,Models!H:H,Models!G:G,C6)</f>
        <v>0</v>
      </c>
      <c r="F6" t="str">
        <f>_xlfn.XLOOKUP(H6,Models!B:B,Models!F:F,"")</f>
        <v/>
      </c>
      <c r="G6">
        <f>_xlfn.XLOOKUP(B6,Input!J:J,Input!E:E)</f>
        <v>0</v>
      </c>
      <c r="H6">
        <f>IF(G6="LENOVO",_xlfn.XLOOKUP(B6,Input!J:J,Input!K:K),_xlfn.XLOOKUP(B6,Input!J:J,Input!L:L))</f>
        <v>0</v>
      </c>
      <c r="K6">
        <f>_xlfn.XLOOKUP(B6,CPU_Formula!A:A,CPU_Formula!I:I)</f>
        <v>0</v>
      </c>
      <c r="L6" s="13" t="e">
        <f>INDEX(Input!$D$2:$AD$500,
       MATCH(B6, Input!$J$2:$J$500, 0),
       MATCH("Memory Capacity", Input!$D$1:$AD$1, 0))</f>
        <v>#N/A</v>
      </c>
      <c r="M6" s="13" t="e">
        <f>INDEX(Input!$D$2:$AD$500,
       MATCH(B6, Input!$J$2:$J$500, 0),
       MATCH("Memory Type", Input!$D$1:$AD$1, 0))</f>
        <v>#N/A</v>
      </c>
      <c r="N6" s="13" t="e">
        <f t="shared" si="0"/>
        <v>#N/A</v>
      </c>
      <c r="O6" s="13" t="str" cm="1">
        <f t="array" ref="O6">IFERROR(_xlfn.FILTERXML("&lt;t&gt;&lt;s&gt;" &amp; SUBSTITUTE(M6," / ","&lt;/s&gt;&lt;s&gt;") &amp; "&lt;/s&gt;&lt;/t&gt;","(//s[contains(.,'DDR')])[1]"),"")</f>
        <v/>
      </c>
      <c r="P6" t="e">
        <f t="shared" si="1"/>
        <v>#N/A</v>
      </c>
      <c r="Q6" t="str" cm="1">
        <f t="array" ref="Q6">_xlfn.TEXTJOIN(", ", TRUE, _xlfn._xlws.FILTER(Input!W:W, Input!J:J=B6))</f>
        <v/>
      </c>
      <c r="S6" s="13" t="str">
        <f>_xlfn.LET(_xlpm.Result,_xlfn.XLOOKUP(B6,Input!J:J,Input!AB:AB),IF(_xlpm.Result="","",_xlpm.Result))</f>
        <v/>
      </c>
      <c r="T6" s="13" t="str" cm="1">
        <f t="array" ref="T6">IFERROR(_xlfn.IFS(
   --S6&lt;55,"Battery Defect",
  -- S6&lt;=69,"Battery D",
  --S6&lt;=80,"Battery C",
 --S6&gt;80,""
),"")</f>
        <v/>
      </c>
      <c r="U6" s="13" t="str" cm="1">
        <f t="array" ref="U6:Z6">IFERROR(IF(_xlfn.XLOOKUP(B6,Input!J:J,Input!N:S)=0,"",
          _xlfn.XLOOKUP(B6,Input!J:J,Input!N:S)),"")</f>
        <v/>
      </c>
      <c r="V6" s="13" t="str">
        <v/>
      </c>
      <c r="W6" s="13" t="str">
        <v/>
      </c>
      <c r="X6" s="13" t="str">
        <v/>
      </c>
      <c r="Y6" s="13" t="str">
        <v/>
      </c>
      <c r="Z6" s="13" t="str">
        <v/>
      </c>
      <c r="AA6" t="str">
        <f t="shared" si="2"/>
        <v/>
      </c>
      <c r="AB6" t="str">
        <f>_xlfn.XLOOKUP(B:B,Disk_Pivot!G:G,Disk_Pivot!I:I)</f>
        <v>No</v>
      </c>
      <c r="AC6" t="str">
        <f>_xlfn.XLOOKUP(B6,Disk_Pivot!G:G,Disk_Pivot!N:N)</f>
        <v/>
      </c>
    </row>
    <row r="7" spans="1:35">
      <c r="A7" t="str">
        <f>_xlfn.TEXTJOIN("",TRUE,_xlfn.XLOOKUP(B7,Input!J:J,Input!G:G,"",0,1),_xlfn.XLOOKUP(B7,Input!J:J,Input!H:H,"",0,1))</f>
        <v/>
      </c>
      <c r="C7" s="13">
        <f>_xlfn.XLOOKUP(B7,Input!J:J,Input!F:F)</f>
        <v>0</v>
      </c>
      <c r="D7">
        <f>_xlfn.XLOOKUP(C7,Models!H:H,Models!G:G,C7)</f>
        <v>0</v>
      </c>
      <c r="F7" t="str">
        <f>_xlfn.XLOOKUP(H7,Models!B:B,Models!F:F,"")</f>
        <v/>
      </c>
      <c r="G7">
        <f>_xlfn.XLOOKUP(B7,Input!J:J,Input!E:E)</f>
        <v>0</v>
      </c>
      <c r="H7">
        <f>IF(G7="LENOVO",_xlfn.XLOOKUP(B7,Input!J:J,Input!K:K),_xlfn.XLOOKUP(B7,Input!J:J,Input!L:L))</f>
        <v>0</v>
      </c>
      <c r="K7">
        <f>_xlfn.XLOOKUP(B7,CPU_Formula!A:A,CPU_Formula!I:I)</f>
        <v>0</v>
      </c>
      <c r="L7" s="13" t="e">
        <f>INDEX(Input!$D$2:$AD$500,
       MATCH(B7, Input!$J$2:$J$500, 0),
       MATCH("Memory Capacity", Input!$D$1:$AD$1, 0))</f>
        <v>#N/A</v>
      </c>
      <c r="M7" s="13" t="e">
        <f>INDEX(Input!$D$2:$AD$500,
       MATCH(B7, Input!$J$2:$J$500, 0),
       MATCH("Memory Type", Input!$D$1:$AD$1, 0))</f>
        <v>#N/A</v>
      </c>
      <c r="N7" s="13" t="e">
        <f t="shared" si="0"/>
        <v>#N/A</v>
      </c>
      <c r="O7" s="13" t="str" cm="1">
        <f t="array" ref="O7">IFERROR(_xlfn.FILTERXML("&lt;t&gt;&lt;s&gt;" &amp; SUBSTITUTE(M7," / ","&lt;/s&gt;&lt;s&gt;") &amp; "&lt;/s&gt;&lt;/t&gt;","(//s[contains(.,'DDR')])[1]"),"")</f>
        <v/>
      </c>
      <c r="P7" t="e">
        <f t="shared" si="1"/>
        <v>#N/A</v>
      </c>
      <c r="Q7" t="str" cm="1">
        <f t="array" ref="Q7">_xlfn.TEXTJOIN(", ", TRUE, _xlfn._xlws.FILTER(Input!W:W, Input!J:J=B7))</f>
        <v/>
      </c>
      <c r="S7" s="13" t="str">
        <f>_xlfn.LET(_xlpm.Result,_xlfn.XLOOKUP(B7,Input!J:J,Input!AB:AB),IF(_xlpm.Result="","",_xlpm.Result))</f>
        <v/>
      </c>
      <c r="T7" s="13" t="str" cm="1">
        <f t="array" ref="T7">IFERROR(_xlfn.IFS(
   --S7&lt;55,"Battery Defect",
  -- S7&lt;=69,"Battery D",
  --S7&lt;=80,"Battery C",
 --S7&gt;80,""
),"")</f>
        <v/>
      </c>
      <c r="U7" s="13" t="str" cm="1">
        <f t="array" ref="U7:Z7">IFERROR(IF(_xlfn.XLOOKUP(B7,Input!J:J,Input!N:S)=0,"",
          _xlfn.XLOOKUP(B7,Input!J:J,Input!N:S)),"")</f>
        <v/>
      </c>
      <c r="V7" s="13" t="str">
        <v/>
      </c>
      <c r="W7" s="13" t="str">
        <v/>
      </c>
      <c r="X7" s="13" t="str">
        <v/>
      </c>
      <c r="Y7" s="13" t="str">
        <v/>
      </c>
      <c r="Z7" s="13" t="str">
        <v/>
      </c>
      <c r="AA7" t="str">
        <f t="shared" si="2"/>
        <v/>
      </c>
      <c r="AB7" t="str">
        <f>_xlfn.XLOOKUP(B:B,Disk_Pivot!G:G,Disk_Pivot!I:I)</f>
        <v>No</v>
      </c>
      <c r="AC7" t="str">
        <f>_xlfn.XLOOKUP(B7,Disk_Pivot!G:G,Disk_Pivot!N:N)</f>
        <v/>
      </c>
    </row>
    <row r="8" spans="1:35">
      <c r="A8" t="str">
        <f>_xlfn.TEXTJOIN("",TRUE,_xlfn.XLOOKUP(B8,Input!J:J,Input!G:G,"",0,1),_xlfn.XLOOKUP(B8,Input!J:J,Input!H:H,"",0,1))</f>
        <v/>
      </c>
      <c r="C8" s="13">
        <f>_xlfn.XLOOKUP(B8,Input!J:J,Input!F:F)</f>
        <v>0</v>
      </c>
      <c r="D8">
        <f>_xlfn.XLOOKUP(C8,Models!H:H,Models!G:G,C8)</f>
        <v>0</v>
      </c>
      <c r="F8" t="str">
        <f>_xlfn.XLOOKUP(H8,Models!B:B,Models!F:F,"")</f>
        <v/>
      </c>
      <c r="G8">
        <f>_xlfn.XLOOKUP(B8,Input!J:J,Input!E:E)</f>
        <v>0</v>
      </c>
      <c r="H8">
        <f>IF(G8="LENOVO",_xlfn.XLOOKUP(B8,Input!J:J,Input!K:K),_xlfn.XLOOKUP(B8,Input!J:J,Input!L:L))</f>
        <v>0</v>
      </c>
      <c r="K8">
        <f>_xlfn.XLOOKUP(B8,CPU_Formula!A:A,CPU_Formula!I:I)</f>
        <v>0</v>
      </c>
      <c r="L8" s="13" t="e">
        <f>INDEX(Input!$D$2:$AD$500,
       MATCH(B8, Input!$J$2:$J$500, 0),
       MATCH("Memory Capacity", Input!$D$1:$AD$1, 0))</f>
        <v>#N/A</v>
      </c>
      <c r="M8" s="13" t="e">
        <f>INDEX(Input!$D$2:$AD$500,
       MATCH(B8, Input!$J$2:$J$500, 0),
       MATCH("Memory Type", Input!$D$1:$AD$1, 0))</f>
        <v>#N/A</v>
      </c>
      <c r="N8" s="13" t="e">
        <f t="shared" si="0"/>
        <v>#N/A</v>
      </c>
      <c r="O8" s="13" t="str" cm="1">
        <f t="array" ref="O8">IFERROR(_xlfn.FILTERXML("&lt;t&gt;&lt;s&gt;" &amp; SUBSTITUTE(M8," / ","&lt;/s&gt;&lt;s&gt;") &amp; "&lt;/s&gt;&lt;/t&gt;","(//s[contains(.,'DDR')])[1]"),"")</f>
        <v/>
      </c>
      <c r="P8" t="e">
        <f t="shared" si="1"/>
        <v>#N/A</v>
      </c>
      <c r="Q8" t="str" cm="1">
        <f t="array" ref="Q8">_xlfn.TEXTJOIN(", ", TRUE, _xlfn._xlws.FILTER(Input!W:W, Input!J:J=B8))</f>
        <v/>
      </c>
      <c r="S8" s="13" t="str">
        <f>_xlfn.LET(_xlpm.Result,_xlfn.XLOOKUP(B8,Input!J:J,Input!AB:AB),IF(_xlpm.Result="","",_xlpm.Result))</f>
        <v/>
      </c>
      <c r="T8" s="13" t="str" cm="1">
        <f t="array" ref="T8">IFERROR(_xlfn.IFS(
   --S8&lt;55,"Battery Defect",
  -- S8&lt;=69,"Battery D",
  --S8&lt;=80,"Battery C",
 --S8&gt;80,""
),"")</f>
        <v/>
      </c>
      <c r="U8" s="13" t="str" cm="1">
        <f t="array" ref="U8:Z8">IFERROR(IF(_xlfn.XLOOKUP(B8,Input!J:J,Input!N:S)=0,"",
          _xlfn.XLOOKUP(B8,Input!J:J,Input!N:S)),"")</f>
        <v/>
      </c>
      <c r="V8" s="13" t="str">
        <v/>
      </c>
      <c r="W8" s="13" t="str">
        <v/>
      </c>
      <c r="X8" s="13" t="str">
        <v/>
      </c>
      <c r="Y8" s="13" t="str">
        <v/>
      </c>
      <c r="Z8" s="13" t="str">
        <v/>
      </c>
      <c r="AA8" t="str">
        <f t="shared" si="2"/>
        <v/>
      </c>
      <c r="AB8" t="str">
        <f>_xlfn.XLOOKUP(B:B,Disk_Pivot!G:G,Disk_Pivot!I:I)</f>
        <v>No</v>
      </c>
      <c r="AC8" t="str">
        <f>_xlfn.XLOOKUP(B8,Disk_Pivot!G:G,Disk_Pivot!N:N)</f>
        <v/>
      </c>
    </row>
    <row r="9" spans="1:35">
      <c r="A9" t="str">
        <f>_xlfn.TEXTJOIN("",TRUE,_xlfn.XLOOKUP(B9,Input!J:J,Input!G:G,"",0,1),_xlfn.XLOOKUP(B9,Input!J:J,Input!H:H,"",0,1))</f>
        <v/>
      </c>
      <c r="C9" s="13">
        <f>_xlfn.XLOOKUP(B9,Input!J:J,Input!F:F)</f>
        <v>0</v>
      </c>
      <c r="D9">
        <f>_xlfn.XLOOKUP(C9,Models!H:H,Models!G:G,C9)</f>
        <v>0</v>
      </c>
      <c r="F9" t="str">
        <f>_xlfn.XLOOKUP(H9,Models!B:B,Models!F:F,"")</f>
        <v/>
      </c>
      <c r="G9">
        <f>_xlfn.XLOOKUP(B9,Input!J:J,Input!E:E)</f>
        <v>0</v>
      </c>
      <c r="H9">
        <f>IF(G9="LENOVO",_xlfn.XLOOKUP(B9,Input!J:J,Input!K:K),_xlfn.XLOOKUP(B9,Input!J:J,Input!L:L))</f>
        <v>0</v>
      </c>
      <c r="K9">
        <f>_xlfn.XLOOKUP(B9,CPU_Formula!A:A,CPU_Formula!I:I)</f>
        <v>0</v>
      </c>
      <c r="L9" s="13" t="e">
        <f>INDEX(Input!$D$2:$AD$500,
       MATCH(B9, Input!$J$2:$J$500, 0),
       MATCH("Memory Capacity", Input!$D$1:$AD$1, 0))</f>
        <v>#N/A</v>
      </c>
      <c r="M9" s="13" t="e">
        <f>INDEX(Input!$D$2:$AD$500,
       MATCH(B9, Input!$J$2:$J$500, 0),
       MATCH("Memory Type", Input!$D$1:$AD$1, 0))</f>
        <v>#N/A</v>
      </c>
      <c r="N9" s="13" t="e">
        <f t="shared" si="0"/>
        <v>#N/A</v>
      </c>
      <c r="O9" s="13" t="str" cm="1">
        <f t="array" ref="O9">IFERROR(_xlfn.FILTERXML("&lt;t&gt;&lt;s&gt;" &amp; SUBSTITUTE(M9," / ","&lt;/s&gt;&lt;s&gt;") &amp; "&lt;/s&gt;&lt;/t&gt;","(//s[contains(.,'DDR')])[1]"),"")</f>
        <v/>
      </c>
      <c r="P9" t="e">
        <f t="shared" si="1"/>
        <v>#N/A</v>
      </c>
      <c r="Q9" t="str" cm="1">
        <f t="array" ref="Q9">_xlfn.TEXTJOIN(", ", TRUE, _xlfn._xlws.FILTER(Input!W:W, Input!J:J=B9))</f>
        <v/>
      </c>
      <c r="S9" s="13" t="str">
        <f>_xlfn.LET(_xlpm.Result,_xlfn.XLOOKUP(B9,Input!J:J,Input!AB:AB),IF(_xlpm.Result="","",_xlpm.Result))</f>
        <v/>
      </c>
      <c r="T9" s="13" t="str" cm="1">
        <f t="array" ref="T9">IFERROR(_xlfn.IFS(
   --S9&lt;55,"Battery Defect",
  -- S9&lt;=69,"Battery D",
  --S9&lt;=80,"Battery C",
 --S9&gt;80,""
),"")</f>
        <v/>
      </c>
      <c r="U9" s="13" t="str" cm="1">
        <f t="array" ref="U9:Z9">IFERROR(IF(_xlfn.XLOOKUP(B9,Input!J:J,Input!N:S)=0,"",
          _xlfn.XLOOKUP(B9,Input!J:J,Input!N:S)),"")</f>
        <v/>
      </c>
      <c r="V9" s="13" t="str">
        <v/>
      </c>
      <c r="W9" s="13" t="str">
        <v/>
      </c>
      <c r="X9" s="13" t="str">
        <v/>
      </c>
      <c r="Y9" s="13" t="str">
        <v/>
      </c>
      <c r="Z9" s="13" t="str">
        <v/>
      </c>
      <c r="AA9" t="str">
        <f t="shared" si="2"/>
        <v/>
      </c>
      <c r="AB9" t="str">
        <f>_xlfn.XLOOKUP(B:B,Disk_Pivot!G:G,Disk_Pivot!I:I)</f>
        <v>No</v>
      </c>
      <c r="AC9" t="str">
        <f>_xlfn.XLOOKUP(B9,Disk_Pivot!G:G,Disk_Pivot!N:N)</f>
        <v/>
      </c>
    </row>
    <row r="10" spans="1:35">
      <c r="A10" t="str">
        <f>_xlfn.TEXTJOIN("",TRUE,_xlfn.XLOOKUP(B10,Input!J:J,Input!G:G,"",0,1),_xlfn.XLOOKUP(B10,Input!J:J,Input!H:H,"",0,1))</f>
        <v/>
      </c>
      <c r="C10" s="13">
        <f>_xlfn.XLOOKUP(B10,Input!J:J,Input!F:F)</f>
        <v>0</v>
      </c>
      <c r="D10">
        <f>_xlfn.XLOOKUP(C10,Models!H:H,Models!G:G,C10)</f>
        <v>0</v>
      </c>
      <c r="F10" t="str">
        <f>_xlfn.XLOOKUP(H10,Models!B:B,Models!F:F,"")</f>
        <v/>
      </c>
      <c r="G10">
        <f>_xlfn.XLOOKUP(B10,Input!J:J,Input!E:E)</f>
        <v>0</v>
      </c>
      <c r="H10">
        <f>IF(G10="LENOVO",_xlfn.XLOOKUP(B10,Input!J:J,Input!K:K),_xlfn.XLOOKUP(B10,Input!J:J,Input!L:L))</f>
        <v>0</v>
      </c>
      <c r="K10">
        <f>_xlfn.XLOOKUP(B10,CPU_Formula!A:A,CPU_Formula!I:I)</f>
        <v>0</v>
      </c>
      <c r="L10" s="13" t="e">
        <f>INDEX(Input!$D$2:$AD$500,
       MATCH(B10, Input!$J$2:$J$500, 0),
       MATCH("Memory Capacity", Input!$D$1:$AD$1, 0))</f>
        <v>#N/A</v>
      </c>
      <c r="M10" s="13" t="e">
        <f>INDEX(Input!$D$2:$AD$500,
       MATCH(B10, Input!$J$2:$J$500, 0),
       MATCH("Memory Type", Input!$D$1:$AD$1, 0))</f>
        <v>#N/A</v>
      </c>
      <c r="N10" s="13" t="e">
        <f t="shared" si="0"/>
        <v>#N/A</v>
      </c>
      <c r="O10" s="13" t="str" cm="1">
        <f t="array" ref="O10">IFERROR(_xlfn.FILTERXML("&lt;t&gt;&lt;s&gt;" &amp; SUBSTITUTE(M10," / ","&lt;/s&gt;&lt;s&gt;") &amp; "&lt;/s&gt;&lt;/t&gt;","(//s[contains(.,'DDR')])[1]"),"")</f>
        <v/>
      </c>
      <c r="P10" t="e">
        <f t="shared" si="1"/>
        <v>#N/A</v>
      </c>
      <c r="Q10" t="str" cm="1">
        <f t="array" ref="Q10">_xlfn.TEXTJOIN(", ", TRUE, _xlfn._xlws.FILTER(Input!W:W, Input!J:J=B10))</f>
        <v/>
      </c>
      <c r="S10" s="13" t="str">
        <f>_xlfn.LET(_xlpm.Result,_xlfn.XLOOKUP(B10,Input!J:J,Input!AB:AB),IF(_xlpm.Result="","",_xlpm.Result))</f>
        <v/>
      </c>
      <c r="T10" s="13" t="str" cm="1">
        <f t="array" ref="T10">IFERROR(_xlfn.IFS(
   --S10&lt;55,"Battery Defect",
  -- S10&lt;=69,"Battery D",
  --S10&lt;=80,"Battery C",
 --S10&gt;80,""
),"")</f>
        <v/>
      </c>
      <c r="U10" s="13" t="str" cm="1">
        <f t="array" ref="U10:Z10">IFERROR(IF(_xlfn.XLOOKUP(B10,Input!J:J,Input!N:S)=0,"",
          _xlfn.XLOOKUP(B10,Input!J:J,Input!N:S)),"")</f>
        <v/>
      </c>
      <c r="V10" s="13" t="str">
        <v/>
      </c>
      <c r="W10" s="13" t="str">
        <v/>
      </c>
      <c r="X10" s="13" t="str">
        <v/>
      </c>
      <c r="Y10" s="13" t="str">
        <v/>
      </c>
      <c r="Z10" s="13" t="str">
        <v/>
      </c>
      <c r="AA10" t="str">
        <f t="shared" si="2"/>
        <v/>
      </c>
      <c r="AB10" t="str">
        <f>_xlfn.XLOOKUP(B:B,Disk_Pivot!G:G,Disk_Pivot!I:I)</f>
        <v>No</v>
      </c>
      <c r="AC10" t="str">
        <f>_xlfn.XLOOKUP(B10,Disk_Pivot!G:G,Disk_Pivot!N:N)</f>
        <v/>
      </c>
    </row>
    <row r="11" spans="1:35">
      <c r="A11" t="str">
        <f>_xlfn.TEXTJOIN("",TRUE,_xlfn.XLOOKUP(B11,Input!J:J,Input!G:G,"",0,1),_xlfn.XLOOKUP(B11,Input!J:J,Input!H:H,"",0,1))</f>
        <v/>
      </c>
      <c r="C11" s="13">
        <f>_xlfn.XLOOKUP(B11,Input!J:J,Input!F:F)</f>
        <v>0</v>
      </c>
      <c r="D11">
        <f>_xlfn.XLOOKUP(C11,Models!H:H,Models!G:G,C11)</f>
        <v>0</v>
      </c>
      <c r="F11" t="str">
        <f>_xlfn.XLOOKUP(H11,Models!B:B,Models!F:F,"")</f>
        <v/>
      </c>
      <c r="G11">
        <f>_xlfn.XLOOKUP(B11,Input!J:J,Input!E:E)</f>
        <v>0</v>
      </c>
      <c r="H11">
        <f>IF(G11="LENOVO",_xlfn.XLOOKUP(B11,Input!J:J,Input!K:K),_xlfn.XLOOKUP(B11,Input!J:J,Input!L:L))</f>
        <v>0</v>
      </c>
      <c r="K11">
        <f>_xlfn.XLOOKUP(B11,CPU_Formula!A:A,CPU_Formula!I:I)</f>
        <v>0</v>
      </c>
      <c r="L11" s="13" t="e">
        <f>INDEX(Input!$D$2:$AD$500,
       MATCH(B11, Input!$J$2:$J$500, 0),
       MATCH("Memory Capacity", Input!$D$1:$AD$1, 0))</f>
        <v>#N/A</v>
      </c>
      <c r="M11" s="13" t="e">
        <f>INDEX(Input!$D$2:$AD$500,
       MATCH(B11, Input!$J$2:$J$500, 0),
       MATCH("Memory Type", Input!$D$1:$AD$1, 0))</f>
        <v>#N/A</v>
      </c>
      <c r="N11" s="13" t="e">
        <f t="shared" si="0"/>
        <v>#N/A</v>
      </c>
      <c r="O11" s="13" t="str" cm="1">
        <f t="array" ref="O11">IFERROR(_xlfn.FILTERXML("&lt;t&gt;&lt;s&gt;" &amp; SUBSTITUTE(M11," / ","&lt;/s&gt;&lt;s&gt;") &amp; "&lt;/s&gt;&lt;/t&gt;","(//s[contains(.,'DDR')])[1]"),"")</f>
        <v/>
      </c>
      <c r="P11" t="e">
        <f t="shared" si="1"/>
        <v>#N/A</v>
      </c>
      <c r="Q11" t="str" cm="1">
        <f t="array" ref="Q11">_xlfn.TEXTJOIN(", ", TRUE, _xlfn._xlws.FILTER(Input!W:W, Input!J:J=B11))</f>
        <v/>
      </c>
      <c r="S11" s="13" t="str">
        <f>_xlfn.LET(_xlpm.Result,_xlfn.XLOOKUP(B11,Input!J:J,Input!AB:AB),IF(_xlpm.Result="","",_xlpm.Result))</f>
        <v/>
      </c>
      <c r="T11" s="13" t="str" cm="1">
        <f t="array" ref="T11">IFERROR(_xlfn.IFS(
   --S11&lt;55,"Battery Defect",
  -- S11&lt;=69,"Battery D",
  --S11&lt;=80,"Battery C",
 --S11&gt;80,""
),"")</f>
        <v/>
      </c>
      <c r="U11" s="13" t="str" cm="1">
        <f t="array" ref="U11:Z11">IFERROR(IF(_xlfn.XLOOKUP(B11,Input!J:J,Input!N:S)=0,"",
          _xlfn.XLOOKUP(B11,Input!J:J,Input!N:S)),"")</f>
        <v/>
      </c>
      <c r="V11" s="13" t="str">
        <v/>
      </c>
      <c r="W11" s="13" t="str">
        <v/>
      </c>
      <c r="X11" s="13" t="str">
        <v/>
      </c>
      <c r="Y11" s="13" t="str">
        <v/>
      </c>
      <c r="Z11" s="13" t="str">
        <v/>
      </c>
      <c r="AA11" t="str">
        <f t="shared" si="2"/>
        <v/>
      </c>
      <c r="AB11" t="str">
        <f>_xlfn.XLOOKUP(B:B,Disk_Pivot!G:G,Disk_Pivot!I:I)</f>
        <v>No</v>
      </c>
      <c r="AC11" t="str">
        <f>_xlfn.XLOOKUP(B11,Disk_Pivot!G:G,Disk_Pivot!N:N)</f>
        <v/>
      </c>
    </row>
    <row r="12" spans="1:35">
      <c r="A12" t="str">
        <f>_xlfn.TEXTJOIN("",TRUE,_xlfn.XLOOKUP(B12,Input!J:J,Input!G:G,"",0,1),_xlfn.XLOOKUP(B12,Input!J:J,Input!H:H,"",0,1))</f>
        <v/>
      </c>
      <c r="C12" s="13">
        <f>_xlfn.XLOOKUP(B12,Input!J:J,Input!F:F)</f>
        <v>0</v>
      </c>
      <c r="D12">
        <f>_xlfn.XLOOKUP(C12,Models!H:H,Models!G:G,C12)</f>
        <v>0</v>
      </c>
      <c r="F12" t="str">
        <f>_xlfn.XLOOKUP(H12,Models!B:B,Models!F:F,"")</f>
        <v/>
      </c>
      <c r="G12">
        <f>_xlfn.XLOOKUP(B12,Input!J:J,Input!E:E)</f>
        <v>0</v>
      </c>
      <c r="H12">
        <f>IF(G12="LENOVO",_xlfn.XLOOKUP(B12,Input!J:J,Input!K:K),_xlfn.XLOOKUP(B12,Input!J:J,Input!L:L))</f>
        <v>0</v>
      </c>
      <c r="K12">
        <f>_xlfn.XLOOKUP(B12,CPU_Formula!A:A,CPU_Formula!I:I)</f>
        <v>0</v>
      </c>
      <c r="L12" s="13" t="e">
        <f>INDEX(Input!$D$2:$AD$500,
       MATCH(B12, Input!$J$2:$J$500, 0),
       MATCH("Memory Capacity", Input!$D$1:$AD$1, 0))</f>
        <v>#N/A</v>
      </c>
      <c r="M12" s="13" t="e">
        <f>INDEX(Input!$D$2:$AD$500,
       MATCH(B12, Input!$J$2:$J$500, 0),
       MATCH("Memory Type", Input!$D$1:$AD$1, 0))</f>
        <v>#N/A</v>
      </c>
      <c r="N12" s="13" t="e">
        <f t="shared" si="0"/>
        <v>#N/A</v>
      </c>
      <c r="O12" s="13" t="str" cm="1">
        <f t="array" ref="O12">IFERROR(_xlfn.FILTERXML("&lt;t&gt;&lt;s&gt;" &amp; SUBSTITUTE(M12," / ","&lt;/s&gt;&lt;s&gt;") &amp; "&lt;/s&gt;&lt;/t&gt;","(//s[contains(.,'DDR')])[1]"),"")</f>
        <v/>
      </c>
      <c r="P12" t="e">
        <f t="shared" si="1"/>
        <v>#N/A</v>
      </c>
      <c r="Q12" t="str" cm="1">
        <f t="array" ref="Q12">_xlfn.TEXTJOIN(", ", TRUE, _xlfn._xlws.FILTER(Input!W:W, Input!J:J=B12))</f>
        <v/>
      </c>
      <c r="S12" s="13" t="str">
        <f>_xlfn.LET(_xlpm.Result,_xlfn.XLOOKUP(B12,Input!J:J,Input!AB:AB),IF(_xlpm.Result="","",_xlpm.Result))</f>
        <v/>
      </c>
      <c r="T12" s="13" t="str" cm="1">
        <f t="array" ref="T12">IFERROR(_xlfn.IFS(
   --S12&lt;55,"Battery Defect",
  -- S12&lt;=69,"Battery D",
  --S12&lt;=80,"Battery C",
 --S12&gt;80,""
),"")</f>
        <v/>
      </c>
      <c r="U12" s="13" t="str" cm="1">
        <f t="array" ref="U12:Z12">IFERROR(IF(_xlfn.XLOOKUP(B12,Input!J:J,Input!N:S)=0,"",
          _xlfn.XLOOKUP(B12,Input!J:J,Input!N:S)),"")</f>
        <v/>
      </c>
      <c r="V12" s="13" t="str">
        <v/>
      </c>
      <c r="W12" s="13" t="str">
        <v/>
      </c>
      <c r="X12" s="13" t="str">
        <v/>
      </c>
      <c r="Y12" s="13" t="str">
        <v/>
      </c>
      <c r="Z12" s="13" t="str">
        <v/>
      </c>
      <c r="AA12" t="str">
        <f t="shared" si="2"/>
        <v/>
      </c>
      <c r="AB12" t="str">
        <f>_xlfn.XLOOKUP(B:B,Disk_Pivot!G:G,Disk_Pivot!I:I)</f>
        <v>No</v>
      </c>
      <c r="AC12" t="str">
        <f>_xlfn.XLOOKUP(B12,Disk_Pivot!G:G,Disk_Pivot!N:N)</f>
        <v/>
      </c>
    </row>
    <row r="13" spans="1:35">
      <c r="A13" t="str">
        <f>_xlfn.TEXTJOIN("",TRUE,_xlfn.XLOOKUP(B13,Input!J:J,Input!G:G,"",0,1),_xlfn.XLOOKUP(B13,Input!J:J,Input!H:H,"",0,1))</f>
        <v/>
      </c>
      <c r="C13" s="13">
        <f>_xlfn.XLOOKUP(B13,Input!J:J,Input!F:F)</f>
        <v>0</v>
      </c>
      <c r="D13">
        <f>_xlfn.XLOOKUP(C13,Models!H:H,Models!G:G,C13)</f>
        <v>0</v>
      </c>
      <c r="F13" t="str">
        <f>_xlfn.XLOOKUP(H13,Models!B:B,Models!F:F,"")</f>
        <v/>
      </c>
      <c r="G13">
        <f>_xlfn.XLOOKUP(B13,Input!J:J,Input!E:E)</f>
        <v>0</v>
      </c>
      <c r="H13">
        <f>IF(G13="LENOVO",_xlfn.XLOOKUP(B13,Input!J:J,Input!K:K),_xlfn.XLOOKUP(B13,Input!J:J,Input!L:L))</f>
        <v>0</v>
      </c>
      <c r="K13">
        <f>_xlfn.XLOOKUP(B13,CPU_Formula!A:A,CPU_Formula!I:I)</f>
        <v>0</v>
      </c>
      <c r="L13" s="13" t="e">
        <f>INDEX(Input!$D$2:$AD$500,
       MATCH(B13, Input!$J$2:$J$500, 0),
       MATCH("Memory Capacity", Input!$D$1:$AD$1, 0))</f>
        <v>#N/A</v>
      </c>
      <c r="M13" s="13" t="e">
        <f>INDEX(Input!$D$2:$AD$500,
       MATCH(B13, Input!$J$2:$J$500, 0),
       MATCH("Memory Type", Input!$D$1:$AD$1, 0))</f>
        <v>#N/A</v>
      </c>
      <c r="N13" s="13" t="e">
        <f t="shared" si="0"/>
        <v>#N/A</v>
      </c>
      <c r="O13" s="13" t="str" cm="1">
        <f t="array" ref="O13">IFERROR(_xlfn.FILTERXML("&lt;t&gt;&lt;s&gt;" &amp; SUBSTITUTE(M13," / ","&lt;/s&gt;&lt;s&gt;") &amp; "&lt;/s&gt;&lt;/t&gt;","(//s[contains(.,'DDR')])[1]"),"")</f>
        <v/>
      </c>
      <c r="P13" t="e">
        <f t="shared" si="1"/>
        <v>#N/A</v>
      </c>
      <c r="Q13" t="str" cm="1">
        <f t="array" ref="Q13">_xlfn.TEXTJOIN(", ", TRUE, _xlfn._xlws.FILTER(Input!W:W, Input!J:J=B13))</f>
        <v/>
      </c>
      <c r="S13" s="13" t="str">
        <f>_xlfn.LET(_xlpm.Result,_xlfn.XLOOKUP(B13,Input!J:J,Input!AB:AB),IF(_xlpm.Result="","",_xlpm.Result))</f>
        <v/>
      </c>
      <c r="T13" s="13" t="str" cm="1">
        <f t="array" ref="T13">IFERROR(_xlfn.IFS(
   --S13&lt;55,"Battery Defect",
  -- S13&lt;=69,"Battery D",
  --S13&lt;=80,"Battery C",
 --S13&gt;80,""
),"")</f>
        <v/>
      </c>
      <c r="U13" s="13" t="str" cm="1">
        <f t="array" ref="U13:Z13">IFERROR(IF(_xlfn.XLOOKUP(B13,Input!J:J,Input!N:S)=0,"",
          _xlfn.XLOOKUP(B13,Input!J:J,Input!N:S)),"")</f>
        <v/>
      </c>
      <c r="V13" s="13" t="str">
        <v/>
      </c>
      <c r="W13" s="13" t="str">
        <v/>
      </c>
      <c r="X13" s="13" t="str">
        <v/>
      </c>
      <c r="Y13" s="13" t="str">
        <v/>
      </c>
      <c r="Z13" s="13" t="str">
        <v/>
      </c>
      <c r="AA13" t="str">
        <f t="shared" si="2"/>
        <v/>
      </c>
      <c r="AB13" t="str">
        <f>_xlfn.XLOOKUP(B:B,Disk_Pivot!G:G,Disk_Pivot!I:I)</f>
        <v>No</v>
      </c>
      <c r="AC13" t="str">
        <f>_xlfn.XLOOKUP(B13,Disk_Pivot!G:G,Disk_Pivot!N:N)</f>
        <v/>
      </c>
    </row>
    <row r="14" spans="1:35">
      <c r="A14" t="str">
        <f>_xlfn.TEXTJOIN("",TRUE,_xlfn.XLOOKUP(B14,Input!J:J,Input!G:G,"",0,1),_xlfn.XLOOKUP(B14,Input!J:J,Input!H:H,"",0,1))</f>
        <v/>
      </c>
      <c r="C14" s="13">
        <f>_xlfn.XLOOKUP(B14,Input!J:J,Input!F:F)</f>
        <v>0</v>
      </c>
      <c r="D14">
        <f>_xlfn.XLOOKUP(C14,Models!H:H,Models!G:G,C14)</f>
        <v>0</v>
      </c>
      <c r="F14" t="str">
        <f>_xlfn.XLOOKUP(H14,Models!B:B,Models!F:F,"")</f>
        <v/>
      </c>
      <c r="G14">
        <f>_xlfn.XLOOKUP(B14,Input!J:J,Input!E:E)</f>
        <v>0</v>
      </c>
      <c r="H14">
        <f>IF(G14="LENOVO",_xlfn.XLOOKUP(B14,Input!J:J,Input!K:K),_xlfn.XLOOKUP(B14,Input!J:J,Input!L:L))</f>
        <v>0</v>
      </c>
      <c r="K14">
        <f>_xlfn.XLOOKUP(B14,CPU_Formula!A:A,CPU_Formula!I:I)</f>
        <v>0</v>
      </c>
      <c r="L14" s="13" t="e">
        <f>INDEX(Input!$D$2:$AD$500,
       MATCH(B14, Input!$J$2:$J$500, 0),
       MATCH("Memory Capacity", Input!$D$1:$AD$1, 0))</f>
        <v>#N/A</v>
      </c>
      <c r="M14" s="13" t="e">
        <f>INDEX(Input!$D$2:$AD$500,
       MATCH(B14, Input!$J$2:$J$500, 0),
       MATCH("Memory Type", Input!$D$1:$AD$1, 0))</f>
        <v>#N/A</v>
      </c>
      <c r="N14" s="13" t="e">
        <f t="shared" si="0"/>
        <v>#N/A</v>
      </c>
      <c r="O14" s="13" t="str" cm="1">
        <f t="array" ref="O14">IFERROR(_xlfn.FILTERXML("&lt;t&gt;&lt;s&gt;" &amp; SUBSTITUTE(M14," / ","&lt;/s&gt;&lt;s&gt;") &amp; "&lt;/s&gt;&lt;/t&gt;","(//s[contains(.,'DDR')])[1]"),"")</f>
        <v/>
      </c>
      <c r="P14" t="e">
        <f t="shared" si="1"/>
        <v>#N/A</v>
      </c>
      <c r="Q14" t="str" cm="1">
        <f t="array" ref="Q14">_xlfn.TEXTJOIN(", ", TRUE, _xlfn._xlws.FILTER(Input!W:W, Input!J:J=B14))</f>
        <v/>
      </c>
      <c r="S14" s="13" t="str">
        <f>_xlfn.LET(_xlpm.Result,_xlfn.XLOOKUP(B14,Input!J:J,Input!AB:AB),IF(_xlpm.Result="","",_xlpm.Result))</f>
        <v/>
      </c>
      <c r="T14" s="13" t="str" cm="1">
        <f t="array" ref="T14">IFERROR(_xlfn.IFS(
   --S14&lt;55,"Battery Defect",
  -- S14&lt;=69,"Battery D",
  --S14&lt;=80,"Battery C",
 --S14&gt;80,""
),"")</f>
        <v/>
      </c>
      <c r="U14" s="13" t="str" cm="1">
        <f t="array" ref="U14:Z14">IFERROR(IF(_xlfn.XLOOKUP(B14,Input!J:J,Input!N:S)=0,"",
          _xlfn.XLOOKUP(B14,Input!J:J,Input!N:S)),"")</f>
        <v/>
      </c>
      <c r="V14" s="13" t="str">
        <v/>
      </c>
      <c r="W14" s="13" t="str">
        <v/>
      </c>
      <c r="X14" s="13" t="str">
        <v/>
      </c>
      <c r="Y14" s="13" t="str">
        <v/>
      </c>
      <c r="Z14" s="13" t="str">
        <v/>
      </c>
      <c r="AA14" t="str">
        <f t="shared" si="2"/>
        <v/>
      </c>
      <c r="AB14" t="str">
        <f>_xlfn.XLOOKUP(B:B,Disk_Pivot!G:G,Disk_Pivot!I:I)</f>
        <v>No</v>
      </c>
      <c r="AC14" t="str">
        <f>_xlfn.XLOOKUP(B14,Disk_Pivot!G:G,Disk_Pivot!N:N)</f>
        <v/>
      </c>
    </row>
    <row r="15" spans="1:35">
      <c r="A15" t="str">
        <f>_xlfn.TEXTJOIN("",TRUE,_xlfn.XLOOKUP(B15,Input!J:J,Input!G:G,"",0,1),_xlfn.XLOOKUP(B15,Input!J:J,Input!H:H,"",0,1))</f>
        <v/>
      </c>
      <c r="C15" s="13">
        <f>_xlfn.XLOOKUP(B15,Input!J:J,Input!F:F)</f>
        <v>0</v>
      </c>
      <c r="D15">
        <f>_xlfn.XLOOKUP(C15,Models!H:H,Models!G:G,C15)</f>
        <v>0</v>
      </c>
      <c r="F15" t="str">
        <f>_xlfn.XLOOKUP(H15,Models!B:B,Models!F:F,"")</f>
        <v/>
      </c>
      <c r="G15">
        <f>_xlfn.XLOOKUP(B15,Input!J:J,Input!E:E)</f>
        <v>0</v>
      </c>
      <c r="H15">
        <f>IF(G15="LENOVO",_xlfn.XLOOKUP(B15,Input!J:J,Input!K:K),_xlfn.XLOOKUP(B15,Input!J:J,Input!L:L))</f>
        <v>0</v>
      </c>
      <c r="K15">
        <f>_xlfn.XLOOKUP(B15,CPU_Formula!A:A,CPU_Formula!I:I)</f>
        <v>0</v>
      </c>
      <c r="L15" s="13" t="e">
        <f>INDEX(Input!$D$2:$AD$500,
       MATCH(B15, Input!$J$2:$J$500, 0),
       MATCH("Memory Capacity", Input!$D$1:$AD$1, 0))</f>
        <v>#N/A</v>
      </c>
      <c r="M15" s="13" t="e">
        <f>INDEX(Input!$D$2:$AD$500,
       MATCH(B15, Input!$J$2:$J$500, 0),
       MATCH("Memory Type", Input!$D$1:$AD$1, 0))</f>
        <v>#N/A</v>
      </c>
      <c r="N15" s="13" t="e">
        <f t="shared" si="0"/>
        <v>#N/A</v>
      </c>
      <c r="O15" s="13" t="str" cm="1">
        <f t="array" ref="O15">IFERROR(_xlfn.FILTERXML("&lt;t&gt;&lt;s&gt;" &amp; SUBSTITUTE(M15," / ","&lt;/s&gt;&lt;s&gt;") &amp; "&lt;/s&gt;&lt;/t&gt;","(//s[contains(.,'DDR')])[1]"),"")</f>
        <v/>
      </c>
      <c r="P15" t="e">
        <f t="shared" si="1"/>
        <v>#N/A</v>
      </c>
      <c r="Q15" t="str" cm="1">
        <f t="array" ref="Q15">_xlfn.TEXTJOIN(", ", TRUE, _xlfn._xlws.FILTER(Input!W:W, Input!J:J=B15))</f>
        <v/>
      </c>
      <c r="S15" s="13" t="str">
        <f>_xlfn.LET(_xlpm.Result,_xlfn.XLOOKUP(B15,Input!J:J,Input!AB:AB),IF(_xlpm.Result="","",_xlpm.Result))</f>
        <v/>
      </c>
      <c r="T15" s="13" t="str" cm="1">
        <f t="array" ref="T15">IFERROR(_xlfn.IFS(
   --S15&lt;55,"Battery Defect",
  -- S15&lt;=69,"Battery D",
  --S15&lt;=80,"Battery C",
 --S15&gt;80,""
),"")</f>
        <v/>
      </c>
      <c r="U15" s="13" t="str" cm="1">
        <f t="array" ref="U15:Z15">IFERROR(IF(_xlfn.XLOOKUP(B15,Input!J:J,Input!N:S)=0,"",
          _xlfn.XLOOKUP(B15,Input!J:J,Input!N:S)),"")</f>
        <v/>
      </c>
      <c r="V15" s="13" t="str">
        <v/>
      </c>
      <c r="W15" s="13" t="str">
        <v/>
      </c>
      <c r="X15" s="13" t="str">
        <v/>
      </c>
      <c r="Y15" s="13" t="str">
        <v/>
      </c>
      <c r="Z15" s="13" t="str">
        <v/>
      </c>
      <c r="AA15" t="str">
        <f t="shared" si="2"/>
        <v/>
      </c>
      <c r="AB15" t="str">
        <f>_xlfn.XLOOKUP(B:B,Disk_Pivot!G:G,Disk_Pivot!I:I)</f>
        <v>No</v>
      </c>
      <c r="AC15" t="str">
        <f>_xlfn.XLOOKUP(B15,Disk_Pivot!G:G,Disk_Pivot!N:N)</f>
        <v/>
      </c>
    </row>
    <row r="16" spans="1:35">
      <c r="A16" t="str">
        <f>_xlfn.TEXTJOIN("",TRUE,_xlfn.XLOOKUP(B16,Input!J:J,Input!G:G,"",0,1),_xlfn.XLOOKUP(B16,Input!J:J,Input!H:H,"",0,1))</f>
        <v/>
      </c>
      <c r="C16" s="13">
        <f>_xlfn.XLOOKUP(B16,Input!J:J,Input!F:F)</f>
        <v>0</v>
      </c>
      <c r="D16">
        <f>_xlfn.XLOOKUP(C16,Models!H:H,Models!G:G,C16)</f>
        <v>0</v>
      </c>
      <c r="F16" t="str">
        <f>_xlfn.XLOOKUP(H16,Models!B:B,Models!F:F,"")</f>
        <v/>
      </c>
      <c r="G16">
        <f>_xlfn.XLOOKUP(B16,Input!J:J,Input!E:E)</f>
        <v>0</v>
      </c>
      <c r="H16">
        <f>IF(G16="LENOVO",_xlfn.XLOOKUP(B16,Input!J:J,Input!K:K),_xlfn.XLOOKUP(B16,Input!J:J,Input!L:L))</f>
        <v>0</v>
      </c>
      <c r="K16">
        <f>_xlfn.XLOOKUP(B16,CPU_Formula!A:A,CPU_Formula!I:I)</f>
        <v>0</v>
      </c>
      <c r="L16" s="13" t="e">
        <f>INDEX(Input!$D$2:$AD$500,
       MATCH(B16, Input!$J$2:$J$500, 0),
       MATCH("Memory Capacity", Input!$D$1:$AD$1, 0))</f>
        <v>#N/A</v>
      </c>
      <c r="M16" s="13" t="e">
        <f>INDEX(Input!$D$2:$AD$500,
       MATCH(B16, Input!$J$2:$J$500, 0),
       MATCH("Memory Type", Input!$D$1:$AD$1, 0))</f>
        <v>#N/A</v>
      </c>
      <c r="N16" s="13" t="e">
        <f t="shared" si="0"/>
        <v>#N/A</v>
      </c>
      <c r="O16" s="13" t="str" cm="1">
        <f t="array" ref="O16">IFERROR(_xlfn.FILTERXML("&lt;t&gt;&lt;s&gt;" &amp; SUBSTITUTE(M16," / ","&lt;/s&gt;&lt;s&gt;") &amp; "&lt;/s&gt;&lt;/t&gt;","(//s[contains(.,'DDR')])[1]"),"")</f>
        <v/>
      </c>
      <c r="P16" t="e">
        <f t="shared" si="1"/>
        <v>#N/A</v>
      </c>
      <c r="Q16" t="str" cm="1">
        <f t="array" ref="Q16">_xlfn.TEXTJOIN(", ", TRUE, _xlfn._xlws.FILTER(Input!W:W, Input!J:J=B16))</f>
        <v/>
      </c>
      <c r="S16" s="13" t="str">
        <f>_xlfn.LET(_xlpm.Result,_xlfn.XLOOKUP(B16,Input!J:J,Input!AB:AB),IF(_xlpm.Result="","",_xlpm.Result))</f>
        <v/>
      </c>
      <c r="T16" s="13" t="str" cm="1">
        <f t="array" ref="T16">IFERROR(_xlfn.IFS(
   --S16&lt;55,"Battery Defect",
  -- S16&lt;=69,"Battery D",
  --S16&lt;=80,"Battery C",
 --S16&gt;80,""
),"")</f>
        <v/>
      </c>
      <c r="U16" s="13" t="str" cm="1">
        <f t="array" ref="U16:Z16">IFERROR(IF(_xlfn.XLOOKUP(B16,Input!J:J,Input!N:S)=0,"",
          _xlfn.XLOOKUP(B16,Input!J:J,Input!N:S)),"")</f>
        <v/>
      </c>
      <c r="V16" s="13" t="str">
        <v/>
      </c>
      <c r="W16" s="13" t="str">
        <v/>
      </c>
      <c r="X16" s="13" t="str">
        <v/>
      </c>
      <c r="Y16" s="13" t="str">
        <v/>
      </c>
      <c r="Z16" s="13" t="str">
        <v/>
      </c>
      <c r="AA16" t="str">
        <f t="shared" si="2"/>
        <v/>
      </c>
      <c r="AB16" t="str">
        <f>_xlfn.XLOOKUP(B:B,Disk_Pivot!G:G,Disk_Pivot!I:I)</f>
        <v>No</v>
      </c>
      <c r="AC16" t="str">
        <f>_xlfn.XLOOKUP(B16,Disk_Pivot!G:G,Disk_Pivot!N:N)</f>
        <v/>
      </c>
    </row>
    <row r="17" spans="1:29">
      <c r="A17" t="str">
        <f>_xlfn.TEXTJOIN("",TRUE,_xlfn.XLOOKUP(B17,Input!J:J,Input!G:G,"",0,1),_xlfn.XLOOKUP(B17,Input!J:J,Input!H:H,"",0,1))</f>
        <v/>
      </c>
      <c r="C17" s="13">
        <f>_xlfn.XLOOKUP(B17,Input!J:J,Input!F:F)</f>
        <v>0</v>
      </c>
      <c r="D17">
        <f>_xlfn.XLOOKUP(C17,Models!H:H,Models!G:G,C17)</f>
        <v>0</v>
      </c>
      <c r="F17" t="str">
        <f>_xlfn.XLOOKUP(H17,Models!B:B,Models!F:F,"")</f>
        <v/>
      </c>
      <c r="G17">
        <f>_xlfn.XLOOKUP(B17,Input!J:J,Input!E:E)</f>
        <v>0</v>
      </c>
      <c r="H17">
        <f>IF(G17="LENOVO",_xlfn.XLOOKUP(B17,Input!J:J,Input!K:K),_xlfn.XLOOKUP(B17,Input!J:J,Input!L:L))</f>
        <v>0</v>
      </c>
      <c r="K17">
        <f>_xlfn.XLOOKUP(B17,CPU_Formula!A:A,CPU_Formula!I:I)</f>
        <v>0</v>
      </c>
      <c r="L17" s="13" t="e">
        <f>INDEX(Input!$D$2:$AD$500,
       MATCH(B17, Input!$J$2:$J$500, 0),
       MATCH("Memory Capacity", Input!$D$1:$AD$1, 0))</f>
        <v>#N/A</v>
      </c>
      <c r="M17" s="13" t="e">
        <f>INDEX(Input!$D$2:$AD$500,
       MATCH(B17, Input!$J$2:$J$500, 0),
       MATCH("Memory Type", Input!$D$1:$AD$1, 0))</f>
        <v>#N/A</v>
      </c>
      <c r="N17" s="13" t="e">
        <f t="shared" si="0"/>
        <v>#N/A</v>
      </c>
      <c r="O17" s="13" t="str" cm="1">
        <f t="array" ref="O17">IFERROR(_xlfn.FILTERXML("&lt;t&gt;&lt;s&gt;" &amp; SUBSTITUTE(M17," / ","&lt;/s&gt;&lt;s&gt;") &amp; "&lt;/s&gt;&lt;/t&gt;","(//s[contains(.,'DDR')])[1]"),"")</f>
        <v/>
      </c>
      <c r="P17" t="e">
        <f t="shared" si="1"/>
        <v>#N/A</v>
      </c>
      <c r="Q17" t="str" cm="1">
        <f t="array" ref="Q17">_xlfn.TEXTJOIN(", ", TRUE, _xlfn._xlws.FILTER(Input!W:W, Input!J:J=B17))</f>
        <v/>
      </c>
      <c r="S17" s="13" t="str">
        <f>_xlfn.LET(_xlpm.Result,_xlfn.XLOOKUP(B17,Input!J:J,Input!AB:AB),IF(_xlpm.Result="","",_xlpm.Result))</f>
        <v/>
      </c>
      <c r="T17" s="13" t="str" cm="1">
        <f t="array" ref="T17">IFERROR(_xlfn.IFS(
   --S17&lt;55,"Battery Defect",
  -- S17&lt;=69,"Battery D",
  --S17&lt;=80,"Battery C",
 --S17&gt;80,""
),"")</f>
        <v/>
      </c>
      <c r="U17" s="13" t="str" cm="1">
        <f t="array" ref="U17:Z17">IFERROR(IF(_xlfn.XLOOKUP(B17,Input!J:J,Input!N:S)=0,"",
          _xlfn.XLOOKUP(B17,Input!J:J,Input!N:S)),"")</f>
        <v/>
      </c>
      <c r="V17" s="13" t="str">
        <v/>
      </c>
      <c r="W17" s="13" t="str">
        <v/>
      </c>
      <c r="X17" s="13" t="str">
        <v/>
      </c>
      <c r="Y17" s="13" t="str">
        <v/>
      </c>
      <c r="Z17" s="13" t="str">
        <v/>
      </c>
      <c r="AA17" t="str">
        <f t="shared" si="2"/>
        <v/>
      </c>
      <c r="AB17" t="str">
        <f>_xlfn.XLOOKUP(B:B,Disk_Pivot!G:G,Disk_Pivot!I:I)</f>
        <v>No</v>
      </c>
      <c r="AC17" t="str">
        <f>_xlfn.XLOOKUP(B17,Disk_Pivot!G:G,Disk_Pivot!N:N)</f>
        <v/>
      </c>
    </row>
    <row r="18" spans="1:29">
      <c r="A18" t="str">
        <f>_xlfn.TEXTJOIN("",TRUE,_xlfn.XLOOKUP(B18,Input!J:J,Input!G:G,"",0,1),_xlfn.XLOOKUP(B18,Input!J:J,Input!H:H,"",0,1))</f>
        <v/>
      </c>
      <c r="C18" s="13">
        <f>_xlfn.XLOOKUP(B18,Input!J:J,Input!F:F)</f>
        <v>0</v>
      </c>
      <c r="D18">
        <f>_xlfn.XLOOKUP(C18,Models!H:H,Models!G:G,C18)</f>
        <v>0</v>
      </c>
      <c r="F18" t="str">
        <f>_xlfn.XLOOKUP(H18,Models!B:B,Models!F:F,"")</f>
        <v/>
      </c>
      <c r="G18">
        <f>_xlfn.XLOOKUP(B18,Input!J:J,Input!E:E)</f>
        <v>0</v>
      </c>
      <c r="H18">
        <f>IF(G18="LENOVO",_xlfn.XLOOKUP(B18,Input!J:J,Input!K:K),_xlfn.XLOOKUP(B18,Input!J:J,Input!L:L))</f>
        <v>0</v>
      </c>
      <c r="K18">
        <f>_xlfn.XLOOKUP(B18,CPU_Formula!A:A,CPU_Formula!I:I)</f>
        <v>0</v>
      </c>
      <c r="L18" s="13" t="e">
        <f>INDEX(Input!$D$2:$AD$500,
       MATCH(B18, Input!$J$2:$J$500, 0),
       MATCH("Memory Capacity", Input!$D$1:$AD$1, 0))</f>
        <v>#N/A</v>
      </c>
      <c r="M18" s="13" t="e">
        <f>INDEX(Input!$D$2:$AD$500,
       MATCH(B18, Input!$J$2:$J$500, 0),
       MATCH("Memory Type", Input!$D$1:$AD$1, 0))</f>
        <v>#N/A</v>
      </c>
      <c r="N18" s="13" t="e">
        <f t="shared" si="0"/>
        <v>#N/A</v>
      </c>
      <c r="O18" s="13" t="str" cm="1">
        <f t="array" ref="O18">IFERROR(_xlfn.FILTERXML("&lt;t&gt;&lt;s&gt;" &amp; SUBSTITUTE(M18," / ","&lt;/s&gt;&lt;s&gt;") &amp; "&lt;/s&gt;&lt;/t&gt;","(//s[contains(.,'DDR')])[1]"),"")</f>
        <v/>
      </c>
      <c r="P18" t="e">
        <f t="shared" si="1"/>
        <v>#N/A</v>
      </c>
      <c r="Q18" t="str" cm="1">
        <f t="array" ref="Q18">_xlfn.TEXTJOIN(", ", TRUE, _xlfn._xlws.FILTER(Input!W:W, Input!J:J=B18))</f>
        <v/>
      </c>
      <c r="S18" s="13" t="str">
        <f>_xlfn.LET(_xlpm.Result,_xlfn.XLOOKUP(B18,Input!J:J,Input!AB:AB),IF(_xlpm.Result="","",_xlpm.Result))</f>
        <v/>
      </c>
      <c r="T18" s="13" t="str" cm="1">
        <f t="array" ref="T18">IFERROR(_xlfn.IFS(
   --S18&lt;55,"Battery Defect",
  -- S18&lt;=69,"Battery D",
  --S18&lt;=80,"Battery C",
 --S18&gt;80,""
),"")</f>
        <v/>
      </c>
      <c r="U18" s="13" t="str" cm="1">
        <f t="array" ref="U18:Z18">IFERROR(IF(_xlfn.XLOOKUP(B18,Input!J:J,Input!N:S)=0,"",
          _xlfn.XLOOKUP(B18,Input!J:J,Input!N:S)),"")</f>
        <v/>
      </c>
      <c r="V18" s="13" t="str">
        <v/>
      </c>
      <c r="W18" s="13" t="str">
        <v/>
      </c>
      <c r="X18" s="13" t="str">
        <v/>
      </c>
      <c r="Y18" s="13" t="str">
        <v/>
      </c>
      <c r="Z18" s="13" t="str">
        <v/>
      </c>
      <c r="AA18" t="str">
        <f t="shared" si="2"/>
        <v/>
      </c>
      <c r="AB18" t="str">
        <f>_xlfn.XLOOKUP(B:B,Disk_Pivot!G:G,Disk_Pivot!I:I)</f>
        <v>No</v>
      </c>
      <c r="AC18" t="str">
        <f>_xlfn.XLOOKUP(B18,Disk_Pivot!G:G,Disk_Pivot!N:N)</f>
        <v/>
      </c>
    </row>
    <row r="19" spans="1:29">
      <c r="A19" t="str">
        <f>_xlfn.TEXTJOIN("",TRUE,_xlfn.XLOOKUP(B19,Input!J:J,Input!G:G,"",0,1),_xlfn.XLOOKUP(B19,Input!J:J,Input!H:H,"",0,1))</f>
        <v/>
      </c>
      <c r="C19" s="13">
        <f>_xlfn.XLOOKUP(B19,Input!J:J,Input!F:F)</f>
        <v>0</v>
      </c>
      <c r="D19">
        <f>_xlfn.XLOOKUP(C19,Models!H:H,Models!G:G,C19)</f>
        <v>0</v>
      </c>
      <c r="F19" t="str">
        <f>_xlfn.XLOOKUP(H19,Models!B:B,Models!F:F,"")</f>
        <v/>
      </c>
      <c r="G19">
        <f>_xlfn.XLOOKUP(B19,Input!J:J,Input!E:E)</f>
        <v>0</v>
      </c>
      <c r="H19">
        <f>IF(G19="LENOVO",_xlfn.XLOOKUP(B19,Input!J:J,Input!K:K),_xlfn.XLOOKUP(B19,Input!J:J,Input!L:L))</f>
        <v>0</v>
      </c>
      <c r="K19">
        <f>_xlfn.XLOOKUP(B19,CPU_Formula!A:A,CPU_Formula!I:I)</f>
        <v>0</v>
      </c>
      <c r="L19" s="13" t="e">
        <f>INDEX(Input!$D$2:$AD$500,
       MATCH(B19, Input!$J$2:$J$500, 0),
       MATCH("Memory Capacity", Input!$D$1:$AD$1, 0))</f>
        <v>#N/A</v>
      </c>
      <c r="M19" s="13" t="e">
        <f>INDEX(Input!$D$2:$AD$500,
       MATCH(B19, Input!$J$2:$J$500, 0),
       MATCH("Memory Type", Input!$D$1:$AD$1, 0))</f>
        <v>#N/A</v>
      </c>
      <c r="N19" s="13" t="e">
        <f t="shared" si="0"/>
        <v>#N/A</v>
      </c>
      <c r="O19" s="13" t="str" cm="1">
        <f t="array" ref="O19">IFERROR(_xlfn.FILTERXML("&lt;t&gt;&lt;s&gt;" &amp; SUBSTITUTE(M19," / ","&lt;/s&gt;&lt;s&gt;") &amp; "&lt;/s&gt;&lt;/t&gt;","(//s[contains(.,'DDR')])[1]"),"")</f>
        <v/>
      </c>
      <c r="P19" t="e">
        <f t="shared" si="1"/>
        <v>#N/A</v>
      </c>
      <c r="Q19" t="str" cm="1">
        <f t="array" ref="Q19">_xlfn.TEXTJOIN(", ", TRUE, _xlfn._xlws.FILTER(Input!W:W, Input!J:J=B19))</f>
        <v/>
      </c>
      <c r="S19" s="13" t="str">
        <f>_xlfn.LET(_xlpm.Result,_xlfn.XLOOKUP(B19,Input!J:J,Input!AB:AB),IF(_xlpm.Result="","",_xlpm.Result))</f>
        <v/>
      </c>
      <c r="T19" s="13" t="str" cm="1">
        <f t="array" ref="T19">IFERROR(_xlfn.IFS(
   --S19&lt;55,"Battery Defect",
  -- S19&lt;=69,"Battery D",
  --S19&lt;=80,"Battery C",
 --S19&gt;80,""
),"")</f>
        <v/>
      </c>
      <c r="U19" s="13" t="str" cm="1">
        <f t="array" ref="U19:Z19">IFERROR(IF(_xlfn.XLOOKUP(B19,Input!J:J,Input!N:S)=0,"",
          _xlfn.XLOOKUP(B19,Input!J:J,Input!N:S)),"")</f>
        <v/>
      </c>
      <c r="V19" s="13" t="str">
        <v/>
      </c>
      <c r="W19" s="13" t="str">
        <v/>
      </c>
      <c r="X19" s="13" t="str">
        <v/>
      </c>
      <c r="Y19" s="13" t="str">
        <v/>
      </c>
      <c r="Z19" s="13" t="str">
        <v/>
      </c>
      <c r="AA19" t="str">
        <f t="shared" si="2"/>
        <v/>
      </c>
      <c r="AB19" t="str">
        <f>_xlfn.XLOOKUP(B:B,Disk_Pivot!G:G,Disk_Pivot!I:I)</f>
        <v>No</v>
      </c>
      <c r="AC19" t="str">
        <f>_xlfn.XLOOKUP(B19,Disk_Pivot!G:G,Disk_Pivot!N:N)</f>
        <v/>
      </c>
    </row>
    <row r="20" spans="1:29">
      <c r="A20" t="str">
        <f>_xlfn.TEXTJOIN("",TRUE,_xlfn.XLOOKUP(B20,Input!J:J,Input!G:G,"",0,1),_xlfn.XLOOKUP(B20,Input!J:J,Input!H:H,"",0,1))</f>
        <v/>
      </c>
      <c r="C20" s="13">
        <f>_xlfn.XLOOKUP(B20,Input!J:J,Input!F:F)</f>
        <v>0</v>
      </c>
      <c r="D20">
        <f>_xlfn.XLOOKUP(C20,Models!H:H,Models!G:G,C20)</f>
        <v>0</v>
      </c>
      <c r="F20" t="str">
        <f>_xlfn.XLOOKUP(H20,Models!B:B,Models!F:F,"")</f>
        <v/>
      </c>
      <c r="G20">
        <f>_xlfn.XLOOKUP(B20,Input!J:J,Input!E:E)</f>
        <v>0</v>
      </c>
      <c r="H20">
        <f>IF(G20="LENOVO",_xlfn.XLOOKUP(B20,Input!J:J,Input!K:K),_xlfn.XLOOKUP(B20,Input!J:J,Input!L:L))</f>
        <v>0</v>
      </c>
      <c r="K20">
        <f>_xlfn.XLOOKUP(B20,CPU_Formula!A:A,CPU_Formula!I:I)</f>
        <v>0</v>
      </c>
      <c r="L20" s="13" t="e">
        <f>INDEX(Input!$D$2:$AD$500,
       MATCH(B20, Input!$J$2:$J$500, 0),
       MATCH("Memory Capacity", Input!$D$1:$AD$1, 0))</f>
        <v>#N/A</v>
      </c>
      <c r="M20" s="13" t="e">
        <f>INDEX(Input!$D$2:$AD$500,
       MATCH(B20, Input!$J$2:$J$500, 0),
       MATCH("Memory Type", Input!$D$1:$AD$1, 0))</f>
        <v>#N/A</v>
      </c>
      <c r="N20" s="13" t="e">
        <f t="shared" si="0"/>
        <v>#N/A</v>
      </c>
      <c r="O20" s="13" t="str" cm="1">
        <f t="array" ref="O20">IFERROR(_xlfn.FILTERXML("&lt;t&gt;&lt;s&gt;" &amp; SUBSTITUTE(M20," / ","&lt;/s&gt;&lt;s&gt;") &amp; "&lt;/s&gt;&lt;/t&gt;","(//s[contains(.,'DDR')])[1]"),"")</f>
        <v/>
      </c>
      <c r="P20" t="e">
        <f t="shared" si="1"/>
        <v>#N/A</v>
      </c>
      <c r="Q20" t="str" cm="1">
        <f t="array" ref="Q20">_xlfn.TEXTJOIN(", ", TRUE, _xlfn._xlws.FILTER(Input!W:W, Input!J:J=B20))</f>
        <v/>
      </c>
      <c r="S20" s="13" t="str">
        <f>_xlfn.LET(_xlpm.Result,_xlfn.XLOOKUP(B20,Input!J:J,Input!AB:AB),IF(_xlpm.Result="","",_xlpm.Result))</f>
        <v/>
      </c>
      <c r="T20" s="13" t="str" cm="1">
        <f t="array" ref="T20">IFERROR(_xlfn.IFS(
   --S20&lt;55,"Battery Defect",
  -- S20&lt;=69,"Battery D",
  --S20&lt;=80,"Battery C",
 --S20&gt;80,""
),"")</f>
        <v/>
      </c>
      <c r="U20" s="13" t="str" cm="1">
        <f t="array" ref="U20:Z20">IFERROR(IF(_xlfn.XLOOKUP(B20,Input!J:J,Input!N:S)=0,"",
          _xlfn.XLOOKUP(B20,Input!J:J,Input!N:S)),"")</f>
        <v/>
      </c>
      <c r="V20" s="13" t="str">
        <v/>
      </c>
      <c r="W20" s="13" t="str">
        <v/>
      </c>
      <c r="X20" s="13" t="str">
        <v/>
      </c>
      <c r="Y20" s="13" t="str">
        <v/>
      </c>
      <c r="Z20" s="13" t="str">
        <v/>
      </c>
      <c r="AA20" t="str">
        <f t="shared" si="2"/>
        <v/>
      </c>
      <c r="AB20" t="str">
        <f>_xlfn.XLOOKUP(B:B,Disk_Pivot!G:G,Disk_Pivot!I:I)</f>
        <v>No</v>
      </c>
      <c r="AC20" t="str">
        <f>_xlfn.XLOOKUP(B20,Disk_Pivot!G:G,Disk_Pivot!N:N)</f>
        <v/>
      </c>
    </row>
    <row r="21" spans="1:29">
      <c r="A21" t="str">
        <f>_xlfn.TEXTJOIN("",TRUE,_xlfn.XLOOKUP(B21,Input!J:J,Input!G:G,"",0,1),_xlfn.XLOOKUP(B21,Input!J:J,Input!H:H,"",0,1))</f>
        <v/>
      </c>
      <c r="C21" s="13">
        <f>_xlfn.XLOOKUP(B21,Input!J:J,Input!F:F)</f>
        <v>0</v>
      </c>
      <c r="D21">
        <f>_xlfn.XLOOKUP(C21,Models!H:H,Models!G:G,C21)</f>
        <v>0</v>
      </c>
      <c r="F21" t="str">
        <f>_xlfn.XLOOKUP(H21,Models!B:B,Models!F:F,"")</f>
        <v/>
      </c>
      <c r="G21">
        <f>_xlfn.XLOOKUP(B21,Input!J:J,Input!E:E)</f>
        <v>0</v>
      </c>
      <c r="H21">
        <f>IF(G21="LENOVO",_xlfn.XLOOKUP(B21,Input!J:J,Input!K:K),_xlfn.XLOOKUP(B21,Input!J:J,Input!L:L))</f>
        <v>0</v>
      </c>
      <c r="K21">
        <f>_xlfn.XLOOKUP(B21,CPU_Formula!A:A,CPU_Formula!I:I)</f>
        <v>0</v>
      </c>
      <c r="L21" s="13" t="e">
        <f>INDEX(Input!$D$2:$AD$500,
       MATCH(B21, Input!$J$2:$J$500, 0),
       MATCH("Memory Capacity", Input!$D$1:$AD$1, 0))</f>
        <v>#N/A</v>
      </c>
      <c r="M21" s="13" t="e">
        <f>INDEX(Input!$D$2:$AD$500,
       MATCH(B21, Input!$J$2:$J$500, 0),
       MATCH("Memory Type", Input!$D$1:$AD$1, 0))</f>
        <v>#N/A</v>
      </c>
      <c r="N21" s="13" t="e">
        <f t="shared" si="0"/>
        <v>#N/A</v>
      </c>
      <c r="O21" s="13" t="str" cm="1">
        <f t="array" ref="O21">IFERROR(_xlfn.FILTERXML("&lt;t&gt;&lt;s&gt;" &amp; SUBSTITUTE(M21," / ","&lt;/s&gt;&lt;s&gt;") &amp; "&lt;/s&gt;&lt;/t&gt;","(//s[contains(.,'DDR')])[1]"),"")</f>
        <v/>
      </c>
      <c r="P21" t="e">
        <f t="shared" si="1"/>
        <v>#N/A</v>
      </c>
      <c r="Q21" t="str" cm="1">
        <f t="array" ref="Q21">_xlfn.TEXTJOIN(", ", TRUE, _xlfn._xlws.FILTER(Input!W:W, Input!J:J=B21))</f>
        <v/>
      </c>
      <c r="S21" s="13" t="str">
        <f>_xlfn.LET(_xlpm.Result,_xlfn.XLOOKUP(B21,Input!J:J,Input!AB:AB),IF(_xlpm.Result="","",_xlpm.Result))</f>
        <v/>
      </c>
      <c r="T21" s="13" t="str" cm="1">
        <f t="array" ref="T21">IFERROR(_xlfn.IFS(
   --S21&lt;55,"Battery Defect",
  -- S21&lt;=69,"Battery D",
  --S21&lt;=80,"Battery C",
 --S21&gt;80,""
),"")</f>
        <v/>
      </c>
      <c r="U21" s="13" t="str" cm="1">
        <f t="array" ref="U21:Z21">IFERROR(IF(_xlfn.XLOOKUP(B21,Input!J:J,Input!N:S)=0,"",
          _xlfn.XLOOKUP(B21,Input!J:J,Input!N:S)),"")</f>
        <v/>
      </c>
      <c r="V21" s="13" t="str">
        <v/>
      </c>
      <c r="W21" s="13" t="str">
        <v/>
      </c>
      <c r="X21" s="13" t="str">
        <v/>
      </c>
      <c r="Y21" s="13" t="str">
        <v/>
      </c>
      <c r="Z21" s="13" t="str">
        <v/>
      </c>
      <c r="AA21" t="str">
        <f t="shared" si="2"/>
        <v/>
      </c>
      <c r="AB21" t="str">
        <f>_xlfn.XLOOKUP(B:B,Disk_Pivot!G:G,Disk_Pivot!I:I)</f>
        <v>No</v>
      </c>
      <c r="AC21" t="str">
        <f>_xlfn.XLOOKUP(B21,Disk_Pivot!G:G,Disk_Pivot!N:N)</f>
        <v/>
      </c>
    </row>
    <row r="22" spans="1:29">
      <c r="A22" t="str">
        <f>_xlfn.TEXTJOIN("",TRUE,_xlfn.XLOOKUP(B22,Input!J:J,Input!G:G,"",0,1),_xlfn.XLOOKUP(B22,Input!J:J,Input!H:H,"",0,1))</f>
        <v/>
      </c>
      <c r="C22" s="13">
        <f>_xlfn.XLOOKUP(B22,Input!J:J,Input!F:F)</f>
        <v>0</v>
      </c>
      <c r="D22">
        <f>_xlfn.XLOOKUP(C22,Models!H:H,Models!G:G,C22)</f>
        <v>0</v>
      </c>
      <c r="F22" t="str">
        <f>_xlfn.XLOOKUP(H22,Models!B:B,Models!F:F,"")</f>
        <v/>
      </c>
      <c r="G22">
        <f>_xlfn.XLOOKUP(B22,Input!J:J,Input!E:E)</f>
        <v>0</v>
      </c>
      <c r="H22">
        <f>IF(G22="LENOVO",_xlfn.XLOOKUP(B22,Input!J:J,Input!K:K),_xlfn.XLOOKUP(B22,Input!J:J,Input!L:L))</f>
        <v>0</v>
      </c>
      <c r="K22">
        <f>_xlfn.XLOOKUP(B22,CPU_Formula!A:A,CPU_Formula!I:I)</f>
        <v>0</v>
      </c>
      <c r="L22" s="13" t="e">
        <f>INDEX(Input!$D$2:$AD$500,
       MATCH(B22, Input!$J$2:$J$500, 0),
       MATCH("Memory Capacity", Input!$D$1:$AD$1, 0))</f>
        <v>#N/A</v>
      </c>
      <c r="M22" s="13" t="e">
        <f>INDEX(Input!$D$2:$AD$500,
       MATCH(B22, Input!$J$2:$J$500, 0),
       MATCH("Memory Type", Input!$D$1:$AD$1, 0))</f>
        <v>#N/A</v>
      </c>
      <c r="N22" s="13" t="e">
        <f t="shared" si="0"/>
        <v>#N/A</v>
      </c>
      <c r="O22" s="13" t="str" cm="1">
        <f t="array" ref="O22">IFERROR(_xlfn.FILTERXML("&lt;t&gt;&lt;s&gt;" &amp; SUBSTITUTE(M22," / ","&lt;/s&gt;&lt;s&gt;") &amp; "&lt;/s&gt;&lt;/t&gt;","(//s[contains(.,'DDR')])[1]"),"")</f>
        <v/>
      </c>
      <c r="P22" t="e">
        <f t="shared" si="1"/>
        <v>#N/A</v>
      </c>
      <c r="Q22" t="str" cm="1">
        <f t="array" ref="Q22">_xlfn.TEXTJOIN(", ", TRUE, _xlfn._xlws.FILTER(Input!W:W, Input!J:J=B22))</f>
        <v/>
      </c>
      <c r="S22" s="13" t="str">
        <f>_xlfn.LET(_xlpm.Result,_xlfn.XLOOKUP(B22,Input!J:J,Input!AB:AB),IF(_xlpm.Result="","",_xlpm.Result))</f>
        <v/>
      </c>
      <c r="T22" s="13" t="str" cm="1">
        <f t="array" ref="T22">IFERROR(_xlfn.IFS(
   --S22&lt;55,"Battery Defect",
  -- S22&lt;=69,"Battery D",
  --S22&lt;=80,"Battery C",
 --S22&gt;80,""
),"")</f>
        <v/>
      </c>
      <c r="U22" s="13" t="str" cm="1">
        <f t="array" ref="U22:Z22">IFERROR(IF(_xlfn.XLOOKUP(B22,Input!J:J,Input!N:S)=0,"",
          _xlfn.XLOOKUP(B22,Input!J:J,Input!N:S)),"")</f>
        <v/>
      </c>
      <c r="V22" s="13" t="str">
        <v/>
      </c>
      <c r="W22" s="13" t="str">
        <v/>
      </c>
      <c r="X22" s="13" t="str">
        <v/>
      </c>
      <c r="Y22" s="13" t="str">
        <v/>
      </c>
      <c r="Z22" s="13" t="str">
        <v/>
      </c>
      <c r="AA22" t="str">
        <f t="shared" si="2"/>
        <v/>
      </c>
      <c r="AB22" t="str">
        <f>_xlfn.XLOOKUP(B:B,Disk_Pivot!G:G,Disk_Pivot!I:I)</f>
        <v>No</v>
      </c>
      <c r="AC22" t="str">
        <f>_xlfn.XLOOKUP(B22,Disk_Pivot!G:G,Disk_Pivot!N:N)</f>
        <v/>
      </c>
    </row>
    <row r="23" spans="1:29">
      <c r="A23" t="str">
        <f>_xlfn.TEXTJOIN("",TRUE,_xlfn.XLOOKUP(B23,Input!J:J,Input!G:G,"",0,1),_xlfn.XLOOKUP(B23,Input!J:J,Input!H:H,"",0,1))</f>
        <v/>
      </c>
      <c r="C23" s="13">
        <f>_xlfn.XLOOKUP(B23,Input!J:J,Input!F:F)</f>
        <v>0</v>
      </c>
      <c r="D23">
        <f>_xlfn.XLOOKUP(C23,Models!H:H,Models!G:G,C23)</f>
        <v>0</v>
      </c>
      <c r="F23" t="str">
        <f>_xlfn.XLOOKUP(H23,Models!B:B,Models!F:F,"")</f>
        <v/>
      </c>
      <c r="G23">
        <f>_xlfn.XLOOKUP(B23,Input!J:J,Input!E:E)</f>
        <v>0</v>
      </c>
      <c r="H23">
        <f>IF(G23="LENOVO",_xlfn.XLOOKUP(B23,Input!J:J,Input!K:K),_xlfn.XLOOKUP(B23,Input!J:J,Input!L:L))</f>
        <v>0</v>
      </c>
      <c r="K23">
        <f>_xlfn.XLOOKUP(B23,CPU_Formula!A:A,CPU_Formula!I:I)</f>
        <v>0</v>
      </c>
      <c r="L23" s="13" t="e">
        <f>INDEX(Input!$D$2:$AD$500,
       MATCH(B23, Input!$J$2:$J$500, 0),
       MATCH("Memory Capacity", Input!$D$1:$AD$1, 0))</f>
        <v>#N/A</v>
      </c>
      <c r="M23" s="13" t="e">
        <f>INDEX(Input!$D$2:$AD$500,
       MATCH(B23, Input!$J$2:$J$500, 0),
       MATCH("Memory Type", Input!$D$1:$AD$1, 0))</f>
        <v>#N/A</v>
      </c>
      <c r="N23" s="13" t="e">
        <f t="shared" si="0"/>
        <v>#N/A</v>
      </c>
      <c r="O23" s="13" t="str" cm="1">
        <f t="array" ref="O23">IFERROR(_xlfn.FILTERXML("&lt;t&gt;&lt;s&gt;" &amp; SUBSTITUTE(M23," / ","&lt;/s&gt;&lt;s&gt;") &amp; "&lt;/s&gt;&lt;/t&gt;","(//s[contains(.,'DDR')])[1]"),"")</f>
        <v/>
      </c>
      <c r="P23" t="e">
        <f t="shared" si="1"/>
        <v>#N/A</v>
      </c>
      <c r="Q23" t="str" cm="1">
        <f t="array" ref="Q23">_xlfn.TEXTJOIN(", ", TRUE, _xlfn._xlws.FILTER(Input!W:W, Input!J:J=B23))</f>
        <v/>
      </c>
      <c r="S23" s="13" t="str">
        <f>_xlfn.LET(_xlpm.Result,_xlfn.XLOOKUP(B23,Input!J:J,Input!AB:AB),IF(_xlpm.Result="","",_xlpm.Result))</f>
        <v/>
      </c>
      <c r="T23" s="13" t="str" cm="1">
        <f t="array" ref="T23">IFERROR(_xlfn.IFS(
   --S23&lt;55,"Battery Defect",
  -- S23&lt;=69,"Battery D",
  --S23&lt;=80,"Battery C",
 --S23&gt;80,""
),"")</f>
        <v/>
      </c>
      <c r="U23" s="13" t="str" cm="1">
        <f t="array" ref="U23:Z23">IFERROR(IF(_xlfn.XLOOKUP(B23,Input!J:J,Input!N:S)=0,"",
          _xlfn.XLOOKUP(B23,Input!J:J,Input!N:S)),"")</f>
        <v/>
      </c>
      <c r="V23" s="13" t="str">
        <v/>
      </c>
      <c r="W23" s="13" t="str">
        <v/>
      </c>
      <c r="X23" s="13" t="str">
        <v/>
      </c>
      <c r="Y23" s="13" t="str">
        <v/>
      </c>
      <c r="Z23" s="13" t="str">
        <v/>
      </c>
      <c r="AA23" t="str">
        <f t="shared" si="2"/>
        <v/>
      </c>
      <c r="AB23" t="str">
        <f>_xlfn.XLOOKUP(B:B,Disk_Pivot!G:G,Disk_Pivot!I:I)</f>
        <v>No</v>
      </c>
      <c r="AC23" t="str">
        <f>_xlfn.XLOOKUP(B23,Disk_Pivot!G:G,Disk_Pivot!N:N)</f>
        <v/>
      </c>
    </row>
    <row r="24" spans="1:29">
      <c r="A24" t="str">
        <f>_xlfn.TEXTJOIN("",TRUE,_xlfn.XLOOKUP(B24,Input!J:J,Input!G:G,"",0,1),_xlfn.XLOOKUP(B24,Input!J:J,Input!H:H,"",0,1))</f>
        <v/>
      </c>
      <c r="C24" s="13">
        <f>_xlfn.XLOOKUP(B24,Input!J:J,Input!F:F)</f>
        <v>0</v>
      </c>
      <c r="D24">
        <f>_xlfn.XLOOKUP(C24,Models!H:H,Models!G:G,C24)</f>
        <v>0</v>
      </c>
      <c r="F24" t="str">
        <f>_xlfn.XLOOKUP(H24,Models!B:B,Models!F:F,"")</f>
        <v/>
      </c>
      <c r="G24">
        <f>_xlfn.XLOOKUP(B24,Input!J:J,Input!E:E)</f>
        <v>0</v>
      </c>
      <c r="H24">
        <f>IF(G24="LENOVO",_xlfn.XLOOKUP(B24,Input!J:J,Input!K:K),_xlfn.XLOOKUP(B24,Input!J:J,Input!L:L))</f>
        <v>0</v>
      </c>
      <c r="K24">
        <f>_xlfn.XLOOKUP(B24,CPU_Formula!A:A,CPU_Formula!I:I)</f>
        <v>0</v>
      </c>
      <c r="L24" s="13" t="e">
        <f>INDEX(Input!$D$2:$AD$500,
       MATCH(B24, Input!$J$2:$J$500, 0),
       MATCH("Memory Capacity", Input!$D$1:$AD$1, 0))</f>
        <v>#N/A</v>
      </c>
      <c r="M24" s="13" t="e">
        <f>INDEX(Input!$D$2:$AD$500,
       MATCH(B24, Input!$J$2:$J$500, 0),
       MATCH("Memory Type", Input!$D$1:$AD$1, 0))</f>
        <v>#N/A</v>
      </c>
      <c r="N24" s="13" t="e">
        <f t="shared" si="0"/>
        <v>#N/A</v>
      </c>
      <c r="O24" s="13" t="str" cm="1">
        <f t="array" ref="O24">IFERROR(_xlfn.FILTERXML("&lt;t&gt;&lt;s&gt;" &amp; SUBSTITUTE(M24," / ","&lt;/s&gt;&lt;s&gt;") &amp; "&lt;/s&gt;&lt;/t&gt;","(//s[contains(.,'DDR')])[1]"),"")</f>
        <v/>
      </c>
      <c r="P24" t="e">
        <f t="shared" si="1"/>
        <v>#N/A</v>
      </c>
      <c r="Q24" t="str" cm="1">
        <f t="array" ref="Q24">_xlfn.TEXTJOIN(", ", TRUE, _xlfn._xlws.FILTER(Input!W:W, Input!J:J=B24))</f>
        <v/>
      </c>
      <c r="S24" s="13" t="str">
        <f>_xlfn.LET(_xlpm.Result,_xlfn.XLOOKUP(B24,Input!J:J,Input!AB:AB),IF(_xlpm.Result="","",_xlpm.Result))</f>
        <v/>
      </c>
      <c r="T24" s="13" t="str" cm="1">
        <f t="array" ref="T24">IFERROR(_xlfn.IFS(
   --S24&lt;55,"Battery Defect",
  -- S24&lt;=69,"Battery D",
  --S24&lt;=80,"Battery C",
 --S24&gt;80,""
),"")</f>
        <v/>
      </c>
      <c r="U24" s="13" t="str" cm="1">
        <f t="array" ref="U24:Z24">IFERROR(IF(_xlfn.XLOOKUP(B24,Input!J:J,Input!N:S)=0,"",
          _xlfn.XLOOKUP(B24,Input!J:J,Input!N:S)),"")</f>
        <v/>
      </c>
      <c r="V24" s="13" t="str">
        <v/>
      </c>
      <c r="W24" s="13" t="str">
        <v/>
      </c>
      <c r="X24" s="13" t="str">
        <v/>
      </c>
      <c r="Y24" s="13" t="str">
        <v/>
      </c>
      <c r="Z24" s="13" t="str">
        <v/>
      </c>
      <c r="AA24" t="str">
        <f t="shared" si="2"/>
        <v/>
      </c>
      <c r="AB24" t="str">
        <f>_xlfn.XLOOKUP(B:B,Disk_Pivot!G:G,Disk_Pivot!I:I)</f>
        <v>No</v>
      </c>
      <c r="AC24" t="str">
        <f>_xlfn.XLOOKUP(B24,Disk_Pivot!G:G,Disk_Pivot!N:N)</f>
        <v/>
      </c>
    </row>
    <row r="25" spans="1:29">
      <c r="A25" t="str">
        <f>_xlfn.TEXTJOIN("",TRUE,_xlfn.XLOOKUP(B25,Input!J:J,Input!G:G,"",0,1),_xlfn.XLOOKUP(B25,Input!J:J,Input!H:H,"",0,1))</f>
        <v/>
      </c>
      <c r="C25" s="13">
        <f>_xlfn.XLOOKUP(B25,Input!J:J,Input!F:F)</f>
        <v>0</v>
      </c>
      <c r="D25">
        <f>_xlfn.XLOOKUP(C25,Models!H:H,Models!G:G,C25)</f>
        <v>0</v>
      </c>
      <c r="F25" t="str">
        <f>_xlfn.XLOOKUP(H25,Models!B:B,Models!F:F,"")</f>
        <v/>
      </c>
      <c r="G25">
        <f>_xlfn.XLOOKUP(B25,Input!J:J,Input!E:E)</f>
        <v>0</v>
      </c>
      <c r="H25">
        <f>IF(G25="LENOVO",_xlfn.XLOOKUP(B25,Input!J:J,Input!K:K),_xlfn.XLOOKUP(B25,Input!J:J,Input!L:L))</f>
        <v>0</v>
      </c>
      <c r="K25">
        <f>_xlfn.XLOOKUP(B25,CPU_Formula!A:A,CPU_Formula!I:I)</f>
        <v>0</v>
      </c>
      <c r="L25" s="13" t="e">
        <f>INDEX(Input!$D$2:$AD$500,
       MATCH(B25, Input!$J$2:$J$500, 0),
       MATCH("Memory Capacity", Input!$D$1:$AD$1, 0))</f>
        <v>#N/A</v>
      </c>
      <c r="M25" s="13" t="e">
        <f>INDEX(Input!$D$2:$AD$500,
       MATCH(B25, Input!$J$2:$J$500, 0),
       MATCH("Memory Type", Input!$D$1:$AD$1, 0))</f>
        <v>#N/A</v>
      </c>
      <c r="N25" s="13" t="e">
        <f t="shared" si="0"/>
        <v>#N/A</v>
      </c>
      <c r="O25" s="13" t="str" cm="1">
        <f t="array" ref="O25">IFERROR(_xlfn.FILTERXML("&lt;t&gt;&lt;s&gt;" &amp; SUBSTITUTE(M25," / ","&lt;/s&gt;&lt;s&gt;") &amp; "&lt;/s&gt;&lt;/t&gt;","(//s[contains(.,'DDR')])[1]"),"")</f>
        <v/>
      </c>
      <c r="P25" t="e">
        <f t="shared" si="1"/>
        <v>#N/A</v>
      </c>
      <c r="Q25" t="str" cm="1">
        <f t="array" ref="Q25">_xlfn.TEXTJOIN(", ", TRUE, _xlfn._xlws.FILTER(Input!W:W, Input!J:J=B25))</f>
        <v/>
      </c>
      <c r="S25" s="13" t="str">
        <f>_xlfn.LET(_xlpm.Result,_xlfn.XLOOKUP(B25,Input!J:J,Input!AB:AB),IF(_xlpm.Result="","",_xlpm.Result))</f>
        <v/>
      </c>
      <c r="T25" s="13" t="str" cm="1">
        <f t="array" ref="T25">IFERROR(_xlfn.IFS(
   --S25&lt;55,"Battery Defect",
  -- S25&lt;=69,"Battery D",
  --S25&lt;=80,"Battery C",
 --S25&gt;80,""
),"")</f>
        <v/>
      </c>
      <c r="U25" s="13" t="str" cm="1">
        <f t="array" ref="U25:Z25">IFERROR(IF(_xlfn.XLOOKUP(B25,Input!J:J,Input!N:S)=0,"",
          _xlfn.XLOOKUP(B25,Input!J:J,Input!N:S)),"")</f>
        <v/>
      </c>
      <c r="V25" s="13" t="str">
        <v/>
      </c>
      <c r="W25" s="13" t="str">
        <v/>
      </c>
      <c r="X25" s="13" t="str">
        <v/>
      </c>
      <c r="Y25" s="13" t="str">
        <v/>
      </c>
      <c r="Z25" s="13" t="str">
        <v/>
      </c>
      <c r="AA25" t="str">
        <f t="shared" si="2"/>
        <v/>
      </c>
      <c r="AB25" t="str">
        <f>_xlfn.XLOOKUP(B:B,Disk_Pivot!G:G,Disk_Pivot!I:I)</f>
        <v>No</v>
      </c>
      <c r="AC25" t="str">
        <f>_xlfn.XLOOKUP(B25,Disk_Pivot!G:G,Disk_Pivot!N:N)</f>
        <v/>
      </c>
    </row>
    <row r="26" spans="1:29">
      <c r="A26" t="str">
        <f>_xlfn.TEXTJOIN("",TRUE,_xlfn.XLOOKUP(B26,Input!J:J,Input!G:G,"",0,1),_xlfn.XLOOKUP(B26,Input!J:J,Input!H:H,"",0,1))</f>
        <v/>
      </c>
      <c r="C26" s="13">
        <f>_xlfn.XLOOKUP(B26,Input!J:J,Input!F:F)</f>
        <v>0</v>
      </c>
      <c r="D26">
        <f>_xlfn.XLOOKUP(C26,Models!H:H,Models!G:G,C26)</f>
        <v>0</v>
      </c>
      <c r="F26" t="str">
        <f>_xlfn.XLOOKUP(H26,Models!B:B,Models!F:F,"")</f>
        <v/>
      </c>
      <c r="G26">
        <f>_xlfn.XLOOKUP(B26,Input!J:J,Input!E:E)</f>
        <v>0</v>
      </c>
      <c r="H26">
        <f>IF(G26="LENOVO",_xlfn.XLOOKUP(B26,Input!J:J,Input!K:K),_xlfn.XLOOKUP(B26,Input!J:J,Input!L:L))</f>
        <v>0</v>
      </c>
      <c r="K26">
        <f>_xlfn.XLOOKUP(B26,CPU_Formula!A:A,CPU_Formula!I:I)</f>
        <v>0</v>
      </c>
      <c r="L26" s="13" t="e">
        <f>INDEX(Input!$D$2:$AD$500,
       MATCH(B26, Input!$J$2:$J$500, 0),
       MATCH("Memory Capacity", Input!$D$1:$AD$1, 0))</f>
        <v>#N/A</v>
      </c>
      <c r="M26" s="13" t="e">
        <f>INDEX(Input!$D$2:$AD$500,
       MATCH(B26, Input!$J$2:$J$500, 0),
       MATCH("Memory Type", Input!$D$1:$AD$1, 0))</f>
        <v>#N/A</v>
      </c>
      <c r="N26" s="13" t="e">
        <f t="shared" si="0"/>
        <v>#N/A</v>
      </c>
      <c r="O26" s="13" t="str" cm="1">
        <f t="array" ref="O26">IFERROR(_xlfn.FILTERXML("&lt;t&gt;&lt;s&gt;" &amp; SUBSTITUTE(M26," / ","&lt;/s&gt;&lt;s&gt;") &amp; "&lt;/s&gt;&lt;/t&gt;","(//s[contains(.,'DDR')])[1]"),"")</f>
        <v/>
      </c>
      <c r="P26" t="e">
        <f t="shared" si="1"/>
        <v>#N/A</v>
      </c>
      <c r="Q26" t="str" cm="1">
        <f t="array" ref="Q26">_xlfn.TEXTJOIN(", ", TRUE, _xlfn._xlws.FILTER(Input!W:W, Input!J:J=B26))</f>
        <v/>
      </c>
      <c r="S26" s="13" t="str">
        <f>_xlfn.LET(_xlpm.Result,_xlfn.XLOOKUP(B26,Input!J:J,Input!AB:AB),IF(_xlpm.Result="","",_xlpm.Result))</f>
        <v/>
      </c>
      <c r="T26" s="13" t="str" cm="1">
        <f t="array" ref="T26">IFERROR(_xlfn.IFS(
   --S26&lt;55,"Battery Defect",
  -- S26&lt;=69,"Battery D",
  --S26&lt;=80,"Battery C",
 --S26&gt;80,""
),"")</f>
        <v/>
      </c>
      <c r="U26" s="13" t="str" cm="1">
        <f t="array" ref="U26:Z26">IFERROR(IF(_xlfn.XLOOKUP(B26,Input!J:J,Input!N:S)=0,"",
          _xlfn.XLOOKUP(B26,Input!J:J,Input!N:S)),"")</f>
        <v/>
      </c>
      <c r="V26" s="13" t="str">
        <v/>
      </c>
      <c r="W26" s="13" t="str">
        <v/>
      </c>
      <c r="X26" s="13" t="str">
        <v/>
      </c>
      <c r="Y26" s="13" t="str">
        <v/>
      </c>
      <c r="Z26" s="13" t="str">
        <v/>
      </c>
      <c r="AA26" t="str">
        <f t="shared" si="2"/>
        <v/>
      </c>
      <c r="AB26" t="str">
        <f>_xlfn.XLOOKUP(B:B,Disk_Pivot!G:G,Disk_Pivot!I:I)</f>
        <v>No</v>
      </c>
      <c r="AC26" t="str">
        <f>_xlfn.XLOOKUP(B26,Disk_Pivot!G:G,Disk_Pivot!N:N)</f>
        <v/>
      </c>
    </row>
    <row r="27" spans="1:29">
      <c r="A27" t="str">
        <f>_xlfn.TEXTJOIN("",TRUE,_xlfn.XLOOKUP(B27,Input!J:J,Input!G:G,"",0,1),_xlfn.XLOOKUP(B27,Input!J:J,Input!H:H,"",0,1))</f>
        <v/>
      </c>
      <c r="C27" s="13">
        <f>_xlfn.XLOOKUP(B27,Input!J:J,Input!F:F)</f>
        <v>0</v>
      </c>
      <c r="D27">
        <f>_xlfn.XLOOKUP(C27,Models!H:H,Models!G:G,C27)</f>
        <v>0</v>
      </c>
      <c r="F27" t="str">
        <f>_xlfn.XLOOKUP(H27,Models!B:B,Models!F:F,"")</f>
        <v/>
      </c>
      <c r="G27">
        <f>_xlfn.XLOOKUP(B27,Input!J:J,Input!E:E)</f>
        <v>0</v>
      </c>
      <c r="H27">
        <f>IF(G27="LENOVO",_xlfn.XLOOKUP(B27,Input!J:J,Input!K:K),_xlfn.XLOOKUP(B27,Input!J:J,Input!L:L))</f>
        <v>0</v>
      </c>
      <c r="K27">
        <f>_xlfn.XLOOKUP(B27,CPU_Formula!A:A,CPU_Formula!I:I)</f>
        <v>0</v>
      </c>
      <c r="L27" s="13" t="e">
        <f>INDEX(Input!$D$2:$AD$500,
       MATCH(B27, Input!$J$2:$J$500, 0),
       MATCH("Memory Capacity", Input!$D$1:$AD$1, 0))</f>
        <v>#N/A</v>
      </c>
      <c r="M27" s="13" t="e">
        <f>INDEX(Input!$D$2:$AD$500,
       MATCH(B27, Input!$J$2:$J$500, 0),
       MATCH("Memory Type", Input!$D$1:$AD$1, 0))</f>
        <v>#N/A</v>
      </c>
      <c r="N27" s="13" t="e">
        <f t="shared" si="0"/>
        <v>#N/A</v>
      </c>
      <c r="O27" s="13" t="str" cm="1">
        <f t="array" ref="O27">IFERROR(_xlfn.FILTERXML("&lt;t&gt;&lt;s&gt;" &amp; SUBSTITUTE(M27," / ","&lt;/s&gt;&lt;s&gt;") &amp; "&lt;/s&gt;&lt;/t&gt;","(//s[contains(.,'DDR')])[1]"),"")</f>
        <v/>
      </c>
      <c r="P27" t="e">
        <f t="shared" si="1"/>
        <v>#N/A</v>
      </c>
      <c r="Q27" t="str" cm="1">
        <f t="array" ref="Q27">_xlfn.TEXTJOIN(", ", TRUE, _xlfn._xlws.FILTER(Input!W:W, Input!J:J=B27))</f>
        <v/>
      </c>
      <c r="S27" s="13" t="str">
        <f>_xlfn.LET(_xlpm.Result,_xlfn.XLOOKUP(B27,Input!J:J,Input!AB:AB),IF(_xlpm.Result="","",_xlpm.Result))</f>
        <v/>
      </c>
      <c r="T27" s="13" t="str" cm="1">
        <f t="array" ref="T27">IFERROR(_xlfn.IFS(
   --S27&lt;55,"Battery Defect",
  -- S27&lt;=69,"Battery D",
  --S27&lt;=80,"Battery C",
 --S27&gt;80,""
),"")</f>
        <v/>
      </c>
      <c r="U27" s="13" t="str" cm="1">
        <f t="array" ref="U27:Z27">IFERROR(IF(_xlfn.XLOOKUP(B27,Input!J:J,Input!N:S)=0,"",
          _xlfn.XLOOKUP(B27,Input!J:J,Input!N:S)),"")</f>
        <v/>
      </c>
      <c r="V27" s="13" t="str">
        <v/>
      </c>
      <c r="W27" s="13" t="str">
        <v/>
      </c>
      <c r="X27" s="13" t="str">
        <v/>
      </c>
      <c r="Y27" s="13" t="str">
        <v/>
      </c>
      <c r="Z27" s="13" t="str">
        <v/>
      </c>
      <c r="AA27" t="str">
        <f t="shared" si="2"/>
        <v/>
      </c>
      <c r="AB27" t="str">
        <f>_xlfn.XLOOKUP(B:B,Disk_Pivot!G:G,Disk_Pivot!I:I)</f>
        <v>No</v>
      </c>
      <c r="AC27" t="str">
        <f>_xlfn.XLOOKUP(B27,Disk_Pivot!G:G,Disk_Pivot!N:N)</f>
        <v/>
      </c>
    </row>
    <row r="28" spans="1:29">
      <c r="A28" t="str">
        <f>_xlfn.TEXTJOIN("",TRUE,_xlfn.XLOOKUP(B28,Input!J:J,Input!G:G,"",0,1),_xlfn.XLOOKUP(B28,Input!J:J,Input!H:H,"",0,1))</f>
        <v/>
      </c>
      <c r="C28" s="13">
        <f>_xlfn.XLOOKUP(B28,Input!J:J,Input!F:F)</f>
        <v>0</v>
      </c>
      <c r="D28">
        <f>_xlfn.XLOOKUP(C28,Models!H:H,Models!G:G,C28)</f>
        <v>0</v>
      </c>
      <c r="F28" t="str">
        <f>_xlfn.XLOOKUP(H28,Models!B:B,Models!F:F,"")</f>
        <v/>
      </c>
      <c r="G28">
        <f>_xlfn.XLOOKUP(B28,Input!J:J,Input!E:E)</f>
        <v>0</v>
      </c>
      <c r="H28">
        <f>IF(G28="LENOVO",_xlfn.XLOOKUP(B28,Input!J:J,Input!K:K),_xlfn.XLOOKUP(B28,Input!J:J,Input!L:L))</f>
        <v>0</v>
      </c>
      <c r="K28">
        <f>_xlfn.XLOOKUP(B28,CPU_Formula!A:A,CPU_Formula!I:I)</f>
        <v>0</v>
      </c>
      <c r="L28" s="13" t="e">
        <f>INDEX(Input!$D$2:$AD$500,
       MATCH(B28, Input!$J$2:$J$500, 0),
       MATCH("Memory Capacity", Input!$D$1:$AD$1, 0))</f>
        <v>#N/A</v>
      </c>
      <c r="M28" s="13" t="e">
        <f>INDEX(Input!$D$2:$AD$500,
       MATCH(B28, Input!$J$2:$J$500, 0),
       MATCH("Memory Type", Input!$D$1:$AD$1, 0))</f>
        <v>#N/A</v>
      </c>
      <c r="N28" s="13" t="e">
        <f t="shared" si="0"/>
        <v>#N/A</v>
      </c>
      <c r="O28" s="13" t="str" cm="1">
        <f t="array" ref="O28">IFERROR(_xlfn.FILTERXML("&lt;t&gt;&lt;s&gt;" &amp; SUBSTITUTE(M28," / ","&lt;/s&gt;&lt;s&gt;") &amp; "&lt;/s&gt;&lt;/t&gt;","(//s[contains(.,'DDR')])[1]"),"")</f>
        <v/>
      </c>
      <c r="P28" t="e">
        <f t="shared" si="1"/>
        <v>#N/A</v>
      </c>
      <c r="Q28" t="str" cm="1">
        <f t="array" ref="Q28">_xlfn.TEXTJOIN(", ", TRUE, _xlfn._xlws.FILTER(Input!W:W, Input!J:J=B28))</f>
        <v/>
      </c>
      <c r="S28" s="13" t="str">
        <f>_xlfn.LET(_xlpm.Result,_xlfn.XLOOKUP(B28,Input!J:J,Input!AB:AB),IF(_xlpm.Result="","",_xlpm.Result))</f>
        <v/>
      </c>
      <c r="T28" s="13" t="str" cm="1">
        <f t="array" ref="T28">IFERROR(_xlfn.IFS(
   --S28&lt;55,"Battery Defect",
  -- S28&lt;=69,"Battery D",
  --S28&lt;=80,"Battery C",
 --S28&gt;80,""
),"")</f>
        <v/>
      </c>
      <c r="U28" s="13" t="str" cm="1">
        <f t="array" ref="U28:Z28">IFERROR(IF(_xlfn.XLOOKUP(B28,Input!J:J,Input!N:S)=0,"",
          _xlfn.XLOOKUP(B28,Input!J:J,Input!N:S)),"")</f>
        <v/>
      </c>
      <c r="V28" s="13" t="str">
        <v/>
      </c>
      <c r="W28" s="13" t="str">
        <v/>
      </c>
      <c r="X28" s="13" t="str">
        <v/>
      </c>
      <c r="Y28" s="13" t="str">
        <v/>
      </c>
      <c r="Z28" s="13" t="str">
        <v/>
      </c>
      <c r="AA28" t="str">
        <f t="shared" si="2"/>
        <v/>
      </c>
      <c r="AB28" t="str">
        <f>_xlfn.XLOOKUP(B:B,Disk_Pivot!G:G,Disk_Pivot!I:I)</f>
        <v>No</v>
      </c>
      <c r="AC28" t="str">
        <f>_xlfn.XLOOKUP(B28,Disk_Pivot!G:G,Disk_Pivot!N:N)</f>
        <v/>
      </c>
    </row>
    <row r="29" spans="1:29">
      <c r="A29" t="str">
        <f>_xlfn.TEXTJOIN("",TRUE,_xlfn.XLOOKUP(B29,Input!J:J,Input!G:G,"",0,1),_xlfn.XLOOKUP(B29,Input!J:J,Input!H:H,"",0,1))</f>
        <v/>
      </c>
      <c r="C29" s="13">
        <f>_xlfn.XLOOKUP(B29,Input!J:J,Input!F:F)</f>
        <v>0</v>
      </c>
      <c r="D29">
        <f>_xlfn.XLOOKUP(C29,Models!H:H,Models!G:G,C29)</f>
        <v>0</v>
      </c>
      <c r="F29" t="str">
        <f>_xlfn.XLOOKUP(H29,Models!B:B,Models!F:F,"")</f>
        <v/>
      </c>
      <c r="G29">
        <f>_xlfn.XLOOKUP(B29,Input!J:J,Input!E:E)</f>
        <v>0</v>
      </c>
      <c r="H29">
        <f>IF(G29="LENOVO",_xlfn.XLOOKUP(B29,Input!J:J,Input!K:K),_xlfn.XLOOKUP(B29,Input!J:J,Input!L:L))</f>
        <v>0</v>
      </c>
      <c r="K29">
        <f>_xlfn.XLOOKUP(B29,CPU_Formula!A:A,CPU_Formula!I:I)</f>
        <v>0</v>
      </c>
      <c r="L29" s="13" t="e">
        <f>INDEX(Input!$D$2:$AD$500,
       MATCH(B29, Input!$J$2:$J$500, 0),
       MATCH("Memory Capacity", Input!$D$1:$AD$1, 0))</f>
        <v>#N/A</v>
      </c>
      <c r="M29" s="13" t="e">
        <f>INDEX(Input!$D$2:$AD$500,
       MATCH(B29, Input!$J$2:$J$500, 0),
       MATCH("Memory Type", Input!$D$1:$AD$1, 0))</f>
        <v>#N/A</v>
      </c>
      <c r="N29" s="13" t="e">
        <f t="shared" si="0"/>
        <v>#N/A</v>
      </c>
      <c r="O29" s="13" t="str" cm="1">
        <f t="array" ref="O29">IFERROR(_xlfn.FILTERXML("&lt;t&gt;&lt;s&gt;" &amp; SUBSTITUTE(M29," / ","&lt;/s&gt;&lt;s&gt;") &amp; "&lt;/s&gt;&lt;/t&gt;","(//s[contains(.,'DDR')])[1]"),"")</f>
        <v/>
      </c>
      <c r="P29" t="e">
        <f t="shared" si="1"/>
        <v>#N/A</v>
      </c>
      <c r="Q29" t="str" cm="1">
        <f t="array" ref="Q29">_xlfn.TEXTJOIN(", ", TRUE, _xlfn._xlws.FILTER(Input!W:W, Input!J:J=B29))</f>
        <v/>
      </c>
      <c r="S29" s="13" t="str">
        <f>_xlfn.LET(_xlpm.Result,_xlfn.XLOOKUP(B29,Input!J:J,Input!AB:AB),IF(_xlpm.Result="","",_xlpm.Result))</f>
        <v/>
      </c>
      <c r="T29" s="13" t="str" cm="1">
        <f t="array" ref="T29">IFERROR(_xlfn.IFS(
   --S29&lt;55,"Battery Defect",
  -- S29&lt;=69,"Battery D",
  --S29&lt;=80,"Battery C",
 --S29&gt;80,""
),"")</f>
        <v/>
      </c>
      <c r="U29" s="13" t="str" cm="1">
        <f t="array" ref="U29:Z29">IFERROR(IF(_xlfn.XLOOKUP(B29,Input!J:J,Input!N:S)=0,"",
          _xlfn.XLOOKUP(B29,Input!J:J,Input!N:S)),"")</f>
        <v/>
      </c>
      <c r="V29" s="13" t="str">
        <v/>
      </c>
      <c r="W29" s="13" t="str">
        <v/>
      </c>
      <c r="X29" s="13" t="str">
        <v/>
      </c>
      <c r="Y29" s="13" t="str">
        <v/>
      </c>
      <c r="Z29" s="13" t="str">
        <v/>
      </c>
      <c r="AA29" t="str">
        <f t="shared" si="2"/>
        <v/>
      </c>
      <c r="AB29" t="str">
        <f>_xlfn.XLOOKUP(B:B,Disk_Pivot!G:G,Disk_Pivot!I:I)</f>
        <v>No</v>
      </c>
      <c r="AC29" t="str">
        <f>_xlfn.XLOOKUP(B29,Disk_Pivot!G:G,Disk_Pivot!N:N)</f>
        <v/>
      </c>
    </row>
    <row r="30" spans="1:29">
      <c r="A30" t="str">
        <f>_xlfn.TEXTJOIN("",TRUE,_xlfn.XLOOKUP(B30,Input!J:J,Input!G:G,"",0,1),_xlfn.XLOOKUP(B30,Input!J:J,Input!H:H,"",0,1))</f>
        <v/>
      </c>
      <c r="C30" s="13">
        <f>_xlfn.XLOOKUP(B30,Input!J:J,Input!F:F)</f>
        <v>0</v>
      </c>
      <c r="D30">
        <f>_xlfn.XLOOKUP(C30,Models!H:H,Models!G:G,C30)</f>
        <v>0</v>
      </c>
      <c r="F30" t="str">
        <f>_xlfn.XLOOKUP(H30,Models!B:B,Models!F:F,"")</f>
        <v/>
      </c>
      <c r="G30">
        <f>_xlfn.XLOOKUP(B30,Input!J:J,Input!E:E)</f>
        <v>0</v>
      </c>
      <c r="H30">
        <f>IF(G30="LENOVO",_xlfn.XLOOKUP(B30,Input!J:J,Input!K:K),_xlfn.XLOOKUP(B30,Input!J:J,Input!L:L))</f>
        <v>0</v>
      </c>
      <c r="K30">
        <f>_xlfn.XLOOKUP(B30,CPU_Formula!A:A,CPU_Formula!I:I)</f>
        <v>0</v>
      </c>
      <c r="L30" s="13" t="e">
        <f>INDEX(Input!$D$2:$AD$500,
       MATCH(B30, Input!$J$2:$J$500, 0),
       MATCH("Memory Capacity", Input!$D$1:$AD$1, 0))</f>
        <v>#N/A</v>
      </c>
      <c r="M30" s="13" t="e">
        <f>INDEX(Input!$D$2:$AD$500,
       MATCH(B30, Input!$J$2:$J$500, 0),
       MATCH("Memory Type", Input!$D$1:$AD$1, 0))</f>
        <v>#N/A</v>
      </c>
      <c r="N30" s="13" t="e">
        <f t="shared" si="0"/>
        <v>#N/A</v>
      </c>
      <c r="O30" s="13" t="str" cm="1">
        <f t="array" ref="O30">IFERROR(_xlfn.FILTERXML("&lt;t&gt;&lt;s&gt;" &amp; SUBSTITUTE(M30," / ","&lt;/s&gt;&lt;s&gt;") &amp; "&lt;/s&gt;&lt;/t&gt;","(//s[contains(.,'DDR')])[1]"),"")</f>
        <v/>
      </c>
      <c r="P30" t="e">
        <f t="shared" si="1"/>
        <v>#N/A</v>
      </c>
      <c r="Q30" t="str" cm="1">
        <f t="array" ref="Q30">_xlfn.TEXTJOIN(", ", TRUE, _xlfn._xlws.FILTER(Input!W:W, Input!J:J=B30))</f>
        <v/>
      </c>
      <c r="S30" s="13" t="str">
        <f>_xlfn.LET(_xlpm.Result,_xlfn.XLOOKUP(B30,Input!J:J,Input!AB:AB),IF(_xlpm.Result="","",_xlpm.Result))</f>
        <v/>
      </c>
      <c r="T30" s="13" t="str" cm="1">
        <f t="array" ref="T30">IFERROR(_xlfn.IFS(
   --S30&lt;55,"Battery Defect",
  -- S30&lt;=69,"Battery D",
  --S30&lt;=80,"Battery C",
 --S30&gt;80,""
),"")</f>
        <v/>
      </c>
      <c r="U30" s="13" t="str" cm="1">
        <f t="array" ref="U30:Z30">IFERROR(IF(_xlfn.XLOOKUP(B30,Input!J:J,Input!N:S)=0,"",
          _xlfn.XLOOKUP(B30,Input!J:J,Input!N:S)),"")</f>
        <v/>
      </c>
      <c r="V30" s="13" t="str">
        <v/>
      </c>
      <c r="W30" s="13" t="str">
        <v/>
      </c>
      <c r="X30" s="13" t="str">
        <v/>
      </c>
      <c r="Y30" s="13" t="str">
        <v/>
      </c>
      <c r="Z30" s="13" t="str">
        <v/>
      </c>
      <c r="AA30" t="str">
        <f t="shared" si="2"/>
        <v/>
      </c>
      <c r="AB30" t="str">
        <f>_xlfn.XLOOKUP(B:B,Disk_Pivot!G:G,Disk_Pivot!I:I)</f>
        <v>No</v>
      </c>
      <c r="AC30" t="str">
        <f>_xlfn.XLOOKUP(B30,Disk_Pivot!G:G,Disk_Pivot!N:N)</f>
        <v/>
      </c>
    </row>
    <row r="31" spans="1:29">
      <c r="A31" t="str">
        <f>_xlfn.TEXTJOIN("",TRUE,_xlfn.XLOOKUP(B31,Input!J:J,Input!G:G,"",0,1),_xlfn.XLOOKUP(B31,Input!J:J,Input!H:H,"",0,1))</f>
        <v/>
      </c>
      <c r="C31" s="13">
        <f>_xlfn.XLOOKUP(B31,Input!J:J,Input!F:F)</f>
        <v>0</v>
      </c>
      <c r="D31">
        <f>_xlfn.XLOOKUP(C31,Models!H:H,Models!G:G,C31)</f>
        <v>0</v>
      </c>
      <c r="F31" t="str">
        <f>_xlfn.XLOOKUP(H31,Models!B:B,Models!F:F,"")</f>
        <v/>
      </c>
      <c r="G31">
        <f>_xlfn.XLOOKUP(B31,Input!J:J,Input!E:E)</f>
        <v>0</v>
      </c>
      <c r="H31">
        <f>IF(G31="LENOVO",_xlfn.XLOOKUP(B31,Input!J:J,Input!K:K),_xlfn.XLOOKUP(B31,Input!J:J,Input!L:L))</f>
        <v>0</v>
      </c>
      <c r="K31">
        <f>_xlfn.XLOOKUP(B31,CPU_Formula!A:A,CPU_Formula!I:I)</f>
        <v>0</v>
      </c>
      <c r="L31" s="13" t="e">
        <f>INDEX(Input!$D$2:$AD$500,
       MATCH(B31, Input!$J$2:$J$500, 0),
       MATCH("Memory Capacity", Input!$D$1:$AD$1, 0))</f>
        <v>#N/A</v>
      </c>
      <c r="M31" s="13" t="e">
        <f>INDEX(Input!$D$2:$AD$500,
       MATCH(B31, Input!$J$2:$J$500, 0),
       MATCH("Memory Type", Input!$D$1:$AD$1, 0))</f>
        <v>#N/A</v>
      </c>
      <c r="N31" s="13" t="e">
        <f t="shared" si="0"/>
        <v>#N/A</v>
      </c>
      <c r="O31" s="13" t="str" cm="1">
        <f t="array" ref="O31">IFERROR(_xlfn.FILTERXML("&lt;t&gt;&lt;s&gt;" &amp; SUBSTITUTE(M31," / ","&lt;/s&gt;&lt;s&gt;") &amp; "&lt;/s&gt;&lt;/t&gt;","(//s[contains(.,'DDR')])[1]"),"")</f>
        <v/>
      </c>
      <c r="P31" t="e">
        <f t="shared" si="1"/>
        <v>#N/A</v>
      </c>
      <c r="Q31" t="str" cm="1">
        <f t="array" ref="Q31">_xlfn.TEXTJOIN(", ", TRUE, _xlfn._xlws.FILTER(Input!W:W, Input!J:J=B31))</f>
        <v/>
      </c>
      <c r="S31" s="13" t="str">
        <f>_xlfn.LET(_xlpm.Result,_xlfn.XLOOKUP(B31,Input!J:J,Input!AB:AB),IF(_xlpm.Result="","",_xlpm.Result))</f>
        <v/>
      </c>
      <c r="T31" s="13" t="str" cm="1">
        <f t="array" ref="T31">IFERROR(_xlfn.IFS(
   --S31&lt;55,"Battery Defect",
  -- S31&lt;=69,"Battery D",
  --S31&lt;=80,"Battery C",
 --S31&gt;80,""
),"")</f>
        <v/>
      </c>
      <c r="U31" s="13" t="str" cm="1">
        <f t="array" ref="U31:Z31">IFERROR(IF(_xlfn.XLOOKUP(B31,Input!J:J,Input!N:S)=0,"",
          _xlfn.XLOOKUP(B31,Input!J:J,Input!N:S)),"")</f>
        <v/>
      </c>
      <c r="V31" s="13" t="str">
        <v/>
      </c>
      <c r="W31" s="13" t="str">
        <v/>
      </c>
      <c r="X31" s="13" t="str">
        <v/>
      </c>
      <c r="Y31" s="13" t="str">
        <v/>
      </c>
      <c r="Z31" s="13" t="str">
        <v/>
      </c>
      <c r="AA31" t="str">
        <f t="shared" si="2"/>
        <v/>
      </c>
      <c r="AB31" t="str">
        <f>_xlfn.XLOOKUP(B:B,Disk_Pivot!G:G,Disk_Pivot!I:I)</f>
        <v>No</v>
      </c>
      <c r="AC31" t="str">
        <f>_xlfn.XLOOKUP(B31,Disk_Pivot!G:G,Disk_Pivot!N:N)</f>
        <v/>
      </c>
    </row>
    <row r="32" spans="1:29">
      <c r="A32" t="str">
        <f>_xlfn.TEXTJOIN("",TRUE,_xlfn.XLOOKUP(B32,Input!J:J,Input!G:G,"",0,1),_xlfn.XLOOKUP(B32,Input!J:J,Input!H:H,"",0,1))</f>
        <v/>
      </c>
      <c r="C32" s="13">
        <f>_xlfn.XLOOKUP(B32,Input!J:J,Input!F:F)</f>
        <v>0</v>
      </c>
      <c r="D32">
        <f>_xlfn.XLOOKUP(C32,Models!H:H,Models!G:G,C32)</f>
        <v>0</v>
      </c>
      <c r="F32" t="str">
        <f>_xlfn.XLOOKUP(H32,Models!B:B,Models!F:F,"")</f>
        <v/>
      </c>
      <c r="G32">
        <f>_xlfn.XLOOKUP(B32,Input!J:J,Input!E:E)</f>
        <v>0</v>
      </c>
      <c r="H32">
        <f>IF(G32="LENOVO",_xlfn.XLOOKUP(B32,Input!J:J,Input!K:K),_xlfn.XLOOKUP(B32,Input!J:J,Input!L:L))</f>
        <v>0</v>
      </c>
      <c r="K32">
        <f>_xlfn.XLOOKUP(B32,CPU_Formula!A:A,CPU_Formula!I:I)</f>
        <v>0</v>
      </c>
      <c r="L32" s="13" t="e">
        <f>INDEX(Input!$D$2:$AD$500,
       MATCH(B32, Input!$J$2:$J$500, 0),
       MATCH("Memory Capacity", Input!$D$1:$AD$1, 0))</f>
        <v>#N/A</v>
      </c>
      <c r="M32" s="13" t="e">
        <f>INDEX(Input!$D$2:$AD$500,
       MATCH(B32, Input!$J$2:$J$500, 0),
       MATCH("Memory Type", Input!$D$1:$AD$1, 0))</f>
        <v>#N/A</v>
      </c>
      <c r="N32" s="13" t="e">
        <f t="shared" si="0"/>
        <v>#N/A</v>
      </c>
      <c r="O32" s="13" t="str" cm="1">
        <f t="array" ref="O32">IFERROR(_xlfn.FILTERXML("&lt;t&gt;&lt;s&gt;" &amp; SUBSTITUTE(M32," / ","&lt;/s&gt;&lt;s&gt;") &amp; "&lt;/s&gt;&lt;/t&gt;","(//s[contains(.,'DDR')])[1]"),"")</f>
        <v/>
      </c>
      <c r="P32" t="e">
        <f t="shared" si="1"/>
        <v>#N/A</v>
      </c>
      <c r="Q32" t="str" cm="1">
        <f t="array" ref="Q32">_xlfn.TEXTJOIN(", ", TRUE, _xlfn._xlws.FILTER(Input!W:W, Input!J:J=B32))</f>
        <v/>
      </c>
      <c r="S32" s="13" t="str">
        <f>_xlfn.LET(_xlpm.Result,_xlfn.XLOOKUP(B32,Input!J:J,Input!AB:AB),IF(_xlpm.Result="","",_xlpm.Result))</f>
        <v/>
      </c>
      <c r="T32" s="13" t="str" cm="1">
        <f t="array" ref="T32">IFERROR(_xlfn.IFS(
   --S32&lt;55,"Battery Defect",
  -- S32&lt;=69,"Battery D",
  --S32&lt;=80,"Battery C",
 --S32&gt;80,""
),"")</f>
        <v/>
      </c>
      <c r="U32" s="13" t="str" cm="1">
        <f t="array" ref="U32:Z32">IFERROR(IF(_xlfn.XLOOKUP(B32,Input!J:J,Input!N:S)=0,"",
          _xlfn.XLOOKUP(B32,Input!J:J,Input!N:S)),"")</f>
        <v/>
      </c>
      <c r="V32" s="13" t="str">
        <v/>
      </c>
      <c r="W32" s="13" t="str">
        <v/>
      </c>
      <c r="X32" s="13" t="str">
        <v/>
      </c>
      <c r="Y32" s="13" t="str">
        <v/>
      </c>
      <c r="Z32" s="13" t="str">
        <v/>
      </c>
      <c r="AA32" t="str">
        <f t="shared" si="2"/>
        <v/>
      </c>
      <c r="AB32" t="str">
        <f>_xlfn.XLOOKUP(B:B,Disk_Pivot!G:G,Disk_Pivot!I:I)</f>
        <v>No</v>
      </c>
      <c r="AC32" t="str">
        <f>_xlfn.XLOOKUP(B32,Disk_Pivot!G:G,Disk_Pivot!N:N)</f>
        <v/>
      </c>
    </row>
    <row r="33" spans="1:29">
      <c r="A33" t="str">
        <f>_xlfn.TEXTJOIN("",TRUE,_xlfn.XLOOKUP(B33,Input!J:J,Input!G:G,"",0,1),_xlfn.XLOOKUP(B33,Input!J:J,Input!H:H,"",0,1))</f>
        <v/>
      </c>
      <c r="C33" s="13">
        <f>_xlfn.XLOOKUP(B33,Input!J:J,Input!F:F)</f>
        <v>0</v>
      </c>
      <c r="D33">
        <f>_xlfn.XLOOKUP(C33,Models!H:H,Models!G:G,C33)</f>
        <v>0</v>
      </c>
      <c r="F33" t="str">
        <f>_xlfn.XLOOKUP(H33,Models!B:B,Models!F:F,"")</f>
        <v/>
      </c>
      <c r="G33">
        <f>_xlfn.XLOOKUP(B33,Input!J:J,Input!E:E)</f>
        <v>0</v>
      </c>
      <c r="H33">
        <f>IF(G33="LENOVO",_xlfn.XLOOKUP(B33,Input!J:J,Input!K:K),_xlfn.XLOOKUP(B33,Input!J:J,Input!L:L))</f>
        <v>0</v>
      </c>
      <c r="K33">
        <f>_xlfn.XLOOKUP(B33,CPU_Formula!A:A,CPU_Formula!I:I)</f>
        <v>0</v>
      </c>
      <c r="L33" s="13" t="e">
        <f>INDEX(Input!$D$2:$AD$500,
       MATCH(B33, Input!$J$2:$J$500, 0),
       MATCH("Memory Capacity", Input!$D$1:$AD$1, 0))</f>
        <v>#N/A</v>
      </c>
      <c r="M33" s="13" t="e">
        <f>INDEX(Input!$D$2:$AD$500,
       MATCH(B33, Input!$J$2:$J$500, 0),
       MATCH("Memory Type", Input!$D$1:$AD$1, 0))</f>
        <v>#N/A</v>
      </c>
      <c r="N33" s="13" t="e">
        <f t="shared" si="0"/>
        <v>#N/A</v>
      </c>
      <c r="O33" s="13" t="str" cm="1">
        <f t="array" ref="O33">IFERROR(_xlfn.FILTERXML("&lt;t&gt;&lt;s&gt;" &amp; SUBSTITUTE(M33," / ","&lt;/s&gt;&lt;s&gt;") &amp; "&lt;/s&gt;&lt;/t&gt;","(//s[contains(.,'DDR')])[1]"),"")</f>
        <v/>
      </c>
      <c r="P33" t="e">
        <f t="shared" si="1"/>
        <v>#N/A</v>
      </c>
      <c r="Q33" t="str" cm="1">
        <f t="array" ref="Q33">_xlfn.TEXTJOIN(", ", TRUE, _xlfn._xlws.FILTER(Input!W:W, Input!J:J=B33))</f>
        <v/>
      </c>
      <c r="S33" s="13" t="str">
        <f>_xlfn.LET(_xlpm.Result,_xlfn.XLOOKUP(B33,Input!J:J,Input!AB:AB),IF(_xlpm.Result="","",_xlpm.Result))</f>
        <v/>
      </c>
      <c r="T33" s="13" t="str" cm="1">
        <f t="array" ref="T33">IFERROR(_xlfn.IFS(
   --S33&lt;55,"Battery Defect",
  -- S33&lt;=69,"Battery D",
  --S33&lt;=80,"Battery C",
 --S33&gt;80,""
),"")</f>
        <v/>
      </c>
      <c r="U33" s="13" t="str" cm="1">
        <f t="array" ref="U33:Z33">IFERROR(IF(_xlfn.XLOOKUP(B33,Input!J:J,Input!N:S)=0,"",
          _xlfn.XLOOKUP(B33,Input!J:J,Input!N:S)),"")</f>
        <v/>
      </c>
      <c r="V33" s="13" t="str">
        <v/>
      </c>
      <c r="W33" s="13" t="str">
        <v/>
      </c>
      <c r="X33" s="13" t="str">
        <v/>
      </c>
      <c r="Y33" s="13" t="str">
        <v/>
      </c>
      <c r="Z33" s="13" t="str">
        <v/>
      </c>
      <c r="AA33" t="str">
        <f t="shared" si="2"/>
        <v/>
      </c>
      <c r="AB33" t="str">
        <f>_xlfn.XLOOKUP(B:B,Disk_Pivot!G:G,Disk_Pivot!I:I)</f>
        <v>No</v>
      </c>
      <c r="AC33" t="str">
        <f>_xlfn.XLOOKUP(B33,Disk_Pivot!G:G,Disk_Pivot!N:N)</f>
        <v/>
      </c>
    </row>
    <row r="34" spans="1:29">
      <c r="A34" t="str">
        <f>_xlfn.TEXTJOIN("",TRUE,_xlfn.XLOOKUP(B34,Input!J:J,Input!G:G,"",0,1),_xlfn.XLOOKUP(B34,Input!J:J,Input!H:H,"",0,1))</f>
        <v/>
      </c>
      <c r="C34" s="13">
        <f>_xlfn.XLOOKUP(B34,Input!J:J,Input!F:F)</f>
        <v>0</v>
      </c>
      <c r="D34">
        <f>_xlfn.XLOOKUP(C34,Models!H:H,Models!G:G,C34)</f>
        <v>0</v>
      </c>
      <c r="F34" t="str">
        <f>_xlfn.XLOOKUP(H34,Models!B:B,Models!F:F,"")</f>
        <v/>
      </c>
      <c r="G34">
        <f>_xlfn.XLOOKUP(B34,Input!J:J,Input!E:E)</f>
        <v>0</v>
      </c>
      <c r="H34">
        <f>IF(G34="LENOVO",_xlfn.XLOOKUP(B34,Input!J:J,Input!K:K),_xlfn.XLOOKUP(B34,Input!J:J,Input!L:L))</f>
        <v>0</v>
      </c>
      <c r="K34">
        <f>_xlfn.XLOOKUP(B34,CPU_Formula!A:A,CPU_Formula!I:I)</f>
        <v>0</v>
      </c>
      <c r="L34" s="13" t="e">
        <f>INDEX(Input!$D$2:$AD$500,
       MATCH(B34, Input!$J$2:$J$500, 0),
       MATCH("Memory Capacity", Input!$D$1:$AD$1, 0))</f>
        <v>#N/A</v>
      </c>
      <c r="M34" s="13" t="e">
        <f>INDEX(Input!$D$2:$AD$500,
       MATCH(B34, Input!$J$2:$J$500, 0),
       MATCH("Memory Type", Input!$D$1:$AD$1, 0))</f>
        <v>#N/A</v>
      </c>
      <c r="N34" s="13" t="e">
        <f t="shared" si="0"/>
        <v>#N/A</v>
      </c>
      <c r="O34" s="13" t="str" cm="1">
        <f t="array" ref="O34">IFERROR(_xlfn.FILTERXML("&lt;t&gt;&lt;s&gt;" &amp; SUBSTITUTE(M34," / ","&lt;/s&gt;&lt;s&gt;") &amp; "&lt;/s&gt;&lt;/t&gt;","(//s[contains(.,'DDR')])[1]"),"")</f>
        <v/>
      </c>
      <c r="P34" t="e">
        <f t="shared" si="1"/>
        <v>#N/A</v>
      </c>
      <c r="Q34" t="str" cm="1">
        <f t="array" ref="Q34">_xlfn.TEXTJOIN(", ", TRUE, _xlfn._xlws.FILTER(Input!W:W, Input!J:J=B34))</f>
        <v/>
      </c>
      <c r="S34" s="13" t="str">
        <f>_xlfn.LET(_xlpm.Result,_xlfn.XLOOKUP(B34,Input!J:J,Input!AB:AB),IF(_xlpm.Result="","",_xlpm.Result))</f>
        <v/>
      </c>
      <c r="T34" s="13" t="str" cm="1">
        <f t="array" ref="T34">IFERROR(_xlfn.IFS(
   --S34&lt;55,"Battery Defect",
  -- S34&lt;=69,"Battery D",
  --S34&lt;=80,"Battery C",
 --S34&gt;80,""
),"")</f>
        <v/>
      </c>
      <c r="U34" s="13" t="str" cm="1">
        <f t="array" ref="U34:Z34">IFERROR(IF(_xlfn.XLOOKUP(B34,Input!J:J,Input!N:S)=0,"",
          _xlfn.XLOOKUP(B34,Input!J:J,Input!N:S)),"")</f>
        <v/>
      </c>
      <c r="V34" s="13" t="str">
        <v/>
      </c>
      <c r="W34" s="13" t="str">
        <v/>
      </c>
      <c r="X34" s="13" t="str">
        <v/>
      </c>
      <c r="Y34" s="13" t="str">
        <v/>
      </c>
      <c r="Z34" s="13" t="str">
        <v/>
      </c>
      <c r="AA34" t="str">
        <f t="shared" si="2"/>
        <v/>
      </c>
      <c r="AB34" t="str">
        <f>_xlfn.XLOOKUP(B:B,Disk_Pivot!G:G,Disk_Pivot!I:I)</f>
        <v>No</v>
      </c>
      <c r="AC34" t="str">
        <f>_xlfn.XLOOKUP(B34,Disk_Pivot!G:G,Disk_Pivot!N:N)</f>
        <v/>
      </c>
    </row>
    <row r="35" spans="1:29">
      <c r="A35" t="str">
        <f>_xlfn.TEXTJOIN("",TRUE,_xlfn.XLOOKUP(B35,Input!J:J,Input!G:G,"",0,1),_xlfn.XLOOKUP(B35,Input!J:J,Input!H:H,"",0,1))</f>
        <v/>
      </c>
      <c r="C35" s="13">
        <f>_xlfn.XLOOKUP(B35,Input!J:J,Input!F:F)</f>
        <v>0</v>
      </c>
      <c r="D35">
        <f>_xlfn.XLOOKUP(C35,Models!H:H,Models!G:G,C35)</f>
        <v>0</v>
      </c>
      <c r="F35" t="str">
        <f>_xlfn.XLOOKUP(H35,Models!B:B,Models!F:F,"")</f>
        <v/>
      </c>
      <c r="G35">
        <f>_xlfn.XLOOKUP(B35,Input!J:J,Input!E:E)</f>
        <v>0</v>
      </c>
      <c r="H35">
        <f>IF(G35="LENOVO",_xlfn.XLOOKUP(B35,Input!J:J,Input!K:K),_xlfn.XLOOKUP(B35,Input!J:J,Input!L:L))</f>
        <v>0</v>
      </c>
      <c r="K35">
        <f>_xlfn.XLOOKUP(B35,CPU_Formula!A:A,CPU_Formula!I:I)</f>
        <v>0</v>
      </c>
      <c r="L35" s="13" t="e">
        <f>INDEX(Input!$D$2:$AD$500,
       MATCH(B35, Input!$J$2:$J$500, 0),
       MATCH("Memory Capacity", Input!$D$1:$AD$1, 0))</f>
        <v>#N/A</v>
      </c>
      <c r="M35" s="13" t="e">
        <f>INDEX(Input!$D$2:$AD$500,
       MATCH(B35, Input!$J$2:$J$500, 0),
       MATCH("Memory Type", Input!$D$1:$AD$1, 0))</f>
        <v>#N/A</v>
      </c>
      <c r="N35" s="13" t="e">
        <f t="shared" si="0"/>
        <v>#N/A</v>
      </c>
      <c r="O35" s="13" t="str" cm="1">
        <f t="array" ref="O35">IFERROR(_xlfn.FILTERXML("&lt;t&gt;&lt;s&gt;" &amp; SUBSTITUTE(M35," / ","&lt;/s&gt;&lt;s&gt;") &amp; "&lt;/s&gt;&lt;/t&gt;","(//s[contains(.,'DDR')])[1]"),"")</f>
        <v/>
      </c>
      <c r="P35" t="e">
        <f t="shared" si="1"/>
        <v>#N/A</v>
      </c>
      <c r="Q35" t="str" cm="1">
        <f t="array" ref="Q35">_xlfn.TEXTJOIN(", ", TRUE, _xlfn._xlws.FILTER(Input!W:W, Input!J:J=B35))</f>
        <v/>
      </c>
      <c r="S35" s="13" t="str">
        <f>_xlfn.LET(_xlpm.Result,_xlfn.XLOOKUP(B35,Input!J:J,Input!AB:AB),IF(_xlpm.Result="","",_xlpm.Result))</f>
        <v/>
      </c>
      <c r="T35" s="13" t="str" cm="1">
        <f t="array" ref="T35">IFERROR(_xlfn.IFS(
   --S35&lt;55,"Battery Defect",
  -- S35&lt;=69,"Battery D",
  --S35&lt;=80,"Battery C",
 --S35&gt;80,""
),"")</f>
        <v/>
      </c>
      <c r="U35" s="13" t="str" cm="1">
        <f t="array" ref="U35:Z35">IFERROR(IF(_xlfn.XLOOKUP(B35,Input!J:J,Input!N:S)=0,"",
          _xlfn.XLOOKUP(B35,Input!J:J,Input!N:S)),"")</f>
        <v/>
      </c>
      <c r="V35" s="13" t="str">
        <v/>
      </c>
      <c r="W35" s="13" t="str">
        <v/>
      </c>
      <c r="X35" s="13" t="str">
        <v/>
      </c>
      <c r="Y35" s="13" t="str">
        <v/>
      </c>
      <c r="Z35" s="13" t="str">
        <v/>
      </c>
      <c r="AA35" t="str">
        <f t="shared" si="2"/>
        <v/>
      </c>
      <c r="AB35" t="str">
        <f>_xlfn.XLOOKUP(B:B,Disk_Pivot!G:G,Disk_Pivot!I:I)</f>
        <v>No</v>
      </c>
      <c r="AC35" t="str">
        <f>_xlfn.XLOOKUP(B35,Disk_Pivot!G:G,Disk_Pivot!N:N)</f>
        <v/>
      </c>
    </row>
    <row r="36" spans="1:29">
      <c r="A36" t="str">
        <f>_xlfn.TEXTJOIN("",TRUE,_xlfn.XLOOKUP(B36,Input!J:J,Input!G:G,"",0,1),_xlfn.XLOOKUP(B36,Input!J:J,Input!H:H,"",0,1))</f>
        <v/>
      </c>
      <c r="C36" s="13">
        <f>_xlfn.XLOOKUP(B36,Input!J:J,Input!F:F)</f>
        <v>0</v>
      </c>
      <c r="D36">
        <f>_xlfn.XLOOKUP(C36,Models!H:H,Models!G:G,C36)</f>
        <v>0</v>
      </c>
      <c r="F36" t="str">
        <f>_xlfn.XLOOKUP(H36,Models!B:B,Models!F:F,"")</f>
        <v/>
      </c>
      <c r="G36">
        <f>_xlfn.XLOOKUP(B36,Input!J:J,Input!E:E)</f>
        <v>0</v>
      </c>
      <c r="H36">
        <f>IF(G36="LENOVO",_xlfn.XLOOKUP(B36,Input!J:J,Input!K:K),_xlfn.XLOOKUP(B36,Input!J:J,Input!L:L))</f>
        <v>0</v>
      </c>
      <c r="K36">
        <f>_xlfn.XLOOKUP(B36,CPU_Formula!A:A,CPU_Formula!I:I)</f>
        <v>0</v>
      </c>
      <c r="L36" s="13" t="e">
        <f>INDEX(Input!$D$2:$AD$500,
       MATCH(B36, Input!$J$2:$J$500, 0),
       MATCH("Memory Capacity", Input!$D$1:$AD$1, 0))</f>
        <v>#N/A</v>
      </c>
      <c r="M36" s="13" t="e">
        <f>INDEX(Input!$D$2:$AD$500,
       MATCH(B36, Input!$J$2:$J$500, 0),
       MATCH("Memory Type", Input!$D$1:$AD$1, 0))</f>
        <v>#N/A</v>
      </c>
      <c r="N36" s="13" t="e">
        <f t="shared" si="0"/>
        <v>#N/A</v>
      </c>
      <c r="O36" s="13" t="str" cm="1">
        <f t="array" ref="O36">IFERROR(_xlfn.FILTERXML("&lt;t&gt;&lt;s&gt;" &amp; SUBSTITUTE(M36," / ","&lt;/s&gt;&lt;s&gt;") &amp; "&lt;/s&gt;&lt;/t&gt;","(//s[contains(.,'DDR')])[1]"),"")</f>
        <v/>
      </c>
      <c r="P36" t="e">
        <f t="shared" si="1"/>
        <v>#N/A</v>
      </c>
      <c r="Q36" t="str" cm="1">
        <f t="array" ref="Q36">_xlfn.TEXTJOIN(", ", TRUE, _xlfn._xlws.FILTER(Input!W:W, Input!J:J=B36))</f>
        <v/>
      </c>
      <c r="S36" s="13" t="str">
        <f>_xlfn.LET(_xlpm.Result,_xlfn.XLOOKUP(B36,Input!J:J,Input!AB:AB),IF(_xlpm.Result="","",_xlpm.Result))</f>
        <v/>
      </c>
      <c r="T36" s="13" t="str" cm="1">
        <f t="array" ref="T36">IFERROR(_xlfn.IFS(
   --S36&lt;55,"Battery Defect",
  -- S36&lt;=69,"Battery D",
  --S36&lt;=80,"Battery C",
 --S36&gt;80,""
),"")</f>
        <v/>
      </c>
      <c r="U36" s="13" t="str" cm="1">
        <f t="array" ref="U36:Z36">IFERROR(IF(_xlfn.XLOOKUP(B36,Input!J:J,Input!N:S)=0,"",
          _xlfn.XLOOKUP(B36,Input!J:J,Input!N:S)),"")</f>
        <v/>
      </c>
      <c r="V36" s="13" t="str">
        <v/>
      </c>
      <c r="W36" s="13" t="str">
        <v/>
      </c>
      <c r="X36" s="13" t="str">
        <v/>
      </c>
      <c r="Y36" s="13" t="str">
        <v/>
      </c>
      <c r="Z36" s="13" t="str">
        <v/>
      </c>
      <c r="AA36" t="str">
        <f t="shared" si="2"/>
        <v/>
      </c>
      <c r="AB36" t="str">
        <f>_xlfn.XLOOKUP(B:B,Disk_Pivot!G:G,Disk_Pivot!I:I)</f>
        <v>No</v>
      </c>
      <c r="AC36" t="str">
        <f>_xlfn.XLOOKUP(B36,Disk_Pivot!G:G,Disk_Pivot!N:N)</f>
        <v/>
      </c>
    </row>
    <row r="37" spans="1:29">
      <c r="A37" t="str">
        <f>_xlfn.TEXTJOIN("",TRUE,_xlfn.XLOOKUP(B37,Input!J:J,Input!G:G,"",0,1),_xlfn.XLOOKUP(B37,Input!J:J,Input!H:H,"",0,1))</f>
        <v/>
      </c>
      <c r="C37" s="13">
        <f>_xlfn.XLOOKUP(B37,Input!J:J,Input!F:F)</f>
        <v>0</v>
      </c>
      <c r="D37">
        <f>_xlfn.XLOOKUP(C37,Models!H:H,Models!G:G,C37)</f>
        <v>0</v>
      </c>
      <c r="F37" t="str">
        <f>_xlfn.XLOOKUP(H37,Models!B:B,Models!F:F,"")</f>
        <v/>
      </c>
      <c r="G37">
        <f>_xlfn.XLOOKUP(B37,Input!J:J,Input!E:E)</f>
        <v>0</v>
      </c>
      <c r="H37">
        <f>IF(G37="LENOVO",_xlfn.XLOOKUP(B37,Input!J:J,Input!K:K),_xlfn.XLOOKUP(B37,Input!J:J,Input!L:L))</f>
        <v>0</v>
      </c>
      <c r="K37">
        <f>_xlfn.XLOOKUP(B37,CPU_Formula!A:A,CPU_Formula!I:I)</f>
        <v>0</v>
      </c>
      <c r="L37" s="13" t="e">
        <f>INDEX(Input!$D$2:$AD$500,
       MATCH(B37, Input!$J$2:$J$500, 0),
       MATCH("Memory Capacity", Input!$D$1:$AD$1, 0))</f>
        <v>#N/A</v>
      </c>
      <c r="M37" s="13" t="e">
        <f>INDEX(Input!$D$2:$AD$500,
       MATCH(B37, Input!$J$2:$J$500, 0),
       MATCH("Memory Type", Input!$D$1:$AD$1, 0))</f>
        <v>#N/A</v>
      </c>
      <c r="N37" s="13" t="e">
        <f t="shared" si="0"/>
        <v>#N/A</v>
      </c>
      <c r="O37" s="13" t="str" cm="1">
        <f t="array" ref="O37">IFERROR(_xlfn.FILTERXML("&lt;t&gt;&lt;s&gt;" &amp; SUBSTITUTE(M37," / ","&lt;/s&gt;&lt;s&gt;") &amp; "&lt;/s&gt;&lt;/t&gt;","(//s[contains(.,'DDR')])[1]"),"")</f>
        <v/>
      </c>
      <c r="P37" t="e">
        <f t="shared" si="1"/>
        <v>#N/A</v>
      </c>
      <c r="Q37" t="str" cm="1">
        <f t="array" ref="Q37">_xlfn.TEXTJOIN(", ", TRUE, _xlfn._xlws.FILTER(Input!W:W, Input!J:J=B37))</f>
        <v/>
      </c>
      <c r="S37" s="13" t="str">
        <f>_xlfn.LET(_xlpm.Result,_xlfn.XLOOKUP(B37,Input!J:J,Input!AB:AB),IF(_xlpm.Result="","",_xlpm.Result))</f>
        <v/>
      </c>
      <c r="T37" s="13" t="str" cm="1">
        <f t="array" ref="T37">IFERROR(_xlfn.IFS(
   --S37&lt;55,"Battery Defect",
  -- S37&lt;=69,"Battery D",
  --S37&lt;=80,"Battery C",
 --S37&gt;80,""
),"")</f>
        <v/>
      </c>
      <c r="U37" s="13" t="str" cm="1">
        <f t="array" ref="U37:Z37">IFERROR(IF(_xlfn.XLOOKUP(B37,Input!J:J,Input!N:S)=0,"",
          _xlfn.XLOOKUP(B37,Input!J:J,Input!N:S)),"")</f>
        <v/>
      </c>
      <c r="V37" s="13" t="str">
        <v/>
      </c>
      <c r="W37" s="13" t="str">
        <v/>
      </c>
      <c r="X37" s="13" t="str">
        <v/>
      </c>
      <c r="Y37" s="13" t="str">
        <v/>
      </c>
      <c r="Z37" s="13" t="str">
        <v/>
      </c>
      <c r="AA37" t="str">
        <f t="shared" si="2"/>
        <v/>
      </c>
      <c r="AB37" t="str">
        <f>_xlfn.XLOOKUP(B:B,Disk_Pivot!G:G,Disk_Pivot!I:I)</f>
        <v>No</v>
      </c>
      <c r="AC37" t="str">
        <f>_xlfn.XLOOKUP(B37,Disk_Pivot!G:G,Disk_Pivot!N:N)</f>
        <v/>
      </c>
    </row>
    <row r="38" spans="1:29">
      <c r="A38" t="str">
        <f>_xlfn.TEXTJOIN("",TRUE,_xlfn.XLOOKUP(B38,Input!J:J,Input!G:G,"",0,1),_xlfn.XLOOKUP(B38,Input!J:J,Input!H:H,"",0,1))</f>
        <v/>
      </c>
      <c r="C38" s="13">
        <f>_xlfn.XLOOKUP(B38,Input!J:J,Input!F:F)</f>
        <v>0</v>
      </c>
      <c r="D38">
        <f>_xlfn.XLOOKUP(C38,Models!H:H,Models!G:G,C38)</f>
        <v>0</v>
      </c>
      <c r="F38" t="str">
        <f>_xlfn.XLOOKUP(H38,Models!B:B,Models!F:F,"")</f>
        <v/>
      </c>
      <c r="G38">
        <f>_xlfn.XLOOKUP(B38,Input!J:J,Input!E:E)</f>
        <v>0</v>
      </c>
      <c r="H38">
        <f>IF(G38="LENOVO",_xlfn.XLOOKUP(B38,Input!J:J,Input!K:K),_xlfn.XLOOKUP(B38,Input!J:J,Input!L:L))</f>
        <v>0</v>
      </c>
      <c r="K38">
        <f>_xlfn.XLOOKUP(B38,CPU_Formula!A:A,CPU_Formula!I:I)</f>
        <v>0</v>
      </c>
      <c r="L38" s="13" t="e">
        <f>INDEX(Input!$D$2:$AD$500,
       MATCH(B38, Input!$J$2:$J$500, 0),
       MATCH("Memory Capacity", Input!$D$1:$AD$1, 0))</f>
        <v>#N/A</v>
      </c>
      <c r="M38" s="13" t="e">
        <f>INDEX(Input!$D$2:$AD$500,
       MATCH(B38, Input!$J$2:$J$500, 0),
       MATCH("Memory Type", Input!$D$1:$AD$1, 0))</f>
        <v>#N/A</v>
      </c>
      <c r="N38" s="13" t="e">
        <f t="shared" si="0"/>
        <v>#N/A</v>
      </c>
      <c r="O38" s="13" t="str" cm="1">
        <f t="array" ref="O38">IFERROR(_xlfn.FILTERXML("&lt;t&gt;&lt;s&gt;" &amp; SUBSTITUTE(M38," / ","&lt;/s&gt;&lt;s&gt;") &amp; "&lt;/s&gt;&lt;/t&gt;","(//s[contains(.,'DDR')])[1]"),"")</f>
        <v/>
      </c>
      <c r="P38" t="e">
        <f t="shared" si="1"/>
        <v>#N/A</v>
      </c>
      <c r="Q38" t="str" cm="1">
        <f t="array" ref="Q38">_xlfn.TEXTJOIN(", ", TRUE, _xlfn._xlws.FILTER(Input!W:W, Input!J:J=B38))</f>
        <v/>
      </c>
      <c r="S38" s="13" t="str">
        <f>_xlfn.LET(_xlpm.Result,_xlfn.XLOOKUP(B38,Input!J:J,Input!AB:AB),IF(_xlpm.Result="","",_xlpm.Result))</f>
        <v/>
      </c>
      <c r="T38" s="13" t="str" cm="1">
        <f t="array" ref="T38">IFERROR(_xlfn.IFS(
   --S38&lt;55,"Battery Defect",
  -- S38&lt;=69,"Battery D",
  --S38&lt;=80,"Battery C",
 --S38&gt;80,""
),"")</f>
        <v/>
      </c>
      <c r="U38" s="13" t="str" cm="1">
        <f t="array" ref="U38:Z38">IFERROR(IF(_xlfn.XLOOKUP(B38,Input!J:J,Input!N:S)=0,"",
          _xlfn.XLOOKUP(B38,Input!J:J,Input!N:S)),"")</f>
        <v/>
      </c>
      <c r="V38" s="13" t="str">
        <v/>
      </c>
      <c r="W38" s="13" t="str">
        <v/>
      </c>
      <c r="X38" s="13" t="str">
        <v/>
      </c>
      <c r="Y38" s="13" t="str">
        <v/>
      </c>
      <c r="Z38" s="13" t="str">
        <v/>
      </c>
      <c r="AA38" t="str">
        <f t="shared" si="2"/>
        <v/>
      </c>
      <c r="AB38" t="str">
        <f>_xlfn.XLOOKUP(B:B,Disk_Pivot!G:G,Disk_Pivot!I:I)</f>
        <v>No</v>
      </c>
      <c r="AC38" t="str">
        <f>_xlfn.XLOOKUP(B38,Disk_Pivot!G:G,Disk_Pivot!N:N)</f>
        <v/>
      </c>
    </row>
    <row r="39" spans="1:29">
      <c r="A39" t="str">
        <f>_xlfn.TEXTJOIN("",TRUE,_xlfn.XLOOKUP(B39,Input!J:J,Input!G:G,"",0,1),_xlfn.XLOOKUP(B39,Input!J:J,Input!H:H,"",0,1))</f>
        <v/>
      </c>
      <c r="C39" s="13">
        <f>_xlfn.XLOOKUP(B39,Input!J:J,Input!F:F)</f>
        <v>0</v>
      </c>
      <c r="D39">
        <f>_xlfn.XLOOKUP(C39,Models!H:H,Models!G:G,C39)</f>
        <v>0</v>
      </c>
      <c r="F39" t="str">
        <f>_xlfn.XLOOKUP(H39,Models!B:B,Models!F:F,"")</f>
        <v/>
      </c>
      <c r="G39">
        <f>_xlfn.XLOOKUP(B39,Input!J:J,Input!E:E)</f>
        <v>0</v>
      </c>
      <c r="H39">
        <f>IF(G39="LENOVO",_xlfn.XLOOKUP(B39,Input!J:J,Input!K:K),_xlfn.XLOOKUP(B39,Input!J:J,Input!L:L))</f>
        <v>0</v>
      </c>
      <c r="K39">
        <f>_xlfn.XLOOKUP(B39,CPU_Formula!A:A,CPU_Formula!I:I)</f>
        <v>0</v>
      </c>
      <c r="L39" s="13" t="e">
        <f>INDEX(Input!$D$2:$AD$500,
       MATCH(B39, Input!$J$2:$J$500, 0),
       MATCH("Memory Capacity", Input!$D$1:$AD$1, 0))</f>
        <v>#N/A</v>
      </c>
      <c r="M39" s="13" t="e">
        <f>INDEX(Input!$D$2:$AD$500,
       MATCH(B39, Input!$J$2:$J$500, 0),
       MATCH("Memory Type", Input!$D$1:$AD$1, 0))</f>
        <v>#N/A</v>
      </c>
      <c r="N39" s="13" t="e">
        <f t="shared" si="0"/>
        <v>#N/A</v>
      </c>
      <c r="O39" s="13" t="str" cm="1">
        <f t="array" ref="O39">IFERROR(_xlfn.FILTERXML("&lt;t&gt;&lt;s&gt;" &amp; SUBSTITUTE(M39," / ","&lt;/s&gt;&lt;s&gt;") &amp; "&lt;/s&gt;&lt;/t&gt;","(//s[contains(.,'DDR')])[1]"),"")</f>
        <v/>
      </c>
      <c r="P39" t="e">
        <f t="shared" si="1"/>
        <v>#N/A</v>
      </c>
      <c r="Q39" t="str" cm="1">
        <f t="array" ref="Q39">_xlfn.TEXTJOIN(", ", TRUE, _xlfn._xlws.FILTER(Input!W:W, Input!J:J=B39))</f>
        <v/>
      </c>
      <c r="S39" s="13" t="str">
        <f>_xlfn.LET(_xlpm.Result,_xlfn.XLOOKUP(B39,Input!J:J,Input!AB:AB),IF(_xlpm.Result="","",_xlpm.Result))</f>
        <v/>
      </c>
      <c r="T39" s="13" t="str" cm="1">
        <f t="array" ref="T39">IFERROR(_xlfn.IFS(
   --S39&lt;55,"Battery Defect",
  -- S39&lt;=69,"Battery D",
  --S39&lt;=80,"Battery C",
 --S39&gt;80,""
),"")</f>
        <v/>
      </c>
      <c r="U39" s="13" t="str" cm="1">
        <f t="array" ref="U39:Z39">IFERROR(IF(_xlfn.XLOOKUP(B39,Input!J:J,Input!N:S)=0,"",
          _xlfn.XLOOKUP(B39,Input!J:J,Input!N:S)),"")</f>
        <v/>
      </c>
      <c r="V39" s="13" t="str">
        <v/>
      </c>
      <c r="W39" s="13" t="str">
        <v/>
      </c>
      <c r="X39" s="13" t="str">
        <v/>
      </c>
      <c r="Y39" s="13" t="str">
        <v/>
      </c>
      <c r="Z39" s="13" t="str">
        <v/>
      </c>
      <c r="AA39" t="str">
        <f t="shared" si="2"/>
        <v/>
      </c>
      <c r="AB39" t="str">
        <f>_xlfn.XLOOKUP(B:B,Disk_Pivot!G:G,Disk_Pivot!I:I)</f>
        <v>No</v>
      </c>
      <c r="AC39" t="str">
        <f>_xlfn.XLOOKUP(B39,Disk_Pivot!G:G,Disk_Pivot!N:N)</f>
        <v/>
      </c>
    </row>
    <row r="40" spans="1:29">
      <c r="A40" t="str">
        <f>_xlfn.TEXTJOIN("",TRUE,_xlfn.XLOOKUP(B40,Input!J:J,Input!G:G,"",0,1),_xlfn.XLOOKUP(B40,Input!J:J,Input!H:H,"",0,1))</f>
        <v/>
      </c>
      <c r="C40" s="13">
        <f>_xlfn.XLOOKUP(B40,Input!J:J,Input!F:F)</f>
        <v>0</v>
      </c>
      <c r="D40">
        <f>_xlfn.XLOOKUP(C40,Models!H:H,Models!G:G,C40)</f>
        <v>0</v>
      </c>
      <c r="F40" t="str">
        <f>_xlfn.XLOOKUP(H40,Models!B:B,Models!F:F,"")</f>
        <v/>
      </c>
      <c r="G40">
        <f>_xlfn.XLOOKUP(B40,Input!J:J,Input!E:E)</f>
        <v>0</v>
      </c>
      <c r="H40">
        <f>IF(G40="LENOVO",_xlfn.XLOOKUP(B40,Input!J:J,Input!K:K),_xlfn.XLOOKUP(B40,Input!J:J,Input!L:L))</f>
        <v>0</v>
      </c>
      <c r="K40">
        <f>_xlfn.XLOOKUP(B40,CPU_Formula!A:A,CPU_Formula!I:I)</f>
        <v>0</v>
      </c>
      <c r="L40" s="13" t="e">
        <f>INDEX(Input!$D$2:$AD$500,
       MATCH(B40, Input!$J$2:$J$500, 0),
       MATCH("Memory Capacity", Input!$D$1:$AD$1, 0))</f>
        <v>#N/A</v>
      </c>
      <c r="M40" s="13" t="e">
        <f>INDEX(Input!$D$2:$AD$500,
       MATCH(B40, Input!$J$2:$J$500, 0),
       MATCH("Memory Type", Input!$D$1:$AD$1, 0))</f>
        <v>#N/A</v>
      </c>
      <c r="N40" s="13" t="e">
        <f t="shared" si="0"/>
        <v>#N/A</v>
      </c>
      <c r="O40" s="13" t="str" cm="1">
        <f t="array" ref="O40">IFERROR(_xlfn.FILTERXML("&lt;t&gt;&lt;s&gt;" &amp; SUBSTITUTE(M40," / ","&lt;/s&gt;&lt;s&gt;") &amp; "&lt;/s&gt;&lt;/t&gt;","(//s[contains(.,'DDR')])[1]"),"")</f>
        <v/>
      </c>
      <c r="P40" t="e">
        <f t="shared" si="1"/>
        <v>#N/A</v>
      </c>
      <c r="Q40" t="str" cm="1">
        <f t="array" ref="Q40">_xlfn.TEXTJOIN(", ", TRUE, _xlfn._xlws.FILTER(Input!W:W, Input!J:J=B40))</f>
        <v/>
      </c>
      <c r="S40" s="13" t="str">
        <f>_xlfn.LET(_xlpm.Result,_xlfn.XLOOKUP(B40,Input!J:J,Input!AB:AB),IF(_xlpm.Result="","",_xlpm.Result))</f>
        <v/>
      </c>
      <c r="T40" s="13" t="str" cm="1">
        <f t="array" ref="T40">IFERROR(_xlfn.IFS(
   --S40&lt;55,"Battery Defect",
  -- S40&lt;=69,"Battery D",
  --S40&lt;=80,"Battery C",
 --S40&gt;80,""
),"")</f>
        <v/>
      </c>
      <c r="U40" s="13" t="str" cm="1">
        <f t="array" ref="U40:Z40">IFERROR(IF(_xlfn.XLOOKUP(B40,Input!J:J,Input!N:S)=0,"",
          _xlfn.XLOOKUP(B40,Input!J:J,Input!N:S)),"")</f>
        <v/>
      </c>
      <c r="V40" s="13" t="str">
        <v/>
      </c>
      <c r="W40" s="13" t="str">
        <v/>
      </c>
      <c r="X40" s="13" t="str">
        <v/>
      </c>
      <c r="Y40" s="13" t="str">
        <v/>
      </c>
      <c r="Z40" s="13" t="str">
        <v/>
      </c>
      <c r="AA40" t="str">
        <f t="shared" si="2"/>
        <v/>
      </c>
      <c r="AB40" t="str">
        <f>_xlfn.XLOOKUP(B:B,Disk_Pivot!G:G,Disk_Pivot!I:I)</f>
        <v>No</v>
      </c>
      <c r="AC40" t="str">
        <f>_xlfn.XLOOKUP(B40,Disk_Pivot!G:G,Disk_Pivot!N:N)</f>
        <v/>
      </c>
    </row>
    <row r="41" spans="1:29">
      <c r="A41" t="str">
        <f>_xlfn.TEXTJOIN("",TRUE,_xlfn.XLOOKUP(B41,Input!J:J,Input!G:G,"",0,1),_xlfn.XLOOKUP(B41,Input!J:J,Input!H:H,"",0,1))</f>
        <v/>
      </c>
      <c r="C41" s="13">
        <f>_xlfn.XLOOKUP(B41,Input!J:J,Input!F:F)</f>
        <v>0</v>
      </c>
      <c r="D41">
        <f>_xlfn.XLOOKUP(C41,Models!H:H,Models!G:G,C41)</f>
        <v>0</v>
      </c>
      <c r="F41" t="str">
        <f>_xlfn.XLOOKUP(H41,Models!B:B,Models!F:F,"")</f>
        <v/>
      </c>
      <c r="G41">
        <f>_xlfn.XLOOKUP(B41,Input!J:J,Input!E:E)</f>
        <v>0</v>
      </c>
      <c r="H41">
        <f>IF(G41="LENOVO",_xlfn.XLOOKUP(B41,Input!J:J,Input!K:K),_xlfn.XLOOKUP(B41,Input!J:J,Input!L:L))</f>
        <v>0</v>
      </c>
      <c r="K41">
        <f>_xlfn.XLOOKUP(B41,CPU_Formula!A:A,CPU_Formula!I:I)</f>
        <v>0</v>
      </c>
      <c r="L41" s="13" t="e">
        <f>INDEX(Input!$D$2:$AD$500,
       MATCH(B41, Input!$J$2:$J$500, 0),
       MATCH("Memory Capacity", Input!$D$1:$AD$1, 0))</f>
        <v>#N/A</v>
      </c>
      <c r="M41" s="13" t="e">
        <f>INDEX(Input!$D$2:$AD$500,
       MATCH(B41, Input!$J$2:$J$500, 0),
       MATCH("Memory Type", Input!$D$1:$AD$1, 0))</f>
        <v>#N/A</v>
      </c>
      <c r="N41" s="13" t="e">
        <f t="shared" si="0"/>
        <v>#N/A</v>
      </c>
      <c r="O41" s="13" t="str" cm="1">
        <f t="array" ref="O41">IFERROR(_xlfn.FILTERXML("&lt;t&gt;&lt;s&gt;" &amp; SUBSTITUTE(M41," / ","&lt;/s&gt;&lt;s&gt;") &amp; "&lt;/s&gt;&lt;/t&gt;","(//s[contains(.,'DDR')])[1]"),"")</f>
        <v/>
      </c>
      <c r="P41" t="e">
        <f t="shared" si="1"/>
        <v>#N/A</v>
      </c>
      <c r="Q41" t="str" cm="1">
        <f t="array" ref="Q41">_xlfn.TEXTJOIN(", ", TRUE, _xlfn._xlws.FILTER(Input!W:W, Input!J:J=B41))</f>
        <v/>
      </c>
      <c r="S41" s="13" t="str">
        <f>_xlfn.LET(_xlpm.Result,_xlfn.XLOOKUP(B41,Input!J:J,Input!AB:AB),IF(_xlpm.Result="","",_xlpm.Result))</f>
        <v/>
      </c>
      <c r="T41" s="13" t="str" cm="1">
        <f t="array" ref="T41">IFERROR(_xlfn.IFS(
   --S41&lt;55,"Battery Defect",
  -- S41&lt;=69,"Battery D",
  --S41&lt;=80,"Battery C",
 --S41&gt;80,""
),"")</f>
        <v/>
      </c>
      <c r="U41" s="13" t="str" cm="1">
        <f t="array" ref="U41:Z41">IFERROR(IF(_xlfn.XLOOKUP(B41,Input!J:J,Input!N:S)=0,"",
          _xlfn.XLOOKUP(B41,Input!J:J,Input!N:S)),"")</f>
        <v/>
      </c>
      <c r="V41" s="13" t="str">
        <v/>
      </c>
      <c r="W41" s="13" t="str">
        <v/>
      </c>
      <c r="X41" s="13" t="str">
        <v/>
      </c>
      <c r="Y41" s="13" t="str">
        <v/>
      </c>
      <c r="Z41" s="13" t="str">
        <v/>
      </c>
      <c r="AA41" t="str">
        <f t="shared" si="2"/>
        <v/>
      </c>
      <c r="AB41" t="str">
        <f>_xlfn.XLOOKUP(B:B,Disk_Pivot!G:G,Disk_Pivot!I:I)</f>
        <v>No</v>
      </c>
      <c r="AC41" t="str">
        <f>_xlfn.XLOOKUP(B41,Disk_Pivot!G:G,Disk_Pivot!N:N)</f>
        <v/>
      </c>
    </row>
    <row r="42" spans="1:29">
      <c r="A42" t="str">
        <f>_xlfn.TEXTJOIN("",TRUE,_xlfn.XLOOKUP(B42,Input!J:J,Input!G:G,"",0,1),_xlfn.XLOOKUP(B42,Input!J:J,Input!H:H,"",0,1))</f>
        <v/>
      </c>
      <c r="C42" s="13">
        <f>_xlfn.XLOOKUP(B42,Input!J:J,Input!F:F)</f>
        <v>0</v>
      </c>
      <c r="D42">
        <f>_xlfn.XLOOKUP(C42,Models!H:H,Models!G:G,C42)</f>
        <v>0</v>
      </c>
      <c r="F42" t="str">
        <f>_xlfn.XLOOKUP(H42,Models!B:B,Models!F:F,"")</f>
        <v/>
      </c>
      <c r="G42">
        <f>_xlfn.XLOOKUP(B42,Input!J:J,Input!E:E)</f>
        <v>0</v>
      </c>
      <c r="H42">
        <f>IF(G42="LENOVO",_xlfn.XLOOKUP(B42,Input!J:J,Input!K:K),_xlfn.XLOOKUP(B42,Input!J:J,Input!L:L))</f>
        <v>0</v>
      </c>
      <c r="K42">
        <f>_xlfn.XLOOKUP(B42,CPU_Formula!A:A,CPU_Formula!I:I)</f>
        <v>0</v>
      </c>
      <c r="L42" s="13" t="e">
        <f>INDEX(Input!$D$2:$AD$500,
       MATCH(B42, Input!$J$2:$J$500, 0),
       MATCH("Memory Capacity", Input!$D$1:$AD$1, 0))</f>
        <v>#N/A</v>
      </c>
      <c r="M42" s="13" t="e">
        <f>INDEX(Input!$D$2:$AD$500,
       MATCH(B42, Input!$J$2:$J$500, 0),
       MATCH("Memory Type", Input!$D$1:$AD$1, 0))</f>
        <v>#N/A</v>
      </c>
      <c r="N42" s="13" t="e">
        <f t="shared" si="0"/>
        <v>#N/A</v>
      </c>
      <c r="O42" s="13" t="str" cm="1">
        <f t="array" ref="O42">IFERROR(_xlfn.FILTERXML("&lt;t&gt;&lt;s&gt;" &amp; SUBSTITUTE(M42," / ","&lt;/s&gt;&lt;s&gt;") &amp; "&lt;/s&gt;&lt;/t&gt;","(//s[contains(.,'DDR')])[1]"),"")</f>
        <v/>
      </c>
      <c r="P42" t="e">
        <f t="shared" si="1"/>
        <v>#N/A</v>
      </c>
      <c r="Q42" t="str" cm="1">
        <f t="array" ref="Q42">_xlfn.TEXTJOIN(", ", TRUE, _xlfn._xlws.FILTER(Input!W:W, Input!J:J=B42))</f>
        <v/>
      </c>
      <c r="S42" s="13" t="str">
        <f>_xlfn.LET(_xlpm.Result,_xlfn.XLOOKUP(B42,Input!J:J,Input!AB:AB),IF(_xlpm.Result="","",_xlpm.Result))</f>
        <v/>
      </c>
      <c r="T42" s="13" t="str" cm="1">
        <f t="array" ref="T42">IFERROR(_xlfn.IFS(
   --S42&lt;55,"Battery Defect",
  -- S42&lt;=69,"Battery D",
  --S42&lt;=80,"Battery C",
 --S42&gt;80,""
),"")</f>
        <v/>
      </c>
      <c r="U42" s="13" t="str" cm="1">
        <f t="array" ref="U42:Z42">IFERROR(IF(_xlfn.XLOOKUP(B42,Input!J:J,Input!N:S)=0,"",
          _xlfn.XLOOKUP(B42,Input!J:J,Input!N:S)),"")</f>
        <v/>
      </c>
      <c r="V42" s="13" t="str">
        <v/>
      </c>
      <c r="W42" s="13" t="str">
        <v/>
      </c>
      <c r="X42" s="13" t="str">
        <v/>
      </c>
      <c r="Y42" s="13" t="str">
        <v/>
      </c>
      <c r="Z42" s="13" t="str">
        <v/>
      </c>
      <c r="AA42" t="str">
        <f t="shared" si="2"/>
        <v/>
      </c>
      <c r="AB42" t="str">
        <f>_xlfn.XLOOKUP(B:B,Disk_Pivot!G:G,Disk_Pivot!I:I)</f>
        <v>No</v>
      </c>
      <c r="AC42" t="str">
        <f>_xlfn.XLOOKUP(B42,Disk_Pivot!G:G,Disk_Pivot!N:N)</f>
        <v/>
      </c>
    </row>
    <row r="43" spans="1:29">
      <c r="A43" t="str">
        <f>_xlfn.TEXTJOIN("",TRUE,_xlfn.XLOOKUP(B43,Input!J:J,Input!G:G,"",0,1),_xlfn.XLOOKUP(B43,Input!J:J,Input!H:H,"",0,1))</f>
        <v/>
      </c>
      <c r="C43" s="13">
        <f>_xlfn.XLOOKUP(B43,Input!J:J,Input!F:F)</f>
        <v>0</v>
      </c>
      <c r="D43">
        <f>_xlfn.XLOOKUP(C43,Models!H:H,Models!G:G,C43)</f>
        <v>0</v>
      </c>
      <c r="F43" t="str">
        <f>_xlfn.XLOOKUP(H43,Models!B:B,Models!F:F,"")</f>
        <v/>
      </c>
      <c r="G43">
        <f>_xlfn.XLOOKUP(B43,Input!J:J,Input!E:E)</f>
        <v>0</v>
      </c>
      <c r="H43">
        <f>IF(G43="LENOVO",_xlfn.XLOOKUP(B43,Input!J:J,Input!K:K),_xlfn.XLOOKUP(B43,Input!J:J,Input!L:L))</f>
        <v>0</v>
      </c>
      <c r="K43">
        <f>_xlfn.XLOOKUP(B43,CPU_Formula!A:A,CPU_Formula!I:I)</f>
        <v>0</v>
      </c>
      <c r="L43" s="13" t="e">
        <f>INDEX(Input!$D$2:$AD$500,
       MATCH(B43, Input!$J$2:$J$500, 0),
       MATCH("Memory Capacity", Input!$D$1:$AD$1, 0))</f>
        <v>#N/A</v>
      </c>
      <c r="M43" s="13" t="e">
        <f>INDEX(Input!$D$2:$AD$500,
       MATCH(B43, Input!$J$2:$J$500, 0),
       MATCH("Memory Type", Input!$D$1:$AD$1, 0))</f>
        <v>#N/A</v>
      </c>
      <c r="N43" s="13" t="e">
        <f t="shared" si="0"/>
        <v>#N/A</v>
      </c>
      <c r="O43" s="13" t="str" cm="1">
        <f t="array" ref="O43">IFERROR(_xlfn.FILTERXML("&lt;t&gt;&lt;s&gt;" &amp; SUBSTITUTE(M43," / ","&lt;/s&gt;&lt;s&gt;") &amp; "&lt;/s&gt;&lt;/t&gt;","(//s[contains(.,'DDR')])[1]"),"")</f>
        <v/>
      </c>
      <c r="P43" t="e">
        <f t="shared" si="1"/>
        <v>#N/A</v>
      </c>
      <c r="Q43" t="str" cm="1">
        <f t="array" ref="Q43">_xlfn.TEXTJOIN(", ", TRUE, _xlfn._xlws.FILTER(Input!W:W, Input!J:J=B43))</f>
        <v/>
      </c>
      <c r="S43" s="13" t="str">
        <f>_xlfn.LET(_xlpm.Result,_xlfn.XLOOKUP(B43,Input!J:J,Input!AB:AB),IF(_xlpm.Result="","",_xlpm.Result))</f>
        <v/>
      </c>
      <c r="T43" s="13" t="str" cm="1">
        <f t="array" ref="T43">IFERROR(_xlfn.IFS(
   --S43&lt;55,"Battery Defect",
  -- S43&lt;=69,"Battery D",
  --S43&lt;=80,"Battery C",
 --S43&gt;80,""
),"")</f>
        <v/>
      </c>
      <c r="U43" s="13" t="str" cm="1">
        <f t="array" ref="U43:Z43">IFERROR(IF(_xlfn.XLOOKUP(B43,Input!J:J,Input!N:S)=0,"",
          _xlfn.XLOOKUP(B43,Input!J:J,Input!N:S)),"")</f>
        <v/>
      </c>
      <c r="V43" s="13" t="str">
        <v/>
      </c>
      <c r="W43" s="13" t="str">
        <v/>
      </c>
      <c r="X43" s="13" t="str">
        <v/>
      </c>
      <c r="Y43" s="13" t="str">
        <v/>
      </c>
      <c r="Z43" s="13" t="str">
        <v/>
      </c>
      <c r="AA43" t="str">
        <f t="shared" si="2"/>
        <v/>
      </c>
      <c r="AB43" t="str">
        <f>_xlfn.XLOOKUP(B:B,Disk_Pivot!G:G,Disk_Pivot!I:I)</f>
        <v>No</v>
      </c>
      <c r="AC43" t="str">
        <f>_xlfn.XLOOKUP(B43,Disk_Pivot!G:G,Disk_Pivot!N:N)</f>
        <v/>
      </c>
    </row>
    <row r="44" spans="1:29">
      <c r="A44" t="str">
        <f>_xlfn.TEXTJOIN("",TRUE,_xlfn.XLOOKUP(B44,Input!J:J,Input!G:G,"",0,1),_xlfn.XLOOKUP(B44,Input!J:J,Input!H:H,"",0,1))</f>
        <v/>
      </c>
      <c r="C44" s="13">
        <f>_xlfn.XLOOKUP(B44,Input!J:J,Input!F:F)</f>
        <v>0</v>
      </c>
      <c r="D44">
        <f>_xlfn.XLOOKUP(C44,Models!H:H,Models!G:G,C44)</f>
        <v>0</v>
      </c>
      <c r="F44" t="str">
        <f>_xlfn.XLOOKUP(H44,Models!B:B,Models!F:F,"")</f>
        <v/>
      </c>
      <c r="G44">
        <f>_xlfn.XLOOKUP(B44,Input!J:J,Input!E:E)</f>
        <v>0</v>
      </c>
      <c r="H44">
        <f>IF(G44="LENOVO",_xlfn.XLOOKUP(B44,Input!J:J,Input!K:K),_xlfn.XLOOKUP(B44,Input!J:J,Input!L:L))</f>
        <v>0</v>
      </c>
      <c r="K44">
        <f>_xlfn.XLOOKUP(B44,CPU_Formula!A:A,CPU_Formula!I:I)</f>
        <v>0</v>
      </c>
      <c r="L44" s="13" t="e">
        <f>INDEX(Input!$D$2:$AD$500,
       MATCH(B44, Input!$J$2:$J$500, 0),
       MATCH("Memory Capacity", Input!$D$1:$AD$1, 0))</f>
        <v>#N/A</v>
      </c>
      <c r="M44" s="13" t="e">
        <f>INDEX(Input!$D$2:$AD$500,
       MATCH(B44, Input!$J$2:$J$500, 0),
       MATCH("Memory Type", Input!$D$1:$AD$1, 0))</f>
        <v>#N/A</v>
      </c>
      <c r="N44" s="13" t="e">
        <f t="shared" si="0"/>
        <v>#N/A</v>
      </c>
      <c r="O44" s="13" t="str" cm="1">
        <f t="array" ref="O44">IFERROR(_xlfn.FILTERXML("&lt;t&gt;&lt;s&gt;" &amp; SUBSTITUTE(M44," / ","&lt;/s&gt;&lt;s&gt;") &amp; "&lt;/s&gt;&lt;/t&gt;","(//s[contains(.,'DDR')])[1]"),"")</f>
        <v/>
      </c>
      <c r="P44" t="e">
        <f t="shared" si="1"/>
        <v>#N/A</v>
      </c>
      <c r="Q44" t="str" cm="1">
        <f t="array" ref="Q44">_xlfn.TEXTJOIN(", ", TRUE, _xlfn._xlws.FILTER(Input!W:W, Input!J:J=B44))</f>
        <v/>
      </c>
      <c r="S44" s="13" t="str">
        <f>_xlfn.LET(_xlpm.Result,_xlfn.XLOOKUP(B44,Input!J:J,Input!AB:AB),IF(_xlpm.Result="","",_xlpm.Result))</f>
        <v/>
      </c>
      <c r="T44" s="13" t="str" cm="1">
        <f t="array" ref="T44">IFERROR(_xlfn.IFS(
   --S44&lt;55,"Battery Defect",
  -- S44&lt;=69,"Battery D",
  --S44&lt;=80,"Battery C",
 --S44&gt;80,""
),"")</f>
        <v/>
      </c>
      <c r="U44" s="13" t="str" cm="1">
        <f t="array" ref="U44:Z44">IFERROR(IF(_xlfn.XLOOKUP(B44,Input!J:J,Input!N:S)=0,"",
          _xlfn.XLOOKUP(B44,Input!J:J,Input!N:S)),"")</f>
        <v/>
      </c>
      <c r="V44" s="13" t="str">
        <v/>
      </c>
      <c r="W44" s="13" t="str">
        <v/>
      </c>
      <c r="X44" s="13" t="str">
        <v/>
      </c>
      <c r="Y44" s="13" t="str">
        <v/>
      </c>
      <c r="Z44" s="13" t="str">
        <v/>
      </c>
      <c r="AA44" t="str">
        <f t="shared" si="2"/>
        <v/>
      </c>
      <c r="AB44" t="str">
        <f>_xlfn.XLOOKUP(B:B,Disk_Pivot!G:G,Disk_Pivot!I:I)</f>
        <v>No</v>
      </c>
      <c r="AC44" t="str">
        <f>_xlfn.XLOOKUP(B44,Disk_Pivot!G:G,Disk_Pivot!N:N)</f>
        <v/>
      </c>
    </row>
    <row r="45" spans="1:29">
      <c r="A45" t="str">
        <f>_xlfn.TEXTJOIN("",TRUE,_xlfn.XLOOKUP(B45,Input!J:J,Input!G:G,"",0,1),_xlfn.XLOOKUP(B45,Input!J:J,Input!H:H,"",0,1))</f>
        <v/>
      </c>
      <c r="C45" s="13">
        <f>_xlfn.XLOOKUP(B45,Input!J:J,Input!F:F)</f>
        <v>0</v>
      </c>
      <c r="D45">
        <f>_xlfn.XLOOKUP(C45,Models!H:H,Models!G:G,C45)</f>
        <v>0</v>
      </c>
      <c r="F45" t="str">
        <f>_xlfn.XLOOKUP(H45,Models!B:B,Models!F:F,"")</f>
        <v/>
      </c>
      <c r="G45">
        <f>_xlfn.XLOOKUP(B45,Input!J:J,Input!E:E)</f>
        <v>0</v>
      </c>
      <c r="H45">
        <f>IF(G45="LENOVO",_xlfn.XLOOKUP(B45,Input!J:J,Input!K:K),_xlfn.XLOOKUP(B45,Input!J:J,Input!L:L))</f>
        <v>0</v>
      </c>
      <c r="K45">
        <f>_xlfn.XLOOKUP(B45,CPU_Formula!A:A,CPU_Formula!I:I)</f>
        <v>0</v>
      </c>
      <c r="L45" s="13" t="e">
        <f>INDEX(Input!$D$2:$AD$500,
       MATCH(B45, Input!$J$2:$J$500, 0),
       MATCH("Memory Capacity", Input!$D$1:$AD$1, 0))</f>
        <v>#N/A</v>
      </c>
      <c r="M45" s="13" t="e">
        <f>INDEX(Input!$D$2:$AD$500,
       MATCH(B45, Input!$J$2:$J$500, 0),
       MATCH("Memory Type", Input!$D$1:$AD$1, 0))</f>
        <v>#N/A</v>
      </c>
      <c r="N45" s="13" t="e">
        <f t="shared" si="0"/>
        <v>#N/A</v>
      </c>
      <c r="O45" s="13" t="str" cm="1">
        <f t="array" ref="O45">IFERROR(_xlfn.FILTERXML("&lt;t&gt;&lt;s&gt;" &amp; SUBSTITUTE(M45," / ","&lt;/s&gt;&lt;s&gt;") &amp; "&lt;/s&gt;&lt;/t&gt;","(//s[contains(.,'DDR')])[1]"),"")</f>
        <v/>
      </c>
      <c r="P45" t="e">
        <f t="shared" si="1"/>
        <v>#N/A</v>
      </c>
      <c r="Q45" t="str" cm="1">
        <f t="array" ref="Q45">_xlfn.TEXTJOIN(", ", TRUE, _xlfn._xlws.FILTER(Input!W:W, Input!J:J=B45))</f>
        <v/>
      </c>
      <c r="S45" s="13" t="str">
        <f>_xlfn.LET(_xlpm.Result,_xlfn.XLOOKUP(B45,Input!J:J,Input!AB:AB),IF(_xlpm.Result="","",_xlpm.Result))</f>
        <v/>
      </c>
      <c r="T45" s="13" t="str" cm="1">
        <f t="array" ref="T45">IFERROR(_xlfn.IFS(
   --S45&lt;55,"Battery Defect",
  -- S45&lt;=69,"Battery D",
  --S45&lt;=80,"Battery C",
 --S45&gt;80,""
),"")</f>
        <v/>
      </c>
      <c r="U45" s="13" t="str" cm="1">
        <f t="array" ref="U45:Z45">IFERROR(IF(_xlfn.XLOOKUP(B45,Input!J:J,Input!N:S)=0,"",
          _xlfn.XLOOKUP(B45,Input!J:J,Input!N:S)),"")</f>
        <v/>
      </c>
      <c r="V45" s="13" t="str">
        <v/>
      </c>
      <c r="W45" s="13" t="str">
        <v/>
      </c>
      <c r="X45" s="13" t="str">
        <v/>
      </c>
      <c r="Y45" s="13" t="str">
        <v/>
      </c>
      <c r="Z45" s="13" t="str">
        <v/>
      </c>
      <c r="AA45" t="str">
        <f t="shared" si="2"/>
        <v/>
      </c>
      <c r="AB45" t="str">
        <f>_xlfn.XLOOKUP(B:B,Disk_Pivot!G:G,Disk_Pivot!I:I)</f>
        <v>No</v>
      </c>
      <c r="AC45" t="str">
        <f>_xlfn.XLOOKUP(B45,Disk_Pivot!G:G,Disk_Pivot!N:N)</f>
        <v/>
      </c>
    </row>
    <row r="46" spans="1:29">
      <c r="A46" t="str">
        <f>_xlfn.TEXTJOIN("",TRUE,_xlfn.XLOOKUP(B46,Input!J:J,Input!G:G,"",0,1),_xlfn.XLOOKUP(B46,Input!J:J,Input!H:H,"",0,1))</f>
        <v/>
      </c>
      <c r="C46" s="13">
        <f>_xlfn.XLOOKUP(B46,Input!J:J,Input!F:F)</f>
        <v>0</v>
      </c>
      <c r="D46">
        <f>_xlfn.XLOOKUP(C46,Models!H:H,Models!G:G,C46)</f>
        <v>0</v>
      </c>
      <c r="F46" t="str">
        <f>_xlfn.XLOOKUP(H46,Models!B:B,Models!F:F,"")</f>
        <v/>
      </c>
      <c r="G46">
        <f>_xlfn.XLOOKUP(B46,Input!J:J,Input!E:E)</f>
        <v>0</v>
      </c>
      <c r="H46">
        <f>IF(G46="LENOVO",_xlfn.XLOOKUP(B46,Input!J:J,Input!K:K),_xlfn.XLOOKUP(B46,Input!J:J,Input!L:L))</f>
        <v>0</v>
      </c>
      <c r="K46">
        <f>_xlfn.XLOOKUP(B46,CPU_Formula!A:A,CPU_Formula!I:I)</f>
        <v>0</v>
      </c>
      <c r="L46" s="13" t="e">
        <f>INDEX(Input!$D$2:$AD$500,
       MATCH(B46, Input!$J$2:$J$500, 0),
       MATCH("Memory Capacity", Input!$D$1:$AD$1, 0))</f>
        <v>#N/A</v>
      </c>
      <c r="M46" s="13" t="e">
        <f>INDEX(Input!$D$2:$AD$500,
       MATCH(B46, Input!$J$2:$J$500, 0),
       MATCH("Memory Type", Input!$D$1:$AD$1, 0))</f>
        <v>#N/A</v>
      </c>
      <c r="N46" s="13" t="e">
        <f t="shared" si="0"/>
        <v>#N/A</v>
      </c>
      <c r="O46" s="13" t="str" cm="1">
        <f t="array" ref="O46">IFERROR(_xlfn.FILTERXML("&lt;t&gt;&lt;s&gt;" &amp; SUBSTITUTE(M46," / ","&lt;/s&gt;&lt;s&gt;") &amp; "&lt;/s&gt;&lt;/t&gt;","(//s[contains(.,'DDR')])[1]"),"")</f>
        <v/>
      </c>
      <c r="P46" t="e">
        <f t="shared" si="1"/>
        <v>#N/A</v>
      </c>
      <c r="Q46" t="str" cm="1">
        <f t="array" ref="Q46">_xlfn.TEXTJOIN(", ", TRUE, _xlfn._xlws.FILTER(Input!W:W, Input!J:J=B46))</f>
        <v/>
      </c>
      <c r="S46" s="13" t="str">
        <f>_xlfn.LET(_xlpm.Result,_xlfn.XLOOKUP(B46,Input!J:J,Input!AB:AB),IF(_xlpm.Result="","",_xlpm.Result))</f>
        <v/>
      </c>
      <c r="T46" s="13" t="str" cm="1">
        <f t="array" ref="T46">IFERROR(_xlfn.IFS(
   --S46&lt;55,"Battery Defect",
  -- S46&lt;=69,"Battery D",
  --S46&lt;=80,"Battery C",
 --S46&gt;80,""
),"")</f>
        <v/>
      </c>
      <c r="U46" s="13" t="str" cm="1">
        <f t="array" ref="U46:Z46">IFERROR(IF(_xlfn.XLOOKUP(B46,Input!J:J,Input!N:S)=0,"",
          _xlfn.XLOOKUP(B46,Input!J:J,Input!N:S)),"")</f>
        <v/>
      </c>
      <c r="V46" s="13" t="str">
        <v/>
      </c>
      <c r="W46" s="13" t="str">
        <v/>
      </c>
      <c r="X46" s="13" t="str">
        <v/>
      </c>
      <c r="Y46" s="13" t="str">
        <v/>
      </c>
      <c r="Z46" s="13" t="str">
        <v/>
      </c>
      <c r="AA46" t="str">
        <f t="shared" si="2"/>
        <v/>
      </c>
      <c r="AB46" t="str">
        <f>_xlfn.XLOOKUP(B:B,Disk_Pivot!G:G,Disk_Pivot!I:I)</f>
        <v>No</v>
      </c>
      <c r="AC46" t="str">
        <f>_xlfn.XLOOKUP(B46,Disk_Pivot!G:G,Disk_Pivot!N:N)</f>
        <v/>
      </c>
    </row>
    <row r="47" spans="1:29">
      <c r="A47" t="str">
        <f>_xlfn.TEXTJOIN("",TRUE,_xlfn.XLOOKUP(B47,Input!J:J,Input!G:G,"",0,1),_xlfn.XLOOKUP(B47,Input!J:J,Input!H:H,"",0,1))</f>
        <v/>
      </c>
      <c r="C47" s="13">
        <f>_xlfn.XLOOKUP(B47,Input!J:J,Input!F:F)</f>
        <v>0</v>
      </c>
      <c r="D47">
        <f>_xlfn.XLOOKUP(C47,Models!H:H,Models!G:G,C47)</f>
        <v>0</v>
      </c>
      <c r="F47" t="str">
        <f>_xlfn.XLOOKUP(H47,Models!B:B,Models!F:F,"")</f>
        <v/>
      </c>
      <c r="G47">
        <f>_xlfn.XLOOKUP(B47,Input!J:J,Input!E:E)</f>
        <v>0</v>
      </c>
      <c r="H47">
        <f>IF(G47="LENOVO",_xlfn.XLOOKUP(B47,Input!J:J,Input!K:K),_xlfn.XLOOKUP(B47,Input!J:J,Input!L:L))</f>
        <v>0</v>
      </c>
      <c r="K47">
        <f>_xlfn.XLOOKUP(B47,CPU_Formula!A:A,CPU_Formula!I:I)</f>
        <v>0</v>
      </c>
      <c r="L47" s="13" t="e">
        <f>INDEX(Input!$D$2:$AD$500,
       MATCH(B47, Input!$J$2:$J$500, 0),
       MATCH("Memory Capacity", Input!$D$1:$AD$1, 0))</f>
        <v>#N/A</v>
      </c>
      <c r="M47" s="13" t="e">
        <f>INDEX(Input!$D$2:$AD$500,
       MATCH(B47, Input!$J$2:$J$500, 0),
       MATCH("Memory Type", Input!$D$1:$AD$1, 0))</f>
        <v>#N/A</v>
      </c>
      <c r="N47" s="13" t="e">
        <f t="shared" si="0"/>
        <v>#N/A</v>
      </c>
      <c r="O47" s="13" t="str" cm="1">
        <f t="array" ref="O47">IFERROR(_xlfn.FILTERXML("&lt;t&gt;&lt;s&gt;" &amp; SUBSTITUTE(M47," / ","&lt;/s&gt;&lt;s&gt;") &amp; "&lt;/s&gt;&lt;/t&gt;","(//s[contains(.,'DDR')])[1]"),"")</f>
        <v/>
      </c>
      <c r="P47" t="e">
        <f t="shared" si="1"/>
        <v>#N/A</v>
      </c>
      <c r="Q47" t="str" cm="1">
        <f t="array" ref="Q47">_xlfn.TEXTJOIN(", ", TRUE, _xlfn._xlws.FILTER(Input!W:W, Input!J:J=B47))</f>
        <v/>
      </c>
      <c r="S47" s="13" t="str">
        <f>_xlfn.LET(_xlpm.Result,_xlfn.XLOOKUP(B47,Input!J:J,Input!AB:AB),IF(_xlpm.Result="","",_xlpm.Result))</f>
        <v/>
      </c>
      <c r="T47" s="13" t="str" cm="1">
        <f t="array" ref="T47">IFERROR(_xlfn.IFS(
   --S47&lt;55,"Battery Defect",
  -- S47&lt;=69,"Battery D",
  --S47&lt;=80,"Battery C",
 --S47&gt;80,""
),"")</f>
        <v/>
      </c>
      <c r="U47" s="13" t="str" cm="1">
        <f t="array" ref="U47:Z47">IFERROR(IF(_xlfn.XLOOKUP(B47,Input!J:J,Input!N:S)=0,"",
          _xlfn.XLOOKUP(B47,Input!J:J,Input!N:S)),"")</f>
        <v/>
      </c>
      <c r="V47" s="13" t="str">
        <v/>
      </c>
      <c r="W47" s="13" t="str">
        <v/>
      </c>
      <c r="X47" s="13" t="str">
        <v/>
      </c>
      <c r="Y47" s="13" t="str">
        <v/>
      </c>
      <c r="Z47" s="13" t="str">
        <v/>
      </c>
      <c r="AA47" t="str">
        <f t="shared" si="2"/>
        <v/>
      </c>
      <c r="AB47" t="str">
        <f>_xlfn.XLOOKUP(B:B,Disk_Pivot!G:G,Disk_Pivot!I:I)</f>
        <v>No</v>
      </c>
      <c r="AC47" t="str">
        <f>_xlfn.XLOOKUP(B47,Disk_Pivot!G:G,Disk_Pivot!N:N)</f>
        <v/>
      </c>
    </row>
    <row r="48" spans="1:29">
      <c r="A48" t="str">
        <f>_xlfn.TEXTJOIN("",TRUE,_xlfn.XLOOKUP(B48,Input!J:J,Input!G:G,"",0,1),_xlfn.XLOOKUP(B48,Input!J:J,Input!H:H,"",0,1))</f>
        <v/>
      </c>
      <c r="C48" s="13">
        <f>_xlfn.XLOOKUP(B48,Input!J:J,Input!F:F)</f>
        <v>0</v>
      </c>
      <c r="D48">
        <f>_xlfn.XLOOKUP(C48,Models!H:H,Models!G:G,C48)</f>
        <v>0</v>
      </c>
      <c r="F48" t="str">
        <f>_xlfn.XLOOKUP(H48,Models!B:B,Models!F:F,"")</f>
        <v/>
      </c>
      <c r="G48">
        <f>_xlfn.XLOOKUP(B48,Input!J:J,Input!E:E)</f>
        <v>0</v>
      </c>
      <c r="H48">
        <f>IF(G48="LENOVO",_xlfn.XLOOKUP(B48,Input!J:J,Input!K:K),_xlfn.XLOOKUP(B48,Input!J:J,Input!L:L))</f>
        <v>0</v>
      </c>
      <c r="K48">
        <f>_xlfn.XLOOKUP(B48,CPU_Formula!A:A,CPU_Formula!I:I)</f>
        <v>0</v>
      </c>
      <c r="L48" s="13" t="e">
        <f>INDEX(Input!$D$2:$AD$500,
       MATCH(B48, Input!$J$2:$J$500, 0),
       MATCH("Memory Capacity", Input!$D$1:$AD$1, 0))</f>
        <v>#N/A</v>
      </c>
      <c r="M48" s="13" t="e">
        <f>INDEX(Input!$D$2:$AD$500,
       MATCH(B48, Input!$J$2:$J$500, 0),
       MATCH("Memory Type", Input!$D$1:$AD$1, 0))</f>
        <v>#N/A</v>
      </c>
      <c r="N48" s="13" t="e">
        <f t="shared" si="0"/>
        <v>#N/A</v>
      </c>
      <c r="O48" s="13" t="str" cm="1">
        <f t="array" ref="O48">IFERROR(_xlfn.FILTERXML("&lt;t&gt;&lt;s&gt;" &amp; SUBSTITUTE(M48," / ","&lt;/s&gt;&lt;s&gt;") &amp; "&lt;/s&gt;&lt;/t&gt;","(//s[contains(.,'DDR')])[1]"),"")</f>
        <v/>
      </c>
      <c r="P48" t="e">
        <f t="shared" si="1"/>
        <v>#N/A</v>
      </c>
      <c r="Q48" t="str" cm="1">
        <f t="array" ref="Q48">_xlfn.TEXTJOIN(", ", TRUE, _xlfn._xlws.FILTER(Input!W:W, Input!J:J=B48))</f>
        <v/>
      </c>
      <c r="S48" s="13" t="str">
        <f>_xlfn.LET(_xlpm.Result,_xlfn.XLOOKUP(B48,Input!J:J,Input!AB:AB),IF(_xlpm.Result="","",_xlpm.Result))</f>
        <v/>
      </c>
      <c r="T48" s="13" t="str" cm="1">
        <f t="array" ref="T48">IFERROR(_xlfn.IFS(
   --S48&lt;55,"Battery Defect",
  -- S48&lt;=69,"Battery D",
  --S48&lt;=80,"Battery C",
 --S48&gt;80,""
),"")</f>
        <v/>
      </c>
      <c r="U48" s="13" t="str" cm="1">
        <f t="array" ref="U48:Z48">IFERROR(IF(_xlfn.XLOOKUP(B48,Input!J:J,Input!N:S)=0,"",
          _xlfn.XLOOKUP(B48,Input!J:J,Input!N:S)),"")</f>
        <v/>
      </c>
      <c r="V48" s="13" t="str">
        <v/>
      </c>
      <c r="W48" s="13" t="str">
        <v/>
      </c>
      <c r="X48" s="13" t="str">
        <v/>
      </c>
      <c r="Y48" s="13" t="str">
        <v/>
      </c>
      <c r="Z48" s="13" t="str">
        <v/>
      </c>
      <c r="AA48" t="str">
        <f t="shared" si="2"/>
        <v/>
      </c>
      <c r="AB48" t="str">
        <f>_xlfn.XLOOKUP(B:B,Disk_Pivot!G:G,Disk_Pivot!I:I)</f>
        <v>No</v>
      </c>
      <c r="AC48" t="str">
        <f>_xlfn.XLOOKUP(B48,Disk_Pivot!G:G,Disk_Pivot!N:N)</f>
        <v/>
      </c>
    </row>
    <row r="49" spans="1:29">
      <c r="A49" t="str">
        <f>_xlfn.TEXTJOIN("",TRUE,_xlfn.XLOOKUP(B49,Input!J:J,Input!G:G,"",0,1),_xlfn.XLOOKUP(B49,Input!J:J,Input!H:H,"",0,1))</f>
        <v/>
      </c>
      <c r="C49" s="13">
        <f>_xlfn.XLOOKUP(B49,Input!J:J,Input!F:F)</f>
        <v>0</v>
      </c>
      <c r="D49">
        <f>_xlfn.XLOOKUP(C49,Models!H:H,Models!G:G,C49)</f>
        <v>0</v>
      </c>
      <c r="F49" t="str">
        <f>_xlfn.XLOOKUP(H49,Models!B:B,Models!F:F,"")</f>
        <v/>
      </c>
      <c r="G49">
        <f>_xlfn.XLOOKUP(B49,Input!J:J,Input!E:E)</f>
        <v>0</v>
      </c>
      <c r="H49">
        <f>IF(G49="LENOVO",_xlfn.XLOOKUP(B49,Input!J:J,Input!K:K),_xlfn.XLOOKUP(B49,Input!J:J,Input!L:L))</f>
        <v>0</v>
      </c>
      <c r="K49">
        <f>_xlfn.XLOOKUP(B49,CPU_Formula!A:A,CPU_Formula!I:I)</f>
        <v>0</v>
      </c>
      <c r="L49" s="13" t="e">
        <f>INDEX(Input!$D$2:$AD$500,
       MATCH(B49, Input!$J$2:$J$500, 0),
       MATCH("Memory Capacity", Input!$D$1:$AD$1, 0))</f>
        <v>#N/A</v>
      </c>
      <c r="M49" s="13" t="e">
        <f>INDEX(Input!$D$2:$AD$500,
       MATCH(B49, Input!$J$2:$J$500, 0),
       MATCH("Memory Type", Input!$D$1:$AD$1, 0))</f>
        <v>#N/A</v>
      </c>
      <c r="N49" s="13" t="e">
        <f t="shared" si="0"/>
        <v>#N/A</v>
      </c>
      <c r="O49" s="13" t="str" cm="1">
        <f t="array" ref="O49">IFERROR(_xlfn.FILTERXML("&lt;t&gt;&lt;s&gt;" &amp; SUBSTITUTE(M49," / ","&lt;/s&gt;&lt;s&gt;") &amp; "&lt;/s&gt;&lt;/t&gt;","(//s[contains(.,'DDR')])[1]"),"")</f>
        <v/>
      </c>
      <c r="P49" t="e">
        <f t="shared" si="1"/>
        <v>#N/A</v>
      </c>
      <c r="Q49" t="str" cm="1">
        <f t="array" ref="Q49">_xlfn.TEXTJOIN(", ", TRUE, _xlfn._xlws.FILTER(Input!W:W, Input!J:J=B49))</f>
        <v/>
      </c>
      <c r="S49" s="13" t="str">
        <f>_xlfn.LET(_xlpm.Result,_xlfn.XLOOKUP(B49,Input!J:J,Input!AB:AB),IF(_xlpm.Result="","",_xlpm.Result))</f>
        <v/>
      </c>
      <c r="T49" s="13" t="str" cm="1">
        <f t="array" ref="T49">IFERROR(_xlfn.IFS(
   --S49&lt;55,"Battery Defect",
  -- S49&lt;=69,"Battery D",
  --S49&lt;=80,"Battery C",
 --S49&gt;80,""
),"")</f>
        <v/>
      </c>
      <c r="U49" s="13" t="str" cm="1">
        <f t="array" ref="U49:Z49">IFERROR(IF(_xlfn.XLOOKUP(B49,Input!J:J,Input!N:S)=0,"",
          _xlfn.XLOOKUP(B49,Input!J:J,Input!N:S)),"")</f>
        <v/>
      </c>
      <c r="V49" s="13" t="str">
        <v/>
      </c>
      <c r="W49" s="13" t="str">
        <v/>
      </c>
      <c r="X49" s="13" t="str">
        <v/>
      </c>
      <c r="Y49" s="13" t="str">
        <v/>
      </c>
      <c r="Z49" s="13" t="str">
        <v/>
      </c>
      <c r="AA49" t="str">
        <f t="shared" si="2"/>
        <v/>
      </c>
      <c r="AB49" t="str">
        <f>_xlfn.XLOOKUP(B:B,Disk_Pivot!G:G,Disk_Pivot!I:I)</f>
        <v>No</v>
      </c>
      <c r="AC49" t="str">
        <f>_xlfn.XLOOKUP(B49,Disk_Pivot!G:G,Disk_Pivot!N:N)</f>
        <v/>
      </c>
    </row>
    <row r="50" spans="1:29">
      <c r="A50" t="str">
        <f>_xlfn.TEXTJOIN("",TRUE,_xlfn.XLOOKUP(B50,Input!J:J,Input!G:G,"",0,1),_xlfn.XLOOKUP(B50,Input!J:J,Input!H:H,"",0,1))</f>
        <v/>
      </c>
      <c r="C50" s="13">
        <f>_xlfn.XLOOKUP(B50,Input!J:J,Input!F:F)</f>
        <v>0</v>
      </c>
      <c r="D50">
        <f>_xlfn.XLOOKUP(C50,Models!H:H,Models!G:G,C50)</f>
        <v>0</v>
      </c>
      <c r="F50" t="str">
        <f>_xlfn.XLOOKUP(H50,Models!B:B,Models!F:F,"")</f>
        <v/>
      </c>
      <c r="G50">
        <f>_xlfn.XLOOKUP(B50,Input!J:J,Input!E:E)</f>
        <v>0</v>
      </c>
      <c r="H50">
        <f>IF(G50="LENOVO",_xlfn.XLOOKUP(B50,Input!J:J,Input!K:K),_xlfn.XLOOKUP(B50,Input!J:J,Input!L:L))</f>
        <v>0</v>
      </c>
      <c r="K50">
        <f>_xlfn.XLOOKUP(B50,CPU_Formula!A:A,CPU_Formula!I:I)</f>
        <v>0</v>
      </c>
      <c r="L50" s="13" t="e">
        <f>INDEX(Input!$D$2:$AD$500,
       MATCH(B50, Input!$J$2:$J$500, 0),
       MATCH("Memory Capacity", Input!$D$1:$AD$1, 0))</f>
        <v>#N/A</v>
      </c>
      <c r="M50" s="13" t="e">
        <f>INDEX(Input!$D$2:$AD$500,
       MATCH(B50, Input!$J$2:$J$500, 0),
       MATCH("Memory Type", Input!$D$1:$AD$1, 0))</f>
        <v>#N/A</v>
      </c>
      <c r="N50" s="13" t="e">
        <f t="shared" si="0"/>
        <v>#N/A</v>
      </c>
      <c r="O50" s="13" t="str" cm="1">
        <f t="array" ref="O50">IFERROR(_xlfn.FILTERXML("&lt;t&gt;&lt;s&gt;" &amp; SUBSTITUTE(M50," / ","&lt;/s&gt;&lt;s&gt;") &amp; "&lt;/s&gt;&lt;/t&gt;","(//s[contains(.,'DDR')])[1]"),"")</f>
        <v/>
      </c>
      <c r="P50" t="e">
        <f t="shared" si="1"/>
        <v>#N/A</v>
      </c>
      <c r="Q50" t="str" cm="1">
        <f t="array" ref="Q50">_xlfn.TEXTJOIN(", ", TRUE, _xlfn._xlws.FILTER(Input!W:W, Input!J:J=B50))</f>
        <v/>
      </c>
      <c r="S50" s="13" t="str">
        <f>_xlfn.LET(_xlpm.Result,_xlfn.XLOOKUP(B50,Input!J:J,Input!AB:AB),IF(_xlpm.Result="","",_xlpm.Result))</f>
        <v/>
      </c>
      <c r="T50" s="13" t="str" cm="1">
        <f t="array" ref="T50">IFERROR(_xlfn.IFS(
   --S50&lt;55,"Battery Defect",
  -- S50&lt;=69,"Battery D",
  --S50&lt;=80,"Battery C",
 --S50&gt;80,""
),"")</f>
        <v/>
      </c>
      <c r="U50" s="13" t="str" cm="1">
        <f t="array" ref="U50:Z50">IFERROR(IF(_xlfn.XLOOKUP(B50,Input!J:J,Input!N:S)=0,"",
          _xlfn.XLOOKUP(B50,Input!J:J,Input!N:S)),"")</f>
        <v/>
      </c>
      <c r="V50" s="13" t="str">
        <v/>
      </c>
      <c r="W50" s="13" t="str">
        <v/>
      </c>
      <c r="X50" s="13" t="str">
        <v/>
      </c>
      <c r="Y50" s="13" t="str">
        <v/>
      </c>
      <c r="Z50" s="13" t="str">
        <v/>
      </c>
      <c r="AA50" t="str">
        <f t="shared" si="2"/>
        <v/>
      </c>
      <c r="AB50" t="str">
        <f>_xlfn.XLOOKUP(B:B,Disk_Pivot!G:G,Disk_Pivot!I:I)</f>
        <v>No</v>
      </c>
      <c r="AC50" t="str">
        <f>_xlfn.XLOOKUP(B50,Disk_Pivot!G:G,Disk_Pivot!N:N)</f>
        <v/>
      </c>
    </row>
    <row r="51" spans="1:29">
      <c r="A51" t="str">
        <f>_xlfn.TEXTJOIN("",TRUE,_xlfn.XLOOKUP(B51,Input!J:J,Input!G:G,"",0,1),_xlfn.XLOOKUP(B51,Input!J:J,Input!H:H,"",0,1))</f>
        <v/>
      </c>
      <c r="C51" s="13">
        <f>_xlfn.XLOOKUP(B51,Input!J:J,Input!F:F)</f>
        <v>0</v>
      </c>
      <c r="D51">
        <f>_xlfn.XLOOKUP(C51,Models!H:H,Models!G:G,C51)</f>
        <v>0</v>
      </c>
      <c r="F51" t="str">
        <f>_xlfn.XLOOKUP(H51,Models!B:B,Models!F:F,"")</f>
        <v/>
      </c>
      <c r="G51">
        <f>_xlfn.XLOOKUP(B51,Input!J:J,Input!E:E)</f>
        <v>0</v>
      </c>
      <c r="H51">
        <f>IF(G51="LENOVO",_xlfn.XLOOKUP(B51,Input!J:J,Input!K:K),_xlfn.XLOOKUP(B51,Input!J:J,Input!L:L))</f>
        <v>0</v>
      </c>
      <c r="K51">
        <f>_xlfn.XLOOKUP(B51,CPU_Formula!A:A,CPU_Formula!I:I)</f>
        <v>0</v>
      </c>
      <c r="L51" s="13" t="e">
        <f>INDEX(Input!$D$2:$AD$500,
       MATCH(B51, Input!$J$2:$J$500, 0),
       MATCH("Memory Capacity", Input!$D$1:$AD$1, 0))</f>
        <v>#N/A</v>
      </c>
      <c r="M51" s="13" t="e">
        <f>INDEX(Input!$D$2:$AD$500,
       MATCH(B51, Input!$J$2:$J$500, 0),
       MATCH("Memory Type", Input!$D$1:$AD$1, 0))</f>
        <v>#N/A</v>
      </c>
      <c r="N51" s="13" t="e">
        <f t="shared" si="0"/>
        <v>#N/A</v>
      </c>
      <c r="O51" s="13" t="str" cm="1">
        <f t="array" ref="O51">IFERROR(_xlfn.FILTERXML("&lt;t&gt;&lt;s&gt;" &amp; SUBSTITUTE(M51," / ","&lt;/s&gt;&lt;s&gt;") &amp; "&lt;/s&gt;&lt;/t&gt;","(//s[contains(.,'DDR')])[1]"),"")</f>
        <v/>
      </c>
      <c r="P51" t="e">
        <f t="shared" si="1"/>
        <v>#N/A</v>
      </c>
      <c r="Q51" t="str" cm="1">
        <f t="array" ref="Q51">_xlfn.TEXTJOIN(", ", TRUE, _xlfn._xlws.FILTER(Input!W:W, Input!J:J=B51))</f>
        <v/>
      </c>
      <c r="S51" s="13" t="str">
        <f>_xlfn.LET(_xlpm.Result,_xlfn.XLOOKUP(B51,Input!J:J,Input!AB:AB),IF(_xlpm.Result="","",_xlpm.Result))</f>
        <v/>
      </c>
      <c r="T51" s="13" t="str" cm="1">
        <f t="array" ref="T51">IFERROR(_xlfn.IFS(
   --S51&lt;55,"Battery Defect",
  -- S51&lt;=69,"Battery D",
  --S51&lt;=80,"Battery C",
 --S51&gt;80,""
),"")</f>
        <v/>
      </c>
      <c r="U51" s="13" t="str" cm="1">
        <f t="array" ref="U51:Z51">IFERROR(IF(_xlfn.XLOOKUP(B51,Input!J:J,Input!N:S)=0,"",
          _xlfn.XLOOKUP(B51,Input!J:J,Input!N:S)),"")</f>
        <v/>
      </c>
      <c r="V51" s="13" t="str">
        <v/>
      </c>
      <c r="W51" s="13" t="str">
        <v/>
      </c>
      <c r="X51" s="13" t="str">
        <v/>
      </c>
      <c r="Y51" s="13" t="str">
        <v/>
      </c>
      <c r="Z51" s="13" t="str">
        <v/>
      </c>
      <c r="AA51" t="str">
        <f t="shared" si="2"/>
        <v/>
      </c>
      <c r="AB51" t="str">
        <f>_xlfn.XLOOKUP(B:B,Disk_Pivot!G:G,Disk_Pivot!I:I)</f>
        <v>No</v>
      </c>
      <c r="AC51" t="str">
        <f>_xlfn.XLOOKUP(B51,Disk_Pivot!G:G,Disk_Pivot!N:N)</f>
        <v/>
      </c>
    </row>
    <row r="52" spans="1:29">
      <c r="A52" t="str">
        <f>_xlfn.TEXTJOIN("",TRUE,_xlfn.XLOOKUP(B52,Input!J:J,Input!G:G,"",0,1),_xlfn.XLOOKUP(B52,Input!J:J,Input!H:H,"",0,1))</f>
        <v/>
      </c>
      <c r="C52" s="13">
        <f>_xlfn.XLOOKUP(B52,Input!J:J,Input!F:F)</f>
        <v>0</v>
      </c>
      <c r="D52">
        <f>_xlfn.XLOOKUP(C52,Models!H:H,Models!G:G,C52)</f>
        <v>0</v>
      </c>
      <c r="F52" t="str">
        <f>_xlfn.XLOOKUP(H52,Models!B:B,Models!F:F,"")</f>
        <v/>
      </c>
      <c r="G52">
        <f>_xlfn.XLOOKUP(B52,Input!J:J,Input!E:E)</f>
        <v>0</v>
      </c>
      <c r="H52">
        <f>IF(G52="LENOVO",_xlfn.XLOOKUP(B52,Input!J:J,Input!K:K),_xlfn.XLOOKUP(B52,Input!J:J,Input!L:L))</f>
        <v>0</v>
      </c>
      <c r="K52">
        <f>_xlfn.XLOOKUP(B52,CPU_Formula!A:A,CPU_Formula!I:I)</f>
        <v>0</v>
      </c>
      <c r="L52" s="13" t="e">
        <f>INDEX(Input!$D$2:$AD$500,
       MATCH(B52, Input!$J$2:$J$500, 0),
       MATCH("Memory Capacity", Input!$D$1:$AD$1, 0))</f>
        <v>#N/A</v>
      </c>
      <c r="M52" s="13" t="e">
        <f>INDEX(Input!$D$2:$AD$500,
       MATCH(B52, Input!$J$2:$J$500, 0),
       MATCH("Memory Type", Input!$D$1:$AD$1, 0))</f>
        <v>#N/A</v>
      </c>
      <c r="N52" s="13" t="e">
        <f t="shared" si="0"/>
        <v>#N/A</v>
      </c>
      <c r="O52" s="13" t="str" cm="1">
        <f t="array" ref="O52">IFERROR(_xlfn.FILTERXML("&lt;t&gt;&lt;s&gt;" &amp; SUBSTITUTE(M52," / ","&lt;/s&gt;&lt;s&gt;") &amp; "&lt;/s&gt;&lt;/t&gt;","(//s[contains(.,'DDR')])[1]"),"")</f>
        <v/>
      </c>
      <c r="P52" t="e">
        <f t="shared" si="1"/>
        <v>#N/A</v>
      </c>
      <c r="Q52" t="str" cm="1">
        <f t="array" ref="Q52">_xlfn.TEXTJOIN(", ", TRUE, _xlfn._xlws.FILTER(Input!W:W, Input!J:J=B52))</f>
        <v/>
      </c>
      <c r="S52" s="13" t="str">
        <f>_xlfn.LET(_xlpm.Result,_xlfn.XLOOKUP(B52,Input!J:J,Input!AB:AB),IF(_xlpm.Result="","",_xlpm.Result))</f>
        <v/>
      </c>
      <c r="T52" s="13" t="str" cm="1">
        <f t="array" ref="T52">IFERROR(_xlfn.IFS(
   --S52&lt;55,"Battery Defect",
  -- S52&lt;=69,"Battery D",
  --S52&lt;=80,"Battery C",
 --S52&gt;80,""
),"")</f>
        <v/>
      </c>
      <c r="U52" s="13" t="str" cm="1">
        <f t="array" ref="U52:Z52">IFERROR(IF(_xlfn.XLOOKUP(B52,Input!J:J,Input!N:S)=0,"",
          _xlfn.XLOOKUP(B52,Input!J:J,Input!N:S)),"")</f>
        <v/>
      </c>
      <c r="V52" s="13" t="str">
        <v/>
      </c>
      <c r="W52" s="13" t="str">
        <v/>
      </c>
      <c r="X52" s="13" t="str">
        <v/>
      </c>
      <c r="Y52" s="13" t="str">
        <v/>
      </c>
      <c r="Z52" s="13" t="str">
        <v/>
      </c>
      <c r="AA52" t="str">
        <f t="shared" si="2"/>
        <v/>
      </c>
      <c r="AB52" t="str">
        <f>_xlfn.XLOOKUP(B:B,Disk_Pivot!G:G,Disk_Pivot!I:I)</f>
        <v>No</v>
      </c>
      <c r="AC52" t="str">
        <f>_xlfn.XLOOKUP(B52,Disk_Pivot!G:G,Disk_Pivot!N:N)</f>
        <v/>
      </c>
    </row>
    <row r="53" spans="1:29">
      <c r="A53" t="str">
        <f>_xlfn.TEXTJOIN("",TRUE,_xlfn.XLOOKUP(B53,Input!J:J,Input!G:G,"",0,1),_xlfn.XLOOKUP(B53,Input!J:J,Input!H:H,"",0,1))</f>
        <v/>
      </c>
      <c r="C53" s="13">
        <f>_xlfn.XLOOKUP(B53,Input!J:J,Input!F:F)</f>
        <v>0</v>
      </c>
      <c r="D53">
        <f>_xlfn.XLOOKUP(C53,Models!H:H,Models!G:G,C53)</f>
        <v>0</v>
      </c>
      <c r="F53" t="str">
        <f>_xlfn.XLOOKUP(H53,Models!B:B,Models!F:F,"")</f>
        <v/>
      </c>
      <c r="G53">
        <f>_xlfn.XLOOKUP(B53,Input!J:J,Input!E:E)</f>
        <v>0</v>
      </c>
      <c r="H53">
        <f>IF(G53="LENOVO",_xlfn.XLOOKUP(B53,Input!J:J,Input!K:K),_xlfn.XLOOKUP(B53,Input!J:J,Input!L:L))</f>
        <v>0</v>
      </c>
      <c r="K53">
        <f>_xlfn.XLOOKUP(B53,CPU_Formula!A:A,CPU_Formula!I:I)</f>
        <v>0</v>
      </c>
      <c r="L53" s="13" t="e">
        <f>INDEX(Input!$D$2:$AD$500,
       MATCH(B53, Input!$J$2:$J$500, 0),
       MATCH("Memory Capacity", Input!$D$1:$AD$1, 0))</f>
        <v>#N/A</v>
      </c>
      <c r="M53" s="13" t="e">
        <f>INDEX(Input!$D$2:$AD$500,
       MATCH(B53, Input!$J$2:$J$500, 0),
       MATCH("Memory Type", Input!$D$1:$AD$1, 0))</f>
        <v>#N/A</v>
      </c>
      <c r="N53" s="13" t="e">
        <f t="shared" si="0"/>
        <v>#N/A</v>
      </c>
      <c r="O53" s="13" t="str" cm="1">
        <f t="array" ref="O53">IFERROR(_xlfn.FILTERXML("&lt;t&gt;&lt;s&gt;" &amp; SUBSTITUTE(M53," / ","&lt;/s&gt;&lt;s&gt;") &amp; "&lt;/s&gt;&lt;/t&gt;","(//s[contains(.,'DDR')])[1]"),"")</f>
        <v/>
      </c>
      <c r="P53" t="e">
        <f t="shared" si="1"/>
        <v>#N/A</v>
      </c>
      <c r="Q53" t="str" cm="1">
        <f t="array" ref="Q53">_xlfn.TEXTJOIN(", ", TRUE, _xlfn._xlws.FILTER(Input!W:W, Input!J:J=B53))</f>
        <v/>
      </c>
      <c r="S53" s="13" t="str">
        <f>_xlfn.LET(_xlpm.Result,_xlfn.XLOOKUP(B53,Input!J:J,Input!AB:AB),IF(_xlpm.Result="","",_xlpm.Result))</f>
        <v/>
      </c>
      <c r="T53" s="13" t="str" cm="1">
        <f t="array" ref="T53">IFERROR(_xlfn.IFS(
   --S53&lt;55,"Battery Defect",
  -- S53&lt;=69,"Battery D",
  --S53&lt;=80,"Battery C",
 --S53&gt;80,""
),"")</f>
        <v/>
      </c>
      <c r="U53" s="13" t="str" cm="1">
        <f t="array" ref="U53:Z53">IFERROR(IF(_xlfn.XLOOKUP(B53,Input!J:J,Input!N:S)=0,"",
          _xlfn.XLOOKUP(B53,Input!J:J,Input!N:S)),"")</f>
        <v/>
      </c>
      <c r="V53" s="13" t="str">
        <v/>
      </c>
      <c r="W53" s="13" t="str">
        <v/>
      </c>
      <c r="X53" s="13" t="str">
        <v/>
      </c>
      <c r="Y53" s="13" t="str">
        <v/>
      </c>
      <c r="Z53" s="13" t="str">
        <v/>
      </c>
      <c r="AA53" t="str">
        <f t="shared" si="2"/>
        <v/>
      </c>
      <c r="AB53" t="str">
        <f>_xlfn.XLOOKUP(B:B,Disk_Pivot!G:G,Disk_Pivot!I:I)</f>
        <v>No</v>
      </c>
      <c r="AC53" t="str">
        <f>_xlfn.XLOOKUP(B53,Disk_Pivot!G:G,Disk_Pivot!N:N)</f>
        <v/>
      </c>
    </row>
    <row r="54" spans="1:29">
      <c r="A54" t="str">
        <f>_xlfn.TEXTJOIN("",TRUE,_xlfn.XLOOKUP(B54,Input!J:J,Input!G:G,"",0,1),_xlfn.XLOOKUP(B54,Input!J:J,Input!H:H,"",0,1))</f>
        <v/>
      </c>
      <c r="C54" s="13">
        <f>_xlfn.XLOOKUP(B54,Input!J:J,Input!F:F)</f>
        <v>0</v>
      </c>
      <c r="D54">
        <f>_xlfn.XLOOKUP(C54,Models!H:H,Models!G:G,C54)</f>
        <v>0</v>
      </c>
      <c r="F54" t="str">
        <f>_xlfn.XLOOKUP(H54,Models!B:B,Models!F:F,"")</f>
        <v/>
      </c>
      <c r="G54">
        <f>_xlfn.XLOOKUP(B54,Input!J:J,Input!E:E)</f>
        <v>0</v>
      </c>
      <c r="H54">
        <f>IF(G54="LENOVO",_xlfn.XLOOKUP(B54,Input!J:J,Input!K:K),_xlfn.XLOOKUP(B54,Input!J:J,Input!L:L))</f>
        <v>0</v>
      </c>
      <c r="K54">
        <f>_xlfn.XLOOKUP(B54,CPU_Formula!A:A,CPU_Formula!I:I)</f>
        <v>0</v>
      </c>
      <c r="L54" s="13" t="e">
        <f>INDEX(Input!$D$2:$AD$500,
       MATCH(B54, Input!$J$2:$J$500, 0),
       MATCH("Memory Capacity", Input!$D$1:$AD$1, 0))</f>
        <v>#N/A</v>
      </c>
      <c r="M54" s="13" t="e">
        <f>INDEX(Input!$D$2:$AD$500,
       MATCH(B54, Input!$J$2:$J$500, 0),
       MATCH("Memory Type", Input!$D$1:$AD$1, 0))</f>
        <v>#N/A</v>
      </c>
      <c r="N54" s="13" t="e">
        <f t="shared" si="0"/>
        <v>#N/A</v>
      </c>
      <c r="O54" s="13" t="str" cm="1">
        <f t="array" ref="O54">IFERROR(_xlfn.FILTERXML("&lt;t&gt;&lt;s&gt;" &amp; SUBSTITUTE(M54," / ","&lt;/s&gt;&lt;s&gt;") &amp; "&lt;/s&gt;&lt;/t&gt;","(//s[contains(.,'DDR')])[1]"),"")</f>
        <v/>
      </c>
      <c r="P54" t="e">
        <f t="shared" si="1"/>
        <v>#N/A</v>
      </c>
      <c r="Q54" t="str" cm="1">
        <f t="array" ref="Q54">_xlfn.TEXTJOIN(", ", TRUE, _xlfn._xlws.FILTER(Input!W:W, Input!J:J=B54))</f>
        <v/>
      </c>
      <c r="S54" s="13" t="str">
        <f>_xlfn.LET(_xlpm.Result,_xlfn.XLOOKUP(B54,Input!J:J,Input!AB:AB),IF(_xlpm.Result="","",_xlpm.Result))</f>
        <v/>
      </c>
      <c r="T54" s="13" t="str" cm="1">
        <f t="array" ref="T54">IFERROR(_xlfn.IFS(
   --S54&lt;55,"Battery Defect",
  -- S54&lt;=69,"Battery D",
  --S54&lt;=80,"Battery C",
 --S54&gt;80,""
),"")</f>
        <v/>
      </c>
      <c r="U54" s="13" t="str" cm="1">
        <f t="array" ref="U54:Z54">IFERROR(IF(_xlfn.XLOOKUP(B54,Input!J:J,Input!N:S)=0,"",
          _xlfn.XLOOKUP(B54,Input!J:J,Input!N:S)),"")</f>
        <v/>
      </c>
      <c r="V54" s="13" t="str">
        <v/>
      </c>
      <c r="W54" s="13" t="str">
        <v/>
      </c>
      <c r="X54" s="13" t="str">
        <v/>
      </c>
      <c r="Y54" s="13" t="str">
        <v/>
      </c>
      <c r="Z54" s="13" t="str">
        <v/>
      </c>
      <c r="AA54" t="str">
        <f t="shared" si="2"/>
        <v/>
      </c>
      <c r="AB54" t="str">
        <f>_xlfn.XLOOKUP(B:B,Disk_Pivot!G:G,Disk_Pivot!I:I)</f>
        <v>No</v>
      </c>
      <c r="AC54" t="str">
        <f>_xlfn.XLOOKUP(B54,Disk_Pivot!G:G,Disk_Pivot!N:N)</f>
        <v/>
      </c>
    </row>
    <row r="55" spans="1:29">
      <c r="A55" t="str">
        <f>_xlfn.TEXTJOIN("",TRUE,_xlfn.XLOOKUP(B55,Input!J:J,Input!G:G,"",0,1),_xlfn.XLOOKUP(B55,Input!J:J,Input!H:H,"",0,1))</f>
        <v/>
      </c>
      <c r="C55" s="13">
        <f>_xlfn.XLOOKUP(B55,Input!J:J,Input!F:F)</f>
        <v>0</v>
      </c>
      <c r="D55">
        <f>_xlfn.XLOOKUP(C55,Models!H:H,Models!G:G,C55)</f>
        <v>0</v>
      </c>
      <c r="F55" t="str">
        <f>_xlfn.XLOOKUP(H55,Models!B:B,Models!F:F,"")</f>
        <v/>
      </c>
      <c r="G55">
        <f>_xlfn.XLOOKUP(B55,Input!J:J,Input!E:E)</f>
        <v>0</v>
      </c>
      <c r="H55">
        <f>IF(G55="LENOVO",_xlfn.XLOOKUP(B55,Input!J:J,Input!K:K),_xlfn.XLOOKUP(B55,Input!J:J,Input!L:L))</f>
        <v>0</v>
      </c>
      <c r="K55">
        <f>_xlfn.XLOOKUP(B55,CPU_Formula!A:A,CPU_Formula!I:I)</f>
        <v>0</v>
      </c>
      <c r="L55" s="13" t="e">
        <f>INDEX(Input!$D$2:$AD$500,
       MATCH(B55, Input!$J$2:$J$500, 0),
       MATCH("Memory Capacity", Input!$D$1:$AD$1, 0))</f>
        <v>#N/A</v>
      </c>
      <c r="M55" s="13" t="e">
        <f>INDEX(Input!$D$2:$AD$500,
       MATCH(B55, Input!$J$2:$J$500, 0),
       MATCH("Memory Type", Input!$D$1:$AD$1, 0))</f>
        <v>#N/A</v>
      </c>
      <c r="N55" s="13" t="e">
        <f t="shared" si="0"/>
        <v>#N/A</v>
      </c>
      <c r="O55" s="13" t="str" cm="1">
        <f t="array" ref="O55">IFERROR(_xlfn.FILTERXML("&lt;t&gt;&lt;s&gt;" &amp; SUBSTITUTE(M55," / ","&lt;/s&gt;&lt;s&gt;") &amp; "&lt;/s&gt;&lt;/t&gt;","(//s[contains(.,'DDR')])[1]"),"")</f>
        <v/>
      </c>
      <c r="P55" t="e">
        <f t="shared" si="1"/>
        <v>#N/A</v>
      </c>
      <c r="Q55" t="str" cm="1">
        <f t="array" ref="Q55">_xlfn.TEXTJOIN(", ", TRUE, _xlfn._xlws.FILTER(Input!W:W, Input!J:J=B55))</f>
        <v/>
      </c>
      <c r="S55" s="13" t="str">
        <f>_xlfn.LET(_xlpm.Result,_xlfn.XLOOKUP(B55,Input!J:J,Input!AB:AB),IF(_xlpm.Result="","",_xlpm.Result))</f>
        <v/>
      </c>
      <c r="T55" s="13" t="str" cm="1">
        <f t="array" ref="T55">IFERROR(_xlfn.IFS(
   --S55&lt;55,"Battery Defect",
  -- S55&lt;=69,"Battery D",
  --S55&lt;=80,"Battery C",
 --S55&gt;80,""
),"")</f>
        <v/>
      </c>
      <c r="U55" s="13" t="str" cm="1">
        <f t="array" ref="U55:Z55">IFERROR(IF(_xlfn.XLOOKUP(B55,Input!J:J,Input!N:S)=0,"",
          _xlfn.XLOOKUP(B55,Input!J:J,Input!N:S)),"")</f>
        <v/>
      </c>
      <c r="V55" s="13" t="str">
        <v/>
      </c>
      <c r="W55" s="13" t="str">
        <v/>
      </c>
      <c r="X55" s="13" t="str">
        <v/>
      </c>
      <c r="Y55" s="13" t="str">
        <v/>
      </c>
      <c r="Z55" s="13" t="str">
        <v/>
      </c>
      <c r="AA55" t="str">
        <f t="shared" si="2"/>
        <v/>
      </c>
      <c r="AB55" t="str">
        <f>_xlfn.XLOOKUP(B:B,Disk_Pivot!G:G,Disk_Pivot!I:I)</f>
        <v>No</v>
      </c>
      <c r="AC55" t="str">
        <f>_xlfn.XLOOKUP(B55,Disk_Pivot!G:G,Disk_Pivot!N:N)</f>
        <v/>
      </c>
    </row>
    <row r="56" spans="1:29">
      <c r="A56" t="str">
        <f>_xlfn.TEXTJOIN("",TRUE,_xlfn.XLOOKUP(B56,Input!J:J,Input!G:G,"",0,1),_xlfn.XLOOKUP(B56,Input!J:J,Input!H:H,"",0,1))</f>
        <v/>
      </c>
      <c r="C56" s="13">
        <f>_xlfn.XLOOKUP(B56,Input!J:J,Input!F:F)</f>
        <v>0</v>
      </c>
      <c r="D56">
        <f>_xlfn.XLOOKUP(C56,Models!H:H,Models!G:G,C56)</f>
        <v>0</v>
      </c>
      <c r="F56" t="str">
        <f>_xlfn.XLOOKUP(H56,Models!B:B,Models!F:F,"")</f>
        <v/>
      </c>
      <c r="G56">
        <f>_xlfn.XLOOKUP(B56,Input!J:J,Input!E:E)</f>
        <v>0</v>
      </c>
      <c r="H56">
        <f>IF(G56="LENOVO",_xlfn.XLOOKUP(B56,Input!J:J,Input!K:K),_xlfn.XLOOKUP(B56,Input!J:J,Input!L:L))</f>
        <v>0</v>
      </c>
      <c r="K56">
        <f>_xlfn.XLOOKUP(B56,CPU_Formula!A:A,CPU_Formula!I:I)</f>
        <v>0</v>
      </c>
      <c r="L56" s="13" t="e">
        <f>INDEX(Input!$D$2:$AD$500,
       MATCH(B56, Input!$J$2:$J$500, 0),
       MATCH("Memory Capacity", Input!$D$1:$AD$1, 0))</f>
        <v>#N/A</v>
      </c>
      <c r="M56" s="13" t="e">
        <f>INDEX(Input!$D$2:$AD$500,
       MATCH(B56, Input!$J$2:$J$500, 0),
       MATCH("Memory Type", Input!$D$1:$AD$1, 0))</f>
        <v>#N/A</v>
      </c>
      <c r="N56" s="13" t="e">
        <f t="shared" si="0"/>
        <v>#N/A</v>
      </c>
      <c r="O56" s="13" t="str" cm="1">
        <f t="array" ref="O56">IFERROR(_xlfn.FILTERXML("&lt;t&gt;&lt;s&gt;" &amp; SUBSTITUTE(M56," / ","&lt;/s&gt;&lt;s&gt;") &amp; "&lt;/s&gt;&lt;/t&gt;","(//s[contains(.,'DDR')])[1]"),"")</f>
        <v/>
      </c>
      <c r="P56" t="e">
        <f t="shared" si="1"/>
        <v>#N/A</v>
      </c>
      <c r="Q56" t="str" cm="1">
        <f t="array" ref="Q56">_xlfn.TEXTJOIN(", ", TRUE, _xlfn._xlws.FILTER(Input!W:W, Input!J:J=B56))</f>
        <v/>
      </c>
      <c r="S56" s="13" t="str">
        <f>_xlfn.LET(_xlpm.Result,_xlfn.XLOOKUP(B56,Input!J:J,Input!AB:AB),IF(_xlpm.Result="","",_xlpm.Result))</f>
        <v/>
      </c>
      <c r="T56" s="13" t="str" cm="1">
        <f t="array" ref="T56">IFERROR(_xlfn.IFS(
   --S56&lt;55,"Battery Defect",
  -- S56&lt;=69,"Battery D",
  --S56&lt;=80,"Battery C",
 --S56&gt;80,""
),"")</f>
        <v/>
      </c>
      <c r="U56" s="13" t="str" cm="1">
        <f t="array" ref="U56:Z56">IFERROR(IF(_xlfn.XLOOKUP(B56,Input!J:J,Input!N:S)=0,"",
          _xlfn.XLOOKUP(B56,Input!J:J,Input!N:S)),"")</f>
        <v/>
      </c>
      <c r="V56" s="13" t="str">
        <v/>
      </c>
      <c r="W56" s="13" t="str">
        <v/>
      </c>
      <c r="X56" s="13" t="str">
        <v/>
      </c>
      <c r="Y56" s="13" t="str">
        <v/>
      </c>
      <c r="Z56" s="13" t="str">
        <v/>
      </c>
      <c r="AA56" t="str">
        <f t="shared" si="2"/>
        <v/>
      </c>
      <c r="AB56" t="str">
        <f>_xlfn.XLOOKUP(B:B,Disk_Pivot!G:G,Disk_Pivot!I:I)</f>
        <v>No</v>
      </c>
      <c r="AC56" t="str">
        <f>_xlfn.XLOOKUP(B56,Disk_Pivot!G:G,Disk_Pivot!N:N)</f>
        <v/>
      </c>
    </row>
    <row r="57" spans="1:29">
      <c r="A57" t="str">
        <f>_xlfn.TEXTJOIN("",TRUE,_xlfn.XLOOKUP(B57,Input!J:J,Input!G:G,"",0,1),_xlfn.XLOOKUP(B57,Input!J:J,Input!H:H,"",0,1))</f>
        <v/>
      </c>
      <c r="C57" s="13">
        <f>_xlfn.XLOOKUP(B57,Input!J:J,Input!F:F)</f>
        <v>0</v>
      </c>
      <c r="D57">
        <f>_xlfn.XLOOKUP(C57,Models!H:H,Models!G:G,C57)</f>
        <v>0</v>
      </c>
      <c r="F57" t="str">
        <f>_xlfn.XLOOKUP(H57,Models!B:B,Models!F:F,"")</f>
        <v/>
      </c>
      <c r="G57">
        <f>_xlfn.XLOOKUP(B57,Input!J:J,Input!E:E)</f>
        <v>0</v>
      </c>
      <c r="H57">
        <f>IF(G57="LENOVO",_xlfn.XLOOKUP(B57,Input!J:J,Input!K:K),_xlfn.XLOOKUP(B57,Input!J:J,Input!L:L))</f>
        <v>0</v>
      </c>
      <c r="K57">
        <f>_xlfn.XLOOKUP(B57,CPU_Formula!A:A,CPU_Formula!I:I)</f>
        <v>0</v>
      </c>
      <c r="L57" s="13" t="e">
        <f>INDEX(Input!$D$2:$AD$500,
       MATCH(B57, Input!$J$2:$J$500, 0),
       MATCH("Memory Capacity", Input!$D$1:$AD$1, 0))</f>
        <v>#N/A</v>
      </c>
      <c r="M57" s="13" t="e">
        <f>INDEX(Input!$D$2:$AD$500,
       MATCH(B57, Input!$J$2:$J$500, 0),
       MATCH("Memory Type", Input!$D$1:$AD$1, 0))</f>
        <v>#N/A</v>
      </c>
      <c r="N57" s="13" t="e">
        <f t="shared" si="0"/>
        <v>#N/A</v>
      </c>
      <c r="O57" s="13" t="str" cm="1">
        <f t="array" ref="O57">IFERROR(_xlfn.FILTERXML("&lt;t&gt;&lt;s&gt;" &amp; SUBSTITUTE(M57," / ","&lt;/s&gt;&lt;s&gt;") &amp; "&lt;/s&gt;&lt;/t&gt;","(//s[contains(.,'DDR')])[1]"),"")</f>
        <v/>
      </c>
      <c r="P57" t="e">
        <f t="shared" si="1"/>
        <v>#N/A</v>
      </c>
      <c r="Q57" t="str" cm="1">
        <f t="array" ref="Q57">_xlfn.TEXTJOIN(", ", TRUE, _xlfn._xlws.FILTER(Input!W:W, Input!J:J=B57))</f>
        <v/>
      </c>
      <c r="S57" s="13" t="str">
        <f>_xlfn.LET(_xlpm.Result,_xlfn.XLOOKUP(B57,Input!J:J,Input!AB:AB),IF(_xlpm.Result="","",_xlpm.Result))</f>
        <v/>
      </c>
      <c r="T57" s="13" t="str" cm="1">
        <f t="array" ref="T57">IFERROR(_xlfn.IFS(
   --S57&lt;55,"Battery Defect",
  -- S57&lt;=69,"Battery D",
  --S57&lt;=80,"Battery C",
 --S57&gt;80,""
),"")</f>
        <v/>
      </c>
      <c r="U57" s="13" t="str" cm="1">
        <f t="array" ref="U57:Z57">IFERROR(IF(_xlfn.XLOOKUP(B57,Input!J:J,Input!N:S)=0,"",
          _xlfn.XLOOKUP(B57,Input!J:J,Input!N:S)),"")</f>
        <v/>
      </c>
      <c r="V57" s="13" t="str">
        <v/>
      </c>
      <c r="W57" s="13" t="str">
        <v/>
      </c>
      <c r="X57" s="13" t="str">
        <v/>
      </c>
      <c r="Y57" s="13" t="str">
        <v/>
      </c>
      <c r="Z57" s="13" t="str">
        <v/>
      </c>
      <c r="AA57" t="str">
        <f t="shared" si="2"/>
        <v/>
      </c>
      <c r="AB57" t="str">
        <f>_xlfn.XLOOKUP(B:B,Disk_Pivot!G:G,Disk_Pivot!I:I)</f>
        <v>No</v>
      </c>
      <c r="AC57" t="str">
        <f>_xlfn.XLOOKUP(B57,Disk_Pivot!G:G,Disk_Pivot!N:N)</f>
        <v/>
      </c>
    </row>
    <row r="58" spans="1:29">
      <c r="A58" t="str">
        <f>_xlfn.TEXTJOIN("",TRUE,_xlfn.XLOOKUP(B58,Input!J:J,Input!G:G,"",0,1),_xlfn.XLOOKUP(B58,Input!J:J,Input!H:H,"",0,1))</f>
        <v/>
      </c>
      <c r="C58" s="13">
        <f>_xlfn.XLOOKUP(B58,Input!J:J,Input!F:F)</f>
        <v>0</v>
      </c>
      <c r="D58">
        <f>_xlfn.XLOOKUP(C58,Models!H:H,Models!G:G,C58)</f>
        <v>0</v>
      </c>
      <c r="F58" t="str">
        <f>_xlfn.XLOOKUP(H58,Models!B:B,Models!F:F,"")</f>
        <v/>
      </c>
      <c r="G58">
        <f>_xlfn.XLOOKUP(B58,Input!J:J,Input!E:E)</f>
        <v>0</v>
      </c>
      <c r="H58">
        <f>IF(G58="LENOVO",_xlfn.XLOOKUP(B58,Input!J:J,Input!K:K),_xlfn.XLOOKUP(B58,Input!J:J,Input!L:L))</f>
        <v>0</v>
      </c>
      <c r="K58">
        <f>_xlfn.XLOOKUP(B58,CPU_Formula!A:A,CPU_Formula!I:I)</f>
        <v>0</v>
      </c>
      <c r="L58" s="13" t="e">
        <f>INDEX(Input!$D$2:$AD$500,
       MATCH(B58, Input!$J$2:$J$500, 0),
       MATCH("Memory Capacity", Input!$D$1:$AD$1, 0))</f>
        <v>#N/A</v>
      </c>
      <c r="M58" s="13" t="e">
        <f>INDEX(Input!$D$2:$AD$500,
       MATCH(B58, Input!$J$2:$J$500, 0),
       MATCH("Memory Type", Input!$D$1:$AD$1, 0))</f>
        <v>#N/A</v>
      </c>
      <c r="N58" s="13" t="e">
        <f t="shared" si="0"/>
        <v>#N/A</v>
      </c>
      <c r="O58" s="13" t="str" cm="1">
        <f t="array" ref="O58">IFERROR(_xlfn.FILTERXML("&lt;t&gt;&lt;s&gt;" &amp; SUBSTITUTE(M58," / ","&lt;/s&gt;&lt;s&gt;") &amp; "&lt;/s&gt;&lt;/t&gt;","(//s[contains(.,'DDR')])[1]"),"")</f>
        <v/>
      </c>
      <c r="P58" t="e">
        <f t="shared" si="1"/>
        <v>#N/A</v>
      </c>
      <c r="Q58" t="str" cm="1">
        <f t="array" ref="Q58">_xlfn.TEXTJOIN(", ", TRUE, _xlfn._xlws.FILTER(Input!W:W, Input!J:J=B58))</f>
        <v/>
      </c>
      <c r="S58" s="13" t="str">
        <f>_xlfn.LET(_xlpm.Result,_xlfn.XLOOKUP(B58,Input!J:J,Input!AB:AB),IF(_xlpm.Result="","",_xlpm.Result))</f>
        <v/>
      </c>
      <c r="T58" s="13" t="str" cm="1">
        <f t="array" ref="T58">IFERROR(_xlfn.IFS(
   --S58&lt;55,"Battery Defect",
  -- S58&lt;=69,"Battery D",
  --S58&lt;=80,"Battery C",
 --S58&gt;80,""
),"")</f>
        <v/>
      </c>
      <c r="U58" s="13" t="str" cm="1">
        <f t="array" ref="U58:Z58">IFERROR(IF(_xlfn.XLOOKUP(B58,Input!J:J,Input!N:S)=0,"",
          _xlfn.XLOOKUP(B58,Input!J:J,Input!N:S)),"")</f>
        <v/>
      </c>
      <c r="V58" s="13" t="str">
        <v/>
      </c>
      <c r="W58" s="13" t="str">
        <v/>
      </c>
      <c r="X58" s="13" t="str">
        <v/>
      </c>
      <c r="Y58" s="13" t="str">
        <v/>
      </c>
      <c r="Z58" s="13" t="str">
        <v/>
      </c>
      <c r="AA58" t="str">
        <f t="shared" si="2"/>
        <v/>
      </c>
      <c r="AB58" t="str">
        <f>_xlfn.XLOOKUP(B:B,Disk_Pivot!G:G,Disk_Pivot!I:I)</f>
        <v>No</v>
      </c>
      <c r="AC58" t="str">
        <f>_xlfn.XLOOKUP(B58,Disk_Pivot!G:G,Disk_Pivot!N:N)</f>
        <v/>
      </c>
    </row>
    <row r="59" spans="1:29">
      <c r="A59" t="str">
        <f>_xlfn.TEXTJOIN("",TRUE,_xlfn.XLOOKUP(B59,Input!J:J,Input!G:G,"",0,1),_xlfn.XLOOKUP(B59,Input!J:J,Input!H:H,"",0,1))</f>
        <v/>
      </c>
      <c r="C59" s="13">
        <f>_xlfn.XLOOKUP(B59,Input!J:J,Input!F:F)</f>
        <v>0</v>
      </c>
      <c r="D59">
        <f>_xlfn.XLOOKUP(C59,Models!H:H,Models!G:G,C59)</f>
        <v>0</v>
      </c>
      <c r="F59" t="str">
        <f>_xlfn.XLOOKUP(H59,Models!B:B,Models!F:F,"")</f>
        <v/>
      </c>
      <c r="G59">
        <f>_xlfn.XLOOKUP(B59,Input!J:J,Input!E:E)</f>
        <v>0</v>
      </c>
      <c r="H59">
        <f>IF(G59="LENOVO",_xlfn.XLOOKUP(B59,Input!J:J,Input!K:K),_xlfn.XLOOKUP(B59,Input!J:J,Input!L:L))</f>
        <v>0</v>
      </c>
      <c r="K59">
        <f>_xlfn.XLOOKUP(B59,CPU_Formula!A:A,CPU_Formula!I:I)</f>
        <v>0</v>
      </c>
      <c r="L59" s="13" t="e">
        <f>INDEX(Input!$D$2:$AD$500,
       MATCH(B59, Input!$J$2:$J$500, 0),
       MATCH("Memory Capacity", Input!$D$1:$AD$1, 0))</f>
        <v>#N/A</v>
      </c>
      <c r="M59" s="13" t="e">
        <f>INDEX(Input!$D$2:$AD$500,
       MATCH(B59, Input!$J$2:$J$500, 0),
       MATCH("Memory Type", Input!$D$1:$AD$1, 0))</f>
        <v>#N/A</v>
      </c>
      <c r="N59" s="13" t="e">
        <f t="shared" si="0"/>
        <v>#N/A</v>
      </c>
      <c r="O59" s="13" t="str" cm="1">
        <f t="array" ref="O59">IFERROR(_xlfn.FILTERXML("&lt;t&gt;&lt;s&gt;" &amp; SUBSTITUTE(M59," / ","&lt;/s&gt;&lt;s&gt;") &amp; "&lt;/s&gt;&lt;/t&gt;","(//s[contains(.,'DDR')])[1]"),"")</f>
        <v/>
      </c>
      <c r="P59" t="e">
        <f t="shared" si="1"/>
        <v>#N/A</v>
      </c>
      <c r="Q59" t="str" cm="1">
        <f t="array" ref="Q59">_xlfn.TEXTJOIN(", ", TRUE, _xlfn._xlws.FILTER(Input!W:W, Input!J:J=B59))</f>
        <v/>
      </c>
      <c r="S59" s="13" t="str">
        <f>_xlfn.LET(_xlpm.Result,_xlfn.XLOOKUP(B59,Input!J:J,Input!AB:AB),IF(_xlpm.Result="","",_xlpm.Result))</f>
        <v/>
      </c>
      <c r="T59" s="13" t="str" cm="1">
        <f t="array" ref="T59">IFERROR(_xlfn.IFS(
   --S59&lt;55,"Battery Defect",
  -- S59&lt;=69,"Battery D",
  --S59&lt;=80,"Battery C",
 --S59&gt;80,""
),"")</f>
        <v/>
      </c>
      <c r="U59" s="13" t="str" cm="1">
        <f t="array" ref="U59:Z59">IFERROR(IF(_xlfn.XLOOKUP(B59,Input!J:J,Input!N:S)=0,"",
          _xlfn.XLOOKUP(B59,Input!J:J,Input!N:S)),"")</f>
        <v/>
      </c>
      <c r="V59" s="13" t="str">
        <v/>
      </c>
      <c r="W59" s="13" t="str">
        <v/>
      </c>
      <c r="X59" s="13" t="str">
        <v/>
      </c>
      <c r="Y59" s="13" t="str">
        <v/>
      </c>
      <c r="Z59" s="13" t="str">
        <v/>
      </c>
      <c r="AA59" t="str">
        <f t="shared" si="2"/>
        <v/>
      </c>
      <c r="AB59" t="str">
        <f>_xlfn.XLOOKUP(B:B,Disk_Pivot!G:G,Disk_Pivot!I:I)</f>
        <v>No</v>
      </c>
      <c r="AC59" t="str">
        <f>_xlfn.XLOOKUP(B59,Disk_Pivot!G:G,Disk_Pivot!N:N)</f>
        <v/>
      </c>
    </row>
    <row r="60" spans="1:29">
      <c r="A60" t="str">
        <f>_xlfn.TEXTJOIN("",TRUE,_xlfn.XLOOKUP(B60,Input!J:J,Input!G:G,"",0,1),_xlfn.XLOOKUP(B60,Input!J:J,Input!H:H,"",0,1))</f>
        <v/>
      </c>
      <c r="C60" s="13">
        <f>_xlfn.XLOOKUP(B60,Input!J:J,Input!F:F)</f>
        <v>0</v>
      </c>
      <c r="D60">
        <f>_xlfn.XLOOKUP(C60,Models!H:H,Models!G:G,C60)</f>
        <v>0</v>
      </c>
      <c r="F60" t="str">
        <f>_xlfn.XLOOKUP(H60,Models!B:B,Models!F:F,"")</f>
        <v/>
      </c>
      <c r="G60">
        <f>_xlfn.XLOOKUP(B60,Input!J:J,Input!E:E)</f>
        <v>0</v>
      </c>
      <c r="H60">
        <f>IF(G60="LENOVO",_xlfn.XLOOKUP(B60,Input!J:J,Input!K:K),_xlfn.XLOOKUP(B60,Input!J:J,Input!L:L))</f>
        <v>0</v>
      </c>
      <c r="K60">
        <f>_xlfn.XLOOKUP(B60,CPU_Formula!A:A,CPU_Formula!I:I)</f>
        <v>0</v>
      </c>
      <c r="L60" s="13" t="e">
        <f>INDEX(Input!$D$2:$AD$500,
       MATCH(B60, Input!$J$2:$J$500, 0),
       MATCH("Memory Capacity", Input!$D$1:$AD$1, 0))</f>
        <v>#N/A</v>
      </c>
      <c r="M60" s="13" t="e">
        <f>INDEX(Input!$D$2:$AD$500,
       MATCH(B60, Input!$J$2:$J$500, 0),
       MATCH("Memory Type", Input!$D$1:$AD$1, 0))</f>
        <v>#N/A</v>
      </c>
      <c r="N60" s="13" t="e">
        <f t="shared" si="0"/>
        <v>#N/A</v>
      </c>
      <c r="O60" s="13" t="str" cm="1">
        <f t="array" ref="O60">IFERROR(_xlfn.FILTERXML("&lt;t&gt;&lt;s&gt;" &amp; SUBSTITUTE(M60," / ","&lt;/s&gt;&lt;s&gt;") &amp; "&lt;/s&gt;&lt;/t&gt;","(//s[contains(.,'DDR')])[1]"),"")</f>
        <v/>
      </c>
      <c r="P60" t="e">
        <f t="shared" si="1"/>
        <v>#N/A</v>
      </c>
      <c r="Q60" t="str" cm="1">
        <f t="array" ref="Q60">_xlfn.TEXTJOIN(", ", TRUE, _xlfn._xlws.FILTER(Input!W:W, Input!J:J=B60))</f>
        <v/>
      </c>
      <c r="S60" s="13" t="str">
        <f>_xlfn.LET(_xlpm.Result,_xlfn.XLOOKUP(B60,Input!J:J,Input!AB:AB),IF(_xlpm.Result="","",_xlpm.Result))</f>
        <v/>
      </c>
      <c r="T60" s="13" t="str" cm="1">
        <f t="array" ref="T60">IFERROR(_xlfn.IFS(
   --S60&lt;55,"Battery Defect",
  -- S60&lt;=69,"Battery D",
  --S60&lt;=80,"Battery C",
 --S60&gt;80,""
),"")</f>
        <v/>
      </c>
      <c r="U60" s="13" t="str" cm="1">
        <f t="array" ref="U60:Z60">IFERROR(IF(_xlfn.XLOOKUP(B60,Input!J:J,Input!N:S)=0,"",
          _xlfn.XLOOKUP(B60,Input!J:J,Input!N:S)),"")</f>
        <v/>
      </c>
      <c r="V60" s="13" t="str">
        <v/>
      </c>
      <c r="W60" s="13" t="str">
        <v/>
      </c>
      <c r="X60" s="13" t="str">
        <v/>
      </c>
      <c r="Y60" s="13" t="str">
        <v/>
      </c>
      <c r="Z60" s="13" t="str">
        <v/>
      </c>
      <c r="AA60" t="str">
        <f t="shared" si="2"/>
        <v/>
      </c>
      <c r="AB60" t="str">
        <f>_xlfn.XLOOKUP(B:B,Disk_Pivot!G:G,Disk_Pivot!I:I)</f>
        <v>No</v>
      </c>
      <c r="AC60" t="str">
        <f>_xlfn.XLOOKUP(B60,Disk_Pivot!G:G,Disk_Pivot!N:N)</f>
        <v/>
      </c>
    </row>
    <row r="61" spans="1:29">
      <c r="A61" t="str">
        <f>_xlfn.TEXTJOIN("",TRUE,_xlfn.XLOOKUP(B61,Input!J:J,Input!G:G,"",0,1),_xlfn.XLOOKUP(B61,Input!J:J,Input!H:H,"",0,1))</f>
        <v/>
      </c>
      <c r="C61" s="13">
        <f>_xlfn.XLOOKUP(B61,Input!J:J,Input!F:F)</f>
        <v>0</v>
      </c>
      <c r="D61">
        <f>_xlfn.XLOOKUP(C61,Models!H:H,Models!G:G,C61)</f>
        <v>0</v>
      </c>
      <c r="F61" t="str">
        <f>_xlfn.XLOOKUP(H61,Models!B:B,Models!F:F,"")</f>
        <v/>
      </c>
      <c r="G61">
        <f>_xlfn.XLOOKUP(B61,Input!J:J,Input!E:E)</f>
        <v>0</v>
      </c>
      <c r="H61">
        <f>IF(G61="LENOVO",_xlfn.XLOOKUP(B61,Input!J:J,Input!K:K),_xlfn.XLOOKUP(B61,Input!J:J,Input!L:L))</f>
        <v>0</v>
      </c>
      <c r="K61">
        <f>_xlfn.XLOOKUP(B61,CPU_Formula!A:A,CPU_Formula!I:I)</f>
        <v>0</v>
      </c>
      <c r="L61" s="13" t="e">
        <f>INDEX(Input!$D$2:$AD$500,
       MATCH(B61, Input!$J$2:$J$500, 0),
       MATCH("Memory Capacity", Input!$D$1:$AD$1, 0))</f>
        <v>#N/A</v>
      </c>
      <c r="M61" s="13" t="e">
        <f>INDEX(Input!$D$2:$AD$500,
       MATCH(B61, Input!$J$2:$J$500, 0),
       MATCH("Memory Type", Input!$D$1:$AD$1, 0))</f>
        <v>#N/A</v>
      </c>
      <c r="N61" s="13" t="e">
        <f t="shared" si="0"/>
        <v>#N/A</v>
      </c>
      <c r="O61" s="13" t="str" cm="1">
        <f t="array" ref="O61">IFERROR(_xlfn.FILTERXML("&lt;t&gt;&lt;s&gt;" &amp; SUBSTITUTE(M61," / ","&lt;/s&gt;&lt;s&gt;") &amp; "&lt;/s&gt;&lt;/t&gt;","(//s[contains(.,'DDR')])[1]"),"")</f>
        <v/>
      </c>
      <c r="P61" t="e">
        <f t="shared" si="1"/>
        <v>#N/A</v>
      </c>
      <c r="Q61" t="str" cm="1">
        <f t="array" ref="Q61">_xlfn.TEXTJOIN(", ", TRUE, _xlfn._xlws.FILTER(Input!W:W, Input!J:J=B61))</f>
        <v/>
      </c>
      <c r="S61" s="13" t="str">
        <f>_xlfn.LET(_xlpm.Result,_xlfn.XLOOKUP(B61,Input!J:J,Input!AB:AB),IF(_xlpm.Result="","",_xlpm.Result))</f>
        <v/>
      </c>
      <c r="T61" s="13" t="str" cm="1">
        <f t="array" ref="T61">IFERROR(_xlfn.IFS(
   --S61&lt;55,"Battery Defect",
  -- S61&lt;=69,"Battery D",
  --S61&lt;=80,"Battery C",
 --S61&gt;80,""
),"")</f>
        <v/>
      </c>
      <c r="U61" s="13" t="str" cm="1">
        <f t="array" ref="U61:Z61">IFERROR(IF(_xlfn.XLOOKUP(B61,Input!J:J,Input!N:S)=0,"",
          _xlfn.XLOOKUP(B61,Input!J:J,Input!N:S)),"")</f>
        <v/>
      </c>
      <c r="V61" s="13" t="str">
        <v/>
      </c>
      <c r="W61" s="13" t="str">
        <v/>
      </c>
      <c r="X61" s="13" t="str">
        <v/>
      </c>
      <c r="Y61" s="13" t="str">
        <v/>
      </c>
      <c r="Z61" s="13" t="str">
        <v/>
      </c>
      <c r="AA61" t="str">
        <f t="shared" si="2"/>
        <v/>
      </c>
      <c r="AB61" t="str">
        <f>_xlfn.XLOOKUP(B:B,Disk_Pivot!G:G,Disk_Pivot!I:I)</f>
        <v>No</v>
      </c>
      <c r="AC61" t="str">
        <f>_xlfn.XLOOKUP(B61,Disk_Pivot!G:G,Disk_Pivot!N:N)</f>
        <v/>
      </c>
    </row>
    <row r="62" spans="1:29">
      <c r="A62" t="str">
        <f>_xlfn.TEXTJOIN("",TRUE,_xlfn.XLOOKUP(B62,Input!J:J,Input!G:G,"",0,1),_xlfn.XLOOKUP(B62,Input!J:J,Input!H:H,"",0,1))</f>
        <v/>
      </c>
      <c r="C62" s="13">
        <f>_xlfn.XLOOKUP(B62,Input!J:J,Input!F:F)</f>
        <v>0</v>
      </c>
      <c r="D62">
        <f>_xlfn.XLOOKUP(C62,Models!H:H,Models!G:G,C62)</f>
        <v>0</v>
      </c>
      <c r="F62" t="str">
        <f>_xlfn.XLOOKUP(H62,Models!B:B,Models!F:F,"")</f>
        <v/>
      </c>
      <c r="G62">
        <f>_xlfn.XLOOKUP(B62,Input!J:J,Input!E:E)</f>
        <v>0</v>
      </c>
      <c r="H62">
        <f>IF(G62="LENOVO",_xlfn.XLOOKUP(B62,Input!J:J,Input!K:K),_xlfn.XLOOKUP(B62,Input!J:J,Input!L:L))</f>
        <v>0</v>
      </c>
      <c r="K62">
        <f>_xlfn.XLOOKUP(B62,CPU_Formula!A:A,CPU_Formula!I:I)</f>
        <v>0</v>
      </c>
      <c r="L62" s="13" t="e">
        <f>INDEX(Input!$D$2:$AD$500,
       MATCH(B62, Input!$J$2:$J$500, 0),
       MATCH("Memory Capacity", Input!$D$1:$AD$1, 0))</f>
        <v>#N/A</v>
      </c>
      <c r="M62" s="13" t="e">
        <f>INDEX(Input!$D$2:$AD$500,
       MATCH(B62, Input!$J$2:$J$500, 0),
       MATCH("Memory Type", Input!$D$1:$AD$1, 0))</f>
        <v>#N/A</v>
      </c>
      <c r="N62" s="13" t="e">
        <f t="shared" si="0"/>
        <v>#N/A</v>
      </c>
      <c r="O62" s="13" t="str" cm="1">
        <f t="array" ref="O62">IFERROR(_xlfn.FILTERXML("&lt;t&gt;&lt;s&gt;" &amp; SUBSTITUTE(M62," / ","&lt;/s&gt;&lt;s&gt;") &amp; "&lt;/s&gt;&lt;/t&gt;","(//s[contains(.,'DDR')])[1]"),"")</f>
        <v/>
      </c>
      <c r="P62" t="e">
        <f t="shared" si="1"/>
        <v>#N/A</v>
      </c>
      <c r="Q62" t="str" cm="1">
        <f t="array" ref="Q62">_xlfn.TEXTJOIN(", ", TRUE, _xlfn._xlws.FILTER(Input!W:W, Input!J:J=B62))</f>
        <v/>
      </c>
      <c r="S62" s="13" t="str">
        <f>_xlfn.LET(_xlpm.Result,_xlfn.XLOOKUP(B62,Input!J:J,Input!AB:AB),IF(_xlpm.Result="","",_xlpm.Result))</f>
        <v/>
      </c>
      <c r="T62" s="13" t="str" cm="1">
        <f t="array" ref="T62">IFERROR(_xlfn.IFS(
   --S62&lt;55,"Battery Defect",
  -- S62&lt;=69,"Battery D",
  --S62&lt;=80,"Battery C",
 --S62&gt;80,""
),"")</f>
        <v/>
      </c>
      <c r="U62" s="13" t="str" cm="1">
        <f t="array" ref="U62:Z62">IFERROR(IF(_xlfn.XLOOKUP(B62,Input!J:J,Input!N:S)=0,"",
          _xlfn.XLOOKUP(B62,Input!J:J,Input!N:S)),"")</f>
        <v/>
      </c>
      <c r="V62" s="13" t="str">
        <v/>
      </c>
      <c r="W62" s="13" t="str">
        <v/>
      </c>
      <c r="X62" s="13" t="str">
        <v/>
      </c>
      <c r="Y62" s="13" t="str">
        <v/>
      </c>
      <c r="Z62" s="13" t="str">
        <v/>
      </c>
      <c r="AA62" t="str">
        <f t="shared" si="2"/>
        <v/>
      </c>
      <c r="AB62" t="str">
        <f>_xlfn.XLOOKUP(B:B,Disk_Pivot!G:G,Disk_Pivot!I:I)</f>
        <v>No</v>
      </c>
      <c r="AC62" t="str">
        <f>_xlfn.XLOOKUP(B62,Disk_Pivot!G:G,Disk_Pivot!N:N)</f>
        <v/>
      </c>
    </row>
    <row r="63" spans="1:29">
      <c r="A63" t="str">
        <f>_xlfn.TEXTJOIN("",TRUE,_xlfn.XLOOKUP(B63,Input!J:J,Input!G:G,"",0,1),_xlfn.XLOOKUP(B63,Input!J:J,Input!H:H,"",0,1))</f>
        <v/>
      </c>
      <c r="C63" s="13">
        <f>_xlfn.XLOOKUP(B63,Input!J:J,Input!F:F)</f>
        <v>0</v>
      </c>
      <c r="D63">
        <f>_xlfn.XLOOKUP(C63,Models!H:H,Models!G:G,C63)</f>
        <v>0</v>
      </c>
      <c r="F63" t="str">
        <f>_xlfn.XLOOKUP(H63,Models!B:B,Models!F:F,"")</f>
        <v/>
      </c>
      <c r="G63">
        <f>_xlfn.XLOOKUP(B63,Input!J:J,Input!E:E)</f>
        <v>0</v>
      </c>
      <c r="H63">
        <f>IF(G63="LENOVO",_xlfn.XLOOKUP(B63,Input!J:J,Input!K:K),_xlfn.XLOOKUP(B63,Input!J:J,Input!L:L))</f>
        <v>0</v>
      </c>
      <c r="K63">
        <f>_xlfn.XLOOKUP(B63,CPU_Formula!A:A,CPU_Formula!I:I)</f>
        <v>0</v>
      </c>
      <c r="L63" s="13" t="e">
        <f>INDEX(Input!$D$2:$AD$500,
       MATCH(B63, Input!$J$2:$J$500, 0),
       MATCH("Memory Capacity", Input!$D$1:$AD$1, 0))</f>
        <v>#N/A</v>
      </c>
      <c r="M63" s="13" t="e">
        <f>INDEX(Input!$D$2:$AD$500,
       MATCH(B63, Input!$J$2:$J$500, 0),
       MATCH("Memory Type", Input!$D$1:$AD$1, 0))</f>
        <v>#N/A</v>
      </c>
      <c r="N63" s="13" t="e">
        <f t="shared" si="0"/>
        <v>#N/A</v>
      </c>
      <c r="O63" s="13" t="str" cm="1">
        <f t="array" ref="O63">IFERROR(_xlfn.FILTERXML("&lt;t&gt;&lt;s&gt;" &amp; SUBSTITUTE(M63," / ","&lt;/s&gt;&lt;s&gt;") &amp; "&lt;/s&gt;&lt;/t&gt;","(//s[contains(.,'DDR')])[1]"),"")</f>
        <v/>
      </c>
      <c r="P63" t="e">
        <f t="shared" si="1"/>
        <v>#N/A</v>
      </c>
      <c r="Q63" t="str" cm="1">
        <f t="array" ref="Q63">_xlfn.TEXTJOIN(", ", TRUE, _xlfn._xlws.FILTER(Input!W:W, Input!J:J=B63))</f>
        <v/>
      </c>
      <c r="S63" s="13" t="str">
        <f>_xlfn.LET(_xlpm.Result,_xlfn.XLOOKUP(B63,Input!J:J,Input!AB:AB),IF(_xlpm.Result="","",_xlpm.Result))</f>
        <v/>
      </c>
      <c r="T63" s="13" t="str" cm="1">
        <f t="array" ref="T63">IFERROR(_xlfn.IFS(
   --S63&lt;55,"Battery Defect",
  -- S63&lt;=69,"Battery D",
  --S63&lt;=80,"Battery C",
 --S63&gt;80,""
),"")</f>
        <v/>
      </c>
      <c r="U63" s="13" t="str" cm="1">
        <f t="array" ref="U63:Z63">IFERROR(IF(_xlfn.XLOOKUP(B63,Input!J:J,Input!N:S)=0,"",
          _xlfn.XLOOKUP(B63,Input!J:J,Input!N:S)),"")</f>
        <v/>
      </c>
      <c r="V63" s="13" t="str">
        <v/>
      </c>
      <c r="W63" s="13" t="str">
        <v/>
      </c>
      <c r="X63" s="13" t="str">
        <v/>
      </c>
      <c r="Y63" s="13" t="str">
        <v/>
      </c>
      <c r="Z63" s="13" t="str">
        <v/>
      </c>
      <c r="AA63" t="str">
        <f t="shared" si="2"/>
        <v/>
      </c>
      <c r="AB63" t="str">
        <f>_xlfn.XLOOKUP(B:B,Disk_Pivot!G:G,Disk_Pivot!I:I)</f>
        <v>No</v>
      </c>
      <c r="AC63" t="str">
        <f>_xlfn.XLOOKUP(B63,Disk_Pivot!G:G,Disk_Pivot!N:N)</f>
        <v/>
      </c>
    </row>
    <row r="64" spans="1:29">
      <c r="A64" t="str">
        <f>_xlfn.TEXTJOIN("",TRUE,_xlfn.XLOOKUP(B64,Input!J:J,Input!G:G,"",0,1),_xlfn.XLOOKUP(B64,Input!J:J,Input!H:H,"",0,1))</f>
        <v/>
      </c>
      <c r="C64" s="13">
        <f>_xlfn.XLOOKUP(B64,Input!J:J,Input!F:F)</f>
        <v>0</v>
      </c>
      <c r="D64">
        <f>_xlfn.XLOOKUP(C64,Models!H:H,Models!G:G,C64)</f>
        <v>0</v>
      </c>
      <c r="F64" t="str">
        <f>_xlfn.XLOOKUP(H64,Models!B:B,Models!F:F,"")</f>
        <v/>
      </c>
      <c r="G64">
        <f>_xlfn.XLOOKUP(B64,Input!J:J,Input!E:E)</f>
        <v>0</v>
      </c>
      <c r="H64">
        <f>IF(G64="LENOVO",_xlfn.XLOOKUP(B64,Input!J:J,Input!K:K),_xlfn.XLOOKUP(B64,Input!J:J,Input!L:L))</f>
        <v>0</v>
      </c>
      <c r="K64">
        <f>_xlfn.XLOOKUP(B64,CPU_Formula!A:A,CPU_Formula!I:I)</f>
        <v>0</v>
      </c>
      <c r="L64" s="13" t="e">
        <f>INDEX(Input!$D$2:$AD$500,
       MATCH(B64, Input!$J$2:$J$500, 0),
       MATCH("Memory Capacity", Input!$D$1:$AD$1, 0))</f>
        <v>#N/A</v>
      </c>
      <c r="M64" s="13" t="e">
        <f>INDEX(Input!$D$2:$AD$500,
       MATCH(B64, Input!$J$2:$J$500, 0),
       MATCH("Memory Type", Input!$D$1:$AD$1, 0))</f>
        <v>#N/A</v>
      </c>
      <c r="N64" s="13" t="e">
        <f t="shared" si="0"/>
        <v>#N/A</v>
      </c>
      <c r="O64" s="13" t="str" cm="1">
        <f t="array" ref="O64">IFERROR(_xlfn.FILTERXML("&lt;t&gt;&lt;s&gt;" &amp; SUBSTITUTE(M64," / ","&lt;/s&gt;&lt;s&gt;") &amp; "&lt;/s&gt;&lt;/t&gt;","(//s[contains(.,'DDR')])[1]"),"")</f>
        <v/>
      </c>
      <c r="P64" t="e">
        <f t="shared" si="1"/>
        <v>#N/A</v>
      </c>
      <c r="Q64" t="str" cm="1">
        <f t="array" ref="Q64">_xlfn.TEXTJOIN(", ", TRUE, _xlfn._xlws.FILTER(Input!W:W, Input!J:J=B64))</f>
        <v/>
      </c>
      <c r="S64" s="13" t="str">
        <f>_xlfn.LET(_xlpm.Result,_xlfn.XLOOKUP(B64,Input!J:J,Input!AB:AB),IF(_xlpm.Result="","",_xlpm.Result))</f>
        <v/>
      </c>
      <c r="T64" s="13" t="str" cm="1">
        <f t="array" ref="T64">IFERROR(_xlfn.IFS(
   --S64&lt;55,"Battery Defect",
  -- S64&lt;=69,"Battery D",
  --S64&lt;=80,"Battery C",
 --S64&gt;80,""
),"")</f>
        <v/>
      </c>
      <c r="U64" s="13" t="str" cm="1">
        <f t="array" ref="U64:Z64">IFERROR(IF(_xlfn.XLOOKUP(B64,Input!J:J,Input!N:S)=0,"",
          _xlfn.XLOOKUP(B64,Input!J:J,Input!N:S)),"")</f>
        <v/>
      </c>
      <c r="V64" s="13" t="str">
        <v/>
      </c>
      <c r="W64" s="13" t="str">
        <v/>
      </c>
      <c r="X64" s="13" t="str">
        <v/>
      </c>
      <c r="Y64" s="13" t="str">
        <v/>
      </c>
      <c r="Z64" s="13" t="str">
        <v/>
      </c>
      <c r="AA64" t="str">
        <f t="shared" si="2"/>
        <v/>
      </c>
      <c r="AB64" t="str">
        <f>_xlfn.XLOOKUP(B:B,Disk_Pivot!G:G,Disk_Pivot!I:I)</f>
        <v>No</v>
      </c>
      <c r="AC64" t="str">
        <f>_xlfn.XLOOKUP(B64,Disk_Pivot!G:G,Disk_Pivot!N:N)</f>
        <v/>
      </c>
    </row>
    <row r="65" spans="1:29">
      <c r="A65" t="str">
        <f>_xlfn.TEXTJOIN("",TRUE,_xlfn.XLOOKUP(B65,Input!J:J,Input!G:G,"",0,1),_xlfn.XLOOKUP(B65,Input!J:J,Input!H:H,"",0,1))</f>
        <v/>
      </c>
      <c r="C65" s="13">
        <f>_xlfn.XLOOKUP(B65,Input!J:J,Input!F:F)</f>
        <v>0</v>
      </c>
      <c r="D65">
        <f>_xlfn.XLOOKUP(C65,Models!H:H,Models!G:G,C65)</f>
        <v>0</v>
      </c>
      <c r="F65" t="str">
        <f>_xlfn.XLOOKUP(H65,Models!B:B,Models!F:F,"")</f>
        <v/>
      </c>
      <c r="G65">
        <f>_xlfn.XLOOKUP(B65,Input!J:J,Input!E:E)</f>
        <v>0</v>
      </c>
      <c r="H65">
        <f>IF(G65="LENOVO",_xlfn.XLOOKUP(B65,Input!J:J,Input!K:K),_xlfn.XLOOKUP(B65,Input!J:J,Input!L:L))</f>
        <v>0</v>
      </c>
      <c r="K65">
        <f>_xlfn.XLOOKUP(B65,CPU_Formula!A:A,CPU_Formula!I:I)</f>
        <v>0</v>
      </c>
      <c r="L65" s="13" t="e">
        <f>INDEX(Input!$D$2:$AD$500,
       MATCH(B65, Input!$J$2:$J$500, 0),
       MATCH("Memory Capacity", Input!$D$1:$AD$1, 0))</f>
        <v>#N/A</v>
      </c>
      <c r="M65" s="13" t="e">
        <f>INDEX(Input!$D$2:$AD$500,
       MATCH(B65, Input!$J$2:$J$500, 0),
       MATCH("Memory Type", Input!$D$1:$AD$1, 0))</f>
        <v>#N/A</v>
      </c>
      <c r="N65" s="13" t="e">
        <f t="shared" si="0"/>
        <v>#N/A</v>
      </c>
      <c r="O65" s="13" t="str" cm="1">
        <f t="array" ref="O65">IFERROR(_xlfn.FILTERXML("&lt;t&gt;&lt;s&gt;" &amp; SUBSTITUTE(M65," / ","&lt;/s&gt;&lt;s&gt;") &amp; "&lt;/s&gt;&lt;/t&gt;","(//s[contains(.,'DDR')])[1]"),"")</f>
        <v/>
      </c>
      <c r="P65" t="e">
        <f t="shared" si="1"/>
        <v>#N/A</v>
      </c>
      <c r="Q65" t="str" cm="1">
        <f t="array" ref="Q65">_xlfn.TEXTJOIN(", ", TRUE, _xlfn._xlws.FILTER(Input!W:W, Input!J:J=B65))</f>
        <v/>
      </c>
      <c r="S65" s="13" t="str">
        <f>_xlfn.LET(_xlpm.Result,_xlfn.XLOOKUP(B65,Input!J:J,Input!AB:AB),IF(_xlpm.Result="","",_xlpm.Result))</f>
        <v/>
      </c>
      <c r="T65" s="13" t="str" cm="1">
        <f t="array" ref="T65">IFERROR(_xlfn.IFS(
   --S65&lt;55,"Battery Defect",
  -- S65&lt;=69,"Battery D",
  --S65&lt;=80,"Battery C",
 --S65&gt;80,""
),"")</f>
        <v/>
      </c>
      <c r="U65" s="13" t="str" cm="1">
        <f t="array" ref="U65:Z65">IFERROR(IF(_xlfn.XLOOKUP(B65,Input!J:J,Input!N:S)=0,"",
          _xlfn.XLOOKUP(B65,Input!J:J,Input!N:S)),"")</f>
        <v/>
      </c>
      <c r="V65" s="13" t="str">
        <v/>
      </c>
      <c r="W65" s="13" t="str">
        <v/>
      </c>
      <c r="X65" s="13" t="str">
        <v/>
      </c>
      <c r="Y65" s="13" t="str">
        <v/>
      </c>
      <c r="Z65" s="13" t="str">
        <v/>
      </c>
      <c r="AA65" t="str">
        <f t="shared" si="2"/>
        <v/>
      </c>
      <c r="AB65" t="str">
        <f>_xlfn.XLOOKUP(B:B,Disk_Pivot!G:G,Disk_Pivot!I:I)</f>
        <v>No</v>
      </c>
      <c r="AC65" t="str">
        <f>_xlfn.XLOOKUP(B65,Disk_Pivot!G:G,Disk_Pivot!N:N)</f>
        <v/>
      </c>
    </row>
    <row r="66" spans="1:29">
      <c r="A66" t="str">
        <f>_xlfn.TEXTJOIN("",TRUE,_xlfn.XLOOKUP(B66,Input!J:J,Input!G:G,"",0,1),_xlfn.XLOOKUP(B66,Input!J:J,Input!H:H,"",0,1))</f>
        <v/>
      </c>
      <c r="C66" s="13">
        <f>_xlfn.XLOOKUP(B66,Input!J:J,Input!F:F)</f>
        <v>0</v>
      </c>
      <c r="D66">
        <f>_xlfn.XLOOKUP(C66,Models!H:H,Models!G:G,C66)</f>
        <v>0</v>
      </c>
      <c r="F66" t="str">
        <f>_xlfn.XLOOKUP(H66,Models!B:B,Models!F:F,"")</f>
        <v/>
      </c>
      <c r="G66">
        <f>_xlfn.XLOOKUP(B66,Input!J:J,Input!E:E)</f>
        <v>0</v>
      </c>
      <c r="H66">
        <f>IF(G66="LENOVO",_xlfn.XLOOKUP(B66,Input!J:J,Input!K:K),_xlfn.XLOOKUP(B66,Input!J:J,Input!L:L))</f>
        <v>0</v>
      </c>
      <c r="K66">
        <f>_xlfn.XLOOKUP(B66,CPU_Formula!A:A,CPU_Formula!I:I)</f>
        <v>0</v>
      </c>
      <c r="L66" s="13" t="e">
        <f>INDEX(Input!$D$2:$AD$500,
       MATCH(B66, Input!$J$2:$J$500, 0),
       MATCH("Memory Capacity", Input!$D$1:$AD$1, 0))</f>
        <v>#N/A</v>
      </c>
      <c r="M66" s="13" t="e">
        <f>INDEX(Input!$D$2:$AD$500,
       MATCH(B66, Input!$J$2:$J$500, 0),
       MATCH("Memory Type", Input!$D$1:$AD$1, 0))</f>
        <v>#N/A</v>
      </c>
      <c r="N66" s="13" t="e">
        <f t="shared" si="0"/>
        <v>#N/A</v>
      </c>
      <c r="O66" s="13" t="str" cm="1">
        <f t="array" ref="O66">IFERROR(_xlfn.FILTERXML("&lt;t&gt;&lt;s&gt;" &amp; SUBSTITUTE(M66," / ","&lt;/s&gt;&lt;s&gt;") &amp; "&lt;/s&gt;&lt;/t&gt;","(//s[contains(.,'DDR')])[1]"),"")</f>
        <v/>
      </c>
      <c r="P66" t="e">
        <f t="shared" si="1"/>
        <v>#N/A</v>
      </c>
      <c r="Q66" t="str" cm="1">
        <f t="array" ref="Q66">_xlfn.TEXTJOIN(", ", TRUE, _xlfn._xlws.FILTER(Input!W:W, Input!J:J=B66))</f>
        <v/>
      </c>
      <c r="S66" s="13" t="str">
        <f>_xlfn.LET(_xlpm.Result,_xlfn.XLOOKUP(B66,Input!J:J,Input!AB:AB),IF(_xlpm.Result="","",_xlpm.Result))</f>
        <v/>
      </c>
      <c r="T66" s="13" t="str" cm="1">
        <f t="array" ref="T66">IFERROR(_xlfn.IFS(
   --S66&lt;55,"Battery Defect",
  -- S66&lt;=69,"Battery D",
  --S66&lt;=80,"Battery C",
 --S66&gt;80,""
),"")</f>
        <v/>
      </c>
      <c r="U66" s="13" t="str" cm="1">
        <f t="array" ref="U66:Z66">IFERROR(IF(_xlfn.XLOOKUP(B66,Input!J:J,Input!N:S)=0,"",
          _xlfn.XLOOKUP(B66,Input!J:J,Input!N:S)),"")</f>
        <v/>
      </c>
      <c r="V66" s="13" t="str">
        <v/>
      </c>
      <c r="W66" s="13" t="str">
        <v/>
      </c>
      <c r="X66" s="13" t="str">
        <v/>
      </c>
      <c r="Y66" s="13" t="str">
        <v/>
      </c>
      <c r="Z66" s="13" t="str">
        <v/>
      </c>
      <c r="AA66" t="str">
        <f t="shared" si="2"/>
        <v/>
      </c>
      <c r="AB66" t="str">
        <f>_xlfn.XLOOKUP(B:B,Disk_Pivot!G:G,Disk_Pivot!I:I)</f>
        <v>No</v>
      </c>
      <c r="AC66" t="str">
        <f>_xlfn.XLOOKUP(B66,Disk_Pivot!G:G,Disk_Pivot!N:N)</f>
        <v/>
      </c>
    </row>
    <row r="67" spans="1:29">
      <c r="A67" t="str">
        <f>_xlfn.TEXTJOIN("",TRUE,_xlfn.XLOOKUP(B67,Input!J:J,Input!G:G,"",0,1),_xlfn.XLOOKUP(B67,Input!J:J,Input!H:H,"",0,1))</f>
        <v/>
      </c>
      <c r="C67" s="13">
        <f>_xlfn.XLOOKUP(B67,Input!J:J,Input!F:F)</f>
        <v>0</v>
      </c>
      <c r="D67">
        <f>_xlfn.XLOOKUP(C67,Models!H:H,Models!G:G,C67)</f>
        <v>0</v>
      </c>
      <c r="F67" t="str">
        <f>_xlfn.XLOOKUP(H67,Models!B:B,Models!F:F,"")</f>
        <v/>
      </c>
      <c r="G67">
        <f>_xlfn.XLOOKUP(B67,Input!J:J,Input!E:E)</f>
        <v>0</v>
      </c>
      <c r="H67">
        <f>IF(G67="LENOVO",_xlfn.XLOOKUP(B67,Input!J:J,Input!K:K),_xlfn.XLOOKUP(B67,Input!J:J,Input!L:L))</f>
        <v>0</v>
      </c>
      <c r="K67">
        <f>_xlfn.XLOOKUP(B67,CPU_Formula!A:A,CPU_Formula!I:I)</f>
        <v>0</v>
      </c>
      <c r="L67" s="13" t="e">
        <f>INDEX(Input!$D$2:$AD$500,
       MATCH(B67, Input!$J$2:$J$500, 0),
       MATCH("Memory Capacity", Input!$D$1:$AD$1, 0))</f>
        <v>#N/A</v>
      </c>
      <c r="M67" s="13" t="e">
        <f>INDEX(Input!$D$2:$AD$500,
       MATCH(B67, Input!$J$2:$J$500, 0),
       MATCH("Memory Type", Input!$D$1:$AD$1, 0))</f>
        <v>#N/A</v>
      </c>
      <c r="N67" s="13" t="e">
        <f t="shared" ref="N67:N130" si="3">IF(ISNUMBER(L67), L67, SUBSTITUTE(SUBSTITUTE(SUBSTITUTE(L67,"GiB","")," ",""),"/","+"))</f>
        <v>#N/A</v>
      </c>
      <c r="O67" s="13" t="str" cm="1">
        <f t="array" ref="O67">IFERROR(_xlfn.FILTERXML("&lt;t&gt;&lt;s&gt;" &amp; SUBSTITUTE(M67," / ","&lt;/s&gt;&lt;s&gt;") &amp; "&lt;/s&gt;&lt;/t&gt;","(//s[contains(.,'DDR')])[1]"),"")</f>
        <v/>
      </c>
      <c r="P67" t="e">
        <f t="shared" ref="P67:P87" si="4">_xlfn.TEXTJOIN(" ",TRUE,N67,"GB",O67)</f>
        <v>#N/A</v>
      </c>
      <c r="Q67" t="str" cm="1">
        <f t="array" ref="Q67">_xlfn.TEXTJOIN(", ", TRUE, _xlfn._xlws.FILTER(Input!W:W, Input!J:J=B67))</f>
        <v/>
      </c>
      <c r="S67" s="13" t="str">
        <f>_xlfn.LET(_xlpm.Result,_xlfn.XLOOKUP(B67,Input!J:J,Input!AB:AB),IF(_xlpm.Result="","",_xlpm.Result))</f>
        <v/>
      </c>
      <c r="T67" s="13" t="str" cm="1">
        <f t="array" ref="T67">IFERROR(_xlfn.IFS(
   --S67&lt;55,"Battery Defect",
  -- S67&lt;=69,"Battery D",
  --S67&lt;=80,"Battery C",
 --S67&gt;80,""
),"")</f>
        <v/>
      </c>
      <c r="U67" s="13" t="str" cm="1">
        <f t="array" ref="U67:Z67">IFERROR(IF(_xlfn.XLOOKUP(B67,Input!J:J,Input!N:S)=0,"",
          _xlfn.XLOOKUP(B67,Input!J:J,Input!N:S)),"")</f>
        <v/>
      </c>
      <c r="V67" s="13" t="str">
        <v/>
      </c>
      <c r="W67" s="13" t="str">
        <v/>
      </c>
      <c r="X67" s="13" t="str">
        <v/>
      </c>
      <c r="Y67" s="13" t="str">
        <v/>
      </c>
      <c r="Z67" s="13" t="str">
        <v/>
      </c>
      <c r="AA67" t="str">
        <f t="shared" ref="AA67:AA130" si="5">_xlfn.TEXTJOIN(", ",TRUE,T67,U67,V67,W67,X67,Y67,Z67)</f>
        <v/>
      </c>
      <c r="AB67" t="str">
        <f>_xlfn.XLOOKUP(B:B,Disk_Pivot!G:G,Disk_Pivot!I:I)</f>
        <v>No</v>
      </c>
      <c r="AC67" t="str">
        <f>_xlfn.XLOOKUP(B67,Disk_Pivot!G:G,Disk_Pivot!N:N)</f>
        <v/>
      </c>
    </row>
    <row r="68" spans="1:29">
      <c r="A68" t="str">
        <f>_xlfn.TEXTJOIN("",TRUE,_xlfn.XLOOKUP(B68,Input!J:J,Input!G:G,"",0,1),_xlfn.XLOOKUP(B68,Input!J:J,Input!H:H,"",0,1))</f>
        <v/>
      </c>
      <c r="C68" s="13">
        <f>_xlfn.XLOOKUP(B68,Input!J:J,Input!F:F)</f>
        <v>0</v>
      </c>
      <c r="D68">
        <f>_xlfn.XLOOKUP(C68,Models!H:H,Models!G:G,C68)</f>
        <v>0</v>
      </c>
      <c r="F68" t="str">
        <f>_xlfn.XLOOKUP(H68,Models!B:B,Models!F:F,"")</f>
        <v/>
      </c>
      <c r="G68">
        <f>_xlfn.XLOOKUP(B68,Input!J:J,Input!E:E)</f>
        <v>0</v>
      </c>
      <c r="H68">
        <f>IF(G68="LENOVO",_xlfn.XLOOKUP(B68,Input!J:J,Input!K:K),_xlfn.XLOOKUP(B68,Input!J:J,Input!L:L))</f>
        <v>0</v>
      </c>
      <c r="K68">
        <f>_xlfn.XLOOKUP(B68,CPU_Formula!A:A,CPU_Formula!I:I)</f>
        <v>0</v>
      </c>
      <c r="L68" s="13" t="e">
        <f>INDEX(Input!$D$2:$AD$500,
       MATCH(B68, Input!$J$2:$J$500, 0),
       MATCH("Memory Capacity", Input!$D$1:$AD$1, 0))</f>
        <v>#N/A</v>
      </c>
      <c r="M68" s="13" t="e">
        <f>INDEX(Input!$D$2:$AD$500,
       MATCH(B68, Input!$J$2:$J$500, 0),
       MATCH("Memory Type", Input!$D$1:$AD$1, 0))</f>
        <v>#N/A</v>
      </c>
      <c r="N68" s="13" t="e">
        <f t="shared" si="3"/>
        <v>#N/A</v>
      </c>
      <c r="O68" s="13" t="str" cm="1">
        <f t="array" ref="O68">IFERROR(_xlfn.FILTERXML("&lt;t&gt;&lt;s&gt;" &amp; SUBSTITUTE(M68," / ","&lt;/s&gt;&lt;s&gt;") &amp; "&lt;/s&gt;&lt;/t&gt;","(//s[contains(.,'DDR')])[1]"),"")</f>
        <v/>
      </c>
      <c r="P68" t="e">
        <f t="shared" si="4"/>
        <v>#N/A</v>
      </c>
      <c r="Q68" t="str" cm="1">
        <f t="array" ref="Q68">_xlfn.TEXTJOIN(", ", TRUE, _xlfn._xlws.FILTER(Input!W:W, Input!J:J=B68))</f>
        <v/>
      </c>
      <c r="S68" s="13" t="str">
        <f>_xlfn.LET(_xlpm.Result,_xlfn.XLOOKUP(B68,Input!J:J,Input!AB:AB),IF(_xlpm.Result="","",_xlpm.Result))</f>
        <v/>
      </c>
      <c r="T68" s="13" t="str" cm="1">
        <f t="array" ref="T68">IFERROR(_xlfn.IFS(
   --S68&lt;55,"Battery Defect",
  -- S68&lt;=69,"Battery D",
  --S68&lt;=80,"Battery C",
 --S68&gt;80,""
),"")</f>
        <v/>
      </c>
      <c r="U68" s="13" t="str" cm="1">
        <f t="array" ref="U68:Z68">IFERROR(IF(_xlfn.XLOOKUP(B68,Input!J:J,Input!N:S)=0,"",
          _xlfn.XLOOKUP(B68,Input!J:J,Input!N:S)),"")</f>
        <v/>
      </c>
      <c r="V68" s="13" t="str">
        <v/>
      </c>
      <c r="W68" s="13" t="str">
        <v/>
      </c>
      <c r="X68" s="13" t="str">
        <v/>
      </c>
      <c r="Y68" s="13" t="str">
        <v/>
      </c>
      <c r="Z68" s="13" t="str">
        <v/>
      </c>
      <c r="AA68" t="str">
        <f t="shared" si="5"/>
        <v/>
      </c>
      <c r="AB68" t="str">
        <f>_xlfn.XLOOKUP(B:B,Disk_Pivot!G:G,Disk_Pivot!I:I)</f>
        <v>No</v>
      </c>
      <c r="AC68" t="str">
        <f>_xlfn.XLOOKUP(B68,Disk_Pivot!G:G,Disk_Pivot!N:N)</f>
        <v/>
      </c>
    </row>
    <row r="69" spans="1:29">
      <c r="A69" t="str">
        <f>_xlfn.TEXTJOIN("",TRUE,_xlfn.XLOOKUP(B69,Input!J:J,Input!G:G,"",0,1),_xlfn.XLOOKUP(B69,Input!J:J,Input!H:H,"",0,1))</f>
        <v/>
      </c>
      <c r="C69" s="13">
        <f>_xlfn.XLOOKUP(B69,Input!J:J,Input!F:F)</f>
        <v>0</v>
      </c>
      <c r="D69">
        <f>_xlfn.XLOOKUP(C69,Models!H:H,Models!G:G,C69)</f>
        <v>0</v>
      </c>
      <c r="F69" t="str">
        <f>_xlfn.XLOOKUP(H69,Models!B:B,Models!F:F,"")</f>
        <v/>
      </c>
      <c r="G69">
        <f>_xlfn.XLOOKUP(B69,Input!J:J,Input!E:E)</f>
        <v>0</v>
      </c>
      <c r="H69">
        <f>IF(G69="LENOVO",_xlfn.XLOOKUP(B69,Input!J:J,Input!K:K),_xlfn.XLOOKUP(B69,Input!J:J,Input!L:L))</f>
        <v>0</v>
      </c>
      <c r="K69">
        <f>_xlfn.XLOOKUP(B69,CPU_Formula!A:A,CPU_Formula!I:I)</f>
        <v>0</v>
      </c>
      <c r="L69" s="13" t="e">
        <f>INDEX(Input!$D$2:$AD$500,
       MATCH(B69, Input!$J$2:$J$500, 0),
       MATCH("Memory Capacity", Input!$D$1:$AD$1, 0))</f>
        <v>#N/A</v>
      </c>
      <c r="M69" s="13" t="e">
        <f>INDEX(Input!$D$2:$AD$500,
       MATCH(B69, Input!$J$2:$J$500, 0),
       MATCH("Memory Type", Input!$D$1:$AD$1, 0))</f>
        <v>#N/A</v>
      </c>
      <c r="N69" s="13" t="e">
        <f t="shared" si="3"/>
        <v>#N/A</v>
      </c>
      <c r="O69" s="13" t="str" cm="1">
        <f t="array" ref="O69">IFERROR(_xlfn.FILTERXML("&lt;t&gt;&lt;s&gt;" &amp; SUBSTITUTE(M69," / ","&lt;/s&gt;&lt;s&gt;") &amp; "&lt;/s&gt;&lt;/t&gt;","(//s[contains(.,'DDR')])[1]"),"")</f>
        <v/>
      </c>
      <c r="P69" t="e">
        <f t="shared" si="4"/>
        <v>#N/A</v>
      </c>
      <c r="Q69" t="str" cm="1">
        <f t="array" ref="Q69">_xlfn.TEXTJOIN(", ", TRUE, _xlfn._xlws.FILTER(Input!W:W, Input!J:J=B69))</f>
        <v/>
      </c>
      <c r="S69" s="13" t="str">
        <f>_xlfn.LET(_xlpm.Result,_xlfn.XLOOKUP(B69,Input!J:J,Input!AB:AB),IF(_xlpm.Result="","",_xlpm.Result))</f>
        <v/>
      </c>
      <c r="T69" s="13" t="str" cm="1">
        <f t="array" ref="T69">IFERROR(_xlfn.IFS(
   --S69&lt;55,"Battery Defect",
  -- S69&lt;=69,"Battery D",
  --S69&lt;=80,"Battery C",
 --S69&gt;80,""
),"")</f>
        <v/>
      </c>
      <c r="U69" s="13" t="str" cm="1">
        <f t="array" ref="U69:Z69">IFERROR(IF(_xlfn.XLOOKUP(B69,Input!J:J,Input!N:S)=0,"",
          _xlfn.XLOOKUP(B69,Input!J:J,Input!N:S)),"")</f>
        <v/>
      </c>
      <c r="V69" s="13" t="str">
        <v/>
      </c>
      <c r="W69" s="13" t="str">
        <v/>
      </c>
      <c r="X69" s="13" t="str">
        <v/>
      </c>
      <c r="Y69" s="13" t="str">
        <v/>
      </c>
      <c r="Z69" s="13" t="str">
        <v/>
      </c>
      <c r="AA69" t="str">
        <f t="shared" si="5"/>
        <v/>
      </c>
      <c r="AB69" t="str">
        <f>_xlfn.XLOOKUP(B:B,Disk_Pivot!G:G,Disk_Pivot!I:I)</f>
        <v>No</v>
      </c>
      <c r="AC69" t="str">
        <f>_xlfn.XLOOKUP(B69,Disk_Pivot!G:G,Disk_Pivot!N:N)</f>
        <v/>
      </c>
    </row>
    <row r="70" spans="1:29">
      <c r="A70" t="str">
        <f>_xlfn.TEXTJOIN("",TRUE,_xlfn.XLOOKUP(B70,Input!J:J,Input!G:G,"",0,1),_xlfn.XLOOKUP(B70,Input!J:J,Input!H:H,"",0,1))</f>
        <v/>
      </c>
      <c r="C70" s="13">
        <f>_xlfn.XLOOKUP(B70,Input!J:J,Input!F:F)</f>
        <v>0</v>
      </c>
      <c r="D70">
        <f>_xlfn.XLOOKUP(C70,Models!H:H,Models!G:G,C70)</f>
        <v>0</v>
      </c>
      <c r="F70" t="str">
        <f>_xlfn.XLOOKUP(H70,Models!B:B,Models!F:F,"")</f>
        <v/>
      </c>
      <c r="G70">
        <f>_xlfn.XLOOKUP(B70,Input!J:J,Input!E:E)</f>
        <v>0</v>
      </c>
      <c r="H70">
        <f>IF(G70="LENOVO",_xlfn.XLOOKUP(B70,Input!J:J,Input!K:K),_xlfn.XLOOKUP(B70,Input!J:J,Input!L:L))</f>
        <v>0</v>
      </c>
      <c r="K70">
        <f>_xlfn.XLOOKUP(B70,CPU_Formula!A:A,CPU_Formula!I:I)</f>
        <v>0</v>
      </c>
      <c r="L70" s="13" t="e">
        <f>INDEX(Input!$D$2:$AD$500,
       MATCH(B70, Input!$J$2:$J$500, 0),
       MATCH("Memory Capacity", Input!$D$1:$AD$1, 0))</f>
        <v>#N/A</v>
      </c>
      <c r="M70" s="13" t="e">
        <f>INDEX(Input!$D$2:$AD$500,
       MATCH(B70, Input!$J$2:$J$500, 0),
       MATCH("Memory Type", Input!$D$1:$AD$1, 0))</f>
        <v>#N/A</v>
      </c>
      <c r="N70" s="13" t="e">
        <f t="shared" si="3"/>
        <v>#N/A</v>
      </c>
      <c r="O70" s="13" t="str" cm="1">
        <f t="array" ref="O70">IFERROR(_xlfn.FILTERXML("&lt;t&gt;&lt;s&gt;" &amp; SUBSTITUTE(M70," / ","&lt;/s&gt;&lt;s&gt;") &amp; "&lt;/s&gt;&lt;/t&gt;","(//s[contains(.,'DDR')])[1]"),"")</f>
        <v/>
      </c>
      <c r="P70" t="e">
        <f t="shared" si="4"/>
        <v>#N/A</v>
      </c>
      <c r="Q70" t="str" cm="1">
        <f t="array" ref="Q70">_xlfn.TEXTJOIN(", ", TRUE, _xlfn._xlws.FILTER(Input!W:W, Input!J:J=B70))</f>
        <v/>
      </c>
      <c r="S70" s="13" t="str">
        <f>_xlfn.LET(_xlpm.Result,_xlfn.XLOOKUP(B70,Input!J:J,Input!AB:AB),IF(_xlpm.Result="","",_xlpm.Result))</f>
        <v/>
      </c>
      <c r="T70" s="13" t="str" cm="1">
        <f t="array" ref="T70">IFERROR(_xlfn.IFS(
   --S70&lt;55,"Battery Defect",
  -- S70&lt;=69,"Battery D",
  --S70&lt;=80,"Battery C",
 --S70&gt;80,""
),"")</f>
        <v/>
      </c>
      <c r="U70" s="13" t="str" cm="1">
        <f t="array" ref="U70:Z70">IFERROR(IF(_xlfn.XLOOKUP(B70,Input!J:J,Input!N:S)=0,"",
          _xlfn.XLOOKUP(B70,Input!J:J,Input!N:S)),"")</f>
        <v/>
      </c>
      <c r="V70" s="13" t="str">
        <v/>
      </c>
      <c r="W70" s="13" t="str">
        <v/>
      </c>
      <c r="X70" s="13" t="str">
        <v/>
      </c>
      <c r="Y70" s="13" t="str">
        <v/>
      </c>
      <c r="Z70" s="13" t="str">
        <v/>
      </c>
      <c r="AA70" t="str">
        <f t="shared" si="5"/>
        <v/>
      </c>
      <c r="AB70" t="str">
        <f>_xlfn.XLOOKUP(B:B,Disk_Pivot!G:G,Disk_Pivot!I:I)</f>
        <v>No</v>
      </c>
      <c r="AC70" t="str">
        <f>_xlfn.XLOOKUP(B70,Disk_Pivot!G:G,Disk_Pivot!N:N)</f>
        <v/>
      </c>
    </row>
    <row r="71" spans="1:29">
      <c r="A71" t="str">
        <f>_xlfn.TEXTJOIN("",TRUE,_xlfn.XLOOKUP(B71,Input!J:J,Input!G:G,"",0,1),_xlfn.XLOOKUP(B71,Input!J:J,Input!H:H,"",0,1))</f>
        <v/>
      </c>
      <c r="C71" s="13">
        <f>_xlfn.XLOOKUP(B71,Input!J:J,Input!F:F)</f>
        <v>0</v>
      </c>
      <c r="D71">
        <f>_xlfn.XLOOKUP(C71,Models!H:H,Models!G:G,C71)</f>
        <v>0</v>
      </c>
      <c r="F71" t="str">
        <f>_xlfn.XLOOKUP(H71,Models!B:B,Models!F:F,"")</f>
        <v/>
      </c>
      <c r="G71">
        <f>_xlfn.XLOOKUP(B71,Input!J:J,Input!E:E)</f>
        <v>0</v>
      </c>
      <c r="H71">
        <f>IF(G71="LENOVO",_xlfn.XLOOKUP(B71,Input!J:J,Input!K:K),_xlfn.XLOOKUP(B71,Input!J:J,Input!L:L))</f>
        <v>0</v>
      </c>
      <c r="K71">
        <f>_xlfn.XLOOKUP(B71,CPU_Formula!A:A,CPU_Formula!I:I)</f>
        <v>0</v>
      </c>
      <c r="L71" s="13" t="e">
        <f>INDEX(Input!$D$2:$AD$500,
       MATCH(B71, Input!$J$2:$J$500, 0),
       MATCH("Memory Capacity", Input!$D$1:$AD$1, 0))</f>
        <v>#N/A</v>
      </c>
      <c r="M71" s="13" t="e">
        <f>INDEX(Input!$D$2:$AD$500,
       MATCH(B71, Input!$J$2:$J$500, 0),
       MATCH("Memory Type", Input!$D$1:$AD$1, 0))</f>
        <v>#N/A</v>
      </c>
      <c r="N71" s="13" t="e">
        <f t="shared" si="3"/>
        <v>#N/A</v>
      </c>
      <c r="O71" s="13" t="str" cm="1">
        <f t="array" ref="O71">IFERROR(_xlfn.FILTERXML("&lt;t&gt;&lt;s&gt;" &amp; SUBSTITUTE(M71," / ","&lt;/s&gt;&lt;s&gt;") &amp; "&lt;/s&gt;&lt;/t&gt;","(//s[contains(.,'DDR')])[1]"),"")</f>
        <v/>
      </c>
      <c r="P71" t="e">
        <f t="shared" si="4"/>
        <v>#N/A</v>
      </c>
      <c r="Q71" t="str" cm="1">
        <f t="array" ref="Q71">_xlfn.TEXTJOIN(", ", TRUE, _xlfn._xlws.FILTER(Input!W:W, Input!J:J=B71))</f>
        <v/>
      </c>
      <c r="S71" s="13" t="str">
        <f>_xlfn.LET(_xlpm.Result,_xlfn.XLOOKUP(B71,Input!J:J,Input!AB:AB),IF(_xlpm.Result="","",_xlpm.Result))</f>
        <v/>
      </c>
      <c r="T71" s="13" t="str" cm="1">
        <f t="array" ref="T71">IFERROR(_xlfn.IFS(
   --S71&lt;55,"Battery Defect",
  -- S71&lt;=69,"Battery D",
  --S71&lt;=80,"Battery C",
 --S71&gt;80,""
),"")</f>
        <v/>
      </c>
      <c r="U71" s="13" t="str" cm="1">
        <f t="array" ref="U71:Z71">IFERROR(IF(_xlfn.XLOOKUP(B71,Input!J:J,Input!N:S)=0,"",
          _xlfn.XLOOKUP(B71,Input!J:J,Input!N:S)),"")</f>
        <v/>
      </c>
      <c r="V71" s="13" t="str">
        <v/>
      </c>
      <c r="W71" s="13" t="str">
        <v/>
      </c>
      <c r="X71" s="13" t="str">
        <v/>
      </c>
      <c r="Y71" s="13" t="str">
        <v/>
      </c>
      <c r="Z71" s="13" t="str">
        <v/>
      </c>
      <c r="AA71" t="str">
        <f t="shared" si="5"/>
        <v/>
      </c>
      <c r="AB71" t="str">
        <f>_xlfn.XLOOKUP(B:B,Disk_Pivot!G:G,Disk_Pivot!I:I)</f>
        <v>No</v>
      </c>
      <c r="AC71" t="str">
        <f>_xlfn.XLOOKUP(B71,Disk_Pivot!G:G,Disk_Pivot!N:N)</f>
        <v/>
      </c>
    </row>
    <row r="72" spans="1:29">
      <c r="A72" t="str">
        <f>_xlfn.TEXTJOIN("",TRUE,_xlfn.XLOOKUP(B72,Input!J:J,Input!G:G,"",0,1),_xlfn.XLOOKUP(B72,Input!J:J,Input!H:H,"",0,1))</f>
        <v/>
      </c>
      <c r="C72" s="13">
        <f>_xlfn.XLOOKUP(B72,Input!J:J,Input!F:F)</f>
        <v>0</v>
      </c>
      <c r="D72">
        <f>_xlfn.XLOOKUP(C72,Models!H:H,Models!G:G,C72)</f>
        <v>0</v>
      </c>
      <c r="F72" t="str">
        <f>_xlfn.XLOOKUP(H72,Models!B:B,Models!F:F,"")</f>
        <v/>
      </c>
      <c r="G72">
        <f>_xlfn.XLOOKUP(B72,Input!J:J,Input!E:E)</f>
        <v>0</v>
      </c>
      <c r="H72">
        <f>IF(G72="LENOVO",_xlfn.XLOOKUP(B72,Input!J:J,Input!K:K),_xlfn.XLOOKUP(B72,Input!J:J,Input!L:L))</f>
        <v>0</v>
      </c>
      <c r="K72">
        <f>_xlfn.XLOOKUP(B72,CPU_Formula!A:A,CPU_Formula!I:I)</f>
        <v>0</v>
      </c>
      <c r="L72" s="13" t="e">
        <f>INDEX(Input!$D$2:$AD$500,
       MATCH(B72, Input!$J$2:$J$500, 0),
       MATCH("Memory Capacity", Input!$D$1:$AD$1, 0))</f>
        <v>#N/A</v>
      </c>
      <c r="M72" s="13" t="e">
        <f>INDEX(Input!$D$2:$AD$500,
       MATCH(B72, Input!$J$2:$J$500, 0),
       MATCH("Memory Type", Input!$D$1:$AD$1, 0))</f>
        <v>#N/A</v>
      </c>
      <c r="N72" s="13" t="e">
        <f t="shared" si="3"/>
        <v>#N/A</v>
      </c>
      <c r="O72" s="13" t="str" cm="1">
        <f t="array" ref="O72">IFERROR(_xlfn.FILTERXML("&lt;t&gt;&lt;s&gt;" &amp; SUBSTITUTE(M72," / ","&lt;/s&gt;&lt;s&gt;") &amp; "&lt;/s&gt;&lt;/t&gt;","(//s[contains(.,'DDR')])[1]"),"")</f>
        <v/>
      </c>
      <c r="P72" t="e">
        <f t="shared" si="4"/>
        <v>#N/A</v>
      </c>
      <c r="Q72" t="str" cm="1">
        <f t="array" ref="Q72">_xlfn.TEXTJOIN(", ", TRUE, _xlfn._xlws.FILTER(Input!W:W, Input!J:J=B72))</f>
        <v/>
      </c>
      <c r="S72" s="13" t="str">
        <f>_xlfn.LET(_xlpm.Result,_xlfn.XLOOKUP(B72,Input!J:J,Input!AB:AB),IF(_xlpm.Result="","",_xlpm.Result))</f>
        <v/>
      </c>
      <c r="T72" s="13" t="str" cm="1">
        <f t="array" ref="T72">IFERROR(_xlfn.IFS(
   --S72&lt;55,"Battery Defect",
  -- S72&lt;=69,"Battery D",
  --S72&lt;=80,"Battery C",
 --S72&gt;80,""
),"")</f>
        <v/>
      </c>
      <c r="U72" s="13" t="str" cm="1">
        <f t="array" ref="U72:Z72">IFERROR(IF(_xlfn.XLOOKUP(B72,Input!J:J,Input!N:S)=0,"",
          _xlfn.XLOOKUP(B72,Input!J:J,Input!N:S)),"")</f>
        <v/>
      </c>
      <c r="V72" s="13" t="str">
        <v/>
      </c>
      <c r="W72" s="13" t="str">
        <v/>
      </c>
      <c r="X72" s="13" t="str">
        <v/>
      </c>
      <c r="Y72" s="13" t="str">
        <v/>
      </c>
      <c r="Z72" s="13" t="str">
        <v/>
      </c>
      <c r="AA72" t="str">
        <f t="shared" si="5"/>
        <v/>
      </c>
      <c r="AB72" t="str">
        <f>_xlfn.XLOOKUP(B:B,Disk_Pivot!G:G,Disk_Pivot!I:I)</f>
        <v>No</v>
      </c>
      <c r="AC72" t="str">
        <f>_xlfn.XLOOKUP(B72,Disk_Pivot!G:G,Disk_Pivot!N:N)</f>
        <v/>
      </c>
    </row>
    <row r="73" spans="1:29">
      <c r="A73" t="str">
        <f>_xlfn.TEXTJOIN("",TRUE,_xlfn.XLOOKUP(B73,Input!J:J,Input!G:G,"",0,1),_xlfn.XLOOKUP(B73,Input!J:J,Input!H:H,"",0,1))</f>
        <v/>
      </c>
      <c r="C73" s="13">
        <f>_xlfn.XLOOKUP(B73,Input!J:J,Input!F:F)</f>
        <v>0</v>
      </c>
      <c r="D73">
        <f>_xlfn.XLOOKUP(C73,Models!H:H,Models!G:G,C73)</f>
        <v>0</v>
      </c>
      <c r="F73" t="str">
        <f>_xlfn.XLOOKUP(H73,Models!B:B,Models!F:F,"")</f>
        <v/>
      </c>
      <c r="G73">
        <f>_xlfn.XLOOKUP(B73,Input!J:J,Input!E:E)</f>
        <v>0</v>
      </c>
      <c r="H73">
        <f>IF(G73="LENOVO",_xlfn.XLOOKUP(B73,Input!J:J,Input!K:K),_xlfn.XLOOKUP(B73,Input!J:J,Input!L:L))</f>
        <v>0</v>
      </c>
      <c r="K73">
        <f>_xlfn.XLOOKUP(B73,CPU_Formula!A:A,CPU_Formula!I:I)</f>
        <v>0</v>
      </c>
      <c r="L73" s="13" t="e">
        <f>INDEX(Input!$D$2:$AD$500,
       MATCH(B73, Input!$J$2:$J$500, 0),
       MATCH("Memory Capacity", Input!$D$1:$AD$1, 0))</f>
        <v>#N/A</v>
      </c>
      <c r="M73" s="13" t="e">
        <f>INDEX(Input!$D$2:$AD$500,
       MATCH(B73, Input!$J$2:$J$500, 0),
       MATCH("Memory Type", Input!$D$1:$AD$1, 0))</f>
        <v>#N/A</v>
      </c>
      <c r="N73" s="13" t="e">
        <f t="shared" si="3"/>
        <v>#N/A</v>
      </c>
      <c r="O73" s="13" t="str" cm="1">
        <f t="array" ref="O73">IFERROR(_xlfn.FILTERXML("&lt;t&gt;&lt;s&gt;" &amp; SUBSTITUTE(M73," / ","&lt;/s&gt;&lt;s&gt;") &amp; "&lt;/s&gt;&lt;/t&gt;","(//s[contains(.,'DDR')])[1]"),"")</f>
        <v/>
      </c>
      <c r="P73" t="e">
        <f t="shared" si="4"/>
        <v>#N/A</v>
      </c>
      <c r="Q73" t="str" cm="1">
        <f t="array" ref="Q73">_xlfn.TEXTJOIN(", ", TRUE, _xlfn._xlws.FILTER(Input!W:W, Input!J:J=B73))</f>
        <v/>
      </c>
      <c r="S73" s="13" t="str">
        <f>_xlfn.LET(_xlpm.Result,_xlfn.XLOOKUP(B73,Input!J:J,Input!AB:AB),IF(_xlpm.Result="","",_xlpm.Result))</f>
        <v/>
      </c>
      <c r="T73" s="13" t="str" cm="1">
        <f t="array" ref="T73">IFERROR(_xlfn.IFS(
   --S73&lt;55,"Battery Defect",
  -- S73&lt;=69,"Battery D",
  --S73&lt;=80,"Battery C",
 --S73&gt;80,""
),"")</f>
        <v/>
      </c>
      <c r="U73" s="13" t="str" cm="1">
        <f t="array" ref="U73:Z73">IFERROR(IF(_xlfn.XLOOKUP(B73,Input!J:J,Input!N:S)=0,"",
          _xlfn.XLOOKUP(B73,Input!J:J,Input!N:S)),"")</f>
        <v/>
      </c>
      <c r="V73" s="13" t="str">
        <v/>
      </c>
      <c r="W73" s="13" t="str">
        <v/>
      </c>
      <c r="X73" s="13" t="str">
        <v/>
      </c>
      <c r="Y73" s="13" t="str">
        <v/>
      </c>
      <c r="Z73" s="13" t="str">
        <v/>
      </c>
      <c r="AA73" t="str">
        <f t="shared" si="5"/>
        <v/>
      </c>
      <c r="AB73" t="str">
        <f>_xlfn.XLOOKUP(B:B,Disk_Pivot!G:G,Disk_Pivot!I:I)</f>
        <v>No</v>
      </c>
      <c r="AC73" t="str">
        <f>_xlfn.XLOOKUP(B73,Disk_Pivot!G:G,Disk_Pivot!N:N)</f>
        <v/>
      </c>
    </row>
    <row r="74" spans="1:29">
      <c r="A74" t="str">
        <f>_xlfn.TEXTJOIN("",TRUE,_xlfn.XLOOKUP(B74,Input!J:J,Input!G:G,"",0,1),_xlfn.XLOOKUP(B74,Input!J:J,Input!H:H,"",0,1))</f>
        <v/>
      </c>
      <c r="C74" s="13">
        <f>_xlfn.XLOOKUP(B74,Input!J:J,Input!F:F)</f>
        <v>0</v>
      </c>
      <c r="D74">
        <f>_xlfn.XLOOKUP(C74,Models!H:H,Models!G:G,C74)</f>
        <v>0</v>
      </c>
      <c r="F74" t="str">
        <f>_xlfn.XLOOKUP(H74,Models!B:B,Models!F:F,"")</f>
        <v/>
      </c>
      <c r="G74">
        <f>_xlfn.XLOOKUP(B74,Input!J:J,Input!E:E)</f>
        <v>0</v>
      </c>
      <c r="H74">
        <f>IF(G74="LENOVO",_xlfn.XLOOKUP(B74,Input!J:J,Input!K:K),_xlfn.XLOOKUP(B74,Input!J:J,Input!L:L))</f>
        <v>0</v>
      </c>
      <c r="K74">
        <f>_xlfn.XLOOKUP(B74,CPU_Formula!A:A,CPU_Formula!I:I)</f>
        <v>0</v>
      </c>
      <c r="L74" s="13" t="e">
        <f>INDEX(Input!$D$2:$AD$500,
       MATCH(B74, Input!$J$2:$J$500, 0),
       MATCH("Memory Capacity", Input!$D$1:$AD$1, 0))</f>
        <v>#N/A</v>
      </c>
      <c r="M74" s="13" t="e">
        <f>INDEX(Input!$D$2:$AD$500,
       MATCH(B74, Input!$J$2:$J$500, 0),
       MATCH("Memory Type", Input!$D$1:$AD$1, 0))</f>
        <v>#N/A</v>
      </c>
      <c r="N74" s="13" t="e">
        <f t="shared" si="3"/>
        <v>#N/A</v>
      </c>
      <c r="O74" s="13" t="str" cm="1">
        <f t="array" ref="O74">IFERROR(_xlfn.FILTERXML("&lt;t&gt;&lt;s&gt;" &amp; SUBSTITUTE(M74," / ","&lt;/s&gt;&lt;s&gt;") &amp; "&lt;/s&gt;&lt;/t&gt;","(//s[contains(.,'DDR')])[1]"),"")</f>
        <v/>
      </c>
      <c r="P74" t="e">
        <f t="shared" si="4"/>
        <v>#N/A</v>
      </c>
      <c r="Q74" t="str" cm="1">
        <f t="array" ref="Q74">_xlfn.TEXTJOIN(", ", TRUE, _xlfn._xlws.FILTER(Input!W:W, Input!J:J=B74))</f>
        <v/>
      </c>
      <c r="S74" s="13" t="str">
        <f>_xlfn.LET(_xlpm.Result,_xlfn.XLOOKUP(B74,Input!J:J,Input!AB:AB),IF(_xlpm.Result="","",_xlpm.Result))</f>
        <v/>
      </c>
      <c r="T74" s="13" t="str" cm="1">
        <f t="array" ref="T74">IFERROR(_xlfn.IFS(
   --S74&lt;55,"Battery Defect",
  -- S74&lt;=69,"Battery D",
  --S74&lt;=80,"Battery C",
 --S74&gt;80,""
),"")</f>
        <v/>
      </c>
      <c r="U74" s="13" t="str" cm="1">
        <f t="array" ref="U74:Z74">IFERROR(IF(_xlfn.XLOOKUP(B74,Input!J:J,Input!N:S)=0,"",
          _xlfn.XLOOKUP(B74,Input!J:J,Input!N:S)),"")</f>
        <v/>
      </c>
      <c r="V74" s="13" t="str">
        <v/>
      </c>
      <c r="W74" s="13" t="str">
        <v/>
      </c>
      <c r="X74" s="13" t="str">
        <v/>
      </c>
      <c r="Y74" s="13" t="str">
        <v/>
      </c>
      <c r="Z74" s="13" t="str">
        <v/>
      </c>
      <c r="AA74" t="str">
        <f t="shared" si="5"/>
        <v/>
      </c>
      <c r="AB74" t="str">
        <f>_xlfn.XLOOKUP(B:B,Disk_Pivot!G:G,Disk_Pivot!I:I)</f>
        <v>No</v>
      </c>
      <c r="AC74" t="str">
        <f>_xlfn.XLOOKUP(B74,Disk_Pivot!G:G,Disk_Pivot!N:N)</f>
        <v/>
      </c>
    </row>
    <row r="75" spans="1:29">
      <c r="A75" t="str">
        <f>_xlfn.TEXTJOIN("",TRUE,_xlfn.XLOOKUP(B75,Input!J:J,Input!G:G,"",0,1),_xlfn.XLOOKUP(B75,Input!J:J,Input!H:H,"",0,1))</f>
        <v/>
      </c>
      <c r="C75" s="13">
        <f>_xlfn.XLOOKUP(B75,Input!J:J,Input!F:F)</f>
        <v>0</v>
      </c>
      <c r="D75">
        <f>_xlfn.XLOOKUP(C75,Models!H:H,Models!G:G,C75)</f>
        <v>0</v>
      </c>
      <c r="F75" t="str">
        <f>_xlfn.XLOOKUP(H75,Models!B:B,Models!F:F,"")</f>
        <v/>
      </c>
      <c r="G75">
        <f>_xlfn.XLOOKUP(B75,Input!J:J,Input!E:E)</f>
        <v>0</v>
      </c>
      <c r="H75">
        <f>IF(G75="LENOVO",_xlfn.XLOOKUP(B75,Input!J:J,Input!K:K),_xlfn.XLOOKUP(B75,Input!J:J,Input!L:L))</f>
        <v>0</v>
      </c>
      <c r="K75">
        <f>_xlfn.XLOOKUP(B75,CPU_Formula!A:A,CPU_Formula!I:I)</f>
        <v>0</v>
      </c>
      <c r="L75" s="13" t="e">
        <f>INDEX(Input!$D$2:$AD$500,
       MATCH(B75, Input!$J$2:$J$500, 0),
       MATCH("Memory Capacity", Input!$D$1:$AD$1, 0))</f>
        <v>#N/A</v>
      </c>
      <c r="M75" s="13" t="e">
        <f>INDEX(Input!$D$2:$AD$500,
       MATCH(B75, Input!$J$2:$J$500, 0),
       MATCH("Memory Type", Input!$D$1:$AD$1, 0))</f>
        <v>#N/A</v>
      </c>
      <c r="N75" s="13" t="e">
        <f t="shared" si="3"/>
        <v>#N/A</v>
      </c>
      <c r="O75" s="13" t="str" cm="1">
        <f t="array" ref="O75">IFERROR(_xlfn.FILTERXML("&lt;t&gt;&lt;s&gt;" &amp; SUBSTITUTE(M75," / ","&lt;/s&gt;&lt;s&gt;") &amp; "&lt;/s&gt;&lt;/t&gt;","(//s[contains(.,'DDR')])[1]"),"")</f>
        <v/>
      </c>
      <c r="P75" t="e">
        <f t="shared" si="4"/>
        <v>#N/A</v>
      </c>
      <c r="Q75" t="str" cm="1">
        <f t="array" ref="Q75">_xlfn.TEXTJOIN(", ", TRUE, _xlfn._xlws.FILTER(Input!W:W, Input!J:J=B75))</f>
        <v/>
      </c>
      <c r="S75" s="13" t="str">
        <f>_xlfn.LET(_xlpm.Result,_xlfn.XLOOKUP(B75,Input!J:J,Input!AB:AB),IF(_xlpm.Result="","",_xlpm.Result))</f>
        <v/>
      </c>
      <c r="T75" s="13" t="str" cm="1">
        <f t="array" ref="T75">IFERROR(_xlfn.IFS(
   --S75&lt;55,"Battery Defect",
  -- S75&lt;=69,"Battery D",
  --S75&lt;=80,"Battery C",
 --S75&gt;80,""
),"")</f>
        <v/>
      </c>
      <c r="U75" s="13" t="str" cm="1">
        <f t="array" ref="U75:Z75">IFERROR(IF(_xlfn.XLOOKUP(B75,Input!J:J,Input!N:S)=0,"",
          _xlfn.XLOOKUP(B75,Input!J:J,Input!N:S)),"")</f>
        <v/>
      </c>
      <c r="V75" s="13" t="str">
        <v/>
      </c>
      <c r="W75" s="13" t="str">
        <v/>
      </c>
      <c r="X75" s="13" t="str">
        <v/>
      </c>
      <c r="Y75" s="13" t="str">
        <v/>
      </c>
      <c r="Z75" s="13" t="str">
        <v/>
      </c>
      <c r="AA75" t="str">
        <f t="shared" si="5"/>
        <v/>
      </c>
      <c r="AB75" t="str">
        <f>_xlfn.XLOOKUP(B:B,Disk_Pivot!G:G,Disk_Pivot!I:I)</f>
        <v>No</v>
      </c>
      <c r="AC75" t="str">
        <f>_xlfn.XLOOKUP(B75,Disk_Pivot!G:G,Disk_Pivot!N:N)</f>
        <v/>
      </c>
    </row>
    <row r="76" spans="1:29">
      <c r="A76" t="str">
        <f>_xlfn.TEXTJOIN("",TRUE,_xlfn.XLOOKUP(B76,Input!J:J,Input!G:G,"",0,1),_xlfn.XLOOKUP(B76,Input!J:J,Input!H:H,"",0,1))</f>
        <v/>
      </c>
      <c r="C76" s="13">
        <f>_xlfn.XLOOKUP(B76,Input!J:J,Input!F:F)</f>
        <v>0</v>
      </c>
      <c r="D76">
        <f>_xlfn.XLOOKUP(C76,Models!H:H,Models!G:G,C76)</f>
        <v>0</v>
      </c>
      <c r="F76" t="str">
        <f>_xlfn.XLOOKUP(H76,Models!B:B,Models!F:F,"")</f>
        <v/>
      </c>
      <c r="G76">
        <f>_xlfn.XLOOKUP(B76,Input!J:J,Input!E:E)</f>
        <v>0</v>
      </c>
      <c r="H76">
        <f>IF(G76="LENOVO",_xlfn.XLOOKUP(B76,Input!J:J,Input!K:K),_xlfn.XLOOKUP(B76,Input!J:J,Input!L:L))</f>
        <v>0</v>
      </c>
      <c r="K76">
        <f>_xlfn.XLOOKUP(B76,CPU_Formula!A:A,CPU_Formula!I:I)</f>
        <v>0</v>
      </c>
      <c r="L76" s="13" t="e">
        <f>INDEX(Input!$D$2:$AD$500,
       MATCH(B76, Input!$J$2:$J$500, 0),
       MATCH("Memory Capacity", Input!$D$1:$AD$1, 0))</f>
        <v>#N/A</v>
      </c>
      <c r="M76" s="13" t="e">
        <f>INDEX(Input!$D$2:$AD$500,
       MATCH(B76, Input!$J$2:$J$500, 0),
       MATCH("Memory Type", Input!$D$1:$AD$1, 0))</f>
        <v>#N/A</v>
      </c>
      <c r="N76" s="13" t="e">
        <f t="shared" si="3"/>
        <v>#N/A</v>
      </c>
      <c r="O76" s="13" t="str" cm="1">
        <f t="array" ref="O76">IFERROR(_xlfn.FILTERXML("&lt;t&gt;&lt;s&gt;" &amp; SUBSTITUTE(M76," / ","&lt;/s&gt;&lt;s&gt;") &amp; "&lt;/s&gt;&lt;/t&gt;","(//s[contains(.,'DDR')])[1]"),"")</f>
        <v/>
      </c>
      <c r="P76" t="e">
        <f t="shared" si="4"/>
        <v>#N/A</v>
      </c>
      <c r="Q76" t="str" cm="1">
        <f t="array" ref="Q76">_xlfn.TEXTJOIN(", ", TRUE, _xlfn._xlws.FILTER(Input!W:W, Input!J:J=B76))</f>
        <v/>
      </c>
      <c r="S76" s="13" t="str">
        <f>_xlfn.LET(_xlpm.Result,_xlfn.XLOOKUP(B76,Input!J:J,Input!AB:AB),IF(_xlpm.Result="","",_xlpm.Result))</f>
        <v/>
      </c>
      <c r="T76" s="13" t="str" cm="1">
        <f t="array" ref="T76">IFERROR(_xlfn.IFS(
   --S76&lt;55,"Battery Defect",
  -- S76&lt;=69,"Battery D",
  --S76&lt;=80,"Battery C",
 --S76&gt;80,""
),"")</f>
        <v/>
      </c>
      <c r="U76" s="13" t="str" cm="1">
        <f t="array" ref="U76:Z76">IFERROR(IF(_xlfn.XLOOKUP(B76,Input!J:J,Input!N:S)=0,"",
          _xlfn.XLOOKUP(B76,Input!J:J,Input!N:S)),"")</f>
        <v/>
      </c>
      <c r="V76" s="13" t="str">
        <v/>
      </c>
      <c r="W76" s="13" t="str">
        <v/>
      </c>
      <c r="X76" s="13" t="str">
        <v/>
      </c>
      <c r="Y76" s="13" t="str">
        <v/>
      </c>
      <c r="Z76" s="13" t="str">
        <v/>
      </c>
      <c r="AA76" t="str">
        <f t="shared" si="5"/>
        <v/>
      </c>
      <c r="AB76" t="str">
        <f>_xlfn.XLOOKUP(B:B,Disk_Pivot!G:G,Disk_Pivot!I:I)</f>
        <v>No</v>
      </c>
      <c r="AC76" t="str">
        <f>_xlfn.XLOOKUP(B76,Disk_Pivot!G:G,Disk_Pivot!N:N)</f>
        <v/>
      </c>
    </row>
    <row r="77" spans="1:29">
      <c r="A77" t="str">
        <f>_xlfn.TEXTJOIN("",TRUE,_xlfn.XLOOKUP(B77,Input!J:J,Input!G:G,"",0,1),_xlfn.XLOOKUP(B77,Input!J:J,Input!H:H,"",0,1))</f>
        <v/>
      </c>
      <c r="C77" s="13">
        <f>_xlfn.XLOOKUP(B77,Input!J:J,Input!F:F)</f>
        <v>0</v>
      </c>
      <c r="D77">
        <f>_xlfn.XLOOKUP(C77,Models!H:H,Models!G:G,C77)</f>
        <v>0</v>
      </c>
      <c r="F77" t="str">
        <f>_xlfn.XLOOKUP(H77,Models!B:B,Models!F:F,"")</f>
        <v/>
      </c>
      <c r="G77">
        <f>_xlfn.XLOOKUP(B77,Input!J:J,Input!E:E)</f>
        <v>0</v>
      </c>
      <c r="H77">
        <f>IF(G77="LENOVO",_xlfn.XLOOKUP(B77,Input!J:J,Input!K:K),_xlfn.XLOOKUP(B77,Input!J:J,Input!L:L))</f>
        <v>0</v>
      </c>
      <c r="K77">
        <f>_xlfn.XLOOKUP(B77,CPU_Formula!A:A,CPU_Formula!I:I)</f>
        <v>0</v>
      </c>
      <c r="L77" s="13" t="e">
        <f>INDEX(Input!$D$2:$AD$500,
       MATCH(B77, Input!$J$2:$J$500, 0),
       MATCH("Memory Capacity", Input!$D$1:$AD$1, 0))</f>
        <v>#N/A</v>
      </c>
      <c r="M77" s="13" t="e">
        <f>INDEX(Input!$D$2:$AD$500,
       MATCH(B77, Input!$J$2:$J$500, 0),
       MATCH("Memory Type", Input!$D$1:$AD$1, 0))</f>
        <v>#N/A</v>
      </c>
      <c r="N77" s="13" t="e">
        <f t="shared" si="3"/>
        <v>#N/A</v>
      </c>
      <c r="O77" s="13" t="str" cm="1">
        <f t="array" ref="O77">IFERROR(_xlfn.FILTERXML("&lt;t&gt;&lt;s&gt;" &amp; SUBSTITUTE(M77," / ","&lt;/s&gt;&lt;s&gt;") &amp; "&lt;/s&gt;&lt;/t&gt;","(//s[contains(.,'DDR')])[1]"),"")</f>
        <v/>
      </c>
      <c r="P77" t="e">
        <f t="shared" si="4"/>
        <v>#N/A</v>
      </c>
      <c r="Q77" t="str" cm="1">
        <f t="array" ref="Q77">_xlfn.TEXTJOIN(", ", TRUE, _xlfn._xlws.FILTER(Input!W:W, Input!J:J=B77))</f>
        <v/>
      </c>
      <c r="S77" s="13" t="str">
        <f>_xlfn.LET(_xlpm.Result,_xlfn.XLOOKUP(B77,Input!J:J,Input!AB:AB),IF(_xlpm.Result="","",_xlpm.Result))</f>
        <v/>
      </c>
      <c r="T77" s="13" t="str" cm="1">
        <f t="array" ref="T77">IFERROR(_xlfn.IFS(
   --S77&lt;55,"Battery Defect",
  -- S77&lt;=69,"Battery D",
  --S77&lt;=80,"Battery C",
 --S77&gt;80,""
),"")</f>
        <v/>
      </c>
      <c r="U77" s="13" t="str" cm="1">
        <f t="array" ref="U77:Z77">IFERROR(IF(_xlfn.XLOOKUP(B77,Input!J:J,Input!N:S)=0,"",
          _xlfn.XLOOKUP(B77,Input!J:J,Input!N:S)),"")</f>
        <v/>
      </c>
      <c r="V77" s="13" t="str">
        <v/>
      </c>
      <c r="W77" s="13" t="str">
        <v/>
      </c>
      <c r="X77" s="13" t="str">
        <v/>
      </c>
      <c r="Y77" s="13" t="str">
        <v/>
      </c>
      <c r="Z77" s="13" t="str">
        <v/>
      </c>
      <c r="AA77" t="str">
        <f t="shared" si="5"/>
        <v/>
      </c>
      <c r="AB77" t="str">
        <f>_xlfn.XLOOKUP(B:B,Disk_Pivot!G:G,Disk_Pivot!I:I)</f>
        <v>No</v>
      </c>
      <c r="AC77" t="str">
        <f>_xlfn.XLOOKUP(B77,Disk_Pivot!G:G,Disk_Pivot!N:N)</f>
        <v/>
      </c>
    </row>
    <row r="78" spans="1:29">
      <c r="A78" t="str">
        <f>_xlfn.TEXTJOIN("",TRUE,_xlfn.XLOOKUP(B78,Input!J:J,Input!G:G,"",0,1),_xlfn.XLOOKUP(B78,Input!J:J,Input!H:H,"",0,1))</f>
        <v/>
      </c>
      <c r="C78" s="13">
        <f>_xlfn.XLOOKUP(B78,Input!J:J,Input!F:F)</f>
        <v>0</v>
      </c>
      <c r="D78">
        <f>_xlfn.XLOOKUP(C78,Models!H:H,Models!G:G,C78)</f>
        <v>0</v>
      </c>
      <c r="F78" t="str">
        <f>_xlfn.XLOOKUP(H78,Models!B:B,Models!F:F,"")</f>
        <v/>
      </c>
      <c r="G78">
        <f>_xlfn.XLOOKUP(B78,Input!J:J,Input!E:E)</f>
        <v>0</v>
      </c>
      <c r="H78">
        <f>IF(G78="LENOVO",_xlfn.XLOOKUP(B78,Input!J:J,Input!K:K),_xlfn.XLOOKUP(B78,Input!J:J,Input!L:L))</f>
        <v>0</v>
      </c>
      <c r="K78">
        <f>_xlfn.XLOOKUP(B78,CPU_Formula!A:A,CPU_Formula!I:I)</f>
        <v>0</v>
      </c>
      <c r="L78" s="13" t="e">
        <f>INDEX(Input!$D$2:$AD$500,
       MATCH(B78, Input!$J$2:$J$500, 0),
       MATCH("Memory Capacity", Input!$D$1:$AD$1, 0))</f>
        <v>#N/A</v>
      </c>
      <c r="M78" s="13" t="e">
        <f>INDEX(Input!$D$2:$AD$500,
       MATCH(B78, Input!$J$2:$J$500, 0),
       MATCH("Memory Type", Input!$D$1:$AD$1, 0))</f>
        <v>#N/A</v>
      </c>
      <c r="N78" s="13" t="e">
        <f t="shared" si="3"/>
        <v>#N/A</v>
      </c>
      <c r="O78" s="13" t="str" cm="1">
        <f t="array" ref="O78">IFERROR(_xlfn.FILTERXML("&lt;t&gt;&lt;s&gt;" &amp; SUBSTITUTE(M78," / ","&lt;/s&gt;&lt;s&gt;") &amp; "&lt;/s&gt;&lt;/t&gt;","(//s[contains(.,'DDR')])[1]"),"")</f>
        <v/>
      </c>
      <c r="P78" t="e">
        <f t="shared" si="4"/>
        <v>#N/A</v>
      </c>
      <c r="Q78" t="str" cm="1">
        <f t="array" ref="Q78">_xlfn.TEXTJOIN(", ", TRUE, _xlfn._xlws.FILTER(Input!W:W, Input!J:J=B78))</f>
        <v/>
      </c>
      <c r="S78" s="13" t="str">
        <f>_xlfn.LET(_xlpm.Result,_xlfn.XLOOKUP(B78,Input!J:J,Input!AB:AB),IF(_xlpm.Result="","",_xlpm.Result))</f>
        <v/>
      </c>
      <c r="T78" s="13" t="str" cm="1">
        <f t="array" ref="T78">IFERROR(_xlfn.IFS(
   --S78&lt;55,"Battery Defect",
  -- S78&lt;=69,"Battery D",
  --S78&lt;=80,"Battery C",
 --S78&gt;80,""
),"")</f>
        <v/>
      </c>
      <c r="U78" s="13" t="str" cm="1">
        <f t="array" ref="U78:Z78">IFERROR(IF(_xlfn.XLOOKUP(B78,Input!J:J,Input!N:S)=0,"",
          _xlfn.XLOOKUP(B78,Input!J:J,Input!N:S)),"")</f>
        <v/>
      </c>
      <c r="V78" s="13" t="str">
        <v/>
      </c>
      <c r="W78" s="13" t="str">
        <v/>
      </c>
      <c r="X78" s="13" t="str">
        <v/>
      </c>
      <c r="Y78" s="13" t="str">
        <v/>
      </c>
      <c r="Z78" s="13" t="str">
        <v/>
      </c>
      <c r="AA78" t="str">
        <f t="shared" si="5"/>
        <v/>
      </c>
      <c r="AB78" t="str">
        <f>_xlfn.XLOOKUP(B:B,Disk_Pivot!G:G,Disk_Pivot!I:I)</f>
        <v>No</v>
      </c>
      <c r="AC78" t="str">
        <f>_xlfn.XLOOKUP(B78,Disk_Pivot!G:G,Disk_Pivot!N:N)</f>
        <v/>
      </c>
    </row>
    <row r="79" spans="1:29">
      <c r="A79" t="str">
        <f>_xlfn.TEXTJOIN("",TRUE,_xlfn.XLOOKUP(B79,Input!J:J,Input!G:G,"",0,1),_xlfn.XLOOKUP(B79,Input!J:J,Input!H:H,"",0,1))</f>
        <v/>
      </c>
      <c r="C79" s="13">
        <f>_xlfn.XLOOKUP(B79,Input!J:J,Input!F:F)</f>
        <v>0</v>
      </c>
      <c r="D79">
        <f>_xlfn.XLOOKUP(C79,Models!H:H,Models!G:G,C79)</f>
        <v>0</v>
      </c>
      <c r="F79" t="str">
        <f>_xlfn.XLOOKUP(H79,Models!B:B,Models!F:F,"")</f>
        <v/>
      </c>
      <c r="G79">
        <f>_xlfn.XLOOKUP(B79,Input!J:J,Input!E:E)</f>
        <v>0</v>
      </c>
      <c r="H79">
        <f>IF(G79="LENOVO",_xlfn.XLOOKUP(B79,Input!J:J,Input!K:K),_xlfn.XLOOKUP(B79,Input!J:J,Input!L:L))</f>
        <v>0</v>
      </c>
      <c r="K79">
        <f>_xlfn.XLOOKUP(B79,CPU_Formula!A:A,CPU_Formula!I:I)</f>
        <v>0</v>
      </c>
      <c r="L79" s="13" t="e">
        <f>INDEX(Input!$D$2:$AD$500,
       MATCH(B79, Input!$J$2:$J$500, 0),
       MATCH("Memory Capacity", Input!$D$1:$AD$1, 0))</f>
        <v>#N/A</v>
      </c>
      <c r="M79" s="13" t="e">
        <f>INDEX(Input!$D$2:$AD$500,
       MATCH(B79, Input!$J$2:$J$500, 0),
       MATCH("Memory Type", Input!$D$1:$AD$1, 0))</f>
        <v>#N/A</v>
      </c>
      <c r="N79" s="13" t="e">
        <f t="shared" si="3"/>
        <v>#N/A</v>
      </c>
      <c r="O79" s="13" t="str" cm="1">
        <f t="array" ref="O79">IFERROR(_xlfn.FILTERXML("&lt;t&gt;&lt;s&gt;" &amp; SUBSTITUTE(M79," / ","&lt;/s&gt;&lt;s&gt;") &amp; "&lt;/s&gt;&lt;/t&gt;","(//s[contains(.,'DDR')])[1]"),"")</f>
        <v/>
      </c>
      <c r="P79" t="e">
        <f t="shared" si="4"/>
        <v>#N/A</v>
      </c>
      <c r="Q79" t="str" cm="1">
        <f t="array" ref="Q79">_xlfn.TEXTJOIN(", ", TRUE, _xlfn._xlws.FILTER(Input!W:W, Input!J:J=B79))</f>
        <v/>
      </c>
      <c r="S79" s="13" t="str">
        <f>_xlfn.LET(_xlpm.Result,_xlfn.XLOOKUP(B79,Input!J:J,Input!AB:AB),IF(_xlpm.Result="","",_xlpm.Result))</f>
        <v/>
      </c>
      <c r="T79" s="13" t="str" cm="1">
        <f t="array" ref="T79">IFERROR(_xlfn.IFS(
   --S79&lt;55,"Battery Defect",
  -- S79&lt;=69,"Battery D",
  --S79&lt;=80,"Battery C",
 --S79&gt;80,""
),"")</f>
        <v/>
      </c>
      <c r="U79" s="13" t="str" cm="1">
        <f t="array" ref="U79:Z79">IFERROR(IF(_xlfn.XLOOKUP(B79,Input!J:J,Input!N:S)=0,"",
          _xlfn.XLOOKUP(B79,Input!J:J,Input!N:S)),"")</f>
        <v/>
      </c>
      <c r="V79" s="13" t="str">
        <v/>
      </c>
      <c r="W79" s="13" t="str">
        <v/>
      </c>
      <c r="X79" s="13" t="str">
        <v/>
      </c>
      <c r="Y79" s="13" t="str">
        <v/>
      </c>
      <c r="Z79" s="13" t="str">
        <v/>
      </c>
      <c r="AA79" t="str">
        <f t="shared" si="5"/>
        <v/>
      </c>
      <c r="AB79" t="str">
        <f>_xlfn.XLOOKUP(B:B,Disk_Pivot!G:G,Disk_Pivot!I:I)</f>
        <v>No</v>
      </c>
      <c r="AC79" t="str">
        <f>_xlfn.XLOOKUP(B79,Disk_Pivot!G:G,Disk_Pivot!N:N)</f>
        <v/>
      </c>
    </row>
    <row r="80" spans="1:29">
      <c r="A80" t="str">
        <f>_xlfn.TEXTJOIN("",TRUE,_xlfn.XLOOKUP(B80,Input!J:J,Input!G:G,"",0,1),_xlfn.XLOOKUP(B80,Input!J:J,Input!H:H,"",0,1))</f>
        <v/>
      </c>
      <c r="C80" s="13">
        <f>_xlfn.XLOOKUP(B80,Input!J:J,Input!F:F)</f>
        <v>0</v>
      </c>
      <c r="D80">
        <f>_xlfn.XLOOKUP(C80,Models!H:H,Models!G:G,C80)</f>
        <v>0</v>
      </c>
      <c r="F80" t="str">
        <f>_xlfn.XLOOKUP(H80,Models!B:B,Models!F:F,"")</f>
        <v/>
      </c>
      <c r="G80">
        <f>_xlfn.XLOOKUP(B80,Input!J:J,Input!E:E)</f>
        <v>0</v>
      </c>
      <c r="H80">
        <f>IF(G80="LENOVO",_xlfn.XLOOKUP(B80,Input!J:J,Input!K:K),_xlfn.XLOOKUP(B80,Input!J:J,Input!L:L))</f>
        <v>0</v>
      </c>
      <c r="K80">
        <f>_xlfn.XLOOKUP(B80,CPU_Formula!A:A,CPU_Formula!I:I)</f>
        <v>0</v>
      </c>
      <c r="L80" s="13" t="e">
        <f>INDEX(Input!$D$2:$AD$500,
       MATCH(B80, Input!$J$2:$J$500, 0),
       MATCH("Memory Capacity", Input!$D$1:$AD$1, 0))</f>
        <v>#N/A</v>
      </c>
      <c r="M80" s="13" t="e">
        <f>INDEX(Input!$D$2:$AD$500,
       MATCH(B80, Input!$J$2:$J$500, 0),
       MATCH("Memory Type", Input!$D$1:$AD$1, 0))</f>
        <v>#N/A</v>
      </c>
      <c r="N80" s="13" t="e">
        <f t="shared" si="3"/>
        <v>#N/A</v>
      </c>
      <c r="O80" s="13" t="str" cm="1">
        <f t="array" ref="O80">IFERROR(_xlfn.FILTERXML("&lt;t&gt;&lt;s&gt;" &amp; SUBSTITUTE(M80," / ","&lt;/s&gt;&lt;s&gt;") &amp; "&lt;/s&gt;&lt;/t&gt;","(//s[contains(.,'DDR')])[1]"),"")</f>
        <v/>
      </c>
      <c r="P80" t="e">
        <f t="shared" si="4"/>
        <v>#N/A</v>
      </c>
      <c r="Q80" t="str" cm="1">
        <f t="array" ref="Q80">_xlfn.TEXTJOIN(", ", TRUE, _xlfn._xlws.FILTER(Input!W:W, Input!J:J=B80))</f>
        <v/>
      </c>
      <c r="S80" s="13" t="str">
        <f>_xlfn.LET(_xlpm.Result,_xlfn.XLOOKUP(B80,Input!J:J,Input!AB:AB),IF(_xlpm.Result="","",_xlpm.Result))</f>
        <v/>
      </c>
      <c r="T80" s="13" t="str" cm="1">
        <f t="array" ref="T80">IFERROR(_xlfn.IFS(
   --S80&lt;55,"Battery Defect",
  -- S80&lt;=69,"Battery D",
  --S80&lt;=80,"Battery C",
 --S80&gt;80,""
),"")</f>
        <v/>
      </c>
      <c r="U80" s="13" t="str" cm="1">
        <f t="array" ref="U80:Z80">IFERROR(IF(_xlfn.XLOOKUP(B80,Input!J:J,Input!N:S)=0,"",
          _xlfn.XLOOKUP(B80,Input!J:J,Input!N:S)),"")</f>
        <v/>
      </c>
      <c r="V80" s="13" t="str">
        <v/>
      </c>
      <c r="W80" s="13" t="str">
        <v/>
      </c>
      <c r="X80" s="13" t="str">
        <v/>
      </c>
      <c r="Y80" s="13" t="str">
        <v/>
      </c>
      <c r="Z80" s="13" t="str">
        <v/>
      </c>
      <c r="AA80" t="str">
        <f t="shared" si="5"/>
        <v/>
      </c>
      <c r="AB80" t="str">
        <f>_xlfn.XLOOKUP(B:B,Disk_Pivot!G:G,Disk_Pivot!I:I)</f>
        <v>No</v>
      </c>
      <c r="AC80" t="str">
        <f>_xlfn.XLOOKUP(B80,Disk_Pivot!G:G,Disk_Pivot!N:N)</f>
        <v/>
      </c>
    </row>
    <row r="81" spans="1:29">
      <c r="A81" t="str">
        <f>_xlfn.TEXTJOIN("",TRUE,_xlfn.XLOOKUP(B81,Input!J:J,Input!G:G,"",0,1),_xlfn.XLOOKUP(B81,Input!J:J,Input!H:H,"",0,1))</f>
        <v/>
      </c>
      <c r="C81" s="13">
        <f>_xlfn.XLOOKUP(B81,Input!J:J,Input!F:F)</f>
        <v>0</v>
      </c>
      <c r="D81">
        <f>_xlfn.XLOOKUP(C81,Models!H:H,Models!G:G,C81)</f>
        <v>0</v>
      </c>
      <c r="F81" t="str">
        <f>_xlfn.XLOOKUP(H81,Models!B:B,Models!F:F,"")</f>
        <v/>
      </c>
      <c r="G81">
        <f>_xlfn.XLOOKUP(B81,Input!J:J,Input!E:E)</f>
        <v>0</v>
      </c>
      <c r="H81">
        <f>IF(G81="LENOVO",_xlfn.XLOOKUP(B81,Input!J:J,Input!K:K),_xlfn.XLOOKUP(B81,Input!J:J,Input!L:L))</f>
        <v>0</v>
      </c>
      <c r="K81">
        <f>_xlfn.XLOOKUP(B81,CPU_Formula!A:A,CPU_Formula!I:I)</f>
        <v>0</v>
      </c>
      <c r="L81" s="13" t="e">
        <f>INDEX(Input!$D$2:$AD$500,
       MATCH(B81, Input!$J$2:$J$500, 0),
       MATCH("Memory Capacity", Input!$D$1:$AD$1, 0))</f>
        <v>#N/A</v>
      </c>
      <c r="M81" s="13" t="e">
        <f>INDEX(Input!$D$2:$AD$500,
       MATCH(B81, Input!$J$2:$J$500, 0),
       MATCH("Memory Type", Input!$D$1:$AD$1, 0))</f>
        <v>#N/A</v>
      </c>
      <c r="N81" s="13" t="e">
        <f t="shared" si="3"/>
        <v>#N/A</v>
      </c>
      <c r="O81" s="13" t="str" cm="1">
        <f t="array" ref="O81">IFERROR(_xlfn.FILTERXML("&lt;t&gt;&lt;s&gt;" &amp; SUBSTITUTE(M81," / ","&lt;/s&gt;&lt;s&gt;") &amp; "&lt;/s&gt;&lt;/t&gt;","(//s[contains(.,'DDR')])[1]"),"")</f>
        <v/>
      </c>
      <c r="P81" t="e">
        <f t="shared" si="4"/>
        <v>#N/A</v>
      </c>
      <c r="Q81" t="str" cm="1">
        <f t="array" ref="Q81">_xlfn.TEXTJOIN(", ", TRUE, _xlfn._xlws.FILTER(Input!W:W, Input!J:J=B81))</f>
        <v/>
      </c>
      <c r="S81" s="13" t="str">
        <f>_xlfn.LET(_xlpm.Result,_xlfn.XLOOKUP(B81,Input!J:J,Input!AB:AB),IF(_xlpm.Result="","",_xlpm.Result))</f>
        <v/>
      </c>
      <c r="T81" s="13" t="str" cm="1">
        <f t="array" ref="T81">IFERROR(_xlfn.IFS(
   --S81&lt;55,"Battery Defect",
  -- S81&lt;=69,"Battery D",
  --S81&lt;=80,"Battery C",
 --S81&gt;80,""
),"")</f>
        <v/>
      </c>
      <c r="U81" s="13" t="str" cm="1">
        <f t="array" ref="U81:Z81">IFERROR(IF(_xlfn.XLOOKUP(B81,Input!J:J,Input!N:S)=0,"",
          _xlfn.XLOOKUP(B81,Input!J:J,Input!N:S)),"")</f>
        <v/>
      </c>
      <c r="V81" s="13" t="str">
        <v/>
      </c>
      <c r="W81" s="13" t="str">
        <v/>
      </c>
      <c r="X81" s="13" t="str">
        <v/>
      </c>
      <c r="Y81" s="13" t="str">
        <v/>
      </c>
      <c r="Z81" s="13" t="str">
        <v/>
      </c>
      <c r="AA81" t="str">
        <f t="shared" si="5"/>
        <v/>
      </c>
      <c r="AB81" t="str">
        <f>_xlfn.XLOOKUP(B:B,Disk_Pivot!G:G,Disk_Pivot!I:I)</f>
        <v>No</v>
      </c>
      <c r="AC81" t="str">
        <f>_xlfn.XLOOKUP(B81,Disk_Pivot!G:G,Disk_Pivot!N:N)</f>
        <v/>
      </c>
    </row>
    <row r="82" spans="1:29">
      <c r="A82" t="str">
        <f>_xlfn.TEXTJOIN("",TRUE,_xlfn.XLOOKUP(B82,Input!J:J,Input!G:G,"",0,1),_xlfn.XLOOKUP(B82,Input!J:J,Input!H:H,"",0,1))</f>
        <v/>
      </c>
      <c r="C82" s="13">
        <f>_xlfn.XLOOKUP(B82,Input!J:J,Input!F:F)</f>
        <v>0</v>
      </c>
      <c r="D82">
        <f>_xlfn.XLOOKUP(C82,Models!H:H,Models!G:G,C82)</f>
        <v>0</v>
      </c>
      <c r="F82" t="str">
        <f>_xlfn.XLOOKUP(H82,Models!B:B,Models!F:F,"")</f>
        <v/>
      </c>
      <c r="G82">
        <f>_xlfn.XLOOKUP(B82,Input!J:J,Input!E:E)</f>
        <v>0</v>
      </c>
      <c r="H82">
        <f>IF(G82="LENOVO",_xlfn.XLOOKUP(B82,Input!J:J,Input!K:K),_xlfn.XLOOKUP(B82,Input!J:J,Input!L:L))</f>
        <v>0</v>
      </c>
      <c r="K82">
        <f>_xlfn.XLOOKUP(B82,CPU_Formula!A:A,CPU_Formula!I:I)</f>
        <v>0</v>
      </c>
      <c r="L82" s="13" t="e">
        <f>INDEX(Input!$D$2:$AD$500,
       MATCH(B82, Input!$J$2:$J$500, 0),
       MATCH("Memory Capacity", Input!$D$1:$AD$1, 0))</f>
        <v>#N/A</v>
      </c>
      <c r="M82" s="13" t="e">
        <f>INDEX(Input!$D$2:$AD$500,
       MATCH(B82, Input!$J$2:$J$500, 0),
       MATCH("Memory Type", Input!$D$1:$AD$1, 0))</f>
        <v>#N/A</v>
      </c>
      <c r="N82" s="13" t="e">
        <f t="shared" si="3"/>
        <v>#N/A</v>
      </c>
      <c r="O82" s="13" t="str" cm="1">
        <f t="array" ref="O82">IFERROR(_xlfn.FILTERXML("&lt;t&gt;&lt;s&gt;" &amp; SUBSTITUTE(M82," / ","&lt;/s&gt;&lt;s&gt;") &amp; "&lt;/s&gt;&lt;/t&gt;","(//s[contains(.,'DDR')])[1]"),"")</f>
        <v/>
      </c>
      <c r="P82" t="e">
        <f t="shared" si="4"/>
        <v>#N/A</v>
      </c>
      <c r="Q82" t="str" cm="1">
        <f t="array" ref="Q82">_xlfn.TEXTJOIN(", ", TRUE, _xlfn._xlws.FILTER(Input!W:W, Input!J:J=B82))</f>
        <v/>
      </c>
      <c r="S82" s="13" t="str">
        <f>_xlfn.LET(_xlpm.Result,_xlfn.XLOOKUP(B82,Input!J:J,Input!AB:AB),IF(_xlpm.Result="","",_xlpm.Result))</f>
        <v/>
      </c>
      <c r="T82" s="13" t="str" cm="1">
        <f t="array" ref="T82">IFERROR(_xlfn.IFS(
   --S82&lt;55,"Battery Defect",
  -- S82&lt;=69,"Battery D",
  --S82&lt;=80,"Battery C",
 --S82&gt;80,""
),"")</f>
        <v/>
      </c>
      <c r="U82" s="13" t="str" cm="1">
        <f t="array" ref="U82:Z82">IFERROR(IF(_xlfn.XLOOKUP(B82,Input!J:J,Input!N:S)=0,"",
          _xlfn.XLOOKUP(B82,Input!J:J,Input!N:S)),"")</f>
        <v/>
      </c>
      <c r="V82" s="13" t="str">
        <v/>
      </c>
      <c r="W82" s="13" t="str">
        <v/>
      </c>
      <c r="X82" s="13" t="str">
        <v/>
      </c>
      <c r="Y82" s="13" t="str">
        <v/>
      </c>
      <c r="Z82" s="13" t="str">
        <v/>
      </c>
      <c r="AA82" t="str">
        <f t="shared" si="5"/>
        <v/>
      </c>
      <c r="AB82" t="str">
        <f>_xlfn.XLOOKUP(B:B,Disk_Pivot!G:G,Disk_Pivot!I:I)</f>
        <v>No</v>
      </c>
      <c r="AC82" t="str">
        <f>_xlfn.XLOOKUP(B82,Disk_Pivot!G:G,Disk_Pivot!N:N)</f>
        <v/>
      </c>
    </row>
    <row r="83" spans="1:29">
      <c r="A83" t="str">
        <f>_xlfn.TEXTJOIN("",TRUE,_xlfn.XLOOKUP(B83,Input!J:J,Input!G:G,"",0,1),_xlfn.XLOOKUP(B83,Input!J:J,Input!H:H,"",0,1))</f>
        <v/>
      </c>
      <c r="C83" s="13">
        <f>_xlfn.XLOOKUP(B83,Input!J:J,Input!F:F)</f>
        <v>0</v>
      </c>
      <c r="D83">
        <f>_xlfn.XLOOKUP(C83,Models!H:H,Models!G:G,C83)</f>
        <v>0</v>
      </c>
      <c r="F83" t="str">
        <f>_xlfn.XLOOKUP(H83,Models!B:B,Models!F:F,"")</f>
        <v/>
      </c>
      <c r="G83">
        <f>_xlfn.XLOOKUP(B83,Input!J:J,Input!E:E)</f>
        <v>0</v>
      </c>
      <c r="H83">
        <f>IF(G83="LENOVO",_xlfn.XLOOKUP(B83,Input!J:J,Input!K:K),_xlfn.XLOOKUP(B83,Input!J:J,Input!L:L))</f>
        <v>0</v>
      </c>
      <c r="K83">
        <f>_xlfn.XLOOKUP(B83,CPU_Formula!A:A,CPU_Formula!I:I)</f>
        <v>0</v>
      </c>
      <c r="L83" s="13" t="e">
        <f>INDEX(Input!$D$2:$AD$500,
       MATCH(B83, Input!$J$2:$J$500, 0),
       MATCH("Memory Capacity", Input!$D$1:$AD$1, 0))</f>
        <v>#N/A</v>
      </c>
      <c r="M83" s="13" t="e">
        <f>INDEX(Input!$D$2:$AD$500,
       MATCH(B83, Input!$J$2:$J$500, 0),
       MATCH("Memory Type", Input!$D$1:$AD$1, 0))</f>
        <v>#N/A</v>
      </c>
      <c r="N83" s="13" t="e">
        <f t="shared" si="3"/>
        <v>#N/A</v>
      </c>
      <c r="O83" s="13" t="str" cm="1">
        <f t="array" ref="O83">IFERROR(_xlfn.FILTERXML("&lt;t&gt;&lt;s&gt;" &amp; SUBSTITUTE(M83," / ","&lt;/s&gt;&lt;s&gt;") &amp; "&lt;/s&gt;&lt;/t&gt;","(//s[contains(.,'DDR')])[1]"),"")</f>
        <v/>
      </c>
      <c r="P83" t="e">
        <f t="shared" si="4"/>
        <v>#N/A</v>
      </c>
      <c r="Q83" t="str" cm="1">
        <f t="array" ref="Q83">_xlfn.TEXTJOIN(", ", TRUE, _xlfn._xlws.FILTER(Input!W:W, Input!J:J=B83))</f>
        <v/>
      </c>
      <c r="S83" s="13" t="str">
        <f>_xlfn.LET(_xlpm.Result,_xlfn.XLOOKUP(B83,Input!J:J,Input!AB:AB),IF(_xlpm.Result="","",_xlpm.Result))</f>
        <v/>
      </c>
      <c r="T83" s="13" t="str" cm="1">
        <f t="array" ref="T83">IFERROR(_xlfn.IFS(
   --S83&lt;55,"Battery Defect",
  -- S83&lt;=69,"Battery D",
  --S83&lt;=80,"Battery C",
 --S83&gt;80,""
),"")</f>
        <v/>
      </c>
      <c r="U83" s="13" t="str" cm="1">
        <f t="array" ref="U83:Z83">IFERROR(IF(_xlfn.XLOOKUP(B83,Input!J:J,Input!N:S)=0,"",
          _xlfn.XLOOKUP(B83,Input!J:J,Input!N:S)),"")</f>
        <v/>
      </c>
      <c r="V83" s="13" t="str">
        <v/>
      </c>
      <c r="W83" s="13" t="str">
        <v/>
      </c>
      <c r="X83" s="13" t="str">
        <v/>
      </c>
      <c r="Y83" s="13" t="str">
        <v/>
      </c>
      <c r="Z83" s="13" t="str">
        <v/>
      </c>
      <c r="AA83" t="str">
        <f t="shared" si="5"/>
        <v/>
      </c>
      <c r="AB83" t="str">
        <f>_xlfn.XLOOKUP(B:B,Disk_Pivot!G:G,Disk_Pivot!I:I)</f>
        <v>No</v>
      </c>
      <c r="AC83" t="str">
        <f>_xlfn.XLOOKUP(B83,Disk_Pivot!G:G,Disk_Pivot!N:N)</f>
        <v/>
      </c>
    </row>
    <row r="84" spans="1:29">
      <c r="A84" t="str">
        <f>_xlfn.TEXTJOIN("",TRUE,_xlfn.XLOOKUP(B84,Input!J:J,Input!G:G,"",0,1),_xlfn.XLOOKUP(B84,Input!J:J,Input!H:H,"",0,1))</f>
        <v/>
      </c>
      <c r="C84" s="13">
        <f>_xlfn.XLOOKUP(B84,Input!J:J,Input!F:F)</f>
        <v>0</v>
      </c>
      <c r="D84">
        <f>_xlfn.XLOOKUP(C84,Models!H:H,Models!G:G,C84)</f>
        <v>0</v>
      </c>
      <c r="F84" t="str">
        <f>_xlfn.XLOOKUP(H84,Models!B:B,Models!F:F,"")</f>
        <v/>
      </c>
      <c r="G84">
        <f>_xlfn.XLOOKUP(B84,Input!J:J,Input!E:E)</f>
        <v>0</v>
      </c>
      <c r="H84">
        <f>IF(G84="LENOVO",_xlfn.XLOOKUP(B84,Input!J:J,Input!K:K),_xlfn.XLOOKUP(B84,Input!J:J,Input!L:L))</f>
        <v>0</v>
      </c>
      <c r="K84">
        <f>_xlfn.XLOOKUP(B84,CPU_Formula!A:A,CPU_Formula!I:I)</f>
        <v>0</v>
      </c>
      <c r="L84" s="13" t="e">
        <f>INDEX(Input!$D$2:$AD$500,
       MATCH(B84, Input!$J$2:$J$500, 0),
       MATCH("Memory Capacity", Input!$D$1:$AD$1, 0))</f>
        <v>#N/A</v>
      </c>
      <c r="M84" s="13" t="e">
        <f>INDEX(Input!$D$2:$AD$500,
       MATCH(B84, Input!$J$2:$J$500, 0),
       MATCH("Memory Type", Input!$D$1:$AD$1, 0))</f>
        <v>#N/A</v>
      </c>
      <c r="N84" s="13" t="e">
        <f t="shared" si="3"/>
        <v>#N/A</v>
      </c>
      <c r="O84" s="13" t="str" cm="1">
        <f t="array" ref="O84">IFERROR(_xlfn.FILTERXML("&lt;t&gt;&lt;s&gt;" &amp; SUBSTITUTE(M84," / ","&lt;/s&gt;&lt;s&gt;") &amp; "&lt;/s&gt;&lt;/t&gt;","(//s[contains(.,'DDR')])[1]"),"")</f>
        <v/>
      </c>
      <c r="P84" t="e">
        <f t="shared" si="4"/>
        <v>#N/A</v>
      </c>
      <c r="Q84" t="str" cm="1">
        <f t="array" ref="Q84">_xlfn.TEXTJOIN(", ", TRUE, _xlfn._xlws.FILTER(Input!W:W, Input!J:J=B84))</f>
        <v/>
      </c>
      <c r="S84" s="13" t="str">
        <f>_xlfn.LET(_xlpm.Result,_xlfn.XLOOKUP(B84,Input!J:J,Input!AB:AB),IF(_xlpm.Result="","",_xlpm.Result))</f>
        <v/>
      </c>
      <c r="T84" s="13" t="str" cm="1">
        <f t="array" ref="T84">IFERROR(_xlfn.IFS(
   --S84&lt;55,"Battery Defect",
  -- S84&lt;=69,"Battery D",
  --S84&lt;=80,"Battery C",
 --S84&gt;80,""
),"")</f>
        <v/>
      </c>
      <c r="U84" s="13" t="str" cm="1">
        <f t="array" ref="U84:Z84">IFERROR(IF(_xlfn.XLOOKUP(B84,Input!J:J,Input!N:S)=0,"",
          _xlfn.XLOOKUP(B84,Input!J:J,Input!N:S)),"")</f>
        <v/>
      </c>
      <c r="V84" s="13" t="str">
        <v/>
      </c>
      <c r="W84" s="13" t="str">
        <v/>
      </c>
      <c r="X84" s="13" t="str">
        <v/>
      </c>
      <c r="Y84" s="13" t="str">
        <v/>
      </c>
      <c r="Z84" s="13" t="str">
        <v/>
      </c>
      <c r="AA84" t="str">
        <f t="shared" si="5"/>
        <v/>
      </c>
      <c r="AB84" t="str">
        <f>_xlfn.XLOOKUP(B:B,Disk_Pivot!G:G,Disk_Pivot!I:I)</f>
        <v>No</v>
      </c>
      <c r="AC84" t="str">
        <f>_xlfn.XLOOKUP(B84,Disk_Pivot!G:G,Disk_Pivot!N:N)</f>
        <v/>
      </c>
    </row>
    <row r="85" spans="1:29">
      <c r="A85" t="str">
        <f>_xlfn.TEXTJOIN("",TRUE,_xlfn.XLOOKUP(B85,Input!J:J,Input!G:G,"",0,1),_xlfn.XLOOKUP(B85,Input!J:J,Input!H:H,"",0,1))</f>
        <v/>
      </c>
      <c r="C85" s="13">
        <f>_xlfn.XLOOKUP(B85,Input!J:J,Input!F:F)</f>
        <v>0</v>
      </c>
      <c r="D85">
        <f>_xlfn.XLOOKUP(C85,Models!H:H,Models!G:G,C85)</f>
        <v>0</v>
      </c>
      <c r="F85" t="str">
        <f>_xlfn.XLOOKUP(H85,Models!B:B,Models!F:F,"")</f>
        <v/>
      </c>
      <c r="G85">
        <f>_xlfn.XLOOKUP(B85,Input!J:J,Input!E:E)</f>
        <v>0</v>
      </c>
      <c r="H85">
        <f>IF(G85="LENOVO",_xlfn.XLOOKUP(B85,Input!J:J,Input!K:K),_xlfn.XLOOKUP(B85,Input!J:J,Input!L:L))</f>
        <v>0</v>
      </c>
      <c r="K85">
        <f>_xlfn.XLOOKUP(B85,CPU_Formula!A:A,CPU_Formula!I:I)</f>
        <v>0</v>
      </c>
      <c r="L85" s="13" t="e">
        <f>INDEX(Input!$D$2:$AD$500,
       MATCH(B85, Input!$J$2:$J$500, 0),
       MATCH("Memory Capacity", Input!$D$1:$AD$1, 0))</f>
        <v>#N/A</v>
      </c>
      <c r="M85" s="13" t="e">
        <f>INDEX(Input!$D$2:$AD$500,
       MATCH(B85, Input!$J$2:$J$500, 0),
       MATCH("Memory Type", Input!$D$1:$AD$1, 0))</f>
        <v>#N/A</v>
      </c>
      <c r="N85" s="13" t="e">
        <f t="shared" si="3"/>
        <v>#N/A</v>
      </c>
      <c r="O85" s="13" t="str" cm="1">
        <f t="array" ref="O85">IFERROR(_xlfn.FILTERXML("&lt;t&gt;&lt;s&gt;" &amp; SUBSTITUTE(M85," / ","&lt;/s&gt;&lt;s&gt;") &amp; "&lt;/s&gt;&lt;/t&gt;","(//s[contains(.,'DDR')])[1]"),"")</f>
        <v/>
      </c>
      <c r="P85" t="e">
        <f t="shared" si="4"/>
        <v>#N/A</v>
      </c>
      <c r="Q85" t="str" cm="1">
        <f t="array" ref="Q85">_xlfn.TEXTJOIN(", ", TRUE, _xlfn._xlws.FILTER(Input!W:W, Input!J:J=B85))</f>
        <v/>
      </c>
      <c r="S85" s="13" t="str">
        <f>_xlfn.LET(_xlpm.Result,_xlfn.XLOOKUP(B85,Input!J:J,Input!AB:AB),IF(_xlpm.Result="","",_xlpm.Result))</f>
        <v/>
      </c>
      <c r="T85" s="13" t="str" cm="1">
        <f t="array" ref="T85">IFERROR(_xlfn.IFS(
   --S85&lt;55,"Battery Defect",
  -- S85&lt;=69,"Battery D",
  --S85&lt;=80,"Battery C",
 --S85&gt;80,""
),"")</f>
        <v/>
      </c>
      <c r="U85" s="13" t="str" cm="1">
        <f t="array" ref="U85:Z85">IFERROR(IF(_xlfn.XLOOKUP(B85,Input!J:J,Input!N:S)=0,"",
          _xlfn.XLOOKUP(B85,Input!J:J,Input!N:S)),"")</f>
        <v/>
      </c>
      <c r="V85" s="13" t="str">
        <v/>
      </c>
      <c r="W85" s="13" t="str">
        <v/>
      </c>
      <c r="X85" s="13" t="str">
        <v/>
      </c>
      <c r="Y85" s="13" t="str">
        <v/>
      </c>
      <c r="Z85" s="13" t="str">
        <v/>
      </c>
      <c r="AA85" t="str">
        <f t="shared" si="5"/>
        <v/>
      </c>
      <c r="AB85" t="str">
        <f>_xlfn.XLOOKUP(B:B,Disk_Pivot!G:G,Disk_Pivot!I:I)</f>
        <v>No</v>
      </c>
      <c r="AC85" t="str">
        <f>_xlfn.XLOOKUP(B85,Disk_Pivot!G:G,Disk_Pivot!N:N)</f>
        <v/>
      </c>
    </row>
    <row r="86" spans="1:29">
      <c r="A86" t="str">
        <f>_xlfn.TEXTJOIN("",TRUE,_xlfn.XLOOKUP(B86,Input!J:J,Input!G:G,"",0,1),_xlfn.XLOOKUP(B86,Input!J:J,Input!H:H,"",0,1))</f>
        <v/>
      </c>
      <c r="C86" s="13">
        <f>_xlfn.XLOOKUP(B86,Input!J:J,Input!F:F)</f>
        <v>0</v>
      </c>
      <c r="D86">
        <f>_xlfn.XLOOKUP(C86,Models!H:H,Models!G:G,C86)</f>
        <v>0</v>
      </c>
      <c r="F86" t="str">
        <f>_xlfn.XLOOKUP(H86,Models!B:B,Models!F:F,"")</f>
        <v/>
      </c>
      <c r="G86">
        <f>_xlfn.XLOOKUP(B86,Input!J:J,Input!E:E)</f>
        <v>0</v>
      </c>
      <c r="H86">
        <f>IF(G86="LENOVO",_xlfn.XLOOKUP(B86,Input!J:J,Input!K:K),_xlfn.XLOOKUP(B86,Input!J:J,Input!L:L))</f>
        <v>0</v>
      </c>
      <c r="K86">
        <f>_xlfn.XLOOKUP(B86,CPU_Formula!A:A,CPU_Formula!I:I)</f>
        <v>0</v>
      </c>
      <c r="L86" s="13" t="e">
        <f>INDEX(Input!$D$2:$AD$500,
       MATCH(B86, Input!$J$2:$J$500, 0),
       MATCH("Memory Capacity", Input!$D$1:$AD$1, 0))</f>
        <v>#N/A</v>
      </c>
      <c r="M86" s="13" t="e">
        <f>INDEX(Input!$D$2:$AD$500,
       MATCH(B86, Input!$J$2:$J$500, 0),
       MATCH("Memory Type", Input!$D$1:$AD$1, 0))</f>
        <v>#N/A</v>
      </c>
      <c r="N86" s="13" t="e">
        <f t="shared" si="3"/>
        <v>#N/A</v>
      </c>
      <c r="O86" s="13" t="str" cm="1">
        <f t="array" ref="O86">IFERROR(_xlfn.FILTERXML("&lt;t&gt;&lt;s&gt;" &amp; SUBSTITUTE(M86," / ","&lt;/s&gt;&lt;s&gt;") &amp; "&lt;/s&gt;&lt;/t&gt;","(//s[contains(.,'DDR')])[1]"),"")</f>
        <v/>
      </c>
      <c r="P86" t="e">
        <f t="shared" si="4"/>
        <v>#N/A</v>
      </c>
      <c r="Q86" t="str" cm="1">
        <f t="array" ref="Q86">_xlfn.TEXTJOIN(", ", TRUE, _xlfn._xlws.FILTER(Input!W:W, Input!J:J=B86))</f>
        <v/>
      </c>
      <c r="S86" s="13" t="str">
        <f>_xlfn.LET(_xlpm.Result,_xlfn.XLOOKUP(B86,Input!J:J,Input!AB:AB),IF(_xlpm.Result="","",_xlpm.Result))</f>
        <v/>
      </c>
      <c r="T86" s="13" t="str" cm="1">
        <f t="array" ref="T86">IFERROR(_xlfn.IFS(
   --S86&lt;55,"Battery Defect",
  -- S86&lt;=69,"Battery D",
  --S86&lt;=80,"Battery C",
 --S86&gt;80,""
),"")</f>
        <v/>
      </c>
      <c r="U86" s="13" t="str" cm="1">
        <f t="array" ref="U86:Z86">IFERROR(IF(_xlfn.XLOOKUP(B86,Input!J:J,Input!N:S)=0,"",
          _xlfn.XLOOKUP(B86,Input!J:J,Input!N:S)),"")</f>
        <v/>
      </c>
      <c r="V86" s="13" t="str">
        <v/>
      </c>
      <c r="W86" s="13" t="str">
        <v/>
      </c>
      <c r="X86" s="13" t="str">
        <v/>
      </c>
      <c r="Y86" s="13" t="str">
        <v/>
      </c>
      <c r="Z86" s="13" t="str">
        <v/>
      </c>
      <c r="AA86" t="str">
        <f t="shared" si="5"/>
        <v/>
      </c>
      <c r="AB86" t="str">
        <f>_xlfn.XLOOKUP(B:B,Disk_Pivot!G:G,Disk_Pivot!I:I)</f>
        <v>No</v>
      </c>
      <c r="AC86" t="str">
        <f>_xlfn.XLOOKUP(B86,Disk_Pivot!G:G,Disk_Pivot!N:N)</f>
        <v/>
      </c>
    </row>
    <row r="87" spans="1:29">
      <c r="A87" t="str">
        <f>_xlfn.TEXTJOIN("",TRUE,_xlfn.XLOOKUP(B87,Input!J:J,Input!G:G,"",0,1),_xlfn.XLOOKUP(B87,Input!J:J,Input!H:H,"",0,1))</f>
        <v/>
      </c>
      <c r="C87" s="13">
        <f>_xlfn.XLOOKUP(B87,Input!J:J,Input!F:F)</f>
        <v>0</v>
      </c>
      <c r="D87">
        <f>_xlfn.XLOOKUP(C87,Models!H:H,Models!G:G,C87)</f>
        <v>0</v>
      </c>
      <c r="F87" t="str">
        <f>_xlfn.XLOOKUP(H87,Models!B:B,Models!F:F,"")</f>
        <v/>
      </c>
      <c r="G87">
        <f>_xlfn.XLOOKUP(B87,Input!J:J,Input!E:E)</f>
        <v>0</v>
      </c>
      <c r="H87">
        <f>IF(G87="LENOVO",_xlfn.XLOOKUP(B87,Input!J:J,Input!K:K),_xlfn.XLOOKUP(B87,Input!J:J,Input!L:L))</f>
        <v>0</v>
      </c>
      <c r="K87">
        <f>_xlfn.XLOOKUP(B87,CPU_Formula!A:A,CPU_Formula!I:I)</f>
        <v>0</v>
      </c>
      <c r="L87" s="13" t="e">
        <f>INDEX(Input!$D$2:$AD$500,
       MATCH(B87, Input!$J$2:$J$500, 0),
       MATCH("Memory Capacity", Input!$D$1:$AD$1, 0))</f>
        <v>#N/A</v>
      </c>
      <c r="M87" s="13" t="e">
        <f>INDEX(Input!$D$2:$AD$500,
       MATCH(B87, Input!$J$2:$J$500, 0),
       MATCH("Memory Type", Input!$D$1:$AD$1, 0))</f>
        <v>#N/A</v>
      </c>
      <c r="N87" s="13" t="e">
        <f t="shared" si="3"/>
        <v>#N/A</v>
      </c>
      <c r="O87" s="13" t="str" cm="1">
        <f t="array" ref="O87">IFERROR(_xlfn.FILTERXML("&lt;t&gt;&lt;s&gt;" &amp; SUBSTITUTE(M87," / ","&lt;/s&gt;&lt;s&gt;") &amp; "&lt;/s&gt;&lt;/t&gt;","(//s[contains(.,'DDR')])[1]"),"")</f>
        <v/>
      </c>
      <c r="P87" t="e">
        <f t="shared" si="4"/>
        <v>#N/A</v>
      </c>
      <c r="Q87" t="str" cm="1">
        <f t="array" ref="Q87">_xlfn.TEXTJOIN(", ", TRUE, _xlfn._xlws.FILTER(Input!W:W, Input!J:J=B87))</f>
        <v/>
      </c>
      <c r="S87" s="13" t="str">
        <f>_xlfn.LET(_xlpm.Result,_xlfn.XLOOKUP(B87,Input!J:J,Input!AB:AB),IF(_xlpm.Result="","",_xlpm.Result))</f>
        <v/>
      </c>
      <c r="T87" s="13" t="str" cm="1">
        <f t="array" ref="T87">IFERROR(_xlfn.IFS(
   --S87&lt;55,"Battery Defect",
  -- S87&lt;=69,"Battery D",
  --S87&lt;=80,"Battery C",
 --S87&gt;80,""
),"")</f>
        <v/>
      </c>
      <c r="U87" s="13" t="str" cm="1">
        <f t="array" ref="U87:Z87">IFERROR(IF(_xlfn.XLOOKUP(B87,Input!J:J,Input!N:S)=0,"",
          _xlfn.XLOOKUP(B87,Input!J:J,Input!N:S)),"")</f>
        <v/>
      </c>
      <c r="V87" s="13" t="str">
        <v/>
      </c>
      <c r="W87" s="13" t="str">
        <v/>
      </c>
      <c r="X87" s="13" t="str">
        <v/>
      </c>
      <c r="Y87" s="13" t="str">
        <v/>
      </c>
      <c r="Z87" s="13" t="str">
        <v/>
      </c>
      <c r="AA87" t="str">
        <f t="shared" si="5"/>
        <v/>
      </c>
      <c r="AB87" t="str">
        <f>_xlfn.XLOOKUP(B:B,Disk_Pivot!G:G,Disk_Pivot!I:I)</f>
        <v>No</v>
      </c>
      <c r="AC87" t="str">
        <f>_xlfn.XLOOKUP(B87,Disk_Pivot!G:G,Disk_Pivot!N:N)</f>
        <v/>
      </c>
    </row>
    <row r="88" spans="1:29">
      <c r="A88" t="str">
        <f>_xlfn.TEXTJOIN("",TRUE,_xlfn.XLOOKUP(B88,Input!J:J,Input!G:G,"",0,1),_xlfn.XLOOKUP(B88,Input!J:J,Input!H:H,"",0,1))</f>
        <v/>
      </c>
      <c r="C88" s="13">
        <f>_xlfn.XLOOKUP(B88,Input!J:J,Input!F:F)</f>
        <v>0</v>
      </c>
      <c r="D88">
        <f>_xlfn.XLOOKUP(C88,Models!H:H,Models!G:G,C88)</f>
        <v>0</v>
      </c>
      <c r="F88" t="str">
        <f>_xlfn.XLOOKUP(H88,Models!B:B,Models!F:F,"")</f>
        <v/>
      </c>
      <c r="G88">
        <f>_xlfn.XLOOKUP(B88,Input!J:J,Input!E:E)</f>
        <v>0</v>
      </c>
      <c r="H88">
        <f>IF(G88="LENOVO",_xlfn.XLOOKUP(B88,Input!J:J,Input!K:K),_xlfn.XLOOKUP(B88,Input!J:J,Input!L:L))</f>
        <v>0</v>
      </c>
      <c r="K88">
        <f>_xlfn.XLOOKUP(B88,CPU_Formula!A:A,CPU_Formula!I:I)</f>
        <v>0</v>
      </c>
      <c r="L88" s="13" t="e">
        <f>INDEX(Input!$D$2:$AD$500,
       MATCH(B88, Input!$J$2:$J$500, 0),
       MATCH("Memory Capacity", Input!$D$1:$AD$1, 0))</f>
        <v>#N/A</v>
      </c>
      <c r="M88" s="13" t="e">
        <f>INDEX(Input!$D$2:$AD$500,
       MATCH(B88, Input!$J$2:$J$500, 0),
       MATCH("Memory Type", Input!$D$1:$AD$1, 0))</f>
        <v>#N/A</v>
      </c>
      <c r="N88" s="13" t="e">
        <f t="shared" si="3"/>
        <v>#N/A</v>
      </c>
      <c r="O88" s="13" t="str" cm="1">
        <f t="array" ref="O88">IFERROR(_xlfn.FILTERXML("&lt;t&gt;&lt;s&gt;" &amp; SUBSTITUTE(M88," / ","&lt;/s&gt;&lt;s&gt;") &amp; "&lt;/s&gt;&lt;/t&gt;","(//s[contains(.,'DDR')])[1]"),"")</f>
        <v/>
      </c>
      <c r="P88" t="e">
        <f t="shared" ref="P88" si="6">_xlfn.TEXTJOIN(" ",TRUE,N88,"GB",O88)</f>
        <v>#N/A</v>
      </c>
      <c r="Q88" t="str" cm="1">
        <f t="array" ref="Q88">_xlfn.TEXTJOIN(", ", TRUE, _xlfn._xlws.FILTER(Input!W:W, Input!J:J=B88))</f>
        <v/>
      </c>
      <c r="S88" s="13" t="str">
        <f>_xlfn.LET(_xlpm.Result,_xlfn.XLOOKUP(B88,Input!J:J,Input!AB:AB),IF(_xlpm.Result="","",_xlpm.Result))</f>
        <v/>
      </c>
      <c r="T88" s="13" t="str" cm="1">
        <f t="array" ref="T88">IFERROR(_xlfn.IFS(
   --S88&lt;55,"Battery Defect",
  -- S88&lt;=69,"Battery D",
  --S88&lt;=80,"Battery C",
 --S88&gt;80,""
),"")</f>
        <v/>
      </c>
      <c r="U88" s="13" t="str" cm="1">
        <f t="array" ref="U88:Z88">IFERROR(IF(_xlfn.XLOOKUP(B88,Input!J:J,Input!N:S)=0,"",
          _xlfn.XLOOKUP(B88,Input!J:J,Input!N:S)),"")</f>
        <v/>
      </c>
      <c r="V88" s="13" t="str">
        <v/>
      </c>
      <c r="W88" s="13" t="str">
        <v/>
      </c>
      <c r="X88" s="13" t="str">
        <v/>
      </c>
      <c r="Y88" s="13" t="str">
        <v/>
      </c>
      <c r="Z88" s="13" t="str">
        <v/>
      </c>
      <c r="AA88" t="str">
        <f t="shared" si="5"/>
        <v/>
      </c>
      <c r="AB88" t="str">
        <f>_xlfn.XLOOKUP(B:B,Disk_Pivot!G:G,Disk_Pivot!I:I)</f>
        <v>No</v>
      </c>
      <c r="AC88" t="str">
        <f>_xlfn.XLOOKUP(B88,Disk_Pivot!G:G,Disk_Pivot!N:N)</f>
        <v/>
      </c>
    </row>
    <row r="89" spans="1:29">
      <c r="A89" t="str">
        <f>_xlfn.TEXTJOIN("",TRUE,_xlfn.XLOOKUP(B89,Input!J:J,Input!G:G,"",0,1),_xlfn.XLOOKUP(B89,Input!J:J,Input!H:H,"",0,1))</f>
        <v/>
      </c>
      <c r="F89" t="str">
        <f>_xlfn.XLOOKUP(H89,Models!B:B,Models!F:F,"")</f>
        <v/>
      </c>
      <c r="L89" s="13" t="e">
        <f>INDEX(Input!$D$2:$AD$500,
       MATCH(B89, Input!$J$2:$J$500, 0),
       MATCH("Memory Capacity", Input!$D$1:$AD$1, 0))</f>
        <v>#N/A</v>
      </c>
      <c r="M89" s="13" t="e">
        <f>INDEX(Input!$D$2:$AD$500,
       MATCH(B89, Input!$J$2:$J$500, 0),
       MATCH("Memory Type", Input!$D$1:$AD$1, 0))</f>
        <v>#N/A</v>
      </c>
      <c r="N89" s="13" t="e">
        <f t="shared" si="3"/>
        <v>#N/A</v>
      </c>
      <c r="S89" s="13" t="str">
        <f>_xlfn.LET(_xlpm.Result,_xlfn.XLOOKUP(B89,Input!J:J,Input!AB:AB),IF(_xlpm.Result="","",_xlpm.Result))</f>
        <v/>
      </c>
      <c r="T89" s="13" t="str" cm="1">
        <f t="array" ref="T89">IFERROR(_xlfn.IFS(
   --S89&lt;55,"Battery Defect",
  -- S89&lt;=69,"Battery D",
  --S89&lt;=80,"Battery C",
 --S89&gt;80,""
),"")</f>
        <v/>
      </c>
      <c r="U89" s="13" t="str" cm="1">
        <f t="array" ref="U89:Z89">IFERROR(IF(_xlfn.XLOOKUP(B89,Input!J:J,Input!N:S)=0,"",
          _xlfn.XLOOKUP(B89,Input!J:J,Input!N:S)),"")</f>
        <v/>
      </c>
      <c r="V89" s="13" t="str">
        <v/>
      </c>
      <c r="W89" s="13" t="str">
        <v/>
      </c>
      <c r="X89" s="13" t="str">
        <v/>
      </c>
      <c r="Y89" s="13" t="str">
        <v/>
      </c>
      <c r="Z89" s="13" t="str">
        <v/>
      </c>
      <c r="AA89" t="str">
        <f t="shared" si="5"/>
        <v/>
      </c>
      <c r="AB89" t="str">
        <f>_xlfn.XLOOKUP(B:B,Disk_Pivot!G:G,Disk_Pivot!I:I)</f>
        <v>No</v>
      </c>
      <c r="AC89" t="str">
        <f>_xlfn.XLOOKUP(B89,Disk_Pivot!G:G,Disk_Pivot!N:N)</f>
        <v/>
      </c>
    </row>
    <row r="90" spans="1:29">
      <c r="F90">
        <f>_xlfn.XLOOKUP(H90,Models!B:B,Models!F:F,"")</f>
        <v>0</v>
      </c>
      <c r="K90">
        <f>_xlfn.XLOOKUP(B90,CPU_Formula!A:A,CPU_Formula!I:I)</f>
        <v>0</v>
      </c>
      <c r="L90" s="13" t="e">
        <f>INDEX(Input!$D$2:$AD$500,
       MATCH(B90, Input!$J$2:$J$500, 0),
       MATCH("Memory Capacity", Input!$D$1:$AD$1, 0))</f>
        <v>#N/A</v>
      </c>
      <c r="M90" s="13" t="e">
        <f>INDEX(Input!$D$2:$AD$500,
       MATCH(B90, Input!$J$2:$J$500, 0),
       MATCH("Memory Type", Input!$D$1:$AD$1, 0))</f>
        <v>#N/A</v>
      </c>
      <c r="N90" s="13" t="e">
        <f t="shared" si="3"/>
        <v>#N/A</v>
      </c>
      <c r="S90" s="13" t="str">
        <f>_xlfn.LET(_xlpm.Result,_xlfn.XLOOKUP(B90,Input!J:J,Input!AB:AB),IF(_xlpm.Result="","",_xlpm.Result))</f>
        <v/>
      </c>
      <c r="T90" s="13" t="str" cm="1">
        <f t="array" ref="T90">IFERROR(_xlfn.IFS(
   --S90&lt;55,"Battery Defect",
  -- S90&lt;=69,"Battery D",
  --S90&lt;=80,"Battery C",
 --S90&gt;80,""
),"")</f>
        <v/>
      </c>
      <c r="U90" s="13" t="str" cm="1">
        <f t="array" ref="U90:Z90">IFERROR(IF(_xlfn.XLOOKUP(B90,Input!J:J,Input!N:S)=0,"",
          _xlfn.XLOOKUP(B90,Input!J:J,Input!N:S)),"")</f>
        <v/>
      </c>
      <c r="V90" s="13" t="str">
        <v/>
      </c>
      <c r="W90" s="13" t="str">
        <v/>
      </c>
      <c r="X90" s="13" t="str">
        <v/>
      </c>
      <c r="Y90" s="13" t="str">
        <v/>
      </c>
      <c r="Z90" s="13" t="str">
        <v/>
      </c>
      <c r="AA90" t="str">
        <f t="shared" si="5"/>
        <v/>
      </c>
      <c r="AB90" t="str">
        <f>_xlfn.XLOOKUP(B:B,Disk_Pivot!G:G,Disk_Pivot!I:I)</f>
        <v>No</v>
      </c>
      <c r="AC90" t="str">
        <f>_xlfn.XLOOKUP(B90,Disk_Pivot!G:G,Disk_Pivot!N:N)</f>
        <v/>
      </c>
    </row>
    <row r="91" spans="1:29">
      <c r="F91">
        <f>_xlfn.XLOOKUP(H91,Models!B:B,Models!F:F,"")</f>
        <v>0</v>
      </c>
      <c r="K91">
        <f>_xlfn.XLOOKUP(B91,CPU_Formula!A:A,CPU_Formula!I:I)</f>
        <v>0</v>
      </c>
      <c r="L91" s="13" t="e">
        <f>INDEX(Input!$D$2:$AD$500,
       MATCH(B91, Input!$J$2:$J$500, 0),
       MATCH("Memory Capacity", Input!$D$1:$AD$1, 0))</f>
        <v>#N/A</v>
      </c>
      <c r="M91" s="13" t="e">
        <f>INDEX(Input!$D$2:$AD$500,
       MATCH(B91, Input!$J$2:$J$500, 0),
       MATCH("Memory Type", Input!$D$1:$AD$1, 0))</f>
        <v>#N/A</v>
      </c>
      <c r="N91" s="13" t="e">
        <f t="shared" si="3"/>
        <v>#N/A</v>
      </c>
      <c r="S91" s="13" t="str">
        <f>_xlfn.LET(_xlpm.Result,_xlfn.XLOOKUP(B91,Input!J:J,Input!AB:AB),IF(_xlpm.Result="","",_xlpm.Result))</f>
        <v/>
      </c>
      <c r="T91" s="13" t="str" cm="1">
        <f t="array" ref="T91">IFERROR(_xlfn.IFS(
   --S91&lt;55,"Battery Defect",
  -- S91&lt;=69,"Battery D",
  --S91&lt;=80,"Battery C",
 --S91&gt;80,""
),"")</f>
        <v/>
      </c>
      <c r="U91" s="13" t="str" cm="1">
        <f t="array" ref="U91:Z91">IFERROR(IF(_xlfn.XLOOKUP(B91,Input!J:J,Input!N:S)=0,"",
          _xlfn.XLOOKUP(B91,Input!J:J,Input!N:S)),"")</f>
        <v/>
      </c>
      <c r="V91" s="13" t="str">
        <v/>
      </c>
      <c r="W91" s="13" t="str">
        <v/>
      </c>
      <c r="X91" s="13" t="str">
        <v/>
      </c>
      <c r="Y91" s="13" t="str">
        <v/>
      </c>
      <c r="Z91" s="13" t="str">
        <v/>
      </c>
      <c r="AA91" t="str">
        <f t="shared" si="5"/>
        <v/>
      </c>
      <c r="AB91" t="str">
        <f>_xlfn.XLOOKUP(B:B,Disk_Pivot!G:G,Disk_Pivot!I:I)</f>
        <v>No</v>
      </c>
      <c r="AC91" t="str">
        <f>_xlfn.XLOOKUP(B91,Disk_Pivot!G:G,Disk_Pivot!N:N)</f>
        <v/>
      </c>
    </row>
    <row r="92" spans="1:29">
      <c r="F92" t="str">
        <f>_xlfn.XLOOKUP(H92,Models!B:B,Models!F:F,"")</f>
        <v/>
      </c>
      <c r="K92">
        <f>_xlfn.XLOOKUP(B92,CPU_Formula!A:A,CPU_Formula!I:I)</f>
        <v>0</v>
      </c>
      <c r="L92" s="13" t="e">
        <f>INDEX(Input!$D$2:$AD$500,
       MATCH(B92, Input!$J$2:$J$500, 0),
       MATCH("Memory Capacity", Input!$D$1:$AD$1, 0))</f>
        <v>#N/A</v>
      </c>
      <c r="M92" s="13" t="e">
        <f>INDEX(Input!$D$2:$AD$500,
       MATCH(B92, Input!$J$2:$J$500, 0),
       MATCH("Memory Type", Input!$D$1:$AD$1, 0))</f>
        <v>#N/A</v>
      </c>
      <c r="N92" s="13" t="e">
        <f t="shared" si="3"/>
        <v>#N/A</v>
      </c>
      <c r="S92" s="13" t="str">
        <f>_xlfn.LET(_xlpm.Result,_xlfn.XLOOKUP(B92,Input!J:J,Input!AB:AB),IF(_xlpm.Result="","",_xlpm.Result))</f>
        <v/>
      </c>
      <c r="T92" s="13" t="str" cm="1">
        <f t="array" ref="T92">IFERROR(_xlfn.IFS(
   --S92&lt;55,"Battery Defect",
  -- S92&lt;=69,"Battery D",
  --S92&lt;=80,"Battery C",
 --S92&gt;80,""
),"")</f>
        <v/>
      </c>
      <c r="U92" s="13" t="str" cm="1">
        <f t="array" ref="U92:Z92">IFERROR(IF(_xlfn.XLOOKUP(B92,Input!J:J,Input!N:S)=0,"",
          _xlfn.XLOOKUP(B92,Input!J:J,Input!N:S)),"")</f>
        <v/>
      </c>
      <c r="V92" s="13" t="str">
        <v/>
      </c>
      <c r="W92" s="13" t="str">
        <v/>
      </c>
      <c r="X92" s="13" t="str">
        <v/>
      </c>
      <c r="Y92" s="13" t="str">
        <v/>
      </c>
      <c r="Z92" s="13" t="str">
        <v/>
      </c>
      <c r="AA92" t="str">
        <f t="shared" si="5"/>
        <v/>
      </c>
      <c r="AB92" t="str">
        <f>_xlfn.XLOOKUP(B:B,Disk_Pivot!G:G,Disk_Pivot!I:I)</f>
        <v>No</v>
      </c>
      <c r="AC92" t="str">
        <f>_xlfn.XLOOKUP(B92,Disk_Pivot!G:G,Disk_Pivot!N:N)</f>
        <v/>
      </c>
    </row>
    <row r="93" spans="1:29">
      <c r="F93">
        <f>_xlfn.XLOOKUP(H93,Models!B:B,Models!F:F,"")</f>
        <v>0</v>
      </c>
      <c r="K93">
        <f>_xlfn.XLOOKUP(B93,CPU_Formula!A:A,CPU_Formula!I:I)</f>
        <v>0</v>
      </c>
      <c r="L93" s="13" t="e">
        <f>INDEX(Input!$D$2:$AD$500,
       MATCH(B93, Input!$J$2:$J$500, 0),
       MATCH("Memory Capacity", Input!$D$1:$AD$1, 0))</f>
        <v>#N/A</v>
      </c>
      <c r="M93" s="13" t="e">
        <f>INDEX(Input!$D$2:$AD$500,
       MATCH(B93, Input!$J$2:$J$500, 0),
       MATCH("Memory Type", Input!$D$1:$AD$1, 0))</f>
        <v>#N/A</v>
      </c>
      <c r="N93" s="13" t="e">
        <f t="shared" si="3"/>
        <v>#N/A</v>
      </c>
      <c r="S93" s="13" t="str">
        <f>_xlfn.LET(_xlpm.Result,_xlfn.XLOOKUP(B93,Input!J:J,Input!AB:AB),IF(_xlpm.Result="","",_xlpm.Result))</f>
        <v/>
      </c>
      <c r="T93" s="13" t="str" cm="1">
        <f t="array" ref="T93">IFERROR(_xlfn.IFS(
   --S93&lt;55,"Battery Defect",
  -- S93&lt;=69,"Battery D",
  --S93&lt;=80,"Battery C",
 --S93&gt;80,""
),"")</f>
        <v/>
      </c>
      <c r="U93" s="13" t="str" cm="1">
        <f t="array" ref="U93:Z93">IFERROR(IF(_xlfn.XLOOKUP(B93,Input!J:J,Input!N:S)=0,"",
          _xlfn.XLOOKUP(B93,Input!J:J,Input!N:S)),"")</f>
        <v/>
      </c>
      <c r="V93" s="13" t="str">
        <v/>
      </c>
      <c r="W93" s="13" t="str">
        <v/>
      </c>
      <c r="X93" s="13" t="str">
        <v/>
      </c>
      <c r="Y93" s="13" t="str">
        <v/>
      </c>
      <c r="Z93" s="13" t="str">
        <v/>
      </c>
      <c r="AA93" t="str">
        <f t="shared" si="5"/>
        <v/>
      </c>
      <c r="AB93" t="str">
        <f>_xlfn.XLOOKUP(B:B,Disk_Pivot!G:G,Disk_Pivot!I:I)</f>
        <v>No</v>
      </c>
      <c r="AC93" t="str">
        <f>_xlfn.XLOOKUP(B93,Disk_Pivot!G:G,Disk_Pivot!N:N)</f>
        <v/>
      </c>
    </row>
    <row r="94" spans="1:29">
      <c r="F94">
        <f>_xlfn.XLOOKUP(H94,Models!B:B,Models!F:F,"")</f>
        <v>0</v>
      </c>
      <c r="K94">
        <f>_xlfn.XLOOKUP(B94,CPU_Formula!A:A,CPU_Formula!I:I)</f>
        <v>0</v>
      </c>
      <c r="L94" s="13" t="e">
        <f>INDEX(Input!$D$2:$AD$500,
       MATCH(B94, Input!$J$2:$J$500, 0),
       MATCH("Memory Capacity", Input!$D$1:$AD$1, 0))</f>
        <v>#N/A</v>
      </c>
      <c r="M94" s="13" t="e">
        <f>INDEX(Input!$D$2:$AD$500,
       MATCH(B94, Input!$J$2:$J$500, 0),
       MATCH("Memory Type", Input!$D$1:$AD$1, 0))</f>
        <v>#N/A</v>
      </c>
      <c r="N94" s="13" t="e">
        <f t="shared" si="3"/>
        <v>#N/A</v>
      </c>
      <c r="S94" s="13" t="str">
        <f>_xlfn.LET(_xlpm.Result,_xlfn.XLOOKUP(B94,Input!J:J,Input!AB:AB),IF(_xlpm.Result="","",_xlpm.Result))</f>
        <v/>
      </c>
      <c r="T94" s="13" t="str" cm="1">
        <f t="array" ref="T94">IFERROR(_xlfn.IFS(
   --S94&lt;55,"Battery Defect",
  -- S94&lt;=69,"Battery D",
  --S94&lt;=80,"Battery C",
 --S94&gt;80,""
),"")</f>
        <v/>
      </c>
      <c r="U94" s="13" t="str" cm="1">
        <f t="array" ref="U94:Z94">IFERROR(IF(_xlfn.XLOOKUP(B94,Input!J:J,Input!N:S)=0,"",
          _xlfn.XLOOKUP(B94,Input!J:J,Input!N:S)),"")</f>
        <v/>
      </c>
      <c r="V94" s="13" t="str">
        <v/>
      </c>
      <c r="W94" s="13" t="str">
        <v/>
      </c>
      <c r="X94" s="13" t="str">
        <v/>
      </c>
      <c r="Y94" s="13" t="str">
        <v/>
      </c>
      <c r="Z94" s="13" t="str">
        <v/>
      </c>
      <c r="AA94" t="str">
        <f t="shared" si="5"/>
        <v/>
      </c>
      <c r="AB94" t="str">
        <f>_xlfn.XLOOKUP(B:B,Disk_Pivot!G:G,Disk_Pivot!I:I)</f>
        <v>No</v>
      </c>
      <c r="AC94" t="str">
        <f>_xlfn.XLOOKUP(B94,Disk_Pivot!G:G,Disk_Pivot!N:N)</f>
        <v/>
      </c>
    </row>
    <row r="95" spans="1:29">
      <c r="F95" t="str">
        <f>_xlfn.XLOOKUP(H95,Models!B:B,Models!F:F,"")</f>
        <v/>
      </c>
      <c r="K95">
        <f>_xlfn.XLOOKUP(B95,CPU_Formula!A:A,CPU_Formula!I:I)</f>
        <v>0</v>
      </c>
      <c r="L95" s="13" t="e">
        <f>INDEX(Input!$D$2:$AD$500,
       MATCH(B95, Input!$J$2:$J$500, 0),
       MATCH("Memory Capacity", Input!$D$1:$AD$1, 0))</f>
        <v>#N/A</v>
      </c>
      <c r="M95" s="13" t="e">
        <f>INDEX(Input!$D$2:$AD$500,
       MATCH(B95, Input!$J$2:$J$500, 0),
       MATCH("Memory Type", Input!$D$1:$AD$1, 0))</f>
        <v>#N/A</v>
      </c>
      <c r="N95" s="13" t="e">
        <f t="shared" si="3"/>
        <v>#N/A</v>
      </c>
      <c r="S95" s="13" t="str">
        <f>_xlfn.LET(_xlpm.Result,_xlfn.XLOOKUP(B95,Input!J:J,Input!AB:AB),IF(_xlpm.Result="","",_xlpm.Result))</f>
        <v/>
      </c>
      <c r="T95" s="13" t="str" cm="1">
        <f t="array" ref="T95">IFERROR(_xlfn.IFS(
   --S95&lt;55,"Battery Defect",
  -- S95&lt;=69,"Battery D",
  --S95&lt;=80,"Battery C",
 --S95&gt;80,""
),"")</f>
        <v/>
      </c>
      <c r="U95" s="13" t="str" cm="1">
        <f t="array" ref="U95:Z95">IFERROR(IF(_xlfn.XLOOKUP(B95,Input!J:J,Input!N:S)=0,"",
          _xlfn.XLOOKUP(B95,Input!J:J,Input!N:S)),"")</f>
        <v/>
      </c>
      <c r="V95" s="13" t="str">
        <v/>
      </c>
      <c r="W95" s="13" t="str">
        <v/>
      </c>
      <c r="X95" s="13" t="str">
        <v/>
      </c>
      <c r="Y95" s="13" t="str">
        <v/>
      </c>
      <c r="Z95" s="13" t="str">
        <v/>
      </c>
      <c r="AA95" t="str">
        <f t="shared" si="5"/>
        <v/>
      </c>
      <c r="AB95" t="str">
        <f>_xlfn.XLOOKUP(B:B,Disk_Pivot!G:G,Disk_Pivot!I:I)</f>
        <v>No</v>
      </c>
      <c r="AC95" t="str">
        <f>_xlfn.XLOOKUP(B95,Disk_Pivot!G:G,Disk_Pivot!N:N)</f>
        <v/>
      </c>
    </row>
    <row r="96" spans="1:29">
      <c r="F96">
        <f>_xlfn.XLOOKUP(H96,Models!B:B,Models!F:F,"")</f>
        <v>0</v>
      </c>
      <c r="K96">
        <f>_xlfn.XLOOKUP(B96,CPU_Formula!A:A,CPU_Formula!I:I)</f>
        <v>0</v>
      </c>
      <c r="L96" s="13" t="e">
        <f>INDEX(Input!$D$2:$AD$500,
       MATCH(B96, Input!$J$2:$J$500, 0),
       MATCH("Memory Capacity", Input!$D$1:$AD$1, 0))</f>
        <v>#N/A</v>
      </c>
      <c r="M96" s="13" t="e">
        <f>INDEX(Input!$D$2:$AD$500,
       MATCH(B96, Input!$J$2:$J$500, 0),
       MATCH("Memory Type", Input!$D$1:$AD$1, 0))</f>
        <v>#N/A</v>
      </c>
      <c r="N96" s="13" t="e">
        <f t="shared" si="3"/>
        <v>#N/A</v>
      </c>
      <c r="S96" s="13" t="str">
        <f>_xlfn.LET(_xlpm.Result,_xlfn.XLOOKUP(B96,Input!J:J,Input!AB:AB),IF(_xlpm.Result="","",_xlpm.Result))</f>
        <v/>
      </c>
      <c r="T96" s="13" t="str" cm="1">
        <f t="array" ref="T96">IFERROR(_xlfn.IFS(
   --S96&lt;55,"Battery Defect",
  -- S96&lt;=69,"Battery D",
  --S96&lt;=80,"Battery C",
 --S96&gt;80,""
),"")</f>
        <v/>
      </c>
      <c r="U96" s="13" t="str" cm="1">
        <f t="array" ref="U96:Z96">IFERROR(IF(_xlfn.XLOOKUP(B96,Input!J:J,Input!N:S)=0,"",
          _xlfn.XLOOKUP(B96,Input!J:J,Input!N:S)),"")</f>
        <v/>
      </c>
      <c r="V96" s="13" t="str">
        <v/>
      </c>
      <c r="W96" s="13" t="str">
        <v/>
      </c>
      <c r="X96" s="13" t="str">
        <v/>
      </c>
      <c r="Y96" s="13" t="str">
        <v/>
      </c>
      <c r="Z96" s="13" t="str">
        <v/>
      </c>
      <c r="AA96" t="str">
        <f t="shared" si="5"/>
        <v/>
      </c>
      <c r="AB96" t="str">
        <f>_xlfn.XLOOKUP(B:B,Disk_Pivot!G:G,Disk_Pivot!I:I)</f>
        <v>No</v>
      </c>
      <c r="AC96" t="str">
        <f>_xlfn.XLOOKUP(B96,Disk_Pivot!G:G,Disk_Pivot!N:N)</f>
        <v/>
      </c>
    </row>
    <row r="97" spans="6:29">
      <c r="F97">
        <f>_xlfn.XLOOKUP(H97,Models!B:B,Models!F:F,"")</f>
        <v>0</v>
      </c>
      <c r="K97">
        <f>_xlfn.XLOOKUP(B97,CPU_Formula!A:A,CPU_Formula!I:I)</f>
        <v>0</v>
      </c>
      <c r="L97" s="13" t="e">
        <f>INDEX(Input!$D$2:$AD$500,
       MATCH(B97, Input!$J$2:$J$500, 0),
       MATCH("Memory Capacity", Input!$D$1:$AD$1, 0))</f>
        <v>#N/A</v>
      </c>
      <c r="M97" s="13" t="e">
        <f>INDEX(Input!$D$2:$AD$500,
       MATCH(B97, Input!$J$2:$J$500, 0),
       MATCH("Memory Type", Input!$D$1:$AD$1, 0))</f>
        <v>#N/A</v>
      </c>
      <c r="N97" s="13" t="e">
        <f t="shared" si="3"/>
        <v>#N/A</v>
      </c>
      <c r="S97" s="13" t="str">
        <f>_xlfn.LET(_xlpm.Result,_xlfn.XLOOKUP(B97,Input!J:J,Input!AB:AB),IF(_xlpm.Result="","",_xlpm.Result))</f>
        <v/>
      </c>
      <c r="T97" s="13" t="str" cm="1">
        <f t="array" ref="T97">IFERROR(_xlfn.IFS(
   --S97&lt;55,"Battery Defect",
  -- S97&lt;=69,"Battery D",
  --S97&lt;=80,"Battery C",
 --S97&gt;80,""
),"")</f>
        <v/>
      </c>
      <c r="U97" s="13" t="str" cm="1">
        <f t="array" ref="U97:Z97">IFERROR(IF(_xlfn.XLOOKUP(B97,Input!J:J,Input!N:S)=0,"",
          _xlfn.XLOOKUP(B97,Input!J:J,Input!N:S)),"")</f>
        <v/>
      </c>
      <c r="V97" s="13" t="str">
        <v/>
      </c>
      <c r="W97" s="13" t="str">
        <v/>
      </c>
      <c r="X97" s="13" t="str">
        <v/>
      </c>
      <c r="Y97" s="13" t="str">
        <v/>
      </c>
      <c r="Z97" s="13" t="str">
        <v/>
      </c>
      <c r="AA97" t="str">
        <f t="shared" si="5"/>
        <v/>
      </c>
      <c r="AB97" t="str">
        <f>_xlfn.XLOOKUP(B:B,Disk_Pivot!G:G,Disk_Pivot!I:I)</f>
        <v>No</v>
      </c>
      <c r="AC97" t="str">
        <f>_xlfn.XLOOKUP(B97,Disk_Pivot!G:G,Disk_Pivot!N:N)</f>
        <v/>
      </c>
    </row>
    <row r="98" spans="6:29">
      <c r="F98" t="str">
        <f>_xlfn.XLOOKUP(H98,Models!B:B,Models!F:F,"")</f>
        <v/>
      </c>
      <c r="K98">
        <f>_xlfn.XLOOKUP(B98,CPU_Formula!A:A,CPU_Formula!I:I)</f>
        <v>0</v>
      </c>
      <c r="L98" s="13" t="e">
        <f>INDEX(Input!$D$2:$AD$500,
       MATCH(B98, Input!$J$2:$J$500, 0),
       MATCH("Memory Capacity", Input!$D$1:$AD$1, 0))</f>
        <v>#N/A</v>
      </c>
      <c r="M98" s="13" t="e">
        <f>INDEX(Input!$D$2:$AD$500,
       MATCH(B98, Input!$J$2:$J$500, 0),
       MATCH("Memory Type", Input!$D$1:$AD$1, 0))</f>
        <v>#N/A</v>
      </c>
      <c r="N98" s="13" t="e">
        <f t="shared" si="3"/>
        <v>#N/A</v>
      </c>
      <c r="S98" s="13" t="str">
        <f>_xlfn.LET(_xlpm.Result,_xlfn.XLOOKUP(B98,Input!J:J,Input!AB:AB),IF(_xlpm.Result="","",_xlpm.Result))</f>
        <v/>
      </c>
      <c r="T98" s="13" t="str" cm="1">
        <f t="array" ref="T98">IFERROR(_xlfn.IFS(
   --S98&lt;55,"Battery Defect",
  -- S98&lt;=69,"Battery D",
  --S98&lt;=80,"Battery C",
 --S98&gt;80,""
),"")</f>
        <v/>
      </c>
      <c r="U98" s="13" t="str" cm="1">
        <f t="array" ref="U98:Z98">IFERROR(IF(_xlfn.XLOOKUP(B98,Input!J:J,Input!N:S)=0,"",
          _xlfn.XLOOKUP(B98,Input!J:J,Input!N:S)),"")</f>
        <v/>
      </c>
      <c r="V98" s="13" t="str">
        <v/>
      </c>
      <c r="W98" s="13" t="str">
        <v/>
      </c>
      <c r="X98" s="13" t="str">
        <v/>
      </c>
      <c r="Y98" s="13" t="str">
        <v/>
      </c>
      <c r="Z98" s="13" t="str">
        <v/>
      </c>
      <c r="AA98" t="str">
        <f t="shared" si="5"/>
        <v/>
      </c>
      <c r="AB98" t="str">
        <f>_xlfn.XLOOKUP(B:B,Disk_Pivot!G:G,Disk_Pivot!I:I)</f>
        <v>No</v>
      </c>
      <c r="AC98" t="str">
        <f>_xlfn.XLOOKUP(B98,Disk_Pivot!G:G,Disk_Pivot!N:N)</f>
        <v/>
      </c>
    </row>
    <row r="99" spans="6:29">
      <c r="F99">
        <f>_xlfn.XLOOKUP(H99,Models!B:B,Models!F:F,"")</f>
        <v>0</v>
      </c>
      <c r="K99">
        <f>_xlfn.XLOOKUP(B99,CPU_Formula!A:A,CPU_Formula!I:I)</f>
        <v>0</v>
      </c>
      <c r="L99" s="13" t="e">
        <f>INDEX(Input!$D$2:$AD$500,
       MATCH(B99, Input!$J$2:$J$500, 0),
       MATCH("Memory Capacity", Input!$D$1:$AD$1, 0))</f>
        <v>#N/A</v>
      </c>
      <c r="M99" s="13" t="e">
        <f>INDEX(Input!$D$2:$AD$500,
       MATCH(B99, Input!$J$2:$J$500, 0),
       MATCH("Memory Type", Input!$D$1:$AD$1, 0))</f>
        <v>#N/A</v>
      </c>
      <c r="N99" s="13" t="e">
        <f t="shared" si="3"/>
        <v>#N/A</v>
      </c>
      <c r="S99" s="13" t="str">
        <f>_xlfn.LET(_xlpm.Result,_xlfn.XLOOKUP(B99,Input!J:J,Input!AB:AB),IF(_xlpm.Result="","",_xlpm.Result))</f>
        <v/>
      </c>
      <c r="T99" s="13" t="str" cm="1">
        <f t="array" ref="T99">IFERROR(_xlfn.IFS(
   --S99&lt;55,"Battery Defect",
  -- S99&lt;=69,"Battery D",
  --S99&lt;=80,"Battery C",
 --S99&gt;80,""
),"")</f>
        <v/>
      </c>
      <c r="U99" s="13" t="str" cm="1">
        <f t="array" ref="U99:Z99">IFERROR(IF(_xlfn.XLOOKUP(B99,Input!J:J,Input!N:S)=0,"",
          _xlfn.XLOOKUP(B99,Input!J:J,Input!N:S)),"")</f>
        <v/>
      </c>
      <c r="V99" s="13" t="str">
        <v/>
      </c>
      <c r="W99" s="13" t="str">
        <v/>
      </c>
      <c r="X99" s="13" t="str">
        <v/>
      </c>
      <c r="Y99" s="13" t="str">
        <v/>
      </c>
      <c r="Z99" s="13" t="str">
        <v/>
      </c>
      <c r="AA99" t="str">
        <f t="shared" si="5"/>
        <v/>
      </c>
      <c r="AB99" t="str">
        <f>_xlfn.XLOOKUP(B:B,Disk_Pivot!G:G,Disk_Pivot!I:I)</f>
        <v>No</v>
      </c>
      <c r="AC99" t="str">
        <f>_xlfn.XLOOKUP(B99,Disk_Pivot!G:G,Disk_Pivot!N:N)</f>
        <v/>
      </c>
    </row>
    <row r="100" spans="6:29">
      <c r="F100">
        <f>_xlfn.XLOOKUP(H100,Models!B:B,Models!F:F,"")</f>
        <v>0</v>
      </c>
      <c r="K100">
        <f>_xlfn.XLOOKUP(B100,CPU_Formula!A:A,CPU_Formula!I:I)</f>
        <v>0</v>
      </c>
      <c r="L100" s="13" t="e">
        <f>INDEX(Input!$D$2:$AD$500,
       MATCH(B100, Input!$J$2:$J$500, 0),
       MATCH("Memory Capacity", Input!$D$1:$AD$1, 0))</f>
        <v>#N/A</v>
      </c>
      <c r="M100" s="13" t="e">
        <f>INDEX(Input!$D$2:$AD$500,
       MATCH(B100, Input!$J$2:$J$500, 0),
       MATCH("Memory Type", Input!$D$1:$AD$1, 0))</f>
        <v>#N/A</v>
      </c>
      <c r="N100" s="13" t="e">
        <f t="shared" si="3"/>
        <v>#N/A</v>
      </c>
      <c r="S100" s="13" t="str">
        <f>_xlfn.LET(_xlpm.Result,_xlfn.XLOOKUP(B100,Input!J:J,Input!AB:AB),IF(_xlpm.Result="","",_xlpm.Result))</f>
        <v/>
      </c>
      <c r="T100" s="13" t="str" cm="1">
        <f t="array" ref="T100">IFERROR(_xlfn.IFS(
   --S100&lt;55,"Battery Defect",
  -- S100&lt;=69,"Battery D",
  --S100&lt;=80,"Battery C",
 --S100&gt;80,""
),"")</f>
        <v/>
      </c>
      <c r="U100" s="13" t="str" cm="1">
        <f t="array" ref="U100:Z100">IFERROR(IF(_xlfn.XLOOKUP(B100,Input!J:J,Input!N:S)=0,"",
          _xlfn.XLOOKUP(B100,Input!J:J,Input!N:S)),"")</f>
        <v/>
      </c>
      <c r="V100" s="13" t="str">
        <v/>
      </c>
      <c r="W100" s="13" t="str">
        <v/>
      </c>
      <c r="X100" s="13" t="str">
        <v/>
      </c>
      <c r="Y100" s="13" t="str">
        <v/>
      </c>
      <c r="Z100" s="13" t="str">
        <v/>
      </c>
      <c r="AA100" t="str">
        <f t="shared" si="5"/>
        <v/>
      </c>
      <c r="AB100" t="str">
        <f>_xlfn.XLOOKUP(B:B,Disk_Pivot!G:G,Disk_Pivot!I:I)</f>
        <v>No</v>
      </c>
      <c r="AC100" t="str">
        <f>_xlfn.XLOOKUP(B100,Disk_Pivot!G:G,Disk_Pivot!N:N)</f>
        <v/>
      </c>
    </row>
    <row r="101" spans="6:29">
      <c r="F101" t="str">
        <f>_xlfn.XLOOKUP(H101,Models!B:B,Models!F:F,"")</f>
        <v/>
      </c>
      <c r="K101">
        <f>_xlfn.XLOOKUP(B101,CPU_Formula!A:A,CPU_Formula!I:I)</f>
        <v>0</v>
      </c>
      <c r="L101" s="13" t="e">
        <f>INDEX(Input!$D$2:$AD$500,
       MATCH(B101, Input!$J$2:$J$500, 0),
       MATCH("Memory Capacity", Input!$D$1:$AD$1, 0))</f>
        <v>#N/A</v>
      </c>
      <c r="M101" s="13" t="e">
        <f>INDEX(Input!$D$2:$AD$500,
       MATCH(B101, Input!$J$2:$J$500, 0),
       MATCH("Memory Type", Input!$D$1:$AD$1, 0))</f>
        <v>#N/A</v>
      </c>
      <c r="N101" s="13" t="e">
        <f t="shared" si="3"/>
        <v>#N/A</v>
      </c>
      <c r="S101" s="13" t="str">
        <f>_xlfn.LET(_xlpm.Result,_xlfn.XLOOKUP(B101,Input!J:J,Input!AB:AB),IF(_xlpm.Result="","",_xlpm.Result))</f>
        <v/>
      </c>
      <c r="T101" s="13" t="str" cm="1">
        <f t="array" ref="T101">IFERROR(_xlfn.IFS(
   --S101&lt;55,"Battery Defect",
  -- S101&lt;=69,"Battery D",
  --S101&lt;=80,"Battery C",
 --S101&gt;80,""
),"")</f>
        <v/>
      </c>
      <c r="U101" s="13" t="str" cm="1">
        <f t="array" ref="U101:Z101">IFERROR(IF(_xlfn.XLOOKUP(B101,Input!J:J,Input!N:S)=0,"",
          _xlfn.XLOOKUP(B101,Input!J:J,Input!N:S)),"")</f>
        <v/>
      </c>
      <c r="V101" s="13" t="str">
        <v/>
      </c>
      <c r="W101" s="13" t="str">
        <v/>
      </c>
      <c r="X101" s="13" t="str">
        <v/>
      </c>
      <c r="Y101" s="13" t="str">
        <v/>
      </c>
      <c r="Z101" s="13" t="str">
        <v/>
      </c>
      <c r="AA101" t="str">
        <f t="shared" si="5"/>
        <v/>
      </c>
      <c r="AB101" t="str">
        <f>_xlfn.XLOOKUP(B:B,Disk_Pivot!G:G,Disk_Pivot!I:I)</f>
        <v>No</v>
      </c>
      <c r="AC101" t="str">
        <f>_xlfn.XLOOKUP(B101,Disk_Pivot!G:G,Disk_Pivot!N:N)</f>
        <v/>
      </c>
    </row>
    <row r="102" spans="6:29">
      <c r="F102">
        <f>_xlfn.XLOOKUP(H102,Models!B:B,Models!F:F,"")</f>
        <v>0</v>
      </c>
      <c r="K102">
        <f>_xlfn.XLOOKUP(B102,CPU_Formula!A:A,CPU_Formula!I:I)</f>
        <v>0</v>
      </c>
      <c r="L102" s="13" t="e">
        <f>INDEX(Input!$D$2:$AD$500,
       MATCH(B102, Input!$J$2:$J$500, 0),
       MATCH("Memory Capacity", Input!$D$1:$AD$1, 0))</f>
        <v>#N/A</v>
      </c>
      <c r="M102" s="13" t="e">
        <f>INDEX(Input!$D$2:$AD$500,
       MATCH(B102, Input!$J$2:$J$500, 0),
       MATCH("Memory Type", Input!$D$1:$AD$1, 0))</f>
        <v>#N/A</v>
      </c>
      <c r="N102" s="13" t="e">
        <f t="shared" si="3"/>
        <v>#N/A</v>
      </c>
      <c r="S102" s="13" t="str">
        <f>_xlfn.LET(_xlpm.Result,_xlfn.XLOOKUP(B102,Input!J:J,Input!AB:AB),IF(_xlpm.Result="","",_xlpm.Result))</f>
        <v/>
      </c>
      <c r="T102" s="13" t="str" cm="1">
        <f t="array" ref="T102">IFERROR(_xlfn.IFS(
   --S102&lt;55,"Battery Defect",
  -- S102&lt;=69,"Battery D",
  --S102&lt;=80,"Battery C",
 --S102&gt;80,""
),"")</f>
        <v/>
      </c>
      <c r="U102" s="13" t="str" cm="1">
        <f t="array" ref="U102:Z102">IFERROR(IF(_xlfn.XLOOKUP(B102,Input!J:J,Input!N:S)=0,"",
          _xlfn.XLOOKUP(B102,Input!J:J,Input!N:S)),"")</f>
        <v/>
      </c>
      <c r="V102" s="13" t="str">
        <v/>
      </c>
      <c r="W102" s="13" t="str">
        <v/>
      </c>
      <c r="X102" s="13" t="str">
        <v/>
      </c>
      <c r="Y102" s="13" t="str">
        <v/>
      </c>
      <c r="Z102" s="13" t="str">
        <v/>
      </c>
      <c r="AA102" t="str">
        <f t="shared" si="5"/>
        <v/>
      </c>
      <c r="AB102" t="str">
        <f>_xlfn.XLOOKUP(B:B,Disk_Pivot!G:G,Disk_Pivot!I:I)</f>
        <v>No</v>
      </c>
      <c r="AC102" t="str">
        <f>_xlfn.XLOOKUP(B102,Disk_Pivot!G:G,Disk_Pivot!N:N)</f>
        <v/>
      </c>
    </row>
    <row r="103" spans="6:29">
      <c r="F103">
        <f>_xlfn.XLOOKUP(H103,Models!B:B,Models!F:F,"")</f>
        <v>0</v>
      </c>
      <c r="K103">
        <f>_xlfn.XLOOKUP(B103,CPU_Formula!A:A,CPU_Formula!I:I)</f>
        <v>0</v>
      </c>
      <c r="L103" s="13" t="e">
        <f>INDEX(Input!$D$2:$AD$500,
       MATCH(B103, Input!$J$2:$J$500, 0),
       MATCH("Memory Capacity", Input!$D$1:$AD$1, 0))</f>
        <v>#N/A</v>
      </c>
      <c r="M103" s="13" t="e">
        <f>INDEX(Input!$D$2:$AD$500,
       MATCH(B103, Input!$J$2:$J$500, 0),
       MATCH("Memory Type", Input!$D$1:$AD$1, 0))</f>
        <v>#N/A</v>
      </c>
      <c r="N103" s="13" t="e">
        <f t="shared" si="3"/>
        <v>#N/A</v>
      </c>
      <c r="S103" s="13" t="str">
        <f>_xlfn.LET(_xlpm.Result,_xlfn.XLOOKUP(B103,Input!J:J,Input!AB:AB),IF(_xlpm.Result="","",_xlpm.Result))</f>
        <v/>
      </c>
      <c r="T103" s="13" t="str" cm="1">
        <f t="array" ref="T103">IFERROR(_xlfn.IFS(
   --S103&lt;55,"Battery Defect",
  -- S103&lt;=69,"Battery D",
  --S103&lt;=80,"Battery C",
 --S103&gt;80,""
),"")</f>
        <v/>
      </c>
      <c r="U103" s="13" t="str" cm="1">
        <f t="array" ref="U103:Z103">IFERROR(IF(_xlfn.XLOOKUP(B103,Input!J:J,Input!N:S)=0,"",
          _xlfn.XLOOKUP(B103,Input!J:J,Input!N:S)),"")</f>
        <v/>
      </c>
      <c r="V103" s="13" t="str">
        <v/>
      </c>
      <c r="W103" s="13" t="str">
        <v/>
      </c>
      <c r="X103" s="13" t="str">
        <v/>
      </c>
      <c r="Y103" s="13" t="str">
        <v/>
      </c>
      <c r="Z103" s="13" t="str">
        <v/>
      </c>
      <c r="AA103" t="str">
        <f t="shared" si="5"/>
        <v/>
      </c>
      <c r="AB103" t="str">
        <f>_xlfn.XLOOKUP(B:B,Disk_Pivot!G:G,Disk_Pivot!I:I)</f>
        <v>No</v>
      </c>
      <c r="AC103" t="str">
        <f>_xlfn.XLOOKUP(B103,Disk_Pivot!G:G,Disk_Pivot!N:N)</f>
        <v/>
      </c>
    </row>
    <row r="104" spans="6:29">
      <c r="F104" t="str">
        <f>_xlfn.XLOOKUP(H104,Models!B:B,Models!F:F,"")</f>
        <v/>
      </c>
      <c r="K104">
        <f>_xlfn.XLOOKUP(B104,CPU_Formula!A:A,CPU_Formula!I:I)</f>
        <v>0</v>
      </c>
      <c r="L104" s="13" t="e">
        <f>INDEX(Input!$D$2:$AD$500,
       MATCH(B104, Input!$J$2:$J$500, 0),
       MATCH("Memory Capacity", Input!$D$1:$AD$1, 0))</f>
        <v>#N/A</v>
      </c>
      <c r="M104" s="13" t="e">
        <f>INDEX(Input!$D$2:$AD$500,
       MATCH(B104, Input!$J$2:$J$500, 0),
       MATCH("Memory Type", Input!$D$1:$AD$1, 0))</f>
        <v>#N/A</v>
      </c>
      <c r="N104" s="13" t="e">
        <f t="shared" si="3"/>
        <v>#N/A</v>
      </c>
      <c r="S104" s="13" t="str">
        <f>_xlfn.LET(_xlpm.Result,_xlfn.XLOOKUP(B104,Input!J:J,Input!AB:AB),IF(_xlpm.Result="","",_xlpm.Result))</f>
        <v/>
      </c>
      <c r="T104" s="13" t="str" cm="1">
        <f t="array" ref="T104">IFERROR(_xlfn.IFS(
   --S104&lt;55,"Battery Defect",
  -- S104&lt;=69,"Battery D",
  --S104&lt;=80,"Battery C",
 --S104&gt;80,""
),"")</f>
        <v/>
      </c>
      <c r="U104" s="13" t="str" cm="1">
        <f t="array" ref="U104:Z104">IFERROR(IF(_xlfn.XLOOKUP(B104,Input!J:J,Input!N:S)=0,"",
          _xlfn.XLOOKUP(B104,Input!J:J,Input!N:S)),"")</f>
        <v/>
      </c>
      <c r="V104" s="13" t="str">
        <v/>
      </c>
      <c r="W104" s="13" t="str">
        <v/>
      </c>
      <c r="X104" s="13" t="str">
        <v/>
      </c>
      <c r="Y104" s="13" t="str">
        <v/>
      </c>
      <c r="Z104" s="13" t="str">
        <v/>
      </c>
      <c r="AA104" t="str">
        <f t="shared" si="5"/>
        <v/>
      </c>
      <c r="AB104" t="str">
        <f>_xlfn.XLOOKUP(B:B,Disk_Pivot!G:G,Disk_Pivot!I:I)</f>
        <v>No</v>
      </c>
      <c r="AC104" t="str">
        <f>_xlfn.XLOOKUP(B104,Disk_Pivot!G:G,Disk_Pivot!N:N)</f>
        <v/>
      </c>
    </row>
    <row r="105" spans="6:29">
      <c r="F105">
        <f>_xlfn.XLOOKUP(H105,Models!B:B,Models!F:F,"")</f>
        <v>0</v>
      </c>
      <c r="K105">
        <f>_xlfn.XLOOKUP(B105,CPU_Formula!A:A,CPU_Formula!I:I)</f>
        <v>0</v>
      </c>
      <c r="L105" s="13" t="e">
        <f>INDEX(Input!$D$2:$AD$500,
       MATCH(B105, Input!$J$2:$J$500, 0),
       MATCH("Memory Capacity", Input!$D$1:$AD$1, 0))</f>
        <v>#N/A</v>
      </c>
      <c r="M105" s="13" t="e">
        <f>INDEX(Input!$D$2:$AD$500,
       MATCH(B105, Input!$J$2:$J$500, 0),
       MATCH("Memory Type", Input!$D$1:$AD$1, 0))</f>
        <v>#N/A</v>
      </c>
      <c r="N105" s="13" t="e">
        <f t="shared" si="3"/>
        <v>#N/A</v>
      </c>
      <c r="S105" s="13" t="str">
        <f>_xlfn.LET(_xlpm.Result,_xlfn.XLOOKUP(B105,Input!J:J,Input!AB:AB),IF(_xlpm.Result="","",_xlpm.Result))</f>
        <v/>
      </c>
      <c r="T105" s="13" t="str" cm="1">
        <f t="array" ref="T105">IFERROR(_xlfn.IFS(
   --S105&lt;55,"Battery Defect",
  -- S105&lt;=69,"Battery D",
  --S105&lt;=80,"Battery C",
 --S105&gt;80,""
),"")</f>
        <v/>
      </c>
      <c r="U105" s="13" t="str" cm="1">
        <f t="array" ref="U105:Z105">IFERROR(IF(_xlfn.XLOOKUP(B105,Input!J:J,Input!N:S)=0,"",
          _xlfn.XLOOKUP(B105,Input!J:J,Input!N:S)),"")</f>
        <v/>
      </c>
      <c r="V105" s="13" t="str">
        <v/>
      </c>
      <c r="W105" s="13" t="str">
        <v/>
      </c>
      <c r="X105" s="13" t="str">
        <v/>
      </c>
      <c r="Y105" s="13" t="str">
        <v/>
      </c>
      <c r="Z105" s="13" t="str">
        <v/>
      </c>
      <c r="AA105" t="str">
        <f t="shared" si="5"/>
        <v/>
      </c>
      <c r="AB105" t="str">
        <f>_xlfn.XLOOKUP(B:B,Disk_Pivot!G:G,Disk_Pivot!I:I)</f>
        <v>No</v>
      </c>
      <c r="AC105" t="str">
        <f>_xlfn.XLOOKUP(B105,Disk_Pivot!G:G,Disk_Pivot!N:N)</f>
        <v/>
      </c>
    </row>
    <row r="106" spans="6:29">
      <c r="F106">
        <f>_xlfn.XLOOKUP(H106,Models!B:B,Models!F:F,"")</f>
        <v>0</v>
      </c>
      <c r="K106">
        <f>_xlfn.XLOOKUP(B106,CPU_Formula!A:A,CPU_Formula!I:I)</f>
        <v>0</v>
      </c>
      <c r="L106" s="13" t="e">
        <f>INDEX(Input!$D$2:$AD$500,
       MATCH(B106, Input!$J$2:$J$500, 0),
       MATCH("Memory Capacity", Input!$D$1:$AD$1, 0))</f>
        <v>#N/A</v>
      </c>
      <c r="M106" s="13" t="e">
        <f>INDEX(Input!$D$2:$AD$500,
       MATCH(B106, Input!$J$2:$J$500, 0),
       MATCH("Memory Type", Input!$D$1:$AD$1, 0))</f>
        <v>#N/A</v>
      </c>
      <c r="N106" s="13" t="e">
        <f t="shared" si="3"/>
        <v>#N/A</v>
      </c>
      <c r="S106" s="13" t="str">
        <f>_xlfn.LET(_xlpm.Result,_xlfn.XLOOKUP(B106,Input!J:J,Input!AB:AB),IF(_xlpm.Result="","",_xlpm.Result))</f>
        <v/>
      </c>
      <c r="T106" s="13" t="str" cm="1">
        <f t="array" ref="T106">IFERROR(_xlfn.IFS(
   --S106&lt;55,"Battery Defect",
  -- S106&lt;=69,"Battery D",
  --S106&lt;=80,"Battery C",
 --S106&gt;80,""
),"")</f>
        <v/>
      </c>
      <c r="U106" s="13" t="str" cm="1">
        <f t="array" ref="U106:Z106">IFERROR(IF(_xlfn.XLOOKUP(B106,Input!J:J,Input!N:S)=0,"",
          _xlfn.XLOOKUP(B106,Input!J:J,Input!N:S)),"")</f>
        <v/>
      </c>
      <c r="V106" s="13" t="str">
        <v/>
      </c>
      <c r="W106" s="13" t="str">
        <v/>
      </c>
      <c r="X106" s="13" t="str">
        <v/>
      </c>
      <c r="Y106" s="13" t="str">
        <v/>
      </c>
      <c r="Z106" s="13" t="str">
        <v/>
      </c>
      <c r="AA106" t="str">
        <f t="shared" si="5"/>
        <v/>
      </c>
      <c r="AB106" t="str">
        <f>_xlfn.XLOOKUP(B:B,Disk_Pivot!G:G,Disk_Pivot!I:I)</f>
        <v>No</v>
      </c>
      <c r="AC106" t="str">
        <f>_xlfn.XLOOKUP(B106,Disk_Pivot!G:G,Disk_Pivot!N:N)</f>
        <v/>
      </c>
    </row>
    <row r="107" spans="6:29">
      <c r="F107" t="str">
        <f>_xlfn.XLOOKUP(H107,Models!B:B,Models!F:F,"")</f>
        <v/>
      </c>
      <c r="K107">
        <f>_xlfn.XLOOKUP(B107,CPU_Formula!A:A,CPU_Formula!I:I)</f>
        <v>0</v>
      </c>
      <c r="L107" s="13" t="e">
        <f>INDEX(Input!$D$2:$AD$500,
       MATCH(B107, Input!$J$2:$J$500, 0),
       MATCH("Memory Capacity", Input!$D$1:$AD$1, 0))</f>
        <v>#N/A</v>
      </c>
      <c r="M107" s="13" t="e">
        <f>INDEX(Input!$D$2:$AD$500,
       MATCH(B107, Input!$J$2:$J$500, 0),
       MATCH("Memory Type", Input!$D$1:$AD$1, 0))</f>
        <v>#N/A</v>
      </c>
      <c r="N107" s="13" t="e">
        <f t="shared" si="3"/>
        <v>#N/A</v>
      </c>
      <c r="S107" s="13" t="str">
        <f>_xlfn.LET(_xlpm.Result,_xlfn.XLOOKUP(B107,Input!J:J,Input!AB:AB),IF(_xlpm.Result="","",_xlpm.Result))</f>
        <v/>
      </c>
      <c r="T107" s="13" t="str" cm="1">
        <f t="array" ref="T107">IFERROR(_xlfn.IFS(
   --S107&lt;55,"Battery Defect",
  -- S107&lt;=69,"Battery D",
  --S107&lt;=80,"Battery C",
 --S107&gt;80,""
),"")</f>
        <v/>
      </c>
      <c r="U107" s="13" t="str" cm="1">
        <f t="array" ref="U107:Z107">IFERROR(IF(_xlfn.XLOOKUP(B107,Input!J:J,Input!N:S)=0,"",
          _xlfn.XLOOKUP(B107,Input!J:J,Input!N:S)),"")</f>
        <v/>
      </c>
      <c r="V107" s="13" t="str">
        <v/>
      </c>
      <c r="W107" s="13" t="str">
        <v/>
      </c>
      <c r="X107" s="13" t="str">
        <v/>
      </c>
      <c r="Y107" s="13" t="str">
        <v/>
      </c>
      <c r="Z107" s="13" t="str">
        <v/>
      </c>
      <c r="AA107" t="str">
        <f t="shared" si="5"/>
        <v/>
      </c>
      <c r="AB107" t="str">
        <f>_xlfn.XLOOKUP(B:B,Disk_Pivot!G:G,Disk_Pivot!I:I)</f>
        <v>No</v>
      </c>
      <c r="AC107" t="str">
        <f>_xlfn.XLOOKUP(B107,Disk_Pivot!G:G,Disk_Pivot!N:N)</f>
        <v/>
      </c>
    </row>
    <row r="108" spans="6:29">
      <c r="F108">
        <f>_xlfn.XLOOKUP(H108,Models!B:B,Models!F:F,"")</f>
        <v>0</v>
      </c>
      <c r="K108">
        <f>_xlfn.XLOOKUP(B108,CPU_Formula!A:A,CPU_Formula!I:I)</f>
        <v>0</v>
      </c>
      <c r="L108" s="13" t="e">
        <f>INDEX(Input!$D$2:$AD$500,
       MATCH(B108, Input!$J$2:$J$500, 0),
       MATCH("Memory Capacity", Input!$D$1:$AD$1, 0))</f>
        <v>#N/A</v>
      </c>
      <c r="M108" s="13" t="e">
        <f>INDEX(Input!$D$2:$AD$500,
       MATCH(B108, Input!$J$2:$J$500, 0),
       MATCH("Memory Type", Input!$D$1:$AD$1, 0))</f>
        <v>#N/A</v>
      </c>
      <c r="N108" s="13" t="e">
        <f t="shared" si="3"/>
        <v>#N/A</v>
      </c>
      <c r="S108" s="13" t="str">
        <f>_xlfn.LET(_xlpm.Result,_xlfn.XLOOKUP(B108,Input!J:J,Input!AB:AB),IF(_xlpm.Result="","",_xlpm.Result))</f>
        <v/>
      </c>
      <c r="T108" s="13" t="str" cm="1">
        <f t="array" ref="T108">IFERROR(_xlfn.IFS(
   --S108&lt;55,"Battery Defect",
  -- S108&lt;=69,"Battery D",
  --S108&lt;=80,"Battery C",
 --S108&gt;80,""
),"")</f>
        <v/>
      </c>
      <c r="U108" s="13" t="str" cm="1">
        <f t="array" ref="U108:Z108">IFERROR(IF(_xlfn.XLOOKUP(B108,Input!J:J,Input!N:S)=0,"",
          _xlfn.XLOOKUP(B108,Input!J:J,Input!N:S)),"")</f>
        <v/>
      </c>
      <c r="V108" s="13" t="str">
        <v/>
      </c>
      <c r="W108" s="13" t="str">
        <v/>
      </c>
      <c r="X108" s="13" t="str">
        <v/>
      </c>
      <c r="Y108" s="13" t="str">
        <v/>
      </c>
      <c r="Z108" s="13" t="str">
        <v/>
      </c>
      <c r="AA108" t="str">
        <f t="shared" si="5"/>
        <v/>
      </c>
      <c r="AB108" t="str">
        <f>_xlfn.XLOOKUP(B:B,Disk_Pivot!G:G,Disk_Pivot!I:I)</f>
        <v>No</v>
      </c>
      <c r="AC108" t="str">
        <f>_xlfn.XLOOKUP(B108,Disk_Pivot!G:G,Disk_Pivot!N:N)</f>
        <v/>
      </c>
    </row>
    <row r="109" spans="6:29">
      <c r="F109">
        <f>_xlfn.XLOOKUP(H109,Models!B:B,Models!F:F,"")</f>
        <v>0</v>
      </c>
      <c r="K109">
        <f>_xlfn.XLOOKUP(B109,CPU_Formula!A:A,CPU_Formula!I:I)</f>
        <v>0</v>
      </c>
      <c r="L109" s="13" t="e">
        <f>INDEX(Input!$D$2:$AD$500,
       MATCH(B109, Input!$J$2:$J$500, 0),
       MATCH("Memory Capacity", Input!$D$1:$AD$1, 0))</f>
        <v>#N/A</v>
      </c>
      <c r="M109" s="13" t="e">
        <f>INDEX(Input!$D$2:$AD$500,
       MATCH(B109, Input!$J$2:$J$500, 0),
       MATCH("Memory Type", Input!$D$1:$AD$1, 0))</f>
        <v>#N/A</v>
      </c>
      <c r="N109" s="13" t="e">
        <f t="shared" si="3"/>
        <v>#N/A</v>
      </c>
      <c r="S109" s="13" t="str">
        <f>_xlfn.LET(_xlpm.Result,_xlfn.XLOOKUP(B109,Input!J:J,Input!AB:AB),IF(_xlpm.Result="","",_xlpm.Result))</f>
        <v/>
      </c>
      <c r="T109" s="13" t="str" cm="1">
        <f t="array" ref="T109">IFERROR(_xlfn.IFS(
   --S109&lt;55,"Battery Defect",
  -- S109&lt;=69,"Battery D",
  --S109&lt;=80,"Battery C",
 --S109&gt;80,""
),"")</f>
        <v/>
      </c>
      <c r="U109" s="13" t="str" cm="1">
        <f t="array" ref="U109:Z109">IFERROR(IF(_xlfn.XLOOKUP(B109,Input!J:J,Input!N:S)=0,"",
          _xlfn.XLOOKUP(B109,Input!J:J,Input!N:S)),"")</f>
        <v/>
      </c>
      <c r="V109" s="13" t="str">
        <v/>
      </c>
      <c r="W109" s="13" t="str">
        <v/>
      </c>
      <c r="X109" s="13" t="str">
        <v/>
      </c>
      <c r="Y109" s="13" t="str">
        <v/>
      </c>
      <c r="Z109" s="13" t="str">
        <v/>
      </c>
      <c r="AA109" t="str">
        <f t="shared" si="5"/>
        <v/>
      </c>
      <c r="AB109" t="str">
        <f>_xlfn.XLOOKUP(B:B,Disk_Pivot!G:G,Disk_Pivot!I:I)</f>
        <v>No</v>
      </c>
      <c r="AC109" t="str">
        <f>_xlfn.XLOOKUP(B109,Disk_Pivot!G:G,Disk_Pivot!N:N)</f>
        <v/>
      </c>
    </row>
    <row r="110" spans="6:29">
      <c r="F110" t="str">
        <f>_xlfn.XLOOKUP(H110,Models!B:B,Models!F:F,"")</f>
        <v/>
      </c>
      <c r="K110">
        <f>_xlfn.XLOOKUP(B110,CPU_Formula!A:A,CPU_Formula!I:I)</f>
        <v>0</v>
      </c>
      <c r="L110" s="13" t="e">
        <f>INDEX(Input!$D$2:$AD$500,
       MATCH(B110, Input!$J$2:$J$500, 0),
       MATCH("Memory Capacity", Input!$D$1:$AD$1, 0))</f>
        <v>#N/A</v>
      </c>
      <c r="M110" s="13" t="e">
        <f>INDEX(Input!$D$2:$AD$500,
       MATCH(B110, Input!$J$2:$J$500, 0),
       MATCH("Memory Type", Input!$D$1:$AD$1, 0))</f>
        <v>#N/A</v>
      </c>
      <c r="N110" s="13" t="e">
        <f t="shared" si="3"/>
        <v>#N/A</v>
      </c>
      <c r="S110" s="13" t="str">
        <f>_xlfn.LET(_xlpm.Result,_xlfn.XLOOKUP(B110,Input!J:J,Input!AB:AB),IF(_xlpm.Result="","",_xlpm.Result))</f>
        <v/>
      </c>
      <c r="T110" s="13" t="str" cm="1">
        <f t="array" ref="T110">IFERROR(_xlfn.IFS(
   --S110&lt;55,"Battery Defect",
  -- S110&lt;=69,"Battery D",
  --S110&lt;=80,"Battery C",
 --S110&gt;80,""
),"")</f>
        <v/>
      </c>
      <c r="U110" s="13" t="str" cm="1">
        <f t="array" ref="U110:Z110">IFERROR(IF(_xlfn.XLOOKUP(B110,Input!J:J,Input!N:S)=0,"",
          _xlfn.XLOOKUP(B110,Input!J:J,Input!N:S)),"")</f>
        <v/>
      </c>
      <c r="V110" s="13" t="str">
        <v/>
      </c>
      <c r="W110" s="13" t="str">
        <v/>
      </c>
      <c r="X110" s="13" t="str">
        <v/>
      </c>
      <c r="Y110" s="13" t="str">
        <v/>
      </c>
      <c r="Z110" s="13" t="str">
        <v/>
      </c>
      <c r="AA110" t="str">
        <f t="shared" si="5"/>
        <v/>
      </c>
      <c r="AB110" t="str">
        <f>_xlfn.XLOOKUP(B:B,Disk_Pivot!G:G,Disk_Pivot!I:I)</f>
        <v>No</v>
      </c>
      <c r="AC110" t="str">
        <f>_xlfn.XLOOKUP(B110,Disk_Pivot!G:G,Disk_Pivot!N:N)</f>
        <v/>
      </c>
    </row>
    <row r="111" spans="6:29">
      <c r="F111">
        <f>_xlfn.XLOOKUP(H111,Models!B:B,Models!F:F,"")</f>
        <v>0</v>
      </c>
      <c r="K111">
        <f>_xlfn.XLOOKUP(B111,CPU_Formula!A:A,CPU_Formula!I:I)</f>
        <v>0</v>
      </c>
      <c r="L111" s="13" t="e">
        <f>INDEX(Input!$D$2:$AD$500,
       MATCH(B111, Input!$J$2:$J$500, 0),
       MATCH("Memory Capacity", Input!$D$1:$AD$1, 0))</f>
        <v>#N/A</v>
      </c>
      <c r="M111" s="13" t="e">
        <f>INDEX(Input!$D$2:$AD$500,
       MATCH(B111, Input!$J$2:$J$500, 0),
       MATCH("Memory Type", Input!$D$1:$AD$1, 0))</f>
        <v>#N/A</v>
      </c>
      <c r="N111" s="13" t="e">
        <f t="shared" si="3"/>
        <v>#N/A</v>
      </c>
      <c r="S111" s="13" t="str">
        <f>_xlfn.LET(_xlpm.Result,_xlfn.XLOOKUP(B111,Input!J:J,Input!AB:AB),IF(_xlpm.Result="","",_xlpm.Result))</f>
        <v/>
      </c>
      <c r="T111" s="13" t="str" cm="1">
        <f t="array" ref="T111">IFERROR(_xlfn.IFS(
   --S111&lt;55,"Battery Defect",
  -- S111&lt;=69,"Battery D",
  --S111&lt;=80,"Battery C",
 --S111&gt;80,""
),"")</f>
        <v/>
      </c>
      <c r="U111" s="13" t="str" cm="1">
        <f t="array" ref="U111:Z111">IFERROR(IF(_xlfn.XLOOKUP(B111,Input!J:J,Input!N:S)=0,"",
          _xlfn.XLOOKUP(B111,Input!J:J,Input!N:S)),"")</f>
        <v/>
      </c>
      <c r="V111" s="13" t="str">
        <v/>
      </c>
      <c r="W111" s="13" t="str">
        <v/>
      </c>
      <c r="X111" s="13" t="str">
        <v/>
      </c>
      <c r="Y111" s="13" t="str">
        <v/>
      </c>
      <c r="Z111" s="13" t="str">
        <v/>
      </c>
      <c r="AA111" t="str">
        <f t="shared" si="5"/>
        <v/>
      </c>
      <c r="AB111" t="str">
        <f>_xlfn.XLOOKUP(B:B,Disk_Pivot!G:G,Disk_Pivot!I:I)</f>
        <v>No</v>
      </c>
      <c r="AC111" t="str">
        <f>_xlfn.XLOOKUP(B111,Disk_Pivot!G:G,Disk_Pivot!N:N)</f>
        <v/>
      </c>
    </row>
    <row r="112" spans="6:29">
      <c r="F112">
        <f>_xlfn.XLOOKUP(H112,Models!B:B,Models!F:F,"")</f>
        <v>0</v>
      </c>
      <c r="K112">
        <f>_xlfn.XLOOKUP(B112,CPU_Formula!A:A,CPU_Formula!I:I)</f>
        <v>0</v>
      </c>
      <c r="L112" s="13" t="e">
        <f>INDEX(Input!$D$2:$AD$500,
       MATCH(B112, Input!$J$2:$J$500, 0),
       MATCH("Memory Capacity", Input!$D$1:$AD$1, 0))</f>
        <v>#N/A</v>
      </c>
      <c r="M112" s="13" t="e">
        <f>INDEX(Input!$D$2:$AD$500,
       MATCH(B112, Input!$J$2:$J$500, 0),
       MATCH("Memory Type", Input!$D$1:$AD$1, 0))</f>
        <v>#N/A</v>
      </c>
      <c r="N112" s="13" t="e">
        <f t="shared" si="3"/>
        <v>#N/A</v>
      </c>
      <c r="S112" s="13" t="str">
        <f>_xlfn.LET(_xlpm.Result,_xlfn.XLOOKUP(B112,Input!J:J,Input!AB:AB),IF(_xlpm.Result="","",_xlpm.Result))</f>
        <v/>
      </c>
      <c r="T112" s="13" t="str" cm="1">
        <f t="array" ref="T112">IFERROR(_xlfn.IFS(
   --S112&lt;55,"Battery Defect",
  -- S112&lt;=69,"Battery D",
  --S112&lt;=80,"Battery C",
 --S112&gt;80,""
),"")</f>
        <v/>
      </c>
      <c r="U112" s="13" t="str" cm="1">
        <f t="array" ref="U112:Z112">IFERROR(IF(_xlfn.XLOOKUP(B112,Input!J:J,Input!N:S)=0,"",
          _xlfn.XLOOKUP(B112,Input!J:J,Input!N:S)),"")</f>
        <v/>
      </c>
      <c r="V112" s="13" t="str">
        <v/>
      </c>
      <c r="W112" s="13" t="str">
        <v/>
      </c>
      <c r="X112" s="13" t="str">
        <v/>
      </c>
      <c r="Y112" s="13" t="str">
        <v/>
      </c>
      <c r="Z112" s="13" t="str">
        <v/>
      </c>
      <c r="AA112" t="str">
        <f t="shared" si="5"/>
        <v/>
      </c>
      <c r="AB112" t="str">
        <f>_xlfn.XLOOKUP(B:B,Disk_Pivot!G:G,Disk_Pivot!I:I)</f>
        <v>No</v>
      </c>
      <c r="AC112" t="str">
        <f>_xlfn.XLOOKUP(B112,Disk_Pivot!G:G,Disk_Pivot!N:N)</f>
        <v/>
      </c>
    </row>
    <row r="113" spans="6:29">
      <c r="F113" t="str">
        <f>_xlfn.XLOOKUP(H113,Models!B:B,Models!F:F,"")</f>
        <v/>
      </c>
      <c r="K113">
        <f>_xlfn.XLOOKUP(B113,CPU_Formula!A:A,CPU_Formula!I:I)</f>
        <v>0</v>
      </c>
      <c r="L113" s="13" t="e">
        <f>INDEX(Input!$D$2:$AD$500,
       MATCH(B113, Input!$J$2:$J$500, 0),
       MATCH("Memory Capacity", Input!$D$1:$AD$1, 0))</f>
        <v>#N/A</v>
      </c>
      <c r="M113" s="13" t="e">
        <f>INDEX(Input!$D$2:$AD$500,
       MATCH(B113, Input!$J$2:$J$500, 0),
       MATCH("Memory Type", Input!$D$1:$AD$1, 0))</f>
        <v>#N/A</v>
      </c>
      <c r="N113" s="13" t="e">
        <f t="shared" si="3"/>
        <v>#N/A</v>
      </c>
      <c r="S113" s="13" t="str">
        <f>_xlfn.LET(_xlpm.Result,_xlfn.XLOOKUP(B113,Input!J:J,Input!AB:AB),IF(_xlpm.Result="","",_xlpm.Result))</f>
        <v/>
      </c>
      <c r="T113" s="13" t="str" cm="1">
        <f t="array" ref="T113">IFERROR(_xlfn.IFS(
   --S113&lt;55,"Battery Defect",
  -- S113&lt;=69,"Battery D",
  --S113&lt;=80,"Battery C",
 --S113&gt;80,""
),"")</f>
        <v/>
      </c>
      <c r="U113" s="13" t="str" cm="1">
        <f t="array" ref="U113:Z113">IFERROR(IF(_xlfn.XLOOKUP(B113,Input!J:J,Input!N:S)=0,"",
          _xlfn.XLOOKUP(B113,Input!J:J,Input!N:S)),"")</f>
        <v/>
      </c>
      <c r="V113" s="13" t="str">
        <v/>
      </c>
      <c r="W113" s="13" t="str">
        <v/>
      </c>
      <c r="X113" s="13" t="str">
        <v/>
      </c>
      <c r="Y113" s="13" t="str">
        <v/>
      </c>
      <c r="Z113" s="13" t="str">
        <v/>
      </c>
      <c r="AA113" t="str">
        <f t="shared" si="5"/>
        <v/>
      </c>
      <c r="AB113" t="str">
        <f>_xlfn.XLOOKUP(B:B,Disk_Pivot!G:G,Disk_Pivot!I:I)</f>
        <v>No</v>
      </c>
      <c r="AC113" t="str">
        <f>_xlfn.XLOOKUP(B113,Disk_Pivot!G:G,Disk_Pivot!N:N)</f>
        <v/>
      </c>
    </row>
    <row r="114" spans="6:29">
      <c r="F114">
        <f>_xlfn.XLOOKUP(H114,Models!B:B,Models!F:F,"")</f>
        <v>0</v>
      </c>
      <c r="K114">
        <f>_xlfn.XLOOKUP(B114,CPU_Formula!A:A,CPU_Formula!I:I)</f>
        <v>0</v>
      </c>
      <c r="L114" s="13" t="e">
        <f>INDEX(Input!$D$2:$AD$500,
       MATCH(B114, Input!$J$2:$J$500, 0),
       MATCH("Memory Capacity", Input!$D$1:$AD$1, 0))</f>
        <v>#N/A</v>
      </c>
      <c r="M114" s="13" t="e">
        <f>INDEX(Input!$D$2:$AD$500,
       MATCH(B114, Input!$J$2:$J$500, 0),
       MATCH("Memory Type", Input!$D$1:$AD$1, 0))</f>
        <v>#N/A</v>
      </c>
      <c r="N114" s="13" t="e">
        <f t="shared" si="3"/>
        <v>#N/A</v>
      </c>
      <c r="S114" s="13" t="str">
        <f>_xlfn.LET(_xlpm.Result,_xlfn.XLOOKUP(B114,Input!J:J,Input!AB:AB),IF(_xlpm.Result="","",_xlpm.Result))</f>
        <v/>
      </c>
      <c r="T114" s="13" t="str" cm="1">
        <f t="array" ref="T114">IFERROR(_xlfn.IFS(
   --S114&lt;55,"Battery Defect",
  -- S114&lt;=69,"Battery D",
  --S114&lt;=80,"Battery C",
 --S114&gt;80,""
),"")</f>
        <v/>
      </c>
      <c r="U114" s="13" t="str" cm="1">
        <f t="array" ref="U114:Z114">IFERROR(IF(_xlfn.XLOOKUP(B114,Input!J:J,Input!N:S)=0,"",
          _xlfn.XLOOKUP(B114,Input!J:J,Input!N:S)),"")</f>
        <v/>
      </c>
      <c r="V114" s="13" t="str">
        <v/>
      </c>
      <c r="W114" s="13" t="str">
        <v/>
      </c>
      <c r="X114" s="13" t="str">
        <v/>
      </c>
      <c r="Y114" s="13" t="str">
        <v/>
      </c>
      <c r="Z114" s="13" t="str">
        <v/>
      </c>
      <c r="AA114" t="str">
        <f t="shared" si="5"/>
        <v/>
      </c>
      <c r="AB114" t="str">
        <f>_xlfn.XLOOKUP(B:B,Disk_Pivot!G:G,Disk_Pivot!I:I)</f>
        <v>No</v>
      </c>
      <c r="AC114" t="str">
        <f>_xlfn.XLOOKUP(B114,Disk_Pivot!G:G,Disk_Pivot!N:N)</f>
        <v/>
      </c>
    </row>
    <row r="115" spans="6:29">
      <c r="F115">
        <f>_xlfn.XLOOKUP(H115,Models!B:B,Models!F:F,"")</f>
        <v>0</v>
      </c>
      <c r="K115">
        <f>_xlfn.XLOOKUP(B115,CPU_Formula!A:A,CPU_Formula!I:I)</f>
        <v>0</v>
      </c>
      <c r="L115" s="13" t="e">
        <f>INDEX(Input!$D$2:$AD$500,
       MATCH(B115, Input!$J$2:$J$500, 0),
       MATCH("Memory Capacity", Input!$D$1:$AD$1, 0))</f>
        <v>#N/A</v>
      </c>
      <c r="M115" s="13" t="e">
        <f>INDEX(Input!$D$2:$AD$500,
       MATCH(B115, Input!$J$2:$J$500, 0),
       MATCH("Memory Type", Input!$D$1:$AD$1, 0))</f>
        <v>#N/A</v>
      </c>
      <c r="N115" s="13" t="e">
        <f t="shared" si="3"/>
        <v>#N/A</v>
      </c>
      <c r="S115" s="13" t="str">
        <f>_xlfn.LET(_xlpm.Result,_xlfn.XLOOKUP(B115,Input!J:J,Input!AB:AB),IF(_xlpm.Result="","",_xlpm.Result))</f>
        <v/>
      </c>
      <c r="T115" s="13" t="str" cm="1">
        <f t="array" ref="T115">IFERROR(_xlfn.IFS(
   --S115&lt;55,"Battery Defect",
  -- S115&lt;=69,"Battery D",
  --S115&lt;=80,"Battery C",
 --S115&gt;80,""
),"")</f>
        <v/>
      </c>
      <c r="U115" s="13" t="str" cm="1">
        <f t="array" ref="U115:Z115">IFERROR(IF(_xlfn.XLOOKUP(B115,Input!J:J,Input!N:S)=0,"",
          _xlfn.XLOOKUP(B115,Input!J:J,Input!N:S)),"")</f>
        <v/>
      </c>
      <c r="V115" s="13" t="str">
        <v/>
      </c>
      <c r="W115" s="13" t="str">
        <v/>
      </c>
      <c r="X115" s="13" t="str">
        <v/>
      </c>
      <c r="Y115" s="13" t="str">
        <v/>
      </c>
      <c r="Z115" s="13" t="str">
        <v/>
      </c>
      <c r="AA115" t="str">
        <f t="shared" si="5"/>
        <v/>
      </c>
      <c r="AB115" t="str">
        <f>_xlfn.XLOOKUP(B:B,Disk_Pivot!G:G,Disk_Pivot!I:I)</f>
        <v>No</v>
      </c>
      <c r="AC115" t="str">
        <f>_xlfn.XLOOKUP(B115,Disk_Pivot!G:G,Disk_Pivot!N:N)</f>
        <v/>
      </c>
    </row>
    <row r="116" spans="6:29">
      <c r="F116" t="str">
        <f>_xlfn.XLOOKUP(H116,Models!B:B,Models!F:F,"")</f>
        <v/>
      </c>
      <c r="K116">
        <f>_xlfn.XLOOKUP(B116,CPU_Formula!A:A,CPU_Formula!I:I)</f>
        <v>0</v>
      </c>
      <c r="L116" s="13" t="e">
        <f>INDEX(Input!$D$2:$AD$500,
       MATCH(B116, Input!$J$2:$J$500, 0),
       MATCH("Memory Capacity", Input!$D$1:$AD$1, 0))</f>
        <v>#N/A</v>
      </c>
      <c r="M116" s="13" t="e">
        <f>INDEX(Input!$D$2:$AD$500,
       MATCH(B116, Input!$J$2:$J$500, 0),
       MATCH("Memory Type", Input!$D$1:$AD$1, 0))</f>
        <v>#N/A</v>
      </c>
      <c r="N116" s="13" t="e">
        <f t="shared" si="3"/>
        <v>#N/A</v>
      </c>
      <c r="S116" s="13" t="str">
        <f>_xlfn.LET(_xlpm.Result,_xlfn.XLOOKUP(B116,Input!J:J,Input!AB:AB),IF(_xlpm.Result="","",_xlpm.Result))</f>
        <v/>
      </c>
      <c r="T116" s="13" t="str" cm="1">
        <f t="array" ref="T116">IFERROR(_xlfn.IFS(
   --S116&lt;55,"Battery Defect",
  -- S116&lt;=69,"Battery D",
  --S116&lt;=80,"Battery C",
 --S116&gt;80,""
),"")</f>
        <v/>
      </c>
      <c r="U116" s="13" t="str" cm="1">
        <f t="array" ref="U116:Z116">IFERROR(IF(_xlfn.XLOOKUP(B116,Input!J:J,Input!N:S)=0,"",
          _xlfn.XLOOKUP(B116,Input!J:J,Input!N:S)),"")</f>
        <v/>
      </c>
      <c r="V116" s="13" t="str">
        <v/>
      </c>
      <c r="W116" s="13" t="str">
        <v/>
      </c>
      <c r="X116" s="13" t="str">
        <v/>
      </c>
      <c r="Y116" s="13" t="str">
        <v/>
      </c>
      <c r="Z116" s="13" t="str">
        <v/>
      </c>
      <c r="AA116" t="str">
        <f t="shared" si="5"/>
        <v/>
      </c>
      <c r="AB116" t="str">
        <f>_xlfn.XLOOKUP(B:B,Disk_Pivot!G:G,Disk_Pivot!I:I)</f>
        <v>No</v>
      </c>
      <c r="AC116" t="str">
        <f>_xlfn.XLOOKUP(B116,Disk_Pivot!G:G,Disk_Pivot!N:N)</f>
        <v/>
      </c>
    </row>
    <row r="117" spans="6:29">
      <c r="F117">
        <f>_xlfn.XLOOKUP(H117,Models!B:B,Models!F:F,"")</f>
        <v>0</v>
      </c>
      <c r="K117">
        <f>_xlfn.XLOOKUP(B117,CPU_Formula!A:A,CPU_Formula!I:I)</f>
        <v>0</v>
      </c>
      <c r="L117" s="13" t="e">
        <f>INDEX(Input!$D$2:$AD$500,
       MATCH(B117, Input!$J$2:$J$500, 0),
       MATCH("Memory Capacity", Input!$D$1:$AD$1, 0))</f>
        <v>#N/A</v>
      </c>
      <c r="M117" s="13" t="e">
        <f>INDEX(Input!$D$2:$AD$500,
       MATCH(B117, Input!$J$2:$J$500, 0),
       MATCH("Memory Type", Input!$D$1:$AD$1, 0))</f>
        <v>#N/A</v>
      </c>
      <c r="N117" s="13" t="e">
        <f t="shared" si="3"/>
        <v>#N/A</v>
      </c>
      <c r="S117" s="13" t="str">
        <f>_xlfn.LET(_xlpm.Result,_xlfn.XLOOKUP(B117,Input!J:J,Input!AB:AB),IF(_xlpm.Result="","",_xlpm.Result))</f>
        <v/>
      </c>
      <c r="T117" s="13" t="str" cm="1">
        <f t="array" ref="T117">IFERROR(_xlfn.IFS(
   --S117&lt;55,"Battery Defect",
  -- S117&lt;=69,"Battery D",
  --S117&lt;=80,"Battery C",
 --S117&gt;80,""
),"")</f>
        <v/>
      </c>
      <c r="U117" s="13" t="str" cm="1">
        <f t="array" ref="U117:Z117">IFERROR(IF(_xlfn.XLOOKUP(B117,Input!J:J,Input!N:S)=0,"",
          _xlfn.XLOOKUP(B117,Input!J:J,Input!N:S)),"")</f>
        <v/>
      </c>
      <c r="V117" s="13" t="str">
        <v/>
      </c>
      <c r="W117" s="13" t="str">
        <v/>
      </c>
      <c r="X117" s="13" t="str">
        <v/>
      </c>
      <c r="Y117" s="13" t="str">
        <v/>
      </c>
      <c r="Z117" s="13" t="str">
        <v/>
      </c>
      <c r="AA117" t="str">
        <f t="shared" si="5"/>
        <v/>
      </c>
      <c r="AB117" t="str">
        <f>_xlfn.XLOOKUP(B:B,Disk_Pivot!G:G,Disk_Pivot!I:I)</f>
        <v>No</v>
      </c>
      <c r="AC117" t="str">
        <f>_xlfn.XLOOKUP(B117,Disk_Pivot!G:G,Disk_Pivot!N:N)</f>
        <v/>
      </c>
    </row>
    <row r="118" spans="6:29">
      <c r="F118">
        <f>_xlfn.XLOOKUP(H118,Models!B:B,Models!F:F,"")</f>
        <v>0</v>
      </c>
      <c r="K118">
        <f>_xlfn.XLOOKUP(B118,CPU_Formula!A:A,CPU_Formula!I:I)</f>
        <v>0</v>
      </c>
      <c r="L118" s="13" t="e">
        <f>INDEX(Input!$D$2:$AD$500,
       MATCH(B118, Input!$J$2:$J$500, 0),
       MATCH("Memory Capacity", Input!$D$1:$AD$1, 0))</f>
        <v>#N/A</v>
      </c>
      <c r="M118" s="13" t="e">
        <f>INDEX(Input!$D$2:$AD$500,
       MATCH(B118, Input!$J$2:$J$500, 0),
       MATCH("Memory Type", Input!$D$1:$AD$1, 0))</f>
        <v>#N/A</v>
      </c>
      <c r="N118" s="13" t="e">
        <f t="shared" si="3"/>
        <v>#N/A</v>
      </c>
      <c r="S118" s="13" t="str">
        <f>_xlfn.LET(_xlpm.Result,_xlfn.XLOOKUP(B118,Input!J:J,Input!AB:AB),IF(_xlpm.Result="","",_xlpm.Result))</f>
        <v/>
      </c>
      <c r="T118" s="13" t="str" cm="1">
        <f t="array" ref="T118">IFERROR(_xlfn.IFS(
   --S118&lt;55,"Battery Defect",
  -- S118&lt;=69,"Battery D",
  --S118&lt;=80,"Battery C",
 --S118&gt;80,""
),"")</f>
        <v/>
      </c>
      <c r="U118" s="13" t="str" cm="1">
        <f t="array" ref="U118:Z118">IFERROR(IF(_xlfn.XLOOKUP(B118,Input!J:J,Input!N:S)=0,"",
          _xlfn.XLOOKUP(B118,Input!J:J,Input!N:S)),"")</f>
        <v/>
      </c>
      <c r="V118" s="13" t="str">
        <v/>
      </c>
      <c r="W118" s="13" t="str">
        <v/>
      </c>
      <c r="X118" s="13" t="str">
        <v/>
      </c>
      <c r="Y118" s="13" t="str">
        <v/>
      </c>
      <c r="Z118" s="13" t="str">
        <v/>
      </c>
      <c r="AA118" t="str">
        <f t="shared" si="5"/>
        <v/>
      </c>
      <c r="AB118" t="str">
        <f>_xlfn.XLOOKUP(B:B,Disk_Pivot!G:G,Disk_Pivot!I:I)</f>
        <v>No</v>
      </c>
      <c r="AC118" t="str">
        <f>_xlfn.XLOOKUP(B118,Disk_Pivot!G:G,Disk_Pivot!N:N)</f>
        <v/>
      </c>
    </row>
    <row r="119" spans="6:29">
      <c r="F119" t="str">
        <f>_xlfn.XLOOKUP(H119,Models!B:B,Models!F:F,"")</f>
        <v/>
      </c>
      <c r="K119">
        <f>_xlfn.XLOOKUP(B119,CPU_Formula!A:A,CPU_Formula!I:I)</f>
        <v>0</v>
      </c>
      <c r="L119" s="13" t="e">
        <f>INDEX(Input!$D$2:$AD$500,
       MATCH(B119, Input!$J$2:$J$500, 0),
       MATCH("Memory Capacity", Input!$D$1:$AD$1, 0))</f>
        <v>#N/A</v>
      </c>
      <c r="M119" s="13" t="e">
        <f>INDEX(Input!$D$2:$AD$500,
       MATCH(B119, Input!$J$2:$J$500, 0),
       MATCH("Memory Type", Input!$D$1:$AD$1, 0))</f>
        <v>#N/A</v>
      </c>
      <c r="N119" s="13" t="e">
        <f t="shared" si="3"/>
        <v>#N/A</v>
      </c>
      <c r="S119" s="13" t="str">
        <f>_xlfn.LET(_xlpm.Result,_xlfn.XLOOKUP(B119,Input!J:J,Input!AB:AB),IF(_xlpm.Result="","",_xlpm.Result))</f>
        <v/>
      </c>
      <c r="T119" s="13" t="str" cm="1">
        <f t="array" ref="T119">IFERROR(_xlfn.IFS(
   --S119&lt;55,"Battery Defect",
  -- S119&lt;=69,"Battery D",
  --S119&lt;=80,"Battery C",
 --S119&gt;80,""
),"")</f>
        <v/>
      </c>
      <c r="U119" s="13" t="str" cm="1">
        <f t="array" ref="U119:Z119">IFERROR(IF(_xlfn.XLOOKUP(B119,Input!J:J,Input!N:S)=0,"",
          _xlfn.XLOOKUP(B119,Input!J:J,Input!N:S)),"")</f>
        <v/>
      </c>
      <c r="V119" s="13" t="str">
        <v/>
      </c>
      <c r="W119" s="13" t="str">
        <v/>
      </c>
      <c r="X119" s="13" t="str">
        <v/>
      </c>
      <c r="Y119" s="13" t="str">
        <v/>
      </c>
      <c r="Z119" s="13" t="str">
        <v/>
      </c>
      <c r="AA119" t="str">
        <f t="shared" si="5"/>
        <v/>
      </c>
      <c r="AB119" t="str">
        <f>_xlfn.XLOOKUP(B:B,Disk_Pivot!G:G,Disk_Pivot!I:I)</f>
        <v>No</v>
      </c>
      <c r="AC119" t="str">
        <f>_xlfn.XLOOKUP(B119,Disk_Pivot!G:G,Disk_Pivot!N:N)</f>
        <v/>
      </c>
    </row>
    <row r="120" spans="6:29">
      <c r="F120">
        <f>_xlfn.XLOOKUP(H120,Models!B:B,Models!F:F,"")</f>
        <v>0</v>
      </c>
      <c r="K120">
        <f>_xlfn.XLOOKUP(B120,CPU_Formula!A:A,CPU_Formula!I:I)</f>
        <v>0</v>
      </c>
      <c r="L120" s="13" t="e">
        <f>INDEX(Input!$D$2:$AD$500,
       MATCH(B120, Input!$J$2:$J$500, 0),
       MATCH("Memory Capacity", Input!$D$1:$AD$1, 0))</f>
        <v>#N/A</v>
      </c>
      <c r="M120" s="13" t="e">
        <f>INDEX(Input!$D$2:$AD$500,
       MATCH(B120, Input!$J$2:$J$500, 0),
       MATCH("Memory Type", Input!$D$1:$AD$1, 0))</f>
        <v>#N/A</v>
      </c>
      <c r="N120" s="13" t="e">
        <f t="shared" si="3"/>
        <v>#N/A</v>
      </c>
      <c r="S120" s="13" t="str">
        <f>_xlfn.LET(_xlpm.Result,_xlfn.XLOOKUP(B120,Input!J:J,Input!AB:AB),IF(_xlpm.Result="","",_xlpm.Result))</f>
        <v/>
      </c>
      <c r="T120" s="13" t="str" cm="1">
        <f t="array" ref="T120">IFERROR(_xlfn.IFS(
   --S120&lt;55,"Battery Defect",
  -- S120&lt;=69,"Battery D",
  --S120&lt;=80,"Battery C",
 --S120&gt;80,""
),"")</f>
        <v/>
      </c>
      <c r="U120" s="13" t="str" cm="1">
        <f t="array" ref="U120:Z120">IFERROR(IF(_xlfn.XLOOKUP(B120,Input!J:J,Input!N:S)=0,"",
          _xlfn.XLOOKUP(B120,Input!J:J,Input!N:S)),"")</f>
        <v/>
      </c>
      <c r="V120" s="13" t="str">
        <v/>
      </c>
      <c r="W120" s="13" t="str">
        <v/>
      </c>
      <c r="X120" s="13" t="str">
        <v/>
      </c>
      <c r="Y120" s="13" t="str">
        <v/>
      </c>
      <c r="Z120" s="13" t="str">
        <v/>
      </c>
      <c r="AA120" t="str">
        <f t="shared" si="5"/>
        <v/>
      </c>
      <c r="AB120" t="str">
        <f>_xlfn.XLOOKUP(B:B,Disk_Pivot!G:G,Disk_Pivot!I:I)</f>
        <v>No</v>
      </c>
      <c r="AC120" t="str">
        <f>_xlfn.XLOOKUP(B120,Disk_Pivot!G:G,Disk_Pivot!N:N)</f>
        <v/>
      </c>
    </row>
    <row r="121" spans="6:29">
      <c r="F121">
        <f>_xlfn.XLOOKUP(H121,Models!B:B,Models!F:F,"")</f>
        <v>0</v>
      </c>
      <c r="K121">
        <f>_xlfn.XLOOKUP(B121,CPU_Formula!A:A,CPU_Formula!I:I)</f>
        <v>0</v>
      </c>
      <c r="L121" s="13" t="e">
        <f>INDEX(Input!$D$2:$AD$500,
       MATCH(B121, Input!$J$2:$J$500, 0),
       MATCH("Memory Capacity", Input!$D$1:$AD$1, 0))</f>
        <v>#N/A</v>
      </c>
      <c r="M121" s="13" t="e">
        <f>INDEX(Input!$D$2:$AD$500,
       MATCH(B121, Input!$J$2:$J$500, 0),
       MATCH("Memory Type", Input!$D$1:$AD$1, 0))</f>
        <v>#N/A</v>
      </c>
      <c r="N121" s="13" t="e">
        <f t="shared" si="3"/>
        <v>#N/A</v>
      </c>
      <c r="S121" s="13" t="str">
        <f>_xlfn.LET(_xlpm.Result,_xlfn.XLOOKUP(B121,Input!J:J,Input!AB:AB),IF(_xlpm.Result="","",_xlpm.Result))</f>
        <v/>
      </c>
      <c r="T121" s="13" t="str" cm="1">
        <f t="array" ref="T121">IFERROR(_xlfn.IFS(
   --S121&lt;55,"Battery Defect",
  -- S121&lt;=69,"Battery D",
  --S121&lt;=80,"Battery C",
 --S121&gt;80,""
),"")</f>
        <v/>
      </c>
      <c r="U121" s="13" t="str" cm="1">
        <f t="array" ref="U121:Z121">IFERROR(IF(_xlfn.XLOOKUP(B121,Input!J:J,Input!N:S)=0,"",
          _xlfn.XLOOKUP(B121,Input!J:J,Input!N:S)),"")</f>
        <v/>
      </c>
      <c r="V121" s="13" t="str">
        <v/>
      </c>
      <c r="W121" s="13" t="str">
        <v/>
      </c>
      <c r="X121" s="13" t="str">
        <v/>
      </c>
      <c r="Y121" s="13" t="str">
        <v/>
      </c>
      <c r="Z121" s="13" t="str">
        <v/>
      </c>
      <c r="AA121" t="str">
        <f t="shared" si="5"/>
        <v/>
      </c>
      <c r="AB121" t="str">
        <f>_xlfn.XLOOKUP(B:B,Disk_Pivot!G:G,Disk_Pivot!I:I)</f>
        <v>No</v>
      </c>
      <c r="AC121" t="str">
        <f>_xlfn.XLOOKUP(B121,Disk_Pivot!G:G,Disk_Pivot!N:N)</f>
        <v/>
      </c>
    </row>
    <row r="122" spans="6:29">
      <c r="F122" t="str">
        <f>_xlfn.XLOOKUP(H122,Models!B:B,Models!F:F,"")</f>
        <v/>
      </c>
      <c r="K122">
        <f>_xlfn.XLOOKUP(B122,CPU_Formula!A:A,CPU_Formula!I:I)</f>
        <v>0</v>
      </c>
      <c r="L122" s="13" t="e">
        <f>INDEX(Input!$D$2:$AD$500,
       MATCH(B122, Input!$J$2:$J$500, 0),
       MATCH("Memory Capacity", Input!$D$1:$AD$1, 0))</f>
        <v>#N/A</v>
      </c>
      <c r="M122" s="13" t="e">
        <f>INDEX(Input!$D$2:$AD$500,
       MATCH(B122, Input!$J$2:$J$500, 0),
       MATCH("Memory Type", Input!$D$1:$AD$1, 0))</f>
        <v>#N/A</v>
      </c>
      <c r="N122" s="13" t="e">
        <f t="shared" si="3"/>
        <v>#N/A</v>
      </c>
      <c r="S122" s="13" t="str">
        <f>_xlfn.LET(_xlpm.Result,_xlfn.XLOOKUP(B122,Input!J:J,Input!AB:AB),IF(_xlpm.Result="","",_xlpm.Result))</f>
        <v/>
      </c>
      <c r="T122" s="13" t="str" cm="1">
        <f t="array" ref="T122">IFERROR(_xlfn.IFS(
   --S122&lt;55,"Battery Defect",
  -- S122&lt;=69,"Battery D",
  --S122&lt;=80,"Battery C",
 --S122&gt;80,""
),"")</f>
        <v/>
      </c>
      <c r="U122" s="13" t="str" cm="1">
        <f t="array" ref="U122:Z122">IFERROR(IF(_xlfn.XLOOKUP(B122,Input!J:J,Input!N:S)=0,"",
          _xlfn.XLOOKUP(B122,Input!J:J,Input!N:S)),"")</f>
        <v/>
      </c>
      <c r="V122" s="13" t="str">
        <v/>
      </c>
      <c r="W122" s="13" t="str">
        <v/>
      </c>
      <c r="X122" s="13" t="str">
        <v/>
      </c>
      <c r="Y122" s="13" t="str">
        <v/>
      </c>
      <c r="Z122" s="13" t="str">
        <v/>
      </c>
      <c r="AA122" t="str">
        <f t="shared" si="5"/>
        <v/>
      </c>
      <c r="AB122" t="str">
        <f>_xlfn.XLOOKUP(B:B,Disk_Pivot!G:G,Disk_Pivot!I:I)</f>
        <v>No</v>
      </c>
      <c r="AC122" t="str">
        <f>_xlfn.XLOOKUP(B122,Disk_Pivot!G:G,Disk_Pivot!N:N)</f>
        <v/>
      </c>
    </row>
    <row r="123" spans="6:29">
      <c r="F123">
        <f>_xlfn.XLOOKUP(H123,Models!B:B,Models!F:F,"")</f>
        <v>0</v>
      </c>
      <c r="K123">
        <f>_xlfn.XLOOKUP(B123,CPU_Formula!A:A,CPU_Formula!I:I)</f>
        <v>0</v>
      </c>
      <c r="L123" s="13" t="e">
        <f>INDEX(Input!$D$2:$AD$500,
       MATCH(B123, Input!$J$2:$J$500, 0),
       MATCH("Memory Capacity", Input!$D$1:$AD$1, 0))</f>
        <v>#N/A</v>
      </c>
      <c r="M123" s="13" t="e">
        <f>INDEX(Input!$D$2:$AD$500,
       MATCH(B123, Input!$J$2:$J$500, 0),
       MATCH("Memory Type", Input!$D$1:$AD$1, 0))</f>
        <v>#N/A</v>
      </c>
      <c r="N123" s="13" t="e">
        <f t="shared" si="3"/>
        <v>#N/A</v>
      </c>
      <c r="S123" s="13" t="str">
        <f>_xlfn.LET(_xlpm.Result,_xlfn.XLOOKUP(B123,Input!J:J,Input!AB:AB),IF(_xlpm.Result="","",_xlpm.Result))</f>
        <v/>
      </c>
      <c r="T123" s="13" t="str" cm="1">
        <f t="array" ref="T123">IFERROR(_xlfn.IFS(
   --S123&lt;55,"Battery Defect",
  -- S123&lt;=69,"Battery D",
  --S123&lt;=80,"Battery C",
 --S123&gt;80,""
),"")</f>
        <v/>
      </c>
      <c r="U123" s="13" t="str" cm="1">
        <f t="array" ref="U123:Z123">IFERROR(IF(_xlfn.XLOOKUP(B123,Input!J:J,Input!N:S)=0,"",
          _xlfn.XLOOKUP(B123,Input!J:J,Input!N:S)),"")</f>
        <v/>
      </c>
      <c r="V123" s="13" t="str">
        <v/>
      </c>
      <c r="W123" s="13" t="str">
        <v/>
      </c>
      <c r="X123" s="13" t="str">
        <v/>
      </c>
      <c r="Y123" s="13" t="str">
        <v/>
      </c>
      <c r="Z123" s="13" t="str">
        <v/>
      </c>
      <c r="AA123" t="str">
        <f t="shared" si="5"/>
        <v/>
      </c>
      <c r="AB123" t="str">
        <f>_xlfn.XLOOKUP(B:B,Disk_Pivot!G:G,Disk_Pivot!I:I)</f>
        <v>No</v>
      </c>
      <c r="AC123" t="str">
        <f>_xlfn.XLOOKUP(B123,Disk_Pivot!G:G,Disk_Pivot!N:N)</f>
        <v/>
      </c>
    </row>
    <row r="124" spans="6:29">
      <c r="F124">
        <f>_xlfn.XLOOKUP(H124,Models!B:B,Models!F:F,"")</f>
        <v>0</v>
      </c>
      <c r="K124">
        <f>_xlfn.XLOOKUP(B124,CPU_Formula!A:A,CPU_Formula!I:I)</f>
        <v>0</v>
      </c>
      <c r="L124" s="13" t="e">
        <f>INDEX(Input!$D$2:$AD$500,
       MATCH(B124, Input!$J$2:$J$500, 0),
       MATCH("Memory Capacity", Input!$D$1:$AD$1, 0))</f>
        <v>#N/A</v>
      </c>
      <c r="M124" s="13" t="e">
        <f>INDEX(Input!$D$2:$AD$500,
       MATCH(B124, Input!$J$2:$J$500, 0),
       MATCH("Memory Type", Input!$D$1:$AD$1, 0))</f>
        <v>#N/A</v>
      </c>
      <c r="N124" s="13" t="e">
        <f t="shared" si="3"/>
        <v>#N/A</v>
      </c>
      <c r="S124" s="13" t="str">
        <f>_xlfn.LET(_xlpm.Result,_xlfn.XLOOKUP(B124,Input!J:J,Input!AB:AB),IF(_xlpm.Result="","",_xlpm.Result))</f>
        <v/>
      </c>
      <c r="T124" s="13" t="str" cm="1">
        <f t="array" ref="T124">IFERROR(_xlfn.IFS(
   --S124&lt;55,"Battery Defect",
  -- S124&lt;=69,"Battery D",
  --S124&lt;=80,"Battery C",
 --S124&gt;80,""
),"")</f>
        <v/>
      </c>
      <c r="U124" s="13" t="str" cm="1">
        <f t="array" ref="U124:Z124">IFERROR(IF(_xlfn.XLOOKUP(B124,Input!J:J,Input!N:S)=0,"",
          _xlfn.XLOOKUP(B124,Input!J:J,Input!N:S)),"")</f>
        <v/>
      </c>
      <c r="V124" s="13" t="str">
        <v/>
      </c>
      <c r="W124" s="13" t="str">
        <v/>
      </c>
      <c r="X124" s="13" t="str">
        <v/>
      </c>
      <c r="Y124" s="13" t="str">
        <v/>
      </c>
      <c r="Z124" s="13" t="str">
        <v/>
      </c>
      <c r="AA124" t="str">
        <f t="shared" si="5"/>
        <v/>
      </c>
      <c r="AB124" t="str">
        <f>_xlfn.XLOOKUP(B:B,Disk_Pivot!G:G,Disk_Pivot!I:I)</f>
        <v>No</v>
      </c>
      <c r="AC124" t="str">
        <f>_xlfn.XLOOKUP(B124,Disk_Pivot!G:G,Disk_Pivot!N:N)</f>
        <v/>
      </c>
    </row>
    <row r="125" spans="6:29">
      <c r="F125" t="str">
        <f>_xlfn.XLOOKUP(H125,Models!B:B,Models!F:F,"")</f>
        <v/>
      </c>
      <c r="K125">
        <f>_xlfn.XLOOKUP(B125,CPU_Formula!A:A,CPU_Formula!I:I)</f>
        <v>0</v>
      </c>
      <c r="L125" s="13" t="e">
        <f>INDEX(Input!$D$2:$AD$500,
       MATCH(B125, Input!$J$2:$J$500, 0),
       MATCH("Memory Capacity", Input!$D$1:$AD$1, 0))</f>
        <v>#N/A</v>
      </c>
      <c r="M125" s="13" t="e">
        <f>INDEX(Input!$D$2:$AD$500,
       MATCH(B125, Input!$J$2:$J$500, 0),
       MATCH("Memory Type", Input!$D$1:$AD$1, 0))</f>
        <v>#N/A</v>
      </c>
      <c r="N125" s="13" t="e">
        <f t="shared" si="3"/>
        <v>#N/A</v>
      </c>
      <c r="S125" s="13" t="str">
        <f>_xlfn.LET(_xlpm.Result,_xlfn.XLOOKUP(B125,Input!J:J,Input!AB:AB),IF(_xlpm.Result="","",_xlpm.Result))</f>
        <v/>
      </c>
      <c r="T125" s="13" t="str" cm="1">
        <f t="array" ref="T125">IFERROR(_xlfn.IFS(
   --S125&lt;55,"Battery Defect",
  -- S125&lt;=69,"Battery D",
  --S125&lt;=80,"Battery C",
 --S125&gt;80,""
),"")</f>
        <v/>
      </c>
      <c r="U125" s="13" t="str" cm="1">
        <f t="array" ref="U125:Z125">IFERROR(IF(_xlfn.XLOOKUP(B125,Input!J:J,Input!N:S)=0,"",
          _xlfn.XLOOKUP(B125,Input!J:J,Input!N:S)),"")</f>
        <v/>
      </c>
      <c r="V125" s="13" t="str">
        <v/>
      </c>
      <c r="W125" s="13" t="str">
        <v/>
      </c>
      <c r="X125" s="13" t="str">
        <v/>
      </c>
      <c r="Y125" s="13" t="str">
        <v/>
      </c>
      <c r="Z125" s="13" t="str">
        <v/>
      </c>
      <c r="AA125" t="str">
        <f t="shared" si="5"/>
        <v/>
      </c>
      <c r="AB125" t="str">
        <f>_xlfn.XLOOKUP(B:B,Disk_Pivot!G:G,Disk_Pivot!I:I)</f>
        <v>No</v>
      </c>
      <c r="AC125" t="str">
        <f>_xlfn.XLOOKUP(B125,Disk_Pivot!G:G,Disk_Pivot!N:N)</f>
        <v/>
      </c>
    </row>
    <row r="126" spans="6:29">
      <c r="F126">
        <f>_xlfn.XLOOKUP(H126,Models!B:B,Models!F:F,"")</f>
        <v>0</v>
      </c>
      <c r="K126">
        <f>_xlfn.XLOOKUP(B126,CPU_Formula!A:A,CPU_Formula!I:I)</f>
        <v>0</v>
      </c>
      <c r="L126" s="13" t="e">
        <f>INDEX(Input!$D$2:$AD$500,
       MATCH(B126, Input!$J$2:$J$500, 0),
       MATCH("Memory Capacity", Input!$D$1:$AD$1, 0))</f>
        <v>#N/A</v>
      </c>
      <c r="M126" s="13" t="e">
        <f>INDEX(Input!$D$2:$AD$500,
       MATCH(B126, Input!$J$2:$J$500, 0),
       MATCH("Memory Type", Input!$D$1:$AD$1, 0))</f>
        <v>#N/A</v>
      </c>
      <c r="N126" s="13" t="e">
        <f t="shared" si="3"/>
        <v>#N/A</v>
      </c>
      <c r="S126" s="13" t="str">
        <f>_xlfn.LET(_xlpm.Result,_xlfn.XLOOKUP(B126,Input!J:J,Input!AB:AB),IF(_xlpm.Result="","",_xlpm.Result))</f>
        <v/>
      </c>
      <c r="T126" s="13" t="str" cm="1">
        <f t="array" ref="T126">IFERROR(_xlfn.IFS(
   --S126&lt;55,"Battery Defect",
  -- S126&lt;=69,"Battery D",
  --S126&lt;=80,"Battery C",
 --S126&gt;80,""
),"")</f>
        <v/>
      </c>
      <c r="U126" s="13" t="str" cm="1">
        <f t="array" ref="U126:Z126">IFERROR(IF(_xlfn.XLOOKUP(B126,Input!J:J,Input!N:S)=0,"",
          _xlfn.XLOOKUP(B126,Input!J:J,Input!N:S)),"")</f>
        <v/>
      </c>
      <c r="V126" s="13" t="str">
        <v/>
      </c>
      <c r="W126" s="13" t="str">
        <v/>
      </c>
      <c r="X126" s="13" t="str">
        <v/>
      </c>
      <c r="Y126" s="13" t="str">
        <v/>
      </c>
      <c r="Z126" s="13" t="str">
        <v/>
      </c>
      <c r="AA126" t="str">
        <f t="shared" si="5"/>
        <v/>
      </c>
      <c r="AB126" t="str">
        <f>_xlfn.XLOOKUP(B:B,Disk_Pivot!G:G,Disk_Pivot!I:I)</f>
        <v>No</v>
      </c>
      <c r="AC126" t="str">
        <f>_xlfn.XLOOKUP(B126,Disk_Pivot!G:G,Disk_Pivot!N:N)</f>
        <v/>
      </c>
    </row>
    <row r="127" spans="6:29">
      <c r="F127">
        <f>_xlfn.XLOOKUP(H127,Models!B:B,Models!F:F,"")</f>
        <v>0</v>
      </c>
      <c r="K127">
        <f>_xlfn.XLOOKUP(B127,CPU_Formula!A:A,CPU_Formula!I:I)</f>
        <v>0</v>
      </c>
      <c r="L127" s="13" t="e">
        <f>INDEX(Input!$D$2:$AD$500,
       MATCH(B127, Input!$J$2:$J$500, 0),
       MATCH("Memory Capacity", Input!$D$1:$AD$1, 0))</f>
        <v>#N/A</v>
      </c>
      <c r="M127" s="13" t="e">
        <f>INDEX(Input!$D$2:$AD$500,
       MATCH(B127, Input!$J$2:$J$500, 0),
       MATCH("Memory Type", Input!$D$1:$AD$1, 0))</f>
        <v>#N/A</v>
      </c>
      <c r="N127" s="13" t="e">
        <f t="shared" si="3"/>
        <v>#N/A</v>
      </c>
      <c r="S127" s="13" t="str">
        <f>_xlfn.LET(_xlpm.Result,_xlfn.XLOOKUP(B127,Input!J:J,Input!AB:AB),IF(_xlpm.Result="","",_xlpm.Result))</f>
        <v/>
      </c>
      <c r="T127" s="13" t="str" cm="1">
        <f t="array" ref="T127">IFERROR(_xlfn.IFS(
   --S127&lt;55,"Battery Defect",
  -- S127&lt;=69,"Battery D",
  --S127&lt;=80,"Battery C",
 --S127&gt;80,""
),"")</f>
        <v/>
      </c>
      <c r="U127" s="13" t="str" cm="1">
        <f t="array" ref="U127:Z127">IFERROR(IF(_xlfn.XLOOKUP(B127,Input!J:J,Input!N:S)=0,"",
          _xlfn.XLOOKUP(B127,Input!J:J,Input!N:S)),"")</f>
        <v/>
      </c>
      <c r="V127" s="13" t="str">
        <v/>
      </c>
      <c r="W127" s="13" t="str">
        <v/>
      </c>
      <c r="X127" s="13" t="str">
        <v/>
      </c>
      <c r="Y127" s="13" t="str">
        <v/>
      </c>
      <c r="Z127" s="13" t="str">
        <v/>
      </c>
      <c r="AA127" t="str">
        <f t="shared" si="5"/>
        <v/>
      </c>
      <c r="AB127" t="str">
        <f>_xlfn.XLOOKUP(B:B,Disk_Pivot!G:G,Disk_Pivot!I:I)</f>
        <v>No</v>
      </c>
      <c r="AC127" t="str">
        <f>_xlfn.XLOOKUP(B127,Disk_Pivot!G:G,Disk_Pivot!N:N)</f>
        <v/>
      </c>
    </row>
    <row r="128" spans="6:29">
      <c r="F128" t="str">
        <f>_xlfn.XLOOKUP(H128,Models!B:B,Models!F:F,"")</f>
        <v/>
      </c>
      <c r="K128">
        <f>_xlfn.XLOOKUP(B128,CPU_Formula!A:A,CPU_Formula!I:I)</f>
        <v>0</v>
      </c>
      <c r="L128" s="13" t="e">
        <f>INDEX(Input!$D$2:$AD$500,
       MATCH(B128, Input!$J$2:$J$500, 0),
       MATCH("Memory Capacity", Input!$D$1:$AD$1, 0))</f>
        <v>#N/A</v>
      </c>
      <c r="M128" s="13" t="e">
        <f>INDEX(Input!$D$2:$AD$500,
       MATCH(B128, Input!$J$2:$J$500, 0),
       MATCH("Memory Type", Input!$D$1:$AD$1, 0))</f>
        <v>#N/A</v>
      </c>
      <c r="N128" s="13" t="e">
        <f t="shared" si="3"/>
        <v>#N/A</v>
      </c>
      <c r="S128" s="13" t="str">
        <f>_xlfn.LET(_xlpm.Result,_xlfn.XLOOKUP(B128,Input!J:J,Input!AB:AB),IF(_xlpm.Result="","",_xlpm.Result))</f>
        <v/>
      </c>
      <c r="T128" s="13" t="str" cm="1">
        <f t="array" ref="T128">IFERROR(_xlfn.IFS(
   --S128&lt;55,"Battery Defect",
  -- S128&lt;=69,"Battery D",
  --S128&lt;=80,"Battery C",
 --S128&gt;80,""
),"")</f>
        <v/>
      </c>
      <c r="U128" s="13" t="str" cm="1">
        <f t="array" ref="U128:Z128">IFERROR(IF(_xlfn.XLOOKUP(B128,Input!J:J,Input!N:S)=0,"",
          _xlfn.XLOOKUP(B128,Input!J:J,Input!N:S)),"")</f>
        <v/>
      </c>
      <c r="V128" s="13" t="str">
        <v/>
      </c>
      <c r="W128" s="13" t="str">
        <v/>
      </c>
      <c r="X128" s="13" t="str">
        <v/>
      </c>
      <c r="Y128" s="13" t="str">
        <v/>
      </c>
      <c r="Z128" s="13" t="str">
        <v/>
      </c>
      <c r="AA128" t="str">
        <f t="shared" si="5"/>
        <v/>
      </c>
      <c r="AB128" t="str">
        <f>_xlfn.XLOOKUP(B:B,Disk_Pivot!G:G,Disk_Pivot!I:I)</f>
        <v>No</v>
      </c>
      <c r="AC128" t="str">
        <f>_xlfn.XLOOKUP(B128,Disk_Pivot!G:G,Disk_Pivot!N:N)</f>
        <v/>
      </c>
    </row>
    <row r="129" spans="6:29">
      <c r="F129">
        <f>_xlfn.XLOOKUP(H129,Models!B:B,Models!F:F,"")</f>
        <v>0</v>
      </c>
      <c r="K129">
        <f>_xlfn.XLOOKUP(B129,CPU_Formula!A:A,CPU_Formula!I:I)</f>
        <v>0</v>
      </c>
      <c r="L129" s="13" t="e">
        <f>INDEX(Input!$D$2:$AD$500,
       MATCH(B129, Input!$J$2:$J$500, 0),
       MATCH("Memory Capacity", Input!$D$1:$AD$1, 0))</f>
        <v>#N/A</v>
      </c>
      <c r="M129" s="13" t="e">
        <f>INDEX(Input!$D$2:$AD$500,
       MATCH(B129, Input!$J$2:$J$500, 0),
       MATCH("Memory Type", Input!$D$1:$AD$1, 0))</f>
        <v>#N/A</v>
      </c>
      <c r="N129" s="13" t="e">
        <f t="shared" si="3"/>
        <v>#N/A</v>
      </c>
      <c r="S129" s="13" t="str">
        <f>_xlfn.LET(_xlpm.Result,_xlfn.XLOOKUP(B129,Input!J:J,Input!AB:AB),IF(_xlpm.Result="","",_xlpm.Result))</f>
        <v/>
      </c>
      <c r="T129" s="13" t="str" cm="1">
        <f t="array" ref="T129">IFERROR(_xlfn.IFS(
   --S129&lt;55,"Battery Defect",
  -- S129&lt;=69,"Battery D",
  --S129&lt;=80,"Battery C",
 --S129&gt;80,""
),"")</f>
        <v/>
      </c>
      <c r="U129" s="13" t="str" cm="1">
        <f t="array" ref="U129:Z129">IFERROR(IF(_xlfn.XLOOKUP(B129,Input!J:J,Input!N:S)=0,"",
          _xlfn.XLOOKUP(B129,Input!J:J,Input!N:S)),"")</f>
        <v/>
      </c>
      <c r="V129" s="13" t="str">
        <v/>
      </c>
      <c r="W129" s="13" t="str">
        <v/>
      </c>
      <c r="X129" s="13" t="str">
        <v/>
      </c>
      <c r="Y129" s="13" t="str">
        <v/>
      </c>
      <c r="Z129" s="13" t="str">
        <v/>
      </c>
      <c r="AA129" t="str">
        <f t="shared" si="5"/>
        <v/>
      </c>
      <c r="AB129" t="str">
        <f>_xlfn.XLOOKUP(B:B,Disk_Pivot!G:G,Disk_Pivot!I:I)</f>
        <v>No</v>
      </c>
      <c r="AC129" t="str">
        <f>_xlfn.XLOOKUP(B129,Disk_Pivot!G:G,Disk_Pivot!N:N)</f>
        <v/>
      </c>
    </row>
    <row r="130" spans="6:29">
      <c r="F130">
        <f>_xlfn.XLOOKUP(H130,Models!B:B,Models!F:F,"")</f>
        <v>0</v>
      </c>
      <c r="K130">
        <f>_xlfn.XLOOKUP(B130,CPU_Formula!A:A,CPU_Formula!I:I)</f>
        <v>0</v>
      </c>
      <c r="L130" s="13" t="e">
        <f>INDEX(Input!$D$2:$AD$500,
       MATCH(B130, Input!$J$2:$J$500, 0),
       MATCH("Memory Capacity", Input!$D$1:$AD$1, 0))</f>
        <v>#N/A</v>
      </c>
      <c r="M130" s="13" t="e">
        <f>INDEX(Input!$D$2:$AD$500,
       MATCH(B130, Input!$J$2:$J$500, 0),
       MATCH("Memory Type", Input!$D$1:$AD$1, 0))</f>
        <v>#N/A</v>
      </c>
      <c r="N130" s="13" t="e">
        <f t="shared" si="3"/>
        <v>#N/A</v>
      </c>
      <c r="S130" s="13" t="str">
        <f>_xlfn.LET(_xlpm.Result,_xlfn.XLOOKUP(B130,Input!J:J,Input!AB:AB),IF(_xlpm.Result="","",_xlpm.Result))</f>
        <v/>
      </c>
      <c r="T130" s="13" t="str" cm="1">
        <f t="array" ref="T130">IFERROR(_xlfn.IFS(
   --S130&lt;55,"Battery Defect",
  -- S130&lt;=69,"Battery D",
  --S130&lt;=80,"Battery C",
 --S130&gt;80,""
),"")</f>
        <v/>
      </c>
      <c r="U130" s="13" t="str" cm="1">
        <f t="array" ref="U130:Z130">IFERROR(IF(_xlfn.XLOOKUP(B130,Input!J:J,Input!N:S)=0,"",
          _xlfn.XLOOKUP(B130,Input!J:J,Input!N:S)),"")</f>
        <v/>
      </c>
      <c r="V130" s="13" t="str">
        <v/>
      </c>
      <c r="W130" s="13" t="str">
        <v/>
      </c>
      <c r="X130" s="13" t="str">
        <v/>
      </c>
      <c r="Y130" s="13" t="str">
        <v/>
      </c>
      <c r="Z130" s="13" t="str">
        <v/>
      </c>
      <c r="AA130" t="str">
        <f t="shared" si="5"/>
        <v/>
      </c>
      <c r="AB130" t="str">
        <f>_xlfn.XLOOKUP(B:B,Disk_Pivot!G:G,Disk_Pivot!I:I)</f>
        <v>No</v>
      </c>
      <c r="AC130" t="str">
        <f>_xlfn.XLOOKUP(B130,Disk_Pivot!G:G,Disk_Pivot!N:N)</f>
        <v/>
      </c>
    </row>
    <row r="131" spans="6:29">
      <c r="F131" t="str">
        <f>_xlfn.XLOOKUP(H131,Models!B:B,Models!F:F,"")</f>
        <v/>
      </c>
      <c r="K131">
        <f>_xlfn.XLOOKUP(B131,CPU_Formula!A:A,CPU_Formula!I:I)</f>
        <v>0</v>
      </c>
      <c r="L131" s="13" t="e">
        <f>INDEX(Input!$D$2:$AD$500,
       MATCH(B131, Input!$J$2:$J$500, 0),
       MATCH("Memory Capacity", Input!$D$1:$AD$1, 0))</f>
        <v>#N/A</v>
      </c>
      <c r="M131" s="13" t="e">
        <f>INDEX(Input!$D$2:$AD$500,
       MATCH(B131, Input!$J$2:$J$500, 0),
       MATCH("Memory Type", Input!$D$1:$AD$1, 0))</f>
        <v>#N/A</v>
      </c>
      <c r="N131" s="13" t="e">
        <f t="shared" ref="N131:N194" si="7">IF(ISNUMBER(L131), L131, SUBSTITUTE(SUBSTITUTE(SUBSTITUTE(L131,"GiB","")," ",""),"/","+"))</f>
        <v>#N/A</v>
      </c>
      <c r="S131" s="13" t="str">
        <f>_xlfn.LET(_xlpm.Result,_xlfn.XLOOKUP(B131,Input!J:J,Input!AB:AB),IF(_xlpm.Result="","",_xlpm.Result))</f>
        <v/>
      </c>
      <c r="T131" s="13" t="str" cm="1">
        <f t="array" ref="T131">IFERROR(_xlfn.IFS(
   --S131&lt;55,"Battery Defect",
  -- S131&lt;=69,"Battery D",
  --S131&lt;=80,"Battery C",
 --S131&gt;80,""
),"")</f>
        <v/>
      </c>
      <c r="U131" s="13" t="str" cm="1">
        <f t="array" ref="U131:Z131">IFERROR(IF(_xlfn.XLOOKUP(B131,Input!J:J,Input!N:S)=0,"",
          _xlfn.XLOOKUP(B131,Input!J:J,Input!N:S)),"")</f>
        <v/>
      </c>
      <c r="V131" s="13" t="str">
        <v/>
      </c>
      <c r="W131" s="13" t="str">
        <v/>
      </c>
      <c r="X131" s="13" t="str">
        <v/>
      </c>
      <c r="Y131" s="13" t="str">
        <v/>
      </c>
      <c r="Z131" s="13" t="str">
        <v/>
      </c>
      <c r="AA131" t="str">
        <f t="shared" ref="AA131:AA194" si="8">_xlfn.TEXTJOIN(", ",TRUE,T131,U131,V131,W131,X131,Y131,Z131)</f>
        <v/>
      </c>
      <c r="AB131" t="str">
        <f>_xlfn.XLOOKUP(B:B,Disk_Pivot!G:G,Disk_Pivot!I:I)</f>
        <v>No</v>
      </c>
      <c r="AC131" t="str">
        <f>_xlfn.XLOOKUP(B131,Disk_Pivot!G:G,Disk_Pivot!N:N)</f>
        <v/>
      </c>
    </row>
    <row r="132" spans="6:29">
      <c r="F132" t="str">
        <f>_xlfn.XLOOKUP(H132,Models!B:B,Models!F:F,"")</f>
        <v/>
      </c>
      <c r="K132">
        <f>_xlfn.XLOOKUP(B132,CPU_Formula!A:A,CPU_Formula!I:I)</f>
        <v>0</v>
      </c>
      <c r="L132" s="13" t="e">
        <f>INDEX(Input!$D$2:$AD$500,
       MATCH(B132, Input!$J$2:$J$500, 0),
       MATCH("Memory Capacity", Input!$D$1:$AD$1, 0))</f>
        <v>#N/A</v>
      </c>
      <c r="M132" s="13" t="e">
        <f>INDEX(Input!$D$2:$AD$500,
       MATCH(B132, Input!$J$2:$J$500, 0),
       MATCH("Memory Type", Input!$D$1:$AD$1, 0))</f>
        <v>#N/A</v>
      </c>
      <c r="N132" s="13" t="e">
        <f t="shared" si="7"/>
        <v>#N/A</v>
      </c>
      <c r="S132" s="13" t="str">
        <f>_xlfn.LET(_xlpm.Result,_xlfn.XLOOKUP(B132,Input!J:J,Input!AB:AB),IF(_xlpm.Result="","",_xlpm.Result))</f>
        <v/>
      </c>
      <c r="T132" s="13" t="str" cm="1">
        <f t="array" ref="T132">IFERROR(_xlfn.IFS(
   --S132&lt;55,"Battery Defect",
  -- S132&lt;=69,"Battery D",
  --S132&lt;=80,"Battery C",
 --S132&gt;80,""
),"")</f>
        <v/>
      </c>
      <c r="U132" s="13" t="str" cm="1">
        <f t="array" ref="U132:Z132">IFERROR(IF(_xlfn.XLOOKUP(B132,Input!J:J,Input!N:S)=0,"",
          _xlfn.XLOOKUP(B132,Input!J:J,Input!N:S)),"")</f>
        <v/>
      </c>
      <c r="V132" s="13" t="str">
        <v/>
      </c>
      <c r="W132" s="13" t="str">
        <v/>
      </c>
      <c r="X132" s="13" t="str">
        <v/>
      </c>
      <c r="Y132" s="13" t="str">
        <v/>
      </c>
      <c r="Z132" s="13" t="str">
        <v/>
      </c>
      <c r="AA132" t="str">
        <f t="shared" si="8"/>
        <v/>
      </c>
      <c r="AB132" t="str">
        <f>_xlfn.XLOOKUP(B:B,Disk_Pivot!G:G,Disk_Pivot!I:I)</f>
        <v>No</v>
      </c>
      <c r="AC132" t="str">
        <f>_xlfn.XLOOKUP(B132,Disk_Pivot!G:G,Disk_Pivot!N:N)</f>
        <v/>
      </c>
    </row>
    <row r="133" spans="6:29">
      <c r="F133">
        <f>_xlfn.XLOOKUP(H133,Models!B:B,Models!F:F,"")</f>
        <v>0</v>
      </c>
      <c r="K133">
        <f>_xlfn.XLOOKUP(B133,CPU_Formula!A:A,CPU_Formula!I:I)</f>
        <v>0</v>
      </c>
      <c r="L133" s="13" t="e">
        <f>INDEX(Input!$D$2:$AD$500,
       MATCH(B133, Input!$J$2:$J$500, 0),
       MATCH("Memory Capacity", Input!$D$1:$AD$1, 0))</f>
        <v>#N/A</v>
      </c>
      <c r="M133" s="13" t="e">
        <f>INDEX(Input!$D$2:$AD$500,
       MATCH(B133, Input!$J$2:$J$500, 0),
       MATCH("Memory Type", Input!$D$1:$AD$1, 0))</f>
        <v>#N/A</v>
      </c>
      <c r="N133" s="13" t="e">
        <f t="shared" si="7"/>
        <v>#N/A</v>
      </c>
      <c r="S133" s="13" t="str">
        <f>_xlfn.LET(_xlpm.Result,_xlfn.XLOOKUP(B133,Input!J:J,Input!AB:AB),IF(_xlpm.Result="","",_xlpm.Result))</f>
        <v/>
      </c>
      <c r="T133" s="13" t="str" cm="1">
        <f t="array" ref="T133">IFERROR(_xlfn.IFS(
   --S133&lt;55,"Battery Defect",
  -- S133&lt;=69,"Battery D",
  --S133&lt;=80,"Battery C",
 --S133&gt;80,""
),"")</f>
        <v/>
      </c>
      <c r="U133" s="13" t="str" cm="1">
        <f t="array" ref="U133:Z133">IFERROR(IF(_xlfn.XLOOKUP(B133,Input!J:J,Input!N:S)=0,"",
          _xlfn.XLOOKUP(B133,Input!J:J,Input!N:S)),"")</f>
        <v/>
      </c>
      <c r="V133" s="13" t="str">
        <v/>
      </c>
      <c r="W133" s="13" t="str">
        <v/>
      </c>
      <c r="X133" s="13" t="str">
        <v/>
      </c>
      <c r="Y133" s="13" t="str">
        <v/>
      </c>
      <c r="Z133" s="13" t="str">
        <v/>
      </c>
      <c r="AA133" t="str">
        <f t="shared" si="8"/>
        <v/>
      </c>
      <c r="AB133" t="str">
        <f>_xlfn.XLOOKUP(B:B,Disk_Pivot!G:G,Disk_Pivot!I:I)</f>
        <v>No</v>
      </c>
      <c r="AC133" t="str">
        <f>_xlfn.XLOOKUP(B133,Disk_Pivot!G:G,Disk_Pivot!N:N)</f>
        <v/>
      </c>
    </row>
    <row r="134" spans="6:29">
      <c r="F134" t="str">
        <f>_xlfn.XLOOKUP(H134,Models!B:B,Models!F:F,"")</f>
        <v/>
      </c>
      <c r="K134">
        <f>_xlfn.XLOOKUP(B134,CPU_Formula!A:A,CPU_Formula!I:I)</f>
        <v>0</v>
      </c>
      <c r="L134" s="13" t="e">
        <f>INDEX(Input!$D$2:$AD$500,
       MATCH(B134, Input!$J$2:$J$500, 0),
       MATCH("Memory Capacity", Input!$D$1:$AD$1, 0))</f>
        <v>#N/A</v>
      </c>
      <c r="M134" s="13" t="e">
        <f>INDEX(Input!$D$2:$AD$500,
       MATCH(B134, Input!$J$2:$J$500, 0),
       MATCH("Memory Type", Input!$D$1:$AD$1, 0))</f>
        <v>#N/A</v>
      </c>
      <c r="N134" s="13" t="e">
        <f t="shared" si="7"/>
        <v>#N/A</v>
      </c>
      <c r="S134" s="13" t="str">
        <f>_xlfn.LET(_xlpm.Result,_xlfn.XLOOKUP(B134,Input!J:J,Input!AB:AB),IF(_xlpm.Result="","",_xlpm.Result))</f>
        <v/>
      </c>
      <c r="T134" s="13" t="str" cm="1">
        <f t="array" ref="T134">IFERROR(_xlfn.IFS(
   --S134&lt;55,"Battery Defect",
  -- S134&lt;=69,"Battery D",
  --S134&lt;=80,"Battery C",
 --S134&gt;80,""
),"")</f>
        <v/>
      </c>
      <c r="U134" s="13" t="str" cm="1">
        <f t="array" ref="U134:Z134">IFERROR(IF(_xlfn.XLOOKUP(B134,Input!J:J,Input!N:S)=0,"",
          _xlfn.XLOOKUP(B134,Input!J:J,Input!N:S)),"")</f>
        <v/>
      </c>
      <c r="V134" s="13" t="str">
        <v/>
      </c>
      <c r="W134" s="13" t="str">
        <v/>
      </c>
      <c r="X134" s="13" t="str">
        <v/>
      </c>
      <c r="Y134" s="13" t="str">
        <v/>
      </c>
      <c r="Z134" s="13" t="str">
        <v/>
      </c>
      <c r="AA134" t="str">
        <f t="shared" si="8"/>
        <v/>
      </c>
      <c r="AB134" t="str">
        <f>_xlfn.XLOOKUP(B:B,Disk_Pivot!G:G,Disk_Pivot!I:I)</f>
        <v>No</v>
      </c>
      <c r="AC134" t="str">
        <f>_xlfn.XLOOKUP(B134,Disk_Pivot!G:G,Disk_Pivot!N:N)</f>
        <v/>
      </c>
    </row>
    <row r="135" spans="6:29">
      <c r="F135" t="str">
        <f>_xlfn.XLOOKUP(H135,Models!B:B,Models!F:F,"")</f>
        <v/>
      </c>
      <c r="K135">
        <f>_xlfn.XLOOKUP(B135,CPU_Formula!A:A,CPU_Formula!I:I)</f>
        <v>0</v>
      </c>
      <c r="L135" s="13" t="e">
        <f>INDEX(Input!$D$2:$AD$500,
       MATCH(B135, Input!$J$2:$J$500, 0),
       MATCH("Memory Capacity", Input!$D$1:$AD$1, 0))</f>
        <v>#N/A</v>
      </c>
      <c r="M135" s="13" t="e">
        <f>INDEX(Input!$D$2:$AD$500,
       MATCH(B135, Input!$J$2:$J$500, 0),
       MATCH("Memory Type", Input!$D$1:$AD$1, 0))</f>
        <v>#N/A</v>
      </c>
      <c r="N135" s="13" t="e">
        <f t="shared" si="7"/>
        <v>#N/A</v>
      </c>
      <c r="S135" s="13" t="str">
        <f>_xlfn.LET(_xlpm.Result,_xlfn.XLOOKUP(B135,Input!J:J,Input!AB:AB),IF(_xlpm.Result="","",_xlpm.Result))</f>
        <v/>
      </c>
      <c r="T135" s="13" t="str" cm="1">
        <f t="array" ref="T135">IFERROR(_xlfn.IFS(
   --S135&lt;55,"Battery Defect",
  -- S135&lt;=69,"Battery D",
  --S135&lt;=80,"Battery C",
 --S135&gt;80,""
),"")</f>
        <v/>
      </c>
      <c r="U135" s="13" t="str" cm="1">
        <f t="array" ref="U135:Z135">IFERROR(IF(_xlfn.XLOOKUP(B135,Input!J:J,Input!N:S)=0,"",
          _xlfn.XLOOKUP(B135,Input!J:J,Input!N:S)),"")</f>
        <v/>
      </c>
      <c r="V135" s="13" t="str">
        <v/>
      </c>
      <c r="W135" s="13" t="str">
        <v/>
      </c>
      <c r="X135" s="13" t="str">
        <v/>
      </c>
      <c r="Y135" s="13" t="str">
        <v/>
      </c>
      <c r="Z135" s="13" t="str">
        <v/>
      </c>
      <c r="AA135" t="str">
        <f t="shared" si="8"/>
        <v/>
      </c>
      <c r="AB135" t="str">
        <f>_xlfn.XLOOKUP(B:B,Disk_Pivot!G:G,Disk_Pivot!I:I)</f>
        <v>No</v>
      </c>
      <c r="AC135" t="str">
        <f>_xlfn.XLOOKUP(B135,Disk_Pivot!G:G,Disk_Pivot!N:N)</f>
        <v/>
      </c>
    </row>
    <row r="136" spans="6:29">
      <c r="F136" t="str">
        <f>_xlfn.XLOOKUP(H136,Models!B:B,Models!F:F,"")</f>
        <v/>
      </c>
      <c r="K136">
        <f>_xlfn.XLOOKUP(B136,CPU_Formula!A:A,CPU_Formula!I:I)</f>
        <v>0</v>
      </c>
      <c r="L136" s="13" t="e">
        <f>INDEX(Input!$D$2:$AD$500,
       MATCH(B136, Input!$J$2:$J$500, 0),
       MATCH("Memory Capacity", Input!$D$1:$AD$1, 0))</f>
        <v>#N/A</v>
      </c>
      <c r="M136" s="13" t="e">
        <f>INDEX(Input!$D$2:$AD$500,
       MATCH(B136, Input!$J$2:$J$500, 0),
       MATCH("Memory Type", Input!$D$1:$AD$1, 0))</f>
        <v>#N/A</v>
      </c>
      <c r="N136" s="13" t="e">
        <f t="shared" si="7"/>
        <v>#N/A</v>
      </c>
      <c r="S136" s="13" t="str">
        <f>_xlfn.LET(_xlpm.Result,_xlfn.XLOOKUP(B136,Input!J:J,Input!AB:AB),IF(_xlpm.Result="","",_xlpm.Result))</f>
        <v/>
      </c>
      <c r="T136" s="13" t="str" cm="1">
        <f t="array" ref="T136">IFERROR(_xlfn.IFS(
   --S136&lt;55,"Battery Defect",
  -- S136&lt;=69,"Battery D",
  --S136&lt;=80,"Battery C",
 --S136&gt;80,""
),"")</f>
        <v/>
      </c>
      <c r="U136" s="13" t="str" cm="1">
        <f t="array" ref="U136:Z136">IFERROR(IF(_xlfn.XLOOKUP(B136,Input!J:J,Input!N:S)=0,"",
          _xlfn.XLOOKUP(B136,Input!J:J,Input!N:S)),"")</f>
        <v/>
      </c>
      <c r="V136" s="13" t="str">
        <v/>
      </c>
      <c r="W136" s="13" t="str">
        <v/>
      </c>
      <c r="X136" s="13" t="str">
        <v/>
      </c>
      <c r="Y136" s="13" t="str">
        <v/>
      </c>
      <c r="Z136" s="13" t="str">
        <v/>
      </c>
      <c r="AA136" t="str">
        <f t="shared" si="8"/>
        <v/>
      </c>
      <c r="AB136" t="str">
        <f>_xlfn.XLOOKUP(B:B,Disk_Pivot!G:G,Disk_Pivot!I:I)</f>
        <v>No</v>
      </c>
      <c r="AC136" t="str">
        <f>_xlfn.XLOOKUP(B136,Disk_Pivot!G:G,Disk_Pivot!N:N)</f>
        <v/>
      </c>
    </row>
    <row r="137" spans="6:29">
      <c r="F137" t="str">
        <f>_xlfn.XLOOKUP(H137,Models!B:B,Models!F:F,"")</f>
        <v/>
      </c>
      <c r="K137">
        <f>_xlfn.XLOOKUP(B137,CPU_Formula!A:A,CPU_Formula!I:I)</f>
        <v>0</v>
      </c>
      <c r="L137" s="13" t="e">
        <f>INDEX(Input!$D$2:$AD$500,
       MATCH(B137, Input!$J$2:$J$500, 0),
       MATCH("Memory Capacity", Input!$D$1:$AD$1, 0))</f>
        <v>#N/A</v>
      </c>
      <c r="M137" s="13" t="e">
        <f>INDEX(Input!$D$2:$AD$500,
       MATCH(B137, Input!$J$2:$J$500, 0),
       MATCH("Memory Type", Input!$D$1:$AD$1, 0))</f>
        <v>#N/A</v>
      </c>
      <c r="N137" s="13" t="e">
        <f t="shared" si="7"/>
        <v>#N/A</v>
      </c>
      <c r="S137" s="13" t="str">
        <f>_xlfn.LET(_xlpm.Result,_xlfn.XLOOKUP(B137,Input!J:J,Input!AB:AB),IF(_xlpm.Result="","",_xlpm.Result))</f>
        <v/>
      </c>
      <c r="T137" s="13" t="str" cm="1">
        <f t="array" ref="T137">IFERROR(_xlfn.IFS(
   --S137&lt;55,"Battery Defect",
  -- S137&lt;=69,"Battery D",
  --S137&lt;=80,"Battery C",
 --S137&gt;80,""
),"")</f>
        <v/>
      </c>
      <c r="U137" s="13" t="str" cm="1">
        <f t="array" ref="U137:Z137">IFERROR(IF(_xlfn.XLOOKUP(B137,Input!J:J,Input!N:S)=0,"",
          _xlfn.XLOOKUP(B137,Input!J:J,Input!N:S)),"")</f>
        <v/>
      </c>
      <c r="V137" s="13" t="str">
        <v/>
      </c>
      <c r="W137" s="13" t="str">
        <v/>
      </c>
      <c r="X137" s="13" t="str">
        <v/>
      </c>
      <c r="Y137" s="13" t="str">
        <v/>
      </c>
      <c r="Z137" s="13" t="str">
        <v/>
      </c>
      <c r="AA137" t="str">
        <f t="shared" si="8"/>
        <v/>
      </c>
      <c r="AB137" t="str">
        <f>_xlfn.XLOOKUP(B:B,Disk_Pivot!G:G,Disk_Pivot!I:I)</f>
        <v>No</v>
      </c>
      <c r="AC137" t="str">
        <f>_xlfn.XLOOKUP(B137,Disk_Pivot!G:G,Disk_Pivot!N:N)</f>
        <v/>
      </c>
    </row>
    <row r="138" spans="6:29">
      <c r="F138" t="str">
        <f>_xlfn.XLOOKUP(H138,Models!B:B,Models!F:F,"")</f>
        <v/>
      </c>
      <c r="K138">
        <f>_xlfn.XLOOKUP(B138,CPU_Formula!A:A,CPU_Formula!I:I)</f>
        <v>0</v>
      </c>
      <c r="L138" s="13" t="e">
        <f>INDEX(Input!$D$2:$AD$500,
       MATCH(B138, Input!$J$2:$J$500, 0),
       MATCH("Memory Capacity", Input!$D$1:$AD$1, 0))</f>
        <v>#N/A</v>
      </c>
      <c r="M138" s="13" t="e">
        <f>INDEX(Input!$D$2:$AD$500,
       MATCH(B138, Input!$J$2:$J$500, 0),
       MATCH("Memory Type", Input!$D$1:$AD$1, 0))</f>
        <v>#N/A</v>
      </c>
      <c r="N138" s="13" t="e">
        <f t="shared" si="7"/>
        <v>#N/A</v>
      </c>
      <c r="S138" s="13" t="str">
        <f>_xlfn.LET(_xlpm.Result,_xlfn.XLOOKUP(B138,Input!J:J,Input!AB:AB),IF(_xlpm.Result="","",_xlpm.Result))</f>
        <v/>
      </c>
      <c r="T138" s="13" t="str" cm="1">
        <f t="array" ref="T138">IFERROR(_xlfn.IFS(
   --S138&lt;55,"Battery Defect",
  -- S138&lt;=69,"Battery D",
  --S138&lt;=80,"Battery C",
 --S138&gt;80,""
),"")</f>
        <v/>
      </c>
      <c r="U138" s="13" t="str" cm="1">
        <f t="array" ref="U138:Z138">IFERROR(IF(_xlfn.XLOOKUP(B138,Input!J:J,Input!N:S)=0,"",
          _xlfn.XLOOKUP(B138,Input!J:J,Input!N:S)),"")</f>
        <v/>
      </c>
      <c r="V138" s="13" t="str">
        <v/>
      </c>
      <c r="W138" s="13" t="str">
        <v/>
      </c>
      <c r="X138" s="13" t="str">
        <v/>
      </c>
      <c r="Y138" s="13" t="str">
        <v/>
      </c>
      <c r="Z138" s="13" t="str">
        <v/>
      </c>
      <c r="AA138" t="str">
        <f t="shared" si="8"/>
        <v/>
      </c>
      <c r="AB138" t="str">
        <f>_xlfn.XLOOKUP(B:B,Disk_Pivot!G:G,Disk_Pivot!I:I)</f>
        <v>No</v>
      </c>
      <c r="AC138" t="str">
        <f>_xlfn.XLOOKUP(B138,Disk_Pivot!G:G,Disk_Pivot!N:N)</f>
        <v/>
      </c>
    </row>
    <row r="139" spans="6:29">
      <c r="F139" t="str">
        <f>_xlfn.XLOOKUP(H139,Models!B:B,Models!F:F,"")</f>
        <v/>
      </c>
      <c r="K139">
        <f>_xlfn.XLOOKUP(B139,CPU_Formula!A:A,CPU_Formula!I:I)</f>
        <v>0</v>
      </c>
      <c r="L139" s="13" t="e">
        <f>INDEX(Input!$D$2:$AD$500,
       MATCH(B139, Input!$J$2:$J$500, 0),
       MATCH("Memory Capacity", Input!$D$1:$AD$1, 0))</f>
        <v>#N/A</v>
      </c>
      <c r="M139" s="13" t="e">
        <f>INDEX(Input!$D$2:$AD$500,
       MATCH(B139, Input!$J$2:$J$500, 0),
       MATCH("Memory Type", Input!$D$1:$AD$1, 0))</f>
        <v>#N/A</v>
      </c>
      <c r="N139" s="13" t="e">
        <f t="shared" si="7"/>
        <v>#N/A</v>
      </c>
      <c r="S139" s="13" t="str">
        <f>_xlfn.LET(_xlpm.Result,_xlfn.XLOOKUP(B139,Input!J:J,Input!AB:AB),IF(_xlpm.Result="","",_xlpm.Result))</f>
        <v/>
      </c>
      <c r="T139" s="13" t="str" cm="1">
        <f t="array" ref="T139">IFERROR(_xlfn.IFS(
   --S139&lt;55,"Battery Defect",
  -- S139&lt;=69,"Battery D",
  --S139&lt;=80,"Battery C",
 --S139&gt;80,""
),"")</f>
        <v/>
      </c>
      <c r="U139" s="13" t="str" cm="1">
        <f t="array" ref="U139:Z139">IFERROR(IF(_xlfn.XLOOKUP(B139,Input!J:J,Input!N:S)=0,"",
          _xlfn.XLOOKUP(B139,Input!J:J,Input!N:S)),"")</f>
        <v/>
      </c>
      <c r="V139" s="13" t="str">
        <v/>
      </c>
      <c r="W139" s="13" t="str">
        <v/>
      </c>
      <c r="X139" s="13" t="str">
        <v/>
      </c>
      <c r="Y139" s="13" t="str">
        <v/>
      </c>
      <c r="Z139" s="13" t="str">
        <v/>
      </c>
      <c r="AA139" t="str">
        <f t="shared" si="8"/>
        <v/>
      </c>
      <c r="AB139" t="str">
        <f>_xlfn.XLOOKUP(B:B,Disk_Pivot!G:G,Disk_Pivot!I:I)</f>
        <v>No</v>
      </c>
      <c r="AC139" t="str">
        <f>_xlfn.XLOOKUP(B139,Disk_Pivot!G:G,Disk_Pivot!N:N)</f>
        <v/>
      </c>
    </row>
    <row r="140" spans="6:29">
      <c r="F140" t="str">
        <f>_xlfn.XLOOKUP(H140,Models!B:B,Models!F:F,"")</f>
        <v/>
      </c>
      <c r="K140">
        <f>_xlfn.XLOOKUP(B140,CPU_Formula!A:A,CPU_Formula!I:I)</f>
        <v>0</v>
      </c>
      <c r="L140" s="13" t="e">
        <f>INDEX(Input!$D$2:$AD$500,
       MATCH(B140, Input!$J$2:$J$500, 0),
       MATCH("Memory Capacity", Input!$D$1:$AD$1, 0))</f>
        <v>#N/A</v>
      </c>
      <c r="M140" s="13" t="e">
        <f>INDEX(Input!$D$2:$AD$500,
       MATCH(B140, Input!$J$2:$J$500, 0),
       MATCH("Memory Type", Input!$D$1:$AD$1, 0))</f>
        <v>#N/A</v>
      </c>
      <c r="N140" s="13" t="e">
        <f t="shared" si="7"/>
        <v>#N/A</v>
      </c>
      <c r="S140" s="13" t="str">
        <f>_xlfn.LET(_xlpm.Result,_xlfn.XLOOKUP(B140,Input!J:J,Input!AB:AB),IF(_xlpm.Result="","",_xlpm.Result))</f>
        <v/>
      </c>
      <c r="T140" s="13" t="str" cm="1">
        <f t="array" ref="T140">IFERROR(_xlfn.IFS(
   --S140&lt;55,"Battery Defect",
  -- S140&lt;=69,"Battery D",
  --S140&lt;=80,"Battery C",
 --S140&gt;80,""
),"")</f>
        <v/>
      </c>
      <c r="U140" s="13" t="str" cm="1">
        <f t="array" ref="U140:Z140">IFERROR(IF(_xlfn.XLOOKUP(B140,Input!J:J,Input!N:S)=0,"",
          _xlfn.XLOOKUP(B140,Input!J:J,Input!N:S)),"")</f>
        <v/>
      </c>
      <c r="V140" s="13" t="str">
        <v/>
      </c>
      <c r="W140" s="13" t="str">
        <v/>
      </c>
      <c r="X140" s="13" t="str">
        <v/>
      </c>
      <c r="Y140" s="13" t="str">
        <v/>
      </c>
      <c r="Z140" s="13" t="str">
        <v/>
      </c>
      <c r="AA140" t="str">
        <f t="shared" si="8"/>
        <v/>
      </c>
      <c r="AB140" t="str">
        <f>_xlfn.XLOOKUP(B:B,Disk_Pivot!G:G,Disk_Pivot!I:I)</f>
        <v>No</v>
      </c>
      <c r="AC140" t="str">
        <f>_xlfn.XLOOKUP(B140,Disk_Pivot!G:G,Disk_Pivot!N:N)</f>
        <v/>
      </c>
    </row>
    <row r="141" spans="6:29">
      <c r="F141" t="str">
        <f>_xlfn.XLOOKUP(H141,Models!B:B,Models!F:F,"")</f>
        <v/>
      </c>
      <c r="K141">
        <f>_xlfn.XLOOKUP(B141,CPU_Formula!A:A,CPU_Formula!I:I)</f>
        <v>0</v>
      </c>
      <c r="L141" s="13" t="e">
        <f>INDEX(Input!$D$2:$AD$500,
       MATCH(B141, Input!$J$2:$J$500, 0),
       MATCH("Memory Capacity", Input!$D$1:$AD$1, 0))</f>
        <v>#N/A</v>
      </c>
      <c r="M141" s="13" t="e">
        <f>INDEX(Input!$D$2:$AD$500,
       MATCH(B141, Input!$J$2:$J$500, 0),
       MATCH("Memory Type", Input!$D$1:$AD$1, 0))</f>
        <v>#N/A</v>
      </c>
      <c r="N141" s="13" t="e">
        <f t="shared" si="7"/>
        <v>#N/A</v>
      </c>
      <c r="S141" s="13" t="str">
        <f>_xlfn.LET(_xlpm.Result,_xlfn.XLOOKUP(B141,Input!J:J,Input!AB:AB),IF(_xlpm.Result="","",_xlpm.Result))</f>
        <v/>
      </c>
      <c r="T141" s="13" t="str" cm="1">
        <f t="array" ref="T141">IFERROR(_xlfn.IFS(
   --S141&lt;55,"Battery Defect",
  -- S141&lt;=69,"Battery D",
  --S141&lt;=80,"Battery C",
 --S141&gt;80,""
),"")</f>
        <v/>
      </c>
      <c r="U141" s="13" t="str" cm="1">
        <f t="array" ref="U141:Z141">IFERROR(IF(_xlfn.XLOOKUP(B141,Input!J:J,Input!N:S)=0,"",
          _xlfn.XLOOKUP(B141,Input!J:J,Input!N:S)),"")</f>
        <v/>
      </c>
      <c r="V141" s="13" t="str">
        <v/>
      </c>
      <c r="W141" s="13" t="str">
        <v/>
      </c>
      <c r="X141" s="13" t="str">
        <v/>
      </c>
      <c r="Y141" s="13" t="str">
        <v/>
      </c>
      <c r="Z141" s="13" t="str">
        <v/>
      </c>
      <c r="AA141" t="str">
        <f t="shared" si="8"/>
        <v/>
      </c>
      <c r="AB141" t="str">
        <f>_xlfn.XLOOKUP(B:B,Disk_Pivot!G:G,Disk_Pivot!I:I)</f>
        <v>No</v>
      </c>
      <c r="AC141" t="str">
        <f>_xlfn.XLOOKUP(B141,Disk_Pivot!G:G,Disk_Pivot!N:N)</f>
        <v/>
      </c>
    </row>
    <row r="142" spans="6:29">
      <c r="F142" t="str">
        <f>_xlfn.XLOOKUP(H142,Models!B:B,Models!F:F,"")</f>
        <v/>
      </c>
      <c r="K142">
        <f>_xlfn.XLOOKUP(B142,CPU_Formula!A:A,CPU_Formula!I:I)</f>
        <v>0</v>
      </c>
      <c r="L142" s="13" t="e">
        <f>INDEX(Input!$D$2:$AD$500,
       MATCH(B142, Input!$J$2:$J$500, 0),
       MATCH("Memory Capacity", Input!$D$1:$AD$1, 0))</f>
        <v>#N/A</v>
      </c>
      <c r="M142" s="13" t="e">
        <f>INDEX(Input!$D$2:$AD$500,
       MATCH(B142, Input!$J$2:$J$500, 0),
       MATCH("Memory Type", Input!$D$1:$AD$1, 0))</f>
        <v>#N/A</v>
      </c>
      <c r="N142" s="13" t="e">
        <f t="shared" si="7"/>
        <v>#N/A</v>
      </c>
      <c r="S142" s="13" t="str">
        <f>_xlfn.LET(_xlpm.Result,_xlfn.XLOOKUP(B142,Input!J:J,Input!AB:AB),IF(_xlpm.Result="","",_xlpm.Result))</f>
        <v/>
      </c>
      <c r="T142" s="13" t="str" cm="1">
        <f t="array" ref="T142">IFERROR(_xlfn.IFS(
   --S142&lt;55,"Battery Defect",
  -- S142&lt;=69,"Battery D",
  --S142&lt;=80,"Battery C",
 --S142&gt;80,""
),"")</f>
        <v/>
      </c>
      <c r="U142" s="13" t="str" cm="1">
        <f t="array" ref="U142:Z142">IFERROR(IF(_xlfn.XLOOKUP(B142,Input!J:J,Input!N:S)=0,"",
          _xlfn.XLOOKUP(B142,Input!J:J,Input!N:S)),"")</f>
        <v/>
      </c>
      <c r="V142" s="13" t="str">
        <v/>
      </c>
      <c r="W142" s="13" t="str">
        <v/>
      </c>
      <c r="X142" s="13" t="str">
        <v/>
      </c>
      <c r="Y142" s="13" t="str">
        <v/>
      </c>
      <c r="Z142" s="13" t="str">
        <v/>
      </c>
      <c r="AA142" t="str">
        <f t="shared" si="8"/>
        <v/>
      </c>
      <c r="AB142" t="str">
        <f>_xlfn.XLOOKUP(B:B,Disk_Pivot!G:G,Disk_Pivot!I:I)</f>
        <v>No</v>
      </c>
      <c r="AC142" t="str">
        <f>_xlfn.XLOOKUP(B142,Disk_Pivot!G:G,Disk_Pivot!N:N)</f>
        <v/>
      </c>
    </row>
    <row r="143" spans="6:29">
      <c r="F143" t="str">
        <f>_xlfn.XLOOKUP(H143,Models!B:B,Models!F:F,"")</f>
        <v/>
      </c>
      <c r="K143">
        <f>_xlfn.XLOOKUP(B143,CPU_Formula!A:A,CPU_Formula!I:I)</f>
        <v>0</v>
      </c>
      <c r="L143" s="13" t="e">
        <f>INDEX(Input!$D$2:$AD$500,
       MATCH(B143, Input!$J$2:$J$500, 0),
       MATCH("Memory Capacity", Input!$D$1:$AD$1, 0))</f>
        <v>#N/A</v>
      </c>
      <c r="M143" s="13" t="e">
        <f>INDEX(Input!$D$2:$AD$500,
       MATCH(B143, Input!$J$2:$J$500, 0),
       MATCH("Memory Type", Input!$D$1:$AD$1, 0))</f>
        <v>#N/A</v>
      </c>
      <c r="N143" s="13" t="e">
        <f t="shared" si="7"/>
        <v>#N/A</v>
      </c>
      <c r="S143" s="13" t="str">
        <f>_xlfn.LET(_xlpm.Result,_xlfn.XLOOKUP(B143,Input!J:J,Input!AB:AB),IF(_xlpm.Result="","",_xlpm.Result))</f>
        <v/>
      </c>
      <c r="T143" s="13" t="str" cm="1">
        <f t="array" ref="T143">IFERROR(_xlfn.IFS(
   --S143&lt;55,"Battery Defect",
  -- S143&lt;=69,"Battery D",
  --S143&lt;=80,"Battery C",
 --S143&gt;80,""
),"")</f>
        <v/>
      </c>
      <c r="U143" s="13" t="str" cm="1">
        <f t="array" ref="U143:Z143">IFERROR(IF(_xlfn.XLOOKUP(B143,Input!J:J,Input!N:S)=0,"",
          _xlfn.XLOOKUP(B143,Input!J:J,Input!N:S)),"")</f>
        <v/>
      </c>
      <c r="V143" s="13" t="str">
        <v/>
      </c>
      <c r="W143" s="13" t="str">
        <v/>
      </c>
      <c r="X143" s="13" t="str">
        <v/>
      </c>
      <c r="Y143" s="13" t="str">
        <v/>
      </c>
      <c r="Z143" s="13" t="str">
        <v/>
      </c>
      <c r="AA143" t="str">
        <f t="shared" si="8"/>
        <v/>
      </c>
      <c r="AB143" t="str">
        <f>_xlfn.XLOOKUP(B:B,Disk_Pivot!G:G,Disk_Pivot!I:I)</f>
        <v>No</v>
      </c>
      <c r="AC143" t="str">
        <f>_xlfn.XLOOKUP(B143,Disk_Pivot!G:G,Disk_Pivot!N:N)</f>
        <v/>
      </c>
    </row>
    <row r="144" spans="6:29">
      <c r="F144" t="str">
        <f>_xlfn.XLOOKUP(H144,Models!B:B,Models!F:F,"")</f>
        <v/>
      </c>
      <c r="K144">
        <f>_xlfn.XLOOKUP(B144,CPU_Formula!A:A,CPU_Formula!I:I)</f>
        <v>0</v>
      </c>
      <c r="L144" s="13" t="e">
        <f>INDEX(Input!$D$2:$AD$500,
       MATCH(B144, Input!$J$2:$J$500, 0),
       MATCH("Memory Capacity", Input!$D$1:$AD$1, 0))</f>
        <v>#N/A</v>
      </c>
      <c r="M144" s="13" t="e">
        <f>INDEX(Input!$D$2:$AD$500,
       MATCH(B144, Input!$J$2:$J$500, 0),
       MATCH("Memory Type", Input!$D$1:$AD$1, 0))</f>
        <v>#N/A</v>
      </c>
      <c r="N144" s="13" t="e">
        <f t="shared" si="7"/>
        <v>#N/A</v>
      </c>
      <c r="S144" s="13" t="str">
        <f>_xlfn.LET(_xlpm.Result,_xlfn.XLOOKUP(B144,Input!J:J,Input!AB:AB),IF(_xlpm.Result="","",_xlpm.Result))</f>
        <v/>
      </c>
      <c r="T144" s="13" t="str" cm="1">
        <f t="array" ref="T144">IFERROR(_xlfn.IFS(
   --S144&lt;55,"Battery Defect",
  -- S144&lt;=69,"Battery D",
  --S144&lt;=80,"Battery C",
 --S144&gt;80,""
),"")</f>
        <v/>
      </c>
      <c r="U144" s="13" t="str" cm="1">
        <f t="array" ref="U144:Z144">IFERROR(IF(_xlfn.XLOOKUP(B144,Input!J:J,Input!N:S)=0,"",
          _xlfn.XLOOKUP(B144,Input!J:J,Input!N:S)),"")</f>
        <v/>
      </c>
      <c r="V144" s="13" t="str">
        <v/>
      </c>
      <c r="W144" s="13" t="str">
        <v/>
      </c>
      <c r="X144" s="13" t="str">
        <v/>
      </c>
      <c r="Y144" s="13" t="str">
        <v/>
      </c>
      <c r="Z144" s="13" t="str">
        <v/>
      </c>
      <c r="AA144" t="str">
        <f t="shared" si="8"/>
        <v/>
      </c>
      <c r="AB144" t="str">
        <f>_xlfn.XLOOKUP(B:B,Disk_Pivot!G:G,Disk_Pivot!I:I)</f>
        <v>No</v>
      </c>
      <c r="AC144" t="str">
        <f>_xlfn.XLOOKUP(B144,Disk_Pivot!G:G,Disk_Pivot!N:N)</f>
        <v/>
      </c>
    </row>
    <row r="145" spans="6:29">
      <c r="F145" t="str">
        <f>_xlfn.XLOOKUP(H145,Models!B:B,Models!F:F,"")</f>
        <v/>
      </c>
      <c r="K145">
        <f>_xlfn.XLOOKUP(B145,CPU_Formula!A:A,CPU_Formula!I:I)</f>
        <v>0</v>
      </c>
      <c r="L145" s="13" t="e">
        <f>INDEX(Input!$D$2:$AD$500,
       MATCH(B145, Input!$J$2:$J$500, 0),
       MATCH("Memory Capacity", Input!$D$1:$AD$1, 0))</f>
        <v>#N/A</v>
      </c>
      <c r="M145" s="13" t="e">
        <f>INDEX(Input!$D$2:$AD$500,
       MATCH(B145, Input!$J$2:$J$500, 0),
       MATCH("Memory Type", Input!$D$1:$AD$1, 0))</f>
        <v>#N/A</v>
      </c>
      <c r="N145" s="13" t="e">
        <f t="shared" si="7"/>
        <v>#N/A</v>
      </c>
      <c r="S145" s="13" t="str">
        <f>_xlfn.LET(_xlpm.Result,_xlfn.XLOOKUP(B145,Input!J:J,Input!AB:AB),IF(_xlpm.Result="","",_xlpm.Result))</f>
        <v/>
      </c>
      <c r="T145" s="13" t="str" cm="1">
        <f t="array" ref="T145">IFERROR(_xlfn.IFS(
   --S145&lt;55,"Battery Defect",
  -- S145&lt;=69,"Battery D",
  --S145&lt;=80,"Battery C",
 --S145&gt;80,""
),"")</f>
        <v/>
      </c>
      <c r="U145" s="13" t="str" cm="1">
        <f t="array" ref="U145:Z145">IFERROR(IF(_xlfn.XLOOKUP(B145,Input!J:J,Input!N:S)=0,"",
          _xlfn.XLOOKUP(B145,Input!J:J,Input!N:S)),"")</f>
        <v/>
      </c>
      <c r="V145" s="13" t="str">
        <v/>
      </c>
      <c r="W145" s="13" t="str">
        <v/>
      </c>
      <c r="X145" s="13" t="str">
        <v/>
      </c>
      <c r="Y145" s="13" t="str">
        <v/>
      </c>
      <c r="Z145" s="13" t="str">
        <v/>
      </c>
      <c r="AA145" t="str">
        <f t="shared" si="8"/>
        <v/>
      </c>
      <c r="AB145" t="str">
        <f>_xlfn.XLOOKUP(B:B,Disk_Pivot!G:G,Disk_Pivot!I:I)</f>
        <v>No</v>
      </c>
      <c r="AC145" t="str">
        <f>_xlfn.XLOOKUP(B145,Disk_Pivot!G:G,Disk_Pivot!N:N)</f>
        <v/>
      </c>
    </row>
    <row r="146" spans="6:29">
      <c r="F146" t="str">
        <f>_xlfn.XLOOKUP(H146,Models!B:B,Models!F:F,"")</f>
        <v/>
      </c>
      <c r="K146">
        <f>_xlfn.XLOOKUP(B146,CPU_Formula!A:A,CPU_Formula!I:I)</f>
        <v>0</v>
      </c>
      <c r="L146" s="13" t="e">
        <f>INDEX(Input!$D$2:$AD$500,
       MATCH(B146, Input!$J$2:$J$500, 0),
       MATCH("Memory Capacity", Input!$D$1:$AD$1, 0))</f>
        <v>#N/A</v>
      </c>
      <c r="M146" s="13" t="e">
        <f>INDEX(Input!$D$2:$AD$500,
       MATCH(B146, Input!$J$2:$J$500, 0),
       MATCH("Memory Type", Input!$D$1:$AD$1, 0))</f>
        <v>#N/A</v>
      </c>
      <c r="N146" s="13" t="e">
        <f t="shared" si="7"/>
        <v>#N/A</v>
      </c>
      <c r="S146" s="13" t="str">
        <f>_xlfn.LET(_xlpm.Result,_xlfn.XLOOKUP(B146,Input!J:J,Input!AB:AB),IF(_xlpm.Result="","",_xlpm.Result))</f>
        <v/>
      </c>
      <c r="T146" s="13" t="str" cm="1">
        <f t="array" ref="T146">IFERROR(_xlfn.IFS(
   --S146&lt;55,"Battery Defect",
  -- S146&lt;=69,"Battery D",
  --S146&lt;=80,"Battery C",
 --S146&gt;80,""
),"")</f>
        <v/>
      </c>
      <c r="U146" s="13" t="str" cm="1">
        <f t="array" ref="U146:Z146">IFERROR(IF(_xlfn.XLOOKUP(B146,Input!J:J,Input!N:S)=0,"",
          _xlfn.XLOOKUP(B146,Input!J:J,Input!N:S)),"")</f>
        <v/>
      </c>
      <c r="V146" s="13" t="str">
        <v/>
      </c>
      <c r="W146" s="13" t="str">
        <v/>
      </c>
      <c r="X146" s="13" t="str">
        <v/>
      </c>
      <c r="Y146" s="13" t="str">
        <v/>
      </c>
      <c r="Z146" s="13" t="str">
        <v/>
      </c>
      <c r="AA146" t="str">
        <f t="shared" si="8"/>
        <v/>
      </c>
      <c r="AB146" t="str">
        <f>_xlfn.XLOOKUP(B:B,Disk_Pivot!G:G,Disk_Pivot!I:I)</f>
        <v>No</v>
      </c>
      <c r="AC146" t="str">
        <f>_xlfn.XLOOKUP(B146,Disk_Pivot!G:G,Disk_Pivot!N:N)</f>
        <v/>
      </c>
    </row>
    <row r="147" spans="6:29">
      <c r="F147" t="str">
        <f>_xlfn.XLOOKUP(H147,Models!B:B,Models!F:F,"")</f>
        <v/>
      </c>
      <c r="K147">
        <f>_xlfn.XLOOKUP(B147,CPU_Formula!A:A,CPU_Formula!I:I)</f>
        <v>0</v>
      </c>
      <c r="L147" s="13" t="e">
        <f>INDEX(Input!$D$2:$AD$500,
       MATCH(B147, Input!$J$2:$J$500, 0),
       MATCH("Memory Capacity", Input!$D$1:$AD$1, 0))</f>
        <v>#N/A</v>
      </c>
      <c r="M147" s="13" t="e">
        <f>INDEX(Input!$D$2:$AD$500,
       MATCH(B147, Input!$J$2:$J$500, 0),
       MATCH("Memory Type", Input!$D$1:$AD$1, 0))</f>
        <v>#N/A</v>
      </c>
      <c r="N147" s="13" t="e">
        <f t="shared" si="7"/>
        <v>#N/A</v>
      </c>
      <c r="S147" s="13" t="str">
        <f>_xlfn.LET(_xlpm.Result,_xlfn.XLOOKUP(B147,Input!J:J,Input!AB:AB),IF(_xlpm.Result="","",_xlpm.Result))</f>
        <v/>
      </c>
      <c r="T147" s="13" t="str" cm="1">
        <f t="array" ref="T147">IFERROR(_xlfn.IFS(
   --S147&lt;55,"Battery Defect",
  -- S147&lt;=69,"Battery D",
  --S147&lt;=80,"Battery C",
 --S147&gt;80,""
),"")</f>
        <v/>
      </c>
      <c r="U147" s="13" t="str" cm="1">
        <f t="array" ref="U147:Z147">IFERROR(IF(_xlfn.XLOOKUP(B147,Input!J:J,Input!N:S)=0,"",
          _xlfn.XLOOKUP(B147,Input!J:J,Input!N:S)),"")</f>
        <v/>
      </c>
      <c r="V147" s="13" t="str">
        <v/>
      </c>
      <c r="W147" s="13" t="str">
        <v/>
      </c>
      <c r="X147" s="13" t="str">
        <v/>
      </c>
      <c r="Y147" s="13" t="str">
        <v/>
      </c>
      <c r="Z147" s="13" t="str">
        <v/>
      </c>
      <c r="AA147" t="str">
        <f t="shared" si="8"/>
        <v/>
      </c>
      <c r="AB147" t="str">
        <f>_xlfn.XLOOKUP(B:B,Disk_Pivot!G:G,Disk_Pivot!I:I)</f>
        <v>No</v>
      </c>
      <c r="AC147" t="str">
        <f>_xlfn.XLOOKUP(B147,Disk_Pivot!G:G,Disk_Pivot!N:N)</f>
        <v/>
      </c>
    </row>
    <row r="148" spans="6:29">
      <c r="F148" t="str">
        <f>_xlfn.XLOOKUP(H148,Models!B:B,Models!F:F,"")</f>
        <v/>
      </c>
      <c r="K148">
        <f>_xlfn.XLOOKUP(B148,CPU_Formula!A:A,CPU_Formula!I:I)</f>
        <v>0</v>
      </c>
      <c r="L148" s="13" t="e">
        <f>INDEX(Input!$D$2:$AD$500,
       MATCH(B148, Input!$J$2:$J$500, 0),
       MATCH("Memory Capacity", Input!$D$1:$AD$1, 0))</f>
        <v>#N/A</v>
      </c>
      <c r="M148" s="13" t="e">
        <f>INDEX(Input!$D$2:$AD$500,
       MATCH(B148, Input!$J$2:$J$500, 0),
       MATCH("Memory Type", Input!$D$1:$AD$1, 0))</f>
        <v>#N/A</v>
      </c>
      <c r="N148" s="13" t="e">
        <f t="shared" si="7"/>
        <v>#N/A</v>
      </c>
      <c r="S148" s="13" t="str">
        <f>_xlfn.LET(_xlpm.Result,_xlfn.XLOOKUP(B148,Input!J:J,Input!AB:AB),IF(_xlpm.Result="","",_xlpm.Result))</f>
        <v/>
      </c>
      <c r="T148" s="13" t="str" cm="1">
        <f t="array" ref="T148">IFERROR(_xlfn.IFS(
   --S148&lt;55,"Battery Defect",
  -- S148&lt;=69,"Battery D",
  --S148&lt;=80,"Battery C",
 --S148&gt;80,""
),"")</f>
        <v/>
      </c>
      <c r="U148" s="13" t="str" cm="1">
        <f t="array" ref="U148:Z148">IFERROR(IF(_xlfn.XLOOKUP(B148,Input!J:J,Input!N:S)=0,"",
          _xlfn.XLOOKUP(B148,Input!J:J,Input!N:S)),"")</f>
        <v/>
      </c>
      <c r="V148" s="13" t="str">
        <v/>
      </c>
      <c r="W148" s="13" t="str">
        <v/>
      </c>
      <c r="X148" s="13" t="str">
        <v/>
      </c>
      <c r="Y148" s="13" t="str">
        <v/>
      </c>
      <c r="Z148" s="13" t="str">
        <v/>
      </c>
      <c r="AA148" t="str">
        <f t="shared" si="8"/>
        <v/>
      </c>
      <c r="AB148" t="str">
        <f>_xlfn.XLOOKUP(B:B,Disk_Pivot!G:G,Disk_Pivot!I:I)</f>
        <v>No</v>
      </c>
      <c r="AC148" t="str">
        <f>_xlfn.XLOOKUP(B148,Disk_Pivot!G:G,Disk_Pivot!N:N)</f>
        <v/>
      </c>
    </row>
    <row r="149" spans="6:29">
      <c r="F149" t="str">
        <f>_xlfn.XLOOKUP(H149,Models!B:B,Models!F:F,"")</f>
        <v/>
      </c>
      <c r="K149">
        <f>_xlfn.XLOOKUP(B149,CPU_Formula!A:A,CPU_Formula!I:I)</f>
        <v>0</v>
      </c>
      <c r="L149" s="13" t="e">
        <f>INDEX(Input!$D$2:$AD$500,
       MATCH(B149, Input!$J$2:$J$500, 0),
       MATCH("Memory Capacity", Input!$D$1:$AD$1, 0))</f>
        <v>#N/A</v>
      </c>
      <c r="M149" s="13" t="e">
        <f>INDEX(Input!$D$2:$AD$500,
       MATCH(B149, Input!$J$2:$J$500, 0),
       MATCH("Memory Type", Input!$D$1:$AD$1, 0))</f>
        <v>#N/A</v>
      </c>
      <c r="N149" s="13" t="e">
        <f t="shared" si="7"/>
        <v>#N/A</v>
      </c>
      <c r="S149" s="13" t="str">
        <f>_xlfn.LET(_xlpm.Result,_xlfn.XLOOKUP(B149,Input!J:J,Input!AB:AB),IF(_xlpm.Result="","",_xlpm.Result))</f>
        <v/>
      </c>
      <c r="T149" s="13" t="str" cm="1">
        <f t="array" ref="T149">IFERROR(_xlfn.IFS(
   --S149&lt;55,"Battery Defect",
  -- S149&lt;=69,"Battery D",
  --S149&lt;=80,"Battery C",
 --S149&gt;80,""
),"")</f>
        <v/>
      </c>
      <c r="U149" s="13" t="str" cm="1">
        <f t="array" ref="U149:Z149">IFERROR(IF(_xlfn.XLOOKUP(B149,Input!J:J,Input!N:S)=0,"",
          _xlfn.XLOOKUP(B149,Input!J:J,Input!N:S)),"")</f>
        <v/>
      </c>
      <c r="V149" s="13" t="str">
        <v/>
      </c>
      <c r="W149" s="13" t="str">
        <v/>
      </c>
      <c r="X149" s="13" t="str">
        <v/>
      </c>
      <c r="Y149" s="13" t="str">
        <v/>
      </c>
      <c r="Z149" s="13" t="str">
        <v/>
      </c>
      <c r="AA149" t="str">
        <f t="shared" si="8"/>
        <v/>
      </c>
      <c r="AB149" t="str">
        <f>_xlfn.XLOOKUP(B:B,Disk_Pivot!G:G,Disk_Pivot!I:I)</f>
        <v>No</v>
      </c>
      <c r="AC149" t="str">
        <f>_xlfn.XLOOKUP(B149,Disk_Pivot!G:G,Disk_Pivot!N:N)</f>
        <v/>
      </c>
    </row>
    <row r="150" spans="6:29">
      <c r="F150" t="str">
        <f>_xlfn.XLOOKUP(H150,Models!B:B,Models!F:F,"")</f>
        <v/>
      </c>
      <c r="K150">
        <f>_xlfn.XLOOKUP(B150,CPU_Formula!A:A,CPU_Formula!I:I)</f>
        <v>0</v>
      </c>
      <c r="L150" s="13" t="e">
        <f>INDEX(Input!$D$2:$AD$500,
       MATCH(B150, Input!$J$2:$J$500, 0),
       MATCH("Memory Capacity", Input!$D$1:$AD$1, 0))</f>
        <v>#N/A</v>
      </c>
      <c r="M150" s="13" t="e">
        <f>INDEX(Input!$D$2:$AD$500,
       MATCH(B150, Input!$J$2:$J$500, 0),
       MATCH("Memory Type", Input!$D$1:$AD$1, 0))</f>
        <v>#N/A</v>
      </c>
      <c r="N150" s="13" t="e">
        <f t="shared" si="7"/>
        <v>#N/A</v>
      </c>
      <c r="S150" s="13" t="str">
        <f>_xlfn.LET(_xlpm.Result,_xlfn.XLOOKUP(B150,Input!J:J,Input!AB:AB),IF(_xlpm.Result="","",_xlpm.Result))</f>
        <v/>
      </c>
      <c r="T150" s="13" t="str" cm="1">
        <f t="array" ref="T150">IFERROR(_xlfn.IFS(
   --S150&lt;55,"Battery Defect",
  -- S150&lt;=69,"Battery D",
  --S150&lt;=80,"Battery C",
 --S150&gt;80,""
),"")</f>
        <v/>
      </c>
      <c r="U150" s="13" t="str" cm="1">
        <f t="array" ref="U150:Z150">IFERROR(IF(_xlfn.XLOOKUP(B150,Input!J:J,Input!N:S)=0,"",
          _xlfn.XLOOKUP(B150,Input!J:J,Input!N:S)),"")</f>
        <v/>
      </c>
      <c r="V150" s="13" t="str">
        <v/>
      </c>
      <c r="W150" s="13" t="str">
        <v/>
      </c>
      <c r="X150" s="13" t="str">
        <v/>
      </c>
      <c r="Y150" s="13" t="str">
        <v/>
      </c>
      <c r="Z150" s="13" t="str">
        <v/>
      </c>
      <c r="AA150" t="str">
        <f t="shared" si="8"/>
        <v/>
      </c>
      <c r="AB150" t="str">
        <f>_xlfn.XLOOKUP(B:B,Disk_Pivot!G:G,Disk_Pivot!I:I)</f>
        <v>No</v>
      </c>
      <c r="AC150" t="str">
        <f>_xlfn.XLOOKUP(B150,Disk_Pivot!G:G,Disk_Pivot!N:N)</f>
        <v/>
      </c>
    </row>
    <row r="151" spans="6:29">
      <c r="F151" t="str">
        <f>_xlfn.XLOOKUP(H151,Models!B:B,Models!F:F,"")</f>
        <v/>
      </c>
      <c r="K151">
        <f>_xlfn.XLOOKUP(B151,CPU_Formula!A:A,CPU_Formula!I:I)</f>
        <v>0</v>
      </c>
      <c r="L151" s="13" t="e">
        <f>INDEX(Input!$D$2:$AD$500,
       MATCH(B151, Input!$J$2:$J$500, 0),
       MATCH("Memory Capacity", Input!$D$1:$AD$1, 0))</f>
        <v>#N/A</v>
      </c>
      <c r="M151" s="13" t="e">
        <f>INDEX(Input!$D$2:$AD$500,
       MATCH(B151, Input!$J$2:$J$500, 0),
       MATCH("Memory Type", Input!$D$1:$AD$1, 0))</f>
        <v>#N/A</v>
      </c>
      <c r="N151" s="13" t="e">
        <f t="shared" si="7"/>
        <v>#N/A</v>
      </c>
      <c r="S151" s="13" t="str">
        <f>_xlfn.LET(_xlpm.Result,_xlfn.XLOOKUP(B151,Input!J:J,Input!AB:AB),IF(_xlpm.Result="","",_xlpm.Result))</f>
        <v/>
      </c>
      <c r="T151" s="13" t="str" cm="1">
        <f t="array" ref="T151">IFERROR(_xlfn.IFS(
   --S151&lt;55,"Battery Defect",
  -- S151&lt;=69,"Battery D",
  --S151&lt;=80,"Battery C",
 --S151&gt;80,""
),"")</f>
        <v/>
      </c>
      <c r="U151" s="13" t="str" cm="1">
        <f t="array" ref="U151:Z151">IFERROR(IF(_xlfn.XLOOKUP(B151,Input!J:J,Input!N:S)=0,"",
          _xlfn.XLOOKUP(B151,Input!J:J,Input!N:S)),"")</f>
        <v/>
      </c>
      <c r="V151" s="13" t="str">
        <v/>
      </c>
      <c r="W151" s="13" t="str">
        <v/>
      </c>
      <c r="X151" s="13" t="str">
        <v/>
      </c>
      <c r="Y151" s="13" t="str">
        <v/>
      </c>
      <c r="Z151" s="13" t="str">
        <v/>
      </c>
      <c r="AA151" t="str">
        <f t="shared" si="8"/>
        <v/>
      </c>
      <c r="AB151" t="str">
        <f>_xlfn.XLOOKUP(B:B,Disk_Pivot!G:G,Disk_Pivot!I:I)</f>
        <v>No</v>
      </c>
      <c r="AC151" t="str">
        <f>_xlfn.XLOOKUP(B151,Disk_Pivot!G:G,Disk_Pivot!N:N)</f>
        <v/>
      </c>
    </row>
    <row r="152" spans="6:29">
      <c r="F152" t="str">
        <f>_xlfn.XLOOKUP(H152,Models!B:B,Models!F:F,"")</f>
        <v/>
      </c>
      <c r="K152">
        <f>_xlfn.XLOOKUP(B152,CPU_Formula!A:A,CPU_Formula!I:I)</f>
        <v>0</v>
      </c>
      <c r="L152" s="13" t="e">
        <f>INDEX(Input!$D$2:$AD$500,
       MATCH(B152, Input!$J$2:$J$500, 0),
       MATCH("Memory Capacity", Input!$D$1:$AD$1, 0))</f>
        <v>#N/A</v>
      </c>
      <c r="M152" s="13" t="e">
        <f>INDEX(Input!$D$2:$AD$500,
       MATCH(B152, Input!$J$2:$J$500, 0),
       MATCH("Memory Type", Input!$D$1:$AD$1, 0))</f>
        <v>#N/A</v>
      </c>
      <c r="N152" s="13" t="e">
        <f t="shared" si="7"/>
        <v>#N/A</v>
      </c>
      <c r="S152" s="13" t="str">
        <f>_xlfn.LET(_xlpm.Result,_xlfn.XLOOKUP(B152,Input!J:J,Input!AB:AB),IF(_xlpm.Result="","",_xlpm.Result))</f>
        <v/>
      </c>
      <c r="T152" s="13" t="str" cm="1">
        <f t="array" ref="T152">IFERROR(_xlfn.IFS(
   --S152&lt;55,"Battery Defect",
  -- S152&lt;=69,"Battery D",
  --S152&lt;=80,"Battery C",
 --S152&gt;80,""
),"")</f>
        <v/>
      </c>
      <c r="U152" s="13" t="str" cm="1">
        <f t="array" ref="U152:Z152">IFERROR(IF(_xlfn.XLOOKUP(B152,Input!J:J,Input!N:S)=0,"",
          _xlfn.XLOOKUP(B152,Input!J:J,Input!N:S)),"")</f>
        <v/>
      </c>
      <c r="V152" s="13" t="str">
        <v/>
      </c>
      <c r="W152" s="13" t="str">
        <v/>
      </c>
      <c r="X152" s="13" t="str">
        <v/>
      </c>
      <c r="Y152" s="13" t="str">
        <v/>
      </c>
      <c r="Z152" s="13" t="str">
        <v/>
      </c>
      <c r="AA152" t="str">
        <f t="shared" si="8"/>
        <v/>
      </c>
      <c r="AB152" t="str">
        <f>_xlfn.XLOOKUP(B:B,Disk_Pivot!G:G,Disk_Pivot!I:I)</f>
        <v>No</v>
      </c>
      <c r="AC152" t="str">
        <f>_xlfn.XLOOKUP(B152,Disk_Pivot!G:G,Disk_Pivot!N:N)</f>
        <v/>
      </c>
    </row>
    <row r="153" spans="6:29">
      <c r="F153" t="str">
        <f>_xlfn.XLOOKUP(H153,Models!B:B,Models!F:F,"")</f>
        <v/>
      </c>
      <c r="K153">
        <f>_xlfn.XLOOKUP(B153,CPU_Formula!A:A,CPU_Formula!I:I)</f>
        <v>0</v>
      </c>
      <c r="L153" s="13" t="e">
        <f>INDEX(Input!$D$2:$AD$500,
       MATCH(B153, Input!$J$2:$J$500, 0),
       MATCH("Memory Capacity", Input!$D$1:$AD$1, 0))</f>
        <v>#N/A</v>
      </c>
      <c r="M153" s="13" t="e">
        <f>INDEX(Input!$D$2:$AD$500,
       MATCH(B153, Input!$J$2:$J$500, 0),
       MATCH("Memory Type", Input!$D$1:$AD$1, 0))</f>
        <v>#N/A</v>
      </c>
      <c r="N153" s="13" t="e">
        <f t="shared" si="7"/>
        <v>#N/A</v>
      </c>
      <c r="S153" s="13" t="str">
        <f>_xlfn.LET(_xlpm.Result,_xlfn.XLOOKUP(B153,Input!J:J,Input!AB:AB),IF(_xlpm.Result="","",_xlpm.Result))</f>
        <v/>
      </c>
      <c r="T153" s="13" t="str" cm="1">
        <f t="array" ref="T153">IFERROR(_xlfn.IFS(
   --S153&lt;55,"Battery Defect",
  -- S153&lt;=69,"Battery D",
  --S153&lt;=80,"Battery C",
 --S153&gt;80,""
),"")</f>
        <v/>
      </c>
      <c r="U153" s="13" t="str" cm="1">
        <f t="array" ref="U153:Z153">IFERROR(IF(_xlfn.XLOOKUP(B153,Input!J:J,Input!N:S)=0,"",
          _xlfn.XLOOKUP(B153,Input!J:J,Input!N:S)),"")</f>
        <v/>
      </c>
      <c r="V153" s="13" t="str">
        <v/>
      </c>
      <c r="W153" s="13" t="str">
        <v/>
      </c>
      <c r="X153" s="13" t="str">
        <v/>
      </c>
      <c r="Y153" s="13" t="str">
        <v/>
      </c>
      <c r="Z153" s="13" t="str">
        <v/>
      </c>
      <c r="AA153" t="str">
        <f t="shared" si="8"/>
        <v/>
      </c>
      <c r="AB153" t="str">
        <f>_xlfn.XLOOKUP(B:B,Disk_Pivot!G:G,Disk_Pivot!I:I)</f>
        <v>No</v>
      </c>
      <c r="AC153" t="str">
        <f>_xlfn.XLOOKUP(B153,Disk_Pivot!G:G,Disk_Pivot!N:N)</f>
        <v/>
      </c>
    </row>
    <row r="154" spans="6:29">
      <c r="F154" t="str">
        <f>_xlfn.XLOOKUP(H154,Models!B:B,Models!F:F,"")</f>
        <v/>
      </c>
      <c r="K154">
        <f>_xlfn.XLOOKUP(B154,CPU_Formula!A:A,CPU_Formula!I:I)</f>
        <v>0</v>
      </c>
      <c r="L154" s="13" t="e">
        <f>INDEX(Input!$D$2:$AD$500,
       MATCH(B154, Input!$J$2:$J$500, 0),
       MATCH("Memory Capacity", Input!$D$1:$AD$1, 0))</f>
        <v>#N/A</v>
      </c>
      <c r="M154" s="13" t="e">
        <f>INDEX(Input!$D$2:$AD$500,
       MATCH(B154, Input!$J$2:$J$500, 0),
       MATCH("Memory Type", Input!$D$1:$AD$1, 0))</f>
        <v>#N/A</v>
      </c>
      <c r="N154" s="13" t="e">
        <f t="shared" si="7"/>
        <v>#N/A</v>
      </c>
      <c r="S154" s="13" t="str">
        <f>_xlfn.LET(_xlpm.Result,_xlfn.XLOOKUP(B154,Input!J:J,Input!AB:AB),IF(_xlpm.Result="","",_xlpm.Result))</f>
        <v/>
      </c>
      <c r="T154" s="13" t="str" cm="1">
        <f t="array" ref="T154">IFERROR(_xlfn.IFS(
   --S154&lt;55,"Battery Defect",
  -- S154&lt;=69,"Battery D",
  --S154&lt;=80,"Battery C",
 --S154&gt;80,""
),"")</f>
        <v/>
      </c>
      <c r="U154" s="13" t="str" cm="1">
        <f t="array" ref="U154:Z154">IFERROR(IF(_xlfn.XLOOKUP(B154,Input!J:J,Input!N:S)=0,"",
          _xlfn.XLOOKUP(B154,Input!J:J,Input!N:S)),"")</f>
        <v/>
      </c>
      <c r="V154" s="13" t="str">
        <v/>
      </c>
      <c r="W154" s="13" t="str">
        <v/>
      </c>
      <c r="X154" s="13" t="str">
        <v/>
      </c>
      <c r="Y154" s="13" t="str">
        <v/>
      </c>
      <c r="Z154" s="13" t="str">
        <v/>
      </c>
      <c r="AA154" t="str">
        <f t="shared" si="8"/>
        <v/>
      </c>
      <c r="AB154" t="str">
        <f>_xlfn.XLOOKUP(B:B,Disk_Pivot!G:G,Disk_Pivot!I:I)</f>
        <v>No</v>
      </c>
      <c r="AC154" t="str">
        <f>_xlfn.XLOOKUP(B154,Disk_Pivot!G:G,Disk_Pivot!N:N)</f>
        <v/>
      </c>
    </row>
    <row r="155" spans="6:29">
      <c r="F155" t="str">
        <f>_xlfn.XLOOKUP(H155,Models!B:B,Models!F:F,"")</f>
        <v/>
      </c>
      <c r="K155">
        <f>_xlfn.XLOOKUP(B155,CPU_Formula!A:A,CPU_Formula!I:I)</f>
        <v>0</v>
      </c>
      <c r="L155" s="13" t="e">
        <f>INDEX(Input!$D$2:$AD$500,
       MATCH(B155, Input!$J$2:$J$500, 0),
       MATCH("Memory Capacity", Input!$D$1:$AD$1, 0))</f>
        <v>#N/A</v>
      </c>
      <c r="M155" s="13" t="e">
        <f>INDEX(Input!$D$2:$AD$500,
       MATCH(B155, Input!$J$2:$J$500, 0),
       MATCH("Memory Type", Input!$D$1:$AD$1, 0))</f>
        <v>#N/A</v>
      </c>
      <c r="N155" s="13" t="e">
        <f t="shared" si="7"/>
        <v>#N/A</v>
      </c>
      <c r="S155" s="13" t="str">
        <f>_xlfn.LET(_xlpm.Result,_xlfn.XLOOKUP(B155,Input!J:J,Input!AB:AB),IF(_xlpm.Result="","",_xlpm.Result))</f>
        <v/>
      </c>
      <c r="T155" s="13" t="str" cm="1">
        <f t="array" ref="T155">IFERROR(_xlfn.IFS(
   --S155&lt;55,"Battery Defect",
  -- S155&lt;=69,"Battery D",
  --S155&lt;=80,"Battery C",
 --S155&gt;80,""
),"")</f>
        <v/>
      </c>
      <c r="U155" s="13" t="str" cm="1">
        <f t="array" ref="U155:Z155">IFERROR(IF(_xlfn.XLOOKUP(B155,Input!J:J,Input!N:S)=0,"",
          _xlfn.XLOOKUP(B155,Input!J:J,Input!N:S)),"")</f>
        <v/>
      </c>
      <c r="V155" s="13" t="str">
        <v/>
      </c>
      <c r="W155" s="13" t="str">
        <v/>
      </c>
      <c r="X155" s="13" t="str">
        <v/>
      </c>
      <c r="Y155" s="13" t="str">
        <v/>
      </c>
      <c r="Z155" s="13" t="str">
        <v/>
      </c>
      <c r="AA155" t="str">
        <f t="shared" si="8"/>
        <v/>
      </c>
      <c r="AB155" t="str">
        <f>_xlfn.XLOOKUP(B:B,Disk_Pivot!G:G,Disk_Pivot!I:I)</f>
        <v>No</v>
      </c>
      <c r="AC155" t="str">
        <f>_xlfn.XLOOKUP(B155,Disk_Pivot!G:G,Disk_Pivot!N:N)</f>
        <v/>
      </c>
    </row>
    <row r="156" spans="6:29">
      <c r="F156" t="str">
        <f>_xlfn.XLOOKUP(H156,Models!B:B,Models!F:F,"")</f>
        <v/>
      </c>
      <c r="K156">
        <f>_xlfn.XLOOKUP(B156,CPU_Formula!A:A,CPU_Formula!I:I)</f>
        <v>0</v>
      </c>
      <c r="L156" s="13" t="e">
        <f>INDEX(Input!$D$2:$AD$500,
       MATCH(B156, Input!$J$2:$J$500, 0),
       MATCH("Memory Capacity", Input!$D$1:$AD$1, 0))</f>
        <v>#N/A</v>
      </c>
      <c r="M156" s="13" t="e">
        <f>INDEX(Input!$D$2:$AD$500,
       MATCH(B156, Input!$J$2:$J$500, 0),
       MATCH("Memory Type", Input!$D$1:$AD$1, 0))</f>
        <v>#N/A</v>
      </c>
      <c r="N156" s="13" t="e">
        <f t="shared" si="7"/>
        <v>#N/A</v>
      </c>
      <c r="S156" s="13" t="str">
        <f>_xlfn.LET(_xlpm.Result,_xlfn.XLOOKUP(B156,Input!J:J,Input!AB:AB),IF(_xlpm.Result="","",_xlpm.Result))</f>
        <v/>
      </c>
      <c r="T156" s="13" t="str" cm="1">
        <f t="array" ref="T156">IFERROR(_xlfn.IFS(
   --S156&lt;55,"Battery Defect",
  -- S156&lt;=69,"Battery D",
  --S156&lt;=80,"Battery C",
 --S156&gt;80,""
),"")</f>
        <v/>
      </c>
      <c r="U156" s="13" t="str" cm="1">
        <f t="array" ref="U156:Z156">IFERROR(IF(_xlfn.XLOOKUP(B156,Input!J:J,Input!N:S)=0,"",
          _xlfn.XLOOKUP(B156,Input!J:J,Input!N:S)),"")</f>
        <v/>
      </c>
      <c r="V156" s="13" t="str">
        <v/>
      </c>
      <c r="W156" s="13" t="str">
        <v/>
      </c>
      <c r="X156" s="13" t="str">
        <v/>
      </c>
      <c r="Y156" s="13" t="str">
        <v/>
      </c>
      <c r="Z156" s="13" t="str">
        <v/>
      </c>
      <c r="AA156" t="str">
        <f t="shared" si="8"/>
        <v/>
      </c>
      <c r="AB156" t="str">
        <f>_xlfn.XLOOKUP(B:B,Disk_Pivot!G:G,Disk_Pivot!I:I)</f>
        <v>No</v>
      </c>
      <c r="AC156" t="str">
        <f>_xlfn.XLOOKUP(B156,Disk_Pivot!G:G,Disk_Pivot!N:N)</f>
        <v/>
      </c>
    </row>
    <row r="157" spans="6:29">
      <c r="F157" t="str">
        <f>_xlfn.XLOOKUP(H157,Models!B:B,Models!F:F,"")</f>
        <v/>
      </c>
      <c r="K157">
        <f>_xlfn.XLOOKUP(B157,CPU_Formula!A:A,CPU_Formula!I:I)</f>
        <v>0</v>
      </c>
      <c r="L157" s="13" t="e">
        <f>INDEX(Input!$D$2:$AD$500,
       MATCH(B157, Input!$J$2:$J$500, 0),
       MATCH("Memory Capacity", Input!$D$1:$AD$1, 0))</f>
        <v>#N/A</v>
      </c>
      <c r="M157" s="13" t="e">
        <f>INDEX(Input!$D$2:$AD$500,
       MATCH(B157, Input!$J$2:$J$500, 0),
       MATCH("Memory Type", Input!$D$1:$AD$1, 0))</f>
        <v>#N/A</v>
      </c>
      <c r="N157" s="13" t="e">
        <f t="shared" si="7"/>
        <v>#N/A</v>
      </c>
      <c r="S157" s="13" t="str">
        <f>_xlfn.LET(_xlpm.Result,_xlfn.XLOOKUP(B157,Input!J:J,Input!AB:AB),IF(_xlpm.Result="","",_xlpm.Result))</f>
        <v/>
      </c>
      <c r="T157" s="13" t="str" cm="1">
        <f t="array" ref="T157">IFERROR(_xlfn.IFS(
   --S157&lt;55,"Battery Defect",
  -- S157&lt;=69,"Battery D",
  --S157&lt;=80,"Battery C",
 --S157&gt;80,""
),"")</f>
        <v/>
      </c>
      <c r="U157" s="13" t="str" cm="1">
        <f t="array" ref="U157:Z157">IFERROR(IF(_xlfn.XLOOKUP(B157,Input!J:J,Input!N:S)=0,"",
          _xlfn.XLOOKUP(B157,Input!J:J,Input!N:S)),"")</f>
        <v/>
      </c>
      <c r="V157" s="13" t="str">
        <v/>
      </c>
      <c r="W157" s="13" t="str">
        <v/>
      </c>
      <c r="X157" s="13" t="str">
        <v/>
      </c>
      <c r="Y157" s="13" t="str">
        <v/>
      </c>
      <c r="Z157" s="13" t="str">
        <v/>
      </c>
      <c r="AA157" t="str">
        <f t="shared" si="8"/>
        <v/>
      </c>
      <c r="AB157" t="str">
        <f>_xlfn.XLOOKUP(B:B,Disk_Pivot!G:G,Disk_Pivot!I:I)</f>
        <v>No</v>
      </c>
      <c r="AC157" t="str">
        <f>_xlfn.XLOOKUP(B157,Disk_Pivot!G:G,Disk_Pivot!N:N)</f>
        <v/>
      </c>
    </row>
    <row r="158" spans="6:29">
      <c r="F158" t="str">
        <f>_xlfn.XLOOKUP(H158,Models!B:B,Models!F:F,"")</f>
        <v/>
      </c>
      <c r="K158">
        <f>_xlfn.XLOOKUP(B158,CPU_Formula!A:A,CPU_Formula!I:I)</f>
        <v>0</v>
      </c>
      <c r="L158" s="13" t="e">
        <f>INDEX(Input!$D$2:$AD$500,
       MATCH(B158, Input!$J$2:$J$500, 0),
       MATCH("Memory Capacity", Input!$D$1:$AD$1, 0))</f>
        <v>#N/A</v>
      </c>
      <c r="M158" s="13" t="e">
        <f>INDEX(Input!$D$2:$AD$500,
       MATCH(B158, Input!$J$2:$J$500, 0),
       MATCH("Memory Type", Input!$D$1:$AD$1, 0))</f>
        <v>#N/A</v>
      </c>
      <c r="N158" s="13" t="e">
        <f t="shared" si="7"/>
        <v>#N/A</v>
      </c>
      <c r="S158" s="13" t="str">
        <f>_xlfn.LET(_xlpm.Result,_xlfn.XLOOKUP(B158,Input!J:J,Input!AB:AB),IF(_xlpm.Result="","",_xlpm.Result))</f>
        <v/>
      </c>
      <c r="T158" s="13" t="str" cm="1">
        <f t="array" ref="T158">IFERROR(_xlfn.IFS(
   --S158&lt;55,"Battery Defect",
  -- S158&lt;=69,"Battery D",
  --S158&lt;=80,"Battery C",
 --S158&gt;80,""
),"")</f>
        <v/>
      </c>
      <c r="U158" s="13" t="str" cm="1">
        <f t="array" ref="U158:Z158">IFERROR(IF(_xlfn.XLOOKUP(B158,Input!J:J,Input!N:S)=0,"",
          _xlfn.XLOOKUP(B158,Input!J:J,Input!N:S)),"")</f>
        <v/>
      </c>
      <c r="V158" s="13" t="str">
        <v/>
      </c>
      <c r="W158" s="13" t="str">
        <v/>
      </c>
      <c r="X158" s="13" t="str">
        <v/>
      </c>
      <c r="Y158" s="13" t="str">
        <v/>
      </c>
      <c r="Z158" s="13" t="str">
        <v/>
      </c>
      <c r="AA158" t="str">
        <f t="shared" si="8"/>
        <v/>
      </c>
      <c r="AB158" t="str">
        <f>_xlfn.XLOOKUP(B:B,Disk_Pivot!G:G,Disk_Pivot!I:I)</f>
        <v>No</v>
      </c>
      <c r="AC158" t="str">
        <f>_xlfn.XLOOKUP(B158,Disk_Pivot!G:G,Disk_Pivot!N:N)</f>
        <v/>
      </c>
    </row>
    <row r="159" spans="6:29">
      <c r="F159" t="str">
        <f>_xlfn.XLOOKUP(H159,Models!B:B,Models!F:F,"")</f>
        <v/>
      </c>
      <c r="K159">
        <f>_xlfn.XLOOKUP(B159,CPU_Formula!A:A,CPU_Formula!I:I)</f>
        <v>0</v>
      </c>
      <c r="L159" s="13" t="e">
        <f>INDEX(Input!$D$2:$AD$500,
       MATCH(B159, Input!$J$2:$J$500, 0),
       MATCH("Memory Capacity", Input!$D$1:$AD$1, 0))</f>
        <v>#N/A</v>
      </c>
      <c r="M159" s="13" t="e">
        <f>INDEX(Input!$D$2:$AD$500,
       MATCH(B159, Input!$J$2:$J$500, 0),
       MATCH("Memory Type", Input!$D$1:$AD$1, 0))</f>
        <v>#N/A</v>
      </c>
      <c r="N159" s="13" t="e">
        <f t="shared" si="7"/>
        <v>#N/A</v>
      </c>
      <c r="S159" s="13" t="str">
        <f>_xlfn.LET(_xlpm.Result,_xlfn.XLOOKUP(B159,Input!J:J,Input!AB:AB),IF(_xlpm.Result="","",_xlpm.Result))</f>
        <v/>
      </c>
      <c r="T159" s="13" t="str" cm="1">
        <f t="array" ref="T159">IFERROR(_xlfn.IFS(
   --S159&lt;55,"Battery Defect",
  -- S159&lt;=69,"Battery D",
  --S159&lt;=80,"Battery C",
 --S159&gt;80,""
),"")</f>
        <v/>
      </c>
      <c r="U159" s="13" t="str" cm="1">
        <f t="array" ref="U159:Z159">IFERROR(IF(_xlfn.XLOOKUP(B159,Input!J:J,Input!N:S)=0,"",
          _xlfn.XLOOKUP(B159,Input!J:J,Input!N:S)),"")</f>
        <v/>
      </c>
      <c r="V159" s="13" t="str">
        <v/>
      </c>
      <c r="W159" s="13" t="str">
        <v/>
      </c>
      <c r="X159" s="13" t="str">
        <v/>
      </c>
      <c r="Y159" s="13" t="str">
        <v/>
      </c>
      <c r="Z159" s="13" t="str">
        <v/>
      </c>
      <c r="AA159" t="str">
        <f t="shared" si="8"/>
        <v/>
      </c>
      <c r="AB159" t="str">
        <f>_xlfn.XLOOKUP(B:B,Disk_Pivot!G:G,Disk_Pivot!I:I)</f>
        <v>No</v>
      </c>
      <c r="AC159" t="str">
        <f>_xlfn.XLOOKUP(B159,Disk_Pivot!G:G,Disk_Pivot!N:N)</f>
        <v/>
      </c>
    </row>
    <row r="160" spans="6:29">
      <c r="F160" t="str">
        <f>_xlfn.XLOOKUP(H160,Models!B:B,Models!F:F,"")</f>
        <v/>
      </c>
      <c r="K160">
        <f>_xlfn.XLOOKUP(B160,CPU_Formula!A:A,CPU_Formula!I:I)</f>
        <v>0</v>
      </c>
      <c r="L160" s="13" t="e">
        <f>INDEX(Input!$D$2:$AD$500,
       MATCH(B160, Input!$J$2:$J$500, 0),
       MATCH("Memory Capacity", Input!$D$1:$AD$1, 0))</f>
        <v>#N/A</v>
      </c>
      <c r="M160" s="13" t="e">
        <f>INDEX(Input!$D$2:$AD$500,
       MATCH(B160, Input!$J$2:$J$500, 0),
       MATCH("Memory Type", Input!$D$1:$AD$1, 0))</f>
        <v>#N/A</v>
      </c>
      <c r="N160" s="13" t="e">
        <f t="shared" si="7"/>
        <v>#N/A</v>
      </c>
      <c r="S160" s="13" t="str">
        <f>_xlfn.LET(_xlpm.Result,_xlfn.XLOOKUP(B160,Input!J:J,Input!AB:AB),IF(_xlpm.Result="","",_xlpm.Result))</f>
        <v/>
      </c>
      <c r="T160" s="13" t="str" cm="1">
        <f t="array" ref="T160">IFERROR(_xlfn.IFS(
   --S160&lt;55,"Battery Defect",
  -- S160&lt;=69,"Battery D",
  --S160&lt;=80,"Battery C",
 --S160&gt;80,""
),"")</f>
        <v/>
      </c>
      <c r="U160" s="13" t="str" cm="1">
        <f t="array" ref="U160:Z160">IFERROR(IF(_xlfn.XLOOKUP(B160,Input!J:J,Input!N:S)=0,"",
          _xlfn.XLOOKUP(B160,Input!J:J,Input!N:S)),"")</f>
        <v/>
      </c>
      <c r="V160" s="13" t="str">
        <v/>
      </c>
      <c r="W160" s="13" t="str">
        <v/>
      </c>
      <c r="X160" s="13" t="str">
        <v/>
      </c>
      <c r="Y160" s="13" t="str">
        <v/>
      </c>
      <c r="Z160" s="13" t="str">
        <v/>
      </c>
      <c r="AA160" t="str">
        <f t="shared" si="8"/>
        <v/>
      </c>
      <c r="AB160" t="str">
        <f>_xlfn.XLOOKUP(B:B,Disk_Pivot!G:G,Disk_Pivot!I:I)</f>
        <v>No</v>
      </c>
      <c r="AC160" t="str">
        <f>_xlfn.XLOOKUP(B160,Disk_Pivot!G:G,Disk_Pivot!N:N)</f>
        <v/>
      </c>
    </row>
    <row r="161" spans="6:29">
      <c r="F161" t="str">
        <f>_xlfn.XLOOKUP(H161,Models!B:B,Models!F:F,"")</f>
        <v/>
      </c>
      <c r="K161">
        <f>_xlfn.XLOOKUP(B161,CPU_Formula!A:A,CPU_Formula!I:I)</f>
        <v>0</v>
      </c>
      <c r="L161" s="13" t="e">
        <f>INDEX(Input!$D$2:$AD$500,
       MATCH(B161, Input!$J$2:$J$500, 0),
       MATCH("Memory Capacity", Input!$D$1:$AD$1, 0))</f>
        <v>#N/A</v>
      </c>
      <c r="M161" s="13" t="e">
        <f>INDEX(Input!$D$2:$AD$500,
       MATCH(B161, Input!$J$2:$J$500, 0),
       MATCH("Memory Type", Input!$D$1:$AD$1, 0))</f>
        <v>#N/A</v>
      </c>
      <c r="N161" s="13" t="e">
        <f t="shared" si="7"/>
        <v>#N/A</v>
      </c>
      <c r="S161" s="13" t="str">
        <f>_xlfn.LET(_xlpm.Result,_xlfn.XLOOKUP(B161,Input!J:J,Input!AB:AB),IF(_xlpm.Result="","",_xlpm.Result))</f>
        <v/>
      </c>
      <c r="T161" s="13" t="str" cm="1">
        <f t="array" ref="T161">IFERROR(_xlfn.IFS(
   --S161&lt;55,"Battery Defect",
  -- S161&lt;=69,"Battery D",
  --S161&lt;=80,"Battery C",
 --S161&gt;80,""
),"")</f>
        <v/>
      </c>
      <c r="U161" s="13" t="str" cm="1">
        <f t="array" ref="U161:Z161">IFERROR(IF(_xlfn.XLOOKUP(B161,Input!J:J,Input!N:S)=0,"",
          _xlfn.XLOOKUP(B161,Input!J:J,Input!N:S)),"")</f>
        <v/>
      </c>
      <c r="V161" s="13" t="str">
        <v/>
      </c>
      <c r="W161" s="13" t="str">
        <v/>
      </c>
      <c r="X161" s="13" t="str">
        <v/>
      </c>
      <c r="Y161" s="13" t="str">
        <v/>
      </c>
      <c r="Z161" s="13" t="str">
        <v/>
      </c>
      <c r="AA161" t="str">
        <f t="shared" si="8"/>
        <v/>
      </c>
      <c r="AB161" t="str">
        <f>_xlfn.XLOOKUP(B:B,Disk_Pivot!G:G,Disk_Pivot!I:I)</f>
        <v>No</v>
      </c>
      <c r="AC161" t="str">
        <f>_xlfn.XLOOKUP(B161,Disk_Pivot!G:G,Disk_Pivot!N:N)</f>
        <v/>
      </c>
    </row>
    <row r="162" spans="6:29">
      <c r="F162" t="str">
        <f>_xlfn.XLOOKUP(H162,Models!B:B,Models!F:F,"")</f>
        <v/>
      </c>
      <c r="K162">
        <f>_xlfn.XLOOKUP(B162,CPU_Formula!A:A,CPU_Formula!I:I)</f>
        <v>0</v>
      </c>
      <c r="L162" s="13" t="e">
        <f>INDEX(Input!$D$2:$AD$500,
       MATCH(B162, Input!$J$2:$J$500, 0),
       MATCH("Memory Capacity", Input!$D$1:$AD$1, 0))</f>
        <v>#N/A</v>
      </c>
      <c r="M162" s="13" t="e">
        <f>INDEX(Input!$D$2:$AD$500,
       MATCH(B162, Input!$J$2:$J$500, 0),
       MATCH("Memory Type", Input!$D$1:$AD$1, 0))</f>
        <v>#N/A</v>
      </c>
      <c r="N162" s="13" t="e">
        <f t="shared" si="7"/>
        <v>#N/A</v>
      </c>
      <c r="S162" s="13" t="str">
        <f>_xlfn.LET(_xlpm.Result,_xlfn.XLOOKUP(B162,Input!J:J,Input!AB:AB),IF(_xlpm.Result="","",_xlpm.Result))</f>
        <v/>
      </c>
      <c r="T162" s="13" t="str" cm="1">
        <f t="array" ref="T162">IFERROR(_xlfn.IFS(
   --S162&lt;55,"Battery Defect",
  -- S162&lt;=69,"Battery D",
  --S162&lt;=80,"Battery C",
 --S162&gt;80,""
),"")</f>
        <v/>
      </c>
      <c r="U162" s="13" t="str" cm="1">
        <f t="array" ref="U162:Z162">IFERROR(IF(_xlfn.XLOOKUP(B162,Input!J:J,Input!N:S)=0,"",
          _xlfn.XLOOKUP(B162,Input!J:J,Input!N:S)),"")</f>
        <v/>
      </c>
      <c r="V162" s="13" t="str">
        <v/>
      </c>
      <c r="W162" s="13" t="str">
        <v/>
      </c>
      <c r="X162" s="13" t="str">
        <v/>
      </c>
      <c r="Y162" s="13" t="str">
        <v/>
      </c>
      <c r="Z162" s="13" t="str">
        <v/>
      </c>
      <c r="AA162" t="str">
        <f t="shared" si="8"/>
        <v/>
      </c>
      <c r="AB162" t="str">
        <f>_xlfn.XLOOKUP(B:B,Disk_Pivot!G:G,Disk_Pivot!I:I)</f>
        <v>No</v>
      </c>
      <c r="AC162" t="str">
        <f>_xlfn.XLOOKUP(B162,Disk_Pivot!G:G,Disk_Pivot!N:N)</f>
        <v/>
      </c>
    </row>
    <row r="163" spans="6:29">
      <c r="F163" t="str">
        <f>_xlfn.XLOOKUP(H163,Models!B:B,Models!F:F,"")</f>
        <v/>
      </c>
      <c r="K163">
        <f>_xlfn.XLOOKUP(B163,CPU_Formula!A:A,CPU_Formula!I:I)</f>
        <v>0</v>
      </c>
      <c r="L163" s="13" t="e">
        <f>INDEX(Input!$D$2:$AD$500,
       MATCH(B163, Input!$J$2:$J$500, 0),
       MATCH("Memory Capacity", Input!$D$1:$AD$1, 0))</f>
        <v>#N/A</v>
      </c>
      <c r="M163" s="13" t="e">
        <f>INDEX(Input!$D$2:$AD$500,
       MATCH(B163, Input!$J$2:$J$500, 0),
       MATCH("Memory Type", Input!$D$1:$AD$1, 0))</f>
        <v>#N/A</v>
      </c>
      <c r="N163" s="13" t="e">
        <f t="shared" si="7"/>
        <v>#N/A</v>
      </c>
      <c r="S163" s="13" t="str">
        <f>_xlfn.LET(_xlpm.Result,_xlfn.XLOOKUP(B163,Input!J:J,Input!AB:AB),IF(_xlpm.Result="","",_xlpm.Result))</f>
        <v/>
      </c>
      <c r="T163" s="13" t="str" cm="1">
        <f t="array" ref="T163">IFERROR(_xlfn.IFS(
   --S163&lt;55,"Battery Defect",
  -- S163&lt;=69,"Battery D",
  --S163&lt;=80,"Battery C",
 --S163&gt;80,""
),"")</f>
        <v/>
      </c>
      <c r="U163" s="13" t="str" cm="1">
        <f t="array" ref="U163:Z163">IFERROR(IF(_xlfn.XLOOKUP(B163,Input!J:J,Input!N:S)=0,"",
          _xlfn.XLOOKUP(B163,Input!J:J,Input!N:S)),"")</f>
        <v/>
      </c>
      <c r="V163" s="13" t="str">
        <v/>
      </c>
      <c r="W163" s="13" t="str">
        <v/>
      </c>
      <c r="X163" s="13" t="str">
        <v/>
      </c>
      <c r="Y163" s="13" t="str">
        <v/>
      </c>
      <c r="Z163" s="13" t="str">
        <v/>
      </c>
      <c r="AA163" t="str">
        <f t="shared" si="8"/>
        <v/>
      </c>
      <c r="AB163" t="str">
        <f>_xlfn.XLOOKUP(B:B,Disk_Pivot!G:G,Disk_Pivot!I:I)</f>
        <v>No</v>
      </c>
      <c r="AC163" t="str">
        <f>_xlfn.XLOOKUP(B163,Disk_Pivot!G:G,Disk_Pivot!N:N)</f>
        <v/>
      </c>
    </row>
    <row r="164" spans="6:29">
      <c r="F164" t="str">
        <f>_xlfn.XLOOKUP(H164,Models!B:B,Models!F:F,"")</f>
        <v/>
      </c>
      <c r="K164">
        <f>_xlfn.XLOOKUP(B164,CPU_Formula!A:A,CPU_Formula!I:I)</f>
        <v>0</v>
      </c>
      <c r="L164" s="13" t="e">
        <f>INDEX(Input!$D$2:$AD$500,
       MATCH(B164, Input!$J$2:$J$500, 0),
       MATCH("Memory Capacity", Input!$D$1:$AD$1, 0))</f>
        <v>#N/A</v>
      </c>
      <c r="M164" s="13" t="e">
        <f>INDEX(Input!$D$2:$AD$500,
       MATCH(B164, Input!$J$2:$J$500, 0),
       MATCH("Memory Type", Input!$D$1:$AD$1, 0))</f>
        <v>#N/A</v>
      </c>
      <c r="N164" s="13" t="e">
        <f t="shared" si="7"/>
        <v>#N/A</v>
      </c>
      <c r="S164" s="13" t="str">
        <f>_xlfn.LET(_xlpm.Result,_xlfn.XLOOKUP(B164,Input!J:J,Input!AB:AB),IF(_xlpm.Result="","",_xlpm.Result))</f>
        <v/>
      </c>
      <c r="T164" s="13" t="str" cm="1">
        <f t="array" ref="T164">IFERROR(_xlfn.IFS(
   --S164&lt;55,"Battery Defect",
  -- S164&lt;=69,"Battery D",
  --S164&lt;=80,"Battery C",
 --S164&gt;80,""
),"")</f>
        <v/>
      </c>
      <c r="U164" s="13" t="str" cm="1">
        <f t="array" ref="U164:Z164">IFERROR(IF(_xlfn.XLOOKUP(B164,Input!J:J,Input!N:S)=0,"",
          _xlfn.XLOOKUP(B164,Input!J:J,Input!N:S)),"")</f>
        <v/>
      </c>
      <c r="V164" s="13" t="str">
        <v/>
      </c>
      <c r="W164" s="13" t="str">
        <v/>
      </c>
      <c r="X164" s="13" t="str">
        <v/>
      </c>
      <c r="Y164" s="13" t="str">
        <v/>
      </c>
      <c r="Z164" s="13" t="str">
        <v/>
      </c>
      <c r="AA164" t="str">
        <f t="shared" si="8"/>
        <v/>
      </c>
      <c r="AB164" t="str">
        <f>_xlfn.XLOOKUP(B:B,Disk_Pivot!G:G,Disk_Pivot!I:I)</f>
        <v>No</v>
      </c>
      <c r="AC164" t="str">
        <f>_xlfn.XLOOKUP(B164,Disk_Pivot!G:G,Disk_Pivot!N:N)</f>
        <v/>
      </c>
    </row>
    <row r="165" spans="6:29">
      <c r="F165" t="str">
        <f>_xlfn.XLOOKUP(H165,Models!B:B,Models!F:F,"")</f>
        <v/>
      </c>
      <c r="K165">
        <f>_xlfn.XLOOKUP(B165,CPU_Formula!A:A,CPU_Formula!I:I)</f>
        <v>0</v>
      </c>
      <c r="L165" s="13" t="e">
        <f>INDEX(Input!$D$2:$AD$500,
       MATCH(B165, Input!$J$2:$J$500, 0),
       MATCH("Memory Capacity", Input!$D$1:$AD$1, 0))</f>
        <v>#N/A</v>
      </c>
      <c r="M165" s="13" t="e">
        <f>INDEX(Input!$D$2:$AD$500,
       MATCH(B165, Input!$J$2:$J$500, 0),
       MATCH("Memory Type", Input!$D$1:$AD$1, 0))</f>
        <v>#N/A</v>
      </c>
      <c r="N165" s="13" t="e">
        <f t="shared" si="7"/>
        <v>#N/A</v>
      </c>
      <c r="S165" s="13" t="str">
        <f>_xlfn.LET(_xlpm.Result,_xlfn.XLOOKUP(B165,Input!J:J,Input!AB:AB),IF(_xlpm.Result="","",_xlpm.Result))</f>
        <v/>
      </c>
      <c r="T165" s="13" t="str" cm="1">
        <f t="array" ref="T165">IFERROR(_xlfn.IFS(
   --S165&lt;55,"Battery Defect",
  -- S165&lt;=69,"Battery D",
  --S165&lt;=80,"Battery C",
 --S165&gt;80,""
),"")</f>
        <v/>
      </c>
      <c r="U165" s="13" t="str" cm="1">
        <f t="array" ref="U165:Z165">IFERROR(IF(_xlfn.XLOOKUP(B165,Input!J:J,Input!N:S)=0,"",
          _xlfn.XLOOKUP(B165,Input!J:J,Input!N:S)),"")</f>
        <v/>
      </c>
      <c r="V165" s="13" t="str">
        <v/>
      </c>
      <c r="W165" s="13" t="str">
        <v/>
      </c>
      <c r="X165" s="13" t="str">
        <v/>
      </c>
      <c r="Y165" s="13" t="str">
        <v/>
      </c>
      <c r="Z165" s="13" t="str">
        <v/>
      </c>
      <c r="AA165" t="str">
        <f t="shared" si="8"/>
        <v/>
      </c>
      <c r="AB165" t="str">
        <f>_xlfn.XLOOKUP(B:B,Disk_Pivot!G:G,Disk_Pivot!I:I)</f>
        <v>No</v>
      </c>
      <c r="AC165" t="str">
        <f>_xlfn.XLOOKUP(B165,Disk_Pivot!G:G,Disk_Pivot!N:N)</f>
        <v/>
      </c>
    </row>
    <row r="166" spans="6:29">
      <c r="F166" t="str">
        <f>_xlfn.XLOOKUP(H166,Models!B:B,Models!F:F,"")</f>
        <v/>
      </c>
      <c r="K166">
        <f>_xlfn.XLOOKUP(B166,CPU_Formula!A:A,CPU_Formula!I:I)</f>
        <v>0</v>
      </c>
      <c r="L166" s="13" t="e">
        <f>INDEX(Input!$D$2:$AD$500,
       MATCH(B166, Input!$J$2:$J$500, 0),
       MATCH("Memory Capacity", Input!$D$1:$AD$1, 0))</f>
        <v>#N/A</v>
      </c>
      <c r="M166" s="13" t="e">
        <f>INDEX(Input!$D$2:$AD$500,
       MATCH(B166, Input!$J$2:$J$500, 0),
       MATCH("Memory Type", Input!$D$1:$AD$1, 0))</f>
        <v>#N/A</v>
      </c>
      <c r="N166" s="13" t="e">
        <f t="shared" si="7"/>
        <v>#N/A</v>
      </c>
      <c r="S166" s="13" t="str">
        <f>_xlfn.LET(_xlpm.Result,_xlfn.XLOOKUP(B166,Input!J:J,Input!AB:AB),IF(_xlpm.Result="","",_xlpm.Result))</f>
        <v/>
      </c>
      <c r="T166" s="13" t="str" cm="1">
        <f t="array" ref="T166">IFERROR(_xlfn.IFS(
   --S166&lt;55,"Battery Defect",
  -- S166&lt;=69,"Battery D",
  --S166&lt;=80,"Battery C",
 --S166&gt;80,""
),"")</f>
        <v/>
      </c>
      <c r="U166" s="13" t="str" cm="1">
        <f t="array" ref="U166:Z166">IFERROR(IF(_xlfn.XLOOKUP(B166,Input!J:J,Input!N:S)=0,"",
          _xlfn.XLOOKUP(B166,Input!J:J,Input!N:S)),"")</f>
        <v/>
      </c>
      <c r="V166" s="13" t="str">
        <v/>
      </c>
      <c r="W166" s="13" t="str">
        <v/>
      </c>
      <c r="X166" s="13" t="str">
        <v/>
      </c>
      <c r="Y166" s="13" t="str">
        <v/>
      </c>
      <c r="Z166" s="13" t="str">
        <v/>
      </c>
      <c r="AA166" t="str">
        <f t="shared" si="8"/>
        <v/>
      </c>
      <c r="AB166" t="str">
        <f>_xlfn.XLOOKUP(B:B,Disk_Pivot!G:G,Disk_Pivot!I:I)</f>
        <v>No</v>
      </c>
      <c r="AC166" t="str">
        <f>_xlfn.XLOOKUP(B166,Disk_Pivot!G:G,Disk_Pivot!N:N)</f>
        <v/>
      </c>
    </row>
    <row r="167" spans="6:29">
      <c r="F167" t="str">
        <f>_xlfn.XLOOKUP(H167,Models!B:B,Models!F:F,"")</f>
        <v/>
      </c>
      <c r="K167">
        <f>_xlfn.XLOOKUP(B167,CPU_Formula!A:A,CPU_Formula!I:I)</f>
        <v>0</v>
      </c>
      <c r="L167" s="13" t="e">
        <f>INDEX(Input!$D$2:$AD$500,
       MATCH(B167, Input!$J$2:$J$500, 0),
       MATCH("Memory Capacity", Input!$D$1:$AD$1, 0))</f>
        <v>#N/A</v>
      </c>
      <c r="M167" s="13" t="e">
        <f>INDEX(Input!$D$2:$AD$500,
       MATCH(B167, Input!$J$2:$J$500, 0),
       MATCH("Memory Type", Input!$D$1:$AD$1, 0))</f>
        <v>#N/A</v>
      </c>
      <c r="N167" s="13" t="e">
        <f t="shared" si="7"/>
        <v>#N/A</v>
      </c>
      <c r="S167" s="13" t="str">
        <f>_xlfn.LET(_xlpm.Result,_xlfn.XLOOKUP(B167,Input!J:J,Input!AB:AB),IF(_xlpm.Result="","",_xlpm.Result))</f>
        <v/>
      </c>
      <c r="T167" s="13" t="str" cm="1">
        <f t="array" ref="T167">IFERROR(_xlfn.IFS(
   --S167&lt;55,"Battery Defect",
  -- S167&lt;=69,"Battery D",
  --S167&lt;=80,"Battery C",
 --S167&gt;80,""
),"")</f>
        <v/>
      </c>
      <c r="U167" s="13" t="str" cm="1">
        <f t="array" ref="U167:Z167">IFERROR(IF(_xlfn.XLOOKUP(B167,Input!J:J,Input!N:S)=0,"",
          _xlfn.XLOOKUP(B167,Input!J:J,Input!N:S)),"")</f>
        <v/>
      </c>
      <c r="V167" s="13" t="str">
        <v/>
      </c>
      <c r="W167" s="13" t="str">
        <v/>
      </c>
      <c r="X167" s="13" t="str">
        <v/>
      </c>
      <c r="Y167" s="13" t="str">
        <v/>
      </c>
      <c r="Z167" s="13" t="str">
        <v/>
      </c>
      <c r="AA167" t="str">
        <f t="shared" si="8"/>
        <v/>
      </c>
      <c r="AB167" t="str">
        <f>_xlfn.XLOOKUP(B:B,Disk_Pivot!G:G,Disk_Pivot!I:I)</f>
        <v>No</v>
      </c>
      <c r="AC167" t="str">
        <f>_xlfn.XLOOKUP(B167,Disk_Pivot!G:G,Disk_Pivot!N:N)</f>
        <v/>
      </c>
    </row>
    <row r="168" spans="6:29">
      <c r="F168" t="str">
        <f>_xlfn.XLOOKUP(H168,Models!B:B,Models!F:F,"")</f>
        <v/>
      </c>
      <c r="K168">
        <f>_xlfn.XLOOKUP(B168,CPU_Formula!A:A,CPU_Formula!I:I)</f>
        <v>0</v>
      </c>
      <c r="L168" s="13" t="e">
        <f>INDEX(Input!$D$2:$AD$500,
       MATCH(B168, Input!$J$2:$J$500, 0),
       MATCH("Memory Capacity", Input!$D$1:$AD$1, 0))</f>
        <v>#N/A</v>
      </c>
      <c r="M168" s="13" t="e">
        <f>INDEX(Input!$D$2:$AD$500,
       MATCH(B168, Input!$J$2:$J$500, 0),
       MATCH("Memory Type", Input!$D$1:$AD$1, 0))</f>
        <v>#N/A</v>
      </c>
      <c r="N168" s="13" t="e">
        <f t="shared" si="7"/>
        <v>#N/A</v>
      </c>
      <c r="S168" s="13" t="str">
        <f>_xlfn.LET(_xlpm.Result,_xlfn.XLOOKUP(B168,Input!J:J,Input!AB:AB),IF(_xlpm.Result="","",_xlpm.Result))</f>
        <v/>
      </c>
      <c r="T168" s="13" t="str" cm="1">
        <f t="array" ref="T168">IFERROR(_xlfn.IFS(
   --S168&lt;55,"Battery Defect",
  -- S168&lt;=69,"Battery D",
  --S168&lt;=80,"Battery C",
 --S168&gt;80,""
),"")</f>
        <v/>
      </c>
      <c r="U168" s="13" t="str" cm="1">
        <f t="array" ref="U168:Z168">IFERROR(IF(_xlfn.XLOOKUP(B168,Input!J:J,Input!N:S)=0,"",
          _xlfn.XLOOKUP(B168,Input!J:J,Input!N:S)),"")</f>
        <v/>
      </c>
      <c r="V168" s="13" t="str">
        <v/>
      </c>
      <c r="W168" s="13" t="str">
        <v/>
      </c>
      <c r="X168" s="13" t="str">
        <v/>
      </c>
      <c r="Y168" s="13" t="str">
        <v/>
      </c>
      <c r="Z168" s="13" t="str">
        <v/>
      </c>
      <c r="AA168" t="str">
        <f t="shared" si="8"/>
        <v/>
      </c>
      <c r="AB168" t="str">
        <f>_xlfn.XLOOKUP(B:B,Disk_Pivot!G:G,Disk_Pivot!I:I)</f>
        <v>No</v>
      </c>
      <c r="AC168" t="str">
        <f>_xlfn.XLOOKUP(B168,Disk_Pivot!G:G,Disk_Pivot!N:N)</f>
        <v/>
      </c>
    </row>
    <row r="169" spans="6:29">
      <c r="F169" t="str">
        <f>_xlfn.XLOOKUP(H169,Models!B:B,Models!F:F,"")</f>
        <v/>
      </c>
      <c r="K169">
        <f>_xlfn.XLOOKUP(B169,CPU_Formula!A:A,CPU_Formula!I:I)</f>
        <v>0</v>
      </c>
      <c r="L169" s="13" t="e">
        <f>INDEX(Input!$D$2:$AD$500,
       MATCH(B169, Input!$J$2:$J$500, 0),
       MATCH("Memory Capacity", Input!$D$1:$AD$1, 0))</f>
        <v>#N/A</v>
      </c>
      <c r="M169" s="13" t="e">
        <f>INDEX(Input!$D$2:$AD$500,
       MATCH(B169, Input!$J$2:$J$500, 0),
       MATCH("Memory Type", Input!$D$1:$AD$1, 0))</f>
        <v>#N/A</v>
      </c>
      <c r="N169" s="13" t="e">
        <f t="shared" si="7"/>
        <v>#N/A</v>
      </c>
      <c r="S169" s="13" t="str">
        <f>_xlfn.LET(_xlpm.Result,_xlfn.XLOOKUP(B169,Input!J:J,Input!AB:AB),IF(_xlpm.Result="","",_xlpm.Result))</f>
        <v/>
      </c>
      <c r="T169" s="13" t="str" cm="1">
        <f t="array" ref="T169">IFERROR(_xlfn.IFS(
   --S169&lt;55,"Battery Defect",
  -- S169&lt;=69,"Battery D",
  --S169&lt;=80,"Battery C",
 --S169&gt;80,""
),"")</f>
        <v/>
      </c>
      <c r="U169" s="13" t="str" cm="1">
        <f t="array" ref="U169:Z169">IFERROR(IF(_xlfn.XLOOKUP(B169,Input!J:J,Input!N:S)=0,"",
          _xlfn.XLOOKUP(B169,Input!J:J,Input!N:S)),"")</f>
        <v/>
      </c>
      <c r="V169" s="13" t="str">
        <v/>
      </c>
      <c r="W169" s="13" t="str">
        <v/>
      </c>
      <c r="X169" s="13" t="str">
        <v/>
      </c>
      <c r="Y169" s="13" t="str">
        <v/>
      </c>
      <c r="Z169" s="13" t="str">
        <v/>
      </c>
      <c r="AA169" t="str">
        <f t="shared" si="8"/>
        <v/>
      </c>
      <c r="AB169" t="str">
        <f>_xlfn.XLOOKUP(B:B,Disk_Pivot!G:G,Disk_Pivot!I:I)</f>
        <v>No</v>
      </c>
      <c r="AC169" t="str">
        <f>_xlfn.XLOOKUP(B169,Disk_Pivot!G:G,Disk_Pivot!N:N)</f>
        <v/>
      </c>
    </row>
    <row r="170" spans="6:29">
      <c r="F170" t="str">
        <f>_xlfn.XLOOKUP(H170,Models!B:B,Models!F:F,"")</f>
        <v/>
      </c>
      <c r="K170">
        <f>_xlfn.XLOOKUP(B170,CPU_Formula!A:A,CPU_Formula!I:I)</f>
        <v>0</v>
      </c>
      <c r="L170" s="13" t="e">
        <f>INDEX(Input!$D$2:$AD$500,
       MATCH(B170, Input!$J$2:$J$500, 0),
       MATCH("Memory Capacity", Input!$D$1:$AD$1, 0))</f>
        <v>#N/A</v>
      </c>
      <c r="M170" s="13" t="e">
        <f>INDEX(Input!$D$2:$AD$500,
       MATCH(B170, Input!$J$2:$J$500, 0),
       MATCH("Memory Type", Input!$D$1:$AD$1, 0))</f>
        <v>#N/A</v>
      </c>
      <c r="N170" s="13" t="e">
        <f t="shared" si="7"/>
        <v>#N/A</v>
      </c>
      <c r="S170" s="13" t="str">
        <f>_xlfn.LET(_xlpm.Result,_xlfn.XLOOKUP(B170,Input!J:J,Input!AB:AB),IF(_xlpm.Result="","",_xlpm.Result))</f>
        <v/>
      </c>
      <c r="T170" s="13" t="str" cm="1">
        <f t="array" ref="T170">IFERROR(_xlfn.IFS(
   --S170&lt;55,"Battery Defect",
  -- S170&lt;=69,"Battery D",
  --S170&lt;=80,"Battery C",
 --S170&gt;80,""
),"")</f>
        <v/>
      </c>
      <c r="U170" s="13" t="str" cm="1">
        <f t="array" ref="U170:Z170">IFERROR(IF(_xlfn.XLOOKUP(B170,Input!J:J,Input!N:S)=0,"",
          _xlfn.XLOOKUP(B170,Input!J:J,Input!N:S)),"")</f>
        <v/>
      </c>
      <c r="V170" s="13" t="str">
        <v/>
      </c>
      <c r="W170" s="13" t="str">
        <v/>
      </c>
      <c r="X170" s="13" t="str">
        <v/>
      </c>
      <c r="Y170" s="13" t="str">
        <v/>
      </c>
      <c r="Z170" s="13" t="str">
        <v/>
      </c>
      <c r="AA170" t="str">
        <f t="shared" si="8"/>
        <v/>
      </c>
      <c r="AB170" t="str">
        <f>_xlfn.XLOOKUP(B:B,Disk_Pivot!G:G,Disk_Pivot!I:I)</f>
        <v>No</v>
      </c>
      <c r="AC170" t="str">
        <f>_xlfn.XLOOKUP(B170,Disk_Pivot!G:G,Disk_Pivot!N:N)</f>
        <v/>
      </c>
    </row>
    <row r="171" spans="6:29">
      <c r="F171" t="str">
        <f>_xlfn.XLOOKUP(H171,Models!B:B,Models!F:F,"")</f>
        <v/>
      </c>
      <c r="K171">
        <f>_xlfn.XLOOKUP(B171,CPU_Formula!A:A,CPU_Formula!I:I)</f>
        <v>0</v>
      </c>
      <c r="L171" s="13" t="e">
        <f>INDEX(Input!$D$2:$AD$500,
       MATCH(B171, Input!$J$2:$J$500, 0),
       MATCH("Memory Capacity", Input!$D$1:$AD$1, 0))</f>
        <v>#N/A</v>
      </c>
      <c r="M171" s="13" t="e">
        <f>INDEX(Input!$D$2:$AD$500,
       MATCH(B171, Input!$J$2:$J$500, 0),
       MATCH("Memory Type", Input!$D$1:$AD$1, 0))</f>
        <v>#N/A</v>
      </c>
      <c r="N171" s="13" t="e">
        <f t="shared" si="7"/>
        <v>#N/A</v>
      </c>
      <c r="S171" s="13" t="str">
        <f>_xlfn.LET(_xlpm.Result,_xlfn.XLOOKUP(B171,Input!J:J,Input!AB:AB),IF(_xlpm.Result="","",_xlpm.Result))</f>
        <v/>
      </c>
      <c r="T171" s="13" t="str" cm="1">
        <f t="array" ref="T171">IFERROR(_xlfn.IFS(
   --S171&lt;55,"Battery Defect",
  -- S171&lt;=69,"Battery D",
  --S171&lt;=80,"Battery C",
 --S171&gt;80,""
),"")</f>
        <v/>
      </c>
      <c r="U171" s="13" t="str" cm="1">
        <f t="array" ref="U171:Z171">IFERROR(IF(_xlfn.XLOOKUP(B171,Input!J:J,Input!N:S)=0,"",
          _xlfn.XLOOKUP(B171,Input!J:J,Input!N:S)),"")</f>
        <v/>
      </c>
      <c r="V171" s="13" t="str">
        <v/>
      </c>
      <c r="W171" s="13" t="str">
        <v/>
      </c>
      <c r="X171" s="13" t="str">
        <v/>
      </c>
      <c r="Y171" s="13" t="str">
        <v/>
      </c>
      <c r="Z171" s="13" t="str">
        <v/>
      </c>
      <c r="AA171" t="str">
        <f t="shared" si="8"/>
        <v/>
      </c>
      <c r="AB171" t="str">
        <f>_xlfn.XLOOKUP(B:B,Disk_Pivot!G:G,Disk_Pivot!I:I)</f>
        <v>No</v>
      </c>
      <c r="AC171" t="str">
        <f>_xlfn.XLOOKUP(B171,Disk_Pivot!G:G,Disk_Pivot!N:N)</f>
        <v/>
      </c>
    </row>
    <row r="172" spans="6:29">
      <c r="F172" t="str">
        <f>_xlfn.XLOOKUP(H172,Models!B:B,Models!F:F,"")</f>
        <v/>
      </c>
      <c r="K172">
        <f>_xlfn.XLOOKUP(B172,CPU_Formula!A:A,CPU_Formula!I:I)</f>
        <v>0</v>
      </c>
      <c r="L172" s="13" t="e">
        <f>INDEX(Input!$D$2:$AD$500,
       MATCH(B172, Input!$J$2:$J$500, 0),
       MATCH("Memory Capacity", Input!$D$1:$AD$1, 0))</f>
        <v>#N/A</v>
      </c>
      <c r="M172" s="13" t="e">
        <f>INDEX(Input!$D$2:$AD$500,
       MATCH(B172, Input!$J$2:$J$500, 0),
       MATCH("Memory Type", Input!$D$1:$AD$1, 0))</f>
        <v>#N/A</v>
      </c>
      <c r="N172" s="13" t="e">
        <f t="shared" si="7"/>
        <v>#N/A</v>
      </c>
      <c r="S172" s="13" t="str">
        <f>_xlfn.LET(_xlpm.Result,_xlfn.XLOOKUP(B172,Input!J:J,Input!AB:AB),IF(_xlpm.Result="","",_xlpm.Result))</f>
        <v/>
      </c>
      <c r="T172" s="13" t="str" cm="1">
        <f t="array" ref="T172">IFERROR(_xlfn.IFS(
   --S172&lt;55,"Battery Defect",
  -- S172&lt;=69,"Battery D",
  --S172&lt;=80,"Battery C",
 --S172&gt;80,""
),"")</f>
        <v/>
      </c>
      <c r="U172" s="13" t="str" cm="1">
        <f t="array" ref="U172:Z172">IFERROR(IF(_xlfn.XLOOKUP(B172,Input!J:J,Input!N:S)=0,"",
          _xlfn.XLOOKUP(B172,Input!J:J,Input!N:S)),"")</f>
        <v/>
      </c>
      <c r="V172" s="13" t="str">
        <v/>
      </c>
      <c r="W172" s="13" t="str">
        <v/>
      </c>
      <c r="X172" s="13" t="str">
        <v/>
      </c>
      <c r="Y172" s="13" t="str">
        <v/>
      </c>
      <c r="Z172" s="13" t="str">
        <v/>
      </c>
      <c r="AA172" t="str">
        <f t="shared" si="8"/>
        <v/>
      </c>
      <c r="AB172" t="str">
        <f>_xlfn.XLOOKUP(B:B,Disk_Pivot!G:G,Disk_Pivot!I:I)</f>
        <v>No</v>
      </c>
      <c r="AC172" t="str">
        <f>_xlfn.XLOOKUP(B172,Disk_Pivot!G:G,Disk_Pivot!N:N)</f>
        <v/>
      </c>
    </row>
    <row r="173" spans="6:29">
      <c r="F173" t="str">
        <f>_xlfn.XLOOKUP(H173,Models!B:B,Models!F:F,"")</f>
        <v/>
      </c>
      <c r="K173">
        <f>_xlfn.XLOOKUP(B173,CPU_Formula!A:A,CPU_Formula!I:I)</f>
        <v>0</v>
      </c>
      <c r="L173" s="13" t="e">
        <f>INDEX(Input!$D$2:$AD$500,
       MATCH(B173, Input!$J$2:$J$500, 0),
       MATCH("Memory Capacity", Input!$D$1:$AD$1, 0))</f>
        <v>#N/A</v>
      </c>
      <c r="M173" s="13" t="e">
        <f>INDEX(Input!$D$2:$AD$500,
       MATCH(B173, Input!$J$2:$J$500, 0),
       MATCH("Memory Type", Input!$D$1:$AD$1, 0))</f>
        <v>#N/A</v>
      </c>
      <c r="N173" s="13" t="e">
        <f t="shared" si="7"/>
        <v>#N/A</v>
      </c>
      <c r="S173" s="13" t="str">
        <f>_xlfn.LET(_xlpm.Result,_xlfn.XLOOKUP(B173,Input!J:J,Input!AB:AB),IF(_xlpm.Result="","",_xlpm.Result))</f>
        <v/>
      </c>
      <c r="T173" s="13" t="str" cm="1">
        <f t="array" ref="T173">IFERROR(_xlfn.IFS(
   --S173&lt;55,"Battery Defect",
  -- S173&lt;=69,"Battery D",
  --S173&lt;=80,"Battery C",
 --S173&gt;80,""
),"")</f>
        <v/>
      </c>
      <c r="U173" s="13" t="str" cm="1">
        <f t="array" ref="U173:Z173">IFERROR(IF(_xlfn.XLOOKUP(B173,Input!J:J,Input!N:S)=0,"",
          _xlfn.XLOOKUP(B173,Input!J:J,Input!N:S)),"")</f>
        <v/>
      </c>
      <c r="V173" s="13" t="str">
        <v/>
      </c>
      <c r="W173" s="13" t="str">
        <v/>
      </c>
      <c r="X173" s="13" t="str">
        <v/>
      </c>
      <c r="Y173" s="13" t="str">
        <v/>
      </c>
      <c r="Z173" s="13" t="str">
        <v/>
      </c>
      <c r="AA173" t="str">
        <f t="shared" si="8"/>
        <v/>
      </c>
      <c r="AB173" t="str">
        <f>_xlfn.XLOOKUP(B:B,Disk_Pivot!G:G,Disk_Pivot!I:I)</f>
        <v>No</v>
      </c>
      <c r="AC173" t="str">
        <f>_xlfn.XLOOKUP(B173,Disk_Pivot!G:G,Disk_Pivot!N:N)</f>
        <v/>
      </c>
    </row>
    <row r="174" spans="6:29">
      <c r="F174" t="str">
        <f>_xlfn.XLOOKUP(H174,Models!B:B,Models!F:F,"")</f>
        <v/>
      </c>
      <c r="K174">
        <f>_xlfn.XLOOKUP(B174,CPU_Formula!A:A,CPU_Formula!I:I)</f>
        <v>0</v>
      </c>
      <c r="L174" s="13" t="e">
        <f>INDEX(Input!$D$2:$AD$500,
       MATCH(B174, Input!$J$2:$J$500, 0),
       MATCH("Memory Capacity", Input!$D$1:$AD$1, 0))</f>
        <v>#N/A</v>
      </c>
      <c r="M174" s="13" t="e">
        <f>INDEX(Input!$D$2:$AD$500,
       MATCH(B174, Input!$J$2:$J$500, 0),
       MATCH("Memory Type", Input!$D$1:$AD$1, 0))</f>
        <v>#N/A</v>
      </c>
      <c r="N174" s="13" t="e">
        <f t="shared" si="7"/>
        <v>#N/A</v>
      </c>
      <c r="S174" s="13" t="str">
        <f>_xlfn.LET(_xlpm.Result,_xlfn.XLOOKUP(B174,Input!J:J,Input!AB:AB),IF(_xlpm.Result="","",_xlpm.Result))</f>
        <v/>
      </c>
      <c r="T174" s="13" t="str" cm="1">
        <f t="array" ref="T174">IFERROR(_xlfn.IFS(
   --S174&lt;55,"Battery Defect",
  -- S174&lt;=69,"Battery D",
  --S174&lt;=80,"Battery C",
 --S174&gt;80,""
),"")</f>
        <v/>
      </c>
      <c r="U174" s="13" t="str" cm="1">
        <f t="array" ref="U174:Z174">IFERROR(IF(_xlfn.XLOOKUP(B174,Input!J:J,Input!N:S)=0,"",
          _xlfn.XLOOKUP(B174,Input!J:J,Input!N:S)),"")</f>
        <v/>
      </c>
      <c r="V174" s="13" t="str">
        <v/>
      </c>
      <c r="W174" s="13" t="str">
        <v/>
      </c>
      <c r="X174" s="13" t="str">
        <v/>
      </c>
      <c r="Y174" s="13" t="str">
        <v/>
      </c>
      <c r="Z174" s="13" t="str">
        <v/>
      </c>
      <c r="AA174" t="str">
        <f t="shared" si="8"/>
        <v/>
      </c>
      <c r="AB174" t="str">
        <f>_xlfn.XLOOKUP(B:B,Disk_Pivot!G:G,Disk_Pivot!I:I)</f>
        <v>No</v>
      </c>
      <c r="AC174" t="str">
        <f>_xlfn.XLOOKUP(B174,Disk_Pivot!G:G,Disk_Pivot!N:N)</f>
        <v/>
      </c>
    </row>
    <row r="175" spans="6:29">
      <c r="F175" t="str">
        <f>_xlfn.XLOOKUP(H175,Models!B:B,Models!F:F,"")</f>
        <v/>
      </c>
      <c r="K175">
        <f>_xlfn.XLOOKUP(B175,CPU_Formula!A:A,CPU_Formula!I:I)</f>
        <v>0</v>
      </c>
      <c r="L175" s="13" t="e">
        <f>INDEX(Input!$D$2:$AD$500,
       MATCH(B175, Input!$J$2:$J$500, 0),
       MATCH("Memory Capacity", Input!$D$1:$AD$1, 0))</f>
        <v>#N/A</v>
      </c>
      <c r="M175" s="13" t="e">
        <f>INDEX(Input!$D$2:$AD$500,
       MATCH(B175, Input!$J$2:$J$500, 0),
       MATCH("Memory Type", Input!$D$1:$AD$1, 0))</f>
        <v>#N/A</v>
      </c>
      <c r="N175" s="13" t="e">
        <f t="shared" si="7"/>
        <v>#N/A</v>
      </c>
      <c r="S175" s="13" t="str">
        <f>_xlfn.LET(_xlpm.Result,_xlfn.XLOOKUP(B175,Input!J:J,Input!AB:AB),IF(_xlpm.Result="","",_xlpm.Result))</f>
        <v/>
      </c>
      <c r="T175" s="13" t="str" cm="1">
        <f t="array" ref="T175">IFERROR(_xlfn.IFS(
   --S175&lt;55,"Battery Defect",
  -- S175&lt;=69,"Battery D",
  --S175&lt;=80,"Battery C",
 --S175&gt;80,""
),"")</f>
        <v/>
      </c>
      <c r="U175" s="13" t="str" cm="1">
        <f t="array" ref="U175:Z175">IFERROR(IF(_xlfn.XLOOKUP(B175,Input!J:J,Input!N:S)=0,"",
          _xlfn.XLOOKUP(B175,Input!J:J,Input!N:S)),"")</f>
        <v/>
      </c>
      <c r="V175" s="13" t="str">
        <v/>
      </c>
      <c r="W175" s="13" t="str">
        <v/>
      </c>
      <c r="X175" s="13" t="str">
        <v/>
      </c>
      <c r="Y175" s="13" t="str">
        <v/>
      </c>
      <c r="Z175" s="13" t="str">
        <v/>
      </c>
      <c r="AA175" t="str">
        <f t="shared" si="8"/>
        <v/>
      </c>
      <c r="AB175" t="str">
        <f>_xlfn.XLOOKUP(B:B,Disk_Pivot!G:G,Disk_Pivot!I:I)</f>
        <v>No</v>
      </c>
      <c r="AC175" t="str">
        <f>_xlfn.XLOOKUP(B175,Disk_Pivot!G:G,Disk_Pivot!N:N)</f>
        <v/>
      </c>
    </row>
    <row r="176" spans="6:29">
      <c r="F176" t="str">
        <f>_xlfn.XLOOKUP(H176,Models!B:B,Models!F:F,"")</f>
        <v/>
      </c>
      <c r="K176">
        <f>_xlfn.XLOOKUP(B176,CPU_Formula!A:A,CPU_Formula!I:I)</f>
        <v>0</v>
      </c>
      <c r="L176" s="13" t="e">
        <f>INDEX(Input!$D$2:$AD$500,
       MATCH(B176, Input!$J$2:$J$500, 0),
       MATCH("Memory Capacity", Input!$D$1:$AD$1, 0))</f>
        <v>#N/A</v>
      </c>
      <c r="M176" s="13" t="e">
        <f>INDEX(Input!$D$2:$AD$500,
       MATCH(B176, Input!$J$2:$J$500, 0),
       MATCH("Memory Type", Input!$D$1:$AD$1, 0))</f>
        <v>#N/A</v>
      </c>
      <c r="N176" s="13" t="e">
        <f t="shared" si="7"/>
        <v>#N/A</v>
      </c>
      <c r="S176" s="13" t="str">
        <f>_xlfn.LET(_xlpm.Result,_xlfn.XLOOKUP(B176,Input!J:J,Input!AB:AB),IF(_xlpm.Result="","",_xlpm.Result))</f>
        <v/>
      </c>
      <c r="T176" s="13" t="str" cm="1">
        <f t="array" ref="T176">IFERROR(_xlfn.IFS(
   --S176&lt;55,"Battery Defect",
  -- S176&lt;=69,"Battery D",
  --S176&lt;=80,"Battery C",
 --S176&gt;80,""
),"")</f>
        <v/>
      </c>
      <c r="U176" s="13" t="str" cm="1">
        <f t="array" ref="U176:Z176">IFERROR(IF(_xlfn.XLOOKUP(B176,Input!J:J,Input!N:S)=0,"",
          _xlfn.XLOOKUP(B176,Input!J:J,Input!N:S)),"")</f>
        <v/>
      </c>
      <c r="V176" s="13" t="str">
        <v/>
      </c>
      <c r="W176" s="13" t="str">
        <v/>
      </c>
      <c r="X176" s="13" t="str">
        <v/>
      </c>
      <c r="Y176" s="13" t="str">
        <v/>
      </c>
      <c r="Z176" s="13" t="str">
        <v/>
      </c>
      <c r="AA176" t="str">
        <f t="shared" si="8"/>
        <v/>
      </c>
      <c r="AB176" t="str">
        <f>_xlfn.XLOOKUP(B:B,Disk_Pivot!G:G,Disk_Pivot!I:I)</f>
        <v>No</v>
      </c>
      <c r="AC176" t="str">
        <f>_xlfn.XLOOKUP(B176,Disk_Pivot!G:G,Disk_Pivot!N:N)</f>
        <v/>
      </c>
    </row>
    <row r="177" spans="6:29">
      <c r="F177" t="str">
        <f>_xlfn.XLOOKUP(H177,Models!B:B,Models!F:F,"")</f>
        <v/>
      </c>
      <c r="K177">
        <f>_xlfn.XLOOKUP(B177,CPU_Formula!A:A,CPU_Formula!I:I)</f>
        <v>0</v>
      </c>
      <c r="L177" s="13" t="e">
        <f>INDEX(Input!$D$2:$AD$500,
       MATCH(B177, Input!$J$2:$J$500, 0),
       MATCH("Memory Capacity", Input!$D$1:$AD$1, 0))</f>
        <v>#N/A</v>
      </c>
      <c r="M177" s="13" t="e">
        <f>INDEX(Input!$D$2:$AD$500,
       MATCH(B177, Input!$J$2:$J$500, 0),
       MATCH("Memory Type", Input!$D$1:$AD$1, 0))</f>
        <v>#N/A</v>
      </c>
      <c r="N177" s="13" t="e">
        <f t="shared" si="7"/>
        <v>#N/A</v>
      </c>
      <c r="S177" s="13" t="str">
        <f>_xlfn.LET(_xlpm.Result,_xlfn.XLOOKUP(B177,Input!J:J,Input!AB:AB),IF(_xlpm.Result="","",_xlpm.Result))</f>
        <v/>
      </c>
      <c r="T177" s="13" t="str" cm="1">
        <f t="array" ref="T177">IFERROR(_xlfn.IFS(
   --S177&lt;55,"Battery Defect",
  -- S177&lt;=69,"Battery D",
  --S177&lt;=80,"Battery C",
 --S177&gt;80,""
),"")</f>
        <v/>
      </c>
      <c r="U177" s="13" t="str" cm="1">
        <f t="array" ref="U177:Z177">IFERROR(IF(_xlfn.XLOOKUP(B177,Input!J:J,Input!N:S)=0,"",
          _xlfn.XLOOKUP(B177,Input!J:J,Input!N:S)),"")</f>
        <v/>
      </c>
      <c r="V177" s="13" t="str">
        <v/>
      </c>
      <c r="W177" s="13" t="str">
        <v/>
      </c>
      <c r="X177" s="13" t="str">
        <v/>
      </c>
      <c r="Y177" s="13" t="str">
        <v/>
      </c>
      <c r="Z177" s="13" t="str">
        <v/>
      </c>
      <c r="AA177" t="str">
        <f t="shared" si="8"/>
        <v/>
      </c>
      <c r="AB177" t="str">
        <f>_xlfn.XLOOKUP(B:B,Disk_Pivot!G:G,Disk_Pivot!I:I)</f>
        <v>No</v>
      </c>
      <c r="AC177" t="str">
        <f>_xlfn.XLOOKUP(B177,Disk_Pivot!G:G,Disk_Pivot!N:N)</f>
        <v/>
      </c>
    </row>
    <row r="178" spans="6:29">
      <c r="F178" t="str">
        <f>_xlfn.XLOOKUP(H178,Models!B:B,Models!F:F,"")</f>
        <v/>
      </c>
      <c r="K178">
        <f>_xlfn.XLOOKUP(B178,CPU_Formula!A:A,CPU_Formula!I:I)</f>
        <v>0</v>
      </c>
      <c r="L178" s="13" t="e">
        <f>INDEX(Input!$D$2:$AD$500,
       MATCH(B178, Input!$J$2:$J$500, 0),
       MATCH("Memory Capacity", Input!$D$1:$AD$1, 0))</f>
        <v>#N/A</v>
      </c>
      <c r="M178" s="13" t="e">
        <f>INDEX(Input!$D$2:$AD$500,
       MATCH(B178, Input!$J$2:$J$500, 0),
       MATCH("Memory Type", Input!$D$1:$AD$1, 0))</f>
        <v>#N/A</v>
      </c>
      <c r="N178" s="13" t="e">
        <f t="shared" si="7"/>
        <v>#N/A</v>
      </c>
      <c r="S178" s="13" t="str">
        <f>_xlfn.LET(_xlpm.Result,_xlfn.XLOOKUP(B178,Input!J:J,Input!AB:AB),IF(_xlpm.Result="","",_xlpm.Result))</f>
        <v/>
      </c>
      <c r="T178" s="13" t="str" cm="1">
        <f t="array" ref="T178">IFERROR(_xlfn.IFS(
   --S178&lt;55,"Battery Defect",
  -- S178&lt;=69,"Battery D",
  --S178&lt;=80,"Battery C",
 --S178&gt;80,""
),"")</f>
        <v/>
      </c>
      <c r="U178" s="13" t="str" cm="1">
        <f t="array" ref="U178:Z178">IFERROR(IF(_xlfn.XLOOKUP(B178,Input!J:J,Input!N:S)=0,"",
          _xlfn.XLOOKUP(B178,Input!J:J,Input!N:S)),"")</f>
        <v/>
      </c>
      <c r="V178" s="13" t="str">
        <v/>
      </c>
      <c r="W178" s="13" t="str">
        <v/>
      </c>
      <c r="X178" s="13" t="str">
        <v/>
      </c>
      <c r="Y178" s="13" t="str">
        <v/>
      </c>
      <c r="Z178" s="13" t="str">
        <v/>
      </c>
      <c r="AA178" t="str">
        <f t="shared" si="8"/>
        <v/>
      </c>
      <c r="AB178" t="str">
        <f>_xlfn.XLOOKUP(B:B,Disk_Pivot!G:G,Disk_Pivot!I:I)</f>
        <v>No</v>
      </c>
      <c r="AC178" t="str">
        <f>_xlfn.XLOOKUP(B178,Disk_Pivot!G:G,Disk_Pivot!N:N)</f>
        <v/>
      </c>
    </row>
    <row r="179" spans="6:29">
      <c r="F179" t="str">
        <f>_xlfn.XLOOKUP(H179,Models!B:B,Models!F:F,"")</f>
        <v/>
      </c>
      <c r="K179">
        <f>_xlfn.XLOOKUP(B179,CPU_Formula!A:A,CPU_Formula!I:I)</f>
        <v>0</v>
      </c>
      <c r="L179" s="13" t="e">
        <f>INDEX(Input!$D$2:$AD$500,
       MATCH(B179, Input!$J$2:$J$500, 0),
       MATCH("Memory Capacity", Input!$D$1:$AD$1, 0))</f>
        <v>#N/A</v>
      </c>
      <c r="M179" s="13" t="e">
        <f>INDEX(Input!$D$2:$AD$500,
       MATCH(B179, Input!$J$2:$J$500, 0),
       MATCH("Memory Type", Input!$D$1:$AD$1, 0))</f>
        <v>#N/A</v>
      </c>
      <c r="N179" s="13" t="e">
        <f t="shared" si="7"/>
        <v>#N/A</v>
      </c>
      <c r="S179" s="13" t="str">
        <f>_xlfn.LET(_xlpm.Result,_xlfn.XLOOKUP(B179,Input!J:J,Input!AB:AB),IF(_xlpm.Result="","",_xlpm.Result))</f>
        <v/>
      </c>
      <c r="T179" s="13" t="str" cm="1">
        <f t="array" ref="T179">IFERROR(_xlfn.IFS(
   --S179&lt;55,"Battery Defect",
  -- S179&lt;=69,"Battery D",
  --S179&lt;=80,"Battery C",
 --S179&gt;80,""
),"")</f>
        <v/>
      </c>
      <c r="U179" s="13" t="str" cm="1">
        <f t="array" ref="U179:Z179">IFERROR(IF(_xlfn.XLOOKUP(B179,Input!J:J,Input!N:S)=0,"",
          _xlfn.XLOOKUP(B179,Input!J:J,Input!N:S)),"")</f>
        <v/>
      </c>
      <c r="V179" s="13" t="str">
        <v/>
      </c>
      <c r="W179" s="13" t="str">
        <v/>
      </c>
      <c r="X179" s="13" t="str">
        <v/>
      </c>
      <c r="Y179" s="13" t="str">
        <v/>
      </c>
      <c r="Z179" s="13" t="str">
        <v/>
      </c>
      <c r="AA179" t="str">
        <f t="shared" si="8"/>
        <v/>
      </c>
      <c r="AB179" t="str">
        <f>_xlfn.XLOOKUP(B:B,Disk_Pivot!G:G,Disk_Pivot!I:I)</f>
        <v>No</v>
      </c>
      <c r="AC179" t="str">
        <f>_xlfn.XLOOKUP(B179,Disk_Pivot!G:G,Disk_Pivot!N:N)</f>
        <v/>
      </c>
    </row>
    <row r="180" spans="6:29">
      <c r="F180" t="str">
        <f>_xlfn.XLOOKUP(H180,Models!B:B,Models!F:F,"")</f>
        <v/>
      </c>
      <c r="K180">
        <f>_xlfn.XLOOKUP(B180,CPU_Formula!A:A,CPU_Formula!I:I)</f>
        <v>0</v>
      </c>
      <c r="L180" s="13" t="e">
        <f>INDEX(Input!$D$2:$AD$500,
       MATCH(B180, Input!$J$2:$J$500, 0),
       MATCH("Memory Capacity", Input!$D$1:$AD$1, 0))</f>
        <v>#N/A</v>
      </c>
      <c r="M180" s="13" t="e">
        <f>INDEX(Input!$D$2:$AD$500,
       MATCH(B180, Input!$J$2:$J$500, 0),
       MATCH("Memory Type", Input!$D$1:$AD$1, 0))</f>
        <v>#N/A</v>
      </c>
      <c r="N180" s="13" t="e">
        <f t="shared" si="7"/>
        <v>#N/A</v>
      </c>
      <c r="S180" s="13" t="str">
        <f>_xlfn.LET(_xlpm.Result,_xlfn.XLOOKUP(B180,Input!J:J,Input!AB:AB),IF(_xlpm.Result="","",_xlpm.Result))</f>
        <v/>
      </c>
      <c r="T180" s="13" t="str" cm="1">
        <f t="array" ref="T180">IFERROR(_xlfn.IFS(
   --S180&lt;55,"Battery Defect",
  -- S180&lt;=69,"Battery D",
  --S180&lt;=80,"Battery C",
 --S180&gt;80,""
),"")</f>
        <v/>
      </c>
      <c r="U180" s="13" t="str" cm="1">
        <f t="array" ref="U180:Z180">IFERROR(IF(_xlfn.XLOOKUP(B180,Input!J:J,Input!N:S)=0,"",
          _xlfn.XLOOKUP(B180,Input!J:J,Input!N:S)),"")</f>
        <v/>
      </c>
      <c r="V180" s="13" t="str">
        <v/>
      </c>
      <c r="W180" s="13" t="str">
        <v/>
      </c>
      <c r="X180" s="13" t="str">
        <v/>
      </c>
      <c r="Y180" s="13" t="str">
        <v/>
      </c>
      <c r="Z180" s="13" t="str">
        <v/>
      </c>
      <c r="AA180" t="str">
        <f t="shared" si="8"/>
        <v/>
      </c>
      <c r="AB180" t="str">
        <f>_xlfn.XLOOKUP(B:B,Disk_Pivot!G:G,Disk_Pivot!I:I)</f>
        <v>No</v>
      </c>
      <c r="AC180" t="str">
        <f>_xlfn.XLOOKUP(B180,Disk_Pivot!G:G,Disk_Pivot!N:N)</f>
        <v/>
      </c>
    </row>
    <row r="181" spans="6:29">
      <c r="F181" t="str">
        <f>_xlfn.XLOOKUP(H181,Models!B:B,Models!F:F,"")</f>
        <v/>
      </c>
      <c r="K181">
        <f>_xlfn.XLOOKUP(B181,CPU_Formula!A:A,CPU_Formula!I:I)</f>
        <v>0</v>
      </c>
      <c r="L181" s="13" t="e">
        <f>INDEX(Input!$D$2:$AD$500,
       MATCH(B181, Input!$J$2:$J$500, 0),
       MATCH("Memory Capacity", Input!$D$1:$AD$1, 0))</f>
        <v>#N/A</v>
      </c>
      <c r="M181" s="13" t="e">
        <f>INDEX(Input!$D$2:$AD$500,
       MATCH(B181, Input!$J$2:$J$500, 0),
       MATCH("Memory Type", Input!$D$1:$AD$1, 0))</f>
        <v>#N/A</v>
      </c>
      <c r="N181" s="13" t="e">
        <f t="shared" si="7"/>
        <v>#N/A</v>
      </c>
      <c r="S181" s="13" t="str">
        <f>_xlfn.LET(_xlpm.Result,_xlfn.XLOOKUP(B181,Input!J:J,Input!AB:AB),IF(_xlpm.Result="","",_xlpm.Result))</f>
        <v/>
      </c>
      <c r="T181" s="13" t="str" cm="1">
        <f t="array" ref="T181">IFERROR(_xlfn.IFS(
   --S181&lt;55,"Battery Defect",
  -- S181&lt;=69,"Battery D",
  --S181&lt;=80,"Battery C",
 --S181&gt;80,""
),"")</f>
        <v/>
      </c>
      <c r="U181" s="13" t="str" cm="1">
        <f t="array" ref="U181:Z181">IFERROR(IF(_xlfn.XLOOKUP(B181,Input!J:J,Input!N:S)=0,"",
          _xlfn.XLOOKUP(B181,Input!J:J,Input!N:S)),"")</f>
        <v/>
      </c>
      <c r="V181" s="13" t="str">
        <v/>
      </c>
      <c r="W181" s="13" t="str">
        <v/>
      </c>
      <c r="X181" s="13" t="str">
        <v/>
      </c>
      <c r="Y181" s="13" t="str">
        <v/>
      </c>
      <c r="Z181" s="13" t="str">
        <v/>
      </c>
      <c r="AA181" t="str">
        <f t="shared" si="8"/>
        <v/>
      </c>
      <c r="AB181" t="str">
        <f>_xlfn.XLOOKUP(B:B,Disk_Pivot!G:G,Disk_Pivot!I:I)</f>
        <v>No</v>
      </c>
      <c r="AC181" t="str">
        <f>_xlfn.XLOOKUP(B181,Disk_Pivot!G:G,Disk_Pivot!N:N)</f>
        <v/>
      </c>
    </row>
    <row r="182" spans="6:29">
      <c r="F182" t="str">
        <f>_xlfn.XLOOKUP(H182,Models!B:B,Models!F:F,"")</f>
        <v/>
      </c>
      <c r="K182">
        <f>_xlfn.XLOOKUP(B182,CPU_Formula!A:A,CPU_Formula!I:I)</f>
        <v>0</v>
      </c>
      <c r="L182" s="13" t="e">
        <f>INDEX(Input!$D$2:$AD$500,
       MATCH(B182, Input!$J$2:$J$500, 0),
       MATCH("Memory Capacity", Input!$D$1:$AD$1, 0))</f>
        <v>#N/A</v>
      </c>
      <c r="M182" s="13" t="e">
        <f>INDEX(Input!$D$2:$AD$500,
       MATCH(B182, Input!$J$2:$J$500, 0),
       MATCH("Memory Type", Input!$D$1:$AD$1, 0))</f>
        <v>#N/A</v>
      </c>
      <c r="N182" s="13" t="e">
        <f t="shared" si="7"/>
        <v>#N/A</v>
      </c>
      <c r="S182" s="13" t="str">
        <f>_xlfn.LET(_xlpm.Result,_xlfn.XLOOKUP(B182,Input!J:J,Input!AB:AB),IF(_xlpm.Result="","",_xlpm.Result))</f>
        <v/>
      </c>
      <c r="T182" s="13" t="str" cm="1">
        <f t="array" ref="T182">IFERROR(_xlfn.IFS(
   --S182&lt;55,"Battery Defect",
  -- S182&lt;=69,"Battery D",
  --S182&lt;=80,"Battery C",
 --S182&gt;80,""
),"")</f>
        <v/>
      </c>
      <c r="U182" s="13" t="str" cm="1">
        <f t="array" ref="U182:Z182">IFERROR(IF(_xlfn.XLOOKUP(B182,Input!J:J,Input!N:S)=0,"",
          _xlfn.XLOOKUP(B182,Input!J:J,Input!N:S)),"")</f>
        <v/>
      </c>
      <c r="V182" s="13" t="str">
        <v/>
      </c>
      <c r="W182" s="13" t="str">
        <v/>
      </c>
      <c r="X182" s="13" t="str">
        <v/>
      </c>
      <c r="Y182" s="13" t="str">
        <v/>
      </c>
      <c r="Z182" s="13" t="str">
        <v/>
      </c>
      <c r="AA182" t="str">
        <f t="shared" si="8"/>
        <v/>
      </c>
      <c r="AB182" t="str">
        <f>_xlfn.XLOOKUP(B:B,Disk_Pivot!G:G,Disk_Pivot!I:I)</f>
        <v>No</v>
      </c>
      <c r="AC182" t="str">
        <f>_xlfn.XLOOKUP(B182,Disk_Pivot!G:G,Disk_Pivot!N:N)</f>
        <v/>
      </c>
    </row>
    <row r="183" spans="6:29">
      <c r="F183" t="str">
        <f>_xlfn.XLOOKUP(H183,Models!B:B,Models!F:F,"")</f>
        <v/>
      </c>
      <c r="K183">
        <f>_xlfn.XLOOKUP(B183,CPU_Formula!A:A,CPU_Formula!I:I)</f>
        <v>0</v>
      </c>
      <c r="L183" s="13" t="e">
        <f>INDEX(Input!$D$2:$AD$500,
       MATCH(B183, Input!$J$2:$J$500, 0),
       MATCH("Memory Capacity", Input!$D$1:$AD$1, 0))</f>
        <v>#N/A</v>
      </c>
      <c r="M183" s="13" t="e">
        <f>INDEX(Input!$D$2:$AD$500,
       MATCH(B183, Input!$J$2:$J$500, 0),
       MATCH("Memory Type", Input!$D$1:$AD$1, 0))</f>
        <v>#N/A</v>
      </c>
      <c r="N183" s="13" t="e">
        <f t="shared" si="7"/>
        <v>#N/A</v>
      </c>
      <c r="S183" s="13" t="str">
        <f>_xlfn.LET(_xlpm.Result,_xlfn.XLOOKUP(B183,Input!J:J,Input!AB:AB),IF(_xlpm.Result="","",_xlpm.Result))</f>
        <v/>
      </c>
      <c r="T183" s="13" t="str" cm="1">
        <f t="array" ref="T183">IFERROR(_xlfn.IFS(
   --S183&lt;55,"Battery Defect",
  -- S183&lt;=69,"Battery D",
  --S183&lt;=80,"Battery C",
 --S183&gt;80,""
),"")</f>
        <v/>
      </c>
      <c r="U183" s="13" t="str" cm="1">
        <f t="array" ref="U183:Z183">IFERROR(IF(_xlfn.XLOOKUP(B183,Input!J:J,Input!N:S)=0,"",
          _xlfn.XLOOKUP(B183,Input!J:J,Input!N:S)),"")</f>
        <v/>
      </c>
      <c r="V183" s="13" t="str">
        <v/>
      </c>
      <c r="W183" s="13" t="str">
        <v/>
      </c>
      <c r="X183" s="13" t="str">
        <v/>
      </c>
      <c r="Y183" s="13" t="str">
        <v/>
      </c>
      <c r="Z183" s="13" t="str">
        <v/>
      </c>
      <c r="AA183" t="str">
        <f t="shared" si="8"/>
        <v/>
      </c>
      <c r="AB183" t="str">
        <f>_xlfn.XLOOKUP(B:B,Disk_Pivot!G:G,Disk_Pivot!I:I)</f>
        <v>No</v>
      </c>
      <c r="AC183" t="str">
        <f>_xlfn.XLOOKUP(B183,Disk_Pivot!G:G,Disk_Pivot!N:N)</f>
        <v/>
      </c>
    </row>
    <row r="184" spans="6:29">
      <c r="F184" t="str">
        <f>_xlfn.XLOOKUP(H184,Models!B:B,Models!F:F,"")</f>
        <v/>
      </c>
      <c r="K184">
        <f>_xlfn.XLOOKUP(B184,CPU_Formula!A:A,CPU_Formula!I:I)</f>
        <v>0</v>
      </c>
      <c r="L184" s="13" t="e">
        <f>INDEX(Input!$D$2:$AD$500,
       MATCH(B184, Input!$J$2:$J$500, 0),
       MATCH("Memory Capacity", Input!$D$1:$AD$1, 0))</f>
        <v>#N/A</v>
      </c>
      <c r="M184" s="13" t="e">
        <f>INDEX(Input!$D$2:$AD$500,
       MATCH(B184, Input!$J$2:$J$500, 0),
       MATCH("Memory Type", Input!$D$1:$AD$1, 0))</f>
        <v>#N/A</v>
      </c>
      <c r="N184" s="13" t="e">
        <f t="shared" si="7"/>
        <v>#N/A</v>
      </c>
      <c r="S184" s="13" t="str">
        <f>_xlfn.LET(_xlpm.Result,_xlfn.XLOOKUP(B184,Input!J:J,Input!AB:AB),IF(_xlpm.Result="","",_xlpm.Result))</f>
        <v/>
      </c>
      <c r="T184" s="13" t="str" cm="1">
        <f t="array" ref="T184">IFERROR(_xlfn.IFS(
   --S184&lt;55,"Battery Defect",
  -- S184&lt;=69,"Battery D",
  --S184&lt;=80,"Battery C",
 --S184&gt;80,""
),"")</f>
        <v/>
      </c>
      <c r="U184" s="13" t="str" cm="1">
        <f t="array" ref="U184:Z184">IFERROR(IF(_xlfn.XLOOKUP(B184,Input!J:J,Input!N:S)=0,"",
          _xlfn.XLOOKUP(B184,Input!J:J,Input!N:S)),"")</f>
        <v/>
      </c>
      <c r="V184" s="13" t="str">
        <v/>
      </c>
      <c r="W184" s="13" t="str">
        <v/>
      </c>
      <c r="X184" s="13" t="str">
        <v/>
      </c>
      <c r="Y184" s="13" t="str">
        <v/>
      </c>
      <c r="Z184" s="13" t="str">
        <v/>
      </c>
      <c r="AA184" t="str">
        <f t="shared" si="8"/>
        <v/>
      </c>
      <c r="AB184" t="str">
        <f>_xlfn.XLOOKUP(B:B,Disk_Pivot!G:G,Disk_Pivot!I:I)</f>
        <v>No</v>
      </c>
      <c r="AC184" t="str">
        <f>_xlfn.XLOOKUP(B184,Disk_Pivot!G:G,Disk_Pivot!N:N)</f>
        <v/>
      </c>
    </row>
    <row r="185" spans="6:29">
      <c r="F185" t="str">
        <f>_xlfn.XLOOKUP(H185,Models!B:B,Models!F:F,"")</f>
        <v/>
      </c>
      <c r="K185">
        <f>_xlfn.XLOOKUP(B185,CPU_Formula!A:A,CPU_Formula!I:I)</f>
        <v>0</v>
      </c>
      <c r="L185" s="13" t="e">
        <f>INDEX(Input!$D$2:$AD$500,
       MATCH(B185, Input!$J$2:$J$500, 0),
       MATCH("Memory Capacity", Input!$D$1:$AD$1, 0))</f>
        <v>#N/A</v>
      </c>
      <c r="M185" s="13" t="e">
        <f>INDEX(Input!$D$2:$AD$500,
       MATCH(B185, Input!$J$2:$J$500, 0),
       MATCH("Memory Type", Input!$D$1:$AD$1, 0))</f>
        <v>#N/A</v>
      </c>
      <c r="N185" s="13" t="e">
        <f t="shared" si="7"/>
        <v>#N/A</v>
      </c>
      <c r="S185" s="13" t="str">
        <f>_xlfn.LET(_xlpm.Result,_xlfn.XLOOKUP(B185,Input!J:J,Input!AB:AB),IF(_xlpm.Result="","",_xlpm.Result))</f>
        <v/>
      </c>
      <c r="T185" s="13" t="str" cm="1">
        <f t="array" ref="T185">IFERROR(_xlfn.IFS(
   --S185&lt;55,"Battery Defect",
  -- S185&lt;=69,"Battery D",
  --S185&lt;=80,"Battery C",
 --S185&gt;80,""
),"")</f>
        <v/>
      </c>
      <c r="U185" s="13" t="str" cm="1">
        <f t="array" ref="U185:Z185">IFERROR(IF(_xlfn.XLOOKUP(B185,Input!J:J,Input!N:S)=0,"",
          _xlfn.XLOOKUP(B185,Input!J:J,Input!N:S)),"")</f>
        <v/>
      </c>
      <c r="V185" s="13" t="str">
        <v/>
      </c>
      <c r="W185" s="13" t="str">
        <v/>
      </c>
      <c r="X185" s="13" t="str">
        <v/>
      </c>
      <c r="Y185" s="13" t="str">
        <v/>
      </c>
      <c r="Z185" s="13" t="str">
        <v/>
      </c>
      <c r="AA185" t="str">
        <f t="shared" si="8"/>
        <v/>
      </c>
      <c r="AB185" t="str">
        <f>_xlfn.XLOOKUP(B:B,Disk_Pivot!G:G,Disk_Pivot!I:I)</f>
        <v>No</v>
      </c>
      <c r="AC185" t="str">
        <f>_xlfn.XLOOKUP(B185,Disk_Pivot!G:G,Disk_Pivot!N:N)</f>
        <v/>
      </c>
    </row>
    <row r="186" spans="6:29">
      <c r="F186" t="str">
        <f>_xlfn.XLOOKUP(H186,Models!B:B,Models!F:F,"")</f>
        <v/>
      </c>
      <c r="K186">
        <f>_xlfn.XLOOKUP(B186,CPU_Formula!A:A,CPU_Formula!I:I)</f>
        <v>0</v>
      </c>
      <c r="L186" s="13" t="e">
        <f>INDEX(Input!$D$2:$AD$500,
       MATCH(B186, Input!$J$2:$J$500, 0),
       MATCH("Memory Capacity", Input!$D$1:$AD$1, 0))</f>
        <v>#N/A</v>
      </c>
      <c r="M186" s="13" t="e">
        <f>INDEX(Input!$D$2:$AD$500,
       MATCH(B186, Input!$J$2:$J$500, 0),
       MATCH("Memory Type", Input!$D$1:$AD$1, 0))</f>
        <v>#N/A</v>
      </c>
      <c r="N186" s="13" t="e">
        <f t="shared" si="7"/>
        <v>#N/A</v>
      </c>
      <c r="S186" s="13" t="str">
        <f>_xlfn.LET(_xlpm.Result,_xlfn.XLOOKUP(B186,Input!J:J,Input!AB:AB),IF(_xlpm.Result="","",_xlpm.Result))</f>
        <v/>
      </c>
      <c r="T186" s="13" t="str" cm="1">
        <f t="array" ref="T186">IFERROR(_xlfn.IFS(
   --S186&lt;55,"Battery Defect",
  -- S186&lt;=69,"Battery D",
  --S186&lt;=80,"Battery C",
 --S186&gt;80,""
),"")</f>
        <v/>
      </c>
      <c r="U186" s="13" t="str" cm="1">
        <f t="array" ref="U186:Z186">IFERROR(IF(_xlfn.XLOOKUP(B186,Input!J:J,Input!N:S)=0,"",
          _xlfn.XLOOKUP(B186,Input!J:J,Input!N:S)),"")</f>
        <v/>
      </c>
      <c r="V186" s="13" t="str">
        <v/>
      </c>
      <c r="W186" s="13" t="str">
        <v/>
      </c>
      <c r="X186" s="13" t="str">
        <v/>
      </c>
      <c r="Y186" s="13" t="str">
        <v/>
      </c>
      <c r="Z186" s="13" t="str">
        <v/>
      </c>
      <c r="AA186" t="str">
        <f t="shared" si="8"/>
        <v/>
      </c>
      <c r="AB186" t="str">
        <f>_xlfn.XLOOKUP(B:B,Disk_Pivot!G:G,Disk_Pivot!I:I)</f>
        <v>No</v>
      </c>
      <c r="AC186" t="str">
        <f>_xlfn.XLOOKUP(B186,Disk_Pivot!G:G,Disk_Pivot!N:N)</f>
        <v/>
      </c>
    </row>
    <row r="187" spans="6:29">
      <c r="F187" t="str">
        <f>_xlfn.XLOOKUP(H187,Models!B:B,Models!F:F,"")</f>
        <v/>
      </c>
      <c r="K187">
        <f>_xlfn.XLOOKUP(B187,CPU_Formula!A:A,CPU_Formula!I:I)</f>
        <v>0</v>
      </c>
      <c r="L187" s="13" t="e">
        <f>INDEX(Input!$D$2:$AD$500,
       MATCH(B187, Input!$J$2:$J$500, 0),
       MATCH("Memory Capacity", Input!$D$1:$AD$1, 0))</f>
        <v>#N/A</v>
      </c>
      <c r="M187" s="13" t="e">
        <f>INDEX(Input!$D$2:$AD$500,
       MATCH(B187, Input!$J$2:$J$500, 0),
       MATCH("Memory Type", Input!$D$1:$AD$1, 0))</f>
        <v>#N/A</v>
      </c>
      <c r="N187" s="13" t="e">
        <f t="shared" si="7"/>
        <v>#N/A</v>
      </c>
      <c r="S187" s="13" t="str">
        <f>_xlfn.LET(_xlpm.Result,_xlfn.XLOOKUP(B187,Input!J:J,Input!AB:AB),IF(_xlpm.Result="","",_xlpm.Result))</f>
        <v/>
      </c>
      <c r="T187" s="13" t="str" cm="1">
        <f t="array" ref="T187">IFERROR(_xlfn.IFS(
   --S187&lt;55,"Battery Defect",
  -- S187&lt;=69,"Battery D",
  --S187&lt;=80,"Battery C",
 --S187&gt;80,""
),"")</f>
        <v/>
      </c>
      <c r="U187" s="13" t="str" cm="1">
        <f t="array" ref="U187:Z187">IFERROR(IF(_xlfn.XLOOKUP(B187,Input!J:J,Input!N:S)=0,"",
          _xlfn.XLOOKUP(B187,Input!J:J,Input!N:S)),"")</f>
        <v/>
      </c>
      <c r="V187" s="13" t="str">
        <v/>
      </c>
      <c r="W187" s="13" t="str">
        <v/>
      </c>
      <c r="X187" s="13" t="str">
        <v/>
      </c>
      <c r="Y187" s="13" t="str">
        <v/>
      </c>
      <c r="Z187" s="13" t="str">
        <v/>
      </c>
      <c r="AA187" t="str">
        <f t="shared" si="8"/>
        <v/>
      </c>
      <c r="AB187" t="str">
        <f>_xlfn.XLOOKUP(B:B,Disk_Pivot!G:G,Disk_Pivot!I:I)</f>
        <v>No</v>
      </c>
      <c r="AC187" t="str">
        <f>_xlfn.XLOOKUP(B187,Disk_Pivot!G:G,Disk_Pivot!N:N)</f>
        <v/>
      </c>
    </row>
    <row r="188" spans="6:29">
      <c r="F188" t="str">
        <f>_xlfn.XLOOKUP(H188,Models!B:B,Models!F:F,"")</f>
        <v/>
      </c>
      <c r="K188">
        <f>_xlfn.XLOOKUP(B188,CPU_Formula!A:A,CPU_Formula!I:I)</f>
        <v>0</v>
      </c>
      <c r="L188" s="13" t="e">
        <f>INDEX(Input!$D$2:$AD$500,
       MATCH(B188, Input!$J$2:$J$500, 0),
       MATCH("Memory Capacity", Input!$D$1:$AD$1, 0))</f>
        <v>#N/A</v>
      </c>
      <c r="M188" s="13" t="e">
        <f>INDEX(Input!$D$2:$AD$500,
       MATCH(B188, Input!$J$2:$J$500, 0),
       MATCH("Memory Type", Input!$D$1:$AD$1, 0))</f>
        <v>#N/A</v>
      </c>
      <c r="N188" s="13" t="e">
        <f t="shared" si="7"/>
        <v>#N/A</v>
      </c>
      <c r="S188" s="13" t="str">
        <f>_xlfn.LET(_xlpm.Result,_xlfn.XLOOKUP(B188,Input!J:J,Input!AB:AB),IF(_xlpm.Result="","",_xlpm.Result))</f>
        <v/>
      </c>
      <c r="T188" s="13" t="str" cm="1">
        <f t="array" ref="T188">IFERROR(_xlfn.IFS(
   --S188&lt;55,"Battery Defect",
  -- S188&lt;=69,"Battery D",
  --S188&lt;=80,"Battery C",
 --S188&gt;80,""
),"")</f>
        <v/>
      </c>
      <c r="U188" s="13" t="str" cm="1">
        <f t="array" ref="U188:Z188">IFERROR(IF(_xlfn.XLOOKUP(B188,Input!J:J,Input!N:S)=0,"",
          _xlfn.XLOOKUP(B188,Input!J:J,Input!N:S)),"")</f>
        <v/>
      </c>
      <c r="V188" s="13" t="str">
        <v/>
      </c>
      <c r="W188" s="13" t="str">
        <v/>
      </c>
      <c r="X188" s="13" t="str">
        <v/>
      </c>
      <c r="Y188" s="13" t="str">
        <v/>
      </c>
      <c r="Z188" s="13" t="str">
        <v/>
      </c>
      <c r="AA188" t="str">
        <f t="shared" si="8"/>
        <v/>
      </c>
      <c r="AB188" t="str">
        <f>_xlfn.XLOOKUP(B:B,Disk_Pivot!G:G,Disk_Pivot!I:I)</f>
        <v>No</v>
      </c>
      <c r="AC188" t="str">
        <f>_xlfn.XLOOKUP(B188,Disk_Pivot!G:G,Disk_Pivot!N:N)</f>
        <v/>
      </c>
    </row>
    <row r="189" spans="6:29">
      <c r="F189" t="str">
        <f>_xlfn.XLOOKUP(H189,Models!B:B,Models!F:F,"")</f>
        <v/>
      </c>
      <c r="K189">
        <f>_xlfn.XLOOKUP(B189,CPU_Formula!A:A,CPU_Formula!I:I)</f>
        <v>0</v>
      </c>
      <c r="L189" s="13" t="e">
        <f>INDEX(Input!$D$2:$AD$500,
       MATCH(B189, Input!$J$2:$J$500, 0),
       MATCH("Memory Capacity", Input!$D$1:$AD$1, 0))</f>
        <v>#N/A</v>
      </c>
      <c r="M189" s="13" t="e">
        <f>INDEX(Input!$D$2:$AD$500,
       MATCH(B189, Input!$J$2:$J$500, 0),
       MATCH("Memory Type", Input!$D$1:$AD$1, 0))</f>
        <v>#N/A</v>
      </c>
      <c r="N189" s="13" t="e">
        <f t="shared" si="7"/>
        <v>#N/A</v>
      </c>
      <c r="S189" s="13" t="str">
        <f>_xlfn.LET(_xlpm.Result,_xlfn.XLOOKUP(B189,Input!J:J,Input!AB:AB),IF(_xlpm.Result="","",_xlpm.Result))</f>
        <v/>
      </c>
      <c r="T189" s="13" t="str" cm="1">
        <f t="array" ref="T189">IFERROR(_xlfn.IFS(
   --S189&lt;55,"Battery Defect",
  -- S189&lt;=69,"Battery D",
  --S189&lt;=80,"Battery C",
 --S189&gt;80,""
),"")</f>
        <v/>
      </c>
      <c r="U189" s="13" t="str" cm="1">
        <f t="array" ref="U189:Z189">IFERROR(IF(_xlfn.XLOOKUP(B189,Input!J:J,Input!N:S)=0,"",
          _xlfn.XLOOKUP(B189,Input!J:J,Input!N:S)),"")</f>
        <v/>
      </c>
      <c r="V189" s="13" t="str">
        <v/>
      </c>
      <c r="W189" s="13" t="str">
        <v/>
      </c>
      <c r="X189" s="13" t="str">
        <v/>
      </c>
      <c r="Y189" s="13" t="str">
        <v/>
      </c>
      <c r="Z189" s="13" t="str">
        <v/>
      </c>
      <c r="AA189" t="str">
        <f t="shared" si="8"/>
        <v/>
      </c>
      <c r="AB189" t="str">
        <f>_xlfn.XLOOKUP(B:B,Disk_Pivot!G:G,Disk_Pivot!I:I)</f>
        <v>No</v>
      </c>
      <c r="AC189" t="str">
        <f>_xlfn.XLOOKUP(B189,Disk_Pivot!G:G,Disk_Pivot!N:N)</f>
        <v/>
      </c>
    </row>
    <row r="190" spans="6:29">
      <c r="F190" t="str">
        <f>_xlfn.XLOOKUP(H190,Models!B:B,Models!F:F,"")</f>
        <v/>
      </c>
      <c r="K190">
        <f>_xlfn.XLOOKUP(B190,CPU_Formula!A:A,CPU_Formula!I:I)</f>
        <v>0</v>
      </c>
      <c r="L190" s="13" t="e">
        <f>INDEX(Input!$D$2:$AD$500,
       MATCH(B190, Input!$J$2:$J$500, 0),
       MATCH("Memory Capacity", Input!$D$1:$AD$1, 0))</f>
        <v>#N/A</v>
      </c>
      <c r="M190" s="13" t="e">
        <f>INDEX(Input!$D$2:$AD$500,
       MATCH(B190, Input!$J$2:$J$500, 0),
       MATCH("Memory Type", Input!$D$1:$AD$1, 0))</f>
        <v>#N/A</v>
      </c>
      <c r="N190" s="13" t="e">
        <f t="shared" si="7"/>
        <v>#N/A</v>
      </c>
      <c r="S190" s="13" t="str">
        <f>_xlfn.LET(_xlpm.Result,_xlfn.XLOOKUP(B190,Input!J:J,Input!AB:AB),IF(_xlpm.Result="","",_xlpm.Result))</f>
        <v/>
      </c>
      <c r="T190" s="13" t="str" cm="1">
        <f t="array" ref="T190">IFERROR(_xlfn.IFS(
   --S190&lt;55,"Battery Defect",
  -- S190&lt;=69,"Battery D",
  --S190&lt;=80,"Battery C",
 --S190&gt;80,""
),"")</f>
        <v/>
      </c>
      <c r="U190" s="13" t="str" cm="1">
        <f t="array" ref="U190:Z190">IFERROR(IF(_xlfn.XLOOKUP(B190,Input!J:J,Input!N:S)=0,"",
          _xlfn.XLOOKUP(B190,Input!J:J,Input!N:S)),"")</f>
        <v/>
      </c>
      <c r="V190" s="13" t="str">
        <v/>
      </c>
      <c r="W190" s="13" t="str">
        <v/>
      </c>
      <c r="X190" s="13" t="str">
        <v/>
      </c>
      <c r="Y190" s="13" t="str">
        <v/>
      </c>
      <c r="Z190" s="13" t="str">
        <v/>
      </c>
      <c r="AA190" t="str">
        <f t="shared" si="8"/>
        <v/>
      </c>
      <c r="AB190" t="str">
        <f>_xlfn.XLOOKUP(B:B,Disk_Pivot!G:G,Disk_Pivot!I:I)</f>
        <v>No</v>
      </c>
      <c r="AC190" t="str">
        <f>_xlfn.XLOOKUP(B190,Disk_Pivot!G:G,Disk_Pivot!N:N)</f>
        <v/>
      </c>
    </row>
    <row r="191" spans="6:29">
      <c r="F191" t="str">
        <f>_xlfn.XLOOKUP(H191,Models!B:B,Models!F:F,"")</f>
        <v/>
      </c>
      <c r="K191">
        <f>_xlfn.XLOOKUP(B191,CPU_Formula!A:A,CPU_Formula!I:I)</f>
        <v>0</v>
      </c>
      <c r="L191" s="13" t="e">
        <f>INDEX(Input!$D$2:$AD$500,
       MATCH(B191, Input!$J$2:$J$500, 0),
       MATCH("Memory Capacity", Input!$D$1:$AD$1, 0))</f>
        <v>#N/A</v>
      </c>
      <c r="M191" s="13" t="e">
        <f>INDEX(Input!$D$2:$AD$500,
       MATCH(B191, Input!$J$2:$J$500, 0),
       MATCH("Memory Type", Input!$D$1:$AD$1, 0))</f>
        <v>#N/A</v>
      </c>
      <c r="N191" s="13" t="e">
        <f t="shared" si="7"/>
        <v>#N/A</v>
      </c>
      <c r="S191" s="13" t="str">
        <f>_xlfn.LET(_xlpm.Result,_xlfn.XLOOKUP(B191,Input!J:J,Input!AB:AB),IF(_xlpm.Result="","",_xlpm.Result))</f>
        <v/>
      </c>
      <c r="T191" s="13" t="str" cm="1">
        <f t="array" ref="T191">IFERROR(_xlfn.IFS(
   --S191&lt;55,"Battery Defect",
  -- S191&lt;=69,"Battery D",
  --S191&lt;=80,"Battery C",
 --S191&gt;80,""
),"")</f>
        <v/>
      </c>
      <c r="U191" s="13" t="str" cm="1">
        <f t="array" ref="U191:Z191">IFERROR(IF(_xlfn.XLOOKUP(B191,Input!J:J,Input!N:S)=0,"",
          _xlfn.XLOOKUP(B191,Input!J:J,Input!N:S)),"")</f>
        <v/>
      </c>
      <c r="V191" s="13" t="str">
        <v/>
      </c>
      <c r="W191" s="13" t="str">
        <v/>
      </c>
      <c r="X191" s="13" t="str">
        <v/>
      </c>
      <c r="Y191" s="13" t="str">
        <v/>
      </c>
      <c r="Z191" s="13" t="str">
        <v/>
      </c>
      <c r="AA191" t="str">
        <f t="shared" si="8"/>
        <v/>
      </c>
      <c r="AB191" t="str">
        <f>_xlfn.XLOOKUP(B:B,Disk_Pivot!G:G,Disk_Pivot!I:I)</f>
        <v>No</v>
      </c>
      <c r="AC191" t="str">
        <f>_xlfn.XLOOKUP(B191,Disk_Pivot!G:G,Disk_Pivot!N:N)</f>
        <v/>
      </c>
    </row>
    <row r="192" spans="6:29">
      <c r="F192" t="str">
        <f>_xlfn.XLOOKUP(H192,Models!B:B,Models!F:F,"")</f>
        <v/>
      </c>
      <c r="K192">
        <f>_xlfn.XLOOKUP(B192,CPU_Formula!A:A,CPU_Formula!I:I)</f>
        <v>0</v>
      </c>
      <c r="L192" s="13" t="e">
        <f>INDEX(Input!$D$2:$AD$500,
       MATCH(B192, Input!$J$2:$J$500, 0),
       MATCH("Memory Capacity", Input!$D$1:$AD$1, 0))</f>
        <v>#N/A</v>
      </c>
      <c r="M192" s="13" t="e">
        <f>INDEX(Input!$D$2:$AD$500,
       MATCH(B192, Input!$J$2:$J$500, 0),
       MATCH("Memory Type", Input!$D$1:$AD$1, 0))</f>
        <v>#N/A</v>
      </c>
      <c r="N192" s="13" t="e">
        <f t="shared" si="7"/>
        <v>#N/A</v>
      </c>
      <c r="S192" s="13" t="str">
        <f>_xlfn.LET(_xlpm.Result,_xlfn.XLOOKUP(B192,Input!J:J,Input!AB:AB),IF(_xlpm.Result="","",_xlpm.Result))</f>
        <v/>
      </c>
      <c r="T192" s="13" t="str" cm="1">
        <f t="array" ref="T192">IFERROR(_xlfn.IFS(
   --S192&lt;55,"Battery Defect",
  -- S192&lt;=69,"Battery D",
  --S192&lt;=80,"Battery C",
 --S192&gt;80,""
),"")</f>
        <v/>
      </c>
      <c r="U192" s="13" t="str" cm="1">
        <f t="array" ref="U192:Z192">IFERROR(IF(_xlfn.XLOOKUP(B192,Input!J:J,Input!N:S)=0,"",
          _xlfn.XLOOKUP(B192,Input!J:J,Input!N:S)),"")</f>
        <v/>
      </c>
      <c r="V192" s="13" t="str">
        <v/>
      </c>
      <c r="W192" s="13" t="str">
        <v/>
      </c>
      <c r="X192" s="13" t="str">
        <v/>
      </c>
      <c r="Y192" s="13" t="str">
        <v/>
      </c>
      <c r="Z192" s="13" t="str">
        <v/>
      </c>
      <c r="AA192" t="str">
        <f t="shared" si="8"/>
        <v/>
      </c>
      <c r="AB192" t="str">
        <f>_xlfn.XLOOKUP(B:B,Disk_Pivot!G:G,Disk_Pivot!I:I)</f>
        <v>No</v>
      </c>
      <c r="AC192" t="str">
        <f>_xlfn.XLOOKUP(B192,Disk_Pivot!G:G,Disk_Pivot!N:N)</f>
        <v/>
      </c>
    </row>
    <row r="193" spans="6:29">
      <c r="F193" t="str">
        <f>_xlfn.XLOOKUP(H193,Models!B:B,Models!F:F,"")</f>
        <v/>
      </c>
      <c r="K193">
        <f>_xlfn.XLOOKUP(B193,CPU_Formula!A:A,CPU_Formula!I:I)</f>
        <v>0</v>
      </c>
      <c r="L193" s="13" t="e">
        <f>INDEX(Input!$D$2:$AD$500,
       MATCH(B193, Input!$J$2:$J$500, 0),
       MATCH("Memory Capacity", Input!$D$1:$AD$1, 0))</f>
        <v>#N/A</v>
      </c>
      <c r="M193" s="13" t="e">
        <f>INDEX(Input!$D$2:$AD$500,
       MATCH(B193, Input!$J$2:$J$500, 0),
       MATCH("Memory Type", Input!$D$1:$AD$1, 0))</f>
        <v>#N/A</v>
      </c>
      <c r="N193" s="13" t="e">
        <f t="shared" si="7"/>
        <v>#N/A</v>
      </c>
      <c r="S193" s="13" t="str">
        <f>_xlfn.LET(_xlpm.Result,_xlfn.XLOOKUP(B193,Input!J:J,Input!AB:AB),IF(_xlpm.Result="","",_xlpm.Result))</f>
        <v/>
      </c>
      <c r="T193" s="13" t="str" cm="1">
        <f t="array" ref="T193">IFERROR(_xlfn.IFS(
   --S193&lt;55,"Battery Defect",
  -- S193&lt;=69,"Battery D",
  --S193&lt;=80,"Battery C",
 --S193&gt;80,""
),"")</f>
        <v/>
      </c>
      <c r="U193" s="13" t="str" cm="1">
        <f t="array" ref="U193:Z193">IFERROR(IF(_xlfn.XLOOKUP(B193,Input!J:J,Input!N:S)=0,"",
          _xlfn.XLOOKUP(B193,Input!J:J,Input!N:S)),"")</f>
        <v/>
      </c>
      <c r="V193" s="13" t="str">
        <v/>
      </c>
      <c r="W193" s="13" t="str">
        <v/>
      </c>
      <c r="X193" s="13" t="str">
        <v/>
      </c>
      <c r="Y193" s="13" t="str">
        <v/>
      </c>
      <c r="Z193" s="13" t="str">
        <v/>
      </c>
      <c r="AA193" t="str">
        <f t="shared" si="8"/>
        <v/>
      </c>
      <c r="AB193" t="str">
        <f>_xlfn.XLOOKUP(B:B,Disk_Pivot!G:G,Disk_Pivot!I:I)</f>
        <v>No</v>
      </c>
      <c r="AC193" t="str">
        <f>_xlfn.XLOOKUP(B193,Disk_Pivot!G:G,Disk_Pivot!N:N)</f>
        <v/>
      </c>
    </row>
    <row r="194" spans="6:29">
      <c r="F194" t="str">
        <f>_xlfn.XLOOKUP(H194,Models!B:B,Models!F:F,"")</f>
        <v/>
      </c>
      <c r="K194">
        <f>_xlfn.XLOOKUP(B194,CPU_Formula!A:A,CPU_Formula!I:I)</f>
        <v>0</v>
      </c>
      <c r="L194" s="13" t="e">
        <f>INDEX(Input!$D$2:$AD$500,
       MATCH(B194, Input!$J$2:$J$500, 0),
       MATCH("Memory Capacity", Input!$D$1:$AD$1, 0))</f>
        <v>#N/A</v>
      </c>
      <c r="M194" s="13" t="e">
        <f>INDEX(Input!$D$2:$AD$500,
       MATCH(B194, Input!$J$2:$J$500, 0),
       MATCH("Memory Type", Input!$D$1:$AD$1, 0))</f>
        <v>#N/A</v>
      </c>
      <c r="N194" s="13" t="e">
        <f t="shared" si="7"/>
        <v>#N/A</v>
      </c>
      <c r="S194" s="13" t="str">
        <f>_xlfn.LET(_xlpm.Result,_xlfn.XLOOKUP(B194,Input!J:J,Input!AB:AB),IF(_xlpm.Result="","",_xlpm.Result))</f>
        <v/>
      </c>
      <c r="T194" s="13" t="str" cm="1">
        <f t="array" ref="T194">IFERROR(_xlfn.IFS(
   --S194&lt;55,"Battery Defect",
  -- S194&lt;=69,"Battery D",
  --S194&lt;=80,"Battery C",
 --S194&gt;80,""
),"")</f>
        <v/>
      </c>
      <c r="U194" s="13" t="str" cm="1">
        <f t="array" ref="U194:Z194">IFERROR(IF(_xlfn.XLOOKUP(B194,Input!J:J,Input!N:S)=0,"",
          _xlfn.XLOOKUP(B194,Input!J:J,Input!N:S)),"")</f>
        <v/>
      </c>
      <c r="V194" s="13" t="str">
        <v/>
      </c>
      <c r="W194" s="13" t="str">
        <v/>
      </c>
      <c r="X194" s="13" t="str">
        <v/>
      </c>
      <c r="Y194" s="13" t="str">
        <v/>
      </c>
      <c r="Z194" s="13" t="str">
        <v/>
      </c>
      <c r="AA194" t="str">
        <f t="shared" si="8"/>
        <v/>
      </c>
      <c r="AB194" t="str">
        <f>_xlfn.XLOOKUP(B:B,Disk_Pivot!G:G,Disk_Pivot!I:I)</f>
        <v>No</v>
      </c>
      <c r="AC194" t="str">
        <f>_xlfn.XLOOKUP(B194,Disk_Pivot!G:G,Disk_Pivot!N:N)</f>
        <v/>
      </c>
    </row>
    <row r="195" spans="6:29">
      <c r="F195" t="str">
        <f>_xlfn.XLOOKUP(H195,Models!B:B,Models!F:F,"")</f>
        <v/>
      </c>
      <c r="K195">
        <f>_xlfn.XLOOKUP(B195,CPU_Formula!A:A,CPU_Formula!I:I)</f>
        <v>0</v>
      </c>
      <c r="L195" s="13" t="e">
        <f>INDEX(Input!$D$2:$AD$500,
       MATCH(B195, Input!$J$2:$J$500, 0),
       MATCH("Memory Capacity", Input!$D$1:$AD$1, 0))</f>
        <v>#N/A</v>
      </c>
      <c r="M195" s="13" t="e">
        <f>INDEX(Input!$D$2:$AD$500,
       MATCH(B195, Input!$J$2:$J$500, 0),
       MATCH("Memory Type", Input!$D$1:$AD$1, 0))</f>
        <v>#N/A</v>
      </c>
      <c r="N195" s="13" t="e">
        <f t="shared" ref="N195:N254" si="9">IF(ISNUMBER(L195), L195, SUBSTITUTE(SUBSTITUTE(SUBSTITUTE(L195,"GiB","")," ",""),"/","+"))</f>
        <v>#N/A</v>
      </c>
      <c r="S195" s="13" t="str">
        <f>_xlfn.LET(_xlpm.Result,_xlfn.XLOOKUP(B195,Input!J:J,Input!AB:AB),IF(_xlpm.Result="","",_xlpm.Result))</f>
        <v/>
      </c>
      <c r="T195" s="13" t="str" cm="1">
        <f t="array" ref="T195">IFERROR(_xlfn.IFS(
   --S195&lt;55,"Battery Defect",
  -- S195&lt;=69,"Battery D",
  --S195&lt;=80,"Battery C",
 --S195&gt;80,""
),"")</f>
        <v/>
      </c>
      <c r="U195" s="13" t="str" cm="1">
        <f t="array" ref="U195:Z195">IFERROR(IF(_xlfn.XLOOKUP(B195,Input!J:J,Input!N:S)=0,"",
          _xlfn.XLOOKUP(B195,Input!J:J,Input!N:S)),"")</f>
        <v/>
      </c>
      <c r="V195" s="13" t="str">
        <v/>
      </c>
      <c r="W195" s="13" t="str">
        <v/>
      </c>
      <c r="X195" s="13" t="str">
        <v/>
      </c>
      <c r="Y195" s="13" t="str">
        <v/>
      </c>
      <c r="Z195" s="13" t="str">
        <v/>
      </c>
      <c r="AA195" t="str">
        <f t="shared" ref="AA195:AA256" si="10">_xlfn.TEXTJOIN(", ",TRUE,T195,U195,V195,W195,X195,Y195,Z195)</f>
        <v/>
      </c>
      <c r="AB195" t="str">
        <f>_xlfn.XLOOKUP(B:B,Disk_Pivot!G:G,Disk_Pivot!I:I)</f>
        <v>No</v>
      </c>
      <c r="AC195" t="str">
        <f>_xlfn.XLOOKUP(B195,Disk_Pivot!G:G,Disk_Pivot!N:N)</f>
        <v/>
      </c>
    </row>
    <row r="196" spans="6:29">
      <c r="F196" t="str">
        <f>_xlfn.XLOOKUP(H196,Models!B:B,Models!F:F,"")</f>
        <v/>
      </c>
      <c r="K196">
        <f>_xlfn.XLOOKUP(B196,CPU_Formula!A:A,CPU_Formula!I:I)</f>
        <v>0</v>
      </c>
      <c r="L196" s="13" t="e">
        <f>INDEX(Input!$D$2:$AD$500,
       MATCH(B196, Input!$J$2:$J$500, 0),
       MATCH("Memory Capacity", Input!$D$1:$AD$1, 0))</f>
        <v>#N/A</v>
      </c>
      <c r="M196" s="13" t="e">
        <f>INDEX(Input!$D$2:$AD$500,
       MATCH(B196, Input!$J$2:$J$500, 0),
       MATCH("Memory Type", Input!$D$1:$AD$1, 0))</f>
        <v>#N/A</v>
      </c>
      <c r="N196" s="13" t="e">
        <f t="shared" si="9"/>
        <v>#N/A</v>
      </c>
      <c r="S196" s="13" t="str">
        <f>_xlfn.LET(_xlpm.Result,_xlfn.XLOOKUP(B196,Input!J:J,Input!AB:AB),IF(_xlpm.Result="","",_xlpm.Result))</f>
        <v/>
      </c>
      <c r="T196" s="13" t="str" cm="1">
        <f t="array" ref="T196">IFERROR(_xlfn.IFS(
   --S196&lt;55,"Battery Defect",
  -- S196&lt;=69,"Battery D",
  --S196&lt;=80,"Battery C",
 --S196&gt;80,""
),"")</f>
        <v/>
      </c>
      <c r="U196" s="13" t="str" cm="1">
        <f t="array" ref="U196:Z196">IFERROR(IF(_xlfn.XLOOKUP(B196,Input!J:J,Input!N:S)=0,"",
          _xlfn.XLOOKUP(B196,Input!J:J,Input!N:S)),"")</f>
        <v/>
      </c>
      <c r="V196" s="13" t="str">
        <v/>
      </c>
      <c r="W196" s="13" t="str">
        <v/>
      </c>
      <c r="X196" s="13" t="str">
        <v/>
      </c>
      <c r="Y196" s="13" t="str">
        <v/>
      </c>
      <c r="Z196" s="13" t="str">
        <v/>
      </c>
      <c r="AA196" t="str">
        <f t="shared" si="10"/>
        <v/>
      </c>
      <c r="AB196" t="str">
        <f>_xlfn.XLOOKUP(B:B,Disk_Pivot!G:G,Disk_Pivot!I:I)</f>
        <v>No</v>
      </c>
      <c r="AC196" t="str">
        <f>_xlfn.XLOOKUP(B196,Disk_Pivot!G:G,Disk_Pivot!N:N)</f>
        <v/>
      </c>
    </row>
    <row r="197" spans="6:29">
      <c r="F197" t="str">
        <f>_xlfn.XLOOKUP(H197,Models!B:B,Models!F:F,"")</f>
        <v/>
      </c>
      <c r="K197">
        <f>_xlfn.XLOOKUP(B197,CPU_Formula!A:A,CPU_Formula!I:I)</f>
        <v>0</v>
      </c>
      <c r="L197" s="13" t="e">
        <f>INDEX(Input!$D$2:$AD$500,
       MATCH(B197, Input!$J$2:$J$500, 0),
       MATCH("Memory Capacity", Input!$D$1:$AD$1, 0))</f>
        <v>#N/A</v>
      </c>
      <c r="M197" s="13" t="e">
        <f>INDEX(Input!$D$2:$AD$500,
       MATCH(B197, Input!$J$2:$J$500, 0),
       MATCH("Memory Type", Input!$D$1:$AD$1, 0))</f>
        <v>#N/A</v>
      </c>
      <c r="N197" s="13" t="e">
        <f t="shared" si="9"/>
        <v>#N/A</v>
      </c>
      <c r="S197" s="13" t="str">
        <f>_xlfn.LET(_xlpm.Result,_xlfn.XLOOKUP(B197,Input!J:J,Input!AB:AB),IF(_xlpm.Result="","",_xlpm.Result))</f>
        <v/>
      </c>
      <c r="T197" s="13" t="str" cm="1">
        <f t="array" ref="T197">IFERROR(_xlfn.IFS(
   --S197&lt;55,"Battery Defect",
  -- S197&lt;=69,"Battery D",
  --S197&lt;=80,"Battery C",
 --S197&gt;80,""
),"")</f>
        <v/>
      </c>
      <c r="U197" s="13" t="str" cm="1">
        <f t="array" ref="U197:Z197">IFERROR(IF(_xlfn.XLOOKUP(B197,Input!J:J,Input!N:S)=0,"",
          _xlfn.XLOOKUP(B197,Input!J:J,Input!N:S)),"")</f>
        <v/>
      </c>
      <c r="V197" s="13" t="str">
        <v/>
      </c>
      <c r="W197" s="13" t="str">
        <v/>
      </c>
      <c r="X197" s="13" t="str">
        <v/>
      </c>
      <c r="Y197" s="13" t="str">
        <v/>
      </c>
      <c r="Z197" s="13" t="str">
        <v/>
      </c>
      <c r="AA197" t="str">
        <f t="shared" si="10"/>
        <v/>
      </c>
      <c r="AB197" t="str">
        <f>_xlfn.XLOOKUP(B:B,Disk_Pivot!G:G,Disk_Pivot!I:I)</f>
        <v>No</v>
      </c>
      <c r="AC197" t="str">
        <f>_xlfn.XLOOKUP(B197,Disk_Pivot!G:G,Disk_Pivot!N:N)</f>
        <v/>
      </c>
    </row>
    <row r="198" spans="6:29">
      <c r="F198" t="str">
        <f>_xlfn.XLOOKUP(H198,Models!B:B,Models!F:F,"")</f>
        <v/>
      </c>
      <c r="K198">
        <f>_xlfn.XLOOKUP(B198,CPU_Formula!A:A,CPU_Formula!I:I)</f>
        <v>0</v>
      </c>
      <c r="L198" s="13" t="e">
        <f>INDEX(Input!$D$2:$AD$500,
       MATCH(B198, Input!$J$2:$J$500, 0),
       MATCH("Memory Capacity", Input!$D$1:$AD$1, 0))</f>
        <v>#N/A</v>
      </c>
      <c r="M198" s="13" t="e">
        <f>INDEX(Input!$D$2:$AD$500,
       MATCH(B198, Input!$J$2:$J$500, 0),
       MATCH("Memory Type", Input!$D$1:$AD$1, 0))</f>
        <v>#N/A</v>
      </c>
      <c r="N198" s="13" t="e">
        <f t="shared" si="9"/>
        <v>#N/A</v>
      </c>
      <c r="S198" s="13" t="str">
        <f>_xlfn.LET(_xlpm.Result,_xlfn.XLOOKUP(B198,Input!J:J,Input!AB:AB),IF(_xlpm.Result="","",_xlpm.Result))</f>
        <v/>
      </c>
      <c r="T198" s="13" t="str" cm="1">
        <f t="array" ref="T198">IFERROR(_xlfn.IFS(
   --S198&lt;55,"Battery Defect",
  -- S198&lt;=69,"Battery D",
  --S198&lt;=80,"Battery C",
 --S198&gt;80,""
),"")</f>
        <v/>
      </c>
      <c r="U198" s="13" t="str" cm="1">
        <f t="array" ref="U198:Z198">IFERROR(IF(_xlfn.XLOOKUP(B198,Input!J:J,Input!N:S)=0,"",
          _xlfn.XLOOKUP(B198,Input!J:J,Input!N:S)),"")</f>
        <v/>
      </c>
      <c r="V198" s="13" t="str">
        <v/>
      </c>
      <c r="W198" s="13" t="str">
        <v/>
      </c>
      <c r="X198" s="13" t="str">
        <v/>
      </c>
      <c r="Y198" s="13" t="str">
        <v/>
      </c>
      <c r="Z198" s="13" t="str">
        <v/>
      </c>
      <c r="AA198" t="str">
        <f t="shared" si="10"/>
        <v/>
      </c>
      <c r="AB198" t="str">
        <f>_xlfn.XLOOKUP(B:B,Disk_Pivot!G:G,Disk_Pivot!I:I)</f>
        <v>No</v>
      </c>
      <c r="AC198" t="str">
        <f>_xlfn.XLOOKUP(B198,Disk_Pivot!G:G,Disk_Pivot!N:N)</f>
        <v/>
      </c>
    </row>
    <row r="199" spans="6:29">
      <c r="F199" t="str">
        <f>_xlfn.XLOOKUP(H199,Models!B:B,Models!F:F,"")</f>
        <v/>
      </c>
      <c r="K199">
        <f>_xlfn.XLOOKUP(B199,CPU_Formula!A:A,CPU_Formula!I:I)</f>
        <v>0</v>
      </c>
      <c r="L199" s="13" t="e">
        <f>INDEX(Input!$D$2:$AD$500,
       MATCH(B199, Input!$J$2:$J$500, 0),
       MATCH("Memory Capacity", Input!$D$1:$AD$1, 0))</f>
        <v>#N/A</v>
      </c>
      <c r="M199" s="13" t="e">
        <f>INDEX(Input!$D$2:$AD$500,
       MATCH(B199, Input!$J$2:$J$500, 0),
       MATCH("Memory Type", Input!$D$1:$AD$1, 0))</f>
        <v>#N/A</v>
      </c>
      <c r="N199" s="13" t="e">
        <f t="shared" si="9"/>
        <v>#N/A</v>
      </c>
      <c r="S199" s="13" t="str">
        <f>_xlfn.LET(_xlpm.Result,_xlfn.XLOOKUP(B199,Input!J:J,Input!AB:AB),IF(_xlpm.Result="","",_xlpm.Result))</f>
        <v/>
      </c>
      <c r="T199" s="13" t="str" cm="1">
        <f t="array" ref="T199">IFERROR(_xlfn.IFS(
   --S199&lt;55,"Battery Defect",
  -- S199&lt;=69,"Battery D",
  --S199&lt;=80,"Battery C",
 --S199&gt;80,""
),"")</f>
        <v/>
      </c>
      <c r="U199" s="13" t="str" cm="1">
        <f t="array" ref="U199:Z199">IFERROR(IF(_xlfn.XLOOKUP(B199,Input!J:J,Input!N:S)=0,"",
          _xlfn.XLOOKUP(B199,Input!J:J,Input!N:S)),"")</f>
        <v/>
      </c>
      <c r="V199" s="13" t="str">
        <v/>
      </c>
      <c r="W199" s="13" t="str">
        <v/>
      </c>
      <c r="X199" s="13" t="str">
        <v/>
      </c>
      <c r="Y199" s="13" t="str">
        <v/>
      </c>
      <c r="Z199" s="13" t="str">
        <v/>
      </c>
      <c r="AA199" t="str">
        <f t="shared" si="10"/>
        <v/>
      </c>
      <c r="AB199" t="str">
        <f>_xlfn.XLOOKUP(B:B,Disk_Pivot!G:G,Disk_Pivot!I:I)</f>
        <v>No</v>
      </c>
      <c r="AC199" t="str">
        <f>_xlfn.XLOOKUP(B199,Disk_Pivot!G:G,Disk_Pivot!N:N)</f>
        <v/>
      </c>
    </row>
    <row r="200" spans="6:29">
      <c r="F200" t="str">
        <f>_xlfn.XLOOKUP(H200,Models!B:B,Models!F:F,"")</f>
        <v/>
      </c>
      <c r="K200">
        <f>_xlfn.XLOOKUP(B200,CPU_Formula!A:A,CPU_Formula!I:I)</f>
        <v>0</v>
      </c>
      <c r="L200" s="13" t="e">
        <f>INDEX(Input!$D$2:$AD$500,
       MATCH(B200, Input!$J$2:$J$500, 0),
       MATCH("Memory Capacity", Input!$D$1:$AD$1, 0))</f>
        <v>#N/A</v>
      </c>
      <c r="M200" s="13" t="e">
        <f>INDEX(Input!$D$2:$AD$500,
       MATCH(B200, Input!$J$2:$J$500, 0),
       MATCH("Memory Type", Input!$D$1:$AD$1, 0))</f>
        <v>#N/A</v>
      </c>
      <c r="N200" s="13" t="e">
        <f t="shared" si="9"/>
        <v>#N/A</v>
      </c>
      <c r="S200" s="13" t="str">
        <f>_xlfn.LET(_xlpm.Result,_xlfn.XLOOKUP(B200,Input!J:J,Input!AB:AB),IF(_xlpm.Result="","",_xlpm.Result))</f>
        <v/>
      </c>
      <c r="T200" s="13" t="str" cm="1">
        <f t="array" ref="T200">IFERROR(_xlfn.IFS(
   --S200&lt;55,"Battery Defect",
  -- S200&lt;=69,"Battery D",
  --S200&lt;=80,"Battery C",
 --S200&gt;80,""
),"")</f>
        <v/>
      </c>
      <c r="U200" s="13" t="str" cm="1">
        <f t="array" ref="U200:Z200">IFERROR(IF(_xlfn.XLOOKUP(B200,Input!J:J,Input!N:S)=0,"",
          _xlfn.XLOOKUP(B200,Input!J:J,Input!N:S)),"")</f>
        <v/>
      </c>
      <c r="V200" s="13" t="str">
        <v/>
      </c>
      <c r="W200" s="13" t="str">
        <v/>
      </c>
      <c r="X200" s="13" t="str">
        <v/>
      </c>
      <c r="Y200" s="13" t="str">
        <v/>
      </c>
      <c r="Z200" s="13" t="str">
        <v/>
      </c>
      <c r="AA200" t="str">
        <f t="shared" si="10"/>
        <v/>
      </c>
      <c r="AB200" t="str">
        <f>_xlfn.XLOOKUP(B:B,Disk_Pivot!G:G,Disk_Pivot!I:I)</f>
        <v>No</v>
      </c>
      <c r="AC200" t="str">
        <f>_xlfn.XLOOKUP(B200,Disk_Pivot!G:G,Disk_Pivot!N:N)</f>
        <v/>
      </c>
    </row>
    <row r="201" spans="6:29">
      <c r="F201" t="str">
        <f>_xlfn.XLOOKUP(H201,Models!B:B,Models!F:F,"")</f>
        <v/>
      </c>
      <c r="K201">
        <f>_xlfn.XLOOKUP(B201,CPU_Formula!A:A,CPU_Formula!I:I)</f>
        <v>0</v>
      </c>
      <c r="L201" s="13" t="e">
        <f>INDEX(Input!$D$2:$AD$500,
       MATCH(B201, Input!$J$2:$J$500, 0),
       MATCH("Memory Capacity", Input!$D$1:$AD$1, 0))</f>
        <v>#N/A</v>
      </c>
      <c r="M201" s="13" t="e">
        <f>INDEX(Input!$D$2:$AD$500,
       MATCH(B201, Input!$J$2:$J$500, 0),
       MATCH("Memory Type", Input!$D$1:$AD$1, 0))</f>
        <v>#N/A</v>
      </c>
      <c r="N201" s="13" t="e">
        <f t="shared" si="9"/>
        <v>#N/A</v>
      </c>
      <c r="S201" s="13" t="str">
        <f>_xlfn.LET(_xlpm.Result,_xlfn.XLOOKUP(B201,Input!J:J,Input!AB:AB),IF(_xlpm.Result="","",_xlpm.Result))</f>
        <v/>
      </c>
      <c r="T201" s="13" t="str" cm="1">
        <f t="array" ref="T201">IFERROR(_xlfn.IFS(
   --S201&lt;55,"Battery Defect",
  -- S201&lt;=69,"Battery D",
  --S201&lt;=80,"Battery C",
 --S201&gt;80,""
),"")</f>
        <v/>
      </c>
      <c r="U201" s="13" t="str" cm="1">
        <f t="array" ref="U201:Z201">IFERROR(IF(_xlfn.XLOOKUP(B201,Input!J:J,Input!N:S)=0,"",
          _xlfn.XLOOKUP(B201,Input!J:J,Input!N:S)),"")</f>
        <v/>
      </c>
      <c r="V201" s="13" t="str">
        <v/>
      </c>
      <c r="W201" s="13" t="str">
        <v/>
      </c>
      <c r="X201" s="13" t="str">
        <v/>
      </c>
      <c r="Y201" s="13" t="str">
        <v/>
      </c>
      <c r="Z201" s="13" t="str">
        <v/>
      </c>
      <c r="AA201" t="str">
        <f t="shared" si="10"/>
        <v/>
      </c>
      <c r="AB201" t="str">
        <f>_xlfn.XLOOKUP(B:B,Disk_Pivot!G:G,Disk_Pivot!I:I)</f>
        <v>No</v>
      </c>
      <c r="AC201" t="str">
        <f>_xlfn.XLOOKUP(B201,Disk_Pivot!G:G,Disk_Pivot!N:N)</f>
        <v/>
      </c>
    </row>
    <row r="202" spans="6:29">
      <c r="F202" t="str">
        <f>_xlfn.XLOOKUP(H202,Models!B:B,Models!F:F,"")</f>
        <v/>
      </c>
      <c r="K202">
        <f>_xlfn.XLOOKUP(B202,CPU_Formula!A:A,CPU_Formula!I:I)</f>
        <v>0</v>
      </c>
      <c r="L202" s="13" t="e">
        <f>INDEX(Input!$D$2:$AD$500,
       MATCH(B202, Input!$J$2:$J$500, 0),
       MATCH("Memory Capacity", Input!$D$1:$AD$1, 0))</f>
        <v>#N/A</v>
      </c>
      <c r="M202" s="13" t="e">
        <f>INDEX(Input!$D$2:$AD$500,
       MATCH(B202, Input!$J$2:$J$500, 0),
       MATCH("Memory Type", Input!$D$1:$AD$1, 0))</f>
        <v>#N/A</v>
      </c>
      <c r="N202" s="13" t="e">
        <f t="shared" si="9"/>
        <v>#N/A</v>
      </c>
      <c r="S202" s="13" t="str">
        <f>_xlfn.LET(_xlpm.Result,_xlfn.XLOOKUP(B202,Input!J:J,Input!AB:AB),IF(_xlpm.Result="","",_xlpm.Result))</f>
        <v/>
      </c>
      <c r="T202" s="13" t="str" cm="1">
        <f t="array" ref="T202">IFERROR(_xlfn.IFS(
   --S202&lt;55,"Battery Defect",
  -- S202&lt;=69,"Battery D",
  --S202&lt;=80,"Battery C",
 --S202&gt;80,""
),"")</f>
        <v/>
      </c>
      <c r="U202" s="13" t="str" cm="1">
        <f t="array" ref="U202:Z202">IFERROR(IF(_xlfn.XLOOKUP(B202,Input!J:J,Input!N:S)=0,"",
          _xlfn.XLOOKUP(B202,Input!J:J,Input!N:S)),"")</f>
        <v/>
      </c>
      <c r="V202" s="13" t="str">
        <v/>
      </c>
      <c r="W202" s="13" t="str">
        <v/>
      </c>
      <c r="X202" s="13" t="str">
        <v/>
      </c>
      <c r="Y202" s="13" t="str">
        <v/>
      </c>
      <c r="Z202" s="13" t="str">
        <v/>
      </c>
      <c r="AA202" t="str">
        <f t="shared" si="10"/>
        <v/>
      </c>
      <c r="AB202" t="str">
        <f>_xlfn.XLOOKUP(B:B,Disk_Pivot!G:G,Disk_Pivot!I:I)</f>
        <v>No</v>
      </c>
      <c r="AC202" t="str">
        <f>_xlfn.XLOOKUP(B202,Disk_Pivot!G:G,Disk_Pivot!N:N)</f>
        <v/>
      </c>
    </row>
    <row r="203" spans="6:29">
      <c r="F203" t="str">
        <f>_xlfn.XLOOKUP(H203,Models!B:B,Models!F:F,"")</f>
        <v/>
      </c>
      <c r="K203">
        <f>_xlfn.XLOOKUP(B203,CPU_Formula!A:A,CPU_Formula!I:I)</f>
        <v>0</v>
      </c>
      <c r="L203" s="13" t="e">
        <f>INDEX(Input!$D$2:$AD$500,
       MATCH(B203, Input!$J$2:$J$500, 0),
       MATCH("Memory Capacity", Input!$D$1:$AD$1, 0))</f>
        <v>#N/A</v>
      </c>
      <c r="M203" s="13" t="e">
        <f>INDEX(Input!$D$2:$AD$500,
       MATCH(B203, Input!$J$2:$J$500, 0),
       MATCH("Memory Type", Input!$D$1:$AD$1, 0))</f>
        <v>#N/A</v>
      </c>
      <c r="N203" s="13" t="e">
        <f t="shared" si="9"/>
        <v>#N/A</v>
      </c>
      <c r="S203" s="13" t="str">
        <f>_xlfn.LET(_xlpm.Result,_xlfn.XLOOKUP(B203,Input!J:J,Input!AB:AB),IF(_xlpm.Result="","",_xlpm.Result))</f>
        <v/>
      </c>
      <c r="T203" s="13" t="str" cm="1">
        <f t="array" ref="T203">IFERROR(_xlfn.IFS(
   --S203&lt;55,"Battery Defect",
  -- S203&lt;=69,"Battery D",
  --S203&lt;=80,"Battery C",
 --S203&gt;80,""
),"")</f>
        <v/>
      </c>
      <c r="U203" s="13" t="str" cm="1">
        <f t="array" ref="U203:Z203">IFERROR(IF(_xlfn.XLOOKUP(B203,Input!J:J,Input!N:S)=0,"",
          _xlfn.XLOOKUP(B203,Input!J:J,Input!N:S)),"")</f>
        <v/>
      </c>
      <c r="V203" s="13" t="str">
        <v/>
      </c>
      <c r="W203" s="13" t="str">
        <v/>
      </c>
      <c r="X203" s="13" t="str">
        <v/>
      </c>
      <c r="Y203" s="13" t="str">
        <v/>
      </c>
      <c r="Z203" s="13" t="str">
        <v/>
      </c>
      <c r="AA203" t="str">
        <f t="shared" si="10"/>
        <v/>
      </c>
      <c r="AB203" t="str">
        <f>_xlfn.XLOOKUP(B:B,Disk_Pivot!G:G,Disk_Pivot!I:I)</f>
        <v>No</v>
      </c>
      <c r="AC203" t="str">
        <f>_xlfn.XLOOKUP(B203,Disk_Pivot!G:G,Disk_Pivot!N:N)</f>
        <v/>
      </c>
    </row>
    <row r="204" spans="6:29">
      <c r="F204" t="str">
        <f>_xlfn.XLOOKUP(H204,Models!B:B,Models!F:F,"")</f>
        <v/>
      </c>
      <c r="K204">
        <f>_xlfn.XLOOKUP(B204,CPU_Formula!A:A,CPU_Formula!I:I)</f>
        <v>0</v>
      </c>
      <c r="L204" s="13" t="e">
        <f>INDEX(Input!$D$2:$AD$500,
       MATCH(B204, Input!$J$2:$J$500, 0),
       MATCH("Memory Capacity", Input!$D$1:$AD$1, 0))</f>
        <v>#N/A</v>
      </c>
      <c r="M204" s="13" t="e">
        <f>INDEX(Input!$D$2:$AD$500,
       MATCH(B204, Input!$J$2:$J$500, 0),
       MATCH("Memory Type", Input!$D$1:$AD$1, 0))</f>
        <v>#N/A</v>
      </c>
      <c r="N204" s="13" t="e">
        <f t="shared" si="9"/>
        <v>#N/A</v>
      </c>
      <c r="S204" s="13" t="str">
        <f>_xlfn.LET(_xlpm.Result,_xlfn.XLOOKUP(B204,Input!J:J,Input!AB:AB),IF(_xlpm.Result="","",_xlpm.Result))</f>
        <v/>
      </c>
      <c r="T204" s="13" t="str" cm="1">
        <f t="array" ref="T204">IFERROR(_xlfn.IFS(
   --S204&lt;55,"Battery Defect",
  -- S204&lt;=69,"Battery D",
  --S204&lt;=80,"Battery C",
 --S204&gt;80,""
),"")</f>
        <v/>
      </c>
      <c r="U204" s="13" t="str" cm="1">
        <f t="array" ref="U204:Z204">IFERROR(IF(_xlfn.XLOOKUP(B204,Input!J:J,Input!N:S)=0,"",
          _xlfn.XLOOKUP(B204,Input!J:J,Input!N:S)),"")</f>
        <v/>
      </c>
      <c r="V204" s="13" t="str">
        <v/>
      </c>
      <c r="W204" s="13" t="str">
        <v/>
      </c>
      <c r="X204" s="13" t="str">
        <v/>
      </c>
      <c r="Y204" s="13" t="str">
        <v/>
      </c>
      <c r="Z204" s="13" t="str">
        <v/>
      </c>
      <c r="AA204" t="str">
        <f t="shared" si="10"/>
        <v/>
      </c>
      <c r="AB204" t="str">
        <f>_xlfn.XLOOKUP(B:B,Disk_Pivot!G:G,Disk_Pivot!I:I)</f>
        <v>No</v>
      </c>
      <c r="AC204" t="str">
        <f>_xlfn.XLOOKUP(B204,Disk_Pivot!G:G,Disk_Pivot!N:N)</f>
        <v/>
      </c>
    </row>
    <row r="205" spans="6:29">
      <c r="F205" t="str">
        <f>_xlfn.XLOOKUP(H205,Models!B:B,Models!F:F,"")</f>
        <v/>
      </c>
      <c r="K205">
        <f>_xlfn.XLOOKUP(B205,CPU_Formula!A:A,CPU_Formula!I:I)</f>
        <v>0</v>
      </c>
      <c r="L205" s="13" t="e">
        <f>INDEX(Input!$D$2:$AD$500,
       MATCH(B205, Input!$J$2:$J$500, 0),
       MATCH("Memory Capacity", Input!$D$1:$AD$1, 0))</f>
        <v>#N/A</v>
      </c>
      <c r="M205" s="13" t="e">
        <f>INDEX(Input!$D$2:$AD$500,
       MATCH(B205, Input!$J$2:$J$500, 0),
       MATCH("Memory Type", Input!$D$1:$AD$1, 0))</f>
        <v>#N/A</v>
      </c>
      <c r="N205" s="13" t="e">
        <f t="shared" si="9"/>
        <v>#N/A</v>
      </c>
      <c r="S205" s="13" t="str">
        <f>_xlfn.LET(_xlpm.Result,_xlfn.XLOOKUP(B205,Input!J:J,Input!AB:AB),IF(_xlpm.Result="","",_xlpm.Result))</f>
        <v/>
      </c>
      <c r="T205" s="13" t="str" cm="1">
        <f t="array" ref="T205">IFERROR(_xlfn.IFS(
   --S205&lt;55,"Battery Defect",
  -- S205&lt;=69,"Battery D",
  --S205&lt;=80,"Battery C",
 --S205&gt;80,""
),"")</f>
        <v/>
      </c>
      <c r="U205" s="13" t="str" cm="1">
        <f t="array" ref="U205:Z205">IFERROR(IF(_xlfn.XLOOKUP(B205,Input!J:J,Input!N:S)=0,"",
          _xlfn.XLOOKUP(B205,Input!J:J,Input!N:S)),"")</f>
        <v/>
      </c>
      <c r="V205" s="13" t="str">
        <v/>
      </c>
      <c r="W205" s="13" t="str">
        <v/>
      </c>
      <c r="X205" s="13" t="str">
        <v/>
      </c>
      <c r="Y205" s="13" t="str">
        <v/>
      </c>
      <c r="Z205" s="13" t="str">
        <v/>
      </c>
      <c r="AA205" t="str">
        <f t="shared" si="10"/>
        <v/>
      </c>
      <c r="AB205" t="str">
        <f>_xlfn.XLOOKUP(B:B,Disk_Pivot!G:G,Disk_Pivot!I:I)</f>
        <v>No</v>
      </c>
      <c r="AC205" t="str">
        <f>_xlfn.XLOOKUP(B205,Disk_Pivot!G:G,Disk_Pivot!N:N)</f>
        <v/>
      </c>
    </row>
    <row r="206" spans="6:29">
      <c r="F206" t="str">
        <f>_xlfn.XLOOKUP(H206,Models!B:B,Models!F:F,"")</f>
        <v/>
      </c>
      <c r="K206">
        <f>_xlfn.XLOOKUP(B206,CPU_Formula!A:A,CPU_Formula!I:I)</f>
        <v>0</v>
      </c>
      <c r="L206" s="13" t="e">
        <f>INDEX(Input!$D$2:$AD$500,
       MATCH(B206, Input!$J$2:$J$500, 0),
       MATCH("Memory Capacity", Input!$D$1:$AD$1, 0))</f>
        <v>#N/A</v>
      </c>
      <c r="M206" s="13" t="e">
        <f>INDEX(Input!$D$2:$AD$500,
       MATCH(B206, Input!$J$2:$J$500, 0),
       MATCH("Memory Type", Input!$D$1:$AD$1, 0))</f>
        <v>#N/A</v>
      </c>
      <c r="N206" s="13" t="e">
        <f t="shared" si="9"/>
        <v>#N/A</v>
      </c>
      <c r="S206" s="13" t="str">
        <f>_xlfn.LET(_xlpm.Result,_xlfn.XLOOKUP(B206,Input!J:J,Input!AB:AB),IF(_xlpm.Result="","",_xlpm.Result))</f>
        <v/>
      </c>
      <c r="T206" s="13" t="str" cm="1">
        <f t="array" ref="T206">IFERROR(_xlfn.IFS(
   --S206&lt;55,"Battery Defect",
  -- S206&lt;=69,"Battery D",
  --S206&lt;=80,"Battery C",
 --S206&gt;80,""
),"")</f>
        <v/>
      </c>
      <c r="U206" s="13" t="str" cm="1">
        <f t="array" ref="U206:Z206">IFERROR(IF(_xlfn.XLOOKUP(B206,Input!J:J,Input!N:S)=0,"",
          _xlfn.XLOOKUP(B206,Input!J:J,Input!N:S)),"")</f>
        <v/>
      </c>
      <c r="V206" s="13" t="str">
        <v/>
      </c>
      <c r="W206" s="13" t="str">
        <v/>
      </c>
      <c r="X206" s="13" t="str">
        <v/>
      </c>
      <c r="Y206" s="13" t="str">
        <v/>
      </c>
      <c r="Z206" s="13" t="str">
        <v/>
      </c>
      <c r="AA206" t="str">
        <f t="shared" si="10"/>
        <v/>
      </c>
      <c r="AB206" t="str">
        <f>_xlfn.XLOOKUP(B:B,Disk_Pivot!G:G,Disk_Pivot!I:I)</f>
        <v>No</v>
      </c>
      <c r="AC206" t="str">
        <f>_xlfn.XLOOKUP(B206,Disk_Pivot!G:G,Disk_Pivot!N:N)</f>
        <v/>
      </c>
    </row>
    <row r="207" spans="6:29">
      <c r="F207" t="str">
        <f>_xlfn.XLOOKUP(H207,Models!B:B,Models!F:F,"")</f>
        <v/>
      </c>
      <c r="K207">
        <f>_xlfn.XLOOKUP(B207,CPU_Formula!A:A,CPU_Formula!I:I)</f>
        <v>0</v>
      </c>
      <c r="L207" s="13" t="e">
        <f>INDEX(Input!$D$2:$AD$500,
       MATCH(B207, Input!$J$2:$J$500, 0),
       MATCH("Memory Capacity", Input!$D$1:$AD$1, 0))</f>
        <v>#N/A</v>
      </c>
      <c r="M207" s="13" t="e">
        <f>INDEX(Input!$D$2:$AD$500,
       MATCH(B207, Input!$J$2:$J$500, 0),
       MATCH("Memory Type", Input!$D$1:$AD$1, 0))</f>
        <v>#N/A</v>
      </c>
      <c r="N207" s="13" t="e">
        <f t="shared" si="9"/>
        <v>#N/A</v>
      </c>
      <c r="S207" s="13" t="str">
        <f>_xlfn.LET(_xlpm.Result,_xlfn.XLOOKUP(B207,Input!J:J,Input!AB:AB),IF(_xlpm.Result="","",_xlpm.Result))</f>
        <v/>
      </c>
      <c r="T207" s="13" t="str" cm="1">
        <f t="array" ref="T207">IFERROR(_xlfn.IFS(
   --S207&lt;55,"Battery Defect",
  -- S207&lt;=69,"Battery D",
  --S207&lt;=80,"Battery C",
 --S207&gt;80,""
),"")</f>
        <v/>
      </c>
      <c r="U207" s="13" t="str" cm="1">
        <f t="array" ref="U207:Z207">IFERROR(IF(_xlfn.XLOOKUP(B207,Input!J:J,Input!N:S)=0,"",
          _xlfn.XLOOKUP(B207,Input!J:J,Input!N:S)),"")</f>
        <v/>
      </c>
      <c r="V207" s="13" t="str">
        <v/>
      </c>
      <c r="W207" s="13" t="str">
        <v/>
      </c>
      <c r="X207" s="13" t="str">
        <v/>
      </c>
      <c r="Y207" s="13" t="str">
        <v/>
      </c>
      <c r="Z207" s="13" t="str">
        <v/>
      </c>
      <c r="AA207" t="str">
        <f t="shared" si="10"/>
        <v/>
      </c>
      <c r="AB207" t="str">
        <f>_xlfn.XLOOKUP(B:B,Disk_Pivot!G:G,Disk_Pivot!I:I)</f>
        <v>No</v>
      </c>
      <c r="AC207" t="str">
        <f>_xlfn.XLOOKUP(B207,Disk_Pivot!G:G,Disk_Pivot!N:N)</f>
        <v/>
      </c>
    </row>
    <row r="208" spans="6:29">
      <c r="F208" t="str">
        <f>_xlfn.XLOOKUP(H208,Models!B:B,Models!F:F,"")</f>
        <v/>
      </c>
      <c r="K208">
        <f>_xlfn.XLOOKUP(B208,CPU_Formula!A:A,CPU_Formula!I:I)</f>
        <v>0</v>
      </c>
      <c r="L208" s="13" t="e">
        <f>INDEX(Input!$D$2:$AD$500,
       MATCH(B208, Input!$J$2:$J$500, 0),
       MATCH("Memory Capacity", Input!$D$1:$AD$1, 0))</f>
        <v>#N/A</v>
      </c>
      <c r="M208" s="13" t="e">
        <f>INDEX(Input!$D$2:$AD$500,
       MATCH(B208, Input!$J$2:$J$500, 0),
       MATCH("Memory Type", Input!$D$1:$AD$1, 0))</f>
        <v>#N/A</v>
      </c>
      <c r="N208" s="13" t="e">
        <f t="shared" si="9"/>
        <v>#N/A</v>
      </c>
      <c r="S208" s="13" t="str">
        <f>_xlfn.LET(_xlpm.Result,_xlfn.XLOOKUP(B208,Input!J:J,Input!AB:AB),IF(_xlpm.Result="","",_xlpm.Result))</f>
        <v/>
      </c>
      <c r="T208" s="13" t="str" cm="1">
        <f t="array" ref="T208">IFERROR(_xlfn.IFS(
   --S208&lt;55,"Battery Defect",
  -- S208&lt;=69,"Battery D",
  --S208&lt;=80,"Battery C",
 --S208&gt;80,""
),"")</f>
        <v/>
      </c>
      <c r="U208" s="13" t="str" cm="1">
        <f t="array" ref="U208:Z208">IFERROR(IF(_xlfn.XLOOKUP(B208,Input!J:J,Input!N:S)=0,"",
          _xlfn.XLOOKUP(B208,Input!J:J,Input!N:S)),"")</f>
        <v/>
      </c>
      <c r="V208" s="13" t="str">
        <v/>
      </c>
      <c r="W208" s="13" t="str">
        <v/>
      </c>
      <c r="X208" s="13" t="str">
        <v/>
      </c>
      <c r="Y208" s="13" t="str">
        <v/>
      </c>
      <c r="Z208" s="13" t="str">
        <v/>
      </c>
      <c r="AA208" t="str">
        <f t="shared" si="10"/>
        <v/>
      </c>
      <c r="AB208" t="str">
        <f>_xlfn.XLOOKUP(B:B,Disk_Pivot!G:G,Disk_Pivot!I:I)</f>
        <v>No</v>
      </c>
      <c r="AC208" t="str">
        <f>_xlfn.XLOOKUP(B208,Disk_Pivot!G:G,Disk_Pivot!N:N)</f>
        <v/>
      </c>
    </row>
    <row r="209" spans="6:29">
      <c r="F209" t="str">
        <f>_xlfn.XLOOKUP(H209,Models!B:B,Models!F:F,"")</f>
        <v/>
      </c>
      <c r="K209">
        <f>_xlfn.XLOOKUP(B209,CPU_Formula!A:A,CPU_Formula!I:I)</f>
        <v>0</v>
      </c>
      <c r="L209" s="13" t="e">
        <f>INDEX(Input!$D$2:$AD$500,
       MATCH(B209, Input!$J$2:$J$500, 0),
       MATCH("Memory Capacity", Input!$D$1:$AD$1, 0))</f>
        <v>#N/A</v>
      </c>
      <c r="M209" s="13" t="e">
        <f>INDEX(Input!$D$2:$AD$500,
       MATCH(B209, Input!$J$2:$J$500, 0),
       MATCH("Memory Type", Input!$D$1:$AD$1, 0))</f>
        <v>#N/A</v>
      </c>
      <c r="N209" s="13" t="e">
        <f t="shared" si="9"/>
        <v>#N/A</v>
      </c>
      <c r="S209" s="13" t="str">
        <f>_xlfn.LET(_xlpm.Result,_xlfn.XLOOKUP(B209,Input!J:J,Input!AB:AB),IF(_xlpm.Result="","",_xlpm.Result))</f>
        <v/>
      </c>
      <c r="T209" s="13" t="str" cm="1">
        <f t="array" ref="T209">IFERROR(_xlfn.IFS(
   --S209&lt;55,"Battery Defect",
  -- S209&lt;=69,"Battery D",
  --S209&lt;=80,"Battery C",
 --S209&gt;80,""
),"")</f>
        <v/>
      </c>
      <c r="U209" s="13" t="str" cm="1">
        <f t="array" ref="U209:Z209">IFERROR(IF(_xlfn.XLOOKUP(B209,Input!J:J,Input!N:S)=0,"",
          _xlfn.XLOOKUP(B209,Input!J:J,Input!N:S)),"")</f>
        <v/>
      </c>
      <c r="V209" s="13" t="str">
        <v/>
      </c>
      <c r="W209" s="13" t="str">
        <v/>
      </c>
      <c r="X209" s="13" t="str">
        <v/>
      </c>
      <c r="Y209" s="13" t="str">
        <v/>
      </c>
      <c r="Z209" s="13" t="str">
        <v/>
      </c>
      <c r="AA209" t="str">
        <f t="shared" si="10"/>
        <v/>
      </c>
      <c r="AB209" t="str">
        <f>_xlfn.XLOOKUP(B:B,Disk_Pivot!G:G,Disk_Pivot!I:I)</f>
        <v>No</v>
      </c>
      <c r="AC209" t="str">
        <f>_xlfn.XLOOKUP(B209,Disk_Pivot!G:G,Disk_Pivot!N:N)</f>
        <v/>
      </c>
    </row>
    <row r="210" spans="6:29">
      <c r="F210" t="str">
        <f>_xlfn.XLOOKUP(H210,Models!B:B,Models!F:F,"")</f>
        <v/>
      </c>
      <c r="K210">
        <f>_xlfn.XLOOKUP(B210,CPU_Formula!A:A,CPU_Formula!I:I)</f>
        <v>0</v>
      </c>
      <c r="L210" s="13" t="e">
        <f>INDEX(Input!$D$2:$AD$500,
       MATCH(B210, Input!$J$2:$J$500, 0),
       MATCH("Memory Capacity", Input!$D$1:$AD$1, 0))</f>
        <v>#N/A</v>
      </c>
      <c r="M210" s="13" t="e">
        <f>INDEX(Input!$D$2:$AD$500,
       MATCH(B210, Input!$J$2:$J$500, 0),
       MATCH("Memory Type", Input!$D$1:$AD$1, 0))</f>
        <v>#N/A</v>
      </c>
      <c r="N210" s="13" t="e">
        <f t="shared" si="9"/>
        <v>#N/A</v>
      </c>
      <c r="S210" s="13" t="str">
        <f>_xlfn.LET(_xlpm.Result,_xlfn.XLOOKUP(B210,Input!J:J,Input!AB:AB),IF(_xlpm.Result="","",_xlpm.Result))</f>
        <v/>
      </c>
      <c r="T210" s="13" t="str" cm="1">
        <f t="array" ref="T210">IFERROR(_xlfn.IFS(
   --S210&lt;55,"Battery Defect",
  -- S210&lt;=69,"Battery D",
  --S210&lt;=80,"Battery C",
 --S210&gt;80,""
),"")</f>
        <v/>
      </c>
      <c r="U210" s="13" t="str" cm="1">
        <f t="array" ref="U210:Z210">IFERROR(IF(_xlfn.XLOOKUP(B210,Input!J:J,Input!N:S)=0,"",
          _xlfn.XLOOKUP(B210,Input!J:J,Input!N:S)),"")</f>
        <v/>
      </c>
      <c r="V210" s="13" t="str">
        <v/>
      </c>
      <c r="W210" s="13" t="str">
        <v/>
      </c>
      <c r="X210" s="13" t="str">
        <v/>
      </c>
      <c r="Y210" s="13" t="str">
        <v/>
      </c>
      <c r="Z210" s="13" t="str">
        <v/>
      </c>
      <c r="AA210" t="str">
        <f t="shared" si="10"/>
        <v/>
      </c>
      <c r="AB210" t="str">
        <f>_xlfn.XLOOKUP(B:B,Disk_Pivot!G:G,Disk_Pivot!I:I)</f>
        <v>No</v>
      </c>
      <c r="AC210" t="str">
        <f>_xlfn.XLOOKUP(B210,Disk_Pivot!G:G,Disk_Pivot!N:N)</f>
        <v/>
      </c>
    </row>
    <row r="211" spans="6:29">
      <c r="F211" t="str">
        <f>_xlfn.XLOOKUP(H211,Models!B:B,Models!F:F,"")</f>
        <v/>
      </c>
      <c r="K211">
        <f>_xlfn.XLOOKUP(B211,CPU_Formula!A:A,CPU_Formula!I:I)</f>
        <v>0</v>
      </c>
      <c r="L211" s="13" t="e">
        <f>INDEX(Input!$D$2:$AD$500,
       MATCH(B211, Input!$J$2:$J$500, 0),
       MATCH("Memory Capacity", Input!$D$1:$AD$1, 0))</f>
        <v>#N/A</v>
      </c>
      <c r="M211" s="13" t="e">
        <f>INDEX(Input!$D$2:$AD$500,
       MATCH(B211, Input!$J$2:$J$500, 0),
       MATCH("Memory Type", Input!$D$1:$AD$1, 0))</f>
        <v>#N/A</v>
      </c>
      <c r="N211" s="13" t="e">
        <f t="shared" si="9"/>
        <v>#N/A</v>
      </c>
      <c r="S211" s="13" t="str">
        <f>_xlfn.LET(_xlpm.Result,_xlfn.XLOOKUP(B211,Input!J:J,Input!AB:AB),IF(_xlpm.Result="","",_xlpm.Result))</f>
        <v/>
      </c>
      <c r="T211" s="13" t="str" cm="1">
        <f t="array" ref="T211">IFERROR(_xlfn.IFS(
   --S211&lt;55,"Battery Defect",
  -- S211&lt;=69,"Battery D",
  --S211&lt;=80,"Battery C",
 --S211&gt;80,""
),"")</f>
        <v/>
      </c>
      <c r="U211" s="13" t="str" cm="1">
        <f t="array" ref="U211:Z211">IFERROR(IF(_xlfn.XLOOKUP(B211,Input!J:J,Input!N:S)=0,"",
          _xlfn.XLOOKUP(B211,Input!J:J,Input!N:S)),"")</f>
        <v/>
      </c>
      <c r="V211" s="13" t="str">
        <v/>
      </c>
      <c r="W211" s="13" t="str">
        <v/>
      </c>
      <c r="X211" s="13" t="str">
        <v/>
      </c>
      <c r="Y211" s="13" t="str">
        <v/>
      </c>
      <c r="Z211" s="13" t="str">
        <v/>
      </c>
      <c r="AA211" t="str">
        <f t="shared" si="10"/>
        <v/>
      </c>
      <c r="AB211" t="str">
        <f>_xlfn.XLOOKUP(B:B,Disk_Pivot!G:G,Disk_Pivot!I:I)</f>
        <v>No</v>
      </c>
      <c r="AC211" t="str">
        <f>_xlfn.XLOOKUP(B211,Disk_Pivot!G:G,Disk_Pivot!N:N)</f>
        <v/>
      </c>
    </row>
    <row r="212" spans="6:29">
      <c r="F212" t="str">
        <f>_xlfn.XLOOKUP(H212,Models!B:B,Models!F:F,"")</f>
        <v/>
      </c>
      <c r="K212">
        <f>_xlfn.XLOOKUP(B212,CPU_Formula!A:A,CPU_Formula!I:I)</f>
        <v>0</v>
      </c>
      <c r="L212" s="13" t="e">
        <f>INDEX(Input!$D$2:$AD$500,
       MATCH(B212, Input!$J$2:$J$500, 0),
       MATCH("Memory Capacity", Input!$D$1:$AD$1, 0))</f>
        <v>#N/A</v>
      </c>
      <c r="M212" s="13" t="e">
        <f>INDEX(Input!$D$2:$AD$500,
       MATCH(B212, Input!$J$2:$J$500, 0),
       MATCH("Memory Type", Input!$D$1:$AD$1, 0))</f>
        <v>#N/A</v>
      </c>
      <c r="N212" s="13" t="e">
        <f t="shared" si="9"/>
        <v>#N/A</v>
      </c>
      <c r="S212" s="13" t="str">
        <f>_xlfn.LET(_xlpm.Result,_xlfn.XLOOKUP(B212,Input!J:J,Input!AB:AB),IF(_xlpm.Result="","",_xlpm.Result))</f>
        <v/>
      </c>
      <c r="T212" s="13" t="str" cm="1">
        <f t="array" ref="T212">IFERROR(_xlfn.IFS(
   --S212&lt;55,"Battery Defect",
  -- S212&lt;=69,"Battery D",
  --S212&lt;=80,"Battery C",
 --S212&gt;80,""
),"")</f>
        <v/>
      </c>
      <c r="U212" s="13" t="str" cm="1">
        <f t="array" ref="U212:Z212">IFERROR(IF(_xlfn.XLOOKUP(B212,Input!J:J,Input!N:S)=0,"",
          _xlfn.XLOOKUP(B212,Input!J:J,Input!N:S)),"")</f>
        <v/>
      </c>
      <c r="V212" s="13" t="str">
        <v/>
      </c>
      <c r="W212" s="13" t="str">
        <v/>
      </c>
      <c r="X212" s="13" t="str">
        <v/>
      </c>
      <c r="Y212" s="13" t="str">
        <v/>
      </c>
      <c r="Z212" s="13" t="str">
        <v/>
      </c>
      <c r="AA212" t="str">
        <f t="shared" si="10"/>
        <v/>
      </c>
      <c r="AB212" t="str">
        <f>_xlfn.XLOOKUP(B:B,Disk_Pivot!G:G,Disk_Pivot!I:I)</f>
        <v>No</v>
      </c>
      <c r="AC212" t="str">
        <f>_xlfn.XLOOKUP(B212,Disk_Pivot!G:G,Disk_Pivot!N:N)</f>
        <v/>
      </c>
    </row>
    <row r="213" spans="6:29">
      <c r="F213" t="str">
        <f>_xlfn.XLOOKUP(H213,Models!B:B,Models!F:F,"")</f>
        <v/>
      </c>
      <c r="K213">
        <f>_xlfn.XLOOKUP(B213,CPU_Formula!A:A,CPU_Formula!I:I)</f>
        <v>0</v>
      </c>
      <c r="L213" s="13" t="e">
        <f>INDEX(Input!$D$2:$AD$500,
       MATCH(B213, Input!$J$2:$J$500, 0),
       MATCH("Memory Capacity", Input!$D$1:$AD$1, 0))</f>
        <v>#N/A</v>
      </c>
      <c r="M213" s="13" t="e">
        <f>INDEX(Input!$D$2:$AD$500,
       MATCH(B213, Input!$J$2:$J$500, 0),
       MATCH("Memory Type", Input!$D$1:$AD$1, 0))</f>
        <v>#N/A</v>
      </c>
      <c r="N213" s="13" t="e">
        <f t="shared" si="9"/>
        <v>#N/A</v>
      </c>
      <c r="S213" s="13" t="str">
        <f>_xlfn.LET(_xlpm.Result,_xlfn.XLOOKUP(B213,Input!J:J,Input!AB:AB),IF(_xlpm.Result="","",_xlpm.Result))</f>
        <v/>
      </c>
      <c r="T213" s="13" t="str" cm="1">
        <f t="array" ref="T213">IFERROR(_xlfn.IFS(
   --S213&lt;55,"Battery Defect",
  -- S213&lt;=69,"Battery D",
  --S213&lt;=80,"Battery C",
 --S213&gt;80,""
),"")</f>
        <v/>
      </c>
      <c r="U213" s="13" t="str" cm="1">
        <f t="array" ref="U213:Z213">IFERROR(IF(_xlfn.XLOOKUP(B213,Input!J:J,Input!N:S)=0,"",
          _xlfn.XLOOKUP(B213,Input!J:J,Input!N:S)),"")</f>
        <v/>
      </c>
      <c r="V213" s="13" t="str">
        <v/>
      </c>
      <c r="W213" s="13" t="str">
        <v/>
      </c>
      <c r="X213" s="13" t="str">
        <v/>
      </c>
      <c r="Y213" s="13" t="str">
        <v/>
      </c>
      <c r="Z213" s="13" t="str">
        <v/>
      </c>
      <c r="AA213" t="str">
        <f t="shared" si="10"/>
        <v/>
      </c>
      <c r="AB213" t="str">
        <f>_xlfn.XLOOKUP(B:B,Disk_Pivot!G:G,Disk_Pivot!I:I)</f>
        <v>No</v>
      </c>
      <c r="AC213" t="str">
        <f>_xlfn.XLOOKUP(B213,Disk_Pivot!G:G,Disk_Pivot!N:N)</f>
        <v/>
      </c>
    </row>
    <row r="214" spans="6:29">
      <c r="F214" t="str">
        <f>_xlfn.XLOOKUP(H214,Models!B:B,Models!F:F,"")</f>
        <v/>
      </c>
      <c r="K214">
        <f>_xlfn.XLOOKUP(B214,CPU_Formula!A:A,CPU_Formula!I:I)</f>
        <v>0</v>
      </c>
      <c r="L214" s="13" t="e">
        <f>INDEX(Input!$D$2:$AD$500,
       MATCH(B214, Input!$J$2:$J$500, 0),
       MATCH("Memory Capacity", Input!$D$1:$AD$1, 0))</f>
        <v>#N/A</v>
      </c>
      <c r="M214" s="13" t="e">
        <f>INDEX(Input!$D$2:$AD$500,
       MATCH(B214, Input!$J$2:$J$500, 0),
       MATCH("Memory Type", Input!$D$1:$AD$1, 0))</f>
        <v>#N/A</v>
      </c>
      <c r="N214" s="13" t="e">
        <f t="shared" si="9"/>
        <v>#N/A</v>
      </c>
      <c r="S214" s="13" t="str">
        <f>_xlfn.LET(_xlpm.Result,_xlfn.XLOOKUP(B214,Input!J:J,Input!AB:AB),IF(_xlpm.Result="","",_xlpm.Result))</f>
        <v/>
      </c>
      <c r="T214" s="13" t="str" cm="1">
        <f t="array" ref="T214">IFERROR(_xlfn.IFS(
   --S214&lt;55,"Battery Defect",
  -- S214&lt;=69,"Battery D",
  --S214&lt;=80,"Battery C",
 --S214&gt;80,""
),"")</f>
        <v/>
      </c>
      <c r="U214" s="13" t="str" cm="1">
        <f t="array" ref="U214:Z214">IFERROR(IF(_xlfn.XLOOKUP(B214,Input!J:J,Input!N:S)=0,"",
          _xlfn.XLOOKUP(B214,Input!J:J,Input!N:S)),"")</f>
        <v/>
      </c>
      <c r="V214" s="13" t="str">
        <v/>
      </c>
      <c r="W214" s="13" t="str">
        <v/>
      </c>
      <c r="X214" s="13" t="str">
        <v/>
      </c>
      <c r="Y214" s="13" t="str">
        <v/>
      </c>
      <c r="Z214" s="13" t="str">
        <v/>
      </c>
      <c r="AA214" t="str">
        <f t="shared" si="10"/>
        <v/>
      </c>
      <c r="AB214" t="str">
        <f>_xlfn.XLOOKUP(B:B,Disk_Pivot!G:G,Disk_Pivot!I:I)</f>
        <v>No</v>
      </c>
      <c r="AC214" t="str">
        <f>_xlfn.XLOOKUP(B214,Disk_Pivot!G:G,Disk_Pivot!N:N)</f>
        <v/>
      </c>
    </row>
    <row r="215" spans="6:29">
      <c r="F215" t="str">
        <f>_xlfn.XLOOKUP(H215,Models!B:B,Models!F:F,"")</f>
        <v/>
      </c>
      <c r="K215">
        <f>_xlfn.XLOOKUP(B215,CPU_Formula!A:A,CPU_Formula!I:I)</f>
        <v>0</v>
      </c>
      <c r="L215" s="13" t="e">
        <f>INDEX(Input!$D$2:$AD$500,
       MATCH(B215, Input!$J$2:$J$500, 0),
       MATCH("Memory Capacity", Input!$D$1:$AD$1, 0))</f>
        <v>#N/A</v>
      </c>
      <c r="M215" s="13" t="e">
        <f>INDEX(Input!$D$2:$AD$500,
       MATCH(B215, Input!$J$2:$J$500, 0),
       MATCH("Memory Type", Input!$D$1:$AD$1, 0))</f>
        <v>#N/A</v>
      </c>
      <c r="N215" s="13" t="e">
        <f t="shared" si="9"/>
        <v>#N/A</v>
      </c>
      <c r="S215" s="13" t="str">
        <f>_xlfn.LET(_xlpm.Result,_xlfn.XLOOKUP(B215,Input!J:J,Input!AB:AB),IF(_xlpm.Result="","",_xlpm.Result))</f>
        <v/>
      </c>
      <c r="T215" s="13" t="str" cm="1">
        <f t="array" ref="T215">IFERROR(_xlfn.IFS(
   --S215&lt;55,"Battery Defect",
  -- S215&lt;=69,"Battery D",
  --S215&lt;=80,"Battery C",
 --S215&gt;80,""
),"")</f>
        <v/>
      </c>
      <c r="U215" s="13" t="str" cm="1">
        <f t="array" ref="U215:Z215">IFERROR(IF(_xlfn.XLOOKUP(B215,Input!J:J,Input!N:S)=0,"",
          _xlfn.XLOOKUP(B215,Input!J:J,Input!N:S)),"")</f>
        <v/>
      </c>
      <c r="V215" s="13" t="str">
        <v/>
      </c>
      <c r="W215" s="13" t="str">
        <v/>
      </c>
      <c r="X215" s="13" t="str">
        <v/>
      </c>
      <c r="Y215" s="13" t="str">
        <v/>
      </c>
      <c r="Z215" s="13" t="str">
        <v/>
      </c>
      <c r="AA215" t="str">
        <f t="shared" si="10"/>
        <v/>
      </c>
      <c r="AB215" t="str">
        <f>_xlfn.XLOOKUP(B:B,Disk_Pivot!G:G,Disk_Pivot!I:I)</f>
        <v>No</v>
      </c>
      <c r="AC215" t="str">
        <f>_xlfn.XLOOKUP(B215,Disk_Pivot!G:G,Disk_Pivot!N:N)</f>
        <v/>
      </c>
    </row>
    <row r="216" spans="6:29">
      <c r="F216" t="str">
        <f>_xlfn.XLOOKUP(H216,Models!B:B,Models!F:F,"")</f>
        <v/>
      </c>
      <c r="K216">
        <f>_xlfn.XLOOKUP(B216,CPU_Formula!A:A,CPU_Formula!I:I)</f>
        <v>0</v>
      </c>
      <c r="L216" s="13" t="e">
        <f>INDEX(Input!$D$2:$AD$500,
       MATCH(B216, Input!$J$2:$J$500, 0),
       MATCH("Memory Capacity", Input!$D$1:$AD$1, 0))</f>
        <v>#N/A</v>
      </c>
      <c r="M216" s="13" t="e">
        <f>INDEX(Input!$D$2:$AD$500,
       MATCH(B216, Input!$J$2:$J$500, 0),
       MATCH("Memory Type", Input!$D$1:$AD$1, 0))</f>
        <v>#N/A</v>
      </c>
      <c r="N216" s="13" t="e">
        <f t="shared" si="9"/>
        <v>#N/A</v>
      </c>
      <c r="S216" s="13" t="str">
        <f>_xlfn.LET(_xlpm.Result,_xlfn.XLOOKUP(B216,Input!J:J,Input!AB:AB),IF(_xlpm.Result="","",_xlpm.Result))</f>
        <v/>
      </c>
      <c r="T216" s="13" t="str" cm="1">
        <f t="array" ref="T216">IFERROR(_xlfn.IFS(
   --S216&lt;55,"Battery Defect",
  -- S216&lt;=69,"Battery D",
  --S216&lt;=80,"Battery C",
 --S216&gt;80,""
),"")</f>
        <v/>
      </c>
      <c r="U216" s="13" t="str" cm="1">
        <f t="array" ref="U216:Z216">IFERROR(IF(_xlfn.XLOOKUP(B216,Input!J:J,Input!N:S)=0,"",
          _xlfn.XLOOKUP(B216,Input!J:J,Input!N:S)),"")</f>
        <v/>
      </c>
      <c r="V216" s="13" t="str">
        <v/>
      </c>
      <c r="W216" s="13" t="str">
        <v/>
      </c>
      <c r="X216" s="13" t="str">
        <v/>
      </c>
      <c r="Y216" s="13" t="str">
        <v/>
      </c>
      <c r="Z216" s="13" t="str">
        <v/>
      </c>
      <c r="AA216" t="str">
        <f t="shared" si="10"/>
        <v/>
      </c>
      <c r="AB216" t="str">
        <f>_xlfn.XLOOKUP(B:B,Disk_Pivot!G:G,Disk_Pivot!I:I)</f>
        <v>No</v>
      </c>
      <c r="AC216" t="str">
        <f>_xlfn.XLOOKUP(B216,Disk_Pivot!G:G,Disk_Pivot!N:N)</f>
        <v/>
      </c>
    </row>
    <row r="217" spans="6:29">
      <c r="F217" t="str">
        <f>_xlfn.XLOOKUP(H217,Models!B:B,Models!F:F,"")</f>
        <v/>
      </c>
      <c r="K217">
        <f>_xlfn.XLOOKUP(B217,CPU_Formula!A:A,CPU_Formula!I:I)</f>
        <v>0</v>
      </c>
      <c r="L217" s="13" t="e">
        <f>INDEX(Input!$D$2:$AD$500,
       MATCH(B217, Input!$J$2:$J$500, 0),
       MATCH("Memory Capacity", Input!$D$1:$AD$1, 0))</f>
        <v>#N/A</v>
      </c>
      <c r="M217" s="13" t="e">
        <f>INDEX(Input!$D$2:$AD$500,
       MATCH(B217, Input!$J$2:$J$500, 0),
       MATCH("Memory Type", Input!$D$1:$AD$1, 0))</f>
        <v>#N/A</v>
      </c>
      <c r="N217" s="13" t="e">
        <f t="shared" si="9"/>
        <v>#N/A</v>
      </c>
      <c r="S217" s="13" t="str">
        <f>_xlfn.LET(_xlpm.Result,_xlfn.XLOOKUP(B217,Input!J:J,Input!AB:AB),IF(_xlpm.Result="","",_xlpm.Result))</f>
        <v/>
      </c>
      <c r="T217" s="13" t="str" cm="1">
        <f t="array" ref="T217">IFERROR(_xlfn.IFS(
   --S217&lt;55,"Battery Defect",
  -- S217&lt;=69,"Battery D",
  --S217&lt;=80,"Battery C",
 --S217&gt;80,""
),"")</f>
        <v/>
      </c>
      <c r="U217" s="13" t="str" cm="1">
        <f t="array" ref="U217:Z217">IFERROR(IF(_xlfn.XLOOKUP(B217,Input!J:J,Input!N:S)=0,"",
          _xlfn.XLOOKUP(B217,Input!J:J,Input!N:S)),"")</f>
        <v/>
      </c>
      <c r="V217" s="13" t="str">
        <v/>
      </c>
      <c r="W217" s="13" t="str">
        <v/>
      </c>
      <c r="X217" s="13" t="str">
        <v/>
      </c>
      <c r="Y217" s="13" t="str">
        <v/>
      </c>
      <c r="Z217" s="13" t="str">
        <v/>
      </c>
      <c r="AA217" t="str">
        <f t="shared" si="10"/>
        <v/>
      </c>
      <c r="AB217" t="str">
        <f>_xlfn.XLOOKUP(B:B,Disk_Pivot!G:G,Disk_Pivot!I:I)</f>
        <v>No</v>
      </c>
      <c r="AC217" t="str">
        <f>_xlfn.XLOOKUP(B217,Disk_Pivot!G:G,Disk_Pivot!N:N)</f>
        <v/>
      </c>
    </row>
    <row r="218" spans="6:29">
      <c r="F218" t="str">
        <f>_xlfn.XLOOKUP(H218,Models!B:B,Models!F:F,"")</f>
        <v/>
      </c>
      <c r="K218">
        <f>_xlfn.XLOOKUP(B218,CPU_Formula!A:A,CPU_Formula!I:I)</f>
        <v>0</v>
      </c>
      <c r="L218" s="13" t="e">
        <f>INDEX(Input!$D$2:$AD$500,
       MATCH(B218, Input!$J$2:$J$500, 0),
       MATCH("Memory Capacity", Input!$D$1:$AD$1, 0))</f>
        <v>#N/A</v>
      </c>
      <c r="M218" s="13" t="e">
        <f>INDEX(Input!$D$2:$AD$500,
       MATCH(B218, Input!$J$2:$J$500, 0),
       MATCH("Memory Type", Input!$D$1:$AD$1, 0))</f>
        <v>#N/A</v>
      </c>
      <c r="N218" s="13" t="e">
        <f t="shared" si="9"/>
        <v>#N/A</v>
      </c>
      <c r="S218" s="13" t="str">
        <f>_xlfn.LET(_xlpm.Result,_xlfn.XLOOKUP(B218,Input!J:J,Input!AB:AB),IF(_xlpm.Result="","",_xlpm.Result))</f>
        <v/>
      </c>
      <c r="T218" s="13" t="str" cm="1">
        <f t="array" ref="T218">IFERROR(_xlfn.IFS(
   --S218&lt;55,"Battery Defect",
  -- S218&lt;=69,"Battery D",
  --S218&lt;=80,"Battery C",
 --S218&gt;80,""
),"")</f>
        <v/>
      </c>
      <c r="U218" s="13" t="str" cm="1">
        <f t="array" ref="U218:Z218">IFERROR(IF(_xlfn.XLOOKUP(B218,Input!J:J,Input!N:S)=0,"",
          _xlfn.XLOOKUP(B218,Input!J:J,Input!N:S)),"")</f>
        <v/>
      </c>
      <c r="V218" s="13" t="str">
        <v/>
      </c>
      <c r="W218" s="13" t="str">
        <v/>
      </c>
      <c r="X218" s="13" t="str">
        <v/>
      </c>
      <c r="Y218" s="13" t="str">
        <v/>
      </c>
      <c r="Z218" s="13" t="str">
        <v/>
      </c>
      <c r="AA218" t="str">
        <f t="shared" si="10"/>
        <v/>
      </c>
      <c r="AB218" t="str">
        <f>_xlfn.XLOOKUP(B:B,Disk_Pivot!G:G,Disk_Pivot!I:I)</f>
        <v>No</v>
      </c>
      <c r="AC218" t="str">
        <f>_xlfn.XLOOKUP(B218,Disk_Pivot!G:G,Disk_Pivot!N:N)</f>
        <v/>
      </c>
    </row>
    <row r="219" spans="6:29">
      <c r="F219" t="str">
        <f>_xlfn.XLOOKUP(H219,Models!B:B,Models!F:F,"")</f>
        <v/>
      </c>
      <c r="K219">
        <f>_xlfn.XLOOKUP(B219,CPU_Formula!A:A,CPU_Formula!I:I)</f>
        <v>0</v>
      </c>
      <c r="L219" s="13" t="e">
        <f>INDEX(Input!$D$2:$AD$500,
       MATCH(B219, Input!$J$2:$J$500, 0),
       MATCH("Memory Capacity", Input!$D$1:$AD$1, 0))</f>
        <v>#N/A</v>
      </c>
      <c r="M219" s="13" t="e">
        <f>INDEX(Input!$D$2:$AD$500,
       MATCH(B219, Input!$J$2:$J$500, 0),
       MATCH("Memory Type", Input!$D$1:$AD$1, 0))</f>
        <v>#N/A</v>
      </c>
      <c r="N219" s="13" t="e">
        <f t="shared" si="9"/>
        <v>#N/A</v>
      </c>
      <c r="S219" s="13" t="str">
        <f>_xlfn.LET(_xlpm.Result,_xlfn.XLOOKUP(B219,Input!J:J,Input!AB:AB),IF(_xlpm.Result="","",_xlpm.Result))</f>
        <v/>
      </c>
      <c r="T219" s="13" t="str" cm="1">
        <f t="array" ref="T219">IFERROR(_xlfn.IFS(
   --S219&lt;55,"Battery Defect",
  -- S219&lt;=69,"Battery D",
  --S219&lt;=80,"Battery C",
 --S219&gt;80,""
),"")</f>
        <v/>
      </c>
      <c r="U219" s="13" t="str" cm="1">
        <f t="array" ref="U219:Z219">IFERROR(IF(_xlfn.XLOOKUP(B219,Input!J:J,Input!N:S)=0,"",
          _xlfn.XLOOKUP(B219,Input!J:J,Input!N:S)),"")</f>
        <v/>
      </c>
      <c r="V219" s="13" t="str">
        <v/>
      </c>
      <c r="W219" s="13" t="str">
        <v/>
      </c>
      <c r="X219" s="13" t="str">
        <v/>
      </c>
      <c r="Y219" s="13" t="str">
        <v/>
      </c>
      <c r="Z219" s="13" t="str">
        <v/>
      </c>
      <c r="AA219" t="str">
        <f t="shared" si="10"/>
        <v/>
      </c>
      <c r="AB219" t="str">
        <f>_xlfn.XLOOKUP(B:B,Disk_Pivot!G:G,Disk_Pivot!I:I)</f>
        <v>No</v>
      </c>
      <c r="AC219" t="str">
        <f>_xlfn.XLOOKUP(B219,Disk_Pivot!G:G,Disk_Pivot!N:N)</f>
        <v/>
      </c>
    </row>
    <row r="220" spans="6:29">
      <c r="F220" t="str">
        <f>_xlfn.XLOOKUP(H220,Models!B:B,Models!F:F,"")</f>
        <v/>
      </c>
      <c r="K220">
        <f>_xlfn.XLOOKUP(B220,CPU_Formula!A:A,CPU_Formula!I:I)</f>
        <v>0</v>
      </c>
      <c r="L220" s="13" t="e">
        <f>INDEX(Input!$D$2:$AD$500,
       MATCH(B220, Input!$J$2:$J$500, 0),
       MATCH("Memory Capacity", Input!$D$1:$AD$1, 0))</f>
        <v>#N/A</v>
      </c>
      <c r="M220" s="13" t="e">
        <f>INDEX(Input!$D$2:$AD$500,
       MATCH(B220, Input!$J$2:$J$500, 0),
       MATCH("Memory Type", Input!$D$1:$AD$1, 0))</f>
        <v>#N/A</v>
      </c>
      <c r="N220" s="13" t="e">
        <f t="shared" si="9"/>
        <v>#N/A</v>
      </c>
      <c r="S220" s="13" t="str">
        <f>_xlfn.LET(_xlpm.Result,_xlfn.XLOOKUP(B220,Input!J:J,Input!AB:AB),IF(_xlpm.Result="","",_xlpm.Result))</f>
        <v/>
      </c>
      <c r="T220" s="13" t="str" cm="1">
        <f t="array" ref="T220">IFERROR(_xlfn.IFS(
   --S220&lt;55,"Battery Defect",
  -- S220&lt;=69,"Battery D",
  --S220&lt;=80,"Battery C",
 --S220&gt;80,""
),"")</f>
        <v/>
      </c>
      <c r="U220" s="13" t="str" cm="1">
        <f t="array" ref="U220:Z220">IFERROR(IF(_xlfn.XLOOKUP(B220,Input!J:J,Input!N:S)=0,"",
          _xlfn.XLOOKUP(B220,Input!J:J,Input!N:S)),"")</f>
        <v/>
      </c>
      <c r="V220" s="13" t="str">
        <v/>
      </c>
      <c r="W220" s="13" t="str">
        <v/>
      </c>
      <c r="X220" s="13" t="str">
        <v/>
      </c>
      <c r="Y220" s="13" t="str">
        <v/>
      </c>
      <c r="Z220" s="13" t="str">
        <v/>
      </c>
      <c r="AA220" t="str">
        <f t="shared" si="10"/>
        <v/>
      </c>
      <c r="AB220" t="str">
        <f>_xlfn.XLOOKUP(B:B,Disk_Pivot!G:G,Disk_Pivot!I:I)</f>
        <v>No</v>
      </c>
      <c r="AC220" t="str">
        <f>_xlfn.XLOOKUP(B220,Disk_Pivot!G:G,Disk_Pivot!N:N)</f>
        <v/>
      </c>
    </row>
    <row r="221" spans="6:29">
      <c r="F221" t="str">
        <f>_xlfn.XLOOKUP(H221,Models!B:B,Models!F:F,"")</f>
        <v/>
      </c>
      <c r="K221">
        <f>_xlfn.XLOOKUP(B221,CPU_Formula!A:A,CPU_Formula!I:I)</f>
        <v>0</v>
      </c>
      <c r="L221" s="13" t="e">
        <f>INDEX(Input!$D$2:$AD$500,
       MATCH(B221, Input!$J$2:$J$500, 0),
       MATCH("Memory Capacity", Input!$D$1:$AD$1, 0))</f>
        <v>#N/A</v>
      </c>
      <c r="M221" s="13" t="e">
        <f>INDEX(Input!$D$2:$AD$500,
       MATCH(B221, Input!$J$2:$J$500, 0),
       MATCH("Memory Type", Input!$D$1:$AD$1, 0))</f>
        <v>#N/A</v>
      </c>
      <c r="N221" s="13" t="e">
        <f t="shared" si="9"/>
        <v>#N/A</v>
      </c>
      <c r="S221" s="13" t="str">
        <f>_xlfn.LET(_xlpm.Result,_xlfn.XLOOKUP(B221,Input!J:J,Input!AB:AB),IF(_xlpm.Result="","",_xlpm.Result))</f>
        <v/>
      </c>
      <c r="T221" s="13" t="str" cm="1">
        <f t="array" ref="T221">IFERROR(_xlfn.IFS(
   --S221&lt;55,"Battery Defect",
  -- S221&lt;=69,"Battery D",
  --S221&lt;=80,"Battery C",
 --S221&gt;80,""
),"")</f>
        <v/>
      </c>
      <c r="U221" s="13" t="str" cm="1">
        <f t="array" ref="U221:Z221">IFERROR(IF(_xlfn.XLOOKUP(B221,Input!J:J,Input!N:S)=0,"",
          _xlfn.XLOOKUP(B221,Input!J:J,Input!N:S)),"")</f>
        <v/>
      </c>
      <c r="V221" s="13" t="str">
        <v/>
      </c>
      <c r="W221" s="13" t="str">
        <v/>
      </c>
      <c r="X221" s="13" t="str">
        <v/>
      </c>
      <c r="Y221" s="13" t="str">
        <v/>
      </c>
      <c r="Z221" s="13" t="str">
        <v/>
      </c>
      <c r="AA221" t="str">
        <f t="shared" si="10"/>
        <v/>
      </c>
      <c r="AB221" t="str">
        <f>_xlfn.XLOOKUP(B:B,Disk_Pivot!G:G,Disk_Pivot!I:I)</f>
        <v>No</v>
      </c>
      <c r="AC221" t="str">
        <f>_xlfn.XLOOKUP(B221,Disk_Pivot!G:G,Disk_Pivot!N:N)</f>
        <v/>
      </c>
    </row>
    <row r="222" spans="6:29">
      <c r="F222" t="str">
        <f>_xlfn.XLOOKUP(H222,Models!B:B,Models!F:F,"")</f>
        <v/>
      </c>
      <c r="K222">
        <f>_xlfn.XLOOKUP(B222,CPU_Formula!A:A,CPU_Formula!I:I)</f>
        <v>0</v>
      </c>
      <c r="L222" s="13" t="e">
        <f>INDEX(Input!$D$2:$AD$500,
       MATCH(B222, Input!$J$2:$J$500, 0),
       MATCH("Memory Capacity", Input!$D$1:$AD$1, 0))</f>
        <v>#N/A</v>
      </c>
      <c r="M222" s="13" t="e">
        <f>INDEX(Input!$D$2:$AD$500,
       MATCH(B222, Input!$J$2:$J$500, 0),
       MATCH("Memory Type", Input!$D$1:$AD$1, 0))</f>
        <v>#N/A</v>
      </c>
      <c r="N222" s="13" t="e">
        <f t="shared" si="9"/>
        <v>#N/A</v>
      </c>
      <c r="S222" s="13" t="str">
        <f>_xlfn.LET(_xlpm.Result,_xlfn.XLOOKUP(B222,Input!J:J,Input!AB:AB),IF(_xlpm.Result="","",_xlpm.Result))</f>
        <v/>
      </c>
      <c r="T222" s="13" t="str" cm="1">
        <f t="array" ref="T222">IFERROR(_xlfn.IFS(
   --S222&lt;55,"Battery Defect",
  -- S222&lt;=69,"Battery D",
  --S222&lt;=80,"Battery C",
 --S222&gt;80,""
),"")</f>
        <v/>
      </c>
      <c r="U222" s="13" t="str" cm="1">
        <f t="array" ref="U222:Z222">IFERROR(IF(_xlfn.XLOOKUP(B222,Input!J:J,Input!N:S)=0,"",
          _xlfn.XLOOKUP(B222,Input!J:J,Input!N:S)),"")</f>
        <v/>
      </c>
      <c r="V222" s="13" t="str">
        <v/>
      </c>
      <c r="W222" s="13" t="str">
        <v/>
      </c>
      <c r="X222" s="13" t="str">
        <v/>
      </c>
      <c r="Y222" s="13" t="str">
        <v/>
      </c>
      <c r="Z222" s="13" t="str">
        <v/>
      </c>
      <c r="AA222" t="str">
        <f t="shared" si="10"/>
        <v/>
      </c>
      <c r="AB222" t="str">
        <f>_xlfn.XLOOKUP(B:B,Disk_Pivot!G:G,Disk_Pivot!I:I)</f>
        <v>No</v>
      </c>
      <c r="AC222" t="str">
        <f>_xlfn.XLOOKUP(B222,Disk_Pivot!G:G,Disk_Pivot!N:N)</f>
        <v/>
      </c>
    </row>
    <row r="223" spans="6:29">
      <c r="F223" t="str">
        <f>_xlfn.XLOOKUP(H223,Models!B:B,Models!F:F,"")</f>
        <v/>
      </c>
      <c r="K223">
        <f>_xlfn.XLOOKUP(B223,CPU_Formula!A:A,CPU_Formula!I:I)</f>
        <v>0</v>
      </c>
      <c r="L223" s="13" t="e">
        <f>INDEX(Input!$D$2:$AD$500,
       MATCH(B223, Input!$J$2:$J$500, 0),
       MATCH("Memory Capacity", Input!$D$1:$AD$1, 0))</f>
        <v>#N/A</v>
      </c>
      <c r="M223" s="13" t="e">
        <f>INDEX(Input!$D$2:$AD$500,
       MATCH(B223, Input!$J$2:$J$500, 0),
       MATCH("Memory Type", Input!$D$1:$AD$1, 0))</f>
        <v>#N/A</v>
      </c>
      <c r="N223" s="13" t="e">
        <f t="shared" si="9"/>
        <v>#N/A</v>
      </c>
      <c r="S223" s="13" t="str">
        <f>_xlfn.LET(_xlpm.Result,_xlfn.XLOOKUP(B223,Input!J:J,Input!AB:AB),IF(_xlpm.Result="","",_xlpm.Result))</f>
        <v/>
      </c>
      <c r="T223" s="13" t="str" cm="1">
        <f t="array" ref="T223">IFERROR(_xlfn.IFS(
   --S223&lt;55,"Battery Defect",
  -- S223&lt;=69,"Battery D",
  --S223&lt;=80,"Battery C",
 --S223&gt;80,""
),"")</f>
        <v/>
      </c>
      <c r="U223" s="13" t="str" cm="1">
        <f t="array" ref="U223:Z223">IFERROR(IF(_xlfn.XLOOKUP(B223,Input!J:J,Input!N:S)=0,"",
          _xlfn.XLOOKUP(B223,Input!J:J,Input!N:S)),"")</f>
        <v/>
      </c>
      <c r="V223" s="13" t="str">
        <v/>
      </c>
      <c r="W223" s="13" t="str">
        <v/>
      </c>
      <c r="X223" s="13" t="str">
        <v/>
      </c>
      <c r="Y223" s="13" t="str">
        <v/>
      </c>
      <c r="Z223" s="13" t="str">
        <v/>
      </c>
      <c r="AA223" t="str">
        <f t="shared" si="10"/>
        <v/>
      </c>
      <c r="AB223" t="str">
        <f>_xlfn.XLOOKUP(B:B,Disk_Pivot!G:G,Disk_Pivot!I:I)</f>
        <v>No</v>
      </c>
      <c r="AC223" t="str">
        <f>_xlfn.XLOOKUP(B223,Disk_Pivot!G:G,Disk_Pivot!N:N)</f>
        <v/>
      </c>
    </row>
    <row r="224" spans="6:29">
      <c r="F224" t="str">
        <f>_xlfn.XLOOKUP(H224,Models!B:B,Models!F:F,"")</f>
        <v/>
      </c>
      <c r="K224">
        <f>_xlfn.XLOOKUP(B224,CPU_Formula!A:A,CPU_Formula!I:I)</f>
        <v>0</v>
      </c>
      <c r="L224" s="13" t="e">
        <f>INDEX(Input!$D$2:$AD$500,
       MATCH(B224, Input!$J$2:$J$500, 0),
       MATCH("Memory Capacity", Input!$D$1:$AD$1, 0))</f>
        <v>#N/A</v>
      </c>
      <c r="M224" s="13" t="e">
        <f>INDEX(Input!$D$2:$AD$500,
       MATCH(B224, Input!$J$2:$J$500, 0),
       MATCH("Memory Type", Input!$D$1:$AD$1, 0))</f>
        <v>#N/A</v>
      </c>
      <c r="N224" s="13" t="e">
        <f t="shared" si="9"/>
        <v>#N/A</v>
      </c>
      <c r="S224" s="13" t="str">
        <f>_xlfn.LET(_xlpm.Result,_xlfn.XLOOKUP(B224,Input!J:J,Input!AB:AB),IF(_xlpm.Result="","",_xlpm.Result))</f>
        <v/>
      </c>
      <c r="T224" s="13" t="str" cm="1">
        <f t="array" ref="T224">IFERROR(_xlfn.IFS(
   --S224&lt;55,"Battery Defect",
  -- S224&lt;=69,"Battery D",
  --S224&lt;=80,"Battery C",
 --S224&gt;80,""
),"")</f>
        <v/>
      </c>
      <c r="U224" s="13" t="str" cm="1">
        <f t="array" ref="U224:Z224">IFERROR(IF(_xlfn.XLOOKUP(B224,Input!J:J,Input!N:S)=0,"",
          _xlfn.XLOOKUP(B224,Input!J:J,Input!N:S)),"")</f>
        <v/>
      </c>
      <c r="V224" s="13" t="str">
        <v/>
      </c>
      <c r="W224" s="13" t="str">
        <v/>
      </c>
      <c r="X224" s="13" t="str">
        <v/>
      </c>
      <c r="Y224" s="13" t="str">
        <v/>
      </c>
      <c r="Z224" s="13" t="str">
        <v/>
      </c>
      <c r="AA224" t="str">
        <f t="shared" si="10"/>
        <v/>
      </c>
      <c r="AB224" t="str">
        <f>_xlfn.XLOOKUP(B:B,Disk_Pivot!G:G,Disk_Pivot!I:I)</f>
        <v>No</v>
      </c>
      <c r="AC224" t="str">
        <f>_xlfn.XLOOKUP(B224,Disk_Pivot!G:G,Disk_Pivot!N:N)</f>
        <v/>
      </c>
    </row>
    <row r="225" spans="6:29">
      <c r="F225" t="str">
        <f>_xlfn.XLOOKUP(H225,Models!B:B,Models!F:F,"")</f>
        <v/>
      </c>
      <c r="K225">
        <f>_xlfn.XLOOKUP(B225,CPU_Formula!A:A,CPU_Formula!I:I)</f>
        <v>0</v>
      </c>
      <c r="L225" s="13" t="e">
        <f>INDEX(Input!$D$2:$AD$500,
       MATCH(B225, Input!$J$2:$J$500, 0),
       MATCH("Memory Capacity", Input!$D$1:$AD$1, 0))</f>
        <v>#N/A</v>
      </c>
      <c r="M225" s="13" t="e">
        <f>INDEX(Input!$D$2:$AD$500,
       MATCH(B225, Input!$J$2:$J$500, 0),
       MATCH("Memory Type", Input!$D$1:$AD$1, 0))</f>
        <v>#N/A</v>
      </c>
      <c r="N225" s="13" t="e">
        <f t="shared" si="9"/>
        <v>#N/A</v>
      </c>
      <c r="S225" s="13" t="str">
        <f>_xlfn.LET(_xlpm.Result,_xlfn.XLOOKUP(B225,Input!J:J,Input!AB:AB),IF(_xlpm.Result="","",_xlpm.Result))</f>
        <v/>
      </c>
      <c r="T225" s="13" t="str" cm="1">
        <f t="array" ref="T225">IFERROR(_xlfn.IFS(
   --S225&lt;55,"Battery Defect",
  -- S225&lt;=69,"Battery D",
  --S225&lt;=80,"Battery C",
 --S225&gt;80,""
),"")</f>
        <v/>
      </c>
      <c r="U225" s="13" t="str" cm="1">
        <f t="array" ref="U225:Z225">IFERROR(IF(_xlfn.XLOOKUP(B225,Input!J:J,Input!N:S)=0,"",
          _xlfn.XLOOKUP(B225,Input!J:J,Input!N:S)),"")</f>
        <v/>
      </c>
      <c r="V225" s="13" t="str">
        <v/>
      </c>
      <c r="W225" s="13" t="str">
        <v/>
      </c>
      <c r="X225" s="13" t="str">
        <v/>
      </c>
      <c r="Y225" s="13" t="str">
        <v/>
      </c>
      <c r="Z225" s="13" t="str">
        <v/>
      </c>
      <c r="AA225" t="str">
        <f t="shared" si="10"/>
        <v/>
      </c>
      <c r="AB225" t="str">
        <f>_xlfn.XLOOKUP(B:B,Disk_Pivot!G:G,Disk_Pivot!I:I)</f>
        <v>No</v>
      </c>
      <c r="AC225" t="str">
        <f>_xlfn.XLOOKUP(B225,Disk_Pivot!G:G,Disk_Pivot!N:N)</f>
        <v/>
      </c>
    </row>
    <row r="226" spans="6:29">
      <c r="F226" t="str">
        <f>_xlfn.XLOOKUP(H226,Models!B:B,Models!F:F,"")</f>
        <v/>
      </c>
      <c r="K226">
        <f>_xlfn.XLOOKUP(B226,CPU_Formula!A:A,CPU_Formula!I:I)</f>
        <v>0</v>
      </c>
      <c r="L226" s="13" t="e">
        <f>INDEX(Input!$D$2:$AD$500,
       MATCH(B226, Input!$J$2:$J$500, 0),
       MATCH("Memory Capacity", Input!$D$1:$AD$1, 0))</f>
        <v>#N/A</v>
      </c>
      <c r="M226" s="13" t="e">
        <f>INDEX(Input!$D$2:$AD$500,
       MATCH(B226, Input!$J$2:$J$500, 0),
       MATCH("Memory Type", Input!$D$1:$AD$1, 0))</f>
        <v>#N/A</v>
      </c>
      <c r="N226" s="13" t="e">
        <f t="shared" si="9"/>
        <v>#N/A</v>
      </c>
      <c r="S226" s="13" t="str">
        <f>_xlfn.LET(_xlpm.Result,_xlfn.XLOOKUP(B226,Input!J:J,Input!AB:AB),IF(_xlpm.Result="","",_xlpm.Result))</f>
        <v/>
      </c>
      <c r="T226" s="13" t="str" cm="1">
        <f t="array" ref="T226">IFERROR(_xlfn.IFS(
   --S226&lt;55,"Battery Defect",
  -- S226&lt;=69,"Battery D",
  --S226&lt;=80,"Battery C",
 --S226&gt;80,""
),"")</f>
        <v/>
      </c>
      <c r="U226" s="13" t="str" cm="1">
        <f t="array" ref="U226:Z226">IFERROR(IF(_xlfn.XLOOKUP(B226,Input!J:J,Input!N:S)=0,"",
          _xlfn.XLOOKUP(B226,Input!J:J,Input!N:S)),"")</f>
        <v/>
      </c>
      <c r="V226" s="13" t="str">
        <v/>
      </c>
      <c r="W226" s="13" t="str">
        <v/>
      </c>
      <c r="X226" s="13" t="str">
        <v/>
      </c>
      <c r="Y226" s="13" t="str">
        <v/>
      </c>
      <c r="Z226" s="13" t="str">
        <v/>
      </c>
      <c r="AA226" t="str">
        <f t="shared" si="10"/>
        <v/>
      </c>
      <c r="AB226" t="str">
        <f>_xlfn.XLOOKUP(B:B,Disk_Pivot!G:G,Disk_Pivot!I:I)</f>
        <v>No</v>
      </c>
      <c r="AC226" t="str">
        <f>_xlfn.XLOOKUP(B226,Disk_Pivot!G:G,Disk_Pivot!N:N)</f>
        <v/>
      </c>
    </row>
    <row r="227" spans="6:29">
      <c r="F227" t="str">
        <f>_xlfn.XLOOKUP(H227,Models!B:B,Models!F:F,"")</f>
        <v/>
      </c>
      <c r="K227">
        <f>_xlfn.XLOOKUP(B227,CPU_Formula!A:A,CPU_Formula!I:I)</f>
        <v>0</v>
      </c>
      <c r="L227" s="13" t="e">
        <f>INDEX(Input!$D$2:$AD$500,
       MATCH(B227, Input!$J$2:$J$500, 0),
       MATCH("Memory Capacity", Input!$D$1:$AD$1, 0))</f>
        <v>#N/A</v>
      </c>
      <c r="M227" s="13" t="e">
        <f>INDEX(Input!$D$2:$AD$500,
       MATCH(B227, Input!$J$2:$J$500, 0),
       MATCH("Memory Type", Input!$D$1:$AD$1, 0))</f>
        <v>#N/A</v>
      </c>
      <c r="N227" s="13" t="e">
        <f t="shared" si="9"/>
        <v>#N/A</v>
      </c>
      <c r="S227" s="13" t="str">
        <f>_xlfn.LET(_xlpm.Result,_xlfn.XLOOKUP(B227,Input!J:J,Input!AB:AB),IF(_xlpm.Result="","",_xlpm.Result))</f>
        <v/>
      </c>
      <c r="T227" s="13" t="str" cm="1">
        <f t="array" ref="T227">IFERROR(_xlfn.IFS(
   --S227&lt;55,"Battery Defect",
  -- S227&lt;=69,"Battery D",
  --S227&lt;=80,"Battery C",
 --S227&gt;80,""
),"")</f>
        <v/>
      </c>
      <c r="U227" s="13" t="str" cm="1">
        <f t="array" ref="U227:Z227">IFERROR(IF(_xlfn.XLOOKUP(B227,Input!J:J,Input!N:S)=0,"",
          _xlfn.XLOOKUP(B227,Input!J:J,Input!N:S)),"")</f>
        <v/>
      </c>
      <c r="V227" s="13" t="str">
        <v/>
      </c>
      <c r="W227" s="13" t="str">
        <v/>
      </c>
      <c r="X227" s="13" t="str">
        <v/>
      </c>
      <c r="Y227" s="13" t="str">
        <v/>
      </c>
      <c r="Z227" s="13" t="str">
        <v/>
      </c>
      <c r="AA227" t="str">
        <f t="shared" si="10"/>
        <v/>
      </c>
      <c r="AB227" t="str">
        <f>_xlfn.XLOOKUP(B:B,Disk_Pivot!G:G,Disk_Pivot!I:I)</f>
        <v>No</v>
      </c>
      <c r="AC227" t="str">
        <f>_xlfn.XLOOKUP(B227,Disk_Pivot!G:G,Disk_Pivot!N:N)</f>
        <v/>
      </c>
    </row>
    <row r="228" spans="6:29">
      <c r="F228" t="str">
        <f>_xlfn.XLOOKUP(H228,Models!B:B,Models!F:F,"")</f>
        <v/>
      </c>
      <c r="K228">
        <f>_xlfn.XLOOKUP(B228,CPU_Formula!A:A,CPU_Formula!I:I)</f>
        <v>0</v>
      </c>
      <c r="L228" s="13" t="e">
        <f>INDEX(Input!$D$2:$AD$500,
       MATCH(B228, Input!$J$2:$J$500, 0),
       MATCH("Memory Capacity", Input!$D$1:$AD$1, 0))</f>
        <v>#N/A</v>
      </c>
      <c r="M228" s="13" t="e">
        <f>INDEX(Input!$D$2:$AD$500,
       MATCH(B228, Input!$J$2:$J$500, 0),
       MATCH("Memory Type", Input!$D$1:$AD$1, 0))</f>
        <v>#N/A</v>
      </c>
      <c r="N228" s="13" t="e">
        <f t="shared" si="9"/>
        <v>#N/A</v>
      </c>
      <c r="S228" s="13" t="str">
        <f>_xlfn.LET(_xlpm.Result,_xlfn.XLOOKUP(B228,Input!J:J,Input!AB:AB),IF(_xlpm.Result="","",_xlpm.Result))</f>
        <v/>
      </c>
      <c r="T228" s="13" t="str" cm="1">
        <f t="array" ref="T228">IFERROR(_xlfn.IFS(
   --S228&lt;55,"Battery Defect",
  -- S228&lt;=69,"Battery D",
  --S228&lt;=80,"Battery C",
 --S228&gt;80,""
),"")</f>
        <v/>
      </c>
      <c r="U228" s="13" t="str" cm="1">
        <f t="array" ref="U228:Z228">IFERROR(IF(_xlfn.XLOOKUP(B228,Input!J:J,Input!N:S)=0,"",
          _xlfn.XLOOKUP(B228,Input!J:J,Input!N:S)),"")</f>
        <v/>
      </c>
      <c r="V228" s="13" t="str">
        <v/>
      </c>
      <c r="W228" s="13" t="str">
        <v/>
      </c>
      <c r="X228" s="13" t="str">
        <v/>
      </c>
      <c r="Y228" s="13" t="str">
        <v/>
      </c>
      <c r="Z228" s="13" t="str">
        <v/>
      </c>
      <c r="AA228" t="str">
        <f t="shared" si="10"/>
        <v/>
      </c>
      <c r="AB228" t="str">
        <f>_xlfn.XLOOKUP(B:B,Disk_Pivot!G:G,Disk_Pivot!I:I)</f>
        <v>No</v>
      </c>
      <c r="AC228" t="str">
        <f>_xlfn.XLOOKUP(B228,Disk_Pivot!G:G,Disk_Pivot!N:N)</f>
        <v/>
      </c>
    </row>
    <row r="229" spans="6:29">
      <c r="F229" t="str">
        <f>_xlfn.XLOOKUP(H229,Models!B:B,Models!F:F,"")</f>
        <v/>
      </c>
      <c r="K229">
        <f>_xlfn.XLOOKUP(B229,CPU_Formula!A:A,CPU_Formula!I:I)</f>
        <v>0</v>
      </c>
      <c r="L229" s="13" t="e">
        <f>INDEX(Input!$D$2:$AD$500,
       MATCH(B229, Input!$J$2:$J$500, 0),
       MATCH("Memory Capacity", Input!$D$1:$AD$1, 0))</f>
        <v>#N/A</v>
      </c>
      <c r="M229" s="13" t="e">
        <f>INDEX(Input!$D$2:$AD$500,
       MATCH(B229, Input!$J$2:$J$500, 0),
       MATCH("Memory Type", Input!$D$1:$AD$1, 0))</f>
        <v>#N/A</v>
      </c>
      <c r="N229" s="13" t="e">
        <f t="shared" si="9"/>
        <v>#N/A</v>
      </c>
      <c r="S229" s="13" t="str">
        <f>_xlfn.LET(_xlpm.Result,_xlfn.XLOOKUP(B229,Input!J:J,Input!AB:AB),IF(_xlpm.Result="","",_xlpm.Result))</f>
        <v/>
      </c>
      <c r="T229" s="13" t="str" cm="1">
        <f t="array" ref="T229">IFERROR(_xlfn.IFS(
   --S229&lt;55,"Battery Defect",
  -- S229&lt;=69,"Battery D",
  --S229&lt;=80,"Battery C",
 --S229&gt;80,""
),"")</f>
        <v/>
      </c>
      <c r="U229" s="13" t="str" cm="1">
        <f t="array" ref="U229:Z229">IFERROR(IF(_xlfn.XLOOKUP(B229,Input!J:J,Input!N:S)=0,"",
          _xlfn.XLOOKUP(B229,Input!J:J,Input!N:S)),"")</f>
        <v/>
      </c>
      <c r="V229" s="13" t="str">
        <v/>
      </c>
      <c r="W229" s="13" t="str">
        <v/>
      </c>
      <c r="X229" s="13" t="str">
        <v/>
      </c>
      <c r="Y229" s="13" t="str">
        <v/>
      </c>
      <c r="Z229" s="13" t="str">
        <v/>
      </c>
      <c r="AA229" t="str">
        <f t="shared" si="10"/>
        <v/>
      </c>
      <c r="AB229" t="str">
        <f>_xlfn.XLOOKUP(B:B,Disk_Pivot!G:G,Disk_Pivot!I:I)</f>
        <v>No</v>
      </c>
      <c r="AC229" t="str">
        <f>_xlfn.XLOOKUP(B229,Disk_Pivot!G:G,Disk_Pivot!N:N)</f>
        <v/>
      </c>
    </row>
    <row r="230" spans="6:29">
      <c r="F230" t="str">
        <f>_xlfn.XLOOKUP(H230,Models!B:B,Models!F:F,"")</f>
        <v/>
      </c>
      <c r="K230">
        <f>_xlfn.XLOOKUP(B230,CPU_Formula!A:A,CPU_Formula!I:I)</f>
        <v>0</v>
      </c>
      <c r="L230" s="13" t="e">
        <f>INDEX(Input!$D$2:$AD$500,
       MATCH(B230, Input!$J$2:$J$500, 0),
       MATCH("Memory Capacity", Input!$D$1:$AD$1, 0))</f>
        <v>#N/A</v>
      </c>
      <c r="M230" s="13" t="e">
        <f>INDEX(Input!$D$2:$AD$500,
       MATCH(B230, Input!$J$2:$J$500, 0),
       MATCH("Memory Type", Input!$D$1:$AD$1, 0))</f>
        <v>#N/A</v>
      </c>
      <c r="N230" s="13" t="e">
        <f t="shared" si="9"/>
        <v>#N/A</v>
      </c>
      <c r="S230" s="13" t="str">
        <f>_xlfn.LET(_xlpm.Result,_xlfn.XLOOKUP(B230,Input!J:J,Input!AB:AB),IF(_xlpm.Result="","",_xlpm.Result))</f>
        <v/>
      </c>
      <c r="T230" s="13" t="str" cm="1">
        <f t="array" ref="T230">IFERROR(_xlfn.IFS(
   --S230&lt;55,"Battery Defect",
  -- S230&lt;=69,"Battery D",
  --S230&lt;=80,"Battery C",
 --S230&gt;80,""
),"")</f>
        <v/>
      </c>
      <c r="U230" s="13" t="str" cm="1">
        <f t="array" ref="U230:Z230">IFERROR(IF(_xlfn.XLOOKUP(B230,Input!J:J,Input!N:S)=0,"",
          _xlfn.XLOOKUP(B230,Input!J:J,Input!N:S)),"")</f>
        <v/>
      </c>
      <c r="V230" s="13" t="str">
        <v/>
      </c>
      <c r="W230" s="13" t="str">
        <v/>
      </c>
      <c r="X230" s="13" t="str">
        <v/>
      </c>
      <c r="Y230" s="13" t="str">
        <v/>
      </c>
      <c r="Z230" s="13" t="str">
        <v/>
      </c>
      <c r="AA230" t="str">
        <f t="shared" si="10"/>
        <v/>
      </c>
      <c r="AB230" t="str">
        <f>_xlfn.XLOOKUP(B:B,Disk_Pivot!G:G,Disk_Pivot!I:I)</f>
        <v>No</v>
      </c>
      <c r="AC230" t="str">
        <f>_xlfn.XLOOKUP(B230,Disk_Pivot!G:G,Disk_Pivot!N:N)</f>
        <v/>
      </c>
    </row>
    <row r="231" spans="6:29">
      <c r="F231" t="str">
        <f>_xlfn.XLOOKUP(H231,Models!B:B,Models!F:F,"")</f>
        <v/>
      </c>
      <c r="K231">
        <f>_xlfn.XLOOKUP(B231,CPU_Formula!A:A,CPU_Formula!I:I)</f>
        <v>0</v>
      </c>
      <c r="L231" s="13" t="e">
        <f>INDEX(Input!$D$2:$AD$500,
       MATCH(B231, Input!$J$2:$J$500, 0),
       MATCH("Memory Capacity", Input!$D$1:$AD$1, 0))</f>
        <v>#N/A</v>
      </c>
      <c r="M231" s="13" t="e">
        <f>INDEX(Input!$D$2:$AD$500,
       MATCH(B231, Input!$J$2:$J$500, 0),
       MATCH("Memory Type", Input!$D$1:$AD$1, 0))</f>
        <v>#N/A</v>
      </c>
      <c r="N231" s="13" t="e">
        <f t="shared" si="9"/>
        <v>#N/A</v>
      </c>
      <c r="S231" s="13" t="str">
        <f>_xlfn.LET(_xlpm.Result,_xlfn.XLOOKUP(B231,Input!J:J,Input!AB:AB),IF(_xlpm.Result="","",_xlpm.Result))</f>
        <v/>
      </c>
      <c r="T231" s="13" t="str" cm="1">
        <f t="array" ref="T231">IFERROR(_xlfn.IFS(
   --S231&lt;55,"Battery Defect",
  -- S231&lt;=69,"Battery D",
  --S231&lt;=80,"Battery C",
 --S231&gt;80,""
),"")</f>
        <v/>
      </c>
      <c r="U231" s="13" t="str" cm="1">
        <f t="array" ref="U231:Z231">IFERROR(IF(_xlfn.XLOOKUP(B231,Input!J:J,Input!N:S)=0,"",
          _xlfn.XLOOKUP(B231,Input!J:J,Input!N:S)),"")</f>
        <v/>
      </c>
      <c r="V231" s="13" t="str">
        <v/>
      </c>
      <c r="W231" s="13" t="str">
        <v/>
      </c>
      <c r="X231" s="13" t="str">
        <v/>
      </c>
      <c r="Y231" s="13" t="str">
        <v/>
      </c>
      <c r="Z231" s="13" t="str">
        <v/>
      </c>
      <c r="AA231" t="str">
        <f t="shared" si="10"/>
        <v/>
      </c>
      <c r="AB231" t="str">
        <f>_xlfn.XLOOKUP(B:B,Disk_Pivot!G:G,Disk_Pivot!I:I)</f>
        <v>No</v>
      </c>
      <c r="AC231" t="str">
        <f>_xlfn.XLOOKUP(B231,Disk_Pivot!G:G,Disk_Pivot!N:N)</f>
        <v/>
      </c>
    </row>
    <row r="232" spans="6:29">
      <c r="F232" t="str">
        <f>_xlfn.XLOOKUP(H232,Models!B:B,Models!F:F,"")</f>
        <v/>
      </c>
      <c r="K232">
        <f>_xlfn.XLOOKUP(B232,CPU_Formula!A:A,CPU_Formula!I:I)</f>
        <v>0</v>
      </c>
      <c r="L232" s="13" t="e">
        <f>INDEX(Input!$D$2:$AD$500,
       MATCH(B232, Input!$J$2:$J$500, 0),
       MATCH("Memory Capacity", Input!$D$1:$AD$1, 0))</f>
        <v>#N/A</v>
      </c>
      <c r="M232" s="13" t="e">
        <f>INDEX(Input!$D$2:$AD$500,
       MATCH(B232, Input!$J$2:$J$500, 0),
       MATCH("Memory Type", Input!$D$1:$AD$1, 0))</f>
        <v>#N/A</v>
      </c>
      <c r="N232" s="13" t="e">
        <f t="shared" si="9"/>
        <v>#N/A</v>
      </c>
      <c r="S232" s="13" t="str">
        <f>_xlfn.LET(_xlpm.Result,_xlfn.XLOOKUP(B232,Input!J:J,Input!AB:AB),IF(_xlpm.Result="","",_xlpm.Result))</f>
        <v/>
      </c>
      <c r="T232" s="13" t="str" cm="1">
        <f t="array" ref="T232">IFERROR(_xlfn.IFS(
   --S232&lt;55,"Battery Defect",
  -- S232&lt;=69,"Battery D",
  --S232&lt;=80,"Battery C",
 --S232&gt;80,""
),"")</f>
        <v/>
      </c>
      <c r="U232" s="13" t="str" cm="1">
        <f t="array" ref="U232:Z232">IFERROR(IF(_xlfn.XLOOKUP(B232,Input!J:J,Input!N:S)=0,"",
          _xlfn.XLOOKUP(B232,Input!J:J,Input!N:S)),"")</f>
        <v/>
      </c>
      <c r="V232" s="13" t="str">
        <v/>
      </c>
      <c r="W232" s="13" t="str">
        <v/>
      </c>
      <c r="X232" s="13" t="str">
        <v/>
      </c>
      <c r="Y232" s="13" t="str">
        <v/>
      </c>
      <c r="Z232" s="13" t="str">
        <v/>
      </c>
      <c r="AA232" t="str">
        <f t="shared" si="10"/>
        <v/>
      </c>
      <c r="AB232" t="str">
        <f>_xlfn.XLOOKUP(B:B,Disk_Pivot!G:G,Disk_Pivot!I:I)</f>
        <v>No</v>
      </c>
      <c r="AC232" t="str">
        <f>_xlfn.XLOOKUP(B232,Disk_Pivot!G:G,Disk_Pivot!N:N)</f>
        <v/>
      </c>
    </row>
    <row r="233" spans="6:29">
      <c r="F233" t="str">
        <f>_xlfn.XLOOKUP(H233,Models!B:B,Models!F:F,"")</f>
        <v/>
      </c>
      <c r="K233">
        <f>_xlfn.XLOOKUP(B233,CPU_Formula!A:A,CPU_Formula!I:I)</f>
        <v>0</v>
      </c>
      <c r="L233" s="13" t="e">
        <f>INDEX(Input!$D$2:$AD$500,
       MATCH(B233, Input!$J$2:$J$500, 0),
       MATCH("Memory Capacity", Input!$D$1:$AD$1, 0))</f>
        <v>#N/A</v>
      </c>
      <c r="M233" s="13" t="e">
        <f>INDEX(Input!$D$2:$AD$500,
       MATCH(B233, Input!$J$2:$J$500, 0),
       MATCH("Memory Type", Input!$D$1:$AD$1, 0))</f>
        <v>#N/A</v>
      </c>
      <c r="N233" s="13" t="e">
        <f t="shared" si="9"/>
        <v>#N/A</v>
      </c>
      <c r="S233" s="13" t="str">
        <f>_xlfn.LET(_xlpm.Result,_xlfn.XLOOKUP(B233,Input!J:J,Input!AB:AB),IF(_xlpm.Result="","",_xlpm.Result))</f>
        <v/>
      </c>
      <c r="T233" s="13" t="str" cm="1">
        <f t="array" ref="T233">IFERROR(_xlfn.IFS(
   --S233&lt;55,"Battery Defect",
  -- S233&lt;=69,"Battery D",
  --S233&lt;=80,"Battery C",
 --S233&gt;80,""
),"")</f>
        <v/>
      </c>
      <c r="U233" s="13" t="str" cm="1">
        <f t="array" ref="U233:Z233">IFERROR(IF(_xlfn.XLOOKUP(B233,Input!J:J,Input!N:S)=0,"",
          _xlfn.XLOOKUP(B233,Input!J:J,Input!N:S)),"")</f>
        <v/>
      </c>
      <c r="V233" s="13" t="str">
        <v/>
      </c>
      <c r="W233" s="13" t="str">
        <v/>
      </c>
      <c r="X233" s="13" t="str">
        <v/>
      </c>
      <c r="Y233" s="13" t="str">
        <v/>
      </c>
      <c r="Z233" s="13" t="str">
        <v/>
      </c>
      <c r="AA233" t="str">
        <f t="shared" si="10"/>
        <v/>
      </c>
      <c r="AB233" t="str">
        <f>_xlfn.XLOOKUP(B:B,Disk_Pivot!G:G,Disk_Pivot!I:I)</f>
        <v>No</v>
      </c>
      <c r="AC233" t="str">
        <f>_xlfn.XLOOKUP(B233,Disk_Pivot!G:G,Disk_Pivot!N:N)</f>
        <v/>
      </c>
    </row>
    <row r="234" spans="6:29">
      <c r="F234" t="str">
        <f>_xlfn.XLOOKUP(H234,Models!B:B,Models!F:F,"")</f>
        <v/>
      </c>
      <c r="K234">
        <f>_xlfn.XLOOKUP(B234,CPU_Formula!A:A,CPU_Formula!I:I)</f>
        <v>0</v>
      </c>
      <c r="L234" s="13" t="e">
        <f>INDEX(Input!$D$2:$AD$500,
       MATCH(B234, Input!$J$2:$J$500, 0),
       MATCH("Memory Capacity", Input!$D$1:$AD$1, 0))</f>
        <v>#N/A</v>
      </c>
      <c r="M234" s="13" t="e">
        <f>INDEX(Input!$D$2:$AD$500,
       MATCH(B234, Input!$J$2:$J$500, 0),
       MATCH("Memory Type", Input!$D$1:$AD$1, 0))</f>
        <v>#N/A</v>
      </c>
      <c r="N234" s="13" t="e">
        <f t="shared" si="9"/>
        <v>#N/A</v>
      </c>
      <c r="S234" s="13" t="str">
        <f>_xlfn.LET(_xlpm.Result,_xlfn.XLOOKUP(B234,Input!J:J,Input!AB:AB),IF(_xlpm.Result="","",_xlpm.Result))</f>
        <v/>
      </c>
      <c r="T234" s="13" t="str" cm="1">
        <f t="array" ref="T234">IFERROR(_xlfn.IFS(
   --S234&lt;55,"Battery Defect",
  -- S234&lt;=69,"Battery D",
  --S234&lt;=80,"Battery C",
 --S234&gt;80,""
),"")</f>
        <v/>
      </c>
      <c r="U234" s="13" t="str" cm="1">
        <f t="array" ref="U234:Z234">IFERROR(IF(_xlfn.XLOOKUP(B234,Input!J:J,Input!N:S)=0,"",
          _xlfn.XLOOKUP(B234,Input!J:J,Input!N:S)),"")</f>
        <v/>
      </c>
      <c r="V234" s="13" t="str">
        <v/>
      </c>
      <c r="W234" s="13" t="str">
        <v/>
      </c>
      <c r="X234" s="13" t="str">
        <v/>
      </c>
      <c r="Y234" s="13" t="str">
        <v/>
      </c>
      <c r="Z234" s="13" t="str">
        <v/>
      </c>
      <c r="AA234" t="str">
        <f t="shared" si="10"/>
        <v/>
      </c>
      <c r="AB234" t="str">
        <f>_xlfn.XLOOKUP(B:B,Disk_Pivot!G:G,Disk_Pivot!I:I)</f>
        <v>No</v>
      </c>
      <c r="AC234" t="str">
        <f>_xlfn.XLOOKUP(B234,Disk_Pivot!G:G,Disk_Pivot!N:N)</f>
        <v/>
      </c>
    </row>
    <row r="235" spans="6:29">
      <c r="F235" t="str">
        <f>_xlfn.XLOOKUP(H235,Models!B:B,Models!F:F,"")</f>
        <v/>
      </c>
      <c r="K235">
        <f>_xlfn.XLOOKUP(B235,CPU_Formula!A:A,CPU_Formula!I:I)</f>
        <v>0</v>
      </c>
      <c r="L235" s="13" t="e">
        <f>INDEX(Input!$D$2:$AD$500,
       MATCH(B235, Input!$J$2:$J$500, 0),
       MATCH("Memory Capacity", Input!$D$1:$AD$1, 0))</f>
        <v>#N/A</v>
      </c>
      <c r="M235" s="13" t="e">
        <f>INDEX(Input!$D$2:$AD$500,
       MATCH(B235, Input!$J$2:$J$500, 0),
       MATCH("Memory Type", Input!$D$1:$AD$1, 0))</f>
        <v>#N/A</v>
      </c>
      <c r="N235" s="13" t="e">
        <f t="shared" si="9"/>
        <v>#N/A</v>
      </c>
      <c r="S235" s="13" t="str">
        <f>_xlfn.LET(_xlpm.Result,_xlfn.XLOOKUP(B235,Input!J:J,Input!AB:AB),IF(_xlpm.Result="","",_xlpm.Result))</f>
        <v/>
      </c>
      <c r="T235" s="13" t="str" cm="1">
        <f t="array" ref="T235">IFERROR(_xlfn.IFS(
   --S235&lt;55,"Battery Defect",
  -- S235&lt;=69,"Battery D",
  --S235&lt;=80,"Battery C",
 --S235&gt;80,""
),"")</f>
        <v/>
      </c>
      <c r="U235" s="13" t="str" cm="1">
        <f t="array" ref="U235:Z235">IFERROR(IF(_xlfn.XLOOKUP(B235,Input!J:J,Input!N:S)=0,"",
          _xlfn.XLOOKUP(B235,Input!J:J,Input!N:S)),"")</f>
        <v/>
      </c>
      <c r="V235" s="13" t="str">
        <v/>
      </c>
      <c r="W235" s="13" t="str">
        <v/>
      </c>
      <c r="X235" s="13" t="str">
        <v/>
      </c>
      <c r="Y235" s="13" t="str">
        <v/>
      </c>
      <c r="Z235" s="13" t="str">
        <v/>
      </c>
      <c r="AA235" t="str">
        <f t="shared" si="10"/>
        <v/>
      </c>
      <c r="AB235" t="str">
        <f>_xlfn.XLOOKUP(B:B,Disk_Pivot!G:G,Disk_Pivot!I:I)</f>
        <v>No</v>
      </c>
      <c r="AC235" t="str">
        <f>_xlfn.XLOOKUP(B235,Disk_Pivot!G:G,Disk_Pivot!N:N)</f>
        <v/>
      </c>
    </row>
    <row r="236" spans="6:29">
      <c r="F236" t="str">
        <f>_xlfn.XLOOKUP(H236,Models!B:B,Models!F:F,"")</f>
        <v/>
      </c>
      <c r="K236">
        <f>_xlfn.XLOOKUP(B236,CPU_Formula!A:A,CPU_Formula!I:I)</f>
        <v>0</v>
      </c>
      <c r="L236" s="13" t="e">
        <f>INDEX(Input!$D$2:$AD$500,
       MATCH(B236, Input!$J$2:$J$500, 0),
       MATCH("Memory Capacity", Input!$D$1:$AD$1, 0))</f>
        <v>#N/A</v>
      </c>
      <c r="M236" s="13" t="e">
        <f>INDEX(Input!$D$2:$AD$500,
       MATCH(B236, Input!$J$2:$J$500, 0),
       MATCH("Memory Type", Input!$D$1:$AD$1, 0))</f>
        <v>#N/A</v>
      </c>
      <c r="N236" s="13" t="e">
        <f t="shared" si="9"/>
        <v>#N/A</v>
      </c>
      <c r="S236" s="13" t="str">
        <f>_xlfn.LET(_xlpm.Result,_xlfn.XLOOKUP(B236,Input!J:J,Input!AB:AB),IF(_xlpm.Result="","",_xlpm.Result))</f>
        <v/>
      </c>
      <c r="T236" s="13" t="str" cm="1">
        <f t="array" ref="T236">IFERROR(_xlfn.IFS(
   --S236&lt;55,"Battery Defect",
  -- S236&lt;=69,"Battery D",
  --S236&lt;=80,"Battery C",
 --S236&gt;80,""
),"")</f>
        <v/>
      </c>
      <c r="U236" s="13" t="str" cm="1">
        <f t="array" ref="U236:Z236">IFERROR(IF(_xlfn.XLOOKUP(B236,Input!J:J,Input!N:S)=0,"",
          _xlfn.XLOOKUP(B236,Input!J:J,Input!N:S)),"")</f>
        <v/>
      </c>
      <c r="V236" s="13" t="str">
        <v/>
      </c>
      <c r="W236" s="13" t="str">
        <v/>
      </c>
      <c r="X236" s="13" t="str">
        <v/>
      </c>
      <c r="Y236" s="13" t="str">
        <v/>
      </c>
      <c r="Z236" s="13" t="str">
        <v/>
      </c>
      <c r="AA236" t="str">
        <f t="shared" si="10"/>
        <v/>
      </c>
      <c r="AB236" t="str">
        <f>_xlfn.XLOOKUP(B:B,Disk_Pivot!G:G,Disk_Pivot!I:I)</f>
        <v>No</v>
      </c>
      <c r="AC236" t="str">
        <f>_xlfn.XLOOKUP(B236,Disk_Pivot!G:G,Disk_Pivot!N:N)</f>
        <v/>
      </c>
    </row>
    <row r="237" spans="6:29">
      <c r="F237" t="str">
        <f>_xlfn.XLOOKUP(H237,Models!B:B,Models!F:F,"")</f>
        <v/>
      </c>
      <c r="K237">
        <f>_xlfn.XLOOKUP(B237,CPU_Formula!A:A,CPU_Formula!I:I)</f>
        <v>0</v>
      </c>
      <c r="L237" s="13" t="e">
        <f>INDEX(Input!$D$2:$AD$500,
       MATCH(B237, Input!$J$2:$J$500, 0),
       MATCH("Memory Capacity", Input!$D$1:$AD$1, 0))</f>
        <v>#N/A</v>
      </c>
      <c r="M237" s="13" t="e">
        <f>INDEX(Input!$D$2:$AD$500,
       MATCH(B237, Input!$J$2:$J$500, 0),
       MATCH("Memory Type", Input!$D$1:$AD$1, 0))</f>
        <v>#N/A</v>
      </c>
      <c r="N237" s="13" t="e">
        <f t="shared" si="9"/>
        <v>#N/A</v>
      </c>
      <c r="S237" s="13" t="str">
        <f>_xlfn.LET(_xlpm.Result,_xlfn.XLOOKUP(B237,Input!J:J,Input!AB:AB),IF(_xlpm.Result="","",_xlpm.Result))</f>
        <v/>
      </c>
      <c r="T237" s="13" t="str" cm="1">
        <f t="array" ref="T237">IFERROR(_xlfn.IFS(
   --S237&lt;55,"Battery Defect",
  -- S237&lt;=69,"Battery D",
  --S237&lt;=80,"Battery C",
 --S237&gt;80,""
),"")</f>
        <v/>
      </c>
      <c r="U237" s="13" t="str" cm="1">
        <f t="array" ref="U237:Z237">IFERROR(IF(_xlfn.XLOOKUP(B237,Input!J:J,Input!N:S)=0,"",
          _xlfn.XLOOKUP(B237,Input!J:J,Input!N:S)),"")</f>
        <v/>
      </c>
      <c r="V237" s="13" t="str">
        <v/>
      </c>
      <c r="W237" s="13" t="str">
        <v/>
      </c>
      <c r="X237" s="13" t="str">
        <v/>
      </c>
      <c r="Y237" s="13" t="str">
        <v/>
      </c>
      <c r="Z237" s="13" t="str">
        <v/>
      </c>
      <c r="AA237" t="str">
        <f t="shared" si="10"/>
        <v/>
      </c>
      <c r="AB237" t="str">
        <f>_xlfn.XLOOKUP(B:B,Disk_Pivot!G:G,Disk_Pivot!I:I)</f>
        <v>No</v>
      </c>
      <c r="AC237" t="str">
        <f>_xlfn.XLOOKUP(B237,Disk_Pivot!G:G,Disk_Pivot!N:N)</f>
        <v/>
      </c>
    </row>
    <row r="238" spans="6:29">
      <c r="F238" t="str">
        <f>_xlfn.XLOOKUP(H238,Models!B:B,Models!F:F,"")</f>
        <v/>
      </c>
      <c r="K238">
        <f>_xlfn.XLOOKUP(B238,CPU_Formula!A:A,CPU_Formula!I:I)</f>
        <v>0</v>
      </c>
      <c r="L238" s="13" t="e">
        <f>INDEX(Input!$D$2:$AD$500,
       MATCH(B238, Input!$J$2:$J$500, 0),
       MATCH("Memory Capacity", Input!$D$1:$AD$1, 0))</f>
        <v>#N/A</v>
      </c>
      <c r="M238" s="13" t="e">
        <f>INDEX(Input!$D$2:$AD$500,
       MATCH(B238, Input!$J$2:$J$500, 0),
       MATCH("Memory Type", Input!$D$1:$AD$1, 0))</f>
        <v>#N/A</v>
      </c>
      <c r="N238" s="13" t="e">
        <f t="shared" si="9"/>
        <v>#N/A</v>
      </c>
      <c r="S238" s="13" t="str">
        <f>_xlfn.LET(_xlpm.Result,_xlfn.XLOOKUP(B238,Input!J:J,Input!AB:AB),IF(_xlpm.Result="","",_xlpm.Result))</f>
        <v/>
      </c>
      <c r="T238" s="13" t="str" cm="1">
        <f t="array" ref="T238">IFERROR(_xlfn.IFS(
   --S238&lt;55,"Battery Defect",
  -- S238&lt;=69,"Battery D",
  --S238&lt;=80,"Battery C",
 --S238&gt;80,""
),"")</f>
        <v/>
      </c>
      <c r="U238" s="13" t="str" cm="1">
        <f t="array" ref="U238:Z238">IFERROR(IF(_xlfn.XLOOKUP(B238,Input!J:J,Input!N:S)=0,"",
          _xlfn.XLOOKUP(B238,Input!J:J,Input!N:S)),"")</f>
        <v/>
      </c>
      <c r="V238" s="13" t="str">
        <v/>
      </c>
      <c r="W238" s="13" t="str">
        <v/>
      </c>
      <c r="X238" s="13" t="str">
        <v/>
      </c>
      <c r="Y238" s="13" t="str">
        <v/>
      </c>
      <c r="Z238" s="13" t="str">
        <v/>
      </c>
      <c r="AA238" t="str">
        <f t="shared" si="10"/>
        <v/>
      </c>
      <c r="AB238" t="str">
        <f>_xlfn.XLOOKUP(B:B,Disk_Pivot!G:G,Disk_Pivot!I:I)</f>
        <v>No</v>
      </c>
      <c r="AC238" t="str">
        <f>_xlfn.XLOOKUP(B238,Disk_Pivot!G:G,Disk_Pivot!N:N)</f>
        <v/>
      </c>
    </row>
    <row r="239" spans="6:29">
      <c r="F239" t="str">
        <f>_xlfn.XLOOKUP(H239,Models!B:B,Models!F:F,"")</f>
        <v/>
      </c>
      <c r="K239">
        <f>_xlfn.XLOOKUP(B239,CPU_Formula!A:A,CPU_Formula!I:I)</f>
        <v>0</v>
      </c>
      <c r="L239" s="13" t="e">
        <f>INDEX(Input!$D$2:$AD$500,
       MATCH(B239, Input!$J$2:$J$500, 0),
       MATCH("Memory Capacity", Input!$D$1:$AD$1, 0))</f>
        <v>#N/A</v>
      </c>
      <c r="M239" s="13" t="e">
        <f>INDEX(Input!$D$2:$AD$500,
       MATCH(B239, Input!$J$2:$J$500, 0),
       MATCH("Memory Type", Input!$D$1:$AD$1, 0))</f>
        <v>#N/A</v>
      </c>
      <c r="N239" s="13" t="e">
        <f t="shared" si="9"/>
        <v>#N/A</v>
      </c>
      <c r="S239" s="13" t="str">
        <f>_xlfn.LET(_xlpm.Result,_xlfn.XLOOKUP(B239,Input!J:J,Input!AB:AB),IF(_xlpm.Result="","",_xlpm.Result))</f>
        <v/>
      </c>
      <c r="T239" s="13" t="str" cm="1">
        <f t="array" ref="T239">IFERROR(_xlfn.IFS(
   --S239&lt;55,"Battery Defect",
  -- S239&lt;=69,"Battery D",
  --S239&lt;=80,"Battery C",
 --S239&gt;80,""
),"")</f>
        <v/>
      </c>
      <c r="U239" s="13" t="str" cm="1">
        <f t="array" ref="U239:Z239">IFERROR(IF(_xlfn.XLOOKUP(B239,Input!J:J,Input!N:S)=0,"",
          _xlfn.XLOOKUP(B239,Input!J:J,Input!N:S)),"")</f>
        <v/>
      </c>
      <c r="V239" s="13" t="str">
        <v/>
      </c>
      <c r="W239" s="13" t="str">
        <v/>
      </c>
      <c r="X239" s="13" t="str">
        <v/>
      </c>
      <c r="Y239" s="13" t="str">
        <v/>
      </c>
      <c r="Z239" s="13" t="str">
        <v/>
      </c>
      <c r="AA239" t="str">
        <f t="shared" si="10"/>
        <v/>
      </c>
      <c r="AB239" t="str">
        <f>_xlfn.XLOOKUP(B:B,Disk_Pivot!G:G,Disk_Pivot!I:I)</f>
        <v>No</v>
      </c>
      <c r="AC239" t="str">
        <f>_xlfn.XLOOKUP(B239,Disk_Pivot!G:G,Disk_Pivot!N:N)</f>
        <v/>
      </c>
    </row>
    <row r="240" spans="6:29">
      <c r="F240" t="str">
        <f>_xlfn.XLOOKUP(H240,Models!B:B,Models!F:F,"")</f>
        <v/>
      </c>
      <c r="K240">
        <f>_xlfn.XLOOKUP(B240,CPU_Formula!A:A,CPU_Formula!I:I)</f>
        <v>0</v>
      </c>
      <c r="L240" s="13" t="e">
        <f>INDEX(Input!$D$2:$AD$500,
       MATCH(B240, Input!$J$2:$J$500, 0),
       MATCH("Memory Capacity", Input!$D$1:$AD$1, 0))</f>
        <v>#N/A</v>
      </c>
      <c r="M240" s="13" t="e">
        <f>INDEX(Input!$D$2:$AD$500,
       MATCH(B240, Input!$J$2:$J$500, 0),
       MATCH("Memory Type", Input!$D$1:$AD$1, 0))</f>
        <v>#N/A</v>
      </c>
      <c r="N240" s="13" t="e">
        <f t="shared" si="9"/>
        <v>#N/A</v>
      </c>
      <c r="S240" s="13" t="str">
        <f>_xlfn.LET(_xlpm.Result,_xlfn.XLOOKUP(B240,Input!J:J,Input!AB:AB),IF(_xlpm.Result="","",_xlpm.Result))</f>
        <v/>
      </c>
      <c r="T240" s="13" t="str" cm="1">
        <f t="array" ref="T240">IFERROR(_xlfn.IFS(
   --S240&lt;55,"Battery Defect",
  -- S240&lt;=69,"Battery D",
  --S240&lt;=80,"Battery C",
 --S240&gt;80,""
),"")</f>
        <v/>
      </c>
      <c r="U240" s="13" t="str" cm="1">
        <f t="array" ref="U240:Z240">IFERROR(IF(_xlfn.XLOOKUP(B240,Input!J:J,Input!N:S)=0,"",
          _xlfn.XLOOKUP(B240,Input!J:J,Input!N:S)),"")</f>
        <v/>
      </c>
      <c r="V240" s="13" t="str">
        <v/>
      </c>
      <c r="W240" s="13" t="str">
        <v/>
      </c>
      <c r="X240" s="13" t="str">
        <v/>
      </c>
      <c r="Y240" s="13" t="str">
        <v/>
      </c>
      <c r="Z240" s="13" t="str">
        <v/>
      </c>
      <c r="AA240" t="str">
        <f t="shared" si="10"/>
        <v/>
      </c>
      <c r="AB240" t="str">
        <f>_xlfn.XLOOKUP(B:B,Disk_Pivot!G:G,Disk_Pivot!I:I)</f>
        <v>No</v>
      </c>
      <c r="AC240" t="str">
        <f>_xlfn.XLOOKUP(B240,Disk_Pivot!G:G,Disk_Pivot!N:N)</f>
        <v/>
      </c>
    </row>
    <row r="241" spans="6:29">
      <c r="F241" t="str">
        <f>_xlfn.XLOOKUP(H241,Models!B:B,Models!F:F,"")</f>
        <v/>
      </c>
      <c r="K241">
        <f>_xlfn.XLOOKUP(B241,CPU_Formula!A:A,CPU_Formula!I:I)</f>
        <v>0</v>
      </c>
      <c r="L241" s="13" t="e">
        <f>INDEX(Input!$D$2:$AD$500,
       MATCH(B241, Input!$J$2:$J$500, 0),
       MATCH("Memory Capacity", Input!$D$1:$AD$1, 0))</f>
        <v>#N/A</v>
      </c>
      <c r="M241" s="13" t="e">
        <f>INDEX(Input!$D$2:$AD$500,
       MATCH(B241, Input!$J$2:$J$500, 0),
       MATCH("Memory Type", Input!$D$1:$AD$1, 0))</f>
        <v>#N/A</v>
      </c>
      <c r="N241" s="13" t="e">
        <f t="shared" si="9"/>
        <v>#N/A</v>
      </c>
      <c r="S241" s="13" t="str">
        <f>_xlfn.LET(_xlpm.Result,_xlfn.XLOOKUP(B241,Input!J:J,Input!AB:AB),IF(_xlpm.Result="","",_xlpm.Result))</f>
        <v/>
      </c>
      <c r="T241" s="13" t="str" cm="1">
        <f t="array" ref="T241">IFERROR(_xlfn.IFS(
   --S241&lt;55,"Battery Defect",
  -- S241&lt;=69,"Battery D",
  --S241&lt;=80,"Battery C",
 --S241&gt;80,""
),"")</f>
        <v/>
      </c>
      <c r="U241" s="13" t="str" cm="1">
        <f t="array" ref="U241:Z241">IFERROR(IF(_xlfn.XLOOKUP(B241,Input!J:J,Input!N:S)=0,"",
          _xlfn.XLOOKUP(B241,Input!J:J,Input!N:S)),"")</f>
        <v/>
      </c>
      <c r="V241" s="13" t="str">
        <v/>
      </c>
      <c r="W241" s="13" t="str">
        <v/>
      </c>
      <c r="X241" s="13" t="str">
        <v/>
      </c>
      <c r="Y241" s="13" t="str">
        <v/>
      </c>
      <c r="Z241" s="13" t="str">
        <v/>
      </c>
      <c r="AA241" t="str">
        <f t="shared" si="10"/>
        <v/>
      </c>
      <c r="AB241" t="str">
        <f>_xlfn.XLOOKUP(B:B,Disk_Pivot!G:G,Disk_Pivot!I:I)</f>
        <v>No</v>
      </c>
      <c r="AC241" t="str">
        <f>_xlfn.XLOOKUP(B241,Disk_Pivot!G:G,Disk_Pivot!N:N)</f>
        <v/>
      </c>
    </row>
    <row r="242" spans="6:29">
      <c r="F242" t="str">
        <f>_xlfn.XLOOKUP(H242,Models!B:B,Models!F:F,"")</f>
        <v/>
      </c>
      <c r="K242">
        <f>_xlfn.XLOOKUP(B242,CPU_Formula!A:A,CPU_Formula!I:I)</f>
        <v>0</v>
      </c>
      <c r="L242" s="13" t="e">
        <f>INDEX(Input!$D$2:$AD$500,
       MATCH(B242, Input!$J$2:$J$500, 0),
       MATCH("Memory Capacity", Input!$D$1:$AD$1, 0))</f>
        <v>#N/A</v>
      </c>
      <c r="M242" s="13" t="e">
        <f>INDEX(Input!$D$2:$AD$500,
       MATCH(B242, Input!$J$2:$J$500, 0),
       MATCH("Memory Type", Input!$D$1:$AD$1, 0))</f>
        <v>#N/A</v>
      </c>
      <c r="N242" s="13" t="e">
        <f t="shared" si="9"/>
        <v>#N/A</v>
      </c>
      <c r="S242" s="13" t="str">
        <f>_xlfn.LET(_xlpm.Result,_xlfn.XLOOKUP(B242,Input!J:J,Input!AB:AB),IF(_xlpm.Result="","",_xlpm.Result))</f>
        <v/>
      </c>
      <c r="T242" s="13" t="str" cm="1">
        <f t="array" ref="T242">IFERROR(_xlfn.IFS(
   --S242&lt;55,"Battery Defect",
  -- S242&lt;=69,"Battery D",
  --S242&lt;=80,"Battery C",
 --S242&gt;80,""
),"")</f>
        <v/>
      </c>
      <c r="U242" s="13" t="str" cm="1">
        <f t="array" ref="U242:Z242">IFERROR(IF(_xlfn.XLOOKUP(B242,Input!J:J,Input!N:S)=0,"",
          _xlfn.XLOOKUP(B242,Input!J:J,Input!N:S)),"")</f>
        <v/>
      </c>
      <c r="V242" s="13" t="str">
        <v/>
      </c>
      <c r="W242" s="13" t="str">
        <v/>
      </c>
      <c r="X242" s="13" t="str">
        <v/>
      </c>
      <c r="Y242" s="13" t="str">
        <v/>
      </c>
      <c r="Z242" s="13" t="str">
        <v/>
      </c>
      <c r="AA242" t="str">
        <f t="shared" si="10"/>
        <v/>
      </c>
      <c r="AB242" t="str">
        <f>_xlfn.XLOOKUP(B:B,Disk_Pivot!G:G,Disk_Pivot!I:I)</f>
        <v>No</v>
      </c>
      <c r="AC242" t="str">
        <f>_xlfn.XLOOKUP(B242,Disk_Pivot!G:G,Disk_Pivot!N:N)</f>
        <v/>
      </c>
    </row>
    <row r="243" spans="6:29">
      <c r="F243" t="str">
        <f>_xlfn.XLOOKUP(H243,Models!B:B,Models!F:F,"")</f>
        <v/>
      </c>
      <c r="K243">
        <f>_xlfn.XLOOKUP(B243,CPU_Formula!A:A,CPU_Formula!I:I)</f>
        <v>0</v>
      </c>
      <c r="L243" s="13" t="e">
        <f>INDEX(Input!$D$2:$AD$500,
       MATCH(B243, Input!$J$2:$J$500, 0),
       MATCH("Memory Capacity", Input!$D$1:$AD$1, 0))</f>
        <v>#N/A</v>
      </c>
      <c r="M243" s="13" t="e">
        <f>INDEX(Input!$D$2:$AD$500,
       MATCH(B243, Input!$J$2:$J$500, 0),
       MATCH("Memory Type", Input!$D$1:$AD$1, 0))</f>
        <v>#N/A</v>
      </c>
      <c r="N243" s="13" t="e">
        <f t="shared" si="9"/>
        <v>#N/A</v>
      </c>
      <c r="S243" s="13" t="str">
        <f>_xlfn.LET(_xlpm.Result,_xlfn.XLOOKUP(B243,Input!J:J,Input!AB:AB),IF(_xlpm.Result="","",_xlpm.Result))</f>
        <v/>
      </c>
      <c r="T243" s="13" t="str" cm="1">
        <f t="array" ref="T243">IFERROR(_xlfn.IFS(
   --S243&lt;55,"Battery Defect",
  -- S243&lt;=69,"Battery D",
  --S243&lt;=80,"Battery C",
 --S243&gt;80,""
),"")</f>
        <v/>
      </c>
      <c r="U243" s="13" t="str" cm="1">
        <f t="array" ref="U243:Z243">IFERROR(IF(_xlfn.XLOOKUP(B243,Input!J:J,Input!N:S)=0,"",
          _xlfn.XLOOKUP(B243,Input!J:J,Input!N:S)),"")</f>
        <v/>
      </c>
      <c r="V243" s="13" t="str">
        <v/>
      </c>
      <c r="W243" s="13" t="str">
        <v/>
      </c>
      <c r="X243" s="13" t="str">
        <v/>
      </c>
      <c r="Y243" s="13" t="str">
        <v/>
      </c>
      <c r="Z243" s="13" t="str">
        <v/>
      </c>
      <c r="AA243" t="str">
        <f t="shared" si="10"/>
        <v/>
      </c>
      <c r="AB243" t="str">
        <f>_xlfn.XLOOKUP(B:B,Disk_Pivot!G:G,Disk_Pivot!I:I)</f>
        <v>No</v>
      </c>
      <c r="AC243" t="str">
        <f>_xlfn.XLOOKUP(B243,Disk_Pivot!G:G,Disk_Pivot!N:N)</f>
        <v/>
      </c>
    </row>
    <row r="244" spans="6:29">
      <c r="F244" t="str">
        <f>_xlfn.XLOOKUP(H244,Models!B:B,Models!F:F,"")</f>
        <v/>
      </c>
      <c r="K244">
        <f>_xlfn.XLOOKUP(B244,CPU_Formula!A:A,CPU_Formula!I:I)</f>
        <v>0</v>
      </c>
      <c r="L244" s="13" t="e">
        <f>INDEX(Input!$D$2:$AD$500,
       MATCH(B244, Input!$J$2:$J$500, 0),
       MATCH("Memory Capacity", Input!$D$1:$AD$1, 0))</f>
        <v>#N/A</v>
      </c>
      <c r="M244" s="13" t="e">
        <f>INDEX(Input!$D$2:$AD$500,
       MATCH(B244, Input!$J$2:$J$500, 0),
       MATCH("Memory Type", Input!$D$1:$AD$1, 0))</f>
        <v>#N/A</v>
      </c>
      <c r="N244" s="13" t="e">
        <f t="shared" si="9"/>
        <v>#N/A</v>
      </c>
      <c r="S244" s="13" t="str">
        <f>_xlfn.LET(_xlpm.Result,_xlfn.XLOOKUP(B244,Input!J:J,Input!AB:AB),IF(_xlpm.Result="","",_xlpm.Result))</f>
        <v/>
      </c>
      <c r="T244" s="13" t="str" cm="1">
        <f t="array" ref="T244">IFERROR(_xlfn.IFS(
   --S244&lt;55,"Battery Defect",
  -- S244&lt;=69,"Battery D",
  --S244&lt;=80,"Battery C",
 --S244&gt;80,""
),"")</f>
        <v/>
      </c>
      <c r="U244" s="13" t="str" cm="1">
        <f t="array" ref="U244:Z244">IFERROR(IF(_xlfn.XLOOKUP(B244,Input!J:J,Input!N:S)=0,"",
          _xlfn.XLOOKUP(B244,Input!J:J,Input!N:S)),"")</f>
        <v/>
      </c>
      <c r="V244" s="13" t="str">
        <v/>
      </c>
      <c r="W244" s="13" t="str">
        <v/>
      </c>
      <c r="X244" s="13" t="str">
        <v/>
      </c>
      <c r="Y244" s="13" t="str">
        <v/>
      </c>
      <c r="Z244" s="13" t="str">
        <v/>
      </c>
      <c r="AA244" t="str">
        <f t="shared" si="10"/>
        <v/>
      </c>
      <c r="AB244" t="str">
        <f>_xlfn.XLOOKUP(B:B,Disk_Pivot!G:G,Disk_Pivot!I:I)</f>
        <v>No</v>
      </c>
      <c r="AC244" t="str">
        <f>_xlfn.XLOOKUP(B244,Disk_Pivot!G:G,Disk_Pivot!N:N)</f>
        <v/>
      </c>
    </row>
    <row r="245" spans="6:29">
      <c r="F245" t="str">
        <f>_xlfn.XLOOKUP(H245,Models!B:B,Models!F:F,"")</f>
        <v/>
      </c>
      <c r="K245">
        <f>_xlfn.XLOOKUP(B245,CPU_Formula!A:A,CPU_Formula!I:I)</f>
        <v>0</v>
      </c>
      <c r="L245" s="13" t="e">
        <f>INDEX(Input!$D$2:$AD$500,
       MATCH(B245, Input!$J$2:$J$500, 0),
       MATCH("Memory Capacity", Input!$D$1:$AD$1, 0))</f>
        <v>#N/A</v>
      </c>
      <c r="M245" s="13" t="e">
        <f>INDEX(Input!$D$2:$AD$500,
       MATCH(B245, Input!$J$2:$J$500, 0),
       MATCH("Memory Type", Input!$D$1:$AD$1, 0))</f>
        <v>#N/A</v>
      </c>
      <c r="N245" s="13" t="e">
        <f t="shared" si="9"/>
        <v>#N/A</v>
      </c>
      <c r="S245" s="13" t="str">
        <f>_xlfn.LET(_xlpm.Result,_xlfn.XLOOKUP(B245,Input!J:J,Input!AB:AB),IF(_xlpm.Result="","",_xlpm.Result))</f>
        <v/>
      </c>
      <c r="T245" s="13" t="str" cm="1">
        <f t="array" ref="T245">IFERROR(_xlfn.IFS(
   --S245&lt;55,"Battery Defect",
  -- S245&lt;=69,"Battery D",
  --S245&lt;=80,"Battery C",
 --S245&gt;80,""
),"")</f>
        <v/>
      </c>
      <c r="U245" s="13" t="str" cm="1">
        <f t="array" ref="U245:Z245">IFERROR(IF(_xlfn.XLOOKUP(B245,Input!J:J,Input!N:S)=0,"",
          _xlfn.XLOOKUP(B245,Input!J:J,Input!N:S)),"")</f>
        <v/>
      </c>
      <c r="V245" s="13" t="str">
        <v/>
      </c>
      <c r="W245" s="13" t="str">
        <v/>
      </c>
      <c r="X245" s="13" t="str">
        <v/>
      </c>
      <c r="Y245" s="13" t="str">
        <v/>
      </c>
      <c r="Z245" s="13" t="str">
        <v/>
      </c>
      <c r="AA245" t="str">
        <f t="shared" si="10"/>
        <v/>
      </c>
      <c r="AB245" t="str">
        <f>_xlfn.XLOOKUP(B:B,Disk_Pivot!G:G,Disk_Pivot!I:I)</f>
        <v>No</v>
      </c>
      <c r="AC245" t="str">
        <f>_xlfn.XLOOKUP(B245,Disk_Pivot!G:G,Disk_Pivot!N:N)</f>
        <v/>
      </c>
    </row>
    <row r="246" spans="6:29">
      <c r="F246" t="str">
        <f>_xlfn.XLOOKUP(H246,Models!B:B,Models!F:F,"")</f>
        <v/>
      </c>
      <c r="K246">
        <f>_xlfn.XLOOKUP(B246,CPU_Formula!A:A,CPU_Formula!I:I)</f>
        <v>0</v>
      </c>
      <c r="L246" s="13" t="e">
        <f>INDEX(Input!$D$2:$AD$500,
       MATCH(B246, Input!$J$2:$J$500, 0),
       MATCH("Memory Capacity", Input!$D$1:$AD$1, 0))</f>
        <v>#N/A</v>
      </c>
      <c r="M246" s="13" t="e">
        <f>INDEX(Input!$D$2:$AD$500,
       MATCH(B246, Input!$J$2:$J$500, 0),
       MATCH("Memory Type", Input!$D$1:$AD$1, 0))</f>
        <v>#N/A</v>
      </c>
      <c r="N246" s="13" t="e">
        <f t="shared" si="9"/>
        <v>#N/A</v>
      </c>
      <c r="S246" s="13" t="str">
        <f>_xlfn.LET(_xlpm.Result,_xlfn.XLOOKUP(B246,Input!J:J,Input!AB:AB),IF(_xlpm.Result="","",_xlpm.Result))</f>
        <v/>
      </c>
      <c r="T246" s="13" t="str" cm="1">
        <f t="array" ref="T246">IFERROR(_xlfn.IFS(
   --S246&lt;55,"Battery Defect",
  -- S246&lt;=69,"Battery D",
  --S246&lt;=80,"Battery C",
 --S246&gt;80,""
),"")</f>
        <v/>
      </c>
      <c r="U246" s="13" t="str" cm="1">
        <f t="array" ref="U246:Z246">IFERROR(IF(_xlfn.XLOOKUP(B246,Input!J:J,Input!N:S)=0,"",
          _xlfn.XLOOKUP(B246,Input!J:J,Input!N:S)),"")</f>
        <v/>
      </c>
      <c r="V246" s="13" t="str">
        <v/>
      </c>
      <c r="W246" s="13" t="str">
        <v/>
      </c>
      <c r="X246" s="13" t="str">
        <v/>
      </c>
      <c r="Y246" s="13" t="str">
        <v/>
      </c>
      <c r="Z246" s="13" t="str">
        <v/>
      </c>
      <c r="AA246" t="str">
        <f t="shared" si="10"/>
        <v/>
      </c>
      <c r="AB246" t="str">
        <f>_xlfn.XLOOKUP(B:B,Disk_Pivot!G:G,Disk_Pivot!I:I)</f>
        <v>No</v>
      </c>
      <c r="AC246" t="str">
        <f>_xlfn.XLOOKUP(B246,Disk_Pivot!G:G,Disk_Pivot!N:N)</f>
        <v/>
      </c>
    </row>
    <row r="247" spans="6:29">
      <c r="F247" t="str">
        <f>_xlfn.XLOOKUP(H247,Models!B:B,Models!F:F,"")</f>
        <v/>
      </c>
      <c r="K247">
        <f>_xlfn.XLOOKUP(B247,CPU_Formula!A:A,CPU_Formula!I:I)</f>
        <v>0</v>
      </c>
      <c r="L247" s="13" t="e">
        <f>INDEX(Input!$D$2:$AD$500,
       MATCH(B247, Input!$J$2:$J$500, 0),
       MATCH("Memory Capacity", Input!$D$1:$AD$1, 0))</f>
        <v>#N/A</v>
      </c>
      <c r="M247" s="13" t="e">
        <f>INDEX(Input!$D$2:$AD$500,
       MATCH(B247, Input!$J$2:$J$500, 0),
       MATCH("Memory Type", Input!$D$1:$AD$1, 0))</f>
        <v>#N/A</v>
      </c>
      <c r="N247" s="13" t="e">
        <f t="shared" si="9"/>
        <v>#N/A</v>
      </c>
      <c r="S247" s="13" t="str">
        <f>_xlfn.LET(_xlpm.Result,_xlfn.XLOOKUP(B247,Input!J:J,Input!AB:AB),IF(_xlpm.Result="","",_xlpm.Result))</f>
        <v/>
      </c>
      <c r="T247" s="13" t="str" cm="1">
        <f t="array" ref="T247">IFERROR(_xlfn.IFS(
   --S247&lt;55,"Battery Defect",
  -- S247&lt;=69,"Battery D",
  --S247&lt;=80,"Battery C",
 --S247&gt;80,""
),"")</f>
        <v/>
      </c>
      <c r="U247" s="13" t="str" cm="1">
        <f t="array" ref="U247:Z247">IFERROR(IF(_xlfn.XLOOKUP(B247,Input!J:J,Input!N:S)=0,"",
          _xlfn.XLOOKUP(B247,Input!J:J,Input!N:S)),"")</f>
        <v/>
      </c>
      <c r="V247" s="13" t="str">
        <v/>
      </c>
      <c r="W247" s="13" t="str">
        <v/>
      </c>
      <c r="X247" s="13" t="str">
        <v/>
      </c>
      <c r="Y247" s="13" t="str">
        <v/>
      </c>
      <c r="Z247" s="13" t="str">
        <v/>
      </c>
      <c r="AA247" t="str">
        <f t="shared" si="10"/>
        <v/>
      </c>
      <c r="AB247" t="str">
        <f>_xlfn.XLOOKUP(B:B,Disk_Pivot!G:G,Disk_Pivot!I:I)</f>
        <v>No</v>
      </c>
      <c r="AC247" t="str">
        <f>_xlfn.XLOOKUP(B247,Disk_Pivot!G:G,Disk_Pivot!N:N)</f>
        <v/>
      </c>
    </row>
    <row r="248" spans="6:29">
      <c r="F248">
        <f>_xlfn.XLOOKUP(H248,Models!B:B,Models!F:F,"")</f>
        <v>0</v>
      </c>
      <c r="K248">
        <f>_xlfn.XLOOKUP(B248,CPU_Formula!A:A,CPU_Formula!I:I)</f>
        <v>0</v>
      </c>
      <c r="L248" s="13" t="e">
        <f>INDEX(Input!$D$2:$AD$500,
       MATCH(B248, Input!$J$2:$J$500, 0),
       MATCH("Memory Capacity", Input!$D$1:$AD$1, 0))</f>
        <v>#N/A</v>
      </c>
      <c r="M248" s="13" t="e">
        <f>INDEX(Input!$D$2:$AD$500,
       MATCH(B248, Input!$J$2:$J$500, 0),
       MATCH("Memory Type", Input!$D$1:$AD$1, 0))</f>
        <v>#N/A</v>
      </c>
      <c r="N248" s="13" t="e">
        <f t="shared" si="9"/>
        <v>#N/A</v>
      </c>
      <c r="S248" s="13" t="str">
        <f>_xlfn.LET(_xlpm.Result,_xlfn.XLOOKUP(B248,Input!J:J,Input!AB:AB),IF(_xlpm.Result="","",_xlpm.Result))</f>
        <v/>
      </c>
      <c r="T248" s="13" t="str" cm="1">
        <f t="array" ref="T248">IFERROR(_xlfn.IFS(
   --S248&lt;55,"Battery Defect",
  -- S248&lt;=69,"Battery D",
  --S248&lt;=80,"Battery C",
 --S248&gt;80,""
),"")</f>
        <v/>
      </c>
      <c r="U248" s="13" t="str" cm="1">
        <f t="array" ref="U248:Z248">IFERROR(IF(_xlfn.XLOOKUP(B248,Input!J:J,Input!N:S)=0,"",
          _xlfn.XLOOKUP(B248,Input!J:J,Input!N:S)),"")</f>
        <v/>
      </c>
      <c r="V248" s="13" t="str">
        <v/>
      </c>
      <c r="W248" s="13" t="str">
        <v/>
      </c>
      <c r="X248" s="13" t="str">
        <v/>
      </c>
      <c r="Y248" s="13" t="str">
        <v/>
      </c>
      <c r="Z248" s="13" t="str">
        <v/>
      </c>
      <c r="AA248" t="str">
        <f t="shared" si="10"/>
        <v/>
      </c>
      <c r="AB248" t="str">
        <f>_xlfn.XLOOKUP(B:B,Disk_Pivot!G:G,Disk_Pivot!I:I)</f>
        <v>No</v>
      </c>
      <c r="AC248" t="str">
        <f>_xlfn.XLOOKUP(B248,Disk_Pivot!G:G,Disk_Pivot!N:N)</f>
        <v/>
      </c>
    </row>
    <row r="249" spans="6:29">
      <c r="F249" t="str">
        <f>_xlfn.XLOOKUP(H249,Models!B:B,Models!F:F,"")</f>
        <v/>
      </c>
      <c r="K249">
        <f>_xlfn.XLOOKUP(B249,CPU_Formula!A:A,CPU_Formula!I:I)</f>
        <v>0</v>
      </c>
      <c r="L249" s="13" t="e">
        <f>INDEX(Input!$D$2:$AD$500,
       MATCH(B249, Input!$J$2:$J$500, 0),
       MATCH("Memory Capacity", Input!$D$1:$AD$1, 0))</f>
        <v>#N/A</v>
      </c>
      <c r="M249" s="13" t="e">
        <f>INDEX(Input!$D$2:$AD$500,
       MATCH(B249, Input!$J$2:$J$500, 0),
       MATCH("Memory Type", Input!$D$1:$AD$1, 0))</f>
        <v>#N/A</v>
      </c>
      <c r="N249" s="13" t="e">
        <f t="shared" si="9"/>
        <v>#N/A</v>
      </c>
      <c r="S249" s="13" t="str">
        <f>_xlfn.LET(_xlpm.Result,_xlfn.XLOOKUP(B249,Input!J:J,Input!AB:AB),IF(_xlpm.Result="","",_xlpm.Result))</f>
        <v/>
      </c>
      <c r="T249" s="13" t="str" cm="1">
        <f t="array" ref="T249">IFERROR(_xlfn.IFS(
   --S249&lt;55,"Battery Defect",
  -- S249&lt;=69,"Battery D",
  --S249&lt;=80,"Battery C",
 --S249&gt;80,""
),"")</f>
        <v/>
      </c>
      <c r="U249" s="13" t="str" cm="1">
        <f t="array" ref="U249:Z249">IFERROR(IF(_xlfn.XLOOKUP(B249,Input!J:J,Input!N:S)=0,"",
          _xlfn.XLOOKUP(B249,Input!J:J,Input!N:S)),"")</f>
        <v/>
      </c>
      <c r="V249" s="13" t="str">
        <v/>
      </c>
      <c r="W249" s="13" t="str">
        <v/>
      </c>
      <c r="X249" s="13" t="str">
        <v/>
      </c>
      <c r="Y249" s="13" t="str">
        <v/>
      </c>
      <c r="Z249" s="13" t="str">
        <v/>
      </c>
      <c r="AA249" t="str">
        <f t="shared" si="10"/>
        <v/>
      </c>
      <c r="AB249" t="str">
        <f>_xlfn.XLOOKUP(B:B,Disk_Pivot!G:G,Disk_Pivot!I:I)</f>
        <v>No</v>
      </c>
      <c r="AC249" t="str">
        <f>_xlfn.XLOOKUP(B249,Disk_Pivot!G:G,Disk_Pivot!N:N)</f>
        <v/>
      </c>
    </row>
    <row r="250" spans="6:29">
      <c r="F250" t="str">
        <f>_xlfn.XLOOKUP(H250,Models!B:B,Models!F:F,"")</f>
        <v/>
      </c>
      <c r="K250">
        <f>_xlfn.XLOOKUP(B250,CPU_Formula!A:A,CPU_Formula!I:I)</f>
        <v>0</v>
      </c>
      <c r="L250" s="13" t="e">
        <f>INDEX(Input!$D$2:$AD$500,
       MATCH(B250, Input!$J$2:$J$500, 0),
       MATCH("Memory Capacity", Input!$D$1:$AD$1, 0))</f>
        <v>#N/A</v>
      </c>
      <c r="M250" s="13" t="e">
        <f>INDEX(Input!$D$2:$AD$500,
       MATCH(B250, Input!$J$2:$J$500, 0),
       MATCH("Memory Type", Input!$D$1:$AD$1, 0))</f>
        <v>#N/A</v>
      </c>
      <c r="N250" s="13" t="e">
        <f t="shared" si="9"/>
        <v>#N/A</v>
      </c>
      <c r="S250" s="13" t="str">
        <f>_xlfn.LET(_xlpm.Result,_xlfn.XLOOKUP(B250,Input!J:J,Input!AB:AB),IF(_xlpm.Result="","",_xlpm.Result))</f>
        <v/>
      </c>
      <c r="T250" s="13" t="str" cm="1">
        <f t="array" ref="T250">IFERROR(_xlfn.IFS(
   --S250&lt;55,"Battery Defect",
  -- S250&lt;=69,"Battery D",
  --S250&lt;=80,"Battery C",
 --S250&gt;80,""
),"")</f>
        <v/>
      </c>
      <c r="U250" s="13" t="str" cm="1">
        <f t="array" ref="U250:Z250">IFERROR(IF(_xlfn.XLOOKUP(B250,Input!J:J,Input!N:S)=0,"",
          _xlfn.XLOOKUP(B250,Input!J:J,Input!N:S)),"")</f>
        <v/>
      </c>
      <c r="V250" s="13" t="str">
        <v/>
      </c>
      <c r="W250" s="13" t="str">
        <v/>
      </c>
      <c r="X250" s="13" t="str">
        <v/>
      </c>
      <c r="Y250" s="13" t="str">
        <v/>
      </c>
      <c r="Z250" s="13" t="str">
        <v/>
      </c>
      <c r="AA250" t="str">
        <f t="shared" si="10"/>
        <v/>
      </c>
      <c r="AB250" t="str">
        <f>_xlfn.XLOOKUP(B:B,Disk_Pivot!G:G,Disk_Pivot!I:I)</f>
        <v>No</v>
      </c>
      <c r="AC250" t="str">
        <f>_xlfn.XLOOKUP(B250,Disk_Pivot!G:G,Disk_Pivot!N:N)</f>
        <v/>
      </c>
    </row>
    <row r="251" spans="6:29">
      <c r="F251">
        <f>_xlfn.XLOOKUP(H251,Models!B:B,Models!F:F,"")</f>
        <v>0</v>
      </c>
      <c r="K251">
        <f>_xlfn.XLOOKUP(B251,CPU_Formula!A:A,CPU_Formula!I:I)</f>
        <v>0</v>
      </c>
      <c r="L251" s="13" t="e">
        <f>INDEX(Input!$D$2:$AD$500,
       MATCH(B251, Input!$J$2:$J$500, 0),
       MATCH("Memory Capacity", Input!$D$1:$AD$1, 0))</f>
        <v>#N/A</v>
      </c>
      <c r="M251" s="13" t="e">
        <f>INDEX(Input!$D$2:$AD$500,
       MATCH(B251, Input!$J$2:$J$500, 0),
       MATCH("Memory Type", Input!$D$1:$AD$1, 0))</f>
        <v>#N/A</v>
      </c>
      <c r="N251" s="13" t="e">
        <f t="shared" si="9"/>
        <v>#N/A</v>
      </c>
      <c r="S251" s="13" t="str">
        <f>_xlfn.LET(_xlpm.Result,_xlfn.XLOOKUP(B251,Input!J:J,Input!AB:AB),IF(_xlpm.Result="","",_xlpm.Result))</f>
        <v/>
      </c>
      <c r="T251" s="13" t="str" cm="1">
        <f t="array" ref="T251">IFERROR(_xlfn.IFS(
   --S251&lt;55,"Battery Defect",
  -- S251&lt;=69,"Battery D",
  --S251&lt;=80,"Battery C",
 --S251&gt;80,""
),"")</f>
        <v/>
      </c>
      <c r="U251" s="13" t="str" cm="1">
        <f t="array" ref="U251:Z251">IFERROR(IF(_xlfn.XLOOKUP(B252,Input!J:J,Input!N:S)=0,"",
          _xlfn.XLOOKUP(B252,Input!J:J,Input!N:S)),"")</f>
        <v/>
      </c>
      <c r="V251" s="13" t="str">
        <v/>
      </c>
      <c r="W251" s="13" t="str">
        <v/>
      </c>
      <c r="X251" s="13" t="str">
        <v/>
      </c>
      <c r="Y251" s="13" t="str">
        <v/>
      </c>
      <c r="Z251" s="13" t="str">
        <v/>
      </c>
      <c r="AA251" t="str">
        <f t="shared" si="10"/>
        <v/>
      </c>
      <c r="AB251" t="str">
        <f>_xlfn.XLOOKUP(B:B,Disk_Pivot!G:G,Disk_Pivot!I:I)</f>
        <v>No</v>
      </c>
      <c r="AC251" t="str">
        <f>_xlfn.XLOOKUP(B251,Disk_Pivot!G:G,Disk_Pivot!N:N)</f>
        <v/>
      </c>
    </row>
    <row r="252" spans="6:29">
      <c r="F252" t="str">
        <f>_xlfn.XLOOKUP(H252,Models!B:B,Models!F:F,"")</f>
        <v/>
      </c>
      <c r="K252">
        <f>_xlfn.XLOOKUP(B252,CPU_Formula!A:A,CPU_Formula!I:I)</f>
        <v>0</v>
      </c>
      <c r="L252" s="13" t="e">
        <f>INDEX(Input!$D$2:$AD$500,
       MATCH(B252, Input!$J$2:$J$500, 0),
       MATCH("Memory Capacity", Input!$D$1:$AD$1, 0))</f>
        <v>#N/A</v>
      </c>
      <c r="M252" s="13" t="e">
        <f>INDEX(Input!$D$2:$AD$500,
       MATCH(B252, Input!$J$2:$J$500, 0),
       MATCH("Memory Type", Input!$D$1:$AD$1, 0))</f>
        <v>#N/A</v>
      </c>
      <c r="N252" s="13" t="e">
        <f t="shared" si="9"/>
        <v>#N/A</v>
      </c>
      <c r="S252" s="13" t="str">
        <f>_xlfn.LET(_xlpm.Result,_xlfn.XLOOKUP(B252,Input!J:J,Input!AB:AB),IF(_xlpm.Result="","",_xlpm.Result))</f>
        <v/>
      </c>
      <c r="T252" s="13" t="str" cm="1">
        <f t="array" ref="T252">IFERROR(_xlfn.IFS(
   --S252&lt;55,"Battery Defect",
  -- S252&lt;=69,"Battery D",
  --S252&lt;=80,"Battery C",
 --S252&gt;80,""
),"")</f>
        <v/>
      </c>
      <c r="U252" s="13" t="str" cm="1">
        <f t="array" ref="U252:Z252">IFERROR(IF(_xlfn.XLOOKUP(B253,Input!J:J,Input!N:S)=0,"",
          _xlfn.XLOOKUP(B253,Input!J:J,Input!N:S)),"")</f>
        <v/>
      </c>
      <c r="V252" s="13" t="str">
        <v/>
      </c>
      <c r="W252" s="13" t="str">
        <v/>
      </c>
      <c r="X252" s="13" t="str">
        <v/>
      </c>
      <c r="Y252" s="13" t="str">
        <v/>
      </c>
      <c r="Z252" s="13" t="str">
        <v/>
      </c>
      <c r="AA252" t="str">
        <f t="shared" si="10"/>
        <v/>
      </c>
      <c r="AB252" t="str">
        <f>_xlfn.XLOOKUP(B:B,Disk_Pivot!G:G,Disk_Pivot!I:I)</f>
        <v>No</v>
      </c>
      <c r="AC252" t="str">
        <f>_xlfn.XLOOKUP(B252,Disk_Pivot!G:G,Disk_Pivot!N:N)</f>
        <v/>
      </c>
    </row>
    <row r="253" spans="6:29">
      <c r="F253" t="str">
        <f>_xlfn.XLOOKUP(H253,Models!B:B,Models!F:F,"")</f>
        <v/>
      </c>
      <c r="K253">
        <f>_xlfn.XLOOKUP(B253,CPU_Formula!A:A,CPU_Formula!I:I)</f>
        <v>0</v>
      </c>
      <c r="L253" s="13" t="e">
        <f>INDEX(Input!$D$2:$AD$500,
       MATCH(B253, Input!$J$2:$J$500, 0),
       MATCH("Memory Capacity", Input!$D$1:$AD$1, 0))</f>
        <v>#N/A</v>
      </c>
      <c r="M253" s="13" t="e">
        <f>INDEX(Input!$D$2:$AD$500,
       MATCH(B253, Input!$J$2:$J$500, 0),
       MATCH("Memory Type", Input!$D$1:$AD$1, 0))</f>
        <v>#N/A</v>
      </c>
      <c r="N253" s="13" t="e">
        <f t="shared" si="9"/>
        <v>#N/A</v>
      </c>
      <c r="S253" s="13" t="str">
        <f>_xlfn.LET(_xlpm.Result,_xlfn.XLOOKUP(B253,Input!J:J,Input!AB:AB),IF(_xlpm.Result="","",_xlpm.Result))</f>
        <v/>
      </c>
      <c r="T253" s="13" t="str" cm="1">
        <f t="array" ref="T253">IFERROR(_xlfn.IFS(
   --S253&lt;55,"Battery Defect",
  -- S253&lt;=69,"Battery D",
  --S253&lt;=80,"Battery C",
 --S253&gt;80,""
),"")</f>
        <v/>
      </c>
      <c r="U253" s="13" t="str" cm="1">
        <f t="array" ref="U253:Z253">IFERROR(IF(_xlfn.XLOOKUP(B254,Input!J:J,Input!N:S)=0,"",
          _xlfn.XLOOKUP(B254,Input!J:J,Input!N:S)),"")</f>
        <v/>
      </c>
      <c r="V253" s="13" t="str">
        <v/>
      </c>
      <c r="W253" s="13" t="str">
        <v/>
      </c>
      <c r="X253" s="13" t="str">
        <v/>
      </c>
      <c r="Y253" s="13" t="str">
        <v/>
      </c>
      <c r="Z253" s="13" t="str">
        <v/>
      </c>
      <c r="AA253" t="str">
        <f t="shared" si="10"/>
        <v/>
      </c>
    </row>
    <row r="254" spans="6:29">
      <c r="F254" t="str">
        <f>_xlfn.XLOOKUP(H254,Models!B:B,Models!F:F,"")</f>
        <v/>
      </c>
      <c r="K254">
        <f>_xlfn.XLOOKUP(B254,CPU_Formula!A:A,CPU_Formula!I:I)</f>
        <v>0</v>
      </c>
      <c r="L254" s="13" t="e">
        <f>INDEX(Input!$D$2:$AD$500,
       MATCH(B254, Input!$J$2:$J$500, 0),
       MATCH("Memory Capacity", Input!$D$1:$AD$1, 0))</f>
        <v>#N/A</v>
      </c>
      <c r="M254" s="13" t="e">
        <f>INDEX(Input!$D$2:$AD$500,
       MATCH(B254, Input!$J$2:$J$500, 0),
       MATCH("Memory Type", Input!$D$1:$AD$1, 0))</f>
        <v>#N/A</v>
      </c>
      <c r="N254" s="13" t="e">
        <f t="shared" si="9"/>
        <v>#N/A</v>
      </c>
      <c r="S254" s="13" t="str">
        <f>_xlfn.LET(_xlpm.Result,_xlfn.XLOOKUP(B254,Input!J:J,Input!AB:AB),IF(_xlpm.Result="","",_xlpm.Result))</f>
        <v/>
      </c>
      <c r="T254" s="13" t="str" cm="1">
        <f t="array" ref="T254">IFERROR(_xlfn.IFS(
   --S254&lt;55,"Battery Defect",
  -- S254&lt;=69,"Battery D",
  --S254&lt;=80,"Battery C",
 --S254&gt;80,""
),"")</f>
        <v/>
      </c>
      <c r="U254" s="13" t="str" cm="1">
        <f t="array" ref="U254:Z254">IFERROR(IF(_xlfn.XLOOKUP(B255,Input!J:J,Input!N:S)=0,"",
          _xlfn.XLOOKUP(B255,Input!J:J,Input!N:S)),"")</f>
        <v/>
      </c>
      <c r="V254" s="13" t="str">
        <v/>
      </c>
      <c r="W254" s="13" t="str">
        <v/>
      </c>
      <c r="X254" s="13" t="str">
        <v/>
      </c>
      <c r="Y254" s="13" t="str">
        <v/>
      </c>
      <c r="Z254" s="13" t="str">
        <v/>
      </c>
      <c r="AA254" t="str">
        <f t="shared" si="10"/>
        <v/>
      </c>
    </row>
    <row r="255" spans="6:29">
      <c r="K255">
        <f>_xlfn.XLOOKUP(B255,CPU_Formula!A:A,CPU_Formula!I:I)</f>
        <v>0</v>
      </c>
      <c r="S255" s="13" t="str">
        <f>_xlfn.LET(_xlpm.Result,_xlfn.XLOOKUP(B255,Input!J:J,Input!AB:AB),IF(_xlpm.Result="","",_xlpm.Result))</f>
        <v/>
      </c>
      <c r="T255" s="13" t="str" cm="1">
        <f t="array" ref="T255">IFERROR(_xlfn.IFS(
   --S255&lt;55,"Battery Defect",
  -- S255&lt;=69,"Battery D",
  --S255&lt;=80,"Battery C",
 --S255&gt;80,""
),"")</f>
        <v/>
      </c>
      <c r="U255" s="13" t="str" cm="1">
        <f t="array" ref="U255:Z255">IFERROR(IF(_xlfn.XLOOKUP(B256,Input!J:J,Input!N:S)=0,"",
          _xlfn.XLOOKUP(B256,Input!J:J,Input!N:S)),"")</f>
        <v/>
      </c>
      <c r="V255" s="13" t="str">
        <v/>
      </c>
      <c r="W255" s="13" t="str">
        <v/>
      </c>
      <c r="X255" s="13" t="str">
        <v/>
      </c>
      <c r="Y255" s="13" t="str">
        <v/>
      </c>
      <c r="Z255" s="13" t="str">
        <v/>
      </c>
      <c r="AA255" t="str">
        <f t="shared" si="10"/>
        <v/>
      </c>
    </row>
    <row r="256" spans="6:29">
      <c r="K256">
        <f>_xlfn.XLOOKUP(B256,CPU_Formula!A:A,CPU_Formula!I:I)</f>
        <v>0</v>
      </c>
      <c r="S256" s="13" t="str">
        <f>_xlfn.LET(_xlpm.Result,_xlfn.XLOOKUP(B256,Input!J:J,Input!AB:AB),IF(_xlpm.Result="","",_xlpm.Result))</f>
        <v/>
      </c>
      <c r="T256" s="13" t="str" cm="1">
        <f t="array" ref="T256">IFERROR(_xlfn.IFS(
   --S256&lt;55,"Battery Defect",
  -- S256&lt;=69,"Battery D",
  --S256&lt;=80,"Battery C",
 --S256&gt;80,""
),"")</f>
        <v/>
      </c>
      <c r="U256" s="13" t="str" cm="1">
        <f t="array" ref="U256:Z256">IFERROR(IF(_xlfn.XLOOKUP(B257,Input!J:J,Input!N:S)=0,"",
          _xlfn.XLOOKUP(B257,Input!J:J,Input!N:S)),"")</f>
        <v/>
      </c>
      <c r="V256" s="13" t="str">
        <v/>
      </c>
      <c r="W256" s="13" t="str">
        <v/>
      </c>
      <c r="X256" s="13" t="str">
        <v/>
      </c>
      <c r="Y256" s="13" t="str">
        <v/>
      </c>
      <c r="Z256" s="13" t="str">
        <v/>
      </c>
      <c r="AA256" t="str">
        <f t="shared" si="10"/>
        <v/>
      </c>
    </row>
    <row r="257" spans="11:26">
      <c r="K257">
        <f>_xlfn.XLOOKUP(B257,CPU_Formula!A:A,CPU_Formula!I:I)</f>
        <v>0</v>
      </c>
      <c r="S257" s="13" t="str">
        <f>_xlfn.LET(_xlpm.Result,_xlfn.XLOOKUP(B257,Input!J:J,Input!AB:AB),IF(_xlpm.Result="","",_xlpm.Result))</f>
        <v/>
      </c>
      <c r="T257" s="13" t="str" cm="1">
        <f t="array" ref="T257">IFERROR(_xlfn.IFS(
   --S257&lt;55,"Battery Defect",
  -- S257&lt;=69,"Battery D",
  --S257&lt;=80,"Battery C",
 --S257&gt;80,""
),"")</f>
        <v/>
      </c>
      <c r="U257" s="13" t="str" cm="1">
        <f t="array" ref="U257:Z257">IFERROR(IF(_xlfn.XLOOKUP(B258,Input!J:J,Input!N:S)=0,"",
          _xlfn.XLOOKUP(B258,Input!J:J,Input!N:S)),"")</f>
        <v/>
      </c>
      <c r="V257" s="13" t="str">
        <v/>
      </c>
      <c r="W257" s="13" t="str">
        <v/>
      </c>
      <c r="X257" s="13" t="str">
        <v/>
      </c>
      <c r="Y257" s="13" t="str">
        <v/>
      </c>
      <c r="Z257" s="13" t="str">
        <v/>
      </c>
    </row>
    <row r="258" spans="11:26">
      <c r="K258">
        <f>_xlfn.XLOOKUP(B258,CPU_Formula!A:A,CPU_Formula!I:I)</f>
        <v>0</v>
      </c>
      <c r="S258" s="13" t="str">
        <f>_xlfn.LET(_xlpm.Result,_xlfn.XLOOKUP(B258,Input!J:J,Input!AB:AB),IF(_xlpm.Result="","",_xlpm.Result))</f>
        <v/>
      </c>
      <c r="T258" s="13" t="str" cm="1">
        <f t="array" ref="T258">IFERROR(_xlfn.IFS(
   --S258&lt;55,"Battery Defect",
  -- S258&lt;=69,"Battery D",
  --S258&lt;=80,"Battery C",
 --S258&gt;80,""
),"")</f>
        <v/>
      </c>
      <c r="U258" s="13" t="str" cm="1">
        <f t="array" ref="U258:Z258">IFERROR(IF(_xlfn.XLOOKUP(B259,Input!J:J,Input!N:S)=0,"",
          _xlfn.XLOOKUP(B259,Input!J:J,Input!N:S)),"")</f>
        <v/>
      </c>
      <c r="V258" s="13" t="str">
        <v/>
      </c>
      <c r="W258" s="13" t="str">
        <v/>
      </c>
      <c r="X258" s="13" t="str">
        <v/>
      </c>
      <c r="Y258" s="13" t="str">
        <v/>
      </c>
      <c r="Z258" s="13" t="str">
        <v/>
      </c>
    </row>
    <row r="259" spans="11:26">
      <c r="K259">
        <f>_xlfn.XLOOKUP(B259,CPU_Formula!A:A,CPU_Formula!I:I)</f>
        <v>0</v>
      </c>
      <c r="S259" s="13" t="str">
        <f>_xlfn.LET(_xlpm.Result,_xlfn.XLOOKUP(B259,Input!J:J,Input!AB:AB),IF(_xlpm.Result="","",_xlpm.Result))</f>
        <v/>
      </c>
      <c r="T259" s="13" t="str" cm="1">
        <f t="array" ref="T259">IFERROR(_xlfn.IFS(
   --S259&lt;55,"Battery Defect",
  -- S259&lt;=69,"Battery D",
  --S259&lt;=80,"Battery C",
 --S259&gt;80,""
),"")</f>
        <v/>
      </c>
      <c r="U259" s="13" t="str" cm="1">
        <f t="array" ref="U259:Z259">IFERROR(IF(_xlfn.XLOOKUP(B260,Input!J:J,Input!N:S)=0,"",
          _xlfn.XLOOKUP(B260,Input!J:J,Input!N:S)),"")</f>
        <v/>
      </c>
      <c r="V259" s="13" t="str">
        <v/>
      </c>
      <c r="W259" s="13" t="str">
        <v/>
      </c>
      <c r="X259" s="13" t="str">
        <v/>
      </c>
      <c r="Y259" s="13" t="str">
        <v/>
      </c>
      <c r="Z259" s="13" t="str">
        <v/>
      </c>
    </row>
    <row r="260" spans="11:26">
      <c r="K260">
        <f>_xlfn.XLOOKUP(B260,CPU_Formula!A:A,CPU_Formula!I:I)</f>
        <v>0</v>
      </c>
      <c r="S260" s="13" t="str">
        <f>_xlfn.LET(_xlpm.Result,_xlfn.XLOOKUP(B260,Input!J:J,Input!AB:AB),IF(_xlpm.Result="","",_xlpm.Result))</f>
        <v/>
      </c>
      <c r="T260" s="13" t="str" cm="1">
        <f t="array" ref="T260">IFERROR(_xlfn.IFS(
   --S260&lt;55,"Battery Defect",
  -- S260&lt;=69,"Battery D",
  --S260&lt;=80,"Battery C",
 --S260&gt;80,""
),"")</f>
        <v/>
      </c>
    </row>
  </sheetData>
  <mergeCells count="1">
    <mergeCell ref="U1:Z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104"/>
  <sheetViews>
    <sheetView workbookViewId="0">
      <selection activeCell="G53" sqref="G53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65</v>
      </c>
      <c r="B1" s="12" t="s">
        <v>322</v>
      </c>
      <c r="C1" s="12" t="s">
        <v>316</v>
      </c>
      <c r="D1" s="12" t="s">
        <v>317</v>
      </c>
      <c r="E1" s="12" t="s">
        <v>318</v>
      </c>
      <c r="F1" s="12" t="s">
        <v>319</v>
      </c>
      <c r="G1" s="12" t="s">
        <v>320</v>
      </c>
      <c r="H1" s="12" t="s">
        <v>321</v>
      </c>
      <c r="I1" s="1" t="s">
        <v>9</v>
      </c>
    </row>
    <row r="2" spans="1:9" ht="15.75" thickTop="1">
      <c r="A2">
        <f>CSV!B2</f>
        <v>0</v>
      </c>
      <c r="B2" s="13" t="e">
        <f>INDEX(Input!$D$2:$AD$500,
       MATCH(CPU_Formula!A2, Input!$J$2:$J$500, 0),
       MATCH("CPU model", Input!$D$1:$AD$1, 0))</f>
        <v>#N/A</v>
      </c>
      <c r="C2" s="13" t="str">
        <f t="shared" ref="C2:C65" si="0">IFERROR(_xlfn.TEXTAFTER(B2,"Core(TM) "), "")</f>
        <v/>
      </c>
      <c r="D2" s="13" t="str">
        <f t="shared" ref="D2:D65" si="1">IF(ISNUMBER(SEARCH("Ryzen", B2)), _xlfn.TEXTAFTER(B2, "AMD"), "")</f>
        <v/>
      </c>
      <c r="E2" s="13" t="str">
        <f t="shared" ref="E2:E65" si="2">IF(ISNUMBER(SEARCH("Ultra", B2)), "Ultra"&amp;_xlfn.TEXTAFTER(B2, "Ultra"), "")</f>
        <v/>
      </c>
      <c r="F2" s="13" t="str">
        <f t="shared" ref="F2:F65" si="3">IF(C2&lt;&gt;"", TRIM(_xlfn.TEXTBEFORE(C2," ",,1,1)), "")</f>
        <v/>
      </c>
      <c r="G2" s="13" t="str">
        <f t="shared" ref="G2:G65" si="4">IFERROR(_xlfn.TEXTBEFORE(D2,"w/"),"")</f>
        <v/>
      </c>
      <c r="H2" s="13" t="str">
        <f t="shared" ref="H2:H65" si="5">E2</f>
        <v/>
      </c>
      <c r="I2" t="str">
        <f t="shared" ref="I2:I65" si="6">IF(H2&lt;&gt;"",H2,IF(G2&lt;&gt;"",G2,F2))</f>
        <v/>
      </c>
    </row>
    <row r="3" spans="1:9">
      <c r="A3">
        <f>CSV!B3</f>
        <v>0</v>
      </c>
      <c r="B3" s="13" t="e">
        <f>INDEX(Input!$D$2:$AD$500,
       MATCH(CPU_Formula!A3, Input!$J$2:$J$500, 0),
       MATCH("CPU model", Input!$D$1:$AD$1, 0))</f>
        <v>#N/A</v>
      </c>
      <c r="C3" s="13" t="str">
        <f t="shared" si="0"/>
        <v/>
      </c>
      <c r="D3" s="13" t="str">
        <f t="shared" si="1"/>
        <v/>
      </c>
      <c r="E3" s="13" t="str">
        <f t="shared" si="2"/>
        <v/>
      </c>
      <c r="F3" s="13" t="str">
        <f t="shared" si="3"/>
        <v/>
      </c>
      <c r="G3" s="13" t="str">
        <f t="shared" si="4"/>
        <v/>
      </c>
      <c r="H3" s="13" t="str">
        <f t="shared" si="5"/>
        <v/>
      </c>
      <c r="I3" t="str">
        <f t="shared" si="6"/>
        <v/>
      </c>
    </row>
    <row r="4" spans="1:9">
      <c r="A4">
        <f>CSV!B4</f>
        <v>0</v>
      </c>
      <c r="B4" s="13" t="e">
        <f>INDEX(Input!$D$2:$AD$500,
       MATCH(CPU_Formula!A4, Input!$J$2:$J$500, 0),
       MATCH("CPU model", Input!$D$1:$AD$1, 0))</f>
        <v>#N/A</v>
      </c>
      <c r="C4" s="13" t="str">
        <f t="shared" si="0"/>
        <v/>
      </c>
      <c r="D4" s="13" t="str">
        <f t="shared" si="1"/>
        <v/>
      </c>
      <c r="E4" s="13" t="str">
        <f t="shared" si="2"/>
        <v/>
      </c>
      <c r="F4" s="13" t="str">
        <f t="shared" si="3"/>
        <v/>
      </c>
      <c r="G4" s="13" t="str">
        <f t="shared" si="4"/>
        <v/>
      </c>
      <c r="H4" s="13" t="str">
        <f t="shared" si="5"/>
        <v/>
      </c>
      <c r="I4" t="str">
        <f t="shared" si="6"/>
        <v/>
      </c>
    </row>
    <row r="5" spans="1:9">
      <c r="A5">
        <f>CSV!B5</f>
        <v>0</v>
      </c>
      <c r="B5" s="13" t="e">
        <f>INDEX(Input!$D$2:$AD$500,
       MATCH(CPU_Formula!A5, Input!$J$2:$J$500, 0),
       MATCH("CPU model", Input!$D$1:$AD$1, 0))</f>
        <v>#N/A</v>
      </c>
      <c r="C5" s="13" t="str">
        <f t="shared" si="0"/>
        <v/>
      </c>
      <c r="D5" s="13" t="str">
        <f t="shared" si="1"/>
        <v/>
      </c>
      <c r="E5" s="13" t="str">
        <f t="shared" si="2"/>
        <v/>
      </c>
      <c r="F5" s="13" t="str">
        <f t="shared" si="3"/>
        <v/>
      </c>
      <c r="G5" s="13" t="str">
        <f t="shared" si="4"/>
        <v/>
      </c>
      <c r="H5" s="13" t="str">
        <f t="shared" si="5"/>
        <v/>
      </c>
      <c r="I5" t="str">
        <f t="shared" si="6"/>
        <v/>
      </c>
    </row>
    <row r="6" spans="1:9">
      <c r="A6">
        <f>CSV!B6</f>
        <v>0</v>
      </c>
      <c r="B6" s="13" t="e">
        <f>INDEX(Input!$D$2:$AD$500,
       MATCH(CPU_Formula!A6, Input!$J$2:$J$500, 0),
       MATCH("CPU model", Input!$D$1:$AD$1, 0))</f>
        <v>#N/A</v>
      </c>
      <c r="C6" s="13" t="str">
        <f t="shared" si="0"/>
        <v/>
      </c>
      <c r="D6" s="13" t="str">
        <f t="shared" si="1"/>
        <v/>
      </c>
      <c r="E6" s="13" t="str">
        <f t="shared" si="2"/>
        <v/>
      </c>
      <c r="F6" s="13" t="str">
        <f t="shared" si="3"/>
        <v/>
      </c>
      <c r="G6" s="13" t="str">
        <f t="shared" si="4"/>
        <v/>
      </c>
      <c r="H6" s="13" t="str">
        <f t="shared" si="5"/>
        <v/>
      </c>
      <c r="I6" t="str">
        <f t="shared" si="6"/>
        <v/>
      </c>
    </row>
    <row r="7" spans="1:9">
      <c r="A7">
        <f>CSV!B7</f>
        <v>0</v>
      </c>
      <c r="B7" s="13" t="e">
        <f>INDEX(Input!$D$2:$AD$500,
       MATCH(CPU_Formula!A7, Input!$J$2:$J$500, 0),
       MATCH("CPU model", Input!$D$1:$AD$1, 0))</f>
        <v>#N/A</v>
      </c>
      <c r="C7" s="13" t="str">
        <f t="shared" si="0"/>
        <v/>
      </c>
      <c r="D7" s="13" t="str">
        <f t="shared" si="1"/>
        <v/>
      </c>
      <c r="E7" s="13" t="str">
        <f t="shared" si="2"/>
        <v/>
      </c>
      <c r="F7" s="13" t="str">
        <f t="shared" si="3"/>
        <v/>
      </c>
      <c r="G7" s="13" t="str">
        <f t="shared" si="4"/>
        <v/>
      </c>
      <c r="H7" s="13" t="str">
        <f t="shared" si="5"/>
        <v/>
      </c>
      <c r="I7" t="str">
        <f t="shared" si="6"/>
        <v/>
      </c>
    </row>
    <row r="8" spans="1:9">
      <c r="A8">
        <f>CSV!B8</f>
        <v>0</v>
      </c>
      <c r="B8" s="13" t="e">
        <f>INDEX(Input!$D$2:$AD$500,
       MATCH(CPU_Formula!A8, Input!$J$2:$J$500, 0),
       MATCH("CPU model", Input!$D$1:$AD$1, 0))</f>
        <v>#N/A</v>
      </c>
      <c r="C8" s="13" t="str">
        <f t="shared" si="0"/>
        <v/>
      </c>
      <c r="D8" s="13" t="str">
        <f t="shared" si="1"/>
        <v/>
      </c>
      <c r="E8" s="13" t="str">
        <f t="shared" si="2"/>
        <v/>
      </c>
      <c r="F8" s="13" t="str">
        <f t="shared" si="3"/>
        <v/>
      </c>
      <c r="G8" s="13" t="str">
        <f t="shared" si="4"/>
        <v/>
      </c>
      <c r="H8" s="13" t="str">
        <f t="shared" si="5"/>
        <v/>
      </c>
      <c r="I8" t="str">
        <f t="shared" si="6"/>
        <v/>
      </c>
    </row>
    <row r="9" spans="1:9">
      <c r="A9">
        <f>CSV!B9</f>
        <v>0</v>
      </c>
      <c r="B9" s="13" t="e">
        <f>INDEX(Input!$D$2:$AD$500,
       MATCH(CPU_Formula!A9, Input!$J$2:$J$500, 0),
       MATCH("CPU model", Input!$D$1:$AD$1, 0))</f>
        <v>#N/A</v>
      </c>
      <c r="C9" s="13" t="str">
        <f t="shared" si="0"/>
        <v/>
      </c>
      <c r="D9" s="13" t="str">
        <f t="shared" si="1"/>
        <v/>
      </c>
      <c r="E9" s="13" t="str">
        <f t="shared" si="2"/>
        <v/>
      </c>
      <c r="F9" s="13" t="str">
        <f t="shared" si="3"/>
        <v/>
      </c>
      <c r="G9" s="13" t="str">
        <f t="shared" si="4"/>
        <v/>
      </c>
      <c r="H9" s="13" t="str">
        <f t="shared" si="5"/>
        <v/>
      </c>
      <c r="I9" t="str">
        <f t="shared" si="6"/>
        <v/>
      </c>
    </row>
    <row r="10" spans="1:9">
      <c r="A10">
        <f>CSV!B10</f>
        <v>0</v>
      </c>
      <c r="B10" s="13" t="e">
        <f>INDEX(Input!$D$2:$AD$500,
       MATCH(CPU_Formula!A10, Input!$J$2:$J$500, 0),
       MATCH("CPU model", Input!$D$1:$AD$1, 0))</f>
        <v>#N/A</v>
      </c>
      <c r="C10" s="13" t="str">
        <f t="shared" si="0"/>
        <v/>
      </c>
      <c r="D10" s="13" t="str">
        <f t="shared" si="1"/>
        <v/>
      </c>
      <c r="E10" s="13" t="str">
        <f t="shared" si="2"/>
        <v/>
      </c>
      <c r="F10" s="13" t="str">
        <f t="shared" si="3"/>
        <v/>
      </c>
      <c r="G10" s="13" t="str">
        <f t="shared" si="4"/>
        <v/>
      </c>
      <c r="H10" s="13" t="str">
        <f t="shared" si="5"/>
        <v/>
      </c>
      <c r="I10" t="str">
        <f t="shared" si="6"/>
        <v/>
      </c>
    </row>
    <row r="11" spans="1:9">
      <c r="A11">
        <f>CSV!B11</f>
        <v>0</v>
      </c>
      <c r="B11" s="13" t="e">
        <f>INDEX(Input!$D$2:$AD$500,
       MATCH(CPU_Formula!A11, Input!$J$2:$J$500, 0),
       MATCH("CPU model", Input!$D$1:$AD$1, 0))</f>
        <v>#N/A</v>
      </c>
      <c r="C11" s="13" t="str">
        <f t="shared" si="0"/>
        <v/>
      </c>
      <c r="D11" s="13" t="str">
        <f t="shared" si="1"/>
        <v/>
      </c>
      <c r="E11" s="13" t="str">
        <f t="shared" si="2"/>
        <v/>
      </c>
      <c r="F11" s="13" t="str">
        <f t="shared" si="3"/>
        <v/>
      </c>
      <c r="G11" s="13" t="str">
        <f t="shared" si="4"/>
        <v/>
      </c>
      <c r="H11" s="13" t="str">
        <f t="shared" si="5"/>
        <v/>
      </c>
      <c r="I11" t="str">
        <f t="shared" si="6"/>
        <v/>
      </c>
    </row>
    <row r="12" spans="1:9">
      <c r="A12">
        <f>CSV!B12</f>
        <v>0</v>
      </c>
      <c r="B12" s="13" t="e">
        <f>INDEX(Input!$D$2:$AD$500,
       MATCH(CPU_Formula!A12, Input!$J$2:$J$500, 0),
       MATCH("CPU model", Input!$D$1:$AD$1, 0))</f>
        <v>#N/A</v>
      </c>
      <c r="C12" s="13" t="str">
        <f t="shared" si="0"/>
        <v/>
      </c>
      <c r="D12" s="13" t="str">
        <f t="shared" si="1"/>
        <v/>
      </c>
      <c r="E12" s="13" t="str">
        <f t="shared" si="2"/>
        <v/>
      </c>
      <c r="F12" s="13" t="str">
        <f t="shared" si="3"/>
        <v/>
      </c>
      <c r="G12" s="13" t="str">
        <f t="shared" si="4"/>
        <v/>
      </c>
      <c r="H12" s="13" t="str">
        <f t="shared" si="5"/>
        <v/>
      </c>
      <c r="I12" t="str">
        <f t="shared" si="6"/>
        <v/>
      </c>
    </row>
    <row r="13" spans="1:9">
      <c r="A13">
        <f>CSV!B13</f>
        <v>0</v>
      </c>
      <c r="B13" s="13" t="e">
        <f>INDEX(Input!$D$2:$AD$500,
       MATCH(CPU_Formula!A13, Input!$J$2:$J$500, 0),
       MATCH("CPU model", Input!$D$1:$AD$1, 0))</f>
        <v>#N/A</v>
      </c>
      <c r="C13" s="13" t="str">
        <f t="shared" si="0"/>
        <v/>
      </c>
      <c r="D13" s="13" t="str">
        <f t="shared" si="1"/>
        <v/>
      </c>
      <c r="E13" s="13" t="str">
        <f t="shared" si="2"/>
        <v/>
      </c>
      <c r="F13" s="13" t="str">
        <f t="shared" si="3"/>
        <v/>
      </c>
      <c r="G13" s="13" t="str">
        <f t="shared" si="4"/>
        <v/>
      </c>
      <c r="H13" s="13" t="str">
        <f t="shared" si="5"/>
        <v/>
      </c>
      <c r="I13" t="str">
        <f t="shared" si="6"/>
        <v/>
      </c>
    </row>
    <row r="14" spans="1:9">
      <c r="A14">
        <f>CSV!B14</f>
        <v>0</v>
      </c>
      <c r="B14" s="13" t="e">
        <f>INDEX(Input!$D$2:$AD$500,
       MATCH(CPU_Formula!A14, Input!$J$2:$J$500, 0),
       MATCH("CPU model", Input!$D$1:$AD$1, 0))</f>
        <v>#N/A</v>
      </c>
      <c r="C14" s="13" t="str">
        <f t="shared" si="0"/>
        <v/>
      </c>
      <c r="D14" s="13" t="str">
        <f t="shared" si="1"/>
        <v/>
      </c>
      <c r="E14" s="13" t="str">
        <f t="shared" si="2"/>
        <v/>
      </c>
      <c r="F14" s="13" t="str">
        <f t="shared" si="3"/>
        <v/>
      </c>
      <c r="G14" s="13" t="str">
        <f t="shared" si="4"/>
        <v/>
      </c>
      <c r="H14" s="13" t="str">
        <f t="shared" si="5"/>
        <v/>
      </c>
      <c r="I14" t="str">
        <f t="shared" si="6"/>
        <v/>
      </c>
    </row>
    <row r="15" spans="1:9">
      <c r="A15">
        <f>CSV!B15</f>
        <v>0</v>
      </c>
      <c r="B15" s="13" t="e">
        <f>INDEX(Input!$D$2:$AD$500,
       MATCH(CPU_Formula!A15, Input!$J$2:$J$500, 0),
       MATCH("CPU model", Input!$D$1:$AD$1, 0))</f>
        <v>#N/A</v>
      </c>
      <c r="C15" s="13" t="str">
        <f t="shared" si="0"/>
        <v/>
      </c>
      <c r="D15" s="13" t="str">
        <f t="shared" si="1"/>
        <v/>
      </c>
      <c r="E15" s="13" t="str">
        <f t="shared" si="2"/>
        <v/>
      </c>
      <c r="F15" s="13" t="str">
        <f t="shared" si="3"/>
        <v/>
      </c>
      <c r="G15" s="13" t="str">
        <f t="shared" si="4"/>
        <v/>
      </c>
      <c r="H15" s="13" t="str">
        <f t="shared" si="5"/>
        <v/>
      </c>
      <c r="I15" t="str">
        <f t="shared" si="6"/>
        <v/>
      </c>
    </row>
    <row r="16" spans="1:9">
      <c r="A16">
        <f>CSV!B16</f>
        <v>0</v>
      </c>
      <c r="B16" s="13" t="e">
        <f>INDEX(Input!$D$2:$AD$500,
       MATCH(CPU_Formula!A16, Input!$J$2:$J$500, 0),
       MATCH("CPU model", Input!$D$1:$AD$1, 0))</f>
        <v>#N/A</v>
      </c>
      <c r="C16" s="13" t="str">
        <f t="shared" si="0"/>
        <v/>
      </c>
      <c r="D16" s="13" t="str">
        <f t="shared" si="1"/>
        <v/>
      </c>
      <c r="E16" s="13" t="str">
        <f t="shared" si="2"/>
        <v/>
      </c>
      <c r="F16" s="13" t="str">
        <f t="shared" si="3"/>
        <v/>
      </c>
      <c r="G16" s="13" t="str">
        <f t="shared" si="4"/>
        <v/>
      </c>
      <c r="H16" s="13" t="str">
        <f t="shared" si="5"/>
        <v/>
      </c>
      <c r="I16" t="str">
        <f t="shared" si="6"/>
        <v/>
      </c>
    </row>
    <row r="17" spans="1:9">
      <c r="A17">
        <f>CSV!B17</f>
        <v>0</v>
      </c>
      <c r="B17" s="13" t="e">
        <f>INDEX(Input!$D$2:$AD$500,
       MATCH(CPU_Formula!A17, Input!$J$2:$J$500, 0),
       MATCH("CPU model", Input!$D$1:$AD$1, 0))</f>
        <v>#N/A</v>
      </c>
      <c r="C17" s="13" t="str">
        <f t="shared" si="0"/>
        <v/>
      </c>
      <c r="D17" s="13" t="str">
        <f t="shared" si="1"/>
        <v/>
      </c>
      <c r="E17" s="13" t="str">
        <f t="shared" si="2"/>
        <v/>
      </c>
      <c r="F17" s="13" t="str">
        <f t="shared" si="3"/>
        <v/>
      </c>
      <c r="G17" s="13" t="str">
        <f t="shared" si="4"/>
        <v/>
      </c>
      <c r="H17" s="13" t="str">
        <f t="shared" si="5"/>
        <v/>
      </c>
      <c r="I17" t="str">
        <f t="shared" si="6"/>
        <v/>
      </c>
    </row>
    <row r="18" spans="1:9">
      <c r="A18">
        <f>CSV!B18</f>
        <v>0</v>
      </c>
      <c r="B18" s="13" t="e">
        <f>INDEX(Input!$D$2:$AD$500,
       MATCH(CPU_Formula!A18, Input!$J$2:$J$500, 0),
       MATCH("CPU model", Input!$D$1:$AD$1, 0))</f>
        <v>#N/A</v>
      </c>
      <c r="C18" s="13" t="str">
        <f t="shared" si="0"/>
        <v/>
      </c>
      <c r="D18" s="13" t="str">
        <f t="shared" si="1"/>
        <v/>
      </c>
      <c r="E18" s="13" t="str">
        <f t="shared" si="2"/>
        <v/>
      </c>
      <c r="F18" s="13" t="str">
        <f t="shared" si="3"/>
        <v/>
      </c>
      <c r="G18" s="13" t="str">
        <f t="shared" si="4"/>
        <v/>
      </c>
      <c r="H18" s="13" t="str">
        <f t="shared" si="5"/>
        <v/>
      </c>
      <c r="I18" t="str">
        <f t="shared" si="6"/>
        <v/>
      </c>
    </row>
    <row r="19" spans="1:9">
      <c r="A19">
        <f>CSV!B19</f>
        <v>0</v>
      </c>
      <c r="B19" s="13" t="e">
        <f>INDEX(Input!$D$2:$AD$500,
       MATCH(CPU_Formula!A19, Input!$J$2:$J$500, 0),
       MATCH("CPU model", Input!$D$1:$AD$1, 0))</f>
        <v>#N/A</v>
      </c>
      <c r="C19" s="13" t="str">
        <f t="shared" si="0"/>
        <v/>
      </c>
      <c r="D19" s="13" t="str">
        <f t="shared" si="1"/>
        <v/>
      </c>
      <c r="E19" s="13" t="str">
        <f t="shared" si="2"/>
        <v/>
      </c>
      <c r="F19" s="13" t="str">
        <f t="shared" si="3"/>
        <v/>
      </c>
      <c r="G19" s="13" t="str">
        <f t="shared" si="4"/>
        <v/>
      </c>
      <c r="H19" s="13" t="str">
        <f t="shared" si="5"/>
        <v/>
      </c>
      <c r="I19" t="str">
        <f t="shared" si="6"/>
        <v/>
      </c>
    </row>
    <row r="20" spans="1:9">
      <c r="A20">
        <f>CSV!B20</f>
        <v>0</v>
      </c>
      <c r="B20" s="13" t="e">
        <f>INDEX(Input!$D$2:$AD$500,
       MATCH(CPU_Formula!A20, Input!$J$2:$J$500, 0),
       MATCH("CPU model", Input!$D$1:$AD$1, 0))</f>
        <v>#N/A</v>
      </c>
      <c r="C20" s="13" t="str">
        <f t="shared" si="0"/>
        <v/>
      </c>
      <c r="D20" s="13" t="str">
        <f t="shared" si="1"/>
        <v/>
      </c>
      <c r="E20" s="13" t="str">
        <f t="shared" si="2"/>
        <v/>
      </c>
      <c r="F20" s="13" t="str">
        <f t="shared" si="3"/>
        <v/>
      </c>
      <c r="G20" s="13" t="str">
        <f t="shared" si="4"/>
        <v/>
      </c>
      <c r="H20" s="13" t="str">
        <f t="shared" si="5"/>
        <v/>
      </c>
      <c r="I20" t="str">
        <f t="shared" si="6"/>
        <v/>
      </c>
    </row>
    <row r="21" spans="1:9">
      <c r="A21">
        <f>CSV!B21</f>
        <v>0</v>
      </c>
      <c r="B21" s="13" t="e">
        <f>INDEX(Input!$D$2:$AD$500,
       MATCH(CPU_Formula!A21, Input!$J$2:$J$500, 0),
       MATCH("CPU model", Input!$D$1:$AD$1, 0))</f>
        <v>#N/A</v>
      </c>
      <c r="C21" s="13" t="str">
        <f t="shared" si="0"/>
        <v/>
      </c>
      <c r="D21" s="13" t="str">
        <f t="shared" si="1"/>
        <v/>
      </c>
      <c r="E21" s="13" t="str">
        <f t="shared" si="2"/>
        <v/>
      </c>
      <c r="F21" s="13" t="str">
        <f t="shared" si="3"/>
        <v/>
      </c>
      <c r="G21" s="13" t="str">
        <f t="shared" si="4"/>
        <v/>
      </c>
      <c r="H21" s="13" t="str">
        <f t="shared" si="5"/>
        <v/>
      </c>
      <c r="I21" t="str">
        <f t="shared" si="6"/>
        <v/>
      </c>
    </row>
    <row r="22" spans="1:9">
      <c r="A22">
        <f>CSV!B22</f>
        <v>0</v>
      </c>
      <c r="B22" s="13" t="e">
        <f>INDEX(Input!$D$2:$AD$500,
       MATCH(CPU_Formula!A22, Input!$J$2:$J$500, 0),
       MATCH("CPU model", Input!$D$1:$AD$1, 0))</f>
        <v>#N/A</v>
      </c>
      <c r="C22" s="13" t="str">
        <f t="shared" si="0"/>
        <v/>
      </c>
      <c r="D22" s="13" t="str">
        <f t="shared" si="1"/>
        <v/>
      </c>
      <c r="E22" s="13" t="str">
        <f t="shared" si="2"/>
        <v/>
      </c>
      <c r="F22" s="13" t="str">
        <f t="shared" si="3"/>
        <v/>
      </c>
      <c r="G22" s="13" t="str">
        <f t="shared" si="4"/>
        <v/>
      </c>
      <c r="H22" s="13" t="str">
        <f t="shared" si="5"/>
        <v/>
      </c>
      <c r="I22" t="str">
        <f t="shared" si="6"/>
        <v/>
      </c>
    </row>
    <row r="23" spans="1:9">
      <c r="A23">
        <f>CSV!B23</f>
        <v>0</v>
      </c>
      <c r="B23" s="13" t="e">
        <f>INDEX(Input!$D$2:$AD$500,
       MATCH(CPU_Formula!A23, Input!$J$2:$J$500, 0),
       MATCH("CPU model", Input!$D$1:$AD$1, 0))</f>
        <v>#N/A</v>
      </c>
      <c r="C23" s="13" t="str">
        <f t="shared" si="0"/>
        <v/>
      </c>
      <c r="D23" s="13" t="str">
        <f t="shared" si="1"/>
        <v/>
      </c>
      <c r="E23" s="13" t="str">
        <f t="shared" si="2"/>
        <v/>
      </c>
      <c r="F23" s="13" t="str">
        <f t="shared" si="3"/>
        <v/>
      </c>
      <c r="G23" s="13" t="str">
        <f t="shared" si="4"/>
        <v/>
      </c>
      <c r="H23" s="13" t="str">
        <f t="shared" si="5"/>
        <v/>
      </c>
      <c r="I23" t="str">
        <f t="shared" si="6"/>
        <v/>
      </c>
    </row>
    <row r="24" spans="1:9">
      <c r="A24">
        <f>CSV!B24</f>
        <v>0</v>
      </c>
      <c r="B24" s="13" t="e">
        <f>INDEX(Input!$D$2:$AD$500,
       MATCH(CPU_Formula!A24, Input!$J$2:$J$500, 0),
       MATCH("CPU model", Input!$D$1:$AD$1, 0))</f>
        <v>#N/A</v>
      </c>
      <c r="C24" s="13" t="str">
        <f t="shared" si="0"/>
        <v/>
      </c>
      <c r="D24" s="13" t="str">
        <f t="shared" si="1"/>
        <v/>
      </c>
      <c r="E24" s="13" t="str">
        <f t="shared" si="2"/>
        <v/>
      </c>
      <c r="F24" s="13" t="str">
        <f t="shared" si="3"/>
        <v/>
      </c>
      <c r="G24" s="13" t="str">
        <f t="shared" si="4"/>
        <v/>
      </c>
      <c r="H24" s="13" t="str">
        <f t="shared" si="5"/>
        <v/>
      </c>
      <c r="I24" t="str">
        <f t="shared" si="6"/>
        <v/>
      </c>
    </row>
    <row r="25" spans="1:9">
      <c r="A25">
        <f>CSV!B25</f>
        <v>0</v>
      </c>
      <c r="B25" s="13" t="e">
        <f>INDEX(Input!$D$2:$AD$500,
       MATCH(CPU_Formula!A25, Input!$J$2:$J$500, 0),
       MATCH("CPU model", Input!$D$1:$AD$1, 0))</f>
        <v>#N/A</v>
      </c>
      <c r="C25" s="13" t="str">
        <f t="shared" si="0"/>
        <v/>
      </c>
      <c r="D25" s="13" t="str">
        <f t="shared" si="1"/>
        <v/>
      </c>
      <c r="E25" s="13" t="str">
        <f t="shared" si="2"/>
        <v/>
      </c>
      <c r="F25" s="13" t="str">
        <f t="shared" si="3"/>
        <v/>
      </c>
      <c r="G25" s="13" t="str">
        <f t="shared" si="4"/>
        <v/>
      </c>
      <c r="H25" s="13" t="str">
        <f t="shared" si="5"/>
        <v/>
      </c>
      <c r="I25" t="str">
        <f t="shared" si="6"/>
        <v/>
      </c>
    </row>
    <row r="26" spans="1:9">
      <c r="A26">
        <f>CSV!B26</f>
        <v>0</v>
      </c>
      <c r="B26" s="13" t="e">
        <f>INDEX(Input!$D$2:$AD$500,
       MATCH(CPU_Formula!A26, Input!$J$2:$J$500, 0),
       MATCH("CPU model", Input!$D$1:$AD$1, 0))</f>
        <v>#N/A</v>
      </c>
      <c r="C26" s="13" t="str">
        <f t="shared" si="0"/>
        <v/>
      </c>
      <c r="D26" s="13" t="str">
        <f t="shared" si="1"/>
        <v/>
      </c>
      <c r="E26" s="13" t="str">
        <f t="shared" si="2"/>
        <v/>
      </c>
      <c r="F26" s="13" t="str">
        <f t="shared" si="3"/>
        <v/>
      </c>
      <c r="G26" s="13" t="str">
        <f t="shared" si="4"/>
        <v/>
      </c>
      <c r="H26" s="13" t="str">
        <f t="shared" si="5"/>
        <v/>
      </c>
      <c r="I26" t="str">
        <f t="shared" si="6"/>
        <v/>
      </c>
    </row>
    <row r="27" spans="1:9">
      <c r="A27">
        <f>CSV!B27</f>
        <v>0</v>
      </c>
      <c r="B27" s="13" t="e">
        <f>INDEX(Input!$D$2:$AD$500,
       MATCH(CPU_Formula!A27, Input!$J$2:$J$500, 0),
       MATCH("CPU model", Input!$D$1:$AD$1, 0))</f>
        <v>#N/A</v>
      </c>
      <c r="C27" s="13" t="str">
        <f t="shared" si="0"/>
        <v/>
      </c>
      <c r="D27" s="13" t="str">
        <f t="shared" si="1"/>
        <v/>
      </c>
      <c r="E27" s="13" t="str">
        <f t="shared" si="2"/>
        <v/>
      </c>
      <c r="F27" s="13" t="str">
        <f t="shared" si="3"/>
        <v/>
      </c>
      <c r="G27" s="13" t="str">
        <f t="shared" si="4"/>
        <v/>
      </c>
      <c r="H27" s="13" t="str">
        <f t="shared" si="5"/>
        <v/>
      </c>
      <c r="I27" t="str">
        <f t="shared" si="6"/>
        <v/>
      </c>
    </row>
    <row r="28" spans="1:9">
      <c r="A28">
        <f>CSV!B28</f>
        <v>0</v>
      </c>
      <c r="B28" s="13" t="e">
        <f>INDEX(Input!$D$2:$AD$500,
       MATCH(CPU_Formula!A28, Input!$J$2:$J$500, 0),
       MATCH("CPU model", Input!$D$1:$AD$1, 0))</f>
        <v>#N/A</v>
      </c>
      <c r="C28" s="13" t="str">
        <f t="shared" si="0"/>
        <v/>
      </c>
      <c r="D28" s="13" t="str">
        <f t="shared" si="1"/>
        <v/>
      </c>
      <c r="E28" s="13" t="str">
        <f t="shared" si="2"/>
        <v/>
      </c>
      <c r="F28" s="13" t="str">
        <f t="shared" si="3"/>
        <v/>
      </c>
      <c r="G28" s="13" t="str">
        <f t="shared" si="4"/>
        <v/>
      </c>
      <c r="H28" s="13" t="str">
        <f t="shared" si="5"/>
        <v/>
      </c>
      <c r="I28" t="str">
        <f t="shared" si="6"/>
        <v/>
      </c>
    </row>
    <row r="29" spans="1:9">
      <c r="A29">
        <f>CSV!B29</f>
        <v>0</v>
      </c>
      <c r="B29" s="13" t="e">
        <f>INDEX(Input!$D$2:$AD$500,
       MATCH(CPU_Formula!A29, Input!$J$2:$J$500, 0),
       MATCH("CPU model", Input!$D$1:$AD$1, 0))</f>
        <v>#N/A</v>
      </c>
      <c r="C29" s="13" t="str">
        <f t="shared" si="0"/>
        <v/>
      </c>
      <c r="D29" s="13" t="str">
        <f t="shared" si="1"/>
        <v/>
      </c>
      <c r="E29" s="13" t="str">
        <f t="shared" si="2"/>
        <v/>
      </c>
      <c r="F29" s="13" t="str">
        <f t="shared" si="3"/>
        <v/>
      </c>
      <c r="G29" s="13" t="str">
        <f t="shared" si="4"/>
        <v/>
      </c>
      <c r="H29" s="13" t="str">
        <f t="shared" si="5"/>
        <v/>
      </c>
      <c r="I29" t="str">
        <f t="shared" si="6"/>
        <v/>
      </c>
    </row>
    <row r="30" spans="1:9">
      <c r="A30">
        <f>CSV!B30</f>
        <v>0</v>
      </c>
      <c r="B30" s="13" t="e">
        <f>INDEX(Input!$D$2:$AD$500,
       MATCH(CPU_Formula!A30, Input!$J$2:$J$500, 0),
       MATCH("CPU model", Input!$D$1:$AD$1, 0))</f>
        <v>#N/A</v>
      </c>
      <c r="C30" s="13" t="str">
        <f t="shared" si="0"/>
        <v/>
      </c>
      <c r="D30" s="13" t="str">
        <f t="shared" si="1"/>
        <v/>
      </c>
      <c r="E30" s="13" t="str">
        <f t="shared" si="2"/>
        <v/>
      </c>
      <c r="F30" s="13" t="str">
        <f t="shared" si="3"/>
        <v/>
      </c>
      <c r="G30" s="13" t="str">
        <f t="shared" si="4"/>
        <v/>
      </c>
      <c r="H30" s="13" t="str">
        <f t="shared" si="5"/>
        <v/>
      </c>
      <c r="I30" t="str">
        <f t="shared" si="6"/>
        <v/>
      </c>
    </row>
    <row r="31" spans="1:9">
      <c r="A31">
        <f>CSV!B31</f>
        <v>0</v>
      </c>
      <c r="B31" s="13" t="e">
        <f>INDEX(Input!$D$2:$AD$500,
       MATCH(CPU_Formula!A31, Input!$J$2:$J$500, 0),
       MATCH("CPU model", Input!$D$1:$AD$1, 0))</f>
        <v>#N/A</v>
      </c>
      <c r="C31" s="13" t="str">
        <f t="shared" si="0"/>
        <v/>
      </c>
      <c r="D31" s="13" t="str">
        <f t="shared" si="1"/>
        <v/>
      </c>
      <c r="E31" s="13" t="str">
        <f t="shared" si="2"/>
        <v/>
      </c>
      <c r="F31" s="13" t="str">
        <f t="shared" si="3"/>
        <v/>
      </c>
      <c r="G31" s="13" t="str">
        <f t="shared" si="4"/>
        <v/>
      </c>
      <c r="H31" s="13" t="str">
        <f t="shared" si="5"/>
        <v/>
      </c>
      <c r="I31" t="str">
        <f t="shared" si="6"/>
        <v/>
      </c>
    </row>
    <row r="32" spans="1:9">
      <c r="A32">
        <f>CSV!B32</f>
        <v>0</v>
      </c>
      <c r="B32" s="13" t="e">
        <f>INDEX(Input!$D$2:$AD$500,
       MATCH(CPU_Formula!A32, Input!$J$2:$J$500, 0),
       MATCH("CPU model", Input!$D$1:$AD$1, 0))</f>
        <v>#N/A</v>
      </c>
      <c r="C32" s="13" t="str">
        <f t="shared" si="0"/>
        <v/>
      </c>
      <c r="D32" s="13" t="str">
        <f t="shared" si="1"/>
        <v/>
      </c>
      <c r="E32" s="13" t="str">
        <f t="shared" si="2"/>
        <v/>
      </c>
      <c r="F32" s="13" t="str">
        <f t="shared" si="3"/>
        <v/>
      </c>
      <c r="G32" s="13" t="str">
        <f t="shared" si="4"/>
        <v/>
      </c>
      <c r="H32" s="13" t="str">
        <f t="shared" si="5"/>
        <v/>
      </c>
      <c r="I32" t="str">
        <f t="shared" si="6"/>
        <v/>
      </c>
    </row>
    <row r="33" spans="1:9">
      <c r="A33">
        <f>CSV!B33</f>
        <v>0</v>
      </c>
      <c r="B33" s="13" t="e">
        <f>INDEX(Input!$D$2:$AD$500,
       MATCH(CPU_Formula!A33, Input!$J$2:$J$500, 0),
       MATCH("CPU model", Input!$D$1:$AD$1, 0))</f>
        <v>#N/A</v>
      </c>
      <c r="C33" s="13" t="str">
        <f t="shared" si="0"/>
        <v/>
      </c>
      <c r="D33" s="13" t="str">
        <f t="shared" si="1"/>
        <v/>
      </c>
      <c r="E33" s="13" t="str">
        <f t="shared" si="2"/>
        <v/>
      </c>
      <c r="F33" s="13" t="str">
        <f t="shared" si="3"/>
        <v/>
      </c>
      <c r="G33" s="13" t="str">
        <f t="shared" si="4"/>
        <v/>
      </c>
      <c r="H33" s="13" t="str">
        <f t="shared" si="5"/>
        <v/>
      </c>
      <c r="I33" t="str">
        <f t="shared" si="6"/>
        <v/>
      </c>
    </row>
    <row r="34" spans="1:9">
      <c r="A34">
        <f>CSV!B34</f>
        <v>0</v>
      </c>
      <c r="B34" s="13" t="e">
        <f>INDEX(Input!$D$2:$AD$500,
       MATCH(CPU_Formula!A34, Input!$J$2:$J$500, 0),
       MATCH("CPU model", Input!$D$1:$AD$1, 0))</f>
        <v>#N/A</v>
      </c>
      <c r="C34" s="13" t="str">
        <f t="shared" si="0"/>
        <v/>
      </c>
      <c r="D34" s="13" t="str">
        <f t="shared" si="1"/>
        <v/>
      </c>
      <c r="E34" s="13" t="str">
        <f t="shared" si="2"/>
        <v/>
      </c>
      <c r="F34" s="13" t="str">
        <f t="shared" si="3"/>
        <v/>
      </c>
      <c r="G34" s="13" t="str">
        <f t="shared" si="4"/>
        <v/>
      </c>
      <c r="H34" s="13" t="str">
        <f t="shared" si="5"/>
        <v/>
      </c>
      <c r="I34" t="str">
        <f t="shared" si="6"/>
        <v/>
      </c>
    </row>
    <row r="35" spans="1:9">
      <c r="A35">
        <f>CSV!B35</f>
        <v>0</v>
      </c>
      <c r="B35" s="13" t="e">
        <f>INDEX(Input!$D$2:$AD$500,
       MATCH(CPU_Formula!A35, Input!$J$2:$J$500, 0),
       MATCH("CPU model", Input!$D$1:$AD$1, 0))</f>
        <v>#N/A</v>
      </c>
      <c r="C35" s="13" t="str">
        <f t="shared" si="0"/>
        <v/>
      </c>
      <c r="D35" s="13" t="str">
        <f t="shared" si="1"/>
        <v/>
      </c>
      <c r="E35" s="13" t="str">
        <f t="shared" si="2"/>
        <v/>
      </c>
      <c r="F35" s="13" t="str">
        <f t="shared" si="3"/>
        <v/>
      </c>
      <c r="G35" s="13" t="str">
        <f t="shared" si="4"/>
        <v/>
      </c>
      <c r="H35" s="13" t="str">
        <f t="shared" si="5"/>
        <v/>
      </c>
      <c r="I35" t="str">
        <f t="shared" si="6"/>
        <v/>
      </c>
    </row>
    <row r="36" spans="1:9">
      <c r="A36">
        <f>CSV!B36</f>
        <v>0</v>
      </c>
      <c r="B36" s="13" t="e">
        <f>INDEX(Input!$D$2:$AD$500,
       MATCH(CPU_Formula!A36, Input!$J$2:$J$500, 0),
       MATCH("CPU model", Input!$D$1:$AD$1, 0))</f>
        <v>#N/A</v>
      </c>
      <c r="C36" s="13" t="str">
        <f t="shared" si="0"/>
        <v/>
      </c>
      <c r="D36" s="13" t="str">
        <f t="shared" si="1"/>
        <v/>
      </c>
      <c r="E36" s="13" t="str">
        <f t="shared" si="2"/>
        <v/>
      </c>
      <c r="F36" s="13" t="str">
        <f t="shared" si="3"/>
        <v/>
      </c>
      <c r="G36" s="13" t="str">
        <f t="shared" si="4"/>
        <v/>
      </c>
      <c r="H36" s="13" t="str">
        <f t="shared" si="5"/>
        <v/>
      </c>
      <c r="I36" t="str">
        <f t="shared" si="6"/>
        <v/>
      </c>
    </row>
    <row r="37" spans="1:9">
      <c r="A37">
        <f>CSV!B37</f>
        <v>0</v>
      </c>
      <c r="B37" s="13" t="e">
        <f>INDEX(Input!$D$2:$AD$500,
       MATCH(CPU_Formula!A37, Input!$J$2:$J$500, 0),
       MATCH("CPU model", Input!$D$1:$AD$1, 0))</f>
        <v>#N/A</v>
      </c>
      <c r="C37" s="13" t="str">
        <f t="shared" si="0"/>
        <v/>
      </c>
      <c r="D37" s="13" t="str">
        <f t="shared" si="1"/>
        <v/>
      </c>
      <c r="E37" s="13" t="str">
        <f t="shared" si="2"/>
        <v/>
      </c>
      <c r="F37" s="13" t="str">
        <f t="shared" si="3"/>
        <v/>
      </c>
      <c r="G37" s="13" t="str">
        <f t="shared" si="4"/>
        <v/>
      </c>
      <c r="H37" s="13" t="str">
        <f t="shared" si="5"/>
        <v/>
      </c>
      <c r="I37" t="str">
        <f t="shared" si="6"/>
        <v/>
      </c>
    </row>
    <row r="38" spans="1:9">
      <c r="A38">
        <f>CSV!B38</f>
        <v>0</v>
      </c>
      <c r="B38" s="13" t="e">
        <f>INDEX(Input!$D$2:$AD$500,
       MATCH(CPU_Formula!A38, Input!$J$2:$J$500, 0),
       MATCH("CPU model", Input!$D$1:$AD$1, 0))</f>
        <v>#N/A</v>
      </c>
      <c r="C38" s="13" t="str">
        <f t="shared" si="0"/>
        <v/>
      </c>
      <c r="D38" s="13" t="str">
        <f t="shared" si="1"/>
        <v/>
      </c>
      <c r="E38" s="13" t="str">
        <f t="shared" si="2"/>
        <v/>
      </c>
      <c r="F38" s="13" t="str">
        <f t="shared" si="3"/>
        <v/>
      </c>
      <c r="G38" s="13" t="str">
        <f t="shared" si="4"/>
        <v/>
      </c>
      <c r="H38" s="13" t="str">
        <f t="shared" si="5"/>
        <v/>
      </c>
      <c r="I38" t="str">
        <f t="shared" si="6"/>
        <v/>
      </c>
    </row>
    <row r="39" spans="1:9">
      <c r="A39">
        <f>CSV!B39</f>
        <v>0</v>
      </c>
      <c r="B39" s="13" t="e">
        <f>INDEX(Input!$D$2:$AD$500,
       MATCH(CPU_Formula!A39, Input!$J$2:$J$500, 0),
       MATCH("CPU model", Input!$D$1:$AD$1, 0))</f>
        <v>#N/A</v>
      </c>
      <c r="C39" s="13" t="str">
        <f t="shared" si="0"/>
        <v/>
      </c>
      <c r="D39" s="13" t="str">
        <f t="shared" si="1"/>
        <v/>
      </c>
      <c r="E39" s="13" t="str">
        <f t="shared" si="2"/>
        <v/>
      </c>
      <c r="F39" s="13" t="str">
        <f t="shared" si="3"/>
        <v/>
      </c>
      <c r="G39" s="13" t="str">
        <f t="shared" si="4"/>
        <v/>
      </c>
      <c r="H39" s="13" t="str">
        <f t="shared" si="5"/>
        <v/>
      </c>
      <c r="I39" t="str">
        <f t="shared" si="6"/>
        <v/>
      </c>
    </row>
    <row r="40" spans="1:9">
      <c r="A40">
        <f>CSV!B40</f>
        <v>0</v>
      </c>
      <c r="B40" s="13" t="e">
        <f>INDEX(Input!$D$2:$AD$500,
       MATCH(CPU_Formula!A40, Input!$J$2:$J$500, 0),
       MATCH("CPU model", Input!$D$1:$AD$1, 0))</f>
        <v>#N/A</v>
      </c>
      <c r="C40" s="13" t="str">
        <f t="shared" si="0"/>
        <v/>
      </c>
      <c r="D40" s="13" t="str">
        <f t="shared" si="1"/>
        <v/>
      </c>
      <c r="E40" s="13" t="str">
        <f t="shared" si="2"/>
        <v/>
      </c>
      <c r="F40" s="13" t="str">
        <f t="shared" si="3"/>
        <v/>
      </c>
      <c r="G40" s="13" t="str">
        <f t="shared" si="4"/>
        <v/>
      </c>
      <c r="H40" s="13" t="str">
        <f t="shared" si="5"/>
        <v/>
      </c>
      <c r="I40" t="str">
        <f t="shared" si="6"/>
        <v/>
      </c>
    </row>
    <row r="41" spans="1:9">
      <c r="A41">
        <f>CSV!B41</f>
        <v>0</v>
      </c>
      <c r="B41" s="13" t="e">
        <f>INDEX(Input!$D$2:$AD$500,
       MATCH(CPU_Formula!A41, Input!$J$2:$J$500, 0),
       MATCH("CPU model", Input!$D$1:$AD$1, 0))</f>
        <v>#N/A</v>
      </c>
      <c r="C41" s="13" t="str">
        <f t="shared" si="0"/>
        <v/>
      </c>
      <c r="D41" s="13" t="str">
        <f t="shared" si="1"/>
        <v/>
      </c>
      <c r="E41" s="13" t="str">
        <f t="shared" si="2"/>
        <v/>
      </c>
      <c r="F41" s="13" t="str">
        <f t="shared" si="3"/>
        <v/>
      </c>
      <c r="G41" s="13" t="str">
        <f t="shared" si="4"/>
        <v/>
      </c>
      <c r="H41" s="13" t="str">
        <f t="shared" si="5"/>
        <v/>
      </c>
      <c r="I41" t="str">
        <f t="shared" si="6"/>
        <v/>
      </c>
    </row>
    <row r="42" spans="1:9">
      <c r="A42">
        <f>CSV!B42</f>
        <v>0</v>
      </c>
      <c r="B42" s="13" t="e">
        <f>INDEX(Input!$D$2:$AD$500,
       MATCH(CPU_Formula!A42, Input!$J$2:$J$500, 0),
       MATCH("CPU model", Input!$D$1:$AD$1, 0))</f>
        <v>#N/A</v>
      </c>
      <c r="C42" s="13" t="str">
        <f t="shared" si="0"/>
        <v/>
      </c>
      <c r="D42" s="13" t="str">
        <f t="shared" si="1"/>
        <v/>
      </c>
      <c r="E42" s="13" t="str">
        <f t="shared" si="2"/>
        <v/>
      </c>
      <c r="F42" s="13" t="str">
        <f t="shared" si="3"/>
        <v/>
      </c>
      <c r="G42" s="13" t="str">
        <f t="shared" si="4"/>
        <v/>
      </c>
      <c r="H42" s="13" t="str">
        <f t="shared" si="5"/>
        <v/>
      </c>
      <c r="I42" t="str">
        <f t="shared" si="6"/>
        <v/>
      </c>
    </row>
    <row r="43" spans="1:9">
      <c r="A43">
        <f>CSV!B43</f>
        <v>0</v>
      </c>
      <c r="B43" s="13" t="e">
        <f>INDEX(Input!$D$2:$AD$500,
       MATCH(CPU_Formula!A43, Input!$J$2:$J$500, 0),
       MATCH("CPU model", Input!$D$1:$AD$1, 0))</f>
        <v>#N/A</v>
      </c>
      <c r="C43" s="13" t="str">
        <f t="shared" si="0"/>
        <v/>
      </c>
      <c r="D43" s="13" t="str">
        <f t="shared" si="1"/>
        <v/>
      </c>
      <c r="E43" s="13" t="str">
        <f t="shared" si="2"/>
        <v/>
      </c>
      <c r="F43" s="13" t="str">
        <f t="shared" si="3"/>
        <v/>
      </c>
      <c r="G43" s="13" t="str">
        <f t="shared" si="4"/>
        <v/>
      </c>
      <c r="H43" s="13" t="str">
        <f t="shared" si="5"/>
        <v/>
      </c>
      <c r="I43" t="str">
        <f t="shared" si="6"/>
        <v/>
      </c>
    </row>
    <row r="44" spans="1:9">
      <c r="A44">
        <f>CSV!B44</f>
        <v>0</v>
      </c>
      <c r="B44" s="13" t="e">
        <f>INDEX(Input!$D$2:$AD$500,
       MATCH(CPU_Formula!A44, Input!$J$2:$J$500, 0),
       MATCH("CPU model", Input!$D$1:$AD$1, 0))</f>
        <v>#N/A</v>
      </c>
      <c r="C44" s="13" t="str">
        <f t="shared" si="0"/>
        <v/>
      </c>
      <c r="D44" s="13" t="str">
        <f t="shared" si="1"/>
        <v/>
      </c>
      <c r="E44" s="13" t="str">
        <f t="shared" si="2"/>
        <v/>
      </c>
      <c r="F44" s="13" t="str">
        <f t="shared" si="3"/>
        <v/>
      </c>
      <c r="G44" s="13" t="str">
        <f t="shared" si="4"/>
        <v/>
      </c>
      <c r="H44" s="13" t="str">
        <f t="shared" si="5"/>
        <v/>
      </c>
      <c r="I44" t="str">
        <f t="shared" si="6"/>
        <v/>
      </c>
    </row>
    <row r="45" spans="1:9">
      <c r="A45">
        <f>CSV!B45</f>
        <v>0</v>
      </c>
      <c r="B45" s="13" t="e">
        <f>INDEX(Input!$D$2:$AD$500,
       MATCH(CPU_Formula!A45, Input!$J$2:$J$500, 0),
       MATCH("CPU model", Input!$D$1:$AD$1, 0))</f>
        <v>#N/A</v>
      </c>
      <c r="C45" s="13" t="str">
        <f t="shared" si="0"/>
        <v/>
      </c>
      <c r="D45" s="13" t="str">
        <f t="shared" si="1"/>
        <v/>
      </c>
      <c r="E45" s="13" t="str">
        <f t="shared" si="2"/>
        <v/>
      </c>
      <c r="F45" s="13" t="str">
        <f t="shared" si="3"/>
        <v/>
      </c>
      <c r="G45" s="13" t="str">
        <f t="shared" si="4"/>
        <v/>
      </c>
      <c r="H45" s="13" t="str">
        <f t="shared" si="5"/>
        <v/>
      </c>
      <c r="I45" t="str">
        <f t="shared" si="6"/>
        <v/>
      </c>
    </row>
    <row r="46" spans="1:9">
      <c r="A46">
        <f>CSV!B46</f>
        <v>0</v>
      </c>
      <c r="B46" s="13" t="e">
        <f>INDEX(Input!$D$2:$AD$500,
       MATCH(CPU_Formula!A46, Input!$J$2:$J$500, 0),
       MATCH("CPU model", Input!$D$1:$AD$1, 0))</f>
        <v>#N/A</v>
      </c>
      <c r="C46" s="13" t="str">
        <f t="shared" si="0"/>
        <v/>
      </c>
      <c r="D46" s="13" t="str">
        <f t="shared" si="1"/>
        <v/>
      </c>
      <c r="E46" s="13" t="str">
        <f t="shared" si="2"/>
        <v/>
      </c>
      <c r="F46" s="13" t="str">
        <f t="shared" si="3"/>
        <v/>
      </c>
      <c r="G46" s="13" t="str">
        <f t="shared" si="4"/>
        <v/>
      </c>
      <c r="H46" s="13" t="str">
        <f t="shared" si="5"/>
        <v/>
      </c>
      <c r="I46" t="str">
        <f t="shared" si="6"/>
        <v/>
      </c>
    </row>
    <row r="47" spans="1:9">
      <c r="A47">
        <f>CSV!B47</f>
        <v>0</v>
      </c>
      <c r="B47" s="13" t="e">
        <f>INDEX(Input!$D$2:$AD$500,
       MATCH(CPU_Formula!A47, Input!$J$2:$J$500, 0),
       MATCH("CPU model", Input!$D$1:$AD$1, 0))</f>
        <v>#N/A</v>
      </c>
      <c r="C47" s="13" t="str">
        <f t="shared" si="0"/>
        <v/>
      </c>
      <c r="D47" s="13" t="str">
        <f t="shared" si="1"/>
        <v/>
      </c>
      <c r="E47" s="13" t="str">
        <f t="shared" si="2"/>
        <v/>
      </c>
      <c r="F47" s="13" t="str">
        <f t="shared" si="3"/>
        <v/>
      </c>
      <c r="G47" s="13" t="str">
        <f t="shared" si="4"/>
        <v/>
      </c>
      <c r="H47" s="13" t="str">
        <f t="shared" si="5"/>
        <v/>
      </c>
      <c r="I47" t="str">
        <f t="shared" si="6"/>
        <v/>
      </c>
    </row>
    <row r="48" spans="1:9">
      <c r="A48">
        <f>CSV!B48</f>
        <v>0</v>
      </c>
      <c r="B48" s="13" t="e">
        <f>INDEX(Input!$D$2:$AD$500,
       MATCH(CPU_Formula!A48, Input!$J$2:$J$500, 0),
       MATCH("CPU model", Input!$D$1:$AD$1, 0))</f>
        <v>#N/A</v>
      </c>
      <c r="C48" s="13" t="str">
        <f t="shared" si="0"/>
        <v/>
      </c>
      <c r="D48" s="13" t="str">
        <f t="shared" si="1"/>
        <v/>
      </c>
      <c r="E48" s="13" t="str">
        <f t="shared" si="2"/>
        <v/>
      </c>
      <c r="F48" s="13" t="str">
        <f t="shared" si="3"/>
        <v/>
      </c>
      <c r="G48" s="13" t="str">
        <f t="shared" si="4"/>
        <v/>
      </c>
      <c r="H48" s="13" t="str">
        <f t="shared" si="5"/>
        <v/>
      </c>
      <c r="I48" t="str">
        <f t="shared" si="6"/>
        <v/>
      </c>
    </row>
    <row r="49" spans="1:9">
      <c r="A49">
        <f>CSV!B49</f>
        <v>0</v>
      </c>
      <c r="B49" s="13" t="e">
        <f>INDEX(Input!$D$2:$AD$500,
       MATCH(CPU_Formula!A49, Input!$J$2:$J$500, 0),
       MATCH("CPU model", Input!$D$1:$AD$1, 0))</f>
        <v>#N/A</v>
      </c>
      <c r="C49" s="13" t="str">
        <f t="shared" si="0"/>
        <v/>
      </c>
      <c r="D49" s="13" t="str">
        <f t="shared" si="1"/>
        <v/>
      </c>
      <c r="E49" s="13" t="str">
        <f t="shared" si="2"/>
        <v/>
      </c>
      <c r="F49" s="13" t="str">
        <f t="shared" si="3"/>
        <v/>
      </c>
      <c r="G49" s="13" t="str">
        <f t="shared" si="4"/>
        <v/>
      </c>
      <c r="H49" s="13" t="str">
        <f t="shared" si="5"/>
        <v/>
      </c>
      <c r="I49" t="str">
        <f t="shared" si="6"/>
        <v/>
      </c>
    </row>
    <row r="50" spans="1:9">
      <c r="A50">
        <f>CSV!B50</f>
        <v>0</v>
      </c>
      <c r="B50" s="13" t="e">
        <f>INDEX(Input!$D$2:$AD$500,
       MATCH(CPU_Formula!A50, Input!$J$2:$J$500, 0),
       MATCH("CPU model", Input!$D$1:$AD$1, 0))</f>
        <v>#N/A</v>
      </c>
      <c r="C50" s="13" t="str">
        <f t="shared" si="0"/>
        <v/>
      </c>
      <c r="D50" s="13" t="str">
        <f t="shared" si="1"/>
        <v/>
      </c>
      <c r="E50" s="13" t="str">
        <f t="shared" si="2"/>
        <v/>
      </c>
      <c r="F50" s="13" t="str">
        <f t="shared" si="3"/>
        <v/>
      </c>
      <c r="G50" s="13" t="str">
        <f t="shared" si="4"/>
        <v/>
      </c>
      <c r="H50" s="13" t="str">
        <f t="shared" si="5"/>
        <v/>
      </c>
      <c r="I50" t="str">
        <f t="shared" si="6"/>
        <v/>
      </c>
    </row>
    <row r="51" spans="1:9">
      <c r="A51">
        <f>CSV!B51</f>
        <v>0</v>
      </c>
      <c r="B51" s="13" t="e">
        <f>INDEX(Input!$D$2:$AD$500,
       MATCH(CPU_Formula!A51, Input!$J$2:$J$500, 0),
       MATCH("CPU model", Input!$D$1:$AD$1, 0))</f>
        <v>#N/A</v>
      </c>
      <c r="C51" s="13" t="str">
        <f t="shared" si="0"/>
        <v/>
      </c>
      <c r="D51" s="13" t="str">
        <f t="shared" si="1"/>
        <v/>
      </c>
      <c r="E51" s="13" t="str">
        <f t="shared" si="2"/>
        <v/>
      </c>
      <c r="F51" s="13" t="str">
        <f t="shared" si="3"/>
        <v/>
      </c>
      <c r="G51" s="13" t="str">
        <f t="shared" si="4"/>
        <v/>
      </c>
      <c r="H51" s="13" t="str">
        <f t="shared" si="5"/>
        <v/>
      </c>
      <c r="I51" t="str">
        <f t="shared" si="6"/>
        <v/>
      </c>
    </row>
    <row r="52" spans="1:9">
      <c r="A52">
        <f>CSV!B52</f>
        <v>0</v>
      </c>
      <c r="B52" s="13" t="e">
        <f>INDEX(Input!$D$2:$AD$500,
       MATCH(CPU_Formula!A52, Input!$J$2:$J$500, 0),
       MATCH("CPU model", Input!$D$1:$AD$1, 0))</f>
        <v>#N/A</v>
      </c>
      <c r="C52" s="13" t="str">
        <f t="shared" si="0"/>
        <v/>
      </c>
      <c r="D52" s="13" t="str">
        <f t="shared" si="1"/>
        <v/>
      </c>
      <c r="E52" s="13" t="str">
        <f t="shared" si="2"/>
        <v/>
      </c>
      <c r="F52" s="13" t="str">
        <f t="shared" si="3"/>
        <v/>
      </c>
      <c r="G52" s="13" t="str">
        <f t="shared" si="4"/>
        <v/>
      </c>
      <c r="H52" s="13" t="str">
        <f t="shared" si="5"/>
        <v/>
      </c>
      <c r="I52" t="str">
        <f t="shared" si="6"/>
        <v/>
      </c>
    </row>
    <row r="53" spans="1:9">
      <c r="A53">
        <f>CSV!B53</f>
        <v>0</v>
      </c>
      <c r="B53" s="13" t="e">
        <f>INDEX(Input!$D$2:$AD$500,
       MATCH(CPU_Formula!A53, Input!$J$2:$J$500, 0),
       MATCH("CPU model", Input!$D$1:$AD$1, 0))</f>
        <v>#N/A</v>
      </c>
      <c r="C53" s="13" t="str">
        <f t="shared" si="0"/>
        <v/>
      </c>
      <c r="D53" s="13" t="str">
        <f t="shared" si="1"/>
        <v/>
      </c>
      <c r="E53" s="13" t="str">
        <f t="shared" si="2"/>
        <v/>
      </c>
      <c r="F53" s="13" t="str">
        <f t="shared" si="3"/>
        <v/>
      </c>
      <c r="G53" s="13" t="str">
        <f t="shared" si="4"/>
        <v/>
      </c>
      <c r="H53" s="13" t="str">
        <f t="shared" si="5"/>
        <v/>
      </c>
      <c r="I53" t="str">
        <f t="shared" si="6"/>
        <v/>
      </c>
    </row>
    <row r="54" spans="1:9">
      <c r="A54">
        <f>CSV!B54</f>
        <v>0</v>
      </c>
      <c r="B54" s="13" t="e">
        <f>INDEX(Input!$D$2:$AD$500,
       MATCH(CPU_Formula!A54, Input!$J$2:$J$500, 0),
       MATCH("CPU model", Input!$D$1:$AD$1, 0))</f>
        <v>#N/A</v>
      </c>
      <c r="C54" s="13" t="str">
        <f t="shared" si="0"/>
        <v/>
      </c>
      <c r="D54" s="13" t="str">
        <f t="shared" si="1"/>
        <v/>
      </c>
      <c r="E54" s="13" t="str">
        <f t="shared" si="2"/>
        <v/>
      </c>
      <c r="F54" s="13" t="str">
        <f t="shared" si="3"/>
        <v/>
      </c>
      <c r="G54" s="13" t="str">
        <f t="shared" si="4"/>
        <v/>
      </c>
      <c r="H54" s="13" t="str">
        <f t="shared" si="5"/>
        <v/>
      </c>
      <c r="I54" t="str">
        <f t="shared" si="6"/>
        <v/>
      </c>
    </row>
    <row r="55" spans="1:9">
      <c r="A55">
        <f>CSV!B55</f>
        <v>0</v>
      </c>
      <c r="B55" s="13" t="e">
        <f>INDEX(Input!$D$2:$AD$500,
       MATCH(CPU_Formula!A55, Input!$J$2:$J$500, 0),
       MATCH("CPU model", Input!$D$1:$AD$1, 0))</f>
        <v>#N/A</v>
      </c>
      <c r="C55" s="13" t="str">
        <f t="shared" si="0"/>
        <v/>
      </c>
      <c r="D55" s="13" t="str">
        <f t="shared" si="1"/>
        <v/>
      </c>
      <c r="E55" s="13" t="str">
        <f t="shared" si="2"/>
        <v/>
      </c>
      <c r="F55" s="13" t="str">
        <f t="shared" si="3"/>
        <v/>
      </c>
      <c r="G55" s="13" t="str">
        <f t="shared" si="4"/>
        <v/>
      </c>
      <c r="H55" s="13" t="str">
        <f t="shared" si="5"/>
        <v/>
      </c>
      <c r="I55" t="str">
        <f t="shared" si="6"/>
        <v/>
      </c>
    </row>
    <row r="56" spans="1:9">
      <c r="A56">
        <f>CSV!B56</f>
        <v>0</v>
      </c>
      <c r="B56" s="13" t="e">
        <f>INDEX(Input!$D$2:$AD$500,
       MATCH(CPU_Formula!A56, Input!$J$2:$J$500, 0),
       MATCH("CPU model", Input!$D$1:$AD$1, 0))</f>
        <v>#N/A</v>
      </c>
      <c r="C56" s="13" t="str">
        <f t="shared" si="0"/>
        <v/>
      </c>
      <c r="D56" s="13" t="str">
        <f t="shared" si="1"/>
        <v/>
      </c>
      <c r="E56" s="13" t="str">
        <f t="shared" si="2"/>
        <v/>
      </c>
      <c r="F56" s="13" t="str">
        <f t="shared" si="3"/>
        <v/>
      </c>
      <c r="G56" s="13" t="str">
        <f t="shared" si="4"/>
        <v/>
      </c>
      <c r="H56" s="13" t="str">
        <f t="shared" si="5"/>
        <v/>
      </c>
      <c r="I56" t="str">
        <f t="shared" si="6"/>
        <v/>
      </c>
    </row>
    <row r="57" spans="1:9">
      <c r="A57">
        <f>CSV!B57</f>
        <v>0</v>
      </c>
      <c r="B57" s="13" t="e">
        <f>INDEX(Input!$D$2:$AD$500,
       MATCH(CPU_Formula!A57, Input!$J$2:$J$500, 0),
       MATCH("CPU model", Input!$D$1:$AD$1, 0))</f>
        <v>#N/A</v>
      </c>
      <c r="C57" s="13" t="str">
        <f t="shared" si="0"/>
        <v/>
      </c>
      <c r="D57" s="13" t="str">
        <f t="shared" si="1"/>
        <v/>
      </c>
      <c r="E57" s="13" t="str">
        <f t="shared" si="2"/>
        <v/>
      </c>
      <c r="F57" s="13" t="str">
        <f t="shared" si="3"/>
        <v/>
      </c>
      <c r="G57" s="13" t="str">
        <f t="shared" si="4"/>
        <v/>
      </c>
      <c r="H57" s="13" t="str">
        <f t="shared" si="5"/>
        <v/>
      </c>
      <c r="I57" t="str">
        <f t="shared" si="6"/>
        <v/>
      </c>
    </row>
    <row r="58" spans="1:9">
      <c r="A58">
        <f>CSV!B58</f>
        <v>0</v>
      </c>
      <c r="B58" s="13" t="e">
        <f>INDEX(Input!$D$2:$AD$500,
       MATCH(CPU_Formula!A58, Input!$J$2:$J$500, 0),
       MATCH("CPU model", Input!$D$1:$AD$1, 0))</f>
        <v>#N/A</v>
      </c>
      <c r="C58" s="13" t="str">
        <f t="shared" si="0"/>
        <v/>
      </c>
      <c r="D58" s="13" t="str">
        <f t="shared" si="1"/>
        <v/>
      </c>
      <c r="E58" s="13" t="str">
        <f t="shared" si="2"/>
        <v/>
      </c>
      <c r="F58" s="13" t="str">
        <f t="shared" si="3"/>
        <v/>
      </c>
      <c r="G58" s="13" t="str">
        <f t="shared" si="4"/>
        <v/>
      </c>
      <c r="H58" s="13" t="str">
        <f t="shared" si="5"/>
        <v/>
      </c>
      <c r="I58" t="str">
        <f t="shared" si="6"/>
        <v/>
      </c>
    </row>
    <row r="59" spans="1:9">
      <c r="A59">
        <f>CSV!B59</f>
        <v>0</v>
      </c>
      <c r="B59" s="13" t="e">
        <f>INDEX(Input!$D$2:$AD$500,
       MATCH(CPU_Formula!A59, Input!$J$2:$J$500, 0),
       MATCH("CPU model", Input!$D$1:$AD$1, 0))</f>
        <v>#N/A</v>
      </c>
      <c r="C59" s="13" t="str">
        <f t="shared" si="0"/>
        <v/>
      </c>
      <c r="D59" s="13" t="str">
        <f t="shared" si="1"/>
        <v/>
      </c>
      <c r="E59" s="13" t="str">
        <f t="shared" si="2"/>
        <v/>
      </c>
      <c r="F59" s="13" t="str">
        <f t="shared" si="3"/>
        <v/>
      </c>
      <c r="G59" s="13" t="str">
        <f t="shared" si="4"/>
        <v/>
      </c>
      <c r="H59" s="13" t="str">
        <f t="shared" si="5"/>
        <v/>
      </c>
      <c r="I59" t="str">
        <f t="shared" si="6"/>
        <v/>
      </c>
    </row>
    <row r="60" spans="1:9">
      <c r="A60">
        <f>CSV!B60</f>
        <v>0</v>
      </c>
      <c r="B60" s="13" t="e">
        <f>INDEX(Input!$D$2:$AD$500,
       MATCH(CPU_Formula!A60, Input!$J$2:$J$500, 0),
       MATCH("CPU model", Input!$D$1:$AD$1, 0))</f>
        <v>#N/A</v>
      </c>
      <c r="C60" s="13" t="str">
        <f t="shared" si="0"/>
        <v/>
      </c>
      <c r="D60" s="13" t="str">
        <f t="shared" si="1"/>
        <v/>
      </c>
      <c r="E60" s="13" t="str">
        <f t="shared" si="2"/>
        <v/>
      </c>
      <c r="F60" s="13" t="str">
        <f t="shared" si="3"/>
        <v/>
      </c>
      <c r="G60" s="13" t="str">
        <f t="shared" si="4"/>
        <v/>
      </c>
      <c r="H60" s="13" t="str">
        <f t="shared" si="5"/>
        <v/>
      </c>
      <c r="I60" t="str">
        <f t="shared" si="6"/>
        <v/>
      </c>
    </row>
    <row r="61" spans="1:9">
      <c r="A61">
        <f>CSV!B61</f>
        <v>0</v>
      </c>
      <c r="B61" s="13" t="e">
        <f>INDEX(Input!$D$2:$AD$500,
       MATCH(CPU_Formula!A61, Input!$J$2:$J$500, 0),
       MATCH("CPU model", Input!$D$1:$AD$1, 0))</f>
        <v>#N/A</v>
      </c>
      <c r="C61" s="13" t="str">
        <f t="shared" si="0"/>
        <v/>
      </c>
      <c r="D61" s="13" t="str">
        <f t="shared" si="1"/>
        <v/>
      </c>
      <c r="E61" s="13" t="str">
        <f t="shared" si="2"/>
        <v/>
      </c>
      <c r="F61" s="13" t="str">
        <f t="shared" si="3"/>
        <v/>
      </c>
      <c r="G61" s="13" t="str">
        <f t="shared" si="4"/>
        <v/>
      </c>
      <c r="H61" s="13" t="str">
        <f t="shared" si="5"/>
        <v/>
      </c>
      <c r="I61" t="str">
        <f t="shared" si="6"/>
        <v/>
      </c>
    </row>
    <row r="62" spans="1:9">
      <c r="A62">
        <f>CSV!B62</f>
        <v>0</v>
      </c>
      <c r="B62" s="13" t="e">
        <f>INDEX(Input!$D$2:$AD$500,
       MATCH(CPU_Formula!A62, Input!$J$2:$J$500, 0),
       MATCH("CPU model", Input!$D$1:$AD$1, 0))</f>
        <v>#N/A</v>
      </c>
      <c r="C62" s="13" t="str">
        <f t="shared" si="0"/>
        <v/>
      </c>
      <c r="D62" s="13" t="str">
        <f t="shared" si="1"/>
        <v/>
      </c>
      <c r="E62" s="13" t="str">
        <f t="shared" si="2"/>
        <v/>
      </c>
      <c r="F62" s="13" t="str">
        <f t="shared" si="3"/>
        <v/>
      </c>
      <c r="G62" s="13" t="str">
        <f t="shared" si="4"/>
        <v/>
      </c>
      <c r="H62" s="13" t="str">
        <f t="shared" si="5"/>
        <v/>
      </c>
      <c r="I62" t="str">
        <f t="shared" si="6"/>
        <v/>
      </c>
    </row>
    <row r="63" spans="1:9">
      <c r="A63">
        <f>CSV!B63</f>
        <v>0</v>
      </c>
      <c r="B63" s="13" t="e">
        <f>INDEX(Input!$D$2:$AD$500,
       MATCH(CPU_Formula!A63, Input!$J$2:$J$500, 0),
       MATCH("CPU model", Input!$D$1:$AD$1, 0))</f>
        <v>#N/A</v>
      </c>
      <c r="C63" s="13" t="str">
        <f t="shared" si="0"/>
        <v/>
      </c>
      <c r="D63" s="13" t="str">
        <f t="shared" si="1"/>
        <v/>
      </c>
      <c r="E63" s="13" t="str">
        <f t="shared" si="2"/>
        <v/>
      </c>
      <c r="F63" s="13" t="str">
        <f t="shared" si="3"/>
        <v/>
      </c>
      <c r="G63" s="13" t="str">
        <f t="shared" si="4"/>
        <v/>
      </c>
      <c r="H63" s="13" t="str">
        <f t="shared" si="5"/>
        <v/>
      </c>
      <c r="I63" t="str">
        <f t="shared" si="6"/>
        <v/>
      </c>
    </row>
    <row r="64" spans="1:9">
      <c r="A64">
        <f>CSV!B64</f>
        <v>0</v>
      </c>
      <c r="B64" s="13" t="e">
        <f>INDEX(Input!$D$2:$AD$500,
       MATCH(CPU_Formula!A64, Input!$J$2:$J$500, 0),
       MATCH("CPU model", Input!$D$1:$AD$1, 0))</f>
        <v>#N/A</v>
      </c>
      <c r="C64" s="13" t="str">
        <f t="shared" si="0"/>
        <v/>
      </c>
      <c r="D64" s="13" t="str">
        <f t="shared" si="1"/>
        <v/>
      </c>
      <c r="E64" s="13" t="str">
        <f t="shared" si="2"/>
        <v/>
      </c>
      <c r="F64" s="13" t="str">
        <f t="shared" si="3"/>
        <v/>
      </c>
      <c r="G64" s="13" t="str">
        <f t="shared" si="4"/>
        <v/>
      </c>
      <c r="H64" s="13" t="str">
        <f t="shared" si="5"/>
        <v/>
      </c>
      <c r="I64" t="str">
        <f t="shared" si="6"/>
        <v/>
      </c>
    </row>
    <row r="65" spans="1:9">
      <c r="A65">
        <f>CSV!B65</f>
        <v>0</v>
      </c>
      <c r="B65" s="13" t="e">
        <f>INDEX(Input!$D$2:$AD$500,
       MATCH(CPU_Formula!A65, Input!$J$2:$J$500, 0),
       MATCH("CPU model", Input!$D$1:$AD$1, 0))</f>
        <v>#N/A</v>
      </c>
      <c r="C65" s="13" t="str">
        <f t="shared" si="0"/>
        <v/>
      </c>
      <c r="D65" s="13" t="str">
        <f t="shared" si="1"/>
        <v/>
      </c>
      <c r="E65" s="13" t="str">
        <f t="shared" si="2"/>
        <v/>
      </c>
      <c r="F65" s="13" t="str">
        <f t="shared" si="3"/>
        <v/>
      </c>
      <c r="G65" s="13" t="str">
        <f t="shared" si="4"/>
        <v/>
      </c>
      <c r="H65" s="13" t="str">
        <f t="shared" si="5"/>
        <v/>
      </c>
      <c r="I65" t="str">
        <f t="shared" si="6"/>
        <v/>
      </c>
    </row>
    <row r="66" spans="1:9">
      <c r="A66">
        <f>CSV!B66</f>
        <v>0</v>
      </c>
      <c r="B66" s="13" t="e">
        <f>INDEX(Input!$D$2:$AD$500,
       MATCH(CPU_Formula!A66, Input!$J$2:$J$500, 0),
       MATCH("CPU model", Input!$D$1:$AD$1, 0))</f>
        <v>#N/A</v>
      </c>
      <c r="C66" s="13" t="str">
        <f t="shared" ref="C66:C73" si="7">IFERROR(_xlfn.TEXTAFTER(B66,"Core(TM) "), "")</f>
        <v/>
      </c>
      <c r="D66" s="13" t="str">
        <f t="shared" ref="D66:D73" si="8">IF(ISNUMBER(SEARCH("Ryzen", B66)), _xlfn.TEXTAFTER(B66, "AMD"), "")</f>
        <v/>
      </c>
      <c r="E66" s="13" t="str">
        <f t="shared" ref="E66:E73" si="9">IF(ISNUMBER(SEARCH("Ultra", B66)), "Ultra"&amp;_xlfn.TEXTAFTER(B66, "Ultra"), "")</f>
        <v/>
      </c>
      <c r="F66" s="13" t="str">
        <f t="shared" ref="F66:F73" si="10">IF(C66&lt;&gt;"", TRIM(_xlfn.TEXTBEFORE(C66," ",,1,1)), "")</f>
        <v/>
      </c>
      <c r="G66" s="13" t="str">
        <f t="shared" ref="G66:G73" si="11">IFERROR(_xlfn.TEXTBEFORE(D66,"w/"),"")</f>
        <v/>
      </c>
      <c r="H66" s="13" t="str">
        <f t="shared" ref="H66:H73" si="12">E66</f>
        <v/>
      </c>
      <c r="I66" t="str">
        <f t="shared" ref="I66:I73" si="13">IF(H66&lt;&gt;"",H66,IF(G66&lt;&gt;"",G66,F66))</f>
        <v/>
      </c>
    </row>
    <row r="67" spans="1:9">
      <c r="A67">
        <f>CSV!B67</f>
        <v>0</v>
      </c>
      <c r="B67" s="13" t="e">
        <f>INDEX(Input!$D$2:$AD$500,
       MATCH(CPU_Formula!A67, Input!$J$2:$J$500, 0),
       MATCH("CPU model", Input!$D$1:$AD$1, 0))</f>
        <v>#N/A</v>
      </c>
      <c r="C67" s="13" t="str">
        <f t="shared" si="7"/>
        <v/>
      </c>
      <c r="D67" s="13" t="str">
        <f t="shared" si="8"/>
        <v/>
      </c>
      <c r="E67" s="13" t="str">
        <f t="shared" si="9"/>
        <v/>
      </c>
      <c r="F67" s="13" t="str">
        <f t="shared" si="10"/>
        <v/>
      </c>
      <c r="G67" s="13" t="str">
        <f t="shared" si="11"/>
        <v/>
      </c>
      <c r="H67" s="13" t="str">
        <f t="shared" si="12"/>
        <v/>
      </c>
      <c r="I67" t="str">
        <f t="shared" si="13"/>
        <v/>
      </c>
    </row>
    <row r="68" spans="1:9">
      <c r="A68">
        <f>CSV!B68</f>
        <v>0</v>
      </c>
      <c r="B68" s="13" t="e">
        <f>INDEX(Input!$D$2:$AD$500,
       MATCH(CPU_Formula!A68, Input!$J$2:$J$500, 0),
       MATCH("CPU model", Input!$D$1:$AD$1, 0))</f>
        <v>#N/A</v>
      </c>
      <c r="C68" s="13" t="str">
        <f t="shared" si="7"/>
        <v/>
      </c>
      <c r="D68" s="13" t="str">
        <f t="shared" si="8"/>
        <v/>
      </c>
      <c r="E68" s="13" t="str">
        <f t="shared" si="9"/>
        <v/>
      </c>
      <c r="F68" s="13" t="str">
        <f t="shared" si="10"/>
        <v/>
      </c>
      <c r="G68" s="13" t="str">
        <f t="shared" si="11"/>
        <v/>
      </c>
      <c r="H68" s="13" t="str">
        <f t="shared" si="12"/>
        <v/>
      </c>
      <c r="I68" t="str">
        <f t="shared" si="13"/>
        <v/>
      </c>
    </row>
    <row r="69" spans="1:9">
      <c r="A69">
        <f>CSV!B69</f>
        <v>0</v>
      </c>
      <c r="B69" s="13" t="e">
        <f>INDEX(Input!$D$2:$AD$500,
       MATCH(CPU_Formula!A69, Input!$J$2:$J$500, 0),
       MATCH("CPU model", Input!$D$1:$AD$1, 0))</f>
        <v>#N/A</v>
      </c>
      <c r="C69" s="13" t="str">
        <f t="shared" si="7"/>
        <v/>
      </c>
      <c r="D69" s="13" t="str">
        <f t="shared" si="8"/>
        <v/>
      </c>
      <c r="E69" s="13" t="str">
        <f t="shared" si="9"/>
        <v/>
      </c>
      <c r="F69" s="13" t="str">
        <f t="shared" si="10"/>
        <v/>
      </c>
      <c r="G69" s="13" t="str">
        <f t="shared" si="11"/>
        <v/>
      </c>
      <c r="H69" s="13" t="str">
        <f t="shared" si="12"/>
        <v/>
      </c>
      <c r="I69" t="str">
        <f t="shared" si="13"/>
        <v/>
      </c>
    </row>
    <row r="70" spans="1:9">
      <c r="A70">
        <f>CSV!B70</f>
        <v>0</v>
      </c>
      <c r="B70" s="13" t="e">
        <f>INDEX(Input!$D$2:$AD$500,
       MATCH(CPU_Formula!A70, Input!$J$2:$J$500, 0),
       MATCH("CPU model", Input!$D$1:$AD$1, 0))</f>
        <v>#N/A</v>
      </c>
      <c r="C70" s="13" t="str">
        <f t="shared" si="7"/>
        <v/>
      </c>
      <c r="D70" s="13" t="str">
        <f t="shared" si="8"/>
        <v/>
      </c>
      <c r="E70" s="13" t="str">
        <f t="shared" si="9"/>
        <v/>
      </c>
      <c r="F70" s="13" t="str">
        <f t="shared" si="10"/>
        <v/>
      </c>
      <c r="G70" s="13" t="str">
        <f t="shared" si="11"/>
        <v/>
      </c>
      <c r="H70" s="13" t="str">
        <f t="shared" si="12"/>
        <v/>
      </c>
      <c r="I70" t="str">
        <f t="shared" si="13"/>
        <v/>
      </c>
    </row>
    <row r="71" spans="1:9">
      <c r="A71">
        <f>CSV!B71</f>
        <v>0</v>
      </c>
      <c r="B71" s="13" t="e">
        <f>INDEX(Input!$D$2:$AD$500,
       MATCH(CPU_Formula!A71, Input!$J$2:$J$500, 0),
       MATCH("CPU model", Input!$D$1:$AD$1, 0))</f>
        <v>#N/A</v>
      </c>
      <c r="C71" s="13" t="str">
        <f t="shared" si="7"/>
        <v/>
      </c>
      <c r="D71" s="13" t="str">
        <f t="shared" si="8"/>
        <v/>
      </c>
      <c r="E71" s="13" t="str">
        <f t="shared" si="9"/>
        <v/>
      </c>
      <c r="F71" s="13" t="str">
        <f t="shared" si="10"/>
        <v/>
      </c>
      <c r="G71" s="13" t="str">
        <f t="shared" si="11"/>
        <v/>
      </c>
      <c r="H71" s="13" t="str">
        <f t="shared" si="12"/>
        <v/>
      </c>
      <c r="I71" t="str">
        <f t="shared" si="13"/>
        <v/>
      </c>
    </row>
    <row r="72" spans="1:9">
      <c r="A72">
        <f>CSV!B72</f>
        <v>0</v>
      </c>
      <c r="B72" s="13" t="e">
        <f>INDEX(Input!$D$2:$AD$500,
       MATCH(CPU_Formula!A72, Input!$J$2:$J$500, 0),
       MATCH("CPU model", Input!$D$1:$AD$1, 0))</f>
        <v>#N/A</v>
      </c>
      <c r="C72" s="13" t="str">
        <f t="shared" si="7"/>
        <v/>
      </c>
      <c r="D72" s="13" t="str">
        <f t="shared" si="8"/>
        <v/>
      </c>
      <c r="E72" s="13" t="str">
        <f t="shared" si="9"/>
        <v/>
      </c>
      <c r="F72" s="13" t="str">
        <f t="shared" si="10"/>
        <v/>
      </c>
      <c r="G72" s="13" t="str">
        <f t="shared" si="11"/>
        <v/>
      </c>
      <c r="H72" s="13" t="str">
        <f t="shared" si="12"/>
        <v/>
      </c>
      <c r="I72" t="str">
        <f t="shared" si="13"/>
        <v/>
      </c>
    </row>
    <row r="73" spans="1:9">
      <c r="A73">
        <f>CSV!B73</f>
        <v>0</v>
      </c>
      <c r="B73" s="13" t="e">
        <f>INDEX(Input!$D$2:$AD$500,
       MATCH(CPU_Formula!A73, Input!$J$2:$J$500, 0),
       MATCH("CPU model", Input!$D$1:$AD$1, 0))</f>
        <v>#N/A</v>
      </c>
      <c r="C73" s="13" t="str">
        <f t="shared" si="7"/>
        <v/>
      </c>
      <c r="D73" s="13" t="str">
        <f t="shared" si="8"/>
        <v/>
      </c>
      <c r="E73" s="13" t="str">
        <f t="shared" si="9"/>
        <v/>
      </c>
      <c r="F73" s="13" t="str">
        <f t="shared" si="10"/>
        <v/>
      </c>
      <c r="G73" s="13" t="str">
        <f t="shared" si="11"/>
        <v/>
      </c>
      <c r="H73" s="13" t="str">
        <f t="shared" si="12"/>
        <v/>
      </c>
      <c r="I73" t="str">
        <f t="shared" si="13"/>
        <v/>
      </c>
    </row>
    <row r="74" spans="1:9">
      <c r="A74">
        <f>CSV!B74</f>
        <v>0</v>
      </c>
      <c r="B74" s="13" t="e">
        <f>INDEX(Input!$D$2:$AD$500,
       MATCH(CPU_Formula!A74, Input!$J$2:$J$500, 0),
       MATCH("CPU model", Input!$D$1:$AD$1, 0))</f>
        <v>#N/A</v>
      </c>
      <c r="C74" s="13" t="str">
        <f t="shared" ref="C74:C104" si="14">IFERROR(_xlfn.TEXTAFTER(B74,"Core(TM) "), "")</f>
        <v/>
      </c>
      <c r="D74" s="13" t="str">
        <f>IF(ISNUMBER(SEARCH("Ryzen", B74)), _xlfn.TEXTAFTER(B74, "AMD"), "")</f>
        <v/>
      </c>
      <c r="E74" s="13" t="str">
        <f t="shared" ref="E74:E104" si="15">IF(ISNUMBER(SEARCH("Ultra", B74)), "Ultra"&amp;_xlfn.TEXTAFTER(B74, "Ultra"), "")</f>
        <v/>
      </c>
      <c r="F74" s="13" t="str">
        <f t="shared" ref="F74:F104" si="16">IF(C74&lt;&gt;"", TRIM(_xlfn.TEXTBEFORE(C74," ",,1,1)), "")</f>
        <v/>
      </c>
      <c r="G74" s="13" t="str">
        <f>IFERROR(_xlfn.TEXTBEFORE(D74,"w/"),"")</f>
        <v/>
      </c>
      <c r="H74" s="13" t="str">
        <f t="shared" ref="H74:H104" si="17">E74</f>
        <v/>
      </c>
      <c r="I74" t="str">
        <f t="shared" ref="I74:I104" si="18">IF(H74&lt;&gt;"",H74,IF(G74&lt;&gt;"",G74,F74))</f>
        <v/>
      </c>
    </row>
    <row r="75" spans="1:9">
      <c r="A75">
        <f>CSV!B75</f>
        <v>0</v>
      </c>
      <c r="B75" s="13" t="e">
        <f>INDEX(Input!$D$2:$AD$500,
       MATCH(CPU_Formula!A75, Input!$J$2:$J$500, 0),
       MATCH("CPU model", Input!$D$1:$AD$1, 0))</f>
        <v>#N/A</v>
      </c>
      <c r="C75" s="13" t="str">
        <f t="shared" si="14"/>
        <v/>
      </c>
      <c r="D75" s="13" t="str">
        <f t="shared" ref="D75:D87" si="19">IF(ISNUMBER(SEARCH("Ryzen", B75)), _xlfn.TEXTAFTER(B75, "AMD"), "")</f>
        <v/>
      </c>
      <c r="E75" s="13" t="str">
        <f t="shared" ref="E75:E87" si="20">IF(ISNUMBER(SEARCH("Ultra", B75)), "Ultra"&amp;_xlfn.TEXTAFTER(B75, "Ultra"), "")</f>
        <v/>
      </c>
      <c r="F75" s="13" t="str">
        <f t="shared" ref="F75:F87" si="21">IF(C75&lt;&gt;"", TRIM(_xlfn.TEXTBEFORE(C75," ",,1,1)), "")</f>
        <v/>
      </c>
      <c r="G75" s="13" t="str">
        <f t="shared" ref="G75:G87" si="22">IFERROR(_xlfn.TEXTBEFORE(D75,"w/"),"")</f>
        <v/>
      </c>
      <c r="H75" s="13" t="str">
        <f t="shared" ref="H75:H87" si="23">E75</f>
        <v/>
      </c>
      <c r="I75" t="str">
        <f t="shared" ref="I75:I87" si="24">IF(H75&lt;&gt;"",H75,IF(G75&lt;&gt;"",G75,F75))</f>
        <v/>
      </c>
    </row>
    <row r="76" spans="1:9">
      <c r="A76">
        <f>CSV!B76</f>
        <v>0</v>
      </c>
      <c r="B76" s="13" t="e">
        <f>INDEX(Input!$D$2:$AD$500,
       MATCH(CPU_Formula!A76, Input!$J$2:$J$500, 0),
       MATCH("CPU model", Input!$D$1:$AD$1, 0))</f>
        <v>#N/A</v>
      </c>
      <c r="C76" s="13" t="str">
        <f t="shared" si="14"/>
        <v/>
      </c>
      <c r="D76" s="13" t="str">
        <f t="shared" si="19"/>
        <v/>
      </c>
      <c r="E76" s="13" t="str">
        <f t="shared" si="20"/>
        <v/>
      </c>
      <c r="F76" s="13" t="str">
        <f t="shared" si="21"/>
        <v/>
      </c>
      <c r="G76" s="13" t="str">
        <f t="shared" si="22"/>
        <v/>
      </c>
      <c r="H76" s="13" t="str">
        <f t="shared" si="23"/>
        <v/>
      </c>
      <c r="I76" t="str">
        <f t="shared" si="24"/>
        <v/>
      </c>
    </row>
    <row r="77" spans="1:9">
      <c r="A77">
        <f>CSV!B77</f>
        <v>0</v>
      </c>
      <c r="B77" s="13" t="e">
        <f>INDEX(Input!$D$2:$AD$500,
       MATCH(CPU_Formula!A77, Input!$J$2:$J$500, 0),
       MATCH("CPU model", Input!$D$1:$AD$1, 0))</f>
        <v>#N/A</v>
      </c>
      <c r="C77" s="13" t="str">
        <f t="shared" si="14"/>
        <v/>
      </c>
      <c r="D77" s="13" t="str">
        <f t="shared" si="19"/>
        <v/>
      </c>
      <c r="E77" s="13" t="str">
        <f t="shared" si="20"/>
        <v/>
      </c>
      <c r="F77" s="13" t="str">
        <f t="shared" si="21"/>
        <v/>
      </c>
      <c r="G77" s="13" t="str">
        <f t="shared" si="22"/>
        <v/>
      </c>
      <c r="H77" s="13" t="str">
        <f t="shared" si="23"/>
        <v/>
      </c>
      <c r="I77" t="str">
        <f t="shared" si="24"/>
        <v/>
      </c>
    </row>
    <row r="78" spans="1:9">
      <c r="A78">
        <f>CSV!B78</f>
        <v>0</v>
      </c>
      <c r="B78" s="13" t="e">
        <f>INDEX(Input!$D$2:$AD$500,
       MATCH(CPU_Formula!A78, Input!$J$2:$J$500, 0),
       MATCH("CPU model", Input!$D$1:$AD$1, 0))</f>
        <v>#N/A</v>
      </c>
      <c r="C78" s="13" t="str">
        <f t="shared" si="14"/>
        <v/>
      </c>
      <c r="D78" s="13" t="str">
        <f t="shared" si="19"/>
        <v/>
      </c>
      <c r="E78" s="13" t="str">
        <f t="shared" si="20"/>
        <v/>
      </c>
      <c r="F78" s="13" t="str">
        <f t="shared" si="21"/>
        <v/>
      </c>
      <c r="G78" s="13" t="str">
        <f t="shared" si="22"/>
        <v/>
      </c>
      <c r="H78" s="13" t="str">
        <f t="shared" si="23"/>
        <v/>
      </c>
      <c r="I78" t="str">
        <f t="shared" si="24"/>
        <v/>
      </c>
    </row>
    <row r="79" spans="1:9">
      <c r="A79">
        <f>CSV!B79</f>
        <v>0</v>
      </c>
      <c r="B79" s="13" t="e">
        <f>INDEX(Input!$D$2:$AD$500,
       MATCH(CPU_Formula!A79, Input!$J$2:$J$500, 0),
       MATCH("CPU model", Input!$D$1:$AD$1, 0))</f>
        <v>#N/A</v>
      </c>
      <c r="C79" s="13" t="str">
        <f t="shared" si="14"/>
        <v/>
      </c>
      <c r="D79" s="13" t="str">
        <f t="shared" si="19"/>
        <v/>
      </c>
      <c r="E79" s="13" t="str">
        <f t="shared" si="20"/>
        <v/>
      </c>
      <c r="F79" s="13" t="str">
        <f t="shared" si="21"/>
        <v/>
      </c>
      <c r="G79" s="13" t="str">
        <f t="shared" si="22"/>
        <v/>
      </c>
      <c r="H79" s="13" t="str">
        <f t="shared" si="23"/>
        <v/>
      </c>
      <c r="I79" t="str">
        <f t="shared" si="24"/>
        <v/>
      </c>
    </row>
    <row r="80" spans="1:9">
      <c r="A80">
        <f>CSV!B80</f>
        <v>0</v>
      </c>
      <c r="B80" s="13" t="e">
        <f>INDEX(Input!$D$2:$AD$500,
       MATCH(CPU_Formula!A80, Input!$J$2:$J$500, 0),
       MATCH("CPU model", Input!$D$1:$AD$1, 0))</f>
        <v>#N/A</v>
      </c>
      <c r="C80" s="13" t="str">
        <f t="shared" si="14"/>
        <v/>
      </c>
      <c r="D80" s="13" t="str">
        <f t="shared" si="19"/>
        <v/>
      </c>
      <c r="E80" s="13" t="str">
        <f t="shared" si="20"/>
        <v/>
      </c>
      <c r="F80" s="13" t="str">
        <f t="shared" si="21"/>
        <v/>
      </c>
      <c r="G80" s="13" t="str">
        <f t="shared" si="22"/>
        <v/>
      </c>
      <c r="H80" s="13" t="str">
        <f t="shared" si="23"/>
        <v/>
      </c>
      <c r="I80" t="str">
        <f t="shared" si="24"/>
        <v/>
      </c>
    </row>
    <row r="81" spans="1:9">
      <c r="A81">
        <f>CSV!B81</f>
        <v>0</v>
      </c>
      <c r="B81" s="13" t="e">
        <f>INDEX(Input!$D$2:$AD$500,
       MATCH(CPU_Formula!A81, Input!$J$2:$J$500, 0),
       MATCH("CPU model", Input!$D$1:$AD$1, 0))</f>
        <v>#N/A</v>
      </c>
      <c r="C81" s="13" t="str">
        <f t="shared" si="14"/>
        <v/>
      </c>
      <c r="D81" s="13" t="str">
        <f t="shared" si="19"/>
        <v/>
      </c>
      <c r="E81" s="13" t="str">
        <f t="shared" si="20"/>
        <v/>
      </c>
      <c r="F81" s="13" t="str">
        <f t="shared" si="21"/>
        <v/>
      </c>
      <c r="G81" s="13" t="str">
        <f t="shared" si="22"/>
        <v/>
      </c>
      <c r="H81" s="13" t="str">
        <f t="shared" si="23"/>
        <v/>
      </c>
      <c r="I81" t="str">
        <f t="shared" si="24"/>
        <v/>
      </c>
    </row>
    <row r="82" spans="1:9">
      <c r="A82">
        <f>CSV!B82</f>
        <v>0</v>
      </c>
      <c r="B82" s="13" t="e">
        <f>INDEX(Input!$D$2:$AD$500,
       MATCH(CPU_Formula!A82, Input!$J$2:$J$500, 0),
       MATCH("CPU model", Input!$D$1:$AD$1, 0))</f>
        <v>#N/A</v>
      </c>
      <c r="C82" s="13" t="str">
        <f t="shared" si="14"/>
        <v/>
      </c>
      <c r="D82" s="13" t="str">
        <f t="shared" si="19"/>
        <v/>
      </c>
      <c r="E82" s="13" t="str">
        <f t="shared" si="20"/>
        <v/>
      </c>
      <c r="F82" s="13" t="str">
        <f t="shared" si="21"/>
        <v/>
      </c>
      <c r="G82" s="13" t="str">
        <f t="shared" si="22"/>
        <v/>
      </c>
      <c r="H82" s="13" t="str">
        <f t="shared" si="23"/>
        <v/>
      </c>
      <c r="I82" t="str">
        <f t="shared" si="24"/>
        <v/>
      </c>
    </row>
    <row r="83" spans="1:9">
      <c r="A83">
        <f>CSV!B83</f>
        <v>0</v>
      </c>
      <c r="B83" s="13" t="e">
        <f>INDEX(Input!$D$2:$AD$500,
       MATCH(CPU_Formula!A83, Input!$J$2:$J$500, 0),
       MATCH("CPU model", Input!$D$1:$AD$1, 0))</f>
        <v>#N/A</v>
      </c>
      <c r="C83" s="13" t="str">
        <f t="shared" si="14"/>
        <v/>
      </c>
      <c r="D83" s="13" t="str">
        <f t="shared" si="19"/>
        <v/>
      </c>
      <c r="E83" s="13" t="str">
        <f t="shared" si="20"/>
        <v/>
      </c>
      <c r="F83" s="13" t="str">
        <f t="shared" si="21"/>
        <v/>
      </c>
      <c r="G83" s="13" t="str">
        <f t="shared" si="22"/>
        <v/>
      </c>
      <c r="H83" s="13" t="str">
        <f t="shared" si="23"/>
        <v/>
      </c>
      <c r="I83" t="str">
        <f t="shared" si="24"/>
        <v/>
      </c>
    </row>
    <row r="84" spans="1:9">
      <c r="A84">
        <f>CSV!B84</f>
        <v>0</v>
      </c>
      <c r="B84" s="13" t="e">
        <f>INDEX(Input!$D$2:$AD$500,
       MATCH(CPU_Formula!A84, Input!$J$2:$J$500, 0),
       MATCH("CPU model", Input!$D$1:$AD$1, 0))</f>
        <v>#N/A</v>
      </c>
      <c r="C84" s="13" t="str">
        <f t="shared" si="14"/>
        <v/>
      </c>
      <c r="D84" s="13" t="str">
        <f t="shared" si="19"/>
        <v/>
      </c>
      <c r="E84" s="13" t="str">
        <f t="shared" si="20"/>
        <v/>
      </c>
      <c r="F84" s="13" t="str">
        <f t="shared" si="21"/>
        <v/>
      </c>
      <c r="G84" s="13" t="str">
        <f t="shared" si="22"/>
        <v/>
      </c>
      <c r="H84" s="13" t="str">
        <f t="shared" si="23"/>
        <v/>
      </c>
      <c r="I84" t="str">
        <f t="shared" si="24"/>
        <v/>
      </c>
    </row>
    <row r="85" spans="1:9">
      <c r="A85">
        <f>CSV!B85</f>
        <v>0</v>
      </c>
      <c r="B85" s="13" t="e">
        <f>INDEX(Input!$D$2:$AD$500,
       MATCH(CPU_Formula!A85, Input!$J$2:$J$500, 0),
       MATCH("CPU model", Input!$D$1:$AD$1, 0))</f>
        <v>#N/A</v>
      </c>
      <c r="C85" s="13" t="str">
        <f t="shared" si="14"/>
        <v/>
      </c>
      <c r="D85" s="13" t="str">
        <f t="shared" si="19"/>
        <v/>
      </c>
      <c r="E85" s="13" t="str">
        <f t="shared" si="20"/>
        <v/>
      </c>
      <c r="F85" s="13" t="str">
        <f t="shared" si="21"/>
        <v/>
      </c>
      <c r="G85" s="13" t="str">
        <f t="shared" si="22"/>
        <v/>
      </c>
      <c r="H85" s="13" t="str">
        <f t="shared" si="23"/>
        <v/>
      </c>
      <c r="I85" t="str">
        <f t="shared" si="24"/>
        <v/>
      </c>
    </row>
    <row r="86" spans="1:9">
      <c r="A86">
        <f>CSV!B86</f>
        <v>0</v>
      </c>
      <c r="B86" s="13" t="e">
        <f>INDEX(Input!$D$2:$AD$500,
       MATCH(CPU_Formula!A86, Input!$J$2:$J$500, 0),
       MATCH("CPU model", Input!$D$1:$AD$1, 0))</f>
        <v>#N/A</v>
      </c>
      <c r="C86" s="13" t="str">
        <f t="shared" si="14"/>
        <v/>
      </c>
      <c r="D86" s="13" t="str">
        <f t="shared" si="19"/>
        <v/>
      </c>
      <c r="E86" s="13" t="str">
        <f t="shared" si="20"/>
        <v/>
      </c>
      <c r="F86" s="13" t="str">
        <f t="shared" si="21"/>
        <v/>
      </c>
      <c r="G86" s="13" t="str">
        <f t="shared" si="22"/>
        <v/>
      </c>
      <c r="H86" s="13" t="str">
        <f t="shared" si="23"/>
        <v/>
      </c>
      <c r="I86" t="str">
        <f t="shared" si="24"/>
        <v/>
      </c>
    </row>
    <row r="87" spans="1:9">
      <c r="A87">
        <f>CSV!B87</f>
        <v>0</v>
      </c>
      <c r="B87" s="13" t="e">
        <f>INDEX(Input!$D$2:$AD$500,
       MATCH(CPU_Formula!A87, Input!$J$2:$J$500, 0),
       MATCH("CPU model", Input!$D$1:$AD$1, 0))</f>
        <v>#N/A</v>
      </c>
      <c r="C87" s="13" t="str">
        <f t="shared" si="14"/>
        <v/>
      </c>
      <c r="D87" s="13" t="str">
        <f t="shared" si="19"/>
        <v/>
      </c>
      <c r="E87" s="13" t="str">
        <f t="shared" si="20"/>
        <v/>
      </c>
      <c r="F87" s="13" t="str">
        <f t="shared" si="21"/>
        <v/>
      </c>
      <c r="G87" s="13" t="str">
        <f t="shared" si="22"/>
        <v/>
      </c>
      <c r="H87" s="13" t="str">
        <f t="shared" si="23"/>
        <v/>
      </c>
      <c r="I87" t="str">
        <f t="shared" si="24"/>
        <v/>
      </c>
    </row>
    <row r="88" spans="1:9">
      <c r="A88">
        <f>CSV!B88</f>
        <v>0</v>
      </c>
      <c r="B88" s="13" t="e">
        <f>INDEX(Input!$D$2:$AD$500,
       MATCH(CPU_Formula!A88, Input!$J$2:$J$500, 0),
       MATCH("CPU model", Input!$D$1:$AD$1, 0))</f>
        <v>#N/A</v>
      </c>
      <c r="C88" s="13" t="str">
        <f t="shared" si="14"/>
        <v/>
      </c>
      <c r="D88" s="13" t="str">
        <f t="shared" ref="D88:D104" si="25">IFERROR(_xlfn.TEXTAFTER(B88,"Ryzen "), "")</f>
        <v/>
      </c>
      <c r="E88" s="13" t="str">
        <f t="shared" si="15"/>
        <v/>
      </c>
      <c r="F88" s="13" t="str">
        <f t="shared" si="16"/>
        <v/>
      </c>
      <c r="G88" s="13" t="str">
        <f t="shared" ref="G88:G104" si="26">IF(D88&lt;&gt;"", TRIM(_xlfn.TEXTBEFORE(D88," ",,1)), "")</f>
        <v/>
      </c>
      <c r="H88" s="13" t="str">
        <f t="shared" si="17"/>
        <v/>
      </c>
      <c r="I88" t="str">
        <f t="shared" si="18"/>
        <v/>
      </c>
    </row>
    <row r="89" spans="1:9">
      <c r="A89">
        <f>CSV!B89</f>
        <v>0</v>
      </c>
      <c r="B89" s="13" t="e">
        <f>INDEX(Input!$D$2:$AD$500,
       MATCH(CPU_Formula!A89, Input!$J$2:$J$500, 0),
       MATCH("CPU model", Input!$D$1:$AD$1, 0))</f>
        <v>#N/A</v>
      </c>
      <c r="C89" s="13" t="str">
        <f t="shared" si="14"/>
        <v/>
      </c>
      <c r="D89" s="13" t="str">
        <f t="shared" si="25"/>
        <v/>
      </c>
      <c r="E89" s="13" t="str">
        <f t="shared" si="15"/>
        <v/>
      </c>
      <c r="F89" s="13" t="str">
        <f t="shared" si="16"/>
        <v/>
      </c>
      <c r="G89" s="13" t="str">
        <f t="shared" si="26"/>
        <v/>
      </c>
      <c r="H89" s="13" t="str">
        <f t="shared" si="17"/>
        <v/>
      </c>
      <c r="I89" t="str">
        <f t="shared" si="18"/>
        <v/>
      </c>
    </row>
    <row r="90" spans="1:9">
      <c r="A90">
        <f>CSV!B90</f>
        <v>0</v>
      </c>
      <c r="B90" s="13" t="e">
        <f>INDEX(Input!$D$2:$AD$500,
       MATCH(CPU_Formula!A90, Input!$J$2:$J$500, 0),
       MATCH("CPU model", Input!$D$1:$AD$1, 0))</f>
        <v>#N/A</v>
      </c>
      <c r="C90" s="13" t="str">
        <f t="shared" si="14"/>
        <v/>
      </c>
      <c r="D90" s="13" t="str">
        <f t="shared" si="25"/>
        <v/>
      </c>
      <c r="E90" s="13" t="str">
        <f t="shared" si="15"/>
        <v/>
      </c>
      <c r="F90" s="13" t="str">
        <f t="shared" si="16"/>
        <v/>
      </c>
      <c r="G90" s="13" t="str">
        <f t="shared" si="26"/>
        <v/>
      </c>
      <c r="H90" s="13" t="str">
        <f t="shared" si="17"/>
        <v/>
      </c>
      <c r="I90" t="str">
        <f t="shared" si="18"/>
        <v/>
      </c>
    </row>
    <row r="91" spans="1:9">
      <c r="A91">
        <f>CSV!B91</f>
        <v>0</v>
      </c>
      <c r="B91" s="13" t="e">
        <f>INDEX(Input!$D$2:$AD$500,
       MATCH(CPU_Formula!A91, Input!$J$2:$J$500, 0),
       MATCH("CPU model", Input!$D$1:$AD$1, 0))</f>
        <v>#N/A</v>
      </c>
      <c r="C91" s="13" t="str">
        <f t="shared" si="14"/>
        <v/>
      </c>
      <c r="D91" s="13" t="str">
        <f t="shared" si="25"/>
        <v/>
      </c>
      <c r="E91" s="13" t="str">
        <f t="shared" si="15"/>
        <v/>
      </c>
      <c r="F91" s="13" t="str">
        <f t="shared" si="16"/>
        <v/>
      </c>
      <c r="G91" s="13" t="str">
        <f t="shared" si="26"/>
        <v/>
      </c>
      <c r="H91" s="13" t="str">
        <f t="shared" si="17"/>
        <v/>
      </c>
      <c r="I91" t="str">
        <f t="shared" si="18"/>
        <v/>
      </c>
    </row>
    <row r="92" spans="1:9">
      <c r="A92">
        <f>CSV!B92</f>
        <v>0</v>
      </c>
      <c r="B92" s="13" t="e">
        <f>INDEX(Input!$D$2:$AD$500,
       MATCH(CPU_Formula!A92, Input!$J$2:$J$500, 0),
       MATCH("CPU model", Input!$D$1:$AD$1, 0))</f>
        <v>#N/A</v>
      </c>
      <c r="C92" s="13" t="str">
        <f t="shared" si="14"/>
        <v/>
      </c>
      <c r="D92" s="13" t="str">
        <f t="shared" si="25"/>
        <v/>
      </c>
      <c r="E92" s="13" t="str">
        <f t="shared" si="15"/>
        <v/>
      </c>
      <c r="F92" s="13" t="str">
        <f t="shared" si="16"/>
        <v/>
      </c>
      <c r="G92" s="13" t="str">
        <f t="shared" si="26"/>
        <v/>
      </c>
      <c r="H92" s="13" t="str">
        <f t="shared" si="17"/>
        <v/>
      </c>
      <c r="I92" t="str">
        <f t="shared" si="18"/>
        <v/>
      </c>
    </row>
    <row r="93" spans="1:9">
      <c r="A93">
        <f>CSV!B93</f>
        <v>0</v>
      </c>
      <c r="B93" s="13" t="e">
        <f>INDEX(Input!$D$2:$AD$500,
       MATCH(CPU_Formula!A93, Input!$J$2:$J$500, 0),
       MATCH("CPU model", Input!$D$1:$AD$1, 0))</f>
        <v>#N/A</v>
      </c>
      <c r="C93" s="13" t="str">
        <f t="shared" si="14"/>
        <v/>
      </c>
      <c r="D93" s="13" t="str">
        <f t="shared" si="25"/>
        <v/>
      </c>
      <c r="E93" s="13" t="str">
        <f t="shared" si="15"/>
        <v/>
      </c>
      <c r="F93" s="13" t="str">
        <f t="shared" si="16"/>
        <v/>
      </c>
      <c r="G93" s="13" t="str">
        <f t="shared" si="26"/>
        <v/>
      </c>
      <c r="H93" s="13" t="str">
        <f t="shared" si="17"/>
        <v/>
      </c>
      <c r="I93" t="str">
        <f t="shared" si="18"/>
        <v/>
      </c>
    </row>
    <row r="94" spans="1:9">
      <c r="A94">
        <f>CSV!B94</f>
        <v>0</v>
      </c>
      <c r="B94" s="13" t="e">
        <f>INDEX(Input!$D$2:$AD$500,
       MATCH(CPU_Formula!A94, Input!$J$2:$J$500, 0),
       MATCH("CPU model", Input!$D$1:$AD$1, 0))</f>
        <v>#N/A</v>
      </c>
      <c r="C94" s="13" t="str">
        <f t="shared" si="14"/>
        <v/>
      </c>
      <c r="D94" s="13" t="str">
        <f t="shared" si="25"/>
        <v/>
      </c>
      <c r="E94" s="13" t="str">
        <f t="shared" si="15"/>
        <v/>
      </c>
      <c r="F94" s="13" t="str">
        <f t="shared" si="16"/>
        <v/>
      </c>
      <c r="G94" s="13" t="str">
        <f t="shared" si="26"/>
        <v/>
      </c>
      <c r="H94" s="13" t="str">
        <f t="shared" si="17"/>
        <v/>
      </c>
      <c r="I94" t="str">
        <f t="shared" si="18"/>
        <v/>
      </c>
    </row>
    <row r="95" spans="1:9">
      <c r="A95">
        <f>CSV!B95</f>
        <v>0</v>
      </c>
      <c r="B95" s="13" t="e">
        <f>INDEX(Input!$D$2:$AD$500,
       MATCH(CPU_Formula!A95, Input!$J$2:$J$500, 0),
       MATCH("CPU model", Input!$D$1:$AD$1, 0))</f>
        <v>#N/A</v>
      </c>
      <c r="C95" s="13" t="str">
        <f t="shared" si="14"/>
        <v/>
      </c>
      <c r="D95" s="13" t="str">
        <f t="shared" si="25"/>
        <v/>
      </c>
      <c r="E95" s="13" t="str">
        <f t="shared" si="15"/>
        <v/>
      </c>
      <c r="F95" s="13" t="str">
        <f t="shared" si="16"/>
        <v/>
      </c>
      <c r="G95" s="13" t="str">
        <f t="shared" si="26"/>
        <v/>
      </c>
      <c r="H95" s="13" t="str">
        <f t="shared" si="17"/>
        <v/>
      </c>
      <c r="I95" t="str">
        <f t="shared" si="18"/>
        <v/>
      </c>
    </row>
    <row r="96" spans="1:9">
      <c r="A96">
        <f>CSV!B96</f>
        <v>0</v>
      </c>
      <c r="B96" s="13" t="e">
        <f>INDEX(Input!$D$2:$AD$500,
       MATCH(CPU_Formula!A96, Input!$J$2:$J$500, 0),
       MATCH("CPU model", Input!$D$1:$AD$1, 0))</f>
        <v>#N/A</v>
      </c>
      <c r="C96" s="13" t="str">
        <f t="shared" si="14"/>
        <v/>
      </c>
      <c r="D96" s="13" t="str">
        <f t="shared" si="25"/>
        <v/>
      </c>
      <c r="E96" s="13" t="str">
        <f t="shared" si="15"/>
        <v/>
      </c>
      <c r="F96" s="13" t="str">
        <f t="shared" si="16"/>
        <v/>
      </c>
      <c r="G96" s="13" t="str">
        <f t="shared" si="26"/>
        <v/>
      </c>
      <c r="H96" s="13" t="str">
        <f t="shared" si="17"/>
        <v/>
      </c>
      <c r="I96" t="str">
        <f t="shared" si="18"/>
        <v/>
      </c>
    </row>
    <row r="97" spans="1:9">
      <c r="A97">
        <f>CSV!B97</f>
        <v>0</v>
      </c>
      <c r="B97" s="13" t="e">
        <f>INDEX(Input!$D$2:$AD$500,
       MATCH(CPU_Formula!A97, Input!$J$2:$J$500, 0),
       MATCH("CPU model", Input!$D$1:$AD$1, 0))</f>
        <v>#N/A</v>
      </c>
      <c r="C97" s="13" t="str">
        <f t="shared" si="14"/>
        <v/>
      </c>
      <c r="D97" s="13" t="str">
        <f t="shared" si="25"/>
        <v/>
      </c>
      <c r="E97" s="13" t="str">
        <f t="shared" si="15"/>
        <v/>
      </c>
      <c r="F97" s="13" t="str">
        <f t="shared" si="16"/>
        <v/>
      </c>
      <c r="G97" s="13" t="str">
        <f t="shared" si="26"/>
        <v/>
      </c>
      <c r="H97" s="13" t="str">
        <f t="shared" si="17"/>
        <v/>
      </c>
      <c r="I97" t="str">
        <f t="shared" si="18"/>
        <v/>
      </c>
    </row>
    <row r="98" spans="1:9">
      <c r="A98">
        <f>CSV!B98</f>
        <v>0</v>
      </c>
      <c r="B98" s="13" t="e">
        <f>INDEX(Input!$D$2:$AD$500,
       MATCH(CPU_Formula!A98, Input!$J$2:$J$500, 0),
       MATCH("CPU model", Input!$D$1:$AD$1, 0))</f>
        <v>#N/A</v>
      </c>
      <c r="C98" s="13" t="str">
        <f t="shared" si="14"/>
        <v/>
      </c>
      <c r="D98" s="13" t="str">
        <f t="shared" si="25"/>
        <v/>
      </c>
      <c r="E98" s="13" t="str">
        <f t="shared" si="15"/>
        <v/>
      </c>
      <c r="F98" s="13" t="str">
        <f t="shared" si="16"/>
        <v/>
      </c>
      <c r="G98" s="13" t="str">
        <f t="shared" si="26"/>
        <v/>
      </c>
      <c r="H98" s="13" t="str">
        <f t="shared" si="17"/>
        <v/>
      </c>
      <c r="I98" t="str">
        <f t="shared" si="18"/>
        <v/>
      </c>
    </row>
    <row r="99" spans="1:9">
      <c r="A99">
        <f>CSV!B99</f>
        <v>0</v>
      </c>
      <c r="B99" s="13" t="e">
        <f>INDEX(Input!$D$2:$AD$500,
       MATCH(CPU_Formula!A99, Input!$J$2:$J$500, 0),
       MATCH("CPU model", Input!$D$1:$AD$1, 0))</f>
        <v>#N/A</v>
      </c>
      <c r="C99" s="13" t="str">
        <f t="shared" si="14"/>
        <v/>
      </c>
      <c r="D99" s="13" t="str">
        <f t="shared" si="25"/>
        <v/>
      </c>
      <c r="E99" s="13" t="str">
        <f t="shared" si="15"/>
        <v/>
      </c>
      <c r="F99" s="13" t="str">
        <f t="shared" si="16"/>
        <v/>
      </c>
      <c r="G99" s="13" t="str">
        <f t="shared" si="26"/>
        <v/>
      </c>
      <c r="H99" s="13" t="str">
        <f t="shared" si="17"/>
        <v/>
      </c>
      <c r="I99" t="str">
        <f t="shared" si="18"/>
        <v/>
      </c>
    </row>
    <row r="100" spans="1:9">
      <c r="A100">
        <f>CSV!B100</f>
        <v>0</v>
      </c>
      <c r="B100" s="13" t="e">
        <f>INDEX(Input!$D$2:$AD$500,
       MATCH(CPU_Formula!A100, Input!$J$2:$J$500, 0),
       MATCH("CPU model", Input!$D$1:$AD$1, 0))</f>
        <v>#N/A</v>
      </c>
      <c r="C100" s="13" t="str">
        <f t="shared" si="14"/>
        <v/>
      </c>
      <c r="D100" s="13" t="str">
        <f t="shared" si="25"/>
        <v/>
      </c>
      <c r="E100" s="13" t="str">
        <f t="shared" si="15"/>
        <v/>
      </c>
      <c r="F100" s="13" t="str">
        <f t="shared" si="16"/>
        <v/>
      </c>
      <c r="G100" s="13" t="str">
        <f t="shared" si="26"/>
        <v/>
      </c>
      <c r="H100" s="13" t="str">
        <f t="shared" si="17"/>
        <v/>
      </c>
      <c r="I100" t="str">
        <f t="shared" si="18"/>
        <v/>
      </c>
    </row>
    <row r="101" spans="1:9">
      <c r="A101">
        <f>CSV!B101</f>
        <v>0</v>
      </c>
      <c r="B101" s="13" t="e">
        <f>INDEX(Input!$D$2:$AD$500,
       MATCH(CPU_Formula!A101, Input!$J$2:$J$500, 0),
       MATCH("CPU model", Input!$D$1:$AD$1, 0))</f>
        <v>#N/A</v>
      </c>
      <c r="C101" s="13" t="str">
        <f t="shared" si="14"/>
        <v/>
      </c>
      <c r="D101" s="13" t="str">
        <f t="shared" si="25"/>
        <v/>
      </c>
      <c r="E101" s="13" t="str">
        <f t="shared" si="15"/>
        <v/>
      </c>
      <c r="F101" s="13" t="str">
        <f t="shared" si="16"/>
        <v/>
      </c>
      <c r="G101" s="13" t="str">
        <f t="shared" si="26"/>
        <v/>
      </c>
      <c r="H101" s="13" t="str">
        <f t="shared" si="17"/>
        <v/>
      </c>
      <c r="I101" t="str">
        <f t="shared" si="18"/>
        <v/>
      </c>
    </row>
    <row r="102" spans="1:9">
      <c r="A102">
        <f>CSV!B102</f>
        <v>0</v>
      </c>
      <c r="B102" s="13" t="e">
        <f>INDEX(Input!$D$2:$AD$500,
       MATCH(CPU_Formula!A102, Input!$J$2:$J$500, 0),
       MATCH("CPU model", Input!$D$1:$AD$1, 0))</f>
        <v>#N/A</v>
      </c>
      <c r="C102" s="13" t="str">
        <f t="shared" si="14"/>
        <v/>
      </c>
      <c r="D102" s="13" t="str">
        <f t="shared" si="25"/>
        <v/>
      </c>
      <c r="E102" s="13" t="str">
        <f t="shared" si="15"/>
        <v/>
      </c>
      <c r="F102" s="13" t="str">
        <f t="shared" si="16"/>
        <v/>
      </c>
      <c r="G102" s="13" t="str">
        <f t="shared" si="26"/>
        <v/>
      </c>
      <c r="H102" s="13" t="str">
        <f t="shared" si="17"/>
        <v/>
      </c>
      <c r="I102" t="str">
        <f t="shared" si="18"/>
        <v/>
      </c>
    </row>
    <row r="103" spans="1:9">
      <c r="A103">
        <f>CSV!B103</f>
        <v>0</v>
      </c>
      <c r="B103" s="13" t="e">
        <f>INDEX(Input!$D$2:$AD$500,
       MATCH(CPU_Formula!A103, Input!$J$2:$J$500, 0),
       MATCH("CPU model", Input!$D$1:$AD$1, 0))</f>
        <v>#N/A</v>
      </c>
      <c r="C103" s="13" t="str">
        <f t="shared" si="14"/>
        <v/>
      </c>
      <c r="D103" s="13" t="str">
        <f t="shared" si="25"/>
        <v/>
      </c>
      <c r="E103" s="13" t="str">
        <f t="shared" si="15"/>
        <v/>
      </c>
      <c r="F103" s="13" t="str">
        <f t="shared" si="16"/>
        <v/>
      </c>
      <c r="G103" s="13" t="str">
        <f t="shared" si="26"/>
        <v/>
      </c>
      <c r="H103" s="13" t="str">
        <f t="shared" si="17"/>
        <v/>
      </c>
      <c r="I103" t="str">
        <f t="shared" si="18"/>
        <v/>
      </c>
    </row>
    <row r="104" spans="1:9">
      <c r="A104">
        <f>CSV!B104</f>
        <v>0</v>
      </c>
      <c r="B104" s="13" t="e">
        <f>_xlfn.XLOOKUP(A104,Input!J:J,Input!T:T)</f>
        <v>#N/A</v>
      </c>
      <c r="C104" s="13" t="str">
        <f t="shared" si="14"/>
        <v/>
      </c>
      <c r="D104" s="13" t="str">
        <f t="shared" si="25"/>
        <v/>
      </c>
      <c r="E104" s="13" t="str">
        <f t="shared" si="15"/>
        <v/>
      </c>
      <c r="F104" s="13" t="str">
        <f t="shared" si="16"/>
        <v/>
      </c>
      <c r="G104" s="13" t="str">
        <f t="shared" si="26"/>
        <v/>
      </c>
      <c r="H104" s="13" t="str">
        <f t="shared" si="17"/>
        <v/>
      </c>
      <c r="I104" t="str">
        <f t="shared" si="18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topLeftCell="O1" workbookViewId="0">
      <selection activeCell="AB2" sqref="AB2:AB32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308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310</v>
      </c>
      <c r="O1" s="12" t="s">
        <v>309</v>
      </c>
      <c r="P1" s="12" t="s">
        <v>19</v>
      </c>
      <c r="Q1" s="12" t="s">
        <v>311</v>
      </c>
      <c r="R1" s="12" t="s">
        <v>312</v>
      </c>
      <c r="S1" s="17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43" t="s">
        <v>564</v>
      </c>
    </row>
    <row r="2" spans="1:28" ht="15.75" thickTop="1">
      <c r="A2" t="str">
        <f>MacReports!A2</f>
        <v/>
      </c>
      <c r="B2">
        <f>MacReports!B2</f>
        <v>0</v>
      </c>
      <c r="C2">
        <f>MacReports!C2</f>
        <v>0</v>
      </c>
      <c r="E2" t="e">
        <f>_xlfn.XLOOKUP(G2,Models!A:A,Models!F:F)</f>
        <v>#N/A</v>
      </c>
      <c r="F2" t="str">
        <f>_xlfn.XLOOKUP(B2,MacReports!B:B,MacReports!D:D,"")</f>
        <v/>
      </c>
      <c r="G2" s="13">
        <f>MacReports!E2</f>
        <v>0</v>
      </c>
      <c r="H2">
        <f>_xlfn.XLOOKUP(G2,Models!A:A,Models!B:B,G2)</f>
        <v>0</v>
      </c>
      <c r="I2" t="e">
        <f>_xlfn.XLOOKUP(G2,Models!A:A,Models!E:E)</f>
        <v>#N/A</v>
      </c>
      <c r="J2" t="e">
        <f>_xlfn.XLOOKUP(G2,Models!A:A,Models!D:D)</f>
        <v>#N/A</v>
      </c>
      <c r="K2">
        <f>MacReports!F2</f>
        <v>0</v>
      </c>
      <c r="L2">
        <f>MacReports!G2</f>
        <v>0</v>
      </c>
      <c r="M2" s="15" t="e" cm="1">
        <f t="array" ref="M2">--_xlfn.LET(
    _xlpm.txt, MacReports!H2,
    _xlpm.chars, MID(_xlpm.txt, _xlfn.SEQUENCE(LEN(_xlpm.txt)), 1),
    _xlfn.TEXTJOIN("", TRUE, IF(ISNUMBER(--_xlpm.chars), _xlpm.chars, ""))
)</f>
        <v>#VALUE!</v>
      </c>
      <c r="N2" s="16" t="str" cm="1">
        <f t="array" ref="N2">_xlfn.IFS(
   --MacReports!M2&lt;55,"Battery Defect",
  -- MacReports!M2&lt;=69,"Battery D",
  --MacReports!M2&lt;=80,"Battery C",
 --MacReports!M2&gt;80,""
)</f>
        <v>Battery Defect</v>
      </c>
      <c r="O2" s="16" t="str">
        <f>IF(MacReports!I2="Service","Battery Service","")</f>
        <v/>
      </c>
      <c r="P2" s="13">
        <f>MacReports!P2</f>
        <v>0</v>
      </c>
      <c r="Q2" s="13" t="str">
        <f>IF(MacReports!J2="Enabled","Apple ID Lock","")</f>
        <v/>
      </c>
      <c r="R2" s="13" t="str">
        <f>IF(MacReports!L2="y","Remote Locked","")</f>
        <v/>
      </c>
      <c r="S2" t="str">
        <f t="shared" ref="S2:S10" si="0">_xlfn.TEXTJOIN(", ",TRUE,Q2,R2,N2,O2,P2)</f>
        <v>Battery Defect, 0</v>
      </c>
      <c r="T2" t="str">
        <f>_xlfn.XLOOKUP(B2,Disk_Pivot!G:G,Disk_Pivot!I:I)</f>
        <v>No</v>
      </c>
      <c r="U2" t="str">
        <f>_xlfn.XLOOKUP(B2,Disk_Pivot!G:G,Disk_Pivot!N:N)</f>
        <v/>
      </c>
      <c r="V2" t="str">
        <f>IF(U2="Fail",MacReports!N2,"")</f>
        <v/>
      </c>
      <c r="AB2" t="str">
        <f>_xlfn.TEXTJOIN(", ",TRUE,Q2,R2)</f>
        <v/>
      </c>
    </row>
    <row r="3" spans="1:28">
      <c r="A3" t="str">
        <f>MacReports!A3</f>
        <v/>
      </c>
      <c r="B3">
        <f>MacReports!B3</f>
        <v>0</v>
      </c>
      <c r="C3">
        <f>MacReports!C3</f>
        <v>0</v>
      </c>
      <c r="E3" t="e">
        <f>_xlfn.XLOOKUP(G3,Models!A:A,Models!F:F)</f>
        <v>#N/A</v>
      </c>
      <c r="F3" t="str">
        <f>_xlfn.XLOOKUP(B3,MacReports!B:B,MacReports!D:D,"")</f>
        <v/>
      </c>
      <c r="G3" s="13">
        <f>MacReports!E3</f>
        <v>0</v>
      </c>
      <c r="H3" t="e">
        <f>_xlfn.XLOOKUP(G3,Models!A:A,Models!B:B)</f>
        <v>#N/A</v>
      </c>
      <c r="I3" t="e">
        <f>_xlfn.XLOOKUP(G3,Models!A:A,Models!E:E)</f>
        <v>#N/A</v>
      </c>
      <c r="J3" t="e">
        <f>_xlfn.XLOOKUP(G3,Models!A:A,Models!D:D)</f>
        <v>#N/A</v>
      </c>
      <c r="K3">
        <f>MacReports!F3</f>
        <v>0</v>
      </c>
      <c r="L3">
        <f>MacReports!G3</f>
        <v>0</v>
      </c>
      <c r="M3" s="15" t="e" cm="1">
        <f t="array" ref="M3">--_xlfn.LET(
    _xlpm.txt, MacReports!H3,
    _xlpm.chars, MID(_xlpm.txt, _xlfn.SEQUENCE(LEN(_xlpm.txt)), 1),
    _xlfn.TEXTJOIN("", TRUE, IF(ISNUMBER(--_xlpm.chars), _xlpm.chars, ""))
)</f>
        <v>#VALUE!</v>
      </c>
      <c r="N3" s="16" t="str" cm="1">
        <f t="array" ref="N3">_xlfn.IFS(
   --MacReports!M3&lt;55,"Battery Defect",
  -- MacReports!M3&lt;=69,"Battery D",
  --MacReports!M3&lt;=80,"Battery C",
 --MacReports!M3&gt;80,""
)</f>
        <v>Battery Defect</v>
      </c>
      <c r="O3" s="16" t="str">
        <f>IF(MacReports!I3="Service","Battery Service","")</f>
        <v/>
      </c>
      <c r="P3" s="13">
        <f>MacReports!P3</f>
        <v>0</v>
      </c>
      <c r="Q3" s="13" t="str">
        <f>IF(MacReports!J3="Enabled","Apple ID Lock","")</f>
        <v/>
      </c>
      <c r="R3" s="13" t="str">
        <f>IF(MacReports!L3="y","Remote Locked","")</f>
        <v/>
      </c>
      <c r="S3" t="str">
        <f t="shared" si="0"/>
        <v>Battery Defect, 0</v>
      </c>
      <c r="T3" t="str">
        <f>_xlfn.XLOOKUP(B3,Disk_Pivot!G:G,Disk_Pivot!I:I)</f>
        <v>No</v>
      </c>
      <c r="U3" t="str">
        <f>_xlfn.XLOOKUP(B3,Disk_Pivot!G:G,Disk_Pivot!N:N)</f>
        <v/>
      </c>
      <c r="V3" t="str">
        <f>IF(U3="Fail",MacReports!N3,"")</f>
        <v/>
      </c>
      <c r="AB3" t="str">
        <f t="shared" ref="AB3:AB66" si="1">_xlfn.TEXTJOIN(", ",TRUE,Q3,R3)</f>
        <v/>
      </c>
    </row>
    <row r="4" spans="1:28">
      <c r="A4" t="str">
        <f>MacReports!A4</f>
        <v/>
      </c>
      <c r="B4">
        <f>MacReports!B4</f>
        <v>0</v>
      </c>
      <c r="C4">
        <f>MacReports!C4</f>
        <v>0</v>
      </c>
      <c r="E4" t="e">
        <f>_xlfn.XLOOKUP(G4,Models!A:A,Models!F:F)</f>
        <v>#N/A</v>
      </c>
      <c r="F4" t="str">
        <f>_xlfn.XLOOKUP(B4,MacReports!B:B,MacReports!D:D,"")</f>
        <v/>
      </c>
      <c r="G4" s="13">
        <f>MacReports!E4</f>
        <v>0</v>
      </c>
      <c r="H4" t="e">
        <f>_xlfn.XLOOKUP(G4,Models!A:A,Models!B:B)</f>
        <v>#N/A</v>
      </c>
      <c r="I4" t="e">
        <f>_xlfn.XLOOKUP(G4,Models!A:A,Models!E:E)</f>
        <v>#N/A</v>
      </c>
      <c r="J4" t="e">
        <f>_xlfn.XLOOKUP(G4,Models!A:A,Models!D:D)</f>
        <v>#N/A</v>
      </c>
      <c r="K4">
        <f>MacReports!F4</f>
        <v>0</v>
      </c>
      <c r="L4">
        <f>MacReports!G4</f>
        <v>0</v>
      </c>
      <c r="M4" s="15" t="e" cm="1">
        <f t="array" ref="M4">--_xlfn.LET(
    _xlpm.txt, MacReports!H4,
    _xlpm.chars, MID(_xlpm.txt, _xlfn.SEQUENCE(LEN(_xlpm.txt)), 1),
    _xlfn.TEXTJOIN("", TRUE, IF(ISNUMBER(--_xlpm.chars), _xlpm.chars, ""))
)</f>
        <v>#VALUE!</v>
      </c>
      <c r="N4" s="16" t="str" cm="1">
        <f t="array" ref="N4">_xlfn.IFS(
   --MacReports!M4&lt;55,"Battery Defect",
  -- MacReports!M4&lt;=69,"Battery D",
  --MacReports!M4&lt;=80,"Battery C",
 --MacReports!M4&gt;80,""
)</f>
        <v>Battery Defect</v>
      </c>
      <c r="O4" s="16" t="str">
        <f>IF(MacReports!I4="Service","Battery Service","")</f>
        <v/>
      </c>
      <c r="P4" s="13">
        <f>MacReports!P4</f>
        <v>0</v>
      </c>
      <c r="Q4" s="13" t="str">
        <f>IF(MacReports!J4="Enabled","Apple ID Lock","")</f>
        <v/>
      </c>
      <c r="R4" s="13" t="str">
        <f>IF(MacReports!L4="y","Remote Locked","")</f>
        <v/>
      </c>
      <c r="S4" t="str">
        <f t="shared" si="0"/>
        <v>Battery Defect, 0</v>
      </c>
      <c r="T4" t="str">
        <f>_xlfn.XLOOKUP(B4,Disk_Pivot!G:G,Disk_Pivot!I:I)</f>
        <v>No</v>
      </c>
      <c r="U4" t="str">
        <f>_xlfn.XLOOKUP(B4,Disk_Pivot!G:G,Disk_Pivot!N:N)</f>
        <v/>
      </c>
      <c r="V4" t="str">
        <f>IF(U4="Fail",MacReports!N4,"")</f>
        <v/>
      </c>
      <c r="AB4" t="str">
        <f t="shared" si="1"/>
        <v/>
      </c>
    </row>
    <row r="5" spans="1:28">
      <c r="A5" t="str">
        <f>MacReports!A5</f>
        <v/>
      </c>
      <c r="B5">
        <f>MacReports!B5</f>
        <v>0</v>
      </c>
      <c r="C5">
        <f>MacReports!C5</f>
        <v>0</v>
      </c>
      <c r="E5" t="e">
        <f>_xlfn.XLOOKUP(G5,Models!A:A,Models!F:F)</f>
        <v>#N/A</v>
      </c>
      <c r="F5" t="str">
        <f>_xlfn.XLOOKUP(B5,MacReports!B:B,MacReports!D:D,"")</f>
        <v/>
      </c>
      <c r="G5" s="13">
        <f>MacReports!E5</f>
        <v>0</v>
      </c>
      <c r="H5" t="e">
        <f>_xlfn.XLOOKUP(G5,Models!A:A,Models!B:B)</f>
        <v>#N/A</v>
      </c>
      <c r="I5" t="e">
        <f>_xlfn.XLOOKUP(G5,Models!A:A,Models!E:E)</f>
        <v>#N/A</v>
      </c>
      <c r="J5" t="e">
        <f>_xlfn.XLOOKUP(G5,Models!A:A,Models!D:D)</f>
        <v>#N/A</v>
      </c>
      <c r="K5">
        <f>MacReports!F5</f>
        <v>0</v>
      </c>
      <c r="L5">
        <f>MacReports!G5</f>
        <v>0</v>
      </c>
      <c r="M5" s="15" t="e" cm="1">
        <f t="array" ref="M5">--_xlfn.LET(
    _xlpm.txt, MacReports!H5,
    _xlpm.chars, MID(_xlpm.txt, _xlfn.SEQUENCE(LEN(_xlpm.txt)), 1),
    _xlfn.TEXTJOIN("", TRUE, IF(ISNUMBER(--_xlpm.chars), _xlpm.chars, ""))
)</f>
        <v>#VALUE!</v>
      </c>
      <c r="N5" s="16" t="str" cm="1">
        <f t="array" ref="N5">_xlfn.IFS(
   --MacReports!M5&lt;55,"Battery Defect",
  -- MacReports!M5&lt;=69,"Battery D",
  --MacReports!M5&lt;=80,"Battery C",
 --MacReports!M5&gt;80,""
)</f>
        <v>Battery Defect</v>
      </c>
      <c r="O5" s="16" t="str">
        <f>IF(MacReports!I5="Service","Battery Service","")</f>
        <v/>
      </c>
      <c r="P5" s="13">
        <f>MacReports!P5</f>
        <v>0</v>
      </c>
      <c r="Q5" s="13" t="str">
        <f>IF(MacReports!J5="Enabled","Apple ID Lock","")</f>
        <v/>
      </c>
      <c r="R5" s="13" t="str">
        <f>IF(MacReports!L5="y","Remote Locked","")</f>
        <v/>
      </c>
      <c r="S5" t="str">
        <f t="shared" si="0"/>
        <v>Battery Defect, 0</v>
      </c>
      <c r="T5" t="str">
        <f>_xlfn.XLOOKUP(B5,Disk_Pivot!G:G,Disk_Pivot!I:I)</f>
        <v>No</v>
      </c>
      <c r="U5" t="str">
        <f>_xlfn.XLOOKUP(B5,Disk_Pivot!G:G,Disk_Pivot!N:N)</f>
        <v/>
      </c>
      <c r="V5" t="str">
        <f>IF(U5="Fail",MacReports!N5,"")</f>
        <v/>
      </c>
      <c r="AB5" t="str">
        <f t="shared" si="1"/>
        <v/>
      </c>
    </row>
    <row r="6" spans="1:28">
      <c r="A6" t="str">
        <f>MacReports!A6</f>
        <v/>
      </c>
      <c r="B6">
        <f>MacReports!B6</f>
        <v>0</v>
      </c>
      <c r="C6">
        <f>MacReports!C6</f>
        <v>0</v>
      </c>
      <c r="E6" t="e">
        <f>_xlfn.XLOOKUP(G6,Models!A:A,Models!F:F)</f>
        <v>#N/A</v>
      </c>
      <c r="F6" t="str">
        <f>_xlfn.XLOOKUP(B6,MacReports!B:B,MacReports!D:D,"")</f>
        <v/>
      </c>
      <c r="G6" s="13">
        <f>MacReports!E6</f>
        <v>0</v>
      </c>
      <c r="H6" t="e">
        <f>_xlfn.XLOOKUP(G6,Models!A:A,Models!B:B)</f>
        <v>#N/A</v>
      </c>
      <c r="I6" t="e">
        <f>_xlfn.XLOOKUP(G6,Models!A:A,Models!E:E)</f>
        <v>#N/A</v>
      </c>
      <c r="J6" t="e">
        <f>_xlfn.XLOOKUP(G6,Models!A:A,Models!D:D)</f>
        <v>#N/A</v>
      </c>
      <c r="K6">
        <f>MacReports!F6</f>
        <v>0</v>
      </c>
      <c r="L6">
        <f>MacReports!G6</f>
        <v>0</v>
      </c>
      <c r="M6" s="15" t="e" cm="1">
        <f t="array" ref="M6">--_xlfn.LET(
    _xlpm.txt, MacReports!H6,
    _xlpm.chars, MID(_xlpm.txt, _xlfn.SEQUENCE(LEN(_xlpm.txt)), 1),
    _xlfn.TEXTJOIN("", TRUE, IF(ISNUMBER(--_xlpm.chars), _xlpm.chars, ""))
)</f>
        <v>#VALUE!</v>
      </c>
      <c r="N6" s="16" t="str" cm="1">
        <f t="array" ref="N6">_xlfn.IFS(
   --MacReports!M6&lt;55,"Battery Defect",
  -- MacReports!M6&lt;=69,"Battery D",
  --MacReports!M6&lt;=80,"Battery C",
 --MacReports!M6&gt;80,""
)</f>
        <v>Battery Defect</v>
      </c>
      <c r="O6" s="16" t="str">
        <f>IF(MacReports!I6="Service","Battery Service","")</f>
        <v/>
      </c>
      <c r="P6" s="13">
        <f>MacReports!P6</f>
        <v>0</v>
      </c>
      <c r="Q6" s="13" t="str">
        <f>IF(MacReports!J6="Enabled","Apple ID Lock","")</f>
        <v/>
      </c>
      <c r="R6" s="13" t="str">
        <f>IF(MacReports!L6="y","Remote Locked","")</f>
        <v/>
      </c>
      <c r="S6" t="str">
        <f t="shared" si="0"/>
        <v>Battery Defect, 0</v>
      </c>
      <c r="T6" t="str">
        <f>_xlfn.XLOOKUP(B6,Disk_Pivot!G:G,Disk_Pivot!I:I)</f>
        <v>No</v>
      </c>
      <c r="U6" t="str">
        <f>_xlfn.XLOOKUP(B6,Disk_Pivot!G:G,Disk_Pivot!N:N)</f>
        <v/>
      </c>
      <c r="V6" t="str">
        <f>IF(U6="Fail",MacReports!N6,"")</f>
        <v/>
      </c>
      <c r="AB6" t="str">
        <f t="shared" si="1"/>
        <v/>
      </c>
    </row>
    <row r="7" spans="1:28">
      <c r="A7" t="str">
        <f>MacReports!A7</f>
        <v/>
      </c>
      <c r="B7">
        <f>MacReports!B7</f>
        <v>0</v>
      </c>
      <c r="C7">
        <f>MacReports!C7</f>
        <v>0</v>
      </c>
      <c r="E7" t="e">
        <f>_xlfn.XLOOKUP(G7,Models!A:A,Models!F:F)</f>
        <v>#N/A</v>
      </c>
      <c r="F7" t="str">
        <f>_xlfn.XLOOKUP(B7,MacReports!B:B,MacReports!D:D,"")</f>
        <v/>
      </c>
      <c r="G7" s="13">
        <f>MacReports!E7</f>
        <v>0</v>
      </c>
      <c r="H7" t="e">
        <f>_xlfn.XLOOKUP(G7,Models!A:A,Models!B:B)</f>
        <v>#N/A</v>
      </c>
      <c r="I7" t="e">
        <f>_xlfn.XLOOKUP(G7,Models!A:A,Models!E:E)</f>
        <v>#N/A</v>
      </c>
      <c r="J7" t="e">
        <f>_xlfn.XLOOKUP(G7,Models!A:A,Models!D:D)</f>
        <v>#N/A</v>
      </c>
      <c r="K7">
        <f>MacReports!F7</f>
        <v>0</v>
      </c>
      <c r="L7">
        <f>MacReports!G7</f>
        <v>0</v>
      </c>
      <c r="M7" s="15" t="e" cm="1">
        <f t="array" ref="M7">--_xlfn.LET(
    _xlpm.txt, MacReports!H7,
    _xlpm.chars, MID(_xlpm.txt, _xlfn.SEQUENCE(LEN(_xlpm.txt)), 1),
    _xlfn.TEXTJOIN("", TRUE, IF(ISNUMBER(--_xlpm.chars), _xlpm.chars, ""))
)</f>
        <v>#VALUE!</v>
      </c>
      <c r="N7" s="16" t="str" cm="1">
        <f t="array" ref="N7">_xlfn.IFS(
   --MacReports!M7&lt;55,"Battery Defect",
  -- MacReports!M7&lt;=69,"Battery D",
  --MacReports!M7&lt;=80,"Battery C",
 --MacReports!M7&gt;80,""
)</f>
        <v>Battery Defect</v>
      </c>
      <c r="O7" s="16" t="str">
        <f>IF(MacReports!I7="Service","Battery Service","")</f>
        <v/>
      </c>
      <c r="P7" s="13">
        <f>MacReports!P7</f>
        <v>0</v>
      </c>
      <c r="Q7" s="13" t="str">
        <f>IF(MacReports!J7="Enabled","Apple ID Lock","")</f>
        <v/>
      </c>
      <c r="R7" s="13" t="str">
        <f>IF(MacReports!L7="y","Remote Locked","")</f>
        <v/>
      </c>
      <c r="S7" t="str">
        <f t="shared" si="0"/>
        <v>Battery Defect, 0</v>
      </c>
      <c r="T7" t="str">
        <f>_xlfn.XLOOKUP(B7,Disk_Pivot!G:G,Disk_Pivot!I:I)</f>
        <v>No</v>
      </c>
      <c r="U7" t="str">
        <f>_xlfn.XLOOKUP(B7,Disk_Pivot!G:G,Disk_Pivot!N:N)</f>
        <v/>
      </c>
      <c r="V7" t="str">
        <f>IF(U7="Fail",MacReports!N7,"")</f>
        <v/>
      </c>
      <c r="AB7" t="str">
        <f t="shared" si="1"/>
        <v/>
      </c>
    </row>
    <row r="8" spans="1:28">
      <c r="A8" t="str">
        <f>MacReports!A8</f>
        <v/>
      </c>
      <c r="B8">
        <f>MacReports!B8</f>
        <v>0</v>
      </c>
      <c r="C8">
        <f>MacReports!C8</f>
        <v>0</v>
      </c>
      <c r="E8" t="e">
        <f>_xlfn.XLOOKUP(G8,Models!A:A,Models!F:F)</f>
        <v>#N/A</v>
      </c>
      <c r="F8" t="str">
        <f>_xlfn.XLOOKUP(B8,MacReports!B:B,MacReports!D:D,"")</f>
        <v/>
      </c>
      <c r="G8" s="13">
        <f>MacReports!E8</f>
        <v>0</v>
      </c>
      <c r="H8" t="e">
        <f>_xlfn.XLOOKUP(G8,Models!A:A,Models!B:B)</f>
        <v>#N/A</v>
      </c>
      <c r="I8" t="e">
        <f>_xlfn.XLOOKUP(G8,Models!A:A,Models!E:E)</f>
        <v>#N/A</v>
      </c>
      <c r="J8" t="e">
        <f>_xlfn.XLOOKUP(G8,Models!A:A,Models!D:D)</f>
        <v>#N/A</v>
      </c>
      <c r="K8">
        <f>MacReports!F8</f>
        <v>0</v>
      </c>
      <c r="L8">
        <f>MacReports!G8</f>
        <v>0</v>
      </c>
      <c r="M8" s="15" t="e" cm="1">
        <f t="array" ref="M8">--_xlfn.LET(
    _xlpm.txt, MacReports!H8,
    _xlpm.chars, MID(_xlpm.txt, _xlfn.SEQUENCE(LEN(_xlpm.txt)), 1),
    _xlfn.TEXTJOIN("", TRUE, IF(ISNUMBER(--_xlpm.chars), _xlpm.chars, ""))
)</f>
        <v>#VALUE!</v>
      </c>
      <c r="N8" s="16" t="str" cm="1">
        <f t="array" ref="N8">_xlfn.IFS(
   --MacReports!M8&lt;55,"Battery Defect",
  -- MacReports!M8&lt;=69,"Battery D",
  --MacReports!M8&lt;=80,"Battery C",
 --MacReports!M8&gt;80,""
)</f>
        <v>Battery Defect</v>
      </c>
      <c r="O8" s="16" t="str">
        <f>IF(MacReports!I8="Service","Battery Service","")</f>
        <v/>
      </c>
      <c r="P8" s="13">
        <f>MacReports!P8</f>
        <v>0</v>
      </c>
      <c r="Q8" s="13" t="str">
        <f>IF(MacReports!J8="Enabled","Apple ID Lock","")</f>
        <v/>
      </c>
      <c r="R8" s="13" t="str">
        <f>IF(MacReports!L8="y","Remote Locked","")</f>
        <v/>
      </c>
      <c r="S8" t="str">
        <f t="shared" si="0"/>
        <v>Battery Defect, 0</v>
      </c>
      <c r="T8" t="str">
        <f>_xlfn.XLOOKUP(B8,Disk_Pivot!G:G,Disk_Pivot!I:I)</f>
        <v>No</v>
      </c>
      <c r="U8" t="str">
        <f>_xlfn.XLOOKUP(B8,Disk_Pivot!G:G,Disk_Pivot!N:N)</f>
        <v/>
      </c>
      <c r="V8" t="str">
        <f>IF(U8="Fail",MacReports!N8,"")</f>
        <v/>
      </c>
      <c r="AB8" t="str">
        <f t="shared" si="1"/>
        <v/>
      </c>
    </row>
    <row r="9" spans="1:28">
      <c r="A9" t="str">
        <f>MacReports!A9</f>
        <v/>
      </c>
      <c r="B9">
        <f>MacReports!B9</f>
        <v>0</v>
      </c>
      <c r="C9">
        <f>MacReports!C9</f>
        <v>0</v>
      </c>
      <c r="E9" t="e">
        <f>_xlfn.XLOOKUP(G9,Models!A:A,Models!F:F)</f>
        <v>#N/A</v>
      </c>
      <c r="F9" t="str">
        <f>_xlfn.XLOOKUP(B9,MacReports!B:B,MacReports!D:D,"")</f>
        <v/>
      </c>
      <c r="G9" s="13">
        <f>MacReports!E9</f>
        <v>0</v>
      </c>
      <c r="H9" t="e">
        <f>_xlfn.XLOOKUP(G9,Models!A:A,Models!B:B)</f>
        <v>#N/A</v>
      </c>
      <c r="I9" t="e">
        <f>_xlfn.XLOOKUP(G9,Models!A:A,Models!E:E)</f>
        <v>#N/A</v>
      </c>
      <c r="J9" t="e">
        <f>_xlfn.XLOOKUP(G9,Models!A:A,Models!D:D)</f>
        <v>#N/A</v>
      </c>
      <c r="K9">
        <f>MacReports!F9</f>
        <v>0</v>
      </c>
      <c r="L9">
        <f>MacReports!G9</f>
        <v>0</v>
      </c>
      <c r="M9" s="15" t="e" cm="1">
        <f t="array" ref="M9">--_xlfn.LET(
    _xlpm.txt, MacReports!H9,
    _xlpm.chars, MID(_xlpm.txt, _xlfn.SEQUENCE(LEN(_xlpm.txt)), 1),
    _xlfn.TEXTJOIN("", TRUE, IF(ISNUMBER(--_xlpm.chars), _xlpm.chars, ""))
)</f>
        <v>#VALUE!</v>
      </c>
      <c r="N9" s="16" t="str" cm="1">
        <f t="array" ref="N9">_xlfn.IFS(
   --MacReports!M9&lt;55,"Battery Defect",
  -- MacReports!M9&lt;=69,"Battery D",
  --MacReports!M9&lt;=80,"Battery C",
 --MacReports!M9&gt;80,""
)</f>
        <v>Battery Defect</v>
      </c>
      <c r="O9" s="16" t="str">
        <f>IF(MacReports!I9="Service","Battery Service","")</f>
        <v/>
      </c>
      <c r="P9" s="13">
        <f>MacReports!P9</f>
        <v>0</v>
      </c>
      <c r="Q9" s="13" t="str">
        <f>IF(MacReports!J9="Enabled","Apple ID Lock","")</f>
        <v/>
      </c>
      <c r="R9" s="13" t="str">
        <f>IF(MacReports!L9="y","Remote Locked","")</f>
        <v/>
      </c>
      <c r="S9" t="str">
        <f t="shared" si="0"/>
        <v>Battery Defect, 0</v>
      </c>
      <c r="T9" t="str">
        <f>_xlfn.XLOOKUP(B9,Disk_Pivot!G:G,Disk_Pivot!I:I)</f>
        <v>No</v>
      </c>
      <c r="U9" t="str">
        <f>_xlfn.XLOOKUP(B9,Disk_Pivot!G:G,Disk_Pivot!N:N)</f>
        <v/>
      </c>
      <c r="V9" t="str">
        <f>IF(U9="Fail",MacReports!N9,"")</f>
        <v/>
      </c>
      <c r="AB9" t="str">
        <f t="shared" si="1"/>
        <v/>
      </c>
    </row>
    <row r="10" spans="1:28">
      <c r="A10" t="str">
        <f>MacReports!A10</f>
        <v/>
      </c>
      <c r="B10">
        <f>MacReports!B10</f>
        <v>0</v>
      </c>
      <c r="C10">
        <f>MacReports!C10</f>
        <v>0</v>
      </c>
      <c r="E10" t="e">
        <f>_xlfn.XLOOKUP(G10,Models!A:A,Models!F:F)</f>
        <v>#N/A</v>
      </c>
      <c r="F10" t="str">
        <f>_xlfn.XLOOKUP(B10,MacReports!B:B,MacReports!D:D,"")</f>
        <v/>
      </c>
      <c r="G10" s="13">
        <f>MacReports!E10</f>
        <v>0</v>
      </c>
      <c r="H10" t="e">
        <f>_xlfn.XLOOKUP(G10,Models!A:A,Models!B:B)</f>
        <v>#N/A</v>
      </c>
      <c r="I10" t="e">
        <f>_xlfn.XLOOKUP(G10,Models!A:A,Models!E:E)</f>
        <v>#N/A</v>
      </c>
      <c r="J10" t="e">
        <f>_xlfn.XLOOKUP(G10,Models!A:A,Models!D:D)</f>
        <v>#N/A</v>
      </c>
      <c r="K10">
        <f>MacReports!F10</f>
        <v>0</v>
      </c>
      <c r="L10">
        <f>MacReports!G10</f>
        <v>0</v>
      </c>
      <c r="M10" s="15" t="e" cm="1">
        <f t="array" ref="M10">--_xlfn.LET(
    _xlpm.txt, MacReports!H10,
    _xlpm.chars, MID(_xlpm.txt, _xlfn.SEQUENCE(LEN(_xlpm.txt)), 1),
    _xlfn.TEXTJOIN("", TRUE, IF(ISNUMBER(--_xlpm.chars), _xlpm.chars, ""))
)</f>
        <v>#VALUE!</v>
      </c>
      <c r="N10" s="16" t="str" cm="1">
        <f t="array" ref="N10">_xlfn.IFS(
   --MacReports!M10&lt;55,"Battery Defect",
  -- MacReports!M10&lt;=69,"Battery D",
  --MacReports!M10&lt;=80,"Battery C",
 --MacReports!M10&gt;80,""
)</f>
        <v>Battery Defect</v>
      </c>
      <c r="O10" s="16" t="str">
        <f>IF(MacReports!I10="Service","Battery Service","")</f>
        <v/>
      </c>
      <c r="P10" s="13">
        <f>MacReports!P10</f>
        <v>0</v>
      </c>
      <c r="Q10" s="13" t="str">
        <f>IF(MacReports!J10="Enabled","Apple ID Lock","")</f>
        <v/>
      </c>
      <c r="R10" s="13" t="str">
        <f>IF(MacReports!L10="y","Remote Locked","")</f>
        <v/>
      </c>
      <c r="S10" t="str">
        <f t="shared" ref="S10:S52" si="2">_xlfn.TEXTJOIN(", ",TRUE,Q10,R10,N10,O10,P10)</f>
        <v>Battery Defect, 0</v>
      </c>
      <c r="T10" t="str">
        <f>_xlfn.XLOOKUP(B10,Disk_Pivot!G:G,Disk_Pivot!I:I)</f>
        <v>No</v>
      </c>
      <c r="U10" t="str">
        <f>_xlfn.XLOOKUP(B10,Disk_Pivot!G:G,Disk_Pivot!N:N)</f>
        <v/>
      </c>
      <c r="V10" t="str">
        <f>IF(U10="Fail",MacReports!N10,"")</f>
        <v/>
      </c>
      <c r="AB10" t="str">
        <f t="shared" si="1"/>
        <v/>
      </c>
    </row>
    <row r="11" spans="1:28">
      <c r="A11" t="str">
        <f>MacReports!A11</f>
        <v/>
      </c>
      <c r="B11">
        <f>MacReports!B11</f>
        <v>0</v>
      </c>
      <c r="C11">
        <f>MacReports!C11</f>
        <v>0</v>
      </c>
      <c r="E11" t="e">
        <f>_xlfn.XLOOKUP(G11,Models!A:A,Models!F:F)</f>
        <v>#N/A</v>
      </c>
      <c r="F11" t="str">
        <f>_xlfn.XLOOKUP(B11,MacReports!B:B,MacReports!D:D,"")</f>
        <v/>
      </c>
      <c r="G11" s="13">
        <f>MacReports!E11</f>
        <v>0</v>
      </c>
      <c r="H11" t="e">
        <f>_xlfn.XLOOKUP(G11,Models!A:A,Models!B:B)</f>
        <v>#N/A</v>
      </c>
      <c r="I11" t="e">
        <f>_xlfn.XLOOKUP(G11,Models!A:A,Models!E:E)</f>
        <v>#N/A</v>
      </c>
      <c r="J11" t="e">
        <f>_xlfn.XLOOKUP(G11,Models!A:A,Models!D:D)</f>
        <v>#N/A</v>
      </c>
      <c r="K11">
        <f>MacReports!F11</f>
        <v>0</v>
      </c>
      <c r="L11">
        <f>MacReports!G11</f>
        <v>0</v>
      </c>
      <c r="M11" s="15" t="e" cm="1">
        <f t="array" ref="M11">--_xlfn.LET(
    _xlpm.txt, MacReports!H11,
    _xlpm.chars, MID(_xlpm.txt, _xlfn.SEQUENCE(LEN(_xlpm.txt)), 1),
    _xlfn.TEXTJOIN("", TRUE, IF(ISNUMBER(--_xlpm.chars), _xlpm.chars, ""))
)</f>
        <v>#VALUE!</v>
      </c>
      <c r="N11" s="16" t="str" cm="1">
        <f t="array" ref="N11">_xlfn.IFS(
   --MacReports!M11&lt;55,"Battery Defect",
  -- MacReports!M11&lt;=69,"Battery D",
  --MacReports!M11&lt;=80,"Battery C",
 --MacReports!M11&gt;80,""
)</f>
        <v>Battery Defect</v>
      </c>
      <c r="O11" s="16" t="str">
        <f>IF(MacReports!I11="Service","Battery Service","")</f>
        <v/>
      </c>
      <c r="P11" s="13">
        <f>MacReports!P11</f>
        <v>0</v>
      </c>
      <c r="Q11" s="13" t="str">
        <f>IF(MacReports!J11="Enabled","Apple ID Lock","")</f>
        <v/>
      </c>
      <c r="R11" s="13" t="str">
        <f>IF(MacReports!L11="y","Remote Locked","")</f>
        <v/>
      </c>
      <c r="S11" t="str">
        <f t="shared" si="2"/>
        <v>Battery Defect, 0</v>
      </c>
      <c r="T11" t="str">
        <f>_xlfn.XLOOKUP(B11,Disk_Pivot!G:G,Disk_Pivot!I:I)</f>
        <v>No</v>
      </c>
      <c r="U11" t="str">
        <f>_xlfn.XLOOKUP(B11,Disk_Pivot!G:G,Disk_Pivot!N:N)</f>
        <v/>
      </c>
      <c r="V11" t="str">
        <f>IF(U11="Fail",MacReports!N11,"")</f>
        <v/>
      </c>
      <c r="AB11" t="str">
        <f t="shared" si="1"/>
        <v/>
      </c>
    </row>
    <row r="12" spans="1:28">
      <c r="A12" t="str">
        <f>MacReports!A12</f>
        <v/>
      </c>
      <c r="B12">
        <f>MacReports!B12</f>
        <v>0</v>
      </c>
      <c r="C12">
        <f>MacReports!C12</f>
        <v>0</v>
      </c>
      <c r="E12" t="e">
        <f>_xlfn.XLOOKUP(G12,Models!A:A,Models!F:F)</f>
        <v>#N/A</v>
      </c>
      <c r="F12" t="str">
        <f>_xlfn.XLOOKUP(B12,MacReports!B:B,MacReports!D:D,"")</f>
        <v/>
      </c>
      <c r="G12" s="13">
        <f>MacReports!E12</f>
        <v>0</v>
      </c>
      <c r="H12" t="e">
        <f>_xlfn.XLOOKUP(G12,Models!A:A,Models!B:B)</f>
        <v>#N/A</v>
      </c>
      <c r="I12" t="e">
        <f>_xlfn.XLOOKUP(G12,Models!A:A,Models!E:E)</f>
        <v>#N/A</v>
      </c>
      <c r="J12" t="e">
        <f>_xlfn.XLOOKUP(G12,Models!A:A,Models!D:D)</f>
        <v>#N/A</v>
      </c>
      <c r="K12">
        <f>MacReports!F12</f>
        <v>0</v>
      </c>
      <c r="L12">
        <f>MacReports!G12</f>
        <v>0</v>
      </c>
      <c r="M12" s="15" t="e" cm="1">
        <f t="array" ref="M12">--_xlfn.LET(
    _xlpm.txt, MacReports!H12,
    _xlpm.chars, MID(_xlpm.txt, _xlfn.SEQUENCE(LEN(_xlpm.txt)), 1),
    _xlfn.TEXTJOIN("", TRUE, IF(ISNUMBER(--_xlpm.chars), _xlpm.chars, ""))
)</f>
        <v>#VALUE!</v>
      </c>
      <c r="N12" s="16" t="str" cm="1">
        <f t="array" ref="N12">_xlfn.IFS(
   --MacReports!M12&lt;55,"Battery Defect",
  -- MacReports!M12&lt;=69,"Battery D",
  --MacReports!M12&lt;=80,"Battery C",
 --MacReports!M12&gt;80,""
)</f>
        <v>Battery Defect</v>
      </c>
      <c r="O12" s="16" t="str">
        <f>IF(MacReports!I12="Service","Battery Service","")</f>
        <v/>
      </c>
      <c r="P12" s="13">
        <f>MacReports!P12</f>
        <v>0</v>
      </c>
      <c r="Q12" s="13" t="str">
        <f>IF(MacReports!J12="Enabled","Apple ID Lock","")</f>
        <v/>
      </c>
      <c r="R12" s="13" t="str">
        <f>IF(MacReports!L12="y","Remote Locked","")</f>
        <v/>
      </c>
      <c r="S12" t="str">
        <f t="shared" si="2"/>
        <v>Battery Defect, 0</v>
      </c>
      <c r="T12" t="str">
        <f>_xlfn.XLOOKUP(B12,Disk_Pivot!G:G,Disk_Pivot!I:I)</f>
        <v>No</v>
      </c>
      <c r="U12" t="str">
        <f>_xlfn.XLOOKUP(B12,Disk_Pivot!G:G,Disk_Pivot!N:N)</f>
        <v/>
      </c>
      <c r="V12" t="str">
        <f>IF(U12="Fail",MacReports!N12,"")</f>
        <v/>
      </c>
      <c r="AB12" t="str">
        <f t="shared" si="1"/>
        <v/>
      </c>
    </row>
    <row r="13" spans="1:28">
      <c r="A13" t="str">
        <f>MacReports!A13</f>
        <v/>
      </c>
      <c r="B13">
        <f>MacReports!B13</f>
        <v>0</v>
      </c>
      <c r="C13">
        <f>MacReports!C13</f>
        <v>0</v>
      </c>
      <c r="E13" t="e">
        <f>_xlfn.XLOOKUP(G13,Models!A:A,Models!F:F)</f>
        <v>#N/A</v>
      </c>
      <c r="F13" t="str">
        <f>_xlfn.XLOOKUP(B13,MacReports!B:B,MacReports!D:D,"")</f>
        <v/>
      </c>
      <c r="G13" s="13">
        <f>MacReports!E13</f>
        <v>0</v>
      </c>
      <c r="H13" t="e">
        <f>_xlfn.XLOOKUP(G13,Models!A:A,Models!B:B)</f>
        <v>#N/A</v>
      </c>
      <c r="I13" t="e">
        <f>_xlfn.XLOOKUP(G13,Models!A:A,Models!E:E)</f>
        <v>#N/A</v>
      </c>
      <c r="J13" t="e">
        <f>_xlfn.XLOOKUP(G13,Models!A:A,Models!D:D)</f>
        <v>#N/A</v>
      </c>
      <c r="K13">
        <f>MacReports!F13</f>
        <v>0</v>
      </c>
      <c r="L13">
        <f>MacReports!G13</f>
        <v>0</v>
      </c>
      <c r="M13" s="15" t="e" cm="1">
        <f t="array" ref="M13">--_xlfn.LET(
    _xlpm.txt, MacReports!H13,
    _xlpm.chars, MID(_xlpm.txt, _xlfn.SEQUENCE(LEN(_xlpm.txt)), 1),
    _xlfn.TEXTJOIN("", TRUE, IF(ISNUMBER(--_xlpm.chars), _xlpm.chars, ""))
)</f>
        <v>#VALUE!</v>
      </c>
      <c r="N13" s="16" t="str" cm="1">
        <f t="array" ref="N13">_xlfn.IFS(
   --MacReports!M13&lt;55,"Battery Defect",
  -- MacReports!M13&lt;=69,"Battery D",
  --MacReports!M13&lt;=80,"Battery C",
 --MacReports!M13&gt;80,""
)</f>
        <v>Battery Defect</v>
      </c>
      <c r="O13" s="16" t="str">
        <f>IF(MacReports!I13="Service","Battery Service","")</f>
        <v/>
      </c>
      <c r="P13" s="13">
        <f>MacReports!P13</f>
        <v>0</v>
      </c>
      <c r="Q13" s="13" t="str">
        <f>IF(MacReports!J13="Enabled","Apple ID Lock","")</f>
        <v/>
      </c>
      <c r="R13" s="13" t="str">
        <f>IF(MacReports!L13="y","Remote Locked","")</f>
        <v/>
      </c>
      <c r="S13" t="str">
        <f t="shared" si="2"/>
        <v>Battery Defect, 0</v>
      </c>
      <c r="T13" t="str">
        <f>_xlfn.XLOOKUP(B13,Disk_Pivot!G:G,Disk_Pivot!I:I)</f>
        <v>No</v>
      </c>
      <c r="U13" t="str">
        <f>_xlfn.XLOOKUP(B13,Disk_Pivot!G:G,Disk_Pivot!N:N)</f>
        <v/>
      </c>
      <c r="V13" t="str">
        <f>IF(U13="Fail",MacReports!N13,"")</f>
        <v/>
      </c>
      <c r="AB13" t="str">
        <f t="shared" si="1"/>
        <v/>
      </c>
    </row>
    <row r="14" spans="1:28">
      <c r="A14" t="str">
        <f>MacReports!A14</f>
        <v/>
      </c>
      <c r="B14">
        <f>MacReports!B14</f>
        <v>0</v>
      </c>
      <c r="C14">
        <f>MacReports!C14</f>
        <v>0</v>
      </c>
      <c r="E14" t="e">
        <f>_xlfn.XLOOKUP(G14,Models!A:A,Models!F:F)</f>
        <v>#N/A</v>
      </c>
      <c r="F14" t="str">
        <f>_xlfn.XLOOKUP(B14,MacReports!B:B,MacReports!D:D,"")</f>
        <v/>
      </c>
      <c r="G14" s="13">
        <f>MacReports!E14</f>
        <v>0</v>
      </c>
      <c r="H14" t="e">
        <f>_xlfn.XLOOKUP(G14,Models!A:A,Models!B:B)</f>
        <v>#N/A</v>
      </c>
      <c r="I14" t="e">
        <f>_xlfn.XLOOKUP(G14,Models!A:A,Models!E:E)</f>
        <v>#N/A</v>
      </c>
      <c r="J14" t="e">
        <f>_xlfn.XLOOKUP(G14,Models!A:A,Models!D:D)</f>
        <v>#N/A</v>
      </c>
      <c r="K14">
        <f>MacReports!F14</f>
        <v>0</v>
      </c>
      <c r="L14">
        <f>MacReports!G14</f>
        <v>0</v>
      </c>
      <c r="M14" s="15" t="e" cm="1">
        <f t="array" ref="M14">--_xlfn.LET(
    _xlpm.txt, MacReports!H14,
    _xlpm.chars, MID(_xlpm.txt, _xlfn.SEQUENCE(LEN(_xlpm.txt)), 1),
    _xlfn.TEXTJOIN("", TRUE, IF(ISNUMBER(--_xlpm.chars), _xlpm.chars, ""))
)</f>
        <v>#VALUE!</v>
      </c>
      <c r="N14" s="16" t="str" cm="1">
        <f t="array" ref="N14">_xlfn.IFS(
   --MacReports!M14&lt;55,"Battery Defect",
  -- MacReports!M14&lt;=69,"Battery D",
  --MacReports!M14&lt;=80,"Battery C",
 --MacReports!M14&gt;80,""
)</f>
        <v>Battery Defect</v>
      </c>
      <c r="O14" s="16" t="str">
        <f>IF(MacReports!I14="Service","Battery Service","")</f>
        <v/>
      </c>
      <c r="P14" s="13">
        <f>MacReports!P14</f>
        <v>0</v>
      </c>
      <c r="Q14" s="13" t="str">
        <f>IF(MacReports!J14="Enabled","Apple ID Lock","")</f>
        <v/>
      </c>
      <c r="R14" s="13" t="str">
        <f>IF(MacReports!L14="y","Remote Locked","")</f>
        <v/>
      </c>
      <c r="S14" t="str">
        <f t="shared" si="2"/>
        <v>Battery Defect, 0</v>
      </c>
      <c r="T14" t="str">
        <f>_xlfn.XLOOKUP(B14,Disk_Pivot!G:G,Disk_Pivot!I:I)</f>
        <v>No</v>
      </c>
      <c r="U14" t="str">
        <f>_xlfn.XLOOKUP(B14,Disk_Pivot!G:G,Disk_Pivot!N:N)</f>
        <v/>
      </c>
      <c r="V14" t="str">
        <f>IF(U14="Fail",MacReports!N14,"")</f>
        <v/>
      </c>
      <c r="AB14" t="str">
        <f t="shared" si="1"/>
        <v/>
      </c>
    </row>
    <row r="15" spans="1:28">
      <c r="A15" t="str">
        <f>MacReports!A15</f>
        <v/>
      </c>
      <c r="B15">
        <f>MacReports!B15</f>
        <v>0</v>
      </c>
      <c r="C15">
        <f>MacReports!C15</f>
        <v>0</v>
      </c>
      <c r="E15" t="e">
        <f>_xlfn.XLOOKUP(G15,Models!A:A,Models!F:F)</f>
        <v>#N/A</v>
      </c>
      <c r="F15" t="str">
        <f>_xlfn.XLOOKUP(B15,MacReports!B:B,MacReports!D:D,"")</f>
        <v/>
      </c>
      <c r="G15" s="13">
        <f>MacReports!E15</f>
        <v>0</v>
      </c>
      <c r="H15" t="e">
        <f>_xlfn.XLOOKUP(G15,Models!A:A,Models!B:B)</f>
        <v>#N/A</v>
      </c>
      <c r="I15" t="e">
        <f>_xlfn.XLOOKUP(G15,Models!A:A,Models!E:E)</f>
        <v>#N/A</v>
      </c>
      <c r="J15" t="e">
        <f>_xlfn.XLOOKUP(G15,Models!A:A,Models!D:D)</f>
        <v>#N/A</v>
      </c>
      <c r="K15">
        <f>MacReports!F15</f>
        <v>0</v>
      </c>
      <c r="L15">
        <f>MacReports!G15</f>
        <v>0</v>
      </c>
      <c r="M15" s="15" t="e" cm="1">
        <f t="array" ref="M15">--_xlfn.LET(
    _xlpm.txt, MacReports!H15,
    _xlpm.chars, MID(_xlpm.txt, _xlfn.SEQUENCE(LEN(_xlpm.txt)), 1),
    _xlfn.TEXTJOIN("", TRUE, IF(ISNUMBER(--_xlpm.chars), _xlpm.chars, ""))
)</f>
        <v>#VALUE!</v>
      </c>
      <c r="N15" s="16" t="str" cm="1">
        <f t="array" ref="N15">_xlfn.IFS(
   --MacReports!M15&lt;55,"Battery Defect",
  -- MacReports!M15&lt;=69,"Battery D",
  --MacReports!M15&lt;=80,"Battery C",
 --MacReports!M15&gt;80,""
)</f>
        <v>Battery Defect</v>
      </c>
      <c r="O15" s="16" t="str">
        <f>IF(MacReports!I15="Service","Battery Service","")</f>
        <v/>
      </c>
      <c r="P15" s="13">
        <f>MacReports!P15</f>
        <v>0</v>
      </c>
      <c r="Q15" s="13" t="str">
        <f>IF(MacReports!J15="Enabled","Apple ID Lock","")</f>
        <v/>
      </c>
      <c r="R15" s="13" t="str">
        <f>IF(MacReports!L15="y","Remote Locked","")</f>
        <v/>
      </c>
      <c r="S15" t="str">
        <f t="shared" si="2"/>
        <v>Battery Defect, 0</v>
      </c>
      <c r="T15" t="str">
        <f>_xlfn.XLOOKUP(B15,Disk_Pivot!G:G,Disk_Pivot!I:I)</f>
        <v>No</v>
      </c>
      <c r="U15" t="str">
        <f>_xlfn.XLOOKUP(B15,Disk_Pivot!G:G,Disk_Pivot!N:N)</f>
        <v/>
      </c>
      <c r="V15" t="str">
        <f>IF(U15="Fail",MacReports!N15,"")</f>
        <v/>
      </c>
      <c r="AB15" t="str">
        <f t="shared" si="1"/>
        <v/>
      </c>
    </row>
    <row r="16" spans="1:28">
      <c r="A16" t="str">
        <f>MacReports!A16</f>
        <v/>
      </c>
      <c r="B16">
        <f>MacReports!B16</f>
        <v>0</v>
      </c>
      <c r="C16">
        <f>MacReports!C16</f>
        <v>0</v>
      </c>
      <c r="E16" t="e">
        <f>_xlfn.XLOOKUP(G16,Models!A:A,Models!F:F)</f>
        <v>#N/A</v>
      </c>
      <c r="F16" t="str">
        <f>_xlfn.XLOOKUP(B16,MacReports!B:B,MacReports!D:D,"")</f>
        <v/>
      </c>
      <c r="G16" s="13">
        <f>MacReports!E16</f>
        <v>0</v>
      </c>
      <c r="H16" t="e">
        <f>_xlfn.XLOOKUP(G16,Models!A:A,Models!B:B)</f>
        <v>#N/A</v>
      </c>
      <c r="I16" t="e">
        <f>_xlfn.XLOOKUP(G16,Models!A:A,Models!E:E)</f>
        <v>#N/A</v>
      </c>
      <c r="J16" t="e">
        <f>_xlfn.XLOOKUP(G16,Models!A:A,Models!D:D)</f>
        <v>#N/A</v>
      </c>
      <c r="K16">
        <f>MacReports!F16</f>
        <v>0</v>
      </c>
      <c r="L16">
        <f>MacReports!G16</f>
        <v>0</v>
      </c>
      <c r="M16" s="15" t="e" cm="1">
        <f t="array" ref="M16">--_xlfn.LET(
    _xlpm.txt, MacReports!H16,
    _xlpm.chars, MID(_xlpm.txt, _xlfn.SEQUENCE(LEN(_xlpm.txt)), 1),
    _xlfn.TEXTJOIN("", TRUE, IF(ISNUMBER(--_xlpm.chars), _xlpm.chars, ""))
)</f>
        <v>#VALUE!</v>
      </c>
      <c r="N16" s="16" t="str" cm="1">
        <f t="array" ref="N16">_xlfn.IFS(
   --MacReports!M16&lt;55,"Battery Defect",
  -- MacReports!M16&lt;=69,"Battery D",
  --MacReports!M16&lt;=80,"Battery C",
 --MacReports!M16&gt;80,""
)</f>
        <v>Battery Defect</v>
      </c>
      <c r="O16" s="16" t="str">
        <f>IF(MacReports!I16="Service","Battery Service","")</f>
        <v/>
      </c>
      <c r="P16" s="13">
        <f>MacReports!P16</f>
        <v>0</v>
      </c>
      <c r="Q16" s="13" t="str">
        <f>IF(MacReports!J16="Enabled","Apple ID Lock","")</f>
        <v/>
      </c>
      <c r="R16" s="13" t="str">
        <f>IF(MacReports!L16="y","Remote Locked","")</f>
        <v/>
      </c>
      <c r="S16" t="str">
        <f t="shared" si="2"/>
        <v>Battery Defect, 0</v>
      </c>
      <c r="T16" t="str">
        <f>_xlfn.XLOOKUP(B16,Disk_Pivot!G:G,Disk_Pivot!I:I)</f>
        <v>No</v>
      </c>
      <c r="U16" t="str">
        <f>_xlfn.XLOOKUP(B16,Disk_Pivot!G:G,Disk_Pivot!N:N)</f>
        <v/>
      </c>
      <c r="V16" t="str">
        <f>IF(U16="Fail",MacReports!N16,"")</f>
        <v/>
      </c>
      <c r="AB16" t="str">
        <f t="shared" si="1"/>
        <v/>
      </c>
    </row>
    <row r="17" spans="1:28">
      <c r="A17" t="str">
        <f>MacReports!A17</f>
        <v/>
      </c>
      <c r="B17">
        <f>MacReports!B17</f>
        <v>0</v>
      </c>
      <c r="C17">
        <f>MacReports!C17</f>
        <v>0</v>
      </c>
      <c r="E17" t="e">
        <f>_xlfn.XLOOKUP(G17,Models!A:A,Models!F:F)</f>
        <v>#N/A</v>
      </c>
      <c r="F17" t="str">
        <f>_xlfn.XLOOKUP(B17,MacReports!B:B,MacReports!D:D,"")</f>
        <v/>
      </c>
      <c r="G17" s="13">
        <f>MacReports!E17</f>
        <v>0</v>
      </c>
      <c r="H17" t="e">
        <f>_xlfn.XLOOKUP(G17,Models!A:A,Models!B:B)</f>
        <v>#N/A</v>
      </c>
      <c r="I17" t="e">
        <f>_xlfn.XLOOKUP(G17,Models!A:A,Models!E:E)</f>
        <v>#N/A</v>
      </c>
      <c r="J17" t="e">
        <f>_xlfn.XLOOKUP(G17,Models!A:A,Models!D:D)</f>
        <v>#N/A</v>
      </c>
      <c r="K17">
        <f>MacReports!F17</f>
        <v>0</v>
      </c>
      <c r="L17">
        <f>MacReports!G17</f>
        <v>0</v>
      </c>
      <c r="M17" s="15" t="e" cm="1">
        <f t="array" ref="M17">--_xlfn.LET(
    _xlpm.txt, MacReports!H17,
    _xlpm.chars, MID(_xlpm.txt, _xlfn.SEQUENCE(LEN(_xlpm.txt)), 1),
    _xlfn.TEXTJOIN("", TRUE, IF(ISNUMBER(--_xlpm.chars), _xlpm.chars, ""))
)</f>
        <v>#VALUE!</v>
      </c>
      <c r="N17" s="16" t="str" cm="1">
        <f t="array" ref="N17">_xlfn.IFS(
   --MacReports!M17&lt;55,"Battery Defect",
  -- MacReports!M17&lt;=69,"Battery D",
  --MacReports!M17&lt;=80,"Battery C",
 --MacReports!M17&gt;80,""
)</f>
        <v>Battery Defect</v>
      </c>
      <c r="O17" s="16" t="str">
        <f>IF(MacReports!I17="Service","Battery Service","")</f>
        <v/>
      </c>
      <c r="P17" s="13">
        <f>MacReports!P17</f>
        <v>0</v>
      </c>
      <c r="Q17" s="13" t="str">
        <f>IF(MacReports!J17="Enabled","Apple ID Lock","")</f>
        <v/>
      </c>
      <c r="R17" s="13" t="str">
        <f>IF(MacReports!L17="y","Remote Locked","")</f>
        <v/>
      </c>
      <c r="S17" t="str">
        <f t="shared" si="2"/>
        <v>Battery Defect, 0</v>
      </c>
      <c r="T17" t="str">
        <f>_xlfn.XLOOKUP(B17,Disk_Pivot!G:G,Disk_Pivot!I:I)</f>
        <v>No</v>
      </c>
      <c r="U17" t="str">
        <f>_xlfn.XLOOKUP(B17,Disk_Pivot!G:G,Disk_Pivot!N:N)</f>
        <v/>
      </c>
      <c r="V17" t="str">
        <f>IF(U17="Fail",MacReports!N17,"")</f>
        <v/>
      </c>
      <c r="AB17" t="str">
        <f t="shared" si="1"/>
        <v/>
      </c>
    </row>
    <row r="18" spans="1:28">
      <c r="A18" t="str">
        <f>MacReports!A18</f>
        <v/>
      </c>
      <c r="B18">
        <f>MacReports!B18</f>
        <v>0</v>
      </c>
      <c r="C18">
        <f>MacReports!C18</f>
        <v>0</v>
      </c>
      <c r="E18" t="e">
        <f>_xlfn.XLOOKUP(G18,Models!A:A,Models!F:F)</f>
        <v>#N/A</v>
      </c>
      <c r="F18" t="str">
        <f>_xlfn.XLOOKUP(B18,MacReports!B:B,MacReports!D:D,"")</f>
        <v/>
      </c>
      <c r="G18" s="13">
        <f>MacReports!E18</f>
        <v>0</v>
      </c>
      <c r="H18" t="e">
        <f>_xlfn.XLOOKUP(G18,Models!A:A,Models!B:B)</f>
        <v>#N/A</v>
      </c>
      <c r="I18" t="e">
        <f>_xlfn.XLOOKUP(G18,Models!A:A,Models!E:E)</f>
        <v>#N/A</v>
      </c>
      <c r="J18" t="e">
        <f>_xlfn.XLOOKUP(G18,Models!A:A,Models!D:D)</f>
        <v>#N/A</v>
      </c>
      <c r="K18">
        <f>MacReports!F18</f>
        <v>0</v>
      </c>
      <c r="L18">
        <f>MacReports!G18</f>
        <v>0</v>
      </c>
      <c r="M18" s="15" t="e" cm="1">
        <f t="array" ref="M18">--_xlfn.LET(
    _xlpm.txt, MacReports!H18,
    _xlpm.chars, MID(_xlpm.txt, _xlfn.SEQUENCE(LEN(_xlpm.txt)), 1),
    _xlfn.TEXTJOIN("", TRUE, IF(ISNUMBER(--_xlpm.chars), _xlpm.chars, ""))
)</f>
        <v>#VALUE!</v>
      </c>
      <c r="N18" s="16" t="str" cm="1">
        <f t="array" ref="N18">_xlfn.IFS(
   --MacReports!M18&lt;55,"Battery Defect",
  -- MacReports!M18&lt;=69,"Battery D",
  --MacReports!M18&lt;=80,"Battery C",
 --MacReports!M18&gt;80,""
)</f>
        <v>Battery Defect</v>
      </c>
      <c r="O18" s="16" t="str">
        <f>IF(MacReports!I18="Service","Battery Service","")</f>
        <v/>
      </c>
      <c r="P18" s="13">
        <f>MacReports!P18</f>
        <v>0</v>
      </c>
      <c r="Q18" s="13" t="str">
        <f>IF(MacReports!J18="Enabled","Apple ID Lock","")</f>
        <v/>
      </c>
      <c r="R18" s="13" t="str">
        <f>IF(MacReports!L18="y","Remote Locked","")</f>
        <v/>
      </c>
      <c r="S18" t="str">
        <f t="shared" si="2"/>
        <v>Battery Defect, 0</v>
      </c>
      <c r="T18" t="str">
        <f>_xlfn.XLOOKUP(B18,Disk_Pivot!G:G,Disk_Pivot!I:I)</f>
        <v>No</v>
      </c>
      <c r="U18" t="str">
        <f>_xlfn.XLOOKUP(B18,Disk_Pivot!G:G,Disk_Pivot!N:N)</f>
        <v/>
      </c>
      <c r="V18" t="str">
        <f>IF(U18="Fail",MacReports!N18,"")</f>
        <v/>
      </c>
      <c r="AB18" t="str">
        <f t="shared" si="1"/>
        <v/>
      </c>
    </row>
    <row r="19" spans="1:28">
      <c r="A19" t="str">
        <f>MacReports!A19</f>
        <v/>
      </c>
      <c r="B19">
        <f>MacReports!B19</f>
        <v>0</v>
      </c>
      <c r="C19">
        <f>MacReports!C19</f>
        <v>0</v>
      </c>
      <c r="E19" t="e">
        <f>_xlfn.XLOOKUP(G19,Models!A:A,Models!F:F)</f>
        <v>#N/A</v>
      </c>
      <c r="F19" t="str">
        <f>_xlfn.XLOOKUP(B19,MacReports!B:B,MacReports!D:D,"")</f>
        <v/>
      </c>
      <c r="G19" s="13">
        <f>MacReports!E19</f>
        <v>0</v>
      </c>
      <c r="H19" t="e">
        <f>_xlfn.XLOOKUP(G19,Models!A:A,Models!B:B)</f>
        <v>#N/A</v>
      </c>
      <c r="I19" t="e">
        <f>_xlfn.XLOOKUP(G19,Models!A:A,Models!E:E)</f>
        <v>#N/A</v>
      </c>
      <c r="J19" t="e">
        <f>_xlfn.XLOOKUP(G19,Models!A:A,Models!D:D)</f>
        <v>#N/A</v>
      </c>
      <c r="K19">
        <f>MacReports!F19</f>
        <v>0</v>
      </c>
      <c r="L19">
        <f>MacReports!G19</f>
        <v>0</v>
      </c>
      <c r="M19" s="15" t="e" cm="1">
        <f t="array" ref="M19">--_xlfn.LET(
    _xlpm.txt, MacReports!H19,
    _xlpm.chars, MID(_xlpm.txt, _xlfn.SEQUENCE(LEN(_xlpm.txt)), 1),
    _xlfn.TEXTJOIN("", TRUE, IF(ISNUMBER(--_xlpm.chars), _xlpm.chars, ""))
)</f>
        <v>#VALUE!</v>
      </c>
      <c r="N19" s="16" t="str" cm="1">
        <f t="array" ref="N19">_xlfn.IFS(
   --MacReports!M19&lt;55,"Battery Defect",
  -- MacReports!M19&lt;=69,"Battery D",
  --MacReports!M19&lt;=80,"Battery C",
 --MacReports!M19&gt;80,""
)</f>
        <v>Battery Defect</v>
      </c>
      <c r="O19" s="16" t="str">
        <f>IF(MacReports!I19="Service","Battery Service","")</f>
        <v/>
      </c>
      <c r="P19" s="13">
        <f>MacReports!P19</f>
        <v>0</v>
      </c>
      <c r="Q19" s="13" t="str">
        <f>IF(MacReports!J19="Enabled","Apple ID Lock","")</f>
        <v/>
      </c>
      <c r="R19" s="13" t="str">
        <f>IF(MacReports!L19="y","Remote Locked","")</f>
        <v/>
      </c>
      <c r="S19" t="str">
        <f t="shared" si="2"/>
        <v>Battery Defect, 0</v>
      </c>
      <c r="T19" t="str">
        <f>_xlfn.XLOOKUP(B19,Disk_Pivot!G:G,Disk_Pivot!I:I)</f>
        <v>No</v>
      </c>
      <c r="U19" t="str">
        <f>_xlfn.XLOOKUP(B19,Disk_Pivot!G:G,Disk_Pivot!N:N)</f>
        <v/>
      </c>
      <c r="V19" t="str">
        <f>IF(U19="Fail",MacReports!N19,"")</f>
        <v/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MacReports!C20</f>
        <v>0</v>
      </c>
      <c r="E20" t="e">
        <f>_xlfn.XLOOKUP(G20,Models!A:A,Models!F:F)</f>
        <v>#N/A</v>
      </c>
      <c r="F20" t="str">
        <f>_xlfn.XLOOKUP(B20,MacReports!B:B,MacReports!D:D,"")</f>
        <v/>
      </c>
      <c r="G20" s="13">
        <f>MacReports!E20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MacReports!F20</f>
        <v>0</v>
      </c>
      <c r="L20">
        <f>MacReports!G20</f>
        <v>0</v>
      </c>
      <c r="M20" s="15" t="e" cm="1">
        <f t="array" ref="M20">--_xlfn.LET(
    _xlpm.txt, MacReports!H20,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--MacReports!M20&lt;55,"Battery Defect",
  -- MacReports!M20&lt;=69,"Battery D",
  --MacReports!M20&lt;=80,"Battery C",
 --MacReports!M20&gt;80,""
)</f>
        <v>Battery Defect</v>
      </c>
      <c r="O20" s="16" t="str">
        <f>IF(MacReports!I20="Service","Battery Service","")</f>
        <v/>
      </c>
      <c r="P20" s="13">
        <f>MacReports!P20</f>
        <v>0</v>
      </c>
      <c r="Q20" s="13" t="str">
        <f>IF(MacReports!J20="Enabled","Apple ID Lock","")</f>
        <v/>
      </c>
      <c r="R20" s="13" t="str">
        <f>IF(MacReports!L20="y","Remote Locked","")</f>
        <v/>
      </c>
      <c r="S20" t="str">
        <f t="shared" si="2"/>
        <v>Battery Defect, 0</v>
      </c>
      <c r="T20" t="str">
        <f>_xlfn.XLOOKUP(B20,Disk_Pivot!G:G,Disk_Pivot!I:I)</f>
        <v>No</v>
      </c>
      <c r="U20" t="str">
        <f>_xlfn.XLOOKUP(B20,Disk_Pivot!G:G,Disk_Pivot!N:N)</f>
        <v/>
      </c>
      <c r="V20" t="str">
        <f>IF(U20="Fail",MacReports!N20,"")</f>
        <v/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MacReports!C21</f>
        <v>0</v>
      </c>
      <c r="E21" t="e">
        <f>_xlfn.XLOOKUP(G21,Models!A:A,Models!F:F)</f>
        <v>#N/A</v>
      </c>
      <c r="F21" t="str">
        <f>_xlfn.XLOOKUP(B21,MacReports!B:B,MacReports!D:D,"")</f>
        <v/>
      </c>
      <c r="G21" s="13">
        <f>MacReports!E21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MacReports!F21</f>
        <v>0</v>
      </c>
      <c r="L21">
        <f>MacReports!G21</f>
        <v>0</v>
      </c>
      <c r="M21" s="15" t="e" cm="1">
        <f t="array" ref="M21">--_xlfn.LET(
    _xlpm.txt, MacReports!H21,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--MacReports!M21&lt;55,"Battery Defect",
  -- MacReports!M21&lt;=69,"Battery D",
  --MacReports!M21&lt;=80,"Battery C",
 --MacReports!M21&gt;80,""
)</f>
        <v>Battery Defect</v>
      </c>
      <c r="O21" s="16" t="str">
        <f>IF(MacReports!I21="Service","Battery Service","")</f>
        <v/>
      </c>
      <c r="P21" s="13">
        <f>MacReports!P21</f>
        <v>0</v>
      </c>
      <c r="Q21" s="13" t="str">
        <f>IF(MacReports!J21="Enabled","Apple ID Lock","")</f>
        <v/>
      </c>
      <c r="R21" s="13" t="str">
        <f>IF(MacReports!L21="y","Remote Locked","")</f>
        <v/>
      </c>
      <c r="S21" t="str">
        <f t="shared" si="2"/>
        <v>Battery Defect, 0</v>
      </c>
      <c r="T21" t="str">
        <f>_xlfn.XLOOKUP(B21,Disk_Pivot!G:G,Disk_Pivot!I:I)</f>
        <v>No</v>
      </c>
      <c r="U21" t="str">
        <f>_xlfn.XLOOKUP(B21,Disk_Pivot!G:G,Disk_Pivot!N:N)</f>
        <v/>
      </c>
      <c r="V21" t="str">
        <f>IF(U21="Fail",MacReports!N21,"")</f>
        <v/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MacReports!C22</f>
        <v>0</v>
      </c>
      <c r="E22" t="e">
        <f>_xlfn.XLOOKUP(G22,Models!A:A,Models!F:F)</f>
        <v>#N/A</v>
      </c>
      <c r="F22" t="str">
        <f>_xlfn.XLOOKUP(B22,MacReports!B:B,MacReports!D:D,"")</f>
        <v/>
      </c>
      <c r="G22" s="13">
        <f>MacReports!E22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MacReports!F22</f>
        <v>0</v>
      </c>
      <c r="L22">
        <f>MacReports!G22</f>
        <v>0</v>
      </c>
      <c r="M22" s="15" t="e" cm="1">
        <f t="array" ref="M22">--_xlfn.LET(
    _xlpm.txt, MacReports!H22,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--MacReports!M22&lt;55,"Battery Defect",
  -- MacReports!M22&lt;=69,"Battery D",
  --MacReports!M22&lt;=80,"Battery C",
 --MacReports!M22&gt;80,""
)</f>
        <v>Battery Defect</v>
      </c>
      <c r="O22" s="16" t="str">
        <f>IF(MacReports!I22="Service","Battery Service","")</f>
        <v/>
      </c>
      <c r="P22" s="13">
        <f>MacReports!P22</f>
        <v>0</v>
      </c>
      <c r="Q22" s="13" t="str">
        <f>IF(MacReports!J22="Enabled","Apple ID Lock","")</f>
        <v/>
      </c>
      <c r="R22" s="13" t="str">
        <f>IF(MacReports!L22="y","Remote Locked","")</f>
        <v/>
      </c>
      <c r="S22" t="str">
        <f t="shared" si="2"/>
        <v>Battery Defect, 0</v>
      </c>
      <c r="T22" t="str">
        <f>_xlfn.XLOOKUP(B22,Disk_Pivot!G:G,Disk_Pivot!I:I)</f>
        <v>No</v>
      </c>
      <c r="U22" t="str">
        <f>_xlfn.XLOOKUP(B22,Disk_Pivot!G:G,Disk_Pivot!N:N)</f>
        <v/>
      </c>
      <c r="V22" t="str">
        <f>IF(U22="Fail",MacReports!N22,"")</f>
        <v/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MacReports!C23</f>
        <v>0</v>
      </c>
      <c r="E23" t="e">
        <f>_xlfn.XLOOKUP(G23,Models!A:A,Models!F:F)</f>
        <v>#N/A</v>
      </c>
      <c r="F23" t="str">
        <f>_xlfn.XLOOKUP(B23,MacReports!B:B,MacReports!D:D,"")</f>
        <v/>
      </c>
      <c r="G23" s="13">
        <f>MacReports!E23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MacReports!F23</f>
        <v>0</v>
      </c>
      <c r="L23">
        <f>MacReports!G23</f>
        <v>0</v>
      </c>
      <c r="M23" s="15" t="e" cm="1">
        <f t="array" ref="M23">--_xlfn.LET(
    _xlpm.txt, MacReports!H23,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--MacReports!M23&lt;55,"Battery Defect",
  -- MacReports!M23&lt;=69,"Battery D",
  --MacReports!M23&lt;=80,"Battery C",
 --MacReports!M23&gt;80,""
)</f>
        <v>Battery Defect</v>
      </c>
      <c r="O23" s="16" t="str">
        <f>IF(MacReports!I23="Service","Battery Service","")</f>
        <v/>
      </c>
      <c r="P23" s="13">
        <f>MacReports!P23</f>
        <v>0</v>
      </c>
      <c r="Q23" s="13" t="str">
        <f>IF(MacReports!J23="Enabled","Apple ID Lock","")</f>
        <v/>
      </c>
      <c r="R23" s="13" t="str">
        <f>IF(MacReports!L23="y","Remote Locked","")</f>
        <v/>
      </c>
      <c r="S23" t="str">
        <f t="shared" si="2"/>
        <v>Battery Defect, 0</v>
      </c>
      <c r="T23" t="str">
        <f>_xlfn.XLOOKUP(B23,Disk_Pivot!G:G,Disk_Pivot!I:I)</f>
        <v>No</v>
      </c>
      <c r="U23" t="str">
        <f>_xlfn.XLOOKUP(B23,Disk_Pivot!G:G,Disk_Pivot!N:N)</f>
        <v/>
      </c>
      <c r="V23" t="str">
        <f>IF(U23="Fail",MacReports!N23,"")</f>
        <v/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MacReports!C24</f>
        <v>0</v>
      </c>
      <c r="E24" t="e">
        <f>_xlfn.XLOOKUP(G24,Models!A:A,Models!F:F)</f>
        <v>#N/A</v>
      </c>
      <c r="F24" t="str">
        <f>_xlfn.XLOOKUP(B24,MacReports!B:B,MacReports!D:D,"")</f>
        <v/>
      </c>
      <c r="G24" s="13">
        <f>MacReports!E24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MacReports!F24</f>
        <v>0</v>
      </c>
      <c r="L24">
        <f>MacReports!G24</f>
        <v>0</v>
      </c>
      <c r="M24" s="15" t="e" cm="1">
        <f t="array" ref="M24">--_xlfn.LET(
    _xlpm.txt, MacReports!H24,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--MacReports!M24&lt;55,"Battery Defect",
  -- MacReports!M24&lt;=69,"Battery D",
  --MacReports!M24&lt;=80,"Battery C",
 --MacReports!M24&gt;80,""
)</f>
        <v>Battery Defect</v>
      </c>
      <c r="O24" s="16" t="str">
        <f>IF(MacReports!I24="Service","Battery Service","")</f>
        <v/>
      </c>
      <c r="P24" s="13">
        <f>MacReports!P24</f>
        <v>0</v>
      </c>
      <c r="Q24" s="13" t="str">
        <f>IF(MacReports!J24="Enabled","Apple ID Lock","")</f>
        <v/>
      </c>
      <c r="R24" s="13" t="str">
        <f>IF(MacReports!L24="y","Remote Locked","")</f>
        <v/>
      </c>
      <c r="S24" t="str">
        <f t="shared" si="2"/>
        <v>Battery Defect, 0</v>
      </c>
      <c r="T24" t="str">
        <f>_xlfn.XLOOKUP(B24,Disk_Pivot!G:G,Disk_Pivot!I:I)</f>
        <v>No</v>
      </c>
      <c r="U24" t="str">
        <f>_xlfn.XLOOKUP(B24,Disk_Pivot!G:G,Disk_Pivot!N:N)</f>
        <v/>
      </c>
      <c r="V24" t="str">
        <f>IF(U24="Fail",MacReports!N24,"")</f>
        <v/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MacReports!C25</f>
        <v>0</v>
      </c>
      <c r="E25" t="e">
        <f>_xlfn.XLOOKUP(G25,Models!A:A,Models!F:F)</f>
        <v>#N/A</v>
      </c>
      <c r="F25" t="str">
        <f>_xlfn.XLOOKUP(B25,MacReports!B:B,MacReports!D:D,"")</f>
        <v/>
      </c>
      <c r="G25" s="13">
        <f>MacReports!E25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MacReports!F25</f>
        <v>0</v>
      </c>
      <c r="L25">
        <f>MacReports!G25</f>
        <v>0</v>
      </c>
      <c r="M25" s="15" t="e" cm="1">
        <f t="array" ref="M25">--_xlfn.LET(
    _xlpm.txt, MacReports!H25,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--MacReports!M25&lt;55,"Battery Defect",
  -- MacReports!M25&lt;=69,"Battery D",
  --MacReports!M25&lt;=80,"Battery C",
 --MacReports!M25&gt;80,""
)</f>
        <v>Battery Defect</v>
      </c>
      <c r="O25" s="16" t="str">
        <f>IF(MacReports!I25="Service","Battery Service","")</f>
        <v/>
      </c>
      <c r="P25" s="13">
        <f>MacReports!P25</f>
        <v>0</v>
      </c>
      <c r="Q25" s="13" t="str">
        <f>IF(MacReports!J25="Enabled","Apple ID Lock","")</f>
        <v/>
      </c>
      <c r="R25" s="13" t="str">
        <f>IF(MacReports!L25="y","Remote Locked","")</f>
        <v/>
      </c>
      <c r="S25" t="str">
        <f t="shared" si="2"/>
        <v>Battery Defect, 0</v>
      </c>
      <c r="T25" t="str">
        <f>_xlfn.XLOOKUP(B25,Disk_Pivot!G:G,Disk_Pivot!I:I)</f>
        <v>No</v>
      </c>
      <c r="U25" t="str">
        <f>_xlfn.XLOOKUP(B25,Disk_Pivot!G:G,Disk_Pivot!N:N)</f>
        <v/>
      </c>
      <c r="V25" t="str">
        <f>IF(U25="Fail",MacReports!N25,"")</f>
        <v/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MacReports!C26</f>
        <v>0</v>
      </c>
      <c r="E26" t="e">
        <f>_xlfn.XLOOKUP(G26,Models!A:A,Models!F:F)</f>
        <v>#N/A</v>
      </c>
      <c r="F26" t="str">
        <f>_xlfn.XLOOKUP(B26,MacReports!B:B,MacReports!D:D,"")</f>
        <v/>
      </c>
      <c r="G26" s="13">
        <f>MacReports!E26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MacReports!F26</f>
        <v>0</v>
      </c>
      <c r="L26">
        <f>MacReports!G26</f>
        <v>0</v>
      </c>
      <c r="M26" s="15" t="e" cm="1">
        <f t="array" ref="M26">--_xlfn.LET(
    _xlpm.txt, MacReports!H26,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--MacReports!M26&lt;55,"Battery Defect",
  -- MacReports!M26&lt;=69,"Battery D",
  --MacReports!M26&lt;=80,"Battery C",
 --MacReports!M26&gt;80,""
)</f>
        <v>Battery Defect</v>
      </c>
      <c r="O26" s="16" t="str">
        <f>IF(MacReports!I26="Service","Battery Service","")</f>
        <v/>
      </c>
      <c r="P26" s="13">
        <f>MacReports!P26</f>
        <v>0</v>
      </c>
      <c r="Q26" s="13" t="str">
        <f>IF(MacReports!J26="Enabled","Apple ID Lock","")</f>
        <v/>
      </c>
      <c r="R26" s="13" t="str">
        <f>IF(MacReports!L26="y","Remote Locked","")</f>
        <v/>
      </c>
      <c r="S26" t="str">
        <f t="shared" si="2"/>
        <v>Battery Defect, 0</v>
      </c>
      <c r="T26" t="str">
        <f>_xlfn.XLOOKUP(B26,Disk_Pivot!G:G,Disk_Pivot!I:I)</f>
        <v>No</v>
      </c>
      <c r="U26" t="str">
        <f>_xlfn.XLOOKUP(B26,Disk_Pivot!G:G,Disk_Pivot!N:N)</f>
        <v/>
      </c>
      <c r="V26" t="str">
        <f>IF(U26="Fail",MacReports!N26,"")</f>
        <v/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MacReports!C27</f>
        <v>0</v>
      </c>
      <c r="E27" t="e">
        <f>_xlfn.XLOOKUP(G27,Models!A:A,Models!F:F)</f>
        <v>#N/A</v>
      </c>
      <c r="F27" t="str">
        <f>_xlfn.XLOOKUP(B27,MacReports!B:B,MacReports!D:D,"")</f>
        <v/>
      </c>
      <c r="G27" s="13">
        <f>MacReports!E27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MacReports!F27</f>
        <v>0</v>
      </c>
      <c r="L27">
        <f>MacReports!G27</f>
        <v>0</v>
      </c>
      <c r="M27" s="15" t="e" cm="1">
        <f t="array" ref="M27">--_xlfn.LET(
    _xlpm.txt, MacReports!H27,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--MacReports!M27&lt;55,"Battery Defect",
  -- MacReports!M27&lt;=69,"Battery D",
  --MacReports!M27&lt;=80,"Battery C",
 --MacReports!M27&gt;80,""
)</f>
        <v>Battery Defect</v>
      </c>
      <c r="O27" s="16" t="str">
        <f>IF(MacReports!I27="Service","Battery Service","")</f>
        <v/>
      </c>
      <c r="P27" s="13">
        <f>MacReports!P27</f>
        <v>0</v>
      </c>
      <c r="Q27" s="13" t="str">
        <f>IF(MacReports!J27="Enabled","Apple ID Lock","")</f>
        <v/>
      </c>
      <c r="R27" s="13" t="str">
        <f>IF(MacReports!L27="y","Remote Locked","")</f>
        <v/>
      </c>
      <c r="S27" t="str">
        <f t="shared" si="2"/>
        <v>Battery Defect, 0</v>
      </c>
      <c r="T27" t="str">
        <f>_xlfn.XLOOKUP(B27,Disk_Pivot!G:G,Disk_Pivot!I:I)</f>
        <v>No</v>
      </c>
      <c r="U27" t="str">
        <f>_xlfn.XLOOKUP(B27,Disk_Pivot!G:G,Disk_Pivot!N:N)</f>
        <v/>
      </c>
      <c r="V27" t="str">
        <f>IF(U27="Fail",MacReports!N27,"")</f>
        <v/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MacReports!C28</f>
        <v>0</v>
      </c>
      <c r="E28" t="e">
        <f>_xlfn.XLOOKUP(G28,Models!A:A,Models!F:F)</f>
        <v>#N/A</v>
      </c>
      <c r="F28" t="str">
        <f>_xlfn.XLOOKUP(B28,MacReports!B:B,MacReports!D:D,"")</f>
        <v/>
      </c>
      <c r="G28" s="13">
        <f>MacReports!E28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MacReports!F28</f>
        <v>0</v>
      </c>
      <c r="L28">
        <f>MacReports!G28</f>
        <v>0</v>
      </c>
      <c r="M28" s="15" t="e" cm="1">
        <f t="array" ref="M28">--_xlfn.LET(
    _xlpm.txt, MacReports!H28,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--MacReports!M28&lt;55,"Battery Defect",
  -- MacReports!M28&lt;=69,"Battery D",
  --MacReports!M28&lt;=80,"Battery C",
 --MacReports!M28&gt;80,""
)</f>
        <v>Battery Defect</v>
      </c>
      <c r="O28" s="16" t="str">
        <f>IF(MacReports!I28="Service","Battery Service","")</f>
        <v/>
      </c>
      <c r="P28" s="13">
        <f>MacReports!P28</f>
        <v>0</v>
      </c>
      <c r="Q28" s="13" t="str">
        <f>IF(MacReports!J28="Enabled","Apple ID Lock","")</f>
        <v/>
      </c>
      <c r="R28" s="13" t="str">
        <f>IF(MacReports!L28="y","Remote Locked","")</f>
        <v/>
      </c>
      <c r="S28" t="str">
        <f t="shared" si="2"/>
        <v>Battery Defect, 0</v>
      </c>
      <c r="T28" t="str">
        <f>_xlfn.XLOOKUP(B28,Disk_Pivot!G:G,Disk_Pivot!I:I)</f>
        <v>No</v>
      </c>
      <c r="U28" t="str">
        <f>_xlfn.XLOOKUP(B28,Disk_Pivot!G:G,Disk_Pivot!N:N)</f>
        <v/>
      </c>
      <c r="V28" t="str">
        <f>IF(U28="Fail",MacReports!N28,"")</f>
        <v/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MacReports!C29</f>
        <v>0</v>
      </c>
      <c r="E29" t="e">
        <f>_xlfn.XLOOKUP(G29,Models!A:A,Models!F:F)</f>
        <v>#N/A</v>
      </c>
      <c r="F29" t="str">
        <f>_xlfn.XLOOKUP(B29,MacReports!B:B,MacReports!D:D,"")</f>
        <v/>
      </c>
      <c r="G29" s="13">
        <f>MacReports!E29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MacReports!F29</f>
        <v>0</v>
      </c>
      <c r="L29">
        <f>MacReports!G29</f>
        <v>0</v>
      </c>
      <c r="M29" s="15" t="e" cm="1">
        <f t="array" ref="M29">--_xlfn.LET(
    _xlpm.txt, MacReports!H29,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--MacReports!M29&lt;55,"Battery Defect",
  -- MacReports!M29&lt;=69,"Battery D",
  --MacReports!M29&lt;=80,"Battery C",
 --MacReports!M29&gt;80,""
)</f>
        <v>Battery Defect</v>
      </c>
      <c r="O29" s="16" t="str">
        <f>IF(MacReports!I29="Service","Battery Service","")</f>
        <v/>
      </c>
      <c r="P29" s="13">
        <f>MacReports!P29</f>
        <v>0</v>
      </c>
      <c r="Q29" s="13" t="str">
        <f>IF(MacReports!J29="Enabled","Apple ID Lock","")</f>
        <v/>
      </c>
      <c r="R29" s="13" t="str">
        <f>IF(MacReports!L29="y","Remote Locked","")</f>
        <v/>
      </c>
      <c r="S29" t="str">
        <f t="shared" si="2"/>
        <v>Battery Defect, 0</v>
      </c>
      <c r="T29" t="str">
        <f>_xlfn.XLOOKUP(B29,Disk_Pivot!G:G,Disk_Pivot!I:I)</f>
        <v>No</v>
      </c>
      <c r="U29" t="str">
        <f>_xlfn.XLOOKUP(B29,Disk_Pivot!G:G,Disk_Pivot!N:N)</f>
        <v/>
      </c>
      <c r="V29" t="str">
        <f>IF(U29="Fail",MacReports!N29,"")</f>
        <v/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MacReports!C30</f>
        <v>0</v>
      </c>
      <c r="E30" t="e">
        <f>_xlfn.XLOOKUP(G30,Models!A:A,Models!F:F)</f>
        <v>#N/A</v>
      </c>
      <c r="F30" t="str">
        <f>_xlfn.XLOOKUP(B30,MacReports!B:B,MacReports!D:D,"")</f>
        <v/>
      </c>
      <c r="G30" s="13">
        <f>MacReports!E30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MacReports!F30</f>
        <v>0</v>
      </c>
      <c r="L30">
        <f>MacReports!G30</f>
        <v>0</v>
      </c>
      <c r="M30" s="15" t="e" cm="1">
        <f t="array" ref="M30">--_xlfn.LET(
    _xlpm.txt, MacReports!H30,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--MacReports!M30&lt;55,"Battery Defect",
  -- MacReports!M30&lt;=69,"Battery D",
  --MacReports!M30&lt;=80,"Battery C",
 --MacReports!M30&gt;80,""
)</f>
        <v>Battery Defect</v>
      </c>
      <c r="O30" s="16" t="str">
        <f>IF(MacReports!I30="Service","Battery Service","")</f>
        <v/>
      </c>
      <c r="P30" s="13">
        <f>MacReports!P30</f>
        <v>0</v>
      </c>
      <c r="Q30" s="13" t="str">
        <f>IF(MacReports!J30="Enabled","Apple ID Lock","")</f>
        <v/>
      </c>
      <c r="R30" s="13" t="str">
        <f>IF(MacReports!L30="y","Remote Locked","")</f>
        <v/>
      </c>
      <c r="S30" t="str">
        <f t="shared" si="2"/>
        <v>Battery Defect, 0</v>
      </c>
      <c r="T30" t="str">
        <f>_xlfn.XLOOKUP(B30,Disk_Pivot!G:G,Disk_Pivot!I:I)</f>
        <v>No</v>
      </c>
      <c r="U30" t="str">
        <f>_xlfn.XLOOKUP(B30,Disk_Pivot!G:G,Disk_Pivot!N:N)</f>
        <v/>
      </c>
      <c r="V30" t="str">
        <f>IF(U30="Fail",MacReports!N30,"")</f>
        <v/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MacReports!C31</f>
        <v>0</v>
      </c>
      <c r="E31" t="e">
        <f>_xlfn.XLOOKUP(G31,Models!A:A,Models!F:F)</f>
        <v>#N/A</v>
      </c>
      <c r="F31" t="str">
        <f>_xlfn.XLOOKUP(B31,MacReports!B:B,MacReports!D:D,"")</f>
        <v/>
      </c>
      <c r="G31" s="13">
        <f>MacReports!E31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MacReports!F31</f>
        <v>0</v>
      </c>
      <c r="L31">
        <f>MacReports!G31</f>
        <v>0</v>
      </c>
      <c r="M31" s="15" t="e" cm="1">
        <f t="array" ref="M31">--_xlfn.LET(
    _xlpm.txt, MacReports!H31,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--MacReports!M31&lt;55,"Battery Defect",
  -- MacReports!M31&lt;=69,"Battery D",
  --MacReports!M31&lt;=80,"Battery C",
 --MacReports!M31&gt;80,""
)</f>
        <v>Battery Defect</v>
      </c>
      <c r="O31" s="16" t="str">
        <f>IF(MacReports!I31="Service","Battery Service","")</f>
        <v/>
      </c>
      <c r="P31" s="13">
        <f>MacReports!P31</f>
        <v>0</v>
      </c>
      <c r="Q31" s="13" t="str">
        <f>IF(MacReports!J31="Enabled","Apple ID Lock","")</f>
        <v/>
      </c>
      <c r="R31" s="13" t="str">
        <f>IF(MacReports!L31="y","Remote Locked","")</f>
        <v/>
      </c>
      <c r="S31" t="str">
        <f t="shared" si="2"/>
        <v>Battery Defect, 0</v>
      </c>
      <c r="T31" t="str">
        <f>_xlfn.XLOOKUP(B31,Disk_Pivot!G:G,Disk_Pivot!I:I)</f>
        <v>No</v>
      </c>
      <c r="U31" t="str">
        <f>_xlfn.XLOOKUP(B31,Disk_Pivot!G:G,Disk_Pivot!N:N)</f>
        <v/>
      </c>
      <c r="V31" t="str">
        <f>IF(U31="Fail",MacReports!N31,"")</f>
        <v/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MacReports!C32</f>
        <v>0</v>
      </c>
      <c r="E32" t="e">
        <f>_xlfn.XLOOKUP(G32,Models!A:A,Models!F:F)</f>
        <v>#N/A</v>
      </c>
      <c r="F32" t="str">
        <f>_xlfn.XLOOKUP(B32,MacReports!B:B,MacReports!D:D,"")</f>
        <v/>
      </c>
      <c r="G32" s="13">
        <f>MacReports!E32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MacReports!F32</f>
        <v>0</v>
      </c>
      <c r="L32">
        <f>MacReports!G32</f>
        <v>0</v>
      </c>
      <c r="M32" s="15" t="e" cm="1">
        <f t="array" ref="M32">--_xlfn.LET(
    _xlpm.txt, MacReports!H32,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--MacReports!M32&lt;55,"Battery Defect",
  -- MacReports!M32&lt;=69,"Battery D",
  --MacReports!M32&lt;=80,"Battery C",
 --MacReports!M32&gt;80,""
)</f>
        <v>Battery Defect</v>
      </c>
      <c r="O32" s="16" t="str">
        <f>IF(MacReports!I32="Service","Battery Service","")</f>
        <v/>
      </c>
      <c r="P32" s="13">
        <f>MacReports!P32</f>
        <v>0</v>
      </c>
      <c r="Q32" s="13" t="str">
        <f>IF(MacReports!J32="Enabled","Apple ID Lock","")</f>
        <v/>
      </c>
      <c r="R32" s="13" t="str">
        <f>IF(MacReports!L32="y","Remote Locked","")</f>
        <v/>
      </c>
      <c r="S32" t="str">
        <f t="shared" si="2"/>
        <v>Battery Defect, 0</v>
      </c>
      <c r="T32" t="str">
        <f>_xlfn.XLOOKUP(B32,Disk_Pivot!G:G,Disk_Pivot!I:I)</f>
        <v>No</v>
      </c>
      <c r="U32" t="str">
        <f>_xlfn.XLOOKUP(B32,Disk_Pivot!G:G,Disk_Pivot!N:N)</f>
        <v/>
      </c>
      <c r="V32" t="str">
        <f>IF(U32="Fail",MacReports!N32,"")</f>
        <v/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MacReports!C33</f>
        <v>0</v>
      </c>
      <c r="E33" t="e">
        <f>_xlfn.XLOOKUP(G33,Models!A:A,Models!F:F)</f>
        <v>#N/A</v>
      </c>
      <c r="F33" t="str">
        <f>_xlfn.XLOOKUP(B33,MacReports!B:B,MacReports!D:D,"")</f>
        <v/>
      </c>
      <c r="G33" s="13">
        <f>MacReports!E33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MacReports!F33</f>
        <v>0</v>
      </c>
      <c r="L33">
        <f>MacReports!G33</f>
        <v>0</v>
      </c>
      <c r="M33" s="15" t="e" cm="1">
        <f t="array" ref="M33">--_xlfn.LET(
    _xlpm.txt, MacReports!H33,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--MacReports!M33&lt;55,"Battery Defect",
  -- MacReports!M33&lt;=69,"Battery D",
  --MacReports!M33&lt;=80,"Battery C",
 --MacReports!M33&gt;80,""
)</f>
        <v>Battery Defect</v>
      </c>
      <c r="O33" s="16" t="str">
        <f>IF(MacReports!I33="Service","Battery Service","")</f>
        <v/>
      </c>
      <c r="P33" s="13">
        <f>MacReports!P33</f>
        <v>0</v>
      </c>
      <c r="Q33" s="13" t="str">
        <f>IF(MacReports!J33="Enabled","Apple ID Lock","")</f>
        <v/>
      </c>
      <c r="R33" s="13" t="str">
        <f>IF(MacReports!L33="y","Remote Locked","")</f>
        <v/>
      </c>
      <c r="S33" t="str">
        <f t="shared" si="2"/>
        <v>Battery Defect, 0</v>
      </c>
      <c r="T33" t="str">
        <f>_xlfn.XLOOKUP(B33,Disk_Pivot!G:G,Disk_Pivot!I:I)</f>
        <v>No</v>
      </c>
      <c r="U33" t="str">
        <f>_xlfn.XLOOKUP(B33,Disk_Pivot!G:G,Disk_Pivot!N:N)</f>
        <v/>
      </c>
      <c r="V33" t="str">
        <f>IF(U33="Fail",MacReports!N33,"")</f>
        <v/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MacReports!C34</f>
        <v>0</v>
      </c>
      <c r="E34" t="e">
        <f>_xlfn.XLOOKUP(G34,Models!A:A,Models!F:F)</f>
        <v>#N/A</v>
      </c>
      <c r="F34" t="str">
        <f>_xlfn.XLOOKUP(B34,MacReports!B:B,MacReports!D:D,"")</f>
        <v/>
      </c>
      <c r="G34" s="13">
        <f>MacReports!E34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MacReports!F34</f>
        <v>0</v>
      </c>
      <c r="L34">
        <f>MacReports!G34</f>
        <v>0</v>
      </c>
      <c r="M34" s="15" t="e" cm="1">
        <f t="array" ref="M34">--_xlfn.LET(
    _xlpm.txt, MacReports!H34,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--MacReports!M34&lt;55,"Battery Defect",
  -- MacReports!M34&lt;=69,"Battery D",
  --MacReports!M34&lt;=80,"Battery C",
 --MacReports!M34&gt;80,""
)</f>
        <v>Battery Defect</v>
      </c>
      <c r="O34" s="16" t="str">
        <f>IF(MacReports!I34="Service","Battery Service","")</f>
        <v/>
      </c>
      <c r="P34" s="13">
        <f>MacReports!P34</f>
        <v>0</v>
      </c>
      <c r="Q34" s="13" t="str">
        <f>IF(MacReports!J34="Enabled","Apple ID Lock","")</f>
        <v/>
      </c>
      <c r="R34" s="13" t="str">
        <f>IF(MacReports!L34="y","Remote Locked","")</f>
        <v/>
      </c>
      <c r="S34" t="str">
        <f t="shared" si="2"/>
        <v>Battery Defect, 0</v>
      </c>
      <c r="T34" t="str">
        <f>_xlfn.XLOOKUP(B34,Disk_Pivot!G:G,Disk_Pivot!I:I)</f>
        <v>No</v>
      </c>
      <c r="U34" t="str">
        <f>_xlfn.XLOOKUP(B34,Disk_Pivot!G:G,Disk_Pivot!N:N)</f>
        <v/>
      </c>
      <c r="V34" t="str">
        <f>IF(U34="Fail",MacReports!N34,"")</f>
        <v/>
      </c>
      <c r="AB34" t="str">
        <f t="shared" si="1"/>
        <v/>
      </c>
    </row>
    <row r="35" spans="1:28">
      <c r="A35">
        <f>MacReports!A35</f>
        <v>0</v>
      </c>
      <c r="B35">
        <f>MacReports!B35</f>
        <v>0</v>
      </c>
      <c r="C35">
        <f>MacReports!C35</f>
        <v>0</v>
      </c>
      <c r="E35" t="e">
        <f>_xlfn.XLOOKUP(G35,Models!A:A,Models!F:F)</f>
        <v>#N/A</v>
      </c>
      <c r="F35" t="str">
        <f>_xlfn.XLOOKUP(B35,MacReports!B:B,MacReports!D:D,"")</f>
        <v/>
      </c>
      <c r="G35" s="13">
        <f>MacReports!E35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MacReports!F35</f>
        <v>0</v>
      </c>
      <c r="L35">
        <f>MacReports!G35</f>
        <v>0</v>
      </c>
      <c r="M35" s="15" t="e" cm="1">
        <f t="array" ref="M35">--_xlfn.LET(
    _xlpm.txt, MacReports!H35,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--MacReports!M35&lt;55,"Battery Defect",
  -- MacReports!M35&lt;=69,"Battery D",
  --MacReports!M35&lt;=80,"Battery C",
 --MacReports!M35&gt;80,""
)</f>
        <v>Battery Defect</v>
      </c>
      <c r="O35" s="16" t="str">
        <f>IF(MacReports!I35="Service","Battery Service","")</f>
        <v/>
      </c>
      <c r="P35" s="13">
        <f>MacReports!P35</f>
        <v>0</v>
      </c>
      <c r="Q35" s="13" t="str">
        <f>IF(MacReports!J35="Enabled","Apple ID Lock","")</f>
        <v/>
      </c>
      <c r="R35" s="13" t="str">
        <f>IF(MacReports!L35="y","Remote Locked","")</f>
        <v/>
      </c>
      <c r="S35" t="str">
        <f t="shared" si="2"/>
        <v>Battery Defect, 0</v>
      </c>
      <c r="T35" t="str">
        <f>_xlfn.XLOOKUP(B35,Disk_Pivot!G:G,Disk_Pivot!I:I)</f>
        <v>No</v>
      </c>
      <c r="U35" t="str">
        <f>_xlfn.XLOOKUP(B35,Disk_Pivot!G:G,Disk_Pivot!N:N)</f>
        <v/>
      </c>
      <c r="V35" t="str">
        <f>IF(U35="Fail",MacReports!N35,"")</f>
        <v/>
      </c>
      <c r="AB35" t="str">
        <f t="shared" si="1"/>
        <v/>
      </c>
    </row>
    <row r="36" spans="1:28">
      <c r="A36">
        <f>MacReports!A36</f>
        <v>0</v>
      </c>
      <c r="B36">
        <f>MacReports!B36</f>
        <v>0</v>
      </c>
      <c r="C36">
        <f>MacReports!C36</f>
        <v>0</v>
      </c>
      <c r="E36" t="e">
        <f>_xlfn.XLOOKUP(G36,Models!A:A,Models!F:F)</f>
        <v>#N/A</v>
      </c>
      <c r="F36" t="str">
        <f>_xlfn.XLOOKUP(B36,MacReports!B:B,MacReports!D:D,"")</f>
        <v/>
      </c>
      <c r="G36" s="13">
        <f>MacReports!E36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MacReports!F36</f>
        <v>0</v>
      </c>
      <c r="L36">
        <f>MacReports!G36</f>
        <v>0</v>
      </c>
      <c r="M36" s="15" t="e" cm="1">
        <f t="array" ref="M36">--_xlfn.LET(
    _xlpm.txt, MacReports!H36,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--MacReports!M36&lt;55,"Battery Defect",
  -- MacReports!M36&lt;=69,"Battery D",
  --MacReports!M36&lt;=80,"Battery C",
 --MacReports!M36&gt;80,""
)</f>
        <v>Battery Defect</v>
      </c>
      <c r="O36" s="16" t="str">
        <f>IF(MacReports!I36="Service","Battery Service","")</f>
        <v/>
      </c>
      <c r="P36" s="13">
        <f>MacReports!P36</f>
        <v>0</v>
      </c>
      <c r="Q36" s="13" t="str">
        <f>IF(MacReports!J36="Enabled","Apple ID Lock","")</f>
        <v/>
      </c>
      <c r="R36" s="13" t="str">
        <f>IF(MacReports!L36="y","Remote Locked","")</f>
        <v/>
      </c>
      <c r="S36" t="str">
        <f t="shared" si="2"/>
        <v>Battery Defect, 0</v>
      </c>
      <c r="T36" t="str">
        <f>_xlfn.XLOOKUP(B36,Disk_Pivot!G:G,Disk_Pivot!I:I)</f>
        <v>No</v>
      </c>
      <c r="U36" t="str">
        <f>_xlfn.XLOOKUP(B36,Disk_Pivot!G:G,Disk_Pivot!N:N)</f>
        <v/>
      </c>
      <c r="V36" t="str">
        <f>IF(U36="Fail",MacReports!N36,"")</f>
        <v/>
      </c>
      <c r="AB36" t="str">
        <f t="shared" si="1"/>
        <v/>
      </c>
    </row>
    <row r="37" spans="1:28">
      <c r="A37">
        <f>MacReports!A37</f>
        <v>0</v>
      </c>
      <c r="B37">
        <f>MacReports!B37</f>
        <v>0</v>
      </c>
      <c r="C37">
        <f>MacReports!C37</f>
        <v>0</v>
      </c>
      <c r="E37" t="e">
        <f>_xlfn.XLOOKUP(G37,Models!A:A,Models!F:F)</f>
        <v>#N/A</v>
      </c>
      <c r="F37" t="str">
        <f>_xlfn.XLOOKUP(B37,MacReports!B:B,MacReports!D:D,"")</f>
        <v/>
      </c>
      <c r="G37" s="13">
        <f>MacReports!E37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MacReports!F37</f>
        <v>0</v>
      </c>
      <c r="L37">
        <f>MacReports!G37</f>
        <v>0</v>
      </c>
      <c r="M37" s="15" t="e" cm="1">
        <f t="array" ref="M37">--_xlfn.LET(
    _xlpm.txt, MacReports!H37,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--MacReports!M37&lt;55,"Battery Defect",
  -- MacReports!M37&lt;=69,"Battery D",
  --MacReports!M37&lt;=80,"Battery C",
 --MacReports!M37&gt;80,""
)</f>
        <v>Battery Defect</v>
      </c>
      <c r="O37" s="16" t="str">
        <f>IF(MacReports!I37="Service","Battery Service","")</f>
        <v/>
      </c>
      <c r="P37" s="13">
        <f>MacReports!P37</f>
        <v>0</v>
      </c>
      <c r="Q37" s="13" t="str">
        <f>IF(MacReports!J37="Enabled","Apple ID Lock","")</f>
        <v/>
      </c>
      <c r="R37" s="13" t="str">
        <f>IF(MacReports!L37="y","Remote Locked","")</f>
        <v/>
      </c>
      <c r="S37" t="str">
        <f t="shared" si="2"/>
        <v>Battery Defect, 0</v>
      </c>
      <c r="T37" t="str">
        <f>_xlfn.XLOOKUP(B37,Disk_Pivot!G:G,Disk_Pivot!I:I)</f>
        <v>No</v>
      </c>
      <c r="U37" t="str">
        <f>_xlfn.XLOOKUP(B37,Disk_Pivot!G:G,Disk_Pivot!N:N)</f>
        <v/>
      </c>
      <c r="V37" t="str">
        <f>IF(U37="Fail",MacReports!N37,"")</f>
        <v/>
      </c>
      <c r="AB37" t="str">
        <f t="shared" si="1"/>
        <v/>
      </c>
    </row>
    <row r="38" spans="1:28">
      <c r="A38">
        <f>MacReports!A38</f>
        <v>0</v>
      </c>
      <c r="B38">
        <f>MacReports!B38</f>
        <v>0</v>
      </c>
      <c r="C38">
        <f>MacReports!C38</f>
        <v>0</v>
      </c>
      <c r="E38" t="e">
        <f>_xlfn.XLOOKUP(G38,Models!A:A,Models!F:F)</f>
        <v>#N/A</v>
      </c>
      <c r="F38" t="str">
        <f>_xlfn.XLOOKUP(B38,MacReports!B:B,MacReports!D:D,"")</f>
        <v/>
      </c>
      <c r="G38" s="13">
        <f>MacReports!E38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MacReports!F38</f>
        <v>0</v>
      </c>
      <c r="L38">
        <f>MacReports!G38</f>
        <v>0</v>
      </c>
      <c r="M38" s="15" t="e" cm="1">
        <f t="array" ref="M38">--_xlfn.LET(
    _xlpm.txt, MacReports!H38,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--MacReports!M38&lt;55,"Battery Defect",
  -- MacReports!M38&lt;=69,"Battery D",
  --MacReports!M38&lt;=80,"Battery C",
 --MacReports!M38&gt;80,""
)</f>
        <v>Battery Defect</v>
      </c>
      <c r="O38" s="16" t="str">
        <f>IF(MacReports!I38="Service","Battery Service","")</f>
        <v/>
      </c>
      <c r="P38" s="13">
        <f>MacReports!P38</f>
        <v>0</v>
      </c>
      <c r="Q38" s="13" t="str">
        <f>IF(MacReports!J38="Enabled","Apple ID Lock","")</f>
        <v/>
      </c>
      <c r="R38" s="13" t="str">
        <f>IF(MacReports!L38="y","Remote Locked","")</f>
        <v/>
      </c>
      <c r="S38" t="str">
        <f t="shared" si="2"/>
        <v>Battery Defect, 0</v>
      </c>
      <c r="T38" t="str">
        <f>_xlfn.XLOOKUP(B38,Disk_Pivot!G:G,Disk_Pivot!I:I)</f>
        <v>No</v>
      </c>
      <c r="U38" t="str">
        <f>_xlfn.XLOOKUP(B38,Disk_Pivot!G:G,Disk_Pivot!N:N)</f>
        <v/>
      </c>
      <c r="V38" t="str">
        <f>IF(U38="Fail",MacReports!N38,"")</f>
        <v/>
      </c>
      <c r="AB38" t="str">
        <f t="shared" si="1"/>
        <v/>
      </c>
    </row>
    <row r="39" spans="1:28">
      <c r="A39">
        <f>MacReports!A39</f>
        <v>0</v>
      </c>
      <c r="B39">
        <f>MacReports!B39</f>
        <v>0</v>
      </c>
      <c r="C39">
        <f>MacReports!C39</f>
        <v>0</v>
      </c>
      <c r="E39" t="e">
        <f>_xlfn.XLOOKUP(G39,Models!A:A,Models!F:F)</f>
        <v>#N/A</v>
      </c>
      <c r="F39" t="str">
        <f>_xlfn.XLOOKUP(B39,MacReports!B:B,MacReports!D:D,"")</f>
        <v/>
      </c>
      <c r="G39" s="13">
        <f>MacReports!E39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MacReports!F39</f>
        <v>0</v>
      </c>
      <c r="L39">
        <f>MacReports!G39</f>
        <v>0</v>
      </c>
      <c r="M39" s="15" t="e" cm="1">
        <f t="array" ref="M39">--_xlfn.LET(
    _xlpm.txt, MacReports!H39,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--MacReports!M39&lt;55,"Battery Defect",
  -- MacReports!M39&lt;=69,"Battery D",
  --MacReports!M39&lt;=80,"Battery C",
 --MacReports!M39&gt;80,""
)</f>
        <v>Battery Defect</v>
      </c>
      <c r="O39" s="16" t="str">
        <f>IF(MacReports!I39="Service","Battery Service","")</f>
        <v/>
      </c>
      <c r="P39" s="13">
        <f>MacReports!P39</f>
        <v>0</v>
      </c>
      <c r="Q39" s="13" t="str">
        <f>IF(MacReports!J39="Enabled","Apple ID Lock","")</f>
        <v/>
      </c>
      <c r="R39" s="13" t="str">
        <f>IF(MacReports!L39="y","Remote Locked","")</f>
        <v/>
      </c>
      <c r="S39" t="str">
        <f t="shared" si="2"/>
        <v>Battery Defect, 0</v>
      </c>
      <c r="T39" t="str">
        <f>_xlfn.XLOOKUP(B39,Disk_Pivot!G:G,Disk_Pivot!I:I)</f>
        <v>No</v>
      </c>
      <c r="U39" t="str">
        <f>_xlfn.XLOOKUP(B39,Disk_Pivot!G:G,Disk_Pivot!N:N)</f>
        <v/>
      </c>
      <c r="V39" t="str">
        <f>IF(U39="Fail",MacReports!N39,"")</f>
        <v/>
      </c>
      <c r="AB39" t="str">
        <f t="shared" si="1"/>
        <v/>
      </c>
    </row>
    <row r="40" spans="1:28">
      <c r="A40">
        <f>MacReports!A40</f>
        <v>0</v>
      </c>
      <c r="B40">
        <f>MacReports!B40</f>
        <v>0</v>
      </c>
      <c r="C40">
        <f>MacReports!C40</f>
        <v>0</v>
      </c>
      <c r="F40" t="str">
        <f>_xlfn.XLOOKUP(B40,MacReports!B:B,MacReports!D:D,"")</f>
        <v/>
      </c>
      <c r="G40" s="13">
        <f>MacReports!E40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MacReports!F40</f>
        <v>0</v>
      </c>
      <c r="L40">
        <f>MacReports!G40</f>
        <v>0</v>
      </c>
      <c r="M40" s="15" t="e" cm="1">
        <f t="array" ref="M40">--_xlfn.LET(
    _xlpm.txt, MacReports!H40,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--MacReports!M40&lt;55,"Battery Defect",
  -- MacReports!M40&lt;=69,"Battery D",
  --MacReports!M40&lt;=80,"Battery C",
 --MacReports!M40&gt;80,""
)</f>
        <v>Battery Defect</v>
      </c>
      <c r="O40" s="16" t="str">
        <f>IF(MacReports!I40="Service","Battery Service","")</f>
        <v/>
      </c>
      <c r="P40" s="13">
        <f>MacReports!P40</f>
        <v>0</v>
      </c>
      <c r="Q40" s="13" t="str">
        <f>IF(MacReports!J40="Enabled","Apple ID Lock","")</f>
        <v/>
      </c>
      <c r="R40" s="13" t="str">
        <f>IF(MacReports!L40="y","Remote Locked","")</f>
        <v/>
      </c>
      <c r="S40" t="str">
        <f t="shared" si="2"/>
        <v>Battery Defect, 0</v>
      </c>
      <c r="T40" t="str">
        <f>_xlfn.XLOOKUP(B40,Disk_Pivot!G:G,Disk_Pivot!I:I)</f>
        <v>No</v>
      </c>
      <c r="U40" t="str">
        <f>_xlfn.XLOOKUP(B40,Disk_Pivot!G:G,Disk_Pivot!N:N)</f>
        <v/>
      </c>
      <c r="V40" t="str">
        <f>IF(U40="Fail",MacReports!N40,"")</f>
        <v/>
      </c>
      <c r="AB40" t="str">
        <f t="shared" si="1"/>
        <v/>
      </c>
    </row>
    <row r="41" spans="1:28">
      <c r="A41">
        <f>MacReports!A41</f>
        <v>0</v>
      </c>
      <c r="B41">
        <f>MacReports!B41</f>
        <v>0</v>
      </c>
      <c r="C41">
        <f>MacReports!C41</f>
        <v>0</v>
      </c>
      <c r="F41" t="str">
        <f>_xlfn.XLOOKUP(B41,MacReports!B:B,MacReports!D:D,"")</f>
        <v/>
      </c>
      <c r="G41" s="13">
        <f>MacReports!E41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MacReports!F41</f>
        <v>0</v>
      </c>
      <c r="L41">
        <f>MacReports!G41</f>
        <v>0</v>
      </c>
      <c r="M41" s="15" t="e" cm="1">
        <f t="array" ref="M41">--_xlfn.LET(
    _xlpm.txt, MacReports!H41,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--MacReports!M41&lt;55,"Battery Defect",
  -- MacReports!M41&lt;=69,"Battery D",
  --MacReports!M41&lt;=80,"Battery C",
 --MacReports!M41&gt;80,""
)</f>
        <v>Battery Defect</v>
      </c>
      <c r="O41" s="16" t="str">
        <f>IF(MacReports!I41="Service","Battery Service","")</f>
        <v/>
      </c>
      <c r="P41" s="13">
        <f>MacReports!P41</f>
        <v>0</v>
      </c>
      <c r="Q41" s="13" t="str">
        <f>IF(MacReports!J41="Enabled","Apple ID Lock","")</f>
        <v/>
      </c>
      <c r="R41" s="13" t="str">
        <f>IF(MacReports!L41="y","Remote Locked","")</f>
        <v/>
      </c>
      <c r="S41" t="str">
        <f t="shared" si="2"/>
        <v>Battery Defect, 0</v>
      </c>
      <c r="T41" t="str">
        <f>_xlfn.XLOOKUP(B41,Disk_Pivot!G:G,Disk_Pivot!I:I)</f>
        <v>No</v>
      </c>
      <c r="U41" t="str">
        <f>_xlfn.XLOOKUP(B41,Disk_Pivot!G:G,Disk_Pivot!N:N)</f>
        <v/>
      </c>
      <c r="V41" t="str">
        <f>IF(U41="Fail",MacReports!N41,"")</f>
        <v/>
      </c>
      <c r="AB41" t="str">
        <f t="shared" si="1"/>
        <v/>
      </c>
    </row>
    <row r="42" spans="1:28">
      <c r="A42">
        <f>MacReports!A42</f>
        <v>0</v>
      </c>
      <c r="B42">
        <f>MacReports!B42</f>
        <v>0</v>
      </c>
      <c r="F42" t="str">
        <f>_xlfn.XLOOKUP(B42,MacReports!B:B,MacReports!D:D,"")</f>
        <v/>
      </c>
      <c r="G42" s="13">
        <f>MacReports!E42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MacReports!F42</f>
        <v>0</v>
      </c>
      <c r="L42">
        <f>MacReports!G42</f>
        <v>0</v>
      </c>
      <c r="M42" s="15" t="e" cm="1">
        <f t="array" ref="M42">--_xlfn.LET(
    _xlpm.txt, MacReports!H42,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--MacReports!M42&lt;55,"Battery Defect",
  -- MacReports!M42&lt;=69,"Battery D",
  --MacReports!M42&lt;=80,"Battery C",
 --MacReports!M42&gt;80,""
)</f>
        <v>Battery Defect</v>
      </c>
      <c r="O42" s="16" t="str">
        <f>IF(MacReports!I42="Service","Battery Service","")</f>
        <v/>
      </c>
      <c r="P42" s="13">
        <f>MacReports!P42</f>
        <v>0</v>
      </c>
      <c r="Q42" s="13" t="str">
        <f>IF(MacReports!J42="Enabled","Apple ID Lock","")</f>
        <v/>
      </c>
      <c r="R42" s="13" t="str">
        <f>IF(MacReports!L42="y","Remote Locked","")</f>
        <v/>
      </c>
      <c r="S42" t="str">
        <f t="shared" si="2"/>
        <v>Battery Defect, 0</v>
      </c>
      <c r="T42" t="str">
        <f>_xlfn.XLOOKUP(B42,Disk_Pivot!G:G,Disk_Pivot!I:I)</f>
        <v>No</v>
      </c>
      <c r="U42" t="str">
        <f>_xlfn.XLOOKUP(B42,Disk_Pivot!G:G,Disk_Pivot!N:N)</f>
        <v/>
      </c>
      <c r="V42" t="str">
        <f>IF(U42="Fail",MacReports!N42,"")</f>
        <v/>
      </c>
      <c r="AB42" t="str">
        <f t="shared" si="1"/>
        <v/>
      </c>
    </row>
    <row r="43" spans="1:28">
      <c r="A43">
        <f>MacReports!A43</f>
        <v>0</v>
      </c>
      <c r="B43">
        <f>MacReports!B43</f>
        <v>0</v>
      </c>
      <c r="F43" t="str">
        <f>_xlfn.XLOOKUP(B43,MacReports!B:B,MacReports!D:D,"")</f>
        <v/>
      </c>
      <c r="G43" s="13">
        <f>MacReports!E43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MacReports!F43</f>
        <v>0</v>
      </c>
      <c r="L43">
        <f>MacReports!G43</f>
        <v>0</v>
      </c>
      <c r="M43" s="15" t="e" cm="1">
        <f t="array" ref="M43">--_xlfn.LET(
    _xlpm.txt, MacReports!H43,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--MacReports!M43&lt;55,"Battery Defect",
  -- MacReports!M43&lt;=69,"Battery D",
  --MacReports!M43&lt;=80,"Battery C",
 --MacReports!M43&gt;80,""
)</f>
        <v>Battery Defect</v>
      </c>
      <c r="O43" s="16" t="str">
        <f>IF(MacReports!I43="Service","Battery Service","")</f>
        <v/>
      </c>
      <c r="P43" s="13">
        <f>MacReports!P43</f>
        <v>0</v>
      </c>
      <c r="Q43" s="13" t="str">
        <f>IF(MacReports!J43="Enabled","Apple ID Lock","")</f>
        <v/>
      </c>
      <c r="R43" s="13" t="str">
        <f>IF(MacReports!L43="y","Remote Locked","")</f>
        <v/>
      </c>
      <c r="S43" t="str">
        <f t="shared" si="2"/>
        <v>Battery Defect, 0</v>
      </c>
      <c r="T43" t="str">
        <f>_xlfn.XLOOKUP(B43,Disk_Pivot!G:G,Disk_Pivot!I:I)</f>
        <v>No</v>
      </c>
      <c r="U43" t="str">
        <f>_xlfn.XLOOKUP(B43,Disk_Pivot!G:G,Disk_Pivot!N:N)</f>
        <v/>
      </c>
      <c r="V43" t="str">
        <f>IF(U43="Fail",MacReports!N43,"")</f>
        <v/>
      </c>
      <c r="AB43" t="str">
        <f t="shared" si="1"/>
        <v/>
      </c>
    </row>
    <row r="44" spans="1:28">
      <c r="A44">
        <f>MacReports!A44</f>
        <v>0</v>
      </c>
      <c r="B44">
        <f>MacReports!B44</f>
        <v>0</v>
      </c>
      <c r="F44" t="str">
        <f>_xlfn.XLOOKUP(B44,MacReports!B:B,MacReports!D:D,"")</f>
        <v/>
      </c>
      <c r="G44" s="13">
        <f>MacReports!E44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MacReports!F44</f>
        <v>0</v>
      </c>
      <c r="L44">
        <f>MacReports!G44</f>
        <v>0</v>
      </c>
      <c r="M44" s="15" t="e" cm="1">
        <f t="array" ref="M44">--_xlfn.LET(
    _xlpm.txt, MacReports!H44,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--MacReports!M44&lt;55,"Battery Defect",
  -- MacReports!M44&lt;=69,"Battery D",
  --MacReports!M44&lt;=80,"Battery C",
 --MacReports!M44&gt;80,""
)</f>
        <v>Battery Defect</v>
      </c>
      <c r="O44" s="16" t="str">
        <f>IF(MacReports!I44="Service","Battery Service","")</f>
        <v/>
      </c>
      <c r="P44" s="13">
        <f>MacReports!P44</f>
        <v>0</v>
      </c>
      <c r="Q44" s="13" t="str">
        <f>IF(MacReports!J44="Enabled","Apple ID Lock","")</f>
        <v/>
      </c>
      <c r="R44" s="13" t="str">
        <f>IF(MacReports!L44="y","Remote Locked","")</f>
        <v/>
      </c>
      <c r="S44" t="str">
        <f t="shared" si="2"/>
        <v>Battery Defect, 0</v>
      </c>
      <c r="T44" t="str">
        <f>_xlfn.XLOOKUP(B44,Disk_Pivot!G:G,Disk_Pivot!I:I)</f>
        <v>No</v>
      </c>
      <c r="U44" t="str">
        <f>_xlfn.XLOOKUP(B44,Disk_Pivot!G:G,Disk_Pivot!N:N)</f>
        <v/>
      </c>
      <c r="V44" t="str">
        <f>IF(U44="Fail",MacReports!N44,"")</f>
        <v/>
      </c>
      <c r="AB44" t="str">
        <f t="shared" si="1"/>
        <v/>
      </c>
    </row>
    <row r="45" spans="1:28">
      <c r="A45">
        <f>MacReports!A45</f>
        <v>0</v>
      </c>
      <c r="B45">
        <f>MacReports!B45</f>
        <v>0</v>
      </c>
      <c r="F45" t="str">
        <f>_xlfn.XLOOKUP(B45,MacReports!B:B,MacReports!D:D,"")</f>
        <v/>
      </c>
      <c r="G45" s="13">
        <f>MacReports!E45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MacReports!F45</f>
        <v>0</v>
      </c>
      <c r="L45">
        <f>MacReports!G45</f>
        <v>0</v>
      </c>
      <c r="M45" s="15" t="e" cm="1">
        <f t="array" ref="M45">--_xlfn.LET(
    _xlpm.txt, MacReports!H45,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--MacReports!M45&lt;55,"Battery Defect",
  -- MacReports!M45&lt;=69,"Battery D",
  --MacReports!M45&lt;=80,"Battery C",
 --MacReports!M45&gt;80,""
)</f>
        <v>Battery Defect</v>
      </c>
      <c r="O45" s="16" t="str">
        <f>IF(MacReports!I45="Service","Battery Service","")</f>
        <v/>
      </c>
      <c r="P45" s="13">
        <f>MacReports!P45</f>
        <v>0</v>
      </c>
      <c r="Q45" s="13" t="str">
        <f>IF(MacReports!J45="Enabled","Apple ID Lock","")</f>
        <v/>
      </c>
      <c r="R45" s="13" t="str">
        <f>IF(MacReports!L45="y","Remote Locked","")</f>
        <v/>
      </c>
      <c r="S45" t="str">
        <f t="shared" si="2"/>
        <v>Battery Defect, 0</v>
      </c>
      <c r="T45" t="str">
        <f>_xlfn.XLOOKUP(B45,Disk_Pivot!G:G,Disk_Pivot!I:I)</f>
        <v>No</v>
      </c>
      <c r="U45" t="str">
        <f>_xlfn.XLOOKUP(B45,Disk_Pivot!G:G,Disk_Pivot!N:N)</f>
        <v/>
      </c>
      <c r="V45" t="str">
        <f>IF(U45="Fail",MacReports!N45,"")</f>
        <v/>
      </c>
      <c r="AB45" t="str">
        <f t="shared" si="1"/>
        <v/>
      </c>
    </row>
    <row r="46" spans="1:28">
      <c r="A46">
        <f>MacReports!A46</f>
        <v>0</v>
      </c>
      <c r="B46">
        <f>MacReports!B46</f>
        <v>0</v>
      </c>
      <c r="F46" t="str">
        <f>_xlfn.XLOOKUP(B46,MacReports!B:B,MacReports!D:D,"")</f>
        <v/>
      </c>
      <c r="G46" s="13">
        <f>MacReports!E46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MacReports!F46</f>
        <v>0</v>
      </c>
      <c r="L46">
        <f>MacReports!G46</f>
        <v>0</v>
      </c>
      <c r="M46" s="15" t="e" cm="1">
        <f t="array" ref="M46">--_xlfn.LET(
    _xlpm.txt, MacReports!H46,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--MacReports!M46&lt;55,"Battery Defect",
  -- MacReports!M46&lt;=69,"Battery D",
  --MacReports!M46&lt;=80,"Battery C",
 --MacReports!M46&gt;80,""
)</f>
        <v>Battery Defect</v>
      </c>
      <c r="O46" s="16" t="str">
        <f>IF(MacReports!I46="Service","Battery Service","")</f>
        <v/>
      </c>
      <c r="P46" s="13">
        <f>MacReports!P46</f>
        <v>0</v>
      </c>
      <c r="Q46" s="13" t="str">
        <f>IF(MacReports!J46="Enabled","Apple ID Lock","")</f>
        <v/>
      </c>
      <c r="R46" s="13" t="str">
        <f>IF(MacReports!L46="y","Remote Locked","")</f>
        <v/>
      </c>
      <c r="S46" t="str">
        <f t="shared" si="2"/>
        <v>Battery Defect, 0</v>
      </c>
      <c r="T46" t="str">
        <f>_xlfn.XLOOKUP(B46,Disk_Pivot!G:G,Disk_Pivot!I:I)</f>
        <v>No</v>
      </c>
      <c r="U46" t="str">
        <f>_xlfn.XLOOKUP(B46,Disk_Pivot!G:G,Disk_Pivot!N:N)</f>
        <v/>
      </c>
      <c r="V46" t="str">
        <f>IF(U46="Fail",MacReports!N46,"")</f>
        <v/>
      </c>
      <c r="AB46" t="str">
        <f t="shared" si="1"/>
        <v/>
      </c>
    </row>
    <row r="47" spans="1:28">
      <c r="A47">
        <f>MacReports!A47</f>
        <v>0</v>
      </c>
      <c r="B47">
        <f>MacReports!B47</f>
        <v>0</v>
      </c>
      <c r="F47" t="str">
        <f>_xlfn.XLOOKUP(B47,MacReports!B:B,MacReports!D:D,"")</f>
        <v/>
      </c>
      <c r="G47" s="13">
        <f>MacReports!E47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MacReports!F47</f>
        <v>0</v>
      </c>
      <c r="L47">
        <f>MacReports!G47</f>
        <v>0</v>
      </c>
      <c r="M47" s="15" t="e" cm="1">
        <f t="array" ref="M47">--_xlfn.LET(
    _xlpm.txt, MacReports!H47,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--MacReports!M47&lt;55,"Battery Defect",
  -- MacReports!M47&lt;=69,"Battery D",
  --MacReports!M47&lt;=80,"Battery C",
 --MacReports!M47&gt;80,""
)</f>
        <v>Battery Defect</v>
      </c>
      <c r="O47" s="16" t="str">
        <f>IF(MacReports!I47="Service","Battery Service","")</f>
        <v/>
      </c>
      <c r="P47" s="13">
        <f>MacReports!P47</f>
        <v>0</v>
      </c>
      <c r="Q47" s="13" t="str">
        <f>IF(MacReports!J47="Enabled","Apple ID Lock","")</f>
        <v/>
      </c>
      <c r="R47" s="13" t="str">
        <f>IF(MacReports!L47="y","Remote Locked","")</f>
        <v/>
      </c>
      <c r="S47" t="str">
        <f t="shared" si="2"/>
        <v>Battery Defect, 0</v>
      </c>
      <c r="T47" t="str">
        <f>_xlfn.XLOOKUP(B47,Disk_Pivot!G:G,Disk_Pivot!I:I)</f>
        <v>No</v>
      </c>
      <c r="U47" t="str">
        <f>_xlfn.XLOOKUP(B47,Disk_Pivot!G:G,Disk_Pivot!N:N)</f>
        <v/>
      </c>
      <c r="V47" t="str">
        <f>IF(U47="Fail",MacReports!N47,"")</f>
        <v/>
      </c>
      <c r="AB47" t="str">
        <f t="shared" si="1"/>
        <v/>
      </c>
    </row>
    <row r="48" spans="1:28">
      <c r="A48">
        <f>MacReports!A48</f>
        <v>0</v>
      </c>
      <c r="B48">
        <f>MacReports!B48</f>
        <v>0</v>
      </c>
      <c r="F48" t="str">
        <f>_xlfn.XLOOKUP(B48,MacReports!B:B,MacReports!D:D,"")</f>
        <v/>
      </c>
      <c r="G48" s="13">
        <f>MacReports!E48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MacReports!F48</f>
        <v>0</v>
      </c>
      <c r="L48">
        <f>MacReports!G48</f>
        <v>0</v>
      </c>
      <c r="M48" s="15" t="e" cm="1">
        <f t="array" ref="M48">--_xlfn.LET(
    _xlpm.txt, MacReports!H48,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--MacReports!M48&lt;55,"Battery Defect",
  -- MacReports!M48&lt;=69,"Battery D",
  --MacReports!M48&lt;=80,"Battery C",
 --MacReports!M48&gt;80,""
)</f>
        <v>Battery Defect</v>
      </c>
      <c r="O48" s="16" t="str">
        <f>IF(MacReports!I48="Service","Battery Service","")</f>
        <v/>
      </c>
      <c r="P48" s="13">
        <f>MacReports!P48</f>
        <v>0</v>
      </c>
      <c r="Q48" s="13" t="str">
        <f>IF(MacReports!J48="Enabled","Apple ID Lock","")</f>
        <v/>
      </c>
      <c r="R48" s="13" t="str">
        <f>IF(MacReports!L48="y","Remote Locked","")</f>
        <v/>
      </c>
      <c r="S48" t="str">
        <f t="shared" si="2"/>
        <v>Battery Defect, 0</v>
      </c>
      <c r="T48" t="str">
        <f>_xlfn.XLOOKUP(B48,Disk_Pivot!G:G,Disk_Pivot!I:I)</f>
        <v>No</v>
      </c>
      <c r="U48" t="str">
        <f>_xlfn.XLOOKUP(B48,Disk_Pivot!G:G,Disk_Pivot!N:N)</f>
        <v/>
      </c>
      <c r="V48" t="str">
        <f>IF(U48="Fail",MacReports!N48,"")</f>
        <v/>
      </c>
      <c r="AB48" t="str">
        <f t="shared" si="1"/>
        <v/>
      </c>
    </row>
    <row r="49" spans="1:28">
      <c r="A49">
        <f>MacReports!A49</f>
        <v>0</v>
      </c>
      <c r="B49">
        <f>MacReports!B49</f>
        <v>0</v>
      </c>
      <c r="F49" t="str">
        <f>_xlfn.XLOOKUP(B49,MacReports!B:B,MacReports!D:D,"")</f>
        <v/>
      </c>
      <c r="G49" s="13">
        <f>MacReports!E49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MacReports!F49</f>
        <v>0</v>
      </c>
      <c r="L49">
        <f>MacReports!G49</f>
        <v>0</v>
      </c>
      <c r="M49" s="15" t="e" cm="1">
        <f t="array" ref="M49">--_xlfn.LET(
    _xlpm.txt, MacReports!H49,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--MacReports!M49&lt;55,"Battery Defect",
  -- MacReports!M49&lt;=69,"Battery D",
  --MacReports!M49&lt;=80,"Battery C",
 --MacReports!M49&gt;80,""
)</f>
        <v>Battery Defect</v>
      </c>
      <c r="O49" s="16" t="str">
        <f>IF(MacReports!I49="Service","Battery Service","")</f>
        <v/>
      </c>
      <c r="P49" s="13">
        <f>MacReports!P49</f>
        <v>0</v>
      </c>
      <c r="Q49" s="13" t="str">
        <f>IF(MacReports!J49="Enabled","Apple ID Lock","")</f>
        <v/>
      </c>
      <c r="R49" s="13" t="str">
        <f>IF(MacReports!L49="y","Remote Locked","")</f>
        <v/>
      </c>
      <c r="S49" t="str">
        <f t="shared" si="2"/>
        <v>Battery Defect, 0</v>
      </c>
      <c r="T49" t="str">
        <f>_xlfn.XLOOKUP(B49,Disk_Pivot!G:G,Disk_Pivot!I:I)</f>
        <v>No</v>
      </c>
      <c r="U49" t="str">
        <f>_xlfn.XLOOKUP(B49,Disk_Pivot!G:G,Disk_Pivot!N:N)</f>
        <v/>
      </c>
      <c r="V49" t="str">
        <f>IF(U49="Fail",MacReports!N49,"")</f>
        <v/>
      </c>
      <c r="AB49" t="str">
        <f t="shared" si="1"/>
        <v/>
      </c>
    </row>
    <row r="50" spans="1:28">
      <c r="A50">
        <f>MacReports!A50</f>
        <v>0</v>
      </c>
      <c r="B50">
        <f>MacReports!B50</f>
        <v>0</v>
      </c>
      <c r="F50" t="str">
        <f>_xlfn.XLOOKUP(B50,MacReports!B:B,MacReports!D:D,"")</f>
        <v/>
      </c>
      <c r="G50" s="13">
        <f>MacReports!E50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MacReports!F50</f>
        <v>0</v>
      </c>
      <c r="L50">
        <f>MacReports!G50</f>
        <v>0</v>
      </c>
      <c r="M50" s="15" t="e" cm="1">
        <f t="array" ref="M50">--_xlfn.LET(
    _xlpm.txt, MacReports!H50,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--MacReports!M50&lt;55,"Battery Defect",
  -- MacReports!M50&lt;=69,"Battery D",
  --MacReports!M50&lt;=80,"Battery C",
 --MacReports!M50&gt;80,""
)</f>
        <v>Battery Defect</v>
      </c>
      <c r="O50" s="16" t="str">
        <f>IF(MacReports!I50="Service","Battery Service","")</f>
        <v/>
      </c>
      <c r="P50" s="13">
        <f>MacReports!P50</f>
        <v>0</v>
      </c>
      <c r="Q50" s="13" t="str">
        <f>IF(MacReports!J50="Enabled","Apple ID Lock","")</f>
        <v/>
      </c>
      <c r="R50" s="13" t="str">
        <f>IF(MacReports!L50="y","Remote Locked","")</f>
        <v/>
      </c>
      <c r="S50" t="str">
        <f t="shared" si="2"/>
        <v>Battery Defect, 0</v>
      </c>
      <c r="T50" t="str">
        <f>_xlfn.XLOOKUP(B50,Disk_Pivot!G:G,Disk_Pivot!I:I)</f>
        <v>No</v>
      </c>
      <c r="U50" t="str">
        <f>_xlfn.XLOOKUP(B50,Disk_Pivot!G:G,Disk_Pivot!N:N)</f>
        <v/>
      </c>
      <c r="V50" t="str">
        <f>IF(U50="Fail",MacReports!N50,"")</f>
        <v/>
      </c>
      <c r="AB50" t="str">
        <f t="shared" si="1"/>
        <v/>
      </c>
    </row>
    <row r="51" spans="1:28">
      <c r="A51">
        <f>MacReports!A51</f>
        <v>0</v>
      </c>
      <c r="B51">
        <f>MacReports!B51</f>
        <v>0</v>
      </c>
      <c r="F51" t="str">
        <f>_xlfn.XLOOKUP(B51,MacReports!B:B,MacReports!D:D,"")</f>
        <v/>
      </c>
      <c r="G51" s="13">
        <f>MacReports!E51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MacReports!F51</f>
        <v>0</v>
      </c>
      <c r="L51">
        <f>MacReports!G51</f>
        <v>0</v>
      </c>
      <c r="M51" s="15" t="e" cm="1">
        <f t="array" ref="M51">--_xlfn.LET(
    _xlpm.txt, MacReports!H51,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--MacReports!M51&lt;55,"Battery Defect",
  -- MacReports!M51&lt;=69,"Battery D",
  --MacReports!M51&lt;=80,"Battery C",
 --MacReports!M51&gt;80,""
)</f>
        <v>Battery Defect</v>
      </c>
      <c r="O51" s="16" t="str">
        <f>IF(MacReports!I51="Service","Battery Service","")</f>
        <v/>
      </c>
      <c r="P51" s="13">
        <f>MacReports!P51</f>
        <v>0</v>
      </c>
      <c r="Q51" s="13" t="str">
        <f>IF(MacReports!J51="Enabled","Apple ID Lock","")</f>
        <v/>
      </c>
      <c r="R51" s="13" t="str">
        <f>IF(MacReports!L51="y","Remote Locked","")</f>
        <v/>
      </c>
      <c r="S51" t="str">
        <f t="shared" si="2"/>
        <v>Battery Defect, 0</v>
      </c>
      <c r="T51" t="str">
        <f>_xlfn.XLOOKUP(B51,Disk_Pivot!G:G,Disk_Pivot!I:I)</f>
        <v>No</v>
      </c>
      <c r="U51" t="str">
        <f>_xlfn.XLOOKUP(B51,Disk_Pivot!G:G,Disk_Pivot!N:N)</f>
        <v/>
      </c>
      <c r="V51" t="str">
        <f>IF(U51="Fail",MacReports!N51,"")</f>
        <v/>
      </c>
      <c r="AB51" t="str">
        <f t="shared" si="1"/>
        <v/>
      </c>
    </row>
    <row r="52" spans="1:28">
      <c r="A52">
        <f>MacReports!A52</f>
        <v>0</v>
      </c>
      <c r="B52">
        <f>MacReports!B52</f>
        <v>0</v>
      </c>
      <c r="F52" t="str">
        <f>_xlfn.XLOOKUP(B52,MacReports!B:B,MacReports!D:D,"")</f>
        <v/>
      </c>
      <c r="G52" s="13">
        <f>MacReports!E52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MacReports!F52</f>
        <v>0</v>
      </c>
      <c r="L52">
        <f>MacReports!G52</f>
        <v>0</v>
      </c>
      <c r="M52" s="15" t="e" cm="1">
        <f t="array" ref="M52">--_xlfn.LET(
    _xlpm.txt, MacReports!H52,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--MacReports!M52&lt;55,"Battery Defect",
  -- MacReports!M52&lt;=69,"Battery D",
  --MacReports!M52&lt;=80,"Battery C",
 --MacReports!M52&gt;80,""
)</f>
        <v>Battery Defect</v>
      </c>
      <c r="O52" s="16" t="str">
        <f>IF(MacReports!I52="Service","Battery Service","")</f>
        <v/>
      </c>
      <c r="P52" s="13">
        <f>MacReports!P52</f>
        <v>0</v>
      </c>
      <c r="Q52" s="13" t="str">
        <f>IF(MacReports!J52="Enabled","Apple ID Lock","")</f>
        <v/>
      </c>
      <c r="R52" s="13" t="str">
        <f>IF(MacReports!L52="y","Remote Locked","")</f>
        <v/>
      </c>
      <c r="S52" t="str">
        <f t="shared" si="2"/>
        <v>Battery Defect, 0</v>
      </c>
      <c r="T52" t="str">
        <f>_xlfn.XLOOKUP(B52,Disk_Pivot!G:G,Disk_Pivot!I:I)</f>
        <v>No</v>
      </c>
      <c r="U52" t="str">
        <f>_xlfn.XLOOKUP(B52,Disk_Pivot!G:G,Disk_Pivot!N:N)</f>
        <v/>
      </c>
      <c r="V52" t="str">
        <f>IF(U52="Fail",MacReports!N52,"")</f>
        <v/>
      </c>
      <c r="AB52" t="str">
        <f t="shared" si="1"/>
        <v/>
      </c>
    </row>
    <row r="53" spans="1:28">
      <c r="B53">
        <f>MacReports!B53</f>
        <v>0</v>
      </c>
      <c r="F53" t="str">
        <f>_xlfn.XLOOKUP(B53,MacReports!B:B,MacReports!D:D,"")</f>
        <v/>
      </c>
      <c r="AB53" t="str">
        <f t="shared" si="1"/>
        <v/>
      </c>
    </row>
    <row r="54" spans="1:28">
      <c r="B54">
        <f>MacReports!B54</f>
        <v>0</v>
      </c>
      <c r="F54" t="str">
        <f>_xlfn.XLOOKUP(B54,MacReports!B:B,MacReports!D:D,"")</f>
        <v/>
      </c>
      <c r="AB54" t="str">
        <f t="shared" si="1"/>
        <v/>
      </c>
    </row>
    <row r="55" spans="1:28">
      <c r="B55">
        <f>MacReports!B55</f>
        <v>0</v>
      </c>
      <c r="F55" t="str">
        <f>_xlfn.XLOOKUP(B55,MacReports!B:B,MacReports!D:D,"")</f>
        <v/>
      </c>
      <c r="AB55" t="str">
        <f t="shared" si="1"/>
        <v/>
      </c>
    </row>
    <row r="56" spans="1:28">
      <c r="B56">
        <f>MacReports!B56</f>
        <v>0</v>
      </c>
      <c r="F56" t="str">
        <f>_xlfn.XLOOKUP(B56,MacReports!B:B,MacReports!D:D,"")</f>
        <v/>
      </c>
      <c r="AB56" t="str">
        <f t="shared" si="1"/>
        <v/>
      </c>
    </row>
    <row r="57" spans="1:28">
      <c r="B57">
        <f>MacReports!B57</f>
        <v>0</v>
      </c>
      <c r="F57" t="str">
        <f>_xlfn.XLOOKUP(B57,MacReports!B:B,MacReports!D:D,"")</f>
        <v/>
      </c>
      <c r="AB57" t="str">
        <f t="shared" si="1"/>
        <v/>
      </c>
    </row>
    <row r="58" spans="1:28">
      <c r="B58">
        <f>MacReports!B58</f>
        <v>0</v>
      </c>
      <c r="F58" t="str">
        <f>_xlfn.XLOOKUP(B58,MacReports!B:B,MacReports!D:D,"")</f>
        <v/>
      </c>
      <c r="AB58" t="str">
        <f t="shared" si="1"/>
        <v/>
      </c>
    </row>
    <row r="59" spans="1:28">
      <c r="B59">
        <f>MacReports!B59</f>
        <v>0</v>
      </c>
      <c r="F59" t="str">
        <f>_xlfn.XLOOKUP(B59,MacReports!B:B,MacReports!D:D,"")</f>
        <v/>
      </c>
      <c r="AB59" t="str">
        <f t="shared" si="1"/>
        <v/>
      </c>
    </row>
    <row r="60" spans="1:28">
      <c r="B60">
        <f>MacReports!B60</f>
        <v>0</v>
      </c>
      <c r="F60" t="str">
        <f>_xlfn.XLOOKUP(B60,MacReports!B:B,MacReports!D:D,"")</f>
        <v/>
      </c>
      <c r="AB60" t="str">
        <f t="shared" si="1"/>
        <v/>
      </c>
    </row>
    <row r="61" spans="1:28">
      <c r="B61">
        <f>MacReports!B61</f>
        <v>0</v>
      </c>
      <c r="F61" t="str">
        <f>_xlfn.XLOOKUP(B61,MacReports!B:B,MacReports!D:D,"")</f>
        <v/>
      </c>
      <c r="AB61" t="str">
        <f t="shared" si="1"/>
        <v/>
      </c>
    </row>
    <row r="62" spans="1:28">
      <c r="B62">
        <f>MacReports!B62</f>
        <v>0</v>
      </c>
      <c r="F62" t="str">
        <f>_xlfn.XLOOKUP(B62,MacReports!B:B,MacReports!D:D,"")</f>
        <v/>
      </c>
      <c r="AB62" t="str">
        <f t="shared" si="1"/>
        <v/>
      </c>
    </row>
    <row r="63" spans="1:28">
      <c r="B63">
        <f>MacReports!B63</f>
        <v>0</v>
      </c>
      <c r="F63" t="str">
        <f>_xlfn.XLOOKUP(B63,MacReports!B:B,MacReports!D:D,"")</f>
        <v/>
      </c>
      <c r="AB63" t="str">
        <f t="shared" si="1"/>
        <v/>
      </c>
    </row>
    <row r="64" spans="1:28">
      <c r="B64">
        <f>MacReports!B64</f>
        <v>0</v>
      </c>
      <c r="F64" t="str">
        <f>_xlfn.XLOOKUP(B64,MacReports!B:B,MacReports!D:D,"")</f>
        <v/>
      </c>
      <c r="AB64" t="str">
        <f t="shared" si="1"/>
        <v/>
      </c>
    </row>
    <row r="65" spans="2:28">
      <c r="B65">
        <f>MacReports!B65</f>
        <v>0</v>
      </c>
      <c r="F65" t="str">
        <f>_xlfn.XLOOKUP(B65,MacReports!B:B,MacReports!D:D,"")</f>
        <v/>
      </c>
      <c r="AB65" t="str">
        <f t="shared" si="1"/>
        <v/>
      </c>
    </row>
    <row r="66" spans="2:28">
      <c r="B66">
        <f>MacReports!B66</f>
        <v>0</v>
      </c>
      <c r="F66" t="str">
        <f>_xlfn.XLOOKUP(B66,MacReports!B:B,MacReports!D:D,"")</f>
        <v/>
      </c>
      <c r="AB66" t="str">
        <f t="shared" si="1"/>
        <v/>
      </c>
    </row>
    <row r="67" spans="2:28">
      <c r="B67">
        <f>MacReports!B67</f>
        <v>0</v>
      </c>
      <c r="F67" t="str">
        <f>_xlfn.XLOOKUP(B67,MacReports!B:B,MacReports!D:D,"")</f>
        <v/>
      </c>
      <c r="AB67" t="str">
        <f t="shared" ref="AB67:AB130" si="3">_xlfn.TEXTJOIN(", ",TRUE,Q67,R67)</f>
        <v/>
      </c>
    </row>
    <row r="68" spans="2:28">
      <c r="B68">
        <f>MacReports!B68</f>
        <v>0</v>
      </c>
      <c r="F68" t="str">
        <f>_xlfn.XLOOKUP(B68,MacReports!B:B,MacReports!D:D,"")</f>
        <v/>
      </c>
      <c r="AB68" t="str">
        <f t="shared" si="3"/>
        <v/>
      </c>
    </row>
    <row r="69" spans="2:28">
      <c r="B69">
        <f>MacReports!B69</f>
        <v>0</v>
      </c>
      <c r="F69" t="str">
        <f>_xlfn.XLOOKUP(B69,MacReports!B:B,MacReports!D:D,"")</f>
        <v/>
      </c>
      <c r="AB69" t="str">
        <f t="shared" si="3"/>
        <v/>
      </c>
    </row>
    <row r="70" spans="2:28">
      <c r="B70">
        <f>MacReports!B70</f>
        <v>0</v>
      </c>
      <c r="F70" t="str">
        <f>_xlfn.XLOOKUP(B70,MacReports!B:B,MacReports!D:D,"")</f>
        <v/>
      </c>
      <c r="AB70" t="str">
        <f t="shared" si="3"/>
        <v/>
      </c>
    </row>
    <row r="71" spans="2:28">
      <c r="B71">
        <f>MacReports!B71</f>
        <v>0</v>
      </c>
      <c r="F71" t="str">
        <f>_xlfn.XLOOKUP(B71,MacReports!B:B,MacReports!D:D,"")</f>
        <v/>
      </c>
      <c r="AB71" t="str">
        <f t="shared" si="3"/>
        <v/>
      </c>
    </row>
    <row r="72" spans="2:28">
      <c r="B72">
        <f>MacReports!B72</f>
        <v>0</v>
      </c>
      <c r="F72" t="str">
        <f>_xlfn.XLOOKUP(B72,MacReports!B:B,MacReports!D:D,"")</f>
        <v/>
      </c>
      <c r="AB72" t="str">
        <f t="shared" si="3"/>
        <v/>
      </c>
    </row>
    <row r="73" spans="2:28">
      <c r="B73">
        <f>MacReports!B73</f>
        <v>0</v>
      </c>
      <c r="F73" t="str">
        <f>_xlfn.XLOOKUP(B73,MacReports!B:B,MacReports!D:D,"")</f>
        <v/>
      </c>
      <c r="AB73" t="str">
        <f t="shared" si="3"/>
        <v/>
      </c>
    </row>
    <row r="74" spans="2:28">
      <c r="B74">
        <f>MacReports!B74</f>
        <v>0</v>
      </c>
      <c r="F74" t="str">
        <f>_xlfn.XLOOKUP(B74,MacReports!B:B,MacReports!D:D,"")</f>
        <v/>
      </c>
      <c r="AB74" t="str">
        <f t="shared" si="3"/>
        <v/>
      </c>
    </row>
    <row r="75" spans="2:28">
      <c r="B75">
        <f>MacReports!B75</f>
        <v>0</v>
      </c>
      <c r="F75" t="str">
        <f>_xlfn.XLOOKUP(B75,MacReports!B:B,MacReports!D:D,"")</f>
        <v/>
      </c>
      <c r="AB75" t="str">
        <f t="shared" si="3"/>
        <v/>
      </c>
    </row>
    <row r="76" spans="2:28">
      <c r="B76">
        <f>MacReports!B76</f>
        <v>0</v>
      </c>
      <c r="F76" t="str">
        <f>_xlfn.XLOOKUP(B76,MacReports!B:B,MacReports!D:D,"")</f>
        <v/>
      </c>
      <c r="AB76" t="str">
        <f t="shared" si="3"/>
        <v/>
      </c>
    </row>
    <row r="77" spans="2:28">
      <c r="B77">
        <f>MacReports!B77</f>
        <v>0</v>
      </c>
      <c r="F77" t="str">
        <f>_xlfn.XLOOKUP(B77,MacReports!B:B,MacReports!D:D,"")</f>
        <v/>
      </c>
      <c r="AB77" t="str">
        <f t="shared" si="3"/>
        <v/>
      </c>
    </row>
    <row r="78" spans="2:28">
      <c r="B78">
        <f>MacReports!B78</f>
        <v>0</v>
      </c>
      <c r="F78" t="str">
        <f>_xlfn.XLOOKUP(B78,MacReports!B:B,MacReports!D:D,"")</f>
        <v/>
      </c>
      <c r="AB78" t="str">
        <f t="shared" si="3"/>
        <v/>
      </c>
    </row>
    <row r="79" spans="2:28">
      <c r="B79">
        <f>MacReports!B79</f>
        <v>0</v>
      </c>
      <c r="F79" t="str">
        <f>_xlfn.XLOOKUP(B79,MacReports!B:B,MacReports!D:D,"")</f>
        <v/>
      </c>
      <c r="AB79" t="str">
        <f t="shared" si="3"/>
        <v/>
      </c>
    </row>
    <row r="80" spans="2:28">
      <c r="B80">
        <f>MacReports!B80</f>
        <v>0</v>
      </c>
      <c r="F80" t="str">
        <f>_xlfn.XLOOKUP(B80,MacReports!B:B,MacReports!D:D,"")</f>
        <v/>
      </c>
      <c r="AB80" t="str">
        <f t="shared" si="3"/>
        <v/>
      </c>
    </row>
    <row r="81" spans="2:28">
      <c r="B81">
        <f>MacReports!B81</f>
        <v>0</v>
      </c>
      <c r="F81" t="str">
        <f>_xlfn.XLOOKUP(B81,MacReports!B:B,MacReports!D:D,"")</f>
        <v/>
      </c>
      <c r="AB81" t="str">
        <f t="shared" si="3"/>
        <v/>
      </c>
    </row>
    <row r="82" spans="2:28">
      <c r="B82">
        <f>MacReports!B82</f>
        <v>0</v>
      </c>
      <c r="F82" t="str">
        <f>_xlfn.XLOOKUP(B82,MacReports!B:B,MacReports!D:D,"")</f>
        <v/>
      </c>
      <c r="AB82" t="str">
        <f t="shared" si="3"/>
        <v/>
      </c>
    </row>
    <row r="83" spans="2:28">
      <c r="B83">
        <f>MacReports!B83</f>
        <v>0</v>
      </c>
      <c r="F83" t="str">
        <f>_xlfn.XLOOKUP(B83,MacReports!B:B,MacReports!D:D,"")</f>
        <v/>
      </c>
      <c r="AB83" t="str">
        <f t="shared" si="3"/>
        <v/>
      </c>
    </row>
    <row r="84" spans="2:28">
      <c r="B84">
        <f>MacReports!B84</f>
        <v>0</v>
      </c>
      <c r="F84" t="str">
        <f>_xlfn.XLOOKUP(B84,MacReports!B:B,MacReports!D:D,"")</f>
        <v/>
      </c>
      <c r="AB84" t="str">
        <f t="shared" si="3"/>
        <v/>
      </c>
    </row>
    <row r="85" spans="2:28">
      <c r="B85">
        <f>MacReports!B85</f>
        <v>0</v>
      </c>
      <c r="F85" t="str">
        <f>_xlfn.XLOOKUP(B85,MacReports!B:B,MacReports!D:D,"")</f>
        <v/>
      </c>
      <c r="AB85" t="str">
        <f t="shared" si="3"/>
        <v/>
      </c>
    </row>
    <row r="86" spans="2:28">
      <c r="B86">
        <f>MacReports!B86</f>
        <v>0</v>
      </c>
      <c r="F86" t="str">
        <f>_xlfn.XLOOKUP(B86,MacReports!B:B,MacReports!D:D,"")</f>
        <v/>
      </c>
      <c r="AB86" t="str">
        <f t="shared" si="3"/>
        <v/>
      </c>
    </row>
    <row r="87" spans="2:28">
      <c r="B87">
        <f>MacReports!B87</f>
        <v>0</v>
      </c>
      <c r="F87" t="str">
        <f>_xlfn.XLOOKUP(B87,MacReports!B:B,MacReports!D:D,"")</f>
        <v/>
      </c>
      <c r="AB87" t="str">
        <f t="shared" si="3"/>
        <v/>
      </c>
    </row>
    <row r="88" spans="2:28">
      <c r="B88">
        <f>MacReports!B88</f>
        <v>0</v>
      </c>
      <c r="F88" t="str">
        <f>_xlfn.XLOOKUP(B88,MacReports!B:B,MacReports!D:D,"")</f>
        <v/>
      </c>
      <c r="AB88" t="str">
        <f t="shared" si="3"/>
        <v/>
      </c>
    </row>
    <row r="89" spans="2:28">
      <c r="B89">
        <f>MacReports!B89</f>
        <v>0</v>
      </c>
      <c r="F89" t="str">
        <f>_xlfn.XLOOKUP(B89,MacReports!B:B,MacReports!D:D,"")</f>
        <v/>
      </c>
      <c r="AB89" t="str">
        <f t="shared" si="3"/>
        <v/>
      </c>
    </row>
    <row r="90" spans="2:28">
      <c r="B90">
        <f>MacReports!B90</f>
        <v>0</v>
      </c>
      <c r="F90" t="str">
        <f>_xlfn.XLOOKUP(B90,MacReports!B:B,MacReports!D:D,"")</f>
        <v/>
      </c>
      <c r="AB90" t="str">
        <f t="shared" si="3"/>
        <v/>
      </c>
    </row>
    <row r="91" spans="2:28">
      <c r="B91">
        <f>MacReports!B91</f>
        <v>0</v>
      </c>
      <c r="F91" t="str">
        <f>_xlfn.XLOOKUP(B91,MacReports!B:B,MacReports!D:D,"")</f>
        <v/>
      </c>
      <c r="AB91" t="str">
        <f t="shared" si="3"/>
        <v/>
      </c>
    </row>
    <row r="92" spans="2:28">
      <c r="B92">
        <f>MacReports!B92</f>
        <v>0</v>
      </c>
      <c r="F92" t="str">
        <f>_xlfn.XLOOKUP(B92,MacReports!B:B,MacReports!D:D,"")</f>
        <v/>
      </c>
      <c r="AB92" t="str">
        <f t="shared" si="3"/>
        <v/>
      </c>
    </row>
    <row r="93" spans="2:28">
      <c r="B93">
        <f>MacReports!B93</f>
        <v>0</v>
      </c>
      <c r="F93" t="str">
        <f>_xlfn.XLOOKUP(B93,MacReports!B:B,MacReports!D:D,"")</f>
        <v/>
      </c>
      <c r="AB93" t="str">
        <f t="shared" si="3"/>
        <v/>
      </c>
    </row>
    <row r="94" spans="2:28">
      <c r="B94">
        <f>MacReports!B94</f>
        <v>0</v>
      </c>
      <c r="F94" t="str">
        <f>_xlfn.XLOOKUP(B94,MacReports!B:B,MacReports!D:D,"")</f>
        <v/>
      </c>
      <c r="AB94" t="str">
        <f t="shared" si="3"/>
        <v/>
      </c>
    </row>
    <row r="95" spans="2:28">
      <c r="B95">
        <f>MacReports!B95</f>
        <v>0</v>
      </c>
      <c r="F95" t="str">
        <f>_xlfn.XLOOKUP(B95,MacReports!B:B,MacReports!D:D,"")</f>
        <v/>
      </c>
      <c r="AB95" t="str">
        <f t="shared" si="3"/>
        <v/>
      </c>
    </row>
    <row r="96" spans="2:28">
      <c r="B96">
        <f>MacReports!B96</f>
        <v>0</v>
      </c>
      <c r="F96" t="str">
        <f>_xlfn.XLOOKUP(B96,MacReports!B:B,MacReports!D:D,"")</f>
        <v/>
      </c>
      <c r="AB96" t="str">
        <f t="shared" si="3"/>
        <v/>
      </c>
    </row>
    <row r="97" spans="2:28">
      <c r="B97">
        <f>MacReports!B97</f>
        <v>0</v>
      </c>
      <c r="F97" t="str">
        <f>_xlfn.XLOOKUP(B97,MacReports!B:B,MacReports!D:D,"")</f>
        <v/>
      </c>
      <c r="AB97" t="str">
        <f t="shared" si="3"/>
        <v/>
      </c>
    </row>
    <row r="98" spans="2:28">
      <c r="B98">
        <f>MacReports!B98</f>
        <v>0</v>
      </c>
      <c r="F98" t="str">
        <f>_xlfn.XLOOKUP(B98,MacReports!B:B,MacReports!D:D,"")</f>
        <v/>
      </c>
      <c r="AB98" t="str">
        <f t="shared" si="3"/>
        <v/>
      </c>
    </row>
    <row r="99" spans="2:28">
      <c r="B99">
        <f>MacReports!B99</f>
        <v>0</v>
      </c>
      <c r="F99" t="str">
        <f>_xlfn.XLOOKUP(B99,MacReports!B:B,MacReports!D:D,"")</f>
        <v/>
      </c>
      <c r="AB99" t="str">
        <f t="shared" si="3"/>
        <v/>
      </c>
    </row>
    <row r="100" spans="2:28">
      <c r="B100">
        <f>MacReports!B100</f>
        <v>0</v>
      </c>
      <c r="F100" t="str">
        <f>_xlfn.XLOOKUP(B100,MacReports!B:B,MacReports!D:D,"")</f>
        <v/>
      </c>
      <c r="AB100" t="str">
        <f t="shared" si="3"/>
        <v/>
      </c>
    </row>
    <row r="101" spans="2:28">
      <c r="B101">
        <f>MacReports!B101</f>
        <v>0</v>
      </c>
      <c r="F101" t="str">
        <f>_xlfn.XLOOKUP(B101,MacReports!B:B,MacReports!D:D,"")</f>
        <v/>
      </c>
      <c r="AB101" t="str">
        <f t="shared" si="3"/>
        <v/>
      </c>
    </row>
    <row r="102" spans="2:28">
      <c r="B102">
        <f>MacReports!B102</f>
        <v>0</v>
      </c>
      <c r="F102" t="str">
        <f>_xlfn.XLOOKUP(B102,MacReports!B:B,MacReports!D:D,"")</f>
        <v/>
      </c>
      <c r="AB102" t="str">
        <f t="shared" si="3"/>
        <v/>
      </c>
    </row>
    <row r="103" spans="2:28">
      <c r="B103">
        <f>MacReports!B103</f>
        <v>0</v>
      </c>
      <c r="F103" t="str">
        <f>_xlfn.XLOOKUP(B103,MacReports!B:B,MacReports!D:D,"")</f>
        <v/>
      </c>
      <c r="AB103" t="str">
        <f t="shared" si="3"/>
        <v/>
      </c>
    </row>
    <row r="104" spans="2:28">
      <c r="B104">
        <f>MacReports!B104</f>
        <v>0</v>
      </c>
      <c r="F104" t="str">
        <f>_xlfn.XLOOKUP(B104,MacReports!B:B,MacReports!D:D,"")</f>
        <v/>
      </c>
      <c r="AB104" t="str">
        <f t="shared" si="3"/>
        <v/>
      </c>
    </row>
    <row r="105" spans="2:28">
      <c r="B105">
        <f>MacReports!B105</f>
        <v>0</v>
      </c>
      <c r="F105" t="str">
        <f>_xlfn.XLOOKUP(B105,MacReports!B:B,MacReports!D:D,"")</f>
        <v/>
      </c>
      <c r="AB105" t="str">
        <f t="shared" si="3"/>
        <v/>
      </c>
    </row>
    <row r="106" spans="2:28">
      <c r="B106">
        <f>MacReports!B106</f>
        <v>0</v>
      </c>
      <c r="F106" t="str">
        <f>_xlfn.XLOOKUP(B106,MacReports!B:B,MacReports!D:D,"")</f>
        <v/>
      </c>
      <c r="AB106" t="str">
        <f t="shared" si="3"/>
        <v/>
      </c>
    </row>
    <row r="107" spans="2:28">
      <c r="B107">
        <f>MacReports!B107</f>
        <v>0</v>
      </c>
      <c r="F107" t="str">
        <f>_xlfn.XLOOKUP(B107,MacReports!B:B,MacReports!D:D,"")</f>
        <v/>
      </c>
      <c r="AB107" t="str">
        <f t="shared" si="3"/>
        <v/>
      </c>
    </row>
    <row r="108" spans="2:28">
      <c r="B108">
        <f>MacReports!B108</f>
        <v>0</v>
      </c>
      <c r="F108" t="str">
        <f>_xlfn.XLOOKUP(B108,MacReports!B:B,MacReports!D:D,"")</f>
        <v/>
      </c>
      <c r="AB108" t="str">
        <f t="shared" si="3"/>
        <v/>
      </c>
    </row>
    <row r="109" spans="2:28">
      <c r="B109">
        <f>MacReports!B109</f>
        <v>0</v>
      </c>
      <c r="F109" t="str">
        <f>_xlfn.XLOOKUP(B109,MacReports!B:B,MacReports!D:D,"")</f>
        <v/>
      </c>
      <c r="AB109" t="str">
        <f t="shared" si="3"/>
        <v/>
      </c>
    </row>
    <row r="110" spans="2:28">
      <c r="B110">
        <f>MacReports!B110</f>
        <v>0</v>
      </c>
      <c r="F110" t="str">
        <f>_xlfn.XLOOKUP(B110,MacReports!B:B,MacReports!D:D,"")</f>
        <v/>
      </c>
      <c r="AB110" t="str">
        <f t="shared" si="3"/>
        <v/>
      </c>
    </row>
    <row r="111" spans="2:28">
      <c r="B111">
        <f>MacReports!B111</f>
        <v>0</v>
      </c>
      <c r="F111" t="str">
        <f>_xlfn.XLOOKUP(B111,MacReports!B:B,MacReports!D:D,"")</f>
        <v/>
      </c>
      <c r="AB111" t="str">
        <f t="shared" si="3"/>
        <v/>
      </c>
    </row>
    <row r="112" spans="2:28">
      <c r="B112">
        <f>MacReports!B112</f>
        <v>0</v>
      </c>
      <c r="F112" t="str">
        <f>_xlfn.XLOOKUP(B112,MacReports!B:B,MacReports!D:D,"")</f>
        <v/>
      </c>
      <c r="AB112" t="str">
        <f t="shared" si="3"/>
        <v/>
      </c>
    </row>
    <row r="113" spans="2:28">
      <c r="B113">
        <f>MacReports!B113</f>
        <v>0</v>
      </c>
      <c r="F113" t="str">
        <f>_xlfn.XLOOKUP(B113,MacReports!B:B,MacReports!D:D,"")</f>
        <v/>
      </c>
      <c r="AB113" t="str">
        <f t="shared" si="3"/>
        <v/>
      </c>
    </row>
    <row r="114" spans="2:28">
      <c r="B114">
        <f>MacReports!B114</f>
        <v>0</v>
      </c>
      <c r="F114" t="str">
        <f>_xlfn.XLOOKUP(B114,MacReports!B:B,MacReports!D:D,"")</f>
        <v/>
      </c>
      <c r="AB114" t="str">
        <f t="shared" si="3"/>
        <v/>
      </c>
    </row>
    <row r="115" spans="2:28">
      <c r="B115">
        <f>MacReports!B115</f>
        <v>0</v>
      </c>
      <c r="F115" t="str">
        <f>_xlfn.XLOOKUP(B115,MacReports!B:B,MacReports!D:D,"")</f>
        <v/>
      </c>
      <c r="AB115" t="str">
        <f t="shared" si="3"/>
        <v/>
      </c>
    </row>
    <row r="116" spans="2:28">
      <c r="B116">
        <f>MacReports!B116</f>
        <v>0</v>
      </c>
      <c r="F116" t="str">
        <f>_xlfn.XLOOKUP(B116,MacReports!B:B,MacReports!D:D,"")</f>
        <v/>
      </c>
      <c r="AB116" t="str">
        <f t="shared" si="3"/>
        <v/>
      </c>
    </row>
    <row r="117" spans="2:28">
      <c r="B117">
        <f>MacReports!B117</f>
        <v>0</v>
      </c>
      <c r="F117" t="str">
        <f>_xlfn.XLOOKUP(B117,MacReports!B:B,MacReports!D:D,"")</f>
        <v/>
      </c>
      <c r="AB117" t="str">
        <f t="shared" si="3"/>
        <v/>
      </c>
    </row>
    <row r="118" spans="2:28">
      <c r="B118">
        <f>MacReports!B118</f>
        <v>0</v>
      </c>
      <c r="F118" t="str">
        <f>_xlfn.XLOOKUP(B118,MacReports!B:B,MacReports!D:D,"")</f>
        <v/>
      </c>
      <c r="AB118" t="str">
        <f t="shared" si="3"/>
        <v/>
      </c>
    </row>
    <row r="119" spans="2:28">
      <c r="B119">
        <f>MacReports!B119</f>
        <v>0</v>
      </c>
      <c r="F119" t="str">
        <f>_xlfn.XLOOKUP(B119,MacReports!B:B,MacReports!D:D,"")</f>
        <v/>
      </c>
      <c r="AB119" t="str">
        <f t="shared" si="3"/>
        <v/>
      </c>
    </row>
    <row r="120" spans="2:28">
      <c r="B120">
        <f>MacReports!B120</f>
        <v>0</v>
      </c>
      <c r="F120" t="str">
        <f>_xlfn.XLOOKUP(B120,MacReports!B:B,MacReports!D:D,"")</f>
        <v/>
      </c>
      <c r="AB120" t="str">
        <f t="shared" si="3"/>
        <v/>
      </c>
    </row>
    <row r="121" spans="2:28">
      <c r="B121">
        <f>MacReports!B121</f>
        <v>0</v>
      </c>
      <c r="F121" t="str">
        <f>_xlfn.XLOOKUP(B121,MacReports!B:B,MacReports!D:D,"")</f>
        <v/>
      </c>
      <c r="AB121" t="str">
        <f t="shared" si="3"/>
        <v/>
      </c>
    </row>
    <row r="122" spans="2:28">
      <c r="B122">
        <f>MacReports!B122</f>
        <v>0</v>
      </c>
      <c r="F122" t="str">
        <f>_xlfn.XLOOKUP(B122,MacReports!B:B,MacReports!D:D,"")</f>
        <v/>
      </c>
      <c r="AB122" t="str">
        <f t="shared" si="3"/>
        <v/>
      </c>
    </row>
    <row r="123" spans="2:28">
      <c r="B123">
        <f>MacReports!B123</f>
        <v>0</v>
      </c>
      <c r="F123" t="str">
        <f>_xlfn.XLOOKUP(B123,MacReports!B:B,MacReports!D:D,"")</f>
        <v/>
      </c>
      <c r="AB123" t="str">
        <f t="shared" si="3"/>
        <v/>
      </c>
    </row>
    <row r="124" spans="2:28">
      <c r="B124">
        <f>MacReports!B124</f>
        <v>0</v>
      </c>
      <c r="F124" t="str">
        <f>_xlfn.XLOOKUP(B124,MacReports!B:B,MacReports!D:D,"")</f>
        <v/>
      </c>
      <c r="AB124" t="str">
        <f t="shared" si="3"/>
        <v/>
      </c>
    </row>
    <row r="125" spans="2:28">
      <c r="B125">
        <f>MacReports!B125</f>
        <v>0</v>
      </c>
      <c r="F125" t="str">
        <f>_xlfn.XLOOKUP(B125,MacReports!B:B,MacReports!D:D,"")</f>
        <v/>
      </c>
      <c r="AB125" t="str">
        <f t="shared" si="3"/>
        <v/>
      </c>
    </row>
    <row r="126" spans="2:28">
      <c r="B126">
        <f>MacReports!B126</f>
        <v>0</v>
      </c>
      <c r="F126" t="str">
        <f>_xlfn.XLOOKUP(B126,MacReports!B:B,MacReports!D:D,"")</f>
        <v/>
      </c>
      <c r="AB126" t="str">
        <f t="shared" si="3"/>
        <v/>
      </c>
    </row>
    <row r="127" spans="2:28">
      <c r="B127">
        <f>MacReports!B127</f>
        <v>0</v>
      </c>
      <c r="F127" t="str">
        <f>_xlfn.XLOOKUP(B127,MacReports!B:B,MacReports!D:D,"")</f>
        <v/>
      </c>
      <c r="AB127" t="str">
        <f t="shared" si="3"/>
        <v/>
      </c>
    </row>
    <row r="128" spans="2:28">
      <c r="B128">
        <f>MacReports!B128</f>
        <v>0</v>
      </c>
      <c r="F128" t="str">
        <f>_xlfn.XLOOKUP(B128,MacReports!B:B,MacReports!D:D,"")</f>
        <v/>
      </c>
      <c r="AB128" t="str">
        <f t="shared" si="3"/>
        <v/>
      </c>
    </row>
    <row r="129" spans="2:28">
      <c r="B129">
        <f>MacReports!B129</f>
        <v>0</v>
      </c>
      <c r="F129" t="str">
        <f>_xlfn.XLOOKUP(B129,MacReports!B:B,MacReports!D:D,"")</f>
        <v/>
      </c>
      <c r="AB129" t="str">
        <f t="shared" si="3"/>
        <v/>
      </c>
    </row>
    <row r="130" spans="2:28">
      <c r="B130">
        <f>MacReports!B130</f>
        <v>0</v>
      </c>
      <c r="F130" t="str">
        <f>_xlfn.XLOOKUP(B130,MacReports!B:B,MacReports!D:D,"")</f>
        <v/>
      </c>
      <c r="AB130" t="str">
        <f t="shared" si="3"/>
        <v/>
      </c>
    </row>
    <row r="131" spans="2:28">
      <c r="B131">
        <f>MacReports!B131</f>
        <v>0</v>
      </c>
      <c r="F131" t="str">
        <f>_xlfn.XLOOKUP(B131,MacReports!B:B,MacReports!D:D,"")</f>
        <v/>
      </c>
      <c r="AB131" t="str">
        <f t="shared" ref="AB131:AB194" si="4">_xlfn.TEXTJOIN(", ",TRUE,Q131,R131)</f>
        <v/>
      </c>
    </row>
    <row r="132" spans="2:28">
      <c r="B132">
        <f>MacReports!B132</f>
        <v>0</v>
      </c>
      <c r="F132" t="str">
        <f>_xlfn.XLOOKUP(B132,MacReports!B:B,MacReports!D:D,"")</f>
        <v/>
      </c>
      <c r="AB132" t="str">
        <f t="shared" si="4"/>
        <v/>
      </c>
    </row>
    <row r="133" spans="2:28">
      <c r="B133">
        <f>MacReports!B133</f>
        <v>0</v>
      </c>
      <c r="F133" t="str">
        <f>_xlfn.XLOOKUP(B133,MacReports!B:B,MacReports!D:D,"")</f>
        <v/>
      </c>
      <c r="AB133" t="str">
        <f t="shared" si="4"/>
        <v/>
      </c>
    </row>
    <row r="134" spans="2:28">
      <c r="B134">
        <f>MacReports!B134</f>
        <v>0</v>
      </c>
      <c r="F134" t="str">
        <f>_xlfn.XLOOKUP(B134,MacReports!B:B,MacReports!D:D,"")</f>
        <v/>
      </c>
      <c r="AB134" t="str">
        <f t="shared" si="4"/>
        <v/>
      </c>
    </row>
    <row r="135" spans="2:28">
      <c r="B135">
        <f>MacReports!B135</f>
        <v>0</v>
      </c>
      <c r="F135" t="str">
        <f>_xlfn.XLOOKUP(B135,MacReports!B:B,MacReports!D:D,"")</f>
        <v/>
      </c>
      <c r="AB135" t="str">
        <f t="shared" si="4"/>
        <v/>
      </c>
    </row>
    <row r="136" spans="2:28">
      <c r="B136">
        <f>MacReports!B136</f>
        <v>0</v>
      </c>
      <c r="F136" t="str">
        <f>_xlfn.XLOOKUP(B136,MacReports!B:B,MacReports!D:D,"")</f>
        <v/>
      </c>
      <c r="AB136" t="str">
        <f t="shared" si="4"/>
        <v/>
      </c>
    </row>
    <row r="137" spans="2:28">
      <c r="B137">
        <f>MacReports!B137</f>
        <v>0</v>
      </c>
      <c r="F137" t="str">
        <f>_xlfn.XLOOKUP(B137,MacReports!B:B,MacReports!D:D,"")</f>
        <v/>
      </c>
      <c r="AB137" t="str">
        <f t="shared" si="4"/>
        <v/>
      </c>
    </row>
    <row r="138" spans="2:28">
      <c r="B138">
        <f>MacReports!B138</f>
        <v>0</v>
      </c>
      <c r="F138" t="str">
        <f>_xlfn.XLOOKUP(B138,MacReports!B:B,MacReports!D:D,"")</f>
        <v/>
      </c>
      <c r="AB138" t="str">
        <f t="shared" si="4"/>
        <v/>
      </c>
    </row>
    <row r="139" spans="2:28">
      <c r="B139">
        <f>MacReports!B139</f>
        <v>0</v>
      </c>
      <c r="F139" t="str">
        <f>_xlfn.XLOOKUP(B139,MacReports!B:B,MacReports!D:D,"")</f>
        <v/>
      </c>
      <c r="AB139" t="str">
        <f t="shared" si="4"/>
        <v/>
      </c>
    </row>
    <row r="140" spans="2:28">
      <c r="B140">
        <f>MacReports!B140</f>
        <v>0</v>
      </c>
      <c r="F140" t="str">
        <f>_xlfn.XLOOKUP(B140,MacReports!B:B,MacReports!D:D,"")</f>
        <v/>
      </c>
      <c r="AB140" t="str">
        <f t="shared" si="4"/>
        <v/>
      </c>
    </row>
    <row r="141" spans="2:28">
      <c r="B141">
        <f>MacReports!B141</f>
        <v>0</v>
      </c>
      <c r="F141" t="str">
        <f>_xlfn.XLOOKUP(B141,MacReports!B:B,MacReports!D:D,"")</f>
        <v/>
      </c>
      <c r="AB141" t="str">
        <f t="shared" si="4"/>
        <v/>
      </c>
    </row>
    <row r="142" spans="2:28">
      <c r="B142">
        <f>MacReports!B142</f>
        <v>0</v>
      </c>
      <c r="F142" t="str">
        <f>_xlfn.XLOOKUP(B142,MacReports!B:B,MacReports!D:D,"")</f>
        <v/>
      </c>
      <c r="AB142" t="str">
        <f t="shared" si="4"/>
        <v/>
      </c>
    </row>
    <row r="143" spans="2:28">
      <c r="B143">
        <f>MacReports!B143</f>
        <v>0</v>
      </c>
      <c r="F143" t="str">
        <f>_xlfn.XLOOKUP(B143,MacReports!B:B,MacReports!D:D,"")</f>
        <v/>
      </c>
      <c r="AB143" t="str">
        <f t="shared" si="4"/>
        <v/>
      </c>
    </row>
    <row r="144" spans="2:28">
      <c r="B144">
        <f>MacReports!B144</f>
        <v>0</v>
      </c>
      <c r="F144" t="str">
        <f>_xlfn.XLOOKUP(B144,MacReports!B:B,MacReports!D:D,"")</f>
        <v/>
      </c>
      <c r="AB144" t="str">
        <f t="shared" si="4"/>
        <v/>
      </c>
    </row>
    <row r="145" spans="2:28">
      <c r="B145">
        <f>MacReports!B145</f>
        <v>0</v>
      </c>
      <c r="F145" t="str">
        <f>_xlfn.XLOOKUP(B145,MacReports!B:B,MacReports!D:D,"")</f>
        <v/>
      </c>
      <c r="AB145" t="str">
        <f t="shared" si="4"/>
        <v/>
      </c>
    </row>
    <row r="146" spans="2:28">
      <c r="B146">
        <f>MacReports!B146</f>
        <v>0</v>
      </c>
      <c r="F146" t="str">
        <f>_xlfn.XLOOKUP(B146,MacReports!B:B,MacReports!D:D,"")</f>
        <v/>
      </c>
      <c r="AB146" t="str">
        <f t="shared" si="4"/>
        <v/>
      </c>
    </row>
    <row r="147" spans="2:28">
      <c r="B147">
        <f>MacReports!B147</f>
        <v>0</v>
      </c>
      <c r="F147" t="str">
        <f>_xlfn.XLOOKUP(B147,MacReports!B:B,MacReports!D:D,"")</f>
        <v/>
      </c>
      <c r="AB147" t="str">
        <f t="shared" si="4"/>
        <v/>
      </c>
    </row>
    <row r="148" spans="2:28">
      <c r="B148">
        <f>MacReports!B148</f>
        <v>0</v>
      </c>
      <c r="F148" t="str">
        <f>_xlfn.XLOOKUP(B148,MacReports!B:B,MacReports!D:D,"")</f>
        <v/>
      </c>
      <c r="AB148" t="str">
        <f t="shared" si="4"/>
        <v/>
      </c>
    </row>
    <row r="149" spans="2:28">
      <c r="B149">
        <f>MacReports!B149</f>
        <v>0</v>
      </c>
      <c r="F149" t="str">
        <f>_xlfn.XLOOKUP(B149,MacReports!B:B,MacReports!D:D,"")</f>
        <v/>
      </c>
      <c r="AB149" t="str">
        <f t="shared" si="4"/>
        <v/>
      </c>
    </row>
    <row r="150" spans="2:28">
      <c r="B150">
        <f>MacReports!B150</f>
        <v>0</v>
      </c>
      <c r="F150" t="str">
        <f>_xlfn.XLOOKUP(B150,MacReports!B:B,MacReports!D:D,"")</f>
        <v/>
      </c>
      <c r="AB150" t="str">
        <f t="shared" si="4"/>
        <v/>
      </c>
    </row>
    <row r="151" spans="2:28">
      <c r="B151">
        <f>MacReports!B151</f>
        <v>0</v>
      </c>
      <c r="F151" t="str">
        <f>_xlfn.XLOOKUP(B151,MacReports!B:B,MacReports!D:D,"")</f>
        <v/>
      </c>
      <c r="AB151" t="str">
        <f t="shared" si="4"/>
        <v/>
      </c>
    </row>
    <row r="152" spans="2:28">
      <c r="B152">
        <f>MacReports!B152</f>
        <v>0</v>
      </c>
      <c r="F152" t="str">
        <f>_xlfn.XLOOKUP(B152,MacReports!B:B,MacReports!D:D,"")</f>
        <v/>
      </c>
      <c r="AB152" t="str">
        <f t="shared" si="4"/>
        <v/>
      </c>
    </row>
    <row r="153" spans="2:28">
      <c r="B153">
        <f>MacReports!B153</f>
        <v>0</v>
      </c>
      <c r="F153" t="str">
        <f>_xlfn.XLOOKUP(B153,MacReports!B:B,MacReports!D:D,"")</f>
        <v/>
      </c>
      <c r="AB153" t="str">
        <f t="shared" si="4"/>
        <v/>
      </c>
    </row>
    <row r="154" spans="2:28">
      <c r="B154">
        <f>MacReports!B154</f>
        <v>0</v>
      </c>
      <c r="F154" t="str">
        <f>_xlfn.XLOOKUP(B154,MacReports!B:B,MacReports!D:D,"")</f>
        <v/>
      </c>
      <c r="AB154" t="str">
        <f t="shared" si="4"/>
        <v/>
      </c>
    </row>
    <row r="155" spans="2:28">
      <c r="B155">
        <f>MacReports!B155</f>
        <v>0</v>
      </c>
      <c r="F155" t="str">
        <f>_xlfn.XLOOKUP(B155,MacReports!B:B,MacReports!D:D,"")</f>
        <v/>
      </c>
      <c r="AB155" t="str">
        <f t="shared" si="4"/>
        <v/>
      </c>
    </row>
    <row r="156" spans="2:28">
      <c r="B156">
        <f>MacReports!B156</f>
        <v>0</v>
      </c>
      <c r="F156" t="str">
        <f>_xlfn.XLOOKUP(B156,MacReports!B:B,MacReports!D:D,"")</f>
        <v/>
      </c>
      <c r="AB156" t="str">
        <f t="shared" si="4"/>
        <v/>
      </c>
    </row>
    <row r="157" spans="2:28">
      <c r="B157">
        <f>MacReports!B157</f>
        <v>0</v>
      </c>
      <c r="F157" t="str">
        <f>_xlfn.XLOOKUP(B157,MacReports!B:B,MacReports!D:D,"")</f>
        <v/>
      </c>
      <c r="AB157" t="str">
        <f t="shared" si="4"/>
        <v/>
      </c>
    </row>
    <row r="158" spans="2:28">
      <c r="B158">
        <f>MacReports!B158</f>
        <v>0</v>
      </c>
      <c r="F158" t="str">
        <f>_xlfn.XLOOKUP(B158,MacReports!B:B,MacReports!D:D,"")</f>
        <v/>
      </c>
      <c r="AB158" t="str">
        <f t="shared" si="4"/>
        <v/>
      </c>
    </row>
    <row r="159" spans="2:28">
      <c r="B159">
        <f>MacReports!B159</f>
        <v>0</v>
      </c>
      <c r="F159" t="str">
        <f>_xlfn.XLOOKUP(B159,MacReports!B:B,MacReports!D:D,"")</f>
        <v/>
      </c>
      <c r="AB159" t="str">
        <f t="shared" si="4"/>
        <v/>
      </c>
    </row>
    <row r="160" spans="2:28">
      <c r="B160">
        <f>MacReports!B160</f>
        <v>0</v>
      </c>
      <c r="F160" t="str">
        <f>_xlfn.XLOOKUP(B160,MacReports!B:B,MacReports!D:D,"")</f>
        <v/>
      </c>
      <c r="AB160" t="str">
        <f t="shared" si="4"/>
        <v/>
      </c>
    </row>
    <row r="161" spans="2:28">
      <c r="B161">
        <f>MacReports!B161</f>
        <v>0</v>
      </c>
      <c r="F161" t="str">
        <f>_xlfn.XLOOKUP(B161,MacReports!B:B,MacReports!D:D,"")</f>
        <v/>
      </c>
      <c r="AB161" t="str">
        <f t="shared" si="4"/>
        <v/>
      </c>
    </row>
    <row r="162" spans="2:28">
      <c r="B162">
        <f>MacReports!B162</f>
        <v>0</v>
      </c>
      <c r="F162" t="str">
        <f>_xlfn.XLOOKUP(B162,MacReports!B:B,MacReports!D:D,"")</f>
        <v/>
      </c>
      <c r="AB162" t="str">
        <f t="shared" si="4"/>
        <v/>
      </c>
    </row>
    <row r="163" spans="2:28">
      <c r="B163">
        <f>MacReports!B163</f>
        <v>0</v>
      </c>
      <c r="F163" t="str">
        <f>_xlfn.XLOOKUP(B163,MacReports!B:B,MacReports!D:D,"")</f>
        <v/>
      </c>
      <c r="AB163" t="str">
        <f t="shared" si="4"/>
        <v/>
      </c>
    </row>
    <row r="164" spans="2:28">
      <c r="B164">
        <f>MacReports!B164</f>
        <v>0</v>
      </c>
      <c r="F164" t="str">
        <f>_xlfn.XLOOKUP(B164,MacReports!B:B,MacReports!D:D,"")</f>
        <v/>
      </c>
      <c r="AB164" t="str">
        <f t="shared" si="4"/>
        <v/>
      </c>
    </row>
    <row r="165" spans="2:28">
      <c r="B165">
        <f>MacReports!B165</f>
        <v>0</v>
      </c>
      <c r="F165" t="str">
        <f>_xlfn.XLOOKUP(B165,MacReports!B:B,MacReports!D:D,"")</f>
        <v/>
      </c>
      <c r="AB165" t="str">
        <f t="shared" si="4"/>
        <v/>
      </c>
    </row>
    <row r="166" spans="2:28">
      <c r="B166">
        <f>MacReports!B166</f>
        <v>0</v>
      </c>
      <c r="F166" t="str">
        <f>_xlfn.XLOOKUP(B166,MacReports!B:B,MacReports!D:D,"")</f>
        <v/>
      </c>
      <c r="AB166" t="str">
        <f t="shared" si="4"/>
        <v/>
      </c>
    </row>
    <row r="167" spans="2:28">
      <c r="B167">
        <f>MacReports!B167</f>
        <v>0</v>
      </c>
      <c r="F167" t="str">
        <f>_xlfn.XLOOKUP(B167,MacReports!B:B,MacReports!D:D,"")</f>
        <v/>
      </c>
      <c r="AB167" t="str">
        <f t="shared" si="4"/>
        <v/>
      </c>
    </row>
    <row r="168" spans="2:28">
      <c r="B168">
        <f>MacReports!B168</f>
        <v>0</v>
      </c>
      <c r="F168" t="str">
        <f>_xlfn.XLOOKUP(B168,MacReports!B:B,MacReports!D:D,"")</f>
        <v/>
      </c>
      <c r="AB168" t="str">
        <f t="shared" si="4"/>
        <v/>
      </c>
    </row>
    <row r="169" spans="2:28">
      <c r="B169">
        <f>MacReports!B169</f>
        <v>0</v>
      </c>
      <c r="F169" t="str">
        <f>_xlfn.XLOOKUP(B169,MacReports!B:B,MacReports!D:D,"")</f>
        <v/>
      </c>
      <c r="AB169" t="str">
        <f t="shared" si="4"/>
        <v/>
      </c>
    </row>
    <row r="170" spans="2:28">
      <c r="B170">
        <f>MacReports!B170</f>
        <v>0</v>
      </c>
      <c r="F170" t="str">
        <f>_xlfn.XLOOKUP(B170,MacReports!B:B,MacReports!D:D,"")</f>
        <v/>
      </c>
      <c r="AB170" t="str">
        <f t="shared" si="4"/>
        <v/>
      </c>
    </row>
    <row r="171" spans="2:28">
      <c r="B171">
        <f>MacReports!B171</f>
        <v>0</v>
      </c>
      <c r="F171" t="str">
        <f>_xlfn.XLOOKUP(B171,MacReports!B:B,MacReports!D:D,"")</f>
        <v/>
      </c>
      <c r="AB171" t="str">
        <f t="shared" si="4"/>
        <v/>
      </c>
    </row>
    <row r="172" spans="2:28">
      <c r="B172">
        <f>MacReports!B172</f>
        <v>0</v>
      </c>
      <c r="F172" t="str">
        <f>_xlfn.XLOOKUP(B172,MacReports!B:B,MacReports!D:D,"")</f>
        <v/>
      </c>
      <c r="AB172" t="str">
        <f t="shared" si="4"/>
        <v/>
      </c>
    </row>
    <row r="173" spans="2:28">
      <c r="B173">
        <f>MacReports!B173</f>
        <v>0</v>
      </c>
      <c r="F173" t="str">
        <f>_xlfn.XLOOKUP(B173,MacReports!B:B,MacReports!D:D,"")</f>
        <v/>
      </c>
      <c r="AB173" t="str">
        <f t="shared" si="4"/>
        <v/>
      </c>
    </row>
    <row r="174" spans="2:28">
      <c r="B174">
        <f>MacReports!B174</f>
        <v>0</v>
      </c>
      <c r="F174" t="str">
        <f>_xlfn.XLOOKUP(B174,MacReports!B:B,MacReports!D:D,"")</f>
        <v/>
      </c>
      <c r="AB174" t="str">
        <f t="shared" si="4"/>
        <v/>
      </c>
    </row>
    <row r="175" spans="2:28">
      <c r="B175">
        <f>MacReports!B175</f>
        <v>0</v>
      </c>
      <c r="F175" t="str">
        <f>_xlfn.XLOOKUP(B175,MacReports!B:B,MacReports!D:D,"")</f>
        <v/>
      </c>
      <c r="AB175" t="str">
        <f t="shared" si="4"/>
        <v/>
      </c>
    </row>
    <row r="176" spans="2:28">
      <c r="B176">
        <f>MacReports!B176</f>
        <v>0</v>
      </c>
      <c r="F176" t="str">
        <f>_xlfn.XLOOKUP(B176,MacReports!B:B,MacReports!D:D,"")</f>
        <v/>
      </c>
      <c r="AB176" t="str">
        <f t="shared" si="4"/>
        <v/>
      </c>
    </row>
    <row r="177" spans="2:28">
      <c r="B177">
        <f>MacReports!B177</f>
        <v>0</v>
      </c>
      <c r="F177" t="str">
        <f>_xlfn.XLOOKUP(B177,MacReports!B:B,MacReports!D:D,"")</f>
        <v/>
      </c>
      <c r="AB177" t="str">
        <f t="shared" si="4"/>
        <v/>
      </c>
    </row>
    <row r="178" spans="2:28">
      <c r="B178">
        <f>MacReports!B178</f>
        <v>0</v>
      </c>
      <c r="F178" t="str">
        <f>_xlfn.XLOOKUP(B178,MacReports!B:B,MacReports!D:D,"")</f>
        <v/>
      </c>
      <c r="AB178" t="str">
        <f t="shared" si="4"/>
        <v/>
      </c>
    </row>
    <row r="179" spans="2:28">
      <c r="B179">
        <f>MacReports!B179</f>
        <v>0</v>
      </c>
      <c r="F179" t="str">
        <f>_xlfn.XLOOKUP(B179,MacReports!B:B,MacReports!D:D,"")</f>
        <v/>
      </c>
      <c r="AB179" t="str">
        <f t="shared" si="4"/>
        <v/>
      </c>
    </row>
    <row r="180" spans="2:28">
      <c r="B180">
        <f>MacReports!B180</f>
        <v>0</v>
      </c>
      <c r="F180" t="str">
        <f>_xlfn.XLOOKUP(B180,MacReports!B:B,MacReports!D:D,"")</f>
        <v/>
      </c>
      <c r="AB180" t="str">
        <f t="shared" si="4"/>
        <v/>
      </c>
    </row>
    <row r="181" spans="2:28">
      <c r="B181">
        <f>MacReports!B181</f>
        <v>0</v>
      </c>
      <c r="F181" t="str">
        <f>_xlfn.XLOOKUP(B181,MacReports!B:B,MacReports!D:D,"")</f>
        <v/>
      </c>
      <c r="AB181" t="str">
        <f t="shared" si="4"/>
        <v/>
      </c>
    </row>
    <row r="182" spans="2:28">
      <c r="B182">
        <f>MacReports!B182</f>
        <v>0</v>
      </c>
      <c r="F182" t="str">
        <f>_xlfn.XLOOKUP(B182,MacReports!B:B,MacReports!D:D,"")</f>
        <v/>
      </c>
      <c r="AB182" t="str">
        <f t="shared" si="4"/>
        <v/>
      </c>
    </row>
    <row r="183" spans="2:28">
      <c r="B183">
        <f>MacReports!B183</f>
        <v>0</v>
      </c>
      <c r="F183" t="str">
        <f>_xlfn.XLOOKUP(B183,MacReports!B:B,MacReports!D:D,"")</f>
        <v/>
      </c>
      <c r="AB183" t="str">
        <f t="shared" si="4"/>
        <v/>
      </c>
    </row>
    <row r="184" spans="2:28">
      <c r="B184">
        <f>MacReports!B184</f>
        <v>0</v>
      </c>
      <c r="F184" t="str">
        <f>_xlfn.XLOOKUP(B184,MacReports!B:B,MacReports!D:D,"")</f>
        <v/>
      </c>
      <c r="AB184" t="str">
        <f t="shared" si="4"/>
        <v/>
      </c>
    </row>
    <row r="185" spans="2:28">
      <c r="B185">
        <f>MacReports!B185</f>
        <v>0</v>
      </c>
      <c r="F185" t="str">
        <f>_xlfn.XLOOKUP(B185,MacReports!B:B,MacReports!D:D,"")</f>
        <v/>
      </c>
      <c r="AB185" t="str">
        <f t="shared" si="4"/>
        <v/>
      </c>
    </row>
    <row r="186" spans="2:28">
      <c r="B186">
        <f>MacReports!B186</f>
        <v>0</v>
      </c>
      <c r="F186" t="str">
        <f>_xlfn.XLOOKUP(B186,MacReports!B:B,MacReports!D:D,"")</f>
        <v/>
      </c>
      <c r="AB186" t="str">
        <f t="shared" si="4"/>
        <v/>
      </c>
    </row>
    <row r="187" spans="2:28">
      <c r="B187">
        <f>MacReports!B187</f>
        <v>0</v>
      </c>
      <c r="F187" t="str">
        <f>_xlfn.XLOOKUP(B187,MacReports!B:B,MacReports!D:D,"")</f>
        <v/>
      </c>
      <c r="AB187" t="str">
        <f t="shared" si="4"/>
        <v/>
      </c>
    </row>
    <row r="188" spans="2:28">
      <c r="B188">
        <f>MacReports!B188</f>
        <v>0</v>
      </c>
      <c r="F188" t="str">
        <f>_xlfn.XLOOKUP(B188,MacReports!B:B,MacReports!D:D,"")</f>
        <v/>
      </c>
      <c r="AB188" t="str">
        <f t="shared" si="4"/>
        <v/>
      </c>
    </row>
    <row r="189" spans="2:28">
      <c r="B189">
        <f>MacReports!B189</f>
        <v>0</v>
      </c>
      <c r="F189" t="str">
        <f>_xlfn.XLOOKUP(B189,MacReports!B:B,MacReports!D:D,"")</f>
        <v/>
      </c>
      <c r="AB189" t="str">
        <f t="shared" si="4"/>
        <v/>
      </c>
    </row>
    <row r="190" spans="2:28">
      <c r="B190">
        <f>MacReports!B190</f>
        <v>0</v>
      </c>
      <c r="F190" t="str">
        <f>_xlfn.XLOOKUP(B190,MacReports!B:B,MacReports!D:D,"")</f>
        <v/>
      </c>
      <c r="AB190" t="str">
        <f t="shared" si="4"/>
        <v/>
      </c>
    </row>
    <row r="191" spans="2:28">
      <c r="B191">
        <f>MacReports!B191</f>
        <v>0</v>
      </c>
      <c r="F191" t="str">
        <f>_xlfn.XLOOKUP(B191,MacReports!B:B,MacReports!D:D,"")</f>
        <v/>
      </c>
      <c r="AB191" t="str">
        <f t="shared" si="4"/>
        <v/>
      </c>
    </row>
    <row r="192" spans="2:28">
      <c r="B192">
        <f>MacReports!B192</f>
        <v>0</v>
      </c>
      <c r="F192" t="str">
        <f>_xlfn.XLOOKUP(B192,MacReports!B:B,MacReports!D:D,"")</f>
        <v/>
      </c>
      <c r="AB192" t="str">
        <f t="shared" si="4"/>
        <v/>
      </c>
    </row>
    <row r="193" spans="2:28">
      <c r="B193">
        <f>MacReports!B193</f>
        <v>0</v>
      </c>
      <c r="F193" t="str">
        <f>_xlfn.XLOOKUP(B193,MacReports!B:B,MacReports!D:D,"")</f>
        <v/>
      </c>
      <c r="AB193" t="str">
        <f t="shared" si="4"/>
        <v/>
      </c>
    </row>
    <row r="194" spans="2:28">
      <c r="B194">
        <f>MacReports!B194</f>
        <v>0</v>
      </c>
      <c r="F194" t="str">
        <f>_xlfn.XLOOKUP(B194,MacReports!B:B,MacReports!D:D,"")</f>
        <v/>
      </c>
      <c r="AB194" t="str">
        <f t="shared" si="4"/>
        <v/>
      </c>
    </row>
    <row r="195" spans="2:28">
      <c r="B195">
        <f>MacReports!B195</f>
        <v>0</v>
      </c>
      <c r="F195" t="str">
        <f>_xlfn.XLOOKUP(B195,MacReports!B:B,MacReports!D:D,"")</f>
        <v/>
      </c>
      <c r="AB195" t="str">
        <f t="shared" ref="AB195:AB258" si="5">_xlfn.TEXTJOIN(", ",TRUE,Q195,R195)</f>
        <v/>
      </c>
    </row>
    <row r="196" spans="2:28">
      <c r="B196">
        <f>MacReports!B196</f>
        <v>0</v>
      </c>
      <c r="F196" t="str">
        <f>_xlfn.XLOOKUP(B196,MacReports!B:B,MacReports!D:D,"")</f>
        <v/>
      </c>
      <c r="AB196" t="str">
        <f t="shared" si="5"/>
        <v/>
      </c>
    </row>
    <row r="197" spans="2:28">
      <c r="B197">
        <f>MacReports!B197</f>
        <v>0</v>
      </c>
      <c r="F197" t="str">
        <f>_xlfn.XLOOKUP(B197,MacReports!B:B,MacReports!D:D,"")</f>
        <v/>
      </c>
      <c r="AB197" t="str">
        <f t="shared" si="5"/>
        <v/>
      </c>
    </row>
    <row r="198" spans="2:28">
      <c r="B198">
        <f>MacReports!B198</f>
        <v>0</v>
      </c>
      <c r="F198" t="str">
        <f>_xlfn.XLOOKUP(B198,MacReports!B:B,MacReports!D:D,"")</f>
        <v/>
      </c>
      <c r="AB198" t="str">
        <f t="shared" si="5"/>
        <v/>
      </c>
    </row>
    <row r="199" spans="2:28">
      <c r="B199">
        <f>MacReports!B199</f>
        <v>0</v>
      </c>
      <c r="F199" t="str">
        <f>_xlfn.XLOOKUP(B199,MacReports!B:B,MacReports!D:D,"")</f>
        <v/>
      </c>
      <c r="AB199" t="str">
        <f t="shared" si="5"/>
        <v/>
      </c>
    </row>
    <row r="200" spans="2:28">
      <c r="B200">
        <f>MacReports!B200</f>
        <v>0</v>
      </c>
      <c r="F200" t="str">
        <f>_xlfn.XLOOKUP(B200,MacReports!B:B,MacReports!D:D,"")</f>
        <v/>
      </c>
      <c r="AB200" t="str">
        <f t="shared" si="5"/>
        <v/>
      </c>
    </row>
    <row r="201" spans="2:28">
      <c r="B201">
        <f>MacReports!B201</f>
        <v>0</v>
      </c>
      <c r="F201" t="str">
        <f>_xlfn.XLOOKUP(B201,MacReports!B:B,MacReports!D:D,"")</f>
        <v/>
      </c>
      <c r="AB201" t="str">
        <f t="shared" si="5"/>
        <v/>
      </c>
    </row>
    <row r="202" spans="2:28">
      <c r="B202">
        <f>MacReports!B202</f>
        <v>0</v>
      </c>
      <c r="F202" t="str">
        <f>_xlfn.XLOOKUP(B202,MacReports!B:B,MacReports!D:D,"")</f>
        <v/>
      </c>
      <c r="AB202" t="str">
        <f t="shared" si="5"/>
        <v/>
      </c>
    </row>
    <row r="203" spans="2:28">
      <c r="B203">
        <f>MacReports!B203</f>
        <v>0</v>
      </c>
      <c r="F203" t="str">
        <f>_xlfn.XLOOKUP(B203,MacReports!B:B,MacReports!D:D,"")</f>
        <v/>
      </c>
      <c r="AB203" t="str">
        <f t="shared" si="5"/>
        <v/>
      </c>
    </row>
    <row r="204" spans="2:28">
      <c r="B204">
        <f>MacReports!B204</f>
        <v>0</v>
      </c>
      <c r="F204" t="str">
        <f>_xlfn.XLOOKUP(B204,MacReports!B:B,MacReports!D:D,"")</f>
        <v/>
      </c>
      <c r="AB204" t="str">
        <f t="shared" si="5"/>
        <v/>
      </c>
    </row>
    <row r="205" spans="2:28">
      <c r="B205">
        <f>MacReports!B205</f>
        <v>0</v>
      </c>
      <c r="F205" t="str">
        <f>_xlfn.XLOOKUP(B205,MacReports!B:B,MacReports!D:D,"")</f>
        <v/>
      </c>
      <c r="AB205" t="str">
        <f t="shared" si="5"/>
        <v/>
      </c>
    </row>
    <row r="206" spans="2:28">
      <c r="B206">
        <f>MacReports!B206</f>
        <v>0</v>
      </c>
      <c r="F206" t="str">
        <f>_xlfn.XLOOKUP(B206,MacReports!B:B,MacReports!D:D,"")</f>
        <v/>
      </c>
      <c r="AB206" t="str">
        <f t="shared" si="5"/>
        <v/>
      </c>
    </row>
    <row r="207" spans="2:28">
      <c r="B207">
        <f>MacReports!B207</f>
        <v>0</v>
      </c>
      <c r="F207" t="str">
        <f>_xlfn.XLOOKUP(B207,MacReports!B:B,MacReports!D:D,"")</f>
        <v/>
      </c>
      <c r="AB207" t="str">
        <f t="shared" si="5"/>
        <v/>
      </c>
    </row>
    <row r="208" spans="2:28">
      <c r="B208">
        <f>MacReports!B208</f>
        <v>0</v>
      </c>
      <c r="F208" t="str">
        <f>_xlfn.XLOOKUP(B208,MacReports!B:B,MacReports!D:D,"")</f>
        <v/>
      </c>
      <c r="AB208" t="str">
        <f t="shared" si="5"/>
        <v/>
      </c>
    </row>
    <row r="209" spans="2:28">
      <c r="B209">
        <f>MacReports!B209</f>
        <v>0</v>
      </c>
      <c r="F209" t="str">
        <f>_xlfn.XLOOKUP(B209,MacReports!B:B,MacReports!D:D,"")</f>
        <v/>
      </c>
      <c r="AB209" t="str">
        <f t="shared" si="5"/>
        <v/>
      </c>
    </row>
    <row r="210" spans="2:28">
      <c r="B210">
        <f>MacReports!B210</f>
        <v>0</v>
      </c>
      <c r="F210" t="str">
        <f>_xlfn.XLOOKUP(B210,MacReports!B:B,MacReports!D:D,"")</f>
        <v/>
      </c>
      <c r="AB210" t="str">
        <f t="shared" si="5"/>
        <v/>
      </c>
    </row>
    <row r="211" spans="2:28">
      <c r="B211">
        <f>MacReports!B211</f>
        <v>0</v>
      </c>
      <c r="F211" t="str">
        <f>_xlfn.XLOOKUP(B211,MacReports!B:B,MacReports!D:D,"")</f>
        <v/>
      </c>
      <c r="AB211" t="str">
        <f t="shared" si="5"/>
        <v/>
      </c>
    </row>
    <row r="212" spans="2:28">
      <c r="B212">
        <f>MacReports!B212</f>
        <v>0</v>
      </c>
      <c r="F212" t="str">
        <f>_xlfn.XLOOKUP(B212,MacReports!B:B,MacReports!D:D,"")</f>
        <v/>
      </c>
      <c r="AB212" t="str">
        <f t="shared" si="5"/>
        <v/>
      </c>
    </row>
    <row r="213" spans="2:28">
      <c r="B213">
        <f>MacReports!B213</f>
        <v>0</v>
      </c>
      <c r="F213" t="str">
        <f>_xlfn.XLOOKUP(B213,MacReports!B:B,MacReports!D:D,"")</f>
        <v/>
      </c>
      <c r="AB213" t="str">
        <f t="shared" si="5"/>
        <v/>
      </c>
    </row>
    <row r="214" spans="2:28">
      <c r="B214">
        <f>MacReports!B214</f>
        <v>0</v>
      </c>
      <c r="F214" t="str">
        <f>_xlfn.XLOOKUP(B214,MacReports!B:B,MacReports!D:D,"")</f>
        <v/>
      </c>
      <c r="AB214" t="str">
        <f t="shared" si="5"/>
        <v/>
      </c>
    </row>
    <row r="215" spans="2:28">
      <c r="B215">
        <f>MacReports!B215</f>
        <v>0</v>
      </c>
      <c r="F215" t="str">
        <f>_xlfn.XLOOKUP(B215,MacReports!B:B,MacReports!D:D,"")</f>
        <v/>
      </c>
      <c r="AB215" t="str">
        <f t="shared" si="5"/>
        <v/>
      </c>
    </row>
    <row r="216" spans="2:28">
      <c r="B216">
        <f>MacReports!B216</f>
        <v>0</v>
      </c>
      <c r="F216" t="str">
        <f>_xlfn.XLOOKUP(B216,MacReports!B:B,MacReports!D:D,"")</f>
        <v/>
      </c>
      <c r="AB216" t="str">
        <f t="shared" si="5"/>
        <v/>
      </c>
    </row>
    <row r="217" spans="2:28">
      <c r="B217">
        <f>MacReports!B217</f>
        <v>0</v>
      </c>
      <c r="F217" t="str">
        <f>_xlfn.XLOOKUP(B217,MacReports!B:B,MacReports!D:D,"")</f>
        <v/>
      </c>
      <c r="AB217" t="str">
        <f t="shared" si="5"/>
        <v/>
      </c>
    </row>
    <row r="218" spans="2:28">
      <c r="B218">
        <f>MacReports!B218</f>
        <v>0</v>
      </c>
      <c r="F218" t="str">
        <f>_xlfn.XLOOKUP(B218,MacReports!B:B,MacReports!D:D,"")</f>
        <v/>
      </c>
      <c r="AB218" t="str">
        <f t="shared" si="5"/>
        <v/>
      </c>
    </row>
    <row r="219" spans="2:28">
      <c r="B219">
        <f>MacReports!B219</f>
        <v>0</v>
      </c>
      <c r="F219" t="str">
        <f>_xlfn.XLOOKUP(B219,MacReports!B:B,MacReports!D:D,"")</f>
        <v/>
      </c>
      <c r="AB219" t="str">
        <f t="shared" si="5"/>
        <v/>
      </c>
    </row>
    <row r="220" spans="2:28">
      <c r="B220">
        <f>MacReports!B220</f>
        <v>0</v>
      </c>
      <c r="F220" t="str">
        <f>_xlfn.XLOOKUP(B220,MacReports!B:B,MacReports!D:D,"")</f>
        <v/>
      </c>
      <c r="AB220" t="str">
        <f t="shared" si="5"/>
        <v/>
      </c>
    </row>
    <row r="221" spans="2:28">
      <c r="B221">
        <f>MacReports!B221</f>
        <v>0</v>
      </c>
      <c r="F221" t="str">
        <f>_xlfn.XLOOKUP(B221,MacReports!B:B,MacReports!D:D,"")</f>
        <v/>
      </c>
      <c r="AB221" t="str">
        <f t="shared" si="5"/>
        <v/>
      </c>
    </row>
    <row r="222" spans="2:28">
      <c r="B222">
        <f>MacReports!B222</f>
        <v>0</v>
      </c>
      <c r="F222" t="str">
        <f>_xlfn.XLOOKUP(B222,MacReports!B:B,MacReports!D:D,"")</f>
        <v/>
      </c>
      <c r="AB222" t="str">
        <f t="shared" si="5"/>
        <v/>
      </c>
    </row>
    <row r="223" spans="2:28">
      <c r="B223">
        <f>MacReports!B223</f>
        <v>0</v>
      </c>
      <c r="F223" t="str">
        <f>_xlfn.XLOOKUP(B223,MacReports!B:B,MacReports!D:D,"")</f>
        <v/>
      </c>
      <c r="AB223" t="str">
        <f t="shared" si="5"/>
        <v/>
      </c>
    </row>
    <row r="224" spans="2:28">
      <c r="B224">
        <f>MacReports!B224</f>
        <v>0</v>
      </c>
      <c r="F224" t="str">
        <f>_xlfn.XLOOKUP(B224,MacReports!B:B,MacReports!D:D,"")</f>
        <v/>
      </c>
      <c r="AB224" t="str">
        <f t="shared" si="5"/>
        <v/>
      </c>
    </row>
    <row r="225" spans="2:28">
      <c r="B225">
        <f>MacReports!B225</f>
        <v>0</v>
      </c>
      <c r="F225" t="str">
        <f>_xlfn.XLOOKUP(B225,MacReports!B:B,MacReports!D:D,"")</f>
        <v/>
      </c>
      <c r="AB225" t="str">
        <f t="shared" si="5"/>
        <v/>
      </c>
    </row>
    <row r="226" spans="2:28">
      <c r="B226">
        <f>MacReports!B226</f>
        <v>0</v>
      </c>
      <c r="F226" t="str">
        <f>_xlfn.XLOOKUP(B226,MacReports!B:B,MacReports!D:D,"")</f>
        <v/>
      </c>
      <c r="AB226" t="str">
        <f t="shared" si="5"/>
        <v/>
      </c>
    </row>
    <row r="227" spans="2:28">
      <c r="B227">
        <f>MacReports!B227</f>
        <v>0</v>
      </c>
      <c r="F227" t="str">
        <f>_xlfn.XLOOKUP(B227,MacReports!B:B,MacReports!D:D,"")</f>
        <v/>
      </c>
      <c r="AB227" t="str">
        <f t="shared" si="5"/>
        <v/>
      </c>
    </row>
    <row r="228" spans="2:28">
      <c r="B228">
        <f>MacReports!B228</f>
        <v>0</v>
      </c>
      <c r="F228" t="str">
        <f>_xlfn.XLOOKUP(B228,MacReports!B:B,MacReports!D:D,"")</f>
        <v/>
      </c>
      <c r="AB228" t="str">
        <f t="shared" si="5"/>
        <v/>
      </c>
    </row>
    <row r="229" spans="2:28">
      <c r="B229">
        <f>MacReports!B229</f>
        <v>0</v>
      </c>
      <c r="F229" t="str">
        <f>_xlfn.XLOOKUP(B229,MacReports!B:B,MacReports!D:D,"")</f>
        <v/>
      </c>
      <c r="AB229" t="str">
        <f t="shared" si="5"/>
        <v/>
      </c>
    </row>
    <row r="230" spans="2:28">
      <c r="B230">
        <f>MacReports!B230</f>
        <v>0</v>
      </c>
      <c r="F230" t="str">
        <f>_xlfn.XLOOKUP(B230,MacReports!B:B,MacReports!D:D,"")</f>
        <v/>
      </c>
      <c r="AB230" t="str">
        <f t="shared" si="5"/>
        <v/>
      </c>
    </row>
    <row r="231" spans="2:28">
      <c r="B231">
        <f>MacReports!B231</f>
        <v>0</v>
      </c>
      <c r="F231" t="str">
        <f>_xlfn.XLOOKUP(B231,MacReports!B:B,MacReports!D:D,"")</f>
        <v/>
      </c>
      <c r="AB231" t="str">
        <f t="shared" si="5"/>
        <v/>
      </c>
    </row>
    <row r="232" spans="2:28">
      <c r="B232">
        <f>MacReports!B232</f>
        <v>0</v>
      </c>
      <c r="F232" t="str">
        <f>_xlfn.XLOOKUP(B232,MacReports!B:B,MacReports!D:D,"")</f>
        <v/>
      </c>
      <c r="AB232" t="str">
        <f t="shared" si="5"/>
        <v/>
      </c>
    </row>
    <row r="233" spans="2:28">
      <c r="B233">
        <f>MacReports!B233</f>
        <v>0</v>
      </c>
      <c r="F233" t="str">
        <f>_xlfn.XLOOKUP(B233,MacReports!B:B,MacReports!D:D,"")</f>
        <v/>
      </c>
      <c r="AB233" t="str">
        <f t="shared" si="5"/>
        <v/>
      </c>
    </row>
    <row r="234" spans="2:28">
      <c r="B234">
        <f>MacReports!B234</f>
        <v>0</v>
      </c>
      <c r="F234" t="str">
        <f>_xlfn.XLOOKUP(B234,MacReports!B:B,MacReports!D:D,"")</f>
        <v/>
      </c>
      <c r="AB234" t="str">
        <f t="shared" si="5"/>
        <v/>
      </c>
    </row>
    <row r="235" spans="2:28">
      <c r="B235">
        <f>MacReports!B235</f>
        <v>0</v>
      </c>
      <c r="F235" t="str">
        <f>_xlfn.XLOOKUP(B235,MacReports!B:B,MacReports!D:D,"")</f>
        <v/>
      </c>
      <c r="AB235" t="str">
        <f t="shared" si="5"/>
        <v/>
      </c>
    </row>
    <row r="236" spans="2:28">
      <c r="B236">
        <f>MacReports!B236</f>
        <v>0</v>
      </c>
      <c r="F236" t="str">
        <f>_xlfn.XLOOKUP(B236,MacReports!B:B,MacReports!D:D,"")</f>
        <v/>
      </c>
      <c r="AB236" t="str">
        <f t="shared" si="5"/>
        <v/>
      </c>
    </row>
    <row r="237" spans="2:28">
      <c r="B237">
        <f>MacReports!B237</f>
        <v>0</v>
      </c>
      <c r="F237" t="str">
        <f>_xlfn.XLOOKUP(B237,MacReports!B:B,MacReports!D:D,"")</f>
        <v/>
      </c>
      <c r="AB237" t="str">
        <f t="shared" si="5"/>
        <v/>
      </c>
    </row>
    <row r="238" spans="2:28">
      <c r="B238">
        <f>MacReports!B238</f>
        <v>0</v>
      </c>
      <c r="F238" t="str">
        <f>_xlfn.XLOOKUP(B238,MacReports!B:B,MacReports!D:D,"")</f>
        <v/>
      </c>
      <c r="AB238" t="str">
        <f t="shared" si="5"/>
        <v/>
      </c>
    </row>
    <row r="239" spans="2:28">
      <c r="B239">
        <f>MacReports!B239</f>
        <v>0</v>
      </c>
      <c r="F239" t="str">
        <f>_xlfn.XLOOKUP(B239,MacReports!B:B,MacReports!D:D,"")</f>
        <v/>
      </c>
      <c r="AB239" t="str">
        <f t="shared" si="5"/>
        <v/>
      </c>
    </row>
    <row r="240" spans="2:28">
      <c r="B240">
        <f>MacReports!B240</f>
        <v>0</v>
      </c>
      <c r="F240" t="str">
        <f>_xlfn.XLOOKUP(B240,MacReports!B:B,MacReports!D:D,"")</f>
        <v/>
      </c>
      <c r="AB240" t="str">
        <f t="shared" si="5"/>
        <v/>
      </c>
    </row>
    <row r="241" spans="2:28">
      <c r="B241">
        <f>MacReports!B241</f>
        <v>0</v>
      </c>
      <c r="F241" t="str">
        <f>_xlfn.XLOOKUP(B241,MacReports!B:B,MacReports!D:D,"")</f>
        <v/>
      </c>
      <c r="AB241" t="str">
        <f t="shared" si="5"/>
        <v/>
      </c>
    </row>
    <row r="242" spans="2:28">
      <c r="B242">
        <f>MacReports!B242</f>
        <v>0</v>
      </c>
      <c r="F242" t="str">
        <f>_xlfn.XLOOKUP(B242,MacReports!B:B,MacReports!D:D,"")</f>
        <v/>
      </c>
      <c r="AB242" t="str">
        <f t="shared" si="5"/>
        <v/>
      </c>
    </row>
    <row r="243" spans="2:28">
      <c r="B243">
        <f>MacReports!B243</f>
        <v>0</v>
      </c>
      <c r="F243" t="str">
        <f>_xlfn.XLOOKUP(B243,MacReports!B:B,MacReports!D:D,"")</f>
        <v/>
      </c>
      <c r="AB243" t="str">
        <f t="shared" si="5"/>
        <v/>
      </c>
    </row>
    <row r="244" spans="2:28">
      <c r="B244">
        <f>MacReports!B244</f>
        <v>0</v>
      </c>
      <c r="F244" t="str">
        <f>_xlfn.XLOOKUP(B244,MacReports!B:B,MacReports!D:D,"")</f>
        <v/>
      </c>
      <c r="AB244" t="str">
        <f t="shared" si="5"/>
        <v/>
      </c>
    </row>
    <row r="245" spans="2:28">
      <c r="B245">
        <f>MacReports!B245</f>
        <v>0</v>
      </c>
      <c r="F245" t="str">
        <f>_xlfn.XLOOKUP(B245,MacReports!B:B,MacReports!D:D,"")</f>
        <v/>
      </c>
      <c r="AB245" t="str">
        <f t="shared" si="5"/>
        <v/>
      </c>
    </row>
    <row r="246" spans="2:28">
      <c r="B246">
        <f>MacReports!B246</f>
        <v>0</v>
      </c>
      <c r="F246" t="str">
        <f>_xlfn.XLOOKUP(B246,MacReports!B:B,MacReports!D:D,"")</f>
        <v/>
      </c>
      <c r="AB246" t="str">
        <f t="shared" si="5"/>
        <v/>
      </c>
    </row>
    <row r="247" spans="2:28">
      <c r="B247">
        <f>MacReports!B247</f>
        <v>0</v>
      </c>
      <c r="F247" t="str">
        <f>_xlfn.XLOOKUP(B247,MacReports!B:B,MacReports!D:D,"")</f>
        <v/>
      </c>
      <c r="AB247" t="str">
        <f t="shared" si="5"/>
        <v/>
      </c>
    </row>
    <row r="248" spans="2:28">
      <c r="B248">
        <f>MacReports!B248</f>
        <v>0</v>
      </c>
      <c r="F248" t="str">
        <f>_xlfn.XLOOKUP(B248,MacReports!B:B,MacReports!D:D,"")</f>
        <v/>
      </c>
      <c r="AB248" t="str">
        <f t="shared" si="5"/>
        <v/>
      </c>
    </row>
    <row r="249" spans="2:28">
      <c r="B249">
        <f>MacReports!B249</f>
        <v>0</v>
      </c>
      <c r="F249" t="str">
        <f>_xlfn.XLOOKUP(B249,MacReports!B:B,MacReports!D:D,"")</f>
        <v/>
      </c>
      <c r="AB249" t="str">
        <f t="shared" si="5"/>
        <v/>
      </c>
    </row>
    <row r="250" spans="2:28">
      <c r="B250">
        <f>MacReports!B250</f>
        <v>0</v>
      </c>
      <c r="F250" t="str">
        <f>_xlfn.XLOOKUP(B250,MacReports!B:B,MacReports!D:D,"")</f>
        <v/>
      </c>
      <c r="AB250" t="str">
        <f t="shared" si="5"/>
        <v/>
      </c>
    </row>
    <row r="251" spans="2:28">
      <c r="B251">
        <f>MacReports!B251</f>
        <v>0</v>
      </c>
      <c r="F251" t="str">
        <f>_xlfn.XLOOKUP(B251,MacReports!B:B,MacReports!D:D,"")</f>
        <v/>
      </c>
      <c r="AB251" t="str">
        <f t="shared" si="5"/>
        <v/>
      </c>
    </row>
    <row r="252" spans="2:28">
      <c r="B252">
        <f>MacReports!B252</f>
        <v>0</v>
      </c>
      <c r="F252" t="str">
        <f>_xlfn.XLOOKUP(B252,MacReports!B:B,MacReports!D:D,"")</f>
        <v/>
      </c>
      <c r="AB252" t="str">
        <f t="shared" si="5"/>
        <v/>
      </c>
    </row>
    <row r="253" spans="2:28">
      <c r="B253">
        <f>MacReports!B253</f>
        <v>0</v>
      </c>
      <c r="F253" t="str">
        <f>_xlfn.XLOOKUP(B253,MacReports!B:B,MacReports!D:D,"")</f>
        <v/>
      </c>
      <c r="AB253" t="str">
        <f t="shared" si="5"/>
        <v/>
      </c>
    </row>
    <row r="254" spans="2:28">
      <c r="B254">
        <f>MacReports!B254</f>
        <v>0</v>
      </c>
      <c r="F254" t="str">
        <f>_xlfn.XLOOKUP(B254,MacReports!B:B,MacReports!D:D,"")</f>
        <v/>
      </c>
      <c r="AB254" t="str">
        <f t="shared" si="5"/>
        <v/>
      </c>
    </row>
    <row r="255" spans="2:28">
      <c r="F255" t="str">
        <f>_xlfn.XLOOKUP(B255,MacReports!B:B,MacReports!D:D,"")</f>
        <v/>
      </c>
      <c r="AB255" t="str">
        <f t="shared" si="5"/>
        <v/>
      </c>
    </row>
    <row r="256" spans="2:28">
      <c r="F256" t="str">
        <f>_xlfn.XLOOKUP(B256,MacReports!B:B,MacReports!D:D,"")</f>
        <v/>
      </c>
      <c r="AB256" t="str">
        <f t="shared" si="5"/>
        <v/>
      </c>
    </row>
    <row r="257" spans="6:28">
      <c r="F257" t="str">
        <f>_xlfn.XLOOKUP(B257,MacReports!B:B,MacReports!D:D,"")</f>
        <v/>
      </c>
      <c r="AB257" t="str">
        <f t="shared" si="5"/>
        <v/>
      </c>
    </row>
    <row r="258" spans="6:28">
      <c r="F258" t="str">
        <f>_xlfn.XLOOKUP(B258,MacReports!B:B,MacReports!D:D,"")</f>
        <v/>
      </c>
      <c r="AB258" t="str">
        <f t="shared" si="5"/>
        <v/>
      </c>
    </row>
    <row r="259" spans="6:28">
      <c r="F259" t="str">
        <f>_xlfn.XLOOKUP(B259,MacReports!B:B,MacReports!D:D,"")</f>
        <v/>
      </c>
      <c r="AB259" t="str">
        <f t="shared" ref="AB259:AB271" si="6">_xlfn.TEXTJOIN(", ",TRUE,Q259,R259)</f>
        <v/>
      </c>
    </row>
    <row r="260" spans="6:28">
      <c r="F260" t="str">
        <f>_xlfn.XLOOKUP(B260,MacReports!B:B,MacReports!D:D,"")</f>
        <v/>
      </c>
      <c r="AB260" t="str">
        <f t="shared" si="6"/>
        <v/>
      </c>
    </row>
    <row r="261" spans="6:28">
      <c r="F261" t="str">
        <f>_xlfn.XLOOKUP(B261,MacReports!B:B,MacReports!D:D,"")</f>
        <v/>
      </c>
      <c r="AB261" t="str">
        <f t="shared" si="6"/>
        <v/>
      </c>
    </row>
    <row r="262" spans="6:28">
      <c r="F262" t="str">
        <f>_xlfn.XLOOKUP(B262,MacReports!B:B,MacReports!D:D,"")</f>
        <v/>
      </c>
      <c r="AB262" t="str">
        <f t="shared" si="6"/>
        <v/>
      </c>
    </row>
    <row r="263" spans="6:28">
      <c r="F263" t="str">
        <f>_xlfn.XLOOKUP(B263,MacReports!B:B,MacReports!D:D,"")</f>
        <v/>
      </c>
      <c r="AB263" t="str">
        <f t="shared" si="6"/>
        <v/>
      </c>
    </row>
    <row r="264" spans="6:28">
      <c r="F264" t="str">
        <f>_xlfn.XLOOKUP(B264,MacReports!B:B,MacReports!D:D,"")</f>
        <v/>
      </c>
      <c r="AB264" t="str">
        <f t="shared" si="6"/>
        <v/>
      </c>
    </row>
    <row r="265" spans="6:28">
      <c r="F265" t="str">
        <f>_xlfn.XLOOKUP(B265,MacReports!B:B,MacReports!D:D,"")</f>
        <v/>
      </c>
      <c r="AB265" t="str">
        <f t="shared" si="6"/>
        <v/>
      </c>
    </row>
    <row r="266" spans="6:28">
      <c r="F266" t="str">
        <f>_xlfn.XLOOKUP(B266,MacReports!B:B,MacReports!D:D,"")</f>
        <v/>
      </c>
      <c r="AB266" t="str">
        <f t="shared" si="6"/>
        <v/>
      </c>
    </row>
    <row r="267" spans="6:28">
      <c r="F267" t="str">
        <f>_xlfn.XLOOKUP(B267,MacReports!B:B,MacReports!D:D,"")</f>
        <v/>
      </c>
      <c r="AB267" t="str">
        <f t="shared" si="6"/>
        <v/>
      </c>
    </row>
    <row r="268" spans="6:28">
      <c r="F268" t="str">
        <f>_xlfn.XLOOKUP(B268,MacReports!B:B,MacReports!D:D,"")</f>
        <v/>
      </c>
      <c r="AB268" t="str">
        <f t="shared" si="6"/>
        <v/>
      </c>
    </row>
    <row r="269" spans="6:28">
      <c r="F269" t="str">
        <f>_xlfn.XLOOKUP(B269,MacReports!B:B,MacReports!D:D,"")</f>
        <v/>
      </c>
      <c r="AB269" t="str">
        <f t="shared" si="6"/>
        <v/>
      </c>
    </row>
    <row r="270" spans="6:28">
      <c r="F270" t="str">
        <f>_xlfn.XLOOKUP(B270,MacReports!B:B,MacReports!D:D,"")</f>
        <v/>
      </c>
      <c r="AB270" t="str">
        <f t="shared" si="6"/>
        <v/>
      </c>
    </row>
    <row r="271" spans="6:28">
      <c r="F271" t="str">
        <f>_xlfn.XLOOKUP(B271,MacReports!B:B,MacReports!D:D,"")</f>
        <v/>
      </c>
      <c r="AB271" t="str">
        <f t="shared" si="6"/>
        <v/>
      </c>
    </row>
    <row r="272" spans="6:28">
      <c r="F272">
        <f>_xlfn.XLOOKUP(B272,MacReports!B:B,MacReports!D:D,"")</f>
        <v>0</v>
      </c>
    </row>
    <row r="273" spans="6:6">
      <c r="F273" t="str">
        <f>_xlfn.XLOOKUP(B273,MacReports!B:B,MacReports!D:D,"")</f>
        <v/>
      </c>
    </row>
    <row r="274" spans="6:6">
      <c r="F274" t="str">
        <f>_xlfn.XLOOKUP(B274,MacReports!B:B,MacReports!D:D,"")</f>
        <v/>
      </c>
    </row>
    <row r="275" spans="6:6">
      <c r="F275" t="str">
        <f>_xlfn.XLOOKUP(B275,MacReports!B:B,MacReports!D:D,"")</f>
        <v/>
      </c>
    </row>
    <row r="276" spans="6:6">
      <c r="F276" t="str">
        <f>_xlfn.XLOOKUP(B276,MacReports!B:B,MacReports!D:D,"")</f>
        <v/>
      </c>
    </row>
    <row r="277" spans="6:6">
      <c r="F277" t="str">
        <f>_xlfn.XLOOKUP(B277,MacReports!B:B,MacReports!D:D,"")</f>
        <v/>
      </c>
    </row>
    <row r="278" spans="6:6">
      <c r="F278" t="str">
        <f>_xlfn.XLOOKUP(B278,MacReports!B:B,MacReports!D:D,"")</f>
        <v/>
      </c>
    </row>
    <row r="279" spans="6:6">
      <c r="F279" t="str">
        <f>_xlfn.XLOOKUP(B279,MacReports!B:B,MacReports!D:D,"")</f>
        <v/>
      </c>
    </row>
    <row r="280" spans="6:6">
      <c r="F280" t="str">
        <f>_xlfn.XLOOKUP(B280,MacReports!B:B,MacReports!D:D,"")</f>
        <v/>
      </c>
    </row>
    <row r="281" spans="6:6">
      <c r="F281" t="str">
        <f>_xlfn.XLOOKUP(B281,MacReports!B:B,MacReports!D:D,"")</f>
        <v/>
      </c>
    </row>
    <row r="282" spans="6:6">
      <c r="F282" t="str">
        <f>_xlfn.XLOOKUP(B282,MacReports!B:B,MacReports!D:D,"")</f>
        <v/>
      </c>
    </row>
    <row r="283" spans="6:6">
      <c r="F283" t="str">
        <f>_xlfn.XLOOKUP(B283,MacReports!B:B,MacReports!D:D,"")</f>
        <v/>
      </c>
    </row>
    <row r="284" spans="6:6">
      <c r="F284" t="str">
        <f>_xlfn.XLOOKUP(B284,MacReports!B:B,MacReports!D:D,"")</f>
        <v/>
      </c>
    </row>
    <row r="285" spans="6:6">
      <c r="F285" t="str">
        <f>_xlfn.XLOOKUP(B285,MacReports!B:B,MacReports!D:D,"")</f>
        <v/>
      </c>
    </row>
    <row r="286" spans="6:6">
      <c r="F286" t="str">
        <f>_xlfn.XLOOKUP(B286,MacReports!B:B,MacReports!D:D,"")</f>
        <v/>
      </c>
    </row>
    <row r="287" spans="6:6">
      <c r="F287" t="str">
        <f>_xlfn.XLOOKUP(B287,MacReports!B:B,MacReports!D:D,"")</f>
        <v/>
      </c>
    </row>
    <row r="288" spans="6:6">
      <c r="F288" t="str">
        <f>_xlfn.XLOOKUP(B288,MacReports!B:B,MacReports!D:D,"")</f>
        <v/>
      </c>
    </row>
    <row r="289" spans="6:6">
      <c r="F289" t="str">
        <f>_xlfn.XLOOKUP(B289,MacReports!B:B,MacReports!D:D,"")</f>
        <v/>
      </c>
    </row>
    <row r="290" spans="6:6">
      <c r="F290">
        <f>_xlfn.XLOOKUP(B290,MacReports!B:B,MacReports!D:D,"")</f>
        <v>0</v>
      </c>
    </row>
    <row r="291" spans="6:6">
      <c r="F291" t="str">
        <f>_xlfn.XLOOKUP(B291,MacReports!B:B,MacReports!D:D,"")</f>
        <v/>
      </c>
    </row>
    <row r="292" spans="6:6">
      <c r="F292" t="str">
        <f>_xlfn.XLOOKUP(B292,MacReports!B:B,MacReports!D:D,"")</f>
        <v/>
      </c>
    </row>
    <row r="293" spans="6:6">
      <c r="F293" t="str">
        <f>_xlfn.XLOOKUP(B293,MacReports!B:B,MacReports!D:D,"")</f>
        <v/>
      </c>
    </row>
    <row r="294" spans="6:6">
      <c r="F294" t="str">
        <f>_xlfn.XLOOKUP(B294,MacReports!B:B,MacReports!D:D,"")</f>
        <v/>
      </c>
    </row>
    <row r="295" spans="6:6">
      <c r="F295" t="str">
        <f>_xlfn.XLOOKUP(B295,MacReports!B:B,MacReports!D:D,"")</f>
        <v/>
      </c>
    </row>
    <row r="296" spans="6:6">
      <c r="F296" t="str">
        <f>_xlfn.XLOOKUP(B296,MacReports!B:B,MacReports!D:D,"")</f>
        <v/>
      </c>
    </row>
    <row r="297" spans="6:6">
      <c r="F297" t="str">
        <f>_xlfn.XLOOKUP(B297,MacReports!B:B,MacReports!D:D,"")</f>
        <v/>
      </c>
    </row>
    <row r="298" spans="6:6">
      <c r="F298" t="str">
        <f>_xlfn.XLOOKUP(B298,MacReports!B:B,MacReports!D:D,"")</f>
        <v/>
      </c>
    </row>
    <row r="299" spans="6:6">
      <c r="F299" t="str">
        <f>_xlfn.XLOOKUP(B299,MacReports!B:B,MacReports!D:D,"")</f>
        <v/>
      </c>
    </row>
    <row r="300" spans="6:6">
      <c r="F300" t="str">
        <f>_xlfn.XLOOKUP(B300,MacReports!B:B,MacReports!D:D,"")</f>
        <v/>
      </c>
    </row>
    <row r="301" spans="6:6">
      <c r="F301" t="str">
        <f>_xlfn.XLOOKUP(B301,MacReports!B:B,MacReports!D:D,"")</f>
        <v/>
      </c>
    </row>
    <row r="302" spans="6:6">
      <c r="F302">
        <f>_xlfn.XLOOKUP(B302,MacReports!B:B,MacReports!D:D,"")</f>
        <v>0</v>
      </c>
    </row>
    <row r="303" spans="6:6">
      <c r="F303" t="str">
        <f>_xlfn.XLOOKUP(B303,MacReports!B:B,MacReports!D:D,"")</f>
        <v/>
      </c>
    </row>
    <row r="304" spans="6:6">
      <c r="F304" t="str">
        <f>_xlfn.XLOOKUP(B304,MacReports!B:B,MacReports!D:D,"")</f>
        <v/>
      </c>
    </row>
    <row r="305" spans="6:6">
      <c r="F305" t="str">
        <f>_xlfn.XLOOKUP(B305,MacReports!B:B,MacReports!D:D,"")</f>
        <v/>
      </c>
    </row>
    <row r="306" spans="6:6">
      <c r="F306" t="str">
        <f>_xlfn.XLOOKUP(B306,MacReports!B:B,MacReports!D:D,"")</f>
        <v/>
      </c>
    </row>
    <row r="307" spans="6:6">
      <c r="F307" t="str">
        <f>_xlfn.XLOOKUP(B307,MacReports!B:B,MacReports!D:D,"")</f>
        <v/>
      </c>
    </row>
    <row r="308" spans="6:6">
      <c r="F308">
        <f>_xlfn.XLOOKUP(B308,MacReports!B:B,MacReports!D:D,"")</f>
        <v>0</v>
      </c>
    </row>
    <row r="309" spans="6:6">
      <c r="F309" t="str">
        <f>_xlfn.XLOOKUP(B309,MacReports!B:B,MacReports!D:D,"")</f>
        <v/>
      </c>
    </row>
    <row r="310" spans="6:6">
      <c r="F310" t="str">
        <f>_xlfn.XLOOKUP(B310,MacReports!B:B,MacReports!D:D,"")</f>
        <v/>
      </c>
    </row>
    <row r="311" spans="6:6">
      <c r="F311" t="str">
        <f>_xlfn.XLOOKUP(B311,MacReports!B:B,MacReports!D:D,"")</f>
        <v/>
      </c>
    </row>
    <row r="312" spans="6:6">
      <c r="F312" t="str">
        <f>_xlfn.XLOOKUP(B312,MacReports!B:B,MacReports!D:D,"")</f>
        <v/>
      </c>
    </row>
    <row r="313" spans="6:6">
      <c r="F313" t="str">
        <f>_xlfn.XLOOKUP(B313,MacReports!B:B,MacReports!D:D,"")</f>
        <v/>
      </c>
    </row>
    <row r="314" spans="6:6">
      <c r="F314" t="str">
        <f>_xlfn.XLOOKUP(B314,MacReports!B:B,MacReports!D:D,"")</f>
        <v/>
      </c>
    </row>
    <row r="315" spans="6:6">
      <c r="F315" t="str">
        <f>_xlfn.XLOOKUP(B315,MacReports!B:B,MacReports!D:D,"")</f>
        <v/>
      </c>
    </row>
    <row r="316" spans="6:6">
      <c r="F316" t="str">
        <f>_xlfn.XLOOKUP(B316,MacReports!B:B,MacReports!D:D,"")</f>
        <v/>
      </c>
    </row>
    <row r="317" spans="6:6">
      <c r="F317" t="str">
        <f>_xlfn.XLOOKUP(B317,MacReports!B:B,MacReports!D:D,"")</f>
        <v/>
      </c>
    </row>
    <row r="318" spans="6:6">
      <c r="F318" t="str">
        <f>_xlfn.XLOOKUP(B318,MacReports!B:B,MacReports!D:D,"")</f>
        <v/>
      </c>
    </row>
    <row r="319" spans="6:6">
      <c r="F319" t="str">
        <f>_xlfn.XLOOKUP(B319,MacReports!B:B,MacReports!D:D,"")</f>
        <v/>
      </c>
    </row>
    <row r="320" spans="6:6">
      <c r="F320" t="str">
        <f>_xlfn.XLOOKUP(B320,MacReports!B:B,MacReports!D:D,"")</f>
        <v/>
      </c>
    </row>
    <row r="321" spans="6:6">
      <c r="F321">
        <f>_xlfn.XLOOKUP(B321,MacReports!B:B,MacReports!D:D,"")</f>
        <v>0</v>
      </c>
    </row>
    <row r="322" spans="6:6">
      <c r="F322" t="str">
        <f>_xlfn.XLOOKUP(B322,MacReports!B:B,MacReports!D:D,"")</f>
        <v/>
      </c>
    </row>
    <row r="323" spans="6:6">
      <c r="F323" t="str">
        <f>_xlfn.XLOOKUP(B323,MacReports!B:B,MacReports!D:D,"")</f>
        <v/>
      </c>
    </row>
    <row r="324" spans="6:6">
      <c r="F324" t="str">
        <f>_xlfn.XLOOKUP(B324,MacReports!B:B,MacReports!D:D,"")</f>
        <v/>
      </c>
    </row>
    <row r="325" spans="6:6">
      <c r="F325" t="str">
        <f>_xlfn.XLOOKUP(B325,MacReports!B:B,MacReports!D:D,"")</f>
        <v/>
      </c>
    </row>
    <row r="326" spans="6:6">
      <c r="F326" t="str">
        <f>_xlfn.XLOOKUP(B326,MacReports!B:B,MacReports!D:D,"")</f>
        <v/>
      </c>
    </row>
    <row r="327" spans="6:6">
      <c r="F327" t="str">
        <f>_xlfn.XLOOKUP(B327,MacReports!B:B,MacReports!D:D,"")</f>
        <v/>
      </c>
    </row>
    <row r="328" spans="6:6">
      <c r="F328" t="str">
        <f>_xlfn.XLOOKUP(B328,MacReports!B:B,MacReports!D:D,"")</f>
        <v/>
      </c>
    </row>
    <row r="329" spans="6:6">
      <c r="F329" t="str">
        <f>_xlfn.XLOOKUP(B329,MacReports!B:B,MacReports!D:D,"")</f>
        <v/>
      </c>
    </row>
    <row r="330" spans="6:6">
      <c r="F330" t="str">
        <f>_xlfn.XLOOKUP(B330,MacReports!B:B,MacReports!D:D,"")</f>
        <v/>
      </c>
    </row>
    <row r="331" spans="6:6">
      <c r="F331" t="str">
        <f>_xlfn.XLOOKUP(B331,MacReports!B:B,MacReports!D:D,"")</f>
        <v/>
      </c>
    </row>
    <row r="332" spans="6:6">
      <c r="F332" t="str">
        <f>_xlfn.XLOOKUP(B332,MacReports!B:B,MacReports!D:D,"")</f>
        <v/>
      </c>
    </row>
    <row r="333" spans="6:6">
      <c r="F333" t="str">
        <f>_xlfn.XLOOKUP(B333,MacReports!B:B,MacReports!D:D,"")</f>
        <v/>
      </c>
    </row>
    <row r="334" spans="6:6">
      <c r="F334" t="str">
        <f>_xlfn.XLOOKUP(B334,MacReports!B:B,MacReports!D:D,"")</f>
        <v/>
      </c>
    </row>
    <row r="335" spans="6:6">
      <c r="F335" t="str">
        <f>_xlfn.XLOOKUP(B335,MacReports!B:B,MacReports!D:D,"")</f>
        <v/>
      </c>
    </row>
    <row r="336" spans="6:6">
      <c r="F336" t="str">
        <f>_xlfn.XLOOKUP(B336,MacReports!B:B,MacReports!D:D,"")</f>
        <v/>
      </c>
    </row>
    <row r="337" spans="6:6">
      <c r="F337" t="str">
        <f>_xlfn.XLOOKUP(B337,MacReports!B:B,MacReports!D:D,"")</f>
        <v/>
      </c>
    </row>
    <row r="338" spans="6:6">
      <c r="F338" t="str">
        <f>_xlfn.XLOOKUP(B338,MacReports!B:B,MacReports!D:D,"")</f>
        <v/>
      </c>
    </row>
    <row r="339" spans="6:6">
      <c r="F339" t="str">
        <f>_xlfn.XLOOKUP(B339,MacReports!B:B,MacReports!D:D,"")</f>
        <v/>
      </c>
    </row>
    <row r="340" spans="6:6">
      <c r="F340" t="str">
        <f>_xlfn.XLOOKUP(B340,MacReports!B:B,MacReports!D:D,"")</f>
        <v/>
      </c>
    </row>
    <row r="341" spans="6:6">
      <c r="F341" t="str">
        <f>_xlfn.XLOOKUP(B341,MacReports!B:B,MacReports!D:D,"")</f>
        <v/>
      </c>
    </row>
    <row r="342" spans="6:6">
      <c r="F342" t="str">
        <f>_xlfn.XLOOKUP(B342,MacReports!B:B,MacReports!D:D,"")</f>
        <v/>
      </c>
    </row>
    <row r="343" spans="6:6">
      <c r="F343" t="str">
        <f>_xlfn.XLOOKUP(B343,MacReports!B:B,MacReports!D:D,"")</f>
        <v/>
      </c>
    </row>
    <row r="344" spans="6:6">
      <c r="F344">
        <f>_xlfn.XLOOKUP(B344,MacReports!B:B,MacReports!D:D,"")</f>
        <v>0</v>
      </c>
    </row>
    <row r="345" spans="6:6">
      <c r="F345" t="str">
        <f>_xlfn.XLOOKUP(B345,MacReports!B:B,MacReports!D:D,"")</f>
        <v/>
      </c>
    </row>
    <row r="346" spans="6:6">
      <c r="F346" t="str">
        <f>_xlfn.XLOOKUP(B346,MacReports!B:B,MacReports!D:D,"")</f>
        <v/>
      </c>
    </row>
    <row r="347" spans="6:6">
      <c r="F347" t="str">
        <f>_xlfn.XLOOKUP(B347,MacReports!B:B,MacReports!D:D,"")</f>
        <v/>
      </c>
    </row>
    <row r="348" spans="6:6">
      <c r="F348" t="str">
        <f>_xlfn.XLOOKUP(B348,MacReports!B:B,MacReports!D:D,"")</f>
        <v/>
      </c>
    </row>
    <row r="349" spans="6:6">
      <c r="F349" t="str">
        <f>_xlfn.XLOOKUP(B349,MacReports!B:B,MacReports!D:D,"")</f>
        <v/>
      </c>
    </row>
    <row r="350" spans="6:6">
      <c r="F350" t="str">
        <f>_xlfn.XLOOKUP(B350,MacReports!B:B,MacReports!D:D,"")</f>
        <v/>
      </c>
    </row>
    <row r="351" spans="6:6">
      <c r="F351" t="str">
        <f>_xlfn.XLOOKUP(B351,MacReports!B:B,MacReports!D:D,"")</f>
        <v/>
      </c>
    </row>
    <row r="352" spans="6:6">
      <c r="F352" t="str">
        <f>_xlfn.XLOOKUP(B352,MacReports!B:B,MacReports!D:D,"")</f>
        <v/>
      </c>
    </row>
    <row r="353" spans="6:6">
      <c r="F353" t="str">
        <f>_xlfn.XLOOKUP(B353,MacReports!B:B,MacReports!D:D,"")</f>
        <v/>
      </c>
    </row>
    <row r="354" spans="6:6">
      <c r="F354" t="str">
        <f>_xlfn.XLOOKUP(B354,MacReports!B:B,MacReports!D:D,"")</f>
        <v/>
      </c>
    </row>
    <row r="355" spans="6:6">
      <c r="F355" t="str">
        <f>_xlfn.XLOOKUP(B355,MacReports!B:B,MacReports!D:D,"")</f>
        <v/>
      </c>
    </row>
    <row r="356" spans="6:6">
      <c r="F356">
        <f>_xlfn.XLOOKUP(B356,MacReports!B:B,MacReports!D:D,"")</f>
        <v>0</v>
      </c>
    </row>
    <row r="357" spans="6:6">
      <c r="F357" t="str">
        <f>_xlfn.XLOOKUP(B357,MacReports!B:B,MacReports!D:D,"")</f>
        <v/>
      </c>
    </row>
    <row r="358" spans="6:6">
      <c r="F358" t="str">
        <f>_xlfn.XLOOKUP(B358,MacReports!B:B,MacReports!D:D,"")</f>
        <v/>
      </c>
    </row>
    <row r="359" spans="6:6">
      <c r="F359" t="str">
        <f>_xlfn.XLOOKUP(B359,MacReports!B:B,MacReports!D:D,"")</f>
        <v/>
      </c>
    </row>
    <row r="360" spans="6:6">
      <c r="F360" t="str">
        <f>_xlfn.XLOOKUP(B360,MacReports!B:B,MacReports!D:D,"")</f>
        <v/>
      </c>
    </row>
    <row r="361" spans="6:6">
      <c r="F361" t="str">
        <f>_xlfn.XLOOKUP(B361,MacReports!B:B,MacReports!D:D,"")</f>
        <v/>
      </c>
    </row>
    <row r="362" spans="6:6">
      <c r="F362">
        <f>_xlfn.XLOOKUP(B362,MacReports!B:B,MacReports!D:D,"")</f>
        <v>0</v>
      </c>
    </row>
    <row r="363" spans="6:6">
      <c r="F363" t="str">
        <f>_xlfn.XLOOKUP(B363,MacReports!B:B,MacReports!D:D,"")</f>
        <v/>
      </c>
    </row>
    <row r="364" spans="6:6">
      <c r="F364" t="str">
        <f>_xlfn.XLOOKUP(B364,MacReports!B:B,MacReports!D:D,"")</f>
        <v/>
      </c>
    </row>
    <row r="365" spans="6:6">
      <c r="F365" t="str">
        <f>_xlfn.XLOOKUP(B365,MacReports!B:B,MacReports!D:D,"")</f>
        <v/>
      </c>
    </row>
    <row r="366" spans="6:6">
      <c r="F366" t="str">
        <f>_xlfn.XLOOKUP(B366,MacReports!B:B,MacReports!D:D,"")</f>
        <v/>
      </c>
    </row>
    <row r="367" spans="6:6">
      <c r="F367" t="str">
        <f>_xlfn.XLOOKUP(B367,MacReports!B:B,MacReports!D:D,"")</f>
        <v/>
      </c>
    </row>
    <row r="368" spans="6:6">
      <c r="F368" t="str">
        <f>_xlfn.XLOOKUP(B368,MacReports!B:B,MacReports!D:D,"")</f>
        <v/>
      </c>
    </row>
    <row r="369" spans="6:6">
      <c r="F369" t="str">
        <f>_xlfn.XLOOKUP(B369,MacReports!B:B,MacReports!D:D,"")</f>
        <v/>
      </c>
    </row>
    <row r="370" spans="6:6">
      <c r="F370" t="str">
        <f>_xlfn.XLOOKUP(B370,MacReports!B:B,MacReports!D:D,"")</f>
        <v/>
      </c>
    </row>
    <row r="371" spans="6:6">
      <c r="F371" t="str">
        <f>_xlfn.XLOOKUP(B371,MacReports!B:B,MacReports!D:D,"")</f>
        <v/>
      </c>
    </row>
    <row r="372" spans="6:6">
      <c r="F372" t="str">
        <f>_xlfn.XLOOKUP(B372,MacReports!B:B,MacReports!D:D,"")</f>
        <v/>
      </c>
    </row>
    <row r="373" spans="6:6">
      <c r="F373" t="str">
        <f>_xlfn.XLOOKUP(B373,MacReports!B:B,MacReports!D:D,"")</f>
        <v/>
      </c>
    </row>
    <row r="374" spans="6:6">
      <c r="F374" t="str">
        <f>_xlfn.XLOOKUP(B374,MacReports!B:B,MacReports!D:D,"")</f>
        <v/>
      </c>
    </row>
    <row r="375" spans="6:6">
      <c r="F375">
        <f>_xlfn.XLOOKUP(B375,MacReports!B:B,MacReports!D:D,"")</f>
        <v>0</v>
      </c>
    </row>
    <row r="376" spans="6:6">
      <c r="F376" t="str">
        <f>_xlfn.XLOOKUP(B376,MacReports!B:B,MacReports!D:D,"")</f>
        <v/>
      </c>
    </row>
    <row r="377" spans="6:6">
      <c r="F377" t="str">
        <f>_xlfn.XLOOKUP(B377,MacReports!B:B,MacReports!D:D,"")</f>
        <v/>
      </c>
    </row>
    <row r="378" spans="6:6">
      <c r="F378" t="str">
        <f>_xlfn.XLOOKUP(B378,MacReports!B:B,MacReports!D:D,"")</f>
        <v/>
      </c>
    </row>
    <row r="379" spans="6:6">
      <c r="F379" t="str">
        <f>_xlfn.XLOOKUP(B379,MacReports!B:B,MacReports!D:D,"")</f>
        <v/>
      </c>
    </row>
    <row r="380" spans="6:6">
      <c r="F380">
        <f>_xlfn.XLOOKUP(B380,MacReports!B:B,MacReports!D:D,"")</f>
        <v>0</v>
      </c>
    </row>
    <row r="381" spans="6:6">
      <c r="F381" t="str">
        <f>_xlfn.XLOOKUP(B381,MacReports!B:B,MacReports!D:D,"")</f>
        <v/>
      </c>
    </row>
    <row r="382" spans="6:6">
      <c r="F382" t="str">
        <f>_xlfn.XLOOKUP(B382,MacReports!B:B,MacReports!D:D,"")</f>
        <v/>
      </c>
    </row>
    <row r="383" spans="6:6">
      <c r="F383" t="str">
        <f>_xlfn.XLOOKUP(B383,MacReports!B:B,MacReports!D:D,"")</f>
        <v/>
      </c>
    </row>
    <row r="384" spans="6:6">
      <c r="F384" t="str">
        <f>_xlfn.XLOOKUP(B384,MacReports!B:B,MacReports!D:D,"")</f>
        <v/>
      </c>
    </row>
    <row r="385" spans="6:6">
      <c r="F385" t="str">
        <f>_xlfn.XLOOKUP(B385,MacReports!B:B,MacReports!D:D,"")</f>
        <v/>
      </c>
    </row>
    <row r="386" spans="6:6">
      <c r="F386" t="str">
        <f>_xlfn.XLOOKUP(B386,MacReports!B:B,MacReports!D:D,"")</f>
        <v/>
      </c>
    </row>
    <row r="387" spans="6:6">
      <c r="F387" t="str">
        <f>_xlfn.XLOOKUP(B387,MacReports!B:B,MacReports!D:D,"")</f>
        <v/>
      </c>
    </row>
    <row r="388" spans="6:6">
      <c r="F388" t="str">
        <f>_xlfn.XLOOKUP(B388,MacReports!B:B,MacReports!D:D,"")</f>
        <v/>
      </c>
    </row>
    <row r="389" spans="6:6">
      <c r="F389" t="str">
        <f>_xlfn.XLOOKUP(B389,MacReports!B:B,MacReports!D:D,"")</f>
        <v/>
      </c>
    </row>
    <row r="390" spans="6:6">
      <c r="F390" t="str">
        <f>_xlfn.XLOOKUP(B390,MacReports!B:B,MacReports!D:D,"")</f>
        <v/>
      </c>
    </row>
    <row r="391" spans="6:6">
      <c r="F391" t="str">
        <f>_xlfn.XLOOKUP(B391,MacReports!B:B,MacReports!D:D,"")</f>
        <v/>
      </c>
    </row>
    <row r="392" spans="6:6">
      <c r="F392" t="str">
        <f>_xlfn.XLOOKUP(B392,MacReports!B:B,MacReports!D:D,"")</f>
        <v/>
      </c>
    </row>
    <row r="393" spans="6:6">
      <c r="F393" t="str">
        <f>_xlfn.XLOOKUP(B393,MacReports!B:B,MacReports!D:D,"")</f>
        <v/>
      </c>
    </row>
    <row r="394" spans="6:6">
      <c r="F394" t="str">
        <f>_xlfn.XLOOKUP(B394,MacReports!B:B,MacReports!D:D,"")</f>
        <v/>
      </c>
    </row>
    <row r="395" spans="6:6">
      <c r="F395" t="str">
        <f>_xlfn.XLOOKUP(B395,MacReports!B:B,MacReports!D:D,"")</f>
        <v/>
      </c>
    </row>
    <row r="396" spans="6:6">
      <c r="F396" t="str">
        <f>_xlfn.XLOOKUP(B396,MacReports!B:B,MacReports!D:D,"")</f>
        <v/>
      </c>
    </row>
    <row r="397" spans="6:6">
      <c r="F397" t="str">
        <f>_xlfn.XLOOKUP(B397,MacReports!B:B,MacReports!D:D,"")</f>
        <v/>
      </c>
    </row>
    <row r="398" spans="6:6">
      <c r="F398">
        <f>_xlfn.XLOOKUP(B398,MacReports!B:B,MacReports!D:D,"")</f>
        <v>0</v>
      </c>
    </row>
    <row r="399" spans="6:6">
      <c r="F399" t="str">
        <f>_xlfn.XLOOKUP(B399,MacReports!B:B,MacReports!D:D,"")</f>
        <v/>
      </c>
    </row>
    <row r="400" spans="6:6">
      <c r="F400" t="str">
        <f>_xlfn.XLOOKUP(B400,MacReports!B:B,MacReports!D:D,"")</f>
        <v/>
      </c>
    </row>
    <row r="401" spans="6:6">
      <c r="F401" t="str">
        <f>_xlfn.XLOOKUP(B401,MacReports!B:B,MacReports!D:D,"")</f>
        <v/>
      </c>
    </row>
    <row r="402" spans="6:6">
      <c r="F402" t="str">
        <f>_xlfn.XLOOKUP(B402,MacReports!B:B,MacReports!D:D,"")</f>
        <v/>
      </c>
    </row>
    <row r="403" spans="6:6">
      <c r="F403" t="str">
        <f>_xlfn.XLOOKUP(B403,MacReports!B:B,MacReports!D:D,"")</f>
        <v/>
      </c>
    </row>
    <row r="404" spans="6:6">
      <c r="F404" t="str">
        <f>_xlfn.XLOOKUP(B404,MacReports!B:B,MacReports!D:D,"")</f>
        <v/>
      </c>
    </row>
    <row r="405" spans="6:6">
      <c r="F405" t="str">
        <f>_xlfn.XLOOKUP(B405,MacReports!B:B,MacReports!D:D,"")</f>
        <v/>
      </c>
    </row>
    <row r="406" spans="6:6">
      <c r="F406" t="str">
        <f>_xlfn.XLOOKUP(B406,MacReports!B:B,MacReports!D:D,"")</f>
        <v/>
      </c>
    </row>
    <row r="407" spans="6:6">
      <c r="F407" t="str">
        <f>_xlfn.XLOOKUP(B407,MacReports!B:B,MacReports!D:D,"")</f>
        <v/>
      </c>
    </row>
    <row r="408" spans="6:6">
      <c r="F408" t="str">
        <f>_xlfn.XLOOKUP(B408,MacReports!B:B,MacReports!D:D,"")</f>
        <v/>
      </c>
    </row>
    <row r="409" spans="6:6">
      <c r="F409" t="str">
        <f>_xlfn.XLOOKUP(B409,MacReports!B:B,MacReports!D:D,"")</f>
        <v/>
      </c>
    </row>
    <row r="410" spans="6:6">
      <c r="F410">
        <f>_xlfn.XLOOKUP(B410,MacReports!B:B,MacReports!D:D,"")</f>
        <v>0</v>
      </c>
    </row>
    <row r="411" spans="6:6">
      <c r="F411" t="str">
        <f>_xlfn.XLOOKUP(B411,MacReports!B:B,MacReports!D:D,"")</f>
        <v/>
      </c>
    </row>
    <row r="412" spans="6:6">
      <c r="F412" t="str">
        <f>_xlfn.XLOOKUP(B412,MacReports!B:B,MacReports!D:D,"")</f>
        <v/>
      </c>
    </row>
    <row r="413" spans="6:6">
      <c r="F413" t="str">
        <f>_xlfn.XLOOKUP(B413,MacReports!B:B,MacReports!D:D,"")</f>
        <v/>
      </c>
    </row>
    <row r="414" spans="6:6">
      <c r="F414" t="str">
        <f>_xlfn.XLOOKUP(B414,MacReports!B:B,MacReports!D:D,"")</f>
        <v/>
      </c>
    </row>
    <row r="415" spans="6:6">
      <c r="F415" t="str">
        <f>_xlfn.XLOOKUP(B415,MacReports!B:B,MacReports!D:D,"")</f>
        <v/>
      </c>
    </row>
    <row r="416" spans="6:6">
      <c r="F416">
        <f>_xlfn.XLOOKUP(B416,MacReports!B:B,MacReports!D:D,"")</f>
        <v>0</v>
      </c>
    </row>
    <row r="417" spans="6:6">
      <c r="F417" t="str">
        <f>_xlfn.XLOOKUP(B417,MacReports!B:B,MacReports!D:D,"")</f>
        <v/>
      </c>
    </row>
    <row r="418" spans="6:6">
      <c r="F418" t="str">
        <f>_xlfn.XLOOKUP(B418,MacReports!B:B,MacReports!D:D,"")</f>
        <v/>
      </c>
    </row>
    <row r="419" spans="6:6">
      <c r="F419" t="str">
        <f>_xlfn.XLOOKUP(B419,MacReports!B:B,MacReports!D:D,"")</f>
        <v/>
      </c>
    </row>
    <row r="420" spans="6:6">
      <c r="F420" t="str">
        <f>_xlfn.XLOOKUP(B420,MacReports!B:B,MacReports!D:D,"")</f>
        <v/>
      </c>
    </row>
    <row r="421" spans="6:6">
      <c r="F421" t="str">
        <f>_xlfn.XLOOKUP(B421,MacReports!B:B,MacReports!D:D,"")</f>
        <v/>
      </c>
    </row>
    <row r="422" spans="6:6">
      <c r="F422" t="str">
        <f>_xlfn.XLOOKUP(B422,MacReports!B:B,MacReports!D:D,"")</f>
        <v/>
      </c>
    </row>
    <row r="423" spans="6:6">
      <c r="F423" t="str">
        <f>_xlfn.XLOOKUP(B423,MacReports!B:B,MacReports!D:D,"")</f>
        <v/>
      </c>
    </row>
    <row r="424" spans="6:6">
      <c r="F424" t="str">
        <f>_xlfn.XLOOKUP(B424,MacReports!B:B,MacReports!D:D,"")</f>
        <v/>
      </c>
    </row>
    <row r="425" spans="6:6">
      <c r="F425" t="str">
        <f>_xlfn.XLOOKUP(B425,MacReports!B:B,MacReports!D:D,"")</f>
        <v/>
      </c>
    </row>
    <row r="426" spans="6:6">
      <c r="F426" t="str">
        <f>_xlfn.XLOOKUP(B426,MacReports!B:B,MacReports!D:D,"")</f>
        <v/>
      </c>
    </row>
    <row r="427" spans="6:6">
      <c r="F427" t="str">
        <f>_xlfn.XLOOKUP(B427,MacReports!B:B,MacReports!D:D,"")</f>
        <v/>
      </c>
    </row>
    <row r="428" spans="6:6">
      <c r="F428" t="str">
        <f>_xlfn.XLOOKUP(B428,MacReports!B:B,MacReports!D:D,"")</f>
        <v/>
      </c>
    </row>
    <row r="429" spans="6:6">
      <c r="F429" t="str">
        <f>_xlfn.XLOOKUP(B429,MacReports!B:B,MacReports!D:D,"")</f>
        <v/>
      </c>
    </row>
    <row r="430" spans="6:6">
      <c r="F430" t="str">
        <f>_xlfn.XLOOKUP(B430,MacReports!B:B,MacReports!D:D,"")</f>
        <v/>
      </c>
    </row>
    <row r="431" spans="6:6">
      <c r="F431" t="str">
        <f>_xlfn.XLOOKUP(B431,MacReports!B:B,MacReports!D:D,"")</f>
        <v/>
      </c>
    </row>
    <row r="432" spans="6:6">
      <c r="F432" t="str">
        <f>_xlfn.XLOOKUP(B432,MacReports!B:B,MacReports!D:D,"")</f>
        <v/>
      </c>
    </row>
    <row r="433" spans="6:6">
      <c r="F433" t="str">
        <f>_xlfn.XLOOKUP(B433,MacReports!B:B,MacReports!D:D,"")</f>
        <v/>
      </c>
    </row>
    <row r="434" spans="6:6">
      <c r="F434" t="str">
        <f>_xlfn.XLOOKUP(B434,MacReports!B:B,MacReports!D:D,"")</f>
        <v/>
      </c>
    </row>
    <row r="435" spans="6:6">
      <c r="F435" t="str">
        <f>_xlfn.XLOOKUP(B435,MacReports!B:B,MacReports!D:D,"")</f>
        <v/>
      </c>
    </row>
    <row r="436" spans="6:6">
      <c r="F436" t="str">
        <f>_xlfn.XLOOKUP(B436,MacReports!B:B,MacReports!D:D,"")</f>
        <v/>
      </c>
    </row>
    <row r="437" spans="6:6">
      <c r="F437" t="str">
        <f>_xlfn.XLOOKUP(B437,MacReports!B:B,MacReports!D:D,"")</f>
        <v/>
      </c>
    </row>
    <row r="438" spans="6:6">
      <c r="F438" t="str">
        <f>_xlfn.XLOOKUP(B438,MacReports!B:B,MacReports!D:D,"")</f>
        <v/>
      </c>
    </row>
    <row r="439" spans="6:6">
      <c r="F439" t="str">
        <f>_xlfn.XLOOKUP(B439,MacReports!B:B,MacReports!D:D,"")</f>
        <v/>
      </c>
    </row>
    <row r="440" spans="6:6">
      <c r="F440" t="str">
        <f>_xlfn.XLOOKUP(B440,MacReports!B:B,MacReports!D:D,"")</f>
        <v/>
      </c>
    </row>
    <row r="441" spans="6:6">
      <c r="F441" t="str">
        <f>_xlfn.XLOOKUP(B441,MacReports!B:B,MacReports!D:D,"")</f>
        <v/>
      </c>
    </row>
    <row r="442" spans="6:6">
      <c r="F442" t="str">
        <f>_xlfn.XLOOKUP(B442,MacReports!B:B,MacReports!D:D,"")</f>
        <v/>
      </c>
    </row>
    <row r="443" spans="6:6">
      <c r="F443" t="str">
        <f>_xlfn.XLOOKUP(B443,MacReports!B:B,MacReports!D:D,"")</f>
        <v/>
      </c>
    </row>
    <row r="444" spans="6:6">
      <c r="F444" t="str">
        <f>_xlfn.XLOOKUP(B444,MacReports!B:B,MacReports!D:D,"")</f>
        <v/>
      </c>
    </row>
    <row r="445" spans="6:6">
      <c r="F445" t="str">
        <f>_xlfn.XLOOKUP(B445,MacReports!B:B,MacReports!D:D,"")</f>
        <v/>
      </c>
    </row>
    <row r="446" spans="6:6">
      <c r="F446" t="str">
        <f>_xlfn.XLOOKUP(B446,MacReports!B:B,MacReports!D:D,"")</f>
        <v/>
      </c>
    </row>
    <row r="447" spans="6:6">
      <c r="F447" t="str">
        <f>_xlfn.XLOOKUP(B447,MacReports!B:B,MacReports!D:D,"")</f>
        <v/>
      </c>
    </row>
    <row r="448" spans="6:6">
      <c r="F448" t="str">
        <f>_xlfn.XLOOKUP(B448,MacReports!B:B,MacReports!D:D,"")</f>
        <v/>
      </c>
    </row>
    <row r="449" spans="6:6">
      <c r="F449" t="str">
        <f>_xlfn.XLOOKUP(B449,MacReports!B:B,MacReports!D:D,"")</f>
        <v/>
      </c>
    </row>
    <row r="450" spans="6:6">
      <c r="F450" t="str">
        <f>_xlfn.XLOOKUP(B450,MacReports!B:B,MacReports!D:D,"")</f>
        <v/>
      </c>
    </row>
    <row r="451" spans="6:6">
      <c r="F451" t="str">
        <f>_xlfn.XLOOKUP(B451,MacReports!B:B,MacReports!D:D,"")</f>
        <v/>
      </c>
    </row>
    <row r="452" spans="6:6">
      <c r="F452" t="str">
        <f>_xlfn.XLOOKUP(B452,MacReports!B:B,MacReports!D:D,"")</f>
        <v/>
      </c>
    </row>
    <row r="453" spans="6:6">
      <c r="F453" t="str">
        <f>_xlfn.XLOOKUP(B453,MacReports!B:B,MacReports!D:D,"")</f>
        <v/>
      </c>
    </row>
    <row r="454" spans="6:6">
      <c r="F454" t="str">
        <f>_xlfn.XLOOKUP(B454,MacReports!B:B,MacReports!D:D,"")</f>
        <v/>
      </c>
    </row>
    <row r="455" spans="6:6">
      <c r="F455" t="str">
        <f>_xlfn.XLOOKUP(B455,MacReports!B:B,MacReports!D:D,"")</f>
        <v/>
      </c>
    </row>
    <row r="456" spans="6:6">
      <c r="F456" t="str">
        <f>_xlfn.XLOOKUP(B456,MacReports!B:B,MacReports!D:D,"")</f>
        <v/>
      </c>
    </row>
    <row r="457" spans="6:6">
      <c r="F457" t="str">
        <f>_xlfn.XLOOKUP(B457,MacReports!B:B,MacReports!D:D,"")</f>
        <v/>
      </c>
    </row>
    <row r="458" spans="6:6">
      <c r="F458">
        <f>_xlfn.XLOOKUP(B458,MacReports!B:B,MacReports!D:D,"")</f>
        <v>0</v>
      </c>
    </row>
    <row r="459" spans="6:6">
      <c r="F459" t="str">
        <f>_xlfn.XLOOKUP(B459,MacReports!B:B,MacReports!D:D,"")</f>
        <v/>
      </c>
    </row>
    <row r="460" spans="6:6">
      <c r="F460">
        <f>_xlfn.XLOOKUP(B460,MacReports!B:B,MacReports!D:D,"")</f>
        <v>0</v>
      </c>
    </row>
    <row r="461" spans="6:6">
      <c r="F461" t="str">
        <f>_xlfn.XLOOKUP(B461,MacReports!B:B,MacReports!D:D,"")</f>
        <v/>
      </c>
    </row>
    <row r="462" spans="6:6">
      <c r="F462" t="str">
        <f>_xlfn.XLOOKUP(B462,MacReports!B:B,MacReports!D:D,"")</f>
        <v/>
      </c>
    </row>
    <row r="463" spans="6:6">
      <c r="F463" t="str">
        <f>_xlfn.XLOOKUP(B463,MacReports!B:B,MacReports!D:D,"")</f>
        <v/>
      </c>
    </row>
    <row r="464" spans="6:6">
      <c r="F464" t="str">
        <f>_xlfn.XLOOKUP(B464,MacReports!B:B,MacReports!D:D,"")</f>
        <v/>
      </c>
    </row>
    <row r="465" spans="6:6">
      <c r="F465" t="str">
        <f>_xlfn.XLOOKUP(B465,MacReports!B:B,MacReports!D:D,"")</f>
        <v/>
      </c>
    </row>
    <row r="466" spans="6:6">
      <c r="F466" t="str">
        <f>_xlfn.XLOOKUP(B466,MacReports!B:B,MacReports!D:D,"")</f>
        <v/>
      </c>
    </row>
    <row r="467" spans="6:6">
      <c r="F467" t="str">
        <f>_xlfn.XLOOKUP(B467,MacReports!B:B,MacReports!D:D,"")</f>
        <v/>
      </c>
    </row>
    <row r="468" spans="6:6">
      <c r="F468" t="str">
        <f>_xlfn.XLOOKUP(B468,MacReports!B:B,MacReports!D:D,"")</f>
        <v/>
      </c>
    </row>
    <row r="469" spans="6:6">
      <c r="F469" t="str">
        <f>_xlfn.XLOOKUP(B469,MacReports!B:B,MacReports!D:D,"")</f>
        <v/>
      </c>
    </row>
    <row r="470" spans="6:6">
      <c r="F470">
        <f>_xlfn.XLOOKUP(B470,MacReports!B:B,MacReports!D:D,"")</f>
        <v>0</v>
      </c>
    </row>
    <row r="471" spans="6:6">
      <c r="F471">
        <f>_xlfn.XLOOKUP(B471,MacReports!B:B,MacReports!D:D,"")</f>
        <v>0</v>
      </c>
    </row>
    <row r="472" spans="6:6">
      <c r="F472" t="str">
        <f>_xlfn.XLOOKUP(B472,MacReports!B:B,MacReports!D:D,"")</f>
        <v/>
      </c>
    </row>
    <row r="473" spans="6:6">
      <c r="F473" t="str">
        <f>_xlfn.XLOOKUP(B473,MacReports!B:B,MacReports!D:D,"")</f>
        <v/>
      </c>
    </row>
    <row r="474" spans="6:6">
      <c r="F474" t="str">
        <f>_xlfn.XLOOKUP(B474,MacReports!B:B,MacReports!D:D,"")</f>
        <v/>
      </c>
    </row>
    <row r="475" spans="6:6">
      <c r="F475" t="str">
        <f>_xlfn.XLOOKUP(B475,MacReports!B:B,MacReports!D:D,"")</f>
        <v/>
      </c>
    </row>
    <row r="476" spans="6:6">
      <c r="F476" t="str">
        <f>_xlfn.XLOOKUP(B476,MacReports!B:B,MacReports!D:D,"")</f>
        <v/>
      </c>
    </row>
    <row r="477" spans="6:6">
      <c r="F477" t="str">
        <f>_xlfn.XLOOKUP(B477,MacReports!B:B,MacReports!D:D,"")</f>
        <v/>
      </c>
    </row>
    <row r="478" spans="6:6">
      <c r="F478">
        <f>_xlfn.XLOOKUP(B478,MacReports!B:B,MacReports!D:D,"")</f>
        <v>0</v>
      </c>
    </row>
    <row r="479" spans="6:6">
      <c r="F479" t="str">
        <f>_xlfn.XLOOKUP(B479,MacReports!B:B,MacReports!D:D,"")</f>
        <v/>
      </c>
    </row>
    <row r="480" spans="6:6">
      <c r="F480" t="str">
        <f>_xlfn.XLOOKUP(B480,MacReports!B:B,MacReports!D:D,"")</f>
        <v/>
      </c>
    </row>
    <row r="481" spans="6:6">
      <c r="F481" t="str">
        <f>_xlfn.XLOOKUP(B481,MacReports!B:B,MacReports!D:D,"")</f>
        <v/>
      </c>
    </row>
    <row r="482" spans="6:6">
      <c r="F482" t="str">
        <f>_xlfn.XLOOKUP(B482,MacReports!B:B,MacReports!D:D,"")</f>
        <v/>
      </c>
    </row>
    <row r="483" spans="6:6">
      <c r="F483" t="str">
        <f>_xlfn.XLOOKUP(B483,MacReports!B:B,MacReports!D:D,"")</f>
        <v/>
      </c>
    </row>
    <row r="484" spans="6:6">
      <c r="F484" t="str">
        <f>_xlfn.XLOOKUP(B484,MacReports!B:B,MacReports!D:D,"")</f>
        <v/>
      </c>
    </row>
    <row r="485" spans="6:6">
      <c r="F485">
        <f>_xlfn.XLOOKUP(B485,MacReports!B:B,MacReports!D:D,"")</f>
        <v>0</v>
      </c>
    </row>
    <row r="486" spans="6:6">
      <c r="F486" t="str">
        <f>_xlfn.XLOOKUP(B486,MacReports!B:B,MacReports!D:D,"")</f>
        <v/>
      </c>
    </row>
    <row r="487" spans="6:6">
      <c r="F487" t="str">
        <f>_xlfn.XLOOKUP(B487,MacReports!B:B,MacReports!D:D,"")</f>
        <v/>
      </c>
    </row>
    <row r="488" spans="6:6">
      <c r="F488" t="str">
        <f>_xlfn.XLOOKUP(B488,MacReports!B:B,MacReports!D:D,"")</f>
        <v/>
      </c>
    </row>
    <row r="489" spans="6:6">
      <c r="F489" t="str">
        <f>_xlfn.XLOOKUP(B489,MacReports!B:B,MacReports!D:D,"")</f>
        <v/>
      </c>
    </row>
    <row r="490" spans="6:6">
      <c r="F490" t="str">
        <f>_xlfn.XLOOKUP(B490,MacReports!B:B,MacReports!D:D,"")</f>
        <v/>
      </c>
    </row>
    <row r="491" spans="6:6">
      <c r="F491" t="str">
        <f>_xlfn.XLOOKUP(B491,MacReports!B:B,MacReports!D:D,"")</f>
        <v/>
      </c>
    </row>
    <row r="492" spans="6:6">
      <c r="F492" t="str">
        <f>_xlfn.XLOOKUP(B492,MacReports!B:B,MacReports!D:D,"")</f>
        <v/>
      </c>
    </row>
    <row r="493" spans="6:6">
      <c r="F493" t="str">
        <f>_xlfn.XLOOKUP(B493,MacReports!B:B,MacReports!D:D,"")</f>
        <v/>
      </c>
    </row>
    <row r="494" spans="6:6">
      <c r="F494" t="str">
        <f>_xlfn.XLOOKUP(B494,MacReports!B:B,MacReports!D:D,"")</f>
        <v/>
      </c>
    </row>
    <row r="495" spans="6:6">
      <c r="F495" t="str">
        <f>_xlfn.XLOOKUP(B495,MacReports!B:B,MacReports!D:D,"")</f>
        <v/>
      </c>
    </row>
    <row r="496" spans="6:6">
      <c r="F496">
        <f>_xlfn.XLOOKUP(B496,MacReports!B:B,MacReports!D:D,"")</f>
        <v>0</v>
      </c>
    </row>
    <row r="497" spans="6:6">
      <c r="F497" t="str">
        <f>_xlfn.XLOOKUP(B497,MacReports!B:B,MacReports!D:D,"")</f>
        <v/>
      </c>
    </row>
    <row r="498" spans="6:6">
      <c r="F498" t="str">
        <f>_xlfn.XLOOKUP(B498,MacReports!B:B,MacReports!D:D,"")</f>
        <v/>
      </c>
    </row>
    <row r="499" spans="6:6">
      <c r="F499" t="str">
        <f>_xlfn.XLOOKUP(B499,MacReports!B:B,MacReports!D:D,"")</f>
        <v/>
      </c>
    </row>
    <row r="500" spans="6:6">
      <c r="F500" t="str">
        <f>_xlfn.XLOOKUP(B500,MacReports!B:B,MacReports!D:D,"")</f>
        <v/>
      </c>
    </row>
    <row r="501" spans="6:6">
      <c r="F501" t="str">
        <f>_xlfn.XLOOKUP(B501,MacReports!B:B,MacReports!D:D,"")</f>
        <v/>
      </c>
    </row>
    <row r="502" spans="6:6">
      <c r="F502" t="str">
        <f>_xlfn.XLOOKUP(B502,MacReports!B:B,MacReports!D:D,"")</f>
        <v/>
      </c>
    </row>
    <row r="503" spans="6:6">
      <c r="F503">
        <f>_xlfn.XLOOKUP(B503,MacReports!B:B,MacReports!D:D,"")</f>
        <v>0</v>
      </c>
    </row>
    <row r="504" spans="6:6">
      <c r="F504">
        <f>_xlfn.XLOOKUP(B504,MacReports!B:B,MacReports!D:D,"")</f>
        <v>0</v>
      </c>
    </row>
    <row r="505" spans="6:6">
      <c r="F505" t="str">
        <f>_xlfn.XLOOKUP(B505,MacReports!B:B,MacReports!D:D,"")</f>
        <v/>
      </c>
    </row>
    <row r="506" spans="6:6">
      <c r="F506" t="str">
        <f>_xlfn.XLOOKUP(B506,MacReports!B:B,MacReports!D:D,"")</f>
        <v/>
      </c>
    </row>
    <row r="507" spans="6:6">
      <c r="F507" t="str">
        <f>_xlfn.XLOOKUP(B507,MacReports!B:B,MacReports!D:D,"")</f>
        <v/>
      </c>
    </row>
    <row r="508" spans="6:6">
      <c r="F508" t="str">
        <f>_xlfn.XLOOKUP(B508,MacReports!B:B,MacReports!D:D,"")</f>
        <v/>
      </c>
    </row>
    <row r="509" spans="6:6">
      <c r="F509">
        <f>_xlfn.XLOOKUP(B509,MacReports!B:B,MacReports!D:D,"")</f>
        <v>0</v>
      </c>
    </row>
    <row r="510" spans="6:6">
      <c r="F510">
        <f>_xlfn.XLOOKUP(B510,MacReports!B:B,MacReports!D:D,"")</f>
        <v>0</v>
      </c>
    </row>
    <row r="511" spans="6:6">
      <c r="F511" t="str">
        <f>_xlfn.XLOOKUP(B511,MacReports!B:B,MacReports!D:D,"")</f>
        <v/>
      </c>
    </row>
    <row r="512" spans="6:6">
      <c r="F512">
        <f>_xlfn.XLOOKUP(B512,MacReports!B:B,MacReports!D:D,"")</f>
        <v>0</v>
      </c>
    </row>
    <row r="513" spans="6:6">
      <c r="F513" t="str">
        <f>_xlfn.XLOOKUP(B513,MacReports!B:B,MacReports!D:D,"")</f>
        <v/>
      </c>
    </row>
    <row r="514" spans="6:6">
      <c r="F514" t="str">
        <f>_xlfn.XLOOKUP(B514,MacReports!B:B,MacReports!D:D,"")</f>
        <v/>
      </c>
    </row>
    <row r="515" spans="6:6">
      <c r="F515" t="str">
        <f>_xlfn.XLOOKUP(B515,MacReports!B:B,MacReports!D:D,"")</f>
        <v/>
      </c>
    </row>
    <row r="516" spans="6:6">
      <c r="F516" t="str">
        <f>_xlfn.XLOOKUP(B516,MacReports!B:B,MacReports!D:D,"")</f>
        <v/>
      </c>
    </row>
    <row r="517" spans="6:6">
      <c r="F517">
        <f>_xlfn.XLOOKUP(B517,MacReports!B:B,MacReports!D:D,"")</f>
        <v>0</v>
      </c>
    </row>
    <row r="518" spans="6:6">
      <c r="F518">
        <f>_xlfn.XLOOKUP(B518,MacReports!B:B,MacReports!D:D,"")</f>
        <v>0</v>
      </c>
    </row>
    <row r="519" spans="6:6">
      <c r="F519" t="str">
        <f>_xlfn.XLOOKUP(B519,MacReports!B:B,MacReports!D:D,"")</f>
        <v/>
      </c>
    </row>
    <row r="520" spans="6:6">
      <c r="F520" t="str">
        <f>_xlfn.XLOOKUP(B520,MacReports!B:B,MacReports!D:D,"")</f>
        <v/>
      </c>
    </row>
    <row r="521" spans="6:6">
      <c r="F521" t="str">
        <f>_xlfn.XLOOKUP(B521,MacReports!B:B,MacReports!D:D,"")</f>
        <v/>
      </c>
    </row>
    <row r="522" spans="6:6">
      <c r="F522" t="str">
        <f>_xlfn.XLOOKUP(B522,MacReports!B:B,MacReports!D:D,"")</f>
        <v/>
      </c>
    </row>
    <row r="523" spans="6:6">
      <c r="F523" t="str">
        <f>_xlfn.XLOOKUP(B523,MacReports!B:B,MacReports!D:D,"")</f>
        <v/>
      </c>
    </row>
    <row r="524" spans="6:6">
      <c r="F524" t="str">
        <f>_xlfn.XLOOKUP(B524,MacReports!B:B,MacReports!D:D,"")</f>
        <v/>
      </c>
    </row>
    <row r="525" spans="6:6">
      <c r="F525" t="str">
        <f>_xlfn.XLOOKUP(B525,MacReports!B:B,MacReports!D:D,"")</f>
        <v/>
      </c>
    </row>
    <row r="526" spans="6:6">
      <c r="F526" t="str">
        <f>_xlfn.XLOOKUP(B526,MacReports!B:B,MacReports!D:D,"")</f>
        <v/>
      </c>
    </row>
    <row r="527" spans="6:6">
      <c r="F527" t="str">
        <f>_xlfn.XLOOKUP(B527,MacReports!B:B,MacReports!D:D,"")</f>
        <v/>
      </c>
    </row>
    <row r="528" spans="6:6">
      <c r="F528">
        <f>_xlfn.XLOOKUP(B528,MacReports!B:B,MacReports!D:D,"")</f>
        <v>0</v>
      </c>
    </row>
    <row r="529" spans="6:6">
      <c r="F529">
        <f>_xlfn.XLOOKUP(B529,MacReports!B:B,MacReports!D:D,"")</f>
        <v>0</v>
      </c>
    </row>
    <row r="530" spans="6:6">
      <c r="F530">
        <f>_xlfn.XLOOKUP(B530,MacReports!B:B,MacReports!D:D,"")</f>
        <v>0</v>
      </c>
    </row>
    <row r="531" spans="6:6">
      <c r="F531" t="str">
        <f>_xlfn.XLOOKUP(B531,MacReports!B:B,MacReports!D:D,"")</f>
        <v/>
      </c>
    </row>
    <row r="532" spans="6:6">
      <c r="F532" t="str">
        <f>_xlfn.XLOOKUP(B532,MacReports!B:B,MacReports!D:D,"")</f>
        <v/>
      </c>
    </row>
    <row r="533" spans="6:6">
      <c r="F533" t="str">
        <f>_xlfn.XLOOKUP(B533,MacReports!B:B,MacReports!D:D,"")</f>
        <v/>
      </c>
    </row>
    <row r="534" spans="6:6">
      <c r="F534" t="str">
        <f>_xlfn.XLOOKUP(B534,MacReports!B:B,MacReports!D:D,"")</f>
        <v/>
      </c>
    </row>
    <row r="535" spans="6:6">
      <c r="F535" t="str">
        <f>_xlfn.XLOOKUP(B535,MacReports!B:B,MacReports!D:D,"")</f>
        <v/>
      </c>
    </row>
    <row r="536" spans="6:6">
      <c r="F536">
        <f>_xlfn.XLOOKUP(B536,MacReports!B:B,MacReports!D:D,"")</f>
        <v>0</v>
      </c>
    </row>
    <row r="537" spans="6:6">
      <c r="F537" t="str">
        <f>_xlfn.XLOOKUP(B537,MacReports!B:B,MacReports!D:D,"")</f>
        <v/>
      </c>
    </row>
    <row r="538" spans="6:6">
      <c r="F538" t="str">
        <f>_xlfn.XLOOKUP(B538,MacReports!B:B,MacReports!D:D,"")</f>
        <v/>
      </c>
    </row>
    <row r="539" spans="6:6">
      <c r="F539" t="str">
        <f>_xlfn.XLOOKUP(B539,MacReports!B:B,MacReports!D:D,"")</f>
        <v/>
      </c>
    </row>
    <row r="540" spans="6:6">
      <c r="F540" t="str">
        <f>_xlfn.XLOOKUP(B540,MacReports!B:B,MacReports!D:D,"")</f>
        <v/>
      </c>
    </row>
    <row r="541" spans="6:6">
      <c r="F541">
        <f>_xlfn.XLOOKUP(B541,MacReports!B:B,MacReports!D:D,"")</f>
        <v>0</v>
      </c>
    </row>
    <row r="542" spans="6:6">
      <c r="F542" t="str">
        <f>_xlfn.XLOOKUP(B542,MacReports!B:B,MacReports!D:D,"")</f>
        <v/>
      </c>
    </row>
    <row r="543" spans="6:6">
      <c r="F543" t="str">
        <f>_xlfn.XLOOKUP(B543,MacReports!B:B,MacReports!D:D,"")</f>
        <v/>
      </c>
    </row>
    <row r="544" spans="6:6">
      <c r="F544" t="str">
        <f>_xlfn.XLOOKUP(B544,MacReports!B:B,MacReports!D:D,"")</f>
        <v/>
      </c>
    </row>
    <row r="545" spans="6:6">
      <c r="F545" t="str">
        <f>_xlfn.XLOOKUP(B545,MacReports!B:B,MacReports!D:D,"")</f>
        <v/>
      </c>
    </row>
    <row r="546" spans="6:6">
      <c r="F546">
        <f>_xlfn.XLOOKUP(B546,MacReports!B:B,MacReports!D:D,"")</f>
        <v>0</v>
      </c>
    </row>
    <row r="547" spans="6:6">
      <c r="F547" t="str">
        <f>_xlfn.XLOOKUP(B547,MacReports!B:B,MacReports!D:D,"")</f>
        <v/>
      </c>
    </row>
    <row r="548" spans="6:6">
      <c r="F548">
        <f>_xlfn.XLOOKUP(B548,MacReports!B:B,MacReports!D:D,"")</f>
        <v>0</v>
      </c>
    </row>
    <row r="549" spans="6:6">
      <c r="F549" t="str">
        <f>_xlfn.XLOOKUP(B549,MacReports!B:B,MacReports!D:D,"")</f>
        <v/>
      </c>
    </row>
    <row r="550" spans="6:6">
      <c r="F550" t="str">
        <f>_xlfn.XLOOKUP(B550,MacReports!B:B,MacReports!D:D,"")</f>
        <v/>
      </c>
    </row>
    <row r="551" spans="6:6">
      <c r="F551" t="str">
        <f>_xlfn.XLOOKUP(B551,MacReports!B:B,MacReports!D:D,"")</f>
        <v/>
      </c>
    </row>
    <row r="552" spans="6:6">
      <c r="F552" t="str">
        <f>_xlfn.XLOOKUP(B552,MacReports!B:B,MacReports!D:D,"")</f>
        <v/>
      </c>
    </row>
    <row r="553" spans="6:6">
      <c r="F553">
        <f>_xlfn.XLOOKUP(B553,MacReports!B:B,MacReports!D:D,"")</f>
        <v>0</v>
      </c>
    </row>
    <row r="554" spans="6:6">
      <c r="F554">
        <f>_xlfn.XLOOKUP(B554,MacReports!B:B,MacReports!D:D,"")</f>
        <v>0</v>
      </c>
    </row>
    <row r="555" spans="6:6">
      <c r="F555" t="str">
        <f>_xlfn.XLOOKUP(B555,MacReports!B:B,MacReports!D:D,"")</f>
        <v/>
      </c>
    </row>
    <row r="556" spans="6:6">
      <c r="F556" t="str">
        <f>_xlfn.XLOOKUP(B556,MacReports!B:B,MacReports!D:D,"")</f>
        <v/>
      </c>
    </row>
    <row r="557" spans="6:6">
      <c r="F557" t="str">
        <f>_xlfn.XLOOKUP(B557,MacReports!B:B,MacReports!D:D,"")</f>
        <v/>
      </c>
    </row>
    <row r="558" spans="6:6">
      <c r="F558" t="str">
        <f>_xlfn.XLOOKUP(B558,MacReports!B:B,MacReports!D:D,"")</f>
        <v/>
      </c>
    </row>
    <row r="559" spans="6:6">
      <c r="F559" t="str">
        <f>_xlfn.XLOOKUP(B559,MacReports!B:B,MacReports!D:D,"")</f>
        <v/>
      </c>
    </row>
    <row r="560" spans="6:6">
      <c r="F560">
        <f>_xlfn.XLOOKUP(B560,MacReports!B:B,MacReports!D:D,"")</f>
        <v>0</v>
      </c>
    </row>
    <row r="561" spans="6:6">
      <c r="F561" t="str">
        <f>_xlfn.XLOOKUP(B561,MacReports!B:B,MacReports!D:D,"")</f>
        <v/>
      </c>
    </row>
    <row r="562" spans="6:6">
      <c r="F562" t="str">
        <f>_xlfn.XLOOKUP(B562,MacReports!B:B,MacReports!D:D,"")</f>
        <v/>
      </c>
    </row>
    <row r="563" spans="6:6">
      <c r="F563" t="str">
        <f>_xlfn.XLOOKUP(B563,MacReports!B:B,MacReports!D:D,"")</f>
        <v/>
      </c>
    </row>
    <row r="564" spans="6:6">
      <c r="F564">
        <f>_xlfn.XLOOKUP(B564,MacReports!B:B,MacReports!D:D,"")</f>
        <v>0</v>
      </c>
    </row>
    <row r="565" spans="6:6">
      <c r="F565">
        <f>_xlfn.XLOOKUP(B565,MacReports!B:B,MacReports!D:D,"")</f>
        <v>0</v>
      </c>
    </row>
    <row r="566" spans="6:6">
      <c r="F566">
        <f>_xlfn.XLOOKUP(B566,MacReports!B:B,MacReports!D:D,"")</f>
        <v>0</v>
      </c>
    </row>
    <row r="567" spans="6:6">
      <c r="F567" t="str">
        <f>_xlfn.XLOOKUP(B567,MacReports!B:B,MacReports!D:D,"")</f>
        <v/>
      </c>
    </row>
    <row r="568" spans="6:6">
      <c r="F568" t="str">
        <f>_xlfn.XLOOKUP(B568,MacReports!B:B,MacReports!D:D,"")</f>
        <v/>
      </c>
    </row>
    <row r="569" spans="6:6">
      <c r="F569" t="str">
        <f>_xlfn.XLOOKUP(B569,MacReports!B:B,MacReports!D:D,"")</f>
        <v/>
      </c>
    </row>
    <row r="570" spans="6:6">
      <c r="F570" t="str">
        <f>_xlfn.XLOOKUP(B570,MacReports!B:B,MacReports!D:D,"")</f>
        <v/>
      </c>
    </row>
    <row r="571" spans="6:6">
      <c r="F571">
        <f>_xlfn.XLOOKUP(B571,MacReports!B:B,MacReports!D:D,"")</f>
        <v>0</v>
      </c>
    </row>
    <row r="572" spans="6:6">
      <c r="F572">
        <f>_xlfn.XLOOKUP(B572,MacReports!B:B,MacReports!D:D,"")</f>
        <v>0</v>
      </c>
    </row>
    <row r="573" spans="6:6">
      <c r="F573" t="str">
        <f>_xlfn.XLOOKUP(B573,MacReports!B:B,MacReports!D:D,"")</f>
        <v/>
      </c>
    </row>
    <row r="574" spans="6:6">
      <c r="F574" t="str">
        <f>_xlfn.XLOOKUP(B574,MacReports!B:B,MacReports!D:D,"")</f>
        <v/>
      </c>
    </row>
    <row r="575" spans="6:6">
      <c r="F575" t="str">
        <f>_xlfn.XLOOKUP(B575,MacReports!B:B,MacReports!D:D,"")</f>
        <v/>
      </c>
    </row>
    <row r="576" spans="6:6">
      <c r="F576" t="str">
        <f>_xlfn.XLOOKUP(B576,MacReports!B:B,MacReports!D:D,"")</f>
        <v/>
      </c>
    </row>
    <row r="577" spans="6:6">
      <c r="F577">
        <f>_xlfn.XLOOKUP(B577,MacReports!B:B,MacReports!D:D,"")</f>
        <v>0</v>
      </c>
    </row>
    <row r="578" spans="6:6">
      <c r="F578" t="str">
        <f>_xlfn.XLOOKUP(B578,MacReports!B:B,MacReports!D:D,"")</f>
        <v/>
      </c>
    </row>
    <row r="579" spans="6:6">
      <c r="F579" t="str">
        <f>_xlfn.XLOOKUP(B579,MacReports!B:B,MacReports!D:D,"")</f>
        <v/>
      </c>
    </row>
    <row r="580" spans="6:6">
      <c r="F580" t="str">
        <f>_xlfn.XLOOKUP(B580,MacReports!B:B,MacReports!D:D,"")</f>
        <v/>
      </c>
    </row>
    <row r="581" spans="6:6">
      <c r="F581" t="str">
        <f>_xlfn.XLOOKUP(B581,MacReports!B:B,MacReports!D:D,"")</f>
        <v/>
      </c>
    </row>
    <row r="582" spans="6:6">
      <c r="F582">
        <f>_xlfn.XLOOKUP(B582,MacReports!B:B,MacReports!D:D,"")</f>
        <v>0</v>
      </c>
    </row>
    <row r="583" spans="6:6">
      <c r="F583" t="str">
        <f>_xlfn.XLOOKUP(B583,MacReports!B:B,MacReports!D:D,"")</f>
        <v/>
      </c>
    </row>
    <row r="584" spans="6:6">
      <c r="F584">
        <f>_xlfn.XLOOKUP(B584,MacReports!B:B,MacReports!D:D,"")</f>
        <v>0</v>
      </c>
    </row>
    <row r="585" spans="6:6">
      <c r="F585" t="str">
        <f>_xlfn.XLOOKUP(B585,MacReports!B:B,MacReports!D:D,"")</f>
        <v/>
      </c>
    </row>
    <row r="586" spans="6:6">
      <c r="F586" t="str">
        <f>_xlfn.XLOOKUP(B586,MacReports!B:B,MacReports!D:D,"")</f>
        <v/>
      </c>
    </row>
    <row r="587" spans="6:6">
      <c r="F587" t="str">
        <f>_xlfn.XLOOKUP(B587,MacReports!B:B,MacReports!D:D,"")</f>
        <v/>
      </c>
    </row>
    <row r="588" spans="6:6">
      <c r="F588" t="str">
        <f>_xlfn.XLOOKUP(B588,MacReports!B:B,MacReports!D:D,"")</f>
        <v/>
      </c>
    </row>
    <row r="589" spans="6:6">
      <c r="F589">
        <f>_xlfn.XLOOKUP(B589,MacReports!B:B,MacReports!D:D,"")</f>
        <v>0</v>
      </c>
    </row>
    <row r="590" spans="6:6">
      <c r="F590">
        <f>_xlfn.XLOOKUP(B590,MacReports!B:B,MacReports!D:D,"")</f>
        <v>0</v>
      </c>
    </row>
    <row r="591" spans="6:6">
      <c r="F591" t="str">
        <f>_xlfn.XLOOKUP(B591,MacReports!B:B,MacReports!D:D,"")</f>
        <v/>
      </c>
    </row>
    <row r="592" spans="6:6">
      <c r="F592" t="str">
        <f>_xlfn.XLOOKUP(B592,MacReports!B:B,MacReports!D:D,"")</f>
        <v/>
      </c>
    </row>
    <row r="593" spans="6:6">
      <c r="F593" t="str">
        <f>_xlfn.XLOOKUP(B593,MacReports!B:B,MacReports!D:D,"")</f>
        <v/>
      </c>
    </row>
    <row r="594" spans="6:6">
      <c r="F594" t="str">
        <f>_xlfn.XLOOKUP(B594,MacReports!B:B,MacReports!D:D,"")</f>
        <v/>
      </c>
    </row>
    <row r="595" spans="6:6">
      <c r="F595">
        <f>_xlfn.XLOOKUP(B595,MacReports!B:B,MacReports!D:D,"")</f>
        <v>0</v>
      </c>
    </row>
    <row r="596" spans="6:6">
      <c r="F596" t="str">
        <f>_xlfn.XLOOKUP(B596,MacReports!B:B,MacReports!D:D,"")</f>
        <v/>
      </c>
    </row>
    <row r="597" spans="6:6">
      <c r="F597" t="str">
        <f>_xlfn.XLOOKUP(B597,MacReports!B:B,MacReports!D:D,"")</f>
        <v/>
      </c>
    </row>
    <row r="598" spans="6:6">
      <c r="F598" t="str">
        <f>_xlfn.XLOOKUP(B598,MacReports!B:B,MacReports!D:D,"")</f>
        <v/>
      </c>
    </row>
    <row r="599" spans="6:6">
      <c r="F599" t="str">
        <f>_xlfn.XLOOKUP(B599,MacReports!B:B,MacReports!D:D,"")</f>
        <v/>
      </c>
    </row>
    <row r="600" spans="6:6">
      <c r="F600">
        <f>_xlfn.XLOOKUP(B600,MacReports!B:B,MacReports!D:D,"")</f>
        <v>0</v>
      </c>
    </row>
    <row r="601" spans="6:6">
      <c r="F601" t="str">
        <f>_xlfn.XLOOKUP(B601,MacReports!B:B,MacReports!D:D,"")</f>
        <v/>
      </c>
    </row>
    <row r="602" spans="6:6">
      <c r="F602" t="str">
        <f>_xlfn.XLOOKUP(B602,MacReports!B:B,MacReports!D:D,"")</f>
        <v/>
      </c>
    </row>
    <row r="603" spans="6:6">
      <c r="F603" t="str">
        <f>_xlfn.XLOOKUP(B603,MacReports!B:B,MacReports!D:D,"")</f>
        <v/>
      </c>
    </row>
    <row r="604" spans="6:6">
      <c r="F604" t="str">
        <f>_xlfn.XLOOKUP(B604,MacReports!B:B,MacReports!D:D,"")</f>
        <v/>
      </c>
    </row>
    <row r="605" spans="6:6">
      <c r="F605" t="str">
        <f>_xlfn.XLOOKUP(B605,MacReports!B:B,MacReports!D:D,"")</f>
        <v/>
      </c>
    </row>
    <row r="606" spans="6:6">
      <c r="F606" t="str">
        <f>_xlfn.XLOOKUP(B606,MacReports!B:B,MacReports!D:D,"")</f>
        <v/>
      </c>
    </row>
    <row r="607" spans="6:6">
      <c r="F607">
        <f>_xlfn.XLOOKUP(B607,MacReports!B:B,MacReports!D:D,"")</f>
        <v>0</v>
      </c>
    </row>
    <row r="608" spans="6:6">
      <c r="F608" t="str">
        <f>_xlfn.XLOOKUP(B608,MacReports!B:B,MacReports!D:D,"")</f>
        <v/>
      </c>
    </row>
    <row r="609" spans="6:6">
      <c r="F609" t="str">
        <f>_xlfn.XLOOKUP(B609,MacReports!B:B,MacReports!D:D,"")</f>
        <v/>
      </c>
    </row>
    <row r="610" spans="6:6">
      <c r="F610" t="str">
        <f>_xlfn.XLOOKUP(B610,MacReports!B:B,MacReports!D:D,"")</f>
        <v/>
      </c>
    </row>
    <row r="611" spans="6:6">
      <c r="F611" t="str">
        <f>_xlfn.XLOOKUP(B611,MacReports!B:B,MacReports!D:D,"")</f>
        <v/>
      </c>
    </row>
    <row r="612" spans="6:6">
      <c r="F612" t="str">
        <f>_xlfn.XLOOKUP(B612,MacReports!B:B,MacReports!D:D,"")</f>
        <v/>
      </c>
    </row>
    <row r="613" spans="6:6">
      <c r="F613" t="str">
        <f>_xlfn.XLOOKUP(B613,MacReports!B:B,MacReports!D:D,"")</f>
        <v/>
      </c>
    </row>
    <row r="614" spans="6:6">
      <c r="F614">
        <f>_xlfn.XLOOKUP(B614,MacReports!B:B,MacReports!D:D,"")</f>
        <v>0</v>
      </c>
    </row>
    <row r="615" spans="6:6">
      <c r="F615" t="str">
        <f>_xlfn.XLOOKUP(B615,MacReports!B:B,MacReports!D:D,"")</f>
        <v/>
      </c>
    </row>
    <row r="616" spans="6:6">
      <c r="F616" t="str">
        <f>_xlfn.XLOOKUP(B616,MacReports!B:B,MacReports!D:D,"")</f>
        <v/>
      </c>
    </row>
    <row r="617" spans="6:6">
      <c r="F617" t="str">
        <f>_xlfn.XLOOKUP(B617,MacReports!B:B,MacReports!D:D,"")</f>
        <v/>
      </c>
    </row>
    <row r="618" spans="6:6">
      <c r="F618">
        <f>_xlfn.XLOOKUP(B618,MacReports!B:B,MacReports!D:D,"")</f>
        <v>0</v>
      </c>
    </row>
    <row r="619" spans="6:6">
      <c r="F619">
        <f>_xlfn.XLOOKUP(B619,MacReports!B:B,MacReports!D:D,"")</f>
        <v>0</v>
      </c>
    </row>
    <row r="620" spans="6:6">
      <c r="F620">
        <f>_xlfn.XLOOKUP(B620,MacReports!B:B,MacReports!D:D,"")</f>
        <v>0</v>
      </c>
    </row>
    <row r="621" spans="6:6">
      <c r="F621" t="str">
        <f>_xlfn.XLOOKUP(B621,MacReports!B:B,MacReports!D:D,"")</f>
        <v/>
      </c>
    </row>
    <row r="622" spans="6:6">
      <c r="F622" t="str">
        <f>_xlfn.XLOOKUP(B622,MacReports!B:B,MacReports!D:D,"")</f>
        <v/>
      </c>
    </row>
    <row r="623" spans="6:6">
      <c r="F623" t="str">
        <f>_xlfn.XLOOKUP(B623,MacReports!B:B,MacReports!D:D,"")</f>
        <v/>
      </c>
    </row>
    <row r="624" spans="6:6">
      <c r="F624" t="str">
        <f>_xlfn.XLOOKUP(B624,MacReports!B:B,MacReports!D:D,"")</f>
        <v/>
      </c>
    </row>
    <row r="625" spans="6:6">
      <c r="F625">
        <f>_xlfn.XLOOKUP(B625,MacReports!B:B,MacReports!D:D,"")</f>
        <v>0</v>
      </c>
    </row>
    <row r="626" spans="6:6">
      <c r="F626">
        <f>_xlfn.XLOOKUP(B626,MacReports!B:B,MacReports!D:D,"")</f>
        <v>0</v>
      </c>
    </row>
    <row r="627" spans="6:6">
      <c r="F627" t="str">
        <f>_xlfn.XLOOKUP(B627,MacReports!B:B,MacReports!D:D,"")</f>
        <v/>
      </c>
    </row>
    <row r="628" spans="6:6">
      <c r="F628" t="str">
        <f>_xlfn.XLOOKUP(B628,MacReports!B:B,MacReports!D:D,"")</f>
        <v/>
      </c>
    </row>
    <row r="629" spans="6:6">
      <c r="F629" t="str">
        <f>_xlfn.XLOOKUP(B629,MacReports!B:B,MacReports!D:D,"")</f>
        <v/>
      </c>
    </row>
    <row r="630" spans="6:6">
      <c r="F630" t="str">
        <f>_xlfn.XLOOKUP(B630,MacReports!B:B,MacReports!D:D,"")</f>
        <v/>
      </c>
    </row>
    <row r="631" spans="6:6">
      <c r="F631">
        <f>_xlfn.XLOOKUP(B631,MacReports!B:B,MacReports!D:D,"")</f>
        <v>0</v>
      </c>
    </row>
    <row r="632" spans="6:6">
      <c r="F632" t="str">
        <f>_xlfn.XLOOKUP(B632,MacReports!B:B,MacReports!D:D,"")</f>
        <v/>
      </c>
    </row>
    <row r="633" spans="6:6">
      <c r="F633" t="str">
        <f>_xlfn.XLOOKUP(B633,MacReports!B:B,MacReports!D:D,"")</f>
        <v/>
      </c>
    </row>
    <row r="634" spans="6:6">
      <c r="F634" t="str">
        <f>_xlfn.XLOOKUP(B634,MacReports!B:B,MacReports!D:D,"")</f>
        <v/>
      </c>
    </row>
    <row r="635" spans="6:6">
      <c r="F635" t="str">
        <f>_xlfn.XLOOKUP(B635,MacReports!B:B,MacReports!D:D,"")</f>
        <v/>
      </c>
    </row>
    <row r="636" spans="6:6">
      <c r="F636">
        <f>_xlfn.XLOOKUP(B636,MacReports!B:B,MacReports!D:D,"")</f>
        <v>0</v>
      </c>
    </row>
    <row r="637" spans="6:6">
      <c r="F637">
        <f>_xlfn.XLOOKUP(B637,MacReports!B:B,MacReports!D:D,"")</f>
        <v>0</v>
      </c>
    </row>
    <row r="638" spans="6:6">
      <c r="F638">
        <f>_xlfn.XLOOKUP(B638,MacReports!B:B,MacReports!D:D,"")</f>
        <v>0</v>
      </c>
    </row>
    <row r="639" spans="6:6">
      <c r="F639" t="str">
        <f>_xlfn.XLOOKUP(B639,MacReports!B:B,MacReports!D:D,"")</f>
        <v/>
      </c>
    </row>
    <row r="640" spans="6:6">
      <c r="F640" t="str">
        <f>_xlfn.XLOOKUP(B640,MacReports!B:B,MacReports!D:D,"")</f>
        <v/>
      </c>
    </row>
    <row r="641" spans="6:6">
      <c r="F641" t="str">
        <f>_xlfn.XLOOKUP(B641,MacReports!B:B,MacReports!D:D,"")</f>
        <v/>
      </c>
    </row>
    <row r="642" spans="6:6">
      <c r="F642" t="str">
        <f>_xlfn.XLOOKUP(B642,MacReports!B:B,MacReports!D:D,"")</f>
        <v/>
      </c>
    </row>
    <row r="643" spans="6:6">
      <c r="F643" t="str">
        <f>_xlfn.XLOOKUP(B643,MacReports!B:B,MacReports!D:D,"")</f>
        <v/>
      </c>
    </row>
    <row r="644" spans="6:6">
      <c r="F644">
        <f>_xlfn.XLOOKUP(B644,MacReports!B:B,MacReports!D:D,"")</f>
        <v>0</v>
      </c>
    </row>
    <row r="645" spans="6:6">
      <c r="F645" t="str">
        <f>_xlfn.XLOOKUP(B645,MacReports!B:B,MacReports!D:D,"")</f>
        <v/>
      </c>
    </row>
    <row r="646" spans="6:6">
      <c r="F646" t="str">
        <f>_xlfn.XLOOKUP(B646,MacReports!B:B,MacReports!D:D,"")</f>
        <v/>
      </c>
    </row>
    <row r="647" spans="6:6">
      <c r="F647" t="str">
        <f>_xlfn.XLOOKUP(B647,MacReports!B:B,MacReports!D:D,"")</f>
        <v/>
      </c>
    </row>
    <row r="648" spans="6:6">
      <c r="F648" t="str">
        <f>_xlfn.XLOOKUP(B648,MacReports!B:B,MacReports!D:D,"")</f>
        <v/>
      </c>
    </row>
    <row r="649" spans="6:6">
      <c r="F649" t="str">
        <f>_xlfn.XLOOKUP(B649,MacReports!B:B,MacReports!D:D,"")</f>
        <v/>
      </c>
    </row>
    <row r="650" spans="6:6">
      <c r="F650" t="str">
        <f>_xlfn.XLOOKUP(B650,MacReports!B:B,MacReports!D:D,"")</f>
        <v/>
      </c>
    </row>
    <row r="651" spans="6:6">
      <c r="F651" t="str">
        <f>_xlfn.XLOOKUP(B651,MacReports!B:B,MacReports!D:D,"")</f>
        <v/>
      </c>
    </row>
    <row r="652" spans="6:6">
      <c r="F652" t="str">
        <f>_xlfn.XLOOKUP(B652,MacReports!B:B,MacReports!D:D,"")</f>
        <v/>
      </c>
    </row>
    <row r="653" spans="6:6">
      <c r="F653" t="str">
        <f>_xlfn.XLOOKUP(B653,MacReports!B:B,MacReports!D:D,"")</f>
        <v/>
      </c>
    </row>
    <row r="654" spans="6:6">
      <c r="F654">
        <f>_xlfn.XLOOKUP(B654,MacReports!B:B,MacReports!D:D,"")</f>
        <v>0</v>
      </c>
    </row>
    <row r="655" spans="6:6">
      <c r="F655" t="str">
        <f>_xlfn.XLOOKUP(B655,MacReports!B:B,MacReports!D:D,"")</f>
        <v/>
      </c>
    </row>
    <row r="656" spans="6:6">
      <c r="F656">
        <f>_xlfn.XLOOKUP(B656,MacReports!B:B,MacReports!D:D,"")</f>
        <v>0</v>
      </c>
    </row>
    <row r="657" spans="6:6">
      <c r="F657" t="str">
        <f>_xlfn.XLOOKUP(B657,MacReports!B:B,MacReports!D:D,"")</f>
        <v/>
      </c>
    </row>
    <row r="658" spans="6:6">
      <c r="F658" t="str">
        <f>_xlfn.XLOOKUP(B658,MacReports!B:B,MacReports!D:D,"")</f>
        <v/>
      </c>
    </row>
    <row r="659" spans="6:6">
      <c r="F659" t="str">
        <f>_xlfn.XLOOKUP(B659,MacReports!B:B,MacReports!D:D,"")</f>
        <v/>
      </c>
    </row>
    <row r="660" spans="6:6">
      <c r="F660" t="str">
        <f>_xlfn.XLOOKUP(B660,MacReports!B:B,MacReports!D:D,"")</f>
        <v/>
      </c>
    </row>
    <row r="661" spans="6:6">
      <c r="F661">
        <f>_xlfn.XLOOKUP(B661,MacReports!B:B,MacReports!D:D,"")</f>
        <v>0</v>
      </c>
    </row>
    <row r="662" spans="6:6">
      <c r="F662">
        <f>_xlfn.XLOOKUP(B662,MacReports!B:B,MacReports!D:D,"")</f>
        <v>0</v>
      </c>
    </row>
    <row r="663" spans="6:6">
      <c r="F663" t="str">
        <f>_xlfn.XLOOKUP(B663,MacReports!B:B,MacReports!D:D,"")</f>
        <v/>
      </c>
    </row>
    <row r="664" spans="6:6">
      <c r="F664" t="str">
        <f>_xlfn.XLOOKUP(B664,MacReports!B:B,MacReports!D:D,"")</f>
        <v/>
      </c>
    </row>
    <row r="665" spans="6:6">
      <c r="F665" t="str">
        <f>_xlfn.XLOOKUP(B665,MacReports!B:B,MacReports!D:D,"")</f>
        <v/>
      </c>
    </row>
    <row r="666" spans="6:6">
      <c r="F666" t="str">
        <f>_xlfn.XLOOKUP(B666,MacReports!B:B,MacReports!D:D,"")</f>
        <v/>
      </c>
    </row>
    <row r="667" spans="6:6">
      <c r="F667">
        <f>_xlfn.XLOOKUP(B667,MacReports!B:B,MacReports!D:D,"")</f>
        <v>0</v>
      </c>
    </row>
    <row r="668" spans="6:6">
      <c r="F668">
        <f>_xlfn.XLOOKUP(B668,MacReports!B:B,MacReports!D:D,"")</f>
        <v>0</v>
      </c>
    </row>
    <row r="669" spans="6:6">
      <c r="F669" t="str">
        <f>_xlfn.XLOOKUP(B669,MacReports!B:B,MacReports!D:D,"")</f>
        <v/>
      </c>
    </row>
    <row r="670" spans="6:6">
      <c r="F670" t="str">
        <f>_xlfn.XLOOKUP(B670,MacReports!B:B,MacReports!D:D,"")</f>
        <v/>
      </c>
    </row>
    <row r="671" spans="6:6">
      <c r="F671" t="str">
        <f>_xlfn.XLOOKUP(B671,MacReports!B:B,MacReports!D:D,"")</f>
        <v/>
      </c>
    </row>
    <row r="672" spans="6:6">
      <c r="F672">
        <f>_xlfn.XLOOKUP(B672,MacReports!B:B,MacReports!D:D,"")</f>
        <v>0</v>
      </c>
    </row>
    <row r="673" spans="6:6">
      <c r="F673">
        <f>_xlfn.XLOOKUP(B673,MacReports!B:B,MacReports!D:D,"")</f>
        <v>0</v>
      </c>
    </row>
    <row r="674" spans="6:6">
      <c r="F674">
        <f>_xlfn.XLOOKUP(B674,MacReports!B:B,MacReports!D:D,"")</f>
        <v>0</v>
      </c>
    </row>
    <row r="675" spans="6:6">
      <c r="F675" t="str">
        <f>_xlfn.XLOOKUP(B675,MacReports!B:B,MacReports!D:D,"")</f>
        <v/>
      </c>
    </row>
    <row r="676" spans="6:6">
      <c r="F676" t="str">
        <f>_xlfn.XLOOKUP(B676,MacReports!B:B,MacReports!D:D,"")</f>
        <v/>
      </c>
    </row>
    <row r="677" spans="6:6">
      <c r="F677" t="str">
        <f>_xlfn.XLOOKUP(B677,MacReports!B:B,MacReports!D:D,"")</f>
        <v/>
      </c>
    </row>
    <row r="678" spans="6:6">
      <c r="F678" t="str">
        <f>_xlfn.XLOOKUP(B678,MacReports!B:B,MacReports!D:D,"")</f>
        <v/>
      </c>
    </row>
    <row r="679" spans="6:6">
      <c r="F679">
        <f>_xlfn.XLOOKUP(B679,MacReports!B:B,MacReports!D:D,"")</f>
        <v>0</v>
      </c>
    </row>
    <row r="680" spans="6:6">
      <c r="F680">
        <f>_xlfn.XLOOKUP(B680,MacReports!B:B,MacReports!D:D,"")</f>
        <v>0</v>
      </c>
    </row>
    <row r="681" spans="6:6">
      <c r="F681" t="str">
        <f>_xlfn.XLOOKUP(B681,MacReports!B:B,MacReports!D:D,"")</f>
        <v/>
      </c>
    </row>
    <row r="682" spans="6:6">
      <c r="F682" t="str">
        <f>_xlfn.XLOOKUP(B682,MacReports!B:B,MacReports!D:D,"")</f>
        <v/>
      </c>
    </row>
    <row r="683" spans="6:6">
      <c r="F683" t="str">
        <f>_xlfn.XLOOKUP(B683,MacReports!B:B,MacReports!D:D,"")</f>
        <v/>
      </c>
    </row>
    <row r="684" spans="6:6">
      <c r="F684" t="str">
        <f>_xlfn.XLOOKUP(B684,MacReports!B:B,MacReports!D:D,"")</f>
        <v/>
      </c>
    </row>
    <row r="685" spans="6:6">
      <c r="F685">
        <f>_xlfn.XLOOKUP(B685,MacReports!B:B,MacReports!D:D,"")</f>
        <v>0</v>
      </c>
    </row>
    <row r="686" spans="6:6">
      <c r="F686" t="str">
        <f>_xlfn.XLOOKUP(B686,MacReports!B:B,MacReports!D:D,"")</f>
        <v/>
      </c>
    </row>
    <row r="687" spans="6:6">
      <c r="F687" t="str">
        <f>_xlfn.XLOOKUP(B687,MacReports!B:B,MacReports!D:D,"")</f>
        <v/>
      </c>
    </row>
    <row r="688" spans="6:6">
      <c r="F688" t="str">
        <f>_xlfn.XLOOKUP(B688,MacReports!B:B,MacReports!D:D,"")</f>
        <v/>
      </c>
    </row>
    <row r="689" spans="6:6">
      <c r="F689" t="str">
        <f>_xlfn.XLOOKUP(B689,MacReports!B:B,MacReports!D:D,"")</f>
        <v/>
      </c>
    </row>
    <row r="690" spans="6:6">
      <c r="F690">
        <f>_xlfn.XLOOKUP(B690,MacReports!B:B,MacReports!D:D,"")</f>
        <v>0</v>
      </c>
    </row>
    <row r="691" spans="6:6">
      <c r="F691" t="str">
        <f>_xlfn.XLOOKUP(B691,MacReports!B:B,MacReports!D:D,"")</f>
        <v/>
      </c>
    </row>
    <row r="692" spans="6:6">
      <c r="F692">
        <f>_xlfn.XLOOKUP(B692,MacReports!B:B,MacReports!D:D,"")</f>
        <v>0</v>
      </c>
    </row>
    <row r="693" spans="6:6">
      <c r="F693" t="str">
        <f>_xlfn.XLOOKUP(B693,MacReports!B:B,MacReports!D:D,"")</f>
        <v/>
      </c>
    </row>
    <row r="694" spans="6:6">
      <c r="F694" t="str">
        <f>_xlfn.XLOOKUP(B694,MacReports!B:B,MacReports!D:D,"")</f>
        <v/>
      </c>
    </row>
    <row r="695" spans="6:6">
      <c r="F695" t="str">
        <f>_xlfn.XLOOKUP(B695,MacReports!B:B,MacReports!D:D,"")</f>
        <v/>
      </c>
    </row>
    <row r="696" spans="6:6">
      <c r="F696" t="str">
        <f>_xlfn.XLOOKUP(B696,MacReports!B:B,MacReports!D:D,"")</f>
        <v/>
      </c>
    </row>
    <row r="697" spans="6:6">
      <c r="F697">
        <f>_xlfn.XLOOKUP(B697,MacReports!B:B,MacReports!D:D,"")</f>
        <v>0</v>
      </c>
    </row>
    <row r="698" spans="6:6">
      <c r="F698">
        <f>_xlfn.XLOOKUP(B698,MacReports!B:B,MacReports!D:D,"")</f>
        <v>0</v>
      </c>
    </row>
    <row r="699" spans="6:6">
      <c r="F699" t="str">
        <f>_xlfn.XLOOKUP(B699,MacReports!B:B,MacReports!D:D,"")</f>
        <v/>
      </c>
    </row>
    <row r="700" spans="6:6">
      <c r="F700" t="str">
        <f>_xlfn.XLOOKUP(B700,MacReports!B:B,MacReports!D:D,"")</f>
        <v/>
      </c>
    </row>
    <row r="701" spans="6:6">
      <c r="F701" t="str">
        <f>_xlfn.XLOOKUP(B701,MacReports!B:B,MacReports!D:D,"")</f>
        <v/>
      </c>
    </row>
    <row r="702" spans="6:6">
      <c r="F702" t="str">
        <f>_xlfn.XLOOKUP(B702,MacReports!B:B,MacReports!D:D,"")</f>
        <v/>
      </c>
    </row>
    <row r="703" spans="6:6">
      <c r="F703">
        <f>_xlfn.XLOOKUP(B703,MacReports!B:B,MacReports!D:D,"")</f>
        <v>0</v>
      </c>
    </row>
    <row r="704" spans="6:6">
      <c r="F704" t="str">
        <f>_xlfn.XLOOKUP(B704,MacReports!B:B,MacReports!D:D,"")</f>
        <v/>
      </c>
    </row>
    <row r="705" spans="6:6">
      <c r="F705" t="str">
        <f>_xlfn.XLOOKUP(B705,MacReports!B:B,MacReports!D:D,"")</f>
        <v/>
      </c>
    </row>
    <row r="706" spans="6:6">
      <c r="F706" t="str">
        <f>_xlfn.XLOOKUP(B706,MacReports!B:B,MacReports!D:D,"")</f>
        <v/>
      </c>
    </row>
    <row r="707" spans="6:6">
      <c r="F707" t="str">
        <f>_xlfn.XLOOKUP(B707,MacReports!B:B,MacReports!D:D,"")</f>
        <v/>
      </c>
    </row>
    <row r="708" spans="6:6">
      <c r="F708">
        <f>_xlfn.XLOOKUP(B708,MacReports!B:B,MacReports!D:D,"")</f>
        <v>0</v>
      </c>
    </row>
    <row r="709" spans="6:6">
      <c r="F709" t="str">
        <f>_xlfn.XLOOKUP(B709,MacReports!B:B,MacReports!D:D,"")</f>
        <v/>
      </c>
    </row>
    <row r="710" spans="6:6">
      <c r="F710" t="str">
        <f>_xlfn.XLOOKUP(B710,MacReports!B:B,MacReports!D:D,"")</f>
        <v/>
      </c>
    </row>
    <row r="711" spans="6:6">
      <c r="F711" t="str">
        <f>_xlfn.XLOOKUP(B711,MacReports!B:B,MacReports!D:D,"")</f>
        <v/>
      </c>
    </row>
    <row r="712" spans="6:6">
      <c r="F712" t="str">
        <f>_xlfn.XLOOKUP(B712,MacReports!B:B,MacReports!D:D,"")</f>
        <v/>
      </c>
    </row>
    <row r="713" spans="6:6">
      <c r="F713" t="str">
        <f>_xlfn.XLOOKUP(B713,MacReports!B:B,MacReports!D:D,"")</f>
        <v/>
      </c>
    </row>
    <row r="714" spans="6:6">
      <c r="F714" t="str">
        <f>_xlfn.XLOOKUP(B714,MacReports!B:B,MacReports!D:D,"")</f>
        <v/>
      </c>
    </row>
    <row r="715" spans="6:6">
      <c r="F715">
        <f>_xlfn.XLOOKUP(B715,MacReports!B:B,MacReports!D:D,"")</f>
        <v>0</v>
      </c>
    </row>
    <row r="716" spans="6:6">
      <c r="F716" t="str">
        <f>_xlfn.XLOOKUP(B716,MacReports!B:B,MacReports!D:D,"")</f>
        <v/>
      </c>
    </row>
    <row r="717" spans="6:6">
      <c r="F717" t="str">
        <f>_xlfn.XLOOKUP(B717,MacReports!B:B,MacReports!D:D,"")</f>
        <v/>
      </c>
    </row>
    <row r="718" spans="6:6">
      <c r="F718" t="str">
        <f>_xlfn.XLOOKUP(B718,MacReports!B:B,MacReports!D:D,"")</f>
        <v/>
      </c>
    </row>
    <row r="719" spans="6:6">
      <c r="F719" t="str">
        <f>_xlfn.XLOOKUP(B719,MacReports!B:B,MacReports!D:D,"")</f>
        <v/>
      </c>
    </row>
    <row r="720" spans="6:6">
      <c r="F720" t="str">
        <f>_xlfn.XLOOKUP(B720,MacReports!B:B,MacReports!D:D,"")</f>
        <v/>
      </c>
    </row>
    <row r="721" spans="6:6">
      <c r="F721">
        <f>_xlfn.XLOOKUP(B721,MacReports!B:B,MacReports!D:D,"")</f>
        <v>0</v>
      </c>
    </row>
    <row r="722" spans="6:6">
      <c r="F722">
        <f>_xlfn.XLOOKUP(B722,MacReports!B:B,MacReports!D:D,"")</f>
        <v>0</v>
      </c>
    </row>
    <row r="723" spans="6:6">
      <c r="F723" t="str">
        <f>_xlfn.XLOOKUP(B723,MacReports!B:B,MacReports!D:D,"")</f>
        <v/>
      </c>
    </row>
    <row r="724" spans="6:6">
      <c r="F724" t="str">
        <f>_xlfn.XLOOKUP(B724,MacReports!B:B,MacReports!D:D,"")</f>
        <v/>
      </c>
    </row>
    <row r="725" spans="6:6">
      <c r="F725" t="str">
        <f>_xlfn.XLOOKUP(B725,MacReports!B:B,MacReports!D:D,"")</f>
        <v/>
      </c>
    </row>
    <row r="726" spans="6:6">
      <c r="F726">
        <f>_xlfn.XLOOKUP(B726,MacReports!B:B,MacReports!D:D,"")</f>
        <v>0</v>
      </c>
    </row>
    <row r="727" spans="6:6">
      <c r="F727">
        <f>_xlfn.XLOOKUP(B727,MacReports!B:B,MacReports!D:D,"")</f>
        <v>0</v>
      </c>
    </row>
    <row r="728" spans="6:6">
      <c r="F728">
        <f>_xlfn.XLOOKUP(B728,MacReports!B:B,MacReports!D:D,"")</f>
        <v>0</v>
      </c>
    </row>
    <row r="729" spans="6:6">
      <c r="F729" t="str">
        <f>_xlfn.XLOOKUP(B729,MacReports!B:B,MacReports!D:D,"")</f>
        <v/>
      </c>
    </row>
    <row r="730" spans="6:6">
      <c r="F730" t="str">
        <f>_xlfn.XLOOKUP(B730,MacReports!B:B,MacReports!D:D,"")</f>
        <v/>
      </c>
    </row>
    <row r="731" spans="6:6">
      <c r="F731" t="str">
        <f>_xlfn.XLOOKUP(B731,MacReports!B:B,MacReports!D:D,"")</f>
        <v/>
      </c>
    </row>
    <row r="732" spans="6:6">
      <c r="F732" t="str">
        <f>_xlfn.XLOOKUP(B732,MacReports!B:B,MacReports!D:D,"")</f>
        <v/>
      </c>
    </row>
    <row r="733" spans="6:6">
      <c r="F733">
        <f>_xlfn.XLOOKUP(B733,MacReports!B:B,MacReports!D:D,"")</f>
        <v>0</v>
      </c>
    </row>
    <row r="734" spans="6:6">
      <c r="F734">
        <f>_xlfn.XLOOKUP(B734,MacReports!B:B,MacReports!D:D,"")</f>
        <v>0</v>
      </c>
    </row>
    <row r="735" spans="6:6">
      <c r="F735" t="str">
        <f>_xlfn.XLOOKUP(B735,MacReports!B:B,MacReports!D:D,"")</f>
        <v/>
      </c>
    </row>
    <row r="736" spans="6:6">
      <c r="F736" t="str">
        <f>_xlfn.XLOOKUP(B736,MacReports!B:B,MacReports!D:D,"")</f>
        <v/>
      </c>
    </row>
    <row r="737" spans="6:6">
      <c r="F737" t="str">
        <f>_xlfn.XLOOKUP(B737,MacReports!B:B,MacReports!D:D,"")</f>
        <v/>
      </c>
    </row>
    <row r="738" spans="6:6">
      <c r="F738" t="str">
        <f>_xlfn.XLOOKUP(B738,MacReports!B:B,MacReports!D:D,"")</f>
        <v/>
      </c>
    </row>
    <row r="739" spans="6:6">
      <c r="F739" t="str">
        <f>_xlfn.XLOOKUP(B739,MacReports!B:B,MacReports!D:D,"")</f>
        <v/>
      </c>
    </row>
    <row r="740" spans="6:6">
      <c r="F740" t="str">
        <f>_xlfn.XLOOKUP(B740,MacReports!B:B,MacReports!D:D,"")</f>
        <v/>
      </c>
    </row>
    <row r="741" spans="6:6">
      <c r="F741" t="str">
        <f>_xlfn.XLOOKUP(B741,MacReports!B:B,MacReports!D:D,"")</f>
        <v/>
      </c>
    </row>
    <row r="742" spans="6:6">
      <c r="F742" t="str">
        <f>_xlfn.XLOOKUP(B742,MacReports!B:B,MacReports!D:D,"")</f>
        <v/>
      </c>
    </row>
    <row r="743" spans="6:6">
      <c r="F743" t="str">
        <f>_xlfn.XLOOKUP(B743,MacReports!B:B,MacReports!D:D,"")</f>
        <v/>
      </c>
    </row>
    <row r="744" spans="6:6">
      <c r="F744">
        <f>_xlfn.XLOOKUP(B744,MacReports!B:B,MacReports!D:D,"")</f>
        <v>0</v>
      </c>
    </row>
    <row r="745" spans="6:6">
      <c r="F745">
        <f>_xlfn.XLOOKUP(B745,MacReports!B:B,MacReports!D:D,"")</f>
        <v>0</v>
      </c>
    </row>
    <row r="746" spans="6:6">
      <c r="F746">
        <f>_xlfn.XLOOKUP(B746,MacReports!B:B,MacReports!D:D,"")</f>
        <v>0</v>
      </c>
    </row>
    <row r="747" spans="6:6">
      <c r="F747" t="str">
        <f>_xlfn.XLOOKUP(B747,MacReports!B:B,MacReports!D:D,"")</f>
        <v/>
      </c>
    </row>
    <row r="748" spans="6:6">
      <c r="F748" t="str">
        <f>_xlfn.XLOOKUP(B748,MacReports!B:B,MacReports!D:D,"")</f>
        <v/>
      </c>
    </row>
    <row r="749" spans="6:6">
      <c r="F749" t="str">
        <f>_xlfn.XLOOKUP(B749,MacReports!B:B,MacReports!D:D,"")</f>
        <v/>
      </c>
    </row>
    <row r="750" spans="6:6">
      <c r="F750" t="str">
        <f>_xlfn.XLOOKUP(B750,MacReports!B:B,MacReports!D:D,"")</f>
        <v/>
      </c>
    </row>
    <row r="751" spans="6:6">
      <c r="F751" t="str">
        <f>_xlfn.XLOOKUP(B751,MacReports!B:B,MacReports!D:D,"")</f>
        <v/>
      </c>
    </row>
    <row r="752" spans="6:6">
      <c r="F752">
        <f>_xlfn.XLOOKUP(B752,MacReports!B:B,MacReports!D:D,"")</f>
        <v>0</v>
      </c>
    </row>
    <row r="753" spans="6:6">
      <c r="F753" t="str">
        <f>_xlfn.XLOOKUP(B753,MacReports!B:B,MacReports!D:D,"")</f>
        <v/>
      </c>
    </row>
    <row r="754" spans="6:6">
      <c r="F754" t="str">
        <f>_xlfn.XLOOKUP(B754,MacReports!B:B,MacReports!D:D,"")</f>
        <v/>
      </c>
    </row>
    <row r="755" spans="6:6">
      <c r="F755" t="str">
        <f>_xlfn.XLOOKUP(B755,MacReports!B:B,MacReports!D:D,"")</f>
        <v/>
      </c>
    </row>
    <row r="756" spans="6:6">
      <c r="F756" t="str">
        <f>_xlfn.XLOOKUP(B756,MacReports!B:B,MacReports!D:D,"")</f>
        <v/>
      </c>
    </row>
    <row r="757" spans="6:6">
      <c r="F757">
        <f>_xlfn.XLOOKUP(B757,MacReports!B:B,MacReports!D:D,"")</f>
        <v>0</v>
      </c>
    </row>
    <row r="758" spans="6:6">
      <c r="F758" t="str">
        <f>_xlfn.XLOOKUP(B758,MacReports!B:B,MacReports!D:D,"")</f>
        <v/>
      </c>
    </row>
    <row r="759" spans="6:6">
      <c r="F759" t="str">
        <f>_xlfn.XLOOKUP(B759,MacReports!B:B,MacReports!D:D,"")</f>
        <v/>
      </c>
    </row>
    <row r="760" spans="6:6">
      <c r="F760" t="str">
        <f>_xlfn.XLOOKUP(B760,MacReports!B:B,MacReports!D:D,"")</f>
        <v/>
      </c>
    </row>
    <row r="761" spans="6:6">
      <c r="F761" t="str">
        <f>_xlfn.XLOOKUP(B761,MacReports!B:B,MacReports!D:D,"")</f>
        <v/>
      </c>
    </row>
    <row r="762" spans="6:6">
      <c r="F762">
        <f>_xlfn.XLOOKUP(B762,MacReports!B:B,MacReports!D:D,"")</f>
        <v>0</v>
      </c>
    </row>
    <row r="763" spans="6:6">
      <c r="F763" t="str">
        <f>_xlfn.XLOOKUP(B763,MacReports!B:B,MacReports!D:D,"")</f>
        <v/>
      </c>
    </row>
    <row r="764" spans="6:6">
      <c r="F764">
        <f>_xlfn.XLOOKUP(B764,MacReports!B:B,MacReports!D:D,"")</f>
        <v>0</v>
      </c>
    </row>
    <row r="765" spans="6:6">
      <c r="F765" t="str">
        <f>_xlfn.XLOOKUP(B765,MacReports!B:B,MacReports!D:D,"")</f>
        <v/>
      </c>
    </row>
    <row r="766" spans="6:6">
      <c r="F766" t="str">
        <f>_xlfn.XLOOKUP(B766,MacReports!B:B,MacReports!D:D,"")</f>
        <v/>
      </c>
    </row>
    <row r="767" spans="6:6">
      <c r="F767" t="str">
        <f>_xlfn.XLOOKUP(B767,MacReports!B:B,MacReports!D:D,"")</f>
        <v/>
      </c>
    </row>
    <row r="768" spans="6:6">
      <c r="F768" t="str">
        <f>_xlfn.XLOOKUP(B768,MacReports!B:B,MacReports!D:D,"")</f>
        <v/>
      </c>
    </row>
    <row r="769" spans="6:6">
      <c r="F769">
        <f>_xlfn.XLOOKUP(B769,MacReports!B:B,MacReports!D:D,"")</f>
        <v>0</v>
      </c>
    </row>
    <row r="770" spans="6:6">
      <c r="F770">
        <f>_xlfn.XLOOKUP(B770,MacReports!B:B,MacReports!D:D,"")</f>
        <v>0</v>
      </c>
    </row>
    <row r="771" spans="6:6">
      <c r="F771" t="str">
        <f>_xlfn.XLOOKUP(B771,MacReports!B:B,MacReports!D:D,"")</f>
        <v/>
      </c>
    </row>
    <row r="772" spans="6:6">
      <c r="F772" t="str">
        <f>_xlfn.XLOOKUP(B772,MacReports!B:B,MacReports!D:D,"")</f>
        <v/>
      </c>
    </row>
    <row r="773" spans="6:6">
      <c r="F773" t="str">
        <f>_xlfn.XLOOKUP(B773,MacReports!B:B,MacReports!D:D,"")</f>
        <v/>
      </c>
    </row>
    <row r="774" spans="6:6">
      <c r="F774" t="str">
        <f>_xlfn.XLOOKUP(B774,MacReports!B:B,MacReports!D:D,"")</f>
        <v/>
      </c>
    </row>
    <row r="775" spans="6:6">
      <c r="F775">
        <f>_xlfn.XLOOKUP(B775,MacReports!B:B,MacReports!D:D,"")</f>
        <v>0</v>
      </c>
    </row>
    <row r="776" spans="6:6">
      <c r="F776">
        <f>_xlfn.XLOOKUP(B776,MacReports!B:B,MacReports!D:D,"")</f>
        <v>0</v>
      </c>
    </row>
    <row r="777" spans="6:6">
      <c r="F777" t="str">
        <f>_xlfn.XLOOKUP(B777,MacReports!B:B,MacReports!D:D,"")</f>
        <v/>
      </c>
    </row>
    <row r="778" spans="6:6">
      <c r="F778" t="str">
        <f>_xlfn.XLOOKUP(B778,MacReports!B:B,MacReports!D:D,"")</f>
        <v/>
      </c>
    </row>
    <row r="779" spans="6:6">
      <c r="F779" t="str">
        <f>_xlfn.XLOOKUP(B779,MacReports!B:B,MacReports!D:D,"")</f>
        <v/>
      </c>
    </row>
    <row r="780" spans="6:6">
      <c r="F780">
        <f>_xlfn.XLOOKUP(B780,MacReports!B:B,MacReports!D:D,"")</f>
        <v>0</v>
      </c>
    </row>
    <row r="781" spans="6:6">
      <c r="F781">
        <f>_xlfn.XLOOKUP(B781,MacReports!B:B,MacReports!D:D,"")</f>
        <v>0</v>
      </c>
    </row>
    <row r="782" spans="6:6">
      <c r="F782">
        <f>_xlfn.XLOOKUP(B782,MacReports!B:B,MacReports!D:D,"")</f>
        <v>0</v>
      </c>
    </row>
    <row r="783" spans="6:6">
      <c r="F783" t="str">
        <f>_xlfn.XLOOKUP(B783,MacReports!B:B,MacReports!D:D,"")</f>
        <v/>
      </c>
    </row>
    <row r="784" spans="6:6">
      <c r="F784" t="str">
        <f>_xlfn.XLOOKUP(B784,MacReports!B:B,MacReports!D:D,"")</f>
        <v/>
      </c>
    </row>
    <row r="785" spans="6:6">
      <c r="F785" t="str">
        <f>_xlfn.XLOOKUP(B785,MacReports!B:B,MacReports!D:D,"")</f>
        <v/>
      </c>
    </row>
    <row r="786" spans="6:6">
      <c r="F786" t="str">
        <f>_xlfn.XLOOKUP(B786,MacReports!B:B,MacReports!D:D,"")</f>
        <v/>
      </c>
    </row>
    <row r="787" spans="6:6">
      <c r="F787">
        <f>_xlfn.XLOOKUP(B787,MacReports!B:B,MacReports!D:D,"")</f>
        <v>0</v>
      </c>
    </row>
    <row r="788" spans="6:6">
      <c r="F788">
        <f>_xlfn.XLOOKUP(B788,MacReports!B:B,MacReports!D:D,"")</f>
        <v>0</v>
      </c>
    </row>
    <row r="789" spans="6:6">
      <c r="F789" t="str">
        <f>_xlfn.XLOOKUP(B789,MacReports!B:B,MacReports!D:D,"")</f>
        <v/>
      </c>
    </row>
    <row r="790" spans="6:6">
      <c r="F790" t="str">
        <f>_xlfn.XLOOKUP(B790,MacReports!B:B,MacReports!D:D,"")</f>
        <v/>
      </c>
    </row>
    <row r="791" spans="6:6">
      <c r="F791" t="str">
        <f>_xlfn.XLOOKUP(B791,MacReports!B:B,MacReports!D:D,"")</f>
        <v/>
      </c>
    </row>
    <row r="792" spans="6:6">
      <c r="F792" t="str">
        <f>_xlfn.XLOOKUP(B792,MacReports!B:B,MacReports!D:D,"")</f>
        <v/>
      </c>
    </row>
    <row r="793" spans="6:6">
      <c r="F793">
        <f>_xlfn.XLOOKUP(B793,MacReports!B:B,MacReports!D:D,"")</f>
        <v>0</v>
      </c>
    </row>
    <row r="794" spans="6:6">
      <c r="F794" t="str">
        <f>_xlfn.XLOOKUP(B794,MacReports!B:B,MacReports!D:D,"")</f>
        <v/>
      </c>
    </row>
    <row r="795" spans="6:6">
      <c r="F795" t="str">
        <f>_xlfn.XLOOKUP(B795,MacReports!B:B,MacReports!D:D,"")</f>
        <v/>
      </c>
    </row>
    <row r="796" spans="6:6">
      <c r="F796" t="str">
        <f>_xlfn.XLOOKUP(B796,MacReports!B:B,MacReports!D:D,"")</f>
        <v/>
      </c>
    </row>
    <row r="797" spans="6:6">
      <c r="F797" t="str">
        <f>_xlfn.XLOOKUP(B797,MacReports!B:B,MacReports!D:D,"")</f>
        <v/>
      </c>
    </row>
    <row r="798" spans="6:6">
      <c r="F798">
        <f>_xlfn.XLOOKUP(B798,MacReports!B:B,MacReports!D:D,"")</f>
        <v>0</v>
      </c>
    </row>
    <row r="799" spans="6:6">
      <c r="F799" t="str">
        <f>_xlfn.XLOOKUP(B799,MacReports!B:B,MacReports!D:D,"")</f>
        <v/>
      </c>
    </row>
    <row r="800" spans="6:6">
      <c r="F800">
        <f>_xlfn.XLOOKUP(B800,MacReports!B:B,MacReports!D:D,"")</f>
        <v>0</v>
      </c>
    </row>
    <row r="801" spans="6:6">
      <c r="F801" t="str">
        <f>_xlfn.XLOOKUP(B801,MacReports!B:B,MacReports!D:D,"")</f>
        <v/>
      </c>
    </row>
    <row r="802" spans="6:6">
      <c r="F802" t="str">
        <f>_xlfn.XLOOKUP(B802,MacReports!B:B,MacReports!D:D,"")</f>
        <v/>
      </c>
    </row>
    <row r="803" spans="6:6">
      <c r="F803" t="str">
        <f>_xlfn.XLOOKUP(B803,MacReports!B:B,MacReports!D:D,"")</f>
        <v/>
      </c>
    </row>
    <row r="804" spans="6:6">
      <c r="F804" t="str">
        <f>_xlfn.XLOOKUP(B804,MacReports!B:B,MacReports!D:D,"")</f>
        <v/>
      </c>
    </row>
    <row r="805" spans="6:6">
      <c r="F805">
        <f>_xlfn.XLOOKUP(B805,MacReports!B:B,MacReports!D:D,"")</f>
        <v>0</v>
      </c>
    </row>
    <row r="806" spans="6:6">
      <c r="F806">
        <f>_xlfn.XLOOKUP(B806,MacReports!B:B,MacReports!D:D,"")</f>
        <v>0</v>
      </c>
    </row>
    <row r="807" spans="6:6">
      <c r="F807" t="str">
        <f>_xlfn.XLOOKUP(B807,MacReports!B:B,MacReports!D:D,"")</f>
        <v/>
      </c>
    </row>
    <row r="808" spans="6:6">
      <c r="F808" t="str">
        <f>_xlfn.XLOOKUP(B808,MacReports!B:B,MacReports!D:D,"")</f>
        <v/>
      </c>
    </row>
    <row r="809" spans="6:6">
      <c r="F809" t="str">
        <f>_xlfn.XLOOKUP(B809,MacReports!B:B,MacReports!D:D,"")</f>
        <v/>
      </c>
    </row>
    <row r="810" spans="6:6">
      <c r="F810" t="str">
        <f>_xlfn.XLOOKUP(B810,MacReports!B:B,MacReports!D:D,"")</f>
        <v/>
      </c>
    </row>
    <row r="811" spans="6:6">
      <c r="F811">
        <f>_xlfn.XLOOKUP(B811,MacReports!B:B,MacReports!D:D,"")</f>
        <v>0</v>
      </c>
    </row>
    <row r="812" spans="6:6">
      <c r="F812" t="str">
        <f>_xlfn.XLOOKUP(B812,MacReports!B:B,MacReports!D:D,"")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H602"/>
  <sheetViews>
    <sheetView workbookViewId="0">
      <selection activeCell="E34" sqref="E34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4.5703125" bestFit="1" customWidth="1"/>
    <col min="6" max="6" width="7.140625" bestFit="1" customWidth="1"/>
    <col min="7" max="7" width="14.42578125" style="19" customWidth="1"/>
    <col min="8" max="8" width="23.5703125" style="19" customWidth="1"/>
  </cols>
  <sheetData>
    <row r="1" spans="1:8" ht="15.75" thickBot="1">
      <c r="A1" s="23" t="s">
        <v>75</v>
      </c>
      <c r="B1" s="23" t="s">
        <v>76</v>
      </c>
      <c r="C1" s="23" t="s">
        <v>2</v>
      </c>
      <c r="D1" s="24" t="s">
        <v>77</v>
      </c>
      <c r="E1" s="25" t="s">
        <v>78</v>
      </c>
      <c r="F1" s="25" t="s">
        <v>79</v>
      </c>
      <c r="G1" s="26" t="s">
        <v>2</v>
      </c>
      <c r="H1" s="26" t="s">
        <v>313</v>
      </c>
    </row>
    <row r="2" spans="1:8" ht="15.75" thickBot="1">
      <c r="A2" s="20" t="s">
        <v>80</v>
      </c>
      <c r="B2" s="20" t="s">
        <v>81</v>
      </c>
      <c r="C2" s="20" t="s">
        <v>51</v>
      </c>
      <c r="D2" s="21">
        <v>2019</v>
      </c>
      <c r="E2" s="22">
        <v>16</v>
      </c>
      <c r="F2" s="22">
        <v>2</v>
      </c>
      <c r="G2" s="19" t="s">
        <v>51</v>
      </c>
      <c r="H2" s="19" t="s">
        <v>51</v>
      </c>
    </row>
    <row r="3" spans="1:8" ht="15.75" thickBot="1">
      <c r="A3" s="5" t="s">
        <v>82</v>
      </c>
      <c r="B3" s="5" t="s">
        <v>83</v>
      </c>
      <c r="C3" s="5" t="s">
        <v>51</v>
      </c>
      <c r="D3" s="8">
        <v>2020</v>
      </c>
      <c r="E3" s="9">
        <v>13</v>
      </c>
      <c r="F3" s="9">
        <v>1.4</v>
      </c>
      <c r="G3" s="19" t="s">
        <v>51</v>
      </c>
      <c r="H3" s="19" t="s">
        <v>50</v>
      </c>
    </row>
    <row r="4" spans="1:8" ht="15.75" thickBot="1">
      <c r="A4" s="5" t="s">
        <v>57</v>
      </c>
      <c r="B4" s="5" t="s">
        <v>84</v>
      </c>
      <c r="C4" s="5" t="s">
        <v>51</v>
      </c>
      <c r="D4" s="8">
        <v>2020</v>
      </c>
      <c r="E4" s="9">
        <v>13</v>
      </c>
      <c r="F4" s="9">
        <v>1.4</v>
      </c>
      <c r="G4" s="19" t="s">
        <v>51</v>
      </c>
      <c r="H4" s="19" t="s">
        <v>314</v>
      </c>
    </row>
    <row r="5" spans="1:8" ht="15.75" thickBot="1">
      <c r="A5" s="5" t="s">
        <v>85</v>
      </c>
      <c r="B5" s="5" t="s">
        <v>81</v>
      </c>
      <c r="C5" s="5" t="s">
        <v>51</v>
      </c>
      <c r="D5" s="8">
        <v>2019</v>
      </c>
      <c r="E5" s="9">
        <v>16</v>
      </c>
      <c r="F5" s="9">
        <v>2</v>
      </c>
      <c r="G5" s="19" t="s">
        <v>307</v>
      </c>
      <c r="H5" s="19" t="s">
        <v>307</v>
      </c>
    </row>
    <row r="6" spans="1:8" ht="15.75" thickBot="1">
      <c r="A6" s="5" t="s">
        <v>86</v>
      </c>
      <c r="B6" s="5" t="s">
        <v>87</v>
      </c>
      <c r="C6" s="5" t="s">
        <v>51</v>
      </c>
      <c r="D6" s="8">
        <v>2019</v>
      </c>
      <c r="E6" s="9">
        <v>13</v>
      </c>
      <c r="F6" s="9">
        <v>1.4</v>
      </c>
      <c r="G6" s="19" t="s">
        <v>307</v>
      </c>
      <c r="H6" s="19" t="s">
        <v>315</v>
      </c>
    </row>
    <row r="7" spans="1:8" ht="15.75" thickBot="1">
      <c r="A7" s="5" t="s">
        <v>88</v>
      </c>
      <c r="B7" s="5" t="s">
        <v>89</v>
      </c>
      <c r="C7" s="5" t="s">
        <v>51</v>
      </c>
      <c r="D7" s="8">
        <v>2019</v>
      </c>
      <c r="E7" s="9">
        <v>15</v>
      </c>
      <c r="F7" s="9">
        <v>1.8</v>
      </c>
    </row>
    <row r="8" spans="1:8" ht="15.75" thickBot="1">
      <c r="A8" s="5" t="s">
        <v>90</v>
      </c>
      <c r="B8" s="5" t="s">
        <v>91</v>
      </c>
      <c r="C8" s="5" t="s">
        <v>51</v>
      </c>
      <c r="D8" s="8">
        <v>2018</v>
      </c>
      <c r="E8" s="9">
        <v>13</v>
      </c>
      <c r="F8" s="9">
        <v>1.4</v>
      </c>
    </row>
    <row r="9" spans="1:8" ht="15.75" thickBot="1">
      <c r="A9" s="5" t="s">
        <v>90</v>
      </c>
      <c r="B9" s="5" t="s">
        <v>91</v>
      </c>
      <c r="C9" s="5" t="s">
        <v>51</v>
      </c>
      <c r="D9" s="8">
        <v>2018</v>
      </c>
      <c r="E9" s="9">
        <v>13</v>
      </c>
      <c r="F9" s="9">
        <v>1.4</v>
      </c>
    </row>
    <row r="10" spans="1:8" ht="15.75" thickBot="1">
      <c r="A10" s="5" t="s">
        <v>90</v>
      </c>
      <c r="B10" s="5" t="s">
        <v>91</v>
      </c>
      <c r="C10" s="5" t="s">
        <v>51</v>
      </c>
      <c r="D10" s="8">
        <v>2019</v>
      </c>
      <c r="E10" s="9">
        <v>13</v>
      </c>
      <c r="F10" s="9">
        <v>1.4</v>
      </c>
    </row>
    <row r="11" spans="1:8" ht="15.75" thickBot="1">
      <c r="A11" s="5" t="s">
        <v>90</v>
      </c>
      <c r="B11" s="5" t="s">
        <v>91</v>
      </c>
      <c r="C11" s="5" t="s">
        <v>51</v>
      </c>
      <c r="D11" s="8">
        <v>2019</v>
      </c>
      <c r="E11" s="9">
        <v>13</v>
      </c>
      <c r="F11" s="9">
        <v>1.4</v>
      </c>
    </row>
    <row r="12" spans="1:8" ht="15.75" thickBot="1">
      <c r="A12" s="5" t="s">
        <v>92</v>
      </c>
      <c r="B12" s="5" t="s">
        <v>89</v>
      </c>
      <c r="C12" s="5" t="s">
        <v>51</v>
      </c>
      <c r="D12" s="8">
        <v>2018</v>
      </c>
      <c r="E12" s="9">
        <v>15</v>
      </c>
      <c r="F12" s="9">
        <v>1.8</v>
      </c>
    </row>
    <row r="13" spans="1:8" ht="15.75" thickBot="1">
      <c r="A13" s="5" t="s">
        <v>92</v>
      </c>
      <c r="B13" s="5" t="s">
        <v>89</v>
      </c>
      <c r="C13" s="5" t="s">
        <v>51</v>
      </c>
      <c r="D13" s="8">
        <v>2018</v>
      </c>
      <c r="E13" s="9">
        <v>15</v>
      </c>
      <c r="F13" s="9">
        <v>1.8</v>
      </c>
    </row>
    <row r="14" spans="1:8" ht="15.75" thickBot="1">
      <c r="A14" s="5" t="s">
        <v>92</v>
      </c>
      <c r="B14" s="5" t="s">
        <v>89</v>
      </c>
      <c r="C14" s="5" t="s">
        <v>51</v>
      </c>
      <c r="D14" s="8">
        <v>2018</v>
      </c>
      <c r="E14" s="9">
        <v>15</v>
      </c>
      <c r="F14" s="9">
        <v>1.8</v>
      </c>
    </row>
    <row r="15" spans="1:8" ht="15.75" thickBot="1">
      <c r="A15" s="5" t="s">
        <v>92</v>
      </c>
      <c r="B15" s="5" t="s">
        <v>89</v>
      </c>
      <c r="C15" s="5" t="s">
        <v>51</v>
      </c>
      <c r="D15" s="8">
        <v>2019</v>
      </c>
      <c r="E15" s="9">
        <v>15</v>
      </c>
      <c r="F15" s="9">
        <v>1.8</v>
      </c>
    </row>
    <row r="16" spans="1:8" ht="15.75" thickBot="1">
      <c r="A16" s="5" t="s">
        <v>92</v>
      </c>
      <c r="B16" s="5" t="s">
        <v>89</v>
      </c>
      <c r="C16" s="5" t="s">
        <v>51</v>
      </c>
      <c r="D16" s="8">
        <v>2019</v>
      </c>
      <c r="E16" s="9">
        <v>15</v>
      </c>
      <c r="F16" s="9">
        <v>1.8</v>
      </c>
    </row>
    <row r="17" spans="1:6" ht="15.75" thickBot="1">
      <c r="A17" s="5" t="s">
        <v>92</v>
      </c>
      <c r="B17" s="5" t="s">
        <v>89</v>
      </c>
      <c r="C17" s="5" t="s">
        <v>51</v>
      </c>
      <c r="D17" s="8">
        <v>2019</v>
      </c>
      <c r="E17" s="9">
        <v>15</v>
      </c>
      <c r="F17" s="9">
        <v>1.8</v>
      </c>
    </row>
    <row r="18" spans="1:6" ht="15.75" thickBot="1">
      <c r="A18" s="5" t="s">
        <v>93</v>
      </c>
      <c r="B18" s="5" t="s">
        <v>94</v>
      </c>
      <c r="C18" s="5" t="s">
        <v>51</v>
      </c>
      <c r="D18" s="8">
        <v>2017</v>
      </c>
      <c r="E18" s="9">
        <v>15</v>
      </c>
      <c r="F18" s="9">
        <v>1.8</v>
      </c>
    </row>
    <row r="19" spans="1:6" ht="15.75" thickBot="1">
      <c r="A19" s="5" t="s">
        <v>95</v>
      </c>
      <c r="B19" s="5" t="s">
        <v>96</v>
      </c>
      <c r="C19" s="5" t="s">
        <v>51</v>
      </c>
      <c r="D19" s="8">
        <v>2017</v>
      </c>
      <c r="E19" s="9">
        <v>13</v>
      </c>
      <c r="F19" s="9">
        <v>1.4</v>
      </c>
    </row>
    <row r="20" spans="1:6" ht="15.75" thickBot="1">
      <c r="A20" s="5" t="s">
        <v>97</v>
      </c>
      <c r="B20" s="5" t="s">
        <v>98</v>
      </c>
      <c r="C20" s="5" t="s">
        <v>51</v>
      </c>
      <c r="D20" s="8">
        <v>2017</v>
      </c>
      <c r="E20" s="9">
        <v>13</v>
      </c>
      <c r="F20" s="9">
        <v>1.4</v>
      </c>
    </row>
    <row r="21" spans="1:6" ht="15.75" thickBot="1">
      <c r="A21" s="5" t="s">
        <v>99</v>
      </c>
      <c r="B21" s="5" t="s">
        <v>94</v>
      </c>
      <c r="C21" s="5" t="s">
        <v>51</v>
      </c>
      <c r="D21" s="8">
        <v>2016</v>
      </c>
      <c r="E21" s="9">
        <v>15</v>
      </c>
      <c r="F21" s="9">
        <v>1.8</v>
      </c>
    </row>
    <row r="22" spans="1:6" ht="15.75" thickBot="1">
      <c r="A22" s="5" t="s">
        <v>100</v>
      </c>
      <c r="B22" s="5" t="s">
        <v>96</v>
      </c>
      <c r="C22" s="5" t="s">
        <v>51</v>
      </c>
      <c r="D22" s="8">
        <v>2016</v>
      </c>
      <c r="E22" s="9">
        <v>13</v>
      </c>
      <c r="F22" s="9">
        <v>1.4</v>
      </c>
    </row>
    <row r="23" spans="1:6" ht="15.75" thickBot="1">
      <c r="A23" s="5" t="s">
        <v>101</v>
      </c>
      <c r="B23" s="5" t="s">
        <v>98</v>
      </c>
      <c r="C23" s="5" t="s">
        <v>51</v>
      </c>
      <c r="D23" s="8">
        <v>2016</v>
      </c>
      <c r="E23" s="9">
        <v>13</v>
      </c>
      <c r="F23" s="9">
        <v>1.4</v>
      </c>
    </row>
    <row r="24" spans="1:6" ht="15.75" thickBot="1">
      <c r="A24" s="5" t="s">
        <v>102</v>
      </c>
      <c r="B24" s="5" t="s">
        <v>103</v>
      </c>
      <c r="C24" s="5" t="s">
        <v>51</v>
      </c>
      <c r="D24" s="8">
        <v>2015</v>
      </c>
      <c r="E24" s="9">
        <v>13</v>
      </c>
      <c r="F24" s="9">
        <v>1.4</v>
      </c>
    </row>
    <row r="25" spans="1:6" ht="15.75" thickBot="1">
      <c r="A25" s="5" t="s">
        <v>104</v>
      </c>
      <c r="B25" s="5" t="s">
        <v>105</v>
      </c>
      <c r="C25" s="5" t="s">
        <v>51</v>
      </c>
      <c r="D25" s="8">
        <v>2015</v>
      </c>
      <c r="E25" s="9">
        <v>15</v>
      </c>
      <c r="F25" s="9">
        <v>1.8</v>
      </c>
    </row>
    <row r="26" spans="1:6" ht="15.75" thickBot="1">
      <c r="A26" s="5" t="s">
        <v>106</v>
      </c>
      <c r="B26" s="5" t="s">
        <v>105</v>
      </c>
      <c r="C26" s="5" t="s">
        <v>51</v>
      </c>
      <c r="D26" s="8">
        <v>2015</v>
      </c>
      <c r="E26" s="9">
        <v>15</v>
      </c>
      <c r="F26" s="9">
        <v>1.8</v>
      </c>
    </row>
    <row r="27" spans="1:6" ht="15.75" thickBot="1">
      <c r="A27" s="5" t="s">
        <v>107</v>
      </c>
      <c r="B27" s="5" t="s">
        <v>105</v>
      </c>
      <c r="C27" s="5" t="s">
        <v>51</v>
      </c>
      <c r="D27" s="9">
        <v>2014</v>
      </c>
      <c r="E27" s="9">
        <v>15</v>
      </c>
      <c r="F27" s="9">
        <v>1.8</v>
      </c>
    </row>
    <row r="28" spans="1:6" ht="15.75" thickBot="1">
      <c r="A28" s="5" t="s">
        <v>107</v>
      </c>
      <c r="B28" s="5" t="s">
        <v>105</v>
      </c>
      <c r="C28" s="5" t="s">
        <v>51</v>
      </c>
      <c r="D28" s="9">
        <v>2014</v>
      </c>
      <c r="E28" s="9">
        <v>15</v>
      </c>
      <c r="F28" s="9">
        <v>1.8</v>
      </c>
    </row>
    <row r="29" spans="1:6" ht="15.75" thickBot="1">
      <c r="A29" s="5" t="s">
        <v>107</v>
      </c>
      <c r="B29" s="5" t="s">
        <v>105</v>
      </c>
      <c r="C29" s="5" t="s">
        <v>51</v>
      </c>
      <c r="D29" s="9">
        <v>2013</v>
      </c>
      <c r="E29" s="9">
        <v>15</v>
      </c>
      <c r="F29" s="9">
        <v>1.8</v>
      </c>
    </row>
    <row r="30" spans="1:6" ht="15.75" thickBot="1">
      <c r="A30" s="5" t="s">
        <v>108</v>
      </c>
      <c r="B30" s="5" t="s">
        <v>105</v>
      </c>
      <c r="C30" s="5" t="s">
        <v>51</v>
      </c>
      <c r="D30" s="9">
        <v>2014</v>
      </c>
      <c r="E30" s="9">
        <v>15</v>
      </c>
      <c r="F30" s="9">
        <v>2</v>
      </c>
    </row>
    <row r="31" spans="1:6" ht="15.75" thickBot="1">
      <c r="A31" s="5" t="s">
        <v>107</v>
      </c>
      <c r="B31" s="5" t="s">
        <v>105</v>
      </c>
      <c r="C31" s="5" t="s">
        <v>51</v>
      </c>
      <c r="D31" s="9">
        <v>2013</v>
      </c>
      <c r="E31" s="9">
        <v>15</v>
      </c>
      <c r="F31" s="9">
        <v>1.8</v>
      </c>
    </row>
    <row r="32" spans="1:6" ht="15.75" thickBot="1">
      <c r="A32" s="5" t="s">
        <v>109</v>
      </c>
      <c r="B32" s="5" t="s">
        <v>110</v>
      </c>
      <c r="C32" s="5" t="s">
        <v>51</v>
      </c>
      <c r="D32" s="9">
        <v>2020</v>
      </c>
      <c r="E32" s="9">
        <v>13</v>
      </c>
      <c r="F32" s="9">
        <v>1.4</v>
      </c>
    </row>
    <row r="33" spans="1:6" ht="15.75" thickBot="1">
      <c r="A33" s="5" t="s">
        <v>111</v>
      </c>
      <c r="B33" s="5" t="s">
        <v>112</v>
      </c>
      <c r="C33" s="5" t="s">
        <v>51</v>
      </c>
      <c r="D33" s="9">
        <v>2021</v>
      </c>
      <c r="E33" s="9">
        <v>16</v>
      </c>
      <c r="F33" s="9">
        <v>1.6</v>
      </c>
    </row>
    <row r="34" spans="1:6" ht="15.75" thickBot="1">
      <c r="A34" s="5" t="s">
        <v>113</v>
      </c>
      <c r="B34" s="5" t="s">
        <v>114</v>
      </c>
      <c r="C34" s="5" t="s">
        <v>51</v>
      </c>
      <c r="D34" s="9">
        <v>2021</v>
      </c>
      <c r="E34" s="9">
        <v>14</v>
      </c>
      <c r="F34" s="9">
        <v>1.6</v>
      </c>
    </row>
    <row r="35" spans="1:6" ht="15.75" thickBot="1">
      <c r="A35" s="5" t="s">
        <v>115</v>
      </c>
      <c r="B35" s="5" t="s">
        <v>114</v>
      </c>
      <c r="C35" s="5" t="s">
        <v>51</v>
      </c>
      <c r="D35" s="9">
        <v>2021</v>
      </c>
      <c r="E35" s="9">
        <v>14</v>
      </c>
      <c r="F35" s="9">
        <v>1.6</v>
      </c>
    </row>
    <row r="36" spans="1:6" ht="15.75" thickBot="1">
      <c r="A36" s="5" t="s">
        <v>116</v>
      </c>
      <c r="B36" s="7" t="s">
        <v>112</v>
      </c>
      <c r="C36" s="5" t="s">
        <v>51</v>
      </c>
      <c r="D36" s="9">
        <v>2021</v>
      </c>
      <c r="E36" s="9">
        <v>16</v>
      </c>
      <c r="F36" s="9">
        <v>2</v>
      </c>
    </row>
    <row r="37" spans="1:6" ht="15.75" thickBot="1">
      <c r="A37" s="5" t="s">
        <v>116</v>
      </c>
      <c r="B37" s="7" t="s">
        <v>112</v>
      </c>
      <c r="C37" s="5" t="s">
        <v>51</v>
      </c>
      <c r="D37" s="9">
        <v>2021</v>
      </c>
      <c r="E37" s="9">
        <v>16</v>
      </c>
      <c r="F37" s="9">
        <v>2</v>
      </c>
    </row>
    <row r="38" spans="1:6" ht="15.75" thickBot="1">
      <c r="A38" s="7" t="s">
        <v>117</v>
      </c>
      <c r="B38" s="5" t="s">
        <v>110</v>
      </c>
      <c r="C38" s="5" t="s">
        <v>51</v>
      </c>
      <c r="D38" s="9">
        <v>2022</v>
      </c>
      <c r="E38" s="9">
        <v>13</v>
      </c>
      <c r="F38" s="9">
        <v>1.4</v>
      </c>
    </row>
    <row r="39" spans="1:6" ht="15.75" thickBot="1">
      <c r="A39" s="7" t="s">
        <v>118</v>
      </c>
      <c r="B39" s="7" t="s">
        <v>119</v>
      </c>
      <c r="C39" s="5" t="s">
        <v>51</v>
      </c>
      <c r="D39" s="9">
        <v>2023</v>
      </c>
      <c r="E39" s="9">
        <v>14</v>
      </c>
      <c r="F39" s="9">
        <v>1.6</v>
      </c>
    </row>
    <row r="40" spans="1:6" ht="15.75" thickBot="1">
      <c r="A40" s="7" t="s">
        <v>120</v>
      </c>
      <c r="B40" s="7" t="s">
        <v>119</v>
      </c>
      <c r="C40" s="5" t="s">
        <v>51</v>
      </c>
      <c r="D40" s="9">
        <v>2023</v>
      </c>
      <c r="E40" s="9">
        <v>14</v>
      </c>
      <c r="F40" s="9">
        <v>1.6</v>
      </c>
    </row>
    <row r="41" spans="1:6" ht="15.75" thickBot="1">
      <c r="A41" s="7" t="s">
        <v>121</v>
      </c>
      <c r="B41" s="7" t="s">
        <v>122</v>
      </c>
      <c r="C41" s="5" t="s">
        <v>51</v>
      </c>
      <c r="D41" s="9">
        <v>2023</v>
      </c>
      <c r="E41" s="9">
        <v>16</v>
      </c>
      <c r="F41" s="9">
        <v>2</v>
      </c>
    </row>
    <row r="42" spans="1:6" ht="15.75" thickBot="1">
      <c r="A42" s="7" t="s">
        <v>123</v>
      </c>
      <c r="B42" s="7" t="s">
        <v>122</v>
      </c>
      <c r="C42" s="5" t="s">
        <v>51</v>
      </c>
      <c r="D42" s="9">
        <v>2023</v>
      </c>
      <c r="E42" s="9">
        <v>16</v>
      </c>
      <c r="F42" s="9">
        <v>2</v>
      </c>
    </row>
    <row r="43" spans="1:6" ht="15.75" thickBot="1">
      <c r="A43" s="7" t="s">
        <v>124</v>
      </c>
      <c r="B43" s="7" t="s">
        <v>125</v>
      </c>
      <c r="C43" s="5" t="s">
        <v>51</v>
      </c>
      <c r="D43" s="9">
        <v>2023</v>
      </c>
      <c r="E43" s="9">
        <v>14</v>
      </c>
      <c r="F43" s="9">
        <v>1.6</v>
      </c>
    </row>
    <row r="44" spans="1:6" ht="15.75" thickBot="1">
      <c r="A44" s="7" t="s">
        <v>126</v>
      </c>
      <c r="B44" s="7" t="s">
        <v>127</v>
      </c>
      <c r="C44" s="5" t="s">
        <v>51</v>
      </c>
      <c r="D44" s="9">
        <v>2023</v>
      </c>
      <c r="E44" s="9">
        <v>14</v>
      </c>
      <c r="F44" s="9">
        <v>1.6</v>
      </c>
    </row>
    <row r="45" spans="1:6" ht="15.75" thickBot="1">
      <c r="A45" s="7" t="s">
        <v>128</v>
      </c>
      <c r="B45" s="7" t="s">
        <v>127</v>
      </c>
      <c r="C45" s="5" t="s">
        <v>51</v>
      </c>
      <c r="D45" s="9">
        <v>2023</v>
      </c>
      <c r="E45" s="9">
        <v>14</v>
      </c>
      <c r="F45" s="9">
        <v>1.6</v>
      </c>
    </row>
    <row r="46" spans="1:6" ht="15.75" thickBot="1">
      <c r="A46" s="7" t="s">
        <v>129</v>
      </c>
      <c r="B46" s="7" t="s">
        <v>127</v>
      </c>
      <c r="C46" s="5" t="s">
        <v>51</v>
      </c>
      <c r="D46" s="9">
        <v>2023</v>
      </c>
      <c r="E46" s="9">
        <v>14</v>
      </c>
      <c r="F46" s="9">
        <v>1.6</v>
      </c>
    </row>
    <row r="47" spans="1:6" ht="15.75" thickBot="1">
      <c r="A47" s="7" t="s">
        <v>130</v>
      </c>
      <c r="B47" s="7" t="s">
        <v>131</v>
      </c>
      <c r="C47" s="5" t="s">
        <v>51</v>
      </c>
      <c r="D47" s="9">
        <v>2023</v>
      </c>
      <c r="E47" s="9">
        <v>16</v>
      </c>
      <c r="F47" s="9">
        <v>2</v>
      </c>
    </row>
    <row r="48" spans="1:6" ht="15.75" thickBot="1">
      <c r="A48" s="7" t="s">
        <v>132</v>
      </c>
      <c r="B48" s="7" t="s">
        <v>131</v>
      </c>
      <c r="C48" s="5" t="s">
        <v>51</v>
      </c>
      <c r="D48" s="9">
        <v>2023</v>
      </c>
      <c r="E48" s="9">
        <v>16</v>
      </c>
      <c r="F48" s="9">
        <v>2</v>
      </c>
    </row>
    <row r="49" spans="1:6" ht="15.75" thickBot="1">
      <c r="A49" s="7" t="s">
        <v>133</v>
      </c>
      <c r="B49" s="7" t="s">
        <v>131</v>
      </c>
      <c r="C49" s="5" t="s">
        <v>51</v>
      </c>
      <c r="D49" s="9">
        <v>2023</v>
      </c>
      <c r="E49" s="9">
        <v>16</v>
      </c>
      <c r="F49" s="9">
        <v>2</v>
      </c>
    </row>
    <row r="50" spans="1:6" ht="15.75" thickBot="1">
      <c r="A50" s="5" t="s">
        <v>134</v>
      </c>
      <c r="B50" s="7" t="s">
        <v>135</v>
      </c>
      <c r="C50" s="5" t="s">
        <v>51</v>
      </c>
      <c r="D50" s="9">
        <v>2015</v>
      </c>
      <c r="E50" s="9">
        <v>11</v>
      </c>
      <c r="F50" s="9">
        <v>11</v>
      </c>
    </row>
    <row r="51" spans="1:6" ht="15.75" thickBot="1">
      <c r="A51" s="5" t="s">
        <v>134</v>
      </c>
      <c r="B51" s="7" t="s">
        <v>135</v>
      </c>
      <c r="C51" s="7" t="s">
        <v>51</v>
      </c>
      <c r="D51" s="9">
        <v>2015</v>
      </c>
      <c r="E51" s="9">
        <v>11</v>
      </c>
      <c r="F51" s="9">
        <v>11</v>
      </c>
    </row>
    <row r="52" spans="1:6" ht="15.75" thickBot="1">
      <c r="A52" s="5" t="s">
        <v>136</v>
      </c>
      <c r="B52" s="7" t="s">
        <v>137</v>
      </c>
      <c r="C52" s="7" t="s">
        <v>51</v>
      </c>
      <c r="D52" s="9">
        <v>2015</v>
      </c>
      <c r="E52" s="9">
        <v>13</v>
      </c>
      <c r="F52" s="9">
        <v>1.4</v>
      </c>
    </row>
    <row r="53" spans="1:6" ht="15.75" thickBot="1">
      <c r="A53" s="5" t="s">
        <v>136</v>
      </c>
      <c r="B53" s="7" t="s">
        <v>137</v>
      </c>
      <c r="C53" s="7" t="s">
        <v>51</v>
      </c>
      <c r="D53" s="9">
        <v>2015</v>
      </c>
      <c r="E53" s="9">
        <v>13</v>
      </c>
      <c r="F53" s="9">
        <v>1.4</v>
      </c>
    </row>
    <row r="54" spans="1:6" ht="15.75" thickBot="1">
      <c r="A54" s="5" t="s">
        <v>136</v>
      </c>
      <c r="B54" s="7" t="s">
        <v>137</v>
      </c>
      <c r="C54" s="7" t="s">
        <v>51</v>
      </c>
      <c r="D54" s="9">
        <v>2017</v>
      </c>
      <c r="E54" s="9">
        <v>13</v>
      </c>
      <c r="F54" s="9">
        <v>1.4</v>
      </c>
    </row>
    <row r="55" spans="1:6" ht="15.75" thickBot="1">
      <c r="A55" s="5" t="s">
        <v>136</v>
      </c>
      <c r="B55" s="7" t="s">
        <v>137</v>
      </c>
      <c r="C55" s="7" t="s">
        <v>51</v>
      </c>
      <c r="D55" s="9">
        <v>2017</v>
      </c>
      <c r="E55" s="9">
        <v>13</v>
      </c>
      <c r="F55" s="9">
        <v>1.4</v>
      </c>
    </row>
    <row r="56" spans="1:6" ht="15.75" thickBot="1">
      <c r="A56" s="5" t="s">
        <v>138</v>
      </c>
      <c r="B56" s="7" t="s">
        <v>139</v>
      </c>
      <c r="C56" s="7" t="s">
        <v>51</v>
      </c>
      <c r="D56" s="9">
        <v>2018</v>
      </c>
      <c r="E56" s="9">
        <v>13</v>
      </c>
      <c r="F56" s="9">
        <v>1.4</v>
      </c>
    </row>
    <row r="57" spans="1:6" ht="15.75" thickBot="1">
      <c r="A57" s="5" t="s">
        <v>140</v>
      </c>
      <c r="B57" s="7" t="s">
        <v>139</v>
      </c>
      <c r="C57" s="7" t="s">
        <v>51</v>
      </c>
      <c r="D57" s="9">
        <v>2019</v>
      </c>
      <c r="E57" s="9">
        <v>13</v>
      </c>
      <c r="F57" s="9">
        <v>1.4</v>
      </c>
    </row>
    <row r="58" spans="1:6" ht="15.75" thickBot="1">
      <c r="A58" s="5" t="s">
        <v>141</v>
      </c>
      <c r="B58" s="7" t="s">
        <v>142</v>
      </c>
      <c r="C58" s="7" t="s">
        <v>51</v>
      </c>
      <c r="D58" s="9">
        <v>2020</v>
      </c>
      <c r="E58" s="9">
        <v>13</v>
      </c>
      <c r="F58" s="9">
        <v>1.4</v>
      </c>
    </row>
    <row r="59" spans="1:6" ht="15.75" thickBot="1">
      <c r="A59" s="5" t="s">
        <v>141</v>
      </c>
      <c r="B59" s="7" t="s">
        <v>142</v>
      </c>
      <c r="C59" s="7" t="s">
        <v>51</v>
      </c>
      <c r="D59" s="9">
        <v>2020</v>
      </c>
      <c r="E59" s="9">
        <v>13</v>
      </c>
      <c r="F59" s="9">
        <v>1.4</v>
      </c>
    </row>
    <row r="60" spans="1:6" ht="15.75" thickBot="1">
      <c r="A60" s="5" t="s">
        <v>141</v>
      </c>
      <c r="B60" s="7" t="s">
        <v>142</v>
      </c>
      <c r="C60" s="7" t="s">
        <v>51</v>
      </c>
      <c r="D60" s="9">
        <v>2020</v>
      </c>
      <c r="E60" s="9">
        <v>13</v>
      </c>
      <c r="F60" s="9">
        <v>1.4</v>
      </c>
    </row>
    <row r="61" spans="1:6" ht="15.75" thickBot="1">
      <c r="A61" s="5" t="s">
        <v>143</v>
      </c>
      <c r="B61" s="7" t="s">
        <v>144</v>
      </c>
      <c r="C61" s="7" t="s">
        <v>51</v>
      </c>
      <c r="D61" s="9">
        <v>2020</v>
      </c>
      <c r="E61" s="9">
        <v>13</v>
      </c>
      <c r="F61" s="9">
        <v>1.4</v>
      </c>
    </row>
    <row r="62" spans="1:6" ht="15.75" thickBot="1">
      <c r="A62" s="7" t="s">
        <v>145</v>
      </c>
      <c r="B62" s="7" t="s">
        <v>146</v>
      </c>
      <c r="C62" s="7" t="s">
        <v>51</v>
      </c>
      <c r="D62" s="9">
        <v>2022</v>
      </c>
      <c r="E62" s="9">
        <v>13</v>
      </c>
      <c r="F62" s="9">
        <v>1.4</v>
      </c>
    </row>
    <row r="63" spans="1:6" ht="15.75" thickBot="1">
      <c r="A63" s="7" t="s">
        <v>147</v>
      </c>
      <c r="B63" s="7" t="s">
        <v>148</v>
      </c>
      <c r="C63" s="7" t="s">
        <v>51</v>
      </c>
      <c r="D63" s="9">
        <v>2023</v>
      </c>
      <c r="E63" s="9">
        <v>15</v>
      </c>
      <c r="F63" s="9">
        <v>1.8</v>
      </c>
    </row>
    <row r="64" spans="1:6" ht="15.75" thickBot="1">
      <c r="A64" s="7" t="s">
        <v>149</v>
      </c>
      <c r="B64" s="7" t="s">
        <v>150</v>
      </c>
      <c r="C64" s="7" t="s">
        <v>51</v>
      </c>
      <c r="D64" s="9">
        <v>2024</v>
      </c>
      <c r="E64" s="9">
        <v>13</v>
      </c>
      <c r="F64" s="9">
        <v>1.4</v>
      </c>
    </row>
    <row r="65" spans="1:6" ht="15.75" thickBot="1">
      <c r="A65" s="7" t="s">
        <v>151</v>
      </c>
      <c r="B65" s="7" t="s">
        <v>152</v>
      </c>
      <c r="C65" s="7" t="s">
        <v>51</v>
      </c>
      <c r="D65" s="9">
        <v>2024</v>
      </c>
      <c r="E65" s="9">
        <v>15</v>
      </c>
      <c r="F65" s="9">
        <v>1.8</v>
      </c>
    </row>
    <row r="66" spans="1:6" ht="15.75" thickBot="1">
      <c r="A66" s="7" t="s">
        <v>153</v>
      </c>
      <c r="B66" s="7" t="s">
        <v>154</v>
      </c>
      <c r="C66" s="7" t="s">
        <v>307</v>
      </c>
      <c r="D66" s="9">
        <v>2013</v>
      </c>
      <c r="E66" s="7"/>
      <c r="F66" s="9">
        <v>5</v>
      </c>
    </row>
    <row r="67" spans="1:6" ht="15.75" thickBot="1">
      <c r="A67" s="7" t="s">
        <v>155</v>
      </c>
      <c r="B67" s="7" t="s">
        <v>156</v>
      </c>
      <c r="C67" s="7" t="s">
        <v>306</v>
      </c>
      <c r="D67" s="9">
        <v>2015</v>
      </c>
      <c r="E67" s="9">
        <v>27</v>
      </c>
      <c r="F67" s="9">
        <v>9.5399999999999991</v>
      </c>
    </row>
    <row r="68" spans="1:6" ht="15.75" thickBot="1">
      <c r="A68" s="7" t="s">
        <v>157</v>
      </c>
      <c r="B68" s="7" t="s">
        <v>156</v>
      </c>
      <c r="C68" s="7" t="s">
        <v>306</v>
      </c>
      <c r="D68" s="9">
        <v>2017</v>
      </c>
      <c r="E68" s="9">
        <v>27</v>
      </c>
      <c r="F68" s="9">
        <v>9.5399999999999991</v>
      </c>
    </row>
    <row r="69" spans="1:6" ht="15.75" thickBot="1">
      <c r="A69" s="7" t="s">
        <v>158</v>
      </c>
      <c r="B69" s="7" t="s">
        <v>159</v>
      </c>
      <c r="C69" s="7" t="s">
        <v>306</v>
      </c>
      <c r="D69" s="9">
        <v>2017</v>
      </c>
      <c r="E69" s="9">
        <v>21.5</v>
      </c>
      <c r="F69" s="9">
        <v>9.5399999999999991</v>
      </c>
    </row>
    <row r="70" spans="1:6" ht="15.75" thickBot="1">
      <c r="A70" s="7"/>
      <c r="B70" s="7" t="s">
        <v>160</v>
      </c>
      <c r="C70" s="7"/>
      <c r="D70" s="7"/>
      <c r="E70" s="7"/>
      <c r="F70" s="9">
        <v>2</v>
      </c>
    </row>
    <row r="71" spans="1:6" ht="15.75" thickBot="1">
      <c r="A71" s="7"/>
      <c r="B71" s="7" t="s">
        <v>160</v>
      </c>
      <c r="C71" s="7"/>
      <c r="D71" s="7"/>
      <c r="E71" s="7"/>
      <c r="F71" s="9">
        <v>2</v>
      </c>
    </row>
    <row r="72" spans="1:6" ht="15.75" thickBot="1">
      <c r="A72" s="7"/>
      <c r="B72" s="7" t="s">
        <v>160</v>
      </c>
      <c r="C72" s="7"/>
      <c r="D72" s="7"/>
      <c r="E72" s="7"/>
      <c r="F72" s="9">
        <v>2</v>
      </c>
    </row>
    <row r="73" spans="1:6" ht="15.75" thickBot="1">
      <c r="A73" s="7"/>
      <c r="B73" s="7" t="s">
        <v>160</v>
      </c>
      <c r="C73" s="7"/>
      <c r="D73" s="7"/>
      <c r="E73" s="7"/>
      <c r="F73" s="9">
        <v>2</v>
      </c>
    </row>
    <row r="74" spans="1:6" ht="15.75" thickBot="1">
      <c r="A74" s="7"/>
      <c r="B74" s="10" t="s">
        <v>161</v>
      </c>
      <c r="C74" s="10"/>
      <c r="D74" s="7"/>
      <c r="E74" s="7"/>
      <c r="F74" s="9">
        <v>1.74</v>
      </c>
    </row>
    <row r="75" spans="1:6" ht="15.75" thickBot="1">
      <c r="A75" s="7"/>
      <c r="B75" s="7" t="s">
        <v>160</v>
      </c>
      <c r="C75" s="7"/>
      <c r="D75" s="7"/>
      <c r="E75" s="7"/>
      <c r="F75" s="9">
        <v>2</v>
      </c>
    </row>
    <row r="76" spans="1:6" ht="15.75" thickBot="1">
      <c r="A76" s="7"/>
      <c r="B76" s="10" t="s">
        <v>161</v>
      </c>
      <c r="C76" s="10"/>
      <c r="D76" s="7"/>
      <c r="E76" s="7"/>
      <c r="F76" s="9">
        <v>1.74</v>
      </c>
    </row>
    <row r="77" spans="1:6" ht="15.75" thickBot="1">
      <c r="A77" s="7"/>
      <c r="B77" s="10" t="s">
        <v>162</v>
      </c>
      <c r="C77" s="10"/>
      <c r="D77" s="7"/>
      <c r="E77" s="7"/>
      <c r="F77" s="9">
        <v>1.8</v>
      </c>
    </row>
    <row r="78" spans="1:6" ht="15.75" thickBot="1">
      <c r="A78" s="7"/>
      <c r="B78" s="7" t="s">
        <v>160</v>
      </c>
      <c r="C78" s="7"/>
      <c r="D78" s="7"/>
      <c r="E78" s="7"/>
      <c r="F78" s="9">
        <v>2</v>
      </c>
    </row>
    <row r="79" spans="1:6" ht="15.75" thickBot="1">
      <c r="A79" s="7"/>
      <c r="B79" s="7" t="s">
        <v>163</v>
      </c>
      <c r="C79" s="7"/>
      <c r="D79" s="7"/>
      <c r="E79" s="7"/>
      <c r="F79" s="9">
        <v>1.8</v>
      </c>
    </row>
    <row r="80" spans="1:6" ht="15.75" thickBot="1">
      <c r="A80" s="7"/>
      <c r="B80" s="7" t="s">
        <v>164</v>
      </c>
      <c r="C80" s="7"/>
      <c r="D80" s="7"/>
      <c r="E80" s="7"/>
      <c r="F80" s="9">
        <v>1.26</v>
      </c>
    </row>
    <row r="81" spans="1:6" ht="15.75" thickBot="1">
      <c r="A81" s="7"/>
      <c r="B81" s="7" t="s">
        <v>165</v>
      </c>
      <c r="C81" s="7"/>
      <c r="D81" s="7"/>
      <c r="E81" s="7"/>
      <c r="F81" s="9">
        <v>1.26</v>
      </c>
    </row>
    <row r="82" spans="1:6" ht="15.75" thickBot="1">
      <c r="A82" s="7"/>
      <c r="B82" s="7" t="s">
        <v>166</v>
      </c>
      <c r="C82" s="7"/>
      <c r="D82" s="7"/>
      <c r="E82" s="7"/>
      <c r="F82" s="9">
        <v>1.26</v>
      </c>
    </row>
    <row r="83" spans="1:6" ht="15.75" thickBot="1">
      <c r="A83" s="7"/>
      <c r="B83" s="10" t="s">
        <v>167</v>
      </c>
      <c r="C83" s="10"/>
      <c r="D83" s="7"/>
      <c r="E83" s="7"/>
      <c r="F83" s="9">
        <v>1.26</v>
      </c>
    </row>
    <row r="84" spans="1:6" ht="15.75" thickBot="1">
      <c r="A84" s="7"/>
      <c r="B84" s="7" t="s">
        <v>168</v>
      </c>
      <c r="C84" s="7"/>
      <c r="D84" s="7"/>
      <c r="E84" s="7"/>
      <c r="F84" s="9">
        <v>1.17</v>
      </c>
    </row>
    <row r="85" spans="1:6" ht="15.75" thickBot="1">
      <c r="A85" s="7"/>
      <c r="B85" s="7" t="s">
        <v>169</v>
      </c>
      <c r="C85" s="7"/>
      <c r="D85" s="7"/>
      <c r="E85" s="7"/>
      <c r="F85" s="9">
        <v>1.8</v>
      </c>
    </row>
    <row r="86" spans="1:6" ht="15.75" thickBot="1">
      <c r="A86" s="7"/>
      <c r="B86" s="7" t="s">
        <v>170</v>
      </c>
      <c r="C86" s="7"/>
      <c r="D86" s="7"/>
      <c r="E86" s="7"/>
      <c r="F86" s="9">
        <v>1.35</v>
      </c>
    </row>
    <row r="87" spans="1:6" ht="15.75" thickBot="1">
      <c r="A87" s="7"/>
      <c r="B87" s="6" t="s">
        <v>171</v>
      </c>
      <c r="C87" s="6"/>
      <c r="D87" s="7"/>
      <c r="E87" s="7"/>
      <c r="F87" s="9">
        <v>1.1000000000000001</v>
      </c>
    </row>
    <row r="88" spans="1:6" ht="15.75" thickBot="1">
      <c r="A88" s="7"/>
      <c r="B88" s="6" t="s">
        <v>172</v>
      </c>
      <c r="C88" s="6"/>
      <c r="D88" s="7"/>
      <c r="E88" s="7"/>
      <c r="F88" s="9">
        <v>1.2</v>
      </c>
    </row>
    <row r="89" spans="1:6" ht="15.75" thickBot="1">
      <c r="A89" s="7"/>
      <c r="B89" s="6" t="s">
        <v>173</v>
      </c>
      <c r="C89" s="6"/>
      <c r="D89" s="7"/>
      <c r="E89" s="7"/>
      <c r="F89" s="9">
        <v>1.26</v>
      </c>
    </row>
    <row r="90" spans="1:6" ht="15.75" thickBot="1">
      <c r="A90" s="7"/>
      <c r="B90" s="7" t="s">
        <v>174</v>
      </c>
      <c r="C90" s="7"/>
      <c r="D90" s="7"/>
      <c r="E90" s="7"/>
      <c r="F90" s="9">
        <v>1.27</v>
      </c>
    </row>
    <row r="91" spans="1:6" ht="15.75" thickBot="1">
      <c r="A91" s="7"/>
      <c r="B91" s="7" t="s">
        <v>174</v>
      </c>
      <c r="C91" s="7"/>
      <c r="D91" s="7"/>
      <c r="E91" s="7"/>
      <c r="F91" s="9">
        <v>1.27</v>
      </c>
    </row>
    <row r="92" spans="1:6" ht="15.75" thickBot="1">
      <c r="A92" s="7"/>
      <c r="B92" s="7" t="s">
        <v>175</v>
      </c>
      <c r="C92" s="7"/>
      <c r="D92" s="7"/>
      <c r="E92" s="7"/>
      <c r="F92" s="9">
        <v>1.3</v>
      </c>
    </row>
    <row r="93" spans="1:6" ht="15.75" thickBot="1">
      <c r="A93" s="7"/>
      <c r="B93" s="7" t="s">
        <v>176</v>
      </c>
      <c r="C93" s="7"/>
      <c r="D93" s="7"/>
      <c r="E93" s="7"/>
      <c r="F93" s="9">
        <v>1.4</v>
      </c>
    </row>
    <row r="94" spans="1:6" ht="15.75" thickBot="1">
      <c r="A94" s="7"/>
      <c r="B94" s="7" t="s">
        <v>177</v>
      </c>
      <c r="C94" s="7"/>
      <c r="D94" s="7"/>
      <c r="E94" s="7"/>
      <c r="F94" s="9">
        <v>1.4</v>
      </c>
    </row>
    <row r="95" spans="1:6" ht="15.75" thickBot="1">
      <c r="A95" s="7"/>
      <c r="B95" s="7" t="s">
        <v>178</v>
      </c>
      <c r="C95" s="7"/>
      <c r="D95" s="7"/>
      <c r="E95" s="7"/>
      <c r="F95" s="9">
        <v>3.26</v>
      </c>
    </row>
    <row r="96" spans="1:6" ht="15.75" thickBot="1">
      <c r="A96" s="7"/>
      <c r="B96" s="7" t="s">
        <v>179</v>
      </c>
      <c r="C96" s="7"/>
      <c r="D96" s="7"/>
      <c r="E96" s="7"/>
      <c r="F96" s="9">
        <v>5.23</v>
      </c>
    </row>
    <row r="97" spans="1:6" ht="15.75" thickBot="1">
      <c r="A97" s="7"/>
      <c r="B97" s="7" t="s">
        <v>180</v>
      </c>
      <c r="C97" s="7"/>
      <c r="D97" s="7"/>
      <c r="E97" s="7"/>
      <c r="F97" s="9">
        <v>7.5</v>
      </c>
    </row>
    <row r="98" spans="1:6" ht="15.75" thickBot="1">
      <c r="A98" s="7"/>
      <c r="B98" s="7" t="s">
        <v>181</v>
      </c>
      <c r="C98" s="7"/>
      <c r="D98" s="7"/>
      <c r="E98" s="7"/>
      <c r="F98" s="9">
        <v>6.6</v>
      </c>
    </row>
    <row r="99" spans="1:6" ht="15.75" thickBot="1">
      <c r="A99" s="7"/>
      <c r="B99" s="7" t="s">
        <v>182</v>
      </c>
      <c r="C99" s="7"/>
      <c r="D99" s="7"/>
      <c r="E99" s="7"/>
      <c r="F99" s="9">
        <v>5.6</v>
      </c>
    </row>
    <row r="100" spans="1:6" ht="15.75" thickBot="1">
      <c r="A100" s="7"/>
      <c r="B100" s="7" t="s">
        <v>183</v>
      </c>
      <c r="C100" s="7"/>
      <c r="D100" s="7"/>
      <c r="E100" s="7"/>
      <c r="F100" s="9">
        <v>7.65</v>
      </c>
    </row>
    <row r="101" spans="1:6" ht="15.75" thickBot="1">
      <c r="A101" s="7"/>
      <c r="B101" s="7" t="s">
        <v>184</v>
      </c>
      <c r="C101" s="7"/>
      <c r="D101" s="7"/>
      <c r="E101" s="7"/>
      <c r="F101" s="9">
        <v>5.26</v>
      </c>
    </row>
    <row r="102" spans="1:6" ht="15.75" thickBot="1">
      <c r="A102" s="7"/>
      <c r="B102" s="7" t="s">
        <v>185</v>
      </c>
      <c r="C102" s="7"/>
      <c r="D102" s="7"/>
      <c r="E102" s="7"/>
      <c r="F102" s="9">
        <v>9</v>
      </c>
    </row>
    <row r="103" spans="1:6" ht="15.75" thickBot="1">
      <c r="A103" s="7"/>
      <c r="B103" s="7" t="s">
        <v>186</v>
      </c>
      <c r="C103" s="7"/>
      <c r="D103" s="7"/>
      <c r="E103" s="7"/>
      <c r="F103" s="9">
        <v>2.2999999999999998</v>
      </c>
    </row>
    <row r="104" spans="1:6" ht="15.75" thickBot="1">
      <c r="A104" s="7"/>
      <c r="B104" s="7" t="s">
        <v>187</v>
      </c>
      <c r="C104" s="7"/>
      <c r="D104" s="7"/>
      <c r="E104" s="7"/>
      <c r="F104" s="9">
        <v>2.2999999999999998</v>
      </c>
    </row>
    <row r="105" spans="1:6" ht="15.75" thickBot="1">
      <c r="A105" s="7"/>
      <c r="B105" s="7" t="s">
        <v>188</v>
      </c>
      <c r="C105" s="7"/>
      <c r="D105" s="7"/>
      <c r="E105" s="7"/>
      <c r="F105" s="9">
        <v>5.26</v>
      </c>
    </row>
    <row r="106" spans="1:6" ht="15.75" thickBot="1">
      <c r="A106" s="7"/>
      <c r="B106" s="7" t="s">
        <v>189</v>
      </c>
      <c r="C106" s="7"/>
      <c r="D106" s="7"/>
      <c r="E106" s="7"/>
      <c r="F106" s="9">
        <v>9.4</v>
      </c>
    </row>
    <row r="107" spans="1:6" ht="15.75" thickBot="1">
      <c r="A107" s="7"/>
      <c r="B107" s="7" t="s">
        <v>190</v>
      </c>
      <c r="C107" s="7"/>
      <c r="D107" s="7"/>
      <c r="E107" s="7"/>
      <c r="F107" s="9">
        <v>5.9</v>
      </c>
    </row>
    <row r="108" spans="1:6" ht="15.75" thickBot="1">
      <c r="A108" s="7"/>
      <c r="B108" s="7" t="s">
        <v>191</v>
      </c>
      <c r="C108" s="7"/>
      <c r="D108" s="7"/>
      <c r="E108" s="7"/>
      <c r="F108" s="9">
        <v>5.26</v>
      </c>
    </row>
    <row r="109" spans="1:6" ht="15.75" thickBot="1">
      <c r="A109" s="7"/>
      <c r="B109" s="7" t="s">
        <v>192</v>
      </c>
      <c r="C109" s="7"/>
      <c r="D109" s="7"/>
      <c r="E109" s="7"/>
      <c r="F109" s="9">
        <v>1.3</v>
      </c>
    </row>
    <row r="110" spans="1:6" ht="15.75" thickBot="1">
      <c r="A110" s="7"/>
      <c r="B110" s="7" t="s">
        <v>193</v>
      </c>
      <c r="C110" s="7"/>
      <c r="D110" s="7"/>
      <c r="E110" s="7"/>
      <c r="F110" s="9">
        <v>3</v>
      </c>
    </row>
    <row r="111" spans="1:6" ht="15.75" thickBot="1">
      <c r="A111" s="7"/>
      <c r="B111" s="7" t="s">
        <v>194</v>
      </c>
      <c r="C111" s="7"/>
      <c r="D111" s="7"/>
      <c r="E111" s="7"/>
      <c r="F111" s="9">
        <v>3</v>
      </c>
    </row>
    <row r="112" spans="1:6" ht="15.75" thickBot="1">
      <c r="A112" s="7"/>
      <c r="B112" s="7" t="s">
        <v>195</v>
      </c>
      <c r="C112" s="7"/>
      <c r="D112" s="7"/>
      <c r="E112" s="7"/>
      <c r="F112" s="9">
        <v>5.2</v>
      </c>
    </row>
    <row r="113" spans="1:6" ht="15.75" thickBot="1">
      <c r="A113" s="7"/>
      <c r="B113" s="7" t="s">
        <v>196</v>
      </c>
      <c r="C113" s="7"/>
      <c r="D113" s="7"/>
      <c r="E113" s="7"/>
      <c r="F113" s="9">
        <v>4.25</v>
      </c>
    </row>
    <row r="114" spans="1:6" ht="15.75" thickBot="1">
      <c r="A114" s="7"/>
      <c r="B114" s="7" t="s">
        <v>197</v>
      </c>
      <c r="C114" s="7"/>
      <c r="D114" s="7"/>
      <c r="E114" s="7"/>
      <c r="F114" s="9">
        <v>3.33</v>
      </c>
    </row>
    <row r="115" spans="1:6" ht="15.75" thickBot="1">
      <c r="A115" s="7"/>
      <c r="B115" s="7" t="s">
        <v>198</v>
      </c>
      <c r="C115" s="7"/>
      <c r="D115" s="7"/>
      <c r="E115" s="7"/>
      <c r="F115" s="9">
        <v>2.8</v>
      </c>
    </row>
    <row r="116" spans="1:6" ht="15.75" thickBot="1">
      <c r="A116" s="7"/>
      <c r="B116" s="7" t="s">
        <v>199</v>
      </c>
      <c r="C116" s="7"/>
      <c r="D116" s="7"/>
      <c r="E116" s="7"/>
      <c r="F116" s="9">
        <v>1.7</v>
      </c>
    </row>
    <row r="117" spans="1:6" ht="15.75" thickBot="1">
      <c r="A117" s="7"/>
      <c r="B117" s="7" t="s">
        <v>200</v>
      </c>
      <c r="C117" s="7"/>
      <c r="D117" s="7"/>
      <c r="E117" s="7"/>
      <c r="F117" s="9">
        <v>1.48</v>
      </c>
    </row>
    <row r="118" spans="1:6" ht="15.75" thickBot="1">
      <c r="A118" s="7"/>
      <c r="B118" s="7" t="s">
        <v>201</v>
      </c>
      <c r="C118" s="7"/>
      <c r="D118" s="7"/>
      <c r="E118" s="7"/>
      <c r="F118" s="9">
        <v>3.33</v>
      </c>
    </row>
    <row r="119" spans="1:6" ht="15.75" thickBot="1">
      <c r="A119" s="7"/>
      <c r="B119" s="7" t="s">
        <v>202</v>
      </c>
      <c r="C119" s="7"/>
      <c r="D119" s="7"/>
      <c r="E119" s="7"/>
      <c r="F119" s="9">
        <v>0.75</v>
      </c>
    </row>
    <row r="120" spans="1:6" ht="15.75" thickBot="1">
      <c r="A120" s="7"/>
      <c r="B120" s="7" t="s">
        <v>203</v>
      </c>
      <c r="C120" s="7"/>
      <c r="D120" s="7"/>
      <c r="E120" s="7"/>
      <c r="F120" s="9">
        <v>4.25</v>
      </c>
    </row>
    <row r="121" spans="1:6" ht="15.75" thickBot="1">
      <c r="A121" s="7"/>
      <c r="B121" s="7" t="s">
        <v>204</v>
      </c>
      <c r="C121" s="7"/>
      <c r="D121" s="7"/>
      <c r="E121" s="7"/>
      <c r="F121" s="9">
        <v>1.44</v>
      </c>
    </row>
    <row r="122" spans="1:6" ht="15.75" thickBot="1">
      <c r="A122" s="7"/>
      <c r="B122" s="7" t="s">
        <v>205</v>
      </c>
      <c r="C122" s="7"/>
      <c r="D122" s="7"/>
      <c r="E122" s="7"/>
      <c r="F122" s="9">
        <v>1.1299999999999999</v>
      </c>
    </row>
    <row r="123" spans="1:6" ht="15.75" thickBot="1">
      <c r="A123" s="7"/>
      <c r="B123" s="7" t="s">
        <v>206</v>
      </c>
      <c r="C123" s="7"/>
      <c r="D123" s="7"/>
      <c r="E123" s="7"/>
      <c r="F123" s="9">
        <v>1.1299999999999999</v>
      </c>
    </row>
    <row r="124" spans="1:6" ht="15.75" thickBot="1">
      <c r="A124" s="7"/>
      <c r="B124" s="7" t="s">
        <v>207</v>
      </c>
      <c r="C124" s="7"/>
      <c r="D124" s="7"/>
      <c r="E124" s="7"/>
      <c r="F124" s="9">
        <v>1.5</v>
      </c>
    </row>
    <row r="125" spans="1:6" ht="15.75" thickBot="1">
      <c r="A125" s="7"/>
      <c r="B125" s="7" t="s">
        <v>208</v>
      </c>
      <c r="C125" s="7"/>
      <c r="D125" s="7"/>
      <c r="E125" s="7"/>
      <c r="F125" s="9">
        <v>1.46</v>
      </c>
    </row>
    <row r="126" spans="1:6" ht="15.75" thickBot="1">
      <c r="A126" s="7"/>
      <c r="B126" s="7" t="s">
        <v>209</v>
      </c>
      <c r="C126" s="7"/>
      <c r="D126" s="7"/>
      <c r="E126" s="7"/>
      <c r="F126" s="9">
        <v>1.18</v>
      </c>
    </row>
    <row r="127" spans="1:6" ht="15.75" thickBot="1">
      <c r="A127" s="7"/>
      <c r="B127" s="7" t="s">
        <v>210</v>
      </c>
      <c r="C127" s="7"/>
      <c r="D127" s="7"/>
      <c r="E127" s="7"/>
      <c r="F127" s="9">
        <v>1.73</v>
      </c>
    </row>
    <row r="128" spans="1:6" ht="15.75" thickBot="1">
      <c r="A128" s="7"/>
      <c r="B128" s="7" t="s">
        <v>211</v>
      </c>
      <c r="C128" s="7"/>
      <c r="D128" s="7"/>
      <c r="E128" s="7"/>
      <c r="F128" s="9">
        <v>1.73</v>
      </c>
    </row>
    <row r="129" spans="1:6" ht="15.75" thickBot="1">
      <c r="A129" s="7"/>
      <c r="B129" s="7" t="s">
        <v>212</v>
      </c>
      <c r="C129" s="7"/>
      <c r="D129" s="7"/>
      <c r="E129" s="7"/>
      <c r="F129" s="9">
        <v>1.68</v>
      </c>
    </row>
    <row r="130" spans="1:6" ht="15.75" thickBot="1">
      <c r="A130" s="7"/>
      <c r="B130" s="7" t="s">
        <v>213</v>
      </c>
      <c r="C130" s="7"/>
      <c r="D130" s="7"/>
      <c r="E130" s="7"/>
      <c r="F130" s="9">
        <v>1.64</v>
      </c>
    </row>
    <row r="131" spans="1:6" ht="15.75" thickBot="1">
      <c r="A131" s="7"/>
      <c r="B131" s="7" t="s">
        <v>214</v>
      </c>
      <c r="C131" s="7"/>
      <c r="D131" s="7"/>
      <c r="E131" s="7"/>
      <c r="F131" s="9">
        <v>2.2999999999999998</v>
      </c>
    </row>
    <row r="132" spans="1:6" ht="15.75" thickBot="1">
      <c r="A132" s="7"/>
      <c r="B132" s="7" t="s">
        <v>215</v>
      </c>
      <c r="C132" s="7"/>
      <c r="D132" s="7"/>
      <c r="E132" s="7"/>
      <c r="F132" s="9">
        <v>1.96</v>
      </c>
    </row>
    <row r="133" spans="1:6" ht="15.75" thickBot="1">
      <c r="A133" s="7"/>
      <c r="B133" s="7" t="s">
        <v>216</v>
      </c>
      <c r="C133" s="7"/>
      <c r="D133" s="7"/>
      <c r="E133" s="7"/>
      <c r="F133" s="9">
        <v>1.7</v>
      </c>
    </row>
    <row r="134" spans="1:6" ht="15.75" thickBot="1">
      <c r="A134" s="7"/>
      <c r="B134" s="7" t="s">
        <v>217</v>
      </c>
      <c r="C134" s="7"/>
      <c r="D134" s="7"/>
      <c r="E134" s="7"/>
      <c r="F134" s="9">
        <v>2.7</v>
      </c>
    </row>
    <row r="135" spans="1:6" ht="15.75" thickBot="1">
      <c r="A135" s="7"/>
      <c r="B135" s="7" t="s">
        <v>218</v>
      </c>
      <c r="C135" s="7"/>
      <c r="D135" s="7"/>
      <c r="E135" s="7"/>
      <c r="F135" s="9">
        <v>2.74</v>
      </c>
    </row>
    <row r="136" spans="1:6" ht="15.75" thickBot="1">
      <c r="A136" s="7"/>
      <c r="B136" s="7" t="s">
        <v>219</v>
      </c>
      <c r="C136" s="7"/>
      <c r="D136" s="7"/>
      <c r="E136" s="7"/>
      <c r="F136" s="9">
        <v>2</v>
      </c>
    </row>
    <row r="137" spans="1:6" ht="15.75" thickBot="1">
      <c r="A137" s="7"/>
      <c r="B137" s="7" t="s">
        <v>210</v>
      </c>
      <c r="C137" s="7"/>
      <c r="D137" s="7"/>
      <c r="E137" s="7"/>
      <c r="F137" s="9">
        <v>1.73</v>
      </c>
    </row>
    <row r="138" spans="1:6" ht="15.75" thickBot="1">
      <c r="A138" s="7"/>
      <c r="B138" s="7" t="s">
        <v>220</v>
      </c>
      <c r="C138" s="7"/>
      <c r="D138" s="7"/>
      <c r="E138" s="7"/>
      <c r="F138" s="9">
        <v>1.68</v>
      </c>
    </row>
    <row r="139" spans="1:6" ht="15.75" thickBot="1">
      <c r="A139" s="7"/>
      <c r="B139" s="7" t="s">
        <v>221</v>
      </c>
      <c r="C139" s="7"/>
      <c r="D139" s="7"/>
      <c r="E139" s="7"/>
      <c r="F139" s="9">
        <v>1.64</v>
      </c>
    </row>
    <row r="140" spans="1:6" ht="15.75" thickBot="1">
      <c r="A140" s="7"/>
      <c r="B140" s="7" t="s">
        <v>222</v>
      </c>
      <c r="C140" s="7"/>
      <c r="D140" s="7"/>
      <c r="E140" s="7"/>
      <c r="F140" s="9">
        <v>2.2999999999999998</v>
      </c>
    </row>
    <row r="141" spans="1:6" ht="15.75" thickBot="1">
      <c r="A141" s="7"/>
      <c r="B141" s="7" t="s">
        <v>223</v>
      </c>
      <c r="C141" s="7"/>
      <c r="D141" s="7"/>
      <c r="E141" s="7"/>
      <c r="F141" s="9">
        <v>1.96</v>
      </c>
    </row>
    <row r="142" spans="1:6" ht="15.75" thickBot="1">
      <c r="A142" s="7"/>
      <c r="B142" s="7" t="s">
        <v>224</v>
      </c>
      <c r="C142" s="7"/>
      <c r="D142" s="7"/>
      <c r="E142" s="7"/>
      <c r="F142" s="9">
        <v>1.7</v>
      </c>
    </row>
    <row r="143" spans="1:6" ht="15.75" thickBot="1">
      <c r="A143" s="7"/>
      <c r="B143" s="7" t="s">
        <v>225</v>
      </c>
      <c r="C143" s="7"/>
      <c r="D143" s="7"/>
      <c r="E143" s="7"/>
      <c r="F143" s="9">
        <v>2.7</v>
      </c>
    </row>
    <row r="144" spans="1:6" ht="15.75" thickBot="1">
      <c r="A144" s="7"/>
      <c r="B144" s="7" t="s">
        <v>226</v>
      </c>
      <c r="C144" s="7"/>
      <c r="D144" s="7"/>
      <c r="E144" s="7"/>
      <c r="F144" s="9">
        <v>2.74</v>
      </c>
    </row>
    <row r="145" spans="1:6" ht="15.75" thickBot="1">
      <c r="A145" s="7"/>
      <c r="B145" s="7" t="s">
        <v>227</v>
      </c>
      <c r="C145" s="7"/>
      <c r="D145" s="7"/>
      <c r="E145" s="7"/>
      <c r="F145" s="9">
        <v>1.36</v>
      </c>
    </row>
    <row r="146" spans="1:6" ht="15.75" thickBot="1">
      <c r="A146" s="7"/>
      <c r="B146" s="7" t="s">
        <v>228</v>
      </c>
      <c r="C146" s="7"/>
      <c r="D146" s="7"/>
      <c r="E146" s="7"/>
      <c r="F146" s="9">
        <v>1.4</v>
      </c>
    </row>
    <row r="147" spans="1:6" ht="15.75" thickBot="1">
      <c r="A147" s="7"/>
      <c r="B147" s="7" t="s">
        <v>229</v>
      </c>
      <c r="C147" s="7"/>
      <c r="D147" s="7"/>
      <c r="E147" s="7"/>
      <c r="F147" s="9">
        <v>2.5</v>
      </c>
    </row>
    <row r="148" spans="1:6" ht="15.75" thickBot="1">
      <c r="A148" s="7"/>
      <c r="B148" s="7" t="s">
        <v>230</v>
      </c>
      <c r="C148" s="7"/>
      <c r="D148" s="7"/>
      <c r="E148" s="7"/>
      <c r="F148" s="9">
        <v>1.7</v>
      </c>
    </row>
    <row r="149" spans="1:6" ht="15.75" thickBot="1">
      <c r="A149" s="7"/>
      <c r="B149" s="7" t="s">
        <v>231</v>
      </c>
      <c r="C149" s="7"/>
      <c r="D149" s="7"/>
      <c r="E149" s="7"/>
      <c r="F149" s="9">
        <v>1.32</v>
      </c>
    </row>
    <row r="150" spans="1:6" ht="15.75" thickBot="1">
      <c r="A150" s="7"/>
      <c r="B150" s="7" t="s">
        <v>232</v>
      </c>
      <c r="C150" s="7"/>
      <c r="D150" s="7"/>
      <c r="E150" s="7"/>
      <c r="F150" s="9">
        <v>1.36</v>
      </c>
    </row>
    <row r="151" spans="1:6" ht="15.75" thickBot="1">
      <c r="A151" s="7"/>
      <c r="B151" s="7" t="s">
        <v>233</v>
      </c>
      <c r="C151" s="7"/>
      <c r="D151" s="7"/>
      <c r="E151" s="7"/>
      <c r="F151" s="9">
        <v>1.7</v>
      </c>
    </row>
    <row r="152" spans="1:6" ht="15.75" thickBot="1">
      <c r="A152" s="7"/>
      <c r="B152" s="7" t="s">
        <v>234</v>
      </c>
      <c r="C152" s="7"/>
      <c r="D152" s="7"/>
      <c r="E152" s="7"/>
      <c r="F152" s="9">
        <v>1.3</v>
      </c>
    </row>
    <row r="153" spans="1:6" ht="15.75" thickBot="1">
      <c r="A153" s="7"/>
      <c r="B153" s="7" t="s">
        <v>235</v>
      </c>
      <c r="C153" s="7"/>
      <c r="D153" s="7"/>
      <c r="E153" s="7"/>
      <c r="F153" s="9">
        <v>1.8</v>
      </c>
    </row>
    <row r="154" spans="1:6" ht="15.75" thickBot="1">
      <c r="A154" s="7"/>
      <c r="B154" s="7" t="s">
        <v>236</v>
      </c>
      <c r="C154" s="7"/>
      <c r="D154" s="7"/>
      <c r="E154" s="7"/>
      <c r="F154" s="9">
        <v>1.32</v>
      </c>
    </row>
    <row r="155" spans="1:6" ht="15.75" thickBot="1">
      <c r="A155" s="7"/>
      <c r="B155" s="7" t="s">
        <v>237</v>
      </c>
      <c r="C155" s="7"/>
      <c r="D155" s="7"/>
      <c r="E155" s="7"/>
      <c r="F155" s="9">
        <v>1.27</v>
      </c>
    </row>
    <row r="156" spans="1:6" ht="15.75" thickBot="1">
      <c r="A156" s="7"/>
      <c r="B156" s="7" t="s">
        <v>238</v>
      </c>
      <c r="C156" s="7"/>
      <c r="D156" s="7"/>
      <c r="E156" s="7"/>
      <c r="F156" s="9">
        <v>1.4</v>
      </c>
    </row>
    <row r="157" spans="1:6" ht="15.75" thickBot="1">
      <c r="A157" s="7"/>
      <c r="B157" s="7" t="s">
        <v>235</v>
      </c>
      <c r="C157" s="7"/>
      <c r="D157" s="7"/>
      <c r="E157" s="7"/>
      <c r="F157" s="9">
        <v>1.8</v>
      </c>
    </row>
    <row r="158" spans="1:6" ht="15.75" thickBot="1">
      <c r="A158" s="7"/>
      <c r="B158" s="7" t="s">
        <v>239</v>
      </c>
      <c r="C158" s="7"/>
      <c r="D158" s="7"/>
      <c r="E158" s="7"/>
      <c r="F158" s="9">
        <v>1.4</v>
      </c>
    </row>
    <row r="159" spans="1:6" ht="15.75" thickBot="1">
      <c r="A159" s="7"/>
      <c r="B159" s="7" t="s">
        <v>240</v>
      </c>
      <c r="C159" s="7"/>
      <c r="D159" s="7"/>
      <c r="E159" s="7"/>
      <c r="F159" s="9">
        <v>2.63</v>
      </c>
    </row>
    <row r="160" spans="1:6" ht="15.75" thickBot="1">
      <c r="A160" s="7"/>
      <c r="B160" s="7" t="s">
        <v>241</v>
      </c>
      <c r="C160" s="7"/>
      <c r="D160" s="7"/>
      <c r="E160" s="7"/>
      <c r="F160" s="9">
        <v>2.63</v>
      </c>
    </row>
    <row r="161" spans="1:6" ht="15.75" thickBot="1">
      <c r="A161" s="7"/>
      <c r="B161" s="7" t="s">
        <v>242</v>
      </c>
      <c r="C161" s="7"/>
      <c r="D161" s="7"/>
      <c r="E161" s="7"/>
      <c r="F161" s="9">
        <v>2</v>
      </c>
    </row>
    <row r="162" spans="1:6" ht="15.75" thickBot="1">
      <c r="A162" s="7"/>
      <c r="B162" s="7" t="s">
        <v>243</v>
      </c>
      <c r="C162" s="7"/>
      <c r="D162" s="7"/>
      <c r="E162" s="7"/>
      <c r="F162" s="9">
        <v>1.8</v>
      </c>
    </row>
    <row r="163" spans="1:6" ht="15.75" thickBot="1">
      <c r="A163" s="7"/>
      <c r="B163" s="7" t="s">
        <v>244</v>
      </c>
      <c r="C163" s="7"/>
      <c r="D163" s="7"/>
      <c r="E163" s="7"/>
      <c r="F163" s="9">
        <v>2.2000000000000002</v>
      </c>
    </row>
    <row r="164" spans="1:6" ht="15.75" thickBot="1">
      <c r="A164" s="7"/>
      <c r="B164" s="7" t="s">
        <v>245</v>
      </c>
      <c r="C164" s="7"/>
      <c r="D164" s="7"/>
      <c r="E164" s="7"/>
      <c r="F164" s="9">
        <v>2.63</v>
      </c>
    </row>
    <row r="165" spans="1:6" ht="15.75" thickBot="1">
      <c r="A165" s="7"/>
      <c r="B165" s="10" t="s">
        <v>246</v>
      </c>
      <c r="C165" s="10"/>
      <c r="D165" s="7"/>
      <c r="E165" s="7"/>
      <c r="F165" s="9">
        <v>2</v>
      </c>
    </row>
    <row r="166" spans="1:6" ht="15.75" thickBot="1">
      <c r="A166" s="7"/>
      <c r="B166" s="7" t="s">
        <v>247</v>
      </c>
      <c r="C166" s="7"/>
      <c r="D166" s="7"/>
      <c r="E166" s="7"/>
      <c r="F166" s="9">
        <v>1.47</v>
      </c>
    </row>
    <row r="167" spans="1:6" ht="15.75" thickBot="1">
      <c r="A167" s="7"/>
      <c r="B167" s="7" t="s">
        <v>248</v>
      </c>
      <c r="C167" s="7"/>
      <c r="D167" s="7"/>
      <c r="E167" s="7"/>
      <c r="F167" s="9">
        <v>1.36</v>
      </c>
    </row>
    <row r="168" spans="1:6" ht="15.75" thickBot="1">
      <c r="A168" s="7"/>
      <c r="B168" s="7" t="s">
        <v>249</v>
      </c>
      <c r="C168" s="7"/>
      <c r="D168" s="7"/>
      <c r="E168" s="7"/>
      <c r="F168" s="9">
        <v>1.47</v>
      </c>
    </row>
    <row r="169" spans="1:6" ht="15.75" thickBot="1">
      <c r="A169" s="7"/>
      <c r="B169" s="7" t="s">
        <v>250</v>
      </c>
      <c r="C169" s="7"/>
      <c r="D169" s="7"/>
      <c r="E169" s="7"/>
      <c r="F169" s="9">
        <v>1.53</v>
      </c>
    </row>
    <row r="170" spans="1:6" ht="15.75" thickBot="1">
      <c r="A170" s="7"/>
      <c r="B170" s="7" t="s">
        <v>251</v>
      </c>
      <c r="C170" s="7"/>
      <c r="D170" s="7"/>
      <c r="E170" s="7"/>
      <c r="F170" s="9">
        <v>1.24</v>
      </c>
    </row>
    <row r="171" spans="1:6" ht="15.75" thickBot="1">
      <c r="A171" s="7"/>
      <c r="B171" s="7" t="s">
        <v>252</v>
      </c>
      <c r="C171" s="7"/>
      <c r="D171" s="7"/>
      <c r="E171" s="7"/>
      <c r="F171" s="9">
        <v>1.47</v>
      </c>
    </row>
    <row r="172" spans="1:6" ht="15.75" thickBot="1">
      <c r="A172" s="7"/>
      <c r="B172" s="7" t="s">
        <v>253</v>
      </c>
      <c r="C172" s="7"/>
      <c r="D172" s="7"/>
      <c r="E172" s="7"/>
      <c r="F172" s="9">
        <v>1.55</v>
      </c>
    </row>
    <row r="173" spans="1:6" ht="15.75" thickBot="1">
      <c r="A173" s="7"/>
      <c r="B173" s="7" t="s">
        <v>254</v>
      </c>
      <c r="C173" s="7"/>
      <c r="D173" s="7"/>
      <c r="E173" s="7"/>
      <c r="F173" s="9">
        <v>1.75</v>
      </c>
    </row>
    <row r="174" spans="1:6" ht="15.75" thickBot="1">
      <c r="A174" s="7"/>
      <c r="B174" s="7" t="s">
        <v>255</v>
      </c>
      <c r="C174" s="7"/>
      <c r="D174" s="7"/>
      <c r="E174" s="7"/>
      <c r="F174" s="9">
        <v>1.7</v>
      </c>
    </row>
    <row r="175" spans="1:6" ht="15.75" thickBot="1">
      <c r="A175" s="7"/>
      <c r="B175" s="7" t="s">
        <v>256</v>
      </c>
      <c r="C175" s="7"/>
      <c r="D175" s="7"/>
      <c r="E175" s="7"/>
      <c r="F175" s="9">
        <v>1.3</v>
      </c>
    </row>
    <row r="176" spans="1:6" ht="15.75" thickBot="1">
      <c r="A176" s="7"/>
      <c r="B176" s="7" t="s">
        <v>257</v>
      </c>
      <c r="C176" s="7"/>
      <c r="D176" s="7"/>
      <c r="E176" s="7"/>
      <c r="F176" s="9">
        <v>1.53</v>
      </c>
    </row>
    <row r="177" spans="1:6" ht="15.75" thickBot="1">
      <c r="A177" s="7"/>
      <c r="B177" s="7" t="s">
        <v>258</v>
      </c>
      <c r="C177" s="7"/>
      <c r="D177" s="7"/>
      <c r="E177" s="7"/>
      <c r="F177" s="9">
        <v>1.27</v>
      </c>
    </row>
    <row r="178" spans="1:6" ht="15.75" thickBot="1">
      <c r="A178" s="7"/>
      <c r="B178" s="7" t="s">
        <v>259</v>
      </c>
      <c r="C178" s="7"/>
      <c r="D178" s="7"/>
      <c r="E178" s="7"/>
      <c r="F178" s="9">
        <v>1.3</v>
      </c>
    </row>
    <row r="179" spans="1:6" ht="15.75" thickBot="1">
      <c r="A179" s="7"/>
      <c r="B179" s="7" t="s">
        <v>260</v>
      </c>
      <c r="C179" s="7"/>
      <c r="D179" s="7"/>
      <c r="E179" s="7"/>
      <c r="F179" s="9">
        <v>1.4</v>
      </c>
    </row>
    <row r="180" spans="1:6" ht="15.75" thickBot="1">
      <c r="A180" s="7"/>
      <c r="B180" s="7" t="s">
        <v>261</v>
      </c>
      <c r="C180" s="7"/>
      <c r="D180" s="7"/>
      <c r="E180" s="7"/>
      <c r="F180" s="9">
        <v>1.4</v>
      </c>
    </row>
    <row r="181" spans="1:6" ht="15.75" thickBot="1">
      <c r="A181" s="7"/>
      <c r="B181" s="7" t="s">
        <v>262</v>
      </c>
      <c r="C181" s="7"/>
      <c r="D181" s="7"/>
      <c r="E181" s="7"/>
      <c r="F181" s="9">
        <v>1.44</v>
      </c>
    </row>
    <row r="182" spans="1:6" ht="15.75" thickBot="1">
      <c r="A182" s="7"/>
      <c r="B182" s="7" t="s">
        <v>263</v>
      </c>
      <c r="C182" s="7"/>
      <c r="D182" s="7"/>
      <c r="E182" s="7"/>
      <c r="F182" s="9">
        <v>1.1299999999999999</v>
      </c>
    </row>
    <row r="183" spans="1:6" ht="15.75" thickBot="1">
      <c r="A183" s="7"/>
      <c r="B183" s="7" t="s">
        <v>264</v>
      </c>
      <c r="C183" s="7"/>
      <c r="D183" s="7"/>
      <c r="E183" s="7"/>
      <c r="F183" s="9">
        <v>1.1299999999999999</v>
      </c>
    </row>
    <row r="184" spans="1:6" ht="15.75" thickBot="1">
      <c r="A184" s="7"/>
      <c r="B184" s="7" t="s">
        <v>265</v>
      </c>
      <c r="C184" s="7"/>
      <c r="D184" s="7"/>
      <c r="E184" s="7"/>
      <c r="F184" s="9">
        <v>1.5</v>
      </c>
    </row>
    <row r="185" spans="1:6" ht="15.75" thickBot="1">
      <c r="A185" s="7"/>
      <c r="B185" s="7" t="s">
        <v>210</v>
      </c>
      <c r="C185" s="7"/>
      <c r="D185" s="7"/>
      <c r="E185" s="7"/>
      <c r="F185" s="9">
        <v>1.73</v>
      </c>
    </row>
    <row r="186" spans="1:6" ht="15.75" thickBot="1">
      <c r="A186" s="7"/>
      <c r="B186" s="7" t="s">
        <v>220</v>
      </c>
      <c r="C186" s="7"/>
      <c r="D186" s="7"/>
      <c r="E186" s="7"/>
      <c r="F186" s="9">
        <v>1.68</v>
      </c>
    </row>
    <row r="187" spans="1:6" ht="15.75" thickBot="1">
      <c r="A187" s="7"/>
      <c r="B187" s="7" t="s">
        <v>221</v>
      </c>
      <c r="C187" s="7"/>
      <c r="D187" s="7"/>
      <c r="E187" s="7"/>
      <c r="F187" s="9">
        <v>1.64</v>
      </c>
    </row>
    <row r="188" spans="1:6" ht="15.75" thickBot="1">
      <c r="A188" s="7"/>
      <c r="B188" s="7" t="s">
        <v>222</v>
      </c>
      <c r="C188" s="7"/>
      <c r="D188" s="7"/>
      <c r="E188" s="7"/>
      <c r="F188" s="9">
        <v>2.2999999999999998</v>
      </c>
    </row>
    <row r="189" spans="1:6" ht="15.75" thickBot="1">
      <c r="A189" s="7"/>
      <c r="B189" s="7" t="s">
        <v>223</v>
      </c>
      <c r="C189" s="7"/>
      <c r="D189" s="7"/>
      <c r="E189" s="7"/>
      <c r="F189" s="9">
        <v>1.96</v>
      </c>
    </row>
    <row r="190" spans="1:6" ht="15.75" thickBot="1">
      <c r="A190" s="7"/>
      <c r="B190" s="7" t="s">
        <v>224</v>
      </c>
      <c r="C190" s="7"/>
      <c r="D190" s="7"/>
      <c r="E190" s="7"/>
      <c r="F190" s="9">
        <v>1.7</v>
      </c>
    </row>
    <row r="191" spans="1:6" ht="15.75" thickBot="1">
      <c r="A191" s="7"/>
      <c r="B191" s="7" t="s">
        <v>225</v>
      </c>
      <c r="C191" s="7"/>
      <c r="D191" s="7"/>
      <c r="E191" s="7"/>
      <c r="F191" s="9">
        <v>2.7</v>
      </c>
    </row>
    <row r="192" spans="1:6" ht="15.75" thickBot="1">
      <c r="A192" s="7"/>
      <c r="B192" s="7" t="s">
        <v>226</v>
      </c>
      <c r="C192" s="7"/>
      <c r="D192" s="7"/>
      <c r="E192" s="7"/>
      <c r="F192" s="9">
        <v>2.74</v>
      </c>
    </row>
    <row r="193" spans="1:6" ht="15.75" thickBot="1">
      <c r="A193" s="7"/>
      <c r="B193" s="7" t="s">
        <v>266</v>
      </c>
      <c r="C193" s="7"/>
      <c r="D193" s="7"/>
      <c r="E193" s="7"/>
      <c r="F193" s="9">
        <v>1.36</v>
      </c>
    </row>
    <row r="194" spans="1:6" ht="15.75" thickBot="1">
      <c r="A194" s="7"/>
      <c r="B194" s="7" t="s">
        <v>267</v>
      </c>
      <c r="C194" s="7"/>
      <c r="D194" s="7"/>
      <c r="E194" s="7"/>
      <c r="F194" s="9">
        <v>2.5</v>
      </c>
    </row>
    <row r="195" spans="1:6" ht="15.75" thickBot="1">
      <c r="A195" s="7"/>
      <c r="B195" s="7" t="s">
        <v>268</v>
      </c>
      <c r="C195" s="7"/>
      <c r="D195" s="7"/>
      <c r="E195" s="7"/>
      <c r="F195" s="9">
        <v>1.7</v>
      </c>
    </row>
    <row r="196" spans="1:6" ht="15.75" thickBot="1">
      <c r="A196" s="7"/>
      <c r="B196" s="7" t="s">
        <v>269</v>
      </c>
      <c r="C196" s="7"/>
      <c r="D196" s="7"/>
      <c r="E196" s="7"/>
      <c r="F196" s="9">
        <v>1.32</v>
      </c>
    </row>
    <row r="197" spans="1:6" ht="15.75" thickBot="1">
      <c r="A197" s="7"/>
      <c r="B197" s="7" t="s">
        <v>170</v>
      </c>
      <c r="C197" s="7"/>
      <c r="D197" s="7"/>
      <c r="E197" s="7"/>
      <c r="F197" s="9">
        <v>1.36</v>
      </c>
    </row>
    <row r="198" spans="1:6" ht="15.75" thickBot="1">
      <c r="A198" s="7"/>
      <c r="B198" s="7" t="s">
        <v>270</v>
      </c>
      <c r="C198" s="7"/>
      <c r="D198" s="7"/>
      <c r="E198" s="7"/>
      <c r="F198" s="9">
        <v>1.7</v>
      </c>
    </row>
    <row r="199" spans="1:6" ht="15.75" thickBot="1">
      <c r="A199" s="7"/>
      <c r="B199" s="7" t="s">
        <v>256</v>
      </c>
      <c r="C199" s="7"/>
      <c r="D199" s="7"/>
      <c r="E199" s="7"/>
      <c r="F199" s="9">
        <v>1.3</v>
      </c>
    </row>
    <row r="200" spans="1:6" ht="15.75" thickBot="1">
      <c r="A200" s="7"/>
      <c r="B200" s="7" t="s">
        <v>271</v>
      </c>
      <c r="C200" s="7"/>
      <c r="D200" s="7"/>
      <c r="E200" s="7"/>
      <c r="F200" s="9">
        <v>1.32</v>
      </c>
    </row>
    <row r="201" spans="1:6" ht="15.75" thickBot="1">
      <c r="A201" s="7"/>
      <c r="B201" s="7" t="s">
        <v>272</v>
      </c>
      <c r="C201" s="7"/>
      <c r="D201" s="7"/>
      <c r="E201" s="7"/>
      <c r="F201" s="9">
        <v>1.27</v>
      </c>
    </row>
    <row r="202" spans="1:6" ht="15.75" thickBot="1">
      <c r="A202" s="7"/>
      <c r="B202" s="7" t="s">
        <v>273</v>
      </c>
      <c r="C202" s="7"/>
      <c r="D202" s="7"/>
      <c r="E202" s="7"/>
      <c r="F202" s="9">
        <v>1.4</v>
      </c>
    </row>
    <row r="203" spans="1:6" ht="15.75" thickBot="1">
      <c r="A203" s="7"/>
      <c r="B203" s="7" t="s">
        <v>274</v>
      </c>
      <c r="C203" s="7"/>
      <c r="D203" s="7"/>
      <c r="E203" s="7"/>
      <c r="F203" s="9">
        <v>2.63</v>
      </c>
    </row>
    <row r="204" spans="1:6" ht="15.75" thickBot="1">
      <c r="A204" s="7"/>
      <c r="B204" s="7" t="s">
        <v>275</v>
      </c>
      <c r="C204" s="7"/>
      <c r="D204" s="7"/>
      <c r="E204" s="7"/>
      <c r="F204" s="9">
        <v>2.63</v>
      </c>
    </row>
    <row r="205" spans="1:6" ht="15.75" thickBot="1">
      <c r="A205" s="7"/>
      <c r="B205" s="7" t="s">
        <v>276</v>
      </c>
      <c r="C205" s="7"/>
      <c r="D205" s="7"/>
      <c r="E205" s="7"/>
      <c r="F205" s="9">
        <v>2</v>
      </c>
    </row>
    <row r="206" spans="1:6" ht="15.75" thickBot="1">
      <c r="A206" s="7"/>
      <c r="B206" s="7" t="s">
        <v>277</v>
      </c>
      <c r="C206" s="7"/>
      <c r="D206" s="7"/>
      <c r="E206" s="7"/>
      <c r="F206" s="9">
        <v>1.8</v>
      </c>
    </row>
    <row r="207" spans="1:6" ht="15.75" thickBot="1">
      <c r="A207" s="7"/>
      <c r="B207" s="7" t="s">
        <v>245</v>
      </c>
      <c r="C207" s="7"/>
      <c r="D207" s="7"/>
      <c r="E207" s="7"/>
      <c r="F207" s="9">
        <v>2.63</v>
      </c>
    </row>
    <row r="208" spans="1:6" ht="15.75" thickBot="1">
      <c r="A208" s="7"/>
      <c r="B208" s="7" t="s">
        <v>278</v>
      </c>
      <c r="C208" s="7"/>
      <c r="D208" s="7"/>
      <c r="E208" s="7"/>
      <c r="F208" s="9">
        <v>1.47</v>
      </c>
    </row>
    <row r="209" spans="1:6" ht="15.75" thickBot="1">
      <c r="A209" s="7"/>
      <c r="B209" s="7" t="s">
        <v>279</v>
      </c>
      <c r="C209" s="7"/>
      <c r="D209" s="7"/>
      <c r="E209" s="7"/>
      <c r="F209" s="9">
        <v>1.36</v>
      </c>
    </row>
    <row r="210" spans="1:6" ht="15.75" thickBot="1">
      <c r="A210" s="7"/>
      <c r="B210" s="7" t="s">
        <v>280</v>
      </c>
      <c r="C210" s="7"/>
      <c r="D210" s="7"/>
      <c r="E210" s="7"/>
      <c r="F210" s="9">
        <v>1.47</v>
      </c>
    </row>
    <row r="211" spans="1:6" ht="15.75" thickBot="1">
      <c r="A211" s="7"/>
      <c r="B211" s="7" t="s">
        <v>257</v>
      </c>
      <c r="C211" s="7"/>
      <c r="D211" s="7"/>
      <c r="E211" s="7"/>
      <c r="F211" s="9">
        <v>1.53</v>
      </c>
    </row>
    <row r="212" spans="1:6" ht="15.75" thickBot="1">
      <c r="A212" s="7"/>
      <c r="B212" s="7" t="s">
        <v>281</v>
      </c>
      <c r="C212" s="7"/>
      <c r="D212" s="7"/>
      <c r="E212" s="7"/>
      <c r="F212" s="9">
        <v>1.24</v>
      </c>
    </row>
    <row r="213" spans="1:6" ht="15.75" thickBot="1">
      <c r="A213" s="7"/>
      <c r="B213" s="7" t="s">
        <v>282</v>
      </c>
      <c r="C213" s="7"/>
      <c r="D213" s="7"/>
      <c r="E213" s="7"/>
      <c r="F213" s="9">
        <v>1.47</v>
      </c>
    </row>
    <row r="214" spans="1:6" ht="15.75" thickBot="1">
      <c r="A214" s="7"/>
      <c r="B214" s="7" t="s">
        <v>283</v>
      </c>
      <c r="C214" s="7"/>
      <c r="D214" s="7"/>
      <c r="E214" s="7"/>
      <c r="F214" s="9">
        <v>1.75</v>
      </c>
    </row>
    <row r="215" spans="1:6" ht="15.75" thickBot="1">
      <c r="A215" s="7"/>
      <c r="B215" s="7" t="s">
        <v>284</v>
      </c>
      <c r="C215" s="7"/>
      <c r="D215" s="7"/>
      <c r="E215" s="7"/>
      <c r="F215" s="9">
        <v>1.9</v>
      </c>
    </row>
    <row r="216" spans="1:6" ht="15.75" thickBot="1">
      <c r="A216" s="7"/>
      <c r="B216" s="11" t="s">
        <v>285</v>
      </c>
      <c r="C216" s="11"/>
      <c r="D216" s="7"/>
      <c r="E216" s="7"/>
      <c r="F216" s="9">
        <v>1.9</v>
      </c>
    </row>
    <row r="217" spans="1:6" ht="15.75" thickBot="1">
      <c r="A217" s="7"/>
      <c r="B217" s="7" t="s">
        <v>286</v>
      </c>
      <c r="C217" s="7"/>
      <c r="D217" s="7"/>
      <c r="E217" s="7"/>
      <c r="F217" s="9">
        <v>1.9</v>
      </c>
    </row>
    <row r="218" spans="1:6" ht="15.75" thickBot="1">
      <c r="A218" s="7"/>
      <c r="B218" s="10" t="s">
        <v>287</v>
      </c>
      <c r="C218" s="10"/>
      <c r="D218" s="7"/>
      <c r="E218" s="7"/>
      <c r="F218" s="9">
        <v>1.5</v>
      </c>
    </row>
    <row r="219" spans="1:6" ht="15.75" thickBot="1">
      <c r="A219" s="7"/>
      <c r="B219" s="10" t="s">
        <v>288</v>
      </c>
      <c r="C219" s="10"/>
      <c r="D219" s="7"/>
      <c r="E219" s="7"/>
      <c r="F219" s="9">
        <v>1.9</v>
      </c>
    </row>
    <row r="220" spans="1:6" ht="15.75" thickBot="1">
      <c r="A220" s="7"/>
      <c r="B220" s="7" t="s">
        <v>289</v>
      </c>
      <c r="C220" s="7"/>
      <c r="D220" s="7"/>
      <c r="E220" s="7"/>
      <c r="F220" s="9">
        <v>0.78</v>
      </c>
    </row>
    <row r="221" spans="1:6" ht="15.75" thickBot="1">
      <c r="A221" s="7"/>
      <c r="B221" s="11" t="s">
        <v>290</v>
      </c>
      <c r="C221" s="11"/>
      <c r="D221" s="7"/>
      <c r="E221" s="7"/>
      <c r="F221" s="9">
        <v>1.5</v>
      </c>
    </row>
    <row r="222" spans="1:6" ht="15.75" thickBot="1">
      <c r="A222" s="7"/>
      <c r="B222" s="7" t="s">
        <v>291</v>
      </c>
      <c r="C222" s="7"/>
      <c r="D222" s="7"/>
      <c r="E222" s="7"/>
      <c r="F222" s="9">
        <v>2.54</v>
      </c>
    </row>
    <row r="223" spans="1:6" ht="15.75" thickBot="1">
      <c r="A223" s="7"/>
      <c r="B223" s="7" t="s">
        <v>292</v>
      </c>
      <c r="C223" s="7"/>
      <c r="D223" s="7"/>
      <c r="E223" s="7"/>
      <c r="F223" s="9">
        <v>1.2</v>
      </c>
    </row>
    <row r="224" spans="1:6" ht="15.75" thickBot="1">
      <c r="A224" s="7"/>
      <c r="B224" s="7" t="s">
        <v>293</v>
      </c>
      <c r="C224" s="7"/>
      <c r="D224" s="7"/>
      <c r="E224" s="7"/>
      <c r="F224" s="9">
        <v>1.2</v>
      </c>
    </row>
    <row r="225" spans="1:6" ht="15.75" thickBot="1">
      <c r="A225" s="7"/>
      <c r="B225" s="7" t="s">
        <v>294</v>
      </c>
      <c r="C225" s="7"/>
      <c r="D225" s="7"/>
      <c r="E225" s="7"/>
      <c r="F225" s="9">
        <v>1.4</v>
      </c>
    </row>
    <row r="226" spans="1:6" ht="15.75" thickBot="1">
      <c r="A226" s="7"/>
      <c r="B226" s="7" t="s">
        <v>295</v>
      </c>
      <c r="C226" s="7"/>
      <c r="D226" s="7"/>
      <c r="E226" s="7"/>
      <c r="F226" s="9">
        <v>2.2999999999999998</v>
      </c>
    </row>
    <row r="227" spans="1:6" ht="15.75" thickBot="1">
      <c r="A227" s="7"/>
      <c r="B227" s="7" t="s">
        <v>296</v>
      </c>
      <c r="C227" s="7"/>
      <c r="D227" s="7"/>
      <c r="E227" s="7"/>
      <c r="F227" s="9">
        <v>0.33</v>
      </c>
    </row>
    <row r="228" spans="1:6" ht="15.75" thickBot="1">
      <c r="A228" s="7"/>
      <c r="B228" s="7" t="s">
        <v>297</v>
      </c>
      <c r="C228" s="7"/>
      <c r="D228" s="7"/>
      <c r="E228" s="7"/>
      <c r="F228" s="9">
        <v>4.45</v>
      </c>
    </row>
    <row r="229" spans="1:6" ht="15.75" thickBot="1">
      <c r="A229" s="27"/>
      <c r="B229" s="27" t="s">
        <v>298</v>
      </c>
      <c r="C229" s="27"/>
      <c r="D229" s="27"/>
      <c r="E229" s="7"/>
      <c r="F229" s="9">
        <v>4.3</v>
      </c>
    </row>
    <row r="230" spans="1:6" ht="15.75" thickBot="1">
      <c r="A230" s="27"/>
      <c r="B230" s="27" t="s">
        <v>299</v>
      </c>
      <c r="C230" s="27"/>
      <c r="D230" s="27"/>
      <c r="E230" s="7"/>
      <c r="F230" s="9">
        <v>4.57</v>
      </c>
    </row>
    <row r="231" spans="1:6" ht="15.75" thickBot="1">
      <c r="A231" s="27"/>
      <c r="B231" s="27" t="s">
        <v>300</v>
      </c>
      <c r="C231" s="27"/>
      <c r="D231" s="27"/>
      <c r="E231" s="7"/>
      <c r="F231" s="9">
        <v>4.9000000000000004</v>
      </c>
    </row>
    <row r="232" spans="1:6" ht="15.75" thickBot="1">
      <c r="A232" s="27"/>
      <c r="B232" s="28" t="s">
        <v>301</v>
      </c>
      <c r="C232" s="28"/>
      <c r="D232" s="27"/>
      <c r="E232" s="7"/>
      <c r="F232" s="9">
        <v>1.67</v>
      </c>
    </row>
    <row r="233" spans="1:6" ht="15.75" thickBot="1">
      <c r="A233" s="27"/>
      <c r="B233" s="28" t="s">
        <v>302</v>
      </c>
      <c r="C233" s="28"/>
      <c r="D233" s="27"/>
      <c r="E233" s="7"/>
      <c r="F233" s="9">
        <v>2.5</v>
      </c>
    </row>
    <row r="234" spans="1:6" ht="15.75" thickBot="1">
      <c r="A234" s="27"/>
      <c r="B234" s="28" t="s">
        <v>303</v>
      </c>
      <c r="C234" s="28"/>
      <c r="D234" s="27"/>
      <c r="E234" s="7"/>
      <c r="F234" s="9">
        <v>1.78</v>
      </c>
    </row>
    <row r="235" spans="1:6" ht="15.75" thickBot="1">
      <c r="A235" s="27"/>
      <c r="B235" s="28" t="s">
        <v>304</v>
      </c>
      <c r="C235" s="28"/>
      <c r="D235" s="27"/>
      <c r="E235" s="7"/>
      <c r="F235" s="9">
        <v>1.7</v>
      </c>
    </row>
    <row r="236" spans="1:6" ht="15.75" thickBot="1">
      <c r="A236" s="27"/>
      <c r="B236" s="28" t="s">
        <v>305</v>
      </c>
      <c r="C236" s="28"/>
      <c r="D236" s="27"/>
      <c r="E236" s="7"/>
      <c r="F236" s="9">
        <v>7.6</v>
      </c>
    </row>
    <row r="237" spans="1:6">
      <c r="B237" t="s">
        <v>160</v>
      </c>
      <c r="F237">
        <v>2</v>
      </c>
    </row>
    <row r="238" spans="1:6">
      <c r="B238" t="s">
        <v>160</v>
      </c>
      <c r="F238">
        <v>2</v>
      </c>
    </row>
    <row r="239" spans="1:6">
      <c r="B239" t="s">
        <v>160</v>
      </c>
      <c r="F239">
        <v>2</v>
      </c>
    </row>
    <row r="240" spans="1:6">
      <c r="B240" t="s">
        <v>160</v>
      </c>
      <c r="F240">
        <v>2</v>
      </c>
    </row>
    <row r="241" spans="2:6">
      <c r="B241" t="s">
        <v>161</v>
      </c>
      <c r="F241">
        <v>1.74</v>
      </c>
    </row>
    <row r="242" spans="2:6">
      <c r="B242" t="s">
        <v>160</v>
      </c>
      <c r="F242">
        <v>2</v>
      </c>
    </row>
    <row r="243" spans="2:6">
      <c r="B243" t="s">
        <v>161</v>
      </c>
      <c r="F243">
        <v>1.74</v>
      </c>
    </row>
    <row r="244" spans="2:6">
      <c r="B244" t="s">
        <v>162</v>
      </c>
      <c r="F244">
        <v>1.8</v>
      </c>
    </row>
    <row r="245" spans="2:6">
      <c r="B245" t="s">
        <v>160</v>
      </c>
      <c r="F245">
        <v>2</v>
      </c>
    </row>
    <row r="246" spans="2:6">
      <c r="B246" t="s">
        <v>163</v>
      </c>
      <c r="F246">
        <v>1.8</v>
      </c>
    </row>
    <row r="247" spans="2:6">
      <c r="B247" t="s">
        <v>164</v>
      </c>
      <c r="F247">
        <v>1.26</v>
      </c>
    </row>
    <row r="248" spans="2:6">
      <c r="B248" t="s">
        <v>165</v>
      </c>
      <c r="F248">
        <v>1.26</v>
      </c>
    </row>
    <row r="249" spans="2:6">
      <c r="B249" t="s">
        <v>166</v>
      </c>
      <c r="F249">
        <v>1.26</v>
      </c>
    </row>
    <row r="250" spans="2:6">
      <c r="B250" t="s">
        <v>167</v>
      </c>
      <c r="F250">
        <v>1.26</v>
      </c>
    </row>
    <row r="251" spans="2:6">
      <c r="B251" t="s">
        <v>168</v>
      </c>
      <c r="F251">
        <v>1.17</v>
      </c>
    </row>
    <row r="252" spans="2:6">
      <c r="B252" t="s">
        <v>169</v>
      </c>
      <c r="F252">
        <v>1.8</v>
      </c>
    </row>
    <row r="253" spans="2:6">
      <c r="B253" t="s">
        <v>170</v>
      </c>
      <c r="F253">
        <v>1.35</v>
      </c>
    </row>
    <row r="254" spans="2:6">
      <c r="B254" t="s">
        <v>171</v>
      </c>
      <c r="F254">
        <v>1.1000000000000001</v>
      </c>
    </row>
    <row r="255" spans="2:6">
      <c r="B255" t="s">
        <v>172</v>
      </c>
      <c r="F255">
        <v>1.2</v>
      </c>
    </row>
    <row r="256" spans="2:6">
      <c r="B256" t="s">
        <v>173</v>
      </c>
      <c r="F256">
        <v>1.26</v>
      </c>
    </row>
    <row r="257" spans="2:6">
      <c r="B257" t="s">
        <v>174</v>
      </c>
      <c r="F257">
        <v>1.27</v>
      </c>
    </row>
    <row r="258" spans="2:6">
      <c r="B258" t="s">
        <v>174</v>
      </c>
      <c r="F258">
        <v>1.27</v>
      </c>
    </row>
    <row r="259" spans="2:6">
      <c r="B259" t="s">
        <v>175</v>
      </c>
      <c r="F259">
        <v>1.3</v>
      </c>
    </row>
    <row r="260" spans="2:6">
      <c r="B260" t="s">
        <v>176</v>
      </c>
      <c r="F260">
        <v>1.4</v>
      </c>
    </row>
    <row r="261" spans="2:6">
      <c r="B261" t="s">
        <v>177</v>
      </c>
      <c r="F261">
        <v>1.4</v>
      </c>
    </row>
    <row r="262" spans="2:6">
      <c r="B262" t="s">
        <v>178</v>
      </c>
      <c r="F262">
        <v>3.26</v>
      </c>
    </row>
    <row r="263" spans="2:6">
      <c r="B263" t="s">
        <v>179</v>
      </c>
      <c r="F263">
        <v>5.23</v>
      </c>
    </row>
    <row r="264" spans="2:6">
      <c r="B264" t="s">
        <v>180</v>
      </c>
      <c r="F264">
        <v>7.5</v>
      </c>
    </row>
    <row r="265" spans="2:6">
      <c r="B265" t="s">
        <v>181</v>
      </c>
      <c r="F265">
        <v>6.6</v>
      </c>
    </row>
    <row r="266" spans="2:6">
      <c r="B266" t="s">
        <v>182</v>
      </c>
      <c r="F266">
        <v>1.3</v>
      </c>
    </row>
    <row r="267" spans="2:6">
      <c r="B267" t="s">
        <v>183</v>
      </c>
      <c r="F267">
        <v>7.65</v>
      </c>
    </row>
    <row r="268" spans="2:6">
      <c r="B268" t="s">
        <v>184</v>
      </c>
      <c r="F268">
        <v>5.26</v>
      </c>
    </row>
    <row r="269" spans="2:6">
      <c r="B269" t="s">
        <v>185</v>
      </c>
      <c r="F269">
        <v>9</v>
      </c>
    </row>
    <row r="270" spans="2:6">
      <c r="B270" t="s">
        <v>186</v>
      </c>
      <c r="F270">
        <v>2.2999999999999998</v>
      </c>
    </row>
    <row r="271" spans="2:6">
      <c r="B271" t="s">
        <v>187</v>
      </c>
      <c r="F271">
        <v>2.2999999999999998</v>
      </c>
    </row>
    <row r="272" spans="2:6">
      <c r="B272" t="s">
        <v>188</v>
      </c>
      <c r="F272">
        <v>5.26</v>
      </c>
    </row>
    <row r="273" spans="2:6">
      <c r="B273" t="s">
        <v>189</v>
      </c>
      <c r="F273">
        <v>9.4</v>
      </c>
    </row>
    <row r="274" spans="2:6">
      <c r="B274" t="s">
        <v>190</v>
      </c>
      <c r="F274">
        <v>5.9</v>
      </c>
    </row>
    <row r="275" spans="2:6">
      <c r="B275" t="s">
        <v>191</v>
      </c>
      <c r="F275">
        <v>5.26</v>
      </c>
    </row>
    <row r="276" spans="2:6">
      <c r="B276" t="s">
        <v>192</v>
      </c>
      <c r="F276">
        <v>1.3</v>
      </c>
    </row>
    <row r="277" spans="2:6">
      <c r="B277" t="s">
        <v>193</v>
      </c>
      <c r="F277">
        <v>3</v>
      </c>
    </row>
    <row r="278" spans="2:6">
      <c r="B278" t="s">
        <v>194</v>
      </c>
      <c r="F278">
        <v>3</v>
      </c>
    </row>
    <row r="279" spans="2:6">
      <c r="B279" t="s">
        <v>195</v>
      </c>
      <c r="F279">
        <v>5.2</v>
      </c>
    </row>
    <row r="280" spans="2:6">
      <c r="B280" t="s">
        <v>196</v>
      </c>
      <c r="F280">
        <v>4.25</v>
      </c>
    </row>
    <row r="281" spans="2:6">
      <c r="B281" t="s">
        <v>197</v>
      </c>
      <c r="F281">
        <v>3.33</v>
      </c>
    </row>
    <row r="282" spans="2:6">
      <c r="B282" t="s">
        <v>198</v>
      </c>
      <c r="F282">
        <v>2.8</v>
      </c>
    </row>
    <row r="283" spans="2:6">
      <c r="B283" t="s">
        <v>199</v>
      </c>
      <c r="F283">
        <v>1.7</v>
      </c>
    </row>
    <row r="284" spans="2:6">
      <c r="B284" t="s">
        <v>200</v>
      </c>
      <c r="F284">
        <v>1.48</v>
      </c>
    </row>
    <row r="285" spans="2:6">
      <c r="B285" t="s">
        <v>201</v>
      </c>
      <c r="F285">
        <v>3.33</v>
      </c>
    </row>
    <row r="286" spans="2:6">
      <c r="B286" t="s">
        <v>202</v>
      </c>
      <c r="F286">
        <v>0.75</v>
      </c>
    </row>
    <row r="287" spans="2:6">
      <c r="B287" t="s">
        <v>203</v>
      </c>
      <c r="F287">
        <v>4.25</v>
      </c>
    </row>
    <row r="288" spans="2:6">
      <c r="B288" t="s">
        <v>204</v>
      </c>
      <c r="F288">
        <v>1.44</v>
      </c>
    </row>
    <row r="289" spans="2:6">
      <c r="B289" t="s">
        <v>205</v>
      </c>
      <c r="F289">
        <v>1.1299999999999999</v>
      </c>
    </row>
    <row r="290" spans="2:6">
      <c r="B290" t="s">
        <v>206</v>
      </c>
      <c r="F290">
        <v>1.1299999999999999</v>
      </c>
    </row>
    <row r="291" spans="2:6">
      <c r="B291" t="s">
        <v>207</v>
      </c>
      <c r="F291">
        <v>1.5</v>
      </c>
    </row>
    <row r="292" spans="2:6">
      <c r="B292" t="s">
        <v>208</v>
      </c>
      <c r="F292">
        <v>1.46</v>
      </c>
    </row>
    <row r="293" spans="2:6">
      <c r="B293" t="s">
        <v>209</v>
      </c>
      <c r="F293">
        <v>1.18</v>
      </c>
    </row>
    <row r="294" spans="2:6">
      <c r="B294" t="s">
        <v>210</v>
      </c>
      <c r="F294">
        <v>1.73</v>
      </c>
    </row>
    <row r="295" spans="2:6">
      <c r="B295" t="s">
        <v>211</v>
      </c>
      <c r="F295">
        <v>1.73</v>
      </c>
    </row>
    <row r="296" spans="2:6">
      <c r="B296" t="s">
        <v>212</v>
      </c>
      <c r="F296">
        <v>1.68</v>
      </c>
    </row>
    <row r="297" spans="2:6">
      <c r="B297" t="s">
        <v>213</v>
      </c>
      <c r="F297">
        <v>1.64</v>
      </c>
    </row>
    <row r="298" spans="2:6">
      <c r="B298" t="s">
        <v>214</v>
      </c>
      <c r="F298">
        <v>2.2999999999999998</v>
      </c>
    </row>
    <row r="299" spans="2:6">
      <c r="B299" t="s">
        <v>215</v>
      </c>
      <c r="F299">
        <v>1.96</v>
      </c>
    </row>
    <row r="300" spans="2:6">
      <c r="B300" t="s">
        <v>216</v>
      </c>
      <c r="F300">
        <v>1.7</v>
      </c>
    </row>
    <row r="301" spans="2:6">
      <c r="B301" t="s">
        <v>217</v>
      </c>
      <c r="F301">
        <v>2.7</v>
      </c>
    </row>
    <row r="302" spans="2:6">
      <c r="B302" t="s">
        <v>218</v>
      </c>
      <c r="F302">
        <v>2.74</v>
      </c>
    </row>
    <row r="303" spans="2:6">
      <c r="B303" t="s">
        <v>219</v>
      </c>
      <c r="F303">
        <v>2</v>
      </c>
    </row>
    <row r="304" spans="2:6">
      <c r="B304" t="s">
        <v>210</v>
      </c>
      <c r="F304">
        <v>1.73</v>
      </c>
    </row>
    <row r="305" spans="2:6">
      <c r="B305" t="s">
        <v>220</v>
      </c>
      <c r="F305">
        <v>1.68</v>
      </c>
    </row>
    <row r="306" spans="2:6">
      <c r="B306" t="s">
        <v>221</v>
      </c>
      <c r="F306">
        <v>1.64</v>
      </c>
    </row>
    <row r="307" spans="2:6">
      <c r="B307" t="s">
        <v>222</v>
      </c>
      <c r="F307">
        <v>2.2999999999999998</v>
      </c>
    </row>
    <row r="308" spans="2:6">
      <c r="B308" t="s">
        <v>223</v>
      </c>
      <c r="F308">
        <v>1.96</v>
      </c>
    </row>
    <row r="309" spans="2:6">
      <c r="B309" t="s">
        <v>224</v>
      </c>
      <c r="F309">
        <v>1.7</v>
      </c>
    </row>
    <row r="310" spans="2:6">
      <c r="B310" t="s">
        <v>225</v>
      </c>
      <c r="F310">
        <v>2.7</v>
      </c>
    </row>
    <row r="311" spans="2:6">
      <c r="B311" t="s">
        <v>226</v>
      </c>
      <c r="F311">
        <v>2.74</v>
      </c>
    </row>
    <row r="312" spans="2:6">
      <c r="B312" t="s">
        <v>227</v>
      </c>
      <c r="F312">
        <v>1.36</v>
      </c>
    </row>
    <row r="313" spans="2:6">
      <c r="B313" t="s">
        <v>228</v>
      </c>
      <c r="F313">
        <v>1.4</v>
      </c>
    </row>
    <row r="314" spans="2:6">
      <c r="B314" t="s">
        <v>229</v>
      </c>
      <c r="F314">
        <v>2.5</v>
      </c>
    </row>
    <row r="315" spans="2:6">
      <c r="B315" t="s">
        <v>230</v>
      </c>
      <c r="F315">
        <v>1.7</v>
      </c>
    </row>
    <row r="316" spans="2:6">
      <c r="B316" t="s">
        <v>231</v>
      </c>
      <c r="F316">
        <v>1.32</v>
      </c>
    </row>
    <row r="317" spans="2:6">
      <c r="B317" t="s">
        <v>232</v>
      </c>
      <c r="F317">
        <v>1.36</v>
      </c>
    </row>
    <row r="318" spans="2:6">
      <c r="B318" t="s">
        <v>233</v>
      </c>
      <c r="F318">
        <v>1.7</v>
      </c>
    </row>
    <row r="319" spans="2:6">
      <c r="B319" t="s">
        <v>234</v>
      </c>
      <c r="F319">
        <v>1.3</v>
      </c>
    </row>
    <row r="320" spans="2:6">
      <c r="B320" t="s">
        <v>235</v>
      </c>
      <c r="F320">
        <v>1.8</v>
      </c>
    </row>
    <row r="321" spans="2:6">
      <c r="B321" t="s">
        <v>236</v>
      </c>
      <c r="F321">
        <v>1.32</v>
      </c>
    </row>
    <row r="322" spans="2:6">
      <c r="B322" t="s">
        <v>237</v>
      </c>
      <c r="F322">
        <v>1.27</v>
      </c>
    </row>
    <row r="323" spans="2:6">
      <c r="B323" t="s">
        <v>238</v>
      </c>
      <c r="F323">
        <v>1.4</v>
      </c>
    </row>
    <row r="324" spans="2:6">
      <c r="B324" t="s">
        <v>235</v>
      </c>
      <c r="F324">
        <v>1.8</v>
      </c>
    </row>
    <row r="325" spans="2:6">
      <c r="B325" t="s">
        <v>239</v>
      </c>
      <c r="F325">
        <v>1.4</v>
      </c>
    </row>
    <row r="326" spans="2:6">
      <c r="B326" t="s">
        <v>240</v>
      </c>
      <c r="F326">
        <v>2.63</v>
      </c>
    </row>
    <row r="327" spans="2:6">
      <c r="B327" t="s">
        <v>241</v>
      </c>
      <c r="F327">
        <v>2.63</v>
      </c>
    </row>
    <row r="328" spans="2:6">
      <c r="B328" t="s">
        <v>242</v>
      </c>
      <c r="F328">
        <v>2</v>
      </c>
    </row>
    <row r="329" spans="2:6">
      <c r="B329" t="s">
        <v>243</v>
      </c>
      <c r="F329">
        <v>1.8</v>
      </c>
    </row>
    <row r="330" spans="2:6">
      <c r="B330" t="s">
        <v>244</v>
      </c>
      <c r="F330">
        <v>2.2000000000000002</v>
      </c>
    </row>
    <row r="331" spans="2:6">
      <c r="B331" t="s">
        <v>245</v>
      </c>
      <c r="F331">
        <v>2.63</v>
      </c>
    </row>
    <row r="332" spans="2:6">
      <c r="B332" t="s">
        <v>246</v>
      </c>
      <c r="F332">
        <v>2</v>
      </c>
    </row>
    <row r="333" spans="2:6">
      <c r="B333" t="s">
        <v>247</v>
      </c>
      <c r="F333">
        <v>1.47</v>
      </c>
    </row>
    <row r="334" spans="2:6">
      <c r="B334" t="s">
        <v>248</v>
      </c>
      <c r="F334">
        <v>1.36</v>
      </c>
    </row>
    <row r="335" spans="2:6">
      <c r="B335" t="s">
        <v>249</v>
      </c>
      <c r="F335">
        <v>1.47</v>
      </c>
    </row>
    <row r="336" spans="2:6">
      <c r="B336" t="s">
        <v>250</v>
      </c>
      <c r="F336">
        <v>1.53</v>
      </c>
    </row>
    <row r="337" spans="2:6">
      <c r="B337" t="s">
        <v>251</v>
      </c>
      <c r="F337">
        <v>1.24</v>
      </c>
    </row>
    <row r="338" spans="2:6">
      <c r="B338" t="s">
        <v>252</v>
      </c>
      <c r="F338">
        <v>1.47</v>
      </c>
    </row>
    <row r="339" spans="2:6">
      <c r="B339" t="s">
        <v>253</v>
      </c>
      <c r="F339">
        <v>1.55</v>
      </c>
    </row>
    <row r="340" spans="2:6">
      <c r="B340" t="s">
        <v>254</v>
      </c>
      <c r="F340">
        <v>1.75</v>
      </c>
    </row>
    <row r="341" spans="2:6">
      <c r="B341" t="s">
        <v>255</v>
      </c>
      <c r="F341">
        <v>1.7</v>
      </c>
    </row>
    <row r="342" spans="2:6">
      <c r="B342" t="s">
        <v>256</v>
      </c>
      <c r="F342">
        <v>1.3</v>
      </c>
    </row>
    <row r="343" spans="2:6">
      <c r="B343" t="s">
        <v>257</v>
      </c>
      <c r="F343">
        <v>1.53</v>
      </c>
    </row>
    <row r="344" spans="2:6">
      <c r="B344" t="s">
        <v>258</v>
      </c>
      <c r="F344">
        <v>1.27</v>
      </c>
    </row>
    <row r="345" spans="2:6">
      <c r="B345" t="s">
        <v>259</v>
      </c>
      <c r="F345">
        <v>1.3</v>
      </c>
    </row>
    <row r="346" spans="2:6">
      <c r="B346" t="s">
        <v>260</v>
      </c>
      <c r="F346">
        <v>1.4</v>
      </c>
    </row>
    <row r="347" spans="2:6">
      <c r="B347" t="s">
        <v>261</v>
      </c>
      <c r="F347">
        <v>1.4</v>
      </c>
    </row>
    <row r="348" spans="2:6">
      <c r="B348" t="s">
        <v>262</v>
      </c>
      <c r="F348">
        <v>1.44</v>
      </c>
    </row>
    <row r="349" spans="2:6">
      <c r="B349" t="s">
        <v>263</v>
      </c>
      <c r="F349">
        <v>1.1299999999999999</v>
      </c>
    </row>
    <row r="350" spans="2:6">
      <c r="B350" t="s">
        <v>264</v>
      </c>
      <c r="F350">
        <v>1.1299999999999999</v>
      </c>
    </row>
    <row r="351" spans="2:6">
      <c r="B351" t="s">
        <v>265</v>
      </c>
      <c r="F351">
        <v>1.5</v>
      </c>
    </row>
    <row r="352" spans="2:6">
      <c r="B352" t="s">
        <v>210</v>
      </c>
      <c r="F352">
        <v>1.73</v>
      </c>
    </row>
    <row r="353" spans="2:6">
      <c r="B353" t="s">
        <v>220</v>
      </c>
      <c r="F353">
        <v>1.68</v>
      </c>
    </row>
    <row r="354" spans="2:6">
      <c r="B354" t="s">
        <v>221</v>
      </c>
      <c r="F354">
        <v>1.64</v>
      </c>
    </row>
    <row r="355" spans="2:6">
      <c r="B355" t="s">
        <v>222</v>
      </c>
      <c r="F355">
        <v>2.2999999999999998</v>
      </c>
    </row>
    <row r="356" spans="2:6">
      <c r="B356" t="s">
        <v>223</v>
      </c>
      <c r="F356">
        <v>1.96</v>
      </c>
    </row>
    <row r="357" spans="2:6">
      <c r="B357" t="s">
        <v>224</v>
      </c>
      <c r="F357">
        <v>1.7</v>
      </c>
    </row>
    <row r="358" spans="2:6">
      <c r="B358" t="s">
        <v>225</v>
      </c>
      <c r="F358">
        <v>2.7</v>
      </c>
    </row>
    <row r="359" spans="2:6">
      <c r="B359" t="s">
        <v>226</v>
      </c>
      <c r="F359">
        <v>2.74</v>
      </c>
    </row>
    <row r="360" spans="2:6">
      <c r="B360" t="s">
        <v>266</v>
      </c>
      <c r="F360">
        <v>1.36</v>
      </c>
    </row>
    <row r="361" spans="2:6">
      <c r="B361" t="s">
        <v>267</v>
      </c>
      <c r="F361">
        <v>2.5</v>
      </c>
    </row>
    <row r="362" spans="2:6">
      <c r="B362" t="s">
        <v>268</v>
      </c>
      <c r="F362">
        <v>1.7</v>
      </c>
    </row>
    <row r="363" spans="2:6">
      <c r="B363" t="s">
        <v>269</v>
      </c>
      <c r="F363">
        <v>1.32</v>
      </c>
    </row>
    <row r="364" spans="2:6">
      <c r="B364" t="s">
        <v>170</v>
      </c>
      <c r="F364">
        <v>1.36</v>
      </c>
    </row>
    <row r="365" spans="2:6">
      <c r="B365" t="s">
        <v>270</v>
      </c>
      <c r="F365">
        <v>1.7</v>
      </c>
    </row>
    <row r="366" spans="2:6">
      <c r="B366" t="s">
        <v>256</v>
      </c>
      <c r="F366">
        <v>1.3</v>
      </c>
    </row>
    <row r="367" spans="2:6">
      <c r="B367" t="s">
        <v>271</v>
      </c>
      <c r="F367">
        <v>1.32</v>
      </c>
    </row>
    <row r="368" spans="2:6">
      <c r="B368" t="s">
        <v>272</v>
      </c>
      <c r="F368">
        <v>1.27</v>
      </c>
    </row>
    <row r="369" spans="2:6">
      <c r="B369" t="s">
        <v>273</v>
      </c>
      <c r="F369">
        <v>1.4</v>
      </c>
    </row>
    <row r="370" spans="2:6">
      <c r="B370" t="s">
        <v>274</v>
      </c>
      <c r="F370">
        <v>2.63</v>
      </c>
    </row>
    <row r="371" spans="2:6">
      <c r="B371" t="s">
        <v>275</v>
      </c>
      <c r="F371">
        <v>2.63</v>
      </c>
    </row>
    <row r="372" spans="2:6">
      <c r="B372" t="s">
        <v>276</v>
      </c>
      <c r="F372">
        <v>2</v>
      </c>
    </row>
    <row r="373" spans="2:6">
      <c r="B373" t="s">
        <v>277</v>
      </c>
      <c r="F373">
        <v>1.8</v>
      </c>
    </row>
    <row r="374" spans="2:6">
      <c r="B374" t="s">
        <v>245</v>
      </c>
      <c r="F374">
        <v>2.63</v>
      </c>
    </row>
    <row r="375" spans="2:6">
      <c r="B375" t="s">
        <v>278</v>
      </c>
      <c r="F375">
        <v>1.47</v>
      </c>
    </row>
    <row r="376" spans="2:6">
      <c r="B376" t="s">
        <v>279</v>
      </c>
      <c r="F376">
        <v>1.36</v>
      </c>
    </row>
    <row r="377" spans="2:6">
      <c r="B377" t="s">
        <v>280</v>
      </c>
      <c r="F377">
        <v>1.47</v>
      </c>
    </row>
    <row r="378" spans="2:6">
      <c r="B378" t="s">
        <v>257</v>
      </c>
      <c r="F378">
        <v>1.53</v>
      </c>
    </row>
    <row r="379" spans="2:6">
      <c r="B379" t="s">
        <v>281</v>
      </c>
      <c r="F379">
        <v>1.24</v>
      </c>
    </row>
    <row r="380" spans="2:6">
      <c r="B380" t="s">
        <v>282</v>
      </c>
      <c r="F380">
        <v>1.47</v>
      </c>
    </row>
    <row r="381" spans="2:6">
      <c r="B381" t="s">
        <v>283</v>
      </c>
      <c r="F381">
        <v>1.75</v>
      </c>
    </row>
    <row r="382" spans="2:6">
      <c r="B382" t="s">
        <v>284</v>
      </c>
      <c r="F382">
        <v>1.9</v>
      </c>
    </row>
    <row r="383" spans="2:6">
      <c r="B383" t="s">
        <v>285</v>
      </c>
      <c r="F383">
        <v>1.9</v>
      </c>
    </row>
    <row r="384" spans="2:6">
      <c r="B384" t="s">
        <v>286</v>
      </c>
      <c r="F384">
        <v>1.9</v>
      </c>
    </row>
    <row r="385" spans="2:6">
      <c r="B385" t="s">
        <v>287</v>
      </c>
      <c r="F385">
        <v>1.5</v>
      </c>
    </row>
    <row r="386" spans="2:6">
      <c r="B386" t="s">
        <v>288</v>
      </c>
      <c r="F386">
        <v>1.9</v>
      </c>
    </row>
    <row r="387" spans="2:6">
      <c r="B387" t="s">
        <v>289</v>
      </c>
      <c r="F387">
        <v>0.78</v>
      </c>
    </row>
    <row r="388" spans="2:6">
      <c r="B388" t="s">
        <v>290</v>
      </c>
      <c r="F388">
        <v>1.5</v>
      </c>
    </row>
    <row r="389" spans="2:6">
      <c r="B389" t="s">
        <v>291</v>
      </c>
      <c r="F389">
        <v>2.54</v>
      </c>
    </row>
    <row r="390" spans="2:6">
      <c r="B390" t="s">
        <v>292</v>
      </c>
      <c r="F390">
        <v>1.2</v>
      </c>
    </row>
    <row r="391" spans="2:6">
      <c r="B391" t="s">
        <v>293</v>
      </c>
      <c r="F391">
        <v>1.2</v>
      </c>
    </row>
    <row r="392" spans="2:6">
      <c r="B392" t="s">
        <v>294</v>
      </c>
      <c r="F392">
        <v>1.4</v>
      </c>
    </row>
    <row r="393" spans="2:6">
      <c r="B393" t="s">
        <v>295</v>
      </c>
      <c r="F393">
        <v>2.2999999999999998</v>
      </c>
    </row>
    <row r="394" spans="2:6">
      <c r="B394" t="s">
        <v>296</v>
      </c>
      <c r="F394">
        <v>0.33</v>
      </c>
    </row>
    <row r="395" spans="2:6">
      <c r="B395" t="s">
        <v>297</v>
      </c>
      <c r="F395">
        <v>4.45</v>
      </c>
    </row>
    <row r="396" spans="2:6">
      <c r="B396" t="s">
        <v>298</v>
      </c>
      <c r="F396">
        <v>4.3</v>
      </c>
    </row>
    <row r="397" spans="2:6">
      <c r="B397" t="s">
        <v>299</v>
      </c>
      <c r="F397">
        <v>4.57</v>
      </c>
    </row>
    <row r="398" spans="2:6">
      <c r="B398" t="s">
        <v>300</v>
      </c>
      <c r="F398">
        <v>4.9000000000000004</v>
      </c>
    </row>
    <row r="399" spans="2:6">
      <c r="B399" t="s">
        <v>301</v>
      </c>
      <c r="F399">
        <v>1.67</v>
      </c>
    </row>
    <row r="400" spans="2:6">
      <c r="B400" t="s">
        <v>302</v>
      </c>
      <c r="F400">
        <v>2.5</v>
      </c>
    </row>
    <row r="401" spans="2:6">
      <c r="B401" t="s">
        <v>303</v>
      </c>
      <c r="F401">
        <v>1.78</v>
      </c>
    </row>
    <row r="402" spans="2:6">
      <c r="B402" t="s">
        <v>304</v>
      </c>
      <c r="F402">
        <v>1.7</v>
      </c>
    </row>
    <row r="403" spans="2:6">
      <c r="B403" t="s">
        <v>305</v>
      </c>
      <c r="F403">
        <v>7.6</v>
      </c>
    </row>
    <row r="404" spans="2:6">
      <c r="B404" t="s">
        <v>338</v>
      </c>
      <c r="F404">
        <v>1.92</v>
      </c>
    </row>
    <row r="405" spans="2:6">
      <c r="B405" t="s">
        <v>339</v>
      </c>
      <c r="F405">
        <v>1.55</v>
      </c>
    </row>
    <row r="406" spans="2:6">
      <c r="B406" t="s">
        <v>340</v>
      </c>
      <c r="F406">
        <v>1.36</v>
      </c>
    </row>
    <row r="407" spans="2:6">
      <c r="B407" t="s">
        <v>341</v>
      </c>
      <c r="F407">
        <v>1.87</v>
      </c>
    </row>
    <row r="408" spans="2:6">
      <c r="B408" t="s">
        <v>342</v>
      </c>
      <c r="F408">
        <v>1.6</v>
      </c>
    </row>
    <row r="409" spans="2:6">
      <c r="B409" t="s">
        <v>343</v>
      </c>
      <c r="F409">
        <v>1.86</v>
      </c>
    </row>
    <row r="410" spans="2:6">
      <c r="B410" t="s">
        <v>344</v>
      </c>
      <c r="F410">
        <v>1.78</v>
      </c>
    </row>
    <row r="411" spans="2:6">
      <c r="B411" t="s">
        <v>345</v>
      </c>
      <c r="F411">
        <v>1.96</v>
      </c>
    </row>
    <row r="412" spans="2:6">
      <c r="B412" t="s">
        <v>346</v>
      </c>
      <c r="F412">
        <v>1.6</v>
      </c>
    </row>
    <row r="413" spans="2:6">
      <c r="B413" t="s">
        <v>347</v>
      </c>
      <c r="F413">
        <v>1.7</v>
      </c>
    </row>
    <row r="414" spans="2:6">
      <c r="B414" t="s">
        <v>348</v>
      </c>
      <c r="F414">
        <v>1.63</v>
      </c>
    </row>
    <row r="415" spans="2:6">
      <c r="B415" t="s">
        <v>349</v>
      </c>
      <c r="F415">
        <v>2.2000000000000002</v>
      </c>
    </row>
    <row r="416" spans="2:6">
      <c r="B416" t="s">
        <v>350</v>
      </c>
      <c r="F416">
        <v>2.2999999999999998</v>
      </c>
    </row>
    <row r="417" spans="2:6">
      <c r="B417" t="s">
        <v>351</v>
      </c>
      <c r="F417">
        <v>1.1200000000000001</v>
      </c>
    </row>
    <row r="418" spans="2:6">
      <c r="B418" t="s">
        <v>352</v>
      </c>
      <c r="F418">
        <v>1.55</v>
      </c>
    </row>
    <row r="419" spans="2:6">
      <c r="B419" t="s">
        <v>353</v>
      </c>
      <c r="F419">
        <v>1.36</v>
      </c>
    </row>
    <row r="420" spans="2:6">
      <c r="B420" t="s">
        <v>341</v>
      </c>
      <c r="F420">
        <v>1.87</v>
      </c>
    </row>
    <row r="421" spans="2:6">
      <c r="B421" t="s">
        <v>342</v>
      </c>
      <c r="F421">
        <v>1.6</v>
      </c>
    </row>
    <row r="422" spans="2:6">
      <c r="B422" t="s">
        <v>354</v>
      </c>
      <c r="F422">
        <v>1.86</v>
      </c>
    </row>
    <row r="423" spans="2:6">
      <c r="B423" t="s">
        <v>355</v>
      </c>
      <c r="F423">
        <v>1.78</v>
      </c>
    </row>
    <row r="424" spans="2:6">
      <c r="B424" t="s">
        <v>356</v>
      </c>
      <c r="F424">
        <v>1.96</v>
      </c>
    </row>
    <row r="425" spans="2:6">
      <c r="B425" t="s">
        <v>357</v>
      </c>
      <c r="F425">
        <v>1.6</v>
      </c>
    </row>
    <row r="426" spans="2:6">
      <c r="B426" t="s">
        <v>358</v>
      </c>
      <c r="F426">
        <v>1.7</v>
      </c>
    </row>
    <row r="427" spans="2:6">
      <c r="B427" t="s">
        <v>359</v>
      </c>
      <c r="F427">
        <v>1.63</v>
      </c>
    </row>
    <row r="428" spans="2:6">
      <c r="B428" t="s">
        <v>360</v>
      </c>
      <c r="F428">
        <v>2.2000000000000002</v>
      </c>
    </row>
    <row r="429" spans="2:6">
      <c r="B429" t="s">
        <v>350</v>
      </c>
      <c r="F429">
        <v>2.2999999999999998</v>
      </c>
    </row>
    <row r="430" spans="2:6">
      <c r="B430" t="s">
        <v>361</v>
      </c>
      <c r="F430">
        <v>1.1200000000000001</v>
      </c>
    </row>
    <row r="431" spans="2:6">
      <c r="B431" t="s">
        <v>362</v>
      </c>
      <c r="F431">
        <v>2.2999999999999998</v>
      </c>
    </row>
    <row r="432" spans="2:6">
      <c r="B432" t="s">
        <v>337</v>
      </c>
      <c r="F432">
        <v>1.6</v>
      </c>
    </row>
    <row r="433" spans="2:6">
      <c r="B433" t="s">
        <v>363</v>
      </c>
      <c r="F433">
        <v>1.6</v>
      </c>
    </row>
    <row r="434" spans="2:6">
      <c r="B434" t="s">
        <v>364</v>
      </c>
      <c r="F434">
        <v>1.76</v>
      </c>
    </row>
    <row r="435" spans="2:6">
      <c r="B435" t="s">
        <v>365</v>
      </c>
      <c r="F435">
        <v>2</v>
      </c>
    </row>
    <row r="436" spans="2:6">
      <c r="B436" t="s">
        <v>54</v>
      </c>
      <c r="F436">
        <v>1.48</v>
      </c>
    </row>
    <row r="437" spans="2:6">
      <c r="B437" t="s">
        <v>59</v>
      </c>
      <c r="F437">
        <v>1.53</v>
      </c>
    </row>
    <row r="438" spans="2:6">
      <c r="B438" t="s">
        <v>52</v>
      </c>
      <c r="F438">
        <v>1.37</v>
      </c>
    </row>
    <row r="439" spans="2:6">
      <c r="B439" t="s">
        <v>61</v>
      </c>
      <c r="F439">
        <v>1.48</v>
      </c>
    </row>
    <row r="440" spans="2:6">
      <c r="B440" t="s">
        <v>366</v>
      </c>
      <c r="F440">
        <v>1.3</v>
      </c>
    </row>
    <row r="441" spans="2:6">
      <c r="B441" t="s">
        <v>367</v>
      </c>
      <c r="F441">
        <v>1.54</v>
      </c>
    </row>
    <row r="442" spans="2:6">
      <c r="B442" t="s">
        <v>368</v>
      </c>
      <c r="F442">
        <v>1.3</v>
      </c>
    </row>
    <row r="443" spans="2:6">
      <c r="B443" t="s">
        <v>369</v>
      </c>
      <c r="F443">
        <v>1.55</v>
      </c>
    </row>
    <row r="444" spans="2:6">
      <c r="B444" t="s">
        <v>370</v>
      </c>
      <c r="F444">
        <v>1.8</v>
      </c>
    </row>
    <row r="445" spans="2:6">
      <c r="B445" t="s">
        <v>371</v>
      </c>
      <c r="F445">
        <v>1.9</v>
      </c>
    </row>
    <row r="446" spans="2:6">
      <c r="B446" t="s">
        <v>372</v>
      </c>
      <c r="F446">
        <v>1.25</v>
      </c>
    </row>
    <row r="447" spans="2:6">
      <c r="B447" t="s">
        <v>58</v>
      </c>
      <c r="F447">
        <v>2</v>
      </c>
    </row>
    <row r="448" spans="2:6">
      <c r="B448" t="s">
        <v>55</v>
      </c>
      <c r="F448">
        <v>2</v>
      </c>
    </row>
    <row r="449" spans="2:6">
      <c r="B449" t="s">
        <v>53</v>
      </c>
      <c r="F449">
        <v>2.1</v>
      </c>
    </row>
    <row r="450" spans="2:6">
      <c r="B450" t="s">
        <v>373</v>
      </c>
      <c r="F450">
        <v>1.7</v>
      </c>
    </row>
    <row r="451" spans="2:6">
      <c r="B451" t="s">
        <v>374</v>
      </c>
      <c r="F451">
        <v>1.2</v>
      </c>
    </row>
    <row r="452" spans="2:6">
      <c r="B452" t="s">
        <v>375</v>
      </c>
      <c r="F452">
        <v>5.0999999999999996</v>
      </c>
    </row>
    <row r="453" spans="2:6">
      <c r="B453" t="s">
        <v>376</v>
      </c>
      <c r="F453">
        <v>6.6</v>
      </c>
    </row>
    <row r="454" spans="2:6">
      <c r="B454" t="s">
        <v>377</v>
      </c>
      <c r="F454">
        <v>4.38</v>
      </c>
    </row>
    <row r="455" spans="2:6">
      <c r="B455" t="s">
        <v>378</v>
      </c>
      <c r="F455">
        <v>5</v>
      </c>
    </row>
    <row r="456" spans="2:6">
      <c r="B456" t="s">
        <v>379</v>
      </c>
      <c r="F456">
        <v>3.3</v>
      </c>
    </row>
    <row r="457" spans="2:6">
      <c r="B457" t="s">
        <v>380</v>
      </c>
      <c r="F457">
        <v>2</v>
      </c>
    </row>
    <row r="458" spans="2:6">
      <c r="B458" t="s">
        <v>381</v>
      </c>
      <c r="F458">
        <v>2</v>
      </c>
    </row>
    <row r="459" spans="2:6">
      <c r="B459" t="s">
        <v>382</v>
      </c>
      <c r="F459">
        <v>2</v>
      </c>
    </row>
    <row r="460" spans="2:6">
      <c r="B460" t="s">
        <v>383</v>
      </c>
      <c r="F460">
        <v>1.8</v>
      </c>
    </row>
    <row r="461" spans="2:6">
      <c r="B461" t="s">
        <v>384</v>
      </c>
      <c r="F461">
        <v>1.8</v>
      </c>
    </row>
    <row r="462" spans="2:6">
      <c r="B462" t="s">
        <v>385</v>
      </c>
      <c r="F462">
        <v>1.45</v>
      </c>
    </row>
    <row r="463" spans="2:6">
      <c r="B463" t="s">
        <v>386</v>
      </c>
      <c r="F463">
        <v>1.25</v>
      </c>
    </row>
    <row r="464" spans="2:6">
      <c r="B464" t="s">
        <v>387</v>
      </c>
      <c r="F464">
        <v>1.5</v>
      </c>
    </row>
    <row r="465" spans="2:6">
      <c r="B465" t="s">
        <v>388</v>
      </c>
      <c r="F465">
        <v>1.6</v>
      </c>
    </row>
    <row r="466" spans="2:6">
      <c r="B466" t="s">
        <v>389</v>
      </c>
      <c r="F466">
        <v>1.7</v>
      </c>
    </row>
    <row r="467" spans="2:6">
      <c r="B467" t="s">
        <v>390</v>
      </c>
      <c r="F467">
        <v>1.2</v>
      </c>
    </row>
    <row r="468" spans="2:6">
      <c r="B468" t="s">
        <v>391</v>
      </c>
      <c r="F468">
        <v>1.4</v>
      </c>
    </row>
    <row r="469" spans="2:6">
      <c r="B469" t="s">
        <v>392</v>
      </c>
      <c r="F469">
        <v>1.33</v>
      </c>
    </row>
    <row r="470" spans="2:6">
      <c r="B470" t="s">
        <v>393</v>
      </c>
      <c r="F470">
        <v>1.4</v>
      </c>
    </row>
    <row r="471" spans="2:6">
      <c r="B471" t="s">
        <v>394</v>
      </c>
      <c r="F471">
        <v>1.17</v>
      </c>
    </row>
    <row r="472" spans="2:6">
      <c r="B472" t="s">
        <v>395</v>
      </c>
      <c r="F472">
        <v>1.25</v>
      </c>
    </row>
    <row r="473" spans="2:6">
      <c r="B473" t="s">
        <v>396</v>
      </c>
      <c r="F473">
        <v>1.58</v>
      </c>
    </row>
    <row r="474" spans="2:6">
      <c r="B474" t="s">
        <v>397</v>
      </c>
      <c r="F474">
        <v>2.37</v>
      </c>
    </row>
    <row r="475" spans="2:6">
      <c r="B475" t="s">
        <v>398</v>
      </c>
      <c r="F475">
        <v>1.1200000000000001</v>
      </c>
    </row>
    <row r="476" spans="2:6">
      <c r="B476" t="s">
        <v>399</v>
      </c>
      <c r="F476">
        <v>1.36</v>
      </c>
    </row>
    <row r="477" spans="2:6">
      <c r="B477" t="s">
        <v>400</v>
      </c>
      <c r="F477">
        <v>1.3</v>
      </c>
    </row>
    <row r="478" spans="2:6">
      <c r="B478" t="s">
        <v>401</v>
      </c>
      <c r="F478">
        <v>3.15</v>
      </c>
    </row>
    <row r="479" spans="2:6">
      <c r="B479" t="s">
        <v>402</v>
      </c>
      <c r="F479">
        <v>3.5</v>
      </c>
    </row>
    <row r="480" spans="2:6">
      <c r="B480" t="s">
        <v>403</v>
      </c>
      <c r="F480">
        <v>4.5</v>
      </c>
    </row>
    <row r="481" spans="2:6">
      <c r="B481" t="s">
        <v>404</v>
      </c>
      <c r="F481">
        <v>3.18</v>
      </c>
    </row>
    <row r="482" spans="2:6">
      <c r="B482" t="s">
        <v>405</v>
      </c>
      <c r="F482">
        <v>5</v>
      </c>
    </row>
    <row r="483" spans="2:6">
      <c r="B483" t="s">
        <v>406</v>
      </c>
      <c r="F483">
        <v>3.4</v>
      </c>
    </row>
    <row r="484" spans="2:6">
      <c r="B484" t="s">
        <v>407</v>
      </c>
      <c r="F484">
        <v>1.82</v>
      </c>
    </row>
    <row r="485" spans="2:6">
      <c r="B485" t="s">
        <v>408</v>
      </c>
      <c r="F485">
        <v>1.36</v>
      </c>
    </row>
    <row r="486" spans="2:6">
      <c r="B486" t="s">
        <v>409</v>
      </c>
      <c r="F486">
        <v>1.39</v>
      </c>
    </row>
    <row r="487" spans="2:6">
      <c r="B487" t="s">
        <v>410</v>
      </c>
      <c r="F487">
        <v>1.33</v>
      </c>
    </row>
    <row r="488" spans="2:6">
      <c r="B488" t="s">
        <v>411</v>
      </c>
      <c r="F488">
        <v>3.05</v>
      </c>
    </row>
    <row r="489" spans="2:6">
      <c r="B489" t="s">
        <v>412</v>
      </c>
      <c r="F489">
        <v>3</v>
      </c>
    </row>
    <row r="490" spans="2:6">
      <c r="B490" t="s">
        <v>413</v>
      </c>
      <c r="F490">
        <v>1.69</v>
      </c>
    </row>
    <row r="491" spans="2:6">
      <c r="B491" t="s">
        <v>414</v>
      </c>
      <c r="F491">
        <v>1.59</v>
      </c>
    </row>
    <row r="492" spans="2:6">
      <c r="B492" t="s">
        <v>415</v>
      </c>
      <c r="F492">
        <v>1.59</v>
      </c>
    </row>
    <row r="493" spans="2:6">
      <c r="B493" t="s">
        <v>416</v>
      </c>
      <c r="F493">
        <v>1.61</v>
      </c>
    </row>
    <row r="494" spans="2:6">
      <c r="B494" t="s">
        <v>417</v>
      </c>
      <c r="F494">
        <v>2.35</v>
      </c>
    </row>
    <row r="495" spans="2:6">
      <c r="B495" t="s">
        <v>418</v>
      </c>
      <c r="F495">
        <v>1.84</v>
      </c>
    </row>
    <row r="496" spans="2:6">
      <c r="B496" t="s">
        <v>419</v>
      </c>
      <c r="F496">
        <v>1.74</v>
      </c>
    </row>
    <row r="497" spans="2:6">
      <c r="B497" t="s">
        <v>420</v>
      </c>
      <c r="F497">
        <v>1.81</v>
      </c>
    </row>
    <row r="498" spans="2:6">
      <c r="B498" t="s">
        <v>421</v>
      </c>
      <c r="F498">
        <v>2.14</v>
      </c>
    </row>
    <row r="499" spans="2:6">
      <c r="B499" t="s">
        <v>422</v>
      </c>
      <c r="F499">
        <v>1.78</v>
      </c>
    </row>
    <row r="500" spans="2:6">
      <c r="B500" t="s">
        <v>423</v>
      </c>
      <c r="F500">
        <v>1.78</v>
      </c>
    </row>
    <row r="501" spans="2:6">
      <c r="B501" t="s">
        <v>424</v>
      </c>
      <c r="F501">
        <v>6.3</v>
      </c>
    </row>
    <row r="502" spans="2:6">
      <c r="B502" t="s">
        <v>425</v>
      </c>
      <c r="F502">
        <v>2.8</v>
      </c>
    </row>
    <row r="503" spans="2:6">
      <c r="B503" t="s">
        <v>426</v>
      </c>
      <c r="F503">
        <v>2.89</v>
      </c>
    </row>
    <row r="504" spans="2:6">
      <c r="B504" t="s">
        <v>381</v>
      </c>
      <c r="F504">
        <v>2.0499999999999998</v>
      </c>
    </row>
    <row r="505" spans="2:6">
      <c r="B505" t="s">
        <v>427</v>
      </c>
      <c r="F505">
        <v>1.32</v>
      </c>
    </row>
    <row r="506" spans="2:6">
      <c r="B506" t="s">
        <v>428</v>
      </c>
      <c r="F506">
        <v>1.22</v>
      </c>
    </row>
    <row r="507" spans="2:6">
      <c r="B507" t="s">
        <v>429</v>
      </c>
      <c r="F507">
        <v>12.4</v>
      </c>
    </row>
    <row r="508" spans="2:6">
      <c r="B508" t="s">
        <v>430</v>
      </c>
      <c r="F508">
        <v>9.34</v>
      </c>
    </row>
    <row r="509" spans="2:6">
      <c r="B509" t="s">
        <v>431</v>
      </c>
      <c r="F509">
        <v>16.899999999999999</v>
      </c>
    </row>
    <row r="510" spans="2:6">
      <c r="B510" t="s">
        <v>432</v>
      </c>
      <c r="F510">
        <v>9.3000000000000007</v>
      </c>
    </row>
    <row r="511" spans="2:6">
      <c r="B511" t="s">
        <v>433</v>
      </c>
      <c r="F511">
        <v>7.25</v>
      </c>
    </row>
    <row r="512" spans="2:6">
      <c r="B512" t="s">
        <v>434</v>
      </c>
      <c r="F512">
        <v>7.25</v>
      </c>
    </row>
    <row r="513" spans="2:6">
      <c r="B513" t="s">
        <v>435</v>
      </c>
      <c r="F513">
        <v>7.56</v>
      </c>
    </row>
    <row r="514" spans="2:6">
      <c r="B514" t="s">
        <v>436</v>
      </c>
      <c r="F514">
        <v>10.46</v>
      </c>
    </row>
    <row r="515" spans="2:6">
      <c r="B515" t="s">
        <v>437</v>
      </c>
      <c r="F515">
        <v>9.4600000000000009</v>
      </c>
    </row>
    <row r="516" spans="2:6">
      <c r="B516" t="s">
        <v>438</v>
      </c>
      <c r="F516">
        <v>2.7</v>
      </c>
    </row>
    <row r="517" spans="2:6">
      <c r="B517" t="s">
        <v>439</v>
      </c>
      <c r="F517">
        <v>1.28</v>
      </c>
    </row>
    <row r="518" spans="2:6">
      <c r="B518" t="s">
        <v>440</v>
      </c>
      <c r="F518">
        <v>3.61</v>
      </c>
    </row>
    <row r="519" spans="2:6">
      <c r="B519" t="s">
        <v>441</v>
      </c>
      <c r="F519">
        <v>6</v>
      </c>
    </row>
    <row r="520" spans="2:6">
      <c r="B520" t="s">
        <v>442</v>
      </c>
      <c r="F520">
        <v>5.47</v>
      </c>
    </row>
    <row r="521" spans="2:6">
      <c r="B521" t="s">
        <v>443</v>
      </c>
      <c r="F521">
        <v>5.26</v>
      </c>
    </row>
    <row r="522" spans="2:6">
      <c r="B522" t="s">
        <v>444</v>
      </c>
      <c r="F522">
        <v>5.14</v>
      </c>
    </row>
    <row r="523" spans="2:6">
      <c r="B523" t="s">
        <v>445</v>
      </c>
      <c r="F523">
        <v>6</v>
      </c>
    </row>
    <row r="524" spans="2:6">
      <c r="B524" t="s">
        <v>446</v>
      </c>
      <c r="F524">
        <v>4.25</v>
      </c>
    </row>
    <row r="525" spans="2:6">
      <c r="B525" t="s">
        <v>447</v>
      </c>
      <c r="F525">
        <v>8</v>
      </c>
    </row>
    <row r="526" spans="2:6">
      <c r="B526" t="s">
        <v>448</v>
      </c>
      <c r="F526">
        <v>1.2</v>
      </c>
    </row>
    <row r="527" spans="2:6">
      <c r="B527" t="s">
        <v>449</v>
      </c>
      <c r="F527">
        <v>26.8</v>
      </c>
    </row>
    <row r="528" spans="2:6">
      <c r="B528" t="s">
        <v>450</v>
      </c>
      <c r="F528">
        <v>10.7</v>
      </c>
    </row>
    <row r="529" spans="2:6">
      <c r="B529" t="s">
        <v>451</v>
      </c>
      <c r="F529">
        <v>1.32</v>
      </c>
    </row>
    <row r="530" spans="2:6">
      <c r="B530" t="s">
        <v>452</v>
      </c>
      <c r="F530">
        <v>1.24</v>
      </c>
    </row>
    <row r="531" spans="2:6">
      <c r="B531" t="s">
        <v>453</v>
      </c>
      <c r="F531">
        <v>5.2</v>
      </c>
    </row>
    <row r="532" spans="2:6">
      <c r="B532" t="s">
        <v>454</v>
      </c>
      <c r="F532">
        <v>1.08</v>
      </c>
    </row>
    <row r="533" spans="2:6">
      <c r="B533" t="s">
        <v>455</v>
      </c>
      <c r="F533">
        <v>1.27</v>
      </c>
    </row>
    <row r="534" spans="2:6">
      <c r="B534" t="s">
        <v>456</v>
      </c>
      <c r="F534">
        <v>1.8</v>
      </c>
    </row>
    <row r="535" spans="2:6">
      <c r="B535" t="s">
        <v>457</v>
      </c>
      <c r="F535">
        <v>2.06</v>
      </c>
    </row>
    <row r="536" spans="2:6">
      <c r="B536" t="s">
        <v>458</v>
      </c>
      <c r="F536">
        <v>1.27</v>
      </c>
    </row>
    <row r="537" spans="2:6">
      <c r="B537" t="s">
        <v>459</v>
      </c>
      <c r="F537">
        <v>2.04</v>
      </c>
    </row>
    <row r="538" spans="2:6">
      <c r="B538" t="s">
        <v>460</v>
      </c>
      <c r="F538">
        <v>1.1000000000000001</v>
      </c>
    </row>
    <row r="539" spans="2:6">
      <c r="B539" t="s">
        <v>461</v>
      </c>
      <c r="F539">
        <v>2.6</v>
      </c>
    </row>
    <row r="540" spans="2:6">
      <c r="B540" t="s">
        <v>462</v>
      </c>
      <c r="F540">
        <v>1.5</v>
      </c>
    </row>
    <row r="541" spans="2:6">
      <c r="B541" t="s">
        <v>463</v>
      </c>
      <c r="F541">
        <v>1.2</v>
      </c>
    </row>
    <row r="542" spans="2:6">
      <c r="B542" t="s">
        <v>464</v>
      </c>
      <c r="F542">
        <v>1.67</v>
      </c>
    </row>
    <row r="543" spans="2:6">
      <c r="B543" t="s">
        <v>465</v>
      </c>
      <c r="F543">
        <v>2.08</v>
      </c>
    </row>
    <row r="544" spans="2:6">
      <c r="B544" t="s">
        <v>466</v>
      </c>
      <c r="F544">
        <v>2.6</v>
      </c>
    </row>
    <row r="545" spans="2:6">
      <c r="B545" t="s">
        <v>467</v>
      </c>
      <c r="F545">
        <v>0.62</v>
      </c>
    </row>
    <row r="546" spans="2:6">
      <c r="B546" t="s">
        <v>468</v>
      </c>
      <c r="F546">
        <v>1.52</v>
      </c>
    </row>
    <row r="547" spans="2:6">
      <c r="B547" t="s">
        <v>469</v>
      </c>
      <c r="F547">
        <v>2.9</v>
      </c>
    </row>
    <row r="548" spans="2:6">
      <c r="B548" t="s">
        <v>470</v>
      </c>
      <c r="F548">
        <v>2.35</v>
      </c>
    </row>
    <row r="549" spans="2:6">
      <c r="B549" t="s">
        <v>471</v>
      </c>
      <c r="F549">
        <v>2.82</v>
      </c>
    </row>
    <row r="550" spans="2:6">
      <c r="B550" t="s">
        <v>472</v>
      </c>
      <c r="F550">
        <v>1.5</v>
      </c>
    </row>
    <row r="551" spans="2:6">
      <c r="B551" t="s">
        <v>473</v>
      </c>
      <c r="F551">
        <v>1.49</v>
      </c>
    </row>
    <row r="552" spans="2:6">
      <c r="B552" t="s">
        <v>474</v>
      </c>
      <c r="F552">
        <v>1.49</v>
      </c>
    </row>
    <row r="553" spans="2:6">
      <c r="B553" t="s">
        <v>475</v>
      </c>
      <c r="F553">
        <v>1.5</v>
      </c>
    </row>
    <row r="554" spans="2:6">
      <c r="B554" t="s">
        <v>476</v>
      </c>
      <c r="F554">
        <v>1.49</v>
      </c>
    </row>
    <row r="555" spans="2:6">
      <c r="B555" t="s">
        <v>477</v>
      </c>
      <c r="F555">
        <v>1.49</v>
      </c>
    </row>
    <row r="556" spans="2:6">
      <c r="B556" t="s">
        <v>478</v>
      </c>
      <c r="F556">
        <v>1.79</v>
      </c>
    </row>
    <row r="557" spans="2:6">
      <c r="B557" t="s">
        <v>479</v>
      </c>
      <c r="F557">
        <v>2.29</v>
      </c>
    </row>
    <row r="558" spans="2:6">
      <c r="B558" t="s">
        <v>480</v>
      </c>
      <c r="F558">
        <v>1.66</v>
      </c>
    </row>
    <row r="559" spans="2:6">
      <c r="B559" t="s">
        <v>481</v>
      </c>
      <c r="F559">
        <v>1.4</v>
      </c>
    </row>
    <row r="560" spans="2:6">
      <c r="B560" t="s">
        <v>482</v>
      </c>
      <c r="F560">
        <v>1.59</v>
      </c>
    </row>
    <row r="561" spans="2:6">
      <c r="B561" t="s">
        <v>483</v>
      </c>
      <c r="F561">
        <v>1.2</v>
      </c>
    </row>
    <row r="562" spans="2:6">
      <c r="B562" t="s">
        <v>484</v>
      </c>
      <c r="F562">
        <v>1.47</v>
      </c>
    </row>
    <row r="563" spans="2:6">
      <c r="B563" t="s">
        <v>485</v>
      </c>
      <c r="F563">
        <v>1.24</v>
      </c>
    </row>
    <row r="564" spans="2:6">
      <c r="B564" t="s">
        <v>137</v>
      </c>
      <c r="F564">
        <v>1.35</v>
      </c>
    </row>
    <row r="565" spans="2:6">
      <c r="B565" t="s">
        <v>486</v>
      </c>
      <c r="F565">
        <v>2.14</v>
      </c>
    </row>
    <row r="566" spans="2:6">
      <c r="B566" t="s">
        <v>487</v>
      </c>
      <c r="F566">
        <v>1.71</v>
      </c>
    </row>
    <row r="567" spans="2:6">
      <c r="B567" t="s">
        <v>488</v>
      </c>
      <c r="F567">
        <v>1.85</v>
      </c>
    </row>
    <row r="568" spans="2:6">
      <c r="B568" t="s">
        <v>489</v>
      </c>
      <c r="F568">
        <v>1.85</v>
      </c>
    </row>
    <row r="569" spans="2:6">
      <c r="B569" t="s">
        <v>490</v>
      </c>
      <c r="F569">
        <v>1.36</v>
      </c>
    </row>
    <row r="570" spans="2:6">
      <c r="B570" t="s">
        <v>491</v>
      </c>
      <c r="F570">
        <v>1.26</v>
      </c>
    </row>
    <row r="571" spans="2:6">
      <c r="B571" t="s">
        <v>492</v>
      </c>
      <c r="F571">
        <v>2</v>
      </c>
    </row>
    <row r="572" spans="2:6">
      <c r="B572" t="s">
        <v>493</v>
      </c>
      <c r="F572">
        <v>2</v>
      </c>
    </row>
    <row r="573" spans="2:6">
      <c r="B573" t="s">
        <v>494</v>
      </c>
      <c r="F573">
        <v>1.82</v>
      </c>
    </row>
    <row r="574" spans="2:6">
      <c r="B574" t="s">
        <v>495</v>
      </c>
      <c r="F574">
        <v>1.51</v>
      </c>
    </row>
    <row r="575" spans="2:6">
      <c r="B575" t="s">
        <v>496</v>
      </c>
      <c r="F575">
        <v>1.29</v>
      </c>
    </row>
    <row r="576" spans="2:6">
      <c r="B576" t="s">
        <v>497</v>
      </c>
      <c r="F576">
        <v>1.27</v>
      </c>
    </row>
    <row r="577" spans="2:6">
      <c r="B577" t="s">
        <v>498</v>
      </c>
      <c r="F577">
        <v>1.28</v>
      </c>
    </row>
    <row r="578" spans="2:6">
      <c r="B578" t="s">
        <v>499</v>
      </c>
      <c r="F578">
        <v>1.32</v>
      </c>
    </row>
    <row r="579" spans="2:6">
      <c r="B579" t="s">
        <v>500</v>
      </c>
      <c r="F579">
        <v>1.55</v>
      </c>
    </row>
    <row r="580" spans="2:6">
      <c r="B580" t="s">
        <v>501</v>
      </c>
      <c r="F580">
        <v>1.36</v>
      </c>
    </row>
    <row r="581" spans="2:6">
      <c r="B581" t="s">
        <v>502</v>
      </c>
      <c r="F581">
        <v>1.46</v>
      </c>
    </row>
    <row r="582" spans="2:6">
      <c r="B582" t="s">
        <v>503</v>
      </c>
      <c r="F582">
        <v>1.74</v>
      </c>
    </row>
    <row r="583" spans="2:6">
      <c r="B583" t="s">
        <v>504</v>
      </c>
      <c r="F583">
        <v>2.5099999999999998</v>
      </c>
    </row>
    <row r="584" spans="2:6">
      <c r="B584" t="s">
        <v>505</v>
      </c>
      <c r="F584">
        <v>1.43</v>
      </c>
    </row>
    <row r="585" spans="2:6">
      <c r="B585" t="s">
        <v>506</v>
      </c>
      <c r="F585">
        <v>2.86</v>
      </c>
    </row>
    <row r="586" spans="2:6">
      <c r="B586" t="s">
        <v>507</v>
      </c>
      <c r="F586">
        <v>1.85</v>
      </c>
    </row>
    <row r="587" spans="2:6">
      <c r="B587" t="s">
        <v>508</v>
      </c>
      <c r="F587">
        <v>2.79</v>
      </c>
    </row>
    <row r="588" spans="2:6">
      <c r="B588" t="s">
        <v>509</v>
      </c>
      <c r="F588">
        <v>3.09</v>
      </c>
    </row>
    <row r="589" spans="2:6">
      <c r="B589" t="s">
        <v>510</v>
      </c>
      <c r="F589">
        <v>2.04</v>
      </c>
    </row>
    <row r="590" spans="2:6">
      <c r="B590" t="s">
        <v>511</v>
      </c>
      <c r="F590">
        <v>1.0900000000000001</v>
      </c>
    </row>
    <row r="591" spans="2:6">
      <c r="B591" t="s">
        <v>512</v>
      </c>
      <c r="F591">
        <v>1.36</v>
      </c>
    </row>
    <row r="592" spans="2:6">
      <c r="B592" t="s">
        <v>513</v>
      </c>
      <c r="F592">
        <v>1.17</v>
      </c>
    </row>
    <row r="593" spans="2:6">
      <c r="B593" t="s">
        <v>60</v>
      </c>
      <c r="F593">
        <v>1.32</v>
      </c>
    </row>
    <row r="594" spans="2:6">
      <c r="B594" t="s">
        <v>387</v>
      </c>
      <c r="F594">
        <v>1.49</v>
      </c>
    </row>
    <row r="595" spans="2:6">
      <c r="B595" t="s">
        <v>514</v>
      </c>
      <c r="F595">
        <v>2</v>
      </c>
    </row>
    <row r="596" spans="2:6">
      <c r="B596" t="s">
        <v>515</v>
      </c>
      <c r="F596">
        <v>1.24</v>
      </c>
    </row>
    <row r="597" spans="2:6">
      <c r="B597" t="s">
        <v>516</v>
      </c>
      <c r="F597">
        <v>1.75</v>
      </c>
    </row>
    <row r="598" spans="2:6">
      <c r="B598" t="s">
        <v>517</v>
      </c>
      <c r="F598">
        <v>2.74</v>
      </c>
    </row>
    <row r="599" spans="2:6">
      <c r="B599" t="s">
        <v>518</v>
      </c>
      <c r="F599">
        <v>2.87</v>
      </c>
    </row>
    <row r="600" spans="2:6">
      <c r="B600" t="s">
        <v>519</v>
      </c>
      <c r="F600">
        <v>2.2599999999999998</v>
      </c>
    </row>
    <row r="601" spans="2:6">
      <c r="B601" t="s">
        <v>520</v>
      </c>
      <c r="F601">
        <v>1.26</v>
      </c>
    </row>
    <row r="602" spans="2:6">
      <c r="B602" t="s">
        <v>521</v>
      </c>
      <c r="F602">
        <v>1.26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2026-03-10T07:36:35Z</dcterms:modified>
</cp:coreProperties>
</file>